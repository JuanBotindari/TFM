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3\"/>
    </mc:Choice>
  </mc:AlternateContent>
  <xr:revisionPtr revIDLastSave="0" documentId="13_ncr:1_{F5D072DD-2392-4D24-9608-7AB072CC8194}" xr6:coauthVersionLast="47" xr6:coauthVersionMax="47" xr10:uidLastSave="{00000000-0000-0000-0000-000000000000}"/>
  <bookViews>
    <workbookView xWindow="11808" yWindow="4788" windowWidth="11100" windowHeight="7440" tabRatio="840" firstSheet="2" activeTab="2" xr2:uid="{00000000-000D-0000-FFFF-FFFF00000000}"/>
  </bookViews>
  <sheets>
    <sheet name="Lista_CUIT" sheetId="8" r:id="rId1"/>
    <sheet name="Ene-23" sheetId="2" r:id="rId2"/>
    <sheet name="Feb-23" sheetId="10" r:id="rId3"/>
    <sheet name="Mar-23" sheetId="11" r:id="rId4"/>
    <sheet name="Abr-23" sheetId="12" r:id="rId5"/>
    <sheet name="May-23" sheetId="16" r:id="rId6"/>
    <sheet name="Jun-23" sheetId="13" r:id="rId7"/>
    <sheet name="Jul-23" sheetId="15" r:id="rId8"/>
    <sheet name="Agost-23" sheetId="18" r:id="rId9"/>
    <sheet name="Sept-23" sheetId="19" r:id="rId10"/>
    <sheet name="Oct-23" sheetId="14" r:id="rId11"/>
    <sheet name="OCT " sheetId="21" r:id="rId12"/>
    <sheet name="Nov-23 " sheetId="22" r:id="rId13"/>
    <sheet name="Dic-23" sheetId="20" r:id="rId14"/>
    <sheet name="Asto-Cpras" sheetId="3" r:id="rId15"/>
    <sheet name="Asto-Vtas" sheetId="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5" i="22" l="1"/>
  <c r="N207" i="20"/>
  <c r="G203" i="20"/>
  <c r="K134" i="20"/>
  <c r="J65" i="20"/>
  <c r="J20" i="20"/>
  <c r="G211" i="20" l="1"/>
  <c r="G210" i="20"/>
  <c r="G209" i="20"/>
  <c r="G208" i="20"/>
  <c r="G206" i="20"/>
  <c r="G207" i="20"/>
  <c r="G205" i="20"/>
  <c r="G204" i="20"/>
  <c r="G193" i="20" l="1"/>
  <c r="I106" i="20"/>
  <c r="P106" i="20" s="1"/>
  <c r="I107" i="20"/>
  <c r="P107" i="20" s="1"/>
  <c r="I124" i="20"/>
  <c r="P124" i="20" s="1"/>
  <c r="I159" i="20"/>
  <c r="P159" i="20" s="1"/>
  <c r="I187" i="20"/>
  <c r="P187" i="20" s="1"/>
  <c r="I188" i="20"/>
  <c r="P188" i="20" s="1"/>
  <c r="I193" i="20"/>
  <c r="P193" i="20" s="1"/>
  <c r="Q193" i="20"/>
  <c r="R193" i="20"/>
  <c r="G194" i="20"/>
  <c r="G195" i="20"/>
  <c r="I194" i="20"/>
  <c r="P194" i="20" s="1"/>
  <c r="I195" i="20"/>
  <c r="P195" i="20" s="1"/>
  <c r="Q194" i="20"/>
  <c r="Q195" i="20"/>
  <c r="R194" i="20"/>
  <c r="R195" i="20"/>
  <c r="I105" i="20"/>
  <c r="P105" i="20" s="1"/>
  <c r="O108" i="20"/>
  <c r="I149" i="20"/>
  <c r="P149" i="20" s="1"/>
  <c r="I148" i="20"/>
  <c r="P148" i="20" s="1"/>
  <c r="I150" i="20"/>
  <c r="P150" i="20" s="1"/>
  <c r="I153" i="20"/>
  <c r="P153" i="20" s="1"/>
  <c r="I154" i="20"/>
  <c r="P154" i="20" s="1"/>
  <c r="P155" i="20"/>
  <c r="I156" i="20"/>
  <c r="P156" i="20" s="1"/>
  <c r="I157" i="20"/>
  <c r="P157" i="20" s="1"/>
  <c r="I160" i="20"/>
  <c r="P160" i="20" s="1"/>
  <c r="P161" i="20"/>
  <c r="I162" i="20"/>
  <c r="P162" i="20" s="1"/>
  <c r="I163" i="20"/>
  <c r="P163" i="20" s="1"/>
  <c r="P164" i="20"/>
  <c r="I166" i="20"/>
  <c r="P166" i="20" s="1"/>
  <c r="I167" i="20"/>
  <c r="P167" i="20" s="1"/>
  <c r="I165" i="20"/>
  <c r="P165" i="20" s="1"/>
  <c r="I168" i="20"/>
  <c r="P168" i="20" s="1"/>
  <c r="I172" i="20"/>
  <c r="P172" i="20" s="1"/>
  <c r="P173" i="20"/>
  <c r="I169" i="20"/>
  <c r="P169" i="20" s="1"/>
  <c r="I171" i="20"/>
  <c r="P171" i="20" s="1"/>
  <c r="I174" i="20"/>
  <c r="P174" i="20" s="1"/>
  <c r="I175" i="20"/>
  <c r="P175" i="20" s="1"/>
  <c r="I176" i="20"/>
  <c r="P176" i="20" s="1"/>
  <c r="I177" i="20"/>
  <c r="P177" i="20" s="1"/>
  <c r="I178" i="20"/>
  <c r="P178" i="20" s="1"/>
  <c r="J76" i="22" l="1"/>
  <c r="G188" i="22"/>
  <c r="G185" i="22"/>
  <c r="G186" i="22"/>
  <c r="G187" i="22"/>
  <c r="G189" i="22"/>
  <c r="G190" i="22"/>
  <c r="G191" i="22"/>
  <c r="G192" i="22"/>
  <c r="G184" i="22"/>
  <c r="I34" i="22"/>
  <c r="I56" i="22" l="1"/>
  <c r="P56" i="22" s="1"/>
  <c r="I42" i="22"/>
  <c r="P42" i="22" s="1"/>
  <c r="I37" i="22"/>
  <c r="P37" i="22" s="1"/>
  <c r="I50" i="22"/>
  <c r="P50" i="22" s="1"/>
  <c r="I117" i="22" l="1"/>
  <c r="P117" i="22" s="1"/>
  <c r="I99" i="22"/>
  <c r="P99" i="22" s="1"/>
  <c r="I83" i="22"/>
  <c r="P83" i="22" s="1"/>
  <c r="I90" i="22"/>
  <c r="P90" i="22" s="1"/>
  <c r="I84" i="22"/>
  <c r="P84" i="22" s="1"/>
  <c r="I77" i="22"/>
  <c r="P77" i="22" s="1"/>
  <c r="I167" i="22" l="1"/>
  <c r="P167" i="22" s="1"/>
  <c r="I169" i="22"/>
  <c r="P169" i="22" s="1"/>
  <c r="I170" i="22"/>
  <c r="P170" i="22" s="1"/>
  <c r="I171" i="22"/>
  <c r="P171" i="22" s="1"/>
  <c r="I172" i="22"/>
  <c r="P172" i="22" s="1"/>
  <c r="I174" i="22"/>
  <c r="P174" i="22" s="1"/>
  <c r="I175" i="22"/>
  <c r="P175" i="22" s="1"/>
  <c r="P168" i="22"/>
  <c r="H1632" i="22"/>
  <c r="H1633" i="22"/>
  <c r="I1633" i="22" s="1"/>
  <c r="G2567" i="22"/>
  <c r="G2566" i="22"/>
  <c r="G2565" i="22"/>
  <c r="G2564" i="22"/>
  <c r="G2563" i="22"/>
  <c r="M2559" i="22"/>
  <c r="L2559" i="22"/>
  <c r="K2559" i="22"/>
  <c r="J2559" i="22"/>
  <c r="H2558" i="22"/>
  <c r="I2558" i="22" s="1"/>
  <c r="G2558" i="22"/>
  <c r="H2557" i="22"/>
  <c r="I2557" i="22" s="1"/>
  <c r="G2557" i="22"/>
  <c r="H2556" i="22"/>
  <c r="I2556" i="22" s="1"/>
  <c r="G2556" i="22"/>
  <c r="H2555" i="22"/>
  <c r="I2555" i="22" s="1"/>
  <c r="G2555" i="22"/>
  <c r="H2554" i="22"/>
  <c r="I2554" i="22" s="1"/>
  <c r="G2554" i="22"/>
  <c r="H2553" i="22"/>
  <c r="I2553" i="22" s="1"/>
  <c r="G2553" i="22"/>
  <c r="H2552" i="22"/>
  <c r="I2552" i="22" s="1"/>
  <c r="G2552" i="22"/>
  <c r="H2551" i="22"/>
  <c r="I2551" i="22" s="1"/>
  <c r="G2551" i="22"/>
  <c r="H2550" i="22"/>
  <c r="I2550" i="22" s="1"/>
  <c r="G2550" i="22"/>
  <c r="H2549" i="22"/>
  <c r="I2549" i="22" s="1"/>
  <c r="G2549" i="22"/>
  <c r="H2548" i="22"/>
  <c r="I2548" i="22" s="1"/>
  <c r="G2548" i="22"/>
  <c r="H2547" i="22"/>
  <c r="I2547" i="22" s="1"/>
  <c r="G2547" i="22"/>
  <c r="H2546" i="22"/>
  <c r="I2546" i="22" s="1"/>
  <c r="G2546" i="22"/>
  <c r="H2545" i="22"/>
  <c r="I2545" i="22" s="1"/>
  <c r="G2545" i="22"/>
  <c r="H2544" i="22"/>
  <c r="I2544" i="22" s="1"/>
  <c r="G2544" i="22"/>
  <c r="H2543" i="22"/>
  <c r="I2543" i="22" s="1"/>
  <c r="G2543" i="22"/>
  <c r="H2542" i="22"/>
  <c r="I2542" i="22" s="1"/>
  <c r="G2542" i="22"/>
  <c r="H2541" i="22"/>
  <c r="I2541" i="22" s="1"/>
  <c r="G2541" i="22"/>
  <c r="H2540" i="22"/>
  <c r="I2540" i="22" s="1"/>
  <c r="G2540" i="22"/>
  <c r="H2539" i="22"/>
  <c r="I2539" i="22" s="1"/>
  <c r="G2539" i="22"/>
  <c r="H2538" i="22"/>
  <c r="I2538" i="22" s="1"/>
  <c r="G2538" i="22"/>
  <c r="H2537" i="22"/>
  <c r="I2537" i="22" s="1"/>
  <c r="G2537" i="22"/>
  <c r="H2536" i="22"/>
  <c r="I2536" i="22" s="1"/>
  <c r="G2536" i="22"/>
  <c r="H2535" i="22"/>
  <c r="I2535" i="22" s="1"/>
  <c r="G2535" i="22"/>
  <c r="H2534" i="22"/>
  <c r="I2534" i="22" s="1"/>
  <c r="G2534" i="22"/>
  <c r="H2533" i="22"/>
  <c r="I2533" i="22" s="1"/>
  <c r="G2533" i="22"/>
  <c r="H2532" i="22"/>
  <c r="I2532" i="22" s="1"/>
  <c r="G2532" i="22"/>
  <c r="H2531" i="22"/>
  <c r="I2531" i="22" s="1"/>
  <c r="G2531" i="22"/>
  <c r="H2530" i="22"/>
  <c r="I2530" i="22" s="1"/>
  <c r="G2530" i="22"/>
  <c r="H2529" i="22"/>
  <c r="I2529" i="22" s="1"/>
  <c r="G2529" i="22"/>
  <c r="H2528" i="22"/>
  <c r="I2528" i="22" s="1"/>
  <c r="G2528" i="22"/>
  <c r="H2527" i="22"/>
  <c r="I2527" i="22" s="1"/>
  <c r="G2527" i="22"/>
  <c r="H2526" i="22"/>
  <c r="I2526" i="22" s="1"/>
  <c r="G2526" i="22"/>
  <c r="H2525" i="22"/>
  <c r="I2525" i="22" s="1"/>
  <c r="G2525" i="22"/>
  <c r="H2524" i="22"/>
  <c r="I2524" i="22" s="1"/>
  <c r="G2524" i="22"/>
  <c r="H2523" i="22"/>
  <c r="I2523" i="22" s="1"/>
  <c r="G2523" i="22"/>
  <c r="H2522" i="22"/>
  <c r="I2522" i="22" s="1"/>
  <c r="G2522" i="22"/>
  <c r="H2521" i="22"/>
  <c r="I2521" i="22" s="1"/>
  <c r="G2521" i="22"/>
  <c r="H2520" i="22"/>
  <c r="I2520" i="22" s="1"/>
  <c r="G2520" i="22"/>
  <c r="H2519" i="22"/>
  <c r="I2519" i="22" s="1"/>
  <c r="G2519" i="22"/>
  <c r="H2518" i="22"/>
  <c r="I2518" i="22" s="1"/>
  <c r="G2518" i="22"/>
  <c r="H2517" i="22"/>
  <c r="I2517" i="22" s="1"/>
  <c r="G2517" i="22"/>
  <c r="H2516" i="22"/>
  <c r="I2516" i="22" s="1"/>
  <c r="G2516" i="22"/>
  <c r="H2515" i="22"/>
  <c r="I2515" i="22" s="1"/>
  <c r="G2515" i="22"/>
  <c r="H2514" i="22"/>
  <c r="I2514" i="22" s="1"/>
  <c r="G2514" i="22"/>
  <c r="H2513" i="22"/>
  <c r="I2513" i="22" s="1"/>
  <c r="G2513" i="22"/>
  <c r="H2512" i="22"/>
  <c r="I2512" i="22" s="1"/>
  <c r="G2512" i="22"/>
  <c r="H2511" i="22"/>
  <c r="I2511" i="22" s="1"/>
  <c r="G2511" i="22"/>
  <c r="H2510" i="22"/>
  <c r="I2510" i="22" s="1"/>
  <c r="G2510" i="22"/>
  <c r="H2509" i="22"/>
  <c r="I2509" i="22" s="1"/>
  <c r="G2509" i="22"/>
  <c r="H2508" i="22"/>
  <c r="I2508" i="22" s="1"/>
  <c r="G2508" i="22"/>
  <c r="H2507" i="22"/>
  <c r="I2507" i="22" s="1"/>
  <c r="G2507" i="22"/>
  <c r="H2506" i="22"/>
  <c r="I2506" i="22" s="1"/>
  <c r="G2506" i="22"/>
  <c r="H2505" i="22"/>
  <c r="I2505" i="22" s="1"/>
  <c r="G2505" i="22"/>
  <c r="H2504" i="22"/>
  <c r="I2504" i="22" s="1"/>
  <c r="G2504" i="22"/>
  <c r="H2503" i="22"/>
  <c r="I2503" i="22" s="1"/>
  <c r="G2503" i="22"/>
  <c r="H2502" i="22"/>
  <c r="I2502" i="22" s="1"/>
  <c r="G2502" i="22"/>
  <c r="H2501" i="22"/>
  <c r="I2501" i="22" s="1"/>
  <c r="G2501" i="22"/>
  <c r="H2500" i="22"/>
  <c r="I2500" i="22" s="1"/>
  <c r="G2500" i="22"/>
  <c r="H2499" i="22"/>
  <c r="I2499" i="22" s="1"/>
  <c r="G2499" i="22"/>
  <c r="H2498" i="22"/>
  <c r="I2498" i="22" s="1"/>
  <c r="G2498" i="22"/>
  <c r="H2497" i="22"/>
  <c r="I2497" i="22" s="1"/>
  <c r="G2497" i="22"/>
  <c r="H2496" i="22"/>
  <c r="I2496" i="22" s="1"/>
  <c r="G2496" i="22"/>
  <c r="H2495" i="22"/>
  <c r="I2495" i="22" s="1"/>
  <c r="G2495" i="22"/>
  <c r="H2494" i="22"/>
  <c r="I2494" i="22" s="1"/>
  <c r="G2494" i="22"/>
  <c r="H2493" i="22"/>
  <c r="I2493" i="22" s="1"/>
  <c r="G2493" i="22"/>
  <c r="H2492" i="22"/>
  <c r="I2492" i="22" s="1"/>
  <c r="G2492" i="22"/>
  <c r="H2491" i="22"/>
  <c r="I2491" i="22" s="1"/>
  <c r="G2491" i="22"/>
  <c r="H2490" i="22"/>
  <c r="I2490" i="22" s="1"/>
  <c r="G2490" i="22"/>
  <c r="H2489" i="22"/>
  <c r="I2489" i="22" s="1"/>
  <c r="G2489" i="22"/>
  <c r="H2488" i="22"/>
  <c r="I2488" i="22" s="1"/>
  <c r="G2488" i="22"/>
  <c r="H2487" i="22"/>
  <c r="I2487" i="22" s="1"/>
  <c r="G2487" i="22"/>
  <c r="H2486" i="22"/>
  <c r="I2486" i="22" s="1"/>
  <c r="G2486" i="22"/>
  <c r="H2485" i="22"/>
  <c r="I2485" i="22" s="1"/>
  <c r="G2485" i="22"/>
  <c r="H2484" i="22"/>
  <c r="I2484" i="22" s="1"/>
  <c r="G2484" i="22"/>
  <c r="H2483" i="22"/>
  <c r="I2483" i="22" s="1"/>
  <c r="G2483" i="22"/>
  <c r="H2482" i="22"/>
  <c r="I2482" i="22" s="1"/>
  <c r="G2482" i="22"/>
  <c r="H2481" i="22"/>
  <c r="I2481" i="22" s="1"/>
  <c r="G2481" i="22"/>
  <c r="H2480" i="22"/>
  <c r="I2480" i="22" s="1"/>
  <c r="G2480" i="22"/>
  <c r="H2479" i="22"/>
  <c r="I2479" i="22" s="1"/>
  <c r="G2479" i="22"/>
  <c r="H2478" i="22"/>
  <c r="I2478" i="22" s="1"/>
  <c r="G2478" i="22"/>
  <c r="H2477" i="22"/>
  <c r="I2477" i="22" s="1"/>
  <c r="G2477" i="22"/>
  <c r="H2476" i="22"/>
  <c r="I2476" i="22" s="1"/>
  <c r="G2476" i="22"/>
  <c r="H2475" i="22"/>
  <c r="I2475" i="22" s="1"/>
  <c r="G2475" i="22"/>
  <c r="H2474" i="22"/>
  <c r="I2474" i="22" s="1"/>
  <c r="G2474" i="22"/>
  <c r="H2473" i="22"/>
  <c r="I2473" i="22" s="1"/>
  <c r="G2473" i="22"/>
  <c r="H2472" i="22"/>
  <c r="I2472" i="22" s="1"/>
  <c r="G2472" i="22"/>
  <c r="H2471" i="22"/>
  <c r="I2471" i="22" s="1"/>
  <c r="G2471" i="22"/>
  <c r="H2470" i="22"/>
  <c r="I2470" i="22" s="1"/>
  <c r="G2470" i="22"/>
  <c r="H2469" i="22"/>
  <c r="I2469" i="22" s="1"/>
  <c r="G2469" i="22"/>
  <c r="H2468" i="22"/>
  <c r="I2468" i="22" s="1"/>
  <c r="G2468" i="22"/>
  <c r="H2467" i="22"/>
  <c r="I2467" i="22" s="1"/>
  <c r="G2467" i="22"/>
  <c r="H2466" i="22"/>
  <c r="I2466" i="22" s="1"/>
  <c r="G2466" i="22"/>
  <c r="H2465" i="22"/>
  <c r="I2465" i="22" s="1"/>
  <c r="G2465" i="22"/>
  <c r="H2464" i="22"/>
  <c r="I2464" i="22" s="1"/>
  <c r="G2464" i="22"/>
  <c r="H2463" i="22"/>
  <c r="I2463" i="22" s="1"/>
  <c r="G2463" i="22"/>
  <c r="H2462" i="22"/>
  <c r="I2462" i="22" s="1"/>
  <c r="G2462" i="22"/>
  <c r="H2461" i="22"/>
  <c r="I2461" i="22" s="1"/>
  <c r="G2461" i="22"/>
  <c r="H2460" i="22"/>
  <c r="I2460" i="22" s="1"/>
  <c r="G2460" i="22"/>
  <c r="H2459" i="22"/>
  <c r="I2459" i="22" s="1"/>
  <c r="G2459" i="22"/>
  <c r="H2458" i="22"/>
  <c r="I2458" i="22" s="1"/>
  <c r="G2458" i="22"/>
  <c r="H2457" i="22"/>
  <c r="I2457" i="22" s="1"/>
  <c r="G2457" i="22"/>
  <c r="H2456" i="22"/>
  <c r="I2456" i="22" s="1"/>
  <c r="G2456" i="22"/>
  <c r="H2455" i="22"/>
  <c r="I2455" i="22" s="1"/>
  <c r="G2455" i="22"/>
  <c r="H2454" i="22"/>
  <c r="I2454" i="22" s="1"/>
  <c r="G2454" i="22"/>
  <c r="H2453" i="22"/>
  <c r="I2453" i="22" s="1"/>
  <c r="G2453" i="22"/>
  <c r="H2452" i="22"/>
  <c r="I2452" i="22" s="1"/>
  <c r="G2452" i="22"/>
  <c r="H2451" i="22"/>
  <c r="I2451" i="22" s="1"/>
  <c r="G2451" i="22"/>
  <c r="H2450" i="22"/>
  <c r="I2450" i="22" s="1"/>
  <c r="G2450" i="22"/>
  <c r="H2449" i="22"/>
  <c r="I2449" i="22" s="1"/>
  <c r="G2449" i="22"/>
  <c r="H2448" i="22"/>
  <c r="I2448" i="22" s="1"/>
  <c r="G2448" i="22"/>
  <c r="H2447" i="22"/>
  <c r="I2447" i="22" s="1"/>
  <c r="G2447" i="22"/>
  <c r="H2446" i="22"/>
  <c r="I2446" i="22" s="1"/>
  <c r="G2446" i="22"/>
  <c r="H2445" i="22"/>
  <c r="I2445" i="22" s="1"/>
  <c r="G2445" i="22"/>
  <c r="H2444" i="22"/>
  <c r="I2444" i="22" s="1"/>
  <c r="G2444" i="22"/>
  <c r="H2443" i="22"/>
  <c r="I2443" i="22" s="1"/>
  <c r="G2443" i="22"/>
  <c r="H2442" i="22"/>
  <c r="I2442" i="22" s="1"/>
  <c r="G2442" i="22"/>
  <c r="H2441" i="22"/>
  <c r="I2441" i="22" s="1"/>
  <c r="G2441" i="22"/>
  <c r="H2440" i="22"/>
  <c r="I2440" i="22" s="1"/>
  <c r="G2440" i="22"/>
  <c r="H2439" i="22"/>
  <c r="I2439" i="22" s="1"/>
  <c r="G2439" i="22"/>
  <c r="H2438" i="22"/>
  <c r="I2438" i="22" s="1"/>
  <c r="G2438" i="22"/>
  <c r="H2437" i="22"/>
  <c r="I2437" i="22" s="1"/>
  <c r="G2437" i="22"/>
  <c r="H2436" i="22"/>
  <c r="I2436" i="22" s="1"/>
  <c r="G2436" i="22"/>
  <c r="H2435" i="22"/>
  <c r="I2435" i="22" s="1"/>
  <c r="G2435" i="22"/>
  <c r="H2434" i="22"/>
  <c r="I2434" i="22" s="1"/>
  <c r="G2434" i="22"/>
  <c r="H2433" i="22"/>
  <c r="I2433" i="22" s="1"/>
  <c r="G2433" i="22"/>
  <c r="H2432" i="22"/>
  <c r="I2432" i="22" s="1"/>
  <c r="G2432" i="22"/>
  <c r="H2431" i="22"/>
  <c r="I2431" i="22" s="1"/>
  <c r="G2431" i="22"/>
  <c r="H2430" i="22"/>
  <c r="I2430" i="22" s="1"/>
  <c r="G2430" i="22"/>
  <c r="H2429" i="22"/>
  <c r="I2429" i="22" s="1"/>
  <c r="G2429" i="22"/>
  <c r="H2428" i="22"/>
  <c r="I2428" i="22" s="1"/>
  <c r="G2428" i="22"/>
  <c r="H2427" i="22"/>
  <c r="I2427" i="22" s="1"/>
  <c r="G2427" i="22"/>
  <c r="H2426" i="22"/>
  <c r="I2426" i="22" s="1"/>
  <c r="G2426" i="22"/>
  <c r="H2425" i="22"/>
  <c r="I2425" i="22" s="1"/>
  <c r="G2425" i="22"/>
  <c r="H2424" i="22"/>
  <c r="I2424" i="22" s="1"/>
  <c r="G2424" i="22"/>
  <c r="H2423" i="22"/>
  <c r="I2423" i="22" s="1"/>
  <c r="G2423" i="22"/>
  <c r="H2422" i="22"/>
  <c r="I2422" i="22" s="1"/>
  <c r="G2422" i="22"/>
  <c r="H2421" i="22"/>
  <c r="I2421" i="22" s="1"/>
  <c r="G2421" i="22"/>
  <c r="H2420" i="22"/>
  <c r="I2420" i="22" s="1"/>
  <c r="G2420" i="22"/>
  <c r="H2419" i="22"/>
  <c r="I2419" i="22" s="1"/>
  <c r="G2419" i="22"/>
  <c r="H2418" i="22"/>
  <c r="I2418" i="22" s="1"/>
  <c r="G2418" i="22"/>
  <c r="H2417" i="22"/>
  <c r="I2417" i="22" s="1"/>
  <c r="G2417" i="22"/>
  <c r="H2416" i="22"/>
  <c r="I2416" i="22" s="1"/>
  <c r="G2416" i="22"/>
  <c r="H2415" i="22"/>
  <c r="I2415" i="22" s="1"/>
  <c r="G2415" i="22"/>
  <c r="H2414" i="22"/>
  <c r="I2414" i="22" s="1"/>
  <c r="G2414" i="22"/>
  <c r="H2413" i="22"/>
  <c r="I2413" i="22" s="1"/>
  <c r="G2413" i="22"/>
  <c r="H2412" i="22"/>
  <c r="I2412" i="22" s="1"/>
  <c r="G2412" i="22"/>
  <c r="H2411" i="22"/>
  <c r="I2411" i="22" s="1"/>
  <c r="G2411" i="22"/>
  <c r="H2410" i="22"/>
  <c r="I2410" i="22" s="1"/>
  <c r="G2410" i="22"/>
  <c r="H2409" i="22"/>
  <c r="I2409" i="22" s="1"/>
  <c r="G2409" i="22"/>
  <c r="H2408" i="22"/>
  <c r="I2408" i="22" s="1"/>
  <c r="G2408" i="22"/>
  <c r="H2407" i="22"/>
  <c r="I2407" i="22" s="1"/>
  <c r="G2407" i="22"/>
  <c r="H2406" i="22"/>
  <c r="I2406" i="22" s="1"/>
  <c r="G2406" i="22"/>
  <c r="H2405" i="22"/>
  <c r="I2405" i="22" s="1"/>
  <c r="G2405" i="22"/>
  <c r="H2404" i="22"/>
  <c r="I2404" i="22" s="1"/>
  <c r="G2404" i="22"/>
  <c r="H2403" i="22"/>
  <c r="I2403" i="22" s="1"/>
  <c r="G2403" i="22"/>
  <c r="H2402" i="22"/>
  <c r="I2402" i="22" s="1"/>
  <c r="G2402" i="22"/>
  <c r="H2401" i="22"/>
  <c r="I2401" i="22" s="1"/>
  <c r="G2401" i="22"/>
  <c r="H2400" i="22"/>
  <c r="I2400" i="22" s="1"/>
  <c r="G2400" i="22"/>
  <c r="H2399" i="22"/>
  <c r="I2399" i="22" s="1"/>
  <c r="G2399" i="22"/>
  <c r="H2398" i="22"/>
  <c r="I2398" i="22" s="1"/>
  <c r="G2398" i="22"/>
  <c r="H2397" i="22"/>
  <c r="I2397" i="22" s="1"/>
  <c r="G2397" i="22"/>
  <c r="H2396" i="22"/>
  <c r="I2396" i="22" s="1"/>
  <c r="G2396" i="22"/>
  <c r="H2395" i="22"/>
  <c r="I2395" i="22" s="1"/>
  <c r="G2395" i="22"/>
  <c r="H2394" i="22"/>
  <c r="I2394" i="22" s="1"/>
  <c r="G2394" i="22"/>
  <c r="H2393" i="22"/>
  <c r="I2393" i="22" s="1"/>
  <c r="G2393" i="22"/>
  <c r="H2392" i="22"/>
  <c r="I2392" i="22" s="1"/>
  <c r="G2392" i="22"/>
  <c r="H2391" i="22"/>
  <c r="I2391" i="22" s="1"/>
  <c r="G2391" i="22"/>
  <c r="H2390" i="22"/>
  <c r="I2390" i="22" s="1"/>
  <c r="G2390" i="22"/>
  <c r="H2389" i="22"/>
  <c r="I2389" i="22" s="1"/>
  <c r="G2389" i="22"/>
  <c r="H2388" i="22"/>
  <c r="I2388" i="22" s="1"/>
  <c r="G2388" i="22"/>
  <c r="H2387" i="22"/>
  <c r="I2387" i="22" s="1"/>
  <c r="G2387" i="22"/>
  <c r="H2386" i="22"/>
  <c r="I2386" i="22" s="1"/>
  <c r="G2386" i="22"/>
  <c r="H2385" i="22"/>
  <c r="I2385" i="22" s="1"/>
  <c r="G2385" i="22"/>
  <c r="H2384" i="22"/>
  <c r="I2384" i="22" s="1"/>
  <c r="G2384" i="22"/>
  <c r="H2383" i="22"/>
  <c r="I2383" i="22" s="1"/>
  <c r="G2383" i="22"/>
  <c r="H2382" i="22"/>
  <c r="I2382" i="22" s="1"/>
  <c r="G2382" i="22"/>
  <c r="H2381" i="22"/>
  <c r="I2381" i="22" s="1"/>
  <c r="G2381" i="22"/>
  <c r="H2380" i="22"/>
  <c r="I2380" i="22" s="1"/>
  <c r="G2380" i="22"/>
  <c r="H2379" i="22"/>
  <c r="I2379" i="22" s="1"/>
  <c r="G2379" i="22"/>
  <c r="H2378" i="22"/>
  <c r="I2378" i="22" s="1"/>
  <c r="G2378" i="22"/>
  <c r="H2377" i="22"/>
  <c r="I2377" i="22" s="1"/>
  <c r="G2377" i="22"/>
  <c r="H2376" i="22"/>
  <c r="I2376" i="22" s="1"/>
  <c r="G2376" i="22"/>
  <c r="H2375" i="22"/>
  <c r="I2375" i="22" s="1"/>
  <c r="G2375" i="22"/>
  <c r="H2374" i="22"/>
  <c r="I2374" i="22" s="1"/>
  <c r="G2374" i="22"/>
  <c r="H2373" i="22"/>
  <c r="I2373" i="22" s="1"/>
  <c r="G2373" i="22"/>
  <c r="H2372" i="22"/>
  <c r="I2372" i="22" s="1"/>
  <c r="G2372" i="22"/>
  <c r="H2371" i="22"/>
  <c r="I2371" i="22" s="1"/>
  <c r="G2371" i="22"/>
  <c r="H2370" i="22"/>
  <c r="I2370" i="22" s="1"/>
  <c r="G2370" i="22"/>
  <c r="H2369" i="22"/>
  <c r="I2369" i="22" s="1"/>
  <c r="G2369" i="22"/>
  <c r="H2368" i="22"/>
  <c r="I2368" i="22" s="1"/>
  <c r="G2368" i="22"/>
  <c r="H2367" i="22"/>
  <c r="I2367" i="22" s="1"/>
  <c r="G2367" i="22"/>
  <c r="H2366" i="22"/>
  <c r="I2366" i="22" s="1"/>
  <c r="G2366" i="22"/>
  <c r="H2365" i="22"/>
  <c r="I2365" i="22" s="1"/>
  <c r="G2365" i="22"/>
  <c r="H2364" i="22"/>
  <c r="I2364" i="22" s="1"/>
  <c r="G2364" i="22"/>
  <c r="H2363" i="22"/>
  <c r="I2363" i="22" s="1"/>
  <c r="G2363" i="22"/>
  <c r="H2362" i="22"/>
  <c r="I2362" i="22" s="1"/>
  <c r="G2362" i="22"/>
  <c r="H2361" i="22"/>
  <c r="I2361" i="22" s="1"/>
  <c r="G2361" i="22"/>
  <c r="H2360" i="22"/>
  <c r="I2360" i="22" s="1"/>
  <c r="G2360" i="22"/>
  <c r="H2359" i="22"/>
  <c r="I2359" i="22" s="1"/>
  <c r="G2359" i="22"/>
  <c r="H2358" i="22"/>
  <c r="I2358" i="22" s="1"/>
  <c r="G2358" i="22"/>
  <c r="H2357" i="22"/>
  <c r="I2357" i="22" s="1"/>
  <c r="G2357" i="22"/>
  <c r="H2356" i="22"/>
  <c r="I2356" i="22" s="1"/>
  <c r="G2356" i="22"/>
  <c r="H2355" i="22"/>
  <c r="I2355" i="22" s="1"/>
  <c r="G2355" i="22"/>
  <c r="H2354" i="22"/>
  <c r="I2354" i="22" s="1"/>
  <c r="G2354" i="22"/>
  <c r="H2353" i="22"/>
  <c r="I2353" i="22" s="1"/>
  <c r="G2353" i="22"/>
  <c r="H2352" i="22"/>
  <c r="I2352" i="22" s="1"/>
  <c r="G2352" i="22"/>
  <c r="H2351" i="22"/>
  <c r="I2351" i="22" s="1"/>
  <c r="G2351" i="22"/>
  <c r="H2350" i="22"/>
  <c r="I2350" i="22" s="1"/>
  <c r="G2350" i="22"/>
  <c r="H2349" i="22"/>
  <c r="I2349" i="22" s="1"/>
  <c r="G2349" i="22"/>
  <c r="H2348" i="22"/>
  <c r="I2348" i="22" s="1"/>
  <c r="G2348" i="22"/>
  <c r="H2347" i="22"/>
  <c r="I2347" i="22" s="1"/>
  <c r="G2347" i="22"/>
  <c r="H2346" i="22"/>
  <c r="I2346" i="22" s="1"/>
  <c r="G2346" i="22"/>
  <c r="H2345" i="22"/>
  <c r="I2345" i="22" s="1"/>
  <c r="G2345" i="22"/>
  <c r="H2344" i="22"/>
  <c r="I2344" i="22" s="1"/>
  <c r="G2344" i="22"/>
  <c r="H2343" i="22"/>
  <c r="I2343" i="22" s="1"/>
  <c r="G2343" i="22"/>
  <c r="H2342" i="22"/>
  <c r="I2342" i="22" s="1"/>
  <c r="G2342" i="22"/>
  <c r="H2341" i="22"/>
  <c r="I2341" i="22" s="1"/>
  <c r="G2341" i="22"/>
  <c r="H2340" i="22"/>
  <c r="I2340" i="22" s="1"/>
  <c r="G2340" i="22"/>
  <c r="H2339" i="22"/>
  <c r="I2339" i="22" s="1"/>
  <c r="G2339" i="22"/>
  <c r="H2338" i="22"/>
  <c r="I2338" i="22" s="1"/>
  <c r="G2338" i="22"/>
  <c r="H2337" i="22"/>
  <c r="I2337" i="22" s="1"/>
  <c r="G2337" i="22"/>
  <c r="H2336" i="22"/>
  <c r="I2336" i="22" s="1"/>
  <c r="G2336" i="22"/>
  <c r="H2335" i="22"/>
  <c r="I2335" i="22" s="1"/>
  <c r="G2335" i="22"/>
  <c r="H2334" i="22"/>
  <c r="I2334" i="22" s="1"/>
  <c r="G2334" i="22"/>
  <c r="H2333" i="22"/>
  <c r="I2333" i="22" s="1"/>
  <c r="G2333" i="22"/>
  <c r="H2332" i="22"/>
  <c r="I2332" i="22" s="1"/>
  <c r="G2332" i="22"/>
  <c r="H2331" i="22"/>
  <c r="I2331" i="22" s="1"/>
  <c r="G2331" i="22"/>
  <c r="H2330" i="22"/>
  <c r="I2330" i="22" s="1"/>
  <c r="G2330" i="22"/>
  <c r="H2329" i="22"/>
  <c r="I2329" i="22" s="1"/>
  <c r="G2329" i="22"/>
  <c r="H2328" i="22"/>
  <c r="I2328" i="22" s="1"/>
  <c r="G2328" i="22"/>
  <c r="H2327" i="22"/>
  <c r="I2327" i="22" s="1"/>
  <c r="G2327" i="22"/>
  <c r="H2326" i="22"/>
  <c r="I2326" i="22" s="1"/>
  <c r="G2326" i="22"/>
  <c r="H2325" i="22"/>
  <c r="I2325" i="22" s="1"/>
  <c r="G2325" i="22"/>
  <c r="H2324" i="22"/>
  <c r="I2324" i="22" s="1"/>
  <c r="G2324" i="22"/>
  <c r="H2323" i="22"/>
  <c r="I2323" i="22" s="1"/>
  <c r="G2323" i="22"/>
  <c r="H2322" i="22"/>
  <c r="I2322" i="22" s="1"/>
  <c r="G2322" i="22"/>
  <c r="H2321" i="22"/>
  <c r="I2321" i="22" s="1"/>
  <c r="G2321" i="22"/>
  <c r="H2320" i="22"/>
  <c r="I2320" i="22" s="1"/>
  <c r="G2320" i="22"/>
  <c r="H2319" i="22"/>
  <c r="I2319" i="22" s="1"/>
  <c r="G2319" i="22"/>
  <c r="H2318" i="22"/>
  <c r="I2318" i="22" s="1"/>
  <c r="G2318" i="22"/>
  <c r="H2317" i="22"/>
  <c r="I2317" i="22" s="1"/>
  <c r="G2317" i="22"/>
  <c r="H2316" i="22"/>
  <c r="I2316" i="22" s="1"/>
  <c r="G2316" i="22"/>
  <c r="H2315" i="22"/>
  <c r="I2315" i="22" s="1"/>
  <c r="G2315" i="22"/>
  <c r="H2314" i="22"/>
  <c r="I2314" i="22" s="1"/>
  <c r="G2314" i="22"/>
  <c r="H2313" i="22"/>
  <c r="I2313" i="22" s="1"/>
  <c r="G2313" i="22"/>
  <c r="H2312" i="22"/>
  <c r="I2312" i="22" s="1"/>
  <c r="G2312" i="22"/>
  <c r="H2311" i="22"/>
  <c r="I2311" i="22" s="1"/>
  <c r="G2311" i="22"/>
  <c r="H2310" i="22"/>
  <c r="I2310" i="22" s="1"/>
  <c r="G2310" i="22"/>
  <c r="H2309" i="22"/>
  <c r="I2309" i="22" s="1"/>
  <c r="G2309" i="22"/>
  <c r="H2308" i="22"/>
  <c r="I2308" i="22" s="1"/>
  <c r="G2308" i="22"/>
  <c r="H2307" i="22"/>
  <c r="I2307" i="22" s="1"/>
  <c r="G2307" i="22"/>
  <c r="H2306" i="22"/>
  <c r="I2306" i="22" s="1"/>
  <c r="G2306" i="22"/>
  <c r="H2305" i="22"/>
  <c r="I2305" i="22" s="1"/>
  <c r="G2305" i="22"/>
  <c r="H2304" i="22"/>
  <c r="I2304" i="22" s="1"/>
  <c r="G2304" i="22"/>
  <c r="H2303" i="22"/>
  <c r="I2303" i="22" s="1"/>
  <c r="G2303" i="22"/>
  <c r="H2302" i="22"/>
  <c r="I2302" i="22" s="1"/>
  <c r="G2302" i="22"/>
  <c r="H2301" i="22"/>
  <c r="I2301" i="22" s="1"/>
  <c r="G2301" i="22"/>
  <c r="H2300" i="22"/>
  <c r="I2300" i="22" s="1"/>
  <c r="G2300" i="22"/>
  <c r="H2299" i="22"/>
  <c r="I2299" i="22" s="1"/>
  <c r="G2299" i="22"/>
  <c r="H2298" i="22"/>
  <c r="I2298" i="22" s="1"/>
  <c r="G2298" i="22"/>
  <c r="H2297" i="22"/>
  <c r="I2297" i="22" s="1"/>
  <c r="G2297" i="22"/>
  <c r="H2296" i="22"/>
  <c r="I2296" i="22" s="1"/>
  <c r="G2296" i="22"/>
  <c r="H2295" i="22"/>
  <c r="I2295" i="22" s="1"/>
  <c r="G2295" i="22"/>
  <c r="H2294" i="22"/>
  <c r="I2294" i="22" s="1"/>
  <c r="G2294" i="22"/>
  <c r="H2293" i="22"/>
  <c r="I2293" i="22" s="1"/>
  <c r="G2293" i="22"/>
  <c r="H2292" i="22"/>
  <c r="I2292" i="22" s="1"/>
  <c r="G2292" i="22"/>
  <c r="H2291" i="22"/>
  <c r="I2291" i="22" s="1"/>
  <c r="G2291" i="22"/>
  <c r="H2290" i="22"/>
  <c r="I2290" i="22" s="1"/>
  <c r="G2290" i="22"/>
  <c r="H2289" i="22"/>
  <c r="I2289" i="22" s="1"/>
  <c r="G2289" i="22"/>
  <c r="H2288" i="22"/>
  <c r="I2288" i="22" s="1"/>
  <c r="G2288" i="22"/>
  <c r="H2287" i="22"/>
  <c r="I2287" i="22" s="1"/>
  <c r="G2287" i="22"/>
  <c r="H2286" i="22"/>
  <c r="I2286" i="22" s="1"/>
  <c r="G2286" i="22"/>
  <c r="H2285" i="22"/>
  <c r="I2285" i="22" s="1"/>
  <c r="G2285" i="22"/>
  <c r="H2284" i="22"/>
  <c r="I2284" i="22" s="1"/>
  <c r="G2284" i="22"/>
  <c r="H2283" i="22"/>
  <c r="I2283" i="22" s="1"/>
  <c r="G2283" i="22"/>
  <c r="H2282" i="22"/>
  <c r="I2282" i="22" s="1"/>
  <c r="G2282" i="22"/>
  <c r="H2281" i="22"/>
  <c r="I2281" i="22" s="1"/>
  <c r="G2281" i="22"/>
  <c r="H2280" i="22"/>
  <c r="I2280" i="22" s="1"/>
  <c r="G2280" i="22"/>
  <c r="H2279" i="22"/>
  <c r="I2279" i="22" s="1"/>
  <c r="G2279" i="22"/>
  <c r="H2278" i="22"/>
  <c r="I2278" i="22" s="1"/>
  <c r="G2278" i="22"/>
  <c r="H2277" i="22"/>
  <c r="I2277" i="22" s="1"/>
  <c r="G2277" i="22"/>
  <c r="H2276" i="22"/>
  <c r="I2276" i="22" s="1"/>
  <c r="G2276" i="22"/>
  <c r="H2275" i="22"/>
  <c r="I2275" i="22" s="1"/>
  <c r="G2275" i="22"/>
  <c r="H2274" i="22"/>
  <c r="I2274" i="22" s="1"/>
  <c r="G2274" i="22"/>
  <c r="H2273" i="22"/>
  <c r="I2273" i="22" s="1"/>
  <c r="G2273" i="22"/>
  <c r="H2272" i="22"/>
  <c r="I2272" i="22" s="1"/>
  <c r="G2272" i="22"/>
  <c r="H2271" i="22"/>
  <c r="I2271" i="22" s="1"/>
  <c r="G2271" i="22"/>
  <c r="H2270" i="22"/>
  <c r="I2270" i="22" s="1"/>
  <c r="G2270" i="22"/>
  <c r="H2269" i="22"/>
  <c r="I2269" i="22" s="1"/>
  <c r="G2269" i="22"/>
  <c r="H2268" i="22"/>
  <c r="I2268" i="22" s="1"/>
  <c r="G2268" i="22"/>
  <c r="H2267" i="22"/>
  <c r="I2267" i="22" s="1"/>
  <c r="G2267" i="22"/>
  <c r="H2266" i="22"/>
  <c r="I2266" i="22" s="1"/>
  <c r="G2266" i="22"/>
  <c r="H2265" i="22"/>
  <c r="I2265" i="22" s="1"/>
  <c r="G2265" i="22"/>
  <c r="H2264" i="22"/>
  <c r="I2264" i="22" s="1"/>
  <c r="G2264" i="22"/>
  <c r="H2263" i="22"/>
  <c r="I2263" i="22" s="1"/>
  <c r="G2263" i="22"/>
  <c r="H2262" i="22"/>
  <c r="I2262" i="22" s="1"/>
  <c r="G2262" i="22"/>
  <c r="H2261" i="22"/>
  <c r="I2261" i="22" s="1"/>
  <c r="G2261" i="22"/>
  <c r="H2260" i="22"/>
  <c r="I2260" i="22" s="1"/>
  <c r="G2260" i="22"/>
  <c r="H2259" i="22"/>
  <c r="I2259" i="22" s="1"/>
  <c r="G2259" i="22"/>
  <c r="H2258" i="22"/>
  <c r="I2258" i="22" s="1"/>
  <c r="G2258" i="22"/>
  <c r="H2257" i="22"/>
  <c r="I2257" i="22" s="1"/>
  <c r="G2257" i="22"/>
  <c r="H2256" i="22"/>
  <c r="I2256" i="22" s="1"/>
  <c r="G2256" i="22"/>
  <c r="H2255" i="22"/>
  <c r="I2255" i="22" s="1"/>
  <c r="G2255" i="22"/>
  <c r="H2254" i="22"/>
  <c r="I2254" i="22" s="1"/>
  <c r="G2254" i="22"/>
  <c r="H2253" i="22"/>
  <c r="I2253" i="22" s="1"/>
  <c r="G2253" i="22"/>
  <c r="H2252" i="22"/>
  <c r="I2252" i="22" s="1"/>
  <c r="G2252" i="22"/>
  <c r="H2251" i="22"/>
  <c r="I2251" i="22" s="1"/>
  <c r="G2251" i="22"/>
  <c r="H2250" i="22"/>
  <c r="I2250" i="22" s="1"/>
  <c r="G2250" i="22"/>
  <c r="H2249" i="22"/>
  <c r="I2249" i="22" s="1"/>
  <c r="G2249" i="22"/>
  <c r="H2248" i="22"/>
  <c r="I2248" i="22" s="1"/>
  <c r="G2248" i="22"/>
  <c r="H2247" i="22"/>
  <c r="I2247" i="22" s="1"/>
  <c r="G2247" i="22"/>
  <c r="H2246" i="22"/>
  <c r="I2246" i="22" s="1"/>
  <c r="G2246" i="22"/>
  <c r="H2245" i="22"/>
  <c r="I2245" i="22" s="1"/>
  <c r="G2245" i="22"/>
  <c r="H2244" i="22"/>
  <c r="I2244" i="22" s="1"/>
  <c r="G2244" i="22"/>
  <c r="H2243" i="22"/>
  <c r="I2243" i="22" s="1"/>
  <c r="G2243" i="22"/>
  <c r="H2242" i="22"/>
  <c r="I2242" i="22" s="1"/>
  <c r="G2242" i="22"/>
  <c r="H2241" i="22"/>
  <c r="I2241" i="22" s="1"/>
  <c r="G2241" i="22"/>
  <c r="H2240" i="22"/>
  <c r="I2240" i="22" s="1"/>
  <c r="G2240" i="22"/>
  <c r="H2239" i="22"/>
  <c r="I2239" i="22" s="1"/>
  <c r="G2239" i="22"/>
  <c r="H2238" i="22"/>
  <c r="I2238" i="22" s="1"/>
  <c r="G2238" i="22"/>
  <c r="H2237" i="22"/>
  <c r="I2237" i="22" s="1"/>
  <c r="G2237" i="22"/>
  <c r="H2236" i="22"/>
  <c r="I2236" i="22" s="1"/>
  <c r="G2236" i="22"/>
  <c r="H2235" i="22"/>
  <c r="I2235" i="22" s="1"/>
  <c r="G2235" i="22"/>
  <c r="H2234" i="22"/>
  <c r="I2234" i="22" s="1"/>
  <c r="G2234" i="22"/>
  <c r="H2233" i="22"/>
  <c r="I2233" i="22" s="1"/>
  <c r="G2233" i="22"/>
  <c r="H2232" i="22"/>
  <c r="I2232" i="22" s="1"/>
  <c r="G2232" i="22"/>
  <c r="H2231" i="22"/>
  <c r="I2231" i="22" s="1"/>
  <c r="G2231" i="22"/>
  <c r="H2230" i="22"/>
  <c r="I2230" i="22" s="1"/>
  <c r="G2230" i="22"/>
  <c r="H2229" i="22"/>
  <c r="I2229" i="22" s="1"/>
  <c r="G2229" i="22"/>
  <c r="H2228" i="22"/>
  <c r="I2228" i="22" s="1"/>
  <c r="G2228" i="22"/>
  <c r="H2227" i="22"/>
  <c r="I2227" i="22" s="1"/>
  <c r="G2227" i="22"/>
  <c r="H2226" i="22"/>
  <c r="I2226" i="22" s="1"/>
  <c r="G2226" i="22"/>
  <c r="H2225" i="22"/>
  <c r="I2225" i="22" s="1"/>
  <c r="G2225" i="22"/>
  <c r="H2224" i="22"/>
  <c r="I2224" i="22" s="1"/>
  <c r="G2224" i="22"/>
  <c r="H2223" i="22"/>
  <c r="I2223" i="22" s="1"/>
  <c r="G2223" i="22"/>
  <c r="H2222" i="22"/>
  <c r="I2222" i="22" s="1"/>
  <c r="G2222" i="22"/>
  <c r="H2221" i="22"/>
  <c r="I2221" i="22" s="1"/>
  <c r="G2221" i="22"/>
  <c r="H2220" i="22"/>
  <c r="I2220" i="22" s="1"/>
  <c r="G2220" i="22"/>
  <c r="H2219" i="22"/>
  <c r="I2219" i="22" s="1"/>
  <c r="G2219" i="22"/>
  <c r="H2218" i="22"/>
  <c r="I2218" i="22" s="1"/>
  <c r="G2218" i="22"/>
  <c r="H2217" i="22"/>
  <c r="I2217" i="22" s="1"/>
  <c r="G2217" i="22"/>
  <c r="H2216" i="22"/>
  <c r="I2216" i="22" s="1"/>
  <c r="G2216" i="22"/>
  <c r="H2215" i="22"/>
  <c r="I2215" i="22" s="1"/>
  <c r="G2215" i="22"/>
  <c r="H2214" i="22"/>
  <c r="I2214" i="22" s="1"/>
  <c r="G2214" i="22"/>
  <c r="H2213" i="22"/>
  <c r="I2213" i="22" s="1"/>
  <c r="G2213" i="22"/>
  <c r="H2212" i="22"/>
  <c r="I2212" i="22" s="1"/>
  <c r="G2212" i="22"/>
  <c r="H2211" i="22"/>
  <c r="I2211" i="22" s="1"/>
  <c r="G2211" i="22"/>
  <c r="H2210" i="22"/>
  <c r="I2210" i="22" s="1"/>
  <c r="G2210" i="22"/>
  <c r="H2209" i="22"/>
  <c r="I2209" i="22" s="1"/>
  <c r="G2209" i="22"/>
  <c r="H2208" i="22"/>
  <c r="I2208" i="22" s="1"/>
  <c r="G2208" i="22"/>
  <c r="H2207" i="22"/>
  <c r="I2207" i="22" s="1"/>
  <c r="G2207" i="22"/>
  <c r="H2206" i="22"/>
  <c r="I2206" i="22" s="1"/>
  <c r="G2206" i="22"/>
  <c r="H2205" i="22"/>
  <c r="I2205" i="22" s="1"/>
  <c r="G2205" i="22"/>
  <c r="H2204" i="22"/>
  <c r="I2204" i="22" s="1"/>
  <c r="G2204" i="22"/>
  <c r="H2203" i="22"/>
  <c r="I2203" i="22" s="1"/>
  <c r="G2203" i="22"/>
  <c r="H2202" i="22"/>
  <c r="I2202" i="22" s="1"/>
  <c r="G2202" i="22"/>
  <c r="H2201" i="22"/>
  <c r="I2201" i="22" s="1"/>
  <c r="G2201" i="22"/>
  <c r="H2200" i="22"/>
  <c r="I2200" i="22" s="1"/>
  <c r="G2200" i="22"/>
  <c r="H2199" i="22"/>
  <c r="I2199" i="22" s="1"/>
  <c r="G2199" i="22"/>
  <c r="H2198" i="22"/>
  <c r="I2198" i="22" s="1"/>
  <c r="G2198" i="22"/>
  <c r="H2197" i="22"/>
  <c r="I2197" i="22" s="1"/>
  <c r="G2197" i="22"/>
  <c r="H2196" i="22"/>
  <c r="I2196" i="22" s="1"/>
  <c r="G2196" i="22"/>
  <c r="H2195" i="22"/>
  <c r="I2195" i="22" s="1"/>
  <c r="G2195" i="22"/>
  <c r="H2194" i="22"/>
  <c r="I2194" i="22" s="1"/>
  <c r="G2194" i="22"/>
  <c r="H2193" i="22"/>
  <c r="I2193" i="22" s="1"/>
  <c r="G2193" i="22"/>
  <c r="H2192" i="22"/>
  <c r="I2192" i="22" s="1"/>
  <c r="G2192" i="22"/>
  <c r="H2191" i="22"/>
  <c r="I2191" i="22" s="1"/>
  <c r="G2191" i="22"/>
  <c r="H2190" i="22"/>
  <c r="I2190" i="22" s="1"/>
  <c r="G2190" i="22"/>
  <c r="H2189" i="22"/>
  <c r="I2189" i="22" s="1"/>
  <c r="G2189" i="22"/>
  <c r="H2188" i="22"/>
  <c r="I2188" i="22" s="1"/>
  <c r="G2188" i="22"/>
  <c r="H2187" i="22"/>
  <c r="I2187" i="22" s="1"/>
  <c r="G2187" i="22"/>
  <c r="H2186" i="22"/>
  <c r="I2186" i="22" s="1"/>
  <c r="G2186" i="22"/>
  <c r="H2185" i="22"/>
  <c r="I2185" i="22" s="1"/>
  <c r="G2185" i="22"/>
  <c r="H2184" i="22"/>
  <c r="I2184" i="22" s="1"/>
  <c r="G2184" i="22"/>
  <c r="H2183" i="22"/>
  <c r="I2183" i="22" s="1"/>
  <c r="G2183" i="22"/>
  <c r="H2182" i="22"/>
  <c r="I2182" i="22" s="1"/>
  <c r="G2182" i="22"/>
  <c r="H2181" i="22"/>
  <c r="I2181" i="22" s="1"/>
  <c r="G2181" i="22"/>
  <c r="H2180" i="22"/>
  <c r="I2180" i="22" s="1"/>
  <c r="G2180" i="22"/>
  <c r="H2179" i="22"/>
  <c r="I2179" i="22" s="1"/>
  <c r="G2179" i="22"/>
  <c r="H2178" i="22"/>
  <c r="I2178" i="22" s="1"/>
  <c r="G2178" i="22"/>
  <c r="H2177" i="22"/>
  <c r="I2177" i="22" s="1"/>
  <c r="G2177" i="22"/>
  <c r="H2176" i="22"/>
  <c r="I2176" i="22" s="1"/>
  <c r="G2176" i="22"/>
  <c r="H2175" i="22"/>
  <c r="I2175" i="22" s="1"/>
  <c r="G2175" i="22"/>
  <c r="H2174" i="22"/>
  <c r="I2174" i="22" s="1"/>
  <c r="G2174" i="22"/>
  <c r="H2173" i="22"/>
  <c r="I2173" i="22" s="1"/>
  <c r="G2173" i="22"/>
  <c r="H2172" i="22"/>
  <c r="I2172" i="22" s="1"/>
  <c r="G2172" i="22"/>
  <c r="H2171" i="22"/>
  <c r="I2171" i="22" s="1"/>
  <c r="G2171" i="22"/>
  <c r="H2170" i="22"/>
  <c r="I2170" i="22" s="1"/>
  <c r="G2170" i="22"/>
  <c r="H2169" i="22"/>
  <c r="I2169" i="22" s="1"/>
  <c r="G2169" i="22"/>
  <c r="H2168" i="22"/>
  <c r="I2168" i="22" s="1"/>
  <c r="G2168" i="22"/>
  <c r="H2167" i="22"/>
  <c r="I2167" i="22" s="1"/>
  <c r="G2167" i="22"/>
  <c r="H2166" i="22"/>
  <c r="I2166" i="22" s="1"/>
  <c r="G2166" i="22"/>
  <c r="H2165" i="22"/>
  <c r="I2165" i="22" s="1"/>
  <c r="G2165" i="22"/>
  <c r="H2164" i="22"/>
  <c r="I2164" i="22" s="1"/>
  <c r="G2164" i="22"/>
  <c r="H2163" i="22"/>
  <c r="I2163" i="22" s="1"/>
  <c r="G2163" i="22"/>
  <c r="H2162" i="22"/>
  <c r="I2162" i="22" s="1"/>
  <c r="G2162" i="22"/>
  <c r="H2161" i="22"/>
  <c r="I2161" i="22" s="1"/>
  <c r="G2161" i="22"/>
  <c r="H2160" i="22"/>
  <c r="I2160" i="22" s="1"/>
  <c r="G2160" i="22"/>
  <c r="H2159" i="22"/>
  <c r="I2159" i="22" s="1"/>
  <c r="G2159" i="22"/>
  <c r="H2158" i="22"/>
  <c r="I2158" i="22" s="1"/>
  <c r="G2158" i="22"/>
  <c r="H2157" i="22"/>
  <c r="I2157" i="22" s="1"/>
  <c r="G2157" i="22"/>
  <c r="H2156" i="22"/>
  <c r="I2156" i="22" s="1"/>
  <c r="G2156" i="22"/>
  <c r="H2155" i="22"/>
  <c r="I2155" i="22" s="1"/>
  <c r="G2155" i="22"/>
  <c r="H2154" i="22"/>
  <c r="I2154" i="22" s="1"/>
  <c r="G2154" i="22"/>
  <c r="H2153" i="22"/>
  <c r="I2153" i="22" s="1"/>
  <c r="G2153" i="22"/>
  <c r="H2152" i="22"/>
  <c r="I2152" i="22" s="1"/>
  <c r="G2152" i="22"/>
  <c r="H2151" i="22"/>
  <c r="I2151" i="22" s="1"/>
  <c r="G2151" i="22"/>
  <c r="H2150" i="22"/>
  <c r="I2150" i="22" s="1"/>
  <c r="G2150" i="22"/>
  <c r="H2149" i="22"/>
  <c r="I2149" i="22" s="1"/>
  <c r="G2149" i="22"/>
  <c r="H2148" i="22"/>
  <c r="I2148" i="22" s="1"/>
  <c r="G2148" i="22"/>
  <c r="H2147" i="22"/>
  <c r="I2147" i="22" s="1"/>
  <c r="G2147" i="22"/>
  <c r="H2146" i="22"/>
  <c r="I2146" i="22" s="1"/>
  <c r="G2146" i="22"/>
  <c r="H2145" i="22"/>
  <c r="I2145" i="22" s="1"/>
  <c r="G2145" i="22"/>
  <c r="H2144" i="22"/>
  <c r="I2144" i="22" s="1"/>
  <c r="G2144" i="22"/>
  <c r="H2143" i="22"/>
  <c r="I2143" i="22" s="1"/>
  <c r="G2143" i="22"/>
  <c r="H2142" i="22"/>
  <c r="I2142" i="22" s="1"/>
  <c r="G2142" i="22"/>
  <c r="H2141" i="22"/>
  <c r="I2141" i="22" s="1"/>
  <c r="G2141" i="22"/>
  <c r="H2140" i="22"/>
  <c r="I2140" i="22" s="1"/>
  <c r="G2140" i="22"/>
  <c r="H2139" i="22"/>
  <c r="I2139" i="22" s="1"/>
  <c r="G2139" i="22"/>
  <c r="H2138" i="22"/>
  <c r="I2138" i="22" s="1"/>
  <c r="G2138" i="22"/>
  <c r="H2137" i="22"/>
  <c r="I2137" i="22" s="1"/>
  <c r="G2137" i="22"/>
  <c r="H2136" i="22"/>
  <c r="I2136" i="22" s="1"/>
  <c r="G2136" i="22"/>
  <c r="H2135" i="22"/>
  <c r="I2135" i="22" s="1"/>
  <c r="G2135" i="22"/>
  <c r="H2134" i="22"/>
  <c r="I2134" i="22" s="1"/>
  <c r="G2134" i="22"/>
  <c r="H2133" i="22"/>
  <c r="I2133" i="22" s="1"/>
  <c r="G2133" i="22"/>
  <c r="H2132" i="22"/>
  <c r="I2132" i="22" s="1"/>
  <c r="G2132" i="22"/>
  <c r="H2131" i="22"/>
  <c r="I2131" i="22" s="1"/>
  <c r="G2131" i="22"/>
  <c r="H2130" i="22"/>
  <c r="I2130" i="22" s="1"/>
  <c r="G2130" i="22"/>
  <c r="H2129" i="22"/>
  <c r="I2129" i="22" s="1"/>
  <c r="G2129" i="22"/>
  <c r="H2128" i="22"/>
  <c r="I2128" i="22" s="1"/>
  <c r="G2128" i="22"/>
  <c r="H2127" i="22"/>
  <c r="I2127" i="22" s="1"/>
  <c r="G2127" i="22"/>
  <c r="H2126" i="22"/>
  <c r="I2126" i="22" s="1"/>
  <c r="G2126" i="22"/>
  <c r="H2125" i="22"/>
  <c r="I2125" i="22" s="1"/>
  <c r="G2125" i="22"/>
  <c r="H2124" i="22"/>
  <c r="I2124" i="22" s="1"/>
  <c r="G2124" i="22"/>
  <c r="H2123" i="22"/>
  <c r="I2123" i="22" s="1"/>
  <c r="G2123" i="22"/>
  <c r="H2122" i="22"/>
  <c r="I2122" i="22" s="1"/>
  <c r="G2122" i="22"/>
  <c r="H2121" i="22"/>
  <c r="I2121" i="22" s="1"/>
  <c r="G2121" i="22"/>
  <c r="H2120" i="22"/>
  <c r="I2120" i="22" s="1"/>
  <c r="G2120" i="22"/>
  <c r="H2119" i="22"/>
  <c r="I2119" i="22" s="1"/>
  <c r="G2119" i="22"/>
  <c r="H2118" i="22"/>
  <c r="I2118" i="22" s="1"/>
  <c r="G2118" i="22"/>
  <c r="H2117" i="22"/>
  <c r="I2117" i="22" s="1"/>
  <c r="G2117" i="22"/>
  <c r="H2116" i="22"/>
  <c r="I2116" i="22" s="1"/>
  <c r="G2116" i="22"/>
  <c r="H2115" i="22"/>
  <c r="I2115" i="22" s="1"/>
  <c r="G2115" i="22"/>
  <c r="H2114" i="22"/>
  <c r="I2114" i="22" s="1"/>
  <c r="G2114" i="22"/>
  <c r="H2113" i="22"/>
  <c r="I2113" i="22" s="1"/>
  <c r="G2113" i="22"/>
  <c r="H2112" i="22"/>
  <c r="I2112" i="22" s="1"/>
  <c r="G2112" i="22"/>
  <c r="H2111" i="22"/>
  <c r="I2111" i="22" s="1"/>
  <c r="G2111" i="22"/>
  <c r="H2110" i="22"/>
  <c r="I2110" i="22" s="1"/>
  <c r="G2110" i="22"/>
  <c r="H2109" i="22"/>
  <c r="I2109" i="22" s="1"/>
  <c r="G2109" i="22"/>
  <c r="H2108" i="22"/>
  <c r="I2108" i="22" s="1"/>
  <c r="G2108" i="22"/>
  <c r="H2107" i="22"/>
  <c r="I2107" i="22" s="1"/>
  <c r="G2107" i="22"/>
  <c r="H2106" i="22"/>
  <c r="I2106" i="22" s="1"/>
  <c r="G2106" i="22"/>
  <c r="H2105" i="22"/>
  <c r="I2105" i="22" s="1"/>
  <c r="G2105" i="22"/>
  <c r="H2104" i="22"/>
  <c r="I2104" i="22" s="1"/>
  <c r="G2104" i="22"/>
  <c r="H2103" i="22"/>
  <c r="I2103" i="22" s="1"/>
  <c r="G2103" i="22"/>
  <c r="H2102" i="22"/>
  <c r="I2102" i="22" s="1"/>
  <c r="G2102" i="22"/>
  <c r="H2101" i="22"/>
  <c r="I2101" i="22" s="1"/>
  <c r="G2101" i="22"/>
  <c r="H2100" i="22"/>
  <c r="I2100" i="22" s="1"/>
  <c r="G2100" i="22"/>
  <c r="H2099" i="22"/>
  <c r="I2099" i="22" s="1"/>
  <c r="G2099" i="22"/>
  <c r="H2098" i="22"/>
  <c r="I2098" i="22" s="1"/>
  <c r="G2098" i="22"/>
  <c r="H2097" i="22"/>
  <c r="I2097" i="22" s="1"/>
  <c r="G2097" i="22"/>
  <c r="H2096" i="22"/>
  <c r="I2096" i="22" s="1"/>
  <c r="G2096" i="22"/>
  <c r="H2095" i="22"/>
  <c r="I2095" i="22" s="1"/>
  <c r="G2095" i="22"/>
  <c r="H2094" i="22"/>
  <c r="I2094" i="22" s="1"/>
  <c r="G2094" i="22"/>
  <c r="H2093" i="22"/>
  <c r="I2093" i="22" s="1"/>
  <c r="G2093" i="22"/>
  <c r="H2092" i="22"/>
  <c r="I2092" i="22" s="1"/>
  <c r="G2092" i="22"/>
  <c r="H2091" i="22"/>
  <c r="I2091" i="22" s="1"/>
  <c r="G2091" i="22"/>
  <c r="H2090" i="22"/>
  <c r="I2090" i="22" s="1"/>
  <c r="G2090" i="22"/>
  <c r="H2089" i="22"/>
  <c r="I2089" i="22" s="1"/>
  <c r="G2089" i="22"/>
  <c r="H2088" i="22"/>
  <c r="I2088" i="22" s="1"/>
  <c r="G2088" i="22"/>
  <c r="H2087" i="22"/>
  <c r="I2087" i="22" s="1"/>
  <c r="G2087" i="22"/>
  <c r="H2086" i="22"/>
  <c r="I2086" i="22" s="1"/>
  <c r="G2086" i="22"/>
  <c r="H2085" i="22"/>
  <c r="I2085" i="22" s="1"/>
  <c r="G2085" i="22"/>
  <c r="H2084" i="22"/>
  <c r="I2084" i="22" s="1"/>
  <c r="G2084" i="22"/>
  <c r="H2083" i="22"/>
  <c r="I2083" i="22" s="1"/>
  <c r="G2083" i="22"/>
  <c r="H2082" i="22"/>
  <c r="I2082" i="22" s="1"/>
  <c r="G2082" i="22"/>
  <c r="H2081" i="22"/>
  <c r="I2081" i="22" s="1"/>
  <c r="G2081" i="22"/>
  <c r="H2080" i="22"/>
  <c r="I2080" i="22" s="1"/>
  <c r="G2080" i="22"/>
  <c r="H2079" i="22"/>
  <c r="I2079" i="22" s="1"/>
  <c r="G2079" i="22"/>
  <c r="H2078" i="22"/>
  <c r="I2078" i="22" s="1"/>
  <c r="G2078" i="22"/>
  <c r="H2077" i="22"/>
  <c r="I2077" i="22" s="1"/>
  <c r="G2077" i="22"/>
  <c r="H2076" i="22"/>
  <c r="I2076" i="22" s="1"/>
  <c r="G2076" i="22"/>
  <c r="H2075" i="22"/>
  <c r="I2075" i="22" s="1"/>
  <c r="G2075" i="22"/>
  <c r="H2074" i="22"/>
  <c r="I2074" i="22" s="1"/>
  <c r="G2074" i="22"/>
  <c r="H2073" i="22"/>
  <c r="I2073" i="22" s="1"/>
  <c r="G2073" i="22"/>
  <c r="H2072" i="22"/>
  <c r="I2072" i="22" s="1"/>
  <c r="G2072" i="22"/>
  <c r="H2071" i="22"/>
  <c r="I2071" i="22" s="1"/>
  <c r="G2071" i="22"/>
  <c r="H2070" i="22"/>
  <c r="I2070" i="22" s="1"/>
  <c r="G2070" i="22"/>
  <c r="H2069" i="22"/>
  <c r="I2069" i="22" s="1"/>
  <c r="G2069" i="22"/>
  <c r="H2068" i="22"/>
  <c r="I2068" i="22" s="1"/>
  <c r="G2068" i="22"/>
  <c r="H2067" i="22"/>
  <c r="I2067" i="22" s="1"/>
  <c r="G2067" i="22"/>
  <c r="H2066" i="22"/>
  <c r="I2066" i="22" s="1"/>
  <c r="G2066" i="22"/>
  <c r="H2065" i="22"/>
  <c r="I2065" i="22" s="1"/>
  <c r="G2065" i="22"/>
  <c r="H2064" i="22"/>
  <c r="I2064" i="22" s="1"/>
  <c r="G2064" i="22"/>
  <c r="H2063" i="22"/>
  <c r="I2063" i="22" s="1"/>
  <c r="G2063" i="22"/>
  <c r="H2062" i="22"/>
  <c r="I2062" i="22" s="1"/>
  <c r="G2062" i="22"/>
  <c r="H2061" i="22"/>
  <c r="I2061" i="22" s="1"/>
  <c r="G2061" i="22"/>
  <c r="H2060" i="22"/>
  <c r="I2060" i="22" s="1"/>
  <c r="G2060" i="22"/>
  <c r="H2059" i="22"/>
  <c r="I2059" i="22" s="1"/>
  <c r="G2059" i="22"/>
  <c r="H2058" i="22"/>
  <c r="I2058" i="22" s="1"/>
  <c r="G2058" i="22"/>
  <c r="H2057" i="22"/>
  <c r="I2057" i="22" s="1"/>
  <c r="G2057" i="22"/>
  <c r="H2056" i="22"/>
  <c r="I2056" i="22" s="1"/>
  <c r="G2056" i="22"/>
  <c r="H2055" i="22"/>
  <c r="I2055" i="22" s="1"/>
  <c r="G2055" i="22"/>
  <c r="H2054" i="22"/>
  <c r="I2054" i="22" s="1"/>
  <c r="G2054" i="22"/>
  <c r="H2053" i="22"/>
  <c r="I2053" i="22" s="1"/>
  <c r="G2053" i="22"/>
  <c r="H2052" i="22"/>
  <c r="I2052" i="22" s="1"/>
  <c r="G2052" i="22"/>
  <c r="H2051" i="22"/>
  <c r="I2051" i="22" s="1"/>
  <c r="G2051" i="22"/>
  <c r="H2050" i="22"/>
  <c r="I2050" i="22" s="1"/>
  <c r="G2050" i="22"/>
  <c r="H2049" i="22"/>
  <c r="I2049" i="22" s="1"/>
  <c r="G2049" i="22"/>
  <c r="H2048" i="22"/>
  <c r="I2048" i="22" s="1"/>
  <c r="G2048" i="22"/>
  <c r="H2047" i="22"/>
  <c r="I2047" i="22" s="1"/>
  <c r="G2047" i="22"/>
  <c r="H2046" i="22"/>
  <c r="I2046" i="22" s="1"/>
  <c r="G2046" i="22"/>
  <c r="H2045" i="22"/>
  <c r="I2045" i="22" s="1"/>
  <c r="G2045" i="22"/>
  <c r="H2044" i="22"/>
  <c r="I2044" i="22" s="1"/>
  <c r="G2044" i="22"/>
  <c r="H2043" i="22"/>
  <c r="I2043" i="22" s="1"/>
  <c r="G2043" i="22"/>
  <c r="H2042" i="22"/>
  <c r="I2042" i="22" s="1"/>
  <c r="G2042" i="22"/>
  <c r="H2041" i="22"/>
  <c r="I2041" i="22" s="1"/>
  <c r="G2041" i="22"/>
  <c r="H2040" i="22"/>
  <c r="I2040" i="22" s="1"/>
  <c r="G2040" i="22"/>
  <c r="H2039" i="22"/>
  <c r="I2039" i="22" s="1"/>
  <c r="G2039" i="22"/>
  <c r="H2038" i="22"/>
  <c r="I2038" i="22" s="1"/>
  <c r="G2038" i="22"/>
  <c r="H2037" i="22"/>
  <c r="I2037" i="22" s="1"/>
  <c r="G2037" i="22"/>
  <c r="H2036" i="22"/>
  <c r="I2036" i="22" s="1"/>
  <c r="G2036" i="22"/>
  <c r="H2035" i="22"/>
  <c r="I2035" i="22" s="1"/>
  <c r="G2035" i="22"/>
  <c r="H2034" i="22"/>
  <c r="I2034" i="22" s="1"/>
  <c r="G2034" i="22"/>
  <c r="H2033" i="22"/>
  <c r="I2033" i="22" s="1"/>
  <c r="G2033" i="22"/>
  <c r="H2032" i="22"/>
  <c r="I2032" i="22" s="1"/>
  <c r="G2032" i="22"/>
  <c r="H2031" i="22"/>
  <c r="I2031" i="22" s="1"/>
  <c r="G2031" i="22"/>
  <c r="H2030" i="22"/>
  <c r="I2030" i="22" s="1"/>
  <c r="G2030" i="22"/>
  <c r="H2029" i="22"/>
  <c r="I2029" i="22" s="1"/>
  <c r="G2029" i="22"/>
  <c r="H2028" i="22"/>
  <c r="I2028" i="22" s="1"/>
  <c r="G2028" i="22"/>
  <c r="H2027" i="22"/>
  <c r="I2027" i="22" s="1"/>
  <c r="G2027" i="22"/>
  <c r="H2026" i="22"/>
  <c r="I2026" i="22" s="1"/>
  <c r="G2026" i="22"/>
  <c r="H2025" i="22"/>
  <c r="I2025" i="22" s="1"/>
  <c r="G2025" i="22"/>
  <c r="H2024" i="22"/>
  <c r="I2024" i="22" s="1"/>
  <c r="G2024" i="22"/>
  <c r="H2023" i="22"/>
  <c r="I2023" i="22" s="1"/>
  <c r="G2023" i="22"/>
  <c r="H2022" i="22"/>
  <c r="I2022" i="22" s="1"/>
  <c r="G2022" i="22"/>
  <c r="H2021" i="22"/>
  <c r="I2021" i="22" s="1"/>
  <c r="G2021" i="22"/>
  <c r="H2020" i="22"/>
  <c r="I2020" i="22" s="1"/>
  <c r="G2020" i="22"/>
  <c r="H2019" i="22"/>
  <c r="I2019" i="22" s="1"/>
  <c r="G2019" i="22"/>
  <c r="H2018" i="22"/>
  <c r="I2018" i="22" s="1"/>
  <c r="G2018" i="22"/>
  <c r="H2017" i="22"/>
  <c r="I2017" i="22" s="1"/>
  <c r="G2017" i="22"/>
  <c r="H2016" i="22"/>
  <c r="I2016" i="22" s="1"/>
  <c r="G2016" i="22"/>
  <c r="H2015" i="22"/>
  <c r="I2015" i="22" s="1"/>
  <c r="G2015" i="22"/>
  <c r="H2014" i="22"/>
  <c r="I2014" i="22" s="1"/>
  <c r="G2014" i="22"/>
  <c r="H2013" i="22"/>
  <c r="I2013" i="22" s="1"/>
  <c r="G2013" i="22"/>
  <c r="H2012" i="22"/>
  <c r="I2012" i="22" s="1"/>
  <c r="G2012" i="22"/>
  <c r="H2011" i="22"/>
  <c r="I2011" i="22" s="1"/>
  <c r="G2011" i="22"/>
  <c r="H2010" i="22"/>
  <c r="I2010" i="22" s="1"/>
  <c r="G2010" i="22"/>
  <c r="H2009" i="22"/>
  <c r="I2009" i="22" s="1"/>
  <c r="G2009" i="22"/>
  <c r="H2008" i="22"/>
  <c r="I2008" i="22" s="1"/>
  <c r="G2008" i="22"/>
  <c r="H2007" i="22"/>
  <c r="I2007" i="22" s="1"/>
  <c r="G2007" i="22"/>
  <c r="H2006" i="22"/>
  <c r="I2006" i="22" s="1"/>
  <c r="G2006" i="22"/>
  <c r="H2005" i="22"/>
  <c r="I2005" i="22" s="1"/>
  <c r="G2005" i="22"/>
  <c r="H2004" i="22"/>
  <c r="I2004" i="22" s="1"/>
  <c r="G2004" i="22"/>
  <c r="H2003" i="22"/>
  <c r="I2003" i="22" s="1"/>
  <c r="G2003" i="22"/>
  <c r="H2002" i="22"/>
  <c r="I2002" i="22" s="1"/>
  <c r="G2002" i="22"/>
  <c r="H2001" i="22"/>
  <c r="I2001" i="22" s="1"/>
  <c r="G2001" i="22"/>
  <c r="H2000" i="22"/>
  <c r="I2000" i="22" s="1"/>
  <c r="G2000" i="22"/>
  <c r="H1999" i="22"/>
  <c r="I1999" i="22" s="1"/>
  <c r="G1999" i="22"/>
  <c r="H1998" i="22"/>
  <c r="I1998" i="22" s="1"/>
  <c r="G1998" i="22"/>
  <c r="H1997" i="22"/>
  <c r="I1997" i="22" s="1"/>
  <c r="G1997" i="22"/>
  <c r="H1996" i="22"/>
  <c r="I1996" i="22" s="1"/>
  <c r="G1996" i="22"/>
  <c r="H1995" i="22"/>
  <c r="I1995" i="22" s="1"/>
  <c r="G1995" i="22"/>
  <c r="H1994" i="22"/>
  <c r="I1994" i="22" s="1"/>
  <c r="G1994" i="22"/>
  <c r="H1993" i="22"/>
  <c r="I1993" i="22" s="1"/>
  <c r="G1993" i="22"/>
  <c r="H1992" i="22"/>
  <c r="I1992" i="22" s="1"/>
  <c r="G1992" i="22"/>
  <c r="H1991" i="22"/>
  <c r="I1991" i="22" s="1"/>
  <c r="G1991" i="22"/>
  <c r="H1990" i="22"/>
  <c r="I1990" i="22" s="1"/>
  <c r="G1990" i="22"/>
  <c r="H1989" i="22"/>
  <c r="I1989" i="22" s="1"/>
  <c r="G1989" i="22"/>
  <c r="H1988" i="22"/>
  <c r="I1988" i="22" s="1"/>
  <c r="G1988" i="22"/>
  <c r="H1987" i="22"/>
  <c r="I1987" i="22" s="1"/>
  <c r="G1987" i="22"/>
  <c r="H1986" i="22"/>
  <c r="I1986" i="22" s="1"/>
  <c r="G1986" i="22"/>
  <c r="H1985" i="22"/>
  <c r="I1985" i="22" s="1"/>
  <c r="G1985" i="22"/>
  <c r="H1984" i="22"/>
  <c r="I1984" i="22" s="1"/>
  <c r="G1984" i="22"/>
  <c r="H1983" i="22"/>
  <c r="I1983" i="22" s="1"/>
  <c r="G1983" i="22"/>
  <c r="H1982" i="22"/>
  <c r="I1982" i="22" s="1"/>
  <c r="G1982" i="22"/>
  <c r="H1981" i="22"/>
  <c r="I1981" i="22" s="1"/>
  <c r="G1981" i="22"/>
  <c r="H1980" i="22"/>
  <c r="I1980" i="22" s="1"/>
  <c r="G1980" i="22"/>
  <c r="H1979" i="22"/>
  <c r="I1979" i="22" s="1"/>
  <c r="G1979" i="22"/>
  <c r="H1978" i="22"/>
  <c r="I1978" i="22" s="1"/>
  <c r="G1978" i="22"/>
  <c r="H1977" i="22"/>
  <c r="I1977" i="22" s="1"/>
  <c r="G1977" i="22"/>
  <c r="H1976" i="22"/>
  <c r="I1976" i="22" s="1"/>
  <c r="G1976" i="22"/>
  <c r="H1975" i="22"/>
  <c r="I1975" i="22" s="1"/>
  <c r="G1975" i="22"/>
  <c r="H1974" i="22"/>
  <c r="I1974" i="22" s="1"/>
  <c r="G1974" i="22"/>
  <c r="H1973" i="22"/>
  <c r="I1973" i="22" s="1"/>
  <c r="G1973" i="22"/>
  <c r="H1972" i="22"/>
  <c r="I1972" i="22" s="1"/>
  <c r="G1972" i="22"/>
  <c r="H1971" i="22"/>
  <c r="I1971" i="22" s="1"/>
  <c r="G1971" i="22"/>
  <c r="H1970" i="22"/>
  <c r="I1970" i="22" s="1"/>
  <c r="G1970" i="22"/>
  <c r="H1969" i="22"/>
  <c r="I1969" i="22" s="1"/>
  <c r="G1969" i="22"/>
  <c r="H1968" i="22"/>
  <c r="I1968" i="22" s="1"/>
  <c r="G1968" i="22"/>
  <c r="H1967" i="22"/>
  <c r="I1967" i="22" s="1"/>
  <c r="G1967" i="22"/>
  <c r="H1966" i="22"/>
  <c r="I1966" i="22" s="1"/>
  <c r="G1966" i="22"/>
  <c r="H1965" i="22"/>
  <c r="I1965" i="22" s="1"/>
  <c r="G1965" i="22"/>
  <c r="H1964" i="22"/>
  <c r="I1964" i="22" s="1"/>
  <c r="G1964" i="22"/>
  <c r="H1963" i="22"/>
  <c r="I1963" i="22" s="1"/>
  <c r="G1963" i="22"/>
  <c r="H1962" i="22"/>
  <c r="I1962" i="22" s="1"/>
  <c r="G1962" i="22"/>
  <c r="H1961" i="22"/>
  <c r="I1961" i="22" s="1"/>
  <c r="G1961" i="22"/>
  <c r="H1960" i="22"/>
  <c r="I1960" i="22" s="1"/>
  <c r="G1960" i="22"/>
  <c r="H1959" i="22"/>
  <c r="I1959" i="22" s="1"/>
  <c r="G1959" i="22"/>
  <c r="H1958" i="22"/>
  <c r="I1958" i="22" s="1"/>
  <c r="G1958" i="22"/>
  <c r="H1957" i="22"/>
  <c r="I1957" i="22" s="1"/>
  <c r="G1957" i="22"/>
  <c r="H1956" i="22"/>
  <c r="I1956" i="22" s="1"/>
  <c r="G1956" i="22"/>
  <c r="H1955" i="22"/>
  <c r="I1955" i="22" s="1"/>
  <c r="G1955" i="22"/>
  <c r="H1954" i="22"/>
  <c r="I1954" i="22" s="1"/>
  <c r="G1954" i="22"/>
  <c r="H1953" i="22"/>
  <c r="I1953" i="22" s="1"/>
  <c r="G1953" i="22"/>
  <c r="H1952" i="22"/>
  <c r="I1952" i="22" s="1"/>
  <c r="G1952" i="22"/>
  <c r="H1951" i="22"/>
  <c r="I1951" i="22" s="1"/>
  <c r="G1951" i="22"/>
  <c r="H1950" i="22"/>
  <c r="I1950" i="22" s="1"/>
  <c r="G1950" i="22"/>
  <c r="H1949" i="22"/>
  <c r="I1949" i="22" s="1"/>
  <c r="G1949" i="22"/>
  <c r="H1948" i="22"/>
  <c r="I1948" i="22" s="1"/>
  <c r="G1948" i="22"/>
  <c r="H1947" i="22"/>
  <c r="I1947" i="22" s="1"/>
  <c r="G1947" i="22"/>
  <c r="H1946" i="22"/>
  <c r="I1946" i="22" s="1"/>
  <c r="G1946" i="22"/>
  <c r="H1945" i="22"/>
  <c r="I1945" i="22" s="1"/>
  <c r="G1945" i="22"/>
  <c r="H1944" i="22"/>
  <c r="I1944" i="22" s="1"/>
  <c r="G1944" i="22"/>
  <c r="H1943" i="22"/>
  <c r="I1943" i="22" s="1"/>
  <c r="G1943" i="22"/>
  <c r="H1942" i="22"/>
  <c r="I1942" i="22" s="1"/>
  <c r="G1942" i="22"/>
  <c r="H1941" i="22"/>
  <c r="I1941" i="22" s="1"/>
  <c r="G1941" i="22"/>
  <c r="H1940" i="22"/>
  <c r="I1940" i="22" s="1"/>
  <c r="G1940" i="22"/>
  <c r="H1939" i="22"/>
  <c r="I1939" i="22" s="1"/>
  <c r="G1939" i="22"/>
  <c r="H1938" i="22"/>
  <c r="I1938" i="22" s="1"/>
  <c r="G1938" i="22"/>
  <c r="H1937" i="22"/>
  <c r="I1937" i="22" s="1"/>
  <c r="G1937" i="22"/>
  <c r="H1936" i="22"/>
  <c r="I1936" i="22" s="1"/>
  <c r="G1936" i="22"/>
  <c r="H1935" i="22"/>
  <c r="I1935" i="22" s="1"/>
  <c r="G1935" i="22"/>
  <c r="H1934" i="22"/>
  <c r="I1934" i="22" s="1"/>
  <c r="G1934" i="22"/>
  <c r="H1933" i="22"/>
  <c r="I1933" i="22" s="1"/>
  <c r="G1933" i="22"/>
  <c r="H1932" i="22"/>
  <c r="I1932" i="22" s="1"/>
  <c r="G1932" i="22"/>
  <c r="H1931" i="22"/>
  <c r="I1931" i="22" s="1"/>
  <c r="G1931" i="22"/>
  <c r="H1930" i="22"/>
  <c r="I1930" i="22" s="1"/>
  <c r="G1930" i="22"/>
  <c r="H1929" i="22"/>
  <c r="I1929" i="22" s="1"/>
  <c r="G1929" i="22"/>
  <c r="H1928" i="22"/>
  <c r="I1928" i="22" s="1"/>
  <c r="G1928" i="22"/>
  <c r="H1927" i="22"/>
  <c r="I1927" i="22" s="1"/>
  <c r="G1927" i="22"/>
  <c r="H1926" i="22"/>
  <c r="I1926" i="22" s="1"/>
  <c r="G1926" i="22"/>
  <c r="H1925" i="22"/>
  <c r="I1925" i="22" s="1"/>
  <c r="G1925" i="22"/>
  <c r="H1924" i="22"/>
  <c r="I1924" i="22" s="1"/>
  <c r="G1924" i="22"/>
  <c r="H1923" i="22"/>
  <c r="I1923" i="22" s="1"/>
  <c r="G1923" i="22"/>
  <c r="H1922" i="22"/>
  <c r="I1922" i="22" s="1"/>
  <c r="G1922" i="22"/>
  <c r="H1921" i="22"/>
  <c r="I1921" i="22" s="1"/>
  <c r="G1921" i="22"/>
  <c r="H1920" i="22"/>
  <c r="I1920" i="22" s="1"/>
  <c r="G1920" i="22"/>
  <c r="H1919" i="22"/>
  <c r="I1919" i="22" s="1"/>
  <c r="G1919" i="22"/>
  <c r="H1918" i="22"/>
  <c r="I1918" i="22" s="1"/>
  <c r="G1918" i="22"/>
  <c r="H1917" i="22"/>
  <c r="I1917" i="22" s="1"/>
  <c r="G1917" i="22"/>
  <c r="H1916" i="22"/>
  <c r="I1916" i="22" s="1"/>
  <c r="G1916" i="22"/>
  <c r="H1915" i="22"/>
  <c r="I1915" i="22" s="1"/>
  <c r="G1915" i="22"/>
  <c r="H1914" i="22"/>
  <c r="I1914" i="22" s="1"/>
  <c r="G1914" i="22"/>
  <c r="H1913" i="22"/>
  <c r="I1913" i="22" s="1"/>
  <c r="G1913" i="22"/>
  <c r="H1912" i="22"/>
  <c r="I1912" i="22" s="1"/>
  <c r="G1912" i="22"/>
  <c r="H1911" i="22"/>
  <c r="I1911" i="22" s="1"/>
  <c r="G1911" i="22"/>
  <c r="H1910" i="22"/>
  <c r="I1910" i="22" s="1"/>
  <c r="G1910" i="22"/>
  <c r="H1909" i="22"/>
  <c r="I1909" i="22" s="1"/>
  <c r="G1909" i="22"/>
  <c r="H1908" i="22"/>
  <c r="I1908" i="22" s="1"/>
  <c r="G1908" i="22"/>
  <c r="H1907" i="22"/>
  <c r="I1907" i="22" s="1"/>
  <c r="G1907" i="22"/>
  <c r="H1906" i="22"/>
  <c r="I1906" i="22" s="1"/>
  <c r="G1906" i="22"/>
  <c r="H1905" i="22"/>
  <c r="I1905" i="22" s="1"/>
  <c r="G1905" i="22"/>
  <c r="H1904" i="22"/>
  <c r="I1904" i="22" s="1"/>
  <c r="G1904" i="22"/>
  <c r="H1903" i="22"/>
  <c r="I1903" i="22" s="1"/>
  <c r="G1903" i="22"/>
  <c r="H1902" i="22"/>
  <c r="I1902" i="22" s="1"/>
  <c r="G1902" i="22"/>
  <c r="H1901" i="22"/>
  <c r="I1901" i="22" s="1"/>
  <c r="G1901" i="22"/>
  <c r="H1900" i="22"/>
  <c r="I1900" i="22" s="1"/>
  <c r="G1900" i="22"/>
  <c r="H1899" i="22"/>
  <c r="I1899" i="22" s="1"/>
  <c r="G1899" i="22"/>
  <c r="H1898" i="22"/>
  <c r="I1898" i="22" s="1"/>
  <c r="G1898" i="22"/>
  <c r="H1897" i="22"/>
  <c r="I1897" i="22" s="1"/>
  <c r="G1897" i="22"/>
  <c r="H1896" i="22"/>
  <c r="I1896" i="22" s="1"/>
  <c r="G1896" i="22"/>
  <c r="H1895" i="22"/>
  <c r="I1895" i="22" s="1"/>
  <c r="G1895" i="22"/>
  <c r="H1894" i="22"/>
  <c r="I1894" i="22" s="1"/>
  <c r="G1894" i="22"/>
  <c r="H1893" i="22"/>
  <c r="I1893" i="22" s="1"/>
  <c r="G1893" i="22"/>
  <c r="H1892" i="22"/>
  <c r="I1892" i="22" s="1"/>
  <c r="G1892" i="22"/>
  <c r="H1891" i="22"/>
  <c r="I1891" i="22" s="1"/>
  <c r="G1891" i="22"/>
  <c r="H1890" i="22"/>
  <c r="I1890" i="22" s="1"/>
  <c r="G1890" i="22"/>
  <c r="H1889" i="22"/>
  <c r="I1889" i="22" s="1"/>
  <c r="G1889" i="22"/>
  <c r="H1888" i="22"/>
  <c r="I1888" i="22" s="1"/>
  <c r="G1888" i="22"/>
  <c r="H1887" i="22"/>
  <c r="I1887" i="22" s="1"/>
  <c r="G1887" i="22"/>
  <c r="H1886" i="22"/>
  <c r="I1886" i="22" s="1"/>
  <c r="G1886" i="22"/>
  <c r="H1885" i="22"/>
  <c r="I1885" i="22" s="1"/>
  <c r="G1885" i="22"/>
  <c r="H1884" i="22"/>
  <c r="I1884" i="22" s="1"/>
  <c r="G1884" i="22"/>
  <c r="H1883" i="22"/>
  <c r="I1883" i="22" s="1"/>
  <c r="G1883" i="22"/>
  <c r="H1882" i="22"/>
  <c r="I1882" i="22" s="1"/>
  <c r="G1882" i="22"/>
  <c r="H1881" i="22"/>
  <c r="I1881" i="22" s="1"/>
  <c r="G1881" i="22"/>
  <c r="H1880" i="22"/>
  <c r="I1880" i="22" s="1"/>
  <c r="G1880" i="22"/>
  <c r="H1879" i="22"/>
  <c r="I1879" i="22" s="1"/>
  <c r="G1879" i="22"/>
  <c r="H1878" i="22"/>
  <c r="I1878" i="22" s="1"/>
  <c r="G1878" i="22"/>
  <c r="H1877" i="22"/>
  <c r="I1877" i="22" s="1"/>
  <c r="G1877" i="22"/>
  <c r="H1876" i="22"/>
  <c r="I1876" i="22" s="1"/>
  <c r="G1876" i="22"/>
  <c r="H1875" i="22"/>
  <c r="I1875" i="22" s="1"/>
  <c r="G1875" i="22"/>
  <c r="H1874" i="22"/>
  <c r="I1874" i="22" s="1"/>
  <c r="G1874" i="22"/>
  <c r="H1873" i="22"/>
  <c r="I1873" i="22" s="1"/>
  <c r="G1873" i="22"/>
  <c r="H1872" i="22"/>
  <c r="I1872" i="22" s="1"/>
  <c r="G1872" i="22"/>
  <c r="H1871" i="22"/>
  <c r="I1871" i="22" s="1"/>
  <c r="G1871" i="22"/>
  <c r="H1870" i="22"/>
  <c r="I1870" i="22" s="1"/>
  <c r="G1870" i="22"/>
  <c r="H1869" i="22"/>
  <c r="I1869" i="22" s="1"/>
  <c r="G1869" i="22"/>
  <c r="H1868" i="22"/>
  <c r="I1868" i="22" s="1"/>
  <c r="G1868" i="22"/>
  <c r="H1867" i="22"/>
  <c r="I1867" i="22" s="1"/>
  <c r="G1867" i="22"/>
  <c r="H1866" i="22"/>
  <c r="I1866" i="22" s="1"/>
  <c r="G1866" i="22"/>
  <c r="H1865" i="22"/>
  <c r="I1865" i="22" s="1"/>
  <c r="G1865" i="22"/>
  <c r="H1864" i="22"/>
  <c r="I1864" i="22" s="1"/>
  <c r="G1864" i="22"/>
  <c r="H1863" i="22"/>
  <c r="I1863" i="22" s="1"/>
  <c r="G1863" i="22"/>
  <c r="H1862" i="22"/>
  <c r="I1862" i="22" s="1"/>
  <c r="G1862" i="22"/>
  <c r="H1861" i="22"/>
  <c r="I1861" i="22" s="1"/>
  <c r="G1861" i="22"/>
  <c r="H1860" i="22"/>
  <c r="I1860" i="22" s="1"/>
  <c r="G1860" i="22"/>
  <c r="H1859" i="22"/>
  <c r="I1859" i="22" s="1"/>
  <c r="G1859" i="22"/>
  <c r="H1858" i="22"/>
  <c r="I1858" i="22" s="1"/>
  <c r="G1858" i="22"/>
  <c r="H1857" i="22"/>
  <c r="I1857" i="22" s="1"/>
  <c r="G1857" i="22"/>
  <c r="H1856" i="22"/>
  <c r="I1856" i="22" s="1"/>
  <c r="G1856" i="22"/>
  <c r="H1855" i="22"/>
  <c r="I1855" i="22" s="1"/>
  <c r="G1855" i="22"/>
  <c r="H1854" i="22"/>
  <c r="I1854" i="22" s="1"/>
  <c r="G1854" i="22"/>
  <c r="H1853" i="22"/>
  <c r="I1853" i="22" s="1"/>
  <c r="G1853" i="22"/>
  <c r="H1852" i="22"/>
  <c r="I1852" i="22" s="1"/>
  <c r="G1852" i="22"/>
  <c r="H1851" i="22"/>
  <c r="I1851" i="22" s="1"/>
  <c r="G1851" i="22"/>
  <c r="H1850" i="22"/>
  <c r="I1850" i="22" s="1"/>
  <c r="G1850" i="22"/>
  <c r="H1849" i="22"/>
  <c r="I1849" i="22" s="1"/>
  <c r="G1849" i="22"/>
  <c r="H1848" i="22"/>
  <c r="I1848" i="22" s="1"/>
  <c r="G1848" i="22"/>
  <c r="H1847" i="22"/>
  <c r="I1847" i="22" s="1"/>
  <c r="G1847" i="22"/>
  <c r="H1846" i="22"/>
  <c r="I1846" i="22" s="1"/>
  <c r="G1846" i="22"/>
  <c r="H1845" i="22"/>
  <c r="I1845" i="22" s="1"/>
  <c r="G1845" i="22"/>
  <c r="H1844" i="22"/>
  <c r="I1844" i="22" s="1"/>
  <c r="G1844" i="22"/>
  <c r="H1843" i="22"/>
  <c r="I1843" i="22" s="1"/>
  <c r="G1843" i="22"/>
  <c r="H1842" i="22"/>
  <c r="I1842" i="22" s="1"/>
  <c r="G1842" i="22"/>
  <c r="H1841" i="22"/>
  <c r="I1841" i="22" s="1"/>
  <c r="G1841" i="22"/>
  <c r="H1840" i="22"/>
  <c r="I1840" i="22" s="1"/>
  <c r="G1840" i="22"/>
  <c r="H1839" i="22"/>
  <c r="I1839" i="22" s="1"/>
  <c r="G1839" i="22"/>
  <c r="H1838" i="22"/>
  <c r="I1838" i="22" s="1"/>
  <c r="G1838" i="22"/>
  <c r="H1837" i="22"/>
  <c r="I1837" i="22" s="1"/>
  <c r="G1837" i="22"/>
  <c r="H1836" i="22"/>
  <c r="I1836" i="22" s="1"/>
  <c r="G1836" i="22"/>
  <c r="H1835" i="22"/>
  <c r="I1835" i="22" s="1"/>
  <c r="G1835" i="22"/>
  <c r="H1834" i="22"/>
  <c r="I1834" i="22" s="1"/>
  <c r="G1834" i="22"/>
  <c r="H1833" i="22"/>
  <c r="I1833" i="22" s="1"/>
  <c r="G1833" i="22"/>
  <c r="H1832" i="22"/>
  <c r="I1832" i="22" s="1"/>
  <c r="G1832" i="22"/>
  <c r="H1831" i="22"/>
  <c r="I1831" i="22" s="1"/>
  <c r="G1831" i="22"/>
  <c r="H1830" i="22"/>
  <c r="I1830" i="22" s="1"/>
  <c r="G1830" i="22"/>
  <c r="H1829" i="22"/>
  <c r="I1829" i="22" s="1"/>
  <c r="G1829" i="22"/>
  <c r="H1828" i="22"/>
  <c r="I1828" i="22" s="1"/>
  <c r="G1828" i="22"/>
  <c r="H1827" i="22"/>
  <c r="I1827" i="22" s="1"/>
  <c r="G1827" i="22"/>
  <c r="H1826" i="22"/>
  <c r="I1826" i="22" s="1"/>
  <c r="G1826" i="22"/>
  <c r="H1825" i="22"/>
  <c r="I1825" i="22" s="1"/>
  <c r="G1825" i="22"/>
  <c r="H1824" i="22"/>
  <c r="I1824" i="22" s="1"/>
  <c r="G1824" i="22"/>
  <c r="H1823" i="22"/>
  <c r="I1823" i="22" s="1"/>
  <c r="G1823" i="22"/>
  <c r="H1822" i="22"/>
  <c r="I1822" i="22" s="1"/>
  <c r="G1822" i="22"/>
  <c r="H1821" i="22"/>
  <c r="I1821" i="22" s="1"/>
  <c r="G1821" i="22"/>
  <c r="H1820" i="22"/>
  <c r="I1820" i="22" s="1"/>
  <c r="G1820" i="22"/>
  <c r="H1819" i="22"/>
  <c r="I1819" i="22" s="1"/>
  <c r="G1819" i="22"/>
  <c r="H1818" i="22"/>
  <c r="I1818" i="22" s="1"/>
  <c r="G1818" i="22"/>
  <c r="H1817" i="22"/>
  <c r="I1817" i="22" s="1"/>
  <c r="G1817" i="22"/>
  <c r="H1816" i="22"/>
  <c r="I1816" i="22" s="1"/>
  <c r="G1816" i="22"/>
  <c r="H1815" i="22"/>
  <c r="I1815" i="22" s="1"/>
  <c r="G1815" i="22"/>
  <c r="H1814" i="22"/>
  <c r="I1814" i="22" s="1"/>
  <c r="G1814" i="22"/>
  <c r="H1813" i="22"/>
  <c r="I1813" i="22" s="1"/>
  <c r="G1813" i="22"/>
  <c r="H1812" i="22"/>
  <c r="I1812" i="22" s="1"/>
  <c r="G1812" i="22"/>
  <c r="H1811" i="22"/>
  <c r="I1811" i="22" s="1"/>
  <c r="G1811" i="22"/>
  <c r="H1810" i="22"/>
  <c r="I1810" i="22" s="1"/>
  <c r="G1810" i="22"/>
  <c r="H1809" i="22"/>
  <c r="I1809" i="22" s="1"/>
  <c r="G1809" i="22"/>
  <c r="H1808" i="22"/>
  <c r="I1808" i="22" s="1"/>
  <c r="G1808" i="22"/>
  <c r="H1807" i="22"/>
  <c r="I1807" i="22" s="1"/>
  <c r="G1807" i="22"/>
  <c r="H1806" i="22"/>
  <c r="I1806" i="22" s="1"/>
  <c r="G1806" i="22"/>
  <c r="H1805" i="22"/>
  <c r="I1805" i="22" s="1"/>
  <c r="G1805" i="22"/>
  <c r="H1804" i="22"/>
  <c r="I1804" i="22" s="1"/>
  <c r="G1804" i="22"/>
  <c r="H1803" i="22"/>
  <c r="I1803" i="22" s="1"/>
  <c r="G1803" i="22"/>
  <c r="H1802" i="22"/>
  <c r="I1802" i="22" s="1"/>
  <c r="G1802" i="22"/>
  <c r="H1801" i="22"/>
  <c r="I1801" i="22" s="1"/>
  <c r="G1801" i="22"/>
  <c r="H1800" i="22"/>
  <c r="I1800" i="22" s="1"/>
  <c r="G1800" i="22"/>
  <c r="H1799" i="22"/>
  <c r="I1799" i="22" s="1"/>
  <c r="G1799" i="22"/>
  <c r="H1798" i="22"/>
  <c r="I1798" i="22" s="1"/>
  <c r="G1798" i="22"/>
  <c r="H1797" i="22"/>
  <c r="I1797" i="22" s="1"/>
  <c r="G1797" i="22"/>
  <c r="H1796" i="22"/>
  <c r="I1796" i="22" s="1"/>
  <c r="G1796" i="22"/>
  <c r="H1795" i="22"/>
  <c r="I1795" i="22" s="1"/>
  <c r="G1795" i="22"/>
  <c r="H1794" i="22"/>
  <c r="I1794" i="22" s="1"/>
  <c r="G1794" i="22"/>
  <c r="H1793" i="22"/>
  <c r="I1793" i="22" s="1"/>
  <c r="G1793" i="22"/>
  <c r="H1792" i="22"/>
  <c r="I1792" i="22" s="1"/>
  <c r="G1792" i="22"/>
  <c r="H1791" i="22"/>
  <c r="I1791" i="22" s="1"/>
  <c r="G1791" i="22"/>
  <c r="H1790" i="22"/>
  <c r="I1790" i="22" s="1"/>
  <c r="G1790" i="22"/>
  <c r="H1789" i="22"/>
  <c r="I1789" i="22" s="1"/>
  <c r="G1789" i="22"/>
  <c r="H1788" i="22"/>
  <c r="I1788" i="22" s="1"/>
  <c r="G1788" i="22"/>
  <c r="H1787" i="22"/>
  <c r="I1787" i="22" s="1"/>
  <c r="G1787" i="22"/>
  <c r="H1786" i="22"/>
  <c r="I1786" i="22" s="1"/>
  <c r="G1786" i="22"/>
  <c r="H1785" i="22"/>
  <c r="I1785" i="22" s="1"/>
  <c r="G1785" i="22"/>
  <c r="H1784" i="22"/>
  <c r="I1784" i="22" s="1"/>
  <c r="G1784" i="22"/>
  <c r="H1783" i="22"/>
  <c r="I1783" i="22" s="1"/>
  <c r="G1783" i="22"/>
  <c r="H1782" i="22"/>
  <c r="I1782" i="22" s="1"/>
  <c r="G1782" i="22"/>
  <c r="H1781" i="22"/>
  <c r="I1781" i="22" s="1"/>
  <c r="G1781" i="22"/>
  <c r="H1780" i="22"/>
  <c r="I1780" i="22" s="1"/>
  <c r="G1780" i="22"/>
  <c r="H1779" i="22"/>
  <c r="I1779" i="22" s="1"/>
  <c r="G1779" i="22"/>
  <c r="H1778" i="22"/>
  <c r="I1778" i="22" s="1"/>
  <c r="G1778" i="22"/>
  <c r="H1777" i="22"/>
  <c r="I1777" i="22" s="1"/>
  <c r="G1777" i="22"/>
  <c r="H1776" i="22"/>
  <c r="I1776" i="22" s="1"/>
  <c r="G1776" i="22"/>
  <c r="H1775" i="22"/>
  <c r="I1775" i="22" s="1"/>
  <c r="G1775" i="22"/>
  <c r="H1774" i="22"/>
  <c r="I1774" i="22" s="1"/>
  <c r="G1774" i="22"/>
  <c r="H1773" i="22"/>
  <c r="I1773" i="22" s="1"/>
  <c r="G1773" i="22"/>
  <c r="H1772" i="22"/>
  <c r="I1772" i="22" s="1"/>
  <c r="G1772" i="22"/>
  <c r="H1771" i="22"/>
  <c r="I1771" i="22" s="1"/>
  <c r="G1771" i="22"/>
  <c r="H1770" i="22"/>
  <c r="I1770" i="22" s="1"/>
  <c r="G1770" i="22"/>
  <c r="H1769" i="22"/>
  <c r="I1769" i="22" s="1"/>
  <c r="G1769" i="22"/>
  <c r="H1768" i="22"/>
  <c r="I1768" i="22" s="1"/>
  <c r="G1768" i="22"/>
  <c r="H1767" i="22"/>
  <c r="I1767" i="22" s="1"/>
  <c r="G1767" i="22"/>
  <c r="H1766" i="22"/>
  <c r="I1766" i="22" s="1"/>
  <c r="G1766" i="22"/>
  <c r="H1765" i="22"/>
  <c r="I1765" i="22" s="1"/>
  <c r="G1765" i="22"/>
  <c r="H1764" i="22"/>
  <c r="I1764" i="22" s="1"/>
  <c r="G1764" i="22"/>
  <c r="H1763" i="22"/>
  <c r="I1763" i="22" s="1"/>
  <c r="G1763" i="22"/>
  <c r="H1762" i="22"/>
  <c r="I1762" i="22" s="1"/>
  <c r="G1762" i="22"/>
  <c r="H1761" i="22"/>
  <c r="I1761" i="22" s="1"/>
  <c r="G1761" i="22"/>
  <c r="H1760" i="22"/>
  <c r="I1760" i="22" s="1"/>
  <c r="G1760" i="22"/>
  <c r="H1759" i="22"/>
  <c r="I1759" i="22" s="1"/>
  <c r="G1759" i="22"/>
  <c r="H1758" i="22"/>
  <c r="I1758" i="22" s="1"/>
  <c r="G1758" i="22"/>
  <c r="H1757" i="22"/>
  <c r="I1757" i="22" s="1"/>
  <c r="G1757" i="22"/>
  <c r="H1756" i="22"/>
  <c r="I1756" i="22" s="1"/>
  <c r="G1756" i="22"/>
  <c r="H1755" i="22"/>
  <c r="I1755" i="22" s="1"/>
  <c r="G1755" i="22"/>
  <c r="H1754" i="22"/>
  <c r="I1754" i="22" s="1"/>
  <c r="G1754" i="22"/>
  <c r="H1753" i="22"/>
  <c r="I1753" i="22" s="1"/>
  <c r="G1753" i="22"/>
  <c r="H1752" i="22"/>
  <c r="I1752" i="22" s="1"/>
  <c r="G1752" i="22"/>
  <c r="H1751" i="22"/>
  <c r="I1751" i="22" s="1"/>
  <c r="G1751" i="22"/>
  <c r="H1750" i="22"/>
  <c r="I1750" i="22" s="1"/>
  <c r="G1750" i="22"/>
  <c r="H1749" i="22"/>
  <c r="I1749" i="22" s="1"/>
  <c r="G1749" i="22"/>
  <c r="H1748" i="22"/>
  <c r="I1748" i="22" s="1"/>
  <c r="G1748" i="22"/>
  <c r="H1747" i="22"/>
  <c r="I1747" i="22" s="1"/>
  <c r="G1747" i="22"/>
  <c r="H1746" i="22"/>
  <c r="I1746" i="22" s="1"/>
  <c r="G1746" i="22"/>
  <c r="H1745" i="22"/>
  <c r="I1745" i="22" s="1"/>
  <c r="G1745" i="22"/>
  <c r="H1744" i="22"/>
  <c r="I1744" i="22" s="1"/>
  <c r="G1744" i="22"/>
  <c r="H1743" i="22"/>
  <c r="I1743" i="22" s="1"/>
  <c r="G1743" i="22"/>
  <c r="H1742" i="22"/>
  <c r="I1742" i="22" s="1"/>
  <c r="G1742" i="22"/>
  <c r="H1741" i="22"/>
  <c r="I1741" i="22" s="1"/>
  <c r="G1741" i="22"/>
  <c r="H1740" i="22"/>
  <c r="I1740" i="22" s="1"/>
  <c r="G1740" i="22"/>
  <c r="H1739" i="22"/>
  <c r="I1739" i="22" s="1"/>
  <c r="G1739" i="22"/>
  <c r="H1738" i="22"/>
  <c r="I1738" i="22" s="1"/>
  <c r="G1738" i="22"/>
  <c r="H1737" i="22"/>
  <c r="I1737" i="22" s="1"/>
  <c r="G1737" i="22"/>
  <c r="H1736" i="22"/>
  <c r="I1736" i="22" s="1"/>
  <c r="G1736" i="22"/>
  <c r="H1735" i="22"/>
  <c r="I1735" i="22" s="1"/>
  <c r="G1735" i="22"/>
  <c r="H1734" i="22"/>
  <c r="I1734" i="22" s="1"/>
  <c r="G1734" i="22"/>
  <c r="H1733" i="22"/>
  <c r="I1733" i="22" s="1"/>
  <c r="G1733" i="22"/>
  <c r="H1732" i="22"/>
  <c r="I1732" i="22" s="1"/>
  <c r="G1732" i="22"/>
  <c r="H1731" i="22"/>
  <c r="I1731" i="22" s="1"/>
  <c r="G1731" i="22"/>
  <c r="H1730" i="22"/>
  <c r="I1730" i="22" s="1"/>
  <c r="G1730" i="22"/>
  <c r="H1729" i="22"/>
  <c r="I1729" i="22" s="1"/>
  <c r="G1729" i="22"/>
  <c r="H1728" i="22"/>
  <c r="I1728" i="22" s="1"/>
  <c r="G1728" i="22"/>
  <c r="H1727" i="22"/>
  <c r="I1727" i="22" s="1"/>
  <c r="G1727" i="22"/>
  <c r="H1726" i="22"/>
  <c r="I1726" i="22" s="1"/>
  <c r="G1726" i="22"/>
  <c r="H1725" i="22"/>
  <c r="I1725" i="22" s="1"/>
  <c r="G1725" i="22"/>
  <c r="H1724" i="22"/>
  <c r="I1724" i="22" s="1"/>
  <c r="G1724" i="22"/>
  <c r="H1723" i="22"/>
  <c r="I1723" i="22" s="1"/>
  <c r="G1723" i="22"/>
  <c r="H1722" i="22"/>
  <c r="I1722" i="22" s="1"/>
  <c r="G1722" i="22"/>
  <c r="H1721" i="22"/>
  <c r="I1721" i="22" s="1"/>
  <c r="G1721" i="22"/>
  <c r="H1720" i="22"/>
  <c r="I1720" i="22" s="1"/>
  <c r="G1720" i="22"/>
  <c r="H1719" i="22"/>
  <c r="I1719" i="22" s="1"/>
  <c r="G1719" i="22"/>
  <c r="H1718" i="22"/>
  <c r="I1718" i="22" s="1"/>
  <c r="G1718" i="22"/>
  <c r="H1717" i="22"/>
  <c r="I1717" i="22" s="1"/>
  <c r="G1717" i="22"/>
  <c r="H1716" i="22"/>
  <c r="I1716" i="22" s="1"/>
  <c r="G1716" i="22"/>
  <c r="H1715" i="22"/>
  <c r="I1715" i="22" s="1"/>
  <c r="G1715" i="22"/>
  <c r="H1714" i="22"/>
  <c r="I1714" i="22" s="1"/>
  <c r="G1714" i="22"/>
  <c r="H1713" i="22"/>
  <c r="I1713" i="22" s="1"/>
  <c r="G1713" i="22"/>
  <c r="H1712" i="22"/>
  <c r="I1712" i="22" s="1"/>
  <c r="G1712" i="22"/>
  <c r="H1711" i="22"/>
  <c r="I1711" i="22" s="1"/>
  <c r="G1711" i="22"/>
  <c r="H1710" i="22"/>
  <c r="I1710" i="22" s="1"/>
  <c r="G1710" i="22"/>
  <c r="H1709" i="22"/>
  <c r="I1709" i="22" s="1"/>
  <c r="G1709" i="22"/>
  <c r="H1708" i="22"/>
  <c r="I1708" i="22" s="1"/>
  <c r="G1708" i="22"/>
  <c r="H1707" i="22"/>
  <c r="I1707" i="22" s="1"/>
  <c r="G1707" i="22"/>
  <c r="H1706" i="22"/>
  <c r="I1706" i="22" s="1"/>
  <c r="G1706" i="22"/>
  <c r="H1705" i="22"/>
  <c r="I1705" i="22" s="1"/>
  <c r="G1705" i="22"/>
  <c r="H1704" i="22"/>
  <c r="I1704" i="22" s="1"/>
  <c r="G1704" i="22"/>
  <c r="H1703" i="22"/>
  <c r="I1703" i="22" s="1"/>
  <c r="G1703" i="22"/>
  <c r="H1702" i="22"/>
  <c r="I1702" i="22" s="1"/>
  <c r="G1702" i="22"/>
  <c r="H1701" i="22"/>
  <c r="I1701" i="22" s="1"/>
  <c r="G1701" i="22"/>
  <c r="H1700" i="22"/>
  <c r="I1700" i="22" s="1"/>
  <c r="G1700" i="22"/>
  <c r="H1699" i="22"/>
  <c r="I1699" i="22" s="1"/>
  <c r="G1699" i="22"/>
  <c r="H1698" i="22"/>
  <c r="I1698" i="22" s="1"/>
  <c r="G1698" i="22"/>
  <c r="H1697" i="22"/>
  <c r="I1697" i="22" s="1"/>
  <c r="G1697" i="22"/>
  <c r="H1696" i="22"/>
  <c r="I1696" i="22" s="1"/>
  <c r="G1696" i="22"/>
  <c r="H1695" i="22"/>
  <c r="I1695" i="22" s="1"/>
  <c r="G1695" i="22"/>
  <c r="H1694" i="22"/>
  <c r="I1694" i="22" s="1"/>
  <c r="G1694" i="22"/>
  <c r="H1693" i="22"/>
  <c r="I1693" i="22" s="1"/>
  <c r="G1693" i="22"/>
  <c r="H1692" i="22"/>
  <c r="I1692" i="22" s="1"/>
  <c r="G1692" i="22"/>
  <c r="H1691" i="22"/>
  <c r="I1691" i="22" s="1"/>
  <c r="G1691" i="22"/>
  <c r="H1690" i="22"/>
  <c r="I1690" i="22" s="1"/>
  <c r="G1690" i="22"/>
  <c r="H1689" i="22"/>
  <c r="I1689" i="22" s="1"/>
  <c r="G1689" i="22"/>
  <c r="H1688" i="22"/>
  <c r="I1688" i="22" s="1"/>
  <c r="G1688" i="22"/>
  <c r="H1687" i="22"/>
  <c r="I1687" i="22" s="1"/>
  <c r="G1687" i="22"/>
  <c r="H1686" i="22"/>
  <c r="I1686" i="22" s="1"/>
  <c r="G1686" i="22"/>
  <c r="H1685" i="22"/>
  <c r="I1685" i="22" s="1"/>
  <c r="G1685" i="22"/>
  <c r="H1684" i="22"/>
  <c r="I1684" i="22" s="1"/>
  <c r="G1684" i="22"/>
  <c r="H1683" i="22"/>
  <c r="I1683" i="22" s="1"/>
  <c r="G1683" i="22"/>
  <c r="H1682" i="22"/>
  <c r="I1682" i="22" s="1"/>
  <c r="G1682" i="22"/>
  <c r="H1681" i="22"/>
  <c r="I1681" i="22" s="1"/>
  <c r="G1681" i="22"/>
  <c r="H1680" i="22"/>
  <c r="I1680" i="22" s="1"/>
  <c r="G1680" i="22"/>
  <c r="H1679" i="22"/>
  <c r="I1679" i="22" s="1"/>
  <c r="G1679" i="22"/>
  <c r="H1678" i="22"/>
  <c r="I1678" i="22" s="1"/>
  <c r="G1678" i="22"/>
  <c r="H1677" i="22"/>
  <c r="I1677" i="22" s="1"/>
  <c r="G1677" i="22"/>
  <c r="H1676" i="22"/>
  <c r="I1676" i="22" s="1"/>
  <c r="G1676" i="22"/>
  <c r="H1675" i="22"/>
  <c r="I1675" i="22" s="1"/>
  <c r="G1675" i="22"/>
  <c r="H1674" i="22"/>
  <c r="I1674" i="22" s="1"/>
  <c r="G1674" i="22"/>
  <c r="H1673" i="22"/>
  <c r="I1673" i="22" s="1"/>
  <c r="G1673" i="22"/>
  <c r="H1672" i="22"/>
  <c r="I1672" i="22" s="1"/>
  <c r="G1672" i="22"/>
  <c r="H1671" i="22"/>
  <c r="I1671" i="22" s="1"/>
  <c r="G1671" i="22"/>
  <c r="H1670" i="22"/>
  <c r="I1670" i="22" s="1"/>
  <c r="G1670" i="22"/>
  <c r="H1669" i="22"/>
  <c r="I1669" i="22" s="1"/>
  <c r="G1669" i="22"/>
  <c r="H1668" i="22"/>
  <c r="I1668" i="22" s="1"/>
  <c r="G1668" i="22"/>
  <c r="H1667" i="22"/>
  <c r="I1667" i="22" s="1"/>
  <c r="G1667" i="22"/>
  <c r="H1666" i="22"/>
  <c r="I1666" i="22" s="1"/>
  <c r="G1666" i="22"/>
  <c r="H1665" i="22"/>
  <c r="I1665" i="22" s="1"/>
  <c r="G1665" i="22"/>
  <c r="H1664" i="22"/>
  <c r="I1664" i="22" s="1"/>
  <c r="G1664" i="22"/>
  <c r="H1663" i="22"/>
  <c r="I1663" i="22" s="1"/>
  <c r="G1663" i="22"/>
  <c r="H1662" i="22"/>
  <c r="I1662" i="22" s="1"/>
  <c r="G1662" i="22"/>
  <c r="H1661" i="22"/>
  <c r="I1661" i="22" s="1"/>
  <c r="G1661" i="22"/>
  <c r="H1660" i="22"/>
  <c r="I1660" i="22" s="1"/>
  <c r="G1660" i="22"/>
  <c r="H1659" i="22"/>
  <c r="I1659" i="22" s="1"/>
  <c r="G1659" i="22"/>
  <c r="H1658" i="22"/>
  <c r="I1658" i="22" s="1"/>
  <c r="G1658" i="22"/>
  <c r="H1657" i="22"/>
  <c r="I1657" i="22" s="1"/>
  <c r="G1657" i="22"/>
  <c r="H1656" i="22"/>
  <c r="I1656" i="22" s="1"/>
  <c r="G1656" i="22"/>
  <c r="H1655" i="22"/>
  <c r="I1655" i="22" s="1"/>
  <c r="G1655" i="22"/>
  <c r="H1654" i="22"/>
  <c r="I1654" i="22" s="1"/>
  <c r="G1654" i="22"/>
  <c r="H1653" i="22"/>
  <c r="I1653" i="22" s="1"/>
  <c r="G1653" i="22"/>
  <c r="H1652" i="22"/>
  <c r="I1652" i="22" s="1"/>
  <c r="G1652" i="22"/>
  <c r="H1651" i="22"/>
  <c r="I1651" i="22" s="1"/>
  <c r="G1651" i="22"/>
  <c r="H1650" i="22"/>
  <c r="I1650" i="22" s="1"/>
  <c r="G1650" i="22"/>
  <c r="H1649" i="22"/>
  <c r="I1649" i="22" s="1"/>
  <c r="G1649" i="22"/>
  <c r="H1648" i="22"/>
  <c r="I1648" i="22" s="1"/>
  <c r="G1648" i="22"/>
  <c r="H1647" i="22"/>
  <c r="I1647" i="22" s="1"/>
  <c r="G1647" i="22"/>
  <c r="H1646" i="22"/>
  <c r="I1646" i="22" s="1"/>
  <c r="G1646" i="22"/>
  <c r="H1645" i="22"/>
  <c r="I1645" i="22" s="1"/>
  <c r="G1645" i="22"/>
  <c r="H1644" i="22"/>
  <c r="I1644" i="22" s="1"/>
  <c r="G1644" i="22"/>
  <c r="H1643" i="22"/>
  <c r="I1643" i="22" s="1"/>
  <c r="G1643" i="22"/>
  <c r="H1642" i="22"/>
  <c r="I1642" i="22" s="1"/>
  <c r="G1642" i="22"/>
  <c r="H1641" i="22"/>
  <c r="I1641" i="22" s="1"/>
  <c r="G1641" i="22"/>
  <c r="H1640" i="22"/>
  <c r="I1640" i="22" s="1"/>
  <c r="G1640" i="22"/>
  <c r="H1639" i="22"/>
  <c r="I1639" i="22" s="1"/>
  <c r="G1639" i="22"/>
  <c r="H1638" i="22"/>
  <c r="I1638" i="22" s="1"/>
  <c r="G1638" i="22"/>
  <c r="H1637" i="22"/>
  <c r="I1637" i="22" s="1"/>
  <c r="G1637" i="22"/>
  <c r="H1636" i="22"/>
  <c r="I1636" i="22" s="1"/>
  <c r="G1636" i="22"/>
  <c r="H1635" i="22"/>
  <c r="I1635" i="22" s="1"/>
  <c r="G1635" i="22"/>
  <c r="H1634" i="22"/>
  <c r="I1634" i="22" s="1"/>
  <c r="G1634" i="22"/>
  <c r="G1633" i="22"/>
  <c r="G1632" i="22"/>
  <c r="H1631" i="22"/>
  <c r="I1631" i="22" s="1"/>
  <c r="G1631" i="22"/>
  <c r="H1630" i="22"/>
  <c r="I1630" i="22" s="1"/>
  <c r="G1630" i="22"/>
  <c r="H1629" i="22"/>
  <c r="I1629" i="22" s="1"/>
  <c r="G1629" i="22"/>
  <c r="H1628" i="22"/>
  <c r="I1628" i="22" s="1"/>
  <c r="G1628" i="22"/>
  <c r="H1627" i="22"/>
  <c r="I1627" i="22" s="1"/>
  <c r="G1627" i="22"/>
  <c r="H1626" i="22"/>
  <c r="I1626" i="22" s="1"/>
  <c r="G1626" i="22"/>
  <c r="H1625" i="22"/>
  <c r="I1625" i="22" s="1"/>
  <c r="G1625" i="22"/>
  <c r="H1624" i="22"/>
  <c r="I1624" i="22" s="1"/>
  <c r="G1624" i="22"/>
  <c r="H1623" i="22"/>
  <c r="I1623" i="22" s="1"/>
  <c r="G1623" i="22"/>
  <c r="H1622" i="22"/>
  <c r="I1622" i="22" s="1"/>
  <c r="G1622" i="22"/>
  <c r="H1621" i="22"/>
  <c r="I1621" i="22" s="1"/>
  <c r="G1621" i="22"/>
  <c r="H1620" i="22"/>
  <c r="I1620" i="22" s="1"/>
  <c r="G1620" i="22"/>
  <c r="H1619" i="22"/>
  <c r="I1619" i="22" s="1"/>
  <c r="G1619" i="22"/>
  <c r="H1618" i="22"/>
  <c r="I1618" i="22" s="1"/>
  <c r="G1618" i="22"/>
  <c r="H1617" i="22"/>
  <c r="I1617" i="22" s="1"/>
  <c r="G1617" i="22"/>
  <c r="H1616" i="22"/>
  <c r="I1616" i="22" s="1"/>
  <c r="G1616" i="22"/>
  <c r="H1615" i="22"/>
  <c r="I1615" i="22" s="1"/>
  <c r="G1615" i="22"/>
  <c r="H1614" i="22"/>
  <c r="I1614" i="22" s="1"/>
  <c r="G1614" i="22"/>
  <c r="H1613" i="22"/>
  <c r="I1613" i="22" s="1"/>
  <c r="G1613" i="22"/>
  <c r="H1612" i="22"/>
  <c r="I1612" i="22" s="1"/>
  <c r="G1612" i="22"/>
  <c r="H1611" i="22"/>
  <c r="I1611" i="22" s="1"/>
  <c r="G1611" i="22"/>
  <c r="H1610" i="22"/>
  <c r="I1610" i="22" s="1"/>
  <c r="G1610" i="22"/>
  <c r="H1609" i="22"/>
  <c r="I1609" i="22" s="1"/>
  <c r="G1609" i="22"/>
  <c r="H1608" i="22"/>
  <c r="I1608" i="22" s="1"/>
  <c r="G1608" i="22"/>
  <c r="H1607" i="22"/>
  <c r="I1607" i="22" s="1"/>
  <c r="G1607" i="22"/>
  <c r="H1606" i="22"/>
  <c r="I1606" i="22" s="1"/>
  <c r="G1606" i="22"/>
  <c r="H1605" i="22"/>
  <c r="I1605" i="22" s="1"/>
  <c r="G1605" i="22"/>
  <c r="H1604" i="22"/>
  <c r="I1604" i="22" s="1"/>
  <c r="G1604" i="22"/>
  <c r="H1603" i="22"/>
  <c r="I1603" i="22" s="1"/>
  <c r="G1603" i="22"/>
  <c r="H1602" i="22"/>
  <c r="I1602" i="22" s="1"/>
  <c r="G1602" i="22"/>
  <c r="H1601" i="22"/>
  <c r="I1601" i="22" s="1"/>
  <c r="G1601" i="22"/>
  <c r="H1600" i="22"/>
  <c r="I1600" i="22" s="1"/>
  <c r="G1600" i="22"/>
  <c r="H1599" i="22"/>
  <c r="I1599" i="22" s="1"/>
  <c r="G1599" i="22"/>
  <c r="H1598" i="22"/>
  <c r="I1598" i="22" s="1"/>
  <c r="G1598" i="22"/>
  <c r="H1597" i="22"/>
  <c r="I1597" i="22" s="1"/>
  <c r="G1597" i="22"/>
  <c r="H1596" i="22"/>
  <c r="I1596" i="22" s="1"/>
  <c r="G1596" i="22"/>
  <c r="H1595" i="22"/>
  <c r="I1595" i="22" s="1"/>
  <c r="G1595" i="22"/>
  <c r="H1594" i="22"/>
  <c r="I1594" i="22" s="1"/>
  <c r="G1594" i="22"/>
  <c r="H1593" i="22"/>
  <c r="I1593" i="22" s="1"/>
  <c r="G1593" i="22"/>
  <c r="H1592" i="22"/>
  <c r="I1592" i="22" s="1"/>
  <c r="G1592" i="22"/>
  <c r="H1591" i="22"/>
  <c r="I1591" i="22" s="1"/>
  <c r="G1591" i="22"/>
  <c r="H1590" i="22"/>
  <c r="I1590" i="22" s="1"/>
  <c r="G1590" i="22"/>
  <c r="H1589" i="22"/>
  <c r="I1589" i="22" s="1"/>
  <c r="G1589" i="22"/>
  <c r="H1588" i="22"/>
  <c r="I1588" i="22" s="1"/>
  <c r="G1588" i="22"/>
  <c r="H1587" i="22"/>
  <c r="I1587" i="22" s="1"/>
  <c r="G1587" i="22"/>
  <c r="H1586" i="22"/>
  <c r="I1586" i="22" s="1"/>
  <c r="G1586" i="22"/>
  <c r="H1585" i="22"/>
  <c r="I1585" i="22" s="1"/>
  <c r="G1585" i="22"/>
  <c r="H1584" i="22"/>
  <c r="I1584" i="22" s="1"/>
  <c r="G1584" i="22"/>
  <c r="H1583" i="22"/>
  <c r="I1583" i="22" s="1"/>
  <c r="G1583" i="22"/>
  <c r="H1582" i="22"/>
  <c r="I1582" i="22" s="1"/>
  <c r="G1582" i="22"/>
  <c r="H1581" i="22"/>
  <c r="I1581" i="22" s="1"/>
  <c r="G1581" i="22"/>
  <c r="H1580" i="22"/>
  <c r="I1580" i="22" s="1"/>
  <c r="G1580" i="22"/>
  <c r="H1579" i="22"/>
  <c r="I1579" i="22" s="1"/>
  <c r="G1579" i="22"/>
  <c r="H1578" i="22"/>
  <c r="I1578" i="22" s="1"/>
  <c r="G1578" i="22"/>
  <c r="H1577" i="22"/>
  <c r="I1577" i="22" s="1"/>
  <c r="G1577" i="22"/>
  <c r="H1576" i="22"/>
  <c r="I1576" i="22" s="1"/>
  <c r="G1576" i="22"/>
  <c r="H1575" i="22"/>
  <c r="I1575" i="22" s="1"/>
  <c r="G1575" i="22"/>
  <c r="H1574" i="22"/>
  <c r="I1574" i="22" s="1"/>
  <c r="G1574" i="22"/>
  <c r="H1573" i="22"/>
  <c r="I1573" i="22" s="1"/>
  <c r="G1573" i="22"/>
  <c r="H1572" i="22"/>
  <c r="I1572" i="22" s="1"/>
  <c r="G1572" i="22"/>
  <c r="H1571" i="22"/>
  <c r="I1571" i="22" s="1"/>
  <c r="G1571" i="22"/>
  <c r="H1570" i="22"/>
  <c r="I1570" i="22" s="1"/>
  <c r="G1570" i="22"/>
  <c r="H1569" i="22"/>
  <c r="I1569" i="22" s="1"/>
  <c r="G1569" i="22"/>
  <c r="H1568" i="22"/>
  <c r="I1568" i="22" s="1"/>
  <c r="G1568" i="22"/>
  <c r="H1567" i="22"/>
  <c r="I1567" i="22" s="1"/>
  <c r="G1567" i="22"/>
  <c r="H1566" i="22"/>
  <c r="I1566" i="22" s="1"/>
  <c r="G1566" i="22"/>
  <c r="H1565" i="22"/>
  <c r="I1565" i="22" s="1"/>
  <c r="G1565" i="22"/>
  <c r="H1564" i="22"/>
  <c r="I1564" i="22" s="1"/>
  <c r="G1564" i="22"/>
  <c r="H1563" i="22"/>
  <c r="I1563" i="22" s="1"/>
  <c r="G1563" i="22"/>
  <c r="H1562" i="22"/>
  <c r="I1562" i="22" s="1"/>
  <c r="G1562" i="22"/>
  <c r="H1561" i="22"/>
  <c r="I1561" i="22" s="1"/>
  <c r="G1561" i="22"/>
  <c r="H1560" i="22"/>
  <c r="I1560" i="22" s="1"/>
  <c r="G1560" i="22"/>
  <c r="H1559" i="22"/>
  <c r="I1559" i="22" s="1"/>
  <c r="G1559" i="22"/>
  <c r="H1558" i="22"/>
  <c r="I1558" i="22" s="1"/>
  <c r="G1558" i="22"/>
  <c r="H1557" i="22"/>
  <c r="I1557" i="22" s="1"/>
  <c r="G1557" i="22"/>
  <c r="H1556" i="22"/>
  <c r="I1556" i="22" s="1"/>
  <c r="G1556" i="22"/>
  <c r="H1555" i="22"/>
  <c r="I1555" i="22" s="1"/>
  <c r="G1555" i="22"/>
  <c r="H1554" i="22"/>
  <c r="I1554" i="22" s="1"/>
  <c r="G1554" i="22"/>
  <c r="H1553" i="22"/>
  <c r="I1553" i="22" s="1"/>
  <c r="G1553" i="22"/>
  <c r="H1552" i="22"/>
  <c r="I1552" i="22" s="1"/>
  <c r="G1552" i="22"/>
  <c r="H1551" i="22"/>
  <c r="I1551" i="22" s="1"/>
  <c r="G1551" i="22"/>
  <c r="H1550" i="22"/>
  <c r="I1550" i="22" s="1"/>
  <c r="G1550" i="22"/>
  <c r="H1549" i="22"/>
  <c r="I1549" i="22" s="1"/>
  <c r="G1549" i="22"/>
  <c r="H1548" i="22"/>
  <c r="I1548" i="22" s="1"/>
  <c r="G1548" i="22"/>
  <c r="H1547" i="22"/>
  <c r="I1547" i="22" s="1"/>
  <c r="G1547" i="22"/>
  <c r="H1546" i="22"/>
  <c r="I1546" i="22" s="1"/>
  <c r="G1546" i="22"/>
  <c r="H1545" i="22"/>
  <c r="I1545" i="22" s="1"/>
  <c r="G1545" i="22"/>
  <c r="H1544" i="22"/>
  <c r="I1544" i="22" s="1"/>
  <c r="G1544" i="22"/>
  <c r="H1543" i="22"/>
  <c r="I1543" i="22" s="1"/>
  <c r="G1543" i="22"/>
  <c r="H1542" i="22"/>
  <c r="I1542" i="22" s="1"/>
  <c r="G1542" i="22"/>
  <c r="H1541" i="22"/>
  <c r="I1541" i="22" s="1"/>
  <c r="G1541" i="22"/>
  <c r="H1540" i="22"/>
  <c r="I1540" i="22" s="1"/>
  <c r="G1540" i="22"/>
  <c r="H1539" i="22"/>
  <c r="I1539" i="22" s="1"/>
  <c r="G1539" i="22"/>
  <c r="H1538" i="22"/>
  <c r="I1538" i="22" s="1"/>
  <c r="G1538" i="22"/>
  <c r="H1537" i="22"/>
  <c r="I1537" i="22" s="1"/>
  <c r="G1537" i="22"/>
  <c r="H1536" i="22"/>
  <c r="I1536" i="22" s="1"/>
  <c r="G1536" i="22"/>
  <c r="H1535" i="22"/>
  <c r="I1535" i="22" s="1"/>
  <c r="G1535" i="22"/>
  <c r="H1534" i="22"/>
  <c r="I1534" i="22" s="1"/>
  <c r="G1534" i="22"/>
  <c r="H1533" i="22"/>
  <c r="I1533" i="22" s="1"/>
  <c r="G1533" i="22"/>
  <c r="H1532" i="22"/>
  <c r="I1532" i="22" s="1"/>
  <c r="G1532" i="22"/>
  <c r="H1531" i="22"/>
  <c r="I1531" i="22" s="1"/>
  <c r="G1531" i="22"/>
  <c r="H1530" i="22"/>
  <c r="I1530" i="22" s="1"/>
  <c r="G1530" i="22"/>
  <c r="H1529" i="22"/>
  <c r="I1529" i="22" s="1"/>
  <c r="G1529" i="22"/>
  <c r="H1528" i="22"/>
  <c r="I1528" i="22" s="1"/>
  <c r="G1528" i="22"/>
  <c r="H1527" i="22"/>
  <c r="I1527" i="22" s="1"/>
  <c r="G1527" i="22"/>
  <c r="H1526" i="22"/>
  <c r="I1526" i="22" s="1"/>
  <c r="G1526" i="22"/>
  <c r="H1525" i="22"/>
  <c r="I1525" i="22" s="1"/>
  <c r="G1525" i="22"/>
  <c r="H1524" i="22"/>
  <c r="I1524" i="22" s="1"/>
  <c r="G1524" i="22"/>
  <c r="H1523" i="22"/>
  <c r="I1523" i="22" s="1"/>
  <c r="G1523" i="22"/>
  <c r="H1522" i="22"/>
  <c r="I1522" i="22" s="1"/>
  <c r="G1522" i="22"/>
  <c r="H1521" i="22"/>
  <c r="I1521" i="22" s="1"/>
  <c r="G1521" i="22"/>
  <c r="H1520" i="22"/>
  <c r="I1520" i="22" s="1"/>
  <c r="G1520" i="22"/>
  <c r="H1519" i="22"/>
  <c r="I1519" i="22" s="1"/>
  <c r="G1519" i="22"/>
  <c r="H1518" i="22"/>
  <c r="I1518" i="22" s="1"/>
  <c r="G1518" i="22"/>
  <c r="H1517" i="22"/>
  <c r="I1517" i="22" s="1"/>
  <c r="G1517" i="22"/>
  <c r="H1516" i="22"/>
  <c r="I1516" i="22" s="1"/>
  <c r="G1516" i="22"/>
  <c r="H1515" i="22"/>
  <c r="I1515" i="22" s="1"/>
  <c r="G1515" i="22"/>
  <c r="H1514" i="22"/>
  <c r="I1514" i="22" s="1"/>
  <c r="G1514" i="22"/>
  <c r="H1513" i="22"/>
  <c r="I1513" i="22" s="1"/>
  <c r="G1513" i="22"/>
  <c r="H1512" i="22"/>
  <c r="I1512" i="22" s="1"/>
  <c r="G1512" i="22"/>
  <c r="H1511" i="22"/>
  <c r="I1511" i="22" s="1"/>
  <c r="G1511" i="22"/>
  <c r="H1510" i="22"/>
  <c r="I1510" i="22" s="1"/>
  <c r="G1510" i="22"/>
  <c r="H1509" i="22"/>
  <c r="I1509" i="22" s="1"/>
  <c r="G1509" i="22"/>
  <c r="H1508" i="22"/>
  <c r="I1508" i="22" s="1"/>
  <c r="G1508" i="22"/>
  <c r="H1507" i="22"/>
  <c r="I1507" i="22" s="1"/>
  <c r="G1507" i="22"/>
  <c r="H1506" i="22"/>
  <c r="I1506" i="22" s="1"/>
  <c r="G1506" i="22"/>
  <c r="H1505" i="22"/>
  <c r="I1505" i="22" s="1"/>
  <c r="G1505" i="22"/>
  <c r="H1504" i="22"/>
  <c r="I1504" i="22" s="1"/>
  <c r="G1504" i="22"/>
  <c r="H1503" i="22"/>
  <c r="I1503" i="22" s="1"/>
  <c r="G1503" i="22"/>
  <c r="H1502" i="22"/>
  <c r="I1502" i="22" s="1"/>
  <c r="G1502" i="22"/>
  <c r="H1501" i="22"/>
  <c r="I1501" i="22" s="1"/>
  <c r="G1501" i="22"/>
  <c r="H1500" i="22"/>
  <c r="I1500" i="22" s="1"/>
  <c r="G1500" i="22"/>
  <c r="H1499" i="22"/>
  <c r="I1499" i="22" s="1"/>
  <c r="G1499" i="22"/>
  <c r="H1498" i="22"/>
  <c r="I1498" i="22" s="1"/>
  <c r="G1498" i="22"/>
  <c r="H1497" i="22"/>
  <c r="I1497" i="22" s="1"/>
  <c r="G1497" i="22"/>
  <c r="H1496" i="22"/>
  <c r="I1496" i="22" s="1"/>
  <c r="G1496" i="22"/>
  <c r="H1495" i="22"/>
  <c r="I1495" i="22" s="1"/>
  <c r="G1495" i="22"/>
  <c r="H1494" i="22"/>
  <c r="I1494" i="22" s="1"/>
  <c r="G1494" i="22"/>
  <c r="H1493" i="22"/>
  <c r="I1493" i="22" s="1"/>
  <c r="G1493" i="22"/>
  <c r="H1492" i="22"/>
  <c r="I1492" i="22" s="1"/>
  <c r="G1492" i="22"/>
  <c r="H1491" i="22"/>
  <c r="I1491" i="22" s="1"/>
  <c r="G1491" i="22"/>
  <c r="H1490" i="22"/>
  <c r="I1490" i="22" s="1"/>
  <c r="G1490" i="22"/>
  <c r="H1489" i="22"/>
  <c r="I1489" i="22" s="1"/>
  <c r="G1489" i="22"/>
  <c r="H1488" i="22"/>
  <c r="I1488" i="22" s="1"/>
  <c r="G1488" i="22"/>
  <c r="H1487" i="22"/>
  <c r="I1487" i="22" s="1"/>
  <c r="G1487" i="22"/>
  <c r="H1486" i="22"/>
  <c r="I1486" i="22" s="1"/>
  <c r="G1486" i="22"/>
  <c r="H1485" i="22"/>
  <c r="I1485" i="22" s="1"/>
  <c r="G1485" i="22"/>
  <c r="H1484" i="22"/>
  <c r="I1484" i="22" s="1"/>
  <c r="G1484" i="22"/>
  <c r="H1483" i="22"/>
  <c r="I1483" i="22" s="1"/>
  <c r="G1483" i="22"/>
  <c r="H1482" i="22"/>
  <c r="I1482" i="22" s="1"/>
  <c r="G1482" i="22"/>
  <c r="H1481" i="22"/>
  <c r="I1481" i="22" s="1"/>
  <c r="G1481" i="22"/>
  <c r="H1480" i="22"/>
  <c r="I1480" i="22" s="1"/>
  <c r="G1480" i="22"/>
  <c r="H1479" i="22"/>
  <c r="I1479" i="22" s="1"/>
  <c r="G1479" i="22"/>
  <c r="H1478" i="22"/>
  <c r="I1478" i="22" s="1"/>
  <c r="G1478" i="22"/>
  <c r="H1477" i="22"/>
  <c r="I1477" i="22" s="1"/>
  <c r="G1477" i="22"/>
  <c r="H1476" i="22"/>
  <c r="I1476" i="22" s="1"/>
  <c r="G1476" i="22"/>
  <c r="H1475" i="22"/>
  <c r="I1475" i="22" s="1"/>
  <c r="G1475" i="22"/>
  <c r="H1474" i="22"/>
  <c r="I1474" i="22" s="1"/>
  <c r="G1474" i="22"/>
  <c r="H1473" i="22"/>
  <c r="I1473" i="22" s="1"/>
  <c r="G1473" i="22"/>
  <c r="H1472" i="22"/>
  <c r="I1472" i="22" s="1"/>
  <c r="G1472" i="22"/>
  <c r="H1471" i="22"/>
  <c r="I1471" i="22" s="1"/>
  <c r="G1471" i="22"/>
  <c r="H1470" i="22"/>
  <c r="I1470" i="22" s="1"/>
  <c r="G1470" i="22"/>
  <c r="H1469" i="22"/>
  <c r="I1469" i="22" s="1"/>
  <c r="G1469" i="22"/>
  <c r="H1468" i="22"/>
  <c r="I1468" i="22" s="1"/>
  <c r="G1468" i="22"/>
  <c r="H1467" i="22"/>
  <c r="I1467" i="22" s="1"/>
  <c r="G1467" i="22"/>
  <c r="H1466" i="22"/>
  <c r="I1466" i="22" s="1"/>
  <c r="G1466" i="22"/>
  <c r="H1465" i="22"/>
  <c r="I1465" i="22" s="1"/>
  <c r="G1465" i="22"/>
  <c r="H1464" i="22"/>
  <c r="I1464" i="22" s="1"/>
  <c r="G1464" i="22"/>
  <c r="H1463" i="22"/>
  <c r="I1463" i="22" s="1"/>
  <c r="G1463" i="22"/>
  <c r="H1462" i="22"/>
  <c r="I1462" i="22" s="1"/>
  <c r="G1462" i="22"/>
  <c r="H1461" i="22"/>
  <c r="I1461" i="22" s="1"/>
  <c r="G1461" i="22"/>
  <c r="H1460" i="22"/>
  <c r="I1460" i="22" s="1"/>
  <c r="G1460" i="22"/>
  <c r="H1459" i="22"/>
  <c r="I1459" i="22" s="1"/>
  <c r="G1459" i="22"/>
  <c r="H1458" i="22"/>
  <c r="I1458" i="22" s="1"/>
  <c r="G1458" i="22"/>
  <c r="H1457" i="22"/>
  <c r="I1457" i="22" s="1"/>
  <c r="G1457" i="22"/>
  <c r="H1456" i="22"/>
  <c r="I1456" i="22" s="1"/>
  <c r="G1456" i="22"/>
  <c r="H1455" i="22"/>
  <c r="I1455" i="22" s="1"/>
  <c r="G1455" i="22"/>
  <c r="H1454" i="22"/>
  <c r="I1454" i="22" s="1"/>
  <c r="G1454" i="22"/>
  <c r="H1453" i="22"/>
  <c r="I1453" i="22" s="1"/>
  <c r="G1453" i="22"/>
  <c r="H1452" i="22"/>
  <c r="I1452" i="22" s="1"/>
  <c r="G1452" i="22"/>
  <c r="H1451" i="22"/>
  <c r="I1451" i="22" s="1"/>
  <c r="G1451" i="22"/>
  <c r="H1450" i="22"/>
  <c r="I1450" i="22" s="1"/>
  <c r="G1450" i="22"/>
  <c r="H1449" i="22"/>
  <c r="I1449" i="22" s="1"/>
  <c r="G1449" i="22"/>
  <c r="H1448" i="22"/>
  <c r="I1448" i="22" s="1"/>
  <c r="G1448" i="22"/>
  <c r="H1447" i="22"/>
  <c r="I1447" i="22" s="1"/>
  <c r="G1447" i="22"/>
  <c r="H1446" i="22"/>
  <c r="I1446" i="22" s="1"/>
  <c r="G1446" i="22"/>
  <c r="H1445" i="22"/>
  <c r="I1445" i="22" s="1"/>
  <c r="G1445" i="22"/>
  <c r="H1444" i="22"/>
  <c r="I1444" i="22" s="1"/>
  <c r="G1444" i="22"/>
  <c r="H1443" i="22"/>
  <c r="I1443" i="22" s="1"/>
  <c r="G1443" i="22"/>
  <c r="H1442" i="22"/>
  <c r="I1442" i="22" s="1"/>
  <c r="G1442" i="22"/>
  <c r="H1441" i="22"/>
  <c r="I1441" i="22" s="1"/>
  <c r="G1441" i="22"/>
  <c r="H1440" i="22"/>
  <c r="I1440" i="22" s="1"/>
  <c r="G1440" i="22"/>
  <c r="H1439" i="22"/>
  <c r="I1439" i="22" s="1"/>
  <c r="G1439" i="22"/>
  <c r="H1438" i="22"/>
  <c r="I1438" i="22" s="1"/>
  <c r="G1438" i="22"/>
  <c r="H1437" i="22"/>
  <c r="I1437" i="22" s="1"/>
  <c r="G1437" i="22"/>
  <c r="H1436" i="22"/>
  <c r="I1436" i="22" s="1"/>
  <c r="G1436" i="22"/>
  <c r="H1435" i="22"/>
  <c r="I1435" i="22" s="1"/>
  <c r="G1435" i="22"/>
  <c r="H1434" i="22"/>
  <c r="I1434" i="22" s="1"/>
  <c r="G1434" i="22"/>
  <c r="H1433" i="22"/>
  <c r="I1433" i="22" s="1"/>
  <c r="G1433" i="22"/>
  <c r="H1432" i="22"/>
  <c r="I1432" i="22" s="1"/>
  <c r="G1432" i="22"/>
  <c r="H1431" i="22"/>
  <c r="I1431" i="22" s="1"/>
  <c r="G1431" i="22"/>
  <c r="H1430" i="22"/>
  <c r="I1430" i="22" s="1"/>
  <c r="G1430" i="22"/>
  <c r="H1429" i="22"/>
  <c r="I1429" i="22" s="1"/>
  <c r="G1429" i="22"/>
  <c r="H1428" i="22"/>
  <c r="I1428" i="22" s="1"/>
  <c r="G1428" i="22"/>
  <c r="H1427" i="22"/>
  <c r="I1427" i="22" s="1"/>
  <c r="G1427" i="22"/>
  <c r="H1426" i="22"/>
  <c r="I1426" i="22" s="1"/>
  <c r="G1426" i="22"/>
  <c r="H1425" i="22"/>
  <c r="I1425" i="22" s="1"/>
  <c r="G1425" i="22"/>
  <c r="H1424" i="22"/>
  <c r="I1424" i="22" s="1"/>
  <c r="G1424" i="22"/>
  <c r="H1423" i="22"/>
  <c r="I1423" i="22" s="1"/>
  <c r="G1423" i="22"/>
  <c r="H1422" i="22"/>
  <c r="I1422" i="22" s="1"/>
  <c r="G1422" i="22"/>
  <c r="H1421" i="22"/>
  <c r="I1421" i="22" s="1"/>
  <c r="G1421" i="22"/>
  <c r="H1420" i="22"/>
  <c r="I1420" i="22" s="1"/>
  <c r="G1420" i="22"/>
  <c r="H1419" i="22"/>
  <c r="I1419" i="22" s="1"/>
  <c r="G1419" i="22"/>
  <c r="H1418" i="22"/>
  <c r="I1418" i="22" s="1"/>
  <c r="G1418" i="22"/>
  <c r="H1417" i="22"/>
  <c r="I1417" i="22" s="1"/>
  <c r="G1417" i="22"/>
  <c r="H1416" i="22"/>
  <c r="I1416" i="22" s="1"/>
  <c r="G1416" i="22"/>
  <c r="H1415" i="22"/>
  <c r="I1415" i="22" s="1"/>
  <c r="G1415" i="22"/>
  <c r="H1414" i="22"/>
  <c r="I1414" i="22" s="1"/>
  <c r="G1414" i="22"/>
  <c r="H1413" i="22"/>
  <c r="I1413" i="22" s="1"/>
  <c r="G1413" i="22"/>
  <c r="H1412" i="22"/>
  <c r="I1412" i="22" s="1"/>
  <c r="G1412" i="22"/>
  <c r="H1411" i="22"/>
  <c r="I1411" i="22" s="1"/>
  <c r="G1411" i="22"/>
  <c r="H1410" i="22"/>
  <c r="I1410" i="22" s="1"/>
  <c r="G1410" i="22"/>
  <c r="H1409" i="22"/>
  <c r="I1409" i="22" s="1"/>
  <c r="G1409" i="22"/>
  <c r="H1408" i="22"/>
  <c r="I1408" i="22" s="1"/>
  <c r="G1408" i="22"/>
  <c r="H1407" i="22"/>
  <c r="I1407" i="22" s="1"/>
  <c r="G1407" i="22"/>
  <c r="H1406" i="22"/>
  <c r="I1406" i="22" s="1"/>
  <c r="G1406" i="22"/>
  <c r="H1405" i="22"/>
  <c r="I1405" i="22" s="1"/>
  <c r="G1405" i="22"/>
  <c r="H1404" i="22"/>
  <c r="I1404" i="22" s="1"/>
  <c r="G1404" i="22"/>
  <c r="H1403" i="22"/>
  <c r="I1403" i="22" s="1"/>
  <c r="G1403" i="22"/>
  <c r="H1402" i="22"/>
  <c r="I1402" i="22" s="1"/>
  <c r="G1402" i="22"/>
  <c r="H1401" i="22"/>
  <c r="I1401" i="22" s="1"/>
  <c r="G1401" i="22"/>
  <c r="H1400" i="22"/>
  <c r="I1400" i="22" s="1"/>
  <c r="G1400" i="22"/>
  <c r="H1399" i="22"/>
  <c r="I1399" i="22" s="1"/>
  <c r="G1399" i="22"/>
  <c r="H1398" i="22"/>
  <c r="I1398" i="22" s="1"/>
  <c r="G1398" i="22"/>
  <c r="H1397" i="22"/>
  <c r="I1397" i="22" s="1"/>
  <c r="G1397" i="22"/>
  <c r="H1396" i="22"/>
  <c r="I1396" i="22" s="1"/>
  <c r="G1396" i="22"/>
  <c r="H1395" i="22"/>
  <c r="I1395" i="22" s="1"/>
  <c r="G1395" i="22"/>
  <c r="H1394" i="22"/>
  <c r="I1394" i="22" s="1"/>
  <c r="G1394" i="22"/>
  <c r="H1393" i="22"/>
  <c r="I1393" i="22" s="1"/>
  <c r="G1393" i="22"/>
  <c r="H1392" i="22"/>
  <c r="I1392" i="22" s="1"/>
  <c r="G1392" i="22"/>
  <c r="H1391" i="22"/>
  <c r="I1391" i="22" s="1"/>
  <c r="G1391" i="22"/>
  <c r="H1390" i="22"/>
  <c r="I1390" i="22" s="1"/>
  <c r="G1390" i="22"/>
  <c r="H1389" i="22"/>
  <c r="I1389" i="22" s="1"/>
  <c r="G1389" i="22"/>
  <c r="H1388" i="22"/>
  <c r="I1388" i="22" s="1"/>
  <c r="G1388" i="22"/>
  <c r="H1387" i="22"/>
  <c r="I1387" i="22" s="1"/>
  <c r="G1387" i="22"/>
  <c r="H1386" i="22"/>
  <c r="I1386" i="22" s="1"/>
  <c r="G1386" i="22"/>
  <c r="H1385" i="22"/>
  <c r="I1385" i="22" s="1"/>
  <c r="G1385" i="22"/>
  <c r="H1384" i="22"/>
  <c r="I1384" i="22" s="1"/>
  <c r="G1384" i="22"/>
  <c r="H1383" i="22"/>
  <c r="I1383" i="22" s="1"/>
  <c r="G1383" i="22"/>
  <c r="H1382" i="22"/>
  <c r="I1382" i="22" s="1"/>
  <c r="G1382" i="22"/>
  <c r="H1381" i="22"/>
  <c r="I1381" i="22" s="1"/>
  <c r="G1381" i="22"/>
  <c r="H1380" i="22"/>
  <c r="I1380" i="22" s="1"/>
  <c r="G1380" i="22"/>
  <c r="H1379" i="22"/>
  <c r="I1379" i="22" s="1"/>
  <c r="G1379" i="22"/>
  <c r="H1378" i="22"/>
  <c r="I1378" i="22" s="1"/>
  <c r="G1378" i="22"/>
  <c r="H1377" i="22"/>
  <c r="I1377" i="22" s="1"/>
  <c r="G1377" i="22"/>
  <c r="H1376" i="22"/>
  <c r="I1376" i="22" s="1"/>
  <c r="G1376" i="22"/>
  <c r="H1375" i="22"/>
  <c r="I1375" i="22" s="1"/>
  <c r="G1375" i="22"/>
  <c r="H1374" i="22"/>
  <c r="I1374" i="22" s="1"/>
  <c r="G1374" i="22"/>
  <c r="H1373" i="22"/>
  <c r="I1373" i="22" s="1"/>
  <c r="G1373" i="22"/>
  <c r="H1372" i="22"/>
  <c r="I1372" i="22" s="1"/>
  <c r="G1372" i="22"/>
  <c r="H1371" i="22"/>
  <c r="I1371" i="22" s="1"/>
  <c r="G1371" i="22"/>
  <c r="H1370" i="22"/>
  <c r="I1370" i="22" s="1"/>
  <c r="G1370" i="22"/>
  <c r="H1369" i="22"/>
  <c r="I1369" i="22" s="1"/>
  <c r="G1369" i="22"/>
  <c r="H1368" i="22"/>
  <c r="I1368" i="22" s="1"/>
  <c r="G1368" i="22"/>
  <c r="H1367" i="22"/>
  <c r="I1367" i="22" s="1"/>
  <c r="G1367" i="22"/>
  <c r="H1366" i="22"/>
  <c r="I1366" i="22" s="1"/>
  <c r="G1366" i="22"/>
  <c r="H1365" i="22"/>
  <c r="I1365" i="22" s="1"/>
  <c r="G1365" i="22"/>
  <c r="H1364" i="22"/>
  <c r="I1364" i="22" s="1"/>
  <c r="G1364" i="22"/>
  <c r="H1363" i="22"/>
  <c r="I1363" i="22" s="1"/>
  <c r="G1363" i="22"/>
  <c r="H1362" i="22"/>
  <c r="I1362" i="22" s="1"/>
  <c r="G1362" i="22"/>
  <c r="H1361" i="22"/>
  <c r="I1361" i="22" s="1"/>
  <c r="G1361" i="22"/>
  <c r="H1360" i="22"/>
  <c r="I1360" i="22" s="1"/>
  <c r="G1360" i="22"/>
  <c r="H1359" i="22"/>
  <c r="I1359" i="22" s="1"/>
  <c r="G1359" i="22"/>
  <c r="H1358" i="22"/>
  <c r="I1358" i="22" s="1"/>
  <c r="G1358" i="22"/>
  <c r="H1357" i="22"/>
  <c r="I1357" i="22" s="1"/>
  <c r="G1357" i="22"/>
  <c r="H1356" i="22"/>
  <c r="I1356" i="22" s="1"/>
  <c r="G1356" i="22"/>
  <c r="H1355" i="22"/>
  <c r="I1355" i="22" s="1"/>
  <c r="G1355" i="22"/>
  <c r="H1354" i="22"/>
  <c r="I1354" i="22" s="1"/>
  <c r="G1354" i="22"/>
  <c r="H1353" i="22"/>
  <c r="I1353" i="22" s="1"/>
  <c r="G1353" i="22"/>
  <c r="H1352" i="22"/>
  <c r="I1352" i="22" s="1"/>
  <c r="G1352" i="22"/>
  <c r="H1351" i="22"/>
  <c r="I1351" i="22" s="1"/>
  <c r="G1351" i="22"/>
  <c r="H1350" i="22"/>
  <c r="I1350" i="22" s="1"/>
  <c r="G1350" i="22"/>
  <c r="H1349" i="22"/>
  <c r="I1349" i="22" s="1"/>
  <c r="G1349" i="22"/>
  <c r="H1348" i="22"/>
  <c r="I1348" i="22" s="1"/>
  <c r="G1348" i="22"/>
  <c r="H1347" i="22"/>
  <c r="I1347" i="22" s="1"/>
  <c r="G1347" i="22"/>
  <c r="H1346" i="22"/>
  <c r="I1346" i="22" s="1"/>
  <c r="G1346" i="22"/>
  <c r="H1345" i="22"/>
  <c r="I1345" i="22" s="1"/>
  <c r="G1345" i="22"/>
  <c r="H1344" i="22"/>
  <c r="I1344" i="22" s="1"/>
  <c r="G1344" i="22"/>
  <c r="H1343" i="22"/>
  <c r="I1343" i="22" s="1"/>
  <c r="G1343" i="22"/>
  <c r="H1342" i="22"/>
  <c r="I1342" i="22" s="1"/>
  <c r="G1342" i="22"/>
  <c r="H1341" i="22"/>
  <c r="I1341" i="22" s="1"/>
  <c r="G1341" i="22"/>
  <c r="H1340" i="22"/>
  <c r="I1340" i="22" s="1"/>
  <c r="G1340" i="22"/>
  <c r="H1339" i="22"/>
  <c r="I1339" i="22" s="1"/>
  <c r="G1339" i="22"/>
  <c r="H1338" i="22"/>
  <c r="I1338" i="22" s="1"/>
  <c r="G1338" i="22"/>
  <c r="H1337" i="22"/>
  <c r="I1337" i="22" s="1"/>
  <c r="G1337" i="22"/>
  <c r="H1336" i="22"/>
  <c r="I1336" i="22" s="1"/>
  <c r="G1336" i="22"/>
  <c r="H1335" i="22"/>
  <c r="I1335" i="22" s="1"/>
  <c r="G1335" i="22"/>
  <c r="H1334" i="22"/>
  <c r="I1334" i="22" s="1"/>
  <c r="G1334" i="22"/>
  <c r="H1333" i="22"/>
  <c r="I1333" i="22" s="1"/>
  <c r="G1333" i="22"/>
  <c r="H1332" i="22"/>
  <c r="I1332" i="22" s="1"/>
  <c r="G1332" i="22"/>
  <c r="H1331" i="22"/>
  <c r="I1331" i="22" s="1"/>
  <c r="G1331" i="22"/>
  <c r="H1330" i="22"/>
  <c r="I1330" i="22" s="1"/>
  <c r="G1330" i="22"/>
  <c r="H1329" i="22"/>
  <c r="I1329" i="22" s="1"/>
  <c r="G1329" i="22"/>
  <c r="H1328" i="22"/>
  <c r="I1328" i="22" s="1"/>
  <c r="G1328" i="22"/>
  <c r="H1327" i="22"/>
  <c r="I1327" i="22" s="1"/>
  <c r="G1327" i="22"/>
  <c r="H1326" i="22"/>
  <c r="I1326" i="22" s="1"/>
  <c r="G1326" i="22"/>
  <c r="H1325" i="22"/>
  <c r="I1325" i="22" s="1"/>
  <c r="G1325" i="22"/>
  <c r="H1324" i="22"/>
  <c r="I1324" i="22" s="1"/>
  <c r="G1324" i="22"/>
  <c r="H1323" i="22"/>
  <c r="I1323" i="22" s="1"/>
  <c r="G1323" i="22"/>
  <c r="H1322" i="22"/>
  <c r="I1322" i="22" s="1"/>
  <c r="G1322" i="22"/>
  <c r="H1321" i="22"/>
  <c r="I1321" i="22" s="1"/>
  <c r="G1321" i="22"/>
  <c r="H1320" i="22"/>
  <c r="I1320" i="22" s="1"/>
  <c r="G1320" i="22"/>
  <c r="H1319" i="22"/>
  <c r="I1319" i="22" s="1"/>
  <c r="G1319" i="22"/>
  <c r="H1318" i="22"/>
  <c r="I1318" i="22" s="1"/>
  <c r="G1318" i="22"/>
  <c r="H1317" i="22"/>
  <c r="I1317" i="22" s="1"/>
  <c r="G1317" i="22"/>
  <c r="H1316" i="22"/>
  <c r="I1316" i="22" s="1"/>
  <c r="G1316" i="22"/>
  <c r="H1315" i="22"/>
  <c r="I1315" i="22" s="1"/>
  <c r="G1315" i="22"/>
  <c r="H1314" i="22"/>
  <c r="I1314" i="22" s="1"/>
  <c r="G1314" i="22"/>
  <c r="H1313" i="22"/>
  <c r="I1313" i="22" s="1"/>
  <c r="G1313" i="22"/>
  <c r="H1312" i="22"/>
  <c r="I1312" i="22" s="1"/>
  <c r="G1312" i="22"/>
  <c r="H1311" i="22"/>
  <c r="I1311" i="22" s="1"/>
  <c r="G1311" i="22"/>
  <c r="H1310" i="22"/>
  <c r="I1310" i="22" s="1"/>
  <c r="G1310" i="22"/>
  <c r="H1309" i="22"/>
  <c r="I1309" i="22" s="1"/>
  <c r="G1309" i="22"/>
  <c r="H1308" i="22"/>
  <c r="I1308" i="22" s="1"/>
  <c r="G1308" i="22"/>
  <c r="H1307" i="22"/>
  <c r="I1307" i="22" s="1"/>
  <c r="G1307" i="22"/>
  <c r="H1306" i="22"/>
  <c r="I1306" i="22" s="1"/>
  <c r="G1306" i="22"/>
  <c r="H1305" i="22"/>
  <c r="I1305" i="22" s="1"/>
  <c r="G1305" i="22"/>
  <c r="H1304" i="22"/>
  <c r="I1304" i="22" s="1"/>
  <c r="G1304" i="22"/>
  <c r="H1303" i="22"/>
  <c r="I1303" i="22" s="1"/>
  <c r="G1303" i="22"/>
  <c r="H1302" i="22"/>
  <c r="I1302" i="22" s="1"/>
  <c r="G1302" i="22"/>
  <c r="H1301" i="22"/>
  <c r="I1301" i="22" s="1"/>
  <c r="G1301" i="22"/>
  <c r="H1300" i="22"/>
  <c r="I1300" i="22" s="1"/>
  <c r="G1300" i="22"/>
  <c r="H1299" i="22"/>
  <c r="I1299" i="22" s="1"/>
  <c r="G1299" i="22"/>
  <c r="H1298" i="22"/>
  <c r="I1298" i="22" s="1"/>
  <c r="G1298" i="22"/>
  <c r="H1297" i="22"/>
  <c r="I1297" i="22" s="1"/>
  <c r="G1297" i="22"/>
  <c r="H1296" i="22"/>
  <c r="I1296" i="22" s="1"/>
  <c r="G1296" i="22"/>
  <c r="H1295" i="22"/>
  <c r="I1295" i="22" s="1"/>
  <c r="G1295" i="22"/>
  <c r="H1294" i="22"/>
  <c r="I1294" i="22" s="1"/>
  <c r="G1294" i="22"/>
  <c r="H1293" i="22"/>
  <c r="I1293" i="22" s="1"/>
  <c r="G1293" i="22"/>
  <c r="H1292" i="22"/>
  <c r="I1292" i="22" s="1"/>
  <c r="G1292" i="22"/>
  <c r="H1291" i="22"/>
  <c r="I1291" i="22" s="1"/>
  <c r="G1291" i="22"/>
  <c r="H1290" i="22"/>
  <c r="I1290" i="22" s="1"/>
  <c r="G1290" i="22"/>
  <c r="H1289" i="22"/>
  <c r="I1289" i="22" s="1"/>
  <c r="G1289" i="22"/>
  <c r="H1288" i="22"/>
  <c r="I1288" i="22" s="1"/>
  <c r="G1288" i="22"/>
  <c r="H1287" i="22"/>
  <c r="I1287" i="22" s="1"/>
  <c r="G1287" i="22"/>
  <c r="H1286" i="22"/>
  <c r="I1286" i="22" s="1"/>
  <c r="G1286" i="22"/>
  <c r="H1285" i="22"/>
  <c r="I1285" i="22" s="1"/>
  <c r="G1285" i="22"/>
  <c r="H1284" i="22"/>
  <c r="I1284" i="22" s="1"/>
  <c r="G1284" i="22"/>
  <c r="H1283" i="22"/>
  <c r="I1283" i="22" s="1"/>
  <c r="G1283" i="22"/>
  <c r="H1282" i="22"/>
  <c r="I1282" i="22" s="1"/>
  <c r="G1282" i="22"/>
  <c r="H1281" i="22"/>
  <c r="I1281" i="22" s="1"/>
  <c r="G1281" i="22"/>
  <c r="H1280" i="22"/>
  <c r="I1280" i="22" s="1"/>
  <c r="G1280" i="22"/>
  <c r="H1279" i="22"/>
  <c r="I1279" i="22" s="1"/>
  <c r="G1279" i="22"/>
  <c r="H1278" i="22"/>
  <c r="I1278" i="22" s="1"/>
  <c r="G1278" i="22"/>
  <c r="H1277" i="22"/>
  <c r="I1277" i="22" s="1"/>
  <c r="G1277" i="22"/>
  <c r="H1276" i="22"/>
  <c r="I1276" i="22" s="1"/>
  <c r="G1276" i="22"/>
  <c r="H1275" i="22"/>
  <c r="I1275" i="22" s="1"/>
  <c r="G1275" i="22"/>
  <c r="H1274" i="22"/>
  <c r="I1274" i="22" s="1"/>
  <c r="G1274" i="22"/>
  <c r="H1273" i="22"/>
  <c r="I1273" i="22" s="1"/>
  <c r="G1273" i="22"/>
  <c r="H1272" i="22"/>
  <c r="I1272" i="22" s="1"/>
  <c r="G1272" i="22"/>
  <c r="H1271" i="22"/>
  <c r="I1271" i="22" s="1"/>
  <c r="G1271" i="22"/>
  <c r="H1270" i="22"/>
  <c r="I1270" i="22" s="1"/>
  <c r="G1270" i="22"/>
  <c r="H1269" i="22"/>
  <c r="I1269" i="22" s="1"/>
  <c r="G1269" i="22"/>
  <c r="H1268" i="22"/>
  <c r="I1268" i="22" s="1"/>
  <c r="G1268" i="22"/>
  <c r="H1267" i="22"/>
  <c r="I1267" i="22" s="1"/>
  <c r="G1267" i="22"/>
  <c r="H1266" i="22"/>
  <c r="I1266" i="22" s="1"/>
  <c r="G1266" i="22"/>
  <c r="H1265" i="22"/>
  <c r="I1265" i="22" s="1"/>
  <c r="G1265" i="22"/>
  <c r="H1264" i="22"/>
  <c r="I1264" i="22" s="1"/>
  <c r="G1264" i="22"/>
  <c r="H1263" i="22"/>
  <c r="I1263" i="22" s="1"/>
  <c r="G1263" i="22"/>
  <c r="H1262" i="22"/>
  <c r="I1262" i="22" s="1"/>
  <c r="G1262" i="22"/>
  <c r="H1261" i="22"/>
  <c r="I1261" i="22" s="1"/>
  <c r="G1261" i="22"/>
  <c r="H1260" i="22"/>
  <c r="I1260" i="22" s="1"/>
  <c r="G1260" i="22"/>
  <c r="H1259" i="22"/>
  <c r="I1259" i="22" s="1"/>
  <c r="G1259" i="22"/>
  <c r="H1258" i="22"/>
  <c r="I1258" i="22" s="1"/>
  <c r="G1258" i="22"/>
  <c r="H1257" i="22"/>
  <c r="I1257" i="22" s="1"/>
  <c r="G1257" i="22"/>
  <c r="H1256" i="22"/>
  <c r="I1256" i="22" s="1"/>
  <c r="G1256" i="22"/>
  <c r="H1255" i="22"/>
  <c r="I1255" i="22" s="1"/>
  <c r="G1255" i="22"/>
  <c r="H1254" i="22"/>
  <c r="I1254" i="22" s="1"/>
  <c r="G1254" i="22"/>
  <c r="H1253" i="22"/>
  <c r="I1253" i="22" s="1"/>
  <c r="G1253" i="22"/>
  <c r="H1252" i="22"/>
  <c r="I1252" i="22" s="1"/>
  <c r="G1252" i="22"/>
  <c r="H1251" i="22"/>
  <c r="I1251" i="22" s="1"/>
  <c r="G1251" i="22"/>
  <c r="H1250" i="22"/>
  <c r="I1250" i="22" s="1"/>
  <c r="G1250" i="22"/>
  <c r="H1249" i="22"/>
  <c r="I1249" i="22" s="1"/>
  <c r="G1249" i="22"/>
  <c r="H1248" i="22"/>
  <c r="I1248" i="22" s="1"/>
  <c r="G1248" i="22"/>
  <c r="H1247" i="22"/>
  <c r="I1247" i="22" s="1"/>
  <c r="G1247" i="22"/>
  <c r="H1246" i="22"/>
  <c r="I1246" i="22" s="1"/>
  <c r="G1246" i="22"/>
  <c r="H1245" i="22"/>
  <c r="I1245" i="22" s="1"/>
  <c r="G1245" i="22"/>
  <c r="H1244" i="22"/>
  <c r="I1244" i="22" s="1"/>
  <c r="G1244" i="22"/>
  <c r="H1243" i="22"/>
  <c r="I1243" i="22" s="1"/>
  <c r="G1243" i="22"/>
  <c r="H1242" i="22"/>
  <c r="I1242" i="22" s="1"/>
  <c r="G1242" i="22"/>
  <c r="H1241" i="22"/>
  <c r="I1241" i="22" s="1"/>
  <c r="G1241" i="22"/>
  <c r="H1240" i="22"/>
  <c r="I1240" i="22" s="1"/>
  <c r="G1240" i="22"/>
  <c r="H1239" i="22"/>
  <c r="I1239" i="22" s="1"/>
  <c r="G1239" i="22"/>
  <c r="H1238" i="22"/>
  <c r="I1238" i="22" s="1"/>
  <c r="G1238" i="22"/>
  <c r="H1237" i="22"/>
  <c r="I1237" i="22" s="1"/>
  <c r="G1237" i="22"/>
  <c r="H1236" i="22"/>
  <c r="I1236" i="22" s="1"/>
  <c r="G1236" i="22"/>
  <c r="H1235" i="22"/>
  <c r="I1235" i="22" s="1"/>
  <c r="G1235" i="22"/>
  <c r="H1234" i="22"/>
  <c r="I1234" i="22" s="1"/>
  <c r="G1234" i="22"/>
  <c r="H1233" i="22"/>
  <c r="I1233" i="22" s="1"/>
  <c r="G1233" i="22"/>
  <c r="H1232" i="22"/>
  <c r="I1232" i="22" s="1"/>
  <c r="G1232" i="22"/>
  <c r="H1231" i="22"/>
  <c r="I1231" i="22" s="1"/>
  <c r="G1231" i="22"/>
  <c r="H1230" i="22"/>
  <c r="I1230" i="22" s="1"/>
  <c r="G1230" i="22"/>
  <c r="H1229" i="22"/>
  <c r="I1229" i="22" s="1"/>
  <c r="G1229" i="22"/>
  <c r="H1228" i="22"/>
  <c r="I1228" i="22" s="1"/>
  <c r="G1228" i="22"/>
  <c r="H1227" i="22"/>
  <c r="I1227" i="22" s="1"/>
  <c r="G1227" i="22"/>
  <c r="H1226" i="22"/>
  <c r="I1226" i="22" s="1"/>
  <c r="G1226" i="22"/>
  <c r="H1225" i="22"/>
  <c r="I1225" i="22" s="1"/>
  <c r="G1225" i="22"/>
  <c r="H1224" i="22"/>
  <c r="I1224" i="22" s="1"/>
  <c r="G1224" i="22"/>
  <c r="H1223" i="22"/>
  <c r="I1223" i="22" s="1"/>
  <c r="G1223" i="22"/>
  <c r="H1222" i="22"/>
  <c r="I1222" i="22" s="1"/>
  <c r="G1222" i="22"/>
  <c r="H1221" i="22"/>
  <c r="I1221" i="22" s="1"/>
  <c r="G1221" i="22"/>
  <c r="H1220" i="22"/>
  <c r="I1220" i="22" s="1"/>
  <c r="G1220" i="22"/>
  <c r="H1219" i="22"/>
  <c r="I1219" i="22" s="1"/>
  <c r="G1219" i="22"/>
  <c r="H1218" i="22"/>
  <c r="I1218" i="22" s="1"/>
  <c r="G1218" i="22"/>
  <c r="H1217" i="22"/>
  <c r="I1217" i="22" s="1"/>
  <c r="G1217" i="22"/>
  <c r="H1216" i="22"/>
  <c r="I1216" i="22" s="1"/>
  <c r="G1216" i="22"/>
  <c r="H1215" i="22"/>
  <c r="I1215" i="22" s="1"/>
  <c r="G1215" i="22"/>
  <c r="H1214" i="22"/>
  <c r="I1214" i="22" s="1"/>
  <c r="G1214" i="22"/>
  <c r="H1213" i="22"/>
  <c r="I1213" i="22" s="1"/>
  <c r="G1213" i="22"/>
  <c r="H1212" i="22"/>
  <c r="I1212" i="22" s="1"/>
  <c r="G1212" i="22"/>
  <c r="H1211" i="22"/>
  <c r="I1211" i="22" s="1"/>
  <c r="G1211" i="22"/>
  <c r="H1210" i="22"/>
  <c r="I1210" i="22" s="1"/>
  <c r="G1210" i="22"/>
  <c r="H1209" i="22"/>
  <c r="I1209" i="22" s="1"/>
  <c r="G1209" i="22"/>
  <c r="H1208" i="22"/>
  <c r="I1208" i="22" s="1"/>
  <c r="G1208" i="22"/>
  <c r="H1207" i="22"/>
  <c r="I1207" i="22" s="1"/>
  <c r="G1207" i="22"/>
  <c r="H1206" i="22"/>
  <c r="I1206" i="22" s="1"/>
  <c r="G1206" i="22"/>
  <c r="H1205" i="22"/>
  <c r="I1205" i="22" s="1"/>
  <c r="G1205" i="22"/>
  <c r="H1204" i="22"/>
  <c r="I1204" i="22" s="1"/>
  <c r="G1204" i="22"/>
  <c r="H1203" i="22"/>
  <c r="I1203" i="22" s="1"/>
  <c r="G1203" i="22"/>
  <c r="H1202" i="22"/>
  <c r="I1202" i="22" s="1"/>
  <c r="G1202" i="22"/>
  <c r="H1201" i="22"/>
  <c r="I1201" i="22" s="1"/>
  <c r="G1201" i="22"/>
  <c r="H1200" i="22"/>
  <c r="I1200" i="22" s="1"/>
  <c r="G1200" i="22"/>
  <c r="H1199" i="22"/>
  <c r="I1199" i="22" s="1"/>
  <c r="G1199" i="22"/>
  <c r="H1198" i="22"/>
  <c r="I1198" i="22" s="1"/>
  <c r="G1198" i="22"/>
  <c r="H1197" i="22"/>
  <c r="I1197" i="22" s="1"/>
  <c r="G1197" i="22"/>
  <c r="H1196" i="22"/>
  <c r="I1196" i="22" s="1"/>
  <c r="G1196" i="22"/>
  <c r="H1195" i="22"/>
  <c r="I1195" i="22" s="1"/>
  <c r="G1195" i="22"/>
  <c r="H1194" i="22"/>
  <c r="I1194" i="22" s="1"/>
  <c r="G1194" i="22"/>
  <c r="H1193" i="22"/>
  <c r="I1193" i="22" s="1"/>
  <c r="G1193" i="22"/>
  <c r="H1192" i="22"/>
  <c r="I1192" i="22" s="1"/>
  <c r="G1192" i="22"/>
  <c r="H1191" i="22"/>
  <c r="I1191" i="22" s="1"/>
  <c r="G1191" i="22"/>
  <c r="H1190" i="22"/>
  <c r="I1190" i="22" s="1"/>
  <c r="G1190" i="22"/>
  <c r="H1189" i="22"/>
  <c r="I1189" i="22" s="1"/>
  <c r="G1189" i="22"/>
  <c r="H1188" i="22"/>
  <c r="I1188" i="22" s="1"/>
  <c r="G1188" i="22"/>
  <c r="H1187" i="22"/>
  <c r="I1187" i="22" s="1"/>
  <c r="G1187" i="22"/>
  <c r="H1186" i="22"/>
  <c r="I1186" i="22" s="1"/>
  <c r="G1186" i="22"/>
  <c r="H1185" i="22"/>
  <c r="I1185" i="22" s="1"/>
  <c r="G1185" i="22"/>
  <c r="H1184" i="22"/>
  <c r="I1184" i="22" s="1"/>
  <c r="G1184" i="22"/>
  <c r="H1183" i="22"/>
  <c r="I1183" i="22" s="1"/>
  <c r="G1183" i="22"/>
  <c r="H1182" i="22"/>
  <c r="I1182" i="22" s="1"/>
  <c r="G1182" i="22"/>
  <c r="H1181" i="22"/>
  <c r="I1181" i="22" s="1"/>
  <c r="G1181" i="22"/>
  <c r="H1180" i="22"/>
  <c r="I1180" i="22" s="1"/>
  <c r="G1180" i="22"/>
  <c r="H1179" i="22"/>
  <c r="I1179" i="22" s="1"/>
  <c r="G1179" i="22"/>
  <c r="H1178" i="22"/>
  <c r="I1178" i="22" s="1"/>
  <c r="G1178" i="22"/>
  <c r="H1177" i="22"/>
  <c r="I1177" i="22" s="1"/>
  <c r="G1177" i="22"/>
  <c r="H1176" i="22"/>
  <c r="I1176" i="22" s="1"/>
  <c r="G1176" i="22"/>
  <c r="H1175" i="22"/>
  <c r="I1175" i="22" s="1"/>
  <c r="G1175" i="22"/>
  <c r="H1174" i="22"/>
  <c r="I1174" i="22" s="1"/>
  <c r="G1174" i="22"/>
  <c r="H1173" i="22"/>
  <c r="I1173" i="22" s="1"/>
  <c r="G1173" i="22"/>
  <c r="H1172" i="22"/>
  <c r="I1172" i="22" s="1"/>
  <c r="G1172" i="22"/>
  <c r="H1171" i="22"/>
  <c r="I1171" i="22" s="1"/>
  <c r="G1171" i="22"/>
  <c r="H1170" i="22"/>
  <c r="I1170" i="22" s="1"/>
  <c r="G1170" i="22"/>
  <c r="H1169" i="22"/>
  <c r="I1169" i="22" s="1"/>
  <c r="G1169" i="22"/>
  <c r="H1168" i="22"/>
  <c r="I1168" i="22" s="1"/>
  <c r="G1168" i="22"/>
  <c r="H1167" i="22"/>
  <c r="I1167" i="22" s="1"/>
  <c r="G1167" i="22"/>
  <c r="H1166" i="22"/>
  <c r="I1166" i="22" s="1"/>
  <c r="G1166" i="22"/>
  <c r="H1165" i="22"/>
  <c r="I1165" i="22" s="1"/>
  <c r="G1165" i="22"/>
  <c r="H1164" i="22"/>
  <c r="I1164" i="22" s="1"/>
  <c r="G1164" i="22"/>
  <c r="H1163" i="22"/>
  <c r="I1163" i="22" s="1"/>
  <c r="G1163" i="22"/>
  <c r="H1162" i="22"/>
  <c r="I1162" i="22" s="1"/>
  <c r="G1162" i="22"/>
  <c r="H1161" i="22"/>
  <c r="I1161" i="22" s="1"/>
  <c r="G1161" i="22"/>
  <c r="H1160" i="22"/>
  <c r="I1160" i="22" s="1"/>
  <c r="G1160" i="22"/>
  <c r="H1159" i="22"/>
  <c r="I1159" i="22" s="1"/>
  <c r="G1159" i="22"/>
  <c r="H1158" i="22"/>
  <c r="I1158" i="22" s="1"/>
  <c r="G1158" i="22"/>
  <c r="H1157" i="22"/>
  <c r="I1157" i="22" s="1"/>
  <c r="G1157" i="22"/>
  <c r="H1156" i="22"/>
  <c r="I1156" i="22" s="1"/>
  <c r="G1156" i="22"/>
  <c r="H1155" i="22"/>
  <c r="I1155" i="22" s="1"/>
  <c r="G1155" i="22"/>
  <c r="H1154" i="22"/>
  <c r="I1154" i="22" s="1"/>
  <c r="G1154" i="22"/>
  <c r="H1153" i="22"/>
  <c r="I1153" i="22" s="1"/>
  <c r="G1153" i="22"/>
  <c r="H1152" i="22"/>
  <c r="I1152" i="22" s="1"/>
  <c r="G1152" i="22"/>
  <c r="H1151" i="22"/>
  <c r="I1151" i="22" s="1"/>
  <c r="G1151" i="22"/>
  <c r="H1150" i="22"/>
  <c r="I1150" i="22" s="1"/>
  <c r="G1150" i="22"/>
  <c r="H1149" i="22"/>
  <c r="I1149" i="22" s="1"/>
  <c r="G1149" i="22"/>
  <c r="H1148" i="22"/>
  <c r="I1148" i="22" s="1"/>
  <c r="G1148" i="22"/>
  <c r="H1147" i="22"/>
  <c r="I1147" i="22" s="1"/>
  <c r="G1147" i="22"/>
  <c r="H1146" i="22"/>
  <c r="I1146" i="22" s="1"/>
  <c r="G1146" i="22"/>
  <c r="H1145" i="22"/>
  <c r="I1145" i="22" s="1"/>
  <c r="G1145" i="22"/>
  <c r="H1144" i="22"/>
  <c r="I1144" i="22" s="1"/>
  <c r="G1144" i="22"/>
  <c r="H1143" i="22"/>
  <c r="I1143" i="22" s="1"/>
  <c r="G1143" i="22"/>
  <c r="H1142" i="22"/>
  <c r="I1142" i="22" s="1"/>
  <c r="G1142" i="22"/>
  <c r="H1141" i="22"/>
  <c r="I1141" i="22" s="1"/>
  <c r="G1141" i="22"/>
  <c r="H1140" i="22"/>
  <c r="I1140" i="22" s="1"/>
  <c r="G1140" i="22"/>
  <c r="H1139" i="22"/>
  <c r="I1139" i="22" s="1"/>
  <c r="G1139" i="22"/>
  <c r="H1138" i="22"/>
  <c r="I1138" i="22" s="1"/>
  <c r="G1138" i="22"/>
  <c r="H1137" i="22"/>
  <c r="I1137" i="22" s="1"/>
  <c r="G1137" i="22"/>
  <c r="H1136" i="22"/>
  <c r="I1136" i="22" s="1"/>
  <c r="G1136" i="22"/>
  <c r="H1135" i="22"/>
  <c r="I1135" i="22" s="1"/>
  <c r="G1135" i="22"/>
  <c r="H1134" i="22"/>
  <c r="I1134" i="22" s="1"/>
  <c r="G1134" i="22"/>
  <c r="H1133" i="22"/>
  <c r="I1133" i="22" s="1"/>
  <c r="G1133" i="22"/>
  <c r="H1132" i="22"/>
  <c r="I1132" i="22" s="1"/>
  <c r="G1132" i="22"/>
  <c r="H1131" i="22"/>
  <c r="I1131" i="22" s="1"/>
  <c r="G1131" i="22"/>
  <c r="H1130" i="22"/>
  <c r="I1130" i="22" s="1"/>
  <c r="G1130" i="22"/>
  <c r="H1129" i="22"/>
  <c r="I1129" i="22" s="1"/>
  <c r="G1129" i="22"/>
  <c r="H1128" i="22"/>
  <c r="I1128" i="22" s="1"/>
  <c r="G1128" i="22"/>
  <c r="H1127" i="22"/>
  <c r="I1127" i="22" s="1"/>
  <c r="G1127" i="22"/>
  <c r="H1126" i="22"/>
  <c r="I1126" i="22" s="1"/>
  <c r="G1126" i="22"/>
  <c r="H1125" i="22"/>
  <c r="I1125" i="22" s="1"/>
  <c r="G1125" i="22"/>
  <c r="H1124" i="22"/>
  <c r="I1124" i="22" s="1"/>
  <c r="G1124" i="22"/>
  <c r="H1123" i="22"/>
  <c r="I1123" i="22" s="1"/>
  <c r="G1123" i="22"/>
  <c r="H1122" i="22"/>
  <c r="I1122" i="22" s="1"/>
  <c r="G1122" i="22"/>
  <c r="H1121" i="22"/>
  <c r="I1121" i="22" s="1"/>
  <c r="G1121" i="22"/>
  <c r="H1120" i="22"/>
  <c r="I1120" i="22" s="1"/>
  <c r="G1120" i="22"/>
  <c r="H1119" i="22"/>
  <c r="I1119" i="22" s="1"/>
  <c r="G1119" i="22"/>
  <c r="H1118" i="22"/>
  <c r="I1118" i="22" s="1"/>
  <c r="G1118" i="22"/>
  <c r="H1117" i="22"/>
  <c r="I1117" i="22" s="1"/>
  <c r="G1117" i="22"/>
  <c r="H1116" i="22"/>
  <c r="I1116" i="22" s="1"/>
  <c r="G1116" i="22"/>
  <c r="H1115" i="22"/>
  <c r="I1115" i="22" s="1"/>
  <c r="G1115" i="22"/>
  <c r="H1114" i="22"/>
  <c r="I1114" i="22" s="1"/>
  <c r="G1114" i="22"/>
  <c r="H1113" i="22"/>
  <c r="I1113" i="22" s="1"/>
  <c r="G1113" i="22"/>
  <c r="H1112" i="22"/>
  <c r="I1112" i="22" s="1"/>
  <c r="G1112" i="22"/>
  <c r="H1111" i="22"/>
  <c r="I1111" i="22" s="1"/>
  <c r="G1111" i="22"/>
  <c r="H1110" i="22"/>
  <c r="I1110" i="22" s="1"/>
  <c r="G1110" i="22"/>
  <c r="H1109" i="22"/>
  <c r="I1109" i="22" s="1"/>
  <c r="G1109" i="22"/>
  <c r="H1108" i="22"/>
  <c r="I1108" i="22" s="1"/>
  <c r="G1108" i="22"/>
  <c r="H1107" i="22"/>
  <c r="I1107" i="22" s="1"/>
  <c r="G1107" i="22"/>
  <c r="H1106" i="22"/>
  <c r="I1106" i="22" s="1"/>
  <c r="G1106" i="22"/>
  <c r="H1105" i="22"/>
  <c r="I1105" i="22" s="1"/>
  <c r="G1105" i="22"/>
  <c r="H1104" i="22"/>
  <c r="I1104" i="22" s="1"/>
  <c r="G1104" i="22"/>
  <c r="H1103" i="22"/>
  <c r="I1103" i="22" s="1"/>
  <c r="G1103" i="22"/>
  <c r="H1102" i="22"/>
  <c r="I1102" i="22" s="1"/>
  <c r="G1102" i="22"/>
  <c r="H1101" i="22"/>
  <c r="I1101" i="22" s="1"/>
  <c r="G1101" i="22"/>
  <c r="H1100" i="22"/>
  <c r="I1100" i="22" s="1"/>
  <c r="G1100" i="22"/>
  <c r="H1099" i="22"/>
  <c r="I1099" i="22" s="1"/>
  <c r="G1099" i="22"/>
  <c r="H1098" i="22"/>
  <c r="I1098" i="22" s="1"/>
  <c r="G1098" i="22"/>
  <c r="H1097" i="22"/>
  <c r="I1097" i="22" s="1"/>
  <c r="G1097" i="22"/>
  <c r="H1096" i="22"/>
  <c r="I1096" i="22" s="1"/>
  <c r="G1096" i="22"/>
  <c r="H1095" i="22"/>
  <c r="I1095" i="22" s="1"/>
  <c r="G1095" i="22"/>
  <c r="H1094" i="22"/>
  <c r="I1094" i="22" s="1"/>
  <c r="G1094" i="22"/>
  <c r="H1093" i="22"/>
  <c r="I1093" i="22" s="1"/>
  <c r="G1093" i="22"/>
  <c r="H1092" i="22"/>
  <c r="I1092" i="22" s="1"/>
  <c r="G1092" i="22"/>
  <c r="H1091" i="22"/>
  <c r="I1091" i="22" s="1"/>
  <c r="G1091" i="22"/>
  <c r="H1090" i="22"/>
  <c r="I1090" i="22" s="1"/>
  <c r="G1090" i="22"/>
  <c r="H1089" i="22"/>
  <c r="I1089" i="22" s="1"/>
  <c r="G1089" i="22"/>
  <c r="H1088" i="22"/>
  <c r="I1088" i="22" s="1"/>
  <c r="G1088" i="22"/>
  <c r="H1087" i="22"/>
  <c r="I1087" i="22" s="1"/>
  <c r="G1087" i="22"/>
  <c r="H1086" i="22"/>
  <c r="I1086" i="22" s="1"/>
  <c r="G1086" i="22"/>
  <c r="H1085" i="22"/>
  <c r="I1085" i="22" s="1"/>
  <c r="G1085" i="22"/>
  <c r="H1084" i="22"/>
  <c r="I1084" i="22" s="1"/>
  <c r="G1084" i="22"/>
  <c r="H1083" i="22"/>
  <c r="I1083" i="22" s="1"/>
  <c r="G1083" i="22"/>
  <c r="H1082" i="22"/>
  <c r="I1082" i="22" s="1"/>
  <c r="G1082" i="22"/>
  <c r="H1081" i="22"/>
  <c r="I1081" i="22" s="1"/>
  <c r="G1081" i="22"/>
  <c r="H1080" i="22"/>
  <c r="I1080" i="22" s="1"/>
  <c r="G1080" i="22"/>
  <c r="H1079" i="22"/>
  <c r="I1079" i="22" s="1"/>
  <c r="G1079" i="22"/>
  <c r="H1078" i="22"/>
  <c r="I1078" i="22" s="1"/>
  <c r="G1078" i="22"/>
  <c r="H1077" i="22"/>
  <c r="I1077" i="22" s="1"/>
  <c r="G1077" i="22"/>
  <c r="H1076" i="22"/>
  <c r="I1076" i="22" s="1"/>
  <c r="G1076" i="22"/>
  <c r="H1075" i="22"/>
  <c r="I1075" i="22" s="1"/>
  <c r="G1075" i="22"/>
  <c r="H1074" i="22"/>
  <c r="I1074" i="22" s="1"/>
  <c r="G1074" i="22"/>
  <c r="H1073" i="22"/>
  <c r="I1073" i="22" s="1"/>
  <c r="G1073" i="22"/>
  <c r="H1072" i="22"/>
  <c r="I1072" i="22" s="1"/>
  <c r="G1072" i="22"/>
  <c r="H1071" i="22"/>
  <c r="I1071" i="22" s="1"/>
  <c r="G1071" i="22"/>
  <c r="H1070" i="22"/>
  <c r="I1070" i="22" s="1"/>
  <c r="G1070" i="22"/>
  <c r="H1069" i="22"/>
  <c r="I1069" i="22" s="1"/>
  <c r="G1069" i="22"/>
  <c r="H1068" i="22"/>
  <c r="I1068" i="22" s="1"/>
  <c r="G1068" i="22"/>
  <c r="H1067" i="22"/>
  <c r="I1067" i="22" s="1"/>
  <c r="G1067" i="22"/>
  <c r="H1066" i="22"/>
  <c r="I1066" i="22" s="1"/>
  <c r="G1066" i="22"/>
  <c r="H1065" i="22"/>
  <c r="I1065" i="22" s="1"/>
  <c r="G1065" i="22"/>
  <c r="H1064" i="22"/>
  <c r="I1064" i="22" s="1"/>
  <c r="G1064" i="22"/>
  <c r="H1063" i="22"/>
  <c r="I1063" i="22" s="1"/>
  <c r="G1063" i="22"/>
  <c r="H1062" i="22"/>
  <c r="I1062" i="22" s="1"/>
  <c r="G1062" i="22"/>
  <c r="H1061" i="22"/>
  <c r="I1061" i="22" s="1"/>
  <c r="G1061" i="22"/>
  <c r="H1060" i="22"/>
  <c r="I1060" i="22" s="1"/>
  <c r="G1060" i="22"/>
  <c r="H1059" i="22"/>
  <c r="I1059" i="22" s="1"/>
  <c r="G1059" i="22"/>
  <c r="H1058" i="22"/>
  <c r="I1058" i="22" s="1"/>
  <c r="G1058" i="22"/>
  <c r="H1057" i="22"/>
  <c r="I1057" i="22" s="1"/>
  <c r="G1057" i="22"/>
  <c r="H1056" i="22"/>
  <c r="I1056" i="22" s="1"/>
  <c r="G1056" i="22"/>
  <c r="H1055" i="22"/>
  <c r="I1055" i="22" s="1"/>
  <c r="G1055" i="22"/>
  <c r="H1054" i="22"/>
  <c r="I1054" i="22" s="1"/>
  <c r="G1054" i="22"/>
  <c r="H1053" i="22"/>
  <c r="I1053" i="22" s="1"/>
  <c r="G1053" i="22"/>
  <c r="H1052" i="22"/>
  <c r="I1052" i="22" s="1"/>
  <c r="G1052" i="22"/>
  <c r="H1051" i="22"/>
  <c r="I1051" i="22" s="1"/>
  <c r="G1051" i="22"/>
  <c r="H1050" i="22"/>
  <c r="I1050" i="22" s="1"/>
  <c r="G1050" i="22"/>
  <c r="H1049" i="22"/>
  <c r="I1049" i="22" s="1"/>
  <c r="G1049" i="22"/>
  <c r="H1048" i="22"/>
  <c r="I1048" i="22" s="1"/>
  <c r="G1048" i="22"/>
  <c r="H1047" i="22"/>
  <c r="I1047" i="22" s="1"/>
  <c r="G1047" i="22"/>
  <c r="H1046" i="22"/>
  <c r="I1046" i="22" s="1"/>
  <c r="G1046" i="22"/>
  <c r="H1045" i="22"/>
  <c r="I1045" i="22" s="1"/>
  <c r="G1045" i="22"/>
  <c r="H1044" i="22"/>
  <c r="I1044" i="22" s="1"/>
  <c r="G1044" i="22"/>
  <c r="H1043" i="22"/>
  <c r="I1043" i="22" s="1"/>
  <c r="G1043" i="22"/>
  <c r="H1042" i="22"/>
  <c r="I1042" i="22" s="1"/>
  <c r="G1042" i="22"/>
  <c r="H1041" i="22"/>
  <c r="I1041" i="22" s="1"/>
  <c r="G1041" i="22"/>
  <c r="H1040" i="22"/>
  <c r="I1040" i="22" s="1"/>
  <c r="G1040" i="22"/>
  <c r="H1039" i="22"/>
  <c r="I1039" i="22" s="1"/>
  <c r="G1039" i="22"/>
  <c r="H1038" i="22"/>
  <c r="I1038" i="22" s="1"/>
  <c r="G1038" i="22"/>
  <c r="H1037" i="22"/>
  <c r="I1037" i="22" s="1"/>
  <c r="G1037" i="22"/>
  <c r="H1036" i="22"/>
  <c r="I1036" i="22" s="1"/>
  <c r="G1036" i="22"/>
  <c r="H1035" i="22"/>
  <c r="I1035" i="22" s="1"/>
  <c r="G1035" i="22"/>
  <c r="H1034" i="22"/>
  <c r="I1034" i="22" s="1"/>
  <c r="G1034" i="22"/>
  <c r="H1033" i="22"/>
  <c r="I1033" i="22" s="1"/>
  <c r="G1033" i="22"/>
  <c r="H1032" i="22"/>
  <c r="I1032" i="22" s="1"/>
  <c r="G1032" i="22"/>
  <c r="H1031" i="22"/>
  <c r="I1031" i="22" s="1"/>
  <c r="G1031" i="22"/>
  <c r="H1030" i="22"/>
  <c r="I1030" i="22" s="1"/>
  <c r="G1030" i="22"/>
  <c r="H1029" i="22"/>
  <c r="I1029" i="22" s="1"/>
  <c r="G1029" i="22"/>
  <c r="H1028" i="22"/>
  <c r="I1028" i="22" s="1"/>
  <c r="G1028" i="22"/>
  <c r="H1027" i="22"/>
  <c r="I1027" i="22" s="1"/>
  <c r="G1027" i="22"/>
  <c r="H1026" i="22"/>
  <c r="I1026" i="22" s="1"/>
  <c r="G1026" i="22"/>
  <c r="H1025" i="22"/>
  <c r="I1025" i="22" s="1"/>
  <c r="G1025" i="22"/>
  <c r="H1024" i="22"/>
  <c r="I1024" i="22" s="1"/>
  <c r="G1024" i="22"/>
  <c r="H1023" i="22"/>
  <c r="I1023" i="22" s="1"/>
  <c r="G1023" i="22"/>
  <c r="H1022" i="22"/>
  <c r="I1022" i="22" s="1"/>
  <c r="G1022" i="22"/>
  <c r="H1021" i="22"/>
  <c r="I1021" i="22" s="1"/>
  <c r="G1021" i="22"/>
  <c r="H1020" i="22"/>
  <c r="I1020" i="22" s="1"/>
  <c r="G1020" i="22"/>
  <c r="H1019" i="22"/>
  <c r="I1019" i="22" s="1"/>
  <c r="G1019" i="22"/>
  <c r="H1018" i="22"/>
  <c r="I1018" i="22" s="1"/>
  <c r="G1018" i="22"/>
  <c r="H1017" i="22"/>
  <c r="I1017" i="22" s="1"/>
  <c r="G1017" i="22"/>
  <c r="H1016" i="22"/>
  <c r="I1016" i="22" s="1"/>
  <c r="G1016" i="22"/>
  <c r="H1015" i="22"/>
  <c r="I1015" i="22" s="1"/>
  <c r="G1015" i="22"/>
  <c r="H1014" i="22"/>
  <c r="I1014" i="22" s="1"/>
  <c r="G1014" i="22"/>
  <c r="H1013" i="22"/>
  <c r="I1013" i="22" s="1"/>
  <c r="G1013" i="22"/>
  <c r="H1012" i="22"/>
  <c r="I1012" i="22" s="1"/>
  <c r="G1012" i="22"/>
  <c r="H1011" i="22"/>
  <c r="I1011" i="22" s="1"/>
  <c r="G1011" i="22"/>
  <c r="H1010" i="22"/>
  <c r="I1010" i="22" s="1"/>
  <c r="G1010" i="22"/>
  <c r="H1009" i="22"/>
  <c r="I1009" i="22" s="1"/>
  <c r="G1009" i="22"/>
  <c r="H1008" i="22"/>
  <c r="I1008" i="22" s="1"/>
  <c r="G1008" i="22"/>
  <c r="H1007" i="22"/>
  <c r="I1007" i="22" s="1"/>
  <c r="G1007" i="22"/>
  <c r="H1006" i="22"/>
  <c r="I1006" i="22" s="1"/>
  <c r="G1006" i="22"/>
  <c r="H1005" i="22"/>
  <c r="I1005" i="22" s="1"/>
  <c r="G1005" i="22"/>
  <c r="H1004" i="22"/>
  <c r="I1004" i="22" s="1"/>
  <c r="G1004" i="22"/>
  <c r="H1003" i="22"/>
  <c r="I1003" i="22" s="1"/>
  <c r="G1003" i="22"/>
  <c r="H1002" i="22"/>
  <c r="I1002" i="22" s="1"/>
  <c r="G1002" i="22"/>
  <c r="H1001" i="22"/>
  <c r="I1001" i="22" s="1"/>
  <c r="G1001" i="22"/>
  <c r="H1000" i="22"/>
  <c r="I1000" i="22" s="1"/>
  <c r="G1000" i="22"/>
  <c r="H999" i="22"/>
  <c r="I999" i="22" s="1"/>
  <c r="G999" i="22"/>
  <c r="H998" i="22"/>
  <c r="I998" i="22" s="1"/>
  <c r="G998" i="22"/>
  <c r="H997" i="22"/>
  <c r="I997" i="22" s="1"/>
  <c r="G997" i="22"/>
  <c r="H996" i="22"/>
  <c r="I996" i="22" s="1"/>
  <c r="G996" i="22"/>
  <c r="H995" i="22"/>
  <c r="I995" i="22" s="1"/>
  <c r="G995" i="22"/>
  <c r="H994" i="22"/>
  <c r="I994" i="22" s="1"/>
  <c r="G994" i="22"/>
  <c r="H993" i="22"/>
  <c r="I993" i="22" s="1"/>
  <c r="G993" i="22"/>
  <c r="H992" i="22"/>
  <c r="I992" i="22" s="1"/>
  <c r="G992" i="22"/>
  <c r="H991" i="22"/>
  <c r="I991" i="22" s="1"/>
  <c r="G991" i="22"/>
  <c r="H990" i="22"/>
  <c r="I990" i="22" s="1"/>
  <c r="G990" i="22"/>
  <c r="H989" i="22"/>
  <c r="I989" i="22" s="1"/>
  <c r="G989" i="22"/>
  <c r="H988" i="22"/>
  <c r="I988" i="22" s="1"/>
  <c r="G988" i="22"/>
  <c r="H987" i="22"/>
  <c r="I987" i="22" s="1"/>
  <c r="G987" i="22"/>
  <c r="H986" i="22"/>
  <c r="I986" i="22" s="1"/>
  <c r="G986" i="22"/>
  <c r="H985" i="22"/>
  <c r="I985" i="22" s="1"/>
  <c r="G985" i="22"/>
  <c r="H984" i="22"/>
  <c r="I984" i="22" s="1"/>
  <c r="G984" i="22"/>
  <c r="H983" i="22"/>
  <c r="I983" i="22" s="1"/>
  <c r="G983" i="22"/>
  <c r="H982" i="22"/>
  <c r="I982" i="22" s="1"/>
  <c r="G982" i="22"/>
  <c r="H981" i="22"/>
  <c r="I981" i="22" s="1"/>
  <c r="G981" i="22"/>
  <c r="H980" i="22"/>
  <c r="I980" i="22" s="1"/>
  <c r="G980" i="22"/>
  <c r="H979" i="22"/>
  <c r="I979" i="22" s="1"/>
  <c r="G979" i="22"/>
  <c r="H978" i="22"/>
  <c r="I978" i="22" s="1"/>
  <c r="G978" i="22"/>
  <c r="H977" i="22"/>
  <c r="I977" i="22" s="1"/>
  <c r="G977" i="22"/>
  <c r="H976" i="22"/>
  <c r="I976" i="22" s="1"/>
  <c r="G976" i="22"/>
  <c r="H975" i="22"/>
  <c r="I975" i="22" s="1"/>
  <c r="G975" i="22"/>
  <c r="H974" i="22"/>
  <c r="I974" i="22" s="1"/>
  <c r="G974" i="22"/>
  <c r="H973" i="22"/>
  <c r="I973" i="22" s="1"/>
  <c r="G973" i="22"/>
  <c r="H972" i="22"/>
  <c r="I972" i="22" s="1"/>
  <c r="G972" i="22"/>
  <c r="H971" i="22"/>
  <c r="I971" i="22" s="1"/>
  <c r="G971" i="22"/>
  <c r="H970" i="22"/>
  <c r="I970" i="22" s="1"/>
  <c r="G970" i="22"/>
  <c r="H969" i="22"/>
  <c r="I969" i="22" s="1"/>
  <c r="G969" i="22"/>
  <c r="H968" i="22"/>
  <c r="I968" i="22" s="1"/>
  <c r="G968" i="22"/>
  <c r="H967" i="22"/>
  <c r="I967" i="22" s="1"/>
  <c r="G967" i="22"/>
  <c r="H966" i="22"/>
  <c r="I966" i="22" s="1"/>
  <c r="G966" i="22"/>
  <c r="H965" i="22"/>
  <c r="I965" i="22" s="1"/>
  <c r="G965" i="22"/>
  <c r="H964" i="22"/>
  <c r="I964" i="22" s="1"/>
  <c r="G964" i="22"/>
  <c r="H963" i="22"/>
  <c r="I963" i="22" s="1"/>
  <c r="G963" i="22"/>
  <c r="H962" i="22"/>
  <c r="I962" i="22" s="1"/>
  <c r="G962" i="22"/>
  <c r="H961" i="22"/>
  <c r="I961" i="22" s="1"/>
  <c r="G961" i="22"/>
  <c r="H960" i="22"/>
  <c r="I960" i="22" s="1"/>
  <c r="G960" i="22"/>
  <c r="H959" i="22"/>
  <c r="I959" i="22" s="1"/>
  <c r="G959" i="22"/>
  <c r="H958" i="22"/>
  <c r="I958" i="22" s="1"/>
  <c r="G958" i="22"/>
  <c r="H957" i="22"/>
  <c r="I957" i="22" s="1"/>
  <c r="G957" i="22"/>
  <c r="H956" i="22"/>
  <c r="I956" i="22" s="1"/>
  <c r="G956" i="22"/>
  <c r="H955" i="22"/>
  <c r="I955" i="22" s="1"/>
  <c r="G955" i="22"/>
  <c r="H954" i="22"/>
  <c r="I954" i="22" s="1"/>
  <c r="G954" i="22"/>
  <c r="H953" i="22"/>
  <c r="I953" i="22" s="1"/>
  <c r="G953" i="22"/>
  <c r="H952" i="22"/>
  <c r="I952" i="22" s="1"/>
  <c r="G952" i="22"/>
  <c r="H951" i="22"/>
  <c r="I951" i="22" s="1"/>
  <c r="G951" i="22"/>
  <c r="H950" i="22"/>
  <c r="I950" i="22" s="1"/>
  <c r="G950" i="22"/>
  <c r="H949" i="22"/>
  <c r="I949" i="22" s="1"/>
  <c r="G949" i="22"/>
  <c r="H948" i="22"/>
  <c r="I948" i="22" s="1"/>
  <c r="G948" i="22"/>
  <c r="H947" i="22"/>
  <c r="I947" i="22" s="1"/>
  <c r="G947" i="22"/>
  <c r="H946" i="22"/>
  <c r="I946" i="22" s="1"/>
  <c r="G946" i="22"/>
  <c r="H945" i="22"/>
  <c r="I945" i="22" s="1"/>
  <c r="G945" i="22"/>
  <c r="H944" i="22"/>
  <c r="I944" i="22" s="1"/>
  <c r="G944" i="22"/>
  <c r="H943" i="22"/>
  <c r="I943" i="22" s="1"/>
  <c r="G943" i="22"/>
  <c r="H942" i="22"/>
  <c r="I942" i="22" s="1"/>
  <c r="G942" i="22"/>
  <c r="H941" i="22"/>
  <c r="I941" i="22" s="1"/>
  <c r="G941" i="22"/>
  <c r="H940" i="22"/>
  <c r="I940" i="22" s="1"/>
  <c r="G940" i="22"/>
  <c r="H939" i="22"/>
  <c r="I939" i="22" s="1"/>
  <c r="G939" i="22"/>
  <c r="H938" i="22"/>
  <c r="I938" i="22" s="1"/>
  <c r="G938" i="22"/>
  <c r="H937" i="22"/>
  <c r="I937" i="22" s="1"/>
  <c r="G937" i="22"/>
  <c r="H936" i="22"/>
  <c r="I936" i="22" s="1"/>
  <c r="G936" i="22"/>
  <c r="H935" i="22"/>
  <c r="I935" i="22" s="1"/>
  <c r="G935" i="22"/>
  <c r="H934" i="22"/>
  <c r="I934" i="22" s="1"/>
  <c r="G934" i="22"/>
  <c r="H933" i="22"/>
  <c r="I933" i="22" s="1"/>
  <c r="G933" i="22"/>
  <c r="H932" i="22"/>
  <c r="I932" i="22" s="1"/>
  <c r="G932" i="22"/>
  <c r="H931" i="22"/>
  <c r="I931" i="22" s="1"/>
  <c r="G931" i="22"/>
  <c r="H930" i="22"/>
  <c r="I930" i="22" s="1"/>
  <c r="G930" i="22"/>
  <c r="H929" i="22"/>
  <c r="I929" i="22" s="1"/>
  <c r="G929" i="22"/>
  <c r="H928" i="22"/>
  <c r="I928" i="22" s="1"/>
  <c r="G928" i="22"/>
  <c r="H927" i="22"/>
  <c r="I927" i="22" s="1"/>
  <c r="G927" i="22"/>
  <c r="H926" i="22"/>
  <c r="I926" i="22" s="1"/>
  <c r="G926" i="22"/>
  <c r="H925" i="22"/>
  <c r="I925" i="22" s="1"/>
  <c r="G925" i="22"/>
  <c r="H924" i="22"/>
  <c r="I924" i="22" s="1"/>
  <c r="G924" i="22"/>
  <c r="H923" i="22"/>
  <c r="I923" i="22" s="1"/>
  <c r="G923" i="22"/>
  <c r="H922" i="22"/>
  <c r="I922" i="22" s="1"/>
  <c r="G922" i="22"/>
  <c r="H921" i="22"/>
  <c r="I921" i="22" s="1"/>
  <c r="G921" i="22"/>
  <c r="H920" i="22"/>
  <c r="I920" i="22" s="1"/>
  <c r="G920" i="22"/>
  <c r="H919" i="22"/>
  <c r="I919" i="22" s="1"/>
  <c r="G919" i="22"/>
  <c r="H918" i="22"/>
  <c r="I918" i="22" s="1"/>
  <c r="G918" i="22"/>
  <c r="H917" i="22"/>
  <c r="I917" i="22" s="1"/>
  <c r="G917" i="22"/>
  <c r="H916" i="22"/>
  <c r="I916" i="22" s="1"/>
  <c r="G916" i="22"/>
  <c r="H915" i="22"/>
  <c r="I915" i="22" s="1"/>
  <c r="G915" i="22"/>
  <c r="H914" i="22"/>
  <c r="I914" i="22" s="1"/>
  <c r="G914" i="22"/>
  <c r="H913" i="22"/>
  <c r="I913" i="22" s="1"/>
  <c r="G913" i="22"/>
  <c r="H912" i="22"/>
  <c r="I912" i="22" s="1"/>
  <c r="G912" i="22"/>
  <c r="H911" i="22"/>
  <c r="I911" i="22" s="1"/>
  <c r="G911" i="22"/>
  <c r="H910" i="22"/>
  <c r="I910" i="22" s="1"/>
  <c r="G910" i="22"/>
  <c r="H909" i="22"/>
  <c r="I909" i="22" s="1"/>
  <c r="G909" i="22"/>
  <c r="H908" i="22"/>
  <c r="I908" i="22" s="1"/>
  <c r="G908" i="22"/>
  <c r="H907" i="22"/>
  <c r="I907" i="22" s="1"/>
  <c r="G907" i="22"/>
  <c r="H906" i="22"/>
  <c r="I906" i="22" s="1"/>
  <c r="G906" i="22"/>
  <c r="H905" i="22"/>
  <c r="I905" i="22" s="1"/>
  <c r="G905" i="22"/>
  <c r="H904" i="22"/>
  <c r="I904" i="22" s="1"/>
  <c r="G904" i="22"/>
  <c r="H903" i="22"/>
  <c r="I903" i="22" s="1"/>
  <c r="G903" i="22"/>
  <c r="H902" i="22"/>
  <c r="I902" i="22" s="1"/>
  <c r="G902" i="22"/>
  <c r="H901" i="22"/>
  <c r="I901" i="22" s="1"/>
  <c r="G901" i="22"/>
  <c r="H900" i="22"/>
  <c r="I900" i="22" s="1"/>
  <c r="G900" i="22"/>
  <c r="H899" i="22"/>
  <c r="I899" i="22" s="1"/>
  <c r="G899" i="22"/>
  <c r="H898" i="22"/>
  <c r="I898" i="22" s="1"/>
  <c r="G898" i="22"/>
  <c r="H897" i="22"/>
  <c r="I897" i="22" s="1"/>
  <c r="G897" i="22"/>
  <c r="H896" i="22"/>
  <c r="I896" i="22" s="1"/>
  <c r="G896" i="22"/>
  <c r="H895" i="22"/>
  <c r="I895" i="22" s="1"/>
  <c r="G895" i="22"/>
  <c r="H894" i="22"/>
  <c r="I894" i="22" s="1"/>
  <c r="G894" i="22"/>
  <c r="H893" i="22"/>
  <c r="I893" i="22" s="1"/>
  <c r="G893" i="22"/>
  <c r="H892" i="22"/>
  <c r="I892" i="22" s="1"/>
  <c r="G892" i="22"/>
  <c r="H891" i="22"/>
  <c r="I891" i="22" s="1"/>
  <c r="G891" i="22"/>
  <c r="H890" i="22"/>
  <c r="I890" i="22" s="1"/>
  <c r="G890" i="22"/>
  <c r="H889" i="22"/>
  <c r="I889" i="22" s="1"/>
  <c r="G889" i="22"/>
  <c r="H888" i="22"/>
  <c r="I888" i="22" s="1"/>
  <c r="G888" i="22"/>
  <c r="H887" i="22"/>
  <c r="I887" i="22" s="1"/>
  <c r="G887" i="22"/>
  <c r="H886" i="22"/>
  <c r="I886" i="22" s="1"/>
  <c r="G886" i="22"/>
  <c r="H885" i="22"/>
  <c r="I885" i="22" s="1"/>
  <c r="G885" i="22"/>
  <c r="H884" i="22"/>
  <c r="I884" i="22" s="1"/>
  <c r="G884" i="22"/>
  <c r="H883" i="22"/>
  <c r="I883" i="22" s="1"/>
  <c r="G883" i="22"/>
  <c r="H882" i="22"/>
  <c r="I882" i="22" s="1"/>
  <c r="G882" i="22"/>
  <c r="H881" i="22"/>
  <c r="I881" i="22" s="1"/>
  <c r="G881" i="22"/>
  <c r="H880" i="22"/>
  <c r="I880" i="22" s="1"/>
  <c r="G880" i="22"/>
  <c r="H879" i="22"/>
  <c r="I879" i="22" s="1"/>
  <c r="G879" i="22"/>
  <c r="H878" i="22"/>
  <c r="I878" i="22" s="1"/>
  <c r="G878" i="22"/>
  <c r="H877" i="22"/>
  <c r="I877" i="22" s="1"/>
  <c r="G877" i="22"/>
  <c r="H876" i="22"/>
  <c r="I876" i="22" s="1"/>
  <c r="G876" i="22"/>
  <c r="H875" i="22"/>
  <c r="I875" i="22" s="1"/>
  <c r="G875" i="22"/>
  <c r="H874" i="22"/>
  <c r="I874" i="22" s="1"/>
  <c r="G874" i="22"/>
  <c r="H873" i="22"/>
  <c r="I873" i="22" s="1"/>
  <c r="G873" i="22"/>
  <c r="H872" i="22"/>
  <c r="I872" i="22" s="1"/>
  <c r="G872" i="22"/>
  <c r="H871" i="22"/>
  <c r="I871" i="22" s="1"/>
  <c r="G871" i="22"/>
  <c r="H870" i="22"/>
  <c r="I870" i="22" s="1"/>
  <c r="G870" i="22"/>
  <c r="H869" i="22"/>
  <c r="I869" i="22" s="1"/>
  <c r="G869" i="22"/>
  <c r="H868" i="22"/>
  <c r="I868" i="22" s="1"/>
  <c r="G868" i="22"/>
  <c r="H867" i="22"/>
  <c r="I867" i="22" s="1"/>
  <c r="G867" i="22"/>
  <c r="H866" i="22"/>
  <c r="I866" i="22" s="1"/>
  <c r="G866" i="22"/>
  <c r="H865" i="22"/>
  <c r="I865" i="22" s="1"/>
  <c r="G865" i="22"/>
  <c r="H864" i="22"/>
  <c r="I864" i="22" s="1"/>
  <c r="G864" i="22"/>
  <c r="H863" i="22"/>
  <c r="I863" i="22" s="1"/>
  <c r="G863" i="22"/>
  <c r="H862" i="22"/>
  <c r="I862" i="22" s="1"/>
  <c r="G862" i="22"/>
  <c r="H861" i="22"/>
  <c r="I861" i="22" s="1"/>
  <c r="G861" i="22"/>
  <c r="H860" i="22"/>
  <c r="I860" i="22" s="1"/>
  <c r="G860" i="22"/>
  <c r="H859" i="22"/>
  <c r="I859" i="22" s="1"/>
  <c r="G859" i="22"/>
  <c r="H858" i="22"/>
  <c r="I858" i="22" s="1"/>
  <c r="G858" i="22"/>
  <c r="H857" i="22"/>
  <c r="I857" i="22" s="1"/>
  <c r="G857" i="22"/>
  <c r="H856" i="22"/>
  <c r="I856" i="22" s="1"/>
  <c r="G856" i="22"/>
  <c r="H855" i="22"/>
  <c r="I855" i="22" s="1"/>
  <c r="G855" i="22"/>
  <c r="H854" i="22"/>
  <c r="I854" i="22" s="1"/>
  <c r="G854" i="22"/>
  <c r="H853" i="22"/>
  <c r="I853" i="22" s="1"/>
  <c r="G853" i="22"/>
  <c r="H852" i="22"/>
  <c r="I852" i="22" s="1"/>
  <c r="G852" i="22"/>
  <c r="H851" i="22"/>
  <c r="I851" i="22" s="1"/>
  <c r="G851" i="22"/>
  <c r="H850" i="22"/>
  <c r="I850" i="22" s="1"/>
  <c r="G850" i="22"/>
  <c r="H849" i="22"/>
  <c r="I849" i="22" s="1"/>
  <c r="G849" i="22"/>
  <c r="H848" i="22"/>
  <c r="I848" i="22" s="1"/>
  <c r="G848" i="22"/>
  <c r="H847" i="22"/>
  <c r="I847" i="22" s="1"/>
  <c r="G847" i="22"/>
  <c r="H846" i="22"/>
  <c r="I846" i="22" s="1"/>
  <c r="G846" i="22"/>
  <c r="H845" i="22"/>
  <c r="I845" i="22" s="1"/>
  <c r="G845" i="22"/>
  <c r="H844" i="22"/>
  <c r="I844" i="22" s="1"/>
  <c r="G844" i="22"/>
  <c r="H843" i="22"/>
  <c r="I843" i="22" s="1"/>
  <c r="G843" i="22"/>
  <c r="H842" i="22"/>
  <c r="I842" i="22" s="1"/>
  <c r="G842" i="22"/>
  <c r="H841" i="22"/>
  <c r="I841" i="22" s="1"/>
  <c r="G841" i="22"/>
  <c r="H840" i="22"/>
  <c r="I840" i="22" s="1"/>
  <c r="G840" i="22"/>
  <c r="H839" i="22"/>
  <c r="I839" i="22" s="1"/>
  <c r="G839" i="22"/>
  <c r="H838" i="22"/>
  <c r="I838" i="22" s="1"/>
  <c r="G838" i="22"/>
  <c r="H837" i="22"/>
  <c r="I837" i="22" s="1"/>
  <c r="G837" i="22"/>
  <c r="H836" i="22"/>
  <c r="I836" i="22" s="1"/>
  <c r="G836" i="22"/>
  <c r="H835" i="22"/>
  <c r="I835" i="22" s="1"/>
  <c r="G835" i="22"/>
  <c r="H834" i="22"/>
  <c r="I834" i="22" s="1"/>
  <c r="G834" i="22"/>
  <c r="H833" i="22"/>
  <c r="I833" i="22" s="1"/>
  <c r="G833" i="22"/>
  <c r="H832" i="22"/>
  <c r="I832" i="22" s="1"/>
  <c r="G832" i="22"/>
  <c r="H831" i="22"/>
  <c r="I831" i="22" s="1"/>
  <c r="G831" i="22"/>
  <c r="H830" i="22"/>
  <c r="I830" i="22" s="1"/>
  <c r="G830" i="22"/>
  <c r="H829" i="22"/>
  <c r="I829" i="22" s="1"/>
  <c r="G829" i="22"/>
  <c r="H828" i="22"/>
  <c r="I828" i="22" s="1"/>
  <c r="G828" i="22"/>
  <c r="H827" i="22"/>
  <c r="I827" i="22" s="1"/>
  <c r="G827" i="22"/>
  <c r="H826" i="22"/>
  <c r="I826" i="22" s="1"/>
  <c r="G826" i="22"/>
  <c r="H825" i="22"/>
  <c r="I825" i="22" s="1"/>
  <c r="G825" i="22"/>
  <c r="H824" i="22"/>
  <c r="I824" i="22" s="1"/>
  <c r="G824" i="22"/>
  <c r="H823" i="22"/>
  <c r="I823" i="22" s="1"/>
  <c r="G823" i="22"/>
  <c r="H822" i="22"/>
  <c r="I822" i="22" s="1"/>
  <c r="G822" i="22"/>
  <c r="H821" i="22"/>
  <c r="I821" i="22" s="1"/>
  <c r="G821" i="22"/>
  <c r="H820" i="22"/>
  <c r="I820" i="22" s="1"/>
  <c r="G820" i="22"/>
  <c r="H819" i="22"/>
  <c r="I819" i="22" s="1"/>
  <c r="G819" i="22"/>
  <c r="H818" i="22"/>
  <c r="I818" i="22" s="1"/>
  <c r="G818" i="22"/>
  <c r="H817" i="22"/>
  <c r="I817" i="22" s="1"/>
  <c r="G817" i="22"/>
  <c r="H816" i="22"/>
  <c r="I816" i="22" s="1"/>
  <c r="G816" i="22"/>
  <c r="H815" i="22"/>
  <c r="I815" i="22" s="1"/>
  <c r="G815" i="22"/>
  <c r="H814" i="22"/>
  <c r="I814" i="22" s="1"/>
  <c r="G814" i="22"/>
  <c r="H813" i="22"/>
  <c r="I813" i="22" s="1"/>
  <c r="G813" i="22"/>
  <c r="H812" i="22"/>
  <c r="I812" i="22" s="1"/>
  <c r="G812" i="22"/>
  <c r="H811" i="22"/>
  <c r="I811" i="22" s="1"/>
  <c r="G811" i="22"/>
  <c r="H810" i="22"/>
  <c r="I810" i="22" s="1"/>
  <c r="G810" i="22"/>
  <c r="H809" i="22"/>
  <c r="I809" i="22" s="1"/>
  <c r="G809" i="22"/>
  <c r="H808" i="22"/>
  <c r="I808" i="22" s="1"/>
  <c r="G808" i="22"/>
  <c r="H807" i="22"/>
  <c r="I807" i="22" s="1"/>
  <c r="G807" i="22"/>
  <c r="H806" i="22"/>
  <c r="I806" i="22" s="1"/>
  <c r="G806" i="22"/>
  <c r="H805" i="22"/>
  <c r="I805" i="22" s="1"/>
  <c r="G805" i="22"/>
  <c r="H804" i="22"/>
  <c r="I804" i="22" s="1"/>
  <c r="G804" i="22"/>
  <c r="H803" i="22"/>
  <c r="I803" i="22" s="1"/>
  <c r="G803" i="22"/>
  <c r="H802" i="22"/>
  <c r="I802" i="22" s="1"/>
  <c r="G802" i="22"/>
  <c r="H801" i="22"/>
  <c r="I801" i="22" s="1"/>
  <c r="G801" i="22"/>
  <c r="H800" i="22"/>
  <c r="I800" i="22" s="1"/>
  <c r="G800" i="22"/>
  <c r="H799" i="22"/>
  <c r="I799" i="22" s="1"/>
  <c r="G799" i="22"/>
  <c r="H798" i="22"/>
  <c r="I798" i="22" s="1"/>
  <c r="G798" i="22"/>
  <c r="H797" i="22"/>
  <c r="I797" i="22" s="1"/>
  <c r="G797" i="22"/>
  <c r="H796" i="22"/>
  <c r="I796" i="22" s="1"/>
  <c r="G796" i="22"/>
  <c r="H795" i="22"/>
  <c r="I795" i="22" s="1"/>
  <c r="G795" i="22"/>
  <c r="H794" i="22"/>
  <c r="I794" i="22" s="1"/>
  <c r="G794" i="22"/>
  <c r="H793" i="22"/>
  <c r="I793" i="22" s="1"/>
  <c r="G793" i="22"/>
  <c r="H792" i="22"/>
  <c r="I792" i="22" s="1"/>
  <c r="G792" i="22"/>
  <c r="H791" i="22"/>
  <c r="I791" i="22" s="1"/>
  <c r="G791" i="22"/>
  <c r="H790" i="22"/>
  <c r="I790" i="22" s="1"/>
  <c r="G790" i="22"/>
  <c r="H789" i="22"/>
  <c r="I789" i="22" s="1"/>
  <c r="G789" i="22"/>
  <c r="H788" i="22"/>
  <c r="I788" i="22" s="1"/>
  <c r="G788" i="22"/>
  <c r="H787" i="22"/>
  <c r="I787" i="22" s="1"/>
  <c r="G787" i="22"/>
  <c r="H786" i="22"/>
  <c r="I786" i="22" s="1"/>
  <c r="G786" i="22"/>
  <c r="H785" i="22"/>
  <c r="I785" i="22" s="1"/>
  <c r="G785" i="22"/>
  <c r="H784" i="22"/>
  <c r="I784" i="22" s="1"/>
  <c r="G784" i="22"/>
  <c r="H783" i="22"/>
  <c r="I783" i="22" s="1"/>
  <c r="G783" i="22"/>
  <c r="H782" i="22"/>
  <c r="I782" i="22" s="1"/>
  <c r="G782" i="22"/>
  <c r="H781" i="22"/>
  <c r="I781" i="22" s="1"/>
  <c r="G781" i="22"/>
  <c r="H780" i="22"/>
  <c r="I780" i="22" s="1"/>
  <c r="G780" i="22"/>
  <c r="H779" i="22"/>
  <c r="I779" i="22" s="1"/>
  <c r="G779" i="22"/>
  <c r="H778" i="22"/>
  <c r="I778" i="22" s="1"/>
  <c r="G778" i="22"/>
  <c r="H777" i="22"/>
  <c r="I777" i="22" s="1"/>
  <c r="G777" i="22"/>
  <c r="H776" i="22"/>
  <c r="I776" i="22" s="1"/>
  <c r="G776" i="22"/>
  <c r="H775" i="22"/>
  <c r="I775" i="22" s="1"/>
  <c r="G775" i="22"/>
  <c r="H774" i="22"/>
  <c r="I774" i="22" s="1"/>
  <c r="G774" i="22"/>
  <c r="H773" i="22"/>
  <c r="I773" i="22" s="1"/>
  <c r="G773" i="22"/>
  <c r="H772" i="22"/>
  <c r="I772" i="22" s="1"/>
  <c r="G772" i="22"/>
  <c r="H771" i="22"/>
  <c r="I771" i="22" s="1"/>
  <c r="G771" i="22"/>
  <c r="H770" i="22"/>
  <c r="I770" i="22" s="1"/>
  <c r="G770" i="22"/>
  <c r="H769" i="22"/>
  <c r="I769" i="22" s="1"/>
  <c r="G769" i="22"/>
  <c r="H768" i="22"/>
  <c r="I768" i="22" s="1"/>
  <c r="G768" i="22"/>
  <c r="H767" i="22"/>
  <c r="I767" i="22" s="1"/>
  <c r="G767" i="22"/>
  <c r="H766" i="22"/>
  <c r="I766" i="22" s="1"/>
  <c r="G766" i="22"/>
  <c r="H765" i="22"/>
  <c r="I765" i="22" s="1"/>
  <c r="G765" i="22"/>
  <c r="H764" i="22"/>
  <c r="I764" i="22" s="1"/>
  <c r="G764" i="22"/>
  <c r="H763" i="22"/>
  <c r="I763" i="22" s="1"/>
  <c r="G763" i="22"/>
  <c r="H762" i="22"/>
  <c r="I762" i="22" s="1"/>
  <c r="G762" i="22"/>
  <c r="H761" i="22"/>
  <c r="I761" i="22" s="1"/>
  <c r="G761" i="22"/>
  <c r="H760" i="22"/>
  <c r="I760" i="22" s="1"/>
  <c r="G760" i="22"/>
  <c r="H759" i="22"/>
  <c r="I759" i="22" s="1"/>
  <c r="G759" i="22"/>
  <c r="H758" i="22"/>
  <c r="I758" i="22" s="1"/>
  <c r="G758" i="22"/>
  <c r="H757" i="22"/>
  <c r="I757" i="22" s="1"/>
  <c r="G757" i="22"/>
  <c r="H756" i="22"/>
  <c r="I756" i="22" s="1"/>
  <c r="G756" i="22"/>
  <c r="H755" i="22"/>
  <c r="I755" i="22" s="1"/>
  <c r="G755" i="22"/>
  <c r="H754" i="22"/>
  <c r="I754" i="22" s="1"/>
  <c r="G754" i="22"/>
  <c r="H753" i="22"/>
  <c r="I753" i="22" s="1"/>
  <c r="G753" i="22"/>
  <c r="H752" i="22"/>
  <c r="I752" i="22" s="1"/>
  <c r="G752" i="22"/>
  <c r="H751" i="22"/>
  <c r="I751" i="22" s="1"/>
  <c r="G751" i="22"/>
  <c r="H750" i="22"/>
  <c r="I750" i="22" s="1"/>
  <c r="G750" i="22"/>
  <c r="H749" i="22"/>
  <c r="I749" i="22" s="1"/>
  <c r="G749" i="22"/>
  <c r="H748" i="22"/>
  <c r="I748" i="22" s="1"/>
  <c r="G748" i="22"/>
  <c r="H747" i="22"/>
  <c r="I747" i="22" s="1"/>
  <c r="G747" i="22"/>
  <c r="H746" i="22"/>
  <c r="I746" i="22" s="1"/>
  <c r="G746" i="22"/>
  <c r="H745" i="22"/>
  <c r="I745" i="22" s="1"/>
  <c r="G745" i="22"/>
  <c r="H744" i="22"/>
  <c r="I744" i="22" s="1"/>
  <c r="G744" i="22"/>
  <c r="H743" i="22"/>
  <c r="I743" i="22" s="1"/>
  <c r="G743" i="22"/>
  <c r="H742" i="22"/>
  <c r="I742" i="22" s="1"/>
  <c r="G742" i="22"/>
  <c r="H741" i="22"/>
  <c r="I741" i="22" s="1"/>
  <c r="G741" i="22"/>
  <c r="H740" i="22"/>
  <c r="I740" i="22" s="1"/>
  <c r="G740" i="22"/>
  <c r="H739" i="22"/>
  <c r="I739" i="22" s="1"/>
  <c r="G739" i="22"/>
  <c r="H738" i="22"/>
  <c r="I738" i="22" s="1"/>
  <c r="G738" i="22"/>
  <c r="H737" i="22"/>
  <c r="I737" i="22" s="1"/>
  <c r="G737" i="22"/>
  <c r="H736" i="22"/>
  <c r="I736" i="22" s="1"/>
  <c r="G736" i="22"/>
  <c r="H735" i="22"/>
  <c r="I735" i="22" s="1"/>
  <c r="G735" i="22"/>
  <c r="H734" i="22"/>
  <c r="I734" i="22" s="1"/>
  <c r="G734" i="22"/>
  <c r="H733" i="22"/>
  <c r="I733" i="22" s="1"/>
  <c r="G733" i="22"/>
  <c r="H732" i="22"/>
  <c r="I732" i="22" s="1"/>
  <c r="G732" i="22"/>
  <c r="H731" i="22"/>
  <c r="I731" i="22" s="1"/>
  <c r="G731" i="22"/>
  <c r="H730" i="22"/>
  <c r="I730" i="22" s="1"/>
  <c r="G730" i="22"/>
  <c r="H729" i="22"/>
  <c r="I729" i="22" s="1"/>
  <c r="G729" i="22"/>
  <c r="H728" i="22"/>
  <c r="I728" i="22" s="1"/>
  <c r="G728" i="22"/>
  <c r="H727" i="22"/>
  <c r="I727" i="22" s="1"/>
  <c r="G727" i="22"/>
  <c r="H726" i="22"/>
  <c r="I726" i="22" s="1"/>
  <c r="G726" i="22"/>
  <c r="H725" i="22"/>
  <c r="I725" i="22" s="1"/>
  <c r="G725" i="22"/>
  <c r="H724" i="22"/>
  <c r="I724" i="22" s="1"/>
  <c r="G724" i="22"/>
  <c r="H723" i="22"/>
  <c r="I723" i="22" s="1"/>
  <c r="G723" i="22"/>
  <c r="H722" i="22"/>
  <c r="I722" i="22" s="1"/>
  <c r="G722" i="22"/>
  <c r="H721" i="22"/>
  <c r="I721" i="22" s="1"/>
  <c r="G721" i="22"/>
  <c r="H720" i="22"/>
  <c r="I720" i="22" s="1"/>
  <c r="G720" i="22"/>
  <c r="H719" i="22"/>
  <c r="I719" i="22" s="1"/>
  <c r="G719" i="22"/>
  <c r="H718" i="22"/>
  <c r="I718" i="22" s="1"/>
  <c r="G718" i="22"/>
  <c r="H717" i="22"/>
  <c r="I717" i="22" s="1"/>
  <c r="G717" i="22"/>
  <c r="H716" i="22"/>
  <c r="I716" i="22" s="1"/>
  <c r="G716" i="22"/>
  <c r="H715" i="22"/>
  <c r="I715" i="22" s="1"/>
  <c r="G715" i="22"/>
  <c r="H714" i="22"/>
  <c r="I714" i="22" s="1"/>
  <c r="G714" i="22"/>
  <c r="H713" i="22"/>
  <c r="I713" i="22" s="1"/>
  <c r="G713" i="22"/>
  <c r="H712" i="22"/>
  <c r="I712" i="22" s="1"/>
  <c r="G712" i="22"/>
  <c r="H711" i="22"/>
  <c r="I711" i="22" s="1"/>
  <c r="G711" i="22"/>
  <c r="H710" i="22"/>
  <c r="I710" i="22" s="1"/>
  <c r="G710" i="22"/>
  <c r="H709" i="22"/>
  <c r="I709" i="22" s="1"/>
  <c r="G709" i="22"/>
  <c r="H708" i="22"/>
  <c r="I708" i="22" s="1"/>
  <c r="G708" i="22"/>
  <c r="H707" i="22"/>
  <c r="I707" i="22" s="1"/>
  <c r="G707" i="22"/>
  <c r="H706" i="22"/>
  <c r="I706" i="22" s="1"/>
  <c r="G706" i="22"/>
  <c r="H705" i="22"/>
  <c r="I705" i="22" s="1"/>
  <c r="G705" i="22"/>
  <c r="H704" i="22"/>
  <c r="I704" i="22" s="1"/>
  <c r="G704" i="22"/>
  <c r="H703" i="22"/>
  <c r="I703" i="22" s="1"/>
  <c r="G703" i="22"/>
  <c r="H702" i="22"/>
  <c r="I702" i="22" s="1"/>
  <c r="G702" i="22"/>
  <c r="H701" i="22"/>
  <c r="I701" i="22" s="1"/>
  <c r="G701" i="22"/>
  <c r="H700" i="22"/>
  <c r="I700" i="22" s="1"/>
  <c r="G700" i="22"/>
  <c r="H699" i="22"/>
  <c r="I699" i="22" s="1"/>
  <c r="G699" i="22"/>
  <c r="H698" i="22"/>
  <c r="I698" i="22" s="1"/>
  <c r="G698" i="22"/>
  <c r="H697" i="22"/>
  <c r="I697" i="22" s="1"/>
  <c r="G697" i="22"/>
  <c r="H696" i="22"/>
  <c r="I696" i="22" s="1"/>
  <c r="G696" i="22"/>
  <c r="H695" i="22"/>
  <c r="I695" i="22" s="1"/>
  <c r="G695" i="22"/>
  <c r="H694" i="22"/>
  <c r="I694" i="22" s="1"/>
  <c r="G694" i="22"/>
  <c r="H693" i="22"/>
  <c r="I693" i="22" s="1"/>
  <c r="G693" i="22"/>
  <c r="H692" i="22"/>
  <c r="I692" i="22" s="1"/>
  <c r="G692" i="22"/>
  <c r="H691" i="22"/>
  <c r="I691" i="22" s="1"/>
  <c r="G691" i="22"/>
  <c r="H690" i="22"/>
  <c r="I690" i="22" s="1"/>
  <c r="G690" i="22"/>
  <c r="H689" i="22"/>
  <c r="I689" i="22" s="1"/>
  <c r="G689" i="22"/>
  <c r="H688" i="22"/>
  <c r="I688" i="22" s="1"/>
  <c r="G688" i="22"/>
  <c r="H687" i="22"/>
  <c r="I687" i="22" s="1"/>
  <c r="G687" i="22"/>
  <c r="H686" i="22"/>
  <c r="I686" i="22" s="1"/>
  <c r="G686" i="22"/>
  <c r="H685" i="22"/>
  <c r="I685" i="22" s="1"/>
  <c r="G685" i="22"/>
  <c r="H684" i="22"/>
  <c r="I684" i="22" s="1"/>
  <c r="G684" i="22"/>
  <c r="H683" i="22"/>
  <c r="I683" i="22" s="1"/>
  <c r="G683" i="22"/>
  <c r="H682" i="22"/>
  <c r="I682" i="22" s="1"/>
  <c r="G682" i="22"/>
  <c r="H681" i="22"/>
  <c r="I681" i="22" s="1"/>
  <c r="G681" i="22"/>
  <c r="H680" i="22"/>
  <c r="I680" i="22" s="1"/>
  <c r="G680" i="22"/>
  <c r="H679" i="22"/>
  <c r="I679" i="22" s="1"/>
  <c r="G679" i="22"/>
  <c r="H678" i="22"/>
  <c r="I678" i="22" s="1"/>
  <c r="G678" i="22"/>
  <c r="H677" i="22"/>
  <c r="I677" i="22" s="1"/>
  <c r="G677" i="22"/>
  <c r="H676" i="22"/>
  <c r="I676" i="22" s="1"/>
  <c r="G676" i="22"/>
  <c r="H675" i="22"/>
  <c r="I675" i="22" s="1"/>
  <c r="G675" i="22"/>
  <c r="H674" i="22"/>
  <c r="I674" i="22" s="1"/>
  <c r="G674" i="22"/>
  <c r="H673" i="22"/>
  <c r="I673" i="22" s="1"/>
  <c r="G673" i="22"/>
  <c r="H672" i="22"/>
  <c r="I672" i="22" s="1"/>
  <c r="G672" i="22"/>
  <c r="H671" i="22"/>
  <c r="I671" i="22" s="1"/>
  <c r="G671" i="22"/>
  <c r="H670" i="22"/>
  <c r="I670" i="22" s="1"/>
  <c r="G670" i="22"/>
  <c r="H669" i="22"/>
  <c r="I669" i="22" s="1"/>
  <c r="G669" i="22"/>
  <c r="H668" i="22"/>
  <c r="I668" i="22" s="1"/>
  <c r="G668" i="22"/>
  <c r="H667" i="22"/>
  <c r="I667" i="22" s="1"/>
  <c r="G667" i="22"/>
  <c r="H666" i="22"/>
  <c r="I666" i="22" s="1"/>
  <c r="G666" i="22"/>
  <c r="H665" i="22"/>
  <c r="I665" i="22" s="1"/>
  <c r="G665" i="22"/>
  <c r="H664" i="22"/>
  <c r="I664" i="22" s="1"/>
  <c r="G664" i="22"/>
  <c r="H663" i="22"/>
  <c r="I663" i="22" s="1"/>
  <c r="G663" i="22"/>
  <c r="H662" i="22"/>
  <c r="I662" i="22" s="1"/>
  <c r="G662" i="22"/>
  <c r="H661" i="22"/>
  <c r="I661" i="22" s="1"/>
  <c r="G661" i="22"/>
  <c r="H660" i="22"/>
  <c r="I660" i="22" s="1"/>
  <c r="G660" i="22"/>
  <c r="H659" i="22"/>
  <c r="I659" i="22" s="1"/>
  <c r="G659" i="22"/>
  <c r="H658" i="22"/>
  <c r="I658" i="22" s="1"/>
  <c r="G658" i="22"/>
  <c r="H657" i="22"/>
  <c r="I657" i="22" s="1"/>
  <c r="G657" i="22"/>
  <c r="H656" i="22"/>
  <c r="I656" i="22" s="1"/>
  <c r="G656" i="22"/>
  <c r="H655" i="22"/>
  <c r="I655" i="22" s="1"/>
  <c r="G655" i="22"/>
  <c r="H654" i="22"/>
  <c r="I654" i="22" s="1"/>
  <c r="G654" i="22"/>
  <c r="H653" i="22"/>
  <c r="I653" i="22" s="1"/>
  <c r="G653" i="22"/>
  <c r="H652" i="22"/>
  <c r="I652" i="22" s="1"/>
  <c r="G652" i="22"/>
  <c r="H651" i="22"/>
  <c r="I651" i="22" s="1"/>
  <c r="G651" i="22"/>
  <c r="H650" i="22"/>
  <c r="I650" i="22" s="1"/>
  <c r="G650" i="22"/>
  <c r="H649" i="22"/>
  <c r="I649" i="22" s="1"/>
  <c r="G649" i="22"/>
  <c r="H648" i="22"/>
  <c r="I648" i="22" s="1"/>
  <c r="G648" i="22"/>
  <c r="H647" i="22"/>
  <c r="I647" i="22" s="1"/>
  <c r="G647" i="22"/>
  <c r="H646" i="22"/>
  <c r="I646" i="22" s="1"/>
  <c r="G646" i="22"/>
  <c r="H645" i="22"/>
  <c r="I645" i="22" s="1"/>
  <c r="G645" i="22"/>
  <c r="H644" i="22"/>
  <c r="I644" i="22" s="1"/>
  <c r="G644" i="22"/>
  <c r="H643" i="22"/>
  <c r="I643" i="22" s="1"/>
  <c r="G643" i="22"/>
  <c r="H642" i="22"/>
  <c r="I642" i="22" s="1"/>
  <c r="G642" i="22"/>
  <c r="H641" i="22"/>
  <c r="I641" i="22" s="1"/>
  <c r="G641" i="22"/>
  <c r="H640" i="22"/>
  <c r="I640" i="22" s="1"/>
  <c r="G640" i="22"/>
  <c r="H639" i="22"/>
  <c r="I639" i="22" s="1"/>
  <c r="G639" i="22"/>
  <c r="H638" i="22"/>
  <c r="I638" i="22" s="1"/>
  <c r="G638" i="22"/>
  <c r="H637" i="22"/>
  <c r="I637" i="22" s="1"/>
  <c r="G637" i="22"/>
  <c r="H636" i="22"/>
  <c r="I636" i="22" s="1"/>
  <c r="G636" i="22"/>
  <c r="H635" i="22"/>
  <c r="I635" i="22" s="1"/>
  <c r="G635" i="22"/>
  <c r="H634" i="22"/>
  <c r="I634" i="22" s="1"/>
  <c r="G634" i="22"/>
  <c r="H633" i="22"/>
  <c r="I633" i="22" s="1"/>
  <c r="G633" i="22"/>
  <c r="H632" i="22"/>
  <c r="I632" i="22" s="1"/>
  <c r="G632" i="22"/>
  <c r="H631" i="22"/>
  <c r="I631" i="22" s="1"/>
  <c r="G631" i="22"/>
  <c r="H630" i="22"/>
  <c r="I630" i="22" s="1"/>
  <c r="G630" i="22"/>
  <c r="H629" i="22"/>
  <c r="I629" i="22" s="1"/>
  <c r="G629" i="22"/>
  <c r="H628" i="22"/>
  <c r="I628" i="22" s="1"/>
  <c r="G628" i="22"/>
  <c r="H627" i="22"/>
  <c r="I627" i="22" s="1"/>
  <c r="G627" i="22"/>
  <c r="H626" i="22"/>
  <c r="I626" i="22" s="1"/>
  <c r="G626" i="22"/>
  <c r="H625" i="22"/>
  <c r="I625" i="22" s="1"/>
  <c r="G625" i="22"/>
  <c r="H624" i="22"/>
  <c r="I624" i="22" s="1"/>
  <c r="G624" i="22"/>
  <c r="H623" i="22"/>
  <c r="I623" i="22" s="1"/>
  <c r="G623" i="22"/>
  <c r="H622" i="22"/>
  <c r="I622" i="22" s="1"/>
  <c r="G622" i="22"/>
  <c r="H621" i="22"/>
  <c r="I621" i="22" s="1"/>
  <c r="G621" i="22"/>
  <c r="H620" i="22"/>
  <c r="I620" i="22" s="1"/>
  <c r="G620" i="22"/>
  <c r="H619" i="22"/>
  <c r="I619" i="22" s="1"/>
  <c r="G619" i="22"/>
  <c r="H618" i="22"/>
  <c r="I618" i="22" s="1"/>
  <c r="G618" i="22"/>
  <c r="H617" i="22"/>
  <c r="I617" i="22" s="1"/>
  <c r="G617" i="22"/>
  <c r="H616" i="22"/>
  <c r="I616" i="22" s="1"/>
  <c r="G616" i="22"/>
  <c r="H615" i="22"/>
  <c r="I615" i="22" s="1"/>
  <c r="G615" i="22"/>
  <c r="H614" i="22"/>
  <c r="I614" i="22" s="1"/>
  <c r="G614" i="22"/>
  <c r="H613" i="22"/>
  <c r="I613" i="22" s="1"/>
  <c r="G613" i="22"/>
  <c r="H612" i="22"/>
  <c r="I612" i="22" s="1"/>
  <c r="G612" i="22"/>
  <c r="H611" i="22"/>
  <c r="I611" i="22" s="1"/>
  <c r="G611" i="22"/>
  <c r="H610" i="22"/>
  <c r="I610" i="22" s="1"/>
  <c r="G610" i="22"/>
  <c r="H609" i="22"/>
  <c r="I609" i="22" s="1"/>
  <c r="G609" i="22"/>
  <c r="H608" i="22"/>
  <c r="I608" i="22" s="1"/>
  <c r="G608" i="22"/>
  <c r="H607" i="22"/>
  <c r="I607" i="22" s="1"/>
  <c r="G607" i="22"/>
  <c r="H606" i="22"/>
  <c r="I606" i="22" s="1"/>
  <c r="G606" i="22"/>
  <c r="H605" i="22"/>
  <c r="I605" i="22" s="1"/>
  <c r="G605" i="22"/>
  <c r="H604" i="22"/>
  <c r="I604" i="22" s="1"/>
  <c r="G604" i="22"/>
  <c r="H603" i="22"/>
  <c r="I603" i="22" s="1"/>
  <c r="G603" i="22"/>
  <c r="H602" i="22"/>
  <c r="I602" i="22" s="1"/>
  <c r="G602" i="22"/>
  <c r="H601" i="22"/>
  <c r="I601" i="22" s="1"/>
  <c r="G601" i="22"/>
  <c r="H600" i="22"/>
  <c r="I600" i="22" s="1"/>
  <c r="G600" i="22"/>
  <c r="H599" i="22"/>
  <c r="I599" i="22" s="1"/>
  <c r="G599" i="22"/>
  <c r="H598" i="22"/>
  <c r="I598" i="22" s="1"/>
  <c r="G598" i="22"/>
  <c r="H597" i="22"/>
  <c r="I597" i="22" s="1"/>
  <c r="G597" i="22"/>
  <c r="H596" i="22"/>
  <c r="I596" i="22" s="1"/>
  <c r="G596" i="22"/>
  <c r="H595" i="22"/>
  <c r="I595" i="22" s="1"/>
  <c r="G595" i="22"/>
  <c r="H594" i="22"/>
  <c r="I594" i="22" s="1"/>
  <c r="G594" i="22"/>
  <c r="H593" i="22"/>
  <c r="I593" i="22" s="1"/>
  <c r="G593" i="22"/>
  <c r="H592" i="22"/>
  <c r="I592" i="22" s="1"/>
  <c r="G592" i="22"/>
  <c r="H591" i="22"/>
  <c r="I591" i="22" s="1"/>
  <c r="G591" i="22"/>
  <c r="H590" i="22"/>
  <c r="I590" i="22" s="1"/>
  <c r="G590" i="22"/>
  <c r="H589" i="22"/>
  <c r="I589" i="22" s="1"/>
  <c r="G589" i="22"/>
  <c r="H588" i="22"/>
  <c r="I588" i="22" s="1"/>
  <c r="G588" i="22"/>
  <c r="H587" i="22"/>
  <c r="I587" i="22" s="1"/>
  <c r="G587" i="22"/>
  <c r="H586" i="22"/>
  <c r="I586" i="22" s="1"/>
  <c r="G586" i="22"/>
  <c r="H585" i="22"/>
  <c r="I585" i="22" s="1"/>
  <c r="G585" i="22"/>
  <c r="H584" i="22"/>
  <c r="I584" i="22" s="1"/>
  <c r="G584" i="22"/>
  <c r="H583" i="22"/>
  <c r="I583" i="22" s="1"/>
  <c r="G583" i="22"/>
  <c r="H582" i="22"/>
  <c r="I582" i="22" s="1"/>
  <c r="G582" i="22"/>
  <c r="H581" i="22"/>
  <c r="I581" i="22" s="1"/>
  <c r="G581" i="22"/>
  <c r="H580" i="22"/>
  <c r="I580" i="22" s="1"/>
  <c r="G580" i="22"/>
  <c r="H579" i="22"/>
  <c r="I579" i="22" s="1"/>
  <c r="G579" i="22"/>
  <c r="H578" i="22"/>
  <c r="I578" i="22" s="1"/>
  <c r="G578" i="22"/>
  <c r="H577" i="22"/>
  <c r="I577" i="22" s="1"/>
  <c r="G577" i="22"/>
  <c r="H576" i="22"/>
  <c r="I576" i="22" s="1"/>
  <c r="G576" i="22"/>
  <c r="H575" i="22"/>
  <c r="I575" i="22" s="1"/>
  <c r="G575" i="22"/>
  <c r="H574" i="22"/>
  <c r="I574" i="22" s="1"/>
  <c r="G574" i="22"/>
  <c r="H573" i="22"/>
  <c r="I573" i="22" s="1"/>
  <c r="G573" i="22"/>
  <c r="H572" i="22"/>
  <c r="I572" i="22" s="1"/>
  <c r="G572" i="22"/>
  <c r="H571" i="22"/>
  <c r="I571" i="22" s="1"/>
  <c r="G571" i="22"/>
  <c r="H570" i="22"/>
  <c r="I570" i="22" s="1"/>
  <c r="G570" i="22"/>
  <c r="H569" i="22"/>
  <c r="I569" i="22" s="1"/>
  <c r="G569" i="22"/>
  <c r="H568" i="22"/>
  <c r="I568" i="22" s="1"/>
  <c r="G568" i="22"/>
  <c r="H567" i="22"/>
  <c r="I567" i="22" s="1"/>
  <c r="G567" i="22"/>
  <c r="H566" i="22"/>
  <c r="I566" i="22" s="1"/>
  <c r="G566" i="22"/>
  <c r="H565" i="22"/>
  <c r="I565" i="22" s="1"/>
  <c r="G565" i="22"/>
  <c r="H564" i="22"/>
  <c r="I564" i="22" s="1"/>
  <c r="G564" i="22"/>
  <c r="H563" i="22"/>
  <c r="I563" i="22" s="1"/>
  <c r="G563" i="22"/>
  <c r="H562" i="22"/>
  <c r="I562" i="22" s="1"/>
  <c r="G562" i="22"/>
  <c r="H561" i="22"/>
  <c r="I561" i="22" s="1"/>
  <c r="G561" i="22"/>
  <c r="H560" i="22"/>
  <c r="I560" i="22" s="1"/>
  <c r="G560" i="22"/>
  <c r="H559" i="22"/>
  <c r="I559" i="22" s="1"/>
  <c r="G559" i="22"/>
  <c r="H558" i="22"/>
  <c r="I558" i="22" s="1"/>
  <c r="G558" i="22"/>
  <c r="H557" i="22"/>
  <c r="I557" i="22" s="1"/>
  <c r="G557" i="22"/>
  <c r="H556" i="22"/>
  <c r="I556" i="22" s="1"/>
  <c r="G556" i="22"/>
  <c r="H555" i="22"/>
  <c r="I555" i="22" s="1"/>
  <c r="G555" i="22"/>
  <c r="H554" i="22"/>
  <c r="I554" i="22" s="1"/>
  <c r="G554" i="22"/>
  <c r="H553" i="22"/>
  <c r="I553" i="22" s="1"/>
  <c r="G553" i="22"/>
  <c r="H552" i="22"/>
  <c r="I552" i="22" s="1"/>
  <c r="G552" i="22"/>
  <c r="H551" i="22"/>
  <c r="I551" i="22" s="1"/>
  <c r="G551" i="22"/>
  <c r="H550" i="22"/>
  <c r="I550" i="22" s="1"/>
  <c r="G550" i="22"/>
  <c r="H549" i="22"/>
  <c r="I549" i="22" s="1"/>
  <c r="G549" i="22"/>
  <c r="H548" i="22"/>
  <c r="I548" i="22" s="1"/>
  <c r="G548" i="22"/>
  <c r="H547" i="22"/>
  <c r="I547" i="22" s="1"/>
  <c r="G547" i="22"/>
  <c r="H546" i="22"/>
  <c r="I546" i="22" s="1"/>
  <c r="G546" i="22"/>
  <c r="H545" i="22"/>
  <c r="I545" i="22" s="1"/>
  <c r="G545" i="22"/>
  <c r="H544" i="22"/>
  <c r="I544" i="22" s="1"/>
  <c r="G544" i="22"/>
  <c r="H543" i="22"/>
  <c r="I543" i="22" s="1"/>
  <c r="G543" i="22"/>
  <c r="H542" i="22"/>
  <c r="I542" i="22" s="1"/>
  <c r="G542" i="22"/>
  <c r="H541" i="22"/>
  <c r="I541" i="22" s="1"/>
  <c r="G541" i="22"/>
  <c r="H540" i="22"/>
  <c r="I540" i="22" s="1"/>
  <c r="G540" i="22"/>
  <c r="H539" i="22"/>
  <c r="I539" i="22" s="1"/>
  <c r="G539" i="22"/>
  <c r="H538" i="22"/>
  <c r="I538" i="22" s="1"/>
  <c r="G538" i="22"/>
  <c r="H537" i="22"/>
  <c r="I537" i="22" s="1"/>
  <c r="G537" i="22"/>
  <c r="H536" i="22"/>
  <c r="I536" i="22" s="1"/>
  <c r="G536" i="22"/>
  <c r="H535" i="22"/>
  <c r="I535" i="22" s="1"/>
  <c r="G535" i="22"/>
  <c r="H534" i="22"/>
  <c r="I534" i="22" s="1"/>
  <c r="G534" i="22"/>
  <c r="H533" i="22"/>
  <c r="I533" i="22" s="1"/>
  <c r="G533" i="22"/>
  <c r="H532" i="22"/>
  <c r="I532" i="22" s="1"/>
  <c r="G532" i="22"/>
  <c r="H531" i="22"/>
  <c r="I531" i="22" s="1"/>
  <c r="G531" i="22"/>
  <c r="H530" i="22"/>
  <c r="I530" i="22" s="1"/>
  <c r="G530" i="22"/>
  <c r="H529" i="22"/>
  <c r="I529" i="22" s="1"/>
  <c r="G529" i="22"/>
  <c r="H528" i="22"/>
  <c r="I528" i="22" s="1"/>
  <c r="G528" i="22"/>
  <c r="H527" i="22"/>
  <c r="I527" i="22" s="1"/>
  <c r="G527" i="22"/>
  <c r="H526" i="22"/>
  <c r="I526" i="22" s="1"/>
  <c r="G526" i="22"/>
  <c r="H525" i="22"/>
  <c r="I525" i="22" s="1"/>
  <c r="G525" i="22"/>
  <c r="H524" i="22"/>
  <c r="I524" i="22" s="1"/>
  <c r="G524" i="22"/>
  <c r="H523" i="22"/>
  <c r="I523" i="22" s="1"/>
  <c r="G523" i="22"/>
  <c r="H522" i="22"/>
  <c r="I522" i="22" s="1"/>
  <c r="G522" i="22"/>
  <c r="H521" i="22"/>
  <c r="I521" i="22" s="1"/>
  <c r="G521" i="22"/>
  <c r="H520" i="22"/>
  <c r="I520" i="22" s="1"/>
  <c r="G520" i="22"/>
  <c r="H519" i="22"/>
  <c r="I519" i="22" s="1"/>
  <c r="G519" i="22"/>
  <c r="H518" i="22"/>
  <c r="I518" i="22" s="1"/>
  <c r="G518" i="22"/>
  <c r="H517" i="22"/>
  <c r="I517" i="22" s="1"/>
  <c r="G517" i="22"/>
  <c r="H516" i="22"/>
  <c r="I516" i="22" s="1"/>
  <c r="G516" i="22"/>
  <c r="H515" i="22"/>
  <c r="I515" i="22" s="1"/>
  <c r="G515" i="22"/>
  <c r="H514" i="22"/>
  <c r="I514" i="22" s="1"/>
  <c r="G514" i="22"/>
  <c r="H513" i="22"/>
  <c r="I513" i="22" s="1"/>
  <c r="G513" i="22"/>
  <c r="H512" i="22"/>
  <c r="I512" i="22" s="1"/>
  <c r="G512" i="22"/>
  <c r="H511" i="22"/>
  <c r="I511" i="22" s="1"/>
  <c r="G511" i="22"/>
  <c r="H510" i="22"/>
  <c r="I510" i="22" s="1"/>
  <c r="G510" i="22"/>
  <c r="H509" i="22"/>
  <c r="I509" i="22" s="1"/>
  <c r="G509" i="22"/>
  <c r="H508" i="22"/>
  <c r="I508" i="22" s="1"/>
  <c r="G508" i="22"/>
  <c r="H507" i="22"/>
  <c r="I507" i="22" s="1"/>
  <c r="G507" i="22"/>
  <c r="H506" i="22"/>
  <c r="I506" i="22" s="1"/>
  <c r="G506" i="22"/>
  <c r="H505" i="22"/>
  <c r="I505" i="22" s="1"/>
  <c r="G505" i="22"/>
  <c r="H504" i="22"/>
  <c r="I504" i="22" s="1"/>
  <c r="G504" i="22"/>
  <c r="H503" i="22"/>
  <c r="I503" i="22" s="1"/>
  <c r="G503" i="22"/>
  <c r="H502" i="22"/>
  <c r="I502" i="22" s="1"/>
  <c r="G502" i="22"/>
  <c r="H501" i="22"/>
  <c r="I501" i="22" s="1"/>
  <c r="G501" i="22"/>
  <c r="H500" i="22"/>
  <c r="I500" i="22" s="1"/>
  <c r="G500" i="22"/>
  <c r="H499" i="22"/>
  <c r="I499" i="22" s="1"/>
  <c r="G499" i="22"/>
  <c r="H498" i="22"/>
  <c r="I498" i="22" s="1"/>
  <c r="G498" i="22"/>
  <c r="H497" i="22"/>
  <c r="I497" i="22" s="1"/>
  <c r="G497" i="22"/>
  <c r="H496" i="22"/>
  <c r="I496" i="22" s="1"/>
  <c r="G496" i="22"/>
  <c r="H495" i="22"/>
  <c r="I495" i="22" s="1"/>
  <c r="G495" i="22"/>
  <c r="H494" i="22"/>
  <c r="I494" i="22" s="1"/>
  <c r="G494" i="22"/>
  <c r="H493" i="22"/>
  <c r="I493" i="22" s="1"/>
  <c r="G493" i="22"/>
  <c r="H492" i="22"/>
  <c r="I492" i="22" s="1"/>
  <c r="G492" i="22"/>
  <c r="H491" i="22"/>
  <c r="I491" i="22" s="1"/>
  <c r="G491" i="22"/>
  <c r="H490" i="22"/>
  <c r="I490" i="22" s="1"/>
  <c r="G490" i="22"/>
  <c r="H489" i="22"/>
  <c r="I489" i="22" s="1"/>
  <c r="G489" i="22"/>
  <c r="H488" i="22"/>
  <c r="I488" i="22" s="1"/>
  <c r="G488" i="22"/>
  <c r="H487" i="22"/>
  <c r="I487" i="22" s="1"/>
  <c r="G487" i="22"/>
  <c r="H486" i="22"/>
  <c r="I486" i="22" s="1"/>
  <c r="G486" i="22"/>
  <c r="H485" i="22"/>
  <c r="I485" i="22" s="1"/>
  <c r="G485" i="22"/>
  <c r="H484" i="22"/>
  <c r="I484" i="22" s="1"/>
  <c r="G484" i="22"/>
  <c r="H483" i="22"/>
  <c r="I483" i="22" s="1"/>
  <c r="G483" i="22"/>
  <c r="H482" i="22"/>
  <c r="I482" i="22" s="1"/>
  <c r="G482" i="22"/>
  <c r="H481" i="22"/>
  <c r="I481" i="22" s="1"/>
  <c r="G481" i="22"/>
  <c r="H480" i="22"/>
  <c r="I480" i="22" s="1"/>
  <c r="G480" i="22"/>
  <c r="H479" i="22"/>
  <c r="I479" i="22" s="1"/>
  <c r="G479" i="22"/>
  <c r="H478" i="22"/>
  <c r="I478" i="22" s="1"/>
  <c r="G478" i="22"/>
  <c r="H477" i="22"/>
  <c r="I477" i="22" s="1"/>
  <c r="G477" i="22"/>
  <c r="H476" i="22"/>
  <c r="I476" i="22" s="1"/>
  <c r="G476" i="22"/>
  <c r="H475" i="22"/>
  <c r="I475" i="22" s="1"/>
  <c r="G475" i="22"/>
  <c r="H474" i="22"/>
  <c r="I474" i="22" s="1"/>
  <c r="G474" i="22"/>
  <c r="H473" i="22"/>
  <c r="I473" i="22" s="1"/>
  <c r="G473" i="22"/>
  <c r="H472" i="22"/>
  <c r="I472" i="22" s="1"/>
  <c r="G472" i="22"/>
  <c r="H471" i="22"/>
  <c r="I471" i="22" s="1"/>
  <c r="G471" i="22"/>
  <c r="H470" i="22"/>
  <c r="I470" i="22" s="1"/>
  <c r="G470" i="22"/>
  <c r="H469" i="22"/>
  <c r="I469" i="22" s="1"/>
  <c r="G469" i="22"/>
  <c r="H468" i="22"/>
  <c r="I468" i="22" s="1"/>
  <c r="G468" i="22"/>
  <c r="H467" i="22"/>
  <c r="I467" i="22" s="1"/>
  <c r="G467" i="22"/>
  <c r="H466" i="22"/>
  <c r="I466" i="22" s="1"/>
  <c r="G466" i="22"/>
  <c r="H465" i="22"/>
  <c r="I465" i="22" s="1"/>
  <c r="G465" i="22"/>
  <c r="H464" i="22"/>
  <c r="I464" i="22" s="1"/>
  <c r="G464" i="22"/>
  <c r="H463" i="22"/>
  <c r="I463" i="22" s="1"/>
  <c r="G463" i="22"/>
  <c r="H462" i="22"/>
  <c r="I462" i="22" s="1"/>
  <c r="G462" i="22"/>
  <c r="H461" i="22"/>
  <c r="I461" i="22" s="1"/>
  <c r="G461" i="22"/>
  <c r="H460" i="22"/>
  <c r="I460" i="22" s="1"/>
  <c r="G460" i="22"/>
  <c r="H459" i="22"/>
  <c r="I459" i="22" s="1"/>
  <c r="G459" i="22"/>
  <c r="H458" i="22"/>
  <c r="I458" i="22" s="1"/>
  <c r="G458" i="22"/>
  <c r="H457" i="22"/>
  <c r="I457" i="22" s="1"/>
  <c r="G457" i="22"/>
  <c r="H456" i="22"/>
  <c r="I456" i="22" s="1"/>
  <c r="G456" i="22"/>
  <c r="H455" i="22"/>
  <c r="I455" i="22" s="1"/>
  <c r="G455" i="22"/>
  <c r="H454" i="22"/>
  <c r="I454" i="22" s="1"/>
  <c r="G454" i="22"/>
  <c r="H453" i="22"/>
  <c r="I453" i="22" s="1"/>
  <c r="G453" i="22"/>
  <c r="H452" i="22"/>
  <c r="I452" i="22" s="1"/>
  <c r="G452" i="22"/>
  <c r="H451" i="22"/>
  <c r="I451" i="22" s="1"/>
  <c r="G451" i="22"/>
  <c r="H450" i="22"/>
  <c r="I450" i="22" s="1"/>
  <c r="G450" i="22"/>
  <c r="H449" i="22"/>
  <c r="I449" i="22" s="1"/>
  <c r="G449" i="22"/>
  <c r="H448" i="22"/>
  <c r="I448" i="22" s="1"/>
  <c r="G448" i="22"/>
  <c r="H447" i="22"/>
  <c r="I447" i="22" s="1"/>
  <c r="G447" i="22"/>
  <c r="H446" i="22"/>
  <c r="I446" i="22" s="1"/>
  <c r="G446" i="22"/>
  <c r="H445" i="22"/>
  <c r="I445" i="22" s="1"/>
  <c r="G445" i="22"/>
  <c r="H444" i="22"/>
  <c r="I444" i="22" s="1"/>
  <c r="G444" i="22"/>
  <c r="H443" i="22"/>
  <c r="I443" i="22" s="1"/>
  <c r="G443" i="22"/>
  <c r="H442" i="22"/>
  <c r="I442" i="22" s="1"/>
  <c r="G442" i="22"/>
  <c r="H441" i="22"/>
  <c r="I441" i="22" s="1"/>
  <c r="G441" i="22"/>
  <c r="H440" i="22"/>
  <c r="I440" i="22" s="1"/>
  <c r="G440" i="22"/>
  <c r="H439" i="22"/>
  <c r="I439" i="22" s="1"/>
  <c r="G439" i="22"/>
  <c r="H438" i="22"/>
  <c r="I438" i="22" s="1"/>
  <c r="G438" i="22"/>
  <c r="M434" i="22"/>
  <c r="K434" i="22"/>
  <c r="J434" i="22"/>
  <c r="H434" i="22"/>
  <c r="I433" i="22"/>
  <c r="L433" i="22" s="1"/>
  <c r="G433" i="22"/>
  <c r="I432" i="22"/>
  <c r="L432" i="22" s="1"/>
  <c r="G432" i="22"/>
  <c r="I431" i="22"/>
  <c r="L431" i="22" s="1"/>
  <c r="G431" i="22"/>
  <c r="I430" i="22"/>
  <c r="L430" i="22" s="1"/>
  <c r="G430" i="22"/>
  <c r="I429" i="22"/>
  <c r="L429" i="22" s="1"/>
  <c r="G429" i="22"/>
  <c r="I428" i="22"/>
  <c r="L428" i="22" s="1"/>
  <c r="G428" i="22"/>
  <c r="I427" i="22"/>
  <c r="L427" i="22" s="1"/>
  <c r="G427" i="22"/>
  <c r="I426" i="22"/>
  <c r="L426" i="22" s="1"/>
  <c r="G426" i="22"/>
  <c r="I425" i="22"/>
  <c r="L425" i="22" s="1"/>
  <c r="G425" i="22"/>
  <c r="I424" i="22"/>
  <c r="L424" i="22" s="1"/>
  <c r="G424" i="22"/>
  <c r="I423" i="22"/>
  <c r="L423" i="22" s="1"/>
  <c r="G423" i="22"/>
  <c r="I422" i="22"/>
  <c r="L422" i="22" s="1"/>
  <c r="G422" i="22"/>
  <c r="I421" i="22"/>
  <c r="L421" i="22" s="1"/>
  <c r="G421" i="22"/>
  <c r="I420" i="22"/>
  <c r="L420" i="22" s="1"/>
  <c r="G420" i="22"/>
  <c r="I419" i="22"/>
  <c r="L419" i="22" s="1"/>
  <c r="G419" i="22"/>
  <c r="I418" i="22"/>
  <c r="L418" i="22" s="1"/>
  <c r="G418" i="22"/>
  <c r="I417" i="22"/>
  <c r="L417" i="22" s="1"/>
  <c r="G417" i="22"/>
  <c r="I416" i="22"/>
  <c r="L416" i="22" s="1"/>
  <c r="G416" i="22"/>
  <c r="I415" i="22"/>
  <c r="L415" i="22" s="1"/>
  <c r="G415" i="22"/>
  <c r="I414" i="22"/>
  <c r="L414" i="22" s="1"/>
  <c r="G414" i="22"/>
  <c r="I413" i="22"/>
  <c r="L413" i="22" s="1"/>
  <c r="G413" i="22"/>
  <c r="I412" i="22"/>
  <c r="L412" i="22" s="1"/>
  <c r="G412" i="22"/>
  <c r="I411" i="22"/>
  <c r="L411" i="22" s="1"/>
  <c r="G411" i="22"/>
  <c r="I410" i="22"/>
  <c r="L410" i="22" s="1"/>
  <c r="G410" i="22"/>
  <c r="I409" i="22"/>
  <c r="L409" i="22" s="1"/>
  <c r="G409" i="22"/>
  <c r="I408" i="22"/>
  <c r="L408" i="22" s="1"/>
  <c r="G408" i="22"/>
  <c r="I407" i="22"/>
  <c r="L407" i="22" s="1"/>
  <c r="G407" i="22"/>
  <c r="I406" i="22"/>
  <c r="L406" i="22" s="1"/>
  <c r="G406" i="22"/>
  <c r="I405" i="22"/>
  <c r="L405" i="22" s="1"/>
  <c r="G405" i="22"/>
  <c r="I404" i="22"/>
  <c r="L404" i="22" s="1"/>
  <c r="G404" i="22"/>
  <c r="I403" i="22"/>
  <c r="L403" i="22" s="1"/>
  <c r="G403" i="22"/>
  <c r="I402" i="22"/>
  <c r="L402" i="22" s="1"/>
  <c r="G402" i="22"/>
  <c r="I401" i="22"/>
  <c r="L401" i="22" s="1"/>
  <c r="G401" i="22"/>
  <c r="I400" i="22"/>
  <c r="L400" i="22" s="1"/>
  <c r="G400" i="22"/>
  <c r="I399" i="22"/>
  <c r="L399" i="22" s="1"/>
  <c r="G399" i="22"/>
  <c r="I398" i="22"/>
  <c r="L398" i="22" s="1"/>
  <c r="G398" i="22"/>
  <c r="I397" i="22"/>
  <c r="L397" i="22" s="1"/>
  <c r="G397" i="22"/>
  <c r="I396" i="22"/>
  <c r="L396" i="22" s="1"/>
  <c r="G396" i="22"/>
  <c r="I395" i="22"/>
  <c r="L395" i="22" s="1"/>
  <c r="G395" i="22"/>
  <c r="I394" i="22"/>
  <c r="L394" i="22" s="1"/>
  <c r="G394" i="22"/>
  <c r="I393" i="22"/>
  <c r="L393" i="22" s="1"/>
  <c r="G393" i="22"/>
  <c r="I392" i="22"/>
  <c r="L392" i="22" s="1"/>
  <c r="G392" i="22"/>
  <c r="I391" i="22"/>
  <c r="L391" i="22" s="1"/>
  <c r="G391" i="22"/>
  <c r="I390" i="22"/>
  <c r="L390" i="22" s="1"/>
  <c r="G390" i="22"/>
  <c r="I389" i="22"/>
  <c r="L389" i="22" s="1"/>
  <c r="G389" i="22"/>
  <c r="I388" i="22"/>
  <c r="L388" i="22" s="1"/>
  <c r="G388" i="22"/>
  <c r="I387" i="22"/>
  <c r="L387" i="22" s="1"/>
  <c r="G387" i="22"/>
  <c r="I386" i="22"/>
  <c r="L386" i="22" s="1"/>
  <c r="G386" i="22"/>
  <c r="I385" i="22"/>
  <c r="L385" i="22" s="1"/>
  <c r="G385" i="22"/>
  <c r="I384" i="22"/>
  <c r="L384" i="22" s="1"/>
  <c r="G384" i="22"/>
  <c r="I383" i="22"/>
  <c r="L383" i="22" s="1"/>
  <c r="G383" i="22"/>
  <c r="I382" i="22"/>
  <c r="L382" i="22" s="1"/>
  <c r="G382" i="22"/>
  <c r="I381" i="22"/>
  <c r="L381" i="22" s="1"/>
  <c r="G381" i="22"/>
  <c r="I380" i="22"/>
  <c r="L380" i="22" s="1"/>
  <c r="G380" i="22"/>
  <c r="I379" i="22"/>
  <c r="L379" i="22" s="1"/>
  <c r="G379" i="22"/>
  <c r="I378" i="22"/>
  <c r="L378" i="22" s="1"/>
  <c r="G378" i="22"/>
  <c r="I377" i="22"/>
  <c r="L377" i="22" s="1"/>
  <c r="G377" i="22"/>
  <c r="I376" i="22"/>
  <c r="L376" i="22" s="1"/>
  <c r="G376" i="22"/>
  <c r="I375" i="22"/>
  <c r="L375" i="22" s="1"/>
  <c r="G375" i="22"/>
  <c r="I374" i="22"/>
  <c r="L374" i="22" s="1"/>
  <c r="G374" i="22"/>
  <c r="I373" i="22"/>
  <c r="L373" i="22" s="1"/>
  <c r="G373" i="22"/>
  <c r="I372" i="22"/>
  <c r="L372" i="22" s="1"/>
  <c r="G372" i="22"/>
  <c r="I371" i="22"/>
  <c r="L371" i="22" s="1"/>
  <c r="G371" i="22"/>
  <c r="I370" i="22"/>
  <c r="L370" i="22" s="1"/>
  <c r="G370" i="22"/>
  <c r="I369" i="22"/>
  <c r="L369" i="22" s="1"/>
  <c r="G369" i="22"/>
  <c r="I368" i="22"/>
  <c r="L368" i="22" s="1"/>
  <c r="G368" i="22"/>
  <c r="I367" i="22"/>
  <c r="L367" i="22" s="1"/>
  <c r="G367" i="22"/>
  <c r="I366" i="22"/>
  <c r="L366" i="22" s="1"/>
  <c r="G366" i="22"/>
  <c r="I365" i="22"/>
  <c r="L365" i="22" s="1"/>
  <c r="G365" i="22"/>
  <c r="I364" i="22"/>
  <c r="L364" i="22" s="1"/>
  <c r="G364" i="22"/>
  <c r="I363" i="22"/>
  <c r="L363" i="22" s="1"/>
  <c r="G363" i="22"/>
  <c r="I362" i="22"/>
  <c r="L362" i="22" s="1"/>
  <c r="G362" i="22"/>
  <c r="I361" i="22"/>
  <c r="L361" i="22" s="1"/>
  <c r="G361" i="22"/>
  <c r="I360" i="22"/>
  <c r="L360" i="22" s="1"/>
  <c r="G360" i="22"/>
  <c r="I359" i="22"/>
  <c r="L359" i="22" s="1"/>
  <c r="G359" i="22"/>
  <c r="I358" i="22"/>
  <c r="L358" i="22" s="1"/>
  <c r="G358" i="22"/>
  <c r="I357" i="22"/>
  <c r="L357" i="22" s="1"/>
  <c r="G357" i="22"/>
  <c r="I356" i="22"/>
  <c r="L356" i="22" s="1"/>
  <c r="G356" i="22"/>
  <c r="I355" i="22"/>
  <c r="L355" i="22" s="1"/>
  <c r="G355" i="22"/>
  <c r="I354" i="22"/>
  <c r="L354" i="22" s="1"/>
  <c r="G354" i="22"/>
  <c r="I353" i="22"/>
  <c r="L353" i="22" s="1"/>
  <c r="G353" i="22"/>
  <c r="I352" i="22"/>
  <c r="L352" i="22" s="1"/>
  <c r="G352" i="22"/>
  <c r="I351" i="22"/>
  <c r="L351" i="22" s="1"/>
  <c r="G351" i="22"/>
  <c r="I350" i="22"/>
  <c r="L350" i="22" s="1"/>
  <c r="G350" i="22"/>
  <c r="I349" i="22"/>
  <c r="L349" i="22" s="1"/>
  <c r="G349" i="22"/>
  <c r="I348" i="22"/>
  <c r="L348" i="22" s="1"/>
  <c r="G348" i="22"/>
  <c r="I347" i="22"/>
  <c r="L347" i="22" s="1"/>
  <c r="G347" i="22"/>
  <c r="I346" i="22"/>
  <c r="L346" i="22" s="1"/>
  <c r="G346" i="22"/>
  <c r="I345" i="22"/>
  <c r="L345" i="22" s="1"/>
  <c r="G345" i="22"/>
  <c r="I344" i="22"/>
  <c r="L344" i="22" s="1"/>
  <c r="G344" i="22"/>
  <c r="I343" i="22"/>
  <c r="L343" i="22" s="1"/>
  <c r="G343" i="22"/>
  <c r="I342" i="22"/>
  <c r="L342" i="22" s="1"/>
  <c r="G342" i="22"/>
  <c r="I341" i="22"/>
  <c r="L341" i="22" s="1"/>
  <c r="G341" i="22"/>
  <c r="I340" i="22"/>
  <c r="L340" i="22" s="1"/>
  <c r="G340" i="22"/>
  <c r="I339" i="22"/>
  <c r="L339" i="22" s="1"/>
  <c r="G339" i="22"/>
  <c r="I338" i="22"/>
  <c r="L338" i="22" s="1"/>
  <c r="G338" i="22"/>
  <c r="I337" i="22"/>
  <c r="L337" i="22" s="1"/>
  <c r="G337" i="22"/>
  <c r="I336" i="22"/>
  <c r="L336" i="22" s="1"/>
  <c r="G336" i="22"/>
  <c r="I335" i="22"/>
  <c r="L335" i="22" s="1"/>
  <c r="G335" i="22"/>
  <c r="I334" i="22"/>
  <c r="L334" i="22" s="1"/>
  <c r="G334" i="22"/>
  <c r="I333" i="22"/>
  <c r="L333" i="22" s="1"/>
  <c r="G333" i="22"/>
  <c r="I332" i="22"/>
  <c r="L332" i="22" s="1"/>
  <c r="G332" i="22"/>
  <c r="I331" i="22"/>
  <c r="L331" i="22" s="1"/>
  <c r="G331" i="22"/>
  <c r="I330" i="22"/>
  <c r="L330" i="22" s="1"/>
  <c r="G330" i="22"/>
  <c r="I329" i="22"/>
  <c r="L329" i="22" s="1"/>
  <c r="G329" i="22"/>
  <c r="I328" i="22"/>
  <c r="L328" i="22" s="1"/>
  <c r="G328" i="22"/>
  <c r="I327" i="22"/>
  <c r="L327" i="22" s="1"/>
  <c r="G327" i="22"/>
  <c r="I326" i="22"/>
  <c r="L326" i="22" s="1"/>
  <c r="G326" i="22"/>
  <c r="I325" i="22"/>
  <c r="L325" i="22" s="1"/>
  <c r="G325" i="22"/>
  <c r="I324" i="22"/>
  <c r="L324" i="22" s="1"/>
  <c r="G324" i="22"/>
  <c r="I323" i="22"/>
  <c r="L323" i="22" s="1"/>
  <c r="G323" i="22"/>
  <c r="I322" i="22"/>
  <c r="L322" i="22" s="1"/>
  <c r="G322" i="22"/>
  <c r="I321" i="22"/>
  <c r="L321" i="22" s="1"/>
  <c r="G321" i="22"/>
  <c r="I320" i="22"/>
  <c r="L320" i="22" s="1"/>
  <c r="G320" i="22"/>
  <c r="I319" i="22"/>
  <c r="L319" i="22" s="1"/>
  <c r="G319" i="22"/>
  <c r="I318" i="22"/>
  <c r="L318" i="22" s="1"/>
  <c r="G318" i="22"/>
  <c r="I317" i="22"/>
  <c r="L317" i="22" s="1"/>
  <c r="G317" i="22"/>
  <c r="I316" i="22"/>
  <c r="L316" i="22" s="1"/>
  <c r="G316" i="22"/>
  <c r="I315" i="22"/>
  <c r="L315" i="22" s="1"/>
  <c r="G315" i="22"/>
  <c r="I314" i="22"/>
  <c r="L314" i="22" s="1"/>
  <c r="G314" i="22"/>
  <c r="I313" i="22"/>
  <c r="L313" i="22" s="1"/>
  <c r="G313" i="22"/>
  <c r="I312" i="22"/>
  <c r="L312" i="22" s="1"/>
  <c r="G312" i="22"/>
  <c r="I311" i="22"/>
  <c r="L311" i="22" s="1"/>
  <c r="G311" i="22"/>
  <c r="I310" i="22"/>
  <c r="L310" i="22" s="1"/>
  <c r="G310" i="22"/>
  <c r="I309" i="22"/>
  <c r="L309" i="22" s="1"/>
  <c r="G309" i="22"/>
  <c r="I308" i="22"/>
  <c r="L308" i="22" s="1"/>
  <c r="G308" i="22"/>
  <c r="I307" i="22"/>
  <c r="L307" i="22" s="1"/>
  <c r="G307" i="22"/>
  <c r="I306" i="22"/>
  <c r="L306" i="22" s="1"/>
  <c r="G306" i="22"/>
  <c r="I305" i="22"/>
  <c r="L305" i="22" s="1"/>
  <c r="G305" i="22"/>
  <c r="I304" i="22"/>
  <c r="L304" i="22" s="1"/>
  <c r="G304" i="22"/>
  <c r="I303" i="22"/>
  <c r="L303" i="22" s="1"/>
  <c r="G303" i="22"/>
  <c r="I302" i="22"/>
  <c r="L302" i="22" s="1"/>
  <c r="G302" i="22"/>
  <c r="I301" i="22"/>
  <c r="L301" i="22" s="1"/>
  <c r="G301" i="22"/>
  <c r="I300" i="22"/>
  <c r="L300" i="22" s="1"/>
  <c r="G300" i="22"/>
  <c r="I299" i="22"/>
  <c r="L299" i="22" s="1"/>
  <c r="G299" i="22"/>
  <c r="I298" i="22"/>
  <c r="L298" i="22" s="1"/>
  <c r="G298" i="22"/>
  <c r="I297" i="22"/>
  <c r="L297" i="22" s="1"/>
  <c r="G297" i="22"/>
  <c r="I296" i="22"/>
  <c r="L296" i="22" s="1"/>
  <c r="G296" i="22"/>
  <c r="I295" i="22"/>
  <c r="L295" i="22" s="1"/>
  <c r="G295" i="22"/>
  <c r="I294" i="22"/>
  <c r="L294" i="22" s="1"/>
  <c r="G294" i="22"/>
  <c r="I293" i="22"/>
  <c r="L293" i="22" s="1"/>
  <c r="G293" i="22"/>
  <c r="I292" i="22"/>
  <c r="L292" i="22" s="1"/>
  <c r="G292" i="22"/>
  <c r="I291" i="22"/>
  <c r="L291" i="22" s="1"/>
  <c r="G291" i="22"/>
  <c r="I290" i="22"/>
  <c r="L290" i="22" s="1"/>
  <c r="G290" i="22"/>
  <c r="I289" i="22"/>
  <c r="L289" i="22" s="1"/>
  <c r="G289" i="22"/>
  <c r="I288" i="22"/>
  <c r="L288" i="22" s="1"/>
  <c r="G288" i="22"/>
  <c r="I287" i="22"/>
  <c r="L287" i="22" s="1"/>
  <c r="G287" i="22"/>
  <c r="I286" i="22"/>
  <c r="L286" i="22" s="1"/>
  <c r="G286" i="22"/>
  <c r="I285" i="22"/>
  <c r="L285" i="22" s="1"/>
  <c r="G285" i="22"/>
  <c r="I284" i="22"/>
  <c r="L284" i="22" s="1"/>
  <c r="G284" i="22"/>
  <c r="I283" i="22"/>
  <c r="L283" i="22" s="1"/>
  <c r="G283" i="22"/>
  <c r="I282" i="22"/>
  <c r="L282" i="22" s="1"/>
  <c r="G282" i="22"/>
  <c r="I281" i="22"/>
  <c r="L281" i="22" s="1"/>
  <c r="G281" i="22"/>
  <c r="I280" i="22"/>
  <c r="L280" i="22" s="1"/>
  <c r="G280" i="22"/>
  <c r="I279" i="22"/>
  <c r="L279" i="22" s="1"/>
  <c r="G279" i="22"/>
  <c r="I278" i="22"/>
  <c r="L278" i="22" s="1"/>
  <c r="G278" i="22"/>
  <c r="I277" i="22"/>
  <c r="L277" i="22" s="1"/>
  <c r="G277" i="22"/>
  <c r="I276" i="22"/>
  <c r="L276" i="22" s="1"/>
  <c r="G276" i="22"/>
  <c r="I275" i="22"/>
  <c r="L275" i="22" s="1"/>
  <c r="G275" i="22"/>
  <c r="I274" i="22"/>
  <c r="L274" i="22" s="1"/>
  <c r="G274" i="22"/>
  <c r="I273" i="22"/>
  <c r="L273" i="22" s="1"/>
  <c r="G273" i="22"/>
  <c r="I272" i="22"/>
  <c r="L272" i="22" s="1"/>
  <c r="G272" i="22"/>
  <c r="I271" i="22"/>
  <c r="L271" i="22" s="1"/>
  <c r="G271" i="22"/>
  <c r="I270" i="22"/>
  <c r="L270" i="22" s="1"/>
  <c r="G270" i="22"/>
  <c r="I269" i="22"/>
  <c r="L269" i="22" s="1"/>
  <c r="G269" i="22"/>
  <c r="I268" i="22"/>
  <c r="L268" i="22" s="1"/>
  <c r="G268" i="22"/>
  <c r="I267" i="22"/>
  <c r="L267" i="22" s="1"/>
  <c r="G267" i="22"/>
  <c r="I266" i="22"/>
  <c r="L266" i="22" s="1"/>
  <c r="G266" i="22"/>
  <c r="I265" i="22"/>
  <c r="L265" i="22" s="1"/>
  <c r="G265" i="22"/>
  <c r="I264" i="22"/>
  <c r="L264" i="22" s="1"/>
  <c r="G264" i="22"/>
  <c r="I263" i="22"/>
  <c r="L263" i="22" s="1"/>
  <c r="G263" i="22"/>
  <c r="I262" i="22"/>
  <c r="L262" i="22" s="1"/>
  <c r="G262" i="22"/>
  <c r="I261" i="22"/>
  <c r="L261" i="22" s="1"/>
  <c r="G261" i="22"/>
  <c r="I260" i="22"/>
  <c r="L260" i="22" s="1"/>
  <c r="G260" i="22"/>
  <c r="I259" i="22"/>
  <c r="L259" i="22" s="1"/>
  <c r="G259" i="22"/>
  <c r="I258" i="22"/>
  <c r="L258" i="22" s="1"/>
  <c r="G258" i="22"/>
  <c r="I257" i="22"/>
  <c r="L257" i="22" s="1"/>
  <c r="G257" i="22"/>
  <c r="I256" i="22"/>
  <c r="L256" i="22" s="1"/>
  <c r="G256" i="22"/>
  <c r="I255" i="22"/>
  <c r="L255" i="22" s="1"/>
  <c r="G255" i="22"/>
  <c r="I254" i="22"/>
  <c r="L254" i="22" s="1"/>
  <c r="G254" i="22"/>
  <c r="I253" i="22"/>
  <c r="L253" i="22" s="1"/>
  <c r="G253" i="22"/>
  <c r="I252" i="22"/>
  <c r="L252" i="22" s="1"/>
  <c r="G252" i="22"/>
  <c r="I251" i="22"/>
  <c r="L251" i="22" s="1"/>
  <c r="G251" i="22"/>
  <c r="I250" i="22"/>
  <c r="L250" i="22" s="1"/>
  <c r="G250" i="22"/>
  <c r="I249" i="22"/>
  <c r="L249" i="22" s="1"/>
  <c r="G249" i="22"/>
  <c r="I248" i="22"/>
  <c r="L248" i="22" s="1"/>
  <c r="G248" i="22"/>
  <c r="I247" i="22"/>
  <c r="G247" i="22"/>
  <c r="I238" i="22"/>
  <c r="K237" i="22"/>
  <c r="J237" i="22"/>
  <c r="H237" i="22"/>
  <c r="K236" i="22"/>
  <c r="J236" i="22"/>
  <c r="H236" i="22"/>
  <c r="L194" i="22"/>
  <c r="K194" i="22"/>
  <c r="J194" i="22"/>
  <c r="I194" i="22"/>
  <c r="G194" i="22"/>
  <c r="O177" i="22"/>
  <c r="N177" i="22"/>
  <c r="M177" i="22"/>
  <c r="L177" i="22"/>
  <c r="K177" i="22"/>
  <c r="J177" i="22"/>
  <c r="H177" i="22"/>
  <c r="R176" i="22"/>
  <c r="Q176" i="22"/>
  <c r="I176" i="22"/>
  <c r="P176" i="22" s="1"/>
  <c r="G176" i="22"/>
  <c r="I137" i="22"/>
  <c r="P137" i="22" s="1"/>
  <c r="I147" i="22"/>
  <c r="P147" i="22" s="1"/>
  <c r="I145" i="22"/>
  <c r="P145" i="22" s="1"/>
  <c r="I173" i="22"/>
  <c r="P173" i="22" s="1"/>
  <c r="I157" i="22"/>
  <c r="P157" i="22" s="1"/>
  <c r="I144" i="22"/>
  <c r="P144" i="22" s="1"/>
  <c r="I49" i="22"/>
  <c r="P49" i="22" s="1"/>
  <c r="I132" i="22"/>
  <c r="P132" i="22" s="1"/>
  <c r="I123" i="22"/>
  <c r="P123" i="22" s="1"/>
  <c r="I166" i="22"/>
  <c r="P166" i="22" s="1"/>
  <c r="I165" i="22"/>
  <c r="P165" i="22" s="1"/>
  <c r="I164" i="22"/>
  <c r="P164" i="22" s="1"/>
  <c r="I163" i="22"/>
  <c r="P163" i="22" s="1"/>
  <c r="I162" i="22"/>
  <c r="P162" i="22" s="1"/>
  <c r="I161" i="22"/>
  <c r="P161" i="22" s="1"/>
  <c r="I160" i="22"/>
  <c r="P160" i="22" s="1"/>
  <c r="I159" i="22"/>
  <c r="P159" i="22" s="1"/>
  <c r="I158" i="22"/>
  <c r="P158" i="22" s="1"/>
  <c r="I156" i="22"/>
  <c r="P156" i="22" s="1"/>
  <c r="I155" i="22"/>
  <c r="P155" i="22" s="1"/>
  <c r="I154" i="22"/>
  <c r="P154" i="22" s="1"/>
  <c r="I153" i="22"/>
  <c r="P153" i="22" s="1"/>
  <c r="P152" i="22"/>
  <c r="I151" i="22"/>
  <c r="P151" i="22" s="1"/>
  <c r="I150" i="22"/>
  <c r="P150" i="22" s="1"/>
  <c r="I149" i="22"/>
  <c r="P149" i="22" s="1"/>
  <c r="I148" i="22"/>
  <c r="P148" i="22" s="1"/>
  <c r="P146" i="22"/>
  <c r="I143" i="22"/>
  <c r="P143" i="22" s="1"/>
  <c r="I142" i="22"/>
  <c r="P142" i="22" s="1"/>
  <c r="I141" i="22"/>
  <c r="P141" i="22" s="1"/>
  <c r="P140" i="22"/>
  <c r="I139" i="22"/>
  <c r="P139" i="22" s="1"/>
  <c r="I138" i="22"/>
  <c r="P138" i="22" s="1"/>
  <c r="I136" i="22"/>
  <c r="P136" i="22" s="1"/>
  <c r="P135" i="22"/>
  <c r="I134" i="22"/>
  <c r="P134" i="22" s="1"/>
  <c r="I133" i="22"/>
  <c r="P133" i="22" s="1"/>
  <c r="I131" i="22"/>
  <c r="P131" i="22" s="1"/>
  <c r="I130" i="22"/>
  <c r="P130" i="22" s="1"/>
  <c r="I129" i="22"/>
  <c r="P129" i="22" s="1"/>
  <c r="I128" i="22"/>
  <c r="P128" i="22" s="1"/>
  <c r="I127" i="22"/>
  <c r="P127" i="22" s="1"/>
  <c r="I126" i="22"/>
  <c r="P126" i="22" s="1"/>
  <c r="I125" i="22"/>
  <c r="P125" i="22" s="1"/>
  <c r="I124" i="22"/>
  <c r="P124" i="22" s="1"/>
  <c r="I122" i="22"/>
  <c r="P122" i="22" s="1"/>
  <c r="I121" i="22"/>
  <c r="P121" i="22" s="1"/>
  <c r="I120" i="22"/>
  <c r="P120" i="22" s="1"/>
  <c r="I119" i="22"/>
  <c r="P119" i="22" s="1"/>
  <c r="I118" i="22"/>
  <c r="P118" i="22" s="1"/>
  <c r="I116" i="22"/>
  <c r="P116" i="22" s="1"/>
  <c r="I115" i="22"/>
  <c r="P115" i="22" s="1"/>
  <c r="I114" i="22"/>
  <c r="P114" i="22" s="1"/>
  <c r="I113" i="22"/>
  <c r="P113" i="22" s="1"/>
  <c r="I112" i="22"/>
  <c r="P112" i="22" s="1"/>
  <c r="P111" i="22"/>
  <c r="I110" i="22"/>
  <c r="P110" i="22" s="1"/>
  <c r="I109" i="22"/>
  <c r="P109" i="22" s="1"/>
  <c r="I108" i="22"/>
  <c r="P108" i="22" s="1"/>
  <c r="P107" i="22"/>
  <c r="P106" i="22"/>
  <c r="I105" i="22"/>
  <c r="P105" i="22" s="1"/>
  <c r="I104" i="22"/>
  <c r="P104" i="22" s="1"/>
  <c r="I103" i="22"/>
  <c r="P103" i="22" s="1"/>
  <c r="I102" i="22"/>
  <c r="P102" i="22" s="1"/>
  <c r="I101" i="22"/>
  <c r="P101" i="22" s="1"/>
  <c r="I100" i="22"/>
  <c r="P100" i="22" s="1"/>
  <c r="I98" i="22"/>
  <c r="P98" i="22" s="1"/>
  <c r="I97" i="22"/>
  <c r="P97" i="22" s="1"/>
  <c r="I96" i="22"/>
  <c r="P96" i="22" s="1"/>
  <c r="I95" i="22"/>
  <c r="P95" i="22" s="1"/>
  <c r="I94" i="22"/>
  <c r="P94" i="22" s="1"/>
  <c r="I93" i="22"/>
  <c r="P93" i="22" s="1"/>
  <c r="I92" i="22"/>
  <c r="P92" i="22" s="1"/>
  <c r="P91" i="22"/>
  <c r="I89" i="22"/>
  <c r="P89" i="22" s="1"/>
  <c r="I88" i="22"/>
  <c r="P88" i="22" s="1"/>
  <c r="I87" i="22"/>
  <c r="P87" i="22" s="1"/>
  <c r="I86" i="22"/>
  <c r="P86" i="22" s="1"/>
  <c r="P85" i="22"/>
  <c r="I82" i="22"/>
  <c r="P82" i="22" s="1"/>
  <c r="I81" i="22"/>
  <c r="P81" i="22" s="1"/>
  <c r="P80" i="22"/>
  <c r="I79" i="22"/>
  <c r="P79" i="22" s="1"/>
  <c r="I78" i="22"/>
  <c r="P78" i="22" s="1"/>
  <c r="P76" i="22"/>
  <c r="I75" i="22"/>
  <c r="P75" i="22" s="1"/>
  <c r="P74" i="22"/>
  <c r="P73" i="22"/>
  <c r="I72" i="22"/>
  <c r="P72" i="22" s="1"/>
  <c r="I71" i="22"/>
  <c r="P71" i="22" s="1"/>
  <c r="I70" i="22"/>
  <c r="P70" i="22" s="1"/>
  <c r="I69" i="22"/>
  <c r="P69" i="22" s="1"/>
  <c r="I68" i="22"/>
  <c r="P68" i="22" s="1"/>
  <c r="I67" i="22"/>
  <c r="P67" i="22" s="1"/>
  <c r="I66" i="22"/>
  <c r="P66" i="22" s="1"/>
  <c r="P65" i="22"/>
  <c r="I64" i="22"/>
  <c r="P64" i="22" s="1"/>
  <c r="P63" i="22"/>
  <c r="I62" i="22"/>
  <c r="P62" i="22" s="1"/>
  <c r="I61" i="22"/>
  <c r="P61" i="22" s="1"/>
  <c r="I60" i="22"/>
  <c r="P60" i="22" s="1"/>
  <c r="I59" i="22"/>
  <c r="P59" i="22" s="1"/>
  <c r="I58" i="22"/>
  <c r="P58" i="22" s="1"/>
  <c r="I57" i="22"/>
  <c r="P57" i="22" s="1"/>
  <c r="I55" i="22"/>
  <c r="P55" i="22" s="1"/>
  <c r="P54" i="22"/>
  <c r="I53" i="22"/>
  <c r="P53" i="22" s="1"/>
  <c r="I52" i="22"/>
  <c r="P52" i="22" s="1"/>
  <c r="I51" i="22"/>
  <c r="P51" i="22" s="1"/>
  <c r="I48" i="22"/>
  <c r="P48" i="22" s="1"/>
  <c r="I47" i="22"/>
  <c r="P47" i="22" s="1"/>
  <c r="I46" i="22"/>
  <c r="P46" i="22" s="1"/>
  <c r="I45" i="22"/>
  <c r="P45" i="22" s="1"/>
  <c r="I44" i="22"/>
  <c r="P44" i="22" s="1"/>
  <c r="I43" i="22"/>
  <c r="P43" i="22" s="1"/>
  <c r="I41" i="22"/>
  <c r="P41" i="22" s="1"/>
  <c r="I40" i="22"/>
  <c r="P40" i="22" s="1"/>
  <c r="I39" i="22"/>
  <c r="P39" i="22" s="1"/>
  <c r="P38" i="22"/>
  <c r="I36" i="22"/>
  <c r="P36" i="22" s="1"/>
  <c r="P35" i="22"/>
  <c r="P34" i="22"/>
  <c r="I33" i="22"/>
  <c r="P33" i="22" s="1"/>
  <c r="P32" i="22"/>
  <c r="P31" i="22"/>
  <c r="P30" i="22"/>
  <c r="I29" i="22"/>
  <c r="P29" i="22" s="1"/>
  <c r="I28" i="22"/>
  <c r="P28" i="22" s="1"/>
  <c r="P27" i="22"/>
  <c r="I26" i="22"/>
  <c r="P26" i="22" s="1"/>
  <c r="I25" i="22"/>
  <c r="P25" i="22" s="1"/>
  <c r="I24" i="22"/>
  <c r="P24" i="22" s="1"/>
  <c r="I23" i="22"/>
  <c r="P23" i="22" s="1"/>
  <c r="I22" i="22"/>
  <c r="P22" i="22" s="1"/>
  <c r="P21" i="22"/>
  <c r="I20" i="22"/>
  <c r="P20" i="22" s="1"/>
  <c r="I19" i="22"/>
  <c r="P19" i="22" s="1"/>
  <c r="I18" i="22"/>
  <c r="P18" i="22" s="1"/>
  <c r="I17" i="22"/>
  <c r="P17" i="22" s="1"/>
  <c r="I16" i="22"/>
  <c r="P16" i="22" s="1"/>
  <c r="I15" i="22"/>
  <c r="P15" i="22" s="1"/>
  <c r="I14" i="22"/>
  <c r="P14" i="22" s="1"/>
  <c r="I13" i="22"/>
  <c r="P13" i="22" s="1"/>
  <c r="I12" i="22"/>
  <c r="P12" i="22" s="1"/>
  <c r="I11" i="22"/>
  <c r="P11" i="22" s="1"/>
  <c r="I10" i="22"/>
  <c r="P10" i="22" s="1"/>
  <c r="P9" i="22"/>
  <c r="N1" i="22"/>
  <c r="K243" i="22" s="1"/>
  <c r="G1" i="22"/>
  <c r="G287" i="14"/>
  <c r="H287" i="14"/>
  <c r="I287" i="14" s="1"/>
  <c r="G286" i="14"/>
  <c r="H286" i="14"/>
  <c r="I286" i="14" s="1"/>
  <c r="G285" i="14"/>
  <c r="H285" i="14"/>
  <c r="I285" i="14" s="1"/>
  <c r="G284" i="14"/>
  <c r="H284" i="14"/>
  <c r="I284" i="14" s="1"/>
  <c r="G283" i="14"/>
  <c r="H283" i="14"/>
  <c r="I283" i="14" s="1"/>
  <c r="J56" i="14"/>
  <c r="J17" i="14"/>
  <c r="K186" i="14"/>
  <c r="L186" i="14"/>
  <c r="M186" i="14"/>
  <c r="N186" i="14"/>
  <c r="O186" i="14"/>
  <c r="M194" i="14"/>
  <c r="G201" i="14"/>
  <c r="M201" i="14" s="1"/>
  <c r="G199" i="14"/>
  <c r="M199" i="14" s="1"/>
  <c r="G196" i="14"/>
  <c r="M196" i="14" s="1"/>
  <c r="J186" i="14" l="1"/>
  <c r="I434" i="22"/>
  <c r="B4" i="22"/>
  <c r="P177" i="22"/>
  <c r="H194" i="22"/>
  <c r="I177" i="22"/>
  <c r="I2559" i="22"/>
  <c r="L247" i="22"/>
  <c r="L434" i="22" s="1"/>
  <c r="H2559" i="22"/>
  <c r="J4" i="22" s="1"/>
  <c r="I169" i="19"/>
  <c r="H214" i="19"/>
  <c r="J214" i="19"/>
  <c r="K214" i="19"/>
  <c r="H215" i="19"/>
  <c r="J215" i="19"/>
  <c r="K215" i="19"/>
  <c r="O160" i="19"/>
  <c r="P164" i="19"/>
  <c r="I168" i="19"/>
  <c r="P168" i="19" s="1"/>
  <c r="I139" i="19"/>
  <c r="I153" i="19"/>
  <c r="I157" i="19"/>
  <c r="P157" i="19" s="1"/>
  <c r="I30" i="19"/>
  <c r="P30" i="19" s="1"/>
  <c r="I116" i="19"/>
  <c r="P116" i="19" s="1"/>
  <c r="I163" i="19"/>
  <c r="P163" i="19" s="1"/>
  <c r="I136" i="19"/>
  <c r="P136" i="19" s="1"/>
  <c r="H96" i="19"/>
  <c r="I96" i="19" s="1"/>
  <c r="P96" i="19" s="1"/>
  <c r="I103" i="19"/>
  <c r="P103" i="19" s="1"/>
  <c r="I102" i="19"/>
  <c r="P102" i="19" s="1"/>
  <c r="I104" i="19"/>
  <c r="P104" i="19" s="1"/>
  <c r="I99" i="19"/>
  <c r="P99" i="19" s="1"/>
  <c r="I98" i="19"/>
  <c r="P98" i="19" s="1"/>
  <c r="I100" i="19"/>
  <c r="P100" i="19" s="1"/>
  <c r="I110" i="19"/>
  <c r="P110" i="19" s="1"/>
  <c r="I111" i="19"/>
  <c r="P111" i="19" s="1"/>
  <c r="I115" i="19"/>
  <c r="P115" i="19" s="1"/>
  <c r="I121" i="19"/>
  <c r="P121" i="19" s="1"/>
  <c r="I127" i="19"/>
  <c r="P127" i="19" s="1"/>
  <c r="I131" i="19"/>
  <c r="P131" i="19" s="1"/>
  <c r="I143" i="19"/>
  <c r="P143" i="19" s="1"/>
  <c r="I144" i="19"/>
  <c r="P144" i="19" s="1"/>
  <c r="I38" i="19"/>
  <c r="P38" i="19" s="1"/>
  <c r="I36" i="19"/>
  <c r="I37" i="19"/>
  <c r="P37" i="19" s="1"/>
  <c r="I45" i="19"/>
  <c r="P45" i="19" s="1"/>
  <c r="P57" i="19"/>
  <c r="I62" i="19"/>
  <c r="P62" i="19" s="1"/>
  <c r="I60" i="19"/>
  <c r="P60" i="19" s="1"/>
  <c r="I61" i="19"/>
  <c r="P61" i="19" s="1"/>
  <c r="I59" i="19"/>
  <c r="P59" i="19" s="1"/>
  <c r="I74" i="19"/>
  <c r="P74" i="19" s="1"/>
  <c r="I82" i="19"/>
  <c r="P82" i="19" s="1"/>
  <c r="I88" i="19"/>
  <c r="P88" i="19" s="1"/>
  <c r="I86" i="19"/>
  <c r="P86" i="19" s="1"/>
  <c r="I87" i="19"/>
  <c r="P87" i="19" s="1"/>
  <c r="I93" i="19"/>
  <c r="P93" i="19" s="1"/>
  <c r="I92" i="19"/>
  <c r="P92" i="19" s="1"/>
  <c r="I94" i="19"/>
  <c r="P94" i="19" s="1"/>
  <c r="I101" i="19"/>
  <c r="P101" i="19" s="1"/>
  <c r="I26" i="19"/>
  <c r="P26" i="19" s="1"/>
  <c r="I23" i="19"/>
  <c r="P23" i="19" s="1"/>
  <c r="I22" i="19"/>
  <c r="P22" i="19" s="1"/>
  <c r="I29" i="19"/>
  <c r="P29" i="19" s="1"/>
  <c r="I20" i="19"/>
  <c r="P20" i="19" s="1"/>
  <c r="I21" i="19"/>
  <c r="P21" i="19" s="1"/>
  <c r="I33" i="19"/>
  <c r="P33" i="19" s="1"/>
  <c r="P19" i="19"/>
  <c r="I83" i="19"/>
  <c r="P83" i="19" s="1"/>
  <c r="I75" i="19"/>
  <c r="P75" i="19" s="1"/>
  <c r="I130" i="19"/>
  <c r="P130" i="19" s="1"/>
  <c r="I142" i="19"/>
  <c r="P142" i="19" s="1"/>
  <c r="I146" i="19"/>
  <c r="P146" i="19" s="1"/>
  <c r="I147" i="19"/>
  <c r="P147" i="19" s="1"/>
  <c r="I150" i="19"/>
  <c r="P150" i="19" s="1"/>
  <c r="I135" i="19"/>
  <c r="P135" i="19" s="1"/>
  <c r="I134" i="19"/>
  <c r="P134" i="19" s="1"/>
  <c r="I118" i="19"/>
  <c r="P118" i="19" s="1"/>
  <c r="I122" i="19"/>
  <c r="P122" i="19" s="1"/>
  <c r="I129" i="19"/>
  <c r="P129" i="19" s="1"/>
  <c r="I132" i="19"/>
  <c r="P132" i="19" s="1"/>
  <c r="I128" i="19"/>
  <c r="P128" i="19" s="1"/>
  <c r="I133" i="19"/>
  <c r="P133" i="19" s="1"/>
  <c r="I120" i="19"/>
  <c r="P120" i="19" s="1"/>
  <c r="I117" i="19"/>
  <c r="P117" i="19" s="1"/>
  <c r="I81" i="19"/>
  <c r="P81" i="19" s="1"/>
  <c r="I108" i="19"/>
  <c r="P108" i="19" s="1"/>
  <c r="P91" i="19"/>
  <c r="I107" i="19"/>
  <c r="P107" i="19" s="1"/>
  <c r="I106" i="19"/>
  <c r="P106" i="19" s="1"/>
  <c r="I69" i="19"/>
  <c r="P69" i="19" s="1"/>
  <c r="I80" i="19"/>
  <c r="P80" i="19" s="1"/>
  <c r="I79" i="19"/>
  <c r="P79" i="19" s="1"/>
  <c r="I76" i="19"/>
  <c r="P76" i="19" s="1"/>
  <c r="I70" i="19"/>
  <c r="P70" i="19" s="1"/>
  <c r="I67" i="19"/>
  <c r="P67" i="19" s="1"/>
  <c r="P51" i="19"/>
  <c r="I66" i="19"/>
  <c r="P66" i="19" s="1"/>
  <c r="I65" i="19"/>
  <c r="P65" i="19" s="1"/>
  <c r="I27" i="19"/>
  <c r="P27" i="19" s="1"/>
  <c r="I48" i="19"/>
  <c r="P48" i="19" s="1"/>
  <c r="I68" i="19"/>
  <c r="P68" i="19" s="1"/>
  <c r="I39" i="19"/>
  <c r="P39" i="19" s="1"/>
  <c r="I44" i="19"/>
  <c r="P44" i="19" s="1"/>
  <c r="I41" i="19"/>
  <c r="P41" i="19" s="1"/>
  <c r="I43" i="19"/>
  <c r="P43" i="19" s="1"/>
  <c r="I31" i="19"/>
  <c r="P31" i="19" s="1"/>
  <c r="I24" i="19"/>
  <c r="P24" i="19" s="1"/>
  <c r="I34" i="19"/>
  <c r="P34" i="19" s="1"/>
  <c r="I14" i="19"/>
  <c r="P14" i="19" s="1"/>
  <c r="I11" i="19"/>
  <c r="P11" i="19" s="1"/>
  <c r="I149" i="19"/>
  <c r="P149" i="19" s="1"/>
  <c r="I162" i="19"/>
  <c r="P162" i="19" s="1"/>
  <c r="P160" i="19"/>
  <c r="I126" i="19"/>
  <c r="I159" i="19"/>
  <c r="P159" i="19" s="1"/>
  <c r="M4" i="22" l="1"/>
  <c r="G4" i="22"/>
  <c r="P4" i="22" s="1"/>
  <c r="P153" i="19"/>
  <c r="P139" i="19"/>
  <c r="P36" i="19"/>
  <c r="P126" i="19"/>
  <c r="P141" i="19"/>
  <c r="L54" i="19"/>
  <c r="L109" i="19"/>
  <c r="L16" i="19" l="1"/>
  <c r="P16" i="19" s="1"/>
  <c r="I155" i="19"/>
  <c r="P155" i="19" s="1"/>
  <c r="I152" i="19"/>
  <c r="P152" i="19" s="1"/>
  <c r="I140" i="19"/>
  <c r="P140" i="19" s="1"/>
  <c r="I125" i="19"/>
  <c r="P125" i="19" s="1"/>
  <c r="I123" i="19"/>
  <c r="P123" i="19" s="1"/>
  <c r="I58" i="19"/>
  <c r="P58" i="19" s="1"/>
  <c r="P15" i="19"/>
  <c r="I18" i="19"/>
  <c r="P18" i="19" s="1"/>
  <c r="I151" i="19"/>
  <c r="P151" i="19" s="1"/>
  <c r="I138" i="19"/>
  <c r="P138" i="19" s="1"/>
  <c r="I166" i="19"/>
  <c r="P166" i="19" s="1"/>
  <c r="I148" i="19"/>
  <c r="P148" i="19" s="1"/>
  <c r="I165" i="19"/>
  <c r="P165" i="19" s="1"/>
  <c r="I112" i="19"/>
  <c r="P112" i="19" s="1"/>
  <c r="I89" i="19"/>
  <c r="P89" i="19" s="1"/>
  <c r="I77" i="19"/>
  <c r="P77" i="19" s="1"/>
  <c r="I97" i="19"/>
  <c r="P97" i="19" s="1"/>
  <c r="P109" i="19"/>
  <c r="I56" i="19"/>
  <c r="P56" i="19" s="1"/>
  <c r="I50" i="19"/>
  <c r="P50" i="19" s="1"/>
  <c r="P42" i="19"/>
  <c r="I156" i="19"/>
  <c r="P156" i="19" s="1"/>
  <c r="I167" i="19"/>
  <c r="P167" i="19" s="1"/>
  <c r="I154" i="19"/>
  <c r="P154" i="19" s="1"/>
  <c r="P73" i="19"/>
  <c r="I95" i="19"/>
  <c r="P95" i="19" s="1"/>
  <c r="I90" i="19"/>
  <c r="P90" i="19" s="1"/>
  <c r="I53" i="19"/>
  <c r="P53" i="19" s="1"/>
  <c r="P113" i="19"/>
  <c r="P114" i="19"/>
  <c r="I119" i="19"/>
  <c r="P119" i="19" s="1"/>
  <c r="I105" i="19"/>
  <c r="P105" i="19" s="1"/>
  <c r="I85" i="19"/>
  <c r="P85" i="19" s="1"/>
  <c r="I64" i="19"/>
  <c r="P64" i="19" s="1"/>
  <c r="P28" i="19"/>
  <c r="I78" i="19"/>
  <c r="P78" i="19" s="1"/>
  <c r="I71" i="19"/>
  <c r="P71" i="19" s="1"/>
  <c r="P84" i="19"/>
  <c r="I72" i="19"/>
  <c r="P72" i="19" s="1"/>
  <c r="I55" i="19"/>
  <c r="P54" i="19"/>
  <c r="I52" i="19"/>
  <c r="I47" i="19"/>
  <c r="P47" i="19" s="1"/>
  <c r="I40" i="19"/>
  <c r="I46" i="19"/>
  <c r="P46" i="19" s="1"/>
  <c r="I49" i="19"/>
  <c r="I35" i="19"/>
  <c r="P35" i="19" s="1"/>
  <c r="I13" i="19"/>
  <c r="I25" i="19"/>
  <c r="P25" i="19" s="1"/>
  <c r="I32" i="19"/>
  <c r="P32" i="19" s="1"/>
  <c r="I17" i="19"/>
  <c r="P17" i="19" s="1"/>
  <c r="I9" i="19"/>
  <c r="P158" i="19"/>
  <c r="I137" i="19"/>
  <c r="P137" i="19" s="1"/>
  <c r="L124" i="19"/>
  <c r="P49" i="19" l="1"/>
  <c r="P52" i="19"/>
  <c r="P13" i="19"/>
  <c r="P40" i="19"/>
  <c r="P55" i="19"/>
  <c r="P9" i="19"/>
  <c r="G210" i="18"/>
  <c r="I210" i="18"/>
  <c r="P210" i="18" s="1"/>
  <c r="Q210" i="18"/>
  <c r="R210" i="18"/>
  <c r="I88" i="18"/>
  <c r="P88" i="18" s="1"/>
  <c r="I79" i="18"/>
  <c r="P79" i="18" s="1"/>
  <c r="I95" i="18"/>
  <c r="P95" i="18" s="1"/>
  <c r="I66" i="18"/>
  <c r="P66" i="18" s="1"/>
  <c r="I78" i="18"/>
  <c r="P78" i="18" s="1"/>
  <c r="I44" i="18"/>
  <c r="P44" i="18" s="1"/>
  <c r="I310" i="18"/>
  <c r="I311" i="18"/>
  <c r="I312" i="18"/>
  <c r="I313" i="18"/>
  <c r="I314" i="18"/>
  <c r="I18" i="18"/>
  <c r="P18" i="18" s="1"/>
  <c r="I94" i="18"/>
  <c r="P94" i="18" s="1"/>
  <c r="I182" i="18"/>
  <c r="P182" i="18" s="1"/>
  <c r="I174" i="18"/>
  <c r="P174" i="18" s="1"/>
  <c r="M222" i="18"/>
  <c r="H225" i="18" l="1"/>
  <c r="M225" i="18" s="1"/>
  <c r="H218" i="18"/>
  <c r="M218" i="18" s="1"/>
  <c r="H219" i="18"/>
  <c r="M219" i="18" s="1"/>
  <c r="H220" i="18"/>
  <c r="M220" i="18" s="1"/>
  <c r="H221" i="18"/>
  <c r="M221" i="18" s="1"/>
  <c r="H223" i="18"/>
  <c r="M223" i="18" s="1"/>
  <c r="H224" i="18"/>
  <c r="M224" i="18" s="1"/>
  <c r="H226" i="18"/>
  <c r="M226" i="18" s="1"/>
  <c r="G169" i="15"/>
  <c r="I169" i="15"/>
  <c r="P169" i="15" s="1"/>
  <c r="Q169" i="15"/>
  <c r="R169" i="15"/>
  <c r="I204" i="18"/>
  <c r="P204" i="18" s="1"/>
  <c r="I112" i="18"/>
  <c r="P112" i="18" s="1"/>
  <c r="I48" i="18"/>
  <c r="P48" i="18" s="1"/>
  <c r="I93" i="18"/>
  <c r="P93" i="18" s="1"/>
  <c r="I146" i="18"/>
  <c r="P146" i="18" s="1"/>
  <c r="I187" i="18"/>
  <c r="P187" i="18" s="1"/>
  <c r="I17" i="18"/>
  <c r="P17" i="18" s="1"/>
  <c r="I181" i="18"/>
  <c r="P181" i="18" s="1"/>
  <c r="I16" i="18"/>
  <c r="P16" i="18" s="1"/>
  <c r="O135" i="18"/>
  <c r="O81" i="18"/>
  <c r="O69" i="18"/>
  <c r="P69" i="18" s="1"/>
  <c r="O45" i="18"/>
  <c r="O200" i="18"/>
  <c r="P200" i="18" s="1"/>
  <c r="O26" i="18"/>
  <c r="O25" i="18"/>
  <c r="I87" i="18"/>
  <c r="P87" i="18" s="1"/>
  <c r="I31" i="18"/>
  <c r="P31" i="18" s="1"/>
  <c r="I12" i="18"/>
  <c r="P12" i="18" s="1"/>
  <c r="I14" i="18"/>
  <c r="P14" i="18" s="1"/>
  <c r="I15" i="18"/>
  <c r="P15" i="18" s="1"/>
  <c r="I19" i="18"/>
  <c r="P19" i="18" s="1"/>
  <c r="I20" i="18"/>
  <c r="P20" i="18" s="1"/>
  <c r="I21" i="18"/>
  <c r="P21" i="18" s="1"/>
  <c r="I22" i="18"/>
  <c r="P22" i="18" s="1"/>
  <c r="I23" i="18"/>
  <c r="P23" i="18" s="1"/>
  <c r="I24" i="18"/>
  <c r="P24" i="18" s="1"/>
  <c r="I25" i="18"/>
  <c r="I26" i="18"/>
  <c r="I28" i="18"/>
  <c r="P28" i="18" s="1"/>
  <c r="I29" i="18"/>
  <c r="P29" i="18" s="1"/>
  <c r="I30" i="18"/>
  <c r="P30" i="18" s="1"/>
  <c r="I32" i="18"/>
  <c r="P32" i="18" s="1"/>
  <c r="I33" i="18"/>
  <c r="P33" i="18" s="1"/>
  <c r="I34" i="18"/>
  <c r="P34" i="18" s="1"/>
  <c r="I35" i="18"/>
  <c r="P35" i="18" s="1"/>
  <c r="I36" i="18"/>
  <c r="P36" i="18" s="1"/>
  <c r="I37" i="18"/>
  <c r="P37" i="18" s="1"/>
  <c r="I38" i="18"/>
  <c r="P38" i="18" s="1"/>
  <c r="I39" i="18"/>
  <c r="P39" i="18" s="1"/>
  <c r="I40" i="18"/>
  <c r="P40" i="18" s="1"/>
  <c r="I41" i="18"/>
  <c r="P41" i="18" s="1"/>
  <c r="I42" i="18"/>
  <c r="P42" i="18" s="1"/>
  <c r="I43" i="18"/>
  <c r="P43" i="18" s="1"/>
  <c r="I45" i="18"/>
  <c r="I46" i="18"/>
  <c r="P46" i="18" s="1"/>
  <c r="I47" i="18"/>
  <c r="P47" i="18" s="1"/>
  <c r="I49" i="18"/>
  <c r="P49" i="18" s="1"/>
  <c r="I51" i="18"/>
  <c r="P51" i="18" s="1"/>
  <c r="I52" i="18"/>
  <c r="P52" i="18" s="1"/>
  <c r="I55" i="18"/>
  <c r="P55" i="18" s="1"/>
  <c r="I57" i="18"/>
  <c r="P57" i="18" s="1"/>
  <c r="I58" i="18"/>
  <c r="P58" i="18" s="1"/>
  <c r="I59" i="18"/>
  <c r="P59" i="18" s="1"/>
  <c r="I60" i="18"/>
  <c r="P60" i="18" s="1"/>
  <c r="I61" i="18"/>
  <c r="P61" i="18" s="1"/>
  <c r="I62" i="18"/>
  <c r="P62" i="18" s="1"/>
  <c r="I63" i="18"/>
  <c r="P63" i="18" s="1"/>
  <c r="I65" i="18"/>
  <c r="P65" i="18" s="1"/>
  <c r="I67" i="18"/>
  <c r="P67" i="18" s="1"/>
  <c r="I68" i="18"/>
  <c r="P68" i="18" s="1"/>
  <c r="I70" i="18"/>
  <c r="P70" i="18" s="1"/>
  <c r="I71" i="18"/>
  <c r="P71" i="18" s="1"/>
  <c r="I72" i="18"/>
  <c r="P72" i="18" s="1"/>
  <c r="I73" i="18"/>
  <c r="P73" i="18" s="1"/>
  <c r="I74" i="18"/>
  <c r="P74" i="18" s="1"/>
  <c r="I75" i="18"/>
  <c r="P75" i="18" s="1"/>
  <c r="I76" i="18"/>
  <c r="P76" i="18" s="1"/>
  <c r="I77" i="18"/>
  <c r="P77" i="18" s="1"/>
  <c r="I80" i="18"/>
  <c r="P80" i="18" s="1"/>
  <c r="I81" i="18"/>
  <c r="I82" i="18"/>
  <c r="P82" i="18" s="1"/>
  <c r="I83" i="18"/>
  <c r="P83" i="18" s="1"/>
  <c r="I84" i="18"/>
  <c r="P84" i="18" s="1"/>
  <c r="I85" i="18"/>
  <c r="P85" i="18" s="1"/>
  <c r="I86" i="18"/>
  <c r="P86" i="18" s="1"/>
  <c r="I89" i="18"/>
  <c r="P89" i="18" s="1"/>
  <c r="I90" i="18"/>
  <c r="P90" i="18" s="1"/>
  <c r="I91" i="18"/>
  <c r="P91" i="18" s="1"/>
  <c r="I96" i="18"/>
  <c r="P96" i="18" s="1"/>
  <c r="I97" i="18"/>
  <c r="P97" i="18" s="1"/>
  <c r="I98" i="18"/>
  <c r="P98" i="18" s="1"/>
  <c r="I100" i="18"/>
  <c r="P100" i="18" s="1"/>
  <c r="I101" i="18"/>
  <c r="P101" i="18" s="1"/>
  <c r="I102" i="18"/>
  <c r="P102" i="18" s="1"/>
  <c r="I103" i="18"/>
  <c r="P103" i="18" s="1"/>
  <c r="I104" i="18"/>
  <c r="P104" i="18" s="1"/>
  <c r="I105" i="18"/>
  <c r="P105" i="18" s="1"/>
  <c r="I106" i="18"/>
  <c r="P106" i="18" s="1"/>
  <c r="I107" i="18"/>
  <c r="P107" i="18" s="1"/>
  <c r="I108" i="18"/>
  <c r="P108" i="18" s="1"/>
  <c r="I109" i="18"/>
  <c r="P109" i="18" s="1"/>
  <c r="I110" i="18"/>
  <c r="P110" i="18" s="1"/>
  <c r="I111" i="18"/>
  <c r="P111" i="18" s="1"/>
  <c r="P13" i="18"/>
  <c r="P27" i="18"/>
  <c r="P50" i="18"/>
  <c r="P56" i="18"/>
  <c r="P64" i="18"/>
  <c r="P92" i="18"/>
  <c r="P99" i="18"/>
  <c r="P113" i="18"/>
  <c r="I114" i="18"/>
  <c r="P114" i="18" s="1"/>
  <c r="P115" i="18"/>
  <c r="I116" i="18"/>
  <c r="P116" i="18" s="1"/>
  <c r="I117" i="18"/>
  <c r="P117" i="18" s="1"/>
  <c r="I118" i="18"/>
  <c r="P118" i="18" s="1"/>
  <c r="I119" i="18"/>
  <c r="P119" i="18" s="1"/>
  <c r="I120" i="18"/>
  <c r="P120" i="18" s="1"/>
  <c r="I121" i="18"/>
  <c r="P121" i="18" s="1"/>
  <c r="I122" i="18"/>
  <c r="P122" i="18" s="1"/>
  <c r="I123" i="18"/>
  <c r="P123" i="18" s="1"/>
  <c r="I124" i="18"/>
  <c r="P124" i="18" s="1"/>
  <c r="I125" i="18"/>
  <c r="P125" i="18" s="1"/>
  <c r="I126" i="18"/>
  <c r="P126" i="18" s="1"/>
  <c r="I127" i="18"/>
  <c r="P127" i="18" s="1"/>
  <c r="I128" i="18"/>
  <c r="P128" i="18" s="1"/>
  <c r="I129" i="18"/>
  <c r="P129" i="18" s="1"/>
  <c r="I130" i="18"/>
  <c r="P130" i="18" s="1"/>
  <c r="I131" i="18"/>
  <c r="P131" i="18" s="1"/>
  <c r="I132" i="18"/>
  <c r="P132" i="18" s="1"/>
  <c r="I133" i="18"/>
  <c r="P133" i="18" s="1"/>
  <c r="I135" i="18"/>
  <c r="I136" i="18"/>
  <c r="P136" i="18" s="1"/>
  <c r="I137" i="18"/>
  <c r="P137" i="18" s="1"/>
  <c r="I138" i="18"/>
  <c r="P138" i="18" s="1"/>
  <c r="I139" i="18"/>
  <c r="P139" i="18" s="1"/>
  <c r="I140" i="18"/>
  <c r="P140" i="18" s="1"/>
  <c r="I141" i="18"/>
  <c r="P141" i="18" s="1"/>
  <c r="I142" i="18"/>
  <c r="P142" i="18" s="1"/>
  <c r="I143" i="18"/>
  <c r="P143" i="18" s="1"/>
  <c r="I145" i="18"/>
  <c r="P145" i="18" s="1"/>
  <c r="I148" i="18"/>
  <c r="P148" i="18" s="1"/>
  <c r="I149" i="18"/>
  <c r="P149" i="18" s="1"/>
  <c r="I150" i="18"/>
  <c r="P150" i="18" s="1"/>
  <c r="I151" i="18"/>
  <c r="P151" i="18" s="1"/>
  <c r="I152" i="18"/>
  <c r="P152" i="18" s="1"/>
  <c r="I153" i="18"/>
  <c r="P153" i="18" s="1"/>
  <c r="I154" i="18"/>
  <c r="P154" i="18" s="1"/>
  <c r="I155" i="18"/>
  <c r="P155" i="18" s="1"/>
  <c r="I156" i="18"/>
  <c r="P156" i="18" s="1"/>
  <c r="I159" i="18"/>
  <c r="P159" i="18" s="1"/>
  <c r="I160" i="18"/>
  <c r="P160" i="18" s="1"/>
  <c r="I161" i="18"/>
  <c r="P161" i="18" s="1"/>
  <c r="I162" i="18"/>
  <c r="P162" i="18" s="1"/>
  <c r="I163" i="18"/>
  <c r="P163" i="18" s="1"/>
  <c r="I164" i="18"/>
  <c r="P164" i="18" s="1"/>
  <c r="I165" i="18"/>
  <c r="P165" i="18" s="1"/>
  <c r="I166" i="18"/>
  <c r="P166" i="18" s="1"/>
  <c r="I167" i="18"/>
  <c r="P167" i="18" s="1"/>
  <c r="I168" i="18"/>
  <c r="P168" i="18" s="1"/>
  <c r="I172" i="18"/>
  <c r="P172" i="18" s="1"/>
  <c r="I173" i="18"/>
  <c r="P173" i="18" s="1"/>
  <c r="I175" i="18"/>
  <c r="P175" i="18" s="1"/>
  <c r="I176" i="18"/>
  <c r="P176" i="18" s="1"/>
  <c r="I178" i="18"/>
  <c r="P178" i="18" s="1"/>
  <c r="I179" i="18"/>
  <c r="P179" i="18" s="1"/>
  <c r="I180" i="18"/>
  <c r="P180" i="18" s="1"/>
  <c r="I183" i="18"/>
  <c r="P183" i="18" s="1"/>
  <c r="I185" i="18"/>
  <c r="P185" i="18" s="1"/>
  <c r="I186" i="18"/>
  <c r="P186" i="18" s="1"/>
  <c r="I189" i="18"/>
  <c r="P189" i="18" s="1"/>
  <c r="I191" i="18"/>
  <c r="P191" i="18" s="1"/>
  <c r="I192" i="18"/>
  <c r="P192" i="18" s="1"/>
  <c r="I193" i="18"/>
  <c r="P193" i="18" s="1"/>
  <c r="I194" i="18"/>
  <c r="P194" i="18" s="1"/>
  <c r="I195" i="18"/>
  <c r="P195" i="18" s="1"/>
  <c r="I196" i="18"/>
  <c r="P196" i="18" s="1"/>
  <c r="I197" i="18"/>
  <c r="P197" i="18" s="1"/>
  <c r="I198" i="18"/>
  <c r="P198" i="18" s="1"/>
  <c r="I199" i="18"/>
  <c r="P199" i="18" s="1"/>
  <c r="I201" i="18"/>
  <c r="P201" i="18" s="1"/>
  <c r="I202" i="18"/>
  <c r="P202" i="18" s="1"/>
  <c r="I203" i="18"/>
  <c r="P203" i="18" s="1"/>
  <c r="I205" i="18"/>
  <c r="P205" i="18" s="1"/>
  <c r="I206" i="18"/>
  <c r="P206" i="18" s="1"/>
  <c r="I207" i="18"/>
  <c r="P207" i="18" s="1"/>
  <c r="I208" i="18"/>
  <c r="P208" i="18" s="1"/>
  <c r="I209" i="18"/>
  <c r="P209" i="18" s="1"/>
  <c r="I53" i="18"/>
  <c r="P53" i="18" s="1"/>
  <c r="P134" i="18"/>
  <c r="P144" i="18"/>
  <c r="P147" i="18"/>
  <c r="P177" i="18"/>
  <c r="P184" i="18"/>
  <c r="P188" i="18"/>
  <c r="P190" i="18"/>
  <c r="I10" i="18"/>
  <c r="P10" i="18" s="1"/>
  <c r="I11" i="18"/>
  <c r="P11" i="18" s="1"/>
  <c r="I157" i="18"/>
  <c r="P157" i="18" s="1"/>
  <c r="I158" i="18"/>
  <c r="P158" i="18" s="1"/>
  <c r="I169" i="18"/>
  <c r="P169" i="18" s="1"/>
  <c r="I170" i="18"/>
  <c r="P170" i="18" s="1"/>
  <c r="I171" i="18"/>
  <c r="P171" i="18" s="1"/>
  <c r="I54" i="18"/>
  <c r="P54" i="18" s="1"/>
  <c r="H178" i="15"/>
  <c r="H179" i="15"/>
  <c r="H180" i="15"/>
  <c r="H181" i="15"/>
  <c r="H183" i="15"/>
  <c r="H177" i="15"/>
  <c r="P135" i="18" l="1"/>
  <c r="P25" i="18"/>
  <c r="P81" i="18"/>
  <c r="P45" i="18"/>
  <c r="P26" i="18"/>
  <c r="L231" i="15"/>
  <c r="L121" i="15" l="1"/>
  <c r="L120" i="15"/>
  <c r="L138" i="15"/>
  <c r="I87" i="15"/>
  <c r="P87" i="15" s="1"/>
  <c r="I88" i="15"/>
  <c r="P88" i="15" s="1"/>
  <c r="I86" i="15"/>
  <c r="P86" i="15" s="1"/>
  <c r="I52" i="15"/>
  <c r="P52" i="15" s="1"/>
  <c r="I74" i="15"/>
  <c r="P74" i="15" s="1"/>
  <c r="O131" i="15"/>
  <c r="O141" i="15"/>
  <c r="L112" i="15"/>
  <c r="L139" i="15"/>
  <c r="L123" i="15"/>
  <c r="I128" i="15"/>
  <c r="P128" i="15" s="1"/>
  <c r="I79" i="15"/>
  <c r="P79" i="15" s="1"/>
  <c r="I34" i="15"/>
  <c r="P34" i="15" s="1"/>
  <c r="I57" i="15"/>
  <c r="P57" i="15" s="1"/>
  <c r="I127" i="15"/>
  <c r="P127" i="15" s="1"/>
  <c r="O164" i="15"/>
  <c r="I119" i="15" l="1"/>
  <c r="P119" i="15" s="1"/>
  <c r="I114" i="15"/>
  <c r="P114" i="15" s="1"/>
  <c r="I97" i="15"/>
  <c r="P97" i="15" s="1"/>
  <c r="I96" i="15"/>
  <c r="P96" i="15" s="1"/>
  <c r="I126" i="15"/>
  <c r="P126" i="15" s="1"/>
  <c r="I92" i="15"/>
  <c r="P92" i="15" s="1"/>
  <c r="I91" i="15"/>
  <c r="P91" i="15" s="1"/>
  <c r="I90" i="15"/>
  <c r="P90" i="15" s="1"/>
  <c r="I89" i="15"/>
  <c r="P89" i="15" s="1"/>
  <c r="I125" i="15"/>
  <c r="P125" i="15" s="1"/>
  <c r="H213" i="15"/>
  <c r="J213" i="15"/>
  <c r="K213" i="15"/>
  <c r="I26" i="15"/>
  <c r="P26" i="15" s="1"/>
  <c r="I27" i="15"/>
  <c r="P27" i="15" s="1"/>
  <c r="P120" i="15"/>
  <c r="I144" i="15"/>
  <c r="P144" i="15" s="1"/>
  <c r="I106" i="15"/>
  <c r="P106" i="15" s="1"/>
  <c r="P150" i="15"/>
  <c r="I30" i="15"/>
  <c r="P30" i="15" s="1"/>
  <c r="I105" i="15"/>
  <c r="P105" i="15" s="1"/>
  <c r="I51" i="15"/>
  <c r="P51" i="15" s="1"/>
  <c r="I14" i="15"/>
  <c r="P14" i="15" s="1"/>
  <c r="I67" i="15"/>
  <c r="P67" i="15" s="1"/>
  <c r="I25" i="15"/>
  <c r="P25" i="15" s="1"/>
  <c r="I160" i="15"/>
  <c r="P160" i="15" s="1"/>
  <c r="I19" i="15"/>
  <c r="P19" i="15" s="1"/>
  <c r="I93" i="15"/>
  <c r="P93" i="15" s="1"/>
  <c r="I56" i="15"/>
  <c r="P56" i="15" s="1"/>
  <c r="I39" i="15"/>
  <c r="P39" i="15" s="1"/>
  <c r="P146" i="15"/>
  <c r="I162" i="15"/>
  <c r="P162" i="15" s="1"/>
  <c r="I109" i="15"/>
  <c r="P109" i="15" s="1"/>
  <c r="I115" i="15"/>
  <c r="P115" i="15" s="1"/>
  <c r="I75" i="15"/>
  <c r="P75" i="15" s="1"/>
  <c r="P138" i="15"/>
  <c r="I72" i="15"/>
  <c r="P72" i="15" s="1"/>
  <c r="I58" i="15"/>
  <c r="P58" i="15" s="1"/>
  <c r="I154" i="15"/>
  <c r="P154" i="15" s="1"/>
  <c r="I155" i="15"/>
  <c r="P155" i="15" s="1"/>
  <c r="I40" i="15"/>
  <c r="P40" i="15" s="1"/>
  <c r="I60" i="15"/>
  <c r="P60" i="15" s="1"/>
  <c r="I130" i="15"/>
  <c r="P130" i="15" s="1"/>
  <c r="I44" i="15"/>
  <c r="P44" i="15" s="1"/>
  <c r="I116" i="15"/>
  <c r="P116" i="15" s="1"/>
  <c r="I137" i="15"/>
  <c r="P137" i="15" s="1"/>
  <c r="I78" i="15"/>
  <c r="P78" i="15" s="1"/>
  <c r="I43" i="15"/>
  <c r="P43" i="15" s="1"/>
  <c r="I101" i="15"/>
  <c r="P101" i="15" s="1"/>
  <c r="I103" i="15"/>
  <c r="P103" i="15" s="1"/>
  <c r="I102" i="15"/>
  <c r="P102" i="15" s="1"/>
  <c r="I9" i="15"/>
  <c r="P9" i="15" s="1"/>
  <c r="P147" i="15"/>
  <c r="I33" i="15"/>
  <c r="P33" i="15" s="1"/>
  <c r="I45" i="15"/>
  <c r="P45" i="15" s="1"/>
  <c r="I108" i="15"/>
  <c r="P108" i="15" s="1"/>
  <c r="I85" i="15"/>
  <c r="P85" i="15" s="1"/>
  <c r="I165" i="15"/>
  <c r="P165" i="15" s="1"/>
  <c r="I166" i="15"/>
  <c r="P166" i="15" s="1"/>
  <c r="I167" i="15"/>
  <c r="P167" i="15" s="1"/>
  <c r="I168" i="15"/>
  <c r="P168" i="15" s="1"/>
  <c r="I53" i="15"/>
  <c r="P53" i="15" s="1"/>
  <c r="I54" i="15"/>
  <c r="P54" i="15" s="1"/>
  <c r="I70" i="15"/>
  <c r="P70" i="15" s="1"/>
  <c r="P121" i="15"/>
  <c r="P143" i="15"/>
  <c r="P164" i="15"/>
  <c r="I69" i="15"/>
  <c r="P69" i="15" s="1"/>
  <c r="I71" i="15"/>
  <c r="P71" i="15" s="1"/>
  <c r="I95" i="15"/>
  <c r="P95" i="15" s="1"/>
  <c r="I94" i="15"/>
  <c r="P94" i="15" s="1"/>
  <c r="I135" i="15"/>
  <c r="P135" i="15" s="1"/>
  <c r="I18" i="15"/>
  <c r="P18" i="15" s="1"/>
  <c r="I41" i="15"/>
  <c r="P41" i="15" s="1"/>
  <c r="I46" i="15"/>
  <c r="P46" i="15" s="1"/>
  <c r="I65" i="15"/>
  <c r="P65" i="15" s="1"/>
  <c r="I98" i="15"/>
  <c r="P98" i="15" s="1"/>
  <c r="I129" i="15"/>
  <c r="P129" i="15" s="1"/>
  <c r="I32" i="15"/>
  <c r="P32" i="15" s="1"/>
  <c r="I24" i="15"/>
  <c r="P24" i="15" s="1"/>
  <c r="I10" i="15"/>
  <c r="P10" i="15" s="1"/>
  <c r="I141" i="15"/>
  <c r="P141" i="15" s="1"/>
  <c r="I113" i="15"/>
  <c r="P113" i="15" s="1"/>
  <c r="I11" i="15"/>
  <c r="P11" i="15" s="1"/>
  <c r="I131" i="15"/>
  <c r="P131" i="15" s="1"/>
  <c r="P122" i="15"/>
  <c r="I152" i="15"/>
  <c r="P152" i="15" s="1"/>
  <c r="I151" i="15"/>
  <c r="P151" i="15" s="1"/>
  <c r="I153" i="15"/>
  <c r="P153" i="15" s="1"/>
  <c r="I117" i="15"/>
  <c r="P117" i="15" s="1"/>
  <c r="I61" i="15"/>
  <c r="P61" i="15" s="1"/>
  <c r="P139" i="15"/>
  <c r="I22" i="15"/>
  <c r="P22" i="15" s="1"/>
  <c r="P23" i="15"/>
  <c r="I107" i="15"/>
  <c r="P107" i="15" s="1"/>
  <c r="I47" i="15"/>
  <c r="P47" i="15" s="1"/>
  <c r="I20" i="15"/>
  <c r="P20" i="15" s="1"/>
  <c r="I35" i="15"/>
  <c r="P35" i="15" s="1"/>
  <c r="I37" i="15"/>
  <c r="P37" i="15" s="1"/>
  <c r="I161" i="15"/>
  <c r="P161" i="15" s="1"/>
  <c r="I134" i="15"/>
  <c r="P134" i="15" s="1"/>
  <c r="I159" i="15"/>
  <c r="P159" i="15" s="1"/>
  <c r="I83" i="15"/>
  <c r="P83" i="15" s="1"/>
  <c r="I163" i="15"/>
  <c r="P163" i="15" s="1"/>
  <c r="I84" i="15"/>
  <c r="P84" i="15" s="1"/>
  <c r="I136" i="15"/>
  <c r="P136" i="15" s="1"/>
  <c r="I77" i="15"/>
  <c r="P77" i="15" s="1"/>
  <c r="I145" i="15"/>
  <c r="P145" i="15" s="1"/>
  <c r="I21" i="15"/>
  <c r="P21" i="15" s="1"/>
  <c r="I110" i="15"/>
  <c r="P110" i="15" s="1"/>
  <c r="I13" i="15"/>
  <c r="P13" i="15" s="1"/>
  <c r="I42" i="15"/>
  <c r="P42" i="15" s="1"/>
  <c r="I158" i="15"/>
  <c r="P158" i="15" s="1"/>
  <c r="I132" i="15"/>
  <c r="P132" i="15" s="1"/>
  <c r="P112" i="15"/>
  <c r="I142" i="15"/>
  <c r="P142" i="15" s="1"/>
  <c r="I48" i="15"/>
  <c r="P48" i="15" s="1"/>
  <c r="I148" i="15"/>
  <c r="P148" i="15" s="1"/>
  <c r="I156" i="15"/>
  <c r="P156" i="15" s="1"/>
  <c r="I111" i="15"/>
  <c r="P111" i="15" s="1"/>
  <c r="I15" i="15"/>
  <c r="P15" i="15" s="1"/>
  <c r="I73" i="15"/>
  <c r="P73" i="15" s="1"/>
  <c r="I17" i="15"/>
  <c r="P17" i="15" s="1"/>
  <c r="I104" i="15"/>
  <c r="P104" i="15" s="1"/>
  <c r="I16" i="15"/>
  <c r="P16" i="15" s="1"/>
  <c r="P36" i="15"/>
  <c r="I80" i="15"/>
  <c r="P80" i="15" s="1"/>
  <c r="I82" i="15"/>
  <c r="P82" i="15" s="1"/>
  <c r="I81" i="15"/>
  <c r="P81" i="15" s="1"/>
  <c r="P66" i="15"/>
  <c r="I12" i="15"/>
  <c r="P12" i="15" s="1"/>
  <c r="I133" i="15"/>
  <c r="P133" i="15" s="1"/>
  <c r="I62" i="15"/>
  <c r="P62" i="15" s="1"/>
  <c r="I100" i="15"/>
  <c r="P100" i="15" s="1"/>
  <c r="I38" i="15"/>
  <c r="P38" i="15" s="1"/>
  <c r="I49" i="15"/>
  <c r="P49" i="15" s="1"/>
  <c r="I50" i="15"/>
  <c r="P50" i="15" s="1"/>
  <c r="I99" i="15"/>
  <c r="P99" i="15" s="1"/>
  <c r="I55" i="15"/>
  <c r="P55" i="15" s="1"/>
  <c r="I149" i="15"/>
  <c r="P149" i="15" s="1"/>
  <c r="P123" i="15"/>
  <c r="I68" i="15"/>
  <c r="P68" i="15" s="1"/>
  <c r="I157" i="15"/>
  <c r="P157" i="15" s="1"/>
  <c r="I28" i="15"/>
  <c r="P28" i="15" s="1"/>
  <c r="I29" i="15"/>
  <c r="P29" i="15" s="1"/>
  <c r="P140" i="15"/>
  <c r="L84" i="13"/>
  <c r="I208" i="13"/>
  <c r="G237" i="13"/>
  <c r="I158" i="13" l="1"/>
  <c r="H183" i="13" l="1"/>
  <c r="H177" i="13"/>
  <c r="H178" i="13"/>
  <c r="H179" i="13"/>
  <c r="H180" i="13"/>
  <c r="H181" i="13"/>
  <c r="H182" i="13"/>
  <c r="H184" i="13"/>
  <c r="I142" i="13" l="1"/>
  <c r="P142" i="13" s="1"/>
  <c r="I130" i="13"/>
  <c r="P130" i="13" s="1"/>
  <c r="I171" i="13"/>
  <c r="P171" i="13" s="1"/>
  <c r="I113" i="13"/>
  <c r="P113" i="13" s="1"/>
  <c r="I120" i="13"/>
  <c r="P120" i="13" s="1"/>
  <c r="I119" i="13"/>
  <c r="P119" i="13" s="1"/>
  <c r="I118" i="13"/>
  <c r="P118" i="13" s="1"/>
  <c r="I144" i="13"/>
  <c r="P144" i="13" s="1"/>
  <c r="H207" i="13"/>
  <c r="J207" i="13"/>
  <c r="K207" i="13"/>
  <c r="I50" i="13"/>
  <c r="P50" i="13" s="1"/>
  <c r="I34" i="13"/>
  <c r="P34" i="13" s="1"/>
  <c r="I32" i="13"/>
  <c r="P32" i="13" s="1"/>
  <c r="I161" i="13" l="1"/>
  <c r="P161" i="13" s="1"/>
  <c r="I13" i="13" l="1"/>
  <c r="P13" i="13" s="1"/>
  <c r="I10" i="13"/>
  <c r="I9" i="13"/>
  <c r="P9" i="13" s="1"/>
  <c r="I12" i="13"/>
  <c r="P12" i="13" s="1"/>
  <c r="I16" i="13"/>
  <c r="P16" i="13" s="1"/>
  <c r="I23" i="13"/>
  <c r="P23" i="13" s="1"/>
  <c r="I22" i="13"/>
  <c r="P22" i="13" s="1"/>
  <c r="I18" i="13"/>
  <c r="P18" i="13" s="1"/>
  <c r="I21" i="13"/>
  <c r="P21" i="13" s="1"/>
  <c r="I17" i="13"/>
  <c r="P17" i="13" s="1"/>
  <c r="I20" i="13"/>
  <c r="P20" i="13" s="1"/>
  <c r="I24" i="13"/>
  <c r="P24" i="13" s="1"/>
  <c r="P27" i="13"/>
  <c r="P25" i="13"/>
  <c r="I28" i="13"/>
  <c r="P28" i="13" s="1"/>
  <c r="I36" i="13"/>
  <c r="P36" i="13" s="1"/>
  <c r="I37" i="13"/>
  <c r="P37" i="13" s="1"/>
  <c r="I31" i="13"/>
  <c r="P31" i="13" s="1"/>
  <c r="I35" i="13"/>
  <c r="P35" i="13" s="1"/>
  <c r="I29" i="13"/>
  <c r="P29" i="13" s="1"/>
  <c r="I30" i="13"/>
  <c r="P30" i="13" s="1"/>
  <c r="P42" i="13"/>
  <c r="I41" i="13"/>
  <c r="P41" i="13" s="1"/>
  <c r="I39" i="13"/>
  <c r="P39" i="13" s="1"/>
  <c r="I38" i="13"/>
  <c r="P38" i="13" s="1"/>
  <c r="I45" i="13"/>
  <c r="P45" i="13" s="1"/>
  <c r="I46" i="13"/>
  <c r="P46" i="13" s="1"/>
  <c r="I47" i="13"/>
  <c r="P47" i="13" s="1"/>
  <c r="I49" i="13"/>
  <c r="P49" i="13" s="1"/>
  <c r="I48" i="13"/>
  <c r="P48" i="13" s="1"/>
  <c r="I44" i="13"/>
  <c r="P44" i="13" s="1"/>
  <c r="I43" i="13"/>
  <c r="P43" i="13" s="1"/>
  <c r="I52" i="13"/>
  <c r="P52" i="13" s="1"/>
  <c r="P10" i="13"/>
  <c r="I53" i="13"/>
  <c r="P53" i="13" s="1"/>
  <c r="I59" i="13"/>
  <c r="P59" i="13" s="1"/>
  <c r="I56" i="13"/>
  <c r="P56" i="13" s="1"/>
  <c r="I54" i="13"/>
  <c r="P54" i="13" s="1"/>
  <c r="I51" i="13"/>
  <c r="P51" i="13" s="1"/>
  <c r="I55" i="13"/>
  <c r="P55" i="13" s="1"/>
  <c r="I66" i="13"/>
  <c r="P66" i="13" s="1"/>
  <c r="I62" i="13"/>
  <c r="P62" i="13" s="1"/>
  <c r="I64" i="13"/>
  <c r="P64" i="13" s="1"/>
  <c r="P67" i="13"/>
  <c r="I65" i="13"/>
  <c r="P65" i="13" s="1"/>
  <c r="P68" i="13"/>
  <c r="I72" i="13"/>
  <c r="P72" i="13" s="1"/>
  <c r="I71" i="13"/>
  <c r="P71" i="13" s="1"/>
  <c r="P70" i="13"/>
  <c r="I74" i="13"/>
  <c r="P74" i="13" s="1"/>
  <c r="I73" i="13"/>
  <c r="P73" i="13" s="1"/>
  <c r="I75" i="13"/>
  <c r="P75" i="13" s="1"/>
  <c r="P78" i="13"/>
  <c r="P77" i="13"/>
  <c r="I76" i="13"/>
  <c r="P76" i="13" s="1"/>
  <c r="I79" i="13"/>
  <c r="P79" i="13" s="1"/>
  <c r="I85" i="13"/>
  <c r="P85" i="13" s="1"/>
  <c r="P94" i="13"/>
  <c r="I86" i="13"/>
  <c r="P86" i="13" s="1"/>
  <c r="P84" i="13"/>
  <c r="I83" i="13"/>
  <c r="P83" i="13" s="1"/>
  <c r="I91" i="13"/>
  <c r="P91" i="13" s="1"/>
  <c r="P82" i="13"/>
  <c r="I88" i="13"/>
  <c r="P88" i="13" s="1"/>
  <c r="I90" i="13"/>
  <c r="P90" i="13" s="1"/>
  <c r="I89" i="13"/>
  <c r="P89" i="13" s="1"/>
  <c r="I87" i="13"/>
  <c r="P87" i="13" s="1"/>
  <c r="I81" i="13"/>
  <c r="P81" i="13" s="1"/>
  <c r="I92" i="13"/>
  <c r="P92" i="13" s="1"/>
  <c r="I95" i="13"/>
  <c r="P95" i="13" s="1"/>
  <c r="I96" i="13"/>
  <c r="P96" i="13" s="1"/>
  <c r="I99" i="13"/>
  <c r="P99" i="13" s="1"/>
  <c r="I98" i="13"/>
  <c r="P98" i="13" s="1"/>
  <c r="I97" i="13"/>
  <c r="P97" i="13" s="1"/>
  <c r="P102" i="13"/>
  <c r="I110" i="13"/>
  <c r="P110" i="13" s="1"/>
  <c r="I109" i="13"/>
  <c r="P109" i="13" s="1"/>
  <c r="I105" i="13"/>
  <c r="P105" i="13" s="1"/>
  <c r="I108" i="13"/>
  <c r="P108" i="13" s="1"/>
  <c r="I103" i="13"/>
  <c r="P103" i="13" s="1"/>
  <c r="I104" i="13"/>
  <c r="P104" i="13" s="1"/>
  <c r="I107" i="13"/>
  <c r="P107" i="13" s="1"/>
  <c r="I116" i="13"/>
  <c r="P116" i="13" s="1"/>
  <c r="P117" i="13"/>
  <c r="I112" i="13"/>
  <c r="P112" i="13" s="1"/>
  <c r="I122" i="13"/>
  <c r="P122" i="13" s="1"/>
  <c r="I123" i="13"/>
  <c r="P123" i="13" s="1"/>
  <c r="I126" i="13"/>
  <c r="P126" i="13" s="1"/>
  <c r="I127" i="13"/>
  <c r="P127" i="13" s="1"/>
  <c r="I124" i="13"/>
  <c r="P124" i="13" s="1"/>
  <c r="I128" i="13"/>
  <c r="P128" i="13" s="1"/>
  <c r="I135" i="13"/>
  <c r="P135" i="13" s="1"/>
  <c r="I131" i="13"/>
  <c r="P131" i="13" s="1"/>
  <c r="P133" i="13"/>
  <c r="I134" i="13"/>
  <c r="P134" i="13" s="1"/>
  <c r="I138" i="13"/>
  <c r="P138" i="13" s="1"/>
  <c r="I137" i="13"/>
  <c r="P137" i="13" s="1"/>
  <c r="I139" i="13"/>
  <c r="P139" i="13" s="1"/>
  <c r="I136" i="13"/>
  <c r="P136" i="13" s="1"/>
  <c r="P146" i="13"/>
  <c r="I145" i="13"/>
  <c r="P145" i="13" s="1"/>
  <c r="I141" i="13"/>
  <c r="P141" i="13" s="1"/>
  <c r="I147" i="13"/>
  <c r="P147" i="13" s="1"/>
  <c r="P148" i="13"/>
  <c r="I151" i="13"/>
  <c r="P151" i="13" s="1"/>
  <c r="I155" i="13"/>
  <c r="P155" i="13" s="1"/>
  <c r="I162" i="13"/>
  <c r="P162" i="13" s="1"/>
  <c r="P158" i="13"/>
  <c r="P150" i="13"/>
  <c r="P152" i="13"/>
  <c r="I160" i="13"/>
  <c r="P160" i="13" s="1"/>
  <c r="I157" i="13"/>
  <c r="P157" i="13" s="1"/>
  <c r="I156" i="13"/>
  <c r="P156" i="13" s="1"/>
  <c r="I164" i="13"/>
  <c r="P164" i="13" s="1"/>
  <c r="I170" i="13"/>
  <c r="P170" i="13" s="1"/>
  <c r="I165" i="13"/>
  <c r="P165" i="13" s="1"/>
  <c r="I166" i="13"/>
  <c r="P166" i="13" s="1"/>
  <c r="P163" i="13"/>
  <c r="P159" i="13"/>
  <c r="P169" i="13"/>
  <c r="I172" i="13"/>
  <c r="P172" i="13" s="1"/>
  <c r="I14" i="13"/>
  <c r="P14" i="13" s="1"/>
  <c r="I19" i="13"/>
  <c r="P19" i="13" s="1"/>
  <c r="I26" i="13"/>
  <c r="P26" i="13" s="1"/>
  <c r="I33" i="13"/>
  <c r="P33" i="13" s="1"/>
  <c r="I40" i="13"/>
  <c r="P40" i="13" s="1"/>
  <c r="I57" i="13"/>
  <c r="P57" i="13" s="1"/>
  <c r="I58" i="13"/>
  <c r="P58" i="13" s="1"/>
  <c r="I60" i="13"/>
  <c r="P60" i="13" s="1"/>
  <c r="I61" i="13"/>
  <c r="P61" i="13" s="1"/>
  <c r="I63" i="13"/>
  <c r="P63" i="13" s="1"/>
  <c r="I69" i="13"/>
  <c r="P69" i="13" s="1"/>
  <c r="I80" i="13"/>
  <c r="P80" i="13" s="1"/>
  <c r="I93" i="13"/>
  <c r="P93" i="13" s="1"/>
  <c r="I100" i="13"/>
  <c r="P100" i="13" s="1"/>
  <c r="I101" i="13"/>
  <c r="P101" i="13" s="1"/>
  <c r="I106" i="13"/>
  <c r="P106" i="13" s="1"/>
  <c r="I114" i="13"/>
  <c r="P114" i="13" s="1"/>
  <c r="I115" i="13"/>
  <c r="P115" i="13" s="1"/>
  <c r="I121" i="13"/>
  <c r="P121" i="13" s="1"/>
  <c r="I153" i="13"/>
  <c r="P153" i="13" s="1"/>
  <c r="I111" i="13"/>
  <c r="P111" i="13" s="1"/>
  <c r="I167" i="13"/>
  <c r="P167" i="13" s="1"/>
  <c r="I168" i="13"/>
  <c r="P168" i="13" s="1"/>
  <c r="I154" i="13"/>
  <c r="P154" i="13" s="1"/>
  <c r="I149" i="13"/>
  <c r="P149" i="13" s="1"/>
  <c r="M209" i="16" l="1"/>
  <c r="I195" i="16" l="1"/>
  <c r="I117" i="16"/>
  <c r="P117" i="16" s="1"/>
  <c r="I147" i="16"/>
  <c r="P147" i="16" s="1"/>
  <c r="I174" i="16"/>
  <c r="P174" i="16" s="1"/>
  <c r="I192" i="16"/>
  <c r="P192" i="16" s="1"/>
  <c r="I193" i="16"/>
  <c r="P193" i="16" s="1"/>
  <c r="I122" i="16"/>
  <c r="P122" i="16" s="1"/>
  <c r="I52" i="16"/>
  <c r="P52" i="16" s="1"/>
  <c r="I67" i="16"/>
  <c r="P67" i="16" s="1"/>
  <c r="I190" i="16"/>
  <c r="P190" i="16" s="1"/>
  <c r="I97" i="16"/>
  <c r="P97" i="16" s="1"/>
  <c r="I130" i="16" l="1"/>
  <c r="H203" i="16" l="1"/>
  <c r="M203" i="16" s="1"/>
  <c r="H204" i="16"/>
  <c r="M204" i="16" s="1"/>
  <c r="H205" i="16"/>
  <c r="M205" i="16" s="1"/>
  <c r="H206" i="16"/>
  <c r="M206" i="16" s="1"/>
  <c r="H207" i="16"/>
  <c r="M207" i="16" s="1"/>
  <c r="I152" i="16" l="1"/>
  <c r="P152" i="16" s="1"/>
  <c r="I163" i="16"/>
  <c r="I183" i="16"/>
  <c r="P183" i="16" s="1"/>
  <c r="I173" i="16"/>
  <c r="P173" i="16" s="1"/>
  <c r="I98" i="16"/>
  <c r="P98" i="16" s="1"/>
  <c r="P163" i="16"/>
  <c r="I133" i="16"/>
  <c r="P133" i="16" s="1"/>
  <c r="I8" i="16"/>
  <c r="P8" i="16" s="1"/>
  <c r="I14" i="16"/>
  <c r="P14" i="16" s="1"/>
  <c r="I13" i="16"/>
  <c r="P13" i="16" s="1"/>
  <c r="I15" i="16"/>
  <c r="P15" i="16" s="1"/>
  <c r="I21" i="16"/>
  <c r="P21" i="16" s="1"/>
  <c r="I18" i="16"/>
  <c r="P18" i="16" s="1"/>
  <c r="P22" i="16"/>
  <c r="I24" i="16"/>
  <c r="P24" i="16" s="1"/>
  <c r="I23" i="16"/>
  <c r="P23" i="16" s="1"/>
  <c r="I17" i="16"/>
  <c r="P17" i="16" s="1"/>
  <c r="P27" i="16"/>
  <c r="I30" i="16"/>
  <c r="P30" i="16" s="1"/>
  <c r="I35" i="16"/>
  <c r="I36" i="16"/>
  <c r="P36" i="16" s="1"/>
  <c r="I28" i="16"/>
  <c r="P28" i="16" s="1"/>
  <c r="I31" i="16"/>
  <c r="P31" i="16" s="1"/>
  <c r="I29" i="16"/>
  <c r="P29" i="16" s="1"/>
  <c r="I37" i="16"/>
  <c r="P37" i="16" s="1"/>
  <c r="P46" i="16"/>
  <c r="I45" i="16"/>
  <c r="P45" i="16" s="1"/>
  <c r="I38" i="16"/>
  <c r="P38" i="16" s="1"/>
  <c r="I42" i="16"/>
  <c r="P42" i="16" s="1"/>
  <c r="I39" i="16"/>
  <c r="P39" i="16" s="1"/>
  <c r="I43" i="16"/>
  <c r="P43" i="16" s="1"/>
  <c r="P35" i="16"/>
  <c r="I40" i="16"/>
  <c r="P40" i="16" s="1"/>
  <c r="P49" i="16"/>
  <c r="I47" i="16"/>
  <c r="P47" i="16" s="1"/>
  <c r="I53" i="16"/>
  <c r="P53" i="16" s="1"/>
  <c r="I55" i="16"/>
  <c r="P55" i="16" s="1"/>
  <c r="P54" i="16"/>
  <c r="I57" i="16"/>
  <c r="P57" i="16" s="1"/>
  <c r="I63" i="16"/>
  <c r="P63" i="16" s="1"/>
  <c r="I59" i="16"/>
  <c r="P59" i="16" s="1"/>
  <c r="I60" i="16"/>
  <c r="P60" i="16" s="1"/>
  <c r="I61" i="16"/>
  <c r="P61" i="16" s="1"/>
  <c r="P64" i="16"/>
  <c r="P48" i="16"/>
  <c r="I68" i="16"/>
  <c r="P68" i="16" s="1"/>
  <c r="I72" i="16"/>
  <c r="P72" i="16" s="1"/>
  <c r="I71" i="16"/>
  <c r="P71" i="16" s="1"/>
  <c r="I70" i="16"/>
  <c r="P70" i="16" s="1"/>
  <c r="I76" i="16"/>
  <c r="P76" i="16" s="1"/>
  <c r="I77" i="16"/>
  <c r="P77" i="16" s="1"/>
  <c r="I73" i="16"/>
  <c r="P73" i="16" s="1"/>
  <c r="P74" i="16"/>
  <c r="I75" i="16"/>
  <c r="P75" i="16" s="1"/>
  <c r="I78" i="16"/>
  <c r="P78" i="16" s="1"/>
  <c r="I66" i="16"/>
  <c r="P66" i="16" s="1"/>
  <c r="I65" i="16"/>
  <c r="P65" i="16" s="1"/>
  <c r="P81" i="16"/>
  <c r="I88" i="16"/>
  <c r="P88" i="16" s="1"/>
  <c r="P80" i="16"/>
  <c r="I85" i="16"/>
  <c r="P85" i="16" s="1"/>
  <c r="I84" i="16"/>
  <c r="P84" i="16" s="1"/>
  <c r="I83" i="16"/>
  <c r="P83" i="16" s="1"/>
  <c r="I89" i="16"/>
  <c r="P89" i="16" s="1"/>
  <c r="I91" i="16"/>
  <c r="P91" i="16" s="1"/>
  <c r="I93" i="16"/>
  <c r="P93" i="16" s="1"/>
  <c r="P95" i="16"/>
  <c r="I99" i="16"/>
  <c r="P99" i="16" s="1"/>
  <c r="I100" i="16"/>
  <c r="P100" i="16" s="1"/>
  <c r="I101" i="16"/>
  <c r="P101" i="16" s="1"/>
  <c r="P87" i="16"/>
  <c r="P108" i="16"/>
  <c r="I103" i="16"/>
  <c r="P103" i="16" s="1"/>
  <c r="I102" i="16"/>
  <c r="P102" i="16" s="1"/>
  <c r="I109" i="16"/>
  <c r="P109" i="16" s="1"/>
  <c r="I104" i="16"/>
  <c r="P104" i="16" s="1"/>
  <c r="I107" i="16"/>
  <c r="P107" i="16" s="1"/>
  <c r="I112" i="16"/>
  <c r="P112" i="16" s="1"/>
  <c r="I114" i="16"/>
  <c r="P114" i="16" s="1"/>
  <c r="I110" i="16"/>
  <c r="P110" i="16" s="1"/>
  <c r="I111" i="16"/>
  <c r="P111" i="16" s="1"/>
  <c r="I116" i="16"/>
  <c r="P116" i="16" s="1"/>
  <c r="I120" i="16"/>
  <c r="P120" i="16" s="1"/>
  <c r="I125" i="16"/>
  <c r="P125" i="16" s="1"/>
  <c r="I119" i="16"/>
  <c r="P119" i="16" s="1"/>
  <c r="I123" i="16"/>
  <c r="I124" i="16"/>
  <c r="P124" i="16" s="1"/>
  <c r="I126" i="16"/>
  <c r="P126" i="16" s="1"/>
  <c r="I135" i="16"/>
  <c r="P135" i="16" s="1"/>
  <c r="I137" i="16"/>
  <c r="P137" i="16" s="1"/>
  <c r="I129" i="16"/>
  <c r="P129" i="16" s="1"/>
  <c r="I131" i="16"/>
  <c r="P131" i="16" s="1"/>
  <c r="P130" i="16"/>
  <c r="I136" i="16"/>
  <c r="P136" i="16" s="1"/>
  <c r="I138" i="16"/>
  <c r="P138" i="16" s="1"/>
  <c r="I139" i="16"/>
  <c r="P139" i="16" s="1"/>
  <c r="I141" i="16"/>
  <c r="P141" i="16" s="1"/>
  <c r="P123" i="16"/>
  <c r="I146" i="16"/>
  <c r="P146" i="16" s="1"/>
  <c r="I144" i="16"/>
  <c r="P144" i="16" s="1"/>
  <c r="I143" i="16"/>
  <c r="P143" i="16" s="1"/>
  <c r="I145" i="16"/>
  <c r="P145" i="16" s="1"/>
  <c r="I148" i="16"/>
  <c r="P148" i="16" s="1"/>
  <c r="I150" i="16"/>
  <c r="P150" i="16" s="1"/>
  <c r="I156" i="16"/>
  <c r="P156" i="16" s="1"/>
  <c r="P155" i="16"/>
  <c r="I154" i="16"/>
  <c r="P154" i="16" s="1"/>
  <c r="I151" i="16"/>
  <c r="P151" i="16" s="1"/>
  <c r="I159" i="16"/>
  <c r="P159" i="16" s="1"/>
  <c r="I167" i="16"/>
  <c r="P167" i="16" s="1"/>
  <c r="I164" i="16"/>
  <c r="P164" i="16" s="1"/>
  <c r="I161" i="16"/>
  <c r="P161" i="16" s="1"/>
  <c r="I160" i="16"/>
  <c r="P160" i="16" s="1"/>
  <c r="P165" i="16"/>
  <c r="I158" i="16"/>
  <c r="P158" i="16" s="1"/>
  <c r="I166" i="16"/>
  <c r="P166" i="16" s="1"/>
  <c r="P168" i="16"/>
  <c r="P169" i="16"/>
  <c r="I170" i="16"/>
  <c r="P170" i="16" s="1"/>
  <c r="I171" i="16"/>
  <c r="P171" i="16" s="1"/>
  <c r="I172" i="16"/>
  <c r="P172" i="16" s="1"/>
  <c r="I182" i="16"/>
  <c r="P182" i="16" s="1"/>
  <c r="I178" i="16"/>
  <c r="P178" i="16" s="1"/>
  <c r="I176" i="16"/>
  <c r="P176" i="16" s="1"/>
  <c r="I10" i="16"/>
  <c r="P10" i="16" s="1"/>
  <c r="I11" i="16"/>
  <c r="P11" i="16" s="1"/>
  <c r="I180" i="16"/>
  <c r="P180" i="16" s="1"/>
  <c r="P175" i="16"/>
  <c r="I179" i="16"/>
  <c r="P179" i="16" s="1"/>
  <c r="P184" i="16"/>
  <c r="I185" i="16"/>
  <c r="P185" i="16" s="1"/>
  <c r="I189" i="16"/>
  <c r="P189" i="16" s="1"/>
  <c r="I186" i="16"/>
  <c r="P186" i="16" s="1"/>
  <c r="I187" i="16"/>
  <c r="P187" i="16" s="1"/>
  <c r="I191" i="16"/>
  <c r="P191" i="16" s="1"/>
  <c r="I196" i="16"/>
  <c r="P196" i="16" s="1"/>
  <c r="I194" i="16"/>
  <c r="P194" i="16" s="1"/>
  <c r="I198" i="16"/>
  <c r="P198" i="16" s="1"/>
  <c r="P197" i="16"/>
  <c r="P195" i="16"/>
  <c r="I188" i="16"/>
  <c r="P188" i="16" s="1"/>
  <c r="I25" i="16"/>
  <c r="P25" i="16" s="1"/>
  <c r="I26" i="16"/>
  <c r="P26" i="16" s="1"/>
  <c r="P79" i="16"/>
  <c r="I132" i="16"/>
  <c r="P132" i="16" s="1"/>
  <c r="I157" i="16"/>
  <c r="P157" i="16" s="1"/>
  <c r="I162" i="16"/>
  <c r="P162" i="16" s="1"/>
  <c r="I177" i="16"/>
  <c r="P177" i="16" s="1"/>
  <c r="I181" i="16"/>
  <c r="P181" i="16" s="1"/>
  <c r="I142" i="16"/>
  <c r="P142" i="16" s="1"/>
  <c r="I20" i="16"/>
  <c r="P20" i="16" s="1"/>
  <c r="I34" i="16"/>
  <c r="P34" i="16" s="1"/>
  <c r="I33" i="16"/>
  <c r="P33" i="16" s="1"/>
  <c r="I32" i="16"/>
  <c r="P32" i="16" s="1"/>
  <c r="I41" i="16"/>
  <c r="P41" i="16" s="1"/>
  <c r="I44" i="16"/>
  <c r="P44" i="16" s="1"/>
  <c r="I50" i="16"/>
  <c r="P50" i="16" s="1"/>
  <c r="I51" i="16"/>
  <c r="P51" i="16" s="1"/>
  <c r="I56" i="16"/>
  <c r="P56" i="16" s="1"/>
  <c r="I58" i="16"/>
  <c r="P58" i="16" s="1"/>
  <c r="I62" i="16"/>
  <c r="P62" i="16" s="1"/>
  <c r="I69" i="16"/>
  <c r="P69" i="16" s="1"/>
  <c r="I86" i="16"/>
  <c r="P86" i="16" s="1"/>
  <c r="I82" i="16"/>
  <c r="P82" i="16" s="1"/>
  <c r="I92" i="16"/>
  <c r="P92" i="16" s="1"/>
  <c r="I90" i="16"/>
  <c r="P90" i="16" s="1"/>
  <c r="I96" i="16"/>
  <c r="P96" i="16" s="1"/>
  <c r="I106" i="16"/>
  <c r="P106" i="16" s="1"/>
  <c r="I105" i="16"/>
  <c r="P105" i="16" s="1"/>
  <c r="I113" i="16"/>
  <c r="P113" i="16" s="1"/>
  <c r="I115" i="16"/>
  <c r="P115" i="16" s="1"/>
  <c r="I118" i="16"/>
  <c r="P118" i="16" s="1"/>
  <c r="I121" i="16"/>
  <c r="P121" i="16" s="1"/>
  <c r="I127" i="16"/>
  <c r="P127" i="16" s="1"/>
  <c r="I128" i="16"/>
  <c r="P128" i="16" s="1"/>
  <c r="I134" i="16"/>
  <c r="P134" i="16" s="1"/>
  <c r="I140" i="16"/>
  <c r="P140" i="16" s="1"/>
  <c r="I149" i="16"/>
  <c r="P149" i="16" s="1"/>
  <c r="I153" i="16"/>
  <c r="P153" i="16" s="1"/>
  <c r="I12" i="16"/>
  <c r="P12" i="16" s="1"/>
  <c r="I19" i="16"/>
  <c r="P19" i="16" s="1"/>
  <c r="I94" i="16"/>
  <c r="P94" i="16" s="1"/>
  <c r="H183" i="12" l="1"/>
  <c r="K173" i="12"/>
  <c r="J173" i="12"/>
  <c r="I183" i="12"/>
  <c r="G183" i="12"/>
  <c r="I219" i="12"/>
  <c r="I220" i="12"/>
  <c r="I221" i="12"/>
  <c r="I222" i="12"/>
  <c r="I223" i="12"/>
  <c r="I77" i="12"/>
  <c r="P77" i="12" s="1"/>
  <c r="I96" i="12"/>
  <c r="P96" i="12" s="1"/>
  <c r="P136" i="12"/>
  <c r="I156" i="12"/>
  <c r="P156" i="12" s="1"/>
  <c r="I163" i="12"/>
  <c r="P163" i="12" s="1"/>
  <c r="I58" i="12"/>
  <c r="P58" i="12" s="1"/>
  <c r="I159" i="12"/>
  <c r="P159" i="12" s="1"/>
  <c r="I160" i="12"/>
  <c r="P160" i="12" s="1"/>
  <c r="I161" i="12"/>
  <c r="P161" i="12" s="1"/>
  <c r="I151" i="12"/>
  <c r="P151" i="12" s="1"/>
  <c r="I162" i="12"/>
  <c r="P162" i="12" s="1"/>
  <c r="I164" i="12"/>
  <c r="P164" i="12" s="1"/>
  <c r="I152" i="12"/>
  <c r="P152" i="12" s="1"/>
  <c r="I153" i="12"/>
  <c r="P153" i="12" s="1"/>
  <c r="I117" i="12"/>
  <c r="P117" i="12" s="1"/>
  <c r="I118" i="12"/>
  <c r="P118" i="12" s="1"/>
  <c r="I154" i="12"/>
  <c r="P154" i="12" s="1"/>
  <c r="I165" i="12"/>
  <c r="P165" i="12" s="1"/>
  <c r="P158" i="12"/>
  <c r="I109" i="12"/>
  <c r="P109" i="12" s="1"/>
  <c r="I147" i="12"/>
  <c r="P147" i="12" s="1"/>
  <c r="I97" i="12"/>
  <c r="P97" i="12" s="1"/>
  <c r="I148" i="12"/>
  <c r="P148" i="12" s="1"/>
  <c r="I155" i="12"/>
  <c r="P155" i="12" s="1"/>
  <c r="I131" i="12"/>
  <c r="P131" i="12" s="1"/>
  <c r="I170" i="12"/>
  <c r="P170" i="12" s="1"/>
  <c r="P169" i="12"/>
  <c r="I167" i="12"/>
  <c r="P167" i="12" s="1"/>
  <c r="P166" i="12"/>
  <c r="I171" i="12"/>
  <c r="P171" i="12" s="1"/>
  <c r="I172" i="12"/>
  <c r="P172" i="12" s="1"/>
  <c r="I157" i="12"/>
  <c r="P157" i="12" s="1"/>
  <c r="I168" i="12"/>
  <c r="P168" i="12" s="1"/>
  <c r="I8" i="12"/>
  <c r="P8" i="12" s="1"/>
  <c r="I21" i="12"/>
  <c r="P21" i="12" s="1"/>
  <c r="I22" i="12"/>
  <c r="P22" i="12" s="1"/>
  <c r="I19" i="12"/>
  <c r="P19" i="12" s="1"/>
  <c r="I26" i="12"/>
  <c r="P26" i="12" s="1"/>
  <c r="I29" i="12"/>
  <c r="P29" i="12" s="1"/>
  <c r="I28" i="12"/>
  <c r="P28" i="12" s="1"/>
  <c r="I24" i="12"/>
  <c r="P24" i="12" s="1"/>
  <c r="I35" i="12"/>
  <c r="P35" i="12" s="1"/>
  <c r="I36" i="12"/>
  <c r="P36" i="12" s="1"/>
  <c r="I31" i="12"/>
  <c r="P31" i="12" s="1"/>
  <c r="I34" i="12"/>
  <c r="P34" i="12" s="1"/>
  <c r="I32" i="12"/>
  <c r="P32" i="12" s="1"/>
  <c r="I45" i="12"/>
  <c r="P45" i="12" s="1"/>
  <c r="I40" i="12"/>
  <c r="P40" i="12" s="1"/>
  <c r="I44" i="12"/>
  <c r="P44" i="12" s="1"/>
  <c r="I43" i="12"/>
  <c r="P43" i="12" s="1"/>
  <c r="I39" i="12"/>
  <c r="P39" i="12" s="1"/>
  <c r="I38" i="12"/>
  <c r="P38" i="12" s="1"/>
  <c r="P33" i="12"/>
  <c r="P41" i="12"/>
  <c r="I49" i="12"/>
  <c r="P49" i="12" s="1"/>
  <c r="I48" i="12"/>
  <c r="I47" i="12"/>
  <c r="P47" i="12" s="1"/>
  <c r="I55" i="12"/>
  <c r="P55" i="12" s="1"/>
  <c r="I54" i="12"/>
  <c r="P54" i="12" s="1"/>
  <c r="I53" i="12"/>
  <c r="P53" i="12" s="1"/>
  <c r="I56" i="12"/>
  <c r="P56" i="12" s="1"/>
  <c r="I59" i="12"/>
  <c r="P59" i="12" s="1"/>
  <c r="I57" i="12"/>
  <c r="P57" i="12" s="1"/>
  <c r="I69" i="12"/>
  <c r="P69" i="12" s="1"/>
  <c r="I71" i="12"/>
  <c r="P71" i="12" s="1"/>
  <c r="I67" i="12"/>
  <c r="P67" i="12" s="1"/>
  <c r="I62" i="12"/>
  <c r="P62" i="12" s="1"/>
  <c r="I65" i="12"/>
  <c r="P65" i="12" s="1"/>
  <c r="I68" i="12"/>
  <c r="P68" i="12" s="1"/>
  <c r="I64" i="12"/>
  <c r="P64" i="12" s="1"/>
  <c r="P46" i="12"/>
  <c r="P48" i="12"/>
  <c r="P51" i="12"/>
  <c r="P52" i="12"/>
  <c r="P63" i="12"/>
  <c r="I82" i="12"/>
  <c r="I81" i="12"/>
  <c r="I90" i="12"/>
  <c r="P90" i="12" s="1"/>
  <c r="I92" i="12"/>
  <c r="I91" i="12"/>
  <c r="P91" i="12" s="1"/>
  <c r="I93" i="12"/>
  <c r="P93" i="12" s="1"/>
  <c r="I95" i="12"/>
  <c r="P95" i="12" s="1"/>
  <c r="I98" i="12"/>
  <c r="P98" i="12" s="1"/>
  <c r="I104" i="12"/>
  <c r="P104" i="12" s="1"/>
  <c r="I99" i="12"/>
  <c r="P99" i="12" s="1"/>
  <c r="I103" i="12"/>
  <c r="P103" i="12" s="1"/>
  <c r="P85" i="12"/>
  <c r="P82" i="12"/>
  <c r="P81" i="12"/>
  <c r="P89" i="12"/>
  <c r="P87" i="12"/>
  <c r="P92" i="12"/>
  <c r="P94" i="12"/>
  <c r="P101" i="12"/>
  <c r="I86" i="12"/>
  <c r="P86" i="12" s="1"/>
  <c r="I102" i="12"/>
  <c r="P102" i="12" s="1"/>
  <c r="I100" i="12"/>
  <c r="P100" i="12" s="1"/>
  <c r="I105" i="12"/>
  <c r="P105" i="12" s="1"/>
  <c r="I110" i="12"/>
  <c r="P110" i="12" s="1"/>
  <c r="I112" i="12"/>
  <c r="P112" i="12" s="1"/>
  <c r="I106" i="12"/>
  <c r="P106" i="12" s="1"/>
  <c r="I111" i="12"/>
  <c r="P111" i="12" s="1"/>
  <c r="I107" i="12"/>
  <c r="P107" i="12" s="1"/>
  <c r="I108" i="12"/>
  <c r="P108" i="12" s="1"/>
  <c r="P114" i="12"/>
  <c r="I115" i="12"/>
  <c r="P115" i="12" s="1"/>
  <c r="I119" i="12"/>
  <c r="P119" i="12" s="1"/>
  <c r="I120" i="12"/>
  <c r="P120" i="12" s="1"/>
  <c r="I116" i="12"/>
  <c r="P116" i="12" s="1"/>
  <c r="I121" i="12"/>
  <c r="P121" i="12" s="1"/>
  <c r="P113" i="12"/>
  <c r="I127" i="12"/>
  <c r="P127" i="12" s="1"/>
  <c r="I122" i="12"/>
  <c r="P122" i="12" s="1"/>
  <c r="I125" i="12"/>
  <c r="P125" i="12" s="1"/>
  <c r="I124" i="12"/>
  <c r="P124" i="12" s="1"/>
  <c r="I123" i="12"/>
  <c r="P123" i="12" s="1"/>
  <c r="I126" i="12"/>
  <c r="P126" i="12" s="1"/>
  <c r="I129" i="12"/>
  <c r="P129" i="12" s="1"/>
  <c r="I128" i="12"/>
  <c r="P128" i="12" s="1"/>
  <c r="I130" i="12"/>
  <c r="P130" i="12" s="1"/>
  <c r="I138" i="12"/>
  <c r="P138" i="12" s="1"/>
  <c r="I144" i="12"/>
  <c r="P144" i="12" s="1"/>
  <c r="I133" i="12"/>
  <c r="P133" i="12" s="1"/>
  <c r="I139" i="12"/>
  <c r="P139" i="12" s="1"/>
  <c r="I143" i="12"/>
  <c r="P143" i="12" s="1"/>
  <c r="I134" i="12"/>
  <c r="P134" i="12" s="1"/>
  <c r="P132" i="12"/>
  <c r="P140" i="12"/>
  <c r="I150" i="12"/>
  <c r="P150" i="12" s="1"/>
  <c r="I37" i="12"/>
  <c r="P37" i="12" s="1"/>
  <c r="I30" i="12"/>
  <c r="P30" i="12" s="1"/>
  <c r="I88" i="12"/>
  <c r="P88" i="12" s="1"/>
  <c r="I79" i="12"/>
  <c r="P79" i="12" s="1"/>
  <c r="I76" i="12"/>
  <c r="P76" i="12" s="1"/>
  <c r="I50" i="12"/>
  <c r="P50" i="12" s="1"/>
  <c r="I42" i="12"/>
  <c r="P42" i="12" s="1"/>
  <c r="I20" i="12"/>
  <c r="P20" i="12" s="1"/>
  <c r="I9" i="12"/>
  <c r="P9" i="12" s="1"/>
  <c r="I149" i="12"/>
  <c r="P149" i="12" s="1"/>
  <c r="I146" i="12"/>
  <c r="P146" i="12" s="1"/>
  <c r="I145" i="12"/>
  <c r="P145" i="12" s="1"/>
  <c r="P141" i="12"/>
  <c r="I142" i="12"/>
  <c r="P142" i="12" s="1"/>
  <c r="I137" i="12"/>
  <c r="P137" i="12" s="1"/>
  <c r="P135" i="12"/>
  <c r="I83" i="12"/>
  <c r="P83" i="12" s="1"/>
  <c r="I84" i="12"/>
  <c r="P84" i="12" s="1"/>
  <c r="I74" i="12"/>
  <c r="P74" i="12" s="1"/>
  <c r="I75" i="12"/>
  <c r="P75" i="12" s="1"/>
  <c r="P80" i="12"/>
  <c r="I78" i="12"/>
  <c r="P78" i="12" s="1"/>
  <c r="I66" i="12"/>
  <c r="P66" i="12" s="1"/>
  <c r="P72" i="12"/>
  <c r="P73" i="12"/>
  <c r="I70" i="12"/>
  <c r="P70" i="12" s="1"/>
  <c r="I61" i="12"/>
  <c r="P61" i="12" s="1"/>
  <c r="I60" i="12"/>
  <c r="P60" i="12" s="1"/>
  <c r="I23" i="12"/>
  <c r="P23" i="12" s="1"/>
  <c r="I18" i="12"/>
  <c r="P18" i="12" s="1"/>
  <c r="I27" i="12"/>
  <c r="P27" i="12" s="1"/>
  <c r="I16" i="12"/>
  <c r="P16" i="12" s="1"/>
  <c r="I9" i="11" l="1"/>
  <c r="P9" i="11" s="1"/>
  <c r="I11" i="11"/>
  <c r="P11" i="11" s="1"/>
  <c r="I13" i="11"/>
  <c r="P13" i="11" s="1"/>
  <c r="I10" i="11"/>
  <c r="P10" i="11" s="1"/>
  <c r="I31" i="11"/>
  <c r="P31" i="11" s="1"/>
  <c r="M259" i="11"/>
  <c r="M260" i="11"/>
  <c r="M261" i="11"/>
  <c r="M262" i="11"/>
  <c r="N263" i="11"/>
  <c r="L263" i="11"/>
  <c r="K263" i="11"/>
  <c r="I263" i="11"/>
  <c r="I12" i="11"/>
  <c r="P12" i="11" s="1"/>
  <c r="I106" i="11"/>
  <c r="P106" i="11" s="1"/>
  <c r="I115" i="11"/>
  <c r="P115" i="11" s="1"/>
  <c r="I122" i="11"/>
  <c r="P122" i="11" s="1"/>
  <c r="I112" i="11"/>
  <c r="P112" i="11" s="1"/>
  <c r="I165" i="11"/>
  <c r="P165" i="11" s="1"/>
  <c r="I99" i="11"/>
  <c r="P99" i="11" s="1"/>
  <c r="J263" i="11" l="1"/>
  <c r="M263" i="11"/>
  <c r="I156" i="11"/>
  <c r="P156" i="11" s="1"/>
  <c r="I157" i="11"/>
  <c r="P157" i="11" s="1"/>
  <c r="I161" i="11"/>
  <c r="P161" i="11" s="1"/>
  <c r="I159" i="11"/>
  <c r="P159" i="11" s="1"/>
  <c r="I160" i="11"/>
  <c r="P160" i="11" s="1"/>
  <c r="P162" i="11"/>
  <c r="I167" i="11"/>
  <c r="P167" i="11" s="1"/>
  <c r="P163" i="11"/>
  <c r="I164" i="11"/>
  <c r="P164" i="11" s="1"/>
  <c r="I173" i="11"/>
  <c r="P173" i="11" s="1"/>
  <c r="P166" i="11"/>
  <c r="P172" i="11"/>
  <c r="I169" i="11"/>
  <c r="P169" i="11" s="1"/>
  <c r="I168" i="11"/>
  <c r="P168" i="11" s="1"/>
  <c r="I179" i="11"/>
  <c r="P179" i="11" s="1"/>
  <c r="I180" i="11"/>
  <c r="P180" i="11" s="1"/>
  <c r="P176" i="11"/>
  <c r="I177" i="11"/>
  <c r="P177" i="11" s="1"/>
  <c r="I178" i="11"/>
  <c r="P178" i="11" s="1"/>
  <c r="I175" i="11"/>
  <c r="P175" i="11" s="1"/>
  <c r="I19" i="11"/>
  <c r="P19" i="11" s="1"/>
  <c r="I41" i="11"/>
  <c r="P41" i="11" s="1"/>
  <c r="I44" i="11"/>
  <c r="P44" i="11" s="1"/>
  <c r="I51" i="11"/>
  <c r="P51" i="11" s="1"/>
  <c r="I103" i="11"/>
  <c r="P103" i="11" s="1"/>
  <c r="I104" i="11"/>
  <c r="P104" i="11" s="1"/>
  <c r="I110" i="11"/>
  <c r="P110" i="11" s="1"/>
  <c r="I111" i="11"/>
  <c r="P111" i="11" s="1"/>
  <c r="I114" i="11"/>
  <c r="P114" i="11" s="1"/>
  <c r="I117" i="11"/>
  <c r="P117" i="11" s="1"/>
  <c r="I119" i="11"/>
  <c r="P119" i="11" s="1"/>
  <c r="I116" i="11"/>
  <c r="P116" i="11" s="1"/>
  <c r="P118" i="11"/>
  <c r="P125" i="11"/>
  <c r="I121" i="11"/>
  <c r="P121" i="11" s="1"/>
  <c r="I120" i="11"/>
  <c r="P120" i="11" s="1"/>
  <c r="I123" i="11"/>
  <c r="P123" i="11" s="1"/>
  <c r="I127" i="11"/>
  <c r="P127" i="11" s="1"/>
  <c r="I133" i="11"/>
  <c r="P133" i="11" s="1"/>
  <c r="P130" i="11"/>
  <c r="P113" i="11"/>
  <c r="P126" i="11"/>
  <c r="P137" i="11"/>
  <c r="P129" i="11"/>
  <c r="I136" i="11"/>
  <c r="P136" i="11" s="1"/>
  <c r="I134" i="11"/>
  <c r="P134" i="11" s="1"/>
  <c r="I132" i="11"/>
  <c r="P132" i="11" s="1"/>
  <c r="I135" i="11"/>
  <c r="P135" i="11" s="1"/>
  <c r="I141" i="11"/>
  <c r="P141" i="11" s="1"/>
  <c r="I143" i="11"/>
  <c r="P143" i="11" s="1"/>
  <c r="I139" i="11"/>
  <c r="P139" i="11" s="1"/>
  <c r="I140" i="11"/>
  <c r="P140" i="11" s="1"/>
  <c r="I144" i="11"/>
  <c r="P144" i="11" s="1"/>
  <c r="I145" i="11"/>
  <c r="P145" i="11" s="1"/>
  <c r="I153" i="11"/>
  <c r="P153" i="11" s="1"/>
  <c r="P151" i="11"/>
  <c r="I150" i="11"/>
  <c r="P150" i="11" s="1"/>
  <c r="I148" i="11"/>
  <c r="P148" i="11" s="1"/>
  <c r="P128" i="11"/>
  <c r="P138" i="11"/>
  <c r="P63" i="11"/>
  <c r="I70" i="11"/>
  <c r="P70" i="11" s="1"/>
  <c r="I74" i="11"/>
  <c r="P74" i="11" s="1"/>
  <c r="I67" i="11"/>
  <c r="P67" i="11" s="1"/>
  <c r="I75" i="11"/>
  <c r="P75" i="11" s="1"/>
  <c r="I76" i="11"/>
  <c r="P76" i="11" s="1"/>
  <c r="I73" i="11"/>
  <c r="P73" i="11" s="1"/>
  <c r="P72" i="11"/>
  <c r="I71" i="11"/>
  <c r="P71" i="11" s="1"/>
  <c r="I66" i="11"/>
  <c r="P66" i="11" s="1"/>
  <c r="I65" i="11"/>
  <c r="P65" i="11" s="1"/>
  <c r="I79" i="11"/>
  <c r="P79" i="11" s="1"/>
  <c r="I78" i="11"/>
  <c r="P78" i="11" s="1"/>
  <c r="P80" i="11"/>
  <c r="P88" i="11"/>
  <c r="P82" i="11"/>
  <c r="I84" i="11"/>
  <c r="P84" i="11" s="1"/>
  <c r="I86" i="11"/>
  <c r="P86" i="11" s="1"/>
  <c r="I85" i="11"/>
  <c r="P85" i="11" s="1"/>
  <c r="P83" i="11"/>
  <c r="I87" i="11"/>
  <c r="P87" i="11" s="1"/>
  <c r="I90" i="11"/>
  <c r="P90" i="11" s="1"/>
  <c r="I92" i="11"/>
  <c r="P92" i="11" s="1"/>
  <c r="P93" i="11"/>
  <c r="I91" i="11"/>
  <c r="P91" i="11" s="1"/>
  <c r="I89" i="11"/>
  <c r="P89" i="11" s="1"/>
  <c r="I95" i="11"/>
  <c r="P95" i="11" s="1"/>
  <c r="I94" i="11"/>
  <c r="P94" i="11" s="1"/>
  <c r="I96" i="11"/>
  <c r="P96" i="11" s="1"/>
  <c r="I98" i="11"/>
  <c r="P98" i="11" s="1"/>
  <c r="I97" i="11"/>
  <c r="P97" i="11" s="1"/>
  <c r="I109" i="11"/>
  <c r="P109" i="11" s="1"/>
  <c r="I105" i="11"/>
  <c r="P105" i="11" s="1"/>
  <c r="I102" i="11"/>
  <c r="P102" i="11" s="1"/>
  <c r="I101" i="11"/>
  <c r="P101" i="11" s="1"/>
  <c r="I107" i="11"/>
  <c r="P107" i="11" s="1"/>
  <c r="I108" i="11"/>
  <c r="P108" i="11" s="1"/>
  <c r="I149" i="11"/>
  <c r="P149" i="11" s="1"/>
  <c r="I152" i="11"/>
  <c r="P152" i="11" s="1"/>
  <c r="I147" i="11"/>
  <c r="P147" i="11" s="1"/>
  <c r="I154" i="11"/>
  <c r="P154" i="11" s="1"/>
  <c r="I155" i="11"/>
  <c r="P155" i="11" s="1"/>
  <c r="I26" i="11"/>
  <c r="P26" i="11" s="1"/>
  <c r="I27" i="11"/>
  <c r="P27" i="11" s="1"/>
  <c r="I32" i="11"/>
  <c r="P32" i="11" s="1"/>
  <c r="I25" i="11"/>
  <c r="P25" i="11" s="1"/>
  <c r="I28" i="11"/>
  <c r="P28" i="11" s="1"/>
  <c r="I33" i="11"/>
  <c r="P33" i="11" s="1"/>
  <c r="P39" i="11"/>
  <c r="I36" i="11"/>
  <c r="P36" i="11" s="1"/>
  <c r="I37" i="11"/>
  <c r="P37" i="11" s="1"/>
  <c r="I38" i="11"/>
  <c r="P38" i="11" s="1"/>
  <c r="P35" i="11"/>
  <c r="I34" i="11"/>
  <c r="P34" i="11" s="1"/>
  <c r="I40" i="11"/>
  <c r="P40" i="11" s="1"/>
  <c r="I42" i="11"/>
  <c r="P42" i="11" s="1"/>
  <c r="I45" i="11"/>
  <c r="P45" i="11" s="1"/>
  <c r="I43" i="11"/>
  <c r="P43" i="11" s="1"/>
  <c r="I47" i="11"/>
  <c r="P47" i="11" s="1"/>
  <c r="I46" i="11"/>
  <c r="P46" i="11" s="1"/>
  <c r="I50" i="11"/>
  <c r="P50" i="11" s="1"/>
  <c r="I48" i="11"/>
  <c r="P48" i="11" s="1"/>
  <c r="I53" i="11"/>
  <c r="P53" i="11" s="1"/>
  <c r="P52" i="11"/>
  <c r="I54" i="11"/>
  <c r="P54" i="11" s="1"/>
  <c r="I55" i="11"/>
  <c r="P55" i="11" s="1"/>
  <c r="I62" i="11"/>
  <c r="P62" i="11" s="1"/>
  <c r="I57" i="11"/>
  <c r="P57" i="11" s="1"/>
  <c r="P16" i="11"/>
  <c r="I17" i="11"/>
  <c r="P17" i="11" s="1"/>
  <c r="I15" i="11"/>
  <c r="P15" i="11" s="1"/>
  <c r="I23" i="11"/>
  <c r="P23" i="11" s="1"/>
  <c r="I14" i="11"/>
  <c r="P14" i="11" s="1"/>
  <c r="I20" i="11"/>
  <c r="P20" i="11" s="1"/>
  <c r="I18" i="11"/>
  <c r="P18" i="11" s="1"/>
  <c r="I29" i="11"/>
  <c r="P29" i="11" s="1"/>
  <c r="I30" i="11"/>
  <c r="P30" i="11" s="1"/>
  <c r="P61" i="11"/>
  <c r="I59" i="11"/>
  <c r="P59" i="11" s="1"/>
  <c r="P64" i="11"/>
  <c r="I60" i="11"/>
  <c r="P60" i="11" s="1"/>
  <c r="I158" i="11"/>
  <c r="P158" i="11" s="1"/>
  <c r="I49" i="11"/>
  <c r="P49" i="11" s="1"/>
  <c r="I58" i="11"/>
  <c r="P58" i="11" s="1"/>
  <c r="I56" i="11"/>
  <c r="P56" i="11" s="1"/>
  <c r="I69" i="11"/>
  <c r="P69" i="11" s="1"/>
  <c r="I77" i="11"/>
  <c r="P77" i="11" s="1"/>
  <c r="I81" i="11"/>
  <c r="P81" i="11" s="1"/>
  <c r="I100" i="11"/>
  <c r="P100" i="11" s="1"/>
  <c r="I124" i="11"/>
  <c r="P124" i="11" s="1"/>
  <c r="I131" i="11"/>
  <c r="P131" i="11" s="1"/>
  <c r="I142" i="11"/>
  <c r="P142" i="11" s="1"/>
  <c r="H152" i="10"/>
  <c r="G158" i="10" l="1"/>
  <c r="K141" i="10" l="1"/>
  <c r="J60" i="10" l="1"/>
  <c r="I54" i="10"/>
  <c r="P54" i="10" s="1"/>
  <c r="I44" i="10"/>
  <c r="P44" i="10" s="1"/>
  <c r="I8" i="10"/>
  <c r="P8" i="10" s="1"/>
  <c r="K9" i="10"/>
  <c r="P9" i="10" s="1"/>
  <c r="I96" i="10"/>
  <c r="P96" i="10" s="1"/>
  <c r="I89" i="10"/>
  <c r="P89" i="10" s="1"/>
  <c r="I104" i="10"/>
  <c r="P104" i="10" s="1"/>
  <c r="I10" i="10"/>
  <c r="P10" i="10" s="1"/>
  <c r="I69" i="10"/>
  <c r="P69" i="10" s="1"/>
  <c r="P141" i="10"/>
  <c r="I132" i="10"/>
  <c r="P132" i="10" s="1"/>
  <c r="I133" i="10"/>
  <c r="P133" i="10" s="1"/>
  <c r="I142" i="10"/>
  <c r="P142" i="10" s="1"/>
  <c r="I128" i="10"/>
  <c r="P128" i="10" s="1"/>
  <c r="I134" i="10"/>
  <c r="P134" i="10" s="1"/>
  <c r="I125" i="10"/>
  <c r="P125" i="10" s="1"/>
  <c r="I126" i="10"/>
  <c r="P126" i="10" s="1"/>
  <c r="I103" i="10"/>
  <c r="P103" i="10" s="1"/>
  <c r="O66" i="10" l="1"/>
  <c r="M220" i="10" l="1"/>
  <c r="K220" i="10"/>
  <c r="J220" i="10"/>
  <c r="H220" i="10"/>
  <c r="L219" i="10"/>
  <c r="L218" i="10"/>
  <c r="L217" i="10"/>
  <c r="I220" i="10" l="1"/>
  <c r="L216" i="10"/>
  <c r="L220" i="10" s="1"/>
  <c r="I113" i="10"/>
  <c r="H200" i="10" l="1"/>
  <c r="I200" i="10" s="1"/>
  <c r="H201" i="10"/>
  <c r="I201" i="10" s="1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8" i="10"/>
  <c r="I29" i="10"/>
  <c r="I31" i="10"/>
  <c r="I32" i="10"/>
  <c r="I38" i="10"/>
  <c r="I39" i="10"/>
  <c r="I40" i="10"/>
  <c r="I41" i="10"/>
  <c r="I42" i="10"/>
  <c r="I43" i="10"/>
  <c r="I45" i="10"/>
  <c r="I46" i="10"/>
  <c r="I47" i="10"/>
  <c r="I48" i="10"/>
  <c r="I50" i="10"/>
  <c r="I51" i="10"/>
  <c r="I52" i="10"/>
  <c r="I56" i="10"/>
  <c r="I59" i="10"/>
  <c r="I61" i="10"/>
  <c r="I62" i="10"/>
  <c r="I63" i="10"/>
  <c r="I64" i="10"/>
  <c r="I65" i="10"/>
  <c r="I67" i="10"/>
  <c r="I71" i="10"/>
  <c r="I72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90" i="10"/>
  <c r="I91" i="10"/>
  <c r="I92" i="10"/>
  <c r="I93" i="10"/>
  <c r="I97" i="10"/>
  <c r="I101" i="10"/>
  <c r="I105" i="10"/>
  <c r="I107" i="10"/>
  <c r="I109" i="10"/>
  <c r="I110" i="10"/>
  <c r="I111" i="10"/>
  <c r="I112" i="10"/>
  <c r="I116" i="10"/>
  <c r="I117" i="10"/>
  <c r="I118" i="10"/>
  <c r="I120" i="10"/>
  <c r="I121" i="10"/>
  <c r="I122" i="10"/>
  <c r="I123" i="10"/>
  <c r="I124" i="10"/>
  <c r="I129" i="10"/>
  <c r="I130" i="10"/>
  <c r="I135" i="10"/>
  <c r="I136" i="10"/>
  <c r="I137" i="10"/>
  <c r="I139" i="10"/>
  <c r="I140" i="10"/>
  <c r="I33" i="10"/>
  <c r="I34" i="10"/>
  <c r="I35" i="10"/>
  <c r="I53" i="10"/>
  <c r="I68" i="10"/>
  <c r="I95" i="10"/>
  <c r="I99" i="10"/>
  <c r="I100" i="10"/>
  <c r="I143" i="10"/>
  <c r="I49" i="10"/>
  <c r="I114" i="10"/>
  <c r="I115" i="10"/>
  <c r="I106" i="10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 s="1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 s="1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 s="1"/>
  <c r="H1093" i="2"/>
  <c r="I1093" i="2" s="1"/>
  <c r="H1094" i="2"/>
  <c r="I1094" i="2" s="1"/>
  <c r="H1095" i="2"/>
  <c r="I1095" i="2" s="1"/>
  <c r="H1096" i="2"/>
  <c r="I1096" i="2" s="1"/>
  <c r="H1097" i="2"/>
  <c r="I1097" i="2" s="1"/>
  <c r="H1098" i="2"/>
  <c r="I1098" i="2" s="1"/>
  <c r="H1099" i="2"/>
  <c r="I1099" i="2" s="1"/>
  <c r="H1100" i="2"/>
  <c r="I1100" i="2" s="1"/>
  <c r="H1101" i="2"/>
  <c r="I1101" i="2" s="1"/>
  <c r="H1102" i="2"/>
  <c r="I1102" i="2" s="1"/>
  <c r="H1103" i="2"/>
  <c r="I1103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 s="1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54" i="2"/>
  <c r="I1154" i="2" s="1"/>
  <c r="H1155" i="2"/>
  <c r="I1155" i="2" s="1"/>
  <c r="H1156" i="2"/>
  <c r="I1156" i="2" s="1"/>
  <c r="H1157" i="2"/>
  <c r="I1157" i="2" s="1"/>
  <c r="H1158" i="2"/>
  <c r="I1158" i="2" s="1"/>
  <c r="H1159" i="2"/>
  <c r="I1159" i="2" s="1"/>
  <c r="H1160" i="2"/>
  <c r="I1160" i="2" s="1"/>
  <c r="H1161" i="2"/>
  <c r="I1161" i="2" s="1"/>
  <c r="H1162" i="2"/>
  <c r="I1162" i="2" s="1"/>
  <c r="H1163" i="2"/>
  <c r="I1163" i="2" s="1"/>
  <c r="H1164" i="2"/>
  <c r="I1164" i="2" s="1"/>
  <c r="H1165" i="2"/>
  <c r="I1165" i="2" s="1"/>
  <c r="H1166" i="2"/>
  <c r="I1166" i="2" s="1"/>
  <c r="H1167" i="2"/>
  <c r="I1167" i="2" s="1"/>
  <c r="H1168" i="2"/>
  <c r="I1168" i="2" s="1"/>
  <c r="H1169" i="2"/>
  <c r="I1169" i="2" s="1"/>
  <c r="H1170" i="2"/>
  <c r="I1170" i="2" s="1"/>
  <c r="H1171" i="2"/>
  <c r="I1171" i="2" s="1"/>
  <c r="H1172" i="2"/>
  <c r="I1172" i="2" s="1"/>
  <c r="H1173" i="2"/>
  <c r="I1173" i="2" s="1"/>
  <c r="H1174" i="2"/>
  <c r="I1174" i="2" s="1"/>
  <c r="H1175" i="2"/>
  <c r="I1175" i="2" s="1"/>
  <c r="H1176" i="2"/>
  <c r="I1176" i="2" s="1"/>
  <c r="H1177" i="2"/>
  <c r="I1177" i="2" s="1"/>
  <c r="H1178" i="2"/>
  <c r="I1178" i="2" s="1"/>
  <c r="H1179" i="2"/>
  <c r="I1179" i="2" s="1"/>
  <c r="H1180" i="2"/>
  <c r="I1180" i="2" s="1"/>
  <c r="H1181" i="2"/>
  <c r="I1181" i="2" s="1"/>
  <c r="H1182" i="2"/>
  <c r="I1182" i="2" s="1"/>
  <c r="H1183" i="2"/>
  <c r="I1183" i="2" s="1"/>
  <c r="H1184" i="2"/>
  <c r="I1184" i="2" s="1"/>
  <c r="H1185" i="2"/>
  <c r="I1185" i="2" s="1"/>
  <c r="H1186" i="2"/>
  <c r="I1186" i="2" s="1"/>
  <c r="H1187" i="2"/>
  <c r="I1187" i="2" s="1"/>
  <c r="H1188" i="2"/>
  <c r="I1188" i="2" s="1"/>
  <c r="H1189" i="2"/>
  <c r="I1189" i="2" s="1"/>
  <c r="H1190" i="2"/>
  <c r="I1190" i="2" s="1"/>
  <c r="H1191" i="2"/>
  <c r="I1191" i="2" s="1"/>
  <c r="H1192" i="2"/>
  <c r="I1192" i="2" s="1"/>
  <c r="H1193" i="2"/>
  <c r="I1193" i="2" s="1"/>
  <c r="H1194" i="2"/>
  <c r="I1194" i="2" s="1"/>
  <c r="H1195" i="2"/>
  <c r="I1195" i="2" s="1"/>
  <c r="H1196" i="2"/>
  <c r="I1196" i="2" s="1"/>
  <c r="H1197" i="2"/>
  <c r="I1197" i="2" s="1"/>
  <c r="H1198" i="2"/>
  <c r="I1198" i="2" s="1"/>
  <c r="H1199" i="2"/>
  <c r="I1199" i="2" s="1"/>
  <c r="H1200" i="2"/>
  <c r="I1200" i="2" s="1"/>
  <c r="H1201" i="2"/>
  <c r="I1201" i="2" s="1"/>
  <c r="H1202" i="2"/>
  <c r="I1202" i="2" s="1"/>
  <c r="H1203" i="2"/>
  <c r="I1203" i="2" s="1"/>
  <c r="H1204" i="2"/>
  <c r="I1204" i="2" s="1"/>
  <c r="H1205" i="2"/>
  <c r="I1205" i="2" s="1"/>
  <c r="H1206" i="2"/>
  <c r="I1206" i="2" s="1"/>
  <c r="H1207" i="2"/>
  <c r="I1207" i="2" s="1"/>
  <c r="H1208" i="2"/>
  <c r="I1208" i="2" s="1"/>
  <c r="H1209" i="2"/>
  <c r="I1209" i="2" s="1"/>
  <c r="H1210" i="2"/>
  <c r="I1210" i="2" s="1"/>
  <c r="H1211" i="2"/>
  <c r="I1211" i="2" s="1"/>
  <c r="H1212" i="2"/>
  <c r="I1212" i="2" s="1"/>
  <c r="H1213" i="2"/>
  <c r="I1213" i="2" s="1"/>
  <c r="H1214" i="2"/>
  <c r="I1214" i="2" s="1"/>
  <c r="H1215" i="2"/>
  <c r="I1215" i="2" s="1"/>
  <c r="H1216" i="2"/>
  <c r="I1216" i="2" s="1"/>
  <c r="H1217" i="2"/>
  <c r="I1217" i="2" s="1"/>
  <c r="H1218" i="2"/>
  <c r="I1218" i="2" s="1"/>
  <c r="H1219" i="2"/>
  <c r="I1219" i="2" s="1"/>
  <c r="H1220" i="2"/>
  <c r="I1220" i="2" s="1"/>
  <c r="H1221" i="2"/>
  <c r="I1221" i="2" s="1"/>
  <c r="H1222" i="2"/>
  <c r="I1222" i="2" s="1"/>
  <c r="H1223" i="2"/>
  <c r="I1223" i="2" s="1"/>
  <c r="H1224" i="2"/>
  <c r="I1224" i="2" s="1"/>
  <c r="H1225" i="2"/>
  <c r="I1225" i="2" s="1"/>
  <c r="H1226" i="2"/>
  <c r="I1226" i="2" s="1"/>
  <c r="H1227" i="2"/>
  <c r="I1227" i="2" s="1"/>
  <c r="H1228" i="2"/>
  <c r="I1228" i="2" s="1"/>
  <c r="H1229" i="2"/>
  <c r="I1229" i="2" s="1"/>
  <c r="H1230" i="2"/>
  <c r="I1230" i="2" s="1"/>
  <c r="H1231" i="2"/>
  <c r="I1231" i="2" s="1"/>
  <c r="H1232" i="2"/>
  <c r="I1232" i="2" s="1"/>
  <c r="H1233" i="2"/>
  <c r="I1233" i="2" s="1"/>
  <c r="H1234" i="2"/>
  <c r="I1234" i="2" s="1"/>
  <c r="H1235" i="2"/>
  <c r="I1235" i="2" s="1"/>
  <c r="H1236" i="2"/>
  <c r="I1236" i="2" s="1"/>
  <c r="H1237" i="2"/>
  <c r="I1237" i="2" s="1"/>
  <c r="H1238" i="2"/>
  <c r="I1238" i="2" s="1"/>
  <c r="H1239" i="2"/>
  <c r="I1239" i="2" s="1"/>
  <c r="H1240" i="2"/>
  <c r="I1240" i="2" s="1"/>
  <c r="H1241" i="2"/>
  <c r="I1241" i="2" s="1"/>
  <c r="H1242" i="2"/>
  <c r="I1242" i="2" s="1"/>
  <c r="H1243" i="2"/>
  <c r="I1243" i="2" s="1"/>
  <c r="H1244" i="2"/>
  <c r="I1244" i="2" s="1"/>
  <c r="H1245" i="2"/>
  <c r="I1245" i="2" s="1"/>
  <c r="H1246" i="2"/>
  <c r="I1246" i="2" s="1"/>
  <c r="H1247" i="2"/>
  <c r="I1247" i="2" s="1"/>
  <c r="H1248" i="2"/>
  <c r="I1248" i="2" s="1"/>
  <c r="H1249" i="2"/>
  <c r="I1249" i="2" s="1"/>
  <c r="H1250" i="2"/>
  <c r="I1250" i="2" s="1"/>
  <c r="H1251" i="2"/>
  <c r="I1251" i="2" s="1"/>
  <c r="H1252" i="2"/>
  <c r="I1252" i="2" s="1"/>
  <c r="H1253" i="2"/>
  <c r="I1253" i="2" s="1"/>
  <c r="H1254" i="2"/>
  <c r="I1254" i="2" s="1"/>
  <c r="H1255" i="2"/>
  <c r="I1255" i="2" s="1"/>
  <c r="H1256" i="2"/>
  <c r="I1256" i="2" s="1"/>
  <c r="H1257" i="2"/>
  <c r="I1257" i="2" s="1"/>
  <c r="H1258" i="2"/>
  <c r="I1258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0" i="2"/>
  <c r="I1270" i="2" s="1"/>
  <c r="H1271" i="2"/>
  <c r="I1271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77" i="2"/>
  <c r="I1277" i="2" s="1"/>
  <c r="H1278" i="2"/>
  <c r="I1278" i="2" s="1"/>
  <c r="H1279" i="2"/>
  <c r="I1279" i="2" s="1"/>
  <c r="H1280" i="2"/>
  <c r="I1280" i="2" s="1"/>
  <c r="H1281" i="2"/>
  <c r="I1281" i="2" s="1"/>
  <c r="H1282" i="2"/>
  <c r="I1282" i="2" s="1"/>
  <c r="H1283" i="2"/>
  <c r="I1283" i="2" s="1"/>
  <c r="H1284" i="2"/>
  <c r="I1284" i="2" s="1"/>
  <c r="H1285" i="2"/>
  <c r="I1285" i="2" s="1"/>
  <c r="H1286" i="2"/>
  <c r="I1286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 s="1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 s="1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 s="1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335" i="2"/>
  <c r="I1335" i="2" s="1"/>
  <c r="H1336" i="2"/>
  <c r="I1336" i="2" s="1"/>
  <c r="H1337" i="2"/>
  <c r="I1337" i="2" s="1"/>
  <c r="H1338" i="2"/>
  <c r="I1338" i="2" s="1"/>
  <c r="H1339" i="2"/>
  <c r="I1339" i="2" s="1"/>
  <c r="H1340" i="2"/>
  <c r="I1340" i="2" s="1"/>
  <c r="H1341" i="2"/>
  <c r="I1341" i="2" s="1"/>
  <c r="H1342" i="2"/>
  <c r="I1342" i="2" s="1"/>
  <c r="H1343" i="2"/>
  <c r="I1343" i="2" s="1"/>
  <c r="H1344" i="2"/>
  <c r="I1344" i="2" s="1"/>
  <c r="H1345" i="2"/>
  <c r="I1345" i="2" s="1"/>
  <c r="H1346" i="2"/>
  <c r="I1346" i="2" s="1"/>
  <c r="H1347" i="2"/>
  <c r="I1347" i="2" s="1"/>
  <c r="H1348" i="2"/>
  <c r="I1348" i="2" s="1"/>
  <c r="H1349" i="2"/>
  <c r="I1349" i="2" s="1"/>
  <c r="H1350" i="2"/>
  <c r="I1350" i="2" s="1"/>
  <c r="H1351" i="2"/>
  <c r="I1351" i="2" s="1"/>
  <c r="H1352" i="2"/>
  <c r="I1352" i="2" s="1"/>
  <c r="H1353" i="2"/>
  <c r="I1353" i="2" s="1"/>
  <c r="H1354" i="2"/>
  <c r="I1354" i="2" s="1"/>
  <c r="H1355" i="2"/>
  <c r="I1355" i="2" s="1"/>
  <c r="H1356" i="2"/>
  <c r="I1356" i="2" s="1"/>
  <c r="H1357" i="2"/>
  <c r="I1357" i="2" s="1"/>
  <c r="H1358" i="2"/>
  <c r="I1358" i="2" s="1"/>
  <c r="H1359" i="2"/>
  <c r="I1359" i="2" s="1"/>
  <c r="H1360" i="2"/>
  <c r="I1360" i="2" s="1"/>
  <c r="H1361" i="2"/>
  <c r="I1361" i="2" s="1"/>
  <c r="H1362" i="2"/>
  <c r="I1362" i="2" s="1"/>
  <c r="H1363" i="2"/>
  <c r="I1363" i="2" s="1"/>
  <c r="H1364" i="2"/>
  <c r="I1364" i="2" s="1"/>
  <c r="H1365" i="2"/>
  <c r="I1365" i="2" s="1"/>
  <c r="H1366" i="2"/>
  <c r="I1366" i="2" s="1"/>
  <c r="H1367" i="2"/>
  <c r="I1367" i="2" s="1"/>
  <c r="H1368" i="2"/>
  <c r="I1368" i="2" s="1"/>
  <c r="H1369" i="2"/>
  <c r="I1369" i="2" s="1"/>
  <c r="H1370" i="2"/>
  <c r="I1370" i="2" s="1"/>
  <c r="H1371" i="2"/>
  <c r="I1371" i="2" s="1"/>
  <c r="H1372" i="2"/>
  <c r="I1372" i="2" s="1"/>
  <c r="H1373" i="2"/>
  <c r="I1373" i="2" s="1"/>
  <c r="H1374" i="2"/>
  <c r="I1374" i="2" s="1"/>
  <c r="H1375" i="2"/>
  <c r="I1375" i="2" s="1"/>
  <c r="H1376" i="2"/>
  <c r="I1376" i="2" s="1"/>
  <c r="H1377" i="2"/>
  <c r="I1377" i="2" s="1"/>
  <c r="H1378" i="2"/>
  <c r="I1378" i="2" s="1"/>
  <c r="H1379" i="2"/>
  <c r="I1379" i="2" s="1"/>
  <c r="H1380" i="2"/>
  <c r="I1380" i="2" s="1"/>
  <c r="H1381" i="2"/>
  <c r="I1381" i="2" s="1"/>
  <c r="H1382" i="2"/>
  <c r="I1382" i="2" s="1"/>
  <c r="H1383" i="2"/>
  <c r="I1383" i="2" s="1"/>
  <c r="H1384" i="2"/>
  <c r="I1384" i="2" s="1"/>
  <c r="H1385" i="2"/>
  <c r="I1385" i="2" s="1"/>
  <c r="H1386" i="2"/>
  <c r="I1386" i="2" s="1"/>
  <c r="H1387" i="2"/>
  <c r="I1387" i="2" s="1"/>
  <c r="H1388" i="2"/>
  <c r="I1388" i="2" s="1"/>
  <c r="H1389" i="2"/>
  <c r="I1389" i="2" s="1"/>
  <c r="H1390" i="2"/>
  <c r="I1390" i="2" s="1"/>
  <c r="H1391" i="2"/>
  <c r="I1391" i="2" s="1"/>
  <c r="H1392" i="2"/>
  <c r="I1392" i="2" s="1"/>
  <c r="H1393" i="2"/>
  <c r="I1393" i="2" s="1"/>
  <c r="H1394" i="2"/>
  <c r="I1394" i="2" s="1"/>
  <c r="H1395" i="2"/>
  <c r="I1395" i="2" s="1"/>
  <c r="H1396" i="2"/>
  <c r="I1396" i="2" s="1"/>
  <c r="H1397" i="2"/>
  <c r="I1397" i="2" s="1"/>
  <c r="H1398" i="2"/>
  <c r="I1398" i="2" s="1"/>
  <c r="H1399" i="2"/>
  <c r="I1399" i="2" s="1"/>
  <c r="H1400" i="2"/>
  <c r="I1400" i="2" s="1"/>
  <c r="H1401" i="2"/>
  <c r="I1401" i="2" s="1"/>
  <c r="H1402" i="2"/>
  <c r="I1402" i="2" s="1"/>
  <c r="H1403" i="2"/>
  <c r="I1403" i="2" s="1"/>
  <c r="H1404" i="2"/>
  <c r="I1404" i="2" s="1"/>
  <c r="H1405" i="2"/>
  <c r="I1405" i="2" s="1"/>
  <c r="H1406" i="2"/>
  <c r="I1406" i="2" s="1"/>
  <c r="H1407" i="2"/>
  <c r="I1407" i="2" s="1"/>
  <c r="H1408" i="2"/>
  <c r="I1408" i="2" s="1"/>
  <c r="H1409" i="2"/>
  <c r="I1409" i="2" s="1"/>
  <c r="H1410" i="2"/>
  <c r="I1410" i="2" s="1"/>
  <c r="H1411" i="2"/>
  <c r="I1411" i="2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H1420" i="2"/>
  <c r="I1420" i="2" s="1"/>
  <c r="H1421" i="2"/>
  <c r="I1421" i="2" s="1"/>
  <c r="H1422" i="2"/>
  <c r="I1422" i="2" s="1"/>
  <c r="H1423" i="2"/>
  <c r="I1423" i="2" s="1"/>
  <c r="H1424" i="2"/>
  <c r="I1424" i="2" s="1"/>
  <c r="H1425" i="2"/>
  <c r="I1425" i="2" s="1"/>
  <c r="H1426" i="2"/>
  <c r="I1426" i="2" s="1"/>
  <c r="H1427" i="2"/>
  <c r="I1427" i="2" s="1"/>
  <c r="H1428" i="2"/>
  <c r="I1428" i="2" s="1"/>
  <c r="H1429" i="2"/>
  <c r="I1429" i="2" s="1"/>
  <c r="H1430" i="2"/>
  <c r="I1430" i="2" s="1"/>
  <c r="H1431" i="2"/>
  <c r="I1431" i="2" s="1"/>
  <c r="H1432" i="2"/>
  <c r="I1432" i="2" s="1"/>
  <c r="H1433" i="2"/>
  <c r="I1433" i="2" s="1"/>
  <c r="H1434" i="2"/>
  <c r="I1434" i="2" s="1"/>
  <c r="H1435" i="2"/>
  <c r="I1435" i="2" s="1"/>
  <c r="H1436" i="2"/>
  <c r="I1436" i="2" s="1"/>
  <c r="H1437" i="2"/>
  <c r="I1437" i="2" s="1"/>
  <c r="H1438" i="2"/>
  <c r="I1438" i="2" s="1"/>
  <c r="H1439" i="2"/>
  <c r="I1439" i="2" s="1"/>
  <c r="H1440" i="2"/>
  <c r="I1440" i="2" s="1"/>
  <c r="H1441" i="2"/>
  <c r="I1441" i="2" s="1"/>
  <c r="H1442" i="2"/>
  <c r="I1442" i="2" s="1"/>
  <c r="H1443" i="2"/>
  <c r="I1443" i="2" s="1"/>
  <c r="H1444" i="2"/>
  <c r="I1444" i="2" s="1"/>
  <c r="H1445" i="2"/>
  <c r="I1445" i="2" s="1"/>
  <c r="H1446" i="2"/>
  <c r="I1446" i="2" s="1"/>
  <c r="H1447" i="2"/>
  <c r="I1447" i="2" s="1"/>
  <c r="H1448" i="2"/>
  <c r="I1448" i="2" s="1"/>
  <c r="H1449" i="2"/>
  <c r="I1449" i="2" s="1"/>
  <c r="H1450" i="2"/>
  <c r="I1450" i="2" s="1"/>
  <c r="H1451" i="2"/>
  <c r="I1451" i="2" s="1"/>
  <c r="H1452" i="2"/>
  <c r="I1452" i="2" s="1"/>
  <c r="H1453" i="2"/>
  <c r="I1453" i="2" s="1"/>
  <c r="H1454" i="2"/>
  <c r="I1454" i="2" s="1"/>
  <c r="H1455" i="2"/>
  <c r="I1455" i="2" s="1"/>
  <c r="H1456" i="2"/>
  <c r="I1456" i="2" s="1"/>
  <c r="H1457" i="2"/>
  <c r="I1457" i="2" s="1"/>
  <c r="H1458" i="2"/>
  <c r="I1458" i="2" s="1"/>
  <c r="H1459" i="2"/>
  <c r="I1459" i="2" s="1"/>
  <c r="H1460" i="2"/>
  <c r="I1460" i="2" s="1"/>
  <c r="H1461" i="2"/>
  <c r="I1461" i="2" s="1"/>
  <c r="H1462" i="2"/>
  <c r="I1462" i="2" s="1"/>
  <c r="H1463" i="2"/>
  <c r="I1463" i="2" s="1"/>
  <c r="H1464" i="2"/>
  <c r="I1464" i="2" s="1"/>
  <c r="H1465" i="2"/>
  <c r="I1465" i="2" s="1"/>
  <c r="H1466" i="2"/>
  <c r="I1466" i="2" s="1"/>
  <c r="H1467" i="2"/>
  <c r="I1467" i="2" s="1"/>
  <c r="H1468" i="2"/>
  <c r="I1468" i="2" s="1"/>
  <c r="H1469" i="2"/>
  <c r="I1469" i="2" s="1"/>
  <c r="H1470" i="2"/>
  <c r="I1470" i="2" s="1"/>
  <c r="H1471" i="2"/>
  <c r="I1471" i="2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I1479" i="2" s="1"/>
  <c r="H1480" i="2"/>
  <c r="I1480" i="2" s="1"/>
  <c r="H1481" i="2"/>
  <c r="I1481" i="2" s="1"/>
  <c r="H1482" i="2"/>
  <c r="I1482" i="2" s="1"/>
  <c r="H1483" i="2"/>
  <c r="I1483" i="2" s="1"/>
  <c r="H1484" i="2"/>
  <c r="I1484" i="2" s="1"/>
  <c r="H1485" i="2"/>
  <c r="I1485" i="2" s="1"/>
  <c r="H1486" i="2"/>
  <c r="I1486" i="2" s="1"/>
  <c r="H1487" i="2"/>
  <c r="I1487" i="2" s="1"/>
  <c r="H1488" i="2"/>
  <c r="I1488" i="2" s="1"/>
  <c r="H1489" i="2"/>
  <c r="I1489" i="2" s="1"/>
  <c r="H1490" i="2"/>
  <c r="I1490" i="2" s="1"/>
  <c r="H1491" i="2"/>
  <c r="I1491" i="2" s="1"/>
  <c r="H1492" i="2"/>
  <c r="I1492" i="2" s="1"/>
  <c r="H1493" i="2"/>
  <c r="I1493" i="2" s="1"/>
  <c r="H1494" i="2"/>
  <c r="I1494" i="2" s="1"/>
  <c r="H1495" i="2"/>
  <c r="I1495" i="2" s="1"/>
  <c r="H1496" i="2"/>
  <c r="I1496" i="2" s="1"/>
  <c r="H1497" i="2"/>
  <c r="I1497" i="2" s="1"/>
  <c r="H1498" i="2"/>
  <c r="I1498" i="2" s="1"/>
  <c r="H1499" i="2"/>
  <c r="I1499" i="2" s="1"/>
  <c r="H1500" i="2"/>
  <c r="I1500" i="2" s="1"/>
  <c r="H1501" i="2"/>
  <c r="I1501" i="2" s="1"/>
  <c r="H1502" i="2"/>
  <c r="I1502" i="2" s="1"/>
  <c r="H1503" i="2"/>
  <c r="I1503" i="2" s="1"/>
  <c r="H1504" i="2"/>
  <c r="I1504" i="2" s="1"/>
  <c r="H1505" i="2"/>
  <c r="I1505" i="2" s="1"/>
  <c r="H1506" i="2"/>
  <c r="I1506" i="2" s="1"/>
  <c r="H1507" i="2"/>
  <c r="I1507" i="2" s="1"/>
  <c r="H1508" i="2"/>
  <c r="I1508" i="2" s="1"/>
  <c r="H1509" i="2"/>
  <c r="I1509" i="2" s="1"/>
  <c r="H1510" i="2"/>
  <c r="I1510" i="2" s="1"/>
  <c r="H1511" i="2"/>
  <c r="I1511" i="2" s="1"/>
  <c r="H1512" i="2"/>
  <c r="I1512" i="2" s="1"/>
  <c r="H1513" i="2"/>
  <c r="I1513" i="2" s="1"/>
  <c r="H1514" i="2"/>
  <c r="I1514" i="2" s="1"/>
  <c r="H1515" i="2"/>
  <c r="I1515" i="2" s="1"/>
  <c r="H1516" i="2"/>
  <c r="I1516" i="2" s="1"/>
  <c r="H1517" i="2"/>
  <c r="I1517" i="2" s="1"/>
  <c r="H1518" i="2"/>
  <c r="I1518" i="2" s="1"/>
  <c r="H1519" i="2"/>
  <c r="I1519" i="2" s="1"/>
  <c r="H1520" i="2"/>
  <c r="I1520" i="2" s="1"/>
  <c r="H1521" i="2"/>
  <c r="I1521" i="2" s="1"/>
  <c r="H1522" i="2"/>
  <c r="I1522" i="2" s="1"/>
  <c r="H1523" i="2"/>
  <c r="I1523" i="2" s="1"/>
  <c r="H1524" i="2"/>
  <c r="I1524" i="2" s="1"/>
  <c r="H1525" i="2"/>
  <c r="I1525" i="2" s="1"/>
  <c r="H1526" i="2"/>
  <c r="I1526" i="2" s="1"/>
  <c r="H1527" i="2"/>
  <c r="I1527" i="2" s="1"/>
  <c r="H1528" i="2"/>
  <c r="I1528" i="2" s="1"/>
  <c r="H1529" i="2"/>
  <c r="I1529" i="2" s="1"/>
  <c r="H1530" i="2"/>
  <c r="I1530" i="2" s="1"/>
  <c r="H1531" i="2"/>
  <c r="I1531" i="2" s="1"/>
  <c r="H1532" i="2"/>
  <c r="I1532" i="2" s="1"/>
  <c r="H1533" i="2"/>
  <c r="I1533" i="2" s="1"/>
  <c r="H1534" i="2"/>
  <c r="I1534" i="2" s="1"/>
  <c r="H1535" i="2"/>
  <c r="I1535" i="2" s="1"/>
  <c r="H1536" i="2"/>
  <c r="I1536" i="2" s="1"/>
  <c r="H1537" i="2"/>
  <c r="I1537" i="2" s="1"/>
  <c r="H1538" i="2"/>
  <c r="I1538" i="2" s="1"/>
  <c r="H1539" i="2"/>
  <c r="I1539" i="2" s="1"/>
  <c r="H1540" i="2"/>
  <c r="I1540" i="2" s="1"/>
  <c r="H1541" i="2"/>
  <c r="I1541" i="2" s="1"/>
  <c r="H1542" i="2"/>
  <c r="I1542" i="2" s="1"/>
  <c r="H1543" i="2"/>
  <c r="I1543" i="2" s="1"/>
  <c r="H1544" i="2"/>
  <c r="I1544" i="2" s="1"/>
  <c r="H1545" i="2"/>
  <c r="I1545" i="2" s="1"/>
  <c r="H1546" i="2"/>
  <c r="I1546" i="2" s="1"/>
  <c r="H1547" i="2"/>
  <c r="I1547" i="2" s="1"/>
  <c r="H1548" i="2"/>
  <c r="I1548" i="2" s="1"/>
  <c r="H1549" i="2"/>
  <c r="I1549" i="2" s="1"/>
  <c r="H1550" i="2"/>
  <c r="I1550" i="2" s="1"/>
  <c r="H1551" i="2"/>
  <c r="I1551" i="2" s="1"/>
  <c r="H1552" i="2"/>
  <c r="I1552" i="2" s="1"/>
  <c r="H1553" i="2"/>
  <c r="I1553" i="2" s="1"/>
  <c r="H1554" i="2"/>
  <c r="I1554" i="2" s="1"/>
  <c r="H1555" i="2"/>
  <c r="I1555" i="2" s="1"/>
  <c r="H1556" i="2"/>
  <c r="I1556" i="2" s="1"/>
  <c r="H1557" i="2"/>
  <c r="I1557" i="2" s="1"/>
  <c r="H1558" i="2"/>
  <c r="I1558" i="2" s="1"/>
  <c r="H1559" i="2"/>
  <c r="I1559" i="2" s="1"/>
  <c r="H1560" i="2"/>
  <c r="I1560" i="2" s="1"/>
  <c r="H1561" i="2"/>
  <c r="I1561" i="2" s="1"/>
  <c r="H1562" i="2"/>
  <c r="I1562" i="2" s="1"/>
  <c r="H1563" i="2"/>
  <c r="I1563" i="2" s="1"/>
  <c r="H1564" i="2"/>
  <c r="I1564" i="2" s="1"/>
  <c r="H1565" i="2"/>
  <c r="I1565" i="2" s="1"/>
  <c r="H1566" i="2"/>
  <c r="I1566" i="2" s="1"/>
  <c r="H1567" i="2"/>
  <c r="I1567" i="2" s="1"/>
  <c r="H1568" i="2"/>
  <c r="I1568" i="2" s="1"/>
  <c r="H1569" i="2"/>
  <c r="I1569" i="2" s="1"/>
  <c r="H1570" i="2"/>
  <c r="I1570" i="2" s="1"/>
  <c r="H1571" i="2"/>
  <c r="I1571" i="2" s="1"/>
  <c r="H1572" i="2"/>
  <c r="I1572" i="2" s="1"/>
  <c r="H1573" i="2"/>
  <c r="I1573" i="2" s="1"/>
  <c r="H1574" i="2"/>
  <c r="I1574" i="2" s="1"/>
  <c r="H1575" i="2"/>
  <c r="I1575" i="2" s="1"/>
  <c r="H1576" i="2"/>
  <c r="I1576" i="2" s="1"/>
  <c r="H1577" i="2"/>
  <c r="I1577" i="2" s="1"/>
  <c r="H1578" i="2"/>
  <c r="I1578" i="2" s="1"/>
  <c r="H1579" i="2"/>
  <c r="I1579" i="2" s="1"/>
  <c r="H1580" i="2"/>
  <c r="I1580" i="2" s="1"/>
  <c r="H1581" i="2"/>
  <c r="I1581" i="2" s="1"/>
  <c r="H1582" i="2"/>
  <c r="I1582" i="2" s="1"/>
  <c r="H1583" i="2"/>
  <c r="I1583" i="2" s="1"/>
  <c r="H1584" i="2"/>
  <c r="I1584" i="2" s="1"/>
  <c r="H1585" i="2"/>
  <c r="I1585" i="2" s="1"/>
  <c r="H1586" i="2"/>
  <c r="I1586" i="2" s="1"/>
  <c r="H1587" i="2"/>
  <c r="I1587" i="2" s="1"/>
  <c r="H1588" i="2"/>
  <c r="I1588" i="2" s="1"/>
  <c r="H1589" i="2"/>
  <c r="I1589" i="2" s="1"/>
  <c r="H1590" i="2"/>
  <c r="I1590" i="2" s="1"/>
  <c r="H1591" i="2"/>
  <c r="I1591" i="2" s="1"/>
  <c r="H1592" i="2"/>
  <c r="I1592" i="2" s="1"/>
  <c r="H1593" i="2"/>
  <c r="I1593" i="2" s="1"/>
  <c r="H1594" i="2"/>
  <c r="I1594" i="2" s="1"/>
  <c r="H1595" i="2"/>
  <c r="I1595" i="2" s="1"/>
  <c r="H1596" i="2"/>
  <c r="I1596" i="2" s="1"/>
  <c r="H1597" i="2"/>
  <c r="I1597" i="2" s="1"/>
  <c r="H1598" i="2"/>
  <c r="I1598" i="2" s="1"/>
  <c r="H1599" i="2"/>
  <c r="I1599" i="2" s="1"/>
  <c r="H1600" i="2"/>
  <c r="I1600" i="2" s="1"/>
  <c r="H1601" i="2"/>
  <c r="I1601" i="2" s="1"/>
  <c r="H1602" i="2"/>
  <c r="I1602" i="2" s="1"/>
  <c r="H1603" i="2"/>
  <c r="I1603" i="2" s="1"/>
  <c r="H1604" i="2"/>
  <c r="I1604" i="2" s="1"/>
  <c r="H1605" i="2"/>
  <c r="I1605" i="2" s="1"/>
  <c r="H1606" i="2"/>
  <c r="I1606" i="2" s="1"/>
  <c r="H1607" i="2"/>
  <c r="I1607" i="2" s="1"/>
  <c r="H1608" i="2"/>
  <c r="I1608" i="2" s="1"/>
  <c r="H1609" i="2"/>
  <c r="I1609" i="2" s="1"/>
  <c r="H1610" i="2"/>
  <c r="I1610" i="2" s="1"/>
  <c r="H1611" i="2"/>
  <c r="I1611" i="2" s="1"/>
  <c r="H1612" i="2"/>
  <c r="I1612" i="2" s="1"/>
  <c r="H1613" i="2"/>
  <c r="I1613" i="2" s="1"/>
  <c r="H1614" i="2"/>
  <c r="I1614" i="2" s="1"/>
  <c r="H1615" i="2"/>
  <c r="I1615" i="2" s="1"/>
  <c r="H1616" i="2"/>
  <c r="I1616" i="2" s="1"/>
  <c r="H1617" i="2"/>
  <c r="I1617" i="2" s="1"/>
  <c r="H1618" i="2"/>
  <c r="I1618" i="2" s="1"/>
  <c r="H1619" i="2"/>
  <c r="I1619" i="2" s="1"/>
  <c r="H1620" i="2"/>
  <c r="I1620" i="2" s="1"/>
  <c r="H1621" i="2"/>
  <c r="I1621" i="2" s="1"/>
  <c r="H1622" i="2"/>
  <c r="I1622" i="2" s="1"/>
  <c r="H1623" i="2"/>
  <c r="I1623" i="2" s="1"/>
  <c r="H1624" i="2"/>
  <c r="I1624" i="2" s="1"/>
  <c r="H1625" i="2"/>
  <c r="I1625" i="2" s="1"/>
  <c r="H1626" i="2"/>
  <c r="I1626" i="2" s="1"/>
  <c r="H1627" i="2"/>
  <c r="I1627" i="2" s="1"/>
  <c r="H1628" i="2"/>
  <c r="I1628" i="2" s="1"/>
  <c r="H1629" i="2"/>
  <c r="I1629" i="2" s="1"/>
  <c r="H1630" i="2"/>
  <c r="I1630" i="2" s="1"/>
  <c r="H1631" i="2"/>
  <c r="I1631" i="2" s="1"/>
  <c r="H1632" i="2"/>
  <c r="I1632" i="2" s="1"/>
  <c r="H1633" i="2"/>
  <c r="I1633" i="2" s="1"/>
  <c r="H1634" i="2"/>
  <c r="I1634" i="2" s="1"/>
  <c r="H1635" i="2"/>
  <c r="I1635" i="2" s="1"/>
  <c r="H1636" i="2"/>
  <c r="I1636" i="2" s="1"/>
  <c r="H1637" i="2"/>
  <c r="I1637" i="2" s="1"/>
  <c r="H1638" i="2"/>
  <c r="I1638" i="2" s="1"/>
  <c r="H1639" i="2"/>
  <c r="I1639" i="2" s="1"/>
  <c r="H1640" i="2"/>
  <c r="I1640" i="2" s="1"/>
  <c r="H1641" i="2"/>
  <c r="I1641" i="2" s="1"/>
  <c r="H1642" i="2"/>
  <c r="I1642" i="2" s="1"/>
  <c r="H1643" i="2"/>
  <c r="I1643" i="2" s="1"/>
  <c r="H1644" i="2"/>
  <c r="I1644" i="2" s="1"/>
  <c r="H1645" i="2"/>
  <c r="I1645" i="2" s="1"/>
  <c r="H1646" i="2"/>
  <c r="I1646" i="2" s="1"/>
  <c r="H1647" i="2"/>
  <c r="I1647" i="2" s="1"/>
  <c r="H1648" i="2"/>
  <c r="I1648" i="2" s="1"/>
  <c r="H1649" i="2"/>
  <c r="I1649" i="2" s="1"/>
  <c r="H1650" i="2"/>
  <c r="I1650" i="2" s="1"/>
  <c r="H1651" i="2"/>
  <c r="I1651" i="2" s="1"/>
  <c r="H1652" i="2"/>
  <c r="I1652" i="2" s="1"/>
  <c r="H1653" i="2"/>
  <c r="I1653" i="2" s="1"/>
  <c r="H1654" i="2"/>
  <c r="I1654" i="2" s="1"/>
  <c r="H1655" i="2"/>
  <c r="I1655" i="2" s="1"/>
  <c r="H1656" i="2"/>
  <c r="I1656" i="2" s="1"/>
  <c r="H1657" i="2"/>
  <c r="I1657" i="2" s="1"/>
  <c r="H1658" i="2"/>
  <c r="I1658" i="2" s="1"/>
  <c r="H1659" i="2"/>
  <c r="I1659" i="2" s="1"/>
  <c r="H1660" i="2"/>
  <c r="I1660" i="2" s="1"/>
  <c r="H1661" i="2"/>
  <c r="I1661" i="2" s="1"/>
  <c r="H1662" i="2"/>
  <c r="I1662" i="2" s="1"/>
  <c r="H1663" i="2"/>
  <c r="I1663" i="2" s="1"/>
  <c r="H1664" i="2"/>
  <c r="I1664" i="2" s="1"/>
  <c r="H1665" i="2"/>
  <c r="I1665" i="2" s="1"/>
  <c r="H1666" i="2"/>
  <c r="I1666" i="2" s="1"/>
  <c r="H1667" i="2"/>
  <c r="I1667" i="2" s="1"/>
  <c r="H1668" i="2"/>
  <c r="I1668" i="2" s="1"/>
  <c r="H1669" i="2"/>
  <c r="I1669" i="2" s="1"/>
  <c r="H1670" i="2"/>
  <c r="I1670" i="2" s="1"/>
  <c r="H1671" i="2"/>
  <c r="I1671" i="2" s="1"/>
  <c r="H1672" i="2"/>
  <c r="I1672" i="2" s="1"/>
  <c r="H1673" i="2"/>
  <c r="I1673" i="2" s="1"/>
  <c r="H1674" i="2"/>
  <c r="I1674" i="2" s="1"/>
  <c r="H1675" i="2"/>
  <c r="I1675" i="2" s="1"/>
  <c r="H1676" i="2"/>
  <c r="I1676" i="2" s="1"/>
  <c r="H1677" i="2"/>
  <c r="I1677" i="2" s="1"/>
  <c r="H1678" i="2"/>
  <c r="I1678" i="2" s="1"/>
  <c r="H1679" i="2"/>
  <c r="I1679" i="2" s="1"/>
  <c r="H1680" i="2"/>
  <c r="I1680" i="2" s="1"/>
  <c r="H1681" i="2"/>
  <c r="I1681" i="2" s="1"/>
  <c r="H1682" i="2"/>
  <c r="I1682" i="2" s="1"/>
  <c r="H1683" i="2"/>
  <c r="I1683" i="2" s="1"/>
  <c r="H1684" i="2"/>
  <c r="I1684" i="2" s="1"/>
  <c r="H1685" i="2"/>
  <c r="I1685" i="2" s="1"/>
  <c r="H1686" i="2"/>
  <c r="I1686" i="2" s="1"/>
  <c r="H1687" i="2"/>
  <c r="I1687" i="2" s="1"/>
  <c r="H1688" i="2"/>
  <c r="I1688" i="2" s="1"/>
  <c r="H1689" i="2"/>
  <c r="I1689" i="2" s="1"/>
  <c r="H1690" i="2"/>
  <c r="I1690" i="2" s="1"/>
  <c r="H1691" i="2"/>
  <c r="I1691" i="2" s="1"/>
  <c r="H1692" i="2"/>
  <c r="I1692" i="2" s="1"/>
  <c r="H1693" i="2"/>
  <c r="I1693" i="2" s="1"/>
  <c r="H1694" i="2"/>
  <c r="I1694" i="2" s="1"/>
  <c r="H1695" i="2"/>
  <c r="I1695" i="2" s="1"/>
  <c r="H1696" i="2"/>
  <c r="I1696" i="2" s="1"/>
  <c r="H1697" i="2"/>
  <c r="I1697" i="2" s="1"/>
  <c r="H1698" i="2"/>
  <c r="I1698" i="2" s="1"/>
  <c r="H1699" i="2"/>
  <c r="I1699" i="2" s="1"/>
  <c r="H1700" i="2"/>
  <c r="I1700" i="2" s="1"/>
  <c r="H1701" i="2"/>
  <c r="I1701" i="2" s="1"/>
  <c r="H1702" i="2"/>
  <c r="I1702" i="2" s="1"/>
  <c r="H1703" i="2"/>
  <c r="I1703" i="2" s="1"/>
  <c r="H1704" i="2"/>
  <c r="I1704" i="2" s="1"/>
  <c r="H1705" i="2"/>
  <c r="I1705" i="2" s="1"/>
  <c r="H1706" i="2"/>
  <c r="I1706" i="2" s="1"/>
  <c r="H1707" i="2"/>
  <c r="I1707" i="2" s="1"/>
  <c r="H1708" i="2"/>
  <c r="I1708" i="2" s="1"/>
  <c r="H1709" i="2"/>
  <c r="I1709" i="2" s="1"/>
  <c r="H1710" i="2"/>
  <c r="I1710" i="2" s="1"/>
  <c r="H1711" i="2"/>
  <c r="I1711" i="2" s="1"/>
  <c r="H1712" i="2"/>
  <c r="I1712" i="2" s="1"/>
  <c r="H1713" i="2"/>
  <c r="I1713" i="2" s="1"/>
  <c r="H1714" i="2"/>
  <c r="I1714" i="2" s="1"/>
  <c r="H1715" i="2"/>
  <c r="I1715" i="2" s="1"/>
  <c r="H1716" i="2"/>
  <c r="I1716" i="2" s="1"/>
  <c r="H1717" i="2"/>
  <c r="I1717" i="2" s="1"/>
  <c r="H1718" i="2"/>
  <c r="I1718" i="2" s="1"/>
  <c r="H1719" i="2"/>
  <c r="I1719" i="2" s="1"/>
  <c r="H1720" i="2"/>
  <c r="I1720" i="2" s="1"/>
  <c r="H1721" i="2"/>
  <c r="I1721" i="2" s="1"/>
  <c r="H1722" i="2"/>
  <c r="I1722" i="2" s="1"/>
  <c r="H1723" i="2"/>
  <c r="I1723" i="2" s="1"/>
  <c r="H1724" i="2"/>
  <c r="I1724" i="2" s="1"/>
  <c r="H1725" i="2"/>
  <c r="I1725" i="2" s="1"/>
  <c r="H1726" i="2"/>
  <c r="I1726" i="2" s="1"/>
  <c r="H1727" i="2"/>
  <c r="I1727" i="2" s="1"/>
  <c r="H1728" i="2"/>
  <c r="I1728" i="2" s="1"/>
  <c r="H1729" i="2"/>
  <c r="I1729" i="2" s="1"/>
  <c r="H1730" i="2"/>
  <c r="I1730" i="2" s="1"/>
  <c r="H1731" i="2"/>
  <c r="I1731" i="2" s="1"/>
  <c r="H1732" i="2"/>
  <c r="I1732" i="2" s="1"/>
  <c r="H1733" i="2"/>
  <c r="I1733" i="2" s="1"/>
  <c r="H1734" i="2"/>
  <c r="I1734" i="2" s="1"/>
  <c r="H1735" i="2"/>
  <c r="I1735" i="2" s="1"/>
  <c r="H1736" i="2"/>
  <c r="I1736" i="2" s="1"/>
  <c r="H1737" i="2"/>
  <c r="I1737" i="2" s="1"/>
  <c r="H1738" i="2"/>
  <c r="I1738" i="2" s="1"/>
  <c r="H1739" i="2"/>
  <c r="I1739" i="2" s="1"/>
  <c r="H1740" i="2"/>
  <c r="I1740" i="2" s="1"/>
  <c r="H1741" i="2"/>
  <c r="I1741" i="2" s="1"/>
  <c r="H1742" i="2"/>
  <c r="I1742" i="2" s="1"/>
  <c r="I233" i="2"/>
  <c r="I234" i="2"/>
  <c r="I235" i="2"/>
  <c r="I236" i="2"/>
  <c r="I237" i="2"/>
  <c r="I238" i="2"/>
  <c r="I239" i="2"/>
  <c r="I240" i="2"/>
  <c r="I241" i="2"/>
  <c r="L241" i="2" s="1"/>
  <c r="I242" i="2"/>
  <c r="L242" i="2" s="1"/>
  <c r="I243" i="2"/>
  <c r="L243" i="2" s="1"/>
  <c r="I244" i="2"/>
  <c r="L244" i="2" s="1"/>
  <c r="I245" i="2"/>
  <c r="I246" i="2"/>
  <c r="L246" i="2" s="1"/>
  <c r="I247" i="2"/>
  <c r="L247" i="2" s="1"/>
  <c r="I248" i="2"/>
  <c r="L233" i="2"/>
  <c r="L234" i="2"/>
  <c r="L235" i="2"/>
  <c r="L236" i="2"/>
  <c r="L237" i="2"/>
  <c r="L238" i="2"/>
  <c r="L239" i="2"/>
  <c r="L240" i="2"/>
  <c r="L245" i="2"/>
  <c r="L248" i="2"/>
  <c r="I249" i="2"/>
  <c r="L249" i="2" s="1"/>
  <c r="I250" i="2"/>
  <c r="L250" i="2" s="1"/>
  <c r="I251" i="2"/>
  <c r="L251" i="2" s="1"/>
  <c r="I252" i="2"/>
  <c r="L252" i="2" s="1"/>
  <c r="I253" i="2"/>
  <c r="L253" i="2" s="1"/>
  <c r="I254" i="2"/>
  <c r="I255" i="2"/>
  <c r="L255" i="2" s="1"/>
  <c r="I256" i="2"/>
  <c r="L256" i="2" s="1"/>
  <c r="I257" i="2"/>
  <c r="L257" i="2" s="1"/>
  <c r="I258" i="2"/>
  <c r="L258" i="2" s="1"/>
  <c r="I259" i="2"/>
  <c r="L259" i="2" s="1"/>
  <c r="I260" i="2"/>
  <c r="L260" i="2" s="1"/>
  <c r="I261" i="2"/>
  <c r="L261" i="2" s="1"/>
  <c r="I262" i="2"/>
  <c r="L262" i="2" s="1"/>
  <c r="I263" i="2"/>
  <c r="L263" i="2" s="1"/>
  <c r="I264" i="2"/>
  <c r="L264" i="2" s="1"/>
  <c r="L254" i="2"/>
  <c r="I265" i="2"/>
  <c r="I266" i="2"/>
  <c r="L266" i="2" s="1"/>
  <c r="I267" i="2"/>
  <c r="L267" i="2" s="1"/>
  <c r="I268" i="2"/>
  <c r="L268" i="2" s="1"/>
  <c r="I269" i="2"/>
  <c r="L269" i="2" s="1"/>
  <c r="I270" i="2"/>
  <c r="L270" i="2" s="1"/>
  <c r="I271" i="2"/>
  <c r="L271" i="2" s="1"/>
  <c r="I272" i="2"/>
  <c r="L272" i="2" s="1"/>
  <c r="I273" i="2"/>
  <c r="L273" i="2" s="1"/>
  <c r="I274" i="2"/>
  <c r="L274" i="2" s="1"/>
  <c r="I275" i="2"/>
  <c r="L275" i="2" s="1"/>
  <c r="I276" i="2"/>
  <c r="L276" i="2" s="1"/>
  <c r="I277" i="2"/>
  <c r="L277" i="2" s="1"/>
  <c r="I278" i="2"/>
  <c r="L278" i="2" s="1"/>
  <c r="I279" i="2"/>
  <c r="L279" i="2" s="1"/>
  <c r="I280" i="2"/>
  <c r="L280" i="2" s="1"/>
  <c r="L265" i="2"/>
  <c r="I213" i="2"/>
  <c r="L213" i="2" s="1"/>
  <c r="I214" i="2"/>
  <c r="L214" i="2" s="1"/>
  <c r="I215" i="2"/>
  <c r="L215" i="2" s="1"/>
  <c r="I216" i="2"/>
  <c r="L216" i="2" s="1"/>
  <c r="I217" i="2"/>
  <c r="L217" i="2" s="1"/>
  <c r="I218" i="2"/>
  <c r="L218" i="2" s="1"/>
  <c r="I219" i="2"/>
  <c r="L219" i="2" s="1"/>
  <c r="I220" i="2"/>
  <c r="L220" i="2" s="1"/>
  <c r="I221" i="2"/>
  <c r="L221" i="2" s="1"/>
  <c r="I222" i="2"/>
  <c r="L222" i="2" s="1"/>
  <c r="I223" i="2"/>
  <c r="L223" i="2" s="1"/>
  <c r="I224" i="2"/>
  <c r="L224" i="2" s="1"/>
  <c r="I225" i="2"/>
  <c r="L225" i="2" s="1"/>
  <c r="I226" i="2"/>
  <c r="L226" i="2" s="1"/>
  <c r="I227" i="2"/>
  <c r="L227" i="2" s="1"/>
  <c r="I228" i="2"/>
  <c r="L228" i="2" s="1"/>
  <c r="I229" i="2"/>
  <c r="L229" i="2" s="1"/>
  <c r="I230" i="2"/>
  <c r="L230" i="2" s="1"/>
  <c r="I200" i="2"/>
  <c r="L200" i="2" s="1"/>
  <c r="I201" i="2"/>
  <c r="L201" i="2" s="1"/>
  <c r="I202" i="2"/>
  <c r="L202" i="2" s="1"/>
  <c r="I203" i="2"/>
  <c r="L203" i="2" s="1"/>
  <c r="I204" i="2"/>
  <c r="L204" i="2" s="1"/>
  <c r="I205" i="2"/>
  <c r="L205" i="2" s="1"/>
  <c r="I206" i="2"/>
  <c r="L206" i="2" s="1"/>
  <c r="I207" i="2"/>
  <c r="L207" i="2" s="1"/>
  <c r="I208" i="2"/>
  <c r="L208" i="2" s="1"/>
  <c r="I209" i="2"/>
  <c r="L209" i="2" s="1"/>
  <c r="I210" i="2"/>
  <c r="L210" i="2" s="1"/>
  <c r="I211" i="2"/>
  <c r="L211" i="2" s="1"/>
  <c r="I212" i="2"/>
  <c r="L212" i="2" s="1"/>
  <c r="I231" i="2"/>
  <c r="L231" i="2" s="1"/>
  <c r="I178" i="2"/>
  <c r="L178" i="2" s="1"/>
  <c r="I179" i="2"/>
  <c r="L179" i="2" s="1"/>
  <c r="I180" i="2"/>
  <c r="L180" i="2" s="1"/>
  <c r="I181" i="2"/>
  <c r="L181" i="2" s="1"/>
  <c r="I182" i="2"/>
  <c r="L182" i="2" s="1"/>
  <c r="I183" i="2"/>
  <c r="L183" i="2" s="1"/>
  <c r="I184" i="2"/>
  <c r="L184" i="2" s="1"/>
  <c r="I185" i="2"/>
  <c r="L185" i="2" s="1"/>
  <c r="I186" i="2"/>
  <c r="L186" i="2" s="1"/>
  <c r="I187" i="2"/>
  <c r="L187" i="2" s="1"/>
  <c r="I188" i="2"/>
  <c r="L188" i="2" s="1"/>
  <c r="I189" i="2"/>
  <c r="L189" i="2" s="1"/>
  <c r="I190" i="2"/>
  <c r="L190" i="2" s="1"/>
  <c r="I191" i="2"/>
  <c r="L191" i="2" s="1"/>
  <c r="I192" i="2"/>
  <c r="L192" i="2" s="1"/>
  <c r="I193" i="2"/>
  <c r="L193" i="2" s="1"/>
  <c r="I194" i="2"/>
  <c r="L194" i="2" s="1"/>
  <c r="I195" i="2"/>
  <c r="L195" i="2" s="1"/>
  <c r="I196" i="2"/>
  <c r="L196" i="2" s="1"/>
  <c r="I197" i="2"/>
  <c r="L197" i="2" s="1"/>
  <c r="I198" i="2"/>
  <c r="L198" i="2" s="1"/>
  <c r="I199" i="2"/>
  <c r="L199" i="2" s="1"/>
  <c r="I232" i="2"/>
  <c r="L232" i="2" s="1"/>
  <c r="I281" i="2"/>
  <c r="L281" i="2" s="1"/>
  <c r="I282" i="2"/>
  <c r="L282" i="2" s="1"/>
  <c r="I283" i="2"/>
  <c r="L283" i="2" s="1"/>
  <c r="I284" i="2"/>
  <c r="L284" i="2" s="1"/>
  <c r="I285" i="2"/>
  <c r="L285" i="2" s="1"/>
  <c r="I286" i="2"/>
  <c r="L286" i="2" s="1"/>
  <c r="I287" i="2"/>
  <c r="L287" i="2" s="1"/>
  <c r="H138" i="2"/>
  <c r="H140" i="2"/>
  <c r="H141" i="2"/>
  <c r="H142" i="2"/>
  <c r="H143" i="2"/>
  <c r="H144" i="2"/>
  <c r="I9" i="2" l="1"/>
  <c r="I10" i="2"/>
  <c r="I11" i="2"/>
  <c r="I12" i="2"/>
  <c r="I14" i="2"/>
  <c r="I15" i="2"/>
  <c r="I16" i="2"/>
  <c r="I17" i="2"/>
  <c r="I18" i="2"/>
  <c r="I94" i="2"/>
  <c r="I100" i="2"/>
  <c r="I19" i="2"/>
  <c r="I20" i="2"/>
  <c r="I22" i="2"/>
  <c r="I23" i="2"/>
  <c r="I25" i="2"/>
  <c r="I26" i="2"/>
  <c r="I105" i="2"/>
  <c r="I114" i="2"/>
  <c r="I27" i="2"/>
  <c r="I28" i="2"/>
  <c r="I122" i="2"/>
  <c r="I123" i="2"/>
  <c r="I124" i="2"/>
  <c r="I125" i="2"/>
  <c r="I101" i="2"/>
  <c r="I115" i="2"/>
  <c r="I30" i="2"/>
  <c r="I31" i="2"/>
  <c r="I32" i="2"/>
  <c r="I33" i="2"/>
  <c r="I34" i="2"/>
  <c r="I35" i="2"/>
  <c r="I36" i="2"/>
  <c r="I37" i="2"/>
  <c r="I38" i="2"/>
  <c r="I39" i="2"/>
  <c r="I40" i="2"/>
  <c r="I116" i="2"/>
  <c r="I41" i="2"/>
  <c r="I42" i="2"/>
  <c r="I43" i="2"/>
  <c r="I44" i="2"/>
  <c r="I102" i="2"/>
  <c r="I103" i="2"/>
  <c r="I106" i="2"/>
  <c r="I45" i="2"/>
  <c r="I82" i="2"/>
  <c r="I127" i="2"/>
  <c r="I128" i="2"/>
  <c r="I129" i="2"/>
  <c r="I46" i="2"/>
  <c r="I47" i="2"/>
  <c r="I118" i="2"/>
  <c r="I48" i="2"/>
  <c r="I49" i="2"/>
  <c r="I51" i="2"/>
  <c r="I52" i="2"/>
  <c r="I53" i="2"/>
  <c r="I54" i="2"/>
  <c r="I130" i="2"/>
  <c r="I104" i="2"/>
  <c r="I57" i="2"/>
  <c r="I60" i="2"/>
  <c r="I61" i="2"/>
  <c r="I62" i="2"/>
  <c r="I63" i="2"/>
  <c r="I64" i="2"/>
  <c r="I66" i="2"/>
  <c r="I67" i="2"/>
  <c r="I68" i="2"/>
  <c r="I109" i="2"/>
  <c r="I69" i="2"/>
  <c r="I71" i="2"/>
  <c r="I72" i="2"/>
  <c r="I77" i="2"/>
  <c r="I119" i="2"/>
  <c r="I78" i="2"/>
  <c r="I73" i="2"/>
  <c r="I74" i="2"/>
  <c r="I76" i="2"/>
  <c r="I50" i="2"/>
  <c r="I55" i="2"/>
  <c r="I111" i="2"/>
  <c r="I117" i="2"/>
  <c r="I80" i="2"/>
  <c r="I93" i="2"/>
  <c r="I89" i="2"/>
  <c r="I92" i="2"/>
  <c r="I113" i="2"/>
  <c r="I59" i="2"/>
  <c r="I58" i="2"/>
  <c r="I83" i="2"/>
  <c r="I107" i="2"/>
  <c r="I108" i="2"/>
  <c r="I13" i="2"/>
  <c r="I112" i="2"/>
  <c r="I84" i="2"/>
  <c r="I88" i="2"/>
  <c r="I87" i="2"/>
  <c r="I86" i="2"/>
  <c r="I81" i="2"/>
  <c r="I95" i="2"/>
  <c r="I85" i="2"/>
  <c r="I90" i="2"/>
  <c r="I91" i="2"/>
  <c r="H202" i="10" l="1"/>
  <c r="K202" i="10"/>
  <c r="P49" i="10" l="1"/>
  <c r="P114" i="10"/>
  <c r="P115" i="10"/>
  <c r="P106" i="10"/>
  <c r="P53" i="10"/>
  <c r="P35" i="10"/>
  <c r="P68" i="10"/>
  <c r="P95" i="10"/>
  <c r="P99" i="10"/>
  <c r="P100" i="10"/>
  <c r="P139" i="10"/>
  <c r="P140" i="10"/>
  <c r="P33" i="10"/>
  <c r="P34" i="10"/>
  <c r="P143" i="10"/>
  <c r="P127" i="10" l="1"/>
  <c r="P92" i="10"/>
  <c r="P29" i="10"/>
  <c r="P138" i="10"/>
  <c r="P135" i="10"/>
  <c r="P131" i="10"/>
  <c r="P124" i="10"/>
  <c r="P121" i="10"/>
  <c r="P120" i="10"/>
  <c r="P117" i="10"/>
  <c r="P116" i="10"/>
  <c r="P111" i="10"/>
  <c r="P110" i="10"/>
  <c r="P107" i="10"/>
  <c r="P105" i="10"/>
  <c r="P98" i="10"/>
  <c r="P97" i="10"/>
  <c r="P91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1" i="10"/>
  <c r="P50" i="10"/>
  <c r="P48" i="10"/>
  <c r="P47" i="10"/>
  <c r="P46" i="10"/>
  <c r="P45" i="10"/>
  <c r="P43" i="10"/>
  <c r="P42" i="10"/>
  <c r="P41" i="10"/>
  <c r="P40" i="10"/>
  <c r="P39" i="10"/>
  <c r="P38" i="10"/>
  <c r="P37" i="10"/>
  <c r="P36" i="10"/>
  <c r="P32" i="10"/>
  <c r="P31" i="10"/>
  <c r="P30" i="10"/>
  <c r="P28" i="10"/>
  <c r="P27" i="10"/>
  <c r="P26" i="10"/>
  <c r="P25" i="10"/>
  <c r="P24" i="10"/>
  <c r="P23" i="10"/>
  <c r="P22" i="10"/>
  <c r="P21" i="10"/>
  <c r="P20" i="10"/>
  <c r="P19" i="10"/>
  <c r="P52" i="10" l="1"/>
  <c r="P88" i="10"/>
  <c r="P90" i="10"/>
  <c r="P93" i="10"/>
  <c r="P94" i="10"/>
  <c r="P101" i="10"/>
  <c r="P102" i="10"/>
  <c r="P108" i="10"/>
  <c r="P109" i="10"/>
  <c r="P112" i="10"/>
  <c r="P113" i="10"/>
  <c r="P118" i="10"/>
  <c r="P119" i="10"/>
  <c r="P122" i="10"/>
  <c r="P123" i="10"/>
  <c r="P129" i="10"/>
  <c r="P130" i="10"/>
  <c r="P136" i="10"/>
  <c r="P137" i="10"/>
  <c r="P87" i="2"/>
  <c r="P29" i="2"/>
  <c r="P91" i="2"/>
  <c r="P90" i="2"/>
  <c r="P85" i="2"/>
  <c r="P95" i="2"/>
  <c r="P81" i="2"/>
  <c r="P86" i="2"/>
  <c r="P88" i="2"/>
  <c r="P84" i="2"/>
  <c r="P112" i="2"/>
  <c r="P13" i="2"/>
  <c r="P108" i="2"/>
  <c r="P107" i="2"/>
  <c r="P83" i="2"/>
  <c r="P58" i="2"/>
  <c r="P59" i="2"/>
  <c r="P113" i="2"/>
  <c r="P92" i="2"/>
  <c r="P89" i="2"/>
  <c r="P93" i="2"/>
  <c r="P80" i="2"/>
  <c r="P117" i="2"/>
  <c r="P111" i="2"/>
  <c r="P55" i="2"/>
  <c r="P50" i="2"/>
  <c r="P76" i="2"/>
  <c r="P75" i="2"/>
  <c r="P74" i="2"/>
  <c r="P73" i="2"/>
  <c r="P78" i="2"/>
  <c r="P119" i="2"/>
  <c r="P77" i="2"/>
  <c r="P72" i="2"/>
  <c r="P71" i="2"/>
  <c r="P70" i="2"/>
  <c r="P110" i="2"/>
  <c r="P69" i="2"/>
  <c r="P109" i="2"/>
  <c r="P99" i="2"/>
  <c r="P68" i="2"/>
  <c r="P67" i="2"/>
  <c r="P98" i="2"/>
  <c r="P66" i="2"/>
  <c r="P65" i="2"/>
  <c r="P64" i="2"/>
  <c r="P63" i="2"/>
  <c r="P62" i="2"/>
  <c r="P61" i="2"/>
  <c r="P60" i="2"/>
  <c r="P57" i="2"/>
  <c r="P56" i="2"/>
  <c r="P104" i="2"/>
  <c r="P130" i="2"/>
  <c r="P54" i="2"/>
  <c r="P53" i="2"/>
  <c r="P52" i="2"/>
  <c r="P51" i="2"/>
  <c r="P49" i="2"/>
  <c r="P48" i="2"/>
  <c r="P118" i="2"/>
  <c r="P47" i="2"/>
  <c r="P46" i="2"/>
  <c r="P129" i="2"/>
  <c r="P128" i="2"/>
  <c r="P127" i="2"/>
  <c r="P82" i="2"/>
  <c r="P45" i="2"/>
  <c r="P106" i="2"/>
  <c r="P103" i="2"/>
  <c r="P102" i="2"/>
  <c r="P44" i="2"/>
  <c r="P43" i="2"/>
  <c r="P42" i="2"/>
  <c r="P41" i="2"/>
  <c r="P116" i="2"/>
  <c r="P40" i="2"/>
  <c r="P39" i="2"/>
  <c r="P38" i="2"/>
  <c r="P37" i="2"/>
  <c r="P36" i="2"/>
  <c r="P35" i="2"/>
  <c r="P34" i="2"/>
  <c r="P33" i="2"/>
  <c r="P32" i="2"/>
  <c r="P31" i="2"/>
  <c r="P30" i="2"/>
  <c r="P115" i="2"/>
  <c r="P101" i="2"/>
  <c r="P126" i="2"/>
  <c r="P125" i="2"/>
  <c r="P124" i="2"/>
  <c r="P123" i="2"/>
  <c r="P122" i="2"/>
  <c r="P28" i="2"/>
  <c r="P27" i="2"/>
  <c r="P121" i="2"/>
  <c r="P114" i="2"/>
  <c r="P97" i="2"/>
  <c r="P105" i="2"/>
  <c r="P96" i="2"/>
  <c r="P26" i="2"/>
  <c r="P25" i="2"/>
  <c r="P24" i="2"/>
  <c r="P23" i="2"/>
  <c r="P22" i="2"/>
  <c r="P21" i="2"/>
  <c r="P20" i="2"/>
  <c r="P19" i="2"/>
  <c r="P100" i="2"/>
  <c r="P94" i="2"/>
  <c r="P18" i="2"/>
  <c r="P17" i="2"/>
  <c r="P16" i="2"/>
  <c r="H398" i="21"/>
  <c r="I398" i="21" s="1"/>
  <c r="H399" i="21"/>
  <c r="I399" i="21" s="1"/>
  <c r="H400" i="21"/>
  <c r="I400" i="21" s="1"/>
  <c r="H401" i="21"/>
  <c r="I401" i="21" s="1"/>
  <c r="H402" i="21"/>
  <c r="I402" i="21" s="1"/>
  <c r="H403" i="21"/>
  <c r="I403" i="21" s="1"/>
  <c r="H404" i="21"/>
  <c r="I404" i="21" s="1"/>
  <c r="H405" i="21"/>
  <c r="I405" i="21" s="1"/>
  <c r="H406" i="21"/>
  <c r="I406" i="21" s="1"/>
  <c r="H407" i="21"/>
  <c r="I407" i="21" s="1"/>
  <c r="H408" i="21"/>
  <c r="I408" i="21" s="1"/>
  <c r="H409" i="21"/>
  <c r="I409" i="21" s="1"/>
  <c r="H410" i="21"/>
  <c r="I410" i="21" s="1"/>
  <c r="H411" i="21"/>
  <c r="I411" i="21" s="1"/>
  <c r="H412" i="21"/>
  <c r="I412" i="21" s="1"/>
  <c r="H413" i="21"/>
  <c r="I413" i="21" s="1"/>
  <c r="H414" i="21"/>
  <c r="I414" i="21" s="1"/>
  <c r="H415" i="21"/>
  <c r="I415" i="21" s="1"/>
  <c r="H416" i="21"/>
  <c r="I416" i="21" s="1"/>
  <c r="H417" i="21"/>
  <c r="I417" i="21" s="1"/>
  <c r="H418" i="21"/>
  <c r="I418" i="21" s="1"/>
  <c r="H419" i="21"/>
  <c r="I419" i="21" s="1"/>
  <c r="H420" i="21"/>
  <c r="I420" i="21" s="1"/>
  <c r="H421" i="21"/>
  <c r="I421" i="21" s="1"/>
  <c r="H422" i="21"/>
  <c r="I422" i="21" s="1"/>
  <c r="H423" i="21"/>
  <c r="I423" i="21" s="1"/>
  <c r="H424" i="21"/>
  <c r="I424" i="21" s="1"/>
  <c r="H425" i="21"/>
  <c r="I425" i="21" s="1"/>
  <c r="H426" i="21"/>
  <c r="I426" i="21" s="1"/>
  <c r="H427" i="21"/>
  <c r="I427" i="21" s="1"/>
  <c r="H428" i="21"/>
  <c r="I428" i="21" s="1"/>
  <c r="H429" i="21"/>
  <c r="I429" i="21" s="1"/>
  <c r="H430" i="21"/>
  <c r="I430" i="21" s="1"/>
  <c r="H431" i="21"/>
  <c r="I431" i="21" s="1"/>
  <c r="H432" i="21"/>
  <c r="I432" i="21" s="1"/>
  <c r="H433" i="21"/>
  <c r="I433" i="21" s="1"/>
  <c r="H434" i="21"/>
  <c r="I434" i="21" s="1"/>
  <c r="H435" i="21"/>
  <c r="I435" i="21" s="1"/>
  <c r="H436" i="21"/>
  <c r="I436" i="21" s="1"/>
  <c r="H437" i="21"/>
  <c r="I437" i="21" s="1"/>
  <c r="H438" i="21"/>
  <c r="I438" i="21" s="1"/>
  <c r="H439" i="21"/>
  <c r="I439" i="21" s="1"/>
  <c r="H440" i="21"/>
  <c r="I440" i="21" s="1"/>
  <c r="H441" i="21"/>
  <c r="I441" i="21" s="1"/>
  <c r="H442" i="21"/>
  <c r="I442" i="21" s="1"/>
  <c r="H443" i="21"/>
  <c r="I443" i="21" s="1"/>
  <c r="H444" i="21"/>
  <c r="I444" i="21" s="1"/>
  <c r="H445" i="21"/>
  <c r="I445" i="21" s="1"/>
  <c r="H446" i="21"/>
  <c r="I446" i="21" s="1"/>
  <c r="H447" i="21"/>
  <c r="I447" i="21" s="1"/>
  <c r="H448" i="21"/>
  <c r="I448" i="21" s="1"/>
  <c r="H449" i="21"/>
  <c r="I449" i="21" s="1"/>
  <c r="H450" i="21"/>
  <c r="I450" i="21" s="1"/>
  <c r="H451" i="21"/>
  <c r="I451" i="21" s="1"/>
  <c r="H452" i="21"/>
  <c r="I452" i="21" s="1"/>
  <c r="H453" i="21"/>
  <c r="I453" i="21" s="1"/>
  <c r="H454" i="21"/>
  <c r="I454" i="21" s="1"/>
  <c r="H455" i="21"/>
  <c r="I455" i="21" s="1"/>
  <c r="H456" i="21"/>
  <c r="I456" i="21" s="1"/>
  <c r="H457" i="21"/>
  <c r="I457" i="21" s="1"/>
  <c r="H458" i="21"/>
  <c r="I458" i="21" s="1"/>
  <c r="H459" i="21"/>
  <c r="I459" i="21" s="1"/>
  <c r="H460" i="21"/>
  <c r="I460" i="21" s="1"/>
  <c r="H461" i="21"/>
  <c r="I461" i="21" s="1"/>
  <c r="H462" i="21"/>
  <c r="I462" i="21" s="1"/>
  <c r="H463" i="21"/>
  <c r="I463" i="21" s="1"/>
  <c r="H464" i="21"/>
  <c r="I464" i="21" s="1"/>
  <c r="H465" i="21"/>
  <c r="I465" i="21" s="1"/>
  <c r="H466" i="21"/>
  <c r="I466" i="21" s="1"/>
  <c r="H467" i="21"/>
  <c r="I467" i="21" s="1"/>
  <c r="H468" i="21"/>
  <c r="I468" i="21" s="1"/>
  <c r="H469" i="21"/>
  <c r="I469" i="21" s="1"/>
  <c r="H470" i="21"/>
  <c r="I470" i="21" s="1"/>
  <c r="H471" i="21"/>
  <c r="I471" i="21" s="1"/>
  <c r="H472" i="21"/>
  <c r="I472" i="21" s="1"/>
  <c r="H473" i="21"/>
  <c r="I473" i="21" s="1"/>
  <c r="H474" i="21"/>
  <c r="I474" i="21" s="1"/>
  <c r="H475" i="21"/>
  <c r="I475" i="21" s="1"/>
  <c r="H476" i="21"/>
  <c r="I476" i="21" s="1"/>
  <c r="H477" i="21"/>
  <c r="I477" i="21" s="1"/>
  <c r="H478" i="21"/>
  <c r="I478" i="21" s="1"/>
  <c r="H479" i="21"/>
  <c r="I479" i="21" s="1"/>
  <c r="H480" i="21"/>
  <c r="I480" i="21" s="1"/>
  <c r="H481" i="21"/>
  <c r="I481" i="21" s="1"/>
  <c r="H482" i="21"/>
  <c r="I482" i="21" s="1"/>
  <c r="H483" i="21"/>
  <c r="I483" i="21" s="1"/>
  <c r="H484" i="21"/>
  <c r="I484" i="21" s="1"/>
  <c r="H485" i="21"/>
  <c r="I485" i="21" s="1"/>
  <c r="H486" i="21"/>
  <c r="I486" i="21" s="1"/>
  <c r="H487" i="21"/>
  <c r="I487" i="21" s="1"/>
  <c r="H488" i="21"/>
  <c r="I488" i="21" s="1"/>
  <c r="H489" i="21"/>
  <c r="I489" i="21" s="1"/>
  <c r="H490" i="21"/>
  <c r="I490" i="21" s="1"/>
  <c r="H491" i="21"/>
  <c r="I491" i="21" s="1"/>
  <c r="H492" i="21"/>
  <c r="I492" i="21" s="1"/>
  <c r="H493" i="21"/>
  <c r="I493" i="21" s="1"/>
  <c r="H494" i="21"/>
  <c r="I494" i="21" s="1"/>
  <c r="H495" i="21"/>
  <c r="I495" i="21" s="1"/>
  <c r="H496" i="21"/>
  <c r="I496" i="21" s="1"/>
  <c r="H497" i="21"/>
  <c r="I497" i="21" s="1"/>
  <c r="H498" i="21"/>
  <c r="I498" i="21" s="1"/>
  <c r="H499" i="21"/>
  <c r="I499" i="21" s="1"/>
  <c r="H500" i="21"/>
  <c r="I500" i="21" s="1"/>
  <c r="H501" i="21"/>
  <c r="I501" i="21" s="1"/>
  <c r="H502" i="21"/>
  <c r="I502" i="21" s="1"/>
  <c r="H503" i="21"/>
  <c r="I503" i="21" s="1"/>
  <c r="H504" i="21"/>
  <c r="I504" i="21" s="1"/>
  <c r="H505" i="21"/>
  <c r="I505" i="21" s="1"/>
  <c r="H506" i="21"/>
  <c r="I506" i="21" s="1"/>
  <c r="H507" i="21"/>
  <c r="I507" i="21" s="1"/>
  <c r="H508" i="21"/>
  <c r="I508" i="21" s="1"/>
  <c r="H509" i="21"/>
  <c r="I509" i="21" s="1"/>
  <c r="H510" i="21"/>
  <c r="I510" i="21" s="1"/>
  <c r="H511" i="21"/>
  <c r="H512" i="21"/>
  <c r="I512" i="21" s="1"/>
  <c r="H513" i="21"/>
  <c r="I513" i="21" s="1"/>
  <c r="H514" i="21"/>
  <c r="I514" i="21" s="1"/>
  <c r="H515" i="21"/>
  <c r="H516" i="21"/>
  <c r="I516" i="21" s="1"/>
  <c r="H517" i="21"/>
  <c r="I517" i="21" s="1"/>
  <c r="H518" i="21"/>
  <c r="I518" i="21" s="1"/>
  <c r="H519" i="21"/>
  <c r="I519" i="21" s="1"/>
  <c r="H520" i="21"/>
  <c r="I520" i="21" s="1"/>
  <c r="H521" i="21"/>
  <c r="I521" i="21" s="1"/>
  <c r="H522" i="21"/>
  <c r="I522" i="21" s="1"/>
  <c r="H523" i="21"/>
  <c r="H524" i="21"/>
  <c r="I524" i="21" s="1"/>
  <c r="H525" i="21"/>
  <c r="I525" i="21" s="1"/>
  <c r="H526" i="21"/>
  <c r="I526" i="21" s="1"/>
  <c r="H527" i="21"/>
  <c r="H528" i="21"/>
  <c r="I528" i="21" s="1"/>
  <c r="H529" i="21"/>
  <c r="I529" i="21" s="1"/>
  <c r="H530" i="21"/>
  <c r="I530" i="21" s="1"/>
  <c r="H531" i="21"/>
  <c r="I531" i="21" s="1"/>
  <c r="H532" i="21"/>
  <c r="I532" i="21" s="1"/>
  <c r="H533" i="21"/>
  <c r="I533" i="21" s="1"/>
  <c r="H534" i="21"/>
  <c r="I534" i="21" s="1"/>
  <c r="H535" i="21"/>
  <c r="H536" i="21"/>
  <c r="H537" i="21"/>
  <c r="I537" i="21" s="1"/>
  <c r="H538" i="21"/>
  <c r="I538" i="21" s="1"/>
  <c r="H539" i="21"/>
  <c r="H540" i="21"/>
  <c r="I540" i="21" s="1"/>
  <c r="H541" i="21"/>
  <c r="I541" i="21" s="1"/>
  <c r="H542" i="21"/>
  <c r="I542" i="21" s="1"/>
  <c r="H543" i="21"/>
  <c r="I543" i="21" s="1"/>
  <c r="H544" i="21"/>
  <c r="I544" i="21" s="1"/>
  <c r="H545" i="21"/>
  <c r="I545" i="21" s="1"/>
  <c r="H546" i="21"/>
  <c r="I546" i="21" s="1"/>
  <c r="H547" i="21"/>
  <c r="H548" i="21"/>
  <c r="I548" i="21" s="1"/>
  <c r="H549" i="21"/>
  <c r="I549" i="21" s="1"/>
  <c r="H550" i="21"/>
  <c r="I550" i="21" s="1"/>
  <c r="H551" i="21"/>
  <c r="H552" i="21"/>
  <c r="I552" i="21" s="1"/>
  <c r="H553" i="21"/>
  <c r="I553" i="21" s="1"/>
  <c r="H554" i="21"/>
  <c r="I554" i="21" s="1"/>
  <c r="H555" i="21"/>
  <c r="I555" i="21" s="1"/>
  <c r="H556" i="21"/>
  <c r="I556" i="21" s="1"/>
  <c r="H557" i="21"/>
  <c r="I557" i="21" s="1"/>
  <c r="H558" i="21"/>
  <c r="I558" i="21" s="1"/>
  <c r="H559" i="21"/>
  <c r="H560" i="21"/>
  <c r="I560" i="21" s="1"/>
  <c r="H561" i="21"/>
  <c r="I561" i="21" s="1"/>
  <c r="H562" i="21"/>
  <c r="I562" i="21" s="1"/>
  <c r="H563" i="21"/>
  <c r="H564" i="21"/>
  <c r="I564" i="21" s="1"/>
  <c r="H565" i="21"/>
  <c r="I565" i="21" s="1"/>
  <c r="H566" i="21"/>
  <c r="I566" i="21" s="1"/>
  <c r="H567" i="21"/>
  <c r="I567" i="21" s="1"/>
  <c r="H568" i="21"/>
  <c r="I568" i="21" s="1"/>
  <c r="H569" i="21"/>
  <c r="I569" i="21" s="1"/>
  <c r="H570" i="21"/>
  <c r="I570" i="21" s="1"/>
  <c r="H571" i="21"/>
  <c r="H572" i="21"/>
  <c r="I572" i="21" s="1"/>
  <c r="H573" i="21"/>
  <c r="I573" i="21" s="1"/>
  <c r="H574" i="21"/>
  <c r="I574" i="21" s="1"/>
  <c r="H575" i="21"/>
  <c r="H576" i="21"/>
  <c r="I576" i="21" s="1"/>
  <c r="H577" i="21"/>
  <c r="I577" i="21" s="1"/>
  <c r="H578" i="21"/>
  <c r="I578" i="21" s="1"/>
  <c r="H579" i="21"/>
  <c r="I579" i="21" s="1"/>
  <c r="H580" i="21"/>
  <c r="I580" i="21" s="1"/>
  <c r="H581" i="21"/>
  <c r="I581" i="21" s="1"/>
  <c r="H582" i="21"/>
  <c r="I582" i="21" s="1"/>
  <c r="H583" i="21"/>
  <c r="H584" i="21"/>
  <c r="I584" i="21" s="1"/>
  <c r="H585" i="21"/>
  <c r="I585" i="21" s="1"/>
  <c r="H586" i="21"/>
  <c r="I586" i="21" s="1"/>
  <c r="H587" i="21"/>
  <c r="H588" i="21"/>
  <c r="I588" i="21" s="1"/>
  <c r="H589" i="21"/>
  <c r="I589" i="21" s="1"/>
  <c r="H590" i="21"/>
  <c r="I590" i="21" s="1"/>
  <c r="H591" i="21"/>
  <c r="I591" i="21" s="1"/>
  <c r="H592" i="21"/>
  <c r="I592" i="21" s="1"/>
  <c r="H593" i="21"/>
  <c r="I593" i="21" s="1"/>
  <c r="H594" i="21"/>
  <c r="I594" i="21" s="1"/>
  <c r="H595" i="21"/>
  <c r="H596" i="21"/>
  <c r="I596" i="21" s="1"/>
  <c r="H597" i="21"/>
  <c r="I597" i="21" s="1"/>
  <c r="H598" i="21"/>
  <c r="I598" i="21" s="1"/>
  <c r="H599" i="21"/>
  <c r="H600" i="21"/>
  <c r="I600" i="21" s="1"/>
  <c r="H601" i="21"/>
  <c r="I601" i="21" s="1"/>
  <c r="H602" i="21"/>
  <c r="I602" i="21" s="1"/>
  <c r="H603" i="21"/>
  <c r="I603" i="21" s="1"/>
  <c r="H604" i="21"/>
  <c r="I604" i="21" s="1"/>
  <c r="H605" i="21"/>
  <c r="I605" i="21" s="1"/>
  <c r="H606" i="21"/>
  <c r="I606" i="21" s="1"/>
  <c r="H607" i="21"/>
  <c r="H608" i="21"/>
  <c r="I608" i="21" s="1"/>
  <c r="H609" i="21"/>
  <c r="I609" i="21" s="1"/>
  <c r="H610" i="21"/>
  <c r="I610" i="21" s="1"/>
  <c r="H611" i="21"/>
  <c r="H612" i="21"/>
  <c r="I612" i="21" s="1"/>
  <c r="H613" i="21"/>
  <c r="I613" i="21" s="1"/>
  <c r="H614" i="21"/>
  <c r="I614" i="21" s="1"/>
  <c r="H615" i="21"/>
  <c r="I615" i="21" s="1"/>
  <c r="H616" i="21"/>
  <c r="I616" i="21" s="1"/>
  <c r="H617" i="21"/>
  <c r="I617" i="21" s="1"/>
  <c r="H618" i="21"/>
  <c r="I618" i="21" s="1"/>
  <c r="H619" i="21"/>
  <c r="H620" i="21"/>
  <c r="I620" i="21" s="1"/>
  <c r="H621" i="21"/>
  <c r="I621" i="21" s="1"/>
  <c r="H622" i="21"/>
  <c r="I622" i="21" s="1"/>
  <c r="H623" i="21"/>
  <c r="H624" i="21"/>
  <c r="I624" i="21" s="1"/>
  <c r="H625" i="21"/>
  <c r="I625" i="21" s="1"/>
  <c r="H626" i="21"/>
  <c r="I626" i="21" s="1"/>
  <c r="H627" i="21"/>
  <c r="I627" i="21" s="1"/>
  <c r="H628" i="21"/>
  <c r="I628" i="21" s="1"/>
  <c r="H629" i="21"/>
  <c r="I629" i="21" s="1"/>
  <c r="H630" i="21"/>
  <c r="I630" i="21" s="1"/>
  <c r="H631" i="21"/>
  <c r="H632" i="21"/>
  <c r="I632" i="21" s="1"/>
  <c r="H633" i="21"/>
  <c r="I633" i="21" s="1"/>
  <c r="H634" i="21"/>
  <c r="I634" i="21" s="1"/>
  <c r="H635" i="21"/>
  <c r="H636" i="21"/>
  <c r="I636" i="21" s="1"/>
  <c r="H637" i="21"/>
  <c r="I637" i="21" s="1"/>
  <c r="H638" i="21"/>
  <c r="I638" i="21" s="1"/>
  <c r="H639" i="21"/>
  <c r="I639" i="21" s="1"/>
  <c r="H640" i="21"/>
  <c r="I640" i="21" s="1"/>
  <c r="H641" i="21"/>
  <c r="I641" i="21" s="1"/>
  <c r="H642" i="21"/>
  <c r="I642" i="21" s="1"/>
  <c r="H643" i="21"/>
  <c r="H644" i="21"/>
  <c r="I644" i="21" s="1"/>
  <c r="H645" i="21"/>
  <c r="I645" i="21" s="1"/>
  <c r="H646" i="21"/>
  <c r="I646" i="21" s="1"/>
  <c r="H647" i="21"/>
  <c r="H648" i="21"/>
  <c r="I648" i="21" s="1"/>
  <c r="H649" i="21"/>
  <c r="I649" i="21" s="1"/>
  <c r="H650" i="21"/>
  <c r="I650" i="21" s="1"/>
  <c r="H651" i="21"/>
  <c r="I651" i="21" s="1"/>
  <c r="H652" i="21"/>
  <c r="I652" i="21" s="1"/>
  <c r="H653" i="21"/>
  <c r="I653" i="21" s="1"/>
  <c r="H654" i="21"/>
  <c r="I654" i="21" s="1"/>
  <c r="H655" i="21"/>
  <c r="H656" i="21"/>
  <c r="I656" i="21" s="1"/>
  <c r="H657" i="21"/>
  <c r="I657" i="21" s="1"/>
  <c r="H658" i="21"/>
  <c r="I658" i="21" s="1"/>
  <c r="H659" i="21"/>
  <c r="H660" i="21"/>
  <c r="I660" i="21" s="1"/>
  <c r="H661" i="21"/>
  <c r="I661" i="21" s="1"/>
  <c r="H662" i="21"/>
  <c r="I662" i="21" s="1"/>
  <c r="H663" i="21"/>
  <c r="I663" i="21" s="1"/>
  <c r="H664" i="21"/>
  <c r="I664" i="21" s="1"/>
  <c r="H665" i="21"/>
  <c r="I665" i="21" s="1"/>
  <c r="H666" i="21"/>
  <c r="I666" i="21" s="1"/>
  <c r="H667" i="21"/>
  <c r="H668" i="21"/>
  <c r="I668" i="21" s="1"/>
  <c r="H669" i="21"/>
  <c r="I669" i="21" s="1"/>
  <c r="H670" i="21"/>
  <c r="I670" i="21" s="1"/>
  <c r="H671" i="21"/>
  <c r="H672" i="21"/>
  <c r="I672" i="21" s="1"/>
  <c r="H673" i="21"/>
  <c r="I673" i="21" s="1"/>
  <c r="H674" i="21"/>
  <c r="I674" i="21" s="1"/>
  <c r="H675" i="21"/>
  <c r="I675" i="21" s="1"/>
  <c r="H676" i="21"/>
  <c r="I676" i="21" s="1"/>
  <c r="H677" i="21"/>
  <c r="I677" i="21" s="1"/>
  <c r="H678" i="21"/>
  <c r="I678" i="21" s="1"/>
  <c r="H679" i="21"/>
  <c r="H680" i="21"/>
  <c r="I680" i="21" s="1"/>
  <c r="H681" i="21"/>
  <c r="I681" i="21" s="1"/>
  <c r="H682" i="21"/>
  <c r="I682" i="21" s="1"/>
  <c r="H683" i="21"/>
  <c r="H684" i="21"/>
  <c r="I684" i="21" s="1"/>
  <c r="H685" i="21"/>
  <c r="I685" i="21" s="1"/>
  <c r="H686" i="21"/>
  <c r="I686" i="21" s="1"/>
  <c r="H687" i="21"/>
  <c r="I687" i="21" s="1"/>
  <c r="H688" i="21"/>
  <c r="I688" i="21" s="1"/>
  <c r="H689" i="21"/>
  <c r="I689" i="21" s="1"/>
  <c r="H690" i="21"/>
  <c r="I690" i="21" s="1"/>
  <c r="H691" i="21"/>
  <c r="H692" i="21"/>
  <c r="I692" i="21" s="1"/>
  <c r="H693" i="21"/>
  <c r="I693" i="21" s="1"/>
  <c r="H694" i="21"/>
  <c r="I694" i="21" s="1"/>
  <c r="H695" i="21"/>
  <c r="H696" i="21"/>
  <c r="I696" i="21" s="1"/>
  <c r="H697" i="21"/>
  <c r="I697" i="21" s="1"/>
  <c r="H698" i="21"/>
  <c r="I698" i="21" s="1"/>
  <c r="H699" i="21"/>
  <c r="I699" i="21" s="1"/>
  <c r="H700" i="21"/>
  <c r="I700" i="21" s="1"/>
  <c r="H701" i="21"/>
  <c r="I701" i="21" s="1"/>
  <c r="H702" i="21"/>
  <c r="I702" i="21" s="1"/>
  <c r="H703" i="21"/>
  <c r="H704" i="21"/>
  <c r="I704" i="21" s="1"/>
  <c r="H705" i="21"/>
  <c r="I705" i="21" s="1"/>
  <c r="H706" i="21"/>
  <c r="I706" i="21" s="1"/>
  <c r="H707" i="21"/>
  <c r="H708" i="21"/>
  <c r="I708" i="21" s="1"/>
  <c r="H709" i="21"/>
  <c r="I709" i="21" s="1"/>
  <c r="H710" i="21"/>
  <c r="I710" i="21" s="1"/>
  <c r="H711" i="21"/>
  <c r="I711" i="21" s="1"/>
  <c r="H712" i="21"/>
  <c r="I712" i="21" s="1"/>
  <c r="H713" i="21"/>
  <c r="I713" i="21" s="1"/>
  <c r="H714" i="21"/>
  <c r="I714" i="21" s="1"/>
  <c r="H715" i="21"/>
  <c r="H716" i="21"/>
  <c r="I716" i="21" s="1"/>
  <c r="H717" i="21"/>
  <c r="I717" i="21" s="1"/>
  <c r="H718" i="21"/>
  <c r="I718" i="21" s="1"/>
  <c r="H719" i="21"/>
  <c r="H720" i="21"/>
  <c r="I720" i="21" s="1"/>
  <c r="H721" i="21"/>
  <c r="I721" i="21" s="1"/>
  <c r="H722" i="21"/>
  <c r="I722" i="21" s="1"/>
  <c r="H723" i="21"/>
  <c r="I723" i="21" s="1"/>
  <c r="H724" i="21"/>
  <c r="I724" i="21" s="1"/>
  <c r="H725" i="21"/>
  <c r="I725" i="21" s="1"/>
  <c r="H726" i="21"/>
  <c r="I726" i="21" s="1"/>
  <c r="H727" i="21"/>
  <c r="H728" i="21"/>
  <c r="H729" i="21"/>
  <c r="I729" i="21" s="1"/>
  <c r="H730" i="21"/>
  <c r="I730" i="21" s="1"/>
  <c r="H731" i="21"/>
  <c r="H732" i="21"/>
  <c r="I732" i="21" s="1"/>
  <c r="H733" i="21"/>
  <c r="I733" i="21" s="1"/>
  <c r="H734" i="21"/>
  <c r="I734" i="21" s="1"/>
  <c r="H735" i="21"/>
  <c r="I735" i="21" s="1"/>
  <c r="H736" i="21"/>
  <c r="I736" i="21" s="1"/>
  <c r="H737" i="21"/>
  <c r="I737" i="21" s="1"/>
  <c r="H738" i="21"/>
  <c r="I738" i="21" s="1"/>
  <c r="H739" i="21"/>
  <c r="H740" i="21"/>
  <c r="I740" i="21" s="1"/>
  <c r="H741" i="21"/>
  <c r="I741" i="21" s="1"/>
  <c r="H742" i="21"/>
  <c r="I742" i="21" s="1"/>
  <c r="H743" i="21"/>
  <c r="H744" i="21"/>
  <c r="I744" i="21" s="1"/>
  <c r="H745" i="21"/>
  <c r="I745" i="21" s="1"/>
  <c r="H746" i="21"/>
  <c r="I746" i="21" s="1"/>
  <c r="H747" i="21"/>
  <c r="I747" i="21" s="1"/>
  <c r="H748" i="21"/>
  <c r="I748" i="21" s="1"/>
  <c r="H749" i="21"/>
  <c r="I749" i="21" s="1"/>
  <c r="H750" i="21"/>
  <c r="I750" i="21" s="1"/>
  <c r="H751" i="21"/>
  <c r="H752" i="21"/>
  <c r="I752" i="21" s="1"/>
  <c r="H753" i="21"/>
  <c r="I753" i="21" s="1"/>
  <c r="H754" i="21"/>
  <c r="I754" i="21" s="1"/>
  <c r="H755" i="21"/>
  <c r="H756" i="21"/>
  <c r="I756" i="21" s="1"/>
  <c r="H757" i="21"/>
  <c r="I757" i="21" s="1"/>
  <c r="H758" i="21"/>
  <c r="I758" i="21" s="1"/>
  <c r="H759" i="21"/>
  <c r="I759" i="21" s="1"/>
  <c r="H760" i="21"/>
  <c r="I760" i="21" s="1"/>
  <c r="H761" i="21"/>
  <c r="I761" i="21" s="1"/>
  <c r="H762" i="21"/>
  <c r="I762" i="21" s="1"/>
  <c r="H763" i="21"/>
  <c r="H764" i="21"/>
  <c r="I764" i="21" s="1"/>
  <c r="H765" i="21"/>
  <c r="I765" i="21" s="1"/>
  <c r="H766" i="21"/>
  <c r="I766" i="21" s="1"/>
  <c r="H767" i="21"/>
  <c r="H768" i="21"/>
  <c r="I768" i="21" s="1"/>
  <c r="H769" i="21"/>
  <c r="I769" i="21" s="1"/>
  <c r="H770" i="21"/>
  <c r="I770" i="21" s="1"/>
  <c r="H771" i="21"/>
  <c r="I771" i="21" s="1"/>
  <c r="H772" i="21"/>
  <c r="I772" i="21" s="1"/>
  <c r="H773" i="21"/>
  <c r="I773" i="21" s="1"/>
  <c r="H774" i="21"/>
  <c r="I774" i="21" s="1"/>
  <c r="H775" i="21"/>
  <c r="H776" i="21"/>
  <c r="I776" i="21" s="1"/>
  <c r="H777" i="21"/>
  <c r="I777" i="21" s="1"/>
  <c r="H778" i="21"/>
  <c r="I778" i="21" s="1"/>
  <c r="H779" i="21"/>
  <c r="H780" i="21"/>
  <c r="I780" i="21" s="1"/>
  <c r="H781" i="21"/>
  <c r="I781" i="21" s="1"/>
  <c r="H782" i="21"/>
  <c r="I782" i="21" s="1"/>
  <c r="H783" i="21"/>
  <c r="I783" i="21" s="1"/>
  <c r="H784" i="21"/>
  <c r="I784" i="21" s="1"/>
  <c r="H785" i="21"/>
  <c r="I785" i="21" s="1"/>
  <c r="H786" i="21"/>
  <c r="I786" i="21" s="1"/>
  <c r="H787" i="21"/>
  <c r="H788" i="21"/>
  <c r="I788" i="21" s="1"/>
  <c r="H789" i="21"/>
  <c r="I789" i="21" s="1"/>
  <c r="H790" i="21"/>
  <c r="I790" i="21" s="1"/>
  <c r="H791" i="21"/>
  <c r="H792" i="21"/>
  <c r="I792" i="21" s="1"/>
  <c r="H793" i="21"/>
  <c r="I793" i="21" s="1"/>
  <c r="H794" i="21"/>
  <c r="I794" i="21" s="1"/>
  <c r="H795" i="21"/>
  <c r="I795" i="21" s="1"/>
  <c r="H796" i="21"/>
  <c r="I796" i="21" s="1"/>
  <c r="H797" i="21"/>
  <c r="I797" i="21" s="1"/>
  <c r="H798" i="21"/>
  <c r="I798" i="21" s="1"/>
  <c r="H799" i="21"/>
  <c r="H800" i="21"/>
  <c r="I800" i="21" s="1"/>
  <c r="H801" i="21"/>
  <c r="I801" i="21" s="1"/>
  <c r="H802" i="21"/>
  <c r="I802" i="21" s="1"/>
  <c r="H803" i="21"/>
  <c r="H804" i="21"/>
  <c r="I804" i="21" s="1"/>
  <c r="H805" i="21"/>
  <c r="I805" i="21" s="1"/>
  <c r="H806" i="21"/>
  <c r="I806" i="21" s="1"/>
  <c r="H807" i="21"/>
  <c r="I807" i="21" s="1"/>
  <c r="H808" i="21"/>
  <c r="I808" i="21" s="1"/>
  <c r="H809" i="21"/>
  <c r="I809" i="21" s="1"/>
  <c r="H810" i="21"/>
  <c r="I810" i="21" s="1"/>
  <c r="H811" i="21"/>
  <c r="H812" i="21"/>
  <c r="I812" i="21" s="1"/>
  <c r="H813" i="21"/>
  <c r="I813" i="21" s="1"/>
  <c r="H814" i="21"/>
  <c r="I814" i="21" s="1"/>
  <c r="H815" i="21"/>
  <c r="H816" i="21"/>
  <c r="I816" i="21" s="1"/>
  <c r="H817" i="21"/>
  <c r="I817" i="21" s="1"/>
  <c r="H818" i="21"/>
  <c r="I818" i="21" s="1"/>
  <c r="H819" i="21"/>
  <c r="I819" i="21" s="1"/>
  <c r="H820" i="21"/>
  <c r="I820" i="21" s="1"/>
  <c r="H821" i="21"/>
  <c r="I821" i="21" s="1"/>
  <c r="H822" i="21"/>
  <c r="I822" i="21" s="1"/>
  <c r="H823" i="21"/>
  <c r="H824" i="21"/>
  <c r="I824" i="21" s="1"/>
  <c r="H825" i="21"/>
  <c r="I825" i="21" s="1"/>
  <c r="H826" i="21"/>
  <c r="I826" i="21" s="1"/>
  <c r="H827" i="21"/>
  <c r="H828" i="21"/>
  <c r="I828" i="21" s="1"/>
  <c r="H829" i="21"/>
  <c r="I829" i="21" s="1"/>
  <c r="H830" i="21"/>
  <c r="I830" i="21" s="1"/>
  <c r="H831" i="21"/>
  <c r="I831" i="21" s="1"/>
  <c r="H832" i="21"/>
  <c r="I832" i="21" s="1"/>
  <c r="H833" i="21"/>
  <c r="I833" i="21" s="1"/>
  <c r="H834" i="21"/>
  <c r="I834" i="21" s="1"/>
  <c r="H835" i="21"/>
  <c r="H836" i="21"/>
  <c r="I836" i="21" s="1"/>
  <c r="H837" i="21"/>
  <c r="I837" i="21" s="1"/>
  <c r="H838" i="21"/>
  <c r="I838" i="21" s="1"/>
  <c r="H839" i="21"/>
  <c r="H840" i="21"/>
  <c r="I840" i="21" s="1"/>
  <c r="H841" i="21"/>
  <c r="I841" i="21" s="1"/>
  <c r="H842" i="21"/>
  <c r="I842" i="21" s="1"/>
  <c r="H843" i="21"/>
  <c r="I843" i="21" s="1"/>
  <c r="H844" i="21"/>
  <c r="I844" i="21" s="1"/>
  <c r="H845" i="21"/>
  <c r="I845" i="21" s="1"/>
  <c r="H846" i="21"/>
  <c r="I846" i="21" s="1"/>
  <c r="H847" i="21"/>
  <c r="H848" i="21"/>
  <c r="I848" i="21" s="1"/>
  <c r="H849" i="21"/>
  <c r="I849" i="21" s="1"/>
  <c r="H850" i="21"/>
  <c r="I850" i="21" s="1"/>
  <c r="H851" i="21"/>
  <c r="H852" i="21"/>
  <c r="I852" i="21" s="1"/>
  <c r="H853" i="21"/>
  <c r="I853" i="21" s="1"/>
  <c r="H854" i="21"/>
  <c r="I854" i="21" s="1"/>
  <c r="H855" i="21"/>
  <c r="I855" i="21" s="1"/>
  <c r="H856" i="21"/>
  <c r="I856" i="21" s="1"/>
  <c r="H857" i="21"/>
  <c r="I857" i="21" s="1"/>
  <c r="H858" i="21"/>
  <c r="I858" i="21" s="1"/>
  <c r="H859" i="21"/>
  <c r="H860" i="21"/>
  <c r="I860" i="21" s="1"/>
  <c r="H861" i="21"/>
  <c r="I861" i="21" s="1"/>
  <c r="H862" i="21"/>
  <c r="I862" i="21" s="1"/>
  <c r="H863" i="21"/>
  <c r="H864" i="21"/>
  <c r="I864" i="21" s="1"/>
  <c r="H865" i="21"/>
  <c r="I865" i="21" s="1"/>
  <c r="H866" i="21"/>
  <c r="I866" i="21" s="1"/>
  <c r="H867" i="21"/>
  <c r="I867" i="21" s="1"/>
  <c r="H868" i="21"/>
  <c r="I868" i="21" s="1"/>
  <c r="H869" i="21"/>
  <c r="I869" i="21" s="1"/>
  <c r="H870" i="21"/>
  <c r="I870" i="21" s="1"/>
  <c r="H871" i="21"/>
  <c r="H872" i="21"/>
  <c r="I872" i="21" s="1"/>
  <c r="H873" i="21"/>
  <c r="I873" i="21" s="1"/>
  <c r="H874" i="21"/>
  <c r="I874" i="21" s="1"/>
  <c r="H875" i="21"/>
  <c r="H876" i="21"/>
  <c r="I876" i="21" s="1"/>
  <c r="H877" i="21"/>
  <c r="I877" i="21" s="1"/>
  <c r="H878" i="21"/>
  <c r="I878" i="21" s="1"/>
  <c r="H879" i="21"/>
  <c r="I879" i="21" s="1"/>
  <c r="H880" i="21"/>
  <c r="I880" i="21" s="1"/>
  <c r="H881" i="21"/>
  <c r="I881" i="21" s="1"/>
  <c r="H882" i="21"/>
  <c r="I882" i="21" s="1"/>
  <c r="H883" i="21"/>
  <c r="H884" i="21"/>
  <c r="I884" i="21" s="1"/>
  <c r="H885" i="21"/>
  <c r="I885" i="21" s="1"/>
  <c r="H886" i="21"/>
  <c r="I886" i="21" s="1"/>
  <c r="H887" i="21"/>
  <c r="H888" i="21"/>
  <c r="I888" i="21" s="1"/>
  <c r="H889" i="21"/>
  <c r="I889" i="21" s="1"/>
  <c r="H890" i="21"/>
  <c r="I890" i="21" s="1"/>
  <c r="H891" i="21"/>
  <c r="I891" i="21" s="1"/>
  <c r="H892" i="21"/>
  <c r="I892" i="21" s="1"/>
  <c r="H893" i="21"/>
  <c r="I893" i="21" s="1"/>
  <c r="H894" i="21"/>
  <c r="I894" i="21" s="1"/>
  <c r="H895" i="21"/>
  <c r="H896" i="21"/>
  <c r="I896" i="21" s="1"/>
  <c r="H897" i="21"/>
  <c r="I897" i="21" s="1"/>
  <c r="H898" i="21"/>
  <c r="I898" i="21" s="1"/>
  <c r="H899" i="21"/>
  <c r="H900" i="21"/>
  <c r="I900" i="21" s="1"/>
  <c r="H901" i="21"/>
  <c r="I901" i="21" s="1"/>
  <c r="H902" i="21"/>
  <c r="I902" i="21" s="1"/>
  <c r="H903" i="21"/>
  <c r="I903" i="21" s="1"/>
  <c r="H904" i="21"/>
  <c r="I904" i="21" s="1"/>
  <c r="H905" i="21"/>
  <c r="I905" i="21" s="1"/>
  <c r="H906" i="21"/>
  <c r="I906" i="21" s="1"/>
  <c r="H907" i="21"/>
  <c r="H908" i="21"/>
  <c r="I908" i="21" s="1"/>
  <c r="H909" i="21"/>
  <c r="I909" i="21" s="1"/>
  <c r="H910" i="21"/>
  <c r="I910" i="21" s="1"/>
  <c r="H911" i="21"/>
  <c r="H912" i="21"/>
  <c r="I912" i="21" s="1"/>
  <c r="H913" i="21"/>
  <c r="I913" i="21" s="1"/>
  <c r="H914" i="21"/>
  <c r="I914" i="21" s="1"/>
  <c r="H915" i="21"/>
  <c r="I915" i="21" s="1"/>
  <c r="H916" i="21"/>
  <c r="I916" i="21" s="1"/>
  <c r="H917" i="21"/>
  <c r="I917" i="21" s="1"/>
  <c r="H918" i="21"/>
  <c r="I918" i="21" s="1"/>
  <c r="H919" i="21"/>
  <c r="H920" i="21"/>
  <c r="I920" i="21" s="1"/>
  <c r="H921" i="21"/>
  <c r="I921" i="21" s="1"/>
  <c r="H922" i="21"/>
  <c r="I922" i="21" s="1"/>
  <c r="H923" i="21"/>
  <c r="H924" i="21"/>
  <c r="I924" i="21" s="1"/>
  <c r="H925" i="21"/>
  <c r="I925" i="21" s="1"/>
  <c r="H926" i="21"/>
  <c r="I926" i="21" s="1"/>
  <c r="H927" i="21"/>
  <c r="I927" i="21" s="1"/>
  <c r="H928" i="21"/>
  <c r="I928" i="21" s="1"/>
  <c r="H929" i="21"/>
  <c r="I929" i="21" s="1"/>
  <c r="H930" i="21"/>
  <c r="I930" i="21" s="1"/>
  <c r="H931" i="21"/>
  <c r="H932" i="21"/>
  <c r="I932" i="21" s="1"/>
  <c r="H933" i="21"/>
  <c r="I933" i="21" s="1"/>
  <c r="H934" i="21"/>
  <c r="I934" i="21" s="1"/>
  <c r="H935" i="21"/>
  <c r="H936" i="21"/>
  <c r="I936" i="21" s="1"/>
  <c r="H937" i="21"/>
  <c r="I937" i="21" s="1"/>
  <c r="H938" i="21"/>
  <c r="I938" i="21" s="1"/>
  <c r="H939" i="21"/>
  <c r="I939" i="21" s="1"/>
  <c r="H940" i="21"/>
  <c r="I940" i="21" s="1"/>
  <c r="H941" i="21"/>
  <c r="I941" i="21" s="1"/>
  <c r="H942" i="21"/>
  <c r="I942" i="21" s="1"/>
  <c r="H943" i="21"/>
  <c r="H944" i="21"/>
  <c r="I944" i="21" s="1"/>
  <c r="H945" i="21"/>
  <c r="I945" i="21" s="1"/>
  <c r="H946" i="21"/>
  <c r="I946" i="21" s="1"/>
  <c r="H947" i="21"/>
  <c r="H948" i="21"/>
  <c r="I948" i="21" s="1"/>
  <c r="H949" i="21"/>
  <c r="I949" i="21" s="1"/>
  <c r="H950" i="21"/>
  <c r="I950" i="21" s="1"/>
  <c r="H951" i="21"/>
  <c r="I951" i="21" s="1"/>
  <c r="H952" i="21"/>
  <c r="I952" i="21" s="1"/>
  <c r="H953" i="21"/>
  <c r="I953" i="21" s="1"/>
  <c r="H954" i="21"/>
  <c r="I954" i="21" s="1"/>
  <c r="H955" i="21"/>
  <c r="H956" i="21"/>
  <c r="I956" i="21" s="1"/>
  <c r="H957" i="21"/>
  <c r="I957" i="21" s="1"/>
  <c r="H958" i="21"/>
  <c r="I958" i="21" s="1"/>
  <c r="H959" i="21"/>
  <c r="H960" i="21"/>
  <c r="I960" i="21" s="1"/>
  <c r="H961" i="21"/>
  <c r="I961" i="21" s="1"/>
  <c r="H962" i="21"/>
  <c r="I962" i="21" s="1"/>
  <c r="H963" i="21"/>
  <c r="I963" i="21" s="1"/>
  <c r="H964" i="21"/>
  <c r="I964" i="21" s="1"/>
  <c r="H965" i="21"/>
  <c r="I965" i="21" s="1"/>
  <c r="H966" i="21"/>
  <c r="I966" i="21" s="1"/>
  <c r="H967" i="21"/>
  <c r="H968" i="21"/>
  <c r="I968" i="21" s="1"/>
  <c r="H969" i="21"/>
  <c r="I969" i="21" s="1"/>
  <c r="H970" i="21"/>
  <c r="I970" i="21" s="1"/>
  <c r="H971" i="21"/>
  <c r="H972" i="21"/>
  <c r="I972" i="21" s="1"/>
  <c r="H973" i="21"/>
  <c r="I973" i="21" s="1"/>
  <c r="H974" i="21"/>
  <c r="I974" i="21" s="1"/>
  <c r="H975" i="21"/>
  <c r="I975" i="21" s="1"/>
  <c r="H976" i="21"/>
  <c r="I976" i="21" s="1"/>
  <c r="H977" i="21"/>
  <c r="I977" i="21" s="1"/>
  <c r="H978" i="21"/>
  <c r="I978" i="21" s="1"/>
  <c r="H979" i="21"/>
  <c r="H980" i="21"/>
  <c r="I980" i="21" s="1"/>
  <c r="H981" i="21"/>
  <c r="I981" i="21" s="1"/>
  <c r="H982" i="21"/>
  <c r="I982" i="21" s="1"/>
  <c r="H983" i="21"/>
  <c r="H984" i="21"/>
  <c r="I984" i="21" s="1"/>
  <c r="H985" i="21"/>
  <c r="I985" i="21" s="1"/>
  <c r="H986" i="21"/>
  <c r="I986" i="21" s="1"/>
  <c r="H987" i="21"/>
  <c r="I987" i="21" s="1"/>
  <c r="H988" i="21"/>
  <c r="I988" i="21" s="1"/>
  <c r="H989" i="21"/>
  <c r="I989" i="21" s="1"/>
  <c r="H990" i="21"/>
  <c r="I990" i="21" s="1"/>
  <c r="H991" i="21"/>
  <c r="H992" i="21"/>
  <c r="I992" i="21" s="1"/>
  <c r="H993" i="21"/>
  <c r="I993" i="21" s="1"/>
  <c r="H994" i="21"/>
  <c r="I994" i="21" s="1"/>
  <c r="H995" i="21"/>
  <c r="H996" i="21"/>
  <c r="I996" i="21" s="1"/>
  <c r="H997" i="21"/>
  <c r="I997" i="21" s="1"/>
  <c r="H998" i="21"/>
  <c r="I998" i="21" s="1"/>
  <c r="H999" i="21"/>
  <c r="I999" i="21" s="1"/>
  <c r="H1000" i="21"/>
  <c r="I1000" i="21" s="1"/>
  <c r="H1001" i="21"/>
  <c r="I1001" i="21" s="1"/>
  <c r="H1002" i="21"/>
  <c r="I1002" i="21" s="1"/>
  <c r="H1003" i="21"/>
  <c r="H1004" i="21"/>
  <c r="I1004" i="21" s="1"/>
  <c r="H1005" i="21"/>
  <c r="I1005" i="21" s="1"/>
  <c r="H1006" i="21"/>
  <c r="I1006" i="21" s="1"/>
  <c r="H1007" i="21"/>
  <c r="H1008" i="21"/>
  <c r="I1008" i="21" s="1"/>
  <c r="H1009" i="21"/>
  <c r="I1009" i="21" s="1"/>
  <c r="H1010" i="21"/>
  <c r="I1010" i="21" s="1"/>
  <c r="H1011" i="21"/>
  <c r="I1011" i="21" s="1"/>
  <c r="H1012" i="21"/>
  <c r="I1012" i="21" s="1"/>
  <c r="H1013" i="21"/>
  <c r="I1013" i="21" s="1"/>
  <c r="H1014" i="21"/>
  <c r="I1014" i="21" s="1"/>
  <c r="H1015" i="21"/>
  <c r="H1016" i="21"/>
  <c r="I1016" i="21" s="1"/>
  <c r="H1017" i="21"/>
  <c r="I1017" i="21" s="1"/>
  <c r="H1018" i="21"/>
  <c r="I1018" i="21" s="1"/>
  <c r="H1019" i="21"/>
  <c r="H1020" i="21"/>
  <c r="I1020" i="21" s="1"/>
  <c r="H1021" i="21"/>
  <c r="I1021" i="21" s="1"/>
  <c r="H1022" i="21"/>
  <c r="I1022" i="21" s="1"/>
  <c r="H1023" i="21"/>
  <c r="I1023" i="21" s="1"/>
  <c r="H1024" i="21"/>
  <c r="I1024" i="21" s="1"/>
  <c r="H1025" i="21"/>
  <c r="I1025" i="21" s="1"/>
  <c r="H1026" i="21"/>
  <c r="I1026" i="21" s="1"/>
  <c r="H1027" i="21"/>
  <c r="H1028" i="21"/>
  <c r="I1028" i="21" s="1"/>
  <c r="H1029" i="21"/>
  <c r="I1029" i="21" s="1"/>
  <c r="H1030" i="21"/>
  <c r="I1030" i="21" s="1"/>
  <c r="H1031" i="21"/>
  <c r="H1032" i="21"/>
  <c r="I1032" i="21" s="1"/>
  <c r="H1033" i="21"/>
  <c r="I1033" i="21" s="1"/>
  <c r="H1034" i="21"/>
  <c r="I1034" i="21" s="1"/>
  <c r="H1035" i="21"/>
  <c r="I1035" i="21" s="1"/>
  <c r="H1036" i="21"/>
  <c r="I1036" i="21" s="1"/>
  <c r="H1037" i="21"/>
  <c r="I1037" i="21" s="1"/>
  <c r="H1038" i="21"/>
  <c r="I1038" i="21" s="1"/>
  <c r="H1039" i="21"/>
  <c r="H1040" i="21"/>
  <c r="I1040" i="21" s="1"/>
  <c r="H1041" i="21"/>
  <c r="I1041" i="21" s="1"/>
  <c r="H1042" i="21"/>
  <c r="I1042" i="21" s="1"/>
  <c r="H1043" i="21"/>
  <c r="H1044" i="21"/>
  <c r="I1044" i="21" s="1"/>
  <c r="H1045" i="21"/>
  <c r="I1045" i="21" s="1"/>
  <c r="H1046" i="21"/>
  <c r="I1046" i="21" s="1"/>
  <c r="H1047" i="21"/>
  <c r="I1047" i="21" s="1"/>
  <c r="H1048" i="21"/>
  <c r="I1048" i="21" s="1"/>
  <c r="H1049" i="21"/>
  <c r="I1049" i="21" s="1"/>
  <c r="H1050" i="21"/>
  <c r="I1050" i="21" s="1"/>
  <c r="H1051" i="21"/>
  <c r="H1052" i="21"/>
  <c r="H1053" i="21"/>
  <c r="I1053" i="21" s="1"/>
  <c r="H1054" i="21"/>
  <c r="I1054" i="21" s="1"/>
  <c r="H1055" i="21"/>
  <c r="H1056" i="21"/>
  <c r="I1056" i="21" s="1"/>
  <c r="H1057" i="21"/>
  <c r="I1057" i="21" s="1"/>
  <c r="H1058" i="21"/>
  <c r="I1058" i="21" s="1"/>
  <c r="H1059" i="21"/>
  <c r="I1059" i="21" s="1"/>
  <c r="H1060" i="21"/>
  <c r="I1060" i="21" s="1"/>
  <c r="H1061" i="21"/>
  <c r="I1061" i="21" s="1"/>
  <c r="H1062" i="21"/>
  <c r="I1062" i="21" s="1"/>
  <c r="H1063" i="21"/>
  <c r="H1064" i="21"/>
  <c r="I1064" i="21" s="1"/>
  <c r="H1065" i="21"/>
  <c r="I1065" i="21" s="1"/>
  <c r="H1066" i="21"/>
  <c r="I1066" i="21" s="1"/>
  <c r="H1067" i="21"/>
  <c r="H1068" i="21"/>
  <c r="I1068" i="21" s="1"/>
  <c r="H1069" i="21"/>
  <c r="I1069" i="21" s="1"/>
  <c r="H1070" i="21"/>
  <c r="I1070" i="21" s="1"/>
  <c r="H1071" i="21"/>
  <c r="I1071" i="21" s="1"/>
  <c r="H1072" i="21"/>
  <c r="I1072" i="21" s="1"/>
  <c r="H1073" i="21"/>
  <c r="I1073" i="21" s="1"/>
  <c r="H1074" i="21"/>
  <c r="I1074" i="21" s="1"/>
  <c r="H1075" i="21"/>
  <c r="H1076" i="21"/>
  <c r="I1076" i="21" s="1"/>
  <c r="H1077" i="21"/>
  <c r="I1077" i="21" s="1"/>
  <c r="H1078" i="21"/>
  <c r="I1078" i="21" s="1"/>
  <c r="H1079" i="21"/>
  <c r="H1080" i="21"/>
  <c r="I1080" i="21" s="1"/>
  <c r="H1081" i="21"/>
  <c r="I1081" i="21" s="1"/>
  <c r="H1082" i="21"/>
  <c r="I1082" i="21" s="1"/>
  <c r="H1083" i="21"/>
  <c r="I1083" i="21" s="1"/>
  <c r="H1084" i="21"/>
  <c r="I1084" i="21" s="1"/>
  <c r="H1085" i="21"/>
  <c r="I1085" i="21" s="1"/>
  <c r="H1086" i="21"/>
  <c r="I1086" i="21" s="1"/>
  <c r="H1087" i="21"/>
  <c r="H1088" i="21"/>
  <c r="I1088" i="21" s="1"/>
  <c r="H1089" i="21"/>
  <c r="I1089" i="21" s="1"/>
  <c r="H1090" i="21"/>
  <c r="I1090" i="21" s="1"/>
  <c r="H1091" i="21"/>
  <c r="H1092" i="21"/>
  <c r="I1092" i="21" s="1"/>
  <c r="H1093" i="21"/>
  <c r="I1093" i="21" s="1"/>
  <c r="H1094" i="21"/>
  <c r="I1094" i="21" s="1"/>
  <c r="H1095" i="21"/>
  <c r="I1095" i="21" s="1"/>
  <c r="H1096" i="21"/>
  <c r="I1096" i="21" s="1"/>
  <c r="H1097" i="21"/>
  <c r="I1097" i="21" s="1"/>
  <c r="H1098" i="21"/>
  <c r="I1098" i="21" s="1"/>
  <c r="H1099" i="21"/>
  <c r="H1100" i="21"/>
  <c r="I1100" i="21" s="1"/>
  <c r="H1101" i="21"/>
  <c r="I1101" i="21" s="1"/>
  <c r="H1102" i="21"/>
  <c r="I1102" i="21" s="1"/>
  <c r="H1103" i="21"/>
  <c r="H1104" i="21"/>
  <c r="I1104" i="21" s="1"/>
  <c r="H1105" i="21"/>
  <c r="I1105" i="21" s="1"/>
  <c r="H1106" i="21"/>
  <c r="I1106" i="21" s="1"/>
  <c r="H1107" i="21"/>
  <c r="I1107" i="21" s="1"/>
  <c r="H1108" i="21"/>
  <c r="I1108" i="21" s="1"/>
  <c r="H1109" i="21"/>
  <c r="I1109" i="21" s="1"/>
  <c r="H1110" i="21"/>
  <c r="I1110" i="21" s="1"/>
  <c r="H1111" i="21"/>
  <c r="H1112" i="21"/>
  <c r="I1112" i="21" s="1"/>
  <c r="H1113" i="21"/>
  <c r="H1114" i="21"/>
  <c r="I1114" i="21" s="1"/>
  <c r="H1115" i="21"/>
  <c r="H1116" i="21"/>
  <c r="I1116" i="21" s="1"/>
  <c r="H1117" i="21"/>
  <c r="I1117" i="21" s="1"/>
  <c r="H1118" i="21"/>
  <c r="I1118" i="21" s="1"/>
  <c r="H1119" i="21"/>
  <c r="I1119" i="21" s="1"/>
  <c r="H1120" i="21"/>
  <c r="I1120" i="21" s="1"/>
  <c r="H1121" i="21"/>
  <c r="I1121" i="21" s="1"/>
  <c r="H1122" i="21"/>
  <c r="I1122" i="21" s="1"/>
  <c r="H1123" i="21"/>
  <c r="H1124" i="21"/>
  <c r="I1124" i="21" s="1"/>
  <c r="H1125" i="21"/>
  <c r="I1125" i="21" s="1"/>
  <c r="H1126" i="21"/>
  <c r="I1126" i="21" s="1"/>
  <c r="H1127" i="21"/>
  <c r="H1128" i="21"/>
  <c r="I1128" i="21" s="1"/>
  <c r="H1129" i="21"/>
  <c r="I1129" i="21" s="1"/>
  <c r="H1130" i="21"/>
  <c r="I1130" i="21" s="1"/>
  <c r="H1131" i="21"/>
  <c r="I1131" i="21" s="1"/>
  <c r="H1132" i="21"/>
  <c r="I1132" i="21" s="1"/>
  <c r="H1133" i="21"/>
  <c r="I1133" i="21" s="1"/>
  <c r="H1134" i="21"/>
  <c r="I1134" i="21" s="1"/>
  <c r="H1135" i="21"/>
  <c r="H1136" i="21"/>
  <c r="I1136" i="21" s="1"/>
  <c r="H1137" i="21"/>
  <c r="I1137" i="21" s="1"/>
  <c r="H1138" i="21"/>
  <c r="I1138" i="21" s="1"/>
  <c r="H1139" i="21"/>
  <c r="H1140" i="21"/>
  <c r="I1140" i="21" s="1"/>
  <c r="H1141" i="21"/>
  <c r="I1141" i="21" s="1"/>
  <c r="H1142" i="21"/>
  <c r="I1142" i="21" s="1"/>
  <c r="H1143" i="21"/>
  <c r="I1143" i="21" s="1"/>
  <c r="H1144" i="21"/>
  <c r="I1144" i="21" s="1"/>
  <c r="H1145" i="21"/>
  <c r="I1145" i="21" s="1"/>
  <c r="H1146" i="21"/>
  <c r="I1146" i="21" s="1"/>
  <c r="H1147" i="21"/>
  <c r="H1148" i="21"/>
  <c r="I1148" i="21" s="1"/>
  <c r="H1149" i="21"/>
  <c r="I1149" i="21" s="1"/>
  <c r="H1150" i="21"/>
  <c r="I1150" i="21" s="1"/>
  <c r="H1151" i="21"/>
  <c r="H1152" i="21"/>
  <c r="I1152" i="21" s="1"/>
  <c r="H1153" i="21"/>
  <c r="I1153" i="21" s="1"/>
  <c r="H1154" i="21"/>
  <c r="I1154" i="21" s="1"/>
  <c r="H1155" i="21"/>
  <c r="I1155" i="21" s="1"/>
  <c r="H1156" i="21"/>
  <c r="I1156" i="21" s="1"/>
  <c r="H1157" i="21"/>
  <c r="I1157" i="21" s="1"/>
  <c r="H1158" i="21"/>
  <c r="I1158" i="21" s="1"/>
  <c r="H1159" i="21"/>
  <c r="H1160" i="21"/>
  <c r="I1160" i="21" s="1"/>
  <c r="H1161" i="21"/>
  <c r="I1161" i="21" s="1"/>
  <c r="H1162" i="21"/>
  <c r="I1162" i="21" s="1"/>
  <c r="H1163" i="21"/>
  <c r="H1164" i="21"/>
  <c r="I1164" i="21" s="1"/>
  <c r="H1165" i="21"/>
  <c r="I1165" i="21" s="1"/>
  <c r="H1166" i="21"/>
  <c r="I1166" i="21" s="1"/>
  <c r="H1167" i="21"/>
  <c r="I1167" i="21" s="1"/>
  <c r="H1168" i="21"/>
  <c r="I1168" i="21" s="1"/>
  <c r="H1169" i="21"/>
  <c r="I1169" i="21" s="1"/>
  <c r="H1170" i="21"/>
  <c r="H1171" i="21"/>
  <c r="H1172" i="21"/>
  <c r="H1173" i="21"/>
  <c r="I1173" i="21" s="1"/>
  <c r="H1174" i="21"/>
  <c r="I1174" i="21" s="1"/>
  <c r="H1175" i="21"/>
  <c r="H1176" i="21"/>
  <c r="I1176" i="21" s="1"/>
  <c r="H1177" i="21"/>
  <c r="H1178" i="21"/>
  <c r="I1178" i="21" s="1"/>
  <c r="H1179" i="21"/>
  <c r="I1179" i="21" s="1"/>
  <c r="H1180" i="21"/>
  <c r="I1180" i="21" s="1"/>
  <c r="H1181" i="21"/>
  <c r="I1181" i="21" s="1"/>
  <c r="H1182" i="21"/>
  <c r="I1182" i="21" s="1"/>
  <c r="H1183" i="21"/>
  <c r="H1184" i="21"/>
  <c r="I1184" i="21" s="1"/>
  <c r="H1185" i="21"/>
  <c r="I1185" i="21" s="1"/>
  <c r="H1186" i="21"/>
  <c r="I1186" i="21" s="1"/>
  <c r="H1187" i="21"/>
  <c r="H1188" i="21"/>
  <c r="I1188" i="21" s="1"/>
  <c r="H1189" i="21"/>
  <c r="I1189" i="21" s="1"/>
  <c r="H1190" i="21"/>
  <c r="I1190" i="21" s="1"/>
  <c r="H1191" i="21"/>
  <c r="I1191" i="21" s="1"/>
  <c r="H1192" i="21"/>
  <c r="I1192" i="21" s="1"/>
  <c r="H1193" i="21"/>
  <c r="I1193" i="21" s="1"/>
  <c r="H1194" i="21"/>
  <c r="I1194" i="21" s="1"/>
  <c r="H1195" i="21"/>
  <c r="H1196" i="21"/>
  <c r="I1196" i="21" s="1"/>
  <c r="H1197" i="21"/>
  <c r="I1197" i="21" s="1"/>
  <c r="H1198" i="21"/>
  <c r="I1198" i="21" s="1"/>
  <c r="H1199" i="21"/>
  <c r="H1200" i="21"/>
  <c r="I1200" i="21" s="1"/>
  <c r="H1201" i="21"/>
  <c r="I1201" i="21" s="1"/>
  <c r="H1202" i="21"/>
  <c r="I1202" i="21" s="1"/>
  <c r="H1203" i="21"/>
  <c r="I1203" i="21" s="1"/>
  <c r="H1204" i="21"/>
  <c r="I1204" i="21" s="1"/>
  <c r="H1205" i="21"/>
  <c r="I1205" i="21" s="1"/>
  <c r="H1206" i="21"/>
  <c r="I1206" i="21" s="1"/>
  <c r="H1207" i="21"/>
  <c r="H1208" i="21"/>
  <c r="I1208" i="21" s="1"/>
  <c r="H1209" i="21"/>
  <c r="I1209" i="21" s="1"/>
  <c r="H1210" i="21"/>
  <c r="I1210" i="21" s="1"/>
  <c r="H1211" i="21"/>
  <c r="H1212" i="21"/>
  <c r="I1212" i="21" s="1"/>
  <c r="H1213" i="21"/>
  <c r="I1213" i="21" s="1"/>
  <c r="H1214" i="21"/>
  <c r="I1214" i="21" s="1"/>
  <c r="H1215" i="21"/>
  <c r="I1215" i="21" s="1"/>
  <c r="H1216" i="21"/>
  <c r="I1216" i="21" s="1"/>
  <c r="H1217" i="21"/>
  <c r="I1217" i="21" s="1"/>
  <c r="H1218" i="21"/>
  <c r="I1218" i="21" s="1"/>
  <c r="H1219" i="21"/>
  <c r="H1220" i="21"/>
  <c r="I1220" i="21" s="1"/>
  <c r="H1221" i="21"/>
  <c r="I1221" i="21" s="1"/>
  <c r="H1222" i="21"/>
  <c r="I1222" i="21" s="1"/>
  <c r="H1223" i="21"/>
  <c r="H1224" i="21"/>
  <c r="I1224" i="21" s="1"/>
  <c r="H1225" i="21"/>
  <c r="I1225" i="21" s="1"/>
  <c r="H1226" i="21"/>
  <c r="I1226" i="21" s="1"/>
  <c r="H1227" i="21"/>
  <c r="I1227" i="21" s="1"/>
  <c r="H1228" i="21"/>
  <c r="I1228" i="21" s="1"/>
  <c r="H1229" i="21"/>
  <c r="I1229" i="21" s="1"/>
  <c r="H1230" i="21"/>
  <c r="I1230" i="21" s="1"/>
  <c r="H1231" i="21"/>
  <c r="H1232" i="21"/>
  <c r="I1232" i="21" s="1"/>
  <c r="H1233" i="21"/>
  <c r="I1233" i="21" s="1"/>
  <c r="H1234" i="21"/>
  <c r="I1234" i="21" s="1"/>
  <c r="H1235" i="21"/>
  <c r="H1236" i="21"/>
  <c r="I1236" i="21" s="1"/>
  <c r="H1237" i="21"/>
  <c r="I1237" i="21" s="1"/>
  <c r="H1238" i="21"/>
  <c r="I1238" i="21" s="1"/>
  <c r="H1239" i="21"/>
  <c r="I1239" i="21" s="1"/>
  <c r="H1240" i="21"/>
  <c r="I1240" i="21" s="1"/>
  <c r="H1241" i="21"/>
  <c r="I1241" i="21" s="1"/>
  <c r="H1242" i="21"/>
  <c r="I1242" i="21" s="1"/>
  <c r="H1243" i="21"/>
  <c r="H1244" i="21"/>
  <c r="H1245" i="21"/>
  <c r="I1245" i="21" s="1"/>
  <c r="H1246" i="21"/>
  <c r="I1246" i="21" s="1"/>
  <c r="H1247" i="21"/>
  <c r="H1248" i="21"/>
  <c r="I1248" i="21" s="1"/>
  <c r="H1249" i="21"/>
  <c r="I1249" i="21" s="1"/>
  <c r="H1250" i="21"/>
  <c r="I1250" i="21" s="1"/>
  <c r="H1251" i="21"/>
  <c r="I1251" i="21" s="1"/>
  <c r="H1252" i="21"/>
  <c r="I1252" i="21" s="1"/>
  <c r="H1253" i="21"/>
  <c r="I1253" i="21" s="1"/>
  <c r="H1254" i="21"/>
  <c r="I1254" i="21" s="1"/>
  <c r="H1255" i="21"/>
  <c r="H1256" i="21"/>
  <c r="I1256" i="21" s="1"/>
  <c r="H1257" i="21"/>
  <c r="I1257" i="21" s="1"/>
  <c r="H1258" i="21"/>
  <c r="I1258" i="21" s="1"/>
  <c r="H1259" i="21"/>
  <c r="H1260" i="21"/>
  <c r="I1260" i="21" s="1"/>
  <c r="H1261" i="21"/>
  <c r="I1261" i="21" s="1"/>
  <c r="H1262" i="21"/>
  <c r="I1262" i="21" s="1"/>
  <c r="H1263" i="21"/>
  <c r="I1263" i="21" s="1"/>
  <c r="H1264" i="21"/>
  <c r="I1264" i="21" s="1"/>
  <c r="H1265" i="21"/>
  <c r="I1265" i="21" s="1"/>
  <c r="H1266" i="21"/>
  <c r="I1266" i="21" s="1"/>
  <c r="H1267" i="21"/>
  <c r="H1268" i="21"/>
  <c r="I1268" i="21" s="1"/>
  <c r="H1269" i="21"/>
  <c r="I1269" i="21" s="1"/>
  <c r="H1270" i="21"/>
  <c r="I1270" i="21" s="1"/>
  <c r="H1271" i="21"/>
  <c r="H1272" i="21"/>
  <c r="I1272" i="21" s="1"/>
  <c r="H1273" i="21"/>
  <c r="I1273" i="21" s="1"/>
  <c r="H1274" i="21"/>
  <c r="I1274" i="21" s="1"/>
  <c r="H1275" i="21"/>
  <c r="I1275" i="21" s="1"/>
  <c r="H1276" i="21"/>
  <c r="I1276" i="21" s="1"/>
  <c r="H1277" i="21"/>
  <c r="I1277" i="21" s="1"/>
  <c r="H1278" i="21"/>
  <c r="I1278" i="21" s="1"/>
  <c r="H1279" i="21"/>
  <c r="H1280" i="21"/>
  <c r="I1280" i="21" s="1"/>
  <c r="H1281" i="21"/>
  <c r="I1281" i="21" s="1"/>
  <c r="H1282" i="21"/>
  <c r="I1282" i="21" s="1"/>
  <c r="H1283" i="21"/>
  <c r="H1284" i="21"/>
  <c r="I1284" i="21" s="1"/>
  <c r="H1285" i="21"/>
  <c r="I1285" i="21" s="1"/>
  <c r="H1286" i="21"/>
  <c r="I1286" i="21" s="1"/>
  <c r="H1287" i="21"/>
  <c r="I1287" i="21" s="1"/>
  <c r="H1288" i="21"/>
  <c r="I1288" i="21" s="1"/>
  <c r="H1289" i="21"/>
  <c r="I1289" i="21" s="1"/>
  <c r="H1290" i="21"/>
  <c r="I1290" i="21" s="1"/>
  <c r="H1291" i="21"/>
  <c r="H1292" i="21"/>
  <c r="I1292" i="21" s="1"/>
  <c r="H1293" i="21"/>
  <c r="I1293" i="21" s="1"/>
  <c r="H1294" i="21"/>
  <c r="I1294" i="21" s="1"/>
  <c r="H1295" i="21"/>
  <c r="H1296" i="21"/>
  <c r="I1296" i="21" s="1"/>
  <c r="H1297" i="21"/>
  <c r="I1297" i="21" s="1"/>
  <c r="H1298" i="21"/>
  <c r="I1298" i="21" s="1"/>
  <c r="H1299" i="21"/>
  <c r="I1299" i="21" s="1"/>
  <c r="H1300" i="21"/>
  <c r="I1300" i="21" s="1"/>
  <c r="H1301" i="21"/>
  <c r="I1301" i="21" s="1"/>
  <c r="H1302" i="21"/>
  <c r="I1302" i="21" s="1"/>
  <c r="H1303" i="21"/>
  <c r="H1304" i="21"/>
  <c r="I1304" i="21" s="1"/>
  <c r="H1305" i="21"/>
  <c r="I1305" i="21" s="1"/>
  <c r="H1306" i="21"/>
  <c r="I1306" i="21" s="1"/>
  <c r="H1307" i="21"/>
  <c r="H1308" i="21"/>
  <c r="I1308" i="21" s="1"/>
  <c r="H1309" i="21"/>
  <c r="H1310" i="21"/>
  <c r="I1310" i="21" s="1"/>
  <c r="H1311" i="21"/>
  <c r="I1311" i="21" s="1"/>
  <c r="H1312" i="21"/>
  <c r="I1312" i="21" s="1"/>
  <c r="H1313" i="21"/>
  <c r="I1313" i="21" s="1"/>
  <c r="H1314" i="21"/>
  <c r="I1314" i="21" s="1"/>
  <c r="H1315" i="21"/>
  <c r="H1316" i="21"/>
  <c r="H1317" i="21"/>
  <c r="I1317" i="21" s="1"/>
  <c r="H1318" i="21"/>
  <c r="I1318" i="21" s="1"/>
  <c r="H1319" i="21"/>
  <c r="H1320" i="21"/>
  <c r="I1320" i="21" s="1"/>
  <c r="H1321" i="21"/>
  <c r="I1321" i="21" s="1"/>
  <c r="H1322" i="21"/>
  <c r="I1322" i="21" s="1"/>
  <c r="H1323" i="21"/>
  <c r="I1323" i="21" s="1"/>
  <c r="H1324" i="21"/>
  <c r="I1324" i="21" s="1"/>
  <c r="H1325" i="21"/>
  <c r="I1325" i="21" s="1"/>
  <c r="H1326" i="21"/>
  <c r="I1326" i="21" s="1"/>
  <c r="H1327" i="21"/>
  <c r="H1328" i="21"/>
  <c r="I1328" i="21" s="1"/>
  <c r="H1329" i="21"/>
  <c r="I1329" i="21" s="1"/>
  <c r="H1330" i="21"/>
  <c r="I1330" i="21" s="1"/>
  <c r="H1331" i="21"/>
  <c r="H1332" i="21"/>
  <c r="I1332" i="21" s="1"/>
  <c r="H1333" i="21"/>
  <c r="I1333" i="21" s="1"/>
  <c r="H1334" i="21"/>
  <c r="I1334" i="21" s="1"/>
  <c r="H1335" i="21"/>
  <c r="I1335" i="21" s="1"/>
  <c r="H1336" i="21"/>
  <c r="I1336" i="21" s="1"/>
  <c r="H1337" i="21"/>
  <c r="I1337" i="21" s="1"/>
  <c r="H1338" i="21"/>
  <c r="I1338" i="21" s="1"/>
  <c r="H1339" i="21"/>
  <c r="H1340" i="21"/>
  <c r="I1340" i="21" s="1"/>
  <c r="H1341" i="21"/>
  <c r="I1341" i="21" s="1"/>
  <c r="H1342" i="21"/>
  <c r="I1342" i="21" s="1"/>
  <c r="H1343" i="21"/>
  <c r="H1344" i="21"/>
  <c r="I1344" i="21" s="1"/>
  <c r="H1345" i="21"/>
  <c r="I1345" i="21" s="1"/>
  <c r="H1346" i="21"/>
  <c r="I1346" i="21" s="1"/>
  <c r="H1347" i="21"/>
  <c r="I1347" i="21" s="1"/>
  <c r="H1348" i="21"/>
  <c r="I1348" i="21" s="1"/>
  <c r="H1349" i="21"/>
  <c r="I1349" i="21" s="1"/>
  <c r="H1350" i="21"/>
  <c r="I1350" i="21" s="1"/>
  <c r="H1351" i="21"/>
  <c r="H1352" i="21"/>
  <c r="H1353" i="21"/>
  <c r="I1353" i="21" s="1"/>
  <c r="H1354" i="21"/>
  <c r="I1354" i="21" s="1"/>
  <c r="H1355" i="21"/>
  <c r="H1356" i="21"/>
  <c r="I1356" i="21" s="1"/>
  <c r="H1357" i="21"/>
  <c r="I1357" i="21" s="1"/>
  <c r="H1358" i="21"/>
  <c r="I1358" i="21" s="1"/>
  <c r="H1359" i="21"/>
  <c r="I1359" i="21" s="1"/>
  <c r="H1360" i="21"/>
  <c r="I1360" i="21" s="1"/>
  <c r="H1361" i="21"/>
  <c r="I1361" i="21" s="1"/>
  <c r="H1362" i="21"/>
  <c r="I1362" i="21" s="1"/>
  <c r="H1363" i="21"/>
  <c r="H1364" i="21"/>
  <c r="I1364" i="21" s="1"/>
  <c r="H1365" i="21"/>
  <c r="I1365" i="21" s="1"/>
  <c r="H1366" i="21"/>
  <c r="I1366" i="21" s="1"/>
  <c r="H1367" i="21"/>
  <c r="H1368" i="21"/>
  <c r="I1368" i="21" s="1"/>
  <c r="H1369" i="21"/>
  <c r="I1369" i="21" s="1"/>
  <c r="H1370" i="21"/>
  <c r="I1370" i="21" s="1"/>
  <c r="H1371" i="21"/>
  <c r="I1371" i="21" s="1"/>
  <c r="H1372" i="21"/>
  <c r="I1372" i="21" s="1"/>
  <c r="H1373" i="21"/>
  <c r="I1373" i="21" s="1"/>
  <c r="H1374" i="21"/>
  <c r="I1374" i="21" s="1"/>
  <c r="H1375" i="21"/>
  <c r="H1376" i="21"/>
  <c r="I1376" i="21" s="1"/>
  <c r="H1377" i="21"/>
  <c r="I1377" i="21" s="1"/>
  <c r="H1378" i="21"/>
  <c r="I1378" i="21" s="1"/>
  <c r="H1379" i="21"/>
  <c r="H1380" i="21"/>
  <c r="I1380" i="21" s="1"/>
  <c r="H1381" i="21"/>
  <c r="I1381" i="21" s="1"/>
  <c r="H1382" i="21"/>
  <c r="I1382" i="21" s="1"/>
  <c r="H1383" i="21"/>
  <c r="I1383" i="21" s="1"/>
  <c r="H1384" i="21"/>
  <c r="I1384" i="21" s="1"/>
  <c r="H1385" i="21"/>
  <c r="I1385" i="21" s="1"/>
  <c r="H1386" i="21"/>
  <c r="I1386" i="21" s="1"/>
  <c r="H1387" i="21"/>
  <c r="H1388" i="21"/>
  <c r="H1389" i="21"/>
  <c r="I1389" i="21" s="1"/>
  <c r="H1390" i="21"/>
  <c r="I1390" i="21" s="1"/>
  <c r="H1391" i="21"/>
  <c r="H1392" i="21"/>
  <c r="I1392" i="21" s="1"/>
  <c r="H1393" i="21"/>
  <c r="I1393" i="21" s="1"/>
  <c r="H1394" i="21"/>
  <c r="I1394" i="21" s="1"/>
  <c r="H1395" i="21"/>
  <c r="I1395" i="21" s="1"/>
  <c r="H1396" i="21"/>
  <c r="I1396" i="21" s="1"/>
  <c r="H1397" i="21"/>
  <c r="I1397" i="21" s="1"/>
  <c r="H1398" i="21"/>
  <c r="I1398" i="21" s="1"/>
  <c r="H1399" i="21"/>
  <c r="H1400" i="21"/>
  <c r="I1400" i="21" s="1"/>
  <c r="H1401" i="21"/>
  <c r="I1401" i="21" s="1"/>
  <c r="H1402" i="21"/>
  <c r="I1402" i="21" s="1"/>
  <c r="H1403" i="21"/>
  <c r="H1404" i="21"/>
  <c r="I1404" i="21" s="1"/>
  <c r="H1405" i="21"/>
  <c r="H1406" i="21"/>
  <c r="I1406" i="21" s="1"/>
  <c r="H1407" i="21"/>
  <c r="I1407" i="21" s="1"/>
  <c r="H1408" i="21"/>
  <c r="I1408" i="21" s="1"/>
  <c r="H1409" i="21"/>
  <c r="I1409" i="21" s="1"/>
  <c r="H1410" i="21"/>
  <c r="I1410" i="21" s="1"/>
  <c r="H1411" i="21"/>
  <c r="H1412" i="21"/>
  <c r="I1412" i="21" s="1"/>
  <c r="H1413" i="21"/>
  <c r="I1413" i="21" s="1"/>
  <c r="H1414" i="21"/>
  <c r="I1414" i="21" s="1"/>
  <c r="H1415" i="21"/>
  <c r="H1416" i="21"/>
  <c r="I1416" i="21" s="1"/>
  <c r="H1417" i="21"/>
  <c r="I1417" i="21" s="1"/>
  <c r="H1418" i="21"/>
  <c r="I1418" i="21" s="1"/>
  <c r="H1419" i="21"/>
  <c r="I1419" i="21" s="1"/>
  <c r="H1420" i="21"/>
  <c r="I1420" i="21" s="1"/>
  <c r="H1421" i="21"/>
  <c r="I1421" i="21" s="1"/>
  <c r="H1422" i="21"/>
  <c r="I1422" i="21" s="1"/>
  <c r="H1423" i="21"/>
  <c r="H1424" i="21"/>
  <c r="I1424" i="21" s="1"/>
  <c r="H1425" i="21"/>
  <c r="I1425" i="21" s="1"/>
  <c r="H1426" i="21"/>
  <c r="I1426" i="21" s="1"/>
  <c r="H1427" i="21"/>
  <c r="H1428" i="21"/>
  <c r="I1428" i="21" s="1"/>
  <c r="H1429" i="21"/>
  <c r="I1429" i="21" s="1"/>
  <c r="H1430" i="21"/>
  <c r="I1430" i="21" s="1"/>
  <c r="H1431" i="21"/>
  <c r="I1431" i="21" s="1"/>
  <c r="H1432" i="21"/>
  <c r="I1432" i="21" s="1"/>
  <c r="H1433" i="21"/>
  <c r="I1433" i="21" s="1"/>
  <c r="H1434" i="21"/>
  <c r="I1434" i="21" s="1"/>
  <c r="H1435" i="21"/>
  <c r="H1436" i="21"/>
  <c r="I1436" i="21" s="1"/>
  <c r="H1437" i="21"/>
  <c r="I1437" i="21" s="1"/>
  <c r="H1438" i="21"/>
  <c r="I1438" i="21" s="1"/>
  <c r="H1439" i="21"/>
  <c r="H1440" i="21"/>
  <c r="I1440" i="21" s="1"/>
  <c r="H1441" i="21"/>
  <c r="I1441" i="21" s="1"/>
  <c r="H1442" i="21"/>
  <c r="I1442" i="21" s="1"/>
  <c r="H1443" i="21"/>
  <c r="I1443" i="21" s="1"/>
  <c r="H1444" i="21"/>
  <c r="I1444" i="21" s="1"/>
  <c r="H1445" i="21"/>
  <c r="I1445" i="21" s="1"/>
  <c r="H1446" i="21"/>
  <c r="I1446" i="21" s="1"/>
  <c r="H1447" i="21"/>
  <c r="H1448" i="21"/>
  <c r="I1448" i="21" s="1"/>
  <c r="H1449" i="21"/>
  <c r="I1449" i="21" s="1"/>
  <c r="H1450" i="21"/>
  <c r="I1450" i="21" s="1"/>
  <c r="H1451" i="21"/>
  <c r="H1452" i="21"/>
  <c r="I1452" i="21" s="1"/>
  <c r="H1453" i="21"/>
  <c r="I1453" i="21" s="1"/>
  <c r="H1454" i="21"/>
  <c r="I1454" i="21" s="1"/>
  <c r="H1455" i="21"/>
  <c r="I1455" i="21" s="1"/>
  <c r="H1456" i="21"/>
  <c r="I1456" i="21" s="1"/>
  <c r="H1457" i="21"/>
  <c r="I1457" i="21" s="1"/>
  <c r="H1458" i="21"/>
  <c r="I1458" i="21" s="1"/>
  <c r="H1459" i="21"/>
  <c r="H1460" i="21"/>
  <c r="H1461" i="21"/>
  <c r="I1461" i="21" s="1"/>
  <c r="H1462" i="21"/>
  <c r="I1462" i="21" s="1"/>
  <c r="H1463" i="21"/>
  <c r="H1464" i="21"/>
  <c r="I1464" i="21" s="1"/>
  <c r="H1465" i="21"/>
  <c r="I1465" i="21" s="1"/>
  <c r="H1466" i="21"/>
  <c r="I1466" i="21" s="1"/>
  <c r="H1467" i="21"/>
  <c r="I1467" i="21" s="1"/>
  <c r="H1468" i="21"/>
  <c r="I1468" i="21" s="1"/>
  <c r="H1469" i="21"/>
  <c r="I1469" i="21" s="1"/>
  <c r="H1470" i="21"/>
  <c r="I1470" i="21" s="1"/>
  <c r="H1471" i="21"/>
  <c r="H1472" i="21"/>
  <c r="I1472" i="21" s="1"/>
  <c r="H1473" i="21"/>
  <c r="I1473" i="21" s="1"/>
  <c r="H1474" i="21"/>
  <c r="I1474" i="21" s="1"/>
  <c r="H1475" i="21"/>
  <c r="H1476" i="21"/>
  <c r="I1476" i="21" s="1"/>
  <c r="H1477" i="21"/>
  <c r="I1477" i="21" s="1"/>
  <c r="H1478" i="21"/>
  <c r="I1478" i="21" s="1"/>
  <c r="H1479" i="21"/>
  <c r="I1479" i="21" s="1"/>
  <c r="H1480" i="21"/>
  <c r="I1480" i="21" s="1"/>
  <c r="H1481" i="21"/>
  <c r="I1481" i="21" s="1"/>
  <c r="H1482" i="21"/>
  <c r="I1482" i="21" s="1"/>
  <c r="H1483" i="21"/>
  <c r="H1484" i="21"/>
  <c r="I1484" i="21" s="1"/>
  <c r="H1485" i="21"/>
  <c r="I1485" i="21" s="1"/>
  <c r="H1486" i="21"/>
  <c r="I1486" i="21" s="1"/>
  <c r="H1487" i="21"/>
  <c r="H1488" i="21"/>
  <c r="I1488" i="21" s="1"/>
  <c r="H1489" i="21"/>
  <c r="I1489" i="21" s="1"/>
  <c r="H1490" i="21"/>
  <c r="I1490" i="21" s="1"/>
  <c r="H1491" i="21"/>
  <c r="I1491" i="21" s="1"/>
  <c r="H1492" i="21"/>
  <c r="I1492" i="21" s="1"/>
  <c r="H1493" i="21"/>
  <c r="I1493" i="21" s="1"/>
  <c r="H1494" i="21"/>
  <c r="I1494" i="21" s="1"/>
  <c r="H1495" i="21"/>
  <c r="H1496" i="21"/>
  <c r="I1496" i="21" s="1"/>
  <c r="H1497" i="21"/>
  <c r="I1497" i="21" s="1"/>
  <c r="H1498" i="21"/>
  <c r="I1498" i="21" s="1"/>
  <c r="H1499" i="21"/>
  <c r="H1500" i="21"/>
  <c r="I1500" i="21" s="1"/>
  <c r="H1501" i="21"/>
  <c r="H1502" i="21"/>
  <c r="I1502" i="21" s="1"/>
  <c r="H1503" i="21"/>
  <c r="I1503" i="21" s="1"/>
  <c r="H1504" i="21"/>
  <c r="I1504" i="21" s="1"/>
  <c r="H1505" i="21"/>
  <c r="I1505" i="21" s="1"/>
  <c r="H1506" i="21"/>
  <c r="I1506" i="21" s="1"/>
  <c r="H1507" i="21"/>
  <c r="H1508" i="21"/>
  <c r="I1508" i="21" s="1"/>
  <c r="H1509" i="21"/>
  <c r="I1509" i="21" s="1"/>
  <c r="H1510" i="21"/>
  <c r="I1510" i="21" s="1"/>
  <c r="H1511" i="21"/>
  <c r="H1512" i="21"/>
  <c r="I1512" i="21" s="1"/>
  <c r="H1513" i="21"/>
  <c r="I1513" i="21" s="1"/>
  <c r="H1514" i="21"/>
  <c r="I1514" i="21" s="1"/>
  <c r="H1515" i="21"/>
  <c r="I1515" i="21" s="1"/>
  <c r="H1516" i="21"/>
  <c r="I1516" i="21" s="1"/>
  <c r="H1517" i="21"/>
  <c r="I1517" i="21" s="1"/>
  <c r="H1518" i="21"/>
  <c r="I1518" i="21" s="1"/>
  <c r="H1519" i="21"/>
  <c r="H1520" i="21"/>
  <c r="I1520" i="21" s="1"/>
  <c r="H1521" i="21"/>
  <c r="I1521" i="21" s="1"/>
  <c r="H1522" i="21"/>
  <c r="I1522" i="21" s="1"/>
  <c r="H1523" i="21"/>
  <c r="H1524" i="21"/>
  <c r="I1524" i="21" s="1"/>
  <c r="H1525" i="21"/>
  <c r="I1525" i="21" s="1"/>
  <c r="H1526" i="21"/>
  <c r="I1526" i="21" s="1"/>
  <c r="H1527" i="21"/>
  <c r="I1527" i="21" s="1"/>
  <c r="H1528" i="21"/>
  <c r="I1528" i="21" s="1"/>
  <c r="H1529" i="21"/>
  <c r="I1529" i="21" s="1"/>
  <c r="H1530" i="21"/>
  <c r="I1530" i="21" s="1"/>
  <c r="H1531" i="21"/>
  <c r="H1532" i="21"/>
  <c r="H1533" i="21"/>
  <c r="I1533" i="21" s="1"/>
  <c r="H1534" i="21"/>
  <c r="I1534" i="21" s="1"/>
  <c r="H1535" i="21"/>
  <c r="H1536" i="21"/>
  <c r="I1536" i="21" s="1"/>
  <c r="H1537" i="21"/>
  <c r="I1537" i="21" s="1"/>
  <c r="H1538" i="21"/>
  <c r="I1538" i="21" s="1"/>
  <c r="H1539" i="21"/>
  <c r="I1539" i="21" s="1"/>
  <c r="H1540" i="21"/>
  <c r="I1540" i="21" s="1"/>
  <c r="H1541" i="21"/>
  <c r="I1541" i="21" s="1"/>
  <c r="H1542" i="21"/>
  <c r="I1542" i="21" s="1"/>
  <c r="H1543" i="21"/>
  <c r="H1544" i="21"/>
  <c r="I1544" i="21" s="1"/>
  <c r="H1545" i="21"/>
  <c r="I1545" i="21" s="1"/>
  <c r="H1546" i="21"/>
  <c r="I1546" i="21" s="1"/>
  <c r="H1547" i="21"/>
  <c r="H1548" i="21"/>
  <c r="I1548" i="21" s="1"/>
  <c r="H1549" i="21"/>
  <c r="I1549" i="21" s="1"/>
  <c r="H1550" i="21"/>
  <c r="I1550" i="21" s="1"/>
  <c r="H1551" i="21"/>
  <c r="I1551" i="21" s="1"/>
  <c r="H1552" i="21"/>
  <c r="I1552" i="21" s="1"/>
  <c r="H1553" i="21"/>
  <c r="I1553" i="21" s="1"/>
  <c r="H1554" i="21"/>
  <c r="I1554" i="21" s="1"/>
  <c r="H1555" i="21"/>
  <c r="H1556" i="21"/>
  <c r="I1556" i="21" s="1"/>
  <c r="H1557" i="21"/>
  <c r="I1557" i="21" s="1"/>
  <c r="H1558" i="21"/>
  <c r="I1558" i="21" s="1"/>
  <c r="H1559" i="21"/>
  <c r="H1560" i="21"/>
  <c r="I1560" i="21" s="1"/>
  <c r="H1561" i="21"/>
  <c r="I1561" i="21" s="1"/>
  <c r="H1562" i="21"/>
  <c r="I1562" i="21" s="1"/>
  <c r="H1563" i="21"/>
  <c r="I1563" i="21" s="1"/>
  <c r="H1564" i="21"/>
  <c r="I1564" i="21" s="1"/>
  <c r="H1565" i="21"/>
  <c r="I1565" i="21" s="1"/>
  <c r="H1566" i="21"/>
  <c r="I1566" i="21" s="1"/>
  <c r="H1567" i="21"/>
  <c r="H1568" i="21"/>
  <c r="I1568" i="21" s="1"/>
  <c r="H1569" i="21"/>
  <c r="I1569" i="21" s="1"/>
  <c r="H1570" i="21"/>
  <c r="I1570" i="21" s="1"/>
  <c r="H1571" i="21"/>
  <c r="H1572" i="21"/>
  <c r="I1572" i="21" s="1"/>
  <c r="H1573" i="21"/>
  <c r="I1573" i="21" s="1"/>
  <c r="H1574" i="21"/>
  <c r="I1574" i="21" s="1"/>
  <c r="H1575" i="21"/>
  <c r="I1575" i="21" s="1"/>
  <c r="H1576" i="21"/>
  <c r="I1576" i="21" s="1"/>
  <c r="H1577" i="21"/>
  <c r="I1577" i="21" s="1"/>
  <c r="H1578" i="21"/>
  <c r="I1578" i="21" s="1"/>
  <c r="H1579" i="21"/>
  <c r="H1580" i="21"/>
  <c r="I1580" i="21" s="1"/>
  <c r="H1581" i="21"/>
  <c r="I1581" i="21" s="1"/>
  <c r="H1582" i="21"/>
  <c r="I1582" i="21" s="1"/>
  <c r="H1583" i="21"/>
  <c r="H1584" i="21"/>
  <c r="I1584" i="21" s="1"/>
  <c r="H1585" i="21"/>
  <c r="I1585" i="21" s="1"/>
  <c r="H1586" i="21"/>
  <c r="I1586" i="21" s="1"/>
  <c r="H1587" i="21"/>
  <c r="I1587" i="21" s="1"/>
  <c r="H1588" i="21"/>
  <c r="I1588" i="21" s="1"/>
  <c r="H1589" i="21"/>
  <c r="I1589" i="21" s="1"/>
  <c r="H1590" i="21"/>
  <c r="I1590" i="21" s="1"/>
  <c r="H1591" i="21"/>
  <c r="H1592" i="21"/>
  <c r="I1592" i="21" s="1"/>
  <c r="H1593" i="21"/>
  <c r="I1593" i="21" s="1"/>
  <c r="H1594" i="21"/>
  <c r="I1594" i="21" s="1"/>
  <c r="H1595" i="21"/>
  <c r="H1596" i="21"/>
  <c r="I1596" i="21" s="1"/>
  <c r="H1597" i="21"/>
  <c r="H1598" i="21"/>
  <c r="I1598" i="21" s="1"/>
  <c r="H1599" i="21"/>
  <c r="I1599" i="21" s="1"/>
  <c r="H1600" i="21"/>
  <c r="I1600" i="21" s="1"/>
  <c r="H1601" i="21"/>
  <c r="I1601" i="21" s="1"/>
  <c r="H1602" i="21"/>
  <c r="I1602" i="21" s="1"/>
  <c r="H1603" i="21"/>
  <c r="H1604" i="21"/>
  <c r="I1604" i="21" s="1"/>
  <c r="H1605" i="21"/>
  <c r="I1605" i="21" s="1"/>
  <c r="H1606" i="21"/>
  <c r="I1606" i="21" s="1"/>
  <c r="H1607" i="21"/>
  <c r="H1608" i="21"/>
  <c r="I1608" i="21" s="1"/>
  <c r="H1609" i="21"/>
  <c r="I1609" i="21" s="1"/>
  <c r="H1610" i="21"/>
  <c r="I1610" i="21" s="1"/>
  <c r="H1611" i="21"/>
  <c r="I1611" i="21" s="1"/>
  <c r="H1612" i="21"/>
  <c r="I1612" i="21" s="1"/>
  <c r="H1613" i="21"/>
  <c r="I1613" i="21" s="1"/>
  <c r="H1614" i="21"/>
  <c r="I1614" i="21" s="1"/>
  <c r="H1615" i="21"/>
  <c r="H1616" i="21"/>
  <c r="I1616" i="21" s="1"/>
  <c r="H1617" i="21"/>
  <c r="I1617" i="21" s="1"/>
  <c r="H1618" i="21"/>
  <c r="I1618" i="21" s="1"/>
  <c r="H1619" i="21"/>
  <c r="H1620" i="21"/>
  <c r="I1620" i="21" s="1"/>
  <c r="H1621" i="21"/>
  <c r="I1621" i="21" s="1"/>
  <c r="H1622" i="21"/>
  <c r="I1622" i="21" s="1"/>
  <c r="H1623" i="21"/>
  <c r="I1623" i="21" s="1"/>
  <c r="H1624" i="21"/>
  <c r="I1624" i="21" s="1"/>
  <c r="H1625" i="21"/>
  <c r="I1625" i="21" s="1"/>
  <c r="H1626" i="21"/>
  <c r="I1626" i="21" s="1"/>
  <c r="H1627" i="21"/>
  <c r="H1628" i="21"/>
  <c r="I1628" i="21" s="1"/>
  <c r="H1629" i="21"/>
  <c r="I1629" i="21" s="1"/>
  <c r="H1630" i="21"/>
  <c r="I1630" i="21" s="1"/>
  <c r="H1631" i="21"/>
  <c r="H1632" i="21"/>
  <c r="I1632" i="21" s="1"/>
  <c r="H1633" i="21"/>
  <c r="I1633" i="21" s="1"/>
  <c r="H1634" i="21"/>
  <c r="I1634" i="21" s="1"/>
  <c r="H1635" i="21"/>
  <c r="I1635" i="21" s="1"/>
  <c r="H1636" i="21"/>
  <c r="I1636" i="21" s="1"/>
  <c r="H1637" i="21"/>
  <c r="I1637" i="21" s="1"/>
  <c r="H1638" i="21"/>
  <c r="I1638" i="21" s="1"/>
  <c r="H1639" i="21"/>
  <c r="H1640" i="21"/>
  <c r="I1640" i="21" s="1"/>
  <c r="H1641" i="21"/>
  <c r="I1641" i="21" s="1"/>
  <c r="H1642" i="21"/>
  <c r="I1642" i="21" s="1"/>
  <c r="H1643" i="21"/>
  <c r="H1644" i="21"/>
  <c r="I1644" i="21" s="1"/>
  <c r="H1645" i="21"/>
  <c r="I1645" i="21" s="1"/>
  <c r="H1646" i="21"/>
  <c r="I1646" i="21" s="1"/>
  <c r="H1647" i="21"/>
  <c r="I1647" i="21" s="1"/>
  <c r="H1648" i="21"/>
  <c r="I1648" i="21" s="1"/>
  <c r="H1649" i="21"/>
  <c r="I1649" i="21" s="1"/>
  <c r="H1650" i="21"/>
  <c r="I1650" i="21" s="1"/>
  <c r="H1651" i="21"/>
  <c r="H1652" i="21"/>
  <c r="H1653" i="21"/>
  <c r="I1653" i="21" s="1"/>
  <c r="H1654" i="21"/>
  <c r="I1654" i="21" s="1"/>
  <c r="H1655" i="21"/>
  <c r="H1656" i="21"/>
  <c r="I1656" i="21" s="1"/>
  <c r="H1657" i="21"/>
  <c r="I1657" i="21" s="1"/>
  <c r="H1658" i="21"/>
  <c r="I1658" i="21" s="1"/>
  <c r="H1659" i="21"/>
  <c r="I1659" i="21" s="1"/>
  <c r="H1660" i="21"/>
  <c r="I1660" i="21" s="1"/>
  <c r="H1661" i="21"/>
  <c r="I1661" i="21" s="1"/>
  <c r="H1662" i="21"/>
  <c r="I1662" i="21" s="1"/>
  <c r="H1663" i="21"/>
  <c r="H1664" i="21"/>
  <c r="I1664" i="21" s="1"/>
  <c r="H1665" i="21"/>
  <c r="I1665" i="21" s="1"/>
  <c r="H1666" i="21"/>
  <c r="I1666" i="21" s="1"/>
  <c r="H1667" i="21"/>
  <c r="H1668" i="21"/>
  <c r="I1668" i="21" s="1"/>
  <c r="H1669" i="21"/>
  <c r="I1669" i="21" s="1"/>
  <c r="H1670" i="21"/>
  <c r="I1670" i="21" s="1"/>
  <c r="H1671" i="21"/>
  <c r="I1671" i="21" s="1"/>
  <c r="H1672" i="21"/>
  <c r="I1672" i="21" s="1"/>
  <c r="H1673" i="21"/>
  <c r="I1673" i="21" s="1"/>
  <c r="H1674" i="21"/>
  <c r="I1674" i="21" s="1"/>
  <c r="H1675" i="21"/>
  <c r="H1676" i="21"/>
  <c r="I1676" i="21" s="1"/>
  <c r="H1677" i="21"/>
  <c r="I1677" i="21" s="1"/>
  <c r="H1678" i="21"/>
  <c r="I1678" i="21" s="1"/>
  <c r="H1679" i="21"/>
  <c r="H1680" i="21"/>
  <c r="I1680" i="21" s="1"/>
  <c r="H1681" i="21"/>
  <c r="I1681" i="21" s="1"/>
  <c r="H1682" i="21"/>
  <c r="I1682" i="21" s="1"/>
  <c r="H1683" i="21"/>
  <c r="I1683" i="21" s="1"/>
  <c r="H1684" i="21"/>
  <c r="I1684" i="21" s="1"/>
  <c r="H1685" i="21"/>
  <c r="I1685" i="21" s="1"/>
  <c r="H1686" i="21"/>
  <c r="I1686" i="21" s="1"/>
  <c r="H1687" i="21"/>
  <c r="H1688" i="21"/>
  <c r="I1688" i="21" s="1"/>
  <c r="H1689" i="21"/>
  <c r="I1689" i="21" s="1"/>
  <c r="H1690" i="21"/>
  <c r="I1690" i="21" s="1"/>
  <c r="H1691" i="21"/>
  <c r="H1692" i="21"/>
  <c r="I1692" i="21" s="1"/>
  <c r="H1693" i="21"/>
  <c r="H1694" i="21"/>
  <c r="I1694" i="21" s="1"/>
  <c r="H1695" i="21"/>
  <c r="I1695" i="21" s="1"/>
  <c r="H1696" i="21"/>
  <c r="I1696" i="21" s="1"/>
  <c r="H1697" i="21"/>
  <c r="I1697" i="21" s="1"/>
  <c r="H1698" i="21"/>
  <c r="I1698" i="21" s="1"/>
  <c r="H1699" i="21"/>
  <c r="H1700" i="21"/>
  <c r="I1700" i="21" s="1"/>
  <c r="H1701" i="21"/>
  <c r="I1701" i="21" s="1"/>
  <c r="H1702" i="21"/>
  <c r="I1702" i="21" s="1"/>
  <c r="H1703" i="21"/>
  <c r="H1704" i="21"/>
  <c r="I1704" i="21" s="1"/>
  <c r="H1705" i="21"/>
  <c r="I1705" i="21" s="1"/>
  <c r="H1706" i="21"/>
  <c r="I1706" i="21" s="1"/>
  <c r="H1707" i="21"/>
  <c r="I1707" i="21" s="1"/>
  <c r="H1708" i="21"/>
  <c r="I1708" i="21" s="1"/>
  <c r="H1709" i="21"/>
  <c r="I1709" i="21" s="1"/>
  <c r="H1710" i="21"/>
  <c r="I1710" i="21" s="1"/>
  <c r="H1711" i="21"/>
  <c r="H1712" i="21"/>
  <c r="I1712" i="21" s="1"/>
  <c r="H1713" i="21"/>
  <c r="I1713" i="21" s="1"/>
  <c r="H1714" i="21"/>
  <c r="I1714" i="21" s="1"/>
  <c r="H1715" i="21"/>
  <c r="H1716" i="21"/>
  <c r="I1716" i="21" s="1"/>
  <c r="H1717" i="21"/>
  <c r="I1717" i="21" s="1"/>
  <c r="H1718" i="21"/>
  <c r="I1718" i="21" s="1"/>
  <c r="H1719" i="21"/>
  <c r="I1719" i="21" s="1"/>
  <c r="H1720" i="21"/>
  <c r="I1720" i="21" s="1"/>
  <c r="H1721" i="21"/>
  <c r="I1721" i="21" s="1"/>
  <c r="H1722" i="21"/>
  <c r="I1722" i="21" s="1"/>
  <c r="H1723" i="21"/>
  <c r="H1724" i="21"/>
  <c r="I1724" i="21" s="1"/>
  <c r="H1725" i="21"/>
  <c r="I1725" i="21" s="1"/>
  <c r="H1726" i="21"/>
  <c r="I1726" i="21" s="1"/>
  <c r="H1727" i="21"/>
  <c r="H1728" i="21"/>
  <c r="I1728" i="21" s="1"/>
  <c r="H1729" i="21"/>
  <c r="I1729" i="21" s="1"/>
  <c r="H1730" i="21"/>
  <c r="I1730" i="21" s="1"/>
  <c r="H1731" i="21"/>
  <c r="I1731" i="21" s="1"/>
  <c r="H1732" i="21"/>
  <c r="I1732" i="21" s="1"/>
  <c r="H1733" i="21"/>
  <c r="I1733" i="21" s="1"/>
  <c r="H1734" i="21"/>
  <c r="I1734" i="21" s="1"/>
  <c r="H1735" i="21"/>
  <c r="H1736" i="21"/>
  <c r="I1736" i="21" s="1"/>
  <c r="H1737" i="21"/>
  <c r="I1737" i="21" s="1"/>
  <c r="H1738" i="21"/>
  <c r="I1738" i="21" s="1"/>
  <c r="H1739" i="21"/>
  <c r="H1740" i="21"/>
  <c r="I1740" i="21" s="1"/>
  <c r="H1741" i="21"/>
  <c r="I1741" i="21" s="1"/>
  <c r="H1742" i="21"/>
  <c r="I1742" i="21" s="1"/>
  <c r="H1743" i="21"/>
  <c r="I1743" i="21" s="1"/>
  <c r="H1744" i="21"/>
  <c r="I1744" i="21" s="1"/>
  <c r="H1745" i="21"/>
  <c r="I1745" i="21" s="1"/>
  <c r="H1746" i="21"/>
  <c r="I1746" i="21" s="1"/>
  <c r="H1747" i="21"/>
  <c r="H1748" i="21"/>
  <c r="I1748" i="21" s="1"/>
  <c r="H1749" i="21"/>
  <c r="I1749" i="21" s="1"/>
  <c r="H1750" i="21"/>
  <c r="I1750" i="21" s="1"/>
  <c r="H1751" i="21"/>
  <c r="H1752" i="21"/>
  <c r="I1752" i="21" s="1"/>
  <c r="H1753" i="21"/>
  <c r="I1753" i="21" s="1"/>
  <c r="H1754" i="21"/>
  <c r="I1754" i="21" s="1"/>
  <c r="H1755" i="21"/>
  <c r="I1755" i="21" s="1"/>
  <c r="H1756" i="21"/>
  <c r="I1756" i="21" s="1"/>
  <c r="H1757" i="21"/>
  <c r="I1757" i="21" s="1"/>
  <c r="H1758" i="21"/>
  <c r="I1758" i="21" s="1"/>
  <c r="H1759" i="21"/>
  <c r="H1760" i="21"/>
  <c r="I1760" i="21" s="1"/>
  <c r="H1761" i="21"/>
  <c r="I1761" i="21" s="1"/>
  <c r="H1762" i="21"/>
  <c r="I1762" i="21" s="1"/>
  <c r="H1763" i="21"/>
  <c r="H1764" i="21"/>
  <c r="I1764" i="21" s="1"/>
  <c r="H1765" i="21"/>
  <c r="I1765" i="21" s="1"/>
  <c r="H1766" i="21"/>
  <c r="I1766" i="21" s="1"/>
  <c r="H1767" i="21"/>
  <c r="I1767" i="21" s="1"/>
  <c r="H1768" i="21"/>
  <c r="I1768" i="21" s="1"/>
  <c r="H1769" i="21"/>
  <c r="I1769" i="21" s="1"/>
  <c r="H1770" i="21"/>
  <c r="I1770" i="21" s="1"/>
  <c r="H1771" i="21"/>
  <c r="H1772" i="21"/>
  <c r="I1772" i="21" s="1"/>
  <c r="H1773" i="21"/>
  <c r="I1773" i="21" s="1"/>
  <c r="H1774" i="21"/>
  <c r="I1774" i="21" s="1"/>
  <c r="H1775" i="21"/>
  <c r="H1776" i="21"/>
  <c r="I1776" i="21" s="1"/>
  <c r="H1777" i="21"/>
  <c r="I1777" i="21" s="1"/>
  <c r="H1778" i="21"/>
  <c r="I1778" i="21" s="1"/>
  <c r="H1779" i="21"/>
  <c r="I1779" i="21" s="1"/>
  <c r="H1780" i="21"/>
  <c r="I1780" i="21" s="1"/>
  <c r="H1781" i="21"/>
  <c r="I1781" i="21" s="1"/>
  <c r="H1782" i="21"/>
  <c r="I1782" i="21" s="1"/>
  <c r="H1783" i="21"/>
  <c r="H1784" i="21"/>
  <c r="I1784" i="21" s="1"/>
  <c r="H1785" i="21"/>
  <c r="I1785" i="21" s="1"/>
  <c r="H1786" i="21"/>
  <c r="I1786" i="21" s="1"/>
  <c r="H1787" i="21"/>
  <c r="H1788" i="21"/>
  <c r="I1788" i="21" s="1"/>
  <c r="H1789" i="21"/>
  <c r="H1790" i="21"/>
  <c r="I1790" i="21" s="1"/>
  <c r="H1791" i="21"/>
  <c r="I1791" i="21" s="1"/>
  <c r="H1792" i="21"/>
  <c r="I1792" i="21" s="1"/>
  <c r="H1793" i="21"/>
  <c r="I1793" i="21" s="1"/>
  <c r="H1794" i="21"/>
  <c r="I1794" i="21" s="1"/>
  <c r="H1795" i="21"/>
  <c r="H1796" i="21"/>
  <c r="I1796" i="21" s="1"/>
  <c r="H1797" i="21"/>
  <c r="I1797" i="21" s="1"/>
  <c r="H1798" i="21"/>
  <c r="I1798" i="21" s="1"/>
  <c r="H1799" i="21"/>
  <c r="H1800" i="21"/>
  <c r="I1800" i="21" s="1"/>
  <c r="H1801" i="21"/>
  <c r="I1801" i="21" s="1"/>
  <c r="H1802" i="21"/>
  <c r="I1802" i="21" s="1"/>
  <c r="H1803" i="21"/>
  <c r="I1803" i="21" s="1"/>
  <c r="H1804" i="21"/>
  <c r="I1804" i="21" s="1"/>
  <c r="H1805" i="21"/>
  <c r="I1805" i="21" s="1"/>
  <c r="H1806" i="21"/>
  <c r="I1806" i="21" s="1"/>
  <c r="H1807" i="21"/>
  <c r="H1808" i="21"/>
  <c r="I1808" i="21" s="1"/>
  <c r="H1809" i="21"/>
  <c r="I1809" i="21" s="1"/>
  <c r="H1810" i="21"/>
  <c r="I1810" i="21" s="1"/>
  <c r="H1811" i="21"/>
  <c r="H1812" i="21"/>
  <c r="I1812" i="21" s="1"/>
  <c r="H1813" i="21"/>
  <c r="I1813" i="21" s="1"/>
  <c r="H1814" i="21"/>
  <c r="I1814" i="21" s="1"/>
  <c r="H1815" i="21"/>
  <c r="I1815" i="21" s="1"/>
  <c r="H1816" i="21"/>
  <c r="I1816" i="21" s="1"/>
  <c r="H1817" i="21"/>
  <c r="I1817" i="21" s="1"/>
  <c r="H1818" i="21"/>
  <c r="I1818" i="21" s="1"/>
  <c r="H1819" i="21"/>
  <c r="H1820" i="21"/>
  <c r="I1820" i="21" s="1"/>
  <c r="H1821" i="21"/>
  <c r="I1821" i="21" s="1"/>
  <c r="H1822" i="21"/>
  <c r="I1822" i="21" s="1"/>
  <c r="H1823" i="21"/>
  <c r="H1824" i="21"/>
  <c r="I1824" i="21" s="1"/>
  <c r="H1825" i="21"/>
  <c r="I1825" i="21" s="1"/>
  <c r="H1826" i="21"/>
  <c r="I1826" i="21" s="1"/>
  <c r="H1827" i="21"/>
  <c r="I1827" i="21" s="1"/>
  <c r="H1828" i="21"/>
  <c r="I1828" i="21" s="1"/>
  <c r="H1829" i="21"/>
  <c r="I1829" i="21" s="1"/>
  <c r="H1830" i="21"/>
  <c r="I1830" i="21" s="1"/>
  <c r="H1831" i="21"/>
  <c r="H1832" i="21"/>
  <c r="I1832" i="21" s="1"/>
  <c r="H1833" i="21"/>
  <c r="I1833" i="21" s="1"/>
  <c r="H1834" i="21"/>
  <c r="I1834" i="21" s="1"/>
  <c r="H1835" i="21"/>
  <c r="H1836" i="21"/>
  <c r="I1836" i="21" s="1"/>
  <c r="H1837" i="21"/>
  <c r="I1837" i="21" s="1"/>
  <c r="H1838" i="21"/>
  <c r="I1838" i="21" s="1"/>
  <c r="H1839" i="21"/>
  <c r="I1839" i="21" s="1"/>
  <c r="H1840" i="21"/>
  <c r="I1840" i="21" s="1"/>
  <c r="H1841" i="21"/>
  <c r="I1841" i="21" s="1"/>
  <c r="H1842" i="21"/>
  <c r="I1842" i="21" s="1"/>
  <c r="H1843" i="21"/>
  <c r="H1844" i="21"/>
  <c r="I1844" i="21" s="1"/>
  <c r="H1845" i="21"/>
  <c r="I1845" i="21" s="1"/>
  <c r="H1846" i="21"/>
  <c r="I1846" i="21" s="1"/>
  <c r="H1847" i="21"/>
  <c r="H1848" i="21"/>
  <c r="I1848" i="21" s="1"/>
  <c r="H1849" i="21"/>
  <c r="I1849" i="21" s="1"/>
  <c r="H1850" i="21"/>
  <c r="I1850" i="21" s="1"/>
  <c r="H1851" i="21"/>
  <c r="I1851" i="21" s="1"/>
  <c r="H1852" i="21"/>
  <c r="I1852" i="21" s="1"/>
  <c r="H1853" i="21"/>
  <c r="I1853" i="21" s="1"/>
  <c r="H1854" i="21"/>
  <c r="I1854" i="21" s="1"/>
  <c r="H1855" i="21"/>
  <c r="H1856" i="21"/>
  <c r="I1856" i="21" s="1"/>
  <c r="H1857" i="21"/>
  <c r="I1857" i="21" s="1"/>
  <c r="H1858" i="21"/>
  <c r="I1858" i="21" s="1"/>
  <c r="H1859" i="21"/>
  <c r="H1860" i="21"/>
  <c r="I1860" i="21" s="1"/>
  <c r="H1861" i="21"/>
  <c r="I1861" i="21" s="1"/>
  <c r="H1862" i="21"/>
  <c r="I1862" i="21" s="1"/>
  <c r="H1863" i="21"/>
  <c r="I1863" i="21" s="1"/>
  <c r="H1864" i="21"/>
  <c r="I1864" i="21" s="1"/>
  <c r="H1865" i="21"/>
  <c r="I1865" i="21" s="1"/>
  <c r="H1866" i="21"/>
  <c r="I1866" i="21" s="1"/>
  <c r="H1867" i="21"/>
  <c r="H1868" i="21"/>
  <c r="H1869" i="21"/>
  <c r="I1869" i="21" s="1"/>
  <c r="H1870" i="21"/>
  <c r="I1870" i="21" s="1"/>
  <c r="H1871" i="21"/>
  <c r="H1872" i="21"/>
  <c r="I1872" i="21" s="1"/>
  <c r="H1873" i="21"/>
  <c r="I1873" i="21" s="1"/>
  <c r="H1874" i="21"/>
  <c r="I1874" i="21" s="1"/>
  <c r="H1875" i="21"/>
  <c r="I1875" i="21" s="1"/>
  <c r="H1876" i="21"/>
  <c r="I1876" i="21" s="1"/>
  <c r="H1877" i="21"/>
  <c r="I1877" i="21" s="1"/>
  <c r="H1878" i="21"/>
  <c r="I1878" i="21" s="1"/>
  <c r="H1879" i="21"/>
  <c r="H1880" i="21"/>
  <c r="I1880" i="21" s="1"/>
  <c r="H1881" i="21"/>
  <c r="I1881" i="21" s="1"/>
  <c r="H1882" i="21"/>
  <c r="I1882" i="21" s="1"/>
  <c r="H1883" i="21"/>
  <c r="H1884" i="21"/>
  <c r="I1884" i="21" s="1"/>
  <c r="H1885" i="21"/>
  <c r="H1886" i="21"/>
  <c r="I1886" i="21" s="1"/>
  <c r="H1887" i="21"/>
  <c r="I1887" i="21" s="1"/>
  <c r="H1888" i="21"/>
  <c r="I1888" i="21" s="1"/>
  <c r="H1889" i="21"/>
  <c r="I1889" i="21" s="1"/>
  <c r="H1890" i="21"/>
  <c r="I1890" i="21" s="1"/>
  <c r="H1891" i="21"/>
  <c r="H1892" i="21"/>
  <c r="I1892" i="21" s="1"/>
  <c r="H1893" i="21"/>
  <c r="I1893" i="21" s="1"/>
  <c r="H1894" i="21"/>
  <c r="I1894" i="21" s="1"/>
  <c r="H1895" i="21"/>
  <c r="H1896" i="21"/>
  <c r="I1896" i="21" s="1"/>
  <c r="H1897" i="21"/>
  <c r="I1897" i="21" s="1"/>
  <c r="H1898" i="21"/>
  <c r="I1898" i="21" s="1"/>
  <c r="H1899" i="21"/>
  <c r="I1899" i="21" s="1"/>
  <c r="H1900" i="21"/>
  <c r="I1900" i="21" s="1"/>
  <c r="H1901" i="21"/>
  <c r="I1901" i="21" s="1"/>
  <c r="H1902" i="21"/>
  <c r="I1902" i="21" s="1"/>
  <c r="H1903" i="21"/>
  <c r="H1904" i="21"/>
  <c r="I1904" i="21" s="1"/>
  <c r="H1905" i="21"/>
  <c r="H1906" i="21"/>
  <c r="I1906" i="21" s="1"/>
  <c r="H1907" i="21"/>
  <c r="H1908" i="21"/>
  <c r="I1908" i="21" s="1"/>
  <c r="H1909" i="21"/>
  <c r="I1909" i="21" s="1"/>
  <c r="H1910" i="21"/>
  <c r="I1910" i="21" s="1"/>
  <c r="H1911" i="21"/>
  <c r="I1911" i="21" s="1"/>
  <c r="H1912" i="21"/>
  <c r="I1912" i="21" s="1"/>
  <c r="H1913" i="21"/>
  <c r="I1913" i="21" s="1"/>
  <c r="H1914" i="21"/>
  <c r="I1914" i="21" s="1"/>
  <c r="H1915" i="21"/>
  <c r="H1916" i="21"/>
  <c r="H1917" i="21"/>
  <c r="H1918" i="21"/>
  <c r="I1918" i="21" s="1"/>
  <c r="H1919" i="21"/>
  <c r="H1920" i="21"/>
  <c r="I1920" i="21" s="1"/>
  <c r="H1921" i="21"/>
  <c r="I1921" i="21" s="1"/>
  <c r="H1922" i="21"/>
  <c r="I1922" i="21" s="1"/>
  <c r="H1923" i="21"/>
  <c r="I1923" i="21" s="1"/>
  <c r="H1924" i="21"/>
  <c r="I1924" i="21" s="1"/>
  <c r="H1925" i="21"/>
  <c r="I1925" i="21" s="1"/>
  <c r="H1926" i="21"/>
  <c r="I1926" i="21" s="1"/>
  <c r="H1927" i="21"/>
  <c r="H1928" i="21"/>
  <c r="I1928" i="21" s="1"/>
  <c r="H1929" i="21"/>
  <c r="I1929" i="21" s="1"/>
  <c r="H1930" i="21"/>
  <c r="I1930" i="21" s="1"/>
  <c r="H1931" i="21"/>
  <c r="H1932" i="21"/>
  <c r="I1932" i="21" s="1"/>
  <c r="H1933" i="21"/>
  <c r="I1933" i="21" s="1"/>
  <c r="H1934" i="21"/>
  <c r="I1934" i="21" s="1"/>
  <c r="H1935" i="21"/>
  <c r="I1935" i="21" s="1"/>
  <c r="H1936" i="21"/>
  <c r="I1936" i="21" s="1"/>
  <c r="H1937" i="21"/>
  <c r="I1937" i="21" s="1"/>
  <c r="H1938" i="21"/>
  <c r="I1938" i="21" s="1"/>
  <c r="H1939" i="21"/>
  <c r="H1940" i="21"/>
  <c r="I1940" i="21" s="1"/>
  <c r="H1941" i="21"/>
  <c r="I1941" i="21" s="1"/>
  <c r="H1942" i="21"/>
  <c r="I1942" i="21" s="1"/>
  <c r="H1943" i="21"/>
  <c r="H1944" i="21"/>
  <c r="I1944" i="21" s="1"/>
  <c r="H1945" i="21"/>
  <c r="I1945" i="21" s="1"/>
  <c r="H1946" i="21"/>
  <c r="I1946" i="21" s="1"/>
  <c r="H1947" i="21"/>
  <c r="I1947" i="21" s="1"/>
  <c r="H1948" i="21"/>
  <c r="I1948" i="21" s="1"/>
  <c r="H1949" i="21"/>
  <c r="I1949" i="21" s="1"/>
  <c r="H1950" i="21"/>
  <c r="I1950" i="21" s="1"/>
  <c r="H1951" i="21"/>
  <c r="H1952" i="21"/>
  <c r="I1952" i="21" s="1"/>
  <c r="H1953" i="21"/>
  <c r="I1953" i="21" s="1"/>
  <c r="H1954" i="21"/>
  <c r="I1954" i="21" s="1"/>
  <c r="H1955" i="21"/>
  <c r="H1956" i="21"/>
  <c r="I1956" i="21" s="1"/>
  <c r="H1957" i="21"/>
  <c r="I1957" i="21" s="1"/>
  <c r="H1958" i="21"/>
  <c r="I1958" i="21" s="1"/>
  <c r="H1959" i="21"/>
  <c r="I1959" i="21" s="1"/>
  <c r="H1960" i="21"/>
  <c r="I1960" i="21" s="1"/>
  <c r="H1961" i="21"/>
  <c r="I1961" i="21" s="1"/>
  <c r="H1962" i="21"/>
  <c r="I1962" i="21" s="1"/>
  <c r="H1963" i="21"/>
  <c r="H1964" i="21"/>
  <c r="H1965" i="21"/>
  <c r="I1965" i="21" s="1"/>
  <c r="H1966" i="21"/>
  <c r="I1966" i="21" s="1"/>
  <c r="H1967" i="21"/>
  <c r="H1968" i="21"/>
  <c r="I1968" i="21" s="1"/>
  <c r="H1969" i="21"/>
  <c r="I1969" i="21" s="1"/>
  <c r="H1970" i="21"/>
  <c r="I1970" i="21" s="1"/>
  <c r="H1971" i="21"/>
  <c r="I1971" i="21" s="1"/>
  <c r="H1972" i="21"/>
  <c r="I1972" i="21" s="1"/>
  <c r="H1973" i="21"/>
  <c r="I1973" i="21" s="1"/>
  <c r="H1974" i="21"/>
  <c r="I1974" i="21" s="1"/>
  <c r="H1975" i="21"/>
  <c r="H1976" i="21"/>
  <c r="I1976" i="21" s="1"/>
  <c r="H1977" i="21"/>
  <c r="I1977" i="21" s="1"/>
  <c r="H1978" i="21"/>
  <c r="I1978" i="21" s="1"/>
  <c r="H1979" i="21"/>
  <c r="H1980" i="21"/>
  <c r="I1980" i="21" s="1"/>
  <c r="H1981" i="21"/>
  <c r="H1982" i="21"/>
  <c r="I1982" i="21" s="1"/>
  <c r="H1983" i="21"/>
  <c r="I1983" i="21" s="1"/>
  <c r="H1984" i="21"/>
  <c r="I1984" i="21" s="1"/>
  <c r="H1985" i="21"/>
  <c r="I1985" i="21" s="1"/>
  <c r="H1986" i="21"/>
  <c r="I1986" i="21" s="1"/>
  <c r="H1987" i="21"/>
  <c r="H1988" i="21"/>
  <c r="I1988" i="21" s="1"/>
  <c r="H1989" i="21"/>
  <c r="I1989" i="21" s="1"/>
  <c r="H1990" i="21"/>
  <c r="I1990" i="21" s="1"/>
  <c r="H1991" i="21"/>
  <c r="H1992" i="21"/>
  <c r="I1992" i="21" s="1"/>
  <c r="H1993" i="21"/>
  <c r="I1993" i="21" s="1"/>
  <c r="H1994" i="21"/>
  <c r="I1994" i="21" s="1"/>
  <c r="H1995" i="21"/>
  <c r="I1995" i="21" s="1"/>
  <c r="H1996" i="21"/>
  <c r="I1996" i="21" s="1"/>
  <c r="H1997" i="21"/>
  <c r="I1997" i="21" s="1"/>
  <c r="H1998" i="21"/>
  <c r="I1998" i="21" s="1"/>
  <c r="H1999" i="21"/>
  <c r="H2000" i="21"/>
  <c r="I2000" i="21" s="1"/>
  <c r="H2001" i="21"/>
  <c r="H2002" i="21"/>
  <c r="I2002" i="21" s="1"/>
  <c r="H2003" i="21"/>
  <c r="H2004" i="21"/>
  <c r="I2004" i="21" s="1"/>
  <c r="H2005" i="21"/>
  <c r="I2005" i="21" s="1"/>
  <c r="H2006" i="21"/>
  <c r="I2006" i="21" s="1"/>
  <c r="H2007" i="21"/>
  <c r="I2007" i="21" s="1"/>
  <c r="H2008" i="21"/>
  <c r="I2008" i="21" s="1"/>
  <c r="H2009" i="21"/>
  <c r="I2009" i="21" s="1"/>
  <c r="H2010" i="21"/>
  <c r="I2010" i="21" s="1"/>
  <c r="H2011" i="21"/>
  <c r="H2012" i="21"/>
  <c r="H2013" i="21"/>
  <c r="H2014" i="21"/>
  <c r="I2014" i="21" s="1"/>
  <c r="H2015" i="21"/>
  <c r="H2016" i="21"/>
  <c r="I2016" i="21" s="1"/>
  <c r="H2017" i="21"/>
  <c r="I2017" i="21" s="1"/>
  <c r="H2018" i="21"/>
  <c r="I2018" i="21" s="1"/>
  <c r="H2019" i="21"/>
  <c r="I2019" i="21" s="1"/>
  <c r="H2020" i="21"/>
  <c r="I2020" i="21" s="1"/>
  <c r="H2021" i="21"/>
  <c r="I2021" i="21" s="1"/>
  <c r="H2022" i="21"/>
  <c r="I2022" i="21" s="1"/>
  <c r="H2023" i="21"/>
  <c r="H2024" i="21"/>
  <c r="I2024" i="21" s="1"/>
  <c r="H2025" i="21"/>
  <c r="I2025" i="21" s="1"/>
  <c r="H2026" i="21"/>
  <c r="I2026" i="21" s="1"/>
  <c r="H2027" i="21"/>
  <c r="H2028" i="21"/>
  <c r="I2028" i="21" s="1"/>
  <c r="H2029" i="21"/>
  <c r="I2029" i="21" s="1"/>
  <c r="H2030" i="21"/>
  <c r="I2030" i="21" s="1"/>
  <c r="H2031" i="21"/>
  <c r="I2031" i="21" s="1"/>
  <c r="H2032" i="21"/>
  <c r="I2032" i="21" s="1"/>
  <c r="H2033" i="21"/>
  <c r="I2033" i="21" s="1"/>
  <c r="H2034" i="21"/>
  <c r="I2034" i="21" s="1"/>
  <c r="H2035" i="21"/>
  <c r="H2036" i="21"/>
  <c r="I2036" i="21" s="1"/>
  <c r="H2037" i="21"/>
  <c r="I2037" i="21" s="1"/>
  <c r="H2038" i="21"/>
  <c r="I2038" i="21" s="1"/>
  <c r="H2039" i="21"/>
  <c r="H2040" i="21"/>
  <c r="I2040" i="21" s="1"/>
  <c r="H2041" i="21"/>
  <c r="I2041" i="21" s="1"/>
  <c r="H2042" i="21"/>
  <c r="I2042" i="21" s="1"/>
  <c r="H2043" i="21"/>
  <c r="I2043" i="21" s="1"/>
  <c r="H2044" i="21"/>
  <c r="I2044" i="21" s="1"/>
  <c r="H2045" i="21"/>
  <c r="I2045" i="21" s="1"/>
  <c r="H2046" i="21"/>
  <c r="I2046" i="21" s="1"/>
  <c r="H2047" i="21"/>
  <c r="H2048" i="21"/>
  <c r="I2048" i="21" s="1"/>
  <c r="H2049" i="21"/>
  <c r="I2049" i="21" s="1"/>
  <c r="H2050" i="21"/>
  <c r="I2050" i="21" s="1"/>
  <c r="H2051" i="21"/>
  <c r="H2052" i="21"/>
  <c r="I2052" i="21" s="1"/>
  <c r="H2053" i="21"/>
  <c r="I2053" i="21" s="1"/>
  <c r="H2054" i="21"/>
  <c r="I2054" i="21" s="1"/>
  <c r="H2055" i="21"/>
  <c r="I2055" i="21" s="1"/>
  <c r="H2056" i="21"/>
  <c r="I2056" i="21" s="1"/>
  <c r="H2057" i="21"/>
  <c r="I2057" i="21" s="1"/>
  <c r="H2058" i="21"/>
  <c r="I2058" i="21" s="1"/>
  <c r="H2059" i="21"/>
  <c r="H2060" i="21"/>
  <c r="I2060" i="21" s="1"/>
  <c r="H2061" i="21"/>
  <c r="I2061" i="21" s="1"/>
  <c r="H2062" i="21"/>
  <c r="I2062" i="21" s="1"/>
  <c r="H2063" i="21"/>
  <c r="H2064" i="21"/>
  <c r="I2064" i="21" s="1"/>
  <c r="H2065" i="21"/>
  <c r="I2065" i="21" s="1"/>
  <c r="H2066" i="21"/>
  <c r="I2066" i="21" s="1"/>
  <c r="H2067" i="21"/>
  <c r="I2067" i="21" s="1"/>
  <c r="H2068" i="21"/>
  <c r="I2068" i="21" s="1"/>
  <c r="H2069" i="21"/>
  <c r="I2069" i="21" s="1"/>
  <c r="H2070" i="21"/>
  <c r="I2070" i="21" s="1"/>
  <c r="H2071" i="21"/>
  <c r="H2072" i="21"/>
  <c r="I2072" i="21" s="1"/>
  <c r="H2073" i="21"/>
  <c r="I2073" i="21" s="1"/>
  <c r="H2074" i="21"/>
  <c r="I2074" i="21" s="1"/>
  <c r="H2075" i="21"/>
  <c r="H2076" i="21"/>
  <c r="I2076" i="21" s="1"/>
  <c r="H2077" i="21"/>
  <c r="H2078" i="21"/>
  <c r="I2078" i="21" s="1"/>
  <c r="H2079" i="21"/>
  <c r="I2079" i="21" s="1"/>
  <c r="H2080" i="21"/>
  <c r="I2080" i="21" s="1"/>
  <c r="H2081" i="21"/>
  <c r="I2081" i="21" s="1"/>
  <c r="H2082" i="21"/>
  <c r="I2082" i="21" s="1"/>
  <c r="H2083" i="21"/>
  <c r="H2084" i="21"/>
  <c r="I2084" i="21" s="1"/>
  <c r="H2085" i="21"/>
  <c r="I2085" i="21" s="1"/>
  <c r="H2086" i="21"/>
  <c r="I2086" i="21" s="1"/>
  <c r="H2087" i="21"/>
  <c r="H2088" i="21"/>
  <c r="I2088" i="21" s="1"/>
  <c r="H2089" i="21"/>
  <c r="I2089" i="21" s="1"/>
  <c r="H2090" i="21"/>
  <c r="I2090" i="21" s="1"/>
  <c r="H2091" i="21"/>
  <c r="I2091" i="21" s="1"/>
  <c r="H2092" i="21"/>
  <c r="I2092" i="21" s="1"/>
  <c r="H2093" i="21"/>
  <c r="I2093" i="21" s="1"/>
  <c r="H2094" i="21"/>
  <c r="I2094" i="21" s="1"/>
  <c r="H2095" i="21"/>
  <c r="H2096" i="21"/>
  <c r="H2097" i="21"/>
  <c r="H2098" i="21"/>
  <c r="I2098" i="21" s="1"/>
  <c r="H2099" i="21"/>
  <c r="H2100" i="21"/>
  <c r="I2100" i="21" s="1"/>
  <c r="H2101" i="21"/>
  <c r="I2101" i="21" s="1"/>
  <c r="H2102" i="21"/>
  <c r="I2102" i="21" s="1"/>
  <c r="H2103" i="21"/>
  <c r="I2103" i="21" s="1"/>
  <c r="H2104" i="21"/>
  <c r="I2104" i="21" s="1"/>
  <c r="H2105" i="21"/>
  <c r="I2105" i="21" s="1"/>
  <c r="H2106" i="21"/>
  <c r="I2106" i="21" s="1"/>
  <c r="H2107" i="21"/>
  <c r="H2108" i="21"/>
  <c r="H2109" i="21"/>
  <c r="H2110" i="21"/>
  <c r="I2110" i="21" s="1"/>
  <c r="H2111" i="21"/>
  <c r="H2112" i="21"/>
  <c r="I2112" i="21" s="1"/>
  <c r="H2113" i="21"/>
  <c r="I2113" i="21" s="1"/>
  <c r="H2114" i="21"/>
  <c r="I2114" i="21" s="1"/>
  <c r="H2115" i="21"/>
  <c r="I2115" i="21" s="1"/>
  <c r="H2116" i="21"/>
  <c r="I2116" i="21" s="1"/>
  <c r="H2117" i="21"/>
  <c r="I2117" i="21" s="1"/>
  <c r="H2118" i="21"/>
  <c r="I2118" i="21" s="1"/>
  <c r="H2119" i="21"/>
  <c r="H2120" i="21"/>
  <c r="I2120" i="21" s="1"/>
  <c r="H2121" i="21"/>
  <c r="I2121" i="21" s="1"/>
  <c r="H2122" i="21"/>
  <c r="I2122" i="21" s="1"/>
  <c r="H2123" i="21"/>
  <c r="H2124" i="21"/>
  <c r="I2124" i="21" s="1"/>
  <c r="H2125" i="21"/>
  <c r="I2125" i="21" s="1"/>
  <c r="H2126" i="21"/>
  <c r="I2126" i="21" s="1"/>
  <c r="H2127" i="21"/>
  <c r="I2127" i="21" s="1"/>
  <c r="H2128" i="21"/>
  <c r="I2128" i="21" s="1"/>
  <c r="H2129" i="21"/>
  <c r="I2129" i="21" s="1"/>
  <c r="H2130" i="21"/>
  <c r="I2130" i="21" s="1"/>
  <c r="H2131" i="21"/>
  <c r="H2132" i="21"/>
  <c r="I2132" i="21" s="1"/>
  <c r="H2133" i="21"/>
  <c r="I2133" i="21" s="1"/>
  <c r="H2134" i="21"/>
  <c r="I2134" i="21" s="1"/>
  <c r="H2135" i="21"/>
  <c r="H2136" i="21"/>
  <c r="I2136" i="21" s="1"/>
  <c r="H2137" i="21"/>
  <c r="I2137" i="21" s="1"/>
  <c r="H2138" i="21"/>
  <c r="I2138" i="21" s="1"/>
  <c r="H2139" i="21"/>
  <c r="I2139" i="21" s="1"/>
  <c r="H2140" i="21"/>
  <c r="I2140" i="21" s="1"/>
  <c r="H2141" i="21"/>
  <c r="I2141" i="21" s="1"/>
  <c r="H2142" i="21"/>
  <c r="I2142" i="21" s="1"/>
  <c r="H2143" i="21"/>
  <c r="H2144" i="21"/>
  <c r="I2144" i="21" s="1"/>
  <c r="H2145" i="21"/>
  <c r="I2145" i="21" s="1"/>
  <c r="H2146" i="21"/>
  <c r="I2146" i="21" s="1"/>
  <c r="H2147" i="21"/>
  <c r="H2148" i="21"/>
  <c r="I2148" i="21" s="1"/>
  <c r="H2149" i="21"/>
  <c r="I2149" i="21" s="1"/>
  <c r="H2150" i="21"/>
  <c r="I2150" i="21" s="1"/>
  <c r="H2151" i="21"/>
  <c r="I2151" i="21" s="1"/>
  <c r="H2152" i="21"/>
  <c r="I2152" i="21" s="1"/>
  <c r="H2153" i="21"/>
  <c r="I2153" i="21" s="1"/>
  <c r="H2154" i="21"/>
  <c r="I2154" i="21" s="1"/>
  <c r="H2155" i="21"/>
  <c r="H2156" i="21"/>
  <c r="H2157" i="21"/>
  <c r="I2157" i="21" s="1"/>
  <c r="H2158" i="21"/>
  <c r="I2158" i="21" s="1"/>
  <c r="H2159" i="21"/>
  <c r="H2160" i="21"/>
  <c r="I2160" i="21" s="1"/>
  <c r="H2161" i="21"/>
  <c r="I2161" i="21" s="1"/>
  <c r="H2162" i="21"/>
  <c r="I2162" i="21" s="1"/>
  <c r="H2163" i="21"/>
  <c r="I2163" i="21" s="1"/>
  <c r="H2164" i="21"/>
  <c r="I2164" i="21" s="1"/>
  <c r="H2165" i="21"/>
  <c r="I2165" i="21" s="1"/>
  <c r="H2166" i="21"/>
  <c r="I2166" i="21" s="1"/>
  <c r="H2167" i="21"/>
  <c r="H2168" i="21"/>
  <c r="I2168" i="21" s="1"/>
  <c r="H2169" i="21"/>
  <c r="I2169" i="21" s="1"/>
  <c r="H2170" i="21"/>
  <c r="I2170" i="21" s="1"/>
  <c r="H2171" i="21"/>
  <c r="H2172" i="21"/>
  <c r="I2172" i="21" s="1"/>
  <c r="H2173" i="21"/>
  <c r="H2174" i="21"/>
  <c r="I2174" i="21" s="1"/>
  <c r="H2175" i="21"/>
  <c r="I2175" i="21" s="1"/>
  <c r="H2176" i="21"/>
  <c r="I2176" i="21" s="1"/>
  <c r="H2177" i="21"/>
  <c r="I2177" i="21" s="1"/>
  <c r="H2178" i="21"/>
  <c r="I2178" i="21" s="1"/>
  <c r="H2179" i="21"/>
  <c r="H2180" i="21"/>
  <c r="I2180" i="21" s="1"/>
  <c r="H2181" i="21"/>
  <c r="I2181" i="21" s="1"/>
  <c r="H2182" i="21"/>
  <c r="I2182" i="21" s="1"/>
  <c r="H2183" i="21"/>
  <c r="H2184" i="21"/>
  <c r="I2184" i="21" s="1"/>
  <c r="H2185" i="21"/>
  <c r="I2185" i="21" s="1"/>
  <c r="H2186" i="21"/>
  <c r="I2186" i="21" s="1"/>
  <c r="H2187" i="21"/>
  <c r="I2187" i="21" s="1"/>
  <c r="H2188" i="21"/>
  <c r="I2188" i="21" s="1"/>
  <c r="H2189" i="21"/>
  <c r="I2189" i="21" s="1"/>
  <c r="H2190" i="21"/>
  <c r="I2190" i="21" s="1"/>
  <c r="H2191" i="21"/>
  <c r="H2192" i="21"/>
  <c r="I2192" i="21" s="1"/>
  <c r="H2193" i="21"/>
  <c r="H2194" i="21"/>
  <c r="I2194" i="21" s="1"/>
  <c r="H2195" i="21"/>
  <c r="H2196" i="21"/>
  <c r="I2196" i="21" s="1"/>
  <c r="H2197" i="21"/>
  <c r="I2197" i="21" s="1"/>
  <c r="H2198" i="21"/>
  <c r="I2198" i="21" s="1"/>
  <c r="H2199" i="21"/>
  <c r="I2199" i="21" s="1"/>
  <c r="H2200" i="21"/>
  <c r="I2200" i="21" s="1"/>
  <c r="H2201" i="21"/>
  <c r="I2201" i="21" s="1"/>
  <c r="H2202" i="21"/>
  <c r="I2202" i="21" s="1"/>
  <c r="H2203" i="21"/>
  <c r="H2204" i="21"/>
  <c r="H2205" i="21"/>
  <c r="H2206" i="21"/>
  <c r="I2206" i="21" s="1"/>
  <c r="H2207" i="21"/>
  <c r="H2208" i="21"/>
  <c r="I2208" i="21" s="1"/>
  <c r="H2209" i="21"/>
  <c r="I2209" i="21" s="1"/>
  <c r="H2210" i="21"/>
  <c r="I2210" i="21" s="1"/>
  <c r="H2211" i="21"/>
  <c r="I2211" i="21" s="1"/>
  <c r="H2212" i="21"/>
  <c r="I2212" i="21" s="1"/>
  <c r="H2213" i="21"/>
  <c r="I2213" i="21" s="1"/>
  <c r="H2214" i="21"/>
  <c r="I2214" i="21" s="1"/>
  <c r="H2215" i="21"/>
  <c r="H2216" i="21"/>
  <c r="I2216" i="21" s="1"/>
  <c r="H2217" i="21"/>
  <c r="I2217" i="21" s="1"/>
  <c r="H2218" i="21"/>
  <c r="I2218" i="21" s="1"/>
  <c r="H2219" i="21"/>
  <c r="H2220" i="21"/>
  <c r="I2220" i="21" s="1"/>
  <c r="H2221" i="21"/>
  <c r="I2221" i="21" s="1"/>
  <c r="H2222" i="21"/>
  <c r="I2222" i="21" s="1"/>
  <c r="H2223" i="21"/>
  <c r="I2223" i="21" s="1"/>
  <c r="H2224" i="21"/>
  <c r="I2224" i="21" s="1"/>
  <c r="H2225" i="21"/>
  <c r="I2225" i="21" s="1"/>
  <c r="H2226" i="21"/>
  <c r="I2226" i="21" s="1"/>
  <c r="H2227" i="21"/>
  <c r="H2228" i="21"/>
  <c r="I2228" i="21" s="1"/>
  <c r="H2229" i="21"/>
  <c r="I2229" i="21" s="1"/>
  <c r="H2230" i="21"/>
  <c r="I2230" i="21" s="1"/>
  <c r="H2231" i="21"/>
  <c r="H2232" i="21"/>
  <c r="I2232" i="21" s="1"/>
  <c r="H2233" i="21"/>
  <c r="I2233" i="21" s="1"/>
  <c r="H2234" i="21"/>
  <c r="I2234" i="21" s="1"/>
  <c r="H2235" i="21"/>
  <c r="I2235" i="21" s="1"/>
  <c r="H2236" i="21"/>
  <c r="I2236" i="21" s="1"/>
  <c r="H2237" i="21"/>
  <c r="I2237" i="21" s="1"/>
  <c r="H2238" i="21"/>
  <c r="I2238" i="21" s="1"/>
  <c r="H2239" i="21"/>
  <c r="H2240" i="21"/>
  <c r="I2240" i="21" s="1"/>
  <c r="H2241" i="21"/>
  <c r="I2241" i="21" s="1"/>
  <c r="H2242" i="21"/>
  <c r="I2242" i="21" s="1"/>
  <c r="H2243" i="21"/>
  <c r="H2244" i="21"/>
  <c r="I2244" i="21" s="1"/>
  <c r="H2245" i="21"/>
  <c r="I2245" i="21" s="1"/>
  <c r="H2246" i="21"/>
  <c r="I2246" i="21" s="1"/>
  <c r="H2247" i="21"/>
  <c r="I2247" i="21" s="1"/>
  <c r="H2248" i="21"/>
  <c r="I2248" i="21" s="1"/>
  <c r="H2249" i="21"/>
  <c r="I2249" i="21" s="1"/>
  <c r="H2250" i="21"/>
  <c r="I2250" i="21" s="1"/>
  <c r="H2251" i="21"/>
  <c r="H2252" i="21"/>
  <c r="I2252" i="21" s="1"/>
  <c r="H2253" i="21"/>
  <c r="I2253" i="21" s="1"/>
  <c r="H2254" i="21"/>
  <c r="I2254" i="21" s="1"/>
  <c r="H2255" i="21"/>
  <c r="H2256" i="21"/>
  <c r="I2256" i="21" s="1"/>
  <c r="H2257" i="21"/>
  <c r="I2257" i="21" s="1"/>
  <c r="H2258" i="21"/>
  <c r="H2259" i="21"/>
  <c r="I2259" i="21" s="1"/>
  <c r="H2260" i="21"/>
  <c r="I2260" i="21" s="1"/>
  <c r="H2261" i="21"/>
  <c r="I2261" i="21" s="1"/>
  <c r="H2262" i="21"/>
  <c r="I2262" i="21" s="1"/>
  <c r="H2263" i="21"/>
  <c r="H2264" i="21"/>
  <c r="I2264" i="21" s="1"/>
  <c r="H2265" i="21"/>
  <c r="I2265" i="21" s="1"/>
  <c r="H2266" i="21"/>
  <c r="I2266" i="21" s="1"/>
  <c r="H2267" i="21"/>
  <c r="H2268" i="21"/>
  <c r="I2268" i="21" s="1"/>
  <c r="H2269" i="21"/>
  <c r="H2270" i="21"/>
  <c r="I2270" i="21" s="1"/>
  <c r="H2271" i="21"/>
  <c r="I2271" i="21" s="1"/>
  <c r="H2272" i="21"/>
  <c r="I2272" i="21" s="1"/>
  <c r="H2273" i="21"/>
  <c r="I2273" i="21" s="1"/>
  <c r="H2274" i="21"/>
  <c r="I2274" i="21" s="1"/>
  <c r="H2275" i="21"/>
  <c r="H2276" i="21"/>
  <c r="I2276" i="21" s="1"/>
  <c r="H2277" i="21"/>
  <c r="I2277" i="21" s="1"/>
  <c r="H2278" i="21"/>
  <c r="I2278" i="21" s="1"/>
  <c r="H2279" i="21"/>
  <c r="H2280" i="21"/>
  <c r="I2280" i="21" s="1"/>
  <c r="H2281" i="21"/>
  <c r="I2281" i="21" s="1"/>
  <c r="H2282" i="21"/>
  <c r="I2282" i="21" s="1"/>
  <c r="H2283" i="21"/>
  <c r="I2283" i="21" s="1"/>
  <c r="H2284" i="21"/>
  <c r="I2284" i="21" s="1"/>
  <c r="H2285" i="21"/>
  <c r="I2285" i="21" s="1"/>
  <c r="H2286" i="21"/>
  <c r="I2286" i="21" s="1"/>
  <c r="H2287" i="21"/>
  <c r="H2288" i="21"/>
  <c r="I2288" i="21" s="1"/>
  <c r="H2289" i="21"/>
  <c r="H2290" i="21"/>
  <c r="I2290" i="21" s="1"/>
  <c r="H2291" i="21"/>
  <c r="H2292" i="21"/>
  <c r="I2292" i="21" s="1"/>
  <c r="H2293" i="21"/>
  <c r="I2293" i="21" s="1"/>
  <c r="H2294" i="21"/>
  <c r="I2294" i="21" s="1"/>
  <c r="H2295" i="21"/>
  <c r="I2295" i="21" s="1"/>
  <c r="H2296" i="21"/>
  <c r="I2296" i="21" s="1"/>
  <c r="H2297" i="21"/>
  <c r="I2297" i="21" s="1"/>
  <c r="H2298" i="21"/>
  <c r="I2298" i="21" s="1"/>
  <c r="H2299" i="21"/>
  <c r="H2300" i="21"/>
  <c r="H2301" i="21"/>
  <c r="H2302" i="21"/>
  <c r="I2302" i="21" s="1"/>
  <c r="H2303" i="21"/>
  <c r="H2304" i="21"/>
  <c r="I2304" i="21" s="1"/>
  <c r="H2305" i="21"/>
  <c r="I2305" i="21" s="1"/>
  <c r="H2306" i="21"/>
  <c r="I2306" i="21" s="1"/>
  <c r="H2307" i="21"/>
  <c r="I2307" i="21" s="1"/>
  <c r="H2308" i="21"/>
  <c r="I2308" i="21" s="1"/>
  <c r="H2309" i="21"/>
  <c r="I2309" i="21" s="1"/>
  <c r="H2310" i="21"/>
  <c r="I2310" i="21" s="1"/>
  <c r="H2311" i="21"/>
  <c r="H2312" i="21"/>
  <c r="I2312" i="21" s="1"/>
  <c r="H2313" i="21"/>
  <c r="I2313" i="21" s="1"/>
  <c r="H2314" i="21"/>
  <c r="I2314" i="21" s="1"/>
  <c r="H2315" i="21"/>
  <c r="H2316" i="21"/>
  <c r="I2316" i="21" s="1"/>
  <c r="H2317" i="21"/>
  <c r="I2317" i="21" s="1"/>
  <c r="H2318" i="21"/>
  <c r="I2318" i="21" s="1"/>
  <c r="H2319" i="21"/>
  <c r="I2319" i="21" s="1"/>
  <c r="H2320" i="21"/>
  <c r="I2320" i="21" s="1"/>
  <c r="H2321" i="21"/>
  <c r="I2321" i="21" s="1"/>
  <c r="H2322" i="21"/>
  <c r="I2322" i="21" s="1"/>
  <c r="H2323" i="21"/>
  <c r="H2324" i="21"/>
  <c r="I2324" i="21" s="1"/>
  <c r="H2325" i="21"/>
  <c r="I2325" i="21" s="1"/>
  <c r="H2326" i="21"/>
  <c r="I2326" i="21" s="1"/>
  <c r="H2327" i="21"/>
  <c r="H2328" i="21"/>
  <c r="I2328" i="21" s="1"/>
  <c r="H2329" i="21"/>
  <c r="I2329" i="21" s="1"/>
  <c r="H2330" i="21"/>
  <c r="I2330" i="21" s="1"/>
  <c r="H2331" i="21"/>
  <c r="I2331" i="21" s="1"/>
  <c r="H2332" i="21"/>
  <c r="I2332" i="21" s="1"/>
  <c r="H2333" i="21"/>
  <c r="I2333" i="21" s="1"/>
  <c r="H2334" i="21"/>
  <c r="I2334" i="21" s="1"/>
  <c r="H2335" i="21"/>
  <c r="H2336" i="21"/>
  <c r="I2336" i="21" s="1"/>
  <c r="H2337" i="21"/>
  <c r="I2337" i="21" s="1"/>
  <c r="H2338" i="21"/>
  <c r="I2338" i="21" s="1"/>
  <c r="H2339" i="21"/>
  <c r="H2340" i="21"/>
  <c r="I2340" i="21" s="1"/>
  <c r="H2341" i="21"/>
  <c r="I2341" i="21" s="1"/>
  <c r="H2342" i="21"/>
  <c r="I2342" i="21" s="1"/>
  <c r="H2343" i="21"/>
  <c r="I2343" i="21" s="1"/>
  <c r="H2344" i="21"/>
  <c r="I2344" i="21" s="1"/>
  <c r="H2345" i="21"/>
  <c r="I2345" i="21" s="1"/>
  <c r="H2346" i="21"/>
  <c r="I2346" i="21" s="1"/>
  <c r="H2347" i="21"/>
  <c r="H2348" i="21"/>
  <c r="I2348" i="21" s="1"/>
  <c r="H2349" i="21"/>
  <c r="I2349" i="21" s="1"/>
  <c r="H2350" i="21"/>
  <c r="I2350" i="21" s="1"/>
  <c r="H2351" i="21"/>
  <c r="H2352" i="21"/>
  <c r="I2352" i="21" s="1"/>
  <c r="H2353" i="21"/>
  <c r="I2353" i="21" s="1"/>
  <c r="H2354" i="21"/>
  <c r="I2354" i="21" s="1"/>
  <c r="H2355" i="21"/>
  <c r="I2355" i="21" s="1"/>
  <c r="H2356" i="21"/>
  <c r="I2356" i="21" s="1"/>
  <c r="H2357" i="21"/>
  <c r="I2357" i="21" s="1"/>
  <c r="H2358" i="21"/>
  <c r="I2358" i="21" s="1"/>
  <c r="H2359" i="21"/>
  <c r="H2360" i="21"/>
  <c r="I2360" i="21" s="1"/>
  <c r="H2361" i="21"/>
  <c r="I2361" i="21" s="1"/>
  <c r="H2362" i="21"/>
  <c r="I2362" i="21" s="1"/>
  <c r="H2363" i="21"/>
  <c r="H2364" i="21"/>
  <c r="I2364" i="21" s="1"/>
  <c r="H2365" i="21"/>
  <c r="I2365" i="21" s="1"/>
  <c r="H2366" i="21"/>
  <c r="I2366" i="21" s="1"/>
  <c r="H2367" i="21"/>
  <c r="I2367" i="21" s="1"/>
  <c r="H2368" i="21"/>
  <c r="I2368" i="21" s="1"/>
  <c r="H2369" i="21"/>
  <c r="I2369" i="21" s="1"/>
  <c r="H2370" i="21"/>
  <c r="I2370" i="21" s="1"/>
  <c r="H2371" i="21"/>
  <c r="H2372" i="21"/>
  <c r="H2373" i="21"/>
  <c r="I2373" i="21" s="1"/>
  <c r="H2374" i="21"/>
  <c r="I2374" i="21" s="1"/>
  <c r="H2375" i="21"/>
  <c r="H2376" i="21"/>
  <c r="I2376" i="21" s="1"/>
  <c r="H2377" i="21"/>
  <c r="I2377" i="21" s="1"/>
  <c r="H2378" i="21"/>
  <c r="I2378" i="21" s="1"/>
  <c r="H2379" i="21"/>
  <c r="I2379" i="21" s="1"/>
  <c r="H2380" i="21"/>
  <c r="I2380" i="21" s="1"/>
  <c r="H2381" i="21"/>
  <c r="I2381" i="21" s="1"/>
  <c r="H2382" i="21"/>
  <c r="I2382" i="21" s="1"/>
  <c r="H2383" i="21"/>
  <c r="H2384" i="21"/>
  <c r="I2384" i="21" s="1"/>
  <c r="H2385" i="21"/>
  <c r="I2385" i="21" s="1"/>
  <c r="H2386" i="21"/>
  <c r="I2386" i="21" s="1"/>
  <c r="H2387" i="21"/>
  <c r="H2388" i="21"/>
  <c r="I2388" i="21" s="1"/>
  <c r="H2389" i="21"/>
  <c r="I2389" i="21" s="1"/>
  <c r="H2390" i="21"/>
  <c r="I2390" i="21" s="1"/>
  <c r="H2391" i="21"/>
  <c r="I2391" i="21" s="1"/>
  <c r="H2392" i="21"/>
  <c r="I2392" i="21" s="1"/>
  <c r="H2393" i="21"/>
  <c r="I2393" i="21" s="1"/>
  <c r="H2394" i="21"/>
  <c r="I2394" i="21" s="1"/>
  <c r="H2395" i="21"/>
  <c r="H2396" i="21"/>
  <c r="I2396" i="21" s="1"/>
  <c r="H2397" i="21"/>
  <c r="I2397" i="21" s="1"/>
  <c r="H2398" i="21"/>
  <c r="I2398" i="21" s="1"/>
  <c r="H2399" i="21"/>
  <c r="H2400" i="21"/>
  <c r="I2400" i="21" s="1"/>
  <c r="H2401" i="21"/>
  <c r="I2401" i="21" s="1"/>
  <c r="H2402" i="21"/>
  <c r="I2402" i="21" s="1"/>
  <c r="H2403" i="21"/>
  <c r="I2403" i="21" s="1"/>
  <c r="H2404" i="21"/>
  <c r="I2404" i="21" s="1"/>
  <c r="H2405" i="21"/>
  <c r="I2405" i="21" s="1"/>
  <c r="H2406" i="21"/>
  <c r="I2406" i="21" s="1"/>
  <c r="H2407" i="21"/>
  <c r="H2408" i="21"/>
  <c r="I2408" i="21" s="1"/>
  <c r="H2409" i="21"/>
  <c r="H2410" i="21"/>
  <c r="I2410" i="21" s="1"/>
  <c r="H2411" i="21"/>
  <c r="H2412" i="21"/>
  <c r="I2412" i="21" s="1"/>
  <c r="H2413" i="21"/>
  <c r="I2413" i="21" s="1"/>
  <c r="H2414" i="21"/>
  <c r="I2414" i="21" s="1"/>
  <c r="H2415" i="21"/>
  <c r="I2415" i="21" s="1"/>
  <c r="H2416" i="21"/>
  <c r="I2416" i="21" s="1"/>
  <c r="H2417" i="21"/>
  <c r="I2417" i="21" s="1"/>
  <c r="H2418" i="21"/>
  <c r="I2418" i="21" s="1"/>
  <c r="H2419" i="21"/>
  <c r="H2420" i="21"/>
  <c r="H2421" i="21"/>
  <c r="H2422" i="21"/>
  <c r="I2422" i="21" s="1"/>
  <c r="H2423" i="21"/>
  <c r="H2424" i="21"/>
  <c r="I2424" i="21" s="1"/>
  <c r="H2425" i="21"/>
  <c r="I2425" i="21" s="1"/>
  <c r="H2426" i="21"/>
  <c r="I2426" i="21" s="1"/>
  <c r="H2427" i="21"/>
  <c r="I2427" i="21" s="1"/>
  <c r="H2428" i="21"/>
  <c r="I2428" i="21" s="1"/>
  <c r="H2429" i="21"/>
  <c r="I2429" i="21" s="1"/>
  <c r="H2430" i="21"/>
  <c r="I2430" i="21" s="1"/>
  <c r="H2431" i="21"/>
  <c r="H2432" i="21"/>
  <c r="I2432" i="21" s="1"/>
  <c r="H2433" i="21"/>
  <c r="I2433" i="21" s="1"/>
  <c r="H2434" i="21"/>
  <c r="I2434" i="21" s="1"/>
  <c r="H2435" i="21"/>
  <c r="H2436" i="21"/>
  <c r="I2436" i="21" s="1"/>
  <c r="H2437" i="21"/>
  <c r="H2438" i="21"/>
  <c r="I2438" i="21" s="1"/>
  <c r="H2439" i="21"/>
  <c r="I2439" i="21" s="1"/>
  <c r="H2440" i="21"/>
  <c r="I2440" i="21" s="1"/>
  <c r="H2441" i="21"/>
  <c r="I2441" i="21" s="1"/>
  <c r="H2442" i="21"/>
  <c r="I2442" i="21" s="1"/>
  <c r="H2443" i="21"/>
  <c r="H2444" i="21"/>
  <c r="I2444" i="21" s="1"/>
  <c r="H2445" i="21"/>
  <c r="I2445" i="21" s="1"/>
  <c r="H2446" i="21"/>
  <c r="I2446" i="21" s="1"/>
  <c r="H2447" i="21"/>
  <c r="H2448" i="21"/>
  <c r="I2448" i="21" s="1"/>
  <c r="H2449" i="21"/>
  <c r="I2449" i="21" s="1"/>
  <c r="H2450" i="21"/>
  <c r="I2450" i="21" s="1"/>
  <c r="H2451" i="21"/>
  <c r="I2451" i="21" s="1"/>
  <c r="H2452" i="21"/>
  <c r="I2452" i="21" s="1"/>
  <c r="H2453" i="21"/>
  <c r="I2453" i="21" s="1"/>
  <c r="H2454" i="21"/>
  <c r="I2454" i="21" s="1"/>
  <c r="H2455" i="21"/>
  <c r="H2456" i="21"/>
  <c r="I2456" i="21" s="1"/>
  <c r="H2457" i="21"/>
  <c r="I2457" i="21" s="1"/>
  <c r="H2458" i="21"/>
  <c r="I2458" i="21" s="1"/>
  <c r="H2459" i="21"/>
  <c r="H2460" i="21"/>
  <c r="I2460" i="21" s="1"/>
  <c r="H2461" i="21"/>
  <c r="I2461" i="21" s="1"/>
  <c r="H2462" i="21"/>
  <c r="I2462" i="21" s="1"/>
  <c r="H2463" i="21"/>
  <c r="I2463" i="21" s="1"/>
  <c r="H2464" i="21"/>
  <c r="I2464" i="21" s="1"/>
  <c r="H2465" i="21"/>
  <c r="I2465" i="21" s="1"/>
  <c r="H2466" i="21"/>
  <c r="I2466" i="21" s="1"/>
  <c r="H2467" i="21"/>
  <c r="H2468" i="21"/>
  <c r="H2469" i="21"/>
  <c r="H2470" i="21"/>
  <c r="I2470" i="21" s="1"/>
  <c r="H2471" i="21"/>
  <c r="H2472" i="21"/>
  <c r="I2472" i="21" s="1"/>
  <c r="H2473" i="21"/>
  <c r="I2473" i="21" s="1"/>
  <c r="H2474" i="21"/>
  <c r="I2474" i="21" s="1"/>
  <c r="H2475" i="21"/>
  <c r="I2475" i="21" s="1"/>
  <c r="H2476" i="21"/>
  <c r="I2476" i="21" s="1"/>
  <c r="H2477" i="21"/>
  <c r="I2477" i="21" s="1"/>
  <c r="H2478" i="21"/>
  <c r="I2478" i="21" s="1"/>
  <c r="H2479" i="21"/>
  <c r="H2480" i="21"/>
  <c r="H2481" i="21"/>
  <c r="I2481" i="21" s="1"/>
  <c r="H2482" i="21"/>
  <c r="I2482" i="21" s="1"/>
  <c r="H2483" i="21"/>
  <c r="H2484" i="21"/>
  <c r="I2484" i="21" s="1"/>
  <c r="H2485" i="21"/>
  <c r="H2486" i="21"/>
  <c r="I2486" i="21" s="1"/>
  <c r="H2487" i="21"/>
  <c r="I2487" i="21" s="1"/>
  <c r="H2488" i="21"/>
  <c r="I2488" i="21" s="1"/>
  <c r="H2489" i="21"/>
  <c r="I2489" i="21" s="1"/>
  <c r="H2490" i="21"/>
  <c r="I2490" i="21" s="1"/>
  <c r="H2491" i="21"/>
  <c r="H2492" i="21"/>
  <c r="H2493" i="21"/>
  <c r="I2493" i="21" s="1"/>
  <c r="H2494" i="21"/>
  <c r="I2494" i="21" s="1"/>
  <c r="H2495" i="21"/>
  <c r="H2496" i="21"/>
  <c r="I2496" i="21" s="1"/>
  <c r="H2497" i="21"/>
  <c r="I2497" i="21" s="1"/>
  <c r="H2498" i="21"/>
  <c r="I2498" i="21" s="1"/>
  <c r="H2499" i="21"/>
  <c r="I2499" i="21" s="1"/>
  <c r="H2500" i="21"/>
  <c r="I2500" i="21" s="1"/>
  <c r="H2501" i="21"/>
  <c r="I2501" i="21" s="1"/>
  <c r="H2502" i="21"/>
  <c r="I2502" i="21" s="1"/>
  <c r="H2503" i="21"/>
  <c r="H2504" i="21"/>
  <c r="I2504" i="21" s="1"/>
  <c r="H2505" i="21"/>
  <c r="I2505" i="21" s="1"/>
  <c r="H2506" i="21"/>
  <c r="I2506" i="21" s="1"/>
  <c r="H2507" i="21"/>
  <c r="H2508" i="21"/>
  <c r="H2509" i="21"/>
  <c r="I2509" i="21" s="1"/>
  <c r="H2510" i="21"/>
  <c r="I2510" i="21" s="1"/>
  <c r="H2511" i="21"/>
  <c r="I2511" i="21" s="1"/>
  <c r="H2512" i="21"/>
  <c r="I2512" i="21" s="1"/>
  <c r="H2513" i="21"/>
  <c r="I2513" i="21" s="1"/>
  <c r="H2514" i="21"/>
  <c r="I2514" i="21" s="1"/>
  <c r="H2515" i="21"/>
  <c r="H2516" i="21"/>
  <c r="I2516" i="21" s="1"/>
  <c r="H2517" i="21"/>
  <c r="H2518" i="21"/>
  <c r="I2518" i="21" s="1"/>
  <c r="H2519" i="21"/>
  <c r="H2520" i="21"/>
  <c r="I2520" i="21" s="1"/>
  <c r="H2521" i="21"/>
  <c r="I2521" i="21" s="1"/>
  <c r="H2522" i="21"/>
  <c r="I2522" i="21" s="1"/>
  <c r="H2523" i="21"/>
  <c r="I2523" i="21" s="1"/>
  <c r="H2524" i="21"/>
  <c r="I2524" i="21" s="1"/>
  <c r="H2525" i="21"/>
  <c r="I2525" i="21" s="1"/>
  <c r="H2526" i="21"/>
  <c r="I2526" i="21" s="1"/>
  <c r="H2527" i="21"/>
  <c r="H2528" i="21"/>
  <c r="I2528" i="21" s="1"/>
  <c r="H2529" i="21"/>
  <c r="I2529" i="21" s="1"/>
  <c r="H2530" i="21"/>
  <c r="I2530" i="21" s="1"/>
  <c r="H2531" i="21"/>
  <c r="H2532" i="21"/>
  <c r="I2532" i="21" s="1"/>
  <c r="H2533" i="21"/>
  <c r="H2534" i="21"/>
  <c r="I2534" i="21" s="1"/>
  <c r="H2535" i="21"/>
  <c r="I2535" i="21" s="1"/>
  <c r="H2536" i="21"/>
  <c r="I2536" i="21" s="1"/>
  <c r="H2537" i="21"/>
  <c r="I2537" i="21" s="1"/>
  <c r="H2538" i="21"/>
  <c r="I2538" i="21" s="1"/>
  <c r="H2539" i="21"/>
  <c r="H2540" i="21"/>
  <c r="I2540" i="21" s="1"/>
  <c r="H2541" i="21"/>
  <c r="I2541" i="21" s="1"/>
  <c r="H2542" i="21"/>
  <c r="I2542" i="21" s="1"/>
  <c r="H2543" i="21"/>
  <c r="H2544" i="21"/>
  <c r="I2544" i="21" s="1"/>
  <c r="H2545" i="21"/>
  <c r="I2545" i="21" s="1"/>
  <c r="H2546" i="21"/>
  <c r="I2546" i="21" s="1"/>
  <c r="H2547" i="21"/>
  <c r="I2547" i="21" s="1"/>
  <c r="H2548" i="21"/>
  <c r="I2548" i="21" s="1"/>
  <c r="H2549" i="21"/>
  <c r="I2549" i="21" s="1"/>
  <c r="H2550" i="21"/>
  <c r="I2550" i="21" s="1"/>
  <c r="H2551" i="21"/>
  <c r="H2552" i="21"/>
  <c r="I2552" i="21" s="1"/>
  <c r="H2553" i="21"/>
  <c r="I2553" i="21" s="1"/>
  <c r="H2554" i="21"/>
  <c r="I2554" i="21" s="1"/>
  <c r="H2555" i="21"/>
  <c r="H2556" i="21"/>
  <c r="I2556" i="21" s="1"/>
  <c r="H2557" i="21"/>
  <c r="I2557" i="21" s="1"/>
  <c r="H2558" i="21"/>
  <c r="I2558" i="21" s="1"/>
  <c r="H2559" i="21"/>
  <c r="I2559" i="21" s="1"/>
  <c r="H2560" i="21"/>
  <c r="I2560" i="21" s="1"/>
  <c r="H2561" i="21"/>
  <c r="I2561" i="21" s="1"/>
  <c r="H2562" i="21"/>
  <c r="I2562" i="21" s="1"/>
  <c r="H2563" i="21"/>
  <c r="H2564" i="21"/>
  <c r="I2564" i="21" s="1"/>
  <c r="H2565" i="21"/>
  <c r="I2565" i="21" s="1"/>
  <c r="H2566" i="21"/>
  <c r="I2566" i="21" s="1"/>
  <c r="H2567" i="21"/>
  <c r="H2568" i="21"/>
  <c r="I2568" i="21" s="1"/>
  <c r="H2569" i="21"/>
  <c r="I2569" i="21" s="1"/>
  <c r="H2570" i="21"/>
  <c r="I2570" i="21" s="1"/>
  <c r="H2571" i="21"/>
  <c r="I2571" i="21" s="1"/>
  <c r="H2572" i="21"/>
  <c r="I2572" i="21" s="1"/>
  <c r="H2573" i="21"/>
  <c r="I2573" i="21" s="1"/>
  <c r="H2574" i="21"/>
  <c r="I2574" i="21" s="1"/>
  <c r="H2575" i="21"/>
  <c r="H2576" i="21"/>
  <c r="I2576" i="21" s="1"/>
  <c r="H2577" i="21"/>
  <c r="I2577" i="21" s="1"/>
  <c r="H2578" i="21"/>
  <c r="I2578" i="21" s="1"/>
  <c r="H2579" i="21"/>
  <c r="H2580" i="21"/>
  <c r="I2580" i="21" s="1"/>
  <c r="H2581" i="21"/>
  <c r="I2581" i="21" s="1"/>
  <c r="H2582" i="21"/>
  <c r="I2582" i="21" s="1"/>
  <c r="H2583" i="21"/>
  <c r="I2583" i="21" s="1"/>
  <c r="H2584" i="21"/>
  <c r="I2584" i="21" s="1"/>
  <c r="H2585" i="21"/>
  <c r="I2585" i="21" s="1"/>
  <c r="H2586" i="21"/>
  <c r="I2586" i="21" s="1"/>
  <c r="H2587" i="21"/>
  <c r="H2588" i="21"/>
  <c r="I2588" i="21" s="1"/>
  <c r="H2589" i="21"/>
  <c r="I2589" i="21" s="1"/>
  <c r="H2590" i="21"/>
  <c r="I2590" i="21" s="1"/>
  <c r="H2591" i="21"/>
  <c r="H2592" i="21"/>
  <c r="I2592" i="21" s="1"/>
  <c r="H2593" i="21"/>
  <c r="I2593" i="21" s="1"/>
  <c r="H2594" i="21"/>
  <c r="I2594" i="21" s="1"/>
  <c r="H2595" i="21"/>
  <c r="H2596" i="21"/>
  <c r="I2596" i="21" s="1"/>
  <c r="H2597" i="21"/>
  <c r="I2597" i="21" s="1"/>
  <c r="H2598" i="21"/>
  <c r="I2598" i="21" s="1"/>
  <c r="H2599" i="21"/>
  <c r="H2600" i="21"/>
  <c r="I2600" i="21" s="1"/>
  <c r="H2601" i="21"/>
  <c r="I2601" i="21" s="1"/>
  <c r="H2602" i="21"/>
  <c r="I2602" i="21" s="1"/>
  <c r="H2603" i="21"/>
  <c r="H2604" i="21"/>
  <c r="I2604" i="21" s="1"/>
  <c r="H2605" i="21"/>
  <c r="I2605" i="21" s="1"/>
  <c r="H2606" i="21"/>
  <c r="I2606" i="21" s="1"/>
  <c r="H2607" i="21"/>
  <c r="I2607" i="21" s="1"/>
  <c r="H2608" i="21"/>
  <c r="I2608" i="21" s="1"/>
  <c r="H2609" i="21"/>
  <c r="I2609" i="21" s="1"/>
  <c r="H2610" i="21"/>
  <c r="I2610" i="21" s="1"/>
  <c r="H2611" i="21"/>
  <c r="H2612" i="21"/>
  <c r="I2612" i="21" s="1"/>
  <c r="H2613" i="21"/>
  <c r="I2613" i="21" s="1"/>
  <c r="H2614" i="21"/>
  <c r="I2614" i="21" s="1"/>
  <c r="H2615" i="21"/>
  <c r="H2616" i="21"/>
  <c r="I2616" i="21" s="1"/>
  <c r="H2617" i="21"/>
  <c r="I2617" i="21" s="1"/>
  <c r="H2618" i="21"/>
  <c r="I2618" i="21" s="1"/>
  <c r="H2619" i="21"/>
  <c r="I2619" i="21" s="1"/>
  <c r="H2620" i="21"/>
  <c r="I2620" i="21" s="1"/>
  <c r="H2621" i="21"/>
  <c r="I2621" i="21" s="1"/>
  <c r="H2622" i="21"/>
  <c r="I2622" i="21" s="1"/>
  <c r="H2623" i="21"/>
  <c r="H2624" i="21"/>
  <c r="I2624" i="21" s="1"/>
  <c r="H2625" i="21"/>
  <c r="I2625" i="21" s="1"/>
  <c r="H2626" i="21"/>
  <c r="I2626" i="21" s="1"/>
  <c r="H2627" i="21"/>
  <c r="H2628" i="21"/>
  <c r="I2628" i="21" s="1"/>
  <c r="H2629" i="21"/>
  <c r="I2629" i="21" s="1"/>
  <c r="H2630" i="21"/>
  <c r="I2630" i="21" s="1"/>
  <c r="H2631" i="21"/>
  <c r="I2631" i="21" s="1"/>
  <c r="H2632" i="21"/>
  <c r="I2632" i="21" s="1"/>
  <c r="H2633" i="21"/>
  <c r="I2633" i="21" s="1"/>
  <c r="H2634" i="21"/>
  <c r="I2634" i="21" s="1"/>
  <c r="H2635" i="21"/>
  <c r="H2636" i="21"/>
  <c r="H2637" i="21"/>
  <c r="I2637" i="21" s="1"/>
  <c r="H2638" i="21"/>
  <c r="I2638" i="21" s="1"/>
  <c r="H2639" i="21"/>
  <c r="H2640" i="21"/>
  <c r="I2640" i="21" s="1"/>
  <c r="H2641" i="21"/>
  <c r="I2641" i="21" s="1"/>
  <c r="H2642" i="21"/>
  <c r="I2642" i="21" s="1"/>
  <c r="H2643" i="21"/>
  <c r="H2644" i="21"/>
  <c r="I2644" i="21" s="1"/>
  <c r="H2645" i="21"/>
  <c r="I2645" i="21" s="1"/>
  <c r="H2646" i="21"/>
  <c r="I2646" i="21" s="1"/>
  <c r="H2647" i="21"/>
  <c r="H2648" i="21"/>
  <c r="I2648" i="21" s="1"/>
  <c r="H2649" i="21"/>
  <c r="I2649" i="21" s="1"/>
  <c r="H2650" i="21"/>
  <c r="I2650" i="21" s="1"/>
  <c r="H2651" i="21"/>
  <c r="H2652" i="21"/>
  <c r="I2652" i="21" s="1"/>
  <c r="H2653" i="21"/>
  <c r="I2653" i="21" s="1"/>
  <c r="H2654" i="21"/>
  <c r="I2654" i="21" s="1"/>
  <c r="H2655" i="21"/>
  <c r="I2655" i="21" s="1"/>
  <c r="H2656" i="21"/>
  <c r="I2656" i="21" s="1"/>
  <c r="H2657" i="21"/>
  <c r="I2657" i="21" s="1"/>
  <c r="H2658" i="21"/>
  <c r="I2658" i="21" s="1"/>
  <c r="H2659" i="21"/>
  <c r="H2660" i="21"/>
  <c r="I2660" i="21" s="1"/>
  <c r="H2661" i="21"/>
  <c r="I2661" i="21" s="1"/>
  <c r="H2662" i="21"/>
  <c r="I2662" i="21" s="1"/>
  <c r="H2663" i="21"/>
  <c r="H2664" i="21"/>
  <c r="I2664" i="21" s="1"/>
  <c r="H2665" i="21"/>
  <c r="I2665" i="21" s="1"/>
  <c r="H2666" i="21"/>
  <c r="I2666" i="21" s="1"/>
  <c r="H2667" i="21"/>
  <c r="I2667" i="21" s="1"/>
  <c r="H2668" i="21"/>
  <c r="I2668" i="21" s="1"/>
  <c r="H2669" i="21"/>
  <c r="I2669" i="21" s="1"/>
  <c r="H2670" i="21"/>
  <c r="I2670" i="21" s="1"/>
  <c r="H2671" i="21"/>
  <c r="H2672" i="21"/>
  <c r="I2672" i="21" s="1"/>
  <c r="H2673" i="21"/>
  <c r="I2673" i="21" s="1"/>
  <c r="H2674" i="21"/>
  <c r="I2674" i="21" s="1"/>
  <c r="H2675" i="21"/>
  <c r="H2676" i="21"/>
  <c r="I2676" i="21" s="1"/>
  <c r="H2677" i="21"/>
  <c r="I2677" i="21" s="1"/>
  <c r="H2678" i="21"/>
  <c r="I2678" i="21" s="1"/>
  <c r="H2679" i="21"/>
  <c r="I2679" i="21" s="1"/>
  <c r="H2680" i="21"/>
  <c r="I2680" i="21" s="1"/>
  <c r="H2681" i="21"/>
  <c r="I2681" i="21" s="1"/>
  <c r="H2682" i="21"/>
  <c r="I2682" i="21" s="1"/>
  <c r="H2683" i="21"/>
  <c r="H2684" i="21"/>
  <c r="I2684" i="21" s="1"/>
  <c r="H2685" i="21"/>
  <c r="I2685" i="21" s="1"/>
  <c r="H2686" i="21"/>
  <c r="I2686" i="21" s="1"/>
  <c r="H2687" i="21"/>
  <c r="H2688" i="21"/>
  <c r="I2688" i="21" s="1"/>
  <c r="H2689" i="21"/>
  <c r="I2689" i="21" s="1"/>
  <c r="H2690" i="21"/>
  <c r="I2690" i="21" s="1"/>
  <c r="H2691" i="21"/>
  <c r="I2691" i="21" s="1"/>
  <c r="H2692" i="21"/>
  <c r="I2692" i="21" s="1"/>
  <c r="H2693" i="21"/>
  <c r="I2693" i="21" s="1"/>
  <c r="H2694" i="21"/>
  <c r="I2694" i="21" s="1"/>
  <c r="H2695" i="21"/>
  <c r="H2696" i="21"/>
  <c r="I2696" i="21" s="1"/>
  <c r="H2697" i="21"/>
  <c r="I2697" i="21" s="1"/>
  <c r="H2698" i="21"/>
  <c r="I2698" i="21" s="1"/>
  <c r="H2699" i="21"/>
  <c r="H2700" i="21"/>
  <c r="I2700" i="21" s="1"/>
  <c r="H2701" i="21"/>
  <c r="I2701" i="21" s="1"/>
  <c r="H2702" i="21"/>
  <c r="I2702" i="21" s="1"/>
  <c r="H2703" i="21"/>
  <c r="I2703" i="21" s="1"/>
  <c r="H2704" i="21"/>
  <c r="I2704" i="21" s="1"/>
  <c r="H2705" i="21"/>
  <c r="I2705" i="21" s="1"/>
  <c r="H2706" i="21"/>
  <c r="I2706" i="21" s="1"/>
  <c r="H2707" i="21"/>
  <c r="H2708" i="21"/>
  <c r="I2708" i="21" s="1"/>
  <c r="H2709" i="21"/>
  <c r="I2709" i="21" s="1"/>
  <c r="H2710" i="21"/>
  <c r="I2710" i="21" s="1"/>
  <c r="H2711" i="21"/>
  <c r="H2712" i="21"/>
  <c r="I2712" i="21" s="1"/>
  <c r="H2713" i="21"/>
  <c r="I2713" i="21" s="1"/>
  <c r="H2714" i="21"/>
  <c r="I2714" i="21" s="1"/>
  <c r="H2715" i="21"/>
  <c r="I2715" i="21" s="1"/>
  <c r="H2716" i="21"/>
  <c r="I2716" i="21" s="1"/>
  <c r="H2717" i="21"/>
  <c r="I2717" i="21" s="1"/>
  <c r="H2718" i="21"/>
  <c r="I2718" i="21" s="1"/>
  <c r="H2719" i="21"/>
  <c r="H2720" i="21"/>
  <c r="I2720" i="21" s="1"/>
  <c r="H2721" i="21"/>
  <c r="I2721" i="21" s="1"/>
  <c r="H2722" i="21"/>
  <c r="I2722" i="21" s="1"/>
  <c r="H2723" i="21"/>
  <c r="H2724" i="21"/>
  <c r="I2724" i="21" s="1"/>
  <c r="H2725" i="21"/>
  <c r="I2725" i="21" s="1"/>
  <c r="H2726" i="21"/>
  <c r="I2726" i="21" s="1"/>
  <c r="H2727" i="21"/>
  <c r="I2727" i="21" s="1"/>
  <c r="H2728" i="21"/>
  <c r="I2728" i="21" s="1"/>
  <c r="H2729" i="21"/>
  <c r="I2729" i="21" s="1"/>
  <c r="H2730" i="21"/>
  <c r="I2730" i="21" s="1"/>
  <c r="H2731" i="21"/>
  <c r="H2732" i="21"/>
  <c r="I2732" i="21" s="1"/>
  <c r="H2733" i="21"/>
  <c r="I2733" i="21" s="1"/>
  <c r="H2734" i="21"/>
  <c r="I2734" i="21" s="1"/>
  <c r="H2735" i="21"/>
  <c r="H2736" i="21"/>
  <c r="I2736" i="21" s="1"/>
  <c r="H2737" i="21"/>
  <c r="I2737" i="21" s="1"/>
  <c r="H2738" i="21"/>
  <c r="I2738" i="21" s="1"/>
  <c r="H2739" i="21"/>
  <c r="I2739" i="21" s="1"/>
  <c r="H2740" i="21"/>
  <c r="I2740" i="21" s="1"/>
  <c r="H2741" i="21"/>
  <c r="I2741" i="21" s="1"/>
  <c r="H2742" i="21"/>
  <c r="I2742" i="21" s="1"/>
  <c r="H2743" i="21"/>
  <c r="H2744" i="21"/>
  <c r="I2744" i="21" s="1"/>
  <c r="H2745" i="21"/>
  <c r="I2745" i="21" s="1"/>
  <c r="H2746" i="21"/>
  <c r="I2746" i="21" s="1"/>
  <c r="H2747" i="21"/>
  <c r="H2748" i="21"/>
  <c r="I2748" i="21" s="1"/>
  <c r="H2749" i="21"/>
  <c r="I2749" i="21" s="1"/>
  <c r="H2750" i="21"/>
  <c r="I2750" i="21" s="1"/>
  <c r="H2751" i="21"/>
  <c r="I2751" i="21" s="1"/>
  <c r="H2752" i="21"/>
  <c r="I2752" i="21" s="1"/>
  <c r="H2753" i="21"/>
  <c r="I2753" i="21" s="1"/>
  <c r="H2754" i="21"/>
  <c r="I2754" i="21" s="1"/>
  <c r="H2755" i="21"/>
  <c r="H2756" i="21"/>
  <c r="I2756" i="21" s="1"/>
  <c r="H2757" i="21"/>
  <c r="I2757" i="21" s="1"/>
  <c r="H2758" i="21"/>
  <c r="I2758" i="21" s="1"/>
  <c r="H2759" i="21"/>
  <c r="H2760" i="21"/>
  <c r="I2760" i="21" s="1"/>
  <c r="H2761" i="21"/>
  <c r="I2761" i="21" s="1"/>
  <c r="H2762" i="21"/>
  <c r="I2762" i="21" s="1"/>
  <c r="H2763" i="21"/>
  <c r="I2763" i="21" s="1"/>
  <c r="H2764" i="21"/>
  <c r="I2764" i="21" s="1"/>
  <c r="H2765" i="21"/>
  <c r="I2765" i="21" s="1"/>
  <c r="H2766" i="21"/>
  <c r="I2766" i="21" s="1"/>
  <c r="H2767" i="21"/>
  <c r="H2768" i="21"/>
  <c r="I2768" i="21" s="1"/>
  <c r="H2769" i="21"/>
  <c r="I2769" i="21" s="1"/>
  <c r="H2770" i="21"/>
  <c r="I2770" i="21" s="1"/>
  <c r="H2771" i="21"/>
  <c r="H2772" i="21"/>
  <c r="I2772" i="21" s="1"/>
  <c r="H2773" i="21"/>
  <c r="I2773" i="21" s="1"/>
  <c r="H2774" i="21"/>
  <c r="I2774" i="21" s="1"/>
  <c r="H2775" i="21"/>
  <c r="I2775" i="21" s="1"/>
  <c r="H2776" i="21"/>
  <c r="I2776" i="21" s="1"/>
  <c r="H2777" i="21"/>
  <c r="I2777" i="21" s="1"/>
  <c r="H2778" i="21"/>
  <c r="I2778" i="21" s="1"/>
  <c r="H2779" i="21"/>
  <c r="H2780" i="21"/>
  <c r="H2781" i="21"/>
  <c r="I2781" i="21" s="1"/>
  <c r="H2782" i="21"/>
  <c r="I2782" i="21" s="1"/>
  <c r="H2783" i="21"/>
  <c r="H2784" i="21"/>
  <c r="I2784" i="21" s="1"/>
  <c r="H2785" i="21"/>
  <c r="I2785" i="21" s="1"/>
  <c r="H2786" i="21"/>
  <c r="I2786" i="21" s="1"/>
  <c r="H2787" i="21"/>
  <c r="I2787" i="21" s="1"/>
  <c r="H2788" i="21"/>
  <c r="I2788" i="21" s="1"/>
  <c r="H2789" i="21"/>
  <c r="I2789" i="21" s="1"/>
  <c r="H2790" i="21"/>
  <c r="I2790" i="21" s="1"/>
  <c r="H2791" i="21"/>
  <c r="H2792" i="21"/>
  <c r="I2792" i="21" s="1"/>
  <c r="H2793" i="21"/>
  <c r="I2793" i="21" s="1"/>
  <c r="H2794" i="21"/>
  <c r="I2794" i="21" s="1"/>
  <c r="H2795" i="21"/>
  <c r="H2796" i="21"/>
  <c r="I2796" i="21" s="1"/>
  <c r="H2797" i="21"/>
  <c r="I2797" i="21" s="1"/>
  <c r="H2798" i="21"/>
  <c r="I2798" i="21" s="1"/>
  <c r="H2799" i="21"/>
  <c r="I2799" i="21" s="1"/>
  <c r="H2800" i="21"/>
  <c r="I2800" i="21" s="1"/>
  <c r="H2801" i="21"/>
  <c r="I2801" i="21" s="1"/>
  <c r="H2802" i="21"/>
  <c r="I2802" i="21" s="1"/>
  <c r="H2803" i="21"/>
  <c r="H2804" i="21"/>
  <c r="I2804" i="21" s="1"/>
  <c r="H2805" i="21"/>
  <c r="I2805" i="21" s="1"/>
  <c r="H2806" i="21"/>
  <c r="I2806" i="21" s="1"/>
  <c r="H2807" i="21"/>
  <c r="H2808" i="21"/>
  <c r="I2808" i="21" s="1"/>
  <c r="H2809" i="21"/>
  <c r="I2809" i="21" s="1"/>
  <c r="H2810" i="21"/>
  <c r="I2810" i="21" s="1"/>
  <c r="H2811" i="21"/>
  <c r="I2811" i="21" s="1"/>
  <c r="H2812" i="21"/>
  <c r="I2812" i="21" s="1"/>
  <c r="H2813" i="21"/>
  <c r="I2813" i="21" s="1"/>
  <c r="H2814" i="21"/>
  <c r="I2814" i="21" s="1"/>
  <c r="H2815" i="21"/>
  <c r="H2816" i="21"/>
  <c r="I2816" i="21" s="1"/>
  <c r="H2817" i="21"/>
  <c r="I2817" i="21" s="1"/>
  <c r="H2818" i="21"/>
  <c r="I2818" i="21" s="1"/>
  <c r="H2819" i="21"/>
  <c r="H2820" i="21"/>
  <c r="I2820" i="21" s="1"/>
  <c r="H2821" i="21"/>
  <c r="I2821" i="21" s="1"/>
  <c r="H2822" i="21"/>
  <c r="I2822" i="21" s="1"/>
  <c r="H2823" i="21"/>
  <c r="I2823" i="21" s="1"/>
  <c r="H2824" i="21"/>
  <c r="I2824" i="21" s="1"/>
  <c r="H2825" i="21"/>
  <c r="I2825" i="21" s="1"/>
  <c r="H2826" i="21"/>
  <c r="I2826" i="21" s="1"/>
  <c r="H2827" i="21"/>
  <c r="H2828" i="21"/>
  <c r="I2828" i="21" s="1"/>
  <c r="H2829" i="21"/>
  <c r="I2829" i="21" s="1"/>
  <c r="H2830" i="21"/>
  <c r="I2830" i="21" s="1"/>
  <c r="H2831" i="21"/>
  <c r="H2832" i="21"/>
  <c r="I2832" i="21" s="1"/>
  <c r="H2833" i="21"/>
  <c r="I2833" i="21" s="1"/>
  <c r="H2834" i="21"/>
  <c r="I2834" i="21" s="1"/>
  <c r="H2835" i="21"/>
  <c r="I2835" i="21" s="1"/>
  <c r="H2836" i="21"/>
  <c r="I2836" i="21" s="1"/>
  <c r="H2837" i="21"/>
  <c r="I2837" i="21" s="1"/>
  <c r="H2838" i="21"/>
  <c r="I2838" i="21" s="1"/>
  <c r="H2839" i="21"/>
  <c r="H2840" i="21"/>
  <c r="I2840" i="21" s="1"/>
  <c r="H2841" i="21"/>
  <c r="I2841" i="21" s="1"/>
  <c r="H2842" i="21"/>
  <c r="I2842" i="21" s="1"/>
  <c r="H2843" i="21"/>
  <c r="H2844" i="21"/>
  <c r="I2844" i="21" s="1"/>
  <c r="H2845" i="21"/>
  <c r="I2845" i="21" s="1"/>
  <c r="H2846" i="21"/>
  <c r="I2846" i="21" s="1"/>
  <c r="H2847" i="21"/>
  <c r="I2847" i="21" s="1"/>
  <c r="H2848" i="21"/>
  <c r="I2848" i="21" s="1"/>
  <c r="H2849" i="21"/>
  <c r="I2849" i="21" s="1"/>
  <c r="H2850" i="21"/>
  <c r="I2850" i="21" s="1"/>
  <c r="H2851" i="21"/>
  <c r="H2852" i="21"/>
  <c r="I2852" i="21" s="1"/>
  <c r="H2853" i="21"/>
  <c r="I2853" i="21" s="1"/>
  <c r="H2854" i="21"/>
  <c r="I2854" i="21" s="1"/>
  <c r="H2855" i="21"/>
  <c r="H2856" i="21"/>
  <c r="I2856" i="21" s="1"/>
  <c r="H2857" i="21"/>
  <c r="I2857" i="21" s="1"/>
  <c r="H2858" i="21"/>
  <c r="I2858" i="21" s="1"/>
  <c r="H2859" i="21"/>
  <c r="I2859" i="21" s="1"/>
  <c r="H2860" i="21"/>
  <c r="I2860" i="21" s="1"/>
  <c r="H2861" i="21"/>
  <c r="I2861" i="21" s="1"/>
  <c r="H2862" i="21"/>
  <c r="I2862" i="21" s="1"/>
  <c r="H2863" i="21"/>
  <c r="H2864" i="21"/>
  <c r="I2864" i="21" s="1"/>
  <c r="H2865" i="21"/>
  <c r="I2865" i="21" s="1"/>
  <c r="H2866" i="21"/>
  <c r="I2866" i="21" s="1"/>
  <c r="H2867" i="21"/>
  <c r="H2868" i="21"/>
  <c r="I2868" i="21" s="1"/>
  <c r="H2869" i="21"/>
  <c r="I2869" i="21" s="1"/>
  <c r="H2870" i="21"/>
  <c r="I2870" i="21" s="1"/>
  <c r="H2871" i="21"/>
  <c r="I2871" i="21" s="1"/>
  <c r="H2872" i="21"/>
  <c r="I2872" i="21" s="1"/>
  <c r="H2873" i="21"/>
  <c r="I2873" i="21" s="1"/>
  <c r="H2874" i="21"/>
  <c r="I2874" i="21" s="1"/>
  <c r="H2875" i="21"/>
  <c r="H2876" i="21"/>
  <c r="I2876" i="21" s="1"/>
  <c r="H2877" i="21"/>
  <c r="I2877" i="21" s="1"/>
  <c r="H2878" i="21"/>
  <c r="I2878" i="21" s="1"/>
  <c r="H2879" i="21"/>
  <c r="H2880" i="21"/>
  <c r="I2880" i="21" s="1"/>
  <c r="H2881" i="21"/>
  <c r="I2881" i="21" s="1"/>
  <c r="H2882" i="21"/>
  <c r="I2882" i="21" s="1"/>
  <c r="H2883" i="21"/>
  <c r="I2883" i="21" s="1"/>
  <c r="H2884" i="21"/>
  <c r="I2884" i="21" s="1"/>
  <c r="H2885" i="21"/>
  <c r="I2885" i="21" s="1"/>
  <c r="H2886" i="21"/>
  <c r="I2886" i="21" s="1"/>
  <c r="H2887" i="21"/>
  <c r="H2888" i="21"/>
  <c r="I2888" i="21" s="1"/>
  <c r="H2889" i="21"/>
  <c r="I2889" i="21" s="1"/>
  <c r="H2890" i="21"/>
  <c r="I2890" i="21" s="1"/>
  <c r="H2891" i="21"/>
  <c r="H2892" i="21"/>
  <c r="I2892" i="21" s="1"/>
  <c r="H2893" i="21"/>
  <c r="I2893" i="21" s="1"/>
  <c r="H2894" i="21"/>
  <c r="I2894" i="21" s="1"/>
  <c r="H2895" i="21"/>
  <c r="H2896" i="21"/>
  <c r="I2896" i="21" s="1"/>
  <c r="H2897" i="21"/>
  <c r="I2897" i="21" s="1"/>
  <c r="H2898" i="21"/>
  <c r="I2898" i="21" s="1"/>
  <c r="H2899" i="21"/>
  <c r="H2900" i="21"/>
  <c r="I2900" i="21" s="1"/>
  <c r="H2901" i="21"/>
  <c r="I2901" i="21" s="1"/>
  <c r="H2902" i="21"/>
  <c r="I2902" i="21" s="1"/>
  <c r="H2903" i="21"/>
  <c r="H2904" i="21"/>
  <c r="I2904" i="21" s="1"/>
  <c r="H2905" i="21"/>
  <c r="I2905" i="21" s="1"/>
  <c r="H2906" i="21"/>
  <c r="I2906" i="21" s="1"/>
  <c r="H2907" i="21"/>
  <c r="I2907" i="21" s="1"/>
  <c r="H2908" i="21"/>
  <c r="I2908" i="21" s="1"/>
  <c r="H2909" i="21"/>
  <c r="I2909" i="21" s="1"/>
  <c r="H2910" i="21"/>
  <c r="I2910" i="21" s="1"/>
  <c r="H2911" i="21"/>
  <c r="H2912" i="21"/>
  <c r="I2912" i="21" s="1"/>
  <c r="H2913" i="21"/>
  <c r="I2913" i="21" s="1"/>
  <c r="H2914" i="21"/>
  <c r="I2914" i="21" s="1"/>
  <c r="H2915" i="21"/>
  <c r="H2916" i="21"/>
  <c r="I2916" i="21" s="1"/>
  <c r="H2917" i="21"/>
  <c r="I2917" i="21" s="1"/>
  <c r="H2918" i="21"/>
  <c r="I2918" i="21" s="1"/>
  <c r="H2919" i="21"/>
  <c r="I2919" i="21" s="1"/>
  <c r="H2920" i="21"/>
  <c r="I2920" i="21" s="1"/>
  <c r="H2921" i="21"/>
  <c r="I2921" i="21" s="1"/>
  <c r="H2922" i="21"/>
  <c r="I2922" i="21" s="1"/>
  <c r="H2923" i="21"/>
  <c r="H2924" i="21"/>
  <c r="H2925" i="21"/>
  <c r="I2925" i="21" s="1"/>
  <c r="H2926" i="21"/>
  <c r="I2926" i="21" s="1"/>
  <c r="H2927" i="21"/>
  <c r="H2928" i="21"/>
  <c r="I2928" i="21" s="1"/>
  <c r="H2929" i="21"/>
  <c r="I2929" i="21" s="1"/>
  <c r="H2930" i="21"/>
  <c r="I2930" i="21" s="1"/>
  <c r="H2931" i="21"/>
  <c r="I2931" i="21" s="1"/>
  <c r="H2932" i="21"/>
  <c r="I2932" i="21" s="1"/>
  <c r="H2933" i="21"/>
  <c r="I2933" i="21" s="1"/>
  <c r="H2934" i="21"/>
  <c r="I2934" i="21" s="1"/>
  <c r="H2935" i="21"/>
  <c r="H2936" i="21"/>
  <c r="I2936" i="21" s="1"/>
  <c r="H2937" i="21"/>
  <c r="I2937" i="21" s="1"/>
  <c r="H2938" i="21"/>
  <c r="I2938" i="21" s="1"/>
  <c r="H2939" i="21"/>
  <c r="H2940" i="21"/>
  <c r="I2940" i="21" s="1"/>
  <c r="H2941" i="21"/>
  <c r="I2941" i="21" s="1"/>
  <c r="H2942" i="21"/>
  <c r="I2942" i="21" s="1"/>
  <c r="H2943" i="21"/>
  <c r="I2943" i="21" s="1"/>
  <c r="H2944" i="21"/>
  <c r="I2944" i="21" s="1"/>
  <c r="H2945" i="21"/>
  <c r="I2945" i="21" s="1"/>
  <c r="H2946" i="21"/>
  <c r="I2946" i="21" s="1"/>
  <c r="H2947" i="21"/>
  <c r="H2948" i="21"/>
  <c r="I2948" i="21" s="1"/>
  <c r="H2949" i="21"/>
  <c r="I2949" i="21" s="1"/>
  <c r="H2950" i="21"/>
  <c r="I2950" i="21" s="1"/>
  <c r="H2951" i="21"/>
  <c r="H2952" i="21"/>
  <c r="I2952" i="21" s="1"/>
  <c r="H2953" i="21"/>
  <c r="I2953" i="21" s="1"/>
  <c r="H2954" i="21"/>
  <c r="I2954" i="21" s="1"/>
  <c r="H2955" i="21"/>
  <c r="I2955" i="21" s="1"/>
  <c r="H2956" i="21"/>
  <c r="I2956" i="21" s="1"/>
  <c r="H2957" i="21"/>
  <c r="I2957" i="21" s="1"/>
  <c r="H2958" i="21"/>
  <c r="I2958" i="21" s="1"/>
  <c r="H2959" i="21"/>
  <c r="H2960" i="21"/>
  <c r="I2960" i="21" s="1"/>
  <c r="H2961" i="21"/>
  <c r="I2961" i="21" s="1"/>
  <c r="H2962" i="21"/>
  <c r="I2962" i="21" s="1"/>
  <c r="H2963" i="21"/>
  <c r="H2964" i="21"/>
  <c r="I2964" i="21" s="1"/>
  <c r="H2965" i="21"/>
  <c r="I2965" i="21" s="1"/>
  <c r="H2966" i="21"/>
  <c r="I2966" i="21" s="1"/>
  <c r="H2967" i="21"/>
  <c r="I2967" i="21" s="1"/>
  <c r="H2968" i="21"/>
  <c r="I2968" i="21" s="1"/>
  <c r="H2969" i="21"/>
  <c r="I2969" i="21" s="1"/>
  <c r="H2970" i="21"/>
  <c r="I2970" i="21" s="1"/>
  <c r="H2971" i="21"/>
  <c r="H2972" i="21"/>
  <c r="I2972" i="21" s="1"/>
  <c r="H2973" i="21"/>
  <c r="I2973" i="21" s="1"/>
  <c r="H2974" i="21"/>
  <c r="I2974" i="21" s="1"/>
  <c r="H2975" i="21"/>
  <c r="H2976" i="21"/>
  <c r="I2976" i="21" s="1"/>
  <c r="H2977" i="21"/>
  <c r="I2977" i="21" s="1"/>
  <c r="H2978" i="21"/>
  <c r="H2979" i="21"/>
  <c r="I2979" i="21" s="1"/>
  <c r="H2980" i="21"/>
  <c r="I2980" i="21" s="1"/>
  <c r="H2981" i="21"/>
  <c r="I2981" i="21" s="1"/>
  <c r="H2982" i="21"/>
  <c r="I2982" i="21" s="1"/>
  <c r="H2983" i="21"/>
  <c r="H2984" i="21"/>
  <c r="I2984" i="21" s="1"/>
  <c r="H2985" i="21"/>
  <c r="I2985" i="21" s="1"/>
  <c r="H2986" i="21"/>
  <c r="I2986" i="21" s="1"/>
  <c r="H2987" i="21"/>
  <c r="H2988" i="21"/>
  <c r="I2988" i="21" s="1"/>
  <c r="H2989" i="21"/>
  <c r="I2989" i="21" s="1"/>
  <c r="H2990" i="21"/>
  <c r="I2990" i="21" s="1"/>
  <c r="H2991" i="21"/>
  <c r="I2991" i="21" s="1"/>
  <c r="H2992" i="21"/>
  <c r="I2992" i="21" s="1"/>
  <c r="H2993" i="21"/>
  <c r="I2993" i="21" s="1"/>
  <c r="H2994" i="21"/>
  <c r="I2994" i="21" s="1"/>
  <c r="H2995" i="21"/>
  <c r="H2996" i="21"/>
  <c r="I2996" i="21" s="1"/>
  <c r="H2997" i="21"/>
  <c r="I2997" i="21" s="1"/>
  <c r="H2998" i="21"/>
  <c r="I2998" i="21" s="1"/>
  <c r="H2999" i="21"/>
  <c r="H3000" i="21"/>
  <c r="I3000" i="21" s="1"/>
  <c r="H3001" i="21"/>
  <c r="I3001" i="21" s="1"/>
  <c r="H3002" i="21"/>
  <c r="I3002" i="21" s="1"/>
  <c r="H3003" i="21"/>
  <c r="I3003" i="21" s="1"/>
  <c r="H3004" i="21"/>
  <c r="I3004" i="21" s="1"/>
  <c r="H3005" i="21"/>
  <c r="I3005" i="21" s="1"/>
  <c r="H3006" i="21"/>
  <c r="I3006" i="21" s="1"/>
  <c r="H3007" i="21"/>
  <c r="H3008" i="21"/>
  <c r="H3009" i="21"/>
  <c r="I3009" i="21" s="1"/>
  <c r="H3010" i="21"/>
  <c r="I3010" i="21" s="1"/>
  <c r="H3011" i="21"/>
  <c r="H3012" i="21"/>
  <c r="I3012" i="21" s="1"/>
  <c r="H3013" i="21"/>
  <c r="I3013" i="21" s="1"/>
  <c r="H3014" i="21"/>
  <c r="I3014" i="21" s="1"/>
  <c r="H3015" i="21"/>
  <c r="I3015" i="21" s="1"/>
  <c r="H3016" i="21"/>
  <c r="I3016" i="21" s="1"/>
  <c r="I10" i="20"/>
  <c r="I11" i="20"/>
  <c r="I12" i="20"/>
  <c r="I13" i="20"/>
  <c r="I14" i="20"/>
  <c r="I15" i="20"/>
  <c r="I16" i="20"/>
  <c r="I17" i="20"/>
  <c r="I21" i="20"/>
  <c r="I19" i="20"/>
  <c r="I26" i="20"/>
  <c r="I22" i="20"/>
  <c r="I27" i="20"/>
  <c r="I28" i="20"/>
  <c r="I23" i="20"/>
  <c r="I24" i="20"/>
  <c r="I29" i="20"/>
  <c r="I30" i="20"/>
  <c r="I31" i="20"/>
  <c r="I32" i="20"/>
  <c r="I33" i="20"/>
  <c r="I35" i="20"/>
  <c r="I36" i="20"/>
  <c r="I37" i="20"/>
  <c r="I38" i="20"/>
  <c r="I40" i="20"/>
  <c r="I41" i="20"/>
  <c r="I42" i="20"/>
  <c r="I43" i="20"/>
  <c r="I44" i="20"/>
  <c r="I45" i="20"/>
  <c r="I46" i="20"/>
  <c r="I47" i="20"/>
  <c r="I48" i="20"/>
  <c r="I51" i="20"/>
  <c r="I49" i="20"/>
  <c r="I50" i="20"/>
  <c r="I53" i="20"/>
  <c r="I55" i="20"/>
  <c r="I52" i="20"/>
  <c r="I56" i="20"/>
  <c r="I57" i="20"/>
  <c r="I59" i="20"/>
  <c r="I60" i="20"/>
  <c r="I62" i="20"/>
  <c r="I61" i="20"/>
  <c r="I63" i="20"/>
  <c r="I68" i="20"/>
  <c r="I69" i="20"/>
  <c r="I71" i="20"/>
  <c r="I73" i="20"/>
  <c r="I74" i="20"/>
  <c r="I75" i="20"/>
  <c r="I77" i="20"/>
  <c r="I76" i="20"/>
  <c r="I78" i="20"/>
  <c r="I79" i="20"/>
  <c r="I80" i="20"/>
  <c r="I81" i="20"/>
  <c r="I82" i="20"/>
  <c r="I83" i="20"/>
  <c r="I84" i="20"/>
  <c r="I85" i="20"/>
  <c r="I86" i="20"/>
  <c r="I87" i="20"/>
  <c r="I89" i="20"/>
  <c r="I90" i="20"/>
  <c r="I91" i="20"/>
  <c r="I92" i="20"/>
  <c r="I93" i="20"/>
  <c r="I94" i="20"/>
  <c r="I95" i="20"/>
  <c r="I97" i="20"/>
  <c r="I98" i="20"/>
  <c r="I99" i="20"/>
  <c r="I100" i="20"/>
  <c r="I109" i="20"/>
  <c r="I110" i="20"/>
  <c r="I101" i="20"/>
  <c r="I102" i="20"/>
  <c r="I111" i="20"/>
  <c r="I114" i="20"/>
  <c r="I112" i="20"/>
  <c r="I113" i="20"/>
  <c r="I115" i="20"/>
  <c r="I116" i="20"/>
  <c r="I117" i="20"/>
  <c r="I122" i="20"/>
  <c r="I119" i="20"/>
  <c r="I120" i="20"/>
  <c r="I121" i="20"/>
  <c r="I123" i="20"/>
  <c r="I129" i="20"/>
  <c r="I125" i="20"/>
  <c r="I130" i="20"/>
  <c r="I131" i="20"/>
  <c r="I132" i="20"/>
  <c r="I126" i="20"/>
  <c r="I127" i="20"/>
  <c r="I133" i="20"/>
  <c r="I135" i="20"/>
  <c r="I136" i="20"/>
  <c r="I139" i="20"/>
  <c r="I141" i="20"/>
  <c r="I142" i="20"/>
  <c r="I140" i="20"/>
  <c r="I143" i="20"/>
  <c r="I144" i="20"/>
  <c r="I145" i="20"/>
  <c r="I146" i="20"/>
  <c r="I147" i="20"/>
  <c r="I181" i="20"/>
  <c r="I182" i="20"/>
  <c r="I179" i="20"/>
  <c r="I180" i="20"/>
  <c r="I183" i="20"/>
  <c r="I184" i="20"/>
  <c r="I186" i="20"/>
  <c r="I189" i="20"/>
  <c r="I190" i="20"/>
  <c r="I191" i="20"/>
  <c r="I192" i="20"/>
  <c r="I151" i="20"/>
  <c r="I158" i="20"/>
  <c r="I170" i="20"/>
  <c r="I66" i="20"/>
  <c r="I18" i="20"/>
  <c r="I25" i="20"/>
  <c r="I34" i="20"/>
  <c r="I64" i="20"/>
  <c r="I96" i="20"/>
  <c r="I108" i="20"/>
  <c r="I103" i="20"/>
  <c r="I118" i="20"/>
  <c r="I152" i="20"/>
  <c r="I104" i="20"/>
  <c r="I511" i="21"/>
  <c r="I515" i="21"/>
  <c r="I523" i="21"/>
  <c r="I527" i="21"/>
  <c r="I535" i="21"/>
  <c r="I536" i="21"/>
  <c r="I539" i="21"/>
  <c r="I547" i="21"/>
  <c r="I551" i="21"/>
  <c r="I559" i="21"/>
  <c r="I563" i="21"/>
  <c r="I571" i="21"/>
  <c r="I575" i="21"/>
  <c r="I583" i="21"/>
  <c r="I587" i="21"/>
  <c r="I595" i="21"/>
  <c r="I599" i="21"/>
  <c r="I607" i="21"/>
  <c r="I611" i="21"/>
  <c r="I619" i="21"/>
  <c r="I623" i="21"/>
  <c r="I631" i="21"/>
  <c r="I635" i="21"/>
  <c r="I643" i="21"/>
  <c r="I647" i="21"/>
  <c r="I655" i="21"/>
  <c r="I659" i="21"/>
  <c r="I667" i="21"/>
  <c r="I671" i="21"/>
  <c r="I679" i="21"/>
  <c r="I683" i="21"/>
  <c r="I691" i="21"/>
  <c r="I695" i="21"/>
  <c r="I703" i="21"/>
  <c r="I707" i="21"/>
  <c r="I715" i="21"/>
  <c r="I719" i="21"/>
  <c r="I727" i="21"/>
  <c r="I728" i="21"/>
  <c r="I731" i="21"/>
  <c r="I739" i="21"/>
  <c r="I743" i="21"/>
  <c r="I751" i="21"/>
  <c r="I755" i="21"/>
  <c r="I763" i="21"/>
  <c r="I767" i="21"/>
  <c r="I775" i="21"/>
  <c r="I779" i="21"/>
  <c r="I787" i="21"/>
  <c r="I791" i="21"/>
  <c r="I799" i="21"/>
  <c r="I803" i="21"/>
  <c r="I811" i="21"/>
  <c r="I815" i="21"/>
  <c r="I823" i="21"/>
  <c r="I827" i="21"/>
  <c r="I835" i="21"/>
  <c r="I839" i="21"/>
  <c r="I847" i="21"/>
  <c r="I851" i="21"/>
  <c r="I859" i="21"/>
  <c r="I863" i="21"/>
  <c r="I871" i="21"/>
  <c r="I875" i="21"/>
  <c r="I883" i="21"/>
  <c r="I887" i="21"/>
  <c r="I895" i="21"/>
  <c r="I899" i="21"/>
  <c r="I907" i="21"/>
  <c r="I911" i="21"/>
  <c r="I919" i="21"/>
  <c r="I923" i="21"/>
  <c r="I931" i="21"/>
  <c r="I935" i="21"/>
  <c r="I943" i="21"/>
  <c r="I947" i="21"/>
  <c r="I955" i="21"/>
  <c r="I959" i="21"/>
  <c r="I967" i="21"/>
  <c r="I971" i="21"/>
  <c r="I979" i="21"/>
  <c r="I983" i="21"/>
  <c r="I991" i="21"/>
  <c r="I995" i="21"/>
  <c r="I1003" i="21"/>
  <c r="I1007" i="21"/>
  <c r="I1015" i="21"/>
  <c r="I1019" i="21"/>
  <c r="I1027" i="21"/>
  <c r="I1031" i="21"/>
  <c r="I1039" i="21"/>
  <c r="I1043" i="21"/>
  <c r="I1051" i="21"/>
  <c r="I1052" i="21"/>
  <c r="I1055" i="21"/>
  <c r="I1063" i="21"/>
  <c r="I1067" i="21"/>
  <c r="I1075" i="21"/>
  <c r="I1079" i="21"/>
  <c r="I1087" i="21"/>
  <c r="I1091" i="21"/>
  <c r="I1099" i="21"/>
  <c r="I1103" i="21"/>
  <c r="I1111" i="21"/>
  <c r="I1113" i="21"/>
  <c r="I1115" i="21"/>
  <c r="I1123" i="21"/>
  <c r="I1127" i="21"/>
  <c r="I1135" i="21"/>
  <c r="I1139" i="21"/>
  <c r="I1147" i="21"/>
  <c r="I1151" i="21"/>
  <c r="I1159" i="21"/>
  <c r="I1163" i="21"/>
  <c r="I1170" i="21"/>
  <c r="I1171" i="21"/>
  <c r="I1172" i="21"/>
  <c r="I1175" i="21"/>
  <c r="I1177" i="21"/>
  <c r="I1183" i="21"/>
  <c r="I1187" i="21"/>
  <c r="I1195" i="21"/>
  <c r="I1199" i="21"/>
  <c r="I1207" i="21"/>
  <c r="I1211" i="21"/>
  <c r="I1219" i="21"/>
  <c r="I1223" i="21"/>
  <c r="I1231" i="21"/>
  <c r="I1235" i="21"/>
  <c r="I1243" i="21"/>
  <c r="I1244" i="21"/>
  <c r="I1247" i="21"/>
  <c r="I1255" i="21"/>
  <c r="I1259" i="21"/>
  <c r="I1267" i="21"/>
  <c r="I1271" i="21"/>
  <c r="I1279" i="21"/>
  <c r="I1283" i="21"/>
  <c r="I1291" i="21"/>
  <c r="I1295" i="21"/>
  <c r="I1303" i="21"/>
  <c r="I1307" i="21"/>
  <c r="I1309" i="21"/>
  <c r="I1315" i="21"/>
  <c r="I1316" i="21"/>
  <c r="I1319" i="21"/>
  <c r="I1327" i="21"/>
  <c r="I1331" i="21"/>
  <c r="I1339" i="21"/>
  <c r="I1343" i="21"/>
  <c r="I1351" i="21"/>
  <c r="I1352" i="21"/>
  <c r="I1355" i="21"/>
  <c r="I1363" i="21"/>
  <c r="I1367" i="21"/>
  <c r="I1375" i="21"/>
  <c r="I1379" i="21"/>
  <c r="I1387" i="21"/>
  <c r="I1388" i="21"/>
  <c r="I1391" i="21"/>
  <c r="I1399" i="21"/>
  <c r="I1403" i="21"/>
  <c r="I1405" i="21"/>
  <c r="I1411" i="21"/>
  <c r="I1415" i="21"/>
  <c r="I1423" i="21"/>
  <c r="I1427" i="21"/>
  <c r="I1435" i="21"/>
  <c r="I1439" i="21"/>
  <c r="I1447" i="21"/>
  <c r="I1451" i="21"/>
  <c r="I1459" i="21"/>
  <c r="I1460" i="21"/>
  <c r="I1463" i="21"/>
  <c r="I1471" i="21"/>
  <c r="I1475" i="21"/>
  <c r="I1483" i="21"/>
  <c r="I1487" i="21"/>
  <c r="I1495" i="21"/>
  <c r="I1499" i="21"/>
  <c r="I1501" i="21"/>
  <c r="I1507" i="21"/>
  <c r="I1511" i="21"/>
  <c r="I1519" i="21"/>
  <c r="I1523" i="21"/>
  <c r="I1531" i="21"/>
  <c r="I1532" i="21"/>
  <c r="I1535" i="21"/>
  <c r="I1543" i="21"/>
  <c r="I1547" i="21"/>
  <c r="I1555" i="21"/>
  <c r="I1559" i="21"/>
  <c r="I1567" i="21"/>
  <c r="I1571" i="21"/>
  <c r="I1579" i="21"/>
  <c r="I1583" i="21"/>
  <c r="I1591" i="21"/>
  <c r="I1595" i="21"/>
  <c r="I1597" i="21"/>
  <c r="I1603" i="21"/>
  <c r="I1607" i="21"/>
  <c r="I1615" i="21"/>
  <c r="I1619" i="21"/>
  <c r="I1627" i="21"/>
  <c r="I1631" i="21"/>
  <c r="I1639" i="21"/>
  <c r="I1643" i="21"/>
  <c r="I1651" i="21"/>
  <c r="I1652" i="21"/>
  <c r="I1655" i="21"/>
  <c r="I1663" i="21"/>
  <c r="I1667" i="21"/>
  <c r="I1675" i="21"/>
  <c r="I1679" i="21"/>
  <c r="I1687" i="21"/>
  <c r="I1691" i="21"/>
  <c r="I1693" i="21"/>
  <c r="I1699" i="21"/>
  <c r="I1703" i="21"/>
  <c r="I1711" i="21"/>
  <c r="I1715" i="21"/>
  <c r="I1723" i="21"/>
  <c r="I1727" i="21"/>
  <c r="I1735" i="21"/>
  <c r="I1739" i="21"/>
  <c r="I1747" i="21"/>
  <c r="I1751" i="21"/>
  <c r="I1759" i="21"/>
  <c r="I1763" i="21"/>
  <c r="I1771" i="21"/>
  <c r="I1775" i="21"/>
  <c r="I1783" i="21"/>
  <c r="I1787" i="21"/>
  <c r="I1789" i="21"/>
  <c r="I1795" i="21"/>
  <c r="I1799" i="21"/>
  <c r="I1807" i="21"/>
  <c r="I1811" i="21"/>
  <c r="I1819" i="21"/>
  <c r="I1823" i="21"/>
  <c r="I1831" i="21"/>
  <c r="I1835" i="21"/>
  <c r="I1843" i="21"/>
  <c r="I1847" i="21"/>
  <c r="I1855" i="21"/>
  <c r="I1859" i="21"/>
  <c r="I1867" i="21"/>
  <c r="I1868" i="21"/>
  <c r="I1871" i="21"/>
  <c r="I1879" i="21"/>
  <c r="I1883" i="21"/>
  <c r="I1885" i="21"/>
  <c r="I1891" i="21"/>
  <c r="I1895" i="21"/>
  <c r="I1903" i="21"/>
  <c r="I1905" i="21"/>
  <c r="I1907" i="21"/>
  <c r="I1915" i="21"/>
  <c r="I1916" i="21"/>
  <c r="I1917" i="21"/>
  <c r="I1919" i="21"/>
  <c r="I1927" i="21"/>
  <c r="I1931" i="21"/>
  <c r="I1939" i="21"/>
  <c r="I1943" i="21"/>
  <c r="I1951" i="21"/>
  <c r="I1955" i="21"/>
  <c r="I1963" i="21"/>
  <c r="I1964" i="21"/>
  <c r="I1967" i="21"/>
  <c r="I1975" i="21"/>
  <c r="I1979" i="21"/>
  <c r="I1981" i="21"/>
  <c r="I1987" i="21"/>
  <c r="I1991" i="21"/>
  <c r="I1999" i="21"/>
  <c r="I2001" i="21"/>
  <c r="I2003" i="21"/>
  <c r="I2011" i="21"/>
  <c r="I2012" i="21"/>
  <c r="I2013" i="21"/>
  <c r="I2015" i="21"/>
  <c r="I2023" i="21"/>
  <c r="I2027" i="21"/>
  <c r="I2035" i="21"/>
  <c r="I2039" i="21"/>
  <c r="I2047" i="21"/>
  <c r="I2051" i="21"/>
  <c r="I2059" i="21"/>
  <c r="I2063" i="21"/>
  <c r="I2071" i="21"/>
  <c r="I2075" i="21"/>
  <c r="I2077" i="21"/>
  <c r="I2083" i="21"/>
  <c r="I2087" i="21"/>
  <c r="I2095" i="21"/>
  <c r="I2096" i="21"/>
  <c r="I2097" i="21"/>
  <c r="I2099" i="21"/>
  <c r="I2107" i="21"/>
  <c r="I2108" i="21"/>
  <c r="I2109" i="21"/>
  <c r="I2111" i="21"/>
  <c r="I2119" i="21"/>
  <c r="I2123" i="21"/>
  <c r="I2131" i="21"/>
  <c r="I2135" i="21"/>
  <c r="I2143" i="21"/>
  <c r="I2147" i="21"/>
  <c r="I2155" i="21"/>
  <c r="I2156" i="21"/>
  <c r="I2159" i="21"/>
  <c r="I2167" i="21"/>
  <c r="I2171" i="21"/>
  <c r="I2173" i="21"/>
  <c r="I2179" i="21"/>
  <c r="I2183" i="21"/>
  <c r="I2191" i="21"/>
  <c r="I2193" i="21"/>
  <c r="I2195" i="21"/>
  <c r="I2203" i="21"/>
  <c r="I2204" i="21"/>
  <c r="I2205" i="21"/>
  <c r="I2207" i="21"/>
  <c r="I2215" i="21"/>
  <c r="I2219" i="21"/>
  <c r="I2227" i="21"/>
  <c r="I2231" i="21"/>
  <c r="I2239" i="21"/>
  <c r="I2243" i="21"/>
  <c r="I2251" i="21"/>
  <c r="I2255" i="21"/>
  <c r="I2258" i="21"/>
  <c r="I2263" i="21"/>
  <c r="I2267" i="21"/>
  <c r="I2269" i="21"/>
  <c r="I2275" i="21"/>
  <c r="I2279" i="21"/>
  <c r="I2287" i="21"/>
  <c r="I2289" i="21"/>
  <c r="I2291" i="21"/>
  <c r="I2299" i="21"/>
  <c r="I2300" i="21"/>
  <c r="I2301" i="21"/>
  <c r="I2303" i="21"/>
  <c r="I2311" i="21"/>
  <c r="I2315" i="21"/>
  <c r="I2323" i="21"/>
  <c r="I2327" i="21"/>
  <c r="I2335" i="21"/>
  <c r="I2339" i="21"/>
  <c r="I2347" i="21"/>
  <c r="I2351" i="21"/>
  <c r="I2359" i="21"/>
  <c r="I2363" i="21"/>
  <c r="I2371" i="21"/>
  <c r="I2372" i="21"/>
  <c r="I2375" i="21"/>
  <c r="I2383" i="21"/>
  <c r="I2387" i="21"/>
  <c r="I2395" i="21"/>
  <c r="I2399" i="21"/>
  <c r="I2407" i="21"/>
  <c r="I2409" i="21"/>
  <c r="I2411" i="21"/>
  <c r="I2419" i="21"/>
  <c r="I2420" i="21"/>
  <c r="I2421" i="21"/>
  <c r="I2423" i="21"/>
  <c r="I2431" i="21"/>
  <c r="I2435" i="21"/>
  <c r="I2437" i="21"/>
  <c r="I2443" i="21"/>
  <c r="I2447" i="21"/>
  <c r="I2455" i="21"/>
  <c r="I2459" i="21"/>
  <c r="I2467" i="21"/>
  <c r="I2468" i="21"/>
  <c r="I2469" i="21"/>
  <c r="I2471" i="21"/>
  <c r="I2479" i="21"/>
  <c r="I2480" i="21"/>
  <c r="I2483" i="21"/>
  <c r="I2485" i="21"/>
  <c r="I2491" i="21"/>
  <c r="I2492" i="21"/>
  <c r="I2495" i="21"/>
  <c r="I2503" i="21"/>
  <c r="I2507" i="21"/>
  <c r="I2508" i="21"/>
  <c r="I2515" i="21"/>
  <c r="I2517" i="21"/>
  <c r="I2519" i="21"/>
  <c r="I2527" i="21"/>
  <c r="I2531" i="21"/>
  <c r="I2533" i="21"/>
  <c r="I2539" i="21"/>
  <c r="I2543" i="21"/>
  <c r="I2551" i="21"/>
  <c r="I2555" i="21"/>
  <c r="I2563" i="21"/>
  <c r="I2567" i="21"/>
  <c r="I2575" i="21"/>
  <c r="I2579" i="21"/>
  <c r="I2587" i="21"/>
  <c r="I2591" i="21"/>
  <c r="I2595" i="21"/>
  <c r="I2599" i="21"/>
  <c r="I2603" i="21"/>
  <c r="I2611" i="21"/>
  <c r="I2615" i="21"/>
  <c r="I2623" i="21"/>
  <c r="I2627" i="21"/>
  <c r="I2635" i="21"/>
  <c r="I2636" i="21"/>
  <c r="I2639" i="21"/>
  <c r="I2643" i="21"/>
  <c r="I2647" i="21"/>
  <c r="I2651" i="21"/>
  <c r="I2659" i="21"/>
  <c r="I2663" i="21"/>
  <c r="I2671" i="21"/>
  <c r="I2675" i="21"/>
  <c r="I2683" i="21"/>
  <c r="I2687" i="21"/>
  <c r="I2695" i="21"/>
  <c r="I2699" i="21"/>
  <c r="I2707" i="21"/>
  <c r="I2711" i="21"/>
  <c r="I2719" i="21"/>
  <c r="I2723" i="21"/>
  <c r="I2731" i="21"/>
  <c r="I2735" i="21"/>
  <c r="I2743" i="21"/>
  <c r="I2747" i="21"/>
  <c r="I2755" i="21"/>
  <c r="I2759" i="21"/>
  <c r="I2767" i="21"/>
  <c r="I2771" i="21"/>
  <c r="I2779" i="21"/>
  <c r="I2780" i="21"/>
  <c r="I2783" i="21"/>
  <c r="I2791" i="21"/>
  <c r="I2795" i="21"/>
  <c r="I2803" i="21"/>
  <c r="I2807" i="21"/>
  <c r="I2815" i="21"/>
  <c r="I2819" i="21"/>
  <c r="I2827" i="21"/>
  <c r="I2831" i="21"/>
  <c r="I2839" i="21"/>
  <c r="I2843" i="21"/>
  <c r="I2851" i="21"/>
  <c r="I2855" i="21"/>
  <c r="I2863" i="21"/>
  <c r="I2867" i="21"/>
  <c r="I2875" i="21"/>
  <c r="I2879" i="21"/>
  <c r="I2887" i="21"/>
  <c r="I2891" i="21"/>
  <c r="I2895" i="21"/>
  <c r="I2899" i="21"/>
  <c r="I2903" i="21"/>
  <c r="I2911" i="21"/>
  <c r="I2915" i="21"/>
  <c r="I2923" i="21"/>
  <c r="I2924" i="21"/>
  <c r="I2927" i="21"/>
  <c r="I2935" i="21"/>
  <c r="I2939" i="21"/>
  <c r="I2947" i="21"/>
  <c r="I2951" i="21"/>
  <c r="I2959" i="21"/>
  <c r="I2963" i="21"/>
  <c r="I2971" i="21"/>
  <c r="I2975" i="21"/>
  <c r="I2978" i="21"/>
  <c r="I2983" i="21"/>
  <c r="I2987" i="21"/>
  <c r="I2995" i="21"/>
  <c r="I2999" i="21"/>
  <c r="I3007" i="21"/>
  <c r="I3008" i="21"/>
  <c r="I3011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420" i="21"/>
  <c r="G421" i="21"/>
  <c r="G422" i="21"/>
  <c r="G423" i="21"/>
  <c r="G424" i="21"/>
  <c r="G425" i="21"/>
  <c r="G426" i="21"/>
  <c r="G427" i="21"/>
  <c r="G428" i="21"/>
  <c r="G429" i="21"/>
  <c r="G430" i="21"/>
  <c r="G431" i="21"/>
  <c r="G432" i="21"/>
  <c r="G433" i="21"/>
  <c r="G434" i="21"/>
  <c r="G435" i="21"/>
  <c r="G436" i="21"/>
  <c r="G437" i="21"/>
  <c r="G438" i="21"/>
  <c r="G439" i="21"/>
  <c r="G440" i="21"/>
  <c r="G441" i="21"/>
  <c r="G442" i="21"/>
  <c r="G443" i="21"/>
  <c r="G444" i="21"/>
  <c r="G445" i="21"/>
  <c r="G446" i="21"/>
  <c r="G447" i="21"/>
  <c r="G448" i="21"/>
  <c r="G449" i="21"/>
  <c r="G450" i="21"/>
  <c r="G451" i="21"/>
  <c r="G452" i="21"/>
  <c r="G453" i="21"/>
  <c r="G454" i="21"/>
  <c r="G455" i="21"/>
  <c r="G456" i="21"/>
  <c r="G457" i="21"/>
  <c r="G458" i="21"/>
  <c r="G459" i="21"/>
  <c r="G460" i="21"/>
  <c r="G461" i="21"/>
  <c r="G462" i="21"/>
  <c r="G463" i="21"/>
  <c r="G464" i="21"/>
  <c r="G465" i="21"/>
  <c r="G466" i="21"/>
  <c r="G467" i="21"/>
  <c r="G468" i="21"/>
  <c r="G469" i="21"/>
  <c r="G470" i="21"/>
  <c r="G471" i="21"/>
  <c r="G472" i="21"/>
  <c r="G473" i="21"/>
  <c r="G474" i="21"/>
  <c r="G475" i="21"/>
  <c r="G476" i="21"/>
  <c r="G477" i="21"/>
  <c r="G478" i="21"/>
  <c r="G479" i="21"/>
  <c r="G480" i="21"/>
  <c r="G481" i="21"/>
  <c r="G482" i="21"/>
  <c r="G483" i="21"/>
  <c r="G484" i="21"/>
  <c r="G485" i="21"/>
  <c r="G486" i="21"/>
  <c r="G487" i="21"/>
  <c r="G488" i="21"/>
  <c r="G489" i="21"/>
  <c r="G490" i="21"/>
  <c r="G491" i="21"/>
  <c r="G492" i="21"/>
  <c r="G493" i="21"/>
  <c r="G494" i="21"/>
  <c r="G495" i="21"/>
  <c r="G496" i="21"/>
  <c r="G497" i="21"/>
  <c r="G498" i="21"/>
  <c r="G499" i="21"/>
  <c r="G500" i="21"/>
  <c r="G501" i="21"/>
  <c r="G502" i="21"/>
  <c r="G503" i="21"/>
  <c r="G504" i="21"/>
  <c r="G505" i="21"/>
  <c r="G506" i="21"/>
  <c r="G507" i="21"/>
  <c r="G508" i="21"/>
  <c r="G509" i="21"/>
  <c r="G510" i="21"/>
  <c r="G511" i="21"/>
  <c r="G512" i="21"/>
  <c r="G513" i="21"/>
  <c r="G514" i="21"/>
  <c r="G515" i="21"/>
  <c r="G516" i="21"/>
  <c r="G517" i="21"/>
  <c r="G518" i="21"/>
  <c r="G519" i="21"/>
  <c r="G520" i="21"/>
  <c r="G521" i="21"/>
  <c r="G522" i="21"/>
  <c r="G523" i="21"/>
  <c r="G524" i="21"/>
  <c r="G525" i="21"/>
  <c r="G526" i="21"/>
  <c r="G527" i="21"/>
  <c r="G528" i="21"/>
  <c r="G529" i="21"/>
  <c r="G530" i="21"/>
  <c r="G531" i="21"/>
  <c r="G532" i="21"/>
  <c r="G533" i="21"/>
  <c r="G534" i="21"/>
  <c r="G535" i="21"/>
  <c r="G536" i="21"/>
  <c r="G537" i="21"/>
  <c r="G538" i="21"/>
  <c r="G539" i="21"/>
  <c r="G540" i="21"/>
  <c r="G541" i="21"/>
  <c r="G542" i="21"/>
  <c r="G543" i="21"/>
  <c r="G544" i="21"/>
  <c r="G545" i="21"/>
  <c r="G546" i="21"/>
  <c r="G547" i="21"/>
  <c r="G548" i="21"/>
  <c r="G549" i="21"/>
  <c r="G550" i="21"/>
  <c r="G551" i="21"/>
  <c r="G552" i="21"/>
  <c r="G553" i="21"/>
  <c r="G554" i="21"/>
  <c r="G555" i="21"/>
  <c r="G556" i="21"/>
  <c r="G557" i="21"/>
  <c r="G558" i="21"/>
  <c r="G559" i="21"/>
  <c r="G560" i="21"/>
  <c r="G561" i="21"/>
  <c r="G562" i="21"/>
  <c r="G563" i="21"/>
  <c r="G564" i="21"/>
  <c r="G565" i="21"/>
  <c r="G566" i="21"/>
  <c r="G567" i="21"/>
  <c r="G568" i="21"/>
  <c r="G569" i="21"/>
  <c r="G570" i="21"/>
  <c r="G571" i="21"/>
  <c r="G572" i="21"/>
  <c r="G573" i="21"/>
  <c r="G574" i="21"/>
  <c r="G575" i="21"/>
  <c r="G576" i="21"/>
  <c r="G577" i="21"/>
  <c r="G578" i="21"/>
  <c r="G579" i="21"/>
  <c r="G580" i="21"/>
  <c r="G581" i="21"/>
  <c r="G582" i="21"/>
  <c r="G583" i="21"/>
  <c r="G584" i="21"/>
  <c r="G585" i="21"/>
  <c r="G586" i="21"/>
  <c r="G587" i="21"/>
  <c r="G588" i="21"/>
  <c r="G589" i="21"/>
  <c r="G590" i="21"/>
  <c r="G591" i="21"/>
  <c r="G592" i="21"/>
  <c r="G593" i="21"/>
  <c r="G594" i="21"/>
  <c r="G595" i="21"/>
  <c r="G596" i="21"/>
  <c r="G597" i="21"/>
  <c r="G598" i="21"/>
  <c r="G599" i="21"/>
  <c r="G600" i="21"/>
  <c r="G601" i="21"/>
  <c r="G602" i="21"/>
  <c r="G603" i="21"/>
  <c r="G604" i="21"/>
  <c r="G605" i="21"/>
  <c r="G606" i="21"/>
  <c r="G607" i="21"/>
  <c r="G608" i="21"/>
  <c r="G609" i="21"/>
  <c r="G610" i="21"/>
  <c r="G611" i="21"/>
  <c r="G612" i="21"/>
  <c r="G613" i="21"/>
  <c r="G614" i="21"/>
  <c r="G615" i="21"/>
  <c r="G616" i="21"/>
  <c r="G617" i="21"/>
  <c r="G618" i="21"/>
  <c r="G619" i="21"/>
  <c r="G620" i="21"/>
  <c r="G621" i="21"/>
  <c r="G622" i="21"/>
  <c r="G623" i="21"/>
  <c r="G624" i="21"/>
  <c r="G625" i="21"/>
  <c r="G626" i="21"/>
  <c r="G627" i="21"/>
  <c r="G628" i="21"/>
  <c r="G629" i="21"/>
  <c r="G630" i="21"/>
  <c r="G631" i="21"/>
  <c r="G632" i="21"/>
  <c r="G633" i="21"/>
  <c r="G634" i="21"/>
  <c r="G635" i="21"/>
  <c r="G636" i="21"/>
  <c r="G637" i="21"/>
  <c r="G638" i="21"/>
  <c r="G639" i="21"/>
  <c r="G640" i="21"/>
  <c r="G641" i="21"/>
  <c r="G642" i="21"/>
  <c r="G643" i="21"/>
  <c r="G644" i="21"/>
  <c r="G645" i="21"/>
  <c r="G646" i="21"/>
  <c r="G647" i="21"/>
  <c r="G648" i="21"/>
  <c r="G649" i="21"/>
  <c r="G650" i="21"/>
  <c r="G651" i="21"/>
  <c r="G652" i="21"/>
  <c r="G653" i="21"/>
  <c r="G654" i="21"/>
  <c r="G655" i="21"/>
  <c r="G656" i="21"/>
  <c r="G657" i="21"/>
  <c r="G658" i="21"/>
  <c r="G659" i="21"/>
  <c r="G660" i="21"/>
  <c r="G661" i="21"/>
  <c r="G662" i="21"/>
  <c r="G663" i="21"/>
  <c r="G664" i="21"/>
  <c r="G665" i="21"/>
  <c r="G666" i="21"/>
  <c r="G667" i="21"/>
  <c r="G668" i="21"/>
  <c r="G669" i="21"/>
  <c r="G670" i="21"/>
  <c r="G671" i="21"/>
  <c r="G672" i="21"/>
  <c r="G673" i="21"/>
  <c r="G674" i="21"/>
  <c r="G675" i="21"/>
  <c r="G676" i="21"/>
  <c r="G677" i="21"/>
  <c r="G678" i="21"/>
  <c r="G679" i="21"/>
  <c r="G680" i="21"/>
  <c r="G681" i="21"/>
  <c r="G682" i="21"/>
  <c r="G683" i="21"/>
  <c r="G684" i="21"/>
  <c r="G685" i="21"/>
  <c r="G686" i="21"/>
  <c r="G687" i="21"/>
  <c r="G688" i="21"/>
  <c r="G689" i="21"/>
  <c r="G690" i="21"/>
  <c r="G691" i="21"/>
  <c r="G692" i="21"/>
  <c r="G693" i="21"/>
  <c r="G694" i="21"/>
  <c r="G695" i="21"/>
  <c r="G696" i="21"/>
  <c r="G697" i="21"/>
  <c r="G698" i="21"/>
  <c r="G699" i="21"/>
  <c r="G700" i="21"/>
  <c r="G701" i="21"/>
  <c r="G702" i="21"/>
  <c r="G703" i="21"/>
  <c r="G704" i="21"/>
  <c r="G705" i="21"/>
  <c r="G706" i="21"/>
  <c r="G707" i="21"/>
  <c r="G708" i="21"/>
  <c r="G709" i="21"/>
  <c r="G710" i="21"/>
  <c r="G711" i="21"/>
  <c r="G712" i="21"/>
  <c r="G713" i="21"/>
  <c r="G714" i="21"/>
  <c r="G715" i="21"/>
  <c r="G716" i="21"/>
  <c r="G717" i="21"/>
  <c r="G718" i="21"/>
  <c r="G719" i="21"/>
  <c r="G720" i="21"/>
  <c r="G721" i="21"/>
  <c r="G722" i="21"/>
  <c r="G723" i="21"/>
  <c r="G724" i="21"/>
  <c r="G725" i="21"/>
  <c r="G726" i="21"/>
  <c r="G727" i="21"/>
  <c r="G728" i="21"/>
  <c r="G729" i="21"/>
  <c r="G730" i="21"/>
  <c r="G731" i="21"/>
  <c r="G732" i="21"/>
  <c r="G733" i="21"/>
  <c r="G734" i="21"/>
  <c r="G735" i="21"/>
  <c r="G736" i="21"/>
  <c r="G737" i="21"/>
  <c r="G738" i="21"/>
  <c r="G739" i="21"/>
  <c r="G740" i="21"/>
  <c r="G741" i="21"/>
  <c r="G742" i="21"/>
  <c r="G743" i="21"/>
  <c r="G744" i="21"/>
  <c r="G745" i="21"/>
  <c r="G746" i="21"/>
  <c r="G747" i="21"/>
  <c r="G748" i="21"/>
  <c r="G749" i="21"/>
  <c r="G750" i="21"/>
  <c r="G751" i="21"/>
  <c r="G752" i="21"/>
  <c r="G753" i="21"/>
  <c r="G754" i="21"/>
  <c r="G755" i="21"/>
  <c r="G756" i="21"/>
  <c r="G757" i="21"/>
  <c r="G758" i="21"/>
  <c r="G759" i="21"/>
  <c r="G760" i="21"/>
  <c r="G761" i="21"/>
  <c r="G762" i="21"/>
  <c r="G763" i="21"/>
  <c r="G764" i="21"/>
  <c r="G765" i="21"/>
  <c r="G766" i="21"/>
  <c r="G767" i="21"/>
  <c r="G768" i="21"/>
  <c r="G769" i="21"/>
  <c r="G770" i="21"/>
  <c r="G771" i="21"/>
  <c r="G772" i="21"/>
  <c r="G773" i="21"/>
  <c r="G774" i="21"/>
  <c r="G775" i="21"/>
  <c r="G776" i="21"/>
  <c r="G777" i="21"/>
  <c r="G778" i="21"/>
  <c r="G779" i="21"/>
  <c r="G780" i="21"/>
  <c r="G781" i="21"/>
  <c r="G782" i="21"/>
  <c r="G783" i="21"/>
  <c r="G784" i="21"/>
  <c r="G785" i="21"/>
  <c r="G786" i="21"/>
  <c r="G787" i="21"/>
  <c r="G788" i="21"/>
  <c r="G789" i="21"/>
  <c r="G790" i="21"/>
  <c r="G791" i="21"/>
  <c r="G792" i="21"/>
  <c r="G793" i="21"/>
  <c r="G794" i="21"/>
  <c r="G795" i="21"/>
  <c r="G796" i="21"/>
  <c r="G797" i="21"/>
  <c r="G798" i="21"/>
  <c r="G799" i="21"/>
  <c r="G800" i="21"/>
  <c r="G801" i="21"/>
  <c r="G802" i="21"/>
  <c r="G803" i="21"/>
  <c r="G804" i="21"/>
  <c r="G805" i="21"/>
  <c r="G806" i="21"/>
  <c r="G807" i="21"/>
  <c r="G808" i="21"/>
  <c r="G809" i="21"/>
  <c r="G810" i="21"/>
  <c r="G811" i="21"/>
  <c r="G812" i="21"/>
  <c r="G813" i="21"/>
  <c r="G814" i="21"/>
  <c r="G815" i="21"/>
  <c r="G816" i="21"/>
  <c r="G817" i="21"/>
  <c r="G818" i="21"/>
  <c r="G819" i="21"/>
  <c r="G820" i="21"/>
  <c r="G821" i="21"/>
  <c r="G822" i="21"/>
  <c r="G823" i="21"/>
  <c r="G824" i="21"/>
  <c r="G825" i="21"/>
  <c r="G826" i="21"/>
  <c r="G827" i="21"/>
  <c r="G828" i="21"/>
  <c r="G829" i="21"/>
  <c r="G830" i="21"/>
  <c r="G831" i="21"/>
  <c r="G832" i="21"/>
  <c r="G833" i="21"/>
  <c r="G834" i="21"/>
  <c r="G835" i="21"/>
  <c r="G836" i="21"/>
  <c r="G837" i="21"/>
  <c r="G838" i="21"/>
  <c r="G839" i="21"/>
  <c r="G840" i="21"/>
  <c r="G841" i="21"/>
  <c r="G842" i="21"/>
  <c r="G843" i="21"/>
  <c r="G844" i="21"/>
  <c r="G845" i="21"/>
  <c r="G846" i="21"/>
  <c r="G847" i="21"/>
  <c r="G848" i="21"/>
  <c r="G849" i="21"/>
  <c r="G850" i="21"/>
  <c r="G851" i="21"/>
  <c r="G852" i="21"/>
  <c r="G853" i="21"/>
  <c r="G854" i="21"/>
  <c r="G855" i="21"/>
  <c r="G856" i="21"/>
  <c r="G857" i="21"/>
  <c r="G858" i="21"/>
  <c r="G859" i="21"/>
  <c r="G860" i="21"/>
  <c r="G861" i="21"/>
  <c r="G862" i="21"/>
  <c r="G863" i="21"/>
  <c r="G864" i="21"/>
  <c r="G865" i="21"/>
  <c r="G866" i="21"/>
  <c r="G867" i="21"/>
  <c r="G868" i="21"/>
  <c r="G869" i="21"/>
  <c r="G870" i="21"/>
  <c r="G871" i="21"/>
  <c r="G872" i="21"/>
  <c r="G873" i="21"/>
  <c r="G874" i="21"/>
  <c r="G875" i="21"/>
  <c r="G876" i="21"/>
  <c r="G877" i="21"/>
  <c r="G878" i="21"/>
  <c r="G879" i="21"/>
  <c r="G880" i="21"/>
  <c r="G881" i="21"/>
  <c r="G882" i="21"/>
  <c r="G883" i="21"/>
  <c r="G884" i="21"/>
  <c r="G885" i="21"/>
  <c r="G886" i="21"/>
  <c r="G887" i="21"/>
  <c r="G888" i="21"/>
  <c r="G889" i="21"/>
  <c r="G890" i="21"/>
  <c r="G891" i="21"/>
  <c r="G892" i="21"/>
  <c r="G893" i="21"/>
  <c r="G894" i="21"/>
  <c r="G895" i="21"/>
  <c r="G896" i="21"/>
  <c r="G897" i="21"/>
  <c r="G898" i="21"/>
  <c r="G899" i="21"/>
  <c r="G900" i="21"/>
  <c r="G901" i="21"/>
  <c r="G902" i="21"/>
  <c r="G903" i="21"/>
  <c r="G904" i="21"/>
  <c r="G905" i="21"/>
  <c r="G906" i="21"/>
  <c r="G907" i="21"/>
  <c r="G908" i="21"/>
  <c r="G909" i="21"/>
  <c r="G910" i="21"/>
  <c r="G911" i="21"/>
  <c r="G912" i="21"/>
  <c r="G913" i="21"/>
  <c r="G914" i="21"/>
  <c r="G915" i="21"/>
  <c r="G916" i="21"/>
  <c r="G917" i="21"/>
  <c r="G918" i="21"/>
  <c r="G919" i="21"/>
  <c r="G920" i="21"/>
  <c r="G921" i="21"/>
  <c r="G922" i="21"/>
  <c r="G923" i="21"/>
  <c r="G924" i="21"/>
  <c r="G925" i="21"/>
  <c r="G926" i="21"/>
  <c r="G927" i="21"/>
  <c r="G928" i="21"/>
  <c r="G929" i="21"/>
  <c r="G930" i="21"/>
  <c r="G931" i="21"/>
  <c r="G932" i="21"/>
  <c r="G933" i="21"/>
  <c r="G934" i="21"/>
  <c r="G935" i="21"/>
  <c r="G936" i="21"/>
  <c r="G937" i="21"/>
  <c r="G938" i="21"/>
  <c r="G939" i="21"/>
  <c r="G940" i="21"/>
  <c r="G941" i="21"/>
  <c r="G942" i="21"/>
  <c r="G943" i="21"/>
  <c r="G944" i="21"/>
  <c r="G945" i="21"/>
  <c r="G946" i="21"/>
  <c r="G947" i="21"/>
  <c r="G948" i="21"/>
  <c r="G949" i="21"/>
  <c r="G950" i="21"/>
  <c r="G951" i="21"/>
  <c r="G952" i="21"/>
  <c r="G953" i="21"/>
  <c r="G954" i="21"/>
  <c r="G955" i="21"/>
  <c r="G956" i="21"/>
  <c r="G957" i="21"/>
  <c r="G958" i="21"/>
  <c r="G959" i="21"/>
  <c r="G960" i="21"/>
  <c r="G961" i="21"/>
  <c r="G962" i="21"/>
  <c r="G963" i="21"/>
  <c r="G964" i="21"/>
  <c r="G965" i="21"/>
  <c r="G966" i="21"/>
  <c r="G967" i="21"/>
  <c r="G968" i="21"/>
  <c r="G969" i="21"/>
  <c r="G970" i="21"/>
  <c r="G971" i="21"/>
  <c r="G972" i="21"/>
  <c r="G973" i="21"/>
  <c r="G974" i="21"/>
  <c r="G975" i="21"/>
  <c r="G976" i="21"/>
  <c r="G977" i="21"/>
  <c r="G978" i="21"/>
  <c r="G979" i="21"/>
  <c r="G980" i="21"/>
  <c r="G981" i="21"/>
  <c r="G982" i="21"/>
  <c r="G983" i="21"/>
  <c r="G984" i="21"/>
  <c r="G985" i="21"/>
  <c r="G986" i="21"/>
  <c r="G987" i="21"/>
  <c r="G988" i="21"/>
  <c r="G989" i="21"/>
  <c r="G990" i="21"/>
  <c r="G991" i="21"/>
  <c r="G992" i="21"/>
  <c r="G993" i="21"/>
  <c r="G994" i="21"/>
  <c r="G995" i="21"/>
  <c r="G996" i="21"/>
  <c r="G997" i="21"/>
  <c r="G998" i="21"/>
  <c r="G999" i="21"/>
  <c r="G1000" i="21"/>
  <c r="G1001" i="21"/>
  <c r="G1002" i="21"/>
  <c r="G1003" i="21"/>
  <c r="G1004" i="21"/>
  <c r="G1005" i="21"/>
  <c r="G1006" i="21"/>
  <c r="G1007" i="21"/>
  <c r="G1008" i="21"/>
  <c r="G1009" i="21"/>
  <c r="G1010" i="21"/>
  <c r="G1011" i="21"/>
  <c r="G1012" i="21"/>
  <c r="G1013" i="21"/>
  <c r="G1014" i="21"/>
  <c r="G1015" i="21"/>
  <c r="G1016" i="21"/>
  <c r="G1017" i="21"/>
  <c r="G1018" i="21"/>
  <c r="G1019" i="21"/>
  <c r="G1020" i="21"/>
  <c r="G1021" i="21"/>
  <c r="G1022" i="21"/>
  <c r="G1023" i="21"/>
  <c r="G1024" i="21"/>
  <c r="G1025" i="21"/>
  <c r="G1026" i="21"/>
  <c r="G1027" i="21"/>
  <c r="G1028" i="21"/>
  <c r="G1029" i="21"/>
  <c r="G1030" i="21"/>
  <c r="G1031" i="21"/>
  <c r="G1032" i="21"/>
  <c r="G1033" i="21"/>
  <c r="G1034" i="21"/>
  <c r="G1035" i="21"/>
  <c r="G1036" i="21"/>
  <c r="G1037" i="21"/>
  <c r="G1038" i="21"/>
  <c r="G1039" i="21"/>
  <c r="G1040" i="21"/>
  <c r="G1041" i="21"/>
  <c r="G1042" i="21"/>
  <c r="G1043" i="21"/>
  <c r="G1044" i="21"/>
  <c r="G1045" i="21"/>
  <c r="G1046" i="21"/>
  <c r="G1047" i="21"/>
  <c r="G1048" i="21"/>
  <c r="G1049" i="21"/>
  <c r="G1050" i="21"/>
  <c r="G1051" i="21"/>
  <c r="G1052" i="21"/>
  <c r="G1053" i="21"/>
  <c r="G1054" i="21"/>
  <c r="G1055" i="21"/>
  <c r="G1056" i="21"/>
  <c r="G1057" i="21"/>
  <c r="G1058" i="21"/>
  <c r="G1059" i="21"/>
  <c r="G1060" i="21"/>
  <c r="G1061" i="21"/>
  <c r="G1062" i="21"/>
  <c r="G1063" i="21"/>
  <c r="G1064" i="21"/>
  <c r="G1065" i="21"/>
  <c r="G1066" i="21"/>
  <c r="G1067" i="21"/>
  <c r="G1068" i="21"/>
  <c r="G1069" i="21"/>
  <c r="G1070" i="21"/>
  <c r="G1071" i="21"/>
  <c r="G1072" i="21"/>
  <c r="G1073" i="21"/>
  <c r="G1074" i="21"/>
  <c r="G1075" i="21"/>
  <c r="G1076" i="21"/>
  <c r="G1077" i="21"/>
  <c r="G1078" i="21"/>
  <c r="G1079" i="21"/>
  <c r="G1080" i="21"/>
  <c r="G1081" i="21"/>
  <c r="G1082" i="21"/>
  <c r="G1083" i="21"/>
  <c r="G1084" i="21"/>
  <c r="G1085" i="21"/>
  <c r="G1086" i="21"/>
  <c r="G1087" i="21"/>
  <c r="G1088" i="21"/>
  <c r="G1089" i="21"/>
  <c r="G1090" i="21"/>
  <c r="G1091" i="21"/>
  <c r="G1092" i="21"/>
  <c r="G1093" i="21"/>
  <c r="G1094" i="21"/>
  <c r="G1095" i="21"/>
  <c r="G1096" i="21"/>
  <c r="G1097" i="21"/>
  <c r="G1098" i="21"/>
  <c r="G1099" i="21"/>
  <c r="G1100" i="21"/>
  <c r="G1101" i="21"/>
  <c r="G1102" i="21"/>
  <c r="G1103" i="21"/>
  <c r="G1104" i="21"/>
  <c r="G1105" i="21"/>
  <c r="G1106" i="21"/>
  <c r="G1107" i="21"/>
  <c r="G1108" i="21"/>
  <c r="G1109" i="21"/>
  <c r="G1110" i="21"/>
  <c r="G1111" i="21"/>
  <c r="G1112" i="21"/>
  <c r="G1113" i="21"/>
  <c r="G1114" i="21"/>
  <c r="G1115" i="21"/>
  <c r="G1116" i="21"/>
  <c r="G1117" i="21"/>
  <c r="G1118" i="21"/>
  <c r="G1119" i="21"/>
  <c r="G1120" i="21"/>
  <c r="G1121" i="21"/>
  <c r="G1122" i="21"/>
  <c r="G1123" i="21"/>
  <c r="G1124" i="21"/>
  <c r="G1125" i="21"/>
  <c r="G1126" i="21"/>
  <c r="G1127" i="21"/>
  <c r="G1128" i="21"/>
  <c r="G1129" i="21"/>
  <c r="G1130" i="21"/>
  <c r="G1131" i="21"/>
  <c r="G1132" i="21"/>
  <c r="G1133" i="21"/>
  <c r="G1134" i="21"/>
  <c r="G1135" i="21"/>
  <c r="G1136" i="21"/>
  <c r="G1137" i="21"/>
  <c r="G1138" i="21"/>
  <c r="G1139" i="21"/>
  <c r="G1140" i="21"/>
  <c r="G1141" i="21"/>
  <c r="G1142" i="21"/>
  <c r="G1143" i="21"/>
  <c r="G1144" i="21"/>
  <c r="G1145" i="21"/>
  <c r="G1146" i="21"/>
  <c r="G1147" i="21"/>
  <c r="G1148" i="21"/>
  <c r="G1149" i="21"/>
  <c r="G1150" i="21"/>
  <c r="G1151" i="21"/>
  <c r="G1152" i="21"/>
  <c r="G1153" i="21"/>
  <c r="G1154" i="21"/>
  <c r="G1155" i="21"/>
  <c r="G1156" i="21"/>
  <c r="G1157" i="21"/>
  <c r="G1158" i="21"/>
  <c r="G1159" i="21"/>
  <c r="G1160" i="21"/>
  <c r="G1161" i="21"/>
  <c r="G1162" i="21"/>
  <c r="G1163" i="21"/>
  <c r="G1164" i="21"/>
  <c r="G1165" i="21"/>
  <c r="G1166" i="21"/>
  <c r="G1167" i="21"/>
  <c r="G1168" i="21"/>
  <c r="G1169" i="21"/>
  <c r="G1170" i="21"/>
  <c r="G1171" i="21"/>
  <c r="G1172" i="21"/>
  <c r="G1173" i="21"/>
  <c r="G1174" i="21"/>
  <c r="G1175" i="21"/>
  <c r="G1176" i="21"/>
  <c r="G1177" i="21"/>
  <c r="G1178" i="21"/>
  <c r="G1179" i="21"/>
  <c r="G1180" i="21"/>
  <c r="G1181" i="21"/>
  <c r="G1182" i="21"/>
  <c r="G1183" i="21"/>
  <c r="G1184" i="21"/>
  <c r="G1185" i="21"/>
  <c r="G1186" i="21"/>
  <c r="G1187" i="21"/>
  <c r="G1188" i="21"/>
  <c r="G1189" i="21"/>
  <c r="G1190" i="21"/>
  <c r="G1191" i="21"/>
  <c r="G1192" i="21"/>
  <c r="G1193" i="21"/>
  <c r="G1194" i="21"/>
  <c r="G1195" i="21"/>
  <c r="G1196" i="21"/>
  <c r="G1197" i="21"/>
  <c r="G1198" i="21"/>
  <c r="G1199" i="21"/>
  <c r="G1200" i="21"/>
  <c r="G1201" i="21"/>
  <c r="G1202" i="21"/>
  <c r="G1203" i="21"/>
  <c r="G1204" i="21"/>
  <c r="G1205" i="21"/>
  <c r="G1206" i="21"/>
  <c r="G1207" i="21"/>
  <c r="G1208" i="21"/>
  <c r="G1209" i="21"/>
  <c r="G1210" i="21"/>
  <c r="G1211" i="21"/>
  <c r="G1212" i="21"/>
  <c r="G1213" i="21"/>
  <c r="G1214" i="21"/>
  <c r="G1215" i="21"/>
  <c r="G1216" i="21"/>
  <c r="G1217" i="21"/>
  <c r="G1218" i="21"/>
  <c r="G1219" i="21"/>
  <c r="G1220" i="21"/>
  <c r="G1221" i="21"/>
  <c r="G1222" i="21"/>
  <c r="G1223" i="21"/>
  <c r="G1224" i="21"/>
  <c r="G1225" i="21"/>
  <c r="G1226" i="21"/>
  <c r="G1227" i="21"/>
  <c r="G1228" i="21"/>
  <c r="G1229" i="21"/>
  <c r="G1230" i="21"/>
  <c r="G1231" i="21"/>
  <c r="G1232" i="21"/>
  <c r="G1233" i="21"/>
  <c r="G1234" i="21"/>
  <c r="G1235" i="21"/>
  <c r="G1236" i="21"/>
  <c r="G1237" i="21"/>
  <c r="G1238" i="21"/>
  <c r="G1239" i="21"/>
  <c r="G1240" i="21"/>
  <c r="G1241" i="21"/>
  <c r="G1242" i="21"/>
  <c r="G1243" i="21"/>
  <c r="G1244" i="21"/>
  <c r="G1245" i="21"/>
  <c r="G1246" i="21"/>
  <c r="G1247" i="21"/>
  <c r="G1248" i="21"/>
  <c r="G1249" i="21"/>
  <c r="G1250" i="21"/>
  <c r="G1251" i="21"/>
  <c r="G1252" i="21"/>
  <c r="G1253" i="21"/>
  <c r="G1254" i="21"/>
  <c r="G1255" i="21"/>
  <c r="G1256" i="21"/>
  <c r="G1257" i="21"/>
  <c r="G1258" i="21"/>
  <c r="G1259" i="21"/>
  <c r="G1260" i="21"/>
  <c r="G1261" i="21"/>
  <c r="G1262" i="21"/>
  <c r="G1263" i="21"/>
  <c r="G1264" i="21"/>
  <c r="G1265" i="21"/>
  <c r="G1266" i="21"/>
  <c r="G1267" i="21"/>
  <c r="G1268" i="21"/>
  <c r="G1269" i="21"/>
  <c r="G1270" i="21"/>
  <c r="G1271" i="21"/>
  <c r="G1272" i="21"/>
  <c r="G1273" i="21"/>
  <c r="G1274" i="21"/>
  <c r="G1275" i="21"/>
  <c r="G1276" i="21"/>
  <c r="G1277" i="21"/>
  <c r="G1278" i="21"/>
  <c r="G1279" i="21"/>
  <c r="G1280" i="21"/>
  <c r="G1281" i="21"/>
  <c r="G1282" i="21"/>
  <c r="G1283" i="21"/>
  <c r="G1284" i="21"/>
  <c r="G1285" i="21"/>
  <c r="G1286" i="21"/>
  <c r="G1287" i="21"/>
  <c r="G1288" i="21"/>
  <c r="G1289" i="21"/>
  <c r="G1290" i="21"/>
  <c r="G1291" i="21"/>
  <c r="G1292" i="21"/>
  <c r="G1293" i="21"/>
  <c r="G1294" i="21"/>
  <c r="G1295" i="21"/>
  <c r="G1296" i="21"/>
  <c r="G1297" i="21"/>
  <c r="G1298" i="21"/>
  <c r="G1299" i="21"/>
  <c r="G1300" i="21"/>
  <c r="G1301" i="21"/>
  <c r="G1302" i="21"/>
  <c r="G1303" i="21"/>
  <c r="G1304" i="21"/>
  <c r="G1305" i="21"/>
  <c r="G1306" i="21"/>
  <c r="G1307" i="21"/>
  <c r="G1308" i="21"/>
  <c r="G1309" i="21"/>
  <c r="G1310" i="21"/>
  <c r="G1311" i="21"/>
  <c r="G1312" i="21"/>
  <c r="G1313" i="21"/>
  <c r="G1314" i="21"/>
  <c r="G1315" i="21"/>
  <c r="G1316" i="21"/>
  <c r="G1317" i="21"/>
  <c r="G1318" i="21"/>
  <c r="G1319" i="21"/>
  <c r="G1320" i="21"/>
  <c r="G1321" i="21"/>
  <c r="G1322" i="21"/>
  <c r="G1323" i="21"/>
  <c r="G1324" i="21"/>
  <c r="G1325" i="21"/>
  <c r="G1326" i="21"/>
  <c r="G1327" i="21"/>
  <c r="G1328" i="21"/>
  <c r="G1329" i="21"/>
  <c r="G1330" i="21"/>
  <c r="G1331" i="21"/>
  <c r="G1332" i="21"/>
  <c r="G1333" i="21"/>
  <c r="G1334" i="21"/>
  <c r="G1335" i="21"/>
  <c r="G1336" i="21"/>
  <c r="G1337" i="21"/>
  <c r="G1338" i="21"/>
  <c r="G1339" i="21"/>
  <c r="G1340" i="21"/>
  <c r="G1341" i="21"/>
  <c r="G1342" i="21"/>
  <c r="G1343" i="21"/>
  <c r="G1344" i="21"/>
  <c r="G1345" i="21"/>
  <c r="G1346" i="21"/>
  <c r="G1347" i="21"/>
  <c r="G1348" i="21"/>
  <c r="G1349" i="21"/>
  <c r="G1350" i="21"/>
  <c r="G1351" i="21"/>
  <c r="G1352" i="21"/>
  <c r="G1353" i="21"/>
  <c r="G1354" i="21"/>
  <c r="G1355" i="21"/>
  <c r="G1356" i="21"/>
  <c r="G1357" i="21"/>
  <c r="G1358" i="21"/>
  <c r="G1359" i="21"/>
  <c r="G1360" i="21"/>
  <c r="G1361" i="21"/>
  <c r="G1362" i="21"/>
  <c r="G1363" i="21"/>
  <c r="G1364" i="21"/>
  <c r="G1365" i="21"/>
  <c r="G1366" i="21"/>
  <c r="G1367" i="21"/>
  <c r="G1368" i="21"/>
  <c r="G1369" i="21"/>
  <c r="G1370" i="21"/>
  <c r="G1371" i="21"/>
  <c r="G1372" i="21"/>
  <c r="G1373" i="21"/>
  <c r="G1374" i="21"/>
  <c r="G1375" i="21"/>
  <c r="G1376" i="21"/>
  <c r="G1377" i="21"/>
  <c r="G1378" i="21"/>
  <c r="G1379" i="21"/>
  <c r="G1380" i="21"/>
  <c r="G1381" i="21"/>
  <c r="G1382" i="21"/>
  <c r="G1383" i="21"/>
  <c r="G1384" i="21"/>
  <c r="G1385" i="21"/>
  <c r="G1386" i="21"/>
  <c r="G1387" i="21"/>
  <c r="G1388" i="21"/>
  <c r="G1389" i="21"/>
  <c r="G1390" i="21"/>
  <c r="G1391" i="21"/>
  <c r="G1392" i="21"/>
  <c r="G1393" i="21"/>
  <c r="G1394" i="21"/>
  <c r="G1395" i="21"/>
  <c r="G1396" i="21"/>
  <c r="G1397" i="21"/>
  <c r="G1398" i="21"/>
  <c r="G1399" i="21"/>
  <c r="G1400" i="21"/>
  <c r="G1401" i="21"/>
  <c r="G1402" i="21"/>
  <c r="G1403" i="21"/>
  <c r="G1404" i="21"/>
  <c r="G1405" i="21"/>
  <c r="G1406" i="21"/>
  <c r="G1407" i="21"/>
  <c r="G1408" i="21"/>
  <c r="G1409" i="21"/>
  <c r="G1410" i="21"/>
  <c r="G1411" i="21"/>
  <c r="G1412" i="21"/>
  <c r="G1413" i="21"/>
  <c r="G1414" i="21"/>
  <c r="G1415" i="21"/>
  <c r="G1416" i="21"/>
  <c r="G1417" i="21"/>
  <c r="G1418" i="21"/>
  <c r="G1419" i="21"/>
  <c r="G1420" i="21"/>
  <c r="G1421" i="21"/>
  <c r="G1422" i="21"/>
  <c r="G1423" i="21"/>
  <c r="G1424" i="21"/>
  <c r="G1425" i="21"/>
  <c r="G1426" i="21"/>
  <c r="G1427" i="21"/>
  <c r="G1428" i="21"/>
  <c r="G1429" i="21"/>
  <c r="G1430" i="21"/>
  <c r="G1431" i="21"/>
  <c r="G1432" i="21"/>
  <c r="G1433" i="21"/>
  <c r="G1434" i="21"/>
  <c r="G1435" i="21"/>
  <c r="G1436" i="21"/>
  <c r="G1437" i="21"/>
  <c r="G1438" i="21"/>
  <c r="G1439" i="21"/>
  <c r="G1440" i="21"/>
  <c r="G1441" i="21"/>
  <c r="G1442" i="21"/>
  <c r="G1443" i="21"/>
  <c r="G1444" i="21"/>
  <c r="G1445" i="21"/>
  <c r="G1446" i="21"/>
  <c r="G1447" i="21"/>
  <c r="G1448" i="21"/>
  <c r="G1449" i="21"/>
  <c r="G1450" i="21"/>
  <c r="G1451" i="21"/>
  <c r="G1452" i="21"/>
  <c r="G1453" i="21"/>
  <c r="G1454" i="21"/>
  <c r="G1455" i="21"/>
  <c r="G1456" i="21"/>
  <c r="G1457" i="21"/>
  <c r="G1458" i="21"/>
  <c r="G1459" i="21"/>
  <c r="G1460" i="21"/>
  <c r="G1461" i="21"/>
  <c r="G1462" i="21"/>
  <c r="G1463" i="21"/>
  <c r="G1464" i="21"/>
  <c r="G1465" i="21"/>
  <c r="G1466" i="21"/>
  <c r="G1467" i="21"/>
  <c r="G1468" i="21"/>
  <c r="G1469" i="21"/>
  <c r="G1470" i="21"/>
  <c r="G1471" i="21"/>
  <c r="G1472" i="21"/>
  <c r="G1473" i="21"/>
  <c r="G1474" i="21"/>
  <c r="G1475" i="21"/>
  <c r="G1476" i="21"/>
  <c r="G1477" i="21"/>
  <c r="G1478" i="21"/>
  <c r="G1479" i="21"/>
  <c r="G1480" i="21"/>
  <c r="G1481" i="21"/>
  <c r="G1482" i="21"/>
  <c r="G1483" i="21"/>
  <c r="G1484" i="21"/>
  <c r="G1485" i="21"/>
  <c r="G1486" i="21"/>
  <c r="G1487" i="21"/>
  <c r="G1488" i="21"/>
  <c r="G1489" i="21"/>
  <c r="G1490" i="21"/>
  <c r="G1491" i="21"/>
  <c r="G1492" i="21"/>
  <c r="G1493" i="21"/>
  <c r="G1494" i="21"/>
  <c r="G1495" i="21"/>
  <c r="G1496" i="21"/>
  <c r="G1497" i="21"/>
  <c r="G1498" i="21"/>
  <c r="G1499" i="21"/>
  <c r="G1500" i="21"/>
  <c r="G1501" i="21"/>
  <c r="G1502" i="21"/>
  <c r="G1503" i="21"/>
  <c r="G1504" i="21"/>
  <c r="G1505" i="21"/>
  <c r="G1506" i="21"/>
  <c r="G1507" i="21"/>
  <c r="G1508" i="21"/>
  <c r="G1509" i="21"/>
  <c r="G1510" i="21"/>
  <c r="G1511" i="21"/>
  <c r="G1512" i="21"/>
  <c r="G1513" i="21"/>
  <c r="G1514" i="21"/>
  <c r="G1515" i="21"/>
  <c r="G1516" i="21"/>
  <c r="G1517" i="21"/>
  <c r="G1518" i="21"/>
  <c r="G1519" i="21"/>
  <c r="G1520" i="21"/>
  <c r="G1521" i="21"/>
  <c r="G1522" i="21"/>
  <c r="G1523" i="21"/>
  <c r="G1524" i="21"/>
  <c r="G1525" i="21"/>
  <c r="G1526" i="21"/>
  <c r="G1527" i="21"/>
  <c r="G1528" i="21"/>
  <c r="G1529" i="21"/>
  <c r="G1530" i="21"/>
  <c r="G1531" i="21"/>
  <c r="G1532" i="21"/>
  <c r="G1533" i="21"/>
  <c r="G1534" i="21"/>
  <c r="G1535" i="21"/>
  <c r="G1536" i="21"/>
  <c r="G1537" i="21"/>
  <c r="G1538" i="21"/>
  <c r="G1539" i="21"/>
  <c r="G1540" i="21"/>
  <c r="G1541" i="21"/>
  <c r="G1542" i="21"/>
  <c r="G1543" i="21"/>
  <c r="G1544" i="21"/>
  <c r="G1545" i="21"/>
  <c r="G1546" i="21"/>
  <c r="G1547" i="21"/>
  <c r="G1548" i="21"/>
  <c r="G1549" i="21"/>
  <c r="G1550" i="21"/>
  <c r="G1551" i="21"/>
  <c r="G1552" i="21"/>
  <c r="G1553" i="21"/>
  <c r="G1554" i="21"/>
  <c r="G1555" i="21"/>
  <c r="G1556" i="21"/>
  <c r="G1557" i="21"/>
  <c r="G1558" i="21"/>
  <c r="G1559" i="21"/>
  <c r="G1560" i="21"/>
  <c r="G1561" i="21"/>
  <c r="G1562" i="21"/>
  <c r="G1563" i="21"/>
  <c r="G1564" i="21"/>
  <c r="G1565" i="21"/>
  <c r="G1566" i="21"/>
  <c r="G1567" i="21"/>
  <c r="G1568" i="21"/>
  <c r="G1569" i="21"/>
  <c r="G1570" i="21"/>
  <c r="G1571" i="21"/>
  <c r="G1572" i="21"/>
  <c r="G1573" i="21"/>
  <c r="G1574" i="21"/>
  <c r="G1575" i="21"/>
  <c r="G1576" i="21"/>
  <c r="G1577" i="21"/>
  <c r="G1578" i="21"/>
  <c r="G1579" i="21"/>
  <c r="G1580" i="21"/>
  <c r="G1581" i="21"/>
  <c r="G1582" i="21"/>
  <c r="G1583" i="21"/>
  <c r="G1584" i="21"/>
  <c r="G1585" i="21"/>
  <c r="G1586" i="21"/>
  <c r="G1587" i="21"/>
  <c r="G1588" i="21"/>
  <c r="G1589" i="21"/>
  <c r="G1590" i="21"/>
  <c r="G1591" i="21"/>
  <c r="G1592" i="21"/>
  <c r="G1593" i="21"/>
  <c r="G1594" i="21"/>
  <c r="G1595" i="21"/>
  <c r="G1596" i="21"/>
  <c r="G1597" i="21"/>
  <c r="G1598" i="21"/>
  <c r="G1599" i="21"/>
  <c r="G1600" i="21"/>
  <c r="G1601" i="21"/>
  <c r="G1602" i="21"/>
  <c r="G1603" i="21"/>
  <c r="G1604" i="21"/>
  <c r="G1605" i="21"/>
  <c r="G1606" i="21"/>
  <c r="G1607" i="21"/>
  <c r="G1608" i="21"/>
  <c r="G1609" i="21"/>
  <c r="G1610" i="21"/>
  <c r="G1611" i="21"/>
  <c r="G1612" i="21"/>
  <c r="G1613" i="21"/>
  <c r="G1614" i="21"/>
  <c r="G1615" i="21"/>
  <c r="G1616" i="21"/>
  <c r="G1617" i="21"/>
  <c r="G1618" i="21"/>
  <c r="G1619" i="21"/>
  <c r="G1620" i="21"/>
  <c r="G1621" i="21"/>
  <c r="G1622" i="21"/>
  <c r="G1623" i="21"/>
  <c r="G1624" i="21"/>
  <c r="G1625" i="21"/>
  <c r="G1626" i="21"/>
  <c r="G1627" i="21"/>
  <c r="G1628" i="21"/>
  <c r="G1629" i="21"/>
  <c r="G1630" i="21"/>
  <c r="G1631" i="21"/>
  <c r="G1632" i="21"/>
  <c r="G1633" i="21"/>
  <c r="G1634" i="21"/>
  <c r="G1635" i="21"/>
  <c r="G1636" i="21"/>
  <c r="G1637" i="21"/>
  <c r="G1638" i="21"/>
  <c r="G1639" i="21"/>
  <c r="G1640" i="21"/>
  <c r="G1641" i="21"/>
  <c r="G1642" i="21"/>
  <c r="G1643" i="21"/>
  <c r="G1644" i="21"/>
  <c r="G1645" i="21"/>
  <c r="G1646" i="21"/>
  <c r="G1647" i="21"/>
  <c r="G1648" i="21"/>
  <c r="G1649" i="21"/>
  <c r="G1650" i="21"/>
  <c r="G1651" i="21"/>
  <c r="G1652" i="21"/>
  <c r="G1653" i="21"/>
  <c r="G1654" i="21"/>
  <c r="G1655" i="21"/>
  <c r="G1656" i="21"/>
  <c r="G1657" i="21"/>
  <c r="G1658" i="21"/>
  <c r="G1659" i="21"/>
  <c r="G1660" i="21"/>
  <c r="G1661" i="21"/>
  <c r="G1662" i="21"/>
  <c r="G1663" i="21"/>
  <c r="G1664" i="21"/>
  <c r="G1665" i="21"/>
  <c r="G1666" i="21"/>
  <c r="G1667" i="21"/>
  <c r="G1668" i="21"/>
  <c r="G1669" i="21"/>
  <c r="G1670" i="21"/>
  <c r="G1671" i="21"/>
  <c r="G1672" i="21"/>
  <c r="G1673" i="21"/>
  <c r="G1674" i="21"/>
  <c r="G1675" i="21"/>
  <c r="G1676" i="21"/>
  <c r="G1677" i="21"/>
  <c r="G1678" i="21"/>
  <c r="G1679" i="21"/>
  <c r="G1680" i="21"/>
  <c r="G1681" i="21"/>
  <c r="G1682" i="21"/>
  <c r="G1683" i="21"/>
  <c r="G1684" i="21"/>
  <c r="G1685" i="21"/>
  <c r="G1686" i="21"/>
  <c r="G1687" i="21"/>
  <c r="G1688" i="21"/>
  <c r="G1689" i="21"/>
  <c r="G1690" i="21"/>
  <c r="G1691" i="21"/>
  <c r="G1692" i="21"/>
  <c r="G1693" i="21"/>
  <c r="G1694" i="21"/>
  <c r="G1695" i="21"/>
  <c r="G1696" i="21"/>
  <c r="G1697" i="21"/>
  <c r="G1698" i="21"/>
  <c r="G1699" i="21"/>
  <c r="G1700" i="21"/>
  <c r="G1701" i="21"/>
  <c r="G1702" i="21"/>
  <c r="G1703" i="21"/>
  <c r="G1704" i="21"/>
  <c r="G1705" i="21"/>
  <c r="G1706" i="21"/>
  <c r="G1707" i="21"/>
  <c r="G1708" i="21"/>
  <c r="G1709" i="21"/>
  <c r="G1710" i="21"/>
  <c r="G1711" i="21"/>
  <c r="G1712" i="21"/>
  <c r="G1713" i="21"/>
  <c r="G1714" i="21"/>
  <c r="G1715" i="21"/>
  <c r="G1716" i="21"/>
  <c r="G1717" i="21"/>
  <c r="G1718" i="21"/>
  <c r="G1719" i="21"/>
  <c r="G1720" i="21"/>
  <c r="G1721" i="21"/>
  <c r="G1722" i="21"/>
  <c r="G1723" i="21"/>
  <c r="G1724" i="21"/>
  <c r="G1725" i="21"/>
  <c r="G1726" i="21"/>
  <c r="G1727" i="21"/>
  <c r="G1728" i="21"/>
  <c r="G1729" i="21"/>
  <c r="G1730" i="21"/>
  <c r="G1731" i="21"/>
  <c r="G1732" i="21"/>
  <c r="G1733" i="21"/>
  <c r="G1734" i="21"/>
  <c r="G1735" i="21"/>
  <c r="G1736" i="21"/>
  <c r="G1737" i="21"/>
  <c r="G1738" i="21"/>
  <c r="G1739" i="21"/>
  <c r="G1740" i="21"/>
  <c r="G1741" i="21"/>
  <c r="G1742" i="21"/>
  <c r="G1743" i="21"/>
  <c r="G1744" i="21"/>
  <c r="G1745" i="21"/>
  <c r="G1746" i="21"/>
  <c r="G1747" i="21"/>
  <c r="G1748" i="21"/>
  <c r="G1749" i="21"/>
  <c r="G1750" i="21"/>
  <c r="G1751" i="21"/>
  <c r="G1752" i="21"/>
  <c r="G1753" i="21"/>
  <c r="G1754" i="21"/>
  <c r="G1755" i="21"/>
  <c r="G1756" i="21"/>
  <c r="G1757" i="21"/>
  <c r="G1758" i="21"/>
  <c r="G1759" i="21"/>
  <c r="G1760" i="21"/>
  <c r="G1761" i="21"/>
  <c r="G1762" i="21"/>
  <c r="G1763" i="21"/>
  <c r="G1764" i="21"/>
  <c r="G1765" i="21"/>
  <c r="G1766" i="21"/>
  <c r="G1767" i="21"/>
  <c r="G1768" i="21"/>
  <c r="G1769" i="21"/>
  <c r="G1770" i="21"/>
  <c r="G1771" i="21"/>
  <c r="G1772" i="21"/>
  <c r="G1773" i="21"/>
  <c r="G1774" i="21"/>
  <c r="G1775" i="21"/>
  <c r="G1776" i="21"/>
  <c r="G1777" i="21"/>
  <c r="G1778" i="21"/>
  <c r="G1779" i="21"/>
  <c r="G1780" i="21"/>
  <c r="G1781" i="21"/>
  <c r="G1782" i="21"/>
  <c r="G1783" i="21"/>
  <c r="G1784" i="21"/>
  <c r="G1785" i="21"/>
  <c r="G1786" i="21"/>
  <c r="G1787" i="21"/>
  <c r="G1788" i="21"/>
  <c r="G1789" i="21"/>
  <c r="G1790" i="21"/>
  <c r="G1791" i="21"/>
  <c r="G1792" i="21"/>
  <c r="G1793" i="21"/>
  <c r="G1794" i="21"/>
  <c r="G1795" i="21"/>
  <c r="G1796" i="21"/>
  <c r="G1797" i="21"/>
  <c r="G1798" i="21"/>
  <c r="G1799" i="21"/>
  <c r="G1800" i="21"/>
  <c r="G1801" i="21"/>
  <c r="G1802" i="21"/>
  <c r="G1803" i="21"/>
  <c r="G1804" i="21"/>
  <c r="G1805" i="21"/>
  <c r="G1806" i="21"/>
  <c r="G1807" i="21"/>
  <c r="G1808" i="21"/>
  <c r="G1809" i="21"/>
  <c r="G1810" i="21"/>
  <c r="G1811" i="21"/>
  <c r="G1812" i="21"/>
  <c r="G1813" i="21"/>
  <c r="G1814" i="21"/>
  <c r="G1815" i="21"/>
  <c r="G1816" i="21"/>
  <c r="G1817" i="21"/>
  <c r="G1818" i="21"/>
  <c r="G1819" i="21"/>
  <c r="G1820" i="21"/>
  <c r="G1821" i="21"/>
  <c r="G1822" i="21"/>
  <c r="G1823" i="21"/>
  <c r="G1824" i="21"/>
  <c r="G1825" i="21"/>
  <c r="G1826" i="21"/>
  <c r="G1827" i="21"/>
  <c r="G1828" i="21"/>
  <c r="G1829" i="21"/>
  <c r="G1830" i="21"/>
  <c r="G1831" i="21"/>
  <c r="G1832" i="21"/>
  <c r="G1833" i="21"/>
  <c r="G1834" i="21"/>
  <c r="G1835" i="21"/>
  <c r="G1836" i="21"/>
  <c r="G1837" i="21"/>
  <c r="G1838" i="21"/>
  <c r="G1839" i="21"/>
  <c r="G1840" i="21"/>
  <c r="G1841" i="21"/>
  <c r="G1842" i="21"/>
  <c r="G1843" i="21"/>
  <c r="G1844" i="21"/>
  <c r="G1845" i="21"/>
  <c r="G1846" i="21"/>
  <c r="G1847" i="21"/>
  <c r="G1848" i="21"/>
  <c r="G1849" i="21"/>
  <c r="G1850" i="21"/>
  <c r="G1851" i="21"/>
  <c r="G1852" i="21"/>
  <c r="G1853" i="21"/>
  <c r="G1854" i="21"/>
  <c r="G1855" i="21"/>
  <c r="G1856" i="21"/>
  <c r="G1857" i="21"/>
  <c r="G1858" i="21"/>
  <c r="G1859" i="21"/>
  <c r="G1860" i="21"/>
  <c r="G1861" i="21"/>
  <c r="G1862" i="21"/>
  <c r="G1863" i="21"/>
  <c r="G1864" i="21"/>
  <c r="G1865" i="21"/>
  <c r="G1866" i="21"/>
  <c r="G1867" i="21"/>
  <c r="G1868" i="21"/>
  <c r="G1869" i="21"/>
  <c r="G1870" i="21"/>
  <c r="G1871" i="21"/>
  <c r="G1872" i="21"/>
  <c r="G1873" i="21"/>
  <c r="G1874" i="21"/>
  <c r="G1875" i="21"/>
  <c r="G1876" i="21"/>
  <c r="G1877" i="21"/>
  <c r="G1878" i="21"/>
  <c r="G1879" i="21"/>
  <c r="G1880" i="21"/>
  <c r="G1881" i="21"/>
  <c r="G1882" i="21"/>
  <c r="G1883" i="21"/>
  <c r="G1884" i="21"/>
  <c r="G1885" i="21"/>
  <c r="G1886" i="21"/>
  <c r="G1887" i="21"/>
  <c r="G1888" i="21"/>
  <c r="G1889" i="21"/>
  <c r="G1890" i="21"/>
  <c r="G1891" i="21"/>
  <c r="G1892" i="21"/>
  <c r="G1893" i="21"/>
  <c r="G1894" i="21"/>
  <c r="G1895" i="21"/>
  <c r="G1896" i="21"/>
  <c r="G1897" i="21"/>
  <c r="G1898" i="21"/>
  <c r="G1899" i="21"/>
  <c r="G1900" i="21"/>
  <c r="G1901" i="21"/>
  <c r="G1902" i="21"/>
  <c r="G1903" i="21"/>
  <c r="G1904" i="21"/>
  <c r="G1905" i="21"/>
  <c r="G1906" i="21"/>
  <c r="G1907" i="21"/>
  <c r="G1908" i="21"/>
  <c r="G1909" i="21"/>
  <c r="G1910" i="21"/>
  <c r="G1911" i="21"/>
  <c r="G1912" i="21"/>
  <c r="G1913" i="21"/>
  <c r="G1914" i="21"/>
  <c r="G1915" i="21"/>
  <c r="G1916" i="21"/>
  <c r="G1917" i="21"/>
  <c r="G1918" i="21"/>
  <c r="G1919" i="21"/>
  <c r="G1920" i="21"/>
  <c r="G1921" i="21"/>
  <c r="G1922" i="21"/>
  <c r="G1923" i="21"/>
  <c r="G1924" i="21"/>
  <c r="G1925" i="21"/>
  <c r="G1926" i="21"/>
  <c r="G1927" i="21"/>
  <c r="G1928" i="21"/>
  <c r="G1929" i="21"/>
  <c r="G1930" i="21"/>
  <c r="G1931" i="21"/>
  <c r="G1932" i="21"/>
  <c r="G1933" i="21"/>
  <c r="G1934" i="21"/>
  <c r="G1935" i="21"/>
  <c r="G1936" i="21"/>
  <c r="G1937" i="21"/>
  <c r="G1938" i="21"/>
  <c r="G1939" i="21"/>
  <c r="G1940" i="21"/>
  <c r="G1941" i="21"/>
  <c r="G1942" i="21"/>
  <c r="G1943" i="21"/>
  <c r="G1944" i="21"/>
  <c r="G1945" i="21"/>
  <c r="G1946" i="21"/>
  <c r="G1947" i="21"/>
  <c r="G1948" i="21"/>
  <c r="G1949" i="21"/>
  <c r="G1950" i="21"/>
  <c r="G1951" i="21"/>
  <c r="G1952" i="21"/>
  <c r="G1953" i="21"/>
  <c r="G1954" i="21"/>
  <c r="G1955" i="21"/>
  <c r="G1956" i="21"/>
  <c r="G1957" i="21"/>
  <c r="G1958" i="21"/>
  <c r="G1959" i="21"/>
  <c r="G1960" i="21"/>
  <c r="G1961" i="21"/>
  <c r="G1962" i="21"/>
  <c r="G1963" i="21"/>
  <c r="G1964" i="21"/>
  <c r="G1965" i="21"/>
  <c r="G1966" i="21"/>
  <c r="G1967" i="21"/>
  <c r="G1968" i="21"/>
  <c r="G1969" i="21"/>
  <c r="G1970" i="21"/>
  <c r="G1971" i="21"/>
  <c r="G1972" i="21"/>
  <c r="G1973" i="21"/>
  <c r="G1974" i="21"/>
  <c r="G1975" i="21"/>
  <c r="G1976" i="21"/>
  <c r="G1977" i="21"/>
  <c r="G1978" i="21"/>
  <c r="G1979" i="21"/>
  <c r="G1980" i="21"/>
  <c r="G1981" i="21"/>
  <c r="G1982" i="21"/>
  <c r="G1983" i="21"/>
  <c r="G1984" i="21"/>
  <c r="G1985" i="21"/>
  <c r="G1986" i="21"/>
  <c r="G1987" i="21"/>
  <c r="G1988" i="21"/>
  <c r="G1989" i="21"/>
  <c r="G1990" i="21"/>
  <c r="G1991" i="21"/>
  <c r="G1992" i="21"/>
  <c r="G1993" i="21"/>
  <c r="G1994" i="21"/>
  <c r="G1995" i="21"/>
  <c r="G1996" i="21"/>
  <c r="G1997" i="21"/>
  <c r="G1998" i="21"/>
  <c r="G1999" i="21"/>
  <c r="G2000" i="21"/>
  <c r="G2001" i="21"/>
  <c r="G2002" i="21"/>
  <c r="G2003" i="21"/>
  <c r="G2004" i="21"/>
  <c r="G2005" i="21"/>
  <c r="G2006" i="21"/>
  <c r="G2007" i="21"/>
  <c r="G2008" i="21"/>
  <c r="G2009" i="21"/>
  <c r="G2010" i="21"/>
  <c r="G2011" i="21"/>
  <c r="G2012" i="21"/>
  <c r="G2013" i="21"/>
  <c r="G2014" i="21"/>
  <c r="G2015" i="21"/>
  <c r="G2016" i="21"/>
  <c r="G2017" i="21"/>
  <c r="G2018" i="21"/>
  <c r="G2019" i="21"/>
  <c r="G2020" i="21"/>
  <c r="G2021" i="21"/>
  <c r="G2022" i="21"/>
  <c r="G2023" i="21"/>
  <c r="G2024" i="21"/>
  <c r="G2025" i="21"/>
  <c r="G2026" i="21"/>
  <c r="G2027" i="21"/>
  <c r="G2028" i="21"/>
  <c r="G2029" i="21"/>
  <c r="G2030" i="21"/>
  <c r="G2031" i="21"/>
  <c r="G2032" i="21"/>
  <c r="G2033" i="21"/>
  <c r="G2034" i="21"/>
  <c r="G2035" i="21"/>
  <c r="G2036" i="21"/>
  <c r="G2037" i="21"/>
  <c r="G2038" i="21"/>
  <c r="G2039" i="21"/>
  <c r="G2040" i="21"/>
  <c r="G2041" i="21"/>
  <c r="G2042" i="21"/>
  <c r="G2043" i="21"/>
  <c r="G2044" i="21"/>
  <c r="G2045" i="21"/>
  <c r="G2046" i="21"/>
  <c r="G2047" i="21"/>
  <c r="G2048" i="21"/>
  <c r="G2049" i="21"/>
  <c r="G2050" i="21"/>
  <c r="G2051" i="21"/>
  <c r="G2052" i="21"/>
  <c r="G2053" i="21"/>
  <c r="G2054" i="21"/>
  <c r="G2055" i="21"/>
  <c r="G2056" i="21"/>
  <c r="G2057" i="21"/>
  <c r="G2058" i="21"/>
  <c r="G2059" i="21"/>
  <c r="G2060" i="21"/>
  <c r="G2061" i="21"/>
  <c r="G2062" i="21"/>
  <c r="G2063" i="21"/>
  <c r="G2064" i="21"/>
  <c r="G2065" i="21"/>
  <c r="G2066" i="21"/>
  <c r="G2067" i="21"/>
  <c r="G2068" i="21"/>
  <c r="G2069" i="21"/>
  <c r="G2070" i="21"/>
  <c r="G2071" i="21"/>
  <c r="G2072" i="21"/>
  <c r="G2073" i="21"/>
  <c r="G2074" i="21"/>
  <c r="G2075" i="21"/>
  <c r="G2076" i="21"/>
  <c r="G2077" i="21"/>
  <c r="G2078" i="21"/>
  <c r="G2079" i="21"/>
  <c r="G2080" i="21"/>
  <c r="G2081" i="21"/>
  <c r="G2082" i="21"/>
  <c r="G2083" i="21"/>
  <c r="G2084" i="21"/>
  <c r="G2085" i="21"/>
  <c r="G2086" i="21"/>
  <c r="G2087" i="21"/>
  <c r="G2088" i="21"/>
  <c r="G2089" i="21"/>
  <c r="G2090" i="21"/>
  <c r="G2091" i="21"/>
  <c r="G2092" i="21"/>
  <c r="G2093" i="21"/>
  <c r="G2094" i="21"/>
  <c r="G2095" i="21"/>
  <c r="G2096" i="21"/>
  <c r="G2097" i="21"/>
  <c r="G2098" i="21"/>
  <c r="G2099" i="21"/>
  <c r="G2100" i="21"/>
  <c r="G2101" i="21"/>
  <c r="G2102" i="21"/>
  <c r="G2103" i="21"/>
  <c r="G2104" i="21"/>
  <c r="G2105" i="21"/>
  <c r="G2106" i="21"/>
  <c r="G2107" i="21"/>
  <c r="G2108" i="21"/>
  <c r="G2109" i="21"/>
  <c r="G2110" i="21"/>
  <c r="G2111" i="21"/>
  <c r="G2112" i="21"/>
  <c r="G2113" i="21"/>
  <c r="G2114" i="21"/>
  <c r="G2115" i="21"/>
  <c r="G2116" i="21"/>
  <c r="G2117" i="21"/>
  <c r="G2118" i="21"/>
  <c r="G2119" i="21"/>
  <c r="G2120" i="21"/>
  <c r="G2121" i="21"/>
  <c r="G2122" i="21"/>
  <c r="G2123" i="21"/>
  <c r="G2124" i="21"/>
  <c r="G2125" i="21"/>
  <c r="G2126" i="21"/>
  <c r="G2127" i="21"/>
  <c r="G2128" i="21"/>
  <c r="G2129" i="21"/>
  <c r="G2130" i="21"/>
  <c r="G2131" i="21"/>
  <c r="G2132" i="21"/>
  <c r="G2133" i="21"/>
  <c r="G2134" i="21"/>
  <c r="G2135" i="21"/>
  <c r="G2136" i="21"/>
  <c r="G2137" i="21"/>
  <c r="G2138" i="21"/>
  <c r="G2139" i="21"/>
  <c r="G2140" i="21"/>
  <c r="G2141" i="21"/>
  <c r="G2142" i="21"/>
  <c r="G2143" i="21"/>
  <c r="G2144" i="21"/>
  <c r="G2145" i="21"/>
  <c r="G2146" i="21"/>
  <c r="G2147" i="21"/>
  <c r="G2148" i="21"/>
  <c r="G2149" i="21"/>
  <c r="G2150" i="21"/>
  <c r="G2151" i="21"/>
  <c r="G2152" i="21"/>
  <c r="G2153" i="21"/>
  <c r="G2154" i="21"/>
  <c r="G2155" i="21"/>
  <c r="G2156" i="21"/>
  <c r="G2157" i="21"/>
  <c r="G2158" i="21"/>
  <c r="G2159" i="21"/>
  <c r="G2160" i="21"/>
  <c r="G2161" i="21"/>
  <c r="G2162" i="21"/>
  <c r="G2163" i="21"/>
  <c r="G2164" i="21"/>
  <c r="G2165" i="21"/>
  <c r="G2166" i="21"/>
  <c r="G2167" i="21"/>
  <c r="G2168" i="21"/>
  <c r="G2169" i="21"/>
  <c r="G2170" i="21"/>
  <c r="G2171" i="21"/>
  <c r="G2172" i="21"/>
  <c r="G2173" i="21"/>
  <c r="G2174" i="21"/>
  <c r="G2175" i="21"/>
  <c r="G2176" i="21"/>
  <c r="G2177" i="21"/>
  <c r="G2178" i="21"/>
  <c r="G2179" i="21"/>
  <c r="G2180" i="21"/>
  <c r="G2181" i="21"/>
  <c r="G2182" i="21"/>
  <c r="G2183" i="21"/>
  <c r="G2184" i="21"/>
  <c r="G2185" i="21"/>
  <c r="G2186" i="21"/>
  <c r="G2187" i="21"/>
  <c r="G2188" i="21"/>
  <c r="G2189" i="21"/>
  <c r="G2190" i="21"/>
  <c r="G2191" i="21"/>
  <c r="G2192" i="21"/>
  <c r="G2193" i="21"/>
  <c r="G2194" i="21"/>
  <c r="G2195" i="21"/>
  <c r="G2196" i="21"/>
  <c r="G2197" i="21"/>
  <c r="G2198" i="21"/>
  <c r="G2199" i="21"/>
  <c r="G2200" i="21"/>
  <c r="G2201" i="21"/>
  <c r="G2202" i="21"/>
  <c r="G2203" i="21"/>
  <c r="G2204" i="21"/>
  <c r="G2205" i="21"/>
  <c r="G2206" i="21"/>
  <c r="G2207" i="21"/>
  <c r="G2208" i="21"/>
  <c r="G2209" i="21"/>
  <c r="G2210" i="21"/>
  <c r="G2211" i="21"/>
  <c r="G2212" i="21"/>
  <c r="G2213" i="21"/>
  <c r="G2214" i="21"/>
  <c r="G2215" i="21"/>
  <c r="G2216" i="21"/>
  <c r="G2217" i="21"/>
  <c r="G2218" i="21"/>
  <c r="G2219" i="21"/>
  <c r="G2220" i="21"/>
  <c r="G2221" i="21"/>
  <c r="G2222" i="21"/>
  <c r="G2223" i="21"/>
  <c r="G2224" i="21"/>
  <c r="G2225" i="21"/>
  <c r="G2226" i="21"/>
  <c r="G2227" i="21"/>
  <c r="G2228" i="21"/>
  <c r="G2229" i="21"/>
  <c r="G2230" i="21"/>
  <c r="G2231" i="21"/>
  <c r="G2232" i="21"/>
  <c r="G2233" i="21"/>
  <c r="G2234" i="21"/>
  <c r="G2235" i="21"/>
  <c r="G2236" i="21"/>
  <c r="G2237" i="21"/>
  <c r="G2238" i="21"/>
  <c r="G2239" i="21"/>
  <c r="G2240" i="21"/>
  <c r="G2241" i="21"/>
  <c r="G2242" i="21"/>
  <c r="G2243" i="21"/>
  <c r="G2244" i="21"/>
  <c r="G2245" i="21"/>
  <c r="G2246" i="21"/>
  <c r="G2247" i="21"/>
  <c r="G2248" i="21"/>
  <c r="G2249" i="21"/>
  <c r="G2250" i="21"/>
  <c r="G2251" i="21"/>
  <c r="G2252" i="21"/>
  <c r="G2253" i="21"/>
  <c r="G2254" i="21"/>
  <c r="G2255" i="21"/>
  <c r="G2256" i="21"/>
  <c r="G2257" i="21"/>
  <c r="G2258" i="21"/>
  <c r="G2259" i="21"/>
  <c r="G2260" i="21"/>
  <c r="G2261" i="21"/>
  <c r="G2262" i="21"/>
  <c r="G2263" i="21"/>
  <c r="G2264" i="21"/>
  <c r="G2265" i="21"/>
  <c r="G2266" i="21"/>
  <c r="G2267" i="21"/>
  <c r="G2268" i="21"/>
  <c r="G2269" i="21"/>
  <c r="G2270" i="21"/>
  <c r="G2271" i="21"/>
  <c r="G2272" i="21"/>
  <c r="G2273" i="21"/>
  <c r="G2274" i="21"/>
  <c r="G2275" i="21"/>
  <c r="G2276" i="21"/>
  <c r="G2277" i="21"/>
  <c r="G2278" i="21"/>
  <c r="G2279" i="21"/>
  <c r="G2280" i="21"/>
  <c r="G2281" i="21"/>
  <c r="G2282" i="21"/>
  <c r="G2283" i="21"/>
  <c r="G2284" i="21"/>
  <c r="G2285" i="21"/>
  <c r="G2286" i="21"/>
  <c r="G2287" i="21"/>
  <c r="G2288" i="21"/>
  <c r="G2289" i="21"/>
  <c r="G2290" i="21"/>
  <c r="G2291" i="21"/>
  <c r="G2292" i="21"/>
  <c r="G2293" i="21"/>
  <c r="G2294" i="21"/>
  <c r="G2295" i="21"/>
  <c r="G2296" i="21"/>
  <c r="G2297" i="21"/>
  <c r="G2298" i="21"/>
  <c r="G2299" i="21"/>
  <c r="G2300" i="21"/>
  <c r="G2301" i="21"/>
  <c r="G2302" i="21"/>
  <c r="G2303" i="21"/>
  <c r="G2304" i="21"/>
  <c r="G2305" i="21"/>
  <c r="G2306" i="21"/>
  <c r="G2307" i="21"/>
  <c r="G2308" i="21"/>
  <c r="G2309" i="21"/>
  <c r="G2310" i="21"/>
  <c r="G2311" i="21"/>
  <c r="G2312" i="21"/>
  <c r="G2313" i="21"/>
  <c r="G2314" i="21"/>
  <c r="G2315" i="21"/>
  <c r="G2316" i="21"/>
  <c r="G2317" i="21"/>
  <c r="G2318" i="21"/>
  <c r="G2319" i="21"/>
  <c r="G2320" i="21"/>
  <c r="G2321" i="21"/>
  <c r="G2322" i="21"/>
  <c r="G2323" i="21"/>
  <c r="G2324" i="21"/>
  <c r="G2325" i="21"/>
  <c r="G2326" i="21"/>
  <c r="G2327" i="21"/>
  <c r="G2328" i="21"/>
  <c r="G2329" i="21"/>
  <c r="G2330" i="21"/>
  <c r="G2331" i="21"/>
  <c r="G2332" i="21"/>
  <c r="G2333" i="21"/>
  <c r="G2334" i="21"/>
  <c r="G2335" i="21"/>
  <c r="G2336" i="21"/>
  <c r="G2337" i="21"/>
  <c r="G2338" i="21"/>
  <c r="G2339" i="21"/>
  <c r="G2340" i="21"/>
  <c r="G2341" i="21"/>
  <c r="G2342" i="21"/>
  <c r="G2343" i="21"/>
  <c r="G2344" i="21"/>
  <c r="G2345" i="21"/>
  <c r="G2346" i="21"/>
  <c r="G2347" i="21"/>
  <c r="G2348" i="21"/>
  <c r="G2349" i="21"/>
  <c r="G2350" i="21"/>
  <c r="G2351" i="21"/>
  <c r="G2352" i="21"/>
  <c r="G2353" i="21"/>
  <c r="G2354" i="21"/>
  <c r="G2355" i="21"/>
  <c r="G2356" i="21"/>
  <c r="G2357" i="21"/>
  <c r="G2358" i="21"/>
  <c r="G2359" i="21"/>
  <c r="G2360" i="21"/>
  <c r="G2361" i="21"/>
  <c r="G2362" i="21"/>
  <c r="G2363" i="21"/>
  <c r="G2364" i="21"/>
  <c r="G2365" i="21"/>
  <c r="G2366" i="21"/>
  <c r="G2367" i="21"/>
  <c r="G2368" i="21"/>
  <c r="G2369" i="21"/>
  <c r="G2370" i="21"/>
  <c r="G2371" i="21"/>
  <c r="G2372" i="21"/>
  <c r="G2373" i="21"/>
  <c r="G2374" i="21"/>
  <c r="G2375" i="21"/>
  <c r="G2376" i="21"/>
  <c r="G2377" i="21"/>
  <c r="G2378" i="21"/>
  <c r="G2379" i="21"/>
  <c r="G2380" i="21"/>
  <c r="G2381" i="21"/>
  <c r="G2382" i="21"/>
  <c r="G2383" i="21"/>
  <c r="G2384" i="21"/>
  <c r="G2385" i="21"/>
  <c r="G2386" i="21"/>
  <c r="G2387" i="21"/>
  <c r="G2388" i="21"/>
  <c r="G2389" i="21"/>
  <c r="G2390" i="21"/>
  <c r="G2391" i="21"/>
  <c r="G2392" i="21"/>
  <c r="G2393" i="21"/>
  <c r="G2394" i="21"/>
  <c r="G2395" i="21"/>
  <c r="G2396" i="21"/>
  <c r="G2397" i="21"/>
  <c r="G2398" i="21"/>
  <c r="G2399" i="21"/>
  <c r="G2400" i="21"/>
  <c r="G2401" i="21"/>
  <c r="G2402" i="21"/>
  <c r="G2403" i="21"/>
  <c r="G2404" i="21"/>
  <c r="G2405" i="21"/>
  <c r="G2406" i="21"/>
  <c r="G2407" i="21"/>
  <c r="G2408" i="21"/>
  <c r="G2409" i="21"/>
  <c r="G2410" i="21"/>
  <c r="G2411" i="21"/>
  <c r="G2412" i="21"/>
  <c r="G2413" i="21"/>
  <c r="G2414" i="21"/>
  <c r="G2415" i="21"/>
  <c r="G2416" i="21"/>
  <c r="G2417" i="21"/>
  <c r="G2418" i="21"/>
  <c r="G2419" i="21"/>
  <c r="G2420" i="21"/>
  <c r="G2421" i="21"/>
  <c r="G2422" i="21"/>
  <c r="G2423" i="21"/>
  <c r="G2424" i="21"/>
  <c r="G2425" i="21"/>
  <c r="G2426" i="21"/>
  <c r="G2427" i="21"/>
  <c r="G2428" i="21"/>
  <c r="G2429" i="21"/>
  <c r="G2430" i="21"/>
  <c r="G2431" i="21"/>
  <c r="G2432" i="21"/>
  <c r="G2433" i="21"/>
  <c r="G2434" i="21"/>
  <c r="G2435" i="21"/>
  <c r="G2436" i="21"/>
  <c r="G2437" i="21"/>
  <c r="G2438" i="21"/>
  <c r="G2439" i="21"/>
  <c r="G2440" i="21"/>
  <c r="G2441" i="21"/>
  <c r="G2442" i="21"/>
  <c r="G2443" i="21"/>
  <c r="G2444" i="21"/>
  <c r="G2445" i="21"/>
  <c r="G2446" i="21"/>
  <c r="G2447" i="21"/>
  <c r="G2448" i="21"/>
  <c r="G2449" i="21"/>
  <c r="G2450" i="21"/>
  <c r="G2451" i="21"/>
  <c r="G2452" i="21"/>
  <c r="G2453" i="21"/>
  <c r="G2454" i="21"/>
  <c r="G2455" i="21"/>
  <c r="G2456" i="21"/>
  <c r="G2457" i="21"/>
  <c r="G2458" i="21"/>
  <c r="G2459" i="21"/>
  <c r="G2460" i="21"/>
  <c r="G2461" i="21"/>
  <c r="G2462" i="21"/>
  <c r="G2463" i="21"/>
  <c r="G2464" i="21"/>
  <c r="G2465" i="21"/>
  <c r="G2466" i="21"/>
  <c r="G2467" i="21"/>
  <c r="G2468" i="21"/>
  <c r="G2469" i="21"/>
  <c r="G2470" i="21"/>
  <c r="G2471" i="21"/>
  <c r="G2472" i="21"/>
  <c r="G2473" i="21"/>
  <c r="G2474" i="21"/>
  <c r="G2475" i="21"/>
  <c r="G2476" i="21"/>
  <c r="G2477" i="21"/>
  <c r="G2478" i="21"/>
  <c r="G2479" i="21"/>
  <c r="G2480" i="21"/>
  <c r="G2481" i="21"/>
  <c r="G2482" i="21"/>
  <c r="G2483" i="21"/>
  <c r="G2484" i="21"/>
  <c r="G2485" i="21"/>
  <c r="G2486" i="21"/>
  <c r="G2487" i="21"/>
  <c r="G2488" i="21"/>
  <c r="G2489" i="21"/>
  <c r="G2490" i="21"/>
  <c r="G2491" i="21"/>
  <c r="G2492" i="21"/>
  <c r="G2493" i="21"/>
  <c r="G2494" i="21"/>
  <c r="G2495" i="21"/>
  <c r="G2496" i="21"/>
  <c r="G2497" i="21"/>
  <c r="G2498" i="21"/>
  <c r="G2499" i="21"/>
  <c r="G2500" i="21"/>
  <c r="G2501" i="21"/>
  <c r="G2502" i="21"/>
  <c r="G2503" i="21"/>
  <c r="G2504" i="21"/>
  <c r="G2505" i="21"/>
  <c r="G2506" i="21"/>
  <c r="G2507" i="21"/>
  <c r="G2508" i="21"/>
  <c r="G2509" i="21"/>
  <c r="G2510" i="21"/>
  <c r="G2511" i="21"/>
  <c r="G2512" i="21"/>
  <c r="G2513" i="21"/>
  <c r="G2514" i="21"/>
  <c r="G2515" i="21"/>
  <c r="G2516" i="21"/>
  <c r="G2517" i="21"/>
  <c r="G2518" i="21"/>
  <c r="G2519" i="21"/>
  <c r="G2520" i="21"/>
  <c r="G2521" i="21"/>
  <c r="G2522" i="21"/>
  <c r="G2523" i="21"/>
  <c r="G2524" i="21"/>
  <c r="G2525" i="21"/>
  <c r="G2526" i="21"/>
  <c r="G2527" i="21"/>
  <c r="G2528" i="21"/>
  <c r="G2529" i="21"/>
  <c r="G2530" i="21"/>
  <c r="G2531" i="21"/>
  <c r="G2532" i="21"/>
  <c r="G2533" i="21"/>
  <c r="G2534" i="21"/>
  <c r="G2535" i="21"/>
  <c r="G2536" i="21"/>
  <c r="G2537" i="21"/>
  <c r="G2538" i="21"/>
  <c r="G2539" i="21"/>
  <c r="G2540" i="21"/>
  <c r="G2541" i="21"/>
  <c r="G2542" i="21"/>
  <c r="G2543" i="21"/>
  <c r="G2544" i="21"/>
  <c r="G2545" i="21"/>
  <c r="G2546" i="21"/>
  <c r="G2547" i="21"/>
  <c r="G2548" i="21"/>
  <c r="G2549" i="21"/>
  <c r="G2550" i="21"/>
  <c r="G2551" i="21"/>
  <c r="G2552" i="21"/>
  <c r="G2553" i="21"/>
  <c r="G2554" i="21"/>
  <c r="G2555" i="21"/>
  <c r="G2556" i="21"/>
  <c r="G2557" i="21"/>
  <c r="G2558" i="21"/>
  <c r="G2559" i="21"/>
  <c r="G2560" i="21"/>
  <c r="G2561" i="21"/>
  <c r="G2562" i="21"/>
  <c r="G2563" i="21"/>
  <c r="G2564" i="21"/>
  <c r="G2565" i="21"/>
  <c r="G2566" i="21"/>
  <c r="G2567" i="21"/>
  <c r="G2568" i="21"/>
  <c r="G2569" i="21"/>
  <c r="G2570" i="21"/>
  <c r="G2571" i="21"/>
  <c r="G2572" i="21"/>
  <c r="G2573" i="21"/>
  <c r="G2574" i="21"/>
  <c r="G2575" i="21"/>
  <c r="G2576" i="21"/>
  <c r="G2577" i="21"/>
  <c r="G2578" i="21"/>
  <c r="G2579" i="21"/>
  <c r="G2580" i="21"/>
  <c r="G2581" i="21"/>
  <c r="G2582" i="21"/>
  <c r="G2583" i="21"/>
  <c r="G2584" i="21"/>
  <c r="G2585" i="21"/>
  <c r="G2586" i="21"/>
  <c r="G2587" i="21"/>
  <c r="G2588" i="21"/>
  <c r="G2589" i="21"/>
  <c r="G2590" i="21"/>
  <c r="G2591" i="21"/>
  <c r="G2592" i="21"/>
  <c r="G2593" i="21"/>
  <c r="G2594" i="21"/>
  <c r="G2595" i="21"/>
  <c r="G2596" i="21"/>
  <c r="G2597" i="21"/>
  <c r="G2598" i="21"/>
  <c r="G2599" i="21"/>
  <c r="G2600" i="21"/>
  <c r="G2601" i="21"/>
  <c r="G2602" i="21"/>
  <c r="G2603" i="21"/>
  <c r="G2604" i="21"/>
  <c r="G2605" i="21"/>
  <c r="G2606" i="21"/>
  <c r="G2607" i="21"/>
  <c r="G2608" i="21"/>
  <c r="G2609" i="21"/>
  <c r="G2610" i="21"/>
  <c r="G2611" i="21"/>
  <c r="G2612" i="21"/>
  <c r="G2613" i="21"/>
  <c r="G2614" i="21"/>
  <c r="G2615" i="21"/>
  <c r="G2616" i="21"/>
  <c r="G2617" i="21"/>
  <c r="G2618" i="21"/>
  <c r="G2619" i="21"/>
  <c r="G2620" i="21"/>
  <c r="G2621" i="21"/>
  <c r="G2622" i="21"/>
  <c r="G2623" i="21"/>
  <c r="G2624" i="21"/>
  <c r="G2625" i="21"/>
  <c r="G2626" i="21"/>
  <c r="G2627" i="21"/>
  <c r="G2628" i="21"/>
  <c r="G2629" i="21"/>
  <c r="G2630" i="21"/>
  <c r="G2631" i="21"/>
  <c r="G2632" i="21"/>
  <c r="G2633" i="21"/>
  <c r="G2634" i="21"/>
  <c r="G2635" i="21"/>
  <c r="G2636" i="21"/>
  <c r="G2637" i="21"/>
  <c r="G2638" i="21"/>
  <c r="G2639" i="21"/>
  <c r="G2640" i="21"/>
  <c r="G2641" i="21"/>
  <c r="G2642" i="21"/>
  <c r="G2643" i="21"/>
  <c r="G2644" i="21"/>
  <c r="G2645" i="21"/>
  <c r="G2646" i="21"/>
  <c r="G2647" i="21"/>
  <c r="G2648" i="21"/>
  <c r="G2649" i="21"/>
  <c r="G2650" i="21"/>
  <c r="G2651" i="21"/>
  <c r="G2652" i="21"/>
  <c r="G2653" i="21"/>
  <c r="G2654" i="21"/>
  <c r="G2655" i="21"/>
  <c r="G2656" i="21"/>
  <c r="G2657" i="21"/>
  <c r="G2658" i="21"/>
  <c r="G2659" i="21"/>
  <c r="G2660" i="21"/>
  <c r="G2661" i="21"/>
  <c r="G2662" i="21"/>
  <c r="G2663" i="21"/>
  <c r="G2664" i="21"/>
  <c r="G2665" i="21"/>
  <c r="G2666" i="21"/>
  <c r="G2667" i="21"/>
  <c r="G2668" i="21"/>
  <c r="G2669" i="21"/>
  <c r="G2670" i="21"/>
  <c r="G2671" i="21"/>
  <c r="G2672" i="21"/>
  <c r="G2673" i="21"/>
  <c r="G2674" i="21"/>
  <c r="G2675" i="21"/>
  <c r="G2676" i="21"/>
  <c r="G2677" i="21"/>
  <c r="G2678" i="21"/>
  <c r="G2679" i="21"/>
  <c r="G2680" i="21"/>
  <c r="G2681" i="21"/>
  <c r="G2682" i="21"/>
  <c r="G2683" i="21"/>
  <c r="G2684" i="21"/>
  <c r="G2685" i="21"/>
  <c r="G2686" i="21"/>
  <c r="G2687" i="21"/>
  <c r="G2688" i="21"/>
  <c r="G2689" i="21"/>
  <c r="G2690" i="21"/>
  <c r="G2691" i="21"/>
  <c r="G2692" i="21"/>
  <c r="G2693" i="21"/>
  <c r="G2694" i="21"/>
  <c r="G2695" i="21"/>
  <c r="G2696" i="21"/>
  <c r="G2697" i="21"/>
  <c r="G2698" i="21"/>
  <c r="G2699" i="21"/>
  <c r="G2700" i="21"/>
  <c r="G2701" i="21"/>
  <c r="G2702" i="21"/>
  <c r="G2703" i="21"/>
  <c r="G2704" i="21"/>
  <c r="G2705" i="21"/>
  <c r="G2706" i="21"/>
  <c r="G2707" i="21"/>
  <c r="G2708" i="21"/>
  <c r="G2709" i="21"/>
  <c r="G2710" i="21"/>
  <c r="G2711" i="21"/>
  <c r="G2712" i="21"/>
  <c r="G2713" i="21"/>
  <c r="G2714" i="21"/>
  <c r="G2715" i="21"/>
  <c r="G2716" i="21"/>
  <c r="G2717" i="21"/>
  <c r="G2718" i="21"/>
  <c r="G2719" i="21"/>
  <c r="G2720" i="21"/>
  <c r="G2721" i="21"/>
  <c r="G2722" i="21"/>
  <c r="G2723" i="21"/>
  <c r="G2724" i="21"/>
  <c r="G2725" i="21"/>
  <c r="G2726" i="21"/>
  <c r="G2727" i="21"/>
  <c r="G2728" i="21"/>
  <c r="G2729" i="21"/>
  <c r="G2730" i="21"/>
  <c r="G2731" i="21"/>
  <c r="G2732" i="21"/>
  <c r="G2733" i="21"/>
  <c r="G2734" i="21"/>
  <c r="G2735" i="21"/>
  <c r="G2736" i="21"/>
  <c r="G2737" i="21"/>
  <c r="G2738" i="21"/>
  <c r="G2739" i="21"/>
  <c r="G2740" i="21"/>
  <c r="G2741" i="21"/>
  <c r="G2742" i="21"/>
  <c r="G2743" i="21"/>
  <c r="G2744" i="21"/>
  <c r="G2745" i="21"/>
  <c r="G2746" i="21"/>
  <c r="G2747" i="21"/>
  <c r="G2748" i="21"/>
  <c r="G2749" i="21"/>
  <c r="G2750" i="21"/>
  <c r="G2751" i="21"/>
  <c r="G2752" i="21"/>
  <c r="G2753" i="21"/>
  <c r="G2754" i="21"/>
  <c r="G2755" i="21"/>
  <c r="G2756" i="21"/>
  <c r="G2757" i="21"/>
  <c r="G2758" i="21"/>
  <c r="G2759" i="21"/>
  <c r="G2760" i="21"/>
  <c r="G2761" i="21"/>
  <c r="G2762" i="21"/>
  <c r="G2763" i="21"/>
  <c r="G2764" i="21"/>
  <c r="G2765" i="21"/>
  <c r="G2766" i="21"/>
  <c r="G2767" i="21"/>
  <c r="G2768" i="21"/>
  <c r="G2769" i="21"/>
  <c r="G2770" i="21"/>
  <c r="G2771" i="21"/>
  <c r="G2772" i="21"/>
  <c r="G2773" i="21"/>
  <c r="G2774" i="21"/>
  <c r="G2775" i="21"/>
  <c r="G2776" i="21"/>
  <c r="G2777" i="21"/>
  <c r="G2778" i="21"/>
  <c r="G2779" i="21"/>
  <c r="G2780" i="21"/>
  <c r="G2781" i="21"/>
  <c r="G2782" i="21"/>
  <c r="G2783" i="21"/>
  <c r="G2784" i="21"/>
  <c r="G2785" i="21"/>
  <c r="G2786" i="21"/>
  <c r="G2787" i="21"/>
  <c r="G2788" i="21"/>
  <c r="G2789" i="21"/>
  <c r="G2790" i="21"/>
  <c r="G2791" i="21"/>
  <c r="G2792" i="21"/>
  <c r="G2793" i="21"/>
  <c r="G2794" i="21"/>
  <c r="G2795" i="21"/>
  <c r="G2796" i="21"/>
  <c r="G2797" i="21"/>
  <c r="G2798" i="21"/>
  <c r="G2799" i="21"/>
  <c r="G2800" i="21"/>
  <c r="G2801" i="21"/>
  <c r="G2802" i="21"/>
  <c r="G2803" i="21"/>
  <c r="G2804" i="21"/>
  <c r="G2805" i="21"/>
  <c r="G2806" i="21"/>
  <c r="G2807" i="21"/>
  <c r="G2808" i="21"/>
  <c r="G2809" i="21"/>
  <c r="G2810" i="21"/>
  <c r="G2811" i="21"/>
  <c r="G2812" i="21"/>
  <c r="G2813" i="21"/>
  <c r="G2814" i="21"/>
  <c r="G2815" i="21"/>
  <c r="G2816" i="21"/>
  <c r="G2817" i="21"/>
  <c r="G2818" i="21"/>
  <c r="G2819" i="21"/>
  <c r="G2820" i="21"/>
  <c r="G2821" i="21"/>
  <c r="G2822" i="21"/>
  <c r="G2823" i="21"/>
  <c r="G2824" i="21"/>
  <c r="G2825" i="21"/>
  <c r="G2826" i="21"/>
  <c r="G2827" i="21"/>
  <c r="G2828" i="21"/>
  <c r="G2829" i="21"/>
  <c r="G2830" i="21"/>
  <c r="G2831" i="21"/>
  <c r="G2832" i="21"/>
  <c r="G2833" i="21"/>
  <c r="G2834" i="21"/>
  <c r="G2835" i="21"/>
  <c r="G2836" i="21"/>
  <c r="G2837" i="21"/>
  <c r="G2838" i="21"/>
  <c r="G2839" i="21"/>
  <c r="G2840" i="21"/>
  <c r="G2841" i="21"/>
  <c r="G2842" i="21"/>
  <c r="G2843" i="21"/>
  <c r="G2844" i="21"/>
  <c r="G2845" i="21"/>
  <c r="G2846" i="21"/>
  <c r="G2847" i="21"/>
  <c r="G2848" i="21"/>
  <c r="G2849" i="21"/>
  <c r="G2850" i="21"/>
  <c r="G2851" i="21"/>
  <c r="G2852" i="21"/>
  <c r="G2853" i="21"/>
  <c r="G2854" i="21"/>
  <c r="G2855" i="21"/>
  <c r="G2856" i="21"/>
  <c r="G2857" i="21"/>
  <c r="G2858" i="21"/>
  <c r="G2859" i="21"/>
  <c r="G2860" i="21"/>
  <c r="G2861" i="21"/>
  <c r="G2862" i="21"/>
  <c r="G2863" i="21"/>
  <c r="G2864" i="21"/>
  <c r="G2865" i="21"/>
  <c r="G2866" i="21"/>
  <c r="G2867" i="21"/>
  <c r="G2868" i="21"/>
  <c r="G2869" i="21"/>
  <c r="G2870" i="21"/>
  <c r="G2871" i="21"/>
  <c r="G2872" i="21"/>
  <c r="G2873" i="21"/>
  <c r="G2874" i="21"/>
  <c r="G2875" i="21"/>
  <c r="G2876" i="21"/>
  <c r="G2877" i="21"/>
  <c r="G2878" i="21"/>
  <c r="G2879" i="21"/>
  <c r="G2880" i="21"/>
  <c r="G2881" i="21"/>
  <c r="G2882" i="21"/>
  <c r="G2883" i="21"/>
  <c r="G2884" i="21"/>
  <c r="G2885" i="21"/>
  <c r="G2886" i="21"/>
  <c r="G2887" i="21"/>
  <c r="G2888" i="21"/>
  <c r="G2889" i="21"/>
  <c r="G2890" i="21"/>
  <c r="G2891" i="21"/>
  <c r="G2892" i="21"/>
  <c r="G2893" i="21"/>
  <c r="G2894" i="21"/>
  <c r="G2895" i="21"/>
  <c r="G2896" i="21"/>
  <c r="G2897" i="21"/>
  <c r="G2898" i="21"/>
  <c r="G2899" i="21"/>
  <c r="G2900" i="21"/>
  <c r="G2901" i="21"/>
  <c r="G2902" i="21"/>
  <c r="G2903" i="21"/>
  <c r="G2904" i="21"/>
  <c r="G2905" i="21"/>
  <c r="G2906" i="21"/>
  <c r="G2907" i="21"/>
  <c r="G2908" i="21"/>
  <c r="G2909" i="21"/>
  <c r="G2910" i="21"/>
  <c r="G2911" i="21"/>
  <c r="G2912" i="21"/>
  <c r="G2913" i="21"/>
  <c r="G2914" i="21"/>
  <c r="G2915" i="21"/>
  <c r="G2916" i="21"/>
  <c r="G2917" i="21"/>
  <c r="G2918" i="21"/>
  <c r="G2919" i="21"/>
  <c r="G2920" i="21"/>
  <c r="G2921" i="21"/>
  <c r="G2922" i="21"/>
  <c r="G2923" i="21"/>
  <c r="G2924" i="21"/>
  <c r="G2925" i="21"/>
  <c r="G2926" i="21"/>
  <c r="G2927" i="21"/>
  <c r="G2928" i="21"/>
  <c r="G2929" i="21"/>
  <c r="G2930" i="21"/>
  <c r="G2931" i="21"/>
  <c r="G2932" i="21"/>
  <c r="G2933" i="21"/>
  <c r="G2934" i="21"/>
  <c r="G2935" i="21"/>
  <c r="G2936" i="21"/>
  <c r="G2937" i="21"/>
  <c r="G2938" i="21"/>
  <c r="G2939" i="21"/>
  <c r="G2940" i="21"/>
  <c r="G2941" i="21"/>
  <c r="G2942" i="21"/>
  <c r="G2943" i="21"/>
  <c r="G2944" i="21"/>
  <c r="G2945" i="21"/>
  <c r="G2946" i="21"/>
  <c r="G2947" i="21"/>
  <c r="G2948" i="21"/>
  <c r="G2949" i="21"/>
  <c r="G2950" i="21"/>
  <c r="G2951" i="21"/>
  <c r="G2952" i="21"/>
  <c r="G2953" i="21"/>
  <c r="G2954" i="21"/>
  <c r="G2955" i="21"/>
  <c r="G2956" i="21"/>
  <c r="G2957" i="21"/>
  <c r="G2958" i="21"/>
  <c r="G2959" i="21"/>
  <c r="G2960" i="21"/>
  <c r="G2961" i="21"/>
  <c r="G2962" i="21"/>
  <c r="G2963" i="21"/>
  <c r="G2964" i="21"/>
  <c r="G2965" i="21"/>
  <c r="G2966" i="21"/>
  <c r="G2967" i="21"/>
  <c r="G2968" i="21"/>
  <c r="G2969" i="21"/>
  <c r="G2970" i="21"/>
  <c r="G2971" i="21"/>
  <c r="G2972" i="21"/>
  <c r="G2973" i="21"/>
  <c r="G2974" i="21"/>
  <c r="G2975" i="21"/>
  <c r="G2976" i="21"/>
  <c r="G2977" i="21"/>
  <c r="G2978" i="21"/>
  <c r="G2979" i="21"/>
  <c r="G2980" i="21"/>
  <c r="G2981" i="21"/>
  <c r="G2982" i="21"/>
  <c r="G2983" i="21"/>
  <c r="G2984" i="21"/>
  <c r="G2985" i="21"/>
  <c r="G2986" i="21"/>
  <c r="G2987" i="21"/>
  <c r="G2988" i="21"/>
  <c r="G2989" i="21"/>
  <c r="G2990" i="21"/>
  <c r="G2991" i="21"/>
  <c r="G2992" i="21"/>
  <c r="G2993" i="21"/>
  <c r="G2994" i="21"/>
  <c r="G2995" i="21"/>
  <c r="G2996" i="21"/>
  <c r="G2997" i="21"/>
  <c r="G2998" i="21"/>
  <c r="G2999" i="21"/>
  <c r="G3000" i="21"/>
  <c r="G3001" i="21"/>
  <c r="G3002" i="21"/>
  <c r="G3003" i="21"/>
  <c r="G3004" i="21"/>
  <c r="G3005" i="21"/>
  <c r="G3006" i="21"/>
  <c r="G3007" i="21"/>
  <c r="G3008" i="21"/>
  <c r="G3009" i="21"/>
  <c r="G3010" i="21"/>
  <c r="G3011" i="21"/>
  <c r="G3012" i="21"/>
  <c r="G3013" i="21"/>
  <c r="G3014" i="21"/>
  <c r="G3015" i="21"/>
  <c r="G3016" i="21"/>
  <c r="G399" i="21"/>
  <c r="G398" i="21"/>
  <c r="G391" i="21"/>
  <c r="I294" i="21"/>
  <c r="I295" i="21"/>
  <c r="I206" i="21"/>
  <c r="L206" i="21" s="1"/>
  <c r="I207" i="21"/>
  <c r="L207" i="21" s="1"/>
  <c r="I208" i="21"/>
  <c r="L208" i="21" s="1"/>
  <c r="I209" i="21"/>
  <c r="L209" i="21" s="1"/>
  <c r="I210" i="21"/>
  <c r="L210" i="21" s="1"/>
  <c r="I211" i="21"/>
  <c r="L211" i="21" s="1"/>
  <c r="I10" i="14" l="1"/>
  <c r="I11" i="14"/>
  <c r="I12" i="14"/>
  <c r="I13" i="14"/>
  <c r="I14" i="14"/>
  <c r="I15" i="14"/>
  <c r="I16" i="14"/>
  <c r="I19" i="14"/>
  <c r="I20" i="14"/>
  <c r="I21" i="14"/>
  <c r="I22" i="14"/>
  <c r="I24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2" i="14"/>
  <c r="I43" i="14"/>
  <c r="I44" i="14"/>
  <c r="I45" i="14"/>
  <c r="I46" i="14"/>
  <c r="I47" i="14"/>
  <c r="I48" i="14"/>
  <c r="I49" i="14"/>
  <c r="I51" i="14"/>
  <c r="I52" i="14"/>
  <c r="I53" i="14"/>
  <c r="I54" i="14"/>
  <c r="I55" i="14"/>
  <c r="I59" i="14"/>
  <c r="I60" i="14"/>
  <c r="I61" i="14"/>
  <c r="I64" i="14"/>
  <c r="I66" i="14"/>
  <c r="I67" i="14"/>
  <c r="I68" i="14"/>
  <c r="I70" i="14"/>
  <c r="I71" i="14"/>
  <c r="I72" i="14"/>
  <c r="I73" i="14"/>
  <c r="I74" i="14"/>
  <c r="I75" i="14"/>
  <c r="I76" i="14"/>
  <c r="I78" i="14"/>
  <c r="I79" i="14"/>
  <c r="I81" i="14"/>
  <c r="I82" i="14"/>
  <c r="I84" i="14"/>
  <c r="I85" i="14"/>
  <c r="I86" i="14"/>
  <c r="I87" i="14"/>
  <c r="I88" i="14"/>
  <c r="I90" i="14"/>
  <c r="I91" i="14"/>
  <c r="I92" i="14"/>
  <c r="I93" i="14"/>
  <c r="I94" i="14"/>
  <c r="I95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5" i="14"/>
  <c r="I126" i="14"/>
  <c r="I129" i="14"/>
  <c r="I131" i="14"/>
  <c r="I132" i="14"/>
  <c r="I133" i="14"/>
  <c r="I134" i="14"/>
  <c r="I135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6" i="14"/>
  <c r="I161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8" i="14"/>
  <c r="I41" i="14"/>
  <c r="I57" i="14"/>
  <c r="I89" i="14"/>
  <c r="I124" i="14"/>
  <c r="I157" i="14"/>
  <c r="I179" i="14"/>
  <c r="I162" i="14"/>
  <c r="I163" i="14"/>
  <c r="I158" i="14"/>
  <c r="I155" i="14"/>
  <c r="I80" i="14"/>
  <c r="I136" i="14"/>
  <c r="I127" i="14"/>
  <c r="I65" i="14"/>
  <c r="I63" i="14"/>
  <c r="I58" i="14"/>
  <c r="I96" i="14"/>
  <c r="I128" i="14"/>
  <c r="I159" i="14"/>
  <c r="I180" i="14"/>
  <c r="I181" i="14"/>
  <c r="I182" i="14"/>
  <c r="I183" i="14"/>
  <c r="I184" i="14"/>
  <c r="I185" i="14"/>
  <c r="H196" i="20" l="1"/>
  <c r="P186" i="20" l="1"/>
  <c r="P145" i="20"/>
  <c r="P15" i="20"/>
  <c r="J273" i="20"/>
  <c r="H271" i="20"/>
  <c r="I271" i="20" s="1"/>
  <c r="H272" i="20"/>
  <c r="I272" i="20" s="1"/>
  <c r="G271" i="20"/>
  <c r="G272" i="20"/>
  <c r="M196" i="20"/>
  <c r="N196" i="20"/>
  <c r="L196" i="20"/>
  <c r="A1545" i="8" l="1"/>
  <c r="A2200" i="8"/>
  <c r="A2183" i="8"/>
  <c r="A2165" i="8"/>
  <c r="A2089" i="8"/>
  <c r="A1830" i="8"/>
  <c r="A1745" i="8"/>
  <c r="A1622" i="8"/>
  <c r="A1538" i="8"/>
  <c r="A2199" i="8"/>
  <c r="A2182" i="8"/>
  <c r="A2164" i="8"/>
  <c r="A2088" i="8"/>
  <c r="A1829" i="8"/>
  <c r="A1744" i="8"/>
  <c r="A1621" i="8"/>
  <c r="A1605" i="8"/>
  <c r="A1570" i="8"/>
  <c r="A1438" i="8"/>
  <c r="A1276" i="8"/>
  <c r="A1252" i="8"/>
  <c r="A5" i="8"/>
  <c r="A4" i="8"/>
  <c r="A3" i="8"/>
  <c r="A2" i="8"/>
  <c r="J196" i="20"/>
  <c r="G106" i="20" l="1"/>
  <c r="Q124" i="20"/>
  <c r="R159" i="20"/>
  <c r="H243" i="20"/>
  <c r="J241" i="20"/>
  <c r="K239" i="20"/>
  <c r="H226" i="20"/>
  <c r="J225" i="20"/>
  <c r="J233" i="20"/>
  <c r="K232" i="20"/>
  <c r="G156" i="20"/>
  <c r="G167" i="20"/>
  <c r="G175" i="20"/>
  <c r="Q149" i="20"/>
  <c r="Q160" i="20"/>
  <c r="Q168" i="20"/>
  <c r="Q177" i="20"/>
  <c r="R156" i="20"/>
  <c r="R167" i="20"/>
  <c r="R175" i="20"/>
  <c r="R177" i="20"/>
  <c r="G188" i="20"/>
  <c r="H240" i="20"/>
  <c r="J230" i="20"/>
  <c r="G169" i="20"/>
  <c r="Q166" i="20"/>
  <c r="H225" i="20"/>
  <c r="G166" i="20"/>
  <c r="R166" i="20"/>
  <c r="G107" i="20"/>
  <c r="Q159" i="20"/>
  <c r="R187" i="20"/>
  <c r="H235" i="20"/>
  <c r="H244" i="20"/>
  <c r="J242" i="20"/>
  <c r="K240" i="20"/>
  <c r="H227" i="20"/>
  <c r="J226" i="20"/>
  <c r="K225" i="20"/>
  <c r="K233" i="20"/>
  <c r="G157" i="20"/>
  <c r="G165" i="20"/>
  <c r="G176" i="20"/>
  <c r="Q148" i="20"/>
  <c r="Q161" i="20"/>
  <c r="Q172" i="20"/>
  <c r="Q178" i="20"/>
  <c r="R157" i="20"/>
  <c r="R165" i="20"/>
  <c r="R176" i="20"/>
  <c r="R173" i="20"/>
  <c r="K244" i="20"/>
  <c r="K229" i="20"/>
  <c r="Q155" i="20"/>
  <c r="R169" i="20"/>
  <c r="J232" i="20"/>
  <c r="Q176" i="20"/>
  <c r="G124" i="20"/>
  <c r="Q187" i="20"/>
  <c r="R188" i="20"/>
  <c r="H237" i="20"/>
  <c r="H245" i="20"/>
  <c r="J243" i="20"/>
  <c r="K241" i="20"/>
  <c r="H228" i="20"/>
  <c r="J227" i="20"/>
  <c r="K226" i="20"/>
  <c r="G149" i="20"/>
  <c r="G160" i="20"/>
  <c r="G168" i="20"/>
  <c r="G177" i="20"/>
  <c r="Q150" i="20"/>
  <c r="Q162" i="20"/>
  <c r="Q173" i="20"/>
  <c r="R149" i="20"/>
  <c r="R160" i="20"/>
  <c r="R168" i="20"/>
  <c r="R162" i="20"/>
  <c r="H231" i="20"/>
  <c r="R153" i="20"/>
  <c r="K231" i="20"/>
  <c r="R174" i="20"/>
  <c r="G159" i="20"/>
  <c r="Q188" i="20"/>
  <c r="H238" i="20"/>
  <c r="J235" i="20"/>
  <c r="J244" i="20"/>
  <c r="K242" i="20"/>
  <c r="H229" i="20"/>
  <c r="J228" i="20"/>
  <c r="K227" i="20"/>
  <c r="G148" i="20"/>
  <c r="G161" i="20"/>
  <c r="G172" i="20"/>
  <c r="G178" i="20"/>
  <c r="Q153" i="20"/>
  <c r="Q163" i="20"/>
  <c r="Q169" i="20"/>
  <c r="R148" i="20"/>
  <c r="R161" i="20"/>
  <c r="R172" i="20"/>
  <c r="R178" i="20"/>
  <c r="K235" i="20"/>
  <c r="G153" i="20"/>
  <c r="Q174" i="20"/>
  <c r="K238" i="20"/>
  <c r="G174" i="20"/>
  <c r="Q157" i="20"/>
  <c r="G187" i="20"/>
  <c r="G105" i="20"/>
  <c r="H239" i="20"/>
  <c r="J237" i="20"/>
  <c r="J245" i="20"/>
  <c r="K243" i="20"/>
  <c r="H230" i="20"/>
  <c r="J229" i="20"/>
  <c r="K228" i="20"/>
  <c r="G150" i="20"/>
  <c r="G162" i="20"/>
  <c r="G173" i="20"/>
  <c r="Q154" i="20"/>
  <c r="Q164" i="20"/>
  <c r="Q171" i="20"/>
  <c r="R150" i="20"/>
  <c r="R106" i="20"/>
  <c r="J238" i="20"/>
  <c r="G163" i="20"/>
  <c r="R163" i="20"/>
  <c r="G155" i="20"/>
  <c r="Q165" i="20"/>
  <c r="Q106" i="20"/>
  <c r="R107" i="20"/>
  <c r="Q105" i="20"/>
  <c r="H241" i="20"/>
  <c r="J239" i="20"/>
  <c r="K237" i="20"/>
  <c r="K245" i="20"/>
  <c r="H232" i="20"/>
  <c r="J231" i="20"/>
  <c r="K230" i="20"/>
  <c r="G154" i="20"/>
  <c r="G164" i="20"/>
  <c r="G171" i="20"/>
  <c r="Q156" i="20"/>
  <c r="Q167" i="20"/>
  <c r="Q175" i="20"/>
  <c r="R154" i="20"/>
  <c r="R164" i="20"/>
  <c r="R171" i="20"/>
  <c r="Q107" i="20"/>
  <c r="R124" i="20"/>
  <c r="R105" i="20"/>
  <c r="H242" i="20"/>
  <c r="J240" i="20"/>
  <c r="H233" i="20"/>
  <c r="R155" i="20"/>
  <c r="G186" i="20"/>
  <c r="G15" i="20"/>
  <c r="Q186" i="20"/>
  <c r="Q15" i="20"/>
  <c r="R186" i="20"/>
  <c r="R15" i="20"/>
  <c r="G145" i="20"/>
  <c r="Q145" i="20"/>
  <c r="R145" i="20"/>
  <c r="G56" i="22"/>
  <c r="Q56" i="22"/>
  <c r="G37" i="22"/>
  <c r="Q37" i="22"/>
  <c r="G42" i="22"/>
  <c r="Q42" i="22"/>
  <c r="G50" i="22"/>
  <c r="Q50" i="22"/>
  <c r="R56" i="22"/>
  <c r="R37" i="22"/>
  <c r="R42" i="22"/>
  <c r="R50" i="22"/>
  <c r="G117" i="22"/>
  <c r="Q117" i="22"/>
  <c r="G83" i="22"/>
  <c r="Q83" i="22"/>
  <c r="G84" i="22"/>
  <c r="Q84" i="22"/>
  <c r="Q90" i="22"/>
  <c r="Q77" i="22"/>
  <c r="G99" i="22"/>
  <c r="Q99" i="22"/>
  <c r="G90" i="22"/>
  <c r="G77" i="22"/>
  <c r="R77" i="22"/>
  <c r="R117" i="22"/>
  <c r="R83" i="22"/>
  <c r="R84" i="22"/>
  <c r="R99" i="22"/>
  <c r="R90" i="22"/>
  <c r="H211" i="22"/>
  <c r="H200" i="22"/>
  <c r="H203" i="22"/>
  <c r="H209" i="22"/>
  <c r="J224" i="22"/>
  <c r="J202" i="22"/>
  <c r="J207" i="22"/>
  <c r="K211" i="22"/>
  <c r="K200" i="22"/>
  <c r="K203" i="22"/>
  <c r="K209" i="22"/>
  <c r="H217" i="22"/>
  <c r="H222" i="22"/>
  <c r="H225" i="22"/>
  <c r="J215" i="22"/>
  <c r="J219" i="22"/>
  <c r="J234" i="22"/>
  <c r="J228" i="22"/>
  <c r="K217" i="22"/>
  <c r="K222" i="22"/>
  <c r="K225" i="22"/>
  <c r="G167" i="22"/>
  <c r="G171" i="22"/>
  <c r="Q167" i="22"/>
  <c r="Q171" i="22"/>
  <c r="R167" i="22"/>
  <c r="R171" i="22"/>
  <c r="K235" i="22"/>
  <c r="J233" i="22"/>
  <c r="H232" i="22"/>
  <c r="K230" i="22"/>
  <c r="J214" i="22"/>
  <c r="H213" i="22"/>
  <c r="R137" i="22"/>
  <c r="R147" i="22"/>
  <c r="R145" i="22"/>
  <c r="R173" i="22"/>
  <c r="R157" i="22"/>
  <c r="R144" i="22"/>
  <c r="R49" i="22"/>
  <c r="R132" i="22"/>
  <c r="R123" i="22"/>
  <c r="R166" i="22"/>
  <c r="R165" i="22"/>
  <c r="R164" i="22"/>
  <c r="R163" i="22"/>
  <c r="R162" i="22"/>
  <c r="R161" i="22"/>
  <c r="R160" i="22"/>
  <c r="R159" i="22"/>
  <c r="R158" i="22"/>
  <c r="R156" i="22"/>
  <c r="R155" i="22"/>
  <c r="R154" i="22"/>
  <c r="R153" i="22"/>
  <c r="R152" i="22"/>
  <c r="R151" i="22"/>
  <c r="R150" i="22"/>
  <c r="R149" i="22"/>
  <c r="R148" i="22"/>
  <c r="R146" i="22"/>
  <c r="R143" i="22"/>
  <c r="R142" i="22"/>
  <c r="R141" i="22"/>
  <c r="R140" i="22"/>
  <c r="R139" i="22"/>
  <c r="R138" i="22"/>
  <c r="R136" i="22"/>
  <c r="R135" i="22"/>
  <c r="R134" i="22"/>
  <c r="R133" i="22"/>
  <c r="R131" i="22"/>
  <c r="R130" i="22"/>
  <c r="R129" i="22"/>
  <c r="R128" i="22"/>
  <c r="R127" i="22"/>
  <c r="R126" i="22"/>
  <c r="R125" i="22"/>
  <c r="R124" i="22"/>
  <c r="R122" i="22"/>
  <c r="R121" i="22"/>
  <c r="R120" i="22"/>
  <c r="R119" i="22"/>
  <c r="R118" i="22"/>
  <c r="R116" i="22"/>
  <c r="H212" i="22"/>
  <c r="H201" i="22"/>
  <c r="H206" i="22"/>
  <c r="H210" i="22"/>
  <c r="J220" i="22"/>
  <c r="J204" i="22"/>
  <c r="J208" i="22"/>
  <c r="K212" i="22"/>
  <c r="K201" i="22"/>
  <c r="K206" i="22"/>
  <c r="K210" i="22"/>
  <c r="H218" i="22"/>
  <c r="H223" i="22"/>
  <c r="H227" i="22"/>
  <c r="J216" i="22"/>
  <c r="J221" i="22"/>
  <c r="J226" i="22"/>
  <c r="J229" i="22"/>
  <c r="K218" i="22"/>
  <c r="K223" i="22"/>
  <c r="K227" i="22"/>
  <c r="G168" i="22"/>
  <c r="G172" i="22"/>
  <c r="Q168" i="22"/>
  <c r="Q172" i="22"/>
  <c r="R168" i="22"/>
  <c r="R172" i="22"/>
  <c r="J235" i="22"/>
  <c r="H233" i="22"/>
  <c r="K231" i="22"/>
  <c r="J230" i="22"/>
  <c r="H214" i="22"/>
  <c r="K205" i="22"/>
  <c r="Q137" i="22"/>
  <c r="Q147" i="22"/>
  <c r="Q145" i="22"/>
  <c r="Q173" i="22"/>
  <c r="Q157" i="22"/>
  <c r="Q144" i="22"/>
  <c r="Q49" i="22"/>
  <c r="Q132" i="22"/>
  <c r="Q123" i="22"/>
  <c r="Q166" i="22"/>
  <c r="Q165" i="22"/>
  <c r="Q164" i="22"/>
  <c r="Q163" i="22"/>
  <c r="Q162" i="22"/>
  <c r="Q161" i="22"/>
  <c r="Q160" i="22"/>
  <c r="Q159" i="22"/>
  <c r="Q158" i="22"/>
  <c r="Q156" i="22"/>
  <c r="Q155" i="22"/>
  <c r="Q154" i="22"/>
  <c r="Q153" i="22"/>
  <c r="Q152" i="22"/>
  <c r="Q151" i="22"/>
  <c r="Q150" i="22"/>
  <c r="Q149" i="22"/>
  <c r="Q148" i="22"/>
  <c r="Q146" i="22"/>
  <c r="Q143" i="22"/>
  <c r="Q142" i="22"/>
  <c r="Q141" i="22"/>
  <c r="Q140" i="22"/>
  <c r="Q139" i="22"/>
  <c r="Q138" i="22"/>
  <c r="Q136" i="22"/>
  <c r="Q135" i="22"/>
  <c r="Q134" i="22"/>
  <c r="Q133" i="22"/>
  <c r="Q131" i="22"/>
  <c r="Q130" i="22"/>
  <c r="Q129" i="22"/>
  <c r="Q128" i="22"/>
  <c r="Q127" i="22"/>
  <c r="Q126" i="22"/>
  <c r="Q125" i="22"/>
  <c r="Q124" i="22"/>
  <c r="Q122" i="22"/>
  <c r="Q121" i="22"/>
  <c r="Q120" i="22"/>
  <c r="Q119" i="22"/>
  <c r="Q118" i="22"/>
  <c r="H224" i="22"/>
  <c r="H202" i="22"/>
  <c r="H207" i="22"/>
  <c r="J211" i="22"/>
  <c r="J200" i="22"/>
  <c r="J203" i="22"/>
  <c r="J209" i="22"/>
  <c r="K224" i="22"/>
  <c r="K202" i="22"/>
  <c r="K207" i="22"/>
  <c r="H215" i="22"/>
  <c r="H219" i="22"/>
  <c r="H234" i="22"/>
  <c r="H228" i="22"/>
  <c r="J217" i="22"/>
  <c r="J222" i="22"/>
  <c r="J225" i="22"/>
  <c r="K215" i="22"/>
  <c r="K219" i="22"/>
  <c r="K234" i="22"/>
  <c r="K228" i="22"/>
  <c r="G169" i="22"/>
  <c r="G174" i="22"/>
  <c r="Q169" i="22"/>
  <c r="Q174" i="22"/>
  <c r="R169" i="22"/>
  <c r="R174" i="22"/>
  <c r="H235" i="22"/>
  <c r="K232" i="22"/>
  <c r="J231" i="22"/>
  <c r="H230" i="22"/>
  <c r="K213" i="22"/>
  <c r="J205" i="22"/>
  <c r="H220" i="22"/>
  <c r="H204" i="22"/>
  <c r="H208" i="22"/>
  <c r="J212" i="22"/>
  <c r="J201" i="22"/>
  <c r="J206" i="22"/>
  <c r="J210" i="22"/>
  <c r="K220" i="22"/>
  <c r="K204" i="22"/>
  <c r="K208" i="22"/>
  <c r="H216" i="22"/>
  <c r="H221" i="22"/>
  <c r="H226" i="22"/>
  <c r="H229" i="22"/>
  <c r="J218" i="22"/>
  <c r="J223" i="22"/>
  <c r="J227" i="22"/>
  <c r="K216" i="22"/>
  <c r="K221" i="22"/>
  <c r="K226" i="22"/>
  <c r="K229" i="22"/>
  <c r="G170" i="22"/>
  <c r="G175" i="22"/>
  <c r="Q170" i="22"/>
  <c r="Q175" i="22"/>
  <c r="R170" i="22"/>
  <c r="R175" i="22"/>
  <c r="K233" i="22"/>
  <c r="J232" i="22"/>
  <c r="H231" i="22"/>
  <c r="K214" i="22"/>
  <c r="J213" i="22"/>
  <c r="H205" i="22"/>
  <c r="G137" i="22"/>
  <c r="G147" i="22"/>
  <c r="G145" i="22"/>
  <c r="G173" i="22"/>
  <c r="G157" i="22"/>
  <c r="G144" i="22"/>
  <c r="G49" i="22"/>
  <c r="G132" i="22"/>
  <c r="G123" i="22"/>
  <c r="G166" i="22"/>
  <c r="G165" i="22"/>
  <c r="G164" i="22"/>
  <c r="G163" i="22"/>
  <c r="G162" i="22"/>
  <c r="G161" i="22"/>
  <c r="G160" i="22"/>
  <c r="G159" i="22"/>
  <c r="G158" i="22"/>
  <c r="G156" i="22"/>
  <c r="G155" i="22"/>
  <c r="G154" i="22"/>
  <c r="G153" i="22"/>
  <c r="G152" i="22"/>
  <c r="G151" i="22"/>
  <c r="G150" i="22"/>
  <c r="G149" i="22"/>
  <c r="G148" i="22"/>
  <c r="G146" i="22"/>
  <c r="G143" i="22"/>
  <c r="G142" i="22"/>
  <c r="G141" i="22"/>
  <c r="G140" i="22"/>
  <c r="G139" i="22"/>
  <c r="G138" i="22"/>
  <c r="G136" i="22"/>
  <c r="G135" i="22"/>
  <c r="G134" i="22"/>
  <c r="G133" i="22"/>
  <c r="G131" i="22"/>
  <c r="G130" i="22"/>
  <c r="G129" i="22"/>
  <c r="G128" i="22"/>
  <c r="G127" i="22"/>
  <c r="G126" i="22"/>
  <c r="G125" i="22"/>
  <c r="G124" i="22"/>
  <c r="G122" i="22"/>
  <c r="G121" i="22"/>
  <c r="G120" i="22"/>
  <c r="G119" i="22"/>
  <c r="G118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8" i="22"/>
  <c r="G97" i="22"/>
  <c r="G96" i="22"/>
  <c r="G95" i="22"/>
  <c r="G94" i="22"/>
  <c r="G93" i="22"/>
  <c r="G92" i="22"/>
  <c r="G91" i="22"/>
  <c r="G89" i="22"/>
  <c r="G88" i="22"/>
  <c r="G87" i="22"/>
  <c r="G86" i="22"/>
  <c r="G85" i="22"/>
  <c r="G82" i="22"/>
  <c r="G81" i="22"/>
  <c r="G80" i="22"/>
  <c r="G79" i="22"/>
  <c r="G78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5" i="22"/>
  <c r="G54" i="22"/>
  <c r="G53" i="22"/>
  <c r="G52" i="22"/>
  <c r="G51" i="22"/>
  <c r="G48" i="22"/>
  <c r="G47" i="22"/>
  <c r="G46" i="22"/>
  <c r="G45" i="22"/>
  <c r="G44" i="22"/>
  <c r="G43" i="22"/>
  <c r="G41" i="22"/>
  <c r="G40" i="22"/>
  <c r="G39" i="22"/>
  <c r="G38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R115" i="22"/>
  <c r="R114" i="22"/>
  <c r="R113" i="22"/>
  <c r="R112" i="22"/>
  <c r="R111" i="22"/>
  <c r="R110" i="22"/>
  <c r="R109" i="22"/>
  <c r="R108" i="22"/>
  <c r="R107" i="22"/>
  <c r="R106" i="22"/>
  <c r="R105" i="22"/>
  <c r="R104" i="22"/>
  <c r="R103" i="22"/>
  <c r="R102" i="22"/>
  <c r="R101" i="22"/>
  <c r="R100" i="22"/>
  <c r="R98" i="22"/>
  <c r="R97" i="22"/>
  <c r="R96" i="22"/>
  <c r="R95" i="22"/>
  <c r="R94" i="22"/>
  <c r="R93" i="22"/>
  <c r="R92" i="22"/>
  <c r="R91" i="22"/>
  <c r="R89" i="22"/>
  <c r="R88" i="22"/>
  <c r="R87" i="22"/>
  <c r="R86" i="22"/>
  <c r="R85" i="22"/>
  <c r="R82" i="22"/>
  <c r="R81" i="22"/>
  <c r="R80" i="22"/>
  <c r="R79" i="22"/>
  <c r="R78" i="22"/>
  <c r="R76" i="22"/>
  <c r="R75" i="22"/>
  <c r="R74" i="22"/>
  <c r="R73" i="22"/>
  <c r="R72" i="22"/>
  <c r="R71" i="22"/>
  <c r="R70" i="22"/>
  <c r="R69" i="22"/>
  <c r="R68" i="22"/>
  <c r="R67" i="22"/>
  <c r="R66" i="22"/>
  <c r="R65" i="22"/>
  <c r="R64" i="22"/>
  <c r="R63" i="22"/>
  <c r="R62" i="22"/>
  <c r="R61" i="22"/>
  <c r="R60" i="22"/>
  <c r="Q115" i="22"/>
  <c r="Q114" i="22"/>
  <c r="Q113" i="22"/>
  <c r="Q112" i="22"/>
  <c r="Q111" i="22"/>
  <c r="Q110" i="22"/>
  <c r="Q109" i="22"/>
  <c r="Q108" i="22"/>
  <c r="Q107" i="22"/>
  <c r="Q106" i="22"/>
  <c r="Q105" i="22"/>
  <c r="Q104" i="22"/>
  <c r="Q103" i="22"/>
  <c r="Q102" i="22"/>
  <c r="Q101" i="22"/>
  <c r="Q100" i="22"/>
  <c r="Q98" i="22"/>
  <c r="Q97" i="22"/>
  <c r="Q96" i="22"/>
  <c r="Q95" i="22"/>
  <c r="Q94" i="22"/>
  <c r="Q93" i="22"/>
  <c r="Q92" i="22"/>
  <c r="Q91" i="22"/>
  <c r="Q89" i="22"/>
  <c r="Q88" i="22"/>
  <c r="Q87" i="22"/>
  <c r="Q86" i="22"/>
  <c r="Q85" i="22"/>
  <c r="Q82" i="22"/>
  <c r="Q81" i="22"/>
  <c r="Q80" i="22"/>
  <c r="Q79" i="22"/>
  <c r="Q78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5" i="22"/>
  <c r="Q54" i="22"/>
  <c r="Q53" i="22"/>
  <c r="Q52" i="22"/>
  <c r="Q51" i="22"/>
  <c r="Q48" i="22"/>
  <c r="Q47" i="22"/>
  <c r="Q46" i="22"/>
  <c r="Q45" i="22"/>
  <c r="Q44" i="22"/>
  <c r="Q43" i="22"/>
  <c r="Q41" i="22"/>
  <c r="Q40" i="22"/>
  <c r="Q39" i="22"/>
  <c r="Q38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116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R55" i="22"/>
  <c r="R53" i="22"/>
  <c r="R47" i="22"/>
  <c r="R45" i="22"/>
  <c r="R43" i="22"/>
  <c r="R35" i="22"/>
  <c r="R31" i="22"/>
  <c r="R25" i="22"/>
  <c r="R58" i="22"/>
  <c r="R38" i="22"/>
  <c r="R27" i="22"/>
  <c r="R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R18" i="22"/>
  <c r="R15" i="22"/>
  <c r="R13" i="22"/>
  <c r="R11" i="22"/>
  <c r="R9" i="22"/>
  <c r="R51" i="22"/>
  <c r="R40" i="22"/>
  <c r="R33" i="22"/>
  <c r="R29" i="22"/>
  <c r="R23" i="22"/>
  <c r="R59" i="22"/>
  <c r="R57" i="22"/>
  <c r="R54" i="22"/>
  <c r="R52" i="22"/>
  <c r="R48" i="22"/>
  <c r="R46" i="22"/>
  <c r="R44" i="22"/>
  <c r="R41" i="22"/>
  <c r="R39" i="22"/>
  <c r="R36" i="22"/>
  <c r="R34" i="22"/>
  <c r="R32" i="22"/>
  <c r="R30" i="22"/>
  <c r="R28" i="22"/>
  <c r="R26" i="22"/>
  <c r="R24" i="22"/>
  <c r="R22" i="22"/>
  <c r="R20" i="22"/>
  <c r="R19" i="22"/>
  <c r="R17" i="22"/>
  <c r="R16" i="22"/>
  <c r="R14" i="22"/>
  <c r="R12" i="22"/>
  <c r="R10" i="22"/>
  <c r="G257" i="14"/>
  <c r="G258" i="14"/>
  <c r="G259" i="14"/>
  <c r="G275" i="14"/>
  <c r="G276" i="14"/>
  <c r="G282" i="14"/>
  <c r="G281" i="14"/>
  <c r="G256" i="14"/>
  <c r="G277" i="14"/>
  <c r="G278" i="14"/>
  <c r="G279" i="14"/>
  <c r="G280" i="14"/>
  <c r="R116" i="19"/>
  <c r="Q116" i="19"/>
  <c r="Q30" i="19"/>
  <c r="R30" i="19"/>
  <c r="G116" i="19"/>
  <c r="G163" i="19"/>
  <c r="Q163" i="19"/>
  <c r="G30" i="19"/>
  <c r="R163" i="19"/>
  <c r="H212" i="19"/>
  <c r="J207" i="19"/>
  <c r="H201" i="19"/>
  <c r="K201" i="19"/>
  <c r="J209" i="19"/>
  <c r="G164" i="19"/>
  <c r="Q164" i="19"/>
  <c r="G139" i="19"/>
  <c r="Q139" i="19"/>
  <c r="G157" i="19"/>
  <c r="G103" i="19"/>
  <c r="G104" i="19"/>
  <c r="R102" i="19"/>
  <c r="R99" i="19"/>
  <c r="G111" i="19"/>
  <c r="Q100" i="19"/>
  <c r="Q121" i="19"/>
  <c r="R111" i="19"/>
  <c r="G136" i="19"/>
  <c r="G144" i="19"/>
  <c r="Q131" i="19"/>
  <c r="R127" i="19"/>
  <c r="G37" i="19"/>
  <c r="Q37" i="19"/>
  <c r="R38" i="19"/>
  <c r="R57" i="19"/>
  <c r="G59" i="19"/>
  <c r="Q59" i="19"/>
  <c r="R60" i="19"/>
  <c r="R82" i="19"/>
  <c r="G93" i="19"/>
  <c r="Q93" i="19"/>
  <c r="R86" i="19"/>
  <c r="R94" i="19"/>
  <c r="G22" i="19"/>
  <c r="Q22" i="19"/>
  <c r="R22" i="19"/>
  <c r="G21" i="19"/>
  <c r="Q21" i="19"/>
  <c r="R21" i="19"/>
  <c r="H211" i="19"/>
  <c r="K213" i="19"/>
  <c r="H206" i="19"/>
  <c r="J203" i="19"/>
  <c r="H199" i="19"/>
  <c r="J200" i="19"/>
  <c r="K196" i="19"/>
  <c r="J195" i="19"/>
  <c r="K192" i="19"/>
  <c r="G130" i="19"/>
  <c r="G150" i="19"/>
  <c r="G122" i="19"/>
  <c r="G133" i="19"/>
  <c r="G108" i="19"/>
  <c r="G69" i="19"/>
  <c r="Q130" i="19"/>
  <c r="Q150" i="19"/>
  <c r="Q122" i="19"/>
  <c r="Q133" i="19"/>
  <c r="Q108" i="19"/>
  <c r="Q69" i="19"/>
  <c r="R142" i="19"/>
  <c r="R135" i="19"/>
  <c r="R129" i="19"/>
  <c r="R120" i="19"/>
  <c r="R91" i="19"/>
  <c r="R75" i="19"/>
  <c r="G76" i="19"/>
  <c r="G66" i="19"/>
  <c r="G68" i="19"/>
  <c r="G43" i="19"/>
  <c r="G14" i="19"/>
  <c r="G160" i="19"/>
  <c r="Q80" i="19"/>
  <c r="Q67" i="19"/>
  <c r="Q27" i="19"/>
  <c r="Q44" i="19"/>
  <c r="Q24" i="19"/>
  <c r="Q149" i="19"/>
  <c r="R79" i="19"/>
  <c r="R51" i="19"/>
  <c r="R48" i="19"/>
  <c r="R41" i="19"/>
  <c r="J212" i="19"/>
  <c r="H205" i="19"/>
  <c r="K205" i="19"/>
  <c r="J198" i="19"/>
  <c r="H204" i="19"/>
  <c r="K204" i="19"/>
  <c r="G168" i="19"/>
  <c r="Q168" i="19"/>
  <c r="G153" i="19"/>
  <c r="Q153" i="19"/>
  <c r="Q157" i="19"/>
  <c r="G102" i="19"/>
  <c r="G99" i="19"/>
  <c r="Q103" i="19"/>
  <c r="Q104" i="19"/>
  <c r="R96" i="19"/>
  <c r="G98" i="19"/>
  <c r="G115" i="19"/>
  <c r="Q110" i="19"/>
  <c r="R98" i="19"/>
  <c r="R115" i="19"/>
  <c r="G131" i="19"/>
  <c r="Q143" i="19"/>
  <c r="R136" i="19"/>
  <c r="R144" i="19"/>
  <c r="G45" i="19"/>
  <c r="Q45" i="19"/>
  <c r="R36" i="19"/>
  <c r="R62" i="19"/>
  <c r="G74" i="19"/>
  <c r="Q74" i="19"/>
  <c r="R61" i="19"/>
  <c r="R88" i="19"/>
  <c r="G92" i="19"/>
  <c r="Q92" i="19"/>
  <c r="R87" i="19"/>
  <c r="R101" i="19"/>
  <c r="G29" i="19"/>
  <c r="Q29" i="19"/>
  <c r="R29" i="19"/>
  <c r="G33" i="19"/>
  <c r="Q33" i="19"/>
  <c r="R33" i="19"/>
  <c r="J213" i="19"/>
  <c r="K202" i="19"/>
  <c r="H203" i="19"/>
  <c r="K208" i="19"/>
  <c r="H200" i="19"/>
  <c r="J196" i="19"/>
  <c r="H195" i="19"/>
  <c r="J192" i="19"/>
  <c r="K193" i="19"/>
  <c r="G142" i="19"/>
  <c r="G135" i="19"/>
  <c r="G129" i="19"/>
  <c r="G120" i="19"/>
  <c r="G91" i="19"/>
  <c r="G75" i="19"/>
  <c r="Q142" i="19"/>
  <c r="Q135" i="19"/>
  <c r="Q129" i="19"/>
  <c r="Q120" i="19"/>
  <c r="Q91" i="19"/>
  <c r="Q75" i="19"/>
  <c r="R146" i="19"/>
  <c r="R134" i="19"/>
  <c r="R132" i="19"/>
  <c r="R117" i="19"/>
  <c r="R107" i="19"/>
  <c r="R83" i="19"/>
  <c r="G70" i="19"/>
  <c r="G65" i="19"/>
  <c r="G39" i="19"/>
  <c r="G31" i="19"/>
  <c r="G11" i="19"/>
  <c r="Q79" i="19"/>
  <c r="Q51" i="19"/>
  <c r="Q48" i="19"/>
  <c r="Q41" i="19"/>
  <c r="Q34" i="19"/>
  <c r="Q162" i="19"/>
  <c r="R76" i="19"/>
  <c r="R66" i="19"/>
  <c r="R68" i="19"/>
  <c r="R43" i="19"/>
  <c r="R14" i="19"/>
  <c r="K212" i="19"/>
  <c r="H207" i="19"/>
  <c r="K207" i="19"/>
  <c r="J201" i="19"/>
  <c r="H209" i="19"/>
  <c r="K209" i="19"/>
  <c r="R164" i="19"/>
  <c r="R139" i="19"/>
  <c r="G96" i="19"/>
  <c r="Q102" i="19"/>
  <c r="Q99" i="19"/>
  <c r="G100" i="19"/>
  <c r="G121" i="19"/>
  <c r="Q111" i="19"/>
  <c r="R100" i="19"/>
  <c r="R121" i="19"/>
  <c r="G143" i="19"/>
  <c r="Q127" i="19"/>
  <c r="R131" i="19"/>
  <c r="G38" i="19"/>
  <c r="G57" i="19"/>
  <c r="Q38" i="19"/>
  <c r="Q57" i="19"/>
  <c r="R37" i="19"/>
  <c r="G60" i="19"/>
  <c r="G82" i="19"/>
  <c r="Q60" i="19"/>
  <c r="Q82" i="19"/>
  <c r="R59" i="19"/>
  <c r="G86" i="19"/>
  <c r="G94" i="19"/>
  <c r="Q86" i="19"/>
  <c r="Q94" i="19"/>
  <c r="R93" i="19"/>
  <c r="G26" i="19"/>
  <c r="Q26" i="19"/>
  <c r="R26" i="19"/>
  <c r="G20" i="19"/>
  <c r="Q20" i="19"/>
  <c r="R20" i="19"/>
  <c r="H213" i="19"/>
  <c r="J202" i="19"/>
  <c r="K211" i="19"/>
  <c r="J208" i="19"/>
  <c r="K206" i="19"/>
  <c r="H196" i="19"/>
  <c r="K199" i="19"/>
  <c r="H192" i="19"/>
  <c r="J193" i="19"/>
  <c r="G146" i="19"/>
  <c r="G134" i="19"/>
  <c r="G132" i="19"/>
  <c r="G117" i="19"/>
  <c r="G107" i="19"/>
  <c r="G83" i="19"/>
  <c r="Q146" i="19"/>
  <c r="Q134" i="19"/>
  <c r="Q132" i="19"/>
  <c r="Q117" i="19"/>
  <c r="Q107" i="19"/>
  <c r="Q83" i="19"/>
  <c r="R147" i="19"/>
  <c r="R118" i="19"/>
  <c r="R128" i="19"/>
  <c r="R81" i="19"/>
  <c r="R106" i="19"/>
  <c r="G80" i="19"/>
  <c r="G67" i="19"/>
  <c r="G27" i="19"/>
  <c r="G44" i="19"/>
  <c r="G24" i="19"/>
  <c r="G149" i="19"/>
  <c r="Q76" i="19"/>
  <c r="Q66" i="19"/>
  <c r="Q68" i="19"/>
  <c r="Q43" i="19"/>
  <c r="J205" i="19"/>
  <c r="H198" i="19"/>
  <c r="K198" i="19"/>
  <c r="J204" i="19"/>
  <c r="R168" i="19"/>
  <c r="R153" i="19"/>
  <c r="R157" i="19"/>
  <c r="Q96" i="19"/>
  <c r="R103" i="19"/>
  <c r="R104" i="19"/>
  <c r="G110" i="19"/>
  <c r="Q98" i="19"/>
  <c r="Q115" i="19"/>
  <c r="R110" i="19"/>
  <c r="G127" i="19"/>
  <c r="Q136" i="19"/>
  <c r="Q144" i="19"/>
  <c r="R143" i="19"/>
  <c r="G36" i="19"/>
  <c r="G62" i="19"/>
  <c r="Q36" i="19"/>
  <c r="Q62" i="19"/>
  <c r="R45" i="19"/>
  <c r="G61" i="19"/>
  <c r="G88" i="19"/>
  <c r="Q61" i="19"/>
  <c r="Q88" i="19"/>
  <c r="R74" i="19"/>
  <c r="G87" i="19"/>
  <c r="G101" i="19"/>
  <c r="Q87" i="19"/>
  <c r="Q101" i="19"/>
  <c r="R92" i="19"/>
  <c r="G23" i="19"/>
  <c r="Q23" i="19"/>
  <c r="R23" i="19"/>
  <c r="G19" i="19"/>
  <c r="Q19" i="19"/>
  <c r="R19" i="19"/>
  <c r="H202" i="19"/>
  <c r="J211" i="19"/>
  <c r="H208" i="19"/>
  <c r="J206" i="19"/>
  <c r="K203" i="19"/>
  <c r="J199" i="19"/>
  <c r="K200" i="19"/>
  <c r="H193" i="19"/>
  <c r="K195" i="19"/>
  <c r="G147" i="19"/>
  <c r="G118" i="19"/>
  <c r="G128" i="19"/>
  <c r="G81" i="19"/>
  <c r="G106" i="19"/>
  <c r="Q147" i="19"/>
  <c r="Q118" i="19"/>
  <c r="Q128" i="19"/>
  <c r="Q81" i="19"/>
  <c r="Q106" i="19"/>
  <c r="R130" i="19"/>
  <c r="R150" i="19"/>
  <c r="R122" i="19"/>
  <c r="R133" i="19"/>
  <c r="R108" i="19"/>
  <c r="R69" i="19"/>
  <c r="G79" i="19"/>
  <c r="G51" i="19"/>
  <c r="G48" i="19"/>
  <c r="G41" i="19"/>
  <c r="G34" i="19"/>
  <c r="G162" i="19"/>
  <c r="Q70" i="19"/>
  <c r="Q65" i="19"/>
  <c r="Q39" i="19"/>
  <c r="Q31" i="19"/>
  <c r="Q11" i="19"/>
  <c r="R80" i="19"/>
  <c r="R67" i="19"/>
  <c r="Q14" i="19"/>
  <c r="R27" i="19"/>
  <c r="R24" i="19"/>
  <c r="R162" i="19"/>
  <c r="Q126" i="19"/>
  <c r="R141" i="19"/>
  <c r="R159" i="19"/>
  <c r="Q160" i="19"/>
  <c r="R39" i="19"/>
  <c r="R34" i="19"/>
  <c r="R160" i="19"/>
  <c r="R126" i="19"/>
  <c r="G159" i="19"/>
  <c r="R70" i="19"/>
  <c r="R44" i="19"/>
  <c r="R11" i="19"/>
  <c r="G126" i="19"/>
  <c r="G141" i="19"/>
  <c r="R65" i="19"/>
  <c r="R31" i="19"/>
  <c r="R149" i="19"/>
  <c r="Q141" i="19"/>
  <c r="Q159" i="19"/>
  <c r="G53" i="19"/>
  <c r="G125" i="19"/>
  <c r="G15" i="19"/>
  <c r="G166" i="19"/>
  <c r="G89" i="19"/>
  <c r="G56" i="19"/>
  <c r="Q140" i="19"/>
  <c r="Q16" i="19"/>
  <c r="Q138" i="19"/>
  <c r="Q112" i="19"/>
  <c r="Q109" i="19"/>
  <c r="R155" i="19"/>
  <c r="R123" i="19"/>
  <c r="R18" i="19"/>
  <c r="R148" i="19"/>
  <c r="R77" i="19"/>
  <c r="R50" i="19"/>
  <c r="G154" i="19"/>
  <c r="G113" i="19"/>
  <c r="Q167" i="19"/>
  <c r="Q90" i="19"/>
  <c r="R156" i="19"/>
  <c r="R95" i="19"/>
  <c r="R114" i="19"/>
  <c r="G64" i="19"/>
  <c r="G84" i="19"/>
  <c r="Q105" i="19"/>
  <c r="Q78" i="19"/>
  <c r="R119" i="19"/>
  <c r="R28" i="19"/>
  <c r="R72" i="19"/>
  <c r="G47" i="19"/>
  <c r="G35" i="19"/>
  <c r="Q54" i="19"/>
  <c r="Q46" i="19"/>
  <c r="R55" i="19"/>
  <c r="R40" i="19"/>
  <c r="R13" i="19"/>
  <c r="Q32" i="19"/>
  <c r="R17" i="19"/>
  <c r="Q158" i="19"/>
  <c r="R137" i="19"/>
  <c r="Q137" i="19"/>
  <c r="G155" i="19"/>
  <c r="G123" i="19"/>
  <c r="G18" i="19"/>
  <c r="G148" i="19"/>
  <c r="G77" i="19"/>
  <c r="G50" i="19"/>
  <c r="Q125" i="19"/>
  <c r="Q15" i="19"/>
  <c r="Q166" i="19"/>
  <c r="Q89" i="19"/>
  <c r="Q56" i="19"/>
  <c r="R152" i="19"/>
  <c r="R58" i="19"/>
  <c r="R151" i="19"/>
  <c r="R165" i="19"/>
  <c r="R97" i="19"/>
  <c r="R42" i="19"/>
  <c r="G73" i="19"/>
  <c r="G114" i="19"/>
  <c r="Q154" i="19"/>
  <c r="Q53" i="19"/>
  <c r="R167" i="19"/>
  <c r="R90" i="19"/>
  <c r="G119" i="19"/>
  <c r="G28" i="19"/>
  <c r="G72" i="19"/>
  <c r="Q85" i="19"/>
  <c r="Q71" i="19"/>
  <c r="R105" i="19"/>
  <c r="R78" i="19"/>
  <c r="G55" i="19"/>
  <c r="G40" i="19"/>
  <c r="G13" i="19"/>
  <c r="Q52" i="19"/>
  <c r="Q49" i="19"/>
  <c r="R54" i="19"/>
  <c r="R46" i="19"/>
  <c r="Q17" i="19"/>
  <c r="G152" i="19"/>
  <c r="G58" i="19"/>
  <c r="G151" i="19"/>
  <c r="G165" i="19"/>
  <c r="G97" i="19"/>
  <c r="G42" i="19"/>
  <c r="Q155" i="19"/>
  <c r="Q123" i="19"/>
  <c r="Q18" i="19"/>
  <c r="Q148" i="19"/>
  <c r="Q77" i="19"/>
  <c r="Q50" i="19"/>
  <c r="R140" i="19"/>
  <c r="R16" i="19"/>
  <c r="R138" i="19"/>
  <c r="R112" i="19"/>
  <c r="R109" i="19"/>
  <c r="G156" i="19"/>
  <c r="G95" i="19"/>
  <c r="Q73" i="19"/>
  <c r="Q113" i="19"/>
  <c r="R154" i="19"/>
  <c r="R53" i="19"/>
  <c r="G105" i="19"/>
  <c r="G78" i="19"/>
  <c r="Q64" i="19"/>
  <c r="Q84" i="19"/>
  <c r="R85" i="19"/>
  <c r="R71" i="19"/>
  <c r="G54" i="19"/>
  <c r="G46" i="19"/>
  <c r="Q47" i="19"/>
  <c r="Q35" i="19"/>
  <c r="R52" i="19"/>
  <c r="R49" i="19"/>
  <c r="G32" i="19"/>
  <c r="R25" i="19"/>
  <c r="G158" i="19"/>
  <c r="R9" i="19"/>
  <c r="Q9" i="19"/>
  <c r="G25" i="19"/>
  <c r="G140" i="19"/>
  <c r="G16" i="19"/>
  <c r="G138" i="19"/>
  <c r="G112" i="19"/>
  <c r="G109" i="19"/>
  <c r="Q152" i="19"/>
  <c r="Q58" i="19"/>
  <c r="Q151" i="19"/>
  <c r="Q165" i="19"/>
  <c r="Q97" i="19"/>
  <c r="Q42" i="19"/>
  <c r="R125" i="19"/>
  <c r="R15" i="19"/>
  <c r="R166" i="19"/>
  <c r="R89" i="19"/>
  <c r="R56" i="19"/>
  <c r="G167" i="19"/>
  <c r="G90" i="19"/>
  <c r="Q156" i="19"/>
  <c r="Q95" i="19"/>
  <c r="Q114" i="19"/>
  <c r="R73" i="19"/>
  <c r="R113" i="19"/>
  <c r="G85" i="19"/>
  <c r="G71" i="19"/>
  <c r="Q119" i="19"/>
  <c r="Q28" i="19"/>
  <c r="Q72" i="19"/>
  <c r="R64" i="19"/>
  <c r="R84" i="19"/>
  <c r="G52" i="19"/>
  <c r="G49" i="19"/>
  <c r="Q55" i="19"/>
  <c r="Q40" i="19"/>
  <c r="Q13" i="19"/>
  <c r="R47" i="19"/>
  <c r="R35" i="19"/>
  <c r="G17" i="19"/>
  <c r="Q25" i="19"/>
  <c r="R32" i="19"/>
  <c r="G137" i="19"/>
  <c r="R158" i="19"/>
  <c r="G9" i="19"/>
  <c r="G88" i="18"/>
  <c r="G79" i="18"/>
  <c r="G95" i="18"/>
  <c r="G66" i="18"/>
  <c r="G78" i="18"/>
  <c r="G44" i="18"/>
  <c r="H260" i="18"/>
  <c r="J262" i="18"/>
  <c r="K257" i="18"/>
  <c r="R18" i="18"/>
  <c r="R94" i="18"/>
  <c r="R182" i="18"/>
  <c r="R174" i="18"/>
  <c r="H269" i="18"/>
  <c r="R78" i="18"/>
  <c r="H262" i="18"/>
  <c r="Q94" i="18"/>
  <c r="K263" i="18"/>
  <c r="H237" i="18"/>
  <c r="J260" i="18"/>
  <c r="K262" i="18"/>
  <c r="G18" i="18"/>
  <c r="G94" i="18"/>
  <c r="G182" i="18"/>
  <c r="G174" i="18"/>
  <c r="H263" i="18"/>
  <c r="J269" i="18"/>
  <c r="K269" i="18"/>
  <c r="R44" i="18"/>
  <c r="J257" i="18"/>
  <c r="Q182" i="18"/>
  <c r="Q88" i="18"/>
  <c r="Q79" i="18"/>
  <c r="Q95" i="18"/>
  <c r="Q66" i="18"/>
  <c r="Q78" i="18"/>
  <c r="Q44" i="18"/>
  <c r="J237" i="18"/>
  <c r="K260" i="18"/>
  <c r="H257" i="18"/>
  <c r="J263" i="18"/>
  <c r="R66" i="18"/>
  <c r="K237" i="18"/>
  <c r="Q18" i="18"/>
  <c r="Q174" i="18"/>
  <c r="R88" i="18"/>
  <c r="R79" i="18"/>
  <c r="R95" i="18"/>
  <c r="G204" i="18"/>
  <c r="G112" i="18"/>
  <c r="G187" i="18"/>
  <c r="Q48" i="18"/>
  <c r="R112" i="18"/>
  <c r="R187" i="18"/>
  <c r="R17" i="18"/>
  <c r="R181" i="18"/>
  <c r="R16" i="18"/>
  <c r="G87" i="18"/>
  <c r="G31" i="18"/>
  <c r="H268" i="18"/>
  <c r="H235" i="18"/>
  <c r="H240" i="18"/>
  <c r="H244" i="18"/>
  <c r="J234" i="18"/>
  <c r="J239" i="18"/>
  <c r="J243" i="18"/>
  <c r="J247" i="18"/>
  <c r="K238" i="18"/>
  <c r="K242" i="18"/>
  <c r="K246" i="18"/>
  <c r="H250" i="18"/>
  <c r="K248" i="18"/>
  <c r="H252" i="18"/>
  <c r="J253" i="18"/>
  <c r="H254" i="18"/>
  <c r="J255" i="18"/>
  <c r="K256" i="18"/>
  <c r="J258" i="18"/>
  <c r="K259" i="18"/>
  <c r="H267" i="18"/>
  <c r="K265" i="18"/>
  <c r="H271" i="18"/>
  <c r="J272" i="18"/>
  <c r="G12" i="18"/>
  <c r="G19" i="18"/>
  <c r="G23" i="18"/>
  <c r="G27" i="18"/>
  <c r="G32" i="18"/>
  <c r="G36" i="18"/>
  <c r="G40" i="18"/>
  <c r="G45" i="18"/>
  <c r="G50" i="18"/>
  <c r="G56" i="18"/>
  <c r="G60" i="18"/>
  <c r="G64" i="18"/>
  <c r="G69" i="18"/>
  <c r="G73" i="18"/>
  <c r="G77" i="18"/>
  <c r="G83" i="18"/>
  <c r="G89" i="18"/>
  <c r="G96" i="18"/>
  <c r="G100" i="18"/>
  <c r="G104" i="18"/>
  <c r="G108" i="18"/>
  <c r="G113" i="18"/>
  <c r="Q13" i="18"/>
  <c r="Q20" i="18"/>
  <c r="Q24" i="18"/>
  <c r="Q28" i="18"/>
  <c r="Q33" i="18"/>
  <c r="Q37" i="18"/>
  <c r="Q41" i="18"/>
  <c r="Q46" i="18"/>
  <c r="Q51" i="18"/>
  <c r="Q57" i="18"/>
  <c r="Q61" i="18"/>
  <c r="Q65" i="18"/>
  <c r="Q70" i="18"/>
  <c r="Q74" i="18"/>
  <c r="Q80" i="18"/>
  <c r="Q84" i="18"/>
  <c r="Q90" i="18"/>
  <c r="Q97" i="18"/>
  <c r="Q101" i="18"/>
  <c r="Q105" i="18"/>
  <c r="Q109" i="18"/>
  <c r="R12" i="18"/>
  <c r="R19" i="18"/>
  <c r="R23" i="18"/>
  <c r="R27" i="18"/>
  <c r="R32" i="18"/>
  <c r="R36" i="18"/>
  <c r="R40" i="18"/>
  <c r="G48" i="18"/>
  <c r="Q93" i="18"/>
  <c r="R48" i="18"/>
  <c r="G17" i="18"/>
  <c r="G181" i="18"/>
  <c r="G16" i="18"/>
  <c r="J268" i="18"/>
  <c r="H236" i="18"/>
  <c r="H241" i="18"/>
  <c r="H245" i="18"/>
  <c r="J235" i="18"/>
  <c r="J240" i="18"/>
  <c r="J244" i="18"/>
  <c r="K234" i="18"/>
  <c r="K239" i="18"/>
  <c r="K243" i="18"/>
  <c r="K247" i="18"/>
  <c r="J248" i="18"/>
  <c r="K249" i="18"/>
  <c r="Q204" i="18"/>
  <c r="G93" i="18"/>
  <c r="Q146" i="18"/>
  <c r="R93" i="18"/>
  <c r="Q87" i="18"/>
  <c r="Q31" i="18"/>
  <c r="K268" i="18"/>
  <c r="H238" i="18"/>
  <c r="H242" i="18"/>
  <c r="H246" i="18"/>
  <c r="J236" i="18"/>
  <c r="J241" i="18"/>
  <c r="J245" i="18"/>
  <c r="K235" i="18"/>
  <c r="K240" i="18"/>
  <c r="K244" i="18"/>
  <c r="H248" i="18"/>
  <c r="J249" i="18"/>
  <c r="K250" i="18"/>
  <c r="J251" i="18"/>
  <c r="K252" i="18"/>
  <c r="H256" i="18"/>
  <c r="K254" i="18"/>
  <c r="H259" i="18"/>
  <c r="J261" i="18"/>
  <c r="H265" i="18"/>
  <c r="J266" i="18"/>
  <c r="K267" i="18"/>
  <c r="J270" i="18"/>
  <c r="K271" i="18"/>
  <c r="G14" i="18"/>
  <c r="G21" i="18"/>
  <c r="G25" i="18"/>
  <c r="G29" i="18"/>
  <c r="G34" i="18"/>
  <c r="G38" i="18"/>
  <c r="G42" i="18"/>
  <c r="G47" i="18"/>
  <c r="G52" i="18"/>
  <c r="G58" i="18"/>
  <c r="G62" i="18"/>
  <c r="G67" i="18"/>
  <c r="G71" i="18"/>
  <c r="G75" i="18"/>
  <c r="G81" i="18"/>
  <c r="G85" i="18"/>
  <c r="G91" i="18"/>
  <c r="G98" i="18"/>
  <c r="G102" i="18"/>
  <c r="G106" i="18"/>
  <c r="G110" i="18"/>
  <c r="Q15" i="18"/>
  <c r="Q22" i="18"/>
  <c r="Q26" i="18"/>
  <c r="Q30" i="18"/>
  <c r="Q35" i="18"/>
  <c r="Q39" i="18"/>
  <c r="Q43" i="18"/>
  <c r="Q49" i="18"/>
  <c r="Q55" i="18"/>
  <c r="Q59" i="18"/>
  <c r="Q63" i="18"/>
  <c r="Q68" i="18"/>
  <c r="Q72" i="18"/>
  <c r="Q76" i="18"/>
  <c r="Q82" i="18"/>
  <c r="Q86" i="18"/>
  <c r="Q92" i="18"/>
  <c r="Q99" i="18"/>
  <c r="Q103" i="18"/>
  <c r="Q107" i="18"/>
  <c r="Q111" i="18"/>
  <c r="R14" i="18"/>
  <c r="R21" i="18"/>
  <c r="R31" i="18"/>
  <c r="H247" i="18"/>
  <c r="K236" i="18"/>
  <c r="J250" i="18"/>
  <c r="K251" i="18"/>
  <c r="J256" i="18"/>
  <c r="J259" i="18"/>
  <c r="J265" i="18"/>
  <c r="H272" i="18"/>
  <c r="G13" i="18"/>
  <c r="G24" i="18"/>
  <c r="G33" i="18"/>
  <c r="G41" i="18"/>
  <c r="G51" i="18"/>
  <c r="G61" i="18"/>
  <c r="G70" i="18"/>
  <c r="G80" i="18"/>
  <c r="G90" i="18"/>
  <c r="G101" i="18"/>
  <c r="G109" i="18"/>
  <c r="Q12" i="18"/>
  <c r="Q23" i="18"/>
  <c r="Q32" i="18"/>
  <c r="Q40" i="18"/>
  <c r="Q50" i="18"/>
  <c r="Q60" i="18"/>
  <c r="Q69" i="18"/>
  <c r="Q77" i="18"/>
  <c r="Q89" i="18"/>
  <c r="Q100" i="18"/>
  <c r="Q108" i="18"/>
  <c r="R15" i="18"/>
  <c r="R25" i="18"/>
  <c r="R30" i="18"/>
  <c r="R37" i="18"/>
  <c r="R42" i="18"/>
  <c r="R47" i="18"/>
  <c r="R52" i="18"/>
  <c r="R58" i="18"/>
  <c r="R62" i="18"/>
  <c r="R67" i="18"/>
  <c r="R71" i="18"/>
  <c r="R75" i="18"/>
  <c r="R81" i="18"/>
  <c r="R85" i="18"/>
  <c r="R91" i="18"/>
  <c r="R98" i="18"/>
  <c r="R102" i="18"/>
  <c r="R106" i="18"/>
  <c r="R110" i="18"/>
  <c r="G115" i="18"/>
  <c r="G119" i="18"/>
  <c r="G123" i="18"/>
  <c r="G127" i="18"/>
  <c r="G131" i="18"/>
  <c r="G135" i="18"/>
  <c r="G139" i="18"/>
  <c r="G143" i="18"/>
  <c r="G148" i="18"/>
  <c r="G152" i="18"/>
  <c r="G156" i="18"/>
  <c r="G162" i="18"/>
  <c r="G166" i="18"/>
  <c r="G173" i="18"/>
  <c r="G178" i="18"/>
  <c r="G184" i="18"/>
  <c r="G189" i="18"/>
  <c r="G193" i="18"/>
  <c r="G197" i="18"/>
  <c r="G201" i="18"/>
  <c r="G206" i="18"/>
  <c r="G53" i="18"/>
  <c r="Q116" i="18"/>
  <c r="Q120" i="18"/>
  <c r="Q124" i="18"/>
  <c r="Q128" i="18"/>
  <c r="Q132" i="18"/>
  <c r="Q136" i="18"/>
  <c r="Q140" i="18"/>
  <c r="Q144" i="18"/>
  <c r="Q149" i="18"/>
  <c r="Q153" i="18"/>
  <c r="Q159" i="18"/>
  <c r="Q163" i="18"/>
  <c r="R204" i="18"/>
  <c r="Q112" i="18"/>
  <c r="Q17" i="18"/>
  <c r="Q16" i="18"/>
  <c r="H234" i="18"/>
  <c r="J238" i="18"/>
  <c r="K241" i="18"/>
  <c r="H251" i="18"/>
  <c r="K253" i="18"/>
  <c r="K255" i="18"/>
  <c r="K258" i="18"/>
  <c r="J267" i="18"/>
  <c r="J271" i="18"/>
  <c r="G15" i="18"/>
  <c r="G26" i="18"/>
  <c r="G35" i="18"/>
  <c r="G43" i="18"/>
  <c r="G55" i="18"/>
  <c r="G63" i="18"/>
  <c r="G72" i="18"/>
  <c r="G82" i="18"/>
  <c r="G92" i="18"/>
  <c r="G103" i="18"/>
  <c r="G111" i="18"/>
  <c r="Q14" i="18"/>
  <c r="Q25" i="18"/>
  <c r="Q34" i="18"/>
  <c r="Q42" i="18"/>
  <c r="Q52" i="18"/>
  <c r="Q62" i="18"/>
  <c r="Q71" i="18"/>
  <c r="Q81" i="18"/>
  <c r="Q91" i="18"/>
  <c r="Q102" i="18"/>
  <c r="Q110" i="18"/>
  <c r="R20" i="18"/>
  <c r="R26" i="18"/>
  <c r="R33" i="18"/>
  <c r="R38" i="18"/>
  <c r="R43" i="18"/>
  <c r="R49" i="18"/>
  <c r="R55" i="18"/>
  <c r="R59" i="18"/>
  <c r="R63" i="18"/>
  <c r="R68" i="18"/>
  <c r="R72" i="18"/>
  <c r="R76" i="18"/>
  <c r="R82" i="18"/>
  <c r="R86" i="18"/>
  <c r="R92" i="18"/>
  <c r="R99" i="18"/>
  <c r="R103" i="18"/>
  <c r="R107" i="18"/>
  <c r="R111" i="18"/>
  <c r="G116" i="18"/>
  <c r="G120" i="18"/>
  <c r="G124" i="18"/>
  <c r="G128" i="18"/>
  <c r="G132" i="18"/>
  <c r="G136" i="18"/>
  <c r="G140" i="18"/>
  <c r="G144" i="18"/>
  <c r="G149" i="18"/>
  <c r="G153" i="18"/>
  <c r="G159" i="18"/>
  <c r="G163" i="18"/>
  <c r="G167" i="18"/>
  <c r="G175" i="18"/>
  <c r="G179" i="18"/>
  <c r="G185" i="18"/>
  <c r="G190" i="18"/>
  <c r="G194" i="18"/>
  <c r="G198" i="18"/>
  <c r="G202" i="18"/>
  <c r="G207" i="18"/>
  <c r="G146" i="18"/>
  <c r="Q187" i="18"/>
  <c r="R87" i="18"/>
  <c r="H239" i="18"/>
  <c r="J242" i="18"/>
  <c r="K245" i="18"/>
  <c r="H253" i="18"/>
  <c r="H255" i="18"/>
  <c r="H258" i="18"/>
  <c r="K261" i="18"/>
  <c r="K266" i="18"/>
  <c r="K270" i="18"/>
  <c r="G20" i="18"/>
  <c r="G28" i="18"/>
  <c r="G37" i="18"/>
  <c r="G46" i="18"/>
  <c r="G57" i="18"/>
  <c r="G65" i="18"/>
  <c r="G74" i="18"/>
  <c r="G84" i="18"/>
  <c r="G97" i="18"/>
  <c r="G105" i="18"/>
  <c r="Q19" i="18"/>
  <c r="Q27" i="18"/>
  <c r="Q36" i="18"/>
  <c r="Q45" i="18"/>
  <c r="Q56" i="18"/>
  <c r="Q64" i="18"/>
  <c r="Q73" i="18"/>
  <c r="Q83" i="18"/>
  <c r="Q96" i="18"/>
  <c r="Q104" i="18"/>
  <c r="Q113" i="18"/>
  <c r="R22" i="18"/>
  <c r="R28" i="18"/>
  <c r="R34" i="18"/>
  <c r="R39" i="18"/>
  <c r="R45" i="18"/>
  <c r="R50" i="18"/>
  <c r="R56" i="18"/>
  <c r="R60" i="18"/>
  <c r="R64" i="18"/>
  <c r="R69" i="18"/>
  <c r="R73" i="18"/>
  <c r="R77" i="18"/>
  <c r="R83" i="18"/>
  <c r="R89" i="18"/>
  <c r="R96" i="18"/>
  <c r="R100" i="18"/>
  <c r="R104" i="18"/>
  <c r="R108" i="18"/>
  <c r="R113" i="18"/>
  <c r="G117" i="18"/>
  <c r="G121" i="18"/>
  <c r="G125" i="18"/>
  <c r="G129" i="18"/>
  <c r="G133" i="18"/>
  <c r="G137" i="18"/>
  <c r="G141" i="18"/>
  <c r="G145" i="18"/>
  <c r="G150" i="18"/>
  <c r="G154" i="18"/>
  <c r="G160" i="18"/>
  <c r="G164" i="18"/>
  <c r="G168" i="18"/>
  <c r="G176" i="18"/>
  <c r="G180" i="18"/>
  <c r="G186" i="18"/>
  <c r="G191" i="18"/>
  <c r="G195" i="18"/>
  <c r="G199" i="18"/>
  <c r="G203" i="18"/>
  <c r="G208" i="18"/>
  <c r="Q114" i="18"/>
  <c r="Q118" i="18"/>
  <c r="Q122" i="18"/>
  <c r="Q126" i="18"/>
  <c r="Q130" i="18"/>
  <c r="Q134" i="18"/>
  <c r="Q138" i="18"/>
  <c r="Q142" i="18"/>
  <c r="Q147" i="18"/>
  <c r="Q151" i="18"/>
  <c r="Q155" i="18"/>
  <c r="Q161" i="18"/>
  <c r="J252" i="18"/>
  <c r="H270" i="18"/>
  <c r="G39" i="18"/>
  <c r="G76" i="18"/>
  <c r="Q38" i="18"/>
  <c r="Q75" i="18"/>
  <c r="R13" i="18"/>
  <c r="R41" i="18"/>
  <c r="R61" i="18"/>
  <c r="R80" i="18"/>
  <c r="R101" i="18"/>
  <c r="G118" i="18"/>
  <c r="G134" i="18"/>
  <c r="G151" i="18"/>
  <c r="G172" i="18"/>
  <c r="G192" i="18"/>
  <c r="G209" i="18"/>
  <c r="Q119" i="18"/>
  <c r="Q127" i="18"/>
  <c r="Q135" i="18"/>
  <c r="Q143" i="18"/>
  <c r="Q152" i="18"/>
  <c r="Q162" i="18"/>
  <c r="Q167" i="18"/>
  <c r="Q175" i="18"/>
  <c r="Q179" i="18"/>
  <c r="Q185" i="18"/>
  <c r="Q190" i="18"/>
  <c r="Q194" i="18"/>
  <c r="Q198" i="18"/>
  <c r="Q202" i="18"/>
  <c r="Q207" i="18"/>
  <c r="R114" i="18"/>
  <c r="R118" i="18"/>
  <c r="R122" i="18"/>
  <c r="R126" i="18"/>
  <c r="R130" i="18"/>
  <c r="R134" i="18"/>
  <c r="R138" i="18"/>
  <c r="R142" i="18"/>
  <c r="R147" i="18"/>
  <c r="R151" i="18"/>
  <c r="R155" i="18"/>
  <c r="R161" i="18"/>
  <c r="R165" i="18"/>
  <c r="R172" i="18"/>
  <c r="R177" i="18"/>
  <c r="R183" i="18"/>
  <c r="R188" i="18"/>
  <c r="R192" i="18"/>
  <c r="R196" i="18"/>
  <c r="R200" i="18"/>
  <c r="R205" i="18"/>
  <c r="R209" i="18"/>
  <c r="G157" i="18"/>
  <c r="G171" i="18"/>
  <c r="Q10" i="18"/>
  <c r="Q169" i="18"/>
  <c r="R10" i="18"/>
  <c r="R169" i="18"/>
  <c r="Q58" i="18"/>
  <c r="R90" i="18"/>
  <c r="G183" i="18"/>
  <c r="Q123" i="18"/>
  <c r="Q148" i="18"/>
  <c r="Q172" i="18"/>
  <c r="Q188" i="18"/>
  <c r="Q200" i="18"/>
  <c r="R116" i="18"/>
  <c r="R128" i="18"/>
  <c r="R140" i="18"/>
  <c r="R153" i="18"/>
  <c r="R167" i="18"/>
  <c r="R185" i="18"/>
  <c r="R198" i="18"/>
  <c r="G169" i="18"/>
  <c r="Q157" i="18"/>
  <c r="R171" i="18"/>
  <c r="Q29" i="18"/>
  <c r="R74" i="18"/>
  <c r="H243" i="18"/>
  <c r="J254" i="18"/>
  <c r="K272" i="18"/>
  <c r="G49" i="18"/>
  <c r="G86" i="18"/>
  <c r="Q47" i="18"/>
  <c r="Q85" i="18"/>
  <c r="R24" i="18"/>
  <c r="R46" i="18"/>
  <c r="R65" i="18"/>
  <c r="R84" i="18"/>
  <c r="R105" i="18"/>
  <c r="G122" i="18"/>
  <c r="G138" i="18"/>
  <c r="G155" i="18"/>
  <c r="G177" i="18"/>
  <c r="G196" i="18"/>
  <c r="Q121" i="18"/>
  <c r="Q129" i="18"/>
  <c r="Q137" i="18"/>
  <c r="Q145" i="18"/>
  <c r="Q154" i="18"/>
  <c r="Q164" i="18"/>
  <c r="Q168" i="18"/>
  <c r="Q176" i="18"/>
  <c r="Q180" i="18"/>
  <c r="Q186" i="18"/>
  <c r="Q191" i="18"/>
  <c r="Q195" i="18"/>
  <c r="Q199" i="18"/>
  <c r="Q203" i="18"/>
  <c r="Q208" i="18"/>
  <c r="R115" i="18"/>
  <c r="R119" i="18"/>
  <c r="R123" i="18"/>
  <c r="R127" i="18"/>
  <c r="R131" i="18"/>
  <c r="R135" i="18"/>
  <c r="R139" i="18"/>
  <c r="R143" i="18"/>
  <c r="R148" i="18"/>
  <c r="R152" i="18"/>
  <c r="R156" i="18"/>
  <c r="R162" i="18"/>
  <c r="R166" i="18"/>
  <c r="R173" i="18"/>
  <c r="R178" i="18"/>
  <c r="R184" i="18"/>
  <c r="R189" i="18"/>
  <c r="R193" i="18"/>
  <c r="R197" i="18"/>
  <c r="R201" i="18"/>
  <c r="R206" i="18"/>
  <c r="R53" i="18"/>
  <c r="G158" i="18"/>
  <c r="G54" i="18"/>
  <c r="Q11" i="18"/>
  <c r="Q170" i="18"/>
  <c r="R11" i="18"/>
  <c r="R170" i="18"/>
  <c r="G99" i="18"/>
  <c r="Q98" i="18"/>
  <c r="R51" i="18"/>
  <c r="G126" i="18"/>
  <c r="G142" i="18"/>
  <c r="G200" i="18"/>
  <c r="Q131" i="18"/>
  <c r="Q156" i="18"/>
  <c r="Q177" i="18"/>
  <c r="Q192" i="18"/>
  <c r="Q205" i="18"/>
  <c r="R120" i="18"/>
  <c r="R132" i="18"/>
  <c r="R144" i="18"/>
  <c r="R159" i="18"/>
  <c r="R175" i="18"/>
  <c r="R190" i="18"/>
  <c r="R202" i="18"/>
  <c r="G10" i="18"/>
  <c r="Q171" i="18"/>
  <c r="H249" i="18"/>
  <c r="H266" i="18"/>
  <c r="G68" i="18"/>
  <c r="Q106" i="18"/>
  <c r="R35" i="18"/>
  <c r="Q181" i="18"/>
  <c r="J246" i="18"/>
  <c r="H261" i="18"/>
  <c r="G22" i="18"/>
  <c r="G59" i="18"/>
  <c r="Q21" i="18"/>
  <c r="R29" i="18"/>
  <c r="R70" i="18"/>
  <c r="R109" i="18"/>
  <c r="G161" i="18"/>
  <c r="Q115" i="18"/>
  <c r="Q139" i="18"/>
  <c r="Q165" i="18"/>
  <c r="Q183" i="18"/>
  <c r="Q196" i="18"/>
  <c r="Q209" i="18"/>
  <c r="R124" i="18"/>
  <c r="R136" i="18"/>
  <c r="R149" i="18"/>
  <c r="R163" i="18"/>
  <c r="R179" i="18"/>
  <c r="R194" i="18"/>
  <c r="R207" i="18"/>
  <c r="R157" i="18"/>
  <c r="R146" i="18"/>
  <c r="G30" i="18"/>
  <c r="G107" i="18"/>
  <c r="Q67" i="18"/>
  <c r="R57" i="18"/>
  <c r="G147" i="18"/>
  <c r="Q141" i="18"/>
  <c r="Q173" i="18"/>
  <c r="Q193" i="18"/>
  <c r="Q53" i="18"/>
  <c r="R129" i="18"/>
  <c r="R145" i="18"/>
  <c r="R164" i="18"/>
  <c r="R186" i="18"/>
  <c r="R203" i="18"/>
  <c r="R158" i="18"/>
  <c r="Q178" i="18"/>
  <c r="Q197" i="18"/>
  <c r="R117" i="18"/>
  <c r="R133" i="18"/>
  <c r="R150" i="18"/>
  <c r="R191" i="18"/>
  <c r="R208" i="18"/>
  <c r="R54" i="18"/>
  <c r="R154" i="18"/>
  <c r="R195" i="18"/>
  <c r="Q158" i="18"/>
  <c r="G130" i="18"/>
  <c r="Q166" i="18"/>
  <c r="Q206" i="18"/>
  <c r="R141" i="18"/>
  <c r="R180" i="18"/>
  <c r="Q54" i="18"/>
  <c r="R97" i="18"/>
  <c r="G165" i="18"/>
  <c r="Q117" i="18"/>
  <c r="Q150" i="18"/>
  <c r="R168" i="18"/>
  <c r="R160" i="18"/>
  <c r="G114" i="18"/>
  <c r="G188" i="18"/>
  <c r="Q125" i="18"/>
  <c r="Q160" i="18"/>
  <c r="Q184" i="18"/>
  <c r="Q201" i="18"/>
  <c r="R121" i="18"/>
  <c r="R137" i="18"/>
  <c r="R176" i="18"/>
  <c r="G11" i="18"/>
  <c r="G205" i="18"/>
  <c r="Q133" i="18"/>
  <c r="Q189" i="18"/>
  <c r="R125" i="18"/>
  <c r="R199" i="18"/>
  <c r="G170" i="18"/>
  <c r="G226" i="15"/>
  <c r="G227" i="15"/>
  <c r="G228" i="15"/>
  <c r="G229" i="15"/>
  <c r="G230" i="15"/>
  <c r="G231" i="15"/>
  <c r="Q87" i="15"/>
  <c r="R87" i="15"/>
  <c r="G74" i="15"/>
  <c r="Q74" i="15"/>
  <c r="G57" i="15"/>
  <c r="G88" i="15"/>
  <c r="Q88" i="15"/>
  <c r="R88" i="15"/>
  <c r="G128" i="15"/>
  <c r="Q128" i="15"/>
  <c r="R128" i="15"/>
  <c r="G127" i="15"/>
  <c r="R127" i="15"/>
  <c r="G87" i="15"/>
  <c r="G86" i="15"/>
  <c r="Q86" i="15"/>
  <c r="R86" i="15"/>
  <c r="R74" i="15"/>
  <c r="G79" i="15"/>
  <c r="Q79" i="15"/>
  <c r="R79" i="15"/>
  <c r="R57" i="15"/>
  <c r="G76" i="15"/>
  <c r="G52" i="15"/>
  <c r="Q52" i="15"/>
  <c r="R52" i="15"/>
  <c r="G34" i="15"/>
  <c r="Q34" i="15"/>
  <c r="R34" i="15"/>
  <c r="Q127" i="15"/>
  <c r="Q57" i="15"/>
  <c r="G119" i="15"/>
  <c r="G114" i="15"/>
  <c r="G97" i="15"/>
  <c r="G96" i="15"/>
  <c r="G126" i="15"/>
  <c r="G92" i="15"/>
  <c r="G91" i="15"/>
  <c r="R91" i="15"/>
  <c r="R90" i="15"/>
  <c r="R89" i="15"/>
  <c r="R125" i="15"/>
  <c r="H198" i="15"/>
  <c r="J198" i="15"/>
  <c r="K198" i="15"/>
  <c r="H194" i="15"/>
  <c r="J194" i="15"/>
  <c r="K194" i="15"/>
  <c r="H200" i="15"/>
  <c r="J200" i="15"/>
  <c r="K200" i="15"/>
  <c r="H205" i="15"/>
  <c r="J205" i="15"/>
  <c r="K205" i="15"/>
  <c r="H207" i="15"/>
  <c r="J207" i="15"/>
  <c r="K207" i="15"/>
  <c r="H212" i="15"/>
  <c r="J212" i="15"/>
  <c r="K212" i="15"/>
  <c r="G144" i="15"/>
  <c r="G105" i="15"/>
  <c r="G25" i="15"/>
  <c r="G93" i="15"/>
  <c r="Q144" i="15"/>
  <c r="Q105" i="15"/>
  <c r="Q25" i="15"/>
  <c r="Q93" i="15"/>
  <c r="R27" i="15"/>
  <c r="R150" i="15"/>
  <c r="R14" i="15"/>
  <c r="R19" i="15"/>
  <c r="R39" i="15"/>
  <c r="G75" i="15"/>
  <c r="G154" i="15"/>
  <c r="G130" i="15"/>
  <c r="G78" i="15"/>
  <c r="Q75" i="15"/>
  <c r="Q154" i="15"/>
  <c r="Q130" i="15"/>
  <c r="Q78" i="15"/>
  <c r="R109" i="15"/>
  <c r="R72" i="15"/>
  <c r="R40" i="15"/>
  <c r="R116" i="15"/>
  <c r="R101" i="15"/>
  <c r="G9" i="15"/>
  <c r="G45" i="15"/>
  <c r="G166" i="15"/>
  <c r="G54" i="15"/>
  <c r="Q9" i="15"/>
  <c r="Q45" i="15"/>
  <c r="Q166" i="15"/>
  <c r="Q54" i="15"/>
  <c r="R102" i="15"/>
  <c r="R143" i="15"/>
  <c r="R85" i="15"/>
  <c r="R168" i="15"/>
  <c r="R70" i="15"/>
  <c r="G94" i="15"/>
  <c r="G46" i="15"/>
  <c r="G32" i="15"/>
  <c r="G113" i="15"/>
  <c r="Q69" i="15"/>
  <c r="Q135" i="15"/>
  <c r="Q65" i="15"/>
  <c r="Q24" i="15"/>
  <c r="Q11" i="15"/>
  <c r="R95" i="15"/>
  <c r="R41" i="15"/>
  <c r="R129" i="15"/>
  <c r="R141" i="15"/>
  <c r="G122" i="15"/>
  <c r="G117" i="15"/>
  <c r="G23" i="15"/>
  <c r="Q151" i="15"/>
  <c r="G90" i="15"/>
  <c r="G89" i="15"/>
  <c r="G125" i="15"/>
  <c r="H193" i="15"/>
  <c r="J193" i="15"/>
  <c r="K193" i="15"/>
  <c r="H190" i="15"/>
  <c r="J190" i="15"/>
  <c r="K190" i="15"/>
  <c r="H195" i="15"/>
  <c r="J195" i="15"/>
  <c r="K195" i="15"/>
  <c r="H201" i="15"/>
  <c r="J201" i="15"/>
  <c r="K201" i="15"/>
  <c r="H203" i="15"/>
  <c r="J203" i="15"/>
  <c r="K203" i="15"/>
  <c r="H209" i="15"/>
  <c r="J209" i="15"/>
  <c r="K209" i="15"/>
  <c r="G26" i="15"/>
  <c r="G106" i="15"/>
  <c r="G51" i="15"/>
  <c r="G160" i="15"/>
  <c r="G56" i="15"/>
  <c r="Q26" i="15"/>
  <c r="Q106" i="15"/>
  <c r="Q51" i="15"/>
  <c r="Q160" i="15"/>
  <c r="Q56" i="15"/>
  <c r="R120" i="15"/>
  <c r="R30" i="15"/>
  <c r="R67" i="15"/>
  <c r="R146" i="15"/>
  <c r="G162" i="15"/>
  <c r="G138" i="15"/>
  <c r="G155" i="15"/>
  <c r="G44" i="15"/>
  <c r="G43" i="15"/>
  <c r="Q162" i="15"/>
  <c r="Q138" i="15"/>
  <c r="Q155" i="15"/>
  <c r="Q44" i="15"/>
  <c r="Q43" i="15"/>
  <c r="R115" i="15"/>
  <c r="R58" i="15"/>
  <c r="R60" i="15"/>
  <c r="R137" i="15"/>
  <c r="G103" i="15"/>
  <c r="G147" i="15"/>
  <c r="G108" i="15"/>
  <c r="G167" i="15"/>
  <c r="G164" i="15"/>
  <c r="Q103" i="15"/>
  <c r="Q147" i="15"/>
  <c r="Q108" i="15"/>
  <c r="Q167" i="15"/>
  <c r="Q164" i="15"/>
  <c r="R121" i="15"/>
  <c r="R33" i="15"/>
  <c r="R165" i="15"/>
  <c r="R53" i="15"/>
  <c r="G69" i="15"/>
  <c r="G135" i="15"/>
  <c r="G65" i="15"/>
  <c r="G24" i="15"/>
  <c r="G11" i="15"/>
  <c r="Q71" i="15"/>
  <c r="Q18" i="15"/>
  <c r="Q98" i="15"/>
  <c r="Q10" i="15"/>
  <c r="Q131" i="15"/>
  <c r="R94" i="15"/>
  <c r="R46" i="15"/>
  <c r="R32" i="15"/>
  <c r="R113" i="15"/>
  <c r="G152" i="15"/>
  <c r="G61" i="15"/>
  <c r="G107" i="15"/>
  <c r="Q119" i="15"/>
  <c r="Q114" i="15"/>
  <c r="Q97" i="15"/>
  <c r="Q96" i="15"/>
  <c r="Q126" i="15"/>
  <c r="Q92" i="15"/>
  <c r="H199" i="15"/>
  <c r="J199" i="15"/>
  <c r="K199" i="15"/>
  <c r="H191" i="15"/>
  <c r="J191" i="15"/>
  <c r="K191" i="15"/>
  <c r="H196" i="15"/>
  <c r="J196" i="15"/>
  <c r="K196" i="15"/>
  <c r="H210" i="15"/>
  <c r="J210" i="15"/>
  <c r="K210" i="15"/>
  <c r="H206" i="15"/>
  <c r="J206" i="15"/>
  <c r="K206" i="15"/>
  <c r="H208" i="15"/>
  <c r="J208" i="15"/>
  <c r="K208" i="15"/>
  <c r="G27" i="15"/>
  <c r="G150" i="15"/>
  <c r="G14" i="15"/>
  <c r="G19" i="15"/>
  <c r="G39" i="15"/>
  <c r="Q27" i="15"/>
  <c r="Q150" i="15"/>
  <c r="Q14" i="15"/>
  <c r="Q19" i="15"/>
  <c r="Q39" i="15"/>
  <c r="R144" i="15"/>
  <c r="R105" i="15"/>
  <c r="R25" i="15"/>
  <c r="R93" i="15"/>
  <c r="G109" i="15"/>
  <c r="G72" i="15"/>
  <c r="G40" i="15"/>
  <c r="G116" i="15"/>
  <c r="G101" i="15"/>
  <c r="Q109" i="15"/>
  <c r="Q72" i="15"/>
  <c r="Q40" i="15"/>
  <c r="Q116" i="15"/>
  <c r="Q101" i="15"/>
  <c r="R75" i="15"/>
  <c r="R154" i="15"/>
  <c r="R130" i="15"/>
  <c r="R78" i="15"/>
  <c r="G102" i="15"/>
  <c r="G143" i="15"/>
  <c r="G85" i="15"/>
  <c r="G168" i="15"/>
  <c r="G70" i="15"/>
  <c r="Q102" i="15"/>
  <c r="Q143" i="15"/>
  <c r="Q85" i="15"/>
  <c r="Q168" i="15"/>
  <c r="Q70" i="15"/>
  <c r="R9" i="15"/>
  <c r="R45" i="15"/>
  <c r="R166" i="15"/>
  <c r="R54" i="15"/>
  <c r="G71" i="15"/>
  <c r="G18" i="15"/>
  <c r="G98" i="15"/>
  <c r="G10" i="15"/>
  <c r="G131" i="15"/>
  <c r="Q95" i="15"/>
  <c r="Q41" i="15"/>
  <c r="Q129" i="15"/>
  <c r="Q141" i="15"/>
  <c r="R69" i="15"/>
  <c r="R135" i="15"/>
  <c r="R65" i="15"/>
  <c r="R24" i="15"/>
  <c r="R11" i="15"/>
  <c r="G151" i="15"/>
  <c r="G139" i="15"/>
  <c r="Q122" i="15"/>
  <c r="R119" i="15"/>
  <c r="R114" i="15"/>
  <c r="R97" i="15"/>
  <c r="R96" i="15"/>
  <c r="R126" i="15"/>
  <c r="R92" i="15"/>
  <c r="Q91" i="15"/>
  <c r="Q90" i="15"/>
  <c r="Q89" i="15"/>
  <c r="Q125" i="15"/>
  <c r="H192" i="15"/>
  <c r="J192" i="15"/>
  <c r="K192" i="15"/>
  <c r="H197" i="15"/>
  <c r="K197" i="15"/>
  <c r="H202" i="15"/>
  <c r="J211" i="15"/>
  <c r="G67" i="15"/>
  <c r="Q120" i="15"/>
  <c r="R26" i="15"/>
  <c r="R56" i="15"/>
  <c r="G137" i="15"/>
  <c r="Q58" i="15"/>
  <c r="R138" i="15"/>
  <c r="G121" i="15"/>
  <c r="Q165" i="15"/>
  <c r="R108" i="15"/>
  <c r="G41" i="15"/>
  <c r="Q94" i="15"/>
  <c r="R71" i="15"/>
  <c r="R131" i="15"/>
  <c r="Q153" i="15"/>
  <c r="Q22" i="15"/>
  <c r="R152" i="15"/>
  <c r="R61" i="15"/>
  <c r="R107" i="15"/>
  <c r="G37" i="15"/>
  <c r="G83" i="15"/>
  <c r="Q37" i="15"/>
  <c r="Q83" i="15"/>
  <c r="R20" i="15"/>
  <c r="R134" i="15"/>
  <c r="R84" i="15"/>
  <c r="G21" i="15"/>
  <c r="G158" i="15"/>
  <c r="Q77" i="15"/>
  <c r="Q13" i="15"/>
  <c r="Q112" i="15"/>
  <c r="R21" i="15"/>
  <c r="R158" i="15"/>
  <c r="G48" i="15"/>
  <c r="G15" i="15"/>
  <c r="G16" i="15"/>
  <c r="Q48" i="15"/>
  <c r="Q15" i="15"/>
  <c r="Q16" i="15"/>
  <c r="R156" i="15"/>
  <c r="R17" i="15"/>
  <c r="G140" i="15"/>
  <c r="G66" i="15"/>
  <c r="G100" i="15"/>
  <c r="G99" i="15"/>
  <c r="G68" i="15"/>
  <c r="Q82" i="15"/>
  <c r="Q133" i="15"/>
  <c r="Q49" i="15"/>
  <c r="Q149" i="15"/>
  <c r="Q28" i="15"/>
  <c r="R80" i="15"/>
  <c r="R12" i="15"/>
  <c r="R38" i="15"/>
  <c r="R157" i="15"/>
  <c r="H204" i="15"/>
  <c r="J202" i="15"/>
  <c r="K211" i="15"/>
  <c r="G146" i="15"/>
  <c r="Q30" i="15"/>
  <c r="R106" i="15"/>
  <c r="G115" i="15"/>
  <c r="Q60" i="15"/>
  <c r="R155" i="15"/>
  <c r="G33" i="15"/>
  <c r="Q53" i="15"/>
  <c r="R167" i="15"/>
  <c r="G129" i="15"/>
  <c r="Q46" i="15"/>
  <c r="R18" i="15"/>
  <c r="G153" i="15"/>
  <c r="Q117" i="15"/>
  <c r="Q23" i="15"/>
  <c r="R151" i="15"/>
  <c r="R139" i="15"/>
  <c r="G47" i="15"/>
  <c r="G161" i="15"/>
  <c r="G163" i="15"/>
  <c r="Q47" i="15"/>
  <c r="Q161" i="15"/>
  <c r="Q163" i="15"/>
  <c r="R35" i="15"/>
  <c r="R159" i="15"/>
  <c r="G136" i="15"/>
  <c r="G110" i="15"/>
  <c r="G132" i="15"/>
  <c r="Q145" i="15"/>
  <c r="Q42" i="15"/>
  <c r="R136" i="15"/>
  <c r="R110" i="15"/>
  <c r="R132" i="15"/>
  <c r="G148" i="15"/>
  <c r="G73" i="15"/>
  <c r="Q148" i="15"/>
  <c r="Q73" i="15"/>
  <c r="R142" i="15"/>
  <c r="R111" i="15"/>
  <c r="R104" i="15"/>
  <c r="G80" i="15"/>
  <c r="G12" i="15"/>
  <c r="G38" i="15"/>
  <c r="G55" i="15"/>
  <c r="G157" i="15"/>
  <c r="Q36" i="15"/>
  <c r="Q81" i="15"/>
  <c r="Q62" i="15"/>
  <c r="Q50" i="15"/>
  <c r="Q123" i="15"/>
  <c r="Q29" i="15"/>
  <c r="R82" i="15"/>
  <c r="R133" i="15"/>
  <c r="R49" i="15"/>
  <c r="R149" i="15"/>
  <c r="R28" i="15"/>
  <c r="J204" i="15"/>
  <c r="K202" i="15"/>
  <c r="G120" i="15"/>
  <c r="Q67" i="15"/>
  <c r="R51" i="15"/>
  <c r="G58" i="15"/>
  <c r="Q137" i="15"/>
  <c r="R44" i="15"/>
  <c r="G165" i="15"/>
  <c r="Q121" i="15"/>
  <c r="R103" i="15"/>
  <c r="R164" i="15"/>
  <c r="G141" i="15"/>
  <c r="Q32" i="15"/>
  <c r="R98" i="15"/>
  <c r="G22" i="15"/>
  <c r="Q61" i="15"/>
  <c r="Q107" i="15"/>
  <c r="R153" i="15"/>
  <c r="R22" i="15"/>
  <c r="G20" i="15"/>
  <c r="G134" i="15"/>
  <c r="G84" i="15"/>
  <c r="Q20" i="15"/>
  <c r="Q134" i="15"/>
  <c r="Q84" i="15"/>
  <c r="R37" i="15"/>
  <c r="R83" i="15"/>
  <c r="G77" i="15"/>
  <c r="G13" i="15"/>
  <c r="G112" i="15"/>
  <c r="Q21" i="15"/>
  <c r="Q158" i="15"/>
  <c r="R77" i="15"/>
  <c r="R13" i="15"/>
  <c r="R112" i="15"/>
  <c r="G156" i="15"/>
  <c r="G17" i="15"/>
  <c r="Q156" i="15"/>
  <c r="Q17" i="15"/>
  <c r="R48" i="15"/>
  <c r="R15" i="15"/>
  <c r="R16" i="15"/>
  <c r="G82" i="15"/>
  <c r="G133" i="15"/>
  <c r="G49" i="15"/>
  <c r="G149" i="15"/>
  <c r="G28" i="15"/>
  <c r="Q140" i="15"/>
  <c r="Q66" i="15"/>
  <c r="Q100" i="15"/>
  <c r="Q99" i="15"/>
  <c r="Q68" i="15"/>
  <c r="R36" i="15"/>
  <c r="R81" i="15"/>
  <c r="R62" i="15"/>
  <c r="R50" i="15"/>
  <c r="R123" i="15"/>
  <c r="R29" i="15"/>
  <c r="R55" i="15"/>
  <c r="J197" i="15"/>
  <c r="K204" i="15"/>
  <c r="H211" i="15"/>
  <c r="G30" i="15"/>
  <c r="Q146" i="15"/>
  <c r="R160" i="15"/>
  <c r="G60" i="15"/>
  <c r="Q115" i="15"/>
  <c r="R162" i="15"/>
  <c r="R43" i="15"/>
  <c r="G53" i="15"/>
  <c r="Q33" i="15"/>
  <c r="R147" i="15"/>
  <c r="G95" i="15"/>
  <c r="Q113" i="15"/>
  <c r="R10" i="15"/>
  <c r="Q152" i="15"/>
  <c r="Q139" i="15"/>
  <c r="R122" i="15"/>
  <c r="R117" i="15"/>
  <c r="R23" i="15"/>
  <c r="G35" i="15"/>
  <c r="G159" i="15"/>
  <c r="Q35" i="15"/>
  <c r="Q159" i="15"/>
  <c r="R47" i="15"/>
  <c r="R161" i="15"/>
  <c r="R163" i="15"/>
  <c r="G145" i="15"/>
  <c r="G42" i="15"/>
  <c r="Q136" i="15"/>
  <c r="Q110" i="15"/>
  <c r="Q132" i="15"/>
  <c r="R145" i="15"/>
  <c r="R42" i="15"/>
  <c r="G142" i="15"/>
  <c r="G111" i="15"/>
  <c r="G104" i="15"/>
  <c r="Q142" i="15"/>
  <c r="Q111" i="15"/>
  <c r="Q104" i="15"/>
  <c r="R148" i="15"/>
  <c r="R73" i="15"/>
  <c r="G36" i="15"/>
  <c r="G81" i="15"/>
  <c r="G62" i="15"/>
  <c r="G50" i="15"/>
  <c r="G123" i="15"/>
  <c r="G29" i="15"/>
  <c r="Q80" i="15"/>
  <c r="Q12" i="15"/>
  <c r="Q38" i="15"/>
  <c r="Q55" i="15"/>
  <c r="Q157" i="15"/>
  <c r="R140" i="15"/>
  <c r="R66" i="15"/>
  <c r="R100" i="15"/>
  <c r="R99" i="15"/>
  <c r="R68" i="15"/>
  <c r="G142" i="13"/>
  <c r="Q142" i="13"/>
  <c r="G130" i="13"/>
  <c r="Q130" i="13"/>
  <c r="G171" i="13"/>
  <c r="Q171" i="13"/>
  <c r="G113" i="13"/>
  <c r="Q113" i="13"/>
  <c r="G120" i="13"/>
  <c r="Q120" i="13"/>
  <c r="G119" i="13"/>
  <c r="Q119" i="13"/>
  <c r="J201" i="13"/>
  <c r="R142" i="13"/>
  <c r="R130" i="13"/>
  <c r="R171" i="13"/>
  <c r="R113" i="13"/>
  <c r="R120" i="13"/>
  <c r="R119" i="13"/>
  <c r="H201" i="13"/>
  <c r="K201" i="13"/>
  <c r="G118" i="13"/>
  <c r="Q118" i="13"/>
  <c r="G144" i="13"/>
  <c r="Q144" i="13"/>
  <c r="R118" i="13"/>
  <c r="R144" i="13"/>
  <c r="R50" i="13"/>
  <c r="R34" i="13"/>
  <c r="G50" i="13"/>
  <c r="Q50" i="13"/>
  <c r="G34" i="13"/>
  <c r="Q34" i="13"/>
  <c r="H197" i="13"/>
  <c r="J197" i="13"/>
  <c r="K197" i="13"/>
  <c r="H191" i="13"/>
  <c r="J191" i="13"/>
  <c r="K191" i="13"/>
  <c r="H193" i="13"/>
  <c r="K193" i="13"/>
  <c r="G32" i="13"/>
  <c r="Q32" i="13"/>
  <c r="J193" i="13"/>
  <c r="R32" i="13"/>
  <c r="G161" i="13"/>
  <c r="Q161" i="13"/>
  <c r="R161" i="13"/>
  <c r="H189" i="13"/>
  <c r="H194" i="13"/>
  <c r="J189" i="13"/>
  <c r="J194" i="13"/>
  <c r="K189" i="13"/>
  <c r="K194" i="13"/>
  <c r="H196" i="13"/>
  <c r="H199" i="13"/>
  <c r="J196" i="13"/>
  <c r="J199" i="13"/>
  <c r="K196" i="13"/>
  <c r="K199" i="13"/>
  <c r="H202" i="13"/>
  <c r="H205" i="13"/>
  <c r="J202" i="13"/>
  <c r="J205" i="13"/>
  <c r="K202" i="13"/>
  <c r="K205" i="13"/>
  <c r="H192" i="13"/>
  <c r="J192" i="13"/>
  <c r="K192" i="13"/>
  <c r="G13" i="13"/>
  <c r="G9" i="13"/>
  <c r="G16" i="13"/>
  <c r="G22" i="13"/>
  <c r="G21" i="13"/>
  <c r="G20" i="13"/>
  <c r="G27" i="13"/>
  <c r="G28" i="13"/>
  <c r="G37" i="13"/>
  <c r="G35" i="13"/>
  <c r="G30" i="13"/>
  <c r="G41" i="13"/>
  <c r="G38" i="13"/>
  <c r="G46" i="13"/>
  <c r="G49" i="13"/>
  <c r="G44" i="13"/>
  <c r="G52" i="13"/>
  <c r="Q10" i="13"/>
  <c r="Q12" i="13"/>
  <c r="Q23" i="13"/>
  <c r="Q18" i="13"/>
  <c r="Q17" i="13"/>
  <c r="Q24" i="13"/>
  <c r="Q25" i="13"/>
  <c r="Q36" i="13"/>
  <c r="Q31" i="13"/>
  <c r="Q29" i="13"/>
  <c r="Q42" i="13"/>
  <c r="Q39" i="13"/>
  <c r="Q45" i="13"/>
  <c r="Q47" i="13"/>
  <c r="Q48" i="13"/>
  <c r="Q43" i="13"/>
  <c r="R13" i="13"/>
  <c r="R9" i="13"/>
  <c r="R16" i="13"/>
  <c r="R22" i="13"/>
  <c r="R21" i="13"/>
  <c r="R20" i="13"/>
  <c r="R27" i="13"/>
  <c r="R28" i="13"/>
  <c r="R37" i="13"/>
  <c r="R35" i="13"/>
  <c r="R30" i="13"/>
  <c r="R41" i="13"/>
  <c r="R38" i="13"/>
  <c r="R46" i="13"/>
  <c r="R49" i="13"/>
  <c r="R44" i="13"/>
  <c r="R52" i="13"/>
  <c r="G59" i="13"/>
  <c r="G54" i="13"/>
  <c r="G55" i="13"/>
  <c r="G62" i="13"/>
  <c r="G67" i="13"/>
  <c r="G68" i="13"/>
  <c r="G71" i="13"/>
  <c r="G74" i="13"/>
  <c r="G75" i="13"/>
  <c r="G77" i="13"/>
  <c r="G79" i="13"/>
  <c r="H190" i="13"/>
  <c r="H195" i="13"/>
  <c r="J190" i="13"/>
  <c r="J195" i="13"/>
  <c r="K190" i="13"/>
  <c r="K195" i="13"/>
  <c r="H198" i="13"/>
  <c r="H200" i="13"/>
  <c r="J198" i="13"/>
  <c r="J200" i="13"/>
  <c r="K198" i="13"/>
  <c r="K200" i="13"/>
  <c r="H203" i="13"/>
  <c r="H206" i="13"/>
  <c r="J203" i="13"/>
  <c r="J206" i="13"/>
  <c r="K203" i="13"/>
  <c r="K206" i="13"/>
  <c r="H204" i="13"/>
  <c r="J204" i="13"/>
  <c r="K204" i="13"/>
  <c r="G10" i="13"/>
  <c r="G12" i="13"/>
  <c r="G23" i="13"/>
  <c r="G18" i="13"/>
  <c r="G17" i="13"/>
  <c r="G24" i="13"/>
  <c r="G25" i="13"/>
  <c r="G36" i="13"/>
  <c r="G31" i="13"/>
  <c r="G29" i="13"/>
  <c r="G42" i="13"/>
  <c r="G39" i="13"/>
  <c r="G45" i="13"/>
  <c r="G47" i="13"/>
  <c r="G48" i="13"/>
  <c r="G43" i="13"/>
  <c r="Q13" i="13"/>
  <c r="Q9" i="13"/>
  <c r="Q16" i="13"/>
  <c r="Q22" i="13"/>
  <c r="Q21" i="13"/>
  <c r="Q20" i="13"/>
  <c r="Q27" i="13"/>
  <c r="Q28" i="13"/>
  <c r="Q37" i="13"/>
  <c r="Q35" i="13"/>
  <c r="Q30" i="13"/>
  <c r="Q41" i="13"/>
  <c r="Q38" i="13"/>
  <c r="Q46" i="13"/>
  <c r="Q49" i="13"/>
  <c r="Q44" i="13"/>
  <c r="Q52" i="13"/>
  <c r="R10" i="13"/>
  <c r="R12" i="13"/>
  <c r="R23" i="13"/>
  <c r="R18" i="13"/>
  <c r="R17" i="13"/>
  <c r="R24" i="13"/>
  <c r="R25" i="13"/>
  <c r="R36" i="13"/>
  <c r="R31" i="13"/>
  <c r="R29" i="13"/>
  <c r="R42" i="13"/>
  <c r="R39" i="13"/>
  <c r="R45" i="13"/>
  <c r="R47" i="13"/>
  <c r="R48" i="13"/>
  <c r="R43" i="13"/>
  <c r="G53" i="13"/>
  <c r="G56" i="13"/>
  <c r="G51" i="13"/>
  <c r="G66" i="13"/>
  <c r="G64" i="13"/>
  <c r="G65" i="13"/>
  <c r="G72" i="13"/>
  <c r="G70" i="13"/>
  <c r="G73" i="13"/>
  <c r="G78" i="13"/>
  <c r="G76" i="13"/>
  <c r="G85" i="13"/>
  <c r="G86" i="13"/>
  <c r="G83" i="13"/>
  <c r="G82" i="13"/>
  <c r="G94" i="13"/>
  <c r="G91" i="13"/>
  <c r="G90" i="13"/>
  <c r="G87" i="13"/>
  <c r="Q59" i="13"/>
  <c r="Q54" i="13"/>
  <c r="Q55" i="13"/>
  <c r="Q62" i="13"/>
  <c r="Q67" i="13"/>
  <c r="Q68" i="13"/>
  <c r="Q71" i="13"/>
  <c r="Q74" i="13"/>
  <c r="Q75" i="13"/>
  <c r="Q77" i="13"/>
  <c r="Q79" i="13"/>
  <c r="Q94" i="13"/>
  <c r="Q84" i="13"/>
  <c r="Q91" i="13"/>
  <c r="Q88" i="13"/>
  <c r="Q89" i="13"/>
  <c r="R53" i="13"/>
  <c r="R56" i="13"/>
  <c r="R51" i="13"/>
  <c r="R66" i="13"/>
  <c r="R64" i="13"/>
  <c r="R65" i="13"/>
  <c r="R72" i="13"/>
  <c r="R70" i="13"/>
  <c r="R73" i="13"/>
  <c r="R78" i="13"/>
  <c r="R76" i="13"/>
  <c r="R85" i="13"/>
  <c r="R86" i="13"/>
  <c r="R83" i="13"/>
  <c r="R82" i="13"/>
  <c r="R90" i="13"/>
  <c r="R87" i="13"/>
  <c r="G92" i="13"/>
  <c r="G96" i="13"/>
  <c r="G98" i="13"/>
  <c r="G102" i="13"/>
  <c r="G109" i="13"/>
  <c r="G108" i="13"/>
  <c r="G104" i="13"/>
  <c r="G116" i="13"/>
  <c r="G112" i="13"/>
  <c r="G123" i="13"/>
  <c r="G127" i="13"/>
  <c r="G128" i="13"/>
  <c r="G131" i="13"/>
  <c r="G134" i="13"/>
  <c r="G137" i="13"/>
  <c r="G136" i="13"/>
  <c r="Q92" i="13"/>
  <c r="Q96" i="13"/>
  <c r="Q98" i="13"/>
  <c r="Q102" i="13"/>
  <c r="Q109" i="13"/>
  <c r="Q108" i="13"/>
  <c r="Q104" i="13"/>
  <c r="Q116" i="13"/>
  <c r="Q112" i="13"/>
  <c r="Q123" i="13"/>
  <c r="Q127" i="13"/>
  <c r="Q128" i="13"/>
  <c r="Q131" i="13"/>
  <c r="Q134" i="13"/>
  <c r="Q137" i="13"/>
  <c r="Q136" i="13"/>
  <c r="R81" i="13"/>
  <c r="R95" i="13"/>
  <c r="R99" i="13"/>
  <c r="R97" i="13"/>
  <c r="R110" i="13"/>
  <c r="R105" i="13"/>
  <c r="R103" i="13"/>
  <c r="R107" i="13"/>
  <c r="R117" i="13"/>
  <c r="R122" i="13"/>
  <c r="R126" i="13"/>
  <c r="R124" i="13"/>
  <c r="R135" i="13"/>
  <c r="R133" i="13"/>
  <c r="R138" i="13"/>
  <c r="R139" i="13"/>
  <c r="G84" i="13"/>
  <c r="G88" i="13"/>
  <c r="G89" i="13"/>
  <c r="Q53" i="13"/>
  <c r="Q56" i="13"/>
  <c r="Q51" i="13"/>
  <c r="Q66" i="13"/>
  <c r="Q64" i="13"/>
  <c r="Q65" i="13"/>
  <c r="Q72" i="13"/>
  <c r="Q70" i="13"/>
  <c r="Q73" i="13"/>
  <c r="Q78" i="13"/>
  <c r="Q76" i="13"/>
  <c r="Q85" i="13"/>
  <c r="Q86" i="13"/>
  <c r="Q83" i="13"/>
  <c r="Q82" i="13"/>
  <c r="Q90" i="13"/>
  <c r="Q87" i="13"/>
  <c r="R59" i="13"/>
  <c r="R54" i="13"/>
  <c r="R55" i="13"/>
  <c r="R62" i="13"/>
  <c r="R67" i="13"/>
  <c r="R68" i="13"/>
  <c r="R71" i="13"/>
  <c r="R74" i="13"/>
  <c r="R75" i="13"/>
  <c r="R77" i="13"/>
  <c r="R79" i="13"/>
  <c r="R94" i="13"/>
  <c r="R84" i="13"/>
  <c r="R91" i="13"/>
  <c r="R88" i="13"/>
  <c r="R89" i="13"/>
  <c r="G81" i="13"/>
  <c r="G95" i="13"/>
  <c r="G99" i="13"/>
  <c r="G97" i="13"/>
  <c r="G110" i="13"/>
  <c r="G105" i="13"/>
  <c r="G103" i="13"/>
  <c r="G107" i="13"/>
  <c r="G117" i="13"/>
  <c r="G122" i="13"/>
  <c r="G126" i="13"/>
  <c r="G124" i="13"/>
  <c r="G135" i="13"/>
  <c r="G133" i="13"/>
  <c r="G138" i="13"/>
  <c r="G139" i="13"/>
  <c r="G146" i="13"/>
  <c r="Q81" i="13"/>
  <c r="Q95" i="13"/>
  <c r="Q99" i="13"/>
  <c r="Q97" i="13"/>
  <c r="Q110" i="13"/>
  <c r="Q105" i="13"/>
  <c r="Q103" i="13"/>
  <c r="Q107" i="13"/>
  <c r="Q117" i="13"/>
  <c r="Q122" i="13"/>
  <c r="Q126" i="13"/>
  <c r="Q124" i="13"/>
  <c r="Q135" i="13"/>
  <c r="Q133" i="13"/>
  <c r="Q138" i="13"/>
  <c r="Q139" i="13"/>
  <c r="Q146" i="13"/>
  <c r="R92" i="13"/>
  <c r="R96" i="13"/>
  <c r="R98" i="13"/>
  <c r="R102" i="13"/>
  <c r="R109" i="13"/>
  <c r="R108" i="13"/>
  <c r="R104" i="13"/>
  <c r="R116" i="13"/>
  <c r="R112" i="13"/>
  <c r="R123" i="13"/>
  <c r="R127" i="13"/>
  <c r="R128" i="13"/>
  <c r="R131" i="13"/>
  <c r="R134" i="13"/>
  <c r="R137" i="13"/>
  <c r="R146" i="13"/>
  <c r="G141" i="13"/>
  <c r="G148" i="13"/>
  <c r="G152" i="13"/>
  <c r="G155" i="13"/>
  <c r="G158" i="13"/>
  <c r="Q145" i="13"/>
  <c r="Q147" i="13"/>
  <c r="Q150" i="13"/>
  <c r="Q151" i="13"/>
  <c r="Q162" i="13"/>
  <c r="R145" i="13"/>
  <c r="R147" i="13"/>
  <c r="R150" i="13"/>
  <c r="R151" i="13"/>
  <c r="R162" i="13"/>
  <c r="G160" i="13"/>
  <c r="G163" i="13"/>
  <c r="G159" i="13"/>
  <c r="G170" i="13"/>
  <c r="G165" i="13"/>
  <c r="Q157" i="13"/>
  <c r="Q156" i="13"/>
  <c r="Q164" i="13"/>
  <c r="Q169" i="13"/>
  <c r="Q166" i="13"/>
  <c r="R157" i="13"/>
  <c r="R156" i="13"/>
  <c r="R164" i="13"/>
  <c r="R169" i="13"/>
  <c r="R166" i="13"/>
  <c r="G14" i="13"/>
  <c r="G26" i="13"/>
  <c r="G40" i="13"/>
  <c r="G58" i="13"/>
  <c r="G61" i="13"/>
  <c r="Q14" i="13"/>
  <c r="Q26" i="13"/>
  <c r="Q40" i="13"/>
  <c r="Q58" i="13"/>
  <c r="Q61" i="13"/>
  <c r="R14" i="13"/>
  <c r="R26" i="13"/>
  <c r="R40" i="13"/>
  <c r="R58" i="13"/>
  <c r="R61" i="13"/>
  <c r="G69" i="13"/>
  <c r="G93" i="13"/>
  <c r="G101" i="13"/>
  <c r="G114" i="13"/>
  <c r="G121" i="13"/>
  <c r="Q69" i="13"/>
  <c r="Q93" i="13"/>
  <c r="Q101" i="13"/>
  <c r="Q114" i="13"/>
  <c r="Q121" i="13"/>
  <c r="R69" i="13"/>
  <c r="R93" i="13"/>
  <c r="R101" i="13"/>
  <c r="R114" i="13"/>
  <c r="R121" i="13"/>
  <c r="R153" i="13"/>
  <c r="R111" i="13"/>
  <c r="R167" i="13"/>
  <c r="R168" i="13"/>
  <c r="R154" i="13"/>
  <c r="R149" i="13"/>
  <c r="Q168" i="13"/>
  <c r="Q154" i="13"/>
  <c r="Q149" i="13"/>
  <c r="R136" i="13"/>
  <c r="G145" i="13"/>
  <c r="G147" i="13"/>
  <c r="G150" i="13"/>
  <c r="G151" i="13"/>
  <c r="G162" i="13"/>
  <c r="Q141" i="13"/>
  <c r="Q148" i="13"/>
  <c r="Q152" i="13"/>
  <c r="Q155" i="13"/>
  <c r="Q158" i="13"/>
  <c r="R141" i="13"/>
  <c r="R148" i="13"/>
  <c r="R152" i="13"/>
  <c r="R155" i="13"/>
  <c r="R158" i="13"/>
  <c r="G157" i="13"/>
  <c r="G156" i="13"/>
  <c r="G164" i="13"/>
  <c r="G169" i="13"/>
  <c r="G166" i="13"/>
  <c r="Q160" i="13"/>
  <c r="Q163" i="13"/>
  <c r="Q159" i="13"/>
  <c r="Q170" i="13"/>
  <c r="Q165" i="13"/>
  <c r="R160" i="13"/>
  <c r="R163" i="13"/>
  <c r="R159" i="13"/>
  <c r="R170" i="13"/>
  <c r="R165" i="13"/>
  <c r="G172" i="13"/>
  <c r="G19" i="13"/>
  <c r="G33" i="13"/>
  <c r="G57" i="13"/>
  <c r="G60" i="13"/>
  <c r="Q172" i="13"/>
  <c r="Q19" i="13"/>
  <c r="Q33" i="13"/>
  <c r="Q57" i="13"/>
  <c r="Q60" i="13"/>
  <c r="R172" i="13"/>
  <c r="R19" i="13"/>
  <c r="R33" i="13"/>
  <c r="R57" i="13"/>
  <c r="R60" i="13"/>
  <c r="G63" i="13"/>
  <c r="G80" i="13"/>
  <c r="G100" i="13"/>
  <c r="G106" i="13"/>
  <c r="G115" i="13"/>
  <c r="Q63" i="13"/>
  <c r="Q80" i="13"/>
  <c r="Q100" i="13"/>
  <c r="Q106" i="13"/>
  <c r="Q115" i="13"/>
  <c r="R63" i="13"/>
  <c r="R80" i="13"/>
  <c r="R100" i="13"/>
  <c r="R106" i="13"/>
  <c r="R115" i="13"/>
  <c r="G153" i="13"/>
  <c r="Q153" i="13"/>
  <c r="G111" i="13"/>
  <c r="Q111" i="13"/>
  <c r="G167" i="13"/>
  <c r="Q167" i="13"/>
  <c r="G168" i="13"/>
  <c r="G154" i="13"/>
  <c r="G149" i="13"/>
  <c r="R117" i="16"/>
  <c r="R147" i="16"/>
  <c r="R174" i="16"/>
  <c r="R192" i="16"/>
  <c r="R193" i="16"/>
  <c r="G122" i="16"/>
  <c r="G52" i="16"/>
  <c r="R67" i="16"/>
  <c r="R190" i="16"/>
  <c r="R97" i="16"/>
  <c r="G117" i="16"/>
  <c r="G147" i="16"/>
  <c r="G174" i="16"/>
  <c r="G192" i="16"/>
  <c r="G193" i="16"/>
  <c r="K238" i="16"/>
  <c r="G67" i="16"/>
  <c r="Q52" i="16"/>
  <c r="G190" i="16"/>
  <c r="Q122" i="16"/>
  <c r="Q117" i="16"/>
  <c r="Q147" i="16"/>
  <c r="Q174" i="16"/>
  <c r="Q192" i="16"/>
  <c r="Q193" i="16"/>
  <c r="H238" i="16"/>
  <c r="R122" i="16"/>
  <c r="R52" i="16"/>
  <c r="Q190" i="16"/>
  <c r="Q97" i="16"/>
  <c r="G97" i="16"/>
  <c r="J238" i="16"/>
  <c r="Q67" i="16"/>
  <c r="H224" i="16"/>
  <c r="J224" i="16"/>
  <c r="K224" i="16"/>
  <c r="H237" i="16"/>
  <c r="J237" i="16"/>
  <c r="K237" i="16"/>
  <c r="Q133" i="16"/>
  <c r="R133" i="16"/>
  <c r="Q94" i="16"/>
  <c r="G133" i="16"/>
  <c r="R94" i="16"/>
  <c r="G94" i="16"/>
  <c r="H221" i="16"/>
  <c r="K221" i="16"/>
  <c r="H223" i="16"/>
  <c r="K223" i="16"/>
  <c r="J229" i="16"/>
  <c r="J235" i="16"/>
  <c r="K235" i="16"/>
  <c r="J221" i="16"/>
  <c r="J223" i="16"/>
  <c r="H229" i="16"/>
  <c r="K229" i="16"/>
  <c r="H235" i="16"/>
  <c r="H226" i="16"/>
  <c r="H233" i="16"/>
  <c r="J230" i="16"/>
  <c r="J234" i="16"/>
  <c r="K226" i="16"/>
  <c r="K233" i="16"/>
  <c r="H220" i="16"/>
  <c r="J219" i="16"/>
  <c r="J222" i="16"/>
  <c r="K220" i="16"/>
  <c r="H214" i="16"/>
  <c r="K214" i="16"/>
  <c r="H217" i="16"/>
  <c r="J217" i="16"/>
  <c r="K217" i="16"/>
  <c r="H225" i="16"/>
  <c r="J225" i="16"/>
  <c r="K225" i="16"/>
  <c r="H228" i="16"/>
  <c r="K228" i="16"/>
  <c r="H230" i="16"/>
  <c r="H234" i="16"/>
  <c r="J226" i="16"/>
  <c r="J233" i="16"/>
  <c r="K230" i="16"/>
  <c r="K234" i="16"/>
  <c r="H219" i="16"/>
  <c r="H222" i="16"/>
  <c r="J220" i="16"/>
  <c r="K219" i="16"/>
  <c r="K222" i="16"/>
  <c r="J214" i="16"/>
  <c r="H216" i="16"/>
  <c r="J216" i="16"/>
  <c r="K216" i="16"/>
  <c r="H218" i="16"/>
  <c r="J218" i="16"/>
  <c r="K218" i="16"/>
  <c r="H227" i="16"/>
  <c r="J227" i="16"/>
  <c r="K227" i="16"/>
  <c r="J228" i="16"/>
  <c r="G152" i="16"/>
  <c r="G183" i="16"/>
  <c r="G98" i="16"/>
  <c r="Q163" i="16"/>
  <c r="Q173" i="16"/>
  <c r="R152" i="16"/>
  <c r="R183" i="16"/>
  <c r="R98" i="16"/>
  <c r="G14" i="16"/>
  <c r="G15" i="16"/>
  <c r="G18" i="16"/>
  <c r="G24" i="16"/>
  <c r="G17" i="16"/>
  <c r="Q8" i="16"/>
  <c r="Q13" i="16"/>
  <c r="Q21" i="16"/>
  <c r="Q22" i="16"/>
  <c r="Q23" i="16"/>
  <c r="Q27" i="16"/>
  <c r="R14" i="16"/>
  <c r="R15" i="16"/>
  <c r="R18" i="16"/>
  <c r="R24" i="16"/>
  <c r="R17" i="16"/>
  <c r="G30" i="16"/>
  <c r="G36" i="16"/>
  <c r="G31" i="16"/>
  <c r="G37" i="16"/>
  <c r="G45" i="16"/>
  <c r="G42" i="16"/>
  <c r="G43" i="16"/>
  <c r="Q35" i="16"/>
  <c r="Q28" i="16"/>
  <c r="Q29" i="16"/>
  <c r="Q46" i="16"/>
  <c r="Q38" i="16"/>
  <c r="Q39" i="16"/>
  <c r="R30" i="16"/>
  <c r="R36" i="16"/>
  <c r="R31" i="16"/>
  <c r="R37" i="16"/>
  <c r="R45" i="16"/>
  <c r="R42" i="16"/>
  <c r="R43" i="16"/>
  <c r="G48" i="16"/>
  <c r="G47" i="16"/>
  <c r="G55" i="16"/>
  <c r="G57" i="16"/>
  <c r="G59" i="16"/>
  <c r="G61" i="16"/>
  <c r="Q40" i="16"/>
  <c r="Q49" i="16"/>
  <c r="Q53" i="16"/>
  <c r="Q54" i="16"/>
  <c r="Q63" i="16"/>
  <c r="Q60" i="16"/>
  <c r="Q64" i="16"/>
  <c r="R48" i="16"/>
  <c r="R47" i="16"/>
  <c r="R55" i="16"/>
  <c r="R57" i="16"/>
  <c r="R59" i="16"/>
  <c r="R61" i="16"/>
  <c r="G68" i="16"/>
  <c r="G71" i="16"/>
  <c r="G76" i="16"/>
  <c r="G73" i="16"/>
  <c r="G75" i="16"/>
  <c r="G66" i="16"/>
  <c r="G81" i="16"/>
  <c r="Q68" i="16"/>
  <c r="Q71" i="16"/>
  <c r="Q76" i="16"/>
  <c r="Q73" i="16"/>
  <c r="Q75" i="16"/>
  <c r="Q66" i="16"/>
  <c r="Q81" i="16"/>
  <c r="R72" i="16"/>
  <c r="R70" i="16"/>
  <c r="R77" i="16"/>
  <c r="R74" i="16"/>
  <c r="R78" i="16"/>
  <c r="R65" i="16"/>
  <c r="G88" i="16"/>
  <c r="G163" i="16"/>
  <c r="G173" i="16"/>
  <c r="Q152" i="16"/>
  <c r="Q183" i="16"/>
  <c r="Q98" i="16"/>
  <c r="R163" i="16"/>
  <c r="R173" i="16"/>
  <c r="G8" i="16"/>
  <c r="G13" i="16"/>
  <c r="G21" i="16"/>
  <c r="G22" i="16"/>
  <c r="G23" i="16"/>
  <c r="G27" i="16"/>
  <c r="Q14" i="16"/>
  <c r="Q15" i="16"/>
  <c r="Q18" i="16"/>
  <c r="Q24" i="16"/>
  <c r="Q17" i="16"/>
  <c r="R8" i="16"/>
  <c r="R13" i="16"/>
  <c r="R21" i="16"/>
  <c r="R22" i="16"/>
  <c r="R23" i="16"/>
  <c r="R27" i="16"/>
  <c r="G35" i="16"/>
  <c r="G28" i="16"/>
  <c r="G29" i="16"/>
  <c r="G46" i="16"/>
  <c r="G38" i="16"/>
  <c r="G39" i="16"/>
  <c r="Q30" i="16"/>
  <c r="Q36" i="16"/>
  <c r="Q31" i="16"/>
  <c r="Q37" i="16"/>
  <c r="Q45" i="16"/>
  <c r="Q42" i="16"/>
  <c r="Q43" i="16"/>
  <c r="R35" i="16"/>
  <c r="R28" i="16"/>
  <c r="R29" i="16"/>
  <c r="R46" i="16"/>
  <c r="R38" i="16"/>
  <c r="R39" i="16"/>
  <c r="G40" i="16"/>
  <c r="G49" i="16"/>
  <c r="G53" i="16"/>
  <c r="G54" i="16"/>
  <c r="G63" i="16"/>
  <c r="G60" i="16"/>
  <c r="G64" i="16"/>
  <c r="Q48" i="16"/>
  <c r="Q47" i="16"/>
  <c r="Q55" i="16"/>
  <c r="Q57" i="16"/>
  <c r="Q59" i="16"/>
  <c r="Q61" i="16"/>
  <c r="R40" i="16"/>
  <c r="R49" i="16"/>
  <c r="R53" i="16"/>
  <c r="R54" i="16"/>
  <c r="R63" i="16"/>
  <c r="R60" i="16"/>
  <c r="R64" i="16"/>
  <c r="G72" i="16"/>
  <c r="G70" i="16"/>
  <c r="G77" i="16"/>
  <c r="G74" i="16"/>
  <c r="G78" i="16"/>
  <c r="G65" i="16"/>
  <c r="Q72" i="16"/>
  <c r="Q70" i="16"/>
  <c r="Q77" i="16"/>
  <c r="Q74" i="16"/>
  <c r="Q78" i="16"/>
  <c r="Q65" i="16"/>
  <c r="R68" i="16"/>
  <c r="R71" i="16"/>
  <c r="R76" i="16"/>
  <c r="R73" i="16"/>
  <c r="R75" i="16"/>
  <c r="R66" i="16"/>
  <c r="R81" i="16"/>
  <c r="G87" i="16"/>
  <c r="G80" i="16"/>
  <c r="G84" i="16"/>
  <c r="G89" i="16"/>
  <c r="G93" i="16"/>
  <c r="G99" i="16"/>
  <c r="G101" i="16"/>
  <c r="Q87" i="16"/>
  <c r="Q85" i="16"/>
  <c r="Q83" i="16"/>
  <c r="Q91" i="16"/>
  <c r="Q95" i="16"/>
  <c r="Q100" i="16"/>
  <c r="R88" i="16"/>
  <c r="R80" i="16"/>
  <c r="R84" i="16"/>
  <c r="R89" i="16"/>
  <c r="R93" i="16"/>
  <c r="R99" i="16"/>
  <c r="R101" i="16"/>
  <c r="G103" i="16"/>
  <c r="G109" i="16"/>
  <c r="G107" i="16"/>
  <c r="G114" i="16"/>
  <c r="G111" i="16"/>
  <c r="G120" i="16"/>
  <c r="Q103" i="16"/>
  <c r="Q109" i="16"/>
  <c r="Q107" i="16"/>
  <c r="Q114" i="16"/>
  <c r="Q111" i="16"/>
  <c r="Q120" i="16"/>
  <c r="R108" i="16"/>
  <c r="R102" i="16"/>
  <c r="R104" i="16"/>
  <c r="R112" i="16"/>
  <c r="R110" i="16"/>
  <c r="R116" i="16"/>
  <c r="R125" i="16"/>
  <c r="G123" i="16"/>
  <c r="G126" i="16"/>
  <c r="G137" i="16"/>
  <c r="G131" i="16"/>
  <c r="G136" i="16"/>
  <c r="G139" i="16"/>
  <c r="Q119" i="16"/>
  <c r="Q124" i="16"/>
  <c r="Q135" i="16"/>
  <c r="Q129" i="16"/>
  <c r="Q130" i="16"/>
  <c r="Q138" i="16"/>
  <c r="Q141" i="16"/>
  <c r="R123" i="16"/>
  <c r="R126" i="16"/>
  <c r="R137" i="16"/>
  <c r="R131" i="16"/>
  <c r="R136" i="16"/>
  <c r="R139" i="16"/>
  <c r="G146" i="16"/>
  <c r="G143" i="16"/>
  <c r="G148" i="16"/>
  <c r="G156" i="16"/>
  <c r="G154" i="16"/>
  <c r="G159" i="16"/>
  <c r="G164" i="16"/>
  <c r="Q146" i="16"/>
  <c r="Q143" i="16"/>
  <c r="Q148" i="16"/>
  <c r="Q156" i="16"/>
  <c r="Q154" i="16"/>
  <c r="Q159" i="16"/>
  <c r="Q164" i="16"/>
  <c r="R144" i="16"/>
  <c r="R145" i="16"/>
  <c r="R150" i="16"/>
  <c r="R155" i="16"/>
  <c r="R151" i="16"/>
  <c r="R167" i="16"/>
  <c r="G161" i="16"/>
  <c r="G165" i="16"/>
  <c r="G166" i="16"/>
  <c r="G169" i="16"/>
  <c r="G171" i="16"/>
  <c r="G182" i="16"/>
  <c r="G176" i="16"/>
  <c r="Q160" i="16"/>
  <c r="G85" i="16"/>
  <c r="G83" i="16"/>
  <c r="G91" i="16"/>
  <c r="G95" i="16"/>
  <c r="G100" i="16"/>
  <c r="Q88" i="16"/>
  <c r="Q80" i="16"/>
  <c r="Q84" i="16"/>
  <c r="Q89" i="16"/>
  <c r="Q93" i="16"/>
  <c r="Q99" i="16"/>
  <c r="Q101" i="16"/>
  <c r="R87" i="16"/>
  <c r="R85" i="16"/>
  <c r="R83" i="16"/>
  <c r="R91" i="16"/>
  <c r="R95" i="16"/>
  <c r="R100" i="16"/>
  <c r="G108" i="16"/>
  <c r="G102" i="16"/>
  <c r="G104" i="16"/>
  <c r="G112" i="16"/>
  <c r="G110" i="16"/>
  <c r="G116" i="16"/>
  <c r="G125" i="16"/>
  <c r="Q108" i="16"/>
  <c r="Q102" i="16"/>
  <c r="Q104" i="16"/>
  <c r="Q112" i="16"/>
  <c r="Q110" i="16"/>
  <c r="Q116" i="16"/>
  <c r="Q125" i="16"/>
  <c r="R103" i="16"/>
  <c r="R109" i="16"/>
  <c r="R107" i="16"/>
  <c r="R114" i="16"/>
  <c r="R111" i="16"/>
  <c r="R120" i="16"/>
  <c r="G119" i="16"/>
  <c r="G124" i="16"/>
  <c r="G135" i="16"/>
  <c r="G129" i="16"/>
  <c r="G130" i="16"/>
  <c r="G138" i="16"/>
  <c r="G141" i="16"/>
  <c r="Q123" i="16"/>
  <c r="Q126" i="16"/>
  <c r="Q137" i="16"/>
  <c r="Q131" i="16"/>
  <c r="Q136" i="16"/>
  <c r="Q139" i="16"/>
  <c r="R119" i="16"/>
  <c r="R124" i="16"/>
  <c r="R135" i="16"/>
  <c r="R129" i="16"/>
  <c r="R130" i="16"/>
  <c r="R138" i="16"/>
  <c r="R141" i="16"/>
  <c r="G144" i="16"/>
  <c r="G145" i="16"/>
  <c r="G150" i="16"/>
  <c r="G155" i="16"/>
  <c r="G151" i="16"/>
  <c r="G167" i="16"/>
  <c r="Q144" i="16"/>
  <c r="Q145" i="16"/>
  <c r="Q150" i="16"/>
  <c r="Q155" i="16"/>
  <c r="Q151" i="16"/>
  <c r="Q167" i="16"/>
  <c r="R146" i="16"/>
  <c r="R143" i="16"/>
  <c r="R148" i="16"/>
  <c r="R156" i="16"/>
  <c r="R154" i="16"/>
  <c r="R159" i="16"/>
  <c r="R164" i="16"/>
  <c r="G160" i="16"/>
  <c r="G158" i="16"/>
  <c r="G168" i="16"/>
  <c r="G170" i="16"/>
  <c r="G172" i="16"/>
  <c r="G178" i="16"/>
  <c r="Q165" i="16"/>
  <c r="Q166" i="16"/>
  <c r="Q169" i="16"/>
  <c r="Q171" i="16"/>
  <c r="Q182" i="16"/>
  <c r="Q176" i="16"/>
  <c r="R160" i="16"/>
  <c r="R158" i="16"/>
  <c r="R168" i="16"/>
  <c r="R170" i="16"/>
  <c r="R172" i="16"/>
  <c r="R178" i="16"/>
  <c r="G10" i="16"/>
  <c r="Q10" i="16"/>
  <c r="G11" i="16"/>
  <c r="Q11" i="16"/>
  <c r="G180" i="16"/>
  <c r="Q180" i="16"/>
  <c r="G175" i="16"/>
  <c r="Q175" i="16"/>
  <c r="G179" i="16"/>
  <c r="Q179" i="16"/>
  <c r="G184" i="16"/>
  <c r="Q184" i="16"/>
  <c r="G185" i="16"/>
  <c r="Q185" i="16"/>
  <c r="G189" i="16"/>
  <c r="Q189" i="16"/>
  <c r="G186" i="16"/>
  <c r="Q186" i="16"/>
  <c r="G187" i="16"/>
  <c r="Q187" i="16"/>
  <c r="G191" i="16"/>
  <c r="Q191" i="16"/>
  <c r="G196" i="16"/>
  <c r="Q196" i="16"/>
  <c r="G194" i="16"/>
  <c r="Q194" i="16"/>
  <c r="G198" i="16"/>
  <c r="Q198" i="16"/>
  <c r="G197" i="16"/>
  <c r="Q197" i="16"/>
  <c r="G195" i="16"/>
  <c r="Q195" i="16"/>
  <c r="G188" i="16"/>
  <c r="Q188" i="16"/>
  <c r="G25" i="16"/>
  <c r="Q25" i="16"/>
  <c r="G26" i="16"/>
  <c r="Q26" i="16"/>
  <c r="G79" i="16"/>
  <c r="Q79" i="16"/>
  <c r="G132" i="16"/>
  <c r="Q132" i="16"/>
  <c r="G157" i="16"/>
  <c r="Q157" i="16"/>
  <c r="G162" i="16"/>
  <c r="Q162" i="16"/>
  <c r="G177" i="16"/>
  <c r="Q177" i="16"/>
  <c r="G181" i="16"/>
  <c r="Q181" i="16"/>
  <c r="G142" i="16"/>
  <c r="Q142" i="16"/>
  <c r="G20" i="16"/>
  <c r="G33" i="16"/>
  <c r="G41" i="16"/>
  <c r="G50" i="16"/>
  <c r="G56" i="16"/>
  <c r="G62" i="16"/>
  <c r="Q20" i="16"/>
  <c r="Q33" i="16"/>
  <c r="Q41" i="16"/>
  <c r="Q50" i="16"/>
  <c r="Q56" i="16"/>
  <c r="Q62" i="16"/>
  <c r="R20" i="16"/>
  <c r="R33" i="16"/>
  <c r="R41" i="16"/>
  <c r="R50" i="16"/>
  <c r="R56" i="16"/>
  <c r="R62" i="16"/>
  <c r="G86" i="16"/>
  <c r="G92" i="16"/>
  <c r="G96" i="16"/>
  <c r="G105" i="16"/>
  <c r="G115" i="16"/>
  <c r="G121" i="16"/>
  <c r="Q86" i="16"/>
  <c r="Q92" i="16"/>
  <c r="Q96" i="16"/>
  <c r="Q105" i="16"/>
  <c r="Q115" i="16"/>
  <c r="Q121" i="16"/>
  <c r="R86" i="16"/>
  <c r="R92" i="16"/>
  <c r="R96" i="16"/>
  <c r="R105" i="16"/>
  <c r="R115" i="16"/>
  <c r="R121" i="16"/>
  <c r="G128" i="16"/>
  <c r="G140" i="16"/>
  <c r="G153" i="16"/>
  <c r="Q134" i="16"/>
  <c r="Q149" i="16"/>
  <c r="R128" i="16"/>
  <c r="R140" i="16"/>
  <c r="R153" i="16"/>
  <c r="Q19" i="16"/>
  <c r="Q161" i="16"/>
  <c r="Q158" i="16"/>
  <c r="Q168" i="16"/>
  <c r="Q170" i="16"/>
  <c r="Q172" i="16"/>
  <c r="Q178" i="16"/>
  <c r="R161" i="16"/>
  <c r="R165" i="16"/>
  <c r="R166" i="16"/>
  <c r="R169" i="16"/>
  <c r="R171" i="16"/>
  <c r="R182" i="16"/>
  <c r="R176" i="16"/>
  <c r="R10" i="16"/>
  <c r="R11" i="16"/>
  <c r="R180" i="16"/>
  <c r="R175" i="16"/>
  <c r="R179" i="16"/>
  <c r="R184" i="16"/>
  <c r="R185" i="16"/>
  <c r="R189" i="16"/>
  <c r="R186" i="16"/>
  <c r="R187" i="16"/>
  <c r="R191" i="16"/>
  <c r="R196" i="16"/>
  <c r="R194" i="16"/>
  <c r="R198" i="16"/>
  <c r="R197" i="16"/>
  <c r="R195" i="16"/>
  <c r="R188" i="16"/>
  <c r="R25" i="16"/>
  <c r="R26" i="16"/>
  <c r="R79" i="16"/>
  <c r="R132" i="16"/>
  <c r="R157" i="16"/>
  <c r="R162" i="16"/>
  <c r="R177" i="16"/>
  <c r="R181" i="16"/>
  <c r="R142" i="16"/>
  <c r="G34" i="16"/>
  <c r="G32" i="16"/>
  <c r="G44" i="16"/>
  <c r="G51" i="16"/>
  <c r="G58" i="16"/>
  <c r="G69" i="16"/>
  <c r="Q34" i="16"/>
  <c r="Q32" i="16"/>
  <c r="Q44" i="16"/>
  <c r="Q51" i="16"/>
  <c r="Q58" i="16"/>
  <c r="Q69" i="16"/>
  <c r="R34" i="16"/>
  <c r="R32" i="16"/>
  <c r="R44" i="16"/>
  <c r="R51" i="16"/>
  <c r="R58" i="16"/>
  <c r="R69" i="16"/>
  <c r="G82" i="16"/>
  <c r="G90" i="16"/>
  <c r="G106" i="16"/>
  <c r="G113" i="16"/>
  <c r="G118" i="16"/>
  <c r="G127" i="16"/>
  <c r="Q82" i="16"/>
  <c r="Q90" i="16"/>
  <c r="Q106" i="16"/>
  <c r="Q113" i="16"/>
  <c r="Q118" i="16"/>
  <c r="Q127" i="16"/>
  <c r="R82" i="16"/>
  <c r="R90" i="16"/>
  <c r="R106" i="16"/>
  <c r="R113" i="16"/>
  <c r="R118" i="16"/>
  <c r="R127" i="16"/>
  <c r="G134" i="16"/>
  <c r="G149" i="16"/>
  <c r="Q128" i="16"/>
  <c r="Q140" i="16"/>
  <c r="Q153" i="16"/>
  <c r="R134" i="16"/>
  <c r="R149" i="16"/>
  <c r="G12" i="16"/>
  <c r="Q12" i="16"/>
  <c r="R12" i="16"/>
  <c r="G19" i="16"/>
  <c r="R19" i="16"/>
  <c r="G77" i="12"/>
  <c r="R77" i="12"/>
  <c r="H203" i="12"/>
  <c r="J206" i="12"/>
  <c r="K205" i="12"/>
  <c r="G96" i="12"/>
  <c r="R96" i="12"/>
  <c r="R136" i="12"/>
  <c r="Q156" i="12"/>
  <c r="G158" i="12"/>
  <c r="G151" i="12"/>
  <c r="G153" i="12"/>
  <c r="G165" i="12"/>
  <c r="Q160" i="12"/>
  <c r="Q164" i="12"/>
  <c r="Q118" i="12"/>
  <c r="R159" i="12"/>
  <c r="R162" i="12"/>
  <c r="R117" i="12"/>
  <c r="G109" i="12"/>
  <c r="G155" i="12"/>
  <c r="Q147" i="12"/>
  <c r="Q169" i="12"/>
  <c r="R147" i="12"/>
  <c r="R169" i="12"/>
  <c r="G167" i="12"/>
  <c r="Q166" i="12"/>
  <c r="G171" i="12"/>
  <c r="R171" i="12"/>
  <c r="Q168" i="12"/>
  <c r="G8" i="12"/>
  <c r="R8" i="12"/>
  <c r="G150" i="12"/>
  <c r="H206" i="12"/>
  <c r="J205" i="12"/>
  <c r="Q136" i="12"/>
  <c r="G161" i="12"/>
  <c r="Q162" i="12"/>
  <c r="R151" i="12"/>
  <c r="G148" i="12"/>
  <c r="Q155" i="12"/>
  <c r="G166" i="12"/>
  <c r="G168" i="12"/>
  <c r="Q8" i="12"/>
  <c r="H204" i="12"/>
  <c r="J203" i="12"/>
  <c r="K206" i="12"/>
  <c r="H207" i="12"/>
  <c r="G136" i="12"/>
  <c r="G156" i="12"/>
  <c r="R156" i="12"/>
  <c r="Q163" i="12"/>
  <c r="G159" i="12"/>
  <c r="G162" i="12"/>
  <c r="G117" i="12"/>
  <c r="Q161" i="12"/>
  <c r="Q152" i="12"/>
  <c r="Q154" i="12"/>
  <c r="R160" i="12"/>
  <c r="R164" i="12"/>
  <c r="R118" i="12"/>
  <c r="G147" i="12"/>
  <c r="G169" i="12"/>
  <c r="Q97" i="12"/>
  <c r="Q131" i="12"/>
  <c r="R97" i="12"/>
  <c r="R131" i="12"/>
  <c r="Q167" i="12"/>
  <c r="G172" i="12"/>
  <c r="R172" i="12"/>
  <c r="K204" i="12"/>
  <c r="Q96" i="12"/>
  <c r="R58" i="12"/>
  <c r="G154" i="12"/>
  <c r="Q159" i="12"/>
  <c r="R158" i="12"/>
  <c r="R165" i="12"/>
  <c r="Q109" i="12"/>
  <c r="R155" i="12"/>
  <c r="Q171" i="12"/>
  <c r="Q157" i="12"/>
  <c r="J204" i="12"/>
  <c r="K203" i="12"/>
  <c r="H205" i="12"/>
  <c r="J207" i="12"/>
  <c r="G163" i="12"/>
  <c r="R163" i="12"/>
  <c r="Q58" i="12"/>
  <c r="G160" i="12"/>
  <c r="G164" i="12"/>
  <c r="G118" i="12"/>
  <c r="Q158" i="12"/>
  <c r="Q151" i="12"/>
  <c r="Q153" i="12"/>
  <c r="Q165" i="12"/>
  <c r="R161" i="12"/>
  <c r="R152" i="12"/>
  <c r="R154" i="12"/>
  <c r="G97" i="12"/>
  <c r="G131" i="12"/>
  <c r="Q148" i="12"/>
  <c r="Q170" i="12"/>
  <c r="R148" i="12"/>
  <c r="R170" i="12"/>
  <c r="R166" i="12"/>
  <c r="G157" i="12"/>
  <c r="Q172" i="12"/>
  <c r="R157" i="12"/>
  <c r="Q150" i="12"/>
  <c r="Q77" i="12"/>
  <c r="K207" i="12"/>
  <c r="G58" i="12"/>
  <c r="G152" i="12"/>
  <c r="Q117" i="12"/>
  <c r="R153" i="12"/>
  <c r="G170" i="12"/>
  <c r="R109" i="12"/>
  <c r="R167" i="12"/>
  <c r="R168" i="12"/>
  <c r="R150" i="12"/>
  <c r="H188" i="12"/>
  <c r="H189" i="12"/>
  <c r="H190" i="12"/>
  <c r="H191" i="12"/>
  <c r="J188" i="12"/>
  <c r="J189" i="12"/>
  <c r="J190" i="12"/>
  <c r="J191" i="12"/>
  <c r="K188" i="12"/>
  <c r="K189" i="12"/>
  <c r="K190" i="12"/>
  <c r="K191" i="12"/>
  <c r="H192" i="12"/>
  <c r="H193" i="12"/>
  <c r="H194" i="12"/>
  <c r="H195" i="12"/>
  <c r="J192" i="12"/>
  <c r="J193" i="12"/>
  <c r="J194" i="12"/>
  <c r="J195" i="12"/>
  <c r="K192" i="12"/>
  <c r="K193" i="12"/>
  <c r="K194" i="12"/>
  <c r="K195" i="12"/>
  <c r="H196" i="12"/>
  <c r="H197" i="12"/>
  <c r="H198" i="12"/>
  <c r="H199" i="12"/>
  <c r="J196" i="12"/>
  <c r="J197" i="12"/>
  <c r="J198" i="12"/>
  <c r="J199" i="12"/>
  <c r="K196" i="12"/>
  <c r="K197" i="12"/>
  <c r="K198" i="12"/>
  <c r="K199" i="12"/>
  <c r="G21" i="12"/>
  <c r="G22" i="12"/>
  <c r="G19" i="12"/>
  <c r="G26" i="12"/>
  <c r="G29" i="12"/>
  <c r="G28" i="12"/>
  <c r="G24" i="12"/>
  <c r="G33" i="12"/>
  <c r="G35" i="12"/>
  <c r="G36" i="12"/>
  <c r="G31" i="12"/>
  <c r="G34" i="12"/>
  <c r="G32" i="12"/>
  <c r="G45" i="12"/>
  <c r="G40" i="12"/>
  <c r="G44" i="12"/>
  <c r="G43" i="12"/>
  <c r="G39" i="12"/>
  <c r="G38" i="12"/>
  <c r="G41" i="12"/>
  <c r="Q21" i="12"/>
  <c r="Q22" i="12"/>
  <c r="Q19" i="12"/>
  <c r="Q26" i="12"/>
  <c r="Q29" i="12"/>
  <c r="Q28" i="12"/>
  <c r="Q24" i="12"/>
  <c r="Q33" i="12"/>
  <c r="Q35" i="12"/>
  <c r="Q36" i="12"/>
  <c r="Q31" i="12"/>
  <c r="Q34" i="12"/>
  <c r="Q32" i="12"/>
  <c r="Q45" i="12"/>
  <c r="Q40" i="12"/>
  <c r="Q44" i="12"/>
  <c r="Q43" i="12"/>
  <c r="Q39" i="12"/>
  <c r="Q38" i="12"/>
  <c r="Q41" i="12"/>
  <c r="R21" i="12"/>
  <c r="R22" i="12"/>
  <c r="R19" i="12"/>
  <c r="R26" i="12"/>
  <c r="R29" i="12"/>
  <c r="R28" i="12"/>
  <c r="R24" i="12"/>
  <c r="R33" i="12"/>
  <c r="R35" i="12"/>
  <c r="R36" i="12"/>
  <c r="R31" i="12"/>
  <c r="R34" i="12"/>
  <c r="R32" i="12"/>
  <c r="R45" i="12"/>
  <c r="R40" i="12"/>
  <c r="R44" i="12"/>
  <c r="R43" i="12"/>
  <c r="R39" i="12"/>
  <c r="R38" i="12"/>
  <c r="R41" i="12"/>
  <c r="G46" i="12"/>
  <c r="G49" i="12"/>
  <c r="G48" i="12"/>
  <c r="G47" i="12"/>
  <c r="G51" i="12"/>
  <c r="G52" i="12"/>
  <c r="G55" i="12"/>
  <c r="G54" i="12"/>
  <c r="G53" i="12"/>
  <c r="G56" i="12"/>
  <c r="G59" i="12"/>
  <c r="G57" i="12"/>
  <c r="G69" i="12"/>
  <c r="G71" i="12"/>
  <c r="G67" i="12"/>
  <c r="G62" i="12"/>
  <c r="G63" i="12"/>
  <c r="G65" i="12"/>
  <c r="G68" i="12"/>
  <c r="G64" i="12"/>
  <c r="Q46" i="12"/>
  <c r="Q49" i="12"/>
  <c r="Q48" i="12"/>
  <c r="Q47" i="12"/>
  <c r="Q51" i="12"/>
  <c r="Q52" i="12"/>
  <c r="Q55" i="12"/>
  <c r="Q54" i="12"/>
  <c r="Q53" i="12"/>
  <c r="Q56" i="12"/>
  <c r="Q59" i="12"/>
  <c r="Q57" i="12"/>
  <c r="Q69" i="12"/>
  <c r="Q71" i="12"/>
  <c r="Q67" i="12"/>
  <c r="Q62" i="12"/>
  <c r="Q63" i="12"/>
  <c r="Q65" i="12"/>
  <c r="Q68" i="12"/>
  <c r="Q64" i="12"/>
  <c r="R46" i="12"/>
  <c r="R49" i="12"/>
  <c r="R48" i="12"/>
  <c r="R47" i="12"/>
  <c r="R51" i="12"/>
  <c r="R52" i="12"/>
  <c r="R55" i="12"/>
  <c r="R54" i="12"/>
  <c r="R53" i="12"/>
  <c r="R56" i="12"/>
  <c r="R59" i="12"/>
  <c r="R57" i="12"/>
  <c r="R69" i="12"/>
  <c r="R71" i="12"/>
  <c r="R67" i="12"/>
  <c r="R62" i="12"/>
  <c r="R63" i="12"/>
  <c r="R65" i="12"/>
  <c r="R68" i="12"/>
  <c r="R64" i="12"/>
  <c r="G85" i="12"/>
  <c r="G82" i="12"/>
  <c r="G81" i="12"/>
  <c r="G89" i="12"/>
  <c r="G90" i="12"/>
  <c r="G87" i="12"/>
  <c r="G92" i="12"/>
  <c r="G91" i="12"/>
  <c r="G93" i="12"/>
  <c r="G95" i="12"/>
  <c r="G94" i="12"/>
  <c r="G98" i="12"/>
  <c r="G104" i="12"/>
  <c r="G99" i="12"/>
  <c r="G103" i="12"/>
  <c r="G101" i="12"/>
  <c r="Q85" i="12"/>
  <c r="Q82" i="12"/>
  <c r="Q81" i="12"/>
  <c r="Q89" i="12"/>
  <c r="Q90" i="12"/>
  <c r="Q87" i="12"/>
  <c r="Q92" i="12"/>
  <c r="Q91" i="12"/>
  <c r="Q93" i="12"/>
  <c r="Q95" i="12"/>
  <c r="Q94" i="12"/>
  <c r="Q98" i="12"/>
  <c r="Q104" i="12"/>
  <c r="Q99" i="12"/>
  <c r="Q103" i="12"/>
  <c r="Q101" i="12"/>
  <c r="R85" i="12"/>
  <c r="R82" i="12"/>
  <c r="R81" i="12"/>
  <c r="R89" i="12"/>
  <c r="R90" i="12"/>
  <c r="R87" i="12"/>
  <c r="R92" i="12"/>
  <c r="R91" i="12"/>
  <c r="R93" i="12"/>
  <c r="R95" i="12"/>
  <c r="R94" i="12"/>
  <c r="R98" i="12"/>
  <c r="R104" i="12"/>
  <c r="R99" i="12"/>
  <c r="R103" i="12"/>
  <c r="R101" i="12"/>
  <c r="G86" i="12"/>
  <c r="G102" i="12"/>
  <c r="G100" i="12"/>
  <c r="G105" i="12"/>
  <c r="G110" i="12"/>
  <c r="G112" i="12"/>
  <c r="G113" i="12"/>
  <c r="G106" i="12"/>
  <c r="G111" i="12"/>
  <c r="G107" i="12"/>
  <c r="G108" i="12"/>
  <c r="G114" i="12"/>
  <c r="G115" i="12"/>
  <c r="G119" i="12"/>
  <c r="G120" i="12"/>
  <c r="G116" i="12"/>
  <c r="G121" i="12"/>
  <c r="Q86" i="12"/>
  <c r="Q102" i="12"/>
  <c r="Q100" i="12"/>
  <c r="Q105" i="12"/>
  <c r="Q110" i="12"/>
  <c r="Q112" i="12"/>
  <c r="Q113" i="12"/>
  <c r="Q106" i="12"/>
  <c r="Q111" i="12"/>
  <c r="Q107" i="12"/>
  <c r="Q108" i="12"/>
  <c r="Q114" i="12"/>
  <c r="Q115" i="12"/>
  <c r="Q119" i="12"/>
  <c r="Q120" i="12"/>
  <c r="Q116" i="12"/>
  <c r="Q121" i="12"/>
  <c r="R86" i="12"/>
  <c r="R102" i="12"/>
  <c r="R100" i="12"/>
  <c r="R105" i="12"/>
  <c r="R110" i="12"/>
  <c r="R112" i="12"/>
  <c r="R113" i="12"/>
  <c r="R106" i="12"/>
  <c r="R111" i="12"/>
  <c r="R107" i="12"/>
  <c r="R108" i="12"/>
  <c r="R114" i="12"/>
  <c r="R115" i="12"/>
  <c r="R119" i="12"/>
  <c r="R120" i="12"/>
  <c r="R116" i="12"/>
  <c r="R121" i="12"/>
  <c r="G127" i="12"/>
  <c r="G122" i="12"/>
  <c r="G125" i="12"/>
  <c r="G124" i="12"/>
  <c r="G123" i="12"/>
  <c r="G126" i="12"/>
  <c r="G129" i="12"/>
  <c r="G128" i="12"/>
  <c r="G130" i="12"/>
  <c r="G132" i="12"/>
  <c r="G138" i="12"/>
  <c r="G144" i="12"/>
  <c r="G133" i="12"/>
  <c r="G139" i="12"/>
  <c r="G143" i="12"/>
  <c r="G140" i="12"/>
  <c r="G134" i="12"/>
  <c r="Q127" i="12"/>
  <c r="Q122" i="12"/>
  <c r="Q125" i="12"/>
  <c r="Q124" i="12"/>
  <c r="Q123" i="12"/>
  <c r="Q126" i="12"/>
  <c r="Q129" i="12"/>
  <c r="Q128" i="12"/>
  <c r="Q130" i="12"/>
  <c r="Q132" i="12"/>
  <c r="Q138" i="12"/>
  <c r="Q144" i="12"/>
  <c r="Q133" i="12"/>
  <c r="Q139" i="12"/>
  <c r="Q143" i="12"/>
  <c r="Q140" i="12"/>
  <c r="Q134" i="12"/>
  <c r="R127" i="12"/>
  <c r="R122" i="12"/>
  <c r="R125" i="12"/>
  <c r="R124" i="12"/>
  <c r="R123" i="12"/>
  <c r="R126" i="12"/>
  <c r="R129" i="12"/>
  <c r="R128" i="12"/>
  <c r="R130" i="12"/>
  <c r="R132" i="12"/>
  <c r="R138" i="12"/>
  <c r="R144" i="12"/>
  <c r="R133" i="12"/>
  <c r="R139" i="12"/>
  <c r="R143" i="12"/>
  <c r="R140" i="12"/>
  <c r="R134" i="12"/>
  <c r="G37" i="12"/>
  <c r="Q37" i="12"/>
  <c r="R37" i="12"/>
  <c r="G30" i="12"/>
  <c r="Q30" i="12"/>
  <c r="R30" i="12"/>
  <c r="G88" i="12"/>
  <c r="Q88" i="12"/>
  <c r="R88" i="12"/>
  <c r="G79" i="12"/>
  <c r="Q79" i="12"/>
  <c r="R79" i="12"/>
  <c r="G76" i="12"/>
  <c r="Q76" i="12"/>
  <c r="R76" i="12"/>
  <c r="G50" i="12"/>
  <c r="Q50" i="12"/>
  <c r="R50" i="12"/>
  <c r="G42" i="12"/>
  <c r="Q42" i="12"/>
  <c r="R42" i="12"/>
  <c r="G20" i="12"/>
  <c r="Q20" i="12"/>
  <c r="R20" i="12"/>
  <c r="G9" i="12"/>
  <c r="Q9" i="12"/>
  <c r="R9" i="12"/>
  <c r="G149" i="12"/>
  <c r="Q149" i="12"/>
  <c r="R149" i="12"/>
  <c r="G146" i="12"/>
  <c r="Q146" i="12"/>
  <c r="R146" i="12"/>
  <c r="G145" i="12"/>
  <c r="Q145" i="12"/>
  <c r="R145" i="12"/>
  <c r="G141" i="12"/>
  <c r="Q141" i="12"/>
  <c r="R141" i="12"/>
  <c r="G142" i="12"/>
  <c r="Q142" i="12"/>
  <c r="R142" i="12"/>
  <c r="G137" i="12"/>
  <c r="Q137" i="12"/>
  <c r="R137" i="12"/>
  <c r="G135" i="12"/>
  <c r="Q135" i="12"/>
  <c r="R135" i="12"/>
  <c r="G83" i="12"/>
  <c r="Q83" i="12"/>
  <c r="R83" i="12"/>
  <c r="G84" i="12"/>
  <c r="Q84" i="12"/>
  <c r="R84" i="12"/>
  <c r="G74" i="12"/>
  <c r="Q74" i="12"/>
  <c r="R74" i="12"/>
  <c r="G75" i="12"/>
  <c r="Q75" i="12"/>
  <c r="R75" i="12"/>
  <c r="G80" i="12"/>
  <c r="Q80" i="12"/>
  <c r="R80" i="12"/>
  <c r="G78" i="12"/>
  <c r="Q78" i="12"/>
  <c r="R78" i="12"/>
  <c r="G66" i="12"/>
  <c r="Q66" i="12"/>
  <c r="R66" i="12"/>
  <c r="G72" i="12"/>
  <c r="Q72" i="12"/>
  <c r="R72" i="12"/>
  <c r="G73" i="12"/>
  <c r="Q73" i="12"/>
  <c r="R73" i="12"/>
  <c r="G70" i="12"/>
  <c r="Q70" i="12"/>
  <c r="R70" i="12"/>
  <c r="G61" i="12"/>
  <c r="Q61" i="12"/>
  <c r="R61" i="12"/>
  <c r="G60" i="12"/>
  <c r="Q60" i="12"/>
  <c r="R60" i="12"/>
  <c r="G23" i="12"/>
  <c r="Q23" i="12"/>
  <c r="R23" i="12"/>
  <c r="G18" i="12"/>
  <c r="Q18" i="12"/>
  <c r="R18" i="12"/>
  <c r="G27" i="12"/>
  <c r="Q27" i="12"/>
  <c r="R27" i="12"/>
  <c r="G16" i="12"/>
  <c r="Q16" i="12"/>
  <c r="R16" i="12"/>
  <c r="R9" i="11"/>
  <c r="J220" i="11"/>
  <c r="H218" i="11"/>
  <c r="K218" i="11"/>
  <c r="R11" i="11"/>
  <c r="R13" i="11"/>
  <c r="R10" i="11"/>
  <c r="R31" i="11"/>
  <c r="J203" i="11"/>
  <c r="H206" i="11"/>
  <c r="K206" i="11"/>
  <c r="J212" i="11"/>
  <c r="H201" i="11"/>
  <c r="K201" i="11"/>
  <c r="J199" i="11"/>
  <c r="R12" i="11"/>
  <c r="R106" i="11"/>
  <c r="R115" i="11"/>
  <c r="R122" i="11"/>
  <c r="G9" i="11"/>
  <c r="Q9" i="11"/>
  <c r="H220" i="11"/>
  <c r="K220" i="11"/>
  <c r="J218" i="11"/>
  <c r="G11" i="11"/>
  <c r="Q11" i="11"/>
  <c r="G13" i="11"/>
  <c r="Q13" i="11"/>
  <c r="G10" i="11"/>
  <c r="Q10" i="11"/>
  <c r="G31" i="11"/>
  <c r="Q31" i="11"/>
  <c r="H203" i="11"/>
  <c r="K203" i="11"/>
  <c r="J206" i="11"/>
  <c r="H212" i="11"/>
  <c r="K212" i="11"/>
  <c r="J201" i="11"/>
  <c r="H199" i="11"/>
  <c r="K199" i="11"/>
  <c r="G12" i="11"/>
  <c r="Q12" i="11"/>
  <c r="G106" i="11"/>
  <c r="Q106" i="11"/>
  <c r="G115" i="11"/>
  <c r="Q115" i="11"/>
  <c r="G122" i="11"/>
  <c r="Q122" i="11"/>
  <c r="H198" i="11"/>
  <c r="K198" i="11"/>
  <c r="H196" i="11"/>
  <c r="K196" i="11"/>
  <c r="J205" i="11"/>
  <c r="H262" i="11"/>
  <c r="H260" i="11"/>
  <c r="H200" i="11"/>
  <c r="J197" i="11"/>
  <c r="K200" i="11"/>
  <c r="H222" i="11"/>
  <c r="H219" i="11"/>
  <c r="J222" i="11"/>
  <c r="J219" i="11"/>
  <c r="K222" i="11"/>
  <c r="K219" i="11"/>
  <c r="H215" i="11"/>
  <c r="H213" i="11"/>
  <c r="J215" i="11"/>
  <c r="J213" i="11"/>
  <c r="K215" i="11"/>
  <c r="K213" i="11"/>
  <c r="H210" i="11"/>
  <c r="H209" i="11"/>
  <c r="J210" i="11"/>
  <c r="J209" i="11"/>
  <c r="K210" i="11"/>
  <c r="K209" i="11"/>
  <c r="R112" i="11"/>
  <c r="R165" i="11"/>
  <c r="J198" i="11"/>
  <c r="J196" i="11"/>
  <c r="H205" i="11"/>
  <c r="K205" i="11"/>
  <c r="H261" i="11"/>
  <c r="H259" i="11"/>
  <c r="H197" i="11"/>
  <c r="J200" i="11"/>
  <c r="K197" i="11"/>
  <c r="H221" i="11"/>
  <c r="H223" i="11"/>
  <c r="J221" i="11"/>
  <c r="J223" i="11"/>
  <c r="K221" i="11"/>
  <c r="K223" i="11"/>
  <c r="H217" i="11"/>
  <c r="H216" i="11"/>
  <c r="J217" i="11"/>
  <c r="J216" i="11"/>
  <c r="K217" i="11"/>
  <c r="K216" i="11"/>
  <c r="H214" i="11"/>
  <c r="H211" i="11"/>
  <c r="J214" i="11"/>
  <c r="J211" i="11"/>
  <c r="K214" i="11"/>
  <c r="K211" i="11"/>
  <c r="G112" i="11"/>
  <c r="Q112" i="11"/>
  <c r="G165" i="11"/>
  <c r="Q165" i="11"/>
  <c r="G99" i="11"/>
  <c r="Q99" i="11"/>
  <c r="R99" i="11"/>
  <c r="G156" i="11"/>
  <c r="G161" i="11"/>
  <c r="G160" i="11"/>
  <c r="G167" i="11"/>
  <c r="G166" i="11"/>
  <c r="G173" i="11"/>
  <c r="Q156" i="11"/>
  <c r="Q161" i="11"/>
  <c r="Q160" i="11"/>
  <c r="Q167" i="11"/>
  <c r="Q166" i="11"/>
  <c r="Q173" i="11"/>
  <c r="R156" i="11"/>
  <c r="R161" i="11"/>
  <c r="R160" i="11"/>
  <c r="R167" i="11"/>
  <c r="R166" i="11"/>
  <c r="R173" i="11"/>
  <c r="G169" i="11"/>
  <c r="G179" i="11"/>
  <c r="G176" i="11"/>
  <c r="G178" i="11"/>
  <c r="G19" i="11"/>
  <c r="G44" i="11"/>
  <c r="Q168" i="11"/>
  <c r="Q180" i="11"/>
  <c r="Q177" i="11"/>
  <c r="Q175" i="11"/>
  <c r="Q41" i="11"/>
  <c r="Q51" i="11"/>
  <c r="R168" i="11"/>
  <c r="R180" i="11"/>
  <c r="R177" i="11"/>
  <c r="R175" i="11"/>
  <c r="R41" i="11"/>
  <c r="R51" i="11"/>
  <c r="G104" i="11"/>
  <c r="G113" i="11"/>
  <c r="G114" i="11"/>
  <c r="G119" i="11"/>
  <c r="G118" i="11"/>
  <c r="G125" i="11"/>
  <c r="G120" i="11"/>
  <c r="G127" i="11"/>
  <c r="G130" i="11"/>
  <c r="Q104" i="11"/>
  <c r="Q113" i="11"/>
  <c r="Q114" i="11"/>
  <c r="Q119" i="11"/>
  <c r="Q118" i="11"/>
  <c r="Q125" i="11"/>
  <c r="Q120" i="11"/>
  <c r="Q127" i="11"/>
  <c r="Q130" i="11"/>
  <c r="R104" i="11"/>
  <c r="R113" i="11"/>
  <c r="R114" i="11"/>
  <c r="R119" i="11"/>
  <c r="R118" i="11"/>
  <c r="R125" i="11"/>
  <c r="R120" i="11"/>
  <c r="R127" i="11"/>
  <c r="R130" i="11"/>
  <c r="G129" i="11"/>
  <c r="G138" i="11"/>
  <c r="G134" i="11"/>
  <c r="G135" i="11"/>
  <c r="G143" i="11"/>
  <c r="G140" i="11"/>
  <c r="G145" i="11"/>
  <c r="G151" i="11"/>
  <c r="G148" i="11"/>
  <c r="Q129" i="11"/>
  <c r="Q138" i="11"/>
  <c r="Q134" i="11"/>
  <c r="Q135" i="11"/>
  <c r="Q143" i="11"/>
  <c r="Q140" i="11"/>
  <c r="Q145" i="11"/>
  <c r="Q151" i="11"/>
  <c r="Q148" i="11"/>
  <c r="R129" i="11"/>
  <c r="R138" i="11"/>
  <c r="R134" i="11"/>
  <c r="R135" i="11"/>
  <c r="G157" i="11"/>
  <c r="G159" i="11"/>
  <c r="G162" i="11"/>
  <c r="G163" i="11"/>
  <c r="G164" i="11"/>
  <c r="G172" i="11"/>
  <c r="Q157" i="11"/>
  <c r="Q159" i="11"/>
  <c r="Q162" i="11"/>
  <c r="Q163" i="11"/>
  <c r="Q164" i="11"/>
  <c r="Q172" i="11"/>
  <c r="R157" i="11"/>
  <c r="R159" i="11"/>
  <c r="R162" i="11"/>
  <c r="R163" i="11"/>
  <c r="R164" i="11"/>
  <c r="R172" i="11"/>
  <c r="G168" i="11"/>
  <c r="G180" i="11"/>
  <c r="G177" i="11"/>
  <c r="G175" i="11"/>
  <c r="G41" i="11"/>
  <c r="G51" i="11"/>
  <c r="Q169" i="11"/>
  <c r="Q179" i="11"/>
  <c r="Q176" i="11"/>
  <c r="Q178" i="11"/>
  <c r="Q19" i="11"/>
  <c r="Q44" i="11"/>
  <c r="R169" i="11"/>
  <c r="R179" i="11"/>
  <c r="R176" i="11"/>
  <c r="R178" i="11"/>
  <c r="R19" i="11"/>
  <c r="R44" i="11"/>
  <c r="G103" i="11"/>
  <c r="G110" i="11"/>
  <c r="G111" i="11"/>
  <c r="G117" i="11"/>
  <c r="G116" i="11"/>
  <c r="G126" i="11"/>
  <c r="G121" i="11"/>
  <c r="G123" i="11"/>
  <c r="G133" i="11"/>
  <c r="Q103" i="11"/>
  <c r="Q110" i="11"/>
  <c r="Q111" i="11"/>
  <c r="Q117" i="11"/>
  <c r="Q116" i="11"/>
  <c r="Q126" i="11"/>
  <c r="Q121" i="11"/>
  <c r="Q123" i="11"/>
  <c r="Q133" i="11"/>
  <c r="R103" i="11"/>
  <c r="R110" i="11"/>
  <c r="R111" i="11"/>
  <c r="R117" i="11"/>
  <c r="R116" i="11"/>
  <c r="R126" i="11"/>
  <c r="R121" i="11"/>
  <c r="R123" i="11"/>
  <c r="R133" i="11"/>
  <c r="G137" i="11"/>
  <c r="G128" i="11"/>
  <c r="G136" i="11"/>
  <c r="G132" i="11"/>
  <c r="G141" i="11"/>
  <c r="G139" i="11"/>
  <c r="G144" i="11"/>
  <c r="G153" i="11"/>
  <c r="G150" i="11"/>
  <c r="Q137" i="11"/>
  <c r="Q128" i="11"/>
  <c r="Q136" i="11"/>
  <c r="Q132" i="11"/>
  <c r="Q141" i="11"/>
  <c r="Q139" i="11"/>
  <c r="Q144" i="11"/>
  <c r="Q153" i="11"/>
  <c r="Q150" i="11"/>
  <c r="R137" i="11"/>
  <c r="R128" i="11"/>
  <c r="R136" i="11"/>
  <c r="R132" i="11"/>
  <c r="R143" i="11"/>
  <c r="R140" i="11"/>
  <c r="R145" i="11"/>
  <c r="R151" i="11"/>
  <c r="R148" i="11"/>
  <c r="G70" i="11"/>
  <c r="G67" i="11"/>
  <c r="G76" i="11"/>
  <c r="G72" i="11"/>
  <c r="G66" i="11"/>
  <c r="G79" i="11"/>
  <c r="G80" i="11"/>
  <c r="Q70" i="11"/>
  <c r="Q67" i="11"/>
  <c r="Q76" i="11"/>
  <c r="Q72" i="11"/>
  <c r="Q66" i="11"/>
  <c r="Q79" i="11"/>
  <c r="Q80" i="11"/>
  <c r="R70" i="11"/>
  <c r="R67" i="11"/>
  <c r="R76" i="11"/>
  <c r="R72" i="11"/>
  <c r="R66" i="11"/>
  <c r="R79" i="11"/>
  <c r="R80" i="11"/>
  <c r="G82" i="11"/>
  <c r="G86" i="11"/>
  <c r="G83" i="11"/>
  <c r="G90" i="11"/>
  <c r="G93" i="11"/>
  <c r="G89" i="11"/>
  <c r="G94" i="11"/>
  <c r="Q82" i="11"/>
  <c r="Q86" i="11"/>
  <c r="Q83" i="11"/>
  <c r="Q90" i="11"/>
  <c r="Q93" i="11"/>
  <c r="Q89" i="11"/>
  <c r="Q94" i="11"/>
  <c r="R82" i="11"/>
  <c r="R86" i="11"/>
  <c r="R83" i="11"/>
  <c r="R90" i="11"/>
  <c r="R93" i="11"/>
  <c r="R89" i="11"/>
  <c r="R94" i="11"/>
  <c r="G98" i="11"/>
  <c r="G109" i="11"/>
  <c r="G102" i="11"/>
  <c r="G107" i="11"/>
  <c r="G149" i="11"/>
  <c r="G147" i="11"/>
  <c r="G155" i="11"/>
  <c r="Q96" i="11"/>
  <c r="Q97" i="11"/>
  <c r="Q105" i="11"/>
  <c r="Q101" i="11"/>
  <c r="Q108" i="11"/>
  <c r="Q152" i="11"/>
  <c r="Q154" i="11"/>
  <c r="R96" i="11"/>
  <c r="R97" i="11"/>
  <c r="R105" i="11"/>
  <c r="R101" i="11"/>
  <c r="R108" i="11"/>
  <c r="R152" i="11"/>
  <c r="R154" i="11"/>
  <c r="G26" i="11"/>
  <c r="G32" i="11"/>
  <c r="G28" i="11"/>
  <c r="G39" i="11"/>
  <c r="G37" i="11"/>
  <c r="G35" i="11"/>
  <c r="G40" i="11"/>
  <c r="Q27" i="11"/>
  <c r="Q25" i="11"/>
  <c r="Q33" i="11"/>
  <c r="Q36" i="11"/>
  <c r="Q38" i="11"/>
  <c r="Q34" i="11"/>
  <c r="R26" i="11"/>
  <c r="R32" i="11"/>
  <c r="R28" i="11"/>
  <c r="R39" i="11"/>
  <c r="R141" i="11"/>
  <c r="R139" i="11"/>
  <c r="R144" i="11"/>
  <c r="R153" i="11"/>
  <c r="R150" i="11"/>
  <c r="G63" i="11"/>
  <c r="G74" i="11"/>
  <c r="G75" i="11"/>
  <c r="G73" i="11"/>
  <c r="G71" i="11"/>
  <c r="G65" i="11"/>
  <c r="G78" i="11"/>
  <c r="Q63" i="11"/>
  <c r="Q74" i="11"/>
  <c r="Q75" i="11"/>
  <c r="Q73" i="11"/>
  <c r="Q71" i="11"/>
  <c r="Q65" i="11"/>
  <c r="Q78" i="11"/>
  <c r="R63" i="11"/>
  <c r="R74" i="11"/>
  <c r="R75" i="11"/>
  <c r="R73" i="11"/>
  <c r="R71" i="11"/>
  <c r="R65" i="11"/>
  <c r="R78" i="11"/>
  <c r="G88" i="11"/>
  <c r="G84" i="11"/>
  <c r="G85" i="11"/>
  <c r="G87" i="11"/>
  <c r="G92" i="11"/>
  <c r="G91" i="11"/>
  <c r="G95" i="11"/>
  <c r="Q88" i="11"/>
  <c r="Q84" i="11"/>
  <c r="Q85" i="11"/>
  <c r="Q87" i="11"/>
  <c r="Q92" i="11"/>
  <c r="Q91" i="11"/>
  <c r="Q95" i="11"/>
  <c r="R88" i="11"/>
  <c r="R84" i="11"/>
  <c r="R85" i="11"/>
  <c r="R87" i="11"/>
  <c r="R92" i="11"/>
  <c r="R91" i="11"/>
  <c r="R95" i="11"/>
  <c r="G96" i="11"/>
  <c r="G97" i="11"/>
  <c r="G105" i="11"/>
  <c r="G101" i="11"/>
  <c r="G108" i="11"/>
  <c r="G152" i="11"/>
  <c r="G154" i="11"/>
  <c r="Q98" i="11"/>
  <c r="Q109" i="11"/>
  <c r="Q102" i="11"/>
  <c r="Q107" i="11"/>
  <c r="Q149" i="11"/>
  <c r="Q147" i="11"/>
  <c r="Q155" i="11"/>
  <c r="R98" i="11"/>
  <c r="R109" i="11"/>
  <c r="R102" i="11"/>
  <c r="R107" i="11"/>
  <c r="R149" i="11"/>
  <c r="R147" i="11"/>
  <c r="R155" i="11"/>
  <c r="G27" i="11"/>
  <c r="G25" i="11"/>
  <c r="G33" i="11"/>
  <c r="G36" i="11"/>
  <c r="G38" i="11"/>
  <c r="G34" i="11"/>
  <c r="Q26" i="11"/>
  <c r="Q32" i="11"/>
  <c r="Q28" i="11"/>
  <c r="Q39" i="11"/>
  <c r="Q37" i="11"/>
  <c r="Q35" i="11"/>
  <c r="Q40" i="11"/>
  <c r="R27" i="11"/>
  <c r="R25" i="11"/>
  <c r="R33" i="11"/>
  <c r="R36" i="11"/>
  <c r="R38" i="11"/>
  <c r="R34" i="11"/>
  <c r="G42" i="11"/>
  <c r="G43" i="11"/>
  <c r="G46" i="11"/>
  <c r="G48" i="11"/>
  <c r="G52" i="11"/>
  <c r="G55" i="11"/>
  <c r="G57" i="11"/>
  <c r="Q42" i="11"/>
  <c r="Q43" i="11"/>
  <c r="Q46" i="11"/>
  <c r="Q48" i="11"/>
  <c r="Q52" i="11"/>
  <c r="Q55" i="11"/>
  <c r="Q57" i="11"/>
  <c r="R45" i="11"/>
  <c r="R47" i="11"/>
  <c r="R50" i="11"/>
  <c r="R53" i="11"/>
  <c r="R54" i="11"/>
  <c r="R62" i="11"/>
  <c r="G16" i="11"/>
  <c r="G15" i="11"/>
  <c r="G14" i="11"/>
  <c r="Q16" i="11"/>
  <c r="Q15" i="11"/>
  <c r="Q14" i="11"/>
  <c r="R16" i="11"/>
  <c r="R15" i="11"/>
  <c r="R14" i="11"/>
  <c r="G18" i="11"/>
  <c r="G30" i="11"/>
  <c r="G59" i="11"/>
  <c r="Q18" i="11"/>
  <c r="Q30" i="11"/>
  <c r="Q59" i="11"/>
  <c r="R18" i="11"/>
  <c r="R30" i="11"/>
  <c r="R59" i="11"/>
  <c r="G60" i="11"/>
  <c r="G49" i="11"/>
  <c r="G56" i="11"/>
  <c r="Q60" i="11"/>
  <c r="Q49" i="11"/>
  <c r="Q56" i="11"/>
  <c r="R60" i="11"/>
  <c r="R49" i="11"/>
  <c r="R56" i="11"/>
  <c r="G77" i="11"/>
  <c r="G100" i="11"/>
  <c r="G131" i="11"/>
  <c r="Q77" i="11"/>
  <c r="Q100" i="11"/>
  <c r="Q131" i="11"/>
  <c r="R77" i="11"/>
  <c r="R100" i="11"/>
  <c r="R131" i="11"/>
  <c r="R29" i="11"/>
  <c r="R64" i="11"/>
  <c r="G58" i="11"/>
  <c r="G69" i="11"/>
  <c r="Q58" i="11"/>
  <c r="R158" i="11"/>
  <c r="R69" i="11"/>
  <c r="G124" i="11"/>
  <c r="Q124" i="11"/>
  <c r="R81" i="11"/>
  <c r="R142" i="11"/>
  <c r="R37" i="11"/>
  <c r="R35" i="11"/>
  <c r="R40" i="11"/>
  <c r="G45" i="11"/>
  <c r="G47" i="11"/>
  <c r="G50" i="11"/>
  <c r="G53" i="11"/>
  <c r="G54" i="11"/>
  <c r="G62" i="11"/>
  <c r="Q45" i="11"/>
  <c r="Q47" i="11"/>
  <c r="Q50" i="11"/>
  <c r="Q53" i="11"/>
  <c r="Q54" i="11"/>
  <c r="Q62" i="11"/>
  <c r="R42" i="11"/>
  <c r="R43" i="11"/>
  <c r="R46" i="11"/>
  <c r="R48" i="11"/>
  <c r="R52" i="11"/>
  <c r="R55" i="11"/>
  <c r="R57" i="11"/>
  <c r="G17" i="11"/>
  <c r="G23" i="11"/>
  <c r="G20" i="11"/>
  <c r="Q17" i="11"/>
  <c r="Q23" i="11"/>
  <c r="Q20" i="11"/>
  <c r="R17" i="11"/>
  <c r="R23" i="11"/>
  <c r="R20" i="11"/>
  <c r="G29" i="11"/>
  <c r="G61" i="11"/>
  <c r="G64" i="11"/>
  <c r="Q29" i="11"/>
  <c r="Q61" i="11"/>
  <c r="Q64" i="11"/>
  <c r="R61" i="11"/>
  <c r="G158" i="11"/>
  <c r="Q158" i="11"/>
  <c r="Q69" i="11"/>
  <c r="R58" i="11"/>
  <c r="G81" i="11"/>
  <c r="G142" i="11"/>
  <c r="Q81" i="11"/>
  <c r="Q142" i="11"/>
  <c r="R124" i="11"/>
  <c r="G54" i="10"/>
  <c r="G44" i="10"/>
  <c r="Q8" i="10"/>
  <c r="H182" i="10"/>
  <c r="J183" i="10"/>
  <c r="R96" i="10"/>
  <c r="R104" i="10"/>
  <c r="R10" i="10"/>
  <c r="G132" i="10"/>
  <c r="Q133" i="10"/>
  <c r="G142" i="10"/>
  <c r="Q134" i="10"/>
  <c r="G125" i="10"/>
  <c r="Q126" i="10"/>
  <c r="R103" i="10"/>
  <c r="Q44" i="10"/>
  <c r="Q89" i="10"/>
  <c r="G69" i="10"/>
  <c r="G8" i="10"/>
  <c r="R54" i="10"/>
  <c r="J182" i="10"/>
  <c r="K183" i="10"/>
  <c r="G96" i="10"/>
  <c r="R89" i="10"/>
  <c r="R9" i="10"/>
  <c r="R69" i="10"/>
  <c r="G141" i="10"/>
  <c r="R132" i="10"/>
  <c r="G128" i="10"/>
  <c r="R142" i="10"/>
  <c r="G126" i="10"/>
  <c r="Q103" i="10"/>
  <c r="H183" i="10"/>
  <c r="Q9" i="10"/>
  <c r="Q141" i="10"/>
  <c r="Q128" i="10"/>
  <c r="Q125" i="10"/>
  <c r="Q54" i="10"/>
  <c r="R44" i="10"/>
  <c r="K182" i="10"/>
  <c r="G89" i="10"/>
  <c r="Q96" i="10"/>
  <c r="G104" i="10"/>
  <c r="Q104" i="10"/>
  <c r="G10" i="10"/>
  <c r="Q10" i="10"/>
  <c r="G133" i="10"/>
  <c r="Q132" i="10"/>
  <c r="R141" i="10"/>
  <c r="G134" i="10"/>
  <c r="Q142" i="10"/>
  <c r="R128" i="10"/>
  <c r="G103" i="10"/>
  <c r="R125" i="10"/>
  <c r="R8" i="10"/>
  <c r="G9" i="10"/>
  <c r="Q69" i="10"/>
  <c r="R133" i="10"/>
  <c r="R134" i="10"/>
  <c r="R126" i="10"/>
  <c r="G219" i="10"/>
  <c r="G217" i="10"/>
  <c r="G216" i="10"/>
  <c r="G218" i="10"/>
  <c r="H180" i="10"/>
  <c r="K180" i="10"/>
  <c r="J180" i="10"/>
  <c r="H181" i="10"/>
  <c r="K181" i="10"/>
  <c r="J181" i="10"/>
  <c r="G11" i="10"/>
  <c r="G294" i="2"/>
  <c r="G296" i="2"/>
  <c r="G298" i="2"/>
  <c r="G1575" i="2"/>
  <c r="G1577" i="2"/>
  <c r="G1579" i="2"/>
  <c r="G1581" i="2"/>
  <c r="G1583" i="2"/>
  <c r="G1585" i="2"/>
  <c r="G1587" i="2"/>
  <c r="G1589" i="2"/>
  <c r="G1591" i="2"/>
  <c r="G1593" i="2"/>
  <c r="G1595" i="2"/>
  <c r="G1597" i="2"/>
  <c r="G1599" i="2"/>
  <c r="G1601" i="2"/>
  <c r="G1603" i="2"/>
  <c r="G1605" i="2"/>
  <c r="G1607" i="2"/>
  <c r="G1609" i="2"/>
  <c r="G1611" i="2"/>
  <c r="G1613" i="2"/>
  <c r="G1615" i="2"/>
  <c r="G1617" i="2"/>
  <c r="G1619" i="2"/>
  <c r="G1621" i="2"/>
  <c r="G1623" i="2"/>
  <c r="G1625" i="2"/>
  <c r="G1627" i="2"/>
  <c r="G1629" i="2"/>
  <c r="G1631" i="2"/>
  <c r="G1633" i="2"/>
  <c r="G1635" i="2"/>
  <c r="G1637" i="2"/>
  <c r="G1639" i="2"/>
  <c r="G1641" i="2"/>
  <c r="G1643" i="2"/>
  <c r="G1645" i="2"/>
  <c r="G1647" i="2"/>
  <c r="G1649" i="2"/>
  <c r="G1651" i="2"/>
  <c r="G1653" i="2"/>
  <c r="G1655" i="2"/>
  <c r="G1657" i="2"/>
  <c r="G1659" i="2"/>
  <c r="G1661" i="2"/>
  <c r="G1663" i="2"/>
  <c r="G1665" i="2"/>
  <c r="G1667" i="2"/>
  <c r="G1669" i="2"/>
  <c r="G1671" i="2"/>
  <c r="G1673" i="2"/>
  <c r="G1675" i="2"/>
  <c r="G1677" i="2"/>
  <c r="G1679" i="2"/>
  <c r="G293" i="2"/>
  <c r="G295" i="2"/>
  <c r="G297" i="2"/>
  <c r="G1574" i="2"/>
  <c r="G1576" i="2"/>
  <c r="G1578" i="2"/>
  <c r="G1580" i="2"/>
  <c r="G1582" i="2"/>
  <c r="G1584" i="2"/>
  <c r="G1586" i="2"/>
  <c r="G1588" i="2"/>
  <c r="G1590" i="2"/>
  <c r="G1592" i="2"/>
  <c r="G1594" i="2"/>
  <c r="G1596" i="2"/>
  <c r="G1598" i="2"/>
  <c r="G1600" i="2"/>
  <c r="G1602" i="2"/>
  <c r="G1604" i="2"/>
  <c r="G1606" i="2"/>
  <c r="G1608" i="2"/>
  <c r="G1610" i="2"/>
  <c r="G1612" i="2"/>
  <c r="G1614" i="2"/>
  <c r="G1616" i="2"/>
  <c r="G1618" i="2"/>
  <c r="G1620" i="2"/>
  <c r="G1622" i="2"/>
  <c r="G1624" i="2"/>
  <c r="G1626" i="2"/>
  <c r="G1628" i="2"/>
  <c r="G1630" i="2"/>
  <c r="G1632" i="2"/>
  <c r="G1634" i="2"/>
  <c r="G1636" i="2"/>
  <c r="G1638" i="2"/>
  <c r="G1640" i="2"/>
  <c r="G1642" i="2"/>
  <c r="G1644" i="2"/>
  <c r="G1646" i="2"/>
  <c r="G1648" i="2"/>
  <c r="G1650" i="2"/>
  <c r="G1652" i="2"/>
  <c r="G1654" i="2"/>
  <c r="G1656" i="2"/>
  <c r="G1658" i="2"/>
  <c r="G1660" i="2"/>
  <c r="G1662" i="2"/>
  <c r="G1664" i="2"/>
  <c r="G1666" i="2"/>
  <c r="G1668" i="2"/>
  <c r="G1670" i="2"/>
  <c r="G1672" i="2"/>
  <c r="G1674" i="2"/>
  <c r="G1676" i="2"/>
  <c r="G1678" i="2"/>
  <c r="G1681" i="2"/>
  <c r="G1683" i="2"/>
  <c r="G1685" i="2"/>
  <c r="G1687" i="2"/>
  <c r="G1689" i="2"/>
  <c r="G1691" i="2"/>
  <c r="G1693" i="2"/>
  <c r="G1695" i="2"/>
  <c r="G1697" i="2"/>
  <c r="G1699" i="2"/>
  <c r="G1701" i="2"/>
  <c r="G1703" i="2"/>
  <c r="G1705" i="2"/>
  <c r="G1707" i="2"/>
  <c r="G1709" i="2"/>
  <c r="G1711" i="2"/>
  <c r="G1713" i="2"/>
  <c r="G1715" i="2"/>
  <c r="G1717" i="2"/>
  <c r="G1719" i="2"/>
  <c r="G1721" i="2"/>
  <c r="G1723" i="2"/>
  <c r="G1725" i="2"/>
  <c r="G1727" i="2"/>
  <c r="G1456" i="2"/>
  <c r="G1458" i="2"/>
  <c r="G1460" i="2"/>
  <c r="G1462" i="2"/>
  <c r="G1464" i="2"/>
  <c r="G1466" i="2"/>
  <c r="G1468" i="2"/>
  <c r="G1470" i="2"/>
  <c r="G1472" i="2"/>
  <c r="G1474" i="2"/>
  <c r="G1476" i="2"/>
  <c r="G1478" i="2"/>
  <c r="G1480" i="2"/>
  <c r="G1482" i="2"/>
  <c r="G1484" i="2"/>
  <c r="G1486" i="2"/>
  <c r="G1488" i="2"/>
  <c r="G1490" i="2"/>
  <c r="G1492" i="2"/>
  <c r="G1494" i="2"/>
  <c r="G1496" i="2"/>
  <c r="G1498" i="2"/>
  <c r="G1500" i="2"/>
  <c r="G1502" i="2"/>
  <c r="G1504" i="2"/>
  <c r="G1506" i="2"/>
  <c r="G1508" i="2"/>
  <c r="G1510" i="2"/>
  <c r="G1512" i="2"/>
  <c r="G1514" i="2"/>
  <c r="G1516" i="2"/>
  <c r="G1518" i="2"/>
  <c r="G1520" i="2"/>
  <c r="G1522" i="2"/>
  <c r="G1524" i="2"/>
  <c r="G1526" i="2"/>
  <c r="G1528" i="2"/>
  <c r="G1530" i="2"/>
  <c r="G1532" i="2"/>
  <c r="G1534" i="2"/>
  <c r="G1536" i="2"/>
  <c r="G1538" i="2"/>
  <c r="G1540" i="2"/>
  <c r="G1542" i="2"/>
  <c r="G1544" i="2"/>
  <c r="G1546" i="2"/>
  <c r="G1548" i="2"/>
  <c r="G1550" i="2"/>
  <c r="G1552" i="2"/>
  <c r="G1554" i="2"/>
  <c r="G1556" i="2"/>
  <c r="G1558" i="2"/>
  <c r="G1252" i="2"/>
  <c r="G1254" i="2"/>
  <c r="G1256" i="2"/>
  <c r="G1258" i="2"/>
  <c r="G1260" i="2"/>
  <c r="G1262" i="2"/>
  <c r="G1264" i="2"/>
  <c r="G1266" i="2"/>
  <c r="G1268" i="2"/>
  <c r="G1680" i="2"/>
  <c r="G1682" i="2"/>
  <c r="G1684" i="2"/>
  <c r="G1686" i="2"/>
  <c r="G1688" i="2"/>
  <c r="G1690" i="2"/>
  <c r="G1692" i="2"/>
  <c r="G1694" i="2"/>
  <c r="G1696" i="2"/>
  <c r="G1698" i="2"/>
  <c r="G1700" i="2"/>
  <c r="G1702" i="2"/>
  <c r="G1704" i="2"/>
  <c r="G1706" i="2"/>
  <c r="G1708" i="2"/>
  <c r="G1710" i="2"/>
  <c r="G1712" i="2"/>
  <c r="G1714" i="2"/>
  <c r="G1716" i="2"/>
  <c r="G1718" i="2"/>
  <c r="G1720" i="2"/>
  <c r="G1722" i="2"/>
  <c r="G1724" i="2"/>
  <c r="G1726" i="2"/>
  <c r="G1455" i="2"/>
  <c r="G1457" i="2"/>
  <c r="G1459" i="2"/>
  <c r="G1461" i="2"/>
  <c r="G1463" i="2"/>
  <c r="G1465" i="2"/>
  <c r="G1467" i="2"/>
  <c r="G1469" i="2"/>
  <c r="G1471" i="2"/>
  <c r="G1473" i="2"/>
  <c r="G1475" i="2"/>
  <c r="G1477" i="2"/>
  <c r="G1479" i="2"/>
  <c r="G1481" i="2"/>
  <c r="G1483" i="2"/>
  <c r="G1485" i="2"/>
  <c r="G1487" i="2"/>
  <c r="G1489" i="2"/>
  <c r="G1491" i="2"/>
  <c r="G1493" i="2"/>
  <c r="G1495" i="2"/>
  <c r="G1497" i="2"/>
  <c r="G1499" i="2"/>
  <c r="G1501" i="2"/>
  <c r="G1503" i="2"/>
  <c r="G1505" i="2"/>
  <c r="G1507" i="2"/>
  <c r="G1509" i="2"/>
  <c r="G1511" i="2"/>
  <c r="G1513" i="2"/>
  <c r="G1515" i="2"/>
  <c r="G1517" i="2"/>
  <c r="G1519" i="2"/>
  <c r="G1521" i="2"/>
  <c r="G1523" i="2"/>
  <c r="G1525" i="2"/>
  <c r="G1527" i="2"/>
  <c r="G1529" i="2"/>
  <c r="G1531" i="2"/>
  <c r="G1533" i="2"/>
  <c r="G1535" i="2"/>
  <c r="G1537" i="2"/>
  <c r="G1539" i="2"/>
  <c r="G1541" i="2"/>
  <c r="G1543" i="2"/>
  <c r="G1545" i="2"/>
  <c r="G1547" i="2"/>
  <c r="G1549" i="2"/>
  <c r="G1551" i="2"/>
  <c r="G1553" i="2"/>
  <c r="G1555" i="2"/>
  <c r="G1557" i="2"/>
  <c r="G1253" i="2"/>
  <c r="G1257" i="2"/>
  <c r="G1261" i="2"/>
  <c r="G1265" i="2"/>
  <c r="G1269" i="2"/>
  <c r="G1271" i="2"/>
  <c r="G1273" i="2"/>
  <c r="G1275" i="2"/>
  <c r="G1277" i="2"/>
  <c r="G1279" i="2"/>
  <c r="G1281" i="2"/>
  <c r="G1283" i="2"/>
  <c r="G1285" i="2"/>
  <c r="G1287" i="2"/>
  <c r="G1289" i="2"/>
  <c r="G1291" i="2"/>
  <c r="G1293" i="2"/>
  <c r="G1295" i="2"/>
  <c r="G1297" i="2"/>
  <c r="G1299" i="2"/>
  <c r="G1301" i="2"/>
  <c r="G1303" i="2"/>
  <c r="G1305" i="2"/>
  <c r="G1307" i="2"/>
  <c r="G1309" i="2"/>
  <c r="G1311" i="2"/>
  <c r="G1313" i="2"/>
  <c r="G1315" i="2"/>
  <c r="G1317" i="2"/>
  <c r="G1319" i="2"/>
  <c r="G1321" i="2"/>
  <c r="G1323" i="2"/>
  <c r="G1325" i="2"/>
  <c r="G1327" i="2"/>
  <c r="G1329" i="2"/>
  <c r="G1331" i="2"/>
  <c r="G1333" i="2"/>
  <c r="G1335" i="2"/>
  <c r="G1337" i="2"/>
  <c r="G1339" i="2"/>
  <c r="G1341" i="2"/>
  <c r="G1343" i="2"/>
  <c r="G1345" i="2"/>
  <c r="G1347" i="2"/>
  <c r="G1349" i="2"/>
  <c r="G1351" i="2"/>
  <c r="G1353" i="2"/>
  <c r="G1355" i="2"/>
  <c r="G1357" i="2"/>
  <c r="G1359" i="2"/>
  <c r="G1361" i="2"/>
  <c r="G1363" i="2"/>
  <c r="G1365" i="2"/>
  <c r="G1367" i="2"/>
  <c r="G1369" i="2"/>
  <c r="G1371" i="2"/>
  <c r="G1373" i="2"/>
  <c r="G1375" i="2"/>
  <c r="G1377" i="2"/>
  <c r="G1379" i="2"/>
  <c r="G1381" i="2"/>
  <c r="G1383" i="2"/>
  <c r="G1385" i="2"/>
  <c r="G1387" i="2"/>
  <c r="G1389" i="2"/>
  <c r="G1391" i="2"/>
  <c r="G1393" i="2"/>
  <c r="G1395" i="2"/>
  <c r="G1397" i="2"/>
  <c r="G1399" i="2"/>
  <c r="G1401" i="2"/>
  <c r="G1403" i="2"/>
  <c r="G1405" i="2"/>
  <c r="G1407" i="2"/>
  <c r="G1409" i="2"/>
  <c r="G1411" i="2"/>
  <c r="G1413" i="2"/>
  <c r="G1415" i="2"/>
  <c r="G1417" i="2"/>
  <c r="G1419" i="2"/>
  <c r="G1421" i="2"/>
  <c r="G1423" i="2"/>
  <c r="G1425" i="2"/>
  <c r="G1427" i="2"/>
  <c r="G1429" i="2"/>
  <c r="G1431" i="2"/>
  <c r="G1433" i="2"/>
  <c r="G1435" i="2"/>
  <c r="G1437" i="2"/>
  <c r="G1439" i="2"/>
  <c r="G1441" i="2"/>
  <c r="G1443" i="2"/>
  <c r="G1445" i="2"/>
  <c r="G299" i="2"/>
  <c r="G301" i="2"/>
  <c r="G303" i="2"/>
  <c r="G305" i="2"/>
  <c r="G307" i="2"/>
  <c r="G309" i="2"/>
  <c r="G311" i="2"/>
  <c r="G313" i="2"/>
  <c r="G315" i="2"/>
  <c r="G317" i="2"/>
  <c r="G319" i="2"/>
  <c r="G321" i="2"/>
  <c r="G323" i="2"/>
  <c r="G325" i="2"/>
  <c r="G327" i="2"/>
  <c r="G329" i="2"/>
  <c r="G331" i="2"/>
  <c r="G333" i="2"/>
  <c r="G335" i="2"/>
  <c r="G337" i="2"/>
  <c r="G339" i="2"/>
  <c r="G341" i="2"/>
  <c r="G343" i="2"/>
  <c r="G345" i="2"/>
  <c r="G347" i="2"/>
  <c r="G349" i="2"/>
  <c r="G351" i="2"/>
  <c r="G353" i="2"/>
  <c r="G355" i="2"/>
  <c r="G357" i="2"/>
  <c r="G359" i="2"/>
  <c r="G361" i="2"/>
  <c r="G363" i="2"/>
  <c r="G365" i="2"/>
  <c r="G367" i="2"/>
  <c r="G369" i="2"/>
  <c r="G371" i="2"/>
  <c r="G373" i="2"/>
  <c r="G375" i="2"/>
  <c r="G377" i="2"/>
  <c r="G379" i="2"/>
  <c r="G381" i="2"/>
  <c r="G383" i="2"/>
  <c r="G385" i="2"/>
  <c r="G387" i="2"/>
  <c r="G389" i="2"/>
  <c r="G391" i="2"/>
  <c r="G393" i="2"/>
  <c r="G395" i="2"/>
  <c r="G397" i="2"/>
  <c r="G399" i="2"/>
  <c r="G401" i="2"/>
  <c r="G403" i="2"/>
  <c r="G405" i="2"/>
  <c r="G407" i="2"/>
  <c r="G409" i="2"/>
  <c r="G411" i="2"/>
  <c r="G413" i="2"/>
  <c r="G415" i="2"/>
  <c r="G417" i="2"/>
  <c r="G419" i="2"/>
  <c r="G421" i="2"/>
  <c r="G423" i="2"/>
  <c r="G425" i="2"/>
  <c r="G427" i="2"/>
  <c r="G429" i="2"/>
  <c r="G431" i="2"/>
  <c r="G433" i="2"/>
  <c r="G1026" i="2"/>
  <c r="G1251" i="2"/>
  <c r="G1255" i="2"/>
  <c r="G1259" i="2"/>
  <c r="G1263" i="2"/>
  <c r="G1267" i="2"/>
  <c r="G1270" i="2"/>
  <c r="G1272" i="2"/>
  <c r="G1274" i="2"/>
  <c r="G1276" i="2"/>
  <c r="G1278" i="2"/>
  <c r="G1280" i="2"/>
  <c r="G1282" i="2"/>
  <c r="G1284" i="2"/>
  <c r="G1286" i="2"/>
  <c r="G1288" i="2"/>
  <c r="G1290" i="2"/>
  <c r="G1292" i="2"/>
  <c r="G1294" i="2"/>
  <c r="G1296" i="2"/>
  <c r="G1298" i="2"/>
  <c r="G1300" i="2"/>
  <c r="G1302" i="2"/>
  <c r="G1304" i="2"/>
  <c r="G1306" i="2"/>
  <c r="G1308" i="2"/>
  <c r="G1310" i="2"/>
  <c r="G1312" i="2"/>
  <c r="G1314" i="2"/>
  <c r="G1316" i="2"/>
  <c r="G1318" i="2"/>
  <c r="G1320" i="2"/>
  <c r="G1322" i="2"/>
  <c r="G1324" i="2"/>
  <c r="G1326" i="2"/>
  <c r="G1328" i="2"/>
  <c r="G1330" i="2"/>
  <c r="G1332" i="2"/>
  <c r="G1334" i="2"/>
  <c r="G1336" i="2"/>
  <c r="G1338" i="2"/>
  <c r="G1340" i="2"/>
  <c r="G1342" i="2"/>
  <c r="G1344" i="2"/>
  <c r="G1346" i="2"/>
  <c r="G1348" i="2"/>
  <c r="G1350" i="2"/>
  <c r="G1352" i="2"/>
  <c r="G1354" i="2"/>
  <c r="G1356" i="2"/>
  <c r="G1358" i="2"/>
  <c r="G1360" i="2"/>
  <c r="G1362" i="2"/>
  <c r="G1364" i="2"/>
  <c r="G1366" i="2"/>
  <c r="G1368" i="2"/>
  <c r="G1370" i="2"/>
  <c r="G1372" i="2"/>
  <c r="G1374" i="2"/>
  <c r="G1376" i="2"/>
  <c r="G1378" i="2"/>
  <c r="G1380" i="2"/>
  <c r="G1382" i="2"/>
  <c r="G1384" i="2"/>
  <c r="G1386" i="2"/>
  <c r="G1388" i="2"/>
  <c r="G1390" i="2"/>
  <c r="G1392" i="2"/>
  <c r="G1394" i="2"/>
  <c r="G1396" i="2"/>
  <c r="G1398" i="2"/>
  <c r="G1400" i="2"/>
  <c r="G1402" i="2"/>
  <c r="G1404" i="2"/>
  <c r="G1406" i="2"/>
  <c r="G1408" i="2"/>
  <c r="G1410" i="2"/>
  <c r="G1412" i="2"/>
  <c r="G1414" i="2"/>
  <c r="G1416" i="2"/>
  <c r="G1418" i="2"/>
  <c r="G1420" i="2"/>
  <c r="G1422" i="2"/>
  <c r="G1424" i="2"/>
  <c r="G1426" i="2"/>
  <c r="G1428" i="2"/>
  <c r="G1430" i="2"/>
  <c r="G1432" i="2"/>
  <c r="G1434" i="2"/>
  <c r="G1436" i="2"/>
  <c r="G1438" i="2"/>
  <c r="G1440" i="2"/>
  <c r="G1442" i="2"/>
  <c r="G1444" i="2"/>
  <c r="G1446" i="2"/>
  <c r="G300" i="2"/>
  <c r="G302" i="2"/>
  <c r="G304" i="2"/>
  <c r="G306" i="2"/>
  <c r="G308" i="2"/>
  <c r="G310" i="2"/>
  <c r="G312" i="2"/>
  <c r="G314" i="2"/>
  <c r="G316" i="2"/>
  <c r="G318" i="2"/>
  <c r="G320" i="2"/>
  <c r="G322" i="2"/>
  <c r="G324" i="2"/>
  <c r="G326" i="2"/>
  <c r="G328" i="2"/>
  <c r="G330" i="2"/>
  <c r="G332" i="2"/>
  <c r="G334" i="2"/>
  <c r="G336" i="2"/>
  <c r="G338" i="2"/>
  <c r="G340" i="2"/>
  <c r="G342" i="2"/>
  <c r="G344" i="2"/>
  <c r="G346" i="2"/>
  <c r="G348" i="2"/>
  <c r="G350" i="2"/>
  <c r="G352" i="2"/>
  <c r="G354" i="2"/>
  <c r="G356" i="2"/>
  <c r="G358" i="2"/>
  <c r="G360" i="2"/>
  <c r="G362" i="2"/>
  <c r="G364" i="2"/>
  <c r="G366" i="2"/>
  <c r="G368" i="2"/>
  <c r="G370" i="2"/>
  <c r="G372" i="2"/>
  <c r="G374" i="2"/>
  <c r="G376" i="2"/>
  <c r="G378" i="2"/>
  <c r="G380" i="2"/>
  <c r="G382" i="2"/>
  <c r="G384" i="2"/>
  <c r="G386" i="2"/>
  <c r="G388" i="2"/>
  <c r="G390" i="2"/>
  <c r="G392" i="2"/>
  <c r="G394" i="2"/>
  <c r="G396" i="2"/>
  <c r="G398" i="2"/>
  <c r="G400" i="2"/>
  <c r="G402" i="2"/>
  <c r="G404" i="2"/>
  <c r="G406" i="2"/>
  <c r="G408" i="2"/>
  <c r="G410" i="2"/>
  <c r="G412" i="2"/>
  <c r="G414" i="2"/>
  <c r="G416" i="2"/>
  <c r="G418" i="2"/>
  <c r="G420" i="2"/>
  <c r="G422" i="2"/>
  <c r="G424" i="2"/>
  <c r="G426" i="2"/>
  <c r="G428" i="2"/>
  <c r="G430" i="2"/>
  <c r="G432" i="2"/>
  <c r="G434" i="2"/>
  <c r="G1027" i="2"/>
  <c r="G1029" i="2"/>
  <c r="G1031" i="2"/>
  <c r="G1033" i="2"/>
  <c r="G1035" i="2"/>
  <c r="G1037" i="2"/>
  <c r="G1039" i="2"/>
  <c r="G1041" i="2"/>
  <c r="G1030" i="2"/>
  <c r="G1034" i="2"/>
  <c r="G1038" i="2"/>
  <c r="G1042" i="2"/>
  <c r="G1044" i="2"/>
  <c r="G1046" i="2"/>
  <c r="G1048" i="2"/>
  <c r="G1050" i="2"/>
  <c r="G1052" i="2"/>
  <c r="G1054" i="2"/>
  <c r="G1056" i="2"/>
  <c r="G1058" i="2"/>
  <c r="G1060" i="2"/>
  <c r="G1062" i="2"/>
  <c r="G1064" i="2"/>
  <c r="G1066" i="2"/>
  <c r="G1068" i="2"/>
  <c r="G1070" i="2"/>
  <c r="G1072" i="2"/>
  <c r="G1074" i="2"/>
  <c r="G1076" i="2"/>
  <c r="G1078" i="2"/>
  <c r="G1080" i="2"/>
  <c r="G1082" i="2"/>
  <c r="G1084" i="2"/>
  <c r="G1086" i="2"/>
  <c r="G1088" i="2"/>
  <c r="G1090" i="2"/>
  <c r="G1092" i="2"/>
  <c r="G1094" i="2"/>
  <c r="G1096" i="2"/>
  <c r="G1098" i="2"/>
  <c r="G1100" i="2"/>
  <c r="G1102" i="2"/>
  <c r="G1104" i="2"/>
  <c r="G1106" i="2"/>
  <c r="G1108" i="2"/>
  <c r="G1110" i="2"/>
  <c r="G1112" i="2"/>
  <c r="G1114" i="2"/>
  <c r="G1116" i="2"/>
  <c r="G1118" i="2"/>
  <c r="G1120" i="2"/>
  <c r="G1122" i="2"/>
  <c r="G1124" i="2"/>
  <c r="G1126" i="2"/>
  <c r="G1128" i="2"/>
  <c r="G1130" i="2"/>
  <c r="G1132" i="2"/>
  <c r="G1134" i="2"/>
  <c r="G1136" i="2"/>
  <c r="G1138" i="2"/>
  <c r="G1140" i="2"/>
  <c r="G1142" i="2"/>
  <c r="G1144" i="2"/>
  <c r="G1146" i="2"/>
  <c r="G1148" i="2"/>
  <c r="G1150" i="2"/>
  <c r="G1152" i="2"/>
  <c r="G1154" i="2"/>
  <c r="G1156" i="2"/>
  <c r="G1158" i="2"/>
  <c r="G1160" i="2"/>
  <c r="G1162" i="2"/>
  <c r="G1164" i="2"/>
  <c r="G1166" i="2"/>
  <c r="G1168" i="2"/>
  <c r="G1170" i="2"/>
  <c r="G1172" i="2"/>
  <c r="G1174" i="2"/>
  <c r="G1176" i="2"/>
  <c r="G1178" i="2"/>
  <c r="G1180" i="2"/>
  <c r="G1182" i="2"/>
  <c r="G1184" i="2"/>
  <c r="G1186" i="2"/>
  <c r="G1188" i="2"/>
  <c r="G1190" i="2"/>
  <c r="G1192" i="2"/>
  <c r="G1194" i="2"/>
  <c r="G1196" i="2"/>
  <c r="G1198" i="2"/>
  <c r="G1200" i="2"/>
  <c r="G1202" i="2"/>
  <c r="G1204" i="2"/>
  <c r="G1206" i="2"/>
  <c r="G1208" i="2"/>
  <c r="G1210" i="2"/>
  <c r="G1212" i="2"/>
  <c r="G1214" i="2"/>
  <c r="G1216" i="2"/>
  <c r="G1218" i="2"/>
  <c r="G1220" i="2"/>
  <c r="G1222" i="2"/>
  <c r="G1224" i="2"/>
  <c r="G1226" i="2"/>
  <c r="G1228" i="2"/>
  <c r="G1230" i="2"/>
  <c r="G1232" i="2"/>
  <c r="G1234" i="2"/>
  <c r="G1236" i="2"/>
  <c r="G1238" i="2"/>
  <c r="G1240" i="2"/>
  <c r="G1242" i="2"/>
  <c r="G1244" i="2"/>
  <c r="G1246" i="2"/>
  <c r="G1248" i="2"/>
  <c r="G585" i="2"/>
  <c r="G587" i="2"/>
  <c r="G589" i="2"/>
  <c r="G591" i="2"/>
  <c r="G593" i="2"/>
  <c r="G595" i="2"/>
  <c r="G597" i="2"/>
  <c r="G599" i="2"/>
  <c r="G601" i="2"/>
  <c r="G603" i="2"/>
  <c r="G605" i="2"/>
  <c r="G607" i="2"/>
  <c r="G609" i="2"/>
  <c r="G611" i="2"/>
  <c r="G613" i="2"/>
  <c r="G615" i="2"/>
  <c r="G617" i="2"/>
  <c r="G619" i="2"/>
  <c r="G621" i="2"/>
  <c r="G623" i="2"/>
  <c r="G625" i="2"/>
  <c r="G627" i="2"/>
  <c r="G629" i="2"/>
  <c r="G631" i="2"/>
  <c r="G633" i="2"/>
  <c r="G635" i="2"/>
  <c r="G637" i="2"/>
  <c r="G639" i="2"/>
  <c r="G641" i="2"/>
  <c r="G643" i="2"/>
  <c r="G645" i="2"/>
  <c r="G647" i="2"/>
  <c r="G649" i="2"/>
  <c r="G651" i="2"/>
  <c r="G653" i="2"/>
  <c r="G655" i="2"/>
  <c r="G657" i="2"/>
  <c r="G659" i="2"/>
  <c r="G661" i="2"/>
  <c r="G663" i="2"/>
  <c r="G665" i="2"/>
  <c r="G667" i="2"/>
  <c r="G669" i="2"/>
  <c r="G671" i="2"/>
  <c r="G673" i="2"/>
  <c r="G675" i="2"/>
  <c r="G677" i="2"/>
  <c r="G679" i="2"/>
  <c r="G681" i="2"/>
  <c r="G683" i="2"/>
  <c r="G685" i="2"/>
  <c r="G687" i="2"/>
  <c r="G689" i="2"/>
  <c r="G691" i="2"/>
  <c r="G693" i="2"/>
  <c r="G695" i="2"/>
  <c r="G697" i="2"/>
  <c r="G699" i="2"/>
  <c r="G701" i="2"/>
  <c r="G703" i="2"/>
  <c r="G705" i="2"/>
  <c r="G707" i="2"/>
  <c r="G709" i="2"/>
  <c r="G1028" i="2"/>
  <c r="G1032" i="2"/>
  <c r="G1036" i="2"/>
  <c r="G1040" i="2"/>
  <c r="G1043" i="2"/>
  <c r="G1045" i="2"/>
  <c r="G1047" i="2"/>
  <c r="G1049" i="2"/>
  <c r="G1051" i="2"/>
  <c r="G1053" i="2"/>
  <c r="G1055" i="2"/>
  <c r="G1057" i="2"/>
  <c r="G1059" i="2"/>
  <c r="G1061" i="2"/>
  <c r="G1063" i="2"/>
  <c r="G1065" i="2"/>
  <c r="G1067" i="2"/>
  <c r="G1069" i="2"/>
  <c r="G1071" i="2"/>
  <c r="G1073" i="2"/>
  <c r="G1075" i="2"/>
  <c r="G1077" i="2"/>
  <c r="G1079" i="2"/>
  <c r="G1081" i="2"/>
  <c r="G1083" i="2"/>
  <c r="G1085" i="2"/>
  <c r="G1087" i="2"/>
  <c r="G1089" i="2"/>
  <c r="G1091" i="2"/>
  <c r="G1093" i="2"/>
  <c r="G1095" i="2"/>
  <c r="G1097" i="2"/>
  <c r="G1099" i="2"/>
  <c r="G1101" i="2"/>
  <c r="G1103" i="2"/>
  <c r="G1105" i="2"/>
  <c r="G1107" i="2"/>
  <c r="G1109" i="2"/>
  <c r="G1111" i="2"/>
  <c r="G1113" i="2"/>
  <c r="G1115" i="2"/>
  <c r="G1117" i="2"/>
  <c r="G1119" i="2"/>
  <c r="G1121" i="2"/>
  <c r="G1123" i="2"/>
  <c r="G1125" i="2"/>
  <c r="G1127" i="2"/>
  <c r="G1129" i="2"/>
  <c r="G1131" i="2"/>
  <c r="G1133" i="2"/>
  <c r="G1135" i="2"/>
  <c r="G1137" i="2"/>
  <c r="G1139" i="2"/>
  <c r="G1141" i="2"/>
  <c r="G1143" i="2"/>
  <c r="G1145" i="2"/>
  <c r="G1147" i="2"/>
  <c r="G1149" i="2"/>
  <c r="G1151" i="2"/>
  <c r="G1153" i="2"/>
  <c r="G1155" i="2"/>
  <c r="G1157" i="2"/>
  <c r="G1159" i="2"/>
  <c r="G1161" i="2"/>
  <c r="G1163" i="2"/>
  <c r="G1165" i="2"/>
  <c r="G1167" i="2"/>
  <c r="G1169" i="2"/>
  <c r="G1171" i="2"/>
  <c r="G1173" i="2"/>
  <c r="G1175" i="2"/>
  <c r="G1177" i="2"/>
  <c r="G1179" i="2"/>
  <c r="G1181" i="2"/>
  <c r="G1183" i="2"/>
  <c r="G1185" i="2"/>
  <c r="G1187" i="2"/>
  <c r="G1189" i="2"/>
  <c r="G1191" i="2"/>
  <c r="G1193" i="2"/>
  <c r="G1195" i="2"/>
  <c r="G1197" i="2"/>
  <c r="G1199" i="2"/>
  <c r="G1201" i="2"/>
  <c r="G1203" i="2"/>
  <c r="G1205" i="2"/>
  <c r="G1207" i="2"/>
  <c r="G1209" i="2"/>
  <c r="G1211" i="2"/>
  <c r="G1213" i="2"/>
  <c r="G1215" i="2"/>
  <c r="G1217" i="2"/>
  <c r="G1219" i="2"/>
  <c r="G1221" i="2"/>
  <c r="G1223" i="2"/>
  <c r="G1225" i="2"/>
  <c r="G1227" i="2"/>
  <c r="G1229" i="2"/>
  <c r="G1231" i="2"/>
  <c r="G1233" i="2"/>
  <c r="G1235" i="2"/>
  <c r="G1237" i="2"/>
  <c r="G1239" i="2"/>
  <c r="G1241" i="2"/>
  <c r="G1243" i="2"/>
  <c r="G1245" i="2"/>
  <c r="G1247" i="2"/>
  <c r="G1249" i="2"/>
  <c r="G586" i="2"/>
  <c r="G588" i="2"/>
  <c r="G590" i="2"/>
  <c r="G592" i="2"/>
  <c r="G594" i="2"/>
  <c r="G596" i="2"/>
  <c r="G598" i="2"/>
  <c r="G600" i="2"/>
  <c r="G602" i="2"/>
  <c r="G604" i="2"/>
  <c r="G606" i="2"/>
  <c r="G608" i="2"/>
  <c r="G610" i="2"/>
  <c r="G612" i="2"/>
  <c r="G614" i="2"/>
  <c r="G616" i="2"/>
  <c r="G618" i="2"/>
  <c r="G620" i="2"/>
  <c r="G622" i="2"/>
  <c r="G624" i="2"/>
  <c r="G626" i="2"/>
  <c r="G628" i="2"/>
  <c r="G630" i="2"/>
  <c r="G632" i="2"/>
  <c r="G634" i="2"/>
  <c r="G636" i="2"/>
  <c r="G638" i="2"/>
  <c r="G640" i="2"/>
  <c r="G642" i="2"/>
  <c r="G644" i="2"/>
  <c r="G646" i="2"/>
  <c r="G648" i="2"/>
  <c r="G650" i="2"/>
  <c r="G652" i="2"/>
  <c r="G654" i="2"/>
  <c r="G656" i="2"/>
  <c r="G658" i="2"/>
  <c r="G660" i="2"/>
  <c r="G662" i="2"/>
  <c r="G664" i="2"/>
  <c r="G666" i="2"/>
  <c r="G668" i="2"/>
  <c r="G670" i="2"/>
  <c r="G672" i="2"/>
  <c r="G674" i="2"/>
  <c r="G676" i="2"/>
  <c r="G678" i="2"/>
  <c r="G680" i="2"/>
  <c r="G682" i="2"/>
  <c r="G684" i="2"/>
  <c r="G686" i="2"/>
  <c r="G688" i="2"/>
  <c r="G690" i="2"/>
  <c r="G692" i="2"/>
  <c r="G694" i="2"/>
  <c r="G696" i="2"/>
  <c r="G698" i="2"/>
  <c r="G700" i="2"/>
  <c r="G702" i="2"/>
  <c r="G704" i="2"/>
  <c r="G706" i="2"/>
  <c r="G708" i="2"/>
  <c r="G710" i="2"/>
  <c r="G712" i="2"/>
  <c r="G713" i="2"/>
  <c r="G715" i="2"/>
  <c r="G717" i="2"/>
  <c r="G719" i="2"/>
  <c r="G721" i="2"/>
  <c r="G723" i="2"/>
  <c r="G725" i="2"/>
  <c r="G727" i="2"/>
  <c r="G729" i="2"/>
  <c r="G731" i="2"/>
  <c r="G733" i="2"/>
  <c r="G735" i="2"/>
  <c r="G737" i="2"/>
  <c r="G739" i="2"/>
  <c r="G741" i="2"/>
  <c r="G743" i="2"/>
  <c r="G745" i="2"/>
  <c r="G747" i="2"/>
  <c r="G749" i="2"/>
  <c r="G751" i="2"/>
  <c r="G753" i="2"/>
  <c r="G755" i="2"/>
  <c r="G757" i="2"/>
  <c r="G759" i="2"/>
  <c r="G761" i="2"/>
  <c r="G763" i="2"/>
  <c r="G765" i="2"/>
  <c r="G767" i="2"/>
  <c r="G769" i="2"/>
  <c r="G771" i="2"/>
  <c r="G773" i="2"/>
  <c r="G775" i="2"/>
  <c r="G777" i="2"/>
  <c r="G779" i="2"/>
  <c r="G781" i="2"/>
  <c r="G783" i="2"/>
  <c r="G785" i="2"/>
  <c r="G787" i="2"/>
  <c r="G789" i="2"/>
  <c r="G791" i="2"/>
  <c r="G793" i="2"/>
  <c r="G795" i="2"/>
  <c r="G797" i="2"/>
  <c r="G799" i="2"/>
  <c r="G801" i="2"/>
  <c r="G803" i="2"/>
  <c r="G805" i="2"/>
  <c r="G807" i="2"/>
  <c r="G809" i="2"/>
  <c r="G811" i="2"/>
  <c r="G813" i="2"/>
  <c r="G815" i="2"/>
  <c r="G817" i="2"/>
  <c r="G819" i="2"/>
  <c r="G821" i="2"/>
  <c r="G823" i="2"/>
  <c r="G825" i="2"/>
  <c r="G827" i="2"/>
  <c r="G829" i="2"/>
  <c r="G831" i="2"/>
  <c r="G833" i="2"/>
  <c r="G835" i="2"/>
  <c r="G837" i="2"/>
  <c r="G839" i="2"/>
  <c r="G841" i="2"/>
  <c r="G843" i="2"/>
  <c r="G845" i="2"/>
  <c r="G847" i="2"/>
  <c r="G849" i="2"/>
  <c r="G851" i="2"/>
  <c r="G853" i="2"/>
  <c r="G855" i="2"/>
  <c r="G857" i="2"/>
  <c r="G859" i="2"/>
  <c r="G861" i="2"/>
  <c r="G863" i="2"/>
  <c r="G865" i="2"/>
  <c r="G867" i="2"/>
  <c r="G869" i="2"/>
  <c r="G871" i="2"/>
  <c r="G873" i="2"/>
  <c r="G875" i="2"/>
  <c r="G877" i="2"/>
  <c r="G879" i="2"/>
  <c r="G881" i="2"/>
  <c r="G883" i="2"/>
  <c r="G885" i="2"/>
  <c r="G887" i="2"/>
  <c r="G889" i="2"/>
  <c r="G891" i="2"/>
  <c r="G893" i="2"/>
  <c r="G895" i="2"/>
  <c r="G897" i="2"/>
  <c r="G899" i="2"/>
  <c r="G901" i="2"/>
  <c r="G903" i="2"/>
  <c r="G905" i="2"/>
  <c r="G907" i="2"/>
  <c r="G909" i="2"/>
  <c r="G911" i="2"/>
  <c r="G913" i="2"/>
  <c r="G915" i="2"/>
  <c r="G917" i="2"/>
  <c r="G919" i="2"/>
  <c r="G921" i="2"/>
  <c r="G923" i="2"/>
  <c r="G925" i="2"/>
  <c r="G927" i="2"/>
  <c r="G929" i="2"/>
  <c r="G931" i="2"/>
  <c r="G933" i="2"/>
  <c r="G935" i="2"/>
  <c r="G937" i="2"/>
  <c r="G939" i="2"/>
  <c r="G941" i="2"/>
  <c r="G943" i="2"/>
  <c r="G945" i="2"/>
  <c r="G947" i="2"/>
  <c r="G949" i="2"/>
  <c r="G951" i="2"/>
  <c r="G953" i="2"/>
  <c r="G955" i="2"/>
  <c r="G957" i="2"/>
  <c r="G959" i="2"/>
  <c r="G961" i="2"/>
  <c r="G963" i="2"/>
  <c r="G965" i="2"/>
  <c r="G967" i="2"/>
  <c r="G969" i="2"/>
  <c r="G971" i="2"/>
  <c r="G973" i="2"/>
  <c r="G975" i="2"/>
  <c r="G977" i="2"/>
  <c r="G979" i="2"/>
  <c r="G981" i="2"/>
  <c r="G983" i="2"/>
  <c r="G985" i="2"/>
  <c r="G987" i="2"/>
  <c r="G989" i="2"/>
  <c r="G991" i="2"/>
  <c r="G993" i="2"/>
  <c r="G995" i="2"/>
  <c r="G997" i="2"/>
  <c r="G999" i="2"/>
  <c r="G1001" i="2"/>
  <c r="G1003" i="2"/>
  <c r="G1005" i="2"/>
  <c r="G1007" i="2"/>
  <c r="G1009" i="2"/>
  <c r="G1011" i="2"/>
  <c r="G1013" i="2"/>
  <c r="G1015" i="2"/>
  <c r="G1017" i="2"/>
  <c r="G1019" i="2"/>
  <c r="G1021" i="2"/>
  <c r="G1023" i="2"/>
  <c r="G1025" i="2"/>
  <c r="G1447" i="2"/>
  <c r="G1449" i="2"/>
  <c r="G1451" i="2"/>
  <c r="G1453" i="2"/>
  <c r="G1559" i="2"/>
  <c r="G1561" i="2"/>
  <c r="G1563" i="2"/>
  <c r="G1738" i="2"/>
  <c r="G1740" i="2"/>
  <c r="G1742" i="2"/>
  <c r="G436" i="2"/>
  <c r="G438" i="2"/>
  <c r="G440" i="2"/>
  <c r="G442" i="2"/>
  <c r="G444" i="2"/>
  <c r="G446" i="2"/>
  <c r="G448" i="2"/>
  <c r="G450" i="2"/>
  <c r="G452" i="2"/>
  <c r="G454" i="2"/>
  <c r="G456" i="2"/>
  <c r="G458" i="2"/>
  <c r="G460" i="2"/>
  <c r="G462" i="2"/>
  <c r="G464" i="2"/>
  <c r="G466" i="2"/>
  <c r="G468" i="2"/>
  <c r="G470" i="2"/>
  <c r="G472" i="2"/>
  <c r="G474" i="2"/>
  <c r="G476" i="2"/>
  <c r="G478" i="2"/>
  <c r="G480" i="2"/>
  <c r="G482" i="2"/>
  <c r="G484" i="2"/>
  <c r="G486" i="2"/>
  <c r="G488" i="2"/>
  <c r="G490" i="2"/>
  <c r="G492" i="2"/>
  <c r="G494" i="2"/>
  <c r="G496" i="2"/>
  <c r="G498" i="2"/>
  <c r="G500" i="2"/>
  <c r="G502" i="2"/>
  <c r="G504" i="2"/>
  <c r="G506" i="2"/>
  <c r="G508" i="2"/>
  <c r="G510" i="2"/>
  <c r="G512" i="2"/>
  <c r="G514" i="2"/>
  <c r="G516" i="2"/>
  <c r="G518" i="2"/>
  <c r="G520" i="2"/>
  <c r="G522" i="2"/>
  <c r="G524" i="2"/>
  <c r="G526" i="2"/>
  <c r="G528" i="2"/>
  <c r="G530" i="2"/>
  <c r="G532" i="2"/>
  <c r="G534" i="2"/>
  <c r="G536" i="2"/>
  <c r="G538" i="2"/>
  <c r="G540" i="2"/>
  <c r="G542" i="2"/>
  <c r="G544" i="2"/>
  <c r="G546" i="2"/>
  <c r="G548" i="2"/>
  <c r="G550" i="2"/>
  <c r="G552" i="2"/>
  <c r="G554" i="2"/>
  <c r="G556" i="2"/>
  <c r="G558" i="2"/>
  <c r="G560" i="2"/>
  <c r="G562" i="2"/>
  <c r="G564" i="2"/>
  <c r="G566" i="2"/>
  <c r="G568" i="2"/>
  <c r="G570" i="2"/>
  <c r="G572" i="2"/>
  <c r="G574" i="2"/>
  <c r="G576" i="2"/>
  <c r="G578" i="2"/>
  <c r="G580" i="2"/>
  <c r="G582" i="2"/>
  <c r="G1565" i="2"/>
  <c r="G1567" i="2"/>
  <c r="G1569" i="2"/>
  <c r="G1571" i="2"/>
  <c r="G1573" i="2"/>
  <c r="G1729" i="2"/>
  <c r="G1731" i="2"/>
  <c r="G1733" i="2"/>
  <c r="G1735" i="2"/>
  <c r="G1737" i="2"/>
  <c r="G234" i="2"/>
  <c r="G236" i="2"/>
  <c r="G238" i="2"/>
  <c r="G240" i="2"/>
  <c r="G242" i="2"/>
  <c r="G244" i="2"/>
  <c r="G246" i="2"/>
  <c r="G248" i="2"/>
  <c r="G250" i="2"/>
  <c r="G252" i="2"/>
  <c r="G254" i="2"/>
  <c r="G256" i="2"/>
  <c r="G258" i="2"/>
  <c r="G260" i="2"/>
  <c r="G262" i="2"/>
  <c r="G264" i="2"/>
  <c r="G266" i="2"/>
  <c r="G268" i="2"/>
  <c r="G270" i="2"/>
  <c r="G272" i="2"/>
  <c r="G274" i="2"/>
  <c r="G276" i="2"/>
  <c r="G278" i="2"/>
  <c r="G280" i="2"/>
  <c r="G214" i="2"/>
  <c r="G216" i="2"/>
  <c r="G218" i="2"/>
  <c r="G220" i="2"/>
  <c r="G222" i="2"/>
  <c r="G224" i="2"/>
  <c r="G226" i="2"/>
  <c r="G228" i="2"/>
  <c r="G230" i="2"/>
  <c r="G200" i="2"/>
  <c r="G202" i="2"/>
  <c r="G204" i="2"/>
  <c r="G206" i="2"/>
  <c r="G208" i="2"/>
  <c r="G210" i="2"/>
  <c r="G212" i="2"/>
  <c r="G179" i="2"/>
  <c r="G181" i="2"/>
  <c r="G183" i="2"/>
  <c r="G186" i="2"/>
  <c r="G188" i="2"/>
  <c r="G190" i="2"/>
  <c r="G193" i="2"/>
  <c r="G195" i="2"/>
  <c r="G197" i="2"/>
  <c r="G232" i="2"/>
  <c r="G282" i="2"/>
  <c r="G284" i="2"/>
  <c r="G287" i="2"/>
  <c r="G711" i="2"/>
  <c r="G714" i="2"/>
  <c r="G716" i="2"/>
  <c r="G718" i="2"/>
  <c r="G720" i="2"/>
  <c r="G722" i="2"/>
  <c r="G724" i="2"/>
  <c r="G726" i="2"/>
  <c r="G728" i="2"/>
  <c r="G730" i="2"/>
  <c r="G732" i="2"/>
  <c r="G734" i="2"/>
  <c r="G736" i="2"/>
  <c r="G738" i="2"/>
  <c r="G740" i="2"/>
  <c r="G742" i="2"/>
  <c r="G744" i="2"/>
  <c r="G746" i="2"/>
  <c r="G748" i="2"/>
  <c r="G750" i="2"/>
  <c r="G752" i="2"/>
  <c r="G754" i="2"/>
  <c r="G756" i="2"/>
  <c r="G758" i="2"/>
  <c r="G760" i="2"/>
  <c r="G762" i="2"/>
  <c r="G764" i="2"/>
  <c r="G766" i="2"/>
  <c r="G768" i="2"/>
  <c r="G770" i="2"/>
  <c r="G772" i="2"/>
  <c r="G774" i="2"/>
  <c r="G776" i="2"/>
  <c r="G778" i="2"/>
  <c r="G780" i="2"/>
  <c r="G782" i="2"/>
  <c r="G784" i="2"/>
  <c r="G786" i="2"/>
  <c r="G788" i="2"/>
  <c r="G790" i="2"/>
  <c r="G792" i="2"/>
  <c r="G794" i="2"/>
  <c r="G796" i="2"/>
  <c r="G798" i="2"/>
  <c r="G800" i="2"/>
  <c r="G802" i="2"/>
  <c r="G804" i="2"/>
  <c r="G806" i="2"/>
  <c r="G808" i="2"/>
  <c r="G810" i="2"/>
  <c r="G812" i="2"/>
  <c r="G814" i="2"/>
  <c r="G816" i="2"/>
  <c r="G818" i="2"/>
  <c r="G820" i="2"/>
  <c r="G822" i="2"/>
  <c r="G824" i="2"/>
  <c r="G826" i="2"/>
  <c r="G828" i="2"/>
  <c r="G830" i="2"/>
  <c r="G832" i="2"/>
  <c r="G834" i="2"/>
  <c r="G836" i="2"/>
  <c r="G838" i="2"/>
  <c r="G840" i="2"/>
  <c r="G842" i="2"/>
  <c r="G844" i="2"/>
  <c r="G846" i="2"/>
  <c r="G848" i="2"/>
  <c r="G850" i="2"/>
  <c r="G852" i="2"/>
  <c r="G854" i="2"/>
  <c r="G856" i="2"/>
  <c r="G858" i="2"/>
  <c r="G860" i="2"/>
  <c r="G862" i="2"/>
  <c r="G864" i="2"/>
  <c r="G866" i="2"/>
  <c r="G868" i="2"/>
  <c r="G870" i="2"/>
  <c r="G872" i="2"/>
  <c r="G874" i="2"/>
  <c r="G876" i="2"/>
  <c r="G878" i="2"/>
  <c r="G880" i="2"/>
  <c r="G882" i="2"/>
  <c r="G884" i="2"/>
  <c r="G886" i="2"/>
  <c r="G888" i="2"/>
  <c r="G890" i="2"/>
  <c r="G892" i="2"/>
  <c r="G894" i="2"/>
  <c r="G896" i="2"/>
  <c r="G898" i="2"/>
  <c r="G900" i="2"/>
  <c r="G902" i="2"/>
  <c r="G904" i="2"/>
  <c r="G906" i="2"/>
  <c r="G908" i="2"/>
  <c r="G910" i="2"/>
  <c r="G912" i="2"/>
  <c r="G914" i="2"/>
  <c r="G916" i="2"/>
  <c r="G918" i="2"/>
  <c r="G920" i="2"/>
  <c r="G922" i="2"/>
  <c r="G924" i="2"/>
  <c r="G926" i="2"/>
  <c r="G928" i="2"/>
  <c r="G930" i="2"/>
  <c r="G932" i="2"/>
  <c r="G934" i="2"/>
  <c r="G936" i="2"/>
  <c r="G938" i="2"/>
  <c r="G940" i="2"/>
  <c r="G942" i="2"/>
  <c r="G944" i="2"/>
  <c r="G946" i="2"/>
  <c r="G948" i="2"/>
  <c r="G950" i="2"/>
  <c r="G952" i="2"/>
  <c r="G954" i="2"/>
  <c r="G956" i="2"/>
  <c r="G958" i="2"/>
  <c r="G960" i="2"/>
  <c r="G962" i="2"/>
  <c r="G964" i="2"/>
  <c r="G966" i="2"/>
  <c r="G968" i="2"/>
  <c r="G970" i="2"/>
  <c r="G972" i="2"/>
  <c r="G974" i="2"/>
  <c r="G976" i="2"/>
  <c r="G978" i="2"/>
  <c r="G980" i="2"/>
  <c r="G982" i="2"/>
  <c r="G984" i="2"/>
  <c r="G986" i="2"/>
  <c r="G988" i="2"/>
  <c r="G990" i="2"/>
  <c r="G992" i="2"/>
  <c r="G994" i="2"/>
  <c r="G996" i="2"/>
  <c r="G998" i="2"/>
  <c r="G1000" i="2"/>
  <c r="G1002" i="2"/>
  <c r="G1004" i="2"/>
  <c r="G1006" i="2"/>
  <c r="G1008" i="2"/>
  <c r="G1010" i="2"/>
  <c r="G1012" i="2"/>
  <c r="G1014" i="2"/>
  <c r="G1016" i="2"/>
  <c r="G1018" i="2"/>
  <c r="G1020" i="2"/>
  <c r="G1022" i="2"/>
  <c r="G1024" i="2"/>
  <c r="G1250" i="2"/>
  <c r="G1448" i="2"/>
  <c r="G1450" i="2"/>
  <c r="G1452" i="2"/>
  <c r="G1454" i="2"/>
  <c r="G1560" i="2"/>
  <c r="G1562" i="2"/>
  <c r="G1564" i="2"/>
  <c r="G1739" i="2"/>
  <c r="G1741" i="2"/>
  <c r="G435" i="2"/>
  <c r="G437" i="2"/>
  <c r="G439" i="2"/>
  <c r="G441" i="2"/>
  <c r="G443" i="2"/>
  <c r="G445" i="2"/>
  <c r="G447" i="2"/>
  <c r="G449" i="2"/>
  <c r="G451" i="2"/>
  <c r="G453" i="2"/>
  <c r="G455" i="2"/>
  <c r="G457" i="2"/>
  <c r="G459" i="2"/>
  <c r="G461" i="2"/>
  <c r="G463" i="2"/>
  <c r="G465" i="2"/>
  <c r="G467" i="2"/>
  <c r="G469" i="2"/>
  <c r="G471" i="2"/>
  <c r="G473" i="2"/>
  <c r="G475" i="2"/>
  <c r="G477" i="2"/>
  <c r="G479" i="2"/>
  <c r="G481" i="2"/>
  <c r="G483" i="2"/>
  <c r="G485" i="2"/>
  <c r="G487" i="2"/>
  <c r="G489" i="2"/>
  <c r="G491" i="2"/>
  <c r="G493" i="2"/>
  <c r="G495" i="2"/>
  <c r="G497" i="2"/>
  <c r="G499" i="2"/>
  <c r="G501" i="2"/>
  <c r="G503" i="2"/>
  <c r="G505" i="2"/>
  <c r="G507" i="2"/>
  <c r="G509" i="2"/>
  <c r="G511" i="2"/>
  <c r="G513" i="2"/>
  <c r="G515" i="2"/>
  <c r="G517" i="2"/>
  <c r="G519" i="2"/>
  <c r="G521" i="2"/>
  <c r="G523" i="2"/>
  <c r="G525" i="2"/>
  <c r="G527" i="2"/>
  <c r="G529" i="2"/>
  <c r="G531" i="2"/>
  <c r="G533" i="2"/>
  <c r="G535" i="2"/>
  <c r="G537" i="2"/>
  <c r="G539" i="2"/>
  <c r="G541" i="2"/>
  <c r="G543" i="2"/>
  <c r="G545" i="2"/>
  <c r="G547" i="2"/>
  <c r="G549" i="2"/>
  <c r="G551" i="2"/>
  <c r="G553" i="2"/>
  <c r="G555" i="2"/>
  <c r="G557" i="2"/>
  <c r="G559" i="2"/>
  <c r="G561" i="2"/>
  <c r="G563" i="2"/>
  <c r="G565" i="2"/>
  <c r="G567" i="2"/>
  <c r="G569" i="2"/>
  <c r="G571" i="2"/>
  <c r="G573" i="2"/>
  <c r="G575" i="2"/>
  <c r="G577" i="2"/>
  <c r="G579" i="2"/>
  <c r="G581" i="2"/>
  <c r="G584" i="2"/>
  <c r="G1566" i="2"/>
  <c r="G1568" i="2"/>
  <c r="G1570" i="2"/>
  <c r="G1572" i="2"/>
  <c r="G1728" i="2"/>
  <c r="G1730" i="2"/>
  <c r="G1732" i="2"/>
  <c r="G1734" i="2"/>
  <c r="G1736" i="2"/>
  <c r="G233" i="2"/>
  <c r="G235" i="2"/>
  <c r="G237" i="2"/>
  <c r="G239" i="2"/>
  <c r="G241" i="2"/>
  <c r="G243" i="2"/>
  <c r="G245" i="2"/>
  <c r="G247" i="2"/>
  <c r="G249" i="2"/>
  <c r="G251" i="2"/>
  <c r="G253" i="2"/>
  <c r="G255" i="2"/>
  <c r="G257" i="2"/>
  <c r="G259" i="2"/>
  <c r="G261" i="2"/>
  <c r="G263" i="2"/>
  <c r="G265" i="2"/>
  <c r="G267" i="2"/>
  <c r="G269" i="2"/>
  <c r="G271" i="2"/>
  <c r="G273" i="2"/>
  <c r="G275" i="2"/>
  <c r="G277" i="2"/>
  <c r="G279" i="2"/>
  <c r="G213" i="2"/>
  <c r="G215" i="2"/>
  <c r="G217" i="2"/>
  <c r="G219" i="2"/>
  <c r="G221" i="2"/>
  <c r="G223" i="2"/>
  <c r="G225" i="2"/>
  <c r="G227" i="2"/>
  <c r="G229" i="2"/>
  <c r="G201" i="2"/>
  <c r="G203" i="2"/>
  <c r="G205" i="2"/>
  <c r="G207" i="2"/>
  <c r="G209" i="2"/>
  <c r="G211" i="2"/>
  <c r="G231" i="2"/>
  <c r="G178" i="2"/>
  <c r="G180" i="2"/>
  <c r="G182" i="2"/>
  <c r="G184" i="2"/>
  <c r="G185" i="2"/>
  <c r="G187" i="2"/>
  <c r="G189" i="2"/>
  <c r="G191" i="2"/>
  <c r="G192" i="2"/>
  <c r="G194" i="2"/>
  <c r="G196" i="2"/>
  <c r="G198" i="2"/>
  <c r="G199" i="2"/>
  <c r="G281" i="2"/>
  <c r="G283" i="2"/>
  <c r="G285" i="2"/>
  <c r="G286" i="2"/>
  <c r="H177" i="10"/>
  <c r="J177" i="10"/>
  <c r="K177" i="10"/>
  <c r="H179" i="10"/>
  <c r="J179" i="10"/>
  <c r="K179" i="10"/>
  <c r="H178" i="10"/>
  <c r="J178" i="10"/>
  <c r="K178" i="10"/>
  <c r="H170" i="10"/>
  <c r="H172" i="10"/>
  <c r="H174" i="10"/>
  <c r="H176" i="10"/>
  <c r="J171" i="10"/>
  <c r="K170" i="10"/>
  <c r="K172" i="10"/>
  <c r="J174" i="10"/>
  <c r="K173" i="10"/>
  <c r="K175" i="10"/>
  <c r="K176" i="10"/>
  <c r="G114" i="10"/>
  <c r="G106" i="10"/>
  <c r="Q114" i="10"/>
  <c r="Q106" i="10"/>
  <c r="R114" i="10"/>
  <c r="R106" i="10"/>
  <c r="G53" i="10"/>
  <c r="Q35" i="10"/>
  <c r="R35" i="10"/>
  <c r="G68" i="10"/>
  <c r="Q68" i="10"/>
  <c r="R68" i="10"/>
  <c r="G99" i="10"/>
  <c r="Q99" i="10"/>
  <c r="R99" i="10"/>
  <c r="H166" i="10"/>
  <c r="J166" i="10"/>
  <c r="K166" i="10"/>
  <c r="H168" i="10"/>
  <c r="K168" i="10"/>
  <c r="G139" i="10"/>
  <c r="G33" i="10"/>
  <c r="G143" i="10"/>
  <c r="Q139" i="10"/>
  <c r="R139" i="10"/>
  <c r="Q33" i="10"/>
  <c r="R33" i="10"/>
  <c r="H171" i="10"/>
  <c r="H173" i="10"/>
  <c r="H175" i="10"/>
  <c r="J170" i="10"/>
  <c r="J172" i="10"/>
  <c r="K171" i="10"/>
  <c r="J173" i="10"/>
  <c r="J175" i="10"/>
  <c r="K174" i="10"/>
  <c r="J176" i="10"/>
  <c r="G49" i="10"/>
  <c r="G115" i="10"/>
  <c r="Q49" i="10"/>
  <c r="Q115" i="10"/>
  <c r="R49" i="10"/>
  <c r="R115" i="10"/>
  <c r="G35" i="10"/>
  <c r="Q53" i="10"/>
  <c r="R53" i="10"/>
  <c r="G95" i="10"/>
  <c r="Q95" i="10"/>
  <c r="R95" i="10"/>
  <c r="G100" i="10"/>
  <c r="Q100" i="10"/>
  <c r="R100" i="10"/>
  <c r="H167" i="10"/>
  <c r="J167" i="10"/>
  <c r="K167" i="10"/>
  <c r="J168" i="10"/>
  <c r="G138" i="10"/>
  <c r="G140" i="10"/>
  <c r="G34" i="10"/>
  <c r="Q140" i="10"/>
  <c r="R140" i="10"/>
  <c r="Q34" i="10"/>
  <c r="R34" i="10"/>
  <c r="Q143" i="10"/>
  <c r="R138" i="10"/>
  <c r="R137" i="10"/>
  <c r="R136" i="10"/>
  <c r="R135" i="10"/>
  <c r="R131" i="10"/>
  <c r="R130" i="10"/>
  <c r="R129" i="10"/>
  <c r="Q127" i="10"/>
  <c r="G124" i="10"/>
  <c r="Q124" i="10"/>
  <c r="G123" i="10"/>
  <c r="Q123" i="10"/>
  <c r="G122" i="10"/>
  <c r="Q122" i="10"/>
  <c r="G121" i="10"/>
  <c r="Q121" i="10"/>
  <c r="G120" i="10"/>
  <c r="Q120" i="10"/>
  <c r="G119" i="10"/>
  <c r="Q119" i="10"/>
  <c r="G118" i="10"/>
  <c r="Q118" i="10"/>
  <c r="G117" i="10"/>
  <c r="Q117" i="10"/>
  <c r="G116" i="10"/>
  <c r="Q116" i="10"/>
  <c r="G113" i="10"/>
  <c r="Q113" i="10"/>
  <c r="G112" i="10"/>
  <c r="Q112" i="10"/>
  <c r="G111" i="10"/>
  <c r="Q111" i="10"/>
  <c r="G110" i="10"/>
  <c r="Q110" i="10"/>
  <c r="G109" i="10"/>
  <c r="Q109" i="10"/>
  <c r="G108" i="10"/>
  <c r="R108" i="10"/>
  <c r="R107" i="10"/>
  <c r="R105" i="10"/>
  <c r="R102" i="10"/>
  <c r="R101" i="10"/>
  <c r="R98" i="10"/>
  <c r="R97" i="10"/>
  <c r="R94" i="10"/>
  <c r="R93" i="10"/>
  <c r="Q92" i="10"/>
  <c r="G91" i="10"/>
  <c r="Q91" i="10"/>
  <c r="G90" i="10"/>
  <c r="Q90" i="10"/>
  <c r="G88" i="10"/>
  <c r="Q88" i="10"/>
  <c r="G87" i="10"/>
  <c r="Q87" i="10"/>
  <c r="G86" i="10"/>
  <c r="Q86" i="10"/>
  <c r="G85" i="10"/>
  <c r="Q85" i="10"/>
  <c r="G84" i="10"/>
  <c r="Q84" i="10"/>
  <c r="G83" i="10"/>
  <c r="Q83" i="10"/>
  <c r="G82" i="10"/>
  <c r="Q82" i="10"/>
  <c r="G81" i="10"/>
  <c r="Q81" i="10"/>
  <c r="G80" i="10"/>
  <c r="Q80" i="10"/>
  <c r="G79" i="10"/>
  <c r="Q79" i="10"/>
  <c r="G78" i="10"/>
  <c r="Q78" i="10"/>
  <c r="G77" i="10"/>
  <c r="Q77" i="10"/>
  <c r="G76" i="10"/>
  <c r="Q76" i="10"/>
  <c r="G75" i="10"/>
  <c r="Q75" i="10"/>
  <c r="G74" i="10"/>
  <c r="Q74" i="10"/>
  <c r="G73" i="10"/>
  <c r="Q73" i="10"/>
  <c r="G72" i="10"/>
  <c r="R143" i="10"/>
  <c r="Q138" i="10"/>
  <c r="G137" i="10"/>
  <c r="Q137" i="10"/>
  <c r="G136" i="10"/>
  <c r="Q136" i="10"/>
  <c r="G135" i="10"/>
  <c r="Q135" i="10"/>
  <c r="G131" i="10"/>
  <c r="Q131" i="10"/>
  <c r="G130" i="10"/>
  <c r="Q130" i="10"/>
  <c r="G129" i="10"/>
  <c r="Q129" i="10"/>
  <c r="G127" i="10"/>
  <c r="R127" i="10"/>
  <c r="R124" i="10"/>
  <c r="R123" i="10"/>
  <c r="R122" i="10"/>
  <c r="R121" i="10"/>
  <c r="R120" i="10"/>
  <c r="R119" i="10"/>
  <c r="R118" i="10"/>
  <c r="R117" i="10"/>
  <c r="R116" i="10"/>
  <c r="R113" i="10"/>
  <c r="R112" i="10"/>
  <c r="R111" i="10"/>
  <c r="R110" i="10"/>
  <c r="R109" i="10"/>
  <c r="Q108" i="10"/>
  <c r="G107" i="10"/>
  <c r="Q107" i="10"/>
  <c r="G105" i="10"/>
  <c r="Q105" i="10"/>
  <c r="G102" i="10"/>
  <c r="Q102" i="10"/>
  <c r="G101" i="10"/>
  <c r="Q101" i="10"/>
  <c r="G98" i="10"/>
  <c r="Q98" i="10"/>
  <c r="G97" i="10"/>
  <c r="Q97" i="10"/>
  <c r="G94" i="10"/>
  <c r="Q94" i="10"/>
  <c r="G93" i="10"/>
  <c r="Q93" i="10"/>
  <c r="G92" i="10"/>
  <c r="R92" i="10"/>
  <c r="R91" i="10"/>
  <c r="R90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Q72" i="10"/>
  <c r="G70" i="10"/>
  <c r="Q70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2" i="10"/>
  <c r="R51" i="10"/>
  <c r="R50" i="10"/>
  <c r="R48" i="10"/>
  <c r="R47" i="10"/>
  <c r="R46" i="10"/>
  <c r="R45" i="10"/>
  <c r="R43" i="10"/>
  <c r="R42" i="10"/>
  <c r="R41" i="10"/>
  <c r="R40" i="10"/>
  <c r="R39" i="10"/>
  <c r="R38" i="10"/>
  <c r="R37" i="10"/>
  <c r="R36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G71" i="10"/>
  <c r="Q71" i="10"/>
  <c r="G67" i="10"/>
  <c r="Q67" i="10"/>
  <c r="G66" i="10"/>
  <c r="Q66" i="10"/>
  <c r="G65" i="10"/>
  <c r="Q65" i="10"/>
  <c r="G64" i="10"/>
  <c r="Q64" i="10"/>
  <c r="G63" i="10"/>
  <c r="Q63" i="10"/>
  <c r="G62" i="10"/>
  <c r="Q62" i="10"/>
  <c r="G61" i="10"/>
  <c r="Q61" i="10"/>
  <c r="G60" i="10"/>
  <c r="Q60" i="10"/>
  <c r="G59" i="10"/>
  <c r="Q59" i="10"/>
  <c r="G58" i="10"/>
  <c r="Q58" i="10"/>
  <c r="G57" i="10"/>
  <c r="Q57" i="10"/>
  <c r="G56" i="10"/>
  <c r="Q56" i="10"/>
  <c r="G55" i="10"/>
  <c r="Q55" i="10"/>
  <c r="G52" i="10"/>
  <c r="Q52" i="10"/>
  <c r="G51" i="10"/>
  <c r="Q51" i="10"/>
  <c r="G50" i="10"/>
  <c r="Q50" i="10"/>
  <c r="G48" i="10"/>
  <c r="Q48" i="10"/>
  <c r="G47" i="10"/>
  <c r="Q47" i="10"/>
  <c r="G46" i="10"/>
  <c r="Q46" i="10"/>
  <c r="G45" i="10"/>
  <c r="Q45" i="10"/>
  <c r="G43" i="10"/>
  <c r="Q43" i="10"/>
  <c r="G42" i="10"/>
  <c r="Q42" i="10"/>
  <c r="G41" i="10"/>
  <c r="Q41" i="10"/>
  <c r="G40" i="10"/>
  <c r="Q40" i="10"/>
  <c r="G39" i="10"/>
  <c r="Q39" i="10"/>
  <c r="G38" i="10"/>
  <c r="Q38" i="10"/>
  <c r="G37" i="10"/>
  <c r="Q37" i="10"/>
  <c r="G36" i="10"/>
  <c r="Q36" i="10"/>
  <c r="G32" i="10"/>
  <c r="Q32" i="10"/>
  <c r="G31" i="10"/>
  <c r="Q31" i="10"/>
  <c r="G30" i="10"/>
  <c r="Q30" i="10"/>
  <c r="G29" i="10"/>
  <c r="Q29" i="10"/>
  <c r="G28" i="10"/>
  <c r="Q28" i="10"/>
  <c r="G27" i="10"/>
  <c r="Q27" i="10"/>
  <c r="G26" i="10"/>
  <c r="Q26" i="10"/>
  <c r="G25" i="10"/>
  <c r="Q25" i="10"/>
  <c r="G24" i="10"/>
  <c r="Q24" i="10"/>
  <c r="G23" i="10"/>
  <c r="Q23" i="10"/>
  <c r="G22" i="10"/>
  <c r="Q22" i="10"/>
  <c r="G21" i="10"/>
  <c r="Q21" i="10"/>
  <c r="G20" i="10"/>
  <c r="Q20" i="10"/>
  <c r="G19" i="10"/>
  <c r="Q19" i="10"/>
  <c r="H160" i="2"/>
  <c r="J154" i="2"/>
  <c r="J151" i="2"/>
  <c r="K163" i="2"/>
  <c r="H152" i="2"/>
  <c r="K161" i="2"/>
  <c r="H158" i="2"/>
  <c r="J159" i="2"/>
  <c r="H157" i="2"/>
  <c r="J156" i="2"/>
  <c r="K153" i="2"/>
  <c r="J150" i="2"/>
  <c r="R91" i="2"/>
  <c r="R90" i="2"/>
  <c r="R85" i="2"/>
  <c r="R95" i="2"/>
  <c r="R81" i="2"/>
  <c r="R86" i="2"/>
  <c r="G88" i="2"/>
  <c r="G84" i="2"/>
  <c r="G112" i="2"/>
  <c r="G13" i="2"/>
  <c r="G108" i="2"/>
  <c r="G107" i="2"/>
  <c r="G83" i="2"/>
  <c r="G58" i="2"/>
  <c r="G59" i="2"/>
  <c r="G113" i="2"/>
  <c r="G92" i="2"/>
  <c r="G89" i="2"/>
  <c r="G93" i="2"/>
  <c r="G80" i="2"/>
  <c r="G117" i="2"/>
  <c r="G111" i="2"/>
  <c r="G55" i="2"/>
  <c r="G50" i="2"/>
  <c r="G76" i="2"/>
  <c r="G75" i="2"/>
  <c r="G74" i="2"/>
  <c r="H154" i="2"/>
  <c r="H151" i="2"/>
  <c r="J163" i="2"/>
  <c r="K164" i="2"/>
  <c r="J161" i="2"/>
  <c r="K162" i="2"/>
  <c r="H159" i="2"/>
  <c r="K155" i="2"/>
  <c r="H156" i="2"/>
  <c r="J153" i="2"/>
  <c r="H150" i="2"/>
  <c r="G91" i="2"/>
  <c r="G90" i="2"/>
  <c r="G85" i="2"/>
  <c r="G95" i="2"/>
  <c r="G81" i="2"/>
  <c r="G86" i="2"/>
  <c r="G87" i="2"/>
  <c r="H163" i="2"/>
  <c r="H161" i="2"/>
  <c r="K152" i="2"/>
  <c r="K158" i="2"/>
  <c r="K157" i="2"/>
  <c r="Q91" i="2"/>
  <c r="Q85" i="2"/>
  <c r="Q81" i="2"/>
  <c r="R87" i="2"/>
  <c r="Q112" i="2"/>
  <c r="R13" i="2"/>
  <c r="Q83" i="2"/>
  <c r="R58" i="2"/>
  <c r="Q92" i="2"/>
  <c r="R89" i="2"/>
  <c r="Q117" i="2"/>
  <c r="R111" i="2"/>
  <c r="Q76" i="2"/>
  <c r="R75" i="2"/>
  <c r="G73" i="2"/>
  <c r="G78" i="2"/>
  <c r="G119" i="2"/>
  <c r="G77" i="2"/>
  <c r="G72" i="2"/>
  <c r="G71" i="2"/>
  <c r="G70" i="2"/>
  <c r="G110" i="2"/>
  <c r="G69" i="2"/>
  <c r="G109" i="2"/>
  <c r="G99" i="2"/>
  <c r="G68" i="2"/>
  <c r="G67" i="2"/>
  <c r="G98" i="2"/>
  <c r="G66" i="2"/>
  <c r="G65" i="2"/>
  <c r="G64" i="2"/>
  <c r="G63" i="2"/>
  <c r="G62" i="2"/>
  <c r="G61" i="2"/>
  <c r="G60" i="2"/>
  <c r="G57" i="2"/>
  <c r="G56" i="2"/>
  <c r="G104" i="2"/>
  <c r="G130" i="2"/>
  <c r="G54" i="2"/>
  <c r="G53" i="2"/>
  <c r="G52" i="2"/>
  <c r="G51" i="2"/>
  <c r="G49" i="2"/>
  <c r="G48" i="2"/>
  <c r="G118" i="2"/>
  <c r="G47" i="2"/>
  <c r="G46" i="2"/>
  <c r="G129" i="2"/>
  <c r="G128" i="2"/>
  <c r="G127" i="2"/>
  <c r="G82" i="2"/>
  <c r="G45" i="2"/>
  <c r="G106" i="2"/>
  <c r="G103" i="2"/>
  <c r="G102" i="2"/>
  <c r="G44" i="2"/>
  <c r="G43" i="2"/>
  <c r="G42" i="2"/>
  <c r="G41" i="2"/>
  <c r="G116" i="2"/>
  <c r="G40" i="2"/>
  <c r="G39" i="2"/>
  <c r="G38" i="2"/>
  <c r="G37" i="2"/>
  <c r="G36" i="2"/>
  <c r="G35" i="2"/>
  <c r="G34" i="2"/>
  <c r="G33" i="2"/>
  <c r="G32" i="2"/>
  <c r="G31" i="2"/>
  <c r="G30" i="2"/>
  <c r="G29" i="2"/>
  <c r="J160" i="2"/>
  <c r="H164" i="2"/>
  <c r="H162" i="2"/>
  <c r="H155" i="2"/>
  <c r="K159" i="2"/>
  <c r="K156" i="2"/>
  <c r="K150" i="2"/>
  <c r="Q84" i="2"/>
  <c r="R112" i="2"/>
  <c r="Q107" i="2"/>
  <c r="R83" i="2"/>
  <c r="Q113" i="2"/>
  <c r="R92" i="2"/>
  <c r="Q80" i="2"/>
  <c r="R117" i="2"/>
  <c r="Q50" i="2"/>
  <c r="R76" i="2"/>
  <c r="Q29" i="2"/>
  <c r="Q115" i="2"/>
  <c r="Q101" i="2"/>
  <c r="Q126" i="2"/>
  <c r="Q125" i="2"/>
  <c r="Q124" i="2"/>
  <c r="Q123" i="2"/>
  <c r="Q122" i="2"/>
  <c r="Q28" i="2"/>
  <c r="Q27" i="2"/>
  <c r="Q121" i="2"/>
  <c r="Q114" i="2"/>
  <c r="Q97" i="2"/>
  <c r="Q105" i="2"/>
  <c r="Q96" i="2"/>
  <c r="Q26" i="2"/>
  <c r="Q25" i="2"/>
  <c r="Q24" i="2"/>
  <c r="Q23" i="2"/>
  <c r="Q22" i="2"/>
  <c r="Q21" i="2"/>
  <c r="Q20" i="2"/>
  <c r="Q19" i="2"/>
  <c r="Q100" i="2"/>
  <c r="Q94" i="2"/>
  <c r="Q18" i="2"/>
  <c r="Q17" i="2"/>
  <c r="Q16" i="2"/>
  <c r="K160" i="2"/>
  <c r="J162" i="2"/>
  <c r="H153" i="2"/>
  <c r="Q86" i="2"/>
  <c r="R88" i="2"/>
  <c r="R108" i="2"/>
  <c r="R59" i="2"/>
  <c r="R93" i="2"/>
  <c r="R55" i="2"/>
  <c r="R74" i="2"/>
  <c r="Q119" i="2"/>
  <c r="R77" i="2"/>
  <c r="Q70" i="2"/>
  <c r="R110" i="2"/>
  <c r="Q99" i="2"/>
  <c r="R68" i="2"/>
  <c r="Q66" i="2"/>
  <c r="R65" i="2"/>
  <c r="Q62" i="2"/>
  <c r="R61" i="2"/>
  <c r="Q56" i="2"/>
  <c r="R104" i="2"/>
  <c r="Q53" i="2"/>
  <c r="R52" i="2"/>
  <c r="Q48" i="2"/>
  <c r="R118" i="2"/>
  <c r="Q129" i="2"/>
  <c r="R128" i="2"/>
  <c r="Q45" i="2"/>
  <c r="R106" i="2"/>
  <c r="Q44" i="2"/>
  <c r="R43" i="2"/>
  <c r="Q116" i="2"/>
  <c r="R40" i="2"/>
  <c r="Q37" i="2"/>
  <c r="R36" i="2"/>
  <c r="Q33" i="2"/>
  <c r="R32" i="2"/>
  <c r="G115" i="2"/>
  <c r="R126" i="2"/>
  <c r="G124" i="2"/>
  <c r="R122" i="2"/>
  <c r="G27" i="2"/>
  <c r="R114" i="2"/>
  <c r="G105" i="2"/>
  <c r="R26" i="2"/>
  <c r="G24" i="2"/>
  <c r="R22" i="2"/>
  <c r="G20" i="2"/>
  <c r="R100" i="2"/>
  <c r="G18" i="2"/>
  <c r="R16" i="2"/>
  <c r="K154" i="2"/>
  <c r="J152" i="2"/>
  <c r="J157" i="2"/>
  <c r="Q95" i="2"/>
  <c r="Q87" i="2"/>
  <c r="Q13" i="2"/>
  <c r="Q58" i="2"/>
  <c r="Q89" i="2"/>
  <c r="Q111" i="2"/>
  <c r="Q75" i="2"/>
  <c r="Q78" i="2"/>
  <c r="R119" i="2"/>
  <c r="Q71" i="2"/>
  <c r="R70" i="2"/>
  <c r="Q109" i="2"/>
  <c r="R99" i="2"/>
  <c r="Q98" i="2"/>
  <c r="R66" i="2"/>
  <c r="Q63" i="2"/>
  <c r="R62" i="2"/>
  <c r="Q57" i="2"/>
  <c r="R56" i="2"/>
  <c r="Q54" i="2"/>
  <c r="R53" i="2"/>
  <c r="Q49" i="2"/>
  <c r="R48" i="2"/>
  <c r="Q46" i="2"/>
  <c r="R129" i="2"/>
  <c r="Q82" i="2"/>
  <c r="R45" i="2"/>
  <c r="Q102" i="2"/>
  <c r="R44" i="2"/>
  <c r="Q41" i="2"/>
  <c r="R116" i="2"/>
  <c r="Q38" i="2"/>
  <c r="R37" i="2"/>
  <c r="Q34" i="2"/>
  <c r="R33" i="2"/>
  <c r="Q30" i="2"/>
  <c r="R101" i="2"/>
  <c r="G125" i="2"/>
  <c r="R123" i="2"/>
  <c r="G28" i="2"/>
  <c r="R121" i="2"/>
  <c r="G97" i="2"/>
  <c r="R96" i="2"/>
  <c r="G25" i="2"/>
  <c r="R23" i="2"/>
  <c r="G21" i="2"/>
  <c r="R19" i="2"/>
  <c r="G94" i="2"/>
  <c r="R17" i="2"/>
  <c r="J164" i="2"/>
  <c r="R78" i="2"/>
  <c r="R71" i="2"/>
  <c r="R109" i="2"/>
  <c r="R98" i="2"/>
  <c r="R63" i="2"/>
  <c r="R57" i="2"/>
  <c r="R54" i="2"/>
  <c r="R49" i="2"/>
  <c r="R46" i="2"/>
  <c r="R82" i="2"/>
  <c r="R102" i="2"/>
  <c r="R41" i="2"/>
  <c r="R38" i="2"/>
  <c r="R34" i="2"/>
  <c r="R30" i="2"/>
  <c r="G101" i="2"/>
  <c r="G123" i="2"/>
  <c r="G121" i="2"/>
  <c r="G96" i="2"/>
  <c r="G23" i="2"/>
  <c r="G19" i="2"/>
  <c r="G17" i="2"/>
  <c r="Q108" i="2"/>
  <c r="Q93" i="2"/>
  <c r="Q110" i="2"/>
  <c r="Q61" i="2"/>
  <c r="Q52" i="2"/>
  <c r="Q106" i="2"/>
  <c r="Q36" i="2"/>
  <c r="R124" i="2"/>
  <c r="R105" i="2"/>
  <c r="R18" i="2"/>
  <c r="K151" i="2"/>
  <c r="Q88" i="2"/>
  <c r="R107" i="2"/>
  <c r="Q59" i="2"/>
  <c r="R80" i="2"/>
  <c r="Q55" i="2"/>
  <c r="Q73" i="2"/>
  <c r="Q72" i="2"/>
  <c r="Q69" i="2"/>
  <c r="Q67" i="2"/>
  <c r="Q64" i="2"/>
  <c r="Q60" i="2"/>
  <c r="Q130" i="2"/>
  <c r="Q51" i="2"/>
  <c r="Q47" i="2"/>
  <c r="Q127" i="2"/>
  <c r="Q103" i="2"/>
  <c r="Q42" i="2"/>
  <c r="Q39" i="2"/>
  <c r="Q35" i="2"/>
  <c r="Q31" i="2"/>
  <c r="R29" i="2"/>
  <c r="R125" i="2"/>
  <c r="R28" i="2"/>
  <c r="R97" i="2"/>
  <c r="R25" i="2"/>
  <c r="R21" i="2"/>
  <c r="R94" i="2"/>
  <c r="R84" i="2"/>
  <c r="Q74" i="2"/>
  <c r="Q68" i="2"/>
  <c r="Q118" i="2"/>
  <c r="Q43" i="2"/>
  <c r="R115" i="2"/>
  <c r="R20" i="2"/>
  <c r="J155" i="2"/>
  <c r="R73" i="2"/>
  <c r="R72" i="2"/>
  <c r="R69" i="2"/>
  <c r="R67" i="2"/>
  <c r="R64" i="2"/>
  <c r="R60" i="2"/>
  <c r="R130" i="2"/>
  <c r="R51" i="2"/>
  <c r="R47" i="2"/>
  <c r="R127" i="2"/>
  <c r="R103" i="2"/>
  <c r="R42" i="2"/>
  <c r="R39" i="2"/>
  <c r="R35" i="2"/>
  <c r="R31" i="2"/>
  <c r="G126" i="2"/>
  <c r="G122" i="2"/>
  <c r="G114" i="2"/>
  <c r="G26" i="2"/>
  <c r="G22" i="2"/>
  <c r="G100" i="2"/>
  <c r="G16" i="2"/>
  <c r="J158" i="2"/>
  <c r="Q90" i="2"/>
  <c r="R113" i="2"/>
  <c r="R50" i="2"/>
  <c r="Q77" i="2"/>
  <c r="Q65" i="2"/>
  <c r="Q104" i="2"/>
  <c r="Q128" i="2"/>
  <c r="Q40" i="2"/>
  <c r="Q32" i="2"/>
  <c r="R27" i="2"/>
  <c r="R24" i="2"/>
  <c r="K196" i="20"/>
  <c r="G325" i="21"/>
  <c r="H169" i="21"/>
  <c r="J169" i="21"/>
  <c r="K169" i="21"/>
  <c r="H170" i="21"/>
  <c r="J170" i="21"/>
  <c r="K170" i="21"/>
  <c r="H171" i="21"/>
  <c r="J171" i="21"/>
  <c r="K171" i="21"/>
  <c r="H172" i="21"/>
  <c r="J172" i="21"/>
  <c r="K172" i="21"/>
  <c r="H173" i="21"/>
  <c r="J173" i="21"/>
  <c r="K173" i="21"/>
  <c r="H174" i="21"/>
  <c r="J174" i="21"/>
  <c r="K174" i="21"/>
  <c r="H175" i="21"/>
  <c r="J175" i="21"/>
  <c r="K175" i="21"/>
  <c r="H176" i="21"/>
  <c r="J176" i="21"/>
  <c r="K176" i="21"/>
  <c r="H177" i="21"/>
  <c r="J177" i="21"/>
  <c r="K177" i="21"/>
  <c r="H181" i="21"/>
  <c r="J181" i="21"/>
  <c r="K181" i="21"/>
  <c r="H186" i="21"/>
  <c r="J186" i="21"/>
  <c r="K186" i="21"/>
  <c r="H187" i="21"/>
  <c r="J187" i="21"/>
  <c r="K187" i="21"/>
  <c r="H188" i="21"/>
  <c r="J188" i="21"/>
  <c r="K188" i="21"/>
  <c r="H192" i="21"/>
  <c r="H193" i="21"/>
  <c r="J192" i="21"/>
  <c r="J193" i="21"/>
  <c r="K192" i="21"/>
  <c r="K193" i="21"/>
  <c r="G30" i="20" l="1"/>
  <c r="P30" i="20"/>
  <c r="Q30" i="20"/>
  <c r="R30" i="20"/>
  <c r="G27" i="20"/>
  <c r="P27" i="20"/>
  <c r="Q27" i="20"/>
  <c r="R27" i="20"/>
  <c r="H251" i="20"/>
  <c r="J251" i="20"/>
  <c r="K251" i="20"/>
  <c r="H234" i="20"/>
  <c r="J234" i="20"/>
  <c r="K234" i="20"/>
  <c r="H256" i="20"/>
  <c r="J256" i="20"/>
  <c r="K256" i="20"/>
  <c r="G31" i="20"/>
  <c r="P31" i="20"/>
  <c r="Q31" i="20"/>
  <c r="R31" i="20"/>
  <c r="G94" i="20"/>
  <c r="P94" i="20"/>
  <c r="Q94" i="20"/>
  <c r="R94" i="20"/>
  <c r="G45" i="20"/>
  <c r="P45" i="20"/>
  <c r="Q45" i="20"/>
  <c r="R45" i="20"/>
  <c r="G80" i="20"/>
  <c r="P80" i="20"/>
  <c r="Q80" i="20"/>
  <c r="R80" i="20"/>
  <c r="G85" i="20"/>
  <c r="P85" i="20"/>
  <c r="Q85" i="20"/>
  <c r="R85" i="20"/>
  <c r="G21" i="20"/>
  <c r="P21" i="20"/>
  <c r="Q21" i="20"/>
  <c r="R21" i="20"/>
  <c r="G83" i="20"/>
  <c r="P83" i="20"/>
  <c r="Q83" i="20"/>
  <c r="R83" i="20"/>
  <c r="G93" i="20"/>
  <c r="P93" i="20"/>
  <c r="Q93" i="20"/>
  <c r="R93" i="20"/>
  <c r="H254" i="20"/>
  <c r="J254" i="20"/>
  <c r="K254" i="20"/>
  <c r="H252" i="20"/>
  <c r="J252" i="20"/>
  <c r="K252" i="20"/>
  <c r="O196" i="20"/>
  <c r="H236" i="20" l="1"/>
  <c r="J236" i="20"/>
  <c r="K236" i="20"/>
  <c r="H250" i="20"/>
  <c r="H224" i="20"/>
  <c r="H222" i="20"/>
  <c r="H223" i="20"/>
  <c r="H249" i="20"/>
  <c r="J250" i="20"/>
  <c r="J224" i="20"/>
  <c r="J222" i="20"/>
  <c r="J223" i="20"/>
  <c r="J249" i="20"/>
  <c r="K250" i="20"/>
  <c r="K224" i="20"/>
  <c r="K222" i="20"/>
  <c r="K223" i="20"/>
  <c r="K249" i="20"/>
  <c r="H247" i="20"/>
  <c r="H220" i="20"/>
  <c r="J247" i="20"/>
  <c r="J220" i="20"/>
  <c r="K247" i="20"/>
  <c r="K220" i="20"/>
  <c r="H246" i="20"/>
  <c r="J246" i="20"/>
  <c r="K246" i="20"/>
  <c r="G81" i="20"/>
  <c r="P81" i="20"/>
  <c r="Q81" i="20"/>
  <c r="R81" i="20"/>
  <c r="G84" i="20"/>
  <c r="P84" i="20"/>
  <c r="Q84" i="20"/>
  <c r="R84" i="20"/>
  <c r="G181" i="20"/>
  <c r="P181" i="20"/>
  <c r="Q181" i="20"/>
  <c r="R181" i="20"/>
  <c r="G131" i="20"/>
  <c r="P131" i="20"/>
  <c r="Q131" i="20"/>
  <c r="R131" i="20"/>
  <c r="G119" i="20"/>
  <c r="P119" i="20"/>
  <c r="Q119" i="20"/>
  <c r="R119" i="20"/>
  <c r="G50" i="20"/>
  <c r="G59" i="20"/>
  <c r="G184" i="20"/>
  <c r="P184" i="20"/>
  <c r="Q184" i="20"/>
  <c r="R184" i="20"/>
  <c r="G118" i="20"/>
  <c r="P118" i="20"/>
  <c r="Q118" i="20"/>
  <c r="R118" i="20"/>
  <c r="G108" i="20"/>
  <c r="P108" i="20"/>
  <c r="Q108" i="20"/>
  <c r="R108" i="20"/>
  <c r="G103" i="20"/>
  <c r="P103" i="20"/>
  <c r="Q103" i="20"/>
  <c r="R103" i="20"/>
  <c r="G152" i="20"/>
  <c r="P152" i="20"/>
  <c r="Q152" i="20"/>
  <c r="R152" i="20"/>
  <c r="G25" i="20"/>
  <c r="P25" i="20"/>
  <c r="Q25" i="20"/>
  <c r="R25" i="20"/>
  <c r="G18" i="20"/>
  <c r="P18" i="20"/>
  <c r="Q18" i="20"/>
  <c r="R18" i="20"/>
  <c r="G170" i="20"/>
  <c r="P170" i="20"/>
  <c r="Q170" i="20"/>
  <c r="R170" i="20"/>
  <c r="G96" i="20"/>
  <c r="P96" i="20"/>
  <c r="Q96" i="20"/>
  <c r="R96" i="20"/>
  <c r="G34" i="20"/>
  <c r="P34" i="20"/>
  <c r="Q34" i="20"/>
  <c r="R34" i="20"/>
  <c r="G64" i="20"/>
  <c r="P64" i="20"/>
  <c r="Q64" i="20"/>
  <c r="R64" i="20"/>
  <c r="G66" i="20"/>
  <c r="P66" i="20"/>
  <c r="Q66" i="20"/>
  <c r="R66" i="20"/>
  <c r="G192" i="20"/>
  <c r="P192" i="20"/>
  <c r="Q192" i="20"/>
  <c r="R192" i="20"/>
  <c r="G191" i="20"/>
  <c r="P191" i="20"/>
  <c r="Q191" i="20"/>
  <c r="R191" i="20"/>
  <c r="G158" i="20"/>
  <c r="P158" i="20"/>
  <c r="Q158" i="20"/>
  <c r="R158" i="20"/>
  <c r="G151" i="20"/>
  <c r="P151" i="20"/>
  <c r="Q151" i="20"/>
  <c r="R151" i="20"/>
  <c r="G189" i="20"/>
  <c r="P189" i="20"/>
  <c r="Q189" i="20"/>
  <c r="R189" i="20"/>
  <c r="G183" i="20"/>
  <c r="P183" i="20"/>
  <c r="Q183" i="20"/>
  <c r="R183" i="20"/>
  <c r="G180" i="20"/>
  <c r="P180" i="20"/>
  <c r="Q180" i="20"/>
  <c r="R180" i="20"/>
  <c r="G179" i="20"/>
  <c r="P179" i="20"/>
  <c r="Q179" i="20"/>
  <c r="R179" i="20"/>
  <c r="G144" i="20"/>
  <c r="P144" i="20"/>
  <c r="Q144" i="20"/>
  <c r="R144" i="20"/>
  <c r="G143" i="20"/>
  <c r="P143" i="20"/>
  <c r="Q143" i="20"/>
  <c r="R143" i="20"/>
  <c r="G182" i="20"/>
  <c r="P182" i="20"/>
  <c r="Q182" i="20"/>
  <c r="R182" i="20"/>
  <c r="G147" i="20"/>
  <c r="P147" i="20"/>
  <c r="Q147" i="20"/>
  <c r="R147" i="20"/>
  <c r="G140" i="20"/>
  <c r="P140" i="20"/>
  <c r="Q140" i="20"/>
  <c r="R140" i="20"/>
  <c r="G146" i="20"/>
  <c r="P146" i="20"/>
  <c r="Q146" i="20"/>
  <c r="R146" i="20"/>
  <c r="G138" i="20"/>
  <c r="P138" i="20"/>
  <c r="Q138" i="20"/>
  <c r="R138" i="20"/>
  <c r="G139" i="20"/>
  <c r="P139" i="20"/>
  <c r="Q139" i="20"/>
  <c r="R139" i="20"/>
  <c r="G136" i="20"/>
  <c r="P136" i="20"/>
  <c r="Q136" i="20"/>
  <c r="R136" i="20"/>
  <c r="G134" i="20"/>
  <c r="P134" i="20"/>
  <c r="Q134" i="20"/>
  <c r="R134" i="20"/>
  <c r="G141" i="20"/>
  <c r="P141" i="20"/>
  <c r="Q141" i="20"/>
  <c r="R141" i="20"/>
  <c r="G135" i="20"/>
  <c r="P135" i="20"/>
  <c r="Q135" i="20"/>
  <c r="R135" i="20"/>
  <c r="G137" i="20"/>
  <c r="P137" i="20"/>
  <c r="Q137" i="20"/>
  <c r="R137" i="20"/>
  <c r="G95" i="20"/>
  <c r="G92" i="20"/>
  <c r="G97" i="20"/>
  <c r="G98" i="20"/>
  <c r="G110" i="20"/>
  <c r="G109" i="20"/>
  <c r="G100" i="20"/>
  <c r="G102" i="20"/>
  <c r="G111" i="20"/>
  <c r="G114" i="20"/>
  <c r="G99" i="20"/>
  <c r="G101" i="20"/>
  <c r="G122" i="20"/>
  <c r="G112" i="20"/>
  <c r="G113" i="20"/>
  <c r="G115" i="20"/>
  <c r="G116" i="20"/>
  <c r="G117" i="20"/>
  <c r="G128" i="20"/>
  <c r="G129" i="20"/>
  <c r="G120" i="20"/>
  <c r="G130" i="20"/>
  <c r="G127" i="20"/>
  <c r="G126" i="20"/>
  <c r="G133" i="20"/>
  <c r="P92" i="20"/>
  <c r="P97" i="20"/>
  <c r="P98" i="20"/>
  <c r="P110" i="20"/>
  <c r="P109" i="20"/>
  <c r="P100" i="20"/>
  <c r="P102" i="20"/>
  <c r="P111" i="20"/>
  <c r="P114" i="20"/>
  <c r="P99" i="20"/>
  <c r="P101" i="20"/>
  <c r="P122" i="20"/>
  <c r="P112" i="20"/>
  <c r="P113" i="20"/>
  <c r="P115" i="20"/>
  <c r="P116" i="20"/>
  <c r="P117" i="20"/>
  <c r="P128" i="20"/>
  <c r="P129" i="20"/>
  <c r="P120" i="20"/>
  <c r="P130" i="20"/>
  <c r="P126" i="20"/>
  <c r="P133" i="20"/>
  <c r="P95" i="20"/>
  <c r="P127" i="20"/>
  <c r="Q95" i="20"/>
  <c r="Q92" i="20"/>
  <c r="Q97" i="20"/>
  <c r="Q98" i="20"/>
  <c r="Q110" i="20"/>
  <c r="Q109" i="20"/>
  <c r="Q100" i="20"/>
  <c r="Q102" i="20"/>
  <c r="Q111" i="20"/>
  <c r="Q114" i="20"/>
  <c r="Q99" i="20"/>
  <c r="Q101" i="20"/>
  <c r="Q122" i="20"/>
  <c r="Q112" i="20"/>
  <c r="Q113" i="20"/>
  <c r="Q115" i="20"/>
  <c r="Q116" i="20"/>
  <c r="Q117" i="20"/>
  <c r="Q128" i="20"/>
  <c r="Q129" i="20"/>
  <c r="Q120" i="20"/>
  <c r="Q130" i="20"/>
  <c r="Q127" i="20"/>
  <c r="Q126" i="20"/>
  <c r="Q133" i="20"/>
  <c r="R95" i="20"/>
  <c r="R92" i="20"/>
  <c r="R97" i="20"/>
  <c r="R98" i="20"/>
  <c r="R110" i="20"/>
  <c r="R109" i="20"/>
  <c r="R100" i="20"/>
  <c r="R102" i="20"/>
  <c r="R111" i="20"/>
  <c r="R114" i="20"/>
  <c r="R99" i="20"/>
  <c r="R101" i="20"/>
  <c r="R122" i="20"/>
  <c r="R112" i="20"/>
  <c r="R113" i="20"/>
  <c r="R115" i="20"/>
  <c r="R116" i="20"/>
  <c r="R117" i="20"/>
  <c r="R128" i="20"/>
  <c r="R129" i="20"/>
  <c r="R120" i="20"/>
  <c r="R130" i="20"/>
  <c r="R127" i="20"/>
  <c r="R126" i="20"/>
  <c r="R133" i="20"/>
  <c r="G90" i="20"/>
  <c r="P90" i="20"/>
  <c r="Q90" i="20"/>
  <c r="R90" i="20"/>
  <c r="G91" i="20"/>
  <c r="P91" i="20"/>
  <c r="Q91" i="20"/>
  <c r="R91" i="20"/>
  <c r="G89" i="20"/>
  <c r="P89" i="20"/>
  <c r="Q89" i="20"/>
  <c r="R89" i="20"/>
  <c r="G88" i="20"/>
  <c r="P88" i="20"/>
  <c r="Q88" i="20"/>
  <c r="R88" i="20"/>
  <c r="G87" i="20"/>
  <c r="P87" i="20"/>
  <c r="Q87" i="20"/>
  <c r="R87" i="20"/>
  <c r="G86" i="20"/>
  <c r="P86" i="20"/>
  <c r="Q86" i="20"/>
  <c r="R86" i="20"/>
  <c r="G82" i="20"/>
  <c r="P82" i="20"/>
  <c r="Q82" i="20"/>
  <c r="R82" i="20"/>
  <c r="G79" i="20"/>
  <c r="P79" i="20"/>
  <c r="Q79" i="20"/>
  <c r="R79" i="20"/>
  <c r="G75" i="20"/>
  <c r="P75" i="20"/>
  <c r="Q75" i="20"/>
  <c r="R75" i="20"/>
  <c r="G76" i="20"/>
  <c r="P76" i="20"/>
  <c r="Q76" i="20"/>
  <c r="R76" i="20"/>
  <c r="G77" i="20"/>
  <c r="P77" i="20"/>
  <c r="Q77" i="20"/>
  <c r="R77" i="20"/>
  <c r="G78" i="20"/>
  <c r="P78" i="20"/>
  <c r="Q78" i="20"/>
  <c r="R78" i="20"/>
  <c r="G71" i="20"/>
  <c r="P71" i="20"/>
  <c r="Q71" i="20"/>
  <c r="R71" i="20"/>
  <c r="G70" i="20"/>
  <c r="P70" i="20"/>
  <c r="Q70" i="20"/>
  <c r="R70" i="20"/>
  <c r="G73" i="20"/>
  <c r="P73" i="20"/>
  <c r="Q73" i="20"/>
  <c r="R73" i="20"/>
  <c r="G72" i="20"/>
  <c r="P72" i="20"/>
  <c r="Q72" i="20"/>
  <c r="R72" i="20"/>
  <c r="G74" i="20"/>
  <c r="P74" i="20"/>
  <c r="Q74" i="20"/>
  <c r="R74" i="20"/>
  <c r="G61" i="20"/>
  <c r="P61" i="20"/>
  <c r="Q61" i="20"/>
  <c r="R61" i="20"/>
  <c r="G63" i="20"/>
  <c r="P63" i="20"/>
  <c r="Q63" i="20"/>
  <c r="R63" i="20"/>
  <c r="G62" i="20"/>
  <c r="P62" i="20"/>
  <c r="Q62" i="20"/>
  <c r="R62" i="20"/>
  <c r="G69" i="20"/>
  <c r="P69" i="20"/>
  <c r="Q69" i="20"/>
  <c r="R69" i="20"/>
  <c r="G65" i="20"/>
  <c r="P65" i="20"/>
  <c r="Q65" i="20"/>
  <c r="R65" i="20"/>
  <c r="G68" i="20"/>
  <c r="P68" i="20"/>
  <c r="Q68" i="20"/>
  <c r="R68" i="20"/>
  <c r="G60" i="20"/>
  <c r="P60" i="20"/>
  <c r="Q60" i="20"/>
  <c r="R60" i="20"/>
  <c r="G23" i="20"/>
  <c r="G22" i="20"/>
  <c r="G24" i="20"/>
  <c r="G39" i="20"/>
  <c r="G32" i="20"/>
  <c r="G35" i="20"/>
  <c r="G36" i="20"/>
  <c r="G37" i="20"/>
  <c r="G33" i="20"/>
  <c r="G38" i="20"/>
  <c r="G41" i="20"/>
  <c r="G43" i="20"/>
  <c r="G44" i="20"/>
  <c r="G42" i="20"/>
  <c r="G40" i="20"/>
  <c r="G46" i="20"/>
  <c r="G47" i="20"/>
  <c r="G48" i="20"/>
  <c r="G51" i="20"/>
  <c r="G49" i="20"/>
  <c r="G55" i="20"/>
  <c r="G53" i="20"/>
  <c r="G54" i="20"/>
  <c r="G52" i="20"/>
  <c r="G58" i="20"/>
  <c r="G56" i="20"/>
  <c r="G57" i="20"/>
  <c r="G67" i="20"/>
  <c r="P23" i="20"/>
  <c r="P22" i="20"/>
  <c r="P24" i="20"/>
  <c r="P39" i="20"/>
  <c r="P32" i="20"/>
  <c r="P35" i="20"/>
  <c r="P36" i="20"/>
  <c r="P37" i="20"/>
  <c r="P38" i="20"/>
  <c r="P41" i="20"/>
  <c r="P43" i="20"/>
  <c r="P44" i="20"/>
  <c r="P42" i="20"/>
  <c r="P40" i="20"/>
  <c r="P47" i="20"/>
  <c r="P48" i="20"/>
  <c r="P51" i="20"/>
  <c r="P49" i="20"/>
  <c r="P55" i="20"/>
  <c r="P53" i="20"/>
  <c r="P54" i="20"/>
  <c r="P52" i="20"/>
  <c r="P50" i="20"/>
  <c r="P59" i="20"/>
  <c r="P58" i="20"/>
  <c r="P56" i="20"/>
  <c r="P57" i="20"/>
  <c r="P67" i="20"/>
  <c r="P33" i="20"/>
  <c r="P46" i="20"/>
  <c r="Q23" i="20"/>
  <c r="Q22" i="20"/>
  <c r="Q24" i="20"/>
  <c r="Q39" i="20"/>
  <c r="Q32" i="20"/>
  <c r="Q35" i="20"/>
  <c r="Q36" i="20"/>
  <c r="Q37" i="20"/>
  <c r="Q33" i="20"/>
  <c r="Q38" i="20"/>
  <c r="Q41" i="20"/>
  <c r="Q43" i="20"/>
  <c r="Q44" i="20"/>
  <c r="Q42" i="20"/>
  <c r="Q40" i="20"/>
  <c r="Q46" i="20"/>
  <c r="Q47" i="20"/>
  <c r="Q48" i="20"/>
  <c r="Q51" i="20"/>
  <c r="Q49" i="20"/>
  <c r="Q55" i="20"/>
  <c r="Q53" i="20"/>
  <c r="Q54" i="20"/>
  <c r="Q52" i="20"/>
  <c r="Q50" i="20"/>
  <c r="Q59" i="20"/>
  <c r="Q58" i="20"/>
  <c r="Q56" i="20"/>
  <c r="Q57" i="20"/>
  <c r="Q67" i="20"/>
  <c r="R23" i="20"/>
  <c r="R22" i="20"/>
  <c r="R24" i="20"/>
  <c r="R39" i="20"/>
  <c r="R32" i="20"/>
  <c r="R35" i="20"/>
  <c r="R36" i="20"/>
  <c r="R37" i="20"/>
  <c r="R33" i="20"/>
  <c r="R38" i="20"/>
  <c r="R41" i="20"/>
  <c r="R43" i="20"/>
  <c r="R44" i="20"/>
  <c r="R42" i="20"/>
  <c r="R40" i="20"/>
  <c r="R46" i="20"/>
  <c r="R47" i="20"/>
  <c r="R48" i="20"/>
  <c r="R51" i="20"/>
  <c r="R49" i="20"/>
  <c r="R55" i="20"/>
  <c r="R53" i="20"/>
  <c r="R54" i="20"/>
  <c r="R52" i="20"/>
  <c r="R50" i="20"/>
  <c r="R59" i="20"/>
  <c r="R58" i="20"/>
  <c r="R56" i="20"/>
  <c r="R57" i="20"/>
  <c r="R67" i="20"/>
  <c r="G26" i="20"/>
  <c r="P26" i="20"/>
  <c r="Q26" i="20"/>
  <c r="R26" i="20"/>
  <c r="G29" i="20"/>
  <c r="P29" i="20"/>
  <c r="Q29" i="20"/>
  <c r="R29" i="20"/>
  <c r="G20" i="20"/>
  <c r="P20" i="20"/>
  <c r="Q20" i="20"/>
  <c r="R20" i="20"/>
  <c r="G28" i="20"/>
  <c r="P28" i="20"/>
  <c r="Q28" i="20"/>
  <c r="R28" i="20"/>
  <c r="G19" i="20" l="1"/>
  <c r="P19" i="20"/>
  <c r="Q19" i="20"/>
  <c r="R19" i="20"/>
  <c r="G16" i="20"/>
  <c r="P16" i="20"/>
  <c r="Q16" i="20"/>
  <c r="R16" i="20"/>
  <c r="G14" i="20"/>
  <c r="P14" i="20"/>
  <c r="Q14" i="20"/>
  <c r="R14" i="20"/>
  <c r="G13" i="20"/>
  <c r="P13" i="20"/>
  <c r="Q13" i="20"/>
  <c r="R13" i="20"/>
  <c r="G10" i="20"/>
  <c r="P10" i="20"/>
  <c r="Q10" i="20"/>
  <c r="R10" i="20"/>
  <c r="G17" i="20"/>
  <c r="P17" i="20"/>
  <c r="Q17" i="20"/>
  <c r="R17" i="20"/>
  <c r="G12" i="20"/>
  <c r="P12" i="20"/>
  <c r="Q12" i="20"/>
  <c r="R12" i="20"/>
  <c r="G11" i="20"/>
  <c r="P11" i="20"/>
  <c r="Q11" i="20"/>
  <c r="R11" i="20"/>
  <c r="G190" i="20"/>
  <c r="P190" i="20"/>
  <c r="Q190" i="20"/>
  <c r="R190" i="20"/>
  <c r="H219" i="20"/>
  <c r="J219" i="20"/>
  <c r="K219" i="20"/>
  <c r="H248" i="20"/>
  <c r="J248" i="20"/>
  <c r="K248" i="20"/>
  <c r="G132" i="20"/>
  <c r="P132" i="20"/>
  <c r="Q132" i="20"/>
  <c r="R132" i="20"/>
  <c r="G125" i="20"/>
  <c r="P125" i="20"/>
  <c r="Q125" i="20"/>
  <c r="R125" i="20"/>
  <c r="G142" i="20"/>
  <c r="P142" i="20"/>
  <c r="Q142" i="20"/>
  <c r="R142" i="20"/>
  <c r="G9" i="20"/>
  <c r="I9" i="20"/>
  <c r="Q9" i="20"/>
  <c r="R9" i="20"/>
  <c r="G185" i="20"/>
  <c r="P185" i="20"/>
  <c r="Q185" i="20"/>
  <c r="R185" i="20"/>
  <c r="P9" i="20" l="1"/>
  <c r="G1" i="10"/>
  <c r="G1" i="20"/>
  <c r="G45" i="21" l="1"/>
  <c r="G145" i="21"/>
  <c r="G393" i="21" l="1"/>
  <c r="I393" i="21"/>
  <c r="L393" i="21" s="1"/>
  <c r="G392" i="21"/>
  <c r="I392" i="21"/>
  <c r="L392" i="21" s="1"/>
  <c r="I391" i="21"/>
  <c r="L391" i="21" s="1"/>
  <c r="G390" i="21"/>
  <c r="I390" i="21"/>
  <c r="L390" i="21" s="1"/>
  <c r="G389" i="21"/>
  <c r="I389" i="21"/>
  <c r="L389" i="21" s="1"/>
  <c r="G388" i="21"/>
  <c r="I388" i="21"/>
  <c r="L388" i="21" s="1"/>
  <c r="G387" i="21"/>
  <c r="I387" i="21"/>
  <c r="L387" i="21" s="1"/>
  <c r="G386" i="21"/>
  <c r="I386" i="21"/>
  <c r="L386" i="21" s="1"/>
  <c r="G385" i="21"/>
  <c r="I385" i="21"/>
  <c r="L385" i="21" s="1"/>
  <c r="G210" i="21"/>
  <c r="G209" i="21"/>
  <c r="G208" i="21"/>
  <c r="G207" i="21"/>
  <c r="G206" i="21"/>
  <c r="G326" i="21"/>
  <c r="I326" i="21"/>
  <c r="L326" i="21" s="1"/>
  <c r="G328" i="21"/>
  <c r="I328" i="21"/>
  <c r="L328" i="21" s="1"/>
  <c r="G327" i="21"/>
  <c r="I327" i="21"/>
  <c r="L327" i="21" s="1"/>
  <c r="G329" i="21"/>
  <c r="I329" i="21"/>
  <c r="L329" i="21" s="1"/>
  <c r="G376" i="21"/>
  <c r="I376" i="21"/>
  <c r="L376" i="21" s="1"/>
  <c r="I325" i="21"/>
  <c r="L325" i="21" s="1"/>
  <c r="G377" i="21"/>
  <c r="I377" i="21"/>
  <c r="L377" i="21" s="1"/>
  <c r="G320" i="21"/>
  <c r="I320" i="21"/>
  <c r="L320" i="21" s="1"/>
  <c r="G382" i="21"/>
  <c r="I382" i="21"/>
  <c r="L382" i="21" s="1"/>
  <c r="G321" i="21"/>
  <c r="I321" i="21"/>
  <c r="L321" i="21" s="1"/>
  <c r="G375" i="21"/>
  <c r="I375" i="21"/>
  <c r="L375" i="21" s="1"/>
  <c r="G352" i="21"/>
  <c r="I352" i="21"/>
  <c r="L352" i="21" s="1"/>
  <c r="G324" i="21"/>
  <c r="I324" i="21"/>
  <c r="L324" i="21" s="1"/>
  <c r="G323" i="21"/>
  <c r="I323" i="21"/>
  <c r="L323" i="21" s="1"/>
  <c r="G322" i="21"/>
  <c r="I322" i="21"/>
  <c r="L322" i="21" s="1"/>
  <c r="G312" i="21"/>
  <c r="I312" i="21"/>
  <c r="L312" i="21" s="1"/>
  <c r="G307" i="21"/>
  <c r="I307" i="21"/>
  <c r="L307" i="21" s="1"/>
  <c r="G319" i="21"/>
  <c r="I319" i="21"/>
  <c r="L319" i="21" s="1"/>
  <c r="G313" i="21"/>
  <c r="I313" i="21"/>
  <c r="L313" i="21" s="1"/>
  <c r="G381" i="21"/>
  <c r="I381" i="21"/>
  <c r="L381" i="21" s="1"/>
  <c r="G314" i="21"/>
  <c r="I314" i="21"/>
  <c r="L314" i="21" s="1"/>
  <c r="G315" i="21"/>
  <c r="I315" i="21"/>
  <c r="L315" i="21" s="1"/>
  <c r="G351" i="21"/>
  <c r="I351" i="21"/>
  <c r="L351" i="21" s="1"/>
  <c r="G350" i="21"/>
  <c r="I350" i="21"/>
  <c r="L350" i="21" s="1"/>
  <c r="G306" i="21"/>
  <c r="I306" i="21"/>
  <c r="L306" i="21" s="1"/>
  <c r="G317" i="21"/>
  <c r="I317" i="21"/>
  <c r="L317" i="21" s="1"/>
  <c r="G318" i="21"/>
  <c r="I318" i="21"/>
  <c r="L318" i="21" s="1"/>
  <c r="G316" i="21"/>
  <c r="I316" i="21"/>
  <c r="L316" i="21" s="1"/>
  <c r="G311" i="21"/>
  <c r="I311" i="21"/>
  <c r="L311" i="21" s="1"/>
  <c r="G310" i="21"/>
  <c r="I310" i="21"/>
  <c r="L310" i="21" s="1"/>
  <c r="G308" i="21"/>
  <c r="I308" i="21"/>
  <c r="L308" i="21" s="1"/>
  <c r="G309" i="21"/>
  <c r="I309" i="21"/>
  <c r="L309" i="21" s="1"/>
  <c r="G349" i="21"/>
  <c r="I349" i="21"/>
  <c r="L349" i="21" s="1"/>
  <c r="G301" i="21"/>
  <c r="I301" i="21"/>
  <c r="L301" i="21" s="1"/>
  <c r="G300" i="21"/>
  <c r="I300" i="21"/>
  <c r="L300" i="21" s="1"/>
  <c r="G302" i="21"/>
  <c r="I302" i="21"/>
  <c r="L302" i="21" s="1"/>
  <c r="G298" i="21"/>
  <c r="I298" i="21"/>
  <c r="L298" i="21" s="1"/>
  <c r="G299" i="21"/>
  <c r="I299" i="21"/>
  <c r="L299" i="21" s="1"/>
  <c r="G347" i="21"/>
  <c r="I347" i="21"/>
  <c r="L347" i="21" s="1"/>
  <c r="G297" i="21"/>
  <c r="I297" i="21"/>
  <c r="L297" i="21" s="1"/>
  <c r="G296" i="21"/>
  <c r="I296" i="21"/>
  <c r="L296" i="21" s="1"/>
  <c r="G303" i="21"/>
  <c r="I303" i="21"/>
  <c r="L303" i="21" s="1"/>
  <c r="G372" i="21"/>
  <c r="I372" i="21"/>
  <c r="L372" i="21" s="1"/>
  <c r="G346" i="21"/>
  <c r="I346" i="21"/>
  <c r="L346" i="21" s="1"/>
  <c r="G374" i="21"/>
  <c r="I374" i="21"/>
  <c r="L374" i="21" s="1"/>
  <c r="G373" i="21"/>
  <c r="I373" i="21"/>
  <c r="L373" i="21" s="1"/>
  <c r="G304" i="21"/>
  <c r="I304" i="21"/>
  <c r="L304" i="21" s="1"/>
  <c r="G305" i="21"/>
  <c r="I305" i="21"/>
  <c r="L305" i="21" s="1"/>
  <c r="G348" i="21"/>
  <c r="I348" i="21"/>
  <c r="L348" i="21" s="1"/>
  <c r="G295" i="21"/>
  <c r="L295" i="21"/>
  <c r="G293" i="21"/>
  <c r="I293" i="21"/>
  <c r="L293" i="21" s="1"/>
  <c r="G371" i="21"/>
  <c r="I371" i="21"/>
  <c r="L371" i="21" s="1"/>
  <c r="G294" i="21"/>
  <c r="L294" i="21"/>
  <c r="G345" i="21"/>
  <c r="I345" i="21"/>
  <c r="L345" i="21" s="1"/>
  <c r="G344" i="21"/>
  <c r="I344" i="21"/>
  <c r="L344" i="21" s="1"/>
  <c r="G291" i="21"/>
  <c r="I291" i="21"/>
  <c r="L291" i="21" s="1"/>
  <c r="G292" i="21"/>
  <c r="I292" i="21"/>
  <c r="L292" i="21" s="1"/>
  <c r="G370" i="21"/>
  <c r="I370" i="21"/>
  <c r="L370" i="21" s="1"/>
  <c r="G289" i="21"/>
  <c r="I289" i="21"/>
  <c r="L289" i="21" s="1"/>
  <c r="G343" i="21"/>
  <c r="I343" i="21"/>
  <c r="L343" i="21" s="1"/>
  <c r="G287" i="21"/>
  <c r="I287" i="21"/>
  <c r="L287" i="21" s="1"/>
  <c r="G290" i="21"/>
  <c r="I290" i="21"/>
  <c r="L290" i="21" s="1"/>
  <c r="G288" i="21"/>
  <c r="I288" i="21"/>
  <c r="L288" i="21" s="1"/>
  <c r="G369" i="21"/>
  <c r="I369" i="21"/>
  <c r="L369" i="21" s="1"/>
  <c r="G342" i="21"/>
  <c r="I342" i="21"/>
  <c r="L342" i="21" s="1"/>
  <c r="G285" i="21"/>
  <c r="I285" i="21"/>
  <c r="L285" i="21" s="1"/>
  <c r="G286" i="21"/>
  <c r="I286" i="21"/>
  <c r="L286" i="21" s="1"/>
  <c r="G384" i="21"/>
  <c r="I384" i="21"/>
  <c r="L384" i="21" s="1"/>
  <c r="G341" i="21"/>
  <c r="I341" i="21"/>
  <c r="L341" i="21" s="1"/>
  <c r="G368" i="21"/>
  <c r="I368" i="21"/>
  <c r="L368" i="21" s="1"/>
  <c r="G340" i="21"/>
  <c r="I340" i="21"/>
  <c r="L340" i="21" s="1"/>
  <c r="G380" i="21"/>
  <c r="I380" i="21"/>
  <c r="L380" i="21" s="1"/>
  <c r="G379" i="21"/>
  <c r="I379" i="21"/>
  <c r="L379" i="21" s="1"/>
  <c r="G383" i="21"/>
  <c r="I383" i="21"/>
  <c r="L383" i="21" s="1"/>
  <c r="G284" i="21"/>
  <c r="I284" i="21"/>
  <c r="L284" i="21" s="1"/>
  <c r="G283" i="21"/>
  <c r="I283" i="21"/>
  <c r="L283" i="21" s="1"/>
  <c r="G280" i="21"/>
  <c r="I280" i="21"/>
  <c r="L280" i="21" s="1"/>
  <c r="G281" i="21"/>
  <c r="I281" i="21"/>
  <c r="L281" i="21" s="1"/>
  <c r="G339" i="21"/>
  <c r="I339" i="21"/>
  <c r="L339" i="21" s="1"/>
  <c r="G338" i="21"/>
  <c r="I338" i="21"/>
  <c r="L338" i="21" s="1"/>
  <c r="G282" i="21"/>
  <c r="I282" i="21"/>
  <c r="L282" i="21" s="1"/>
  <c r="G366" i="21"/>
  <c r="I366" i="21"/>
  <c r="L366" i="21" s="1"/>
  <c r="G278" i="21"/>
  <c r="I278" i="21"/>
  <c r="L278" i="21" s="1"/>
  <c r="G367" i="21"/>
  <c r="I367" i="21"/>
  <c r="L367" i="21" s="1"/>
  <c r="G279" i="21"/>
  <c r="I279" i="21"/>
  <c r="L279" i="21" s="1"/>
  <c r="G277" i="21"/>
  <c r="I277" i="21"/>
  <c r="L277" i="21" s="1"/>
  <c r="G272" i="21"/>
  <c r="I272" i="21"/>
  <c r="L272" i="21" s="1"/>
  <c r="G271" i="21"/>
  <c r="I271" i="21"/>
  <c r="L271" i="21" s="1"/>
  <c r="G275" i="21"/>
  <c r="I275" i="21"/>
  <c r="L275" i="21" s="1"/>
  <c r="G274" i="21"/>
  <c r="I274" i="21"/>
  <c r="L274" i="21" s="1"/>
  <c r="G276" i="21"/>
  <c r="I276" i="21"/>
  <c r="L276" i="21" s="1"/>
  <c r="G273" i="21"/>
  <c r="I273" i="21"/>
  <c r="L273" i="21" s="1"/>
  <c r="G270" i="21"/>
  <c r="I270" i="21"/>
  <c r="L270" i="21" s="1"/>
  <c r="G361" i="21"/>
  <c r="I361" i="21"/>
  <c r="L361" i="21" s="1"/>
  <c r="G336" i="21"/>
  <c r="I336" i="21"/>
  <c r="L336" i="21" s="1"/>
  <c r="G364" i="21"/>
  <c r="I364" i="21"/>
  <c r="L364" i="21" s="1"/>
  <c r="G365" i="21"/>
  <c r="I365" i="21"/>
  <c r="L365" i="21" s="1"/>
  <c r="G363" i="21"/>
  <c r="I363" i="21"/>
  <c r="L363" i="21" s="1"/>
  <c r="G337" i="21"/>
  <c r="I337" i="21"/>
  <c r="L337" i="21" s="1"/>
  <c r="G269" i="21"/>
  <c r="I269" i="21"/>
  <c r="L269" i="21" s="1"/>
  <c r="G362" i="21"/>
  <c r="I362" i="21"/>
  <c r="L362" i="21" s="1"/>
  <c r="G335" i="21"/>
  <c r="I335" i="21"/>
  <c r="L335" i="21" s="1"/>
  <c r="G358" i="21"/>
  <c r="I358" i="21"/>
  <c r="L358" i="21" s="1"/>
  <c r="G359" i="21"/>
  <c r="I359" i="21"/>
  <c r="L359" i="21" s="1"/>
  <c r="G360" i="21"/>
  <c r="I360" i="21"/>
  <c r="L360" i="21" s="1"/>
  <c r="G268" i="21"/>
  <c r="I268" i="21"/>
  <c r="L268" i="21" s="1"/>
  <c r="G357" i="21"/>
  <c r="I357" i="21"/>
  <c r="L357" i="21" s="1"/>
  <c r="G266" i="21"/>
  <c r="I266" i="21"/>
  <c r="L266" i="21" s="1"/>
  <c r="G267" i="21"/>
  <c r="I267" i="21"/>
  <c r="L267" i="21" s="1"/>
  <c r="G378" i="21"/>
  <c r="I378" i="21"/>
  <c r="L378" i="21" s="1"/>
  <c r="G261" i="21"/>
  <c r="I261" i="21"/>
  <c r="L261" i="21" s="1"/>
  <c r="G260" i="21"/>
  <c r="I260" i="21"/>
  <c r="L260" i="21" s="1"/>
  <c r="G262" i="21"/>
  <c r="I262" i="21"/>
  <c r="L262" i="21" s="1"/>
  <c r="G264" i="21"/>
  <c r="I264" i="21"/>
  <c r="L264" i="21" s="1"/>
  <c r="G265" i="21"/>
  <c r="I265" i="21"/>
  <c r="L265" i="21" s="1"/>
  <c r="G263" i="21"/>
  <c r="I263" i="21"/>
  <c r="L263" i="21" s="1"/>
  <c r="G259" i="21"/>
  <c r="I259" i="21"/>
  <c r="L259" i="21" s="1"/>
  <c r="G255" i="21"/>
  <c r="I255" i="21"/>
  <c r="L255" i="21" s="1"/>
  <c r="G256" i="21"/>
  <c r="I256" i="21"/>
  <c r="L256" i="21" s="1"/>
  <c r="G334" i="21"/>
  <c r="I334" i="21"/>
  <c r="L334" i="21" s="1"/>
  <c r="G257" i="21"/>
  <c r="I257" i="21"/>
  <c r="L257" i="21" s="1"/>
  <c r="G258" i="21"/>
  <c r="I258" i="21"/>
  <c r="L258" i="21" s="1"/>
  <c r="G249" i="21"/>
  <c r="I249" i="21"/>
  <c r="L249" i="21" s="1"/>
  <c r="G248" i="21"/>
  <c r="I248" i="21"/>
  <c r="L248" i="21" s="1"/>
  <c r="G250" i="21"/>
  <c r="I250" i="21"/>
  <c r="L250" i="21" s="1"/>
  <c r="G247" i="21"/>
  <c r="I247" i="21"/>
  <c r="L247" i="21" s="1"/>
  <c r="G246" i="21"/>
  <c r="I246" i="21"/>
  <c r="L246" i="21" s="1"/>
  <c r="G251" i="21"/>
  <c r="I251" i="21"/>
  <c r="L251" i="21" s="1"/>
  <c r="G252" i="21"/>
  <c r="I252" i="21"/>
  <c r="L252" i="21" s="1"/>
  <c r="G241" i="21"/>
  <c r="I241" i="21"/>
  <c r="L241" i="21" s="1"/>
  <c r="G253" i="21"/>
  <c r="I253" i="21"/>
  <c r="L253" i="21" s="1"/>
  <c r="G242" i="21"/>
  <c r="I242" i="21"/>
  <c r="L242" i="21" s="1"/>
  <c r="G243" i="21"/>
  <c r="I243" i="21"/>
  <c r="L243" i="21" s="1"/>
  <c r="G333" i="21"/>
  <c r="I333" i="21"/>
  <c r="L333" i="21" s="1"/>
  <c r="G244" i="21"/>
  <c r="I244" i="21"/>
  <c r="L244" i="21" s="1"/>
  <c r="G245" i="21"/>
  <c r="I245" i="21"/>
  <c r="L245" i="21" s="1"/>
  <c r="G240" i="21"/>
  <c r="I240" i="21"/>
  <c r="L240" i="21" s="1"/>
  <c r="G254" i="21"/>
  <c r="I254" i="21"/>
  <c r="L254" i="21" s="1"/>
  <c r="G239" i="21"/>
  <c r="I239" i="21"/>
  <c r="L239" i="21" s="1"/>
  <c r="G238" i="21"/>
  <c r="I238" i="21"/>
  <c r="L238" i="21" s="1"/>
  <c r="G237" i="21"/>
  <c r="I237" i="21"/>
  <c r="L237" i="21" s="1"/>
  <c r="G356" i="21"/>
  <c r="I356" i="21"/>
  <c r="L356" i="21" s="1"/>
  <c r="G236" i="21"/>
  <c r="I236" i="21"/>
  <c r="L236" i="21" s="1"/>
  <c r="G235" i="21"/>
  <c r="I235" i="21"/>
  <c r="L235" i="21" s="1"/>
  <c r="G234" i="21"/>
  <c r="I234" i="21"/>
  <c r="L234" i="21" s="1"/>
  <c r="G233" i="21"/>
  <c r="I233" i="21"/>
  <c r="L233" i="21" s="1"/>
  <c r="G229" i="21"/>
  <c r="I229" i="21"/>
  <c r="L229" i="21" s="1"/>
  <c r="G228" i="21"/>
  <c r="I228" i="21"/>
  <c r="L228" i="21" s="1"/>
  <c r="G231" i="21"/>
  <c r="I231" i="21"/>
  <c r="L231" i="21" s="1"/>
  <c r="G232" i="21"/>
  <c r="I232" i="21"/>
  <c r="L232" i="21" s="1"/>
  <c r="G230" i="21"/>
  <c r="I230" i="21"/>
  <c r="L230" i="21" s="1"/>
  <c r="G223" i="21"/>
  <c r="I223" i="21"/>
  <c r="L223" i="21" s="1"/>
  <c r="G355" i="21"/>
  <c r="I355" i="21"/>
  <c r="L355" i="21" s="1"/>
  <c r="G227" i="21"/>
  <c r="I227" i="21"/>
  <c r="L227" i="21" s="1"/>
  <c r="G332" i="21"/>
  <c r="I332" i="21"/>
  <c r="L332" i="21" s="1"/>
  <c r="G226" i="21"/>
  <c r="I226" i="21"/>
  <c r="L226" i="21" s="1"/>
  <c r="G224" i="21"/>
  <c r="I224" i="21"/>
  <c r="L224" i="21" s="1"/>
  <c r="G225" i="21"/>
  <c r="I225" i="21"/>
  <c r="L225" i="21" s="1"/>
  <c r="G222" i="21"/>
  <c r="I222" i="21"/>
  <c r="L222" i="21" s="1"/>
  <c r="G353" i="21"/>
  <c r="I353" i="21"/>
  <c r="L353" i="21" s="1"/>
  <c r="G215" i="21"/>
  <c r="I215" i="21"/>
  <c r="L215" i="21" s="1"/>
  <c r="G214" i="21"/>
  <c r="I214" i="21"/>
  <c r="L214" i="21" s="1"/>
  <c r="G216" i="21"/>
  <c r="I216" i="21"/>
  <c r="L216" i="21" s="1"/>
  <c r="G213" i="21"/>
  <c r="I213" i="21"/>
  <c r="L213" i="21" s="1"/>
  <c r="G211" i="21"/>
  <c r="G152" i="21"/>
  <c r="I152" i="21"/>
  <c r="P152" i="21" s="1"/>
  <c r="Q152" i="21"/>
  <c r="R152" i="21"/>
  <c r="G151" i="21"/>
  <c r="I151" i="21"/>
  <c r="P151" i="21" s="1"/>
  <c r="Q151" i="21"/>
  <c r="R151" i="21"/>
  <c r="G150" i="21"/>
  <c r="I150" i="21"/>
  <c r="P150" i="21" s="1"/>
  <c r="Q150" i="21"/>
  <c r="R150" i="21"/>
  <c r="P45" i="21" l="1"/>
  <c r="G149" i="21"/>
  <c r="I149" i="21"/>
  <c r="P149" i="21" s="1"/>
  <c r="Q149" i="21"/>
  <c r="R149" i="21"/>
  <c r="G20" i="21"/>
  <c r="I20" i="21"/>
  <c r="P20" i="21" s="1"/>
  <c r="Q20" i="21"/>
  <c r="R20" i="21"/>
  <c r="G16" i="21"/>
  <c r="I16" i="21"/>
  <c r="P16" i="21" s="1"/>
  <c r="Q16" i="21"/>
  <c r="R16" i="21"/>
  <c r="G39" i="21"/>
  <c r="G42" i="21"/>
  <c r="I39" i="21"/>
  <c r="P39" i="21" s="1"/>
  <c r="I42" i="21"/>
  <c r="P42" i="21" s="1"/>
  <c r="Q39" i="21"/>
  <c r="Q42" i="21"/>
  <c r="R39" i="21"/>
  <c r="R42" i="21"/>
  <c r="Q45" i="21"/>
  <c r="R45" i="21"/>
  <c r="G59" i="21"/>
  <c r="I59" i="21"/>
  <c r="P59" i="21" s="1"/>
  <c r="Q59" i="21"/>
  <c r="R59" i="21"/>
  <c r="G40" i="21"/>
  <c r="I40" i="21"/>
  <c r="P40" i="21" s="1"/>
  <c r="Q40" i="21"/>
  <c r="R40" i="21"/>
  <c r="G41" i="21"/>
  <c r="I41" i="21"/>
  <c r="P41" i="21" s="1"/>
  <c r="Q41" i="21"/>
  <c r="R41" i="21"/>
  <c r="H191" i="21"/>
  <c r="K191" i="21"/>
  <c r="H190" i="21"/>
  <c r="J190" i="21"/>
  <c r="K190" i="21"/>
  <c r="G19" i="21"/>
  <c r="I19" i="21"/>
  <c r="P19" i="21" s="1"/>
  <c r="Q19" i="21"/>
  <c r="R19" i="21"/>
  <c r="G57" i="21"/>
  <c r="I57" i="21"/>
  <c r="P57" i="21" s="1"/>
  <c r="Q57" i="21"/>
  <c r="R57" i="21"/>
  <c r="G83" i="21"/>
  <c r="I83" i="21"/>
  <c r="P83" i="21" s="1"/>
  <c r="Q83" i="21"/>
  <c r="R83" i="21"/>
  <c r="G81" i="21"/>
  <c r="I81" i="21"/>
  <c r="P81" i="21" s="1"/>
  <c r="Q81" i="21"/>
  <c r="R81" i="21"/>
  <c r="G88" i="21"/>
  <c r="I88" i="21"/>
  <c r="P88" i="21" s="1"/>
  <c r="Q88" i="21"/>
  <c r="R88" i="21"/>
  <c r="H189" i="21"/>
  <c r="J189" i="21"/>
  <c r="K189" i="21"/>
  <c r="H183" i="21"/>
  <c r="H184" i="21"/>
  <c r="J183" i="21"/>
  <c r="J184" i="21"/>
  <c r="K183" i="21"/>
  <c r="K184" i="21"/>
  <c r="H185" i="21"/>
  <c r="H178" i="21"/>
  <c r="J185" i="21"/>
  <c r="K185" i="21"/>
  <c r="K178" i="21"/>
  <c r="H180" i="21"/>
  <c r="J180" i="21"/>
  <c r="K180" i="21"/>
  <c r="H182" i="21"/>
  <c r="J182" i="21"/>
  <c r="K182" i="21"/>
  <c r="G90" i="21"/>
  <c r="I90" i="21"/>
  <c r="P90" i="21" s="1"/>
  <c r="Q90" i="21"/>
  <c r="R90" i="21"/>
  <c r="G89" i="21"/>
  <c r="I89" i="21"/>
  <c r="P89" i="21" s="1"/>
  <c r="Q89" i="21"/>
  <c r="R89" i="21"/>
  <c r="G69" i="21"/>
  <c r="I69" i="21"/>
  <c r="P69" i="21" s="1"/>
  <c r="Q69" i="21"/>
  <c r="R69" i="21"/>
  <c r="G95" i="21"/>
  <c r="P95" i="21"/>
  <c r="Q95" i="21"/>
  <c r="R95" i="21"/>
  <c r="H179" i="21"/>
  <c r="K179" i="21"/>
  <c r="G118" i="21"/>
  <c r="I118" i="21"/>
  <c r="P118" i="21" s="1"/>
  <c r="Q118" i="21"/>
  <c r="R118" i="21"/>
  <c r="G104" i="21"/>
  <c r="I104" i="21"/>
  <c r="P104" i="21" s="1"/>
  <c r="Q104" i="21"/>
  <c r="R104" i="21"/>
  <c r="G129" i="21"/>
  <c r="I129" i="21"/>
  <c r="P129" i="21" s="1"/>
  <c r="Q129" i="21"/>
  <c r="R129" i="21"/>
  <c r="G70" i="21"/>
  <c r="I145" i="21"/>
  <c r="P145" i="21" s="1"/>
  <c r="Q145" i="21"/>
  <c r="R145" i="21"/>
  <c r="G147" i="21"/>
  <c r="I147" i="21"/>
  <c r="P147" i="21" s="1"/>
  <c r="Q147" i="21"/>
  <c r="R147" i="21"/>
  <c r="G54" i="21"/>
  <c r="I54" i="21"/>
  <c r="P54" i="21" s="1"/>
  <c r="Q54" i="21"/>
  <c r="R54" i="21"/>
  <c r="H233" i="18" l="1"/>
  <c r="J233" i="18"/>
  <c r="K233" i="18"/>
  <c r="H273" i="18"/>
  <c r="J273" i="18"/>
  <c r="K273" i="18"/>
  <c r="H264" i="18"/>
  <c r="J264" i="18"/>
  <c r="K264" i="18"/>
  <c r="G68" i="21"/>
  <c r="I68" i="21"/>
  <c r="P68" i="21" s="1"/>
  <c r="Q68" i="21"/>
  <c r="R68" i="21"/>
  <c r="G73" i="21"/>
  <c r="P73" i="21"/>
  <c r="Q73" i="21"/>
  <c r="R73" i="21"/>
  <c r="G109" i="21"/>
  <c r="I109" i="21"/>
  <c r="P109" i="21" s="1"/>
  <c r="Q109" i="21"/>
  <c r="R109" i="21"/>
  <c r="G134" i="21"/>
  <c r="I134" i="21"/>
  <c r="P134" i="21" s="1"/>
  <c r="Q134" i="21"/>
  <c r="R134" i="21"/>
  <c r="G25" i="21"/>
  <c r="I25" i="21"/>
  <c r="P25" i="21" s="1"/>
  <c r="Q25" i="21"/>
  <c r="R25" i="21"/>
  <c r="G18" i="21"/>
  <c r="I18" i="21"/>
  <c r="P18" i="21" s="1"/>
  <c r="Q18" i="21"/>
  <c r="R18" i="21"/>
  <c r="G136" i="21"/>
  <c r="I136" i="21"/>
  <c r="P136" i="21" s="1"/>
  <c r="Q136" i="21"/>
  <c r="R136" i="21"/>
  <c r="G113" i="21"/>
  <c r="I113" i="21"/>
  <c r="P113" i="21" s="1"/>
  <c r="Q113" i="21"/>
  <c r="R113" i="21"/>
  <c r="G111" i="21"/>
  <c r="I111" i="21"/>
  <c r="P111" i="21" s="1"/>
  <c r="Q111" i="21"/>
  <c r="R111" i="21"/>
  <c r="G112" i="21"/>
  <c r="I112" i="21"/>
  <c r="P112" i="21" s="1"/>
  <c r="Q112" i="21"/>
  <c r="R112" i="21"/>
  <c r="G98" i="21"/>
  <c r="I98" i="21"/>
  <c r="P98" i="21" s="1"/>
  <c r="Q98" i="21"/>
  <c r="R98" i="21"/>
  <c r="G79" i="21"/>
  <c r="I79" i="21"/>
  <c r="P79" i="21" s="1"/>
  <c r="Q79" i="21"/>
  <c r="R79" i="21"/>
  <c r="G9" i="21"/>
  <c r="I9" i="21"/>
  <c r="P9" i="21" s="1"/>
  <c r="Q9" i="21"/>
  <c r="R9" i="21"/>
  <c r="G126" i="21"/>
  <c r="I126" i="21"/>
  <c r="P126" i="21" s="1"/>
  <c r="Q126" i="21"/>
  <c r="R126" i="21"/>
  <c r="G58" i="21"/>
  <c r="I58" i="21"/>
  <c r="P58" i="21" s="1"/>
  <c r="Q58" i="21"/>
  <c r="R58" i="21"/>
  <c r="G121" i="21"/>
  <c r="G120" i="21"/>
  <c r="G119" i="21"/>
  <c r="G123" i="21"/>
  <c r="G132" i="21"/>
  <c r="G131" i="21"/>
  <c r="G127" i="21"/>
  <c r="G124" i="21"/>
  <c r="G125" i="21"/>
  <c r="G128" i="21"/>
  <c r="G130" i="21"/>
  <c r="G133" i="21"/>
  <c r="G138" i="21"/>
  <c r="G137" i="21"/>
  <c r="G139" i="21"/>
  <c r="G135" i="21"/>
  <c r="G144" i="21"/>
  <c r="G141" i="21"/>
  <c r="G143" i="21"/>
  <c r="G148" i="21"/>
  <c r="G146" i="21"/>
  <c r="G140" i="21"/>
  <c r="G142" i="21"/>
  <c r="I121" i="21"/>
  <c r="P121" i="21" s="1"/>
  <c r="I120" i="21"/>
  <c r="P120" i="21" s="1"/>
  <c r="I119" i="21"/>
  <c r="P119" i="21" s="1"/>
  <c r="P123" i="21"/>
  <c r="I132" i="21"/>
  <c r="P132" i="21" s="1"/>
  <c r="I131" i="21"/>
  <c r="P131" i="21" s="1"/>
  <c r="I124" i="21"/>
  <c r="P124" i="21" s="1"/>
  <c r="I125" i="21"/>
  <c r="P125" i="21" s="1"/>
  <c r="I128" i="21"/>
  <c r="P128" i="21" s="1"/>
  <c r="I130" i="21"/>
  <c r="P130" i="21" s="1"/>
  <c r="I133" i="21"/>
  <c r="P133" i="21" s="1"/>
  <c r="I138" i="21"/>
  <c r="P138" i="21" s="1"/>
  <c r="I137" i="21"/>
  <c r="P137" i="21" s="1"/>
  <c r="I139" i="21"/>
  <c r="P139" i="21" s="1"/>
  <c r="P135" i="21"/>
  <c r="I144" i="21"/>
  <c r="P144" i="21" s="1"/>
  <c r="I141" i="21"/>
  <c r="P141" i="21" s="1"/>
  <c r="I143" i="21"/>
  <c r="P143" i="21" s="1"/>
  <c r="I148" i="21"/>
  <c r="P148" i="21" s="1"/>
  <c r="I146" i="21"/>
  <c r="P146" i="21" s="1"/>
  <c r="I140" i="21"/>
  <c r="P140" i="21" s="1"/>
  <c r="I142" i="21"/>
  <c r="P142" i="21" s="1"/>
  <c r="P127" i="21"/>
  <c r="Q121" i="21"/>
  <c r="Q120" i="21"/>
  <c r="Q119" i="21"/>
  <c r="Q123" i="21"/>
  <c r="Q132" i="21"/>
  <c r="Q131" i="21"/>
  <c r="Q127" i="21"/>
  <c r="Q124" i="21"/>
  <c r="Q125" i="21"/>
  <c r="Q128" i="21"/>
  <c r="Q130" i="21"/>
  <c r="Q133" i="21"/>
  <c r="Q138" i="21"/>
  <c r="Q137" i="21"/>
  <c r="Q139" i="21"/>
  <c r="Q135" i="21"/>
  <c r="Q144" i="21"/>
  <c r="Q141" i="21"/>
  <c r="Q143" i="21"/>
  <c r="Q148" i="21"/>
  <c r="Q146" i="21"/>
  <c r="Q140" i="21"/>
  <c r="Q142" i="21"/>
  <c r="R121" i="21"/>
  <c r="R120" i="21"/>
  <c r="R119" i="21"/>
  <c r="R123" i="21"/>
  <c r="R132" i="21"/>
  <c r="R131" i="21"/>
  <c r="R127" i="21"/>
  <c r="R124" i="21"/>
  <c r="R125" i="21"/>
  <c r="R128" i="21"/>
  <c r="R130" i="21"/>
  <c r="R133" i="21"/>
  <c r="R138" i="21"/>
  <c r="R137" i="21"/>
  <c r="R139" i="21"/>
  <c r="R135" i="21"/>
  <c r="R144" i="21"/>
  <c r="R141" i="21"/>
  <c r="R143" i="21"/>
  <c r="R148" i="21"/>
  <c r="R146" i="21"/>
  <c r="R140" i="21"/>
  <c r="R142" i="21"/>
  <c r="G122" i="21"/>
  <c r="P122" i="21"/>
  <c r="Q122" i="21"/>
  <c r="R122" i="21"/>
  <c r="G115" i="21"/>
  <c r="I115" i="21"/>
  <c r="P115" i="21" s="1"/>
  <c r="Q115" i="21"/>
  <c r="R115" i="21"/>
  <c r="G116" i="21"/>
  <c r="I116" i="21"/>
  <c r="P116" i="21" s="1"/>
  <c r="Q116" i="21"/>
  <c r="R116" i="21"/>
  <c r="G117" i="21"/>
  <c r="I117" i="21"/>
  <c r="P117" i="21" s="1"/>
  <c r="Q117" i="21"/>
  <c r="R117" i="21"/>
  <c r="G114" i="21"/>
  <c r="I114" i="21"/>
  <c r="P114" i="21" s="1"/>
  <c r="Q114" i="21"/>
  <c r="R114" i="21"/>
  <c r="G110" i="21"/>
  <c r="P110" i="21"/>
  <c r="Q110" i="21"/>
  <c r="R110" i="21"/>
  <c r="G108" i="21"/>
  <c r="I108" i="21"/>
  <c r="P108" i="21" s="1"/>
  <c r="Q108" i="21"/>
  <c r="R108" i="21"/>
  <c r="G103" i="21"/>
  <c r="P103" i="21"/>
  <c r="Q103" i="21"/>
  <c r="R103" i="21"/>
  <c r="G100" i="21"/>
  <c r="I100" i="21"/>
  <c r="P100" i="21" s="1"/>
  <c r="Q100" i="21"/>
  <c r="R100" i="21"/>
  <c r="G102" i="21"/>
  <c r="P102" i="21"/>
  <c r="Q102" i="21"/>
  <c r="R102" i="21"/>
  <c r="G99" i="21"/>
  <c r="I99" i="21"/>
  <c r="P99" i="21" s="1"/>
  <c r="Q99" i="21"/>
  <c r="R99" i="21"/>
  <c r="G106" i="21"/>
  <c r="P106" i="21"/>
  <c r="Q106" i="21"/>
  <c r="R106" i="21"/>
  <c r="G107" i="21"/>
  <c r="I107" i="21"/>
  <c r="P107" i="21" s="1"/>
  <c r="Q107" i="21"/>
  <c r="R107" i="21"/>
  <c r="G105" i="21"/>
  <c r="I105" i="21"/>
  <c r="P105" i="21" s="1"/>
  <c r="Q105" i="21"/>
  <c r="R105" i="21"/>
  <c r="G101" i="21"/>
  <c r="I101" i="21"/>
  <c r="P101" i="21" s="1"/>
  <c r="Q101" i="21"/>
  <c r="R101" i="21"/>
  <c r="G96" i="21"/>
  <c r="I96" i="21"/>
  <c r="P96" i="21" s="1"/>
  <c r="Q96" i="21"/>
  <c r="R96" i="21"/>
  <c r="G97" i="21"/>
  <c r="I97" i="21"/>
  <c r="P97" i="21" s="1"/>
  <c r="Q97" i="21"/>
  <c r="R97" i="21"/>
  <c r="G94" i="21"/>
  <c r="I94" i="21"/>
  <c r="P94" i="21" s="1"/>
  <c r="Q94" i="21"/>
  <c r="R94" i="21"/>
  <c r="G91" i="21"/>
  <c r="I91" i="21"/>
  <c r="P91" i="21" s="1"/>
  <c r="Q91" i="21"/>
  <c r="R91" i="21"/>
  <c r="G87" i="21"/>
  <c r="I87" i="21"/>
  <c r="P87" i="21" s="1"/>
  <c r="Q87" i="21"/>
  <c r="R87" i="21"/>
  <c r="G92" i="21"/>
  <c r="I92" i="21"/>
  <c r="P92" i="21" s="1"/>
  <c r="Q92" i="21"/>
  <c r="R92" i="21"/>
  <c r="G93" i="21"/>
  <c r="I93" i="21"/>
  <c r="P93" i="21" s="1"/>
  <c r="Q93" i="21"/>
  <c r="R93" i="21"/>
  <c r="G85" i="21"/>
  <c r="I85" i="21"/>
  <c r="P85" i="21" s="1"/>
  <c r="Q85" i="21"/>
  <c r="R85" i="21"/>
  <c r="G84" i="21"/>
  <c r="P84" i="21"/>
  <c r="Q84" i="21"/>
  <c r="R84" i="21"/>
  <c r="G86" i="21"/>
  <c r="I86" i="21"/>
  <c r="P86" i="21" s="1"/>
  <c r="Q86" i="21"/>
  <c r="R86" i="21"/>
  <c r="G80" i="21"/>
  <c r="I80" i="21"/>
  <c r="P80" i="21" s="1"/>
  <c r="Q80" i="21"/>
  <c r="R80" i="21"/>
  <c r="G82" i="21"/>
  <c r="I82" i="21"/>
  <c r="P82" i="21" s="1"/>
  <c r="Q82" i="21"/>
  <c r="R82" i="21"/>
  <c r="G77" i="21"/>
  <c r="I77" i="21"/>
  <c r="P77" i="21" s="1"/>
  <c r="Q77" i="21"/>
  <c r="R77" i="21"/>
  <c r="G78" i="21"/>
  <c r="I78" i="21"/>
  <c r="P78" i="21" s="1"/>
  <c r="Q78" i="21"/>
  <c r="R78" i="21"/>
  <c r="G11" i="21"/>
  <c r="I11" i="21"/>
  <c r="G10" i="21"/>
  <c r="I10" i="21"/>
  <c r="G14" i="21"/>
  <c r="I14" i="21"/>
  <c r="G13" i="21"/>
  <c r="I13" i="21"/>
  <c r="G15" i="21"/>
  <c r="I15" i="21"/>
  <c r="G23" i="21"/>
  <c r="I23" i="21"/>
  <c r="G21" i="21"/>
  <c r="G17" i="21"/>
  <c r="I17" i="21"/>
  <c r="G22" i="21"/>
  <c r="I22" i="21"/>
  <c r="G28" i="21"/>
  <c r="I28" i="21"/>
  <c r="G26" i="21"/>
  <c r="I26" i="21"/>
  <c r="G24" i="21"/>
  <c r="I24" i="21"/>
  <c r="G29" i="21"/>
  <c r="I29" i="21"/>
  <c r="G32" i="21"/>
  <c r="I32" i="21"/>
  <c r="G30" i="21"/>
  <c r="I30" i="21"/>
  <c r="G31" i="21"/>
  <c r="I31" i="21"/>
  <c r="G27" i="21"/>
  <c r="I27" i="21"/>
  <c r="G34" i="21"/>
  <c r="I34" i="21"/>
  <c r="G35" i="21"/>
  <c r="I35" i="21"/>
  <c r="G38" i="21"/>
  <c r="I38" i="21"/>
  <c r="G36" i="21"/>
  <c r="I36" i="21"/>
  <c r="G37" i="21"/>
  <c r="I37" i="21"/>
  <c r="G43" i="21"/>
  <c r="I43" i="21"/>
  <c r="G44" i="21"/>
  <c r="G47" i="21"/>
  <c r="I47" i="21"/>
  <c r="G50" i="21"/>
  <c r="I50" i="21"/>
  <c r="G48" i="21"/>
  <c r="I48" i="21"/>
  <c r="G49" i="21"/>
  <c r="I49" i="21"/>
  <c r="G46" i="21"/>
  <c r="G53" i="21"/>
  <c r="I53" i="21"/>
  <c r="G55" i="21"/>
  <c r="I55" i="21"/>
  <c r="P55" i="21" s="1"/>
  <c r="G52" i="21"/>
  <c r="I52" i="21"/>
  <c r="P52" i="21" s="1"/>
  <c r="G51" i="21"/>
  <c r="I51" i="21"/>
  <c r="P51" i="21" s="1"/>
  <c r="G60" i="21"/>
  <c r="I60" i="21"/>
  <c r="P60" i="21" s="1"/>
  <c r="G61" i="21"/>
  <c r="G56" i="21"/>
  <c r="I56" i="21"/>
  <c r="P56" i="21" s="1"/>
  <c r="G65" i="21"/>
  <c r="I65" i="21"/>
  <c r="P65" i="21" s="1"/>
  <c r="G62" i="21"/>
  <c r="I62" i="21"/>
  <c r="P62" i="21" s="1"/>
  <c r="G64" i="21"/>
  <c r="I64" i="21"/>
  <c r="P64" i="21" s="1"/>
  <c r="G63" i="21"/>
  <c r="I63" i="21"/>
  <c r="P63" i="21" s="1"/>
  <c r="I70" i="21"/>
  <c r="P70" i="21" s="1"/>
  <c r="G72" i="21"/>
  <c r="P72" i="21"/>
  <c r="G71" i="21"/>
  <c r="G67" i="21"/>
  <c r="I67" i="21"/>
  <c r="P67" i="21" s="1"/>
  <c r="G66" i="21"/>
  <c r="I66" i="21"/>
  <c r="P66" i="21" s="1"/>
  <c r="G74" i="21"/>
  <c r="I74" i="21"/>
  <c r="P74" i="21" s="1"/>
  <c r="G76" i="21"/>
  <c r="I76" i="21"/>
  <c r="P76" i="21" s="1"/>
  <c r="G75" i="21"/>
  <c r="I75" i="21"/>
  <c r="P75" i="21" s="1"/>
  <c r="H153" i="21"/>
  <c r="J153" i="21"/>
  <c r="K153" i="21"/>
  <c r="L153" i="21"/>
  <c r="M153" i="21"/>
  <c r="G163" i="21"/>
  <c r="H163" i="21"/>
  <c r="I163" i="21"/>
  <c r="J163" i="21"/>
  <c r="K163" i="21"/>
  <c r="L163" i="21"/>
  <c r="H194" i="21"/>
  <c r="J194" i="21"/>
  <c r="K194" i="21"/>
  <c r="I195" i="21"/>
  <c r="G221" i="21"/>
  <c r="I221" i="21"/>
  <c r="L221" i="21" s="1"/>
  <c r="G220" i="21"/>
  <c r="I220" i="21"/>
  <c r="L220" i="21" s="1"/>
  <c r="G219" i="21"/>
  <c r="I219" i="21"/>
  <c r="L219" i="21" s="1"/>
  <c r="G212" i="21"/>
  <c r="I212" i="21"/>
  <c r="L212" i="21" s="1"/>
  <c r="G218" i="21"/>
  <c r="I218" i="21"/>
  <c r="L218" i="21" s="1"/>
  <c r="G331" i="21"/>
  <c r="I331" i="21"/>
  <c r="L331" i="21" s="1"/>
  <c r="G330" i="21"/>
  <c r="I330" i="21"/>
  <c r="L330" i="21" s="1"/>
  <c r="G217" i="21"/>
  <c r="I217" i="21"/>
  <c r="L217" i="21" s="1"/>
  <c r="G354" i="21"/>
  <c r="I354" i="21"/>
  <c r="L354" i="21" s="1"/>
  <c r="H394" i="21"/>
  <c r="J394" i="21"/>
  <c r="K394" i="21"/>
  <c r="M394" i="21"/>
  <c r="H3017" i="21"/>
  <c r="I3017" i="21"/>
  <c r="J3017" i="21"/>
  <c r="K3017" i="21"/>
  <c r="M3017" i="21"/>
  <c r="Q75" i="21"/>
  <c r="R75" i="21"/>
  <c r="Q76" i="21"/>
  <c r="R76" i="21"/>
  <c r="Q74" i="21"/>
  <c r="R74" i="21"/>
  <c r="Q66" i="21"/>
  <c r="R66" i="21"/>
  <c r="Q67" i="21"/>
  <c r="R67" i="21"/>
  <c r="P71" i="21"/>
  <c r="Q71" i="21"/>
  <c r="R71" i="21"/>
  <c r="Q72" i="21"/>
  <c r="R72" i="21"/>
  <c r="Q70" i="21"/>
  <c r="R70" i="21"/>
  <c r="Q63" i="21"/>
  <c r="R63" i="21"/>
  <c r="Q64" i="21"/>
  <c r="R64" i="21"/>
  <c r="Q62" i="21"/>
  <c r="R62" i="21"/>
  <c r="Q65" i="21"/>
  <c r="R65" i="21"/>
  <c r="Q56" i="21"/>
  <c r="R56" i="21"/>
  <c r="P61" i="21"/>
  <c r="Q61" i="21"/>
  <c r="R61" i="21"/>
  <c r="Q60" i="21"/>
  <c r="R60" i="21"/>
  <c r="Q51" i="21"/>
  <c r="R51" i="21"/>
  <c r="Q52" i="21"/>
  <c r="R52" i="21"/>
  <c r="Q55" i="21"/>
  <c r="R55" i="21"/>
  <c r="G3021" i="21"/>
  <c r="G3022" i="21"/>
  <c r="G3023" i="21"/>
  <c r="G3024" i="21"/>
  <c r="G3025" i="21"/>
  <c r="L3017" i="21" l="1"/>
  <c r="L394" i="21"/>
  <c r="I394" i="21"/>
  <c r="P53" i="21"/>
  <c r="Q53" i="21"/>
  <c r="R53" i="21"/>
  <c r="P46" i="21"/>
  <c r="Q46" i="21"/>
  <c r="R46" i="21"/>
  <c r="P49" i="21"/>
  <c r="Q49" i="21"/>
  <c r="R49" i="21"/>
  <c r="P48" i="21"/>
  <c r="Q48" i="21"/>
  <c r="R48" i="21"/>
  <c r="P50" i="21"/>
  <c r="Q50" i="21"/>
  <c r="R50" i="21"/>
  <c r="P47" i="21"/>
  <c r="Q47" i="21"/>
  <c r="R47" i="21"/>
  <c r="P44" i="21"/>
  <c r="Q44" i="21"/>
  <c r="R44" i="21"/>
  <c r="P43" i="21"/>
  <c r="Q43" i="21"/>
  <c r="R43" i="21"/>
  <c r="P37" i="21"/>
  <c r="Q37" i="21"/>
  <c r="R37" i="21"/>
  <c r="P36" i="21"/>
  <c r="Q36" i="21"/>
  <c r="R36" i="21"/>
  <c r="P38" i="21"/>
  <c r="Q38" i="21"/>
  <c r="R38" i="21"/>
  <c r="P35" i="21"/>
  <c r="Q35" i="21"/>
  <c r="R35" i="21"/>
  <c r="P34" i="21"/>
  <c r="Q34" i="21"/>
  <c r="R34" i="21"/>
  <c r="P27" i="21"/>
  <c r="Q27" i="21"/>
  <c r="R27" i="21"/>
  <c r="P31" i="21"/>
  <c r="Q31" i="21"/>
  <c r="R31" i="21"/>
  <c r="P30" i="21"/>
  <c r="Q30" i="21"/>
  <c r="R30" i="21"/>
  <c r="P32" i="21"/>
  <c r="Q32" i="21"/>
  <c r="R32" i="21"/>
  <c r="P29" i="21"/>
  <c r="Q29" i="21"/>
  <c r="R29" i="21"/>
  <c r="P24" i="21"/>
  <c r="Q24" i="21"/>
  <c r="R24" i="21"/>
  <c r="P26" i="21"/>
  <c r="Q26" i="21"/>
  <c r="R26" i="21"/>
  <c r="P28" i="21"/>
  <c r="Q28" i="21"/>
  <c r="R28" i="21"/>
  <c r="P22" i="21"/>
  <c r="Q22" i="21"/>
  <c r="R22" i="21"/>
  <c r="P17" i="21"/>
  <c r="Q17" i="21"/>
  <c r="R17" i="21"/>
  <c r="P21" i="21"/>
  <c r="Q21" i="21"/>
  <c r="R21" i="21"/>
  <c r="G193" i="14" l="1"/>
  <c r="M193" i="14" s="1"/>
  <c r="G195" i="14"/>
  <c r="M195" i="14" s="1"/>
  <c r="G197" i="14"/>
  <c r="M197" i="14" s="1"/>
  <c r="G198" i="14"/>
  <c r="M198" i="14" s="1"/>
  <c r="G200" i="14"/>
  <c r="M200" i="14" s="1"/>
  <c r="H202" i="14"/>
  <c r="G9" i="14" l="1"/>
  <c r="I9" i="14"/>
  <c r="Q9" i="14"/>
  <c r="R9" i="14"/>
  <c r="G147" i="14"/>
  <c r="P147" i="14"/>
  <c r="Q147" i="14"/>
  <c r="R147" i="14"/>
  <c r="G146" i="14"/>
  <c r="P146" i="14"/>
  <c r="Q146" i="14"/>
  <c r="R146" i="14"/>
  <c r="G93" i="14"/>
  <c r="P93" i="14"/>
  <c r="Q93" i="14"/>
  <c r="R93" i="14"/>
  <c r="G148" i="14"/>
  <c r="P148" i="14"/>
  <c r="Q148" i="14"/>
  <c r="R148" i="14"/>
  <c r="G24" i="14"/>
  <c r="P24" i="14"/>
  <c r="Q24" i="14"/>
  <c r="R24" i="14"/>
  <c r="G124" i="19"/>
  <c r="P124" i="19"/>
  <c r="Q124" i="19"/>
  <c r="R124" i="19"/>
  <c r="H222" i="14"/>
  <c r="H224" i="14"/>
  <c r="H223" i="14"/>
  <c r="H211" i="14"/>
  <c r="H216" i="14"/>
  <c r="H212" i="14"/>
  <c r="H213" i="14"/>
  <c r="H214" i="14"/>
  <c r="H208" i="14"/>
  <c r="H210" i="14"/>
  <c r="H209" i="14"/>
  <c r="J224" i="14"/>
  <c r="J223" i="14"/>
  <c r="J211" i="14"/>
  <c r="J216" i="14"/>
  <c r="K224" i="14"/>
  <c r="K223" i="14"/>
  <c r="K211" i="14"/>
  <c r="K216" i="14"/>
  <c r="J212" i="14"/>
  <c r="J213" i="14"/>
  <c r="J214" i="14"/>
  <c r="J208" i="14"/>
  <c r="K212" i="14"/>
  <c r="K213" i="14"/>
  <c r="K214" i="14"/>
  <c r="K208" i="14"/>
  <c r="H227" i="14"/>
  <c r="H228" i="14"/>
  <c r="J210" i="14"/>
  <c r="J209" i="14"/>
  <c r="J227" i="14"/>
  <c r="J228" i="14"/>
  <c r="K210" i="14"/>
  <c r="K209" i="14"/>
  <c r="K227" i="14"/>
  <c r="K228" i="14"/>
  <c r="H229" i="14"/>
  <c r="J229" i="14"/>
  <c r="K229" i="14"/>
  <c r="H230" i="14"/>
  <c r="J230" i="14"/>
  <c r="K230" i="14"/>
  <c r="H217" i="14"/>
  <c r="J217" i="14"/>
  <c r="K217" i="14"/>
  <c r="H215" i="14"/>
  <c r="J215" i="14"/>
  <c r="K215" i="14"/>
  <c r="J222" i="14"/>
  <c r="K222" i="14"/>
  <c r="H218" i="14"/>
  <c r="J218" i="14"/>
  <c r="K218" i="14"/>
  <c r="H220" i="14"/>
  <c r="J220" i="14"/>
  <c r="K220" i="14"/>
  <c r="G156" i="14"/>
  <c r="P156" i="14"/>
  <c r="Q156" i="14"/>
  <c r="R156" i="14"/>
  <c r="G107" i="14"/>
  <c r="P107" i="14"/>
  <c r="Q107" i="14"/>
  <c r="R107" i="14"/>
  <c r="G135" i="14"/>
  <c r="P135" i="14"/>
  <c r="Q135" i="14"/>
  <c r="R135" i="14"/>
  <c r="G108" i="14"/>
  <c r="P108" i="14"/>
  <c r="Q108" i="14"/>
  <c r="R108" i="14"/>
  <c r="G69" i="14"/>
  <c r="P69" i="14"/>
  <c r="Q69" i="14"/>
  <c r="R69" i="14"/>
  <c r="G95" i="14"/>
  <c r="P95" i="14"/>
  <c r="Q95" i="14"/>
  <c r="R95" i="14"/>
  <c r="G81" i="14"/>
  <c r="P81" i="14"/>
  <c r="Q81" i="14"/>
  <c r="R81" i="14"/>
  <c r="G76" i="14"/>
  <c r="P76" i="14"/>
  <c r="Q76" i="14"/>
  <c r="R76" i="14"/>
  <c r="G110" i="14"/>
  <c r="P110" i="14"/>
  <c r="Q110" i="14"/>
  <c r="R110" i="14"/>
  <c r="P9" i="14" l="1"/>
  <c r="I186" i="14"/>
  <c r="G10" i="14"/>
  <c r="P10" i="14"/>
  <c r="Q10" i="14"/>
  <c r="R10" i="14"/>
  <c r="G133" i="14"/>
  <c r="P133" i="14"/>
  <c r="Q133" i="14"/>
  <c r="R133" i="14"/>
  <c r="G109" i="14"/>
  <c r="P109" i="14"/>
  <c r="Q109" i="14"/>
  <c r="R109" i="14"/>
  <c r="G134" i="14"/>
  <c r="P134" i="14"/>
  <c r="Q134" i="14"/>
  <c r="R134" i="14"/>
  <c r="G139" i="14"/>
  <c r="P139" i="14"/>
  <c r="Q139" i="14"/>
  <c r="R139" i="14"/>
  <c r="G29" i="14"/>
  <c r="P29" i="14"/>
  <c r="Q29" i="14"/>
  <c r="R29" i="14"/>
  <c r="G118" i="14"/>
  <c r="P118" i="14"/>
  <c r="Q118" i="14"/>
  <c r="R118" i="14"/>
  <c r="G117" i="14"/>
  <c r="P117" i="14"/>
  <c r="Q117" i="14"/>
  <c r="R117" i="14"/>
  <c r="G185" i="14"/>
  <c r="P185" i="14"/>
  <c r="Q185" i="14"/>
  <c r="R185" i="14"/>
  <c r="G184" i="14"/>
  <c r="P184" i="14"/>
  <c r="Q184" i="14"/>
  <c r="R184" i="14"/>
  <c r="G168" i="14"/>
  <c r="P168" i="14"/>
  <c r="Q168" i="14"/>
  <c r="R168" i="14"/>
  <c r="G116" i="14"/>
  <c r="P116" i="14"/>
  <c r="Q116" i="14"/>
  <c r="R116" i="14"/>
  <c r="G114" i="14"/>
  <c r="P114" i="14"/>
  <c r="Q114" i="14"/>
  <c r="R114" i="14"/>
  <c r="G115" i="14"/>
  <c r="P115" i="14"/>
  <c r="Q115" i="14"/>
  <c r="R115" i="14"/>
  <c r="G167" i="14"/>
  <c r="P167" i="14"/>
  <c r="Q167" i="14"/>
  <c r="R167" i="14"/>
  <c r="G113" i="14"/>
  <c r="P113" i="14"/>
  <c r="Q113" i="14"/>
  <c r="R113" i="14"/>
  <c r="G160" i="14"/>
  <c r="P160" i="14"/>
  <c r="Q160" i="14"/>
  <c r="R160" i="14"/>
  <c r="G166" i="14"/>
  <c r="P166" i="14"/>
  <c r="Q166" i="14"/>
  <c r="R166" i="14"/>
  <c r="G112" i="14"/>
  <c r="P112" i="14"/>
  <c r="Q112" i="14"/>
  <c r="R112" i="14"/>
  <c r="G161" i="14"/>
  <c r="P161" i="14"/>
  <c r="Q161" i="14"/>
  <c r="R161" i="14"/>
  <c r="G165" i="14"/>
  <c r="P165" i="14"/>
  <c r="Q165" i="14"/>
  <c r="R165" i="14"/>
  <c r="G164" i="14"/>
  <c r="P164" i="14"/>
  <c r="Q164" i="14"/>
  <c r="R164" i="14"/>
  <c r="G23" i="14"/>
  <c r="P23" i="14"/>
  <c r="Q23" i="14"/>
  <c r="R23" i="14"/>
  <c r="G98" i="14"/>
  <c r="P98" i="14"/>
  <c r="Q98" i="14"/>
  <c r="R98" i="14"/>
  <c r="G154" i="14"/>
  <c r="P154" i="14"/>
  <c r="Q154" i="14"/>
  <c r="R154" i="14"/>
  <c r="G124" i="14"/>
  <c r="P124" i="14"/>
  <c r="Q124" i="14"/>
  <c r="R124" i="14"/>
  <c r="G66" i="14"/>
  <c r="P66" i="14"/>
  <c r="Q66" i="14"/>
  <c r="R66" i="14"/>
  <c r="G70" i="14"/>
  <c r="P70" i="14"/>
  <c r="Q70" i="14"/>
  <c r="R70" i="14"/>
  <c r="G49" i="14"/>
  <c r="P49" i="14"/>
  <c r="Q49" i="14"/>
  <c r="R49" i="14"/>
  <c r="G140" i="14"/>
  <c r="P140" i="14"/>
  <c r="Q140" i="14"/>
  <c r="R140" i="14"/>
  <c r="G129" i="14"/>
  <c r="P129" i="14"/>
  <c r="Q129" i="14"/>
  <c r="R129" i="14"/>
  <c r="G125" i="14"/>
  <c r="P125" i="14"/>
  <c r="Q125" i="14"/>
  <c r="R125" i="14"/>
  <c r="G126" i="14"/>
  <c r="P126" i="14"/>
  <c r="Q126" i="14"/>
  <c r="R126" i="14"/>
  <c r="G60" i="14"/>
  <c r="P60" i="14"/>
  <c r="Q60" i="14"/>
  <c r="R60" i="14"/>
  <c r="G157" i="14"/>
  <c r="P157" i="14"/>
  <c r="Q157" i="14"/>
  <c r="R157" i="14"/>
  <c r="G130" i="14"/>
  <c r="P130" i="14"/>
  <c r="Q130" i="14"/>
  <c r="R130" i="14"/>
  <c r="G132" i="14"/>
  <c r="P132" i="14"/>
  <c r="Q132" i="14"/>
  <c r="R132" i="14"/>
  <c r="G131" i="14"/>
  <c r="P131" i="14"/>
  <c r="Q131" i="14"/>
  <c r="R131" i="14"/>
  <c r="G123" i="14"/>
  <c r="P123" i="14"/>
  <c r="Q123" i="14"/>
  <c r="R123" i="14"/>
  <c r="G71" i="14"/>
  <c r="P71" i="14"/>
  <c r="Q71" i="14"/>
  <c r="R71" i="14"/>
  <c r="G172" i="14"/>
  <c r="P172" i="14"/>
  <c r="Q172" i="14"/>
  <c r="R172" i="14"/>
  <c r="G86" i="14"/>
  <c r="P86" i="14"/>
  <c r="Q86" i="14"/>
  <c r="R86" i="14"/>
  <c r="G183" i="14"/>
  <c r="P183" i="14"/>
  <c r="Q183" i="14"/>
  <c r="R183" i="14"/>
  <c r="G106" i="14"/>
  <c r="P106" i="14"/>
  <c r="Q106" i="14"/>
  <c r="R106" i="14"/>
  <c r="G57" i="14"/>
  <c r="P57" i="14"/>
  <c r="Q57" i="14"/>
  <c r="R57" i="14"/>
  <c r="G48" i="14"/>
  <c r="P48" i="14"/>
  <c r="Q48" i="14"/>
  <c r="R48" i="14"/>
  <c r="G136" i="14"/>
  <c r="P136" i="14"/>
  <c r="Q136" i="14"/>
  <c r="R136" i="14"/>
  <c r="G89" i="14"/>
  <c r="P89" i="14"/>
  <c r="Q89" i="14"/>
  <c r="R89" i="14"/>
  <c r="G153" i="14"/>
  <c r="P153" i="14"/>
  <c r="Q153" i="14"/>
  <c r="R153" i="14"/>
  <c r="G38" i="14"/>
  <c r="P38" i="14"/>
  <c r="Q38" i="14"/>
  <c r="R38" i="14"/>
  <c r="G79" i="14"/>
  <c r="P79" i="14"/>
  <c r="Q79" i="14"/>
  <c r="R79" i="14"/>
  <c r="G173" i="14"/>
  <c r="P173" i="14"/>
  <c r="Q173" i="14"/>
  <c r="R173" i="14"/>
  <c r="G104" i="14"/>
  <c r="P104" i="14"/>
  <c r="Q104" i="14"/>
  <c r="R104" i="14"/>
  <c r="G44" i="14"/>
  <c r="P44" i="14"/>
  <c r="Q44" i="14"/>
  <c r="R44" i="14"/>
  <c r="G103" i="14"/>
  <c r="P103" i="14"/>
  <c r="Q103" i="14"/>
  <c r="R103" i="14"/>
  <c r="G20" i="14"/>
  <c r="P20" i="14"/>
  <c r="Q20" i="14"/>
  <c r="R20" i="14"/>
  <c r="G77" i="14"/>
  <c r="P77" i="14"/>
  <c r="Q77" i="14"/>
  <c r="R77" i="14"/>
  <c r="G97" i="14"/>
  <c r="P97" i="14"/>
  <c r="Q97" i="14"/>
  <c r="R97" i="14"/>
  <c r="G59" i="14"/>
  <c r="P59" i="14"/>
  <c r="Q59" i="14"/>
  <c r="R59" i="14"/>
  <c r="G171" i="14"/>
  <c r="P171" i="14"/>
  <c r="Q171" i="14"/>
  <c r="R171" i="14"/>
  <c r="G56" i="14"/>
  <c r="P56" i="14"/>
  <c r="Q56" i="14"/>
  <c r="R56" i="14"/>
  <c r="G68" i="14"/>
  <c r="P68" i="14"/>
  <c r="Q68" i="14"/>
  <c r="R68" i="14"/>
  <c r="G26" i="14"/>
  <c r="P26" i="14"/>
  <c r="Q26" i="14"/>
  <c r="R26" i="14"/>
  <c r="G36" i="14"/>
  <c r="P36" i="14"/>
  <c r="Q36" i="14"/>
  <c r="R36" i="14"/>
  <c r="G87" i="14"/>
  <c r="P87" i="14"/>
  <c r="Q87" i="14"/>
  <c r="R87" i="14"/>
  <c r="G41" i="14"/>
  <c r="P41" i="14"/>
  <c r="Q41" i="14"/>
  <c r="R41" i="14"/>
  <c r="G145" i="14"/>
  <c r="P145" i="14"/>
  <c r="Q145" i="14"/>
  <c r="R145" i="14"/>
  <c r="G37" i="14"/>
  <c r="P37" i="14"/>
  <c r="Q37" i="14"/>
  <c r="R37" i="14"/>
  <c r="G143" i="14"/>
  <c r="P143" i="14"/>
  <c r="Q143" i="14"/>
  <c r="R143" i="14"/>
  <c r="G62" i="14"/>
  <c r="P62" i="14"/>
  <c r="Q62" i="14"/>
  <c r="R62" i="14"/>
  <c r="G72" i="14"/>
  <c r="P72" i="14"/>
  <c r="Q72" i="14"/>
  <c r="R72" i="14"/>
  <c r="G74" i="14"/>
  <c r="P74" i="14"/>
  <c r="Q74" i="14"/>
  <c r="R74" i="14"/>
  <c r="G33" i="14"/>
  <c r="P33" i="14"/>
  <c r="Q33" i="14"/>
  <c r="R33" i="14"/>
  <c r="G45" i="14"/>
  <c r="P45" i="14"/>
  <c r="Q45" i="14"/>
  <c r="R45" i="14"/>
  <c r="G46" i="14"/>
  <c r="P46" i="14"/>
  <c r="Q46" i="14"/>
  <c r="R46" i="14"/>
  <c r="G120" i="14"/>
  <c r="P120" i="14"/>
  <c r="Q120" i="14"/>
  <c r="R120" i="14"/>
  <c r="G40" i="14"/>
  <c r="P40" i="14"/>
  <c r="Q40" i="14"/>
  <c r="R40" i="14"/>
  <c r="G73" i="14"/>
  <c r="P73" i="14"/>
  <c r="Q73" i="14"/>
  <c r="R73" i="14"/>
  <c r="G80" i="14"/>
  <c r="P80" i="14"/>
  <c r="Q80" i="14"/>
  <c r="R80" i="14"/>
  <c r="G64" i="14"/>
  <c r="P64" i="14"/>
  <c r="Q64" i="14"/>
  <c r="R64" i="14"/>
  <c r="G152" i="14"/>
  <c r="P152" i="14"/>
  <c r="Q152" i="14"/>
  <c r="R152" i="14"/>
  <c r="G13" i="14"/>
  <c r="P13" i="14"/>
  <c r="Q13" i="14"/>
  <c r="R13" i="14"/>
  <c r="G12" i="14"/>
  <c r="P12" i="14"/>
  <c r="Q12" i="14"/>
  <c r="R12" i="14"/>
  <c r="G142" i="14"/>
  <c r="P142" i="14"/>
  <c r="Q142" i="14"/>
  <c r="R142" i="14"/>
  <c r="G27" i="14"/>
  <c r="P27" i="14"/>
  <c r="Q27" i="14"/>
  <c r="R27" i="14"/>
  <c r="G31" i="14"/>
  <c r="P31" i="14"/>
  <c r="Q31" i="14"/>
  <c r="R31" i="14"/>
  <c r="G85" i="14"/>
  <c r="P85" i="14"/>
  <c r="Q85" i="14"/>
  <c r="R85" i="14"/>
  <c r="G179" i="14"/>
  <c r="P179" i="14"/>
  <c r="Q179" i="14"/>
  <c r="R179" i="14"/>
  <c r="G30" i="14"/>
  <c r="P30" i="14"/>
  <c r="Q30" i="14"/>
  <c r="R30" i="14"/>
  <c r="G19" i="14"/>
  <c r="P19" i="14"/>
  <c r="Q19" i="14"/>
  <c r="R19" i="14"/>
  <c r="G99" i="14"/>
  <c r="P99" i="14"/>
  <c r="Q99" i="14"/>
  <c r="R99" i="14"/>
  <c r="G101" i="14"/>
  <c r="P101" i="14"/>
  <c r="Q101" i="14"/>
  <c r="R101" i="14"/>
  <c r="G16" i="14"/>
  <c r="P16" i="14"/>
  <c r="Q16" i="14"/>
  <c r="R16" i="14"/>
  <c r="G21" i="14"/>
  <c r="P21" i="14"/>
  <c r="Q21" i="14"/>
  <c r="R21" i="14"/>
  <c r="G55" i="14"/>
  <c r="P55" i="14"/>
  <c r="Q55" i="14"/>
  <c r="R55" i="14"/>
  <c r="G54" i="14"/>
  <c r="P54" i="14"/>
  <c r="Q54" i="14"/>
  <c r="R54" i="14"/>
  <c r="G53" i="14"/>
  <c r="P53" i="14"/>
  <c r="Q53" i="14"/>
  <c r="R53" i="14"/>
  <c r="G137" i="14"/>
  <c r="P137" i="14"/>
  <c r="Q137" i="14"/>
  <c r="R137" i="14"/>
  <c r="G138" i="14"/>
  <c r="P138" i="14"/>
  <c r="Q138" i="14"/>
  <c r="R138" i="14"/>
  <c r="G128" i="14"/>
  <c r="P128" i="14"/>
  <c r="Q128" i="14"/>
  <c r="R128" i="14"/>
  <c r="G170" i="14"/>
  <c r="P170" i="14"/>
  <c r="Q170" i="14"/>
  <c r="R170" i="14"/>
  <c r="G43" i="14"/>
  <c r="P43" i="14"/>
  <c r="Q43" i="14"/>
  <c r="R43" i="14"/>
  <c r="G58" i="14"/>
  <c r="P58" i="14"/>
  <c r="Q58" i="14"/>
  <c r="R58" i="14"/>
  <c r="G141" i="14"/>
  <c r="P141" i="14"/>
  <c r="Q141" i="14"/>
  <c r="R141" i="14"/>
  <c r="G155" i="14"/>
  <c r="P155" i="14"/>
  <c r="Q155" i="14"/>
  <c r="R155" i="14"/>
  <c r="G32" i="14"/>
  <c r="P32" i="14"/>
  <c r="Q32" i="14"/>
  <c r="R32" i="14"/>
  <c r="G25" i="14"/>
  <c r="P25" i="14"/>
  <c r="Q25" i="14"/>
  <c r="R25" i="14"/>
  <c r="G94" i="14"/>
  <c r="P94" i="14"/>
  <c r="Q94" i="14"/>
  <c r="R94" i="14"/>
  <c r="G96" i="14"/>
  <c r="P96" i="14"/>
  <c r="Q96" i="14"/>
  <c r="R96" i="14"/>
  <c r="G122" i="14"/>
  <c r="P122" i="14"/>
  <c r="Q122" i="14"/>
  <c r="R122" i="14"/>
  <c r="G67" i="14"/>
  <c r="P67" i="14"/>
  <c r="Q67" i="14"/>
  <c r="R67" i="14"/>
  <c r="G35" i="14"/>
  <c r="P35" i="14"/>
  <c r="Q35" i="14"/>
  <c r="R35" i="14"/>
  <c r="G47" i="14"/>
  <c r="P47" i="14"/>
  <c r="Q47" i="14"/>
  <c r="R47" i="14"/>
  <c r="G119" i="14"/>
  <c r="P119" i="14"/>
  <c r="Q119" i="14"/>
  <c r="R119" i="14"/>
  <c r="G75" i="14"/>
  <c r="P75" i="14"/>
  <c r="Q75" i="14"/>
  <c r="R75" i="14"/>
  <c r="G121" i="14"/>
  <c r="P121" i="14"/>
  <c r="Q121" i="14"/>
  <c r="R121" i="14"/>
  <c r="G169" i="14"/>
  <c r="P169" i="14"/>
  <c r="Q169" i="14"/>
  <c r="R169" i="14"/>
  <c r="G61" i="14"/>
  <c r="P61" i="14"/>
  <c r="Q61" i="14"/>
  <c r="R61" i="14"/>
  <c r="G18" i="14"/>
  <c r="P18" i="14"/>
  <c r="Q18" i="14"/>
  <c r="R18" i="14"/>
  <c r="G92" i="14"/>
  <c r="P92" i="14"/>
  <c r="Q92" i="14"/>
  <c r="R92" i="14"/>
  <c r="G151" i="14"/>
  <c r="P151" i="14"/>
  <c r="Q151" i="14"/>
  <c r="R151" i="14"/>
  <c r="G150" i="14"/>
  <c r="P150" i="14"/>
  <c r="Q150" i="14"/>
  <c r="R150" i="14"/>
  <c r="G83" i="14"/>
  <c r="P83" i="14"/>
  <c r="Q83" i="14"/>
  <c r="R83" i="14"/>
  <c r="G84" i="14"/>
  <c r="P84" i="14"/>
  <c r="Q84" i="14"/>
  <c r="R84" i="14"/>
  <c r="G177" i="14"/>
  <c r="P177" i="14"/>
  <c r="Q177" i="14"/>
  <c r="R177" i="14"/>
  <c r="G176" i="14"/>
  <c r="P176" i="14"/>
  <c r="Q176" i="14"/>
  <c r="R176" i="14"/>
  <c r="G175" i="14"/>
  <c r="P175" i="14"/>
  <c r="Q175" i="14"/>
  <c r="R175" i="14"/>
  <c r="G174" i="14"/>
  <c r="P174" i="14"/>
  <c r="Q174" i="14"/>
  <c r="R174" i="14"/>
  <c r="G11" i="14"/>
  <c r="P11" i="14"/>
  <c r="Q11" i="14"/>
  <c r="R11" i="14"/>
  <c r="G102" i="14"/>
  <c r="P102" i="14"/>
  <c r="Q102" i="14"/>
  <c r="R102" i="14"/>
  <c r="G63" i="14"/>
  <c r="P63" i="14"/>
  <c r="Q63" i="14"/>
  <c r="R63" i="14"/>
  <c r="G178" i="14"/>
  <c r="P178" i="14"/>
  <c r="Q178" i="14"/>
  <c r="R178" i="14"/>
  <c r="G163" i="14"/>
  <c r="P163" i="14"/>
  <c r="Q163" i="14"/>
  <c r="R163" i="14"/>
  <c r="G82" i="14"/>
  <c r="P82" i="14"/>
  <c r="Q82" i="14"/>
  <c r="R82" i="14"/>
  <c r="G180" i="14"/>
  <c r="P180" i="14"/>
  <c r="Q180" i="14"/>
  <c r="R180" i="14"/>
  <c r="G158" i="14"/>
  <c r="P158" i="14"/>
  <c r="Q158" i="14"/>
  <c r="R158" i="14"/>
  <c r="G162" i="14"/>
  <c r="P162" i="14"/>
  <c r="Q162" i="14"/>
  <c r="R162" i="14"/>
  <c r="G51" i="14"/>
  <c r="P51" i="14"/>
  <c r="Q51" i="14"/>
  <c r="R51" i="14"/>
  <c r="G52" i="14"/>
  <c r="P52" i="14"/>
  <c r="Q52" i="14"/>
  <c r="R52" i="14"/>
  <c r="G78" i="14"/>
  <c r="P78" i="14"/>
  <c r="Q78" i="14"/>
  <c r="R78" i="14"/>
  <c r="G91" i="14"/>
  <c r="P91" i="14"/>
  <c r="Q91" i="14"/>
  <c r="R91" i="14"/>
  <c r="G182" i="14"/>
  <c r="P182" i="14"/>
  <c r="Q182" i="14"/>
  <c r="R182" i="14"/>
  <c r="G22" i="14"/>
  <c r="P22" i="14"/>
  <c r="Q22" i="14"/>
  <c r="R22" i="14"/>
  <c r="G90" i="14"/>
  <c r="P90" i="14"/>
  <c r="Q90" i="14"/>
  <c r="R90" i="14"/>
  <c r="G88" i="14"/>
  <c r="P88" i="14"/>
  <c r="Q88" i="14"/>
  <c r="R88" i="14"/>
  <c r="G149" i="14"/>
  <c r="P149" i="14"/>
  <c r="Q149" i="14"/>
  <c r="R149" i="14"/>
  <c r="G127" i="14"/>
  <c r="P127" i="14"/>
  <c r="Q127" i="14"/>
  <c r="R127" i="14"/>
  <c r="G17" i="14"/>
  <c r="P17" i="14"/>
  <c r="Q17" i="14"/>
  <c r="R17" i="14"/>
  <c r="G65" i="14"/>
  <c r="P65" i="14"/>
  <c r="Q65" i="14"/>
  <c r="R65" i="14"/>
  <c r="G159" i="14"/>
  <c r="P159" i="14"/>
  <c r="Q159" i="14"/>
  <c r="R159" i="14"/>
  <c r="G14" i="14"/>
  <c r="P14" i="14"/>
  <c r="Q14" i="14"/>
  <c r="R14" i="14"/>
  <c r="G50" i="14"/>
  <c r="P50" i="14"/>
  <c r="Q50" i="14"/>
  <c r="R50" i="14"/>
  <c r="G34" i="14"/>
  <c r="P34" i="14"/>
  <c r="Q34" i="14"/>
  <c r="R34" i="14"/>
  <c r="G100" i="14"/>
  <c r="P100" i="14"/>
  <c r="Q100" i="14"/>
  <c r="R100" i="14"/>
  <c r="G207" i="10"/>
  <c r="G208" i="10"/>
  <c r="G209" i="10"/>
  <c r="G210" i="10"/>
  <c r="G211" i="10"/>
  <c r="G277" i="20" l="1"/>
  <c r="G278" i="20"/>
  <c r="G279" i="20"/>
  <c r="G280" i="20"/>
  <c r="G281" i="20"/>
  <c r="G291" i="14"/>
  <c r="G292" i="14"/>
  <c r="G293" i="14"/>
  <c r="G294" i="14"/>
  <c r="G295" i="14"/>
  <c r="G257" i="19"/>
  <c r="G258" i="19"/>
  <c r="G259" i="19"/>
  <c r="G260" i="19"/>
  <c r="G261" i="19"/>
  <c r="G311" i="18"/>
  <c r="G312" i="18"/>
  <c r="G313" i="18"/>
  <c r="G314" i="18"/>
  <c r="G241" i="15"/>
  <c r="G242" i="15"/>
  <c r="G243" i="15"/>
  <c r="G244" i="15"/>
  <c r="G245" i="15"/>
  <c r="G248" i="13"/>
  <c r="G249" i="13"/>
  <c r="G250" i="13"/>
  <c r="G251" i="13"/>
  <c r="G252" i="13"/>
  <c r="G271" i="16"/>
  <c r="G272" i="16"/>
  <c r="G273" i="16"/>
  <c r="G274" i="16"/>
  <c r="G275" i="16"/>
  <c r="G245" i="12"/>
  <c r="G246" i="12"/>
  <c r="G247" i="12"/>
  <c r="G248" i="12"/>
  <c r="G249" i="12"/>
  <c r="G251" i="11"/>
  <c r="G252" i="11"/>
  <c r="G253" i="11"/>
  <c r="G254" i="11"/>
  <c r="G250" i="11"/>
  <c r="G1754" i="2"/>
  <c r="G1755" i="2"/>
  <c r="G1756" i="2"/>
  <c r="G1757" i="2"/>
  <c r="G1753" i="2"/>
  <c r="G201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262" i="20" s="1"/>
  <c r="N1" i="21"/>
  <c r="K202" i="21" s="1"/>
  <c r="N1" i="14"/>
  <c r="K237" i="14" s="1"/>
  <c r="N1" i="19"/>
  <c r="K223" i="19" s="1"/>
  <c r="N1" i="18"/>
  <c r="K280" i="18" s="1"/>
  <c r="N1" i="15"/>
  <c r="K220" i="15" s="1"/>
  <c r="N1" i="13"/>
  <c r="K214" i="13" s="1"/>
  <c r="N1" i="16"/>
  <c r="K241" i="16" s="1"/>
  <c r="N1" i="12"/>
  <c r="K215" i="12" s="1"/>
  <c r="N1" i="11"/>
  <c r="K227" i="11" s="1"/>
  <c r="G1" i="21"/>
  <c r="G1" i="14"/>
  <c r="G1" i="19"/>
  <c r="G1" i="18"/>
  <c r="G1" i="15"/>
  <c r="G1" i="13"/>
  <c r="G1" i="16"/>
  <c r="G1" i="12"/>
  <c r="G1" i="11"/>
  <c r="O153" i="21"/>
  <c r="N153" i="21"/>
  <c r="R23" i="21"/>
  <c r="Q23" i="21"/>
  <c r="P23" i="21"/>
  <c r="R15" i="21"/>
  <c r="Q15" i="21"/>
  <c r="P15" i="21"/>
  <c r="R13" i="21"/>
  <c r="Q13" i="21"/>
  <c r="P13" i="21"/>
  <c r="R14" i="21"/>
  <c r="Q14" i="21"/>
  <c r="P14" i="21"/>
  <c r="R10" i="21"/>
  <c r="Q10" i="21"/>
  <c r="P10" i="21"/>
  <c r="R11" i="21"/>
  <c r="Q11" i="21"/>
  <c r="P11" i="21"/>
  <c r="R12" i="21"/>
  <c r="Q12" i="21"/>
  <c r="P12" i="21"/>
  <c r="G12" i="21"/>
  <c r="R33" i="21"/>
  <c r="Q33" i="21"/>
  <c r="I33" i="21"/>
  <c r="I153" i="21" s="1"/>
  <c r="G33" i="21"/>
  <c r="M273" i="20"/>
  <c r="K273" i="20"/>
  <c r="I273" i="20"/>
  <c r="H273" i="20"/>
  <c r="M267" i="20"/>
  <c r="K267" i="20"/>
  <c r="J267" i="20"/>
  <c r="H267" i="20"/>
  <c r="I266" i="20"/>
  <c r="G266" i="20"/>
  <c r="I257" i="20"/>
  <c r="K221" i="20"/>
  <c r="J221" i="20"/>
  <c r="H221" i="20"/>
  <c r="K255" i="20"/>
  <c r="J255" i="20"/>
  <c r="H255" i="20"/>
  <c r="K253" i="20"/>
  <c r="J253" i="20"/>
  <c r="H253" i="20"/>
  <c r="L213" i="20"/>
  <c r="K213" i="20"/>
  <c r="J213" i="20"/>
  <c r="I213" i="20"/>
  <c r="H213" i="20"/>
  <c r="G213" i="20"/>
  <c r="R104" i="20"/>
  <c r="Q104" i="20"/>
  <c r="P104" i="20"/>
  <c r="G104" i="20"/>
  <c r="R123" i="20"/>
  <c r="Q123" i="20"/>
  <c r="P123" i="20"/>
  <c r="G123" i="20"/>
  <c r="R121" i="20"/>
  <c r="Q121" i="20"/>
  <c r="G121" i="20"/>
  <c r="M247" i="19"/>
  <c r="K247" i="19"/>
  <c r="J247" i="19"/>
  <c r="I247" i="19"/>
  <c r="H247" i="19"/>
  <c r="L246" i="19"/>
  <c r="L245" i="19"/>
  <c r="L244" i="19"/>
  <c r="L243" i="19"/>
  <c r="L242" i="19"/>
  <c r="L241" i="19"/>
  <c r="G241" i="19"/>
  <c r="M236" i="19"/>
  <c r="K236" i="19"/>
  <c r="J236" i="19"/>
  <c r="H236" i="19"/>
  <c r="I235" i="19"/>
  <c r="L235" i="19" s="1"/>
  <c r="G235" i="19"/>
  <c r="I234" i="19"/>
  <c r="L234" i="19" s="1"/>
  <c r="G234" i="19"/>
  <c r="I233" i="19"/>
  <c r="L233" i="19" s="1"/>
  <c r="G233" i="19"/>
  <c r="I232" i="19"/>
  <c r="L232" i="19" s="1"/>
  <c r="G232" i="19"/>
  <c r="I231" i="19"/>
  <c r="L231" i="19" s="1"/>
  <c r="G231" i="19"/>
  <c r="I230" i="19"/>
  <c r="L230" i="19" s="1"/>
  <c r="G230" i="19"/>
  <c r="I229" i="19"/>
  <c r="L229" i="19" s="1"/>
  <c r="G229" i="19"/>
  <c r="I228" i="19"/>
  <c r="L228" i="19" s="1"/>
  <c r="G228" i="19"/>
  <c r="I227" i="19"/>
  <c r="G227" i="19"/>
  <c r="I217" i="19"/>
  <c r="K216" i="19"/>
  <c r="J216" i="19"/>
  <c r="H216" i="19"/>
  <c r="K210" i="19"/>
  <c r="J210" i="19"/>
  <c r="H210" i="19"/>
  <c r="K197" i="19"/>
  <c r="J197" i="19"/>
  <c r="H197" i="19"/>
  <c r="K194" i="19"/>
  <c r="J194" i="19"/>
  <c r="H194" i="19"/>
  <c r="L186" i="19"/>
  <c r="K186" i="19"/>
  <c r="J186" i="19"/>
  <c r="I186" i="19"/>
  <c r="H186" i="19"/>
  <c r="G186" i="19"/>
  <c r="O170" i="19"/>
  <c r="N170" i="19"/>
  <c r="M170" i="19"/>
  <c r="L170" i="19"/>
  <c r="K170" i="19"/>
  <c r="J170" i="19"/>
  <c r="H170" i="19"/>
  <c r="R169" i="19"/>
  <c r="Q169" i="19"/>
  <c r="P169" i="19"/>
  <c r="G169" i="19"/>
  <c r="R63" i="19"/>
  <c r="Q63" i="19"/>
  <c r="P63" i="19"/>
  <c r="G63" i="19"/>
  <c r="R145" i="19"/>
  <c r="Q145" i="19"/>
  <c r="I145" i="19"/>
  <c r="P145" i="19" s="1"/>
  <c r="G145" i="19"/>
  <c r="R161" i="19"/>
  <c r="Q161" i="19"/>
  <c r="I161" i="19"/>
  <c r="P161" i="19" s="1"/>
  <c r="G161" i="19"/>
  <c r="R10" i="19"/>
  <c r="Q10" i="19"/>
  <c r="I10" i="19"/>
  <c r="P10" i="19" s="1"/>
  <c r="G10" i="19"/>
  <c r="R12" i="19"/>
  <c r="Q12" i="19"/>
  <c r="I12" i="19"/>
  <c r="P12" i="19" s="1"/>
  <c r="G12" i="19"/>
  <c r="M300" i="18"/>
  <c r="K300" i="18"/>
  <c r="J300" i="18"/>
  <c r="I300" i="18"/>
  <c r="H300" i="18"/>
  <c r="L299" i="18"/>
  <c r="L298" i="18"/>
  <c r="L297" i="18"/>
  <c r="L296" i="18"/>
  <c r="L295" i="18"/>
  <c r="L294" i="18"/>
  <c r="G294" i="18"/>
  <c r="M289" i="18"/>
  <c r="K289" i="18"/>
  <c r="J289" i="18"/>
  <c r="H289" i="18"/>
  <c r="I288" i="18"/>
  <c r="L288" i="18" s="1"/>
  <c r="G288" i="18"/>
  <c r="I287" i="18"/>
  <c r="L287" i="18" s="1"/>
  <c r="G287" i="18"/>
  <c r="L286" i="18"/>
  <c r="G286" i="18"/>
  <c r="L285" i="18"/>
  <c r="G285" i="18"/>
  <c r="G284" i="18"/>
  <c r="I274" i="18"/>
  <c r="L227" i="18"/>
  <c r="K227" i="18"/>
  <c r="J227" i="18"/>
  <c r="I227" i="18"/>
  <c r="H227" i="18"/>
  <c r="G227" i="18"/>
  <c r="O211" i="18"/>
  <c r="N211" i="18"/>
  <c r="M211" i="18"/>
  <c r="L211" i="18"/>
  <c r="K211" i="18"/>
  <c r="J211" i="18"/>
  <c r="H211" i="18"/>
  <c r="R9" i="18"/>
  <c r="Q9" i="18"/>
  <c r="I9" i="18"/>
  <c r="P9" i="18" s="1"/>
  <c r="G9" i="18"/>
  <c r="M261" i="16"/>
  <c r="K261" i="16"/>
  <c r="J261" i="16"/>
  <c r="I261" i="16"/>
  <c r="H261" i="16"/>
  <c r="L260" i="16"/>
  <c r="L259" i="16"/>
  <c r="L258" i="16"/>
  <c r="L257" i="16"/>
  <c r="L256" i="16"/>
  <c r="L255" i="16"/>
  <c r="G255" i="16"/>
  <c r="M250" i="16"/>
  <c r="K250" i="16"/>
  <c r="J250" i="16"/>
  <c r="H250" i="16"/>
  <c r="L249" i="16"/>
  <c r="G249" i="16"/>
  <c r="L248" i="16"/>
  <c r="G248" i="16"/>
  <c r="L247" i="16"/>
  <c r="G247" i="16"/>
  <c r="L246" i="16"/>
  <c r="G246" i="16"/>
  <c r="G245" i="16"/>
  <c r="I239" i="16"/>
  <c r="K236" i="16"/>
  <c r="J236" i="16"/>
  <c r="H236" i="16"/>
  <c r="K232" i="16"/>
  <c r="J232" i="16"/>
  <c r="H232" i="16"/>
  <c r="K231" i="16"/>
  <c r="J231" i="16"/>
  <c r="H231" i="16"/>
  <c r="K215" i="16"/>
  <c r="J215" i="16"/>
  <c r="H215" i="16"/>
  <c r="L210" i="16"/>
  <c r="K210" i="16"/>
  <c r="J210" i="16"/>
  <c r="I210" i="16"/>
  <c r="H210" i="16"/>
  <c r="G210" i="16"/>
  <c r="O199" i="16"/>
  <c r="N199" i="16"/>
  <c r="M199" i="16"/>
  <c r="L199" i="16"/>
  <c r="K199" i="16"/>
  <c r="J199" i="16"/>
  <c r="H199" i="16"/>
  <c r="R9" i="16"/>
  <c r="Q9" i="16"/>
  <c r="I9" i="16"/>
  <c r="P9" i="16" s="1"/>
  <c r="G9" i="16"/>
  <c r="R16" i="16"/>
  <c r="Q16" i="16"/>
  <c r="I16" i="16"/>
  <c r="G16" i="16"/>
  <c r="M232" i="15"/>
  <c r="K232" i="15"/>
  <c r="J232" i="15"/>
  <c r="I232" i="15"/>
  <c r="H232" i="15"/>
  <c r="L230" i="15"/>
  <c r="L229" i="15"/>
  <c r="L228" i="15"/>
  <c r="L227" i="15"/>
  <c r="L226" i="15"/>
  <c r="L225" i="15"/>
  <c r="G225" i="15"/>
  <c r="I214" i="15"/>
  <c r="L184" i="15"/>
  <c r="K184" i="15"/>
  <c r="J184" i="15"/>
  <c r="I184" i="15"/>
  <c r="H184" i="15"/>
  <c r="G184" i="15"/>
  <c r="O170" i="15"/>
  <c r="N170" i="15"/>
  <c r="M170" i="15"/>
  <c r="L170" i="15"/>
  <c r="K170" i="15"/>
  <c r="J170" i="15"/>
  <c r="H170" i="15"/>
  <c r="R118" i="15"/>
  <c r="Q118" i="15"/>
  <c r="I118" i="15"/>
  <c r="P118" i="15" s="1"/>
  <c r="G118" i="15"/>
  <c r="R124" i="15"/>
  <c r="Q124" i="15"/>
  <c r="I124" i="15"/>
  <c r="P124" i="15" s="1"/>
  <c r="G124" i="15"/>
  <c r="R63" i="15"/>
  <c r="Q63" i="15"/>
  <c r="I63" i="15"/>
  <c r="P63" i="15" s="1"/>
  <c r="G63" i="15"/>
  <c r="R59" i="15"/>
  <c r="Q59" i="15"/>
  <c r="I59" i="15"/>
  <c r="P59" i="15" s="1"/>
  <c r="G59" i="15"/>
  <c r="R76" i="15"/>
  <c r="Q76" i="15"/>
  <c r="I76" i="15"/>
  <c r="P76" i="15" s="1"/>
  <c r="R31" i="15"/>
  <c r="Q31" i="15"/>
  <c r="I31" i="15"/>
  <c r="P31" i="15" s="1"/>
  <c r="G31" i="15"/>
  <c r="R64" i="15"/>
  <c r="Q64" i="15"/>
  <c r="P64" i="15"/>
  <c r="G64" i="15"/>
  <c r="M288" i="14"/>
  <c r="K288" i="14"/>
  <c r="J288" i="14"/>
  <c r="I288" i="14"/>
  <c r="H288" i="14"/>
  <c r="G255" i="14"/>
  <c r="M250" i="14"/>
  <c r="K250" i="14"/>
  <c r="J250" i="14"/>
  <c r="H250" i="14"/>
  <c r="I249" i="14"/>
  <c r="L249" i="14" s="1"/>
  <c r="G249" i="14"/>
  <c r="I248" i="14"/>
  <c r="L248" i="14" s="1"/>
  <c r="G248" i="14"/>
  <c r="I247" i="14"/>
  <c r="L247" i="14" s="1"/>
  <c r="G247" i="14"/>
  <c r="I246" i="14"/>
  <c r="L246" i="14" s="1"/>
  <c r="G246" i="14"/>
  <c r="I245" i="14"/>
  <c r="L245" i="14" s="1"/>
  <c r="G245" i="14"/>
  <c r="I244" i="14"/>
  <c r="L244" i="14" s="1"/>
  <c r="G244" i="14"/>
  <c r="I243" i="14"/>
  <c r="L243" i="14" s="1"/>
  <c r="G243" i="14"/>
  <c r="I242" i="14"/>
  <c r="L242" i="14" s="1"/>
  <c r="G242" i="14"/>
  <c r="I241" i="14"/>
  <c r="G241" i="14"/>
  <c r="I231" i="14"/>
  <c r="K226" i="14"/>
  <c r="J226" i="14"/>
  <c r="H226" i="14"/>
  <c r="K225" i="14"/>
  <c r="J225" i="14"/>
  <c r="H225" i="14"/>
  <c r="K219" i="14"/>
  <c r="J219" i="14"/>
  <c r="H219" i="14"/>
  <c r="K221" i="14"/>
  <c r="J221" i="14"/>
  <c r="H221" i="14"/>
  <c r="L202" i="14"/>
  <c r="K202" i="14"/>
  <c r="J202" i="14"/>
  <c r="I202" i="14"/>
  <c r="G4" i="14" s="1"/>
  <c r="G202" i="14"/>
  <c r="H186" i="14"/>
  <c r="R15" i="14"/>
  <c r="Q15" i="14"/>
  <c r="P15" i="14"/>
  <c r="G15" i="14"/>
  <c r="R181" i="14"/>
  <c r="Q181" i="14"/>
  <c r="P181" i="14"/>
  <c r="G181" i="14"/>
  <c r="R28" i="14"/>
  <c r="Q28" i="14"/>
  <c r="P28" i="14"/>
  <c r="G28" i="14"/>
  <c r="R111" i="14"/>
  <c r="Q111" i="14"/>
  <c r="P111" i="14"/>
  <c r="G111" i="14"/>
  <c r="R105" i="14"/>
  <c r="Q105" i="14"/>
  <c r="P105" i="14"/>
  <c r="G105" i="14"/>
  <c r="R39" i="14"/>
  <c r="Q39" i="14"/>
  <c r="P39" i="14"/>
  <c r="G39" i="14"/>
  <c r="R144" i="14"/>
  <c r="Q144" i="14"/>
  <c r="P144" i="14"/>
  <c r="G144" i="14"/>
  <c r="R42" i="14"/>
  <c r="Q42" i="14"/>
  <c r="P42" i="14"/>
  <c r="G42" i="14"/>
  <c r="M238" i="13"/>
  <c r="K238" i="13"/>
  <c r="J238" i="13"/>
  <c r="I238" i="13"/>
  <c r="H238" i="13"/>
  <c r="L237" i="13"/>
  <c r="L236" i="13"/>
  <c r="L235" i="13"/>
  <c r="L234" i="13"/>
  <c r="L233" i="13"/>
  <c r="L232" i="13"/>
  <c r="M227" i="13"/>
  <c r="K227" i="13"/>
  <c r="J227" i="13"/>
  <c r="H227" i="13"/>
  <c r="I226" i="13"/>
  <c r="L226" i="13" s="1"/>
  <c r="G226" i="13"/>
  <c r="I225" i="13"/>
  <c r="L225" i="13" s="1"/>
  <c r="G225" i="13"/>
  <c r="I224" i="13"/>
  <c r="L224" i="13" s="1"/>
  <c r="G224" i="13"/>
  <c r="I223" i="13"/>
  <c r="L223" i="13" s="1"/>
  <c r="G223" i="13"/>
  <c r="I222" i="13"/>
  <c r="L222" i="13" s="1"/>
  <c r="G222" i="13"/>
  <c r="I221" i="13"/>
  <c r="L221" i="13" s="1"/>
  <c r="G221" i="13"/>
  <c r="I220" i="13"/>
  <c r="L220" i="13" s="1"/>
  <c r="G220" i="13"/>
  <c r="I219" i="13"/>
  <c r="L219" i="13" s="1"/>
  <c r="G219" i="13"/>
  <c r="I218" i="13"/>
  <c r="G218" i="13"/>
  <c r="L185" i="13"/>
  <c r="K185" i="13"/>
  <c r="J185" i="13"/>
  <c r="I185" i="13"/>
  <c r="H185" i="13"/>
  <c r="G185" i="13"/>
  <c r="O173" i="13"/>
  <c r="N173" i="13"/>
  <c r="M173" i="13"/>
  <c r="L173" i="13"/>
  <c r="K173" i="13"/>
  <c r="J173" i="13"/>
  <c r="H173" i="13"/>
  <c r="R143" i="13"/>
  <c r="Q143" i="13"/>
  <c r="I143" i="13"/>
  <c r="P143" i="13" s="1"/>
  <c r="G143" i="13"/>
  <c r="R132" i="13"/>
  <c r="Q132" i="13"/>
  <c r="I132" i="13"/>
  <c r="P132" i="13" s="1"/>
  <c r="G132" i="13"/>
  <c r="R129" i="13"/>
  <c r="Q129" i="13"/>
  <c r="I129" i="13"/>
  <c r="P129" i="13" s="1"/>
  <c r="G129" i="13"/>
  <c r="R125" i="13"/>
  <c r="Q125" i="13"/>
  <c r="I125" i="13"/>
  <c r="P125" i="13" s="1"/>
  <c r="G125" i="13"/>
  <c r="R140" i="13"/>
  <c r="Q140" i="13"/>
  <c r="I140" i="13"/>
  <c r="P140" i="13" s="1"/>
  <c r="G140" i="13"/>
  <c r="R15" i="13"/>
  <c r="Q15" i="13"/>
  <c r="I15" i="13"/>
  <c r="P15" i="13" s="1"/>
  <c r="G15" i="13"/>
  <c r="R11" i="13"/>
  <c r="Q11" i="13"/>
  <c r="I11" i="13"/>
  <c r="P11" i="13" s="1"/>
  <c r="G11" i="13"/>
  <c r="M235" i="12"/>
  <c r="K235" i="12"/>
  <c r="J235" i="12"/>
  <c r="I235" i="12"/>
  <c r="H235" i="12"/>
  <c r="L234" i="12"/>
  <c r="L233" i="12"/>
  <c r="L232" i="12"/>
  <c r="L231" i="12"/>
  <c r="L230" i="12"/>
  <c r="L229" i="12"/>
  <c r="G229" i="12"/>
  <c r="M224" i="12"/>
  <c r="K224" i="12"/>
  <c r="J224" i="12"/>
  <c r="H224" i="12"/>
  <c r="L223" i="12"/>
  <c r="G223" i="12"/>
  <c r="L222" i="12"/>
  <c r="G222" i="12"/>
  <c r="L221" i="12"/>
  <c r="G221" i="12"/>
  <c r="L220" i="12"/>
  <c r="G220" i="12"/>
  <c r="G219" i="12"/>
  <c r="I209" i="12"/>
  <c r="K208" i="12"/>
  <c r="J208" i="12"/>
  <c r="H208" i="12"/>
  <c r="K202" i="12"/>
  <c r="J202" i="12"/>
  <c r="H202" i="12"/>
  <c r="K201" i="12"/>
  <c r="J201" i="12"/>
  <c r="H201" i="12"/>
  <c r="K200" i="12"/>
  <c r="J200" i="12"/>
  <c r="H200" i="12"/>
  <c r="L183" i="12"/>
  <c r="K183" i="12"/>
  <c r="J183" i="12"/>
  <c r="O173" i="12"/>
  <c r="N173" i="12"/>
  <c r="M173" i="12"/>
  <c r="L173" i="12"/>
  <c r="H173" i="12"/>
  <c r="R14" i="12"/>
  <c r="Q14" i="12"/>
  <c r="I14" i="12"/>
  <c r="P14" i="12" s="1"/>
  <c r="G14" i="12"/>
  <c r="R17" i="12"/>
  <c r="Q17" i="12"/>
  <c r="P17" i="12"/>
  <c r="G17" i="12"/>
  <c r="R15" i="12"/>
  <c r="Q15" i="12"/>
  <c r="P15" i="12"/>
  <c r="G15" i="12"/>
  <c r="R13" i="12"/>
  <c r="Q13" i="12"/>
  <c r="I13" i="12"/>
  <c r="P13" i="12" s="1"/>
  <c r="G13" i="12"/>
  <c r="R12" i="12"/>
  <c r="Q12" i="12"/>
  <c r="I12" i="12"/>
  <c r="G12" i="12"/>
  <c r="R11" i="12"/>
  <c r="Q11" i="12"/>
  <c r="I11" i="12"/>
  <c r="P11" i="12" s="1"/>
  <c r="G11" i="12"/>
  <c r="R10" i="12"/>
  <c r="Q10" i="12"/>
  <c r="P10" i="12"/>
  <c r="G10" i="12"/>
  <c r="R25" i="12"/>
  <c r="Q25" i="12"/>
  <c r="I25" i="12"/>
  <c r="P25" i="12" s="1"/>
  <c r="G25" i="12"/>
  <c r="M240" i="11"/>
  <c r="K240" i="11"/>
  <c r="J240" i="11"/>
  <c r="I240" i="11"/>
  <c r="H240" i="11"/>
  <c r="L239" i="11"/>
  <c r="L238" i="11"/>
  <c r="G238" i="11"/>
  <c r="M233" i="11"/>
  <c r="K233" i="11"/>
  <c r="J233" i="11"/>
  <c r="H233" i="11"/>
  <c r="I232" i="11"/>
  <c r="L232" i="11" s="1"/>
  <c r="G232" i="11"/>
  <c r="I231" i="11"/>
  <c r="G231" i="11"/>
  <c r="I224" i="11"/>
  <c r="K202" i="11"/>
  <c r="J202" i="11"/>
  <c r="H202" i="11"/>
  <c r="K204" i="11"/>
  <c r="J204" i="11"/>
  <c r="H204" i="11"/>
  <c r="K207" i="11"/>
  <c r="J207" i="11"/>
  <c r="H207" i="11"/>
  <c r="K208" i="11"/>
  <c r="J208" i="11"/>
  <c r="H208" i="11"/>
  <c r="L192" i="11"/>
  <c r="K192" i="11"/>
  <c r="J192" i="11"/>
  <c r="I192" i="11"/>
  <c r="H192" i="11"/>
  <c r="G192" i="11"/>
  <c r="O181" i="11"/>
  <c r="N181" i="11"/>
  <c r="M181" i="11"/>
  <c r="L181" i="11"/>
  <c r="K181" i="11"/>
  <c r="J181" i="11"/>
  <c r="H181" i="11"/>
  <c r="R24" i="11"/>
  <c r="Q24" i="11"/>
  <c r="I24" i="11"/>
  <c r="P24" i="11" s="1"/>
  <c r="G24" i="11"/>
  <c r="R68" i="11"/>
  <c r="Q68" i="11"/>
  <c r="I68" i="11"/>
  <c r="P68" i="11" s="1"/>
  <c r="G68" i="11"/>
  <c r="R171" i="11"/>
  <c r="Q171" i="11"/>
  <c r="I171" i="11"/>
  <c r="P171" i="11" s="1"/>
  <c r="G171" i="11"/>
  <c r="R170" i="11"/>
  <c r="Q170" i="11"/>
  <c r="I170" i="11"/>
  <c r="P170" i="11" s="1"/>
  <c r="G170" i="11"/>
  <c r="R174" i="11"/>
  <c r="Q174" i="11"/>
  <c r="I174" i="11"/>
  <c r="P174" i="11" s="1"/>
  <c r="G174" i="11"/>
  <c r="R146" i="11"/>
  <c r="Q146" i="11"/>
  <c r="I146" i="11"/>
  <c r="P146" i="11" s="1"/>
  <c r="G146" i="11"/>
  <c r="R22" i="11"/>
  <c r="Q22" i="11"/>
  <c r="P22" i="11"/>
  <c r="G22" i="11"/>
  <c r="R21" i="11"/>
  <c r="Q21" i="11"/>
  <c r="I21" i="11"/>
  <c r="P21" i="11" s="1"/>
  <c r="G21" i="11"/>
  <c r="N1" i="10"/>
  <c r="K190" i="10" s="1"/>
  <c r="M202" i="10"/>
  <c r="J202" i="10"/>
  <c r="I202" i="10"/>
  <c r="G200" i="10"/>
  <c r="M195" i="10"/>
  <c r="K195" i="10"/>
  <c r="J195" i="10"/>
  <c r="H195" i="10"/>
  <c r="I194" i="10"/>
  <c r="G194" i="10"/>
  <c r="I184" i="10"/>
  <c r="K169" i="10"/>
  <c r="J169" i="10"/>
  <c r="H169" i="10"/>
  <c r="K165" i="10"/>
  <c r="J165" i="10"/>
  <c r="H165" i="10"/>
  <c r="K164" i="10"/>
  <c r="J164" i="10"/>
  <c r="H164" i="10"/>
  <c r="L158" i="10"/>
  <c r="K158" i="10"/>
  <c r="J158" i="10"/>
  <c r="I158" i="10"/>
  <c r="H158" i="10"/>
  <c r="O144" i="10"/>
  <c r="N144" i="10"/>
  <c r="M144" i="10"/>
  <c r="L144" i="10"/>
  <c r="K144" i="10"/>
  <c r="J144" i="10"/>
  <c r="H144" i="10"/>
  <c r="R18" i="10"/>
  <c r="Q18" i="10"/>
  <c r="P18" i="10"/>
  <c r="G18" i="10"/>
  <c r="R17" i="10"/>
  <c r="Q17" i="10"/>
  <c r="P17" i="10"/>
  <c r="G17" i="10"/>
  <c r="R16" i="10"/>
  <c r="Q16" i="10"/>
  <c r="P16" i="10"/>
  <c r="G16" i="10"/>
  <c r="R15" i="10"/>
  <c r="Q15" i="10"/>
  <c r="P15" i="10"/>
  <c r="G15" i="10"/>
  <c r="R14" i="10"/>
  <c r="Q14" i="10"/>
  <c r="P14" i="10"/>
  <c r="G14" i="10"/>
  <c r="R13" i="10"/>
  <c r="Q13" i="10"/>
  <c r="P13" i="10"/>
  <c r="G13" i="10"/>
  <c r="R12" i="10"/>
  <c r="Q12" i="10"/>
  <c r="P12" i="10"/>
  <c r="G12" i="10"/>
  <c r="R11" i="10"/>
  <c r="Q11" i="10"/>
  <c r="I11" i="10"/>
  <c r="I176" i="2"/>
  <c r="L176" i="2" s="1"/>
  <c r="I177" i="2"/>
  <c r="L177" i="2" s="1"/>
  <c r="G177" i="2"/>
  <c r="G583" i="2"/>
  <c r="G120" i="2"/>
  <c r="P120" i="2"/>
  <c r="Q120" i="2"/>
  <c r="R120" i="2"/>
  <c r="G11" i="2"/>
  <c r="P11" i="2"/>
  <c r="Q11" i="2"/>
  <c r="R11" i="2"/>
  <c r="G10" i="2"/>
  <c r="P10" i="2"/>
  <c r="Q10" i="2"/>
  <c r="R10" i="2"/>
  <c r="I79" i="2"/>
  <c r="P79" i="2" s="1"/>
  <c r="P9" i="2"/>
  <c r="P12" i="2"/>
  <c r="P14" i="2"/>
  <c r="P15" i="2"/>
  <c r="I166" i="2"/>
  <c r="K145" i="2"/>
  <c r="J145" i="2"/>
  <c r="I145" i="2"/>
  <c r="H145" i="2"/>
  <c r="G145" i="2"/>
  <c r="L145" i="2"/>
  <c r="K1743" i="2"/>
  <c r="J1743" i="2"/>
  <c r="I1743" i="2"/>
  <c r="H1743" i="2"/>
  <c r="M1743" i="2"/>
  <c r="K172" i="2"/>
  <c r="K288" i="2"/>
  <c r="J288" i="2"/>
  <c r="H288" i="2"/>
  <c r="M288" i="2"/>
  <c r="G176" i="2"/>
  <c r="K165" i="2"/>
  <c r="R79" i="2"/>
  <c r="R9" i="2"/>
  <c r="R12" i="2"/>
  <c r="R14" i="2"/>
  <c r="R15" i="2"/>
  <c r="J165" i="2"/>
  <c r="H165" i="2"/>
  <c r="G15" i="2"/>
  <c r="Q15" i="2"/>
  <c r="G14" i="2"/>
  <c r="Q14" i="2"/>
  <c r="G12" i="2"/>
  <c r="Q12" i="2"/>
  <c r="O131" i="2"/>
  <c r="N131" i="2"/>
  <c r="M131" i="2"/>
  <c r="L131" i="2"/>
  <c r="K131" i="2"/>
  <c r="J131" i="2"/>
  <c r="H131" i="2"/>
  <c r="Q79" i="2"/>
  <c r="Q9" i="2"/>
  <c r="P186" i="14" l="1"/>
  <c r="I199" i="16"/>
  <c r="G4" i="16" s="1"/>
  <c r="P12" i="12"/>
  <c r="P173" i="12" s="1"/>
  <c r="I173" i="12"/>
  <c r="G4" i="12" s="1"/>
  <c r="J4" i="12"/>
  <c r="B4" i="15"/>
  <c r="J4" i="16"/>
  <c r="B4" i="18"/>
  <c r="B4" i="11"/>
  <c r="B4" i="13"/>
  <c r="J4" i="13"/>
  <c r="I289" i="18"/>
  <c r="M4" i="18" s="1"/>
  <c r="I236" i="19"/>
  <c r="M4" i="19" s="1"/>
  <c r="P11" i="10"/>
  <c r="P144" i="10" s="1"/>
  <c r="I144" i="10"/>
  <c r="G4" i="10" s="1"/>
  <c r="B4" i="10"/>
  <c r="I227" i="13"/>
  <c r="M4" i="13" s="1"/>
  <c r="J4" i="20"/>
  <c r="P121" i="20"/>
  <c r="P196" i="20" s="1"/>
  <c r="I196" i="20"/>
  <c r="G4" i="20" s="1"/>
  <c r="I224" i="12"/>
  <c r="M4" i="12" s="1"/>
  <c r="L240" i="11"/>
  <c r="L232" i="15"/>
  <c r="I267" i="20"/>
  <c r="M4" i="20" s="1"/>
  <c r="J4" i="11"/>
  <c r="B4" i="12"/>
  <c r="B4" i="20"/>
  <c r="P33" i="21"/>
  <c r="P153" i="21" s="1"/>
  <c r="B4" i="16"/>
  <c r="I250" i="16"/>
  <c r="M4" i="16" s="1"/>
  <c r="L261" i="16"/>
  <c r="J4" i="18"/>
  <c r="J4" i="19"/>
  <c r="B4" i="21"/>
  <c r="I195" i="10"/>
  <c r="M4" i="10" s="1"/>
  <c r="J4" i="10"/>
  <c r="J4" i="21"/>
  <c r="I250" i="14"/>
  <c r="M4" i="14" s="1"/>
  <c r="B4" i="19"/>
  <c r="B4" i="14"/>
  <c r="J4" i="14"/>
  <c r="I181" i="11"/>
  <c r="I233" i="11"/>
  <c r="M4" i="11" s="1"/>
  <c r="L235" i="12"/>
  <c r="L288" i="14"/>
  <c r="I170" i="15"/>
  <c r="G4" i="15" s="1"/>
  <c r="P16" i="16"/>
  <c r="P199" i="16" s="1"/>
  <c r="L300" i="18"/>
  <c r="I170" i="19"/>
  <c r="G4" i="19" s="1"/>
  <c r="L227" i="19"/>
  <c r="L236" i="19" s="1"/>
  <c r="L247" i="19"/>
  <c r="M4" i="21"/>
  <c r="G4" i="4"/>
  <c r="B11" i="4"/>
  <c r="L11" i="4"/>
  <c r="G18" i="4"/>
  <c r="B25" i="4"/>
  <c r="L25" i="4"/>
  <c r="L4" i="4"/>
  <c r="G11" i="4"/>
  <c r="B18" i="4"/>
  <c r="L18" i="4"/>
  <c r="P170" i="19"/>
  <c r="L238" i="13"/>
  <c r="L273" i="20"/>
  <c r="L202" i="10"/>
  <c r="G4" i="21"/>
  <c r="L266" i="20"/>
  <c r="L267" i="20" s="1"/>
  <c r="P211" i="18"/>
  <c r="L284" i="18"/>
  <c r="L289" i="18" s="1"/>
  <c r="I211" i="18"/>
  <c r="G4" i="18" s="1"/>
  <c r="L245" i="16"/>
  <c r="L250" i="16" s="1"/>
  <c r="P170" i="15"/>
  <c r="L241" i="14"/>
  <c r="L250" i="14" s="1"/>
  <c r="P173" i="13"/>
  <c r="L218" i="13"/>
  <c r="L227" i="13" s="1"/>
  <c r="I173" i="13"/>
  <c r="G4" i="13" s="1"/>
  <c r="L219" i="12"/>
  <c r="L224" i="12" s="1"/>
  <c r="P181" i="11"/>
  <c r="L231" i="11"/>
  <c r="L233" i="11" s="1"/>
  <c r="L194" i="10"/>
  <c r="L195" i="10" s="1"/>
  <c r="I288" i="2"/>
  <c r="M4" i="2" s="1"/>
  <c r="I131" i="2"/>
  <c r="G4" i="2" s="1"/>
  <c r="B4" i="2"/>
  <c r="J4" i="2"/>
  <c r="L1743" i="2"/>
  <c r="L288" i="2"/>
  <c r="P131" i="2"/>
  <c r="P4" i="19" l="1"/>
  <c r="P4" i="18"/>
  <c r="G4" i="11"/>
  <c r="P4" i="11" s="1"/>
  <c r="P4" i="13"/>
  <c r="P4" i="16"/>
  <c r="P4" i="12"/>
  <c r="P4" i="15"/>
  <c r="P4" i="20"/>
  <c r="P4" i="21"/>
  <c r="P4" i="10"/>
  <c r="P4" i="14"/>
  <c r="G79" i="2"/>
  <c r="G9" i="2"/>
  <c r="P4" i="2"/>
</calcChain>
</file>

<file path=xl/sharedStrings.xml><?xml version="1.0" encoding="utf-8"?>
<sst xmlns="http://schemas.openxmlformats.org/spreadsheetml/2006/main" count="4790" uniqueCount="2135">
  <si>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</si>
  <si>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</si>
  <si>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</si>
  <si>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</si>
  <si>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</si>
  <si>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</si>
  <si>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</si>
  <si>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</si>
  <si>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</si>
  <si>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</si>
  <si>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</si>
  <si>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</si>
  <si>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</si>
  <si>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</si>
  <si>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</si>
  <si>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</si>
  <si>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</si>
  <si>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</si>
  <si>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</si>
  <si>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</si>
  <si>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</si>
  <si>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</si>
  <si>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</si>
  <si>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</si>
  <si>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</si>
  <si>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</si>
  <si>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</si>
  <si>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</si>
  <si>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</si>
  <si>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</si>
  <si>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</si>
  <si>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</si>
  <si>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</si>
  <si>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</si>
  <si>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</si>
  <si>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</si>
  <si>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</si>
  <si>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</si>
  <si>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</si>
  <si>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</si>
  <si>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</si>
  <si>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</si>
  <si>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</si>
  <si>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</si>
  <si>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</si>
  <si>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</si>
  <si>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</si>
  <si>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</si>
  <si>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</si>
  <si>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</si>
  <si>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</si>
  <si>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</si>
  <si>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</si>
  <si>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</si>
  <si>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</si>
  <si>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</si>
  <si>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</si>
  <si>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</si>
  <si>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</si>
  <si>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</si>
  <si>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</si>
  <si>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</si>
  <si>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</si>
  <si>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</si>
  <si>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</si>
  <si>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</si>
  <si>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</si>
  <si>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</si>
  <si>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</si>
  <si>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</si>
  <si>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</si>
  <si>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</si>
  <si>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</si>
  <si>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</si>
  <si>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</si>
  <si>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</si>
  <si>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</si>
  <si>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</si>
  <si>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</si>
  <si>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</si>
  <si>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</si>
  <si>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</si>
  <si>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</si>
  <si>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</si>
  <si>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</si>
  <si>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</si>
  <si>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</si>
  <si>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</si>
  <si>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</si>
  <si>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</si>
  <si>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</si>
  <si>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</si>
  <si>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</si>
  <si>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</si>
  <si>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</si>
  <si>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</si>
  <si>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</si>
  <si>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</si>
  <si>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</si>
  <si>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</si>
  <si>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</si>
  <si>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</si>
  <si>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</si>
  <si>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</si>
  <si>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</si>
  <si>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</si>
  <si>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</si>
  <si>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</si>
  <si>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</si>
  <si>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</si>
  <si>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</si>
  <si>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</si>
  <si>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</si>
  <si>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</si>
  <si>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NSS SA</t>
  </si>
  <si>
    <t>BBVA - EXTRACTO</t>
  </si>
  <si>
    <t>BBVA - MAESTRO</t>
  </si>
  <si>
    <t>BBVA - MASTERCARD</t>
  </si>
  <si>
    <t>GALICIA - EXTRACTO</t>
  </si>
  <si>
    <t>30-69613100-3</t>
  </si>
  <si>
    <t>20-07760462-7</t>
  </si>
  <si>
    <t>20-10390614-9</t>
  </si>
  <si>
    <t>INSUMOS</t>
  </si>
  <si>
    <t>SERVICIOS</t>
  </si>
  <si>
    <t>SERAFINO ROSA LILIANA</t>
  </si>
  <si>
    <t>SE AGREGO A AFIP</t>
  </si>
  <si>
    <t>EUROARGENTINA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</si>
  <si>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</si>
  <si>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</si>
  <si>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</si>
  <si>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</si>
  <si>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GPLAYERS SRL</t>
  </si>
  <si>
    <t>Grafika Producciones SRL</t>
  </si>
  <si>
    <t>GRAMTOR S.A</t>
  </si>
  <si>
    <t>GRAN BUENOS AIRES RAYOS X SOCIEDAD ANONIMA</t>
  </si>
  <si>
    <t>GRANDE CLIMATIZACIONES SRL</t>
  </si>
  <si>
    <t>GRANDON MARIA LAURA</t>
  </si>
  <si>
    <t>GRASSO BENEGAS DIEGO SEBASTIAN</t>
  </si>
  <si>
    <t>GRASSO ERNESTO CARLOS</t>
  </si>
  <si>
    <t>GRAVENT SA</t>
  </si>
  <si>
    <t>GREEN BURGER S.R.L</t>
  </si>
  <si>
    <t>GREEN GARDEN MARKET S.A.</t>
  </si>
  <si>
    <t>GREEN GARDEN MARKET SA</t>
  </si>
  <si>
    <t>GRIBICHE S.A.</t>
  </si>
  <si>
    <t>GRIFERÍA ULTRAGRIF SA</t>
  </si>
  <si>
    <t>GRIFERIAS COBRA SRL</t>
  </si>
  <si>
    <t>GRUPO ADRIATICO S.R.L.</t>
  </si>
  <si>
    <t>GRUPO BARU S.R.L</t>
  </si>
  <si>
    <t>GRUPO CONCES. DEL OESTE SA</t>
  </si>
  <si>
    <t>GRUPO FDM SRL</t>
  </si>
  <si>
    <t>GRUPO INTEGRA SRL</t>
  </si>
  <si>
    <t>GRUPO MAXIMUS S.R.L.</t>
  </si>
  <si>
    <t>GRUPO NUEVE SA</t>
  </si>
  <si>
    <t>GS GASTROSHOP SA</t>
  </si>
  <si>
    <t>GS TERMOMECANICA SRL</t>
  </si>
  <si>
    <t>GUALTIERI LEONARDO</t>
  </si>
  <si>
    <t>GUATEMALA 5653 S.A.</t>
  </si>
  <si>
    <t>GUGLIETTI ANTONIO RICARDO</t>
  </si>
  <si>
    <t>GUGLIOTTA DIEGO HERNAN</t>
  </si>
  <si>
    <t>GUIA PONCIANO YORDY</t>
  </si>
  <si>
    <t>GUILLERMO DIETRICH SA.</t>
  </si>
  <si>
    <t>GUILLERMO DOMIN S.R.L.</t>
  </si>
  <si>
    <t xml:space="preserve">GUITELO SRL </t>
  </si>
  <si>
    <t>GULLO JUAN PABLO</t>
  </si>
  <si>
    <t>GUREVICH DELIA ANA</t>
  </si>
  <si>
    <t>GUTIERREZ JORGE LUIS</t>
  </si>
  <si>
    <t>GUZMAN CARLOS ALBERTO</t>
  </si>
  <si>
    <t>HAIR SYSTEM S.A.</t>
  </si>
  <si>
    <t>HALLE ANDRES GUILLERMO</t>
  </si>
  <si>
    <t>HANDORF JOSE IGNACIO</t>
  </si>
  <si>
    <t>HAPPENING</t>
  </si>
  <si>
    <t>HEALTHCROUD S.A.</t>
  </si>
  <si>
    <t>HERME. MIGUEL SAGREDO SRL</t>
  </si>
  <si>
    <t>HERNAN BERNEY</t>
  </si>
  <si>
    <t>HERNAN GONZALEZ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</si>
  <si>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</si>
  <si>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</si>
  <si>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</si>
  <si>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</si>
  <si>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</si>
  <si>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</si>
  <si>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</si>
  <si>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</si>
  <si>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</si>
  <si>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</si>
  <si>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 xml:space="preserve">HIJOS DE SEGUNDO RATTI SRL </t>
  </si>
  <si>
    <t>HIPERPLASTICOS COLOMBRARO</t>
  </si>
  <si>
    <t>HIPODROMO ARGENTINO</t>
  </si>
  <si>
    <t>HOGAR CONSTANZA SA</t>
  </si>
  <si>
    <t>HONS PROP</t>
  </si>
  <si>
    <t>HORMIGON VISTO SRL</t>
  </si>
  <si>
    <t>HOSPIMED SA</t>
  </si>
  <si>
    <t>HOTEL CLASICO S.R.L.</t>
  </si>
  <si>
    <t>HOTELES DEL SOL S.A.</t>
  </si>
  <si>
    <t>HOTELES HOLLYWOOD S.A.</t>
  </si>
  <si>
    <t>HRACEK OLGA LILIANA</t>
  </si>
  <si>
    <t>HTS AR SA</t>
  </si>
  <si>
    <t>HUAMAN REYES WILLIAMS ALEX</t>
  </si>
  <si>
    <t>HUAÑAPE CONSTRUCCIONES</t>
  </si>
  <si>
    <t>HUGO ZIGNANO</t>
  </si>
  <si>
    <t>HUMBOLDT 2142 SRL</t>
  </si>
  <si>
    <t>HUMBOLDT 2324 S.A.</t>
  </si>
  <si>
    <t>HUMMENE TEXTIL S.A.</t>
  </si>
  <si>
    <t>HURLINGAS S.RL.</t>
  </si>
  <si>
    <t>IACOPETTI FLORENCIA</t>
  </si>
  <si>
    <t>IASSA SA</t>
  </si>
  <si>
    <t>IASSA SEGURIDAD</t>
  </si>
  <si>
    <t>IBARRA OSVALDO DANIEL</t>
  </si>
  <si>
    <t>IDAN SRL</t>
  </si>
  <si>
    <t>IDS BOILER S.R.L.</t>
  </si>
  <si>
    <t>IGLESIAS PAIZ MARIA MARTA</t>
  </si>
  <si>
    <t>IHAN NANCY LORENA</t>
  </si>
  <si>
    <t>IL MIRTILO S.R.L.</t>
  </si>
  <si>
    <t>IMA SERVICIOS INDUSTRIALES ARGENTINA S.A.</t>
  </si>
  <si>
    <t>IMAT INSTITUTO MEDICO DE ALTA TECNOLOGIA SA</t>
  </si>
  <si>
    <t>IMPONET S.A.</t>
  </si>
  <si>
    <t>IMPRESIONES J M RAMOS MEJIA S.A.</t>
  </si>
  <si>
    <t>IMPRESORA GUADALUPE SRL</t>
  </si>
  <si>
    <t>IN ACTION S.R.L.</t>
  </si>
  <si>
    <t>IN ARCH SRL</t>
  </si>
  <si>
    <t>INCHAUSPE MARIO ROBERTO</t>
  </si>
  <si>
    <t>INCLUSUD</t>
  </si>
  <si>
    <t>INDAVER MIGUEL ANGEL</t>
  </si>
  <si>
    <t>INDEFLEX SA</t>
  </si>
  <si>
    <t>INDICOM S.A.</t>
  </si>
  <si>
    <t>INDIGO PMP SRL</t>
  </si>
  <si>
    <t>INDUSTRIAL CONTROLES SRL</t>
  </si>
  <si>
    <t>INDUSTRIAL Y COMERCIAL S.A.</t>
  </si>
  <si>
    <t>INDUSTRIAS AUDIOVISUALES ARGENTINAS SA</t>
  </si>
  <si>
    <t>INDUSTRIAS JQ S.A</t>
  </si>
  <si>
    <t>INDUSTRIAS MARTIN S.A.</t>
  </si>
  <si>
    <t>INEA SRL</t>
  </si>
  <si>
    <t>INFINITO HOTEL S.R.L.</t>
  </si>
  <si>
    <t>INFOTECNIA S R L</t>
  </si>
  <si>
    <t>ING EDUARDO SZPIEZAK SRL</t>
  </si>
  <si>
    <t>INGA MIGUEL ANGEL</t>
  </si>
  <si>
    <t>INGETRES SRL</t>
  </si>
  <si>
    <t>INMO S.A.</t>
  </si>
  <si>
    <t>INMOBILIARIA SANTIAGO S A</t>
  </si>
  <si>
    <t>INOXIDABLES DEL SUR SA</t>
  </si>
  <si>
    <t>INQUINAT SA</t>
  </si>
  <si>
    <t>INSGHT GROUP SA.</t>
  </si>
  <si>
    <t>INSTALACIONES GABA SRL</t>
  </si>
  <si>
    <t>INSTITUCION ADMINISTRATIVA DE LA IGLESIA ARMENIA</t>
  </si>
  <si>
    <t>INSTITUCION SALESIANA</t>
  </si>
  <si>
    <t>INSTITUTO GENESIS SRL</t>
  </si>
  <si>
    <t>INSUMOS PLASTICOS SA</t>
  </si>
  <si>
    <t>INSUR S.A.</t>
  </si>
  <si>
    <t>INTEGRA CAPITAL S.A.</t>
  </si>
  <si>
    <t xml:space="preserve">INTEGRI SRL </t>
  </si>
  <si>
    <t>INTENSE LIFE SA</t>
  </si>
  <si>
    <t>INV. MINORISTA SA</t>
  </si>
  <si>
    <t>INVELAN S A</t>
  </si>
  <si>
    <t>INVERCLUB S.A.</t>
  </si>
  <si>
    <t>INVERSORA HERALDICA SOCIEDAD ANONIMA</t>
  </si>
  <si>
    <t>INYA S A</t>
  </si>
  <si>
    <t xml:space="preserve">IRAOLA Y CIA SA </t>
  </si>
  <si>
    <t>IRIGOYEN LUIS MARIA</t>
  </si>
  <si>
    <t>IRIME SRL</t>
  </si>
  <si>
    <t>IT SHOP S.R.L.</t>
  </si>
  <si>
    <t>ITALOMED PRODUCTOS</t>
  </si>
  <si>
    <t>ITALSUR S.A.</t>
  </si>
  <si>
    <t xml:space="preserve">ITAR AMOBLAMIENTOS SRL </t>
  </si>
  <si>
    <t>ITECO S R L</t>
  </si>
  <si>
    <t>IV CONSTRUCCIONES SRL</t>
  </si>
  <si>
    <t>JANET W SA</t>
  </si>
  <si>
    <t>JAXTIL SOCIEDAD ANONIMA</t>
  </si>
  <si>
    <t>JBRUSCO</t>
  </si>
  <si>
    <t xml:space="preserve">JEFFERSON SUDAMERICANA SA </t>
  </si>
  <si>
    <t>JET PRODUCCIONES S.R.L.</t>
  </si>
  <si>
    <t>JOEL GOMEZ BENITEZ</t>
  </si>
  <si>
    <t>JOMAN S.R.L.</t>
  </si>
  <si>
    <t>JORGE HUGO SCOCCIMARRA</t>
  </si>
  <si>
    <t>JOSE LUIS AVILES</t>
  </si>
  <si>
    <t>JUAN B JUSTO 1333</t>
  </si>
  <si>
    <t>JUAN B JUSTO 1333 S A</t>
  </si>
  <si>
    <t>JUAN B JUSTO 1333 SA</t>
  </si>
  <si>
    <t>JUAN CARLOS AVALOS GRNACE</t>
  </si>
  <si>
    <t>JUAN D NAVARRO</t>
  </si>
  <si>
    <t>JUAN MARTIN ALVAREZ</t>
  </si>
  <si>
    <t>JUAN PABLO ALONSO ABOGADO</t>
  </si>
  <si>
    <t>JUFE COMPANY SA</t>
  </si>
  <si>
    <t>JUNINEROS S.R.</t>
  </si>
  <si>
    <t>JYM SERVICIOS SAS</t>
  </si>
  <si>
    <t>K Y B CONSTRUCCIONES S.R.L.</t>
  </si>
  <si>
    <t>K Y B SISTEMAS E INSTALACIONES SRL</t>
  </si>
  <si>
    <t>KALFAIAN HNOS. SRL</t>
  </si>
  <si>
    <t>KAMAY SRL</t>
  </si>
  <si>
    <t>KAMNIK SRL</t>
  </si>
  <si>
    <t>KANSAI S.A</t>
  </si>
  <si>
    <t>KAVCIC SRL</t>
  </si>
  <si>
    <t>KCG GROUP S.R.L.</t>
  </si>
  <si>
    <t>KESTERNICH CESAR DARIO</t>
  </si>
  <si>
    <t>KEVORK TOUFENEDJIAN SA</t>
  </si>
  <si>
    <t>KHAYATTE ESTEBAN MIGUEL ANGEL</t>
  </si>
  <si>
    <t>KIN - HA  BIENES RAICES S.A</t>
  </si>
  <si>
    <t>KIR S R L</t>
  </si>
  <si>
    <t>KLEM JOSE ALFREDO</t>
  </si>
  <si>
    <t>KNBA SRL</t>
  </si>
  <si>
    <t>KOI  BAR SRL</t>
  </si>
  <si>
    <t>KOMALIA SA</t>
  </si>
  <si>
    <t>KOMBU S.A</t>
  </si>
  <si>
    <t>KORO S.R.L.</t>
  </si>
  <si>
    <t>KOVACS CARLOS ESTEBAN</t>
  </si>
  <si>
    <t>KROBOTH FRANCISCO PABLO</t>
  </si>
  <si>
    <t>KROSELJ MARIA ZELMIRA</t>
  </si>
  <si>
    <t>KUARZO ARGENTINA</t>
  </si>
  <si>
    <t>KUBI S.A.</t>
  </si>
  <si>
    <t>KUCHARSKI ENZO DAVID</t>
  </si>
  <si>
    <t>L D B C SRL</t>
  </si>
  <si>
    <t>L.C.M. SA</t>
  </si>
  <si>
    <t>LA CAMIONERA MENDOCINA SRL</t>
  </si>
  <si>
    <t>LA ESQUINA DE DORREGO SRL</t>
  </si>
  <si>
    <t>LA FEMME HOTEL SA</t>
  </si>
  <si>
    <t>LA INDUSTRIAL ELECT. SA</t>
  </si>
  <si>
    <t>LA JUNIOR SRL</t>
  </si>
  <si>
    <t>LA LECHUZA 1 SA</t>
  </si>
  <si>
    <t>LA MATILDE ARROYO SOCIEDA ANONIMA</t>
  </si>
  <si>
    <t>LA MERIDIONAL SEG. SA</t>
  </si>
  <si>
    <t>LA NINA DE ORO S.R.L.</t>
  </si>
  <si>
    <t>LA PILARCITA S.R.L.</t>
  </si>
  <si>
    <t>LA PILARCITA SRL</t>
  </si>
  <si>
    <t>LA ROY SRL</t>
  </si>
  <si>
    <t>LA RURAL S.A.</t>
  </si>
  <si>
    <t>LABORATORIOS NORTE S.R.L.</t>
  </si>
  <si>
    <t>LADO V DELI S.A.</t>
  </si>
  <si>
    <t>LADY MERLO</t>
  </si>
  <si>
    <t xml:space="preserve">LAFONT SRL </t>
  </si>
  <si>
    <t>LAGO MILLAN GRACIELA</t>
  </si>
  <si>
    <t>LAIUN &amp; ASOCIADOS S.A.</t>
  </si>
  <si>
    <t>LAKOTA AGOPECUARIA S.R.L.</t>
  </si>
  <si>
    <t>LAMELA ANTONIO ALBERTO DANI</t>
  </si>
  <si>
    <t>LANDRO RICARDO</t>
  </si>
  <si>
    <t>LAPOLLA JAVIER ROBERTO</t>
  </si>
  <si>
    <t>LARAIGNEE CARLOS HORACIO</t>
  </si>
  <si>
    <t>LARANGEIRA S.A.</t>
  </si>
  <si>
    <t>LASALVIA CARO MARIA BELEN</t>
  </si>
  <si>
    <t>LATECBA S.A.</t>
  </si>
  <si>
    <t>LATIN FOLK S.A.</t>
  </si>
  <si>
    <t xml:space="preserve">LATIN GRAFICA SRL </t>
  </si>
  <si>
    <t>LAUREANA DI BONELLO</t>
  </si>
  <si>
    <t>LAVEZZARI CARLOS ALBERTO</t>
  </si>
  <si>
    <t>LAXAGUE BELTRAN MARIA MIGUEL</t>
  </si>
  <si>
    <t>LD DISTRIBUIDORA LARREA</t>
  </si>
  <si>
    <t>LE POSET SRL</t>
  </si>
  <si>
    <t>LEAR SPORTS S.R.L.</t>
  </si>
  <si>
    <t>LEDSCENE S.A</t>
  </si>
  <si>
    <t>LEGGIAN SERVICIOS TURISTICOS S.A.</t>
  </si>
  <si>
    <t>LEMME OBRAS CIVILES S.R.L</t>
  </si>
  <si>
    <t>LENIS CORPORATION S A</t>
  </si>
  <si>
    <t>LEON RAMIREZ CLAUDIA</t>
  </si>
  <si>
    <t>LEONARDO ALBERTO COLONESE</t>
  </si>
  <si>
    <t>LEONARDO FUMAROLA</t>
  </si>
  <si>
    <t>LEONARDO TILL</t>
  </si>
  <si>
    <t>LEONETTI LUCAS GONZALO</t>
  </si>
  <si>
    <t>LEONIAN JIMENA</t>
  </si>
  <si>
    <t>LESEDIFE SA</t>
  </si>
  <si>
    <t>LEVIT CARLOS JAVIER</t>
  </si>
  <si>
    <t>LIANG MEI LING</t>
  </si>
  <si>
    <t>LIBERTADOR ESQUINA CONGRESO S.R.L.</t>
  </si>
  <si>
    <t xml:space="preserve">LIBERTECH SRL </t>
  </si>
  <si>
    <t>LIBRERÍA DEL ONCE</t>
  </si>
  <si>
    <t>LIBRERÍA LOS PIBES</t>
  </si>
  <si>
    <t>LIBRERÍA PELUFFO SRL</t>
  </si>
  <si>
    <t>LIOTTA TIDONI FRANCO</t>
  </si>
  <si>
    <t>LIS GABRIEL HERNAN</t>
  </si>
  <si>
    <t>LISNIZER ISABEL JULIANA RUTH</t>
  </si>
  <si>
    <t>LISTA ABIERTA</t>
  </si>
  <si>
    <t>LITTLE THINGS CLOTHES S.R.L.</t>
  </si>
  <si>
    <t xml:space="preserve">LIZA GOLD SA </t>
  </si>
  <si>
    <t>LLAMEDO ALBERTO SERGIO</t>
  </si>
  <si>
    <t>LNG OLIVIERI SA</t>
  </si>
  <si>
    <t>LOCALES COMERCIALES SRL</t>
  </si>
  <si>
    <t>LOFI ON LINE</t>
  </si>
  <si>
    <t>LOGINTER S.A.</t>
  </si>
  <si>
    <t>LOGINTER SA</t>
  </si>
  <si>
    <t>LOGISTICA VW S.A.</t>
  </si>
  <si>
    <t>LOMA LARGA SOCIEDAD ANONIMA AGROPECUARIA Y COMERCIAL</t>
  </si>
  <si>
    <t xml:space="preserve">LOMBARDO HAIDEE AMALIA </t>
  </si>
  <si>
    <t>LONCO HUE S.A</t>
  </si>
  <si>
    <t>LONCO HUE S.A.</t>
  </si>
  <si>
    <t>LONGIVE SA</t>
  </si>
  <si>
    <t>LOPES CRISTIAN DAVID</t>
  </si>
  <si>
    <t>LOPEZ AIDA ASUNCION</t>
  </si>
  <si>
    <t>LOPEZ ANGELA ROMINA</t>
  </si>
  <si>
    <t>LOPEZ CIRILO ALEJANDRO</t>
  </si>
  <si>
    <t>LOPEZ JUAN MANUEL</t>
  </si>
  <si>
    <t>LOPEZ LUCIANO FEDERICO</t>
  </si>
  <si>
    <t>LORD AND THOMAS S.A.</t>
  </si>
  <si>
    <t>LOS DAMOS S.A.</t>
  </si>
  <si>
    <t>LOTITO MARCELO DANIEL</t>
  </si>
  <si>
    <t>LOVINE S.A.</t>
  </si>
  <si>
    <t>LT WIRELESS &amp; CINE SOLUTIONS S.R.L.</t>
  </si>
  <si>
    <t>LUARCA FL ADMINISTRACION S.R.L.</t>
  </si>
  <si>
    <t>LUCAS MURPHY LEYTON</t>
  </si>
  <si>
    <t>LUIS FAZIO E HIJOS S.R.L.</t>
  </si>
  <si>
    <t>LUIS LUCANA YANCCE</t>
  </si>
  <si>
    <t>LUIS WOLFSDORF</t>
  </si>
  <si>
    <t>LUMINA AMERICAS S.A.</t>
  </si>
  <si>
    <t>LUNA MIRIAM ELIZABETH</t>
  </si>
  <si>
    <t>LUPO GUSTAVO ARTURO</t>
  </si>
  <si>
    <t>LUROVY S A</t>
  </si>
  <si>
    <t>LUVATEX  S.R.L.</t>
  </si>
  <si>
    <t xml:space="preserve">LUWAI SA </t>
  </si>
  <si>
    <t>LUZDESING</t>
  </si>
  <si>
    <t>M &amp; G TECHNOLOGY S.R.L.</t>
  </si>
  <si>
    <t>M J A SOCIEDAD ANONIMA</t>
  </si>
  <si>
    <t>MACADANA S.R.L.</t>
  </si>
  <si>
    <t>MACCESORIOS</t>
  </si>
  <si>
    <t>MACHTEY Y ASOCIADOS AUDITORES-CONSULTORES SOCIEDAD CIVIL</t>
  </si>
  <si>
    <t>MACROPLAST SA</t>
  </si>
  <si>
    <t>MAGARU S.A.</t>
  </si>
  <si>
    <t>MAIDANA VICTOR ALEJANDRO</t>
  </si>
  <si>
    <t>MALECKI OSCAR ANDRES</t>
  </si>
  <si>
    <t>MALLARDO AUGUSTO ANTONIO</t>
  </si>
  <si>
    <t>MALTA BONPLAND SRL</t>
  </si>
  <si>
    <t>MAMOCH S.R.L</t>
  </si>
  <si>
    <t>MANIFESTO ARGENTINA SRL</t>
  </si>
  <si>
    <t>MANUEL GONZALEZ ARIAS E HIJOS SOCIEDAD DE HECHO</t>
  </si>
  <si>
    <t>MANUMANU SAS</t>
  </si>
  <si>
    <t>MARALIA SA</t>
  </si>
  <si>
    <t>MARCELO A. MUSMANNO</t>
  </si>
  <si>
    <t>MARCELO FABIAN GUERINGHELLI</t>
  </si>
  <si>
    <t>MARCELO MMENAHEM</t>
  </si>
  <si>
    <t>MARIA ESPERANZA CORVALAN</t>
  </si>
  <si>
    <t>MARIA LUISA BIAUS</t>
  </si>
  <si>
    <t>MARIA NATALIA OLIVERI</t>
  </si>
  <si>
    <t>MARIANO MONTANGERO</t>
  </si>
  <si>
    <t>MARIÑO GERMAN</t>
  </si>
  <si>
    <t>MARIO JUAN SZWARC</t>
  </si>
  <si>
    <t>MARIO RICARDO FUNES</t>
  </si>
  <si>
    <t>MARIPEL S.A.</t>
  </si>
  <si>
    <t>MARKETCAR</t>
  </si>
  <si>
    <t>MARTIN ARIEL INFANTE</t>
  </si>
  <si>
    <t xml:space="preserve">MARTIN CAVA </t>
  </si>
  <si>
    <t>MARTINEZ MEDRANO GABRIEL ALEJANDRO</t>
  </si>
  <si>
    <t>MARTINO CARLOS ALBERTO</t>
  </si>
  <si>
    <t>MARTORANO ANDRES</t>
  </si>
  <si>
    <t>MASARAP SRL</t>
  </si>
  <si>
    <t>MASSUAR</t>
  </si>
  <si>
    <t>MATIAS GONZALEZ</t>
  </si>
  <si>
    <t>MAXTREND S.R.L.</t>
  </si>
  <si>
    <t>MAYCAR S.A</t>
  </si>
  <si>
    <t>MAZALOT S A</t>
  </si>
  <si>
    <t>MAZZINI MARIANO</t>
  </si>
  <si>
    <t>MB Papeles SRL</t>
  </si>
  <si>
    <t>MBP PROVEEDORES INDUSTRIALES</t>
  </si>
  <si>
    <t>MD CARGAS</t>
  </si>
  <si>
    <t>MECCA HECTOR DOMINGO</t>
  </si>
  <si>
    <t>MEDIA 500 S.A.</t>
  </si>
  <si>
    <t>MEDICAL CARE SOLUTIONS SRL</t>
  </si>
  <si>
    <t>MEDICAL FOAM SRL</t>
  </si>
  <si>
    <t>MEDICINA VASCULAR BUENOS AIRES SOCIEDAD DE RESPONSABILIDAD LIMITADA</t>
  </si>
  <si>
    <t>MEDICUS S.A DE ASIST. MEDICA</t>
  </si>
  <si>
    <t>MEDIN NORBERTO LUIS</t>
  </si>
  <si>
    <t xml:space="preserve">MEDINA JULIO RAMON </t>
  </si>
  <si>
    <t>MEFALE S.A.</t>
  </si>
  <si>
    <t>MEGA BABY S.A</t>
  </si>
  <si>
    <t>MEGAPOL SUCESION DE PUPPIO J H</t>
  </si>
  <si>
    <t>MEHCCO S.A.</t>
  </si>
  <si>
    <t>MELERWI SA</t>
  </si>
  <si>
    <t>MELHEM CARLOS SALIM</t>
  </si>
  <si>
    <t>MELI LOG S.R.L.</t>
  </si>
  <si>
    <t>MELICASLAT SRL</t>
  </si>
  <si>
    <t>MELIK ALEJANDRO ERASMO GUI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</si>
  <si>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</si>
  <si>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</si>
  <si>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</si>
  <si>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</si>
  <si>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</si>
  <si>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MERCI-BA S.A</t>
  </si>
  <si>
    <t>MERELES AGUIRRE WALTER</t>
  </si>
  <si>
    <t>MERMACO SA</t>
  </si>
  <si>
    <t>MERONI IGNACIO ESTEBAN TIMOTEO</t>
  </si>
  <si>
    <t>METALFORJA SRL</t>
  </si>
  <si>
    <t>METALURGICA ANTONINI SA</t>
  </si>
  <si>
    <t>MEZZADRI NORBERTO ARISTIDES</t>
  </si>
  <si>
    <t>MGD CONSULTING S.R.L.</t>
  </si>
  <si>
    <t>MGR IMPLANTES S.A</t>
  </si>
  <si>
    <t>MIATECH</t>
  </si>
  <si>
    <t>MIGUEL ANGEL BALDEON</t>
  </si>
  <si>
    <t>MIGUEL CARLOS ACOSTA</t>
  </si>
  <si>
    <t>MIGUEL TOMA SACI</t>
  </si>
  <si>
    <t>MIHURA FRANCISCO OSCAR Y MIHURA MARIA ANTONIA SOCIEDAD DE HECHO</t>
  </si>
  <si>
    <t>MILANO-KERN SRL</t>
  </si>
  <si>
    <t>MILLANSKY MAURICIO</t>
  </si>
  <si>
    <t>MILLARES MARTIN EMILIO</t>
  </si>
  <si>
    <t>MININNI HORACIO CONRADO</t>
  </si>
  <si>
    <t>MIÑO WALTER EDUARDO</t>
  </si>
  <si>
    <t>MIRANDA CECILIA</t>
  </si>
  <si>
    <t>MIRANDA EDGARDO FABIAN</t>
  </si>
  <si>
    <t>MIRANDA MARIA CECILIA</t>
  </si>
  <si>
    <t>MIRTA SUSANA AMERELLI</t>
  </si>
  <si>
    <t>MIRVAR SA</t>
  </si>
  <si>
    <t xml:space="preserve">MMSAL SRL. </t>
  </si>
  <si>
    <t xml:space="preserve">MOAVRO MIGUEL FELIX ANTONIO </t>
  </si>
  <si>
    <t>MOCHAEL HORD</t>
  </si>
  <si>
    <t>MOGLIE GUSTAVO DANIEL</t>
  </si>
  <si>
    <t xml:space="preserve">MOLINA PABLO LEANDRO </t>
  </si>
  <si>
    <t>MOLINO ARGENTINO SA</t>
  </si>
  <si>
    <t>MOLINO MARIONA GASTON</t>
  </si>
  <si>
    <t>MONTAGNE OUTDOORS S A</t>
  </si>
  <si>
    <t>MONTANGERO MARIANO SEBASTIAN</t>
  </si>
  <si>
    <t>MONTELEONE GUILLERMO ALEJANDRO</t>
  </si>
  <si>
    <t>MONTENEGRO LUCIO FANDOR</t>
  </si>
  <si>
    <t>MORACO HORACIO CARLOS</t>
  </si>
  <si>
    <t>MORALES ALVES GLADIS MABEL</t>
  </si>
  <si>
    <t>MORELLI FRANCISCO EDUARDO</t>
  </si>
  <si>
    <t>MORELLI MIGUEL OSVALDO</t>
  </si>
  <si>
    <t>MORINIGO AGUIAR BERNARDINO</t>
  </si>
  <si>
    <t>MORINIGO ARSENIO VICTOR</t>
  </si>
  <si>
    <t xml:space="preserve">MORON GOMA A </t>
  </si>
  <si>
    <t>MOTO MECANICA ARGENTINA S.A.</t>
  </si>
  <si>
    <t>MOTORVILLE SA</t>
  </si>
  <si>
    <t>MP GROUP REPARACIONES &amp; SERVICIOS SRL</t>
  </si>
  <si>
    <t>MR ALTER CORPORATION SRL</t>
  </si>
  <si>
    <t>MRM WORLD WIDE ARGENTINA S.R.L.</t>
  </si>
  <si>
    <t>MS MANUFACTURING SOLUTIONS S.R.L.</t>
  </si>
  <si>
    <t>MS RACING S.R.L.</t>
  </si>
  <si>
    <t>MUCH GOLD S.A.</t>
  </si>
  <si>
    <t>MUFFIN S.A.</t>
  </si>
  <si>
    <t>MULLER MARIA ELSA</t>
  </si>
  <si>
    <t>MULTI RADIO S.A</t>
  </si>
  <si>
    <t>MUNDO POTTERY S.R.L.</t>
  </si>
  <si>
    <t>MURO MARIA ANDREA</t>
  </si>
  <si>
    <t>MUSOLINO GUSTAVO EDGARDO</t>
  </si>
  <si>
    <t>N2M ELECTRONICA S.R.L</t>
  </si>
  <si>
    <t>NAFPUR SA</t>
  </si>
  <si>
    <t>NAFPUR XXI SA</t>
  </si>
  <si>
    <t>NAHMAD DARIO ANDRES</t>
  </si>
  <si>
    <t>NAKA FLORENCIA</t>
  </si>
  <si>
    <t>NANOTECK S.A.</t>
  </si>
  <si>
    <t>NARBAL SA</t>
  </si>
  <si>
    <t>NARCISI MARCELO SEBASTIAN</t>
  </si>
  <si>
    <t xml:space="preserve">NASCA GUSTAVO JORGE </t>
  </si>
  <si>
    <t>NATIONAL SERVICE ARGENTINA SA</t>
  </si>
  <si>
    <t>NAVEIRA GUSTAVO OSCAR</t>
  </si>
  <si>
    <t>NAVIGLIO S.A.</t>
  </si>
  <si>
    <t>NAYA COMUNICACIONES SA</t>
  </si>
  <si>
    <t>NEGOCIOS E INVERSIONES INMOBILIARIAS S A</t>
  </si>
  <si>
    <t>NELIDA B. TAUMEHIMER</t>
  </si>
  <si>
    <t>NEO GROUP S.A.</t>
  </si>
  <si>
    <t>NEPLASTIC SRL</t>
  </si>
  <si>
    <t>NERY JAVIER AIMLE</t>
  </si>
  <si>
    <t>NESTLE ARG S.A</t>
  </si>
  <si>
    <t>NESTOR LUIS VINAGRE</t>
  </si>
  <si>
    <t>NESTOR PABLO MATARASSO</t>
  </si>
  <si>
    <t>NETCONS S.A.</t>
  </si>
  <si>
    <t>NEUMATICOS PILAR SRL</t>
  </si>
  <si>
    <t>NEYCI</t>
  </si>
  <si>
    <t>NICARAGUA 5001 S.R.L.</t>
  </si>
  <si>
    <t>NICATEL S.R.L.</t>
  </si>
  <si>
    <t xml:space="preserve">NICOLAS ARMANDO CENTURION </t>
  </si>
  <si>
    <t>NICOLAS LUCERO - CLINICA DISEÑO</t>
  </si>
  <si>
    <t>NICOLAS REPETTO 1289 S.R.L.</t>
  </si>
  <si>
    <t>NIETO FACUNDO JOSE</t>
  </si>
  <si>
    <t>NIPPOM EXTREME TEHNOLOGY S.A.</t>
  </si>
  <si>
    <t>NOBS S.A.</t>
  </si>
  <si>
    <t>NOE DRUCKER SOCIEDAD ANONIMA</t>
  </si>
  <si>
    <t>NOLAZCO EDUARDO ARTURO</t>
  </si>
  <si>
    <t>NOMAD FOOD SRL</t>
  </si>
  <si>
    <t>NORBERTO HARDOCK</t>
  </si>
  <si>
    <t>NORFRIG SRL</t>
  </si>
  <si>
    <t>NORTE - MARTIN S.R.L.</t>
  </si>
  <si>
    <t>NORWALK  S A</t>
  </si>
  <si>
    <t>NORWALK S.A.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</si>
  <si>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</si>
  <si>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</si>
  <si>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</si>
  <si>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</si>
  <si>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</si>
  <si>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</si>
  <si>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</si>
  <si>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NUEVA ABASTECEDORA GRAF. S.A</t>
  </si>
  <si>
    <t>NUEVA CHEVALLIER SA</t>
  </si>
  <si>
    <t>NUEVA COSTANERA SRL</t>
  </si>
  <si>
    <t>NUEVA SERRANIA S R L</t>
  </si>
  <si>
    <t>NUÑEZ AUTOS S.A.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</si>
  <si>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</si>
  <si>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</si>
  <si>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</si>
  <si>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</si>
  <si>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</si>
  <si>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</si>
  <si>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OBISPO SA</t>
  </si>
  <si>
    <t>OBLIGADO 7070 S.R.L.</t>
  </si>
  <si>
    <t>OBRA SOCIAL DE DOCENTES PARTICULARES</t>
  </si>
  <si>
    <t>OBRA SOCIAL SUPERCO</t>
  </si>
  <si>
    <t>OBRAS PRIVADAS S.R.L.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</si>
  <si>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</si>
  <si>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</si>
  <si>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</si>
  <si>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</si>
  <si>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</si>
  <si>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</si>
  <si>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OJEDA ISMAEL NESTOR</t>
  </si>
  <si>
    <t>OLD ROPE S.R.L.</t>
  </si>
  <si>
    <t>OLD ROPE SRL</t>
  </si>
  <si>
    <t>OLGA REBRYK</t>
  </si>
  <si>
    <t xml:space="preserve">OLGUIN CAMILA LIDIA </t>
  </si>
  <si>
    <t>OLIVARES HNOS SA</t>
  </si>
  <si>
    <t>OLIVERA VICTOR MANUEL</t>
  </si>
  <si>
    <t>OMEGA III S R L</t>
  </si>
  <si>
    <t>OMINT ART SA</t>
  </si>
  <si>
    <t>OMINT SA</t>
  </si>
  <si>
    <t>ONS SRL</t>
  </si>
  <si>
    <t>OPEN CLUB SRL</t>
  </si>
  <si>
    <t>OPERADORA FERROVIARIA SOCIEDAD DEL ESTADO</t>
  </si>
  <si>
    <t>ORBIS MERTIG SAIC</t>
  </si>
  <si>
    <t>ORBIS MERTIG SAN LUIS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</si>
  <si>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</si>
  <si>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</si>
  <si>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</si>
  <si>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</si>
  <si>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</si>
  <si>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</si>
  <si>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ORUGA FILMS SA</t>
  </si>
  <si>
    <t>OSCAR BERNAL</t>
  </si>
  <si>
    <t>OSOPPO SA</t>
  </si>
  <si>
    <t>OSPADEP</t>
  </si>
  <si>
    <t>OSTERA LILIANA IRMA</t>
  </si>
  <si>
    <t>OSVALDO GAROFALO</t>
  </si>
  <si>
    <t>OTERO CARLOS ALBERTO</t>
  </si>
  <si>
    <t xml:space="preserve">OTERO NORTE SRL </t>
  </si>
  <si>
    <t>OTTO BOCK ARG. S.A</t>
  </si>
  <si>
    <t>OUTLANDISH SRL</t>
  </si>
  <si>
    <t>OYOLI SA</t>
  </si>
  <si>
    <t>P&amp;C ASOCIADOS SRL</t>
  </si>
  <si>
    <t>P.R.V. S.A.</t>
  </si>
  <si>
    <t>PABLO DANIEL SPADAVACCHIA</t>
  </si>
  <si>
    <t xml:space="preserve">PABLO FERREYRA </t>
  </si>
  <si>
    <t>PACANROL</t>
  </si>
  <si>
    <t>PACO LAURA HUMBERTO JAIME</t>
  </si>
  <si>
    <t>PAESANO CARLOS CHAVEZ RUBEN SH</t>
  </si>
  <si>
    <t>PAEZ ESTEBAN</t>
  </si>
  <si>
    <t>PALERMO MATERIALES</t>
  </si>
  <si>
    <t>PALMISANO LUCIANO PABLO</t>
  </si>
  <si>
    <t>PAMPA LUNA S.A.</t>
  </si>
  <si>
    <t>PANTYMED S.A</t>
  </si>
  <si>
    <t>PANZER S A</t>
  </si>
  <si>
    <t>PANZITTA HECTOR MIGUEL</t>
  </si>
  <si>
    <t>PAPELERA BERTOLIN</t>
  </si>
  <si>
    <t>PAPELERA RAUL JUAN CORA SA</t>
  </si>
  <si>
    <t>PAPELES EUROPEOS SA</t>
  </si>
  <si>
    <t>PAR  KE GOM SA</t>
  </si>
  <si>
    <t>PARABRISAS BARRANCAS DE BELGRANO S.A.</t>
  </si>
  <si>
    <t>PARAMPARA S.A.</t>
  </si>
  <si>
    <t>PARASCO MARTA ADRIANA</t>
  </si>
  <si>
    <t xml:space="preserve">PARLAPIANO BIBIANA SANDRA </t>
  </si>
  <si>
    <t>PARQUIZAR MANTELECTRIC I.C.I.S.A. - SES  S.A.  U.T.E.</t>
  </si>
  <si>
    <t>PARSON DE ARGENTINA</t>
  </si>
  <si>
    <t xml:space="preserve">PASION DISTRIBUCIONES SRL </t>
  </si>
  <si>
    <t>PASSINI CLAUDIA RUTH</t>
  </si>
  <si>
    <t>PATAGONIA BEVERAGE SRL</t>
  </si>
  <si>
    <t>PATAGONIA STONE S.A</t>
  </si>
  <si>
    <t>PATIÑO LAURA EUGENIA</t>
  </si>
  <si>
    <t>PAZZAGLIA MARIA SUSANA</t>
  </si>
  <si>
    <t>PEACE CITY FACTORY S.R.L.</t>
  </si>
  <si>
    <t>PECHO DORADO</t>
  </si>
  <si>
    <t>PEGRACE S.A.</t>
  </si>
  <si>
    <t>PELUSO DANIELA ANGELICA</t>
  </si>
  <si>
    <t>PENNISI OSVALDO DARIO</t>
  </si>
  <si>
    <t>PENSO CLAUDIO</t>
  </si>
  <si>
    <t>PEÑA HUARITA RICARDO WALBERTO</t>
  </si>
  <si>
    <t>PEPE HUGO DANIEL</t>
  </si>
  <si>
    <t>PEREZ DIAZ MARIO ANGEL ADRIAN</t>
  </si>
  <si>
    <t>PEREZ HUGO JAVIER</t>
  </si>
  <si>
    <t>PEREZ JOSE ANTONIO</t>
  </si>
  <si>
    <t>PEREZ QUESADA LORENZO</t>
  </si>
  <si>
    <t>PEREZ SAEZ JOSE ANTONIO</t>
  </si>
  <si>
    <t xml:space="preserve">PERIK ANTONIO </t>
  </si>
  <si>
    <t>PERIK MARTIN HORACIO</t>
  </si>
  <si>
    <t>PERILLI ALEJANDRO ADRIAN</t>
  </si>
  <si>
    <t>PERRO SALCHICHA S.A.</t>
  </si>
  <si>
    <t>PERSICO FEDERICO CARLOS</t>
  </si>
  <si>
    <t>PERZONALIZACIONES GROUP SA</t>
  </si>
  <si>
    <t xml:space="preserve">PESCHIERA HNOS </t>
  </si>
  <si>
    <t xml:space="preserve">PETIT CABILDO </t>
  </si>
  <si>
    <t>PETLIFE S.A.</t>
  </si>
  <si>
    <t>PETRINI MONICA MERCEDES</t>
  </si>
  <si>
    <t>PIETRUSZKA ALBERTO</t>
  </si>
  <si>
    <t>PILKINGTON AUTOMOTIVE SA</t>
  </si>
  <si>
    <t xml:space="preserve">PINDELEC SA </t>
  </si>
  <si>
    <t>PINILLOS RODOLFO LEONARDO</t>
  </si>
  <si>
    <t>PINTO LEONEL EMILIANO</t>
  </si>
  <si>
    <t>PINTO MARTIN LISANDRO</t>
  </si>
  <si>
    <t>PINTURA Y OBRA S.R.L.</t>
  </si>
  <si>
    <t xml:space="preserve">PINTURERIA REX </t>
  </si>
  <si>
    <t>PINTURERIAS SAGITARIO SA</t>
  </si>
  <si>
    <t>PIPER EDUARDO MIGUEL</t>
  </si>
  <si>
    <t>PIXEL CONSTRUCCIONES S.R.L.</t>
  </si>
  <si>
    <t>PIZZANI PABLO GABRIEL</t>
  </si>
  <si>
    <t>PLASTIFERRO INFRAESTRUCTURA SA</t>
  </si>
  <si>
    <t>POBERAJ SA</t>
  </si>
  <si>
    <t>POLISKY DANIEL HERNAN</t>
  </si>
  <si>
    <t>POLYFILM SRL</t>
  </si>
  <si>
    <t xml:space="preserve">PONCE CLAUDIA GRACIELA </t>
  </si>
  <si>
    <t>PONCE DE LEON</t>
  </si>
  <si>
    <t>POOSH SRL</t>
  </si>
  <si>
    <t>PORFIDO S.R.L.</t>
  </si>
  <si>
    <t>PORTA GUSTAVO Y PORTA M. SH</t>
  </si>
  <si>
    <t>PORTAL SACI</t>
  </si>
  <si>
    <t>POSNET SRL</t>
  </si>
  <si>
    <t>POST MEDIA S.R.L.</t>
  </si>
  <si>
    <t>POTENZA ALEJANDRA CRISTINA</t>
  </si>
  <si>
    <t>PRAMART SRL</t>
  </si>
  <si>
    <t>PRANERS S A</t>
  </si>
  <si>
    <t>PRENTEX</t>
  </si>
  <si>
    <t>PRETE ROSSO SA</t>
  </si>
  <si>
    <t>PRIETO ALFREDO ANTONINO</t>
  </si>
  <si>
    <t>PRIETO PEDRO ALEJANDRO</t>
  </si>
  <si>
    <t>PRINCIPE SRL.</t>
  </si>
  <si>
    <t>PRIND-CO SRL</t>
  </si>
  <si>
    <t>PRIOTTI NANCY MARIA</t>
  </si>
  <si>
    <t>PRO. CA. TA. SRL.</t>
  </si>
  <si>
    <t>PROANALISIS S.A.</t>
  </si>
  <si>
    <t>PROANALISIS SA</t>
  </si>
  <si>
    <t>PRODERA S.A.</t>
  </si>
  <si>
    <t>PRODUCCIONES LA MAQUINA SRL</t>
  </si>
  <si>
    <t>PRODUCIENTO ROPA</t>
  </si>
  <si>
    <t>PRONEW S.A.</t>
  </si>
  <si>
    <t>PROSMARTS S.R.L.</t>
  </si>
  <si>
    <t>PROVEEDORA DE CARNE S.A.</t>
  </si>
  <si>
    <t>PROVEFRIO SRL</t>
  </si>
  <si>
    <t>PROYECCION PUBLICIDAD SRL</t>
  </si>
  <si>
    <t>PROYECTOS DE COMUNICACIONES SA</t>
  </si>
  <si>
    <t>PUCHETA PABLO ANGEL</t>
  </si>
  <si>
    <t>PUEYRREDON 2042</t>
  </si>
  <si>
    <t>PUGLIESE FRANCICSCO PABLO A</t>
  </si>
  <si>
    <t>PUJANTE ALFREDO</t>
  </si>
  <si>
    <t>PUNTO DE FUGA S.R.L.</t>
  </si>
  <si>
    <t>PUNTO HOME S.R.L.</t>
  </si>
  <si>
    <t xml:space="preserve">PYFER SA </t>
  </si>
  <si>
    <t>QACTIONS SYSTEM S.R.L.</t>
  </si>
  <si>
    <t>QUAGLIA EDIT LUJAN</t>
  </si>
  <si>
    <t>QUEIJA S.A.</t>
  </si>
  <si>
    <t>QUIMICA OESTE S.A.</t>
  </si>
  <si>
    <t>QUIROZ NICOLAS ALBERTO</t>
  </si>
  <si>
    <t>QUITO 4242 SRL</t>
  </si>
  <si>
    <t>R LESCANO S R L</t>
  </si>
  <si>
    <t>RABE CRISTIAN ALEJANDRO C</t>
  </si>
  <si>
    <t>RADIC MILENA ELIZABETH</t>
  </si>
  <si>
    <t>RADRIZZANI GABRIELA ALEJANDRA</t>
  </si>
  <si>
    <t>RAFAEL KURZROK</t>
  </si>
  <si>
    <t>RAIMONDI ADRIANA LUISA</t>
  </si>
  <si>
    <t>RAIMONDI HORACIO ANGEL</t>
  </si>
  <si>
    <t>RAKE SA</t>
  </si>
  <si>
    <t>RALDUA SILVIA CECILIA</t>
  </si>
  <si>
    <t>RAMIREZEI SRL</t>
  </si>
  <si>
    <t>MUEBLES Y UTILES</t>
  </si>
  <si>
    <t>RANDO NICOLAS ALBERTO</t>
  </si>
  <si>
    <t>RANDOM SISTEM SRL.</t>
  </si>
  <si>
    <t xml:space="preserve">RAPOSO GERARDO ANSELMO </t>
  </si>
  <si>
    <t>RC RADIOLOGIA CASTELAR SRL</t>
  </si>
  <si>
    <t>RCAVELL S.A.S.</t>
  </si>
  <si>
    <t>RED DE COBRANZAS SA</t>
  </si>
  <si>
    <t>RED DE RECEPTORIAS S.A.</t>
  </si>
  <si>
    <t>REDD S A C I A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</si>
  <si>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</si>
  <si>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</si>
  <si>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</si>
  <si>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</si>
  <si>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</si>
  <si>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</si>
  <si>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>REINADO GONZALO HERNAN</t>
  </si>
  <si>
    <t>REMIBRE SRL</t>
  </si>
  <si>
    <t xml:space="preserve">RENZ ARGENTINA </t>
  </si>
  <si>
    <t>REPETTO MIGUEL</t>
  </si>
  <si>
    <t>REPROFERT SRL</t>
  </si>
  <si>
    <t>REPUESTOS ABC</t>
  </si>
  <si>
    <t>REPUESTOS LA UNIVERSAL S A C I F E I</t>
  </si>
  <si>
    <t>RESTOJESUS S.A.</t>
  </si>
  <si>
    <t>REYCEL S.R.L.</t>
  </si>
  <si>
    <t>RH SH BAZZANO RICARDO Y RAMOS</t>
  </si>
  <si>
    <t>RHEEM SA</t>
  </si>
  <si>
    <t>RIBEIRO S.A.C.I.F.A.</t>
  </si>
  <si>
    <t>RICARDO A.G. DOLDAN ARISTIZABAL</t>
  </si>
  <si>
    <t>RICARDO LEOPOLDO Y ZULMA ARACELI MASCARETTI SOC DE HECHO</t>
  </si>
  <si>
    <t>RICHARDSOON DE HAENEN REMY</t>
  </si>
  <si>
    <t xml:space="preserve">RICHITTO SA </t>
  </si>
  <si>
    <t>RIDIGAS SRL</t>
  </si>
  <si>
    <t>RIMOLI EMILIANO JAVIER</t>
  </si>
  <si>
    <t>RINALDI GERARDO</t>
  </si>
  <si>
    <t>RINGO BS AS S.A.</t>
  </si>
  <si>
    <t>RINGO PUBLICIDAD S.R.L.</t>
  </si>
  <si>
    <t>RIO CHAIN S.R.L.</t>
  </si>
  <si>
    <t xml:space="preserve">RIOS RUBEN ALBERTO </t>
  </si>
  <si>
    <t>RIOTORNO SRL</t>
  </si>
  <si>
    <t>RISSOLAR PILAR S.A.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</si>
  <si>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</si>
  <si>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</si>
  <si>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</si>
  <si>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</si>
  <si>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</si>
  <si>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</si>
  <si>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</si>
  <si>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</si>
  <si>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RODHESAL 96 S A</t>
  </si>
  <si>
    <t>RODOLFO O MEYER</t>
  </si>
  <si>
    <t>RODRIGUEZ JOSE LUIS Y RAFAEL</t>
  </si>
  <si>
    <t>RODRIGUEZ WALTER HERNAN</t>
  </si>
  <si>
    <t>ROGER  WILCO S.R.L.</t>
  </si>
  <si>
    <t>ROLANDI LUCAS MARTIN</t>
  </si>
  <si>
    <t>ROLANDO IVAN LEONEL</t>
  </si>
  <si>
    <t>ROLON JUAN PABLO</t>
  </si>
  <si>
    <t>ROLON LUIS ALBERTO</t>
  </si>
  <si>
    <t>ROMAN CARLOS ANTONIO</t>
  </si>
  <si>
    <t>ROMAN Y TERPIN SH</t>
  </si>
  <si>
    <t>ROMANO LEONARDO ALBERTO</t>
  </si>
  <si>
    <t>ROMARIO S R L</t>
  </si>
  <si>
    <t>ROMARIO S.R.L.</t>
  </si>
  <si>
    <t>ROMERO GRACIELA YOLANDA</t>
  </si>
  <si>
    <t>ROMERO WALTER ALEJANDRO</t>
  </si>
  <si>
    <t>ROSEDAL AUTOMOTORES SRL</t>
  </si>
  <si>
    <t>ROSSO SUSANA BEATRIZ</t>
  </si>
  <si>
    <t>ROWA SA</t>
  </si>
  <si>
    <t>RUD SOLANGE MONICA</t>
  </si>
  <si>
    <t>RUIZ GUSTAVO ANDRES</t>
  </si>
  <si>
    <t>RUIZ LUIS ANGEL</t>
  </si>
  <si>
    <t>RULOLOGOS</t>
  </si>
  <si>
    <t>RUN BAR S.R.L.</t>
  </si>
  <si>
    <t>RUSSO ANALIA Y RUSSO PABLO SH</t>
  </si>
  <si>
    <t>RYDEX SA</t>
  </si>
  <si>
    <t>S A IMPORTADORA Y EXPORTADORA DE LA PATAGONIA</t>
  </si>
  <si>
    <t>S I S CONSTRUCCIONES S A</t>
  </si>
  <si>
    <t>S.A. IMP. Y EXPO.  PATAGONIA</t>
  </si>
  <si>
    <t>SAAD FEDERICO</t>
  </si>
  <si>
    <t>SACHECO SA</t>
  </si>
  <si>
    <t>SADEC</t>
  </si>
  <si>
    <t>SAFE ESTABLECIMIENTO GRAF</t>
  </si>
  <si>
    <t xml:space="preserve">SAINT-GOBAIN </t>
  </si>
  <si>
    <t>SAJNIN CHRISTIAN DARIO</t>
  </si>
  <si>
    <t>SALADILLO S.A.</t>
  </si>
  <si>
    <t>SALMON TROUT SA</t>
  </si>
  <si>
    <t>SALOMON MARIA ELENA</t>
  </si>
  <si>
    <t>SALPARK SRL</t>
  </si>
  <si>
    <t>SALTO DE EJE PRODUCCIONES S.R.L.</t>
  </si>
  <si>
    <t>SALUD TEX S.A</t>
  </si>
  <si>
    <t>SALVADOR 5801 S.A.</t>
  </si>
  <si>
    <t>SALVATIERRA JOSE MARIANO</t>
  </si>
  <si>
    <t>SAN MARCOS E.  S.A.</t>
  </si>
  <si>
    <t>SANABRIA S.A.</t>
  </si>
  <si>
    <t>SANCHEZ DIEGO HERNAN</t>
  </si>
  <si>
    <t xml:space="preserve">SANCHEZ GAMARRA CANDIDA </t>
  </si>
  <si>
    <t>SANCHEZ POMA JOSE</t>
  </si>
  <si>
    <t>SANIOBRAS S.A.</t>
  </si>
  <si>
    <t>SANITARIOS GLOBAL S.A</t>
  </si>
  <si>
    <t>SANITY CARE INTERNACION DOMICILIARIA S.R.L.</t>
  </si>
  <si>
    <t>SANTILLAN LORENZO ANTONIO</t>
  </si>
  <si>
    <t>SANTORO CLAUDIO ALEJANDRO</t>
  </si>
  <si>
    <t>SAPIENZA S.R.L.</t>
  </si>
  <si>
    <t>SARJUR SA</t>
  </si>
  <si>
    <t>SASSAROLI PAULA LILIAN</t>
  </si>
  <si>
    <t>SATRINCHA S.A.</t>
  </si>
  <si>
    <t>SAUBIETTE ANDREA KARINA</t>
  </si>
  <si>
    <t>SAUL JACOBO ARIEL</t>
  </si>
  <si>
    <t>SAUL VICTOR BOROWSKI</t>
  </si>
  <si>
    <t>SC ACONCAGUA S.R.L.</t>
  </si>
  <si>
    <t>SCALA MARIA ANA</t>
  </si>
  <si>
    <t>SCANIA ARGENTINA S A U</t>
  </si>
  <si>
    <t>SCATTOLINI VIVIANA MARCELA</t>
  </si>
  <si>
    <t>SCHIAVONI PABLO MARCELO</t>
  </si>
  <si>
    <t>SCHULZ ALFREDO ANASTACIO</t>
  </si>
  <si>
    <t>SCHURMANN DANIEL RICARDO</t>
  </si>
  <si>
    <t>SCIS SA.</t>
  </si>
  <si>
    <t>SEGGIARO MARCELA ANA</t>
  </si>
  <si>
    <t>SEHOS S.A.</t>
  </si>
  <si>
    <t>SEHOS SA</t>
  </si>
  <si>
    <t>SEINAR S.R.L.</t>
  </si>
  <si>
    <t>SELINA OPERATIONS ARGENTINA S.R.L.</t>
  </si>
  <si>
    <t>SEMICONDUC. Y COMPON. SRL</t>
  </si>
  <si>
    <t>SEMM ACOMPAÑANTES DE SALUD SA</t>
  </si>
  <si>
    <t>SENDECO</t>
  </si>
  <si>
    <t>SENDOYA HECTOR AUGUSTO</t>
  </si>
  <si>
    <t>SERGIO TREPAT AUTOMOVILES S.A.</t>
  </si>
  <si>
    <t>SERV. SALUD MENTAL SRL</t>
  </si>
  <si>
    <t>SERVICIO MEDICO PREVISIONAL</t>
  </si>
  <si>
    <t>SES S.A.</t>
  </si>
  <si>
    <t>SES SA</t>
  </si>
  <si>
    <t>SEVASGO</t>
  </si>
  <si>
    <t>SHELL SA</t>
  </si>
  <si>
    <t>SHIMURA S.A.</t>
  </si>
  <si>
    <t>SHOWPEL SRL</t>
  </si>
  <si>
    <t>SIALLE HECTOR ALEJANDRO</t>
  </si>
  <si>
    <t>SID ANDREA MARCELA</t>
  </si>
  <si>
    <t>SIEBEN LUCRECIA SUSANA</t>
  </si>
  <si>
    <t>SIERRA DEL SUR S A</t>
  </si>
  <si>
    <t>SIGHMA GLOBAL SOLUTIONS S.R.L</t>
  </si>
  <si>
    <t>SILMAR BAZAR</t>
  </si>
  <si>
    <t>SILVA VILLANUEVA MARIO ALEJAN</t>
  </si>
  <si>
    <t>SILVER CROSS AMERICA INC SA</t>
  </si>
  <si>
    <t>SILVESTRI JUAN PABLO</t>
  </si>
  <si>
    <t>SILVESTRIN FABRIS SRL</t>
  </si>
  <si>
    <t>SIMBOLOS PATRIOS S.R.L.</t>
  </si>
  <si>
    <t>SIMMONS DE ARGENTINA SAIC</t>
  </si>
  <si>
    <t>SIMONIAN ALBERTO MARCELO</t>
  </si>
  <si>
    <t>SINCLAIR 2929 SOCIEDAD ANONIMA</t>
  </si>
  <si>
    <t>SIRO SA</t>
  </si>
  <si>
    <t>SISTEMA MEDICO DEL SUR SRL</t>
  </si>
  <si>
    <t>SITZ GERMAN</t>
  </si>
  <si>
    <t>SOBRAL ADRIAN OSCAR</t>
  </si>
  <si>
    <t>SOCIEDAD ARGENTINA DE CARDIOLOGIA</t>
  </si>
  <si>
    <t>SOCIREP SOL SRL</t>
  </si>
  <si>
    <t xml:space="preserve">SODIMAC ARGENTINA </t>
  </si>
  <si>
    <t>SOFISURAUSTRAL S.A.</t>
  </si>
  <si>
    <t>SOJO LUIS RICARDO</t>
  </si>
  <si>
    <t>SOLA CARLOS NORBERTO</t>
  </si>
  <si>
    <t>SOLER 5881 SRL</t>
  </si>
  <si>
    <t>SOLSAN SOCIEDAD ANONIMA</t>
  </si>
  <si>
    <t>SOLUCIONES MULTIMEDIA SA</t>
  </si>
  <si>
    <t>SOMMIERCENTER</t>
  </si>
  <si>
    <t>SOMOZA JUAN JOSE Y PALMA CAR</t>
  </si>
  <si>
    <t>SON DE OESTE S.R.L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</si>
  <si>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</si>
  <si>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</si>
  <si>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</si>
  <si>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</si>
  <si>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</si>
  <si>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</si>
  <si>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</si>
  <si>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</si>
  <si>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>STALTARI ARIEL DOMINGO</t>
  </si>
  <si>
    <t xml:space="preserve">STEIN Y TEICHBERG SA </t>
  </si>
  <si>
    <t>STIGLIANO MATIAS NICOLAS</t>
  </si>
  <si>
    <t>STORANI NELSON LUIS</t>
  </si>
  <si>
    <t>STRAJILEVICH IVAN MAURO</t>
  </si>
  <si>
    <t>STRINGARO</t>
  </si>
  <si>
    <t>SUAREZ FERNANDO EZEQUIEL</t>
  </si>
  <si>
    <t>SUAYA SERGIO EDUARDO</t>
  </si>
  <si>
    <t>SUCAP S.R.L.</t>
  </si>
  <si>
    <t>SUCCEX SRL</t>
  </si>
  <si>
    <t>SUCESION DE FLOMENBAUM RICARDO GREGORIO</t>
  </si>
  <si>
    <t>SUCESION DE GRAZZELLA OSCAR AMBROSIO</t>
  </si>
  <si>
    <t>SUCESION DE RUBIN VICTOR</t>
  </si>
  <si>
    <t>SUCRE 664 S.A.</t>
  </si>
  <si>
    <t>SULAR COMEX SA</t>
  </si>
  <si>
    <t>SULDAL SA</t>
  </si>
  <si>
    <t>SULLIVAN MARIA FABIANA</t>
  </si>
  <si>
    <t xml:space="preserve">SULTANI VICTOR JOSE </t>
  </si>
  <si>
    <t>SUPER NUEVA COLON SRL</t>
  </si>
  <si>
    <t>SUPER RADIO</t>
  </si>
  <si>
    <t>SUPERURBAN PRODUCCIONES S.R.L.</t>
  </si>
  <si>
    <t>SUR LOGISTICA Y DISTRIBUCION</t>
  </si>
  <si>
    <t>SURIANO S.A.</t>
  </si>
  <si>
    <t>SUSHI RECOLETA SOCIEDAD ANONIMA</t>
  </si>
  <si>
    <t>SWISS MEDICAL S.A.</t>
  </si>
  <si>
    <t>SYMONDS SA.</t>
  </si>
  <si>
    <t>SZWARC DIEGO ALEJANDRO</t>
  </si>
  <si>
    <t>TACHELLA ALEJANDRA SILVANA</t>
  </si>
  <si>
    <t>TAMECO S RL</t>
  </si>
  <si>
    <t>TANGO TECHNOLOGIES SA</t>
  </si>
  <si>
    <t>TANQUES ARGENTINOS</t>
  </si>
  <si>
    <t>TARGET MEDICAL SA</t>
  </si>
  <si>
    <t>TARJETA NARANJA SA</t>
  </si>
  <si>
    <t>TARRAT SA</t>
  </si>
  <si>
    <t>TAUYAN</t>
  </si>
  <si>
    <t>TAVERNA GUERRA LEONARDO ANIBAL</t>
  </si>
  <si>
    <t>TCH GROUP S.R.L.</t>
  </si>
  <si>
    <t>TCM TELEF CEL MOVIL</t>
  </si>
  <si>
    <t>TDI AUTOPARTES SRL</t>
  </si>
  <si>
    <t>TEC-ELEV SRL</t>
  </si>
  <si>
    <t>TECNIPRAX S.R.L.</t>
  </si>
  <si>
    <t>TECNOCONS SA</t>
  </si>
  <si>
    <t>TECNOHABITAT SRL</t>
  </si>
  <si>
    <t>TECNOLOGIA ARMK S.A.</t>
  </si>
  <si>
    <t>TECNOPALERMO OBRAS SRL</t>
  </si>
  <si>
    <t>TEKNOVENTILACION SRL</t>
  </si>
  <si>
    <t>TELECOM ARG SA</t>
  </si>
  <si>
    <t>TELEFONICA DE ARG S.A.</t>
  </si>
  <si>
    <t>TELEFONICA MOVILES ARG</t>
  </si>
  <si>
    <t>TELMEX ARGENTINA S.A.</t>
  </si>
  <si>
    <t>TEMPORA S.R.L.</t>
  </si>
  <si>
    <t>TERA SERVICE S.R.L.</t>
  </si>
  <si>
    <t>TERMINACIONES GRAFICAS SA</t>
  </si>
  <si>
    <t>TERRENO FERNANDO ANIVAÑ</t>
  </si>
  <si>
    <t>TERTIUS S.A.</t>
  </si>
  <si>
    <t>TEXEIRA JORGE</t>
  </si>
  <si>
    <t>TEXTIL ESPARTILLO SA.</t>
  </si>
  <si>
    <t>TEXTIL PANDA S.A.</t>
  </si>
  <si>
    <t xml:space="preserve">TEXTIL ROCK SRL </t>
  </si>
  <si>
    <t>TEXTIL TRIUNVIRATO SH DE MAUAS Y SOUSSE</t>
  </si>
  <si>
    <t>TG PLAST S.R.L.</t>
  </si>
  <si>
    <t>THAMES  1564 S.A.</t>
  </si>
  <si>
    <t>THAMES 1564 S.A.</t>
  </si>
  <si>
    <t>THAMES 2160 SRL</t>
  </si>
  <si>
    <t>THAMES 2450 S.R.L.</t>
  </si>
  <si>
    <t>THAMES CLP SRL</t>
  </si>
  <si>
    <t>THE BAPLAN S.R.L.</t>
  </si>
  <si>
    <t>THE SAVER S.R.L.</t>
  </si>
  <si>
    <t>THE STEAKHAUSE S.A.</t>
  </si>
  <si>
    <t>THE WHY FACTORY SA</t>
  </si>
  <si>
    <t>THEAGAS S.A.</t>
  </si>
  <si>
    <t>TIO MUSA S.A.</t>
  </si>
  <si>
    <t>TIRRENIA S.R.L.</t>
  </si>
  <si>
    <t>TIVIROLI CARLOS MARIANO</t>
  </si>
  <si>
    <t>TLON INVERSIONES SA</t>
  </si>
  <si>
    <t>TOAGRA SRL</t>
  </si>
  <si>
    <t>TODO COPIA S.A.</t>
  </si>
  <si>
    <t xml:space="preserve">TODO COPIA SA </t>
  </si>
  <si>
    <t>TODO EMBALAJE SRL</t>
  </si>
  <si>
    <t>TOKIO NIKKEI S.R.L.</t>
  </si>
  <si>
    <t>TONKA S.A.</t>
  </si>
  <si>
    <t>TORNARE SOCIEDAD ANONINA</t>
  </si>
  <si>
    <t>TORREZ GONZALEZ JUAN BLAS</t>
  </si>
  <si>
    <t>TOUAREG.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</si>
  <si>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</si>
  <si>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</si>
  <si>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</si>
  <si>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</si>
  <si>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</si>
  <si>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TRANSLICEO S.R.L.</t>
  </si>
  <si>
    <t>TRANSPALET S.A.</t>
  </si>
  <si>
    <t>TRANSPETROL S.A.</t>
  </si>
  <si>
    <t>TRANSPORTE CO-BA SOCIEDAD ANONIMA</t>
  </si>
  <si>
    <t>TRANSPORTES A4 SA</t>
  </si>
  <si>
    <t>TRANSPÓRTES DEL SUR</t>
  </si>
  <si>
    <t>TREPTOW S.A.</t>
  </si>
  <si>
    <t>TRES MULAS S.R.L.</t>
  </si>
  <si>
    <t>TRESBIEN S.R.L.</t>
  </si>
  <si>
    <t>TRIANGLE SCA</t>
  </si>
  <si>
    <t>TRIBER SA</t>
  </si>
  <si>
    <t>TRIKEN SRL</t>
  </si>
  <si>
    <t>TRIPAILA CLAUDIA ELIZABETH</t>
  </si>
  <si>
    <t>TRIPOLI FERNANDO JULIAN</t>
  </si>
  <si>
    <t>TRONCOSO VALERIA</t>
  </si>
  <si>
    <t>TRUFFA JORGE GUSTAVO</t>
  </si>
  <si>
    <t>TRUST S.R.L.</t>
  </si>
  <si>
    <t>TRUSTY SRL</t>
  </si>
  <si>
    <t>TST S.A</t>
  </si>
  <si>
    <t>TWENTY ILUMINACION SRL</t>
  </si>
  <si>
    <t>TWINLOK ABROJO</t>
  </si>
  <si>
    <t>UDG SRL</t>
  </si>
  <si>
    <t>UNIFORMES SA</t>
  </si>
  <si>
    <t>UNIMACO SA</t>
  </si>
  <si>
    <t>UNION AGRICOLA DE AVELALNEDA COOP LTDA</t>
  </si>
  <si>
    <t>UNIVERSALIS S.A</t>
  </si>
  <si>
    <t>UNIVERSALIS S.A.</t>
  </si>
  <si>
    <t>URBANA CENTROS COMERCIALES S A</t>
  </si>
  <si>
    <t>URBANO - COCINA AMERICANA</t>
  </si>
  <si>
    <t>URBECO ECOLOGIA URBANA S.R.L.</t>
  </si>
  <si>
    <t>URIARTE 1648 S.A.</t>
  </si>
  <si>
    <t>URIARTE TALDEA</t>
  </si>
  <si>
    <t>USINA DE PALERMO S.R.L. - EN FORMACION</t>
  </si>
  <si>
    <t>VACA MAURO CARLOS</t>
  </si>
  <si>
    <t>VAL ROD SRL</t>
  </si>
  <si>
    <t>VALEROS PABLO ROBERTO</t>
  </si>
  <si>
    <t>VALIÑO JAVIER MARIO</t>
  </si>
  <si>
    <t>VALLERO RICARDO PABLO</t>
  </si>
  <si>
    <t>VANNELLI CESAR</t>
  </si>
  <si>
    <t>VARONE CLAUDIO</t>
  </si>
  <si>
    <t>VARONE JAVIER RICARDO</t>
  </si>
  <si>
    <t>VASSALLO CARLOS ALBERTO</t>
  </si>
  <si>
    <t>VASSER SA</t>
  </si>
  <si>
    <t xml:space="preserve">VAZQUEZ FERNANDEZ CARMEN </t>
  </si>
  <si>
    <t>VAZQUEZ GRACIELA ALICIA</t>
  </si>
  <si>
    <t>VEGA NELIDA LUCIA</t>
  </si>
  <si>
    <t>VEGLIENZONE SANTIAGO OMAR</t>
  </si>
  <si>
    <t xml:space="preserve">VELAS DE LA BALLENA S.R.L. </t>
  </si>
  <si>
    <t>VELEZ CLAUDIA ALEJANDRA</t>
  </si>
  <si>
    <t>VELEZ FERNANDO ARIEL</t>
  </si>
  <si>
    <t>VELIZ MARCELO</t>
  </si>
  <si>
    <t>VELIZY</t>
  </si>
  <si>
    <t>VELLEGAL ANA MARIA</t>
  </si>
  <si>
    <t>VENDITTO NORMA BEATRIZ</t>
  </si>
  <si>
    <t>VENIDIA SA</t>
  </si>
  <si>
    <t>VENTO HUGO GABRIEL</t>
  </si>
  <si>
    <t>VENTURA EDMUNDO ALBERTO</t>
  </si>
  <si>
    <t>VERA RICARDO</t>
  </si>
  <si>
    <t>VERBA GERMAN WALTER</t>
  </si>
  <si>
    <t>VERGARA BARRIOS OSVALDO</t>
  </si>
  <si>
    <t>VERGARA CombustibeS SRL</t>
  </si>
  <si>
    <t>VERTOLINI NORBERTO LUIS</t>
  </si>
  <si>
    <t>VETERINARIA JUAREZ</t>
  </si>
  <si>
    <t>VETKIOSK S.A.S.</t>
  </si>
  <si>
    <t>VIA BARILOCHE SA</t>
  </si>
  <si>
    <t>VIA CARGO SA</t>
  </si>
  <si>
    <t>VICENTE BONGIOVANNI</t>
  </si>
  <si>
    <t>VICTOR HERNAN PAZZI</t>
  </si>
  <si>
    <t>VICTORIANO 1925 S.R.L.</t>
  </si>
  <si>
    <t>VIDA ZEN S.R.L.</t>
  </si>
  <si>
    <t>VIEGAS GABRIELA LAURA</t>
  </si>
  <si>
    <t>VIGILAR SRL</t>
  </si>
  <si>
    <t>VILLALBA ALBER</t>
  </si>
  <si>
    <t>VILLALBA GONZALEZ HUGO ANTONIO</t>
  </si>
  <si>
    <t>VILLANI DIEGO HORACIO JOSE</t>
  </si>
  <si>
    <t>VILLANUEVA ISIDRO ROGELIO</t>
  </si>
  <si>
    <t>VILLAR BALBINO</t>
  </si>
  <si>
    <t>VILLAREAL MARTIN MIGUEL</t>
  </si>
  <si>
    <t>VINOUTIQUE SRL</t>
  </si>
  <si>
    <t>VIOLA RAUL JULIO</t>
  </si>
  <si>
    <t>VISA JOSE RENE</t>
  </si>
  <si>
    <t>VISION 101 SA</t>
  </si>
  <si>
    <t>VISION PILAR</t>
  </si>
  <si>
    <t>VISION TECNOLOGIA SA</t>
  </si>
  <si>
    <t>VITASSE EDITH GRACIELA</t>
  </si>
  <si>
    <t>VIVACQUA DIEGO HORACIO</t>
  </si>
  <si>
    <t xml:space="preserve">VIVIANA ARACELI PERALTA </t>
  </si>
  <si>
    <t>VIYILANT SRL</t>
  </si>
  <si>
    <t>VOCOBELLI SEBASTIAN FEDERICO</t>
  </si>
  <si>
    <t>VOLONTERI MARTIN</t>
  </si>
  <si>
    <t>VOSTOKE CONSTRUC SA</t>
  </si>
  <si>
    <t>VOTIONIS S.A</t>
  </si>
  <si>
    <t>VPR CONSTRUCCIONES S.R.L.</t>
  </si>
  <si>
    <t>VTV METROPOLITANA SA</t>
  </si>
  <si>
    <t>WAINMANN PABLO MARIANO</t>
  </si>
  <si>
    <t>WAINSZTOK DARIO JAVIER</t>
  </si>
  <si>
    <t>WALLCOMS S A</t>
  </si>
  <si>
    <t>WANOMO S.A.</t>
  </si>
  <si>
    <t>WANSCHELBAUM MARIANO</t>
  </si>
  <si>
    <t>WARRIOR S.R.L.</t>
  </si>
  <si>
    <t>WASI CONSTRUCCIONES S.R.L.</t>
  </si>
  <si>
    <t>WAY COMPUTER S.R.L.</t>
  </si>
  <si>
    <t>WESTAFLEX SA ARGENTINA</t>
  </si>
  <si>
    <t>WILLA ENRIQUE</t>
  </si>
  <si>
    <t>WOCH S.A.</t>
  </si>
  <si>
    <t>WRIGHT FERNANDEZ URSINI SA</t>
  </si>
  <si>
    <t>YAGMOUR SRL</t>
  </si>
  <si>
    <t>YAPAY SRL</t>
  </si>
  <si>
    <t>YELLOW ZONE S A</t>
  </si>
  <si>
    <t>YELMO SILVIA MARINA</t>
  </si>
  <si>
    <t>YOCARANT S.A.</t>
  </si>
  <si>
    <t>YPF SA</t>
  </si>
  <si>
    <t>YURREBASO NATALIA GISELE</t>
  </si>
  <si>
    <t>ZABALETA GUILLERMO ORLANDO</t>
  </si>
  <si>
    <t>ZACSEK LUCAS EZEQUIEL</t>
  </si>
  <si>
    <t xml:space="preserve">ZALAZAR DISTRIBUIDORA </t>
  </si>
  <si>
    <t>ZANCHETTI</t>
  </si>
  <si>
    <t>ZEITPLAN</t>
  </si>
  <si>
    <t>ZERO29 S.A.S.</t>
  </si>
  <si>
    <t>ZOGBI NEMTALA JOSE JESUS</t>
  </si>
  <si>
    <t>Anibal Angel</t>
  </si>
  <si>
    <t>RITACCO RODRIGO</t>
  </si>
  <si>
    <t>CHAMORRO MANUEL</t>
  </si>
  <si>
    <t>AUTOPISTAS DE BS AS</t>
  </si>
  <si>
    <t>NIMUR RSL</t>
  </si>
  <si>
    <t>QUINTEROS EMANUEL</t>
  </si>
  <si>
    <t>PETROLFE SA</t>
  </si>
  <si>
    <t>MARAUDA HECTOR</t>
  </si>
  <si>
    <t>GNC AU VILLA MARIA SRL</t>
  </si>
  <si>
    <t>INCAT SRL</t>
  </si>
  <si>
    <t>GLASCAR S.A.C.I.F E I </t>
  </si>
  <si>
    <t>FACTURAS C/B</t>
  </si>
  <si>
    <t>NEUMACENTER</t>
  </si>
  <si>
    <t>COMERCIALIZADORA DE BEBIDAS SRL</t>
  </si>
  <si>
    <t>EXPOESTETICA</t>
  </si>
  <si>
    <t>JANEIRO VERONICA BELEN</t>
  </si>
  <si>
    <t>MEGAENVASES</t>
  </si>
  <si>
    <t>PIROPLAST SRL</t>
  </si>
  <si>
    <t>LIBRERÍA CARABELAS</t>
  </si>
  <si>
    <t>HOKAMA SERGIO ENRIQUE</t>
  </si>
  <si>
    <t>H UNO 1469 S.A.</t>
  </si>
  <si>
    <t>BAUDONE ANTONELLA AGOSTINA</t>
  </si>
  <si>
    <t>INGRASSIA PABLO CHRISTIAN</t>
  </si>
  <si>
    <t>TRIPODI MAURO EMMANUEL</t>
  </si>
  <si>
    <t>FARRAPEIRA OSCAR MAXIMO</t>
  </si>
  <si>
    <t>PETRO ARG SRL</t>
  </si>
  <si>
    <t>Aromatica SA</t>
  </si>
  <si>
    <t>MEDILEA S.A.</t>
  </si>
  <si>
    <t xml:space="preserve">MICHAEL MARTIN FLORES HUAYRA </t>
  </si>
  <si>
    <t>Plasticos Salta</t>
  </si>
  <si>
    <t xml:space="preserve">BOMBAS VAPORIZADORAS </t>
  </si>
  <si>
    <t>Dhacam SRL</t>
  </si>
  <si>
    <t xml:space="preserve">DOMINGO MONTORRO </t>
  </si>
  <si>
    <t xml:space="preserve">PARADISO ESTEBAN DAMIAN </t>
  </si>
  <si>
    <t>INFOSOL.COM</t>
  </si>
  <si>
    <t xml:space="preserve">FIBERTEL </t>
  </si>
  <si>
    <t>Petrolfe S.A.</t>
  </si>
  <si>
    <t xml:space="preserve">Repetto Maria Fernanda </t>
  </si>
  <si>
    <t>NUAGE SYSTEMS S.A</t>
  </si>
  <si>
    <t>ENSAMBLE GRAFICO S.H.</t>
  </si>
  <si>
    <t>Empresa Distribuidora Sur S.A.</t>
  </si>
  <si>
    <t>Abraldes Diego Roberto</t>
  </si>
  <si>
    <t>Segui Rodando</t>
  </si>
  <si>
    <t>Mizrahi Julian Federico</t>
  </si>
  <si>
    <t>Grafica y Fotograbados La Plaza SRL</t>
  </si>
  <si>
    <t>NOVACHEM SRL</t>
  </si>
  <si>
    <t>TELECOM ARGENTINA S.A.</t>
  </si>
  <si>
    <t>Ingrassia Pablo Christian</t>
  </si>
  <si>
    <t>Mega Envases S.A.</t>
  </si>
  <si>
    <t xml:space="preserve">EDENOR </t>
  </si>
  <si>
    <t>DEHEZA S.A.I.C.F. e I.</t>
  </si>
  <si>
    <t>ROMERO EMILIO</t>
  </si>
  <si>
    <t>Telefonica de Argentina S.A.</t>
  </si>
  <si>
    <t xml:space="preserve">GLASCAR </t>
  </si>
  <si>
    <t>TELECENTRO S.A.</t>
  </si>
  <si>
    <t>AYSA S.A</t>
  </si>
  <si>
    <t>H Uno 1469 S.A.</t>
  </si>
  <si>
    <t>Expoestetica</t>
  </si>
  <si>
    <t xml:space="preserve">OCAÑO ENRIQUE </t>
  </si>
  <si>
    <t>PACCOR ANGEL LUIS</t>
  </si>
  <si>
    <t>CENTURION, Maria</t>
  </si>
  <si>
    <t>KIKA COSMETICA</t>
  </si>
  <si>
    <t>Lorena Fernandez Chipre</t>
  </si>
  <si>
    <t>Parodi Claudio Omar</t>
  </si>
  <si>
    <t>KORE S.A.</t>
  </si>
  <si>
    <t>VANINA ANABELLA ECHENIQUE</t>
  </si>
  <si>
    <t>EUROCOSMETICA S.A.</t>
  </si>
  <si>
    <t>MILANO SA</t>
  </si>
  <si>
    <t>Espacio Fem</t>
  </si>
  <si>
    <t>BIEN MUJER</t>
  </si>
  <si>
    <t>Vazquez Lorena Veronica</t>
  </si>
  <si>
    <t>Sociedad calvi y Fernandez sociedad ley 19750</t>
  </si>
  <si>
    <t>CASTIGLIA, PAULINA (ESTUDIANTE)</t>
  </si>
  <si>
    <t>PARDO, ELIZABETH (ALUMNA)</t>
  </si>
  <si>
    <t>ALDAY,TAMARA (ALUMNA)</t>
  </si>
  <si>
    <t>DI GIUSEPPE , ALEJANDRA</t>
  </si>
  <si>
    <t>CABRAL, ELIZABETH NOEMI</t>
  </si>
  <si>
    <t>LOPEZ ORTIZ,Erika</t>
  </si>
  <si>
    <t>PINO,ROMINA</t>
  </si>
  <si>
    <t>Prester,YANEL (ALUMNA)</t>
  </si>
  <si>
    <t>NARVAEZ, ANA MARIA (ALUMNA)</t>
  </si>
  <si>
    <t>RIVARA,Ayelen</t>
  </si>
  <si>
    <t>PEREZ CRUZ,MILAGROS (alumna)</t>
  </si>
  <si>
    <t>MORENO PICARDO, SOFIA (alumna)</t>
  </si>
  <si>
    <t>CHIARITO, JESSICA DANIELA (ALUMNA)</t>
  </si>
  <si>
    <t>OLIVA,SANDRA</t>
  </si>
  <si>
    <t>SISTI,Micaela</t>
  </si>
  <si>
    <t>SANTAMARIA, MARIA EUGENIA</t>
  </si>
  <si>
    <t>FRANCK,maria elena</t>
  </si>
  <si>
    <t>PEREYRA , MARIA LAURA (ALUMNA)</t>
  </si>
  <si>
    <t>Concettoni,Norma</t>
  </si>
  <si>
    <t>SANTANA,Norma</t>
  </si>
  <si>
    <t>GOROSITO,SILVIA ALEJANDRA</t>
  </si>
  <si>
    <t>ARRIAGADA , ALEJANDRA (ESTUDIANTE)</t>
  </si>
  <si>
    <t>ARCEIZ,NOELIA</t>
  </si>
  <si>
    <t>JULIAN,Gimena</t>
  </si>
  <si>
    <t>SUAREZ, LAURA VERONICA</t>
  </si>
  <si>
    <t>GAIDO, SILVIA EDITH</t>
  </si>
  <si>
    <t>PAEZ, ANDREA VERONICA</t>
  </si>
  <si>
    <t>DEZA, GABRIELA</t>
  </si>
  <si>
    <t>CABRERA, TERESA</t>
  </si>
  <si>
    <t>GONZALEZ, MABEL</t>
  </si>
  <si>
    <t>VARGAS,Myriam</t>
  </si>
  <si>
    <t>FERRANTE, MARIELA BARBARA</t>
  </si>
  <si>
    <t>AZALOT, BELEN (alumna)</t>
  </si>
  <si>
    <t>ESQUIVEL,Ines Solange (alumna)</t>
  </si>
  <si>
    <t>RODRIGUEZ, SOLEDAD</t>
  </si>
  <si>
    <t>RIVERO, LORENA (ALUMNA)</t>
  </si>
  <si>
    <t>CARLETTI, MARIELA ANDREA (ESTUDIANTE)</t>
  </si>
  <si>
    <t>AGUILAR,MICAELA (ALUMNA)</t>
  </si>
  <si>
    <t>VARGAS, VERONICA FABIOLA (ALUMNA)</t>
  </si>
  <si>
    <t>BALDINI, VICTORIA (ALUMNA)</t>
  </si>
  <si>
    <t>ARENAS, VERONICA (alumna)</t>
  </si>
  <si>
    <t>CACERES, CARLA GIMENA</t>
  </si>
  <si>
    <t>VILLEGAS GLADYS</t>
  </si>
  <si>
    <t>CABRERA, MAYRA( ALUMNA)</t>
  </si>
  <si>
    <t>DALMAZZO,Adriana</t>
  </si>
  <si>
    <t>Dominguez, Jimena (alumna)</t>
  </si>
  <si>
    <t>RODRIGUEZ,Beatriz ana</t>
  </si>
  <si>
    <t>FERNANDEZ,Maria Viviana</t>
  </si>
  <si>
    <t>CACERES , EDITH</t>
  </si>
  <si>
    <t>DE LA LAMA,MARIA SOLEDAD</t>
  </si>
  <si>
    <t>CAROLINI, CLAUDIA ANDREA</t>
  </si>
  <si>
    <t>MARTINEZ, ALICIA NOEMI</t>
  </si>
  <si>
    <t>SOTO,Claudia noemi</t>
  </si>
  <si>
    <t>AGUERO, PATRICIA CLAUDIA</t>
  </si>
  <si>
    <t>ARELLIANO,MAGALI</t>
  </si>
  <si>
    <t>BRITEZ,Brenda Johanna</t>
  </si>
  <si>
    <t>BOLSI,Vanina</t>
  </si>
  <si>
    <t>VILLALBA, DEBORA PAULA (ALUMNA)</t>
  </si>
  <si>
    <t>BURSIK,Norma</t>
  </si>
  <si>
    <t>Cabrera,Romina Elizabeth</t>
  </si>
  <si>
    <t>BENTANCOURT,SARA SOLEDAD</t>
  </si>
  <si>
    <t>MENSI,ANA</t>
  </si>
  <si>
    <t>BRITOS DEL VALLE, DALMI</t>
  </si>
  <si>
    <t>ADAD, NADIA (ALUMNA)</t>
  </si>
  <si>
    <t>AGNOLETTO, ANABELLA NATALIA</t>
  </si>
  <si>
    <t>ESCALANTE,LELIA</t>
  </si>
  <si>
    <t>MENDOZA,Griselda Dora</t>
  </si>
  <si>
    <t>CORONEL,VERONICA SILVANA</t>
  </si>
  <si>
    <t>SORIA, AYLEN CAMILA (ALUMNA)</t>
  </si>
  <si>
    <t>MARQUEZ, MAYRA (alumna)</t>
  </si>
  <si>
    <t>STRAGIA,Cintia Romina</t>
  </si>
  <si>
    <t>Ramirez Orue , Fabiana Beatriz</t>
  </si>
  <si>
    <t>SALATINO, ROMINA</t>
  </si>
  <si>
    <t>PRADA,MARCIA EDITH</t>
  </si>
  <si>
    <t>VARGA,Maria Veronica</t>
  </si>
  <si>
    <t>AIMI,Gabriela</t>
  </si>
  <si>
    <t>LEGISAMON,Mariela</t>
  </si>
  <si>
    <t>GOMEZ,Griselda graciela</t>
  </si>
  <si>
    <t>LOPEZ, EVELYN AYELEN (ESTUDIANTE)</t>
  </si>
  <si>
    <t>AGOSTINI, SILVIA (ALUMNA)</t>
  </si>
  <si>
    <t>ALEGRE, MICAELA (ALUMNA)</t>
  </si>
  <si>
    <t>GRIMALT,Isabel Raquel</t>
  </si>
  <si>
    <t>SANTACRUZ, LARISA GIMENA</t>
  </si>
  <si>
    <t>MONTIEL,Ana Laura</t>
  </si>
  <si>
    <t>VIEGAS, LORENA (ALUMNA)</t>
  </si>
  <si>
    <t>GONGORA,Alicia</t>
  </si>
  <si>
    <t>VIVEROS, Nelida Maciel</t>
  </si>
  <si>
    <t>VICENTE, ANDREA</t>
  </si>
  <si>
    <t>ANDREALLO, ANA ALICIA (ALUMNA)</t>
  </si>
  <si>
    <t>SOSA,FLORENCIA</t>
  </si>
  <si>
    <t>DAMICO, MARIA EUGENIA</t>
  </si>
  <si>
    <t>PINO, ROMINA (ALUMNA)</t>
  </si>
  <si>
    <t>FARIAS,SANDRA</t>
  </si>
  <si>
    <t>AGUIRRE, ARGENTINA BEATRIZ</t>
  </si>
  <si>
    <t>MICHEL, SILVIA</t>
  </si>
  <si>
    <t>LOPEZ,Sandra</t>
  </si>
  <si>
    <t>BRITES, DOLORES (alumna)</t>
  </si>
  <si>
    <t>AGUIAR, MARISA</t>
  </si>
  <si>
    <t>VOLPI, VALERIA</t>
  </si>
  <si>
    <t>FABRIS,MARIA CANDELA</t>
  </si>
  <si>
    <t>MARTINEZ,ROMINA MARIANA</t>
  </si>
  <si>
    <t>DI LUCA, MARIA YOLANDA</t>
  </si>
  <si>
    <t>PEREZ, ADRIANA MYRIAM</t>
  </si>
  <si>
    <t>FALCONE, CECILIA (estudiante)</t>
  </si>
  <si>
    <t>TABORDA,CAROLINA (ALUMNA)</t>
  </si>
  <si>
    <t>BASUALDO, PRISCILA MELANIE  (ESTUDIANTE)</t>
  </si>
  <si>
    <t>EURO BOLUMBURU, MARIA FERNANDA</t>
  </si>
  <si>
    <t>GOMEZ,Amalia Beatriz</t>
  </si>
  <si>
    <t>GENOUD,Cristina</t>
  </si>
  <si>
    <t>PELOSI, MARIA GABRIELA</t>
  </si>
  <si>
    <t>BALMACEDA,NATALIA LORENA</t>
  </si>
  <si>
    <t>VONDER HEIDE, MARIBEL ROSANA (ALUMNA)</t>
  </si>
  <si>
    <t>PONTE, IRMA</t>
  </si>
  <si>
    <t>ALONSO , LIDIA ELENA</t>
  </si>
  <si>
    <t>ROSSI, YANINA(alumna)</t>
  </si>
  <si>
    <t>LOPEZ, CHIARA SOFIA (ALUMNA)</t>
  </si>
  <si>
    <t>PERUGINI, MARIA FLORENCIA (ALUMNA)</t>
  </si>
  <si>
    <t>BALDEZ,Lucia Enriqueta (ALUMNA)</t>
  </si>
  <si>
    <t>ACOSTA , MARIA LAURA</t>
  </si>
  <si>
    <t>MARTINEZ , SILVIA BEATRIZ</t>
  </si>
  <si>
    <t>MONTENEGRO,LEONOR</t>
  </si>
  <si>
    <t>DA PIEVE, DANIELA (ALUMNA)</t>
  </si>
  <si>
    <t>LOUREIRO GUERRERO, NADIA BELEN (ALUMNA)</t>
  </si>
  <si>
    <t>DE ANGELIS, AYELEN GIULIANA (alumna)</t>
  </si>
  <si>
    <t>GRABORICKI,Patricia</t>
  </si>
  <si>
    <t>PILE, LUCERO MARIELA</t>
  </si>
  <si>
    <t>ESCOBAR, JESSICA GISELE (ALUMNA)</t>
  </si>
  <si>
    <t>MARTINEZ, RITA</t>
  </si>
  <si>
    <t>RAFFANELLI,Mirta</t>
  </si>
  <si>
    <t>DI GIOVINE,MARISA</t>
  </si>
  <si>
    <t>DEAMBROGIO,Norma Helga</t>
  </si>
  <si>
    <t>PERALTA, LILIAN CELESTE (ALUMNA)</t>
  </si>
  <si>
    <t>CAMPANA,Monica</t>
  </si>
  <si>
    <t>TOBIAS,KARINA VIVIANA</t>
  </si>
  <si>
    <t>GRADE, CARLA</t>
  </si>
  <si>
    <t>PEREZ,  MIRIAM</t>
  </si>
  <si>
    <t>TUNDIS , AIDA</t>
  </si>
  <si>
    <t>PERALTA,Maria Sandra</t>
  </si>
  <si>
    <t>FLORES, LISANDRA</t>
  </si>
  <si>
    <t>KESSLER, MARIA LORENA</t>
  </si>
  <si>
    <t>JIMENEZ, MARIANNY</t>
  </si>
  <si>
    <t>SANCHEZ,Marcela</t>
  </si>
  <si>
    <t>CAMPO, CECILIA (ALUMNA)</t>
  </si>
  <si>
    <t>RUIZ DIAZ, SILVANA</t>
  </si>
  <si>
    <t>DIAZ,Natalia Elena</t>
  </si>
  <si>
    <t>MENDEZ BELLA, MARIA DOLORES</t>
  </si>
  <si>
    <t>ALVAREZ,NATALIA</t>
  </si>
  <si>
    <t>HABERKORN, ROMINA VERONICA</t>
  </si>
  <si>
    <t>OLIVA, ROMINA (ESTUDIANTE)</t>
  </si>
  <si>
    <t>VILLALBA, LOANA CINTIA</t>
  </si>
  <si>
    <t>CABANA,MARISOL</t>
  </si>
  <si>
    <t>MAMAN , MAIA</t>
  </si>
  <si>
    <t>MORALES,Nancy</t>
  </si>
  <si>
    <t>MUÑOZ, ROCIO</t>
  </si>
  <si>
    <t>MUÑOZ,Carolina</t>
  </si>
  <si>
    <t>CAÑOS,Olga Beatriz</t>
  </si>
  <si>
    <t>NUÑOZ,Maria Julieta</t>
  </si>
  <si>
    <t>NUÑOZ, ANDREA</t>
  </si>
  <si>
    <t>LANDMARK</t>
  </si>
  <si>
    <t>SEBASTIAN GERCOVICH Y PABLO PONCE</t>
  </si>
  <si>
    <t>INDUSTRIAS PLASTICOS SALTA S.R.L.</t>
  </si>
  <si>
    <t>OCAÑO ENRIQUE</t>
  </si>
  <si>
    <t>CODAC SRL</t>
  </si>
  <si>
    <t>VABAR LIN SRL</t>
  </si>
  <si>
    <t>DIA ARGENTINA S A</t>
  </si>
  <si>
    <t>TECNIMAR S R L</t>
  </si>
  <si>
    <t>TRESEX S R L</t>
  </si>
  <si>
    <t>AUTOPISTAS DE BUENOS AIRES (AUBASA) SA</t>
  </si>
  <si>
    <t>MIJORMI SOCIEDAD DE RESPONSABILIDAD LIMITADA</t>
  </si>
  <si>
    <t>DHACAM S R L</t>
  </si>
  <si>
    <t>MONTORRO DOMINGO</t>
  </si>
  <si>
    <t>FRAVEGA S A C I E I</t>
  </si>
  <si>
    <t>GRUPO CONCESIONARIO DEL OESTE SA</t>
  </si>
  <si>
    <t>AROMATICA S.A.</t>
  </si>
  <si>
    <t>AUTOPISTAS URBANAS S A</t>
  </si>
  <si>
    <t>TELEFONICA DE ARGENTINA SA</t>
  </si>
  <si>
    <t>CORREO OFICIAL DE LA REPUBLICA ARGENTINA SOCIEDAD ANONIMA</t>
  </si>
  <si>
    <t>COTO CENTRO INTEGRAL DE COMERCIALIZACION SOCIEDAD ANONIMA</t>
  </si>
  <si>
    <t>AUTOPISTAS DEL SOL S A</t>
  </si>
  <si>
    <t>INFOSOL BUENOS AIRES S.R.L.</t>
  </si>
  <si>
    <t>NICOLOSI AUGUSTO ALEJANDRO</t>
  </si>
  <si>
    <t>D M H S A</t>
  </si>
  <si>
    <t>NUAGE SYSTEMS S.A.</t>
  </si>
  <si>
    <t>REPETTO MARIA FERNANDA</t>
  </si>
  <si>
    <t>BATTELLINI MARIA SOLEDAD</t>
  </si>
  <si>
    <t>IAMBAR S.R.L</t>
  </si>
  <si>
    <t>ABRALDES DIEGO ROBERTO</t>
  </si>
  <si>
    <t>VIGABRIEL JONATAN ARTURO</t>
  </si>
  <si>
    <t>MIZRAHI JULIAN FEDERICO</t>
  </si>
  <si>
    <t>NACACH SION ANDRES</t>
  </si>
  <si>
    <t>NOVACHEM S R L</t>
  </si>
  <si>
    <t>GRAFICA Y FOTOGRABADOS LA PLAZA S.R.L.</t>
  </si>
  <si>
    <t>LUPONE ALBANO SEBASTIAN</t>
  </si>
  <si>
    <t>AUTOGEN S.A.</t>
  </si>
  <si>
    <t>PROYECTO ELECTRICO S.R.L</t>
  </si>
  <si>
    <t>EL INSUMO S.R.L.</t>
  </si>
  <si>
    <t>CARNICA DEL NORTE S.R.L.</t>
  </si>
  <si>
    <t>MEGAENVASES SA</t>
  </si>
  <si>
    <t>EL CACIQUE LIMPIEZA SRL</t>
  </si>
  <si>
    <t>SASSON ALBERTO,SASSON MAURICIO ENRIQUE, SASSON EMILIA NADIA</t>
  </si>
  <si>
    <t>OPERADORA DE ESTACIONES DE SERVICIOS SA</t>
  </si>
  <si>
    <t>TELECOM ARGENTINA SOCIEDAD ANONIMA</t>
  </si>
  <si>
    <t>SPEED BUSINESS S. A.</t>
  </si>
  <si>
    <t>VACCARI DARIO</t>
  </si>
  <si>
    <t>PARADISO ESTEBAN DAMIAN</t>
  </si>
  <si>
    <t>COORDINACION ECOLOGICA AREA METROPOLITANA SOCIEDAD DEL ESTADO</t>
  </si>
  <si>
    <t>ARBIT MARIA FLOR</t>
  </si>
  <si>
    <t>CORREDORES VIALES SOCIEDAD ANONIMA</t>
  </si>
  <si>
    <t>CARRERA VICTORIA</t>
  </si>
  <si>
    <t>STENFAR S.A. INDUSTRIAL COMERCIAL IMP. Y EXP.</t>
  </si>
  <si>
    <t>CAFFARATTI ROMINA PAOLA</t>
  </si>
  <si>
    <t>REUS JORGE DIEGO</t>
  </si>
  <si>
    <t>FONTENLA ERNESTO MARIO</t>
  </si>
  <si>
    <t xml:space="preserve">GATUVIA </t>
  </si>
  <si>
    <t>IMPIERI PIÑEIRO RIZZO Y ASOC SA</t>
  </si>
  <si>
    <t xml:space="preserve">SHELL ALBERDI </t>
  </si>
  <si>
    <t>EL CURVON SRL</t>
  </si>
  <si>
    <t>SORAIRE MIGUEL ALBERTO</t>
  </si>
  <si>
    <t>TOPPER UNICENTER</t>
  </si>
  <si>
    <t>PARQUE DISTRI SRL</t>
  </si>
  <si>
    <t>SHOP FERRETERO</t>
  </si>
  <si>
    <t xml:space="preserve">ENCENDIDO INDEPENDENCIA </t>
  </si>
  <si>
    <t>BARCELONAMOTOS</t>
  </si>
  <si>
    <t xml:space="preserve">LABORATORIOS BIOMIC SRL </t>
  </si>
  <si>
    <t>VENTAS ONLINE QUILMES S.R.L.</t>
  </si>
  <si>
    <t>MARPOLO SA</t>
  </si>
  <si>
    <t>SANTILLAN LILIANA ITATI</t>
  </si>
  <si>
    <t>NEW  HIGH PACK  SA</t>
  </si>
  <si>
    <t>LECHUGA JULIO CESAR</t>
  </si>
  <si>
    <t>GANADERA EL 13 S.R.L</t>
  </si>
  <si>
    <t>GC COMERCIAL S.R.L.</t>
  </si>
  <si>
    <t>ENGYMAN SRL</t>
  </si>
  <si>
    <t>MALACASA LUIS DAMIAN</t>
  </si>
  <si>
    <t>JUST SOLUTION S.A.</t>
  </si>
  <si>
    <t>CLEAN LAB SRL</t>
  </si>
  <si>
    <t>BKL S.A.</t>
  </si>
  <si>
    <t>DESPEGAR COM AR SA</t>
  </si>
  <si>
    <t>QUETZAL QUIMICA S R L</t>
  </si>
  <si>
    <t>PICALI IMPORT S.R.L.</t>
  </si>
  <si>
    <t>GMRA S. A.</t>
  </si>
  <si>
    <t>FLORES HUAYRA MICHAEL MARTIN</t>
  </si>
  <si>
    <t>IONIC S SOCIEDAD ANONIMA</t>
  </si>
  <si>
    <t>LIBERTAD S A</t>
  </si>
  <si>
    <t>LOPEZ JUSTO EZEQUIEL</t>
  </si>
  <si>
    <t>BOTINDARI JUAN CARLOS</t>
  </si>
  <si>
    <t>RAMOS PATRICIO SEBASTIAN</t>
  </si>
  <si>
    <t>TOLEDO ELIANA ALEJANDRA</t>
  </si>
  <si>
    <t>KOHEN ILUMINACION S.A.</t>
  </si>
  <si>
    <t>INC  SOCIEDAD ANONIMA</t>
  </si>
  <si>
    <t>ROSSO JOSE OMAR</t>
  </si>
  <si>
    <t>esta en afip</t>
  </si>
  <si>
    <t>Margot Brand SRL</t>
  </si>
  <si>
    <t>ROTECH S.R.L</t>
  </si>
  <si>
    <t>MC LEAN ROBERTO </t>
  </si>
  <si>
    <t>RUA DIEGO ADRIAN</t>
  </si>
  <si>
    <t>EXPRESO SANTA ROSA S A </t>
  </si>
  <si>
    <t>VTV SUD S.A.</t>
  </si>
  <si>
    <t>JABONES Y FRAGANCIAS S.A</t>
  </si>
  <si>
    <t>CANADEZ S.R.L.</t>
  </si>
  <si>
    <t>CARRERO DANIELA SOLANGE </t>
  </si>
  <si>
    <t>RIENZI CLAUDIA LILIANA </t>
  </si>
  <si>
    <t>Amelia Claudia Djelil</t>
  </si>
  <si>
    <t>FLEYTAS MONICA LILIANA</t>
  </si>
  <si>
    <t>QUANTUM KOSMETICA S.R.L.</t>
  </si>
  <si>
    <t>RUEDAS LIBERAL S R L </t>
  </si>
  <si>
    <t>ILONA AYOUB S.A.S. </t>
  </si>
  <si>
    <t>Tortorello, Gustavo Sergio Y Pasini Santiago </t>
  </si>
  <si>
    <t>IPMAG S.A. </t>
  </si>
  <si>
    <t>Damia Omar Pablo Alejandro </t>
  </si>
  <si>
    <t>Alvarez Luisa Silvana</t>
  </si>
  <si>
    <t>ALEVATTO STELLA MARIS </t>
  </si>
  <si>
    <t>Silvio Jorge Giostra</t>
  </si>
  <si>
    <t>VELASCO ALBERTO </t>
  </si>
  <si>
    <t>Maria Celeste Fernandez</t>
  </si>
  <si>
    <t>GABRIEL GONZALEZ SAGASETA</t>
  </si>
  <si>
    <t>VENDRAMINI PABLO HUGO</t>
  </si>
  <si>
    <t>ROLDAN MARIA CLAUDIA</t>
  </si>
  <si>
    <t>SINGER KARINA</t>
  </si>
  <si>
    <t>CALICCHIO MARIA ANDREA</t>
  </si>
  <si>
    <t>SOSA MARIA TERESA</t>
  </si>
  <si>
    <t>SEGURA HARO OMAR Y JARA FERNANDEZ MIRYAM S.H.</t>
  </si>
  <si>
    <t>GRIGUOLI RICARDO  ENRIQUE</t>
  </si>
  <si>
    <t>KNOWLEDGE OF SERVICES S.R.L.</t>
  </si>
  <si>
    <t>ROMAN GABINO</t>
  </si>
  <si>
    <t>RAMOS CLAUDIA JAQUELINA</t>
  </si>
  <si>
    <t>MARIN MARIA SOL</t>
  </si>
  <si>
    <t>SANTORELLI CARLA</t>
  </si>
  <si>
    <t>BIANCHINI LUCIANO</t>
  </si>
  <si>
    <t>KINE ESTETIC SRL</t>
  </si>
  <si>
    <t>GALAN ANABEL ISABEL</t>
  </si>
  <si>
    <t>RAJOY AGUSTINA</t>
  </si>
  <si>
    <t>NUEVO PLAZA HOTEL MENDOZA S.A.</t>
  </si>
  <si>
    <t>DELGADO ORTIZ SILVIA ALEJANDRA</t>
  </si>
  <si>
    <t>PONTIGGIA CANDELARIA</t>
  </si>
  <si>
    <t>KOTISHEVSKY SERGEI</t>
  </si>
  <si>
    <t>LORENZO PIÑEIRO MARIA BELEN</t>
  </si>
  <si>
    <t>ZALEWSKI MONICA ROXANA</t>
  </si>
  <si>
    <t>GOLDENBERG FERNANDO DANIEL</t>
  </si>
  <si>
    <t>GARRIDO JULIO CESAR</t>
  </si>
  <si>
    <t>THE BEAUTY PLACE S.A.S.</t>
  </si>
  <si>
    <t>MRF LOGISTICA Y SERVICIOS S.R.L.</t>
  </si>
  <si>
    <t>CENTRO DE EMPLEADOS DE COMERCIO ZONA NORTE</t>
  </si>
  <si>
    <t>SERAFINI OMAR JAVIER</t>
  </si>
  <si>
    <t>FUENTES ELENA ELISABET</t>
  </si>
  <si>
    <t>ALVEAR PALACE HOTEL SA I</t>
  </si>
  <si>
    <t>BESSONE ADRIANA</t>
  </si>
  <si>
    <t>DERMOESTETIC SAS</t>
  </si>
  <si>
    <t>MORALLI ISABEL,MORALLI RENEE, CHIESA LUIS HERNAN Y INGE SOMMER</t>
  </si>
  <si>
    <t>GENERATICA S.A.</t>
  </si>
  <si>
    <t>ASOCIACION DE EMPLEADOS FISCALES E INGRESOS PUBLICOS (A.E.F.I.P.)</t>
  </si>
  <si>
    <t>ERREA FRANCISCO GABRIEL</t>
  </si>
  <si>
    <t>MEDICINA Y ARTE S.R.L.</t>
  </si>
  <si>
    <t>LAURIA JUAN MANUEL</t>
  </si>
  <si>
    <t>LO DUCA STELLA MARIS RAMONA</t>
  </si>
  <si>
    <t>PHARMAPROJECTS SA</t>
  </si>
  <si>
    <t>GONZALEZ VILAS DANIEL</t>
  </si>
  <si>
    <t>BAIRES COMPANY</t>
  </si>
  <si>
    <t>CENCOSUD S.A</t>
  </si>
  <si>
    <t>IZZO MARCELA EMMA</t>
  </si>
  <si>
    <t>SCALISE LEANDRO ALBERTO Y SCALISE PABLO HERNAN SH</t>
  </si>
  <si>
    <t>VALDEZ PEDRO ALBERTO</t>
  </si>
  <si>
    <t>MARBLAS S R L</t>
  </si>
  <si>
    <t>BEST PHONE S R L</t>
  </si>
  <si>
    <t>DANA JOSE LUIS</t>
  </si>
  <si>
    <t>CHAVERIM SA</t>
  </si>
  <si>
    <t>ARIAS ANGEL ALBERTO</t>
  </si>
  <si>
    <t>EMPRENDIMIENTOS SATELITALES SA</t>
  </si>
  <si>
    <t>SEVENTEEN SOCIEDAD DE RESPONSABILIDAD LIMITADA</t>
  </si>
  <si>
    <t>MAYOLAS S.R.L.</t>
  </si>
  <si>
    <t>TELGOPOR ARGENTINA SA</t>
  </si>
  <si>
    <t>BAUKLA PORCELLANATOS SA</t>
  </si>
  <si>
    <t>ZUCCALA ANGEL ROBERTO</t>
  </si>
  <si>
    <t>IACONIS SERGIO OMAR</t>
  </si>
  <si>
    <t>DUFF SRL</t>
  </si>
  <si>
    <t>MULTICAJAS S A</t>
  </si>
  <si>
    <t>EGEO SOCIEDAD DE RESPONSABILIDAD LIMITADA</t>
  </si>
  <si>
    <t>COPIADO FULL S.R.L</t>
  </si>
  <si>
    <t>NICEFORO RODRIGUEZ NICOLAS EUGENIO</t>
  </si>
  <si>
    <t>REPUESTOS ARMANDO DE DUARTE Y CASTEL SAS</t>
  </si>
  <si>
    <t>MERCADO TOTAL SAS</t>
  </si>
  <si>
    <t>DISTRIBUIDORA N.G. S.A.</t>
  </si>
  <si>
    <t>ASOCIACION ARGENTINA DE COSMETOLOGIA Y ESTETICA</t>
  </si>
  <si>
    <t>CASTILLO JUAN RAMON</t>
  </si>
  <si>
    <t>DEL GESSO FRANCO JESUS</t>
  </si>
  <si>
    <t>GROOVAS SRL</t>
  </si>
  <si>
    <t>LA QUINTA ESTACION SRL</t>
  </si>
  <si>
    <t>PINTURERIAS LIBERATO SRL</t>
  </si>
  <si>
    <t>LAFECOM SA</t>
  </si>
  <si>
    <t>LOMALI SA</t>
  </si>
  <si>
    <t>DEL TRABAJO SA</t>
  </si>
  <si>
    <t>UDANOR SRL</t>
  </si>
  <si>
    <t>BUENOS AIRES COMERCIAL Y DIGITAL SRL</t>
  </si>
  <si>
    <t>ELECYTICIDAD ESCOBAR SRL</t>
  </si>
  <si>
    <t>ROMANO PASCUAL ANTONIO</t>
  </si>
  <si>
    <t>GLOBAL AESTHETICS PRODUCTS AND SERVICES SRL</t>
  </si>
  <si>
    <t>EXPRESS ATLANTICA S.R.L</t>
  </si>
  <si>
    <t>BIDCOM SRL</t>
  </si>
  <si>
    <t>OPERADORA SAN JUAN S.A.</t>
  </si>
  <si>
    <t>DTECH S.A.</t>
  </si>
  <si>
    <t>FARMATRADE S R L</t>
  </si>
  <si>
    <t>IGLESIAS ANDRADA CLAUDIA VERONICA</t>
  </si>
  <si>
    <t>LOS TRILLIZOS PERAZOLI S.R.L.</t>
  </si>
  <si>
    <t>DE LA TORRE ZARAGOZA JUAN EDMUNDO</t>
  </si>
  <si>
    <t>MAT. ESCO SA</t>
  </si>
  <si>
    <t>DAGHER S A</t>
  </si>
  <si>
    <t>UNTECO S.A.I.C. E I.</t>
  </si>
  <si>
    <t>QUANTUM QUIMICA S.R.L.</t>
  </si>
  <si>
    <t>EVER SAFE S.R.L.</t>
  </si>
  <si>
    <t>IDZONE SRL</t>
  </si>
  <si>
    <t>VTEC SRL</t>
  </si>
  <si>
    <t>VTV CABA SOCIEDAD ANONIMA</t>
  </si>
  <si>
    <t>RIFENHOLZ MARCELA ROXANA</t>
  </si>
  <si>
    <t>ESPIÑA MATIAS FEDERICO</t>
  </si>
  <si>
    <t>SUTURA S.R.L.</t>
  </si>
  <si>
    <t>POLYTECH S A</t>
  </si>
  <si>
    <t>TANG GUIYUN</t>
  </si>
  <si>
    <t>XIE HONGWU</t>
  </si>
  <si>
    <t>SOSA ALVAREZ SONIA JOSEFINA</t>
  </si>
  <si>
    <t>CHARATA SRL</t>
  </si>
  <si>
    <t>Combustible</t>
  </si>
  <si>
    <t>ORGANIZACION DELASOIE HERMANOS S A</t>
  </si>
  <si>
    <t>Convencion</t>
  </si>
  <si>
    <t>CAMARA DE GRABADORES DE AUTOPARTES DE VEHICULOS AUTOMOTORES Y MOTOVEHICULOS</t>
  </si>
  <si>
    <t>Gastos Vehiculo</t>
  </si>
  <si>
    <t>ALGETEC SRL</t>
  </si>
  <si>
    <t>DURCASTI SA</t>
  </si>
  <si>
    <t>GOMEZ ROBERTO MARCELO</t>
  </si>
  <si>
    <t>VIMAR SOC EN COM SIMPLE</t>
  </si>
  <si>
    <t>APPLUS SANTA MARIA DEL BUEN AYRE SA</t>
  </si>
  <si>
    <t xml:space="preserve">                   </t>
  </si>
  <si>
    <t>DA COSTA E HIJOS S A</t>
  </si>
  <si>
    <t>OCA LOG S.A.</t>
  </si>
  <si>
    <t>GRACIA SANDRO EDUARDO</t>
  </si>
  <si>
    <t>CASA ELICEIRY S A</t>
  </si>
  <si>
    <t>BORGES NELSON MAURICIO</t>
  </si>
  <si>
    <t>BBVA - LIQUIDACION MASTERCARD</t>
  </si>
  <si>
    <t>BBVA - LIQUIDACION VISA</t>
  </si>
  <si>
    <t>BBVA - VISA TJ CREDITO</t>
  </si>
  <si>
    <t>GALICIA -  VISA TJ CREDITO</t>
  </si>
  <si>
    <t>PINTURERIAS LIBERATO S R L</t>
  </si>
  <si>
    <t>XHARD S.R.L.</t>
  </si>
  <si>
    <t>POYNT P.O.P.</t>
  </si>
  <si>
    <t>CARRERO DANIELA SOLANGE</t>
  </si>
  <si>
    <t>BUSSOLA LARA</t>
  </si>
  <si>
    <t>DOM CENTRO DE REUMATOLOGIA S.A.S.</t>
  </si>
  <si>
    <t>IRSA - GALERIAS PACIFICO S.A. UT</t>
  </si>
  <si>
    <t>TRABAJO SANO S.R.L.</t>
  </si>
  <si>
    <t>BELLA PIAZZA SRL</t>
  </si>
  <si>
    <t>PERASSOLO MONICA BEATRIZ</t>
  </si>
  <si>
    <t>FERNANDEZ LORENA DEL VALLE</t>
  </si>
  <si>
    <t>FALCON MEIS RAMON</t>
  </si>
  <si>
    <t>PATIÑO OSVALDO JOSE</t>
  </si>
  <si>
    <t>RUEDAS LIBERAL S R L</t>
  </si>
  <si>
    <t>CASADIO AGOSTINA</t>
  </si>
  <si>
    <t>ARIEZ S.A.S.</t>
  </si>
  <si>
    <t>MILEO VICENTE SAMUEL</t>
  </si>
  <si>
    <t>MADERO HAIR S.R.L.</t>
  </si>
  <si>
    <t>ECHENIQUE VANINA ANABELLA</t>
  </si>
  <si>
    <t>RACING BROWN S. R. L</t>
  </si>
  <si>
    <t>BLESSA S. R. L.</t>
  </si>
  <si>
    <t>CYN BELLEZA CON ESTILO S.A.</t>
  </si>
  <si>
    <t>CENTURION MARIA ISABEL</t>
  </si>
  <si>
    <t>ILONA AYOUB S.A.S.</t>
  </si>
  <si>
    <t>KAIZEM S.R.L.</t>
  </si>
  <si>
    <t>CANADEZ SRL</t>
  </si>
  <si>
    <t>PERDOMO CASTAGNINO ANA LARISA</t>
  </si>
  <si>
    <t>GARAVELLO</t>
  </si>
  <si>
    <t>MAJDEK VERONICA CAROLINA</t>
  </si>
  <si>
    <t>TORTORELLO, GUSTAVO SERGIO  Y PASINI SANTIAGO SEBASTIAN S.H</t>
  </si>
  <si>
    <t>ENTRE AIRES S.A.</t>
  </si>
  <si>
    <t>VELASCO ALBERTO</t>
  </si>
  <si>
    <t>CORNERO SILVIA DEL VALLE</t>
  </si>
  <si>
    <t>GONZALEZ BIANCHI MARIA GABRIELA</t>
  </si>
  <si>
    <t>RODRIGUEZ YESSICA BELEN</t>
  </si>
  <si>
    <t>GALLARDO ANA LORENA</t>
  </si>
  <si>
    <t>OJEDA ELSA MARINA</t>
  </si>
  <si>
    <t>BACCI PERLA CRISTINA</t>
  </si>
  <si>
    <t>RONCORONI DANIELA VERONICA</t>
  </si>
  <si>
    <t>DIAZ NATALIA</t>
  </si>
  <si>
    <t>COPELLO VIVIANA MARIA GABRIELA</t>
  </si>
  <si>
    <t>LOAIZA LOAYZA GRACIELA ELIZABETH</t>
  </si>
  <si>
    <t>BOTTERO GRACIELA BEATRIZ</t>
  </si>
  <si>
    <t>ROBLES DOLORES DEL CARMEN</t>
  </si>
  <si>
    <t>GOBIERNO DE LA CIUDAD DE BUENOS AIRES</t>
  </si>
  <si>
    <t>QUEZADA PINEDA KAREN STEPHANY</t>
  </si>
  <si>
    <t>AVILA ADELAIDA CRISTINA</t>
  </si>
  <si>
    <t>TORRES EVANGELINA SOFIA</t>
  </si>
  <si>
    <t>CORNEJO MARGARITA ELIZABETH</t>
  </si>
  <si>
    <t>FARBER HERMAN</t>
  </si>
  <si>
    <t>GARBARSKY JAIME GERARDO</t>
  </si>
  <si>
    <t>+Q NATURAL S.A.</t>
  </si>
  <si>
    <t>BOLSAFILM S.A.</t>
  </si>
  <si>
    <t>LEADER ELECTRONIC S A</t>
  </si>
  <si>
    <t>ECOEXIST S.R.L.</t>
  </si>
  <si>
    <t>DUARTE JEAN FRANCO</t>
  </si>
  <si>
    <t>MALI Y CIA SA</t>
  </si>
  <si>
    <t>POSNET SOCIEDAD DE RESPONSABILIDAD LIMITADA</t>
  </si>
  <si>
    <t>A M PESCIO SOC EN COM POR ACC</t>
  </si>
  <si>
    <t>RANKO S R L</t>
  </si>
  <si>
    <t>R A DURAN Y ASOC SRL</t>
  </si>
  <si>
    <t>DALTOSUR S.R.L.</t>
  </si>
  <si>
    <t>CENTRAL ALCORTA S.A</t>
  </si>
  <si>
    <t>MAGEL S A</t>
  </si>
  <si>
    <t>DABRA SOCIEDAD ANONIMA</t>
  </si>
  <si>
    <t>SCALZO OSVALDO NESTOR</t>
  </si>
  <si>
    <t>BRUAYAFA S.A.</t>
  </si>
  <si>
    <t>GONZALEZ ALBERTO DANIEL</t>
  </si>
  <si>
    <t>BI-ORIENT S.A.</t>
  </si>
  <si>
    <t>NAGEL DANIEL ALEJANDRO</t>
  </si>
  <si>
    <t>LOMBARDI LAURA CECILIA</t>
  </si>
  <si>
    <t>VILLARUEL OSCAR EDUARDO</t>
  </si>
  <si>
    <t>ARBIT MARIA SOL</t>
  </si>
  <si>
    <t>ASOCIACION CIVIL DE ESTETICA, PELUQUERIA Y MAQUILLAJE ACEPYM</t>
  </si>
  <si>
    <t>ORTIZ MENDEZ LUZ MARINA</t>
  </si>
  <si>
    <t>JADDE SOCIEDAD DE RESPONSABILIDAD LIMITADA</t>
  </si>
  <si>
    <t>SILVA VANINA PAOLA</t>
  </si>
  <si>
    <t>ESTETICA NORTE S.A.</t>
  </si>
  <si>
    <t>ALVAREZ LUISA SILVANA</t>
  </si>
  <si>
    <t>JABONES Y FRAGANCIAS S.A.</t>
  </si>
  <si>
    <t>EYHERAMONHO DIEGO CESAR</t>
  </si>
  <si>
    <t>TRAFUL SRL</t>
  </si>
  <si>
    <t>BOLAÑEZ MARILINA</t>
  </si>
  <si>
    <t>VAZQUEZ LORENA VERONICA</t>
  </si>
  <si>
    <t>CUSSATTI MARCIA</t>
  </si>
  <si>
    <t>FERNANDEZ MARIA CELESTE</t>
  </si>
  <si>
    <t>MELELLA ERNESTO LUIS EDUARDO</t>
  </si>
  <si>
    <t>SEMEBA-SERVICIOS DE EMERGENCIAS MEDICAS BUENOS AIRES S.R.L.</t>
  </si>
  <si>
    <t>CABRAL MICAELA GIULIANA</t>
  </si>
  <si>
    <t>LARRA|AGA SILVINA ADRIANA</t>
  </si>
  <si>
    <t>AVILA NORMA ALICIA</t>
  </si>
  <si>
    <t>PONCE LETICIA EDITH</t>
  </si>
  <si>
    <t>ROMERO VILMA ANDREA</t>
  </si>
  <si>
    <t>BRENELLI ANDREA ELIZABETH</t>
  </si>
  <si>
    <t>SOSA KARINA ERICA</t>
  </si>
  <si>
    <t>PEREYRO CLAUDIA ALEJANDRA</t>
  </si>
  <si>
    <t>ROJAS JORGE DANIEL</t>
  </si>
  <si>
    <t>PERINI MARCELA LILIANA</t>
  </si>
  <si>
    <t>SAPIA PATRICIA GLADYS</t>
  </si>
  <si>
    <t>LANUQUE MARIELA</t>
  </si>
  <si>
    <t>MARTINS PABLO ANDRES</t>
  </si>
  <si>
    <t>ROMAN BLANCA NOEMI</t>
  </si>
  <si>
    <t>FERNANDEZ GODOY SUSANA BEATRIZ</t>
  </si>
  <si>
    <t>BORDON MARILINA ELIZABETH</t>
  </si>
  <si>
    <t>ABIUSO NOELIA SUSANA</t>
  </si>
  <si>
    <t>FUKUDA SEKI ROMINA ERINA</t>
  </si>
  <si>
    <t>ROSSO MARCELA MYRIAM</t>
  </si>
  <si>
    <t>UMERES CANDELA</t>
  </si>
  <si>
    <t>TARICCO MONICA GUADALUPE</t>
  </si>
  <si>
    <t>LOPEZ MIRTHA MABEL</t>
  </si>
  <si>
    <t>GIORDANO GLADYS BEATRIZ</t>
  </si>
  <si>
    <t>MALAGUEÑO NORMA PATRICIA</t>
  </si>
  <si>
    <t>RIOS ANA LAURA</t>
  </si>
  <si>
    <t>FERNANDEZ DANIELA NATALIA</t>
  </si>
  <si>
    <t>RIVERO CRISTIAN RAFAEL</t>
  </si>
  <si>
    <t>GASTALDINI LAURA PIERINA</t>
  </si>
  <si>
    <t>GILLY LIDIA MONICA CONCEPCION</t>
  </si>
  <si>
    <t>DOBROSOLSKY PATRICIA ALEJANDRA</t>
  </si>
  <si>
    <t>GARCIA GONZALEZ MARTA BEATRIZ</t>
  </si>
  <si>
    <t>BASUALDO PRISCILIA MELANIE</t>
  </si>
  <si>
    <t>PEREZ PECHE MARIBEL LILI</t>
  </si>
  <si>
    <t>DE ESTRADA MARIA DE FATIMA</t>
  </si>
  <si>
    <t>VONDER HEIDE MARIBEL ROSANA</t>
  </si>
  <si>
    <t>TUETTO VERONICA MARCELA</t>
  </si>
  <si>
    <t>SAJAMA EVANGELINA PATRICIA</t>
  </si>
  <si>
    <t>PACTTAT ROCIO CAROLINA</t>
  </si>
  <si>
    <t>DE DURANA COMPA MARIA GUADALUPE</t>
  </si>
  <si>
    <t>SILVINA ZANON</t>
  </si>
  <si>
    <t>VENTAS "E"</t>
  </si>
  <si>
    <t>168.75</t>
  </si>
  <si>
    <t>MANDOLA HERMANOS SA</t>
  </si>
  <si>
    <t>CARDARELLO BASAVILBASO FEDERICO JORGE</t>
  </si>
  <si>
    <t>CORREO ANDREANI SA</t>
  </si>
  <si>
    <t>FLETE</t>
  </si>
  <si>
    <t>B</t>
  </si>
  <si>
    <t>ESTACION RUTA 1422 SRL</t>
  </si>
  <si>
    <t>JORGE ALBERTO CASO SA</t>
  </si>
  <si>
    <t>RUSCONI GERMAN ADOLFO</t>
  </si>
  <si>
    <t>COMBEC SA</t>
  </si>
  <si>
    <t>AFIP</t>
  </si>
  <si>
    <t>30-69610606-8</t>
  </si>
  <si>
    <t>BBVA - LIQ MASTERCARD</t>
  </si>
  <si>
    <t>TRANSPORTES LA SEVILLANITA SRL</t>
  </si>
  <si>
    <t>CELEX GROUP  SRL</t>
  </si>
  <si>
    <t>COOP DE TRABAJO PAN DE VIDA LTDA</t>
  </si>
  <si>
    <t>ALVAREZ MIGUEL ANGEL</t>
  </si>
  <si>
    <t>BROKEN MOBILE S.A.S.</t>
  </si>
  <si>
    <t>MOREIRA CORONEL NESTOR NAHUEL</t>
  </si>
  <si>
    <t>CENTRAL MAYORISTA S R L</t>
  </si>
  <si>
    <t>DIAMOND SYSTEM S.A.</t>
  </si>
  <si>
    <t>JFC HACELA  FACIL SRL</t>
  </si>
  <si>
    <t>TEXEL SRL</t>
  </si>
  <si>
    <t>CORNEALENT PANAMERICANA SA</t>
  </si>
  <si>
    <t>TODOVISION S.A</t>
  </si>
  <si>
    <t>SAN ANDRES ABERTURAS SRL</t>
  </si>
  <si>
    <t>ELECTRO UNIVERSO - PLIN METAL S A</t>
  </si>
  <si>
    <t>B M WEB S.A.</t>
  </si>
  <si>
    <t>DUAITEK SRL</t>
  </si>
  <si>
    <t>CHAPAFERRO S.A.</t>
  </si>
  <si>
    <t>TABLEROS  SUDAMERICANA S.R.L.</t>
  </si>
  <si>
    <t>D WEINSTOCK S R L</t>
  </si>
  <si>
    <t>TARTARONE RUBEN OSCAR</t>
  </si>
  <si>
    <t>PARQUE AYERZA SCA</t>
  </si>
  <si>
    <t>ANGLET SRL</t>
  </si>
  <si>
    <t>D ERAMO GUSTAVO Y D ERAMO PABLO SOC DE HECHO</t>
  </si>
  <si>
    <t>GOLDIN DAIANA</t>
  </si>
  <si>
    <t>ELECTRICIDAD CABRERA SRL</t>
  </si>
  <si>
    <t>SHOPPING NET S.A.S.</t>
  </si>
  <si>
    <t>LAZZARIN LIMA MARTIN IGNACIO</t>
  </si>
  <si>
    <t>DEVENTAS S.A.</t>
  </si>
  <si>
    <t>MARZANO OSVALDO MATIAS</t>
  </si>
  <si>
    <t>SOLIS PABLO GABRIEL</t>
  </si>
  <si>
    <t>FEDERACION ARGENTINA DE COSMETOLOGOS Y ESTETICISTAS F A C E</t>
  </si>
  <si>
    <t>TIDONI SILVANA GRACIELA</t>
  </si>
  <si>
    <t>FERRARO RAFAEL AUGUSTO</t>
  </si>
  <si>
    <t>estaba con las cosas de marzo</t>
  </si>
  <si>
    <t>CONSTRUCCIONES JUMALO S A</t>
  </si>
  <si>
    <t>INSUMO</t>
  </si>
  <si>
    <t>CABA</t>
  </si>
  <si>
    <t>GASTOS VEHICULO</t>
  </si>
  <si>
    <t>MANTENIMIENTO</t>
  </si>
  <si>
    <t>BUENOS AIRES</t>
  </si>
  <si>
    <t>SILFA SA</t>
  </si>
  <si>
    <t>FAC C</t>
  </si>
  <si>
    <t xml:space="preserve">FAC B </t>
  </si>
  <si>
    <t xml:space="preserve">ARMONIE S A </t>
  </si>
  <si>
    <t>ASENSIO E HIJO Y PULLEY SOCIEDAD DE RESP</t>
  </si>
  <si>
    <t>HONORARIOS</t>
  </si>
  <si>
    <t>OTROS=</t>
  </si>
  <si>
    <t>FAC B</t>
  </si>
  <si>
    <t>Nordestnova S A</t>
  </si>
  <si>
    <t xml:space="preserve">COPY JET DE BIAFORE PABLO Y ANDRADE JAVIER  </t>
  </si>
  <si>
    <t>DEALER S. CAP I SECC IV</t>
  </si>
  <si>
    <t>ARG COLOR S.R.L.</t>
  </si>
  <si>
    <t>HERBAS ESPINOZA GABRIEL MATIAS</t>
  </si>
  <si>
    <t>HERNANDEZ Y COSTA SOC. LEY 19550 CAP I SECC IV</t>
  </si>
  <si>
    <t>FABRIQUIMICA S.A.U.</t>
  </si>
  <si>
    <t>IMPRESORA RAWSON S A C I F E I</t>
  </si>
  <si>
    <t>LEJTMAN FERNANDO ALBERTO</t>
  </si>
  <si>
    <t>LETTIERI CARLOS ADRIANO</t>
  </si>
  <si>
    <t>HENSCHEL ALEJANDRO Y VICCO LUCAS SOCIDADDE HECHO</t>
  </si>
  <si>
    <t>LUCIOLI JUAN PABLO</t>
  </si>
  <si>
    <t>MYL TRANSFORMADORES S.A</t>
  </si>
  <si>
    <t>MAGANAS SERGIO ESTEBAN</t>
  </si>
  <si>
    <t>LU YA HUI</t>
  </si>
  <si>
    <t>MIRANDA GUIDO LUCAS VALERIO</t>
  </si>
  <si>
    <t>ALONSO RODRIGO JAVIER</t>
  </si>
  <si>
    <t>REPETTO RAMIRO ANDRES</t>
  </si>
  <si>
    <t>CARLETTA MARTIN DANIEL</t>
  </si>
  <si>
    <t>TECNOTEAM S.A.S.</t>
  </si>
  <si>
    <t>OMAR ENRIQUE PICARDI Y PABLO BERNARDO   PICARDI S H</t>
  </si>
  <si>
    <t>CURTO HECTOR ANIBAL</t>
  </si>
  <si>
    <t>OCAMPO VIVIANA GRACIELA</t>
  </si>
  <si>
    <t>ELIAS YANI S.R.L.</t>
  </si>
  <si>
    <t>VEGA HUGO DANIEL</t>
  </si>
  <si>
    <t>FIDEICOMISO MAMBA</t>
  </si>
  <si>
    <t>BENTANCOUR NOELIA NOEMI</t>
  </si>
  <si>
    <t>GIMENEZ HERNAN ALEJANDRO</t>
  </si>
  <si>
    <t>EMPRENDIMIENTOS XYNCO S.R.L.</t>
  </si>
  <si>
    <t>CAMPOY MABEL ALICIA</t>
  </si>
  <si>
    <t>LATEULADE DORADO ADRIAN HUGO</t>
  </si>
  <si>
    <t>GOMEZ FERNANDO ALBERTO</t>
  </si>
  <si>
    <t>LOPEZ WALTER OSVALDO</t>
  </si>
  <si>
    <t>AZUL II SRL</t>
  </si>
  <si>
    <t>NAF GAS SA</t>
  </si>
  <si>
    <t>GNC ESCOBAR SA</t>
  </si>
  <si>
    <t>KINIEN SA</t>
  </si>
  <si>
    <t>CASTILLO PEDRO ISMAEL</t>
  </si>
  <si>
    <t>CANJALLI SILVIA ALEGRE</t>
  </si>
  <si>
    <t>SERVICIOS PROFESIONALES</t>
  </si>
  <si>
    <t>DISTRI AIRES S.R.L</t>
  </si>
  <si>
    <t>ESTABAN EN EL SOBRE PASADO</t>
  </si>
  <si>
    <t>NINFA ESTELA CORREA</t>
  </si>
  <si>
    <t>INGACOT COMERCIAL S.A.</t>
  </si>
  <si>
    <t>CHIEN SA</t>
  </si>
  <si>
    <t>MARTIN CRISTINA BEATRIZ</t>
  </si>
  <si>
    <t>BH ONLINE SRL</t>
  </si>
  <si>
    <t>TODO GAS S A</t>
  </si>
  <si>
    <t>ROJA ALEJANDRO RAUL</t>
  </si>
  <si>
    <t>BARRERA RICARDO DARIO Y HUBY GANOZA JIMMY  SOCIEDAD DE HECHO</t>
  </si>
  <si>
    <t>KADURSPORT S.R.L.</t>
  </si>
  <si>
    <t>FONTELA VAZQUEZ PABLO HERNAN</t>
  </si>
  <si>
    <t>SERRA ANDREOLI RODRIGO EMILIO</t>
  </si>
  <si>
    <t>RODAR S R L</t>
  </si>
  <si>
    <t>SENSES PLUS S.R.L.</t>
  </si>
  <si>
    <t>EXPRESO BICENTENARIO S.R.L</t>
  </si>
  <si>
    <t>CASTELLUCCI PABLO G., CASTELLUCCI CHRISTIAN M. Y CASTELLUCCI DIEGO S. S.H.</t>
  </si>
  <si>
    <t>EMELINT S.R.L.</t>
  </si>
  <si>
    <t>PINTURERIAS DEL MAESTRO S.A.</t>
  </si>
  <si>
    <t>servicios</t>
  </si>
  <si>
    <t>BH IMPORT S.R.L.</t>
  </si>
  <si>
    <t>SOLARI MARIA DE LOS ANGELES</t>
  </si>
  <si>
    <t>PUMP GEL S.R.L</t>
  </si>
  <si>
    <t>ANIMAL BROTHERS VENTA MAYORISTA Y MINORISTA DE ALIMENTOS BALANCEADOS DE SPADOTTO GABRIELA F. Y SPADO</t>
  </si>
  <si>
    <t>BAMBU SALUDABLE S.R.L.</t>
  </si>
  <si>
    <t>SCOZZAFAVA FERNANDO ANTONIO</t>
  </si>
  <si>
    <t>REAL COLOR SRL</t>
  </si>
  <si>
    <t>DVT COMERCIO</t>
  </si>
  <si>
    <t>INSUMOS INDUSTRIALES BULFERIND S.A.</t>
  </si>
  <si>
    <t>FERNANDEZ GABRIEL OMAR</t>
  </si>
  <si>
    <t>FENEX S.A.S.</t>
  </si>
  <si>
    <t>AUNE SOFIA ESMERALDA</t>
  </si>
  <si>
    <t>FONDO DE COOPERACION TECNICA Y FINANCIERA - CECBA - SL Y T - LEY 23.412</t>
  </si>
  <si>
    <t>LOPEZ MARTIN ALEJANDRO</t>
  </si>
  <si>
    <t>PILISAR SOCIEDAD ANONIMA</t>
  </si>
  <si>
    <t>HIDROAL  SA</t>
  </si>
  <si>
    <t xml:space="preserve">TOTAL </t>
  </si>
  <si>
    <t>COD 81</t>
  </si>
  <si>
    <t>BLUECAR SA</t>
  </si>
  <si>
    <t>IMARKET SRL</t>
  </si>
  <si>
    <t>MELINKA SRL</t>
  </si>
  <si>
    <t xml:space="preserve">FROS SA </t>
  </si>
  <si>
    <t>ESTACION DE SERVICIO ALCOVER SRL</t>
  </si>
  <si>
    <t>RESUMEN VISA-BBVA</t>
  </si>
  <si>
    <t>544.45</t>
  </si>
  <si>
    <t>EXPOENVASE SRL</t>
  </si>
  <si>
    <t>ITAL PAVON S.A.</t>
  </si>
  <si>
    <t>PINTURERIAS EXPRESS SRL</t>
  </si>
  <si>
    <t>AUTO EQUIPE S.A.</t>
  </si>
  <si>
    <t>DUFFY ESTEFANIA</t>
  </si>
  <si>
    <t>PERALBA SOCIEDAD ANONIMA</t>
  </si>
  <si>
    <t>RODADOS ALVARO S.R.L.</t>
  </si>
  <si>
    <t>SCD DISTRIBUIDORA S.R.L.</t>
  </si>
  <si>
    <t>BELLASOMBRA DE DIEGO PARTICO Y BRUNO MUSANTE SOCIEDAD DE HECHO</t>
  </si>
  <si>
    <t>NATALI HUGO ARIEL</t>
  </si>
  <si>
    <t>REPRESENTACIONES TECNOLOGICAS SA</t>
  </si>
  <si>
    <t>AGEN S.A.</t>
  </si>
  <si>
    <t>LNB SOCIEDAD POR ACCIONES SIMPLIFICADA</t>
  </si>
  <si>
    <t>G.B.S. GLOBAL BUSINESS SUPPLY S.R.L.</t>
  </si>
  <si>
    <t>FAIL ABRAHAM</t>
  </si>
  <si>
    <t>CURTI OSVALDO JOSE</t>
  </si>
  <si>
    <t>ROCCA COMBUSTIBLES  S A</t>
  </si>
  <si>
    <t>BELCOMSUR SA</t>
  </si>
  <si>
    <t>VALLEJO ARCELUZ FERNANDO VALLEJO ARCELUZ MARTA J Y VALLEJO ARCELUZ MARIA CELINA</t>
  </si>
  <si>
    <t>FIORI SILVIA LORENA</t>
  </si>
  <si>
    <t>ALBINO ALEJANDRO</t>
  </si>
  <si>
    <t>CATERING</t>
  </si>
  <si>
    <t>LABORATORIO</t>
  </si>
  <si>
    <t>HONORARIOS PROFESIONALES</t>
  </si>
  <si>
    <t>GASTOS COSMETICA</t>
  </si>
  <si>
    <t>GASTOS COMERCIALES</t>
  </si>
  <si>
    <t>ESTACION DE SERVICIO NORTEÑA SRL</t>
  </si>
  <si>
    <t>COMBUSTIBLES MORABITO HNOS SRL</t>
  </si>
  <si>
    <t>MESAJERIA</t>
  </si>
  <si>
    <t>PUENTE VANGUARDIA SOC ANONIMA</t>
  </si>
  <si>
    <t>ESTACION DE SERVICIO CUATRO BOCAS SRL</t>
  </si>
  <si>
    <t>CORRIENTES</t>
  </si>
  <si>
    <t>SUPER SEVICIOS OLIVOS SRL</t>
  </si>
  <si>
    <t>SILVESTRI SERGIO ALBERTO</t>
  </si>
  <si>
    <t>OPERADORA DE ESTAC DE SERVICIOS SA</t>
  </si>
  <si>
    <t>BBVA -VISA CREDITO</t>
  </si>
  <si>
    <t>LIQ. VISA-BBVA</t>
  </si>
  <si>
    <t>VENTAS "EXPORTACION"</t>
  </si>
  <si>
    <t>PAPELERA CUMBRE S.A.</t>
  </si>
  <si>
    <t>MAMANI PAULA ANALIA</t>
  </si>
  <si>
    <t>VANALEX PISCINAS S.R.L.</t>
  </si>
  <si>
    <t>MUNDO PLASTIC SRL</t>
  </si>
  <si>
    <t>PELAEZ ESTEBAN CRUZ</t>
  </si>
  <si>
    <t>ROSENBERG PEDRO ROBERTO</t>
  </si>
  <si>
    <t>WITPEL S.R.L.</t>
  </si>
  <si>
    <t>K.R. S. R. L.</t>
  </si>
  <si>
    <t>IDENTIMAX SA</t>
  </si>
  <si>
    <t>CORUSCANT  S. A.</t>
  </si>
  <si>
    <t>GONZALEZ GALENO ALBERTO JOSE</t>
  </si>
  <si>
    <t>BIANCHI CRISTIAN MAXIMILIANO</t>
  </si>
  <si>
    <t>DROVER SA</t>
  </si>
  <si>
    <t>LUGARES URBANOS S.A.</t>
  </si>
  <si>
    <t>ARIAUDO SERGIO ESTEBAN</t>
  </si>
  <si>
    <t>CARNEVALE MABEL HAYDEE</t>
  </si>
  <si>
    <t>BOTINDARI FEDERICO DANIEL</t>
  </si>
  <si>
    <t>GUMA DANIEL</t>
  </si>
  <si>
    <t xml:space="preserve">AMEX </t>
  </si>
  <si>
    <t>CABAL</t>
  </si>
  <si>
    <t>BBVA - RESUMEN</t>
  </si>
  <si>
    <t>GALICIA -  EXTRACTO</t>
  </si>
  <si>
    <t>GALICIA VISA DEBITO</t>
  </si>
  <si>
    <t>BBVA - LIQ VISA</t>
  </si>
  <si>
    <t>ABAD TEJIDOS SOCIEDAD ANONIMA COMERCIAL INDUSTRIAL FINANCIERA INMOBILIARIA</t>
  </si>
  <si>
    <t>GLOBAL OIL S.R.L</t>
  </si>
  <si>
    <t>OURGRAPH SRL</t>
  </si>
  <si>
    <t>PLASTICOS BAN PLAST SRL</t>
  </si>
  <si>
    <t>TEXTIL MANZONE S. R. L.</t>
  </si>
  <si>
    <t>BAMBU ARGENTINA S.A.</t>
  </si>
  <si>
    <t>INDIGO TRADE S.A.</t>
  </si>
  <si>
    <t>ARAYA SERGIO ALEJANDRO</t>
  </si>
  <si>
    <t>LATINLED SRL</t>
  </si>
  <si>
    <t>MOLINA AGUIRRE ERIC LEANDRO</t>
  </si>
  <si>
    <t>SEDEX ARGENTINA SA</t>
  </si>
  <si>
    <t>CERRO LINDO S. A. S.</t>
  </si>
  <si>
    <t>PROYECTAMAR S.R.L.</t>
  </si>
  <si>
    <t>CLUB HOUSE GROUP S.A.S.</t>
  </si>
  <si>
    <t>PLAMETEC S.A.</t>
  </si>
  <si>
    <t>SOLO POR MAYOR SRL</t>
  </si>
  <si>
    <t>AWARE SOLUTIONS S.R.L.</t>
  </si>
  <si>
    <t>IMAS SOCIEDAD DE RESPONSABILIDAD LIMITADA</t>
  </si>
  <si>
    <t>YAPURA ZAHIRA DE LOS ANGELES</t>
  </si>
  <si>
    <t>KAPRIELIAN SILVINA</t>
  </si>
  <si>
    <t>CATEDRAL ALTA PATAGONIA SA</t>
  </si>
  <si>
    <t>CREANDO IMAGEN S.A.</t>
  </si>
  <si>
    <t>VIPA INTERNATIONAL S.R.L.</t>
  </si>
  <si>
    <t>IMKR INSUMOS</t>
  </si>
  <si>
    <t>VILLALBA MARCELA</t>
  </si>
  <si>
    <t>BARTILOTTA ARIEL FERNANDO</t>
  </si>
  <si>
    <t>KASSAB SEBASTIAN EDUARDO</t>
  </si>
  <si>
    <t>CHEMECO SOCIEDAD ANONIMA</t>
  </si>
  <si>
    <t>BAZAR Y CIA. S.A.</t>
  </si>
  <si>
    <t>FLORDEPAPELERA S.R.L.</t>
  </si>
  <si>
    <t>CESPEDES PEÑALOZA CARMEN CAROLINA</t>
  </si>
  <si>
    <t>TINECRO S.A.</t>
  </si>
  <si>
    <t>FILET DE MERLUZA S.R.L.</t>
  </si>
  <si>
    <t>GRUPO DE REPUESTOS EL MELLIZO</t>
  </si>
  <si>
    <t>MILOSCAN SRL</t>
  </si>
  <si>
    <t>DISTRIBUIDORA DE BEBIDAS SRL</t>
  </si>
  <si>
    <t>GIANFRANCISCO XIMENA MARIEL</t>
  </si>
  <si>
    <t>MILEX S A</t>
  </si>
  <si>
    <t>SERCAP INSUMOS SRL</t>
  </si>
  <si>
    <t>BARUCCO NORBERTO MATIAS</t>
  </si>
  <si>
    <t>CASASNOVAS JUAN PABLO</t>
  </si>
  <si>
    <t>ROMITELLI JUAN IGNACIO</t>
  </si>
  <si>
    <t>TONDINI FERNANDO</t>
  </si>
  <si>
    <t>ESTACION SA</t>
  </si>
  <si>
    <t>BBVA MASTERCARD CRED</t>
  </si>
  <si>
    <t>BBVA - LIQ DEBITO</t>
  </si>
  <si>
    <t>GALICIA CREDITO</t>
  </si>
  <si>
    <t>RESUM BCO BBVA VISA</t>
  </si>
  <si>
    <t>BVL</t>
  </si>
  <si>
    <t>AIRES MODERNOS</t>
  </si>
  <si>
    <t xml:space="preserve">LIN QIN </t>
  </si>
  <si>
    <t>ANDESMAR CARGAS</t>
  </si>
  <si>
    <t>MARCELO FABIAN MANAU</t>
  </si>
  <si>
    <t xml:space="preserve">GOMERIA LUIGI de EUSEBIO MAMANI </t>
  </si>
  <si>
    <t>NIEVA EZEQUIEL ERNESTO</t>
  </si>
  <si>
    <t>JORGE PIRRI Y CUA SRL</t>
  </si>
  <si>
    <t xml:space="preserve">MANAFRATHI SRL </t>
  </si>
  <si>
    <t>ESTACIONAMIENTO</t>
  </si>
  <si>
    <t>GRUPO NORTE SRL</t>
  </si>
  <si>
    <t>CHICHIAN SA</t>
  </si>
  <si>
    <t>TRONADOR SA COMERCIAL</t>
  </si>
  <si>
    <t>HIK SECURITY</t>
  </si>
  <si>
    <t>ANILE PABLO ADOLFO</t>
  </si>
  <si>
    <t>BUDAS KINGDOM SRL</t>
  </si>
  <si>
    <t>CAPPI HECTOR FELIX</t>
  </si>
  <si>
    <t>MIL RUEDAS SRL</t>
  </si>
  <si>
    <t>FERRETERIA TANDIL SRL</t>
  </si>
  <si>
    <t>DEVOTO STATION SA</t>
  </si>
  <si>
    <t>FRIGORIFICO COSTANZO SA</t>
  </si>
  <si>
    <t>TELESMART</t>
  </si>
  <si>
    <t>H UNO 1469 SA</t>
  </si>
  <si>
    <t>AINSTEIN MARCELO</t>
  </si>
  <si>
    <t>BIANCHI HECTOR HERNAN</t>
  </si>
  <si>
    <t>SECURITY NOW SA</t>
  </si>
  <si>
    <t>LA IMPRENTA YA SA</t>
  </si>
  <si>
    <t>INSUMOS SERVICOMP SA</t>
  </si>
  <si>
    <t>ZINOVEEV SDRAVCOV MAURO MAXIMI</t>
  </si>
  <si>
    <t>BL8 SOLUCIONES</t>
  </si>
  <si>
    <t>NALE SA</t>
  </si>
  <si>
    <t>VICDA ARGENTINA SRL</t>
  </si>
  <si>
    <t>ITPROUSER S.A.</t>
  </si>
  <si>
    <t>SUPERFOTO S R L</t>
  </si>
  <si>
    <t>GRUA DIEGO PABLO</t>
  </si>
  <si>
    <t>PAREJO LUCAS ARIEL ESTEBAN</t>
  </si>
  <si>
    <t>Liquidacion amex Credito</t>
  </si>
  <si>
    <t>FRANCES RESUMEN (31/09)</t>
  </si>
  <si>
    <t>GALICIA EXTRACTO (31/09)</t>
  </si>
  <si>
    <t>BBVA MASTERCARD CRED(31/09)</t>
  </si>
  <si>
    <t>RESUM BCO BBVA VISA 31/09(Nº RESUMEN 000017206766)</t>
  </si>
  <si>
    <t>BBVA - LIQ DEBITO (31/09)</t>
  </si>
  <si>
    <t>GALICIA CREDITO (31/09)</t>
  </si>
  <si>
    <t>PANIZO DIEGO SEBASTIAN</t>
  </si>
  <si>
    <t>CAVA BERNARDO</t>
  </si>
  <si>
    <t>ELECTRO SERVICE M&amp;E SRL.</t>
  </si>
  <si>
    <t>GONGZHU TECH DEVELOPMENT</t>
  </si>
  <si>
    <t>BORZACCHINI NOELIA VERONICA</t>
  </si>
  <si>
    <t>POLGRAF SOCIEDAD DE HECHO DE HOMOLA CHRISTIAN HERNAN Y HOMOLA MARCELO JULIO</t>
  </si>
  <si>
    <t>HADDAD MARIA EUGENIA</t>
  </si>
  <si>
    <t>ORTIZ SEBASTIAN GERARDO</t>
  </si>
  <si>
    <t>PASTORINO CANE FRANCISCO JAVIER</t>
  </si>
  <si>
    <t>ONETO TOMAS AUGUSTO</t>
  </si>
  <si>
    <t>GRUPO TAM  SRL</t>
  </si>
  <si>
    <t>STENDEL JULIAN RODOLFO</t>
  </si>
  <si>
    <t>MURCHISON S A ESTIBAJES Y CARGAS INDUSTRIAL Y COMERCIAL</t>
  </si>
  <si>
    <t>MAKE YOU SRL</t>
  </si>
  <si>
    <t>PARTES DE NOTEBOOKS S.A.</t>
  </si>
  <si>
    <t>GECEDATA SRL</t>
  </si>
  <si>
    <t>SPENA FERNANDO ARIEL</t>
  </si>
  <si>
    <t>IDEAS Y DISEÑOS SRL</t>
  </si>
  <si>
    <t>URRUTIA DANIEL ALBERTO</t>
  </si>
  <si>
    <t>DI BLASIO CARLOS DANIEL</t>
  </si>
  <si>
    <t>SPORTS &amp;  ADVENTURE   SA</t>
  </si>
  <si>
    <t>LA COBACHA INSUMOS S.R.L.</t>
  </si>
  <si>
    <t>AGUILAR DIANA ANGELA</t>
  </si>
  <si>
    <t>ELECTRO VOLTAJE 2021</t>
  </si>
  <si>
    <t>LA OPTICA S.A.</t>
  </si>
  <si>
    <t>CLUSTER ARGENTINA S.R.L.</t>
  </si>
  <si>
    <t>LIQ AMEX CREDITO</t>
  </si>
  <si>
    <t>RESUMEN BCO BBVA VISA</t>
  </si>
  <si>
    <t>BBVA - VISA CREDITO</t>
  </si>
  <si>
    <t>GALICIA - VISA</t>
  </si>
  <si>
    <t>ENTELANDO IDEAS S.R.L.</t>
  </si>
  <si>
    <t>HECTOR HALABE Y OTROS</t>
  </si>
  <si>
    <t>DE LUCA HECTOR RAFAEL FRANCI</t>
  </si>
  <si>
    <t>GOMEZ JOSE MARIA</t>
  </si>
  <si>
    <t>SARMIENTO 820 FASE 3 S.A.</t>
  </si>
  <si>
    <t>AGUGAS SA</t>
  </si>
  <si>
    <t>CENTRALFER SA</t>
  </si>
  <si>
    <t>GONZALEZ PATRICIA NOEMI</t>
  </si>
  <si>
    <t>DIEZ CAROLINA BEATRIZ</t>
  </si>
  <si>
    <t>VENTAS "Z"</t>
  </si>
  <si>
    <t>RUT 77.005.326-9 TECNOESTETICA LTDA.</t>
  </si>
  <si>
    <t>NO TENIAN CUIT PARA CARGARLAS AL PI</t>
  </si>
  <si>
    <t>HERRAJES MAGLIOLA  S A</t>
  </si>
  <si>
    <t>BASUALDO JORGE RAMON</t>
  </si>
  <si>
    <t>CASTILLO SANTIAGO JESUS</t>
  </si>
  <si>
    <t>LOZA MIGUEL MATEO</t>
  </si>
  <si>
    <t>BARRI EMILIANO Y BARRI FEDERICO SH</t>
  </si>
  <si>
    <t>EL UNIVERSO DEL CONTROL REMOTO SRL</t>
  </si>
  <si>
    <t>PANELLA MARIA CAROLINA</t>
  </si>
  <si>
    <t>SOTO DELAPORTE KARINA IRENE</t>
  </si>
  <si>
    <t>GRUPO LEDUFT SA</t>
  </si>
  <si>
    <t>ELIAS AGUSTIN FARIAS DUARTE</t>
  </si>
  <si>
    <t>ASERRADERO JARDIN SRL</t>
  </si>
  <si>
    <t>BUMERAN.COM ARGENTINA SA</t>
  </si>
  <si>
    <t>PINTURERIAS MAFER SA</t>
  </si>
  <si>
    <t>FRIGORIFICO ALIMENTIC</t>
  </si>
  <si>
    <t>LIVERPOOL EXPRESS SRL</t>
  </si>
  <si>
    <t>FERREMUNDO SRL</t>
  </si>
  <si>
    <t>CRASSI SRL</t>
  </si>
  <si>
    <t>WALJUL</t>
  </si>
  <si>
    <t>EDUARDO S CAZALA SACIFel</t>
  </si>
  <si>
    <t>CRAFTERS ARG SAS</t>
  </si>
  <si>
    <t>TENDEX SA</t>
  </si>
  <si>
    <t>CARRIZO GUSTAVO ADRIAN</t>
  </si>
  <si>
    <t>UNION QUIMICA ARGENTINA SRL</t>
  </si>
  <si>
    <t>CPT INTEGRAL SA</t>
  </si>
  <si>
    <t>UMP SOLUTIONS &amp; SUPPLIES SRL</t>
  </si>
  <si>
    <t>ANTEDORO JEREMIAS FABIAN</t>
  </si>
  <si>
    <t>NOVU SRL</t>
  </si>
  <si>
    <t>ROPERIA S.A.S.</t>
  </si>
  <si>
    <t>SILVA SRL</t>
  </si>
  <si>
    <t>BOLLO OSVALDO</t>
  </si>
  <si>
    <t>SUPERMERCADOS MAYORISTAS YAGUAR SOCIEDAD ANONIMA</t>
  </si>
  <si>
    <t>CASIU S.A.</t>
  </si>
  <si>
    <t>CORREA SEBASTIAN NORBERTO</t>
  </si>
  <si>
    <t>COMO ARENA DEL MAR S.R.L.</t>
  </si>
  <si>
    <t>PIRON MARIA NATALIA ROMINA</t>
  </si>
  <si>
    <t>GROUP MOBILE S.A.</t>
  </si>
  <si>
    <t>DMAKER S.A.</t>
  </si>
  <si>
    <t>GRUPO COLORADO SA</t>
  </si>
  <si>
    <t>BURNET MICHAUT GASTON KURT</t>
  </si>
  <si>
    <t>MULTI C</t>
  </si>
  <si>
    <t>BERNSTEIN FERNANDO GABRIEL</t>
  </si>
  <si>
    <t>TRACOLOR S.A.</t>
  </si>
  <si>
    <t>VEGA GUSTAVO RAUL</t>
  </si>
  <si>
    <t>LABORATORIOS COTTON FIELDS S.A.</t>
  </si>
  <si>
    <t>ROMERA WALTER LEONARDO</t>
  </si>
  <si>
    <t>CASAS MARIA DEL CARMEN</t>
  </si>
  <si>
    <t>OSSANDON ROBERTO SAUL</t>
  </si>
  <si>
    <t>GARCIA JUAN MANUEL</t>
  </si>
  <si>
    <t>ALBARRACIN ARIEL EDUARDO</t>
  </si>
  <si>
    <t>CYGNUS ELECTRONICS S.A.</t>
  </si>
  <si>
    <t>PIFVA SA</t>
  </si>
  <si>
    <t>RUIZ LADY ARACELI</t>
  </si>
  <si>
    <t>ANGEL BLUE S.R.L.</t>
  </si>
  <si>
    <t>GUIDO TOMAS GIORDANO Y KEVIN BALCKER</t>
  </si>
  <si>
    <t>DOBARRO PAULA MARCELA</t>
  </si>
  <si>
    <t>HERMAN ALEJANDRO GUSTAVO</t>
  </si>
  <si>
    <t>JULIO FERNANDO FABIAN</t>
  </si>
  <si>
    <t>PRADO EMILIANO HERNAN</t>
  </si>
  <si>
    <t>LEZAMA ENERGIA SA</t>
  </si>
  <si>
    <t>REFINERIA BAHIA BLANCA SA</t>
  </si>
  <si>
    <t>IGT33 SA</t>
  </si>
  <si>
    <t>ACONQUIJA CLUB DE VUELO Y AVENTURA ASOCIACION CIVIL</t>
  </si>
  <si>
    <t>Productos Venta</t>
  </si>
  <si>
    <t>aparatos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</si>
</sst>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##########"/>
    <numFmt numFmtId="181" formatCode="00000"/>
    <numFmt numFmtId="182" formatCode="d/mm/yyyy"/>
  </numFmts>
  <fonts count="9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</font>
    <font>
      <b/>
      <sz val="10"/>
      <name val="Calibri"/>
    </font>
    <font>
      <sz val="9"/>
      <name val="Calibri"/>
    </font>
    <font>
      <sz val="10"/>
      <name val="Calibri"/>
      <scheme val="minor"/>
    </font>
    <font>
      <sz val="10"/>
      <color theme="1"/>
      <name val="Calibri"/>
      <scheme val="minor"/>
    </font>
    <font>
      <sz val="11"/>
      <name val="Calibri"/>
    </font>
    <font>
      <sz val="1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9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72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0" fontId="0" fillId="25" borderId="0" xfId="0" applyFill="1"/>
    <xf numFmtId="40" fontId="7" fillId="25" borderId="0" xfId="3" applyNumberFormat="1" applyFont="1" applyFill="1" applyAlignment="1">
      <alignment horizontal="right" vertical="center"/>
    </xf>
    <xf numFmtId="40" fontId="7" fillId="25" borderId="0" xfId="3" applyNumberFormat="1" applyFont="1" applyFill="1" applyAlignment="1">
      <alignment vertical="center"/>
    </xf>
    <xf numFmtId="0" fontId="6" fillId="25" borderId="0" xfId="3" applyFont="1" applyFill="1" applyAlignment="1">
      <alignment horizontal="left" vertical="center"/>
    </xf>
    <xf numFmtId="40" fontId="7" fillId="25" borderId="0" xfId="3" applyNumberFormat="1" applyFont="1" applyFill="1" applyAlignment="1">
      <alignment horizontal="center" vertical="center"/>
    </xf>
    <xf numFmtId="0" fontId="6" fillId="25" borderId="0" xfId="3" applyFont="1" applyFill="1" applyAlignment="1">
      <alignment horizontal="center" vertical="center"/>
    </xf>
    <xf numFmtId="14" fontId="46" fillId="0" borderId="0" xfId="0" applyNumberFormat="1" applyFont="1" applyAlignment="1">
      <alignment horizontal="center"/>
    </xf>
    <xf numFmtId="4" fontId="45" fillId="0" borderId="0" xfId="3" applyNumberFormat="1" applyFont="1" applyAlignment="1">
      <alignment horizontal="right" vertical="center"/>
    </xf>
    <xf numFmtId="169" fontId="47" fillId="0" borderId="0" xfId="3" applyNumberFormat="1" applyFont="1" applyAlignment="1">
      <alignment horizontal="center" vertical="center"/>
    </xf>
    <xf numFmtId="170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40" fontId="48" fillId="0" borderId="0" xfId="3" applyNumberFormat="1" applyFont="1" applyAlignment="1">
      <alignment vertical="center"/>
    </xf>
    <xf numFmtId="40" fontId="48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169" fontId="6" fillId="26" borderId="1" xfId="3" applyNumberFormat="1" applyFont="1" applyFill="1" applyBorder="1" applyAlignment="1">
      <alignment horizontal="center" vertical="center"/>
    </xf>
    <xf numFmtId="40" fontId="7" fillId="26" borderId="1" xfId="3" applyNumberFormat="1" applyFont="1" applyFill="1" applyBorder="1" applyAlignment="1">
      <alignment horizontal="right" vertical="center"/>
    </xf>
    <xf numFmtId="40" fontId="48" fillId="0" borderId="0" xfId="3" applyNumberFormat="1" applyFont="1" applyAlignment="1">
      <alignment horizontal="right" vertical="center"/>
    </xf>
    <xf numFmtId="4" fontId="6" fillId="0" borderId="0" xfId="3" applyNumberFormat="1" applyFont="1" applyAlignment="1">
      <alignment horizontal="right" vertical="center"/>
    </xf>
    <xf numFmtId="172" fontId="10" fillId="0" borderId="0" xfId="3" applyNumberFormat="1" applyFont="1" applyAlignment="1">
      <alignment horizontal="center"/>
    </xf>
    <xf numFmtId="40" fontId="7" fillId="26" borderId="0" xfId="3" applyNumberFormat="1" applyFont="1" applyFill="1" applyAlignment="1">
      <alignment horizontal="right" vertical="center"/>
    </xf>
    <xf numFmtId="40" fontId="48" fillId="0" borderId="1" xfId="3" applyNumberFormat="1" applyFont="1" applyBorder="1" applyAlignment="1">
      <alignment horizontal="right" vertical="center"/>
    </xf>
    <xf numFmtId="40" fontId="7" fillId="0" borderId="1" xfId="3" applyNumberFormat="1" applyFont="1" applyBorder="1" applyAlignment="1">
      <alignment horizontal="right" vertical="center"/>
    </xf>
    <xf numFmtId="169" fontId="6" fillId="25" borderId="0" xfId="3" applyNumberFormat="1" applyFont="1" applyFill="1" applyAlignment="1">
      <alignment horizontal="center" vertical="center"/>
    </xf>
    <xf numFmtId="170" fontId="6" fillId="25" borderId="0" xfId="3" applyNumberFormat="1" applyFont="1" applyFill="1" applyAlignment="1">
      <alignment horizontal="center" vertical="center"/>
    </xf>
    <xf numFmtId="171" fontId="6" fillId="25" borderId="0" xfId="3" applyNumberFormat="1" applyFont="1" applyFill="1" applyAlignment="1">
      <alignment horizontal="center" vertical="center"/>
    </xf>
    <xf numFmtId="172" fontId="6" fillId="25" borderId="0" xfId="3" applyNumberFormat="1" applyFont="1" applyFill="1" applyAlignment="1">
      <alignment horizontal="center" vertical="center"/>
    </xf>
    <xf numFmtId="173" fontId="6" fillId="25" borderId="0" xfId="3" applyNumberFormat="1" applyFont="1" applyFill="1" applyAlignment="1">
      <alignment horizontal="center" vertical="center"/>
    </xf>
    <xf numFmtId="40" fontId="48" fillId="25" borderId="0" xfId="3" applyNumberFormat="1" applyFont="1" applyFill="1" applyAlignment="1">
      <alignment vertical="center"/>
    </xf>
    <xf numFmtId="40" fontId="7" fillId="25" borderId="1" xfId="3" applyNumberFormat="1" applyFont="1" applyFill="1" applyBorder="1" applyAlignment="1">
      <alignment horizontal="right" vertical="center"/>
    </xf>
    <xf numFmtId="169" fontId="47" fillId="25" borderId="0" xfId="3" applyNumberFormat="1" applyFont="1" applyFill="1" applyAlignment="1">
      <alignment horizontal="center" vertical="center"/>
    </xf>
    <xf numFmtId="171" fontId="47" fillId="25" borderId="0" xfId="3" applyNumberFormat="1" applyFont="1" applyFill="1" applyAlignment="1">
      <alignment horizontal="center" vertical="center"/>
    </xf>
    <xf numFmtId="172" fontId="47" fillId="25" borderId="0" xfId="3" applyNumberFormat="1" applyFont="1" applyFill="1" applyAlignment="1">
      <alignment horizontal="center" vertical="center"/>
    </xf>
    <xf numFmtId="173" fontId="47" fillId="25" borderId="0" xfId="3" applyNumberFormat="1" applyFont="1" applyFill="1" applyAlignment="1">
      <alignment horizontal="center" vertical="center"/>
    </xf>
    <xf numFmtId="0" fontId="47" fillId="25" borderId="0" xfId="3" applyFont="1" applyFill="1" applyAlignment="1">
      <alignment horizontal="left" vertical="center"/>
    </xf>
    <xf numFmtId="40" fontId="48" fillId="25" borderId="0" xfId="3" applyNumberFormat="1" applyFont="1" applyFill="1" applyAlignment="1">
      <alignment horizontal="center" vertical="center"/>
    </xf>
    <xf numFmtId="0" fontId="47" fillId="25" borderId="0" xfId="3" applyFont="1" applyFill="1" applyAlignment="1">
      <alignment horizontal="center" vertical="center"/>
    </xf>
    <xf numFmtId="4" fontId="0" fillId="25" borderId="0" xfId="0" applyNumberFormat="1" applyFill="1"/>
    <xf numFmtId="169" fontId="36" fillId="25" borderId="0" xfId="3" applyNumberFormat="1" applyFont="1" applyFill="1" applyAlignment="1">
      <alignment horizontal="center" vertical="center"/>
    </xf>
    <xf numFmtId="169" fontId="36" fillId="20" borderId="0" xfId="3" applyNumberFormat="1" applyFont="1" applyFill="1" applyAlignment="1">
      <alignment horizontal="center" vertical="center"/>
    </xf>
    <xf numFmtId="171" fontId="6" fillId="20" borderId="0" xfId="3" applyNumberFormat="1" applyFont="1" applyFill="1" applyAlignment="1">
      <alignment horizontal="center" vertical="center"/>
    </xf>
    <xf numFmtId="173" fontId="10" fillId="20" borderId="0" xfId="3" applyNumberFormat="1" applyFont="1" applyFill="1" applyAlignment="1">
      <alignment horizontal="center"/>
    </xf>
    <xf numFmtId="0" fontId="10" fillId="20" borderId="0" xfId="3" applyFont="1" applyFill="1" applyAlignment="1">
      <alignment horizontal="left"/>
    </xf>
    <xf numFmtId="4" fontId="6" fillId="20" borderId="0" xfId="3" applyNumberFormat="1" applyFont="1" applyFill="1" applyAlignment="1">
      <alignment horizontal="right" vertical="center"/>
    </xf>
    <xf numFmtId="0" fontId="10" fillId="20" borderId="0" xfId="3" applyFont="1" applyFill="1" applyAlignment="1">
      <alignment horizontal="center" vertical="center"/>
    </xf>
    <xf numFmtId="0" fontId="0" fillId="20" borderId="0" xfId="0" applyFill="1"/>
    <xf numFmtId="172" fontId="10" fillId="20" borderId="0" xfId="3" applyNumberFormat="1" applyFont="1" applyFill="1" applyAlignment="1">
      <alignment horizontal="center"/>
    </xf>
    <xf numFmtId="173" fontId="6" fillId="0" borderId="28" xfId="3" applyNumberFormat="1" applyFont="1" applyBorder="1" applyAlignment="1">
      <alignment horizontal="center"/>
    </xf>
    <xf numFmtId="169" fontId="10" fillId="0" borderId="34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10" fillId="0" borderId="23" xfId="3" applyNumberFormat="1" applyFont="1" applyBorder="1" applyAlignment="1">
      <alignment horizontal="center"/>
    </xf>
    <xf numFmtId="171" fontId="10" fillId="0" borderId="27" xfId="3" applyNumberFormat="1" applyFont="1" applyBorder="1" applyAlignment="1">
      <alignment horizontal="center"/>
    </xf>
    <xf numFmtId="172" fontId="10" fillId="0" borderId="28" xfId="3" applyNumberFormat="1" applyFont="1" applyBorder="1" applyAlignment="1">
      <alignment horizontal="center"/>
    </xf>
    <xf numFmtId="0" fontId="10" fillId="0" borderId="28" xfId="3" applyFont="1" applyBorder="1" applyAlignment="1">
      <alignment horizontal="center"/>
    </xf>
    <xf numFmtId="173" fontId="10" fillId="0" borderId="28" xfId="3" applyNumberFormat="1" applyFont="1" applyBorder="1" applyAlignment="1">
      <alignment horizontal="center"/>
    </xf>
    <xf numFmtId="179" fontId="10" fillId="0" borderId="28" xfId="3" applyNumberFormat="1" applyFont="1" applyBorder="1"/>
    <xf numFmtId="179" fontId="10" fillId="0" borderId="28" xfId="3" applyNumberFormat="1" applyFont="1" applyBorder="1" applyAlignment="1">
      <alignment horizontal="right"/>
    </xf>
    <xf numFmtId="179" fontId="10" fillId="0" borderId="28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5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69" fontId="6" fillId="0" borderId="9" xfId="3" applyNumberFormat="1" applyFont="1" applyBorder="1" applyAlignment="1">
      <alignment horizontal="center" vertical="center"/>
    </xf>
    <xf numFmtId="170" fontId="6" fillId="0" borderId="0" xfId="3" applyNumberFormat="1" applyFont="1" applyAlignment="1">
      <alignment horizontal="center"/>
    </xf>
    <xf numFmtId="170" fontId="6" fillId="0" borderId="1" xfId="3" applyNumberFormat="1" applyFont="1" applyBorder="1" applyAlignment="1">
      <alignment horizontal="center" vertical="center"/>
    </xf>
    <xf numFmtId="172" fontId="6" fillId="0" borderId="1" xfId="3" applyNumberFormat="1" applyFont="1" applyBorder="1" applyAlignment="1">
      <alignment horizontal="center" vertical="center"/>
    </xf>
    <xf numFmtId="179" fontId="6" fillId="0" borderId="0" xfId="3" applyNumberFormat="1" applyFont="1"/>
    <xf numFmtId="173" fontId="6" fillId="0" borderId="28" xfId="3" applyNumberFormat="1" applyFont="1" applyBorder="1" applyAlignment="1">
      <alignment horizontal="center" vertical="center"/>
    </xf>
    <xf numFmtId="14" fontId="37" fillId="0" borderId="0" xfId="3" applyNumberFormat="1" applyFont="1" applyAlignment="1">
      <alignment horizontal="center"/>
    </xf>
    <xf numFmtId="180" fontId="37" fillId="0" borderId="0" xfId="3" applyNumberFormat="1" applyFont="1" applyAlignment="1">
      <alignment horizontal="center"/>
    </xf>
    <xf numFmtId="169" fontId="36" fillId="4" borderId="0" xfId="3" applyNumberFormat="1" applyFont="1" applyFill="1" applyAlignment="1">
      <alignment horizontal="center" vertical="center"/>
    </xf>
    <xf numFmtId="172" fontId="10" fillId="4" borderId="0" xfId="3" applyNumberFormat="1" applyFont="1" applyFill="1" applyAlignment="1">
      <alignment horizontal="center"/>
    </xf>
    <xf numFmtId="173" fontId="10" fillId="4" borderId="0" xfId="3" applyNumberFormat="1" applyFont="1" applyFill="1" applyAlignment="1">
      <alignment horizontal="center"/>
    </xf>
    <xf numFmtId="0" fontId="10" fillId="4" borderId="0" xfId="3" applyFont="1" applyFill="1" applyAlignment="1">
      <alignment horizontal="left"/>
    </xf>
    <xf numFmtId="4" fontId="6" fillId="4" borderId="0" xfId="3" applyNumberFormat="1" applyFont="1" applyFill="1" applyAlignment="1">
      <alignment horizontal="right" vertical="center"/>
    </xf>
    <xf numFmtId="0" fontId="10" fillId="4" borderId="0" xfId="3" applyFont="1" applyFill="1" applyAlignment="1">
      <alignment horizontal="center" vertical="center"/>
    </xf>
    <xf numFmtId="171" fontId="6" fillId="4" borderId="0" xfId="3" applyNumberFormat="1" applyFont="1" applyFill="1" applyAlignment="1">
      <alignment horizontal="center" vertical="center"/>
    </xf>
    <xf numFmtId="0" fontId="0" fillId="4" borderId="0" xfId="0" applyFill="1"/>
    <xf numFmtId="169" fontId="6" fillId="0" borderId="34" xfId="3" applyNumberFormat="1" applyFont="1" applyBorder="1" applyAlignment="1">
      <alignment horizontal="center" vertical="center"/>
    </xf>
    <xf numFmtId="170" fontId="10" fillId="0" borderId="0" xfId="3" applyNumberFormat="1" applyFont="1" applyAlignment="1">
      <alignment horizontal="center"/>
    </xf>
    <xf numFmtId="171" fontId="10" fillId="0" borderId="0" xfId="3" applyNumberFormat="1" applyFont="1" applyAlignment="1">
      <alignment horizontal="center"/>
    </xf>
    <xf numFmtId="171" fontId="6" fillId="0" borderId="9" xfId="3" applyNumberFormat="1" applyFont="1" applyBorder="1" applyAlignment="1">
      <alignment horizontal="center" vertical="center"/>
    </xf>
    <xf numFmtId="169" fontId="51" fillId="0" borderId="0" xfId="3" applyNumberFormat="1" applyFont="1" applyAlignment="1">
      <alignment horizontal="center" vertical="center"/>
    </xf>
    <xf numFmtId="171" fontId="51" fillId="0" borderId="0" xfId="3" applyNumberFormat="1" applyFont="1" applyAlignment="1">
      <alignment horizontal="center" vertical="center"/>
    </xf>
    <xf numFmtId="172" fontId="51" fillId="0" borderId="0" xfId="3" applyNumberFormat="1" applyFont="1" applyAlignment="1">
      <alignment horizontal="center" vertical="center"/>
    </xf>
    <xf numFmtId="0" fontId="51" fillId="0" borderId="0" xfId="3" applyFont="1" applyAlignment="1">
      <alignment horizontal="left" vertical="center"/>
    </xf>
    <xf numFmtId="40" fontId="52" fillId="0" borderId="0" xfId="3" applyNumberFormat="1" applyFont="1" applyAlignment="1">
      <alignment horizontal="right" vertical="center"/>
    </xf>
    <xf numFmtId="40" fontId="52" fillId="0" borderId="0" xfId="3" applyNumberFormat="1" applyFont="1" applyAlignment="1">
      <alignment vertical="center"/>
    </xf>
    <xf numFmtId="40" fontId="52" fillId="0" borderId="0" xfId="3" applyNumberFormat="1" applyFont="1" applyAlignment="1">
      <alignment horizontal="center" vertical="center"/>
    </xf>
    <xf numFmtId="0" fontId="51" fillId="0" borderId="0" xfId="3" applyFont="1" applyAlignment="1">
      <alignment horizontal="center" vertical="center"/>
    </xf>
    <xf numFmtId="0" fontId="0" fillId="6" borderId="0" xfId="0" applyFill="1"/>
    <xf numFmtId="169" fontId="49" fillId="0" borderId="0" xfId="3" applyNumberFormat="1" applyFont="1" applyAlignment="1">
      <alignment horizontal="center" vertical="center"/>
    </xf>
    <xf numFmtId="171" fontId="49" fillId="0" borderId="0" xfId="3" applyNumberFormat="1" applyFont="1" applyAlignment="1">
      <alignment horizontal="center" vertical="center"/>
    </xf>
    <xf numFmtId="172" fontId="49" fillId="0" borderId="0" xfId="3" applyNumberFormat="1" applyFont="1" applyAlignment="1">
      <alignment horizontal="center" vertical="center"/>
    </xf>
    <xf numFmtId="173" fontId="49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40" fontId="50" fillId="0" borderId="0" xfId="3" applyNumberFormat="1" applyFont="1" applyAlignment="1">
      <alignment horizontal="right" vertical="center"/>
    </xf>
    <xf numFmtId="40" fontId="50" fillId="0" borderId="0" xfId="3" applyNumberFormat="1" applyFont="1" applyAlignment="1">
      <alignment vertical="center"/>
    </xf>
    <xf numFmtId="40" fontId="50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center" vertical="center"/>
    </xf>
    <xf numFmtId="0" fontId="53" fillId="0" borderId="0" xfId="0" applyFont="1"/>
    <xf numFmtId="169" fontId="42" fillId="0" borderId="0" xfId="3" applyNumberFormat="1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69" fontId="6" fillId="28" borderId="0" xfId="3" applyNumberFormat="1" applyFont="1" applyFill="1" applyAlignment="1">
      <alignment horizontal="center" vertical="center"/>
    </xf>
    <xf numFmtId="170" fontId="6" fillId="28" borderId="0" xfId="3" applyNumberFormat="1" applyFont="1" applyFill="1" applyAlignment="1">
      <alignment horizontal="center" vertical="center"/>
    </xf>
    <xf numFmtId="171" fontId="6" fillId="28" borderId="0" xfId="3" applyNumberFormat="1" applyFont="1" applyFill="1" applyAlignment="1">
      <alignment horizontal="center" vertical="center"/>
    </xf>
    <xf numFmtId="172" fontId="6" fillId="28" borderId="0" xfId="3" applyNumberFormat="1" applyFont="1" applyFill="1" applyAlignment="1">
      <alignment horizontal="center" vertical="center"/>
    </xf>
    <xf numFmtId="173" fontId="6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left" vertical="center"/>
    </xf>
    <xf numFmtId="40" fontId="7" fillId="28" borderId="0" xfId="3" applyNumberFormat="1" applyFont="1" applyFill="1" applyAlignment="1">
      <alignment horizontal="right" vertical="center"/>
    </xf>
    <xf numFmtId="40" fontId="7" fillId="28" borderId="0" xfId="3" applyNumberFormat="1" applyFont="1" applyFill="1" applyAlignment="1">
      <alignment vertical="center"/>
    </xf>
    <xf numFmtId="40" fontId="7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center" vertical="center"/>
    </xf>
    <xf numFmtId="169" fontId="54" fillId="0" borderId="0" xfId="3" applyNumberFormat="1" applyFont="1" applyAlignment="1">
      <alignment horizontal="center" vertical="center"/>
    </xf>
    <xf numFmtId="172" fontId="54" fillId="0" borderId="0" xfId="3" applyNumberFormat="1" applyFont="1" applyAlignment="1">
      <alignment horizontal="center" vertical="center"/>
    </xf>
    <xf numFmtId="173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left" vertical="center"/>
    </xf>
    <xf numFmtId="40" fontId="55" fillId="0" borderId="0" xfId="3" applyNumberFormat="1" applyFont="1" applyAlignment="1">
      <alignment horizontal="right" vertical="center"/>
    </xf>
    <xf numFmtId="40" fontId="55" fillId="0" borderId="0" xfId="3" applyNumberFormat="1" applyFont="1" applyAlignment="1">
      <alignment vertical="center"/>
    </xf>
    <xf numFmtId="40" fontId="55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173" fontId="6" fillId="26" borderId="0" xfId="3" applyNumberFormat="1" applyFont="1" applyFill="1" applyAlignment="1">
      <alignment horizontal="center"/>
    </xf>
    <xf numFmtId="173" fontId="0" fillId="0" borderId="1" xfId="0" applyNumberFormat="1" applyBorder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0" fontId="37" fillId="0" borderId="0" xfId="3" applyFont="1" applyAlignment="1">
      <alignment horizontal="center"/>
    </xf>
    <xf numFmtId="0" fontId="57" fillId="0" borderId="0" xfId="0" applyFont="1" applyAlignment="1">
      <alignment horizontal="center"/>
    </xf>
    <xf numFmtId="40" fontId="58" fillId="0" borderId="0" xfId="0" applyNumberFormat="1" applyFont="1" applyAlignment="1">
      <alignment horizontal="right"/>
    </xf>
    <xf numFmtId="40" fontId="56" fillId="0" borderId="0" xfId="0" applyNumberFormat="1" applyFont="1" applyAlignment="1">
      <alignment horizontal="right" vertical="center"/>
    </xf>
    <xf numFmtId="0" fontId="56" fillId="0" borderId="0" xfId="0" applyFont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4" fontId="37" fillId="0" borderId="0" xfId="3" applyNumberFormat="1" applyFont="1" applyAlignment="1">
      <alignment horizontal="left"/>
    </xf>
    <xf numFmtId="0" fontId="37" fillId="0" borderId="0" xfId="0" applyFont="1" applyAlignment="1">
      <alignment horizontal="left"/>
    </xf>
    <xf numFmtId="0" fontId="60" fillId="0" borderId="27" xfId="0" applyFont="1" applyBorder="1" applyAlignment="1">
      <alignment horizontal="center"/>
    </xf>
    <xf numFmtId="0" fontId="60" fillId="0" borderId="28" xfId="0" applyFont="1" applyBorder="1" applyAlignment="1">
      <alignment horizontal="center"/>
    </xf>
    <xf numFmtId="179" fontId="60" fillId="0" borderId="28" xfId="0" applyNumberFormat="1" applyFont="1" applyBorder="1"/>
    <xf numFmtId="179" fontId="61" fillId="0" borderId="28" xfId="0" applyNumberFormat="1" applyFont="1" applyBorder="1" applyAlignment="1">
      <alignment horizontal="right"/>
    </xf>
    <xf numFmtId="179" fontId="59" fillId="0" borderId="28" xfId="0" applyNumberFormat="1" applyFont="1" applyBorder="1" applyAlignment="1">
      <alignment horizontal="right" vertical="center"/>
    </xf>
    <xf numFmtId="0" fontId="59" fillId="0" borderId="29" xfId="0" applyFont="1" applyBorder="1" applyAlignment="1">
      <alignment horizontal="right" vertical="center"/>
    </xf>
    <xf numFmtId="172" fontId="0" fillId="0" borderId="0" xfId="0" applyNumberFormat="1" applyAlignment="1">
      <alignment horizontal="center"/>
    </xf>
    <xf numFmtId="181" fontId="6" fillId="0" borderId="0" xfId="3" applyNumberFormat="1" applyFont="1" applyAlignment="1">
      <alignment horizontal="center" vertical="center"/>
    </xf>
    <xf numFmtId="0" fontId="0" fillId="29" borderId="0" xfId="0" applyFill="1"/>
    <xf numFmtId="171" fontId="6" fillId="29" borderId="0" xfId="3" applyNumberFormat="1" applyFont="1" applyFill="1" applyAlignment="1">
      <alignment horizontal="center" vertical="center"/>
    </xf>
    <xf numFmtId="172" fontId="6" fillId="29" borderId="0" xfId="3" applyNumberFormat="1" applyFont="1" applyFill="1" applyAlignment="1">
      <alignment horizontal="center" vertical="center"/>
    </xf>
    <xf numFmtId="173" fontId="6" fillId="29" borderId="0" xfId="3" applyNumberFormat="1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169" fontId="36" fillId="29" borderId="0" xfId="3" applyNumberFormat="1" applyFont="1" applyFill="1" applyAlignment="1">
      <alignment horizontal="center" vertical="center"/>
    </xf>
    <xf numFmtId="173" fontId="10" fillId="29" borderId="0" xfId="3" applyNumberFormat="1" applyFont="1" applyFill="1" applyAlignment="1">
      <alignment horizontal="center"/>
    </xf>
    <xf numFmtId="0" fontId="10" fillId="29" borderId="0" xfId="3" applyFont="1" applyFill="1" applyAlignment="1">
      <alignment horizontal="left"/>
    </xf>
    <xf numFmtId="4" fontId="10" fillId="29" borderId="0" xfId="3" applyNumberFormat="1" applyFont="1" applyFill="1" applyAlignment="1">
      <alignment horizontal="right" vertical="center"/>
    </xf>
    <xf numFmtId="0" fontId="10" fillId="29" borderId="0" xfId="3" applyFont="1" applyFill="1" applyAlignment="1">
      <alignment horizontal="center" vertical="center"/>
    </xf>
    <xf numFmtId="4" fontId="36" fillId="29" borderId="0" xfId="3" applyNumberFormat="1" applyFont="1" applyFill="1" applyAlignment="1">
      <alignment horizontal="right" vertical="center"/>
    </xf>
    <xf numFmtId="181" fontId="6" fillId="28" borderId="0" xfId="3" applyNumberFormat="1" applyFont="1" applyFill="1" applyAlignment="1">
      <alignment horizontal="center" vertical="center"/>
    </xf>
    <xf numFmtId="169" fontId="54" fillId="28" borderId="0" xfId="3" applyNumberFormat="1" applyFont="1" applyFill="1" applyAlignment="1">
      <alignment horizontal="center" vertical="center"/>
    </xf>
    <xf numFmtId="172" fontId="54" fillId="28" borderId="0" xfId="3" applyNumberFormat="1" applyFont="1" applyFill="1" applyAlignment="1">
      <alignment horizontal="center" vertical="center"/>
    </xf>
    <xf numFmtId="173" fontId="54" fillId="28" borderId="0" xfId="3" applyNumberFormat="1" applyFont="1" applyFill="1" applyAlignment="1">
      <alignment horizontal="center" vertical="center"/>
    </xf>
    <xf numFmtId="0" fontId="54" fillId="28" borderId="0" xfId="3" applyFont="1" applyFill="1" applyAlignment="1">
      <alignment horizontal="left" vertical="center"/>
    </xf>
    <xf numFmtId="40" fontId="55" fillId="28" borderId="0" xfId="3" applyNumberFormat="1" applyFont="1" applyFill="1" applyAlignment="1">
      <alignment horizontal="right" vertical="center"/>
    </xf>
    <xf numFmtId="40" fontId="55" fillId="28" borderId="0" xfId="3" applyNumberFormat="1" applyFont="1" applyFill="1" applyAlignment="1">
      <alignment vertical="center"/>
    </xf>
    <xf numFmtId="0" fontId="54" fillId="28" borderId="0" xfId="3" applyFont="1" applyFill="1" applyAlignment="1">
      <alignment horizontal="center" vertical="center"/>
    </xf>
    <xf numFmtId="40" fontId="55" fillId="28" borderId="0" xfId="3" applyNumberFormat="1" applyFont="1" applyFill="1" applyAlignment="1">
      <alignment horizontal="center" vertical="center"/>
    </xf>
    <xf numFmtId="40" fontId="62" fillId="0" borderId="0" xfId="3" applyNumberFormat="1" applyFont="1" applyAlignment="1">
      <alignment vertical="center"/>
    </xf>
    <xf numFmtId="0" fontId="0" fillId="28" borderId="0" xfId="0" applyFill="1"/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/>
    </xf>
    <xf numFmtId="4" fontId="63" fillId="0" borderId="0" xfId="0" applyNumberFormat="1" applyFont="1" applyAlignment="1">
      <alignment horizontal="right"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40" fontId="66" fillId="0" borderId="0" xfId="0" applyNumberFormat="1" applyFont="1" applyAlignment="1">
      <alignment horizontal="right" vertical="center"/>
    </xf>
    <xf numFmtId="172" fontId="67" fillId="0" borderId="0" xfId="3" applyNumberFormat="1" applyFont="1" applyAlignment="1">
      <alignment horizontal="center"/>
    </xf>
    <xf numFmtId="173" fontId="67" fillId="0" borderId="0" xfId="3" applyNumberFormat="1" applyFont="1" applyAlignment="1">
      <alignment horizontal="center"/>
    </xf>
    <xf numFmtId="0" fontId="67" fillId="0" borderId="0" xfId="3" applyFont="1" applyAlignment="1">
      <alignment horizontal="left"/>
    </xf>
    <xf numFmtId="4" fontId="67" fillId="0" borderId="0" xfId="3" applyNumberFormat="1" applyFont="1" applyAlignment="1">
      <alignment horizontal="right" vertical="center"/>
    </xf>
    <xf numFmtId="0" fontId="67" fillId="0" borderId="0" xfId="3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4" fontId="67" fillId="0" borderId="0" xfId="0" applyNumberFormat="1" applyFont="1" applyAlignment="1">
      <alignment horizontal="right" vertical="center"/>
    </xf>
    <xf numFmtId="0" fontId="67" fillId="0" borderId="27" xfId="0" applyFont="1" applyBorder="1" applyAlignment="1">
      <alignment horizontal="center"/>
    </xf>
    <xf numFmtId="0" fontId="67" fillId="0" borderId="28" xfId="0" applyFont="1" applyBorder="1" applyAlignment="1">
      <alignment horizontal="center"/>
    </xf>
    <xf numFmtId="179" fontId="67" fillId="0" borderId="28" xfId="0" applyNumberFormat="1" applyFont="1" applyBorder="1"/>
    <xf numFmtId="179" fontId="68" fillId="0" borderId="28" xfId="0" applyNumberFormat="1" applyFont="1" applyBorder="1" applyAlignment="1">
      <alignment horizontal="right"/>
    </xf>
    <xf numFmtId="179" fontId="65" fillId="0" borderId="28" xfId="0" applyNumberFormat="1" applyFont="1" applyBorder="1" applyAlignment="1">
      <alignment horizontal="right" vertical="center"/>
    </xf>
    <xf numFmtId="0" fontId="65" fillId="0" borderId="29" xfId="0" applyFont="1" applyBorder="1" applyAlignment="1">
      <alignment horizontal="right" vertical="center"/>
    </xf>
    <xf numFmtId="179" fontId="65" fillId="0" borderId="28" xfId="3" applyNumberFormat="1" applyFont="1" applyBorder="1" applyAlignment="1">
      <alignment horizontal="right"/>
    </xf>
    <xf numFmtId="179" fontId="65" fillId="0" borderId="28" xfId="3" applyNumberFormat="1" applyFont="1" applyBorder="1" applyAlignment="1">
      <alignment horizontal="right" vertical="center"/>
    </xf>
    <xf numFmtId="169" fontId="6" fillId="30" borderId="0" xfId="3" applyNumberFormat="1" applyFont="1" applyFill="1" applyAlignment="1">
      <alignment horizontal="center" vertical="center"/>
    </xf>
    <xf numFmtId="170" fontId="6" fillId="30" borderId="0" xfId="3" applyNumberFormat="1" applyFont="1" applyFill="1" applyAlignment="1">
      <alignment horizontal="center" vertical="center"/>
    </xf>
    <xf numFmtId="171" fontId="6" fillId="30" borderId="0" xfId="3" applyNumberFormat="1" applyFont="1" applyFill="1" applyAlignment="1">
      <alignment horizontal="center" vertical="center"/>
    </xf>
    <xf numFmtId="172" fontId="6" fillId="30" borderId="0" xfId="3" applyNumberFormat="1" applyFont="1" applyFill="1" applyAlignment="1">
      <alignment horizontal="center" vertical="center"/>
    </xf>
    <xf numFmtId="173" fontId="6" fillId="30" borderId="0" xfId="3" applyNumberFormat="1" applyFont="1" applyFill="1" applyAlignment="1">
      <alignment horizontal="center" vertical="center"/>
    </xf>
    <xf numFmtId="0" fontId="6" fillId="30" borderId="0" xfId="3" applyFont="1" applyFill="1" applyAlignment="1">
      <alignment horizontal="left" vertical="center"/>
    </xf>
    <xf numFmtId="40" fontId="7" fillId="30" borderId="0" xfId="3" applyNumberFormat="1" applyFont="1" applyFill="1" applyAlignment="1">
      <alignment horizontal="right" vertical="center"/>
    </xf>
    <xf numFmtId="40" fontId="7" fillId="30" borderId="0" xfId="3" applyNumberFormat="1" applyFont="1" applyFill="1" applyAlignment="1">
      <alignment vertical="center"/>
    </xf>
    <xf numFmtId="40" fontId="7" fillId="30" borderId="0" xfId="3" applyNumberFormat="1" applyFont="1" applyFill="1" applyAlignment="1">
      <alignment horizontal="center" vertical="center"/>
    </xf>
    <xf numFmtId="0" fontId="6" fillId="30" borderId="0" xfId="3" applyFont="1" applyFill="1" applyAlignment="1">
      <alignment horizontal="center" vertical="center"/>
    </xf>
    <xf numFmtId="169" fontId="63" fillId="0" borderId="0" xfId="3" applyNumberFormat="1" applyFont="1" applyAlignment="1">
      <alignment horizontal="center" vertical="center"/>
    </xf>
    <xf numFmtId="169" fontId="63" fillId="25" borderId="0" xfId="3" applyNumberFormat="1" applyFont="1" applyFill="1" applyAlignment="1">
      <alignment horizontal="center" vertical="center"/>
    </xf>
    <xf numFmtId="0" fontId="64" fillId="25" borderId="0" xfId="3" applyFont="1" applyFill="1" applyAlignment="1">
      <alignment horizontal="center"/>
    </xf>
    <xf numFmtId="4" fontId="63" fillId="25" borderId="0" xfId="3" applyNumberFormat="1" applyFont="1" applyFill="1" applyAlignment="1">
      <alignment horizontal="right" vertical="center"/>
    </xf>
    <xf numFmtId="4" fontId="36" fillId="25" borderId="0" xfId="3" applyNumberFormat="1" applyFont="1" applyFill="1" applyAlignment="1">
      <alignment horizontal="right" vertical="center"/>
    </xf>
    <xf numFmtId="169" fontId="65" fillId="0" borderId="0" xfId="3" applyNumberFormat="1" applyFont="1" applyAlignment="1">
      <alignment horizontal="center" vertical="center"/>
    </xf>
    <xf numFmtId="171" fontId="65" fillId="0" borderId="0" xfId="3" applyNumberFormat="1" applyFont="1" applyAlignment="1">
      <alignment horizontal="center" vertical="center"/>
    </xf>
    <xf numFmtId="172" fontId="65" fillId="0" borderId="0" xfId="3" applyNumberFormat="1" applyFont="1" applyAlignment="1">
      <alignment horizontal="center" vertical="center"/>
    </xf>
    <xf numFmtId="173" fontId="65" fillId="0" borderId="0" xfId="3" applyNumberFormat="1" applyFont="1" applyAlignment="1">
      <alignment horizontal="center" vertical="center"/>
    </xf>
    <xf numFmtId="0" fontId="65" fillId="0" borderId="0" xfId="3" applyFont="1" applyAlignment="1">
      <alignment horizontal="left" vertical="center"/>
    </xf>
    <xf numFmtId="40" fontId="66" fillId="0" borderId="0" xfId="3" applyNumberFormat="1" applyFont="1" applyAlignment="1">
      <alignment horizontal="right" vertical="center"/>
    </xf>
    <xf numFmtId="40" fontId="66" fillId="0" borderId="0" xfId="3" applyNumberFormat="1" applyFont="1" applyAlignment="1">
      <alignment vertical="center"/>
    </xf>
    <xf numFmtId="40" fontId="66" fillId="0" borderId="0" xfId="3" applyNumberFormat="1" applyFont="1" applyAlignment="1">
      <alignment horizontal="center" vertical="center"/>
    </xf>
    <xf numFmtId="0" fontId="65" fillId="0" borderId="0" xfId="3" applyFont="1" applyAlignment="1">
      <alignment horizontal="center" vertical="center"/>
    </xf>
    <xf numFmtId="170" fontId="65" fillId="0" borderId="0" xfId="3" applyNumberFormat="1" applyFont="1" applyAlignment="1">
      <alignment horizontal="center" vertical="center"/>
    </xf>
    <xf numFmtId="43" fontId="0" fillId="0" borderId="0" xfId="27" applyFont="1"/>
    <xf numFmtId="14" fontId="64" fillId="25" borderId="0" xfId="3" applyNumberFormat="1" applyFont="1" applyFill="1" applyAlignment="1">
      <alignment horizontal="left"/>
    </xf>
    <xf numFmtId="0" fontId="37" fillId="25" borderId="0" xfId="0" applyFont="1" applyFill="1" applyAlignment="1">
      <alignment horizontal="left"/>
    </xf>
    <xf numFmtId="0" fontId="64" fillId="25" borderId="0" xfId="0" applyFont="1" applyFill="1" applyAlignment="1">
      <alignment horizontal="left"/>
    </xf>
    <xf numFmtId="4" fontId="36" fillId="0" borderId="0" xfId="3" applyNumberFormat="1" applyFont="1" applyAlignment="1">
      <alignment horizontal="left" vertical="center"/>
    </xf>
    <xf numFmtId="40" fontId="7" fillId="27" borderId="0" xfId="3" applyNumberFormat="1" applyFont="1" applyFill="1" applyAlignment="1">
      <alignment horizontal="center" vertical="center"/>
    </xf>
    <xf numFmtId="169" fontId="69" fillId="0" borderId="0" xfId="3" applyNumberFormat="1" applyFont="1" applyAlignment="1">
      <alignment horizontal="center" vertical="center"/>
    </xf>
    <xf numFmtId="171" fontId="69" fillId="0" borderId="0" xfId="3" applyNumberFormat="1" applyFont="1" applyAlignment="1">
      <alignment horizontal="center" vertical="center"/>
    </xf>
    <xf numFmtId="172" fontId="69" fillId="0" borderId="0" xfId="3" applyNumberFormat="1" applyFont="1" applyAlignment="1">
      <alignment horizontal="center" vertical="center"/>
    </xf>
    <xf numFmtId="173" fontId="69" fillId="0" borderId="0" xfId="3" applyNumberFormat="1" applyFont="1" applyAlignment="1">
      <alignment horizontal="center" vertical="center"/>
    </xf>
    <xf numFmtId="0" fontId="69" fillId="0" borderId="0" xfId="3" applyFont="1" applyAlignment="1">
      <alignment horizontal="left" vertical="center"/>
    </xf>
    <xf numFmtId="40" fontId="70" fillId="0" borderId="0" xfId="3" applyNumberFormat="1" applyFont="1" applyAlignment="1">
      <alignment horizontal="right" vertical="center"/>
    </xf>
    <xf numFmtId="40" fontId="70" fillId="0" borderId="0" xfId="3" applyNumberFormat="1" applyFont="1" applyAlignment="1">
      <alignment vertical="center"/>
    </xf>
    <xf numFmtId="40" fontId="70" fillId="0" borderId="0" xfId="3" applyNumberFormat="1" applyFont="1" applyAlignment="1">
      <alignment horizontal="center" vertical="center"/>
    </xf>
    <xf numFmtId="0" fontId="69" fillId="0" borderId="0" xfId="3" applyFont="1" applyAlignment="1">
      <alignment horizontal="center" vertical="center"/>
    </xf>
    <xf numFmtId="0" fontId="6" fillId="27" borderId="0" xfId="3" applyFont="1" applyFill="1" applyAlignment="1">
      <alignment horizontal="left" vertical="center"/>
    </xf>
    <xf numFmtId="169" fontId="6" fillId="27" borderId="0" xfId="3" applyNumberFormat="1" applyFont="1" applyFill="1" applyAlignment="1">
      <alignment horizontal="center" vertical="center"/>
    </xf>
    <xf numFmtId="170" fontId="6" fillId="27" borderId="0" xfId="3" applyNumberFormat="1" applyFont="1" applyFill="1" applyAlignment="1">
      <alignment horizontal="center" vertical="center"/>
    </xf>
    <xf numFmtId="171" fontId="6" fillId="27" borderId="0" xfId="3" applyNumberFormat="1" applyFont="1" applyFill="1" applyAlignment="1">
      <alignment horizontal="center" vertical="center"/>
    </xf>
    <xf numFmtId="172" fontId="6" fillId="27" borderId="0" xfId="3" applyNumberFormat="1" applyFont="1" applyFill="1" applyAlignment="1">
      <alignment horizontal="center" vertical="center"/>
    </xf>
    <xf numFmtId="173" fontId="6" fillId="27" borderId="0" xfId="3" applyNumberFormat="1" applyFont="1" applyFill="1" applyAlignment="1">
      <alignment horizontal="center" vertical="center"/>
    </xf>
    <xf numFmtId="40" fontId="7" fillId="27" borderId="0" xfId="3" applyNumberFormat="1" applyFont="1" applyFill="1" applyAlignment="1">
      <alignment horizontal="right" vertical="center"/>
    </xf>
    <xf numFmtId="40" fontId="7" fillId="27" borderId="0" xfId="3" applyNumberFormat="1" applyFont="1" applyFill="1" applyAlignment="1">
      <alignment vertical="center"/>
    </xf>
    <xf numFmtId="169" fontId="39" fillId="27" borderId="0" xfId="3" applyNumberFormat="1" applyFont="1" applyFill="1" applyAlignment="1">
      <alignment horizontal="center" vertical="center"/>
    </xf>
    <xf numFmtId="170" fontId="39" fillId="27" borderId="0" xfId="3" applyNumberFormat="1" applyFont="1" applyFill="1" applyAlignment="1">
      <alignment horizontal="center" vertical="center"/>
    </xf>
    <xf numFmtId="171" fontId="39" fillId="27" borderId="0" xfId="3" applyNumberFormat="1" applyFont="1" applyFill="1" applyAlignment="1">
      <alignment horizontal="center" vertical="center"/>
    </xf>
    <xf numFmtId="172" fontId="39" fillId="27" borderId="0" xfId="3" applyNumberFormat="1" applyFont="1" applyFill="1" applyAlignment="1">
      <alignment horizontal="center" vertical="center"/>
    </xf>
    <xf numFmtId="173" fontId="39" fillId="27" borderId="0" xfId="3" applyNumberFormat="1" applyFont="1" applyFill="1" applyAlignment="1">
      <alignment horizontal="center" vertical="center"/>
    </xf>
    <xf numFmtId="0" fontId="39" fillId="27" borderId="0" xfId="3" applyFont="1" applyFill="1" applyAlignment="1">
      <alignment horizontal="left" vertical="center"/>
    </xf>
    <xf numFmtId="40" fontId="40" fillId="27" borderId="0" xfId="3" applyNumberFormat="1" applyFont="1" applyFill="1" applyAlignment="1">
      <alignment horizontal="right" vertical="center"/>
    </xf>
    <xf numFmtId="40" fontId="40" fillId="27" borderId="0" xfId="3" applyNumberFormat="1" applyFont="1" applyFill="1" applyAlignment="1">
      <alignment vertical="center"/>
    </xf>
    <xf numFmtId="40" fontId="40" fillId="27" borderId="0" xfId="3" applyNumberFormat="1" applyFont="1" applyFill="1" applyAlignment="1">
      <alignment horizontal="center" vertical="center"/>
    </xf>
    <xf numFmtId="169" fontId="69" fillId="28" borderId="0" xfId="3" applyNumberFormat="1" applyFont="1" applyFill="1" applyAlignment="1">
      <alignment horizontal="center" vertical="center"/>
    </xf>
    <xf numFmtId="171" fontId="69" fillId="28" borderId="0" xfId="3" applyNumberFormat="1" applyFont="1" applyFill="1" applyAlignment="1">
      <alignment horizontal="center" vertical="center"/>
    </xf>
    <xf numFmtId="172" fontId="69" fillId="28" borderId="0" xfId="3" applyNumberFormat="1" applyFont="1" applyFill="1" applyAlignment="1">
      <alignment horizontal="center" vertical="center"/>
    </xf>
    <xf numFmtId="173" fontId="69" fillId="28" borderId="0" xfId="3" applyNumberFormat="1" applyFont="1" applyFill="1" applyAlignment="1">
      <alignment horizontal="center" vertical="center"/>
    </xf>
    <xf numFmtId="0" fontId="69" fillId="28" borderId="0" xfId="3" applyFont="1" applyFill="1" applyAlignment="1">
      <alignment horizontal="left" vertical="center"/>
    </xf>
    <xf numFmtId="40" fontId="70" fillId="28" borderId="0" xfId="3" applyNumberFormat="1" applyFont="1" applyFill="1" applyAlignment="1">
      <alignment horizontal="right" vertical="center"/>
    </xf>
    <xf numFmtId="40" fontId="70" fillId="28" borderId="0" xfId="3" applyNumberFormat="1" applyFont="1" applyFill="1" applyAlignment="1">
      <alignment vertical="center"/>
    </xf>
    <xf numFmtId="40" fontId="70" fillId="28" borderId="0" xfId="3" applyNumberFormat="1" applyFont="1" applyFill="1" applyAlignment="1">
      <alignment horizontal="center" vertical="center"/>
    </xf>
    <xf numFmtId="0" fontId="69" fillId="28" borderId="0" xfId="3" applyFont="1" applyFill="1" applyAlignment="1">
      <alignment horizontal="center" vertical="center"/>
    </xf>
    <xf numFmtId="169" fontId="71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/>
    </xf>
    <xf numFmtId="4" fontId="71" fillId="0" borderId="0" xfId="0" applyNumberFormat="1" applyFont="1" applyAlignment="1">
      <alignment horizontal="right" vertical="center"/>
    </xf>
    <xf numFmtId="169" fontId="73" fillId="0" borderId="0" xfId="3" applyNumberFormat="1" applyFont="1" applyAlignment="1">
      <alignment horizontal="center" vertical="center"/>
    </xf>
    <xf numFmtId="170" fontId="73" fillId="0" borderId="0" xfId="3" applyNumberFormat="1" applyFont="1" applyAlignment="1">
      <alignment horizontal="center" vertical="center"/>
    </xf>
    <xf numFmtId="171" fontId="73" fillId="0" borderId="0" xfId="3" applyNumberFormat="1" applyFont="1" applyAlignment="1">
      <alignment horizontal="center" vertical="center"/>
    </xf>
    <xf numFmtId="172" fontId="73" fillId="0" borderId="0" xfId="3" applyNumberFormat="1" applyFont="1" applyAlignment="1">
      <alignment horizontal="center" vertical="center"/>
    </xf>
    <xf numFmtId="173" fontId="73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40" fontId="74" fillId="0" borderId="0" xfId="3" applyNumberFormat="1" applyFont="1" applyAlignment="1">
      <alignment horizontal="right" vertical="center"/>
    </xf>
    <xf numFmtId="40" fontId="74" fillId="0" borderId="0" xfId="3" applyNumberFormat="1" applyFont="1" applyAlignment="1">
      <alignment vertical="center"/>
    </xf>
    <xf numFmtId="40" fontId="74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horizontal="left" vertical="center"/>
    </xf>
    <xf numFmtId="40" fontId="74" fillId="0" borderId="0" xfId="0" applyNumberFormat="1" applyFont="1" applyAlignment="1">
      <alignment horizontal="right" vertical="center"/>
    </xf>
    <xf numFmtId="172" fontId="75" fillId="0" borderId="0" xfId="3" applyNumberFormat="1" applyFont="1" applyAlignment="1">
      <alignment horizontal="center"/>
    </xf>
    <xf numFmtId="173" fontId="75" fillId="0" borderId="0" xfId="3" applyNumberFormat="1" applyFont="1" applyAlignment="1">
      <alignment horizontal="center"/>
    </xf>
    <xf numFmtId="0" fontId="75" fillId="0" borderId="0" xfId="3" applyFont="1" applyAlignment="1">
      <alignment horizontal="left"/>
    </xf>
    <xf numFmtId="4" fontId="75" fillId="0" borderId="0" xfId="3" applyNumberFormat="1" applyFont="1" applyAlignment="1">
      <alignment horizontal="right" vertical="center"/>
    </xf>
    <xf numFmtId="0" fontId="75" fillId="0" borderId="0" xfId="3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5" fillId="0" borderId="0" xfId="0" applyFont="1" applyAlignment="1">
      <alignment horizontal="left" vertical="center"/>
    </xf>
    <xf numFmtId="4" fontId="75" fillId="0" borderId="0" xfId="0" applyNumberFormat="1" applyFont="1" applyAlignment="1">
      <alignment horizontal="right" vertical="center"/>
    </xf>
    <xf numFmtId="2" fontId="0" fillId="0" borderId="0" xfId="0" applyNumberFormat="1"/>
    <xf numFmtId="169" fontId="73" fillId="28" borderId="0" xfId="3" applyNumberFormat="1" applyFont="1" applyFill="1" applyAlignment="1">
      <alignment horizontal="center" vertical="center"/>
    </xf>
    <xf numFmtId="170" fontId="73" fillId="28" borderId="0" xfId="3" applyNumberFormat="1" applyFont="1" applyFill="1" applyAlignment="1">
      <alignment horizontal="center" vertical="center"/>
    </xf>
    <xf numFmtId="171" fontId="73" fillId="28" borderId="0" xfId="3" applyNumberFormat="1" applyFont="1" applyFill="1" applyAlignment="1">
      <alignment horizontal="center" vertical="center"/>
    </xf>
    <xf numFmtId="172" fontId="73" fillId="28" borderId="0" xfId="3" applyNumberFormat="1" applyFont="1" applyFill="1" applyAlignment="1">
      <alignment horizontal="center" vertical="center"/>
    </xf>
    <xf numFmtId="173" fontId="73" fillId="28" borderId="0" xfId="3" applyNumberFormat="1" applyFont="1" applyFill="1" applyAlignment="1">
      <alignment horizontal="center" vertical="center"/>
    </xf>
    <xf numFmtId="0" fontId="73" fillId="28" borderId="0" xfId="3" applyFont="1" applyFill="1" applyAlignment="1">
      <alignment horizontal="left" vertical="center"/>
    </xf>
    <xf numFmtId="40" fontId="74" fillId="28" borderId="0" xfId="3" applyNumberFormat="1" applyFont="1" applyFill="1" applyAlignment="1">
      <alignment horizontal="right" vertical="center"/>
    </xf>
    <xf numFmtId="40" fontId="74" fillId="28" borderId="0" xfId="3" applyNumberFormat="1" applyFont="1" applyFill="1" applyAlignment="1">
      <alignment vertical="center"/>
    </xf>
    <xf numFmtId="40" fontId="74" fillId="28" borderId="0" xfId="3" applyNumberFormat="1" applyFont="1" applyFill="1" applyAlignment="1">
      <alignment horizontal="center" vertical="center"/>
    </xf>
    <xf numFmtId="0" fontId="73" fillId="28" borderId="0" xfId="3" applyFont="1" applyFill="1" applyAlignment="1">
      <alignment horizontal="center" vertical="center"/>
    </xf>
    <xf numFmtId="0" fontId="75" fillId="0" borderId="27" xfId="0" applyFont="1" applyBorder="1" applyAlignment="1">
      <alignment horizontal="center"/>
    </xf>
    <xf numFmtId="0" fontId="75" fillId="0" borderId="28" xfId="0" applyFont="1" applyBorder="1" applyAlignment="1">
      <alignment horizontal="center"/>
    </xf>
    <xf numFmtId="179" fontId="75" fillId="0" borderId="28" xfId="0" applyNumberFormat="1" applyFont="1" applyBorder="1"/>
    <xf numFmtId="179" fontId="76" fillId="0" borderId="28" xfId="0" applyNumberFormat="1" applyFont="1" applyBorder="1" applyAlignment="1">
      <alignment horizontal="right"/>
    </xf>
    <xf numFmtId="179" fontId="73" fillId="0" borderId="28" xfId="0" applyNumberFormat="1" applyFont="1" applyBorder="1" applyAlignment="1">
      <alignment horizontal="right" vertical="center"/>
    </xf>
    <xf numFmtId="0" fontId="73" fillId="0" borderId="29" xfId="0" applyFont="1" applyBorder="1" applyAlignment="1">
      <alignment horizontal="right" vertical="center"/>
    </xf>
    <xf numFmtId="169" fontId="77" fillId="0" borderId="0" xfId="3" applyNumberFormat="1" applyFont="1" applyAlignment="1">
      <alignment horizontal="center" vertical="center"/>
    </xf>
    <xf numFmtId="4" fontId="77" fillId="0" borderId="0" xfId="3" applyNumberFormat="1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4" fontId="77" fillId="0" borderId="0" xfId="0" applyNumberFormat="1" applyFont="1" applyAlignment="1">
      <alignment horizontal="right" vertical="center"/>
    </xf>
    <xf numFmtId="0" fontId="77" fillId="0" borderId="0" xfId="0" applyFont="1" applyAlignment="1">
      <alignment horizontal="right" vertical="center"/>
    </xf>
    <xf numFmtId="4" fontId="73" fillId="0" borderId="0" xfId="3" applyNumberFormat="1" applyFont="1" applyAlignment="1">
      <alignment horizontal="right" vertical="center"/>
    </xf>
    <xf numFmtId="0" fontId="79" fillId="22" borderId="35" xfId="0" applyFont="1" applyFill="1" applyBorder="1" applyAlignment="1">
      <alignment horizontal="center" vertical="center"/>
    </xf>
    <xf numFmtId="169" fontId="73" fillId="25" borderId="0" xfId="3" applyNumberFormat="1" applyFont="1" applyFill="1" applyAlignment="1">
      <alignment horizontal="center" vertical="center"/>
    </xf>
    <xf numFmtId="171" fontId="73" fillId="25" borderId="0" xfId="3" applyNumberFormat="1" applyFont="1" applyFill="1" applyAlignment="1">
      <alignment horizontal="center" vertical="center"/>
    </xf>
    <xf numFmtId="172" fontId="73" fillId="25" borderId="0" xfId="3" applyNumberFormat="1" applyFont="1" applyFill="1" applyAlignment="1">
      <alignment horizontal="center" vertical="center"/>
    </xf>
    <xf numFmtId="173" fontId="73" fillId="25" borderId="0" xfId="3" applyNumberFormat="1" applyFont="1" applyFill="1" applyAlignment="1">
      <alignment horizontal="center" vertical="center"/>
    </xf>
    <xf numFmtId="0" fontId="73" fillId="25" borderId="0" xfId="3" applyFont="1" applyFill="1" applyAlignment="1">
      <alignment horizontal="left" vertical="center"/>
    </xf>
    <xf numFmtId="40" fontId="74" fillId="25" borderId="0" xfId="3" applyNumberFormat="1" applyFont="1" applyFill="1" applyAlignment="1">
      <alignment horizontal="right" vertical="center"/>
    </xf>
    <xf numFmtId="40" fontId="74" fillId="25" borderId="0" xfId="3" applyNumberFormat="1" applyFont="1" applyFill="1" applyAlignment="1">
      <alignment vertical="center"/>
    </xf>
    <xf numFmtId="0" fontId="73" fillId="25" borderId="0" xfId="3" applyFont="1" applyFill="1" applyAlignment="1">
      <alignment horizontal="center" vertical="center"/>
    </xf>
    <xf numFmtId="0" fontId="39" fillId="27" borderId="0" xfId="3" applyFont="1" applyFill="1" applyAlignment="1">
      <alignment horizontal="center" vertical="center"/>
    </xf>
    <xf numFmtId="0" fontId="6" fillId="27" borderId="0" xfId="3" applyFont="1" applyFill="1" applyAlignment="1">
      <alignment horizontal="center" vertical="center"/>
    </xf>
    <xf numFmtId="0" fontId="78" fillId="0" borderId="0" xfId="0" applyFont="1" applyAlignment="1">
      <alignment horizontal="left"/>
    </xf>
    <xf numFmtId="169" fontId="80" fillId="0" borderId="0" xfId="3" applyNumberFormat="1" applyFont="1" applyAlignment="1">
      <alignment horizontal="center" vertical="center"/>
    </xf>
    <xf numFmtId="170" fontId="80" fillId="0" borderId="0" xfId="3" applyNumberFormat="1" applyFont="1" applyAlignment="1">
      <alignment horizontal="center" vertical="center"/>
    </xf>
    <xf numFmtId="171" fontId="80" fillId="0" borderId="0" xfId="3" applyNumberFormat="1" applyFont="1" applyAlignment="1">
      <alignment horizontal="center" vertical="center"/>
    </xf>
    <xf numFmtId="173" fontId="80" fillId="0" borderId="0" xfId="3" applyNumberFormat="1" applyFont="1" applyAlignment="1">
      <alignment horizontal="center" vertical="center"/>
    </xf>
    <xf numFmtId="0" fontId="80" fillId="0" borderId="0" xfId="3" applyFont="1" applyAlignment="1">
      <alignment horizontal="left" vertical="center"/>
    </xf>
    <xf numFmtId="40" fontId="81" fillId="0" borderId="0" xfId="3" applyNumberFormat="1" applyFont="1" applyAlignment="1">
      <alignment horizontal="right" vertical="center"/>
    </xf>
    <xf numFmtId="40" fontId="81" fillId="0" borderId="0" xfId="3" applyNumberFormat="1" applyFont="1" applyAlignment="1">
      <alignment vertical="center"/>
    </xf>
    <xf numFmtId="40" fontId="81" fillId="0" borderId="0" xfId="3" applyNumberFormat="1" applyFont="1" applyAlignment="1">
      <alignment horizontal="center" vertical="center"/>
    </xf>
    <xf numFmtId="0" fontId="80" fillId="0" borderId="0" xfId="3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0" xfId="0" applyFont="1" applyAlignment="1">
      <alignment horizontal="left" vertical="center"/>
    </xf>
    <xf numFmtId="40" fontId="81" fillId="0" borderId="0" xfId="0" applyNumberFormat="1" applyFont="1" applyAlignment="1">
      <alignment horizontal="right" vertical="center"/>
    </xf>
    <xf numFmtId="172" fontId="82" fillId="0" borderId="0" xfId="3" applyNumberFormat="1" applyFont="1" applyAlignment="1">
      <alignment horizontal="center"/>
    </xf>
    <xf numFmtId="173" fontId="82" fillId="0" borderId="0" xfId="3" applyNumberFormat="1" applyFont="1" applyAlignment="1">
      <alignment horizontal="center"/>
    </xf>
    <xf numFmtId="0" fontId="82" fillId="0" borderId="0" xfId="3" applyFont="1" applyAlignment="1">
      <alignment horizontal="left"/>
    </xf>
    <xf numFmtId="4" fontId="82" fillId="0" borderId="0" xfId="3" applyNumberFormat="1" applyFont="1" applyAlignment="1">
      <alignment horizontal="right" vertical="center"/>
    </xf>
    <xf numFmtId="0" fontId="82" fillId="0" borderId="0" xfId="3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2" fillId="0" borderId="0" xfId="0" applyFont="1" applyAlignment="1">
      <alignment horizontal="left" vertical="center"/>
    </xf>
    <xf numFmtId="4" fontId="82" fillId="0" borderId="0" xfId="0" applyNumberFormat="1" applyFont="1" applyAlignment="1">
      <alignment horizontal="right" vertical="center"/>
    </xf>
    <xf numFmtId="173" fontId="80" fillId="28" borderId="0" xfId="3" applyNumberFormat="1" applyFont="1" applyFill="1" applyAlignment="1">
      <alignment horizontal="center" vertical="center"/>
    </xf>
    <xf numFmtId="169" fontId="39" fillId="28" borderId="0" xfId="3" applyNumberFormat="1" applyFont="1" applyFill="1" applyAlignment="1">
      <alignment horizontal="center" vertical="center"/>
    </xf>
    <xf numFmtId="171" fontId="39" fillId="28" borderId="0" xfId="3" applyNumberFormat="1" applyFont="1" applyFill="1" applyAlignment="1">
      <alignment horizontal="center" vertical="center"/>
    </xf>
    <xf numFmtId="172" fontId="39" fillId="28" borderId="0" xfId="3" applyNumberFormat="1" applyFont="1" applyFill="1" applyAlignment="1">
      <alignment horizontal="center" vertical="center"/>
    </xf>
    <xf numFmtId="173" fontId="39" fillId="28" borderId="0" xfId="3" applyNumberFormat="1" applyFont="1" applyFill="1" applyAlignment="1">
      <alignment horizontal="center" vertical="center"/>
    </xf>
    <xf numFmtId="0" fontId="39" fillId="28" borderId="0" xfId="3" applyFont="1" applyFill="1" applyAlignment="1">
      <alignment horizontal="left" vertical="center"/>
    </xf>
    <xf numFmtId="40" fontId="40" fillId="28" borderId="0" xfId="3" applyNumberFormat="1" applyFont="1" applyFill="1" applyAlignment="1">
      <alignment horizontal="right" vertical="center"/>
    </xf>
    <xf numFmtId="40" fontId="40" fillId="28" borderId="0" xfId="3" applyNumberFormat="1" applyFont="1" applyFill="1" applyAlignment="1">
      <alignment vertical="center"/>
    </xf>
    <xf numFmtId="40" fontId="40" fillId="28" borderId="0" xfId="3" applyNumberFormat="1" applyFont="1" applyFill="1" applyAlignment="1">
      <alignment horizontal="center" vertical="center"/>
    </xf>
    <xf numFmtId="0" fontId="39" fillId="28" borderId="0" xfId="3" applyFont="1" applyFill="1" applyAlignment="1">
      <alignment horizontal="center" vertical="center"/>
    </xf>
    <xf numFmtId="169" fontId="80" fillId="28" borderId="0" xfId="3" applyNumberFormat="1" applyFont="1" applyFill="1" applyAlignment="1">
      <alignment horizontal="center" vertical="center"/>
    </xf>
    <xf numFmtId="171" fontId="80" fillId="28" borderId="0" xfId="3" applyNumberFormat="1" applyFont="1" applyFill="1" applyAlignment="1">
      <alignment horizontal="center" vertical="center"/>
    </xf>
    <xf numFmtId="172" fontId="80" fillId="28" borderId="0" xfId="3" applyNumberFormat="1" applyFont="1" applyFill="1" applyAlignment="1">
      <alignment horizontal="center" vertical="center"/>
    </xf>
    <xf numFmtId="0" fontId="80" fillId="28" borderId="0" xfId="3" applyFont="1" applyFill="1" applyAlignment="1">
      <alignment horizontal="left" vertical="center"/>
    </xf>
    <xf numFmtId="40" fontId="81" fillId="28" borderId="0" xfId="3" applyNumberFormat="1" applyFont="1" applyFill="1" applyAlignment="1">
      <alignment horizontal="right" vertical="center"/>
    </xf>
    <xf numFmtId="40" fontId="81" fillId="28" borderId="0" xfId="3" applyNumberFormat="1" applyFont="1" applyFill="1" applyAlignment="1">
      <alignment vertical="center"/>
    </xf>
    <xf numFmtId="40" fontId="81" fillId="28" borderId="0" xfId="3" applyNumberFormat="1" applyFont="1" applyFill="1" applyAlignment="1">
      <alignment horizontal="center" vertical="center"/>
    </xf>
    <xf numFmtId="0" fontId="80" fillId="28" borderId="0" xfId="3" applyFont="1" applyFill="1" applyAlignment="1">
      <alignment horizontal="center" vertical="center"/>
    </xf>
    <xf numFmtId="170" fontId="80" fillId="28" borderId="0" xfId="3" applyNumberFormat="1" applyFont="1" applyFill="1" applyAlignment="1">
      <alignment horizontal="center" vertical="center"/>
    </xf>
    <xf numFmtId="169" fontId="83" fillId="0" borderId="0" xfId="3" applyNumberFormat="1" applyFont="1" applyAlignment="1">
      <alignment horizontal="center" vertical="center"/>
    </xf>
    <xf numFmtId="4" fontId="83" fillId="0" borderId="0" xfId="3" applyNumberFormat="1" applyFont="1" applyAlignment="1">
      <alignment horizontal="right" vertical="center"/>
    </xf>
    <xf numFmtId="0" fontId="83" fillId="0" borderId="0" xfId="0" applyFont="1" applyAlignment="1">
      <alignment horizontal="center" vertical="center"/>
    </xf>
    <xf numFmtId="0" fontId="84" fillId="0" borderId="0" xfId="0" applyFont="1" applyAlignment="1">
      <alignment horizontal="center"/>
    </xf>
    <xf numFmtId="4" fontId="83" fillId="0" borderId="0" xfId="0" applyNumberFormat="1" applyFont="1" applyAlignment="1">
      <alignment horizontal="right" vertical="center"/>
    </xf>
    <xf numFmtId="0" fontId="84" fillId="0" borderId="0" xfId="3" applyFont="1" applyAlignment="1">
      <alignment horizontal="center"/>
    </xf>
    <xf numFmtId="0" fontId="82" fillId="0" borderId="27" xfId="0" applyFont="1" applyBorder="1" applyAlignment="1">
      <alignment horizontal="center"/>
    </xf>
    <xf numFmtId="0" fontId="82" fillId="0" borderId="28" xfId="0" applyFont="1" applyBorder="1" applyAlignment="1">
      <alignment horizontal="center"/>
    </xf>
    <xf numFmtId="40" fontId="85" fillId="0" borderId="28" xfId="0" applyNumberFormat="1" applyFont="1" applyBorder="1" applyAlignment="1">
      <alignment horizontal="right"/>
    </xf>
    <xf numFmtId="40" fontId="80" fillId="0" borderId="28" xfId="0" applyNumberFormat="1" applyFont="1" applyBorder="1" applyAlignment="1">
      <alignment horizontal="right" vertical="center"/>
    </xf>
    <xf numFmtId="0" fontId="80" fillId="0" borderId="29" xfId="0" applyFont="1" applyBorder="1" applyAlignment="1">
      <alignment horizontal="right" vertical="center"/>
    </xf>
    <xf numFmtId="172" fontId="80" fillId="0" borderId="0" xfId="3" applyNumberFormat="1" applyFont="1" applyAlignment="1">
      <alignment horizontal="center" vertical="center"/>
    </xf>
    <xf numFmtId="40" fontId="6" fillId="0" borderId="0" xfId="3" applyNumberFormat="1" applyFont="1" applyAlignment="1">
      <alignment vertical="center"/>
    </xf>
    <xf numFmtId="0" fontId="0" fillId="16" borderId="0" xfId="0" applyFill="1"/>
    <xf numFmtId="169" fontId="80" fillId="31" borderId="0" xfId="3" applyNumberFormat="1" applyFont="1" applyFill="1" applyAlignment="1">
      <alignment horizontal="center" vertical="center"/>
    </xf>
    <xf numFmtId="0" fontId="0" fillId="31" borderId="0" xfId="0" applyFill="1"/>
    <xf numFmtId="170" fontId="80" fillId="31" borderId="0" xfId="3" applyNumberFormat="1" applyFont="1" applyFill="1" applyAlignment="1">
      <alignment horizontal="center" vertical="center"/>
    </xf>
    <xf numFmtId="171" fontId="80" fillId="31" borderId="0" xfId="3" applyNumberFormat="1" applyFont="1" applyFill="1" applyAlignment="1">
      <alignment horizontal="center" vertical="center"/>
    </xf>
    <xf numFmtId="172" fontId="80" fillId="31" borderId="0" xfId="3" applyNumberFormat="1" applyFont="1" applyFill="1" applyAlignment="1">
      <alignment horizontal="center" vertical="center"/>
    </xf>
    <xf numFmtId="173" fontId="80" fillId="31" borderId="0" xfId="3" applyNumberFormat="1" applyFont="1" applyFill="1" applyAlignment="1">
      <alignment horizontal="center" vertical="center"/>
    </xf>
    <xf numFmtId="0" fontId="80" fillId="31" borderId="0" xfId="3" applyFont="1" applyFill="1" applyAlignment="1">
      <alignment horizontal="left" vertical="center"/>
    </xf>
    <xf numFmtId="40" fontId="81" fillId="31" borderId="0" xfId="3" applyNumberFormat="1" applyFont="1" applyFill="1" applyAlignment="1">
      <alignment horizontal="right" vertical="center"/>
    </xf>
    <xf numFmtId="40" fontId="81" fillId="31" borderId="0" xfId="3" applyNumberFormat="1" applyFont="1" applyFill="1" applyAlignment="1">
      <alignment vertical="center"/>
    </xf>
    <xf numFmtId="40" fontId="81" fillId="31" borderId="0" xfId="3" applyNumberFormat="1" applyFont="1" applyFill="1" applyAlignment="1">
      <alignment horizontal="center" vertical="center"/>
    </xf>
    <xf numFmtId="0" fontId="80" fillId="31" borderId="0" xfId="3" applyFont="1" applyFill="1" applyAlignment="1">
      <alignment horizontal="center" vertical="center"/>
    </xf>
    <xf numFmtId="43" fontId="36" fillId="0" borderId="0" xfId="27" applyFont="1" applyAlignment="1">
      <alignment horizontal="right" vertical="center"/>
    </xf>
    <xf numFmtId="43" fontId="82" fillId="0" borderId="0" xfId="27" applyFont="1" applyFill="1" applyAlignment="1">
      <alignment horizontal="right" vertical="center"/>
    </xf>
    <xf numFmtId="0" fontId="36" fillId="0" borderId="0" xfId="0" applyFont="1" applyAlignment="1">
      <alignment horizontal="right" vertical="center"/>
    </xf>
    <xf numFmtId="4" fontId="80" fillId="0" borderId="0" xfId="3" applyNumberFormat="1" applyFont="1" applyAlignment="1">
      <alignment horizontal="right" vertical="center"/>
    </xf>
    <xf numFmtId="0" fontId="86" fillId="22" borderId="35" xfId="0" applyFont="1" applyFill="1" applyBorder="1" applyAlignment="1">
      <alignment horizontal="center" vertical="center"/>
    </xf>
    <xf numFmtId="43" fontId="3" fillId="0" borderId="0" xfId="27" applyFont="1"/>
    <xf numFmtId="40" fontId="40" fillId="31" borderId="0" xfId="3" applyNumberFormat="1" applyFont="1" applyFill="1" applyAlignment="1">
      <alignment horizontal="right" vertical="center"/>
    </xf>
    <xf numFmtId="40" fontId="40" fillId="31" borderId="0" xfId="3" applyNumberFormat="1" applyFont="1" applyFill="1" applyAlignment="1">
      <alignment vertical="center"/>
    </xf>
    <xf numFmtId="40" fontId="7" fillId="31" borderId="0" xfId="3" applyNumberFormat="1" applyFont="1" applyFill="1" applyAlignment="1">
      <alignment vertical="center"/>
    </xf>
    <xf numFmtId="40" fontId="7" fillId="31" borderId="0" xfId="3" applyNumberFormat="1" applyFont="1" applyFill="1" applyAlignment="1">
      <alignment horizontal="center" vertical="center"/>
    </xf>
    <xf numFmtId="39" fontId="0" fillId="0" borderId="1" xfId="0" applyNumberFormat="1" applyBorder="1"/>
    <xf numFmtId="0" fontId="3" fillId="0" borderId="1" xfId="0" applyFont="1" applyBorder="1" applyAlignment="1">
      <alignment horizontal="left"/>
    </xf>
    <xf numFmtId="0" fontId="3" fillId="0" borderId="13" xfId="0" applyFont="1" applyBorder="1"/>
    <xf numFmtId="0" fontId="87" fillId="0" borderId="0" xfId="0" applyFont="1" applyAlignment="1">
      <alignment horizontal="center" vertical="center"/>
    </xf>
    <xf numFmtId="0" fontId="88" fillId="0" borderId="0" xfId="0" applyFont="1" applyAlignment="1">
      <alignment horizontal="center"/>
    </xf>
    <xf numFmtId="4" fontId="87" fillId="0" borderId="0" xfId="0" applyNumberFormat="1" applyFont="1" applyAlignment="1">
      <alignment horizontal="right" vertical="center"/>
    </xf>
    <xf numFmtId="182" fontId="88" fillId="0" borderId="0" xfId="0" applyNumberFormat="1" applyFont="1" applyAlignment="1">
      <alignment horizontal="center"/>
    </xf>
    <xf numFmtId="4" fontId="87" fillId="0" borderId="0" xfId="3" applyNumberFormat="1" applyFont="1" applyAlignment="1">
      <alignment horizontal="right" vertical="center"/>
    </xf>
    <xf numFmtId="169" fontId="42" fillId="31" borderId="0" xfId="3" applyNumberFormat="1" applyFont="1" applyFill="1" applyAlignment="1">
      <alignment horizontal="center" vertical="center"/>
    </xf>
    <xf numFmtId="170" fontId="42" fillId="31" borderId="0" xfId="3" applyNumberFormat="1" applyFont="1" applyFill="1" applyAlignment="1">
      <alignment horizontal="center" vertical="center"/>
    </xf>
    <xf numFmtId="171" fontId="42" fillId="31" borderId="0" xfId="3" applyNumberFormat="1" applyFont="1" applyFill="1" applyAlignment="1">
      <alignment horizontal="center" vertical="center"/>
    </xf>
    <xf numFmtId="172" fontId="42" fillId="31" borderId="0" xfId="3" applyNumberFormat="1" applyFont="1" applyFill="1" applyAlignment="1">
      <alignment horizontal="center" vertical="center"/>
    </xf>
    <xf numFmtId="173" fontId="42" fillId="31" borderId="0" xfId="3" applyNumberFormat="1" applyFont="1" applyFill="1" applyAlignment="1">
      <alignment horizontal="center" vertical="center"/>
    </xf>
    <xf numFmtId="0" fontId="42" fillId="31" borderId="0" xfId="3" applyFont="1" applyFill="1" applyAlignment="1">
      <alignment horizontal="left" vertical="center"/>
    </xf>
    <xf numFmtId="40" fontId="43" fillId="31" borderId="0" xfId="3" applyNumberFormat="1" applyFont="1" applyFill="1" applyAlignment="1">
      <alignment horizontal="right" vertical="center"/>
    </xf>
    <xf numFmtId="40" fontId="43" fillId="31" borderId="0" xfId="3" applyNumberFormat="1" applyFont="1" applyFill="1" applyAlignment="1">
      <alignment vertical="center"/>
    </xf>
    <xf numFmtId="40" fontId="43" fillId="31" borderId="0" xfId="3" applyNumberFormat="1" applyFont="1" applyFill="1" applyAlignment="1">
      <alignment horizontal="center" vertical="center"/>
    </xf>
    <xf numFmtId="0" fontId="42" fillId="31" borderId="0" xfId="3" applyFont="1" applyFill="1" applyAlignment="1">
      <alignment horizontal="center" vertical="center"/>
    </xf>
    <xf numFmtId="40" fontId="7" fillId="31" borderId="0" xfId="3" applyNumberFormat="1" applyFont="1" applyFill="1" applyAlignment="1">
      <alignment horizontal="right" vertical="center"/>
    </xf>
    <xf numFmtId="0" fontId="39" fillId="31" borderId="0" xfId="3" applyFont="1" applyFill="1" applyAlignment="1">
      <alignment horizontal="left" vertical="center"/>
    </xf>
    <xf numFmtId="40" fontId="40" fillId="31" borderId="0" xfId="3" applyNumberFormat="1" applyFont="1" applyFill="1" applyAlignment="1">
      <alignment horizontal="center" vertical="center"/>
    </xf>
    <xf numFmtId="0" fontId="39" fillId="31" borderId="0" xfId="3" applyFont="1" applyFill="1" applyAlignment="1">
      <alignment horizontal="center" vertical="center"/>
    </xf>
    <xf numFmtId="0" fontId="6" fillId="31" borderId="0" xfId="3" applyFont="1" applyFill="1" applyAlignment="1">
      <alignment horizontal="left" vertical="center"/>
    </xf>
    <xf numFmtId="0" fontId="6" fillId="31" borderId="0" xfId="3" applyFont="1" applyFill="1" applyAlignment="1">
      <alignment horizontal="center" vertical="center"/>
    </xf>
    <xf numFmtId="40" fontId="43" fillId="0" borderId="0" xfId="3" applyNumberFormat="1" applyFont="1" applyAlignment="1">
      <alignment horizontal="right" vertical="center"/>
    </xf>
    <xf numFmtId="0" fontId="89" fillId="0" borderId="0" xfId="0" applyFont="1" applyAlignment="1">
      <alignment horizontal="center" vertical="center"/>
    </xf>
    <xf numFmtId="0" fontId="89" fillId="0" borderId="0" xfId="0" applyFont="1" applyAlignment="1">
      <alignment horizontal="left" vertical="center"/>
    </xf>
    <xf numFmtId="40" fontId="90" fillId="0" borderId="0" xfId="0" applyNumberFormat="1" applyFont="1" applyAlignment="1">
      <alignment horizontal="right" vertical="center"/>
    </xf>
    <xf numFmtId="0" fontId="87" fillId="0" borderId="0" xfId="0" applyFont="1" applyAlignment="1">
      <alignment horizontal="right" vertical="center"/>
    </xf>
    <xf numFmtId="4" fontId="89" fillId="0" borderId="0" xfId="3" applyNumberFormat="1" applyFont="1" applyAlignment="1">
      <alignment horizontal="right" vertical="center"/>
    </xf>
    <xf numFmtId="0" fontId="3" fillId="22" borderId="35" xfId="0" applyFont="1" applyFill="1" applyBorder="1" applyAlignment="1">
      <alignment horizontal="center" vertical="center"/>
    </xf>
    <xf numFmtId="169" fontId="91" fillId="0" borderId="34" xfId="3" applyNumberFormat="1" applyFont="1" applyBorder="1" applyAlignment="1">
      <alignment horizontal="center"/>
    </xf>
    <xf numFmtId="170" fontId="91" fillId="0" borderId="1" xfId="3" applyNumberFormat="1" applyFont="1" applyBorder="1" applyAlignment="1">
      <alignment horizontal="center"/>
    </xf>
    <xf numFmtId="171" fontId="91" fillId="0" borderId="9" xfId="3" applyNumberFormat="1" applyFont="1" applyBorder="1" applyAlignment="1">
      <alignment horizontal="center"/>
    </xf>
    <xf numFmtId="172" fontId="91" fillId="0" borderId="1" xfId="3" applyNumberFormat="1" applyFont="1" applyBorder="1" applyAlignment="1">
      <alignment horizontal="center"/>
    </xf>
    <xf numFmtId="0" fontId="91" fillId="0" borderId="1" xfId="3" applyFont="1" applyBorder="1" applyAlignment="1">
      <alignment horizontal="center"/>
    </xf>
    <xf numFmtId="173" fontId="91" fillId="0" borderId="1" xfId="3" applyNumberFormat="1" applyFont="1" applyBorder="1" applyAlignment="1">
      <alignment horizontal="center"/>
    </xf>
    <xf numFmtId="179" fontId="91" fillId="0" borderId="1" xfId="3" applyNumberFormat="1" applyFont="1" applyBorder="1"/>
    <xf numFmtId="179" fontId="91" fillId="0" borderId="1" xfId="3" applyNumberFormat="1" applyFont="1" applyBorder="1" applyAlignment="1">
      <alignment horizontal="right"/>
    </xf>
    <xf numFmtId="179" fontId="91" fillId="0" borderId="1" xfId="3" applyNumberFormat="1" applyFont="1" applyBorder="1" applyAlignment="1">
      <alignment horizontal="right" vertical="center"/>
    </xf>
    <xf numFmtId="40" fontId="89" fillId="0" borderId="13" xfId="3" applyNumberFormat="1" applyFont="1" applyBorder="1" applyAlignment="1">
      <alignment horizontal="right" vertical="center"/>
    </xf>
    <xf numFmtId="169" fontId="91" fillId="0" borderId="23" xfId="3" applyNumberFormat="1" applyFont="1" applyBorder="1" applyAlignment="1">
      <alignment horizontal="center"/>
    </xf>
    <xf numFmtId="170" fontId="91" fillId="0" borderId="28" xfId="3" applyNumberFormat="1" applyFont="1" applyBorder="1" applyAlignment="1">
      <alignment horizontal="center"/>
    </xf>
    <xf numFmtId="171" fontId="91" fillId="0" borderId="27" xfId="3" applyNumberFormat="1" applyFont="1" applyBorder="1" applyAlignment="1">
      <alignment horizontal="center"/>
    </xf>
    <xf numFmtId="172" fontId="91" fillId="0" borderId="28" xfId="3" applyNumberFormat="1" applyFont="1" applyBorder="1" applyAlignment="1">
      <alignment horizontal="center"/>
    </xf>
    <xf numFmtId="0" fontId="91" fillId="0" borderId="28" xfId="3" applyFont="1" applyBorder="1" applyAlignment="1">
      <alignment horizontal="center"/>
    </xf>
    <xf numFmtId="173" fontId="91" fillId="0" borderId="28" xfId="3" applyNumberFormat="1" applyFont="1" applyBorder="1" applyAlignment="1">
      <alignment horizontal="center"/>
    </xf>
    <xf numFmtId="179" fontId="91" fillId="0" borderId="28" xfId="3" applyNumberFormat="1" applyFont="1" applyBorder="1"/>
    <xf numFmtId="179" fontId="91" fillId="0" borderId="28" xfId="3" applyNumberFormat="1" applyFont="1" applyBorder="1" applyAlignment="1">
      <alignment horizontal="right"/>
    </xf>
    <xf numFmtId="179" fontId="91" fillId="0" borderId="28" xfId="3" applyNumberFormat="1" applyFont="1" applyBorder="1" applyAlignment="1">
      <alignment horizontal="right" vertical="center"/>
    </xf>
    <xf numFmtId="40" fontId="89" fillId="0" borderId="29" xfId="3" applyNumberFormat="1" applyFont="1" applyBorder="1" applyAlignment="1">
      <alignment horizontal="right" vertical="center"/>
    </xf>
    <xf numFmtId="169" fontId="91" fillId="32" borderId="34" xfId="3" applyNumberFormat="1" applyFont="1" applyFill="1" applyBorder="1" applyAlignment="1">
      <alignment horizontal="center"/>
    </xf>
    <xf numFmtId="170" fontId="91" fillId="32" borderId="1" xfId="3" applyNumberFormat="1" applyFont="1" applyFill="1" applyBorder="1" applyAlignment="1">
      <alignment horizontal="center"/>
    </xf>
    <xf numFmtId="171" fontId="91" fillId="32" borderId="9" xfId="3" applyNumberFormat="1" applyFont="1" applyFill="1" applyBorder="1" applyAlignment="1">
      <alignment horizontal="center"/>
    </xf>
    <xf numFmtId="172" fontId="91" fillId="32" borderId="1" xfId="3" applyNumberFormat="1" applyFont="1" applyFill="1" applyBorder="1" applyAlignment="1">
      <alignment horizontal="center"/>
    </xf>
    <xf numFmtId="0" fontId="91" fillId="32" borderId="1" xfId="3" applyFont="1" applyFill="1" applyBorder="1" applyAlignment="1">
      <alignment horizontal="center"/>
    </xf>
    <xf numFmtId="173" fontId="91" fillId="32" borderId="1" xfId="3" applyNumberFormat="1" applyFont="1" applyFill="1" applyBorder="1" applyAlignment="1">
      <alignment horizontal="center"/>
    </xf>
    <xf numFmtId="179" fontId="91" fillId="32" borderId="1" xfId="3" applyNumberFormat="1" applyFont="1" applyFill="1" applyBorder="1"/>
    <xf numFmtId="169" fontId="89" fillId="0" borderId="0" xfId="3" applyNumberFormat="1" applyFont="1" applyAlignment="1">
      <alignment horizontal="center" vertical="center"/>
    </xf>
    <xf numFmtId="171" fontId="89" fillId="0" borderId="0" xfId="3" applyNumberFormat="1" applyFont="1" applyAlignment="1">
      <alignment horizontal="center" vertical="center"/>
    </xf>
    <xf numFmtId="172" fontId="89" fillId="0" borderId="0" xfId="3" applyNumberFormat="1" applyFont="1" applyAlignment="1">
      <alignment horizontal="center" vertical="center"/>
    </xf>
    <xf numFmtId="173" fontId="89" fillId="0" borderId="0" xfId="3" applyNumberFormat="1" applyFont="1" applyAlignment="1">
      <alignment horizontal="center" vertical="center"/>
    </xf>
    <xf numFmtId="0" fontId="89" fillId="0" borderId="0" xfId="3" applyFont="1" applyAlignment="1">
      <alignment horizontal="left" vertical="center"/>
    </xf>
    <xf numFmtId="40" fontId="90" fillId="0" borderId="0" xfId="3" applyNumberFormat="1" applyFont="1" applyAlignment="1">
      <alignment horizontal="right" vertical="center"/>
    </xf>
    <xf numFmtId="40" fontId="90" fillId="0" borderId="0" xfId="3" applyNumberFormat="1" applyFont="1" applyAlignment="1">
      <alignment vertical="center"/>
    </xf>
    <xf numFmtId="40" fontId="90" fillId="0" borderId="0" xfId="3" applyNumberFormat="1" applyFont="1" applyAlignment="1">
      <alignment horizontal="center" vertical="center"/>
    </xf>
    <xf numFmtId="0" fontId="89" fillId="0" borderId="0" xfId="3" applyFont="1" applyAlignment="1">
      <alignment horizontal="center" vertical="center"/>
    </xf>
    <xf numFmtId="169" fontId="87" fillId="0" borderId="0" xfId="3" applyNumberFormat="1" applyFont="1" applyAlignment="1">
      <alignment horizontal="center" vertical="center"/>
    </xf>
    <xf numFmtId="43" fontId="36" fillId="0" borderId="0" xfId="27" applyFont="1" applyAlignment="1">
      <alignment horizontal="center" vertical="center"/>
    </xf>
    <xf numFmtId="43" fontId="87" fillId="0" borderId="0" xfId="27" applyFont="1" applyFill="1" applyAlignment="1">
      <alignment horizontal="center" vertical="center"/>
    </xf>
    <xf numFmtId="172" fontId="6" fillId="24" borderId="0" xfId="3" applyNumberFormat="1" applyFont="1" applyFill="1" applyAlignment="1">
      <alignment horizontal="center" vertical="center"/>
    </xf>
    <xf numFmtId="4" fontId="0" fillId="0" borderId="0" xfId="0" applyNumberFormat="1"/>
    <xf numFmtId="0" fontId="92" fillId="0" borderId="0" xfId="0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40" fontId="93" fillId="0" borderId="0" xfId="0" applyNumberFormat="1" applyFont="1" applyAlignment="1">
      <alignment horizontal="right" vertical="center"/>
    </xf>
    <xf numFmtId="0" fontId="94" fillId="0" borderId="0" xfId="0" applyFont="1" applyAlignment="1">
      <alignment horizontal="center" vertical="center"/>
    </xf>
    <xf numFmtId="0" fontId="94" fillId="0" borderId="0" xfId="0" applyFont="1" applyAlignment="1">
      <alignment horizontal="left" vertical="center"/>
    </xf>
    <xf numFmtId="4" fontId="94" fillId="0" borderId="0" xfId="0" applyNumberFormat="1" applyFont="1" applyAlignment="1">
      <alignment horizontal="right" vertical="center"/>
    </xf>
    <xf numFmtId="169" fontId="6" fillId="31" borderId="0" xfId="3" applyNumberFormat="1" applyFont="1" applyFill="1" applyAlignment="1">
      <alignment horizontal="center" vertical="center"/>
    </xf>
    <xf numFmtId="170" fontId="6" fillId="31" borderId="0" xfId="3" applyNumberFormat="1" applyFont="1" applyFill="1" applyAlignment="1">
      <alignment horizontal="center" vertical="center"/>
    </xf>
    <xf numFmtId="171" fontId="6" fillId="31" borderId="0" xfId="3" applyNumberFormat="1" applyFont="1" applyFill="1" applyAlignment="1">
      <alignment horizontal="center" vertical="center"/>
    </xf>
    <xf numFmtId="172" fontId="6" fillId="31" borderId="0" xfId="3" applyNumberFormat="1" applyFont="1" applyFill="1" applyAlignment="1">
      <alignment horizontal="center" vertical="center"/>
    </xf>
    <xf numFmtId="173" fontId="6" fillId="31" borderId="0" xfId="3" applyNumberFormat="1" applyFont="1" applyFill="1" applyAlignment="1">
      <alignment horizontal="center" vertical="center"/>
    </xf>
    <xf numFmtId="169" fontId="51" fillId="31" borderId="0" xfId="3" applyNumberFormat="1" applyFont="1" applyFill="1" applyAlignment="1">
      <alignment horizontal="center" vertical="center"/>
    </xf>
    <xf numFmtId="171" fontId="51" fillId="31" borderId="0" xfId="3" applyNumberFormat="1" applyFont="1" applyFill="1" applyAlignment="1">
      <alignment horizontal="center" vertical="center"/>
    </xf>
    <xf numFmtId="172" fontId="51" fillId="31" borderId="0" xfId="3" applyNumberFormat="1" applyFont="1" applyFill="1" applyAlignment="1">
      <alignment horizontal="center" vertical="center"/>
    </xf>
    <xf numFmtId="0" fontId="51" fillId="31" borderId="0" xfId="3" applyFont="1" applyFill="1" applyAlignment="1">
      <alignment horizontal="left" vertical="center"/>
    </xf>
    <xf numFmtId="40" fontId="52" fillId="31" borderId="0" xfId="3" applyNumberFormat="1" applyFont="1" applyFill="1" applyAlignment="1">
      <alignment vertical="center"/>
    </xf>
    <xf numFmtId="0" fontId="51" fillId="31" borderId="0" xfId="3" applyFont="1" applyFill="1" applyAlignment="1">
      <alignment horizontal="center" vertical="center"/>
    </xf>
    <xf numFmtId="169" fontId="49" fillId="31" borderId="0" xfId="3" applyNumberFormat="1" applyFont="1" applyFill="1" applyAlignment="1">
      <alignment horizontal="center" vertical="center"/>
    </xf>
    <xf numFmtId="171" fontId="49" fillId="31" borderId="0" xfId="3" applyNumberFormat="1" applyFont="1" applyFill="1" applyAlignment="1">
      <alignment horizontal="center" vertical="center"/>
    </xf>
    <xf numFmtId="172" fontId="49" fillId="31" borderId="0" xfId="3" applyNumberFormat="1" applyFont="1" applyFill="1" applyAlignment="1">
      <alignment horizontal="center" vertical="center"/>
    </xf>
    <xf numFmtId="173" fontId="49" fillId="31" borderId="0" xfId="3" applyNumberFormat="1" applyFont="1" applyFill="1" applyAlignment="1">
      <alignment horizontal="center" vertical="center"/>
    </xf>
    <xf numFmtId="0" fontId="49" fillId="31" borderId="0" xfId="3" applyFont="1" applyFill="1" applyAlignment="1">
      <alignment horizontal="left" vertical="center"/>
    </xf>
    <xf numFmtId="40" fontId="50" fillId="31" borderId="0" xfId="3" applyNumberFormat="1" applyFont="1" applyFill="1" applyAlignment="1">
      <alignment horizontal="right" vertical="center"/>
    </xf>
    <xf numFmtId="40" fontId="50" fillId="31" borderId="0" xfId="3" applyNumberFormat="1" applyFont="1" applyFill="1" applyAlignment="1">
      <alignment vertical="center"/>
    </xf>
    <xf numFmtId="40" fontId="50" fillId="31" borderId="0" xfId="3" applyNumberFormat="1" applyFont="1" applyFill="1" applyAlignment="1">
      <alignment horizontal="center" vertical="center"/>
    </xf>
    <xf numFmtId="0" fontId="49" fillId="31" borderId="0" xfId="3" applyFont="1" applyFill="1" applyAlignment="1">
      <alignment horizontal="center" vertical="center"/>
    </xf>
    <xf numFmtId="2" fontId="3" fillId="31" borderId="0" xfId="0" applyNumberFormat="1" applyFont="1" applyFill="1" applyAlignment="1">
      <alignment horizontal="right"/>
    </xf>
    <xf numFmtId="169" fontId="87" fillId="31" borderId="0" xfId="3" applyNumberFormat="1" applyFont="1" applyFill="1" applyAlignment="1">
      <alignment horizontal="center" vertical="center"/>
    </xf>
    <xf numFmtId="171" fontId="89" fillId="31" borderId="0" xfId="3" applyNumberFormat="1" applyFont="1" applyFill="1" applyAlignment="1">
      <alignment horizontal="center" vertical="center"/>
    </xf>
    <xf numFmtId="172" fontId="89" fillId="31" borderId="0" xfId="3" applyNumberFormat="1" applyFont="1" applyFill="1" applyAlignment="1">
      <alignment horizontal="center" vertical="center"/>
    </xf>
    <xf numFmtId="173" fontId="89" fillId="31" borderId="0" xfId="3" applyNumberFormat="1" applyFont="1" applyFill="1" applyAlignment="1">
      <alignment horizontal="center" vertical="center"/>
    </xf>
    <xf numFmtId="43" fontId="87" fillId="31" borderId="0" xfId="27" applyFont="1" applyFill="1" applyAlignment="1">
      <alignment horizontal="center" vertical="center"/>
    </xf>
    <xf numFmtId="0" fontId="89" fillId="31" borderId="0" xfId="3" applyFont="1" applyFill="1" applyAlignment="1">
      <alignment horizontal="center" vertical="center"/>
    </xf>
    <xf numFmtId="169" fontId="36" fillId="31" borderId="0" xfId="3" applyNumberFormat="1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 applyAlignment="1">
      <alignment horizontal="center"/>
    </xf>
    <xf numFmtId="4" fontId="95" fillId="0" borderId="0" xfId="0" applyNumberFormat="1" applyFont="1" applyAlignment="1">
      <alignment horizontal="right" vertical="center"/>
    </xf>
    <xf numFmtId="0" fontId="94" fillId="0" borderId="27" xfId="0" applyFont="1" applyBorder="1" applyAlignment="1">
      <alignment horizontal="center"/>
    </xf>
    <xf numFmtId="0" fontId="94" fillId="0" borderId="28" xfId="0" applyFont="1" applyBorder="1" applyAlignment="1">
      <alignment horizontal="center"/>
    </xf>
    <xf numFmtId="40" fontId="97" fillId="0" borderId="28" xfId="0" applyNumberFormat="1" applyFont="1" applyBorder="1" applyAlignment="1">
      <alignment horizontal="right"/>
    </xf>
    <xf numFmtId="40" fontId="92" fillId="0" borderId="28" xfId="0" applyNumberFormat="1" applyFont="1" applyBorder="1" applyAlignment="1">
      <alignment horizontal="right" vertical="center"/>
    </xf>
    <xf numFmtId="0" fontId="92" fillId="0" borderId="29" xfId="0" applyFont="1" applyBorder="1" applyAlignment="1">
      <alignment horizontal="right" vertical="center"/>
    </xf>
    <xf numFmtId="40" fontId="50" fillId="28" borderId="0" xfId="3" applyNumberFormat="1" applyFont="1" applyFill="1" applyAlignment="1">
      <alignment horizontal="center" vertical="center"/>
    </xf>
    <xf numFmtId="40" fontId="52" fillId="28" borderId="0" xfId="3" applyNumberFormat="1" applyFont="1" applyFill="1" applyAlignment="1">
      <alignment horizontal="center" vertical="center"/>
    </xf>
    <xf numFmtId="0" fontId="98" fillId="0" borderId="0" xfId="3" applyFont="1" applyAlignment="1">
      <alignment horizontal="center" vertical="center"/>
    </xf>
    <xf numFmtId="169" fontId="36" fillId="0" borderId="1" xfId="3" applyNumberFormat="1" applyFont="1" applyBorder="1" applyAlignment="1">
      <alignment horizontal="center" vertical="center"/>
    </xf>
    <xf numFmtId="169" fontId="6" fillId="26" borderId="0" xfId="3" applyNumberFormat="1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27" fillId="2" borderId="0" xfId="2" applyFont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0" fontId="28" fillId="0" borderId="0" xfId="6" applyFont="1" applyAlignment="1">
      <alignment horizontal="center"/>
    </xf>
  </cellXfs>
  <cellStyles count="29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illares 3" xfId="28" xr:uid="{00000000-0005-0000-0000-000009000000}"/>
    <cellStyle name="Moneda" xfId="1" builtinId="4"/>
    <cellStyle name="Moneda 2" xfId="10" xr:uid="{00000000-0005-0000-0000-00000B000000}"/>
    <cellStyle name="Moneda 2 2" xfId="20" xr:uid="{00000000-0005-0000-0000-00000C000000}"/>
    <cellStyle name="Moneda 3" xfId="23" xr:uid="{00000000-0005-0000-0000-00000D000000}"/>
    <cellStyle name="No completar" xfId="11" xr:uid="{00000000-0005-0000-0000-00000E000000}"/>
    <cellStyle name="No completar 2" xfId="18" xr:uid="{00000000-0005-0000-0000-00000F000000}"/>
    <cellStyle name="Normal" xfId="0" builtinId="0"/>
    <cellStyle name="Normal 10" xfId="26" xr:uid="{00000000-0005-0000-0000-000011000000}"/>
    <cellStyle name="Normal 2" xfId="4" xr:uid="{00000000-0005-0000-0000-000012000000}"/>
    <cellStyle name="Normal 2 2" xfId="19" xr:uid="{00000000-0005-0000-0000-000013000000}"/>
    <cellStyle name="Normal 3" xfId="3" xr:uid="{00000000-0005-0000-0000-000014000000}"/>
    <cellStyle name="Normal 4" xfId="12" xr:uid="{00000000-0005-0000-0000-000015000000}"/>
    <cellStyle name="Normal 5" xfId="13" xr:uid="{00000000-0005-0000-0000-000016000000}"/>
    <cellStyle name="Normal 6" xfId="14" xr:uid="{00000000-0005-0000-0000-000017000000}"/>
    <cellStyle name="Normal 6 2" xfId="21" xr:uid="{00000000-0005-0000-0000-000018000000}"/>
    <cellStyle name="Normal 7" xfId="6" xr:uid="{00000000-0005-0000-0000-000019000000}"/>
    <cellStyle name="Normal 7 2" xfId="22" xr:uid="{00000000-0005-0000-0000-00001A000000}"/>
    <cellStyle name="Normal 8" xfId="24" xr:uid="{00000000-0005-0000-0000-00001B000000}"/>
    <cellStyle name="Normal 9" xfId="25" xr:uid="{00000000-0005-0000-0000-00001C000000}"/>
  </cellStyles>
  <dxfs count="1943"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1942"/>
      <tableStyleElement type="headerRow" dxfId="1941"/>
      <tableStyleElement type="totalRow" dxfId="1940"/>
      <tableStyleElement type="firstRowStripe" dxfId="1939"/>
    </tableStyle>
    <tableStyle name="Tabla Ventas" pivot="0" count="5" xr9:uid="{00000000-0011-0000-FFFF-FFFF01000000}">
      <tableStyleElement type="wholeTable" dxfId="1938"/>
      <tableStyleElement type="headerRow" dxfId="1937"/>
      <tableStyleElement type="totalRow" dxfId="1936"/>
      <tableStyleElement type="firstRowStripe" dxfId="1935"/>
      <tableStyleElement type="secondRowStripe" dxfId="1934"/>
    </tableStyle>
  </tableStyles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980" totalsRowShown="0" headerRowDxfId="1933">
  <autoFilter ref="A1:D2980" xr:uid="{00000000-0009-0000-0100-000006000000}"/>
  <sortState xmlns:xlrd2="http://schemas.microsoft.com/office/spreadsheetml/2017/richdata2" ref="A2:D2460">
    <sortCondition ref="B1:B2460"/>
  </sortState>
  <tableColumns count="4">
    <tableColumn id="1" xr3:uid="{00000000-0010-0000-0000-000001000000}" name="CUIT" dataDxfId="1932"/>
    <tableColumn id="2" xr3:uid="{00000000-0010-0000-0000-000002000000}" name="RAZON SOCIAL" dataDxfId="1931"/>
    <tableColumn id="3" xr3:uid="{00000000-0010-0000-0000-000003000000}" name="Tipo de Gasto" dataDxfId="1930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131" totalsRowCount="1" headerRowDxfId="1929" dataDxfId="1928" totalsRowDxfId="1927">
  <autoFilter ref="B8:R130" xr:uid="{00000000-0009-0000-0100-000008000000}"/>
  <sortState xmlns:xlrd2="http://schemas.microsoft.com/office/spreadsheetml/2017/richdata2" ref="B9:R130">
    <sortCondition ref="Q9:Q130"/>
  </sortState>
  <tableColumns count="17">
    <tableColumn id="1" xr3:uid="{00000000-0010-0000-0100-000001000000}" name="FECHA" totalsRowLabel="Total" dataDxfId="1926" totalsRowDxfId="1925" dataCellStyle="Normal 3"/>
    <tableColumn id="2" xr3:uid="{00000000-0010-0000-0100-000002000000}" name="TIPO" dataDxfId="1924" totalsRowDxfId="1923" dataCellStyle="Normal 3"/>
    <tableColumn id="3" xr3:uid="{00000000-0010-0000-0100-000003000000}" name="PTO VTA" dataDxfId="1922" totalsRowDxfId="1921" dataCellStyle="Normal 3"/>
    <tableColumn id="4" xr3:uid="{00000000-0010-0000-0100-000004000000}" name="NRO. CPTE" dataDxfId="1920" totalsRowDxfId="1919" dataCellStyle="Normal 3"/>
    <tableColumn id="5" xr3:uid="{00000000-0010-0000-0100-000005000000}" name="CUIT" dataDxfId="1918" totalsRowDxfId="1917" dataCellStyle="Normal 3"/>
    <tableColumn id="6" xr3:uid="{00000000-0010-0000-0100-000006000000}" name="RAZON SOCIAL" dataDxfId="1916" totalsRowDxfId="1915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914" totalsRowDxfId="1913" dataCellStyle="Normal 3"/>
    <tableColumn id="8" xr3:uid="{00000000-0010-0000-0100-000008000000}" name="IVA 21 %" totalsRowFunction="sum" dataDxfId="1912" totalsRowDxfId="1911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910" totalsRowDxfId="1909" dataCellStyle="Normal 3"/>
    <tableColumn id="10" xr3:uid="{00000000-0010-0000-0100-00000A000000}" name="IVA 10,5%" totalsRowFunction="sum" dataDxfId="1908" totalsRowDxfId="1907" dataCellStyle="Normal 3"/>
    <tableColumn id="11" xr3:uid="{00000000-0010-0000-0100-00000B000000}" name="PERC. IVA" totalsRowFunction="sum" dataDxfId="1906" totalsRowDxfId="1905" dataCellStyle="Normal 3"/>
    <tableColumn id="12" xr3:uid="{00000000-0010-0000-0100-00000C000000}" name="PERC IIBB _x000a_BS AS" totalsRowFunction="sum" dataDxfId="1904" totalsRowDxfId="1903" dataCellStyle="Normal 3"/>
    <tableColumn id="13" xr3:uid="{00000000-0010-0000-0100-00000D000000}" name="PERC. IIBB CABA" totalsRowFunction="sum" dataDxfId="1902" totalsRowDxfId="1901" dataCellStyle="Normal 3"/>
    <tableColumn id="14" xr3:uid="{00000000-0010-0000-0100-00000E000000}" name="Otros / No Grav." totalsRowFunction="sum" dataDxfId="1900" totalsRowDxfId="1899" dataCellStyle="Normal 3"/>
    <tableColumn id="15" xr3:uid="{00000000-0010-0000-0100-00000F000000}" name="TOTAL" totalsRowFunction="sum" dataDxfId="1898" totalsRowDxfId="1897" dataCellStyle="Normal 3">
      <calculatedColumnFormula>SUM(compras_mes1[[#This Row],[NETO GRAVADO]:[Otros / No Grav.]])</calculatedColumnFormula>
    </tableColumn>
    <tableColumn id="16" xr3:uid="{00000000-0010-0000-0100-000010000000}" name="Tipo de Gasto" dataDxfId="1896" totalsRowDxfId="1895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894" totalsRowDxfId="1893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149:K166" totalsRowCount="1" headerRowDxfId="1892" totalsRowDxfId="1891" headerRowCellStyle="Normal 3">
  <autoFilter ref="D149:K165" xr:uid="{00000000-0009-0000-0100-00000A000000}"/>
  <sortState xmlns:xlrd2="http://schemas.microsoft.com/office/spreadsheetml/2017/richdata2" ref="D150:K165">
    <sortCondition ref="D150:D165"/>
  </sortState>
  <tableColumns count="8">
    <tableColumn id="1" xr3:uid="{00000000-0010-0000-0200-000001000000}" name="FECHA" totalsRowLabel="Total" dataDxfId="1890" totalsRowDxfId="1889" dataCellStyle="Normal 3"/>
    <tableColumn id="2" xr3:uid="{00000000-0010-0000-0200-000002000000}" name="PTO VTA" dataDxfId="1888" totalsRowDxfId="1887" dataCellStyle="Normal 3"/>
    <tableColumn id="3" xr3:uid="{00000000-0010-0000-0200-000003000000}" name="FC Nº" dataDxfId="1886" totalsRowDxfId="1885" dataCellStyle="Normal 3"/>
    <tableColumn id="4" xr3:uid="{00000000-0010-0000-0200-000004000000}" name="CUIT" dataDxfId="1884" totalsRowDxfId="1883" dataCellStyle="Normal 3"/>
    <tableColumn id="5" xr3:uid="{00000000-0010-0000-0200-000005000000}" name="RAZON SOCIAL" dataDxfId="1882" totalsRowDxfId="1881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880" totalsRowDxfId="1879" dataCellStyle="Normal 3"/>
    <tableColumn id="7" xr3:uid="{00000000-0010-0000-0200-000007000000}" name="TIPO DE GASTO" dataDxfId="1878" totalsRowDxfId="1877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876" totalsRowDxfId="1875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175:M288" totalsRowCount="1" headerRowDxfId="1874" dataDxfId="1872" headerRowBorderDxfId="1873" tableBorderDxfId="1871" totalsRowBorderDxfId="1870" dataCellStyle="Normal 3">
  <autoFilter ref="B175:M287" xr:uid="{00000000-0009-0000-0100-000001000000}"/>
  <tableColumns count="12">
    <tableColumn id="1" xr3:uid="{00000000-0010-0000-0300-000001000000}" name="FECHA" totalsRowLabel="Total" dataDxfId="1869" totalsRowDxfId="1868" dataCellStyle="Normal 3"/>
    <tableColumn id="2" xr3:uid="{00000000-0010-0000-0300-000002000000}" name="TIPO" dataDxfId="1867" totalsRowDxfId="1866" dataCellStyle="Normal 3"/>
    <tableColumn id="3" xr3:uid="{00000000-0010-0000-0300-000003000000}" name="PTO VENTA" dataDxfId="1865" totalsRowDxfId="1864" dataCellStyle="Normal 3"/>
    <tableColumn id="4" xr3:uid="{00000000-0010-0000-0300-000004000000}" name="Nº FACTURA" dataDxfId="1863" totalsRowDxfId="1862" dataCellStyle="Normal 3"/>
    <tableColumn id="5" xr3:uid="{00000000-0010-0000-0300-000005000000}" name="CUIT" dataDxfId="1861" totalsRowDxfId="1860" dataCellStyle="Normal 3"/>
    <tableColumn id="6" xr3:uid="{00000000-0010-0000-0300-000006000000}" name="RAZON SOCIAL" dataDxfId="1859" totalsRowDxfId="1858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857" totalsRowDxfId="1856" dataCellStyle="Normal 3"/>
    <tableColumn id="8" xr3:uid="{00000000-0010-0000-0300-000008000000}" name="IVA 21%" totalsRowFunction="sum" dataDxfId="1855" totalsRowDxfId="1854" dataCellStyle="Normal 3">
      <calculatedColumnFormula>venta_a_mes1[[#This Row],[IMPORTE NETO]]*0.21</calculatedColumnFormula>
    </tableColumn>
    <tableColumn id="9" xr3:uid="{00000000-0010-0000-0300-000009000000}" name="IVA 10,5%" totalsRowFunction="sum" dataDxfId="1853" totalsRowDxfId="1852" dataCellStyle="Normal 3"/>
    <tableColumn id="10" xr3:uid="{00000000-0010-0000-0300-00000A000000}" name="EXENTO" totalsRowFunction="sum" dataDxfId="1851" totalsRowDxfId="1850" dataCellStyle="Normal 3"/>
    <tableColumn id="11" xr3:uid="{00000000-0010-0000-0300-00000B000000}" name="TOTAL" totalsRowFunction="sum" dataDxfId="1849" totalsRowDxfId="1848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847" totalsRowDxfId="1846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292:M1743" totalsRowCount="1" headerRowDxfId="1845" dataDxfId="1843" headerRowBorderDxfId="1844" tableBorderDxfId="1842" totalsRowBorderDxfId="1841" dataCellStyle="Normal 3">
  <autoFilter ref="B292:M1742" xr:uid="{00000000-0009-0000-0100-000003000000}"/>
  <tableColumns count="12">
    <tableColumn id="1" xr3:uid="{00000000-0010-0000-0400-000001000000}" name="FECHA" totalsRowLabel="Total" dataDxfId="1840" totalsRowDxfId="1839" dataCellStyle="Normal 3"/>
    <tableColumn id="2" xr3:uid="{00000000-0010-0000-0400-000002000000}" name="TIPO" dataDxfId="1838" totalsRowDxfId="1837" dataCellStyle="Normal 3"/>
    <tableColumn id="3" xr3:uid="{00000000-0010-0000-0400-000003000000}" name="PTO VENTA" dataDxfId="1836" totalsRowDxfId="1835" dataCellStyle="Normal 3"/>
    <tableColumn id="4" xr3:uid="{00000000-0010-0000-0400-000004000000}" name="Nº FACTURA" dataDxfId="1834" totalsRowDxfId="1833" dataCellStyle="Normal 3"/>
    <tableColumn id="5" xr3:uid="{00000000-0010-0000-0400-000005000000}" name="CUIT" dataDxfId="1832" totalsRowDxfId="1831" dataCellStyle="Normal 3"/>
    <tableColumn id="6" xr3:uid="{00000000-0010-0000-0400-000006000000}" name="RAZON SOCIAL" dataDxfId="1830" totalsRowDxfId="1829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828" totalsRowDxfId="1827" dataCellStyle="Normal 3">
      <calculatedColumnFormula>ventas_b_mes1[[#This Row],[TOTAL]]/1.21</calculatedColumnFormula>
    </tableColumn>
    <tableColumn id="8" xr3:uid="{00000000-0010-0000-0400-000008000000}" name="IVA 21%" totalsRowFunction="sum" dataDxfId="1826" totalsRowDxfId="1825" dataCellStyle="Normal 3">
      <calculatedColumnFormula>ventas_b_mes1[[#This Row],[IMPORTE NETO]]*0.21</calculatedColumnFormula>
    </tableColumn>
    <tableColumn id="9" xr3:uid="{00000000-0010-0000-0400-000009000000}" name="IVA 10,5%" totalsRowFunction="sum" dataDxfId="1824" totalsRowDxfId="1823" dataCellStyle="Normal 3"/>
    <tableColumn id="10" xr3:uid="{00000000-0010-0000-0400-00000A000000}" name="EXENTO" totalsRowFunction="sum" dataDxfId="1822" totalsRowDxfId="1821" dataCellStyle="Normal 3"/>
    <tableColumn id="11" xr3:uid="{00000000-0010-0000-0400-00000B000000}" name="TOTAL" totalsRowFunction="sum" dataDxfId="1820" totalsRowDxfId="1819" dataCellStyle="Normal 3"/>
    <tableColumn id="12" xr3:uid="{00000000-0010-0000-0400-00000C000000}" name="Provincia" totalsRowFunction="count" dataDxfId="1818" totalsRowDxfId="1817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137:L145" totalsRowCount="1" headerRowDxfId="1816" dataDxfId="1815" tableBorderDxfId="1814" dataCellStyle="Normal 3">
  <autoFilter ref="D137:L144" xr:uid="{00000000-0009-0000-0100-000004000000}"/>
  <tableColumns count="9">
    <tableColumn id="1" xr3:uid="{00000000-0010-0000-0500-000001000000}" name="FECHA" totalsRowLabel="Total" dataDxfId="1813" totalsRowDxfId="1812" dataCellStyle="Normal 3"/>
    <tableColumn id="2" xr3:uid="{00000000-0010-0000-0500-000002000000}" name="NRO CPTE" dataDxfId="1811" totalsRowDxfId="1810"/>
    <tableColumn id="3" xr3:uid="{00000000-0010-0000-0500-000003000000}" name="BANCO" dataDxfId="1809" totalsRowDxfId="1808"/>
    <tableColumn id="4" xr3:uid="{00000000-0010-0000-0500-000004000000}" name="NETO" totalsRowFunction="sum" dataDxfId="1807" totalsRowDxfId="1806" dataCellStyle="Normal 3"/>
    <tableColumn id="5" xr3:uid="{00000000-0010-0000-0500-000005000000}" name="IVA 21%" totalsRowFunction="sum" dataDxfId="1805" totalsRowDxfId="1804" dataCellStyle="Normal 3">
      <calculatedColumnFormula>extracto_banco_mes1[[#This Row],[NETO]]*0.21</calculatedColumnFormula>
    </tableColumn>
    <tableColumn id="6" xr3:uid="{00000000-0010-0000-0500-000006000000}" name="IVA 10,5%" totalsRowFunction="sum" dataDxfId="1803" totalsRowDxfId="1802" dataCellStyle="Normal 3"/>
    <tableColumn id="7" xr3:uid="{00000000-0010-0000-0500-000007000000}" name="RET IIBB CABA" totalsRowFunction="sum" dataDxfId="1801" totalsRowDxfId="1800" dataCellStyle="Normal 3"/>
    <tableColumn id="8" xr3:uid="{00000000-0010-0000-0500-000008000000}" name="PERC IVA" totalsRowFunction="sum" dataDxfId="1799" totalsRowDxfId="1798" dataCellStyle="Normal 3"/>
    <tableColumn id="9" xr3:uid="{00000000-0010-0000-0500-000009000000}" name="PERC IIBB" totalsRowFunction="sum" dataDxfId="1797" totalsRowDxfId="1796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1752:L1757" totalsRowShown="0" headerRowDxfId="1795" dataDxfId="1794" headerRowCellStyle="Normal 3" dataCellStyle="Normal 3">
  <autoFilter ref="C1752:L1757" xr:uid="{00000000-0009-0000-0100-000005000000}"/>
  <tableColumns count="10">
    <tableColumn id="1" xr3:uid="{00000000-0010-0000-0600-000001000000}" name="FECHA " dataDxfId="1793" dataCellStyle="Normal 3"/>
    <tableColumn id="2" xr3:uid="{00000000-0010-0000-0600-000002000000}" name="COMP Nº" dataDxfId="1792" dataCellStyle="Normal 3"/>
    <tableColumn id="3" xr3:uid="{00000000-0010-0000-0600-000003000000}" name="Columna1" dataDxfId="1791" dataCellStyle="Normal 3"/>
    <tableColumn id="4" xr3:uid="{00000000-0010-0000-0600-000004000000}" name="CUIT" dataDxfId="1790" dataCellStyle="Normal 3"/>
    <tableColumn id="5" xr3:uid="{00000000-0010-0000-0600-000005000000}" name="RAZON SOCIAL" dataDxfId="1789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788" dataCellStyle="Normal 3"/>
    <tableColumn id="7" xr3:uid="{00000000-0010-0000-0600-000007000000}" name="IVA" dataDxfId="1787" dataCellStyle="Normal 3"/>
    <tableColumn id="8" xr3:uid="{00000000-0010-0000-0600-000008000000}" name="SUSS" dataDxfId="1786" dataCellStyle="Normal 3"/>
    <tableColumn id="9" xr3:uid="{00000000-0010-0000-0600-000009000000}" name="IIBB BSAS" dataDxfId="1785" dataCellStyle="Normal 3"/>
    <tableColumn id="10" xr3:uid="{00000000-0010-0000-0600-00000A000000}" name="IIBB CABA" dataDxfId="1784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7:R144" totalsRowCount="1" headerRowDxfId="1783" dataDxfId="1782" totalsRowDxfId="1781">
  <autoFilter ref="B7:R143" xr:uid="{00000000-0009-0000-0100-000007000000}"/>
  <sortState xmlns:xlrd2="http://schemas.microsoft.com/office/spreadsheetml/2017/richdata2" ref="B8:R143">
    <sortCondition ref="B7:B143"/>
  </sortState>
  <tableColumns count="17">
    <tableColumn id="1" xr3:uid="{00000000-0010-0000-0700-000001000000}" name="FECHA" totalsRowLabel="Total" dataDxfId="1780" totalsRowDxfId="1779" dataCellStyle="Normal 3"/>
    <tableColumn id="2" xr3:uid="{00000000-0010-0000-0700-000002000000}" name="TIPO" dataDxfId="1778" totalsRowDxfId="1777" dataCellStyle="Normal 3"/>
    <tableColumn id="3" xr3:uid="{00000000-0010-0000-0700-000003000000}" name="PTO VTA" dataDxfId="1776" totalsRowDxfId="1775" dataCellStyle="Normal 3"/>
    <tableColumn id="4" xr3:uid="{00000000-0010-0000-0700-000004000000}" name="NRO. CPTE" dataDxfId="1774" totalsRowDxfId="1773" dataCellStyle="Normal 3"/>
    <tableColumn id="5" xr3:uid="{00000000-0010-0000-0700-000005000000}" name="CUIT" dataDxfId="1772" totalsRowDxfId="1771" dataCellStyle="Normal 3"/>
    <tableColumn id="6" xr3:uid="{00000000-0010-0000-0700-000006000000}" name="RAZON SOCIAL" dataDxfId="1770" totalsRowDxfId="1769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768" totalsRowDxfId="1767" dataCellStyle="Normal 3"/>
    <tableColumn id="8" xr3:uid="{00000000-0010-0000-0700-000008000000}" name="IVA 21 %" totalsRowFunction="sum" dataDxfId="1766" totalsRowDxfId="1765" dataCellStyle="Normal 3">
      <calculatedColumnFormula>IF(compras_mes2[[#This Row],[NETO GRAVADO]]="","",compras_mes2[[#This Row],[NETO GRAVADO]]*0.21)</calculatedColumnFormula>
    </tableColumn>
    <tableColumn id="9" xr3:uid="{00000000-0010-0000-0700-000009000000}" name="IVA 27%" totalsRowFunction="sum" dataDxfId="1764" totalsRowDxfId="1763" dataCellStyle="Normal 3"/>
    <tableColumn id="10" xr3:uid="{00000000-0010-0000-0700-00000A000000}" name="IVA 10,5%" totalsRowFunction="sum" dataDxfId="1762" totalsRowDxfId="1761" dataCellStyle="Normal 3"/>
    <tableColumn id="11" xr3:uid="{00000000-0010-0000-0700-00000B000000}" name="PERC. IVA" totalsRowFunction="sum" dataDxfId="1760" totalsRowDxfId="1759" dataCellStyle="Normal 3"/>
    <tableColumn id="12" xr3:uid="{00000000-0010-0000-0700-00000C000000}" name="PERC IIBB _x000a_BS AS" totalsRowFunction="sum" dataDxfId="1758" totalsRowDxfId="1757" dataCellStyle="Normal 3"/>
    <tableColumn id="13" xr3:uid="{00000000-0010-0000-0700-00000D000000}" name="PERC. IIBB CABA" totalsRowFunction="sum" dataDxfId="1756" totalsRowDxfId="1755" dataCellStyle="Normal 3"/>
    <tableColumn id="14" xr3:uid="{00000000-0010-0000-0700-00000E000000}" name="Otros / No Grav." totalsRowFunction="sum" dataDxfId="1754" totalsRowDxfId="1753" dataCellStyle="Normal 3"/>
    <tableColumn id="15" xr3:uid="{00000000-0010-0000-0700-00000F000000}" name="TOTAL" totalsRowFunction="sum" dataDxfId="1752" totalsRowDxfId="1751" dataCellStyle="Normal 3">
      <calculatedColumnFormula>SUM(compras_mes2[[#This Row],[NETO GRAVADO]:[Otros / No Grav.]])</calculatedColumnFormula>
    </tableColumn>
    <tableColumn id="16" xr3:uid="{00000000-0010-0000-0700-000010000000}" name="Tipo de Gasto" dataDxfId="1750" totalsRowDxfId="1749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748" totalsRowDxfId="1747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163:K184" totalsRowCount="1" headerRowDxfId="1746" totalsRowDxfId="1745" headerRowCellStyle="Normal 3">
  <autoFilter ref="D163:K183" xr:uid="{00000000-0009-0000-0100-000009000000}"/>
  <tableColumns count="8">
    <tableColumn id="1" xr3:uid="{00000000-0010-0000-0800-000001000000}" name="FECHA" totalsRowLabel="Total" dataDxfId="1744" totalsRowDxfId="1743" dataCellStyle="Normal 3"/>
    <tableColumn id="2" xr3:uid="{00000000-0010-0000-0800-000002000000}" name="PTO VTA" dataDxfId="1742" totalsRowDxfId="1741" dataCellStyle="Normal 3"/>
    <tableColumn id="3" xr3:uid="{00000000-0010-0000-0800-000003000000}" name="FC Nº" dataDxfId="1740" totalsRowDxfId="1739" dataCellStyle="Normal 3"/>
    <tableColumn id="4" xr3:uid="{00000000-0010-0000-0800-000004000000}" name="CUIT" dataDxfId="1738" totalsRowDxfId="1737" dataCellStyle="Normal 3"/>
    <tableColumn id="5" xr3:uid="{00000000-0010-0000-0800-000005000000}" name="RAZON SOCIAL" dataDxfId="1736" totalsRowDxfId="1735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734" totalsRowDxfId="1733" dataCellStyle="Normal 3"/>
    <tableColumn id="7" xr3:uid="{00000000-0010-0000-0800-000007000000}" name="TIPO DE GASTO" dataDxfId="1732" totalsRowDxfId="1731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730" totalsRowDxfId="1729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193:M195" totalsRowCount="1" headerRowDxfId="1728" dataDxfId="1726" headerRowBorderDxfId="1727" tableBorderDxfId="1725" totalsRowBorderDxfId="1724" dataCellStyle="Normal 3">
  <autoFilter ref="B193:M194" xr:uid="{00000000-0009-0000-0100-00000B000000}"/>
  <tableColumns count="12">
    <tableColumn id="1" xr3:uid="{00000000-0010-0000-0900-000001000000}" name="FECHA" totalsRowLabel="Total" dataDxfId="1723" totalsRowDxfId="1722" dataCellStyle="Normal 3"/>
    <tableColumn id="2" xr3:uid="{00000000-0010-0000-0900-000002000000}" name="TIPO" dataDxfId="1721" totalsRowDxfId="1720" dataCellStyle="Normal 3"/>
    <tableColumn id="3" xr3:uid="{00000000-0010-0000-0900-000003000000}" name="PTO VENTA" dataDxfId="1719" totalsRowDxfId="1718" dataCellStyle="Normal 3"/>
    <tableColumn id="4" xr3:uid="{00000000-0010-0000-0900-000004000000}" name="Nº FACTURA" dataDxfId="1717" totalsRowDxfId="1716" dataCellStyle="Normal 3"/>
    <tableColumn id="5" xr3:uid="{00000000-0010-0000-0900-000005000000}" name="CUIT" dataDxfId="1715" totalsRowDxfId="1714" dataCellStyle="Normal 3"/>
    <tableColumn id="6" xr3:uid="{00000000-0010-0000-0900-000006000000}" name="RAZON SOCIAL" dataDxfId="1713" totalsRowDxfId="1712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711" totalsRowDxfId="1710" dataCellStyle="Normal 3"/>
    <tableColumn id="8" xr3:uid="{00000000-0010-0000-0900-000008000000}" name="IVA 21%" totalsRowFunction="sum" dataDxfId="1709" totalsRowDxfId="1708" dataCellStyle="Normal 3">
      <calculatedColumnFormula>venta_a_mes2[[#This Row],[IMPORTE NETO]]*0.21</calculatedColumnFormula>
    </tableColumn>
    <tableColumn id="9" xr3:uid="{00000000-0010-0000-0900-000009000000}" name="IVA 10,5%" totalsRowFunction="sum" dataDxfId="1707" totalsRowDxfId="1706" dataCellStyle="Normal 3"/>
    <tableColumn id="10" xr3:uid="{00000000-0010-0000-0900-00000A000000}" name="EXENTO" totalsRowFunction="sum" dataDxfId="1705" totalsRowDxfId="1704" dataCellStyle="Normal 3"/>
    <tableColumn id="11" xr3:uid="{00000000-0010-0000-0900-00000B000000}" name="TOTAL" totalsRowFunction="sum" dataDxfId="1703" totalsRowDxfId="1702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701" totalsRowDxfId="1700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199:M202" totalsRowCount="1" headerRowDxfId="1699" dataDxfId="1697" headerRowBorderDxfId="1698" tableBorderDxfId="1696" totalsRowBorderDxfId="1695" dataCellStyle="Normal 3">
  <autoFilter ref="B199:M201" xr:uid="{00000000-0009-0000-0100-00000C000000}"/>
  <tableColumns count="12">
    <tableColumn id="1" xr3:uid="{00000000-0010-0000-0A00-000001000000}" name="FECHA" totalsRowLabel="Total" dataDxfId="1694" totalsRowDxfId="1693" dataCellStyle="Normal 3"/>
    <tableColumn id="2" xr3:uid="{00000000-0010-0000-0A00-000002000000}" name="TIPO" dataDxfId="1692" totalsRowDxfId="1691" dataCellStyle="Normal 3"/>
    <tableColumn id="3" xr3:uid="{00000000-0010-0000-0A00-000003000000}" name="PTO VENTA" dataDxfId="1690" totalsRowDxfId="1689" dataCellStyle="Normal 3"/>
    <tableColumn id="4" xr3:uid="{00000000-0010-0000-0A00-000004000000}" name="Nº FACTURA" dataDxfId="1688" totalsRowDxfId="1687" dataCellStyle="Normal 3"/>
    <tableColumn id="5" xr3:uid="{00000000-0010-0000-0A00-000005000000}" name="CUIT" dataDxfId="1686" totalsRowDxfId="1685" dataCellStyle="Normal 3"/>
    <tableColumn id="6" xr3:uid="{00000000-0010-0000-0A00-000006000000}" name="RAZON SOCIAL" dataDxfId="1684" totalsRowDxfId="1683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682" totalsRowDxfId="1681" dataCellStyle="Normal 3">
      <calculatedColumnFormula>ventas_b_mes2[[#This Row],[TOTAL]]/1.21</calculatedColumnFormula>
    </tableColumn>
    <tableColumn id="8" xr3:uid="{00000000-0010-0000-0A00-000008000000}" name="IVA 21%" totalsRowFunction="sum" dataDxfId="1680" totalsRowDxfId="1679" dataCellStyle="Normal 3">
      <calculatedColumnFormula>ventas_b_mes2[[#This Row],[IMPORTE NETO]]*0.21</calculatedColumnFormula>
    </tableColumn>
    <tableColumn id="9" xr3:uid="{00000000-0010-0000-0A00-000009000000}" name="IVA 10,5%" totalsRowFunction="sum" dataDxfId="1678" totalsRowDxfId="1677" dataCellStyle="Normal 3"/>
    <tableColumn id="10" xr3:uid="{00000000-0010-0000-0A00-00000A000000}" name="EXENTO" totalsRowFunction="sum" dataDxfId="1676" totalsRowDxfId="1675" dataCellStyle="Normal 3"/>
    <tableColumn id="11" xr3:uid="{00000000-0010-0000-0A00-00000B000000}" name="TOTAL" totalsRowFunction="sum" dataDxfId="1674" totalsRowDxfId="1673" dataCellStyle="Normal 3"/>
    <tableColumn id="12" xr3:uid="{00000000-0010-0000-0A00-00000C000000}" name="Provincia" totalsRowFunction="count" dataDxfId="1672" totalsRowDxfId="1671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149:L158" totalsRowCount="1" headerRowDxfId="1670" dataDxfId="1669" tableBorderDxfId="1668" dataCellStyle="Normal 3">
  <autoFilter ref="D149:L157" xr:uid="{00000000-0009-0000-0100-00000D000000}"/>
  <tableColumns count="9">
    <tableColumn id="1" xr3:uid="{00000000-0010-0000-0B00-000001000000}" name="FECHA" totalsRowLabel="Total" dataDxfId="1667" totalsRowDxfId="1666" dataCellStyle="Normal 3"/>
    <tableColumn id="2" xr3:uid="{00000000-0010-0000-0B00-000002000000}" name="NRO CPTE" dataDxfId="1665" totalsRowDxfId="1664"/>
    <tableColumn id="3" xr3:uid="{00000000-0010-0000-0B00-000003000000}" name="BANCO" dataDxfId="1663" totalsRowDxfId="1662" dataCellStyle="Normal 3"/>
    <tableColumn id="4" xr3:uid="{00000000-0010-0000-0B00-000004000000}" name="NETO" totalsRowFunction="sum" dataDxfId="1661" totalsRowDxfId="1660" dataCellStyle="Normal 3">
      <calculatedColumnFormula>SUM(G90:G149)</calculatedColumnFormula>
    </tableColumn>
    <tableColumn id="5" xr3:uid="{00000000-0010-0000-0B00-000005000000}" name="IVA 21%" totalsRowFunction="sum" dataDxfId="1659" totalsRowDxfId="1658" dataCellStyle="Normal 3"/>
    <tableColumn id="6" xr3:uid="{00000000-0010-0000-0B00-000006000000}" name="IVA 10,5%" totalsRowFunction="sum" dataDxfId="1657" totalsRowDxfId="1656" dataCellStyle="Normal 3"/>
    <tableColumn id="7" xr3:uid="{00000000-0010-0000-0B00-000007000000}" name="RET IIBB CABA" totalsRowFunction="sum" dataDxfId="1655" totalsRowDxfId="1654" dataCellStyle="Normal 3"/>
    <tableColumn id="8" xr3:uid="{00000000-0010-0000-0B00-000008000000}" name="PERC IVA" totalsRowFunction="sum" dataDxfId="1653" totalsRowDxfId="1652" dataCellStyle="Normal 3"/>
    <tableColumn id="9" xr3:uid="{00000000-0010-0000-0B00-000009000000}" name="PERC IIBB" totalsRowFunction="sum" dataDxfId="1651" totalsRowDxfId="1650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206:L211" totalsRowShown="0" headerRowDxfId="1649" dataDxfId="1648" headerRowCellStyle="Normal 3" dataCellStyle="Normal 3">
  <autoFilter ref="C206:L211" xr:uid="{00000000-0009-0000-0100-00000E000000}"/>
  <tableColumns count="10">
    <tableColumn id="1" xr3:uid="{00000000-0010-0000-0C00-000001000000}" name="FECHA " dataDxfId="1647" dataCellStyle="Normal 3"/>
    <tableColumn id="2" xr3:uid="{00000000-0010-0000-0C00-000002000000}" name="COMP Nº" dataDxfId="1646" dataCellStyle="Normal 3"/>
    <tableColumn id="3" xr3:uid="{00000000-0010-0000-0C00-000003000000}" name="Columna1" dataDxfId="1645" dataCellStyle="Normal 3"/>
    <tableColumn id="4" xr3:uid="{00000000-0010-0000-0C00-000004000000}" name="CUIT" dataDxfId="1644" dataCellStyle="Normal 3"/>
    <tableColumn id="5" xr3:uid="{00000000-0010-0000-0C00-000005000000}" name="RAZON SOCIAL" dataDxfId="1643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642" dataCellStyle="Normal 3"/>
    <tableColumn id="7" xr3:uid="{00000000-0010-0000-0C00-000007000000}" name="IVA" dataDxfId="1641" dataCellStyle="Normal 3"/>
    <tableColumn id="8" xr3:uid="{00000000-0010-0000-0C00-000008000000}" name="SUSS" dataDxfId="1640" dataCellStyle="Normal 3"/>
    <tableColumn id="9" xr3:uid="{00000000-0010-0000-0C00-000009000000}" name="IIBB BSAS" dataDxfId="1639" dataCellStyle="Normal 3"/>
    <tableColumn id="10" xr3:uid="{00000000-0010-0000-0C00-00000A000000}" name="IIBB CABA" dataDxfId="1638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D000000}" name="venta_a_mes552" displayName="venta_a_mes552" ref="B215:M220" totalsRowCount="1" headerRowDxfId="1637" dataDxfId="1635" headerRowBorderDxfId="1636" tableBorderDxfId="1634" totalsRowBorderDxfId="1633" dataCellStyle="Normal 3">
  <autoFilter ref="B215:M219" xr:uid="{00000000-0009-0000-0100-000033000000}"/>
  <tableColumns count="12">
    <tableColumn id="1" xr3:uid="{00000000-0010-0000-0D00-000001000000}" name="FECHA" totalsRowLabel="Total" dataDxfId="1632" totalsRowDxfId="1631" dataCellStyle="Normal 3"/>
    <tableColumn id="2" xr3:uid="{00000000-0010-0000-0D00-000002000000}" name="TIPO" dataDxfId="1630" totalsRowDxfId="1629" dataCellStyle="Normal 3"/>
    <tableColumn id="3" xr3:uid="{00000000-0010-0000-0D00-000003000000}" name="PTO VENTA" dataDxfId="1628" totalsRowDxfId="1627" dataCellStyle="Normal 3"/>
    <tableColumn id="4" xr3:uid="{00000000-0010-0000-0D00-000004000000}" name="Nº FACTURA" dataDxfId="1626" totalsRowDxfId="1625" dataCellStyle="Normal 3"/>
    <tableColumn id="5" xr3:uid="{00000000-0010-0000-0D00-000005000000}" name="CUIT" dataDxfId="1624" totalsRowDxfId="1623" dataCellStyle="Normal 3"/>
    <tableColumn id="6" xr3:uid="{00000000-0010-0000-0D00-000006000000}" name="RAZON SOCIAL" dataDxfId="1622" totalsRowDxfId="1621" dataCellStyle="Normal 3">
      <calculatedColumnFormula>IFERROR(IF(venta_a_mes552[[#This Row],[CUIT]]="","-",VLOOKUP(venta_a_mes552[[#This Row],[CUIT]],Lista_CUIT[#All],2,0)),"CUIT NO CARGADO")</calculatedColumnFormula>
    </tableColumn>
    <tableColumn id="7" xr3:uid="{00000000-0010-0000-0D00-000007000000}" name="IMPORTE NETO" totalsRowFunction="sum" dataDxfId="1620" totalsRowDxfId="1619" dataCellStyle="Normal 3"/>
    <tableColumn id="8" xr3:uid="{00000000-0010-0000-0D00-000008000000}" name="IVA 21%" totalsRowFunction="sum" dataDxfId="1618" totalsRowDxfId="1617" dataCellStyle="Normal 3">
      <calculatedColumnFormula>venta_a_mes552[[#This Row],[IMPORTE NETO]]*0.21</calculatedColumnFormula>
    </tableColumn>
    <tableColumn id="9" xr3:uid="{00000000-0010-0000-0D00-000009000000}" name="IVA 10,5%" totalsRowFunction="sum" dataDxfId="1616" totalsRowDxfId="1615" dataCellStyle="Normal 3"/>
    <tableColumn id="10" xr3:uid="{00000000-0010-0000-0D00-00000A000000}" name="EXENTO" totalsRowFunction="sum" dataDxfId="1614" totalsRowDxfId="1613" dataCellStyle="Normal 3"/>
    <tableColumn id="11" xr3:uid="{00000000-0010-0000-0D00-00000B000000}" name="TOTAL" totalsRowFunction="sum" dataDxfId="1612" totalsRowDxfId="1611" dataCellStyle="Normal 3">
      <calculatedColumnFormula>SUM(venta_a_mes552[[#This Row],[IMPORTE NETO]:[EXENTO]])</calculatedColumnFormula>
    </tableColumn>
    <tableColumn id="12" xr3:uid="{00000000-0010-0000-0D00-00000C000000}" name="Provincia" totalsRowFunction="count" dataDxfId="1610" totalsRowDxfId="1609" dataCellStyle="Normal 3"/>
  </tableColumns>
  <tableStyleInfo name="Tabla Ventas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mpras_mes3" displayName="compras_mes3" ref="B8:R181" totalsRowCount="1" headerRowDxfId="1608" dataDxfId="1607" totalsRowDxfId="1606">
  <autoFilter ref="B8:R180" xr:uid="{00000000-0009-0000-0100-00000F000000}"/>
  <sortState xmlns:xlrd2="http://schemas.microsoft.com/office/spreadsheetml/2017/richdata2" ref="B9:R180">
    <sortCondition ref="B8:B180"/>
  </sortState>
  <tableColumns count="17">
    <tableColumn id="1" xr3:uid="{00000000-0010-0000-0E00-000001000000}" name="FECHA" totalsRowLabel="Total" dataDxfId="1605" totalsRowDxfId="1604" dataCellStyle="Normal 3"/>
    <tableColumn id="2" xr3:uid="{00000000-0010-0000-0E00-000002000000}" name="TIPO" dataDxfId="1603" totalsRowDxfId="1602" dataCellStyle="Normal 3"/>
    <tableColumn id="3" xr3:uid="{00000000-0010-0000-0E00-000003000000}" name="PTO VTA" dataDxfId="1601" totalsRowDxfId="1600" dataCellStyle="Normal 3"/>
    <tableColumn id="4" xr3:uid="{00000000-0010-0000-0E00-000004000000}" name="NRO. CPTE" dataDxfId="1599" totalsRowDxfId="1598" dataCellStyle="Normal 3"/>
    <tableColumn id="5" xr3:uid="{00000000-0010-0000-0E00-000005000000}" name="CUIT" dataDxfId="1597" totalsRowDxfId="1596" dataCellStyle="Normal 3"/>
    <tableColumn id="6" xr3:uid="{00000000-0010-0000-0E00-000006000000}" name="RAZON SOCIAL" dataDxfId="1595" totalsRowDxfId="1594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E00-000007000000}" name="NETO GRAVADO" totalsRowFunction="sum" dataDxfId="1593" totalsRowDxfId="1592" dataCellStyle="Normal 3"/>
    <tableColumn id="8" xr3:uid="{00000000-0010-0000-0E00-000008000000}" name="IVA 21 %" totalsRowFunction="sum" dataDxfId="1591" totalsRowDxfId="1590" dataCellStyle="Normal 3">
      <calculatedColumnFormula>IF(compras_mes3[[#This Row],[NETO GRAVADO]]="","",compras_mes3[[#This Row],[NETO GRAVADO]]*0.21)</calculatedColumnFormula>
    </tableColumn>
    <tableColumn id="9" xr3:uid="{00000000-0010-0000-0E00-000009000000}" name="IVA 27%" totalsRowFunction="sum" dataDxfId="1589" totalsRowDxfId="1588" dataCellStyle="Normal 3"/>
    <tableColumn id="10" xr3:uid="{00000000-0010-0000-0E00-00000A000000}" name="IVA 10,5%" totalsRowFunction="sum" dataDxfId="1587" totalsRowDxfId="1586" dataCellStyle="Normal 3"/>
    <tableColumn id="11" xr3:uid="{00000000-0010-0000-0E00-00000B000000}" name="PERC. IVA" totalsRowFunction="sum" dataDxfId="1585" totalsRowDxfId="1584" dataCellStyle="Normal 3"/>
    <tableColumn id="12" xr3:uid="{00000000-0010-0000-0E00-00000C000000}" name="PERC IIBB _x000a_BS AS" totalsRowFunction="sum" dataDxfId="1583" totalsRowDxfId="1582" dataCellStyle="Normal 3"/>
    <tableColumn id="13" xr3:uid="{00000000-0010-0000-0E00-00000D000000}" name="PERC. IIBB CABA" totalsRowFunction="sum" dataDxfId="1581" totalsRowDxfId="1580" dataCellStyle="Normal 3"/>
    <tableColumn id="14" xr3:uid="{00000000-0010-0000-0E00-00000E000000}" name="Otros / No Grav." totalsRowFunction="sum" dataDxfId="1579" totalsRowDxfId="1578" dataCellStyle="Normal 3"/>
    <tableColumn id="15" xr3:uid="{00000000-0010-0000-0E00-00000F000000}" name="TOTAL" totalsRowFunction="sum" dataDxfId="1577" totalsRowDxfId="1576" dataCellStyle="Normal 3">
      <calculatedColumnFormula>SUM(compras_mes3[[#This Row],[NETO GRAVADO]:[Otros / No Grav.]])</calculatedColumnFormula>
    </tableColumn>
    <tableColumn id="16" xr3:uid="{00000000-0010-0000-0E00-000010000000}" name="Tipo de Gasto" dataDxfId="1575" totalsRowDxfId="1574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E00-000011000000}" name="Provincia" dataDxfId="1573" totalsRowDxfId="1572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actura_c_mes3" displayName="factura_c_mes3" ref="D195:K224" totalsRowCount="1" headerRowDxfId="1571" totalsRowDxfId="1570" headerRowCellStyle="Normal 3">
  <autoFilter ref="D195:K223" xr:uid="{00000000-0009-0000-0100-000010000000}"/>
  <sortState xmlns:xlrd2="http://schemas.microsoft.com/office/spreadsheetml/2017/richdata2" ref="D196:K223">
    <sortCondition descending="1" ref="D196:D223"/>
  </sortState>
  <tableColumns count="8">
    <tableColumn id="1" xr3:uid="{00000000-0010-0000-0F00-000001000000}" name="FECHA" totalsRowLabel="Total" dataDxfId="1569" totalsRowDxfId="1568" dataCellStyle="Normal 3"/>
    <tableColumn id="2" xr3:uid="{00000000-0010-0000-0F00-000002000000}" name="PTO VTA" dataDxfId="1567" totalsRowDxfId="1566" dataCellStyle="Normal 3"/>
    <tableColumn id="3" xr3:uid="{00000000-0010-0000-0F00-000003000000}" name="FC Nº" dataDxfId="1565" totalsRowDxfId="1564" dataCellStyle="Normal 3"/>
    <tableColumn id="4" xr3:uid="{00000000-0010-0000-0F00-000004000000}" name="CUIT" dataDxfId="1563" totalsRowDxfId="1562" dataCellStyle="Normal 3"/>
    <tableColumn id="5" xr3:uid="{00000000-0010-0000-0F00-000005000000}" name="RAZON SOCIAL" dataDxfId="1561" totalsRowDxfId="1560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F00-000006000000}" name="TOTAL" totalsRowFunction="sum" dataDxfId="1559" totalsRowDxfId="1558" dataCellStyle="Normal 3"/>
    <tableColumn id="7" xr3:uid="{00000000-0010-0000-0F00-000007000000}" name="TIPO DE GASTO" dataDxfId="1557" totalsRowDxfId="1556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F00-000008000000}" name="Provincia" dataDxfId="1555" totalsRowDxfId="1554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enta_a_mes3" displayName="venta_a_mes3" ref="B230:M233" totalsRowCount="1" headerRowDxfId="1553" dataDxfId="1551" headerRowBorderDxfId="1552" tableBorderDxfId="1550" totalsRowBorderDxfId="1549" dataCellStyle="Normal 3">
  <autoFilter ref="B230:M232" xr:uid="{00000000-0009-0000-0100-000011000000}"/>
  <tableColumns count="12">
    <tableColumn id="1" xr3:uid="{00000000-0010-0000-1000-000001000000}" name="FECHA" totalsRowLabel="Total" dataDxfId="1548" totalsRowDxfId="1547" dataCellStyle="Normal 3"/>
    <tableColumn id="2" xr3:uid="{00000000-0010-0000-1000-000002000000}" name="TIPO" dataDxfId="1546" totalsRowDxfId="1545" dataCellStyle="Normal 3"/>
    <tableColumn id="3" xr3:uid="{00000000-0010-0000-1000-000003000000}" name="PTO VENTA" dataDxfId="1544" totalsRowDxfId="1543" dataCellStyle="Normal 3"/>
    <tableColumn id="4" xr3:uid="{00000000-0010-0000-1000-000004000000}" name="Nº FACTURA" dataDxfId="1542" totalsRowDxfId="1541" dataCellStyle="Normal 3"/>
    <tableColumn id="5" xr3:uid="{00000000-0010-0000-1000-000005000000}" name="CUIT" dataDxfId="1540" totalsRowDxfId="1539" dataCellStyle="Normal 3"/>
    <tableColumn id="6" xr3:uid="{00000000-0010-0000-1000-000006000000}" name="RAZON SOCIAL" dataDxfId="1538" totalsRowDxfId="1537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1000-000007000000}" name="IMPORTE NETO" totalsRowFunction="sum" dataDxfId="1536" totalsRowDxfId="1535" dataCellStyle="Normal 3"/>
    <tableColumn id="8" xr3:uid="{00000000-0010-0000-1000-000008000000}" name="IVA 21%" totalsRowFunction="sum" dataDxfId="1534" totalsRowDxfId="1533" dataCellStyle="Normal 3">
      <calculatedColumnFormula>venta_a_mes3[[#This Row],[IMPORTE NETO]]*0.21</calculatedColumnFormula>
    </tableColumn>
    <tableColumn id="9" xr3:uid="{00000000-0010-0000-1000-000009000000}" name="IVA 10,5%" totalsRowFunction="sum" dataDxfId="1532" totalsRowDxfId="1531" dataCellStyle="Normal 3"/>
    <tableColumn id="10" xr3:uid="{00000000-0010-0000-1000-00000A000000}" name="EXENTO" totalsRowFunction="sum" dataDxfId="1530" totalsRowDxfId="1529" dataCellStyle="Normal 3"/>
    <tableColumn id="11" xr3:uid="{00000000-0010-0000-1000-00000B000000}" name="TOTAL" totalsRowFunction="sum" dataDxfId="1528" totalsRowDxfId="1527" dataCellStyle="Normal 3">
      <calculatedColumnFormula>SUM(venta_a_mes3[[#This Row],[IMPORTE NETO]:[EXENTO]])</calculatedColumnFormula>
    </tableColumn>
    <tableColumn id="12" xr3:uid="{00000000-0010-0000-1000-00000C000000}" name="Provincia" totalsRowFunction="count" dataDxfId="1526" totalsRowDxfId="1525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ventas_b_mes3" displayName="ventas_b_mes3" ref="B237:M240" totalsRowCount="1" headerRowDxfId="1524" dataDxfId="1522" headerRowBorderDxfId="1523" tableBorderDxfId="1521" totalsRowBorderDxfId="1520" dataCellStyle="Normal 3">
  <autoFilter ref="B237:M239" xr:uid="{00000000-0009-0000-0100-000012000000}"/>
  <tableColumns count="12">
    <tableColumn id="1" xr3:uid="{00000000-0010-0000-1100-000001000000}" name="FECHA" totalsRowLabel="Total" dataDxfId="1519" totalsRowDxfId="1518" dataCellStyle="Normal 3"/>
    <tableColumn id="2" xr3:uid="{00000000-0010-0000-1100-000002000000}" name="TIPO" dataDxfId="1517" totalsRowDxfId="1516" dataCellStyle="Normal 3"/>
    <tableColumn id="3" xr3:uid="{00000000-0010-0000-1100-000003000000}" name="PTO VENTA" dataDxfId="1515" totalsRowDxfId="1514" dataCellStyle="Normal 3"/>
    <tableColumn id="4" xr3:uid="{00000000-0010-0000-1100-000004000000}" name="Nº FACTURA" dataDxfId="1513" totalsRowDxfId="1512" dataCellStyle="Normal 3"/>
    <tableColumn id="5" xr3:uid="{00000000-0010-0000-1100-000005000000}" name="CUIT" dataDxfId="1511" totalsRowDxfId="1510" dataCellStyle="Normal 3"/>
    <tableColumn id="6" xr3:uid="{00000000-0010-0000-1100-000006000000}" name="RAZON SOCIAL" dataDxfId="1509" totalsRowDxfId="1508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100-000007000000}" name="IMPORTE NETO" totalsRowFunction="sum" dataDxfId="1507" totalsRowDxfId="1506" dataCellStyle="Normal 3"/>
    <tableColumn id="8" xr3:uid="{00000000-0010-0000-1100-000008000000}" name="IVA 21%" totalsRowFunction="sum" dataDxfId="1505" totalsRowDxfId="1504" dataCellStyle="Normal 3"/>
    <tableColumn id="9" xr3:uid="{00000000-0010-0000-1100-000009000000}" name="IVA 10,5%" totalsRowFunction="sum" dataDxfId="1503" totalsRowDxfId="1502" dataCellStyle="Normal 3"/>
    <tableColumn id="10" xr3:uid="{00000000-0010-0000-1100-00000A000000}" name="EXENTO" totalsRowFunction="sum" dataDxfId="1501" totalsRowDxfId="1500" dataCellStyle="Normal 3"/>
    <tableColumn id="11" xr3:uid="{00000000-0010-0000-1100-00000B000000}" name="TOTAL" totalsRowFunction="sum" dataDxfId="1499" totalsRowDxfId="1498" dataCellStyle="Normal 3">
      <calculatedColumnFormula>SUM(ventas_b_mes3[[#This Row],[IMPORTE NETO]:[EXENTO]])</calculatedColumnFormula>
    </tableColumn>
    <tableColumn id="12" xr3:uid="{00000000-0010-0000-1100-00000C000000}" name="Provincia" totalsRowFunction="count" dataDxfId="1497" totalsRowDxfId="1496" dataCellStyle="Normal 3"/>
  </tableColumns>
  <tableStyleInfo name="Tabla Ventas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xtracto_banco_mes3" displayName="extracto_banco_mes3" ref="D184:L192" totalsRowCount="1" headerRowDxfId="1495" dataDxfId="1494" tableBorderDxfId="1493" dataCellStyle="Normal 3">
  <autoFilter ref="D184:L191" xr:uid="{00000000-0009-0000-0100-000013000000}"/>
  <tableColumns count="9">
    <tableColumn id="1" xr3:uid="{00000000-0010-0000-1200-000001000000}" name="FECHA" totalsRowLabel="Total" dataDxfId="1492" totalsRowDxfId="1491" dataCellStyle="Normal 3"/>
    <tableColumn id="2" xr3:uid="{00000000-0010-0000-1200-000002000000}" name="NRO CPTE" dataDxfId="1490" totalsRowDxfId="1489"/>
    <tableColumn id="3" xr3:uid="{00000000-0010-0000-1200-000003000000}" name="BANCO" dataDxfId="1488" totalsRowDxfId="1487"/>
    <tableColumn id="4" xr3:uid="{00000000-0010-0000-1200-000004000000}" name="NETO" totalsRowFunction="sum" dataDxfId="1486" totalsRowDxfId="1485" dataCellStyle="Normal 3"/>
    <tableColumn id="5" xr3:uid="{00000000-0010-0000-1200-000005000000}" name="IVA 21%" totalsRowFunction="sum" dataDxfId="1484" totalsRowDxfId="1483" dataCellStyle="Normal 3"/>
    <tableColumn id="6" xr3:uid="{00000000-0010-0000-1200-000006000000}" name="IVA 10,5%" totalsRowFunction="sum" dataDxfId="1482" totalsRowDxfId="1481" dataCellStyle="Normal 3"/>
    <tableColumn id="7" xr3:uid="{00000000-0010-0000-1200-000007000000}" name="RET IIBB CABA" totalsRowFunction="sum" dataDxfId="1480" totalsRowDxfId="1479" dataCellStyle="Normal 3"/>
    <tableColumn id="8" xr3:uid="{00000000-0010-0000-1200-000008000000}" name="PERC IVA" totalsRowFunction="sum" dataDxfId="1478" totalsRowDxfId="1477" dataCellStyle="Normal 3"/>
    <tableColumn id="9" xr3:uid="{00000000-0010-0000-1200-000009000000}" name="PERC IIBB" totalsRowFunction="sum" dataDxfId="1476" totalsRowDxfId="1475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Retenciones_mes3" displayName="Retenciones_mes3" ref="C249:L254" totalsRowShown="0" headerRowDxfId="1474" dataDxfId="1473" headerRowCellStyle="Normal 3" dataCellStyle="Normal 3">
  <autoFilter ref="C249:L254" xr:uid="{00000000-0009-0000-0100-000014000000}"/>
  <tableColumns count="10">
    <tableColumn id="1" xr3:uid="{00000000-0010-0000-1300-000001000000}" name="FECHA " dataDxfId="1472" dataCellStyle="Normal 3"/>
    <tableColumn id="2" xr3:uid="{00000000-0010-0000-1300-000002000000}" name="COMP Nº" dataDxfId="1471" dataCellStyle="Normal 3"/>
    <tableColumn id="3" xr3:uid="{00000000-0010-0000-1300-000003000000}" name="Columna1" dataDxfId="1470" dataCellStyle="Normal 3"/>
    <tableColumn id="4" xr3:uid="{00000000-0010-0000-1300-000004000000}" name="CUIT" dataDxfId="1469" dataCellStyle="Normal 3"/>
    <tableColumn id="5" xr3:uid="{00000000-0010-0000-1300-000005000000}" name="RAZON SOCIAL" dataDxfId="1468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300-000006000000}" name="Ganancias" dataDxfId="1467" dataCellStyle="Normal 3"/>
    <tableColumn id="7" xr3:uid="{00000000-0010-0000-1300-000007000000}" name="IVA" dataDxfId="1466" dataCellStyle="Normal 3"/>
    <tableColumn id="8" xr3:uid="{00000000-0010-0000-1300-000008000000}" name="SUSS" dataDxfId="1465" dataCellStyle="Normal 3"/>
    <tableColumn id="9" xr3:uid="{00000000-0010-0000-1300-000009000000}" name="IIBB BSAS" dataDxfId="1464" dataCellStyle="Normal 3"/>
    <tableColumn id="10" xr3:uid="{00000000-0010-0000-1300-00000A000000}" name="IIBB CABA" dataDxfId="1463" dataCellStyle="Normal 3"/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4000000}" name="venta_a_mes55253" displayName="venta_a_mes55253" ref="C258:N263" totalsRowCount="1" headerRowDxfId="1462" dataDxfId="1460" headerRowBorderDxfId="1461" tableBorderDxfId="1459" totalsRowBorderDxfId="1458" dataCellStyle="Normal 3">
  <autoFilter ref="C258:N262" xr:uid="{00000000-0009-0000-0100-000034000000}"/>
  <tableColumns count="12">
    <tableColumn id="1" xr3:uid="{00000000-0010-0000-1400-000001000000}" name="FECHA" totalsRowLabel="Total" dataDxfId="1457" totalsRowDxfId="1456" dataCellStyle="Normal 3"/>
    <tableColumn id="2" xr3:uid="{00000000-0010-0000-1400-000002000000}" name="TIPO" dataDxfId="1455" totalsRowDxfId="1454" dataCellStyle="Normal 3"/>
    <tableColumn id="3" xr3:uid="{00000000-0010-0000-1400-000003000000}" name="PTO VENTA" dataDxfId="1453" totalsRowDxfId="1452" dataCellStyle="Normal 3"/>
    <tableColumn id="4" xr3:uid="{00000000-0010-0000-1400-000004000000}" name="Nº FACTURA" dataDxfId="1451" totalsRowDxfId="1450" dataCellStyle="Normal 3"/>
    <tableColumn id="5" xr3:uid="{00000000-0010-0000-1400-000005000000}" name="CUIT" dataDxfId="1449" totalsRowDxfId="1448" dataCellStyle="Normal 3"/>
    <tableColumn id="6" xr3:uid="{00000000-0010-0000-1400-000006000000}" name="RAZON SOCIAL" dataDxfId="1447" totalsRowDxfId="1446" dataCellStyle="Normal 3">
      <calculatedColumnFormula>IFERROR(IF(venta_a_mes55253[[#This Row],[CUIT]]="","-",VLOOKUP(venta_a_mes55253[[#This Row],[CUIT]],Lista_CUIT[#All],2,0)),"CUIT NO CARGADO")</calculatedColumnFormula>
    </tableColumn>
    <tableColumn id="7" xr3:uid="{00000000-0010-0000-1400-000007000000}" name="IMPORTE NETO" totalsRowFunction="sum" dataDxfId="1445" totalsRowDxfId="1444" dataCellStyle="Normal 3"/>
    <tableColumn id="8" xr3:uid="{00000000-0010-0000-1400-000008000000}" name="IVA 21%" totalsRowFunction="sum" dataDxfId="1443" totalsRowDxfId="1442" dataCellStyle="Normal 3">
      <calculatedColumnFormula>venta_a_mes55253[[#This Row],[IMPORTE NETO]]*0.21</calculatedColumnFormula>
    </tableColumn>
    <tableColumn id="9" xr3:uid="{00000000-0010-0000-1400-000009000000}" name="IVA 10,5%" totalsRowFunction="sum" dataDxfId="1441" totalsRowDxfId="1440" dataCellStyle="Normal 3"/>
    <tableColumn id="10" xr3:uid="{00000000-0010-0000-1400-00000A000000}" name="EXENTO" totalsRowFunction="sum" dataDxfId="1439" totalsRowDxfId="1438" dataCellStyle="Normal 3"/>
    <tableColumn id="11" xr3:uid="{00000000-0010-0000-1400-00000B000000}" name="TOTAL" totalsRowFunction="sum" dataDxfId="1437" totalsRowDxfId="1436" dataCellStyle="Normal 3">
      <calculatedColumnFormula>SUM(venta_a_mes55253[[#This Row],[IMPORTE NETO]:[EXENTO]])</calculatedColumnFormula>
    </tableColumn>
    <tableColumn id="12" xr3:uid="{00000000-0010-0000-1400-00000C000000}" name="Provincia" totalsRowFunction="count" dataDxfId="1435" totalsRowDxfId="1434" dataCellStyle="Normal 3"/>
  </tableColumns>
  <tableStyleInfo name="Tabla Ventas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compras_mes4" displayName="compras_mes4" ref="B7:R173" totalsRowCount="1" headerRowDxfId="1433" totalsRowDxfId="1432">
  <autoFilter ref="B7:R172" xr:uid="{00000000-0009-0000-0100-000015000000}"/>
  <sortState xmlns:xlrd2="http://schemas.microsoft.com/office/spreadsheetml/2017/richdata2" ref="B8:R172">
    <sortCondition ref="B7:B172"/>
  </sortState>
  <tableColumns count="17">
    <tableColumn id="1" xr3:uid="{00000000-0010-0000-1500-000001000000}" name="FECHA" totalsRowLabel="Total" dataDxfId="1431" totalsRowDxfId="1430" dataCellStyle="Normal 3"/>
    <tableColumn id="2" xr3:uid="{00000000-0010-0000-1500-000002000000}" name="TIPO" dataDxfId="1429" totalsRowDxfId="1428" dataCellStyle="Normal 3"/>
    <tableColumn id="3" xr3:uid="{00000000-0010-0000-1500-000003000000}" name="PTO VTA" dataDxfId="1427" totalsRowDxfId="1426" dataCellStyle="Normal 3"/>
    <tableColumn id="4" xr3:uid="{00000000-0010-0000-1500-000004000000}" name="NRO. CPTE" dataDxfId="1425" totalsRowDxfId="1424" dataCellStyle="Normal 3"/>
    <tableColumn id="5" xr3:uid="{00000000-0010-0000-1500-000005000000}" name="CUIT" dataDxfId="1423" totalsRowDxfId="1422" dataCellStyle="Normal 3"/>
    <tableColumn id="6" xr3:uid="{00000000-0010-0000-1500-000006000000}" name="RAZON SOCIAL" dataDxfId="1421" totalsRowDxfId="1420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500-000007000000}" name="NETO GRAVADO" totalsRowFunction="sum" dataDxfId="1419" totalsRowDxfId="1418" dataCellStyle="Normal 3"/>
    <tableColumn id="8" xr3:uid="{00000000-0010-0000-1500-000008000000}" name="IVA 21 %" totalsRowFunction="sum" dataDxfId="1417" totalsRowDxfId="1416" dataCellStyle="Normal 3">
      <calculatedColumnFormula>IF(compras_mes4[[#This Row],[NETO GRAVADO]]="","",compras_mes4[[#This Row],[NETO GRAVADO]]*0.21)</calculatedColumnFormula>
    </tableColumn>
    <tableColumn id="9" xr3:uid="{00000000-0010-0000-1500-000009000000}" name="IVA 27%" totalsRowFunction="sum" dataDxfId="1415" totalsRowDxfId="1414" dataCellStyle="Normal 3"/>
    <tableColumn id="10" xr3:uid="{00000000-0010-0000-1500-00000A000000}" name="IVA 10,5%" totalsRowFunction="sum" dataDxfId="1413" totalsRowDxfId="1412" dataCellStyle="Normal 3"/>
    <tableColumn id="11" xr3:uid="{00000000-0010-0000-1500-00000B000000}" name="PERC. IVA" totalsRowFunction="sum" dataDxfId="1411" totalsRowDxfId="1410" dataCellStyle="Normal 3"/>
    <tableColumn id="12" xr3:uid="{00000000-0010-0000-1500-00000C000000}" name="PERC IIBB _x000a_BS AS" totalsRowFunction="sum" dataDxfId="1409" totalsRowDxfId="1408" dataCellStyle="Normal 3"/>
    <tableColumn id="13" xr3:uid="{00000000-0010-0000-1500-00000D000000}" name="PERC. IIBB CABA" totalsRowFunction="sum" dataDxfId="1407" totalsRowDxfId="1406" dataCellStyle="Normal 3"/>
    <tableColumn id="14" xr3:uid="{00000000-0010-0000-1500-00000E000000}" name="Otros / No Grav." totalsRowFunction="sum" dataDxfId="1405" totalsRowDxfId="1404" dataCellStyle="Normal 3"/>
    <tableColumn id="15" xr3:uid="{00000000-0010-0000-1500-00000F000000}" name="TOTAL" totalsRowFunction="sum" dataDxfId="1403" totalsRowDxfId="1402" dataCellStyle="Normal 3">
      <calculatedColumnFormula>SUM(compras_mes4[[#This Row],[NETO GRAVADO]:[Otros / No Grav.]])</calculatedColumnFormula>
    </tableColumn>
    <tableColumn id="16" xr3:uid="{00000000-0010-0000-1500-000010000000}" name="Tipo de Gasto" dataDxfId="1401" totalsRowDxfId="1400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500-000011000000}" name="Provincia" dataDxfId="1399" totalsRowDxfId="1398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factura_c_mes4" displayName="factura_c_mes4" ref="D187:K209" totalsRowCount="1" headerRowDxfId="1397" totalsRowDxfId="1396" headerRowCellStyle="Normal 3">
  <autoFilter ref="D187:K208" xr:uid="{00000000-0009-0000-0100-000016000000}"/>
  <tableColumns count="8">
    <tableColumn id="1" xr3:uid="{00000000-0010-0000-1600-000001000000}" name="FECHA" totalsRowLabel="Total" dataDxfId="1395" totalsRowDxfId="1394" dataCellStyle="Normal 3"/>
    <tableColumn id="2" xr3:uid="{00000000-0010-0000-1600-000002000000}" name="PTO VTA" dataDxfId="1393" totalsRowDxfId="1392" dataCellStyle="Normal 3"/>
    <tableColumn id="3" xr3:uid="{00000000-0010-0000-1600-000003000000}" name="FC Nº" dataDxfId="1391" totalsRowDxfId="1390" dataCellStyle="Normal 3"/>
    <tableColumn id="4" xr3:uid="{00000000-0010-0000-1600-000004000000}" name="CUIT" dataDxfId="1389" totalsRowDxfId="1388" dataCellStyle="Normal 3"/>
    <tableColumn id="5" xr3:uid="{00000000-0010-0000-1600-000005000000}" name="RAZON SOCIAL" dataDxfId="1387" totalsRowDxfId="1386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600-000006000000}" name="TOTAL" totalsRowFunction="sum" dataDxfId="1385" totalsRowDxfId="1384" dataCellStyle="Normal 3"/>
    <tableColumn id="7" xr3:uid="{00000000-0010-0000-1600-000007000000}" name="TIPO DE GASTO" dataDxfId="1383" totalsRowDxfId="1382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600-000008000000}" name="Provincia" dataDxfId="1381" totalsRowDxfId="1380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venta_a_mes4" displayName="venta_a_mes4" ref="B218:M224" totalsRowCount="1" headerRowDxfId="1379" dataDxfId="1377" headerRowBorderDxfId="1378" tableBorderDxfId="1376" totalsRowBorderDxfId="1375" dataCellStyle="Normal 3">
  <autoFilter ref="B218:M223" xr:uid="{00000000-0009-0000-0100-000017000000}"/>
  <tableColumns count="12">
    <tableColumn id="1" xr3:uid="{00000000-0010-0000-1700-000001000000}" name="FECHA" totalsRowLabel="Total" dataDxfId="1374" totalsRowDxfId="1373" dataCellStyle="Normal 3"/>
    <tableColumn id="2" xr3:uid="{00000000-0010-0000-1700-000002000000}" name="TIPO" dataDxfId="1372" totalsRowDxfId="1371" dataCellStyle="Normal 3"/>
    <tableColumn id="3" xr3:uid="{00000000-0010-0000-1700-000003000000}" name="PTO VENTA" dataDxfId="1370" totalsRowDxfId="1369" dataCellStyle="Normal 3"/>
    <tableColumn id="4" xr3:uid="{00000000-0010-0000-1700-000004000000}" name="Nº FACTURA" dataDxfId="1368" totalsRowDxfId="1367" dataCellStyle="Normal 3"/>
    <tableColumn id="5" xr3:uid="{00000000-0010-0000-1700-000005000000}" name="CUIT" dataDxfId="1366" totalsRowDxfId="1365" dataCellStyle="Normal 3"/>
    <tableColumn id="6" xr3:uid="{00000000-0010-0000-1700-000006000000}" name="RAZON SOCIAL" dataDxfId="1364" totalsRowDxfId="1363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700-000007000000}" name="IMPORTE NETO" totalsRowFunction="sum" dataDxfId="1362" totalsRowDxfId="1361" dataCellStyle="Normal 3"/>
    <tableColumn id="8" xr3:uid="{00000000-0010-0000-1700-000008000000}" name="IVA 21%" totalsRowFunction="sum" dataDxfId="1360" totalsRowDxfId="1359" dataCellStyle="Normal 3">
      <calculatedColumnFormula>venta_a_mes4[[#This Row],[IMPORTE NETO]]*0.21</calculatedColumnFormula>
    </tableColumn>
    <tableColumn id="9" xr3:uid="{00000000-0010-0000-1700-000009000000}" name="IVA 10,5%" totalsRowFunction="sum" dataDxfId="1358" totalsRowDxfId="1357" dataCellStyle="Normal 3"/>
    <tableColumn id="10" xr3:uid="{00000000-0010-0000-1700-00000A000000}" name="EXENTO" totalsRowFunction="sum" dataDxfId="1356" totalsRowDxfId="1355" dataCellStyle="Normal 3"/>
    <tableColumn id="11" xr3:uid="{00000000-0010-0000-1700-00000B000000}" name="TOTAL" totalsRowFunction="sum" dataDxfId="1354" totalsRowDxfId="1353" dataCellStyle="Normal 3">
      <calculatedColumnFormula>SUM(venta_a_mes4[[#This Row],[IMPORTE NETO]:[EXENTO]])</calculatedColumnFormula>
    </tableColumn>
    <tableColumn id="12" xr3:uid="{00000000-0010-0000-1700-00000C000000}" name="Provincia" totalsRowFunction="count" dataDxfId="1352" totalsRowDxfId="1351" dataCellStyle="Normal 3"/>
  </tableColumns>
  <tableStyleInfo name="Tabla Ventas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ventas_b_mes4" displayName="ventas_b_mes4" ref="B228:M235" totalsRowCount="1" headerRowDxfId="1350" dataDxfId="1348" headerRowBorderDxfId="1349" tableBorderDxfId="1347" totalsRowBorderDxfId="1346" dataCellStyle="Normal 3">
  <autoFilter ref="B228:M234" xr:uid="{00000000-0009-0000-0100-000018000000}"/>
  <tableColumns count="12">
    <tableColumn id="1" xr3:uid="{00000000-0010-0000-1800-000001000000}" name="FECHA" totalsRowLabel="Total" dataDxfId="1345" totalsRowDxfId="1344" dataCellStyle="Normal 3"/>
    <tableColumn id="2" xr3:uid="{00000000-0010-0000-1800-000002000000}" name="TIPO" dataDxfId="1343" totalsRowDxfId="1342" dataCellStyle="Normal 3"/>
    <tableColumn id="3" xr3:uid="{00000000-0010-0000-1800-000003000000}" name="PTO VENTA" dataDxfId="1341" totalsRowDxfId="1340" dataCellStyle="Normal 3"/>
    <tableColumn id="4" xr3:uid="{00000000-0010-0000-1800-000004000000}" name="Nº FACTURA" dataDxfId="1339" totalsRowDxfId="1338" dataCellStyle="Normal 3"/>
    <tableColumn id="5" xr3:uid="{00000000-0010-0000-1800-000005000000}" name="CUIT" dataDxfId="1337" totalsRowDxfId="1336" dataCellStyle="Normal 3"/>
    <tableColumn id="6" xr3:uid="{00000000-0010-0000-1800-000006000000}" name="RAZON SOCIAL" dataDxfId="1335" totalsRowDxfId="1334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800-000007000000}" name="IMPORTE NETO" totalsRowFunction="sum" dataDxfId="1333" totalsRowDxfId="1332" dataCellStyle="Normal 3"/>
    <tableColumn id="8" xr3:uid="{00000000-0010-0000-1800-000008000000}" name="IVA 21%" totalsRowFunction="sum" dataDxfId="1331" totalsRowDxfId="1330" dataCellStyle="Normal 3"/>
    <tableColumn id="9" xr3:uid="{00000000-0010-0000-1800-000009000000}" name="IVA 10,5%" totalsRowFunction="sum" dataDxfId="1329" totalsRowDxfId="1328" dataCellStyle="Normal 3"/>
    <tableColumn id="10" xr3:uid="{00000000-0010-0000-1800-00000A000000}" name="EXENTO" totalsRowFunction="sum" dataDxfId="1327" totalsRowDxfId="1326" dataCellStyle="Normal 3"/>
    <tableColumn id="11" xr3:uid="{00000000-0010-0000-1800-00000B000000}" name="TOTAL" totalsRowFunction="sum" dataDxfId="1325" totalsRowDxfId="1324" dataCellStyle="Normal 3">
      <calculatedColumnFormula>SUM(ventas_b_mes4[[#This Row],[IMPORTE NETO]:[EXENTO]])</calculatedColumnFormula>
    </tableColumn>
    <tableColumn id="12" xr3:uid="{00000000-0010-0000-1800-00000C000000}" name="Provincia" totalsRowFunction="count" dataDxfId="1323" totalsRowDxfId="1322" dataCellStyle="Normal 3"/>
  </tableColumns>
  <tableStyleInfo name="Tabla Ventas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extracto_banco_mes4" displayName="extracto_banco_mes4" ref="D176:L183" totalsRowCount="1" headerRowDxfId="1321" dataDxfId="1320" tableBorderDxfId="1319" dataCellStyle="Normal 3">
  <autoFilter ref="D176:L182" xr:uid="{00000000-0009-0000-0100-000019000000}"/>
  <tableColumns count="9">
    <tableColumn id="1" xr3:uid="{00000000-0010-0000-1900-000001000000}" name="FECHA" totalsRowLabel="Total" dataDxfId="1318" totalsRowDxfId="1317" dataCellStyle="Normal 3"/>
    <tableColumn id="2" xr3:uid="{00000000-0010-0000-1900-000002000000}" name="NRO CPTE" dataDxfId="1316" totalsRowDxfId="1315"/>
    <tableColumn id="3" xr3:uid="{00000000-0010-0000-1900-000003000000}" name="BANCO" dataDxfId="1314" totalsRowDxfId="1313"/>
    <tableColumn id="4" xr3:uid="{00000000-0010-0000-1900-000004000000}" name="NETO" totalsRowFunction="sum" dataDxfId="1312" totalsRowDxfId="1311" dataCellStyle="Normal 3"/>
    <tableColumn id="5" xr3:uid="{00000000-0010-0000-1900-000005000000}" name="IVA 21%" totalsRowFunction="sum" dataDxfId="1310" totalsRowDxfId="1309" dataCellStyle="Normal 3"/>
    <tableColumn id="6" xr3:uid="{00000000-0010-0000-1900-000006000000}" name="IVA 10,5%" totalsRowFunction="sum" dataDxfId="1308" totalsRowDxfId="1307" dataCellStyle="Normal 3"/>
    <tableColumn id="7" xr3:uid="{00000000-0010-0000-1900-000007000000}" name="RET IIBB CABA" totalsRowFunction="sum" dataDxfId="1306" totalsRowDxfId="1305" dataCellStyle="Normal 3"/>
    <tableColumn id="8" xr3:uid="{00000000-0010-0000-1900-000008000000}" name="PERC IVA" totalsRowFunction="sum" dataDxfId="1304" totalsRowDxfId="1303" dataCellStyle="Normal 3"/>
    <tableColumn id="9" xr3:uid="{00000000-0010-0000-1900-000009000000}" name="PERC IIBB" totalsRowFunction="sum" dataDxfId="1302" totalsRowDxfId="1301" dataCellStyle="Normal 3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Retenciones_mes4" displayName="Retenciones_mes4" ref="C244:L249" totalsRowShown="0" headerRowDxfId="1300" dataDxfId="1299" headerRowCellStyle="Normal 3" dataCellStyle="Normal 3">
  <autoFilter ref="C244:L249" xr:uid="{00000000-0009-0000-0100-00001A000000}"/>
  <tableColumns count="10">
    <tableColumn id="1" xr3:uid="{00000000-0010-0000-1A00-000001000000}" name="FECHA " dataDxfId="1298" dataCellStyle="Normal 3"/>
    <tableColumn id="2" xr3:uid="{00000000-0010-0000-1A00-000002000000}" name="COMP Nº" dataDxfId="1297" dataCellStyle="Normal 3"/>
    <tableColumn id="3" xr3:uid="{00000000-0010-0000-1A00-000003000000}" name="Columna1" dataDxfId="1296" dataCellStyle="Normal 3"/>
    <tableColumn id="4" xr3:uid="{00000000-0010-0000-1A00-000004000000}" name="CUIT" dataDxfId="1295" dataCellStyle="Normal 3"/>
    <tableColumn id="5" xr3:uid="{00000000-0010-0000-1A00-000005000000}" name="RAZON SOCIAL" dataDxfId="1294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A00-000006000000}" name="Ganancias" dataDxfId="1293" dataCellStyle="Normal 3"/>
    <tableColumn id="7" xr3:uid="{00000000-0010-0000-1A00-000007000000}" name="IVA" dataDxfId="1292" dataCellStyle="Normal 3"/>
    <tableColumn id="8" xr3:uid="{00000000-0010-0000-1A00-000008000000}" name="SUSS" dataDxfId="1291" dataCellStyle="Normal 3"/>
    <tableColumn id="9" xr3:uid="{00000000-0010-0000-1A00-000009000000}" name="IIBB BSAS" dataDxfId="1290" dataCellStyle="Normal 3"/>
    <tableColumn id="10" xr3:uid="{00000000-0010-0000-1A00-00000A000000}" name="IIBB CABA" dataDxfId="1289" dataCellStyle="Normal 3"/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compras_mes5" displayName="compras_mes5" ref="B7:R199" totalsRowCount="1" headerRowDxfId="1288" totalsRowDxfId="1287">
  <autoFilter ref="B7:R198" xr:uid="{00000000-0009-0000-0100-00002D000000}"/>
  <sortState xmlns:xlrd2="http://schemas.microsoft.com/office/spreadsheetml/2017/richdata2" ref="B8:R198">
    <sortCondition ref="B7:B198"/>
  </sortState>
  <tableColumns count="17">
    <tableColumn id="1" xr3:uid="{00000000-0010-0000-1B00-000001000000}" name="FECHA" totalsRowLabel="Total" dataDxfId="1286" totalsRowDxfId="1285" dataCellStyle="Normal 3"/>
    <tableColumn id="2" xr3:uid="{00000000-0010-0000-1B00-000002000000}" name="TIPO" dataDxfId="1284" totalsRowDxfId="1283" dataCellStyle="Normal 3"/>
    <tableColumn id="3" xr3:uid="{00000000-0010-0000-1B00-000003000000}" name="PTO VTA" dataDxfId="1282" totalsRowDxfId="1281" dataCellStyle="Normal 3"/>
    <tableColumn id="4" xr3:uid="{00000000-0010-0000-1B00-000004000000}" name="NRO. CPTE" dataDxfId="1280" totalsRowDxfId="1279" dataCellStyle="Normal 3"/>
    <tableColumn id="5" xr3:uid="{00000000-0010-0000-1B00-000005000000}" name="CUIT" dataDxfId="1278" totalsRowDxfId="1277" dataCellStyle="Normal 3"/>
    <tableColumn id="6" xr3:uid="{00000000-0010-0000-1B00-000006000000}" name="RAZON SOCIAL" dataDxfId="1276" totalsRowDxfId="1275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B00-000007000000}" name="NETO GRAVADO" totalsRowFunction="sum" dataDxfId="1274" totalsRowDxfId="1273" dataCellStyle="Normal 3"/>
    <tableColumn id="8" xr3:uid="{00000000-0010-0000-1B00-000008000000}" name="IVA 21 %" totalsRowFunction="sum" dataDxfId="1272" totalsRowDxfId="1271" dataCellStyle="Normal 3">
      <calculatedColumnFormula>IF(compras_mes5[[#This Row],[NETO GRAVADO]]="","",compras_mes5[[#This Row],[NETO GRAVADO]]*0.21)</calculatedColumnFormula>
    </tableColumn>
    <tableColumn id="9" xr3:uid="{00000000-0010-0000-1B00-000009000000}" name="IVA 27%" totalsRowFunction="sum" dataDxfId="1270" totalsRowDxfId="1269" dataCellStyle="Normal 3"/>
    <tableColumn id="10" xr3:uid="{00000000-0010-0000-1B00-00000A000000}" name="IVA 10,5%" totalsRowFunction="sum" dataDxfId="1268" totalsRowDxfId="1267" dataCellStyle="Normal 3"/>
    <tableColumn id="11" xr3:uid="{00000000-0010-0000-1B00-00000B000000}" name="PERC. IVA" totalsRowFunction="sum" dataDxfId="1266" totalsRowDxfId="1265" dataCellStyle="Normal 3"/>
    <tableColumn id="12" xr3:uid="{00000000-0010-0000-1B00-00000C000000}" name="PERC IIBB _x000a_BS AS" totalsRowFunction="sum" dataDxfId="1264" totalsRowDxfId="1263" dataCellStyle="Normal 3"/>
    <tableColumn id="13" xr3:uid="{00000000-0010-0000-1B00-00000D000000}" name="PERC. IIBB CABA" totalsRowFunction="sum" dataDxfId="1262" totalsRowDxfId="1261" dataCellStyle="Normal 3"/>
    <tableColumn id="14" xr3:uid="{00000000-0010-0000-1B00-00000E000000}" name="Otros / No Grav." totalsRowFunction="sum" dataDxfId="1260" totalsRowDxfId="1259" dataCellStyle="Normal 3"/>
    <tableColumn id="15" xr3:uid="{00000000-0010-0000-1B00-00000F000000}" name="TOTAL" totalsRowFunction="sum" dataDxfId="1258" totalsRowDxfId="1257" dataCellStyle="Normal 3">
      <calculatedColumnFormula>SUM(compras_mes5[[#This Row],[NETO GRAVADO]:[Otros / No Grav.]])</calculatedColumnFormula>
    </tableColumn>
    <tableColumn id="16" xr3:uid="{00000000-0010-0000-1B00-000010000000}" name="Tipo de Gasto" dataDxfId="1256" totalsRowDxfId="1255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B00-000011000000}" name="Provincia" dataDxfId="1254" totalsRowDxfId="1253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C000000}" name="factura_c_mes5" displayName="factura_c_mes5" ref="D213:K239" totalsRowCount="1" headerRowDxfId="1252" totalsRowDxfId="1251" headerRowCellStyle="Normal 3">
  <autoFilter ref="D213:K238" xr:uid="{00000000-0009-0000-0100-00002E000000}"/>
  <sortState xmlns:xlrd2="http://schemas.microsoft.com/office/spreadsheetml/2017/richdata2" ref="D214:K238">
    <sortCondition ref="D214:D238"/>
  </sortState>
  <tableColumns count="8">
    <tableColumn id="1" xr3:uid="{00000000-0010-0000-1C00-000001000000}" name="FECHA" totalsRowLabel="Total" dataDxfId="1250" totalsRowDxfId="1249" dataCellStyle="Normal 3"/>
    <tableColumn id="2" xr3:uid="{00000000-0010-0000-1C00-000002000000}" name="PTO VTA" dataDxfId="1248" totalsRowDxfId="1247" dataCellStyle="Normal 3"/>
    <tableColumn id="3" xr3:uid="{00000000-0010-0000-1C00-000003000000}" name="FC Nº" dataDxfId="1246" totalsRowDxfId="1245" dataCellStyle="Normal 3"/>
    <tableColumn id="4" xr3:uid="{00000000-0010-0000-1C00-000004000000}" name="CUIT" dataDxfId="1244" totalsRowDxfId="1243" dataCellStyle="Normal 3"/>
    <tableColumn id="5" xr3:uid="{00000000-0010-0000-1C00-000005000000}" name="RAZON SOCIAL" dataDxfId="1242" totalsRowDxfId="1241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C00-000006000000}" name="TOTAL" totalsRowFunction="sum" dataDxfId="1240" totalsRowDxfId="1239" dataCellStyle="Normal 3"/>
    <tableColumn id="7" xr3:uid="{00000000-0010-0000-1C00-000007000000}" name="TIPO DE GASTO" dataDxfId="1238" totalsRowDxfId="1237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C00-000008000000}" name="Provincia" dataDxfId="1236" totalsRowDxfId="1235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D000000}" name="venta_a_mes5" displayName="venta_a_mes5" ref="B244:M250" totalsRowCount="1" headerRowDxfId="1234" dataDxfId="1232" headerRowBorderDxfId="1233" tableBorderDxfId="1231" totalsRowBorderDxfId="1230" dataCellStyle="Normal 3">
  <autoFilter ref="B244:M249" xr:uid="{00000000-0009-0000-0100-00002F000000}"/>
  <tableColumns count="12">
    <tableColumn id="1" xr3:uid="{00000000-0010-0000-1D00-000001000000}" name="FECHA" totalsRowLabel="Total" dataDxfId="1229" totalsRowDxfId="1228" dataCellStyle="Normal 3"/>
    <tableColumn id="2" xr3:uid="{00000000-0010-0000-1D00-000002000000}" name="TIPO" dataDxfId="1227" totalsRowDxfId="1226" dataCellStyle="Normal 3"/>
    <tableColumn id="3" xr3:uid="{00000000-0010-0000-1D00-000003000000}" name="PTO VENTA" dataDxfId="1225" totalsRowDxfId="1224" dataCellStyle="Normal 3"/>
    <tableColumn id="4" xr3:uid="{00000000-0010-0000-1D00-000004000000}" name="Nº FACTURA" dataDxfId="1223" totalsRowDxfId="1222" dataCellStyle="Normal 3"/>
    <tableColumn id="5" xr3:uid="{00000000-0010-0000-1D00-000005000000}" name="CUIT" dataDxfId="1221" totalsRowDxfId="1220" dataCellStyle="Normal 3"/>
    <tableColumn id="6" xr3:uid="{00000000-0010-0000-1D00-000006000000}" name="RAZON SOCIAL" dataDxfId="1219" totalsRowDxfId="1218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D00-000007000000}" name="IMPORTE NETO" totalsRowFunction="sum" dataDxfId="1217" totalsRowDxfId="1216" dataCellStyle="Normal 3"/>
    <tableColumn id="8" xr3:uid="{00000000-0010-0000-1D00-000008000000}" name="IVA 21%" totalsRowFunction="sum" dataDxfId="1215" totalsRowDxfId="1214" dataCellStyle="Normal 3">
      <calculatedColumnFormula>venta_a_mes5[[#This Row],[IMPORTE NETO]]*0.21</calculatedColumnFormula>
    </tableColumn>
    <tableColumn id="9" xr3:uid="{00000000-0010-0000-1D00-000009000000}" name="IVA 10,5%" totalsRowFunction="sum" dataDxfId="1213" totalsRowDxfId="1212" dataCellStyle="Normal 3"/>
    <tableColumn id="10" xr3:uid="{00000000-0010-0000-1D00-00000A000000}" name="EXENTO" totalsRowFunction="sum" dataDxfId="1211" totalsRowDxfId="1210" dataCellStyle="Normal 3"/>
    <tableColumn id="11" xr3:uid="{00000000-0010-0000-1D00-00000B000000}" name="TOTAL" totalsRowFunction="sum" dataDxfId="1209" totalsRowDxfId="1208" dataCellStyle="Normal 3">
      <calculatedColumnFormula>SUM(venta_a_mes5[[#This Row],[IMPORTE NETO]:[EXENTO]])</calculatedColumnFormula>
    </tableColumn>
    <tableColumn id="12" xr3:uid="{00000000-0010-0000-1D00-00000C000000}" name="Provincia" totalsRowFunction="count" dataDxfId="1207" totalsRowDxfId="1206" dataCellStyle="Normal 3"/>
  </tableColumns>
  <tableStyleInfo name="Tabla Ventas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E000000}" name="ventas_b_mes5" displayName="ventas_b_mes5" ref="B254:M261" totalsRowCount="1" headerRowDxfId="1205" dataDxfId="1203" headerRowBorderDxfId="1204" tableBorderDxfId="1202" totalsRowBorderDxfId="1201" dataCellStyle="Normal 3">
  <autoFilter ref="B254:M260" xr:uid="{00000000-0009-0000-0100-000030000000}"/>
  <tableColumns count="12">
    <tableColumn id="1" xr3:uid="{00000000-0010-0000-1E00-000001000000}" name="FECHA" totalsRowLabel="Total" dataDxfId="1200" totalsRowDxfId="1199" dataCellStyle="Normal 3"/>
    <tableColumn id="2" xr3:uid="{00000000-0010-0000-1E00-000002000000}" name="TIPO" dataDxfId="1198" totalsRowDxfId="1197" dataCellStyle="Normal 3"/>
    <tableColumn id="3" xr3:uid="{00000000-0010-0000-1E00-000003000000}" name="PTO VENTA" dataDxfId="1196" totalsRowDxfId="1195" dataCellStyle="Normal 3"/>
    <tableColumn id="4" xr3:uid="{00000000-0010-0000-1E00-000004000000}" name="Nº FACTURA" dataDxfId="1194" totalsRowDxfId="1193" dataCellStyle="Normal 3"/>
    <tableColumn id="5" xr3:uid="{00000000-0010-0000-1E00-000005000000}" name="CUIT" dataDxfId="1192" totalsRowDxfId="1191" dataCellStyle="Normal 3"/>
    <tableColumn id="6" xr3:uid="{00000000-0010-0000-1E00-000006000000}" name="RAZON SOCIAL" dataDxfId="1190" totalsRowDxfId="1189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E00-000007000000}" name="IMPORTE NETO" totalsRowFunction="sum" dataDxfId="1188" totalsRowDxfId="1187" dataCellStyle="Normal 3"/>
    <tableColumn id="8" xr3:uid="{00000000-0010-0000-1E00-000008000000}" name="IVA 21%" totalsRowFunction="sum" dataDxfId="1186" totalsRowDxfId="1185" dataCellStyle="Normal 3"/>
    <tableColumn id="9" xr3:uid="{00000000-0010-0000-1E00-000009000000}" name="IVA 10,5%" totalsRowFunction="sum" dataDxfId="1184" totalsRowDxfId="1183" dataCellStyle="Normal 3"/>
    <tableColumn id="10" xr3:uid="{00000000-0010-0000-1E00-00000A000000}" name="EXENTO" totalsRowFunction="sum" dataDxfId="1182" totalsRowDxfId="1181" dataCellStyle="Normal 3"/>
    <tableColumn id="11" xr3:uid="{00000000-0010-0000-1E00-00000B000000}" name="TOTAL" totalsRowFunction="sum" dataDxfId="1180" totalsRowDxfId="1179" dataCellStyle="Normal 3">
      <calculatedColumnFormula>SUM(ventas_b_mes5[[#This Row],[IMPORTE NETO]:[EXENTO]])</calculatedColumnFormula>
    </tableColumn>
    <tableColumn id="12" xr3:uid="{00000000-0010-0000-1E00-00000C000000}" name="Provincia" totalsRowFunction="count" dataDxfId="1178" totalsRowDxfId="1177" dataCellStyle="Normal 3"/>
  </tableColumns>
  <tableStyleInfo name="Tabla Ventas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F000000}" name="extracto_banco_mes5" displayName="extracto_banco_mes5" ref="D202:M210" totalsRowCount="1" headerRowDxfId="1176" dataDxfId="1175" tableBorderDxfId="1174" dataCellStyle="Normal 3">
  <autoFilter ref="D202:M209" xr:uid="{00000000-0009-0000-0100-000031000000}"/>
  <tableColumns count="10">
    <tableColumn id="1" xr3:uid="{00000000-0010-0000-1F00-000001000000}" name="FECHA" totalsRowLabel="Total" dataDxfId="1173" totalsRowDxfId="1172" dataCellStyle="Normal 3"/>
    <tableColumn id="2" xr3:uid="{00000000-0010-0000-1F00-000002000000}" name="NRO CPTE" dataDxfId="1171" totalsRowDxfId="1170"/>
    <tableColumn id="3" xr3:uid="{00000000-0010-0000-1F00-000003000000}" name="BANCO" dataDxfId="1169" totalsRowDxfId="1168"/>
    <tableColumn id="4" xr3:uid="{00000000-0010-0000-1F00-000004000000}" name="NETO" totalsRowFunction="sum" dataDxfId="1167" totalsRowDxfId="1166" dataCellStyle="Normal 3"/>
    <tableColumn id="5" xr3:uid="{00000000-0010-0000-1F00-000005000000}" name="IVA 21%" totalsRowFunction="sum" dataDxfId="1165" totalsRowDxfId="1164" dataCellStyle="Normal 3">
      <calculatedColumnFormula>extracto_banco_mes5[[#This Row],[NETO]]*0.21</calculatedColumnFormula>
    </tableColumn>
    <tableColumn id="6" xr3:uid="{00000000-0010-0000-1F00-000006000000}" name="IVA 10,5%" totalsRowFunction="sum" dataDxfId="1163" totalsRowDxfId="1162" dataCellStyle="Normal 3"/>
    <tableColumn id="7" xr3:uid="{00000000-0010-0000-1F00-000007000000}" name="RET IIBB CABA" totalsRowFunction="sum" dataDxfId="1161" totalsRowDxfId="1160" dataCellStyle="Normal 3"/>
    <tableColumn id="8" xr3:uid="{00000000-0010-0000-1F00-000008000000}" name="PERC IVA" totalsRowFunction="sum" dataDxfId="1159" totalsRowDxfId="1158" dataCellStyle="Normal 3"/>
    <tableColumn id="9" xr3:uid="{00000000-0010-0000-1F00-000009000000}" name="PERC IIBB" totalsRowFunction="sum" dataDxfId="1157" totalsRowDxfId="1156" dataCellStyle="Normal 3"/>
    <tableColumn id="10" xr3:uid="{00000000-0010-0000-1F00-00000A000000}" name="TOTAL " dataDxfId="1155" totalsRowDxfId="1154" dataCellStyle="Normal 3">
      <calculatedColumnFormula>extracto_banco_mes5[[#This Row],[PERC IVA]]+extracto_banco_mes5[[#This Row],[RET IIBB CABA]]+extracto_banco_mes5[[#This Row],[IVA 10,5%]]+extracto_banco_mes5[[#This Row],[IVA 21%]]+extracto_banco_mes5[[#This Row],[NETO]]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0000000}" name="Retenciones_mes5" displayName="Retenciones_mes5" ref="C270:L275" totalsRowShown="0" headerRowDxfId="1153" dataDxfId="1152" headerRowCellStyle="Normal 3" dataCellStyle="Normal 3">
  <autoFilter ref="C270:L275" xr:uid="{00000000-0009-0000-0100-000032000000}"/>
  <tableColumns count="10">
    <tableColumn id="1" xr3:uid="{00000000-0010-0000-2000-000001000000}" name="FECHA " dataDxfId="1151" dataCellStyle="Normal 3"/>
    <tableColumn id="2" xr3:uid="{00000000-0010-0000-2000-000002000000}" name="COMP Nº" dataDxfId="1150" dataCellStyle="Normal 3"/>
    <tableColumn id="3" xr3:uid="{00000000-0010-0000-2000-000003000000}" name="Columna1" dataDxfId="1149" dataCellStyle="Normal 3"/>
    <tableColumn id="4" xr3:uid="{00000000-0010-0000-2000-000004000000}" name="CUIT" dataDxfId="1148" dataCellStyle="Normal 3"/>
    <tableColumn id="5" xr3:uid="{00000000-0010-0000-2000-000005000000}" name="RAZON SOCIAL" dataDxfId="1147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2000-000006000000}" name="Ganancias" dataDxfId="1146" dataCellStyle="Normal 3"/>
    <tableColumn id="7" xr3:uid="{00000000-0010-0000-2000-000007000000}" name="IVA" dataDxfId="1145" dataCellStyle="Normal 3"/>
    <tableColumn id="8" xr3:uid="{00000000-0010-0000-2000-000008000000}" name="SUSS" dataDxfId="1144" dataCellStyle="Normal 3"/>
    <tableColumn id="9" xr3:uid="{00000000-0010-0000-2000-000009000000}" name="IIBB BSAS" dataDxfId="1143" dataCellStyle="Normal 3"/>
    <tableColumn id="10" xr3:uid="{00000000-0010-0000-2000-00000A000000}" name="IIBB CABA" dataDxfId="1142" dataCellStyle="Normal 3"/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1000000}" name="compras_mes6" displayName="compras_mes6" ref="B8:R173" totalsRowCount="1" headerRowDxfId="1141" totalsRowDxfId="1140">
  <autoFilter ref="B8:R172" xr:uid="{00000000-0009-0000-0100-00001B000000}"/>
  <sortState xmlns:xlrd2="http://schemas.microsoft.com/office/spreadsheetml/2017/richdata2" ref="B9:R172">
    <sortCondition ref="B8:B172"/>
  </sortState>
  <tableColumns count="17">
    <tableColumn id="1" xr3:uid="{00000000-0010-0000-2100-000001000000}" name="FECHA" totalsRowLabel="Total" dataDxfId="1139" totalsRowDxfId="1138" dataCellStyle="Normal 3"/>
    <tableColumn id="2" xr3:uid="{00000000-0010-0000-2100-000002000000}" name="TIPO" dataDxfId="1137" totalsRowDxfId="1136" dataCellStyle="Normal 3"/>
    <tableColumn id="3" xr3:uid="{00000000-0010-0000-2100-000003000000}" name="PTO VTA" dataDxfId="1135" totalsRowDxfId="1134" dataCellStyle="Normal 3"/>
    <tableColumn id="4" xr3:uid="{00000000-0010-0000-2100-000004000000}" name="NRO. CPTE" dataDxfId="1133" totalsRowDxfId="1132" dataCellStyle="Normal 3"/>
    <tableColumn id="5" xr3:uid="{00000000-0010-0000-2100-000005000000}" name="CUIT" dataDxfId="1131" totalsRowDxfId="1130" dataCellStyle="Normal 3"/>
    <tableColumn id="6" xr3:uid="{00000000-0010-0000-2100-000006000000}" name="RAZON SOCIAL" dataDxfId="1129" totalsRowDxfId="1128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2100-000007000000}" name="NETO GRAVADO" totalsRowFunction="sum" dataDxfId="1127" totalsRowDxfId="1126" dataCellStyle="Normal 3"/>
    <tableColumn id="8" xr3:uid="{00000000-0010-0000-2100-000008000000}" name="IVA 21 %" totalsRowFunction="sum" dataDxfId="1125" totalsRowDxfId="1124" dataCellStyle="Normal 3">
      <calculatedColumnFormula>IF(compras_mes6[[#This Row],[NETO GRAVADO]]="","",compras_mes6[[#This Row],[NETO GRAVADO]]*0.21)</calculatedColumnFormula>
    </tableColumn>
    <tableColumn id="9" xr3:uid="{00000000-0010-0000-2100-000009000000}" name="IVA 27%" totalsRowFunction="sum" dataDxfId="1123" totalsRowDxfId="1122" dataCellStyle="Normal 3"/>
    <tableColumn id="10" xr3:uid="{00000000-0010-0000-2100-00000A000000}" name="IVA 10,5%" totalsRowFunction="sum" dataDxfId="1121" totalsRowDxfId="1120" dataCellStyle="Normal 3"/>
    <tableColumn id="11" xr3:uid="{00000000-0010-0000-2100-00000B000000}" name="PERC. IVA" totalsRowFunction="sum" dataDxfId="1119" totalsRowDxfId="1118" dataCellStyle="Normal 3"/>
    <tableColumn id="12" xr3:uid="{00000000-0010-0000-2100-00000C000000}" name="PERC IIBB _x000a_BS AS" totalsRowFunction="sum" dataDxfId="1117" totalsRowDxfId="1116" dataCellStyle="Normal 3"/>
    <tableColumn id="13" xr3:uid="{00000000-0010-0000-2100-00000D000000}" name="PERC. IIBB CABA" totalsRowFunction="sum" dataDxfId="1115" totalsRowDxfId="1114" dataCellStyle="Normal 3"/>
    <tableColumn id="14" xr3:uid="{00000000-0010-0000-2100-00000E000000}" name="Otros / No Grav." totalsRowFunction="sum" dataDxfId="1113" totalsRowDxfId="1112" dataCellStyle="Normal 3"/>
    <tableColumn id="15" xr3:uid="{00000000-0010-0000-2100-00000F000000}" name="TOTAL" totalsRowFunction="sum" dataDxfId="1111" totalsRowDxfId="1110" dataCellStyle="Normal 3">
      <calculatedColumnFormula>SUM(compras_mes6[[#This Row],[NETO GRAVADO]:[Otros / No Grav.]])</calculatedColumnFormula>
    </tableColumn>
    <tableColumn id="16" xr3:uid="{00000000-0010-0000-2100-000010000000}" name="Tipo de Gasto" dataDxfId="1109" totalsRowDxfId="1108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2100-000011000000}" name="Provincia" dataDxfId="1107" totalsRowDxfId="1106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2000000}" name="factura_c_mes6" displayName="factura_c_mes6" ref="D188:K208" totalsRowCount="1" headerRowDxfId="1105" totalsRowDxfId="1104" headerRowCellStyle="Normal 3">
  <autoFilter ref="D188:K207" xr:uid="{00000000-0009-0000-0100-00001C000000}"/>
  <sortState xmlns:xlrd2="http://schemas.microsoft.com/office/spreadsheetml/2017/richdata2" ref="D189:K207">
    <sortCondition ref="D189:D207"/>
  </sortState>
  <tableColumns count="8">
    <tableColumn id="1" xr3:uid="{00000000-0010-0000-2200-000001000000}" name="FECHA" totalsRowLabel="Total" dataDxfId="1103" totalsRowDxfId="1102" dataCellStyle="Normal 3"/>
    <tableColumn id="2" xr3:uid="{00000000-0010-0000-2200-000002000000}" name="PTO VTA" dataDxfId="1101" totalsRowDxfId="1100" dataCellStyle="Normal 3"/>
    <tableColumn id="3" xr3:uid="{00000000-0010-0000-2200-000003000000}" name="FC Nº" dataDxfId="1099" totalsRowDxfId="1098" dataCellStyle="Normal 3"/>
    <tableColumn id="4" xr3:uid="{00000000-0010-0000-2200-000004000000}" name="CUIT" dataDxfId="1097" totalsRowDxfId="1096" dataCellStyle="Normal 3"/>
    <tableColumn id="5" xr3:uid="{00000000-0010-0000-2200-000005000000}" name="RAZON SOCIAL" dataDxfId="1095" totalsRowDxfId="1094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200-000006000000}" name="TOTAL" totalsRowFunction="sum" dataDxfId="1093" totalsRowDxfId="1092" dataCellStyle="Normal 3"/>
    <tableColumn id="7" xr3:uid="{00000000-0010-0000-2200-000007000000}" name="TIPO DE GASTO" dataDxfId="1091" totalsRowDxfId="1090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200-000008000000}" name="Provincia" dataDxfId="1089" totalsRowDxfId="1088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3000000}" name="venta_a_mes6" displayName="venta_a_mes6" ref="B217:M227" totalsRowCount="1" headerRowDxfId="1087" dataDxfId="1085" headerRowBorderDxfId="1086" tableBorderDxfId="1084" totalsRowBorderDxfId="1083" dataCellStyle="Normal 3">
  <autoFilter ref="B217:M226" xr:uid="{00000000-0009-0000-0100-00001D000000}"/>
  <tableColumns count="12">
    <tableColumn id="1" xr3:uid="{00000000-0010-0000-2300-000001000000}" name="FECHA" totalsRowLabel="Total" dataDxfId="1082" totalsRowDxfId="1081" dataCellStyle="Normal 3"/>
    <tableColumn id="2" xr3:uid="{00000000-0010-0000-2300-000002000000}" name="TIPO" dataDxfId="1080" totalsRowDxfId="1079" dataCellStyle="Normal 3"/>
    <tableColumn id="3" xr3:uid="{00000000-0010-0000-2300-000003000000}" name="PTO VENTA" dataDxfId="1078" totalsRowDxfId="1077" dataCellStyle="Normal 3"/>
    <tableColumn id="4" xr3:uid="{00000000-0010-0000-2300-000004000000}" name="Nº FACTURA" dataDxfId="1076" totalsRowDxfId="1075" dataCellStyle="Normal 3"/>
    <tableColumn id="5" xr3:uid="{00000000-0010-0000-2300-000005000000}" name="CUIT" dataDxfId="1074" totalsRowDxfId="1073" dataCellStyle="Normal 3"/>
    <tableColumn id="6" xr3:uid="{00000000-0010-0000-2300-000006000000}" name="RAZON SOCIAL" dataDxfId="1072" totalsRowDxfId="1071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300-000007000000}" name="IMPORTE NETO" totalsRowFunction="sum" dataDxfId="1070" totalsRowDxfId="1069" dataCellStyle="Normal 3"/>
    <tableColumn id="8" xr3:uid="{00000000-0010-0000-2300-000008000000}" name="IVA 21%" totalsRowFunction="sum" dataDxfId="1068" totalsRowDxfId="1067" dataCellStyle="Normal 3">
      <calculatedColumnFormula>venta_a_mes6[[#This Row],[IMPORTE NETO]]*0.21</calculatedColumnFormula>
    </tableColumn>
    <tableColumn id="9" xr3:uid="{00000000-0010-0000-2300-000009000000}" name="IVA 10,5%" totalsRowFunction="sum" dataDxfId="1066" totalsRowDxfId="1065" dataCellStyle="Normal 3"/>
    <tableColumn id="10" xr3:uid="{00000000-0010-0000-2300-00000A000000}" name="EXENTO" totalsRowFunction="sum" dataDxfId="1064" totalsRowDxfId="1063" dataCellStyle="Normal 3"/>
    <tableColumn id="11" xr3:uid="{00000000-0010-0000-2300-00000B000000}" name="TOTAL" totalsRowFunction="sum" dataDxfId="1062" totalsRowDxfId="1061" dataCellStyle="Normal 3">
      <calculatedColumnFormula>SUM(venta_a_mes6[[#This Row],[IMPORTE NETO]:[EXENTO]])</calculatedColumnFormula>
    </tableColumn>
    <tableColumn id="12" xr3:uid="{00000000-0010-0000-2300-00000C000000}" name="Provincia" totalsRowFunction="count" dataDxfId="1060" totalsRowDxfId="1059" dataCellStyle="Normal 3"/>
  </tableColumns>
  <tableStyleInfo name="Tabla Ventas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4000000}" name="ventas_b_mes6" displayName="ventas_b_mes6" ref="B231:M238" totalsRowCount="1" headerRowDxfId="1058" dataDxfId="1056" headerRowBorderDxfId="1057" tableBorderDxfId="1055" totalsRowBorderDxfId="1054" dataCellStyle="Normal 3">
  <autoFilter ref="B231:M237" xr:uid="{00000000-0009-0000-0100-00001E000000}"/>
  <tableColumns count="12">
    <tableColumn id="1" xr3:uid="{00000000-0010-0000-2400-000001000000}" name="FECHA" totalsRowLabel="Total" dataDxfId="1053" totalsRowDxfId="1052" dataCellStyle="Normal 3"/>
    <tableColumn id="2" xr3:uid="{00000000-0010-0000-2400-000002000000}" name="TIPO" dataDxfId="1051" totalsRowDxfId="1050" dataCellStyle="Normal 3"/>
    <tableColumn id="3" xr3:uid="{00000000-0010-0000-2400-000003000000}" name="PTO VENTA" dataDxfId="1049" totalsRowDxfId="1048" dataCellStyle="Normal 3"/>
    <tableColumn id="4" xr3:uid="{00000000-0010-0000-2400-000004000000}" name="Nº FACTURA" dataDxfId="1047" totalsRowDxfId="1046" dataCellStyle="Normal 3"/>
    <tableColumn id="5" xr3:uid="{00000000-0010-0000-2400-000005000000}" name="CUIT" dataDxfId="1045" totalsRowDxfId="1044" dataCellStyle="Normal 3"/>
    <tableColumn id="6" xr3:uid="{00000000-0010-0000-2400-000006000000}" name="RAZON SOCIAL" dataDxfId="1043" totalsRowDxfId="1042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400-000007000000}" name="IMPORTE NETO" totalsRowFunction="sum" dataDxfId="1041" totalsRowDxfId="1040" dataCellStyle="Normal 3"/>
    <tableColumn id="8" xr3:uid="{00000000-0010-0000-2400-000008000000}" name="IVA 21%" totalsRowFunction="sum" dataDxfId="1039" totalsRowDxfId="1038" dataCellStyle="Normal 3"/>
    <tableColumn id="9" xr3:uid="{00000000-0010-0000-2400-000009000000}" name="IVA 10,5%" totalsRowFunction="sum" dataDxfId="1037" totalsRowDxfId="1036" dataCellStyle="Normal 3"/>
    <tableColumn id="10" xr3:uid="{00000000-0010-0000-2400-00000A000000}" name="EXENTO" totalsRowFunction="sum" dataDxfId="1035" totalsRowDxfId="1034" dataCellStyle="Normal 3"/>
    <tableColumn id="11" xr3:uid="{00000000-0010-0000-2400-00000B000000}" name="TOTAL" totalsRowFunction="sum" dataDxfId="1033" totalsRowDxfId="1032" dataCellStyle="Normal 3">
      <calculatedColumnFormula>SUM(ventas_b_mes6[[#This Row],[IMPORTE NETO]:[EXENTO]])</calculatedColumnFormula>
    </tableColumn>
    <tableColumn id="12" xr3:uid="{00000000-0010-0000-2400-00000C000000}" name="Provincia" totalsRowFunction="count" dataDxfId="1031" totalsRowDxfId="1030" dataCellStyle="Normal 3"/>
  </tableColumns>
  <tableStyleInfo name="Tabla Ventas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5000000}" name="extracto_banco_mes6" displayName="extracto_banco_mes6" ref="D176:L185" totalsRowCount="1" headerRowDxfId="1029" dataDxfId="1028" tableBorderDxfId="1027" dataCellStyle="Normal 3">
  <autoFilter ref="D176:L184" xr:uid="{00000000-0009-0000-0100-00001F000000}"/>
  <tableColumns count="9">
    <tableColumn id="1" xr3:uid="{00000000-0010-0000-2500-000001000000}" name="FECHA" totalsRowLabel="Total" dataDxfId="1026" totalsRowDxfId="1025" dataCellStyle="Normal 3"/>
    <tableColumn id="2" xr3:uid="{00000000-0010-0000-2500-000002000000}" name="NRO CPTE" dataDxfId="1024" totalsRowDxfId="1023"/>
    <tableColumn id="3" xr3:uid="{00000000-0010-0000-2500-000003000000}" name="BANCO" dataDxfId="1022" totalsRowDxfId="1021"/>
    <tableColumn id="4" xr3:uid="{00000000-0010-0000-2500-000004000000}" name="NETO" totalsRowFunction="sum" dataDxfId="1020" totalsRowDxfId="1019" dataCellStyle="Normal 3"/>
    <tableColumn id="5" xr3:uid="{00000000-0010-0000-2500-000005000000}" name="IVA 21%" totalsRowFunction="sum" dataDxfId="1018" totalsRowDxfId="1017" dataCellStyle="Normal 3">
      <calculatedColumnFormula>extracto_banco_mes6[[#This Row],[NETO]]*0.21</calculatedColumnFormula>
    </tableColumn>
    <tableColumn id="6" xr3:uid="{00000000-0010-0000-2500-000006000000}" name="IVA 10,5%" totalsRowFunction="sum" dataDxfId="1016" totalsRowDxfId="1015" dataCellStyle="Normal 3"/>
    <tableColumn id="7" xr3:uid="{00000000-0010-0000-2500-000007000000}" name="RET IIBB CABA" totalsRowFunction="sum" dataDxfId="1014" totalsRowDxfId="1013" dataCellStyle="Normal 3"/>
    <tableColumn id="8" xr3:uid="{00000000-0010-0000-2500-000008000000}" name="PERC IVA" totalsRowFunction="sum" dataDxfId="1012" totalsRowDxfId="1011" dataCellStyle="Normal 3"/>
    <tableColumn id="9" xr3:uid="{00000000-0010-0000-2500-000009000000}" name="PERC IIBB" totalsRowFunction="sum" dataDxfId="1010" totalsRowDxfId="1009" dataCellStyle="Normal 3"/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6000000}" name="Retenciones_mes6" displayName="Retenciones_mes6" ref="C247:L252" totalsRowShown="0" headerRowDxfId="1008" dataDxfId="1007" headerRowCellStyle="Normal 3" dataCellStyle="Normal 3">
  <autoFilter ref="C247:L252" xr:uid="{00000000-0009-0000-0100-000020000000}"/>
  <tableColumns count="10">
    <tableColumn id="1" xr3:uid="{00000000-0010-0000-2600-000001000000}" name="FECHA " dataDxfId="1006" dataCellStyle="Normal 3"/>
    <tableColumn id="2" xr3:uid="{00000000-0010-0000-2600-000002000000}" name="COMP Nº" dataDxfId="1005" dataCellStyle="Normal 3"/>
    <tableColumn id="3" xr3:uid="{00000000-0010-0000-2600-000003000000}" name="Columna1" dataDxfId="1004" dataCellStyle="Normal 3"/>
    <tableColumn id="4" xr3:uid="{00000000-0010-0000-2600-000004000000}" name="CUIT" dataDxfId="1003" dataCellStyle="Normal 3"/>
    <tableColumn id="5" xr3:uid="{00000000-0010-0000-2600-000005000000}" name="RAZON SOCIAL" dataDxfId="1002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600-000006000000}" name="Ganancias" dataDxfId="1001" dataCellStyle="Normal 3"/>
    <tableColumn id="7" xr3:uid="{00000000-0010-0000-2600-000007000000}" name="IVA" dataDxfId="1000" dataCellStyle="Normal 3"/>
    <tableColumn id="8" xr3:uid="{00000000-0010-0000-2600-000008000000}" name="SUSS" dataDxfId="999" dataCellStyle="Normal 3"/>
    <tableColumn id="9" xr3:uid="{00000000-0010-0000-2600-000009000000}" name="IIBB BSAS" dataDxfId="998" dataCellStyle="Normal 3"/>
    <tableColumn id="10" xr3:uid="{00000000-0010-0000-2600-00000A000000}" name="IIBB CABA" dataDxfId="997" dataCellStyle="Normal 3"/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7000000}" name="compras_mes7" displayName="compras_mes7" ref="B8:R170" totalsRowCount="1" headerRowDxfId="996" totalsRowDxfId="995">
  <autoFilter ref="B8:R169" xr:uid="{00000000-0009-0000-0100-000027000000}"/>
  <sortState xmlns:xlrd2="http://schemas.microsoft.com/office/spreadsheetml/2017/richdata2" ref="B9:R169">
    <sortCondition ref="E9:E169"/>
  </sortState>
  <tableColumns count="17">
    <tableColumn id="1" xr3:uid="{00000000-0010-0000-2700-000001000000}" name="FECHA" totalsRowLabel="Total" dataDxfId="994" totalsRowDxfId="993" dataCellStyle="Normal 3"/>
    <tableColumn id="2" xr3:uid="{00000000-0010-0000-2700-000002000000}" name="TIPO" dataDxfId="992" totalsRowDxfId="991" dataCellStyle="Normal 3"/>
    <tableColumn id="3" xr3:uid="{00000000-0010-0000-2700-000003000000}" name="PTO VTA" dataDxfId="990" totalsRowDxfId="989" dataCellStyle="Normal 3"/>
    <tableColumn id="4" xr3:uid="{00000000-0010-0000-2700-000004000000}" name="NRO. CPTE" dataDxfId="988" totalsRowDxfId="987" dataCellStyle="Normal 3"/>
    <tableColumn id="5" xr3:uid="{00000000-0010-0000-2700-000005000000}" name="CUIT" dataDxfId="986" totalsRowDxfId="985" dataCellStyle="Normal 3"/>
    <tableColumn id="6" xr3:uid="{00000000-0010-0000-2700-000006000000}" name="RAZON SOCIAL" dataDxfId="984" totalsRowDxfId="983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700-000007000000}" name="NETO GRAVADO" totalsRowFunction="sum" dataDxfId="982" totalsRowDxfId="981" dataCellStyle="Normal 3"/>
    <tableColumn id="8" xr3:uid="{00000000-0010-0000-2700-000008000000}" name="IVA 21 %" totalsRowFunction="sum" dataDxfId="980" totalsRowDxfId="979" dataCellStyle="Normal 3">
      <calculatedColumnFormula>IF(compras_mes7[[#This Row],[NETO GRAVADO]]="","",compras_mes7[[#This Row],[NETO GRAVADO]]*0.21)</calculatedColumnFormula>
    </tableColumn>
    <tableColumn id="9" xr3:uid="{00000000-0010-0000-2700-000009000000}" name="IVA 27%" totalsRowFunction="sum" dataDxfId="978" totalsRowDxfId="977" dataCellStyle="Normal 3"/>
    <tableColumn id="10" xr3:uid="{00000000-0010-0000-2700-00000A000000}" name="IVA 10,5%" totalsRowFunction="sum" dataDxfId="976" totalsRowDxfId="975" dataCellStyle="Normal 3"/>
    <tableColumn id="11" xr3:uid="{00000000-0010-0000-2700-00000B000000}" name="PERC. IVA" totalsRowFunction="sum" dataDxfId="974" totalsRowDxfId="973" dataCellStyle="Normal 3"/>
    <tableColumn id="12" xr3:uid="{00000000-0010-0000-2700-00000C000000}" name="PERC IIBB _x000a_BS AS" totalsRowFunction="sum" dataDxfId="972" totalsRowDxfId="971" dataCellStyle="Normal 3"/>
    <tableColumn id="13" xr3:uid="{00000000-0010-0000-2700-00000D000000}" name="PERC. IIBB CABA" totalsRowFunction="sum" dataDxfId="970" totalsRowDxfId="969" dataCellStyle="Normal 3"/>
    <tableColumn id="14" xr3:uid="{00000000-0010-0000-2700-00000E000000}" name="Otros / No Grav." totalsRowFunction="sum" dataDxfId="968" totalsRowDxfId="967" dataCellStyle="Normal 3"/>
    <tableColumn id="15" xr3:uid="{00000000-0010-0000-2700-00000F000000}" name="TOTAL" totalsRowFunction="sum" dataDxfId="966" totalsRowDxfId="965" dataCellStyle="Normal 3">
      <calculatedColumnFormula>SUM(compras_mes7[[#This Row],[NETO GRAVADO]:[Otros / No Grav.]])</calculatedColumnFormula>
    </tableColumn>
    <tableColumn id="16" xr3:uid="{00000000-0010-0000-2700-000010000000}" name="Tipo de Gasto" dataDxfId="964" totalsRowDxfId="963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700-000011000000}" name="Provincia" dataDxfId="962" totalsRowDxfId="961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8000000}" name="factura_c_mes7" displayName="factura_c_mes7" ref="D189:K214" totalsRowCount="1" headerRowDxfId="960" totalsRowDxfId="959" headerRowCellStyle="Normal 3">
  <autoFilter ref="D189:K213" xr:uid="{00000000-0009-0000-0100-000028000000}"/>
  <sortState xmlns:xlrd2="http://schemas.microsoft.com/office/spreadsheetml/2017/richdata2" ref="D190:K213">
    <sortCondition ref="D190:D213"/>
  </sortState>
  <tableColumns count="8">
    <tableColumn id="1" xr3:uid="{00000000-0010-0000-2800-000001000000}" name="FECHA" totalsRowLabel="Total" dataDxfId="958" totalsRowDxfId="957" dataCellStyle="Normal 3"/>
    <tableColumn id="2" xr3:uid="{00000000-0010-0000-2800-000002000000}" name="PTO VTA" dataDxfId="956" totalsRowDxfId="955" dataCellStyle="Normal 3"/>
    <tableColumn id="3" xr3:uid="{00000000-0010-0000-2800-000003000000}" name="FC Nº" dataDxfId="954" totalsRowDxfId="953" dataCellStyle="Normal 3"/>
    <tableColumn id="4" xr3:uid="{00000000-0010-0000-2800-000004000000}" name="CUIT" dataDxfId="952" totalsRowDxfId="951" dataCellStyle="Normal 3"/>
    <tableColumn id="5" xr3:uid="{00000000-0010-0000-2800-000005000000}" name="RAZON SOCIAL" dataDxfId="950" totalsRowDxfId="949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800-000006000000}" name="TOTAL" totalsRowFunction="sum" dataDxfId="948" totalsRowDxfId="947" dataCellStyle="Normal 3"/>
    <tableColumn id="7" xr3:uid="{00000000-0010-0000-2800-000007000000}" name="TIPO DE GASTO" dataDxfId="946" totalsRowDxfId="945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800-000008000000}" name="Provincia" dataDxfId="944" totalsRowDxfId="943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ventas_b_mes7" displayName="ventas_b_mes7" ref="B224:M232" totalsRowCount="1" headerRowDxfId="942" dataDxfId="940" headerRowBorderDxfId="941" tableBorderDxfId="939" totalsRowBorderDxfId="938" dataCellStyle="Normal 3">
  <autoFilter ref="B224:M231" xr:uid="{00000000-0009-0000-0100-00002A000000}"/>
  <tableColumns count="12">
    <tableColumn id="1" xr3:uid="{00000000-0010-0000-2900-000001000000}" name="FECHA" totalsRowLabel="Total" dataDxfId="937" totalsRowDxfId="936" dataCellStyle="Normal 3"/>
    <tableColumn id="2" xr3:uid="{00000000-0010-0000-2900-000002000000}" name="TIPO" dataDxfId="935" totalsRowDxfId="934" dataCellStyle="Normal 3"/>
    <tableColumn id="3" xr3:uid="{00000000-0010-0000-2900-000003000000}" name="PTO VENTA" dataDxfId="933" totalsRowDxfId="932" dataCellStyle="Normal 3"/>
    <tableColumn id="4" xr3:uid="{00000000-0010-0000-2900-000004000000}" name="Nº FACTURA" dataDxfId="931" totalsRowDxfId="930" dataCellStyle="Normal 3"/>
    <tableColumn id="5" xr3:uid="{00000000-0010-0000-2900-000005000000}" name="CUIT" dataDxfId="929" totalsRowDxfId="928" dataCellStyle="Normal 3"/>
    <tableColumn id="6" xr3:uid="{00000000-0010-0000-2900-000006000000}" name="RAZON SOCIAL" dataDxfId="927" totalsRowDxfId="926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900-000007000000}" name="IMPORTE NETO" totalsRowFunction="sum" dataDxfId="925" totalsRowDxfId="924" dataCellStyle="Normal 3"/>
    <tableColumn id="8" xr3:uid="{00000000-0010-0000-2900-000008000000}" name="IVA 21%" totalsRowFunction="sum" dataDxfId="923" totalsRowDxfId="922" dataCellStyle="Normal 3"/>
    <tableColumn id="9" xr3:uid="{00000000-0010-0000-2900-000009000000}" name="IVA 10,5%" totalsRowFunction="sum" dataDxfId="921" totalsRowDxfId="920" dataCellStyle="Normal 3"/>
    <tableColumn id="10" xr3:uid="{00000000-0010-0000-2900-00000A000000}" name="EXENTO" totalsRowFunction="sum" dataDxfId="919" totalsRowDxfId="918" dataCellStyle="Normal 3"/>
    <tableColumn id="11" xr3:uid="{00000000-0010-0000-2900-00000B000000}" name="TOTAL" totalsRowFunction="sum" dataDxfId="917" totalsRowDxfId="916" dataCellStyle="Normal 3">
      <calculatedColumnFormula>SUM(ventas_b_mes7[[#This Row],[IMPORTE NETO]:[EXENTO]])</calculatedColumnFormula>
    </tableColumn>
    <tableColumn id="12" xr3:uid="{00000000-0010-0000-2900-00000C000000}" name="Provincia" totalsRowFunction="count" dataDxfId="915" totalsRowDxfId="914" dataCellStyle="Normal 3"/>
  </tableColumns>
  <tableStyleInfo name="Tabla Ventas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extracto_banco_mes7" displayName="extracto_banco_mes7" ref="D176:L184" totalsRowCount="1" headerRowDxfId="913" dataDxfId="912" tableBorderDxfId="911" dataCellStyle="Normal 3">
  <autoFilter ref="D176:L183" xr:uid="{00000000-0009-0000-0100-00002B000000}"/>
  <tableColumns count="9">
    <tableColumn id="1" xr3:uid="{00000000-0010-0000-2A00-000001000000}" name="FECHA" totalsRowLabel="Total" dataDxfId="910" totalsRowDxfId="909" dataCellStyle="Normal 3"/>
    <tableColumn id="2" xr3:uid="{00000000-0010-0000-2A00-000002000000}" name="NRO CPTE" dataDxfId="908" totalsRowDxfId="907"/>
    <tableColumn id="3" xr3:uid="{00000000-0010-0000-2A00-000003000000}" name="BANCO" dataDxfId="906" totalsRowDxfId="905"/>
    <tableColumn id="4" xr3:uid="{00000000-0010-0000-2A00-000004000000}" name="NETO" totalsRowFunction="sum" dataDxfId="904" totalsRowDxfId="903" dataCellStyle="Normal 3"/>
    <tableColumn id="5" xr3:uid="{00000000-0010-0000-2A00-000005000000}" name="IVA 21%" totalsRowFunction="sum" dataDxfId="902" totalsRowDxfId="901" dataCellStyle="Normal 3">
      <calculatedColumnFormula>extracto_banco_mes7[[#This Row],[NETO]]*0.21</calculatedColumnFormula>
    </tableColumn>
    <tableColumn id="6" xr3:uid="{00000000-0010-0000-2A00-000006000000}" name="IVA 10,5%" totalsRowFunction="sum" dataDxfId="900" totalsRowDxfId="899" dataCellStyle="Normal 3"/>
    <tableColumn id="7" xr3:uid="{00000000-0010-0000-2A00-000007000000}" name="RET IIBB CABA" totalsRowFunction="sum" dataDxfId="898" totalsRowDxfId="897" dataCellStyle="Normal 3"/>
    <tableColumn id="8" xr3:uid="{00000000-0010-0000-2A00-000008000000}" name="PERC IVA" totalsRowFunction="sum" dataDxfId="896" totalsRowDxfId="895" dataCellStyle="Normal 3"/>
    <tableColumn id="9" xr3:uid="{00000000-0010-0000-2A00-000009000000}" name="PERC IIBB" totalsRowFunction="sum" dataDxfId="894" totalsRowDxfId="893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Retenciones_mes7" displayName="Retenciones_mes7" ref="C240:L245" totalsRowShown="0" headerRowDxfId="892" dataDxfId="891" headerRowCellStyle="Normal 3" dataCellStyle="Normal 3">
  <autoFilter ref="C240:L245" xr:uid="{00000000-0009-0000-0100-00002C000000}"/>
  <tableColumns count="10">
    <tableColumn id="1" xr3:uid="{00000000-0010-0000-2B00-000001000000}" name="FECHA " dataDxfId="890" dataCellStyle="Normal 3"/>
    <tableColumn id="2" xr3:uid="{00000000-0010-0000-2B00-000002000000}" name="COMP Nº" dataDxfId="889" dataCellStyle="Normal 3"/>
    <tableColumn id="3" xr3:uid="{00000000-0010-0000-2B00-000003000000}" name="Columna1" dataDxfId="888" dataCellStyle="Normal 3"/>
    <tableColumn id="4" xr3:uid="{00000000-0010-0000-2B00-000004000000}" name="CUIT" dataDxfId="887" dataCellStyle="Normal 3"/>
    <tableColumn id="5" xr3:uid="{00000000-0010-0000-2B00-000005000000}" name="RAZON SOCIAL" dataDxfId="886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B00-000006000000}" name="Ganancias" dataDxfId="885" dataCellStyle="Normal 3"/>
    <tableColumn id="7" xr3:uid="{00000000-0010-0000-2B00-000007000000}" name="IVA" dataDxfId="884" dataCellStyle="Normal 3"/>
    <tableColumn id="8" xr3:uid="{00000000-0010-0000-2B00-000008000000}" name="SUSS" dataDxfId="883" dataCellStyle="Normal 3"/>
    <tableColumn id="9" xr3:uid="{00000000-0010-0000-2B00-000009000000}" name="IIBB BSAS" dataDxfId="882" dataCellStyle="Normal 3"/>
    <tableColumn id="10" xr3:uid="{00000000-0010-0000-2B00-00000A000000}" name="IIBB CABA" dataDxfId="881" dataCellStyle="Normal 3"/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C000000}" name="compras_mes8" displayName="compras_mes8" ref="B8:R211" totalsRowCount="1" headerRowDxfId="880" totalsRowDxfId="879">
  <autoFilter ref="B8:R210" xr:uid="{00000000-0009-0000-0100-000039000000}"/>
  <sortState xmlns:xlrd2="http://schemas.microsoft.com/office/spreadsheetml/2017/richdata2" ref="B9:R210">
    <sortCondition ref="B8:B210"/>
  </sortState>
  <tableColumns count="17">
    <tableColumn id="1" xr3:uid="{00000000-0010-0000-2C00-000001000000}" name="FECHA" totalsRowLabel="Total" dataDxfId="878" totalsRowDxfId="877" dataCellStyle="Normal 3"/>
    <tableColumn id="2" xr3:uid="{00000000-0010-0000-2C00-000002000000}" name="TIPO" dataDxfId="876" totalsRowDxfId="875" dataCellStyle="Normal 3"/>
    <tableColumn id="3" xr3:uid="{00000000-0010-0000-2C00-000003000000}" name="PTO VTA" dataDxfId="874" totalsRowDxfId="873" dataCellStyle="Normal 3"/>
    <tableColumn id="4" xr3:uid="{00000000-0010-0000-2C00-000004000000}" name="NRO. CPTE" dataDxfId="872" totalsRowDxfId="871" dataCellStyle="Normal 3"/>
    <tableColumn id="5" xr3:uid="{00000000-0010-0000-2C00-000005000000}" name="CUIT" dataDxfId="870" totalsRowDxfId="869" dataCellStyle="Normal 3"/>
    <tableColumn id="6" xr3:uid="{00000000-0010-0000-2C00-000006000000}" name="RAZON SOCIAL" dataDxfId="868" totalsRowDxfId="867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C00-000007000000}" name="NETO GRAVADO" totalsRowFunction="sum" dataDxfId="866" totalsRowDxfId="865" dataCellStyle="Normal 3"/>
    <tableColumn id="8" xr3:uid="{00000000-0010-0000-2C00-000008000000}" name="IVA 21 %" totalsRowFunction="sum" dataDxfId="864" totalsRowDxfId="863" dataCellStyle="Normal 3">
      <calculatedColumnFormula>IF(compras_mes8[[#This Row],[NETO GRAVADO]]="","",compras_mes8[[#This Row],[NETO GRAVADO]]*0.21)</calculatedColumnFormula>
    </tableColumn>
    <tableColumn id="9" xr3:uid="{00000000-0010-0000-2C00-000009000000}" name="IVA 27%" totalsRowFunction="sum" dataDxfId="862" totalsRowDxfId="861" dataCellStyle="Normal 3"/>
    <tableColumn id="10" xr3:uid="{00000000-0010-0000-2C00-00000A000000}" name="IVA 10,5%" totalsRowFunction="sum" dataDxfId="860" totalsRowDxfId="859" dataCellStyle="Normal 3"/>
    <tableColumn id="11" xr3:uid="{00000000-0010-0000-2C00-00000B000000}" name="PERC. IVA" totalsRowFunction="sum" dataDxfId="858" totalsRowDxfId="857" dataCellStyle="Normal 3"/>
    <tableColumn id="12" xr3:uid="{00000000-0010-0000-2C00-00000C000000}" name="PERC IIBB _x000a_BS AS" totalsRowFunction="sum" dataDxfId="856" totalsRowDxfId="855" dataCellStyle="Normal 3"/>
    <tableColumn id="13" xr3:uid="{00000000-0010-0000-2C00-00000D000000}" name="PERC. IIBB CABA" totalsRowFunction="sum" dataDxfId="854" totalsRowDxfId="853" dataCellStyle="Normal 3"/>
    <tableColumn id="14" xr3:uid="{00000000-0010-0000-2C00-00000E000000}" name="Otros / No Grav." totalsRowFunction="sum" dataDxfId="852" totalsRowDxfId="851" dataCellStyle="Normal 3"/>
    <tableColumn id="15" xr3:uid="{00000000-0010-0000-2C00-00000F000000}" name="TOTAL" totalsRowFunction="sum" dataDxfId="850" totalsRowDxfId="849" dataCellStyle="Normal 3">
      <calculatedColumnFormula>SUM(compras_mes8[[#This Row],[NETO GRAVADO]:[Otros / No Grav.]])</calculatedColumnFormula>
    </tableColumn>
    <tableColumn id="16" xr3:uid="{00000000-0010-0000-2C00-000010000000}" name="Tipo de Gasto" dataDxfId="848" totalsRowDxfId="847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C00-000011000000}" name="Provincia" dataDxfId="846" totalsRowDxfId="845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D000000}" name="factura_c_mes8" displayName="factura_c_mes8" ref="D232:K274" totalsRowCount="1" headerRowDxfId="844" totalsRowDxfId="843" headerRowCellStyle="Normal 3">
  <autoFilter ref="D232:K273" xr:uid="{00000000-0009-0000-0100-00003A000000}"/>
  <sortState xmlns:xlrd2="http://schemas.microsoft.com/office/spreadsheetml/2017/richdata2" ref="D233:K273">
    <sortCondition ref="D233:D273"/>
  </sortState>
  <tableColumns count="8">
    <tableColumn id="1" xr3:uid="{00000000-0010-0000-2D00-000001000000}" name="FECHA" totalsRowLabel="Total" dataDxfId="842" totalsRowDxfId="841" dataCellStyle="Normal 3"/>
    <tableColumn id="2" xr3:uid="{00000000-0010-0000-2D00-000002000000}" name="PTO VTA" dataDxfId="840" totalsRowDxfId="839" dataCellStyle="Normal 3"/>
    <tableColumn id="3" xr3:uid="{00000000-0010-0000-2D00-000003000000}" name="FC Nº" dataDxfId="838" totalsRowDxfId="837" dataCellStyle="Normal 3"/>
    <tableColumn id="4" xr3:uid="{00000000-0010-0000-2D00-000004000000}" name="CUIT" dataDxfId="836" totalsRowDxfId="835" dataCellStyle="Normal 3"/>
    <tableColumn id="5" xr3:uid="{00000000-0010-0000-2D00-000005000000}" name="RAZON SOCIAL" dataDxfId="834" totalsRowDxfId="833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D00-000006000000}" name="TOTAL" totalsRowFunction="sum" dataDxfId="832" totalsRowDxfId="831" dataCellStyle="Normal 3"/>
    <tableColumn id="7" xr3:uid="{00000000-0010-0000-2D00-000007000000}" name="TIPO DE GASTO" dataDxfId="830" totalsRowDxfId="829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D00-000008000000}" name="Provincia" dataDxfId="828" totalsRowDxfId="827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E000000}" name="venta_a_mes8" displayName="venta_a_mes8" ref="B283:M289" totalsRowCount="1" headerRowDxfId="826" dataDxfId="824" headerRowBorderDxfId="825" tableBorderDxfId="823" totalsRowBorderDxfId="822" dataCellStyle="Normal 3">
  <autoFilter ref="B283:M288" xr:uid="{00000000-0009-0000-0100-00003B000000}"/>
  <tableColumns count="12">
    <tableColumn id="1" xr3:uid="{00000000-0010-0000-2E00-000001000000}" name="FECHA" totalsRowLabel="Total" dataDxfId="821" totalsRowDxfId="820" dataCellStyle="Normal 3"/>
    <tableColumn id="2" xr3:uid="{00000000-0010-0000-2E00-000002000000}" name="TIPO" dataDxfId="819" totalsRowDxfId="818" dataCellStyle="Normal 3"/>
    <tableColumn id="3" xr3:uid="{00000000-0010-0000-2E00-000003000000}" name="PTO VENTA" dataDxfId="817" totalsRowDxfId="816" dataCellStyle="Normal 3"/>
    <tableColumn id="4" xr3:uid="{00000000-0010-0000-2E00-000004000000}" name="Nº FACTURA" dataDxfId="815" totalsRowDxfId="814" dataCellStyle="Normal 3"/>
    <tableColumn id="5" xr3:uid="{00000000-0010-0000-2E00-000005000000}" name="CUIT" dataDxfId="813" totalsRowDxfId="812" dataCellStyle="Normal 3"/>
    <tableColumn id="6" xr3:uid="{00000000-0010-0000-2E00-000006000000}" name="RAZON SOCIAL" dataDxfId="811" totalsRowDxfId="810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E00-000007000000}" name="IMPORTE NETO" totalsRowFunction="sum" dataDxfId="809" totalsRowDxfId="808" dataCellStyle="Normal 3"/>
    <tableColumn id="8" xr3:uid="{00000000-0010-0000-2E00-000008000000}" name="IVA 21%" totalsRowFunction="sum" dataDxfId="807" totalsRowDxfId="806" dataCellStyle="Normal 3">
      <calculatedColumnFormula>venta_a_mes8[[#This Row],[IMPORTE NETO]]*0.21</calculatedColumnFormula>
    </tableColumn>
    <tableColumn id="9" xr3:uid="{00000000-0010-0000-2E00-000009000000}" name="IVA 10,5%" totalsRowFunction="sum" dataDxfId="805" totalsRowDxfId="804" dataCellStyle="Normal 3"/>
    <tableColumn id="10" xr3:uid="{00000000-0010-0000-2E00-00000A000000}" name="EXENTO" totalsRowFunction="sum" dataDxfId="803" totalsRowDxfId="802" dataCellStyle="Normal 3"/>
    <tableColumn id="11" xr3:uid="{00000000-0010-0000-2E00-00000B000000}" name="TOTAL" totalsRowFunction="sum" dataDxfId="801" totalsRowDxfId="800" dataCellStyle="Normal 3">
      <calculatedColumnFormula>SUM(venta_a_mes8[[#This Row],[IMPORTE NETO]:[EXENTO]])</calculatedColumnFormula>
    </tableColumn>
    <tableColumn id="12" xr3:uid="{00000000-0010-0000-2E00-00000C000000}" name="Provincia" totalsRowFunction="count" dataDxfId="799" totalsRowDxfId="798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F000000}" name="ventas_b_mes8" displayName="ventas_b_mes8" ref="B293:M300" totalsRowCount="1" headerRowDxfId="797" dataDxfId="795" headerRowBorderDxfId="796" tableBorderDxfId="794" totalsRowBorderDxfId="793" dataCellStyle="Normal 3">
  <autoFilter ref="B293:M299" xr:uid="{00000000-0009-0000-0100-00003C000000}"/>
  <tableColumns count="12">
    <tableColumn id="1" xr3:uid="{00000000-0010-0000-2F00-000001000000}" name="FECHA" totalsRowLabel="Total" dataDxfId="792" totalsRowDxfId="791" dataCellStyle="Normal 3"/>
    <tableColumn id="2" xr3:uid="{00000000-0010-0000-2F00-000002000000}" name="TIPO" dataDxfId="790" totalsRowDxfId="789" dataCellStyle="Normal 3"/>
    <tableColumn id="3" xr3:uid="{00000000-0010-0000-2F00-000003000000}" name="PTO VENTA" dataDxfId="788" totalsRowDxfId="787" dataCellStyle="Normal 3"/>
    <tableColumn id="4" xr3:uid="{00000000-0010-0000-2F00-000004000000}" name="Nº FACTURA" dataDxfId="786" totalsRowDxfId="785" dataCellStyle="Normal 3"/>
    <tableColumn id="5" xr3:uid="{00000000-0010-0000-2F00-000005000000}" name="CUIT" dataDxfId="784" totalsRowDxfId="783" dataCellStyle="Normal 3"/>
    <tableColumn id="6" xr3:uid="{00000000-0010-0000-2F00-000006000000}" name="RAZON SOCIAL" dataDxfId="782" totalsRowDxfId="781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2F00-000007000000}" name="IMPORTE NETO" totalsRowFunction="sum" dataDxfId="780" totalsRowDxfId="779" dataCellStyle="Normal 3"/>
    <tableColumn id="8" xr3:uid="{00000000-0010-0000-2F00-000008000000}" name="IVA 21%" totalsRowFunction="sum" dataDxfId="778" totalsRowDxfId="777" dataCellStyle="Normal 3"/>
    <tableColumn id="9" xr3:uid="{00000000-0010-0000-2F00-000009000000}" name="IVA 10,5%" totalsRowFunction="sum" dataDxfId="776" totalsRowDxfId="775" dataCellStyle="Normal 3"/>
    <tableColumn id="10" xr3:uid="{00000000-0010-0000-2F00-00000A000000}" name="EXENTO" totalsRowFunction="sum" dataDxfId="774" totalsRowDxfId="773" dataCellStyle="Normal 3"/>
    <tableColumn id="11" xr3:uid="{00000000-0010-0000-2F00-00000B000000}" name="TOTAL" totalsRowFunction="sum" dataDxfId="772" totalsRowDxfId="771" dataCellStyle="Normal 3">
      <calculatedColumnFormula>SUM(ventas_b_mes8[[#This Row],[IMPORTE NETO]:[EXENTO]])</calculatedColumnFormula>
    </tableColumn>
    <tableColumn id="12" xr3:uid="{00000000-0010-0000-2F00-00000C000000}" name="Provincia" totalsRowFunction="count" dataDxfId="770" totalsRowDxfId="769" dataCellStyle="Normal 3"/>
  </tableColumns>
  <tableStyleInfo name="Tabla Ventas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0000000}" name="extracto_banco_mes8" displayName="extracto_banco_mes8" ref="D217:M227" totalsRowCount="1" headerRowDxfId="768" dataDxfId="767" tableBorderDxfId="766" dataCellStyle="Normal 3">
  <autoFilter ref="D217:M226" xr:uid="{00000000-0009-0000-0100-00003D000000}"/>
  <tableColumns count="10">
    <tableColumn id="1" xr3:uid="{00000000-0010-0000-3000-000001000000}" name="FECHA" totalsRowLabel="Total" dataDxfId="765" totalsRowDxfId="764" dataCellStyle="Normal 3"/>
    <tableColumn id="2" xr3:uid="{00000000-0010-0000-3000-000002000000}" name="NRO CPTE" dataDxfId="763" totalsRowDxfId="762"/>
    <tableColumn id="3" xr3:uid="{00000000-0010-0000-3000-000003000000}" name="BANCO" dataDxfId="761" totalsRowDxfId="760"/>
    <tableColumn id="4" xr3:uid="{00000000-0010-0000-3000-000004000000}" name="NETO" totalsRowFunction="sum" dataDxfId="759" totalsRowDxfId="758" dataCellStyle="Normal 3"/>
    <tableColumn id="5" xr3:uid="{00000000-0010-0000-3000-000005000000}" name="IVA 21%" totalsRowFunction="sum" dataDxfId="757" totalsRowDxfId="756" dataCellStyle="Normal 3">
      <calculatedColumnFormula>extracto_banco_mes8[[#This Row],[NETO]]*0.21</calculatedColumnFormula>
    </tableColumn>
    <tableColumn id="6" xr3:uid="{00000000-0010-0000-3000-000006000000}" name="IVA 10,5%" totalsRowFunction="sum" dataDxfId="755" totalsRowDxfId="754" dataCellStyle="Normal 3"/>
    <tableColumn id="7" xr3:uid="{00000000-0010-0000-3000-000007000000}" name="RET IIBB CABA" totalsRowFunction="sum" dataDxfId="753" totalsRowDxfId="752" dataCellStyle="Normal 3"/>
    <tableColumn id="8" xr3:uid="{00000000-0010-0000-3000-000008000000}" name="PERC IVA" totalsRowFunction="sum" dataDxfId="751" totalsRowDxfId="750" dataCellStyle="Normal 3"/>
    <tableColumn id="9" xr3:uid="{00000000-0010-0000-3000-000009000000}" name="PERC IIBB" totalsRowFunction="sum" dataDxfId="749" totalsRowDxfId="748" dataCellStyle="Normal 3"/>
    <tableColumn id="10" xr3:uid="{00000000-0010-0000-3000-00000A000000}" name="TOTAL" dataDxfId="747" totalsRowDxfId="746" dataCellStyle="Normal 3">
      <calculatedColumnFormula>extracto_banco_mes8[[#This Row],[PERC IVA]]+extracto_banco_mes8[[#This Row],[RET IIBB CABA]]+extracto_banco_mes8[[#This Row],[IVA 21%]]+extracto_banco_mes8[[#This Row],[NETO]]</calculatedColumnFormula>
    </tableColumn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1000000}" name="Retenciones_mes8" displayName="Retenciones_mes8" ref="C309:L314" totalsRowShown="0" headerRowDxfId="745" dataDxfId="744" headerRowCellStyle="Normal 3" dataCellStyle="Normal 3">
  <autoFilter ref="C309:L314" xr:uid="{00000000-0009-0000-0100-00003E000000}"/>
  <tableColumns count="10">
    <tableColumn id="1" xr3:uid="{00000000-0010-0000-3100-000001000000}" name="FECHA " dataDxfId="743" dataCellStyle="Normal 3"/>
    <tableColumn id="2" xr3:uid="{00000000-0010-0000-3100-000002000000}" name="COMP Nº" dataDxfId="742" dataCellStyle="Normal 3"/>
    <tableColumn id="3" xr3:uid="{00000000-0010-0000-3100-000003000000}" name="Columna1" dataDxfId="741" dataCellStyle="Normal 3"/>
    <tableColumn id="4" xr3:uid="{00000000-0010-0000-3100-000004000000}" name="CUIT" dataDxfId="740" dataCellStyle="Normal 3"/>
    <tableColumn id="5" xr3:uid="{00000000-0010-0000-3100-000005000000}" name="RAZON SOCIAL" dataDxfId="739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100-000006000000}" name="Ganancias" dataDxfId="738" dataCellStyle="Normal 3"/>
    <tableColumn id="7" xr3:uid="{00000000-0010-0000-3100-000007000000}" name="IVA" dataDxfId="737" dataCellStyle="Normal 3">
      <calculatedColumnFormula>Retenciones_mes8[[#This Row],[Ganancias]]*0.21</calculatedColumnFormula>
    </tableColumn>
    <tableColumn id="8" xr3:uid="{00000000-0010-0000-3100-000008000000}" name="SUSS" dataDxfId="736" dataCellStyle="Normal 3"/>
    <tableColumn id="9" xr3:uid="{00000000-0010-0000-3100-000009000000}" name="IIBB BSAS" dataDxfId="735" dataCellStyle="Normal 3"/>
    <tableColumn id="10" xr3:uid="{00000000-0010-0000-3100-00000A000000}" name="IIBB CABA" dataDxfId="734" dataCellStyle="Normal 3"/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2000000}" name="compras_mes9" displayName="compras_mes9" ref="B8:R170" totalsRowCount="1" headerRowDxfId="733" totalsRowDxfId="732">
  <autoFilter ref="B8:R169" xr:uid="{00000000-0009-0000-0100-00003F000000}"/>
  <sortState xmlns:xlrd2="http://schemas.microsoft.com/office/spreadsheetml/2017/richdata2" ref="B9:R169">
    <sortCondition ref="B8:B169"/>
  </sortState>
  <tableColumns count="17">
    <tableColumn id="1" xr3:uid="{00000000-0010-0000-3200-000001000000}" name="FECHA" totalsRowLabel="Total" dataDxfId="731" totalsRowDxfId="730" dataCellStyle="Normal 3"/>
    <tableColumn id="2" xr3:uid="{00000000-0010-0000-3200-000002000000}" name="TIPO" dataDxfId="729" totalsRowDxfId="728" dataCellStyle="Normal 3"/>
    <tableColumn id="3" xr3:uid="{00000000-0010-0000-3200-000003000000}" name="PTO VTA" dataDxfId="727" totalsRowDxfId="726" dataCellStyle="Normal 3"/>
    <tableColumn id="4" xr3:uid="{00000000-0010-0000-3200-000004000000}" name="NRO. CPTE" dataDxfId="725" totalsRowDxfId="724" dataCellStyle="Normal 3"/>
    <tableColumn id="5" xr3:uid="{00000000-0010-0000-3200-000005000000}" name="CUIT" dataDxfId="723" totalsRowDxfId="722" dataCellStyle="Normal 3"/>
    <tableColumn id="6" xr3:uid="{00000000-0010-0000-3200-000006000000}" name="RAZON SOCIAL" dataDxfId="721" totalsRowDxfId="720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200-000007000000}" name="NETO GRAVADO" totalsRowFunction="sum" dataDxfId="719" totalsRowDxfId="718" dataCellStyle="Normal 3"/>
    <tableColumn id="8" xr3:uid="{00000000-0010-0000-3200-000008000000}" name="IVA 21 %" totalsRowFunction="sum" dataDxfId="717" totalsRowDxfId="716" dataCellStyle="Normal 3">
      <calculatedColumnFormula>IF(compras_mes9[[#This Row],[NETO GRAVADO]]="","",compras_mes9[[#This Row],[NETO GRAVADO]]*0.21)</calculatedColumnFormula>
    </tableColumn>
    <tableColumn id="9" xr3:uid="{00000000-0010-0000-3200-000009000000}" name="IVA 27%" totalsRowFunction="sum" dataDxfId="715" totalsRowDxfId="714" dataCellStyle="Normal 3"/>
    <tableColumn id="10" xr3:uid="{00000000-0010-0000-3200-00000A000000}" name="IVA 10,5%" totalsRowFunction="sum" dataDxfId="713" totalsRowDxfId="712" dataCellStyle="Normal 3"/>
    <tableColumn id="11" xr3:uid="{00000000-0010-0000-3200-00000B000000}" name="PERC. IVA" totalsRowFunction="sum" dataDxfId="711" totalsRowDxfId="710" dataCellStyle="Normal 3">
      <calculatedColumnFormula>455.92+121.49</calculatedColumnFormula>
    </tableColumn>
    <tableColumn id="12" xr3:uid="{00000000-0010-0000-3200-00000C000000}" name="PERC IIBB _x000a_BS AS" totalsRowFunction="sum" dataDxfId="709" totalsRowDxfId="708" dataCellStyle="Normal 3"/>
    <tableColumn id="13" xr3:uid="{00000000-0010-0000-3200-00000D000000}" name="PERC. IIBB CABA" totalsRowFunction="sum" dataDxfId="707" totalsRowDxfId="706" dataCellStyle="Normal 3"/>
    <tableColumn id="14" xr3:uid="{00000000-0010-0000-3200-00000E000000}" name="Otros / No Grav." totalsRowFunction="sum" dataDxfId="705" totalsRowDxfId="704" dataCellStyle="Normal 3"/>
    <tableColumn id="15" xr3:uid="{00000000-0010-0000-3200-00000F000000}" name="TOTAL" totalsRowFunction="sum" dataDxfId="703" totalsRowDxfId="702" dataCellStyle="Normal 3">
      <calculatedColumnFormula>SUM(compras_mes9[[#This Row],[NETO GRAVADO]:[Otros / No Grav.]])</calculatedColumnFormula>
    </tableColumn>
    <tableColumn id="16" xr3:uid="{00000000-0010-0000-3200-000010000000}" name="Tipo de Gasto" dataDxfId="701" totalsRowDxfId="700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200-000011000000}" name="Provincia" dataDxfId="699" totalsRowDxfId="698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3000000}" name="factura_c_mes9" displayName="factura_c_mes9" ref="D191:K217" totalsRowCount="1" headerRowDxfId="697" totalsRowDxfId="696" headerRowCellStyle="Normal 3">
  <autoFilter ref="D191:K216" xr:uid="{00000000-0009-0000-0100-000040000000}"/>
  <sortState xmlns:xlrd2="http://schemas.microsoft.com/office/spreadsheetml/2017/richdata2" ref="D192:K216">
    <sortCondition ref="D191:D216"/>
  </sortState>
  <tableColumns count="8">
    <tableColumn id="1" xr3:uid="{00000000-0010-0000-3300-000001000000}" name="FECHA" totalsRowLabel="Total" dataDxfId="695" totalsRowDxfId="694" dataCellStyle="Normal 3"/>
    <tableColumn id="2" xr3:uid="{00000000-0010-0000-3300-000002000000}" name="PTO VTA" dataDxfId="693" totalsRowDxfId="692" dataCellStyle="Normal 3"/>
    <tableColumn id="3" xr3:uid="{00000000-0010-0000-3300-000003000000}" name="FC Nº" dataDxfId="691" totalsRowDxfId="690" dataCellStyle="Normal 3"/>
    <tableColumn id="4" xr3:uid="{00000000-0010-0000-3300-000004000000}" name="CUIT" dataDxfId="689" totalsRowDxfId="688" dataCellStyle="Normal 3"/>
    <tableColumn id="5" xr3:uid="{00000000-0010-0000-3300-000005000000}" name="RAZON SOCIAL" dataDxfId="687" totalsRowDxfId="686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300-000006000000}" name="TOTAL" totalsRowFunction="sum" dataDxfId="685" totalsRowDxfId="684" dataCellStyle="Normal 3"/>
    <tableColumn id="7" xr3:uid="{00000000-0010-0000-3300-000007000000}" name="TIPO DE GASTO" dataDxfId="683" totalsRowDxfId="682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300-000008000000}" name="Provincia" dataDxfId="681" totalsRowDxfId="680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4000000}" name="venta_a_mes9" displayName="venta_a_mes9" ref="B226:M236" totalsRowCount="1" headerRowDxfId="679" dataDxfId="677" headerRowBorderDxfId="678" tableBorderDxfId="676" totalsRowBorderDxfId="675" dataCellStyle="Normal 3">
  <autoFilter ref="B226:M235" xr:uid="{00000000-0009-0000-0100-000041000000}"/>
  <tableColumns count="12">
    <tableColumn id="1" xr3:uid="{00000000-0010-0000-3400-000001000000}" name="FECHA" totalsRowLabel="Total" dataDxfId="674" totalsRowDxfId="673" dataCellStyle="Normal 3"/>
    <tableColumn id="2" xr3:uid="{00000000-0010-0000-3400-000002000000}" name="TIPO" dataDxfId="672" totalsRowDxfId="671" dataCellStyle="Normal 3"/>
    <tableColumn id="3" xr3:uid="{00000000-0010-0000-3400-000003000000}" name="PTO VENTA" dataDxfId="670" totalsRowDxfId="669" dataCellStyle="Normal 3"/>
    <tableColumn id="4" xr3:uid="{00000000-0010-0000-3400-000004000000}" name="Nº FACTURA" dataDxfId="668" totalsRowDxfId="667" dataCellStyle="Normal 3"/>
    <tableColumn id="5" xr3:uid="{00000000-0010-0000-3400-000005000000}" name="CUIT" dataDxfId="666" totalsRowDxfId="665" dataCellStyle="Normal 3"/>
    <tableColumn id="6" xr3:uid="{00000000-0010-0000-3400-000006000000}" name="RAZON SOCIAL" dataDxfId="664" totalsRowDxfId="663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400-000007000000}" name="IMPORTE NETO" totalsRowFunction="sum" dataDxfId="662" totalsRowDxfId="661" dataCellStyle="Normal 3"/>
    <tableColumn id="8" xr3:uid="{00000000-0010-0000-3400-000008000000}" name="IVA 21%" totalsRowFunction="sum" dataDxfId="660" totalsRowDxfId="659" dataCellStyle="Normal 3">
      <calculatedColumnFormula>venta_a_mes9[[#This Row],[IMPORTE NETO]]*0.21</calculatedColumnFormula>
    </tableColumn>
    <tableColumn id="9" xr3:uid="{00000000-0010-0000-3400-000009000000}" name="IVA 10,5%" totalsRowFunction="sum" dataDxfId="658" totalsRowDxfId="657" dataCellStyle="Normal 3"/>
    <tableColumn id="10" xr3:uid="{00000000-0010-0000-3400-00000A000000}" name="EXENTO" totalsRowFunction="sum" dataDxfId="656" totalsRowDxfId="655" dataCellStyle="Normal 3"/>
    <tableColumn id="11" xr3:uid="{00000000-0010-0000-3400-00000B000000}" name="TOTAL" totalsRowFunction="sum" dataDxfId="654" totalsRowDxfId="653" dataCellStyle="Normal 3">
      <calculatedColumnFormula>SUM(venta_a_mes9[[#This Row],[IMPORTE NETO]:[EXENTO]])</calculatedColumnFormula>
    </tableColumn>
    <tableColumn id="12" xr3:uid="{00000000-0010-0000-3400-00000C000000}" name="Provincia" totalsRowFunction="count" dataDxfId="652" totalsRowDxfId="651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5000000}" name="ventas_b_mes9" displayName="ventas_b_mes9" ref="B240:M247" totalsRowCount="1" headerRowDxfId="650" dataDxfId="648" headerRowBorderDxfId="649" tableBorderDxfId="647" totalsRowBorderDxfId="646" dataCellStyle="Normal 3">
  <autoFilter ref="B240:M246" xr:uid="{00000000-0009-0000-0100-000042000000}"/>
  <tableColumns count="12">
    <tableColumn id="1" xr3:uid="{00000000-0010-0000-3500-000001000000}" name="FECHA" totalsRowLabel="Total" dataDxfId="645" totalsRowDxfId="644" dataCellStyle="Normal 3"/>
    <tableColumn id="2" xr3:uid="{00000000-0010-0000-3500-000002000000}" name="TIPO" dataDxfId="643" totalsRowDxfId="642" dataCellStyle="Normal 3"/>
    <tableColumn id="3" xr3:uid="{00000000-0010-0000-3500-000003000000}" name="PTO VENTA" dataDxfId="641" totalsRowDxfId="640" dataCellStyle="Normal 3"/>
    <tableColumn id="4" xr3:uid="{00000000-0010-0000-3500-000004000000}" name="Nº FACTURA" dataDxfId="639" totalsRowDxfId="638" dataCellStyle="Normal 3"/>
    <tableColumn id="5" xr3:uid="{00000000-0010-0000-3500-000005000000}" name="CUIT" dataDxfId="637" totalsRowDxfId="636" dataCellStyle="Normal 3"/>
    <tableColumn id="6" xr3:uid="{00000000-0010-0000-3500-000006000000}" name="RAZON SOCIAL" dataDxfId="635" totalsRowDxfId="634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500-000007000000}" name="IMPORTE NETO" totalsRowFunction="sum" dataDxfId="633" totalsRowDxfId="632" dataCellStyle="Normal 3"/>
    <tableColumn id="8" xr3:uid="{00000000-0010-0000-3500-000008000000}" name="IVA 21%" totalsRowFunction="sum" dataDxfId="631" totalsRowDxfId="630" dataCellStyle="Normal 3"/>
    <tableColumn id="9" xr3:uid="{00000000-0010-0000-3500-000009000000}" name="IVA 10,5%" totalsRowFunction="sum" dataDxfId="629" totalsRowDxfId="628" dataCellStyle="Normal 3"/>
    <tableColumn id="10" xr3:uid="{00000000-0010-0000-3500-00000A000000}" name="EXENTO" totalsRowFunction="sum" dataDxfId="627" totalsRowDxfId="626" dataCellStyle="Normal 3"/>
    <tableColumn id="11" xr3:uid="{00000000-0010-0000-3500-00000B000000}" name="TOTAL" totalsRowFunction="sum" dataDxfId="625" totalsRowDxfId="624" dataCellStyle="Normal 3">
      <calculatedColumnFormula>SUM(ventas_b_mes9[[#This Row],[IMPORTE NETO]:[EXENTO]])</calculatedColumnFormula>
    </tableColumn>
    <tableColumn id="12" xr3:uid="{00000000-0010-0000-3500-00000C000000}" name="Provincia" totalsRowFunction="count" dataDxfId="623" totalsRowDxfId="622" dataCellStyle="Normal 3"/>
  </tableColumns>
  <tableStyleInfo name="Tabla Ventas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6000000}" name="extracto_banco_mes9" displayName="extracto_banco_mes9" ref="D176:L186" totalsRowCount="1" headerRowDxfId="621" dataDxfId="620" tableBorderDxfId="619" dataCellStyle="Normal 3">
  <autoFilter ref="D176:L185" xr:uid="{00000000-0009-0000-0100-000043000000}"/>
  <tableColumns count="9">
    <tableColumn id="1" xr3:uid="{00000000-0010-0000-3600-000001000000}" name="FECHA" totalsRowLabel="Total" dataDxfId="618" totalsRowDxfId="617" dataCellStyle="Normal 3"/>
    <tableColumn id="2" xr3:uid="{00000000-0010-0000-3600-000002000000}" name="NRO CPTE" dataDxfId="616" totalsRowDxfId="615"/>
    <tableColumn id="3" xr3:uid="{00000000-0010-0000-3600-000003000000}" name="BANCO" dataDxfId="614" totalsRowDxfId="613"/>
    <tableColumn id="4" xr3:uid="{00000000-0010-0000-3600-000004000000}" name="NETO" totalsRowFunction="sum" dataDxfId="612" totalsRowDxfId="611" dataCellStyle="Normal 3"/>
    <tableColumn id="5" xr3:uid="{00000000-0010-0000-3600-000005000000}" name="IVA 21%" totalsRowFunction="sum" dataDxfId="610" totalsRowDxfId="609" dataCellStyle="Normal 3"/>
    <tableColumn id="6" xr3:uid="{00000000-0010-0000-3600-000006000000}" name="IVA 10,5%" totalsRowFunction="sum" dataDxfId="608" totalsRowDxfId="607" dataCellStyle="Normal 3"/>
    <tableColumn id="7" xr3:uid="{00000000-0010-0000-3600-000007000000}" name="RET IIBB CABA" totalsRowFunction="sum" dataDxfId="606" totalsRowDxfId="605" dataCellStyle="Normal 3"/>
    <tableColumn id="8" xr3:uid="{00000000-0010-0000-3600-000008000000}" name="PERC IVA" totalsRowFunction="sum" dataDxfId="604" totalsRowDxfId="603" dataCellStyle="Normal 3"/>
    <tableColumn id="9" xr3:uid="{00000000-0010-0000-3600-000009000000}" name="PERC IIBB" totalsRowFunction="sum" dataDxfId="602" totalsRowDxfId="601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7000000}" name="Retenciones_mes9" displayName="Retenciones_mes9" ref="C256:L261" totalsRowShown="0" headerRowDxfId="600" dataDxfId="599" headerRowCellStyle="Normal 3" dataCellStyle="Normal 3">
  <autoFilter ref="C256:L261" xr:uid="{00000000-0009-0000-0100-000044000000}"/>
  <tableColumns count="10">
    <tableColumn id="1" xr3:uid="{00000000-0010-0000-3700-000001000000}" name="FECHA " dataDxfId="598" dataCellStyle="Normal 3"/>
    <tableColumn id="2" xr3:uid="{00000000-0010-0000-3700-000002000000}" name="COMP Nº" dataDxfId="597" dataCellStyle="Normal 3"/>
    <tableColumn id="3" xr3:uid="{00000000-0010-0000-3700-000003000000}" name="Columna1" dataDxfId="596" dataCellStyle="Normal 3"/>
    <tableColumn id="4" xr3:uid="{00000000-0010-0000-3700-000004000000}" name="CUIT" dataDxfId="595" dataCellStyle="Normal 3"/>
    <tableColumn id="5" xr3:uid="{00000000-0010-0000-3700-000005000000}" name="RAZON SOCIAL" dataDxfId="594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700-000006000000}" name="Ganancias" dataDxfId="593" dataCellStyle="Normal 3"/>
    <tableColumn id="7" xr3:uid="{00000000-0010-0000-3700-000007000000}" name="IVA" dataDxfId="592" dataCellStyle="Normal 3"/>
    <tableColumn id="8" xr3:uid="{00000000-0010-0000-3700-000008000000}" name="SUSS" dataDxfId="591" dataCellStyle="Normal 3"/>
    <tableColumn id="9" xr3:uid="{00000000-0010-0000-3700-000009000000}" name="IIBB BSAS" dataDxfId="590" dataCellStyle="Normal 3"/>
    <tableColumn id="10" xr3:uid="{00000000-0010-0000-3700-00000A000000}" name="IIBB CABA" dataDxfId="589" dataCellStyle="Normal 3"/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8000000}" name="compras_mes10" displayName="compras_mes10" ref="B8:R186" totalsRowCount="1" headerRowDxfId="588" dataDxfId="587" totalsRowDxfId="586">
  <autoFilter ref="B8:R185" xr:uid="{00000000-0009-0000-0100-000021000000}"/>
  <sortState xmlns:xlrd2="http://schemas.microsoft.com/office/spreadsheetml/2017/richdata2" ref="B9:R185">
    <sortCondition ref="B8:B185"/>
  </sortState>
  <tableColumns count="17">
    <tableColumn id="1" xr3:uid="{00000000-0010-0000-3800-000001000000}" name="FECHA" totalsRowLabel="Total" dataDxfId="585" totalsRowDxfId="584" dataCellStyle="Normal 3"/>
    <tableColumn id="2" xr3:uid="{00000000-0010-0000-3800-000002000000}" name="TIPO" dataDxfId="583" totalsRowDxfId="582" dataCellStyle="Normal 3"/>
    <tableColumn id="3" xr3:uid="{00000000-0010-0000-3800-000003000000}" name="PTO VTA" dataDxfId="581" totalsRowDxfId="580" dataCellStyle="Normal 3"/>
    <tableColumn id="4" xr3:uid="{00000000-0010-0000-3800-000004000000}" name="NRO. CPTE" dataDxfId="579" totalsRowDxfId="578" dataCellStyle="Normal 3"/>
    <tableColumn id="5" xr3:uid="{00000000-0010-0000-3800-000005000000}" name="CUIT" dataDxfId="577" totalsRowDxfId="576" dataCellStyle="Normal 3"/>
    <tableColumn id="6" xr3:uid="{00000000-0010-0000-3800-000006000000}" name="RAZON SOCIAL" dataDxfId="575" totalsRowDxfId="574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800-000007000000}" name="NETO GRAVADO" totalsRowFunction="sum" dataDxfId="573" totalsRowDxfId="572" dataCellStyle="Normal 3"/>
    <tableColumn id="8" xr3:uid="{00000000-0010-0000-3800-000008000000}" name="IVA 21 %" totalsRowFunction="sum" dataDxfId="571" totalsRowDxfId="570" dataCellStyle="Normal 3">
      <calculatedColumnFormula>IF(compras_mes10[[#This Row],[NETO GRAVADO]]="","",compras_mes10[[#This Row],[NETO GRAVADO]]*0.21)</calculatedColumnFormula>
    </tableColumn>
    <tableColumn id="9" xr3:uid="{00000000-0010-0000-3800-000009000000}" name="IVA 27%" totalsRowFunction="sum" dataDxfId="569" totalsRowDxfId="568" dataCellStyle="Normal 3"/>
    <tableColumn id="10" xr3:uid="{00000000-0010-0000-3800-00000A000000}" name="IVA 10,5%" totalsRowFunction="sum" dataDxfId="567" totalsRowDxfId="566" dataCellStyle="Normal 3"/>
    <tableColumn id="11" xr3:uid="{00000000-0010-0000-3800-00000B000000}" name="PERC. IVA" totalsRowFunction="sum" dataDxfId="565" totalsRowDxfId="564" dataCellStyle="Normal 3"/>
    <tableColumn id="12" xr3:uid="{00000000-0010-0000-3800-00000C000000}" name="PERC IIBB _x000a_BS AS" totalsRowFunction="sum" dataDxfId="563" totalsRowDxfId="562" dataCellStyle="Normal 3"/>
    <tableColumn id="13" xr3:uid="{00000000-0010-0000-3800-00000D000000}" name="PERC. IIBB CABA" totalsRowFunction="sum" dataDxfId="561" totalsRowDxfId="560" dataCellStyle="Normal 3"/>
    <tableColumn id="14" xr3:uid="{00000000-0010-0000-3800-00000E000000}" name="Otros / No Grav." totalsRowFunction="sum" dataDxfId="559" totalsRowDxfId="558" dataCellStyle="Normal 3"/>
    <tableColumn id="15" xr3:uid="{00000000-0010-0000-3800-00000F000000}" name="TOTAL" totalsRowFunction="sum" dataDxfId="557" totalsRowDxfId="556" dataCellStyle="Normal 3">
      <calculatedColumnFormula>SUM(compras_mes10[[#This Row],[NETO GRAVADO]:[Otros / No Grav.]])</calculatedColumnFormula>
    </tableColumn>
    <tableColumn id="16" xr3:uid="{00000000-0010-0000-3800-000010000000}" name="Tipo de Gasto" dataDxfId="555" totalsRowDxfId="554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800-000011000000}" name="Provincia" dataDxfId="553" totalsRowDxfId="552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9000000}" name="factura_c_mes10" displayName="factura_c_mes10" ref="D207:K231" totalsRowCount="1" headerRowDxfId="551" totalsRowDxfId="550" headerRowCellStyle="Normal 3">
  <autoFilter ref="D207:K230" xr:uid="{00000000-0009-0000-0100-000022000000}"/>
  <sortState xmlns:xlrd2="http://schemas.microsoft.com/office/spreadsheetml/2017/richdata2" ref="D208:K230">
    <sortCondition ref="D208:D230"/>
  </sortState>
  <tableColumns count="8">
    <tableColumn id="1" xr3:uid="{00000000-0010-0000-3900-000001000000}" name="FECHA" totalsRowLabel="Total" dataDxfId="549" totalsRowDxfId="548" dataCellStyle="Normal 3"/>
    <tableColumn id="2" xr3:uid="{00000000-0010-0000-3900-000002000000}" name="PTO VTA" dataDxfId="547" totalsRowDxfId="546" dataCellStyle="Normal 3"/>
    <tableColumn id="3" xr3:uid="{00000000-0010-0000-3900-000003000000}" name="FC Nº" dataDxfId="545" totalsRowDxfId="544" dataCellStyle="Normal 3"/>
    <tableColumn id="4" xr3:uid="{00000000-0010-0000-3900-000004000000}" name="CUIT" dataDxfId="543" totalsRowDxfId="542" dataCellStyle="Normal 3"/>
    <tableColumn id="5" xr3:uid="{00000000-0010-0000-3900-000005000000}" name="RAZON SOCIAL" dataDxfId="541" totalsRowDxfId="540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900-000006000000}" name="TOTAL" totalsRowFunction="sum" dataDxfId="539" totalsRowDxfId="538" dataCellStyle="Normal 3"/>
    <tableColumn id="7" xr3:uid="{00000000-0010-0000-3900-000007000000}" name="TIPO DE GASTO" dataDxfId="537" totalsRowDxfId="536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900-000008000000}" name="Provincia" dataDxfId="535" totalsRowDxfId="534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A000000}" name="venta_a_mes10" displayName="venta_a_mes10" ref="B240:M250" totalsRowCount="1" headerRowDxfId="533" dataDxfId="531" headerRowBorderDxfId="532" tableBorderDxfId="530" totalsRowBorderDxfId="529" dataCellStyle="Normal 3">
  <autoFilter ref="B240:M249" xr:uid="{00000000-0009-0000-0100-000023000000}"/>
  <tableColumns count="12">
    <tableColumn id="1" xr3:uid="{00000000-0010-0000-3A00-000001000000}" name="FECHA" totalsRowLabel="Total" dataDxfId="528" totalsRowDxfId="527" dataCellStyle="Normal 3"/>
    <tableColumn id="2" xr3:uid="{00000000-0010-0000-3A00-000002000000}" name="TIPO" dataDxfId="526" totalsRowDxfId="525" dataCellStyle="Normal 3"/>
    <tableColumn id="3" xr3:uid="{00000000-0010-0000-3A00-000003000000}" name="PTO VENTA" dataDxfId="524" totalsRowDxfId="523" dataCellStyle="Normal 3"/>
    <tableColumn id="4" xr3:uid="{00000000-0010-0000-3A00-000004000000}" name="Nº FACTURA" dataDxfId="522" totalsRowDxfId="521" dataCellStyle="Normal 3"/>
    <tableColumn id="5" xr3:uid="{00000000-0010-0000-3A00-000005000000}" name="CUIT" dataDxfId="520" totalsRowDxfId="519" dataCellStyle="Normal 3"/>
    <tableColumn id="6" xr3:uid="{00000000-0010-0000-3A00-000006000000}" name="RAZON SOCIAL" dataDxfId="518" totalsRowDxfId="517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A00-000007000000}" name="IMPORTE NETO" totalsRowFunction="sum" dataDxfId="516" totalsRowDxfId="515" dataCellStyle="Normal 3"/>
    <tableColumn id="8" xr3:uid="{00000000-0010-0000-3A00-000008000000}" name="IVA 21%" totalsRowFunction="sum" dataDxfId="514" totalsRowDxfId="513" dataCellStyle="Normal 3">
      <calculatedColumnFormula>venta_a_mes10[[#This Row],[IMPORTE NETO]]*0.21</calculatedColumnFormula>
    </tableColumn>
    <tableColumn id="9" xr3:uid="{00000000-0010-0000-3A00-000009000000}" name="IVA 10,5%" totalsRowFunction="sum" dataDxfId="512" totalsRowDxfId="511" dataCellStyle="Normal 3"/>
    <tableColumn id="10" xr3:uid="{00000000-0010-0000-3A00-00000A000000}" name="EXENTO" totalsRowFunction="sum" dataDxfId="510" totalsRowDxfId="509" dataCellStyle="Normal 3"/>
    <tableColumn id="11" xr3:uid="{00000000-0010-0000-3A00-00000B000000}" name="TOTAL" totalsRowFunction="sum" dataDxfId="508" totalsRowDxfId="507" dataCellStyle="Normal 3">
      <calculatedColumnFormula>SUM(venta_a_mes10[[#This Row],[IMPORTE NETO]:[EXENTO]])</calculatedColumnFormula>
    </tableColumn>
    <tableColumn id="12" xr3:uid="{00000000-0010-0000-3A00-00000C000000}" name="Provincia" totalsRowFunction="count" dataDxfId="506" totalsRowDxfId="505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B000000}" name="ventas_b_mes10" displayName="ventas_b_mes10" ref="B254:M288" totalsRowCount="1" headerRowDxfId="504" dataDxfId="502" headerRowBorderDxfId="503" tableBorderDxfId="501" totalsRowBorderDxfId="500" dataCellStyle="Normal 3">
  <autoFilter ref="B254:M287" xr:uid="{00000000-0009-0000-0100-000024000000}"/>
  <tableColumns count="12">
    <tableColumn id="1" xr3:uid="{00000000-0010-0000-3B00-000001000000}" name="FECHA" totalsRowLabel="Total" dataDxfId="499" totalsRowDxfId="498" dataCellStyle="Normal 3"/>
    <tableColumn id="2" xr3:uid="{00000000-0010-0000-3B00-000002000000}" name="TIPO" dataDxfId="497" totalsRowDxfId="496" dataCellStyle="Normal 3"/>
    <tableColumn id="3" xr3:uid="{00000000-0010-0000-3B00-000003000000}" name="PTO VENTA" dataDxfId="495" totalsRowDxfId="494" dataCellStyle="Normal 3"/>
    <tableColumn id="4" xr3:uid="{00000000-0010-0000-3B00-000004000000}" name="Nº FACTURA" dataDxfId="493" totalsRowDxfId="492" dataCellStyle="Normal 3"/>
    <tableColumn id="5" xr3:uid="{00000000-0010-0000-3B00-000005000000}" name="CUIT" dataDxfId="491" totalsRowDxfId="490" dataCellStyle="Normal 3"/>
    <tableColumn id="6" xr3:uid="{00000000-0010-0000-3B00-000006000000}" name="RAZON SOCIAL" dataDxfId="489" totalsRowDxfId="488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B00-000007000000}" name="IMPORTE NETO" totalsRowFunction="sum" dataDxfId="487" totalsRowDxfId="486" dataCellStyle="Normal 3">
      <calculatedColumnFormula>ventas_b_mes10[[#This Row],[TOTAL]]/1.21</calculatedColumnFormula>
    </tableColumn>
    <tableColumn id="8" xr3:uid="{00000000-0010-0000-3B00-000008000000}" name="IVA 21%" totalsRowFunction="sum" dataDxfId="485" totalsRowDxfId="484" dataCellStyle="Normal 3">
      <calculatedColumnFormula>ventas_b_mes10[[#This Row],[IMPORTE NETO]]*0.21</calculatedColumnFormula>
    </tableColumn>
    <tableColumn id="9" xr3:uid="{00000000-0010-0000-3B00-000009000000}" name="IVA 10,5%" totalsRowFunction="sum" dataDxfId="483" totalsRowDxfId="482" dataCellStyle="Normal 3"/>
    <tableColumn id="10" xr3:uid="{00000000-0010-0000-3B00-00000A000000}" name="EXENTO" totalsRowFunction="sum" dataDxfId="481" totalsRowDxfId="480" dataCellStyle="Normal 3"/>
    <tableColumn id="11" xr3:uid="{00000000-0010-0000-3B00-00000B000000}" name="TOTAL" totalsRowFunction="sum" dataDxfId="479" totalsRowDxfId="478" dataCellStyle="Normal 3"/>
    <tableColumn id="12" xr3:uid="{00000000-0010-0000-3B00-00000C000000}" name="Provincia" totalsRowFunction="count" dataDxfId="477" totalsRowDxfId="476" dataCellStyle="Normal 3"/>
  </tableColumns>
  <tableStyleInfo name="Tabla Ventas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C000000}" name="extracto_banco_mes10" displayName="extracto_banco_mes10" ref="D192:M202" totalsRowCount="1" headerRowDxfId="475" dataDxfId="474" tableBorderDxfId="473" dataCellStyle="Normal 3">
  <autoFilter ref="D192:M201" xr:uid="{00000000-0009-0000-0100-000025000000}"/>
  <tableColumns count="10">
    <tableColumn id="1" xr3:uid="{00000000-0010-0000-3C00-000001000000}" name="FECHA" totalsRowLabel="Total" dataDxfId="472" totalsRowDxfId="471" dataCellStyle="Normal 3"/>
    <tableColumn id="2" xr3:uid="{00000000-0010-0000-3C00-000002000000}" name="NRO CPTE" dataDxfId="470" totalsRowDxfId="469"/>
    <tableColumn id="3" xr3:uid="{00000000-0010-0000-3C00-000003000000}" name="BANCO" dataDxfId="468" totalsRowDxfId="467"/>
    <tableColumn id="4" xr3:uid="{00000000-0010-0000-3C00-000004000000}" name="NETO" totalsRowFunction="sum" dataDxfId="466" totalsRowDxfId="465" dataCellStyle="Normal 3">
      <calculatedColumnFormula>extracto_banco_mes10[[#This Row],[IVA 21%]]*100/21</calculatedColumnFormula>
    </tableColumn>
    <tableColumn id="5" xr3:uid="{00000000-0010-0000-3C00-000005000000}" name="IVA 21%" totalsRowFunction="sum" dataDxfId="464" totalsRowDxfId="463" dataCellStyle="Normal 3"/>
    <tableColumn id="6" xr3:uid="{00000000-0010-0000-3C00-000006000000}" name="IVA 10,5%" totalsRowFunction="sum" dataDxfId="462" totalsRowDxfId="461" dataCellStyle="Normal 3"/>
    <tableColumn id="7" xr3:uid="{00000000-0010-0000-3C00-000007000000}" name="RET IIBB CABA" totalsRowFunction="sum" dataDxfId="460" totalsRowDxfId="459" dataCellStyle="Normal 3"/>
    <tableColumn id="8" xr3:uid="{00000000-0010-0000-3C00-000008000000}" name="PERC IVA" totalsRowFunction="sum" dataDxfId="458" totalsRowDxfId="457" dataCellStyle="Normal 3"/>
    <tableColumn id="9" xr3:uid="{00000000-0010-0000-3C00-000009000000}" name="PERC IIBB" totalsRowFunction="sum" dataDxfId="456" totalsRowDxfId="455" dataCellStyle="Normal 3"/>
    <tableColumn id="10" xr3:uid="{00000000-0010-0000-3C00-00000A000000}" name="TOTAL" dataDxfId="454" totalsRowDxfId="453" dataCellStyle="Normal 3">
      <calculatedColumnFormula>SUM(extracto_banco_mes10[[#This Row],[NETO]:[PERC IIBB]])</calculatedColumnFormula>
    </tableColumn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D000000}" name="Retenciones_mes10" displayName="Retenciones_mes10" ref="C290:L295" totalsRowShown="0" headerRowDxfId="452" dataDxfId="451" headerRowCellStyle="Normal 3" dataCellStyle="Normal 3">
  <autoFilter ref="C290:L295" xr:uid="{00000000-0009-0000-0100-000026000000}"/>
  <tableColumns count="10">
    <tableColumn id="1" xr3:uid="{00000000-0010-0000-3D00-000001000000}" name="FECHA " dataDxfId="450" dataCellStyle="Normal 3"/>
    <tableColumn id="2" xr3:uid="{00000000-0010-0000-3D00-000002000000}" name="COMP Nº" dataDxfId="449" dataCellStyle="Normal 3"/>
    <tableColumn id="3" xr3:uid="{00000000-0010-0000-3D00-000003000000}" name="Columna1" dataDxfId="448" dataCellStyle="Normal 3"/>
    <tableColumn id="4" xr3:uid="{00000000-0010-0000-3D00-000004000000}" name="CUIT" dataDxfId="447" dataCellStyle="Normal 3"/>
    <tableColumn id="5" xr3:uid="{00000000-0010-0000-3D00-000005000000}" name="RAZON SOCIAL" dataDxfId="446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D00-000006000000}" name="Ganancias" dataDxfId="445" dataCellStyle="Normal 3"/>
    <tableColumn id="7" xr3:uid="{00000000-0010-0000-3D00-000007000000}" name="IVA" dataDxfId="444" dataCellStyle="Normal 3"/>
    <tableColumn id="8" xr3:uid="{00000000-0010-0000-3D00-000008000000}" name="SUSS" dataDxfId="443" dataCellStyle="Normal 3"/>
    <tableColumn id="9" xr3:uid="{00000000-0010-0000-3D00-000009000000}" name="IIBB BSAS" dataDxfId="442" dataCellStyle="Normal 3"/>
    <tableColumn id="10" xr3:uid="{00000000-0010-0000-3D00-00000A000000}" name="IIBB CABA" dataDxfId="441" dataCellStyle="Normal 3"/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E000000}" name="compras_mes11" displayName="compras_mes11" ref="B8:R153" totalsRowCount="1" headerRowDxfId="440" totalsRowDxfId="439">
  <autoFilter ref="B8:R152" xr:uid="{00000000-0009-0000-0100-00004B000000}"/>
  <sortState xmlns:xlrd2="http://schemas.microsoft.com/office/spreadsheetml/2017/richdata2" ref="B9:R152">
    <sortCondition ref="B8:B152"/>
  </sortState>
  <tableColumns count="17">
    <tableColumn id="1" xr3:uid="{00000000-0010-0000-3E00-000001000000}" name="FECHA" totalsRowLabel="Total" dataDxfId="438" totalsRowDxfId="437" dataCellStyle="Normal 3"/>
    <tableColumn id="2" xr3:uid="{00000000-0010-0000-3E00-000002000000}" name="TIPO" dataDxfId="436" totalsRowDxfId="435" dataCellStyle="Normal 3"/>
    <tableColumn id="3" xr3:uid="{00000000-0010-0000-3E00-000003000000}" name="PTO VTA" dataDxfId="434" totalsRowDxfId="433" dataCellStyle="Normal 3"/>
    <tableColumn id="4" xr3:uid="{00000000-0010-0000-3E00-000004000000}" name="NRO. CPTE" dataDxfId="432" totalsRowDxfId="431" dataCellStyle="Normal 3"/>
    <tableColumn id="5" xr3:uid="{00000000-0010-0000-3E00-000005000000}" name="CUIT" dataDxfId="430" totalsRowDxfId="429" dataCellStyle="Normal 3"/>
    <tableColumn id="6" xr3:uid="{00000000-0010-0000-3E00-000006000000}" name="RAZON SOCIAL" dataDxfId="428" totalsRowDxfId="427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3E00-000007000000}" name="NETO GRAVADO" totalsRowFunction="sum" dataDxfId="426" totalsRowDxfId="425" dataCellStyle="Normal 3"/>
    <tableColumn id="8" xr3:uid="{00000000-0010-0000-3E00-000008000000}" name="IVA 21 %" totalsRowFunction="sum" dataDxfId="424" totalsRowDxfId="423" dataCellStyle="Normal 3">
      <calculatedColumnFormula>IF(compras_mes11[[#This Row],[NETO GRAVADO]]="","",compras_mes11[[#This Row],[NETO GRAVADO]]*0.21)</calculatedColumnFormula>
    </tableColumn>
    <tableColumn id="9" xr3:uid="{00000000-0010-0000-3E00-000009000000}" name="IVA 27%" totalsRowFunction="sum" dataDxfId="422" totalsRowDxfId="421" dataCellStyle="Normal 3"/>
    <tableColumn id="10" xr3:uid="{00000000-0010-0000-3E00-00000A000000}" name="IVA 10,5%" totalsRowFunction="sum" dataDxfId="420" totalsRowDxfId="419" dataCellStyle="Normal 3"/>
    <tableColumn id="11" xr3:uid="{00000000-0010-0000-3E00-00000B000000}" name="PERC. IVA" totalsRowFunction="sum" dataDxfId="418" totalsRowDxfId="417" dataCellStyle="Normal 3"/>
    <tableColumn id="12" xr3:uid="{00000000-0010-0000-3E00-00000C000000}" name="PERC IIBB _x000a_BS AS" totalsRowFunction="sum" dataDxfId="416" totalsRowDxfId="415" dataCellStyle="Normal 3"/>
    <tableColumn id="13" xr3:uid="{00000000-0010-0000-3E00-00000D000000}" name="PERC. IIBB CABA" totalsRowFunction="sum" dataDxfId="414" totalsRowDxfId="413" dataCellStyle="Normal 3"/>
    <tableColumn id="14" xr3:uid="{00000000-0010-0000-3E00-00000E000000}" name="Otros / No Grav." totalsRowFunction="sum" dataDxfId="412" totalsRowDxfId="411" dataCellStyle="Normal 3"/>
    <tableColumn id="15" xr3:uid="{00000000-0010-0000-3E00-00000F000000}" name="TOTAL" totalsRowFunction="sum" dataDxfId="410" totalsRowDxfId="409" dataCellStyle="Normal 3">
      <calculatedColumnFormula>SUM(compras_mes11[[#This Row],[NETO GRAVADO]:[Otros / No Grav.]])</calculatedColumnFormula>
    </tableColumn>
    <tableColumn id="16" xr3:uid="{00000000-0010-0000-3E00-000010000000}" name="Tipo de Gasto" dataDxfId="408" totalsRowDxfId="407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3E00-000011000000}" name="Provincia" dataDxfId="406" totalsRowDxfId="405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F000000}" name="factura_c_mes11" displayName="factura_c_mes11" ref="D168:K195" totalsRowCount="1" headerRowDxfId="404" totalsRowDxfId="403" headerRowCellStyle="Normal 3">
  <autoFilter ref="D168:K194" xr:uid="{00000000-0009-0000-0100-00004C000000}"/>
  <sortState xmlns:xlrd2="http://schemas.microsoft.com/office/spreadsheetml/2017/richdata2" ref="D169:K211">
    <sortCondition ref="F169:F211"/>
  </sortState>
  <tableColumns count="8">
    <tableColumn id="1" xr3:uid="{00000000-0010-0000-3F00-000001000000}" name="FECHA" totalsRowLabel="Total" dataDxfId="402" totalsRowDxfId="401" dataCellStyle="Normal 3"/>
    <tableColumn id="2" xr3:uid="{00000000-0010-0000-3F00-000002000000}" name="PTO VTA" dataDxfId="400" totalsRowDxfId="399" dataCellStyle="Normal 3"/>
    <tableColumn id="3" xr3:uid="{00000000-0010-0000-3F00-000003000000}" name="FC Nº" dataDxfId="398" totalsRowDxfId="397" dataCellStyle="Normal 3"/>
    <tableColumn id="4" xr3:uid="{00000000-0010-0000-3F00-000004000000}" name="CUIT" dataDxfId="396" totalsRowDxfId="395" dataCellStyle="Normal 3"/>
    <tableColumn id="5" xr3:uid="{00000000-0010-0000-3F00-000005000000}" name="RAZON SOCIAL" dataDxfId="394" totalsRowDxfId="393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3F00-000006000000}" name="TOTAL" totalsRowFunction="sum" dataDxfId="392" totalsRowDxfId="391" dataCellStyle="Normal 3"/>
    <tableColumn id="7" xr3:uid="{00000000-0010-0000-3F00-000007000000}" name="TIPO DE GASTO" dataDxfId="390" totalsRowDxfId="389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3F00-000008000000}" name="Provincia" dataDxfId="388" totalsRowDxfId="387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0000000}" name="venta_a_mes11" displayName="venta_a_mes11" ref="B205:M394" totalsRowCount="1" headerRowDxfId="386" dataDxfId="384" headerRowBorderDxfId="385" tableBorderDxfId="383" totalsRowBorderDxfId="382" dataCellStyle="Normal 3">
  <autoFilter ref="B205:M393" xr:uid="{00000000-0009-0000-0100-00004D000000}"/>
  <sortState xmlns:xlrd2="http://schemas.microsoft.com/office/spreadsheetml/2017/richdata2" ref="B206:M393">
    <sortCondition ref="D206:D393"/>
  </sortState>
  <tableColumns count="12">
    <tableColumn id="1" xr3:uid="{00000000-0010-0000-4000-000001000000}" name="FECHA" totalsRowLabel="Total" dataDxfId="381" totalsRowDxfId="380" dataCellStyle="Normal 3"/>
    <tableColumn id="2" xr3:uid="{00000000-0010-0000-4000-000002000000}" name="TIPO" dataDxfId="379" totalsRowDxfId="378" dataCellStyle="Normal 3"/>
    <tableColumn id="3" xr3:uid="{00000000-0010-0000-4000-000003000000}" name="PTO VENTA" dataDxfId="377" totalsRowDxfId="376" dataCellStyle="Normal 3"/>
    <tableColumn id="4" xr3:uid="{00000000-0010-0000-4000-000004000000}" name="Nº FACTURA" dataDxfId="375" totalsRowDxfId="374" dataCellStyle="Normal 3"/>
    <tableColumn id="5" xr3:uid="{00000000-0010-0000-4000-000005000000}" name="CUIT" dataDxfId="373" totalsRowDxfId="372" dataCellStyle="Normal 3"/>
    <tableColumn id="6" xr3:uid="{00000000-0010-0000-4000-000006000000}" name="RAZON SOCIAL" dataDxfId="371" totalsRowDxfId="370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4000-000007000000}" name="IMPORTE NETO" totalsRowFunction="sum" dataDxfId="369" totalsRowDxfId="368" dataCellStyle="Normal 3"/>
    <tableColumn id="8" xr3:uid="{00000000-0010-0000-4000-000008000000}" name="IVA 21%" totalsRowFunction="sum" dataDxfId="367" totalsRowDxfId="366" dataCellStyle="Normal 3">
      <calculatedColumnFormula>venta_a_mes11[[#This Row],[IMPORTE NETO]]*0.21</calculatedColumnFormula>
    </tableColumn>
    <tableColumn id="9" xr3:uid="{00000000-0010-0000-4000-000009000000}" name="IVA 10,5%" totalsRowFunction="sum" dataDxfId="365" totalsRowDxfId="364" dataCellStyle="Normal 3"/>
    <tableColumn id="10" xr3:uid="{00000000-0010-0000-4000-00000A000000}" name="EXENTO" totalsRowFunction="sum" dataDxfId="363" totalsRowDxfId="362" dataCellStyle="Normal 3"/>
    <tableColumn id="11" xr3:uid="{00000000-0010-0000-4000-00000B000000}" name="TOTAL" totalsRowFunction="sum" dataDxfId="361" totalsRowDxfId="360" dataCellStyle="Normal 3">
      <calculatedColumnFormula>SUM(venta_a_mes11[[#This Row],[IMPORTE NETO]:[EXENTO]])</calculatedColumnFormula>
    </tableColumn>
    <tableColumn id="12" xr3:uid="{00000000-0010-0000-4000-00000C000000}" name="Provincia" totalsRowFunction="count" dataDxfId="359" totalsRowDxfId="358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1000000}" name="ventas_b_mes11" displayName="ventas_b_mes11" ref="B397:M3017" totalsRowCount="1" headerRowDxfId="357" dataDxfId="355" headerRowBorderDxfId="356" tableBorderDxfId="354" totalsRowBorderDxfId="353" dataCellStyle="Normal 3">
  <autoFilter ref="B397:M3016" xr:uid="{00000000-0009-0000-0100-00004E000000}"/>
  <sortState xmlns:xlrd2="http://schemas.microsoft.com/office/spreadsheetml/2017/richdata2" ref="B398:M3016">
    <sortCondition ref="E398:E3016"/>
  </sortState>
  <tableColumns count="12">
    <tableColumn id="1" xr3:uid="{00000000-0010-0000-4100-000001000000}" name="FECHA" totalsRowLabel="Total" dataDxfId="352" totalsRowDxfId="351" dataCellStyle="Normal 3"/>
    <tableColumn id="2" xr3:uid="{00000000-0010-0000-4100-000002000000}" name="TIPO" dataDxfId="350" totalsRowDxfId="349" dataCellStyle="Normal 3"/>
    <tableColumn id="3" xr3:uid="{00000000-0010-0000-4100-000003000000}" name="PTO VENTA" dataDxfId="348" totalsRowDxfId="347" dataCellStyle="Normal 3"/>
    <tableColumn id="4" xr3:uid="{00000000-0010-0000-4100-000004000000}" name="Nº FACTURA" dataDxfId="346" totalsRowDxfId="345" dataCellStyle="Normal 3"/>
    <tableColumn id="5" xr3:uid="{00000000-0010-0000-4100-000005000000}" name="CUIT" dataDxfId="344" totalsRowDxfId="343" dataCellStyle="Normal 3"/>
    <tableColumn id="6" xr3:uid="{00000000-0010-0000-4100-000006000000}" name="RAZON SOCIAL" dataDxfId="342" totalsRowDxfId="341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100-000007000000}" name="IMPORTE NETO" totalsRowFunction="sum" dataDxfId="340" totalsRowDxfId="339" dataCellStyle="Normal 3">
      <calculatedColumnFormula>ventas_b_mes11[[#This Row],[TOTAL]]/1.21</calculatedColumnFormula>
    </tableColumn>
    <tableColumn id="8" xr3:uid="{00000000-0010-0000-4100-000008000000}" name="IVA 21%" totalsRowFunction="sum" dataDxfId="338" totalsRowDxfId="337" dataCellStyle="Normal 3">
      <calculatedColumnFormula>ventas_b_mes11[[#This Row],[IMPORTE NETO]]*0.21</calculatedColumnFormula>
    </tableColumn>
    <tableColumn id="9" xr3:uid="{00000000-0010-0000-4100-000009000000}" name="IVA 10,5%" totalsRowFunction="sum" dataDxfId="336" totalsRowDxfId="335" dataCellStyle="Normal 3"/>
    <tableColumn id="10" xr3:uid="{00000000-0010-0000-4100-00000A000000}" name="EXENTO" totalsRowFunction="sum" dataDxfId="334" totalsRowDxfId="333" dataCellStyle="Normal 3"/>
    <tableColumn id="11" xr3:uid="{00000000-0010-0000-4100-00000B000000}" name="TOTAL" totalsRowFunction="sum" dataDxfId="332" totalsRowDxfId="331" dataCellStyle="Normal 3"/>
    <tableColumn id="12" xr3:uid="{00000000-0010-0000-4100-00000C000000}" name="Provincia" totalsRowFunction="count" dataDxfId="330" totalsRowDxfId="329" dataCellStyle="Normal 3"/>
  </tableColumns>
  <tableStyleInfo name="Tabla Ventas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2000000}" name="extracto_banco_mes11" displayName="extracto_banco_mes11" ref="D159:L163" totalsRowCount="1" headerRowDxfId="328" dataDxfId="327" tableBorderDxfId="326" dataCellStyle="Normal 3">
  <autoFilter ref="D159:L162" xr:uid="{00000000-0009-0000-0100-00004F000000}"/>
  <tableColumns count="9">
    <tableColumn id="1" xr3:uid="{00000000-0010-0000-4200-000001000000}" name="FECHA" totalsRowLabel="Total" dataDxfId="325" totalsRowDxfId="324" dataCellStyle="Normal 3"/>
    <tableColumn id="2" xr3:uid="{00000000-0010-0000-4200-000002000000}" name="NRO CPTE" dataDxfId="323" totalsRowDxfId="322"/>
    <tableColumn id="3" xr3:uid="{00000000-0010-0000-4200-000003000000}" name="BANCO" dataDxfId="321" totalsRowDxfId="320"/>
    <tableColumn id="4" xr3:uid="{00000000-0010-0000-4200-000004000000}" name="NETO" totalsRowFunction="sum" dataDxfId="319" totalsRowDxfId="318" dataCellStyle="Normal 3"/>
    <tableColumn id="5" xr3:uid="{00000000-0010-0000-4200-000005000000}" name="IVA 21%" totalsRowFunction="sum" dataDxfId="317" totalsRowDxfId="316" dataCellStyle="Normal 3"/>
    <tableColumn id="6" xr3:uid="{00000000-0010-0000-4200-000006000000}" name="IVA 10,5%" totalsRowFunction="sum" dataDxfId="315" totalsRowDxfId="314" dataCellStyle="Normal 3"/>
    <tableColumn id="7" xr3:uid="{00000000-0010-0000-4200-000007000000}" name="RET IIBB CABA" totalsRowFunction="sum" dataDxfId="313" totalsRowDxfId="312" dataCellStyle="Normal 3"/>
    <tableColumn id="8" xr3:uid="{00000000-0010-0000-4200-000008000000}" name="PERC IVA" totalsRowFunction="sum" dataDxfId="311" totalsRowDxfId="310" dataCellStyle="Normal 3"/>
    <tableColumn id="9" xr3:uid="{00000000-0010-0000-4200-000009000000}" name="PERC IIBB" totalsRowFunction="sum" dataDxfId="309" totalsRowDxfId="308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3000000}" name="Retenciones_mes11" displayName="Retenciones_mes11" ref="C3020:L3025" totalsRowShown="0" headerRowDxfId="307" dataDxfId="306" headerRowCellStyle="Normal 3" dataCellStyle="Normal 3">
  <autoFilter ref="C3020:L3025" xr:uid="{00000000-0009-0000-0100-000050000000}"/>
  <tableColumns count="10">
    <tableColumn id="1" xr3:uid="{00000000-0010-0000-4300-000001000000}" name="FECHA " dataDxfId="305" dataCellStyle="Normal 3"/>
    <tableColumn id="2" xr3:uid="{00000000-0010-0000-4300-000002000000}" name="COMP Nº" dataDxfId="304" dataCellStyle="Normal 3"/>
    <tableColumn id="3" xr3:uid="{00000000-0010-0000-4300-000003000000}" name="Columna1" dataDxfId="303" dataCellStyle="Normal 3"/>
    <tableColumn id="4" xr3:uid="{00000000-0010-0000-4300-000004000000}" name="CUIT" dataDxfId="302" dataCellStyle="Normal 3"/>
    <tableColumn id="5" xr3:uid="{00000000-0010-0000-4300-000005000000}" name="RAZON SOCIAL" dataDxfId="301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300-000006000000}" name="Ganancias" dataDxfId="300" dataCellStyle="Normal 3"/>
    <tableColumn id="7" xr3:uid="{00000000-0010-0000-4300-000007000000}" name="IVA" dataDxfId="299" dataCellStyle="Normal 3"/>
    <tableColumn id="8" xr3:uid="{00000000-0010-0000-4300-000008000000}" name="SUSS" dataDxfId="298" dataCellStyle="Normal 3"/>
    <tableColumn id="9" xr3:uid="{00000000-0010-0000-4300-000009000000}" name="IIBB BSAS" dataDxfId="297" dataCellStyle="Normal 3"/>
    <tableColumn id="10" xr3:uid="{00000000-0010-0000-4300-00000A000000}" name="IIBB CABA" dataDxfId="296" dataCellStyle="Normal 3"/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44000000}" name="compras_mes123" displayName="compras_mes123" ref="B8:R177" totalsRowCount="1" headerRowDxfId="295" dataDxfId="294" totalsRowDxfId="293">
  <autoFilter ref="B8:R176" xr:uid="{00000000-0009-0000-0100-000002000000}"/>
  <sortState xmlns:xlrd2="http://schemas.microsoft.com/office/spreadsheetml/2017/richdata2" ref="B9:R176">
    <sortCondition ref="B8:B176"/>
  </sortState>
  <tableColumns count="17">
    <tableColumn id="1" xr3:uid="{00000000-0010-0000-4400-000001000000}" name="FECHA" totalsRowLabel="Total" dataDxfId="292" totalsRowDxfId="291" dataCellStyle="Normal 3"/>
    <tableColumn id="2" xr3:uid="{00000000-0010-0000-4400-000002000000}" name="TIPO" dataDxfId="290" totalsRowDxfId="289" dataCellStyle="Normal 3"/>
    <tableColumn id="3" xr3:uid="{00000000-0010-0000-4400-000003000000}" name="PTO VTA" dataDxfId="288" totalsRowDxfId="287" dataCellStyle="Normal 3"/>
    <tableColumn id="4" xr3:uid="{00000000-0010-0000-4400-000004000000}" name="NRO. CPTE" dataDxfId="286" totalsRowDxfId="285" dataCellStyle="Normal 3"/>
    <tableColumn id="5" xr3:uid="{00000000-0010-0000-4400-000005000000}" name="CUIT" dataDxfId="284" totalsRowDxfId="283" dataCellStyle="Normal 3"/>
    <tableColumn id="6" xr3:uid="{00000000-0010-0000-4400-000006000000}" name="RAZON SOCIAL" dataDxfId="282" totalsRowDxfId="281" dataCellStyle="Normal 3">
      <calculatedColumnFormula>IFERROR(IF(compras_mes123[[#This Row],[CUIT]]="","-",VLOOKUP(compras_mes123[[#This Row],[CUIT]],Lista_CUIT[#All],2,0)),"CUIT NO CARGADO")</calculatedColumnFormula>
    </tableColumn>
    <tableColumn id="7" xr3:uid="{00000000-0010-0000-4400-000007000000}" name="NETO GRAVADO" totalsRowFunction="sum" dataDxfId="280" totalsRowDxfId="279" dataCellStyle="Normal 3"/>
    <tableColumn id="8" xr3:uid="{00000000-0010-0000-4400-000008000000}" name="IVA 21 %" totalsRowFunction="sum" dataDxfId="278" totalsRowDxfId="277" dataCellStyle="Normal 3">
      <calculatedColumnFormula>IF(compras_mes123[[#This Row],[NETO GRAVADO]]="","",compras_mes123[[#This Row],[NETO GRAVADO]]*0.21)</calculatedColumnFormula>
    </tableColumn>
    <tableColumn id="9" xr3:uid="{00000000-0010-0000-4400-000009000000}" name="IVA 27%" totalsRowFunction="sum" dataDxfId="276" totalsRowDxfId="275" dataCellStyle="Normal 3"/>
    <tableColumn id="10" xr3:uid="{00000000-0010-0000-4400-00000A000000}" name="IVA 10,5%" totalsRowFunction="sum" dataDxfId="274" totalsRowDxfId="273" dataCellStyle="Normal 3"/>
    <tableColumn id="11" xr3:uid="{00000000-0010-0000-4400-00000B000000}" name="PERC. IVA" totalsRowFunction="sum" dataDxfId="272" totalsRowDxfId="271" dataCellStyle="Normal 3"/>
    <tableColumn id="12" xr3:uid="{00000000-0010-0000-4400-00000C000000}" name="PERC IIBB _x000a_BS AS" totalsRowFunction="sum" dataDxfId="270" totalsRowDxfId="269" dataCellStyle="Normal 3"/>
    <tableColumn id="13" xr3:uid="{00000000-0010-0000-4400-00000D000000}" name="PERC. IIBB CABA" totalsRowFunction="sum" dataDxfId="268" totalsRowDxfId="267" dataCellStyle="Normal 3"/>
    <tableColumn id="14" xr3:uid="{00000000-0010-0000-4400-00000E000000}" name="Otros / No Grav." totalsRowFunction="sum" dataDxfId="266" totalsRowDxfId="265" dataCellStyle="Normal 3"/>
    <tableColumn id="15" xr3:uid="{00000000-0010-0000-4400-00000F000000}" name="TOTAL" totalsRowFunction="sum" dataDxfId="264" totalsRowDxfId="263" dataCellStyle="Normal 3">
      <calculatedColumnFormula>SUM(compras_mes123[[#This Row],[NETO GRAVADO]:[Otros / No Grav.]])</calculatedColumnFormula>
    </tableColumn>
    <tableColumn id="16" xr3:uid="{00000000-0010-0000-4400-000010000000}" name="Tipo de Gasto" dataDxfId="262" totalsRowDxfId="261" dataCellStyle="Normal 3">
      <calculatedColumnFormula>IFERROR(IF(compras_mes123[[#This Row],[CUIT]]="","-",VLOOKUP(compras_mes123[[#This Row],[CUIT]],Lista_CUIT[#All],3,0)),"CUIT NO CARGADO")</calculatedColumnFormula>
    </tableColumn>
    <tableColumn id="17" xr3:uid="{00000000-0010-0000-4400-000011000000}" name="Provincia" dataDxfId="260" totalsRowDxfId="259" dataCellStyle="Normal 3">
      <calculatedColumnFormula>IFERROR(IF(compras_mes123[[#This Row],[CUIT]]="","-",VLOOKUP(compras_mes123[[#This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45000000}" name="factura_c_mes1242" displayName="factura_c_mes1242" ref="D199:K238" totalsRowCount="1" headerRowDxfId="258" dataDxfId="257" totalsRowDxfId="256" headerRowCellStyle="Normal 3" dataCellStyle="Normal 3">
  <autoFilter ref="D199:K237" xr:uid="{00000000-0009-0000-0100-000029000000}"/>
  <sortState xmlns:xlrd2="http://schemas.microsoft.com/office/spreadsheetml/2017/richdata2" ref="D200:K237">
    <sortCondition ref="D200:D237"/>
  </sortState>
  <tableColumns count="8">
    <tableColumn id="1" xr3:uid="{00000000-0010-0000-4500-000001000000}" name="FECHA" totalsRowLabel="Total" dataDxfId="255" totalsRowDxfId="254" dataCellStyle="Normal 3"/>
    <tableColumn id="2" xr3:uid="{00000000-0010-0000-4500-000002000000}" name="PTO VTA" dataDxfId="253" totalsRowDxfId="252" dataCellStyle="Normal 3"/>
    <tableColumn id="3" xr3:uid="{00000000-0010-0000-4500-000003000000}" name="FC Nº" dataDxfId="251" totalsRowDxfId="250" dataCellStyle="Normal 3"/>
    <tableColumn id="4" xr3:uid="{00000000-0010-0000-4500-000004000000}" name="CUIT" dataDxfId="249" totalsRowDxfId="248" dataCellStyle="Normal 3"/>
    <tableColumn id="5" xr3:uid="{00000000-0010-0000-4500-000005000000}" name="RAZON SOCIAL" dataDxfId="247" totalsRowDxfId="246" dataCellStyle="Normal 3">
      <calculatedColumnFormula>IFERROR(IF(factura_c_mes1242[[#This Row],[CUIT]]="","-",VLOOKUP(factura_c_mes1242[[#This Row],[CUIT]],Lista_CUIT[#All],2,0)),"CUIT NO CARGADO")</calculatedColumnFormula>
    </tableColumn>
    <tableColumn id="6" xr3:uid="{00000000-0010-0000-4500-000006000000}" name="TOTAL" totalsRowFunction="sum" dataDxfId="245" totalsRowDxfId="244" dataCellStyle="Millares"/>
    <tableColumn id="7" xr3:uid="{00000000-0010-0000-4500-000007000000}" name="TIPO DE GASTO" dataDxfId="243" totalsRowDxfId="242" dataCellStyle="Normal 3">
      <calculatedColumnFormula>IFERROR(IF(factura_c_mes1242[[#This Row],[CUIT]]="","-",VLOOKUP(factura_c_mes1242[[#This Row],[CUIT]],Lista_CUIT[#All],3,0)),"CUIT NO CARGADO")</calculatedColumnFormula>
    </tableColumn>
    <tableColumn id="8" xr3:uid="{00000000-0010-0000-4500-000008000000}" name="Provincia" dataDxfId="241" totalsRowDxfId="240" dataCellStyle="Normal 3">
      <calculatedColumnFormula>IFERROR(IF(factura_c_mes1242[[#This Row],[CUIT]]="","-",VLOOKUP(factura_c_mes1242[[#This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46000000}" name="venta_a_mes1254" displayName="venta_a_mes1254" ref="B246:M434" totalsRowCount="1" headerRowDxfId="239" dataDxfId="237" headerRowBorderDxfId="238" tableBorderDxfId="236" totalsRowBorderDxfId="235" dataCellStyle="Normal 3">
  <autoFilter ref="B246:M433" xr:uid="{00000000-0009-0000-0100-000035000000}"/>
  <tableColumns count="12">
    <tableColumn id="1" xr3:uid="{00000000-0010-0000-4600-000001000000}" name="FECHA" totalsRowLabel="Total" dataDxfId="234" totalsRowDxfId="233" dataCellStyle="Normal 3"/>
    <tableColumn id="2" xr3:uid="{00000000-0010-0000-4600-000002000000}" name="TIPO" dataDxfId="232" totalsRowDxfId="231" dataCellStyle="Normal 3"/>
    <tableColumn id="3" xr3:uid="{00000000-0010-0000-4600-000003000000}" name="PTO VENTA" dataDxfId="230" totalsRowDxfId="229" dataCellStyle="Normal 3"/>
    <tableColumn id="4" xr3:uid="{00000000-0010-0000-4600-000004000000}" name="Nº FACTURA" dataDxfId="228" totalsRowDxfId="227" dataCellStyle="Normal 3"/>
    <tableColumn id="5" xr3:uid="{00000000-0010-0000-4600-000005000000}" name="CUIT" dataDxfId="226" totalsRowDxfId="225" dataCellStyle="Normal 3"/>
    <tableColumn id="6" xr3:uid="{00000000-0010-0000-4600-000006000000}" name="RAZON SOCIAL" dataDxfId="224" totalsRowDxfId="223" dataCellStyle="Normal 3">
      <calculatedColumnFormula>IFERROR(IF(venta_a_mes1254[[#This Row],[CUIT]]="","-",VLOOKUP(venta_a_mes1254[[#This Row],[CUIT]],Lista_CUIT[#All],2,0)),"CUIT NO CARGADO")</calculatedColumnFormula>
    </tableColumn>
    <tableColumn id="7" xr3:uid="{00000000-0010-0000-4600-000007000000}" name="IMPORTE NETO" totalsRowFunction="sum" dataDxfId="222" totalsRowDxfId="221" dataCellStyle="Normal 3"/>
    <tableColumn id="8" xr3:uid="{00000000-0010-0000-4600-000008000000}" name="IVA 21%" totalsRowFunction="sum" dataDxfId="220" totalsRowDxfId="219" dataCellStyle="Normal 3">
      <calculatedColumnFormula>venta_a_mes1254[[#This Row],[IMPORTE NETO]]*0.21</calculatedColumnFormula>
    </tableColumn>
    <tableColumn id="9" xr3:uid="{00000000-0010-0000-4600-000009000000}" name="IVA 10,5%" totalsRowFunction="sum" dataDxfId="218" totalsRowDxfId="217" dataCellStyle="Normal 3"/>
    <tableColumn id="10" xr3:uid="{00000000-0010-0000-4600-00000A000000}" name="EXENTO" totalsRowFunction="sum" dataDxfId="216" totalsRowDxfId="215" dataCellStyle="Normal 3"/>
    <tableColumn id="11" xr3:uid="{00000000-0010-0000-4600-00000B000000}" name="TOTAL" totalsRowFunction="sum" dataDxfId="214" totalsRowDxfId="213" dataCellStyle="Normal 3">
      <calculatedColumnFormula>SUM(venta_a_mes1254[[#This Row],[IMPORTE NETO]:[EXENTO]])</calculatedColumnFormula>
    </tableColumn>
    <tableColumn id="12" xr3:uid="{00000000-0010-0000-4600-00000C000000}" name="Provincia" totalsRowFunction="count" dataDxfId="212" totalsRowDxfId="211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47000000}" name="ventas_b_mes1255" displayName="ventas_b_mes1255" ref="B437:M2559" totalsRowCount="1" headerRowDxfId="210" dataDxfId="208" headerRowBorderDxfId="209" tableBorderDxfId="207" totalsRowBorderDxfId="206" dataCellStyle="Normal 3">
  <autoFilter ref="B437:M2558" xr:uid="{00000000-0009-0000-0100-000036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700-000001000000}" name="FECHA" totalsRowLabel="Total" dataDxfId="205" totalsRowDxfId="204" dataCellStyle="Normal 3"/>
    <tableColumn id="2" xr3:uid="{00000000-0010-0000-4700-000002000000}" name="TIPO" dataDxfId="203" totalsRowDxfId="202" dataCellStyle="Normal 3"/>
    <tableColumn id="3" xr3:uid="{00000000-0010-0000-4700-000003000000}" name="PTO VENTA" dataDxfId="201" totalsRowDxfId="200" dataCellStyle="Normal 3"/>
    <tableColumn id="4" xr3:uid="{00000000-0010-0000-4700-000004000000}" name="Nº FACTURA" dataDxfId="199" totalsRowDxfId="198" dataCellStyle="Normal 3"/>
    <tableColumn id="5" xr3:uid="{00000000-0010-0000-4700-000005000000}" name="CUIT" dataDxfId="197" totalsRowDxfId="196" dataCellStyle="Normal 3"/>
    <tableColumn id="6" xr3:uid="{00000000-0010-0000-4700-000006000000}" name="RAZON SOCIAL" dataDxfId="195" totalsRowDxfId="194" dataCellStyle="Normal 3">
      <calculatedColumnFormula>IFERROR(IF(ventas_b_mes1255[[#This Row],[CUIT]]="","-",VLOOKUP(ventas_b_mes1255[[#This Row],[CUIT]],Lista_CUIT[#All],2,0)),"CUIT NO CARGADO")</calculatedColumnFormula>
    </tableColumn>
    <tableColumn id="7" xr3:uid="{00000000-0010-0000-4700-000007000000}" name="IMPORTE NETO" totalsRowFunction="sum" dataDxfId="193" totalsRowDxfId="192" dataCellStyle="Normal 3"/>
    <tableColumn id="8" xr3:uid="{00000000-0010-0000-4700-000008000000}" name="IVA 21%" totalsRowFunction="sum" dataDxfId="191" totalsRowDxfId="190" dataCellStyle="Normal 3"/>
    <tableColumn id="9" xr3:uid="{00000000-0010-0000-4700-000009000000}" name="IVA 10,5%" totalsRowFunction="sum" dataDxfId="189" totalsRowDxfId="188" dataCellStyle="Normal 3"/>
    <tableColumn id="10" xr3:uid="{00000000-0010-0000-4700-00000A000000}" name="EXENTO" totalsRowFunction="sum" dataDxfId="187" totalsRowDxfId="186" dataCellStyle="Normal 3"/>
    <tableColumn id="11" xr3:uid="{00000000-0010-0000-4700-00000B000000}" name="TOTAL" totalsRowFunction="sum" dataDxfId="185" totalsRowDxfId="184" dataCellStyle="Normal 3"/>
    <tableColumn id="12" xr3:uid="{00000000-0010-0000-4700-00000C000000}" name="Provincia" totalsRowFunction="count" dataDxfId="183" totalsRowDxfId="182" dataCellStyle="Normal 3"/>
  </tableColumns>
  <tableStyleInfo name="Tabla Ventas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48000000}" name="extracto_banco_mes1256" displayName="extracto_banco_mes1256" ref="D183:L194" totalsRowCount="1" headerRowDxfId="181" dataDxfId="180" tableBorderDxfId="179" dataCellStyle="Normal 3">
  <autoFilter ref="D183:L193" xr:uid="{00000000-0009-0000-0100-000037000000}"/>
  <tableColumns count="9">
    <tableColumn id="1" xr3:uid="{00000000-0010-0000-4800-000001000000}" name="FECHA" totalsRowLabel="Total" dataDxfId="178" totalsRowDxfId="177" dataCellStyle="Normal 3"/>
    <tableColumn id="2" xr3:uid="{00000000-0010-0000-4800-000002000000}" name="NRO CPTE" dataDxfId="176" totalsRowDxfId="175"/>
    <tableColumn id="3" xr3:uid="{00000000-0010-0000-4800-000003000000}" name="BANCO" dataDxfId="174" totalsRowDxfId="173"/>
    <tableColumn id="4" xr3:uid="{00000000-0010-0000-4800-000004000000}" name="NETO" totalsRowFunction="sum" dataDxfId="172" totalsRowDxfId="171" dataCellStyle="Normal 3"/>
    <tableColumn id="5" xr3:uid="{00000000-0010-0000-4800-000005000000}" name="IVA 21%" totalsRowFunction="sum" dataDxfId="170" totalsRowDxfId="169" dataCellStyle="Normal 3"/>
    <tableColumn id="6" xr3:uid="{00000000-0010-0000-4800-000006000000}" name="IVA 10,5%" totalsRowFunction="sum" dataDxfId="168" totalsRowDxfId="167" dataCellStyle="Normal 3"/>
    <tableColumn id="7" xr3:uid="{00000000-0010-0000-4800-000007000000}" name="RET IIBB CABA" totalsRowFunction="sum" dataDxfId="166" totalsRowDxfId="165" dataCellStyle="Normal 3"/>
    <tableColumn id="8" xr3:uid="{00000000-0010-0000-4800-000008000000}" name="PERC IVA" totalsRowFunction="sum" dataDxfId="164" totalsRowDxfId="163" dataCellStyle="Normal 3"/>
    <tableColumn id="9" xr3:uid="{00000000-0010-0000-4800-000009000000}" name="PERC IIBB" totalsRowFunction="sum" dataDxfId="162" totalsRowDxfId="161" dataCellStyle="Normal 3"/>
  </tableColumns>
  <tableStyleInfo name="Estilo de tabla 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49000000}" name="Retenciones_mes1257" displayName="Retenciones_mes1257" ref="C2562:L2567" totalsRowShown="0" headerRowDxfId="160" dataDxfId="159" headerRowCellStyle="Normal 3" dataCellStyle="Normal 3">
  <autoFilter ref="C2562:L2567" xr:uid="{00000000-0009-0000-0100-000038000000}"/>
  <tableColumns count="10">
    <tableColumn id="1" xr3:uid="{00000000-0010-0000-4900-000001000000}" name="FECHA " dataDxfId="158" dataCellStyle="Normal 3"/>
    <tableColumn id="2" xr3:uid="{00000000-0010-0000-4900-000002000000}" name="COMP Nº" dataDxfId="157" dataCellStyle="Normal 3"/>
    <tableColumn id="3" xr3:uid="{00000000-0010-0000-4900-000003000000}" name="Columna1" dataDxfId="156" dataCellStyle="Normal 3"/>
    <tableColumn id="4" xr3:uid="{00000000-0010-0000-4900-000004000000}" name="CUIT" dataDxfId="155" dataCellStyle="Normal 3"/>
    <tableColumn id="5" xr3:uid="{00000000-0010-0000-4900-000005000000}" name="RAZON SOCIAL" dataDxfId="154" dataCellStyle="Normal 3">
      <calculatedColumnFormula>IFERROR(IF(Retenciones_mes1257[[#This Row],[CUIT]]="","-",VLOOKUP(Retenciones_mes1257[[#This Row],[CUIT]],Lista_CUIT[#All],2,0)),"CUIT NO CARGADO")</calculatedColumnFormula>
    </tableColumn>
    <tableColumn id="6" xr3:uid="{00000000-0010-0000-4900-000006000000}" name="Ganancias" dataDxfId="153" dataCellStyle="Normal 3"/>
    <tableColumn id="7" xr3:uid="{00000000-0010-0000-4900-000007000000}" name="IVA" dataDxfId="152" dataCellStyle="Normal 3"/>
    <tableColumn id="8" xr3:uid="{00000000-0010-0000-4900-000008000000}" name="SUSS" dataDxfId="151" dataCellStyle="Normal 3"/>
    <tableColumn id="9" xr3:uid="{00000000-0010-0000-4900-000009000000}" name="IIBB BSAS" dataDxfId="150" dataCellStyle="Normal 3"/>
    <tableColumn id="10" xr3:uid="{00000000-0010-0000-4900-00000A000000}" name="IIBB CABA" dataDxfId="149" dataCellStyle="Normal 3"/>
  </tableColumns>
  <tableStyleInfo name="Estilo de tabla 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A000000}" name="compras_mes12" displayName="compras_mes12" ref="B8:R196" totalsRowCount="1" headerRowDxfId="148" dataDxfId="147" totalsRowDxfId="146">
  <autoFilter ref="B8:R195" xr:uid="{00000000-0009-0000-0100-000045000000}"/>
  <sortState xmlns:xlrd2="http://schemas.microsoft.com/office/spreadsheetml/2017/richdata2" ref="B9:R195">
    <sortCondition ref="B8:B195"/>
  </sortState>
  <tableColumns count="17">
    <tableColumn id="1" xr3:uid="{00000000-0010-0000-4A00-000001000000}" name="FECHA" totalsRowLabel="Total" dataDxfId="145" totalsRowDxfId="144" dataCellStyle="Normal 3"/>
    <tableColumn id="2" xr3:uid="{00000000-0010-0000-4A00-000002000000}" name="TIPO" dataDxfId="143" totalsRowDxfId="142" dataCellStyle="Normal 3"/>
    <tableColumn id="3" xr3:uid="{00000000-0010-0000-4A00-000003000000}" name="PTO VTA" dataDxfId="141" totalsRowDxfId="140" dataCellStyle="Normal 3"/>
    <tableColumn id="4" xr3:uid="{00000000-0010-0000-4A00-000004000000}" name="NRO. CPTE" dataDxfId="139" totalsRowDxfId="138" dataCellStyle="Normal 3"/>
    <tableColumn id="5" xr3:uid="{00000000-0010-0000-4A00-000005000000}" name="CUIT" dataDxfId="137" totalsRowDxfId="136" dataCellStyle="Normal 3"/>
    <tableColumn id="6" xr3:uid="{00000000-0010-0000-4A00-000006000000}" name="RAZON SOCIAL" dataDxfId="135" totalsRowDxfId="134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A00-000007000000}" name="NETO GRAVADO" totalsRowFunction="sum" dataDxfId="133" totalsRowDxfId="132" dataCellStyle="Normal 3"/>
    <tableColumn id="8" xr3:uid="{00000000-0010-0000-4A00-000008000000}" name="IVA 21 %" totalsRowFunction="sum" dataDxfId="131" totalsRowDxfId="130" dataCellStyle="Normal 3">
      <calculatedColumnFormula>IF(compras_mes12[[#This Row],[NETO GRAVADO]]="","",compras_mes12[[#This Row],[NETO GRAVADO]]*0.21)</calculatedColumnFormula>
    </tableColumn>
    <tableColumn id="9" xr3:uid="{00000000-0010-0000-4A00-000009000000}" name="IVA 27%" totalsRowFunction="sum" dataDxfId="129" totalsRowDxfId="128" dataCellStyle="Normal 3"/>
    <tableColumn id="10" xr3:uid="{00000000-0010-0000-4A00-00000A000000}" name="IVA 10,5%" totalsRowFunction="sum" dataDxfId="127" totalsRowDxfId="126" dataCellStyle="Normal 3"/>
    <tableColumn id="11" xr3:uid="{00000000-0010-0000-4A00-00000B000000}" name="PERC. IVA" totalsRowFunction="sum" dataDxfId="125" totalsRowDxfId="124" dataCellStyle="Normal 3"/>
    <tableColumn id="12" xr3:uid="{00000000-0010-0000-4A00-00000C000000}" name="PERC IIBB _x000a_BS AS" totalsRowFunction="sum" dataDxfId="123" totalsRowDxfId="122" dataCellStyle="Normal 3"/>
    <tableColumn id="13" xr3:uid="{00000000-0010-0000-4A00-00000D000000}" name="PERC. IIBB CABA" totalsRowFunction="sum" dataDxfId="121" totalsRowDxfId="120" dataCellStyle="Normal 3"/>
    <tableColumn id="14" xr3:uid="{00000000-0010-0000-4A00-00000E000000}" name="Otros / No Grav." totalsRowFunction="sum" dataDxfId="119" totalsRowDxfId="118" dataCellStyle="Normal 3"/>
    <tableColumn id="15" xr3:uid="{00000000-0010-0000-4A00-00000F000000}" name="TOTAL" totalsRowFunction="sum" dataDxfId="117" totalsRowDxfId="116" dataCellStyle="Normal 3">
      <calculatedColumnFormula>SUM(compras_mes12[[#This Row],[NETO GRAVADO]:[Otros / No Grav.]])</calculatedColumnFormula>
    </tableColumn>
    <tableColumn id="16" xr3:uid="{00000000-0010-0000-4A00-000010000000}" name="Tipo de Gasto" dataDxfId="115" totalsRowDxfId="114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A00-000011000000}" name="Provincia" dataDxfId="113" totalsRowDxfId="112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B000000}" name="factura_c_mes12" displayName="factura_c_mes12" ref="D218:K257" totalsRowCount="1" headerRowDxfId="111" dataDxfId="110" totalsRowDxfId="109" headerRowCellStyle="Normal 3" dataCellStyle="Normal 3">
  <autoFilter ref="D218:K256" xr:uid="{00000000-0009-0000-0100-000046000000}"/>
  <sortState xmlns:xlrd2="http://schemas.microsoft.com/office/spreadsheetml/2017/richdata2" ref="D219:K256">
    <sortCondition ref="D219:D256"/>
  </sortState>
  <tableColumns count="8">
    <tableColumn id="1" xr3:uid="{00000000-0010-0000-4B00-000001000000}" name="FECHA" totalsRowLabel="Total" dataDxfId="108" totalsRowDxfId="107" dataCellStyle="Normal 3"/>
    <tableColumn id="2" xr3:uid="{00000000-0010-0000-4B00-000002000000}" name="PTO VTA" dataDxfId="106" totalsRowDxfId="105" dataCellStyle="Normal 3"/>
    <tableColumn id="3" xr3:uid="{00000000-0010-0000-4B00-000003000000}" name="FC Nº" dataDxfId="104" totalsRowDxfId="103" dataCellStyle="Normal 3"/>
    <tableColumn id="4" xr3:uid="{00000000-0010-0000-4B00-000004000000}" name="CUIT" dataDxfId="102" totalsRowDxfId="101" dataCellStyle="Normal 3"/>
    <tableColumn id="5" xr3:uid="{00000000-0010-0000-4B00-000005000000}" name="RAZON SOCIAL" dataDxfId="100" totalsRowDxfId="99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B00-000006000000}" name="TOTAL" totalsRowFunction="sum" dataDxfId="98" totalsRowDxfId="97" dataCellStyle="Normal 3"/>
    <tableColumn id="7" xr3:uid="{00000000-0010-0000-4B00-000007000000}" name="TIPO DE GASTO" dataDxfId="96" totalsRowDxfId="95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B00-000008000000}" name="Provincia" dataDxfId="94" totalsRowDxfId="93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C000000}" name="venta_a_mes12" displayName="venta_a_mes12" ref="B265:M267" totalsRowCount="1" headerRowDxfId="92" dataDxfId="90" headerRowBorderDxfId="91" tableBorderDxfId="89" totalsRowBorderDxfId="88" dataCellStyle="Normal 3">
  <autoFilter ref="B265:M266" xr:uid="{00000000-0009-0000-0100-000047000000}"/>
  <tableColumns count="12">
    <tableColumn id="1" xr3:uid="{00000000-0010-0000-4C00-000001000000}" name="FECHA" totalsRowLabel="Total" dataDxfId="87" totalsRowDxfId="86" dataCellStyle="Normal 3"/>
    <tableColumn id="2" xr3:uid="{00000000-0010-0000-4C00-000002000000}" name="TIPO" dataDxfId="85" totalsRowDxfId="84" dataCellStyle="Normal 3"/>
    <tableColumn id="3" xr3:uid="{00000000-0010-0000-4C00-000003000000}" name="PTO VENTA" dataDxfId="83" totalsRowDxfId="82" dataCellStyle="Normal 3"/>
    <tableColumn id="4" xr3:uid="{00000000-0010-0000-4C00-000004000000}" name="Nº FACTURA" dataDxfId="81" totalsRowDxfId="80" dataCellStyle="Normal 3"/>
    <tableColumn id="5" xr3:uid="{00000000-0010-0000-4C00-000005000000}" name="CUIT" dataDxfId="79" totalsRowDxfId="78" dataCellStyle="Normal 3"/>
    <tableColumn id="6" xr3:uid="{00000000-0010-0000-4C00-000006000000}" name="RAZON SOCIAL" dataDxfId="77" totalsRowDxfId="76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C00-000007000000}" name="IMPORTE NETO" totalsRowFunction="sum" dataDxfId="75" totalsRowDxfId="74" dataCellStyle="Normal 3"/>
    <tableColumn id="8" xr3:uid="{00000000-0010-0000-4C00-000008000000}" name="IVA 21%" totalsRowFunction="sum" dataDxfId="73" totalsRowDxfId="72" dataCellStyle="Normal 3">
      <calculatedColumnFormula>venta_a_mes12[[#This Row],[IMPORTE NETO]]*0.21</calculatedColumnFormula>
    </tableColumn>
    <tableColumn id="9" xr3:uid="{00000000-0010-0000-4C00-000009000000}" name="IVA 10,5%" totalsRowFunction="sum" dataDxfId="71" totalsRowDxfId="70" dataCellStyle="Normal 3"/>
    <tableColumn id="10" xr3:uid="{00000000-0010-0000-4C00-00000A000000}" name="EXENTO" totalsRowFunction="sum" dataDxfId="69" totalsRowDxfId="68" dataCellStyle="Normal 3"/>
    <tableColumn id="11" xr3:uid="{00000000-0010-0000-4C00-00000B000000}" name="TOTAL" totalsRowFunction="sum" dataDxfId="67" totalsRowDxfId="66" dataCellStyle="Normal 3">
      <calculatedColumnFormula>SUM(venta_a_mes12[[#This Row],[IMPORTE NETO]:[EXENTO]])</calculatedColumnFormula>
    </tableColumn>
    <tableColumn id="12" xr3:uid="{00000000-0010-0000-4C00-00000C000000}" name="Provincia" totalsRowFunction="count" dataDxfId="65" totalsRowDxfId="64" dataCellStyle="Normal 3"/>
  </tableColumns>
  <tableStyleInfo name="Tabla Ventas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D000000}" name="ventas_b_mes12" displayName="ventas_b_mes12" ref="B270:M273" totalsRowCount="1" headerRowDxfId="63" dataDxfId="61" headerRowBorderDxfId="62" tableBorderDxfId="60" totalsRowBorderDxfId="59" dataCellStyle="Normal 3">
  <autoFilter ref="B270:M272" xr:uid="{00000000-0009-0000-0100-000048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D00-000001000000}" name="FECHA" totalsRowLabel="Total" dataDxfId="58" totalsRowDxfId="57" dataCellStyle="Normal 3"/>
    <tableColumn id="2" xr3:uid="{00000000-0010-0000-4D00-000002000000}" name="TIPO" dataDxfId="56" totalsRowDxfId="55" dataCellStyle="Normal 3"/>
    <tableColumn id="3" xr3:uid="{00000000-0010-0000-4D00-000003000000}" name="PTO VENTA" dataDxfId="54" totalsRowDxfId="53" dataCellStyle="Normal 3"/>
    <tableColumn id="4" xr3:uid="{00000000-0010-0000-4D00-000004000000}" name="Nº FACTURA" dataDxfId="52" totalsRowDxfId="51" dataCellStyle="Normal 3"/>
    <tableColumn id="5" xr3:uid="{00000000-0010-0000-4D00-000005000000}" name="CUIT" dataDxfId="50" totalsRowDxfId="49" dataCellStyle="Normal 3"/>
    <tableColumn id="6" xr3:uid="{00000000-0010-0000-4D00-000006000000}" name="RAZON SOCIAL" dataDxfId="48" totalsRowDxfId="47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D00-000007000000}" name="IMPORTE NETO" totalsRowFunction="sum" dataDxfId="46" totalsRowDxfId="45" dataCellStyle="Normal 3"/>
    <tableColumn id="8" xr3:uid="{00000000-0010-0000-4D00-000008000000}" name="IVA 21%" totalsRowFunction="sum" dataDxfId="44" totalsRowDxfId="43" dataCellStyle="Normal 3"/>
    <tableColumn id="9" xr3:uid="{00000000-0010-0000-4D00-000009000000}" name="IVA 10,5%" totalsRowFunction="sum" dataDxfId="42" totalsRowDxfId="41" dataCellStyle="Normal 3"/>
    <tableColumn id="10" xr3:uid="{00000000-0010-0000-4D00-00000A000000}" name="EXENTO" totalsRowFunction="sum" dataDxfId="40" totalsRowDxfId="39" dataCellStyle="Normal 3"/>
    <tableColumn id="11" xr3:uid="{00000000-0010-0000-4D00-00000B000000}" name="TOTAL" totalsRowFunction="sum" dataDxfId="38" totalsRowDxfId="37" dataCellStyle="Normal 3"/>
    <tableColumn id="12" xr3:uid="{00000000-0010-0000-4D00-00000C000000}" name="Provincia" totalsRowFunction="count" dataDxfId="36" totalsRowDxfId="35" dataCellStyle="Normal 3"/>
  </tableColumns>
  <tableStyleInfo name="Tabla Ventas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E000000}" name="extracto_banco_mes12" displayName="extracto_banco_mes12" ref="D202:L213" totalsRowCount="1" headerRowDxfId="34" dataDxfId="33" tableBorderDxfId="32" dataCellStyle="Normal 3">
  <autoFilter ref="D202:L212" xr:uid="{00000000-0009-0000-0100-000049000000}"/>
  <tableColumns count="9">
    <tableColumn id="1" xr3:uid="{00000000-0010-0000-4E00-000001000000}" name="FECHA" totalsRowLabel="Total" dataDxfId="31" totalsRowDxfId="30" dataCellStyle="Normal 3"/>
    <tableColumn id="2" xr3:uid="{00000000-0010-0000-4E00-000002000000}" name="NRO CPTE" dataDxfId="29" totalsRowDxfId="28"/>
    <tableColumn id="3" xr3:uid="{00000000-0010-0000-4E00-000003000000}" name="BANCO" dataDxfId="27" totalsRowDxfId="26"/>
    <tableColumn id="4" xr3:uid="{00000000-0010-0000-4E00-000004000000}" name="NETO" totalsRowFunction="sum" dataDxfId="25" totalsRowDxfId="24" dataCellStyle="Normal 3"/>
    <tableColumn id="5" xr3:uid="{00000000-0010-0000-4E00-000005000000}" name="IVA 21%" totalsRowFunction="sum" dataDxfId="23" totalsRowDxfId="22" dataCellStyle="Normal 3"/>
    <tableColumn id="6" xr3:uid="{00000000-0010-0000-4E00-000006000000}" name="IVA 10,5%" totalsRowFunction="sum" dataDxfId="21" totalsRowDxfId="20" dataCellStyle="Normal 3"/>
    <tableColumn id="7" xr3:uid="{00000000-0010-0000-4E00-000007000000}" name="RET IIBB CABA" totalsRowFunction="sum" dataDxfId="19" totalsRowDxfId="18" dataCellStyle="Normal 3"/>
    <tableColumn id="8" xr3:uid="{00000000-0010-0000-4E00-000008000000}" name="PERC IVA" totalsRowFunction="sum" dataDxfId="17" totalsRowDxfId="16" dataCellStyle="Normal 3"/>
    <tableColumn id="9" xr3:uid="{00000000-0010-0000-4E00-000009000000}" name="PERC IIBB" totalsRowFunction="sum" dataDxfId="15" totalsRowDxfId="14" dataCellStyle="Normal 3"/>
  </tableColumns>
  <tableStyleInfo name="Estilo de tabla 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F000000}" name="Retenciones_mes12" displayName="Retenciones_mes12" ref="C276:L281" totalsRowShown="0" headerRowDxfId="13" dataDxfId="12" headerRowCellStyle="Normal 3" dataCellStyle="Normal 3">
  <autoFilter ref="C276:L281" xr:uid="{00000000-0009-0000-0100-00004A000000}"/>
  <tableColumns count="10">
    <tableColumn id="1" xr3:uid="{00000000-0010-0000-4F00-000001000000}" name="FECHA " dataDxfId="11" dataCellStyle="Normal 3"/>
    <tableColumn id="2" xr3:uid="{00000000-0010-0000-4F00-000002000000}" name="COMP Nº" dataDxfId="10" dataCellStyle="Normal 3"/>
    <tableColumn id="3" xr3:uid="{00000000-0010-0000-4F00-000003000000}" name="Columna1" dataDxfId="9" dataCellStyle="Normal 3"/>
    <tableColumn id="4" xr3:uid="{00000000-0010-0000-4F00-000004000000}" name="CUIT" dataDxfId="8" dataCellStyle="Normal 3"/>
    <tableColumn id="5" xr3:uid="{00000000-0010-0000-4F00-000005000000}" name="RAZON SOCIAL" dataDxfId="7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4F00-000006000000}" name="Ganancias" dataDxfId="6" dataCellStyle="Normal 3"/>
    <tableColumn id="7" xr3:uid="{00000000-0010-0000-4F00-000007000000}" name="IVA" dataDxfId="5" dataCellStyle="Normal 3"/>
    <tableColumn id="8" xr3:uid="{00000000-0010-0000-4F00-000008000000}" name="SUSS" dataDxfId="4" dataCellStyle="Normal 3"/>
    <tableColumn id="9" xr3:uid="{00000000-0010-0000-4F00-000009000000}" name="IIBB BSAS" dataDxfId="3" dataCellStyle="Normal 3"/>
    <tableColumn id="10" xr3:uid="{00000000-0010-0000-4F00-00000A000000}" name="IIBB CABA" dataDxfId="2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7" Type="http://schemas.openxmlformats.org/officeDocument/2006/relationships/table" Target="../tables/table50.xml"/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9.xml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7" Type="http://schemas.openxmlformats.org/officeDocument/2006/relationships/table" Target="../tables/table56.xml"/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5.xml"/><Relationship Id="rId5" Type="http://schemas.openxmlformats.org/officeDocument/2006/relationships/table" Target="../tables/table54.xml"/><Relationship Id="rId4" Type="http://schemas.openxmlformats.org/officeDocument/2006/relationships/table" Target="../tables/table5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7" Type="http://schemas.openxmlformats.org/officeDocument/2006/relationships/table" Target="../tables/table62.xml"/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1.xml"/><Relationship Id="rId5" Type="http://schemas.openxmlformats.org/officeDocument/2006/relationships/table" Target="../tables/table60.xml"/><Relationship Id="rId4" Type="http://schemas.openxmlformats.org/officeDocument/2006/relationships/table" Target="../tables/table5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7" Type="http://schemas.openxmlformats.org/officeDocument/2006/relationships/table" Target="../tables/table68.xml"/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7.xml"/><Relationship Id="rId5" Type="http://schemas.openxmlformats.org/officeDocument/2006/relationships/table" Target="../tables/table66.xml"/><Relationship Id="rId4" Type="http://schemas.openxmlformats.org/officeDocument/2006/relationships/table" Target="../tables/table6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0.xml"/><Relationship Id="rId7" Type="http://schemas.openxmlformats.org/officeDocument/2006/relationships/table" Target="../tables/table74.xml"/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3.xml"/><Relationship Id="rId5" Type="http://schemas.openxmlformats.org/officeDocument/2006/relationships/table" Target="../tables/table72.xml"/><Relationship Id="rId4" Type="http://schemas.openxmlformats.org/officeDocument/2006/relationships/table" Target="../tables/table7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7" Type="http://schemas.openxmlformats.org/officeDocument/2006/relationships/table" Target="../tables/table80.xml"/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9.xml"/><Relationship Id="rId5" Type="http://schemas.openxmlformats.org/officeDocument/2006/relationships/table" Target="../tables/table78.xml"/><Relationship Id="rId4" Type="http://schemas.openxmlformats.org/officeDocument/2006/relationships/table" Target="../tables/table7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980"/>
  <sheetViews>
    <sheetView topLeftCell="A396" zoomScaleNormal="100" workbookViewId="0">
      <selection activeCell="B409" sqref="B409"/>
    </sheetView>
  </sheetViews>
  <sheetFormatPr baseColWidth="10" defaultRowHeight="14.4" x14ac:dyDescent="0.3"/>
  <cols>
    <col min="1" max="1" width="14.33203125" style="35" bestFit="1" customWidth="1"/>
    <col min="2" max="2" width="80.88671875" bestFit="1" customWidth="1"/>
    <col min="3" max="3" width="20" style="35" bestFit="1" customWidth="1"/>
    <col min="4" max="4" width="15" bestFit="1" customWidth="1"/>
    <col min="7" max="7" width="20.5546875" customWidth="1"/>
  </cols>
  <sheetData>
    <row r="1" spans="1:7" x14ac:dyDescent="0.3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3">
      <c r="A2" s="36">
        <f>21779325</f>
        <v>21779325</v>
      </c>
      <c r="B2" t="s">
        <v>127</v>
      </c>
      <c r="C2" s="35" t="s">
        <v>78</v>
      </c>
      <c r="G2" s="122" t="s">
        <v>83</v>
      </c>
    </row>
    <row r="3" spans="1:7" x14ac:dyDescent="0.3">
      <c r="A3" s="36">
        <f>12999779</f>
        <v>12999779</v>
      </c>
      <c r="B3" t="s">
        <v>128</v>
      </c>
      <c r="G3" s="123" t="s">
        <v>80</v>
      </c>
    </row>
    <row r="4" spans="1:7" x14ac:dyDescent="0.3">
      <c r="A4" s="36">
        <f>475785</f>
        <v>475785</v>
      </c>
      <c r="B4" t="s">
        <v>129</v>
      </c>
      <c r="G4" s="122" t="s">
        <v>106</v>
      </c>
    </row>
    <row r="5" spans="1:7" x14ac:dyDescent="0.3">
      <c r="A5" s="36">
        <f>32052462</f>
        <v>32052462</v>
      </c>
      <c r="B5" t="s">
        <v>130</v>
      </c>
      <c r="G5" s="123" t="s">
        <v>84</v>
      </c>
    </row>
    <row r="6" spans="1:7" x14ac:dyDescent="0.3">
      <c r="A6" s="36">
        <v>20240305128</v>
      </c>
      <c r="B6" t="s">
        <v>1171</v>
      </c>
      <c r="G6" s="122" t="s">
        <v>79</v>
      </c>
    </row>
    <row r="7" spans="1:7" x14ac:dyDescent="0.3">
      <c r="A7" s="36">
        <v>20240305128</v>
      </c>
      <c r="B7" t="s">
        <v>1171</v>
      </c>
      <c r="G7" s="123" t="s">
        <v>107</v>
      </c>
    </row>
    <row r="8" spans="1:7" x14ac:dyDescent="0.3">
      <c r="A8" s="36">
        <v>20240305128</v>
      </c>
      <c r="B8" t="s">
        <v>1388</v>
      </c>
      <c r="G8" s="122" t="s">
        <v>90</v>
      </c>
    </row>
    <row r="9" spans="1:7" x14ac:dyDescent="0.3">
      <c r="A9" s="36">
        <v>20240305128</v>
      </c>
      <c r="B9" t="s">
        <v>1388</v>
      </c>
      <c r="G9" s="123" t="s">
        <v>78</v>
      </c>
    </row>
    <row r="10" spans="1:7" x14ac:dyDescent="0.3">
      <c r="A10" s="36">
        <v>20240305128</v>
      </c>
      <c r="B10" t="s">
        <v>1171</v>
      </c>
      <c r="G10" s="122" t="s">
        <v>108</v>
      </c>
    </row>
    <row r="11" spans="1:7" x14ac:dyDescent="0.3">
      <c r="A11" s="36">
        <v>20240305128</v>
      </c>
      <c r="B11" t="s">
        <v>1171</v>
      </c>
      <c r="G11" s="123" t="s">
        <v>87</v>
      </c>
    </row>
    <row r="12" spans="1:7" x14ac:dyDescent="0.3">
      <c r="A12" s="36">
        <v>20240305128</v>
      </c>
      <c r="B12" t="s">
        <v>1388</v>
      </c>
      <c r="G12" s="122" t="s">
        <v>104</v>
      </c>
    </row>
    <row r="13" spans="1:7" x14ac:dyDescent="0.3">
      <c r="A13" s="36">
        <v>20240305128</v>
      </c>
      <c r="B13" t="s">
        <v>1388</v>
      </c>
      <c r="G13" s="123" t="s">
        <v>109</v>
      </c>
    </row>
    <row r="14" spans="1:7" x14ac:dyDescent="0.3">
      <c r="A14" s="36">
        <v>36065190</v>
      </c>
      <c r="B14" t="s">
        <v>1320</v>
      </c>
      <c r="G14" s="122" t="s">
        <v>110</v>
      </c>
    </row>
    <row r="15" spans="1:7" x14ac:dyDescent="0.3">
      <c r="A15" s="36">
        <v>36065190</v>
      </c>
      <c r="B15" t="s">
        <v>1320</v>
      </c>
      <c r="G15" s="123" t="s">
        <v>85</v>
      </c>
    </row>
    <row r="16" spans="1:7" x14ac:dyDescent="0.3">
      <c r="A16" s="36">
        <v>35357420</v>
      </c>
      <c r="B16" t="s">
        <v>1265</v>
      </c>
      <c r="G16" s="122" t="s">
        <v>82</v>
      </c>
    </row>
    <row r="17" spans="1:7" x14ac:dyDescent="0.3">
      <c r="A17" s="36">
        <v>35357420</v>
      </c>
      <c r="B17" t="s">
        <v>1265</v>
      </c>
      <c r="G17" s="123" t="s">
        <v>111</v>
      </c>
    </row>
    <row r="18" spans="1:7" x14ac:dyDescent="0.3">
      <c r="A18" s="36">
        <v>35357420</v>
      </c>
      <c r="B18" t="s">
        <v>1265</v>
      </c>
      <c r="G18" s="122" t="s">
        <v>81</v>
      </c>
    </row>
    <row r="19" spans="1:7" x14ac:dyDescent="0.3">
      <c r="A19" s="36">
        <v>35357420</v>
      </c>
      <c r="B19" t="s">
        <v>1265</v>
      </c>
      <c r="G19" s="123" t="s">
        <v>112</v>
      </c>
    </row>
    <row r="20" spans="1:7" x14ac:dyDescent="0.3">
      <c r="A20" s="36">
        <v>26927710</v>
      </c>
      <c r="B20" t="s">
        <v>1266</v>
      </c>
      <c r="G20" s="122" t="s">
        <v>86</v>
      </c>
    </row>
    <row r="21" spans="1:7" x14ac:dyDescent="0.3">
      <c r="A21" s="36">
        <v>26927710</v>
      </c>
      <c r="B21" t="s">
        <v>1266</v>
      </c>
      <c r="G21" s="123" t="s">
        <v>88</v>
      </c>
    </row>
    <row r="22" spans="1:7" x14ac:dyDescent="0.3">
      <c r="A22" s="36">
        <v>25231635</v>
      </c>
      <c r="B22" t="s">
        <v>1281</v>
      </c>
      <c r="G22" s="122" t="s">
        <v>113</v>
      </c>
    </row>
    <row r="23" spans="1:7" x14ac:dyDescent="0.3">
      <c r="A23" s="36">
        <v>25231635</v>
      </c>
      <c r="B23" t="s">
        <v>1281</v>
      </c>
    </row>
    <row r="24" spans="1:7" x14ac:dyDescent="0.3">
      <c r="A24" s="36">
        <v>25231635</v>
      </c>
      <c r="B24" t="s">
        <v>1281</v>
      </c>
    </row>
    <row r="25" spans="1:7" x14ac:dyDescent="0.3">
      <c r="A25" s="36">
        <v>25231635</v>
      </c>
      <c r="B25" t="s">
        <v>1281</v>
      </c>
    </row>
    <row r="26" spans="1:7" x14ac:dyDescent="0.3">
      <c r="A26" s="36">
        <v>20621121</v>
      </c>
      <c r="B26" t="s">
        <v>1255</v>
      </c>
    </row>
    <row r="27" spans="1:7" x14ac:dyDescent="0.3">
      <c r="A27" s="36">
        <v>20621121</v>
      </c>
      <c r="B27" t="s">
        <v>1255</v>
      </c>
    </row>
    <row r="28" spans="1:7" x14ac:dyDescent="0.3">
      <c r="A28" s="36">
        <v>20621121</v>
      </c>
      <c r="B28" t="s">
        <v>1255</v>
      </c>
    </row>
    <row r="29" spans="1:7" x14ac:dyDescent="0.3">
      <c r="A29" s="36">
        <v>20621121</v>
      </c>
      <c r="B29" t="s">
        <v>1255</v>
      </c>
    </row>
    <row r="30" spans="1:7" x14ac:dyDescent="0.3">
      <c r="A30" s="36">
        <v>20621121</v>
      </c>
      <c r="B30" t="s">
        <v>1255</v>
      </c>
    </row>
    <row r="31" spans="1:7" x14ac:dyDescent="0.3">
      <c r="A31" s="36">
        <v>20621121</v>
      </c>
      <c r="B31" t="s">
        <v>1255</v>
      </c>
    </row>
    <row r="32" spans="1:7" x14ac:dyDescent="0.3">
      <c r="A32" s="36">
        <v>22479614</v>
      </c>
      <c r="B32" t="s">
        <v>1299</v>
      </c>
    </row>
    <row r="33" spans="1:2" x14ac:dyDescent="0.3">
      <c r="A33" s="36">
        <v>22479614</v>
      </c>
      <c r="B33" t="s">
        <v>1299</v>
      </c>
    </row>
    <row r="34" spans="1:2" x14ac:dyDescent="0.3">
      <c r="A34" s="36">
        <v>22479614</v>
      </c>
      <c r="B34" t="s">
        <v>1299</v>
      </c>
    </row>
    <row r="35" spans="1:2" x14ac:dyDescent="0.3">
      <c r="A35" s="36">
        <v>22479614</v>
      </c>
      <c r="B35" t="s">
        <v>1299</v>
      </c>
    </row>
    <row r="36" spans="1:2" x14ac:dyDescent="0.3">
      <c r="A36" s="36">
        <v>26670209</v>
      </c>
      <c r="B36" t="s">
        <v>1239</v>
      </c>
    </row>
    <row r="37" spans="1:2" x14ac:dyDescent="0.3">
      <c r="A37" s="36">
        <v>26670209</v>
      </c>
      <c r="B37" t="s">
        <v>1239</v>
      </c>
    </row>
    <row r="38" spans="1:2" x14ac:dyDescent="0.3">
      <c r="A38" s="36">
        <v>18396100</v>
      </c>
      <c r="B38" t="s">
        <v>1295</v>
      </c>
    </row>
    <row r="39" spans="1:2" x14ac:dyDescent="0.3">
      <c r="A39" s="36">
        <v>18396100</v>
      </c>
      <c r="B39" t="s">
        <v>1295</v>
      </c>
    </row>
    <row r="40" spans="1:2" x14ac:dyDescent="0.3">
      <c r="A40" s="36">
        <v>18396100</v>
      </c>
      <c r="B40" t="s">
        <v>1295</v>
      </c>
    </row>
    <row r="41" spans="1:2" x14ac:dyDescent="0.3">
      <c r="A41" s="36">
        <v>18396100</v>
      </c>
      <c r="B41" t="s">
        <v>1295</v>
      </c>
    </row>
    <row r="42" spans="1:2" x14ac:dyDescent="0.3">
      <c r="A42" s="36">
        <v>26456987</v>
      </c>
      <c r="B42" t="s">
        <v>1277</v>
      </c>
    </row>
    <row r="43" spans="1:2" x14ac:dyDescent="0.3">
      <c r="A43" s="36">
        <v>22238457</v>
      </c>
      <c r="B43" t="s">
        <v>1277</v>
      </c>
    </row>
    <row r="44" spans="1:2" x14ac:dyDescent="0.3">
      <c r="A44" s="36">
        <v>26456987</v>
      </c>
      <c r="B44" t="s">
        <v>1277</v>
      </c>
    </row>
    <row r="45" spans="1:2" x14ac:dyDescent="0.3">
      <c r="A45" s="36">
        <v>22238457</v>
      </c>
      <c r="B45" t="s">
        <v>1277</v>
      </c>
    </row>
    <row r="46" spans="1:2" x14ac:dyDescent="0.3">
      <c r="A46" s="36">
        <v>29381165</v>
      </c>
      <c r="B46" t="s">
        <v>1204</v>
      </c>
    </row>
    <row r="47" spans="1:2" x14ac:dyDescent="0.3">
      <c r="A47" s="36">
        <v>29381165</v>
      </c>
      <c r="B47" t="s">
        <v>1204</v>
      </c>
    </row>
    <row r="48" spans="1:2" x14ac:dyDescent="0.3">
      <c r="A48" s="36">
        <v>42683175</v>
      </c>
      <c r="B48" t="s">
        <v>1282</v>
      </c>
    </row>
    <row r="49" spans="1:2" x14ac:dyDescent="0.3">
      <c r="A49" s="36">
        <v>42683175</v>
      </c>
      <c r="B49" t="s">
        <v>1282</v>
      </c>
    </row>
    <row r="50" spans="1:2" x14ac:dyDescent="0.3">
      <c r="A50" s="36">
        <v>27059572666</v>
      </c>
      <c r="B50" t="s">
        <v>1472</v>
      </c>
    </row>
    <row r="51" spans="1:2" x14ac:dyDescent="0.3">
      <c r="A51" s="36">
        <v>27059572666</v>
      </c>
      <c r="B51" t="s">
        <v>1472</v>
      </c>
    </row>
    <row r="52" spans="1:2" x14ac:dyDescent="0.3">
      <c r="A52" s="36">
        <v>28170300</v>
      </c>
      <c r="B52" t="s">
        <v>1315</v>
      </c>
    </row>
    <row r="53" spans="1:2" x14ac:dyDescent="0.3">
      <c r="A53" s="36">
        <v>28170300</v>
      </c>
      <c r="B53" t="s">
        <v>1315</v>
      </c>
    </row>
    <row r="54" spans="1:2" x14ac:dyDescent="0.3">
      <c r="A54" s="36">
        <v>27256969802</v>
      </c>
      <c r="B54" t="s">
        <v>1471</v>
      </c>
    </row>
    <row r="55" spans="1:2" x14ac:dyDescent="0.3">
      <c r="A55" s="36">
        <v>27256969802</v>
      </c>
      <c r="B55" t="s">
        <v>1471</v>
      </c>
    </row>
    <row r="56" spans="1:2" x14ac:dyDescent="0.3">
      <c r="A56" s="36">
        <v>30267269</v>
      </c>
      <c r="B56" t="s">
        <v>1348</v>
      </c>
    </row>
    <row r="57" spans="1:2" x14ac:dyDescent="0.3">
      <c r="A57" s="36">
        <v>30267269</v>
      </c>
      <c r="B57" t="s">
        <v>1348</v>
      </c>
    </row>
    <row r="58" spans="1:2" x14ac:dyDescent="0.3">
      <c r="A58" s="36">
        <v>30527225988</v>
      </c>
      <c r="B58" t="s">
        <v>1506</v>
      </c>
    </row>
    <row r="59" spans="1:2" x14ac:dyDescent="0.3">
      <c r="A59" s="36">
        <v>23166393574</v>
      </c>
      <c r="B59" t="s">
        <v>1463</v>
      </c>
    </row>
    <row r="60" spans="1:2" x14ac:dyDescent="0.3">
      <c r="A60" s="36">
        <v>23166393574</v>
      </c>
      <c r="B60" t="s">
        <v>1463</v>
      </c>
    </row>
    <row r="61" spans="1:2" x14ac:dyDescent="0.3">
      <c r="A61" s="36">
        <v>18462045</v>
      </c>
      <c r="B61" t="s">
        <v>1290</v>
      </c>
    </row>
    <row r="62" spans="1:2" x14ac:dyDescent="0.3">
      <c r="A62" s="36">
        <v>18462045</v>
      </c>
      <c r="B62" t="s">
        <v>1290</v>
      </c>
    </row>
    <row r="63" spans="1:2" x14ac:dyDescent="0.3">
      <c r="A63" s="36">
        <v>30714069639</v>
      </c>
      <c r="B63" t="s">
        <v>1130</v>
      </c>
    </row>
    <row r="64" spans="1:2" x14ac:dyDescent="0.3">
      <c r="A64" s="36">
        <v>30714069639</v>
      </c>
      <c r="B64" t="s">
        <v>1130</v>
      </c>
    </row>
    <row r="65" spans="1:2" x14ac:dyDescent="0.3">
      <c r="A65" s="36">
        <v>27302111346</v>
      </c>
      <c r="B65" t="s">
        <v>1408</v>
      </c>
    </row>
    <row r="66" spans="1:2" x14ac:dyDescent="0.3">
      <c r="A66" s="36">
        <v>27302111346</v>
      </c>
      <c r="B66" t="s">
        <v>1408</v>
      </c>
    </row>
    <row r="67" spans="1:2" x14ac:dyDescent="0.3">
      <c r="A67" s="36">
        <v>29734146</v>
      </c>
      <c r="B67" t="s">
        <v>1224</v>
      </c>
    </row>
    <row r="68" spans="1:2" x14ac:dyDescent="0.3">
      <c r="A68" s="36">
        <v>29734146</v>
      </c>
      <c r="B68" t="s">
        <v>1224</v>
      </c>
    </row>
    <row r="69" spans="1:2" x14ac:dyDescent="0.3">
      <c r="A69" s="36">
        <v>27816221</v>
      </c>
      <c r="B69" t="s">
        <v>1256</v>
      </c>
    </row>
    <row r="70" spans="1:2" x14ac:dyDescent="0.3">
      <c r="A70" s="36">
        <v>27816221</v>
      </c>
      <c r="B70" t="s">
        <v>1256</v>
      </c>
    </row>
    <row r="71" spans="1:2" x14ac:dyDescent="0.3">
      <c r="A71" s="36">
        <v>27816221</v>
      </c>
      <c r="B71" t="s">
        <v>1256</v>
      </c>
    </row>
    <row r="72" spans="1:2" x14ac:dyDescent="0.3">
      <c r="A72" s="36">
        <v>27816221</v>
      </c>
      <c r="B72" t="s">
        <v>1256</v>
      </c>
    </row>
    <row r="73" spans="1:2" x14ac:dyDescent="0.3">
      <c r="A73" s="36">
        <v>27816221</v>
      </c>
      <c r="B73" t="s">
        <v>1256</v>
      </c>
    </row>
    <row r="74" spans="1:2" x14ac:dyDescent="0.3">
      <c r="A74" s="36">
        <v>27816221</v>
      </c>
      <c r="B74" t="s">
        <v>1256</v>
      </c>
    </row>
    <row r="75" spans="1:2" x14ac:dyDescent="0.3">
      <c r="A75" s="36">
        <v>30308030</v>
      </c>
      <c r="B75" t="s">
        <v>1242</v>
      </c>
    </row>
    <row r="76" spans="1:2" x14ac:dyDescent="0.3">
      <c r="A76" s="36">
        <v>30308030</v>
      </c>
      <c r="B76" t="s">
        <v>1242</v>
      </c>
    </row>
    <row r="77" spans="1:2" x14ac:dyDescent="0.3">
      <c r="A77" s="36">
        <v>30308030</v>
      </c>
      <c r="B77" t="s">
        <v>1242</v>
      </c>
    </row>
    <row r="78" spans="1:2" x14ac:dyDescent="0.3">
      <c r="A78" s="36">
        <v>30308030</v>
      </c>
      <c r="B78" t="s">
        <v>1242</v>
      </c>
    </row>
    <row r="79" spans="1:2" x14ac:dyDescent="0.3">
      <c r="A79" s="36">
        <v>20109190110</v>
      </c>
      <c r="B79" t="s">
        <v>1527</v>
      </c>
    </row>
    <row r="80" spans="1:2" x14ac:dyDescent="0.3">
      <c r="A80" s="36">
        <v>30707463143</v>
      </c>
      <c r="B80" t="s">
        <v>1375</v>
      </c>
    </row>
    <row r="81" spans="1:2" x14ac:dyDescent="0.3">
      <c r="A81" s="36">
        <v>30707463143</v>
      </c>
      <c r="B81" t="s">
        <v>1375</v>
      </c>
    </row>
    <row r="82" spans="1:2" x14ac:dyDescent="0.3">
      <c r="A82" s="36">
        <v>30707463143</v>
      </c>
      <c r="B82" t="s">
        <v>1156</v>
      </c>
    </row>
    <row r="83" spans="1:2" x14ac:dyDescent="0.3">
      <c r="A83" s="36">
        <v>30707463143</v>
      </c>
      <c r="B83" t="s">
        <v>1156</v>
      </c>
    </row>
    <row r="84" spans="1:2" x14ac:dyDescent="0.3">
      <c r="A84" s="36">
        <v>22879936</v>
      </c>
      <c r="B84" t="s">
        <v>1223</v>
      </c>
    </row>
    <row r="85" spans="1:2" x14ac:dyDescent="0.3">
      <c r="A85" s="36">
        <v>22879936</v>
      </c>
      <c r="B85" t="s">
        <v>1223</v>
      </c>
    </row>
    <row r="86" spans="1:2" x14ac:dyDescent="0.3">
      <c r="A86" s="36">
        <v>22879936</v>
      </c>
      <c r="B86" t="s">
        <v>1223</v>
      </c>
    </row>
    <row r="87" spans="1:2" x14ac:dyDescent="0.3">
      <c r="A87" s="36">
        <v>22879936</v>
      </c>
      <c r="B87" t="s">
        <v>1223</v>
      </c>
    </row>
    <row r="88" spans="1:2" x14ac:dyDescent="0.3">
      <c r="A88" s="36">
        <v>22879936</v>
      </c>
      <c r="B88" t="s">
        <v>1223</v>
      </c>
    </row>
    <row r="89" spans="1:2" x14ac:dyDescent="0.3">
      <c r="A89" s="36">
        <v>22879936</v>
      </c>
      <c r="B89" t="s">
        <v>1223</v>
      </c>
    </row>
    <row r="90" spans="1:2" x14ac:dyDescent="0.3">
      <c r="A90" s="36">
        <v>30646718151</v>
      </c>
      <c r="B90" t="s">
        <v>1543</v>
      </c>
    </row>
    <row r="91" spans="1:2" x14ac:dyDescent="0.3">
      <c r="A91" s="36">
        <v>30538688793</v>
      </c>
      <c r="B91" t="s">
        <v>1511</v>
      </c>
    </row>
    <row r="92" spans="1:2" x14ac:dyDescent="0.3">
      <c r="A92" s="36">
        <v>30715173030</v>
      </c>
      <c r="B92" t="s">
        <v>1395</v>
      </c>
    </row>
    <row r="93" spans="1:2" x14ac:dyDescent="0.3">
      <c r="A93" s="36">
        <v>30715173030</v>
      </c>
      <c r="B93" t="s">
        <v>1395</v>
      </c>
    </row>
    <row r="94" spans="1:2" x14ac:dyDescent="0.3">
      <c r="A94" s="36">
        <v>30714112836</v>
      </c>
      <c r="B94" t="s">
        <v>1133</v>
      </c>
    </row>
    <row r="95" spans="1:2" x14ac:dyDescent="0.3">
      <c r="A95" s="36">
        <v>30714112836</v>
      </c>
      <c r="B95" t="s">
        <v>1133</v>
      </c>
    </row>
    <row r="96" spans="1:2" x14ac:dyDescent="0.3">
      <c r="A96" s="36">
        <v>30714112836</v>
      </c>
      <c r="B96" t="s">
        <v>1369</v>
      </c>
    </row>
    <row r="97" spans="1:2" x14ac:dyDescent="0.3">
      <c r="A97" s="36">
        <v>30714112836</v>
      </c>
      <c r="B97" t="s">
        <v>1369</v>
      </c>
    </row>
    <row r="98" spans="1:2" x14ac:dyDescent="0.3">
      <c r="A98" s="36">
        <v>30677237119</v>
      </c>
      <c r="B98" t="s">
        <v>1380</v>
      </c>
    </row>
    <row r="99" spans="1:2" x14ac:dyDescent="0.3">
      <c r="A99" s="36">
        <v>30677237119</v>
      </c>
      <c r="B99" t="s">
        <v>1380</v>
      </c>
    </row>
    <row r="100" spans="1:2" x14ac:dyDescent="0.3">
      <c r="A100" s="36">
        <v>30677237119</v>
      </c>
      <c r="B100" t="s">
        <v>1380</v>
      </c>
    </row>
    <row r="101" spans="1:2" x14ac:dyDescent="0.3">
      <c r="A101" s="36">
        <v>30677237119</v>
      </c>
      <c r="B101" t="s">
        <v>1380</v>
      </c>
    </row>
    <row r="102" spans="1:2" x14ac:dyDescent="0.3">
      <c r="A102" s="36">
        <v>30574876474</v>
      </c>
      <c r="B102" t="s">
        <v>1376</v>
      </c>
    </row>
    <row r="103" spans="1:2" x14ac:dyDescent="0.3">
      <c r="A103" s="36">
        <v>30574876474</v>
      </c>
      <c r="B103" t="s">
        <v>1376</v>
      </c>
    </row>
    <row r="104" spans="1:2" x14ac:dyDescent="0.3">
      <c r="A104" s="36">
        <v>30574876474</v>
      </c>
      <c r="B104" t="s">
        <v>1376</v>
      </c>
    </row>
    <row r="105" spans="1:2" x14ac:dyDescent="0.3">
      <c r="A105" s="36">
        <v>30574876474</v>
      </c>
      <c r="B105" t="s">
        <v>1376</v>
      </c>
    </row>
    <row r="106" spans="1:2" x14ac:dyDescent="0.3">
      <c r="A106" s="36">
        <v>30709565075</v>
      </c>
      <c r="B106" t="s">
        <v>1185</v>
      </c>
    </row>
    <row r="107" spans="1:2" x14ac:dyDescent="0.3">
      <c r="A107" s="36">
        <v>30709565075</v>
      </c>
      <c r="B107" t="s">
        <v>1185</v>
      </c>
    </row>
    <row r="108" spans="1:2" x14ac:dyDescent="0.3">
      <c r="A108" s="36">
        <v>40512917</v>
      </c>
      <c r="B108" t="s">
        <v>1234</v>
      </c>
    </row>
    <row r="109" spans="1:2" x14ac:dyDescent="0.3">
      <c r="A109" s="36">
        <v>40512917</v>
      </c>
      <c r="B109" t="s">
        <v>1234</v>
      </c>
    </row>
    <row r="110" spans="1:2" x14ac:dyDescent="0.3">
      <c r="A110" s="36">
        <v>33716348569</v>
      </c>
      <c r="B110" t="s">
        <v>1518</v>
      </c>
    </row>
    <row r="111" spans="1:2" x14ac:dyDescent="0.3">
      <c r="A111" s="36">
        <v>26162942</v>
      </c>
      <c r="B111" t="s">
        <v>1319</v>
      </c>
    </row>
    <row r="112" spans="1:2" x14ac:dyDescent="0.3">
      <c r="A112" s="36">
        <v>26162942</v>
      </c>
      <c r="B112" t="s">
        <v>1319</v>
      </c>
    </row>
    <row r="113" spans="1:2" x14ac:dyDescent="0.3">
      <c r="A113" s="36">
        <v>35969790</v>
      </c>
      <c r="B113" t="s">
        <v>1241</v>
      </c>
    </row>
    <row r="114" spans="1:2" x14ac:dyDescent="0.3">
      <c r="A114" s="36">
        <v>35969790</v>
      </c>
      <c r="B114" t="s">
        <v>1241</v>
      </c>
    </row>
    <row r="115" spans="1:2" x14ac:dyDescent="0.3">
      <c r="A115" s="36">
        <v>26272486</v>
      </c>
      <c r="B115" t="s">
        <v>1312</v>
      </c>
    </row>
    <row r="116" spans="1:2" x14ac:dyDescent="0.3">
      <c r="A116" s="36">
        <v>26272486</v>
      </c>
      <c r="B116" t="s">
        <v>1312</v>
      </c>
    </row>
    <row r="117" spans="1:2" x14ac:dyDescent="0.3">
      <c r="A117" s="36">
        <v>26272486</v>
      </c>
      <c r="B117" t="s">
        <v>1312</v>
      </c>
    </row>
    <row r="118" spans="1:2" x14ac:dyDescent="0.3">
      <c r="A118" s="36">
        <v>26272486</v>
      </c>
      <c r="B118" t="s">
        <v>1312</v>
      </c>
    </row>
    <row r="119" spans="1:2" x14ac:dyDescent="0.3">
      <c r="A119" s="36">
        <v>23277121859</v>
      </c>
      <c r="B119" t="s">
        <v>1424</v>
      </c>
    </row>
    <row r="120" spans="1:2" x14ac:dyDescent="0.3">
      <c r="A120" s="36">
        <v>23277121859</v>
      </c>
      <c r="B120" t="s">
        <v>1424</v>
      </c>
    </row>
    <row r="121" spans="1:2" x14ac:dyDescent="0.3">
      <c r="A121" s="36">
        <v>35041832</v>
      </c>
      <c r="B121" t="s">
        <v>1307</v>
      </c>
    </row>
    <row r="122" spans="1:2" x14ac:dyDescent="0.3">
      <c r="A122" s="36">
        <v>35041832</v>
      </c>
      <c r="B122" t="s">
        <v>1307</v>
      </c>
    </row>
    <row r="123" spans="1:2" x14ac:dyDescent="0.3">
      <c r="A123" s="36">
        <v>35041832</v>
      </c>
      <c r="B123" t="s">
        <v>1307</v>
      </c>
    </row>
    <row r="124" spans="1:2" x14ac:dyDescent="0.3">
      <c r="A124" s="36">
        <v>35041832</v>
      </c>
      <c r="B124" t="s">
        <v>1307</v>
      </c>
    </row>
    <row r="125" spans="1:2" x14ac:dyDescent="0.3">
      <c r="A125" s="36">
        <v>35041832</v>
      </c>
      <c r="B125" t="s">
        <v>1307</v>
      </c>
    </row>
    <row r="126" spans="1:2" x14ac:dyDescent="0.3">
      <c r="A126" s="36">
        <v>35041832</v>
      </c>
      <c r="B126" t="s">
        <v>1307</v>
      </c>
    </row>
    <row r="127" spans="1:2" x14ac:dyDescent="0.3">
      <c r="A127" s="36">
        <v>27309896063</v>
      </c>
      <c r="B127" t="s">
        <v>1386</v>
      </c>
    </row>
    <row r="128" spans="1:2" x14ac:dyDescent="0.3">
      <c r="A128" s="36">
        <v>27309896063</v>
      </c>
      <c r="B128" t="s">
        <v>1386</v>
      </c>
    </row>
    <row r="129" spans="1:3" x14ac:dyDescent="0.3">
      <c r="A129" s="36">
        <v>27409592487</v>
      </c>
      <c r="B129" t="s">
        <v>1151</v>
      </c>
    </row>
    <row r="130" spans="1:3" x14ac:dyDescent="0.3">
      <c r="A130" s="36">
        <v>27409592487</v>
      </c>
      <c r="B130" t="s">
        <v>1151</v>
      </c>
    </row>
    <row r="131" spans="1:3" x14ac:dyDescent="0.3">
      <c r="A131" s="36">
        <v>30715847023</v>
      </c>
      <c r="B131" t="s">
        <v>1532</v>
      </c>
    </row>
    <row r="132" spans="1:3" x14ac:dyDescent="0.3">
      <c r="A132" s="36">
        <v>26886918</v>
      </c>
      <c r="B132" t="s">
        <v>1262</v>
      </c>
    </row>
    <row r="133" spans="1:3" x14ac:dyDescent="0.3">
      <c r="A133" s="36">
        <v>26886918</v>
      </c>
      <c r="B133" t="s">
        <v>1262</v>
      </c>
    </row>
    <row r="134" spans="1:3" x14ac:dyDescent="0.3">
      <c r="A134" s="36">
        <v>27172834189</v>
      </c>
      <c r="B134" t="s">
        <v>1507</v>
      </c>
    </row>
    <row r="135" spans="1:3" x14ac:dyDescent="0.3">
      <c r="A135" s="36">
        <v>30644823276</v>
      </c>
      <c r="B135" t="s">
        <v>1524</v>
      </c>
    </row>
    <row r="136" spans="1:3" x14ac:dyDescent="0.3">
      <c r="A136" s="36">
        <v>23357502209</v>
      </c>
      <c r="B136" t="s">
        <v>1489</v>
      </c>
    </row>
    <row r="137" spans="1:3" x14ac:dyDescent="0.3">
      <c r="A137" s="36">
        <v>30711069360</v>
      </c>
      <c r="B137" t="s">
        <v>1558</v>
      </c>
    </row>
    <row r="138" spans="1:3" x14ac:dyDescent="0.3">
      <c r="A138" s="36">
        <v>27142831339</v>
      </c>
      <c r="B138" t="s">
        <v>1199</v>
      </c>
    </row>
    <row r="139" spans="1:3" x14ac:dyDescent="0.3">
      <c r="A139" s="36">
        <v>27142831339</v>
      </c>
      <c r="B139" t="s">
        <v>1199</v>
      </c>
    </row>
    <row r="140" spans="1:3" x14ac:dyDescent="0.3">
      <c r="A140" s="36">
        <v>30714012734</v>
      </c>
      <c r="B140" t="s">
        <v>1437</v>
      </c>
    </row>
    <row r="141" spans="1:3" x14ac:dyDescent="0.3">
      <c r="A141" s="36">
        <v>30714012734</v>
      </c>
      <c r="B141" t="s">
        <v>1437</v>
      </c>
    </row>
    <row r="142" spans="1:3" x14ac:dyDescent="0.3">
      <c r="A142" s="36">
        <v>26819759</v>
      </c>
      <c r="B142" t="s">
        <v>1258</v>
      </c>
    </row>
    <row r="143" spans="1:3" x14ac:dyDescent="0.3">
      <c r="A143" s="36">
        <v>26819759</v>
      </c>
      <c r="B143" t="s">
        <v>1258</v>
      </c>
    </row>
    <row r="144" spans="1:3" x14ac:dyDescent="0.3">
      <c r="A144" s="36">
        <v>33714677239</v>
      </c>
      <c r="B144" t="s">
        <v>1160</v>
      </c>
      <c r="C144" s="35" t="s">
        <v>1780</v>
      </c>
    </row>
    <row r="145" spans="1:4" x14ac:dyDescent="0.3">
      <c r="A145" s="36">
        <v>20086277523</v>
      </c>
      <c r="B145" t="s">
        <v>1446</v>
      </c>
      <c r="C145" s="35" t="s">
        <v>1788</v>
      </c>
      <c r="D145" t="s">
        <v>1779</v>
      </c>
    </row>
    <row r="146" spans="1:4" x14ac:dyDescent="0.3">
      <c r="A146" s="36">
        <v>20086277523</v>
      </c>
      <c r="B146" t="s">
        <v>1446</v>
      </c>
    </row>
    <row r="147" spans="1:4" x14ac:dyDescent="0.3">
      <c r="A147" s="36">
        <v>42117899</v>
      </c>
      <c r="B147" t="s">
        <v>1298</v>
      </c>
    </row>
    <row r="148" spans="1:4" x14ac:dyDescent="0.3">
      <c r="A148" s="36">
        <v>42117899</v>
      </c>
      <c r="B148" t="s">
        <v>1298</v>
      </c>
    </row>
    <row r="149" spans="1:4" x14ac:dyDescent="0.3">
      <c r="A149" s="36">
        <v>36373638</v>
      </c>
      <c r="B149" t="s">
        <v>1257</v>
      </c>
    </row>
    <row r="150" spans="1:4" x14ac:dyDescent="0.3">
      <c r="A150" s="36">
        <v>36373638</v>
      </c>
      <c r="B150" t="s">
        <v>1257</v>
      </c>
    </row>
    <row r="151" spans="1:4" x14ac:dyDescent="0.3">
      <c r="A151" s="36">
        <v>36373638</v>
      </c>
      <c r="B151" t="s">
        <v>1257</v>
      </c>
    </row>
    <row r="152" spans="1:4" x14ac:dyDescent="0.3">
      <c r="A152" s="36">
        <v>36373638</v>
      </c>
      <c r="B152" t="s">
        <v>1257</v>
      </c>
    </row>
    <row r="153" spans="1:4" x14ac:dyDescent="0.3">
      <c r="A153" s="36">
        <v>18800655</v>
      </c>
      <c r="B153" t="s">
        <v>1264</v>
      </c>
    </row>
    <row r="154" spans="1:4" x14ac:dyDescent="0.3">
      <c r="A154" s="36">
        <v>18800655</v>
      </c>
      <c r="B154" t="s">
        <v>1264</v>
      </c>
    </row>
    <row r="155" spans="1:4" x14ac:dyDescent="0.3">
      <c r="A155" s="36">
        <v>18800655</v>
      </c>
      <c r="B155" t="s">
        <v>1264</v>
      </c>
    </row>
    <row r="156" spans="1:4" x14ac:dyDescent="0.3">
      <c r="A156" s="36">
        <v>18800655</v>
      </c>
      <c r="B156" t="s">
        <v>1264</v>
      </c>
    </row>
    <row r="157" spans="1:4" x14ac:dyDescent="0.3">
      <c r="A157" s="36">
        <v>30716367432</v>
      </c>
      <c r="B157" t="s">
        <v>1553</v>
      </c>
    </row>
    <row r="158" spans="1:4" x14ac:dyDescent="0.3">
      <c r="A158" s="36">
        <v>11368071</v>
      </c>
      <c r="B158" t="s">
        <v>1260</v>
      </c>
    </row>
    <row r="159" spans="1:4" x14ac:dyDescent="0.3">
      <c r="A159" s="36">
        <v>11368071</v>
      </c>
      <c r="B159" t="s">
        <v>1260</v>
      </c>
    </row>
    <row r="160" spans="1:4" x14ac:dyDescent="0.3">
      <c r="A160" s="36">
        <v>11368071</v>
      </c>
      <c r="B160" t="s">
        <v>1260</v>
      </c>
    </row>
    <row r="161" spans="1:3" x14ac:dyDescent="0.3">
      <c r="A161" s="36">
        <v>11368071</v>
      </c>
      <c r="B161" t="s">
        <v>1260</v>
      </c>
    </row>
    <row r="162" spans="1:3" x14ac:dyDescent="0.3">
      <c r="A162" s="36">
        <v>11368071</v>
      </c>
      <c r="B162" t="s">
        <v>1260</v>
      </c>
    </row>
    <row r="163" spans="1:3" x14ac:dyDescent="0.3">
      <c r="A163" s="36">
        <v>11368071</v>
      </c>
      <c r="B163" t="s">
        <v>1260</v>
      </c>
    </row>
    <row r="164" spans="1:3" x14ac:dyDescent="0.3">
      <c r="A164" s="36">
        <v>33528637</v>
      </c>
      <c r="B164" t="s">
        <v>1352</v>
      </c>
    </row>
    <row r="165" spans="1:3" x14ac:dyDescent="0.3">
      <c r="A165" s="36">
        <v>33528637</v>
      </c>
      <c r="B165" t="s">
        <v>1352</v>
      </c>
    </row>
    <row r="166" spans="1:3" x14ac:dyDescent="0.3">
      <c r="A166" s="36">
        <v>34624335</v>
      </c>
      <c r="B166" t="s">
        <v>1206</v>
      </c>
    </row>
    <row r="167" spans="1:3" x14ac:dyDescent="0.3">
      <c r="A167" s="36">
        <v>94046946</v>
      </c>
      <c r="B167" t="s">
        <v>1245</v>
      </c>
    </row>
    <row r="168" spans="1:3" x14ac:dyDescent="0.3">
      <c r="A168" s="36">
        <v>17466985</v>
      </c>
      <c r="B168" t="s">
        <v>1230</v>
      </c>
    </row>
    <row r="169" spans="1:3" x14ac:dyDescent="0.3">
      <c r="A169" s="36">
        <v>17466985</v>
      </c>
      <c r="B169" t="s">
        <v>1230</v>
      </c>
    </row>
    <row r="170" spans="1:3" x14ac:dyDescent="0.3">
      <c r="A170" s="36">
        <v>33206249</v>
      </c>
      <c r="B170" t="s">
        <v>1261</v>
      </c>
    </row>
    <row r="171" spans="1:3" x14ac:dyDescent="0.3">
      <c r="A171" s="36">
        <v>33206249</v>
      </c>
      <c r="B171" t="s">
        <v>1261</v>
      </c>
    </row>
    <row r="172" spans="1:3" x14ac:dyDescent="0.3">
      <c r="A172" s="36">
        <v>31684880</v>
      </c>
      <c r="B172" t="s">
        <v>1250</v>
      </c>
    </row>
    <row r="173" spans="1:3" x14ac:dyDescent="0.3">
      <c r="A173" s="36">
        <v>31684880</v>
      </c>
      <c r="B173" t="s">
        <v>1250</v>
      </c>
    </row>
    <row r="174" spans="1:3" x14ac:dyDescent="0.3">
      <c r="A174" s="36">
        <v>32094010</v>
      </c>
      <c r="B174" t="s">
        <v>1243</v>
      </c>
    </row>
    <row r="175" spans="1:3" x14ac:dyDescent="0.3">
      <c r="A175" s="36">
        <v>32094010</v>
      </c>
      <c r="B175" t="s">
        <v>1243</v>
      </c>
    </row>
    <row r="176" spans="1:3" x14ac:dyDescent="0.3">
      <c r="A176" s="36">
        <v>23319210954</v>
      </c>
      <c r="B176" t="s">
        <v>1412</v>
      </c>
      <c r="C176" s="35" t="s">
        <v>1788</v>
      </c>
    </row>
    <row r="177" spans="1:2" x14ac:dyDescent="0.3">
      <c r="A177" s="36">
        <v>23319210954</v>
      </c>
      <c r="B177" t="s">
        <v>1412</v>
      </c>
    </row>
    <row r="178" spans="1:2" x14ac:dyDescent="0.3">
      <c r="A178" s="36">
        <v>27175380146</v>
      </c>
      <c r="B178" t="s">
        <v>1480</v>
      </c>
    </row>
    <row r="179" spans="1:2" x14ac:dyDescent="0.3">
      <c r="A179" s="36">
        <v>18039953</v>
      </c>
      <c r="B179" t="s">
        <v>1334</v>
      </c>
    </row>
    <row r="180" spans="1:2" x14ac:dyDescent="0.3">
      <c r="A180" s="36">
        <v>18039953</v>
      </c>
      <c r="B180" t="s">
        <v>1334</v>
      </c>
    </row>
    <row r="181" spans="1:2" x14ac:dyDescent="0.3">
      <c r="A181" s="36">
        <v>26843489</v>
      </c>
      <c r="B181" t="s">
        <v>1344</v>
      </c>
    </row>
    <row r="182" spans="1:2" x14ac:dyDescent="0.3">
      <c r="A182" s="36">
        <v>26843489</v>
      </c>
      <c r="B182" t="s">
        <v>1344</v>
      </c>
    </row>
    <row r="183" spans="1:2" x14ac:dyDescent="0.3">
      <c r="A183" s="36">
        <v>30709163503</v>
      </c>
      <c r="B183" t="s">
        <v>1460</v>
      </c>
    </row>
    <row r="184" spans="1:2" x14ac:dyDescent="0.3">
      <c r="A184" s="36">
        <v>30709163503</v>
      </c>
      <c r="B184" t="s">
        <v>1460</v>
      </c>
    </row>
    <row r="185" spans="1:2" x14ac:dyDescent="0.3">
      <c r="A185" s="36">
        <v>12980812</v>
      </c>
      <c r="B185" t="s">
        <v>1357</v>
      </c>
    </row>
    <row r="186" spans="1:2" x14ac:dyDescent="0.3">
      <c r="A186" s="36">
        <v>12980812</v>
      </c>
      <c r="B186" t="s">
        <v>1357</v>
      </c>
    </row>
    <row r="187" spans="1:2" x14ac:dyDescent="0.3">
      <c r="A187" s="36">
        <v>31508290</v>
      </c>
      <c r="B187" t="s">
        <v>1238</v>
      </c>
    </row>
    <row r="188" spans="1:2" x14ac:dyDescent="0.3">
      <c r="A188" s="36">
        <v>31508290</v>
      </c>
      <c r="B188" t="s">
        <v>1238</v>
      </c>
    </row>
    <row r="189" spans="1:2" x14ac:dyDescent="0.3">
      <c r="A189" s="36">
        <v>31508290</v>
      </c>
      <c r="B189" t="s">
        <v>1238</v>
      </c>
    </row>
    <row r="190" spans="1:2" x14ac:dyDescent="0.3">
      <c r="A190" s="36">
        <v>31508290</v>
      </c>
      <c r="B190" t="s">
        <v>1238</v>
      </c>
    </row>
    <row r="191" spans="1:2" x14ac:dyDescent="0.3">
      <c r="A191" s="36">
        <v>30716654105</v>
      </c>
      <c r="B191" t="s">
        <v>1398</v>
      </c>
    </row>
    <row r="192" spans="1:2" x14ac:dyDescent="0.3">
      <c r="A192" s="36">
        <v>30716654105</v>
      </c>
      <c r="B192" t="s">
        <v>1398</v>
      </c>
    </row>
    <row r="193" spans="1:3" x14ac:dyDescent="0.3">
      <c r="A193" s="36">
        <v>22209881</v>
      </c>
      <c r="B193" t="s">
        <v>1252</v>
      </c>
    </row>
    <row r="194" spans="1:3" x14ac:dyDescent="0.3">
      <c r="A194" s="36">
        <v>22209881</v>
      </c>
      <c r="B194" t="s">
        <v>1252</v>
      </c>
    </row>
    <row r="195" spans="1:3" x14ac:dyDescent="0.3">
      <c r="A195" s="268">
        <v>27422248426</v>
      </c>
      <c r="B195" t="s">
        <v>1410</v>
      </c>
    </row>
    <row r="196" spans="1:3" x14ac:dyDescent="0.3">
      <c r="A196" s="36">
        <v>27422248426</v>
      </c>
      <c r="B196" t="s">
        <v>1410</v>
      </c>
    </row>
    <row r="197" spans="1:3" x14ac:dyDescent="0.3">
      <c r="A197" s="36">
        <v>27280796552</v>
      </c>
      <c r="B197" t="s">
        <v>1461</v>
      </c>
    </row>
    <row r="198" spans="1:3" x14ac:dyDescent="0.3">
      <c r="A198" s="36">
        <v>27280796552</v>
      </c>
      <c r="B198" t="s">
        <v>1461</v>
      </c>
    </row>
    <row r="199" spans="1:3" x14ac:dyDescent="0.3">
      <c r="A199" s="36">
        <v>43018540</v>
      </c>
      <c r="B199" t="s">
        <v>1202</v>
      </c>
    </row>
    <row r="200" spans="1:3" x14ac:dyDescent="0.3">
      <c r="A200" s="36">
        <v>43018540</v>
      </c>
      <c r="B200" t="s">
        <v>1202</v>
      </c>
    </row>
    <row r="201" spans="1:3" x14ac:dyDescent="0.3">
      <c r="A201" s="36">
        <v>43018540</v>
      </c>
      <c r="B201" t="s">
        <v>1202</v>
      </c>
    </row>
    <row r="202" spans="1:3" x14ac:dyDescent="0.3">
      <c r="A202" s="36">
        <v>43018540</v>
      </c>
      <c r="B202" t="s">
        <v>1202</v>
      </c>
    </row>
    <row r="203" spans="1:3" x14ac:dyDescent="0.3">
      <c r="A203" s="36">
        <v>20176922363</v>
      </c>
      <c r="B203" t="s">
        <v>1544</v>
      </c>
    </row>
    <row r="204" spans="1:3" x14ac:dyDescent="0.3">
      <c r="A204" s="44">
        <v>30590360763</v>
      </c>
      <c r="B204" t="s">
        <v>1519</v>
      </c>
      <c r="C204" s="35" t="s">
        <v>79</v>
      </c>
    </row>
    <row r="205" spans="1:3" x14ac:dyDescent="0.3">
      <c r="A205" s="36">
        <v>30541213860</v>
      </c>
      <c r="B205" t="s">
        <v>1503</v>
      </c>
    </row>
    <row r="206" spans="1:3" x14ac:dyDescent="0.3">
      <c r="A206" s="36">
        <v>27327364567</v>
      </c>
      <c r="B206" t="s">
        <v>1190</v>
      </c>
    </row>
    <row r="207" spans="1:3" x14ac:dyDescent="0.3">
      <c r="A207" s="36">
        <v>27327364567</v>
      </c>
      <c r="B207" t="s">
        <v>1190</v>
      </c>
    </row>
    <row r="208" spans="1:3" x14ac:dyDescent="0.3">
      <c r="A208" s="36">
        <v>20131206144</v>
      </c>
      <c r="B208" t="s">
        <v>1132</v>
      </c>
      <c r="C208" s="35" t="s">
        <v>87</v>
      </c>
    </row>
    <row r="209" spans="1:4" x14ac:dyDescent="0.3">
      <c r="A209" s="36">
        <v>20131206144</v>
      </c>
      <c r="B209" t="s">
        <v>1132</v>
      </c>
      <c r="C209" s="35" t="s">
        <v>87</v>
      </c>
    </row>
    <row r="210" spans="1:4" x14ac:dyDescent="0.3">
      <c r="A210" s="36">
        <v>30647082293</v>
      </c>
      <c r="B210" t="s">
        <v>1580</v>
      </c>
      <c r="C210" s="35" t="s">
        <v>1581</v>
      </c>
    </row>
    <row r="211" spans="1:4" x14ac:dyDescent="0.3">
      <c r="A211" s="36">
        <v>30716010739</v>
      </c>
      <c r="B211" t="s">
        <v>1526</v>
      </c>
    </row>
    <row r="212" spans="1:4" x14ac:dyDescent="0.3">
      <c r="A212" s="36">
        <v>36291697</v>
      </c>
      <c r="B212" t="s">
        <v>1214</v>
      </c>
    </row>
    <row r="213" spans="1:4" x14ac:dyDescent="0.3">
      <c r="A213" s="36">
        <v>36291697</v>
      </c>
      <c r="B213" t="s">
        <v>1214</v>
      </c>
    </row>
    <row r="214" spans="1:4" x14ac:dyDescent="0.3">
      <c r="A214" s="36">
        <v>30715124919</v>
      </c>
      <c r="B214" t="s">
        <v>1436</v>
      </c>
    </row>
    <row r="215" spans="1:4" x14ac:dyDescent="0.3">
      <c r="A215" s="36">
        <v>30715124919</v>
      </c>
      <c r="B215" t="s">
        <v>1436</v>
      </c>
    </row>
    <row r="216" spans="1:4" x14ac:dyDescent="0.3">
      <c r="A216" s="36">
        <v>30574603788</v>
      </c>
      <c r="B216" t="s">
        <v>1364</v>
      </c>
      <c r="C216" s="35" t="s">
        <v>1900</v>
      </c>
      <c r="D216" t="s">
        <v>1782</v>
      </c>
    </row>
    <row r="217" spans="1:4" x14ac:dyDescent="0.3">
      <c r="A217" s="36">
        <v>30716160889</v>
      </c>
      <c r="B217" t="s">
        <v>1143</v>
      </c>
    </row>
    <row r="218" spans="1:4" x14ac:dyDescent="0.3">
      <c r="A218" s="36">
        <v>17834265</v>
      </c>
      <c r="B218" t="s">
        <v>1220</v>
      </c>
    </row>
    <row r="219" spans="1:4" x14ac:dyDescent="0.3">
      <c r="A219" s="36">
        <v>17834265</v>
      </c>
      <c r="B219" t="s">
        <v>1220</v>
      </c>
    </row>
    <row r="220" spans="1:4" x14ac:dyDescent="0.3">
      <c r="A220" s="36">
        <v>30577207190</v>
      </c>
      <c r="B220" t="s">
        <v>1407</v>
      </c>
    </row>
    <row r="221" spans="1:4" x14ac:dyDescent="0.3">
      <c r="A221" s="36">
        <v>30717219232</v>
      </c>
      <c r="B221" t="s">
        <v>1538</v>
      </c>
    </row>
    <row r="222" spans="1:4" x14ac:dyDescent="0.3">
      <c r="A222" s="36">
        <v>22333444</v>
      </c>
      <c r="B222" t="s">
        <v>1269</v>
      </c>
    </row>
    <row r="223" spans="1:4" x14ac:dyDescent="0.3">
      <c r="A223" s="36">
        <v>22333444</v>
      </c>
      <c r="B223" t="s">
        <v>1269</v>
      </c>
    </row>
    <row r="224" spans="1:4" x14ac:dyDescent="0.3">
      <c r="A224" s="36">
        <v>30715804812</v>
      </c>
      <c r="B224" t="s">
        <v>1409</v>
      </c>
    </row>
    <row r="225" spans="1:3" x14ac:dyDescent="0.3">
      <c r="A225" s="36">
        <v>30715804812</v>
      </c>
      <c r="B225" t="s">
        <v>1409</v>
      </c>
    </row>
    <row r="226" spans="1:3" x14ac:dyDescent="0.3">
      <c r="A226" s="36">
        <v>30708574836</v>
      </c>
      <c r="B226" t="s">
        <v>1378</v>
      </c>
      <c r="C226" s="35" t="s">
        <v>1904</v>
      </c>
    </row>
    <row r="227" spans="1:3" x14ac:dyDescent="0.3">
      <c r="A227" s="36">
        <v>30708574836</v>
      </c>
      <c r="B227" t="s">
        <v>1378</v>
      </c>
    </row>
    <row r="228" spans="1:3" x14ac:dyDescent="0.3">
      <c r="A228" s="36">
        <v>30548083156</v>
      </c>
      <c r="B228" t="s">
        <v>1379</v>
      </c>
      <c r="C228" s="35" t="s">
        <v>1901</v>
      </c>
    </row>
    <row r="229" spans="1:3" x14ac:dyDescent="0.3">
      <c r="A229" s="36">
        <v>33662613199</v>
      </c>
      <c r="B229" t="s">
        <v>1383</v>
      </c>
    </row>
    <row r="230" spans="1:3" x14ac:dyDescent="0.3">
      <c r="A230" s="36">
        <v>33662613199</v>
      </c>
      <c r="B230" t="s">
        <v>1383</v>
      </c>
    </row>
    <row r="231" spans="1:3" x14ac:dyDescent="0.3">
      <c r="A231" s="36">
        <v>40423390</v>
      </c>
      <c r="B231" t="s">
        <v>1323</v>
      </c>
    </row>
    <row r="232" spans="1:3" x14ac:dyDescent="0.3">
      <c r="A232" s="36">
        <v>40423390</v>
      </c>
      <c r="B232" t="s">
        <v>1323</v>
      </c>
    </row>
    <row r="233" spans="1:3" x14ac:dyDescent="0.3">
      <c r="A233" s="36">
        <v>30633139144</v>
      </c>
      <c r="B233" t="s">
        <v>1566</v>
      </c>
    </row>
    <row r="234" spans="1:3" x14ac:dyDescent="0.3">
      <c r="A234" s="36">
        <v>23134689</v>
      </c>
      <c r="B234" t="s">
        <v>1246</v>
      </c>
    </row>
    <row r="235" spans="1:3" x14ac:dyDescent="0.3">
      <c r="A235" s="36">
        <v>23134689</v>
      </c>
      <c r="B235" t="s">
        <v>1246</v>
      </c>
    </row>
    <row r="236" spans="1:3" x14ac:dyDescent="0.3">
      <c r="A236" s="36">
        <v>23134689</v>
      </c>
      <c r="B236" t="s">
        <v>1246</v>
      </c>
    </row>
    <row r="237" spans="1:3" x14ac:dyDescent="0.3">
      <c r="A237" s="36">
        <v>23134689</v>
      </c>
      <c r="B237" t="s">
        <v>1246</v>
      </c>
    </row>
    <row r="238" spans="1:3" x14ac:dyDescent="0.3">
      <c r="A238" s="36">
        <v>23134689</v>
      </c>
      <c r="B238" t="s">
        <v>1246</v>
      </c>
    </row>
    <row r="239" spans="1:3" x14ac:dyDescent="0.3">
      <c r="A239" s="36">
        <v>23134689</v>
      </c>
      <c r="B239" t="s">
        <v>1246</v>
      </c>
    </row>
    <row r="240" spans="1:3" x14ac:dyDescent="0.3">
      <c r="A240" s="36">
        <v>20206005042</v>
      </c>
      <c r="B240" t="s">
        <v>1470</v>
      </c>
    </row>
    <row r="241" spans="1:4" x14ac:dyDescent="0.3">
      <c r="A241" s="36">
        <v>20206005042</v>
      </c>
      <c r="B241" t="s">
        <v>1470</v>
      </c>
    </row>
    <row r="242" spans="1:4" x14ac:dyDescent="0.3">
      <c r="A242" s="36">
        <v>32461525</v>
      </c>
      <c r="B242" t="s">
        <v>1292</v>
      </c>
    </row>
    <row r="243" spans="1:4" x14ac:dyDescent="0.3">
      <c r="A243" s="36">
        <v>32461525</v>
      </c>
      <c r="B243" t="s">
        <v>1292</v>
      </c>
    </row>
    <row r="244" spans="1:4" x14ac:dyDescent="0.3">
      <c r="A244" s="36">
        <v>23168212429</v>
      </c>
      <c r="B244" t="s">
        <v>1525</v>
      </c>
    </row>
    <row r="245" spans="1:4" x14ac:dyDescent="0.3">
      <c r="A245" s="36">
        <v>37034742</v>
      </c>
      <c r="B245" t="s">
        <v>1325</v>
      </c>
    </row>
    <row r="246" spans="1:4" x14ac:dyDescent="0.3">
      <c r="A246" s="36">
        <v>37034742</v>
      </c>
      <c r="B246" t="s">
        <v>1325</v>
      </c>
    </row>
    <row r="247" spans="1:4" x14ac:dyDescent="0.3">
      <c r="A247" s="36">
        <v>23782857</v>
      </c>
      <c r="B247" t="s">
        <v>1251</v>
      </c>
    </row>
    <row r="248" spans="1:4" x14ac:dyDescent="0.3">
      <c r="A248" s="36">
        <v>23782857</v>
      </c>
      <c r="B248" t="s">
        <v>1251</v>
      </c>
    </row>
    <row r="249" spans="1:4" x14ac:dyDescent="0.3">
      <c r="A249" s="36">
        <v>20938867179</v>
      </c>
      <c r="B249" t="s">
        <v>1564</v>
      </c>
    </row>
    <row r="250" spans="1:4" x14ac:dyDescent="0.3">
      <c r="A250" s="36">
        <v>5150827</v>
      </c>
      <c r="B250" t="s">
        <v>1332</v>
      </c>
    </row>
    <row r="251" spans="1:4" x14ac:dyDescent="0.3">
      <c r="A251" s="36">
        <v>5150827</v>
      </c>
      <c r="B251" t="s">
        <v>1332</v>
      </c>
    </row>
    <row r="252" spans="1:4" x14ac:dyDescent="0.3">
      <c r="A252" s="36">
        <v>30516186670</v>
      </c>
      <c r="B252" t="s">
        <v>1180</v>
      </c>
      <c r="C252" s="35" t="s">
        <v>44</v>
      </c>
      <c r="D252" t="s">
        <v>1779</v>
      </c>
    </row>
    <row r="253" spans="1:4" x14ac:dyDescent="0.3">
      <c r="A253" s="36">
        <v>20403969886</v>
      </c>
      <c r="B253" t="s">
        <v>1545</v>
      </c>
    </row>
    <row r="254" spans="1:4" x14ac:dyDescent="0.3">
      <c r="A254" s="36">
        <v>30699166673</v>
      </c>
      <c r="B254" t="s">
        <v>1551</v>
      </c>
    </row>
    <row r="255" spans="1:4" x14ac:dyDescent="0.3">
      <c r="A255" s="36">
        <v>27047880241</v>
      </c>
      <c r="B255" t="s">
        <v>1494</v>
      </c>
    </row>
    <row r="256" spans="1:4" x14ac:dyDescent="0.3">
      <c r="A256" s="36">
        <v>30717072592</v>
      </c>
      <c r="B256" t="s">
        <v>1508</v>
      </c>
    </row>
    <row r="257" spans="1:2" x14ac:dyDescent="0.3">
      <c r="A257" s="36">
        <v>30701307115</v>
      </c>
      <c r="B257" t="s">
        <v>1438</v>
      </c>
    </row>
    <row r="258" spans="1:2" x14ac:dyDescent="0.3">
      <c r="A258" s="36">
        <v>30701307115</v>
      </c>
      <c r="B258" t="s">
        <v>1438</v>
      </c>
    </row>
    <row r="259" spans="1:2" x14ac:dyDescent="0.3">
      <c r="A259" s="36">
        <v>23206465</v>
      </c>
      <c r="B259" t="s">
        <v>1229</v>
      </c>
    </row>
    <row r="260" spans="1:2" x14ac:dyDescent="0.3">
      <c r="A260" s="36">
        <v>33640878679</v>
      </c>
      <c r="B260" t="s">
        <v>1371</v>
      </c>
    </row>
    <row r="261" spans="1:2" x14ac:dyDescent="0.3">
      <c r="A261" s="36">
        <v>33640878679</v>
      </c>
      <c r="B261" t="s">
        <v>1371</v>
      </c>
    </row>
    <row r="262" spans="1:2" x14ac:dyDescent="0.3">
      <c r="A262" s="36">
        <v>33640878679</v>
      </c>
      <c r="B262" t="s">
        <v>1161</v>
      </c>
    </row>
    <row r="263" spans="1:2" x14ac:dyDescent="0.3">
      <c r="A263" s="36">
        <v>33640878679</v>
      </c>
      <c r="B263" t="s">
        <v>1161</v>
      </c>
    </row>
    <row r="264" spans="1:2" x14ac:dyDescent="0.3">
      <c r="A264" s="36">
        <v>33640878679</v>
      </c>
      <c r="B264" t="s">
        <v>1161</v>
      </c>
    </row>
    <row r="265" spans="1:2" x14ac:dyDescent="0.3">
      <c r="A265" s="36">
        <v>33640878679</v>
      </c>
      <c r="B265" t="s">
        <v>1161</v>
      </c>
    </row>
    <row r="266" spans="1:2" x14ac:dyDescent="0.3">
      <c r="A266" s="36">
        <v>12737020</v>
      </c>
      <c r="B266" t="s">
        <v>1331</v>
      </c>
    </row>
    <row r="267" spans="1:2" x14ac:dyDescent="0.3">
      <c r="A267" s="36">
        <v>12737020</v>
      </c>
      <c r="B267" t="s">
        <v>1331</v>
      </c>
    </row>
    <row r="268" spans="1:2" x14ac:dyDescent="0.3">
      <c r="A268" s="36">
        <v>26818017</v>
      </c>
      <c r="B268" t="s">
        <v>1205</v>
      </c>
    </row>
    <row r="269" spans="1:2" x14ac:dyDescent="0.3">
      <c r="A269" s="36">
        <v>26818017</v>
      </c>
      <c r="B269" t="s">
        <v>1205</v>
      </c>
    </row>
    <row r="270" spans="1:2" x14ac:dyDescent="0.3">
      <c r="A270" s="36">
        <v>28573689</v>
      </c>
      <c r="B270" t="s">
        <v>1303</v>
      </c>
    </row>
    <row r="271" spans="1:2" x14ac:dyDescent="0.3">
      <c r="A271" s="36">
        <v>28573689</v>
      </c>
      <c r="B271" t="s">
        <v>1303</v>
      </c>
    </row>
    <row r="272" spans="1:2" x14ac:dyDescent="0.3">
      <c r="A272" s="36">
        <v>30685849751</v>
      </c>
      <c r="B272" t="s">
        <v>1366</v>
      </c>
    </row>
    <row r="273" spans="1:2" x14ac:dyDescent="0.3">
      <c r="A273" s="36">
        <v>30685849751</v>
      </c>
      <c r="B273" t="s">
        <v>1366</v>
      </c>
    </row>
    <row r="274" spans="1:2" x14ac:dyDescent="0.3">
      <c r="A274" s="36">
        <v>31245859</v>
      </c>
      <c r="B274" t="s">
        <v>1346</v>
      </c>
    </row>
    <row r="275" spans="1:2" x14ac:dyDescent="0.3">
      <c r="A275" s="36">
        <v>31245859</v>
      </c>
      <c r="B275" t="s">
        <v>1346</v>
      </c>
    </row>
    <row r="276" spans="1:2" x14ac:dyDescent="0.3">
      <c r="A276" s="36">
        <v>30714618977</v>
      </c>
      <c r="B276" t="s">
        <v>1542</v>
      </c>
    </row>
    <row r="277" spans="1:2" x14ac:dyDescent="0.3">
      <c r="A277" s="36">
        <v>23127284369</v>
      </c>
      <c r="B277" t="s">
        <v>1162</v>
      </c>
    </row>
    <row r="278" spans="1:2" x14ac:dyDescent="0.3">
      <c r="A278" s="36">
        <v>23127284369</v>
      </c>
      <c r="B278" t="s">
        <v>1162</v>
      </c>
    </row>
    <row r="279" spans="1:2" x14ac:dyDescent="0.3">
      <c r="A279" s="36">
        <v>30910546</v>
      </c>
      <c r="B279" t="s">
        <v>1247</v>
      </c>
    </row>
    <row r="280" spans="1:2" x14ac:dyDescent="0.3">
      <c r="A280" s="36">
        <v>30910546</v>
      </c>
      <c r="B280" t="s">
        <v>1247</v>
      </c>
    </row>
    <row r="281" spans="1:2" x14ac:dyDescent="0.3">
      <c r="A281" s="36">
        <v>30714082066</v>
      </c>
      <c r="B281" t="s">
        <v>1560</v>
      </c>
    </row>
    <row r="282" spans="1:2" x14ac:dyDescent="0.3">
      <c r="A282" s="36">
        <v>30708247770</v>
      </c>
      <c r="B282" t="s">
        <v>1535</v>
      </c>
    </row>
    <row r="283" spans="1:2" x14ac:dyDescent="0.3">
      <c r="A283" s="36">
        <v>30655116202</v>
      </c>
      <c r="B283" t="s">
        <v>1179</v>
      </c>
    </row>
    <row r="284" spans="1:2" x14ac:dyDescent="0.3">
      <c r="A284" s="36">
        <v>30655116202</v>
      </c>
      <c r="B284" t="s">
        <v>1179</v>
      </c>
    </row>
    <row r="285" spans="1:2" x14ac:dyDescent="0.3">
      <c r="A285" s="36">
        <v>30616146447</v>
      </c>
      <c r="B285" t="s">
        <v>1537</v>
      </c>
    </row>
    <row r="286" spans="1:2" x14ac:dyDescent="0.3">
      <c r="A286" s="36">
        <v>30710819552</v>
      </c>
      <c r="B286" t="s">
        <v>1400</v>
      </c>
    </row>
    <row r="287" spans="1:2" x14ac:dyDescent="0.3">
      <c r="A287" s="36">
        <v>30710819552</v>
      </c>
      <c r="B287" t="s">
        <v>1400</v>
      </c>
    </row>
    <row r="288" spans="1:2" x14ac:dyDescent="0.3">
      <c r="A288" s="36">
        <v>30551016117</v>
      </c>
      <c r="B288" t="s">
        <v>1418</v>
      </c>
    </row>
    <row r="289" spans="1:3" x14ac:dyDescent="0.3">
      <c r="A289" s="36">
        <v>30551016117</v>
      </c>
      <c r="B289" t="s">
        <v>1418</v>
      </c>
    </row>
    <row r="290" spans="1:3" x14ac:dyDescent="0.3">
      <c r="A290" s="36">
        <v>30707838260</v>
      </c>
      <c r="B290" t="s">
        <v>1397</v>
      </c>
    </row>
    <row r="291" spans="1:3" x14ac:dyDescent="0.3">
      <c r="A291" s="36">
        <v>30707838260</v>
      </c>
      <c r="B291" t="s">
        <v>1397</v>
      </c>
    </row>
    <row r="292" spans="1:3" x14ac:dyDescent="0.3">
      <c r="A292" s="36">
        <v>30610474604</v>
      </c>
      <c r="B292" t="s">
        <v>1554</v>
      </c>
    </row>
    <row r="293" spans="1:3" x14ac:dyDescent="0.3">
      <c r="A293" s="36">
        <v>30709131865</v>
      </c>
      <c r="B293" t="s">
        <v>1528</v>
      </c>
    </row>
    <row r="294" spans="1:3" x14ac:dyDescent="0.3">
      <c r="A294" s="36">
        <v>30655116512</v>
      </c>
      <c r="B294" t="s">
        <v>1170</v>
      </c>
    </row>
    <row r="295" spans="1:3" x14ac:dyDescent="0.3">
      <c r="A295" s="36">
        <v>30655116512</v>
      </c>
      <c r="B295" t="s">
        <v>1170</v>
      </c>
    </row>
    <row r="296" spans="1:3" x14ac:dyDescent="0.3">
      <c r="A296" s="36">
        <v>30655116512</v>
      </c>
      <c r="B296" t="s">
        <v>1170</v>
      </c>
    </row>
    <row r="297" spans="1:3" x14ac:dyDescent="0.3">
      <c r="A297" s="36">
        <v>30655116512</v>
      </c>
      <c r="B297" t="s">
        <v>1170</v>
      </c>
    </row>
    <row r="298" spans="1:3" x14ac:dyDescent="0.3">
      <c r="A298" s="36">
        <v>23234730959</v>
      </c>
      <c r="B298" t="s">
        <v>1423</v>
      </c>
      <c r="C298" s="35" t="s">
        <v>123</v>
      </c>
    </row>
    <row r="299" spans="1:3" x14ac:dyDescent="0.3">
      <c r="A299" s="36">
        <v>23234730959</v>
      </c>
      <c r="B299" t="s">
        <v>1423</v>
      </c>
      <c r="C299" s="35" t="s">
        <v>123</v>
      </c>
    </row>
    <row r="300" spans="1:3" x14ac:dyDescent="0.3">
      <c r="A300" s="36">
        <v>30714284963</v>
      </c>
      <c r="B300" t="s">
        <v>1433</v>
      </c>
    </row>
    <row r="301" spans="1:3" x14ac:dyDescent="0.3">
      <c r="A301" s="36">
        <v>30714284963</v>
      </c>
      <c r="B301" t="s">
        <v>1433</v>
      </c>
    </row>
    <row r="302" spans="1:3" x14ac:dyDescent="0.3">
      <c r="A302" s="36">
        <v>30710446047</v>
      </c>
      <c r="B302" t="s">
        <v>1169</v>
      </c>
    </row>
    <row r="303" spans="1:3" x14ac:dyDescent="0.3">
      <c r="A303" s="36">
        <v>30710446047</v>
      </c>
      <c r="B303" t="s">
        <v>1169</v>
      </c>
    </row>
    <row r="304" spans="1:3" x14ac:dyDescent="0.3">
      <c r="A304" s="36">
        <v>30710446047</v>
      </c>
      <c r="B304" t="s">
        <v>1169</v>
      </c>
    </row>
    <row r="305" spans="1:2" x14ac:dyDescent="0.3">
      <c r="A305" s="36">
        <v>30710446047</v>
      </c>
      <c r="B305" t="s">
        <v>1169</v>
      </c>
    </row>
    <row r="306" spans="1:2" x14ac:dyDescent="0.3">
      <c r="A306" s="36">
        <v>30710446047</v>
      </c>
      <c r="B306" t="s">
        <v>1169</v>
      </c>
    </row>
    <row r="307" spans="1:2" x14ac:dyDescent="0.3">
      <c r="A307" s="36">
        <v>30710446047</v>
      </c>
      <c r="B307" t="s">
        <v>1169</v>
      </c>
    </row>
    <row r="308" spans="1:2" x14ac:dyDescent="0.3">
      <c r="A308" s="36">
        <v>20120844386</v>
      </c>
      <c r="B308" t="s">
        <v>1512</v>
      </c>
    </row>
    <row r="309" spans="1:2" x14ac:dyDescent="0.3">
      <c r="A309" s="36">
        <v>20022890</v>
      </c>
      <c r="B309" t="s">
        <v>1267</v>
      </c>
    </row>
    <row r="310" spans="1:2" x14ac:dyDescent="0.3">
      <c r="A310" s="36">
        <v>20022890</v>
      </c>
      <c r="B310" t="s">
        <v>1267</v>
      </c>
    </row>
    <row r="311" spans="1:2" x14ac:dyDescent="0.3">
      <c r="A311" s="36">
        <v>3942773277</v>
      </c>
      <c r="B311" t="s">
        <v>1328</v>
      </c>
    </row>
    <row r="312" spans="1:2" x14ac:dyDescent="0.3">
      <c r="A312" s="36">
        <v>3942773277</v>
      </c>
      <c r="B312" t="s">
        <v>1328</v>
      </c>
    </row>
    <row r="313" spans="1:2" x14ac:dyDescent="0.3">
      <c r="A313" s="36">
        <v>27280036698</v>
      </c>
      <c r="B313" t="s">
        <v>1198</v>
      </c>
    </row>
    <row r="314" spans="1:2" x14ac:dyDescent="0.3">
      <c r="A314" s="36">
        <v>27280036698</v>
      </c>
      <c r="B314" t="s">
        <v>1198</v>
      </c>
    </row>
    <row r="315" spans="1:2" x14ac:dyDescent="0.3">
      <c r="A315" s="36">
        <v>20397562469</v>
      </c>
      <c r="B315" t="s">
        <v>1574</v>
      </c>
    </row>
    <row r="316" spans="1:2" x14ac:dyDescent="0.3">
      <c r="A316" s="36">
        <v>36740584</v>
      </c>
      <c r="B316" t="s">
        <v>1235</v>
      </c>
    </row>
    <row r="317" spans="1:2" x14ac:dyDescent="0.3">
      <c r="A317" s="36">
        <v>36740584</v>
      </c>
      <c r="B317" t="s">
        <v>1235</v>
      </c>
    </row>
    <row r="318" spans="1:2" x14ac:dyDescent="0.3">
      <c r="A318" s="36">
        <v>36740584</v>
      </c>
      <c r="B318" t="s">
        <v>1235</v>
      </c>
    </row>
    <row r="319" spans="1:2" x14ac:dyDescent="0.3">
      <c r="A319" s="36">
        <v>36740584</v>
      </c>
      <c r="B319" t="s">
        <v>1235</v>
      </c>
    </row>
    <row r="320" spans="1:2" x14ac:dyDescent="0.3">
      <c r="A320" s="36">
        <v>36740584</v>
      </c>
      <c r="B320" t="s">
        <v>1235</v>
      </c>
    </row>
    <row r="321" spans="1:4" x14ac:dyDescent="0.3">
      <c r="A321" s="36">
        <v>36740584</v>
      </c>
      <c r="B321" t="s">
        <v>1235</v>
      </c>
    </row>
    <row r="322" spans="1:4" x14ac:dyDescent="0.3">
      <c r="A322" s="36">
        <v>36740584</v>
      </c>
      <c r="B322" t="s">
        <v>1235</v>
      </c>
    </row>
    <row r="323" spans="1:4" x14ac:dyDescent="0.3">
      <c r="A323" s="36">
        <v>36740584</v>
      </c>
      <c r="B323" t="s">
        <v>1235</v>
      </c>
    </row>
    <row r="324" spans="1:4" x14ac:dyDescent="0.3">
      <c r="A324" s="36">
        <v>34651132</v>
      </c>
      <c r="B324" t="s">
        <v>1308</v>
      </c>
    </row>
    <row r="325" spans="1:4" x14ac:dyDescent="0.3">
      <c r="A325" s="36">
        <v>34651132</v>
      </c>
      <c r="B325" t="s">
        <v>1308</v>
      </c>
    </row>
    <row r="326" spans="1:4" x14ac:dyDescent="0.3">
      <c r="A326" s="36">
        <v>30712104550</v>
      </c>
      <c r="B326" t="s">
        <v>1196</v>
      </c>
    </row>
    <row r="327" spans="1:4" x14ac:dyDescent="0.3">
      <c r="A327" s="36">
        <v>30712104550</v>
      </c>
      <c r="B327" t="s">
        <v>1196</v>
      </c>
    </row>
    <row r="328" spans="1:4" x14ac:dyDescent="0.3">
      <c r="A328" s="36">
        <v>30712104550</v>
      </c>
      <c r="B328" t="s">
        <v>1196</v>
      </c>
    </row>
    <row r="329" spans="1:4" x14ac:dyDescent="0.3">
      <c r="A329" s="36">
        <v>30712104550</v>
      </c>
      <c r="B329" t="s">
        <v>1196</v>
      </c>
    </row>
    <row r="330" spans="1:4" x14ac:dyDescent="0.3">
      <c r="A330" s="36">
        <v>30715023497</v>
      </c>
      <c r="B330" t="s">
        <v>1569</v>
      </c>
    </row>
    <row r="331" spans="1:4" x14ac:dyDescent="0.3">
      <c r="A331" s="36">
        <v>30715889486</v>
      </c>
      <c r="B331" t="s">
        <v>1144</v>
      </c>
      <c r="C331" s="35" t="s">
        <v>1583</v>
      </c>
      <c r="D331" t="s">
        <v>1782</v>
      </c>
    </row>
    <row r="332" spans="1:4" x14ac:dyDescent="0.3">
      <c r="A332" s="36">
        <v>30715889486</v>
      </c>
      <c r="B332" t="s">
        <v>1187</v>
      </c>
    </row>
    <row r="333" spans="1:4" x14ac:dyDescent="0.3">
      <c r="A333" s="36">
        <v>30715889486</v>
      </c>
      <c r="B333" t="s">
        <v>1144</v>
      </c>
    </row>
    <row r="334" spans="1:4" x14ac:dyDescent="0.3">
      <c r="A334" s="36">
        <v>30715889486</v>
      </c>
      <c r="B334" t="s">
        <v>1144</v>
      </c>
    </row>
    <row r="335" spans="1:4" x14ac:dyDescent="0.3">
      <c r="A335" s="36">
        <v>30715889486</v>
      </c>
      <c r="B335" t="s">
        <v>1187</v>
      </c>
    </row>
    <row r="336" spans="1:4" x14ac:dyDescent="0.3">
      <c r="A336" s="36">
        <v>30715889486</v>
      </c>
      <c r="B336" t="s">
        <v>1144</v>
      </c>
    </row>
    <row r="337" spans="1:2" x14ac:dyDescent="0.3">
      <c r="A337" s="36">
        <v>30544110035</v>
      </c>
      <c r="B337" t="s">
        <v>1457</v>
      </c>
    </row>
    <row r="338" spans="1:2" x14ac:dyDescent="0.3">
      <c r="A338" s="36">
        <v>30544110035</v>
      </c>
      <c r="B338" t="s">
        <v>1457</v>
      </c>
    </row>
    <row r="339" spans="1:2" x14ac:dyDescent="0.3">
      <c r="A339" s="36">
        <v>30715553321</v>
      </c>
      <c r="B339" t="s">
        <v>1557</v>
      </c>
    </row>
    <row r="340" spans="1:2" x14ac:dyDescent="0.3">
      <c r="A340" s="36">
        <v>29199061</v>
      </c>
      <c r="B340" t="s">
        <v>1301</v>
      </c>
    </row>
    <row r="341" spans="1:2" x14ac:dyDescent="0.3">
      <c r="A341" s="36">
        <v>29199061</v>
      </c>
      <c r="B341" t="s">
        <v>1301</v>
      </c>
    </row>
    <row r="342" spans="1:2" x14ac:dyDescent="0.3">
      <c r="A342" s="36">
        <v>29199061</v>
      </c>
      <c r="B342" t="s">
        <v>1301</v>
      </c>
    </row>
    <row r="343" spans="1:2" x14ac:dyDescent="0.3">
      <c r="A343" s="36">
        <v>29199061</v>
      </c>
      <c r="B343" t="s">
        <v>1301</v>
      </c>
    </row>
    <row r="344" spans="1:2" x14ac:dyDescent="0.3">
      <c r="A344" s="36">
        <v>28778142</v>
      </c>
      <c r="B344" t="s">
        <v>1305</v>
      </c>
    </row>
    <row r="345" spans="1:2" x14ac:dyDescent="0.3">
      <c r="A345" s="36">
        <v>28778142</v>
      </c>
      <c r="B345" t="s">
        <v>1305</v>
      </c>
    </row>
    <row r="346" spans="1:2" x14ac:dyDescent="0.3">
      <c r="A346" s="36">
        <v>17710578</v>
      </c>
      <c r="B346" t="s">
        <v>1294</v>
      </c>
    </row>
    <row r="347" spans="1:2" x14ac:dyDescent="0.3">
      <c r="A347" s="36">
        <v>17710578</v>
      </c>
      <c r="B347" t="s">
        <v>1294</v>
      </c>
    </row>
    <row r="348" spans="1:2" x14ac:dyDescent="0.3">
      <c r="A348" s="36">
        <v>17710578</v>
      </c>
      <c r="B348" t="s">
        <v>1294</v>
      </c>
    </row>
    <row r="349" spans="1:2" x14ac:dyDescent="0.3">
      <c r="A349" s="36">
        <v>17710578</v>
      </c>
      <c r="B349" t="s">
        <v>1294</v>
      </c>
    </row>
    <row r="350" spans="1:2" x14ac:dyDescent="0.3">
      <c r="A350" s="36">
        <v>30641221771</v>
      </c>
      <c r="B350" t="s">
        <v>1561</v>
      </c>
    </row>
    <row r="351" spans="1:2" x14ac:dyDescent="0.3">
      <c r="A351" s="36">
        <v>20300814094</v>
      </c>
      <c r="B351" t="s">
        <v>1154</v>
      </c>
    </row>
    <row r="352" spans="1:2" x14ac:dyDescent="0.3">
      <c r="A352" s="36">
        <v>20300814094</v>
      </c>
      <c r="B352" t="s">
        <v>1154</v>
      </c>
    </row>
    <row r="353" spans="1:2" x14ac:dyDescent="0.3">
      <c r="A353" s="36">
        <v>16736509</v>
      </c>
      <c r="B353" t="s">
        <v>1249</v>
      </c>
    </row>
    <row r="354" spans="1:2" x14ac:dyDescent="0.3">
      <c r="A354" s="36">
        <v>16736509</v>
      </c>
      <c r="B354" t="s">
        <v>1249</v>
      </c>
    </row>
    <row r="355" spans="1:2" x14ac:dyDescent="0.3">
      <c r="A355" s="36">
        <v>16736509</v>
      </c>
      <c r="B355" t="s">
        <v>1249</v>
      </c>
    </row>
    <row r="356" spans="1:2" x14ac:dyDescent="0.3">
      <c r="A356" s="36">
        <v>16736509</v>
      </c>
      <c r="B356" t="s">
        <v>1249</v>
      </c>
    </row>
    <row r="357" spans="1:2" x14ac:dyDescent="0.3">
      <c r="A357" s="36">
        <v>16736509</v>
      </c>
      <c r="B357" t="s">
        <v>1249</v>
      </c>
    </row>
    <row r="358" spans="1:2" x14ac:dyDescent="0.3">
      <c r="A358" s="36">
        <v>16736509</v>
      </c>
      <c r="B358" t="s">
        <v>1249</v>
      </c>
    </row>
    <row r="359" spans="1:2" x14ac:dyDescent="0.3">
      <c r="A359" s="36">
        <v>24871779</v>
      </c>
      <c r="B359" t="s">
        <v>1233</v>
      </c>
    </row>
    <row r="360" spans="1:2" x14ac:dyDescent="0.3">
      <c r="A360" s="36">
        <v>24871779</v>
      </c>
      <c r="B360" t="s">
        <v>1233</v>
      </c>
    </row>
    <row r="361" spans="1:2" x14ac:dyDescent="0.3">
      <c r="A361" s="36">
        <v>24871779</v>
      </c>
      <c r="B361" t="s">
        <v>1233</v>
      </c>
    </row>
    <row r="362" spans="1:2" x14ac:dyDescent="0.3">
      <c r="A362" s="36">
        <v>24871779</v>
      </c>
      <c r="B362" t="s">
        <v>1233</v>
      </c>
    </row>
    <row r="363" spans="1:2" x14ac:dyDescent="0.3">
      <c r="A363" s="36">
        <v>30573652084</v>
      </c>
      <c r="B363" t="s">
        <v>1165</v>
      </c>
    </row>
    <row r="364" spans="1:2" x14ac:dyDescent="0.3">
      <c r="A364" s="36">
        <v>30573652084</v>
      </c>
      <c r="B364" t="s">
        <v>1165</v>
      </c>
    </row>
    <row r="365" spans="1:2" x14ac:dyDescent="0.3">
      <c r="A365" s="36">
        <v>30573652084</v>
      </c>
      <c r="B365" t="s">
        <v>1165</v>
      </c>
    </row>
    <row r="366" spans="1:2" x14ac:dyDescent="0.3">
      <c r="A366" s="36">
        <v>30573652084</v>
      </c>
      <c r="B366" t="s">
        <v>1165</v>
      </c>
    </row>
    <row r="367" spans="1:2" x14ac:dyDescent="0.3">
      <c r="A367" s="36">
        <v>30573652084</v>
      </c>
      <c r="B367" t="s">
        <v>1165</v>
      </c>
    </row>
    <row r="368" spans="1:2" x14ac:dyDescent="0.3">
      <c r="A368" s="36">
        <v>30573652084</v>
      </c>
      <c r="B368" t="s">
        <v>1165</v>
      </c>
    </row>
    <row r="369" spans="1:4" x14ac:dyDescent="0.3">
      <c r="A369" s="36">
        <v>27141689296</v>
      </c>
      <c r="B369" t="s">
        <v>1464</v>
      </c>
    </row>
    <row r="370" spans="1:4" x14ac:dyDescent="0.3">
      <c r="A370" s="36">
        <v>27141689296</v>
      </c>
      <c r="B370" t="s">
        <v>1464</v>
      </c>
    </row>
    <row r="371" spans="1:4" x14ac:dyDescent="0.3">
      <c r="A371" s="36">
        <v>20946785300</v>
      </c>
      <c r="B371" t="s">
        <v>1442</v>
      </c>
    </row>
    <row r="372" spans="1:4" x14ac:dyDescent="0.3">
      <c r="A372" s="36">
        <v>20946785300</v>
      </c>
      <c r="B372" t="s">
        <v>1442</v>
      </c>
    </row>
    <row r="373" spans="1:4" x14ac:dyDescent="0.3">
      <c r="A373" s="36">
        <v>95775679</v>
      </c>
      <c r="B373" t="s">
        <v>1340</v>
      </c>
    </row>
    <row r="374" spans="1:4" x14ac:dyDescent="0.3">
      <c r="A374" s="36">
        <v>95775679</v>
      </c>
      <c r="B374" t="s">
        <v>1340</v>
      </c>
    </row>
    <row r="375" spans="1:4" x14ac:dyDescent="0.3">
      <c r="A375" s="36">
        <v>20136536320</v>
      </c>
      <c r="B375" t="s">
        <v>1414</v>
      </c>
      <c r="C375" s="35" t="s">
        <v>1778</v>
      </c>
      <c r="D375" t="s">
        <v>1779</v>
      </c>
    </row>
    <row r="376" spans="1:4" x14ac:dyDescent="0.3">
      <c r="A376" s="36">
        <v>20136536320</v>
      </c>
      <c r="B376" t="s">
        <v>1414</v>
      </c>
    </row>
    <row r="377" spans="1:4" x14ac:dyDescent="0.3">
      <c r="A377" s="36">
        <v>17282007</v>
      </c>
      <c r="B377" t="s">
        <v>1218</v>
      </c>
    </row>
    <row r="378" spans="1:4" x14ac:dyDescent="0.3">
      <c r="A378" s="36">
        <v>17282007</v>
      </c>
      <c r="B378" t="s">
        <v>1218</v>
      </c>
    </row>
    <row r="379" spans="1:4" x14ac:dyDescent="0.3">
      <c r="A379" s="36">
        <v>30526874249</v>
      </c>
      <c r="B379" t="s">
        <v>1373</v>
      </c>
    </row>
    <row r="380" spans="1:4" x14ac:dyDescent="0.3">
      <c r="A380" s="36">
        <v>30526874249</v>
      </c>
      <c r="B380" t="s">
        <v>1373</v>
      </c>
    </row>
    <row r="381" spans="1:4" x14ac:dyDescent="0.3">
      <c r="A381" s="36">
        <v>30526874249</v>
      </c>
      <c r="B381" t="s">
        <v>1373</v>
      </c>
    </row>
    <row r="382" spans="1:4" x14ac:dyDescent="0.3">
      <c r="A382" s="36">
        <v>30526874249</v>
      </c>
      <c r="B382" t="s">
        <v>1373</v>
      </c>
    </row>
    <row r="383" spans="1:4" x14ac:dyDescent="0.3">
      <c r="A383" s="36">
        <v>27247999766</v>
      </c>
      <c r="B383" t="s">
        <v>1505</v>
      </c>
    </row>
    <row r="384" spans="1:4" x14ac:dyDescent="0.3">
      <c r="A384" s="36">
        <v>23920485979</v>
      </c>
      <c r="B384" t="s">
        <v>1476</v>
      </c>
    </row>
    <row r="385" spans="1:2" x14ac:dyDescent="0.3">
      <c r="A385" s="36">
        <v>22489713</v>
      </c>
      <c r="B385" t="s">
        <v>1227</v>
      </c>
    </row>
    <row r="386" spans="1:2" x14ac:dyDescent="0.3">
      <c r="A386" s="36">
        <v>22489713</v>
      </c>
      <c r="B386" t="s">
        <v>1227</v>
      </c>
    </row>
    <row r="387" spans="1:2" x14ac:dyDescent="0.3">
      <c r="A387" s="36">
        <v>22489713</v>
      </c>
      <c r="B387" t="s">
        <v>1227</v>
      </c>
    </row>
    <row r="388" spans="1:2" x14ac:dyDescent="0.3">
      <c r="A388" s="36">
        <v>22489713</v>
      </c>
      <c r="B388" t="s">
        <v>1227</v>
      </c>
    </row>
    <row r="389" spans="1:2" x14ac:dyDescent="0.3">
      <c r="A389" s="36">
        <v>27223495317</v>
      </c>
      <c r="B389" t="s">
        <v>1491</v>
      </c>
    </row>
    <row r="390" spans="1:2" x14ac:dyDescent="0.3">
      <c r="A390" s="36">
        <v>30714734446</v>
      </c>
      <c r="B390" t="s">
        <v>1431</v>
      </c>
    </row>
    <row r="391" spans="1:2" x14ac:dyDescent="0.3">
      <c r="A391" s="36">
        <v>30714734446</v>
      </c>
      <c r="B391" t="s">
        <v>1431</v>
      </c>
    </row>
    <row r="392" spans="1:2" x14ac:dyDescent="0.3">
      <c r="A392" s="36">
        <v>20214540291</v>
      </c>
      <c r="B392" t="s">
        <v>1500</v>
      </c>
    </row>
    <row r="393" spans="1:2" x14ac:dyDescent="0.3">
      <c r="A393" s="36">
        <v>33708495129</v>
      </c>
      <c r="B393" t="s">
        <v>1415</v>
      </c>
    </row>
    <row r="394" spans="1:2" x14ac:dyDescent="0.3">
      <c r="A394" s="36">
        <v>33708495129</v>
      </c>
      <c r="B394" t="s">
        <v>1415</v>
      </c>
    </row>
    <row r="395" spans="1:2" x14ac:dyDescent="0.3">
      <c r="A395" s="36">
        <v>30715188674</v>
      </c>
      <c r="B395" t="s">
        <v>1432</v>
      </c>
    </row>
    <row r="396" spans="1:2" x14ac:dyDescent="0.3">
      <c r="A396" s="36">
        <v>30715188674</v>
      </c>
      <c r="B396" t="s">
        <v>1432</v>
      </c>
    </row>
    <row r="397" spans="1:2" x14ac:dyDescent="0.3">
      <c r="A397" s="36">
        <v>30709539295</v>
      </c>
      <c r="B397" t="s">
        <v>1510</v>
      </c>
    </row>
    <row r="398" spans="1:2" x14ac:dyDescent="0.3">
      <c r="A398" s="36">
        <v>13262270</v>
      </c>
      <c r="B398" t="s">
        <v>1310</v>
      </c>
    </row>
    <row r="399" spans="1:2" x14ac:dyDescent="0.3">
      <c r="A399" s="36">
        <v>13262270</v>
      </c>
      <c r="B399" t="s">
        <v>1310</v>
      </c>
    </row>
    <row r="400" spans="1:2" x14ac:dyDescent="0.3">
      <c r="A400" s="36">
        <v>13262270</v>
      </c>
      <c r="B400" t="s">
        <v>1310</v>
      </c>
    </row>
    <row r="401" spans="1:3" x14ac:dyDescent="0.3">
      <c r="A401" s="36">
        <v>13262270</v>
      </c>
      <c r="B401" t="s">
        <v>1310</v>
      </c>
    </row>
    <row r="402" spans="1:3" x14ac:dyDescent="0.3">
      <c r="A402" s="36">
        <v>30585948817</v>
      </c>
      <c r="B402" t="s">
        <v>1183</v>
      </c>
    </row>
    <row r="403" spans="1:3" x14ac:dyDescent="0.3">
      <c r="A403" s="36">
        <v>30585948817</v>
      </c>
      <c r="B403" t="s">
        <v>1183</v>
      </c>
    </row>
    <row r="404" spans="1:3" x14ac:dyDescent="0.3">
      <c r="A404" s="36">
        <v>30585948817</v>
      </c>
      <c r="B404" t="s">
        <v>1140</v>
      </c>
    </row>
    <row r="405" spans="1:3" x14ac:dyDescent="0.3">
      <c r="A405" s="36">
        <v>30585948817</v>
      </c>
      <c r="B405" t="s">
        <v>1140</v>
      </c>
    </row>
    <row r="406" spans="1:3" x14ac:dyDescent="0.3">
      <c r="A406" s="36">
        <v>30715946250</v>
      </c>
      <c r="B406" t="s">
        <v>1556</v>
      </c>
      <c r="C406" s="45" t="s">
        <v>2134</v>
      </c>
    </row>
    <row r="407" spans="1:3" x14ac:dyDescent="0.3">
      <c r="A407" s="36">
        <v>30715621866</v>
      </c>
      <c r="B407" t="s">
        <v>1441</v>
      </c>
    </row>
    <row r="408" spans="1:3" x14ac:dyDescent="0.3">
      <c r="A408" s="36">
        <v>30715621866</v>
      </c>
      <c r="B408" t="s">
        <v>1441</v>
      </c>
    </row>
    <row r="409" spans="1:3" x14ac:dyDescent="0.3">
      <c r="A409" s="36">
        <v>30713628804</v>
      </c>
      <c r="B409" t="s">
        <v>1138</v>
      </c>
    </row>
    <row r="410" spans="1:3" x14ac:dyDescent="0.3">
      <c r="A410" s="36">
        <v>30713628804</v>
      </c>
      <c r="B410" t="s">
        <v>1138</v>
      </c>
    </row>
    <row r="411" spans="1:3" x14ac:dyDescent="0.3">
      <c r="A411" s="36">
        <v>20076169579</v>
      </c>
      <c r="B411" t="s">
        <v>1499</v>
      </c>
    </row>
    <row r="412" spans="1:3" x14ac:dyDescent="0.3">
      <c r="A412" s="36">
        <v>17852963</v>
      </c>
      <c r="B412" t="s">
        <v>1309</v>
      </c>
    </row>
    <row r="413" spans="1:3" x14ac:dyDescent="0.3">
      <c r="A413" s="36">
        <v>17852963</v>
      </c>
      <c r="B413" t="s">
        <v>1309</v>
      </c>
    </row>
    <row r="414" spans="1:3" x14ac:dyDescent="0.3">
      <c r="A414" s="36">
        <v>25671318</v>
      </c>
      <c r="B414" t="s">
        <v>1279</v>
      </c>
    </row>
    <row r="415" spans="1:3" x14ac:dyDescent="0.3">
      <c r="A415" s="36">
        <v>25671318</v>
      </c>
      <c r="B415" t="s">
        <v>1279</v>
      </c>
    </row>
    <row r="416" spans="1:3" x14ac:dyDescent="0.3">
      <c r="A416" s="36">
        <v>25671318</v>
      </c>
      <c r="B416" t="s">
        <v>1279</v>
      </c>
    </row>
    <row r="417" spans="1:2" x14ac:dyDescent="0.3">
      <c r="A417" s="36">
        <v>25671318</v>
      </c>
      <c r="B417" t="s">
        <v>1279</v>
      </c>
    </row>
    <row r="418" spans="1:2" x14ac:dyDescent="0.3">
      <c r="A418" s="36">
        <v>25671318</v>
      </c>
      <c r="B418" t="s">
        <v>1279</v>
      </c>
    </row>
    <row r="419" spans="1:2" x14ac:dyDescent="0.3">
      <c r="A419" s="36">
        <v>25671318</v>
      </c>
      <c r="B419" t="s">
        <v>1279</v>
      </c>
    </row>
    <row r="420" spans="1:2" x14ac:dyDescent="0.3">
      <c r="A420" s="36">
        <v>10514389</v>
      </c>
      <c r="B420" t="s">
        <v>1287</v>
      </c>
    </row>
    <row r="421" spans="1:2" x14ac:dyDescent="0.3">
      <c r="A421" s="36">
        <v>10514389</v>
      </c>
      <c r="B421" t="s">
        <v>1287</v>
      </c>
    </row>
    <row r="422" spans="1:2" x14ac:dyDescent="0.3">
      <c r="A422" s="36">
        <v>20206063239</v>
      </c>
      <c r="B422" t="s">
        <v>1517</v>
      </c>
    </row>
    <row r="423" spans="1:2" x14ac:dyDescent="0.3">
      <c r="A423" s="36">
        <v>11001660</v>
      </c>
      <c r="B423" t="s">
        <v>1231</v>
      </c>
    </row>
    <row r="424" spans="1:2" x14ac:dyDescent="0.3">
      <c r="A424" s="36">
        <v>11001660</v>
      </c>
      <c r="B424" t="s">
        <v>1231</v>
      </c>
    </row>
    <row r="425" spans="1:2" x14ac:dyDescent="0.3">
      <c r="A425" s="36">
        <v>11001660</v>
      </c>
      <c r="B425" t="s">
        <v>1231</v>
      </c>
    </row>
    <row r="426" spans="1:2" x14ac:dyDescent="0.3">
      <c r="A426" s="36">
        <v>11001660</v>
      </c>
      <c r="B426" t="s">
        <v>1231</v>
      </c>
    </row>
    <row r="427" spans="1:2" x14ac:dyDescent="0.3">
      <c r="A427" s="36">
        <v>2143749</v>
      </c>
      <c r="B427" t="s">
        <v>1222</v>
      </c>
    </row>
    <row r="428" spans="1:2" x14ac:dyDescent="0.3">
      <c r="A428" s="36">
        <v>2143749</v>
      </c>
      <c r="B428" t="s">
        <v>1222</v>
      </c>
    </row>
    <row r="429" spans="1:2" x14ac:dyDescent="0.3">
      <c r="A429" s="36">
        <v>2143749</v>
      </c>
      <c r="B429" t="s">
        <v>1222</v>
      </c>
    </row>
    <row r="430" spans="1:2" x14ac:dyDescent="0.3">
      <c r="A430" s="36">
        <v>2143749</v>
      </c>
      <c r="B430" t="s">
        <v>1222</v>
      </c>
    </row>
    <row r="431" spans="1:2" x14ac:dyDescent="0.3">
      <c r="A431" s="36">
        <v>2143749</v>
      </c>
      <c r="B431" t="s">
        <v>1222</v>
      </c>
    </row>
    <row r="432" spans="1:2" x14ac:dyDescent="0.3">
      <c r="A432" s="36">
        <v>2143749</v>
      </c>
      <c r="B432" t="s">
        <v>1222</v>
      </c>
    </row>
    <row r="433" spans="1:3" x14ac:dyDescent="0.3">
      <c r="A433" s="36">
        <v>30715303791</v>
      </c>
      <c r="B433" t="s">
        <v>131</v>
      </c>
    </row>
    <row r="434" spans="1:3" x14ac:dyDescent="0.3">
      <c r="A434" s="36">
        <v>23159787</v>
      </c>
      <c r="B434" t="s">
        <v>1326</v>
      </c>
    </row>
    <row r="435" spans="1:3" x14ac:dyDescent="0.3">
      <c r="A435" s="36">
        <v>23159787</v>
      </c>
      <c r="B435" t="s">
        <v>1326</v>
      </c>
    </row>
    <row r="436" spans="1:3" x14ac:dyDescent="0.3">
      <c r="A436" s="36">
        <v>30638969</v>
      </c>
      <c r="B436" t="s">
        <v>1336</v>
      </c>
    </row>
    <row r="437" spans="1:3" x14ac:dyDescent="0.3">
      <c r="A437" s="36">
        <v>30638969</v>
      </c>
      <c r="B437" t="s">
        <v>1336</v>
      </c>
    </row>
    <row r="438" spans="1:3" x14ac:dyDescent="0.3">
      <c r="A438" s="36">
        <v>30638969</v>
      </c>
      <c r="B438" t="s">
        <v>1336</v>
      </c>
    </row>
    <row r="439" spans="1:3" x14ac:dyDescent="0.3">
      <c r="A439" s="36">
        <v>30638969</v>
      </c>
      <c r="B439" t="s">
        <v>1336</v>
      </c>
    </row>
    <row r="440" spans="1:3" x14ac:dyDescent="0.3">
      <c r="A440" s="36">
        <v>30707397256</v>
      </c>
      <c r="B440" t="s">
        <v>1393</v>
      </c>
    </row>
    <row r="441" spans="1:3" x14ac:dyDescent="0.3">
      <c r="A441" s="36">
        <v>30707397256</v>
      </c>
      <c r="B441" t="s">
        <v>1393</v>
      </c>
    </row>
    <row r="442" spans="1:3" x14ac:dyDescent="0.3">
      <c r="A442" s="36">
        <v>30707397256</v>
      </c>
      <c r="B442" t="s">
        <v>1174</v>
      </c>
    </row>
    <row r="443" spans="1:3" x14ac:dyDescent="0.3">
      <c r="A443" s="36">
        <v>30707397256</v>
      </c>
      <c r="B443" t="s">
        <v>1174</v>
      </c>
    </row>
    <row r="444" spans="1:3" x14ac:dyDescent="0.3">
      <c r="A444" s="36">
        <v>3368716054</v>
      </c>
      <c r="B444" t="s">
        <v>132</v>
      </c>
      <c r="C444" s="35" t="s">
        <v>81</v>
      </c>
    </row>
    <row r="445" spans="1:3" x14ac:dyDescent="0.3">
      <c r="A445" s="36">
        <v>33687160539</v>
      </c>
      <c r="B445" t="s">
        <v>132</v>
      </c>
      <c r="C445" s="35" t="s">
        <v>81</v>
      </c>
    </row>
    <row r="446" spans="1:3" x14ac:dyDescent="0.3">
      <c r="A446" s="36">
        <v>30707867325</v>
      </c>
      <c r="B446" t="s">
        <v>133</v>
      </c>
      <c r="C446" s="35" t="s">
        <v>81</v>
      </c>
    </row>
    <row r="447" spans="1:3" x14ac:dyDescent="0.3">
      <c r="A447" s="36">
        <v>30554704189</v>
      </c>
      <c r="B447" t="s">
        <v>134</v>
      </c>
    </row>
    <row r="448" spans="1:3" x14ac:dyDescent="0.3">
      <c r="A448" s="36">
        <v>30715734407</v>
      </c>
      <c r="B448" t="s">
        <v>135</v>
      </c>
    </row>
    <row r="449" spans="1:3" x14ac:dyDescent="0.3">
      <c r="A449" s="36">
        <v>23284527534</v>
      </c>
      <c r="B449" t="s">
        <v>136</v>
      </c>
    </row>
    <row r="450" spans="1:3" x14ac:dyDescent="0.3">
      <c r="A450" s="36">
        <v>20275934217</v>
      </c>
      <c r="B450" t="s">
        <v>137</v>
      </c>
    </row>
    <row r="451" spans="1:3" x14ac:dyDescent="0.3">
      <c r="A451" s="36">
        <v>20050719864</v>
      </c>
      <c r="B451" t="s">
        <v>138</v>
      </c>
    </row>
    <row r="452" spans="1:3" x14ac:dyDescent="0.3">
      <c r="A452" s="36">
        <v>30633217803</v>
      </c>
      <c r="B452" t="s">
        <v>139</v>
      </c>
    </row>
    <row r="453" spans="1:3" x14ac:dyDescent="0.3">
      <c r="A453" s="36">
        <v>30715688871</v>
      </c>
      <c r="B453" t="s">
        <v>140</v>
      </c>
    </row>
    <row r="454" spans="1:3" x14ac:dyDescent="0.3">
      <c r="A454" s="36">
        <v>30712776403</v>
      </c>
      <c r="B454" t="s">
        <v>141</v>
      </c>
    </row>
    <row r="455" spans="1:3" x14ac:dyDescent="0.3">
      <c r="A455" s="36">
        <v>30712778403</v>
      </c>
      <c r="B455" t="s">
        <v>142</v>
      </c>
      <c r="C455" s="35" t="s">
        <v>46</v>
      </c>
    </row>
    <row r="456" spans="1:3" x14ac:dyDescent="0.3">
      <c r="A456" s="36">
        <v>30715642197</v>
      </c>
      <c r="B456" t="s">
        <v>143</v>
      </c>
    </row>
    <row r="457" spans="1:3" x14ac:dyDescent="0.3">
      <c r="A457" s="36">
        <v>30711694281</v>
      </c>
      <c r="B457" t="s">
        <v>144</v>
      </c>
      <c r="C457" s="35" t="s">
        <v>81</v>
      </c>
    </row>
    <row r="458" spans="1:3" x14ac:dyDescent="0.3">
      <c r="A458" s="36">
        <v>33695089789</v>
      </c>
      <c r="B458" t="s">
        <v>145</v>
      </c>
    </row>
    <row r="459" spans="1:3" x14ac:dyDescent="0.3">
      <c r="A459" s="36">
        <v>20148857696</v>
      </c>
      <c r="B459" t="s">
        <v>1483</v>
      </c>
    </row>
    <row r="460" spans="1:3" x14ac:dyDescent="0.3">
      <c r="A460" s="36">
        <v>26458741</v>
      </c>
      <c r="B460" t="s">
        <v>1283</v>
      </c>
    </row>
    <row r="461" spans="1:3" x14ac:dyDescent="0.3">
      <c r="A461" s="36">
        <v>26458741</v>
      </c>
      <c r="B461" t="s">
        <v>1283</v>
      </c>
    </row>
    <row r="462" spans="1:3" x14ac:dyDescent="0.3">
      <c r="A462" s="36">
        <v>30717035018</v>
      </c>
      <c r="B462" t="s">
        <v>1546</v>
      </c>
    </row>
    <row r="463" spans="1:3" x14ac:dyDescent="0.3">
      <c r="A463" s="36">
        <v>33717503789</v>
      </c>
      <c r="B463" t="s">
        <v>146</v>
      </c>
    </row>
    <row r="464" spans="1:3" x14ac:dyDescent="0.3">
      <c r="A464" s="36">
        <v>30715745980</v>
      </c>
      <c r="B464" t="s">
        <v>147</v>
      </c>
    </row>
    <row r="465" spans="1:3" x14ac:dyDescent="0.3">
      <c r="A465" s="36">
        <v>30663498513</v>
      </c>
      <c r="B465" t="s">
        <v>148</v>
      </c>
    </row>
    <row r="466" spans="1:3" x14ac:dyDescent="0.3">
      <c r="A466" s="36">
        <v>30663498513</v>
      </c>
      <c r="B466" t="s">
        <v>1374</v>
      </c>
    </row>
    <row r="467" spans="1:3" x14ac:dyDescent="0.3">
      <c r="A467" s="36">
        <v>30663498513</v>
      </c>
      <c r="B467" t="s">
        <v>1374</v>
      </c>
    </row>
    <row r="468" spans="1:3" x14ac:dyDescent="0.3">
      <c r="A468" s="36">
        <v>30663498513</v>
      </c>
      <c r="B468" t="s">
        <v>1374</v>
      </c>
    </row>
    <row r="469" spans="1:3" x14ac:dyDescent="0.3">
      <c r="A469" s="36">
        <v>30663498513</v>
      </c>
      <c r="B469" t="s">
        <v>1374</v>
      </c>
    </row>
    <row r="470" spans="1:3" x14ac:dyDescent="0.3">
      <c r="A470" s="36">
        <v>30716389088</v>
      </c>
      <c r="B470" t="s">
        <v>149</v>
      </c>
    </row>
    <row r="471" spans="1:3" x14ac:dyDescent="0.3">
      <c r="A471" s="36">
        <v>30715225618</v>
      </c>
      <c r="B471" t="s">
        <v>150</v>
      </c>
      <c r="C471" s="35" t="s">
        <v>81</v>
      </c>
    </row>
    <row r="472" spans="1:3" x14ac:dyDescent="0.3">
      <c r="A472" s="36">
        <v>30715775014</v>
      </c>
      <c r="B472" t="s">
        <v>151</v>
      </c>
    </row>
    <row r="473" spans="1:3" x14ac:dyDescent="0.3">
      <c r="A473" s="36">
        <v>30714905534</v>
      </c>
      <c r="B473" t="s">
        <v>152</v>
      </c>
    </row>
    <row r="474" spans="1:3" x14ac:dyDescent="0.3">
      <c r="A474" s="36">
        <v>30709227161</v>
      </c>
      <c r="B474" t="s">
        <v>153</v>
      </c>
    </row>
    <row r="475" spans="1:3" x14ac:dyDescent="0.3">
      <c r="A475" s="36">
        <v>30711809739</v>
      </c>
      <c r="B475" t="s">
        <v>154</v>
      </c>
    </row>
    <row r="476" spans="1:3" x14ac:dyDescent="0.3">
      <c r="A476" s="36">
        <v>20268494155</v>
      </c>
      <c r="B476" t="s">
        <v>155</v>
      </c>
    </row>
    <row r="477" spans="1:3" x14ac:dyDescent="0.3">
      <c r="A477" s="36">
        <v>30714466689</v>
      </c>
      <c r="B477" t="s">
        <v>156</v>
      </c>
    </row>
    <row r="478" spans="1:3" x14ac:dyDescent="0.3">
      <c r="A478" s="36">
        <v>20045519709</v>
      </c>
      <c r="B478" t="s">
        <v>157</v>
      </c>
    </row>
    <row r="479" spans="1:3" x14ac:dyDescent="0.3">
      <c r="A479" s="36">
        <v>20358014330</v>
      </c>
      <c r="B479" t="s">
        <v>158</v>
      </c>
    </row>
    <row r="480" spans="1:3" x14ac:dyDescent="0.3">
      <c r="A480" s="36">
        <v>20940658609</v>
      </c>
      <c r="B480" t="s">
        <v>159</v>
      </c>
    </row>
    <row r="481" spans="1:3" x14ac:dyDescent="0.3">
      <c r="A481" s="36">
        <v>30541849307</v>
      </c>
      <c r="B481" t="s">
        <v>160</v>
      </c>
      <c r="C481" s="35" t="s">
        <v>81</v>
      </c>
    </row>
    <row r="482" spans="1:3" x14ac:dyDescent="0.3">
      <c r="A482" s="36">
        <v>30578494185</v>
      </c>
      <c r="B482" t="s">
        <v>161</v>
      </c>
      <c r="C482" s="35" t="s">
        <v>79</v>
      </c>
    </row>
    <row r="483" spans="1:3" x14ac:dyDescent="0.3">
      <c r="A483" s="36">
        <v>30582876661</v>
      </c>
      <c r="B483" t="s">
        <v>162</v>
      </c>
      <c r="C483" s="35" t="s">
        <v>83</v>
      </c>
    </row>
    <row r="484" spans="1:3" x14ac:dyDescent="0.3">
      <c r="A484" s="36">
        <v>20270084304</v>
      </c>
      <c r="B484" t="s">
        <v>163</v>
      </c>
      <c r="C484" s="35" t="s">
        <v>81</v>
      </c>
    </row>
    <row r="485" spans="1:3" x14ac:dyDescent="0.3">
      <c r="A485" s="36">
        <v>27058716508</v>
      </c>
      <c r="B485" t="s">
        <v>164</v>
      </c>
    </row>
    <row r="486" spans="1:3" x14ac:dyDescent="0.3">
      <c r="A486" s="36">
        <v>20144078188</v>
      </c>
      <c r="B486" t="s">
        <v>165</v>
      </c>
    </row>
    <row r="487" spans="1:3" x14ac:dyDescent="0.3">
      <c r="A487" s="36">
        <v>20108381508</v>
      </c>
      <c r="B487" t="s">
        <v>166</v>
      </c>
      <c r="C487" s="35" t="s">
        <v>81</v>
      </c>
    </row>
    <row r="488" spans="1:3" x14ac:dyDescent="0.3">
      <c r="A488" s="36">
        <v>30716010313</v>
      </c>
      <c r="B488" t="s">
        <v>1150</v>
      </c>
      <c r="C488" s="646" t="s">
        <v>87</v>
      </c>
    </row>
    <row r="489" spans="1:3" x14ac:dyDescent="0.3">
      <c r="A489" s="36">
        <v>30716010313</v>
      </c>
      <c r="B489" t="s">
        <v>1186</v>
      </c>
      <c r="C489" s="646" t="s">
        <v>87</v>
      </c>
    </row>
    <row r="490" spans="1:3" x14ac:dyDescent="0.3">
      <c r="A490" s="36">
        <v>30716010313</v>
      </c>
      <c r="B490" t="s">
        <v>1150</v>
      </c>
      <c r="C490" s="646" t="s">
        <v>87</v>
      </c>
    </row>
    <row r="491" spans="1:3" x14ac:dyDescent="0.3">
      <c r="A491" s="36">
        <v>30716010313</v>
      </c>
      <c r="B491" t="s">
        <v>1186</v>
      </c>
      <c r="C491" s="646" t="s">
        <v>87</v>
      </c>
    </row>
    <row r="492" spans="1:3" x14ac:dyDescent="0.3">
      <c r="A492" s="36">
        <v>16172630</v>
      </c>
      <c r="B492" t="s">
        <v>1349</v>
      </c>
    </row>
    <row r="493" spans="1:3" x14ac:dyDescent="0.3">
      <c r="A493" s="36">
        <v>16172630</v>
      </c>
      <c r="B493" t="s">
        <v>1349</v>
      </c>
    </row>
    <row r="494" spans="1:3" x14ac:dyDescent="0.3">
      <c r="A494" s="36">
        <v>30708244208</v>
      </c>
      <c r="B494" t="s">
        <v>167</v>
      </c>
    </row>
    <row r="495" spans="1:3" x14ac:dyDescent="0.3">
      <c r="A495" s="36">
        <v>20161304086</v>
      </c>
      <c r="B495" t="s">
        <v>168</v>
      </c>
    </row>
    <row r="496" spans="1:3" x14ac:dyDescent="0.3">
      <c r="A496" s="36">
        <v>20253264390</v>
      </c>
      <c r="B496" t="s">
        <v>169</v>
      </c>
      <c r="C496" s="35" t="s">
        <v>81</v>
      </c>
    </row>
    <row r="497" spans="1:3" x14ac:dyDescent="0.3">
      <c r="A497" s="36">
        <v>30570945285</v>
      </c>
      <c r="B497" t="s">
        <v>170</v>
      </c>
    </row>
    <row r="498" spans="1:3" x14ac:dyDescent="0.3">
      <c r="A498" s="36">
        <v>30714233560</v>
      </c>
      <c r="B498" t="s">
        <v>171</v>
      </c>
    </row>
    <row r="499" spans="1:3" x14ac:dyDescent="0.3">
      <c r="A499" s="36">
        <v>30593410354</v>
      </c>
      <c r="B499" t="s">
        <v>172</v>
      </c>
    </row>
    <row r="500" spans="1:3" x14ac:dyDescent="0.3">
      <c r="A500" s="36">
        <v>20275447057</v>
      </c>
      <c r="B500" t="s">
        <v>173</v>
      </c>
      <c r="C500" s="35" t="s">
        <v>79</v>
      </c>
    </row>
    <row r="501" spans="1:3" x14ac:dyDescent="0.3">
      <c r="A501" s="36">
        <v>20245638486</v>
      </c>
      <c r="B501" t="s">
        <v>174</v>
      </c>
    </row>
    <row r="502" spans="1:3" x14ac:dyDescent="0.3">
      <c r="A502" s="36">
        <v>23219640269</v>
      </c>
      <c r="B502" t="s">
        <v>175</v>
      </c>
      <c r="C502" s="35" t="s">
        <v>81</v>
      </c>
    </row>
    <row r="503" spans="1:3" x14ac:dyDescent="0.3">
      <c r="A503" s="36">
        <v>30699407476</v>
      </c>
      <c r="B503" t="s">
        <v>176</v>
      </c>
      <c r="C503" s="35" t="s">
        <v>81</v>
      </c>
    </row>
    <row r="504" spans="1:3" x14ac:dyDescent="0.3">
      <c r="A504" s="36">
        <v>30708508221</v>
      </c>
      <c r="B504" t="s">
        <v>177</v>
      </c>
    </row>
    <row r="505" spans="1:3" x14ac:dyDescent="0.3">
      <c r="A505" s="36">
        <v>30551450445</v>
      </c>
      <c r="B505" t="s">
        <v>178</v>
      </c>
      <c r="C505" s="35" t="s">
        <v>81</v>
      </c>
    </row>
    <row r="506" spans="1:3" x14ac:dyDescent="0.3">
      <c r="A506" s="36">
        <v>27171152610</v>
      </c>
      <c r="B506" t="s">
        <v>179</v>
      </c>
    </row>
    <row r="507" spans="1:3" x14ac:dyDescent="0.3">
      <c r="A507" s="36">
        <v>20255683595</v>
      </c>
      <c r="B507" t="s">
        <v>180</v>
      </c>
    </row>
    <row r="508" spans="1:3" x14ac:dyDescent="0.3">
      <c r="A508" s="36">
        <v>30631285038</v>
      </c>
      <c r="B508" t="s">
        <v>181</v>
      </c>
      <c r="C508" s="35" t="s">
        <v>81</v>
      </c>
    </row>
    <row r="509" spans="1:3" x14ac:dyDescent="0.3">
      <c r="A509" s="36">
        <v>30714254533</v>
      </c>
      <c r="B509" t="s">
        <v>182</v>
      </c>
      <c r="C509" s="35" t="s">
        <v>81</v>
      </c>
    </row>
    <row r="510" spans="1:3" x14ac:dyDescent="0.3">
      <c r="A510" s="36">
        <v>30712354409</v>
      </c>
      <c r="B510" t="s">
        <v>183</v>
      </c>
      <c r="C510" s="35" t="s">
        <v>81</v>
      </c>
    </row>
    <row r="511" spans="1:3" x14ac:dyDescent="0.3">
      <c r="A511" s="36">
        <v>30576631665</v>
      </c>
      <c r="B511" t="s">
        <v>184</v>
      </c>
      <c r="C511" s="35" t="s">
        <v>81</v>
      </c>
    </row>
    <row r="512" spans="1:3" x14ac:dyDescent="0.3">
      <c r="A512" s="36">
        <v>30539122793</v>
      </c>
      <c r="B512" t="s">
        <v>185</v>
      </c>
    </row>
    <row r="513" spans="1:4" x14ac:dyDescent="0.3">
      <c r="A513" s="36">
        <v>30691712350</v>
      </c>
      <c r="B513" t="s">
        <v>186</v>
      </c>
    </row>
    <row r="514" spans="1:4" x14ac:dyDescent="0.3">
      <c r="A514" s="36">
        <v>30655300186</v>
      </c>
      <c r="B514" t="s">
        <v>187</v>
      </c>
    </row>
    <row r="515" spans="1:4" x14ac:dyDescent="0.3">
      <c r="A515" s="36">
        <v>30686155893</v>
      </c>
      <c r="B515" t="s">
        <v>188</v>
      </c>
    </row>
    <row r="516" spans="1:4" x14ac:dyDescent="0.3">
      <c r="A516" s="36">
        <v>30686155893</v>
      </c>
      <c r="B516" t="s">
        <v>188</v>
      </c>
    </row>
    <row r="517" spans="1:4" x14ac:dyDescent="0.3">
      <c r="A517" s="36">
        <v>30686155893</v>
      </c>
      <c r="B517" t="s">
        <v>188</v>
      </c>
    </row>
    <row r="518" spans="1:4" x14ac:dyDescent="0.3">
      <c r="A518" s="36">
        <v>30710102593</v>
      </c>
      <c r="B518" t="s">
        <v>188</v>
      </c>
    </row>
    <row r="519" spans="1:4" x14ac:dyDescent="0.3">
      <c r="A519" s="36">
        <v>20134664518</v>
      </c>
      <c r="B519" t="s">
        <v>1149</v>
      </c>
      <c r="C519" s="35" t="s">
        <v>79</v>
      </c>
      <c r="D519" t="s">
        <v>1782</v>
      </c>
    </row>
    <row r="520" spans="1:4" x14ac:dyDescent="0.3">
      <c r="A520" s="36">
        <v>30711035075</v>
      </c>
      <c r="B520" t="s">
        <v>189</v>
      </c>
    </row>
    <row r="521" spans="1:4" x14ac:dyDescent="0.3">
      <c r="A521" s="36">
        <v>30716168731</v>
      </c>
      <c r="B521" t="s">
        <v>190</v>
      </c>
    </row>
    <row r="522" spans="1:4" x14ac:dyDescent="0.3">
      <c r="A522" s="36">
        <v>30714696153</v>
      </c>
      <c r="B522" t="s">
        <v>191</v>
      </c>
      <c r="C522" s="35" t="s">
        <v>81</v>
      </c>
    </row>
    <row r="523" spans="1:4" x14ac:dyDescent="0.3">
      <c r="A523" s="36">
        <v>30714859168</v>
      </c>
      <c r="B523" t="s">
        <v>192</v>
      </c>
    </row>
    <row r="524" spans="1:4" x14ac:dyDescent="0.3">
      <c r="A524" s="36">
        <v>30697605785</v>
      </c>
      <c r="B524" t="s">
        <v>193</v>
      </c>
    </row>
    <row r="525" spans="1:4" x14ac:dyDescent="0.3">
      <c r="A525" s="36">
        <v>30709217832</v>
      </c>
      <c r="B525" t="s">
        <v>194</v>
      </c>
    </row>
    <row r="526" spans="1:4" x14ac:dyDescent="0.3">
      <c r="A526" s="36">
        <v>30709217832</v>
      </c>
      <c r="B526" t="s">
        <v>194</v>
      </c>
    </row>
    <row r="527" spans="1:4" x14ac:dyDescent="0.3">
      <c r="A527" s="36">
        <v>27174758854</v>
      </c>
      <c r="B527" t="s">
        <v>195</v>
      </c>
    </row>
    <row r="528" spans="1:4" x14ac:dyDescent="0.3">
      <c r="A528" s="36">
        <v>30711017697</v>
      </c>
      <c r="B528" t="s">
        <v>196</v>
      </c>
    </row>
    <row r="529" spans="1:3" x14ac:dyDescent="0.3">
      <c r="A529" s="36">
        <v>23940960509</v>
      </c>
      <c r="B529" t="s">
        <v>197</v>
      </c>
      <c r="C529" s="35" t="s">
        <v>78</v>
      </c>
    </row>
    <row r="530" spans="1:3" x14ac:dyDescent="0.3">
      <c r="A530" s="36">
        <v>30716974436</v>
      </c>
      <c r="B530" t="s">
        <v>198</v>
      </c>
    </row>
    <row r="531" spans="1:3" x14ac:dyDescent="0.3">
      <c r="A531" s="36">
        <v>20114286150</v>
      </c>
      <c r="B531" t="s">
        <v>199</v>
      </c>
    </row>
    <row r="532" spans="1:3" x14ac:dyDescent="0.3">
      <c r="A532" s="36">
        <v>30710682557</v>
      </c>
      <c r="B532" t="s">
        <v>200</v>
      </c>
    </row>
    <row r="533" spans="1:3" x14ac:dyDescent="0.3">
      <c r="A533" s="36">
        <v>30715681133</v>
      </c>
      <c r="B533" t="s">
        <v>201</v>
      </c>
    </row>
    <row r="534" spans="1:3" x14ac:dyDescent="0.3">
      <c r="A534" s="36">
        <v>30715578154</v>
      </c>
      <c r="B534" t="s">
        <v>202</v>
      </c>
    </row>
    <row r="535" spans="1:3" x14ac:dyDescent="0.3">
      <c r="A535" s="36">
        <v>30643827197</v>
      </c>
      <c r="B535" t="s">
        <v>203</v>
      </c>
      <c r="C535" s="35" t="s">
        <v>84</v>
      </c>
    </row>
    <row r="536" spans="1:3" x14ac:dyDescent="0.3">
      <c r="A536" s="36">
        <v>20172319743</v>
      </c>
      <c r="B536" t="s">
        <v>1534</v>
      </c>
    </row>
    <row r="537" spans="1:3" x14ac:dyDescent="0.3">
      <c r="A537" s="36">
        <v>23298673614</v>
      </c>
      <c r="B537" t="s">
        <v>204</v>
      </c>
    </row>
    <row r="538" spans="1:3" x14ac:dyDescent="0.3">
      <c r="A538" s="36">
        <v>30717649490</v>
      </c>
      <c r="B538" t="s">
        <v>1387</v>
      </c>
    </row>
    <row r="539" spans="1:3" x14ac:dyDescent="0.3">
      <c r="A539" s="36">
        <v>30717649490</v>
      </c>
      <c r="B539" t="s">
        <v>1387</v>
      </c>
    </row>
    <row r="540" spans="1:3" x14ac:dyDescent="0.3">
      <c r="A540" s="36">
        <v>30714730548</v>
      </c>
      <c r="B540" t="s">
        <v>205</v>
      </c>
      <c r="C540" s="35" t="s">
        <v>79</v>
      </c>
    </row>
    <row r="541" spans="1:3" x14ac:dyDescent="0.3">
      <c r="A541" s="36">
        <v>30667805283</v>
      </c>
      <c r="B541" t="s">
        <v>206</v>
      </c>
    </row>
    <row r="542" spans="1:3" x14ac:dyDescent="0.3">
      <c r="A542" s="36">
        <v>20248515741</v>
      </c>
      <c r="B542" t="s">
        <v>207</v>
      </c>
    </row>
    <row r="543" spans="1:3" x14ac:dyDescent="0.3">
      <c r="A543" s="36">
        <v>30709443220</v>
      </c>
      <c r="B543" t="s">
        <v>208</v>
      </c>
      <c r="C543" s="35" t="s">
        <v>81</v>
      </c>
    </row>
    <row r="544" spans="1:3" x14ac:dyDescent="0.3">
      <c r="A544" s="36">
        <v>30711676402</v>
      </c>
      <c r="B544" t="s">
        <v>209</v>
      </c>
    </row>
    <row r="545" spans="1:3" x14ac:dyDescent="0.3">
      <c r="A545" s="36">
        <v>30716154102</v>
      </c>
      <c r="B545" t="s">
        <v>1570</v>
      </c>
    </row>
    <row r="546" spans="1:3" x14ac:dyDescent="0.3">
      <c r="A546" s="36">
        <v>30710457162</v>
      </c>
      <c r="B546" t="s">
        <v>89</v>
      </c>
    </row>
    <row r="547" spans="1:3" x14ac:dyDescent="0.3">
      <c r="A547" s="36">
        <v>27228084862</v>
      </c>
      <c r="B547" t="s">
        <v>1562</v>
      </c>
    </row>
    <row r="548" spans="1:3" x14ac:dyDescent="0.3">
      <c r="A548" s="36">
        <v>27161304439</v>
      </c>
      <c r="B548" t="s">
        <v>210</v>
      </c>
    </row>
    <row r="549" spans="1:3" x14ac:dyDescent="0.3">
      <c r="A549" s="36">
        <v>27236871946</v>
      </c>
      <c r="B549" t="s">
        <v>211</v>
      </c>
    </row>
    <row r="550" spans="1:3" x14ac:dyDescent="0.3">
      <c r="A550" s="36">
        <v>30711633371</v>
      </c>
      <c r="B550" t="s">
        <v>212</v>
      </c>
    </row>
    <row r="551" spans="1:3" x14ac:dyDescent="0.3">
      <c r="A551" s="36">
        <v>30716421151</v>
      </c>
      <c r="B551" t="s">
        <v>1467</v>
      </c>
    </row>
    <row r="552" spans="1:3" x14ac:dyDescent="0.3">
      <c r="A552" s="36">
        <v>30716421151</v>
      </c>
      <c r="B552" t="s">
        <v>1467</v>
      </c>
    </row>
    <row r="553" spans="1:3" x14ac:dyDescent="0.3">
      <c r="A553" s="36">
        <v>30709647047</v>
      </c>
      <c r="B553" t="s">
        <v>213</v>
      </c>
    </row>
    <row r="554" spans="1:3" x14ac:dyDescent="0.3">
      <c r="A554" s="36">
        <v>30697598266</v>
      </c>
      <c r="B554" t="s">
        <v>214</v>
      </c>
    </row>
    <row r="555" spans="1:3" x14ac:dyDescent="0.3">
      <c r="A555" s="36">
        <v>30712289046</v>
      </c>
      <c r="B555" t="s">
        <v>1416</v>
      </c>
    </row>
    <row r="556" spans="1:3" x14ac:dyDescent="0.3">
      <c r="A556" s="36">
        <v>30712289046</v>
      </c>
      <c r="B556" t="s">
        <v>1416</v>
      </c>
    </row>
    <row r="557" spans="1:3" x14ac:dyDescent="0.3">
      <c r="A557" s="36">
        <v>33714935009</v>
      </c>
      <c r="B557" t="s">
        <v>215</v>
      </c>
      <c r="C557" s="35" t="s">
        <v>78</v>
      </c>
    </row>
    <row r="558" spans="1:3" x14ac:dyDescent="0.3">
      <c r="A558" s="36">
        <v>33500262899</v>
      </c>
      <c r="B558" t="s">
        <v>216</v>
      </c>
    </row>
    <row r="559" spans="1:3" x14ac:dyDescent="0.3">
      <c r="A559" s="36">
        <v>30662982454</v>
      </c>
      <c r="B559" t="s">
        <v>217</v>
      </c>
    </row>
    <row r="560" spans="1:3" x14ac:dyDescent="0.3">
      <c r="A560" s="36">
        <v>33711366909</v>
      </c>
      <c r="B560" t="s">
        <v>218</v>
      </c>
    </row>
    <row r="561" spans="1:4" x14ac:dyDescent="0.3">
      <c r="A561" s="36">
        <v>30710137710</v>
      </c>
      <c r="B561" t="s">
        <v>219</v>
      </c>
    </row>
    <row r="562" spans="1:4" x14ac:dyDescent="0.3">
      <c r="A562" s="36">
        <v>30687310434</v>
      </c>
      <c r="B562" t="s">
        <v>1450</v>
      </c>
    </row>
    <row r="563" spans="1:4" x14ac:dyDescent="0.3">
      <c r="A563" s="36">
        <v>30687310434</v>
      </c>
      <c r="B563" t="s">
        <v>1450</v>
      </c>
    </row>
    <row r="564" spans="1:4" x14ac:dyDescent="0.3">
      <c r="A564" s="36">
        <v>30515800219</v>
      </c>
      <c r="B564" t="s">
        <v>1139</v>
      </c>
      <c r="C564" s="35" t="s">
        <v>84</v>
      </c>
      <c r="D564" t="s">
        <v>1779</v>
      </c>
    </row>
    <row r="565" spans="1:4" x14ac:dyDescent="0.3">
      <c r="A565" s="36">
        <v>20264361304</v>
      </c>
      <c r="B565" t="s">
        <v>220</v>
      </c>
    </row>
    <row r="566" spans="1:4" x14ac:dyDescent="0.3">
      <c r="A566" s="36">
        <v>30715237071</v>
      </c>
      <c r="B566" t="s">
        <v>221</v>
      </c>
    </row>
    <row r="567" spans="1:4" x14ac:dyDescent="0.3">
      <c r="A567" s="36">
        <v>20104571507</v>
      </c>
      <c r="B567" t="s">
        <v>222</v>
      </c>
    </row>
    <row r="568" spans="1:4" x14ac:dyDescent="0.3">
      <c r="A568" s="36">
        <v>30651822021</v>
      </c>
      <c r="B568" t="s">
        <v>223</v>
      </c>
      <c r="C568" s="35" t="s">
        <v>81</v>
      </c>
    </row>
    <row r="569" spans="1:4" x14ac:dyDescent="0.3">
      <c r="A569" s="36">
        <v>30656675140</v>
      </c>
      <c r="B569" t="s">
        <v>224</v>
      </c>
    </row>
    <row r="570" spans="1:4" x14ac:dyDescent="0.3">
      <c r="A570" s="36">
        <v>33715207619</v>
      </c>
      <c r="B570" t="s">
        <v>225</v>
      </c>
    </row>
    <row r="571" spans="1:4" x14ac:dyDescent="0.3">
      <c r="A571" s="36">
        <v>30627739571</v>
      </c>
      <c r="B571" t="s">
        <v>226</v>
      </c>
    </row>
    <row r="572" spans="1:4" x14ac:dyDescent="0.3">
      <c r="A572" s="36">
        <v>30709273465</v>
      </c>
      <c r="B572" t="s">
        <v>227</v>
      </c>
      <c r="C572" s="35" t="s">
        <v>81</v>
      </c>
    </row>
    <row r="573" spans="1:4" x14ac:dyDescent="0.3">
      <c r="A573" s="36">
        <v>30657735899</v>
      </c>
      <c r="B573" t="s">
        <v>228</v>
      </c>
    </row>
    <row r="574" spans="1:4" x14ac:dyDescent="0.3">
      <c r="A574" s="36">
        <v>30710149468</v>
      </c>
      <c r="B574" t="s">
        <v>229</v>
      </c>
      <c r="C574" s="35" t="s">
        <v>81</v>
      </c>
    </row>
    <row r="575" spans="1:4" x14ac:dyDescent="0.3">
      <c r="A575" s="36">
        <v>30688241614</v>
      </c>
      <c r="B575" t="s">
        <v>230</v>
      </c>
      <c r="C575" s="35" t="s">
        <v>79</v>
      </c>
    </row>
    <row r="576" spans="1:4" x14ac:dyDescent="0.3">
      <c r="A576" s="36">
        <v>30709863076</v>
      </c>
      <c r="B576" t="s">
        <v>1362</v>
      </c>
    </row>
    <row r="577" spans="1:2" x14ac:dyDescent="0.3">
      <c r="A577" s="36">
        <v>30709863076</v>
      </c>
      <c r="B577" t="s">
        <v>1362</v>
      </c>
    </row>
    <row r="578" spans="1:2" x14ac:dyDescent="0.3">
      <c r="A578" s="36">
        <v>30598312377</v>
      </c>
      <c r="B578" t="s">
        <v>231</v>
      </c>
    </row>
    <row r="579" spans="1:2" x14ac:dyDescent="0.3">
      <c r="A579" s="36">
        <v>30715959484</v>
      </c>
      <c r="B579" t="s">
        <v>232</v>
      </c>
    </row>
    <row r="580" spans="1:2" x14ac:dyDescent="0.3">
      <c r="A580" s="36">
        <v>30715959484</v>
      </c>
      <c r="B580" t="s">
        <v>232</v>
      </c>
    </row>
    <row r="581" spans="1:2" x14ac:dyDescent="0.3">
      <c r="A581" s="36">
        <v>30711651779</v>
      </c>
      <c r="B581" t="s">
        <v>1381</v>
      </c>
    </row>
    <row r="582" spans="1:2" x14ac:dyDescent="0.3">
      <c r="A582" s="36">
        <v>30711651779</v>
      </c>
      <c r="B582" t="s">
        <v>1381</v>
      </c>
    </row>
    <row r="583" spans="1:2" x14ac:dyDescent="0.3">
      <c r="A583" s="36">
        <v>30711651779</v>
      </c>
      <c r="B583" t="s">
        <v>1164</v>
      </c>
    </row>
    <row r="584" spans="1:2" x14ac:dyDescent="0.3">
      <c r="A584" s="36">
        <v>30711651779</v>
      </c>
      <c r="B584" t="s">
        <v>1164</v>
      </c>
    </row>
    <row r="585" spans="1:2" x14ac:dyDescent="0.3">
      <c r="A585" s="36">
        <v>30642468339</v>
      </c>
      <c r="B585" t="s">
        <v>233</v>
      </c>
    </row>
    <row r="586" spans="1:2" x14ac:dyDescent="0.3">
      <c r="A586" s="36">
        <v>30618978121</v>
      </c>
      <c r="B586" t="s">
        <v>234</v>
      </c>
    </row>
    <row r="587" spans="1:2" x14ac:dyDescent="0.3">
      <c r="A587" s="36">
        <v>20125768920</v>
      </c>
      <c r="B587" t="s">
        <v>235</v>
      </c>
    </row>
    <row r="588" spans="1:2" x14ac:dyDescent="0.3">
      <c r="A588" s="36">
        <v>30712223703</v>
      </c>
      <c r="B588" t="s">
        <v>236</v>
      </c>
    </row>
    <row r="589" spans="1:2" x14ac:dyDescent="0.3">
      <c r="A589" s="36">
        <v>20259438552</v>
      </c>
      <c r="B589" t="s">
        <v>1152</v>
      </c>
    </row>
    <row r="590" spans="1:2" x14ac:dyDescent="0.3">
      <c r="A590" s="36">
        <v>20259438552</v>
      </c>
      <c r="B590" t="s">
        <v>1177</v>
      </c>
    </row>
    <row r="591" spans="1:2" x14ac:dyDescent="0.3">
      <c r="A591" s="36">
        <v>20259438552</v>
      </c>
      <c r="B591" t="s">
        <v>1152</v>
      </c>
    </row>
    <row r="592" spans="1:2" x14ac:dyDescent="0.3">
      <c r="A592" s="36">
        <v>20259438552</v>
      </c>
      <c r="B592" t="s">
        <v>1152</v>
      </c>
    </row>
    <row r="593" spans="1:3" x14ac:dyDescent="0.3">
      <c r="A593" s="36">
        <v>20259438552</v>
      </c>
      <c r="B593" t="s">
        <v>1177</v>
      </c>
    </row>
    <row r="594" spans="1:3" x14ac:dyDescent="0.3">
      <c r="A594" s="36">
        <v>20259438552</v>
      </c>
      <c r="B594" t="s">
        <v>1152</v>
      </c>
    </row>
    <row r="595" spans="1:3" x14ac:dyDescent="0.3">
      <c r="A595" s="36">
        <v>30618674378</v>
      </c>
      <c r="B595" t="s">
        <v>237</v>
      </c>
    </row>
    <row r="596" spans="1:3" x14ac:dyDescent="0.3">
      <c r="A596" s="36">
        <v>30619552535</v>
      </c>
      <c r="B596" t="s">
        <v>238</v>
      </c>
    </row>
    <row r="597" spans="1:3" x14ac:dyDescent="0.3">
      <c r="A597" s="36">
        <v>30712479945</v>
      </c>
      <c r="B597" t="s">
        <v>239</v>
      </c>
    </row>
    <row r="598" spans="1:3" x14ac:dyDescent="0.3">
      <c r="A598" s="36">
        <v>30573417611</v>
      </c>
      <c r="B598" t="s">
        <v>240</v>
      </c>
    </row>
    <row r="599" spans="1:3" x14ac:dyDescent="0.3">
      <c r="A599" s="36">
        <v>30711738130</v>
      </c>
      <c r="B599" t="s">
        <v>241</v>
      </c>
    </row>
    <row r="600" spans="1:3" x14ac:dyDescent="0.3">
      <c r="A600" s="36">
        <v>33711252229</v>
      </c>
      <c r="B600" t="s">
        <v>242</v>
      </c>
    </row>
    <row r="601" spans="1:3" x14ac:dyDescent="0.3">
      <c r="A601" s="36">
        <v>30525920034</v>
      </c>
      <c r="B601" t="s">
        <v>243</v>
      </c>
    </row>
    <row r="602" spans="1:3" x14ac:dyDescent="0.3">
      <c r="A602" s="36">
        <v>30610211638</v>
      </c>
      <c r="B602" t="s">
        <v>244</v>
      </c>
    </row>
    <row r="603" spans="1:3" x14ac:dyDescent="0.3">
      <c r="A603" s="36">
        <v>30585134534</v>
      </c>
      <c r="B603" t="s">
        <v>245</v>
      </c>
    </row>
    <row r="604" spans="1:3" x14ac:dyDescent="0.3">
      <c r="A604" s="36">
        <v>30697770069</v>
      </c>
      <c r="B604" t="s">
        <v>246</v>
      </c>
      <c r="C604" s="35" t="s">
        <v>81</v>
      </c>
    </row>
    <row r="605" spans="1:3" x14ac:dyDescent="0.3">
      <c r="A605" s="36">
        <v>30707491058</v>
      </c>
      <c r="B605" t="s">
        <v>247</v>
      </c>
    </row>
    <row r="606" spans="1:3" x14ac:dyDescent="0.3">
      <c r="A606" s="36">
        <v>30715363239</v>
      </c>
      <c r="B606" t="s">
        <v>248</v>
      </c>
    </row>
    <row r="607" spans="1:3" x14ac:dyDescent="0.3">
      <c r="A607" s="36">
        <v>33715678689</v>
      </c>
      <c r="B607" t="s">
        <v>249</v>
      </c>
      <c r="C607" s="35" t="s">
        <v>81</v>
      </c>
    </row>
    <row r="608" spans="1:3" x14ac:dyDescent="0.3">
      <c r="A608" s="36">
        <v>30697558868</v>
      </c>
      <c r="B608" t="s">
        <v>250</v>
      </c>
    </row>
    <row r="609" spans="1:3" x14ac:dyDescent="0.3">
      <c r="A609" s="36">
        <v>30699010983</v>
      </c>
      <c r="B609" t="s">
        <v>251</v>
      </c>
    </row>
    <row r="610" spans="1:3" x14ac:dyDescent="0.3">
      <c r="A610" s="36">
        <v>30595476557</v>
      </c>
      <c r="B610" t="s">
        <v>252</v>
      </c>
    </row>
    <row r="611" spans="1:3" x14ac:dyDescent="0.3">
      <c r="A611" s="36">
        <v>30711949573</v>
      </c>
      <c r="B611" t="s">
        <v>253</v>
      </c>
    </row>
    <row r="612" spans="1:3" x14ac:dyDescent="0.3">
      <c r="A612" s="36">
        <v>30710787731</v>
      </c>
      <c r="B612" t="s">
        <v>254</v>
      </c>
    </row>
    <row r="613" spans="1:3" x14ac:dyDescent="0.3">
      <c r="A613" s="36">
        <v>30635770917</v>
      </c>
      <c r="B613" t="s">
        <v>255</v>
      </c>
    </row>
    <row r="614" spans="1:3" x14ac:dyDescent="0.3">
      <c r="A614" s="36">
        <v>30681484635</v>
      </c>
      <c r="B614" t="s">
        <v>1443</v>
      </c>
    </row>
    <row r="615" spans="1:3" x14ac:dyDescent="0.3">
      <c r="A615" s="36">
        <v>30681484635</v>
      </c>
      <c r="B615" t="s">
        <v>1443</v>
      </c>
    </row>
    <row r="616" spans="1:3" x14ac:dyDescent="0.3">
      <c r="A616" s="36">
        <v>30708023910</v>
      </c>
      <c r="B616" t="s">
        <v>1469</v>
      </c>
    </row>
    <row r="617" spans="1:3" x14ac:dyDescent="0.3">
      <c r="A617" s="36">
        <v>30708023910</v>
      </c>
      <c r="B617" t="s">
        <v>1469</v>
      </c>
    </row>
    <row r="618" spans="1:3" x14ac:dyDescent="0.3">
      <c r="A618" s="36">
        <v>30559807970</v>
      </c>
      <c r="B618" t="s">
        <v>256</v>
      </c>
      <c r="C618" s="35" t="s">
        <v>81</v>
      </c>
    </row>
    <row r="619" spans="1:3" x14ac:dyDescent="0.3">
      <c r="A619" s="36">
        <v>20118371047</v>
      </c>
      <c r="B619" t="s">
        <v>257</v>
      </c>
    </row>
    <row r="620" spans="1:3" x14ac:dyDescent="0.3">
      <c r="A620" s="36">
        <v>30708214813</v>
      </c>
      <c r="B620" t="s">
        <v>258</v>
      </c>
      <c r="C620" s="35" t="s">
        <v>81</v>
      </c>
    </row>
    <row r="621" spans="1:3" x14ac:dyDescent="0.3">
      <c r="A621" s="36">
        <v>30716193671</v>
      </c>
      <c r="B621" t="s">
        <v>259</v>
      </c>
    </row>
    <row r="622" spans="1:3" x14ac:dyDescent="0.3">
      <c r="A622" s="36">
        <v>30712187316</v>
      </c>
      <c r="B622" t="s">
        <v>260</v>
      </c>
    </row>
    <row r="623" spans="1:3" x14ac:dyDescent="0.3">
      <c r="A623" s="36">
        <v>30547076679</v>
      </c>
      <c r="B623" t="s">
        <v>261</v>
      </c>
    </row>
    <row r="624" spans="1:3" x14ac:dyDescent="0.3">
      <c r="A624" s="36">
        <v>30709267821</v>
      </c>
      <c r="B624" t="s">
        <v>262</v>
      </c>
      <c r="C624" s="35" t="s">
        <v>81</v>
      </c>
    </row>
    <row r="625" spans="1:3" x14ac:dyDescent="0.3">
      <c r="A625" s="36">
        <v>30517221933</v>
      </c>
      <c r="B625" t="s">
        <v>263</v>
      </c>
    </row>
    <row r="626" spans="1:3" x14ac:dyDescent="0.3">
      <c r="A626" s="36">
        <v>30714474657</v>
      </c>
      <c r="B626" t="s">
        <v>264</v>
      </c>
    </row>
    <row r="627" spans="1:3" x14ac:dyDescent="0.3">
      <c r="A627" s="36">
        <v>30714474657</v>
      </c>
      <c r="B627" t="s">
        <v>264</v>
      </c>
    </row>
    <row r="628" spans="1:3" x14ac:dyDescent="0.3">
      <c r="A628" s="36">
        <v>27162860866</v>
      </c>
      <c r="B628" t="s">
        <v>1520</v>
      </c>
    </row>
    <row r="629" spans="1:3" x14ac:dyDescent="0.3">
      <c r="A629" s="36">
        <v>30711428514</v>
      </c>
      <c r="B629" t="s">
        <v>1459</v>
      </c>
    </row>
    <row r="630" spans="1:3" x14ac:dyDescent="0.3">
      <c r="A630" s="36">
        <v>30711428514</v>
      </c>
      <c r="B630" t="s">
        <v>1459</v>
      </c>
    </row>
    <row r="631" spans="1:3" x14ac:dyDescent="0.3">
      <c r="A631" s="36">
        <v>20226549758</v>
      </c>
      <c r="B631" t="s">
        <v>1145</v>
      </c>
    </row>
    <row r="632" spans="1:3" x14ac:dyDescent="0.3">
      <c r="A632" s="36">
        <v>20226549758</v>
      </c>
      <c r="B632" t="s">
        <v>1145</v>
      </c>
    </row>
    <row r="633" spans="1:3" x14ac:dyDescent="0.3">
      <c r="A633" s="36">
        <v>30707249001</v>
      </c>
      <c r="B633" t="s">
        <v>265</v>
      </c>
      <c r="C633" s="35" t="s">
        <v>81</v>
      </c>
    </row>
    <row r="634" spans="1:3" x14ac:dyDescent="0.3">
      <c r="A634" s="36">
        <v>30636074280</v>
      </c>
      <c r="B634" t="s">
        <v>266</v>
      </c>
    </row>
    <row r="635" spans="1:3" x14ac:dyDescent="0.3">
      <c r="A635" s="36">
        <v>30714306355</v>
      </c>
      <c r="B635" t="s">
        <v>267</v>
      </c>
    </row>
    <row r="636" spans="1:3" x14ac:dyDescent="0.3">
      <c r="A636" s="36">
        <v>30506357841</v>
      </c>
      <c r="B636" t="s">
        <v>268</v>
      </c>
      <c r="C636" s="35" t="s">
        <v>83</v>
      </c>
    </row>
    <row r="637" spans="1:3" x14ac:dyDescent="0.3">
      <c r="A637" s="36">
        <v>30715318195</v>
      </c>
      <c r="B637" t="s">
        <v>269</v>
      </c>
    </row>
    <row r="638" spans="1:3" x14ac:dyDescent="0.3">
      <c r="A638" s="36">
        <v>30715318195</v>
      </c>
      <c r="B638" t="s">
        <v>269</v>
      </c>
    </row>
    <row r="639" spans="1:3" x14ac:dyDescent="0.3">
      <c r="A639" s="36">
        <v>95697506</v>
      </c>
      <c r="B639" t="s">
        <v>1342</v>
      </c>
    </row>
    <row r="640" spans="1:3" x14ac:dyDescent="0.3">
      <c r="A640" s="36">
        <v>95697506</v>
      </c>
      <c r="B640" t="s">
        <v>1342</v>
      </c>
    </row>
    <row r="641" spans="1:3" x14ac:dyDescent="0.3">
      <c r="A641" s="36">
        <v>24931553247</v>
      </c>
      <c r="B641" t="s">
        <v>270</v>
      </c>
    </row>
    <row r="642" spans="1:3" x14ac:dyDescent="0.3">
      <c r="A642" s="36">
        <v>30714902152</v>
      </c>
      <c r="B642" t="s">
        <v>271</v>
      </c>
    </row>
    <row r="643" spans="1:3" x14ac:dyDescent="0.3">
      <c r="A643" s="36">
        <v>20109841286</v>
      </c>
      <c r="B643" t="s">
        <v>272</v>
      </c>
    </row>
    <row r="644" spans="1:3" x14ac:dyDescent="0.3">
      <c r="A644" s="36">
        <v>20216458940</v>
      </c>
      <c r="B644" t="s">
        <v>273</v>
      </c>
    </row>
    <row r="645" spans="1:3" x14ac:dyDescent="0.3">
      <c r="A645" s="36">
        <v>33649669029</v>
      </c>
      <c r="B645" t="s">
        <v>274</v>
      </c>
      <c r="C645" s="35" t="s">
        <v>84</v>
      </c>
    </row>
    <row r="646" spans="1:3" x14ac:dyDescent="0.3">
      <c r="A646" s="36">
        <v>33649669029</v>
      </c>
      <c r="B646" t="s">
        <v>275</v>
      </c>
    </row>
    <row r="647" spans="1:3" x14ac:dyDescent="0.3">
      <c r="A647" s="36">
        <v>33649669029</v>
      </c>
      <c r="B647" t="s">
        <v>275</v>
      </c>
    </row>
    <row r="648" spans="1:3" x14ac:dyDescent="0.3">
      <c r="A648" s="36">
        <v>33649669029</v>
      </c>
      <c r="B648" t="s">
        <v>275</v>
      </c>
    </row>
    <row r="649" spans="1:3" x14ac:dyDescent="0.3">
      <c r="A649" s="36">
        <v>33649669029</v>
      </c>
      <c r="B649" t="s">
        <v>276</v>
      </c>
      <c r="C649" s="35" t="s">
        <v>84</v>
      </c>
    </row>
    <row r="650" spans="1:3" x14ac:dyDescent="0.3">
      <c r="A650" s="36">
        <v>20929018347</v>
      </c>
      <c r="B650" t="s">
        <v>277</v>
      </c>
      <c r="C650" s="35" t="s">
        <v>81</v>
      </c>
    </row>
    <row r="651" spans="1:3" x14ac:dyDescent="0.3">
      <c r="A651" s="36">
        <v>20183380231</v>
      </c>
      <c r="B651" t="s">
        <v>278</v>
      </c>
      <c r="C651" s="35" t="s">
        <v>79</v>
      </c>
    </row>
    <row r="652" spans="1:3" x14ac:dyDescent="0.3">
      <c r="A652" s="36">
        <v>20236755526</v>
      </c>
      <c r="B652" t="s">
        <v>279</v>
      </c>
      <c r="C652" s="35" t="s">
        <v>81</v>
      </c>
    </row>
    <row r="653" spans="1:3" x14ac:dyDescent="0.3">
      <c r="A653" s="36">
        <v>20165471491</v>
      </c>
      <c r="B653" t="s">
        <v>280</v>
      </c>
    </row>
    <row r="654" spans="1:3" x14ac:dyDescent="0.3">
      <c r="A654" s="36">
        <v>30715735713</v>
      </c>
      <c r="B654" t="s">
        <v>281</v>
      </c>
    </row>
    <row r="655" spans="1:3" x14ac:dyDescent="0.3">
      <c r="A655" s="36">
        <v>30005896</v>
      </c>
      <c r="B655" t="s">
        <v>1225</v>
      </c>
    </row>
    <row r="656" spans="1:3" x14ac:dyDescent="0.3">
      <c r="A656" s="36">
        <v>30005896</v>
      </c>
      <c r="B656" t="s">
        <v>1225</v>
      </c>
    </row>
    <row r="657" spans="1:3" x14ac:dyDescent="0.3">
      <c r="A657" s="36">
        <v>30707172769</v>
      </c>
      <c r="B657" t="s">
        <v>282</v>
      </c>
    </row>
    <row r="658" spans="1:3" x14ac:dyDescent="0.3">
      <c r="A658" s="36">
        <v>30712246428</v>
      </c>
      <c r="B658" t="s">
        <v>1435</v>
      </c>
    </row>
    <row r="659" spans="1:3" x14ac:dyDescent="0.3">
      <c r="A659" s="36">
        <v>30712246428</v>
      </c>
      <c r="B659" t="s">
        <v>1435</v>
      </c>
    </row>
    <row r="660" spans="1:3" x14ac:dyDescent="0.3">
      <c r="A660" s="36">
        <v>30715884026</v>
      </c>
      <c r="B660" t="s">
        <v>283</v>
      </c>
    </row>
    <row r="661" spans="1:3" x14ac:dyDescent="0.3">
      <c r="A661" s="36">
        <v>33635997929</v>
      </c>
      <c r="B661" t="s">
        <v>284</v>
      </c>
    </row>
    <row r="662" spans="1:3" x14ac:dyDescent="0.3">
      <c r="A662" s="36">
        <v>30708540141</v>
      </c>
      <c r="B662" t="s">
        <v>285</v>
      </c>
    </row>
    <row r="663" spans="1:3" x14ac:dyDescent="0.3">
      <c r="A663" s="36">
        <v>30678264969</v>
      </c>
      <c r="B663" t="s">
        <v>286</v>
      </c>
      <c r="C663" s="35" t="s">
        <v>81</v>
      </c>
    </row>
    <row r="664" spans="1:3" x14ac:dyDescent="0.3">
      <c r="A664" s="36">
        <v>30707682279</v>
      </c>
      <c r="B664" t="s">
        <v>287</v>
      </c>
      <c r="C664" s="35" t="s">
        <v>81</v>
      </c>
    </row>
    <row r="665" spans="1:3" x14ac:dyDescent="0.3">
      <c r="A665" s="36">
        <v>30631965284</v>
      </c>
      <c r="B665" t="s">
        <v>288</v>
      </c>
    </row>
    <row r="666" spans="1:3" x14ac:dyDescent="0.3">
      <c r="A666" s="36">
        <v>33685799559</v>
      </c>
      <c r="B666" t="s">
        <v>289</v>
      </c>
    </row>
    <row r="667" spans="1:3" x14ac:dyDescent="0.3">
      <c r="A667" s="36">
        <v>30500805222</v>
      </c>
      <c r="B667" t="s">
        <v>290</v>
      </c>
      <c r="C667" s="35" t="s">
        <v>81</v>
      </c>
    </row>
    <row r="668" spans="1:3" x14ac:dyDescent="0.3">
      <c r="A668" s="36">
        <v>30717334090</v>
      </c>
      <c r="B668" t="s">
        <v>291</v>
      </c>
    </row>
    <row r="669" spans="1:3" x14ac:dyDescent="0.3">
      <c r="A669" s="36">
        <v>26206162</v>
      </c>
      <c r="B669" t="s">
        <v>1341</v>
      </c>
    </row>
    <row r="670" spans="1:3" x14ac:dyDescent="0.3">
      <c r="A670" s="36">
        <v>26206162</v>
      </c>
      <c r="B670" t="s">
        <v>1341</v>
      </c>
    </row>
    <row r="671" spans="1:3" x14ac:dyDescent="0.3">
      <c r="A671" s="36">
        <v>20223654151</v>
      </c>
      <c r="B671" t="s">
        <v>292</v>
      </c>
    </row>
    <row r="672" spans="1:3" x14ac:dyDescent="0.3">
      <c r="A672" s="36">
        <v>33709050589</v>
      </c>
      <c r="B672" t="s">
        <v>293</v>
      </c>
      <c r="C672" s="35" t="s">
        <v>81</v>
      </c>
    </row>
    <row r="673" spans="1:2" x14ac:dyDescent="0.3">
      <c r="A673" s="36">
        <v>20085058321</v>
      </c>
      <c r="B673" t="s">
        <v>294</v>
      </c>
    </row>
    <row r="674" spans="1:2" x14ac:dyDescent="0.3">
      <c r="A674" s="36">
        <v>27266689875</v>
      </c>
      <c r="B674" t="s">
        <v>1191</v>
      </c>
    </row>
    <row r="675" spans="1:2" x14ac:dyDescent="0.3">
      <c r="A675" s="36">
        <v>27266689875</v>
      </c>
      <c r="B675" t="s">
        <v>1191</v>
      </c>
    </row>
    <row r="676" spans="1:2" x14ac:dyDescent="0.3">
      <c r="A676" s="36">
        <v>27266689875</v>
      </c>
      <c r="B676" t="s">
        <v>1191</v>
      </c>
    </row>
    <row r="677" spans="1:2" x14ac:dyDescent="0.3">
      <c r="A677" s="36">
        <v>27266689875</v>
      </c>
      <c r="B677" t="s">
        <v>1191</v>
      </c>
    </row>
    <row r="678" spans="1:2" x14ac:dyDescent="0.3">
      <c r="A678" s="36">
        <v>30707763864</v>
      </c>
      <c r="B678" t="s">
        <v>295</v>
      </c>
    </row>
    <row r="679" spans="1:2" x14ac:dyDescent="0.3">
      <c r="A679" s="36">
        <v>30711720169</v>
      </c>
      <c r="B679" t="s">
        <v>1490</v>
      </c>
    </row>
    <row r="680" spans="1:2" x14ac:dyDescent="0.3">
      <c r="A680" s="36">
        <v>30702232046</v>
      </c>
      <c r="B680" t="s">
        <v>296</v>
      </c>
    </row>
    <row r="681" spans="1:2" x14ac:dyDescent="0.3">
      <c r="A681" s="36">
        <v>23220104389</v>
      </c>
      <c r="B681" t="s">
        <v>297</v>
      </c>
    </row>
    <row r="682" spans="1:2" x14ac:dyDescent="0.3">
      <c r="A682" s="36">
        <v>30714185574</v>
      </c>
      <c r="B682" t="s">
        <v>298</v>
      </c>
    </row>
    <row r="683" spans="1:2" x14ac:dyDescent="0.3">
      <c r="A683" s="36">
        <v>30715219014</v>
      </c>
      <c r="B683" t="s">
        <v>1484</v>
      </c>
    </row>
    <row r="684" spans="1:2" x14ac:dyDescent="0.3">
      <c r="A684" s="36">
        <v>30710802404</v>
      </c>
      <c r="B684" t="s">
        <v>1449</v>
      </c>
    </row>
    <row r="685" spans="1:2" x14ac:dyDescent="0.3">
      <c r="A685" s="36">
        <v>30710802404</v>
      </c>
      <c r="B685" t="s">
        <v>1449</v>
      </c>
    </row>
    <row r="686" spans="1:2" x14ac:dyDescent="0.3">
      <c r="A686" s="36">
        <v>30715433245</v>
      </c>
      <c r="B686" t="s">
        <v>299</v>
      </c>
    </row>
    <row r="687" spans="1:2" x14ac:dyDescent="0.3">
      <c r="A687" s="36">
        <v>30707918914</v>
      </c>
      <c r="B687" t="s">
        <v>300</v>
      </c>
    </row>
    <row r="688" spans="1:2" x14ac:dyDescent="0.3">
      <c r="A688" s="36">
        <v>30716365162</v>
      </c>
      <c r="B688" t="s">
        <v>301</v>
      </c>
    </row>
    <row r="689" spans="1:3" x14ac:dyDescent="0.3">
      <c r="A689" s="36">
        <v>30711604703</v>
      </c>
      <c r="B689" t="s">
        <v>1194</v>
      </c>
    </row>
    <row r="690" spans="1:3" x14ac:dyDescent="0.3">
      <c r="A690" s="36">
        <v>30711604703</v>
      </c>
      <c r="B690" t="s">
        <v>1194</v>
      </c>
    </row>
    <row r="691" spans="1:3" x14ac:dyDescent="0.3">
      <c r="A691" s="36">
        <v>30686216019</v>
      </c>
      <c r="B691" t="s">
        <v>302</v>
      </c>
    </row>
    <row r="692" spans="1:3" x14ac:dyDescent="0.3">
      <c r="A692" s="36">
        <v>20188295526</v>
      </c>
      <c r="B692" t="s">
        <v>1496</v>
      </c>
    </row>
    <row r="693" spans="1:3" x14ac:dyDescent="0.3">
      <c r="A693" s="36">
        <v>20161920291</v>
      </c>
      <c r="B693" t="s">
        <v>303</v>
      </c>
    </row>
    <row r="694" spans="1:3" x14ac:dyDescent="0.3">
      <c r="A694" s="36">
        <v>20082440314</v>
      </c>
      <c r="B694" t="s">
        <v>304</v>
      </c>
    </row>
    <row r="695" spans="1:3" x14ac:dyDescent="0.3">
      <c r="A695" s="36">
        <v>27181038727</v>
      </c>
      <c r="B695" t="s">
        <v>305</v>
      </c>
    </row>
    <row r="696" spans="1:3" x14ac:dyDescent="0.3">
      <c r="A696" s="36">
        <v>30688476360</v>
      </c>
      <c r="B696" t="s">
        <v>306</v>
      </c>
    </row>
    <row r="697" spans="1:3" x14ac:dyDescent="0.3">
      <c r="A697" s="36">
        <v>30709664227</v>
      </c>
      <c r="B697" t="s">
        <v>307</v>
      </c>
    </row>
    <row r="698" spans="1:3" x14ac:dyDescent="0.3">
      <c r="A698" s="36">
        <v>20925719677</v>
      </c>
      <c r="B698" t="s">
        <v>308</v>
      </c>
    </row>
    <row r="699" spans="1:3" x14ac:dyDescent="0.3">
      <c r="A699" s="36">
        <v>30710859465</v>
      </c>
      <c r="B699" t="s">
        <v>309</v>
      </c>
    </row>
    <row r="700" spans="1:3" x14ac:dyDescent="0.3">
      <c r="A700" s="36">
        <v>30707538437</v>
      </c>
      <c r="B700" t="s">
        <v>310</v>
      </c>
    </row>
    <row r="701" spans="1:3" x14ac:dyDescent="0.3">
      <c r="A701" s="36">
        <v>33531122599</v>
      </c>
      <c r="B701" t="s">
        <v>311</v>
      </c>
      <c r="C701" s="35" t="s">
        <v>79</v>
      </c>
    </row>
    <row r="702" spans="1:3" x14ac:dyDescent="0.3">
      <c r="A702" s="36">
        <v>30714481343</v>
      </c>
      <c r="B702" t="s">
        <v>312</v>
      </c>
    </row>
    <row r="703" spans="1:3" x14ac:dyDescent="0.3">
      <c r="A703" s="36">
        <v>33654138589</v>
      </c>
      <c r="B703" t="s">
        <v>313</v>
      </c>
    </row>
    <row r="704" spans="1:3" x14ac:dyDescent="0.3">
      <c r="A704" s="36">
        <v>30645614735</v>
      </c>
      <c r="B704" t="s">
        <v>314</v>
      </c>
    </row>
    <row r="705" spans="1:3" x14ac:dyDescent="0.3">
      <c r="A705" s="36">
        <v>30709459399</v>
      </c>
      <c r="B705" t="s">
        <v>315</v>
      </c>
    </row>
    <row r="706" spans="1:3" x14ac:dyDescent="0.3">
      <c r="A706" s="36">
        <v>30682653406</v>
      </c>
      <c r="B706" t="s">
        <v>316</v>
      </c>
    </row>
    <row r="707" spans="1:3" x14ac:dyDescent="0.3">
      <c r="A707" s="36">
        <v>30707439579</v>
      </c>
      <c r="B707" t="s">
        <v>317</v>
      </c>
    </row>
    <row r="708" spans="1:3" x14ac:dyDescent="0.3">
      <c r="A708" s="36">
        <v>30500051163</v>
      </c>
      <c r="B708" t="s">
        <v>318</v>
      </c>
    </row>
    <row r="709" spans="1:3" x14ac:dyDescent="0.3">
      <c r="A709" s="36">
        <v>30715305093</v>
      </c>
      <c r="B709" t="s">
        <v>319</v>
      </c>
    </row>
    <row r="710" spans="1:3" x14ac:dyDescent="0.3">
      <c r="A710" s="267">
        <v>30663213748</v>
      </c>
      <c r="B710" t="s">
        <v>320</v>
      </c>
    </row>
    <row r="711" spans="1:3" x14ac:dyDescent="0.3">
      <c r="A711" s="36">
        <v>30663213748</v>
      </c>
      <c r="B711" t="s">
        <v>321</v>
      </c>
    </row>
    <row r="712" spans="1:3" x14ac:dyDescent="0.3">
      <c r="A712" s="36">
        <v>30663213748</v>
      </c>
      <c r="B712" t="s">
        <v>321</v>
      </c>
    </row>
    <row r="713" spans="1:3" x14ac:dyDescent="0.3">
      <c r="A713" s="36">
        <v>30663213748</v>
      </c>
      <c r="B713" t="s">
        <v>321</v>
      </c>
    </row>
    <row r="714" spans="1:3" x14ac:dyDescent="0.3">
      <c r="A714" s="36">
        <v>30711439311</v>
      </c>
      <c r="B714" t="s">
        <v>1547</v>
      </c>
      <c r="C714" s="35" t="s">
        <v>1901</v>
      </c>
    </row>
    <row r="715" spans="1:3" x14ac:dyDescent="0.3">
      <c r="A715" s="36">
        <v>30714871729</v>
      </c>
      <c r="B715" t="s">
        <v>322</v>
      </c>
    </row>
    <row r="716" spans="1:3" x14ac:dyDescent="0.3">
      <c r="A716" s="36">
        <v>30697583048</v>
      </c>
      <c r="B716" t="s">
        <v>323</v>
      </c>
    </row>
    <row r="717" spans="1:3" x14ac:dyDescent="0.3">
      <c r="A717" s="36">
        <v>30711005966</v>
      </c>
      <c r="B717" t="s">
        <v>1425</v>
      </c>
    </row>
    <row r="718" spans="1:3" x14ac:dyDescent="0.3">
      <c r="A718" s="36">
        <v>30606475558</v>
      </c>
      <c r="B718" t="s">
        <v>324</v>
      </c>
    </row>
    <row r="719" spans="1:3" x14ac:dyDescent="0.3">
      <c r="A719" s="36">
        <v>33717012319</v>
      </c>
      <c r="B719" t="s">
        <v>325</v>
      </c>
    </row>
    <row r="720" spans="1:3" x14ac:dyDescent="0.3">
      <c r="A720" s="36">
        <v>23225375364</v>
      </c>
      <c r="B720" t="s">
        <v>326</v>
      </c>
    </row>
    <row r="721" spans="1:2" x14ac:dyDescent="0.3">
      <c r="A721" s="36">
        <v>30687091295</v>
      </c>
      <c r="B721" t="s">
        <v>1549</v>
      </c>
    </row>
    <row r="722" spans="1:2" x14ac:dyDescent="0.3">
      <c r="A722" s="36">
        <v>30585254297</v>
      </c>
      <c r="B722" t="s">
        <v>327</v>
      </c>
    </row>
    <row r="723" spans="1:2" x14ac:dyDescent="0.3">
      <c r="A723" s="36">
        <v>23062664444</v>
      </c>
      <c r="B723" t="s">
        <v>328</v>
      </c>
    </row>
    <row r="724" spans="1:2" x14ac:dyDescent="0.3">
      <c r="A724" s="36">
        <v>30714212628</v>
      </c>
      <c r="B724" t="s">
        <v>329</v>
      </c>
    </row>
    <row r="725" spans="1:2" x14ac:dyDescent="0.3">
      <c r="A725" s="36">
        <v>33708818319</v>
      </c>
      <c r="B725" t="s">
        <v>330</v>
      </c>
    </row>
    <row r="726" spans="1:2" x14ac:dyDescent="0.3">
      <c r="A726" s="36">
        <v>20183150740</v>
      </c>
      <c r="B726" t="s">
        <v>331</v>
      </c>
    </row>
    <row r="727" spans="1:2" x14ac:dyDescent="0.3">
      <c r="A727" s="36">
        <v>30708784067</v>
      </c>
      <c r="B727" t="s">
        <v>1360</v>
      </c>
    </row>
    <row r="728" spans="1:2" x14ac:dyDescent="0.3">
      <c r="A728" s="36">
        <v>30708784067</v>
      </c>
      <c r="B728" t="s">
        <v>1360</v>
      </c>
    </row>
    <row r="729" spans="1:2" x14ac:dyDescent="0.3">
      <c r="A729" s="36">
        <v>20043924312</v>
      </c>
      <c r="B729" t="s">
        <v>332</v>
      </c>
    </row>
    <row r="730" spans="1:2" x14ac:dyDescent="0.3">
      <c r="A730" s="36">
        <v>20304751569</v>
      </c>
      <c r="B730" t="s">
        <v>333</v>
      </c>
    </row>
    <row r="731" spans="1:2" x14ac:dyDescent="0.3">
      <c r="A731" s="36">
        <v>20121778042</v>
      </c>
      <c r="B731" t="s">
        <v>334</v>
      </c>
    </row>
    <row r="732" spans="1:2" x14ac:dyDescent="0.3">
      <c r="A732" s="36">
        <v>30691251191</v>
      </c>
      <c r="B732" t="s">
        <v>335</v>
      </c>
    </row>
    <row r="733" spans="1:2" x14ac:dyDescent="0.3">
      <c r="A733" s="36">
        <v>27249631413</v>
      </c>
      <c r="B733" t="s">
        <v>336</v>
      </c>
    </row>
    <row r="734" spans="1:2" x14ac:dyDescent="0.3">
      <c r="A734" s="36">
        <v>30676666253</v>
      </c>
      <c r="B734" t="s">
        <v>337</v>
      </c>
    </row>
    <row r="735" spans="1:2" x14ac:dyDescent="0.3">
      <c r="A735" s="36">
        <v>30708378425</v>
      </c>
      <c r="B735" t="s">
        <v>338</v>
      </c>
    </row>
    <row r="736" spans="1:2" x14ac:dyDescent="0.3">
      <c r="A736" s="36">
        <v>30679107220</v>
      </c>
      <c r="B736" t="s">
        <v>339</v>
      </c>
    </row>
    <row r="737" spans="1:3" x14ac:dyDescent="0.3">
      <c r="A737" s="36">
        <v>30716150042</v>
      </c>
      <c r="B737" t="s">
        <v>340</v>
      </c>
    </row>
    <row r="738" spans="1:3" x14ac:dyDescent="0.3">
      <c r="A738" s="36">
        <v>20307580862</v>
      </c>
      <c r="B738" t="s">
        <v>1514</v>
      </c>
    </row>
    <row r="739" spans="1:3" x14ac:dyDescent="0.3">
      <c r="A739" s="36">
        <v>30709153095</v>
      </c>
      <c r="B739" t="s">
        <v>341</v>
      </c>
      <c r="C739" s="35" t="s">
        <v>81</v>
      </c>
    </row>
    <row r="740" spans="1:3" x14ac:dyDescent="0.3">
      <c r="A740" s="36">
        <v>20043978366</v>
      </c>
      <c r="B740" t="s">
        <v>342</v>
      </c>
    </row>
    <row r="741" spans="1:3" x14ac:dyDescent="0.3">
      <c r="A741" s="36">
        <v>30710374801</v>
      </c>
      <c r="B741" t="s">
        <v>343</v>
      </c>
      <c r="C741" s="35" t="s">
        <v>79</v>
      </c>
    </row>
    <row r="742" spans="1:3" x14ac:dyDescent="0.3">
      <c r="A742" s="36">
        <v>30710386559</v>
      </c>
      <c r="B742" t="s">
        <v>344</v>
      </c>
      <c r="C742" s="35" t="s">
        <v>81</v>
      </c>
    </row>
    <row r="743" spans="1:3" x14ac:dyDescent="0.3">
      <c r="A743" s="36">
        <v>30653022774</v>
      </c>
      <c r="B743" t="s">
        <v>345</v>
      </c>
    </row>
    <row r="744" spans="1:3" x14ac:dyDescent="0.3">
      <c r="A744" s="36">
        <v>20222524564</v>
      </c>
      <c r="B744" t="s">
        <v>1430</v>
      </c>
    </row>
    <row r="745" spans="1:3" x14ac:dyDescent="0.3">
      <c r="A745" s="36">
        <v>20222524564</v>
      </c>
      <c r="B745" t="s">
        <v>1430</v>
      </c>
    </row>
    <row r="746" spans="1:3" x14ac:dyDescent="0.3">
      <c r="A746" s="36">
        <v>3079881767</v>
      </c>
      <c r="B746" t="s">
        <v>346</v>
      </c>
    </row>
    <row r="747" spans="1:3" x14ac:dyDescent="0.3">
      <c r="A747" s="36">
        <v>30715668862</v>
      </c>
      <c r="B747" t="s">
        <v>347</v>
      </c>
    </row>
    <row r="748" spans="1:3" x14ac:dyDescent="0.3">
      <c r="A748" s="36">
        <v>26410585</v>
      </c>
      <c r="B748" t="s">
        <v>1278</v>
      </c>
    </row>
    <row r="749" spans="1:3" x14ac:dyDescent="0.3">
      <c r="A749" s="36">
        <v>26410585</v>
      </c>
      <c r="B749" t="s">
        <v>1278</v>
      </c>
    </row>
    <row r="750" spans="1:3" x14ac:dyDescent="0.3">
      <c r="A750" s="36">
        <v>30712255249</v>
      </c>
      <c r="B750" t="s">
        <v>348</v>
      </c>
    </row>
    <row r="751" spans="1:3" x14ac:dyDescent="0.3">
      <c r="A751" s="36">
        <v>30678617926</v>
      </c>
      <c r="B751" t="s">
        <v>349</v>
      </c>
    </row>
    <row r="752" spans="1:3" x14ac:dyDescent="0.3">
      <c r="A752" s="36">
        <v>27946127588</v>
      </c>
      <c r="B752" t="s">
        <v>350</v>
      </c>
    </row>
    <row r="753" spans="1:3" x14ac:dyDescent="0.3">
      <c r="A753" s="36">
        <v>20162031326</v>
      </c>
      <c r="B753" t="s">
        <v>351</v>
      </c>
      <c r="C753" s="35" t="s">
        <v>81</v>
      </c>
    </row>
    <row r="754" spans="1:3" x14ac:dyDescent="0.3">
      <c r="A754" s="36">
        <v>20945139855</v>
      </c>
      <c r="B754" t="s">
        <v>352</v>
      </c>
    </row>
    <row r="755" spans="1:3" x14ac:dyDescent="0.3">
      <c r="A755" s="36">
        <v>20041802082</v>
      </c>
      <c r="B755" t="s">
        <v>353</v>
      </c>
      <c r="C755" s="35" t="s">
        <v>79</v>
      </c>
    </row>
    <row r="756" spans="1:3" x14ac:dyDescent="0.3">
      <c r="A756" s="36">
        <v>20277189071</v>
      </c>
      <c r="B756" t="s">
        <v>354</v>
      </c>
    </row>
    <row r="757" spans="1:3" x14ac:dyDescent="0.3">
      <c r="A757" s="36">
        <v>23223377734</v>
      </c>
      <c r="B757" t="s">
        <v>355</v>
      </c>
    </row>
    <row r="758" spans="1:3" x14ac:dyDescent="0.3">
      <c r="A758" s="36">
        <v>30661041486</v>
      </c>
      <c r="B758" t="s">
        <v>356</v>
      </c>
    </row>
    <row r="759" spans="1:3" x14ac:dyDescent="0.3">
      <c r="A759" s="36">
        <v>20145266522</v>
      </c>
      <c r="B759" t="s">
        <v>357</v>
      </c>
    </row>
    <row r="760" spans="1:3" x14ac:dyDescent="0.3">
      <c r="A760" s="36">
        <v>27933367237</v>
      </c>
      <c r="B760" t="s">
        <v>358</v>
      </c>
    </row>
    <row r="761" spans="1:3" x14ac:dyDescent="0.3">
      <c r="A761" s="36">
        <v>30612929455</v>
      </c>
      <c r="B761" t="s">
        <v>1444</v>
      </c>
    </row>
    <row r="762" spans="1:3" x14ac:dyDescent="0.3">
      <c r="A762" s="36">
        <v>30612929455</v>
      </c>
      <c r="B762" t="s">
        <v>1444</v>
      </c>
    </row>
    <row r="763" spans="1:3" x14ac:dyDescent="0.3">
      <c r="A763" s="36">
        <v>30710295529</v>
      </c>
      <c r="B763" t="s">
        <v>359</v>
      </c>
    </row>
    <row r="764" spans="1:3" x14ac:dyDescent="0.3">
      <c r="A764" s="36">
        <v>30715723871</v>
      </c>
      <c r="B764" t="s">
        <v>360</v>
      </c>
    </row>
    <row r="765" spans="1:3" x14ac:dyDescent="0.3">
      <c r="A765" s="36">
        <v>23120106953</v>
      </c>
      <c r="B765" t="s">
        <v>1148</v>
      </c>
    </row>
    <row r="766" spans="1:3" x14ac:dyDescent="0.3">
      <c r="A766" s="36">
        <v>23120106953</v>
      </c>
      <c r="B766" t="s">
        <v>1148</v>
      </c>
    </row>
    <row r="767" spans="1:3" x14ac:dyDescent="0.3">
      <c r="A767" s="36">
        <v>20115545397</v>
      </c>
      <c r="B767" t="s">
        <v>361</v>
      </c>
      <c r="C767" s="35" t="s">
        <v>90</v>
      </c>
    </row>
    <row r="768" spans="1:3" x14ac:dyDescent="0.3">
      <c r="A768" s="36">
        <v>30715148958</v>
      </c>
      <c r="B768" t="s">
        <v>362</v>
      </c>
      <c r="C768" s="35" t="s">
        <v>90</v>
      </c>
    </row>
    <row r="769" spans="1:3" x14ac:dyDescent="0.3">
      <c r="A769" s="36">
        <v>30679067431</v>
      </c>
      <c r="B769" t="s">
        <v>363</v>
      </c>
      <c r="C769" s="35" t="s">
        <v>90</v>
      </c>
    </row>
    <row r="770" spans="1:3" x14ac:dyDescent="0.3">
      <c r="A770" s="36">
        <v>20402302462</v>
      </c>
      <c r="B770" t="s">
        <v>364</v>
      </c>
    </row>
    <row r="771" spans="1:3" x14ac:dyDescent="0.3">
      <c r="A771" s="36">
        <v>20262808557</v>
      </c>
      <c r="B771" t="s">
        <v>365</v>
      </c>
      <c r="C771" s="35" t="s">
        <v>79</v>
      </c>
    </row>
    <row r="772" spans="1:3" x14ac:dyDescent="0.3">
      <c r="A772" s="36">
        <v>27129657710</v>
      </c>
      <c r="B772" t="s">
        <v>366</v>
      </c>
    </row>
    <row r="773" spans="1:3" x14ac:dyDescent="0.3">
      <c r="A773" s="36">
        <v>30715028480</v>
      </c>
      <c r="B773" t="s">
        <v>367</v>
      </c>
    </row>
    <row r="774" spans="1:3" x14ac:dyDescent="0.3">
      <c r="A774" s="36">
        <v>30716473682</v>
      </c>
      <c r="B774" t="s">
        <v>368</v>
      </c>
    </row>
    <row r="775" spans="1:3" x14ac:dyDescent="0.3">
      <c r="A775" s="36">
        <v>30708326794</v>
      </c>
      <c r="B775" t="s">
        <v>369</v>
      </c>
    </row>
    <row r="776" spans="1:3" x14ac:dyDescent="0.3">
      <c r="A776" s="36">
        <v>20124975035</v>
      </c>
      <c r="B776" t="s">
        <v>370</v>
      </c>
    </row>
    <row r="777" spans="1:3" x14ac:dyDescent="0.3">
      <c r="A777" s="36">
        <v>30708035633</v>
      </c>
      <c r="B777" t="s">
        <v>371</v>
      </c>
    </row>
    <row r="778" spans="1:3" x14ac:dyDescent="0.3">
      <c r="A778" s="36">
        <v>27061737230</v>
      </c>
      <c r="B778" t="s">
        <v>1515</v>
      </c>
    </row>
    <row r="779" spans="1:3" x14ac:dyDescent="0.3">
      <c r="A779" s="36">
        <v>30711515727</v>
      </c>
      <c r="B779" t="s">
        <v>372</v>
      </c>
    </row>
    <row r="780" spans="1:3" x14ac:dyDescent="0.3">
      <c r="A780" s="36">
        <v>30714647594</v>
      </c>
      <c r="B780" t="s">
        <v>373</v>
      </c>
    </row>
    <row r="781" spans="1:3" x14ac:dyDescent="0.3">
      <c r="A781" s="36">
        <v>30687280438</v>
      </c>
      <c r="B781" t="s">
        <v>374</v>
      </c>
    </row>
    <row r="782" spans="1:3" x14ac:dyDescent="0.3">
      <c r="A782" s="36">
        <v>30687280438</v>
      </c>
      <c r="B782" t="s">
        <v>375</v>
      </c>
    </row>
    <row r="783" spans="1:3" x14ac:dyDescent="0.3">
      <c r="A783" s="36">
        <v>30708168366</v>
      </c>
      <c r="B783" t="s">
        <v>376</v>
      </c>
    </row>
    <row r="784" spans="1:3" x14ac:dyDescent="0.3">
      <c r="A784" s="36">
        <v>30618850133</v>
      </c>
      <c r="B784" t="s">
        <v>377</v>
      </c>
    </row>
    <row r="785" spans="1:3" x14ac:dyDescent="0.3">
      <c r="A785" s="36">
        <v>30675994915</v>
      </c>
      <c r="B785" t="s">
        <v>1550</v>
      </c>
    </row>
    <row r="786" spans="1:3" x14ac:dyDescent="0.3">
      <c r="A786" s="36">
        <v>23113845554</v>
      </c>
      <c r="B786" t="s">
        <v>378</v>
      </c>
    </row>
    <row r="787" spans="1:3" x14ac:dyDescent="0.3">
      <c r="A787" s="36">
        <v>30710265425</v>
      </c>
      <c r="B787" t="s">
        <v>379</v>
      </c>
    </row>
    <row r="788" spans="1:3" x14ac:dyDescent="0.3">
      <c r="A788" s="36">
        <v>30547188760</v>
      </c>
      <c r="B788" t="s">
        <v>380</v>
      </c>
    </row>
    <row r="789" spans="1:3" x14ac:dyDescent="0.3">
      <c r="A789" s="36">
        <v>30500833781</v>
      </c>
      <c r="B789" t="s">
        <v>381</v>
      </c>
      <c r="C789" s="35" t="s">
        <v>81</v>
      </c>
    </row>
    <row r="790" spans="1:3" x14ac:dyDescent="0.3">
      <c r="A790" s="36">
        <v>20266711671</v>
      </c>
      <c r="B790" t="s">
        <v>382</v>
      </c>
    </row>
    <row r="791" spans="1:3" x14ac:dyDescent="0.3">
      <c r="A791" s="36">
        <v>27048813181</v>
      </c>
      <c r="B791" t="s">
        <v>383</v>
      </c>
    </row>
    <row r="792" spans="1:3" x14ac:dyDescent="0.3">
      <c r="A792" s="36">
        <v>27345827841</v>
      </c>
      <c r="B792" t="s">
        <v>384</v>
      </c>
      <c r="C792" s="35" t="s">
        <v>81</v>
      </c>
    </row>
    <row r="793" spans="1:3" x14ac:dyDescent="0.3">
      <c r="A793" s="36">
        <v>20162408888</v>
      </c>
      <c r="B793" t="s">
        <v>385</v>
      </c>
    </row>
    <row r="794" spans="1:3" x14ac:dyDescent="0.3">
      <c r="A794" s="36">
        <v>20345836404</v>
      </c>
      <c r="B794" t="s">
        <v>386</v>
      </c>
      <c r="C794" s="35" t="s">
        <v>79</v>
      </c>
    </row>
    <row r="795" spans="1:3" x14ac:dyDescent="0.3">
      <c r="A795" s="36">
        <v>23277121859</v>
      </c>
      <c r="B795" t="s">
        <v>1445</v>
      </c>
    </row>
    <row r="796" spans="1:3" x14ac:dyDescent="0.3">
      <c r="A796" s="36">
        <v>23277121859</v>
      </c>
      <c r="B796" t="s">
        <v>1445</v>
      </c>
    </row>
    <row r="797" spans="1:3" x14ac:dyDescent="0.3">
      <c r="A797" s="36">
        <v>20256826470</v>
      </c>
      <c r="B797" t="s">
        <v>387</v>
      </c>
    </row>
    <row r="798" spans="1:3" x14ac:dyDescent="0.3">
      <c r="A798" s="36">
        <v>35186493</v>
      </c>
      <c r="B798" t="s">
        <v>1207</v>
      </c>
    </row>
    <row r="799" spans="1:3" x14ac:dyDescent="0.3">
      <c r="A799" s="36">
        <v>35186493</v>
      </c>
      <c r="B799" t="s">
        <v>1207</v>
      </c>
    </row>
    <row r="800" spans="1:3" x14ac:dyDescent="0.3">
      <c r="A800" s="36">
        <v>37596714</v>
      </c>
      <c r="B800" t="s">
        <v>1317</v>
      </c>
    </row>
    <row r="801" spans="1:2" x14ac:dyDescent="0.3">
      <c r="A801" s="36">
        <v>37596714</v>
      </c>
      <c r="B801" t="s">
        <v>1317</v>
      </c>
    </row>
    <row r="802" spans="1:2" x14ac:dyDescent="0.3">
      <c r="A802" s="36">
        <v>37937689</v>
      </c>
      <c r="B802" t="s">
        <v>1280</v>
      </c>
    </row>
    <row r="803" spans="1:2" x14ac:dyDescent="0.3">
      <c r="A803" s="36">
        <v>37937689</v>
      </c>
      <c r="B803" t="s">
        <v>1280</v>
      </c>
    </row>
    <row r="804" spans="1:2" x14ac:dyDescent="0.3">
      <c r="A804" s="36">
        <v>37937689</v>
      </c>
      <c r="B804" t="s">
        <v>1280</v>
      </c>
    </row>
    <row r="805" spans="1:2" x14ac:dyDescent="0.3">
      <c r="A805" s="36">
        <v>37937689</v>
      </c>
      <c r="B805" t="s">
        <v>1280</v>
      </c>
    </row>
    <row r="806" spans="1:2" x14ac:dyDescent="0.3">
      <c r="A806" s="36">
        <v>111</v>
      </c>
      <c r="B806" t="s">
        <v>1297</v>
      </c>
    </row>
    <row r="807" spans="1:2" x14ac:dyDescent="0.3">
      <c r="A807" s="36">
        <v>111</v>
      </c>
      <c r="B807" t="s">
        <v>1297</v>
      </c>
    </row>
    <row r="808" spans="1:2" x14ac:dyDescent="0.3">
      <c r="A808" s="36">
        <v>30596572711</v>
      </c>
      <c r="B808" t="s">
        <v>388</v>
      </c>
    </row>
    <row r="809" spans="1:2" x14ac:dyDescent="0.3">
      <c r="A809" s="36">
        <v>27258239577</v>
      </c>
      <c r="B809" t="s">
        <v>1192</v>
      </c>
    </row>
    <row r="810" spans="1:2" x14ac:dyDescent="0.3">
      <c r="A810" s="36">
        <v>27258239577</v>
      </c>
      <c r="B810" t="s">
        <v>1192</v>
      </c>
    </row>
    <row r="811" spans="1:2" x14ac:dyDescent="0.3">
      <c r="A811" s="36">
        <v>27321118084</v>
      </c>
      <c r="B811" t="s">
        <v>1497</v>
      </c>
    </row>
    <row r="812" spans="1:2" x14ac:dyDescent="0.3">
      <c r="A812" s="36">
        <v>30716008440</v>
      </c>
      <c r="B812" t="s">
        <v>389</v>
      </c>
    </row>
    <row r="813" spans="1:2" x14ac:dyDescent="0.3">
      <c r="A813" s="36">
        <v>30712222499</v>
      </c>
      <c r="B813" t="s">
        <v>1563</v>
      </c>
    </row>
    <row r="814" spans="1:2" x14ac:dyDescent="0.3">
      <c r="A814" s="36">
        <v>20137542855</v>
      </c>
      <c r="B814" t="s">
        <v>390</v>
      </c>
    </row>
    <row r="815" spans="1:2" x14ac:dyDescent="0.3">
      <c r="A815" s="36">
        <v>33879446</v>
      </c>
      <c r="B815" t="s">
        <v>1324</v>
      </c>
    </row>
    <row r="816" spans="1:2" x14ac:dyDescent="0.3">
      <c r="A816" s="36">
        <v>33879446</v>
      </c>
      <c r="B816" t="s">
        <v>1324</v>
      </c>
    </row>
    <row r="817" spans="1:3" x14ac:dyDescent="0.3">
      <c r="A817" s="36">
        <v>30714725358</v>
      </c>
      <c r="B817" t="s">
        <v>391</v>
      </c>
    </row>
    <row r="818" spans="1:3" x14ac:dyDescent="0.3">
      <c r="A818" s="36">
        <v>30715952773</v>
      </c>
      <c r="B818" t="s">
        <v>392</v>
      </c>
    </row>
    <row r="819" spans="1:3" x14ac:dyDescent="0.3">
      <c r="A819" s="36">
        <v>30711022461</v>
      </c>
      <c r="B819" t="s">
        <v>393</v>
      </c>
    </row>
    <row r="820" spans="1:3" x14ac:dyDescent="0.3">
      <c r="A820" s="36">
        <v>20604520348</v>
      </c>
      <c r="B820" t="s">
        <v>394</v>
      </c>
    </row>
    <row r="821" spans="1:3" x14ac:dyDescent="0.3">
      <c r="A821" s="36">
        <v>30694562392</v>
      </c>
      <c r="B821" t="s">
        <v>395</v>
      </c>
    </row>
    <row r="822" spans="1:3" x14ac:dyDescent="0.3">
      <c r="A822" s="36">
        <v>20932821851</v>
      </c>
      <c r="B822" t="s">
        <v>396</v>
      </c>
      <c r="C822" s="35" t="s">
        <v>79</v>
      </c>
    </row>
    <row r="823" spans="1:3" x14ac:dyDescent="0.3">
      <c r="A823" s="36">
        <v>23126017189</v>
      </c>
      <c r="B823" t="s">
        <v>397</v>
      </c>
    </row>
    <row r="824" spans="1:3" x14ac:dyDescent="0.3">
      <c r="A824" s="36">
        <v>30707523839</v>
      </c>
      <c r="B824" t="s">
        <v>398</v>
      </c>
    </row>
    <row r="825" spans="1:3" x14ac:dyDescent="0.3">
      <c r="A825" s="36">
        <v>27139133523</v>
      </c>
      <c r="B825" t="s">
        <v>399</v>
      </c>
    </row>
    <row r="826" spans="1:3" x14ac:dyDescent="0.3">
      <c r="A826" s="36">
        <v>23084885029</v>
      </c>
      <c r="B826" t="s">
        <v>400</v>
      </c>
    </row>
    <row r="827" spans="1:3" x14ac:dyDescent="0.3">
      <c r="A827" s="36">
        <v>20328816807</v>
      </c>
      <c r="B827" t="s">
        <v>1394</v>
      </c>
    </row>
    <row r="828" spans="1:3" x14ac:dyDescent="0.3">
      <c r="A828" s="36">
        <v>20328816807</v>
      </c>
      <c r="B828" t="s">
        <v>1394</v>
      </c>
    </row>
    <row r="829" spans="1:3" x14ac:dyDescent="0.3">
      <c r="A829" s="36">
        <v>30690082019</v>
      </c>
      <c r="B829" t="s">
        <v>401</v>
      </c>
    </row>
    <row r="830" spans="1:3" x14ac:dyDescent="0.3">
      <c r="A830" s="36">
        <v>33710560299</v>
      </c>
      <c r="B830" t="s">
        <v>402</v>
      </c>
    </row>
    <row r="831" spans="1:3" x14ac:dyDescent="0.3">
      <c r="A831" s="36">
        <v>30711561494</v>
      </c>
      <c r="B831" t="s">
        <v>403</v>
      </c>
      <c r="C831" s="35" t="s">
        <v>79</v>
      </c>
    </row>
    <row r="832" spans="1:3" x14ac:dyDescent="0.3">
      <c r="A832" s="36">
        <v>30712512241</v>
      </c>
      <c r="B832" t="s">
        <v>404</v>
      </c>
      <c r="C832" s="35" t="s">
        <v>81</v>
      </c>
    </row>
    <row r="833" spans="1:3" x14ac:dyDescent="0.3">
      <c r="A833" s="36">
        <v>30714597066</v>
      </c>
      <c r="B833" t="s">
        <v>405</v>
      </c>
    </row>
    <row r="834" spans="1:3" x14ac:dyDescent="0.3">
      <c r="A834" s="36">
        <v>30700902532</v>
      </c>
      <c r="B834" t="s">
        <v>406</v>
      </c>
    </row>
    <row r="835" spans="1:3" x14ac:dyDescent="0.3">
      <c r="A835" s="36">
        <v>30715685457</v>
      </c>
      <c r="B835" t="s">
        <v>407</v>
      </c>
    </row>
    <row r="836" spans="1:3" x14ac:dyDescent="0.3">
      <c r="A836" s="36">
        <v>20309264666</v>
      </c>
      <c r="B836" t="s">
        <v>408</v>
      </c>
      <c r="C836" s="35" t="s">
        <v>79</v>
      </c>
    </row>
    <row r="837" spans="1:3" x14ac:dyDescent="0.3">
      <c r="A837" s="36">
        <v>30713134704</v>
      </c>
      <c r="B837" t="s">
        <v>409</v>
      </c>
    </row>
    <row r="838" spans="1:3" x14ac:dyDescent="0.3">
      <c r="A838" s="36">
        <v>30651861299</v>
      </c>
      <c r="B838" t="s">
        <v>410</v>
      </c>
      <c r="C838" s="35" t="s">
        <v>81</v>
      </c>
    </row>
    <row r="839" spans="1:3" x14ac:dyDescent="0.3">
      <c r="A839" s="36">
        <v>30714155225</v>
      </c>
      <c r="B839" t="s">
        <v>411</v>
      </c>
    </row>
    <row r="840" spans="1:3" x14ac:dyDescent="0.3">
      <c r="A840" s="36">
        <v>30714155225</v>
      </c>
      <c r="B840" t="s">
        <v>411</v>
      </c>
    </row>
    <row r="841" spans="1:3" x14ac:dyDescent="0.3">
      <c r="A841" s="36">
        <v>20222545383</v>
      </c>
      <c r="B841" t="s">
        <v>412</v>
      </c>
    </row>
    <row r="842" spans="1:3" x14ac:dyDescent="0.3">
      <c r="A842" s="36">
        <v>30589621499</v>
      </c>
      <c r="B842" t="s">
        <v>91</v>
      </c>
    </row>
    <row r="843" spans="1:3" x14ac:dyDescent="0.3">
      <c r="A843" s="36">
        <v>20251522899</v>
      </c>
      <c r="B843" t="s">
        <v>1434</v>
      </c>
    </row>
    <row r="844" spans="1:3" x14ac:dyDescent="0.3">
      <c r="A844" s="36">
        <v>20251522899</v>
      </c>
      <c r="B844" t="s">
        <v>1434</v>
      </c>
    </row>
    <row r="845" spans="1:3" x14ac:dyDescent="0.3">
      <c r="A845" s="36">
        <v>20120338529</v>
      </c>
      <c r="B845" t="s">
        <v>413</v>
      </c>
    </row>
    <row r="846" spans="1:3" x14ac:dyDescent="0.3">
      <c r="A846" s="36">
        <v>20251542229</v>
      </c>
      <c r="B846" t="s">
        <v>414</v>
      </c>
    </row>
    <row r="847" spans="1:3" x14ac:dyDescent="0.3">
      <c r="A847" s="36">
        <v>30715418130</v>
      </c>
      <c r="B847" t="s">
        <v>415</v>
      </c>
    </row>
    <row r="848" spans="1:3" x14ac:dyDescent="0.3">
      <c r="A848" s="36">
        <v>44824322</v>
      </c>
      <c r="B848" t="s">
        <v>1353</v>
      </c>
    </row>
    <row r="849" spans="1:3" x14ac:dyDescent="0.3">
      <c r="A849" s="36">
        <v>44824322</v>
      </c>
      <c r="B849" t="s">
        <v>1353</v>
      </c>
    </row>
    <row r="850" spans="1:3" x14ac:dyDescent="0.3">
      <c r="A850" s="36">
        <v>30716829649</v>
      </c>
      <c r="B850" t="s">
        <v>416</v>
      </c>
    </row>
    <row r="851" spans="1:3" x14ac:dyDescent="0.3">
      <c r="A851" s="36">
        <v>33710682599</v>
      </c>
      <c r="B851" t="s">
        <v>417</v>
      </c>
    </row>
    <row r="852" spans="1:3" x14ac:dyDescent="0.3">
      <c r="A852" s="36">
        <v>30712480358</v>
      </c>
      <c r="B852" t="s">
        <v>418</v>
      </c>
      <c r="C852" s="35" t="s">
        <v>83</v>
      </c>
    </row>
    <row r="853" spans="1:3" x14ac:dyDescent="0.3">
      <c r="A853" s="36">
        <v>30716288346</v>
      </c>
      <c r="B853" t="s">
        <v>419</v>
      </c>
    </row>
    <row r="854" spans="1:3" x14ac:dyDescent="0.3">
      <c r="A854" s="36">
        <v>30702997352</v>
      </c>
      <c r="B854" t="s">
        <v>420</v>
      </c>
      <c r="C854" s="35" t="s">
        <v>81</v>
      </c>
    </row>
    <row r="855" spans="1:3" x14ac:dyDescent="0.3">
      <c r="A855" s="36">
        <v>20173025557</v>
      </c>
      <c r="B855" t="s">
        <v>1137</v>
      </c>
    </row>
    <row r="856" spans="1:3" x14ac:dyDescent="0.3">
      <c r="A856" s="36">
        <v>20173025557</v>
      </c>
      <c r="B856" t="s">
        <v>1137</v>
      </c>
    </row>
    <row r="857" spans="1:3" x14ac:dyDescent="0.3">
      <c r="A857" s="36">
        <v>30709496294</v>
      </c>
      <c r="B857" t="s">
        <v>1523</v>
      </c>
    </row>
    <row r="858" spans="1:3" x14ac:dyDescent="0.3">
      <c r="A858" s="36">
        <v>20182873277</v>
      </c>
      <c r="B858" t="s">
        <v>421</v>
      </c>
      <c r="C858" s="35" t="s">
        <v>81</v>
      </c>
    </row>
    <row r="859" spans="1:3" x14ac:dyDescent="0.3">
      <c r="A859" s="36">
        <v>20172008241</v>
      </c>
      <c r="B859" t="s">
        <v>422</v>
      </c>
    </row>
    <row r="860" spans="1:3" x14ac:dyDescent="0.3">
      <c r="A860" s="36">
        <v>20044258898</v>
      </c>
      <c r="B860" t="s">
        <v>423</v>
      </c>
    </row>
    <row r="861" spans="1:3" x14ac:dyDescent="0.3">
      <c r="A861" s="36">
        <v>30715893963</v>
      </c>
      <c r="B861" t="s">
        <v>1453</v>
      </c>
    </row>
    <row r="862" spans="1:3" x14ac:dyDescent="0.3">
      <c r="A862" s="36">
        <v>30715893963</v>
      </c>
      <c r="B862" t="s">
        <v>1453</v>
      </c>
    </row>
    <row r="863" spans="1:3" x14ac:dyDescent="0.3">
      <c r="A863" s="36">
        <v>23265885594</v>
      </c>
      <c r="B863" t="s">
        <v>1475</v>
      </c>
    </row>
    <row r="864" spans="1:3" x14ac:dyDescent="0.3">
      <c r="A864" s="36">
        <v>23265885594</v>
      </c>
      <c r="B864" t="s">
        <v>1475</v>
      </c>
    </row>
    <row r="865" spans="1:3" x14ac:dyDescent="0.3">
      <c r="A865" s="36">
        <v>27101420391</v>
      </c>
      <c r="B865" t="s">
        <v>424</v>
      </c>
      <c r="C865" s="35" t="s">
        <v>81</v>
      </c>
    </row>
    <row r="866" spans="1:3" x14ac:dyDescent="0.3">
      <c r="A866" s="36">
        <v>27328481788</v>
      </c>
      <c r="B866" t="s">
        <v>425</v>
      </c>
    </row>
    <row r="867" spans="1:3" x14ac:dyDescent="0.3">
      <c r="A867" s="36">
        <v>27228778937</v>
      </c>
      <c r="B867" t="s">
        <v>426</v>
      </c>
    </row>
    <row r="868" spans="1:3" x14ac:dyDescent="0.3">
      <c r="A868" s="36">
        <v>20295036460</v>
      </c>
      <c r="B868" t="s">
        <v>427</v>
      </c>
    </row>
    <row r="869" spans="1:3" x14ac:dyDescent="0.3">
      <c r="A869" s="36">
        <v>27277172874</v>
      </c>
      <c r="B869" t="s">
        <v>1487</v>
      </c>
    </row>
    <row r="870" spans="1:3" x14ac:dyDescent="0.3">
      <c r="A870" s="36">
        <v>20202134700</v>
      </c>
      <c r="B870" t="s">
        <v>428</v>
      </c>
    </row>
    <row r="871" spans="1:3" x14ac:dyDescent="0.3">
      <c r="A871" s="36">
        <v>20044447437</v>
      </c>
      <c r="B871" t="s">
        <v>429</v>
      </c>
      <c r="C871" s="35" t="s">
        <v>81</v>
      </c>
    </row>
    <row r="872" spans="1:3" x14ac:dyDescent="0.3">
      <c r="A872" s="36">
        <v>20125492763</v>
      </c>
      <c r="B872" t="s">
        <v>430</v>
      </c>
    </row>
    <row r="873" spans="1:3" x14ac:dyDescent="0.3">
      <c r="A873" s="36">
        <v>30707963065</v>
      </c>
      <c r="B873" t="s">
        <v>431</v>
      </c>
    </row>
    <row r="874" spans="1:3" x14ac:dyDescent="0.3">
      <c r="A874" s="36">
        <v>30715009826</v>
      </c>
      <c r="B874" t="s">
        <v>432</v>
      </c>
    </row>
    <row r="875" spans="1:3" x14ac:dyDescent="0.3">
      <c r="A875" s="36">
        <v>30687282279</v>
      </c>
      <c r="B875" t="s">
        <v>1427</v>
      </c>
    </row>
    <row r="876" spans="1:3" x14ac:dyDescent="0.3">
      <c r="A876" s="36">
        <v>30687282279</v>
      </c>
      <c r="B876" t="s">
        <v>1427</v>
      </c>
    </row>
    <row r="877" spans="1:3" x14ac:dyDescent="0.3">
      <c r="A877" s="36">
        <v>38268441</v>
      </c>
      <c r="B877" t="s">
        <v>1271</v>
      </c>
    </row>
    <row r="878" spans="1:3" x14ac:dyDescent="0.3">
      <c r="A878" s="36">
        <v>38268441</v>
      </c>
      <c r="B878" t="s">
        <v>1271</v>
      </c>
    </row>
    <row r="879" spans="1:3" x14ac:dyDescent="0.3">
      <c r="A879" s="36">
        <v>38268441</v>
      </c>
      <c r="B879" t="s">
        <v>1271</v>
      </c>
    </row>
    <row r="880" spans="1:3" x14ac:dyDescent="0.3">
      <c r="A880" s="36">
        <v>38268441</v>
      </c>
      <c r="B880" t="s">
        <v>1271</v>
      </c>
    </row>
    <row r="881" spans="1:3" x14ac:dyDescent="0.3">
      <c r="A881" s="36">
        <v>38268441</v>
      </c>
      <c r="B881" t="s">
        <v>1271</v>
      </c>
    </row>
    <row r="882" spans="1:3" x14ac:dyDescent="0.3">
      <c r="A882" s="36">
        <v>38268441</v>
      </c>
      <c r="B882" t="s">
        <v>1271</v>
      </c>
    </row>
    <row r="883" spans="1:3" x14ac:dyDescent="0.3">
      <c r="A883" s="36">
        <v>20239529772</v>
      </c>
      <c r="B883" t="s">
        <v>433</v>
      </c>
      <c r="C883" s="35" t="s">
        <v>81</v>
      </c>
    </row>
    <row r="884" spans="1:3" x14ac:dyDescent="0.3">
      <c r="A884" s="36">
        <v>30568557464</v>
      </c>
      <c r="B884" t="s">
        <v>434</v>
      </c>
    </row>
    <row r="885" spans="1:3" x14ac:dyDescent="0.3">
      <c r="A885" s="36">
        <v>29561228</v>
      </c>
      <c r="B885" t="s">
        <v>1321</v>
      </c>
    </row>
    <row r="886" spans="1:3" x14ac:dyDescent="0.3">
      <c r="A886" s="36">
        <v>29561228</v>
      </c>
      <c r="B886" t="s">
        <v>1321</v>
      </c>
    </row>
    <row r="887" spans="1:3" x14ac:dyDescent="0.3">
      <c r="A887" s="36">
        <v>20217508992</v>
      </c>
      <c r="B887" t="s">
        <v>435</v>
      </c>
    </row>
    <row r="888" spans="1:3" x14ac:dyDescent="0.3">
      <c r="A888" s="36">
        <v>40233550</v>
      </c>
      <c r="B888" t="s">
        <v>1253</v>
      </c>
    </row>
    <row r="889" spans="1:3" x14ac:dyDescent="0.3">
      <c r="A889" s="36">
        <v>40233550</v>
      </c>
      <c r="B889" t="s">
        <v>1253</v>
      </c>
    </row>
    <row r="890" spans="1:3" x14ac:dyDescent="0.3">
      <c r="A890" s="36">
        <v>40233550</v>
      </c>
      <c r="B890" t="s">
        <v>1253</v>
      </c>
    </row>
    <row r="891" spans="1:3" x14ac:dyDescent="0.3">
      <c r="A891" s="36">
        <v>40233550</v>
      </c>
      <c r="B891" t="s">
        <v>1253</v>
      </c>
    </row>
    <row r="892" spans="1:3" x14ac:dyDescent="0.3">
      <c r="A892" s="36">
        <v>26195323</v>
      </c>
      <c r="B892" t="s">
        <v>1329</v>
      </c>
    </row>
    <row r="893" spans="1:3" x14ac:dyDescent="0.3">
      <c r="A893" s="36">
        <v>26195323</v>
      </c>
      <c r="B893" t="s">
        <v>1329</v>
      </c>
    </row>
    <row r="894" spans="1:3" x14ac:dyDescent="0.3">
      <c r="A894" s="36">
        <v>111</v>
      </c>
      <c r="B894" t="s">
        <v>1302</v>
      </c>
    </row>
    <row r="895" spans="1:3" x14ac:dyDescent="0.3">
      <c r="A895" s="36">
        <v>111</v>
      </c>
      <c r="B895" t="s">
        <v>1302</v>
      </c>
    </row>
    <row r="896" spans="1:3" x14ac:dyDescent="0.3">
      <c r="A896" s="36">
        <v>20217165114</v>
      </c>
      <c r="B896" t="s">
        <v>436</v>
      </c>
      <c r="C896" s="35" t="s">
        <v>84</v>
      </c>
    </row>
    <row r="897" spans="1:3" x14ac:dyDescent="0.3">
      <c r="A897" s="36">
        <v>20206464519</v>
      </c>
      <c r="B897" t="s">
        <v>437</v>
      </c>
    </row>
    <row r="898" spans="1:3" x14ac:dyDescent="0.3">
      <c r="A898" s="36">
        <v>30714625892</v>
      </c>
      <c r="B898" t="s">
        <v>438</v>
      </c>
    </row>
    <row r="899" spans="1:3" x14ac:dyDescent="0.3">
      <c r="A899" s="36">
        <v>23233422029</v>
      </c>
      <c r="B899" t="s">
        <v>439</v>
      </c>
      <c r="C899" s="35" t="s">
        <v>81</v>
      </c>
    </row>
    <row r="900" spans="1:3" x14ac:dyDescent="0.3">
      <c r="A900" s="36">
        <v>33710167309</v>
      </c>
      <c r="B900" t="s">
        <v>1565</v>
      </c>
    </row>
    <row r="901" spans="1:3" x14ac:dyDescent="0.3">
      <c r="A901" s="36">
        <v>20361558228</v>
      </c>
      <c r="B901" t="s">
        <v>440</v>
      </c>
    </row>
    <row r="902" spans="1:3" x14ac:dyDescent="0.3">
      <c r="A902" s="36">
        <v>30710377223</v>
      </c>
      <c r="B902" t="s">
        <v>441</v>
      </c>
    </row>
    <row r="903" spans="1:3" x14ac:dyDescent="0.3">
      <c r="A903" s="36">
        <v>30612865333</v>
      </c>
      <c r="B903" t="s">
        <v>442</v>
      </c>
      <c r="C903" s="35" t="s">
        <v>79</v>
      </c>
    </row>
    <row r="904" spans="1:3" x14ac:dyDescent="0.3">
      <c r="A904" s="36">
        <v>30708669306</v>
      </c>
      <c r="B904" t="s">
        <v>1530</v>
      </c>
    </row>
    <row r="905" spans="1:3" x14ac:dyDescent="0.3">
      <c r="A905" s="36">
        <v>30617095463</v>
      </c>
      <c r="B905" t="s">
        <v>443</v>
      </c>
    </row>
    <row r="906" spans="1:3" x14ac:dyDescent="0.3">
      <c r="A906" s="36">
        <v>20256122333</v>
      </c>
      <c r="B906" t="s">
        <v>444</v>
      </c>
    </row>
    <row r="907" spans="1:3" x14ac:dyDescent="0.3">
      <c r="A907" s="36">
        <v>30709982326</v>
      </c>
      <c r="B907" t="s">
        <v>445</v>
      </c>
    </row>
    <row r="908" spans="1:3" x14ac:dyDescent="0.3">
      <c r="A908" s="36">
        <v>30707518541</v>
      </c>
      <c r="B908" t="s">
        <v>446</v>
      </c>
      <c r="C908" s="35" t="s">
        <v>81</v>
      </c>
    </row>
    <row r="909" spans="1:3" x14ac:dyDescent="0.3">
      <c r="A909" s="36">
        <v>20103906149</v>
      </c>
      <c r="B909" t="s">
        <v>1455</v>
      </c>
    </row>
    <row r="910" spans="1:3" x14ac:dyDescent="0.3">
      <c r="A910" s="36">
        <v>20103906149</v>
      </c>
      <c r="B910" t="s">
        <v>1455</v>
      </c>
    </row>
    <row r="911" spans="1:3" x14ac:dyDescent="0.3">
      <c r="A911" s="36">
        <v>30711731217</v>
      </c>
      <c r="B911" t="s">
        <v>447</v>
      </c>
      <c r="C911" s="35" t="s">
        <v>82</v>
      </c>
    </row>
    <row r="912" spans="1:3" x14ac:dyDescent="0.3">
      <c r="A912" s="36">
        <v>20131581298</v>
      </c>
      <c r="B912" t="s">
        <v>448</v>
      </c>
      <c r="C912" s="35" t="s">
        <v>79</v>
      </c>
    </row>
    <row r="913" spans="1:3" x14ac:dyDescent="0.3">
      <c r="A913" s="36">
        <v>30710051247</v>
      </c>
      <c r="B913" t="s">
        <v>449</v>
      </c>
    </row>
    <row r="914" spans="1:3" x14ac:dyDescent="0.3">
      <c r="A914" s="36">
        <v>30715672290</v>
      </c>
      <c r="B914" t="s">
        <v>450</v>
      </c>
      <c r="C914" s="35" t="s">
        <v>81</v>
      </c>
    </row>
    <row r="915" spans="1:3" x14ac:dyDescent="0.3">
      <c r="A915" s="36">
        <v>30707042679</v>
      </c>
      <c r="B915" t="s">
        <v>451</v>
      </c>
      <c r="C915" s="35" t="s">
        <v>81</v>
      </c>
    </row>
    <row r="916" spans="1:3" x14ac:dyDescent="0.3">
      <c r="A916" s="36">
        <v>30708655410</v>
      </c>
      <c r="B916" t="s">
        <v>452</v>
      </c>
    </row>
    <row r="917" spans="1:3" x14ac:dyDescent="0.3">
      <c r="A917" s="36">
        <v>30715705946</v>
      </c>
      <c r="B917" t="s">
        <v>1513</v>
      </c>
    </row>
    <row r="918" spans="1:3" x14ac:dyDescent="0.3">
      <c r="A918" s="36">
        <v>30546771314</v>
      </c>
      <c r="B918" t="s">
        <v>453</v>
      </c>
    </row>
    <row r="919" spans="1:3" x14ac:dyDescent="0.3">
      <c r="A919" s="36">
        <v>30708006420</v>
      </c>
      <c r="B919" t="s">
        <v>1157</v>
      </c>
    </row>
    <row r="920" spans="1:3" x14ac:dyDescent="0.3">
      <c r="A920" s="36">
        <v>30708006420</v>
      </c>
      <c r="B920" t="s">
        <v>1157</v>
      </c>
    </row>
    <row r="921" spans="1:3" x14ac:dyDescent="0.3">
      <c r="A921" s="36">
        <v>30708006420</v>
      </c>
      <c r="B921" t="s">
        <v>1157</v>
      </c>
    </row>
    <row r="922" spans="1:3" x14ac:dyDescent="0.3">
      <c r="A922" s="36">
        <v>30708006420</v>
      </c>
      <c r="B922" t="s">
        <v>1157</v>
      </c>
    </row>
    <row r="923" spans="1:3" x14ac:dyDescent="0.3">
      <c r="A923" s="36">
        <v>20103955395</v>
      </c>
      <c r="B923" t="s">
        <v>454</v>
      </c>
    </row>
    <row r="924" spans="1:3" x14ac:dyDescent="0.3">
      <c r="A924" s="36">
        <v>20229907523</v>
      </c>
      <c r="B924" t="s">
        <v>455</v>
      </c>
    </row>
    <row r="925" spans="1:3" x14ac:dyDescent="0.3">
      <c r="A925" s="36">
        <v>30714352535</v>
      </c>
      <c r="B925" t="s">
        <v>456</v>
      </c>
    </row>
    <row r="926" spans="1:3" x14ac:dyDescent="0.3">
      <c r="A926" s="36">
        <v>30602422174</v>
      </c>
      <c r="B926" t="s">
        <v>457</v>
      </c>
      <c r="C926" s="35" t="s">
        <v>79</v>
      </c>
    </row>
    <row r="927" spans="1:3" x14ac:dyDescent="0.3">
      <c r="A927" s="36">
        <v>30709932876</v>
      </c>
      <c r="B927" t="s">
        <v>1178</v>
      </c>
    </row>
    <row r="928" spans="1:3" x14ac:dyDescent="0.3">
      <c r="A928" s="36">
        <v>30709932876</v>
      </c>
      <c r="B928" t="s">
        <v>1178</v>
      </c>
    </row>
    <row r="929" spans="1:3" x14ac:dyDescent="0.3">
      <c r="A929" s="36">
        <v>30709932876</v>
      </c>
      <c r="B929" t="s">
        <v>1178</v>
      </c>
    </row>
    <row r="930" spans="1:3" x14ac:dyDescent="0.3">
      <c r="A930" s="36">
        <v>30709932876</v>
      </c>
      <c r="B930" t="s">
        <v>1178</v>
      </c>
    </row>
    <row r="931" spans="1:3" x14ac:dyDescent="0.3">
      <c r="A931" s="36">
        <v>30709932876</v>
      </c>
      <c r="B931" t="s">
        <v>1146</v>
      </c>
    </row>
    <row r="932" spans="1:3" x14ac:dyDescent="0.3">
      <c r="A932" s="36">
        <v>30709932876</v>
      </c>
      <c r="B932" t="s">
        <v>1146</v>
      </c>
    </row>
    <row r="933" spans="1:3" x14ac:dyDescent="0.3">
      <c r="A933" s="36">
        <v>30709932876</v>
      </c>
      <c r="B933" t="s">
        <v>1399</v>
      </c>
    </row>
    <row r="934" spans="1:3" x14ac:dyDescent="0.3">
      <c r="A934" s="36">
        <v>30709932876</v>
      </c>
      <c r="B934" t="s">
        <v>1399</v>
      </c>
    </row>
    <row r="935" spans="1:3" x14ac:dyDescent="0.3">
      <c r="A935" s="36">
        <v>30709319929</v>
      </c>
      <c r="B935" t="s">
        <v>92</v>
      </c>
    </row>
    <row r="936" spans="1:3" x14ac:dyDescent="0.3">
      <c r="A936" s="36">
        <v>20077901370</v>
      </c>
      <c r="B936" t="s">
        <v>458</v>
      </c>
      <c r="C936" s="35" t="s">
        <v>81</v>
      </c>
    </row>
    <row r="937" spans="1:3" x14ac:dyDescent="0.3">
      <c r="A937" s="36">
        <v>30709282588</v>
      </c>
      <c r="B937" t="s">
        <v>459</v>
      </c>
    </row>
    <row r="938" spans="1:3" x14ac:dyDescent="0.3">
      <c r="A938" s="36">
        <v>30712800700</v>
      </c>
      <c r="B938" t="s">
        <v>460</v>
      </c>
    </row>
    <row r="939" spans="1:3" x14ac:dyDescent="0.3">
      <c r="A939" s="36">
        <v>20044415195</v>
      </c>
      <c r="B939" t="s">
        <v>461</v>
      </c>
    </row>
    <row r="940" spans="1:3" x14ac:dyDescent="0.3">
      <c r="A940" s="36">
        <v>30715686054</v>
      </c>
      <c r="B940" t="s">
        <v>462</v>
      </c>
    </row>
    <row r="941" spans="1:3" x14ac:dyDescent="0.3">
      <c r="A941" s="36">
        <v>30710816049</v>
      </c>
      <c r="B941" t="s">
        <v>463</v>
      </c>
      <c r="C941" s="35" t="s">
        <v>81</v>
      </c>
    </row>
    <row r="942" spans="1:3" x14ac:dyDescent="0.3">
      <c r="A942" s="36">
        <v>23126008929</v>
      </c>
      <c r="B942" t="s">
        <v>464</v>
      </c>
    </row>
    <row r="943" spans="1:3" x14ac:dyDescent="0.3">
      <c r="A943" s="36">
        <v>27119872311</v>
      </c>
      <c r="B943" t="s">
        <v>465</v>
      </c>
    </row>
    <row r="944" spans="1:3" x14ac:dyDescent="0.3">
      <c r="A944" s="36">
        <v>27144787019</v>
      </c>
      <c r="B944" t="s">
        <v>466</v>
      </c>
    </row>
    <row r="945" spans="1:4" x14ac:dyDescent="0.3">
      <c r="A945" s="36">
        <v>32290050</v>
      </c>
      <c r="B945" t="s">
        <v>1347</v>
      </c>
    </row>
    <row r="946" spans="1:4" x14ac:dyDescent="0.3">
      <c r="A946" s="36">
        <v>26558560</v>
      </c>
      <c r="B946" t="s">
        <v>1268</v>
      </c>
    </row>
    <row r="947" spans="1:4" x14ac:dyDescent="0.3">
      <c r="A947" s="36">
        <v>26558560</v>
      </c>
      <c r="B947" t="s">
        <v>1268</v>
      </c>
    </row>
    <row r="948" spans="1:4" x14ac:dyDescent="0.3">
      <c r="A948" s="36">
        <v>16826280</v>
      </c>
      <c r="B948" t="s">
        <v>1263</v>
      </c>
    </row>
    <row r="949" spans="1:4" x14ac:dyDescent="0.3">
      <c r="A949" s="36">
        <v>16826280</v>
      </c>
      <c r="B949" t="s">
        <v>1263</v>
      </c>
    </row>
    <row r="950" spans="1:4" x14ac:dyDescent="0.3">
      <c r="A950" s="36">
        <v>20117741398</v>
      </c>
      <c r="B950" t="s">
        <v>467</v>
      </c>
    </row>
    <row r="951" spans="1:4" x14ac:dyDescent="0.3">
      <c r="A951" s="36">
        <v>30707661492</v>
      </c>
      <c r="B951" t="s">
        <v>468</v>
      </c>
    </row>
    <row r="952" spans="1:4" x14ac:dyDescent="0.3">
      <c r="A952" s="36">
        <v>30703088534</v>
      </c>
      <c r="B952" t="s">
        <v>469</v>
      </c>
      <c r="C952" s="35" t="s">
        <v>79</v>
      </c>
      <c r="D952" t="s">
        <v>1779</v>
      </c>
    </row>
    <row r="953" spans="1:4" x14ac:dyDescent="0.3">
      <c r="A953" s="36">
        <v>30716425165</v>
      </c>
      <c r="B953" t="s">
        <v>1541</v>
      </c>
    </row>
    <row r="954" spans="1:4" x14ac:dyDescent="0.3">
      <c r="A954" s="36">
        <v>30715944738</v>
      </c>
      <c r="B954" t="s">
        <v>470</v>
      </c>
    </row>
    <row r="955" spans="1:4" x14ac:dyDescent="0.3">
      <c r="A955" s="36">
        <v>20930929981</v>
      </c>
      <c r="B955" t="s">
        <v>471</v>
      </c>
    </row>
    <row r="956" spans="1:4" x14ac:dyDescent="0.3">
      <c r="A956" s="36">
        <v>30679139122</v>
      </c>
      <c r="B956" t="s">
        <v>472</v>
      </c>
      <c r="C956" s="35" t="s">
        <v>81</v>
      </c>
    </row>
    <row r="957" spans="1:4" x14ac:dyDescent="0.3">
      <c r="A957" s="36">
        <v>20261582520</v>
      </c>
      <c r="B957" t="s">
        <v>473</v>
      </c>
    </row>
    <row r="958" spans="1:4" x14ac:dyDescent="0.3">
      <c r="A958" s="36">
        <v>30549180783</v>
      </c>
      <c r="B958" t="s">
        <v>474</v>
      </c>
      <c r="C958" s="35" t="s">
        <v>81</v>
      </c>
    </row>
    <row r="959" spans="1:4" x14ac:dyDescent="0.3">
      <c r="A959" s="36">
        <v>30520045798</v>
      </c>
      <c r="B959" t="s">
        <v>475</v>
      </c>
    </row>
    <row r="960" spans="1:4" x14ac:dyDescent="0.3">
      <c r="A960" s="36">
        <v>20083339293</v>
      </c>
      <c r="B960" t="s">
        <v>476</v>
      </c>
    </row>
    <row r="961" spans="1:3" x14ac:dyDescent="0.3">
      <c r="A961" s="36">
        <v>30716099667</v>
      </c>
      <c r="B961" t="s">
        <v>477</v>
      </c>
    </row>
    <row r="962" spans="1:3" x14ac:dyDescent="0.3">
      <c r="A962" s="36">
        <v>30709016012</v>
      </c>
      <c r="B962" t="s">
        <v>478</v>
      </c>
    </row>
    <row r="963" spans="1:3" x14ac:dyDescent="0.3">
      <c r="A963" s="36">
        <v>30708469986</v>
      </c>
      <c r="B963" t="s">
        <v>479</v>
      </c>
      <c r="C963" s="35" t="s">
        <v>81</v>
      </c>
    </row>
    <row r="964" spans="1:3" x14ac:dyDescent="0.3">
      <c r="A964" s="36">
        <v>20946785300</v>
      </c>
      <c r="B964" t="s">
        <v>1158</v>
      </c>
    </row>
    <row r="965" spans="1:3" x14ac:dyDescent="0.3">
      <c r="A965" s="36">
        <v>20946785300</v>
      </c>
      <c r="B965" t="s">
        <v>1158</v>
      </c>
    </row>
    <row r="966" spans="1:3" x14ac:dyDescent="0.3">
      <c r="A966" s="36">
        <v>31915229</v>
      </c>
      <c r="B966" t="s">
        <v>1296</v>
      </c>
    </row>
    <row r="967" spans="1:3" x14ac:dyDescent="0.3">
      <c r="A967" s="36">
        <v>31915229</v>
      </c>
      <c r="B967" t="s">
        <v>1296</v>
      </c>
    </row>
    <row r="968" spans="1:3" x14ac:dyDescent="0.3">
      <c r="A968" s="36">
        <v>31915229</v>
      </c>
      <c r="B968" t="s">
        <v>1296</v>
      </c>
    </row>
    <row r="969" spans="1:3" x14ac:dyDescent="0.3">
      <c r="A969" s="36">
        <v>31915229</v>
      </c>
      <c r="B969" t="s">
        <v>1296</v>
      </c>
    </row>
    <row r="970" spans="1:3" x14ac:dyDescent="0.3">
      <c r="A970" s="36">
        <v>20937793252</v>
      </c>
      <c r="B970" t="s">
        <v>480</v>
      </c>
    </row>
    <row r="971" spans="1:3" x14ac:dyDescent="0.3">
      <c r="A971" s="36">
        <v>20171635285</v>
      </c>
      <c r="B971" t="s">
        <v>481</v>
      </c>
    </row>
    <row r="972" spans="1:3" x14ac:dyDescent="0.3">
      <c r="A972" s="36">
        <v>30517306866</v>
      </c>
      <c r="B972" t="s">
        <v>482</v>
      </c>
      <c r="C972" s="35" t="s">
        <v>78</v>
      </c>
    </row>
    <row r="973" spans="1:3" x14ac:dyDescent="0.3">
      <c r="A973" s="36">
        <v>33714063079</v>
      </c>
      <c r="B973" t="s">
        <v>483</v>
      </c>
    </row>
    <row r="974" spans="1:3" x14ac:dyDescent="0.3">
      <c r="A974" s="36">
        <v>30708784067</v>
      </c>
      <c r="B974" t="s">
        <v>1370</v>
      </c>
    </row>
    <row r="975" spans="1:3" x14ac:dyDescent="0.3">
      <c r="A975" s="36">
        <v>30708784067</v>
      </c>
      <c r="B975" t="s">
        <v>1370</v>
      </c>
    </row>
    <row r="976" spans="1:3" x14ac:dyDescent="0.3">
      <c r="A976" s="36">
        <v>30708994924</v>
      </c>
      <c r="B976" t="s">
        <v>1197</v>
      </c>
    </row>
    <row r="977" spans="1:3" x14ac:dyDescent="0.3">
      <c r="A977" s="36">
        <v>30708994924</v>
      </c>
      <c r="B977" t="s">
        <v>1197</v>
      </c>
    </row>
    <row r="978" spans="1:3" x14ac:dyDescent="0.3">
      <c r="A978" s="36">
        <v>30715065556</v>
      </c>
      <c r="B978" t="s">
        <v>484</v>
      </c>
    </row>
    <row r="979" spans="1:3" x14ac:dyDescent="0.3">
      <c r="A979" s="36">
        <v>20147439882</v>
      </c>
      <c r="B979" t="s">
        <v>485</v>
      </c>
    </row>
    <row r="980" spans="1:3" x14ac:dyDescent="0.3">
      <c r="A980" s="36">
        <v>20283215343</v>
      </c>
      <c r="B980" t="s">
        <v>486</v>
      </c>
    </row>
    <row r="981" spans="1:3" x14ac:dyDescent="0.3">
      <c r="A981" s="36">
        <v>20116341566</v>
      </c>
      <c r="B981" t="s">
        <v>487</v>
      </c>
    </row>
    <row r="982" spans="1:3" x14ac:dyDescent="0.3">
      <c r="A982" s="36">
        <v>20331936910</v>
      </c>
      <c r="B982" t="s">
        <v>488</v>
      </c>
    </row>
    <row r="983" spans="1:3" x14ac:dyDescent="0.3">
      <c r="A983" s="36">
        <v>27249624298</v>
      </c>
      <c r="B983" t="s">
        <v>489</v>
      </c>
    </row>
    <row r="984" spans="1:3" x14ac:dyDescent="0.3">
      <c r="A984" s="36">
        <v>20205862243</v>
      </c>
      <c r="B984" t="s">
        <v>490</v>
      </c>
    </row>
    <row r="985" spans="1:3" x14ac:dyDescent="0.3">
      <c r="A985" s="36">
        <v>27182974922</v>
      </c>
      <c r="B985" t="s">
        <v>491</v>
      </c>
    </row>
    <row r="986" spans="1:3" x14ac:dyDescent="0.3">
      <c r="A986" s="36">
        <v>27101205733</v>
      </c>
      <c r="B986" t="s">
        <v>492</v>
      </c>
      <c r="C986" s="35" t="s">
        <v>79</v>
      </c>
    </row>
    <row r="987" spans="1:3" x14ac:dyDescent="0.3">
      <c r="A987" s="36">
        <v>30685116657</v>
      </c>
      <c r="B987" t="s">
        <v>493</v>
      </c>
      <c r="C987" s="35" t="s">
        <v>84</v>
      </c>
    </row>
    <row r="988" spans="1:3" x14ac:dyDescent="0.3">
      <c r="A988" s="36">
        <v>20400073776</v>
      </c>
      <c r="B988" t="s">
        <v>1173</v>
      </c>
    </row>
    <row r="989" spans="1:3" x14ac:dyDescent="0.3">
      <c r="A989" s="36">
        <v>20400073776</v>
      </c>
      <c r="B989" t="s">
        <v>1390</v>
      </c>
    </row>
    <row r="990" spans="1:3" x14ac:dyDescent="0.3">
      <c r="A990" s="36">
        <v>20400073776</v>
      </c>
      <c r="B990" t="s">
        <v>1173</v>
      </c>
    </row>
    <row r="991" spans="1:3" x14ac:dyDescent="0.3">
      <c r="A991" s="36">
        <v>20400073776</v>
      </c>
      <c r="B991" t="s">
        <v>1390</v>
      </c>
    </row>
    <row r="992" spans="1:3" x14ac:dyDescent="0.3">
      <c r="A992" s="36">
        <v>30715772783</v>
      </c>
      <c r="B992" t="s">
        <v>494</v>
      </c>
      <c r="C992" s="35" t="s">
        <v>81</v>
      </c>
    </row>
    <row r="993" spans="1:3" x14ac:dyDescent="0.3">
      <c r="A993" s="36">
        <v>20120766598</v>
      </c>
      <c r="B993" t="s">
        <v>495</v>
      </c>
    </row>
    <row r="994" spans="1:3" x14ac:dyDescent="0.3">
      <c r="A994" s="36">
        <v>20959609013</v>
      </c>
      <c r="B994" t="s">
        <v>496</v>
      </c>
    </row>
    <row r="995" spans="1:3" x14ac:dyDescent="0.3">
      <c r="A995" s="36">
        <v>20141339517</v>
      </c>
      <c r="B995" t="s">
        <v>497</v>
      </c>
    </row>
    <row r="996" spans="1:3" x14ac:dyDescent="0.3">
      <c r="A996" s="36">
        <v>20269013746</v>
      </c>
      <c r="B996" t="s">
        <v>498</v>
      </c>
      <c r="C996" s="35" t="s">
        <v>81</v>
      </c>
    </row>
    <row r="997" spans="1:3" x14ac:dyDescent="0.3">
      <c r="A997" s="36">
        <v>30535101902</v>
      </c>
      <c r="B997" t="s">
        <v>499</v>
      </c>
    </row>
    <row r="998" spans="1:3" x14ac:dyDescent="0.3">
      <c r="A998" s="36">
        <v>20291935401</v>
      </c>
      <c r="B998" t="s">
        <v>500</v>
      </c>
      <c r="C998" s="35" t="s">
        <v>81</v>
      </c>
    </row>
    <row r="999" spans="1:3" x14ac:dyDescent="0.3">
      <c r="A999" s="36">
        <v>30500858628</v>
      </c>
      <c r="B999" t="s">
        <v>93</v>
      </c>
    </row>
    <row r="1000" spans="1:3" x14ac:dyDescent="0.3">
      <c r="A1000" s="36">
        <v>30522982225</v>
      </c>
      <c r="B1000" t="s">
        <v>501</v>
      </c>
    </row>
    <row r="1001" spans="1:3" x14ac:dyDescent="0.3">
      <c r="A1001" s="36">
        <v>20295036460</v>
      </c>
      <c r="B1001" t="s">
        <v>502</v>
      </c>
    </row>
    <row r="1002" spans="1:3" x14ac:dyDescent="0.3">
      <c r="A1002" s="36">
        <v>23120821539</v>
      </c>
      <c r="B1002" t="s">
        <v>503</v>
      </c>
    </row>
    <row r="1003" spans="1:3" x14ac:dyDescent="0.3">
      <c r="A1003" s="36">
        <v>20081262897</v>
      </c>
      <c r="B1003" t="s">
        <v>504</v>
      </c>
      <c r="C1003" s="35" t="s">
        <v>81</v>
      </c>
    </row>
    <row r="1004" spans="1:3" x14ac:dyDescent="0.3">
      <c r="A1004" s="36">
        <v>22993607</v>
      </c>
      <c r="B1004" t="s">
        <v>1322</v>
      </c>
    </row>
    <row r="1005" spans="1:3" x14ac:dyDescent="0.3">
      <c r="A1005" s="36">
        <v>22993607</v>
      </c>
      <c r="B1005" t="s">
        <v>1322</v>
      </c>
    </row>
    <row r="1006" spans="1:3" x14ac:dyDescent="0.3">
      <c r="A1006" s="36">
        <v>345698745</v>
      </c>
      <c r="B1006" t="s">
        <v>1285</v>
      </c>
    </row>
    <row r="1007" spans="1:3" x14ac:dyDescent="0.3">
      <c r="A1007" s="36">
        <v>31920868</v>
      </c>
      <c r="B1007" t="s">
        <v>1285</v>
      </c>
    </row>
    <row r="1008" spans="1:3" x14ac:dyDescent="0.3">
      <c r="A1008" s="36">
        <v>345698745</v>
      </c>
      <c r="B1008" t="s">
        <v>1285</v>
      </c>
    </row>
    <row r="1009" spans="1:2" x14ac:dyDescent="0.3">
      <c r="A1009" s="36">
        <v>31920868</v>
      </c>
      <c r="B1009" t="s">
        <v>1285</v>
      </c>
    </row>
    <row r="1010" spans="1:2" x14ac:dyDescent="0.3">
      <c r="A1010" s="36">
        <v>23127284369</v>
      </c>
      <c r="B1010" t="s">
        <v>1372</v>
      </c>
    </row>
    <row r="1011" spans="1:2" x14ac:dyDescent="0.3">
      <c r="A1011" s="36">
        <v>23127284369</v>
      </c>
      <c r="B1011" t="s">
        <v>1372</v>
      </c>
    </row>
    <row r="1012" spans="1:2" x14ac:dyDescent="0.3">
      <c r="A1012" s="36">
        <v>20076127264</v>
      </c>
      <c r="B1012" t="s">
        <v>505</v>
      </c>
    </row>
    <row r="1013" spans="1:2" x14ac:dyDescent="0.3">
      <c r="A1013" s="36">
        <v>27131715183</v>
      </c>
      <c r="B1013" t="s">
        <v>506</v>
      </c>
    </row>
    <row r="1014" spans="1:2" x14ac:dyDescent="0.3">
      <c r="A1014" s="36">
        <v>17466981</v>
      </c>
      <c r="B1014" t="s">
        <v>1354</v>
      </c>
    </row>
    <row r="1015" spans="1:2" x14ac:dyDescent="0.3">
      <c r="A1015" s="36">
        <v>17466981</v>
      </c>
      <c r="B1015" t="s">
        <v>1354</v>
      </c>
    </row>
    <row r="1016" spans="1:2" x14ac:dyDescent="0.3">
      <c r="A1016" s="36">
        <v>30715119443</v>
      </c>
      <c r="B1016" t="s">
        <v>1509</v>
      </c>
    </row>
    <row r="1017" spans="1:2" x14ac:dyDescent="0.3">
      <c r="A1017" s="36">
        <v>20179018269</v>
      </c>
      <c r="B1017" t="s">
        <v>507</v>
      </c>
    </row>
    <row r="1018" spans="1:2" x14ac:dyDescent="0.3">
      <c r="A1018" s="36">
        <v>20162452283</v>
      </c>
      <c r="B1018" t="s">
        <v>508</v>
      </c>
    </row>
    <row r="1019" spans="1:2" x14ac:dyDescent="0.3">
      <c r="A1019" s="36">
        <v>42043394</v>
      </c>
      <c r="B1019" t="s">
        <v>1213</v>
      </c>
    </row>
    <row r="1020" spans="1:2" x14ac:dyDescent="0.3">
      <c r="A1020" s="36">
        <v>42043394</v>
      </c>
      <c r="B1020" t="s">
        <v>1213</v>
      </c>
    </row>
    <row r="1021" spans="1:2" x14ac:dyDescent="0.3">
      <c r="A1021" s="36">
        <v>42043394</v>
      </c>
      <c r="B1021" t="s">
        <v>1213</v>
      </c>
    </row>
    <row r="1022" spans="1:2" x14ac:dyDescent="0.3">
      <c r="A1022" s="36">
        <v>42043394</v>
      </c>
      <c r="B1022" t="s">
        <v>1213</v>
      </c>
    </row>
    <row r="1023" spans="1:2" x14ac:dyDescent="0.3">
      <c r="A1023" s="36">
        <v>42043394</v>
      </c>
      <c r="B1023" t="s">
        <v>1213</v>
      </c>
    </row>
    <row r="1024" spans="1:2" x14ac:dyDescent="0.3">
      <c r="A1024" s="36">
        <v>42043394</v>
      </c>
      <c r="B1024" t="s">
        <v>1213</v>
      </c>
    </row>
    <row r="1025" spans="1:2" x14ac:dyDescent="0.3">
      <c r="A1025" s="36">
        <v>42043394</v>
      </c>
      <c r="B1025" t="s">
        <v>1213</v>
      </c>
    </row>
    <row r="1026" spans="1:2" x14ac:dyDescent="0.3">
      <c r="A1026" s="36">
        <v>42043394</v>
      </c>
      <c r="B1026" t="s">
        <v>1213</v>
      </c>
    </row>
    <row r="1027" spans="1:2" x14ac:dyDescent="0.3">
      <c r="A1027" s="36">
        <v>42043394</v>
      </c>
      <c r="B1027" t="s">
        <v>1213</v>
      </c>
    </row>
    <row r="1028" spans="1:2" x14ac:dyDescent="0.3">
      <c r="A1028" s="36">
        <v>42043394</v>
      </c>
      <c r="B1028" t="s">
        <v>1213</v>
      </c>
    </row>
    <row r="1029" spans="1:2" x14ac:dyDescent="0.3">
      <c r="A1029" s="36">
        <v>42043394</v>
      </c>
      <c r="B1029" t="s">
        <v>1213</v>
      </c>
    </row>
    <row r="1030" spans="1:2" x14ac:dyDescent="0.3">
      <c r="A1030" s="36">
        <v>42043394</v>
      </c>
      <c r="B1030" t="s">
        <v>1213</v>
      </c>
    </row>
    <row r="1031" spans="1:2" x14ac:dyDescent="0.3">
      <c r="A1031" s="36">
        <v>42043394</v>
      </c>
      <c r="B1031" t="s">
        <v>1213</v>
      </c>
    </row>
    <row r="1032" spans="1:2" x14ac:dyDescent="0.3">
      <c r="A1032" s="36">
        <v>42043394</v>
      </c>
      <c r="B1032" t="s">
        <v>1213</v>
      </c>
    </row>
    <row r="1033" spans="1:2" x14ac:dyDescent="0.3">
      <c r="A1033" s="36">
        <v>20930200035</v>
      </c>
      <c r="B1033" t="s">
        <v>509</v>
      </c>
    </row>
    <row r="1034" spans="1:2" x14ac:dyDescent="0.3">
      <c r="A1034" s="36">
        <v>20238449783</v>
      </c>
      <c r="B1034" t="s">
        <v>510</v>
      </c>
    </row>
    <row r="1035" spans="1:2" x14ac:dyDescent="0.3">
      <c r="A1035" s="36">
        <v>30708608994</v>
      </c>
      <c r="B1035" t="s">
        <v>511</v>
      </c>
    </row>
    <row r="1036" spans="1:2" x14ac:dyDescent="0.3">
      <c r="A1036" s="36">
        <v>30500786937</v>
      </c>
      <c r="B1036" t="s">
        <v>512</v>
      </c>
    </row>
    <row r="1037" spans="1:2" x14ac:dyDescent="0.3">
      <c r="A1037" s="36">
        <v>30713713909</v>
      </c>
      <c r="B1037" t="s">
        <v>513</v>
      </c>
    </row>
    <row r="1038" spans="1:2" x14ac:dyDescent="0.3">
      <c r="A1038" s="36">
        <v>33717119059</v>
      </c>
      <c r="B1038" t="s">
        <v>514</v>
      </c>
    </row>
    <row r="1039" spans="1:2" x14ac:dyDescent="0.3">
      <c r="A1039" s="36">
        <v>30632563856</v>
      </c>
      <c r="B1039" t="s">
        <v>515</v>
      </c>
    </row>
    <row r="1040" spans="1:2" x14ac:dyDescent="0.3">
      <c r="A1040" s="36">
        <v>30557676798</v>
      </c>
      <c r="B1040" t="s">
        <v>94</v>
      </c>
    </row>
    <row r="1041" spans="1:2" x14ac:dyDescent="0.3">
      <c r="A1041" s="36">
        <v>30716413817</v>
      </c>
      <c r="B1041" t="s">
        <v>1502</v>
      </c>
    </row>
    <row r="1042" spans="1:2" x14ac:dyDescent="0.3">
      <c r="A1042" s="36">
        <v>30707400591</v>
      </c>
      <c r="B1042" t="s">
        <v>516</v>
      </c>
    </row>
    <row r="1043" spans="1:2" x14ac:dyDescent="0.3">
      <c r="A1043" s="36">
        <v>30711996547</v>
      </c>
      <c r="B1043" t="s">
        <v>517</v>
      </c>
    </row>
    <row r="1044" spans="1:2" x14ac:dyDescent="0.3">
      <c r="A1044" s="36">
        <v>30715245090</v>
      </c>
      <c r="B1044" t="s">
        <v>518</v>
      </c>
    </row>
    <row r="1045" spans="1:2" x14ac:dyDescent="0.3">
      <c r="A1045" s="36">
        <v>30715742221</v>
      </c>
      <c r="B1045" t="s">
        <v>519</v>
      </c>
    </row>
    <row r="1046" spans="1:2" x14ac:dyDescent="0.3">
      <c r="A1046" s="36">
        <v>30715154400</v>
      </c>
      <c r="B1046" t="s">
        <v>520</v>
      </c>
    </row>
    <row r="1047" spans="1:2" x14ac:dyDescent="0.3">
      <c r="A1047" s="36">
        <v>27062742564</v>
      </c>
      <c r="B1047" t="s">
        <v>521</v>
      </c>
    </row>
    <row r="1048" spans="1:2" x14ac:dyDescent="0.3">
      <c r="A1048" s="36">
        <v>30573785742</v>
      </c>
      <c r="B1048" t="s">
        <v>522</v>
      </c>
    </row>
    <row r="1049" spans="1:2" x14ac:dyDescent="0.3">
      <c r="A1049" s="36">
        <v>30694547903</v>
      </c>
      <c r="B1049" t="s">
        <v>1536</v>
      </c>
    </row>
    <row r="1050" spans="1:2" x14ac:dyDescent="0.3">
      <c r="A1050" s="36">
        <v>30716113937</v>
      </c>
      <c r="B1050" t="s">
        <v>523</v>
      </c>
    </row>
    <row r="1051" spans="1:2" x14ac:dyDescent="0.3">
      <c r="A1051" s="36">
        <v>41737843</v>
      </c>
      <c r="B1051" t="s">
        <v>1355</v>
      </c>
    </row>
    <row r="1052" spans="1:2" x14ac:dyDescent="0.3">
      <c r="A1052" s="36">
        <v>41737843</v>
      </c>
      <c r="B1052" t="s">
        <v>1355</v>
      </c>
    </row>
    <row r="1053" spans="1:2" x14ac:dyDescent="0.3">
      <c r="A1053" s="36">
        <v>41737843</v>
      </c>
      <c r="B1053" t="s">
        <v>1355</v>
      </c>
    </row>
    <row r="1054" spans="1:2" x14ac:dyDescent="0.3">
      <c r="A1054" s="36">
        <v>41737843</v>
      </c>
      <c r="B1054" t="s">
        <v>1355</v>
      </c>
    </row>
    <row r="1055" spans="1:2" x14ac:dyDescent="0.3">
      <c r="A1055" s="36">
        <v>22046570</v>
      </c>
      <c r="B1055" t="s">
        <v>1356</v>
      </c>
    </row>
    <row r="1056" spans="1:2" x14ac:dyDescent="0.3">
      <c r="A1056" s="36">
        <v>22046570</v>
      </c>
      <c r="B1056" t="s">
        <v>1356</v>
      </c>
    </row>
    <row r="1057" spans="1:3" x14ac:dyDescent="0.3">
      <c r="A1057" s="36">
        <v>22046570</v>
      </c>
      <c r="B1057" t="s">
        <v>1356</v>
      </c>
    </row>
    <row r="1058" spans="1:3" x14ac:dyDescent="0.3">
      <c r="A1058" s="36">
        <v>22046570</v>
      </c>
      <c r="B1058" t="s">
        <v>1356</v>
      </c>
    </row>
    <row r="1059" spans="1:3" x14ac:dyDescent="0.3">
      <c r="A1059" s="36">
        <v>23182832324</v>
      </c>
      <c r="B1059" t="s">
        <v>524</v>
      </c>
    </row>
    <row r="1060" spans="1:3" x14ac:dyDescent="0.3">
      <c r="A1060" s="36">
        <v>20226511874</v>
      </c>
      <c r="B1060" t="s">
        <v>525</v>
      </c>
    </row>
    <row r="1061" spans="1:3" x14ac:dyDescent="0.3">
      <c r="A1061" s="36">
        <v>33716493119</v>
      </c>
      <c r="B1061" t="s">
        <v>526</v>
      </c>
      <c r="C1061" s="35" t="s">
        <v>83</v>
      </c>
    </row>
    <row r="1062" spans="1:3" x14ac:dyDescent="0.3">
      <c r="A1062" s="36">
        <v>20205670247</v>
      </c>
      <c r="B1062" t="s">
        <v>1391</v>
      </c>
    </row>
    <row r="1063" spans="1:3" x14ac:dyDescent="0.3">
      <c r="A1063" s="36">
        <v>20205670247</v>
      </c>
      <c r="B1063" t="s">
        <v>1391</v>
      </c>
    </row>
    <row r="1064" spans="1:3" x14ac:dyDescent="0.3">
      <c r="A1064" s="36">
        <v>33608724279</v>
      </c>
      <c r="B1064" t="s">
        <v>527</v>
      </c>
      <c r="C1064" s="35" t="s">
        <v>84</v>
      </c>
    </row>
    <row r="1065" spans="1:3" x14ac:dyDescent="0.3">
      <c r="A1065" s="36">
        <v>30707983732</v>
      </c>
      <c r="B1065" t="s">
        <v>528</v>
      </c>
      <c r="C1065" s="35" t="s">
        <v>84</v>
      </c>
    </row>
    <row r="1066" spans="1:3" x14ac:dyDescent="0.3">
      <c r="A1066" s="36">
        <v>20241276458</v>
      </c>
      <c r="B1066" t="s">
        <v>529</v>
      </c>
    </row>
    <row r="1067" spans="1:3" x14ac:dyDescent="0.3">
      <c r="A1067" s="36">
        <v>27209563113</v>
      </c>
      <c r="B1067" t="s">
        <v>530</v>
      </c>
    </row>
    <row r="1068" spans="1:3" x14ac:dyDescent="0.3">
      <c r="A1068" s="36">
        <v>30714376523</v>
      </c>
      <c r="B1068" t="s">
        <v>531</v>
      </c>
    </row>
    <row r="1069" spans="1:3" x14ac:dyDescent="0.3">
      <c r="A1069" s="36">
        <v>30713979704</v>
      </c>
      <c r="B1069" t="s">
        <v>532</v>
      </c>
      <c r="C1069" s="35" t="s">
        <v>81</v>
      </c>
    </row>
    <row r="1070" spans="1:3" x14ac:dyDescent="0.3">
      <c r="A1070" s="36">
        <v>20310505650</v>
      </c>
      <c r="B1070" t="s">
        <v>533</v>
      </c>
    </row>
    <row r="1071" spans="1:3" x14ac:dyDescent="0.3">
      <c r="A1071" s="36">
        <v>5944118</v>
      </c>
      <c r="B1071" t="s">
        <v>1210</v>
      </c>
    </row>
    <row r="1072" spans="1:3" x14ac:dyDescent="0.3">
      <c r="A1072" s="36">
        <v>5944118</v>
      </c>
      <c r="B1072" t="s">
        <v>1210</v>
      </c>
    </row>
    <row r="1073" spans="1:3" x14ac:dyDescent="0.3">
      <c r="A1073" s="36">
        <v>20181837617</v>
      </c>
      <c r="B1073" t="s">
        <v>534</v>
      </c>
      <c r="C1073" s="35" t="s">
        <v>81</v>
      </c>
    </row>
    <row r="1074" spans="1:3" x14ac:dyDescent="0.3">
      <c r="A1074" s="36">
        <v>30652010489</v>
      </c>
      <c r="B1074" t="s">
        <v>535</v>
      </c>
      <c r="C1074" s="35" t="s">
        <v>79</v>
      </c>
    </row>
    <row r="1075" spans="1:3" x14ac:dyDescent="0.3">
      <c r="A1075" s="36">
        <v>20220241212</v>
      </c>
      <c r="B1075" t="s">
        <v>536</v>
      </c>
    </row>
    <row r="1076" spans="1:3" x14ac:dyDescent="0.3">
      <c r="A1076" s="36">
        <v>30711498504</v>
      </c>
      <c r="B1076" t="s">
        <v>537</v>
      </c>
    </row>
    <row r="1077" spans="1:3" x14ac:dyDescent="0.3">
      <c r="A1077" s="36">
        <v>30707264957</v>
      </c>
      <c r="B1077" t="s">
        <v>538</v>
      </c>
    </row>
    <row r="1078" spans="1:3" x14ac:dyDescent="0.3">
      <c r="A1078" s="36">
        <v>30660489181</v>
      </c>
      <c r="B1078" t="s">
        <v>539</v>
      </c>
    </row>
    <row r="1079" spans="1:3" x14ac:dyDescent="0.3">
      <c r="A1079" s="36">
        <v>27259489976</v>
      </c>
      <c r="B1079" t="s">
        <v>540</v>
      </c>
    </row>
    <row r="1080" spans="1:3" x14ac:dyDescent="0.3">
      <c r="A1080" s="36">
        <v>30710155336</v>
      </c>
      <c r="B1080" t="s">
        <v>541</v>
      </c>
    </row>
    <row r="1081" spans="1:3" x14ac:dyDescent="0.3">
      <c r="A1081" s="36">
        <v>30598946694</v>
      </c>
      <c r="B1081" t="s">
        <v>542</v>
      </c>
      <c r="C1081" s="35" t="s">
        <v>81</v>
      </c>
    </row>
    <row r="1082" spans="1:3" x14ac:dyDescent="0.3">
      <c r="A1082" s="36">
        <v>20334549152</v>
      </c>
      <c r="B1082" t="s">
        <v>543</v>
      </c>
    </row>
    <row r="1083" spans="1:3" x14ac:dyDescent="0.3">
      <c r="A1083" s="36">
        <v>30546764040</v>
      </c>
      <c r="B1083" t="s">
        <v>544</v>
      </c>
      <c r="C1083" s="35" t="s">
        <v>79</v>
      </c>
    </row>
    <row r="1084" spans="1:3" x14ac:dyDescent="0.3">
      <c r="A1084" s="36">
        <v>20232991527</v>
      </c>
      <c r="B1084" t="s">
        <v>545</v>
      </c>
      <c r="C1084" s="35" t="s">
        <v>81</v>
      </c>
    </row>
    <row r="1085" spans="1:3" x14ac:dyDescent="0.3">
      <c r="A1085" s="36">
        <v>20145637415</v>
      </c>
      <c r="B1085" t="s">
        <v>546</v>
      </c>
    </row>
    <row r="1086" spans="1:3" x14ac:dyDescent="0.3">
      <c r="A1086" s="36">
        <v>30714834300</v>
      </c>
      <c r="B1086" t="s">
        <v>547</v>
      </c>
    </row>
    <row r="1087" spans="1:3" x14ac:dyDescent="0.3">
      <c r="A1087" s="36">
        <v>20113715538</v>
      </c>
      <c r="B1087" t="s">
        <v>1142</v>
      </c>
      <c r="C1087" s="35" t="s">
        <v>78</v>
      </c>
    </row>
    <row r="1088" spans="1:3" x14ac:dyDescent="0.3">
      <c r="A1088" s="36">
        <v>20113715538</v>
      </c>
      <c r="B1088" t="s">
        <v>1142</v>
      </c>
      <c r="C1088" s="35" t="s">
        <v>78</v>
      </c>
    </row>
    <row r="1089" spans="1:3" x14ac:dyDescent="0.3">
      <c r="A1089" s="36">
        <v>30709822116</v>
      </c>
      <c r="B1089" t="s">
        <v>548</v>
      </c>
    </row>
    <row r="1090" spans="1:3" x14ac:dyDescent="0.3">
      <c r="A1090" s="36">
        <v>30708017759</v>
      </c>
      <c r="B1090" t="s">
        <v>1429</v>
      </c>
    </row>
    <row r="1091" spans="1:3" x14ac:dyDescent="0.3">
      <c r="A1091" s="36">
        <v>30708017759</v>
      </c>
      <c r="B1091" t="s">
        <v>1429</v>
      </c>
    </row>
    <row r="1092" spans="1:3" x14ac:dyDescent="0.3">
      <c r="A1092" s="36">
        <v>30714696838</v>
      </c>
      <c r="B1092" t="s">
        <v>549</v>
      </c>
    </row>
    <row r="1093" spans="1:3" x14ac:dyDescent="0.3">
      <c r="A1093" s="36">
        <v>30710332467</v>
      </c>
      <c r="B1093" t="s">
        <v>550</v>
      </c>
    </row>
    <row r="1094" spans="1:3" x14ac:dyDescent="0.3">
      <c r="A1094" s="36">
        <v>30707811540</v>
      </c>
      <c r="B1094" t="s">
        <v>551</v>
      </c>
    </row>
    <row r="1095" spans="1:3" x14ac:dyDescent="0.3">
      <c r="A1095" s="36">
        <v>20381564224</v>
      </c>
      <c r="B1095" t="s">
        <v>1539</v>
      </c>
    </row>
    <row r="1096" spans="1:3" x14ac:dyDescent="0.3">
      <c r="A1096" s="36">
        <v>20251270202</v>
      </c>
      <c r="B1096" t="s">
        <v>552</v>
      </c>
    </row>
    <row r="1097" spans="1:3" x14ac:dyDescent="0.3">
      <c r="A1097" s="36">
        <v>20298653541</v>
      </c>
      <c r="B1097" t="s">
        <v>553</v>
      </c>
    </row>
    <row r="1098" spans="1:3" x14ac:dyDescent="0.3">
      <c r="A1098" s="36">
        <v>30710731868</v>
      </c>
      <c r="B1098" t="s">
        <v>554</v>
      </c>
    </row>
    <row r="1099" spans="1:3" x14ac:dyDescent="0.3">
      <c r="A1099" s="36">
        <v>20309026897</v>
      </c>
      <c r="B1099" t="s">
        <v>1382</v>
      </c>
    </row>
    <row r="1100" spans="1:3" x14ac:dyDescent="0.3">
      <c r="A1100" s="36">
        <v>20309026897</v>
      </c>
      <c r="B1100" t="s">
        <v>1382</v>
      </c>
    </row>
    <row r="1101" spans="1:3" x14ac:dyDescent="0.3">
      <c r="A1101" s="36">
        <v>20327697324</v>
      </c>
      <c r="B1101" t="s">
        <v>555</v>
      </c>
    </row>
    <row r="1102" spans="1:3" x14ac:dyDescent="0.3">
      <c r="A1102" s="36">
        <v>30717535649</v>
      </c>
      <c r="B1102" t="s">
        <v>1134</v>
      </c>
    </row>
    <row r="1103" spans="1:3" x14ac:dyDescent="0.3">
      <c r="A1103" s="36">
        <v>30717535649</v>
      </c>
      <c r="B1103" t="s">
        <v>1134</v>
      </c>
    </row>
    <row r="1104" spans="1:3" x14ac:dyDescent="0.3">
      <c r="A1104" s="36">
        <v>30707838384</v>
      </c>
      <c r="B1104" t="s">
        <v>556</v>
      </c>
      <c r="C1104" s="35" t="s">
        <v>81</v>
      </c>
    </row>
    <row r="1105" spans="1:3" x14ac:dyDescent="0.3">
      <c r="A1105" s="36">
        <v>30712215689</v>
      </c>
      <c r="B1105" t="s">
        <v>557</v>
      </c>
    </row>
    <row r="1106" spans="1:3" x14ac:dyDescent="0.3">
      <c r="A1106" s="36">
        <v>30712215689</v>
      </c>
      <c r="B1106" t="s">
        <v>557</v>
      </c>
    </row>
    <row r="1107" spans="1:3" x14ac:dyDescent="0.3">
      <c r="A1107" s="36">
        <v>30557807175</v>
      </c>
      <c r="B1107" t="s">
        <v>558</v>
      </c>
    </row>
    <row r="1108" spans="1:3" x14ac:dyDescent="0.3">
      <c r="A1108" s="36">
        <v>20171082464</v>
      </c>
      <c r="B1108" t="s">
        <v>559</v>
      </c>
      <c r="C1108" s="35" t="s">
        <v>79</v>
      </c>
    </row>
    <row r="1109" spans="1:3" x14ac:dyDescent="0.3">
      <c r="A1109" s="36">
        <v>33716080809</v>
      </c>
      <c r="B1109" t="s">
        <v>560</v>
      </c>
    </row>
    <row r="1110" spans="1:3" x14ac:dyDescent="0.3">
      <c r="A1110" s="36">
        <v>23147243669</v>
      </c>
      <c r="B1110" t="s">
        <v>561</v>
      </c>
    </row>
    <row r="1111" spans="1:3" x14ac:dyDescent="0.3">
      <c r="A1111" s="36">
        <v>30715891154</v>
      </c>
      <c r="B1111" t="s">
        <v>562</v>
      </c>
    </row>
    <row r="1112" spans="1:3" x14ac:dyDescent="0.3">
      <c r="A1112" s="36">
        <v>30711180431</v>
      </c>
      <c r="B1112" t="s">
        <v>563</v>
      </c>
    </row>
    <row r="1113" spans="1:3" x14ac:dyDescent="0.3">
      <c r="A1113" s="36">
        <v>30638389548</v>
      </c>
      <c r="B1113" t="s">
        <v>564</v>
      </c>
    </row>
    <row r="1114" spans="1:3" x14ac:dyDescent="0.3">
      <c r="A1114" s="36">
        <v>30638389548</v>
      </c>
      <c r="B1114" t="s">
        <v>565</v>
      </c>
    </row>
    <row r="1115" spans="1:3" x14ac:dyDescent="0.3">
      <c r="A1115" s="36">
        <v>30691617773</v>
      </c>
      <c r="B1115" t="s">
        <v>1392</v>
      </c>
    </row>
    <row r="1116" spans="1:3" x14ac:dyDescent="0.3">
      <c r="A1116" s="36">
        <v>30691617773</v>
      </c>
      <c r="B1116" t="s">
        <v>1392</v>
      </c>
    </row>
    <row r="1117" spans="1:3" x14ac:dyDescent="0.3">
      <c r="A1117" s="36">
        <v>30691617773</v>
      </c>
      <c r="B1117" t="s">
        <v>1175</v>
      </c>
    </row>
    <row r="1118" spans="1:3" x14ac:dyDescent="0.3">
      <c r="A1118" s="36">
        <v>30691617773</v>
      </c>
      <c r="B1118" t="s">
        <v>1175</v>
      </c>
    </row>
    <row r="1119" spans="1:3" x14ac:dyDescent="0.3">
      <c r="A1119" s="36">
        <v>30686222086</v>
      </c>
      <c r="B1119" t="s">
        <v>566</v>
      </c>
    </row>
    <row r="1120" spans="1:3" x14ac:dyDescent="0.3">
      <c r="A1120" s="36">
        <v>30715564749</v>
      </c>
      <c r="B1120" t="s">
        <v>567</v>
      </c>
      <c r="C1120" s="35" t="s">
        <v>81</v>
      </c>
    </row>
    <row r="1121" spans="1:3" x14ac:dyDescent="0.3">
      <c r="A1121" s="36">
        <v>30625911334</v>
      </c>
      <c r="B1121" t="s">
        <v>568</v>
      </c>
      <c r="C1121" s="35" t="s">
        <v>81</v>
      </c>
    </row>
    <row r="1122" spans="1:3" x14ac:dyDescent="0.3">
      <c r="A1122" s="36">
        <v>30685437011</v>
      </c>
      <c r="B1122" t="s">
        <v>569</v>
      </c>
    </row>
    <row r="1123" spans="1:3" x14ac:dyDescent="0.3">
      <c r="A1123" s="36">
        <v>30709318965</v>
      </c>
      <c r="B1123" t="s">
        <v>570</v>
      </c>
    </row>
    <row r="1124" spans="1:3" x14ac:dyDescent="0.3">
      <c r="A1124" s="36">
        <v>30714113395</v>
      </c>
      <c r="B1124" t="s">
        <v>571</v>
      </c>
    </row>
    <row r="1125" spans="1:3" x14ac:dyDescent="0.3">
      <c r="A1125" s="36">
        <v>30715263676</v>
      </c>
      <c r="B1125" t="s">
        <v>572</v>
      </c>
    </row>
    <row r="1126" spans="1:3" x14ac:dyDescent="0.3">
      <c r="A1126" s="36">
        <v>30702652975</v>
      </c>
      <c r="B1126" t="s">
        <v>114</v>
      </c>
      <c r="C1126" s="35" t="s">
        <v>80</v>
      </c>
    </row>
    <row r="1127" spans="1:3" x14ac:dyDescent="0.3">
      <c r="A1127" s="36">
        <v>30707391983</v>
      </c>
      <c r="B1127" t="s">
        <v>1168</v>
      </c>
    </row>
    <row r="1128" spans="1:3" x14ac:dyDescent="0.3">
      <c r="A1128" s="36">
        <v>30707391983</v>
      </c>
      <c r="B1128" t="s">
        <v>1168</v>
      </c>
    </row>
    <row r="1129" spans="1:3" x14ac:dyDescent="0.3">
      <c r="A1129" s="36">
        <v>33714232199</v>
      </c>
      <c r="B1129" t="s">
        <v>1384</v>
      </c>
    </row>
    <row r="1130" spans="1:3" x14ac:dyDescent="0.3">
      <c r="A1130" s="36">
        <v>33714232199</v>
      </c>
      <c r="B1130" t="s">
        <v>1384</v>
      </c>
    </row>
    <row r="1131" spans="1:3" x14ac:dyDescent="0.3">
      <c r="A1131" s="36">
        <v>30714187658</v>
      </c>
      <c r="B1131" t="s">
        <v>573</v>
      </c>
      <c r="C1131" s="35" t="s">
        <v>81</v>
      </c>
    </row>
    <row r="1132" spans="1:3" x14ac:dyDescent="0.3">
      <c r="A1132" s="36">
        <v>30707215689</v>
      </c>
      <c r="B1132" t="s">
        <v>574</v>
      </c>
      <c r="C1132" s="35" t="s">
        <v>82</v>
      </c>
    </row>
    <row r="1133" spans="1:3" x14ac:dyDescent="0.3">
      <c r="A1133" s="36">
        <v>30707846425</v>
      </c>
      <c r="B1133" t="s">
        <v>575</v>
      </c>
    </row>
    <row r="1134" spans="1:3" x14ac:dyDescent="0.3">
      <c r="A1134" s="36">
        <v>30694573173</v>
      </c>
      <c r="B1134" t="s">
        <v>576</v>
      </c>
    </row>
    <row r="1135" spans="1:3" x14ac:dyDescent="0.3">
      <c r="A1135" s="36">
        <v>30708073519</v>
      </c>
      <c r="B1135" t="s">
        <v>1493</v>
      </c>
    </row>
    <row r="1136" spans="1:3" x14ac:dyDescent="0.3">
      <c r="A1136" s="36">
        <v>30695268137</v>
      </c>
      <c r="B1136" t="s">
        <v>577</v>
      </c>
    </row>
    <row r="1137" spans="1:3" x14ac:dyDescent="0.3">
      <c r="A1137" s="36">
        <v>23068390</v>
      </c>
      <c r="B1137" t="s">
        <v>1359</v>
      </c>
    </row>
    <row r="1138" spans="1:3" x14ac:dyDescent="0.3">
      <c r="A1138" s="36">
        <v>23068390</v>
      </c>
      <c r="B1138" t="s">
        <v>1359</v>
      </c>
    </row>
    <row r="1139" spans="1:3" x14ac:dyDescent="0.3">
      <c r="A1139" s="36">
        <v>17681773</v>
      </c>
      <c r="B1139" t="s">
        <v>1358</v>
      </c>
    </row>
    <row r="1140" spans="1:3" x14ac:dyDescent="0.3">
      <c r="A1140" s="36">
        <v>17681773</v>
      </c>
      <c r="B1140" t="s">
        <v>1358</v>
      </c>
    </row>
    <row r="1141" spans="1:3" x14ac:dyDescent="0.3">
      <c r="A1141" s="36">
        <v>30504854023</v>
      </c>
      <c r="B1141" t="s">
        <v>578</v>
      </c>
      <c r="C1141" s="35" t="s">
        <v>81</v>
      </c>
    </row>
    <row r="1142" spans="1:3" x14ac:dyDescent="0.3">
      <c r="A1142" s="36">
        <v>30500053522</v>
      </c>
      <c r="B1142" t="s">
        <v>579</v>
      </c>
    </row>
    <row r="1143" spans="1:3" x14ac:dyDescent="0.3">
      <c r="A1143" s="36">
        <v>30658137642</v>
      </c>
      <c r="B1143" t="s">
        <v>580</v>
      </c>
    </row>
    <row r="1144" spans="1:3" x14ac:dyDescent="0.3">
      <c r="A1144" s="36">
        <v>33600011869</v>
      </c>
      <c r="B1144" t="s">
        <v>581</v>
      </c>
    </row>
    <row r="1145" spans="1:3" x14ac:dyDescent="0.3">
      <c r="A1145" s="36">
        <v>30609521941</v>
      </c>
      <c r="B1145" t="s">
        <v>582</v>
      </c>
    </row>
    <row r="1146" spans="1:3" x14ac:dyDescent="0.3">
      <c r="A1146" s="36">
        <v>30590412631</v>
      </c>
      <c r="B1146" t="s">
        <v>583</v>
      </c>
    </row>
    <row r="1147" spans="1:3" x14ac:dyDescent="0.3">
      <c r="A1147" s="36">
        <v>30707006702</v>
      </c>
      <c r="B1147" t="s">
        <v>584</v>
      </c>
    </row>
    <row r="1148" spans="1:3" x14ac:dyDescent="0.3">
      <c r="A1148" s="36">
        <v>30714757012</v>
      </c>
      <c r="B1148" t="s">
        <v>585</v>
      </c>
    </row>
    <row r="1149" spans="1:3" x14ac:dyDescent="0.3">
      <c r="A1149" s="36">
        <v>30585412453</v>
      </c>
      <c r="B1149" t="s">
        <v>586</v>
      </c>
    </row>
    <row r="1150" spans="1:3" x14ac:dyDescent="0.3">
      <c r="A1150" s="36">
        <v>30546846217</v>
      </c>
      <c r="B1150" t="s">
        <v>587</v>
      </c>
    </row>
    <row r="1151" spans="1:3" x14ac:dyDescent="0.3">
      <c r="A1151" s="36">
        <v>30701783065</v>
      </c>
      <c r="B1151" t="s">
        <v>588</v>
      </c>
    </row>
    <row r="1152" spans="1:3" x14ac:dyDescent="0.3">
      <c r="A1152" s="36">
        <v>20077604627</v>
      </c>
      <c r="B1152" t="s">
        <v>1363</v>
      </c>
    </row>
    <row r="1153" spans="1:3" x14ac:dyDescent="0.3">
      <c r="A1153" s="36">
        <v>20077604627</v>
      </c>
      <c r="B1153" t="s">
        <v>1363</v>
      </c>
    </row>
    <row r="1154" spans="1:3" x14ac:dyDescent="0.3">
      <c r="A1154" s="36">
        <v>20077604627</v>
      </c>
      <c r="B1154" t="s">
        <v>1363</v>
      </c>
    </row>
    <row r="1155" spans="1:3" x14ac:dyDescent="0.3">
      <c r="A1155" s="36">
        <v>20077604627</v>
      </c>
      <c r="B1155" t="s">
        <v>1363</v>
      </c>
    </row>
    <row r="1156" spans="1:3" x14ac:dyDescent="0.3">
      <c r="A1156" s="36">
        <v>20077604627</v>
      </c>
      <c r="B1156" t="s">
        <v>1363</v>
      </c>
    </row>
    <row r="1157" spans="1:3" x14ac:dyDescent="0.3">
      <c r="A1157" s="36">
        <v>20077604627</v>
      </c>
      <c r="B1157" t="s">
        <v>1363</v>
      </c>
    </row>
    <row r="1158" spans="1:3" x14ac:dyDescent="0.3">
      <c r="A1158" s="36">
        <v>20077604627</v>
      </c>
      <c r="B1158" t="s">
        <v>1363</v>
      </c>
    </row>
    <row r="1159" spans="1:3" x14ac:dyDescent="0.3">
      <c r="A1159" s="36">
        <v>20077604627</v>
      </c>
      <c r="B1159" t="s">
        <v>1363</v>
      </c>
    </row>
    <row r="1160" spans="1:3" x14ac:dyDescent="0.3">
      <c r="A1160" s="36">
        <v>20077604627</v>
      </c>
      <c r="B1160" t="s">
        <v>1363</v>
      </c>
    </row>
    <row r="1161" spans="1:3" x14ac:dyDescent="0.3">
      <c r="A1161" s="36">
        <v>20077604627</v>
      </c>
      <c r="B1161" t="s">
        <v>1363</v>
      </c>
    </row>
    <row r="1162" spans="1:3" x14ac:dyDescent="0.3">
      <c r="A1162" s="36">
        <v>20077604627</v>
      </c>
      <c r="B1162" t="s">
        <v>1188</v>
      </c>
    </row>
    <row r="1163" spans="1:3" x14ac:dyDescent="0.3">
      <c r="A1163" s="36">
        <v>20077604627</v>
      </c>
      <c r="B1163" t="s">
        <v>1188</v>
      </c>
    </row>
    <row r="1164" spans="1:3" x14ac:dyDescent="0.3">
      <c r="A1164" s="36">
        <v>30714911976</v>
      </c>
      <c r="B1164" t="s">
        <v>589</v>
      </c>
      <c r="C1164" s="35" t="s">
        <v>81</v>
      </c>
    </row>
    <row r="1165" spans="1:3" x14ac:dyDescent="0.3">
      <c r="A1165" s="36">
        <v>20177474844</v>
      </c>
      <c r="B1165" t="s">
        <v>590</v>
      </c>
    </row>
    <row r="1166" spans="1:3" x14ac:dyDescent="0.3">
      <c r="A1166" s="36">
        <v>30708387114</v>
      </c>
      <c r="B1166" t="s">
        <v>591</v>
      </c>
      <c r="C1166" s="35" t="s">
        <v>81</v>
      </c>
    </row>
    <row r="1167" spans="1:3" x14ac:dyDescent="0.3">
      <c r="A1167" s="36">
        <v>30709059471</v>
      </c>
      <c r="B1167" t="s">
        <v>592</v>
      </c>
      <c r="C1167" s="35" t="s">
        <v>81</v>
      </c>
    </row>
    <row r="1168" spans="1:3" x14ac:dyDescent="0.3">
      <c r="A1168" s="36">
        <v>30702843576</v>
      </c>
      <c r="B1168" t="s">
        <v>593</v>
      </c>
      <c r="C1168" s="35" t="s">
        <v>81</v>
      </c>
    </row>
    <row r="1169" spans="1:3" x14ac:dyDescent="0.3">
      <c r="A1169" s="36">
        <v>30707092781</v>
      </c>
      <c r="B1169" t="s">
        <v>594</v>
      </c>
      <c r="C1169" s="35" t="s">
        <v>79</v>
      </c>
    </row>
    <row r="1170" spans="1:3" x14ac:dyDescent="0.3">
      <c r="A1170" s="36">
        <v>20050717187</v>
      </c>
      <c r="B1170" t="s">
        <v>595</v>
      </c>
    </row>
    <row r="1171" spans="1:3" x14ac:dyDescent="0.3">
      <c r="A1171" s="36">
        <v>30708436573</v>
      </c>
      <c r="B1171" t="s">
        <v>596</v>
      </c>
    </row>
    <row r="1172" spans="1:3" x14ac:dyDescent="0.3">
      <c r="A1172" s="36">
        <v>30708436573</v>
      </c>
      <c r="B1172" t="s">
        <v>597</v>
      </c>
    </row>
    <row r="1173" spans="1:3" x14ac:dyDescent="0.3">
      <c r="A1173" s="36">
        <v>27937907473</v>
      </c>
      <c r="B1173" t="s">
        <v>598</v>
      </c>
      <c r="C1173" s="35" t="s">
        <v>79</v>
      </c>
    </row>
    <row r="1174" spans="1:3" x14ac:dyDescent="0.3">
      <c r="A1174" s="36">
        <v>27405786066</v>
      </c>
      <c r="B1174" t="s">
        <v>599</v>
      </c>
    </row>
    <row r="1175" spans="1:3" x14ac:dyDescent="0.3">
      <c r="A1175" s="36">
        <v>3468287</v>
      </c>
      <c r="B1175" t="s">
        <v>1350</v>
      </c>
    </row>
    <row r="1176" spans="1:3" x14ac:dyDescent="0.3">
      <c r="A1176" s="36">
        <v>3468287</v>
      </c>
      <c r="B1176" t="s">
        <v>1350</v>
      </c>
    </row>
    <row r="1177" spans="1:3" x14ac:dyDescent="0.3">
      <c r="A1177" s="36">
        <v>21856835</v>
      </c>
      <c r="B1177" t="s">
        <v>1215</v>
      </c>
    </row>
    <row r="1178" spans="1:3" x14ac:dyDescent="0.3">
      <c r="A1178" s="36">
        <v>21856835</v>
      </c>
      <c r="B1178" t="s">
        <v>1215</v>
      </c>
    </row>
    <row r="1179" spans="1:3" x14ac:dyDescent="0.3">
      <c r="A1179" s="36">
        <v>21856835</v>
      </c>
      <c r="B1179" t="s">
        <v>1215</v>
      </c>
    </row>
    <row r="1180" spans="1:3" x14ac:dyDescent="0.3">
      <c r="A1180" s="36">
        <v>21856835</v>
      </c>
      <c r="B1180" t="s">
        <v>1215</v>
      </c>
    </row>
    <row r="1181" spans="1:3" x14ac:dyDescent="0.3">
      <c r="A1181" s="36">
        <v>30603810550</v>
      </c>
      <c r="B1181" t="s">
        <v>600</v>
      </c>
      <c r="C1181" s="35" t="s">
        <v>79</v>
      </c>
    </row>
    <row r="1182" spans="1:3" x14ac:dyDescent="0.3">
      <c r="A1182" s="36">
        <v>20114990419</v>
      </c>
      <c r="B1182" t="s">
        <v>601</v>
      </c>
    </row>
    <row r="1183" spans="1:3" x14ac:dyDescent="0.3">
      <c r="A1183" s="36">
        <v>30645310361</v>
      </c>
      <c r="B1183" t="s">
        <v>602</v>
      </c>
    </row>
    <row r="1184" spans="1:3" x14ac:dyDescent="0.3">
      <c r="A1184" s="36">
        <v>30712341803</v>
      </c>
      <c r="B1184" t="s">
        <v>603</v>
      </c>
    </row>
    <row r="1185" spans="1:3" x14ac:dyDescent="0.3">
      <c r="A1185" s="36">
        <v>30550245309</v>
      </c>
      <c r="B1185" t="s">
        <v>604</v>
      </c>
    </row>
    <row r="1186" spans="1:3" x14ac:dyDescent="0.3">
      <c r="A1186" s="36">
        <v>30655042772</v>
      </c>
      <c r="B1186" t="s">
        <v>605</v>
      </c>
    </row>
    <row r="1187" spans="1:3" x14ac:dyDescent="0.3">
      <c r="A1187" s="36">
        <v>30714830453</v>
      </c>
      <c r="B1187" t="s">
        <v>606</v>
      </c>
    </row>
    <row r="1188" spans="1:3" x14ac:dyDescent="0.3">
      <c r="A1188" s="36">
        <v>30678774495</v>
      </c>
      <c r="B1188" t="s">
        <v>95</v>
      </c>
      <c r="C1188" s="35" t="s">
        <v>84</v>
      </c>
    </row>
    <row r="1189" spans="1:3" x14ac:dyDescent="0.3">
      <c r="A1189" s="36">
        <v>30678774495</v>
      </c>
      <c r="B1189" t="s">
        <v>1402</v>
      </c>
    </row>
    <row r="1190" spans="1:3" x14ac:dyDescent="0.3">
      <c r="A1190" s="36">
        <v>30678774495</v>
      </c>
      <c r="B1190" t="s">
        <v>1402</v>
      </c>
    </row>
    <row r="1191" spans="1:3" x14ac:dyDescent="0.3">
      <c r="A1191" s="36">
        <v>30710681771</v>
      </c>
      <c r="B1191" t="s">
        <v>607</v>
      </c>
    </row>
    <row r="1192" spans="1:3" x14ac:dyDescent="0.3">
      <c r="A1192" s="36">
        <v>30709497428</v>
      </c>
      <c r="B1192" t="s">
        <v>1559</v>
      </c>
    </row>
    <row r="1193" spans="1:3" x14ac:dyDescent="0.3">
      <c r="A1193" s="36">
        <v>30500597557</v>
      </c>
      <c r="B1193" t="s">
        <v>608</v>
      </c>
      <c r="C1193" s="35" t="s">
        <v>81</v>
      </c>
    </row>
    <row r="1194" spans="1:3" x14ac:dyDescent="0.3">
      <c r="A1194" s="36">
        <v>30611371213</v>
      </c>
      <c r="B1194" t="s">
        <v>609</v>
      </c>
      <c r="C1194" s="35" t="s">
        <v>81</v>
      </c>
    </row>
    <row r="1195" spans="1:3" x14ac:dyDescent="0.3">
      <c r="A1195" s="36">
        <v>30536259194</v>
      </c>
      <c r="B1195" t="s">
        <v>610</v>
      </c>
      <c r="C1195" s="35" t="s">
        <v>79</v>
      </c>
    </row>
    <row r="1196" spans="1:3" x14ac:dyDescent="0.3">
      <c r="A1196" s="36">
        <v>30546995735</v>
      </c>
      <c r="B1196" t="s">
        <v>1582</v>
      </c>
      <c r="C1196" s="35" t="s">
        <v>1581</v>
      </c>
    </row>
    <row r="1197" spans="1:3" x14ac:dyDescent="0.3">
      <c r="A1197" s="36">
        <v>30688264711</v>
      </c>
      <c r="B1197" t="s">
        <v>611</v>
      </c>
    </row>
    <row r="1198" spans="1:3" x14ac:dyDescent="0.3">
      <c r="A1198" s="36">
        <v>20238751560</v>
      </c>
      <c r="B1198" t="s">
        <v>612</v>
      </c>
    </row>
    <row r="1199" spans="1:3" x14ac:dyDescent="0.3">
      <c r="A1199" s="36">
        <v>30661498575</v>
      </c>
      <c r="B1199" t="s">
        <v>613</v>
      </c>
      <c r="C1199" s="35" t="s">
        <v>81</v>
      </c>
    </row>
    <row r="1200" spans="1:3" x14ac:dyDescent="0.3">
      <c r="A1200" s="36">
        <v>33709738459</v>
      </c>
      <c r="B1200" t="s">
        <v>614</v>
      </c>
      <c r="C1200" s="35" t="s">
        <v>81</v>
      </c>
    </row>
    <row r="1201" spans="1:3" x14ac:dyDescent="0.3">
      <c r="A1201" s="36">
        <v>30696246234</v>
      </c>
      <c r="B1201" t="s">
        <v>615</v>
      </c>
      <c r="C1201" s="35" t="s">
        <v>81</v>
      </c>
    </row>
    <row r="1202" spans="1:3" x14ac:dyDescent="0.3">
      <c r="A1202" s="36">
        <v>30701934195</v>
      </c>
      <c r="B1202" t="s">
        <v>616</v>
      </c>
    </row>
    <row r="1203" spans="1:3" x14ac:dyDescent="0.3">
      <c r="A1203" s="36">
        <v>20083082136</v>
      </c>
      <c r="B1203" t="s">
        <v>617</v>
      </c>
    </row>
    <row r="1204" spans="1:3" x14ac:dyDescent="0.3">
      <c r="A1204" s="36">
        <v>30711127646</v>
      </c>
      <c r="B1204" t="s">
        <v>618</v>
      </c>
    </row>
    <row r="1205" spans="1:3" x14ac:dyDescent="0.3">
      <c r="A1205" s="36">
        <v>30518922897</v>
      </c>
      <c r="B1205" t="s">
        <v>619</v>
      </c>
    </row>
    <row r="1206" spans="1:3" x14ac:dyDescent="0.3">
      <c r="A1206" s="36">
        <v>27106318900</v>
      </c>
      <c r="B1206" t="s">
        <v>620</v>
      </c>
    </row>
    <row r="1207" spans="1:3" x14ac:dyDescent="0.3">
      <c r="A1207" s="36">
        <v>20222971676</v>
      </c>
      <c r="B1207" t="s">
        <v>621</v>
      </c>
    </row>
    <row r="1208" spans="1:3" x14ac:dyDescent="0.3">
      <c r="A1208" s="36">
        <v>20178198050</v>
      </c>
      <c r="B1208" t="s">
        <v>622</v>
      </c>
    </row>
    <row r="1209" spans="1:3" x14ac:dyDescent="0.3">
      <c r="A1209" s="36">
        <v>30600271004</v>
      </c>
      <c r="B1209" t="s">
        <v>623</v>
      </c>
    </row>
    <row r="1210" spans="1:3" x14ac:dyDescent="0.3">
      <c r="A1210" s="36">
        <v>30707080198</v>
      </c>
      <c r="B1210" t="s">
        <v>624</v>
      </c>
      <c r="C1210" s="35" t="s">
        <v>81</v>
      </c>
    </row>
    <row r="1211" spans="1:3" x14ac:dyDescent="0.3">
      <c r="A1211" s="36">
        <v>30643862928</v>
      </c>
      <c r="B1211" t="s">
        <v>625</v>
      </c>
      <c r="C1211" s="35" t="s">
        <v>81</v>
      </c>
    </row>
    <row r="1212" spans="1:3" x14ac:dyDescent="0.3">
      <c r="A1212" s="36">
        <v>30709517976</v>
      </c>
      <c r="B1212" t="s">
        <v>626</v>
      </c>
    </row>
    <row r="1213" spans="1:3" x14ac:dyDescent="0.3">
      <c r="A1213" s="36">
        <v>30715363255</v>
      </c>
      <c r="B1213" t="s">
        <v>627</v>
      </c>
    </row>
    <row r="1214" spans="1:3" x14ac:dyDescent="0.3">
      <c r="A1214" s="36">
        <v>30709917516</v>
      </c>
      <c r="B1214" t="s">
        <v>628</v>
      </c>
    </row>
    <row r="1215" spans="1:3" x14ac:dyDescent="0.3">
      <c r="A1215" s="36">
        <v>20266254084</v>
      </c>
      <c r="B1215" t="s">
        <v>629</v>
      </c>
    </row>
    <row r="1216" spans="1:3" x14ac:dyDescent="0.3">
      <c r="A1216" s="36">
        <v>20233719618</v>
      </c>
      <c r="B1216" t="s">
        <v>630</v>
      </c>
    </row>
    <row r="1217" spans="1:3" x14ac:dyDescent="0.3">
      <c r="A1217" s="36">
        <v>30715154192</v>
      </c>
      <c r="B1217" t="s">
        <v>631</v>
      </c>
    </row>
    <row r="1218" spans="1:3" x14ac:dyDescent="0.3">
      <c r="A1218" s="36">
        <v>20181612410</v>
      </c>
      <c r="B1218" t="s">
        <v>1189</v>
      </c>
    </row>
    <row r="1219" spans="1:3" x14ac:dyDescent="0.3">
      <c r="A1219" s="36">
        <v>20181612410</v>
      </c>
      <c r="B1219" t="s">
        <v>1189</v>
      </c>
    </row>
    <row r="1220" spans="1:3" x14ac:dyDescent="0.3">
      <c r="A1220" s="36">
        <v>24928181428</v>
      </c>
      <c r="B1220" t="s">
        <v>632</v>
      </c>
    </row>
    <row r="1221" spans="1:3" x14ac:dyDescent="0.3">
      <c r="A1221" s="36">
        <v>30707801987</v>
      </c>
      <c r="B1221" t="s">
        <v>633</v>
      </c>
    </row>
    <row r="1222" spans="1:3" x14ac:dyDescent="0.3">
      <c r="A1222" s="36">
        <v>20205019775</v>
      </c>
      <c r="B1222" t="s">
        <v>634</v>
      </c>
    </row>
    <row r="1223" spans="1:3" x14ac:dyDescent="0.3">
      <c r="A1223" s="36">
        <v>31316007</v>
      </c>
      <c r="B1223" t="s">
        <v>1228</v>
      </c>
    </row>
    <row r="1224" spans="1:3" x14ac:dyDescent="0.3">
      <c r="A1224" s="36">
        <v>31316007</v>
      </c>
      <c r="B1224" t="s">
        <v>1228</v>
      </c>
    </row>
    <row r="1225" spans="1:3" x14ac:dyDescent="0.3">
      <c r="A1225" s="36">
        <v>31316007</v>
      </c>
      <c r="B1225" t="s">
        <v>1228</v>
      </c>
    </row>
    <row r="1226" spans="1:3" x14ac:dyDescent="0.3">
      <c r="A1226" s="36">
        <v>31316007</v>
      </c>
      <c r="B1226" t="s">
        <v>1228</v>
      </c>
    </row>
    <row r="1227" spans="1:3" x14ac:dyDescent="0.3">
      <c r="A1227" s="36">
        <v>31316007</v>
      </c>
      <c r="B1227" t="s">
        <v>1228</v>
      </c>
    </row>
    <row r="1228" spans="1:3" x14ac:dyDescent="0.3">
      <c r="A1228" s="36">
        <v>31316007</v>
      </c>
      <c r="B1228" t="s">
        <v>1228</v>
      </c>
    </row>
    <row r="1229" spans="1:3" x14ac:dyDescent="0.3">
      <c r="A1229" s="36">
        <v>31316007</v>
      </c>
      <c r="B1229" t="s">
        <v>1228</v>
      </c>
    </row>
    <row r="1230" spans="1:3" x14ac:dyDescent="0.3">
      <c r="A1230" s="36">
        <v>31316007</v>
      </c>
      <c r="B1230" t="s">
        <v>1228</v>
      </c>
    </row>
    <row r="1231" spans="1:3" x14ac:dyDescent="0.3">
      <c r="A1231" s="36">
        <v>30714543357</v>
      </c>
      <c r="B1231" t="s">
        <v>635</v>
      </c>
      <c r="C1231" s="35" t="s">
        <v>83</v>
      </c>
    </row>
    <row r="1232" spans="1:3" x14ac:dyDescent="0.3">
      <c r="A1232" s="36">
        <v>20225106151</v>
      </c>
      <c r="B1232" t="s">
        <v>636</v>
      </c>
      <c r="C1232" s="35" t="s">
        <v>81</v>
      </c>
    </row>
    <row r="1233" spans="1:3" x14ac:dyDescent="0.3">
      <c r="A1233" s="36">
        <v>30658840785</v>
      </c>
      <c r="B1233" t="s">
        <v>637</v>
      </c>
    </row>
    <row r="1234" spans="1:3" x14ac:dyDescent="0.3">
      <c r="A1234" s="36">
        <v>30695542476</v>
      </c>
      <c r="B1234" t="s">
        <v>96</v>
      </c>
      <c r="C1234" s="35" t="s">
        <v>84</v>
      </c>
    </row>
    <row r="1235" spans="1:3" x14ac:dyDescent="0.3">
      <c r="A1235" s="36">
        <v>30591633984</v>
      </c>
      <c r="B1235" t="s">
        <v>638</v>
      </c>
      <c r="C1235" s="35" t="s">
        <v>81</v>
      </c>
    </row>
    <row r="1236" spans="1:3" x14ac:dyDescent="0.3">
      <c r="A1236" s="36">
        <v>30696172877</v>
      </c>
      <c r="B1236" t="s">
        <v>639</v>
      </c>
    </row>
    <row r="1237" spans="1:3" x14ac:dyDescent="0.3">
      <c r="A1237" s="36">
        <v>20137411815</v>
      </c>
      <c r="B1237" t="s">
        <v>640</v>
      </c>
    </row>
    <row r="1238" spans="1:3" x14ac:dyDescent="0.3">
      <c r="A1238" s="36">
        <v>20137411815</v>
      </c>
      <c r="B1238" t="s">
        <v>640</v>
      </c>
    </row>
    <row r="1239" spans="1:3" x14ac:dyDescent="0.3">
      <c r="A1239" s="36">
        <v>20935729662</v>
      </c>
      <c r="B1239" t="s">
        <v>641</v>
      </c>
    </row>
    <row r="1240" spans="1:3" x14ac:dyDescent="0.3">
      <c r="A1240" s="36">
        <v>30588917157</v>
      </c>
      <c r="B1240" t="s">
        <v>642</v>
      </c>
      <c r="C1240" s="35" t="s">
        <v>81</v>
      </c>
    </row>
    <row r="1241" spans="1:3" x14ac:dyDescent="0.3">
      <c r="A1241" s="36">
        <v>30687255492</v>
      </c>
      <c r="B1241" t="s">
        <v>643</v>
      </c>
    </row>
    <row r="1242" spans="1:3" x14ac:dyDescent="0.3">
      <c r="A1242" s="36">
        <v>30605041287</v>
      </c>
      <c r="B1242" t="s">
        <v>644</v>
      </c>
      <c r="C1242" s="35" t="s">
        <v>79</v>
      </c>
    </row>
    <row r="1243" spans="1:3" x14ac:dyDescent="0.3">
      <c r="A1243" s="36">
        <v>30715401114</v>
      </c>
      <c r="B1243" t="s">
        <v>645</v>
      </c>
      <c r="C1243" s="35" t="s">
        <v>81</v>
      </c>
    </row>
    <row r="1244" spans="1:3" x14ac:dyDescent="0.3">
      <c r="A1244" s="36">
        <v>20219190469</v>
      </c>
      <c r="B1244" t="s">
        <v>1406</v>
      </c>
    </row>
    <row r="1245" spans="1:3" x14ac:dyDescent="0.3">
      <c r="A1245" s="36">
        <v>20219190469</v>
      </c>
      <c r="B1245" t="s">
        <v>1406</v>
      </c>
    </row>
    <row r="1246" spans="1:3" x14ac:dyDescent="0.3">
      <c r="A1246" s="36">
        <v>20219190469</v>
      </c>
      <c r="B1246" t="s">
        <v>1163</v>
      </c>
    </row>
    <row r="1247" spans="1:3" x14ac:dyDescent="0.3">
      <c r="A1247" s="36">
        <v>20219190469</v>
      </c>
      <c r="B1247" t="s">
        <v>1163</v>
      </c>
    </row>
    <row r="1248" spans="1:3" x14ac:dyDescent="0.3">
      <c r="A1248" s="36">
        <v>30716022354</v>
      </c>
      <c r="B1248" t="s">
        <v>646</v>
      </c>
    </row>
    <row r="1249" spans="1:2" x14ac:dyDescent="0.3">
      <c r="A1249" s="36">
        <v>27066479531</v>
      </c>
      <c r="B1249" t="s">
        <v>647</v>
      </c>
    </row>
    <row r="1250" spans="1:2" x14ac:dyDescent="0.3">
      <c r="A1250" s="36">
        <v>30954543</v>
      </c>
      <c r="B1250" t="s">
        <v>1203</v>
      </c>
    </row>
    <row r="1251" spans="1:2" x14ac:dyDescent="0.3">
      <c r="A1251" s="36">
        <v>30954543</v>
      </c>
      <c r="B1251" t="s">
        <v>1203</v>
      </c>
    </row>
    <row r="1252" spans="1:2" x14ac:dyDescent="0.3">
      <c r="A1252" s="36">
        <f>16218369</f>
        <v>16218369</v>
      </c>
      <c r="B1252" t="s">
        <v>648</v>
      </c>
    </row>
    <row r="1253" spans="1:2" x14ac:dyDescent="0.3">
      <c r="A1253" s="36">
        <v>20128057499</v>
      </c>
      <c r="B1253" t="s">
        <v>1193</v>
      </c>
    </row>
    <row r="1254" spans="1:2" x14ac:dyDescent="0.3">
      <c r="A1254" s="36">
        <v>20128057499</v>
      </c>
      <c r="B1254" t="s">
        <v>1193</v>
      </c>
    </row>
    <row r="1255" spans="1:2" x14ac:dyDescent="0.3">
      <c r="A1255" s="36">
        <v>30717065286</v>
      </c>
      <c r="B1255" t="s">
        <v>1421</v>
      </c>
    </row>
    <row r="1256" spans="1:2" x14ac:dyDescent="0.3">
      <c r="A1256" s="36">
        <v>30717065286</v>
      </c>
      <c r="B1256" t="s">
        <v>1421</v>
      </c>
    </row>
    <row r="1257" spans="1:2" x14ac:dyDescent="0.3">
      <c r="A1257" s="36">
        <v>30712217487</v>
      </c>
      <c r="B1257" t="s">
        <v>649</v>
      </c>
    </row>
    <row r="1258" spans="1:2" x14ac:dyDescent="0.3">
      <c r="A1258" s="36">
        <v>30707515232</v>
      </c>
      <c r="B1258" t="s">
        <v>650</v>
      </c>
    </row>
    <row r="1259" spans="1:2" x14ac:dyDescent="0.3">
      <c r="A1259" s="36">
        <v>30715413678</v>
      </c>
      <c r="B1259" t="s">
        <v>651</v>
      </c>
    </row>
    <row r="1260" spans="1:2" x14ac:dyDescent="0.3">
      <c r="A1260" s="36">
        <v>27127809521</v>
      </c>
      <c r="B1260" t="s">
        <v>652</v>
      </c>
    </row>
    <row r="1261" spans="1:2" x14ac:dyDescent="0.3">
      <c r="A1261" s="36">
        <v>30714593095</v>
      </c>
      <c r="B1261" t="s">
        <v>653</v>
      </c>
    </row>
    <row r="1262" spans="1:2" x14ac:dyDescent="0.3">
      <c r="A1262" s="36">
        <v>30708084944</v>
      </c>
      <c r="B1262" t="s">
        <v>654</v>
      </c>
    </row>
    <row r="1263" spans="1:2" x14ac:dyDescent="0.3">
      <c r="A1263" s="36">
        <v>27231348420</v>
      </c>
      <c r="B1263" t="s">
        <v>655</v>
      </c>
    </row>
    <row r="1264" spans="1:2" x14ac:dyDescent="0.3">
      <c r="A1264" s="36">
        <v>27231348420</v>
      </c>
      <c r="B1264" t="s">
        <v>655</v>
      </c>
    </row>
    <row r="1265" spans="1:2" x14ac:dyDescent="0.3">
      <c r="A1265" s="36">
        <v>27231348420</v>
      </c>
      <c r="B1265" t="s">
        <v>655</v>
      </c>
    </row>
    <row r="1266" spans="1:2" x14ac:dyDescent="0.3">
      <c r="A1266" s="36">
        <v>27231348420</v>
      </c>
      <c r="B1266" t="s">
        <v>655</v>
      </c>
    </row>
    <row r="1267" spans="1:2" x14ac:dyDescent="0.3">
      <c r="A1267" s="36">
        <v>27231348420</v>
      </c>
      <c r="B1267" t="s">
        <v>655</v>
      </c>
    </row>
    <row r="1268" spans="1:2" x14ac:dyDescent="0.3">
      <c r="A1268" s="36">
        <v>27106477871</v>
      </c>
      <c r="B1268" t="s">
        <v>656</v>
      </c>
    </row>
    <row r="1269" spans="1:2" x14ac:dyDescent="0.3">
      <c r="A1269" s="36">
        <v>30716279843</v>
      </c>
      <c r="B1269" t="s">
        <v>657</v>
      </c>
    </row>
    <row r="1270" spans="1:2" x14ac:dyDescent="0.3">
      <c r="A1270" s="36">
        <v>30717080269</v>
      </c>
      <c r="B1270" t="s">
        <v>658</v>
      </c>
    </row>
    <row r="1271" spans="1:2" x14ac:dyDescent="0.3">
      <c r="A1271" s="36">
        <v>30715405187</v>
      </c>
      <c r="B1271" t="s">
        <v>659</v>
      </c>
    </row>
    <row r="1272" spans="1:2" x14ac:dyDescent="0.3">
      <c r="A1272" s="36">
        <v>23866620</v>
      </c>
      <c r="B1272" t="s">
        <v>1311</v>
      </c>
    </row>
    <row r="1273" spans="1:2" x14ac:dyDescent="0.3">
      <c r="A1273" s="36">
        <v>23866620</v>
      </c>
      <c r="B1273" t="s">
        <v>1311</v>
      </c>
    </row>
    <row r="1274" spans="1:2" x14ac:dyDescent="0.3">
      <c r="A1274" s="36">
        <v>23866620</v>
      </c>
      <c r="B1274" t="s">
        <v>1311</v>
      </c>
    </row>
    <row r="1275" spans="1:2" x14ac:dyDescent="0.3">
      <c r="A1275" s="36">
        <v>23866620</v>
      </c>
      <c r="B1275" t="s">
        <v>1311</v>
      </c>
    </row>
    <row r="1276" spans="1:2" x14ac:dyDescent="0.3">
      <c r="A1276" s="36">
        <f>26198343</f>
        <v>26198343</v>
      </c>
      <c r="B1276" t="s">
        <v>660</v>
      </c>
    </row>
    <row r="1277" spans="1:2" x14ac:dyDescent="0.3">
      <c r="A1277" s="36">
        <v>20182267164</v>
      </c>
      <c r="B1277" t="s">
        <v>661</v>
      </c>
    </row>
    <row r="1278" spans="1:2" x14ac:dyDescent="0.3">
      <c r="A1278" s="36">
        <v>23131563779</v>
      </c>
      <c r="B1278" t="s">
        <v>662</v>
      </c>
    </row>
    <row r="1279" spans="1:2" x14ac:dyDescent="0.3">
      <c r="A1279" s="36">
        <v>20929849907</v>
      </c>
      <c r="B1279" t="s">
        <v>663</v>
      </c>
    </row>
    <row r="1280" spans="1:2" x14ac:dyDescent="0.3">
      <c r="A1280" s="36">
        <v>23144901819</v>
      </c>
      <c r="B1280" t="s">
        <v>664</v>
      </c>
    </row>
    <row r="1281" spans="1:2" x14ac:dyDescent="0.3">
      <c r="A1281" s="36">
        <v>37582966</v>
      </c>
      <c r="B1281" t="s">
        <v>1333</v>
      </c>
    </row>
    <row r="1282" spans="1:2" x14ac:dyDescent="0.3">
      <c r="A1282" s="36">
        <v>37582966</v>
      </c>
      <c r="B1282" t="s">
        <v>1333</v>
      </c>
    </row>
    <row r="1283" spans="1:2" x14ac:dyDescent="0.3">
      <c r="A1283" s="36">
        <v>23085797</v>
      </c>
      <c r="B1283" t="s">
        <v>1339</v>
      </c>
    </row>
    <row r="1284" spans="1:2" x14ac:dyDescent="0.3">
      <c r="A1284" s="36">
        <v>23085797</v>
      </c>
      <c r="B1284" t="s">
        <v>1339</v>
      </c>
    </row>
    <row r="1285" spans="1:2" x14ac:dyDescent="0.3">
      <c r="A1285" s="36">
        <v>30957738</v>
      </c>
      <c r="B1285" t="s">
        <v>1219</v>
      </c>
    </row>
    <row r="1286" spans="1:2" x14ac:dyDescent="0.3">
      <c r="A1286" s="36">
        <v>30957738</v>
      </c>
      <c r="B1286" t="s">
        <v>1219</v>
      </c>
    </row>
    <row r="1287" spans="1:2" x14ac:dyDescent="0.3">
      <c r="A1287" s="36">
        <v>30957738</v>
      </c>
      <c r="B1287" t="s">
        <v>1219</v>
      </c>
    </row>
    <row r="1288" spans="1:2" x14ac:dyDescent="0.3">
      <c r="A1288" s="36">
        <v>30957738</v>
      </c>
      <c r="B1288" t="s">
        <v>1219</v>
      </c>
    </row>
    <row r="1289" spans="1:2" x14ac:dyDescent="0.3">
      <c r="A1289" s="36">
        <v>94658910</v>
      </c>
      <c r="B1289" t="s">
        <v>1212</v>
      </c>
    </row>
    <row r="1290" spans="1:2" x14ac:dyDescent="0.3">
      <c r="A1290" s="36">
        <v>94658910</v>
      </c>
      <c r="B1290" t="s">
        <v>1212</v>
      </c>
    </row>
    <row r="1291" spans="1:2" x14ac:dyDescent="0.3">
      <c r="A1291" s="36">
        <v>94658910</v>
      </c>
      <c r="B1291" t="s">
        <v>1212</v>
      </c>
    </row>
    <row r="1292" spans="1:2" x14ac:dyDescent="0.3">
      <c r="A1292" s="36">
        <v>94658910</v>
      </c>
      <c r="B1292" t="s">
        <v>1212</v>
      </c>
    </row>
    <row r="1293" spans="1:2" x14ac:dyDescent="0.3">
      <c r="A1293" s="36">
        <v>94658910</v>
      </c>
      <c r="B1293" t="s">
        <v>1212</v>
      </c>
    </row>
    <row r="1294" spans="1:2" x14ac:dyDescent="0.3">
      <c r="A1294" s="36">
        <v>94658910</v>
      </c>
      <c r="B1294" t="s">
        <v>1212</v>
      </c>
    </row>
    <row r="1295" spans="1:2" x14ac:dyDescent="0.3">
      <c r="A1295" s="36">
        <v>94658910</v>
      </c>
      <c r="B1295" t="s">
        <v>1212</v>
      </c>
    </row>
    <row r="1296" spans="1:2" x14ac:dyDescent="0.3">
      <c r="A1296" s="36">
        <v>94658910</v>
      </c>
      <c r="B1296" t="s">
        <v>1212</v>
      </c>
    </row>
    <row r="1297" spans="1:3" x14ac:dyDescent="0.3">
      <c r="A1297" s="36">
        <v>20126925272</v>
      </c>
      <c r="B1297" t="s">
        <v>665</v>
      </c>
    </row>
    <row r="1298" spans="1:3" x14ac:dyDescent="0.3">
      <c r="A1298" s="36">
        <v>20243799296</v>
      </c>
      <c r="B1298" t="s">
        <v>666</v>
      </c>
    </row>
    <row r="1299" spans="1:3" x14ac:dyDescent="0.3">
      <c r="A1299" s="36">
        <v>20120499174</v>
      </c>
      <c r="B1299" t="s">
        <v>667</v>
      </c>
    </row>
    <row r="1300" spans="1:3" x14ac:dyDescent="0.3">
      <c r="A1300" s="36">
        <v>20275363279</v>
      </c>
      <c r="B1300" t="s">
        <v>668</v>
      </c>
      <c r="C1300" s="35" t="s">
        <v>83</v>
      </c>
    </row>
    <row r="1301" spans="1:3" x14ac:dyDescent="0.3">
      <c r="A1301" s="36">
        <v>23284031709</v>
      </c>
      <c r="B1301" t="s">
        <v>669</v>
      </c>
    </row>
    <row r="1302" spans="1:3" x14ac:dyDescent="0.3">
      <c r="A1302" s="36">
        <v>12493401</v>
      </c>
      <c r="B1302" t="s">
        <v>1337</v>
      </c>
    </row>
    <row r="1303" spans="1:3" x14ac:dyDescent="0.3">
      <c r="A1303" s="36">
        <v>12493401</v>
      </c>
      <c r="B1303" t="s">
        <v>1337</v>
      </c>
    </row>
    <row r="1304" spans="1:3" x14ac:dyDescent="0.3">
      <c r="A1304" s="36">
        <v>12493401</v>
      </c>
      <c r="B1304" t="s">
        <v>1304</v>
      </c>
    </row>
    <row r="1305" spans="1:3" x14ac:dyDescent="0.3">
      <c r="A1305" s="36">
        <v>12493401</v>
      </c>
      <c r="B1305" t="s">
        <v>1304</v>
      </c>
    </row>
    <row r="1306" spans="1:3" x14ac:dyDescent="0.3">
      <c r="A1306" s="36">
        <v>20100020751</v>
      </c>
      <c r="B1306" t="s">
        <v>670</v>
      </c>
    </row>
    <row r="1307" spans="1:3" x14ac:dyDescent="0.3">
      <c r="A1307" s="36">
        <v>23304475609</v>
      </c>
      <c r="B1307" t="s">
        <v>671</v>
      </c>
    </row>
    <row r="1308" spans="1:3" x14ac:dyDescent="0.3">
      <c r="A1308" s="36">
        <v>20277890306</v>
      </c>
      <c r="B1308" t="s">
        <v>672</v>
      </c>
      <c r="C1308" s="35" t="s">
        <v>81</v>
      </c>
    </row>
    <row r="1309" spans="1:3" x14ac:dyDescent="0.3">
      <c r="A1309" s="36">
        <v>30714260290</v>
      </c>
      <c r="B1309" t="s">
        <v>673</v>
      </c>
    </row>
    <row r="1310" spans="1:3" x14ac:dyDescent="0.3">
      <c r="A1310" s="36">
        <v>20257454615</v>
      </c>
      <c r="B1310" t="s">
        <v>674</v>
      </c>
    </row>
    <row r="1311" spans="1:3" x14ac:dyDescent="0.3">
      <c r="A1311" s="36">
        <v>44209390</v>
      </c>
      <c r="B1311" t="s">
        <v>1318</v>
      </c>
    </row>
    <row r="1312" spans="1:3" x14ac:dyDescent="0.3">
      <c r="A1312" s="36">
        <v>44209390</v>
      </c>
      <c r="B1312" t="s">
        <v>1318</v>
      </c>
    </row>
    <row r="1313" spans="1:3" x14ac:dyDescent="0.3">
      <c r="A1313" s="36">
        <v>30710063164</v>
      </c>
      <c r="B1313" t="s">
        <v>675</v>
      </c>
    </row>
    <row r="1314" spans="1:3" x14ac:dyDescent="0.3">
      <c r="A1314" s="36">
        <v>30510865363</v>
      </c>
      <c r="B1314" t="s">
        <v>676</v>
      </c>
    </row>
    <row r="1315" spans="1:3" x14ac:dyDescent="0.3">
      <c r="A1315" s="36">
        <v>30709975427</v>
      </c>
      <c r="B1315" t="s">
        <v>677</v>
      </c>
    </row>
    <row r="1316" spans="1:3" x14ac:dyDescent="0.3">
      <c r="A1316" s="36">
        <v>33714646899</v>
      </c>
      <c r="B1316" t="s">
        <v>678</v>
      </c>
    </row>
    <row r="1317" spans="1:3" x14ac:dyDescent="0.3">
      <c r="A1317" s="36">
        <v>27137541314</v>
      </c>
      <c r="B1317" t="s">
        <v>679</v>
      </c>
    </row>
    <row r="1318" spans="1:3" x14ac:dyDescent="0.3">
      <c r="A1318" s="36">
        <v>30707841105</v>
      </c>
      <c r="B1318" t="s">
        <v>1155</v>
      </c>
      <c r="C1318" s="35" t="s">
        <v>1581</v>
      </c>
    </row>
    <row r="1319" spans="1:3" x14ac:dyDescent="0.3">
      <c r="A1319" s="36">
        <v>30696131003</v>
      </c>
      <c r="B1319" t="s">
        <v>1166</v>
      </c>
      <c r="C1319" s="35" t="s">
        <v>1581</v>
      </c>
    </row>
    <row r="1320" spans="1:3" x14ac:dyDescent="0.3">
      <c r="A1320" s="36">
        <v>30696131003</v>
      </c>
      <c r="B1320" t="s">
        <v>1166</v>
      </c>
    </row>
    <row r="1321" spans="1:3" x14ac:dyDescent="0.3">
      <c r="A1321" s="36">
        <v>30696131003</v>
      </c>
      <c r="B1321" t="s">
        <v>1166</v>
      </c>
    </row>
    <row r="1322" spans="1:3" x14ac:dyDescent="0.3">
      <c r="A1322" s="36">
        <v>30696131003</v>
      </c>
      <c r="B1322" t="s">
        <v>1166</v>
      </c>
    </row>
    <row r="1323" spans="1:3" x14ac:dyDescent="0.3">
      <c r="A1323" s="36">
        <v>30696131003</v>
      </c>
      <c r="B1323" t="s">
        <v>1166</v>
      </c>
    </row>
    <row r="1324" spans="1:3" x14ac:dyDescent="0.3">
      <c r="A1324" s="36">
        <v>30696131003</v>
      </c>
      <c r="B1324" t="s">
        <v>1166</v>
      </c>
    </row>
    <row r="1325" spans="1:3" x14ac:dyDescent="0.3">
      <c r="A1325" s="36">
        <v>30696131003</v>
      </c>
      <c r="B1325" t="s">
        <v>1166</v>
      </c>
    </row>
    <row r="1326" spans="1:3" x14ac:dyDescent="0.3">
      <c r="A1326" s="36">
        <v>30696131003</v>
      </c>
      <c r="B1326" t="s">
        <v>1166</v>
      </c>
    </row>
    <row r="1327" spans="1:3" x14ac:dyDescent="0.3">
      <c r="A1327" s="36">
        <v>30696131003</v>
      </c>
      <c r="B1327" t="s">
        <v>1136</v>
      </c>
    </row>
    <row r="1328" spans="1:3" x14ac:dyDescent="0.3">
      <c r="A1328" s="36">
        <v>30696131003</v>
      </c>
      <c r="B1328" t="s">
        <v>1136</v>
      </c>
    </row>
    <row r="1329" spans="1:3" x14ac:dyDescent="0.3">
      <c r="A1329" s="36">
        <v>30696131003</v>
      </c>
      <c r="B1329" t="s">
        <v>1136</v>
      </c>
    </row>
    <row r="1330" spans="1:3" x14ac:dyDescent="0.3">
      <c r="A1330" s="36">
        <v>30696131003</v>
      </c>
      <c r="B1330" t="s">
        <v>1136</v>
      </c>
    </row>
    <row r="1331" spans="1:3" x14ac:dyDescent="0.3">
      <c r="A1331" s="36">
        <v>30504744538</v>
      </c>
      <c r="B1331" t="s">
        <v>97</v>
      </c>
    </row>
    <row r="1332" spans="1:3" x14ac:dyDescent="0.3">
      <c r="A1332" s="36">
        <v>30707950990</v>
      </c>
      <c r="B1332" t="s">
        <v>1516</v>
      </c>
    </row>
    <row r="1333" spans="1:3" x14ac:dyDescent="0.3">
      <c r="A1333" s="36">
        <v>30717434710</v>
      </c>
      <c r="B1333" t="s">
        <v>1440</v>
      </c>
    </row>
    <row r="1334" spans="1:3" x14ac:dyDescent="0.3">
      <c r="A1334" s="36">
        <v>30717434710</v>
      </c>
      <c r="B1334" t="s">
        <v>1440</v>
      </c>
    </row>
    <row r="1335" spans="1:3" x14ac:dyDescent="0.3">
      <c r="A1335" s="36">
        <v>20113613646</v>
      </c>
      <c r="B1335" t="s">
        <v>680</v>
      </c>
      <c r="C1335" s="35" t="s">
        <v>79</v>
      </c>
    </row>
    <row r="1336" spans="1:3" x14ac:dyDescent="0.3">
      <c r="A1336" s="36">
        <v>19015786</v>
      </c>
      <c r="B1336" t="s">
        <v>1327</v>
      </c>
    </row>
    <row r="1337" spans="1:3" x14ac:dyDescent="0.3">
      <c r="A1337" s="36">
        <v>19015786</v>
      </c>
      <c r="B1337" t="s">
        <v>1327</v>
      </c>
    </row>
    <row r="1338" spans="1:3" x14ac:dyDescent="0.3">
      <c r="A1338" s="36">
        <v>30502174904</v>
      </c>
      <c r="B1338" t="s">
        <v>681</v>
      </c>
      <c r="C1338" s="35" t="s">
        <v>81</v>
      </c>
    </row>
    <row r="1339" spans="1:3" x14ac:dyDescent="0.3">
      <c r="A1339" s="36">
        <v>30707228098</v>
      </c>
      <c r="B1339" t="s">
        <v>682</v>
      </c>
    </row>
    <row r="1340" spans="1:3" x14ac:dyDescent="0.3">
      <c r="A1340" s="36">
        <v>20170681844</v>
      </c>
      <c r="B1340" t="s">
        <v>683</v>
      </c>
    </row>
    <row r="1341" spans="1:3" x14ac:dyDescent="0.3">
      <c r="A1341" s="36">
        <v>37018499</v>
      </c>
      <c r="B1341" t="s">
        <v>1293</v>
      </c>
    </row>
    <row r="1342" spans="1:3" x14ac:dyDescent="0.3">
      <c r="A1342" s="36">
        <v>37018499</v>
      </c>
      <c r="B1342" t="s">
        <v>1293</v>
      </c>
    </row>
    <row r="1343" spans="1:3" x14ac:dyDescent="0.3">
      <c r="A1343" s="36">
        <v>24589431</v>
      </c>
      <c r="B1343" t="s">
        <v>1208</v>
      </c>
    </row>
    <row r="1344" spans="1:3" x14ac:dyDescent="0.3">
      <c r="A1344" s="36">
        <v>24589431</v>
      </c>
      <c r="B1344" t="s">
        <v>1208</v>
      </c>
    </row>
    <row r="1345" spans="1:3" x14ac:dyDescent="0.3">
      <c r="A1345" s="36">
        <v>20325657988</v>
      </c>
      <c r="B1345" t="s">
        <v>684</v>
      </c>
    </row>
    <row r="1346" spans="1:3" x14ac:dyDescent="0.3">
      <c r="A1346" s="36">
        <v>20242932413</v>
      </c>
      <c r="B1346" t="s">
        <v>685</v>
      </c>
    </row>
    <row r="1347" spans="1:3" x14ac:dyDescent="0.3">
      <c r="A1347" s="36">
        <v>30712341714</v>
      </c>
      <c r="B1347" t="s">
        <v>686</v>
      </c>
    </row>
    <row r="1348" spans="1:3" x14ac:dyDescent="0.3">
      <c r="A1348" s="36">
        <v>30646512952</v>
      </c>
      <c r="B1348" t="s">
        <v>687</v>
      </c>
    </row>
    <row r="1349" spans="1:3" x14ac:dyDescent="0.3">
      <c r="A1349" s="36">
        <v>30696106068</v>
      </c>
      <c r="B1349" t="s">
        <v>1548</v>
      </c>
    </row>
    <row r="1350" spans="1:3" x14ac:dyDescent="0.3">
      <c r="A1350" s="36">
        <v>30577428618</v>
      </c>
      <c r="B1350" t="s">
        <v>98</v>
      </c>
      <c r="C1350" s="35" t="s">
        <v>81</v>
      </c>
    </row>
    <row r="1351" spans="1:3" x14ac:dyDescent="0.3">
      <c r="A1351" s="36">
        <v>30697754063</v>
      </c>
      <c r="B1351" t="s">
        <v>688</v>
      </c>
    </row>
    <row r="1352" spans="1:3" x14ac:dyDescent="0.3">
      <c r="A1352" s="36">
        <v>20222061947</v>
      </c>
      <c r="B1352" t="s">
        <v>689</v>
      </c>
    </row>
    <row r="1353" spans="1:3" x14ac:dyDescent="0.3">
      <c r="A1353" s="36">
        <v>30552433595</v>
      </c>
      <c r="B1353" t="s">
        <v>1147</v>
      </c>
      <c r="C1353" s="35" t="s">
        <v>81</v>
      </c>
    </row>
    <row r="1354" spans="1:3" x14ac:dyDescent="0.3">
      <c r="A1354" s="36">
        <v>33715426779</v>
      </c>
      <c r="B1354" t="s">
        <v>690</v>
      </c>
    </row>
    <row r="1355" spans="1:3" x14ac:dyDescent="0.3">
      <c r="A1355" s="36">
        <v>20236710026</v>
      </c>
      <c r="B1355" t="s">
        <v>691</v>
      </c>
    </row>
    <row r="1356" spans="1:3" x14ac:dyDescent="0.3">
      <c r="A1356" s="36">
        <v>30709863076</v>
      </c>
      <c r="B1356" t="s">
        <v>1159</v>
      </c>
    </row>
    <row r="1357" spans="1:3" x14ac:dyDescent="0.3">
      <c r="A1357" s="36">
        <v>30709863076</v>
      </c>
      <c r="B1357" t="s">
        <v>1159</v>
      </c>
    </row>
    <row r="1358" spans="1:3" x14ac:dyDescent="0.3">
      <c r="A1358" s="36">
        <v>30709863076</v>
      </c>
      <c r="B1358" t="s">
        <v>1159</v>
      </c>
    </row>
    <row r="1359" spans="1:3" x14ac:dyDescent="0.3">
      <c r="A1359" s="36">
        <v>30709863076</v>
      </c>
      <c r="B1359" t="s">
        <v>1159</v>
      </c>
    </row>
    <row r="1360" spans="1:3" x14ac:dyDescent="0.3">
      <c r="A1360" s="36">
        <v>30714848034</v>
      </c>
      <c r="B1360" t="s">
        <v>692</v>
      </c>
      <c r="C1360" s="35" t="s">
        <v>81</v>
      </c>
    </row>
    <row r="1361" spans="1:3" x14ac:dyDescent="0.3">
      <c r="A1361" s="36">
        <v>30555517757</v>
      </c>
      <c r="B1361" t="s">
        <v>693</v>
      </c>
    </row>
    <row r="1362" spans="1:3" x14ac:dyDescent="0.3">
      <c r="A1362" s="36">
        <v>20304493039</v>
      </c>
      <c r="B1362" t="s">
        <v>694</v>
      </c>
      <c r="C1362" s="35" t="s">
        <v>81</v>
      </c>
    </row>
    <row r="1363" spans="1:3" x14ac:dyDescent="0.3">
      <c r="A1363" s="36">
        <v>30601399446</v>
      </c>
      <c r="B1363" t="s">
        <v>695</v>
      </c>
      <c r="C1363" s="35" t="s">
        <v>79</v>
      </c>
    </row>
    <row r="1364" spans="1:3" x14ac:dyDescent="0.3">
      <c r="A1364" s="36"/>
      <c r="B1364" t="s">
        <v>695</v>
      </c>
      <c r="C1364" s="35" t="s">
        <v>83</v>
      </c>
    </row>
    <row r="1365" spans="1:3" x14ac:dyDescent="0.3">
      <c r="A1365" s="36">
        <v>33643358749</v>
      </c>
      <c r="B1365" t="s">
        <v>1576</v>
      </c>
    </row>
    <row r="1366" spans="1:3" x14ac:dyDescent="0.3">
      <c r="A1366" s="36">
        <v>23177941034</v>
      </c>
      <c r="B1366" t="s">
        <v>696</v>
      </c>
      <c r="C1366" s="35" t="s">
        <v>79</v>
      </c>
    </row>
    <row r="1367" spans="1:3" x14ac:dyDescent="0.3">
      <c r="A1367" s="36">
        <v>20263156324</v>
      </c>
      <c r="B1367" t="s">
        <v>697</v>
      </c>
    </row>
    <row r="1368" spans="1:3" x14ac:dyDescent="0.3">
      <c r="A1368" s="36">
        <v>5965253</v>
      </c>
      <c r="B1368" t="s">
        <v>1314</v>
      </c>
    </row>
    <row r="1369" spans="1:3" x14ac:dyDescent="0.3">
      <c r="A1369" s="36">
        <v>5965253</v>
      </c>
      <c r="B1369" t="s">
        <v>1314</v>
      </c>
    </row>
    <row r="1370" spans="1:3" x14ac:dyDescent="0.3">
      <c r="A1370" s="36">
        <v>27368065981</v>
      </c>
      <c r="B1370" t="s">
        <v>1495</v>
      </c>
    </row>
    <row r="1371" spans="1:3" x14ac:dyDescent="0.3">
      <c r="A1371" s="36">
        <v>30717498980</v>
      </c>
      <c r="B1371" t="s">
        <v>698</v>
      </c>
    </row>
    <row r="1372" spans="1:3" x14ac:dyDescent="0.3">
      <c r="A1372" s="36">
        <v>30711540853</v>
      </c>
      <c r="B1372" t="s">
        <v>699</v>
      </c>
    </row>
    <row r="1373" spans="1:3" x14ac:dyDescent="0.3">
      <c r="A1373" s="36">
        <v>30714249416</v>
      </c>
      <c r="B1373" t="s">
        <v>700</v>
      </c>
    </row>
    <row r="1374" spans="1:3" x14ac:dyDescent="0.3">
      <c r="A1374" s="36">
        <v>33517024819</v>
      </c>
      <c r="B1374" t="s">
        <v>701</v>
      </c>
      <c r="C1374" s="35" t="s">
        <v>81</v>
      </c>
    </row>
    <row r="1375" spans="1:3" x14ac:dyDescent="0.3">
      <c r="A1375" s="36">
        <v>30620177497</v>
      </c>
      <c r="B1375" t="s">
        <v>702</v>
      </c>
      <c r="C1375" s="35" t="s">
        <v>80</v>
      </c>
    </row>
    <row r="1376" spans="1:3" x14ac:dyDescent="0.3">
      <c r="A1376" s="36">
        <v>30709463612</v>
      </c>
      <c r="B1376" t="s">
        <v>703</v>
      </c>
    </row>
    <row r="1377" spans="1:2" x14ac:dyDescent="0.3">
      <c r="A1377" s="36">
        <v>27203132722</v>
      </c>
      <c r="B1377" t="s">
        <v>704</v>
      </c>
    </row>
    <row r="1378" spans="1:2" x14ac:dyDescent="0.3">
      <c r="A1378" s="36">
        <v>23250680</v>
      </c>
      <c r="B1378" t="s">
        <v>1275</v>
      </c>
    </row>
    <row r="1379" spans="1:2" x14ac:dyDescent="0.3">
      <c r="A1379" s="36">
        <v>23250680</v>
      </c>
      <c r="B1379" t="s">
        <v>1275</v>
      </c>
    </row>
    <row r="1380" spans="1:2" x14ac:dyDescent="0.3">
      <c r="A1380" s="36">
        <v>23250680</v>
      </c>
      <c r="B1380" t="s">
        <v>1275</v>
      </c>
    </row>
    <row r="1381" spans="1:2" x14ac:dyDescent="0.3">
      <c r="A1381" s="36">
        <v>23250680</v>
      </c>
      <c r="B1381" t="s">
        <v>1275</v>
      </c>
    </row>
    <row r="1382" spans="1:2" x14ac:dyDescent="0.3">
      <c r="A1382" s="36">
        <v>23250680</v>
      </c>
      <c r="B1382" t="s">
        <v>1275</v>
      </c>
    </row>
    <row r="1383" spans="1:2" x14ac:dyDescent="0.3">
      <c r="A1383" s="36">
        <v>23250680</v>
      </c>
      <c r="B1383" t="s">
        <v>1275</v>
      </c>
    </row>
    <row r="1384" spans="1:2" x14ac:dyDescent="0.3">
      <c r="A1384" s="36">
        <v>30708390468</v>
      </c>
      <c r="B1384" t="s">
        <v>705</v>
      </c>
    </row>
    <row r="1385" spans="1:2" x14ac:dyDescent="0.3">
      <c r="A1385" s="36">
        <v>30619305848</v>
      </c>
      <c r="B1385" t="s">
        <v>706</v>
      </c>
    </row>
    <row r="1386" spans="1:2" x14ac:dyDescent="0.3">
      <c r="A1386" s="36">
        <v>30583464138</v>
      </c>
      <c r="B1386" t="s">
        <v>707</v>
      </c>
    </row>
    <row r="1387" spans="1:2" x14ac:dyDescent="0.3">
      <c r="A1387" s="36">
        <v>33086180</v>
      </c>
      <c r="B1387" t="s">
        <v>1209</v>
      </c>
    </row>
    <row r="1388" spans="1:2" x14ac:dyDescent="0.3">
      <c r="A1388" s="36">
        <v>33086180</v>
      </c>
      <c r="B1388" t="s">
        <v>1209</v>
      </c>
    </row>
    <row r="1389" spans="1:2" x14ac:dyDescent="0.3">
      <c r="A1389" s="36">
        <v>33086180</v>
      </c>
      <c r="B1389" t="s">
        <v>1209</v>
      </c>
    </row>
    <row r="1390" spans="1:2" x14ac:dyDescent="0.3">
      <c r="A1390" s="36">
        <v>33086180</v>
      </c>
      <c r="B1390" t="s">
        <v>1209</v>
      </c>
    </row>
    <row r="1391" spans="1:2" x14ac:dyDescent="0.3">
      <c r="A1391" s="36">
        <v>33086180</v>
      </c>
      <c r="B1391" t="s">
        <v>1209</v>
      </c>
    </row>
    <row r="1392" spans="1:2" x14ac:dyDescent="0.3">
      <c r="A1392" s="36">
        <v>33086180</v>
      </c>
      <c r="B1392" t="s">
        <v>1209</v>
      </c>
    </row>
    <row r="1393" spans="1:3" x14ac:dyDescent="0.3">
      <c r="A1393" s="36">
        <v>33086180</v>
      </c>
      <c r="B1393" t="s">
        <v>1209</v>
      </c>
    </row>
    <row r="1394" spans="1:3" x14ac:dyDescent="0.3">
      <c r="A1394" s="36">
        <v>33086180</v>
      </c>
      <c r="B1394" t="s">
        <v>1209</v>
      </c>
    </row>
    <row r="1395" spans="1:3" x14ac:dyDescent="0.3">
      <c r="A1395" s="36">
        <v>30711122911</v>
      </c>
      <c r="B1395" t="s">
        <v>708</v>
      </c>
    </row>
    <row r="1396" spans="1:3" x14ac:dyDescent="0.3">
      <c r="A1396" s="36">
        <v>23230332169</v>
      </c>
      <c r="B1396" t="s">
        <v>709</v>
      </c>
    </row>
    <row r="1397" spans="1:3" x14ac:dyDescent="0.3">
      <c r="A1397" s="36">
        <v>20339137111</v>
      </c>
      <c r="B1397" t="s">
        <v>710</v>
      </c>
    </row>
    <row r="1398" spans="1:3" x14ac:dyDescent="0.3">
      <c r="A1398" s="36">
        <v>30550005987</v>
      </c>
      <c r="B1398" t="s">
        <v>711</v>
      </c>
    </row>
    <row r="1399" spans="1:3" x14ac:dyDescent="0.3">
      <c r="A1399" s="36">
        <v>30709568260</v>
      </c>
      <c r="B1399" t="s">
        <v>712</v>
      </c>
      <c r="C1399" s="35" t="s">
        <v>81</v>
      </c>
    </row>
    <row r="1400" spans="1:3" x14ac:dyDescent="0.3">
      <c r="A1400" s="36">
        <v>27128309174</v>
      </c>
      <c r="B1400" t="s">
        <v>713</v>
      </c>
    </row>
    <row r="1401" spans="1:3" x14ac:dyDescent="0.3">
      <c r="A1401" s="36">
        <v>30707970010</v>
      </c>
      <c r="B1401" t="s">
        <v>714</v>
      </c>
    </row>
    <row r="1402" spans="1:3" x14ac:dyDescent="0.3">
      <c r="A1402" s="36">
        <v>30520079129</v>
      </c>
      <c r="B1402" t="s">
        <v>715</v>
      </c>
    </row>
    <row r="1403" spans="1:3" x14ac:dyDescent="0.3">
      <c r="A1403" s="36">
        <v>30520079129</v>
      </c>
      <c r="B1403" t="s">
        <v>716</v>
      </c>
    </row>
    <row r="1404" spans="1:3" x14ac:dyDescent="0.3">
      <c r="A1404" s="36">
        <v>30677866868</v>
      </c>
      <c r="B1404" t="s">
        <v>717</v>
      </c>
    </row>
    <row r="1405" spans="1:3" x14ac:dyDescent="0.3">
      <c r="A1405" s="36">
        <v>30715853465</v>
      </c>
      <c r="B1405" t="s">
        <v>718</v>
      </c>
    </row>
    <row r="1406" spans="1:3" x14ac:dyDescent="0.3">
      <c r="A1406" s="36">
        <v>30710576137</v>
      </c>
      <c r="B1406" t="s">
        <v>719</v>
      </c>
    </row>
    <row r="1407" spans="1:3" x14ac:dyDescent="0.3">
      <c r="A1407" s="36">
        <v>30711989680</v>
      </c>
      <c r="B1407" t="s">
        <v>720</v>
      </c>
    </row>
    <row r="1408" spans="1:3" x14ac:dyDescent="0.3">
      <c r="A1408" s="36">
        <v>33714326029</v>
      </c>
      <c r="B1408" t="s">
        <v>721</v>
      </c>
    </row>
    <row r="1409" spans="1:3" x14ac:dyDescent="0.3">
      <c r="A1409" s="36">
        <v>30605215412</v>
      </c>
      <c r="B1409" t="s">
        <v>722</v>
      </c>
    </row>
    <row r="1410" spans="1:3" x14ac:dyDescent="0.3">
      <c r="A1410" s="36">
        <v>30710207190</v>
      </c>
      <c r="B1410" t="s">
        <v>723</v>
      </c>
    </row>
    <row r="1411" spans="1:3" x14ac:dyDescent="0.3">
      <c r="A1411" s="36">
        <v>30660432961</v>
      </c>
      <c r="B1411" t="s">
        <v>724</v>
      </c>
    </row>
    <row r="1412" spans="1:3" x14ac:dyDescent="0.3">
      <c r="A1412" s="36">
        <v>30715155334</v>
      </c>
      <c r="B1412" t="s">
        <v>1396</v>
      </c>
    </row>
    <row r="1413" spans="1:3" x14ac:dyDescent="0.3">
      <c r="A1413" s="36">
        <v>30715155334</v>
      </c>
      <c r="B1413" t="s">
        <v>1396</v>
      </c>
    </row>
    <row r="1414" spans="1:3" x14ac:dyDescent="0.3">
      <c r="A1414" s="36">
        <v>30715155334</v>
      </c>
      <c r="B1414" t="s">
        <v>1396</v>
      </c>
    </row>
    <row r="1415" spans="1:3" x14ac:dyDescent="0.3">
      <c r="A1415" s="36">
        <v>30715155334</v>
      </c>
      <c r="B1415" t="s">
        <v>1396</v>
      </c>
    </row>
    <row r="1416" spans="1:3" x14ac:dyDescent="0.3">
      <c r="A1416" s="36">
        <v>30644602687</v>
      </c>
      <c r="B1416" t="s">
        <v>725</v>
      </c>
    </row>
    <row r="1417" spans="1:3" x14ac:dyDescent="0.3">
      <c r="A1417" s="36">
        <v>20277651441</v>
      </c>
      <c r="B1417" t="s">
        <v>726</v>
      </c>
    </row>
    <row r="1418" spans="1:3" x14ac:dyDescent="0.3">
      <c r="A1418" s="36">
        <v>20174240125</v>
      </c>
      <c r="B1418" t="s">
        <v>727</v>
      </c>
      <c r="C1418" s="35" t="s">
        <v>79</v>
      </c>
    </row>
    <row r="1419" spans="1:3" x14ac:dyDescent="0.3">
      <c r="A1419" s="36">
        <v>23202815669</v>
      </c>
      <c r="B1419" t="s">
        <v>728</v>
      </c>
    </row>
    <row r="1420" spans="1:3" x14ac:dyDescent="0.3">
      <c r="A1420" s="36">
        <v>20046224931</v>
      </c>
      <c r="B1420" t="s">
        <v>729</v>
      </c>
    </row>
    <row r="1421" spans="1:3" x14ac:dyDescent="0.3">
      <c r="A1421" s="36">
        <v>30715380761</v>
      </c>
      <c r="B1421" t="s">
        <v>730</v>
      </c>
    </row>
    <row r="1422" spans="1:3" x14ac:dyDescent="0.3">
      <c r="A1422" s="36">
        <v>30714861839</v>
      </c>
      <c r="B1422" t="s">
        <v>731</v>
      </c>
    </row>
    <row r="1423" spans="1:3" x14ac:dyDescent="0.3">
      <c r="A1423" s="36">
        <v>30503940147</v>
      </c>
      <c r="B1423" t="s">
        <v>732</v>
      </c>
      <c r="C1423" s="35" t="s">
        <v>81</v>
      </c>
    </row>
    <row r="1424" spans="1:3" x14ac:dyDescent="0.3">
      <c r="A1424" s="36">
        <v>30712121102</v>
      </c>
      <c r="B1424" t="s">
        <v>733</v>
      </c>
    </row>
    <row r="1425" spans="1:3" x14ac:dyDescent="0.3">
      <c r="A1425" s="36">
        <v>27163348190</v>
      </c>
      <c r="B1425" t="s">
        <v>734</v>
      </c>
      <c r="C1425" s="35" t="s">
        <v>81</v>
      </c>
    </row>
    <row r="1426" spans="1:3" x14ac:dyDescent="0.3">
      <c r="A1426" s="36">
        <v>30717398196</v>
      </c>
      <c r="B1426" t="s">
        <v>1465</v>
      </c>
    </row>
    <row r="1427" spans="1:3" x14ac:dyDescent="0.3">
      <c r="A1427" s="36">
        <v>30717398196</v>
      </c>
      <c r="B1427" t="s">
        <v>1465</v>
      </c>
    </row>
    <row r="1428" spans="1:3" x14ac:dyDescent="0.3">
      <c r="A1428" s="36">
        <v>30714863815</v>
      </c>
      <c r="B1428" t="s">
        <v>1568</v>
      </c>
    </row>
    <row r="1429" spans="1:3" x14ac:dyDescent="0.3">
      <c r="A1429" s="36">
        <v>30568731936</v>
      </c>
      <c r="B1429" t="s">
        <v>735</v>
      </c>
    </row>
    <row r="1430" spans="1:3" x14ac:dyDescent="0.3">
      <c r="A1430" s="36">
        <v>30708041722</v>
      </c>
      <c r="B1430" t="s">
        <v>1439</v>
      </c>
    </row>
    <row r="1431" spans="1:3" x14ac:dyDescent="0.3">
      <c r="A1431" s="36">
        <v>30708041722</v>
      </c>
      <c r="B1431" t="s">
        <v>1439</v>
      </c>
    </row>
    <row r="1432" spans="1:3" x14ac:dyDescent="0.3">
      <c r="A1432" s="36">
        <v>30517345039</v>
      </c>
      <c r="B1432" t="s">
        <v>736</v>
      </c>
      <c r="C1432" s="35" t="s">
        <v>81</v>
      </c>
    </row>
    <row r="1433" spans="1:3" x14ac:dyDescent="0.3">
      <c r="A1433" s="36">
        <v>20334579019</v>
      </c>
      <c r="B1433" t="s">
        <v>1135</v>
      </c>
    </row>
    <row r="1434" spans="1:3" x14ac:dyDescent="0.3">
      <c r="A1434" s="36">
        <v>20334579019</v>
      </c>
      <c r="B1434" t="s">
        <v>1135</v>
      </c>
    </row>
    <row r="1435" spans="1:3" x14ac:dyDescent="0.3">
      <c r="A1435" s="36">
        <v>20388902877</v>
      </c>
      <c r="B1435" t="s">
        <v>737</v>
      </c>
    </row>
    <row r="1436" spans="1:3" x14ac:dyDescent="0.3">
      <c r="A1436" s="36">
        <v>30716237997</v>
      </c>
      <c r="B1436" t="s">
        <v>738</v>
      </c>
    </row>
    <row r="1437" spans="1:3" x14ac:dyDescent="0.3">
      <c r="A1437" s="36">
        <v>30611843565</v>
      </c>
      <c r="B1437" t="s">
        <v>739</v>
      </c>
    </row>
    <row r="1438" spans="1:3" x14ac:dyDescent="0.3">
      <c r="A1438" s="36">
        <f>12892105</f>
        <v>12892105</v>
      </c>
      <c r="B1438" t="s">
        <v>740</v>
      </c>
    </row>
    <row r="1439" spans="1:3" x14ac:dyDescent="0.3">
      <c r="A1439" s="36">
        <v>27137856870</v>
      </c>
      <c r="B1439" t="s">
        <v>741</v>
      </c>
    </row>
    <row r="1440" spans="1:3" x14ac:dyDescent="0.3">
      <c r="A1440" s="36">
        <v>27233748205</v>
      </c>
      <c r="B1440" t="s">
        <v>742</v>
      </c>
    </row>
    <row r="1441" spans="1:4" x14ac:dyDescent="0.3">
      <c r="A1441" s="36">
        <v>20082988786</v>
      </c>
      <c r="B1441" t="s">
        <v>743</v>
      </c>
      <c r="C1441" s="35" t="s">
        <v>81</v>
      </c>
    </row>
    <row r="1442" spans="1:4" x14ac:dyDescent="0.3">
      <c r="A1442" s="36">
        <v>5143707</v>
      </c>
      <c r="B1442" t="s">
        <v>1330</v>
      </c>
    </row>
    <row r="1443" spans="1:4" x14ac:dyDescent="0.3">
      <c r="A1443" s="36">
        <v>5143707</v>
      </c>
      <c r="B1443" t="s">
        <v>1330</v>
      </c>
    </row>
    <row r="1444" spans="1:4" x14ac:dyDescent="0.3">
      <c r="A1444" s="36">
        <v>5143707</v>
      </c>
      <c r="B1444" t="s">
        <v>1330</v>
      </c>
    </row>
    <row r="1445" spans="1:4" x14ac:dyDescent="0.3">
      <c r="A1445" s="36">
        <v>5143707</v>
      </c>
      <c r="B1445" t="s">
        <v>1330</v>
      </c>
    </row>
    <row r="1446" spans="1:4" x14ac:dyDescent="0.3">
      <c r="A1446" s="36">
        <v>27135427069</v>
      </c>
      <c r="B1446" t="s">
        <v>744</v>
      </c>
    </row>
    <row r="1447" spans="1:4" x14ac:dyDescent="0.3">
      <c r="A1447" s="36">
        <v>20045434207</v>
      </c>
      <c r="B1447" t="s">
        <v>745</v>
      </c>
    </row>
    <row r="1448" spans="1:4" x14ac:dyDescent="0.3">
      <c r="A1448" s="36">
        <v>27333102035</v>
      </c>
      <c r="B1448" t="s">
        <v>1492</v>
      </c>
    </row>
    <row r="1449" spans="1:4" x14ac:dyDescent="0.3">
      <c r="A1449" s="36">
        <v>30707370552</v>
      </c>
      <c r="B1449" t="s">
        <v>746</v>
      </c>
      <c r="C1449" s="35" t="s">
        <v>81</v>
      </c>
    </row>
    <row r="1450" spans="1:4" x14ac:dyDescent="0.3">
      <c r="A1450" s="36">
        <v>27179366741</v>
      </c>
      <c r="B1450" t="s">
        <v>747</v>
      </c>
    </row>
    <row r="1451" spans="1:4" x14ac:dyDescent="0.3">
      <c r="A1451" s="36">
        <v>60433055</v>
      </c>
      <c r="B1451" t="s">
        <v>1273</v>
      </c>
    </row>
    <row r="1452" spans="1:4" x14ac:dyDescent="0.3">
      <c r="A1452" s="36">
        <v>60433055</v>
      </c>
      <c r="B1452" t="s">
        <v>1273</v>
      </c>
    </row>
    <row r="1453" spans="1:4" x14ac:dyDescent="0.3">
      <c r="A1453" s="36">
        <v>30711877386</v>
      </c>
      <c r="B1453" t="s">
        <v>748</v>
      </c>
      <c r="C1453" s="35" t="s">
        <v>749</v>
      </c>
    </row>
    <row r="1454" spans="1:4" x14ac:dyDescent="0.3">
      <c r="A1454" s="36">
        <v>23180421564</v>
      </c>
      <c r="B1454" t="s">
        <v>1486</v>
      </c>
    </row>
    <row r="1455" spans="1:4" x14ac:dyDescent="0.3">
      <c r="A1455" s="36">
        <v>20231009524</v>
      </c>
      <c r="B1455" t="s">
        <v>1447</v>
      </c>
      <c r="C1455" s="35" t="s">
        <v>81</v>
      </c>
      <c r="D1455" t="s">
        <v>1782</v>
      </c>
    </row>
    <row r="1456" spans="1:4" x14ac:dyDescent="0.3">
      <c r="A1456" s="36">
        <v>20304029561</v>
      </c>
      <c r="B1456" t="s">
        <v>750</v>
      </c>
    </row>
    <row r="1457" spans="1:3" x14ac:dyDescent="0.3">
      <c r="A1457" s="36">
        <v>30715645579</v>
      </c>
      <c r="B1457" t="s">
        <v>751</v>
      </c>
      <c r="C1457" s="35" t="s">
        <v>81</v>
      </c>
    </row>
    <row r="1458" spans="1:3" x14ac:dyDescent="0.3">
      <c r="A1458" s="36">
        <v>20043154835</v>
      </c>
      <c r="B1458" t="s">
        <v>752</v>
      </c>
    </row>
    <row r="1459" spans="1:3" x14ac:dyDescent="0.3">
      <c r="A1459" s="36">
        <v>33708793219</v>
      </c>
      <c r="B1459" t="s">
        <v>753</v>
      </c>
      <c r="C1459" s="35" t="s">
        <v>79</v>
      </c>
    </row>
    <row r="1460" spans="1:3" x14ac:dyDescent="0.3">
      <c r="A1460" s="36">
        <v>30716184826</v>
      </c>
      <c r="B1460" t="s">
        <v>754</v>
      </c>
    </row>
    <row r="1461" spans="1:3" x14ac:dyDescent="0.3">
      <c r="A1461" s="36">
        <v>30709836230</v>
      </c>
      <c r="B1461" t="s">
        <v>755</v>
      </c>
      <c r="C1461" s="35" t="s">
        <v>81</v>
      </c>
    </row>
    <row r="1462" spans="1:3" x14ac:dyDescent="0.3">
      <c r="A1462" s="36">
        <v>33711399149</v>
      </c>
      <c r="B1462" t="s">
        <v>756</v>
      </c>
    </row>
    <row r="1463" spans="1:3" x14ac:dyDescent="0.3">
      <c r="A1463" s="36">
        <v>30547604888</v>
      </c>
      <c r="B1463" t="s">
        <v>757</v>
      </c>
    </row>
    <row r="1464" spans="1:3" x14ac:dyDescent="0.3">
      <c r="A1464" s="36">
        <v>23181104589</v>
      </c>
      <c r="B1464" t="s">
        <v>758</v>
      </c>
      <c r="C1464" s="35" t="s">
        <v>81</v>
      </c>
    </row>
    <row r="1465" spans="1:3" x14ac:dyDescent="0.3">
      <c r="A1465" s="36">
        <v>30711713138</v>
      </c>
      <c r="B1465" t="s">
        <v>759</v>
      </c>
      <c r="C1465" s="35" t="s">
        <v>81</v>
      </c>
    </row>
    <row r="1466" spans="1:3" x14ac:dyDescent="0.3">
      <c r="A1466" s="36">
        <v>20085119614</v>
      </c>
      <c r="B1466" t="s">
        <v>760</v>
      </c>
    </row>
    <row r="1467" spans="1:3" x14ac:dyDescent="0.3">
      <c r="A1467" s="36">
        <v>30663944939</v>
      </c>
      <c r="B1467" t="s">
        <v>761</v>
      </c>
      <c r="C1467" s="35" t="s">
        <v>81</v>
      </c>
    </row>
    <row r="1468" spans="1:3" x14ac:dyDescent="0.3">
      <c r="A1468" s="36">
        <v>30715141201</v>
      </c>
      <c r="B1468" t="s">
        <v>762</v>
      </c>
      <c r="C1468" s="35" t="s">
        <v>81</v>
      </c>
    </row>
    <row r="1469" spans="1:3" x14ac:dyDescent="0.3">
      <c r="A1469" s="36">
        <v>30709214078</v>
      </c>
      <c r="B1469" t="s">
        <v>763</v>
      </c>
      <c r="C1469" s="35" t="s">
        <v>81</v>
      </c>
    </row>
    <row r="1470" spans="1:3" x14ac:dyDescent="0.3">
      <c r="A1470" s="36">
        <v>20284621434</v>
      </c>
      <c r="B1470" t="s">
        <v>764</v>
      </c>
    </row>
    <row r="1471" spans="1:3" x14ac:dyDescent="0.3">
      <c r="A1471" s="36">
        <v>30714719773</v>
      </c>
      <c r="B1471" t="s">
        <v>765</v>
      </c>
    </row>
    <row r="1472" spans="1:3" x14ac:dyDescent="0.3">
      <c r="A1472" s="36">
        <v>30501136510</v>
      </c>
      <c r="B1472" t="s">
        <v>766</v>
      </c>
    </row>
    <row r="1473" spans="1:3" x14ac:dyDescent="0.3">
      <c r="A1473" s="36">
        <v>27181689183</v>
      </c>
      <c r="B1473" t="s">
        <v>1385</v>
      </c>
    </row>
    <row r="1474" spans="1:3" x14ac:dyDescent="0.3">
      <c r="A1474" s="36">
        <v>27181689183</v>
      </c>
      <c r="B1474" t="s">
        <v>1385</v>
      </c>
    </row>
    <row r="1475" spans="1:3" x14ac:dyDescent="0.3">
      <c r="A1475" s="36">
        <v>27181689183</v>
      </c>
      <c r="B1475" t="s">
        <v>1167</v>
      </c>
    </row>
    <row r="1476" spans="1:3" x14ac:dyDescent="0.3">
      <c r="A1476" s="36">
        <v>27181689183</v>
      </c>
      <c r="B1476" t="s">
        <v>1167</v>
      </c>
    </row>
    <row r="1477" spans="1:3" x14ac:dyDescent="0.3">
      <c r="A1477" s="36">
        <v>20134074958</v>
      </c>
      <c r="B1477" t="s">
        <v>767</v>
      </c>
    </row>
    <row r="1478" spans="1:3" x14ac:dyDescent="0.3">
      <c r="A1478" s="36">
        <v>30711784833</v>
      </c>
      <c r="B1478" t="s">
        <v>768</v>
      </c>
    </row>
    <row r="1479" spans="1:3" x14ac:dyDescent="0.3">
      <c r="A1479" s="36">
        <v>20217488738</v>
      </c>
      <c r="B1479" t="s">
        <v>769</v>
      </c>
    </row>
    <row r="1480" spans="1:3" x14ac:dyDescent="0.3">
      <c r="A1480" s="36">
        <v>30716303442</v>
      </c>
      <c r="B1480" t="s">
        <v>1540</v>
      </c>
    </row>
    <row r="1481" spans="1:3" x14ac:dyDescent="0.3">
      <c r="A1481" s="36">
        <v>30559806052</v>
      </c>
      <c r="B1481" t="s">
        <v>770</v>
      </c>
    </row>
    <row r="1482" spans="1:3" x14ac:dyDescent="0.3">
      <c r="A1482" s="36">
        <v>30716150891</v>
      </c>
      <c r="B1482" t="s">
        <v>771</v>
      </c>
    </row>
    <row r="1483" spans="1:3" x14ac:dyDescent="0.3">
      <c r="A1483" s="36">
        <v>20210551574</v>
      </c>
      <c r="B1483" t="s">
        <v>1413</v>
      </c>
      <c r="C1483" s="35" t="s">
        <v>1899</v>
      </c>
    </row>
    <row r="1484" spans="1:3" x14ac:dyDescent="0.3">
      <c r="A1484" s="36">
        <v>30716091879</v>
      </c>
      <c r="B1484" t="s">
        <v>772</v>
      </c>
    </row>
    <row r="1485" spans="1:3" x14ac:dyDescent="0.3">
      <c r="A1485" s="36">
        <v>30708376554</v>
      </c>
      <c r="B1485" t="s">
        <v>773</v>
      </c>
      <c r="C1485" s="35" t="s">
        <v>81</v>
      </c>
    </row>
    <row r="1486" spans="1:3" x14ac:dyDescent="0.3">
      <c r="A1486" s="36">
        <v>30612958528</v>
      </c>
      <c r="B1486" t="s">
        <v>774</v>
      </c>
      <c r="C1486" s="35" t="s">
        <v>81</v>
      </c>
    </row>
    <row r="1487" spans="1:3" x14ac:dyDescent="0.3">
      <c r="A1487" s="36">
        <v>30525966859</v>
      </c>
      <c r="B1487" t="s">
        <v>775</v>
      </c>
    </row>
    <row r="1488" spans="1:3" x14ac:dyDescent="0.3">
      <c r="A1488" s="36">
        <v>20210807889</v>
      </c>
      <c r="B1488" t="s">
        <v>776</v>
      </c>
    </row>
    <row r="1489" spans="1:3" x14ac:dyDescent="0.3">
      <c r="A1489" s="36">
        <v>30714596574</v>
      </c>
      <c r="B1489" t="s">
        <v>777</v>
      </c>
    </row>
    <row r="1490" spans="1:3" x14ac:dyDescent="0.3">
      <c r="A1490" s="36">
        <v>20925629708</v>
      </c>
      <c r="B1490" t="s">
        <v>778</v>
      </c>
    </row>
    <row r="1491" spans="1:3" x14ac:dyDescent="0.3">
      <c r="A1491" s="36">
        <v>30714642762</v>
      </c>
      <c r="B1491" t="s">
        <v>779</v>
      </c>
    </row>
    <row r="1492" spans="1:3" x14ac:dyDescent="0.3">
      <c r="A1492" s="36">
        <v>30608642869</v>
      </c>
      <c r="B1492" t="s">
        <v>780</v>
      </c>
    </row>
    <row r="1493" spans="1:3" x14ac:dyDescent="0.3">
      <c r="A1493" s="36">
        <v>23148974314</v>
      </c>
      <c r="B1493" t="s">
        <v>1462</v>
      </c>
    </row>
    <row r="1494" spans="1:3" x14ac:dyDescent="0.3">
      <c r="A1494" s="36">
        <v>23148974314</v>
      </c>
      <c r="B1494" t="s">
        <v>1462</v>
      </c>
    </row>
    <row r="1495" spans="1:3" x14ac:dyDescent="0.3">
      <c r="A1495" s="36">
        <v>27182686641</v>
      </c>
      <c r="B1495" t="s">
        <v>1573</v>
      </c>
    </row>
    <row r="1496" spans="1:3" x14ac:dyDescent="0.3">
      <c r="A1496" s="36">
        <v>20321198946</v>
      </c>
      <c r="B1496" t="s">
        <v>781</v>
      </c>
    </row>
    <row r="1497" spans="1:3" x14ac:dyDescent="0.3">
      <c r="A1497" s="36">
        <v>20180600710</v>
      </c>
      <c r="B1497" t="s">
        <v>782</v>
      </c>
    </row>
    <row r="1498" spans="1:3" x14ac:dyDescent="0.3">
      <c r="A1498" s="36">
        <v>30712273158</v>
      </c>
      <c r="B1498" t="s">
        <v>783</v>
      </c>
      <c r="C1498" s="35" t="s">
        <v>86</v>
      </c>
    </row>
    <row r="1499" spans="1:3" x14ac:dyDescent="0.3">
      <c r="A1499" s="36">
        <v>30710884281</v>
      </c>
      <c r="B1499" t="s">
        <v>784</v>
      </c>
    </row>
    <row r="1500" spans="1:3" x14ac:dyDescent="0.3">
      <c r="A1500" s="36">
        <v>30710575203</v>
      </c>
      <c r="B1500" t="s">
        <v>785</v>
      </c>
    </row>
    <row r="1501" spans="1:3" x14ac:dyDescent="0.3">
      <c r="A1501" s="36">
        <v>23106878269</v>
      </c>
      <c r="B1501" t="s">
        <v>786</v>
      </c>
      <c r="C1501" s="35" t="s">
        <v>81</v>
      </c>
    </row>
    <row r="1502" spans="1:3" x14ac:dyDescent="0.3">
      <c r="A1502" s="36">
        <v>30715582593</v>
      </c>
      <c r="B1502" t="s">
        <v>787</v>
      </c>
    </row>
    <row r="1503" spans="1:3" x14ac:dyDescent="0.3">
      <c r="A1503" s="36">
        <v>30716620995</v>
      </c>
      <c r="B1503" t="s">
        <v>788</v>
      </c>
    </row>
    <row r="1504" spans="1:3" x14ac:dyDescent="0.3">
      <c r="A1504" s="36">
        <v>20367393042</v>
      </c>
      <c r="B1504" t="s">
        <v>1131</v>
      </c>
    </row>
    <row r="1505" spans="1:3" x14ac:dyDescent="0.3">
      <c r="A1505" s="36">
        <v>20367393042</v>
      </c>
      <c r="B1505" t="s">
        <v>1131</v>
      </c>
    </row>
    <row r="1506" spans="1:3" x14ac:dyDescent="0.3">
      <c r="A1506" s="36">
        <v>30709497789</v>
      </c>
      <c r="B1506" t="s">
        <v>789</v>
      </c>
    </row>
    <row r="1507" spans="1:3" x14ac:dyDescent="0.3">
      <c r="A1507" s="36">
        <v>35329458</v>
      </c>
      <c r="B1507" t="s">
        <v>1211</v>
      </c>
    </row>
    <row r="1508" spans="1:3" x14ac:dyDescent="0.3">
      <c r="A1508" s="36">
        <v>35458965</v>
      </c>
      <c r="B1508" t="s">
        <v>1211</v>
      </c>
    </row>
    <row r="1509" spans="1:3" x14ac:dyDescent="0.3">
      <c r="A1509" s="36">
        <v>35329458</v>
      </c>
      <c r="B1509" t="s">
        <v>1211</v>
      </c>
    </row>
    <row r="1510" spans="1:3" x14ac:dyDescent="0.3">
      <c r="A1510" s="36">
        <v>35458965</v>
      </c>
      <c r="B1510" t="s">
        <v>1211</v>
      </c>
    </row>
    <row r="1511" spans="1:3" x14ac:dyDescent="0.3">
      <c r="A1511" s="36">
        <v>20162253310</v>
      </c>
      <c r="B1511" t="s">
        <v>790</v>
      </c>
      <c r="C1511" s="35" t="s">
        <v>79</v>
      </c>
    </row>
    <row r="1512" spans="1:3" x14ac:dyDescent="0.3">
      <c r="A1512" s="36">
        <v>20078690284</v>
      </c>
      <c r="B1512" t="s">
        <v>791</v>
      </c>
      <c r="C1512" s="35" t="s">
        <v>81</v>
      </c>
    </row>
    <row r="1513" spans="1:3" x14ac:dyDescent="0.3">
      <c r="A1513" s="36">
        <v>30714732540</v>
      </c>
      <c r="B1513" t="s">
        <v>792</v>
      </c>
    </row>
    <row r="1514" spans="1:3" x14ac:dyDescent="0.3">
      <c r="A1514" s="36">
        <v>33715567089</v>
      </c>
      <c r="B1514" t="s">
        <v>793</v>
      </c>
      <c r="C1514" s="35" t="s">
        <v>81</v>
      </c>
    </row>
    <row r="1515" spans="1:3" x14ac:dyDescent="0.3">
      <c r="A1515" s="36">
        <v>30921865</v>
      </c>
      <c r="B1515" t="s">
        <v>1237</v>
      </c>
    </row>
    <row r="1516" spans="1:3" x14ac:dyDescent="0.3">
      <c r="A1516" s="36">
        <v>30921865</v>
      </c>
      <c r="B1516" t="s">
        <v>1237</v>
      </c>
    </row>
    <row r="1517" spans="1:3" x14ac:dyDescent="0.3">
      <c r="A1517" s="36">
        <v>30921865</v>
      </c>
      <c r="B1517" t="s">
        <v>1237</v>
      </c>
    </row>
    <row r="1518" spans="1:3" x14ac:dyDescent="0.3">
      <c r="A1518" s="36">
        <v>30921865</v>
      </c>
      <c r="B1518" t="s">
        <v>1237</v>
      </c>
    </row>
    <row r="1519" spans="1:3" x14ac:dyDescent="0.3">
      <c r="A1519" s="36">
        <v>30921865</v>
      </c>
      <c r="B1519" t="s">
        <v>1237</v>
      </c>
    </row>
    <row r="1520" spans="1:3" x14ac:dyDescent="0.3">
      <c r="A1520" s="36">
        <v>30921865</v>
      </c>
      <c r="B1520" t="s">
        <v>1237</v>
      </c>
    </row>
    <row r="1521" spans="1:3" x14ac:dyDescent="0.3">
      <c r="A1521" s="36">
        <v>30921865</v>
      </c>
      <c r="B1521" t="s">
        <v>1237</v>
      </c>
    </row>
    <row r="1522" spans="1:3" x14ac:dyDescent="0.3">
      <c r="A1522" s="36">
        <v>30921865</v>
      </c>
      <c r="B1522" t="s">
        <v>1237</v>
      </c>
    </row>
    <row r="1523" spans="1:3" x14ac:dyDescent="0.3">
      <c r="A1523" s="36">
        <v>30921865</v>
      </c>
      <c r="B1523" t="s">
        <v>1237</v>
      </c>
    </row>
    <row r="1524" spans="1:3" x14ac:dyDescent="0.3">
      <c r="A1524" s="36">
        <v>30921865</v>
      </c>
      <c r="B1524" t="s">
        <v>1237</v>
      </c>
    </row>
    <row r="1525" spans="1:3" x14ac:dyDescent="0.3">
      <c r="A1525" s="36">
        <v>20120875141</v>
      </c>
      <c r="B1525" t="s">
        <v>794</v>
      </c>
      <c r="C1525" s="35" t="s">
        <v>81</v>
      </c>
    </row>
    <row r="1526" spans="1:3" x14ac:dyDescent="0.3">
      <c r="A1526" s="36">
        <v>20049749814</v>
      </c>
      <c r="B1526" t="s">
        <v>795</v>
      </c>
    </row>
    <row r="1527" spans="1:3" x14ac:dyDescent="0.3">
      <c r="A1527" s="36">
        <v>30708263849</v>
      </c>
      <c r="B1527" t="s">
        <v>796</v>
      </c>
    </row>
    <row r="1528" spans="1:3" x14ac:dyDescent="0.3">
      <c r="A1528" s="36">
        <v>30687162680</v>
      </c>
      <c r="B1528" t="s">
        <v>797</v>
      </c>
    </row>
    <row r="1529" spans="1:3" x14ac:dyDescent="0.3">
      <c r="A1529" s="36">
        <v>20110668733</v>
      </c>
      <c r="B1529" t="s">
        <v>798</v>
      </c>
      <c r="C1529" s="35" t="s">
        <v>81</v>
      </c>
    </row>
    <row r="1530" spans="1:3" x14ac:dyDescent="0.3">
      <c r="A1530" s="36">
        <v>30576393381</v>
      </c>
      <c r="B1530" t="s">
        <v>799</v>
      </c>
      <c r="C1530" s="35" t="s">
        <v>80</v>
      </c>
    </row>
    <row r="1531" spans="1:3" x14ac:dyDescent="0.3">
      <c r="A1531" s="36">
        <v>20254732363</v>
      </c>
      <c r="B1531" t="s">
        <v>800</v>
      </c>
    </row>
    <row r="1532" spans="1:3" x14ac:dyDescent="0.3">
      <c r="A1532" s="36">
        <v>35942192</v>
      </c>
      <c r="B1532" t="s">
        <v>1236</v>
      </c>
    </row>
    <row r="1533" spans="1:3" x14ac:dyDescent="0.3">
      <c r="A1533" s="36">
        <v>35942192</v>
      </c>
      <c r="B1533" t="s">
        <v>1236</v>
      </c>
    </row>
    <row r="1534" spans="1:3" x14ac:dyDescent="0.3">
      <c r="A1534" s="36">
        <v>35942192</v>
      </c>
      <c r="B1534" t="s">
        <v>1236</v>
      </c>
    </row>
    <row r="1535" spans="1:3" x14ac:dyDescent="0.3">
      <c r="A1535" s="36">
        <v>35942192</v>
      </c>
      <c r="B1535" t="s">
        <v>1236</v>
      </c>
    </row>
    <row r="1536" spans="1:3" x14ac:dyDescent="0.3">
      <c r="A1536" s="36">
        <v>35942192</v>
      </c>
      <c r="B1536" t="s">
        <v>1236</v>
      </c>
    </row>
    <row r="1537" spans="1:3" x14ac:dyDescent="0.3">
      <c r="A1537" s="36">
        <v>35942192</v>
      </c>
      <c r="B1537" t="s">
        <v>1236</v>
      </c>
    </row>
    <row r="1538" spans="1:3" x14ac:dyDescent="0.3">
      <c r="A1538" s="36">
        <f>35942192</f>
        <v>35942192</v>
      </c>
      <c r="B1538" t="s">
        <v>1236</v>
      </c>
    </row>
    <row r="1539" spans="1:3" x14ac:dyDescent="0.3">
      <c r="A1539" s="36">
        <v>35942192</v>
      </c>
      <c r="B1539" t="s">
        <v>1236</v>
      </c>
    </row>
    <row r="1540" spans="1:3" x14ac:dyDescent="0.3">
      <c r="A1540" s="36">
        <v>35942192</v>
      </c>
      <c r="B1540" t="s">
        <v>1236</v>
      </c>
    </row>
    <row r="1541" spans="1:3" x14ac:dyDescent="0.3">
      <c r="A1541" s="36">
        <v>35942192</v>
      </c>
      <c r="B1541" t="s">
        <v>1236</v>
      </c>
    </row>
    <row r="1542" spans="1:3" x14ac:dyDescent="0.3">
      <c r="A1542" s="36">
        <v>35942192</v>
      </c>
      <c r="B1542" t="s">
        <v>1236</v>
      </c>
    </row>
    <row r="1543" spans="1:3" x14ac:dyDescent="0.3">
      <c r="A1543" s="36">
        <v>35942192</v>
      </c>
      <c r="B1543" t="s">
        <v>1236</v>
      </c>
    </row>
    <row r="1544" spans="1:3" x14ac:dyDescent="0.3">
      <c r="A1544" s="36">
        <v>35942192</v>
      </c>
      <c r="B1544" t="s">
        <v>1236</v>
      </c>
    </row>
    <row r="1545" spans="1:3" x14ac:dyDescent="0.3">
      <c r="A1545" s="36">
        <f>35942192</f>
        <v>35942192</v>
      </c>
      <c r="B1545" t="s">
        <v>1236</v>
      </c>
    </row>
    <row r="1546" spans="1:3" x14ac:dyDescent="0.3">
      <c r="A1546" s="36">
        <v>12824335</v>
      </c>
      <c r="B1546" t="s">
        <v>1248</v>
      </c>
    </row>
    <row r="1547" spans="1:3" x14ac:dyDescent="0.3">
      <c r="A1547" s="36">
        <v>12824335</v>
      </c>
      <c r="B1547" t="s">
        <v>1248</v>
      </c>
    </row>
    <row r="1548" spans="1:3" x14ac:dyDescent="0.3">
      <c r="A1548" s="36">
        <v>30714654701</v>
      </c>
      <c r="B1548" t="s">
        <v>801</v>
      </c>
      <c r="C1548" s="35" t="s">
        <v>78</v>
      </c>
    </row>
    <row r="1549" spans="1:3" x14ac:dyDescent="0.3">
      <c r="A1549" s="36">
        <v>20282332303</v>
      </c>
      <c r="B1549" t="s">
        <v>802</v>
      </c>
      <c r="C1549" s="35" t="s">
        <v>81</v>
      </c>
    </row>
    <row r="1550" spans="1:3" x14ac:dyDescent="0.3">
      <c r="A1550" s="36">
        <v>20233320294</v>
      </c>
      <c r="B1550" t="s">
        <v>803</v>
      </c>
      <c r="C1550" s="35" t="s">
        <v>81</v>
      </c>
    </row>
    <row r="1551" spans="1:3" x14ac:dyDescent="0.3">
      <c r="A1551" s="36">
        <v>27161298285</v>
      </c>
      <c r="B1551" t="s">
        <v>1478</v>
      </c>
    </row>
    <row r="1552" spans="1:3" x14ac:dyDescent="0.3">
      <c r="A1552" s="36">
        <v>30715048066</v>
      </c>
      <c r="B1552" t="s">
        <v>99</v>
      </c>
      <c r="C1552" s="35" t="s">
        <v>1897</v>
      </c>
    </row>
    <row r="1553" spans="1:3" x14ac:dyDescent="0.3">
      <c r="A1553" s="36">
        <v>20922392413</v>
      </c>
      <c r="B1553" t="s">
        <v>804</v>
      </c>
    </row>
    <row r="1554" spans="1:3" x14ac:dyDescent="0.3">
      <c r="A1554" s="36">
        <v>20043702611</v>
      </c>
      <c r="B1554" t="s">
        <v>805</v>
      </c>
      <c r="C1554" s="35" t="s">
        <v>81</v>
      </c>
    </row>
    <row r="1555" spans="1:3" x14ac:dyDescent="0.3">
      <c r="A1555" s="36">
        <v>20229507525</v>
      </c>
      <c r="B1555" t="s">
        <v>806</v>
      </c>
      <c r="C1555" s="35" t="s">
        <v>81</v>
      </c>
    </row>
    <row r="1556" spans="1:3" x14ac:dyDescent="0.3">
      <c r="A1556" s="36">
        <v>20223632719</v>
      </c>
      <c r="B1556" t="s">
        <v>1485</v>
      </c>
    </row>
    <row r="1557" spans="1:3" x14ac:dyDescent="0.3">
      <c r="A1557" s="36">
        <v>30521596135</v>
      </c>
      <c r="B1557" t="s">
        <v>807</v>
      </c>
      <c r="C1557" s="35" t="s">
        <v>81</v>
      </c>
    </row>
    <row r="1558" spans="1:3" x14ac:dyDescent="0.3">
      <c r="A1558" s="36">
        <v>20235931967</v>
      </c>
      <c r="B1558" t="s">
        <v>808</v>
      </c>
    </row>
    <row r="1559" spans="1:3" x14ac:dyDescent="0.3">
      <c r="A1559" s="36">
        <v>20102638086</v>
      </c>
      <c r="B1559" t="s">
        <v>1555</v>
      </c>
      <c r="C1559" s="35" t="s">
        <v>2133</v>
      </c>
    </row>
    <row r="1560" spans="1:3" x14ac:dyDescent="0.3">
      <c r="A1560" s="36">
        <v>30682500162</v>
      </c>
      <c r="B1560" t="s">
        <v>809</v>
      </c>
    </row>
    <row r="1561" spans="1:3" x14ac:dyDescent="0.3">
      <c r="A1561" s="36">
        <v>30682500162</v>
      </c>
      <c r="B1561" t="s">
        <v>810</v>
      </c>
    </row>
    <row r="1562" spans="1:3" x14ac:dyDescent="0.3">
      <c r="A1562" s="36">
        <v>23180288899</v>
      </c>
      <c r="B1562" t="s">
        <v>1181</v>
      </c>
    </row>
    <row r="1563" spans="1:3" x14ac:dyDescent="0.3">
      <c r="A1563" s="36">
        <v>27127067452</v>
      </c>
      <c r="B1563" t="s">
        <v>811</v>
      </c>
    </row>
    <row r="1564" spans="1:3" x14ac:dyDescent="0.3">
      <c r="A1564" s="36">
        <v>20352381218</v>
      </c>
      <c r="B1564" t="s">
        <v>812</v>
      </c>
    </row>
    <row r="1565" spans="1:3" x14ac:dyDescent="0.3">
      <c r="A1565" s="36">
        <v>30708962275</v>
      </c>
      <c r="B1565" t="s">
        <v>813</v>
      </c>
    </row>
    <row r="1566" spans="1:3" x14ac:dyDescent="0.3">
      <c r="A1566" s="36">
        <v>37682395</v>
      </c>
      <c r="B1566" t="s">
        <v>1316</v>
      </c>
    </row>
    <row r="1567" spans="1:3" x14ac:dyDescent="0.3">
      <c r="A1567" s="36">
        <v>37682395</v>
      </c>
      <c r="B1567" t="s">
        <v>1316</v>
      </c>
    </row>
    <row r="1568" spans="1:3" x14ac:dyDescent="0.3">
      <c r="A1568" s="36">
        <v>20226341596</v>
      </c>
      <c r="B1568" t="s">
        <v>1451</v>
      </c>
    </row>
    <row r="1569" spans="1:3" x14ac:dyDescent="0.3">
      <c r="A1569" s="36">
        <v>20226341596</v>
      </c>
      <c r="B1569" t="s">
        <v>1451</v>
      </c>
    </row>
    <row r="1570" spans="1:3" x14ac:dyDescent="0.3">
      <c r="A1570" s="36">
        <f>4829719</f>
        <v>4829719</v>
      </c>
      <c r="B1570" t="s">
        <v>814</v>
      </c>
    </row>
    <row r="1571" spans="1:3" x14ac:dyDescent="0.3">
      <c r="A1571" s="36">
        <v>30715280422</v>
      </c>
      <c r="B1571" t="s">
        <v>1454</v>
      </c>
    </row>
    <row r="1572" spans="1:3" x14ac:dyDescent="0.3">
      <c r="A1572" s="36">
        <v>30715280422</v>
      </c>
      <c r="B1572" t="s">
        <v>1454</v>
      </c>
    </row>
    <row r="1573" spans="1:3" x14ac:dyDescent="0.3">
      <c r="A1573" s="36">
        <v>30540721722</v>
      </c>
      <c r="B1573" t="s">
        <v>815</v>
      </c>
      <c r="C1573" s="35" t="s">
        <v>81</v>
      </c>
    </row>
    <row r="1574" spans="1:3" x14ac:dyDescent="0.3">
      <c r="A1574" s="36">
        <v>20232507978</v>
      </c>
      <c r="B1574" t="s">
        <v>1456</v>
      </c>
    </row>
    <row r="1575" spans="1:3" x14ac:dyDescent="0.3">
      <c r="A1575" s="36">
        <v>20232507978</v>
      </c>
      <c r="B1575" t="s">
        <v>1456</v>
      </c>
    </row>
    <row r="1576" spans="1:3" x14ac:dyDescent="0.3">
      <c r="A1576" s="36">
        <v>27219515796</v>
      </c>
      <c r="B1576" t="s">
        <v>816</v>
      </c>
    </row>
    <row r="1577" spans="1:3" x14ac:dyDescent="0.3">
      <c r="A1577" s="36">
        <v>30592032909</v>
      </c>
      <c r="B1577" t="s">
        <v>1466</v>
      </c>
    </row>
    <row r="1578" spans="1:3" x14ac:dyDescent="0.3">
      <c r="A1578" s="36">
        <v>30592032909</v>
      </c>
      <c r="B1578" t="s">
        <v>1466</v>
      </c>
    </row>
    <row r="1579" spans="1:3" x14ac:dyDescent="0.3">
      <c r="A1579" s="36">
        <v>25795171</v>
      </c>
      <c r="B1579" t="s">
        <v>1345</v>
      </c>
    </row>
    <row r="1580" spans="1:3" x14ac:dyDescent="0.3">
      <c r="A1580" s="36">
        <v>25795171</v>
      </c>
      <c r="B1580" t="s">
        <v>1345</v>
      </c>
    </row>
    <row r="1581" spans="1:3" x14ac:dyDescent="0.3">
      <c r="A1581" s="36">
        <v>23370096899</v>
      </c>
      <c r="B1581" t="s">
        <v>817</v>
      </c>
    </row>
    <row r="1582" spans="1:3" x14ac:dyDescent="0.3">
      <c r="A1582" s="36">
        <v>20145341796</v>
      </c>
      <c r="B1582" t="s">
        <v>818</v>
      </c>
    </row>
    <row r="1583" spans="1:3" x14ac:dyDescent="0.3">
      <c r="A1583" s="36">
        <v>30717000524</v>
      </c>
      <c r="B1583" t="s">
        <v>819</v>
      </c>
    </row>
    <row r="1584" spans="1:3" x14ac:dyDescent="0.3">
      <c r="A1584" s="36">
        <v>30715407503</v>
      </c>
      <c r="B1584" t="s">
        <v>820</v>
      </c>
    </row>
    <row r="1585" spans="1:3" x14ac:dyDescent="0.3">
      <c r="A1585" s="36">
        <v>30710444877</v>
      </c>
      <c r="B1585" t="s">
        <v>821</v>
      </c>
      <c r="C1585" s="35" t="s">
        <v>79</v>
      </c>
    </row>
    <row r="1586" spans="1:3" x14ac:dyDescent="0.3">
      <c r="A1586" s="36">
        <v>33709108129</v>
      </c>
      <c r="B1586" t="s">
        <v>822</v>
      </c>
      <c r="C1586" s="35" t="s">
        <v>79</v>
      </c>
    </row>
    <row r="1587" spans="1:3" x14ac:dyDescent="0.3">
      <c r="A1587" s="36">
        <v>30506730038</v>
      </c>
      <c r="B1587" t="s">
        <v>823</v>
      </c>
    </row>
    <row r="1588" spans="1:3" x14ac:dyDescent="0.3">
      <c r="A1588" s="36">
        <v>30506730038</v>
      </c>
      <c r="B1588" t="s">
        <v>823</v>
      </c>
    </row>
    <row r="1589" spans="1:3" x14ac:dyDescent="0.3">
      <c r="A1589" s="36">
        <v>30506730038</v>
      </c>
      <c r="B1589" t="s">
        <v>823</v>
      </c>
    </row>
    <row r="1590" spans="1:3" x14ac:dyDescent="0.3">
      <c r="A1590" s="36">
        <v>30506730038</v>
      </c>
      <c r="B1590" t="s">
        <v>823</v>
      </c>
    </row>
    <row r="1591" spans="1:3" x14ac:dyDescent="0.3">
      <c r="A1591" s="36">
        <v>33642144699</v>
      </c>
      <c r="B1591" t="s">
        <v>824</v>
      </c>
    </row>
    <row r="1592" spans="1:3" x14ac:dyDescent="0.3">
      <c r="A1592" s="36">
        <v>30506730038</v>
      </c>
      <c r="B1592" t="s">
        <v>825</v>
      </c>
    </row>
    <row r="1593" spans="1:3" x14ac:dyDescent="0.3">
      <c r="A1593" s="36">
        <v>20076873284</v>
      </c>
      <c r="B1593" t="s">
        <v>826</v>
      </c>
    </row>
    <row r="1594" spans="1:3" x14ac:dyDescent="0.3">
      <c r="A1594" s="36">
        <v>30558706836</v>
      </c>
      <c r="B1594" t="s">
        <v>827</v>
      </c>
      <c r="C1594" s="35" t="s">
        <v>81</v>
      </c>
    </row>
    <row r="1595" spans="1:3" x14ac:dyDescent="0.3">
      <c r="A1595" s="36">
        <v>30604078543</v>
      </c>
      <c r="B1595" t="s">
        <v>828</v>
      </c>
    </row>
    <row r="1596" spans="1:3" x14ac:dyDescent="0.3">
      <c r="A1596" s="36">
        <v>30610511801</v>
      </c>
      <c r="B1596" t="s">
        <v>829</v>
      </c>
    </row>
    <row r="1597" spans="1:3" x14ac:dyDescent="0.3">
      <c r="A1597" s="36">
        <v>30500529071</v>
      </c>
      <c r="B1597" t="s">
        <v>830</v>
      </c>
      <c r="C1597" s="35" t="s">
        <v>81</v>
      </c>
    </row>
    <row r="1598" spans="1:3" x14ac:dyDescent="0.3">
      <c r="A1598" s="36">
        <v>20267161152</v>
      </c>
      <c r="B1598" t="s">
        <v>831</v>
      </c>
    </row>
    <row r="1599" spans="1:3" x14ac:dyDescent="0.3">
      <c r="A1599" s="36">
        <v>30645922715</v>
      </c>
      <c r="B1599" t="s">
        <v>832</v>
      </c>
      <c r="C1599" s="35" t="s">
        <v>78</v>
      </c>
    </row>
    <row r="1600" spans="1:3" x14ac:dyDescent="0.3">
      <c r="A1600" s="36">
        <v>34932294</v>
      </c>
      <c r="B1600" t="s">
        <v>1274</v>
      </c>
    </row>
    <row r="1601" spans="1:3" x14ac:dyDescent="0.3">
      <c r="A1601" s="36">
        <v>34932294</v>
      </c>
      <c r="B1601" t="s">
        <v>1274</v>
      </c>
    </row>
    <row r="1602" spans="1:3" x14ac:dyDescent="0.3">
      <c r="A1602" s="36">
        <v>34932294</v>
      </c>
      <c r="B1602" t="s">
        <v>1274</v>
      </c>
    </row>
    <row r="1603" spans="1:3" x14ac:dyDescent="0.3">
      <c r="A1603" s="36">
        <v>34932294</v>
      </c>
      <c r="B1603" t="s">
        <v>1274</v>
      </c>
    </row>
    <row r="1604" spans="1:3" x14ac:dyDescent="0.3">
      <c r="A1604" s="36">
        <v>33715832769</v>
      </c>
      <c r="B1604" t="s">
        <v>833</v>
      </c>
    </row>
    <row r="1605" spans="1:3" x14ac:dyDescent="0.3">
      <c r="A1605" s="36">
        <f>6209031</f>
        <v>6209031</v>
      </c>
      <c r="B1605" t="s">
        <v>834</v>
      </c>
    </row>
    <row r="1606" spans="1:3" x14ac:dyDescent="0.3">
      <c r="A1606" s="36">
        <v>30645585654</v>
      </c>
      <c r="B1606" t="s">
        <v>835</v>
      </c>
    </row>
    <row r="1607" spans="1:3" x14ac:dyDescent="0.3">
      <c r="A1607" s="36">
        <v>30712481516</v>
      </c>
      <c r="B1607" t="s">
        <v>836</v>
      </c>
    </row>
    <row r="1608" spans="1:3" x14ac:dyDescent="0.3">
      <c r="A1608" s="36">
        <v>30711553564</v>
      </c>
      <c r="B1608" t="s">
        <v>837</v>
      </c>
      <c r="C1608" s="35" t="s">
        <v>81</v>
      </c>
    </row>
    <row r="1609" spans="1:3" x14ac:dyDescent="0.3">
      <c r="A1609" s="36">
        <v>30710381867</v>
      </c>
      <c r="B1609" t="s">
        <v>838</v>
      </c>
    </row>
    <row r="1610" spans="1:3" x14ac:dyDescent="0.3">
      <c r="A1610" s="36">
        <v>20202641424</v>
      </c>
      <c r="B1610" t="s">
        <v>839</v>
      </c>
    </row>
    <row r="1611" spans="1:3" x14ac:dyDescent="0.3">
      <c r="A1611" s="36">
        <v>20202641424</v>
      </c>
      <c r="B1611" t="s">
        <v>839</v>
      </c>
    </row>
    <row r="1612" spans="1:3" x14ac:dyDescent="0.3">
      <c r="A1612" s="36">
        <v>20202641424</v>
      </c>
      <c r="B1612" t="s">
        <v>839</v>
      </c>
    </row>
    <row r="1613" spans="1:3" x14ac:dyDescent="0.3">
      <c r="A1613" s="36">
        <v>20202641424</v>
      </c>
      <c r="B1613" t="s">
        <v>839</v>
      </c>
    </row>
    <row r="1614" spans="1:3" x14ac:dyDescent="0.3">
      <c r="A1614" s="36">
        <v>20202641424</v>
      </c>
      <c r="B1614" t="s">
        <v>839</v>
      </c>
    </row>
    <row r="1615" spans="1:3" x14ac:dyDescent="0.3">
      <c r="A1615" s="36">
        <v>30657580496</v>
      </c>
      <c r="B1615" t="s">
        <v>840</v>
      </c>
    </row>
    <row r="1616" spans="1:3" x14ac:dyDescent="0.3">
      <c r="A1616" s="36">
        <v>30657580496</v>
      </c>
      <c r="B1616" t="s">
        <v>840</v>
      </c>
    </row>
    <row r="1617" spans="1:3" x14ac:dyDescent="0.3">
      <c r="A1617" s="36">
        <v>30517616687</v>
      </c>
      <c r="B1617" t="s">
        <v>841</v>
      </c>
    </row>
    <row r="1618" spans="1:3" x14ac:dyDescent="0.3">
      <c r="A1618" s="36">
        <v>30517616687</v>
      </c>
      <c r="B1618" t="s">
        <v>841</v>
      </c>
    </row>
    <row r="1619" spans="1:3" x14ac:dyDescent="0.3">
      <c r="A1619" s="36">
        <v>20236656994</v>
      </c>
      <c r="B1619" t="s">
        <v>842</v>
      </c>
    </row>
    <row r="1620" spans="1:3" x14ac:dyDescent="0.3">
      <c r="A1620" s="36">
        <v>20236656994</v>
      </c>
      <c r="B1620" t="s">
        <v>842</v>
      </c>
    </row>
    <row r="1621" spans="1:3" x14ac:dyDescent="0.3">
      <c r="A1621" s="36">
        <f>94018871</f>
        <v>94018871</v>
      </c>
      <c r="B1621" t="s">
        <v>843</v>
      </c>
    </row>
    <row r="1622" spans="1:3" x14ac:dyDescent="0.3">
      <c r="A1622" s="36">
        <f>94018871</f>
        <v>94018871</v>
      </c>
      <c r="B1622" t="s">
        <v>843</v>
      </c>
    </row>
    <row r="1623" spans="1:3" x14ac:dyDescent="0.3">
      <c r="A1623" s="36">
        <v>20941512438</v>
      </c>
      <c r="B1623" t="s">
        <v>844</v>
      </c>
    </row>
    <row r="1624" spans="1:3" x14ac:dyDescent="0.3">
      <c r="A1624" s="36">
        <v>20941512438</v>
      </c>
      <c r="B1624" t="s">
        <v>844</v>
      </c>
    </row>
    <row r="1625" spans="1:3" x14ac:dyDescent="0.3">
      <c r="A1625" s="36">
        <v>20941512438</v>
      </c>
      <c r="B1625" t="s">
        <v>844</v>
      </c>
    </row>
    <row r="1626" spans="1:3" x14ac:dyDescent="0.3">
      <c r="A1626" s="36">
        <v>20941512438</v>
      </c>
      <c r="B1626" t="s">
        <v>844</v>
      </c>
    </row>
    <row r="1627" spans="1:3" x14ac:dyDescent="0.3">
      <c r="A1627" s="36">
        <v>24064111</v>
      </c>
      <c r="B1627" t="s">
        <v>1343</v>
      </c>
    </row>
    <row r="1628" spans="1:3" x14ac:dyDescent="0.3">
      <c r="A1628" s="36">
        <v>24064111</v>
      </c>
      <c r="B1628" t="s">
        <v>1343</v>
      </c>
    </row>
    <row r="1629" spans="1:3" x14ac:dyDescent="0.3">
      <c r="A1629" s="36">
        <v>30710846908</v>
      </c>
      <c r="B1629" t="s">
        <v>845</v>
      </c>
    </row>
    <row r="1630" spans="1:3" x14ac:dyDescent="0.3">
      <c r="A1630" s="36">
        <v>30710846908</v>
      </c>
      <c r="B1630" t="s">
        <v>845</v>
      </c>
    </row>
    <row r="1631" spans="1:3" x14ac:dyDescent="0.3">
      <c r="A1631" s="36">
        <v>30716499126</v>
      </c>
      <c r="B1631" t="s">
        <v>846</v>
      </c>
      <c r="C1631" s="35" t="s">
        <v>81</v>
      </c>
    </row>
    <row r="1632" spans="1:3" x14ac:dyDescent="0.3">
      <c r="A1632" s="36">
        <v>30716499126</v>
      </c>
      <c r="B1632" t="s">
        <v>846</v>
      </c>
      <c r="C1632" s="35" t="s">
        <v>81</v>
      </c>
    </row>
    <row r="1633" spans="1:2" x14ac:dyDescent="0.3">
      <c r="A1633" s="36">
        <v>33711072999</v>
      </c>
      <c r="B1633" t="s">
        <v>847</v>
      </c>
    </row>
    <row r="1634" spans="1:2" x14ac:dyDescent="0.3">
      <c r="A1634" s="36">
        <v>33711072999</v>
      </c>
      <c r="B1634" t="s">
        <v>847</v>
      </c>
    </row>
    <row r="1635" spans="1:2" x14ac:dyDescent="0.3">
      <c r="A1635" s="36">
        <v>33711072999</v>
      </c>
      <c r="B1635" t="s">
        <v>847</v>
      </c>
    </row>
    <row r="1636" spans="1:2" x14ac:dyDescent="0.3">
      <c r="A1636" s="36">
        <v>33711072999</v>
      </c>
      <c r="B1636" t="s">
        <v>847</v>
      </c>
    </row>
    <row r="1637" spans="1:2" x14ac:dyDescent="0.3">
      <c r="A1637" s="36">
        <v>39831609</v>
      </c>
      <c r="B1637" t="s">
        <v>1284</v>
      </c>
    </row>
    <row r="1638" spans="1:2" x14ac:dyDescent="0.3">
      <c r="A1638" s="36">
        <v>39831609</v>
      </c>
      <c r="B1638" t="s">
        <v>1284</v>
      </c>
    </row>
    <row r="1639" spans="1:2" x14ac:dyDescent="0.3">
      <c r="A1639" s="36">
        <v>18496709</v>
      </c>
      <c r="B1639" t="s">
        <v>1217</v>
      </c>
    </row>
    <row r="1640" spans="1:2" x14ac:dyDescent="0.3">
      <c r="A1640" s="36">
        <v>18496709</v>
      </c>
      <c r="B1640" t="s">
        <v>1217</v>
      </c>
    </row>
    <row r="1641" spans="1:2" x14ac:dyDescent="0.3">
      <c r="A1641" s="36">
        <v>18496709</v>
      </c>
      <c r="B1641" t="s">
        <v>1217</v>
      </c>
    </row>
    <row r="1642" spans="1:2" x14ac:dyDescent="0.3">
      <c r="A1642" s="36">
        <v>18496709</v>
      </c>
      <c r="B1642" t="s">
        <v>1217</v>
      </c>
    </row>
    <row r="1643" spans="1:2" x14ac:dyDescent="0.3">
      <c r="A1643" s="36">
        <v>16411942</v>
      </c>
      <c r="B1643" t="s">
        <v>1221</v>
      </c>
    </row>
    <row r="1644" spans="1:2" x14ac:dyDescent="0.3">
      <c r="A1644" s="36">
        <v>16411942</v>
      </c>
      <c r="B1644" t="s">
        <v>1221</v>
      </c>
    </row>
    <row r="1645" spans="1:2" x14ac:dyDescent="0.3">
      <c r="A1645" s="36">
        <v>16411942</v>
      </c>
      <c r="B1645" t="s">
        <v>1221</v>
      </c>
    </row>
    <row r="1646" spans="1:2" x14ac:dyDescent="0.3">
      <c r="A1646" s="36">
        <v>16411942</v>
      </c>
      <c r="B1646" t="s">
        <v>1221</v>
      </c>
    </row>
    <row r="1647" spans="1:2" x14ac:dyDescent="0.3">
      <c r="A1647" s="36">
        <v>27226413095</v>
      </c>
      <c r="B1647" t="s">
        <v>1428</v>
      </c>
    </row>
    <row r="1648" spans="1:2" x14ac:dyDescent="0.3">
      <c r="A1648" s="36">
        <v>27226413095</v>
      </c>
      <c r="B1648" t="s">
        <v>1428</v>
      </c>
    </row>
    <row r="1649" spans="1:3" x14ac:dyDescent="0.3">
      <c r="A1649" s="36">
        <v>20163076676</v>
      </c>
      <c r="B1649" t="s">
        <v>848</v>
      </c>
    </row>
    <row r="1650" spans="1:3" x14ac:dyDescent="0.3">
      <c r="A1650" s="36">
        <v>20163076676</v>
      </c>
      <c r="B1650" t="s">
        <v>848</v>
      </c>
    </row>
    <row r="1651" spans="1:3" x14ac:dyDescent="0.3">
      <c r="A1651" s="36">
        <v>27234905924</v>
      </c>
      <c r="B1651" t="s">
        <v>1488</v>
      </c>
    </row>
    <row r="1652" spans="1:3" x14ac:dyDescent="0.3">
      <c r="A1652" s="36">
        <v>20176582112</v>
      </c>
      <c r="B1652" t="s">
        <v>849</v>
      </c>
    </row>
    <row r="1653" spans="1:3" x14ac:dyDescent="0.3">
      <c r="A1653" s="36">
        <v>20176582112</v>
      </c>
      <c r="B1653" t="s">
        <v>849</v>
      </c>
    </row>
    <row r="1654" spans="1:3" x14ac:dyDescent="0.3">
      <c r="A1654" s="36">
        <v>30710536771</v>
      </c>
      <c r="B1654" t="s">
        <v>850</v>
      </c>
    </row>
    <row r="1655" spans="1:3" x14ac:dyDescent="0.3">
      <c r="A1655" s="36">
        <v>30710536771</v>
      </c>
      <c r="B1655" t="s">
        <v>850</v>
      </c>
    </row>
    <row r="1656" spans="1:3" x14ac:dyDescent="0.3">
      <c r="A1656" s="36">
        <v>30714079405</v>
      </c>
      <c r="B1656" t="s">
        <v>851</v>
      </c>
      <c r="C1656" s="35" t="s">
        <v>81</v>
      </c>
    </row>
    <row r="1657" spans="1:3" x14ac:dyDescent="0.3">
      <c r="A1657" s="36">
        <v>30714079405</v>
      </c>
      <c r="B1657" t="s">
        <v>851</v>
      </c>
      <c r="C1657" s="35" t="s">
        <v>81</v>
      </c>
    </row>
    <row r="1658" spans="1:3" x14ac:dyDescent="0.3">
      <c r="A1658" s="36">
        <v>27245614905</v>
      </c>
      <c r="B1658" t="s">
        <v>852</v>
      </c>
    </row>
    <row r="1659" spans="1:3" x14ac:dyDescent="0.3">
      <c r="A1659" s="36">
        <v>27245614905</v>
      </c>
      <c r="B1659" t="s">
        <v>852</v>
      </c>
    </row>
    <row r="1660" spans="1:3" x14ac:dyDescent="0.3">
      <c r="A1660" s="36">
        <v>30715239104</v>
      </c>
      <c r="B1660" t="s">
        <v>1401</v>
      </c>
    </row>
    <row r="1661" spans="1:3" x14ac:dyDescent="0.3">
      <c r="A1661" s="36">
        <v>30715239104</v>
      </c>
      <c r="B1661" t="s">
        <v>1401</v>
      </c>
    </row>
    <row r="1662" spans="1:3" x14ac:dyDescent="0.3">
      <c r="A1662" s="36">
        <v>30707115366</v>
      </c>
      <c r="B1662" t="s">
        <v>853</v>
      </c>
    </row>
    <row r="1663" spans="1:3" x14ac:dyDescent="0.3">
      <c r="A1663" s="36">
        <v>30707115366</v>
      </c>
      <c r="B1663" t="s">
        <v>853</v>
      </c>
    </row>
    <row r="1664" spans="1:3" x14ac:dyDescent="0.3">
      <c r="A1664" s="36">
        <v>27240421513</v>
      </c>
      <c r="B1664" t="s">
        <v>854</v>
      </c>
    </row>
    <row r="1665" spans="1:3" x14ac:dyDescent="0.3">
      <c r="A1665" s="36">
        <v>27240421513</v>
      </c>
      <c r="B1665" t="s">
        <v>854</v>
      </c>
    </row>
    <row r="1666" spans="1:3" x14ac:dyDescent="0.3">
      <c r="A1666" s="36">
        <v>20203503181</v>
      </c>
      <c r="B1666" t="s">
        <v>855</v>
      </c>
    </row>
    <row r="1667" spans="1:3" x14ac:dyDescent="0.3">
      <c r="A1667" s="36">
        <v>20203503181</v>
      </c>
      <c r="B1667" t="s">
        <v>855</v>
      </c>
    </row>
    <row r="1668" spans="1:3" x14ac:dyDescent="0.3">
      <c r="A1668" s="36">
        <v>20123154445</v>
      </c>
      <c r="B1668" t="s">
        <v>856</v>
      </c>
      <c r="C1668" s="35" t="s">
        <v>79</v>
      </c>
    </row>
    <row r="1669" spans="1:3" x14ac:dyDescent="0.3">
      <c r="A1669" s="36">
        <v>20123154445</v>
      </c>
      <c r="B1669" t="s">
        <v>856</v>
      </c>
      <c r="C1669" s="35" t="s">
        <v>79</v>
      </c>
    </row>
    <row r="1670" spans="1:3" x14ac:dyDescent="0.3">
      <c r="A1670" s="36">
        <v>30716523086</v>
      </c>
      <c r="B1670" t="s">
        <v>857</v>
      </c>
    </row>
    <row r="1671" spans="1:3" x14ac:dyDescent="0.3">
      <c r="A1671" s="36">
        <v>30716523086</v>
      </c>
      <c r="B1671" t="s">
        <v>857</v>
      </c>
    </row>
    <row r="1672" spans="1:3" x14ac:dyDescent="0.3">
      <c r="A1672" s="36">
        <v>27226753805</v>
      </c>
      <c r="B1672" t="s">
        <v>858</v>
      </c>
    </row>
    <row r="1673" spans="1:3" x14ac:dyDescent="0.3">
      <c r="A1673" s="36">
        <v>27226753805</v>
      </c>
      <c r="B1673" t="s">
        <v>858</v>
      </c>
    </row>
    <row r="1674" spans="1:3" x14ac:dyDescent="0.3">
      <c r="A1674" s="36">
        <v>30709480711</v>
      </c>
      <c r="B1674" t="s">
        <v>1521</v>
      </c>
    </row>
    <row r="1675" spans="1:3" x14ac:dyDescent="0.3">
      <c r="A1675" s="36">
        <v>30517424303</v>
      </c>
      <c r="B1675" t="s">
        <v>859</v>
      </c>
    </row>
    <row r="1676" spans="1:3" x14ac:dyDescent="0.3">
      <c r="A1676" s="36">
        <v>30517424303</v>
      </c>
      <c r="B1676" t="s">
        <v>859</v>
      </c>
    </row>
    <row r="1677" spans="1:3" x14ac:dyDescent="0.3">
      <c r="A1677" s="36">
        <v>27129458688</v>
      </c>
      <c r="B1677" t="s">
        <v>860</v>
      </c>
    </row>
    <row r="1678" spans="1:3" x14ac:dyDescent="0.3">
      <c r="A1678" s="36">
        <v>27129458688</v>
      </c>
      <c r="B1678" t="s">
        <v>860</v>
      </c>
    </row>
    <row r="1679" spans="1:3" x14ac:dyDescent="0.3">
      <c r="A1679" s="36">
        <v>27129458688</v>
      </c>
      <c r="B1679" t="s">
        <v>860</v>
      </c>
    </row>
    <row r="1680" spans="1:3" x14ac:dyDescent="0.3">
      <c r="A1680" s="36">
        <v>27129458688</v>
      </c>
      <c r="B1680" t="s">
        <v>860</v>
      </c>
    </row>
    <row r="1681" spans="1:2" x14ac:dyDescent="0.3">
      <c r="A1681" s="36">
        <v>20295692716</v>
      </c>
      <c r="B1681" t="s">
        <v>861</v>
      </c>
    </row>
    <row r="1682" spans="1:2" x14ac:dyDescent="0.3">
      <c r="A1682" s="36">
        <v>20295692716</v>
      </c>
      <c r="B1682" t="s">
        <v>861</v>
      </c>
    </row>
    <row r="1683" spans="1:2" x14ac:dyDescent="0.3">
      <c r="A1683" s="36">
        <v>20309493347</v>
      </c>
      <c r="B1683" t="s">
        <v>862</v>
      </c>
    </row>
    <row r="1684" spans="1:2" x14ac:dyDescent="0.3">
      <c r="A1684" s="36">
        <v>20309493347</v>
      </c>
      <c r="B1684" t="s">
        <v>862</v>
      </c>
    </row>
    <row r="1685" spans="1:2" x14ac:dyDescent="0.3">
      <c r="A1685" s="36">
        <v>20085332733</v>
      </c>
      <c r="B1685" t="s">
        <v>863</v>
      </c>
    </row>
    <row r="1686" spans="1:2" x14ac:dyDescent="0.3">
      <c r="A1686" s="36">
        <v>20085332733</v>
      </c>
      <c r="B1686" t="s">
        <v>863</v>
      </c>
    </row>
    <row r="1687" spans="1:2" x14ac:dyDescent="0.3">
      <c r="A1687" s="36">
        <v>30708428082</v>
      </c>
      <c r="B1687" t="s">
        <v>864</v>
      </c>
    </row>
    <row r="1688" spans="1:2" x14ac:dyDescent="0.3">
      <c r="A1688" s="36">
        <v>30708428082</v>
      </c>
      <c r="B1688" t="s">
        <v>864</v>
      </c>
    </row>
    <row r="1689" spans="1:2" x14ac:dyDescent="0.3">
      <c r="A1689" s="36">
        <v>30710474105</v>
      </c>
      <c r="B1689" t="s">
        <v>1361</v>
      </c>
    </row>
    <row r="1690" spans="1:2" x14ac:dyDescent="0.3">
      <c r="A1690" s="36">
        <v>30710474105</v>
      </c>
      <c r="B1690" t="s">
        <v>1361</v>
      </c>
    </row>
    <row r="1691" spans="1:2" x14ac:dyDescent="0.3">
      <c r="A1691" s="36">
        <v>27168227790</v>
      </c>
      <c r="B1691" t="s">
        <v>865</v>
      </c>
    </row>
    <row r="1692" spans="1:2" x14ac:dyDescent="0.3">
      <c r="A1692" s="36">
        <v>27168227790</v>
      </c>
      <c r="B1692" t="s">
        <v>865</v>
      </c>
    </row>
    <row r="1693" spans="1:2" x14ac:dyDescent="0.3">
      <c r="A1693" s="36">
        <v>20334416632</v>
      </c>
      <c r="B1693" t="s">
        <v>1172</v>
      </c>
    </row>
    <row r="1694" spans="1:2" x14ac:dyDescent="0.3">
      <c r="A1694" s="36">
        <v>20334416632</v>
      </c>
      <c r="B1694" t="s">
        <v>1172</v>
      </c>
    </row>
    <row r="1695" spans="1:2" x14ac:dyDescent="0.3">
      <c r="A1695" s="36">
        <v>30710144830</v>
      </c>
      <c r="B1695" t="s">
        <v>1482</v>
      </c>
    </row>
    <row r="1696" spans="1:2" x14ac:dyDescent="0.3">
      <c r="A1696" s="36">
        <v>30648820704</v>
      </c>
      <c r="B1696" t="s">
        <v>866</v>
      </c>
    </row>
    <row r="1697" spans="1:3" x14ac:dyDescent="0.3">
      <c r="A1697" s="36">
        <v>30648820704</v>
      </c>
      <c r="B1697" t="s">
        <v>866</v>
      </c>
    </row>
    <row r="1698" spans="1:3" x14ac:dyDescent="0.3">
      <c r="A1698" s="36">
        <v>30649820704</v>
      </c>
      <c r="B1698" t="s">
        <v>867</v>
      </c>
    </row>
    <row r="1699" spans="1:3" x14ac:dyDescent="0.3">
      <c r="A1699" s="36">
        <v>30649820704</v>
      </c>
      <c r="B1699" t="s">
        <v>867</v>
      </c>
    </row>
    <row r="1700" spans="1:3" x14ac:dyDescent="0.3">
      <c r="A1700" s="36">
        <v>30679699535</v>
      </c>
      <c r="B1700" t="s">
        <v>868</v>
      </c>
    </row>
    <row r="1701" spans="1:3" x14ac:dyDescent="0.3">
      <c r="A1701" s="36">
        <v>30679699535</v>
      </c>
      <c r="B1701" t="s">
        <v>868</v>
      </c>
    </row>
    <row r="1702" spans="1:3" x14ac:dyDescent="0.3">
      <c r="A1702" s="36">
        <v>30715852590</v>
      </c>
      <c r="B1702" t="s">
        <v>869</v>
      </c>
    </row>
    <row r="1703" spans="1:3" x14ac:dyDescent="0.3">
      <c r="A1703" s="36">
        <v>30715852590</v>
      </c>
      <c r="B1703" t="s">
        <v>869</v>
      </c>
    </row>
    <row r="1704" spans="1:3" x14ac:dyDescent="0.3">
      <c r="A1704" s="36">
        <v>30631047145</v>
      </c>
      <c r="B1704" t="s">
        <v>870</v>
      </c>
      <c r="C1704" s="35" t="s">
        <v>81</v>
      </c>
    </row>
    <row r="1705" spans="1:3" x14ac:dyDescent="0.3">
      <c r="A1705" s="36">
        <v>30631047145</v>
      </c>
      <c r="B1705" t="s">
        <v>870</v>
      </c>
      <c r="C1705" s="35" t="s">
        <v>81</v>
      </c>
    </row>
    <row r="1706" spans="1:3" x14ac:dyDescent="0.3">
      <c r="A1706" s="36">
        <v>30711105014</v>
      </c>
      <c r="B1706" t="s">
        <v>871</v>
      </c>
    </row>
    <row r="1707" spans="1:3" x14ac:dyDescent="0.3">
      <c r="A1707" s="36">
        <v>30711105014</v>
      </c>
      <c r="B1707" t="s">
        <v>871</v>
      </c>
    </row>
    <row r="1708" spans="1:3" x14ac:dyDescent="0.3">
      <c r="A1708" s="36">
        <v>30683684143</v>
      </c>
      <c r="B1708" t="s">
        <v>872</v>
      </c>
    </row>
    <row r="1709" spans="1:3" x14ac:dyDescent="0.3">
      <c r="A1709" s="36">
        <v>30683684143</v>
      </c>
      <c r="B1709" t="s">
        <v>872</v>
      </c>
    </row>
    <row r="1710" spans="1:3" x14ac:dyDescent="0.3">
      <c r="A1710" s="36">
        <v>20242296355</v>
      </c>
      <c r="B1710" t="s">
        <v>873</v>
      </c>
    </row>
    <row r="1711" spans="1:3" x14ac:dyDescent="0.3">
      <c r="A1711" s="36">
        <v>20242296355</v>
      </c>
      <c r="B1711" t="s">
        <v>873</v>
      </c>
    </row>
    <row r="1712" spans="1:3" x14ac:dyDescent="0.3">
      <c r="A1712" s="36">
        <v>20132669644</v>
      </c>
      <c r="B1712" t="s">
        <v>1504</v>
      </c>
    </row>
    <row r="1713" spans="1:2" x14ac:dyDescent="0.3">
      <c r="A1713" s="36">
        <v>27172427400</v>
      </c>
      <c r="B1713" t="s">
        <v>124</v>
      </c>
    </row>
    <row r="1714" spans="1:2" x14ac:dyDescent="0.3">
      <c r="A1714" s="36">
        <v>27172427400</v>
      </c>
      <c r="B1714" t="s">
        <v>124</v>
      </c>
    </row>
    <row r="1715" spans="1:2" x14ac:dyDescent="0.3">
      <c r="A1715" s="36">
        <v>30645330184</v>
      </c>
      <c r="B1715" t="s">
        <v>874</v>
      </c>
    </row>
    <row r="1716" spans="1:2" x14ac:dyDescent="0.3">
      <c r="A1716" s="36">
        <v>30645330184</v>
      </c>
      <c r="B1716" t="s">
        <v>874</v>
      </c>
    </row>
    <row r="1717" spans="1:2" x14ac:dyDescent="0.3">
      <c r="A1717" s="36">
        <v>30610025915</v>
      </c>
      <c r="B1717" t="s">
        <v>875</v>
      </c>
    </row>
    <row r="1718" spans="1:2" x14ac:dyDescent="0.3">
      <c r="A1718" s="36">
        <v>30610025915</v>
      </c>
      <c r="B1718" t="s">
        <v>875</v>
      </c>
    </row>
    <row r="1719" spans="1:2" x14ac:dyDescent="0.3">
      <c r="A1719" s="36">
        <v>30616500593</v>
      </c>
      <c r="B1719" t="s">
        <v>876</v>
      </c>
    </row>
    <row r="1720" spans="1:2" x14ac:dyDescent="0.3">
      <c r="A1720" s="36">
        <v>30616500593</v>
      </c>
      <c r="B1720" t="s">
        <v>876</v>
      </c>
    </row>
    <row r="1721" spans="1:2" x14ac:dyDescent="0.3">
      <c r="A1721" s="36">
        <v>30647727545</v>
      </c>
      <c r="B1721" t="s">
        <v>877</v>
      </c>
    </row>
    <row r="1722" spans="1:2" x14ac:dyDescent="0.3">
      <c r="A1722" s="36">
        <v>30647727545</v>
      </c>
      <c r="B1722" t="s">
        <v>877</v>
      </c>
    </row>
    <row r="1723" spans="1:2" x14ac:dyDescent="0.3">
      <c r="A1723" s="36">
        <v>30647727545</v>
      </c>
      <c r="B1723" t="s">
        <v>878</v>
      </c>
    </row>
    <row r="1724" spans="1:2" x14ac:dyDescent="0.3">
      <c r="A1724" s="36">
        <v>30647727545</v>
      </c>
      <c r="B1724" t="s">
        <v>878</v>
      </c>
    </row>
    <row r="1725" spans="1:2" x14ac:dyDescent="0.3">
      <c r="A1725" s="36">
        <v>33712299539</v>
      </c>
      <c r="B1725" t="s">
        <v>879</v>
      </c>
    </row>
    <row r="1726" spans="1:2" x14ac:dyDescent="0.3">
      <c r="A1726" s="36">
        <v>33712299539</v>
      </c>
      <c r="B1726" t="s">
        <v>879</v>
      </c>
    </row>
    <row r="1727" spans="1:2" x14ac:dyDescent="0.3">
      <c r="A1727" s="36">
        <v>30633678509</v>
      </c>
      <c r="B1727" t="s">
        <v>1529</v>
      </c>
    </row>
    <row r="1728" spans="1:2" x14ac:dyDescent="0.3">
      <c r="A1728" s="36">
        <v>33709344809</v>
      </c>
      <c r="B1728" t="s">
        <v>1417</v>
      </c>
    </row>
    <row r="1729" spans="1:3" x14ac:dyDescent="0.3">
      <c r="A1729" s="36">
        <v>33709344809</v>
      </c>
      <c r="B1729" t="s">
        <v>1417</v>
      </c>
    </row>
    <row r="1730" spans="1:3" x14ac:dyDescent="0.3">
      <c r="A1730" s="36">
        <v>30574300858</v>
      </c>
      <c r="B1730" t="s">
        <v>880</v>
      </c>
      <c r="C1730" s="35" t="s">
        <v>84</v>
      </c>
    </row>
    <row r="1731" spans="1:3" x14ac:dyDescent="0.3">
      <c r="A1731" s="36">
        <v>30574300858</v>
      </c>
      <c r="B1731" t="s">
        <v>880</v>
      </c>
      <c r="C1731" s="35" t="s">
        <v>84</v>
      </c>
    </row>
    <row r="1732" spans="1:3" x14ac:dyDescent="0.3">
      <c r="A1732" s="36">
        <v>30716388553</v>
      </c>
      <c r="B1732" t="s">
        <v>881</v>
      </c>
    </row>
    <row r="1733" spans="1:3" x14ac:dyDescent="0.3">
      <c r="A1733" s="36">
        <v>30716388553</v>
      </c>
      <c r="B1733" t="s">
        <v>881</v>
      </c>
    </row>
    <row r="1734" spans="1:3" x14ac:dyDescent="0.3">
      <c r="A1734" s="36">
        <v>30716648393</v>
      </c>
      <c r="B1734" t="s">
        <v>1422</v>
      </c>
    </row>
    <row r="1735" spans="1:3" x14ac:dyDescent="0.3">
      <c r="A1735" s="36">
        <v>30716648393</v>
      </c>
      <c r="B1735" t="s">
        <v>1422</v>
      </c>
    </row>
    <row r="1736" spans="1:3" x14ac:dyDescent="0.3">
      <c r="A1736" s="36">
        <v>30699419245</v>
      </c>
      <c r="B1736" t="s">
        <v>882</v>
      </c>
      <c r="C1736" s="35" t="s">
        <v>79</v>
      </c>
    </row>
    <row r="1737" spans="1:3" x14ac:dyDescent="0.3">
      <c r="A1737" s="36">
        <v>30699419245</v>
      </c>
      <c r="B1737" t="s">
        <v>882</v>
      </c>
      <c r="C1737" s="35" t="s">
        <v>79</v>
      </c>
    </row>
    <row r="1738" spans="1:3" x14ac:dyDescent="0.3">
      <c r="A1738" s="36">
        <v>20165913281</v>
      </c>
      <c r="B1738" t="s">
        <v>883</v>
      </c>
    </row>
    <row r="1739" spans="1:3" x14ac:dyDescent="0.3">
      <c r="A1739" s="36">
        <v>20165913281</v>
      </c>
      <c r="B1739" t="s">
        <v>883</v>
      </c>
    </row>
    <row r="1740" spans="1:3" x14ac:dyDescent="0.3">
      <c r="A1740" s="36">
        <v>20165913281</v>
      </c>
      <c r="B1740" t="s">
        <v>883</v>
      </c>
    </row>
    <row r="1741" spans="1:3" x14ac:dyDescent="0.3">
      <c r="A1741" s="36">
        <v>20165913281</v>
      </c>
      <c r="B1741" t="s">
        <v>883</v>
      </c>
    </row>
    <row r="1742" spans="1:3" x14ac:dyDescent="0.3">
      <c r="A1742" s="36">
        <v>27176483291</v>
      </c>
      <c r="B1742" t="s">
        <v>884</v>
      </c>
    </row>
    <row r="1743" spans="1:3" x14ac:dyDescent="0.3">
      <c r="A1743" s="36">
        <v>27176483291</v>
      </c>
      <c r="B1743" t="s">
        <v>884</v>
      </c>
    </row>
    <row r="1744" spans="1:3" x14ac:dyDescent="0.3">
      <c r="A1744" s="36">
        <f>31335549</f>
        <v>31335549</v>
      </c>
      <c r="B1744" t="s">
        <v>885</v>
      </c>
    </row>
    <row r="1745" spans="1:3" x14ac:dyDescent="0.3">
      <c r="A1745" s="36">
        <f>31335549</f>
        <v>31335549</v>
      </c>
      <c r="B1745" t="s">
        <v>885</v>
      </c>
    </row>
    <row r="1746" spans="1:3" x14ac:dyDescent="0.3">
      <c r="A1746" s="36">
        <v>30700876590</v>
      </c>
      <c r="B1746" t="s">
        <v>886</v>
      </c>
    </row>
    <row r="1747" spans="1:3" x14ac:dyDescent="0.3">
      <c r="A1747" s="36">
        <v>30700876590</v>
      </c>
      <c r="B1747" t="s">
        <v>886</v>
      </c>
    </row>
    <row r="1748" spans="1:3" x14ac:dyDescent="0.3">
      <c r="A1748" s="36">
        <v>30715006177</v>
      </c>
      <c r="B1748" t="s">
        <v>887</v>
      </c>
    </row>
    <row r="1749" spans="1:3" x14ac:dyDescent="0.3">
      <c r="A1749" s="36">
        <v>30715006177</v>
      </c>
      <c r="B1749" t="s">
        <v>887</v>
      </c>
    </row>
    <row r="1750" spans="1:3" x14ac:dyDescent="0.3">
      <c r="A1750" s="36">
        <v>20184103924</v>
      </c>
      <c r="B1750" t="s">
        <v>888</v>
      </c>
    </row>
    <row r="1751" spans="1:3" x14ac:dyDescent="0.3">
      <c r="A1751" s="36">
        <v>20184103924</v>
      </c>
      <c r="B1751" t="s">
        <v>888</v>
      </c>
    </row>
    <row r="1752" spans="1:3" x14ac:dyDescent="0.3">
      <c r="A1752" s="36">
        <v>20926929128</v>
      </c>
      <c r="B1752" t="s">
        <v>889</v>
      </c>
      <c r="C1752" s="35" t="s">
        <v>79</v>
      </c>
    </row>
    <row r="1753" spans="1:3" x14ac:dyDescent="0.3">
      <c r="A1753" s="36">
        <v>20926929128</v>
      </c>
      <c r="B1753" t="s">
        <v>889</v>
      </c>
      <c r="C1753" s="35" t="s">
        <v>79</v>
      </c>
    </row>
    <row r="1754" spans="1:3" x14ac:dyDescent="0.3">
      <c r="A1754" s="36">
        <v>30663434191</v>
      </c>
      <c r="B1754" t="s">
        <v>890</v>
      </c>
    </row>
    <row r="1755" spans="1:3" x14ac:dyDescent="0.3">
      <c r="A1755" s="36">
        <v>30663434191</v>
      </c>
      <c r="B1755" t="s">
        <v>890</v>
      </c>
    </row>
    <row r="1756" spans="1:3" x14ac:dyDescent="0.3">
      <c r="A1756" s="36">
        <v>23309270819</v>
      </c>
      <c r="B1756" t="s">
        <v>891</v>
      </c>
    </row>
    <row r="1757" spans="1:3" x14ac:dyDescent="0.3">
      <c r="A1757" s="36">
        <v>23309270819</v>
      </c>
      <c r="B1757" t="s">
        <v>891</v>
      </c>
    </row>
    <row r="1758" spans="1:3" x14ac:dyDescent="0.3">
      <c r="A1758" s="36">
        <v>30598960093</v>
      </c>
      <c r="B1758" t="s">
        <v>892</v>
      </c>
      <c r="C1758" s="35" t="s">
        <v>81</v>
      </c>
    </row>
    <row r="1759" spans="1:3" x14ac:dyDescent="0.3">
      <c r="A1759" s="36">
        <v>30598960093</v>
      </c>
      <c r="B1759" t="s">
        <v>892</v>
      </c>
      <c r="C1759" s="35" t="s">
        <v>81</v>
      </c>
    </row>
    <row r="1760" spans="1:3" x14ac:dyDescent="0.3">
      <c r="A1760" s="36">
        <v>20243351309</v>
      </c>
      <c r="B1760" t="s">
        <v>1473</v>
      </c>
    </row>
    <row r="1761" spans="1:3" x14ac:dyDescent="0.3">
      <c r="A1761" s="36">
        <v>20243351309</v>
      </c>
      <c r="B1761" t="s">
        <v>1473</v>
      </c>
    </row>
    <row r="1762" spans="1:3" x14ac:dyDescent="0.3">
      <c r="A1762" s="36">
        <v>30707833765</v>
      </c>
      <c r="B1762" t="s">
        <v>893</v>
      </c>
    </row>
    <row r="1763" spans="1:3" x14ac:dyDescent="0.3">
      <c r="A1763" s="36">
        <v>30707833765</v>
      </c>
      <c r="B1763" t="s">
        <v>893</v>
      </c>
    </row>
    <row r="1764" spans="1:3" x14ac:dyDescent="0.3">
      <c r="A1764" s="36">
        <v>30500625194</v>
      </c>
      <c r="B1764" t="s">
        <v>894</v>
      </c>
    </row>
    <row r="1765" spans="1:3" x14ac:dyDescent="0.3">
      <c r="A1765" s="36">
        <v>30500625194</v>
      </c>
      <c r="B1765" t="s">
        <v>894</v>
      </c>
    </row>
    <row r="1766" spans="1:3" x14ac:dyDescent="0.3">
      <c r="A1766" s="36">
        <v>20162028732</v>
      </c>
      <c r="B1766" t="s">
        <v>895</v>
      </c>
    </row>
    <row r="1767" spans="1:3" x14ac:dyDescent="0.3">
      <c r="A1767" s="36">
        <v>20162028732</v>
      </c>
      <c r="B1767" t="s">
        <v>895</v>
      </c>
    </row>
    <row r="1768" spans="1:3" x14ac:dyDescent="0.3">
      <c r="A1768" s="36">
        <v>30715079549</v>
      </c>
      <c r="B1768" t="s">
        <v>896</v>
      </c>
    </row>
    <row r="1769" spans="1:3" x14ac:dyDescent="0.3">
      <c r="A1769" s="36">
        <v>30715079549</v>
      </c>
      <c r="B1769" t="s">
        <v>896</v>
      </c>
    </row>
    <row r="1770" spans="1:3" x14ac:dyDescent="0.3">
      <c r="A1770" s="36">
        <v>27226500338</v>
      </c>
      <c r="B1770" t="s">
        <v>1479</v>
      </c>
    </row>
    <row r="1771" spans="1:3" x14ac:dyDescent="0.3">
      <c r="A1771" s="36">
        <v>30528650003</v>
      </c>
      <c r="B1771" t="s">
        <v>897</v>
      </c>
    </row>
    <row r="1772" spans="1:3" x14ac:dyDescent="0.3">
      <c r="A1772" s="36">
        <v>30528650003</v>
      </c>
      <c r="B1772" t="s">
        <v>897</v>
      </c>
    </row>
    <row r="1773" spans="1:3" x14ac:dyDescent="0.3">
      <c r="A1773" s="36">
        <v>30715504037</v>
      </c>
      <c r="B1773" t="s">
        <v>898</v>
      </c>
      <c r="C1773" s="35" t="s">
        <v>81</v>
      </c>
    </row>
    <row r="1774" spans="1:3" x14ac:dyDescent="0.3">
      <c r="A1774" s="36">
        <v>30715504037</v>
      </c>
      <c r="B1774" t="s">
        <v>898</v>
      </c>
      <c r="C1774" s="35" t="s">
        <v>81</v>
      </c>
    </row>
    <row r="1775" spans="1:3" x14ac:dyDescent="0.3">
      <c r="A1775" s="36">
        <v>34569874</v>
      </c>
      <c r="B1775" t="s">
        <v>1216</v>
      </c>
    </row>
    <row r="1776" spans="1:3" x14ac:dyDescent="0.3">
      <c r="A1776" s="36">
        <v>34569874</v>
      </c>
      <c r="B1776" t="s">
        <v>1216</v>
      </c>
    </row>
    <row r="1777" spans="1:2" x14ac:dyDescent="0.3">
      <c r="A1777" s="36">
        <v>23344755523</v>
      </c>
      <c r="B1777" t="s">
        <v>899</v>
      </c>
    </row>
    <row r="1778" spans="1:2" x14ac:dyDescent="0.3">
      <c r="A1778" s="36">
        <v>23344755523</v>
      </c>
      <c r="B1778" t="s">
        <v>899</v>
      </c>
    </row>
    <row r="1779" spans="1:2" x14ac:dyDescent="0.3">
      <c r="A1779" s="36">
        <v>23344755523</v>
      </c>
      <c r="B1779" t="s">
        <v>899</v>
      </c>
    </row>
    <row r="1780" spans="1:2" x14ac:dyDescent="0.3">
      <c r="A1780" s="36">
        <v>23344755523</v>
      </c>
      <c r="B1780" t="s">
        <v>899</v>
      </c>
    </row>
    <row r="1781" spans="1:2" x14ac:dyDescent="0.3">
      <c r="A1781" s="36">
        <v>23344755523</v>
      </c>
      <c r="B1781" t="s">
        <v>899</v>
      </c>
    </row>
    <row r="1782" spans="1:2" x14ac:dyDescent="0.3">
      <c r="A1782" s="36">
        <v>23344755523</v>
      </c>
      <c r="B1782" t="s">
        <v>899</v>
      </c>
    </row>
    <row r="1783" spans="1:2" x14ac:dyDescent="0.3">
      <c r="A1783" s="36">
        <v>23344755523</v>
      </c>
      <c r="B1783" t="s">
        <v>899</v>
      </c>
    </row>
    <row r="1784" spans="1:2" x14ac:dyDescent="0.3">
      <c r="A1784" s="36">
        <v>23344755523</v>
      </c>
      <c r="B1784" t="s">
        <v>899</v>
      </c>
    </row>
    <row r="1785" spans="1:2" x14ac:dyDescent="0.3">
      <c r="A1785" s="36">
        <v>20210020412</v>
      </c>
      <c r="B1785" t="s">
        <v>900</v>
      </c>
    </row>
    <row r="1786" spans="1:2" x14ac:dyDescent="0.3">
      <c r="A1786" s="36">
        <v>20210020412</v>
      </c>
      <c r="B1786" t="s">
        <v>900</v>
      </c>
    </row>
    <row r="1787" spans="1:2" x14ac:dyDescent="0.3">
      <c r="A1787" s="36">
        <v>30584633383</v>
      </c>
      <c r="B1787" t="s">
        <v>901</v>
      </c>
    </row>
    <row r="1788" spans="1:2" x14ac:dyDescent="0.3">
      <c r="A1788" s="36">
        <v>30584633383</v>
      </c>
      <c r="B1788" t="s">
        <v>901</v>
      </c>
    </row>
    <row r="1789" spans="1:2" x14ac:dyDescent="0.3">
      <c r="A1789" s="36">
        <v>30715701975</v>
      </c>
      <c r="B1789" t="s">
        <v>1201</v>
      </c>
    </row>
    <row r="1790" spans="1:2" x14ac:dyDescent="0.3">
      <c r="A1790" s="36">
        <v>30715701975</v>
      </c>
      <c r="B1790" t="s">
        <v>1201</v>
      </c>
    </row>
    <row r="1791" spans="1:2" x14ac:dyDescent="0.3">
      <c r="A1791" s="36">
        <v>30709182389</v>
      </c>
      <c r="B1791" t="s">
        <v>902</v>
      </c>
    </row>
    <row r="1792" spans="1:2" x14ac:dyDescent="0.3">
      <c r="A1792" s="36">
        <v>30709182389</v>
      </c>
      <c r="B1792" t="s">
        <v>902</v>
      </c>
    </row>
    <row r="1793" spans="1:2" x14ac:dyDescent="0.3">
      <c r="A1793" s="36">
        <v>30665725829</v>
      </c>
      <c r="B1793" t="s">
        <v>903</v>
      </c>
    </row>
    <row r="1794" spans="1:2" x14ac:dyDescent="0.3">
      <c r="A1794" s="36">
        <v>30665725829</v>
      </c>
      <c r="B1794" t="s">
        <v>903</v>
      </c>
    </row>
    <row r="1795" spans="1:2" x14ac:dyDescent="0.3">
      <c r="A1795" s="36">
        <v>30715487876</v>
      </c>
      <c r="B1795" t="s">
        <v>904</v>
      </c>
    </row>
    <row r="1796" spans="1:2" x14ac:dyDescent="0.3">
      <c r="A1796" s="36">
        <v>30715487876</v>
      </c>
      <c r="B1796" t="s">
        <v>904</v>
      </c>
    </row>
    <row r="1797" spans="1:2" x14ac:dyDescent="0.3">
      <c r="A1797" s="36">
        <v>23110449429</v>
      </c>
      <c r="B1797" t="s">
        <v>905</v>
      </c>
    </row>
    <row r="1798" spans="1:2" x14ac:dyDescent="0.3">
      <c r="A1798" s="36">
        <v>23110449429</v>
      </c>
      <c r="B1798" t="s">
        <v>905</v>
      </c>
    </row>
    <row r="1799" spans="1:2" x14ac:dyDescent="0.3">
      <c r="A1799" s="36">
        <v>20171417148</v>
      </c>
      <c r="B1799" t="s">
        <v>906</v>
      </c>
    </row>
    <row r="1800" spans="1:2" x14ac:dyDescent="0.3">
      <c r="A1800" s="36">
        <v>20171417148</v>
      </c>
      <c r="B1800" t="s">
        <v>906</v>
      </c>
    </row>
    <row r="1801" spans="1:2" x14ac:dyDescent="0.3">
      <c r="A1801" s="36">
        <v>30715925164</v>
      </c>
      <c r="B1801" t="s">
        <v>907</v>
      </c>
    </row>
    <row r="1802" spans="1:2" x14ac:dyDescent="0.3">
      <c r="A1802" s="36">
        <v>30715925164</v>
      </c>
      <c r="B1802" t="s">
        <v>907</v>
      </c>
    </row>
    <row r="1803" spans="1:2" x14ac:dyDescent="0.3">
      <c r="A1803" s="36">
        <v>30572076764</v>
      </c>
      <c r="B1803" t="s">
        <v>908</v>
      </c>
    </row>
    <row r="1804" spans="1:2" x14ac:dyDescent="0.3">
      <c r="A1804" s="36">
        <v>30572076764</v>
      </c>
      <c r="B1804" t="s">
        <v>908</v>
      </c>
    </row>
    <row r="1805" spans="1:2" x14ac:dyDescent="0.3">
      <c r="A1805" s="36">
        <v>30654118767</v>
      </c>
      <c r="B1805" t="s">
        <v>909</v>
      </c>
    </row>
    <row r="1806" spans="1:2" x14ac:dyDescent="0.3">
      <c r="A1806" s="36">
        <v>30654118767</v>
      </c>
      <c r="B1806" t="s">
        <v>909</v>
      </c>
    </row>
    <row r="1807" spans="1:2" x14ac:dyDescent="0.3">
      <c r="A1807" s="36">
        <v>30709040908</v>
      </c>
      <c r="B1807" t="s">
        <v>910</v>
      </c>
    </row>
    <row r="1808" spans="1:2" x14ac:dyDescent="0.3">
      <c r="A1808" s="36">
        <v>30709040908</v>
      </c>
      <c r="B1808" t="s">
        <v>910</v>
      </c>
    </row>
    <row r="1809" spans="1:3" x14ac:dyDescent="0.3">
      <c r="A1809" s="36">
        <v>30688387201</v>
      </c>
      <c r="B1809" t="s">
        <v>911</v>
      </c>
      <c r="C1809" s="35" t="s">
        <v>81</v>
      </c>
    </row>
    <row r="1810" spans="1:3" x14ac:dyDescent="0.3">
      <c r="A1810" s="36">
        <v>30688387201</v>
      </c>
      <c r="B1810" t="s">
        <v>911</v>
      </c>
      <c r="C1810" s="35" t="s">
        <v>81</v>
      </c>
    </row>
    <row r="1811" spans="1:3" x14ac:dyDescent="0.3">
      <c r="A1811" s="36">
        <v>33714720789</v>
      </c>
      <c r="B1811" t="s">
        <v>912</v>
      </c>
    </row>
    <row r="1812" spans="1:3" x14ac:dyDescent="0.3">
      <c r="A1812" s="36">
        <v>33714720789</v>
      </c>
      <c r="B1812" t="s">
        <v>912</v>
      </c>
    </row>
    <row r="1813" spans="1:3" x14ac:dyDescent="0.3">
      <c r="A1813" s="36">
        <v>20258711611</v>
      </c>
      <c r="B1813" t="s">
        <v>1419</v>
      </c>
    </row>
    <row r="1814" spans="1:3" x14ac:dyDescent="0.3">
      <c r="A1814" s="36">
        <v>20258711611</v>
      </c>
      <c r="B1814" t="s">
        <v>1419</v>
      </c>
    </row>
    <row r="1815" spans="1:3" x14ac:dyDescent="0.3">
      <c r="A1815" s="36">
        <v>42622446</v>
      </c>
      <c r="B1815" t="s">
        <v>1270</v>
      </c>
    </row>
    <row r="1816" spans="1:3" x14ac:dyDescent="0.3">
      <c r="A1816" s="36">
        <v>42622446</v>
      </c>
      <c r="B1816" t="s">
        <v>1270</v>
      </c>
    </row>
    <row r="1817" spans="1:3" x14ac:dyDescent="0.3">
      <c r="A1817" s="36">
        <v>27940038931</v>
      </c>
      <c r="B1817" t="s">
        <v>1579</v>
      </c>
      <c r="C1817" s="35" t="s">
        <v>79</v>
      </c>
    </row>
    <row r="1818" spans="1:3" x14ac:dyDescent="0.3">
      <c r="A1818" s="36">
        <v>27103618792</v>
      </c>
      <c r="B1818" t="s">
        <v>1481</v>
      </c>
    </row>
    <row r="1819" spans="1:3" x14ac:dyDescent="0.3">
      <c r="A1819" s="36">
        <v>27066622997</v>
      </c>
      <c r="B1819" t="s">
        <v>913</v>
      </c>
      <c r="C1819" s="35" t="s">
        <v>81</v>
      </c>
    </row>
    <row r="1820" spans="1:3" x14ac:dyDescent="0.3">
      <c r="A1820" s="36">
        <v>27066622997</v>
      </c>
      <c r="B1820" t="s">
        <v>913</v>
      </c>
      <c r="C1820" s="35" t="s">
        <v>81</v>
      </c>
    </row>
    <row r="1821" spans="1:3" x14ac:dyDescent="0.3">
      <c r="A1821" s="36">
        <v>34432726</v>
      </c>
      <c r="B1821" t="s">
        <v>1291</v>
      </c>
    </row>
    <row r="1822" spans="1:3" x14ac:dyDescent="0.3">
      <c r="A1822" s="36">
        <v>34432726</v>
      </c>
      <c r="B1822" t="s">
        <v>1291</v>
      </c>
    </row>
    <row r="1823" spans="1:3" x14ac:dyDescent="0.3">
      <c r="A1823" s="36">
        <v>18198929</v>
      </c>
      <c r="B1823" t="s">
        <v>1254</v>
      </c>
    </row>
    <row r="1824" spans="1:3" x14ac:dyDescent="0.3">
      <c r="A1824" s="36">
        <v>18198929</v>
      </c>
      <c r="B1824" t="s">
        <v>1254</v>
      </c>
    </row>
    <row r="1825" spans="1:3" x14ac:dyDescent="0.3">
      <c r="A1825" s="36">
        <v>33711882729</v>
      </c>
      <c r="B1825" t="s">
        <v>914</v>
      </c>
      <c r="C1825" s="35" t="s">
        <v>81</v>
      </c>
    </row>
    <row r="1826" spans="1:3" x14ac:dyDescent="0.3">
      <c r="A1826" s="36">
        <v>33711882729</v>
      </c>
      <c r="B1826" t="s">
        <v>914</v>
      </c>
      <c r="C1826" s="35" t="s">
        <v>81</v>
      </c>
    </row>
    <row r="1827" spans="1:3" x14ac:dyDescent="0.3">
      <c r="A1827" s="36">
        <v>30643416375</v>
      </c>
      <c r="B1827" t="s">
        <v>915</v>
      </c>
      <c r="C1827" s="35" t="s">
        <v>81</v>
      </c>
    </row>
    <row r="1828" spans="1:3" x14ac:dyDescent="0.3">
      <c r="A1828" s="36">
        <v>30643416375</v>
      </c>
      <c r="B1828" t="s">
        <v>915</v>
      </c>
      <c r="C1828" s="35" t="s">
        <v>81</v>
      </c>
    </row>
    <row r="1829" spans="1:3" x14ac:dyDescent="0.3">
      <c r="A1829" s="36">
        <f>13740696</f>
        <v>13740696</v>
      </c>
      <c r="B1829" t="s">
        <v>916</v>
      </c>
    </row>
    <row r="1830" spans="1:3" x14ac:dyDescent="0.3">
      <c r="A1830" s="36">
        <f>13740696</f>
        <v>13740696</v>
      </c>
      <c r="B1830" t="s">
        <v>916</v>
      </c>
    </row>
    <row r="1831" spans="1:3" x14ac:dyDescent="0.3">
      <c r="A1831" s="36">
        <v>30714710652</v>
      </c>
      <c r="B1831" t="s">
        <v>917</v>
      </c>
      <c r="C1831" s="35" t="s">
        <v>81</v>
      </c>
    </row>
    <row r="1832" spans="1:3" x14ac:dyDescent="0.3">
      <c r="A1832" s="36">
        <v>30714710652</v>
      </c>
      <c r="B1832" t="s">
        <v>917</v>
      </c>
      <c r="C1832" s="35" t="s">
        <v>81</v>
      </c>
    </row>
    <row r="1833" spans="1:3" x14ac:dyDescent="0.3">
      <c r="A1833" s="36">
        <v>30686978350</v>
      </c>
      <c r="B1833" t="s">
        <v>1404</v>
      </c>
    </row>
    <row r="1834" spans="1:3" x14ac:dyDescent="0.3">
      <c r="A1834" s="36">
        <v>30686978350</v>
      </c>
      <c r="B1834" t="s">
        <v>1404</v>
      </c>
    </row>
    <row r="1835" spans="1:3" x14ac:dyDescent="0.3">
      <c r="A1835" s="36">
        <v>23185808963</v>
      </c>
      <c r="B1835" t="s">
        <v>918</v>
      </c>
      <c r="C1835" s="35" t="s">
        <v>81</v>
      </c>
    </row>
    <row r="1836" spans="1:3" x14ac:dyDescent="0.3">
      <c r="A1836" s="36">
        <v>23185808963</v>
      </c>
      <c r="B1836" t="s">
        <v>918</v>
      </c>
      <c r="C1836" s="35" t="s">
        <v>81</v>
      </c>
    </row>
    <row r="1837" spans="1:3" x14ac:dyDescent="0.3">
      <c r="A1837" s="36">
        <v>30577797281</v>
      </c>
      <c r="B1837" t="s">
        <v>919</v>
      </c>
    </row>
    <row r="1838" spans="1:3" x14ac:dyDescent="0.3">
      <c r="A1838" s="36">
        <v>30577797281</v>
      </c>
      <c r="B1838" t="s">
        <v>919</v>
      </c>
    </row>
    <row r="1839" spans="1:3" x14ac:dyDescent="0.3">
      <c r="A1839" s="36">
        <v>20249295869</v>
      </c>
      <c r="B1839" t="s">
        <v>920</v>
      </c>
    </row>
    <row r="1840" spans="1:3" x14ac:dyDescent="0.3">
      <c r="A1840" s="36">
        <v>20249295869</v>
      </c>
      <c r="B1840" t="s">
        <v>920</v>
      </c>
    </row>
    <row r="1841" spans="1:2" x14ac:dyDescent="0.3">
      <c r="A1841" s="36">
        <v>20238775389</v>
      </c>
      <c r="B1841" t="s">
        <v>921</v>
      </c>
    </row>
    <row r="1842" spans="1:2" x14ac:dyDescent="0.3">
      <c r="A1842" s="36">
        <v>20238775389</v>
      </c>
      <c r="B1842" t="s">
        <v>921</v>
      </c>
    </row>
    <row r="1843" spans="1:2" x14ac:dyDescent="0.3">
      <c r="A1843" s="36">
        <v>30500221956</v>
      </c>
      <c r="B1843" t="s">
        <v>922</v>
      </c>
    </row>
    <row r="1844" spans="1:2" x14ac:dyDescent="0.3">
      <c r="A1844" s="36">
        <v>30500221956</v>
      </c>
      <c r="B1844" t="s">
        <v>922</v>
      </c>
    </row>
    <row r="1845" spans="1:2" x14ac:dyDescent="0.3">
      <c r="A1845" s="36">
        <v>30516336885</v>
      </c>
      <c r="B1845" t="s">
        <v>1411</v>
      </c>
    </row>
    <row r="1846" spans="1:2" x14ac:dyDescent="0.3">
      <c r="A1846" s="36">
        <v>30516336885</v>
      </c>
      <c r="B1846" t="s">
        <v>1411</v>
      </c>
    </row>
    <row r="1847" spans="1:2" x14ac:dyDescent="0.3">
      <c r="A1847" s="36">
        <v>20388413000</v>
      </c>
      <c r="B1847" t="s">
        <v>923</v>
      </c>
    </row>
    <row r="1848" spans="1:2" x14ac:dyDescent="0.3">
      <c r="A1848" s="36">
        <v>20388413000</v>
      </c>
      <c r="B1848" t="s">
        <v>923</v>
      </c>
    </row>
    <row r="1849" spans="1:2" x14ac:dyDescent="0.3">
      <c r="A1849" s="36">
        <v>20276237889</v>
      </c>
      <c r="B1849" t="s">
        <v>924</v>
      </c>
    </row>
    <row r="1850" spans="1:2" x14ac:dyDescent="0.3">
      <c r="A1850" s="36">
        <v>20276237889</v>
      </c>
      <c r="B1850" t="s">
        <v>924</v>
      </c>
    </row>
    <row r="1851" spans="1:2" x14ac:dyDescent="0.3">
      <c r="A1851" s="36">
        <v>24847198</v>
      </c>
      <c r="B1851" t="s">
        <v>1272</v>
      </c>
    </row>
    <row r="1852" spans="1:2" x14ac:dyDescent="0.3">
      <c r="A1852" s="36">
        <v>24847198</v>
      </c>
      <c r="B1852" t="s">
        <v>1272</v>
      </c>
    </row>
    <row r="1853" spans="1:2" x14ac:dyDescent="0.3">
      <c r="A1853" s="36">
        <v>20293879681</v>
      </c>
      <c r="B1853" t="s">
        <v>925</v>
      </c>
    </row>
    <row r="1854" spans="1:2" x14ac:dyDescent="0.3">
      <c r="A1854" s="36">
        <v>20293879681</v>
      </c>
      <c r="B1854" t="s">
        <v>925</v>
      </c>
    </row>
    <row r="1855" spans="1:2" x14ac:dyDescent="0.3">
      <c r="A1855" s="36">
        <v>20172324240</v>
      </c>
      <c r="B1855" t="s">
        <v>926</v>
      </c>
    </row>
    <row r="1856" spans="1:2" x14ac:dyDescent="0.3">
      <c r="A1856" s="36">
        <v>20172324240</v>
      </c>
      <c r="B1856" t="s">
        <v>926</v>
      </c>
    </row>
    <row r="1857" spans="1:3" x14ac:dyDescent="0.3">
      <c r="A1857" s="36">
        <v>20325751453</v>
      </c>
      <c r="B1857" t="s">
        <v>927</v>
      </c>
      <c r="C1857" s="35" t="s">
        <v>81</v>
      </c>
    </row>
    <row r="1858" spans="1:3" x14ac:dyDescent="0.3">
      <c r="A1858" s="36">
        <v>20325751453</v>
      </c>
      <c r="B1858" t="s">
        <v>927</v>
      </c>
      <c r="C1858" s="35" t="s">
        <v>81</v>
      </c>
    </row>
    <row r="1859" spans="1:3" x14ac:dyDescent="0.3">
      <c r="A1859" s="36">
        <v>28951546</v>
      </c>
      <c r="B1859" t="s">
        <v>1226</v>
      </c>
    </row>
    <row r="1860" spans="1:3" x14ac:dyDescent="0.3">
      <c r="A1860" s="36">
        <v>28951546</v>
      </c>
      <c r="B1860" t="s">
        <v>1226</v>
      </c>
    </row>
    <row r="1861" spans="1:3" x14ac:dyDescent="0.3">
      <c r="A1861" s="36">
        <v>28951546</v>
      </c>
      <c r="B1861" t="s">
        <v>1226</v>
      </c>
    </row>
    <row r="1862" spans="1:3" x14ac:dyDescent="0.3">
      <c r="A1862" s="36">
        <v>28951546</v>
      </c>
      <c r="B1862" t="s">
        <v>1226</v>
      </c>
    </row>
    <row r="1863" spans="1:3" x14ac:dyDescent="0.3">
      <c r="A1863" s="36">
        <v>20211427834</v>
      </c>
      <c r="B1863" t="s">
        <v>928</v>
      </c>
    </row>
    <row r="1864" spans="1:3" x14ac:dyDescent="0.3">
      <c r="A1864" s="36">
        <v>20211427834</v>
      </c>
      <c r="B1864" t="s">
        <v>928</v>
      </c>
    </row>
    <row r="1865" spans="1:3" x14ac:dyDescent="0.3">
      <c r="A1865" s="36">
        <v>30711500711</v>
      </c>
      <c r="B1865" t="s">
        <v>929</v>
      </c>
    </row>
    <row r="1866" spans="1:3" x14ac:dyDescent="0.3">
      <c r="A1866" s="36">
        <v>30711500711</v>
      </c>
      <c r="B1866" t="s">
        <v>929</v>
      </c>
    </row>
    <row r="1867" spans="1:3" x14ac:dyDescent="0.3">
      <c r="A1867" s="36">
        <v>30699425520</v>
      </c>
      <c r="B1867" t="s">
        <v>930</v>
      </c>
      <c r="C1867" s="35" t="s">
        <v>81</v>
      </c>
    </row>
    <row r="1868" spans="1:3" x14ac:dyDescent="0.3">
      <c r="A1868" s="36">
        <v>30699425520</v>
      </c>
      <c r="B1868" t="s">
        <v>930</v>
      </c>
      <c r="C1868" s="35" t="s">
        <v>81</v>
      </c>
    </row>
    <row r="1869" spans="1:3" x14ac:dyDescent="0.3">
      <c r="A1869" s="36">
        <v>20041986078</v>
      </c>
      <c r="B1869" t="s">
        <v>931</v>
      </c>
    </row>
    <row r="1870" spans="1:3" x14ac:dyDescent="0.3">
      <c r="A1870" s="36">
        <v>20041986078</v>
      </c>
      <c r="B1870" t="s">
        <v>931</v>
      </c>
    </row>
    <row r="1871" spans="1:3" x14ac:dyDescent="0.3">
      <c r="A1871" s="36">
        <v>20934658230</v>
      </c>
      <c r="B1871" t="s">
        <v>932</v>
      </c>
    </row>
    <row r="1872" spans="1:3" x14ac:dyDescent="0.3">
      <c r="A1872" s="36">
        <v>20934658230</v>
      </c>
      <c r="B1872" t="s">
        <v>932</v>
      </c>
    </row>
    <row r="1873" spans="1:3" x14ac:dyDescent="0.3">
      <c r="A1873" s="36">
        <v>20934658230</v>
      </c>
      <c r="B1873" t="s">
        <v>932</v>
      </c>
    </row>
    <row r="1874" spans="1:3" x14ac:dyDescent="0.3">
      <c r="A1874" s="36">
        <v>20934658230</v>
      </c>
      <c r="B1874" t="s">
        <v>932</v>
      </c>
    </row>
    <row r="1875" spans="1:3" x14ac:dyDescent="0.3">
      <c r="A1875" s="36">
        <v>20084002675</v>
      </c>
      <c r="B1875" t="s">
        <v>933</v>
      </c>
    </row>
    <row r="1876" spans="1:3" x14ac:dyDescent="0.3">
      <c r="A1876" s="36">
        <v>20084002675</v>
      </c>
      <c r="B1876" t="s">
        <v>933</v>
      </c>
    </row>
    <row r="1877" spans="1:3" x14ac:dyDescent="0.3">
      <c r="A1877" s="36">
        <v>30715259407</v>
      </c>
      <c r="B1877" t="s">
        <v>934</v>
      </c>
    </row>
    <row r="1878" spans="1:3" x14ac:dyDescent="0.3">
      <c r="A1878" s="36">
        <v>30715259407</v>
      </c>
      <c r="B1878" t="s">
        <v>934</v>
      </c>
    </row>
    <row r="1879" spans="1:3" x14ac:dyDescent="0.3">
      <c r="A1879" s="36">
        <v>30717465403</v>
      </c>
      <c r="B1879" t="s">
        <v>935</v>
      </c>
    </row>
    <row r="1880" spans="1:3" x14ac:dyDescent="0.3">
      <c r="A1880" s="36">
        <v>30717465403</v>
      </c>
      <c r="B1880" t="s">
        <v>935</v>
      </c>
    </row>
    <row r="1881" spans="1:3" x14ac:dyDescent="0.3">
      <c r="A1881" s="36">
        <v>30715701932</v>
      </c>
      <c r="B1881" t="s">
        <v>936</v>
      </c>
      <c r="C1881" s="35" t="s">
        <v>81</v>
      </c>
    </row>
    <row r="1882" spans="1:3" x14ac:dyDescent="0.3">
      <c r="A1882" s="36">
        <v>30715701932</v>
      </c>
      <c r="B1882" t="s">
        <v>936</v>
      </c>
      <c r="C1882" s="35" t="s">
        <v>81</v>
      </c>
    </row>
    <row r="1883" spans="1:3" x14ac:dyDescent="0.3">
      <c r="A1883" s="36">
        <v>27202375958</v>
      </c>
      <c r="B1883" t="s">
        <v>937</v>
      </c>
    </row>
    <row r="1884" spans="1:3" x14ac:dyDescent="0.3">
      <c r="A1884" s="36">
        <v>27202375958</v>
      </c>
      <c r="B1884" t="s">
        <v>937</v>
      </c>
    </row>
    <row r="1885" spans="1:3" x14ac:dyDescent="0.3">
      <c r="A1885" s="36">
        <v>20045279244</v>
      </c>
      <c r="B1885" t="s">
        <v>938</v>
      </c>
    </row>
    <row r="1886" spans="1:3" x14ac:dyDescent="0.3">
      <c r="A1886" s="36">
        <v>20045279244</v>
      </c>
      <c r="B1886" t="s">
        <v>938</v>
      </c>
    </row>
    <row r="1887" spans="1:3" x14ac:dyDescent="0.3">
      <c r="A1887" s="36">
        <v>30695303978</v>
      </c>
      <c r="B1887" t="s">
        <v>939</v>
      </c>
      <c r="C1887" s="35" t="s">
        <v>79</v>
      </c>
    </row>
    <row r="1888" spans="1:3" x14ac:dyDescent="0.3">
      <c r="A1888" s="36">
        <v>30695303978</v>
      </c>
      <c r="B1888" t="s">
        <v>939</v>
      </c>
      <c r="C1888" s="35" t="s">
        <v>79</v>
      </c>
    </row>
    <row r="1889" spans="1:3" x14ac:dyDescent="0.3">
      <c r="A1889" s="36">
        <v>30716209551</v>
      </c>
      <c r="B1889" t="s">
        <v>940</v>
      </c>
    </row>
    <row r="1890" spans="1:3" x14ac:dyDescent="0.3">
      <c r="A1890" s="36">
        <v>30716209551</v>
      </c>
      <c r="B1890" t="s">
        <v>940</v>
      </c>
    </row>
    <row r="1891" spans="1:3" x14ac:dyDescent="0.3">
      <c r="A1891" s="36">
        <v>30716258439</v>
      </c>
      <c r="B1891" t="s">
        <v>941</v>
      </c>
    </row>
    <row r="1892" spans="1:3" x14ac:dyDescent="0.3">
      <c r="A1892" s="36">
        <v>30716258439</v>
      </c>
      <c r="B1892" t="s">
        <v>941</v>
      </c>
    </row>
    <row r="1893" spans="1:3" x14ac:dyDescent="0.3">
      <c r="A1893" s="36">
        <v>30709981141</v>
      </c>
      <c r="B1893" t="s">
        <v>942</v>
      </c>
      <c r="C1893" s="35" t="s">
        <v>83</v>
      </c>
    </row>
    <row r="1894" spans="1:3" x14ac:dyDescent="0.3">
      <c r="A1894" s="36">
        <v>30709981141</v>
      </c>
      <c r="B1894" t="s">
        <v>942</v>
      </c>
      <c r="C1894" s="35" t="s">
        <v>83</v>
      </c>
    </row>
    <row r="1895" spans="1:3" x14ac:dyDescent="0.3">
      <c r="A1895" s="36">
        <v>30505459179</v>
      </c>
      <c r="B1895" t="s">
        <v>943</v>
      </c>
      <c r="C1895" s="35" t="s">
        <v>81</v>
      </c>
    </row>
    <row r="1896" spans="1:3" x14ac:dyDescent="0.3">
      <c r="A1896" s="36">
        <v>30505459179</v>
      </c>
      <c r="B1896" t="s">
        <v>943</v>
      </c>
      <c r="C1896" s="35" t="s">
        <v>81</v>
      </c>
    </row>
    <row r="1897" spans="1:3" x14ac:dyDescent="0.3">
      <c r="A1897" s="36">
        <v>30710486952</v>
      </c>
      <c r="B1897" t="s">
        <v>944</v>
      </c>
    </row>
    <row r="1898" spans="1:3" x14ac:dyDescent="0.3">
      <c r="A1898" s="36">
        <v>30710486952</v>
      </c>
      <c r="B1898" t="s">
        <v>944</v>
      </c>
    </row>
    <row r="1899" spans="1:3" x14ac:dyDescent="0.3">
      <c r="A1899" s="36">
        <v>23145783224</v>
      </c>
      <c r="B1899" t="s">
        <v>100</v>
      </c>
    </row>
    <row r="1900" spans="1:3" x14ac:dyDescent="0.3">
      <c r="A1900" s="36">
        <v>23145783224</v>
      </c>
      <c r="B1900" t="s">
        <v>100</v>
      </c>
    </row>
    <row r="1901" spans="1:3" x14ac:dyDescent="0.3">
      <c r="A1901" s="36">
        <v>30712121781</v>
      </c>
      <c r="B1901" t="s">
        <v>1575</v>
      </c>
    </row>
    <row r="1902" spans="1:3" x14ac:dyDescent="0.3">
      <c r="A1902" s="36">
        <v>30654855168</v>
      </c>
      <c r="B1902" t="s">
        <v>945</v>
      </c>
      <c r="C1902" s="35" t="s">
        <v>79</v>
      </c>
    </row>
    <row r="1903" spans="1:3" x14ac:dyDescent="0.3">
      <c r="A1903" s="36">
        <v>30654855168</v>
      </c>
      <c r="B1903" t="s">
        <v>945</v>
      </c>
      <c r="C1903" s="35" t="s">
        <v>79</v>
      </c>
    </row>
    <row r="1904" spans="1:3" x14ac:dyDescent="0.3">
      <c r="A1904" s="36">
        <v>30710114176</v>
      </c>
      <c r="B1904" t="s">
        <v>946</v>
      </c>
      <c r="C1904" s="35" t="s">
        <v>78</v>
      </c>
    </row>
    <row r="1905" spans="1:3" x14ac:dyDescent="0.3">
      <c r="A1905" s="36">
        <v>30710114176</v>
      </c>
      <c r="B1905" t="s">
        <v>946</v>
      </c>
      <c r="C1905" s="35" t="s">
        <v>78</v>
      </c>
    </row>
    <row r="1906" spans="1:3" x14ac:dyDescent="0.3">
      <c r="A1906" s="36">
        <v>20174824585</v>
      </c>
      <c r="B1906" t="s">
        <v>947</v>
      </c>
    </row>
    <row r="1907" spans="1:3" x14ac:dyDescent="0.3">
      <c r="A1907" s="36">
        <v>20174824585</v>
      </c>
      <c r="B1907" t="s">
        <v>947</v>
      </c>
    </row>
    <row r="1908" spans="1:3" x14ac:dyDescent="0.3">
      <c r="A1908" s="36">
        <v>24215334</v>
      </c>
      <c r="B1908" t="s">
        <v>1306</v>
      </c>
    </row>
    <row r="1909" spans="1:3" x14ac:dyDescent="0.3">
      <c r="A1909" s="36">
        <v>24215334</v>
      </c>
      <c r="B1909" t="s">
        <v>1306</v>
      </c>
    </row>
    <row r="1910" spans="1:3" x14ac:dyDescent="0.3">
      <c r="A1910" s="36">
        <v>27166041673</v>
      </c>
      <c r="B1910" t="s">
        <v>948</v>
      </c>
    </row>
    <row r="1911" spans="1:3" x14ac:dyDescent="0.3">
      <c r="A1911" s="36">
        <v>27166041673</v>
      </c>
      <c r="B1911" t="s">
        <v>948</v>
      </c>
    </row>
    <row r="1912" spans="1:3" x14ac:dyDescent="0.3">
      <c r="A1912" s="36">
        <v>30649038089</v>
      </c>
      <c r="B1912" t="s">
        <v>949</v>
      </c>
    </row>
    <row r="1913" spans="1:3" x14ac:dyDescent="0.3">
      <c r="A1913" s="36">
        <v>30649038089</v>
      </c>
      <c r="B1913" t="s">
        <v>949</v>
      </c>
    </row>
    <row r="1914" spans="1:3" x14ac:dyDescent="0.3">
      <c r="A1914" s="36">
        <v>27950873936</v>
      </c>
      <c r="B1914" t="s">
        <v>1577</v>
      </c>
      <c r="C1914" s="35" t="s">
        <v>79</v>
      </c>
    </row>
    <row r="1915" spans="1:3" x14ac:dyDescent="0.3">
      <c r="A1915" s="36">
        <v>30709276332</v>
      </c>
      <c r="B1915" t="s">
        <v>950</v>
      </c>
    </row>
    <row r="1916" spans="1:3" x14ac:dyDescent="0.3">
      <c r="A1916" s="36">
        <v>30709276332</v>
      </c>
      <c r="B1916" t="s">
        <v>950</v>
      </c>
    </row>
    <row r="1917" spans="1:3" x14ac:dyDescent="0.3">
      <c r="A1917" s="36">
        <v>30707057587</v>
      </c>
      <c r="B1917" t="s">
        <v>951</v>
      </c>
      <c r="C1917" s="35" t="s">
        <v>81</v>
      </c>
    </row>
    <row r="1918" spans="1:3" x14ac:dyDescent="0.3">
      <c r="A1918" s="36">
        <v>30707057587</v>
      </c>
      <c r="B1918" t="s">
        <v>951</v>
      </c>
      <c r="C1918" s="35" t="s">
        <v>81</v>
      </c>
    </row>
    <row r="1919" spans="1:3" x14ac:dyDescent="0.3">
      <c r="A1919" s="36">
        <v>30710177658</v>
      </c>
      <c r="B1919" t="s">
        <v>952</v>
      </c>
      <c r="C1919" s="35" t="s">
        <v>81</v>
      </c>
    </row>
    <row r="1920" spans="1:3" x14ac:dyDescent="0.3">
      <c r="A1920" s="36">
        <v>30710177658</v>
      </c>
      <c r="B1920" t="s">
        <v>952</v>
      </c>
      <c r="C1920" s="35" t="s">
        <v>81</v>
      </c>
    </row>
    <row r="1921" spans="1:3" x14ac:dyDescent="0.3">
      <c r="A1921" s="36">
        <v>30685376349</v>
      </c>
      <c r="B1921" t="s">
        <v>953</v>
      </c>
    </row>
    <row r="1922" spans="1:3" x14ac:dyDescent="0.3">
      <c r="A1922" s="36">
        <v>30685376349</v>
      </c>
      <c r="B1922" t="s">
        <v>953</v>
      </c>
    </row>
    <row r="1923" spans="1:3" x14ac:dyDescent="0.3">
      <c r="A1923" s="36">
        <v>30711451567</v>
      </c>
      <c r="B1923" t="s">
        <v>954</v>
      </c>
      <c r="C1923" s="35" t="s">
        <v>81</v>
      </c>
    </row>
    <row r="1924" spans="1:3" x14ac:dyDescent="0.3">
      <c r="A1924" s="36">
        <v>30711451567</v>
      </c>
      <c r="B1924" t="s">
        <v>954</v>
      </c>
      <c r="C1924" s="35" t="s">
        <v>81</v>
      </c>
    </row>
    <row r="1925" spans="1:3" x14ac:dyDescent="0.3">
      <c r="A1925" s="36">
        <v>30716290154</v>
      </c>
      <c r="B1925" t="s">
        <v>955</v>
      </c>
    </row>
    <row r="1926" spans="1:3" x14ac:dyDescent="0.3">
      <c r="A1926" s="36">
        <v>30716290154</v>
      </c>
      <c r="B1926" t="s">
        <v>955</v>
      </c>
    </row>
    <row r="1927" spans="1:3" x14ac:dyDescent="0.3">
      <c r="A1927" s="36">
        <v>20267697516</v>
      </c>
      <c r="B1927" t="s">
        <v>956</v>
      </c>
    </row>
    <row r="1928" spans="1:3" x14ac:dyDescent="0.3">
      <c r="A1928" s="36">
        <v>20267697516</v>
      </c>
      <c r="B1928" t="s">
        <v>956</v>
      </c>
    </row>
    <row r="1929" spans="1:3" x14ac:dyDescent="0.3">
      <c r="A1929" s="36">
        <v>30715422782</v>
      </c>
      <c r="B1929" t="s">
        <v>957</v>
      </c>
    </row>
    <row r="1930" spans="1:3" x14ac:dyDescent="0.3">
      <c r="A1930" s="36">
        <v>30715422782</v>
      </c>
      <c r="B1930" t="s">
        <v>957</v>
      </c>
    </row>
    <row r="1931" spans="1:3" x14ac:dyDescent="0.3">
      <c r="A1931" s="36">
        <v>30676683867</v>
      </c>
      <c r="B1931" t="s">
        <v>958</v>
      </c>
      <c r="C1931" s="35" t="s">
        <v>79</v>
      </c>
    </row>
    <row r="1932" spans="1:3" x14ac:dyDescent="0.3">
      <c r="A1932" s="36">
        <v>30676683867</v>
      </c>
      <c r="B1932" t="s">
        <v>958</v>
      </c>
      <c r="C1932" s="35" t="s">
        <v>79</v>
      </c>
    </row>
    <row r="1933" spans="1:3" x14ac:dyDescent="0.3">
      <c r="A1933" s="36">
        <v>30710725116</v>
      </c>
      <c r="B1933" t="s">
        <v>959</v>
      </c>
      <c r="C1933" s="35" t="s">
        <v>81</v>
      </c>
    </row>
    <row r="1934" spans="1:3" x14ac:dyDescent="0.3">
      <c r="A1934" s="36">
        <v>30710725116</v>
      </c>
      <c r="B1934" t="s">
        <v>959</v>
      </c>
      <c r="C1934" s="35" t="s">
        <v>81</v>
      </c>
    </row>
    <row r="1935" spans="1:3" x14ac:dyDescent="0.3">
      <c r="A1935" s="36">
        <v>30714511005</v>
      </c>
      <c r="B1935" t="s">
        <v>960</v>
      </c>
    </row>
    <row r="1936" spans="1:3" x14ac:dyDescent="0.3">
      <c r="A1936" s="36">
        <v>30714511005</v>
      </c>
      <c r="B1936" t="s">
        <v>960</v>
      </c>
    </row>
    <row r="1937" spans="1:3" x14ac:dyDescent="0.3">
      <c r="A1937" s="36">
        <v>30629863571</v>
      </c>
      <c r="B1937" t="s">
        <v>1367</v>
      </c>
      <c r="C1937" s="35" t="s">
        <v>1898</v>
      </c>
    </row>
    <row r="1938" spans="1:3" x14ac:dyDescent="0.3">
      <c r="A1938" s="36">
        <v>30708960736</v>
      </c>
      <c r="B1938" t="s">
        <v>961</v>
      </c>
    </row>
    <row r="1939" spans="1:3" x14ac:dyDescent="0.3">
      <c r="A1939" s="36">
        <v>30708960736</v>
      </c>
      <c r="B1939" t="s">
        <v>961</v>
      </c>
    </row>
    <row r="1940" spans="1:3" x14ac:dyDescent="0.3">
      <c r="A1940" s="36">
        <v>30708351063</v>
      </c>
      <c r="B1940" t="s">
        <v>962</v>
      </c>
    </row>
    <row r="1941" spans="1:3" x14ac:dyDescent="0.3">
      <c r="A1941" s="36">
        <v>30708351063</v>
      </c>
      <c r="B1941" t="s">
        <v>962</v>
      </c>
    </row>
    <row r="1942" spans="1:3" x14ac:dyDescent="0.3">
      <c r="A1942" s="36">
        <v>30711246556</v>
      </c>
      <c r="B1942" t="s">
        <v>963</v>
      </c>
    </row>
    <row r="1943" spans="1:3" x14ac:dyDescent="0.3">
      <c r="A1943" s="36">
        <v>30711246556</v>
      </c>
      <c r="B1943" t="s">
        <v>963</v>
      </c>
    </row>
    <row r="1944" spans="1:3" x14ac:dyDescent="0.3">
      <c r="A1944" s="36">
        <v>30707761357</v>
      </c>
      <c r="B1944" t="s">
        <v>964</v>
      </c>
    </row>
    <row r="1945" spans="1:3" x14ac:dyDescent="0.3">
      <c r="A1945" s="36">
        <v>30707761357</v>
      </c>
      <c r="B1945" t="s">
        <v>964</v>
      </c>
    </row>
    <row r="1946" spans="1:3" x14ac:dyDescent="0.3">
      <c r="A1946" s="36">
        <v>30716710684</v>
      </c>
      <c r="B1946" t="s">
        <v>965</v>
      </c>
      <c r="C1946" s="35" t="s">
        <v>81</v>
      </c>
    </row>
    <row r="1947" spans="1:3" x14ac:dyDescent="0.3">
      <c r="A1947" s="36">
        <v>30716710684</v>
      </c>
      <c r="B1947" t="s">
        <v>965</v>
      </c>
      <c r="C1947" s="35" t="s">
        <v>81</v>
      </c>
    </row>
    <row r="1948" spans="1:3" x14ac:dyDescent="0.3">
      <c r="A1948" s="36">
        <v>30708447036</v>
      </c>
      <c r="B1948" t="s">
        <v>966</v>
      </c>
      <c r="C1948" s="35" t="s">
        <v>78</v>
      </c>
    </row>
    <row r="1949" spans="1:3" x14ac:dyDescent="0.3">
      <c r="A1949" s="36">
        <v>30708447036</v>
      </c>
      <c r="B1949" t="s">
        <v>966</v>
      </c>
      <c r="C1949" s="35" t="s">
        <v>78</v>
      </c>
    </row>
    <row r="1950" spans="1:3" x14ac:dyDescent="0.3">
      <c r="A1950" s="36">
        <v>30640897267</v>
      </c>
      <c r="B1950" t="s">
        <v>1184</v>
      </c>
    </row>
    <row r="1951" spans="1:3" x14ac:dyDescent="0.3">
      <c r="A1951" s="36">
        <v>30640897267</v>
      </c>
      <c r="B1951" t="s">
        <v>1184</v>
      </c>
    </row>
    <row r="1952" spans="1:3" x14ac:dyDescent="0.3">
      <c r="A1952" s="36">
        <v>30640897267</v>
      </c>
      <c r="B1952" t="s">
        <v>1184</v>
      </c>
    </row>
    <row r="1953" spans="1:3" x14ac:dyDescent="0.3">
      <c r="A1953" s="36">
        <v>30640897267</v>
      </c>
      <c r="B1953" t="s">
        <v>1184</v>
      </c>
    </row>
    <row r="1954" spans="1:3" x14ac:dyDescent="0.3">
      <c r="A1954" s="36">
        <v>30640897267</v>
      </c>
      <c r="B1954" t="s">
        <v>101</v>
      </c>
    </row>
    <row r="1955" spans="1:3" x14ac:dyDescent="0.3">
      <c r="A1955" s="36">
        <v>30640897267</v>
      </c>
      <c r="B1955" t="s">
        <v>101</v>
      </c>
    </row>
    <row r="1956" spans="1:3" x14ac:dyDescent="0.3">
      <c r="A1956" s="36">
        <v>30639453738</v>
      </c>
      <c r="B1956" t="s">
        <v>967</v>
      </c>
      <c r="C1956" s="35" t="s">
        <v>80</v>
      </c>
    </row>
    <row r="1957" spans="1:3" x14ac:dyDescent="0.3">
      <c r="A1957" s="36">
        <v>30639453738</v>
      </c>
      <c r="B1957" t="s">
        <v>967</v>
      </c>
      <c r="C1957" s="35" t="s">
        <v>80</v>
      </c>
    </row>
    <row r="1958" spans="1:3" x14ac:dyDescent="0.3">
      <c r="A1958" s="36">
        <v>30639453738</v>
      </c>
      <c r="B1958" t="s">
        <v>1176</v>
      </c>
    </row>
    <row r="1959" spans="1:3" x14ac:dyDescent="0.3">
      <c r="A1959" s="36">
        <v>30639453738</v>
      </c>
      <c r="B1959" t="s">
        <v>1176</v>
      </c>
    </row>
    <row r="1960" spans="1:3" x14ac:dyDescent="0.3">
      <c r="A1960" s="36">
        <v>30639453738</v>
      </c>
      <c r="B1960" t="s">
        <v>1403</v>
      </c>
    </row>
    <row r="1961" spans="1:3" x14ac:dyDescent="0.3">
      <c r="A1961" s="36">
        <v>30639453738</v>
      </c>
      <c r="B1961" t="s">
        <v>1403</v>
      </c>
    </row>
    <row r="1962" spans="1:3" x14ac:dyDescent="0.3">
      <c r="A1962" s="36">
        <v>30639453975</v>
      </c>
      <c r="B1962" t="s">
        <v>968</v>
      </c>
      <c r="C1962" s="35" t="s">
        <v>80</v>
      </c>
    </row>
    <row r="1963" spans="1:3" x14ac:dyDescent="0.3">
      <c r="A1963" s="36">
        <v>30639453975</v>
      </c>
      <c r="B1963" t="s">
        <v>968</v>
      </c>
      <c r="C1963" s="35" t="s">
        <v>80</v>
      </c>
    </row>
    <row r="1964" spans="1:3" x14ac:dyDescent="0.3">
      <c r="A1964" s="36">
        <v>30639453975</v>
      </c>
      <c r="B1964" t="s">
        <v>1182</v>
      </c>
    </row>
    <row r="1965" spans="1:3" x14ac:dyDescent="0.3">
      <c r="A1965" s="36">
        <v>30639453975</v>
      </c>
      <c r="B1965" t="s">
        <v>1182</v>
      </c>
    </row>
    <row r="1966" spans="1:3" x14ac:dyDescent="0.3">
      <c r="A1966" s="36">
        <v>30639453975</v>
      </c>
      <c r="B1966" t="s">
        <v>1182</v>
      </c>
    </row>
    <row r="1967" spans="1:3" x14ac:dyDescent="0.3">
      <c r="A1967" s="36">
        <v>30639453975</v>
      </c>
      <c r="B1967" t="s">
        <v>1182</v>
      </c>
    </row>
    <row r="1968" spans="1:3" x14ac:dyDescent="0.3">
      <c r="A1968" s="36">
        <v>30639453975</v>
      </c>
      <c r="B1968" t="s">
        <v>1377</v>
      </c>
    </row>
    <row r="1969" spans="1:3" x14ac:dyDescent="0.3">
      <c r="A1969" s="36">
        <v>30639453975</v>
      </c>
      <c r="B1969" t="s">
        <v>1377</v>
      </c>
    </row>
    <row r="1970" spans="1:3" x14ac:dyDescent="0.3">
      <c r="A1970" s="36">
        <v>30678814357</v>
      </c>
      <c r="B1970" t="s">
        <v>969</v>
      </c>
      <c r="C1970" s="35" t="s">
        <v>80</v>
      </c>
    </row>
    <row r="1971" spans="1:3" x14ac:dyDescent="0.3">
      <c r="A1971" s="36">
        <v>30678814357</v>
      </c>
      <c r="B1971" t="s">
        <v>969</v>
      </c>
      <c r="C1971" s="35" t="s">
        <v>80</v>
      </c>
    </row>
    <row r="1972" spans="1:3" x14ac:dyDescent="0.3">
      <c r="A1972" s="36">
        <v>30715548182</v>
      </c>
      <c r="B1972" t="s">
        <v>1531</v>
      </c>
    </row>
    <row r="1973" spans="1:3" x14ac:dyDescent="0.3">
      <c r="A1973" s="36">
        <v>33695098419</v>
      </c>
      <c r="B1973" t="s">
        <v>970</v>
      </c>
    </row>
    <row r="1974" spans="1:3" x14ac:dyDescent="0.3">
      <c r="A1974" s="36">
        <v>33695098419</v>
      </c>
      <c r="B1974" t="s">
        <v>970</v>
      </c>
    </row>
    <row r="1975" spans="1:3" x14ac:dyDescent="0.3">
      <c r="A1975" s="36">
        <v>34593997202</v>
      </c>
      <c r="B1975" t="s">
        <v>971</v>
      </c>
    </row>
    <row r="1976" spans="1:3" x14ac:dyDescent="0.3">
      <c r="A1976" s="36">
        <v>34593997202</v>
      </c>
      <c r="B1976" t="s">
        <v>971</v>
      </c>
    </row>
    <row r="1977" spans="1:3" x14ac:dyDescent="0.3">
      <c r="A1977" s="36">
        <v>30716088320</v>
      </c>
      <c r="B1977" t="s">
        <v>972</v>
      </c>
    </row>
    <row r="1978" spans="1:3" x14ac:dyDescent="0.3">
      <c r="A1978" s="36">
        <v>30716088320</v>
      </c>
      <c r="B1978" t="s">
        <v>972</v>
      </c>
    </row>
    <row r="1979" spans="1:3" x14ac:dyDescent="0.3">
      <c r="A1979" s="36">
        <v>30710092784</v>
      </c>
      <c r="B1979" t="s">
        <v>973</v>
      </c>
    </row>
    <row r="1980" spans="1:3" x14ac:dyDescent="0.3">
      <c r="A1980" s="36">
        <v>30710092784</v>
      </c>
      <c r="B1980" t="s">
        <v>973</v>
      </c>
    </row>
    <row r="1981" spans="1:3" x14ac:dyDescent="0.3">
      <c r="A1981" s="36">
        <v>20066033946</v>
      </c>
      <c r="B1981" t="s">
        <v>974</v>
      </c>
    </row>
    <row r="1982" spans="1:3" x14ac:dyDescent="0.3">
      <c r="A1982" s="36">
        <v>20066033946</v>
      </c>
      <c r="B1982" t="s">
        <v>974</v>
      </c>
    </row>
    <row r="1983" spans="1:3" x14ac:dyDescent="0.3">
      <c r="A1983" s="36">
        <v>33629816599</v>
      </c>
      <c r="B1983" t="s">
        <v>975</v>
      </c>
    </row>
    <row r="1984" spans="1:3" x14ac:dyDescent="0.3">
      <c r="A1984" s="36">
        <v>33629816599</v>
      </c>
      <c r="B1984" t="s">
        <v>975</v>
      </c>
    </row>
    <row r="1985" spans="1:3" x14ac:dyDescent="0.3">
      <c r="A1985" s="36">
        <v>20925943410</v>
      </c>
      <c r="B1985" t="s">
        <v>976</v>
      </c>
    </row>
    <row r="1986" spans="1:3" x14ac:dyDescent="0.3">
      <c r="A1986" s="36">
        <v>20925943410</v>
      </c>
      <c r="B1986" t="s">
        <v>976</v>
      </c>
    </row>
    <row r="1987" spans="1:3" x14ac:dyDescent="0.3">
      <c r="A1987" s="36">
        <v>30710718438</v>
      </c>
      <c r="B1987" t="s">
        <v>977</v>
      </c>
    </row>
    <row r="1988" spans="1:3" x14ac:dyDescent="0.3">
      <c r="A1988" s="36">
        <v>30710718438</v>
      </c>
      <c r="B1988" t="s">
        <v>977</v>
      </c>
    </row>
    <row r="1989" spans="1:3" x14ac:dyDescent="0.3">
      <c r="A1989" s="36">
        <v>30716296438</v>
      </c>
      <c r="B1989" t="s">
        <v>978</v>
      </c>
    </row>
    <row r="1990" spans="1:3" x14ac:dyDescent="0.3">
      <c r="A1990" s="36">
        <v>30716296438</v>
      </c>
      <c r="B1990" t="s">
        <v>978</v>
      </c>
    </row>
    <row r="1991" spans="1:3" x14ac:dyDescent="0.3">
      <c r="A1991" s="36">
        <v>30715259784</v>
      </c>
      <c r="B1991" t="s">
        <v>979</v>
      </c>
      <c r="C1991" s="35" t="s">
        <v>81</v>
      </c>
    </row>
    <row r="1992" spans="1:3" x14ac:dyDescent="0.3">
      <c r="A1992" s="36">
        <v>30715259784</v>
      </c>
      <c r="B1992" t="s">
        <v>979</v>
      </c>
      <c r="C1992" s="35" t="s">
        <v>81</v>
      </c>
    </row>
    <row r="1993" spans="1:3" x14ac:dyDescent="0.3">
      <c r="A1993" s="36">
        <v>30709305618</v>
      </c>
      <c r="B1993" t="s">
        <v>980</v>
      </c>
      <c r="C1993" s="35" t="s">
        <v>81</v>
      </c>
    </row>
    <row r="1994" spans="1:3" x14ac:dyDescent="0.3">
      <c r="A1994" s="36">
        <v>30709305618</v>
      </c>
      <c r="B1994" t="s">
        <v>980</v>
      </c>
      <c r="C1994" s="35" t="s">
        <v>81</v>
      </c>
    </row>
    <row r="1995" spans="1:3" x14ac:dyDescent="0.3">
      <c r="A1995" s="36">
        <v>30714118389</v>
      </c>
      <c r="B1995" t="s">
        <v>981</v>
      </c>
      <c r="C1995" s="35" t="s">
        <v>81</v>
      </c>
    </row>
    <row r="1996" spans="1:3" x14ac:dyDescent="0.3">
      <c r="A1996" s="36">
        <v>30714118389</v>
      </c>
      <c r="B1996" t="s">
        <v>981</v>
      </c>
      <c r="C1996" s="35" t="s">
        <v>81</v>
      </c>
    </row>
    <row r="1997" spans="1:3" x14ac:dyDescent="0.3">
      <c r="A1997" s="36">
        <v>30711902054</v>
      </c>
      <c r="B1997" t="s">
        <v>982</v>
      </c>
    </row>
    <row r="1998" spans="1:3" x14ac:dyDescent="0.3">
      <c r="A1998" s="36">
        <v>30711902054</v>
      </c>
      <c r="B1998" t="s">
        <v>982</v>
      </c>
    </row>
    <row r="1999" spans="1:3" x14ac:dyDescent="0.3">
      <c r="A1999" s="36">
        <v>30711902054</v>
      </c>
      <c r="B1999" t="s">
        <v>983</v>
      </c>
    </row>
    <row r="2000" spans="1:3" x14ac:dyDescent="0.3">
      <c r="A2000" s="36">
        <v>30711902054</v>
      </c>
      <c r="B2000" t="s">
        <v>983</v>
      </c>
    </row>
    <row r="2001" spans="1:3" x14ac:dyDescent="0.3">
      <c r="A2001" s="36">
        <v>30709081728</v>
      </c>
      <c r="B2001" t="s">
        <v>984</v>
      </c>
    </row>
    <row r="2002" spans="1:3" x14ac:dyDescent="0.3">
      <c r="A2002" s="36">
        <v>30709081728</v>
      </c>
      <c r="B2002" t="s">
        <v>984</v>
      </c>
    </row>
    <row r="2003" spans="1:3" x14ac:dyDescent="0.3">
      <c r="A2003" s="36">
        <v>30715251201</v>
      </c>
      <c r="B2003" t="s">
        <v>985</v>
      </c>
    </row>
    <row r="2004" spans="1:3" x14ac:dyDescent="0.3">
      <c r="A2004" s="36">
        <v>30715251201</v>
      </c>
      <c r="B2004" t="s">
        <v>985</v>
      </c>
    </row>
    <row r="2005" spans="1:3" x14ac:dyDescent="0.3">
      <c r="A2005" s="36">
        <v>30694592526</v>
      </c>
      <c r="B2005" t="s">
        <v>986</v>
      </c>
      <c r="C2005" s="35" t="s">
        <v>79</v>
      </c>
    </row>
    <row r="2006" spans="1:3" x14ac:dyDescent="0.3">
      <c r="A2006" s="36">
        <v>30694592526</v>
      </c>
      <c r="B2006" t="s">
        <v>986</v>
      </c>
      <c r="C2006" s="35" t="s">
        <v>79</v>
      </c>
    </row>
    <row r="2007" spans="1:3" x14ac:dyDescent="0.3">
      <c r="A2007" s="36">
        <v>30715293923</v>
      </c>
      <c r="B2007" t="s">
        <v>987</v>
      </c>
    </row>
    <row r="2008" spans="1:3" x14ac:dyDescent="0.3">
      <c r="A2008" s="36">
        <v>30715293923</v>
      </c>
      <c r="B2008" t="s">
        <v>987</v>
      </c>
    </row>
    <row r="2009" spans="1:3" x14ac:dyDescent="0.3">
      <c r="A2009" s="36">
        <v>30716087588</v>
      </c>
      <c r="B2009" t="s">
        <v>1501</v>
      </c>
    </row>
    <row r="2010" spans="1:3" x14ac:dyDescent="0.3">
      <c r="A2010" s="36">
        <v>30707824618</v>
      </c>
      <c r="B2010" t="s">
        <v>988</v>
      </c>
    </row>
    <row r="2011" spans="1:3" x14ac:dyDescent="0.3">
      <c r="A2011" s="36">
        <v>30707824618</v>
      </c>
      <c r="B2011" t="s">
        <v>988</v>
      </c>
    </row>
    <row r="2012" spans="1:3" x14ac:dyDescent="0.3">
      <c r="A2012" s="36">
        <v>30715505661</v>
      </c>
      <c r="B2012" t="s">
        <v>989</v>
      </c>
    </row>
    <row r="2013" spans="1:3" x14ac:dyDescent="0.3">
      <c r="A2013" s="36">
        <v>30715505661</v>
      </c>
      <c r="B2013" t="s">
        <v>989</v>
      </c>
    </row>
    <row r="2014" spans="1:3" x14ac:dyDescent="0.3">
      <c r="A2014" s="36">
        <v>30712370978</v>
      </c>
      <c r="B2014" t="s">
        <v>990</v>
      </c>
    </row>
    <row r="2015" spans="1:3" x14ac:dyDescent="0.3">
      <c r="A2015" s="36">
        <v>30712370978</v>
      </c>
      <c r="B2015" t="s">
        <v>990</v>
      </c>
    </row>
    <row r="2016" spans="1:3" x14ac:dyDescent="0.3">
      <c r="A2016" s="36">
        <v>30708491086</v>
      </c>
      <c r="B2016" t="s">
        <v>991</v>
      </c>
    </row>
    <row r="2017" spans="1:2" x14ac:dyDescent="0.3">
      <c r="A2017" s="36">
        <v>30708491086</v>
      </c>
      <c r="B2017" t="s">
        <v>991</v>
      </c>
    </row>
    <row r="2018" spans="1:2" x14ac:dyDescent="0.3">
      <c r="A2018" s="36">
        <v>30661685731</v>
      </c>
      <c r="B2018" t="s">
        <v>992</v>
      </c>
    </row>
    <row r="2019" spans="1:2" x14ac:dyDescent="0.3">
      <c r="A2019" s="36">
        <v>30661685731</v>
      </c>
      <c r="B2019" t="s">
        <v>992</v>
      </c>
    </row>
    <row r="2020" spans="1:2" x14ac:dyDescent="0.3">
      <c r="A2020" s="36">
        <v>30715702920</v>
      </c>
      <c r="B2020" t="s">
        <v>993</v>
      </c>
    </row>
    <row r="2021" spans="1:2" x14ac:dyDescent="0.3">
      <c r="A2021" s="36">
        <v>30715702920</v>
      </c>
      <c r="B2021" t="s">
        <v>993</v>
      </c>
    </row>
    <row r="2022" spans="1:2" x14ac:dyDescent="0.3">
      <c r="A2022" s="36">
        <v>20229914007</v>
      </c>
      <c r="B2022" t="s">
        <v>994</v>
      </c>
    </row>
    <row r="2023" spans="1:2" x14ac:dyDescent="0.3">
      <c r="A2023" s="36">
        <v>20229914007</v>
      </c>
      <c r="B2023" t="s">
        <v>994</v>
      </c>
    </row>
    <row r="2024" spans="1:2" x14ac:dyDescent="0.3">
      <c r="A2024" s="36">
        <v>30710484534</v>
      </c>
      <c r="B2024" t="s">
        <v>995</v>
      </c>
    </row>
    <row r="2025" spans="1:2" x14ac:dyDescent="0.3">
      <c r="A2025" s="36">
        <v>30710484534</v>
      </c>
      <c r="B2025" t="s">
        <v>995</v>
      </c>
    </row>
    <row r="2026" spans="1:2" x14ac:dyDescent="0.3">
      <c r="A2026" s="36">
        <v>30708847247</v>
      </c>
      <c r="B2026" t="s">
        <v>996</v>
      </c>
    </row>
    <row r="2027" spans="1:2" x14ac:dyDescent="0.3">
      <c r="A2027" s="36">
        <v>30708847247</v>
      </c>
      <c r="B2027" t="s">
        <v>996</v>
      </c>
    </row>
    <row r="2028" spans="1:2" x14ac:dyDescent="0.3">
      <c r="A2028" s="36">
        <v>21934163</v>
      </c>
      <c r="B2028" t="s">
        <v>1335</v>
      </c>
    </row>
    <row r="2029" spans="1:2" x14ac:dyDescent="0.3">
      <c r="A2029" s="36">
        <v>21934163</v>
      </c>
      <c r="B2029" t="s">
        <v>1335</v>
      </c>
    </row>
    <row r="2030" spans="1:2" x14ac:dyDescent="0.3">
      <c r="A2030" s="36">
        <v>30715169254</v>
      </c>
      <c r="B2030" t="s">
        <v>997</v>
      </c>
    </row>
    <row r="2031" spans="1:2" x14ac:dyDescent="0.3">
      <c r="A2031" s="36">
        <v>30715169254</v>
      </c>
      <c r="B2031" t="s">
        <v>997</v>
      </c>
    </row>
    <row r="2032" spans="1:2" x14ac:dyDescent="0.3">
      <c r="A2032" s="36">
        <v>30715168254</v>
      </c>
      <c r="B2032" t="s">
        <v>998</v>
      </c>
    </row>
    <row r="2033" spans="1:3" x14ac:dyDescent="0.3">
      <c r="A2033" s="36">
        <v>30715168254</v>
      </c>
      <c r="B2033" t="s">
        <v>998</v>
      </c>
    </row>
    <row r="2034" spans="1:3" x14ac:dyDescent="0.3">
      <c r="A2034" s="36">
        <v>30712317872</v>
      </c>
      <c r="B2034" t="s">
        <v>999</v>
      </c>
      <c r="C2034" s="35" t="s">
        <v>81</v>
      </c>
    </row>
    <row r="2035" spans="1:3" x14ac:dyDescent="0.3">
      <c r="A2035" s="36">
        <v>30712317872</v>
      </c>
      <c r="B2035" t="s">
        <v>999</v>
      </c>
      <c r="C2035" s="35" t="s">
        <v>81</v>
      </c>
    </row>
    <row r="2036" spans="1:3" x14ac:dyDescent="0.3">
      <c r="A2036" s="36">
        <v>30715147250</v>
      </c>
      <c r="B2036" t="s">
        <v>1000</v>
      </c>
    </row>
    <row r="2037" spans="1:3" x14ac:dyDescent="0.3">
      <c r="A2037" s="36">
        <v>30715147250</v>
      </c>
      <c r="B2037" t="s">
        <v>1000</v>
      </c>
    </row>
    <row r="2038" spans="1:3" x14ac:dyDescent="0.3">
      <c r="A2038" s="36">
        <v>27329450991</v>
      </c>
      <c r="B2038" t="s">
        <v>1448</v>
      </c>
    </row>
    <row r="2039" spans="1:3" x14ac:dyDescent="0.3">
      <c r="A2039" s="36">
        <v>27329450991</v>
      </c>
      <c r="B2039" t="s">
        <v>1448</v>
      </c>
    </row>
    <row r="2040" spans="1:3" x14ac:dyDescent="0.3">
      <c r="A2040" s="36">
        <v>30519102826</v>
      </c>
      <c r="B2040" t="s">
        <v>1001</v>
      </c>
      <c r="C2040" s="35" t="s">
        <v>81</v>
      </c>
    </row>
    <row r="2041" spans="1:3" x14ac:dyDescent="0.3">
      <c r="A2041" s="36">
        <v>30519102826</v>
      </c>
      <c r="B2041" t="s">
        <v>1001</v>
      </c>
      <c r="C2041" s="35" t="s">
        <v>81</v>
      </c>
    </row>
    <row r="2042" spans="1:3" x14ac:dyDescent="0.3">
      <c r="A2042" s="36">
        <v>30500525327</v>
      </c>
      <c r="B2042" t="s">
        <v>1420</v>
      </c>
    </row>
    <row r="2043" spans="1:3" x14ac:dyDescent="0.3">
      <c r="A2043" s="36">
        <v>30500525327</v>
      </c>
      <c r="B2043" t="s">
        <v>1420</v>
      </c>
    </row>
    <row r="2044" spans="1:3" x14ac:dyDescent="0.3">
      <c r="A2044" s="36">
        <v>30715221426</v>
      </c>
      <c r="B2044" t="s">
        <v>1002</v>
      </c>
    </row>
    <row r="2045" spans="1:3" x14ac:dyDescent="0.3">
      <c r="A2045" s="36">
        <v>30715221426</v>
      </c>
      <c r="B2045" t="s">
        <v>1002</v>
      </c>
    </row>
    <row r="2046" spans="1:3" x14ac:dyDescent="0.3">
      <c r="A2046" s="36">
        <v>20939212508</v>
      </c>
      <c r="B2046" t="s">
        <v>1003</v>
      </c>
    </row>
    <row r="2047" spans="1:3" x14ac:dyDescent="0.3">
      <c r="A2047" s="36">
        <v>20939212508</v>
      </c>
      <c r="B2047" t="s">
        <v>1003</v>
      </c>
    </row>
    <row r="2048" spans="1:3" x14ac:dyDescent="0.3">
      <c r="A2048" s="36">
        <v>30711694605</v>
      </c>
      <c r="B2048" t="s">
        <v>1468</v>
      </c>
    </row>
    <row r="2049" spans="1:3" x14ac:dyDescent="0.3">
      <c r="A2049" s="36">
        <v>30711694605</v>
      </c>
      <c r="B2049" t="s">
        <v>1468</v>
      </c>
    </row>
    <row r="2050" spans="1:3" x14ac:dyDescent="0.3">
      <c r="A2050" s="36">
        <v>30709532568</v>
      </c>
      <c r="B2050" t="s">
        <v>1004</v>
      </c>
    </row>
    <row r="2051" spans="1:3" x14ac:dyDescent="0.3">
      <c r="A2051" s="36">
        <v>30709532568</v>
      </c>
      <c r="B2051" t="s">
        <v>1004</v>
      </c>
    </row>
    <row r="2052" spans="1:3" x14ac:dyDescent="0.3">
      <c r="A2052" s="36">
        <v>30709063061</v>
      </c>
      <c r="B2052" t="s">
        <v>1005</v>
      </c>
    </row>
    <row r="2053" spans="1:3" x14ac:dyDescent="0.3">
      <c r="A2053" s="36">
        <v>30709063061</v>
      </c>
      <c r="B2053" t="s">
        <v>1005</v>
      </c>
    </row>
    <row r="2054" spans="1:3" x14ac:dyDescent="0.3">
      <c r="A2054" s="36">
        <v>30708765356</v>
      </c>
      <c r="B2054" t="s">
        <v>1006</v>
      </c>
      <c r="C2054" s="35" t="s">
        <v>79</v>
      </c>
    </row>
    <row r="2055" spans="1:3" x14ac:dyDescent="0.3">
      <c r="A2055" s="36">
        <v>30708765356</v>
      </c>
      <c r="B2055" t="s">
        <v>1006</v>
      </c>
      <c r="C2055" s="35" t="s">
        <v>79</v>
      </c>
    </row>
    <row r="2056" spans="1:3" x14ac:dyDescent="0.3">
      <c r="A2056" s="36">
        <v>30531602273</v>
      </c>
      <c r="B2056" t="s">
        <v>1007</v>
      </c>
    </row>
    <row r="2057" spans="1:3" x14ac:dyDescent="0.3">
      <c r="A2057" s="36">
        <v>30531602273</v>
      </c>
      <c r="B2057" t="s">
        <v>1007</v>
      </c>
    </row>
    <row r="2058" spans="1:3" x14ac:dyDescent="0.3">
      <c r="A2058" s="36">
        <v>30616031143</v>
      </c>
      <c r="B2058" t="s">
        <v>1008</v>
      </c>
      <c r="C2058" s="35" t="s">
        <v>81</v>
      </c>
    </row>
    <row r="2059" spans="1:3" x14ac:dyDescent="0.3">
      <c r="A2059" s="36">
        <v>30616031143</v>
      </c>
      <c r="B2059" t="s">
        <v>1008</v>
      </c>
      <c r="C2059" s="35" t="s">
        <v>81</v>
      </c>
    </row>
    <row r="2060" spans="1:3" x14ac:dyDescent="0.3">
      <c r="A2060" s="36">
        <v>30683612916</v>
      </c>
      <c r="B2060" t="s">
        <v>1009</v>
      </c>
      <c r="C2060" s="35" t="s">
        <v>82</v>
      </c>
    </row>
    <row r="2061" spans="1:3" x14ac:dyDescent="0.3">
      <c r="A2061" s="36">
        <v>30683612916</v>
      </c>
      <c r="B2061" t="s">
        <v>1009</v>
      </c>
      <c r="C2061" s="35" t="s">
        <v>82</v>
      </c>
    </row>
    <row r="2062" spans="1:3" x14ac:dyDescent="0.3">
      <c r="A2062" s="36">
        <v>30709002755</v>
      </c>
      <c r="B2062" t="s">
        <v>1010</v>
      </c>
    </row>
    <row r="2063" spans="1:3" x14ac:dyDescent="0.3">
      <c r="A2063" s="36">
        <v>30709002755</v>
      </c>
      <c r="B2063" t="s">
        <v>1010</v>
      </c>
    </row>
    <row r="2064" spans="1:3" x14ac:dyDescent="0.3">
      <c r="A2064" s="36">
        <v>30709361895</v>
      </c>
      <c r="B2064" t="s">
        <v>1011</v>
      </c>
    </row>
    <row r="2065" spans="1:3" x14ac:dyDescent="0.3">
      <c r="A2065" s="36">
        <v>30709361895</v>
      </c>
      <c r="B2065" t="s">
        <v>1011</v>
      </c>
    </row>
    <row r="2066" spans="1:3" x14ac:dyDescent="0.3">
      <c r="A2066" s="36">
        <v>34584348951</v>
      </c>
      <c r="B2066" t="s">
        <v>1012</v>
      </c>
    </row>
    <row r="2067" spans="1:3" x14ac:dyDescent="0.3">
      <c r="A2067" s="36">
        <v>34584348951</v>
      </c>
      <c r="B2067" t="s">
        <v>1012</v>
      </c>
    </row>
    <row r="2068" spans="1:3" x14ac:dyDescent="0.3">
      <c r="A2068" s="36">
        <v>30614916490</v>
      </c>
      <c r="B2068" t="s">
        <v>1013</v>
      </c>
    </row>
    <row r="2069" spans="1:3" x14ac:dyDescent="0.3">
      <c r="A2069" s="36">
        <v>30614916490</v>
      </c>
      <c r="B2069" t="s">
        <v>1013</v>
      </c>
    </row>
    <row r="2070" spans="1:3" x14ac:dyDescent="0.3">
      <c r="A2070" s="36">
        <v>30715585215</v>
      </c>
      <c r="B2070" t="s">
        <v>1014</v>
      </c>
      <c r="C2070" s="35" t="s">
        <v>86</v>
      </c>
    </row>
    <row r="2071" spans="1:3" x14ac:dyDescent="0.3">
      <c r="A2071" s="36">
        <v>30715585215</v>
      </c>
      <c r="B2071" t="s">
        <v>1014</v>
      </c>
      <c r="C2071" s="35" t="s">
        <v>86</v>
      </c>
    </row>
    <row r="2072" spans="1:3" x14ac:dyDescent="0.3">
      <c r="A2072" s="36">
        <v>20141513177</v>
      </c>
      <c r="B2072" t="s">
        <v>1015</v>
      </c>
      <c r="C2072" s="35" t="s">
        <v>82</v>
      </c>
    </row>
    <row r="2073" spans="1:3" x14ac:dyDescent="0.3">
      <c r="A2073" s="36">
        <v>20141513177</v>
      </c>
      <c r="B2073" t="s">
        <v>1015</v>
      </c>
      <c r="C2073" s="35" t="s">
        <v>82</v>
      </c>
    </row>
    <row r="2074" spans="1:3" x14ac:dyDescent="0.3">
      <c r="A2074" s="36">
        <v>30715044060</v>
      </c>
      <c r="B2074" t="s">
        <v>1016</v>
      </c>
    </row>
    <row r="2075" spans="1:3" x14ac:dyDescent="0.3">
      <c r="A2075" s="36">
        <v>30715044060</v>
      </c>
      <c r="B2075" t="s">
        <v>1016</v>
      </c>
    </row>
    <row r="2076" spans="1:3" x14ac:dyDescent="0.3">
      <c r="A2076" s="36">
        <v>30710573936</v>
      </c>
      <c r="B2076" t="s">
        <v>1017</v>
      </c>
    </row>
    <row r="2077" spans="1:3" x14ac:dyDescent="0.3">
      <c r="A2077" s="36">
        <v>30710573936</v>
      </c>
      <c r="B2077" t="s">
        <v>1017</v>
      </c>
    </row>
    <row r="2078" spans="1:3" x14ac:dyDescent="0.3">
      <c r="A2078" s="36">
        <v>33712310419</v>
      </c>
      <c r="B2078" t="s">
        <v>1018</v>
      </c>
    </row>
    <row r="2079" spans="1:3" x14ac:dyDescent="0.3">
      <c r="A2079" s="36">
        <v>33712310419</v>
      </c>
      <c r="B2079" t="s">
        <v>1018</v>
      </c>
    </row>
    <row r="2080" spans="1:3" x14ac:dyDescent="0.3">
      <c r="A2080" s="36">
        <v>30570046663</v>
      </c>
      <c r="B2080" t="s">
        <v>1368</v>
      </c>
    </row>
    <row r="2081" spans="1:3" x14ac:dyDescent="0.3">
      <c r="A2081" s="36">
        <v>30570046663</v>
      </c>
      <c r="B2081" t="s">
        <v>1368</v>
      </c>
    </row>
    <row r="2082" spans="1:3" x14ac:dyDescent="0.3">
      <c r="A2082" s="36">
        <v>30517264160</v>
      </c>
      <c r="B2082" t="s">
        <v>1019</v>
      </c>
      <c r="C2082" s="35" t="s">
        <v>84</v>
      </c>
    </row>
    <row r="2083" spans="1:3" x14ac:dyDescent="0.3">
      <c r="A2083" s="36">
        <v>30517264160</v>
      </c>
      <c r="B2083" t="s">
        <v>1019</v>
      </c>
      <c r="C2083" s="35" t="s">
        <v>84</v>
      </c>
    </row>
    <row r="2084" spans="1:3" x14ac:dyDescent="0.3">
      <c r="A2084" s="36">
        <v>33682571239</v>
      </c>
      <c r="B2084" t="s">
        <v>1020</v>
      </c>
      <c r="C2084" s="35" t="s">
        <v>81</v>
      </c>
    </row>
    <row r="2085" spans="1:3" x14ac:dyDescent="0.3">
      <c r="A2085" s="36">
        <v>33682571239</v>
      </c>
      <c r="B2085" t="s">
        <v>1020</v>
      </c>
      <c r="C2085" s="35" t="s">
        <v>81</v>
      </c>
    </row>
    <row r="2086" spans="1:3" x14ac:dyDescent="0.3">
      <c r="A2086" s="36">
        <v>30708457244</v>
      </c>
      <c r="B2086" t="s">
        <v>1021</v>
      </c>
    </row>
    <row r="2087" spans="1:3" x14ac:dyDescent="0.3">
      <c r="A2087" s="36">
        <v>30708457244</v>
      </c>
      <c r="B2087" t="s">
        <v>1021</v>
      </c>
    </row>
    <row r="2088" spans="1:3" x14ac:dyDescent="0.3">
      <c r="A2088" s="36">
        <f>21847097</f>
        <v>21847097</v>
      </c>
      <c r="B2088" t="s">
        <v>1022</v>
      </c>
    </row>
    <row r="2089" spans="1:3" x14ac:dyDescent="0.3">
      <c r="A2089" s="36">
        <f>21847097</f>
        <v>21847097</v>
      </c>
      <c r="B2089" t="s">
        <v>1022</v>
      </c>
    </row>
    <row r="2090" spans="1:3" x14ac:dyDescent="0.3">
      <c r="A2090" s="36">
        <v>20279412207</v>
      </c>
      <c r="B2090" t="s">
        <v>1153</v>
      </c>
    </row>
    <row r="2091" spans="1:3" x14ac:dyDescent="0.3">
      <c r="A2091" s="36">
        <v>20279412207</v>
      </c>
      <c r="B2091" t="s">
        <v>1153</v>
      </c>
    </row>
    <row r="2092" spans="1:3" x14ac:dyDescent="0.3">
      <c r="A2092" s="36">
        <v>20330855038</v>
      </c>
      <c r="B2092" t="s">
        <v>1023</v>
      </c>
      <c r="C2092" s="35" t="s">
        <v>81</v>
      </c>
    </row>
    <row r="2093" spans="1:3" x14ac:dyDescent="0.3">
      <c r="A2093" s="36">
        <v>20330855038</v>
      </c>
      <c r="B2093" t="s">
        <v>1023</v>
      </c>
      <c r="C2093" s="35" t="s">
        <v>81</v>
      </c>
    </row>
    <row r="2094" spans="1:3" x14ac:dyDescent="0.3">
      <c r="A2094" s="36">
        <v>27249100019</v>
      </c>
      <c r="B2094" t="s">
        <v>1024</v>
      </c>
    </row>
    <row r="2095" spans="1:3" x14ac:dyDescent="0.3">
      <c r="A2095" s="36">
        <v>27249100019</v>
      </c>
      <c r="B2095" t="s">
        <v>1024</v>
      </c>
    </row>
    <row r="2096" spans="1:3" x14ac:dyDescent="0.3">
      <c r="A2096" s="36">
        <v>23161117269</v>
      </c>
      <c r="B2096" t="s">
        <v>1025</v>
      </c>
    </row>
    <row r="2097" spans="1:3" x14ac:dyDescent="0.3">
      <c r="A2097" s="36">
        <v>23161117269</v>
      </c>
      <c r="B2097" t="s">
        <v>1025</v>
      </c>
    </row>
    <row r="2098" spans="1:3" x14ac:dyDescent="0.3">
      <c r="A2098" s="36">
        <v>30646150406</v>
      </c>
      <c r="B2098" t="s">
        <v>1026</v>
      </c>
      <c r="C2098" s="35" t="s">
        <v>81</v>
      </c>
    </row>
    <row r="2099" spans="1:3" x14ac:dyDescent="0.3">
      <c r="A2099" s="36">
        <v>30646150406</v>
      </c>
      <c r="B2099" t="s">
        <v>1026</v>
      </c>
      <c r="C2099" s="35" t="s">
        <v>81</v>
      </c>
    </row>
    <row r="2100" spans="1:3" x14ac:dyDescent="0.3">
      <c r="A2100" s="36">
        <v>30611156045</v>
      </c>
      <c r="B2100" t="s">
        <v>1027</v>
      </c>
      <c r="C2100" s="35" t="s">
        <v>79</v>
      </c>
    </row>
    <row r="2101" spans="1:3" x14ac:dyDescent="0.3">
      <c r="A2101" s="36">
        <v>30611156045</v>
      </c>
      <c r="B2101" t="s">
        <v>1027</v>
      </c>
      <c r="C2101" s="35" t="s">
        <v>79</v>
      </c>
    </row>
    <row r="2102" spans="1:3" x14ac:dyDescent="0.3">
      <c r="A2102" s="36">
        <v>30699097884</v>
      </c>
      <c r="B2102" t="s">
        <v>1028</v>
      </c>
      <c r="C2102" s="35" t="s">
        <v>81</v>
      </c>
    </row>
    <row r="2103" spans="1:3" x14ac:dyDescent="0.3">
      <c r="A2103" s="36">
        <v>30699097884</v>
      </c>
      <c r="B2103" t="s">
        <v>1028</v>
      </c>
      <c r="C2103" s="35" t="s">
        <v>81</v>
      </c>
    </row>
    <row r="2104" spans="1:3" x14ac:dyDescent="0.3">
      <c r="A2104" s="36">
        <v>25024253</v>
      </c>
      <c r="B2104" t="s">
        <v>1338</v>
      </c>
    </row>
    <row r="2105" spans="1:3" x14ac:dyDescent="0.3">
      <c r="A2105" s="36">
        <v>25024253</v>
      </c>
      <c r="B2105" t="s">
        <v>1338</v>
      </c>
    </row>
    <row r="2106" spans="1:3" x14ac:dyDescent="0.3">
      <c r="A2106" s="36">
        <v>30715689045</v>
      </c>
      <c r="B2106" t="s">
        <v>1029</v>
      </c>
      <c r="C2106" s="35" t="s">
        <v>78</v>
      </c>
    </row>
    <row r="2107" spans="1:3" x14ac:dyDescent="0.3">
      <c r="A2107" s="36">
        <v>30715689045</v>
      </c>
      <c r="B2107" t="s">
        <v>1029</v>
      </c>
      <c r="C2107" s="35" t="s">
        <v>78</v>
      </c>
    </row>
    <row r="2108" spans="1:3" x14ac:dyDescent="0.3">
      <c r="A2108" s="36">
        <v>30710473168</v>
      </c>
      <c r="B2108" t="s">
        <v>1030</v>
      </c>
    </row>
    <row r="2109" spans="1:3" x14ac:dyDescent="0.3">
      <c r="A2109" s="36">
        <v>30710473168</v>
      </c>
      <c r="B2109" t="s">
        <v>1030</v>
      </c>
    </row>
    <row r="2110" spans="1:3" x14ac:dyDescent="0.3">
      <c r="A2110" s="36">
        <v>30661186085</v>
      </c>
      <c r="B2110" t="s">
        <v>1552</v>
      </c>
    </row>
    <row r="2111" spans="1:3" x14ac:dyDescent="0.3">
      <c r="A2111" s="36">
        <v>30715893416</v>
      </c>
      <c r="B2111" t="s">
        <v>1031</v>
      </c>
      <c r="C2111" s="35" t="s">
        <v>81</v>
      </c>
    </row>
    <row r="2112" spans="1:3" x14ac:dyDescent="0.3">
      <c r="A2112" s="36">
        <v>30715893416</v>
      </c>
      <c r="B2112" t="s">
        <v>1031</v>
      </c>
      <c r="C2112" s="35" t="s">
        <v>81</v>
      </c>
    </row>
    <row r="2113" spans="1:3" x14ac:dyDescent="0.3">
      <c r="A2113" s="36">
        <v>30689759684</v>
      </c>
      <c r="B2113" t="s">
        <v>1032</v>
      </c>
      <c r="C2113" s="35" t="s">
        <v>79</v>
      </c>
    </row>
    <row r="2114" spans="1:3" x14ac:dyDescent="0.3">
      <c r="A2114" s="36">
        <v>30689759684</v>
      </c>
      <c r="B2114" t="s">
        <v>1032</v>
      </c>
      <c r="C2114" s="35" t="s">
        <v>79</v>
      </c>
    </row>
    <row r="2115" spans="1:3" x14ac:dyDescent="0.3">
      <c r="A2115" s="36">
        <v>30708992301</v>
      </c>
      <c r="B2115" t="s">
        <v>1033</v>
      </c>
      <c r="C2115" s="35" t="s">
        <v>81</v>
      </c>
    </row>
    <row r="2116" spans="1:3" x14ac:dyDescent="0.3">
      <c r="A2116" s="36">
        <v>30708992301</v>
      </c>
      <c r="B2116" t="s">
        <v>1033</v>
      </c>
      <c r="C2116" s="35" t="s">
        <v>81</v>
      </c>
    </row>
    <row r="2117" spans="1:3" x14ac:dyDescent="0.3">
      <c r="A2117" s="36">
        <v>30501912405</v>
      </c>
      <c r="B2117" t="s">
        <v>1034</v>
      </c>
    </row>
    <row r="2118" spans="1:3" x14ac:dyDescent="0.3">
      <c r="A2118" s="36">
        <v>30501912405</v>
      </c>
      <c r="B2118" t="s">
        <v>1034</v>
      </c>
    </row>
    <row r="2119" spans="1:3" x14ac:dyDescent="0.3">
      <c r="A2119" s="36">
        <v>30710649150</v>
      </c>
      <c r="B2119" t="s">
        <v>1035</v>
      </c>
    </row>
    <row r="2120" spans="1:3" x14ac:dyDescent="0.3">
      <c r="A2120" s="36">
        <v>30710649150</v>
      </c>
      <c r="B2120" t="s">
        <v>1035</v>
      </c>
    </row>
    <row r="2121" spans="1:3" x14ac:dyDescent="0.3">
      <c r="A2121" s="36">
        <v>30710649150</v>
      </c>
      <c r="B2121" t="s">
        <v>1036</v>
      </c>
    </row>
    <row r="2122" spans="1:3" x14ac:dyDescent="0.3">
      <c r="A2122" s="36">
        <v>30710649150</v>
      </c>
      <c r="B2122" t="s">
        <v>1036</v>
      </c>
    </row>
    <row r="2123" spans="1:3" x14ac:dyDescent="0.3">
      <c r="A2123" s="36">
        <v>30532905555</v>
      </c>
      <c r="B2123" t="s">
        <v>1567</v>
      </c>
    </row>
    <row r="2124" spans="1:3" x14ac:dyDescent="0.3">
      <c r="A2124" s="36">
        <v>30710352689</v>
      </c>
      <c r="B2124" t="s">
        <v>1037</v>
      </c>
    </row>
    <row r="2125" spans="1:3" x14ac:dyDescent="0.3">
      <c r="A2125" s="36">
        <v>30710352689</v>
      </c>
      <c r="B2125" t="s">
        <v>1037</v>
      </c>
    </row>
    <row r="2126" spans="1:3" x14ac:dyDescent="0.3">
      <c r="A2126" s="36">
        <v>30716605007</v>
      </c>
      <c r="B2126" t="s">
        <v>1038</v>
      </c>
    </row>
    <row r="2127" spans="1:3" x14ac:dyDescent="0.3">
      <c r="A2127" s="36">
        <v>30716605007</v>
      </c>
      <c r="B2127" t="s">
        <v>1038</v>
      </c>
    </row>
    <row r="2128" spans="1:3" x14ac:dyDescent="0.3">
      <c r="A2128" s="36">
        <v>30711186138</v>
      </c>
      <c r="B2128" t="s">
        <v>1039</v>
      </c>
    </row>
    <row r="2129" spans="1:4" x14ac:dyDescent="0.3">
      <c r="A2129" s="36">
        <v>30711186138</v>
      </c>
      <c r="B2129" t="s">
        <v>1039</v>
      </c>
    </row>
    <row r="2130" spans="1:4" x14ac:dyDescent="0.3">
      <c r="A2130" s="36">
        <v>33710531299</v>
      </c>
      <c r="B2130" t="s">
        <v>1040</v>
      </c>
    </row>
    <row r="2131" spans="1:4" x14ac:dyDescent="0.3">
      <c r="A2131" s="36">
        <v>33710531299</v>
      </c>
      <c r="B2131" t="s">
        <v>1040</v>
      </c>
    </row>
    <row r="2132" spans="1:4" x14ac:dyDescent="0.3">
      <c r="A2132" s="36">
        <v>30658325104</v>
      </c>
      <c r="B2132" t="s">
        <v>1041</v>
      </c>
      <c r="C2132" s="35" t="s">
        <v>81</v>
      </c>
    </row>
    <row r="2133" spans="1:4" x14ac:dyDescent="0.3">
      <c r="A2133" s="36">
        <v>30658325104</v>
      </c>
      <c r="B2133" t="s">
        <v>1041</v>
      </c>
      <c r="C2133" s="35" t="s">
        <v>81</v>
      </c>
    </row>
    <row r="2134" spans="1:4" x14ac:dyDescent="0.3">
      <c r="A2134" s="36">
        <v>30717145328</v>
      </c>
      <c r="B2134" t="s">
        <v>1042</v>
      </c>
    </row>
    <row r="2135" spans="1:4" x14ac:dyDescent="0.3">
      <c r="A2135" s="36">
        <v>30717145328</v>
      </c>
      <c r="B2135" t="s">
        <v>1042</v>
      </c>
    </row>
    <row r="2136" spans="1:4" x14ac:dyDescent="0.3">
      <c r="A2136" s="36">
        <v>33714677239</v>
      </c>
      <c r="B2136" t="s">
        <v>1365</v>
      </c>
      <c r="D2136" t="s">
        <v>1779</v>
      </c>
    </row>
    <row r="2137" spans="1:4" x14ac:dyDescent="0.3">
      <c r="A2137" s="36">
        <v>20259693609</v>
      </c>
      <c r="B2137" t="s">
        <v>1043</v>
      </c>
      <c r="C2137" s="35" t="s">
        <v>81</v>
      </c>
    </row>
    <row r="2138" spans="1:4" x14ac:dyDescent="0.3">
      <c r="A2138" s="36">
        <v>20366883879</v>
      </c>
      <c r="B2138" t="s">
        <v>1405</v>
      </c>
    </row>
    <row r="2139" spans="1:4" x14ac:dyDescent="0.3">
      <c r="A2139" s="36">
        <v>20366883879</v>
      </c>
      <c r="B2139" t="s">
        <v>1405</v>
      </c>
    </row>
    <row r="2140" spans="1:4" x14ac:dyDescent="0.3">
      <c r="A2140" s="36">
        <v>30709034304</v>
      </c>
      <c r="B2140" t="s">
        <v>1044</v>
      </c>
    </row>
    <row r="2141" spans="1:4" x14ac:dyDescent="0.3">
      <c r="A2141" s="36">
        <v>30709034304</v>
      </c>
      <c r="B2141" t="s">
        <v>1044</v>
      </c>
    </row>
    <row r="2142" spans="1:4" x14ac:dyDescent="0.3">
      <c r="A2142" s="36">
        <v>20116347742</v>
      </c>
      <c r="B2142" t="s">
        <v>1522</v>
      </c>
    </row>
    <row r="2143" spans="1:4" x14ac:dyDescent="0.3">
      <c r="A2143" s="36">
        <v>20234542371</v>
      </c>
      <c r="B2143" t="s">
        <v>1045</v>
      </c>
    </row>
    <row r="2144" spans="1:4" x14ac:dyDescent="0.3">
      <c r="A2144" s="36">
        <v>20234542371</v>
      </c>
      <c r="B2144" t="s">
        <v>1045</v>
      </c>
    </row>
    <row r="2145" spans="1:2" x14ac:dyDescent="0.3">
      <c r="A2145" s="36">
        <v>20161297217</v>
      </c>
      <c r="B2145" t="s">
        <v>1046</v>
      </c>
    </row>
    <row r="2146" spans="1:2" x14ac:dyDescent="0.3">
      <c r="A2146" s="36">
        <v>20135300277</v>
      </c>
      <c r="B2146" t="s">
        <v>1047</v>
      </c>
    </row>
    <row r="2147" spans="1:2" x14ac:dyDescent="0.3">
      <c r="A2147" s="36">
        <v>20135300277</v>
      </c>
      <c r="B2147" t="s">
        <v>1047</v>
      </c>
    </row>
    <row r="2148" spans="1:2" x14ac:dyDescent="0.3">
      <c r="A2148" s="36">
        <v>23269528214</v>
      </c>
      <c r="B2148" t="s">
        <v>1195</v>
      </c>
    </row>
    <row r="2149" spans="1:2" x14ac:dyDescent="0.3">
      <c r="A2149" s="36">
        <v>23269528214</v>
      </c>
      <c r="B2149" t="s">
        <v>1195</v>
      </c>
    </row>
    <row r="2150" spans="1:2" x14ac:dyDescent="0.3">
      <c r="A2150" s="36">
        <v>20044441269</v>
      </c>
      <c r="B2150" t="s">
        <v>1048</v>
      </c>
    </row>
    <row r="2151" spans="1:2" x14ac:dyDescent="0.3">
      <c r="A2151" s="36">
        <v>34569874</v>
      </c>
      <c r="B2151" t="s">
        <v>1276</v>
      </c>
    </row>
    <row r="2152" spans="1:2" x14ac:dyDescent="0.3">
      <c r="A2152" s="36">
        <v>34569874</v>
      </c>
      <c r="B2152" t="s">
        <v>1276</v>
      </c>
    </row>
    <row r="2153" spans="1:2" x14ac:dyDescent="0.3">
      <c r="A2153" s="36">
        <v>26822235</v>
      </c>
      <c r="B2153" t="s">
        <v>1240</v>
      </c>
    </row>
    <row r="2154" spans="1:2" x14ac:dyDescent="0.3">
      <c r="A2154" s="36">
        <v>92475517</v>
      </c>
      <c r="B2154" t="s">
        <v>1232</v>
      </c>
    </row>
    <row r="2155" spans="1:2" x14ac:dyDescent="0.3">
      <c r="A2155" s="36">
        <v>92475517</v>
      </c>
      <c r="B2155" t="s">
        <v>1232</v>
      </c>
    </row>
    <row r="2156" spans="1:2" x14ac:dyDescent="0.3">
      <c r="A2156" s="36">
        <v>92475517</v>
      </c>
      <c r="B2156" t="s">
        <v>1232</v>
      </c>
    </row>
    <row r="2157" spans="1:2" x14ac:dyDescent="0.3">
      <c r="A2157" s="36">
        <v>92475517</v>
      </c>
      <c r="B2157" t="s">
        <v>1232</v>
      </c>
    </row>
    <row r="2158" spans="1:2" x14ac:dyDescent="0.3">
      <c r="A2158" s="36">
        <v>20138513670</v>
      </c>
      <c r="B2158" t="s">
        <v>1049</v>
      </c>
    </row>
    <row r="2159" spans="1:2" x14ac:dyDescent="0.3">
      <c r="A2159" s="36">
        <v>20138513670</v>
      </c>
      <c r="B2159" t="s">
        <v>1049</v>
      </c>
    </row>
    <row r="2160" spans="1:2" x14ac:dyDescent="0.3">
      <c r="A2160" s="36">
        <v>20121003792</v>
      </c>
      <c r="B2160" t="s">
        <v>1050</v>
      </c>
    </row>
    <row r="2161" spans="1:3" x14ac:dyDescent="0.3">
      <c r="A2161" s="36">
        <v>20161507165</v>
      </c>
      <c r="B2161" t="s">
        <v>1051</v>
      </c>
    </row>
    <row r="2162" spans="1:3" x14ac:dyDescent="0.3">
      <c r="A2162" s="36">
        <v>30715354213</v>
      </c>
      <c r="B2162" t="s">
        <v>1052</v>
      </c>
      <c r="C2162" s="35" t="s">
        <v>83</v>
      </c>
    </row>
    <row r="2163" spans="1:3" x14ac:dyDescent="0.3">
      <c r="A2163" s="36">
        <v>30715354213</v>
      </c>
      <c r="B2163" t="s">
        <v>1052</v>
      </c>
      <c r="C2163" s="35" t="s">
        <v>83</v>
      </c>
    </row>
    <row r="2164" spans="1:3" x14ac:dyDescent="0.3">
      <c r="A2164" s="36">
        <f>93455751</f>
        <v>93455751</v>
      </c>
      <c r="B2164" t="s">
        <v>1053</v>
      </c>
    </row>
    <row r="2165" spans="1:3" x14ac:dyDescent="0.3">
      <c r="A2165" s="36">
        <f>93455751</f>
        <v>93455751</v>
      </c>
      <c r="B2165" t="s">
        <v>1053</v>
      </c>
    </row>
    <row r="2166" spans="1:3" x14ac:dyDescent="0.3">
      <c r="A2166" s="36">
        <v>23107038124</v>
      </c>
      <c r="B2166" t="s">
        <v>1054</v>
      </c>
    </row>
    <row r="2167" spans="1:3" x14ac:dyDescent="0.3">
      <c r="A2167" s="36">
        <v>23107038124</v>
      </c>
      <c r="B2167" t="s">
        <v>1054</v>
      </c>
    </row>
    <row r="2168" spans="1:3" x14ac:dyDescent="0.3">
      <c r="A2168" s="36">
        <v>27242509612</v>
      </c>
      <c r="B2168" t="s">
        <v>1200</v>
      </c>
    </row>
    <row r="2169" spans="1:3" x14ac:dyDescent="0.3">
      <c r="A2169" s="36">
        <v>27242509612</v>
      </c>
      <c r="B2169" t="s">
        <v>1200</v>
      </c>
    </row>
    <row r="2170" spans="1:3" x14ac:dyDescent="0.3">
      <c r="A2170" s="36">
        <v>27102598747</v>
      </c>
      <c r="B2170" t="s">
        <v>1055</v>
      </c>
    </row>
    <row r="2171" spans="1:3" x14ac:dyDescent="0.3">
      <c r="A2171" s="36">
        <v>27102598747</v>
      </c>
      <c r="B2171" t="s">
        <v>1055</v>
      </c>
    </row>
    <row r="2172" spans="1:3" x14ac:dyDescent="0.3">
      <c r="A2172" s="36">
        <v>20256641993</v>
      </c>
      <c r="B2172" t="s">
        <v>1056</v>
      </c>
    </row>
    <row r="2173" spans="1:3" x14ac:dyDescent="0.3">
      <c r="A2173" s="36">
        <v>20256641993</v>
      </c>
      <c r="B2173" t="s">
        <v>1056</v>
      </c>
    </row>
    <row r="2174" spans="1:3" x14ac:dyDescent="0.3">
      <c r="A2174" s="36">
        <v>30715222112</v>
      </c>
      <c r="B2174" t="s">
        <v>1057</v>
      </c>
    </row>
    <row r="2175" spans="1:3" x14ac:dyDescent="0.3">
      <c r="A2175" s="36">
        <v>30715222112</v>
      </c>
      <c r="B2175" t="s">
        <v>1057</v>
      </c>
    </row>
    <row r="2176" spans="1:3" x14ac:dyDescent="0.3">
      <c r="A2176" s="36">
        <v>20206659379</v>
      </c>
      <c r="B2176" t="s">
        <v>1474</v>
      </c>
    </row>
    <row r="2177" spans="1:3" x14ac:dyDescent="0.3">
      <c r="A2177" s="36">
        <v>20206659379</v>
      </c>
      <c r="B2177" t="s">
        <v>1474</v>
      </c>
    </row>
    <row r="2178" spans="1:3" x14ac:dyDescent="0.3">
      <c r="A2178" s="36">
        <v>27208252386</v>
      </c>
      <c r="B2178" t="s">
        <v>1058</v>
      </c>
      <c r="C2178" s="35" t="s">
        <v>79</v>
      </c>
    </row>
    <row r="2179" spans="1:3" x14ac:dyDescent="0.3">
      <c r="A2179" s="36">
        <v>27208252386</v>
      </c>
      <c r="B2179" t="s">
        <v>1058</v>
      </c>
      <c r="C2179" s="35" t="s">
        <v>79</v>
      </c>
    </row>
    <row r="2180" spans="1:3" x14ac:dyDescent="0.3">
      <c r="A2180" s="36">
        <v>23386252629</v>
      </c>
      <c r="B2180" t="s">
        <v>1059</v>
      </c>
    </row>
    <row r="2181" spans="1:3" x14ac:dyDescent="0.3">
      <c r="A2181" s="36">
        <v>23386252629</v>
      </c>
      <c r="B2181" t="s">
        <v>1059</v>
      </c>
    </row>
    <row r="2182" spans="1:3" x14ac:dyDescent="0.3">
      <c r="A2182" s="36">
        <f>16458001</f>
        <v>16458001</v>
      </c>
      <c r="B2182" t="s">
        <v>1060</v>
      </c>
    </row>
    <row r="2183" spans="1:3" x14ac:dyDescent="0.3">
      <c r="A2183" s="36">
        <f>16458001</f>
        <v>16458001</v>
      </c>
      <c r="B2183" t="s">
        <v>1060</v>
      </c>
    </row>
    <row r="2184" spans="1:3" x14ac:dyDescent="0.3">
      <c r="A2184" s="36">
        <v>27036968910</v>
      </c>
      <c r="B2184" t="s">
        <v>1061</v>
      </c>
    </row>
    <row r="2185" spans="1:3" x14ac:dyDescent="0.3">
      <c r="A2185" s="36">
        <v>27036968910</v>
      </c>
      <c r="B2185" t="s">
        <v>1061</v>
      </c>
    </row>
    <row r="2186" spans="1:3" x14ac:dyDescent="0.3">
      <c r="A2186" s="36">
        <v>27149028302</v>
      </c>
      <c r="B2186" t="s">
        <v>1062</v>
      </c>
    </row>
    <row r="2187" spans="1:3" x14ac:dyDescent="0.3">
      <c r="A2187" s="36">
        <v>27149028302</v>
      </c>
      <c r="B2187" t="s">
        <v>1062</v>
      </c>
    </row>
    <row r="2188" spans="1:3" x14ac:dyDescent="0.3">
      <c r="A2188" s="36">
        <v>27003352000</v>
      </c>
      <c r="B2188" t="s">
        <v>1063</v>
      </c>
    </row>
    <row r="2189" spans="1:3" x14ac:dyDescent="0.3">
      <c r="A2189" s="36">
        <v>27003352000</v>
      </c>
      <c r="B2189" t="s">
        <v>1063</v>
      </c>
    </row>
    <row r="2190" spans="1:3" x14ac:dyDescent="0.3">
      <c r="A2190" s="36">
        <v>20242071574</v>
      </c>
      <c r="B2190" t="s">
        <v>1477</v>
      </c>
    </row>
    <row r="2191" spans="1:3" x14ac:dyDescent="0.3">
      <c r="A2191" s="36">
        <v>33709179379</v>
      </c>
      <c r="B2191" t="s">
        <v>1064</v>
      </c>
    </row>
    <row r="2192" spans="1:3" x14ac:dyDescent="0.3">
      <c r="A2192" s="36">
        <v>33709179379</v>
      </c>
      <c r="B2192" t="s">
        <v>1064</v>
      </c>
    </row>
    <row r="2193" spans="1:3" x14ac:dyDescent="0.3">
      <c r="A2193" s="36">
        <v>30715385216</v>
      </c>
      <c r="B2193" t="s">
        <v>1426</v>
      </c>
    </row>
    <row r="2194" spans="1:3" x14ac:dyDescent="0.3">
      <c r="A2194" s="36">
        <v>30715385216</v>
      </c>
      <c r="B2194" t="s">
        <v>1426</v>
      </c>
    </row>
    <row r="2195" spans="1:3" x14ac:dyDescent="0.3">
      <c r="A2195" s="36">
        <v>20247225243</v>
      </c>
      <c r="B2195" t="s">
        <v>1065</v>
      </c>
      <c r="C2195" s="35" t="s">
        <v>81</v>
      </c>
    </row>
    <row r="2196" spans="1:3" x14ac:dyDescent="0.3">
      <c r="A2196" s="36">
        <v>20247225243</v>
      </c>
      <c r="B2196" t="s">
        <v>1065</v>
      </c>
      <c r="C2196" s="35" t="s">
        <v>81</v>
      </c>
    </row>
    <row r="2197" spans="1:3" x14ac:dyDescent="0.3">
      <c r="A2197" s="36">
        <v>20176063573</v>
      </c>
      <c r="B2197" t="s">
        <v>1066</v>
      </c>
    </row>
    <row r="2198" spans="1:3" x14ac:dyDescent="0.3">
      <c r="A2198" s="36">
        <v>20176063573</v>
      </c>
      <c r="B2198" t="s">
        <v>1066</v>
      </c>
    </row>
    <row r="2199" spans="1:3" x14ac:dyDescent="0.3">
      <c r="A2199" s="36">
        <f>14287880</f>
        <v>14287880</v>
      </c>
      <c r="B2199" t="s">
        <v>1067</v>
      </c>
    </row>
    <row r="2200" spans="1:3" x14ac:dyDescent="0.3">
      <c r="A2200" s="36">
        <f>14287880</f>
        <v>14287880</v>
      </c>
      <c r="B2200" t="s">
        <v>1067</v>
      </c>
    </row>
    <row r="2201" spans="1:3" x14ac:dyDescent="0.3">
      <c r="A2201" s="36">
        <v>20178221974</v>
      </c>
      <c r="B2201" t="s">
        <v>1068</v>
      </c>
    </row>
    <row r="2202" spans="1:3" x14ac:dyDescent="0.3">
      <c r="A2202" s="36">
        <v>20178221974</v>
      </c>
      <c r="B2202" t="s">
        <v>1068</v>
      </c>
    </row>
    <row r="2203" spans="1:3" x14ac:dyDescent="0.3">
      <c r="A2203" s="36">
        <v>20939843907</v>
      </c>
      <c r="B2203" t="s">
        <v>1069</v>
      </c>
    </row>
    <row r="2204" spans="1:3" x14ac:dyDescent="0.3">
      <c r="A2204" s="36">
        <v>20939843907</v>
      </c>
      <c r="B2204" t="s">
        <v>1069</v>
      </c>
    </row>
    <row r="2205" spans="1:3" x14ac:dyDescent="0.3">
      <c r="A2205" s="36">
        <v>30681830800</v>
      </c>
      <c r="B2205" t="s">
        <v>1070</v>
      </c>
    </row>
    <row r="2206" spans="1:3" x14ac:dyDescent="0.3">
      <c r="A2206" s="36">
        <v>30681830800</v>
      </c>
      <c r="B2206" t="s">
        <v>1070</v>
      </c>
    </row>
    <row r="2207" spans="1:3" x14ac:dyDescent="0.3">
      <c r="A2207" s="36">
        <v>20077107186</v>
      </c>
      <c r="B2207" t="s">
        <v>1071</v>
      </c>
      <c r="C2207" s="35" t="s">
        <v>81</v>
      </c>
    </row>
    <row r="2208" spans="1:3" x14ac:dyDescent="0.3">
      <c r="A2208" s="36">
        <v>20077107186</v>
      </c>
      <c r="B2208" t="s">
        <v>1071</v>
      </c>
      <c r="C2208" s="35" t="s">
        <v>81</v>
      </c>
    </row>
    <row r="2209" spans="1:3" x14ac:dyDescent="0.3">
      <c r="A2209" s="36">
        <v>30624872874</v>
      </c>
      <c r="B2209" t="s">
        <v>1072</v>
      </c>
    </row>
    <row r="2210" spans="1:3" x14ac:dyDescent="0.3">
      <c r="A2210" s="36">
        <v>30624872874</v>
      </c>
      <c r="B2210" t="s">
        <v>1072</v>
      </c>
    </row>
    <row r="2211" spans="1:3" x14ac:dyDescent="0.3">
      <c r="A2211" s="36">
        <v>33717549479</v>
      </c>
      <c r="B2211" t="s">
        <v>1073</v>
      </c>
    </row>
    <row r="2212" spans="1:3" x14ac:dyDescent="0.3">
      <c r="A2212" s="36">
        <v>33717549479</v>
      </c>
      <c r="B2212" t="s">
        <v>1073</v>
      </c>
    </row>
    <row r="2213" spans="1:3" x14ac:dyDescent="0.3">
      <c r="A2213" s="36">
        <v>30643922157</v>
      </c>
      <c r="B2213" t="s">
        <v>1074</v>
      </c>
      <c r="C2213" s="35" t="s">
        <v>82</v>
      </c>
    </row>
    <row r="2214" spans="1:3" x14ac:dyDescent="0.3">
      <c r="A2214" s="36">
        <v>30643922157</v>
      </c>
      <c r="B2214" t="s">
        <v>1074</v>
      </c>
      <c r="C2214" s="35" t="s">
        <v>82</v>
      </c>
    </row>
    <row r="2215" spans="1:3" x14ac:dyDescent="0.3">
      <c r="A2215" s="36">
        <v>33711043069</v>
      </c>
      <c r="B2215" t="s">
        <v>1075</v>
      </c>
      <c r="C2215" s="35" t="s">
        <v>82</v>
      </c>
    </row>
    <row r="2216" spans="1:3" x14ac:dyDescent="0.3">
      <c r="A2216" s="36">
        <v>33711043069</v>
      </c>
      <c r="B2216" t="s">
        <v>1075</v>
      </c>
      <c r="C2216" s="35" t="s">
        <v>82</v>
      </c>
    </row>
    <row r="2217" spans="1:3" x14ac:dyDescent="0.3">
      <c r="A2217" s="36">
        <v>20105500336</v>
      </c>
      <c r="B2217" t="s">
        <v>1076</v>
      </c>
      <c r="C2217" s="35" t="s">
        <v>78</v>
      </c>
    </row>
    <row r="2218" spans="1:3" x14ac:dyDescent="0.3">
      <c r="A2218" s="36">
        <v>20105500336</v>
      </c>
      <c r="B2218" t="s">
        <v>1076</v>
      </c>
      <c r="C2218" s="35" t="s">
        <v>78</v>
      </c>
    </row>
    <row r="2219" spans="1:3" x14ac:dyDescent="0.3">
      <c r="A2219" s="36">
        <v>20278120</v>
      </c>
      <c r="B2219" t="s">
        <v>1289</v>
      </c>
    </row>
    <row r="2220" spans="1:3" x14ac:dyDescent="0.3">
      <c r="A2220" s="36">
        <v>20278120</v>
      </c>
      <c r="B2220" t="s">
        <v>1289</v>
      </c>
    </row>
    <row r="2221" spans="1:3" x14ac:dyDescent="0.3">
      <c r="A2221" s="36">
        <v>20287832649</v>
      </c>
      <c r="B2221" t="s">
        <v>1077</v>
      </c>
      <c r="C2221" s="35" t="s">
        <v>81</v>
      </c>
    </row>
    <row r="2222" spans="1:3" x14ac:dyDescent="0.3">
      <c r="A2222" s="36">
        <v>20287832649</v>
      </c>
      <c r="B2222" t="s">
        <v>1077</v>
      </c>
      <c r="C2222" s="35" t="s">
        <v>81</v>
      </c>
    </row>
    <row r="2223" spans="1:3" x14ac:dyDescent="0.3">
      <c r="A2223" s="36">
        <v>30717040267</v>
      </c>
      <c r="B2223" t="s">
        <v>1078</v>
      </c>
    </row>
    <row r="2224" spans="1:3" x14ac:dyDescent="0.3">
      <c r="A2224" s="36">
        <v>30717040267</v>
      </c>
      <c r="B2224" t="s">
        <v>1078</v>
      </c>
    </row>
    <row r="2225" spans="1:3" x14ac:dyDescent="0.3">
      <c r="A2225" s="36">
        <v>30715595407</v>
      </c>
      <c r="B2225" t="s">
        <v>1079</v>
      </c>
    </row>
    <row r="2226" spans="1:3" x14ac:dyDescent="0.3">
      <c r="A2226" s="36">
        <v>30715595407</v>
      </c>
      <c r="B2226" t="s">
        <v>1079</v>
      </c>
    </row>
    <row r="2227" spans="1:3" x14ac:dyDescent="0.3">
      <c r="A2227" s="36">
        <v>27211421202</v>
      </c>
      <c r="B2227" t="s">
        <v>1080</v>
      </c>
      <c r="C2227" s="35" t="s">
        <v>81</v>
      </c>
    </row>
    <row r="2228" spans="1:3" x14ac:dyDescent="0.3">
      <c r="A2228" s="36">
        <v>27211421202</v>
      </c>
      <c r="B2228" t="s">
        <v>1080</v>
      </c>
      <c r="C2228" s="35" t="s">
        <v>81</v>
      </c>
    </row>
    <row r="2229" spans="1:3" x14ac:dyDescent="0.3">
      <c r="A2229" s="36">
        <v>25121194</v>
      </c>
      <c r="B2229" t="s">
        <v>1286</v>
      </c>
    </row>
    <row r="2230" spans="1:3" x14ac:dyDescent="0.3">
      <c r="A2230" s="36">
        <v>25121194</v>
      </c>
      <c r="B2230" t="s">
        <v>1286</v>
      </c>
    </row>
    <row r="2231" spans="1:3" x14ac:dyDescent="0.3">
      <c r="A2231" s="36">
        <v>20334416632</v>
      </c>
      <c r="B2231" t="s">
        <v>1389</v>
      </c>
    </row>
    <row r="2232" spans="1:3" x14ac:dyDescent="0.3">
      <c r="A2232" s="36">
        <v>20334416632</v>
      </c>
      <c r="B2232" t="s">
        <v>1389</v>
      </c>
    </row>
    <row r="2233" spans="1:3" x14ac:dyDescent="0.3">
      <c r="A2233" s="36">
        <v>33682919839</v>
      </c>
      <c r="B2233" t="s">
        <v>1081</v>
      </c>
    </row>
    <row r="2234" spans="1:3" x14ac:dyDescent="0.3">
      <c r="A2234" s="36">
        <v>33682919839</v>
      </c>
      <c r="B2234" t="s">
        <v>1081</v>
      </c>
    </row>
    <row r="2235" spans="1:3" x14ac:dyDescent="0.3">
      <c r="A2235" s="36">
        <v>20188505911</v>
      </c>
      <c r="B2235" t="s">
        <v>1082</v>
      </c>
    </row>
    <row r="2236" spans="1:3" x14ac:dyDescent="0.3">
      <c r="A2236" s="36">
        <v>20188505911</v>
      </c>
      <c r="B2236" t="s">
        <v>1082</v>
      </c>
    </row>
    <row r="2237" spans="1:3" x14ac:dyDescent="0.3">
      <c r="A2237" s="36">
        <v>20945931907</v>
      </c>
      <c r="B2237" t="s">
        <v>1083</v>
      </c>
    </row>
    <row r="2238" spans="1:3" x14ac:dyDescent="0.3">
      <c r="A2238" s="36">
        <v>20945931907</v>
      </c>
      <c r="B2238" t="s">
        <v>1083</v>
      </c>
    </row>
    <row r="2239" spans="1:3" x14ac:dyDescent="0.3">
      <c r="A2239" s="36">
        <v>28732994</v>
      </c>
      <c r="B2239" t="s">
        <v>1259</v>
      </c>
    </row>
    <row r="2240" spans="1:3" x14ac:dyDescent="0.3">
      <c r="A2240" s="36">
        <v>28732994</v>
      </c>
      <c r="B2240" t="s">
        <v>1259</v>
      </c>
    </row>
    <row r="2241" spans="1:2" x14ac:dyDescent="0.3">
      <c r="A2241" s="36">
        <v>28732994</v>
      </c>
      <c r="B2241" t="s">
        <v>1259</v>
      </c>
    </row>
    <row r="2242" spans="1:2" x14ac:dyDescent="0.3">
      <c r="A2242" s="36">
        <v>28732994</v>
      </c>
      <c r="B2242" t="s">
        <v>1259</v>
      </c>
    </row>
    <row r="2243" spans="1:2" x14ac:dyDescent="0.3">
      <c r="A2243" s="36">
        <v>29266476</v>
      </c>
      <c r="B2243" t="s">
        <v>1351</v>
      </c>
    </row>
    <row r="2244" spans="1:2" x14ac:dyDescent="0.3">
      <c r="A2244" s="36">
        <v>29266476</v>
      </c>
      <c r="B2244" t="s">
        <v>1351</v>
      </c>
    </row>
    <row r="2245" spans="1:2" x14ac:dyDescent="0.3">
      <c r="A2245" s="36">
        <v>29266476</v>
      </c>
      <c r="B2245" t="s">
        <v>1351</v>
      </c>
    </row>
    <row r="2246" spans="1:2" x14ac:dyDescent="0.3">
      <c r="A2246" s="36">
        <v>29266476</v>
      </c>
      <c r="B2246" t="s">
        <v>1351</v>
      </c>
    </row>
    <row r="2247" spans="1:2" x14ac:dyDescent="0.3">
      <c r="A2247" s="36">
        <v>29266476</v>
      </c>
      <c r="B2247" t="s">
        <v>1351</v>
      </c>
    </row>
    <row r="2248" spans="1:2" x14ac:dyDescent="0.3">
      <c r="A2248" s="36">
        <v>29266476</v>
      </c>
      <c r="B2248" t="s">
        <v>1351</v>
      </c>
    </row>
    <row r="2249" spans="1:2" x14ac:dyDescent="0.3">
      <c r="A2249" s="36">
        <v>20117243533</v>
      </c>
      <c r="B2249" t="s">
        <v>1084</v>
      </c>
    </row>
    <row r="2250" spans="1:2" x14ac:dyDescent="0.3">
      <c r="A2250" s="36">
        <v>20117243533</v>
      </c>
      <c r="B2250" t="s">
        <v>1084</v>
      </c>
    </row>
    <row r="2251" spans="1:2" x14ac:dyDescent="0.3">
      <c r="A2251" s="36">
        <v>20209071550</v>
      </c>
      <c r="B2251" t="s">
        <v>1085</v>
      </c>
    </row>
    <row r="2252" spans="1:2" x14ac:dyDescent="0.3">
      <c r="A2252" s="36">
        <v>20209071550</v>
      </c>
      <c r="B2252" t="s">
        <v>1085</v>
      </c>
    </row>
    <row r="2253" spans="1:2" x14ac:dyDescent="0.3">
      <c r="A2253" s="36">
        <v>27934121088</v>
      </c>
      <c r="B2253" t="s">
        <v>1086</v>
      </c>
    </row>
    <row r="2254" spans="1:2" x14ac:dyDescent="0.3">
      <c r="A2254" s="36">
        <v>27934121088</v>
      </c>
      <c r="B2254" t="s">
        <v>1086</v>
      </c>
    </row>
    <row r="2255" spans="1:2" x14ac:dyDescent="0.3">
      <c r="A2255" s="36">
        <v>20321447997</v>
      </c>
      <c r="B2255" t="s">
        <v>1087</v>
      </c>
    </row>
    <row r="2256" spans="1:2" x14ac:dyDescent="0.3">
      <c r="A2256" s="36">
        <v>20321447997</v>
      </c>
      <c r="B2256" t="s">
        <v>1087</v>
      </c>
    </row>
    <row r="2257" spans="1:3" x14ac:dyDescent="0.3">
      <c r="A2257" s="36">
        <v>18603248</v>
      </c>
      <c r="B2257" t="s">
        <v>1244</v>
      </c>
    </row>
    <row r="2258" spans="1:3" x14ac:dyDescent="0.3">
      <c r="A2258" s="36">
        <v>18603248</v>
      </c>
      <c r="B2258" t="s">
        <v>1244</v>
      </c>
    </row>
    <row r="2259" spans="1:3" x14ac:dyDescent="0.3">
      <c r="A2259" s="36">
        <v>30714429112</v>
      </c>
      <c r="B2259" t="s">
        <v>1088</v>
      </c>
    </row>
    <row r="2260" spans="1:3" x14ac:dyDescent="0.3">
      <c r="A2260" s="36">
        <v>30714429112</v>
      </c>
      <c r="B2260" t="s">
        <v>1088</v>
      </c>
    </row>
    <row r="2261" spans="1:3" x14ac:dyDescent="0.3">
      <c r="A2261" s="36">
        <v>20169401196</v>
      </c>
      <c r="B2261" t="s">
        <v>1089</v>
      </c>
    </row>
    <row r="2262" spans="1:3" x14ac:dyDescent="0.3">
      <c r="A2262" s="36">
        <v>20169401196</v>
      </c>
      <c r="B2262" t="s">
        <v>1089</v>
      </c>
    </row>
    <row r="2263" spans="1:3" x14ac:dyDescent="0.3">
      <c r="A2263" s="36">
        <v>20325226316</v>
      </c>
      <c r="B2263" t="s">
        <v>1090</v>
      </c>
    </row>
    <row r="2264" spans="1:3" x14ac:dyDescent="0.3">
      <c r="A2264" s="36">
        <v>20325226316</v>
      </c>
      <c r="B2264" t="s">
        <v>1090</v>
      </c>
    </row>
    <row r="2265" spans="1:3" x14ac:dyDescent="0.3">
      <c r="A2265" s="36">
        <v>30708648414</v>
      </c>
      <c r="B2265" t="s">
        <v>1091</v>
      </c>
      <c r="C2265" s="35" t="s">
        <v>81</v>
      </c>
    </row>
    <row r="2266" spans="1:3" x14ac:dyDescent="0.3">
      <c r="A2266" s="36">
        <v>30708648414</v>
      </c>
      <c r="B2266" t="s">
        <v>1091</v>
      </c>
      <c r="C2266" s="35" t="s">
        <v>81</v>
      </c>
    </row>
    <row r="2267" spans="1:3" x14ac:dyDescent="0.3">
      <c r="A2267" s="36">
        <v>20137229944</v>
      </c>
      <c r="B2267" t="s">
        <v>1092</v>
      </c>
    </row>
    <row r="2268" spans="1:3" x14ac:dyDescent="0.3">
      <c r="A2268" s="36">
        <v>20137229944</v>
      </c>
      <c r="B2268" t="s">
        <v>1092</v>
      </c>
    </row>
    <row r="2269" spans="1:3" x14ac:dyDescent="0.3">
      <c r="A2269" s="36">
        <v>30715609807</v>
      </c>
      <c r="B2269" t="s">
        <v>1093</v>
      </c>
      <c r="C2269" s="35" t="s">
        <v>81</v>
      </c>
    </row>
    <row r="2270" spans="1:3" x14ac:dyDescent="0.3">
      <c r="A2270" s="36">
        <v>30715609807</v>
      </c>
      <c r="B2270" t="s">
        <v>1093</v>
      </c>
      <c r="C2270" s="35" t="s">
        <v>81</v>
      </c>
    </row>
    <row r="2271" spans="1:3" x14ac:dyDescent="0.3">
      <c r="A2271" s="36">
        <v>23112144064</v>
      </c>
      <c r="B2271" t="s">
        <v>1094</v>
      </c>
    </row>
    <row r="2272" spans="1:3" x14ac:dyDescent="0.3">
      <c r="A2272" s="36">
        <v>23112144064</v>
      </c>
      <c r="B2272" t="s">
        <v>1094</v>
      </c>
    </row>
    <row r="2273" spans="1:3" x14ac:dyDescent="0.3">
      <c r="A2273" s="36">
        <v>20250206284</v>
      </c>
      <c r="B2273" t="s">
        <v>1095</v>
      </c>
    </row>
    <row r="2274" spans="1:3" x14ac:dyDescent="0.3">
      <c r="A2274" s="36">
        <v>20250206284</v>
      </c>
      <c r="B2274" t="s">
        <v>1095</v>
      </c>
    </row>
    <row r="2275" spans="1:3" x14ac:dyDescent="0.3">
      <c r="A2275" s="36">
        <v>94318201</v>
      </c>
      <c r="B2275" t="s">
        <v>1288</v>
      </c>
    </row>
    <row r="2276" spans="1:3" x14ac:dyDescent="0.3">
      <c r="A2276" s="36">
        <v>94318201</v>
      </c>
      <c r="B2276" t="s">
        <v>1288</v>
      </c>
    </row>
    <row r="2277" spans="1:3" x14ac:dyDescent="0.3">
      <c r="A2277" s="36">
        <v>27160098746</v>
      </c>
      <c r="B2277" t="s">
        <v>1096</v>
      </c>
    </row>
    <row r="2278" spans="1:3" x14ac:dyDescent="0.3">
      <c r="A2278" s="36">
        <v>27160098746</v>
      </c>
      <c r="B2278" t="s">
        <v>1096</v>
      </c>
    </row>
    <row r="2279" spans="1:3" x14ac:dyDescent="0.3">
      <c r="A2279" s="36">
        <v>30680297408</v>
      </c>
      <c r="B2279" t="s">
        <v>1097</v>
      </c>
      <c r="C2279" s="35" t="s">
        <v>81</v>
      </c>
    </row>
    <row r="2280" spans="1:3" x14ac:dyDescent="0.3">
      <c r="A2280" s="36">
        <v>30680297408</v>
      </c>
      <c r="B2280" t="s">
        <v>1097</v>
      </c>
      <c r="C2280" s="35" t="s">
        <v>81</v>
      </c>
    </row>
    <row r="2281" spans="1:3" x14ac:dyDescent="0.3">
      <c r="A2281" s="36">
        <v>20225501190</v>
      </c>
      <c r="B2281" t="s">
        <v>1098</v>
      </c>
    </row>
    <row r="2282" spans="1:3" x14ac:dyDescent="0.3">
      <c r="A2282" s="36">
        <v>20225501190</v>
      </c>
      <c r="B2282" t="s">
        <v>1098</v>
      </c>
    </row>
    <row r="2283" spans="1:3" x14ac:dyDescent="0.3">
      <c r="A2283" s="36">
        <v>20165292929</v>
      </c>
      <c r="B2283" t="s">
        <v>1099</v>
      </c>
      <c r="C2283" s="35" t="s">
        <v>81</v>
      </c>
    </row>
    <row r="2284" spans="1:3" x14ac:dyDescent="0.3">
      <c r="A2284" s="36">
        <v>20165292929</v>
      </c>
      <c r="B2284" t="s">
        <v>1099</v>
      </c>
      <c r="C2284" s="35" t="s">
        <v>81</v>
      </c>
    </row>
    <row r="2285" spans="1:3" x14ac:dyDescent="0.3">
      <c r="A2285" s="36">
        <v>23787603</v>
      </c>
      <c r="B2285" t="s">
        <v>1300</v>
      </c>
    </row>
    <row r="2286" spans="1:3" x14ac:dyDescent="0.3">
      <c r="A2286" s="36">
        <v>23787603</v>
      </c>
      <c r="B2286" t="s">
        <v>1300</v>
      </c>
    </row>
    <row r="2287" spans="1:3" x14ac:dyDescent="0.3">
      <c r="A2287" s="36">
        <v>23787603</v>
      </c>
      <c r="B2287" t="s">
        <v>1300</v>
      </c>
    </row>
    <row r="2288" spans="1:3" x14ac:dyDescent="0.3">
      <c r="A2288" s="36">
        <v>23787603</v>
      </c>
      <c r="B2288" t="s">
        <v>1300</v>
      </c>
    </row>
    <row r="2289" spans="1:2" x14ac:dyDescent="0.3">
      <c r="A2289" s="36">
        <v>23787603</v>
      </c>
      <c r="B2289" t="s">
        <v>1300</v>
      </c>
    </row>
    <row r="2290" spans="1:2" x14ac:dyDescent="0.3">
      <c r="A2290" s="36">
        <v>23787603</v>
      </c>
      <c r="B2290" t="s">
        <v>1300</v>
      </c>
    </row>
    <row r="2291" spans="1:2" x14ac:dyDescent="0.3">
      <c r="A2291" s="36">
        <v>32758476</v>
      </c>
      <c r="B2291" t="s">
        <v>1313</v>
      </c>
    </row>
    <row r="2292" spans="1:2" x14ac:dyDescent="0.3">
      <c r="A2292" s="36">
        <v>32758476</v>
      </c>
      <c r="B2292" t="s">
        <v>1313</v>
      </c>
    </row>
    <row r="2293" spans="1:2" x14ac:dyDescent="0.3">
      <c r="A2293" s="36">
        <v>30715581562</v>
      </c>
      <c r="B2293" t="s">
        <v>1100</v>
      </c>
    </row>
    <row r="2294" spans="1:2" x14ac:dyDescent="0.3">
      <c r="A2294" s="36">
        <v>30715581562</v>
      </c>
      <c r="B2294" t="s">
        <v>1100</v>
      </c>
    </row>
    <row r="2295" spans="1:2" x14ac:dyDescent="0.3">
      <c r="A2295" s="36">
        <v>30687182959</v>
      </c>
      <c r="B2295" t="s">
        <v>1101</v>
      </c>
    </row>
    <row r="2296" spans="1:2" x14ac:dyDescent="0.3">
      <c r="A2296" s="36">
        <v>30687182959</v>
      </c>
      <c r="B2296" t="s">
        <v>1101</v>
      </c>
    </row>
    <row r="2297" spans="1:2" x14ac:dyDescent="0.3">
      <c r="A2297" s="36">
        <v>30712121714</v>
      </c>
      <c r="B2297" t="s">
        <v>1102</v>
      </c>
    </row>
    <row r="2298" spans="1:2" x14ac:dyDescent="0.3">
      <c r="A2298" s="36">
        <v>30712121714</v>
      </c>
      <c r="B2298" t="s">
        <v>1102</v>
      </c>
    </row>
    <row r="2299" spans="1:2" x14ac:dyDescent="0.3">
      <c r="A2299" s="36">
        <v>30715811622</v>
      </c>
      <c r="B2299" t="s">
        <v>1571</v>
      </c>
    </row>
    <row r="2300" spans="1:2" x14ac:dyDescent="0.3">
      <c r="A2300" s="36">
        <v>30715279335</v>
      </c>
      <c r="B2300" t="s">
        <v>1572</v>
      </c>
    </row>
    <row r="2301" spans="1:2" x14ac:dyDescent="0.3">
      <c r="A2301" s="36">
        <v>30714995002</v>
      </c>
      <c r="B2301" t="s">
        <v>1103</v>
      </c>
    </row>
    <row r="2302" spans="1:2" x14ac:dyDescent="0.3">
      <c r="A2302" s="36">
        <v>30714995002</v>
      </c>
      <c r="B2302" t="s">
        <v>1103</v>
      </c>
    </row>
    <row r="2303" spans="1:2" x14ac:dyDescent="0.3">
      <c r="A2303" s="36">
        <v>30714867349</v>
      </c>
      <c r="B2303" t="s">
        <v>1458</v>
      </c>
    </row>
    <row r="2304" spans="1:2" x14ac:dyDescent="0.3">
      <c r="A2304" s="36">
        <v>30714867349</v>
      </c>
      <c r="B2304" t="s">
        <v>1458</v>
      </c>
    </row>
    <row r="2305" spans="1:3" x14ac:dyDescent="0.3">
      <c r="A2305" s="36">
        <v>20231247239</v>
      </c>
      <c r="B2305" t="s">
        <v>1104</v>
      </c>
      <c r="C2305" s="35" t="s">
        <v>81</v>
      </c>
    </row>
    <row r="2306" spans="1:3" x14ac:dyDescent="0.3">
      <c r="A2306" s="36">
        <v>20231247239</v>
      </c>
      <c r="B2306" t="s">
        <v>1104</v>
      </c>
      <c r="C2306" s="35" t="s">
        <v>81</v>
      </c>
    </row>
    <row r="2307" spans="1:3" x14ac:dyDescent="0.3">
      <c r="A2307" s="36">
        <v>20215878822</v>
      </c>
      <c r="B2307" t="s">
        <v>1105</v>
      </c>
    </row>
    <row r="2308" spans="1:3" x14ac:dyDescent="0.3">
      <c r="A2308" s="36">
        <v>20215878822</v>
      </c>
      <c r="B2308" t="s">
        <v>1105</v>
      </c>
    </row>
    <row r="2309" spans="1:3" x14ac:dyDescent="0.3">
      <c r="A2309" s="36">
        <v>33709309159</v>
      </c>
      <c r="B2309" t="s">
        <v>1106</v>
      </c>
    </row>
    <row r="2310" spans="1:3" x14ac:dyDescent="0.3">
      <c r="A2310" s="36">
        <v>33709309159</v>
      </c>
      <c r="B2310" t="s">
        <v>1106</v>
      </c>
    </row>
    <row r="2311" spans="1:3" x14ac:dyDescent="0.3">
      <c r="A2311" s="36">
        <v>30711499500</v>
      </c>
      <c r="B2311" t="s">
        <v>1107</v>
      </c>
    </row>
    <row r="2312" spans="1:3" x14ac:dyDescent="0.3">
      <c r="A2312" s="36">
        <v>30711499500</v>
      </c>
      <c r="B2312" t="s">
        <v>1107</v>
      </c>
    </row>
    <row r="2313" spans="1:3" x14ac:dyDescent="0.3">
      <c r="A2313" s="36">
        <v>20202493751</v>
      </c>
      <c r="B2313" t="s">
        <v>1108</v>
      </c>
    </row>
    <row r="2314" spans="1:3" x14ac:dyDescent="0.3">
      <c r="A2314" s="36">
        <v>20202493751</v>
      </c>
      <c r="B2314" t="s">
        <v>1108</v>
      </c>
    </row>
    <row r="2315" spans="1:3" x14ac:dyDescent="0.3">
      <c r="A2315" s="36">
        <v>30715877453</v>
      </c>
      <c r="B2315" t="s">
        <v>1109</v>
      </c>
    </row>
    <row r="2316" spans="1:3" x14ac:dyDescent="0.3">
      <c r="A2316" s="36">
        <v>30715877453</v>
      </c>
      <c r="B2316" t="s">
        <v>1109</v>
      </c>
    </row>
    <row r="2317" spans="1:3" x14ac:dyDescent="0.3">
      <c r="A2317" s="36">
        <v>30715987437</v>
      </c>
      <c r="B2317" t="s">
        <v>1110</v>
      </c>
    </row>
    <row r="2318" spans="1:3" x14ac:dyDescent="0.3">
      <c r="A2318" s="36">
        <v>30715987437</v>
      </c>
      <c r="B2318" t="s">
        <v>1110</v>
      </c>
    </row>
    <row r="2319" spans="1:3" x14ac:dyDescent="0.3">
      <c r="A2319" s="36">
        <v>30712383603</v>
      </c>
      <c r="B2319" t="s">
        <v>1111</v>
      </c>
    </row>
    <row r="2320" spans="1:3" x14ac:dyDescent="0.3">
      <c r="A2320" s="36">
        <v>30712383603</v>
      </c>
      <c r="B2320" t="s">
        <v>1111</v>
      </c>
    </row>
    <row r="2321" spans="1:3" x14ac:dyDescent="0.3">
      <c r="A2321" s="36">
        <v>30585558733</v>
      </c>
      <c r="B2321" t="s">
        <v>1112</v>
      </c>
      <c r="C2321" s="35" t="s">
        <v>81</v>
      </c>
    </row>
    <row r="2322" spans="1:3" x14ac:dyDescent="0.3">
      <c r="A2322" s="36">
        <v>30585558733</v>
      </c>
      <c r="B2322" t="s">
        <v>1112</v>
      </c>
      <c r="C2322" s="35" t="s">
        <v>81</v>
      </c>
    </row>
    <row r="2323" spans="1:3" x14ac:dyDescent="0.3">
      <c r="A2323" s="36">
        <v>20202020527</v>
      </c>
      <c r="B2323" t="s">
        <v>1113</v>
      </c>
    </row>
    <row r="2324" spans="1:3" x14ac:dyDescent="0.3">
      <c r="A2324" s="36">
        <v>20202020527</v>
      </c>
      <c r="B2324" t="s">
        <v>1113</v>
      </c>
    </row>
    <row r="2325" spans="1:3" x14ac:dyDescent="0.3">
      <c r="A2325" s="36">
        <v>30712148191</v>
      </c>
      <c r="B2325" t="s">
        <v>1114</v>
      </c>
    </row>
    <row r="2326" spans="1:3" x14ac:dyDescent="0.3">
      <c r="A2326" s="36">
        <v>30712148191</v>
      </c>
      <c r="B2326" t="s">
        <v>1114</v>
      </c>
    </row>
    <row r="2327" spans="1:3" x14ac:dyDescent="0.3">
      <c r="A2327" s="36">
        <v>30688410890</v>
      </c>
      <c r="B2327" t="s">
        <v>1115</v>
      </c>
    </row>
    <row r="2328" spans="1:3" x14ac:dyDescent="0.3">
      <c r="A2328" s="36">
        <v>30688410890</v>
      </c>
      <c r="B2328" t="s">
        <v>1115</v>
      </c>
    </row>
    <row r="2329" spans="1:3" x14ac:dyDescent="0.3">
      <c r="A2329" s="36">
        <v>20940173575</v>
      </c>
      <c r="B2329" t="s">
        <v>1578</v>
      </c>
      <c r="C2329" s="35" t="s">
        <v>79</v>
      </c>
    </row>
    <row r="2330" spans="1:3" x14ac:dyDescent="0.3">
      <c r="A2330" s="36">
        <v>30578204713</v>
      </c>
      <c r="B2330" t="s">
        <v>1116</v>
      </c>
      <c r="C2330" s="35" t="s">
        <v>81</v>
      </c>
    </row>
    <row r="2331" spans="1:3" x14ac:dyDescent="0.3">
      <c r="A2331" s="36">
        <v>30578204713</v>
      </c>
      <c r="B2331" t="s">
        <v>1116</v>
      </c>
      <c r="C2331" s="35" t="s">
        <v>81</v>
      </c>
    </row>
    <row r="2332" spans="1:3" x14ac:dyDescent="0.3">
      <c r="A2332" s="36">
        <v>30695243673</v>
      </c>
      <c r="B2332" t="s">
        <v>1117</v>
      </c>
    </row>
    <row r="2333" spans="1:3" x14ac:dyDescent="0.3">
      <c r="A2333" s="36">
        <v>30695243673</v>
      </c>
      <c r="B2333" t="s">
        <v>1117</v>
      </c>
    </row>
    <row r="2334" spans="1:3" x14ac:dyDescent="0.3">
      <c r="A2334" s="36">
        <v>30707796851</v>
      </c>
      <c r="B2334" t="s">
        <v>1118</v>
      </c>
    </row>
    <row r="2335" spans="1:3" x14ac:dyDescent="0.3">
      <c r="A2335" s="36">
        <v>30707796851</v>
      </c>
      <c r="B2335" t="s">
        <v>1118</v>
      </c>
    </row>
    <row r="2336" spans="1:3" x14ac:dyDescent="0.3">
      <c r="A2336" s="36">
        <v>27209731814</v>
      </c>
      <c r="B2336" t="s">
        <v>1119</v>
      </c>
    </row>
    <row r="2337" spans="1:3" x14ac:dyDescent="0.3">
      <c r="A2337" s="36">
        <v>27209731814</v>
      </c>
      <c r="B2337" t="s">
        <v>1119</v>
      </c>
    </row>
    <row r="2338" spans="1:3" x14ac:dyDescent="0.3">
      <c r="A2338" s="36">
        <v>30707512454</v>
      </c>
      <c r="B2338" t="s">
        <v>1120</v>
      </c>
      <c r="C2338" s="35" t="s">
        <v>81</v>
      </c>
    </row>
    <row r="2339" spans="1:3" x14ac:dyDescent="0.3">
      <c r="A2339" s="36">
        <v>30707512454</v>
      </c>
      <c r="B2339" t="s">
        <v>1120</v>
      </c>
      <c r="C2339" s="35" t="s">
        <v>81</v>
      </c>
    </row>
    <row r="2340" spans="1:3" x14ac:dyDescent="0.3">
      <c r="A2340" s="36">
        <v>30546689979</v>
      </c>
      <c r="B2340" t="s">
        <v>1121</v>
      </c>
      <c r="C2340" s="35" t="s">
        <v>84</v>
      </c>
    </row>
    <row r="2341" spans="1:3" x14ac:dyDescent="0.3">
      <c r="A2341" s="36">
        <v>30546689979</v>
      </c>
      <c r="B2341" t="s">
        <v>1121</v>
      </c>
      <c r="C2341" s="35" t="s">
        <v>84</v>
      </c>
    </row>
    <row r="2342" spans="1:3" x14ac:dyDescent="0.3">
      <c r="A2342" s="36">
        <v>27325577539</v>
      </c>
      <c r="B2342" t="s">
        <v>1122</v>
      </c>
    </row>
    <row r="2343" spans="1:3" x14ac:dyDescent="0.3">
      <c r="A2343" s="36">
        <v>27325577539</v>
      </c>
      <c r="B2343" t="s">
        <v>1122</v>
      </c>
    </row>
    <row r="2344" spans="1:3" x14ac:dyDescent="0.3">
      <c r="A2344" s="36">
        <v>20179571235</v>
      </c>
      <c r="B2344" t="s">
        <v>1123</v>
      </c>
    </row>
    <row r="2345" spans="1:3" x14ac:dyDescent="0.3">
      <c r="A2345" s="36">
        <v>20179571235</v>
      </c>
      <c r="B2345" t="s">
        <v>1123</v>
      </c>
    </row>
    <row r="2346" spans="1:3" x14ac:dyDescent="0.3">
      <c r="A2346" s="36">
        <v>20238054592</v>
      </c>
      <c r="B2346" t="s">
        <v>1124</v>
      </c>
    </row>
    <row r="2347" spans="1:3" x14ac:dyDescent="0.3">
      <c r="A2347" s="36">
        <v>20238054592</v>
      </c>
      <c r="B2347" t="s">
        <v>1124</v>
      </c>
    </row>
    <row r="2348" spans="1:3" x14ac:dyDescent="0.3">
      <c r="A2348" s="36">
        <v>27135545436</v>
      </c>
      <c r="B2348" t="s">
        <v>1125</v>
      </c>
      <c r="C2348" s="35" t="s">
        <v>83</v>
      </c>
    </row>
    <row r="2349" spans="1:3" x14ac:dyDescent="0.3">
      <c r="A2349" s="36">
        <v>27135545436</v>
      </c>
      <c r="B2349" t="s">
        <v>1125</v>
      </c>
      <c r="C2349" s="35" t="s">
        <v>83</v>
      </c>
    </row>
    <row r="2350" spans="1:3" x14ac:dyDescent="0.3">
      <c r="A2350" s="36">
        <v>27242128252</v>
      </c>
      <c r="B2350" t="s">
        <v>1498</v>
      </c>
    </row>
    <row r="2351" spans="1:3" x14ac:dyDescent="0.3">
      <c r="A2351" s="36">
        <v>27055704444</v>
      </c>
      <c r="B2351" t="s">
        <v>1126</v>
      </c>
    </row>
    <row r="2352" spans="1:3" x14ac:dyDescent="0.3">
      <c r="A2352" s="36">
        <v>27055704444</v>
      </c>
      <c r="B2352" t="s">
        <v>1126</v>
      </c>
    </row>
    <row r="2353" spans="1:4" x14ac:dyDescent="0.3">
      <c r="A2353" s="36">
        <v>30712352341</v>
      </c>
      <c r="B2353" t="s">
        <v>1127</v>
      </c>
    </row>
    <row r="2354" spans="1:4" x14ac:dyDescent="0.3">
      <c r="A2354" s="36">
        <v>30712352341</v>
      </c>
      <c r="B2354" t="s">
        <v>1127</v>
      </c>
    </row>
    <row r="2355" spans="1:4" x14ac:dyDescent="0.3">
      <c r="A2355" s="36">
        <v>30716247054</v>
      </c>
      <c r="B2355" t="s">
        <v>1128</v>
      </c>
    </row>
    <row r="2356" spans="1:4" x14ac:dyDescent="0.3">
      <c r="A2356" s="36">
        <v>30716247054</v>
      </c>
      <c r="B2356" t="s">
        <v>1128</v>
      </c>
    </row>
    <row r="2357" spans="1:4" x14ac:dyDescent="0.3">
      <c r="A2357" s="36">
        <v>20187987335</v>
      </c>
      <c r="B2357" t="s">
        <v>1129</v>
      </c>
    </row>
    <row r="2358" spans="1:4" x14ac:dyDescent="0.3">
      <c r="A2358" s="36">
        <v>20187987335</v>
      </c>
      <c r="B2358" t="s">
        <v>1129</v>
      </c>
    </row>
    <row r="2359" spans="1:4" x14ac:dyDescent="0.3">
      <c r="A2359" s="36">
        <v>20266613866</v>
      </c>
      <c r="B2359" t="s">
        <v>1533</v>
      </c>
    </row>
    <row r="2360" spans="1:4" x14ac:dyDescent="0.3">
      <c r="A2360" s="36">
        <v>30710573308</v>
      </c>
      <c r="B2360" s="2" t="s">
        <v>1584</v>
      </c>
      <c r="C2360" s="35" t="s">
        <v>1585</v>
      </c>
    </row>
    <row r="2361" spans="1:4" x14ac:dyDescent="0.3">
      <c r="A2361" s="36">
        <v>30712049886</v>
      </c>
      <c r="B2361" t="s">
        <v>1586</v>
      </c>
      <c r="C2361" s="35" t="s">
        <v>79</v>
      </c>
    </row>
    <row r="2362" spans="1:4" x14ac:dyDescent="0.3">
      <c r="A2362" s="36">
        <v>30713387009</v>
      </c>
      <c r="B2362" t="s">
        <v>1587</v>
      </c>
      <c r="C2362" s="35" t="s">
        <v>1585</v>
      </c>
    </row>
    <row r="2363" spans="1:4" x14ac:dyDescent="0.3">
      <c r="A2363" s="36">
        <v>23238508789</v>
      </c>
      <c r="B2363" t="s">
        <v>1588</v>
      </c>
      <c r="C2363" s="35" t="s">
        <v>1585</v>
      </c>
    </row>
    <row r="2364" spans="1:4" x14ac:dyDescent="0.3">
      <c r="A2364" s="36">
        <v>30628212437</v>
      </c>
      <c r="B2364" t="s">
        <v>1589</v>
      </c>
      <c r="C2364" s="35" t="s">
        <v>79</v>
      </c>
    </row>
    <row r="2365" spans="1:4" x14ac:dyDescent="0.3">
      <c r="A2365" s="36">
        <v>30714930490</v>
      </c>
      <c r="B2365" t="s">
        <v>1590</v>
      </c>
      <c r="C2365" s="35" t="s">
        <v>1585</v>
      </c>
    </row>
    <row r="2366" spans="1:4" x14ac:dyDescent="0.3">
      <c r="A2366" s="36">
        <v>30658022349</v>
      </c>
      <c r="B2366" t="s">
        <v>1592</v>
      </c>
      <c r="C2366" s="35" t="s">
        <v>79</v>
      </c>
    </row>
    <row r="2367" spans="1:4" x14ac:dyDescent="0.3">
      <c r="A2367" s="36">
        <v>30717024393</v>
      </c>
      <c r="B2367" t="s">
        <v>1593</v>
      </c>
      <c r="C2367" s="35" t="s">
        <v>79</v>
      </c>
    </row>
    <row r="2368" spans="1:4" x14ac:dyDescent="0.3">
      <c r="A2368" s="36">
        <v>20206480409</v>
      </c>
      <c r="B2368" t="s">
        <v>1594</v>
      </c>
      <c r="C2368" s="35" t="s">
        <v>79</v>
      </c>
      <c r="D2368" t="s">
        <v>1779</v>
      </c>
    </row>
    <row r="2369" spans="1:3" x14ac:dyDescent="0.3">
      <c r="A2369" s="36">
        <v>30708613335</v>
      </c>
      <c r="B2369" t="s">
        <v>1595</v>
      </c>
      <c r="C2369" s="35" t="s">
        <v>84</v>
      </c>
    </row>
    <row r="2370" spans="1:3" x14ac:dyDescent="0.3">
      <c r="A2370" s="36">
        <v>20298547822</v>
      </c>
      <c r="B2370" t="s">
        <v>1596</v>
      </c>
      <c r="C2370" s="35" t="s">
        <v>1585</v>
      </c>
    </row>
    <row r="2371" spans="1:3" x14ac:dyDescent="0.3">
      <c r="A2371" s="36" t="s">
        <v>1741</v>
      </c>
      <c r="B2371" t="s">
        <v>1601</v>
      </c>
      <c r="C2371" s="35" t="s">
        <v>81</v>
      </c>
    </row>
    <row r="2372" spans="1:3" x14ac:dyDescent="0.3">
      <c r="A2372" s="36">
        <v>33715137289</v>
      </c>
      <c r="B2372" t="s">
        <v>1602</v>
      </c>
    </row>
    <row r="2373" spans="1:3" x14ac:dyDescent="0.3">
      <c r="A2373" s="36">
        <v>30541213860</v>
      </c>
      <c r="B2373" t="s">
        <v>1503</v>
      </c>
    </row>
    <row r="2374" spans="1:3" x14ac:dyDescent="0.3">
      <c r="A2374" s="36">
        <v>30711701504</v>
      </c>
      <c r="B2374" t="s">
        <v>1603</v>
      </c>
    </row>
    <row r="2375" spans="1:3" x14ac:dyDescent="0.3">
      <c r="A2375" s="36">
        <v>30708994924</v>
      </c>
      <c r="B2375" t="s">
        <v>1197</v>
      </c>
    </row>
    <row r="2376" spans="1:3" x14ac:dyDescent="0.3">
      <c r="A2376" s="36">
        <v>20223632719</v>
      </c>
      <c r="B2376" t="s">
        <v>1485</v>
      </c>
    </row>
    <row r="2377" spans="1:3" x14ac:dyDescent="0.3">
      <c r="A2377" s="36">
        <v>27277172874</v>
      </c>
      <c r="B2377" t="s">
        <v>1487</v>
      </c>
    </row>
    <row r="2378" spans="1:3" x14ac:dyDescent="0.3">
      <c r="A2378" s="36">
        <v>27280796552</v>
      </c>
      <c r="B2378" t="s">
        <v>1604</v>
      </c>
    </row>
    <row r="2379" spans="1:3" x14ac:dyDescent="0.3">
      <c r="A2379" s="36">
        <v>23223553184</v>
      </c>
      <c r="B2379" t="s">
        <v>1605</v>
      </c>
    </row>
    <row r="2380" spans="1:3" x14ac:dyDescent="0.3">
      <c r="A2380" s="36">
        <v>30716138018</v>
      </c>
      <c r="B2380" t="s">
        <v>1606</v>
      </c>
    </row>
    <row r="2381" spans="1:3" x14ac:dyDescent="0.3">
      <c r="A2381" s="36">
        <v>27223495317</v>
      </c>
      <c r="B2381" t="s">
        <v>1491</v>
      </c>
    </row>
    <row r="2382" spans="1:3" x14ac:dyDescent="0.3">
      <c r="A2382" s="36">
        <v>27175380146</v>
      </c>
      <c r="B2382" t="s">
        <v>1480</v>
      </c>
    </row>
    <row r="2383" spans="1:3" x14ac:dyDescent="0.3">
      <c r="A2383" s="36">
        <v>30715629336</v>
      </c>
      <c r="B2383" t="s">
        <v>1607</v>
      </c>
    </row>
    <row r="2384" spans="1:3" x14ac:dyDescent="0.3">
      <c r="A2384" s="36">
        <v>20120844386</v>
      </c>
      <c r="B2384" t="s">
        <v>1512</v>
      </c>
    </row>
    <row r="2385" spans="1:2" x14ac:dyDescent="0.3">
      <c r="A2385" s="36">
        <v>27175380146</v>
      </c>
      <c r="B2385" t="s">
        <v>1480</v>
      </c>
    </row>
    <row r="2386" spans="1:2" x14ac:dyDescent="0.3">
      <c r="A2386" s="36">
        <v>30714387797</v>
      </c>
      <c r="B2386" t="s">
        <v>1608</v>
      </c>
    </row>
    <row r="2387" spans="1:2" x14ac:dyDescent="0.3">
      <c r="A2387" s="36">
        <v>27141689296</v>
      </c>
      <c r="B2387" t="s">
        <v>1464</v>
      </c>
    </row>
    <row r="2388" spans="1:2" x14ac:dyDescent="0.3">
      <c r="A2388" s="36">
        <v>30708907142</v>
      </c>
      <c r="B2388" t="s">
        <v>1609</v>
      </c>
    </row>
    <row r="2389" spans="1:2" x14ac:dyDescent="0.3">
      <c r="A2389" s="36">
        <v>27126678768</v>
      </c>
      <c r="B2389" t="s">
        <v>1610</v>
      </c>
    </row>
    <row r="2390" spans="1:2" x14ac:dyDescent="0.3">
      <c r="A2390" s="36">
        <v>27234905924</v>
      </c>
      <c r="B2390" t="s">
        <v>1488</v>
      </c>
    </row>
    <row r="2391" spans="1:2" x14ac:dyDescent="0.3">
      <c r="A2391" s="36">
        <v>27258239577</v>
      </c>
      <c r="B2391" t="s">
        <v>1611</v>
      </c>
    </row>
    <row r="2392" spans="1:2" x14ac:dyDescent="0.3">
      <c r="A2392" s="36">
        <v>23357502209</v>
      </c>
      <c r="B2392" t="s">
        <v>1489</v>
      </c>
    </row>
    <row r="2393" spans="1:2" x14ac:dyDescent="0.3">
      <c r="A2393" s="36">
        <v>23357502209</v>
      </c>
      <c r="B2393" t="s">
        <v>1489</v>
      </c>
    </row>
    <row r="2394" spans="1:2" x14ac:dyDescent="0.3">
      <c r="A2394" s="36">
        <v>20936447113</v>
      </c>
      <c r="B2394" t="s">
        <v>1612</v>
      </c>
    </row>
    <row r="2395" spans="1:2" x14ac:dyDescent="0.3">
      <c r="A2395" s="36">
        <v>27280796552</v>
      </c>
      <c r="B2395" t="s">
        <v>1604</v>
      </c>
    </row>
    <row r="2396" spans="1:2" x14ac:dyDescent="0.3">
      <c r="A2396" s="36">
        <v>27175380146</v>
      </c>
      <c r="B2396" t="s">
        <v>1480</v>
      </c>
    </row>
    <row r="2397" spans="1:2" x14ac:dyDescent="0.3">
      <c r="A2397" s="36">
        <v>27161298285</v>
      </c>
      <c r="B2397" t="s">
        <v>1478</v>
      </c>
    </row>
    <row r="2398" spans="1:2" x14ac:dyDescent="0.3">
      <c r="A2398" s="36">
        <v>20045590047</v>
      </c>
      <c r="B2398" t="s">
        <v>1613</v>
      </c>
    </row>
    <row r="2399" spans="1:2" x14ac:dyDescent="0.3">
      <c r="A2399" s="36">
        <v>30712104550</v>
      </c>
      <c r="B2399" t="s">
        <v>1196</v>
      </c>
    </row>
    <row r="2400" spans="1:2" x14ac:dyDescent="0.3">
      <c r="A2400" s="36">
        <v>30712104550</v>
      </c>
      <c r="B2400" t="s">
        <v>1196</v>
      </c>
    </row>
    <row r="2401" spans="1:2" x14ac:dyDescent="0.3">
      <c r="A2401" s="36">
        <v>30712104550</v>
      </c>
      <c r="B2401" t="s">
        <v>1196</v>
      </c>
    </row>
    <row r="2402" spans="1:2" x14ac:dyDescent="0.3">
      <c r="A2402" s="36">
        <v>30712104550</v>
      </c>
      <c r="B2402" t="s">
        <v>1196</v>
      </c>
    </row>
    <row r="2403" spans="1:2" x14ac:dyDescent="0.3">
      <c r="A2403" s="36">
        <v>30712104550</v>
      </c>
      <c r="B2403" t="s">
        <v>1196</v>
      </c>
    </row>
    <row r="2404" spans="1:2" x14ac:dyDescent="0.3">
      <c r="A2404" s="36">
        <v>30592032909</v>
      </c>
      <c r="B2404" t="s">
        <v>1614</v>
      </c>
    </row>
    <row r="2405" spans="1:2" x14ac:dyDescent="0.3">
      <c r="A2405" s="36">
        <v>27394920423</v>
      </c>
      <c r="B2405" t="s">
        <v>1615</v>
      </c>
    </row>
    <row r="2406" spans="1:2" x14ac:dyDescent="0.3">
      <c r="A2406" s="36">
        <v>30716124009</v>
      </c>
      <c r="B2406" t="s">
        <v>1616</v>
      </c>
    </row>
    <row r="2407" spans="1:2" x14ac:dyDescent="0.3">
      <c r="A2407" s="36">
        <v>20234861973</v>
      </c>
      <c r="B2407" t="s">
        <v>1617</v>
      </c>
    </row>
    <row r="2408" spans="1:2" x14ac:dyDescent="0.3">
      <c r="A2408" s="36">
        <v>27141689296</v>
      </c>
      <c r="B2408" t="s">
        <v>1464</v>
      </c>
    </row>
    <row r="2409" spans="1:2" x14ac:dyDescent="0.3">
      <c r="A2409" s="36">
        <v>27394920423</v>
      </c>
      <c r="B2409" t="s">
        <v>1615</v>
      </c>
    </row>
    <row r="2410" spans="1:2" x14ac:dyDescent="0.3">
      <c r="A2410" s="36">
        <v>33711346959</v>
      </c>
      <c r="B2410" t="s">
        <v>1618</v>
      </c>
    </row>
    <row r="2411" spans="1:2" x14ac:dyDescent="0.3">
      <c r="A2411" s="36">
        <v>30715705946</v>
      </c>
      <c r="B2411" t="s">
        <v>1513</v>
      </c>
    </row>
    <row r="2412" spans="1:2" x14ac:dyDescent="0.3">
      <c r="A2412" s="36">
        <v>20223632719</v>
      </c>
      <c r="B2412" t="s">
        <v>1485</v>
      </c>
    </row>
    <row r="2413" spans="1:2" x14ac:dyDescent="0.3">
      <c r="A2413" s="36">
        <v>23269528214</v>
      </c>
      <c r="B2413" t="s">
        <v>1619</v>
      </c>
    </row>
    <row r="2414" spans="1:2" x14ac:dyDescent="0.3">
      <c r="A2414" s="36">
        <v>20223632719</v>
      </c>
      <c r="B2414" t="s">
        <v>1485</v>
      </c>
    </row>
    <row r="2415" spans="1:2" x14ac:dyDescent="0.3">
      <c r="A2415" s="36">
        <v>30709689505</v>
      </c>
      <c r="B2415" t="s">
        <v>1620</v>
      </c>
    </row>
    <row r="2416" spans="1:2" x14ac:dyDescent="0.3">
      <c r="A2416" s="36">
        <v>30715119443</v>
      </c>
      <c r="B2416" t="s">
        <v>1509</v>
      </c>
    </row>
    <row r="2417" spans="1:2" x14ac:dyDescent="0.3">
      <c r="A2417" s="36">
        <v>30717855082</v>
      </c>
      <c r="B2417" t="s">
        <v>1621</v>
      </c>
    </row>
    <row r="2418" spans="1:2" x14ac:dyDescent="0.3">
      <c r="A2418" s="36">
        <v>23269528214</v>
      </c>
      <c r="B2418" t="s">
        <v>1619</v>
      </c>
    </row>
    <row r="2419" spans="1:2" x14ac:dyDescent="0.3">
      <c r="A2419" s="36">
        <v>30717390942</v>
      </c>
      <c r="B2419" t="s">
        <v>1622</v>
      </c>
    </row>
    <row r="2420" spans="1:2" x14ac:dyDescent="0.3">
      <c r="A2420" s="36">
        <v>27327364567</v>
      </c>
      <c r="B2420" t="s">
        <v>1623</v>
      </c>
    </row>
    <row r="2421" spans="1:2" x14ac:dyDescent="0.3">
      <c r="A2421" s="36">
        <v>30708655410</v>
      </c>
      <c r="B2421" t="s">
        <v>452</v>
      </c>
    </row>
    <row r="2422" spans="1:2" x14ac:dyDescent="0.3">
      <c r="A2422" s="36">
        <v>30716421151</v>
      </c>
      <c r="B2422" t="s">
        <v>1624</v>
      </c>
    </row>
    <row r="2423" spans="1:2" x14ac:dyDescent="0.3">
      <c r="A2423" s="36">
        <v>30715770357</v>
      </c>
      <c r="B2423" t="s">
        <v>1625</v>
      </c>
    </row>
    <row r="2424" spans="1:2" x14ac:dyDescent="0.3">
      <c r="A2424" s="36">
        <v>30708994924</v>
      </c>
      <c r="B2424" t="s">
        <v>1197</v>
      </c>
    </row>
    <row r="2425" spans="1:2" x14ac:dyDescent="0.3">
      <c r="A2425" s="36">
        <v>30708994924</v>
      </c>
      <c r="B2425" t="s">
        <v>1197</v>
      </c>
    </row>
    <row r="2426" spans="1:2" x14ac:dyDescent="0.3">
      <c r="A2426" s="36">
        <v>27175380146</v>
      </c>
      <c r="B2426" t="s">
        <v>1480</v>
      </c>
    </row>
    <row r="2427" spans="1:2" x14ac:dyDescent="0.3">
      <c r="A2427" s="36">
        <v>27141689296</v>
      </c>
      <c r="B2427" t="s">
        <v>1464</v>
      </c>
    </row>
    <row r="2428" spans="1:2" x14ac:dyDescent="0.3">
      <c r="A2428" s="36">
        <v>27061737230</v>
      </c>
      <c r="B2428" t="s">
        <v>1515</v>
      </c>
    </row>
    <row r="2429" spans="1:2" x14ac:dyDescent="0.3">
      <c r="A2429" s="36">
        <v>30711604703</v>
      </c>
      <c r="B2429" t="s">
        <v>1194</v>
      </c>
    </row>
    <row r="2430" spans="1:2" x14ac:dyDescent="0.3">
      <c r="A2430" s="36">
        <v>30709163503</v>
      </c>
      <c r="B2430" t="s">
        <v>1626</v>
      </c>
    </row>
    <row r="2431" spans="1:2" x14ac:dyDescent="0.3">
      <c r="A2431" s="36">
        <v>30709163503</v>
      </c>
      <c r="B2431" t="s">
        <v>1626</v>
      </c>
    </row>
    <row r="2432" spans="1:2" x14ac:dyDescent="0.3">
      <c r="A2432" s="36">
        <v>30708994924</v>
      </c>
      <c r="B2432" t="s">
        <v>1197</v>
      </c>
    </row>
    <row r="2433" spans="1:2" x14ac:dyDescent="0.3">
      <c r="A2433" s="36">
        <v>30712104550</v>
      </c>
      <c r="B2433" t="s">
        <v>1196</v>
      </c>
    </row>
    <row r="2434" spans="1:2" x14ac:dyDescent="0.3">
      <c r="A2434" s="36">
        <v>27940805258</v>
      </c>
      <c r="B2434" t="s">
        <v>1627</v>
      </c>
    </row>
    <row r="2435" spans="1:2" x14ac:dyDescent="0.3">
      <c r="A2435" s="36">
        <v>20181612410</v>
      </c>
      <c r="B2435" t="s">
        <v>1189</v>
      </c>
    </row>
    <row r="2436" spans="1:2" x14ac:dyDescent="0.3">
      <c r="A2436" s="36">
        <v>20181612410</v>
      </c>
      <c r="B2436" t="s">
        <v>1189</v>
      </c>
    </row>
    <row r="2437" spans="1:2" x14ac:dyDescent="0.3">
      <c r="A2437" s="36">
        <v>27141689296</v>
      </c>
      <c r="B2437" t="s">
        <v>1464</v>
      </c>
    </row>
    <row r="2438" spans="1:2" x14ac:dyDescent="0.3">
      <c r="A2438" s="36">
        <v>23269528214</v>
      </c>
      <c r="B2438" t="s">
        <v>1619</v>
      </c>
    </row>
    <row r="2439" spans="1:2" x14ac:dyDescent="0.3">
      <c r="A2439" s="36">
        <v>30707950990</v>
      </c>
      <c r="B2439" t="s">
        <v>1516</v>
      </c>
    </row>
    <row r="2440" spans="1:2" x14ac:dyDescent="0.3">
      <c r="A2440" s="36">
        <v>30716413817</v>
      </c>
      <c r="B2440" t="s">
        <v>1502</v>
      </c>
    </row>
    <row r="2441" spans="1:2" x14ac:dyDescent="0.3">
      <c r="A2441" s="36">
        <v>30716972662</v>
      </c>
      <c r="B2441" t="s">
        <v>1628</v>
      </c>
    </row>
    <row r="2442" spans="1:2" x14ac:dyDescent="0.3">
      <c r="A2442" s="36">
        <v>30716421151</v>
      </c>
      <c r="B2442" t="s">
        <v>1624</v>
      </c>
    </row>
    <row r="2443" spans="1:2" x14ac:dyDescent="0.3">
      <c r="A2443" s="36">
        <v>27394920423</v>
      </c>
      <c r="B2443" t="s">
        <v>1615</v>
      </c>
    </row>
    <row r="2444" spans="1:2" x14ac:dyDescent="0.3">
      <c r="A2444" s="36">
        <v>27294955823</v>
      </c>
      <c r="B2444" t="s">
        <v>1629</v>
      </c>
    </row>
    <row r="2445" spans="1:2" x14ac:dyDescent="0.3">
      <c r="A2445" s="36">
        <v>20307580862</v>
      </c>
      <c r="B2445" t="s">
        <v>1514</v>
      </c>
    </row>
    <row r="2446" spans="1:2" x14ac:dyDescent="0.3">
      <c r="A2446" s="36">
        <v>27242128252</v>
      </c>
      <c r="B2446" t="s">
        <v>1498</v>
      </c>
    </row>
    <row r="2447" spans="1:2" x14ac:dyDescent="0.3">
      <c r="A2447" s="36">
        <v>27161298285</v>
      </c>
      <c r="B2447" t="s">
        <v>1478</v>
      </c>
    </row>
    <row r="2448" spans="1:2" x14ac:dyDescent="0.3">
      <c r="A2448" s="36">
        <v>27175380146</v>
      </c>
      <c r="B2448" t="s">
        <v>1480</v>
      </c>
    </row>
    <row r="2449" spans="1:2" x14ac:dyDescent="0.3">
      <c r="A2449" s="36">
        <v>30711694605</v>
      </c>
      <c r="B2449" t="s">
        <v>1630</v>
      </c>
    </row>
    <row r="2450" spans="1:2" x14ac:dyDescent="0.3">
      <c r="A2450" s="36">
        <v>30711720169</v>
      </c>
      <c r="B2450" t="s">
        <v>1490</v>
      </c>
    </row>
    <row r="2451" spans="1:2" x14ac:dyDescent="0.3">
      <c r="A2451" s="36">
        <v>30711940010</v>
      </c>
      <c r="B2451" t="s">
        <v>1631</v>
      </c>
    </row>
    <row r="2452" spans="1:2" x14ac:dyDescent="0.3">
      <c r="A2452" s="36">
        <v>20206659379</v>
      </c>
      <c r="B2452" t="s">
        <v>1632</v>
      </c>
    </row>
    <row r="2453" spans="1:2" x14ac:dyDescent="0.3">
      <c r="A2453" s="36">
        <v>27168442802</v>
      </c>
      <c r="B2453" t="s">
        <v>1633</v>
      </c>
    </row>
    <row r="2454" spans="1:2" x14ac:dyDescent="0.3">
      <c r="A2454" s="36">
        <v>27242275158</v>
      </c>
      <c r="B2454" t="s">
        <v>1634</v>
      </c>
    </row>
    <row r="2455" spans="1:2" x14ac:dyDescent="0.3">
      <c r="A2455" s="36">
        <v>27366442974</v>
      </c>
      <c r="B2455" t="s">
        <v>1635</v>
      </c>
    </row>
    <row r="2456" spans="1:2" x14ac:dyDescent="0.3">
      <c r="A2456" s="36">
        <v>27271107434</v>
      </c>
      <c r="B2456" t="s">
        <v>1636</v>
      </c>
    </row>
    <row r="2457" spans="1:2" x14ac:dyDescent="0.3">
      <c r="A2457" s="36">
        <v>27142840478</v>
      </c>
      <c r="B2457" t="s">
        <v>1637</v>
      </c>
    </row>
    <row r="2458" spans="1:2" x14ac:dyDescent="0.3">
      <c r="A2458" s="36">
        <v>27239266598</v>
      </c>
      <c r="B2458" t="s">
        <v>1638</v>
      </c>
    </row>
    <row r="2459" spans="1:2" x14ac:dyDescent="0.3">
      <c r="A2459" s="36">
        <v>27263118834</v>
      </c>
      <c r="B2459" t="s">
        <v>1639</v>
      </c>
    </row>
    <row r="2460" spans="1:2" x14ac:dyDescent="0.3">
      <c r="A2460" s="36">
        <v>27256583157</v>
      </c>
      <c r="B2460" t="s">
        <v>1640</v>
      </c>
    </row>
    <row r="2461" spans="1:2" x14ac:dyDescent="0.3">
      <c r="A2461" s="36">
        <v>23207936324</v>
      </c>
      <c r="B2461" t="s">
        <v>1641</v>
      </c>
    </row>
    <row r="2462" spans="1:2" x14ac:dyDescent="0.3">
      <c r="A2462" s="36">
        <v>27949525061</v>
      </c>
      <c r="B2462" t="s">
        <v>1642</v>
      </c>
    </row>
    <row r="2463" spans="1:2" x14ac:dyDescent="0.3">
      <c r="A2463" s="36">
        <v>27143137746</v>
      </c>
      <c r="B2463" t="s">
        <v>1643</v>
      </c>
    </row>
    <row r="2464" spans="1:2" x14ac:dyDescent="0.3">
      <c r="A2464" s="36">
        <v>27138528311</v>
      </c>
      <c r="B2464" t="s">
        <v>1644</v>
      </c>
    </row>
    <row r="2465" spans="1:2" x14ac:dyDescent="0.3">
      <c r="A2465" s="36">
        <v>27263118834</v>
      </c>
      <c r="B2465" t="s">
        <v>1639</v>
      </c>
    </row>
    <row r="2466" spans="1:2" x14ac:dyDescent="0.3">
      <c r="A2466" s="36">
        <v>34999032089</v>
      </c>
      <c r="B2466" t="s">
        <v>1645</v>
      </c>
    </row>
    <row r="2467" spans="1:2" x14ac:dyDescent="0.3">
      <c r="A2467" s="36">
        <v>27940533924</v>
      </c>
      <c r="B2467" t="s">
        <v>1646</v>
      </c>
    </row>
    <row r="2468" spans="1:2" x14ac:dyDescent="0.3">
      <c r="A2468" s="36">
        <v>27132079124</v>
      </c>
      <c r="B2468" t="s">
        <v>1647</v>
      </c>
    </row>
    <row r="2469" spans="1:2" x14ac:dyDescent="0.3">
      <c r="A2469" s="36">
        <v>27302842790</v>
      </c>
      <c r="B2469" t="s">
        <v>1648</v>
      </c>
    </row>
    <row r="2470" spans="1:2" x14ac:dyDescent="0.3">
      <c r="A2470" s="36">
        <v>27181966330</v>
      </c>
      <c r="B2470" t="s">
        <v>1649</v>
      </c>
    </row>
    <row r="2471" spans="1:2" x14ac:dyDescent="0.3">
      <c r="A2471" s="36">
        <v>20217646414</v>
      </c>
      <c r="B2471" t="s">
        <v>1650</v>
      </c>
    </row>
    <row r="2472" spans="1:2" x14ac:dyDescent="0.3">
      <c r="A2472" s="36">
        <v>20141890159</v>
      </c>
      <c r="B2472" t="s">
        <v>1651</v>
      </c>
    </row>
    <row r="2473" spans="1:2" x14ac:dyDescent="0.3">
      <c r="A2473" s="36">
        <v>33715993509</v>
      </c>
      <c r="B2473" t="s">
        <v>1652</v>
      </c>
    </row>
    <row r="2474" spans="1:2" x14ac:dyDescent="0.3">
      <c r="A2474" s="36">
        <v>30517266457</v>
      </c>
      <c r="B2474" t="s">
        <v>1653</v>
      </c>
    </row>
    <row r="2475" spans="1:2" x14ac:dyDescent="0.3">
      <c r="A2475" s="36">
        <v>30679202045</v>
      </c>
      <c r="B2475" t="s">
        <v>1654</v>
      </c>
    </row>
    <row r="2476" spans="1:2" x14ac:dyDescent="0.3">
      <c r="A2476" s="36">
        <v>30714381551</v>
      </c>
      <c r="B2476" t="s">
        <v>1655</v>
      </c>
    </row>
    <row r="2477" spans="1:2" x14ac:dyDescent="0.3">
      <c r="A2477" s="36">
        <v>20403989496</v>
      </c>
      <c r="B2477" t="s">
        <v>1656</v>
      </c>
    </row>
    <row r="2478" spans="1:2" x14ac:dyDescent="0.3">
      <c r="A2478" s="36">
        <v>30584529454</v>
      </c>
      <c r="B2478" t="s">
        <v>1657</v>
      </c>
    </row>
    <row r="2479" spans="1:2" x14ac:dyDescent="0.3">
      <c r="A2479" s="36">
        <v>30620177497</v>
      </c>
      <c r="B2479" t="s">
        <v>1658</v>
      </c>
    </row>
    <row r="2480" spans="1:2" x14ac:dyDescent="0.3">
      <c r="A2480" s="36">
        <v>30503874497</v>
      </c>
      <c r="B2480" t="s">
        <v>1659</v>
      </c>
    </row>
    <row r="2481" spans="1:4" x14ac:dyDescent="0.3">
      <c r="A2481" s="36">
        <v>30679163317</v>
      </c>
      <c r="B2481" t="s">
        <v>1660</v>
      </c>
    </row>
    <row r="2482" spans="1:4" x14ac:dyDescent="0.3">
      <c r="A2482" s="36">
        <v>30660981736</v>
      </c>
      <c r="B2482" t="s">
        <v>1661</v>
      </c>
    </row>
    <row r="2483" spans="1:4" x14ac:dyDescent="0.3">
      <c r="A2483" s="36">
        <v>30710688180</v>
      </c>
      <c r="B2483" t="s">
        <v>1662</v>
      </c>
    </row>
    <row r="2484" spans="1:4" x14ac:dyDescent="0.3">
      <c r="A2484" s="36">
        <v>30715777599</v>
      </c>
      <c r="B2484" t="s">
        <v>1663</v>
      </c>
    </row>
    <row r="2485" spans="1:4" x14ac:dyDescent="0.3">
      <c r="A2485" s="36">
        <v>30550106430</v>
      </c>
      <c r="B2485" t="s">
        <v>1664</v>
      </c>
    </row>
    <row r="2486" spans="1:4" x14ac:dyDescent="0.3">
      <c r="A2486" s="36">
        <v>30638485733</v>
      </c>
      <c r="B2486" t="s">
        <v>1665</v>
      </c>
    </row>
    <row r="2487" spans="1:4" x14ac:dyDescent="0.3">
      <c r="A2487" s="36">
        <v>20107074989</v>
      </c>
      <c r="B2487" t="s">
        <v>1666</v>
      </c>
    </row>
    <row r="2488" spans="1:4" x14ac:dyDescent="0.3">
      <c r="A2488" s="36">
        <v>30715434276</v>
      </c>
      <c r="B2488" t="s">
        <v>1667</v>
      </c>
    </row>
    <row r="2489" spans="1:4" x14ac:dyDescent="0.3">
      <c r="A2489" s="36">
        <v>20283638783</v>
      </c>
      <c r="B2489" t="s">
        <v>1668</v>
      </c>
    </row>
    <row r="2490" spans="1:4" x14ac:dyDescent="0.3">
      <c r="A2490" s="36">
        <v>30707603123</v>
      </c>
      <c r="B2490" t="s">
        <v>1669</v>
      </c>
    </row>
    <row r="2491" spans="1:4" x14ac:dyDescent="0.3">
      <c r="A2491" s="36">
        <v>20268898221</v>
      </c>
      <c r="B2491" t="s">
        <v>1670</v>
      </c>
    </row>
    <row r="2492" spans="1:4" x14ac:dyDescent="0.3">
      <c r="A2492" s="36">
        <v>23291131204</v>
      </c>
      <c r="B2492" t="s">
        <v>1671</v>
      </c>
    </row>
    <row r="2493" spans="1:4" x14ac:dyDescent="0.3">
      <c r="A2493" s="36">
        <v>20300814094</v>
      </c>
      <c r="B2493" t="s">
        <v>1154</v>
      </c>
      <c r="C2493" s="35" t="s">
        <v>81</v>
      </c>
      <c r="D2493" t="s">
        <v>1782</v>
      </c>
    </row>
    <row r="2494" spans="1:4" x14ac:dyDescent="0.3">
      <c r="A2494" s="36">
        <v>20174208094</v>
      </c>
      <c r="B2494" t="s">
        <v>1672</v>
      </c>
    </row>
    <row r="2495" spans="1:4" x14ac:dyDescent="0.3">
      <c r="A2495" s="36">
        <v>27315558706</v>
      </c>
      <c r="B2495" t="s">
        <v>1673</v>
      </c>
    </row>
    <row r="2496" spans="1:4" x14ac:dyDescent="0.3">
      <c r="A2496" s="36">
        <v>30717223299</v>
      </c>
      <c r="B2496" t="s">
        <v>1674</v>
      </c>
    </row>
    <row r="2497" spans="1:2" x14ac:dyDescent="0.3">
      <c r="A2497" s="36">
        <v>27234905924</v>
      </c>
      <c r="B2497" t="s">
        <v>1488</v>
      </c>
    </row>
    <row r="2498" spans="1:2" x14ac:dyDescent="0.3">
      <c r="A2498" s="36">
        <v>27394920423</v>
      </c>
      <c r="B2498" t="s">
        <v>1615</v>
      </c>
    </row>
    <row r="2499" spans="1:2" x14ac:dyDescent="0.3">
      <c r="A2499" s="36">
        <v>27944761859</v>
      </c>
      <c r="B2499" t="s">
        <v>1675</v>
      </c>
    </row>
    <row r="2500" spans="1:2" x14ac:dyDescent="0.3">
      <c r="A2500" s="36">
        <v>30714645532</v>
      </c>
      <c r="B2500" t="s">
        <v>1676</v>
      </c>
    </row>
    <row r="2501" spans="1:2" x14ac:dyDescent="0.3">
      <c r="A2501" s="36">
        <v>30717390942</v>
      </c>
      <c r="B2501" t="s">
        <v>1622</v>
      </c>
    </row>
    <row r="2502" spans="1:2" x14ac:dyDescent="0.3">
      <c r="A2502" s="36">
        <v>30711604703</v>
      </c>
      <c r="B2502" t="s">
        <v>1194</v>
      </c>
    </row>
    <row r="2503" spans="1:2" x14ac:dyDescent="0.3">
      <c r="A2503" s="36">
        <v>30714645532</v>
      </c>
      <c r="B2503" t="s">
        <v>1676</v>
      </c>
    </row>
    <row r="2504" spans="1:2" x14ac:dyDescent="0.3">
      <c r="A2504" s="36">
        <v>20206659379</v>
      </c>
      <c r="B2504" t="s">
        <v>1632</v>
      </c>
    </row>
    <row r="2505" spans="1:2" x14ac:dyDescent="0.3">
      <c r="A2505" s="36">
        <v>27262876220</v>
      </c>
      <c r="B2505" t="s">
        <v>1677</v>
      </c>
    </row>
    <row r="2506" spans="1:2" x14ac:dyDescent="0.3">
      <c r="A2506" s="36">
        <v>23269528214</v>
      </c>
      <c r="B2506" t="s">
        <v>1619</v>
      </c>
    </row>
    <row r="2507" spans="1:2" x14ac:dyDescent="0.3">
      <c r="A2507" s="36">
        <v>30712119574</v>
      </c>
      <c r="B2507" t="s">
        <v>1678</v>
      </c>
    </row>
    <row r="2508" spans="1:2" x14ac:dyDescent="0.3">
      <c r="A2508" s="36">
        <v>27175380146</v>
      </c>
      <c r="B2508" t="s">
        <v>1480</v>
      </c>
    </row>
    <row r="2509" spans="1:2" x14ac:dyDescent="0.3">
      <c r="A2509" s="36">
        <v>27280796552</v>
      </c>
      <c r="B2509" t="s">
        <v>1604</v>
      </c>
    </row>
    <row r="2510" spans="1:2" x14ac:dyDescent="0.3">
      <c r="A2510" s="36">
        <v>30712104550</v>
      </c>
      <c r="B2510" t="s">
        <v>1196</v>
      </c>
    </row>
    <row r="2511" spans="1:2" x14ac:dyDescent="0.3">
      <c r="A2511" s="36">
        <v>30710144830</v>
      </c>
      <c r="B2511" t="s">
        <v>1482</v>
      </c>
    </row>
    <row r="2512" spans="1:2" x14ac:dyDescent="0.3">
      <c r="A2512" s="36">
        <v>23269528214</v>
      </c>
      <c r="B2512" t="s">
        <v>1619</v>
      </c>
    </row>
    <row r="2513" spans="1:2" x14ac:dyDescent="0.3">
      <c r="A2513" s="36">
        <v>27161298285</v>
      </c>
      <c r="B2513" t="s">
        <v>1478</v>
      </c>
    </row>
    <row r="2514" spans="1:2" x14ac:dyDescent="0.3">
      <c r="A2514" s="36">
        <v>30712119574</v>
      </c>
      <c r="B2514" t="s">
        <v>1678</v>
      </c>
    </row>
    <row r="2515" spans="1:2" x14ac:dyDescent="0.3">
      <c r="A2515" s="36">
        <v>27141689296</v>
      </c>
      <c r="B2515" t="s">
        <v>1464</v>
      </c>
    </row>
    <row r="2516" spans="1:2" x14ac:dyDescent="0.3">
      <c r="A2516" s="36">
        <v>27333102035</v>
      </c>
      <c r="B2516" t="s">
        <v>1492</v>
      </c>
    </row>
    <row r="2517" spans="1:2" x14ac:dyDescent="0.3">
      <c r="A2517" s="36">
        <v>20181612410</v>
      </c>
      <c r="B2517" t="s">
        <v>1189</v>
      </c>
    </row>
    <row r="2518" spans="1:2" x14ac:dyDescent="0.3">
      <c r="A2518" s="36">
        <v>23269528214</v>
      </c>
      <c r="B2518" t="s">
        <v>1619</v>
      </c>
    </row>
    <row r="2519" spans="1:2" x14ac:dyDescent="0.3">
      <c r="A2519" s="36">
        <v>23180421564</v>
      </c>
      <c r="B2519" t="s">
        <v>1486</v>
      </c>
    </row>
    <row r="2520" spans="1:2" x14ac:dyDescent="0.3">
      <c r="A2520" s="36">
        <v>23180421564</v>
      </c>
      <c r="B2520" t="s">
        <v>1486</v>
      </c>
    </row>
    <row r="2521" spans="1:2" x14ac:dyDescent="0.3">
      <c r="A2521" s="36">
        <v>23180421564</v>
      </c>
      <c r="B2521" t="s">
        <v>1486</v>
      </c>
    </row>
    <row r="2522" spans="1:2" x14ac:dyDescent="0.3">
      <c r="A2522" s="36">
        <v>30527225988</v>
      </c>
      <c r="B2522" t="s">
        <v>1506</v>
      </c>
    </row>
    <row r="2523" spans="1:2" x14ac:dyDescent="0.3">
      <c r="A2523" s="36">
        <v>30717390942</v>
      </c>
      <c r="B2523" t="s">
        <v>1622</v>
      </c>
    </row>
    <row r="2524" spans="1:2" x14ac:dyDescent="0.3">
      <c r="A2524" s="36">
        <v>23269528214</v>
      </c>
      <c r="B2524" t="s">
        <v>1619</v>
      </c>
    </row>
    <row r="2525" spans="1:2" x14ac:dyDescent="0.3">
      <c r="A2525" s="36">
        <v>27256969802</v>
      </c>
      <c r="B2525" t="s">
        <v>1679</v>
      </c>
    </row>
    <row r="2526" spans="1:2" x14ac:dyDescent="0.3">
      <c r="A2526" s="36">
        <v>23269528214</v>
      </c>
      <c r="B2526" t="s">
        <v>1619</v>
      </c>
    </row>
    <row r="2527" spans="1:2" x14ac:dyDescent="0.3">
      <c r="A2527" s="36">
        <v>30715629336</v>
      </c>
      <c r="B2527" t="s">
        <v>1607</v>
      </c>
    </row>
    <row r="2528" spans="1:2" x14ac:dyDescent="0.3">
      <c r="A2528" s="36">
        <v>30715629336</v>
      </c>
      <c r="B2528" t="s">
        <v>1607</v>
      </c>
    </row>
    <row r="2529" spans="1:2" x14ac:dyDescent="0.3">
      <c r="A2529" s="36">
        <v>30711428514</v>
      </c>
      <c r="B2529" t="s">
        <v>1680</v>
      </c>
    </row>
    <row r="2530" spans="1:2" x14ac:dyDescent="0.3">
      <c r="A2530" s="36">
        <v>30711428514</v>
      </c>
      <c r="B2530" t="s">
        <v>1680</v>
      </c>
    </row>
    <row r="2531" spans="1:2" x14ac:dyDescent="0.3">
      <c r="A2531" s="36">
        <v>30712119574</v>
      </c>
      <c r="B2531" t="s">
        <v>1678</v>
      </c>
    </row>
    <row r="2532" spans="1:2" x14ac:dyDescent="0.3">
      <c r="A2532" s="36">
        <v>30716421151</v>
      </c>
      <c r="B2532" t="s">
        <v>1624</v>
      </c>
    </row>
    <row r="2533" spans="1:2" x14ac:dyDescent="0.3">
      <c r="A2533" s="36">
        <v>27223495317</v>
      </c>
      <c r="B2533" t="s">
        <v>1491</v>
      </c>
    </row>
    <row r="2534" spans="1:2" x14ac:dyDescent="0.3">
      <c r="A2534" s="36">
        <v>20307279569</v>
      </c>
      <c r="B2534" t="s">
        <v>1681</v>
      </c>
    </row>
    <row r="2535" spans="1:2" x14ac:dyDescent="0.3">
      <c r="A2535" s="36">
        <v>30712104550</v>
      </c>
      <c r="B2535" t="s">
        <v>1196</v>
      </c>
    </row>
    <row r="2536" spans="1:2" x14ac:dyDescent="0.3">
      <c r="A2536" s="36">
        <v>27280796552</v>
      </c>
      <c r="B2536" t="s">
        <v>1604</v>
      </c>
    </row>
    <row r="2537" spans="1:2" x14ac:dyDescent="0.3">
      <c r="A2537" s="36">
        <v>27280796552</v>
      </c>
      <c r="B2537" t="s">
        <v>1604</v>
      </c>
    </row>
    <row r="2538" spans="1:2" x14ac:dyDescent="0.3">
      <c r="A2538" s="36">
        <v>30709971626</v>
      </c>
      <c r="B2538" t="s">
        <v>1682</v>
      </c>
    </row>
    <row r="2539" spans="1:2" x14ac:dyDescent="0.3">
      <c r="A2539" s="36">
        <v>27280796552</v>
      </c>
      <c r="B2539" t="s">
        <v>1604</v>
      </c>
    </row>
    <row r="2540" spans="1:2" x14ac:dyDescent="0.3">
      <c r="A2540" s="36">
        <v>30714645532</v>
      </c>
      <c r="B2540" t="s">
        <v>1676</v>
      </c>
    </row>
    <row r="2541" spans="1:2" x14ac:dyDescent="0.3">
      <c r="A2541" s="36">
        <v>30717072592</v>
      </c>
      <c r="B2541" t="s">
        <v>1508</v>
      </c>
    </row>
    <row r="2542" spans="1:2" x14ac:dyDescent="0.3">
      <c r="A2542" s="36">
        <v>30717072592</v>
      </c>
      <c r="B2542" t="s">
        <v>1508</v>
      </c>
    </row>
    <row r="2543" spans="1:2" x14ac:dyDescent="0.3">
      <c r="A2543" s="36">
        <v>30709539295</v>
      </c>
      <c r="B2543" t="s">
        <v>1510</v>
      </c>
    </row>
    <row r="2544" spans="1:2" x14ac:dyDescent="0.3">
      <c r="A2544" s="36">
        <v>30709539295</v>
      </c>
      <c r="B2544" t="s">
        <v>1510</v>
      </c>
    </row>
    <row r="2545" spans="1:2" x14ac:dyDescent="0.3">
      <c r="A2545" s="36">
        <v>30715705946</v>
      </c>
      <c r="B2545" t="s">
        <v>1513</v>
      </c>
    </row>
    <row r="2546" spans="1:2" x14ac:dyDescent="0.3">
      <c r="A2546" s="36">
        <v>27234905924</v>
      </c>
      <c r="B2546" t="s">
        <v>1488</v>
      </c>
    </row>
    <row r="2547" spans="1:2" x14ac:dyDescent="0.3">
      <c r="A2547" s="36">
        <v>27141689296</v>
      </c>
      <c r="B2547" t="s">
        <v>1464</v>
      </c>
    </row>
    <row r="2548" spans="1:2" x14ac:dyDescent="0.3">
      <c r="A2548" s="36">
        <v>27234905924</v>
      </c>
      <c r="B2548" t="s">
        <v>1488</v>
      </c>
    </row>
    <row r="2549" spans="1:2" x14ac:dyDescent="0.3">
      <c r="A2549" s="36">
        <v>27234905924</v>
      </c>
      <c r="B2549" t="s">
        <v>1488</v>
      </c>
    </row>
    <row r="2550" spans="1:2" x14ac:dyDescent="0.3">
      <c r="A2550" s="36">
        <v>30715119443</v>
      </c>
      <c r="B2550" t="s">
        <v>1509</v>
      </c>
    </row>
    <row r="2551" spans="1:2" x14ac:dyDescent="0.3">
      <c r="A2551" s="36">
        <v>20181612410</v>
      </c>
      <c r="B2551" t="s">
        <v>1189</v>
      </c>
    </row>
    <row r="2552" spans="1:2" x14ac:dyDescent="0.3">
      <c r="A2552" s="36">
        <v>30711720169</v>
      </c>
      <c r="B2552" t="s">
        <v>1490</v>
      </c>
    </row>
    <row r="2553" spans="1:2" x14ac:dyDescent="0.3">
      <c r="A2553" s="36">
        <v>27366226112</v>
      </c>
      <c r="B2553" t="s">
        <v>1683</v>
      </c>
    </row>
    <row r="2554" spans="1:2" x14ac:dyDescent="0.3">
      <c r="A2554" s="36">
        <v>27366226112</v>
      </c>
      <c r="B2554" t="s">
        <v>1683</v>
      </c>
    </row>
    <row r="2555" spans="1:2" x14ac:dyDescent="0.3">
      <c r="A2555" s="36">
        <v>27172834189</v>
      </c>
      <c r="B2555" t="s">
        <v>1507</v>
      </c>
    </row>
    <row r="2556" spans="1:2" x14ac:dyDescent="0.3">
      <c r="A2556" s="36">
        <v>27242509612</v>
      </c>
      <c r="B2556" t="s">
        <v>1684</v>
      </c>
    </row>
    <row r="2557" spans="1:2" x14ac:dyDescent="0.3">
      <c r="A2557" s="36">
        <v>27209146601</v>
      </c>
      <c r="B2557" t="s">
        <v>1685</v>
      </c>
    </row>
    <row r="2558" spans="1:2" x14ac:dyDescent="0.3">
      <c r="A2558" s="36">
        <v>27394920423</v>
      </c>
      <c r="B2558" t="s">
        <v>1615</v>
      </c>
    </row>
    <row r="2559" spans="1:2" x14ac:dyDescent="0.3">
      <c r="A2559" s="36">
        <v>27242128252</v>
      </c>
      <c r="B2559" t="s">
        <v>1498</v>
      </c>
    </row>
    <row r="2560" spans="1:2" x14ac:dyDescent="0.3">
      <c r="A2560" s="36">
        <v>27242128252</v>
      </c>
      <c r="B2560" t="s">
        <v>1498</v>
      </c>
    </row>
    <row r="2561" spans="1:2" x14ac:dyDescent="0.3">
      <c r="A2561" s="36">
        <v>23265885594</v>
      </c>
      <c r="B2561" t="s">
        <v>1686</v>
      </c>
    </row>
    <row r="2562" spans="1:2" x14ac:dyDescent="0.3">
      <c r="A2562" s="36">
        <v>27175380146</v>
      </c>
      <c r="B2562" t="s">
        <v>1480</v>
      </c>
    </row>
    <row r="2563" spans="1:2" x14ac:dyDescent="0.3">
      <c r="A2563" s="36">
        <v>27242128252</v>
      </c>
      <c r="B2563" t="s">
        <v>1498</v>
      </c>
    </row>
    <row r="2564" spans="1:2" x14ac:dyDescent="0.3">
      <c r="A2564" s="36">
        <v>27242128252</v>
      </c>
      <c r="B2564" t="s">
        <v>1498</v>
      </c>
    </row>
    <row r="2565" spans="1:2" x14ac:dyDescent="0.3">
      <c r="A2565" s="36">
        <v>20181612410</v>
      </c>
      <c r="B2565" t="s">
        <v>1189</v>
      </c>
    </row>
    <row r="2566" spans="1:2" x14ac:dyDescent="0.3">
      <c r="A2566" s="36">
        <v>20181612410</v>
      </c>
      <c r="B2566" t="s">
        <v>1189</v>
      </c>
    </row>
    <row r="2567" spans="1:2" x14ac:dyDescent="0.3">
      <c r="A2567" s="36">
        <v>20132857432</v>
      </c>
      <c r="B2567" t="s">
        <v>1687</v>
      </c>
    </row>
    <row r="2568" spans="1:2" x14ac:dyDescent="0.3">
      <c r="A2568" s="36">
        <v>23269528214</v>
      </c>
      <c r="B2568" t="s">
        <v>1619</v>
      </c>
    </row>
    <row r="2569" spans="1:2" x14ac:dyDescent="0.3">
      <c r="A2569" s="36">
        <v>30711604703</v>
      </c>
      <c r="B2569" t="s">
        <v>1194</v>
      </c>
    </row>
    <row r="2570" spans="1:2" x14ac:dyDescent="0.3">
      <c r="A2570" s="36">
        <v>23269528214</v>
      </c>
      <c r="B2570" t="s">
        <v>1619</v>
      </c>
    </row>
    <row r="2571" spans="1:2" x14ac:dyDescent="0.3">
      <c r="A2571" s="36">
        <v>23269528214</v>
      </c>
      <c r="B2571" t="s">
        <v>1619</v>
      </c>
    </row>
    <row r="2572" spans="1:2" x14ac:dyDescent="0.3">
      <c r="A2572" s="36">
        <v>30709043117</v>
      </c>
      <c r="B2572" t="s">
        <v>1688</v>
      </c>
    </row>
    <row r="2573" spans="1:2" x14ac:dyDescent="0.3">
      <c r="A2573" s="36">
        <v>39348401</v>
      </c>
      <c r="B2573" t="s">
        <v>1689</v>
      </c>
    </row>
    <row r="2574" spans="1:2" x14ac:dyDescent="0.3">
      <c r="A2574" s="36">
        <v>25817118</v>
      </c>
      <c r="B2574" t="s">
        <v>1690</v>
      </c>
    </row>
    <row r="2575" spans="1:2" x14ac:dyDescent="0.3">
      <c r="A2575" s="36">
        <v>12758459</v>
      </c>
      <c r="B2575" t="s">
        <v>1691</v>
      </c>
    </row>
    <row r="2576" spans="1:2" x14ac:dyDescent="0.3">
      <c r="A2576" s="36">
        <v>18442283</v>
      </c>
      <c r="B2576" t="s">
        <v>1692</v>
      </c>
    </row>
    <row r="2577" spans="1:2" x14ac:dyDescent="0.3">
      <c r="A2577" s="36">
        <v>16562784</v>
      </c>
      <c r="B2577" t="s">
        <v>1693</v>
      </c>
    </row>
    <row r="2578" spans="1:2" x14ac:dyDescent="0.3">
      <c r="A2578" s="36">
        <v>28031075</v>
      </c>
      <c r="B2578" t="s">
        <v>1694</v>
      </c>
    </row>
    <row r="2579" spans="1:2" x14ac:dyDescent="0.3">
      <c r="A2579" s="36">
        <v>27220670878</v>
      </c>
      <c r="B2579" t="s">
        <v>1695</v>
      </c>
    </row>
    <row r="2580" spans="1:2" x14ac:dyDescent="0.3">
      <c r="A2580" s="36">
        <v>18106230</v>
      </c>
      <c r="B2580" t="s">
        <v>1696</v>
      </c>
    </row>
    <row r="2581" spans="1:2" x14ac:dyDescent="0.3">
      <c r="A2581" s="36">
        <v>38999561</v>
      </c>
      <c r="B2581" t="s">
        <v>1697</v>
      </c>
    </row>
    <row r="2582" spans="1:2" x14ac:dyDescent="0.3">
      <c r="A2582" s="36">
        <v>11897143</v>
      </c>
      <c r="B2582" t="s">
        <v>1698</v>
      </c>
    </row>
    <row r="2583" spans="1:2" x14ac:dyDescent="0.3">
      <c r="A2583" s="36">
        <v>13862555</v>
      </c>
      <c r="B2583" t="s">
        <v>1699</v>
      </c>
    </row>
    <row r="2584" spans="1:2" x14ac:dyDescent="0.3">
      <c r="A2584" s="36">
        <v>24445141</v>
      </c>
      <c r="B2584" t="s">
        <v>1700</v>
      </c>
    </row>
    <row r="2585" spans="1:2" x14ac:dyDescent="0.3">
      <c r="A2585" s="36">
        <v>34745621</v>
      </c>
      <c r="B2585" t="s">
        <v>1701</v>
      </c>
    </row>
    <row r="2586" spans="1:2" x14ac:dyDescent="0.3">
      <c r="A2586" s="36">
        <v>24445141</v>
      </c>
      <c r="B2586" t="s">
        <v>1700</v>
      </c>
    </row>
    <row r="2587" spans="1:2" x14ac:dyDescent="0.3">
      <c r="A2587" s="36">
        <v>12760724</v>
      </c>
      <c r="B2587" t="s">
        <v>1702</v>
      </c>
    </row>
    <row r="2588" spans="1:2" x14ac:dyDescent="0.3">
      <c r="A2588" s="36">
        <v>14015710</v>
      </c>
      <c r="B2588" t="s">
        <v>1703</v>
      </c>
    </row>
    <row r="2589" spans="1:2" x14ac:dyDescent="0.3">
      <c r="A2589" s="36">
        <v>30512432</v>
      </c>
      <c r="B2589" t="s">
        <v>1704</v>
      </c>
    </row>
    <row r="2590" spans="1:2" x14ac:dyDescent="0.3">
      <c r="A2590" s="36">
        <v>24171267</v>
      </c>
      <c r="B2590" t="s">
        <v>1705</v>
      </c>
    </row>
    <row r="2591" spans="1:2" x14ac:dyDescent="0.3">
      <c r="A2591" s="36">
        <v>34454281</v>
      </c>
      <c r="B2591" t="s">
        <v>1706</v>
      </c>
    </row>
    <row r="2592" spans="1:2" x14ac:dyDescent="0.3">
      <c r="A2592" s="36">
        <v>24313506</v>
      </c>
      <c r="B2592" t="s">
        <v>1707</v>
      </c>
    </row>
    <row r="2593" spans="1:2" x14ac:dyDescent="0.3">
      <c r="A2593" s="36">
        <v>45895643</v>
      </c>
      <c r="B2593" t="s">
        <v>1708</v>
      </c>
    </row>
    <row r="2594" spans="1:2" x14ac:dyDescent="0.3">
      <c r="A2594" s="36">
        <v>11543320</v>
      </c>
      <c r="B2594" t="s">
        <v>1709</v>
      </c>
    </row>
    <row r="2595" spans="1:2" x14ac:dyDescent="0.3">
      <c r="A2595" s="36">
        <v>11046463</v>
      </c>
      <c r="B2595" t="s">
        <v>1710</v>
      </c>
    </row>
    <row r="2596" spans="1:2" x14ac:dyDescent="0.3">
      <c r="A2596" s="36">
        <v>27271107434</v>
      </c>
      <c r="B2596" t="s">
        <v>1636</v>
      </c>
    </row>
    <row r="2597" spans="1:2" x14ac:dyDescent="0.3">
      <c r="A2597" s="36">
        <v>16313903</v>
      </c>
      <c r="B2597" t="s">
        <v>1711</v>
      </c>
    </row>
    <row r="2598" spans="1:2" x14ac:dyDescent="0.3">
      <c r="A2598" s="36">
        <v>18134041</v>
      </c>
      <c r="B2598" t="s">
        <v>1712</v>
      </c>
    </row>
    <row r="2599" spans="1:2" x14ac:dyDescent="0.3">
      <c r="A2599" s="284">
        <v>26865987</v>
      </c>
      <c r="B2599" t="s">
        <v>1713</v>
      </c>
    </row>
    <row r="2600" spans="1:2" x14ac:dyDescent="0.3">
      <c r="A2600" s="284">
        <v>30911634</v>
      </c>
      <c r="B2600" t="s">
        <v>1714</v>
      </c>
    </row>
    <row r="2601" spans="1:2" x14ac:dyDescent="0.3">
      <c r="A2601" s="284">
        <v>27560895</v>
      </c>
      <c r="B2601" t="s">
        <v>1715</v>
      </c>
    </row>
    <row r="2602" spans="1:2" x14ac:dyDescent="0.3">
      <c r="A2602" s="284">
        <v>24927300</v>
      </c>
      <c r="B2602" t="s">
        <v>1716</v>
      </c>
    </row>
    <row r="2603" spans="1:2" x14ac:dyDescent="0.3">
      <c r="A2603" s="284">
        <v>38999561</v>
      </c>
      <c r="B2603" t="s">
        <v>1697</v>
      </c>
    </row>
    <row r="2604" spans="1:2" x14ac:dyDescent="0.3">
      <c r="A2604" s="284">
        <v>10120367</v>
      </c>
      <c r="B2604" t="s">
        <v>1717</v>
      </c>
    </row>
    <row r="2605" spans="1:2" x14ac:dyDescent="0.3">
      <c r="A2605" s="284">
        <v>26996097</v>
      </c>
      <c r="B2605" t="s">
        <v>1718</v>
      </c>
    </row>
    <row r="2606" spans="1:2" x14ac:dyDescent="0.3">
      <c r="A2606" s="284">
        <v>92344179</v>
      </c>
      <c r="B2606" t="s">
        <v>1719</v>
      </c>
    </row>
    <row r="2607" spans="1:2" x14ac:dyDescent="0.3">
      <c r="A2607" s="284">
        <v>35041832</v>
      </c>
      <c r="B2607" t="s">
        <v>1720</v>
      </c>
    </row>
    <row r="2608" spans="1:2" x14ac:dyDescent="0.3">
      <c r="A2608" s="284">
        <v>38999561</v>
      </c>
      <c r="B2608" t="s">
        <v>1697</v>
      </c>
    </row>
    <row r="2609" spans="1:3" x14ac:dyDescent="0.3">
      <c r="A2609" s="284">
        <v>94006532</v>
      </c>
      <c r="B2609" t="s">
        <v>1721</v>
      </c>
    </row>
    <row r="2610" spans="1:3" x14ac:dyDescent="0.3">
      <c r="A2610" s="284">
        <v>34513098</v>
      </c>
      <c r="B2610" t="s">
        <v>1722</v>
      </c>
    </row>
    <row r="2611" spans="1:3" x14ac:dyDescent="0.3">
      <c r="A2611" s="284">
        <v>32758476</v>
      </c>
      <c r="B2611" t="s">
        <v>1723</v>
      </c>
    </row>
    <row r="2612" spans="1:3" x14ac:dyDescent="0.3">
      <c r="A2612" s="284">
        <v>21920073</v>
      </c>
      <c r="B2612" t="s">
        <v>1724</v>
      </c>
    </row>
    <row r="2613" spans="1:3" x14ac:dyDescent="0.3">
      <c r="A2613" s="284">
        <v>25869848</v>
      </c>
      <c r="B2613" t="s">
        <v>1725</v>
      </c>
    </row>
    <row r="2614" spans="1:3" x14ac:dyDescent="0.3">
      <c r="A2614" s="284">
        <v>39658304</v>
      </c>
      <c r="B2614" t="s">
        <v>1726</v>
      </c>
    </row>
    <row r="2615" spans="1:3" x14ac:dyDescent="0.3">
      <c r="A2615" s="284">
        <v>38999561</v>
      </c>
      <c r="B2615" t="s">
        <v>1697</v>
      </c>
    </row>
    <row r="2616" spans="1:3" x14ac:dyDescent="0.3">
      <c r="A2616" s="284">
        <v>41250180</v>
      </c>
      <c r="B2616" t="s">
        <v>1727</v>
      </c>
    </row>
    <row r="2617" spans="1:3" x14ac:dyDescent="0.3">
      <c r="A2617" s="36">
        <v>27220620587</v>
      </c>
      <c r="B2617" t="s">
        <v>1728</v>
      </c>
    </row>
    <row r="2618" spans="1:3" x14ac:dyDescent="0.3">
      <c r="A2618" s="36">
        <v>30712450327</v>
      </c>
      <c r="B2618" t="s">
        <v>1731</v>
      </c>
      <c r="C2618" s="35" t="s">
        <v>44</v>
      </c>
    </row>
    <row r="2619" spans="1:3" x14ac:dyDescent="0.3">
      <c r="A2619" s="36">
        <v>20262815367</v>
      </c>
      <c r="B2619" t="s">
        <v>1732</v>
      </c>
      <c r="C2619" s="35" t="s">
        <v>43</v>
      </c>
    </row>
    <row r="2620" spans="1:3" x14ac:dyDescent="0.3">
      <c r="A2620" s="36">
        <v>33699685459</v>
      </c>
      <c r="B2620" t="s">
        <v>1733</v>
      </c>
      <c r="C2620" s="35" t="s">
        <v>1734</v>
      </c>
    </row>
    <row r="2621" spans="1:3" x14ac:dyDescent="0.3">
      <c r="A2621" s="36">
        <v>30708033932</v>
      </c>
      <c r="B2621" t="s">
        <v>1736</v>
      </c>
      <c r="C2621" s="35" t="s">
        <v>44</v>
      </c>
    </row>
    <row r="2622" spans="1:3" x14ac:dyDescent="0.3">
      <c r="A2622" s="36">
        <v>30633647697</v>
      </c>
      <c r="B2622" t="s">
        <v>1737</v>
      </c>
      <c r="C2622" s="35" t="s">
        <v>44</v>
      </c>
    </row>
    <row r="2623" spans="1:3" x14ac:dyDescent="0.3">
      <c r="A2623" s="36">
        <v>23234730959</v>
      </c>
      <c r="B2623" t="s">
        <v>1738</v>
      </c>
      <c r="C2623" s="35" t="s">
        <v>43</v>
      </c>
    </row>
    <row r="2624" spans="1:3" x14ac:dyDescent="0.3">
      <c r="A2624" s="36">
        <v>30699642777</v>
      </c>
      <c r="B2624" t="s">
        <v>1739</v>
      </c>
      <c r="C2624" s="35" t="s">
        <v>44</v>
      </c>
    </row>
    <row r="2625" spans="1:2" x14ac:dyDescent="0.3">
      <c r="A2625" s="36">
        <v>30579939008</v>
      </c>
      <c r="B2625" t="s">
        <v>1743</v>
      </c>
    </row>
    <row r="2626" spans="1:2" x14ac:dyDescent="0.3">
      <c r="A2626" s="36">
        <v>30711239800</v>
      </c>
      <c r="B2626" t="s">
        <v>1744</v>
      </c>
    </row>
    <row r="2627" spans="1:2" x14ac:dyDescent="0.3">
      <c r="A2627" s="36">
        <v>33717247189</v>
      </c>
      <c r="B2627" t="s">
        <v>1745</v>
      </c>
    </row>
    <row r="2628" spans="1:2" x14ac:dyDescent="0.3">
      <c r="A2628" s="36">
        <v>20172002448</v>
      </c>
      <c r="B2628" t="s">
        <v>1746</v>
      </c>
    </row>
    <row r="2629" spans="1:2" x14ac:dyDescent="0.3">
      <c r="A2629" s="36">
        <v>30716032120</v>
      </c>
      <c r="B2629" t="s">
        <v>1747</v>
      </c>
    </row>
    <row r="2630" spans="1:2" x14ac:dyDescent="0.3">
      <c r="A2630" s="36">
        <v>20338956496</v>
      </c>
      <c r="B2630" t="s">
        <v>1748</v>
      </c>
    </row>
    <row r="2631" spans="1:2" x14ac:dyDescent="0.3">
      <c r="A2631" s="36">
        <v>30715683446</v>
      </c>
      <c r="B2631" t="s">
        <v>1749</v>
      </c>
    </row>
    <row r="2632" spans="1:2" x14ac:dyDescent="0.3">
      <c r="A2632" s="36">
        <v>30711050767</v>
      </c>
      <c r="B2632" t="s">
        <v>1750</v>
      </c>
    </row>
    <row r="2633" spans="1:2" x14ac:dyDescent="0.3">
      <c r="A2633" s="36">
        <v>30714430781</v>
      </c>
      <c r="B2633" t="s">
        <v>1751</v>
      </c>
    </row>
    <row r="2634" spans="1:2" x14ac:dyDescent="0.3">
      <c r="A2634" s="36">
        <v>30709003654</v>
      </c>
      <c r="B2634" t="s">
        <v>1752</v>
      </c>
    </row>
    <row r="2635" spans="1:2" x14ac:dyDescent="0.3">
      <c r="A2635" s="36">
        <v>30643993089</v>
      </c>
      <c r="B2635" t="s">
        <v>1753</v>
      </c>
    </row>
    <row r="2636" spans="1:2" x14ac:dyDescent="0.3">
      <c r="A2636" s="36">
        <v>30707040900</v>
      </c>
      <c r="B2636" t="s">
        <v>1754</v>
      </c>
    </row>
    <row r="2637" spans="1:2" x14ac:dyDescent="0.3">
      <c r="A2637" s="36">
        <v>30708528052</v>
      </c>
      <c r="B2637" t="s">
        <v>1755</v>
      </c>
    </row>
    <row r="2638" spans="1:2" x14ac:dyDescent="0.3">
      <c r="A2638" s="36">
        <v>30534051049</v>
      </c>
      <c r="B2638" t="s">
        <v>1756</v>
      </c>
    </row>
    <row r="2639" spans="1:2" x14ac:dyDescent="0.3">
      <c r="A2639" s="36">
        <v>30715012835</v>
      </c>
      <c r="B2639" t="s">
        <v>1757</v>
      </c>
    </row>
    <row r="2640" spans="1:2" x14ac:dyDescent="0.3">
      <c r="A2640" s="36">
        <v>33715571639</v>
      </c>
      <c r="B2640" t="s">
        <v>1758</v>
      </c>
    </row>
    <row r="2641" spans="1:2" x14ac:dyDescent="0.3">
      <c r="A2641" s="36">
        <v>30585727152</v>
      </c>
      <c r="B2641" t="s">
        <v>1759</v>
      </c>
    </row>
    <row r="2642" spans="1:2" x14ac:dyDescent="0.3">
      <c r="A2642" s="36">
        <v>30708142022</v>
      </c>
      <c r="B2642" t="s">
        <v>1760</v>
      </c>
    </row>
    <row r="2643" spans="1:2" x14ac:dyDescent="0.3">
      <c r="A2643" s="36">
        <v>30528214483</v>
      </c>
      <c r="B2643" t="s">
        <v>1761</v>
      </c>
    </row>
    <row r="2644" spans="1:2" x14ac:dyDescent="0.3">
      <c r="A2644" s="36">
        <v>20149021591</v>
      </c>
      <c r="B2644" t="s">
        <v>1762</v>
      </c>
    </row>
    <row r="2645" spans="1:2" x14ac:dyDescent="0.3">
      <c r="A2645" s="36">
        <v>33519459529</v>
      </c>
      <c r="B2645" t="s">
        <v>1763</v>
      </c>
    </row>
    <row r="2646" spans="1:2" x14ac:dyDescent="0.3">
      <c r="A2646" s="36">
        <v>30707719725</v>
      </c>
      <c r="B2646" t="s">
        <v>1764</v>
      </c>
    </row>
    <row r="2647" spans="1:2" x14ac:dyDescent="0.3">
      <c r="A2647" s="36">
        <v>30683553391</v>
      </c>
      <c r="B2647" t="s">
        <v>1765</v>
      </c>
    </row>
    <row r="2648" spans="1:2" x14ac:dyDescent="0.3">
      <c r="A2648" s="36">
        <v>27316594676</v>
      </c>
      <c r="B2648" t="s">
        <v>1766</v>
      </c>
    </row>
    <row r="2649" spans="1:2" x14ac:dyDescent="0.3">
      <c r="A2649" s="36">
        <v>30709040460</v>
      </c>
      <c r="B2649" t="s">
        <v>1767</v>
      </c>
    </row>
    <row r="2650" spans="1:2" x14ac:dyDescent="0.3">
      <c r="A2650" s="36">
        <v>30716072033</v>
      </c>
      <c r="B2650" t="s">
        <v>1768</v>
      </c>
    </row>
    <row r="2651" spans="1:2" x14ac:dyDescent="0.3">
      <c r="A2651" s="36">
        <v>20304940019</v>
      </c>
      <c r="B2651" t="s">
        <v>1769</v>
      </c>
    </row>
    <row r="2652" spans="1:2" x14ac:dyDescent="0.3">
      <c r="A2652" s="36">
        <v>30715294938</v>
      </c>
      <c r="B2652" t="s">
        <v>1770</v>
      </c>
    </row>
    <row r="2653" spans="1:2" x14ac:dyDescent="0.3">
      <c r="A2653" s="36">
        <v>20331496643</v>
      </c>
      <c r="B2653" t="s">
        <v>1771</v>
      </c>
    </row>
    <row r="2654" spans="1:2" x14ac:dyDescent="0.3">
      <c r="A2654" s="36">
        <v>20321577645</v>
      </c>
      <c r="B2654" t="s">
        <v>1772</v>
      </c>
    </row>
    <row r="2655" spans="1:2" x14ac:dyDescent="0.3">
      <c r="A2655" s="36">
        <v>30686965801</v>
      </c>
      <c r="B2655" t="s">
        <v>1773</v>
      </c>
    </row>
    <row r="2656" spans="1:2" x14ac:dyDescent="0.3">
      <c r="A2656" s="36">
        <v>27164522704</v>
      </c>
      <c r="B2656" t="s">
        <v>1774</v>
      </c>
    </row>
    <row r="2657" spans="1:4" x14ac:dyDescent="0.3">
      <c r="A2657" s="36">
        <v>20183216725</v>
      </c>
      <c r="B2657" t="s">
        <v>1775</v>
      </c>
      <c r="C2657" s="35" t="s">
        <v>1781</v>
      </c>
      <c r="D2657" t="s">
        <v>1782</v>
      </c>
    </row>
    <row r="2658" spans="1:4" x14ac:dyDescent="0.3">
      <c r="A2658" s="36">
        <v>30708425237</v>
      </c>
      <c r="B2658" t="s">
        <v>1777</v>
      </c>
      <c r="C2658" s="35" t="s">
        <v>86</v>
      </c>
      <c r="D2658" t="s">
        <v>1779</v>
      </c>
    </row>
    <row r="2659" spans="1:4" x14ac:dyDescent="0.3">
      <c r="A2659" s="36">
        <v>30703843618</v>
      </c>
      <c r="B2659" t="s">
        <v>1783</v>
      </c>
      <c r="C2659" s="35" t="s">
        <v>44</v>
      </c>
      <c r="D2659" t="s">
        <v>1782</v>
      </c>
    </row>
    <row r="2660" spans="1:4" x14ac:dyDescent="0.3">
      <c r="A2660" s="36">
        <v>30708610999</v>
      </c>
      <c r="B2660" t="s">
        <v>1786</v>
      </c>
      <c r="C2660" s="35" t="s">
        <v>86</v>
      </c>
      <c r="D2660" t="s">
        <v>1782</v>
      </c>
    </row>
    <row r="2661" spans="1:4" x14ac:dyDescent="0.3">
      <c r="A2661" s="36">
        <v>30520201048</v>
      </c>
      <c r="B2661" t="s">
        <v>1787</v>
      </c>
    </row>
    <row r="2662" spans="1:4" x14ac:dyDescent="0.3">
      <c r="A2662" s="36">
        <v>30696186932</v>
      </c>
      <c r="B2662" t="s">
        <v>1791</v>
      </c>
    </row>
    <row r="2663" spans="1:4" x14ac:dyDescent="0.3">
      <c r="A2663" s="36">
        <v>30679907995</v>
      </c>
      <c r="B2663" t="s">
        <v>1792</v>
      </c>
      <c r="C2663" s="35" t="s">
        <v>1778</v>
      </c>
      <c r="D2663" t="s">
        <v>1782</v>
      </c>
    </row>
    <row r="2664" spans="1:4" x14ac:dyDescent="0.3">
      <c r="A2664" s="36">
        <v>30717768511</v>
      </c>
      <c r="B2664" t="s">
        <v>1793</v>
      </c>
    </row>
    <row r="2665" spans="1:4" x14ac:dyDescent="0.3">
      <c r="A2665" s="36">
        <v>30714275824</v>
      </c>
      <c r="B2665" t="s">
        <v>1794</v>
      </c>
    </row>
    <row r="2666" spans="1:4" x14ac:dyDescent="0.3">
      <c r="A2666" s="36">
        <v>20338116978</v>
      </c>
      <c r="B2666" t="s">
        <v>1795</v>
      </c>
    </row>
    <row r="2667" spans="1:4" x14ac:dyDescent="0.3">
      <c r="A2667" s="36">
        <v>30717065359</v>
      </c>
      <c r="B2667" t="s">
        <v>1796</v>
      </c>
    </row>
    <row r="2668" spans="1:4" x14ac:dyDescent="0.3">
      <c r="A2668" s="36">
        <v>30504507870</v>
      </c>
      <c r="B2668" t="s">
        <v>1797</v>
      </c>
    </row>
    <row r="2669" spans="1:4" x14ac:dyDescent="0.3">
      <c r="A2669" s="36">
        <v>30500445757</v>
      </c>
      <c r="B2669" t="s">
        <v>1798</v>
      </c>
    </row>
    <row r="2670" spans="1:4" x14ac:dyDescent="0.3">
      <c r="A2670" s="36">
        <v>23043805649</v>
      </c>
      <c r="B2670" t="s">
        <v>1799</v>
      </c>
    </row>
    <row r="2671" spans="1:4" x14ac:dyDescent="0.3">
      <c r="A2671" s="36">
        <v>20280299686</v>
      </c>
      <c r="B2671" t="s">
        <v>1800</v>
      </c>
    </row>
    <row r="2672" spans="1:4" x14ac:dyDescent="0.3">
      <c r="A2672" s="36">
        <v>30693213262</v>
      </c>
      <c r="B2672" t="s">
        <v>1801</v>
      </c>
    </row>
    <row r="2673" spans="1:2" x14ac:dyDescent="0.3">
      <c r="A2673" s="36">
        <v>20298662915</v>
      </c>
      <c r="B2673" t="s">
        <v>1802</v>
      </c>
    </row>
    <row r="2674" spans="1:2" x14ac:dyDescent="0.3">
      <c r="A2674" s="36">
        <v>30708558792</v>
      </c>
      <c r="B2674" t="s">
        <v>1803</v>
      </c>
    </row>
    <row r="2675" spans="1:2" x14ac:dyDescent="0.3">
      <c r="A2675" s="36">
        <v>20286297839</v>
      </c>
      <c r="B2675" t="s">
        <v>1804</v>
      </c>
    </row>
    <row r="2676" spans="1:2" x14ac:dyDescent="0.3">
      <c r="A2676" s="36">
        <v>27188803771</v>
      </c>
      <c r="B2676" t="s">
        <v>1805</v>
      </c>
    </row>
    <row r="2677" spans="1:2" x14ac:dyDescent="0.3">
      <c r="A2677" s="36">
        <v>20334254500</v>
      </c>
      <c r="B2677" t="s">
        <v>1806</v>
      </c>
    </row>
    <row r="2678" spans="1:2" x14ac:dyDescent="0.3">
      <c r="A2678" s="36">
        <v>20277381908</v>
      </c>
      <c r="B2678" t="s">
        <v>1807</v>
      </c>
    </row>
    <row r="2679" spans="1:2" x14ac:dyDescent="0.3">
      <c r="A2679" s="36">
        <v>20334254500</v>
      </c>
      <c r="B2679" t="s">
        <v>1806</v>
      </c>
    </row>
    <row r="2680" spans="1:2" x14ac:dyDescent="0.3">
      <c r="A2680" s="36">
        <v>20277381908</v>
      </c>
      <c r="B2680" t="s">
        <v>1807</v>
      </c>
    </row>
    <row r="2681" spans="1:2" x14ac:dyDescent="0.3">
      <c r="A2681" s="36">
        <v>23329455319</v>
      </c>
      <c r="B2681" t="s">
        <v>1808</v>
      </c>
    </row>
    <row r="2682" spans="1:2" x14ac:dyDescent="0.3">
      <c r="A2682" s="36">
        <v>20335161395</v>
      </c>
      <c r="B2682" t="s">
        <v>1809</v>
      </c>
    </row>
    <row r="2683" spans="1:2" x14ac:dyDescent="0.3">
      <c r="A2683" s="36">
        <v>30716874377</v>
      </c>
      <c r="B2683" t="s">
        <v>1810</v>
      </c>
    </row>
    <row r="2684" spans="1:2" x14ac:dyDescent="0.3">
      <c r="A2684" s="36">
        <v>33663990859</v>
      </c>
      <c r="B2684" t="s">
        <v>1811</v>
      </c>
    </row>
    <row r="2685" spans="1:2" x14ac:dyDescent="0.3">
      <c r="A2685" s="36">
        <v>20271009780</v>
      </c>
      <c r="B2685" t="s">
        <v>1812</v>
      </c>
    </row>
    <row r="2686" spans="1:2" x14ac:dyDescent="0.3">
      <c r="A2686" s="36">
        <v>27267891848</v>
      </c>
      <c r="B2686" t="s">
        <v>1813</v>
      </c>
    </row>
    <row r="2687" spans="1:2" x14ac:dyDescent="0.3">
      <c r="A2687" s="36">
        <v>30715967134</v>
      </c>
      <c r="B2687" t="s">
        <v>1814</v>
      </c>
    </row>
    <row r="2688" spans="1:2" x14ac:dyDescent="0.3">
      <c r="A2688" s="36">
        <v>20337062041</v>
      </c>
      <c r="B2688" t="s">
        <v>1815</v>
      </c>
    </row>
    <row r="2689" spans="1:3" x14ac:dyDescent="0.3">
      <c r="A2689" s="36">
        <v>20337062041</v>
      </c>
      <c r="B2689" t="s">
        <v>1815</v>
      </c>
    </row>
    <row r="2690" spans="1:3" x14ac:dyDescent="0.3">
      <c r="A2690" s="36">
        <v>30717504824</v>
      </c>
      <c r="B2690" t="s">
        <v>1816</v>
      </c>
    </row>
    <row r="2691" spans="1:3" x14ac:dyDescent="0.3">
      <c r="A2691" s="36">
        <v>27369152357</v>
      </c>
      <c r="B2691" t="s">
        <v>1817</v>
      </c>
    </row>
    <row r="2692" spans="1:3" x14ac:dyDescent="0.3">
      <c r="A2692" s="36">
        <v>20374001524</v>
      </c>
      <c r="B2692" t="s">
        <v>1818</v>
      </c>
    </row>
    <row r="2693" spans="1:3" x14ac:dyDescent="0.3">
      <c r="A2693" s="36">
        <v>30714144339</v>
      </c>
      <c r="B2693" t="s">
        <v>1819</v>
      </c>
    </row>
    <row r="2694" spans="1:3" x14ac:dyDescent="0.3">
      <c r="A2694" s="36">
        <v>27234805679</v>
      </c>
      <c r="B2694" t="s">
        <v>1820</v>
      </c>
    </row>
    <row r="2695" spans="1:3" x14ac:dyDescent="0.3">
      <c r="A2695" s="36">
        <v>20928324568</v>
      </c>
      <c r="B2695" t="s">
        <v>1821</v>
      </c>
    </row>
    <row r="2696" spans="1:3" x14ac:dyDescent="0.3">
      <c r="A2696" s="36">
        <v>20309151489</v>
      </c>
      <c r="B2696" t="s">
        <v>1822</v>
      </c>
    </row>
    <row r="2697" spans="1:3" x14ac:dyDescent="0.3">
      <c r="A2697" s="36">
        <v>20370475750</v>
      </c>
      <c r="B2697" t="s">
        <v>1823</v>
      </c>
    </row>
    <row r="2698" spans="1:3" x14ac:dyDescent="0.3">
      <c r="A2698" s="36">
        <v>33661899439</v>
      </c>
      <c r="B2698" t="s">
        <v>1824</v>
      </c>
    </row>
    <row r="2699" spans="1:3" x14ac:dyDescent="0.3">
      <c r="A2699" s="36">
        <v>30695443907</v>
      </c>
      <c r="B2699" t="s">
        <v>1825</v>
      </c>
      <c r="C2699" s="35" t="s">
        <v>44</v>
      </c>
    </row>
    <row r="2700" spans="1:3" x14ac:dyDescent="0.3">
      <c r="A2700" s="36">
        <v>30653466931</v>
      </c>
      <c r="B2700" t="s">
        <v>1826</v>
      </c>
      <c r="C2700" s="35" t="s">
        <v>44</v>
      </c>
    </row>
    <row r="2701" spans="1:3" x14ac:dyDescent="0.3">
      <c r="A2701" s="36">
        <v>30709394912</v>
      </c>
      <c r="B2701" t="s">
        <v>1827</v>
      </c>
      <c r="C2701" s="35" t="s">
        <v>44</v>
      </c>
    </row>
    <row r="2702" spans="1:3" x14ac:dyDescent="0.3">
      <c r="A2702" s="36">
        <v>20186965818</v>
      </c>
      <c r="B2702" t="s">
        <v>1828</v>
      </c>
      <c r="C2702" s="35" t="s">
        <v>1781</v>
      </c>
    </row>
    <row r="2703" spans="1:3" x14ac:dyDescent="0.3">
      <c r="A2703" s="36">
        <v>27165595861</v>
      </c>
      <c r="B2703" t="s">
        <v>1829</v>
      </c>
      <c r="C2703" s="35" t="s">
        <v>1830</v>
      </c>
    </row>
    <row r="2704" spans="1:3" x14ac:dyDescent="0.3">
      <c r="A2704" s="36">
        <v>30715819461</v>
      </c>
      <c r="B2704" t="s">
        <v>1831</v>
      </c>
    </row>
    <row r="2705" spans="1:3" x14ac:dyDescent="0.3">
      <c r="A2705" s="36">
        <v>27243890484</v>
      </c>
      <c r="B2705" t="s">
        <v>1833</v>
      </c>
      <c r="C2705" s="35" t="s">
        <v>1778</v>
      </c>
    </row>
    <row r="2706" spans="1:3" x14ac:dyDescent="0.3">
      <c r="A2706" s="36">
        <v>30712099166</v>
      </c>
      <c r="B2706" t="s">
        <v>1834</v>
      </c>
    </row>
    <row r="2707" spans="1:3" x14ac:dyDescent="0.3">
      <c r="A2707" s="36">
        <v>30705466269</v>
      </c>
      <c r="B2707" t="s">
        <v>1835</v>
      </c>
    </row>
    <row r="2708" spans="1:3" x14ac:dyDescent="0.3">
      <c r="A2708" s="36">
        <v>27135996373</v>
      </c>
      <c r="B2708" t="s">
        <v>1836</v>
      </c>
    </row>
    <row r="2709" spans="1:3" x14ac:dyDescent="0.3">
      <c r="A2709" s="36">
        <v>30717442551</v>
      </c>
      <c r="B2709" t="s">
        <v>1837</v>
      </c>
    </row>
    <row r="2710" spans="1:3" x14ac:dyDescent="0.3">
      <c r="A2710" s="36">
        <v>33640077609</v>
      </c>
      <c r="B2710" t="s">
        <v>1838</v>
      </c>
      <c r="C2710" s="35" t="s">
        <v>1850</v>
      </c>
    </row>
    <row r="2711" spans="1:3" x14ac:dyDescent="0.3">
      <c r="A2711" s="36">
        <v>20294675826</v>
      </c>
      <c r="B2711" t="s">
        <v>1839</v>
      </c>
    </row>
    <row r="2712" spans="1:3" x14ac:dyDescent="0.3">
      <c r="A2712" s="36">
        <v>30712210636</v>
      </c>
      <c r="B2712" t="s">
        <v>1840</v>
      </c>
    </row>
    <row r="2713" spans="1:3" x14ac:dyDescent="0.3">
      <c r="A2713" s="36">
        <v>30715053221</v>
      </c>
      <c r="B2713" t="s">
        <v>1841</v>
      </c>
    </row>
    <row r="2714" spans="1:3" x14ac:dyDescent="0.3">
      <c r="A2714" s="36">
        <v>20256599954</v>
      </c>
      <c r="B2714" t="s">
        <v>1842</v>
      </c>
    </row>
    <row r="2715" spans="1:3" x14ac:dyDescent="0.3">
      <c r="A2715" s="36">
        <v>20372478056</v>
      </c>
      <c r="B2715" t="s">
        <v>1843</v>
      </c>
    </row>
    <row r="2716" spans="1:3" x14ac:dyDescent="0.3">
      <c r="A2716" s="36">
        <v>30699455829</v>
      </c>
      <c r="B2716" t="s">
        <v>1844</v>
      </c>
    </row>
    <row r="2717" spans="1:3" x14ac:dyDescent="0.3">
      <c r="A2717" s="36">
        <v>33716968109</v>
      </c>
      <c r="B2717" t="s">
        <v>1845</v>
      </c>
    </row>
    <row r="2718" spans="1:3" x14ac:dyDescent="0.3">
      <c r="A2718" s="36">
        <v>30711776040</v>
      </c>
      <c r="B2718" t="s">
        <v>1846</v>
      </c>
    </row>
    <row r="2719" spans="1:3" x14ac:dyDescent="0.3">
      <c r="A2719" s="36">
        <v>30712449361</v>
      </c>
      <c r="B2719" t="s">
        <v>1847</v>
      </c>
    </row>
    <row r="2720" spans="1:3" x14ac:dyDescent="0.3">
      <c r="A2720" s="36">
        <v>30709788635</v>
      </c>
      <c r="B2720" t="s">
        <v>1848</v>
      </c>
    </row>
    <row r="2721" spans="1:3" x14ac:dyDescent="0.3">
      <c r="A2721" s="36">
        <v>33716463899</v>
      </c>
      <c r="B2721" t="s">
        <v>1849</v>
      </c>
      <c r="C2721" s="35" t="s">
        <v>1778</v>
      </c>
    </row>
    <row r="2722" spans="1:3" x14ac:dyDescent="0.3">
      <c r="A2722" s="36">
        <v>30711200599</v>
      </c>
      <c r="B2722" t="s">
        <v>1851</v>
      </c>
    </row>
    <row r="2723" spans="1:3" x14ac:dyDescent="0.3">
      <c r="A2723" s="36">
        <v>27162255881</v>
      </c>
      <c r="B2723" t="s">
        <v>1852</v>
      </c>
    </row>
    <row r="2724" spans="1:3" x14ac:dyDescent="0.3">
      <c r="A2724" s="36">
        <v>30707254366</v>
      </c>
      <c r="B2724" t="s">
        <v>1853</v>
      </c>
    </row>
    <row r="2725" spans="1:3" x14ac:dyDescent="0.3">
      <c r="A2725" s="36">
        <v>30718018311</v>
      </c>
      <c r="B2725" t="s">
        <v>1854</v>
      </c>
    </row>
    <row r="2726" spans="1:3" x14ac:dyDescent="0.3">
      <c r="A2726" s="36">
        <v>30715510002</v>
      </c>
      <c r="B2726" t="s">
        <v>1855</v>
      </c>
    </row>
    <row r="2727" spans="1:3" x14ac:dyDescent="0.3">
      <c r="A2727" s="36">
        <v>23221796969</v>
      </c>
      <c r="B2727" t="s">
        <v>1856</v>
      </c>
    </row>
    <row r="2728" spans="1:3" x14ac:dyDescent="0.3">
      <c r="A2728" s="36">
        <v>30710457502</v>
      </c>
      <c r="B2728" t="s">
        <v>1857</v>
      </c>
    </row>
    <row r="2729" spans="1:3" x14ac:dyDescent="0.3">
      <c r="A2729" s="36">
        <v>30717323420</v>
      </c>
      <c r="B2729" t="s">
        <v>1858</v>
      </c>
    </row>
    <row r="2730" spans="1:3" x14ac:dyDescent="0.3">
      <c r="A2730" s="36">
        <v>30715342983</v>
      </c>
      <c r="B2730" t="s">
        <v>1859</v>
      </c>
    </row>
    <row r="2731" spans="1:3" x14ac:dyDescent="0.3">
      <c r="A2731" s="36">
        <v>20177984184</v>
      </c>
      <c r="B2731" t="s">
        <v>1860</v>
      </c>
    </row>
    <row r="2732" spans="1:3" x14ac:dyDescent="0.3">
      <c r="A2732" s="36">
        <v>30716959232</v>
      </c>
      <c r="B2732" t="s">
        <v>1861</v>
      </c>
    </row>
    <row r="2733" spans="1:3" x14ac:dyDescent="0.3">
      <c r="A2733" s="36">
        <v>27326035306</v>
      </c>
      <c r="B2733" t="s">
        <v>1862</v>
      </c>
    </row>
    <row r="2734" spans="1:3" x14ac:dyDescent="0.3">
      <c r="A2734" s="36">
        <v>33715179119</v>
      </c>
      <c r="B2734" t="s">
        <v>1863</v>
      </c>
    </row>
    <row r="2735" spans="1:3" x14ac:dyDescent="0.3">
      <c r="A2735" s="36">
        <v>23316519539</v>
      </c>
      <c r="B2735" t="s">
        <v>1864</v>
      </c>
    </row>
    <row r="2736" spans="1:3" x14ac:dyDescent="0.3">
      <c r="A2736" s="36">
        <v>33709180849</v>
      </c>
      <c r="B2736" t="s">
        <v>1865</v>
      </c>
    </row>
    <row r="2737" spans="1:3" x14ac:dyDescent="0.3">
      <c r="A2737" s="36">
        <v>30628724497</v>
      </c>
      <c r="B2737" t="s">
        <v>1866</v>
      </c>
    </row>
    <row r="2738" spans="1:3" x14ac:dyDescent="0.3">
      <c r="A2738" s="36">
        <v>30707924906</v>
      </c>
      <c r="B2738" t="s">
        <v>1869</v>
      </c>
      <c r="C2738" s="35" t="s">
        <v>1778</v>
      </c>
    </row>
    <row r="2739" spans="1:3" x14ac:dyDescent="0.3">
      <c r="A2739" s="36">
        <v>30714381942</v>
      </c>
      <c r="B2739" t="s">
        <v>1870</v>
      </c>
    </row>
    <row r="2740" spans="1:3" x14ac:dyDescent="0.3">
      <c r="A2740" s="36">
        <v>30697954399</v>
      </c>
      <c r="B2740" t="s">
        <v>1871</v>
      </c>
    </row>
    <row r="2741" spans="1:3" x14ac:dyDescent="0.3">
      <c r="A2741" s="36">
        <v>30711080917</v>
      </c>
      <c r="B2741" t="s">
        <v>1872</v>
      </c>
    </row>
    <row r="2742" spans="1:3" x14ac:dyDescent="0.3">
      <c r="A2742" s="36">
        <v>30715537512</v>
      </c>
      <c r="B2742" t="s">
        <v>1873</v>
      </c>
      <c r="C2742" s="35" t="s">
        <v>44</v>
      </c>
    </row>
    <row r="2743" spans="1:3" x14ac:dyDescent="0.3">
      <c r="A2743" s="36">
        <v>30708157755</v>
      </c>
      <c r="B2743" t="s">
        <v>1876</v>
      </c>
    </row>
    <row r="2744" spans="1:3" x14ac:dyDescent="0.3">
      <c r="A2744" s="36">
        <v>30709609064</v>
      </c>
      <c r="B2744" t="s">
        <v>1877</v>
      </c>
    </row>
    <row r="2745" spans="1:3" x14ac:dyDescent="0.3">
      <c r="A2745" s="36">
        <v>30716339757</v>
      </c>
      <c r="B2745" t="s">
        <v>1878</v>
      </c>
    </row>
    <row r="2746" spans="1:3" x14ac:dyDescent="0.3">
      <c r="A2746" s="36">
        <v>30710405413</v>
      </c>
      <c r="B2746" t="s">
        <v>1879</v>
      </c>
    </row>
    <row r="2747" spans="1:3" x14ac:dyDescent="0.3">
      <c r="A2747" s="36">
        <v>27293459172</v>
      </c>
      <c r="B2747" t="s">
        <v>1880</v>
      </c>
    </row>
    <row r="2748" spans="1:3" x14ac:dyDescent="0.3">
      <c r="A2748" s="36">
        <v>30621927252</v>
      </c>
      <c r="B2748" t="s">
        <v>1881</v>
      </c>
    </row>
    <row r="2749" spans="1:3" x14ac:dyDescent="0.3">
      <c r="A2749" s="36">
        <v>30710449178</v>
      </c>
      <c r="B2749" t="s">
        <v>1882</v>
      </c>
    </row>
    <row r="2750" spans="1:3" x14ac:dyDescent="0.3">
      <c r="A2750" s="36">
        <v>30710018479</v>
      </c>
      <c r="B2750" t="s">
        <v>1883</v>
      </c>
    </row>
    <row r="2751" spans="1:3" x14ac:dyDescent="0.3">
      <c r="A2751" s="36">
        <v>33712020569</v>
      </c>
      <c r="B2751" t="s">
        <v>1884</v>
      </c>
    </row>
    <row r="2752" spans="1:3" x14ac:dyDescent="0.3">
      <c r="A2752" s="36">
        <v>23177130079</v>
      </c>
      <c r="B2752" t="s">
        <v>1885</v>
      </c>
    </row>
    <row r="2753" spans="1:4" x14ac:dyDescent="0.3">
      <c r="A2753" s="36">
        <v>30697262063</v>
      </c>
      <c r="B2753" t="s">
        <v>1886</v>
      </c>
    </row>
    <row r="2754" spans="1:4" x14ac:dyDescent="0.3">
      <c r="A2754" s="36">
        <v>30710857322</v>
      </c>
      <c r="B2754" t="s">
        <v>1887</v>
      </c>
    </row>
    <row r="2755" spans="1:4" x14ac:dyDescent="0.3">
      <c r="A2755" s="36">
        <v>30716827166</v>
      </c>
      <c r="B2755" t="s">
        <v>1888</v>
      </c>
    </row>
    <row r="2756" spans="1:4" x14ac:dyDescent="0.3">
      <c r="A2756" s="36">
        <v>33715693009</v>
      </c>
      <c r="B2756" t="s">
        <v>1889</v>
      </c>
    </row>
    <row r="2757" spans="1:4" x14ac:dyDescent="0.3">
      <c r="A2757" s="36">
        <v>20359718765</v>
      </c>
      <c r="B2757" t="s">
        <v>1890</v>
      </c>
    </row>
    <row r="2758" spans="1:4" x14ac:dyDescent="0.3">
      <c r="A2758" s="36">
        <v>20106202274</v>
      </c>
      <c r="B2758" t="s">
        <v>1891</v>
      </c>
    </row>
    <row r="2759" spans="1:4" x14ac:dyDescent="0.3">
      <c r="A2759" s="36">
        <v>30637769002</v>
      </c>
      <c r="B2759" t="s">
        <v>1892</v>
      </c>
    </row>
    <row r="2760" spans="1:4" x14ac:dyDescent="0.3">
      <c r="A2760" s="36">
        <v>30707963804</v>
      </c>
      <c r="B2760" t="s">
        <v>1893</v>
      </c>
    </row>
    <row r="2761" spans="1:4" x14ac:dyDescent="0.3">
      <c r="A2761" s="36">
        <v>30669793754</v>
      </c>
      <c r="B2761" t="s">
        <v>1894</v>
      </c>
    </row>
    <row r="2762" spans="1:4" x14ac:dyDescent="0.3">
      <c r="A2762" s="36">
        <v>23222942934</v>
      </c>
      <c r="B2762" t="s">
        <v>1895</v>
      </c>
    </row>
    <row r="2763" spans="1:4" x14ac:dyDescent="0.3">
      <c r="A2763" s="36">
        <v>20267256196</v>
      </c>
      <c r="B2763" t="s">
        <v>1896</v>
      </c>
    </row>
    <row r="2764" spans="1:4" x14ac:dyDescent="0.3">
      <c r="A2764" s="36">
        <v>30537781323</v>
      </c>
      <c r="B2764" t="s">
        <v>1902</v>
      </c>
      <c r="C2764" s="35" t="s">
        <v>44</v>
      </c>
      <c r="D2764" t="s">
        <v>1779</v>
      </c>
    </row>
    <row r="2765" spans="1:4" x14ac:dyDescent="0.3">
      <c r="A2765" s="36">
        <v>30662624736</v>
      </c>
      <c r="B2765" t="s">
        <v>1903</v>
      </c>
      <c r="C2765" s="35" t="s">
        <v>44</v>
      </c>
      <c r="D2765" t="s">
        <v>1782</v>
      </c>
    </row>
    <row r="2766" spans="1:4" x14ac:dyDescent="0.3">
      <c r="A2766" s="36">
        <v>30698813659</v>
      </c>
      <c r="B2766" t="s">
        <v>1905</v>
      </c>
      <c r="C2766" s="35" t="s">
        <v>44</v>
      </c>
      <c r="D2766" t="s">
        <v>1782</v>
      </c>
    </row>
    <row r="2767" spans="1:4" x14ac:dyDescent="0.3">
      <c r="A2767" s="36">
        <v>30701367193</v>
      </c>
      <c r="B2767" t="s">
        <v>1906</v>
      </c>
      <c r="C2767" s="35" t="s">
        <v>44</v>
      </c>
      <c r="D2767" t="s">
        <v>1907</v>
      </c>
    </row>
    <row r="2768" spans="1:4" x14ac:dyDescent="0.3">
      <c r="A2768" s="36">
        <v>30583747482</v>
      </c>
      <c r="B2768" t="s">
        <v>1908</v>
      </c>
      <c r="C2768" s="35" t="s">
        <v>44</v>
      </c>
      <c r="D2768" t="s">
        <v>1782</v>
      </c>
    </row>
    <row r="2769" spans="1:4" x14ac:dyDescent="0.3">
      <c r="A2769" s="36">
        <v>20130138005</v>
      </c>
      <c r="B2769" t="s">
        <v>1909</v>
      </c>
      <c r="C2769" s="35" t="s">
        <v>44</v>
      </c>
      <c r="D2769" t="s">
        <v>1779</v>
      </c>
    </row>
    <row r="2770" spans="1:4" x14ac:dyDescent="0.3">
      <c r="A2770" s="36">
        <v>30688774495</v>
      </c>
      <c r="B2770" t="s">
        <v>1910</v>
      </c>
      <c r="C2770" s="35" t="s">
        <v>44</v>
      </c>
      <c r="D2770" t="s">
        <v>1782</v>
      </c>
    </row>
    <row r="2771" spans="1:4" x14ac:dyDescent="0.3">
      <c r="A2771" s="36">
        <v>30587053221</v>
      </c>
      <c r="B2771" t="s">
        <v>1914</v>
      </c>
    </row>
    <row r="2772" spans="1:4" x14ac:dyDescent="0.3">
      <c r="A2772" s="36">
        <v>27276370575</v>
      </c>
      <c r="B2772" t="s">
        <v>1915</v>
      </c>
    </row>
    <row r="2773" spans="1:4" x14ac:dyDescent="0.3">
      <c r="A2773" s="36">
        <v>30715501348</v>
      </c>
      <c r="B2773" t="s">
        <v>1916</v>
      </c>
    </row>
    <row r="2774" spans="1:4" x14ac:dyDescent="0.3">
      <c r="A2774" s="36">
        <v>30715303236</v>
      </c>
      <c r="B2774" t="s">
        <v>1917</v>
      </c>
    </row>
    <row r="2775" spans="1:4" x14ac:dyDescent="0.3">
      <c r="A2775" s="36">
        <v>20337162879</v>
      </c>
      <c r="B2775" t="s">
        <v>1918</v>
      </c>
    </row>
    <row r="2776" spans="1:4" x14ac:dyDescent="0.3">
      <c r="A2776" s="36">
        <v>20214813301</v>
      </c>
      <c r="B2776" t="s">
        <v>1919</v>
      </c>
    </row>
    <row r="2777" spans="1:4" x14ac:dyDescent="0.3">
      <c r="A2777" s="36">
        <v>30714120405</v>
      </c>
      <c r="B2777" t="s">
        <v>1920</v>
      </c>
    </row>
    <row r="2778" spans="1:4" x14ac:dyDescent="0.3">
      <c r="A2778" s="36">
        <v>30717305287</v>
      </c>
      <c r="B2778" t="s">
        <v>1921</v>
      </c>
    </row>
    <row r="2779" spans="1:4" x14ac:dyDescent="0.3">
      <c r="A2779" s="36">
        <v>30709625833</v>
      </c>
      <c r="B2779" t="s">
        <v>1922</v>
      </c>
    </row>
    <row r="2780" spans="1:4" x14ac:dyDescent="0.3">
      <c r="A2780" s="36">
        <v>33712445489</v>
      </c>
      <c r="B2780" t="s">
        <v>1923</v>
      </c>
    </row>
    <row r="2781" spans="1:4" x14ac:dyDescent="0.3">
      <c r="A2781" s="36">
        <v>20956744750</v>
      </c>
      <c r="B2781" t="s">
        <v>1924</v>
      </c>
    </row>
    <row r="2782" spans="1:4" x14ac:dyDescent="0.3">
      <c r="A2782" s="36">
        <v>20259150249</v>
      </c>
      <c r="B2782" t="s">
        <v>1925</v>
      </c>
    </row>
    <row r="2783" spans="1:4" x14ac:dyDescent="0.3">
      <c r="A2783" s="36">
        <v>30695506410</v>
      </c>
      <c r="B2783" t="s">
        <v>1926</v>
      </c>
    </row>
    <row r="2784" spans="1:4" x14ac:dyDescent="0.3">
      <c r="A2784" s="36">
        <v>30709600539</v>
      </c>
      <c r="B2784" t="s">
        <v>1927</v>
      </c>
    </row>
    <row r="2785" spans="1:2" x14ac:dyDescent="0.3">
      <c r="A2785" s="36">
        <v>20161447340</v>
      </c>
      <c r="B2785" t="s">
        <v>1928</v>
      </c>
    </row>
    <row r="2786" spans="1:2" x14ac:dyDescent="0.3">
      <c r="A2786" s="36">
        <v>27065444777</v>
      </c>
      <c r="B2786" t="s">
        <v>1929</v>
      </c>
    </row>
    <row r="2787" spans="1:2" x14ac:dyDescent="0.3">
      <c r="A2787" s="36">
        <v>20400104094</v>
      </c>
      <c r="B2787" t="s">
        <v>1930</v>
      </c>
    </row>
    <row r="2788" spans="1:2" x14ac:dyDescent="0.3">
      <c r="A2788" s="36">
        <v>20134116251</v>
      </c>
      <c r="B2788" t="s">
        <v>1931</v>
      </c>
    </row>
    <row r="2789" spans="1:2" x14ac:dyDescent="0.3">
      <c r="A2789" s="36">
        <v>30519167472</v>
      </c>
      <c r="B2789" t="s">
        <v>1938</v>
      </c>
    </row>
    <row r="2790" spans="1:2" x14ac:dyDescent="0.3">
      <c r="A2790" s="36">
        <v>30711463514</v>
      </c>
      <c r="B2790" t="s">
        <v>1939</v>
      </c>
    </row>
    <row r="2791" spans="1:2" x14ac:dyDescent="0.3">
      <c r="A2791" s="36">
        <v>30716583984</v>
      </c>
      <c r="B2791" t="s">
        <v>1940</v>
      </c>
    </row>
    <row r="2792" spans="1:2" x14ac:dyDescent="0.3">
      <c r="A2792" s="36">
        <v>30699342129</v>
      </c>
      <c r="B2792" t="s">
        <v>1941</v>
      </c>
    </row>
    <row r="2793" spans="1:2" x14ac:dyDescent="0.3">
      <c r="A2793" s="36">
        <v>30716877260</v>
      </c>
      <c r="B2793" t="s">
        <v>1942</v>
      </c>
    </row>
    <row r="2794" spans="1:2" x14ac:dyDescent="0.3">
      <c r="A2794" s="36">
        <v>30714683663</v>
      </c>
      <c r="B2794" t="s">
        <v>1943</v>
      </c>
    </row>
    <row r="2795" spans="1:2" x14ac:dyDescent="0.3">
      <c r="A2795" s="36">
        <v>30714911135</v>
      </c>
      <c r="B2795" t="s">
        <v>1944</v>
      </c>
    </row>
    <row r="2796" spans="1:2" x14ac:dyDescent="0.3">
      <c r="A2796" s="36">
        <v>20104345221</v>
      </c>
      <c r="B2796" t="s">
        <v>1945</v>
      </c>
    </row>
    <row r="2797" spans="1:2" x14ac:dyDescent="0.3">
      <c r="A2797" s="36">
        <v>30714683663</v>
      </c>
      <c r="B2797" t="s">
        <v>1943</v>
      </c>
    </row>
    <row r="2798" spans="1:2" x14ac:dyDescent="0.3">
      <c r="A2798" s="36">
        <v>30714389064</v>
      </c>
      <c r="B2798" t="s">
        <v>1946</v>
      </c>
    </row>
    <row r="2799" spans="1:2" x14ac:dyDescent="0.3">
      <c r="A2799" s="36">
        <v>20337899790</v>
      </c>
      <c r="B2799" t="s">
        <v>1947</v>
      </c>
    </row>
    <row r="2800" spans="1:2" x14ac:dyDescent="0.3">
      <c r="A2800" s="36">
        <v>30710276273</v>
      </c>
      <c r="B2800" t="s">
        <v>1948</v>
      </c>
    </row>
    <row r="2801" spans="1:2" x14ac:dyDescent="0.3">
      <c r="A2801" s="36">
        <v>30717322815</v>
      </c>
      <c r="B2801" t="s">
        <v>1949</v>
      </c>
    </row>
    <row r="2802" spans="1:2" x14ac:dyDescent="0.3">
      <c r="A2802" s="36">
        <v>30717695026</v>
      </c>
      <c r="B2802" t="s">
        <v>1950</v>
      </c>
    </row>
    <row r="2803" spans="1:2" x14ac:dyDescent="0.3">
      <c r="A2803" s="36">
        <v>30717675408</v>
      </c>
      <c r="B2803" t="s">
        <v>1951</v>
      </c>
    </row>
    <row r="2804" spans="1:2" x14ac:dyDescent="0.3">
      <c r="A2804" s="36">
        <v>30711722129</v>
      </c>
      <c r="B2804" t="s">
        <v>1952</v>
      </c>
    </row>
    <row r="2805" spans="1:2" x14ac:dyDescent="0.3">
      <c r="A2805" s="36">
        <v>33711089859</v>
      </c>
      <c r="B2805" t="s">
        <v>1953</v>
      </c>
    </row>
    <row r="2806" spans="1:2" x14ac:dyDescent="0.3">
      <c r="A2806" s="36">
        <v>30715401467</v>
      </c>
      <c r="B2806" t="s">
        <v>1954</v>
      </c>
    </row>
    <row r="2807" spans="1:2" x14ac:dyDescent="0.3">
      <c r="A2807" s="36">
        <v>30603886360</v>
      </c>
      <c r="B2807" t="s">
        <v>1955</v>
      </c>
    </row>
    <row r="2808" spans="1:2" x14ac:dyDescent="0.3">
      <c r="A2808" s="36">
        <v>27315291661</v>
      </c>
      <c r="B2808" t="s">
        <v>1956</v>
      </c>
    </row>
    <row r="2809" spans="1:2" x14ac:dyDescent="0.3">
      <c r="A2809" s="36">
        <v>27288615557</v>
      </c>
      <c r="B2809" t="s">
        <v>1957</v>
      </c>
    </row>
    <row r="2810" spans="1:2" x14ac:dyDescent="0.3">
      <c r="A2810" s="36">
        <v>30678539712</v>
      </c>
      <c r="B2810" t="s">
        <v>1958</v>
      </c>
    </row>
    <row r="2811" spans="1:2" x14ac:dyDescent="0.3">
      <c r="A2811" s="36">
        <v>30715399896</v>
      </c>
      <c r="B2811" t="s">
        <v>1959</v>
      </c>
    </row>
    <row r="2812" spans="1:2" x14ac:dyDescent="0.3">
      <c r="A2812" s="36">
        <v>30718148207</v>
      </c>
      <c r="B2812" t="s">
        <v>1960</v>
      </c>
    </row>
    <row r="2813" spans="1:2" x14ac:dyDescent="0.3">
      <c r="A2813" s="36">
        <v>30716526832</v>
      </c>
      <c r="B2813" t="s">
        <v>1961</v>
      </c>
    </row>
    <row r="2814" spans="1:2" x14ac:dyDescent="0.3">
      <c r="A2814" s="36">
        <v>27245151522</v>
      </c>
      <c r="B2814" t="s">
        <v>1962</v>
      </c>
    </row>
    <row r="2815" spans="1:2" x14ac:dyDescent="0.3">
      <c r="A2815" s="36">
        <v>30574603788</v>
      </c>
      <c r="B2815" t="s">
        <v>1364</v>
      </c>
    </row>
    <row r="2816" spans="1:2" x14ac:dyDescent="0.3">
      <c r="A2816" s="36">
        <v>20236267688</v>
      </c>
      <c r="B2816" t="s">
        <v>1963</v>
      </c>
    </row>
    <row r="2817" spans="1:2" x14ac:dyDescent="0.3">
      <c r="A2817" s="36">
        <v>20237825021</v>
      </c>
      <c r="B2817" t="s">
        <v>1964</v>
      </c>
    </row>
    <row r="2818" spans="1:2" x14ac:dyDescent="0.3">
      <c r="A2818" s="36">
        <v>30516863230</v>
      </c>
      <c r="B2818" t="s">
        <v>1965</v>
      </c>
    </row>
    <row r="2819" spans="1:2" x14ac:dyDescent="0.3">
      <c r="A2819" s="36">
        <v>30710587619</v>
      </c>
      <c r="B2819" t="s">
        <v>1966</v>
      </c>
    </row>
    <row r="2820" spans="1:2" x14ac:dyDescent="0.3">
      <c r="A2820" s="36">
        <v>30716920344</v>
      </c>
      <c r="B2820" t="s">
        <v>1967</v>
      </c>
    </row>
    <row r="2821" spans="1:2" x14ac:dyDescent="0.3">
      <c r="A2821" s="36">
        <v>27287475344</v>
      </c>
      <c r="B2821" t="s">
        <v>1968</v>
      </c>
    </row>
    <row r="2822" spans="1:2" x14ac:dyDescent="0.3">
      <c r="A2822" s="36">
        <v>30707862900</v>
      </c>
      <c r="B2822" t="s">
        <v>1969</v>
      </c>
    </row>
    <row r="2823" spans="1:2" x14ac:dyDescent="0.3">
      <c r="A2823" s="36">
        <v>30715706551</v>
      </c>
      <c r="B2823" t="s">
        <v>1970</v>
      </c>
    </row>
    <row r="2824" spans="1:2" x14ac:dyDescent="0.3">
      <c r="A2824" s="36">
        <v>30717640175</v>
      </c>
      <c r="B2824" t="s">
        <v>1971</v>
      </c>
    </row>
    <row r="2825" spans="1:2" x14ac:dyDescent="0.3">
      <c r="A2825" s="36">
        <v>30717934020</v>
      </c>
      <c r="B2825" t="s">
        <v>1972</v>
      </c>
    </row>
    <row r="2826" spans="1:2" x14ac:dyDescent="0.3">
      <c r="A2826" s="36">
        <v>30709424420</v>
      </c>
      <c r="B2826" t="s">
        <v>1973</v>
      </c>
    </row>
    <row r="2827" spans="1:2" x14ac:dyDescent="0.3">
      <c r="A2827" s="36">
        <v>27293054350</v>
      </c>
      <c r="B2827" t="s">
        <v>1974</v>
      </c>
    </row>
    <row r="2828" spans="1:2" x14ac:dyDescent="0.3">
      <c r="A2828" s="36">
        <v>30702209397</v>
      </c>
      <c r="B2828" t="s">
        <v>1975</v>
      </c>
    </row>
    <row r="2829" spans="1:2" x14ac:dyDescent="0.3">
      <c r="A2829" s="36">
        <v>33708907869</v>
      </c>
      <c r="B2829" t="s">
        <v>1976</v>
      </c>
    </row>
    <row r="2830" spans="1:2" x14ac:dyDescent="0.3">
      <c r="A2830" s="36">
        <v>20177965279</v>
      </c>
      <c r="B2830" t="s">
        <v>1977</v>
      </c>
    </row>
    <row r="2831" spans="1:2" x14ac:dyDescent="0.3">
      <c r="A2831" s="36">
        <v>20285074712</v>
      </c>
      <c r="B2831" t="s">
        <v>1978</v>
      </c>
    </row>
    <row r="2832" spans="1:2" x14ac:dyDescent="0.3">
      <c r="A2832" s="36">
        <v>20417104543</v>
      </c>
      <c r="B2832" t="s">
        <v>1979</v>
      </c>
    </row>
    <row r="2833" spans="1:4" x14ac:dyDescent="0.3">
      <c r="A2833" s="36">
        <v>20279103190</v>
      </c>
      <c r="B2833" t="s">
        <v>1980</v>
      </c>
    </row>
    <row r="2834" spans="1:4" x14ac:dyDescent="0.3">
      <c r="A2834" s="36">
        <v>30707059466</v>
      </c>
      <c r="B2834" t="s">
        <v>1981</v>
      </c>
    </row>
    <row r="2835" spans="1:4" x14ac:dyDescent="0.3">
      <c r="A2835" s="36">
        <v>30716621894</v>
      </c>
      <c r="B2835" t="s">
        <v>1986</v>
      </c>
    </row>
    <row r="2836" spans="1:4" x14ac:dyDescent="0.3">
      <c r="A2836" s="36">
        <v>30709972894</v>
      </c>
      <c r="B2836" t="s">
        <v>1987</v>
      </c>
    </row>
    <row r="2837" spans="1:4" x14ac:dyDescent="0.3">
      <c r="A2837" s="36">
        <v>27940267965</v>
      </c>
      <c r="B2837" t="s">
        <v>1988</v>
      </c>
    </row>
    <row r="2838" spans="1:4" x14ac:dyDescent="0.3">
      <c r="A2838" s="36">
        <v>30601502778</v>
      </c>
      <c r="B2838" t="s">
        <v>1989</v>
      </c>
    </row>
    <row r="2839" spans="1:4" x14ac:dyDescent="0.3">
      <c r="A2839" s="36">
        <v>20164549837</v>
      </c>
      <c r="B2839" t="s">
        <v>1990</v>
      </c>
    </row>
    <row r="2840" spans="1:4" x14ac:dyDescent="0.3">
      <c r="A2840" s="36">
        <v>20140992411</v>
      </c>
      <c r="B2840" t="s">
        <v>1991</v>
      </c>
      <c r="D2840" t="s">
        <v>1779</v>
      </c>
    </row>
    <row r="2841" spans="1:4" x14ac:dyDescent="0.3">
      <c r="A2841" s="36">
        <v>20372789507</v>
      </c>
      <c r="B2841" t="s">
        <v>1992</v>
      </c>
      <c r="C2841" s="35" t="s">
        <v>1778</v>
      </c>
      <c r="D2841" t="s">
        <v>1782</v>
      </c>
    </row>
    <row r="2842" spans="1:4" x14ac:dyDescent="0.3">
      <c r="A2842" s="36">
        <v>30710128584</v>
      </c>
      <c r="B2842" t="s">
        <v>1993</v>
      </c>
      <c r="C2842" s="35" t="s">
        <v>44</v>
      </c>
      <c r="D2842" t="s">
        <v>1782</v>
      </c>
    </row>
    <row r="2843" spans="1:4" x14ac:dyDescent="0.3">
      <c r="A2843" s="36">
        <v>30715693123</v>
      </c>
      <c r="B2843" t="s">
        <v>1994</v>
      </c>
      <c r="C2843" s="35" t="s">
        <v>1995</v>
      </c>
    </row>
    <row r="2844" spans="1:4" x14ac:dyDescent="0.3">
      <c r="A2844" s="36">
        <v>30671637689</v>
      </c>
      <c r="B2844" t="s">
        <v>1996</v>
      </c>
      <c r="C2844" s="35" t="s">
        <v>44</v>
      </c>
    </row>
    <row r="2845" spans="1:4" x14ac:dyDescent="0.3">
      <c r="A2845" s="36">
        <v>30594832783</v>
      </c>
      <c r="B2845" t="s">
        <v>1997</v>
      </c>
      <c r="C2845" s="35" t="s">
        <v>44</v>
      </c>
    </row>
    <row r="2846" spans="1:4" x14ac:dyDescent="0.3">
      <c r="A2846" s="36">
        <v>30522581506</v>
      </c>
      <c r="B2846" t="s">
        <v>1998</v>
      </c>
      <c r="C2846" s="35" t="s">
        <v>86</v>
      </c>
    </row>
    <row r="2847" spans="1:4" x14ac:dyDescent="0.3">
      <c r="A2847" s="36">
        <v>20109830810</v>
      </c>
      <c r="B2847" t="s">
        <v>1999</v>
      </c>
    </row>
    <row r="2848" spans="1:4" x14ac:dyDescent="0.3">
      <c r="A2848" s="36">
        <v>20244059369</v>
      </c>
      <c r="B2848" t="s">
        <v>2000</v>
      </c>
    </row>
    <row r="2849" spans="1:3" x14ac:dyDescent="0.3">
      <c r="A2849" s="36">
        <v>30714527300</v>
      </c>
      <c r="B2849" t="s">
        <v>2001</v>
      </c>
      <c r="C2849" s="35" t="s">
        <v>44</v>
      </c>
    </row>
    <row r="2850" spans="1:3" x14ac:dyDescent="0.3">
      <c r="A2850" s="36">
        <v>20141232178</v>
      </c>
      <c r="B2850" t="s">
        <v>2002</v>
      </c>
    </row>
    <row r="2851" spans="1:3" x14ac:dyDescent="0.3">
      <c r="A2851" s="36">
        <v>30708482680</v>
      </c>
      <c r="B2851" t="s">
        <v>2003</v>
      </c>
    </row>
    <row r="2852" spans="1:3" x14ac:dyDescent="0.3">
      <c r="A2852" s="36">
        <v>30686272032</v>
      </c>
      <c r="B2852" t="s">
        <v>2004</v>
      </c>
    </row>
    <row r="2853" spans="1:3" x14ac:dyDescent="0.3">
      <c r="A2853" s="36">
        <v>33700851279</v>
      </c>
      <c r="B2853" t="s">
        <v>2005</v>
      </c>
    </row>
    <row r="2854" spans="1:3" x14ac:dyDescent="0.3">
      <c r="A2854" s="36">
        <v>30656753591</v>
      </c>
      <c r="B2854" t="s">
        <v>2006</v>
      </c>
    </row>
    <row r="2855" spans="1:3" x14ac:dyDescent="0.3">
      <c r="A2855" s="36">
        <v>33707953549</v>
      </c>
      <c r="B2855" t="s">
        <v>2007</v>
      </c>
    </row>
    <row r="2856" spans="1:3" x14ac:dyDescent="0.3">
      <c r="A2856" s="36">
        <v>30716070313</v>
      </c>
      <c r="B2856" t="s">
        <v>2008</v>
      </c>
    </row>
    <row r="2857" spans="1:3" x14ac:dyDescent="0.3">
      <c r="A2857" s="36">
        <v>20120794338</v>
      </c>
      <c r="B2857" t="s">
        <v>2009</v>
      </c>
    </row>
    <row r="2858" spans="1:3" x14ac:dyDescent="0.3">
      <c r="A2858" s="36">
        <v>20250382910</v>
      </c>
      <c r="B2858" t="s">
        <v>2010</v>
      </c>
    </row>
    <row r="2859" spans="1:3" x14ac:dyDescent="0.3">
      <c r="A2859" s="36">
        <v>30710338554</v>
      </c>
      <c r="B2859" t="s">
        <v>2011</v>
      </c>
    </row>
    <row r="2860" spans="1:3" x14ac:dyDescent="0.3">
      <c r="A2860" s="36">
        <v>30711725608</v>
      </c>
      <c r="B2860" t="s">
        <v>2012</v>
      </c>
    </row>
    <row r="2861" spans="1:3" x14ac:dyDescent="0.3">
      <c r="A2861" s="36">
        <v>30710184816</v>
      </c>
      <c r="B2861" t="s">
        <v>2013</v>
      </c>
    </row>
    <row r="2862" spans="1:3" x14ac:dyDescent="0.3">
      <c r="A2862" s="36">
        <v>20352164616</v>
      </c>
      <c r="B2862" t="s">
        <v>2014</v>
      </c>
    </row>
    <row r="2863" spans="1:3" x14ac:dyDescent="0.3">
      <c r="A2863" s="36">
        <v>30715168673</v>
      </c>
      <c r="B2863" t="s">
        <v>2015</v>
      </c>
    </row>
    <row r="2864" spans="1:3" x14ac:dyDescent="0.3">
      <c r="A2864" s="36">
        <v>30640804463</v>
      </c>
      <c r="B2864" t="s">
        <v>2016</v>
      </c>
    </row>
    <row r="2865" spans="1:2" x14ac:dyDescent="0.3">
      <c r="A2865" s="36">
        <v>30707591168</v>
      </c>
      <c r="B2865" t="s">
        <v>2017</v>
      </c>
    </row>
    <row r="2866" spans="1:2" x14ac:dyDescent="0.3">
      <c r="A2866" s="36">
        <v>30715123483</v>
      </c>
      <c r="B2866" t="s">
        <v>2018</v>
      </c>
    </row>
    <row r="2867" spans="1:2" x14ac:dyDescent="0.3">
      <c r="A2867" s="36">
        <v>30708395443</v>
      </c>
      <c r="B2867" t="s">
        <v>2019</v>
      </c>
    </row>
    <row r="2868" spans="1:2" x14ac:dyDescent="0.3">
      <c r="A2868" s="36">
        <v>20247737414</v>
      </c>
      <c r="B2868" t="s">
        <v>2020</v>
      </c>
    </row>
    <row r="2869" spans="1:2" x14ac:dyDescent="0.3">
      <c r="A2869" s="36">
        <v>20271814128</v>
      </c>
      <c r="B2869" t="s">
        <v>2021</v>
      </c>
    </row>
    <row r="2870" spans="1:2" x14ac:dyDescent="0.3">
      <c r="A2870" s="36">
        <v>23242717589</v>
      </c>
      <c r="B2870" t="s">
        <v>2029</v>
      </c>
    </row>
    <row r="2871" spans="1:2" x14ac:dyDescent="0.3">
      <c r="A2871" s="36">
        <v>20149278290</v>
      </c>
      <c r="B2871" t="s">
        <v>2030</v>
      </c>
    </row>
    <row r="2872" spans="1:2" x14ac:dyDescent="0.3">
      <c r="A2872" s="36">
        <v>30710492626</v>
      </c>
      <c r="B2872" t="s">
        <v>2031</v>
      </c>
    </row>
    <row r="2873" spans="1:2" x14ac:dyDescent="0.3">
      <c r="A2873" s="36">
        <v>30710102550</v>
      </c>
      <c r="B2873" t="s">
        <v>2032</v>
      </c>
    </row>
    <row r="2874" spans="1:2" x14ac:dyDescent="0.3">
      <c r="A2874" s="36">
        <v>27329934328</v>
      </c>
      <c r="B2874" t="s">
        <v>2033</v>
      </c>
    </row>
    <row r="2875" spans="1:2" x14ac:dyDescent="0.3">
      <c r="A2875" s="36">
        <v>30711399093</v>
      </c>
      <c r="B2875" t="s">
        <v>2034</v>
      </c>
    </row>
    <row r="2876" spans="1:2" x14ac:dyDescent="0.3">
      <c r="A2876" s="36">
        <v>27292465063</v>
      </c>
      <c r="B2876" t="s">
        <v>2035</v>
      </c>
    </row>
    <row r="2877" spans="1:2" x14ac:dyDescent="0.3">
      <c r="A2877" s="36">
        <v>20263592167</v>
      </c>
      <c r="B2877" t="s">
        <v>2036</v>
      </c>
    </row>
    <row r="2878" spans="1:2" x14ac:dyDescent="0.3">
      <c r="A2878" s="36">
        <v>20231251821</v>
      </c>
      <c r="B2878" t="s">
        <v>2037</v>
      </c>
    </row>
    <row r="2879" spans="1:2" x14ac:dyDescent="0.3">
      <c r="A2879" s="36">
        <v>20373457796</v>
      </c>
      <c r="B2879" t="s">
        <v>2038</v>
      </c>
    </row>
    <row r="2880" spans="1:2" x14ac:dyDescent="0.3">
      <c r="A2880" s="36">
        <v>30709487147</v>
      </c>
      <c r="B2880" t="s">
        <v>2039</v>
      </c>
    </row>
    <row r="2881" spans="1:2" x14ac:dyDescent="0.3">
      <c r="A2881" s="36">
        <v>23366871349</v>
      </c>
      <c r="B2881" t="s">
        <v>2040</v>
      </c>
    </row>
    <row r="2882" spans="1:2" x14ac:dyDescent="0.3">
      <c r="A2882" s="36">
        <v>30506726669</v>
      </c>
      <c r="B2882" t="s">
        <v>2041</v>
      </c>
    </row>
    <row r="2883" spans="1:2" x14ac:dyDescent="0.3">
      <c r="A2883" s="36">
        <v>30715888951</v>
      </c>
      <c r="B2883" t="s">
        <v>2042</v>
      </c>
    </row>
    <row r="2884" spans="1:2" x14ac:dyDescent="0.3">
      <c r="A2884" s="36">
        <v>30710259883</v>
      </c>
      <c r="B2884" t="s">
        <v>2043</v>
      </c>
    </row>
    <row r="2885" spans="1:2" x14ac:dyDescent="0.3">
      <c r="A2885" s="36">
        <v>30712312447</v>
      </c>
      <c r="B2885" t="s">
        <v>2044</v>
      </c>
    </row>
    <row r="2886" spans="1:2" x14ac:dyDescent="0.3">
      <c r="A2886" s="36">
        <v>20316849823</v>
      </c>
      <c r="B2886" t="s">
        <v>2045</v>
      </c>
    </row>
    <row r="2887" spans="1:2" x14ac:dyDescent="0.3">
      <c r="A2887" s="36">
        <v>30715961373</v>
      </c>
      <c r="B2887" t="s">
        <v>2046</v>
      </c>
    </row>
    <row r="2888" spans="1:2" x14ac:dyDescent="0.3">
      <c r="A2888" s="36">
        <v>23142556499</v>
      </c>
      <c r="B2888" t="s">
        <v>2047</v>
      </c>
    </row>
    <row r="2889" spans="1:2" x14ac:dyDescent="0.3">
      <c r="A2889" s="36">
        <v>20184094526</v>
      </c>
      <c r="B2889" t="s">
        <v>2048</v>
      </c>
    </row>
    <row r="2890" spans="1:2" x14ac:dyDescent="0.3">
      <c r="A2890" s="36">
        <v>30708046023</v>
      </c>
      <c r="B2890" t="s">
        <v>2049</v>
      </c>
    </row>
    <row r="2891" spans="1:2" x14ac:dyDescent="0.3">
      <c r="A2891" s="36">
        <v>30715094319</v>
      </c>
      <c r="B2891" t="s">
        <v>2050</v>
      </c>
    </row>
    <row r="2892" spans="1:2" x14ac:dyDescent="0.3">
      <c r="A2892" s="36">
        <v>23059002414</v>
      </c>
      <c r="B2892" t="s">
        <v>2051</v>
      </c>
    </row>
    <row r="2893" spans="1:2" x14ac:dyDescent="0.3">
      <c r="A2893" s="36">
        <v>30717026361</v>
      </c>
      <c r="B2893" t="s">
        <v>2052</v>
      </c>
    </row>
    <row r="2894" spans="1:2" x14ac:dyDescent="0.3">
      <c r="A2894" s="36">
        <v>30639057999</v>
      </c>
      <c r="B2894" t="s">
        <v>2053</v>
      </c>
    </row>
    <row r="2895" spans="1:2" x14ac:dyDescent="0.3">
      <c r="A2895" s="36">
        <v>30715515144</v>
      </c>
      <c r="B2895" t="s">
        <v>2054</v>
      </c>
    </row>
    <row r="2896" spans="1:2" x14ac:dyDescent="0.3">
      <c r="A2896" s="36">
        <v>30716611821</v>
      </c>
      <c r="B2896" t="s">
        <v>2059</v>
      </c>
    </row>
    <row r="2897" spans="1:2" x14ac:dyDescent="0.3">
      <c r="A2897" s="36">
        <v>30624066827</v>
      </c>
      <c r="B2897" t="s">
        <v>2060</v>
      </c>
    </row>
    <row r="2898" spans="1:2" x14ac:dyDescent="0.3">
      <c r="A2898" s="36">
        <v>20103069832</v>
      </c>
      <c r="B2898" t="s">
        <v>2061</v>
      </c>
    </row>
    <row r="2899" spans="1:2" x14ac:dyDescent="0.3">
      <c r="A2899" s="36">
        <v>20287430974</v>
      </c>
      <c r="B2899" t="s">
        <v>2062</v>
      </c>
    </row>
    <row r="2900" spans="1:2" x14ac:dyDescent="0.3">
      <c r="A2900" s="36">
        <v>30710043562</v>
      </c>
      <c r="B2900" t="s">
        <v>2063</v>
      </c>
    </row>
    <row r="2901" spans="1:2" x14ac:dyDescent="0.3">
      <c r="A2901" s="36">
        <v>30717074781</v>
      </c>
      <c r="B2901" t="s">
        <v>2064</v>
      </c>
    </row>
    <row r="2902" spans="1:2" x14ac:dyDescent="0.3">
      <c r="A2902" s="36">
        <v>30715060546</v>
      </c>
      <c r="B2902" t="s">
        <v>2065</v>
      </c>
    </row>
    <row r="2903" spans="1:2" x14ac:dyDescent="0.3">
      <c r="A2903" s="36">
        <v>27247017491</v>
      </c>
      <c r="B2903" t="s">
        <v>2066</v>
      </c>
    </row>
    <row r="2904" spans="1:2" x14ac:dyDescent="0.3">
      <c r="A2904" s="36">
        <v>27236451262</v>
      </c>
      <c r="B2904" t="s">
        <v>2067</v>
      </c>
    </row>
    <row r="2905" spans="1:2" x14ac:dyDescent="0.3">
      <c r="A2905" s="36">
        <v>30663891142</v>
      </c>
      <c r="B2905" t="s">
        <v>2071</v>
      </c>
    </row>
    <row r="2906" spans="1:2" x14ac:dyDescent="0.3">
      <c r="A2906" s="36">
        <v>20183101456</v>
      </c>
      <c r="B2906" t="s">
        <v>2072</v>
      </c>
    </row>
    <row r="2907" spans="1:2" x14ac:dyDescent="0.3">
      <c r="A2907" s="36">
        <v>20394167216</v>
      </c>
      <c r="B2907" t="s">
        <v>2073</v>
      </c>
    </row>
    <row r="2908" spans="1:2" x14ac:dyDescent="0.3">
      <c r="A2908" s="36">
        <v>20383353263</v>
      </c>
      <c r="B2908" t="s">
        <v>2074</v>
      </c>
    </row>
    <row r="2909" spans="1:2" x14ac:dyDescent="0.3">
      <c r="A2909" s="36">
        <v>30714905313</v>
      </c>
      <c r="B2909" t="s">
        <v>2075</v>
      </c>
    </row>
    <row r="2910" spans="1:2" x14ac:dyDescent="0.3">
      <c r="A2910" s="36">
        <v>30696676026</v>
      </c>
      <c r="B2910" t="s">
        <v>2076</v>
      </c>
    </row>
    <row r="2911" spans="1:2" x14ac:dyDescent="0.3">
      <c r="A2911" s="36">
        <v>27185805854</v>
      </c>
      <c r="B2911" t="s">
        <v>2077</v>
      </c>
    </row>
    <row r="2912" spans="1:2" x14ac:dyDescent="0.3">
      <c r="A2912" s="36">
        <v>27235174451</v>
      </c>
      <c r="B2912" t="s">
        <v>2078</v>
      </c>
    </row>
    <row r="2913" spans="1:2" x14ac:dyDescent="0.3">
      <c r="A2913" s="36">
        <v>30717924548</v>
      </c>
      <c r="B2913" t="s">
        <v>2079</v>
      </c>
    </row>
    <row r="2914" spans="1:2" x14ac:dyDescent="0.3">
      <c r="A2914" s="36">
        <v>20383253528</v>
      </c>
      <c r="B2914" t="s">
        <v>2080</v>
      </c>
    </row>
    <row r="2915" spans="1:2" x14ac:dyDescent="0.3">
      <c r="A2915" s="36">
        <v>30708637587</v>
      </c>
      <c r="B2915" t="s">
        <v>2081</v>
      </c>
    </row>
    <row r="2916" spans="1:2" x14ac:dyDescent="0.3">
      <c r="A2916" s="36">
        <v>30706053812</v>
      </c>
      <c r="B2916" t="s">
        <v>2082</v>
      </c>
    </row>
    <row r="2917" spans="1:2" x14ac:dyDescent="0.3">
      <c r="A2917" s="36">
        <v>30553547942</v>
      </c>
      <c r="B2917" t="s">
        <v>2083</v>
      </c>
    </row>
    <row r="2918" spans="1:2" x14ac:dyDescent="0.3">
      <c r="A2918" s="36">
        <v>30715186256</v>
      </c>
      <c r="B2918" t="s">
        <v>2084</v>
      </c>
    </row>
    <row r="2919" spans="1:2" x14ac:dyDescent="0.3">
      <c r="A2919" s="36">
        <v>30716715716</v>
      </c>
      <c r="B2919" t="s">
        <v>2085</v>
      </c>
    </row>
    <row r="2920" spans="1:2" x14ac:dyDescent="0.3">
      <c r="A2920" s="36">
        <v>30702259890</v>
      </c>
      <c r="B2920" t="s">
        <v>2086</v>
      </c>
    </row>
    <row r="2921" spans="1:2" x14ac:dyDescent="0.3">
      <c r="A2921" s="36">
        <v>33708943059</v>
      </c>
      <c r="B2921" t="s">
        <v>2087</v>
      </c>
    </row>
    <row r="2922" spans="1:2" x14ac:dyDescent="0.3">
      <c r="A2922" s="36">
        <v>30717906833</v>
      </c>
      <c r="B2922" t="s">
        <v>2088</v>
      </c>
    </row>
    <row r="2923" spans="1:2" x14ac:dyDescent="0.3">
      <c r="A2923" s="36">
        <v>30538514191</v>
      </c>
      <c r="B2923" t="s">
        <v>2089</v>
      </c>
    </row>
    <row r="2924" spans="1:2" x14ac:dyDescent="0.3">
      <c r="A2924" s="36">
        <v>30716389681</v>
      </c>
      <c r="B2924" t="s">
        <v>2090</v>
      </c>
    </row>
    <row r="2925" spans="1:2" x14ac:dyDescent="0.3">
      <c r="A2925" s="36">
        <v>30709457523</v>
      </c>
      <c r="B2925" t="s">
        <v>2091</v>
      </c>
    </row>
    <row r="2926" spans="1:2" x14ac:dyDescent="0.3">
      <c r="A2926" s="36">
        <v>20282218802</v>
      </c>
      <c r="B2926" t="s">
        <v>2092</v>
      </c>
    </row>
    <row r="2927" spans="1:2" x14ac:dyDescent="0.3">
      <c r="A2927" s="36">
        <v>20357275882</v>
      </c>
      <c r="B2927" t="s">
        <v>2096</v>
      </c>
    </row>
    <row r="2928" spans="1:2" x14ac:dyDescent="0.3">
      <c r="A2928" s="36">
        <v>30548690796</v>
      </c>
      <c r="B2928" t="s">
        <v>2093</v>
      </c>
    </row>
    <row r="2929" spans="1:2" x14ac:dyDescent="0.3">
      <c r="A2929" s="36">
        <v>30693293754</v>
      </c>
      <c r="B2929" t="s">
        <v>2094</v>
      </c>
    </row>
    <row r="2930" spans="1:2" x14ac:dyDescent="0.3">
      <c r="A2930" s="36">
        <v>30718208692</v>
      </c>
      <c r="B2930" t="s">
        <v>2095</v>
      </c>
    </row>
    <row r="2931" spans="1:2" x14ac:dyDescent="0.3">
      <c r="A2931" s="36">
        <v>30716642913</v>
      </c>
      <c r="B2931" t="s">
        <v>2097</v>
      </c>
    </row>
    <row r="2932" spans="1:2" x14ac:dyDescent="0.3">
      <c r="A2932" s="36">
        <v>30716426196</v>
      </c>
      <c r="B2932" t="s">
        <v>2098</v>
      </c>
    </row>
    <row r="2933" spans="1:2" x14ac:dyDescent="0.3">
      <c r="A2933" s="36">
        <v>30657611936</v>
      </c>
      <c r="B2933" t="s">
        <v>2099</v>
      </c>
    </row>
    <row r="2934" spans="1:2" x14ac:dyDescent="0.3">
      <c r="A2934" s="36">
        <v>20130392262</v>
      </c>
      <c r="B2934" t="s">
        <v>2100</v>
      </c>
    </row>
    <row r="2935" spans="1:2" x14ac:dyDescent="0.3">
      <c r="A2935" s="36">
        <v>30629642672</v>
      </c>
      <c r="B2935" t="s">
        <v>2101</v>
      </c>
    </row>
    <row r="2936" spans="1:2" x14ac:dyDescent="0.3">
      <c r="A2936" s="36">
        <v>30711101280</v>
      </c>
      <c r="B2936" t="s">
        <v>2102</v>
      </c>
    </row>
    <row r="2937" spans="1:2" x14ac:dyDescent="0.3">
      <c r="A2937" s="36">
        <v>20310796736</v>
      </c>
      <c r="B2937" t="s">
        <v>2103</v>
      </c>
    </row>
    <row r="2938" spans="1:2" x14ac:dyDescent="0.3">
      <c r="A2938" s="36">
        <v>30714280712</v>
      </c>
      <c r="B2938" t="s">
        <v>2104</v>
      </c>
    </row>
    <row r="2939" spans="1:2" x14ac:dyDescent="0.3">
      <c r="A2939" s="36">
        <v>27323842413</v>
      </c>
      <c r="B2939" t="s">
        <v>2105</v>
      </c>
    </row>
    <row r="2940" spans="1:2" x14ac:dyDescent="0.3">
      <c r="A2940" s="36">
        <v>30712263519</v>
      </c>
      <c r="B2940" t="s">
        <v>2106</v>
      </c>
    </row>
    <row r="2941" spans="1:2" x14ac:dyDescent="0.3">
      <c r="A2941" s="36">
        <v>30711992053</v>
      </c>
      <c r="B2941" t="s">
        <v>2107</v>
      </c>
    </row>
    <row r="2942" spans="1:2" x14ac:dyDescent="0.3">
      <c r="A2942" s="36">
        <v>30715353934</v>
      </c>
      <c r="B2942" t="s">
        <v>2108</v>
      </c>
    </row>
    <row r="2943" spans="1:2" x14ac:dyDescent="0.3">
      <c r="A2943" s="36">
        <v>20235723906</v>
      </c>
      <c r="B2943" t="s">
        <v>2109</v>
      </c>
    </row>
    <row r="2944" spans="1:2" x14ac:dyDescent="0.3">
      <c r="A2944" s="36">
        <v>30717062775</v>
      </c>
      <c r="B2944" t="s">
        <v>2110</v>
      </c>
    </row>
    <row r="2945" spans="1:2" x14ac:dyDescent="0.3">
      <c r="A2945" s="36">
        <v>20178564219</v>
      </c>
      <c r="B2945" t="s">
        <v>2111</v>
      </c>
    </row>
    <row r="2946" spans="1:2" x14ac:dyDescent="0.3">
      <c r="A2946" s="36">
        <v>30708092904</v>
      </c>
      <c r="B2946" t="s">
        <v>2112</v>
      </c>
    </row>
    <row r="2947" spans="1:2" x14ac:dyDescent="0.3">
      <c r="A2947" s="36">
        <v>20308004865</v>
      </c>
      <c r="B2947" t="s">
        <v>2113</v>
      </c>
    </row>
    <row r="2948" spans="1:2" x14ac:dyDescent="0.3">
      <c r="A2948" s="36">
        <v>30717163296</v>
      </c>
      <c r="B2948" t="s">
        <v>2114</v>
      </c>
    </row>
    <row r="2949" spans="1:2" x14ac:dyDescent="0.3">
      <c r="A2949" s="36">
        <v>20270614311</v>
      </c>
      <c r="B2949" t="s">
        <v>2115</v>
      </c>
    </row>
    <row r="2950" spans="1:2" x14ac:dyDescent="0.3">
      <c r="A2950" s="36">
        <v>27128887186</v>
      </c>
      <c r="B2950" t="s">
        <v>2116</v>
      </c>
    </row>
    <row r="2951" spans="1:2" x14ac:dyDescent="0.3">
      <c r="A2951" s="36">
        <v>30702209397</v>
      </c>
      <c r="B2951" t="s">
        <v>1975</v>
      </c>
    </row>
    <row r="2952" spans="1:2" x14ac:dyDescent="0.3">
      <c r="A2952" s="36">
        <v>20308960782</v>
      </c>
      <c r="B2952" t="s">
        <v>2117</v>
      </c>
    </row>
    <row r="2953" spans="1:2" x14ac:dyDescent="0.3">
      <c r="A2953" s="36">
        <v>20301942444</v>
      </c>
      <c r="B2953" t="s">
        <v>2118</v>
      </c>
    </row>
    <row r="2954" spans="1:2" x14ac:dyDescent="0.3">
      <c r="A2954" s="36">
        <v>20323423785</v>
      </c>
      <c r="B2954" t="s">
        <v>2119</v>
      </c>
    </row>
    <row r="2955" spans="1:2" x14ac:dyDescent="0.3">
      <c r="A2955" s="36">
        <v>30715603582</v>
      </c>
      <c r="B2955" t="s">
        <v>2120</v>
      </c>
    </row>
    <row r="2956" spans="1:2" x14ac:dyDescent="0.3">
      <c r="A2956" s="36">
        <v>30708512741</v>
      </c>
      <c r="B2956" t="s">
        <v>2121</v>
      </c>
    </row>
    <row r="2957" spans="1:2" x14ac:dyDescent="0.3">
      <c r="A2957" s="36">
        <v>27174015703</v>
      </c>
      <c r="B2957" t="s">
        <v>2122</v>
      </c>
    </row>
    <row r="2958" spans="1:2" x14ac:dyDescent="0.3">
      <c r="A2958" s="36">
        <v>30715465708</v>
      </c>
      <c r="B2958" t="s">
        <v>2123</v>
      </c>
    </row>
    <row r="2959" spans="1:2" x14ac:dyDescent="0.3">
      <c r="A2959" s="36">
        <v>33715657479</v>
      </c>
      <c r="B2959" t="s">
        <v>2124</v>
      </c>
    </row>
    <row r="2960" spans="1:2" x14ac:dyDescent="0.3">
      <c r="A2960" s="36">
        <v>27206941419</v>
      </c>
      <c r="B2960" t="s">
        <v>2125</v>
      </c>
    </row>
    <row r="2961" spans="1:2" x14ac:dyDescent="0.3">
      <c r="A2961" s="36">
        <v>20225038717</v>
      </c>
      <c r="B2961" t="s">
        <v>2126</v>
      </c>
    </row>
    <row r="2962" spans="1:2" x14ac:dyDescent="0.3">
      <c r="A2962" s="36">
        <v>20226444956</v>
      </c>
      <c r="B2962" t="s">
        <v>2127</v>
      </c>
    </row>
    <row r="2963" spans="1:2" x14ac:dyDescent="0.3">
      <c r="A2963" s="36">
        <v>20299505430</v>
      </c>
      <c r="B2963" t="s">
        <v>2128</v>
      </c>
    </row>
    <row r="2964" spans="1:2" x14ac:dyDescent="0.3">
      <c r="A2964" s="36">
        <v>30716813327</v>
      </c>
      <c r="B2964" t="s">
        <v>2129</v>
      </c>
    </row>
    <row r="2965" spans="1:2" x14ac:dyDescent="0.3">
      <c r="A2965" s="36">
        <v>30715885596</v>
      </c>
      <c r="B2965" t="s">
        <v>2130</v>
      </c>
    </row>
    <row r="2966" spans="1:2" x14ac:dyDescent="0.3">
      <c r="A2966" s="36">
        <v>30708020539</v>
      </c>
      <c r="B2966" t="s">
        <v>2131</v>
      </c>
    </row>
    <row r="2967" spans="1:2" x14ac:dyDescent="0.3">
      <c r="A2967" s="36">
        <v>30716228955</v>
      </c>
      <c r="B2967" t="s">
        <v>2132</v>
      </c>
    </row>
    <row r="2968" spans="1:2" x14ac:dyDescent="0.3">
      <c r="A2968" s="36"/>
    </row>
    <row r="2969" spans="1:2" x14ac:dyDescent="0.3">
      <c r="A2969" s="36"/>
    </row>
    <row r="2970" spans="1:2" x14ac:dyDescent="0.3">
      <c r="A2970" s="36"/>
    </row>
    <row r="2971" spans="1:2" x14ac:dyDescent="0.3">
      <c r="A2971" s="36"/>
    </row>
    <row r="2972" spans="1:2" x14ac:dyDescent="0.3">
      <c r="A2972" s="36"/>
    </row>
    <row r="2973" spans="1:2" x14ac:dyDescent="0.3">
      <c r="A2973" s="36"/>
    </row>
    <row r="2974" spans="1:2" x14ac:dyDescent="0.3">
      <c r="A2974" s="36"/>
    </row>
    <row r="2975" spans="1:2" x14ac:dyDescent="0.3">
      <c r="A2975" s="36"/>
    </row>
    <row r="2976" spans="1:2" x14ac:dyDescent="0.3">
      <c r="A2976" s="36"/>
    </row>
    <row r="2977" spans="1:1" x14ac:dyDescent="0.3">
      <c r="A2977" s="36"/>
    </row>
    <row r="2978" spans="1:1" x14ac:dyDescent="0.3">
      <c r="A2978" s="36"/>
    </row>
    <row r="2979" spans="1:1" x14ac:dyDescent="0.3">
      <c r="A2979" s="36"/>
    </row>
    <row r="2980" spans="1:1" x14ac:dyDescent="0.3">
      <c r="A2980" s="36"/>
    </row>
  </sheetData>
  <dataValidations count="1">
    <dataValidation type="whole" allowBlank="1" showInputMessage="1" showErrorMessage="1" sqref="A95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  <pageSetUpPr fitToPage="1"/>
  </sheetPr>
  <dimension ref="A1:Z1758"/>
  <sheetViews>
    <sheetView showGridLines="0" topLeftCell="H136" zoomScale="80" zoomScaleNormal="80" workbookViewId="0">
      <selection activeCell="K139" sqref="K139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7.33203125" customWidth="1"/>
    <col min="4" max="4" width="9.44140625" customWidth="1"/>
    <col min="5" max="5" width="12.44140625" customWidth="1"/>
    <col min="6" max="6" width="22.44140625" customWidth="1"/>
    <col min="7" max="7" width="27.332031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13.5546875" bestFit="1" customWidth="1"/>
    <col min="17" max="17" width="20.109375" bestFit="1" customWidth="1"/>
    <col min="18" max="18" width="16.33203125" bestFit="1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56" t="s">
        <v>126</v>
      </c>
      <c r="H1" s="656"/>
      <c r="I1" s="656"/>
      <c r="J1" s="656"/>
      <c r="K1" s="656"/>
      <c r="L1" s="656"/>
      <c r="M1" s="656"/>
      <c r="N1" s="652">
        <v>44927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SUM(compras_mes1[[#Totals],[NETO GRAVADO]])+extracto_banco_mes1[[#Totals],[NETO]]</f>
        <v>15567834.77047619</v>
      </c>
      <c r="C4" s="659"/>
      <c r="D4" s="659"/>
      <c r="E4" s="659"/>
      <c r="F4" s="39"/>
      <c r="G4" s="660">
        <f>compras_mes1[[#Totals],[IVA 21 %]]+compras_mes1[[#Totals],[IVA 27%]]+compras_mes1[[#Totals],[IVA 10,5%]]+extracto_banco_mes1[[#Totals],[IVA 21%]]+extracto_banco_mes1[[#Totals],[IVA 10,5%]]</f>
        <v>3187754.0531000006</v>
      </c>
      <c r="H4" s="660"/>
      <c r="I4" s="39"/>
      <c r="J4" s="649">
        <f>venta_a_mes1[[#Totals],[IMPORTE NETO]]+ventas_b_mes1[[#Totals],[IMPORTE NETO]]</f>
        <v>0</v>
      </c>
      <c r="K4" s="649"/>
      <c r="L4" s="39"/>
      <c r="M4" s="649">
        <f>venta_a_mes1[[#Totals],[IVA 21%]]+venta_a_mes1[[#Totals],[IVA 10,5%]]+ventas_b_mes1[[#Totals],[IVA 21%]]+ventas_b_mes1[[#Totals],[IVA 10,5%]]</f>
        <v>0</v>
      </c>
      <c r="N4" s="649"/>
      <c r="O4" s="39"/>
      <c r="P4" s="662">
        <f>G4-M4</f>
        <v>3187754.0531000006</v>
      </c>
      <c r="Q4" s="663"/>
      <c r="R4" s="663"/>
    </row>
    <row r="5" spans="1:26" ht="13.2" customHeight="1" x14ac:dyDescent="0.3"/>
    <row r="7" spans="1:26" s="2" customFormat="1" x14ac:dyDescent="0.3">
      <c r="B7" s="40"/>
      <c r="C7" s="41"/>
      <c r="D7" s="42"/>
      <c r="E7" s="43"/>
      <c r="F7" s="44"/>
      <c r="G7" s="45"/>
      <c r="H7" s="132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44928</v>
      </c>
      <c r="C9" s="41">
        <v>1</v>
      </c>
      <c r="D9" s="42">
        <v>1</v>
      </c>
      <c r="E9" s="43">
        <v>66</v>
      </c>
      <c r="F9" s="44">
        <v>30716010313</v>
      </c>
      <c r="G9" s="45" t="str">
        <f>IFERROR(IF(compras_mes1[[#This Row],[CUIT]]="","-",VLOOKUP(compras_mes1[[#This Row],[CUIT]],Lista_CUIT[#All],2,0)),"CUIT NO CARGADO")</f>
        <v>H UNO 1469 S.A.</v>
      </c>
      <c r="H9" s="46">
        <v>38400</v>
      </c>
      <c r="I9" s="85">
        <f>IF(compras_mes1[[#This Row],[NETO GRAVADO]]="","",compras_mes1[[#This Row],[NETO GRAVADO]]*0.21)</f>
        <v>8064</v>
      </c>
      <c r="J9" s="85"/>
      <c r="K9" s="85"/>
      <c r="L9" s="85"/>
      <c r="M9" s="85"/>
      <c r="N9" s="85"/>
      <c r="O9" s="85"/>
      <c r="P9" s="48">
        <f>SUM(compras_mes1[[#This Row],[NETO GRAVADO]:[Otros / No Grav.]])</f>
        <v>46464</v>
      </c>
      <c r="Q9" s="49" t="str">
        <f>IFERROR(IF(compras_mes1[[#This Row],[CUIT]]="","-",VLOOKUP(compras_mes1[[#This Row],[CUIT]],Lista_CUIT[#All],3,0)),"CUIT NO CARGADO")</f>
        <v>Alquiler</v>
      </c>
      <c r="R9" s="49">
        <f>IFERROR(IF(compras_mes1[[#This Row],[CUIT]]="","-",VLOOKUP(compras_mes1[[#This Row],[CUIT]],Lista_CUIT[#All],4,0)),"CUIT NO CARGADO")</f>
        <v>0</v>
      </c>
    </row>
    <row r="10" spans="1:26" x14ac:dyDescent="0.3">
      <c r="B10" s="89">
        <v>44928</v>
      </c>
      <c r="C10" s="41">
        <v>1</v>
      </c>
      <c r="D10" s="91">
        <v>1</v>
      </c>
      <c r="E10" s="92">
        <v>330</v>
      </c>
      <c r="F10" s="93">
        <v>20131206144</v>
      </c>
      <c r="G10" s="94" t="str">
        <f>IFERROR(IF(compras_mes1[[#This Row],[CUIT]]="","-",VLOOKUP(compras_mes1[[#This Row],[CUIT]],Lista_CUIT[#All],2,0)),"CUIT NO CARGADO")</f>
        <v>CHAMORRO MANUEL</v>
      </c>
      <c r="H10" s="95">
        <v>60000</v>
      </c>
      <c r="I10" s="85">
        <f>IF(compras_mes1[[#This Row],[NETO GRAVADO]]="","",compras_mes1[[#This Row],[NETO GRAVADO]]*0.21)</f>
        <v>12600</v>
      </c>
      <c r="J10" s="86"/>
      <c r="K10" s="86"/>
      <c r="L10" s="86"/>
      <c r="M10" s="86"/>
      <c r="N10" s="86"/>
      <c r="O10" s="86"/>
      <c r="P10" s="87">
        <f>SUM(compras_mes1[[#This Row],[NETO GRAVADO]:[Otros / No Grav.]])</f>
        <v>72600</v>
      </c>
      <c r="Q10" s="88" t="str">
        <f>IFERROR(IF(compras_mes1[[#This Row],[CUIT]]="","-",VLOOKUP(compras_mes1[[#This Row],[CUIT]],Lista_CUIT[#All],3,0)),"CUIT NO CARGADO")</f>
        <v>Alquiler</v>
      </c>
      <c r="R10" s="88">
        <f>IFERROR(IF(compras_mes1[[#This Row],[CUIT]]="","-",VLOOKUP(compras_mes1[[#This Row],[CUIT]],Lista_CUIT[#All],4,0)),"CUIT NO CARGADO")</f>
        <v>0</v>
      </c>
    </row>
    <row r="11" spans="1:26" x14ac:dyDescent="0.3">
      <c r="B11" s="89">
        <v>44928</v>
      </c>
      <c r="C11" s="41">
        <v>1</v>
      </c>
      <c r="D11" s="91">
        <v>10</v>
      </c>
      <c r="E11" s="92">
        <v>5706</v>
      </c>
      <c r="F11" s="93">
        <v>20102638086</v>
      </c>
      <c r="G11" s="94" t="str">
        <f>IFERROR(IF(compras_mes1[[#This Row],[CUIT]]="","-",VLOOKUP(compras_mes1[[#This Row],[CUIT]],Lista_CUIT[#All],2,0)),"CUIT NO CARGADO")</f>
        <v>ROMANO PASCUAL ANTONIO</v>
      </c>
      <c r="H11" s="95">
        <v>154049.59</v>
      </c>
      <c r="I11" s="85">
        <f>IF(compras_mes1[[#This Row],[NETO GRAVADO]]="","",compras_mes1[[#This Row],[NETO GRAVADO]]*0.21)</f>
        <v>32350.4139</v>
      </c>
      <c r="J11" s="86"/>
      <c r="K11" s="86"/>
      <c r="L11" s="86"/>
      <c r="M11" s="86"/>
      <c r="N11" s="86"/>
      <c r="O11" s="86"/>
      <c r="P11" s="87">
        <f>SUM(compras_mes1[[#This Row],[NETO GRAVADO]:[Otros / No Grav.]])</f>
        <v>186400.00390000001</v>
      </c>
      <c r="Q11" s="88" t="str">
        <f>IFERROR(IF(compras_mes1[[#This Row],[CUIT]]="","-",VLOOKUP(compras_mes1[[#This Row],[CUIT]],Lista_CUIT[#All],3,0)),"CUIT NO CARGADO")</f>
        <v>Productos Venta</v>
      </c>
      <c r="R11" s="88">
        <f>IFERROR(IF(compras_mes1[[#This Row],[CUIT]]="","-",VLOOKUP(compras_mes1[[#This Row],[CUIT]],Lista_CUIT[#All],4,0)),"CUIT NO CARGADO")</f>
        <v>0</v>
      </c>
    </row>
    <row r="12" spans="1:26" x14ac:dyDescent="0.3">
      <c r="B12" s="40">
        <v>44928</v>
      </c>
      <c r="C12" s="41">
        <v>1</v>
      </c>
      <c r="D12" s="42">
        <v>4</v>
      </c>
      <c r="E12" s="43">
        <v>1809</v>
      </c>
      <c r="F12" s="44">
        <v>30715946250</v>
      </c>
      <c r="G12" s="45" t="str">
        <f>IFERROR(IF(compras_mes1[[#This Row],[CUIT]]="","-",VLOOKUP(compras_mes1[[#This Row],[CUIT]],Lista_CUIT[#All],2,0)),"CUIT NO CARGADO")</f>
        <v>GLOBAL AESTHETICS PRODUCTS AND SERVICES SRL</v>
      </c>
      <c r="H12" s="46">
        <v>1335288</v>
      </c>
      <c r="I12" s="85">
        <f>IF(compras_mes1[[#This Row],[NETO GRAVADO]]="","",compras_mes1[[#This Row],[NETO GRAVADO]]*0.21)</f>
        <v>280410.48</v>
      </c>
      <c r="J12" s="85"/>
      <c r="K12" s="85"/>
      <c r="L12" s="85"/>
      <c r="M12" s="85"/>
      <c r="N12" s="85"/>
      <c r="O12" s="85"/>
      <c r="P12" s="48">
        <f>SUM(compras_mes1[[#This Row],[NETO GRAVADO]:[Otros / No Grav.]])</f>
        <v>1615698.48</v>
      </c>
      <c r="Q12" s="49" t="str">
        <f>IFERROR(IF(compras_mes1[[#This Row],[CUIT]]="","-",VLOOKUP(compras_mes1[[#This Row],[CUIT]],Lista_CUIT[#All],3,0)),"CUIT NO CARGADO")</f>
        <v>aparatos</v>
      </c>
      <c r="R12" s="49">
        <f>IFERROR(IF(compras_mes1[[#This Row],[CUIT]]="","-",VLOOKUP(compras_mes1[[#This Row],[CUIT]],Lista_CUIT[#All],4,0)),"CUIT NO CARGADO")</f>
        <v>0</v>
      </c>
    </row>
    <row r="13" spans="1:26" x14ac:dyDescent="0.3">
      <c r="B13" s="40">
        <v>44928</v>
      </c>
      <c r="C13" s="41">
        <v>1</v>
      </c>
      <c r="D13" s="42">
        <v>3</v>
      </c>
      <c r="E13" s="43">
        <v>250784</v>
      </c>
      <c r="F13" s="44">
        <v>30709131865</v>
      </c>
      <c r="G13" s="45" t="str">
        <f>IFERROR(IF(compras_mes1[[#This Row],[CUIT]]="","-",VLOOKUP(compras_mes1[[#This Row],[CUIT]],Lista_CUIT[#All],2,0)),"CUIT NO CARGADO")</f>
        <v>EMPRENDIMIENTOS SATELITALES SA</v>
      </c>
      <c r="H13" s="46">
        <v>367.72</v>
      </c>
      <c r="I13" s="85">
        <f>IF(compras_mes1[[#This Row],[NETO GRAVADO]]="","",compras_mes1[[#This Row],[NETO GRAVADO]]*0.21)</f>
        <v>77.221199999999996</v>
      </c>
      <c r="J13" s="85"/>
      <c r="K13" s="85"/>
      <c r="L13" s="85"/>
      <c r="M13" s="85"/>
      <c r="N13" s="85"/>
      <c r="O13" s="85"/>
      <c r="P13" s="48">
        <f>SUM(compras_mes1[[#This Row],[NETO GRAVADO]:[Otros / No Grav.]])</f>
        <v>444.94120000000004</v>
      </c>
      <c r="Q13" s="49">
        <f>IFERROR(IF(compras_mes1[[#This Row],[CUIT]]="","-",VLOOKUP(compras_mes1[[#This Row],[CUIT]],Lista_CUIT[#All],3,0)),"CUIT NO CARGADO")</f>
        <v>0</v>
      </c>
      <c r="R13" s="49">
        <f>IFERROR(IF(compras_mes1[[#This Row],[CUIT]]="","-",VLOOKUP(compras_mes1[[#This Row],[CUIT]],Lista_CUIT[#All],4,0)),"CUIT NO CARGADO")</f>
        <v>0</v>
      </c>
    </row>
    <row r="14" spans="1:26" x14ac:dyDescent="0.3">
      <c r="B14" s="40">
        <v>44929</v>
      </c>
      <c r="C14" s="41">
        <v>1</v>
      </c>
      <c r="D14" s="42">
        <v>629</v>
      </c>
      <c r="E14" s="43">
        <v>3828733</v>
      </c>
      <c r="F14" s="44">
        <v>30663498513</v>
      </c>
      <c r="G14" s="45" t="str">
        <f>IFERROR(IF(compras_mes1[[#This Row],[CUIT]]="","-",VLOOKUP(compras_mes1[[#This Row],[CUIT]],Lista_CUIT[#All],2,0)),"CUIT NO CARGADO")</f>
        <v>GRUPO CONCES. DEL OESTE SA</v>
      </c>
      <c r="H14" s="46">
        <v>1909.1</v>
      </c>
      <c r="I14" s="85">
        <f>IF(compras_mes1[[#This Row],[NETO GRAVADO]]="","",compras_mes1[[#This Row],[NETO GRAVADO]]*0.21)</f>
        <v>400.91099999999994</v>
      </c>
      <c r="J14" s="85"/>
      <c r="K14" s="85"/>
      <c r="L14" s="85"/>
      <c r="M14" s="85"/>
      <c r="N14" s="85"/>
      <c r="O14" s="85"/>
      <c r="P14" s="48">
        <f>SUM(compras_mes1[[#This Row],[NETO GRAVADO]:[Otros / No Grav.]])</f>
        <v>2310.011</v>
      </c>
      <c r="Q14" s="49">
        <f>IFERROR(IF(compras_mes1[[#This Row],[CUIT]]="","-",VLOOKUP(compras_mes1[[#This Row],[CUIT]],Lista_CUIT[#All],3,0)),"CUIT NO CARGADO")</f>
        <v>0</v>
      </c>
      <c r="R14" s="49">
        <f>IFERROR(IF(compras_mes1[[#This Row],[CUIT]]="","-",VLOOKUP(compras_mes1[[#This Row],[CUIT]],Lista_CUIT[#All],4,0)),"CUIT NO CARGADO")</f>
        <v>0</v>
      </c>
    </row>
    <row r="15" spans="1:26" x14ac:dyDescent="0.3">
      <c r="B15" s="40">
        <v>44929</v>
      </c>
      <c r="C15" s="41">
        <v>1</v>
      </c>
      <c r="D15" s="42">
        <v>5014</v>
      </c>
      <c r="E15" s="43">
        <v>350733</v>
      </c>
      <c r="F15" s="44">
        <v>30574876474</v>
      </c>
      <c r="G15" s="45" t="str">
        <f>IFERROR(IF(compras_mes1[[#This Row],[CUIT]]="","-",VLOOKUP(compras_mes1[[#This Row],[CUIT]],Lista_CUIT[#All],2,0)),"CUIT NO CARGADO")</f>
        <v>AUTOPISTAS URBANAS S A</v>
      </c>
      <c r="H15" s="46">
        <v>11979.1</v>
      </c>
      <c r="I15" s="85">
        <f>IF(compras_mes1[[#This Row],[NETO GRAVADO]]="","",compras_mes1[[#This Row],[NETO GRAVADO]]*0.21)</f>
        <v>2515.6109999999999</v>
      </c>
      <c r="J15" s="85"/>
      <c r="K15" s="85"/>
      <c r="L15" s="85"/>
      <c r="M15" s="85">
        <v>359.35</v>
      </c>
      <c r="N15" s="85"/>
      <c r="O15" s="85">
        <v>1196.5999999999999</v>
      </c>
      <c r="P15" s="48">
        <f>SUM(compras_mes1[[#This Row],[NETO GRAVADO]:[Otros / No Grav.]])</f>
        <v>16050.661</v>
      </c>
      <c r="Q15" s="49">
        <f>IFERROR(IF(compras_mes1[[#This Row],[CUIT]]="","-",VLOOKUP(compras_mes1[[#This Row],[CUIT]],Lista_CUIT[#All],3,0)),"CUIT NO CARGADO")</f>
        <v>0</v>
      </c>
      <c r="R15" s="49">
        <f>IFERROR(IF(compras_mes1[[#This Row],[CUIT]]="","-",VLOOKUP(compras_mes1[[#This Row],[CUIT]],Lista_CUIT[#All],4,0)),"CUIT NO CARGADO")</f>
        <v>0</v>
      </c>
    </row>
    <row r="16" spans="1:26" s="56" customFormat="1" x14ac:dyDescent="0.3">
      <c r="B16" s="40">
        <v>44929</v>
      </c>
      <c r="C16" s="41">
        <v>1</v>
      </c>
      <c r="D16" s="42">
        <v>4</v>
      </c>
      <c r="E16" s="43">
        <v>40998</v>
      </c>
      <c r="F16" s="44">
        <v>30709863076</v>
      </c>
      <c r="G16" s="45" t="str">
        <f>IFERROR(IF(compras_mes1[[#This Row],[CUIT]]="","-",VLOOKUP(compras_mes1[[#This Row],[CUIT]],Lista_CUIT[#All],2,0)),"CUIT NO CARGADO")</f>
        <v>INDUSTRIAS PLASTICOS SALTA S.R.L.</v>
      </c>
      <c r="H16" s="46">
        <v>27462.799999999999</v>
      </c>
      <c r="I16" s="85">
        <f>IF(compras_mes1[[#This Row],[NETO GRAVADO]]="","",compras_mes1[[#This Row],[NETO GRAVADO]]*0.21)</f>
        <v>5767.1879999999992</v>
      </c>
      <c r="J16" s="85"/>
      <c r="K16" s="85"/>
      <c r="L16" s="85"/>
      <c r="M16" s="85"/>
      <c r="N16" s="85"/>
      <c r="O16" s="85"/>
      <c r="P16" s="48">
        <f>SUM(compras_mes1[[#This Row],[NETO GRAVADO]:[Otros / No Grav.]])</f>
        <v>33229.987999999998</v>
      </c>
      <c r="Q16" s="49">
        <f>IFERROR(IF(compras_mes1[[#This Row],[CUIT]]="","-",VLOOKUP(compras_mes1[[#This Row],[CUIT]],Lista_CUIT[#All],3,0)),"CUIT NO CARGADO")</f>
        <v>0</v>
      </c>
      <c r="R16" s="49">
        <f>IFERROR(IF(compras_mes1[[#This Row],[CUIT]]="","-",VLOOKUP(compras_mes1[[#This Row],[CUIT]],Lista_CUIT[#All],4,0)),"CUIT NO CARGADO")</f>
        <v>0</v>
      </c>
    </row>
    <row r="17" spans="2:18" x14ac:dyDescent="0.3">
      <c r="B17" s="40">
        <v>44929</v>
      </c>
      <c r="C17" s="41">
        <v>1</v>
      </c>
      <c r="D17" s="42">
        <v>50</v>
      </c>
      <c r="E17" s="43">
        <v>2894701</v>
      </c>
      <c r="F17" s="44">
        <v>30714112836</v>
      </c>
      <c r="G17" s="45" t="str">
        <f>IFERROR(IF(compras_mes1[[#This Row],[CUIT]]="","-",VLOOKUP(compras_mes1[[#This Row],[CUIT]],Lista_CUIT[#All],2,0)),"CUIT NO CARGADO")</f>
        <v>AUTOPISTAS DE BS AS</v>
      </c>
      <c r="H17" s="46">
        <v>1351.24</v>
      </c>
      <c r="I17" s="85">
        <f>IF(compras_mes1[[#This Row],[NETO GRAVADO]]="","",compras_mes1[[#This Row],[NETO GRAVADO]]*0.21)</f>
        <v>283.7604</v>
      </c>
      <c r="J17" s="85"/>
      <c r="K17" s="85"/>
      <c r="L17" s="85">
        <v>40.54</v>
      </c>
      <c r="M17" s="85"/>
      <c r="N17" s="85"/>
      <c r="O17" s="85"/>
      <c r="P17" s="48">
        <f>SUM(compras_mes1[[#This Row],[NETO GRAVADO]:[Otros / No Grav.]])</f>
        <v>1675.5403999999999</v>
      </c>
      <c r="Q17" s="49">
        <f>IFERROR(IF(compras_mes1[[#This Row],[CUIT]]="","-",VLOOKUP(compras_mes1[[#This Row],[CUIT]],Lista_CUIT[#All],3,0)),"CUIT NO CARGADO")</f>
        <v>0</v>
      </c>
      <c r="R17" s="49">
        <f>IFERROR(IF(compras_mes1[[#This Row],[CUIT]]="","-",VLOOKUP(compras_mes1[[#This Row],[CUIT]],Lista_CUIT[#All],4,0)),"CUIT NO CARGADO")</f>
        <v>0</v>
      </c>
    </row>
    <row r="18" spans="2:18" x14ac:dyDescent="0.3">
      <c r="B18" s="40">
        <v>44929</v>
      </c>
      <c r="C18" s="41">
        <v>1</v>
      </c>
      <c r="D18" s="42">
        <v>711</v>
      </c>
      <c r="E18" s="43">
        <v>3808236</v>
      </c>
      <c r="F18" s="44">
        <v>30677237119</v>
      </c>
      <c r="G18" s="45" t="str">
        <f>IFERROR(IF(compras_mes1[[#This Row],[CUIT]]="","-",VLOOKUP(compras_mes1[[#This Row],[CUIT]],Lista_CUIT[#All],2,0)),"CUIT NO CARGADO")</f>
        <v>AUTOPISTAS DEL SOL S A</v>
      </c>
      <c r="H18" s="46">
        <v>2212.41</v>
      </c>
      <c r="I18" s="85">
        <f>IF(compras_mes1[[#This Row],[NETO GRAVADO]]="","",compras_mes1[[#This Row],[NETO GRAVADO]]*0.21)</f>
        <v>464.60609999999997</v>
      </c>
      <c r="J18" s="85"/>
      <c r="K18" s="85"/>
      <c r="L18" s="85"/>
      <c r="M18" s="85"/>
      <c r="N18" s="85"/>
      <c r="O18" s="85">
        <v>66.37</v>
      </c>
      <c r="P18" s="48">
        <f>SUM(compras_mes1[[#This Row],[NETO GRAVADO]:[Otros / No Grav.]])</f>
        <v>2743.3860999999997</v>
      </c>
      <c r="Q18" s="49">
        <f>IFERROR(IF(compras_mes1[[#This Row],[CUIT]]="","-",VLOOKUP(compras_mes1[[#This Row],[CUIT]],Lista_CUIT[#All],3,0)),"CUIT NO CARGADO")</f>
        <v>0</v>
      </c>
      <c r="R18" s="49">
        <f>IFERROR(IF(compras_mes1[[#This Row],[CUIT]]="","-",VLOOKUP(compras_mes1[[#This Row],[CUIT]],Lista_CUIT[#All],4,0)),"CUIT NO CARGADO")</f>
        <v>0</v>
      </c>
    </row>
    <row r="19" spans="2:18" x14ac:dyDescent="0.3">
      <c r="B19" s="40">
        <v>44931</v>
      </c>
      <c r="C19" s="41">
        <v>1</v>
      </c>
      <c r="D19" s="42">
        <v>5</v>
      </c>
      <c r="E19" s="43">
        <v>6586</v>
      </c>
      <c r="F19" s="44">
        <v>30715553321</v>
      </c>
      <c r="G19" s="45" t="str">
        <f>IFERROR(IF(compras_mes1[[#This Row],[CUIT]]="","-",VLOOKUP(compras_mes1[[#This Row],[CUIT]],Lista_CUIT[#All],2,0)),"CUIT NO CARGADO")</f>
        <v>EXPRESS ATLANTICA S.R.L</v>
      </c>
      <c r="H19" s="46">
        <v>3390</v>
      </c>
      <c r="I19" s="85">
        <f>IF(compras_mes1[[#This Row],[NETO GRAVADO]]="","",compras_mes1[[#This Row],[NETO GRAVADO]]*0.21)</f>
        <v>711.9</v>
      </c>
      <c r="J19" s="85"/>
      <c r="K19" s="85"/>
      <c r="L19" s="85"/>
      <c r="M19" s="85"/>
      <c r="N19" s="85"/>
      <c r="O19" s="85"/>
      <c r="P19" s="48">
        <f>SUM(compras_mes1[[#This Row],[NETO GRAVADO]:[Otros / No Grav.]])</f>
        <v>4101.8999999999996</v>
      </c>
      <c r="Q19" s="49">
        <f>IFERROR(IF(compras_mes1[[#This Row],[CUIT]]="","-",VLOOKUP(compras_mes1[[#This Row],[CUIT]],Lista_CUIT[#All],3,0)),"CUIT NO CARGADO")</f>
        <v>0</v>
      </c>
      <c r="R19" s="49">
        <f>IFERROR(IF(compras_mes1[[#This Row],[CUIT]]="","-",VLOOKUP(compras_mes1[[#This Row],[CUIT]],Lista_CUIT[#All],4,0)),"CUIT NO CARGADO")</f>
        <v>0</v>
      </c>
    </row>
    <row r="20" spans="2:18" ht="14.4" customHeight="1" x14ac:dyDescent="0.3">
      <c r="B20" s="40">
        <v>44931</v>
      </c>
      <c r="C20" s="41">
        <v>1</v>
      </c>
      <c r="D20" s="42">
        <v>2</v>
      </c>
      <c r="E20" s="43">
        <v>33328</v>
      </c>
      <c r="F20" s="44">
        <v>33714232199</v>
      </c>
      <c r="G20" s="45" t="str">
        <f>IFERROR(IF(compras_mes1[[#This Row],[CUIT]]="","-",VLOOKUP(compras_mes1[[#This Row],[CUIT]],Lista_CUIT[#All],2,0)),"CUIT NO CARGADO")</f>
        <v>NUAGE SYSTEMS S.A.</v>
      </c>
      <c r="H20" s="46">
        <v>27195</v>
      </c>
      <c r="I20" s="85">
        <f>IF(compras_mes1[[#This Row],[NETO GRAVADO]]="","",compras_mes1[[#This Row],[NETO GRAVADO]]*0.21)</f>
        <v>5710.95</v>
      </c>
      <c r="J20" s="85"/>
      <c r="K20" s="85"/>
      <c r="L20" s="85"/>
      <c r="M20" s="85"/>
      <c r="N20" s="85"/>
      <c r="O20" s="85"/>
      <c r="P20" s="48">
        <f>SUM(compras_mes1[[#This Row],[NETO GRAVADO]:[Otros / No Grav.]])</f>
        <v>32905.949999999997</v>
      </c>
      <c r="Q20" s="49">
        <f>IFERROR(IF(compras_mes1[[#This Row],[CUIT]]="","-",VLOOKUP(compras_mes1[[#This Row],[CUIT]],Lista_CUIT[#All],3,0)),"CUIT NO CARGADO")</f>
        <v>0</v>
      </c>
      <c r="R20" s="49">
        <f>IFERROR(IF(compras_mes1[[#This Row],[CUIT]]="","-",VLOOKUP(compras_mes1[[#This Row],[CUIT]],Lista_CUIT[#All],4,0)),"CUIT NO CARGADO")</f>
        <v>0</v>
      </c>
    </row>
    <row r="21" spans="2:18" x14ac:dyDescent="0.3">
      <c r="B21" s="40">
        <v>44931</v>
      </c>
      <c r="C21" s="41">
        <v>1</v>
      </c>
      <c r="D21" s="42">
        <v>10</v>
      </c>
      <c r="E21" s="43">
        <v>79740</v>
      </c>
      <c r="F21" s="44">
        <v>30711069360</v>
      </c>
      <c r="G21" s="45" t="str">
        <f>IFERROR(IF(compras_mes1[[#This Row],[CUIT]]="","-",VLOOKUP(compras_mes1[[#This Row],[CUIT]],Lista_CUIT[#All],2,0)),"CUIT NO CARGADO")</f>
        <v>BIDCOM SRL</v>
      </c>
      <c r="H21" s="46">
        <v>470479.64</v>
      </c>
      <c r="I21" s="85"/>
      <c r="J21" s="85">
        <v>49400.36</v>
      </c>
      <c r="K21" s="85"/>
      <c r="L21" s="85"/>
      <c r="M21" s="85"/>
      <c r="N21" s="85">
        <v>28228.78</v>
      </c>
      <c r="O21" s="85"/>
      <c r="P21" s="48">
        <f>SUM(compras_mes1[[#This Row],[NETO GRAVADO]:[Otros / No Grav.]])</f>
        <v>548108.78</v>
      </c>
      <c r="Q21" s="49">
        <f>IFERROR(IF(compras_mes1[[#This Row],[CUIT]]="","-",VLOOKUP(compras_mes1[[#This Row],[CUIT]],Lista_CUIT[#All],3,0)),"CUIT NO CARGADO")</f>
        <v>0</v>
      </c>
      <c r="R21" s="49">
        <f>IFERROR(IF(compras_mes1[[#This Row],[CUIT]]="","-",VLOOKUP(compras_mes1[[#This Row],[CUIT]],Lista_CUIT[#All],4,0)),"CUIT NO CARGADO")</f>
        <v>0</v>
      </c>
    </row>
    <row r="22" spans="2:18" x14ac:dyDescent="0.3">
      <c r="B22" s="40">
        <v>44932</v>
      </c>
      <c r="C22" s="41">
        <v>1</v>
      </c>
      <c r="D22" s="42">
        <v>1</v>
      </c>
      <c r="E22" s="43">
        <v>2011</v>
      </c>
      <c r="F22" s="44">
        <v>27181689183</v>
      </c>
      <c r="G22" s="45" t="str">
        <f>IFERROR(IF(compras_mes1[[#This Row],[CUIT]]="","-",VLOOKUP(compras_mes1[[#This Row],[CUIT]],Lista_CUIT[#All],2,0)),"CUIT NO CARGADO")</f>
        <v>REPETTO MARIA FERNANDA</v>
      </c>
      <c r="H22" s="46">
        <v>82800</v>
      </c>
      <c r="I22" s="85">
        <f>IF(compras_mes1[[#This Row],[NETO GRAVADO]]="","",compras_mes1[[#This Row],[NETO GRAVADO]]*0.21)</f>
        <v>17388</v>
      </c>
      <c r="J22" s="85"/>
      <c r="K22" s="85"/>
      <c r="L22" s="85"/>
      <c r="M22" s="85"/>
      <c r="N22" s="85"/>
      <c r="O22" s="85"/>
      <c r="P22" s="48">
        <f>SUM(compras_mes1[[#This Row],[NETO GRAVADO]:[Otros / No Grav.]])</f>
        <v>100188</v>
      </c>
      <c r="Q22" s="49">
        <f>IFERROR(IF(compras_mes1[[#This Row],[CUIT]]="","-",VLOOKUP(compras_mes1[[#This Row],[CUIT]],Lista_CUIT[#All],3,0)),"CUIT NO CARGADO")</f>
        <v>0</v>
      </c>
      <c r="R22" s="49">
        <f>IFERROR(IF(compras_mes1[[#This Row],[CUIT]]="","-",VLOOKUP(compras_mes1[[#This Row],[CUIT]],Lista_CUIT[#All],4,0)),"CUIT NO CARGADO")</f>
        <v>0</v>
      </c>
    </row>
    <row r="23" spans="2:18" ht="14.4" customHeight="1" x14ac:dyDescent="0.3">
      <c r="B23" s="40">
        <v>44932</v>
      </c>
      <c r="C23" s="41">
        <v>1</v>
      </c>
      <c r="D23" s="42">
        <v>2</v>
      </c>
      <c r="E23" s="43">
        <v>194</v>
      </c>
      <c r="F23" s="44">
        <v>27309896063</v>
      </c>
      <c r="G23" s="45" t="str">
        <f>IFERROR(IF(compras_mes1[[#This Row],[CUIT]]="","-",VLOOKUP(compras_mes1[[#This Row],[CUIT]],Lista_CUIT[#All],2,0)),"CUIT NO CARGADO")</f>
        <v>BATTELLINI MARIA SOLEDAD</v>
      </c>
      <c r="H23" s="46">
        <v>35000</v>
      </c>
      <c r="I23" s="85">
        <f>IF(compras_mes1[[#This Row],[NETO GRAVADO]]="","",compras_mes1[[#This Row],[NETO GRAVADO]]*0.21)</f>
        <v>7350</v>
      </c>
      <c r="J23" s="85"/>
      <c r="K23" s="85"/>
      <c r="L23" s="85"/>
      <c r="M23" s="85"/>
      <c r="N23" s="85"/>
      <c r="O23" s="85"/>
      <c r="P23" s="48">
        <f>SUM(compras_mes1[[#This Row],[NETO GRAVADO]:[Otros / No Grav.]])</f>
        <v>42350</v>
      </c>
      <c r="Q23" s="49">
        <f>IFERROR(IF(compras_mes1[[#This Row],[CUIT]]="","-",VLOOKUP(compras_mes1[[#This Row],[CUIT]],Lista_CUIT[#All],3,0)),"CUIT NO CARGADO")</f>
        <v>0</v>
      </c>
      <c r="R23" s="49">
        <f>IFERROR(IF(compras_mes1[[#This Row],[CUIT]]="","-",VLOOKUP(compras_mes1[[#This Row],[CUIT]],Lista_CUIT[#All],4,0)),"CUIT NO CARGADO")</f>
        <v>0</v>
      </c>
    </row>
    <row r="24" spans="2:18" ht="14.4" customHeight="1" x14ac:dyDescent="0.3">
      <c r="B24" s="40">
        <v>44932</v>
      </c>
      <c r="C24" s="41">
        <v>1</v>
      </c>
      <c r="D24" s="42">
        <v>5</v>
      </c>
      <c r="E24" s="43">
        <v>154</v>
      </c>
      <c r="F24" s="44">
        <v>30716654105</v>
      </c>
      <c r="G24" s="45" t="str">
        <f>IFERROR(IF(compras_mes1[[#This Row],[CUIT]]="","-",VLOOKUP(compras_mes1[[#This Row],[CUIT]],Lista_CUIT[#All],2,0)),"CUIT NO CARGADO")</f>
        <v>CARNICA DEL NORTE S.R.L.</v>
      </c>
      <c r="H24" s="46">
        <v>3255.86</v>
      </c>
      <c r="I24" s="85"/>
      <c r="J24" s="85"/>
      <c r="K24" s="85">
        <v>341.86529999999999</v>
      </c>
      <c r="L24" s="85"/>
      <c r="M24" s="85"/>
      <c r="N24" s="85"/>
      <c r="O24" s="85"/>
      <c r="P24" s="48">
        <f>SUM(compras_mes1[[#This Row],[NETO GRAVADO]:[Otros / No Grav.]])</f>
        <v>3597.7253000000001</v>
      </c>
      <c r="Q24" s="49">
        <f>IFERROR(IF(compras_mes1[[#This Row],[CUIT]]="","-",VLOOKUP(compras_mes1[[#This Row],[CUIT]],Lista_CUIT[#All],3,0)),"CUIT NO CARGADO")</f>
        <v>0</v>
      </c>
      <c r="R24" s="49">
        <f>IFERROR(IF(compras_mes1[[#This Row],[CUIT]]="","-",VLOOKUP(compras_mes1[[#This Row],[CUIT]],Lista_CUIT[#All],4,0)),"CUIT NO CARGADO")</f>
        <v>0</v>
      </c>
    </row>
    <row r="25" spans="2:18" ht="15" customHeight="1" x14ac:dyDescent="0.3">
      <c r="B25" s="40">
        <v>44932</v>
      </c>
      <c r="C25" s="41">
        <v>1</v>
      </c>
      <c r="D25" s="42">
        <v>63</v>
      </c>
      <c r="E25" s="43">
        <v>2224959</v>
      </c>
      <c r="F25" s="44">
        <v>30640897267</v>
      </c>
      <c r="G25" s="45" t="str">
        <f>IFERROR(IF(compras_mes1[[#This Row],[CUIT]]="","-",VLOOKUP(compras_mes1[[#This Row],[CUIT]],Lista_CUIT[#All],2,0)),"CUIT NO CARGADO")</f>
        <v>TELECENTRO S.A.</v>
      </c>
      <c r="H25" s="46">
        <v>8052.89</v>
      </c>
      <c r="I25" s="85">
        <f>IF(compras_mes1[[#This Row],[NETO GRAVADO]]="","",compras_mes1[[#This Row],[NETO GRAVADO]]*0.21)</f>
        <v>1691.1069</v>
      </c>
      <c r="J25" s="85"/>
      <c r="K25" s="85"/>
      <c r="L25" s="85">
        <v>241.59</v>
      </c>
      <c r="M25" s="85"/>
      <c r="N25" s="85">
        <v>483.17</v>
      </c>
      <c r="O25" s="85"/>
      <c r="P25" s="48">
        <f>SUM(compras_mes1[[#This Row],[NETO GRAVADO]:[Otros / No Grav.]])</f>
        <v>10468.7569</v>
      </c>
      <c r="Q25" s="49">
        <f>IFERROR(IF(compras_mes1[[#This Row],[CUIT]]="","-",VLOOKUP(compras_mes1[[#This Row],[CUIT]],Lista_CUIT[#All],3,0)),"CUIT NO CARGADO")</f>
        <v>0</v>
      </c>
      <c r="R25" s="49">
        <f>IFERROR(IF(compras_mes1[[#This Row],[CUIT]]="","-",VLOOKUP(compras_mes1[[#This Row],[CUIT]],Lista_CUIT[#All],4,0)),"CUIT NO CARGADO")</f>
        <v>0</v>
      </c>
    </row>
    <row r="26" spans="2:18" ht="15" customHeight="1" x14ac:dyDescent="0.3">
      <c r="B26" s="40">
        <v>44932</v>
      </c>
      <c r="C26" s="41">
        <v>1</v>
      </c>
      <c r="D26" s="42">
        <v>63</v>
      </c>
      <c r="E26" s="43">
        <v>2224315</v>
      </c>
      <c r="F26" s="44">
        <v>30640897267</v>
      </c>
      <c r="G26" s="45" t="str">
        <f>IFERROR(IF(compras_mes1[[#This Row],[CUIT]]="","-",VLOOKUP(compras_mes1[[#This Row],[CUIT]],Lista_CUIT[#All],2,0)),"CUIT NO CARGADO")</f>
        <v>TELECENTRO S.A.</v>
      </c>
      <c r="H26" s="46">
        <v>8052.89</v>
      </c>
      <c r="I26" s="85">
        <f>IF(compras_mes1[[#This Row],[NETO GRAVADO]]="","",compras_mes1[[#This Row],[NETO GRAVADO]]*0.21)</f>
        <v>1691.1069</v>
      </c>
      <c r="J26" s="85"/>
      <c r="K26" s="85"/>
      <c r="L26" s="85">
        <v>241.59</v>
      </c>
      <c r="M26" s="85"/>
      <c r="N26" s="85">
        <v>483.17</v>
      </c>
      <c r="O26" s="85"/>
      <c r="P26" s="48">
        <f>SUM(compras_mes1[[#This Row],[NETO GRAVADO]:[Otros / No Grav.]])</f>
        <v>10468.7569</v>
      </c>
      <c r="Q26" s="49">
        <f>IFERROR(IF(compras_mes1[[#This Row],[CUIT]]="","-",VLOOKUP(compras_mes1[[#This Row],[CUIT]],Lista_CUIT[#All],3,0)),"CUIT NO CARGADO")</f>
        <v>0</v>
      </c>
      <c r="R26" s="49">
        <f>IFERROR(IF(compras_mes1[[#This Row],[CUIT]]="","-",VLOOKUP(compras_mes1[[#This Row],[CUIT]],Lista_CUIT[#All],4,0)),"CUIT NO CARGADO")</f>
        <v>0</v>
      </c>
    </row>
    <row r="27" spans="2:18" ht="15" customHeight="1" x14ac:dyDescent="0.3">
      <c r="B27" s="40">
        <v>44935</v>
      </c>
      <c r="C27" s="41">
        <v>1</v>
      </c>
      <c r="D27" s="42">
        <v>30</v>
      </c>
      <c r="E27" s="43">
        <v>9335</v>
      </c>
      <c r="F27" s="44">
        <v>30709497428</v>
      </c>
      <c r="G27" s="45" t="str">
        <f>IFERROR(IF(compras_mes1[[#This Row],[CUIT]]="","-",VLOOKUP(compras_mes1[[#This Row],[CUIT]],Lista_CUIT[#All],2,0)),"CUIT NO CARGADO")</f>
        <v>OPERADORA SAN JUAN S.A.</v>
      </c>
      <c r="H27" s="46">
        <v>3329.14</v>
      </c>
      <c r="I27" s="85">
        <f>IF(compras_mes1[[#This Row],[NETO GRAVADO]]="","",compras_mes1[[#This Row],[NETO GRAVADO]]*0.21)</f>
        <v>699.11939999999993</v>
      </c>
      <c r="J27" s="85"/>
      <c r="K27" s="85"/>
      <c r="L27" s="85"/>
      <c r="M27" s="85"/>
      <c r="N27" s="85"/>
      <c r="O27" s="85">
        <v>471.7</v>
      </c>
      <c r="P27" s="48">
        <f>SUM(compras_mes1[[#This Row],[NETO GRAVADO]:[Otros / No Grav.]])</f>
        <v>4499.9593999999997</v>
      </c>
      <c r="Q27" s="49">
        <f>IFERROR(IF(compras_mes1[[#This Row],[CUIT]]="","-",VLOOKUP(compras_mes1[[#This Row],[CUIT]],Lista_CUIT[#All],3,0)),"CUIT NO CARGADO")</f>
        <v>0</v>
      </c>
      <c r="R27" s="49">
        <f>IFERROR(IF(compras_mes1[[#This Row],[CUIT]]="","-",VLOOKUP(compras_mes1[[#This Row],[CUIT]],Lista_CUIT[#All],4,0)),"CUIT NO CARGADO")</f>
        <v>0</v>
      </c>
    </row>
    <row r="28" spans="2:18" ht="15" customHeight="1" x14ac:dyDescent="0.3">
      <c r="B28" s="40">
        <v>44936</v>
      </c>
      <c r="C28" s="41">
        <v>1</v>
      </c>
      <c r="D28" s="42">
        <v>1001</v>
      </c>
      <c r="E28" s="43">
        <v>1172</v>
      </c>
      <c r="F28" s="44">
        <v>30712289046</v>
      </c>
      <c r="G28" s="45" t="str">
        <f>IFERROR(IF(compras_mes1[[#This Row],[CUIT]]="","-",VLOOKUP(compras_mes1[[#This Row],[CUIT]],Lista_CUIT[#All],2,0)),"CUIT NO CARGADO")</f>
        <v>IMPIERI PIÑEIRO RIZZO Y ASOC SA</v>
      </c>
      <c r="H28" s="46">
        <v>4546.82</v>
      </c>
      <c r="I28" s="85">
        <f>IF(compras_mes1[[#This Row],[NETO GRAVADO]]="","",compras_mes1[[#This Row],[NETO GRAVADO]]*0.21)</f>
        <v>954.83219999999994</v>
      </c>
      <c r="J28" s="85"/>
      <c r="K28" s="85"/>
      <c r="L28" s="85"/>
      <c r="M28" s="85"/>
      <c r="N28" s="85"/>
      <c r="O28" s="85">
        <v>802.59</v>
      </c>
      <c r="P28" s="48">
        <f>SUM(compras_mes1[[#This Row],[NETO GRAVADO]:[Otros / No Grav.]])</f>
        <v>6304.2421999999997</v>
      </c>
      <c r="Q28" s="49">
        <f>IFERROR(IF(compras_mes1[[#This Row],[CUIT]]="","-",VLOOKUP(compras_mes1[[#This Row],[CUIT]],Lista_CUIT[#All],3,0)),"CUIT NO CARGADO")</f>
        <v>0</v>
      </c>
      <c r="R28" s="49">
        <f>IFERROR(IF(compras_mes1[[#This Row],[CUIT]]="","-",VLOOKUP(compras_mes1[[#This Row],[CUIT]],Lista_CUIT[#All],4,0)),"CUIT NO CARGADO")</f>
        <v>0</v>
      </c>
    </row>
    <row r="29" spans="2:18" ht="15" customHeight="1" x14ac:dyDescent="0.3">
      <c r="B29" s="40">
        <v>44936</v>
      </c>
      <c r="C29" s="41">
        <v>1</v>
      </c>
      <c r="D29" s="42">
        <v>3</v>
      </c>
      <c r="E29" s="43">
        <v>7776</v>
      </c>
      <c r="F29" s="44">
        <v>30714082066</v>
      </c>
      <c r="G29" s="45" t="str">
        <f>IFERROR(IF(compras_mes1[[#This Row],[CUIT]]="","-",VLOOKUP(compras_mes1[[#This Row],[CUIT]],Lista_CUIT[#All],2,0)),"CUIT NO CARGADO")</f>
        <v>DTECH S.A.</v>
      </c>
      <c r="H29" s="46">
        <v>43438.01</v>
      </c>
      <c r="I29" s="85"/>
      <c r="J29" s="85">
        <v>4560.99</v>
      </c>
      <c r="K29" s="85"/>
      <c r="L29" s="85"/>
      <c r="M29" s="85"/>
      <c r="N29" s="85"/>
      <c r="O29" s="85"/>
      <c r="P29" s="48">
        <f>SUM(compras_mes1[[#This Row],[NETO GRAVADO]:[Otros / No Grav.]])</f>
        <v>47999</v>
      </c>
      <c r="Q29" s="49">
        <f>IFERROR(IF(compras_mes1[[#This Row],[CUIT]]="","-",VLOOKUP(compras_mes1[[#This Row],[CUIT]],Lista_CUIT[#All],3,0)),"CUIT NO CARGADO")</f>
        <v>0</v>
      </c>
      <c r="R29" s="49">
        <f>IFERROR(IF(compras_mes1[[#This Row],[CUIT]]="","-",VLOOKUP(compras_mes1[[#This Row],[CUIT]],Lista_CUIT[#All],4,0)),"CUIT NO CARGADO")</f>
        <v>0</v>
      </c>
    </row>
    <row r="30" spans="2:18" x14ac:dyDescent="0.3">
      <c r="B30" s="40">
        <v>44937</v>
      </c>
      <c r="C30" s="41">
        <v>1</v>
      </c>
      <c r="D30" s="42">
        <v>6</v>
      </c>
      <c r="E30" s="43">
        <v>22615</v>
      </c>
      <c r="F30" s="44">
        <v>30641221771</v>
      </c>
      <c r="G30" s="45" t="str">
        <f>IFERROR(IF(compras_mes1[[#This Row],[CUIT]]="","-",VLOOKUP(compras_mes1[[#This Row],[CUIT]],Lista_CUIT[#All],2,0)),"CUIT NO CARGADO")</f>
        <v>FARMATRADE S R L</v>
      </c>
      <c r="H30" s="46">
        <v>48815</v>
      </c>
      <c r="I30" s="85">
        <f>IF(compras_mes1[[#This Row],[NETO GRAVADO]]="","",compras_mes1[[#This Row],[NETO GRAVADO]]*0.21)</f>
        <v>10251.15</v>
      </c>
      <c r="J30" s="85"/>
      <c r="K30" s="85"/>
      <c r="L30" s="85"/>
      <c r="M30" s="85">
        <v>2928.9</v>
      </c>
      <c r="N30" s="85"/>
      <c r="O30" s="85"/>
      <c r="P30" s="48">
        <f>SUM(compras_mes1[[#This Row],[NETO GRAVADO]:[Otros / No Grav.]])</f>
        <v>61995.05</v>
      </c>
      <c r="Q30" s="49">
        <f>IFERROR(IF(compras_mes1[[#This Row],[CUIT]]="","-",VLOOKUP(compras_mes1[[#This Row],[CUIT]],Lista_CUIT[#All],3,0)),"CUIT NO CARGADO")</f>
        <v>0</v>
      </c>
      <c r="R30" s="49">
        <f>IFERROR(IF(compras_mes1[[#This Row],[CUIT]]="","-",VLOOKUP(compras_mes1[[#This Row],[CUIT]],Lista_CUIT[#All],4,0)),"CUIT NO CARGADO")</f>
        <v>0</v>
      </c>
    </row>
    <row r="31" spans="2:18" x14ac:dyDescent="0.3">
      <c r="B31" s="40">
        <v>44937</v>
      </c>
      <c r="C31" s="41">
        <v>1</v>
      </c>
      <c r="D31" s="42">
        <v>2</v>
      </c>
      <c r="E31" s="43">
        <v>951</v>
      </c>
      <c r="F31" s="44">
        <v>20172319743</v>
      </c>
      <c r="G31" s="45" t="str">
        <f>IFERROR(IF(compras_mes1[[#This Row],[CUIT]]="","-",VLOOKUP(compras_mes1[[#This Row],[CUIT]],Lista_CUIT[#All],2,0)),"CUIT NO CARGADO")</f>
        <v>IACONIS SERGIO OMAR</v>
      </c>
      <c r="H31" s="46">
        <v>304605.59999999998</v>
      </c>
      <c r="I31" s="85">
        <f>IF(compras_mes1[[#This Row],[NETO GRAVADO]]="","",compras_mes1[[#This Row],[NETO GRAVADO]]*0.21)</f>
        <v>63967.175999999992</v>
      </c>
      <c r="J31" s="85"/>
      <c r="K31" s="85"/>
      <c r="L31" s="85"/>
      <c r="M31" s="85"/>
      <c r="N31" s="85"/>
      <c r="O31" s="85"/>
      <c r="P31" s="48">
        <f>SUM(compras_mes1[[#This Row],[NETO GRAVADO]:[Otros / No Grav.]])</f>
        <v>368572.77599999995</v>
      </c>
      <c r="Q31" s="49">
        <f>IFERROR(IF(compras_mes1[[#This Row],[CUIT]]="","-",VLOOKUP(compras_mes1[[#This Row],[CUIT]],Lista_CUIT[#All],3,0)),"CUIT NO CARGADO")</f>
        <v>0</v>
      </c>
      <c r="R31" s="49">
        <f>IFERROR(IF(compras_mes1[[#This Row],[CUIT]]="","-",VLOOKUP(compras_mes1[[#This Row],[CUIT]],Lista_CUIT[#All],4,0)),"CUIT NO CARGADO")</f>
        <v>0</v>
      </c>
    </row>
    <row r="32" spans="2:18" x14ac:dyDescent="0.3">
      <c r="B32" s="40">
        <v>44937</v>
      </c>
      <c r="C32" s="41">
        <v>1</v>
      </c>
      <c r="D32" s="42">
        <v>2</v>
      </c>
      <c r="E32" s="43">
        <v>7784</v>
      </c>
      <c r="F32" s="44">
        <v>30714284963</v>
      </c>
      <c r="G32" s="45" t="str">
        <f>IFERROR(IF(compras_mes1[[#This Row],[CUIT]]="","-",VLOOKUP(compras_mes1[[#This Row],[CUIT]],Lista_CUIT[#All],2,0)),"CUIT NO CARGADO")</f>
        <v>ENGYMAN SRL</v>
      </c>
      <c r="H32" s="46">
        <v>48915</v>
      </c>
      <c r="I32" s="85">
        <f>IF(compras_mes1[[#This Row],[NETO GRAVADO]]="","",compras_mes1[[#This Row],[NETO GRAVADO]]*0.21)</f>
        <v>10272.15</v>
      </c>
      <c r="J32" s="85"/>
      <c r="K32" s="85"/>
      <c r="L32" s="85"/>
      <c r="M32" s="85"/>
      <c r="N32" s="85"/>
      <c r="O32" s="85"/>
      <c r="P32" s="48">
        <f>SUM(compras_mes1[[#This Row],[NETO GRAVADO]:[Otros / No Grav.]])</f>
        <v>59187.15</v>
      </c>
      <c r="Q32" s="49">
        <f>IFERROR(IF(compras_mes1[[#This Row],[CUIT]]="","-",VLOOKUP(compras_mes1[[#This Row],[CUIT]],Lista_CUIT[#All],3,0)),"CUIT NO CARGADO")</f>
        <v>0</v>
      </c>
      <c r="R32" s="49">
        <f>IFERROR(IF(compras_mes1[[#This Row],[CUIT]]="","-",VLOOKUP(compras_mes1[[#This Row],[CUIT]],Lista_CUIT[#All],4,0)),"CUIT NO CARGADO")</f>
        <v>0</v>
      </c>
    </row>
    <row r="33" spans="2:18" x14ac:dyDescent="0.3">
      <c r="B33" s="40">
        <v>44937</v>
      </c>
      <c r="C33" s="41">
        <v>1</v>
      </c>
      <c r="D33" s="42">
        <v>9</v>
      </c>
      <c r="E33" s="43">
        <v>933</v>
      </c>
      <c r="F33" s="44">
        <v>20381564224</v>
      </c>
      <c r="G33" s="45" t="str">
        <f>IFERROR(IF(compras_mes1[[#This Row],[CUIT]]="","-",VLOOKUP(compras_mes1[[#This Row],[CUIT]],Lista_CUIT[#All],2,0)),"CUIT NO CARGADO")</f>
        <v>NICEFORO RODRIGUEZ NICOLAS EUGENIO</v>
      </c>
      <c r="H33" s="46">
        <v>47520</v>
      </c>
      <c r="I33" s="85">
        <f>IF(compras_mes1[[#This Row],[NETO GRAVADO]]="","",compras_mes1[[#This Row],[NETO GRAVADO]]*0.21)</f>
        <v>9979.1999999999989</v>
      </c>
      <c r="J33" s="85"/>
      <c r="K33" s="85"/>
      <c r="L33" s="85"/>
      <c r="M33" s="85"/>
      <c r="N33" s="85"/>
      <c r="O33" s="85"/>
      <c r="P33" s="48">
        <f>SUM(compras_mes1[[#This Row],[NETO GRAVADO]:[Otros / No Grav.]])</f>
        <v>57499.199999999997</v>
      </c>
      <c r="Q33" s="49">
        <f>IFERROR(IF(compras_mes1[[#This Row],[CUIT]]="","-",VLOOKUP(compras_mes1[[#This Row],[CUIT]],Lista_CUIT[#All],3,0)),"CUIT NO CARGADO")</f>
        <v>0</v>
      </c>
      <c r="R33" s="49">
        <f>IFERROR(IF(compras_mes1[[#This Row],[CUIT]]="","-",VLOOKUP(compras_mes1[[#This Row],[CUIT]],Lista_CUIT[#All],4,0)),"CUIT NO CARGADO")</f>
        <v>0</v>
      </c>
    </row>
    <row r="34" spans="2:18" x14ac:dyDescent="0.3">
      <c r="B34" s="40">
        <v>44938</v>
      </c>
      <c r="C34" s="41">
        <v>1</v>
      </c>
      <c r="D34" s="42">
        <v>6</v>
      </c>
      <c r="E34" s="43">
        <v>145</v>
      </c>
      <c r="F34" s="44">
        <v>27228084862</v>
      </c>
      <c r="G34" s="45" t="str">
        <f>IFERROR(IF(compras_mes1[[#This Row],[CUIT]]="","-",VLOOKUP(compras_mes1[[#This Row],[CUIT]],Lista_CUIT[#All],2,0)),"CUIT NO CARGADO")</f>
        <v>IGLESIAS ANDRADA CLAUDIA VERONICA</v>
      </c>
      <c r="H34" s="46">
        <v>3719.01</v>
      </c>
      <c r="I34" s="85">
        <f>IF(compras_mes1[[#This Row],[NETO GRAVADO]]="","",compras_mes1[[#This Row],[NETO GRAVADO]]*0.21)</f>
        <v>780.99210000000005</v>
      </c>
      <c r="J34" s="85"/>
      <c r="K34" s="85"/>
      <c r="L34" s="85"/>
      <c r="M34" s="85"/>
      <c r="N34" s="85"/>
      <c r="O34" s="85"/>
      <c r="P34" s="48">
        <f>SUM(compras_mes1[[#This Row],[NETO GRAVADO]:[Otros / No Grav.]])</f>
        <v>4500.0021000000006</v>
      </c>
      <c r="Q34" s="49">
        <f>IFERROR(IF(compras_mes1[[#This Row],[CUIT]]="","-",VLOOKUP(compras_mes1[[#This Row],[CUIT]],Lista_CUIT[#All],3,0)),"CUIT NO CARGADO")</f>
        <v>0</v>
      </c>
      <c r="R34" s="49">
        <f>IFERROR(IF(compras_mes1[[#This Row],[CUIT]]="","-",VLOOKUP(compras_mes1[[#This Row],[CUIT]],Lista_CUIT[#All],4,0)),"CUIT NO CARGADO")</f>
        <v>0</v>
      </c>
    </row>
    <row r="35" spans="2:18" x14ac:dyDescent="0.3">
      <c r="B35" s="40">
        <v>44938</v>
      </c>
      <c r="C35" s="41">
        <v>1</v>
      </c>
      <c r="D35" s="42">
        <v>4</v>
      </c>
      <c r="E35" s="43">
        <v>8450</v>
      </c>
      <c r="F35" s="44">
        <v>30694547903</v>
      </c>
      <c r="G35" s="45" t="str">
        <f>IFERROR(IF(compras_mes1[[#This Row],[CUIT]]="","-",VLOOKUP(compras_mes1[[#This Row],[CUIT]],Lista_CUIT[#All],2,0)),"CUIT NO CARGADO")</f>
        <v>MULTICAJAS S A</v>
      </c>
      <c r="H35" s="46">
        <v>180068</v>
      </c>
      <c r="I35" s="85">
        <f>IF(compras_mes1[[#This Row],[NETO GRAVADO]]="","",compras_mes1[[#This Row],[NETO GRAVADO]]*0.21)</f>
        <v>37814.28</v>
      </c>
      <c r="J35" s="85"/>
      <c r="K35" s="85"/>
      <c r="L35" s="85"/>
      <c r="M35" s="85"/>
      <c r="N35" s="85"/>
      <c r="O35" s="85"/>
      <c r="P35" s="48">
        <f>SUM(compras_mes1[[#This Row],[NETO GRAVADO]:[Otros / No Grav.]])</f>
        <v>217882.28</v>
      </c>
      <c r="Q35" s="49">
        <f>IFERROR(IF(compras_mes1[[#This Row],[CUIT]]="","-",VLOOKUP(compras_mes1[[#This Row],[CUIT]],Lista_CUIT[#All],3,0)),"CUIT NO CARGADO")</f>
        <v>0</v>
      </c>
      <c r="R35" s="49">
        <f>IFERROR(IF(compras_mes1[[#This Row],[CUIT]]="","-",VLOOKUP(compras_mes1[[#This Row],[CUIT]],Lista_CUIT[#All],4,0)),"CUIT NO CARGADO")</f>
        <v>0</v>
      </c>
    </row>
    <row r="36" spans="2:18" x14ac:dyDescent="0.3">
      <c r="B36" s="40">
        <v>44938</v>
      </c>
      <c r="C36" s="41">
        <v>1</v>
      </c>
      <c r="D36" s="42">
        <v>7</v>
      </c>
      <c r="E36" s="43">
        <v>16762</v>
      </c>
      <c r="F36" s="44">
        <v>30712222499</v>
      </c>
      <c r="G36" s="45" t="str">
        <f>IFERROR(IF(compras_mes1[[#This Row],[CUIT]]="","-",VLOOKUP(compras_mes1[[#This Row],[CUIT]],Lista_CUIT[#All],2,0)),"CUIT NO CARGADO")</f>
        <v>LOS TRILLIZOS PERAZOLI S.R.L.</v>
      </c>
      <c r="H36" s="46">
        <v>5784.3</v>
      </c>
      <c r="I36" s="85">
        <f>IF(compras_mes1[[#This Row],[NETO GRAVADO]]="","",compras_mes1[[#This Row],[NETO GRAVADO]]*0.21)</f>
        <v>1214.703</v>
      </c>
      <c r="J36" s="85"/>
      <c r="K36" s="85"/>
      <c r="L36" s="85"/>
      <c r="M36" s="85"/>
      <c r="N36" s="85"/>
      <c r="O36" s="85"/>
      <c r="P36" s="48">
        <f>SUM(compras_mes1[[#This Row],[NETO GRAVADO]:[Otros / No Grav.]])</f>
        <v>6999.0030000000006</v>
      </c>
      <c r="Q36" s="49">
        <f>IFERROR(IF(compras_mes1[[#This Row],[CUIT]]="","-",VLOOKUP(compras_mes1[[#This Row],[CUIT]],Lista_CUIT[#All],3,0)),"CUIT NO CARGADO")</f>
        <v>0</v>
      </c>
      <c r="R36" s="49">
        <f>IFERROR(IF(compras_mes1[[#This Row],[CUIT]]="","-",VLOOKUP(compras_mes1[[#This Row],[CUIT]],Lista_CUIT[#All],4,0)),"CUIT NO CARGADO")</f>
        <v>0</v>
      </c>
    </row>
    <row r="37" spans="2:18" s="56" customFormat="1" x14ac:dyDescent="0.3">
      <c r="B37" s="40">
        <v>44938</v>
      </c>
      <c r="C37" s="41">
        <v>1</v>
      </c>
      <c r="D37" s="42">
        <v>18</v>
      </c>
      <c r="E37" s="43">
        <v>17</v>
      </c>
      <c r="F37" s="44">
        <v>20938867179</v>
      </c>
      <c r="G37" s="45" t="str">
        <f>IFERROR(IF(compras_mes1[[#This Row],[CUIT]]="","-",VLOOKUP(compras_mes1[[#This Row],[CUIT]],Lista_CUIT[#All],2,0)),"CUIT NO CARGADO")</f>
        <v>DE LA TORRE ZARAGOZA JUAN EDMUNDO</v>
      </c>
      <c r="H37" s="46">
        <v>61323</v>
      </c>
      <c r="I37" s="85">
        <f>IF(compras_mes1[[#This Row],[NETO GRAVADO]]="","",compras_mes1[[#This Row],[NETO GRAVADO]]*0.21)</f>
        <v>12877.83</v>
      </c>
      <c r="J37" s="85"/>
      <c r="K37" s="85"/>
      <c r="L37" s="85"/>
      <c r="M37" s="85"/>
      <c r="N37" s="85"/>
      <c r="O37" s="85"/>
      <c r="P37" s="48">
        <f>SUM(compras_mes1[[#This Row],[NETO GRAVADO]:[Otros / No Grav.]])</f>
        <v>74200.83</v>
      </c>
      <c r="Q37" s="49">
        <f>IFERROR(IF(compras_mes1[[#This Row],[CUIT]]="","-",VLOOKUP(compras_mes1[[#This Row],[CUIT]],Lista_CUIT[#All],3,0)),"CUIT NO CARGADO")</f>
        <v>0</v>
      </c>
      <c r="R37" s="49">
        <f>IFERROR(IF(compras_mes1[[#This Row],[CUIT]]="","-",VLOOKUP(compras_mes1[[#This Row],[CUIT]],Lista_CUIT[#All],4,0)),"CUIT NO CARGADO")</f>
        <v>0</v>
      </c>
    </row>
    <row r="38" spans="2:18" x14ac:dyDescent="0.3">
      <c r="B38" s="40">
        <v>44938</v>
      </c>
      <c r="C38" s="41">
        <v>1</v>
      </c>
      <c r="D38" s="42">
        <v>5</v>
      </c>
      <c r="E38" s="43">
        <v>13805</v>
      </c>
      <c r="F38" s="44">
        <v>23127284369</v>
      </c>
      <c r="G38" s="45" t="str">
        <f>IFERROR(IF(compras_mes1[[#This Row],[CUIT]]="","-",VLOOKUP(compras_mes1[[#This Row],[CUIT]],Lista_CUIT[#All],2,0)),"CUIT NO CARGADO")</f>
        <v xml:space="preserve">DOMINGO MONTORRO </v>
      </c>
      <c r="H38" s="46">
        <v>30259.4</v>
      </c>
      <c r="I38" s="85">
        <f>IF(compras_mes1[[#This Row],[NETO GRAVADO]]="","",compras_mes1[[#This Row],[NETO GRAVADO]]*0.21)</f>
        <v>6354.4740000000002</v>
      </c>
      <c r="J38" s="85"/>
      <c r="K38" s="85"/>
      <c r="L38" s="85"/>
      <c r="M38" s="85"/>
      <c r="N38" s="85"/>
      <c r="O38" s="85"/>
      <c r="P38" s="48">
        <f>SUM(compras_mes1[[#This Row],[NETO GRAVADO]:[Otros / No Grav.]])</f>
        <v>36613.874000000003</v>
      </c>
      <c r="Q38" s="49">
        <f>IFERROR(IF(compras_mes1[[#This Row],[CUIT]]="","-",VLOOKUP(compras_mes1[[#This Row],[CUIT]],Lista_CUIT[#All],3,0)),"CUIT NO CARGADO")</f>
        <v>0</v>
      </c>
      <c r="R38" s="49">
        <f>IFERROR(IF(compras_mes1[[#This Row],[CUIT]]="","-",VLOOKUP(compras_mes1[[#This Row],[CUIT]],Lista_CUIT[#All],4,0)),"CUIT NO CARGADO")</f>
        <v>0</v>
      </c>
    </row>
    <row r="39" spans="2:18" x14ac:dyDescent="0.3">
      <c r="B39" s="40">
        <v>44938</v>
      </c>
      <c r="C39" s="41">
        <v>1</v>
      </c>
      <c r="D39" s="42">
        <v>6</v>
      </c>
      <c r="E39" s="43">
        <v>7973</v>
      </c>
      <c r="F39" s="44">
        <v>33710167309</v>
      </c>
      <c r="G39" s="45" t="str">
        <f>IFERROR(IF(compras_mes1[[#This Row],[CUIT]]="","-",VLOOKUP(compras_mes1[[#This Row],[CUIT]],Lista_CUIT[#All],2,0)),"CUIT NO CARGADO")</f>
        <v>MAT. ESCO SA</v>
      </c>
      <c r="H39" s="46">
        <v>8059.46</v>
      </c>
      <c r="I39" s="85">
        <f>IF(compras_mes1[[#This Row],[NETO GRAVADO]]="","",compras_mes1[[#This Row],[NETO GRAVADO]]*0.21)</f>
        <v>1692.4866</v>
      </c>
      <c r="J39" s="85"/>
      <c r="K39" s="85"/>
      <c r="L39" s="85"/>
      <c r="M39" s="85"/>
      <c r="N39" s="85"/>
      <c r="O39" s="85"/>
      <c r="P39" s="48">
        <f>SUM(compras_mes1[[#This Row],[NETO GRAVADO]:[Otros / No Grav.]])</f>
        <v>9751.9465999999993</v>
      </c>
      <c r="Q39" s="49">
        <f>IFERROR(IF(compras_mes1[[#This Row],[CUIT]]="","-",VLOOKUP(compras_mes1[[#This Row],[CUIT]],Lista_CUIT[#All],3,0)),"CUIT NO CARGADO")</f>
        <v>0</v>
      </c>
      <c r="R39" s="49">
        <f>IFERROR(IF(compras_mes1[[#This Row],[CUIT]]="","-",VLOOKUP(compras_mes1[[#This Row],[CUIT]],Lista_CUIT[#All],4,0)),"CUIT NO CARGADO")</f>
        <v>0</v>
      </c>
    </row>
    <row r="40" spans="2:18" x14ac:dyDescent="0.3">
      <c r="B40" s="40">
        <v>44938</v>
      </c>
      <c r="C40" s="41">
        <v>1</v>
      </c>
      <c r="D40" s="42">
        <v>3</v>
      </c>
      <c r="E40" s="43">
        <v>6359</v>
      </c>
      <c r="F40" s="44">
        <v>30708006420</v>
      </c>
      <c r="G40" s="45" t="str">
        <f>IFERROR(IF(compras_mes1[[#This Row],[CUIT]]="","-",VLOOKUP(compras_mes1[[#This Row],[CUIT]],Lista_CUIT[#All],2,0)),"CUIT NO CARGADO")</f>
        <v>MEDILEA S.A.</v>
      </c>
      <c r="H40" s="46">
        <v>340000</v>
      </c>
      <c r="I40" s="85">
        <f>IF(compras_mes1[[#This Row],[NETO GRAVADO]]="","",compras_mes1[[#This Row],[NETO GRAVADO]]*0.21)</f>
        <v>71400</v>
      </c>
      <c r="J40" s="85"/>
      <c r="K40" s="85"/>
      <c r="L40" s="85"/>
      <c r="M40" s="85"/>
      <c r="N40" s="85"/>
      <c r="O40" s="85"/>
      <c r="P40" s="48">
        <f>SUM(compras_mes1[[#This Row],[NETO GRAVADO]:[Otros / No Grav.]])</f>
        <v>411400</v>
      </c>
      <c r="Q40" s="49">
        <f>IFERROR(IF(compras_mes1[[#This Row],[CUIT]]="","-",VLOOKUP(compras_mes1[[#This Row],[CUIT]],Lista_CUIT[#All],3,0)),"CUIT NO CARGADO")</f>
        <v>0</v>
      </c>
      <c r="R40" s="49">
        <f>IFERROR(IF(compras_mes1[[#This Row],[CUIT]]="","-",VLOOKUP(compras_mes1[[#This Row],[CUIT]],Lista_CUIT[#All],4,0)),"CUIT NO CARGADO")</f>
        <v>0</v>
      </c>
    </row>
    <row r="41" spans="2:18" x14ac:dyDescent="0.3">
      <c r="B41" s="40">
        <v>44939</v>
      </c>
      <c r="C41" s="41">
        <v>1</v>
      </c>
      <c r="D41" s="42">
        <v>8</v>
      </c>
      <c r="E41" s="43">
        <v>21096</v>
      </c>
      <c r="F41" s="44">
        <v>30633139144</v>
      </c>
      <c r="G41" s="45" t="str">
        <f>IFERROR(IF(compras_mes1[[#This Row],[CUIT]]="","-",VLOOKUP(compras_mes1[[#This Row],[CUIT]],Lista_CUIT[#All],2,0)),"CUIT NO CARGADO")</f>
        <v>DAGHER S A</v>
      </c>
      <c r="H41" s="46">
        <v>4416.5200000000004</v>
      </c>
      <c r="I41" s="85">
        <f>IF(compras_mes1[[#This Row],[NETO GRAVADO]]="","",compras_mes1[[#This Row],[NETO GRAVADO]]*0.21)</f>
        <v>927.4692</v>
      </c>
      <c r="J41" s="85"/>
      <c r="K41" s="85"/>
      <c r="L41" s="85"/>
      <c r="M41" s="85"/>
      <c r="N41" s="85"/>
      <c r="O41" s="85"/>
      <c r="P41" s="48">
        <f>SUM(compras_mes1[[#This Row],[NETO GRAVADO]:[Otros / No Grav.]])</f>
        <v>5343.9892</v>
      </c>
      <c r="Q41" s="49">
        <f>IFERROR(IF(compras_mes1[[#This Row],[CUIT]]="","-",VLOOKUP(compras_mes1[[#This Row],[CUIT]],Lista_CUIT[#All],3,0)),"CUIT NO CARGADO")</f>
        <v>0</v>
      </c>
      <c r="R41" s="49">
        <f>IFERROR(IF(compras_mes1[[#This Row],[CUIT]]="","-",VLOOKUP(compras_mes1[[#This Row],[CUIT]],Lista_CUIT[#All],4,0)),"CUIT NO CARGADO")</f>
        <v>0</v>
      </c>
    </row>
    <row r="42" spans="2:18" x14ac:dyDescent="0.3">
      <c r="B42" s="40">
        <v>44939</v>
      </c>
      <c r="C42" s="41">
        <v>1</v>
      </c>
      <c r="D42" s="42">
        <v>4</v>
      </c>
      <c r="E42" s="43">
        <v>34372</v>
      </c>
      <c r="F42" s="44">
        <v>30532905555</v>
      </c>
      <c r="G42" s="45" t="str">
        <f>IFERROR(IF(compras_mes1[[#This Row],[CUIT]]="","-",VLOOKUP(compras_mes1[[#This Row],[CUIT]],Lista_CUIT[#All],2,0)),"CUIT NO CARGADO")</f>
        <v>UNTECO S.A.I.C. E I.</v>
      </c>
      <c r="H42" s="46">
        <v>104133.55</v>
      </c>
      <c r="I42" s="85">
        <f>IF(compras_mes1[[#This Row],[NETO GRAVADO]]="","",compras_mes1[[#This Row],[NETO GRAVADO]]*0.21)</f>
        <v>21868.0455</v>
      </c>
      <c r="J42" s="85"/>
      <c r="K42" s="85"/>
      <c r="L42" s="85"/>
      <c r="M42" s="85">
        <v>6248.01</v>
      </c>
      <c r="N42" s="85"/>
      <c r="O42" s="85"/>
      <c r="P42" s="48">
        <f>SUM(compras_mes1[[#This Row],[NETO GRAVADO]:[Otros / No Grav.]])</f>
        <v>132249.60550000001</v>
      </c>
      <c r="Q42" s="49">
        <f>IFERROR(IF(compras_mes1[[#This Row],[CUIT]]="","-",VLOOKUP(compras_mes1[[#This Row],[CUIT]],Lista_CUIT[#All],3,0)),"CUIT NO CARGADO")</f>
        <v>0</v>
      </c>
      <c r="R42" s="49">
        <f>IFERROR(IF(compras_mes1[[#This Row],[CUIT]]="","-",VLOOKUP(compras_mes1[[#This Row],[CUIT]],Lista_CUIT[#All],4,0)),"CUIT NO CARGADO")</f>
        <v>0</v>
      </c>
    </row>
    <row r="43" spans="2:18" x14ac:dyDescent="0.3">
      <c r="B43" s="40">
        <v>44939</v>
      </c>
      <c r="C43" s="41">
        <v>1</v>
      </c>
      <c r="D43" s="42">
        <v>2</v>
      </c>
      <c r="E43" s="43">
        <v>5017</v>
      </c>
      <c r="F43" s="44">
        <v>30714863815</v>
      </c>
      <c r="G43" s="45" t="str">
        <f>IFERROR(IF(compras_mes1[[#This Row],[CUIT]]="","-",VLOOKUP(compras_mes1[[#This Row],[CUIT]],Lista_CUIT[#All],2,0)),"CUIT NO CARGADO")</f>
        <v>QUANTUM QUIMICA S.R.L.</v>
      </c>
      <c r="H43" s="46">
        <v>87831.73</v>
      </c>
      <c r="I43" s="85">
        <f>IF(compras_mes1[[#This Row],[NETO GRAVADO]]="","",compras_mes1[[#This Row],[NETO GRAVADO]]*0.21)</f>
        <v>18444.6633</v>
      </c>
      <c r="J43" s="85"/>
      <c r="K43" s="85"/>
      <c r="L43" s="85"/>
      <c r="M43" s="85"/>
      <c r="N43" s="85"/>
      <c r="O43" s="85"/>
      <c r="P43" s="48">
        <f>SUM(compras_mes1[[#This Row],[NETO GRAVADO]:[Otros / No Grav.]])</f>
        <v>106276.3933</v>
      </c>
      <c r="Q43" s="49">
        <f>IFERROR(IF(compras_mes1[[#This Row],[CUIT]]="","-",VLOOKUP(compras_mes1[[#This Row],[CUIT]],Lista_CUIT[#All],3,0)),"CUIT NO CARGADO")</f>
        <v>0</v>
      </c>
      <c r="R43" s="49">
        <f>IFERROR(IF(compras_mes1[[#This Row],[CUIT]]="","-",VLOOKUP(compras_mes1[[#This Row],[CUIT]],Lista_CUIT[#All],4,0)),"CUIT NO CARGADO")</f>
        <v>0</v>
      </c>
    </row>
    <row r="44" spans="2:18" x14ac:dyDescent="0.3">
      <c r="B44" s="40">
        <v>44939</v>
      </c>
      <c r="C44" s="41">
        <v>1</v>
      </c>
      <c r="D44" s="42">
        <v>2</v>
      </c>
      <c r="E44" s="43">
        <v>69688</v>
      </c>
      <c r="F44" s="44">
        <v>30715023497</v>
      </c>
      <c r="G44" s="45" t="str">
        <f>IFERROR(IF(compras_mes1[[#This Row],[CUIT]]="","-",VLOOKUP(compras_mes1[[#This Row],[CUIT]],Lista_CUIT[#All],2,0)),"CUIT NO CARGADO")</f>
        <v>EVER SAFE S.R.L.</v>
      </c>
      <c r="H44" s="46">
        <v>5338.84</v>
      </c>
      <c r="I44" s="85">
        <f>IF(compras_mes1[[#This Row],[NETO GRAVADO]]="","",compras_mes1[[#This Row],[NETO GRAVADO]]*0.21)</f>
        <v>1121.1564000000001</v>
      </c>
      <c r="J44" s="85"/>
      <c r="K44" s="85"/>
      <c r="L44" s="85"/>
      <c r="M44" s="85"/>
      <c r="N44" s="85"/>
      <c r="O44" s="85"/>
      <c r="P44" s="48">
        <f>SUM(compras_mes1[[#This Row],[NETO GRAVADO]:[Otros / No Grav.]])</f>
        <v>6459.9964</v>
      </c>
      <c r="Q44" s="49">
        <f>IFERROR(IF(compras_mes1[[#This Row],[CUIT]]="","-",VLOOKUP(compras_mes1[[#This Row],[CUIT]],Lista_CUIT[#All],3,0)),"CUIT NO CARGADO")</f>
        <v>0</v>
      </c>
      <c r="R44" s="49">
        <f>IFERROR(IF(compras_mes1[[#This Row],[CUIT]]="","-",VLOOKUP(compras_mes1[[#This Row],[CUIT]],Lista_CUIT[#All],4,0)),"CUIT NO CARGADO")</f>
        <v>0</v>
      </c>
    </row>
    <row r="45" spans="2:18" x14ac:dyDescent="0.3">
      <c r="B45" s="40">
        <v>44940</v>
      </c>
      <c r="C45" s="41">
        <v>1</v>
      </c>
      <c r="D45" s="42">
        <v>5</v>
      </c>
      <c r="E45" s="43">
        <v>17</v>
      </c>
      <c r="F45" s="44">
        <v>20946785300</v>
      </c>
      <c r="G45" s="45" t="str">
        <f>IFERROR(IF(compras_mes1[[#This Row],[CUIT]]="","-",VLOOKUP(compras_mes1[[#This Row],[CUIT]],Lista_CUIT[#All],2,0)),"CUIT NO CARGADO")</f>
        <v>FLORES HUAYRA MICHAEL MARTIN</v>
      </c>
      <c r="H45" s="46">
        <v>124000</v>
      </c>
      <c r="I45" s="85">
        <f>IF(compras_mes1[[#This Row],[NETO GRAVADO]]="","",compras_mes1[[#This Row],[NETO GRAVADO]]*0.21)</f>
        <v>26040</v>
      </c>
      <c r="J45" s="85"/>
      <c r="K45" s="85"/>
      <c r="L45" s="85"/>
      <c r="M45" s="85"/>
      <c r="N45" s="85"/>
      <c r="O45" s="85"/>
      <c r="P45" s="48">
        <f>SUM(compras_mes1[[#This Row],[NETO GRAVADO]:[Otros / No Grav.]])</f>
        <v>150040</v>
      </c>
      <c r="Q45" s="49">
        <f>IFERROR(IF(compras_mes1[[#This Row],[CUIT]]="","-",VLOOKUP(compras_mes1[[#This Row],[CUIT]],Lista_CUIT[#All],3,0)),"CUIT NO CARGADO")</f>
        <v>0</v>
      </c>
      <c r="R45" s="49">
        <f>IFERROR(IF(compras_mes1[[#This Row],[CUIT]]="","-",VLOOKUP(compras_mes1[[#This Row],[CUIT]],Lista_CUIT[#All],4,0)),"CUIT NO CARGADO")</f>
        <v>0</v>
      </c>
    </row>
    <row r="46" spans="2:18" x14ac:dyDescent="0.3">
      <c r="B46" s="40">
        <v>44943</v>
      </c>
      <c r="C46" s="41">
        <v>1</v>
      </c>
      <c r="D46" s="42">
        <v>629</v>
      </c>
      <c r="E46" s="43">
        <v>3867610</v>
      </c>
      <c r="F46" s="44">
        <v>30663498513</v>
      </c>
      <c r="G46" s="45" t="str">
        <f>IFERROR(IF(compras_mes1[[#This Row],[CUIT]]="","-",VLOOKUP(compras_mes1[[#This Row],[CUIT]],Lista_CUIT[#All],2,0)),"CUIT NO CARGADO")</f>
        <v>GRUPO CONCES. DEL OESTE SA</v>
      </c>
      <c r="H46" s="46">
        <v>1111.57</v>
      </c>
      <c r="I46" s="85">
        <f>IF(compras_mes1[[#This Row],[NETO GRAVADO]]="","",compras_mes1[[#This Row],[NETO GRAVADO]]*0.21)</f>
        <v>233.42969999999997</v>
      </c>
      <c r="J46" s="85"/>
      <c r="K46" s="85"/>
      <c r="L46" s="85"/>
      <c r="M46" s="85"/>
      <c r="N46" s="85"/>
      <c r="O46" s="85"/>
      <c r="P46" s="48">
        <f>SUM(compras_mes1[[#This Row],[NETO GRAVADO]:[Otros / No Grav.]])</f>
        <v>1344.9996999999998</v>
      </c>
      <c r="Q46" s="49">
        <f>IFERROR(IF(compras_mes1[[#This Row],[CUIT]]="","-",VLOOKUP(compras_mes1[[#This Row],[CUIT]],Lista_CUIT[#All],3,0)),"CUIT NO CARGADO")</f>
        <v>0</v>
      </c>
      <c r="R46" s="49">
        <f>IFERROR(IF(compras_mes1[[#This Row],[CUIT]]="","-",VLOOKUP(compras_mes1[[#This Row],[CUIT]],Lista_CUIT[#All],4,0)),"CUIT NO CARGADO")</f>
        <v>0</v>
      </c>
    </row>
    <row r="47" spans="2:18" x14ac:dyDescent="0.3">
      <c r="B47" s="40">
        <v>44943</v>
      </c>
      <c r="C47" s="41">
        <v>1</v>
      </c>
      <c r="D47" s="42">
        <v>5014</v>
      </c>
      <c r="E47" s="43">
        <v>358653</v>
      </c>
      <c r="F47" s="44">
        <v>30574876474</v>
      </c>
      <c r="G47" s="45" t="str">
        <f>IFERROR(IF(compras_mes1[[#This Row],[CUIT]]="","-",VLOOKUP(compras_mes1[[#This Row],[CUIT]],Lista_CUIT[#All],2,0)),"CUIT NO CARGADO")</f>
        <v>AUTOPISTAS URBANAS S A</v>
      </c>
      <c r="H47" s="46">
        <v>10035.98</v>
      </c>
      <c r="I47" s="85">
        <f>IF(compras_mes1[[#This Row],[NETO GRAVADO]]="","",compras_mes1[[#This Row],[NETO GRAVADO]]*0.21)</f>
        <v>2107.5557999999996</v>
      </c>
      <c r="J47" s="85"/>
      <c r="K47" s="85"/>
      <c r="L47" s="85"/>
      <c r="M47" s="85">
        <v>301.06</v>
      </c>
      <c r="N47" s="85"/>
      <c r="O47" s="85">
        <v>1002.47</v>
      </c>
      <c r="P47" s="48">
        <f>SUM(compras_mes1[[#This Row],[NETO GRAVADO]:[Otros / No Grav.]])</f>
        <v>13447.065799999998</v>
      </c>
      <c r="Q47" s="49">
        <f>IFERROR(IF(compras_mes1[[#This Row],[CUIT]]="","-",VLOOKUP(compras_mes1[[#This Row],[CUIT]],Lista_CUIT[#All],3,0)),"CUIT NO CARGADO")</f>
        <v>0</v>
      </c>
      <c r="R47" s="49">
        <f>IFERROR(IF(compras_mes1[[#This Row],[CUIT]]="","-",VLOOKUP(compras_mes1[[#This Row],[CUIT]],Lista_CUIT[#All],4,0)),"CUIT NO CARGADO")</f>
        <v>0</v>
      </c>
    </row>
    <row r="48" spans="2:18" x14ac:dyDescent="0.3">
      <c r="B48" s="40">
        <v>44943</v>
      </c>
      <c r="C48" s="41">
        <v>1</v>
      </c>
      <c r="D48" s="42">
        <v>711</v>
      </c>
      <c r="E48" s="43">
        <v>3864368</v>
      </c>
      <c r="F48" s="44">
        <v>30677237119</v>
      </c>
      <c r="G48" s="45" t="str">
        <f>IFERROR(IF(compras_mes1[[#This Row],[CUIT]]="","-",VLOOKUP(compras_mes1[[#This Row],[CUIT]],Lista_CUIT[#All],2,0)),"CUIT NO CARGADO")</f>
        <v>AUTOPISTAS DEL SOL S A</v>
      </c>
      <c r="H48" s="46">
        <v>3061.96</v>
      </c>
      <c r="I48" s="85">
        <f>IF(compras_mes1[[#This Row],[NETO GRAVADO]]="","",compras_mes1[[#This Row],[NETO GRAVADO]]*0.21)</f>
        <v>643.01159999999993</v>
      </c>
      <c r="J48" s="85"/>
      <c r="K48" s="85"/>
      <c r="L48" s="85"/>
      <c r="M48" s="85"/>
      <c r="N48" s="85"/>
      <c r="O48" s="85">
        <v>91.86</v>
      </c>
      <c r="P48" s="48">
        <f>SUM(compras_mes1[[#This Row],[NETO GRAVADO]:[Otros / No Grav.]])</f>
        <v>3796.8316</v>
      </c>
      <c r="Q48" s="49">
        <f>IFERROR(IF(compras_mes1[[#This Row],[CUIT]]="","-",VLOOKUP(compras_mes1[[#This Row],[CUIT]],Lista_CUIT[#All],3,0)),"CUIT NO CARGADO")</f>
        <v>0</v>
      </c>
      <c r="R48" s="49">
        <f>IFERROR(IF(compras_mes1[[#This Row],[CUIT]]="","-",VLOOKUP(compras_mes1[[#This Row],[CUIT]],Lista_CUIT[#All],4,0)),"CUIT NO CARGADO")</f>
        <v>0</v>
      </c>
    </row>
    <row r="49" spans="2:18" x14ac:dyDescent="0.3">
      <c r="B49" s="40">
        <v>44944</v>
      </c>
      <c r="C49" s="41">
        <v>1</v>
      </c>
      <c r="D49" s="42">
        <v>1</v>
      </c>
      <c r="E49" s="43">
        <v>2272</v>
      </c>
      <c r="F49" s="44">
        <v>30716154102</v>
      </c>
      <c r="G49" s="45" t="str">
        <f>IFERROR(IF(compras_mes1[[#This Row],[CUIT]]="","-",VLOOKUP(compras_mes1[[#This Row],[CUIT]],Lista_CUIT[#All],2,0)),"CUIT NO CARGADO")</f>
        <v>IDZONE SRL</v>
      </c>
      <c r="H49" s="46">
        <v>125070</v>
      </c>
      <c r="I49" s="85">
        <f>IF(compras_mes1[[#This Row],[NETO GRAVADO]]="","",compras_mes1[[#This Row],[NETO GRAVADO]]*0.21)</f>
        <v>26264.7</v>
      </c>
      <c r="J49" s="85"/>
      <c r="K49" s="85"/>
      <c r="L49" s="85"/>
      <c r="M49" s="85"/>
      <c r="N49" s="85"/>
      <c r="O49" s="85"/>
      <c r="P49" s="48">
        <f>SUM(compras_mes1[[#This Row],[NETO GRAVADO]:[Otros / No Grav.]])</f>
        <v>151334.70000000001</v>
      </c>
      <c r="Q49" s="49">
        <f>IFERROR(IF(compras_mes1[[#This Row],[CUIT]]="","-",VLOOKUP(compras_mes1[[#This Row],[CUIT]],Lista_CUIT[#All],3,0)),"CUIT NO CARGADO")</f>
        <v>0</v>
      </c>
      <c r="R49" s="49">
        <f>IFERROR(IF(compras_mes1[[#This Row],[CUIT]]="","-",VLOOKUP(compras_mes1[[#This Row],[CUIT]],Lista_CUIT[#All],4,0)),"CUIT NO CARGADO")</f>
        <v>0</v>
      </c>
    </row>
    <row r="50" spans="2:18" x14ac:dyDescent="0.3">
      <c r="B50" s="40">
        <v>44944</v>
      </c>
      <c r="C50" s="41">
        <v>3</v>
      </c>
      <c r="D50" s="42">
        <v>5</v>
      </c>
      <c r="E50" s="43">
        <v>3017</v>
      </c>
      <c r="F50" s="44">
        <v>30532905555</v>
      </c>
      <c r="G50" s="45" t="str">
        <f>IFERROR(IF(compras_mes1[[#This Row],[CUIT]]="","-",VLOOKUP(compras_mes1[[#This Row],[CUIT]],Lista_CUIT[#All],2,0)),"CUIT NO CARGADO")</f>
        <v>UNTECO S.A.I.C. E I.</v>
      </c>
      <c r="H50" s="46">
        <v>-5206.68</v>
      </c>
      <c r="I50" s="85">
        <f>IF(compras_mes1[[#This Row],[NETO GRAVADO]]="","",compras_mes1[[#This Row],[NETO GRAVADO]]*0.21)</f>
        <v>-1093.4028000000001</v>
      </c>
      <c r="J50" s="85"/>
      <c r="K50" s="85"/>
      <c r="L50" s="85"/>
      <c r="M50" s="85"/>
      <c r="N50" s="85"/>
      <c r="O50" s="85"/>
      <c r="P50" s="48">
        <f>SUM(compras_mes1[[#This Row],[NETO GRAVADO]:[Otros / No Grav.]])</f>
        <v>-6300.0828000000001</v>
      </c>
      <c r="Q50" s="49">
        <f>IFERROR(IF(compras_mes1[[#This Row],[CUIT]]="","-",VLOOKUP(compras_mes1[[#This Row],[CUIT]],Lista_CUIT[#All],3,0)),"CUIT NO CARGADO")</f>
        <v>0</v>
      </c>
      <c r="R50" s="49">
        <f>IFERROR(IF(compras_mes1[[#This Row],[CUIT]]="","-",VLOOKUP(compras_mes1[[#This Row],[CUIT]],Lista_CUIT[#All],4,0)),"CUIT NO CARGADO")</f>
        <v>0</v>
      </c>
    </row>
    <row r="51" spans="2:18" x14ac:dyDescent="0.3">
      <c r="B51" s="40">
        <v>44945</v>
      </c>
      <c r="C51" s="41">
        <v>1</v>
      </c>
      <c r="D51" s="42">
        <v>3328</v>
      </c>
      <c r="E51" s="43">
        <v>7638</v>
      </c>
      <c r="F51" s="44">
        <v>30526874249</v>
      </c>
      <c r="G51" s="45" t="str">
        <f>IFERROR(IF(compras_mes1[[#This Row],[CUIT]]="","-",VLOOKUP(compras_mes1[[#This Row],[CUIT]],Lista_CUIT[#All],2,0)),"CUIT NO CARGADO")</f>
        <v>FRAVEGA S A C I E I</v>
      </c>
      <c r="H51" s="46">
        <v>3635.54</v>
      </c>
      <c r="I51" s="85">
        <f>IF(compras_mes1[[#This Row],[NETO GRAVADO]]="","",compras_mes1[[#This Row],[NETO GRAVADO]]*0.21)</f>
        <v>763.46339999999998</v>
      </c>
      <c r="J51" s="85"/>
      <c r="K51" s="85"/>
      <c r="L51" s="85"/>
      <c r="M51" s="85"/>
      <c r="N51" s="85"/>
      <c r="O51" s="85"/>
      <c r="P51" s="48">
        <f>SUM(compras_mes1[[#This Row],[NETO GRAVADO]:[Otros / No Grav.]])</f>
        <v>4399.0033999999996</v>
      </c>
      <c r="Q51" s="49">
        <f>IFERROR(IF(compras_mes1[[#This Row],[CUIT]]="","-",VLOOKUP(compras_mes1[[#This Row],[CUIT]],Lista_CUIT[#All],3,0)),"CUIT NO CARGADO")</f>
        <v>0</v>
      </c>
      <c r="R51" s="49">
        <f>IFERROR(IF(compras_mes1[[#This Row],[CUIT]]="","-",VLOOKUP(compras_mes1[[#This Row],[CUIT]],Lista_CUIT[#All],4,0)),"CUIT NO CARGADO")</f>
        <v>0</v>
      </c>
    </row>
    <row r="52" spans="2:18" x14ac:dyDescent="0.3">
      <c r="B52" s="40">
        <v>44945</v>
      </c>
      <c r="C52" s="41">
        <v>1</v>
      </c>
      <c r="D52" s="42">
        <v>3</v>
      </c>
      <c r="E52" s="43">
        <v>6366</v>
      </c>
      <c r="F52" s="44">
        <v>30708006420</v>
      </c>
      <c r="G52" s="45" t="str">
        <f>IFERROR(IF(compras_mes1[[#This Row],[CUIT]]="","-",VLOOKUP(compras_mes1[[#This Row],[CUIT]],Lista_CUIT[#All],2,0)),"CUIT NO CARGADO")</f>
        <v>MEDILEA S.A.</v>
      </c>
      <c r="H52" s="46">
        <v>173680</v>
      </c>
      <c r="I52" s="85">
        <f>IF(compras_mes1[[#This Row],[NETO GRAVADO]]="","",compras_mes1[[#This Row],[NETO GRAVADO]]*0.21)</f>
        <v>36472.799999999996</v>
      </c>
      <c r="J52" s="85"/>
      <c r="K52" s="85"/>
      <c r="L52" s="85"/>
      <c r="M52" s="85"/>
      <c r="N52" s="85"/>
      <c r="O52" s="85"/>
      <c r="P52" s="48">
        <f>SUM(compras_mes1[[#This Row],[NETO GRAVADO]:[Otros / No Grav.]])</f>
        <v>210152.8</v>
      </c>
      <c r="Q52" s="49">
        <f>IFERROR(IF(compras_mes1[[#This Row],[CUIT]]="","-",VLOOKUP(compras_mes1[[#This Row],[CUIT]],Lista_CUIT[#All],3,0)),"CUIT NO CARGADO")</f>
        <v>0</v>
      </c>
      <c r="R52" s="49">
        <f>IFERROR(IF(compras_mes1[[#This Row],[CUIT]]="","-",VLOOKUP(compras_mes1[[#This Row],[CUIT]],Lista_CUIT[#All],4,0)),"CUIT NO CARGADO")</f>
        <v>0</v>
      </c>
    </row>
    <row r="53" spans="2:18" x14ac:dyDescent="0.3">
      <c r="B53" s="40">
        <v>44945</v>
      </c>
      <c r="C53" s="41">
        <v>1</v>
      </c>
      <c r="D53" s="42">
        <v>3</v>
      </c>
      <c r="E53" s="43">
        <v>6368</v>
      </c>
      <c r="F53" s="44">
        <v>30708006420</v>
      </c>
      <c r="G53" s="45" t="str">
        <f>IFERROR(IF(compras_mes1[[#This Row],[CUIT]]="","-",VLOOKUP(compras_mes1[[#This Row],[CUIT]],Lista_CUIT[#All],2,0)),"CUIT NO CARGADO")</f>
        <v>MEDILEA S.A.</v>
      </c>
      <c r="H53" s="46">
        <v>324720</v>
      </c>
      <c r="I53" s="85">
        <f>IF(compras_mes1[[#This Row],[NETO GRAVADO]]="","",compras_mes1[[#This Row],[NETO GRAVADO]]*0.21)</f>
        <v>68191.199999999997</v>
      </c>
      <c r="J53" s="85"/>
      <c r="K53" s="85"/>
      <c r="L53" s="85"/>
      <c r="M53" s="85"/>
      <c r="N53" s="85"/>
      <c r="O53" s="85"/>
      <c r="P53" s="48">
        <f>SUM(compras_mes1[[#This Row],[NETO GRAVADO]:[Otros / No Grav.]])</f>
        <v>392911.2</v>
      </c>
      <c r="Q53" s="49">
        <f>IFERROR(IF(compras_mes1[[#This Row],[CUIT]]="","-",VLOOKUP(compras_mes1[[#This Row],[CUIT]],Lista_CUIT[#All],3,0)),"CUIT NO CARGADO")</f>
        <v>0</v>
      </c>
      <c r="R53" s="49">
        <f>IFERROR(IF(compras_mes1[[#This Row],[CUIT]]="","-",VLOOKUP(compras_mes1[[#This Row],[CUIT]],Lista_CUIT[#All],4,0)),"CUIT NO CARGADO")</f>
        <v>0</v>
      </c>
    </row>
    <row r="54" spans="2:18" x14ac:dyDescent="0.3">
      <c r="B54" s="40">
        <v>44945</v>
      </c>
      <c r="C54" s="41">
        <v>1</v>
      </c>
      <c r="D54" s="42">
        <v>3</v>
      </c>
      <c r="E54" s="43">
        <v>6367</v>
      </c>
      <c r="F54" s="44">
        <v>30708006420</v>
      </c>
      <c r="G54" s="45" t="str">
        <f>IFERROR(IF(compras_mes1[[#This Row],[CUIT]]="","-",VLOOKUP(compras_mes1[[#This Row],[CUIT]],Lista_CUIT[#All],2,0)),"CUIT NO CARGADO")</f>
        <v>MEDILEA S.A.</v>
      </c>
      <c r="H54" s="46">
        <v>110000</v>
      </c>
      <c r="I54" s="85">
        <f>IF(compras_mes1[[#This Row],[NETO GRAVADO]]="","",compras_mes1[[#This Row],[NETO GRAVADO]]*0.21)</f>
        <v>23100</v>
      </c>
      <c r="J54" s="85"/>
      <c r="K54" s="85"/>
      <c r="L54" s="85"/>
      <c r="M54" s="85"/>
      <c r="N54" s="85"/>
      <c r="O54" s="85"/>
      <c r="P54" s="48">
        <f>SUM(compras_mes1[[#This Row],[NETO GRAVADO]:[Otros / No Grav.]])</f>
        <v>133100</v>
      </c>
      <c r="Q54" s="49">
        <f>IFERROR(IF(compras_mes1[[#This Row],[CUIT]]="","-",VLOOKUP(compras_mes1[[#This Row],[CUIT]],Lista_CUIT[#All],3,0)),"CUIT NO CARGADO")</f>
        <v>0</v>
      </c>
      <c r="R54" s="49">
        <f>IFERROR(IF(compras_mes1[[#This Row],[CUIT]]="","-",VLOOKUP(compras_mes1[[#This Row],[CUIT]],Lista_CUIT[#All],4,0)),"CUIT NO CARGADO")</f>
        <v>0</v>
      </c>
    </row>
    <row r="55" spans="2:18" x14ac:dyDescent="0.3">
      <c r="B55" s="40">
        <v>44945</v>
      </c>
      <c r="C55" s="41">
        <v>3</v>
      </c>
      <c r="D55" s="42">
        <v>3</v>
      </c>
      <c r="E55" s="43">
        <v>286</v>
      </c>
      <c r="F55" s="44">
        <v>30708006420</v>
      </c>
      <c r="G55" s="45" t="str">
        <f>IFERROR(IF(compras_mes1[[#This Row],[CUIT]]="","-",VLOOKUP(compras_mes1[[#This Row],[CUIT]],Lista_CUIT[#All],2,0)),"CUIT NO CARGADO")</f>
        <v>MEDILEA S.A.</v>
      </c>
      <c r="H55" s="46">
        <v>-283680</v>
      </c>
      <c r="I55" s="85">
        <f>IF(compras_mes1[[#This Row],[NETO GRAVADO]]="","",compras_mes1[[#This Row],[NETO GRAVADO]]*0.21)</f>
        <v>-59572.799999999996</v>
      </c>
      <c r="J55" s="85"/>
      <c r="K55" s="85"/>
      <c r="L55" s="85"/>
      <c r="M55" s="85"/>
      <c r="N55" s="85"/>
      <c r="O55" s="85"/>
      <c r="P55" s="48">
        <f>SUM(compras_mes1[[#This Row],[NETO GRAVADO]:[Otros / No Grav.]])</f>
        <v>-343252.8</v>
      </c>
      <c r="Q55" s="49">
        <f>IFERROR(IF(compras_mes1[[#This Row],[CUIT]]="","-",VLOOKUP(compras_mes1[[#This Row],[CUIT]],Lista_CUIT[#All],3,0)),"CUIT NO CARGADO")</f>
        <v>0</v>
      </c>
      <c r="R55" s="49">
        <f>IFERROR(IF(compras_mes1[[#This Row],[CUIT]]="","-",VLOOKUP(compras_mes1[[#This Row],[CUIT]],Lista_CUIT[#All],4,0)),"CUIT NO CARGADO")</f>
        <v>0</v>
      </c>
    </row>
    <row r="56" spans="2:18" x14ac:dyDescent="0.3">
      <c r="B56" s="40">
        <v>44946</v>
      </c>
      <c r="C56" s="41">
        <v>1</v>
      </c>
      <c r="D56" s="42">
        <v>3692</v>
      </c>
      <c r="E56" s="43">
        <v>692</v>
      </c>
      <c r="F56" s="44">
        <v>30526874249</v>
      </c>
      <c r="G56" s="45" t="str">
        <f>IFERROR(IF(compras_mes1[[#This Row],[CUIT]]="","-",VLOOKUP(compras_mes1[[#This Row],[CUIT]],Lista_CUIT[#All],2,0)),"CUIT NO CARGADO")</f>
        <v>FRAVEGA S A C I E I</v>
      </c>
      <c r="H56" s="46">
        <v>9048.8700000000008</v>
      </c>
      <c r="I56" s="85"/>
      <c r="J56" s="85"/>
      <c r="K56" s="85">
        <v>950.13135</v>
      </c>
      <c r="L56" s="85"/>
      <c r="M56" s="85"/>
      <c r="N56" s="85"/>
      <c r="O56" s="85"/>
      <c r="P56" s="48">
        <f>SUM(compras_mes1[[#This Row],[NETO GRAVADO]:[Otros / No Grav.]])</f>
        <v>9999.0013500000005</v>
      </c>
      <c r="Q56" s="49">
        <f>IFERROR(IF(compras_mes1[[#This Row],[CUIT]]="","-",VLOOKUP(compras_mes1[[#This Row],[CUIT]],Lista_CUIT[#All],3,0)),"CUIT NO CARGADO")</f>
        <v>0</v>
      </c>
      <c r="R56" s="49">
        <f>IFERROR(IF(compras_mes1[[#This Row],[CUIT]]="","-",VLOOKUP(compras_mes1[[#This Row],[CUIT]],Lista_CUIT[#All],4,0)),"CUIT NO CARGADO")</f>
        <v>0</v>
      </c>
    </row>
    <row r="57" spans="2:18" x14ac:dyDescent="0.3">
      <c r="B57" s="40">
        <v>44946</v>
      </c>
      <c r="C57" s="41">
        <v>1</v>
      </c>
      <c r="D57" s="42">
        <v>113</v>
      </c>
      <c r="E57" s="43">
        <v>3059150</v>
      </c>
      <c r="F57" s="44">
        <v>30577207190</v>
      </c>
      <c r="G57" s="45" t="str">
        <f>IFERROR(IF(compras_mes1[[#This Row],[CUIT]]="","-",VLOOKUP(compras_mes1[[#This Row],[CUIT]],Lista_CUIT[#All],2,0)),"CUIT NO CARGADO")</f>
        <v>COORDINACION ECOLOGICA AREA METROPOLITANA SOCIEDAD DEL ESTADO</v>
      </c>
      <c r="H57" s="46">
        <v>1530.58</v>
      </c>
      <c r="I57" s="85">
        <f>IF(compras_mes1[[#This Row],[NETO GRAVADO]]="","",compras_mes1[[#This Row],[NETO GRAVADO]]*0.21)</f>
        <v>321.42179999999996</v>
      </c>
      <c r="J57" s="85"/>
      <c r="K57" s="85"/>
      <c r="L57" s="85"/>
      <c r="M57" s="85"/>
      <c r="N57" s="85"/>
      <c r="O57" s="85"/>
      <c r="P57" s="48">
        <f>SUM(compras_mes1[[#This Row],[NETO GRAVADO]:[Otros / No Grav.]])</f>
        <v>1852.0018</v>
      </c>
      <c r="Q57" s="49">
        <f>IFERROR(IF(compras_mes1[[#This Row],[CUIT]]="","-",VLOOKUP(compras_mes1[[#This Row],[CUIT]],Lista_CUIT[#All],3,0)),"CUIT NO CARGADO")</f>
        <v>0</v>
      </c>
      <c r="R57" s="49">
        <f>IFERROR(IF(compras_mes1[[#This Row],[CUIT]]="","-",VLOOKUP(compras_mes1[[#This Row],[CUIT]],Lista_CUIT[#All],4,0)),"CUIT NO CARGADO")</f>
        <v>0</v>
      </c>
    </row>
    <row r="58" spans="2:18" ht="17.25" customHeight="1" x14ac:dyDescent="0.3">
      <c r="B58" s="40">
        <v>44946</v>
      </c>
      <c r="C58" s="41">
        <v>1</v>
      </c>
      <c r="D58" s="42">
        <v>32</v>
      </c>
      <c r="E58" s="43">
        <v>1363</v>
      </c>
      <c r="F58" s="44">
        <v>30696106068</v>
      </c>
      <c r="G58" s="45" t="str">
        <f>IFERROR(IF(compras_mes1[[#This Row],[CUIT]]="","-",VLOOKUP(compras_mes1[[#This Row],[CUIT]],Lista_CUIT[#All],2,0)),"CUIT NO CARGADO")</f>
        <v>PINTURERIAS LIBERATO SRL</v>
      </c>
      <c r="H58" s="46">
        <v>59741.38</v>
      </c>
      <c r="I58" s="85">
        <f>IF(compras_mes1[[#This Row],[NETO GRAVADO]]="","",compras_mes1[[#This Row],[NETO GRAVADO]]*0.21)</f>
        <v>12545.689799999998</v>
      </c>
      <c r="J58" s="85"/>
      <c r="K58" s="85"/>
      <c r="L58" s="85"/>
      <c r="M58" s="85"/>
      <c r="N58" s="85"/>
      <c r="O58" s="85"/>
      <c r="P58" s="48">
        <f>SUM(compras_mes1[[#This Row],[NETO GRAVADO]:[Otros / No Grav.]])</f>
        <v>72287.069799999997</v>
      </c>
      <c r="Q58" s="49">
        <f>IFERROR(IF(compras_mes1[[#This Row],[CUIT]]="","-",VLOOKUP(compras_mes1[[#This Row],[CUIT]],Lista_CUIT[#All],3,0)),"CUIT NO CARGADO")</f>
        <v>0</v>
      </c>
      <c r="R58" s="49">
        <f>IFERROR(IF(compras_mes1[[#This Row],[CUIT]]="","-",VLOOKUP(compras_mes1[[#This Row],[CUIT]],Lista_CUIT[#All],4,0)),"CUIT NO CARGADO")</f>
        <v>0</v>
      </c>
    </row>
    <row r="59" spans="2:18" x14ac:dyDescent="0.3">
      <c r="B59" s="40">
        <v>44948</v>
      </c>
      <c r="C59" s="41">
        <v>1</v>
      </c>
      <c r="D59" s="42">
        <v>25</v>
      </c>
      <c r="E59" s="43">
        <v>5036</v>
      </c>
      <c r="F59" s="44">
        <v>30695243673</v>
      </c>
      <c r="G59" s="45" t="str">
        <f>IFERROR(IF(compras_mes1[[#This Row],[CUIT]]="","-",VLOOKUP(compras_mes1[[#This Row],[CUIT]],Lista_CUIT[#All],2,0)),"CUIT NO CARGADO")</f>
        <v>YAPAY SRL</v>
      </c>
      <c r="H59" s="46">
        <v>4444.68</v>
      </c>
      <c r="I59" s="85">
        <f>IF(compras_mes1[[#This Row],[NETO GRAVADO]]="","",compras_mes1[[#This Row],[NETO GRAVADO]]*0.21)</f>
        <v>933.38279999999997</v>
      </c>
      <c r="J59" s="85"/>
      <c r="K59" s="85"/>
      <c r="L59" s="85"/>
      <c r="M59" s="85"/>
      <c r="N59" s="85">
        <v>266.68</v>
      </c>
      <c r="O59" s="85">
        <v>723.43</v>
      </c>
      <c r="P59" s="48">
        <f>SUM(compras_mes1[[#This Row],[NETO GRAVADO]:[Otros / No Grav.]])</f>
        <v>6368.1728000000012</v>
      </c>
      <c r="Q59" s="49">
        <f>IFERROR(IF(compras_mes1[[#This Row],[CUIT]]="","-",VLOOKUP(compras_mes1[[#This Row],[CUIT]],Lista_CUIT[#All],3,0)),"CUIT NO CARGADO")</f>
        <v>0</v>
      </c>
      <c r="R59" s="49">
        <f>IFERROR(IF(compras_mes1[[#This Row],[CUIT]]="","-",VLOOKUP(compras_mes1[[#This Row],[CUIT]],Lista_CUIT[#All],4,0)),"CUIT NO CARGADO")</f>
        <v>0</v>
      </c>
    </row>
    <row r="60" spans="2:18" x14ac:dyDescent="0.3">
      <c r="B60" s="40">
        <v>44949</v>
      </c>
      <c r="C60" s="41">
        <v>1</v>
      </c>
      <c r="D60" s="42">
        <v>3</v>
      </c>
      <c r="E60" s="43">
        <v>6372</v>
      </c>
      <c r="F60" s="44">
        <v>30708006420</v>
      </c>
      <c r="G60" s="45" t="str">
        <f>IFERROR(IF(compras_mes1[[#This Row],[CUIT]]="","-",VLOOKUP(compras_mes1[[#This Row],[CUIT]],Lista_CUIT[#All],2,0)),"CUIT NO CARGADO")</f>
        <v>MEDILEA S.A.</v>
      </c>
      <c r="H60" s="46">
        <v>304275</v>
      </c>
      <c r="I60" s="85">
        <f>IF(compras_mes1[[#This Row],[NETO GRAVADO]]="","",compras_mes1[[#This Row],[NETO GRAVADO]]*0.21)</f>
        <v>63897.75</v>
      </c>
      <c r="J60" s="85"/>
      <c r="K60" s="85"/>
      <c r="L60" s="85"/>
      <c r="M60" s="85"/>
      <c r="N60" s="85"/>
      <c r="O60" s="85"/>
      <c r="P60" s="48">
        <f>SUM(compras_mes1[[#This Row],[NETO GRAVADO]:[Otros / No Grav.]])</f>
        <v>368172.75</v>
      </c>
      <c r="Q60" s="49">
        <f>IFERROR(IF(compras_mes1[[#This Row],[CUIT]]="","-",VLOOKUP(compras_mes1[[#This Row],[CUIT]],Lista_CUIT[#All],3,0)),"CUIT NO CARGADO")</f>
        <v>0</v>
      </c>
      <c r="R60" s="49">
        <f>IFERROR(IF(compras_mes1[[#This Row],[CUIT]]="","-",VLOOKUP(compras_mes1[[#This Row],[CUIT]],Lista_CUIT[#All],4,0)),"CUIT NO CARGADO")</f>
        <v>0</v>
      </c>
    </row>
    <row r="61" spans="2:18" x14ac:dyDescent="0.3">
      <c r="B61" s="40">
        <v>44950</v>
      </c>
      <c r="C61" s="41">
        <v>1</v>
      </c>
      <c r="D61" s="42">
        <v>700</v>
      </c>
      <c r="E61" s="43">
        <v>796063</v>
      </c>
      <c r="F61" s="44">
        <v>30715804812</v>
      </c>
      <c r="G61" s="45" t="str">
        <f>IFERROR(IF(compras_mes1[[#This Row],[CUIT]]="","-",VLOOKUP(compras_mes1[[#This Row],[CUIT]],Lista_CUIT[#All],2,0)),"CUIT NO CARGADO")</f>
        <v>CORREDORES VIALES SOCIEDAD ANONIMA</v>
      </c>
      <c r="H61" s="46">
        <v>595.04</v>
      </c>
      <c r="I61" s="85">
        <f>IF(compras_mes1[[#This Row],[NETO GRAVADO]]="","",compras_mes1[[#This Row],[NETO GRAVADO]]*0.21)</f>
        <v>124.95839999999998</v>
      </c>
      <c r="J61" s="85"/>
      <c r="K61" s="85"/>
      <c r="L61" s="85"/>
      <c r="M61" s="85"/>
      <c r="N61" s="85"/>
      <c r="O61" s="85"/>
      <c r="P61" s="48">
        <f>SUM(compras_mes1[[#This Row],[NETO GRAVADO]:[Otros / No Grav.]])</f>
        <v>719.99839999999995</v>
      </c>
      <c r="Q61" s="49">
        <f>IFERROR(IF(compras_mes1[[#This Row],[CUIT]]="","-",VLOOKUP(compras_mes1[[#This Row],[CUIT]],Lista_CUIT[#All],3,0)),"CUIT NO CARGADO")</f>
        <v>0</v>
      </c>
      <c r="R61" s="49">
        <f>IFERROR(IF(compras_mes1[[#This Row],[CUIT]]="","-",VLOOKUP(compras_mes1[[#This Row],[CUIT]],Lista_CUIT[#All],4,0)),"CUIT NO CARGADO")</f>
        <v>0</v>
      </c>
    </row>
    <row r="62" spans="2:18" x14ac:dyDescent="0.3">
      <c r="B62" s="40">
        <v>44950</v>
      </c>
      <c r="C62" s="41">
        <v>1</v>
      </c>
      <c r="D62" s="42">
        <v>4</v>
      </c>
      <c r="E62" s="43">
        <v>37795</v>
      </c>
      <c r="F62" s="44">
        <v>30585948817</v>
      </c>
      <c r="G62" s="45" t="str">
        <f>IFERROR(IF(compras_mes1[[#This Row],[CUIT]]="","-",VLOOKUP(compras_mes1[[#This Row],[CUIT]],Lista_CUIT[#All],2,0)),"CUIT NO CARGADO")</f>
        <v xml:space="preserve">GLASCAR </v>
      </c>
      <c r="H62" s="46">
        <v>2189214.71</v>
      </c>
      <c r="I62" s="85">
        <f>IF(compras_mes1[[#This Row],[NETO GRAVADO]]="","",compras_mes1[[#This Row],[NETO GRAVADO]]*0.21)</f>
        <v>459735.08909999998</v>
      </c>
      <c r="J62" s="85"/>
      <c r="K62" s="85"/>
      <c r="L62" s="85"/>
      <c r="M62" s="85"/>
      <c r="N62" s="85">
        <v>131352.88</v>
      </c>
      <c r="O62" s="85"/>
      <c r="P62" s="48">
        <f>SUM(compras_mes1[[#This Row],[NETO GRAVADO]:[Otros / No Grav.]])</f>
        <v>2780302.6790999998</v>
      </c>
      <c r="Q62" s="49">
        <f>IFERROR(IF(compras_mes1[[#This Row],[CUIT]]="","-",VLOOKUP(compras_mes1[[#This Row],[CUIT]],Lista_CUIT[#All],3,0)),"CUIT NO CARGADO")</f>
        <v>0</v>
      </c>
      <c r="R62" s="49">
        <f>IFERROR(IF(compras_mes1[[#This Row],[CUIT]]="","-",VLOOKUP(compras_mes1[[#This Row],[CUIT]],Lista_CUIT[#All],4,0)),"CUIT NO CARGADO")</f>
        <v>0</v>
      </c>
    </row>
    <row r="63" spans="2:18" x14ac:dyDescent="0.3">
      <c r="B63" s="40">
        <v>44951</v>
      </c>
      <c r="C63" s="41">
        <v>1</v>
      </c>
      <c r="D63" s="42">
        <v>4</v>
      </c>
      <c r="E63" s="43">
        <v>41232</v>
      </c>
      <c r="F63" s="44">
        <v>30709863076</v>
      </c>
      <c r="G63" s="45" t="str">
        <f>IFERROR(IF(compras_mes1[[#This Row],[CUIT]]="","-",VLOOKUP(compras_mes1[[#This Row],[CUIT]],Lista_CUIT[#All],2,0)),"CUIT NO CARGADO")</f>
        <v>INDUSTRIAS PLASTICOS SALTA S.R.L.</v>
      </c>
      <c r="H63" s="46">
        <v>839776</v>
      </c>
      <c r="I63" s="85">
        <f>IF(compras_mes1[[#This Row],[NETO GRAVADO]]="","",compras_mes1[[#This Row],[NETO GRAVADO]]*0.21)</f>
        <v>176352.96</v>
      </c>
      <c r="J63" s="85"/>
      <c r="K63" s="85"/>
      <c r="L63" s="85"/>
      <c r="M63" s="85"/>
      <c r="N63" s="85"/>
      <c r="O63" s="85"/>
      <c r="P63" s="48">
        <f>SUM(compras_mes1[[#This Row],[NETO GRAVADO]:[Otros / No Grav.]])</f>
        <v>1016128.96</v>
      </c>
      <c r="Q63" s="49">
        <f>IFERROR(IF(compras_mes1[[#This Row],[CUIT]]="","-",VLOOKUP(compras_mes1[[#This Row],[CUIT]],Lista_CUIT[#All],3,0)),"CUIT NO CARGADO")</f>
        <v>0</v>
      </c>
      <c r="R63" s="49">
        <f>IFERROR(IF(compras_mes1[[#This Row],[CUIT]]="","-",VLOOKUP(compras_mes1[[#This Row],[CUIT]],Lista_CUIT[#All],4,0)),"CUIT NO CARGADO")</f>
        <v>0</v>
      </c>
    </row>
    <row r="64" spans="2:18" x14ac:dyDescent="0.3">
      <c r="B64" s="40">
        <v>44951</v>
      </c>
      <c r="C64" s="41">
        <v>1</v>
      </c>
      <c r="D64" s="42">
        <v>9</v>
      </c>
      <c r="E64" s="43">
        <v>742</v>
      </c>
      <c r="F64" s="44">
        <v>30710446047</v>
      </c>
      <c r="G64" s="45" t="str">
        <f>IFERROR(IF(compras_mes1[[#This Row],[CUIT]]="","-",VLOOKUP(compras_mes1[[#This Row],[CUIT]],Lista_CUIT[#All],2,0)),"CUIT NO CARGADO")</f>
        <v>ENSAMBLE GRAFICO S.H.</v>
      </c>
      <c r="H64" s="46">
        <v>420000</v>
      </c>
      <c r="I64" s="85">
        <f>IF(compras_mes1[[#This Row],[NETO GRAVADO]]="","",compras_mes1[[#This Row],[NETO GRAVADO]]*0.21)</f>
        <v>88200</v>
      </c>
      <c r="J64" s="85"/>
      <c r="K64" s="85"/>
      <c r="L64" s="85"/>
      <c r="M64" s="85"/>
      <c r="N64" s="85"/>
      <c r="O64" s="85"/>
      <c r="P64" s="48">
        <f>SUM(compras_mes1[[#This Row],[NETO GRAVADO]:[Otros / No Grav.]])</f>
        <v>508200</v>
      </c>
      <c r="Q64" s="49">
        <f>IFERROR(IF(compras_mes1[[#This Row],[CUIT]]="","-",VLOOKUP(compras_mes1[[#This Row],[CUIT]],Lista_CUIT[#All],3,0)),"CUIT NO CARGADO")</f>
        <v>0</v>
      </c>
      <c r="R64" s="49">
        <f>IFERROR(IF(compras_mes1[[#This Row],[CUIT]]="","-",VLOOKUP(compras_mes1[[#This Row],[CUIT]],Lista_CUIT[#All],4,0)),"CUIT NO CARGADO")</f>
        <v>0</v>
      </c>
    </row>
    <row r="65" spans="2:18" x14ac:dyDescent="0.3">
      <c r="B65" s="40">
        <v>44952</v>
      </c>
      <c r="C65" s="41">
        <v>1</v>
      </c>
      <c r="D65" s="42">
        <v>2</v>
      </c>
      <c r="E65" s="43">
        <v>2169</v>
      </c>
      <c r="F65" s="44">
        <v>30715811622</v>
      </c>
      <c r="G65" s="45" t="str">
        <f>IFERROR(IF(compras_mes1[[#This Row],[CUIT]]="","-",VLOOKUP(compras_mes1[[#This Row],[CUIT]],Lista_CUIT[#All],2,0)),"CUIT NO CARGADO")</f>
        <v>VTEC SRL</v>
      </c>
      <c r="H65" s="46">
        <v>449635.29</v>
      </c>
      <c r="I65" s="85">
        <v>59094</v>
      </c>
      <c r="J65" s="85"/>
      <c r="K65" s="85">
        <v>17664.71</v>
      </c>
      <c r="L65" s="85"/>
      <c r="M65" s="85"/>
      <c r="N65" s="85"/>
      <c r="O65" s="85"/>
      <c r="P65" s="48">
        <f>SUM(compras_mes1[[#This Row],[NETO GRAVADO]:[Otros / No Grav.]])</f>
        <v>526394</v>
      </c>
      <c r="Q65" s="49">
        <f>IFERROR(IF(compras_mes1[[#This Row],[CUIT]]="","-",VLOOKUP(compras_mes1[[#This Row],[CUIT]],Lista_CUIT[#All],3,0)),"CUIT NO CARGADO")</f>
        <v>0</v>
      </c>
      <c r="R65" s="49">
        <f>IFERROR(IF(compras_mes1[[#This Row],[CUIT]]="","-",VLOOKUP(compras_mes1[[#This Row],[CUIT]],Lista_CUIT[#All],4,0)),"CUIT NO CARGADO")</f>
        <v>0</v>
      </c>
    </row>
    <row r="66" spans="2:18" x14ac:dyDescent="0.3">
      <c r="B66" s="40">
        <v>44952</v>
      </c>
      <c r="C66" s="41">
        <v>1</v>
      </c>
      <c r="D66" s="42">
        <v>3</v>
      </c>
      <c r="E66" s="43">
        <v>254160</v>
      </c>
      <c r="F66" s="44">
        <v>30709131865</v>
      </c>
      <c r="G66" s="45" t="str">
        <f>IFERROR(IF(compras_mes1[[#This Row],[CUIT]]="","-",VLOOKUP(compras_mes1[[#This Row],[CUIT]],Lista_CUIT[#All],2,0)),"CUIT NO CARGADO")</f>
        <v>EMPRENDIMIENTOS SATELITALES SA</v>
      </c>
      <c r="H66" s="46">
        <v>367.72</v>
      </c>
      <c r="I66" s="85">
        <f>IF(compras_mes1[[#This Row],[NETO GRAVADO]]="","",compras_mes1[[#This Row],[NETO GRAVADO]]*0.21)</f>
        <v>77.221199999999996</v>
      </c>
      <c r="J66" s="85"/>
      <c r="K66" s="85"/>
      <c r="L66" s="85"/>
      <c r="M66" s="85"/>
      <c r="N66" s="85"/>
      <c r="O66" s="85"/>
      <c r="P66" s="48">
        <f>SUM(compras_mes1[[#This Row],[NETO GRAVADO]:[Otros / No Grav.]])</f>
        <v>444.94120000000004</v>
      </c>
      <c r="Q66" s="49">
        <f>IFERROR(IF(compras_mes1[[#This Row],[CUIT]]="","-",VLOOKUP(compras_mes1[[#This Row],[CUIT]],Lista_CUIT[#All],3,0)),"CUIT NO CARGADO")</f>
        <v>0</v>
      </c>
      <c r="R66" s="49">
        <f>IFERROR(IF(compras_mes1[[#This Row],[CUIT]]="","-",VLOOKUP(compras_mes1[[#This Row],[CUIT]],Lista_CUIT[#All],4,0)),"CUIT NO CARGADO")</f>
        <v>0</v>
      </c>
    </row>
    <row r="67" spans="2:18" x14ac:dyDescent="0.3">
      <c r="B67" s="40">
        <v>44952</v>
      </c>
      <c r="C67" s="41">
        <v>1</v>
      </c>
      <c r="D67" s="42">
        <v>5</v>
      </c>
      <c r="E67" s="43">
        <v>1187</v>
      </c>
      <c r="F67" s="44">
        <v>30711651779</v>
      </c>
      <c r="G67" s="45" t="str">
        <f>IFERROR(IF(compras_mes1[[#This Row],[CUIT]]="","-",VLOOKUP(compras_mes1[[#This Row],[CUIT]],Lista_CUIT[#All],2,0)),"CUIT NO CARGADO")</f>
        <v>INFOSOL BUENOS AIRES S.R.L.</v>
      </c>
      <c r="H67" s="46">
        <v>6611.57</v>
      </c>
      <c r="I67" s="85">
        <f>IF(compras_mes1[[#This Row],[NETO GRAVADO]]="","",compras_mes1[[#This Row],[NETO GRAVADO]]*0.21)</f>
        <v>1388.4296999999999</v>
      </c>
      <c r="J67" s="85"/>
      <c r="K67" s="85"/>
      <c r="L67" s="85"/>
      <c r="M67" s="85"/>
      <c r="N67" s="85"/>
      <c r="O67" s="85"/>
      <c r="P67" s="48">
        <f>SUM(compras_mes1[[#This Row],[NETO GRAVADO]:[Otros / No Grav.]])</f>
        <v>7999.9996999999994</v>
      </c>
      <c r="Q67" s="49">
        <f>IFERROR(IF(compras_mes1[[#This Row],[CUIT]]="","-",VLOOKUP(compras_mes1[[#This Row],[CUIT]],Lista_CUIT[#All],3,0)),"CUIT NO CARGADO")</f>
        <v>0</v>
      </c>
      <c r="R67" s="49">
        <f>IFERROR(IF(compras_mes1[[#This Row],[CUIT]]="","-",VLOOKUP(compras_mes1[[#This Row],[CUIT]],Lista_CUIT[#All],4,0)),"CUIT NO CARGADO")</f>
        <v>0</v>
      </c>
    </row>
    <row r="68" spans="2:18" x14ac:dyDescent="0.3">
      <c r="B68" s="40">
        <v>44953</v>
      </c>
      <c r="C68" s="41">
        <v>1</v>
      </c>
      <c r="D68" s="42">
        <v>2</v>
      </c>
      <c r="E68" s="43">
        <v>35931</v>
      </c>
      <c r="F68" s="44">
        <v>30715279335</v>
      </c>
      <c r="G68" s="45" t="str">
        <f>IFERROR(IF(compras_mes1[[#This Row],[CUIT]]="","-",VLOOKUP(compras_mes1[[#This Row],[CUIT]],Lista_CUIT[#All],2,0)),"CUIT NO CARGADO")</f>
        <v>VTV CABA SOCIEDAD ANONIMA</v>
      </c>
      <c r="H68" s="46">
        <v>882.71</v>
      </c>
      <c r="I68" s="85">
        <f>IF(compras_mes1[[#This Row],[NETO GRAVADO]]="","",compras_mes1[[#This Row],[NETO GRAVADO]]*0.21)</f>
        <v>185.3691</v>
      </c>
      <c r="J68" s="85"/>
      <c r="K68" s="85"/>
      <c r="L68" s="85"/>
      <c r="M68" s="85"/>
      <c r="N68" s="85"/>
      <c r="O68" s="85"/>
      <c r="P68" s="48">
        <f>SUM(compras_mes1[[#This Row],[NETO GRAVADO]:[Otros / No Grav.]])</f>
        <v>1068.0790999999999</v>
      </c>
      <c r="Q68" s="49">
        <f>IFERROR(IF(compras_mes1[[#This Row],[CUIT]]="","-",VLOOKUP(compras_mes1[[#This Row],[CUIT]],Lista_CUIT[#All],3,0)),"CUIT NO CARGADO")</f>
        <v>0</v>
      </c>
      <c r="R68" s="49">
        <f>IFERROR(IF(compras_mes1[[#This Row],[CUIT]]="","-",VLOOKUP(compras_mes1[[#This Row],[CUIT]],Lista_CUIT[#All],4,0)),"CUIT NO CARGADO")</f>
        <v>0</v>
      </c>
    </row>
    <row r="69" spans="2:18" x14ac:dyDescent="0.3">
      <c r="B69" s="40">
        <v>44956</v>
      </c>
      <c r="C69" s="41">
        <v>1</v>
      </c>
      <c r="D69" s="42">
        <v>5</v>
      </c>
      <c r="E69" s="43">
        <v>14949</v>
      </c>
      <c r="F69" s="44">
        <v>27182686641</v>
      </c>
      <c r="G69" s="45" t="str">
        <f>IFERROR(IF(compras_mes1[[#This Row],[CUIT]]="","-",VLOOKUP(compras_mes1[[#This Row],[CUIT]],Lista_CUIT[#All],2,0)),"CUIT NO CARGADO")</f>
        <v>RIFENHOLZ MARCELA ROXANA</v>
      </c>
      <c r="H69" s="46">
        <v>5512.39</v>
      </c>
      <c r="I69" s="85">
        <f>IF(compras_mes1[[#This Row],[NETO GRAVADO]]="","",compras_mes1[[#This Row],[NETO GRAVADO]]*0.21)</f>
        <v>1157.6019000000001</v>
      </c>
      <c r="J69" s="85"/>
      <c r="K69" s="85"/>
      <c r="L69" s="85"/>
      <c r="M69" s="85"/>
      <c r="N69" s="85"/>
      <c r="O69" s="85"/>
      <c r="P69" s="48">
        <f>SUM(compras_mes1[[#This Row],[NETO GRAVADO]:[Otros / No Grav.]])</f>
        <v>6669.9919000000009</v>
      </c>
      <c r="Q69" s="49">
        <f>IFERROR(IF(compras_mes1[[#This Row],[CUIT]]="","-",VLOOKUP(compras_mes1[[#This Row],[CUIT]],Lista_CUIT[#All],3,0)),"CUIT NO CARGADO")</f>
        <v>0</v>
      </c>
      <c r="R69" s="49">
        <f>IFERROR(IF(compras_mes1[[#This Row],[CUIT]]="","-",VLOOKUP(compras_mes1[[#This Row],[CUIT]],Lista_CUIT[#All],4,0)),"CUIT NO CARGADO")</f>
        <v>0</v>
      </c>
    </row>
    <row r="70" spans="2:18" x14ac:dyDescent="0.3">
      <c r="B70" s="40">
        <v>44956</v>
      </c>
      <c r="C70" s="41">
        <v>1</v>
      </c>
      <c r="D70" s="42">
        <v>3</v>
      </c>
      <c r="E70" s="43">
        <v>213</v>
      </c>
      <c r="F70" s="44">
        <v>20397562469</v>
      </c>
      <c r="G70" s="45" t="str">
        <f>IFERROR(IF(compras_mes1[[#This Row],[CUIT]]="","-",VLOOKUP(compras_mes1[[#This Row],[CUIT]],Lista_CUIT[#All],2,0)),"CUIT NO CARGADO")</f>
        <v>ESPIÑA MATIAS FEDERICO</v>
      </c>
      <c r="H70" s="46">
        <v>73301.36</v>
      </c>
      <c r="I70" s="85"/>
      <c r="J70" s="85">
        <v>7696.64</v>
      </c>
      <c r="K70" s="85"/>
      <c r="L70" s="85"/>
      <c r="M70" s="85"/>
      <c r="N70" s="85"/>
      <c r="O70" s="85"/>
      <c r="P70" s="48">
        <f>SUM(compras_mes1[[#This Row],[NETO GRAVADO]:[Otros / No Grav.]])</f>
        <v>80998</v>
      </c>
      <c r="Q70" s="49">
        <f>IFERROR(IF(compras_mes1[[#This Row],[CUIT]]="","-",VLOOKUP(compras_mes1[[#This Row],[CUIT]],Lista_CUIT[#All],3,0)),"CUIT NO CARGADO")</f>
        <v>0</v>
      </c>
      <c r="R70" s="49">
        <f>IFERROR(IF(compras_mes1[[#This Row],[CUIT]]="","-",VLOOKUP(compras_mes1[[#This Row],[CUIT]],Lista_CUIT[#All],4,0)),"CUIT NO CARGADO")</f>
        <v>0</v>
      </c>
    </row>
    <row r="71" spans="2:18" x14ac:dyDescent="0.3">
      <c r="B71" s="40">
        <v>44956</v>
      </c>
      <c r="C71" s="41">
        <v>1</v>
      </c>
      <c r="D71" s="42">
        <v>3</v>
      </c>
      <c r="E71" s="43">
        <v>6381</v>
      </c>
      <c r="F71" s="44">
        <v>30708006420</v>
      </c>
      <c r="G71" s="45" t="str">
        <f>IFERROR(IF(compras_mes1[[#This Row],[CUIT]]="","-",VLOOKUP(compras_mes1[[#This Row],[CUIT]],Lista_CUIT[#All],2,0)),"CUIT NO CARGADO")</f>
        <v>MEDILEA S.A.</v>
      </c>
      <c r="H71" s="46">
        <v>240750</v>
      </c>
      <c r="I71" s="85">
        <f>IF(compras_mes1[[#This Row],[NETO GRAVADO]]="","",compras_mes1[[#This Row],[NETO GRAVADO]]*0.21)</f>
        <v>50557.5</v>
      </c>
      <c r="J71" s="85"/>
      <c r="K71" s="85"/>
      <c r="L71" s="85"/>
      <c r="M71" s="85"/>
      <c r="N71" s="85"/>
      <c r="O71" s="85"/>
      <c r="P71" s="48">
        <f>SUM(compras_mes1[[#This Row],[NETO GRAVADO]:[Otros / No Grav.]])</f>
        <v>291307.5</v>
      </c>
      <c r="Q71" s="49">
        <f>IFERROR(IF(compras_mes1[[#This Row],[CUIT]]="","-",VLOOKUP(compras_mes1[[#This Row],[CUIT]],Lista_CUIT[#All],3,0)),"CUIT NO CARGADO")</f>
        <v>0</v>
      </c>
      <c r="R71" s="49">
        <f>IFERROR(IF(compras_mes1[[#This Row],[CUIT]]="","-",VLOOKUP(compras_mes1[[#This Row],[CUIT]],Lista_CUIT[#All],4,0)),"CUIT NO CARGADO")</f>
        <v>0</v>
      </c>
    </row>
    <row r="72" spans="2:18" x14ac:dyDescent="0.3">
      <c r="B72" s="40">
        <v>44957</v>
      </c>
      <c r="C72" s="41">
        <v>1</v>
      </c>
      <c r="D72" s="42">
        <v>2</v>
      </c>
      <c r="E72" s="43">
        <v>24605</v>
      </c>
      <c r="F72" s="44">
        <v>30712121781</v>
      </c>
      <c r="G72" s="45" t="str">
        <f>IFERROR(IF(compras_mes1[[#This Row],[CUIT]]="","-",VLOOKUP(compras_mes1[[#This Row],[CUIT]],Lista_CUIT[#All],2,0)),"CUIT NO CARGADO")</f>
        <v>SUTURA S.R.L.</v>
      </c>
      <c r="H72" s="46">
        <v>229265</v>
      </c>
      <c r="I72" s="85">
        <f>IF(compras_mes1[[#This Row],[NETO GRAVADO]]="","",compras_mes1[[#This Row],[NETO GRAVADO]]*0.21)</f>
        <v>48145.65</v>
      </c>
      <c r="J72" s="85"/>
      <c r="K72" s="85"/>
      <c r="L72" s="85"/>
      <c r="M72" s="85"/>
      <c r="N72" s="85"/>
      <c r="O72" s="85"/>
      <c r="P72" s="48">
        <f>SUM(compras_mes1[[#This Row],[NETO GRAVADO]:[Otros / No Grav.]])</f>
        <v>277410.65000000002</v>
      </c>
      <c r="Q72" s="49">
        <f>IFERROR(IF(compras_mes1[[#This Row],[CUIT]]="","-",VLOOKUP(compras_mes1[[#This Row],[CUIT]],Lista_CUIT[#All],3,0)),"CUIT NO CARGADO")</f>
        <v>0</v>
      </c>
      <c r="R72" s="49">
        <f>IFERROR(IF(compras_mes1[[#This Row],[CUIT]]="","-",VLOOKUP(compras_mes1[[#This Row],[CUIT]],Lista_CUIT[#All],4,0)),"CUIT NO CARGADO")</f>
        <v>0</v>
      </c>
    </row>
    <row r="73" spans="2:18" x14ac:dyDescent="0.3">
      <c r="B73" s="40">
        <v>44957</v>
      </c>
      <c r="C73" s="41">
        <v>1</v>
      </c>
      <c r="D73" s="42">
        <v>1</v>
      </c>
      <c r="E73" s="43">
        <v>113</v>
      </c>
      <c r="F73" s="44">
        <v>20077604627</v>
      </c>
      <c r="G73" s="45" t="str">
        <f>IFERROR(IF(compras_mes1[[#This Row],[CUIT]]="","-",VLOOKUP(compras_mes1[[#This Row],[CUIT]],Lista_CUIT[#All],2,0)),"CUIT NO CARGADO")</f>
        <v>OCAÑO ENRIQUE</v>
      </c>
      <c r="H73" s="46">
        <v>827299.2</v>
      </c>
      <c r="I73" s="85">
        <f>IF(compras_mes1[[#This Row],[NETO GRAVADO]]="","",compras_mes1[[#This Row],[NETO GRAVADO]]*0.21)</f>
        <v>173732.83199999999</v>
      </c>
      <c r="J73" s="85"/>
      <c r="K73" s="85"/>
      <c r="L73" s="85"/>
      <c r="M73" s="85"/>
      <c r="N73" s="85"/>
      <c r="O73" s="85"/>
      <c r="P73" s="48">
        <f>SUM(compras_mes1[[#This Row],[NETO GRAVADO]:[Otros / No Grav.]])</f>
        <v>1001032.0319999999</v>
      </c>
      <c r="Q73" s="49">
        <f>IFERROR(IF(compras_mes1[[#This Row],[CUIT]]="","-",VLOOKUP(compras_mes1[[#This Row],[CUIT]],Lista_CUIT[#All],3,0)),"CUIT NO CARGADO")</f>
        <v>0</v>
      </c>
      <c r="R73" s="49">
        <f>IFERROR(IF(compras_mes1[[#This Row],[CUIT]]="","-",VLOOKUP(compras_mes1[[#This Row],[CUIT]],Lista_CUIT[#All],4,0)),"CUIT NO CARGADO")</f>
        <v>0</v>
      </c>
    </row>
    <row r="74" spans="2:18" x14ac:dyDescent="0.3">
      <c r="B74" s="40">
        <v>44957</v>
      </c>
      <c r="C74" s="41">
        <v>1</v>
      </c>
      <c r="D74" s="42">
        <v>3</v>
      </c>
      <c r="E74" s="43">
        <v>3337</v>
      </c>
      <c r="F74" s="44">
        <v>30714618977</v>
      </c>
      <c r="G74" s="45" t="str">
        <f>IFERROR(IF(compras_mes1[[#This Row],[CUIT]]="","-",VLOOKUP(compras_mes1[[#This Row],[CUIT]],Lista_CUIT[#All],2,0)),"CUIT NO CARGADO")</f>
        <v>DISTRIBUIDORA N.G. S.A.</v>
      </c>
      <c r="H74" s="46">
        <v>140000</v>
      </c>
      <c r="I74" s="85">
        <f>IF(compras_mes1[[#This Row],[NETO GRAVADO]]="","",compras_mes1[[#This Row],[NETO GRAVADO]]*0.21)</f>
        <v>29400</v>
      </c>
      <c r="J74" s="85"/>
      <c r="K74" s="85"/>
      <c r="L74" s="85"/>
      <c r="M74" s="85"/>
      <c r="N74" s="85"/>
      <c r="O74" s="85"/>
      <c r="P74" s="48">
        <f>SUM(compras_mes1[[#This Row],[NETO GRAVADO]:[Otros / No Grav.]])</f>
        <v>169400</v>
      </c>
      <c r="Q74" s="49">
        <f>IFERROR(IF(compras_mes1[[#This Row],[CUIT]]="","-",VLOOKUP(compras_mes1[[#This Row],[CUIT]],Lista_CUIT[#All],3,0)),"CUIT NO CARGADO")</f>
        <v>0</v>
      </c>
      <c r="R74" s="49">
        <f>IFERROR(IF(compras_mes1[[#This Row],[CUIT]]="","-",VLOOKUP(compras_mes1[[#This Row],[CUIT]],Lista_CUIT[#All],4,0)),"CUIT NO CARGADO")</f>
        <v>0</v>
      </c>
    </row>
    <row r="75" spans="2:18" x14ac:dyDescent="0.3">
      <c r="B75" s="40">
        <v>44957</v>
      </c>
      <c r="C75" s="41">
        <v>1</v>
      </c>
      <c r="D75" s="42">
        <v>3</v>
      </c>
      <c r="E75" s="43">
        <v>299403</v>
      </c>
      <c r="F75" s="44">
        <v>33643358749</v>
      </c>
      <c r="G75" s="45" t="str">
        <f>IFERROR(IF(compras_mes1[[#This Row],[CUIT]]="","-",VLOOKUP(compras_mes1[[#This Row],[CUIT]],Lista_CUIT[#All],2,0)),"CUIT NO CARGADO")</f>
        <v>POLYTECH S A</v>
      </c>
      <c r="H75" s="46">
        <v>11390.95</v>
      </c>
      <c r="I75" s="85"/>
      <c r="J75" s="85"/>
      <c r="K75" s="85">
        <v>1196.0497500000001</v>
      </c>
      <c r="L75" s="85"/>
      <c r="M75" s="85"/>
      <c r="N75" s="85"/>
      <c r="O75" s="85"/>
      <c r="P75" s="48">
        <f>SUM(compras_mes1[[#This Row],[NETO GRAVADO]:[Otros / No Grav.]])</f>
        <v>12586.999750000001</v>
      </c>
      <c r="Q75" s="49">
        <f>IFERROR(IF(compras_mes1[[#This Row],[CUIT]]="","-",VLOOKUP(compras_mes1[[#This Row],[CUIT]],Lista_CUIT[#All],3,0)),"CUIT NO CARGADO")</f>
        <v>0</v>
      </c>
      <c r="R75" s="49">
        <f>IFERROR(IF(compras_mes1[[#This Row],[CUIT]]="","-",VLOOKUP(compras_mes1[[#This Row],[CUIT]],Lista_CUIT[#All],4,0)),"CUIT NO CARGADO")</f>
        <v>0</v>
      </c>
    </row>
    <row r="76" spans="2:18" x14ac:dyDescent="0.3">
      <c r="B76" s="40">
        <v>44957</v>
      </c>
      <c r="C76" s="41">
        <v>1</v>
      </c>
      <c r="D76" s="42">
        <v>301</v>
      </c>
      <c r="E76" s="43">
        <v>41378</v>
      </c>
      <c r="F76" s="44">
        <v>30686978350</v>
      </c>
      <c r="G76" s="45" t="str">
        <f>IFERROR(IF(compras_mes1[[#This Row],[CUIT]]="","-",VLOOKUP(compras_mes1[[#This Row],[CUIT]],Lista_CUIT[#All],2,0)),"CUIT NO CARGADO")</f>
        <v>SPEED BUSINESS S. A.</v>
      </c>
      <c r="H76" s="46">
        <v>3950.42</v>
      </c>
      <c r="I76" s="85">
        <f>IF(compras_mes1[[#This Row],[NETO GRAVADO]]="","",compras_mes1[[#This Row],[NETO GRAVADO]]*0.21)</f>
        <v>829.58820000000003</v>
      </c>
      <c r="J76" s="85"/>
      <c r="K76" s="85"/>
      <c r="L76" s="85"/>
      <c r="M76" s="85"/>
      <c r="N76" s="85"/>
      <c r="O76" s="85"/>
      <c r="P76" s="48">
        <f>SUM(compras_mes1[[#This Row],[NETO GRAVADO]:[Otros / No Grav.]])</f>
        <v>4780.0082000000002</v>
      </c>
      <c r="Q76" s="49">
        <f>IFERROR(IF(compras_mes1[[#This Row],[CUIT]]="","-",VLOOKUP(compras_mes1[[#This Row],[CUIT]],Lista_CUIT[#All],3,0)),"CUIT NO CARGADO")</f>
        <v>0</v>
      </c>
      <c r="R76" s="49">
        <f>IFERROR(IF(compras_mes1[[#This Row],[CUIT]]="","-",VLOOKUP(compras_mes1[[#This Row],[CUIT]],Lista_CUIT[#All],4,0)),"CUIT NO CARGADO")</f>
        <v>0</v>
      </c>
    </row>
    <row r="77" spans="2:18" x14ac:dyDescent="0.3">
      <c r="B77" s="40">
        <v>44957</v>
      </c>
      <c r="C77" s="41">
        <v>1</v>
      </c>
      <c r="D77" s="42">
        <v>1</v>
      </c>
      <c r="E77" s="43">
        <v>565</v>
      </c>
      <c r="F77" s="44">
        <v>30715048066</v>
      </c>
      <c r="G77" s="45" t="str">
        <f>IFERROR(IF(compras_mes1[[#This Row],[CUIT]]="","-",VLOOKUP(compras_mes1[[#This Row],[CUIT]],Lista_CUIT[#All],2,0)),"CUIT NO CARGADO")</f>
        <v>ROLLS Y EMPANADAS SA</v>
      </c>
      <c r="H77" s="46">
        <v>384220</v>
      </c>
      <c r="I77" s="85">
        <f>IF(compras_mes1[[#This Row],[NETO GRAVADO]]="","",compras_mes1[[#This Row],[NETO GRAVADO]]*0.21)</f>
        <v>80686.2</v>
      </c>
      <c r="J77" s="85"/>
      <c r="K77" s="85"/>
      <c r="L77" s="85"/>
      <c r="M77" s="85"/>
      <c r="N77" s="85"/>
      <c r="O77" s="85"/>
      <c r="P77" s="48">
        <f>SUM(compras_mes1[[#This Row],[NETO GRAVADO]:[Otros / No Grav.]])</f>
        <v>464906.2</v>
      </c>
      <c r="Q77" s="49" t="str">
        <f>IFERROR(IF(compras_mes1[[#This Row],[CUIT]]="","-",VLOOKUP(compras_mes1[[#This Row],[CUIT]],Lista_CUIT[#All],3,0)),"CUIT NO CARGADO")</f>
        <v>CATERING</v>
      </c>
      <c r="R77" s="49">
        <f>IFERROR(IF(compras_mes1[[#This Row],[CUIT]]="","-",VLOOKUP(compras_mes1[[#This Row],[CUIT]],Lista_CUIT[#All],4,0)),"CUIT NO CARGADO")</f>
        <v>0</v>
      </c>
    </row>
    <row r="78" spans="2:18" x14ac:dyDescent="0.3">
      <c r="B78" s="40">
        <v>44957</v>
      </c>
      <c r="C78" s="41">
        <v>1</v>
      </c>
      <c r="D78" s="42">
        <v>1</v>
      </c>
      <c r="E78" s="43">
        <v>564</v>
      </c>
      <c r="F78" s="44">
        <v>30715048066</v>
      </c>
      <c r="G78" s="45" t="str">
        <f>IFERROR(IF(compras_mes1[[#This Row],[CUIT]]="","-",VLOOKUP(compras_mes1[[#This Row],[CUIT]],Lista_CUIT[#All],2,0)),"CUIT NO CARGADO")</f>
        <v>ROLLS Y EMPANADAS SA</v>
      </c>
      <c r="H78" s="46">
        <v>321050</v>
      </c>
      <c r="I78" s="85">
        <f>IF(compras_mes1[[#This Row],[NETO GRAVADO]]="","",compras_mes1[[#This Row],[NETO GRAVADO]]*0.21)</f>
        <v>67420.5</v>
      </c>
      <c r="J78" s="85"/>
      <c r="K78" s="85"/>
      <c r="L78" s="85"/>
      <c r="M78" s="85"/>
      <c r="N78" s="85"/>
      <c r="O78" s="85"/>
      <c r="P78" s="48">
        <f>SUM(compras_mes1[[#This Row],[NETO GRAVADO]:[Otros / No Grav.]])</f>
        <v>388470.5</v>
      </c>
      <c r="Q78" s="49" t="str">
        <f>IFERROR(IF(compras_mes1[[#This Row],[CUIT]]="","-",VLOOKUP(compras_mes1[[#This Row],[CUIT]],Lista_CUIT[#All],3,0)),"CUIT NO CARGADO")</f>
        <v>CATERING</v>
      </c>
      <c r="R78" s="49">
        <f>IFERROR(IF(compras_mes1[[#This Row],[CUIT]]="","-",VLOOKUP(compras_mes1[[#This Row],[CUIT]],Lista_CUIT[#All],4,0)),"CUIT NO CARGADO")</f>
        <v>0</v>
      </c>
    </row>
    <row r="79" spans="2:18" x14ac:dyDescent="0.3">
      <c r="B79" s="40">
        <v>44931</v>
      </c>
      <c r="C79" s="41">
        <v>1</v>
      </c>
      <c r="D79" s="42">
        <v>19</v>
      </c>
      <c r="E79" s="43">
        <v>8049</v>
      </c>
      <c r="F79" s="44">
        <v>30515800219</v>
      </c>
      <c r="G79" s="45" t="str">
        <f>IFERROR(IF(compras_mes1[[#This Row],[CUIT]]="","-",VLOOKUP(compras_mes1[[#This Row],[CUIT]],Lista_CUIT[#All],2,0)),"CUIT NO CARGADO")</f>
        <v>INCAT SRL</v>
      </c>
      <c r="H79" s="46">
        <v>1039.6600000000001</v>
      </c>
      <c r="I79" s="85">
        <f>IF(compras_mes1[[#This Row],[NETO GRAVADO]]="","",compras_mes1[[#This Row],[NETO GRAVADO]]*0.21)</f>
        <v>218.32860000000002</v>
      </c>
      <c r="J79" s="85"/>
      <c r="K79" s="85"/>
      <c r="L79" s="85"/>
      <c r="M79" s="85"/>
      <c r="N79" s="85"/>
      <c r="O79" s="85">
        <v>241.96</v>
      </c>
      <c r="P79" s="48">
        <f>SUM(compras_mes1[[#This Row],[NETO GRAVADO]:[Otros / No Grav.]])</f>
        <v>1499.9486000000002</v>
      </c>
      <c r="Q79" s="49" t="str">
        <f>IFERROR(IF(compras_mes1[[#This Row],[CUIT]]="","-",VLOOKUP(compras_mes1[[#This Row],[CUIT]],Lista_CUIT[#All],3,0)),"CUIT NO CARGADO")</f>
        <v>Combustibe</v>
      </c>
      <c r="R79" s="49" t="str">
        <f>IFERROR(IF(compras_mes1[[#This Row],[CUIT]]="","-",VLOOKUP(compras_mes1[[#This Row],[CUIT]],Lista_CUIT[#All],4,0)),"CUIT NO CARGADO")</f>
        <v>CABA</v>
      </c>
    </row>
    <row r="80" spans="2:18" x14ac:dyDescent="0.3">
      <c r="B80" s="40">
        <v>44932</v>
      </c>
      <c r="C80" s="41">
        <v>1</v>
      </c>
      <c r="D80" s="42">
        <v>21</v>
      </c>
      <c r="E80" s="43">
        <v>23621</v>
      </c>
      <c r="F80" s="44">
        <v>30515800219</v>
      </c>
      <c r="G80" s="45" t="str">
        <f>IFERROR(IF(compras_mes1[[#This Row],[CUIT]]="","-",VLOOKUP(compras_mes1[[#This Row],[CUIT]],Lista_CUIT[#All],2,0)),"CUIT NO CARGADO")</f>
        <v>INCAT SRL</v>
      </c>
      <c r="H80" s="46">
        <v>4367</v>
      </c>
      <c r="I80" s="85">
        <f>IF(compras_mes1[[#This Row],[NETO GRAVADO]]="","",compras_mes1[[#This Row],[NETO GRAVADO]]*0.21)</f>
        <v>917.06999999999994</v>
      </c>
      <c r="J80" s="85"/>
      <c r="K80" s="85"/>
      <c r="L80" s="85"/>
      <c r="M80" s="85"/>
      <c r="N80" s="85"/>
      <c r="O80" s="85">
        <v>1016.31</v>
      </c>
      <c r="P80" s="48">
        <f>SUM(compras_mes1[[#This Row],[NETO GRAVADO]:[Otros / No Grav.]])</f>
        <v>6300.3799999999992</v>
      </c>
      <c r="Q80" s="49" t="str">
        <f>IFERROR(IF(compras_mes1[[#This Row],[CUIT]]="","-",VLOOKUP(compras_mes1[[#This Row],[CUIT]],Lista_CUIT[#All],3,0)),"CUIT NO CARGADO")</f>
        <v>Combustibe</v>
      </c>
      <c r="R80" s="49" t="str">
        <f>IFERROR(IF(compras_mes1[[#This Row],[CUIT]]="","-",VLOOKUP(compras_mes1[[#This Row],[CUIT]],Lista_CUIT[#All],4,0)),"CUIT NO CARGADO")</f>
        <v>CABA</v>
      </c>
    </row>
    <row r="81" spans="2:18" x14ac:dyDescent="0.3">
      <c r="B81" s="40">
        <v>44933</v>
      </c>
      <c r="C81" s="41">
        <v>1</v>
      </c>
      <c r="D81" s="42">
        <v>27</v>
      </c>
      <c r="E81" s="43">
        <v>3179</v>
      </c>
      <c r="F81" s="44">
        <v>30708613335</v>
      </c>
      <c r="G81" s="45" t="str">
        <f>IFERROR(IF(compras_mes1[[#This Row],[CUIT]]="","-",VLOOKUP(compras_mes1[[#This Row],[CUIT]],Lista_CUIT[#All],2,0)),"CUIT NO CARGADO")</f>
        <v>CASA ELICEIRY S A</v>
      </c>
      <c r="H81" s="46">
        <v>4426.08</v>
      </c>
      <c r="I81" s="85">
        <f>IF(compras_mes1[[#This Row],[NETO GRAVADO]]="","",compras_mes1[[#This Row],[NETO GRAVADO]]*0.21)</f>
        <v>929.47679999999991</v>
      </c>
      <c r="J81" s="85"/>
      <c r="K81" s="85"/>
      <c r="L81" s="85"/>
      <c r="M81" s="85"/>
      <c r="N81" s="85"/>
      <c r="O81" s="85">
        <v>645.74</v>
      </c>
      <c r="P81" s="48">
        <f>SUM(compras_mes1[[#This Row],[NETO GRAVADO]:[Otros / No Grav.]])</f>
        <v>6001.2968000000001</v>
      </c>
      <c r="Q81" s="49" t="str">
        <f>IFERROR(IF(compras_mes1[[#This Row],[CUIT]]="","-",VLOOKUP(compras_mes1[[#This Row],[CUIT]],Lista_CUIT[#All],3,0)),"CUIT NO CARGADO")</f>
        <v>Combustibe</v>
      </c>
      <c r="R81" s="49">
        <f>IFERROR(IF(compras_mes1[[#This Row],[CUIT]]="","-",VLOOKUP(compras_mes1[[#This Row],[CUIT]],Lista_CUIT[#All],4,0)),"CUIT NO CARGADO")</f>
        <v>0</v>
      </c>
    </row>
    <row r="82" spans="2:18" x14ac:dyDescent="0.3">
      <c r="B82" s="40">
        <v>44941</v>
      </c>
      <c r="C82" s="41">
        <v>1</v>
      </c>
      <c r="D82" s="42">
        <v>8010</v>
      </c>
      <c r="E82" s="43">
        <v>18139</v>
      </c>
      <c r="F82" s="44">
        <v>30678774495</v>
      </c>
      <c r="G82" s="45" t="str">
        <f>IFERROR(IF(compras_mes1[[#This Row],[CUIT]]="","-",VLOOKUP(compras_mes1[[#This Row],[CUIT]],Lista_CUIT[#All],2,0)),"CUIT NO CARGADO")</f>
        <v>OPER. DE EST. DE SERV. SA</v>
      </c>
      <c r="H82" s="46">
        <v>7916.13</v>
      </c>
      <c r="I82" s="85">
        <f>IF(compras_mes1[[#This Row],[NETO GRAVADO]]="","",compras_mes1[[#This Row],[NETO GRAVADO]]*0.21)</f>
        <v>1662.3872999999999</v>
      </c>
      <c r="J82" s="85"/>
      <c r="K82" s="85"/>
      <c r="L82" s="85"/>
      <c r="M82" s="85"/>
      <c r="N82" s="85"/>
      <c r="O82" s="85">
        <v>1326.87</v>
      </c>
      <c r="P82" s="48">
        <f>SUM(compras_mes1[[#This Row],[NETO GRAVADO]:[Otros / No Grav.]])</f>
        <v>10905.387299999999</v>
      </c>
      <c r="Q82" s="49" t="str">
        <f>IFERROR(IF(compras_mes1[[#This Row],[CUIT]]="","-",VLOOKUP(compras_mes1[[#This Row],[CUIT]],Lista_CUIT[#All],3,0)),"CUIT NO CARGADO")</f>
        <v>Combustibe</v>
      </c>
      <c r="R82" s="49">
        <f>IFERROR(IF(compras_mes1[[#This Row],[CUIT]]="","-",VLOOKUP(compras_mes1[[#This Row],[CUIT]],Lista_CUIT[#All],4,0)),"CUIT NO CARGADO")</f>
        <v>0</v>
      </c>
    </row>
    <row r="83" spans="2:18" x14ac:dyDescent="0.3">
      <c r="B83" s="40">
        <v>44944</v>
      </c>
      <c r="C83" s="41">
        <v>1</v>
      </c>
      <c r="D83" s="42">
        <v>5026</v>
      </c>
      <c r="E83" s="43">
        <v>12286</v>
      </c>
      <c r="F83" s="44">
        <v>30695542476</v>
      </c>
      <c r="G83" s="45" t="str">
        <f>IFERROR(IF(compras_mes1[[#This Row],[CUIT]]="","-",VLOOKUP(compras_mes1[[#This Row],[CUIT]],Lista_CUIT[#All],2,0)),"CUIT NO CARGADO")</f>
        <v>PAN AMERICAN ENERGY LLC</v>
      </c>
      <c r="H83" s="46">
        <v>619.91</v>
      </c>
      <c r="I83" s="85">
        <f>IF(compras_mes1[[#This Row],[NETO GRAVADO]]="","",compras_mes1[[#This Row],[NETO GRAVADO]]*0.21)</f>
        <v>130.18109999999999</v>
      </c>
      <c r="J83" s="85"/>
      <c r="K83" s="85"/>
      <c r="L83" s="85"/>
      <c r="M83" s="85"/>
      <c r="N83" s="85"/>
      <c r="O83" s="85"/>
      <c r="P83" s="48">
        <f>SUM(compras_mes1[[#This Row],[NETO GRAVADO]:[Otros / No Grav.]])</f>
        <v>750.09109999999998</v>
      </c>
      <c r="Q83" s="49" t="str">
        <f>IFERROR(IF(compras_mes1[[#This Row],[CUIT]]="","-",VLOOKUP(compras_mes1[[#This Row],[CUIT]],Lista_CUIT[#All],3,0)),"CUIT NO CARGADO")</f>
        <v>Combustibe</v>
      </c>
      <c r="R83" s="49">
        <f>IFERROR(IF(compras_mes1[[#This Row],[CUIT]]="","-",VLOOKUP(compras_mes1[[#This Row],[CUIT]],Lista_CUIT[#All],4,0)),"CUIT NO CARGADO")</f>
        <v>0</v>
      </c>
    </row>
    <row r="84" spans="2:18" x14ac:dyDescent="0.3">
      <c r="B84" s="40">
        <v>44944</v>
      </c>
      <c r="C84" s="41">
        <v>1</v>
      </c>
      <c r="D84" s="42">
        <v>23</v>
      </c>
      <c r="E84" s="43">
        <v>8050</v>
      </c>
      <c r="F84" s="44">
        <v>30515800219</v>
      </c>
      <c r="G84" s="45" t="str">
        <f>IFERROR(IF(compras_mes1[[#This Row],[CUIT]]="","-",VLOOKUP(compras_mes1[[#This Row],[CUIT]],Lista_CUIT[#All],2,0)),"CUIT NO CARGADO")</f>
        <v>INCAT SRL</v>
      </c>
      <c r="H84" s="46">
        <v>4677.6000000000004</v>
      </c>
      <c r="I84" s="85">
        <f>IF(compras_mes1[[#This Row],[NETO GRAVADO]]="","",compras_mes1[[#This Row],[NETO GRAVADO]]*0.21)</f>
        <v>982.29600000000005</v>
      </c>
      <c r="J84" s="85"/>
      <c r="K84" s="85"/>
      <c r="L84" s="85"/>
      <c r="M84" s="85"/>
      <c r="N84" s="85"/>
      <c r="O84" s="85">
        <v>1040.1199999999999</v>
      </c>
      <c r="P84" s="48">
        <f>SUM(compras_mes1[[#This Row],[NETO GRAVADO]:[Otros / No Grav.]])</f>
        <v>6700.0160000000005</v>
      </c>
      <c r="Q84" s="49" t="str">
        <f>IFERROR(IF(compras_mes1[[#This Row],[CUIT]]="","-",VLOOKUP(compras_mes1[[#This Row],[CUIT]],Lista_CUIT[#All],3,0)),"CUIT NO CARGADO")</f>
        <v>Combustibe</v>
      </c>
      <c r="R84" s="49" t="str">
        <f>IFERROR(IF(compras_mes1[[#This Row],[CUIT]]="","-",VLOOKUP(compras_mes1[[#This Row],[CUIT]],Lista_CUIT[#All],4,0)),"CUIT NO CARGADO")</f>
        <v>CABA</v>
      </c>
    </row>
    <row r="85" spans="2:18" x14ac:dyDescent="0.3">
      <c r="B85" s="249">
        <v>44953</v>
      </c>
      <c r="C85" s="250">
        <v>1</v>
      </c>
      <c r="D85" s="251">
        <v>23</v>
      </c>
      <c r="E85" s="252">
        <v>8345</v>
      </c>
      <c r="F85" s="253">
        <v>30515800219</v>
      </c>
      <c r="G85" s="254" t="str">
        <f>IFERROR(IF(compras_mes1[[#This Row],[CUIT]]="","-",VLOOKUP(compras_mes1[[#This Row],[CUIT]],Lista_CUIT[#All],2,0)),"CUIT NO CARGADO")</f>
        <v>INCAT SRL</v>
      </c>
      <c r="H85" s="255">
        <v>4747.8999999999996</v>
      </c>
      <c r="I85" s="256">
        <f>IF(compras_mes1[[#This Row],[NETO GRAVADO]]="","",compras_mes1[[#This Row],[NETO GRAVADO]]*0.21)</f>
        <v>997.05899999999986</v>
      </c>
      <c r="J85" s="256"/>
      <c r="K85" s="256"/>
      <c r="L85" s="256"/>
      <c r="M85" s="256"/>
      <c r="N85" s="256"/>
      <c r="O85" s="256">
        <v>1055.75</v>
      </c>
      <c r="P85" s="257">
        <f>SUM(compras_mes1[[#This Row],[NETO GRAVADO]:[Otros / No Grav.]])</f>
        <v>6800.7089999999998</v>
      </c>
      <c r="Q85" s="258" t="str">
        <f>IFERROR(IF(compras_mes1[[#This Row],[CUIT]]="","-",VLOOKUP(compras_mes1[[#This Row],[CUIT]],Lista_CUIT[#All],3,0)),"CUIT NO CARGADO")</f>
        <v>Combustibe</v>
      </c>
      <c r="R85" s="258" t="str">
        <f>IFERROR(IF(compras_mes1[[#This Row],[CUIT]]="","-",VLOOKUP(compras_mes1[[#This Row],[CUIT]],Lista_CUIT[#All],4,0)),"CUIT NO CARGADO")</f>
        <v>CABA</v>
      </c>
    </row>
    <row r="86" spans="2:18" x14ac:dyDescent="0.3">
      <c r="B86" s="40">
        <v>44918</v>
      </c>
      <c r="C86" s="41">
        <v>1</v>
      </c>
      <c r="D86" s="42">
        <v>13</v>
      </c>
      <c r="E86" s="43">
        <v>46271</v>
      </c>
      <c r="F86" s="44">
        <v>30707841105</v>
      </c>
      <c r="G86" s="45" t="str">
        <f>IFERROR(IF(compras_mes1[[#This Row],[CUIT]]="","-",VLOOKUP(compras_mes1[[#This Row],[CUIT]],Lista_CUIT[#All],2,0)),"CUIT NO CARGADO")</f>
        <v>PETRO ARG SRL</v>
      </c>
      <c r="H86" s="46">
        <v>6768.1</v>
      </c>
      <c r="I86" s="85">
        <f>IF(compras_mes1[[#This Row],[NETO GRAVADO]]="","",compras_mes1[[#This Row],[NETO GRAVADO]]*0.21)</f>
        <v>1421.3009999999999</v>
      </c>
      <c r="J86" s="85"/>
      <c r="K86" s="85"/>
      <c r="L86" s="85"/>
      <c r="M86" s="85"/>
      <c r="N86" s="85"/>
      <c r="O86" s="85">
        <v>1510.96</v>
      </c>
      <c r="P86" s="48">
        <f>SUM(compras_mes1[[#This Row],[NETO GRAVADO]:[Otros / No Grav.]])</f>
        <v>9700.3610000000008</v>
      </c>
      <c r="Q86" s="49" t="str">
        <f>IFERROR(IF(compras_mes1[[#This Row],[CUIT]]="","-",VLOOKUP(compras_mes1[[#This Row],[CUIT]],Lista_CUIT[#All],3,0)),"CUIT NO CARGADO")</f>
        <v>Combustible</v>
      </c>
      <c r="R86" s="49">
        <f>IFERROR(IF(compras_mes1[[#This Row],[CUIT]]="","-",VLOOKUP(compras_mes1[[#This Row],[CUIT]],Lista_CUIT[#All],4,0)),"CUIT NO CARGADO")</f>
        <v>0</v>
      </c>
    </row>
    <row r="87" spans="2:18" x14ac:dyDescent="0.3">
      <c r="B87" s="40">
        <v>44933</v>
      </c>
      <c r="C87" s="41">
        <v>1</v>
      </c>
      <c r="D87" s="42">
        <v>12</v>
      </c>
      <c r="E87" s="43">
        <v>15549</v>
      </c>
      <c r="F87" s="44">
        <v>30696131003</v>
      </c>
      <c r="G87" s="45" t="str">
        <f>IFERROR(IF(compras_mes1[[#This Row],[CUIT]]="","-",VLOOKUP(compras_mes1[[#This Row],[CUIT]],Lista_CUIT[#All],2,0)),"CUIT NO CARGADO")</f>
        <v>Petrolfe S.A.</v>
      </c>
      <c r="H87" s="46">
        <v>18387.12</v>
      </c>
      <c r="I87" s="85">
        <f>IF(compras_mes1[[#This Row],[NETO GRAVADO]]="","",compras_mes1[[#This Row],[NETO GRAVADO]]*0.21)</f>
        <v>3861.2951999999996</v>
      </c>
      <c r="J87" s="85"/>
      <c r="K87" s="85"/>
      <c r="L87" s="85"/>
      <c r="M87" s="85"/>
      <c r="N87" s="85"/>
      <c r="O87" s="85">
        <v>3953.97</v>
      </c>
      <c r="P87" s="48">
        <f>SUM(compras_mes1[[#This Row],[NETO GRAVADO]:[Otros / No Grav.]])</f>
        <v>26202.385200000001</v>
      </c>
      <c r="Q87" s="49" t="str">
        <f>IFERROR(IF(compras_mes1[[#This Row],[CUIT]]="","-",VLOOKUP(compras_mes1[[#This Row],[CUIT]],Lista_CUIT[#All],3,0)),"CUIT NO CARGADO")</f>
        <v>Combustible</v>
      </c>
      <c r="R87" s="49">
        <f>IFERROR(IF(compras_mes1[[#This Row],[CUIT]]="","-",VLOOKUP(compras_mes1[[#This Row],[CUIT]],Lista_CUIT[#All],4,0)),"CUIT NO CARGADO")</f>
        <v>0</v>
      </c>
    </row>
    <row r="88" spans="2:18" x14ac:dyDescent="0.3">
      <c r="B88" s="40">
        <v>44940</v>
      </c>
      <c r="C88" s="41">
        <v>1</v>
      </c>
      <c r="D88" s="42">
        <v>12</v>
      </c>
      <c r="E88" s="43">
        <v>15885</v>
      </c>
      <c r="F88" s="44">
        <v>30696131003</v>
      </c>
      <c r="G88" s="45" t="str">
        <f>IFERROR(IF(compras_mes1[[#This Row],[CUIT]]="","-",VLOOKUP(compras_mes1[[#This Row],[CUIT]],Lista_CUIT[#All],2,0)),"CUIT NO CARGADO")</f>
        <v>Petrolfe S.A.</v>
      </c>
      <c r="H88" s="46">
        <v>17613.650000000001</v>
      </c>
      <c r="I88" s="85">
        <f>IF(compras_mes1[[#This Row],[NETO GRAVADO]]="","",compras_mes1[[#This Row],[NETO GRAVADO]]*0.21)</f>
        <v>3698.8665000000001</v>
      </c>
      <c r="J88" s="85"/>
      <c r="K88" s="85"/>
      <c r="L88" s="85"/>
      <c r="M88" s="85"/>
      <c r="N88" s="85"/>
      <c r="O88" s="85">
        <v>4069.49</v>
      </c>
      <c r="P88" s="48">
        <f>SUM(compras_mes1[[#This Row],[NETO GRAVADO]:[Otros / No Grav.]])</f>
        <v>25382.006500000003</v>
      </c>
      <c r="Q88" s="49" t="str">
        <f>IFERROR(IF(compras_mes1[[#This Row],[CUIT]]="","-",VLOOKUP(compras_mes1[[#This Row],[CUIT]],Lista_CUIT[#All],3,0)),"CUIT NO CARGADO")</f>
        <v>Combustible</v>
      </c>
      <c r="R88" s="49">
        <f>IFERROR(IF(compras_mes1[[#This Row],[CUIT]]="","-",VLOOKUP(compras_mes1[[#This Row],[CUIT]],Lista_CUIT[#All],4,0)),"CUIT NO CARGADO")</f>
        <v>0</v>
      </c>
    </row>
    <row r="89" spans="2:18" x14ac:dyDescent="0.3">
      <c r="B89" s="40">
        <v>44941</v>
      </c>
      <c r="C89" s="41">
        <v>1</v>
      </c>
      <c r="D89" s="42">
        <v>128</v>
      </c>
      <c r="E89" s="43">
        <v>3781</v>
      </c>
      <c r="F89" s="44">
        <v>30546995735</v>
      </c>
      <c r="G89" s="45" t="str">
        <f>IFERROR(IF(compras_mes1[[#This Row],[CUIT]]="","-",VLOOKUP(compras_mes1[[#This Row],[CUIT]],Lista_CUIT[#All],2,0)),"CUIT NO CARGADO")</f>
        <v>ORGANIZACION DELASOIE HERMANOS S A</v>
      </c>
      <c r="H89" s="46">
        <v>3903.16</v>
      </c>
      <c r="I89" s="85">
        <f>IF(compras_mes1[[#This Row],[NETO GRAVADO]]="","",compras_mes1[[#This Row],[NETO GRAVADO]]*0.21)</f>
        <v>819.66359999999997</v>
      </c>
      <c r="J89" s="85"/>
      <c r="K89" s="85"/>
      <c r="L89" s="85"/>
      <c r="M89" s="85"/>
      <c r="N89" s="85"/>
      <c r="O89" s="85">
        <v>778.57</v>
      </c>
      <c r="P89" s="48">
        <f>SUM(compras_mes1[[#This Row],[NETO GRAVADO]:[Otros / No Grav.]])</f>
        <v>5501.3935999999994</v>
      </c>
      <c r="Q89" s="49" t="str">
        <f>IFERROR(IF(compras_mes1[[#This Row],[CUIT]]="","-",VLOOKUP(compras_mes1[[#This Row],[CUIT]],Lista_CUIT[#All],3,0)),"CUIT NO CARGADO")</f>
        <v>Combustible</v>
      </c>
      <c r="R89" s="49">
        <f>IFERROR(IF(compras_mes1[[#This Row],[CUIT]]="","-",VLOOKUP(compras_mes1[[#This Row],[CUIT]],Lista_CUIT[#All],4,0)),"CUIT NO CARGADO")</f>
        <v>0</v>
      </c>
    </row>
    <row r="90" spans="2:18" x14ac:dyDescent="0.3">
      <c r="B90" s="249">
        <v>44942</v>
      </c>
      <c r="C90" s="250">
        <v>1</v>
      </c>
      <c r="D90" s="251">
        <v>12</v>
      </c>
      <c r="E90" s="252">
        <v>15996</v>
      </c>
      <c r="F90" s="253">
        <v>30696131003</v>
      </c>
      <c r="G90" s="254" t="str">
        <f>IFERROR(IF(compras_mes1[[#This Row],[CUIT]]="","-",VLOOKUP(compras_mes1[[#This Row],[CUIT]],Lista_CUIT[#All],2,0)),"CUIT NO CARGADO")</f>
        <v>Petrolfe S.A.</v>
      </c>
      <c r="H90" s="255">
        <v>582.9</v>
      </c>
      <c r="I90" s="256">
        <f>IF(compras_mes1[[#This Row],[NETO GRAVADO]]="","",compras_mes1[[#This Row],[NETO GRAVADO]]*0.21)</f>
        <v>122.40899999999999</v>
      </c>
      <c r="J90" s="256"/>
      <c r="K90" s="256"/>
      <c r="L90" s="256"/>
      <c r="M90" s="256"/>
      <c r="N90" s="256"/>
      <c r="O90" s="256">
        <v>129.62</v>
      </c>
      <c r="P90" s="257">
        <f>SUM(compras_mes1[[#This Row],[NETO GRAVADO]:[Otros / No Grav.]])</f>
        <v>834.92899999999997</v>
      </c>
      <c r="Q90" s="258" t="str">
        <f>IFERROR(IF(compras_mes1[[#This Row],[CUIT]]="","-",VLOOKUP(compras_mes1[[#This Row],[CUIT]],Lista_CUIT[#All],3,0)),"CUIT NO CARGADO")</f>
        <v>Combustible</v>
      </c>
      <c r="R90" s="258">
        <f>IFERROR(IF(compras_mes1[[#This Row],[CUIT]]="","-",VLOOKUP(compras_mes1[[#This Row],[CUIT]],Lista_CUIT[#All],4,0)),"CUIT NO CARGADO")</f>
        <v>0</v>
      </c>
    </row>
    <row r="91" spans="2:18" x14ac:dyDescent="0.3">
      <c r="B91" s="249">
        <v>44947</v>
      </c>
      <c r="C91" s="250">
        <v>1</v>
      </c>
      <c r="D91" s="251">
        <v>12</v>
      </c>
      <c r="E91" s="252">
        <v>16249</v>
      </c>
      <c r="F91" s="253">
        <v>30696131003</v>
      </c>
      <c r="G91" s="254" t="str">
        <f>IFERROR(IF(compras_mes1[[#This Row],[CUIT]]="","-",VLOOKUP(compras_mes1[[#This Row],[CUIT]],Lista_CUIT[#All],2,0)),"CUIT NO CARGADO")</f>
        <v>Petrolfe S.A.</v>
      </c>
      <c r="H91" s="255">
        <v>12336.14</v>
      </c>
      <c r="I91" s="256">
        <f>IF(compras_mes1[[#This Row],[NETO GRAVADO]]="","",compras_mes1[[#This Row],[NETO GRAVADO]]*0.21)</f>
        <v>2590.5893999999998</v>
      </c>
      <c r="J91" s="256"/>
      <c r="K91" s="256"/>
      <c r="L91" s="256"/>
      <c r="M91" s="256"/>
      <c r="N91" s="256"/>
      <c r="O91" s="256">
        <v>2727.81</v>
      </c>
      <c r="P91" s="257">
        <f>SUM(compras_mes1[[#This Row],[NETO GRAVADO]:[Otros / No Grav.]])</f>
        <v>17654.539400000001</v>
      </c>
      <c r="Q91" s="258" t="str">
        <f>IFERROR(IF(compras_mes1[[#This Row],[CUIT]]="","-",VLOOKUP(compras_mes1[[#This Row],[CUIT]],Lista_CUIT[#All],3,0)),"CUIT NO CARGADO")</f>
        <v>Combustible</v>
      </c>
      <c r="R91" s="258">
        <f>IFERROR(IF(compras_mes1[[#This Row],[CUIT]]="","-",VLOOKUP(compras_mes1[[#This Row],[CUIT]],Lista_CUIT[#All],4,0)),"CUIT NO CARGADO")</f>
        <v>0</v>
      </c>
    </row>
    <row r="92" spans="2:18" x14ac:dyDescent="0.3">
      <c r="B92" s="40">
        <v>44954</v>
      </c>
      <c r="C92" s="41">
        <v>1</v>
      </c>
      <c r="D92" s="42">
        <v>12</v>
      </c>
      <c r="E92" s="43">
        <v>16692</v>
      </c>
      <c r="F92" s="44">
        <v>30696131003</v>
      </c>
      <c r="G92" s="45" t="str">
        <f>IFERROR(IF(compras_mes1[[#This Row],[CUIT]]="","-",VLOOKUP(compras_mes1[[#This Row],[CUIT]],Lista_CUIT[#All],2,0)),"CUIT NO CARGADO")</f>
        <v>Petrolfe S.A.</v>
      </c>
      <c r="H92" s="46">
        <v>16044.79</v>
      </c>
      <c r="I92" s="85">
        <f>IF(compras_mes1[[#This Row],[NETO GRAVADO]]="","",compras_mes1[[#This Row],[NETO GRAVADO]]*0.21)</f>
        <v>3369.4059000000002</v>
      </c>
      <c r="J92" s="85"/>
      <c r="K92" s="85"/>
      <c r="L92" s="85"/>
      <c r="M92" s="85"/>
      <c r="N92" s="85"/>
      <c r="O92" s="85">
        <v>3548.48</v>
      </c>
      <c r="P92" s="48">
        <f>SUM(compras_mes1[[#This Row],[NETO GRAVADO]:[Otros / No Grav.]])</f>
        <v>22962.675900000002</v>
      </c>
      <c r="Q92" s="49" t="str">
        <f>IFERROR(IF(compras_mes1[[#This Row],[CUIT]]="","-",VLOOKUP(compras_mes1[[#This Row],[CUIT]],Lista_CUIT[#All],3,0)),"CUIT NO CARGADO")</f>
        <v>Combustible</v>
      </c>
      <c r="R92" s="49">
        <f>IFERROR(IF(compras_mes1[[#This Row],[CUIT]]="","-",VLOOKUP(compras_mes1[[#This Row],[CUIT]],Lista_CUIT[#All],4,0)),"CUIT NO CARGADO")</f>
        <v>0</v>
      </c>
    </row>
    <row r="93" spans="2:18" x14ac:dyDescent="0.3">
      <c r="B93" s="40">
        <v>44955</v>
      </c>
      <c r="C93" s="41">
        <v>1</v>
      </c>
      <c r="D93" s="42">
        <v>14</v>
      </c>
      <c r="E93" s="43">
        <v>5159</v>
      </c>
      <c r="F93" s="44">
        <v>30647082293</v>
      </c>
      <c r="G93" s="45" t="str">
        <f>IFERROR(IF(compras_mes1[[#This Row],[CUIT]]="","-",VLOOKUP(compras_mes1[[#This Row],[CUIT]],Lista_CUIT[#All],2,0)),"CUIT NO CARGADO")</f>
        <v>CHARATA SRL</v>
      </c>
      <c r="H93" s="46">
        <v>10576.81</v>
      </c>
      <c r="I93" s="85">
        <f>IF(compras_mes1[[#This Row],[NETO GRAVADO]]="","",compras_mes1[[#This Row],[NETO GRAVADO]]*0.21)</f>
        <v>2221.1300999999999</v>
      </c>
      <c r="J93" s="85"/>
      <c r="K93" s="85"/>
      <c r="L93" s="85"/>
      <c r="M93" s="85"/>
      <c r="N93" s="85"/>
      <c r="O93" s="85">
        <v>1402.05</v>
      </c>
      <c r="P93" s="48">
        <f>SUM(compras_mes1[[#This Row],[NETO GRAVADO]:[Otros / No Grav.]])</f>
        <v>14199.990099999999</v>
      </c>
      <c r="Q93" s="49" t="str">
        <f>IFERROR(IF(compras_mes1[[#This Row],[CUIT]]="","-",VLOOKUP(compras_mes1[[#This Row],[CUIT]],Lista_CUIT[#All],3,0)),"CUIT NO CARGADO")</f>
        <v>Combustible</v>
      </c>
      <c r="R93" s="49">
        <f>IFERROR(IF(compras_mes1[[#This Row],[CUIT]]="","-",VLOOKUP(compras_mes1[[#This Row],[CUIT]],Lista_CUIT[#All],4,0)),"CUIT NO CARGADO")</f>
        <v>0</v>
      </c>
    </row>
    <row r="94" spans="2:18" x14ac:dyDescent="0.3">
      <c r="B94" s="40">
        <v>44930</v>
      </c>
      <c r="C94" s="41">
        <v>1</v>
      </c>
      <c r="D94" s="42">
        <v>1</v>
      </c>
      <c r="E94" s="43">
        <v>434</v>
      </c>
      <c r="F94" s="44">
        <v>30715889486</v>
      </c>
      <c r="G94" s="45" t="str">
        <f>IFERROR(IF(compras_mes1[[#This Row],[CUIT]]="","-",VLOOKUP(compras_mes1[[#This Row],[CUIT]],Lista_CUIT[#All],2,0)),"CUIT NO CARGADO")</f>
        <v>EXPOESTETICA</v>
      </c>
      <c r="H94" s="46">
        <v>244800</v>
      </c>
      <c r="I94" s="85">
        <f>IF(compras_mes1[[#This Row],[NETO GRAVADO]]="","",compras_mes1[[#This Row],[NETO GRAVADO]]*0.21)</f>
        <v>51408</v>
      </c>
      <c r="J94" s="85"/>
      <c r="K94" s="85"/>
      <c r="L94" s="85"/>
      <c r="M94" s="85"/>
      <c r="N94" s="85"/>
      <c r="O94" s="85"/>
      <c r="P94" s="48">
        <f>SUM(compras_mes1[[#This Row],[NETO GRAVADO]:[Otros / No Grav.]])</f>
        <v>296208</v>
      </c>
      <c r="Q94" s="49" t="str">
        <f>IFERROR(IF(compras_mes1[[#This Row],[CUIT]]="","-",VLOOKUP(compras_mes1[[#This Row],[CUIT]],Lista_CUIT[#All],3,0)),"CUIT NO CARGADO")</f>
        <v>Convencion</v>
      </c>
      <c r="R94" s="49" t="str">
        <f>IFERROR(IF(compras_mes1[[#This Row],[CUIT]]="","-",VLOOKUP(compras_mes1[[#This Row],[CUIT]],Lista_CUIT[#All],4,0)),"CUIT NO CARGADO")</f>
        <v>BUENOS AIRES</v>
      </c>
    </row>
    <row r="95" spans="2:18" x14ac:dyDescent="0.3">
      <c r="B95" s="249">
        <v>44946</v>
      </c>
      <c r="C95" s="250">
        <v>1</v>
      </c>
      <c r="D95" s="251">
        <v>32</v>
      </c>
      <c r="E95" s="252">
        <v>1362</v>
      </c>
      <c r="F95" s="253">
        <v>30663486051</v>
      </c>
      <c r="G95" s="254" t="str">
        <f>IFERROR(IF(compras_mes1[[#This Row],[CUIT]]="","-",VLOOKUP(compras_mes1[[#This Row],[CUIT]],Lista_CUIT[#All],2,0)),"CUIT NO CARGADO")</f>
        <v>CUIT NO CARGADO</v>
      </c>
      <c r="H95" s="255">
        <v>779.67</v>
      </c>
      <c r="I95" s="256">
        <f>IF(compras_mes1[[#This Row],[NETO GRAVADO]]="","",compras_mes1[[#This Row],[NETO GRAVADO]]*0.21)</f>
        <v>163.73069999999998</v>
      </c>
      <c r="J95" s="256"/>
      <c r="K95" s="256"/>
      <c r="L95" s="256"/>
      <c r="M95" s="256"/>
      <c r="N95" s="256"/>
      <c r="O95" s="256"/>
      <c r="P95" s="257">
        <f>SUM(compras_mes1[[#This Row],[NETO GRAVADO]:[Otros / No Grav.]])</f>
        <v>943.40069999999992</v>
      </c>
      <c r="Q95" s="258" t="str">
        <f>IFERROR(IF(compras_mes1[[#This Row],[CUIT]]="","-",VLOOKUP(compras_mes1[[#This Row],[CUIT]],Lista_CUIT[#All],3,0)),"CUIT NO CARGADO")</f>
        <v>CUIT NO CARGADO</v>
      </c>
      <c r="R95" s="258" t="str">
        <f>IFERROR(IF(compras_mes1[[#This Row],[CUIT]]="","-",VLOOKUP(compras_mes1[[#This Row],[CUIT]],Lista_CUIT[#All],4,0)),"CUIT NO CARGADO")</f>
        <v>CUIT NO CARGADO</v>
      </c>
    </row>
    <row r="96" spans="2:18" x14ac:dyDescent="0.3">
      <c r="B96" s="40">
        <v>44933</v>
      </c>
      <c r="C96" s="41">
        <v>1</v>
      </c>
      <c r="D96" s="42">
        <v>2199</v>
      </c>
      <c r="E96" s="43">
        <v>19803</v>
      </c>
      <c r="F96" s="44">
        <v>30548083156</v>
      </c>
      <c r="G96" s="45" t="str">
        <f>IFERROR(IF(compras_mes1[[#This Row],[CUIT]]="","-",VLOOKUP(compras_mes1[[#This Row],[CUIT]],Lista_CUIT[#All],2,0)),"CUIT NO CARGADO")</f>
        <v>COTO CENTRO INTEGRAL DE COMERCIALIZACION SOCIEDAD ANONIMA</v>
      </c>
      <c r="H96" s="46">
        <v>14065.33</v>
      </c>
      <c r="I96" s="85">
        <v>2884.34</v>
      </c>
      <c r="J96" s="85"/>
      <c r="K96" s="85">
        <v>34.69</v>
      </c>
      <c r="L96" s="85">
        <v>412.05</v>
      </c>
      <c r="M96" s="85"/>
      <c r="N96" s="85">
        <v>827.54</v>
      </c>
      <c r="O96" s="85"/>
      <c r="P96" s="48">
        <f>SUM(compras_mes1[[#This Row],[NETO GRAVADO]:[Otros / No Grav.]])</f>
        <v>18223.949999999997</v>
      </c>
      <c r="Q96" s="49" t="str">
        <f>IFERROR(IF(compras_mes1[[#This Row],[CUIT]]="","-",VLOOKUP(compras_mes1[[#This Row],[CUIT]],Lista_CUIT[#All],3,0)),"CUIT NO CARGADO")</f>
        <v>GASTOS COMERCIALES</v>
      </c>
      <c r="R96" s="49">
        <f>IFERROR(IF(compras_mes1[[#This Row],[CUIT]]="","-",VLOOKUP(compras_mes1[[#This Row],[CUIT]],Lista_CUIT[#All],4,0)),"CUIT NO CARGADO")</f>
        <v>0</v>
      </c>
    </row>
    <row r="97" spans="2:18" x14ac:dyDescent="0.3">
      <c r="B97" s="40">
        <v>44934</v>
      </c>
      <c r="C97" s="41">
        <v>1</v>
      </c>
      <c r="D97" s="42">
        <v>2199</v>
      </c>
      <c r="E97" s="43">
        <v>19831</v>
      </c>
      <c r="F97" s="44">
        <v>30548083156</v>
      </c>
      <c r="G97" s="45" t="str">
        <f>IFERROR(IF(compras_mes1[[#This Row],[CUIT]]="","-",VLOOKUP(compras_mes1[[#This Row],[CUIT]],Lista_CUIT[#All],2,0)),"CUIT NO CARGADO")</f>
        <v>COTO CENTRO INTEGRAL DE COMERCIALIZACION SOCIEDAD ANONIMA</v>
      </c>
      <c r="H97" s="46">
        <v>6290.96</v>
      </c>
      <c r="I97" s="85"/>
      <c r="J97" s="85">
        <v>1243.56</v>
      </c>
      <c r="K97" s="85"/>
      <c r="L97" s="85">
        <v>188.73</v>
      </c>
      <c r="M97" s="85"/>
      <c r="N97" s="85">
        <v>377.46</v>
      </c>
      <c r="O97" s="85"/>
      <c r="P97" s="48">
        <f>SUM(compras_mes1[[#This Row],[NETO GRAVADO]:[Otros / No Grav.]])</f>
        <v>8100.71</v>
      </c>
      <c r="Q97" s="49" t="str">
        <f>IFERROR(IF(compras_mes1[[#This Row],[CUIT]]="","-",VLOOKUP(compras_mes1[[#This Row],[CUIT]],Lista_CUIT[#All],3,0)),"CUIT NO CARGADO")</f>
        <v>GASTOS COMERCIALES</v>
      </c>
      <c r="R97" s="49">
        <f>IFERROR(IF(compras_mes1[[#This Row],[CUIT]]="","-",VLOOKUP(compras_mes1[[#This Row],[CUIT]],Lista_CUIT[#All],4,0)),"CUIT NO CARGADO")</f>
        <v>0</v>
      </c>
    </row>
    <row r="98" spans="2:18" x14ac:dyDescent="0.3">
      <c r="B98" s="40">
        <v>44952</v>
      </c>
      <c r="C98" s="41">
        <v>1</v>
      </c>
      <c r="D98" s="42">
        <v>2199</v>
      </c>
      <c r="E98" s="43">
        <v>20113</v>
      </c>
      <c r="F98" s="44">
        <v>30548083156</v>
      </c>
      <c r="G98" s="45" t="str">
        <f>IFERROR(IF(compras_mes1[[#This Row],[CUIT]]="","-",VLOOKUP(compras_mes1[[#This Row],[CUIT]],Lista_CUIT[#All],2,0)),"CUIT NO CARGADO")</f>
        <v>COTO CENTRO INTEGRAL DE COMERCIALIZACION SOCIEDAD ANONIMA</v>
      </c>
      <c r="H98" s="46">
        <v>23325.18</v>
      </c>
      <c r="I98" s="85">
        <v>4085.45</v>
      </c>
      <c r="J98" s="85"/>
      <c r="K98" s="85">
        <v>406.42</v>
      </c>
      <c r="L98" s="85">
        <v>583.64</v>
      </c>
      <c r="M98" s="85"/>
      <c r="N98" s="85">
        <v>1157.08</v>
      </c>
      <c r="O98" s="85"/>
      <c r="P98" s="48">
        <f>SUM(compras_mes1[[#This Row],[NETO GRAVADO]:[Otros / No Grav.]])</f>
        <v>29557.769999999997</v>
      </c>
      <c r="Q98" s="49" t="str">
        <f>IFERROR(IF(compras_mes1[[#This Row],[CUIT]]="","-",VLOOKUP(compras_mes1[[#This Row],[CUIT]],Lista_CUIT[#All],3,0)),"CUIT NO CARGADO")</f>
        <v>GASTOS COMERCIALES</v>
      </c>
      <c r="R98" s="49">
        <f>IFERROR(IF(compras_mes1[[#This Row],[CUIT]]="","-",VLOOKUP(compras_mes1[[#This Row],[CUIT]],Lista_CUIT[#All],4,0)),"CUIT NO CARGADO")</f>
        <v>0</v>
      </c>
    </row>
    <row r="99" spans="2:18" x14ac:dyDescent="0.3">
      <c r="B99" s="40">
        <v>44954</v>
      </c>
      <c r="C99" s="41">
        <v>1</v>
      </c>
      <c r="D99" s="42">
        <v>2199</v>
      </c>
      <c r="E99" s="43">
        <v>20139</v>
      </c>
      <c r="F99" s="44">
        <v>30548083156</v>
      </c>
      <c r="G99" s="45" t="str">
        <f>IFERROR(IF(compras_mes1[[#This Row],[CUIT]]="","-",VLOOKUP(compras_mes1[[#This Row],[CUIT]],Lista_CUIT[#All],2,0)),"CUIT NO CARGADO")</f>
        <v>COTO CENTRO INTEGRAL DE COMERCIALIZACION SOCIEDAD ANONIMA</v>
      </c>
      <c r="H99" s="46">
        <v>3406.12</v>
      </c>
      <c r="I99" s="85">
        <v>528.67999999999995</v>
      </c>
      <c r="J99" s="85"/>
      <c r="K99" s="85">
        <v>93.3</v>
      </c>
      <c r="L99" s="85">
        <v>75.53</v>
      </c>
      <c r="M99" s="85"/>
      <c r="N99" s="85">
        <v>193.51</v>
      </c>
      <c r="O99" s="85"/>
      <c r="P99" s="48">
        <f>SUM(compras_mes1[[#This Row],[NETO GRAVADO]:[Otros / No Grav.]])</f>
        <v>4297.1400000000003</v>
      </c>
      <c r="Q99" s="49" t="str">
        <f>IFERROR(IF(compras_mes1[[#This Row],[CUIT]]="","-",VLOOKUP(compras_mes1[[#This Row],[CUIT]],Lista_CUIT[#All],3,0)),"CUIT NO CARGADO")</f>
        <v>GASTOS COMERCIALES</v>
      </c>
      <c r="R99" s="49">
        <f>IFERROR(IF(compras_mes1[[#This Row],[CUIT]]="","-",VLOOKUP(compras_mes1[[#This Row],[CUIT]],Lista_CUIT[#All],4,0)),"CUIT NO CARGADO")</f>
        <v>0</v>
      </c>
    </row>
    <row r="100" spans="2:18" x14ac:dyDescent="0.3">
      <c r="B100" s="40">
        <v>44930</v>
      </c>
      <c r="C100" s="41">
        <v>1</v>
      </c>
      <c r="D100" s="42">
        <v>6</v>
      </c>
      <c r="E100" s="43">
        <v>2383</v>
      </c>
      <c r="F100" s="44">
        <v>30574603788</v>
      </c>
      <c r="G100" s="45" t="str">
        <f>IFERROR(IF(compras_mes1[[#This Row],[CUIT]]="","-",VLOOKUP(compras_mes1[[#This Row],[CUIT]],Lista_CUIT[#All],2,0)),"CUIT NO CARGADO")</f>
        <v>CODAC SRL</v>
      </c>
      <c r="H100" s="46">
        <v>618460</v>
      </c>
      <c r="I100" s="85">
        <f>IF(compras_mes1[[#This Row],[NETO GRAVADO]]="","",compras_mes1[[#This Row],[NETO GRAVADO]]*0.21)</f>
        <v>129876.59999999999</v>
      </c>
      <c r="J100" s="85"/>
      <c r="K100" s="85"/>
      <c r="L100" s="85"/>
      <c r="M100" s="85"/>
      <c r="N100" s="85"/>
      <c r="O100" s="85"/>
      <c r="P100" s="48">
        <f>SUM(compras_mes1[[#This Row],[NETO GRAVADO]:[Otros / No Grav.]])</f>
        <v>748336.6</v>
      </c>
      <c r="Q100" s="49" t="str">
        <f>IFERROR(IF(compras_mes1[[#This Row],[CUIT]]="","-",VLOOKUP(compras_mes1[[#This Row],[CUIT]],Lista_CUIT[#All],3,0)),"CUIT NO CARGADO")</f>
        <v>GASTOS COSMETICA</v>
      </c>
      <c r="R100" s="49" t="str">
        <f>IFERROR(IF(compras_mes1[[#This Row],[CUIT]]="","-",VLOOKUP(compras_mes1[[#This Row],[CUIT]],Lista_CUIT[#All],4,0)),"CUIT NO CARGADO")</f>
        <v>BUENOS AIRES</v>
      </c>
    </row>
    <row r="101" spans="2:18" x14ac:dyDescent="0.3">
      <c r="B101" s="40">
        <v>44936</v>
      </c>
      <c r="C101" s="41">
        <v>1</v>
      </c>
      <c r="D101" s="42">
        <v>6</v>
      </c>
      <c r="E101" s="43">
        <v>2390</v>
      </c>
      <c r="F101" s="44">
        <v>30574603788</v>
      </c>
      <c r="G101" s="45" t="str">
        <f>IFERROR(IF(compras_mes1[[#This Row],[CUIT]]="","-",VLOOKUP(compras_mes1[[#This Row],[CUIT]],Lista_CUIT[#All],2,0)),"CUIT NO CARGADO")</f>
        <v>CODAC SRL</v>
      </c>
      <c r="H101" s="46">
        <v>164100</v>
      </c>
      <c r="I101" s="85">
        <f>IF(compras_mes1[[#This Row],[NETO GRAVADO]]="","",compras_mes1[[#This Row],[NETO GRAVADO]]*0.21)</f>
        <v>34461</v>
      </c>
      <c r="J101" s="85"/>
      <c r="K101" s="85"/>
      <c r="L101" s="85"/>
      <c r="M101" s="85"/>
      <c r="N101" s="85"/>
      <c r="O101" s="85"/>
      <c r="P101" s="48">
        <f>SUM(compras_mes1[[#This Row],[NETO GRAVADO]:[Otros / No Grav.]])</f>
        <v>198561</v>
      </c>
      <c r="Q101" s="49" t="str">
        <f>IFERROR(IF(compras_mes1[[#This Row],[CUIT]]="","-",VLOOKUP(compras_mes1[[#This Row],[CUIT]],Lista_CUIT[#All],3,0)),"CUIT NO CARGADO")</f>
        <v>GASTOS COSMETICA</v>
      </c>
      <c r="R101" s="49" t="str">
        <f>IFERROR(IF(compras_mes1[[#This Row],[CUIT]]="","-",VLOOKUP(compras_mes1[[#This Row],[CUIT]],Lista_CUIT[#All],4,0)),"CUIT NO CARGADO")</f>
        <v>BUENOS AIRES</v>
      </c>
    </row>
    <row r="102" spans="2:18" x14ac:dyDescent="0.3">
      <c r="B102" s="40">
        <v>44939</v>
      </c>
      <c r="C102" s="41">
        <v>1</v>
      </c>
      <c r="D102" s="42">
        <v>6</v>
      </c>
      <c r="E102" s="43">
        <v>2401</v>
      </c>
      <c r="F102" s="44">
        <v>30574603788</v>
      </c>
      <c r="G102" s="45" t="str">
        <f>IFERROR(IF(compras_mes1[[#This Row],[CUIT]]="","-",VLOOKUP(compras_mes1[[#This Row],[CUIT]],Lista_CUIT[#All],2,0)),"CUIT NO CARGADO")</f>
        <v>CODAC SRL</v>
      </c>
      <c r="H102" s="46">
        <v>284890</v>
      </c>
      <c r="I102" s="85">
        <f>IF(compras_mes1[[#This Row],[NETO GRAVADO]]="","",compras_mes1[[#This Row],[NETO GRAVADO]]*0.21)</f>
        <v>59826.899999999994</v>
      </c>
      <c r="J102" s="85"/>
      <c r="K102" s="85"/>
      <c r="L102" s="85"/>
      <c r="M102" s="85"/>
      <c r="N102" s="85"/>
      <c r="O102" s="85"/>
      <c r="P102" s="48">
        <f>SUM(compras_mes1[[#This Row],[NETO GRAVADO]:[Otros / No Grav.]])</f>
        <v>344716.9</v>
      </c>
      <c r="Q102" s="49" t="str">
        <f>IFERROR(IF(compras_mes1[[#This Row],[CUIT]]="","-",VLOOKUP(compras_mes1[[#This Row],[CUIT]],Lista_CUIT[#All],3,0)),"CUIT NO CARGADO")</f>
        <v>GASTOS COSMETICA</v>
      </c>
      <c r="R102" s="49" t="str">
        <f>IFERROR(IF(compras_mes1[[#This Row],[CUIT]]="","-",VLOOKUP(compras_mes1[[#This Row],[CUIT]],Lista_CUIT[#All],4,0)),"CUIT NO CARGADO")</f>
        <v>BUENOS AIRES</v>
      </c>
    </row>
    <row r="103" spans="2:18" x14ac:dyDescent="0.3">
      <c r="B103" s="40">
        <v>44939</v>
      </c>
      <c r="C103" s="41">
        <v>1</v>
      </c>
      <c r="D103" s="42">
        <v>6</v>
      </c>
      <c r="E103" s="43">
        <v>2404</v>
      </c>
      <c r="F103" s="44">
        <v>30574603788</v>
      </c>
      <c r="G103" s="45" t="str">
        <f>IFERROR(IF(compras_mes1[[#This Row],[CUIT]]="","-",VLOOKUP(compras_mes1[[#This Row],[CUIT]],Lista_CUIT[#All],2,0)),"CUIT NO CARGADO")</f>
        <v>CODAC SRL</v>
      </c>
      <c r="H103" s="46">
        <v>115440</v>
      </c>
      <c r="I103" s="85">
        <f>IF(compras_mes1[[#This Row],[NETO GRAVADO]]="","",compras_mes1[[#This Row],[NETO GRAVADO]]*0.21)</f>
        <v>24242.399999999998</v>
      </c>
      <c r="J103" s="85"/>
      <c r="K103" s="85"/>
      <c r="L103" s="85"/>
      <c r="M103" s="85"/>
      <c r="N103" s="85"/>
      <c r="O103" s="85"/>
      <c r="P103" s="48">
        <f>SUM(compras_mes1[[#This Row],[NETO GRAVADO]:[Otros / No Grav.]])</f>
        <v>139682.4</v>
      </c>
      <c r="Q103" s="49" t="str">
        <f>IFERROR(IF(compras_mes1[[#This Row],[CUIT]]="","-",VLOOKUP(compras_mes1[[#This Row],[CUIT]],Lista_CUIT[#All],3,0)),"CUIT NO CARGADO")</f>
        <v>GASTOS COSMETICA</v>
      </c>
      <c r="R103" s="49" t="str">
        <f>IFERROR(IF(compras_mes1[[#This Row],[CUIT]]="","-",VLOOKUP(compras_mes1[[#This Row],[CUIT]],Lista_CUIT[#All],4,0)),"CUIT NO CARGADO")</f>
        <v>BUENOS AIRES</v>
      </c>
    </row>
    <row r="104" spans="2:18" x14ac:dyDescent="0.3">
      <c r="B104" s="40">
        <v>44946</v>
      </c>
      <c r="C104" s="41">
        <v>1</v>
      </c>
      <c r="D104" s="42">
        <v>6</v>
      </c>
      <c r="E104" s="43">
        <v>2409</v>
      </c>
      <c r="F104" s="44">
        <v>30574603788</v>
      </c>
      <c r="G104" s="45" t="str">
        <f>IFERROR(IF(compras_mes1[[#This Row],[CUIT]]="","-",VLOOKUP(compras_mes1[[#This Row],[CUIT]],Lista_CUIT[#All],2,0)),"CUIT NO CARGADO")</f>
        <v>CODAC SRL</v>
      </c>
      <c r="H104" s="46">
        <v>503063</v>
      </c>
      <c r="I104" s="85">
        <f>IF(compras_mes1[[#This Row],[NETO GRAVADO]]="","",compras_mes1[[#This Row],[NETO GRAVADO]]*0.21)</f>
        <v>105643.23</v>
      </c>
      <c r="J104" s="85"/>
      <c r="K104" s="85"/>
      <c r="L104" s="85"/>
      <c r="M104" s="85"/>
      <c r="N104" s="85"/>
      <c r="O104" s="85"/>
      <c r="P104" s="48">
        <f>SUM(compras_mes1[[#This Row],[NETO GRAVADO]:[Otros / No Grav.]])</f>
        <v>608706.23</v>
      </c>
      <c r="Q104" s="49" t="str">
        <f>IFERROR(IF(compras_mes1[[#This Row],[CUIT]]="","-",VLOOKUP(compras_mes1[[#This Row],[CUIT]],Lista_CUIT[#All],3,0)),"CUIT NO CARGADO")</f>
        <v>GASTOS COSMETICA</v>
      </c>
      <c r="R104" s="49" t="str">
        <f>IFERROR(IF(compras_mes1[[#This Row],[CUIT]]="","-",VLOOKUP(compras_mes1[[#This Row],[CUIT]],Lista_CUIT[#All],4,0)),"CUIT NO CARGADO")</f>
        <v>BUENOS AIRES</v>
      </c>
    </row>
    <row r="105" spans="2:18" x14ac:dyDescent="0.3">
      <c r="B105" s="40">
        <v>44934</v>
      </c>
      <c r="C105" s="41">
        <v>1</v>
      </c>
      <c r="D105" s="42">
        <v>8965</v>
      </c>
      <c r="E105" s="43">
        <v>114</v>
      </c>
      <c r="F105" s="44">
        <v>30590360763</v>
      </c>
      <c r="G105" s="45" t="str">
        <f>IFERROR(IF(compras_mes1[[#This Row],[CUIT]]="","-",VLOOKUP(compras_mes1[[#This Row],[CUIT]],Lista_CUIT[#All],2,0)),"CUIT NO CARGADO")</f>
        <v>CENCOSUD S.A</v>
      </c>
      <c r="H105" s="46">
        <v>12392.56</v>
      </c>
      <c r="I105" s="85">
        <f>IF(compras_mes1[[#This Row],[NETO GRAVADO]]="","",compras_mes1[[#This Row],[NETO GRAVADO]]*0.21)</f>
        <v>2602.4375999999997</v>
      </c>
      <c r="J105" s="85"/>
      <c r="K105" s="85"/>
      <c r="L105" s="85">
        <v>371.78</v>
      </c>
      <c r="M105" s="85"/>
      <c r="N105" s="85"/>
      <c r="O105" s="85">
        <v>743.55</v>
      </c>
      <c r="P105" s="48">
        <f>SUM(compras_mes1[[#This Row],[NETO GRAVADO]:[Otros / No Grav.]])</f>
        <v>16110.327599999999</v>
      </c>
      <c r="Q105" s="49" t="str">
        <f>IFERROR(IF(compras_mes1[[#This Row],[CUIT]]="","-",VLOOKUP(compras_mes1[[#This Row],[CUIT]],Lista_CUIT[#All],3,0)),"CUIT NO CARGADO")</f>
        <v>Gastos Varios</v>
      </c>
      <c r="R105" s="49">
        <f>IFERROR(IF(compras_mes1[[#This Row],[CUIT]]="","-",VLOOKUP(compras_mes1[[#This Row],[CUIT]],Lista_CUIT[#All],4,0)),"CUIT NO CARGADO")</f>
        <v>0</v>
      </c>
    </row>
    <row r="106" spans="2:18" x14ac:dyDescent="0.3">
      <c r="B106" s="40">
        <v>44940</v>
      </c>
      <c r="C106" s="41">
        <v>1</v>
      </c>
      <c r="D106" s="42">
        <v>7</v>
      </c>
      <c r="E106" s="43">
        <v>843</v>
      </c>
      <c r="F106" s="44">
        <v>20134664518</v>
      </c>
      <c r="G106" s="45" t="str">
        <f>IFERROR(IF(compras_mes1[[#This Row],[CUIT]]="","-",VLOOKUP(compras_mes1[[#This Row],[CUIT]],Lista_CUIT[#All],2,0)),"CUIT NO CARGADO")</f>
        <v>HOKAMA SERGIO ENRIQUE</v>
      </c>
      <c r="H106" s="46">
        <v>5925.41</v>
      </c>
      <c r="I106" s="85">
        <f>IF(compras_mes1[[#This Row],[NETO GRAVADO]]="","",compras_mes1[[#This Row],[NETO GRAVADO]]*0.21)</f>
        <v>1244.3361</v>
      </c>
      <c r="J106" s="85"/>
      <c r="K106" s="85"/>
      <c r="L106" s="85"/>
      <c r="M106" s="85"/>
      <c r="N106" s="85"/>
      <c r="O106" s="85"/>
      <c r="P106" s="48">
        <f>SUM(compras_mes1[[#This Row],[NETO GRAVADO]:[Otros / No Grav.]])</f>
        <v>7169.7461000000003</v>
      </c>
      <c r="Q106" s="49" t="str">
        <f>IFERROR(IF(compras_mes1[[#This Row],[CUIT]]="","-",VLOOKUP(compras_mes1[[#This Row],[CUIT]],Lista_CUIT[#All],3,0)),"CUIT NO CARGADO")</f>
        <v>Gastos Varios</v>
      </c>
      <c r="R106" s="49" t="str">
        <f>IFERROR(IF(compras_mes1[[#This Row],[CUIT]]="","-",VLOOKUP(compras_mes1[[#This Row],[CUIT]],Lista_CUIT[#All],4,0)),"CUIT NO CARGADO")</f>
        <v>BUENOS AIRES</v>
      </c>
    </row>
    <row r="107" spans="2:18" x14ac:dyDescent="0.3">
      <c r="B107" s="40">
        <v>44944</v>
      </c>
      <c r="C107" s="41">
        <v>1</v>
      </c>
      <c r="D107" s="42">
        <v>6</v>
      </c>
      <c r="E107" s="43">
        <v>3048</v>
      </c>
      <c r="F107" s="44">
        <v>20134664518</v>
      </c>
      <c r="G107" s="45" t="str">
        <f>IFERROR(IF(compras_mes1[[#This Row],[CUIT]]="","-",VLOOKUP(compras_mes1[[#This Row],[CUIT]],Lista_CUIT[#All],2,0)),"CUIT NO CARGADO")</f>
        <v>HOKAMA SERGIO ENRIQUE</v>
      </c>
      <c r="H107" s="46">
        <v>13137.21</v>
      </c>
      <c r="I107" s="85">
        <f>IF(compras_mes1[[#This Row],[NETO GRAVADO]]="","",compras_mes1[[#This Row],[NETO GRAVADO]]*0.21)</f>
        <v>2758.8140999999996</v>
      </c>
      <c r="J107" s="85"/>
      <c r="K107" s="85"/>
      <c r="L107" s="85"/>
      <c r="M107" s="85"/>
      <c r="N107" s="85"/>
      <c r="O107" s="85"/>
      <c r="P107" s="48">
        <f>SUM(compras_mes1[[#This Row],[NETO GRAVADO]:[Otros / No Grav.]])</f>
        <v>15896.024099999999</v>
      </c>
      <c r="Q107" s="49" t="str">
        <f>IFERROR(IF(compras_mes1[[#This Row],[CUIT]]="","-",VLOOKUP(compras_mes1[[#This Row],[CUIT]],Lista_CUIT[#All],3,0)),"CUIT NO CARGADO")</f>
        <v>Gastos Varios</v>
      </c>
      <c r="R107" s="49" t="str">
        <f>IFERROR(IF(compras_mes1[[#This Row],[CUIT]]="","-",VLOOKUP(compras_mes1[[#This Row],[CUIT]],Lista_CUIT[#All],4,0)),"CUIT NO CARGADO")</f>
        <v>BUENOS AIRES</v>
      </c>
    </row>
    <row r="108" spans="2:18" x14ac:dyDescent="0.3">
      <c r="B108" s="40">
        <v>44944</v>
      </c>
      <c r="C108" s="41">
        <v>1</v>
      </c>
      <c r="D108" s="42">
        <v>7</v>
      </c>
      <c r="E108" s="43">
        <v>12400</v>
      </c>
      <c r="F108" s="44">
        <v>30628212437</v>
      </c>
      <c r="G108" s="45" t="str">
        <f>IFERROR(IF(compras_mes1[[#This Row],[CUIT]]="","-",VLOOKUP(compras_mes1[[#This Row],[CUIT]],Lista_CUIT[#All],2,0)),"CUIT NO CARGADO")</f>
        <v>VIMAR SOC EN COM SIMPLE</v>
      </c>
      <c r="H108" s="46">
        <v>913.22</v>
      </c>
      <c r="I108" s="85">
        <f>IF(compras_mes1[[#This Row],[NETO GRAVADO]]="","",compras_mes1[[#This Row],[NETO GRAVADO]]*0.21)</f>
        <v>191.77619999999999</v>
      </c>
      <c r="J108" s="85"/>
      <c r="K108" s="85"/>
      <c r="L108" s="85"/>
      <c r="M108" s="85"/>
      <c r="N108" s="85"/>
      <c r="O108" s="85"/>
      <c r="P108" s="48">
        <f>SUM(compras_mes1[[#This Row],[NETO GRAVADO]:[Otros / No Grav.]])</f>
        <v>1104.9962</v>
      </c>
      <c r="Q108" s="49" t="str">
        <f>IFERROR(IF(compras_mes1[[#This Row],[CUIT]]="","-",VLOOKUP(compras_mes1[[#This Row],[CUIT]],Lista_CUIT[#All],3,0)),"CUIT NO CARGADO")</f>
        <v>Gastos Varios</v>
      </c>
      <c r="R108" s="49">
        <f>IFERROR(IF(compras_mes1[[#This Row],[CUIT]]="","-",VLOOKUP(compras_mes1[[#This Row],[CUIT]],Lista_CUIT[#All],4,0)),"CUIT NO CARGADO")</f>
        <v>0</v>
      </c>
    </row>
    <row r="109" spans="2:18" x14ac:dyDescent="0.3">
      <c r="B109" s="40">
        <v>44955</v>
      </c>
      <c r="C109" s="41">
        <v>1</v>
      </c>
      <c r="D109" s="42">
        <v>27</v>
      </c>
      <c r="E109" s="43">
        <v>931069</v>
      </c>
      <c r="F109" s="44">
        <v>30703088534</v>
      </c>
      <c r="G109" s="45" t="str">
        <f>IFERROR(IF(compras_mes1[[#This Row],[CUIT]]="","-",VLOOKUP(compras_mes1[[#This Row],[CUIT]],Lista_CUIT[#All],2,0)),"CUIT NO CARGADO")</f>
        <v>MERCADO LIBRE SRL</v>
      </c>
      <c r="H109" s="46">
        <v>135353.21</v>
      </c>
      <c r="I109" s="85">
        <f>IF(compras_mes1[[#This Row],[NETO GRAVADO]]="","",compras_mes1[[#This Row],[NETO GRAVADO]]*0.21)</f>
        <v>28424.174099999997</v>
      </c>
      <c r="J109" s="85"/>
      <c r="K109" s="85"/>
      <c r="L109" s="85"/>
      <c r="M109" s="85"/>
      <c r="N109" s="85"/>
      <c r="O109" s="85">
        <v>12181.77</v>
      </c>
      <c r="P109" s="48">
        <f>SUM(compras_mes1[[#This Row],[NETO GRAVADO]:[Otros / No Grav.]])</f>
        <v>175959.15409999999</v>
      </c>
      <c r="Q109" s="49" t="str">
        <f>IFERROR(IF(compras_mes1[[#This Row],[CUIT]]="","-",VLOOKUP(compras_mes1[[#This Row],[CUIT]],Lista_CUIT[#All],3,0)),"CUIT NO CARGADO")</f>
        <v>Gastos Varios</v>
      </c>
      <c r="R109" s="49" t="str">
        <f>IFERROR(IF(compras_mes1[[#This Row],[CUIT]]="","-",VLOOKUP(compras_mes1[[#This Row],[CUIT]],Lista_CUIT[#All],4,0)),"CUIT NO CARGADO")</f>
        <v>CABA</v>
      </c>
    </row>
    <row r="110" spans="2:18" x14ac:dyDescent="0.3">
      <c r="B110" s="40">
        <v>44956</v>
      </c>
      <c r="C110" s="41">
        <v>1</v>
      </c>
      <c r="D110" s="42">
        <v>13550</v>
      </c>
      <c r="E110" s="43">
        <v>1317</v>
      </c>
      <c r="F110" s="44">
        <v>30590360763</v>
      </c>
      <c r="G110" s="45" t="str">
        <f>IFERROR(IF(compras_mes1[[#This Row],[CUIT]]="","-",VLOOKUP(compras_mes1[[#This Row],[CUIT]],Lista_CUIT[#All],2,0)),"CUIT NO CARGADO")</f>
        <v>CENCOSUD S.A</v>
      </c>
      <c r="H110" s="46">
        <v>19358.62</v>
      </c>
      <c r="I110" s="85"/>
      <c r="J110" s="85"/>
      <c r="K110" s="85">
        <v>3719.53</v>
      </c>
      <c r="L110" s="85">
        <v>493.85</v>
      </c>
      <c r="M110" s="85"/>
      <c r="N110" s="85">
        <v>1161.52</v>
      </c>
      <c r="O110" s="85"/>
      <c r="P110" s="48">
        <f>SUM(compras_mes1[[#This Row],[NETO GRAVADO]:[Otros / No Grav.]])</f>
        <v>24733.519999999997</v>
      </c>
      <c r="Q110" s="49" t="str">
        <f>IFERROR(IF(compras_mes1[[#This Row],[CUIT]]="","-",VLOOKUP(compras_mes1[[#This Row],[CUIT]],Lista_CUIT[#All],3,0)),"CUIT NO CARGADO")</f>
        <v>Gastos Varios</v>
      </c>
      <c r="R110" s="49">
        <f>IFERROR(IF(compras_mes1[[#This Row],[CUIT]]="","-",VLOOKUP(compras_mes1[[#This Row],[CUIT]],Lista_CUIT[#All],4,0)),"CUIT NO CARGADO")</f>
        <v>0</v>
      </c>
    </row>
    <row r="111" spans="2:18" x14ac:dyDescent="0.3">
      <c r="B111" s="40">
        <v>44956</v>
      </c>
      <c r="C111" s="41">
        <v>1</v>
      </c>
      <c r="D111" s="42">
        <v>4</v>
      </c>
      <c r="E111" s="43">
        <v>7709</v>
      </c>
      <c r="F111" s="44">
        <v>27950873936</v>
      </c>
      <c r="G111" s="45" t="str">
        <f>IFERROR(IF(compras_mes1[[#This Row],[CUIT]]="","-",VLOOKUP(compras_mes1[[#This Row],[CUIT]],Lista_CUIT[#All],2,0)),"CUIT NO CARGADO")</f>
        <v>TANG GUIYUN</v>
      </c>
      <c r="H111" s="46">
        <v>239.66</v>
      </c>
      <c r="I111" s="85">
        <f>IF(compras_mes1[[#This Row],[NETO GRAVADO]]="","",compras_mes1[[#This Row],[NETO GRAVADO]]*0.21)</f>
        <v>50.328599999999994</v>
      </c>
      <c r="J111" s="85"/>
      <c r="K111" s="85"/>
      <c r="L111" s="85"/>
      <c r="M111" s="85"/>
      <c r="N111" s="85"/>
      <c r="O111" s="85"/>
      <c r="P111" s="48">
        <f>SUM(compras_mes1[[#This Row],[NETO GRAVADO]:[Otros / No Grav.]])</f>
        <v>289.98860000000002</v>
      </c>
      <c r="Q111" s="49" t="str">
        <f>IFERROR(IF(compras_mes1[[#This Row],[CUIT]]="","-",VLOOKUP(compras_mes1[[#This Row],[CUIT]],Lista_CUIT[#All],3,0)),"CUIT NO CARGADO")</f>
        <v>Gastos Varios</v>
      </c>
      <c r="R111" s="49">
        <f>IFERROR(IF(compras_mes1[[#This Row],[CUIT]]="","-",VLOOKUP(compras_mes1[[#This Row],[CUIT]],Lista_CUIT[#All],4,0)),"CUIT NO CARGADO")</f>
        <v>0</v>
      </c>
    </row>
    <row r="112" spans="2:18" x14ac:dyDescent="0.3">
      <c r="B112" s="40">
        <v>44943</v>
      </c>
      <c r="C112" s="41">
        <v>1</v>
      </c>
      <c r="D112" s="42">
        <v>3</v>
      </c>
      <c r="E112" s="43">
        <v>38619</v>
      </c>
      <c r="F112" s="44">
        <v>30714930490</v>
      </c>
      <c r="G112" s="45" t="str">
        <f>IFERROR(IF(compras_mes1[[#This Row],[CUIT]]="","-",VLOOKUP(compras_mes1[[#This Row],[CUIT]],Lista_CUIT[#All],2,0)),"CUIT NO CARGADO")</f>
        <v>APPLUS SANTA MARIA DEL BUEN AYRE SA</v>
      </c>
      <c r="H112" s="46">
        <v>2958.02</v>
      </c>
      <c r="I112" s="85">
        <f>IF(compras_mes1[[#This Row],[NETO GRAVADO]]="","",compras_mes1[[#This Row],[NETO GRAVADO]]*0.21)</f>
        <v>621.18419999999992</v>
      </c>
      <c r="J112" s="85"/>
      <c r="K112" s="85"/>
      <c r="L112" s="85"/>
      <c r="M112" s="85"/>
      <c r="N112" s="85"/>
      <c r="O112" s="85"/>
      <c r="P112" s="48">
        <f>SUM(compras_mes1[[#This Row],[NETO GRAVADO]:[Otros / No Grav.]])</f>
        <v>3579.2042000000001</v>
      </c>
      <c r="Q112" s="49" t="str">
        <f>IFERROR(IF(compras_mes1[[#This Row],[CUIT]]="","-",VLOOKUP(compras_mes1[[#This Row],[CUIT]],Lista_CUIT[#All],3,0)),"CUIT NO CARGADO")</f>
        <v>Gastos Vehiculo</v>
      </c>
      <c r="R112" s="49">
        <f>IFERROR(IF(compras_mes1[[#This Row],[CUIT]]="","-",VLOOKUP(compras_mes1[[#This Row],[CUIT]],Lista_CUIT[#All],4,0)),"CUIT NO CARGADO")</f>
        <v>0</v>
      </c>
    </row>
    <row r="113" spans="2:18" x14ac:dyDescent="0.3">
      <c r="B113" s="40">
        <v>44951</v>
      </c>
      <c r="C113" s="41">
        <v>1</v>
      </c>
      <c r="D113" s="42">
        <v>3</v>
      </c>
      <c r="E113" s="43">
        <v>21911</v>
      </c>
      <c r="F113" s="44">
        <v>30713387009</v>
      </c>
      <c r="G113" s="45" t="str">
        <f>IFERROR(IF(compras_mes1[[#This Row],[CUIT]]="","-",VLOOKUP(compras_mes1[[#This Row],[CUIT]],Lista_CUIT[#All],2,0)),"CUIT NO CARGADO")</f>
        <v>DURCASTI SA</v>
      </c>
      <c r="H113" s="46">
        <v>495.86</v>
      </c>
      <c r="I113" s="85">
        <f>IF(compras_mes1[[#This Row],[NETO GRAVADO]]="","",compras_mes1[[#This Row],[NETO GRAVADO]]*0.21)</f>
        <v>104.1306</v>
      </c>
      <c r="J113" s="85"/>
      <c r="K113" s="85"/>
      <c r="L113" s="85"/>
      <c r="M113" s="85"/>
      <c r="N113" s="85"/>
      <c r="O113" s="85"/>
      <c r="P113" s="48">
        <f>SUM(compras_mes1[[#This Row],[NETO GRAVADO]:[Otros / No Grav.]])</f>
        <v>599.99059999999997</v>
      </c>
      <c r="Q113" s="49" t="str">
        <f>IFERROR(IF(compras_mes1[[#This Row],[CUIT]]="","-",VLOOKUP(compras_mes1[[#This Row],[CUIT]],Lista_CUIT[#All],3,0)),"CUIT NO CARGADO")</f>
        <v>Gastos Vehiculo</v>
      </c>
      <c r="R113" s="49">
        <f>IFERROR(IF(compras_mes1[[#This Row],[CUIT]]="","-",VLOOKUP(compras_mes1[[#This Row],[CUIT]],Lista_CUIT[#All],4,0)),"CUIT NO CARGADO")</f>
        <v>0</v>
      </c>
    </row>
    <row r="114" spans="2:18" x14ac:dyDescent="0.3">
      <c r="B114" s="40">
        <v>44935</v>
      </c>
      <c r="C114" s="41">
        <v>1</v>
      </c>
      <c r="D114" s="42">
        <v>2</v>
      </c>
      <c r="E114" s="43">
        <v>3246</v>
      </c>
      <c r="F114" s="44">
        <v>30629863571</v>
      </c>
      <c r="G114" s="45" t="str">
        <f>IFERROR(IF(compras_mes1[[#This Row],[CUIT]]="","-",VLOOKUP(compras_mes1[[#This Row],[CUIT]],Lista_CUIT[#All],2,0)),"CUIT NO CARGADO")</f>
        <v>TECNIMAR S R L</v>
      </c>
      <c r="H114" s="46">
        <v>846338.4</v>
      </c>
      <c r="I114" s="85">
        <f>IF(compras_mes1[[#This Row],[NETO GRAVADO]]="","",compras_mes1[[#This Row],[NETO GRAVADO]]*0.21)</f>
        <v>177731.06399999998</v>
      </c>
      <c r="J114" s="85"/>
      <c r="K114" s="85"/>
      <c r="L114" s="85"/>
      <c r="M114" s="85"/>
      <c r="N114" s="85"/>
      <c r="O114" s="85"/>
      <c r="P114" s="48">
        <f>SUM(compras_mes1[[#This Row],[NETO GRAVADO]:[Otros / No Grav.]])</f>
        <v>1024069.464</v>
      </c>
      <c r="Q114" s="49" t="str">
        <f>IFERROR(IF(compras_mes1[[#This Row],[CUIT]]="","-",VLOOKUP(compras_mes1[[#This Row],[CUIT]],Lista_CUIT[#All],3,0)),"CUIT NO CARGADO")</f>
        <v>LABORATORIO</v>
      </c>
      <c r="R114" s="49">
        <f>IFERROR(IF(compras_mes1[[#This Row],[CUIT]]="","-",VLOOKUP(compras_mes1[[#This Row],[CUIT]],Lista_CUIT[#All],4,0)),"CUIT NO CARGADO")</f>
        <v>0</v>
      </c>
    </row>
    <row r="115" spans="2:18" x14ac:dyDescent="0.3">
      <c r="B115" s="40">
        <v>44936</v>
      </c>
      <c r="C115" s="41">
        <v>1</v>
      </c>
      <c r="D115" s="42">
        <v>2</v>
      </c>
      <c r="E115" s="43">
        <v>3250</v>
      </c>
      <c r="F115" s="44">
        <v>30629863571</v>
      </c>
      <c r="G115" s="45" t="str">
        <f>IFERROR(IF(compras_mes1[[#This Row],[CUIT]]="","-",VLOOKUP(compras_mes1[[#This Row],[CUIT]],Lista_CUIT[#All],2,0)),"CUIT NO CARGADO")</f>
        <v>TECNIMAR S R L</v>
      </c>
      <c r="H115" s="46">
        <v>701283.45</v>
      </c>
      <c r="I115" s="85">
        <f>IF(compras_mes1[[#This Row],[NETO GRAVADO]]="","",compras_mes1[[#This Row],[NETO GRAVADO]]*0.21)</f>
        <v>147269.52449999997</v>
      </c>
      <c r="J115" s="85"/>
      <c r="K115" s="85"/>
      <c r="L115" s="85"/>
      <c r="M115" s="85"/>
      <c r="N115" s="85"/>
      <c r="O115" s="85"/>
      <c r="P115" s="48">
        <f>SUM(compras_mes1[[#This Row],[NETO GRAVADO]:[Otros / No Grav.]])</f>
        <v>848552.97449999989</v>
      </c>
      <c r="Q115" s="49" t="str">
        <f>IFERROR(IF(compras_mes1[[#This Row],[CUIT]]="","-",VLOOKUP(compras_mes1[[#This Row],[CUIT]],Lista_CUIT[#All],3,0)),"CUIT NO CARGADO")</f>
        <v>LABORATORIO</v>
      </c>
      <c r="R115" s="49">
        <f>IFERROR(IF(compras_mes1[[#This Row],[CUIT]]="","-",VLOOKUP(compras_mes1[[#This Row],[CUIT]],Lista_CUIT[#All],4,0)),"CUIT NO CARGADO")</f>
        <v>0</v>
      </c>
    </row>
    <row r="116" spans="2:18" x14ac:dyDescent="0.3">
      <c r="B116" s="40">
        <v>44939</v>
      </c>
      <c r="C116" s="41">
        <v>1</v>
      </c>
      <c r="D116" s="42">
        <v>2</v>
      </c>
      <c r="E116" s="43">
        <v>3257</v>
      </c>
      <c r="F116" s="44">
        <v>30629863571</v>
      </c>
      <c r="G116" s="45" t="str">
        <f>IFERROR(IF(compras_mes1[[#This Row],[CUIT]]="","-",VLOOKUP(compras_mes1[[#This Row],[CUIT]],Lista_CUIT[#All],2,0)),"CUIT NO CARGADO")</f>
        <v>TECNIMAR S R L</v>
      </c>
      <c r="H116" s="46">
        <v>839854.71</v>
      </c>
      <c r="I116" s="85">
        <f>IF(compras_mes1[[#This Row],[NETO GRAVADO]]="","",compras_mes1[[#This Row],[NETO GRAVADO]]*0.21)</f>
        <v>176369.48909999998</v>
      </c>
      <c r="J116" s="85"/>
      <c r="K116" s="85"/>
      <c r="L116" s="85"/>
      <c r="M116" s="85"/>
      <c r="N116" s="85"/>
      <c r="O116" s="85"/>
      <c r="P116" s="48">
        <f>SUM(compras_mes1[[#This Row],[NETO GRAVADO]:[Otros / No Grav.]])</f>
        <v>1016224.1991</v>
      </c>
      <c r="Q116" s="49" t="str">
        <f>IFERROR(IF(compras_mes1[[#This Row],[CUIT]]="","-",VLOOKUP(compras_mes1[[#This Row],[CUIT]],Lista_CUIT[#All],3,0)),"CUIT NO CARGADO")</f>
        <v>LABORATORIO</v>
      </c>
      <c r="R116" s="49">
        <f>IFERROR(IF(compras_mes1[[#This Row],[CUIT]]="","-",VLOOKUP(compras_mes1[[#This Row],[CUIT]],Lista_CUIT[#All],4,0)),"CUIT NO CARGADO")</f>
        <v>0</v>
      </c>
    </row>
    <row r="117" spans="2:18" x14ac:dyDescent="0.3">
      <c r="B117" s="40">
        <v>44932</v>
      </c>
      <c r="C117" s="41">
        <v>1</v>
      </c>
      <c r="D117" s="42">
        <v>3001</v>
      </c>
      <c r="E117" s="43">
        <v>258018</v>
      </c>
      <c r="F117" s="44">
        <v>30708574836</v>
      </c>
      <c r="G117" s="45" t="str">
        <f>IFERROR(IF(compras_mes1[[#This Row],[CUIT]]="","-",VLOOKUP(compras_mes1[[#This Row],[CUIT]],Lista_CUIT[#All],2,0)),"CUIT NO CARGADO")</f>
        <v>CORREO OFICIAL DE LA REPUBLICA ARGENTINA SOCIEDAD ANONIMA</v>
      </c>
      <c r="H117" s="46"/>
      <c r="I117" s="85" t="str">
        <f>IF(compras_mes1[[#This Row],[NETO GRAVADO]]="","",compras_mes1[[#This Row],[NETO GRAVADO]]*0.21)</f>
        <v/>
      </c>
      <c r="J117" s="85"/>
      <c r="K117" s="85"/>
      <c r="L117" s="85"/>
      <c r="M117" s="85"/>
      <c r="N117" s="85"/>
      <c r="O117" s="85">
        <v>2150</v>
      </c>
      <c r="P117" s="48">
        <f>SUM(compras_mes1[[#This Row],[NETO GRAVADO]:[Otros / No Grav.]])</f>
        <v>2150</v>
      </c>
      <c r="Q117" s="49" t="str">
        <f>IFERROR(IF(compras_mes1[[#This Row],[CUIT]]="","-",VLOOKUP(compras_mes1[[#This Row],[CUIT]],Lista_CUIT[#All],3,0)),"CUIT NO CARGADO")</f>
        <v>MESAJERIA</v>
      </c>
      <c r="R117" s="49">
        <f>IFERROR(IF(compras_mes1[[#This Row],[CUIT]]="","-",VLOOKUP(compras_mes1[[#This Row],[CUIT]],Lista_CUIT[#All],4,0)),"CUIT NO CARGADO")</f>
        <v>0</v>
      </c>
    </row>
    <row r="118" spans="2:18" x14ac:dyDescent="0.3">
      <c r="B118" s="40">
        <v>44943</v>
      </c>
      <c r="C118" s="41">
        <v>1</v>
      </c>
      <c r="D118" s="42">
        <v>3034</v>
      </c>
      <c r="E118" s="43">
        <v>3060689</v>
      </c>
      <c r="F118" s="44">
        <v>30708574836</v>
      </c>
      <c r="G118" s="45" t="str">
        <f>IFERROR(IF(compras_mes1[[#This Row],[CUIT]]="","-",VLOOKUP(compras_mes1[[#This Row],[CUIT]],Lista_CUIT[#All],2,0)),"CUIT NO CARGADO")</f>
        <v>CORREO OFICIAL DE LA REPUBLICA ARGENTINA SOCIEDAD ANONIMA</v>
      </c>
      <c r="H118" s="46">
        <v>865.48</v>
      </c>
      <c r="I118" s="85">
        <f>IF(compras_mes1[[#This Row],[NETO GRAVADO]]="","",compras_mes1[[#This Row],[NETO GRAVADO]]*0.21)</f>
        <v>181.7508</v>
      </c>
      <c r="J118" s="85"/>
      <c r="K118" s="85"/>
      <c r="L118" s="85"/>
      <c r="M118" s="85"/>
      <c r="N118" s="85"/>
      <c r="O118" s="85"/>
      <c r="P118" s="48">
        <f>SUM(compras_mes1[[#This Row],[NETO GRAVADO]:[Otros / No Grav.]])</f>
        <v>1047.2308</v>
      </c>
      <c r="Q118" s="49" t="str">
        <f>IFERROR(IF(compras_mes1[[#This Row],[CUIT]]="","-",VLOOKUP(compras_mes1[[#This Row],[CUIT]],Lista_CUIT[#All],3,0)),"CUIT NO CARGADO")</f>
        <v>MESAJERIA</v>
      </c>
      <c r="R118" s="49">
        <f>IFERROR(IF(compras_mes1[[#This Row],[CUIT]]="","-",VLOOKUP(compras_mes1[[#This Row],[CUIT]],Lista_CUIT[#All],4,0)),"CUIT NO CARGADO")</f>
        <v>0</v>
      </c>
    </row>
    <row r="119" spans="2:18" x14ac:dyDescent="0.3">
      <c r="B119" s="40">
        <v>44957</v>
      </c>
      <c r="C119" s="41">
        <v>1</v>
      </c>
      <c r="D119" s="42">
        <v>3034</v>
      </c>
      <c r="E119" s="43">
        <v>3128254</v>
      </c>
      <c r="F119" s="44">
        <v>30708574836</v>
      </c>
      <c r="G119" s="45" t="str">
        <f>IFERROR(IF(compras_mes1[[#This Row],[CUIT]]="","-",VLOOKUP(compras_mes1[[#This Row],[CUIT]],Lista_CUIT[#All],2,0)),"CUIT NO CARGADO")</f>
        <v>CORREO OFICIAL DE LA REPUBLICA ARGENTINA SOCIEDAD ANONIMA</v>
      </c>
      <c r="H119" s="46">
        <v>872.25</v>
      </c>
      <c r="I119" s="85">
        <f>IF(compras_mes1[[#This Row],[NETO GRAVADO]]="","",compras_mes1[[#This Row],[NETO GRAVADO]]*0.21)</f>
        <v>183.17249999999999</v>
      </c>
      <c r="J119" s="85"/>
      <c r="K119" s="85"/>
      <c r="L119" s="85"/>
      <c r="M119" s="85"/>
      <c r="N119" s="85"/>
      <c r="O119" s="85"/>
      <c r="P119" s="48">
        <f>SUM(compras_mes1[[#This Row],[NETO GRAVADO]:[Otros / No Grav.]])</f>
        <v>1055.4224999999999</v>
      </c>
      <c r="Q119" s="49" t="str">
        <f>IFERROR(IF(compras_mes1[[#This Row],[CUIT]]="","-",VLOOKUP(compras_mes1[[#This Row],[CUIT]],Lista_CUIT[#All],3,0)),"CUIT NO CARGADO")</f>
        <v>MESAJERIA</v>
      </c>
      <c r="R119" s="49">
        <f>IFERROR(IF(compras_mes1[[#This Row],[CUIT]]="","-",VLOOKUP(compras_mes1[[#This Row],[CUIT]],Lista_CUIT[#All],4,0)),"CUIT NO CARGADO")</f>
        <v>0</v>
      </c>
    </row>
    <row r="120" spans="2:18" x14ac:dyDescent="0.3">
      <c r="B120" s="89">
        <v>44929</v>
      </c>
      <c r="C120" s="41">
        <v>1</v>
      </c>
      <c r="D120" s="91">
        <v>943</v>
      </c>
      <c r="E120" s="92">
        <v>1321818</v>
      </c>
      <c r="F120" s="93">
        <v>30639453975</v>
      </c>
      <c r="G120" s="94" t="str">
        <f>IFERROR(IF(compras_mes1[[#This Row],[CUIT]]="","-",VLOOKUP(compras_mes1[[#This Row],[CUIT]],Lista_CUIT[#All],2,0)),"CUIT NO CARGADO")</f>
        <v>TELEFONICA DE ARG S.A.</v>
      </c>
      <c r="H120" s="95">
        <v>15156.49</v>
      </c>
      <c r="I120" s="85"/>
      <c r="J120" s="86">
        <v>4092.25</v>
      </c>
      <c r="K120" s="86"/>
      <c r="L120" s="86">
        <v>454.69</v>
      </c>
      <c r="M120" s="86"/>
      <c r="N120" s="86">
        <v>909.39</v>
      </c>
      <c r="O120" s="86"/>
      <c r="P120" s="87">
        <f>SUM(compras_mes1[[#This Row],[NETO GRAVADO]:[Otros / No Grav.]])</f>
        <v>20612.819999999996</v>
      </c>
      <c r="Q120" s="88" t="str">
        <f>IFERROR(IF(compras_mes1[[#This Row],[CUIT]]="","-",VLOOKUP(compras_mes1[[#This Row],[CUIT]],Lista_CUIT[#All],3,0)),"CUIT NO CARGADO")</f>
        <v>Servicios Gas, Luz, etc.</v>
      </c>
      <c r="R120" s="88">
        <f>IFERROR(IF(compras_mes1[[#This Row],[CUIT]]="","-",VLOOKUP(compras_mes1[[#This Row],[CUIT]],Lista_CUIT[#All],4,0)),"CUIT NO CARGADO")</f>
        <v>0</v>
      </c>
    </row>
    <row r="121" spans="2:18" x14ac:dyDescent="0.3">
      <c r="B121" s="40">
        <v>44935</v>
      </c>
      <c r="C121" s="41">
        <v>1</v>
      </c>
      <c r="D121" s="42">
        <v>948</v>
      </c>
      <c r="E121" s="43">
        <v>853955</v>
      </c>
      <c r="F121" s="44">
        <v>30639453975</v>
      </c>
      <c r="G121" s="45" t="str">
        <f>IFERROR(IF(compras_mes1[[#This Row],[CUIT]]="","-",VLOOKUP(compras_mes1[[#This Row],[CUIT]],Lista_CUIT[#All],2,0)),"CUIT NO CARGADO")</f>
        <v>TELEFONICA DE ARG S.A.</v>
      </c>
      <c r="H121" s="46">
        <v>4256.13</v>
      </c>
      <c r="I121" s="85"/>
      <c r="J121" s="85">
        <v>1149.1551000000002</v>
      </c>
      <c r="K121" s="85"/>
      <c r="L121" s="85">
        <v>127.68</v>
      </c>
      <c r="M121" s="85"/>
      <c r="N121" s="85">
        <v>255.37</v>
      </c>
      <c r="O121" s="85"/>
      <c r="P121" s="48">
        <f>SUM(compras_mes1[[#This Row],[NETO GRAVADO]:[Otros / No Grav.]])</f>
        <v>5788.3351000000002</v>
      </c>
      <c r="Q121" s="49" t="str">
        <f>IFERROR(IF(compras_mes1[[#This Row],[CUIT]]="","-",VLOOKUP(compras_mes1[[#This Row],[CUIT]],Lista_CUIT[#All],3,0)),"CUIT NO CARGADO")</f>
        <v>Servicios Gas, Luz, etc.</v>
      </c>
      <c r="R121" s="49">
        <f>IFERROR(IF(compras_mes1[[#This Row],[CUIT]]="","-",VLOOKUP(compras_mes1[[#This Row],[CUIT]],Lista_CUIT[#All],4,0)),"CUIT NO CARGADO")</f>
        <v>0</v>
      </c>
    </row>
    <row r="122" spans="2:18" x14ac:dyDescent="0.3">
      <c r="B122" s="40">
        <v>44936</v>
      </c>
      <c r="C122" s="41">
        <v>1</v>
      </c>
      <c r="D122" s="42">
        <v>6</v>
      </c>
      <c r="E122" s="43">
        <v>13478652</v>
      </c>
      <c r="F122" s="44">
        <v>30620177497</v>
      </c>
      <c r="G122" s="45" t="str">
        <f>IFERROR(IF(compras_mes1[[#This Row],[CUIT]]="","-",VLOOKUP(compras_mes1[[#This Row],[CUIT]],Lista_CUIT[#All],2,0)),"CUIT NO CARGADO")</f>
        <v>POSNET SRL</v>
      </c>
      <c r="H122" s="46">
        <v>10185</v>
      </c>
      <c r="I122" s="85">
        <f>IF(compras_mes1[[#This Row],[NETO GRAVADO]]="","",compras_mes1[[#This Row],[NETO GRAVADO]]*0.21)</f>
        <v>2138.85</v>
      </c>
      <c r="J122" s="85"/>
      <c r="K122" s="85"/>
      <c r="L122" s="85"/>
      <c r="M122" s="85"/>
      <c r="N122" s="85">
        <v>916.65</v>
      </c>
      <c r="O122" s="85"/>
      <c r="P122" s="48">
        <f>SUM(compras_mes1[[#This Row],[NETO GRAVADO]:[Otros / No Grav.]])</f>
        <v>13240.5</v>
      </c>
      <c r="Q122" s="49" t="str">
        <f>IFERROR(IF(compras_mes1[[#This Row],[CUIT]]="","-",VLOOKUP(compras_mes1[[#This Row],[CUIT]],Lista_CUIT[#All],3,0)),"CUIT NO CARGADO")</f>
        <v>Servicios Gas, Luz, etc.</v>
      </c>
      <c r="R122" s="49">
        <f>IFERROR(IF(compras_mes1[[#This Row],[CUIT]]="","-",VLOOKUP(compras_mes1[[#This Row],[CUIT]],Lista_CUIT[#All],4,0)),"CUIT NO CARGADO")</f>
        <v>0</v>
      </c>
    </row>
    <row r="123" spans="2:18" x14ac:dyDescent="0.3">
      <c r="B123" s="40">
        <v>44936</v>
      </c>
      <c r="C123" s="41">
        <v>1</v>
      </c>
      <c r="D123" s="42">
        <v>6</v>
      </c>
      <c r="E123" s="43">
        <v>13467996</v>
      </c>
      <c r="F123" s="44">
        <v>30620177497</v>
      </c>
      <c r="G123" s="45" t="str">
        <f>IFERROR(IF(compras_mes1[[#This Row],[CUIT]]="","-",VLOOKUP(compras_mes1[[#This Row],[CUIT]],Lista_CUIT[#All],2,0)),"CUIT NO CARGADO")</f>
        <v>POSNET SRL</v>
      </c>
      <c r="H123" s="46">
        <v>3395</v>
      </c>
      <c r="I123" s="85">
        <f>IF(compras_mes1[[#This Row],[NETO GRAVADO]]="","",compras_mes1[[#This Row],[NETO GRAVADO]]*0.21)</f>
        <v>712.94999999999993</v>
      </c>
      <c r="J123" s="85"/>
      <c r="K123" s="85"/>
      <c r="L123" s="85"/>
      <c r="M123" s="85"/>
      <c r="N123" s="85">
        <v>305.55</v>
      </c>
      <c r="O123" s="85"/>
      <c r="P123" s="48">
        <f>SUM(compras_mes1[[#This Row],[NETO GRAVADO]:[Otros / No Grav.]])</f>
        <v>4413.5</v>
      </c>
      <c r="Q123" s="49" t="str">
        <f>IFERROR(IF(compras_mes1[[#This Row],[CUIT]]="","-",VLOOKUP(compras_mes1[[#This Row],[CUIT]],Lista_CUIT[#All],3,0)),"CUIT NO CARGADO")</f>
        <v>Servicios Gas, Luz, etc.</v>
      </c>
      <c r="R123" s="49">
        <f>IFERROR(IF(compras_mes1[[#This Row],[CUIT]]="","-",VLOOKUP(compras_mes1[[#This Row],[CUIT]],Lista_CUIT[#All],4,0)),"CUIT NO CARGADO")</f>
        <v>0</v>
      </c>
    </row>
    <row r="124" spans="2:18" x14ac:dyDescent="0.3">
      <c r="B124" s="40">
        <v>44936</v>
      </c>
      <c r="C124" s="41">
        <v>1</v>
      </c>
      <c r="D124" s="42">
        <v>6</v>
      </c>
      <c r="E124" s="43">
        <v>13468009</v>
      </c>
      <c r="F124" s="44">
        <v>30620177497</v>
      </c>
      <c r="G124" s="45" t="str">
        <f>IFERROR(IF(compras_mes1[[#This Row],[CUIT]]="","-",VLOOKUP(compras_mes1[[#This Row],[CUIT]],Lista_CUIT[#All],2,0)),"CUIT NO CARGADO")</f>
        <v>POSNET SRL</v>
      </c>
      <c r="H124" s="46">
        <v>3395</v>
      </c>
      <c r="I124" s="85">
        <f>IF(compras_mes1[[#This Row],[NETO GRAVADO]]="","",compras_mes1[[#This Row],[NETO GRAVADO]]*0.21)</f>
        <v>712.94999999999993</v>
      </c>
      <c r="J124" s="85"/>
      <c r="K124" s="85"/>
      <c r="L124" s="85"/>
      <c r="M124" s="85"/>
      <c r="N124" s="85">
        <v>305.55</v>
      </c>
      <c r="O124" s="85"/>
      <c r="P124" s="48">
        <f>SUM(compras_mes1[[#This Row],[NETO GRAVADO]:[Otros / No Grav.]])</f>
        <v>4413.5</v>
      </c>
      <c r="Q124" s="49" t="str">
        <f>IFERROR(IF(compras_mes1[[#This Row],[CUIT]]="","-",VLOOKUP(compras_mes1[[#This Row],[CUIT]],Lista_CUIT[#All],3,0)),"CUIT NO CARGADO")</f>
        <v>Servicios Gas, Luz, etc.</v>
      </c>
      <c r="R124" s="49">
        <f>IFERROR(IF(compras_mes1[[#This Row],[CUIT]]="","-",VLOOKUP(compras_mes1[[#This Row],[CUIT]],Lista_CUIT[#All],4,0)),"CUIT NO CARGADO")</f>
        <v>0</v>
      </c>
    </row>
    <row r="125" spans="2:18" x14ac:dyDescent="0.3">
      <c r="B125" s="40">
        <v>44936</v>
      </c>
      <c r="C125" s="41">
        <v>1</v>
      </c>
      <c r="D125" s="42">
        <v>6</v>
      </c>
      <c r="E125" s="43">
        <v>13460006</v>
      </c>
      <c r="F125" s="44">
        <v>30620177497</v>
      </c>
      <c r="G125" s="45" t="str">
        <f>IFERROR(IF(compras_mes1[[#This Row],[CUIT]]="","-",VLOOKUP(compras_mes1[[#This Row],[CUIT]],Lista_CUIT[#All],2,0)),"CUIT NO CARGADO")</f>
        <v>POSNET SRL</v>
      </c>
      <c r="H125" s="46">
        <v>3395</v>
      </c>
      <c r="I125" s="85">
        <f>IF(compras_mes1[[#This Row],[NETO GRAVADO]]="","",compras_mes1[[#This Row],[NETO GRAVADO]]*0.21)</f>
        <v>712.94999999999993</v>
      </c>
      <c r="J125" s="85"/>
      <c r="K125" s="85"/>
      <c r="L125" s="85"/>
      <c r="M125" s="85"/>
      <c r="N125" s="85">
        <v>305.55</v>
      </c>
      <c r="O125" s="85"/>
      <c r="P125" s="48">
        <f>SUM(compras_mes1[[#This Row],[NETO GRAVADO]:[Otros / No Grav.]])</f>
        <v>4413.5</v>
      </c>
      <c r="Q125" s="49" t="str">
        <f>IFERROR(IF(compras_mes1[[#This Row],[CUIT]]="","-",VLOOKUP(compras_mes1[[#This Row],[CUIT]],Lista_CUIT[#All],3,0)),"CUIT NO CARGADO")</f>
        <v>Servicios Gas, Luz, etc.</v>
      </c>
      <c r="R125" s="49">
        <f>IFERROR(IF(compras_mes1[[#This Row],[CUIT]]="","-",VLOOKUP(compras_mes1[[#This Row],[CUIT]],Lista_CUIT[#All],4,0)),"CUIT NO CARGADO")</f>
        <v>0</v>
      </c>
    </row>
    <row r="126" spans="2:18" x14ac:dyDescent="0.3">
      <c r="B126" s="40">
        <v>44936</v>
      </c>
      <c r="C126" s="41">
        <v>1</v>
      </c>
      <c r="D126" s="42">
        <v>6364</v>
      </c>
      <c r="E126" s="43">
        <v>7146342</v>
      </c>
      <c r="F126" s="44">
        <v>30639453738</v>
      </c>
      <c r="G126" s="45" t="str">
        <f>IFERROR(IF(compras_mes1[[#This Row],[CUIT]]="","-",VLOOKUP(compras_mes1[[#This Row],[CUIT]],Lista_CUIT[#All],2,0)),"CUIT NO CARGADO")</f>
        <v>TELECOM ARG SA</v>
      </c>
      <c r="H126" s="46">
        <v>61051.81</v>
      </c>
      <c r="I126" s="85">
        <v>12427.24</v>
      </c>
      <c r="J126" s="85">
        <v>506.12</v>
      </c>
      <c r="K126" s="85"/>
      <c r="L126" s="85"/>
      <c r="M126" s="85">
        <v>1831.55</v>
      </c>
      <c r="N126" s="85">
        <v>3388.87</v>
      </c>
      <c r="O126" s="85">
        <v>98.65</v>
      </c>
      <c r="P126" s="48">
        <f>SUM(compras_mes1[[#This Row],[NETO GRAVADO]:[Otros / No Grav.]])</f>
        <v>79304.239999999991</v>
      </c>
      <c r="Q126" s="49" t="str">
        <f>IFERROR(IF(compras_mes1[[#This Row],[CUIT]]="","-",VLOOKUP(compras_mes1[[#This Row],[CUIT]],Lista_CUIT[#All],3,0)),"CUIT NO CARGADO")</f>
        <v>Servicios Gas, Luz, etc.</v>
      </c>
      <c r="R126" s="49">
        <f>IFERROR(IF(compras_mes1[[#This Row],[CUIT]]="","-",VLOOKUP(compras_mes1[[#This Row],[CUIT]],Lista_CUIT[#All],4,0)),"CUIT NO CARGADO")</f>
        <v>0</v>
      </c>
    </row>
    <row r="127" spans="2:18" x14ac:dyDescent="0.3">
      <c r="B127" s="40">
        <v>44941</v>
      </c>
      <c r="C127" s="41">
        <v>1</v>
      </c>
      <c r="D127" s="42">
        <v>4264</v>
      </c>
      <c r="E127" s="43">
        <v>1127633</v>
      </c>
      <c r="F127" s="44">
        <v>30639453738</v>
      </c>
      <c r="G127" s="45" t="str">
        <f>IFERROR(IF(compras_mes1[[#This Row],[CUIT]]="","-",VLOOKUP(compras_mes1[[#This Row],[CUIT]],Lista_CUIT[#All],2,0)),"CUIT NO CARGADO")</f>
        <v>TELECOM ARG SA</v>
      </c>
      <c r="H127" s="46">
        <v>7850</v>
      </c>
      <c r="I127" s="85">
        <f>IF(compras_mes1[[#This Row],[NETO GRAVADO]]="","",compras_mes1[[#This Row],[NETO GRAVADO]]*0.21)</f>
        <v>1648.5</v>
      </c>
      <c r="J127" s="85"/>
      <c r="K127" s="85"/>
      <c r="L127" s="85"/>
      <c r="M127" s="85"/>
      <c r="N127" s="85">
        <v>235.5</v>
      </c>
      <c r="O127" s="85"/>
      <c r="P127" s="48">
        <f>SUM(compras_mes1[[#This Row],[NETO GRAVADO]:[Otros / No Grav.]])</f>
        <v>9734</v>
      </c>
      <c r="Q127" s="49" t="str">
        <f>IFERROR(IF(compras_mes1[[#This Row],[CUIT]]="","-",VLOOKUP(compras_mes1[[#This Row],[CUIT]],Lista_CUIT[#All],3,0)),"CUIT NO CARGADO")</f>
        <v>Servicios Gas, Luz, etc.</v>
      </c>
      <c r="R127" s="49">
        <f>IFERROR(IF(compras_mes1[[#This Row],[CUIT]]="","-",VLOOKUP(compras_mes1[[#This Row],[CUIT]],Lista_CUIT[#All],4,0)),"CUIT NO CARGADO")</f>
        <v>0</v>
      </c>
    </row>
    <row r="128" spans="2:18" x14ac:dyDescent="0.3">
      <c r="B128" s="40">
        <v>44941</v>
      </c>
      <c r="C128" s="41">
        <v>1</v>
      </c>
      <c r="D128" s="42">
        <v>4264</v>
      </c>
      <c r="E128" s="43">
        <v>1122466</v>
      </c>
      <c r="F128" s="44">
        <v>30639453738</v>
      </c>
      <c r="G128" s="45" t="str">
        <f>IFERROR(IF(compras_mes1[[#This Row],[CUIT]]="","-",VLOOKUP(compras_mes1[[#This Row],[CUIT]],Lista_CUIT[#All],2,0)),"CUIT NO CARGADO")</f>
        <v>TELECOM ARG SA</v>
      </c>
      <c r="H128" s="46">
        <v>10500</v>
      </c>
      <c r="I128" s="85">
        <f>IF(compras_mes1[[#This Row],[NETO GRAVADO]]="","",compras_mes1[[#This Row],[NETO GRAVADO]]*0.21)</f>
        <v>2205</v>
      </c>
      <c r="J128" s="85"/>
      <c r="K128" s="85"/>
      <c r="L128" s="85"/>
      <c r="M128" s="85"/>
      <c r="N128" s="85">
        <v>945</v>
      </c>
      <c r="O128" s="85"/>
      <c r="P128" s="48">
        <f>SUM(compras_mes1[[#This Row],[NETO GRAVADO]:[Otros / No Grav.]])</f>
        <v>13650</v>
      </c>
      <c r="Q128" s="49" t="str">
        <f>IFERROR(IF(compras_mes1[[#This Row],[CUIT]]="","-",VLOOKUP(compras_mes1[[#This Row],[CUIT]],Lista_CUIT[#All],3,0)),"CUIT NO CARGADO")</f>
        <v>Servicios Gas, Luz, etc.</v>
      </c>
      <c r="R128" s="49">
        <f>IFERROR(IF(compras_mes1[[#This Row],[CUIT]]="","-",VLOOKUP(compras_mes1[[#This Row],[CUIT]],Lista_CUIT[#All],4,0)),"CUIT NO CARGADO")</f>
        <v>0</v>
      </c>
    </row>
    <row r="129" spans="2:18" x14ac:dyDescent="0.3">
      <c r="B129" s="40">
        <v>44941</v>
      </c>
      <c r="C129" s="41">
        <v>1</v>
      </c>
      <c r="D129" s="42">
        <v>4264</v>
      </c>
      <c r="E129" s="43">
        <v>1171353</v>
      </c>
      <c r="F129" s="44">
        <v>30639453738</v>
      </c>
      <c r="G129" s="45" t="str">
        <f>IFERROR(IF(compras_mes1[[#This Row],[CUIT]]="","-",VLOOKUP(compras_mes1[[#This Row],[CUIT]],Lista_CUIT[#All],2,0)),"CUIT NO CARGADO")</f>
        <v>TELECOM ARG SA</v>
      </c>
      <c r="H129" s="46">
        <v>16500</v>
      </c>
      <c r="I129" s="85">
        <f>IF(compras_mes1[[#This Row],[NETO GRAVADO]]="","",compras_mes1[[#This Row],[NETO GRAVADO]]*0.21)</f>
        <v>3465</v>
      </c>
      <c r="J129" s="85"/>
      <c r="K129" s="85"/>
      <c r="L129" s="85"/>
      <c r="M129" s="85"/>
      <c r="N129" s="85">
        <v>1485</v>
      </c>
      <c r="O129" s="85"/>
      <c r="P129" s="48">
        <f>SUM(compras_mes1[[#This Row],[NETO GRAVADO]:[Otros / No Grav.]])</f>
        <v>21450</v>
      </c>
      <c r="Q129" s="49" t="str">
        <f>IFERROR(IF(compras_mes1[[#This Row],[CUIT]]="","-",VLOOKUP(compras_mes1[[#This Row],[CUIT]],Lista_CUIT[#All],3,0)),"CUIT NO CARGADO")</f>
        <v>Servicios Gas, Luz, etc.</v>
      </c>
      <c r="R129" s="49">
        <f>IFERROR(IF(compras_mes1[[#This Row],[CUIT]]="","-",VLOOKUP(compras_mes1[[#This Row],[CUIT]],Lista_CUIT[#All],4,0)),"CUIT NO CARGADO")</f>
        <v>0</v>
      </c>
    </row>
    <row r="130" spans="2:18" x14ac:dyDescent="0.3">
      <c r="B130" s="40">
        <v>44946</v>
      </c>
      <c r="C130" s="41">
        <v>1</v>
      </c>
      <c r="D130" s="42">
        <v>5</v>
      </c>
      <c r="E130" s="43">
        <v>2688956</v>
      </c>
      <c r="F130" s="44">
        <v>30702652975</v>
      </c>
      <c r="G130" s="45" t="str">
        <f>IFERROR(IF(compras_mes1[[#This Row],[CUIT]]="","-",VLOOKUP(compras_mes1[[#This Row],[CUIT]],Lista_CUIT[#All],2,0)),"CUIT NO CARGADO")</f>
        <v>NSS SA</v>
      </c>
      <c r="H130" s="46">
        <v>5407.02</v>
      </c>
      <c r="I130" s="85">
        <f>IF(compras_mes1[[#This Row],[NETO GRAVADO]]="","",compras_mes1[[#This Row],[NETO GRAVADO]]*0.21)</f>
        <v>1135.4742000000001</v>
      </c>
      <c r="J130" s="85"/>
      <c r="K130" s="85"/>
      <c r="L130" s="85"/>
      <c r="M130" s="85"/>
      <c r="N130" s="85">
        <v>324.42</v>
      </c>
      <c r="O130" s="85"/>
      <c r="P130" s="48">
        <f>SUM(compras_mes1[[#This Row],[NETO GRAVADO]:[Otros / No Grav.]])</f>
        <v>6866.9142000000011</v>
      </c>
      <c r="Q130" s="49" t="str">
        <f>IFERROR(IF(compras_mes1[[#This Row],[CUIT]]="","-",VLOOKUP(compras_mes1[[#This Row],[CUIT]],Lista_CUIT[#All],3,0)),"CUIT NO CARGADO")</f>
        <v>Servicios Gas, Luz, etc.</v>
      </c>
      <c r="R130" s="49">
        <f>IFERROR(IF(compras_mes1[[#This Row],[CUIT]]="","-",VLOOKUP(compras_mes1[[#This Row],[CUIT]],Lista_CUIT[#All],4,0)),"CUIT NO CARGADO")</f>
        <v>0</v>
      </c>
    </row>
    <row r="131" spans="2:18" x14ac:dyDescent="0.3">
      <c r="B131" s="96" t="s">
        <v>103</v>
      </c>
      <c r="C131" s="96"/>
      <c r="D131" s="96"/>
      <c r="E131" s="96"/>
      <c r="F131" s="96"/>
      <c r="G131" s="97"/>
      <c r="H131" s="98">
        <f>SUBTOTAL(109,compras_mes1[NETO GRAVADO])</f>
        <v>15526347.58</v>
      </c>
      <c r="I131" s="98">
        <f>SUBTOTAL(109,compras_mes1[IVA 21 %])</f>
        <v>3085985.9716000007</v>
      </c>
      <c r="J131" s="98">
        <f>SUBTOTAL(109,compras_mes1[IVA 27%])</f>
        <v>68649.075099999987</v>
      </c>
      <c r="K131" s="98">
        <f>SUBTOTAL(109,compras_mes1[IVA 10,5%])</f>
        <v>24406.696399999993</v>
      </c>
      <c r="L131" s="98">
        <f>SUBTOTAL(109,compras_mes1[PERC. IVA])</f>
        <v>3231.6699999999996</v>
      </c>
      <c r="M131" s="98">
        <f>SUBTOTAL(109,compras_mes1[PERC IIBB 
BS AS])</f>
        <v>11668.869999999999</v>
      </c>
      <c r="N131" s="98">
        <f>SUBTOTAL(109,compras_mes1[PERC. IIBB CABA])</f>
        <v>173908.63999999996</v>
      </c>
      <c r="O131" s="98">
        <f>SUBTOTAL(109,compras_mes1[Otros / No Grav.])</f>
        <v>42976.689999999995</v>
      </c>
      <c r="P131" s="98">
        <f>SUBTOTAL(109,compras_mes1[TOTAL])</f>
        <v>18937175.193099994</v>
      </c>
      <c r="Q131" s="96"/>
      <c r="R131" s="96"/>
    </row>
    <row r="132" spans="2:18" x14ac:dyDescent="0.3">
      <c r="B132" s="40"/>
      <c r="C132" s="41"/>
      <c r="D132" s="42"/>
      <c r="E132" s="43"/>
      <c r="F132" s="44"/>
      <c r="G132" s="45"/>
      <c r="H132" s="46"/>
      <c r="I132" s="47"/>
      <c r="J132" s="47"/>
      <c r="K132" s="47"/>
      <c r="L132" s="47"/>
      <c r="M132" s="47"/>
      <c r="N132" s="47"/>
      <c r="O132" s="47"/>
      <c r="P132" s="48"/>
      <c r="Q132" s="49"/>
      <c r="R132" s="49"/>
    </row>
    <row r="133" spans="2:18" x14ac:dyDescent="0.3">
      <c r="B133" s="40"/>
      <c r="C133" s="41"/>
      <c r="D133" s="42"/>
      <c r="E133" s="43"/>
      <c r="F133" s="44"/>
      <c r="G133" s="45"/>
      <c r="H133" s="46"/>
      <c r="I133" s="47"/>
      <c r="J133" s="47"/>
      <c r="K133" s="47"/>
      <c r="L133" s="47"/>
      <c r="M133" s="47"/>
      <c r="N133" s="47"/>
      <c r="O133" s="47"/>
      <c r="P133" s="48"/>
      <c r="Q133" s="49"/>
      <c r="R133" s="49"/>
    </row>
    <row r="134" spans="2:18" x14ac:dyDescent="0.3">
      <c r="B134" s="40"/>
      <c r="C134" s="41"/>
      <c r="D134" s="42"/>
      <c r="E134" s="43"/>
      <c r="F134" s="44"/>
      <c r="G134" s="45"/>
      <c r="H134" s="46"/>
      <c r="I134" s="47"/>
      <c r="J134" s="47"/>
      <c r="K134" s="47"/>
      <c r="L134" s="47"/>
      <c r="M134" s="47"/>
      <c r="N134" s="47"/>
      <c r="O134" s="47"/>
      <c r="P134" s="48"/>
      <c r="Q134" s="49"/>
      <c r="R134" s="49"/>
    </row>
    <row r="135" spans="2:18" x14ac:dyDescent="0.3">
      <c r="B135" s="40"/>
      <c r="C135" s="41"/>
      <c r="D135" s="42"/>
      <c r="E135" s="43"/>
      <c r="F135" s="44"/>
      <c r="G135" s="45"/>
      <c r="H135" s="46"/>
      <c r="I135" s="47"/>
      <c r="J135" s="47"/>
      <c r="K135" s="47"/>
      <c r="L135" s="47"/>
    </row>
    <row r="136" spans="2:18" ht="21" x14ac:dyDescent="0.3">
      <c r="D136" s="653" t="s">
        <v>15</v>
      </c>
      <c r="E136" s="653"/>
      <c r="F136" s="653"/>
      <c r="G136" s="653"/>
      <c r="H136" s="653"/>
      <c r="I136" s="653"/>
      <c r="J136" s="653"/>
      <c r="K136" s="653"/>
      <c r="L136" s="653"/>
    </row>
    <row r="137" spans="2:18" ht="15.6" x14ac:dyDescent="0.3">
      <c r="D137" s="73" t="s">
        <v>0</v>
      </c>
      <c r="E137" s="74" t="s">
        <v>26</v>
      </c>
      <c r="F137" s="74" t="s">
        <v>16</v>
      </c>
      <c r="G137" s="74" t="s">
        <v>5</v>
      </c>
      <c r="H137" s="74" t="s">
        <v>17</v>
      </c>
      <c r="I137" s="74" t="s">
        <v>7</v>
      </c>
      <c r="J137" s="75" t="s">
        <v>18</v>
      </c>
      <c r="K137" s="75" t="s">
        <v>19</v>
      </c>
      <c r="L137" s="76" t="s">
        <v>20</v>
      </c>
    </row>
    <row r="138" spans="2:18" x14ac:dyDescent="0.3">
      <c r="D138" s="50">
        <v>44957</v>
      </c>
      <c r="E138" s="270">
        <v>310123</v>
      </c>
      <c r="F138" s="276" t="s">
        <v>115</v>
      </c>
      <c r="G138" s="81">
        <v>16660.190476190477</v>
      </c>
      <c r="H138" s="81">
        <f>extracto_banco_mes1[[#This Row],[NETO]]*0.21</f>
        <v>3498.64</v>
      </c>
      <c r="I138" s="81"/>
      <c r="J138" s="81">
        <v>836.1</v>
      </c>
      <c r="K138" s="81">
        <v>397.05</v>
      </c>
      <c r="L138" s="81"/>
    </row>
    <row r="139" spans="2:18" x14ac:dyDescent="0.3">
      <c r="D139" s="50">
        <v>44957</v>
      </c>
      <c r="E139" s="270">
        <v>123310</v>
      </c>
      <c r="F139" s="276" t="s">
        <v>1597</v>
      </c>
      <c r="G139" s="81"/>
      <c r="H139" s="81"/>
      <c r="I139" s="81"/>
      <c r="J139" s="81"/>
      <c r="K139" s="81"/>
      <c r="L139" s="81"/>
    </row>
    <row r="140" spans="2:18" x14ac:dyDescent="0.3">
      <c r="D140" s="50">
        <v>44957</v>
      </c>
      <c r="E140" s="270">
        <v>201023</v>
      </c>
      <c r="F140" s="276" t="s">
        <v>1598</v>
      </c>
      <c r="G140" s="81">
        <v>17495</v>
      </c>
      <c r="H140" s="81">
        <f>extracto_banco_mes1[[#This Row],[NETO]]*0.21</f>
        <v>3673.95</v>
      </c>
      <c r="I140" s="81"/>
      <c r="J140" s="81"/>
      <c r="K140" s="81">
        <v>524.85</v>
      </c>
      <c r="L140" s="81"/>
    </row>
    <row r="141" spans="2:18" x14ac:dyDescent="0.3">
      <c r="D141" s="50">
        <v>44957</v>
      </c>
      <c r="E141" s="80">
        <v>311022</v>
      </c>
      <c r="F141" s="277" t="s">
        <v>116</v>
      </c>
      <c r="G141" s="81">
        <v>496</v>
      </c>
      <c r="H141" s="81">
        <f>extracto_banco_mes1[[#This Row],[NETO]]*0.21</f>
        <v>104.16</v>
      </c>
      <c r="I141" s="81"/>
      <c r="J141" s="81"/>
      <c r="K141" s="81"/>
      <c r="L141" s="81"/>
    </row>
    <row r="142" spans="2:18" x14ac:dyDescent="0.3">
      <c r="D142" s="50">
        <v>44957</v>
      </c>
      <c r="E142" s="80">
        <v>252310</v>
      </c>
      <c r="F142" s="277" t="s">
        <v>1599</v>
      </c>
      <c r="G142" s="81">
        <v>500</v>
      </c>
      <c r="H142" s="81">
        <f>extracto_banco_mes1[[#This Row],[NETO]]*0.21</f>
        <v>105</v>
      </c>
      <c r="I142" s="81"/>
      <c r="J142" s="81">
        <v>1360.85</v>
      </c>
      <c r="K142" s="81"/>
      <c r="L142" s="81"/>
    </row>
    <row r="143" spans="2:18" x14ac:dyDescent="0.3">
      <c r="D143" s="50">
        <v>44957</v>
      </c>
      <c r="E143" s="80">
        <v>102233</v>
      </c>
      <c r="F143" s="277" t="s">
        <v>1600</v>
      </c>
      <c r="G143" s="81">
        <v>496</v>
      </c>
      <c r="H143" s="81">
        <f>extracto_banco_mes1[[#This Row],[NETO]]*0.21</f>
        <v>104.16</v>
      </c>
      <c r="I143" s="81"/>
      <c r="J143" s="81"/>
      <c r="K143" s="81"/>
      <c r="L143" s="81"/>
    </row>
    <row r="144" spans="2:18" x14ac:dyDescent="0.3">
      <c r="D144" s="50">
        <v>44957</v>
      </c>
      <c r="E144" s="80">
        <v>102533</v>
      </c>
      <c r="F144" s="277" t="s">
        <v>118</v>
      </c>
      <c r="G144" s="81">
        <v>5840.0000000000009</v>
      </c>
      <c r="H144" s="81">
        <f>extracto_banco_mes1[[#This Row],[NETO]]*0.21</f>
        <v>1226.4000000000001</v>
      </c>
      <c r="I144" s="81"/>
      <c r="J144" s="81">
        <v>337.5</v>
      </c>
      <c r="K144" s="81">
        <v>168.75</v>
      </c>
      <c r="L144" s="81"/>
    </row>
    <row r="145" spans="4:12" x14ac:dyDescent="0.3">
      <c r="D145" s="82" t="s">
        <v>103</v>
      </c>
      <c r="E145" s="80"/>
      <c r="F145" s="80"/>
      <c r="G145" s="83">
        <f>SUBTOTAL(109,extracto_banco_mes1[NETO])</f>
        <v>41487.190476190473</v>
      </c>
      <c r="H145" s="83">
        <f>SUBTOTAL(109,extracto_banco_mes1[IVA 21%])</f>
        <v>8712.31</v>
      </c>
      <c r="I145" s="83">
        <f>SUBTOTAL(109,extracto_banco_mes1[IVA 10,5%])</f>
        <v>0</v>
      </c>
      <c r="J145" s="83">
        <f>SUBTOTAL(109,extracto_banco_mes1[RET IIBB CABA])</f>
        <v>2534.4499999999998</v>
      </c>
      <c r="K145" s="83">
        <f>SUBTOTAL(109,extracto_banco_mes1[PERC IVA])</f>
        <v>1090.6500000000001</v>
      </c>
      <c r="L145" s="83">
        <f>SUBTOTAL(109,extracto_banco_mes1[PERC IIBB])</f>
        <v>0</v>
      </c>
    </row>
    <row r="148" spans="4:12" ht="21" x14ac:dyDescent="0.3">
      <c r="D148" s="653" t="s">
        <v>25</v>
      </c>
      <c r="E148" s="653"/>
      <c r="F148" s="653"/>
      <c r="G148" s="653"/>
      <c r="H148" s="653"/>
      <c r="I148" s="653"/>
      <c r="J148" s="653"/>
      <c r="K148" s="653"/>
    </row>
    <row r="149" spans="4:12" x14ac:dyDescent="0.3">
      <c r="D149" s="51" t="s">
        <v>0</v>
      </c>
      <c r="E149" s="51" t="s">
        <v>2</v>
      </c>
      <c r="F149" s="51" t="s">
        <v>74</v>
      </c>
      <c r="G149" s="51" t="s">
        <v>3</v>
      </c>
      <c r="H149" s="51" t="s">
        <v>4</v>
      </c>
      <c r="I149" s="52" t="s">
        <v>10</v>
      </c>
      <c r="J149" s="51" t="s">
        <v>13</v>
      </c>
      <c r="K149" s="51" t="s">
        <v>38</v>
      </c>
    </row>
    <row r="150" spans="4:12" x14ac:dyDescent="0.3">
      <c r="D150" s="50">
        <v>44913</v>
      </c>
      <c r="E150" s="149">
        <v>2468</v>
      </c>
      <c r="F150" s="149">
        <v>49735394</v>
      </c>
      <c r="G150" s="44">
        <v>30678814357</v>
      </c>
      <c r="H150" s="53" t="str">
        <f>IFERROR(IF(factura_c_mes1[[#This Row],[CUIT]]="","-",VLOOKUP(factura_c_mes1[[#This Row],[CUIT]],Lista_CUIT[#All],2,0)),"CUIT NO CARGADO")</f>
        <v>TELEFONICA MOVILES ARG</v>
      </c>
      <c r="I150" s="81">
        <v>4893.57</v>
      </c>
      <c r="J150" s="54" t="str">
        <f>IFERROR(IF(factura_c_mes1[[#This Row],[CUIT]]="","-",VLOOKUP(factura_c_mes1[[#This Row],[CUIT]],Lista_CUIT[#All],3,0)),"CUIT NO CARGADO")</f>
        <v>Servicios Gas, Luz, etc.</v>
      </c>
      <c r="K150" s="54">
        <f>IFERROR(IF(factura_c_mes1[[#This Row],[CUIT]]="","-",VLOOKUP(factura_c_mes1[[#This Row],[CUIT]],Lista_CUIT[#All],4,0)),"CUIT NO CARGADO")</f>
        <v>0</v>
      </c>
    </row>
    <row r="151" spans="4:12" x14ac:dyDescent="0.3">
      <c r="D151" s="50">
        <v>44929</v>
      </c>
      <c r="E151" s="149">
        <v>3</v>
      </c>
      <c r="F151" s="149">
        <v>104</v>
      </c>
      <c r="G151" s="44">
        <v>20226549758</v>
      </c>
      <c r="H151" s="53" t="str">
        <f>IFERROR(IF(factura_c_mes1[[#This Row],[CUIT]]="","-",VLOOKUP(factura_c_mes1[[#This Row],[CUIT]],Lista_CUIT[#All],2,0)),"CUIT NO CARGADO")</f>
        <v>JANEIRO VERONICA BELEN</v>
      </c>
      <c r="I151" s="81">
        <v>70000</v>
      </c>
      <c r="J151" s="54">
        <f>IFERROR(IF(factura_c_mes1[[#This Row],[CUIT]]="","-",VLOOKUP(factura_c_mes1[[#This Row],[CUIT]],Lista_CUIT[#All],3,0)),"CUIT NO CARGADO")</f>
        <v>0</v>
      </c>
      <c r="K151" s="54">
        <f>IFERROR(IF(factura_c_mes1[[#This Row],[CUIT]]="","-",VLOOKUP(factura_c_mes1[[#This Row],[CUIT]],Lista_CUIT[#All],4,0)),"CUIT NO CARGADO")</f>
        <v>0</v>
      </c>
    </row>
    <row r="152" spans="4:12" x14ac:dyDescent="0.3">
      <c r="D152" s="50">
        <v>44929</v>
      </c>
      <c r="E152" s="149">
        <v>3</v>
      </c>
      <c r="F152" s="149">
        <v>130</v>
      </c>
      <c r="G152" s="44">
        <v>20173025557</v>
      </c>
      <c r="H152" s="53" t="str">
        <f>IFERROR(IF(factura_c_mes1[[#This Row],[CUIT]]="","-",VLOOKUP(factura_c_mes1[[#This Row],[CUIT]],Lista_CUIT[#All],2,0)),"CUIT NO CARGADO")</f>
        <v>MARAUDA HECTOR</v>
      </c>
      <c r="I152" s="81">
        <v>4501</v>
      </c>
      <c r="J152" s="54">
        <f>IFERROR(IF(factura_c_mes1[[#This Row],[CUIT]]="","-",VLOOKUP(factura_c_mes1[[#This Row],[CUIT]],Lista_CUIT[#All],3,0)),"CUIT NO CARGADO")</f>
        <v>0</v>
      </c>
      <c r="K152" s="54">
        <f>IFERROR(IF(factura_c_mes1[[#This Row],[CUIT]]="","-",VLOOKUP(factura_c_mes1[[#This Row],[CUIT]],Lista_CUIT[#All],4,0)),"CUIT NO CARGADO")</f>
        <v>0</v>
      </c>
    </row>
    <row r="153" spans="4:12" x14ac:dyDescent="0.3">
      <c r="D153" s="50">
        <v>44929</v>
      </c>
      <c r="E153" s="149">
        <v>3</v>
      </c>
      <c r="F153" s="149">
        <v>667</v>
      </c>
      <c r="G153" s="44">
        <v>20086277523</v>
      </c>
      <c r="H153" s="53" t="str">
        <f>IFERROR(IF(factura_c_mes1[[#This Row],[CUIT]]="","-",VLOOKUP(factura_c_mes1[[#This Row],[CUIT]],Lista_CUIT[#All],2,0)),"CUIT NO CARGADO")</f>
        <v>BOTINDARI JUAN CARLOS</v>
      </c>
      <c r="I153" s="81">
        <v>60000</v>
      </c>
      <c r="J153" s="54" t="str">
        <f>IFERROR(IF(factura_c_mes1[[#This Row],[CUIT]]="","-",VLOOKUP(factura_c_mes1[[#This Row],[CUIT]],Lista_CUIT[#All],3,0)),"CUIT NO CARGADO")</f>
        <v>HONORARIOS</v>
      </c>
      <c r="K153" s="54" t="str">
        <f>IFERROR(IF(factura_c_mes1[[#This Row],[CUIT]]="","-",VLOOKUP(factura_c_mes1[[#This Row],[CUIT]],Lista_CUIT[#All],4,0)),"CUIT NO CARGADO")</f>
        <v>CABA</v>
      </c>
    </row>
    <row r="154" spans="4:12" x14ac:dyDescent="0.3">
      <c r="D154" s="50">
        <v>44930</v>
      </c>
      <c r="E154" s="149">
        <v>8</v>
      </c>
      <c r="F154" s="149">
        <v>129</v>
      </c>
      <c r="G154" s="44">
        <v>27409592487</v>
      </c>
      <c r="H154" s="53" t="str">
        <f>IFERROR(IF(factura_c_mes1[[#This Row],[CUIT]]="","-",VLOOKUP(factura_c_mes1[[#This Row],[CUIT]],Lista_CUIT[#All],2,0)),"CUIT NO CARGADO")</f>
        <v>BAUDONE ANTONELLA AGOSTINA</v>
      </c>
      <c r="I154" s="81">
        <v>63210</v>
      </c>
      <c r="J154" s="54">
        <f>IFERROR(IF(factura_c_mes1[[#This Row],[CUIT]]="","-",VLOOKUP(factura_c_mes1[[#This Row],[CUIT]],Lista_CUIT[#All],3,0)),"CUIT NO CARGADO")</f>
        <v>0</v>
      </c>
      <c r="K154" s="54">
        <f>IFERROR(IF(factura_c_mes1[[#This Row],[CUIT]]="","-",VLOOKUP(factura_c_mes1[[#This Row],[CUIT]],Lista_CUIT[#All],4,0)),"CUIT NO CARGADO")</f>
        <v>0</v>
      </c>
    </row>
    <row r="155" spans="4:12" x14ac:dyDescent="0.3">
      <c r="D155" s="50">
        <v>44931</v>
      </c>
      <c r="E155" s="149">
        <v>72</v>
      </c>
      <c r="F155" s="149">
        <v>135896</v>
      </c>
      <c r="G155" s="44">
        <v>30658022349</v>
      </c>
      <c r="H155" s="53" t="str">
        <f>IFERROR(IF(factura_c_mes1[[#This Row],[CUIT]]="","-",VLOOKUP(factura_c_mes1[[#This Row],[CUIT]],Lista_CUIT[#All],2,0)),"CUIT NO CARGADO")</f>
        <v>DA COSTA E HIJOS S A</v>
      </c>
      <c r="I155" s="81">
        <v>654</v>
      </c>
      <c r="J155" s="54" t="str">
        <f>IFERROR(IF(factura_c_mes1[[#This Row],[CUIT]]="","-",VLOOKUP(factura_c_mes1[[#This Row],[CUIT]],Lista_CUIT[#All],3,0)),"CUIT NO CARGADO")</f>
        <v>Gastos Varios</v>
      </c>
      <c r="K155" s="54">
        <f>IFERROR(IF(factura_c_mes1[[#This Row],[CUIT]]="","-",VLOOKUP(factura_c_mes1[[#This Row],[CUIT]],Lista_CUIT[#All],4,0)),"CUIT NO CARGADO")</f>
        <v>0</v>
      </c>
    </row>
    <row r="156" spans="4:12" x14ac:dyDescent="0.3">
      <c r="D156" s="50">
        <v>44931</v>
      </c>
      <c r="E156" s="149">
        <v>1</v>
      </c>
      <c r="F156" s="149">
        <v>906</v>
      </c>
      <c r="G156" s="44">
        <v>20298547822</v>
      </c>
      <c r="H156" s="53" t="str">
        <f>IFERROR(IF(factura_c_mes1[[#This Row],[CUIT]]="","-",VLOOKUP(factura_c_mes1[[#This Row],[CUIT]],Lista_CUIT[#All],2,0)),"CUIT NO CARGADO")</f>
        <v>BORGES NELSON MAURICIO</v>
      </c>
      <c r="I156" s="81">
        <v>1000</v>
      </c>
      <c r="J156" s="54" t="str">
        <f>IFERROR(IF(factura_c_mes1[[#This Row],[CUIT]]="","-",VLOOKUP(factura_c_mes1[[#This Row],[CUIT]],Lista_CUIT[#All],3,0)),"CUIT NO CARGADO")</f>
        <v>Gastos Vehiculo</v>
      </c>
      <c r="K156" s="54">
        <f>IFERROR(IF(factura_c_mes1[[#This Row],[CUIT]]="","-",VLOOKUP(factura_c_mes1[[#This Row],[CUIT]],Lista_CUIT[#All],4,0)),"CUIT NO CARGADO")</f>
        <v>0</v>
      </c>
    </row>
    <row r="157" spans="4:12" x14ac:dyDescent="0.3">
      <c r="D157" s="50">
        <v>44935</v>
      </c>
      <c r="E157" s="149">
        <v>3</v>
      </c>
      <c r="F157" s="149">
        <v>375</v>
      </c>
      <c r="G157" s="44">
        <v>20210551574</v>
      </c>
      <c r="H157" s="53" t="str">
        <f>IFERROR(IF(factura_c_mes1[[#This Row],[CUIT]]="","-",VLOOKUP(factura_c_mes1[[#This Row],[CUIT]],Lista_CUIT[#All],2,0)),"CUIT NO CARGADO")</f>
        <v>REUS JORGE DIEGO</v>
      </c>
      <c r="I157" s="81">
        <v>42000</v>
      </c>
      <c r="J157" s="54" t="str">
        <f>IFERROR(IF(factura_c_mes1[[#This Row],[CUIT]]="","-",VLOOKUP(factura_c_mes1[[#This Row],[CUIT]],Lista_CUIT[#All],3,0)),"CUIT NO CARGADO")</f>
        <v>HONORARIOS PROFESIONALES</v>
      </c>
      <c r="K157" s="54">
        <f>IFERROR(IF(factura_c_mes1[[#This Row],[CUIT]]="","-",VLOOKUP(factura_c_mes1[[#This Row],[CUIT]],Lista_CUIT[#All],4,0)),"CUIT NO CARGADO")</f>
        <v>0</v>
      </c>
    </row>
    <row r="158" spans="4:12" x14ac:dyDescent="0.3">
      <c r="D158" s="50">
        <v>44936</v>
      </c>
      <c r="E158" s="149">
        <v>2158</v>
      </c>
      <c r="F158" s="149">
        <v>23709</v>
      </c>
      <c r="G158" s="44">
        <v>30717024393</v>
      </c>
      <c r="H158" s="53" t="str">
        <f>IFERROR(IF(factura_c_mes1[[#This Row],[CUIT]]="","-",VLOOKUP(factura_c_mes1[[#This Row],[CUIT]],Lista_CUIT[#All],2,0)),"CUIT NO CARGADO")</f>
        <v>OCA LOG S.A.</v>
      </c>
      <c r="I158" s="81">
        <v>2982</v>
      </c>
      <c r="J158" s="54" t="str">
        <f>IFERROR(IF(factura_c_mes1[[#This Row],[CUIT]]="","-",VLOOKUP(factura_c_mes1[[#This Row],[CUIT]],Lista_CUIT[#All],3,0)),"CUIT NO CARGADO")</f>
        <v>Gastos Varios</v>
      </c>
      <c r="K158" s="54">
        <f>IFERROR(IF(factura_c_mes1[[#This Row],[CUIT]]="","-",VLOOKUP(factura_c_mes1[[#This Row],[CUIT]],Lista_CUIT[#All],4,0)),"CUIT NO CARGADO")</f>
        <v>0</v>
      </c>
    </row>
    <row r="159" spans="4:12" x14ac:dyDescent="0.3">
      <c r="D159" s="50">
        <v>44936</v>
      </c>
      <c r="E159" s="149">
        <v>2</v>
      </c>
      <c r="F159" s="149">
        <v>2447</v>
      </c>
      <c r="G159" s="44">
        <v>20206480409</v>
      </c>
      <c r="H159" s="53" t="str">
        <f>IFERROR(IF(factura_c_mes1[[#This Row],[CUIT]]="","-",VLOOKUP(factura_c_mes1[[#This Row],[CUIT]],Lista_CUIT[#All],2,0)),"CUIT NO CARGADO")</f>
        <v>GRACIA SANDRO EDUARDO</v>
      </c>
      <c r="I159" s="81">
        <v>550</v>
      </c>
      <c r="J159" s="54" t="str">
        <f>IFERROR(IF(factura_c_mes1[[#This Row],[CUIT]]="","-",VLOOKUP(factura_c_mes1[[#This Row],[CUIT]],Lista_CUIT[#All],3,0)),"CUIT NO CARGADO")</f>
        <v>Gastos Varios</v>
      </c>
      <c r="K159" s="54" t="str">
        <f>IFERROR(IF(factura_c_mes1[[#This Row],[CUIT]]="","-",VLOOKUP(factura_c_mes1[[#This Row],[CUIT]],Lista_CUIT[#All],4,0)),"CUIT NO CARGADO")</f>
        <v>CABA</v>
      </c>
    </row>
    <row r="160" spans="4:12" x14ac:dyDescent="0.3">
      <c r="D160" s="50">
        <v>44938</v>
      </c>
      <c r="E160" s="149">
        <v>2</v>
      </c>
      <c r="F160" s="149">
        <v>17</v>
      </c>
      <c r="G160" s="44">
        <v>20231009524</v>
      </c>
      <c r="H160" s="53" t="str">
        <f>IFERROR(IF(factura_c_mes1[[#This Row],[CUIT]]="","-",VLOOKUP(factura_c_mes1[[#This Row],[CUIT]],Lista_CUIT[#All],2,0)),"CUIT NO CARGADO")</f>
        <v>RAMOS PATRICIO SEBASTIAN</v>
      </c>
      <c r="I160" s="81">
        <v>150000</v>
      </c>
      <c r="J160" s="54" t="str">
        <f>IFERROR(IF(factura_c_mes1[[#This Row],[CUIT]]="","-",VLOOKUP(factura_c_mes1[[#This Row],[CUIT]],Lista_CUIT[#All],3,0)),"CUIT NO CARGADO")</f>
        <v>Insumo</v>
      </c>
      <c r="K160" s="54" t="str">
        <f>IFERROR(IF(factura_c_mes1[[#This Row],[CUIT]]="","-",VLOOKUP(factura_c_mes1[[#This Row],[CUIT]],Lista_CUIT[#All],4,0)),"CUIT NO CARGADO")</f>
        <v>BUENOS AIRES</v>
      </c>
    </row>
    <row r="161" spans="2:18" x14ac:dyDescent="0.3">
      <c r="D161" s="50">
        <v>44944</v>
      </c>
      <c r="E161" s="149">
        <v>2468</v>
      </c>
      <c r="F161" s="149">
        <v>50153844</v>
      </c>
      <c r="G161" s="44">
        <v>30678814357</v>
      </c>
      <c r="H161" s="53" t="str">
        <f>IFERROR(IF(factura_c_mes1[[#This Row],[CUIT]]="","-",VLOOKUP(factura_c_mes1[[#This Row],[CUIT]],Lista_CUIT[#All],2,0)),"CUIT NO CARGADO")</f>
        <v>TELEFONICA MOVILES ARG</v>
      </c>
      <c r="I161" s="81">
        <v>5748</v>
      </c>
      <c r="J161" s="54" t="str">
        <f>IFERROR(IF(factura_c_mes1[[#This Row],[CUIT]]="","-",VLOOKUP(factura_c_mes1[[#This Row],[CUIT]],Lista_CUIT[#All],3,0)),"CUIT NO CARGADO")</f>
        <v>Servicios Gas, Luz, etc.</v>
      </c>
      <c r="K161" s="54">
        <f>IFERROR(IF(factura_c_mes1[[#This Row],[CUIT]]="","-",VLOOKUP(factura_c_mes1[[#This Row],[CUIT]],Lista_CUIT[#All],4,0)),"CUIT NO CARGADO")</f>
        <v>0</v>
      </c>
    </row>
    <row r="162" spans="2:18" x14ac:dyDescent="0.3">
      <c r="D162" s="50">
        <v>44944</v>
      </c>
      <c r="E162" s="149">
        <v>2</v>
      </c>
      <c r="F162" s="149">
        <v>1429</v>
      </c>
      <c r="G162" s="44">
        <v>23238508789</v>
      </c>
      <c r="H162" s="53" t="str">
        <f>IFERROR(IF(factura_c_mes1[[#This Row],[CUIT]]="","-",VLOOKUP(factura_c_mes1[[#This Row],[CUIT]],Lista_CUIT[#All],2,0)),"CUIT NO CARGADO")</f>
        <v>GOMEZ ROBERTO MARCELO</v>
      </c>
      <c r="I162" s="81">
        <v>4500</v>
      </c>
      <c r="J162" s="54" t="str">
        <f>IFERROR(IF(factura_c_mes1[[#This Row],[CUIT]]="","-",VLOOKUP(factura_c_mes1[[#This Row],[CUIT]],Lista_CUIT[#All],3,0)),"CUIT NO CARGADO")</f>
        <v>Gastos Vehiculo</v>
      </c>
      <c r="K162" s="54">
        <f>IFERROR(IF(factura_c_mes1[[#This Row],[CUIT]]="","-",VLOOKUP(factura_c_mes1[[#This Row],[CUIT]],Lista_CUIT[#All],4,0)),"CUIT NO CARGADO")</f>
        <v>0</v>
      </c>
    </row>
    <row r="163" spans="2:18" x14ac:dyDescent="0.3">
      <c r="D163" s="50">
        <v>44952</v>
      </c>
      <c r="E163" s="149">
        <v>600</v>
      </c>
      <c r="F163" s="149">
        <v>1010513</v>
      </c>
      <c r="G163" s="44">
        <v>30710573308</v>
      </c>
      <c r="H163" s="53" t="str">
        <f>IFERROR(IF(factura_c_mes1[[#This Row],[CUIT]]="","-",VLOOKUP(factura_c_mes1[[#This Row],[CUIT]],Lista_CUIT[#All],2,0)),"CUIT NO CARGADO")</f>
        <v>CAMARA DE GRABADORES DE AUTOPARTES DE VEHICULOS AUTOMOTORES Y MOTOVEHICULOS</v>
      </c>
      <c r="I163" s="81">
        <v>6000</v>
      </c>
      <c r="J163" s="54" t="str">
        <f>IFERROR(IF(factura_c_mes1[[#This Row],[CUIT]]="","-",VLOOKUP(factura_c_mes1[[#This Row],[CUIT]],Lista_CUIT[#All],3,0)),"CUIT NO CARGADO")</f>
        <v>Gastos Vehiculo</v>
      </c>
      <c r="K163" s="54">
        <f>IFERROR(IF(factura_c_mes1[[#This Row],[CUIT]]="","-",VLOOKUP(factura_c_mes1[[#This Row],[CUIT]],Lista_CUIT[#All],4,0)),"CUIT NO CARGADO")</f>
        <v>0</v>
      </c>
    </row>
    <row r="164" spans="2:18" x14ac:dyDescent="0.3">
      <c r="D164" s="50">
        <v>44952</v>
      </c>
      <c r="E164" s="149">
        <v>20</v>
      </c>
      <c r="F164" s="149">
        <v>3146</v>
      </c>
      <c r="G164" s="44">
        <v>30712049886</v>
      </c>
      <c r="H164" s="53" t="str">
        <f>IFERROR(IF(factura_c_mes1[[#This Row],[CUIT]]="","-",VLOOKUP(factura_c_mes1[[#This Row],[CUIT]],Lista_CUIT[#All],2,0)),"CUIT NO CARGADO")</f>
        <v>ALGETEC SRL</v>
      </c>
      <c r="I164" s="81">
        <v>4000</v>
      </c>
      <c r="J164" s="54" t="str">
        <f>IFERROR(IF(factura_c_mes1[[#This Row],[CUIT]]="","-",VLOOKUP(factura_c_mes1[[#This Row],[CUIT]],Lista_CUIT[#All],3,0)),"CUIT NO CARGADO")</f>
        <v>Gastos Varios</v>
      </c>
      <c r="K164" s="54">
        <f>IFERROR(IF(factura_c_mes1[[#This Row],[CUIT]]="","-",VLOOKUP(factura_c_mes1[[#This Row],[CUIT]],Lista_CUIT[#All],4,0)),"CUIT NO CARGADO")</f>
        <v>0</v>
      </c>
    </row>
    <row r="165" spans="2:18" x14ac:dyDescent="0.3">
      <c r="D165" s="50">
        <v>44957</v>
      </c>
      <c r="E165" s="149">
        <v>2</v>
      </c>
      <c r="F165" s="43">
        <v>1172</v>
      </c>
      <c r="G165" s="44">
        <v>23277121859</v>
      </c>
      <c r="H165" s="53" t="str">
        <f>IFERROR(IF(factura_c_mes1[[#This Row],[CUIT]]="","-",VLOOKUP(factura_c_mes1[[#This Row],[CUIT]],Lista_CUIT[#All],2,0)),"CUIT NO CARGADO")</f>
        <v>BARCELONAMOTOS</v>
      </c>
      <c r="I165" s="81">
        <v>2200</v>
      </c>
      <c r="J165" s="54">
        <f>IFERROR(IF(factura_c_mes1[[#This Row],[CUIT]]="","-",VLOOKUP(factura_c_mes1[[#This Row],[CUIT]],Lista_CUIT[#All],3,0)),"CUIT NO CARGADO")</f>
        <v>0</v>
      </c>
      <c r="K165" s="54">
        <f>IFERROR(IF(factura_c_mes1[[#This Row],[CUIT]]="","-",VLOOKUP(factura_c_mes1[[#This Row],[CUIT]],Lista_CUIT[#All],4,0)),"CUIT NO CARGADO")</f>
        <v>0</v>
      </c>
    </row>
    <row r="166" spans="2:18" x14ac:dyDescent="0.3">
      <c r="D166" s="55" t="s">
        <v>103</v>
      </c>
      <c r="E166" s="55"/>
      <c r="F166" s="55"/>
      <c r="G166" s="55"/>
      <c r="H166" s="57"/>
      <c r="I166" s="58">
        <f>SUBTOTAL(109,factura_c_mes1[TOTAL])</f>
        <v>422238.57</v>
      </c>
      <c r="J166" s="55"/>
      <c r="K166" s="55"/>
    </row>
    <row r="167" spans="2:18" x14ac:dyDescent="0.3">
      <c r="B167" s="56"/>
      <c r="C167" s="56"/>
      <c r="L167" s="56"/>
      <c r="M167" s="56"/>
      <c r="N167" s="56"/>
      <c r="O167" s="56"/>
      <c r="P167" s="56"/>
      <c r="Q167" s="56"/>
      <c r="R167" s="56"/>
    </row>
    <row r="172" spans="2:18" ht="25.8" x14ac:dyDescent="0.3">
      <c r="B172" s="661" t="s">
        <v>29</v>
      </c>
      <c r="C172" s="661"/>
      <c r="D172" s="661"/>
      <c r="E172" s="661"/>
      <c r="F172" s="661"/>
      <c r="G172" s="661"/>
      <c r="H172" s="661"/>
      <c r="I172" s="661"/>
      <c r="J172" s="661"/>
      <c r="K172" s="657">
        <f>N1</f>
        <v>44927</v>
      </c>
      <c r="L172" s="657"/>
      <c r="M172" s="657"/>
    </row>
    <row r="174" spans="2:18" ht="21" x14ac:dyDescent="0.3">
      <c r="B174" s="654" t="s">
        <v>30</v>
      </c>
      <c r="C174" s="654"/>
    </row>
    <row r="175" spans="2:18" ht="31.2" x14ac:dyDescent="0.3">
      <c r="B175" s="60" t="s">
        <v>0</v>
      </c>
      <c r="C175" s="61" t="s">
        <v>1</v>
      </c>
      <c r="D175" s="61" t="s">
        <v>21</v>
      </c>
      <c r="E175" s="61" t="s">
        <v>22</v>
      </c>
      <c r="F175" s="61" t="s">
        <v>3</v>
      </c>
      <c r="G175" s="61" t="s">
        <v>4</v>
      </c>
      <c r="H175" s="61" t="s">
        <v>23</v>
      </c>
      <c r="I175" s="61" t="s">
        <v>17</v>
      </c>
      <c r="J175" s="61" t="s">
        <v>7</v>
      </c>
      <c r="K175" s="61" t="s">
        <v>24</v>
      </c>
      <c r="L175" s="61" t="s">
        <v>10</v>
      </c>
      <c r="M175" s="62" t="s">
        <v>38</v>
      </c>
    </row>
    <row r="176" spans="2:18" x14ac:dyDescent="0.3">
      <c r="B176" s="40"/>
      <c r="C176" s="41"/>
      <c r="D176" s="42"/>
      <c r="E176" s="43"/>
      <c r="F176" s="44"/>
      <c r="G176" s="275" t="str">
        <f>IFERROR(IF(venta_a_mes1[[#This Row],[CUIT]]="","-",VLOOKUP(venta_a_mes1[[#This Row],[CUIT]],Lista_CUIT[#All],2,0)),"CUIT NO CARGADO")</f>
        <v>-</v>
      </c>
      <c r="H176" s="100"/>
      <c r="I176" s="101">
        <f>venta_a_mes1[[#This Row],[IMPORTE NETO]]*0.21</f>
        <v>0</v>
      </c>
      <c r="J176" s="65"/>
      <c r="K176" s="65"/>
      <c r="L176" s="65">
        <f>SUM(venta_a_mes1[[#This Row],[IMPORTE NETO]:[EXENTO]])</f>
        <v>0</v>
      </c>
      <c r="M176" s="59"/>
    </row>
    <row r="177" spans="2:13" x14ac:dyDescent="0.3">
      <c r="B177" s="40"/>
      <c r="C177" s="41"/>
      <c r="D177" s="42"/>
      <c r="E177" s="43"/>
      <c r="F177" s="44"/>
      <c r="G177" s="275" t="str">
        <f>IFERROR(IF(venta_a_mes1[[#This Row],[CUIT]]="","-",VLOOKUP(venta_a_mes1[[#This Row],[CUIT]],Lista_CUIT[#All],2,0)),"CUIT NO CARGADO")</f>
        <v>-</v>
      </c>
      <c r="H177" s="100"/>
      <c r="I177" s="101">
        <f>venta_a_mes1[[#This Row],[IMPORTE NETO]]*0.21</f>
        <v>0</v>
      </c>
      <c r="J177" s="65"/>
      <c r="K177" s="65"/>
      <c r="L177" s="65">
        <f>SUM(venta_a_mes1[[#This Row],[IMPORTE NETO]:[EXENTO]])</f>
        <v>0</v>
      </c>
      <c r="M177" s="59"/>
    </row>
    <row r="178" spans="2:13" x14ac:dyDescent="0.3">
      <c r="B178" s="109"/>
      <c r="C178" s="110"/>
      <c r="D178" s="111"/>
      <c r="E178" s="112"/>
      <c r="F178" s="113"/>
      <c r="G178" s="275" t="str">
        <f>IFERROR(IF(venta_a_mes1[[#This Row],[CUIT]]="","-",VLOOKUP(venta_a_mes1[[#This Row],[CUIT]],Lista_CUIT[#All],2,0)),"CUIT NO CARGADO")</f>
        <v>-</v>
      </c>
      <c r="H178" s="100"/>
      <c r="I178" s="101">
        <f>venta_a_mes1[[#This Row],[IMPORTE NETO]]*0.21</f>
        <v>0</v>
      </c>
      <c r="J178" s="65"/>
      <c r="K178" s="65"/>
      <c r="L178" s="65">
        <f>SUM(venta_a_mes1[[#This Row],[IMPORTE NETO]:[EXENTO]])</f>
        <v>0</v>
      </c>
      <c r="M178" s="59"/>
    </row>
    <row r="179" spans="2:13" x14ac:dyDescent="0.3">
      <c r="B179" s="109"/>
      <c r="C179" s="110"/>
      <c r="D179" s="111"/>
      <c r="E179" s="112"/>
      <c r="F179" s="113"/>
      <c r="G179" s="275" t="str">
        <f>IFERROR(IF(venta_a_mes1[[#This Row],[CUIT]]="","-",VLOOKUP(venta_a_mes1[[#This Row],[CUIT]],Lista_CUIT[#All],2,0)),"CUIT NO CARGADO")</f>
        <v>-</v>
      </c>
      <c r="H179" s="100"/>
      <c r="I179" s="101">
        <f>venta_a_mes1[[#This Row],[IMPORTE NETO]]*0.21</f>
        <v>0</v>
      </c>
      <c r="J179" s="65"/>
      <c r="K179" s="65"/>
      <c r="L179" s="65">
        <f>SUM(venta_a_mes1[[#This Row],[IMPORTE NETO]:[EXENTO]])</f>
        <v>0</v>
      </c>
      <c r="M179" s="59"/>
    </row>
    <row r="180" spans="2:13" x14ac:dyDescent="0.3">
      <c r="B180" s="109"/>
      <c r="C180" s="110"/>
      <c r="D180" s="111"/>
      <c r="E180" s="112"/>
      <c r="F180" s="113"/>
      <c r="G180" s="275" t="str">
        <f>IFERROR(IF(venta_a_mes1[[#This Row],[CUIT]]="","-",VLOOKUP(venta_a_mes1[[#This Row],[CUIT]],Lista_CUIT[#All],2,0)),"CUIT NO CARGADO")</f>
        <v>-</v>
      </c>
      <c r="H180" s="100"/>
      <c r="I180" s="101">
        <f>venta_a_mes1[[#This Row],[IMPORTE NETO]]*0.21</f>
        <v>0</v>
      </c>
      <c r="J180" s="65"/>
      <c r="K180" s="65"/>
      <c r="L180" s="65">
        <f>SUM(venta_a_mes1[[#This Row],[IMPORTE NETO]:[EXENTO]])</f>
        <v>0</v>
      </c>
      <c r="M180" s="59"/>
    </row>
    <row r="181" spans="2:13" x14ac:dyDescent="0.3">
      <c r="B181" s="109"/>
      <c r="C181" s="110"/>
      <c r="D181" s="111"/>
      <c r="E181" s="112"/>
      <c r="F181" s="113"/>
      <c r="G181" s="275" t="str">
        <f>IFERROR(IF(venta_a_mes1[[#This Row],[CUIT]]="","-",VLOOKUP(venta_a_mes1[[#This Row],[CUIT]],Lista_CUIT[#All],2,0)),"CUIT NO CARGADO")</f>
        <v>-</v>
      </c>
      <c r="H181" s="100"/>
      <c r="I181" s="101">
        <f>venta_a_mes1[[#This Row],[IMPORTE NETO]]*0.21</f>
        <v>0</v>
      </c>
      <c r="J181" s="65"/>
      <c r="K181" s="65"/>
      <c r="L181" s="65">
        <f>SUM(venta_a_mes1[[#This Row],[IMPORTE NETO]:[EXENTO]])</f>
        <v>0</v>
      </c>
      <c r="M181" s="59"/>
    </row>
    <row r="182" spans="2:13" x14ac:dyDescent="0.3">
      <c r="B182" s="109"/>
      <c r="C182" s="110"/>
      <c r="D182" s="111"/>
      <c r="E182" s="112"/>
      <c r="F182" s="113"/>
      <c r="G182" s="275" t="str">
        <f>IFERROR(IF(venta_a_mes1[[#This Row],[CUIT]]="","-",VLOOKUP(venta_a_mes1[[#This Row],[CUIT]],Lista_CUIT[#All],2,0)),"CUIT NO CARGADO")</f>
        <v>-</v>
      </c>
      <c r="H182" s="100"/>
      <c r="I182" s="101">
        <f>venta_a_mes1[[#This Row],[IMPORTE NETO]]*0.21</f>
        <v>0</v>
      </c>
      <c r="J182" s="65"/>
      <c r="K182" s="65"/>
      <c r="L182" s="65">
        <f>SUM(venta_a_mes1[[#This Row],[IMPORTE NETO]:[EXENTO]])</f>
        <v>0</v>
      </c>
      <c r="M182" s="59"/>
    </row>
    <row r="183" spans="2:13" x14ac:dyDescent="0.3">
      <c r="B183" s="109"/>
      <c r="C183" s="110"/>
      <c r="D183" s="111"/>
      <c r="E183" s="112"/>
      <c r="F183" s="113"/>
      <c r="G183" s="275" t="str">
        <f>IFERROR(IF(venta_a_mes1[[#This Row],[CUIT]]="","-",VLOOKUP(venta_a_mes1[[#This Row],[CUIT]],Lista_CUIT[#All],2,0)),"CUIT NO CARGADO")</f>
        <v>-</v>
      </c>
      <c r="H183" s="100"/>
      <c r="I183" s="101">
        <f>venta_a_mes1[[#This Row],[IMPORTE NETO]]*0.21</f>
        <v>0</v>
      </c>
      <c r="J183" s="65"/>
      <c r="K183" s="65"/>
      <c r="L183" s="65">
        <f>SUM(venta_a_mes1[[#This Row],[IMPORTE NETO]:[EXENTO]])</f>
        <v>0</v>
      </c>
      <c r="M183" s="59"/>
    </row>
    <row r="184" spans="2:13" x14ac:dyDescent="0.3">
      <c r="B184" s="109"/>
      <c r="C184" s="110"/>
      <c r="D184" s="111"/>
      <c r="E184" s="112"/>
      <c r="F184" s="113"/>
      <c r="G184" s="275" t="str">
        <f>IFERROR(IF(venta_a_mes1[[#This Row],[CUIT]]="","-",VLOOKUP(venta_a_mes1[[#This Row],[CUIT]],Lista_CUIT[#All],2,0)),"CUIT NO CARGADO")</f>
        <v>-</v>
      </c>
      <c r="H184" s="100"/>
      <c r="I184" s="101">
        <f>venta_a_mes1[[#This Row],[IMPORTE NETO]]*0.21</f>
        <v>0</v>
      </c>
      <c r="J184" s="65"/>
      <c r="K184" s="65"/>
      <c r="L184" s="65">
        <f>SUM(venta_a_mes1[[#This Row],[IMPORTE NETO]:[EXENTO]])</f>
        <v>0</v>
      </c>
      <c r="M184" s="59"/>
    </row>
    <row r="185" spans="2:13" x14ac:dyDescent="0.3">
      <c r="B185" s="109"/>
      <c r="C185" s="110"/>
      <c r="D185" s="111"/>
      <c r="E185" s="112"/>
      <c r="F185" s="113"/>
      <c r="G185" s="275" t="str">
        <f>IFERROR(IF(venta_a_mes1[[#This Row],[CUIT]]="","-",VLOOKUP(venta_a_mes1[[#This Row],[CUIT]],Lista_CUIT[#All],2,0)),"CUIT NO CARGADO")</f>
        <v>-</v>
      </c>
      <c r="H185" s="100"/>
      <c r="I185" s="101">
        <f>venta_a_mes1[[#This Row],[IMPORTE NETO]]*0.21</f>
        <v>0</v>
      </c>
      <c r="J185" s="65"/>
      <c r="K185" s="65"/>
      <c r="L185" s="65">
        <f>SUM(venta_a_mes1[[#This Row],[IMPORTE NETO]:[EXENTO]])</f>
        <v>0</v>
      </c>
      <c r="M185" s="59"/>
    </row>
    <row r="186" spans="2:13" x14ac:dyDescent="0.3">
      <c r="B186" s="109"/>
      <c r="C186" s="110"/>
      <c r="D186" s="111"/>
      <c r="E186" s="112"/>
      <c r="F186" s="113"/>
      <c r="G186" s="275" t="str">
        <f>IFERROR(IF(venta_a_mes1[[#This Row],[CUIT]]="","-",VLOOKUP(venta_a_mes1[[#This Row],[CUIT]],Lista_CUIT[#All],2,0)),"CUIT NO CARGADO")</f>
        <v>-</v>
      </c>
      <c r="H186" s="100"/>
      <c r="I186" s="101">
        <f>venta_a_mes1[[#This Row],[IMPORTE NETO]]*0.21</f>
        <v>0</v>
      </c>
      <c r="J186" s="65"/>
      <c r="K186" s="65"/>
      <c r="L186" s="65">
        <f>SUM(venta_a_mes1[[#This Row],[IMPORTE NETO]:[EXENTO]])</f>
        <v>0</v>
      </c>
      <c r="M186" s="59"/>
    </row>
    <row r="187" spans="2:13" x14ac:dyDescent="0.3">
      <c r="B187" s="109"/>
      <c r="C187" s="110"/>
      <c r="D187" s="111"/>
      <c r="E187" s="112"/>
      <c r="F187" s="113"/>
      <c r="G187" s="275" t="str">
        <f>IFERROR(IF(venta_a_mes1[[#This Row],[CUIT]]="","-",VLOOKUP(venta_a_mes1[[#This Row],[CUIT]],Lista_CUIT[#All],2,0)),"CUIT NO CARGADO")</f>
        <v>-</v>
      </c>
      <c r="H187" s="100"/>
      <c r="I187" s="101">
        <f>venta_a_mes1[[#This Row],[IMPORTE NETO]]*0.21</f>
        <v>0</v>
      </c>
      <c r="J187" s="65"/>
      <c r="K187" s="65"/>
      <c r="L187" s="65">
        <f>SUM(venta_a_mes1[[#This Row],[IMPORTE NETO]:[EXENTO]])</f>
        <v>0</v>
      </c>
      <c r="M187" s="59"/>
    </row>
    <row r="188" spans="2:13" x14ac:dyDescent="0.3">
      <c r="B188" s="109"/>
      <c r="C188" s="110"/>
      <c r="D188" s="111"/>
      <c r="E188" s="112"/>
      <c r="F188" s="113"/>
      <c r="G188" s="275" t="str">
        <f>IFERROR(IF(venta_a_mes1[[#This Row],[CUIT]]="","-",VLOOKUP(venta_a_mes1[[#This Row],[CUIT]],Lista_CUIT[#All],2,0)),"CUIT NO CARGADO")</f>
        <v>-</v>
      </c>
      <c r="H188" s="100"/>
      <c r="I188" s="101">
        <f>venta_a_mes1[[#This Row],[IMPORTE NETO]]*0.21</f>
        <v>0</v>
      </c>
      <c r="J188" s="65"/>
      <c r="K188" s="65"/>
      <c r="L188" s="65">
        <f>SUM(venta_a_mes1[[#This Row],[IMPORTE NETO]:[EXENTO]])</f>
        <v>0</v>
      </c>
      <c r="M188" s="59"/>
    </row>
    <row r="189" spans="2:13" x14ac:dyDescent="0.3">
      <c r="B189" s="109"/>
      <c r="C189" s="110"/>
      <c r="D189" s="111"/>
      <c r="E189" s="112"/>
      <c r="F189" s="113"/>
      <c r="G189" s="275" t="str">
        <f>IFERROR(IF(venta_a_mes1[[#This Row],[CUIT]]="","-",VLOOKUP(venta_a_mes1[[#This Row],[CUIT]],Lista_CUIT[#All],2,0)),"CUIT NO CARGADO")</f>
        <v>-</v>
      </c>
      <c r="H189" s="100"/>
      <c r="I189" s="101">
        <f>venta_a_mes1[[#This Row],[IMPORTE NETO]]*0.21</f>
        <v>0</v>
      </c>
      <c r="J189" s="65"/>
      <c r="K189" s="65"/>
      <c r="L189" s="65">
        <f>SUM(venta_a_mes1[[#This Row],[IMPORTE NETO]:[EXENTO]])</f>
        <v>0</v>
      </c>
      <c r="M189" s="59"/>
    </row>
    <row r="190" spans="2:13" x14ac:dyDescent="0.3">
      <c r="B190" s="109"/>
      <c r="C190" s="110"/>
      <c r="D190" s="111"/>
      <c r="E190" s="112"/>
      <c r="F190" s="113"/>
      <c r="G190" s="275" t="str">
        <f>IFERROR(IF(venta_a_mes1[[#This Row],[CUIT]]="","-",VLOOKUP(venta_a_mes1[[#This Row],[CUIT]],Lista_CUIT[#All],2,0)),"CUIT NO CARGADO")</f>
        <v>-</v>
      </c>
      <c r="H190" s="100"/>
      <c r="I190" s="101">
        <f>venta_a_mes1[[#This Row],[IMPORTE NETO]]*0.21</f>
        <v>0</v>
      </c>
      <c r="J190" s="65"/>
      <c r="K190" s="65"/>
      <c r="L190" s="65">
        <f>SUM(venta_a_mes1[[#This Row],[IMPORTE NETO]:[EXENTO]])</f>
        <v>0</v>
      </c>
      <c r="M190" s="59"/>
    </row>
    <row r="191" spans="2:13" x14ac:dyDescent="0.3">
      <c r="B191" s="109"/>
      <c r="C191" s="110"/>
      <c r="D191" s="111"/>
      <c r="E191" s="112"/>
      <c r="F191" s="113"/>
      <c r="G191" s="275" t="str">
        <f>IFERROR(IF(venta_a_mes1[[#This Row],[CUIT]]="","-",VLOOKUP(venta_a_mes1[[#This Row],[CUIT]],Lista_CUIT[#All],2,0)),"CUIT NO CARGADO")</f>
        <v>-</v>
      </c>
      <c r="H191" s="100"/>
      <c r="I191" s="101">
        <f>venta_a_mes1[[#This Row],[IMPORTE NETO]]*0.21</f>
        <v>0</v>
      </c>
      <c r="J191" s="65"/>
      <c r="K191" s="65"/>
      <c r="L191" s="65">
        <f>SUM(venta_a_mes1[[#This Row],[IMPORTE NETO]:[EXENTO]])</f>
        <v>0</v>
      </c>
      <c r="M191" s="59"/>
    </row>
    <row r="192" spans="2:13" x14ac:dyDescent="0.3">
      <c r="B192" s="109"/>
      <c r="C192" s="110"/>
      <c r="D192" s="111"/>
      <c r="E192" s="112"/>
      <c r="F192" s="113"/>
      <c r="G192" s="275" t="str">
        <f>IFERROR(IF(venta_a_mes1[[#This Row],[CUIT]]="","-",VLOOKUP(venta_a_mes1[[#This Row],[CUIT]],Lista_CUIT[#All],2,0)),"CUIT NO CARGADO")</f>
        <v>-</v>
      </c>
      <c r="H192" s="100"/>
      <c r="I192" s="101">
        <f>venta_a_mes1[[#This Row],[IMPORTE NETO]]*0.21</f>
        <v>0</v>
      </c>
      <c r="J192" s="65"/>
      <c r="K192" s="65"/>
      <c r="L192" s="65">
        <f>SUM(venta_a_mes1[[#This Row],[IMPORTE NETO]:[EXENTO]])</f>
        <v>0</v>
      </c>
      <c r="M192" s="59"/>
    </row>
    <row r="193" spans="2:13" x14ac:dyDescent="0.3">
      <c r="B193" s="109"/>
      <c r="C193" s="110"/>
      <c r="D193" s="111"/>
      <c r="E193" s="112"/>
      <c r="F193" s="113"/>
      <c r="G193" s="275" t="str">
        <f>IFERROR(IF(venta_a_mes1[[#This Row],[CUIT]]="","-",VLOOKUP(venta_a_mes1[[#This Row],[CUIT]],Lista_CUIT[#All],2,0)),"CUIT NO CARGADO")</f>
        <v>-</v>
      </c>
      <c r="H193" s="100"/>
      <c r="I193" s="101">
        <f>venta_a_mes1[[#This Row],[IMPORTE NETO]]*0.21</f>
        <v>0</v>
      </c>
      <c r="J193" s="65"/>
      <c r="K193" s="65"/>
      <c r="L193" s="65">
        <f>SUM(venta_a_mes1[[#This Row],[IMPORTE NETO]:[EXENTO]])</f>
        <v>0</v>
      </c>
      <c r="M193" s="59"/>
    </row>
    <row r="194" spans="2:13" x14ac:dyDescent="0.3">
      <c r="B194" s="109"/>
      <c r="C194" s="110"/>
      <c r="D194" s="111"/>
      <c r="E194" s="112"/>
      <c r="F194" s="113"/>
      <c r="G194" s="275" t="str">
        <f>IFERROR(IF(venta_a_mes1[[#This Row],[CUIT]]="","-",VLOOKUP(venta_a_mes1[[#This Row],[CUIT]],Lista_CUIT[#All],2,0)),"CUIT NO CARGADO")</f>
        <v>-</v>
      </c>
      <c r="H194" s="100"/>
      <c r="I194" s="101">
        <f>venta_a_mes1[[#This Row],[IMPORTE NETO]]*0.21</f>
        <v>0</v>
      </c>
      <c r="J194" s="65"/>
      <c r="K194" s="65"/>
      <c r="L194" s="65">
        <f>SUM(venta_a_mes1[[#This Row],[IMPORTE NETO]:[EXENTO]])</f>
        <v>0</v>
      </c>
      <c r="M194" s="59"/>
    </row>
    <row r="195" spans="2:13" x14ac:dyDescent="0.3">
      <c r="B195" s="109"/>
      <c r="C195" s="110"/>
      <c r="D195" s="111"/>
      <c r="E195" s="112"/>
      <c r="F195" s="113"/>
      <c r="G195" s="275" t="str">
        <f>IFERROR(IF(venta_a_mes1[[#This Row],[CUIT]]="","-",VLOOKUP(venta_a_mes1[[#This Row],[CUIT]],Lista_CUIT[#All],2,0)),"CUIT NO CARGADO")</f>
        <v>-</v>
      </c>
      <c r="H195" s="100"/>
      <c r="I195" s="101">
        <f>venta_a_mes1[[#This Row],[IMPORTE NETO]]*0.21</f>
        <v>0</v>
      </c>
      <c r="J195" s="65"/>
      <c r="K195" s="65"/>
      <c r="L195" s="65">
        <f>SUM(venta_a_mes1[[#This Row],[IMPORTE NETO]:[EXENTO]])</f>
        <v>0</v>
      </c>
      <c r="M195" s="59"/>
    </row>
    <row r="196" spans="2:13" x14ac:dyDescent="0.3">
      <c r="B196" s="109"/>
      <c r="C196" s="110"/>
      <c r="D196" s="111"/>
      <c r="E196" s="112"/>
      <c r="F196" s="113"/>
      <c r="G196" s="275" t="str">
        <f>IFERROR(IF(venta_a_mes1[[#This Row],[CUIT]]="","-",VLOOKUP(venta_a_mes1[[#This Row],[CUIT]],Lista_CUIT[#All],2,0)),"CUIT NO CARGADO")</f>
        <v>-</v>
      </c>
      <c r="H196" s="100"/>
      <c r="I196" s="101">
        <f>venta_a_mes1[[#This Row],[IMPORTE NETO]]*0.21</f>
        <v>0</v>
      </c>
      <c r="J196" s="65"/>
      <c r="K196" s="65"/>
      <c r="L196" s="65">
        <f>SUM(venta_a_mes1[[#This Row],[IMPORTE NETO]:[EXENTO]])</f>
        <v>0</v>
      </c>
      <c r="M196" s="59"/>
    </row>
    <row r="197" spans="2:13" x14ac:dyDescent="0.3">
      <c r="B197" s="109"/>
      <c r="C197" s="110"/>
      <c r="D197" s="111"/>
      <c r="E197" s="112"/>
      <c r="F197" s="113"/>
      <c r="G197" s="275" t="str">
        <f>IFERROR(IF(venta_a_mes1[[#This Row],[CUIT]]="","-",VLOOKUP(venta_a_mes1[[#This Row],[CUIT]],Lista_CUIT[#All],2,0)),"CUIT NO CARGADO")</f>
        <v>-</v>
      </c>
      <c r="H197" s="100"/>
      <c r="I197" s="101">
        <f>venta_a_mes1[[#This Row],[IMPORTE NETO]]*0.21</f>
        <v>0</v>
      </c>
      <c r="J197" s="65"/>
      <c r="K197" s="65"/>
      <c r="L197" s="65">
        <f>SUM(venta_a_mes1[[#This Row],[IMPORTE NETO]:[EXENTO]])</f>
        <v>0</v>
      </c>
      <c r="M197" s="59"/>
    </row>
    <row r="198" spans="2:13" x14ac:dyDescent="0.3">
      <c r="B198" s="109"/>
      <c r="C198" s="110"/>
      <c r="D198" s="111"/>
      <c r="E198" s="112"/>
      <c r="F198" s="113"/>
      <c r="G198" s="275" t="str">
        <f>IFERROR(IF(venta_a_mes1[[#This Row],[CUIT]]="","-",VLOOKUP(venta_a_mes1[[#This Row],[CUIT]],Lista_CUIT[#All],2,0)),"CUIT NO CARGADO")</f>
        <v>-</v>
      </c>
      <c r="H198" s="100"/>
      <c r="I198" s="101">
        <f>venta_a_mes1[[#This Row],[IMPORTE NETO]]*0.21</f>
        <v>0</v>
      </c>
      <c r="J198" s="65"/>
      <c r="K198" s="65"/>
      <c r="L198" s="65">
        <f>SUM(venta_a_mes1[[#This Row],[IMPORTE NETO]:[EXENTO]])</f>
        <v>0</v>
      </c>
      <c r="M198" s="59"/>
    </row>
    <row r="199" spans="2:13" x14ac:dyDescent="0.3">
      <c r="B199" s="109"/>
      <c r="C199" s="110"/>
      <c r="D199" s="111"/>
      <c r="E199" s="112"/>
      <c r="F199" s="113"/>
      <c r="G199" s="275" t="str">
        <f>IFERROR(IF(venta_a_mes1[[#This Row],[CUIT]]="","-",VLOOKUP(venta_a_mes1[[#This Row],[CUIT]],Lista_CUIT[#All],2,0)),"CUIT NO CARGADO")</f>
        <v>-</v>
      </c>
      <c r="H199" s="100"/>
      <c r="I199" s="101">
        <f>venta_a_mes1[[#This Row],[IMPORTE NETO]]*0.21</f>
        <v>0</v>
      </c>
      <c r="J199" s="65"/>
      <c r="K199" s="65"/>
      <c r="L199" s="65">
        <f>SUM(venta_a_mes1[[#This Row],[IMPORTE NETO]:[EXENTO]])</f>
        <v>0</v>
      </c>
      <c r="M199" s="59"/>
    </row>
    <row r="200" spans="2:13" x14ac:dyDescent="0.3">
      <c r="B200" s="109"/>
      <c r="C200" s="110"/>
      <c r="D200" s="111"/>
      <c r="E200" s="112"/>
      <c r="F200" s="113"/>
      <c r="G200" s="275" t="str">
        <f>IFERROR(IF(venta_a_mes1[[#This Row],[CUIT]]="","-",VLOOKUP(venta_a_mes1[[#This Row],[CUIT]],Lista_CUIT[#All],2,0)),"CUIT NO CARGADO")</f>
        <v>-</v>
      </c>
      <c r="H200" s="100"/>
      <c r="I200" s="101">
        <f>venta_a_mes1[[#This Row],[IMPORTE NETO]]*0.21</f>
        <v>0</v>
      </c>
      <c r="J200" s="65"/>
      <c r="K200" s="65"/>
      <c r="L200" s="65">
        <f>SUM(venta_a_mes1[[#This Row],[IMPORTE NETO]:[EXENTO]])</f>
        <v>0</v>
      </c>
      <c r="M200" s="59"/>
    </row>
    <row r="201" spans="2:13" x14ac:dyDescent="0.3">
      <c r="B201" s="109"/>
      <c r="C201" s="110"/>
      <c r="D201" s="111"/>
      <c r="E201" s="112"/>
      <c r="F201" s="113"/>
      <c r="G201" s="275" t="str">
        <f>IFERROR(IF(venta_a_mes1[[#This Row],[CUIT]]="","-",VLOOKUP(venta_a_mes1[[#This Row],[CUIT]],Lista_CUIT[#All],2,0)),"CUIT NO CARGADO")</f>
        <v>-</v>
      </c>
      <c r="H201" s="100"/>
      <c r="I201" s="101">
        <f>venta_a_mes1[[#This Row],[IMPORTE NETO]]*0.21</f>
        <v>0</v>
      </c>
      <c r="J201" s="65"/>
      <c r="K201" s="65"/>
      <c r="L201" s="65">
        <f>SUM(venta_a_mes1[[#This Row],[IMPORTE NETO]:[EXENTO]])</f>
        <v>0</v>
      </c>
      <c r="M201" s="59"/>
    </row>
    <row r="202" spans="2:13" x14ac:dyDescent="0.3">
      <c r="B202" s="109"/>
      <c r="C202" s="110"/>
      <c r="D202" s="111"/>
      <c r="E202" s="112"/>
      <c r="F202" s="113"/>
      <c r="G202" s="275" t="str">
        <f>IFERROR(IF(venta_a_mes1[[#This Row],[CUIT]]="","-",VLOOKUP(venta_a_mes1[[#This Row],[CUIT]],Lista_CUIT[#All],2,0)),"CUIT NO CARGADO")</f>
        <v>-</v>
      </c>
      <c r="H202" s="100"/>
      <c r="I202" s="101">
        <f>venta_a_mes1[[#This Row],[IMPORTE NETO]]*0.21</f>
        <v>0</v>
      </c>
      <c r="J202" s="65"/>
      <c r="K202" s="65"/>
      <c r="L202" s="65">
        <f>SUM(venta_a_mes1[[#This Row],[IMPORTE NETO]:[EXENTO]])</f>
        <v>0</v>
      </c>
      <c r="M202" s="59"/>
    </row>
    <row r="203" spans="2:13" x14ac:dyDescent="0.3">
      <c r="B203" s="109"/>
      <c r="C203" s="110"/>
      <c r="D203" s="111"/>
      <c r="E203" s="112"/>
      <c r="F203" s="113"/>
      <c r="G203" s="275" t="str">
        <f>IFERROR(IF(venta_a_mes1[[#This Row],[CUIT]]="","-",VLOOKUP(venta_a_mes1[[#This Row],[CUIT]],Lista_CUIT[#All],2,0)),"CUIT NO CARGADO")</f>
        <v>-</v>
      </c>
      <c r="H203" s="100"/>
      <c r="I203" s="101">
        <f>venta_a_mes1[[#This Row],[IMPORTE NETO]]*0.21</f>
        <v>0</v>
      </c>
      <c r="J203" s="65"/>
      <c r="K203" s="65"/>
      <c r="L203" s="65">
        <f>SUM(venta_a_mes1[[#This Row],[IMPORTE NETO]:[EXENTO]])</f>
        <v>0</v>
      </c>
      <c r="M203" s="59"/>
    </row>
    <row r="204" spans="2:13" x14ac:dyDescent="0.3">
      <c r="B204" s="109"/>
      <c r="C204" s="110"/>
      <c r="D204" s="111"/>
      <c r="E204" s="112"/>
      <c r="F204" s="113"/>
      <c r="G204" s="275" t="str">
        <f>IFERROR(IF(venta_a_mes1[[#This Row],[CUIT]]="","-",VLOOKUP(venta_a_mes1[[#This Row],[CUIT]],Lista_CUIT[#All],2,0)),"CUIT NO CARGADO")</f>
        <v>-</v>
      </c>
      <c r="H204" s="100"/>
      <c r="I204" s="101">
        <f>venta_a_mes1[[#This Row],[IMPORTE NETO]]*0.21</f>
        <v>0</v>
      </c>
      <c r="J204" s="65"/>
      <c r="K204" s="65"/>
      <c r="L204" s="65">
        <f>SUM(venta_a_mes1[[#This Row],[IMPORTE NETO]:[EXENTO]])</f>
        <v>0</v>
      </c>
      <c r="M204" s="59"/>
    </row>
    <row r="205" spans="2:13" x14ac:dyDescent="0.3">
      <c r="B205" s="109"/>
      <c r="C205" s="110"/>
      <c r="D205" s="111"/>
      <c r="E205" s="112"/>
      <c r="F205" s="113"/>
      <c r="G205" s="275" t="str">
        <f>IFERROR(IF(venta_a_mes1[[#This Row],[CUIT]]="","-",VLOOKUP(venta_a_mes1[[#This Row],[CUIT]],Lista_CUIT[#All],2,0)),"CUIT NO CARGADO")</f>
        <v>-</v>
      </c>
      <c r="H205" s="100"/>
      <c r="I205" s="101">
        <f>venta_a_mes1[[#This Row],[IMPORTE NETO]]*0.21</f>
        <v>0</v>
      </c>
      <c r="J205" s="65"/>
      <c r="K205" s="65"/>
      <c r="L205" s="65">
        <f>SUM(venta_a_mes1[[#This Row],[IMPORTE NETO]:[EXENTO]])</f>
        <v>0</v>
      </c>
      <c r="M205" s="59"/>
    </row>
    <row r="206" spans="2:13" x14ac:dyDescent="0.3">
      <c r="B206" s="109"/>
      <c r="C206" s="110"/>
      <c r="D206" s="111"/>
      <c r="E206" s="112"/>
      <c r="F206" s="113"/>
      <c r="G206" s="275" t="str">
        <f>IFERROR(IF(venta_a_mes1[[#This Row],[CUIT]]="","-",VLOOKUP(venta_a_mes1[[#This Row],[CUIT]],Lista_CUIT[#All],2,0)),"CUIT NO CARGADO")</f>
        <v>-</v>
      </c>
      <c r="H206" s="100"/>
      <c r="I206" s="101">
        <f>venta_a_mes1[[#This Row],[IMPORTE NETO]]*0.21</f>
        <v>0</v>
      </c>
      <c r="J206" s="65"/>
      <c r="K206" s="65"/>
      <c r="L206" s="65">
        <f>SUM(venta_a_mes1[[#This Row],[IMPORTE NETO]:[EXENTO]])</f>
        <v>0</v>
      </c>
      <c r="M206" s="59"/>
    </row>
    <row r="207" spans="2:13" x14ac:dyDescent="0.3">
      <c r="B207" s="109"/>
      <c r="C207" s="110"/>
      <c r="D207" s="111"/>
      <c r="E207" s="112"/>
      <c r="F207" s="113"/>
      <c r="G207" s="275" t="str">
        <f>IFERROR(IF(venta_a_mes1[[#This Row],[CUIT]]="","-",VLOOKUP(venta_a_mes1[[#This Row],[CUIT]],Lista_CUIT[#All],2,0)),"CUIT NO CARGADO")</f>
        <v>-</v>
      </c>
      <c r="H207" s="100"/>
      <c r="I207" s="101">
        <f>venta_a_mes1[[#This Row],[IMPORTE NETO]]*0.21</f>
        <v>0</v>
      </c>
      <c r="J207" s="65"/>
      <c r="K207" s="65"/>
      <c r="L207" s="65">
        <f>SUM(venta_a_mes1[[#This Row],[IMPORTE NETO]:[EXENTO]])</f>
        <v>0</v>
      </c>
      <c r="M207" s="59"/>
    </row>
    <row r="208" spans="2:13" x14ac:dyDescent="0.3">
      <c r="B208" s="109"/>
      <c r="C208" s="110"/>
      <c r="D208" s="111"/>
      <c r="E208" s="112"/>
      <c r="F208" s="113"/>
      <c r="G208" s="275" t="str">
        <f>IFERROR(IF(venta_a_mes1[[#This Row],[CUIT]]="","-",VLOOKUP(venta_a_mes1[[#This Row],[CUIT]],Lista_CUIT[#All],2,0)),"CUIT NO CARGADO")</f>
        <v>-</v>
      </c>
      <c r="H208" s="100"/>
      <c r="I208" s="101">
        <f>venta_a_mes1[[#This Row],[IMPORTE NETO]]*0.21</f>
        <v>0</v>
      </c>
      <c r="J208" s="65"/>
      <c r="K208" s="65"/>
      <c r="L208" s="65">
        <f>SUM(venta_a_mes1[[#This Row],[IMPORTE NETO]:[EXENTO]])</f>
        <v>0</v>
      </c>
      <c r="M208" s="59"/>
    </row>
    <row r="209" spans="2:13" x14ac:dyDescent="0.3">
      <c r="B209" s="109"/>
      <c r="C209" s="110"/>
      <c r="D209" s="111"/>
      <c r="E209" s="112"/>
      <c r="F209" s="113"/>
      <c r="G209" s="275" t="str">
        <f>IFERROR(IF(venta_a_mes1[[#This Row],[CUIT]]="","-",VLOOKUP(venta_a_mes1[[#This Row],[CUIT]],Lista_CUIT[#All],2,0)),"CUIT NO CARGADO")</f>
        <v>-</v>
      </c>
      <c r="H209" s="100"/>
      <c r="I209" s="101">
        <f>venta_a_mes1[[#This Row],[IMPORTE NETO]]*0.21</f>
        <v>0</v>
      </c>
      <c r="J209" s="65"/>
      <c r="K209" s="65"/>
      <c r="L209" s="65">
        <f>SUM(venta_a_mes1[[#This Row],[IMPORTE NETO]:[EXENTO]])</f>
        <v>0</v>
      </c>
      <c r="M209" s="59"/>
    </row>
    <row r="210" spans="2:13" x14ac:dyDescent="0.3">
      <c r="B210" s="109"/>
      <c r="C210" s="110"/>
      <c r="D210" s="111"/>
      <c r="E210" s="112"/>
      <c r="F210" s="113"/>
      <c r="G210" s="275" t="str">
        <f>IFERROR(IF(venta_a_mes1[[#This Row],[CUIT]]="","-",VLOOKUP(venta_a_mes1[[#This Row],[CUIT]],Lista_CUIT[#All],2,0)),"CUIT NO CARGADO")</f>
        <v>-</v>
      </c>
      <c r="H210" s="100"/>
      <c r="I210" s="101">
        <f>venta_a_mes1[[#This Row],[IMPORTE NETO]]*0.21</f>
        <v>0</v>
      </c>
      <c r="J210" s="65"/>
      <c r="K210" s="65"/>
      <c r="L210" s="65">
        <f>SUM(venta_a_mes1[[#This Row],[IMPORTE NETO]:[EXENTO]])</f>
        <v>0</v>
      </c>
      <c r="M210" s="59"/>
    </row>
    <row r="211" spans="2:13" x14ac:dyDescent="0.3">
      <c r="B211" s="109"/>
      <c r="C211" s="110"/>
      <c r="D211" s="111"/>
      <c r="E211" s="112"/>
      <c r="F211" s="113"/>
      <c r="G211" s="275" t="str">
        <f>IFERROR(IF(venta_a_mes1[[#This Row],[CUIT]]="","-",VLOOKUP(venta_a_mes1[[#This Row],[CUIT]],Lista_CUIT[#All],2,0)),"CUIT NO CARGADO")</f>
        <v>-</v>
      </c>
      <c r="H211" s="100"/>
      <c r="I211" s="101">
        <f>venta_a_mes1[[#This Row],[IMPORTE NETO]]*0.21</f>
        <v>0</v>
      </c>
      <c r="J211" s="65"/>
      <c r="K211" s="65"/>
      <c r="L211" s="65">
        <f>SUM(venta_a_mes1[[#This Row],[IMPORTE NETO]:[EXENTO]])</f>
        <v>0</v>
      </c>
      <c r="M211" s="59"/>
    </row>
    <row r="212" spans="2:13" x14ac:dyDescent="0.3">
      <c r="B212" s="109"/>
      <c r="C212" s="110"/>
      <c r="D212" s="111"/>
      <c r="E212" s="112"/>
      <c r="F212" s="113"/>
      <c r="G212" s="275" t="str">
        <f>IFERROR(IF(venta_a_mes1[[#This Row],[CUIT]]="","-",VLOOKUP(venta_a_mes1[[#This Row],[CUIT]],Lista_CUIT[#All],2,0)),"CUIT NO CARGADO")</f>
        <v>-</v>
      </c>
      <c r="H212" s="100"/>
      <c r="I212" s="101">
        <f>venta_a_mes1[[#This Row],[IMPORTE NETO]]*0.21</f>
        <v>0</v>
      </c>
      <c r="J212" s="65"/>
      <c r="K212" s="65"/>
      <c r="L212" s="65">
        <f>SUM(venta_a_mes1[[#This Row],[IMPORTE NETO]:[EXENTO]])</f>
        <v>0</v>
      </c>
      <c r="M212" s="59"/>
    </row>
    <row r="213" spans="2:13" x14ac:dyDescent="0.3">
      <c r="B213" s="109"/>
      <c r="C213" s="110"/>
      <c r="D213" s="111"/>
      <c r="E213" s="112"/>
      <c r="F213" s="113"/>
      <c r="G213" s="275" t="str">
        <f>IFERROR(IF(venta_a_mes1[[#This Row],[CUIT]]="","-",VLOOKUP(venta_a_mes1[[#This Row],[CUIT]],Lista_CUIT[#All],2,0)),"CUIT NO CARGADO")</f>
        <v>-</v>
      </c>
      <c r="H213" s="100"/>
      <c r="I213" s="101">
        <f>venta_a_mes1[[#This Row],[IMPORTE NETO]]*0.21</f>
        <v>0</v>
      </c>
      <c r="J213" s="65"/>
      <c r="K213" s="65"/>
      <c r="L213" s="65">
        <f>SUM(venta_a_mes1[[#This Row],[IMPORTE NETO]:[EXENTO]])</f>
        <v>0</v>
      </c>
      <c r="M213" s="59"/>
    </row>
    <row r="214" spans="2:13" x14ac:dyDescent="0.3">
      <c r="B214" s="109"/>
      <c r="C214" s="110"/>
      <c r="D214" s="111"/>
      <c r="E214" s="112"/>
      <c r="F214" s="113"/>
      <c r="G214" s="275" t="str">
        <f>IFERROR(IF(venta_a_mes1[[#This Row],[CUIT]]="","-",VLOOKUP(venta_a_mes1[[#This Row],[CUIT]],Lista_CUIT[#All],2,0)),"CUIT NO CARGADO")</f>
        <v>-</v>
      </c>
      <c r="H214" s="100"/>
      <c r="I214" s="101">
        <f>venta_a_mes1[[#This Row],[IMPORTE NETO]]*0.21</f>
        <v>0</v>
      </c>
      <c r="J214" s="65"/>
      <c r="K214" s="65"/>
      <c r="L214" s="65">
        <f>SUM(venta_a_mes1[[#This Row],[IMPORTE NETO]:[EXENTO]])</f>
        <v>0</v>
      </c>
      <c r="M214" s="59"/>
    </row>
    <row r="215" spans="2:13" x14ac:dyDescent="0.3">
      <c r="B215" s="109"/>
      <c r="C215" s="110"/>
      <c r="D215" s="111"/>
      <c r="E215" s="112"/>
      <c r="F215" s="113"/>
      <c r="G215" s="275" t="str">
        <f>IFERROR(IF(venta_a_mes1[[#This Row],[CUIT]]="","-",VLOOKUP(venta_a_mes1[[#This Row],[CUIT]],Lista_CUIT[#All],2,0)),"CUIT NO CARGADO")</f>
        <v>-</v>
      </c>
      <c r="H215" s="100"/>
      <c r="I215" s="101">
        <f>venta_a_mes1[[#This Row],[IMPORTE NETO]]*0.21</f>
        <v>0</v>
      </c>
      <c r="J215" s="65"/>
      <c r="K215" s="65"/>
      <c r="L215" s="65">
        <f>SUM(venta_a_mes1[[#This Row],[IMPORTE NETO]:[EXENTO]])</f>
        <v>0</v>
      </c>
      <c r="M215" s="59"/>
    </row>
    <row r="216" spans="2:13" x14ac:dyDescent="0.3">
      <c r="B216" s="109"/>
      <c r="C216" s="110"/>
      <c r="D216" s="111"/>
      <c r="E216" s="112"/>
      <c r="F216" s="113"/>
      <c r="G216" s="275" t="str">
        <f>IFERROR(IF(venta_a_mes1[[#This Row],[CUIT]]="","-",VLOOKUP(venta_a_mes1[[#This Row],[CUIT]],Lista_CUIT[#All],2,0)),"CUIT NO CARGADO")</f>
        <v>-</v>
      </c>
      <c r="H216" s="100"/>
      <c r="I216" s="101">
        <f>venta_a_mes1[[#This Row],[IMPORTE NETO]]*0.21</f>
        <v>0</v>
      </c>
      <c r="J216" s="65"/>
      <c r="K216" s="65"/>
      <c r="L216" s="65">
        <f>SUM(venta_a_mes1[[#This Row],[IMPORTE NETO]:[EXENTO]])</f>
        <v>0</v>
      </c>
      <c r="M216" s="59"/>
    </row>
    <row r="217" spans="2:13" x14ac:dyDescent="0.3">
      <c r="B217" s="109"/>
      <c r="C217" s="110"/>
      <c r="D217" s="111"/>
      <c r="E217" s="112"/>
      <c r="F217" s="113"/>
      <c r="G217" s="275" t="str">
        <f>IFERROR(IF(venta_a_mes1[[#This Row],[CUIT]]="","-",VLOOKUP(venta_a_mes1[[#This Row],[CUIT]],Lista_CUIT[#All],2,0)),"CUIT NO CARGADO")</f>
        <v>-</v>
      </c>
      <c r="H217" s="100"/>
      <c r="I217" s="101">
        <f>venta_a_mes1[[#This Row],[IMPORTE NETO]]*0.21</f>
        <v>0</v>
      </c>
      <c r="J217" s="65"/>
      <c r="K217" s="65"/>
      <c r="L217" s="65">
        <f>SUM(venta_a_mes1[[#This Row],[IMPORTE NETO]:[EXENTO]])</f>
        <v>0</v>
      </c>
      <c r="M217" s="59"/>
    </row>
    <row r="218" spans="2:13" x14ac:dyDescent="0.3">
      <c r="B218" s="109"/>
      <c r="C218" s="110"/>
      <c r="D218" s="111"/>
      <c r="E218" s="112"/>
      <c r="F218" s="113"/>
      <c r="G218" s="275" t="str">
        <f>IFERROR(IF(venta_a_mes1[[#This Row],[CUIT]]="","-",VLOOKUP(venta_a_mes1[[#This Row],[CUIT]],Lista_CUIT[#All],2,0)),"CUIT NO CARGADO")</f>
        <v>-</v>
      </c>
      <c r="H218" s="100"/>
      <c r="I218" s="101">
        <f>venta_a_mes1[[#This Row],[IMPORTE NETO]]*0.21</f>
        <v>0</v>
      </c>
      <c r="J218" s="65"/>
      <c r="K218" s="65"/>
      <c r="L218" s="65">
        <f>SUM(venta_a_mes1[[#This Row],[IMPORTE NETO]:[EXENTO]])</f>
        <v>0</v>
      </c>
      <c r="M218" s="59"/>
    </row>
    <row r="219" spans="2:13" x14ac:dyDescent="0.3">
      <c r="B219" s="109"/>
      <c r="C219" s="110"/>
      <c r="D219" s="111"/>
      <c r="E219" s="112"/>
      <c r="F219" s="113"/>
      <c r="G219" s="275" t="str">
        <f>IFERROR(IF(venta_a_mes1[[#This Row],[CUIT]]="","-",VLOOKUP(venta_a_mes1[[#This Row],[CUIT]],Lista_CUIT[#All],2,0)),"CUIT NO CARGADO")</f>
        <v>-</v>
      </c>
      <c r="H219" s="100"/>
      <c r="I219" s="101">
        <f>venta_a_mes1[[#This Row],[IMPORTE NETO]]*0.21</f>
        <v>0</v>
      </c>
      <c r="J219" s="65"/>
      <c r="K219" s="65"/>
      <c r="L219" s="65">
        <f>SUM(venta_a_mes1[[#This Row],[IMPORTE NETO]:[EXENTO]])</f>
        <v>0</v>
      </c>
      <c r="M219" s="59"/>
    </row>
    <row r="220" spans="2:13" x14ac:dyDescent="0.3">
      <c r="B220" s="109"/>
      <c r="C220" s="110"/>
      <c r="D220" s="111"/>
      <c r="E220" s="112"/>
      <c r="F220" s="113"/>
      <c r="G220" s="275" t="str">
        <f>IFERROR(IF(venta_a_mes1[[#This Row],[CUIT]]="","-",VLOOKUP(venta_a_mes1[[#This Row],[CUIT]],Lista_CUIT[#All],2,0)),"CUIT NO CARGADO")</f>
        <v>-</v>
      </c>
      <c r="H220" s="100"/>
      <c r="I220" s="101">
        <f>venta_a_mes1[[#This Row],[IMPORTE NETO]]*0.21</f>
        <v>0</v>
      </c>
      <c r="J220" s="65"/>
      <c r="K220" s="65"/>
      <c r="L220" s="65">
        <f>SUM(venta_a_mes1[[#This Row],[IMPORTE NETO]:[EXENTO]])</f>
        <v>0</v>
      </c>
      <c r="M220" s="59"/>
    </row>
    <row r="221" spans="2:13" x14ac:dyDescent="0.3">
      <c r="B221" s="109"/>
      <c r="C221" s="110"/>
      <c r="D221" s="111"/>
      <c r="E221" s="112"/>
      <c r="F221" s="113"/>
      <c r="G221" s="275" t="str">
        <f>IFERROR(IF(venta_a_mes1[[#This Row],[CUIT]]="","-",VLOOKUP(venta_a_mes1[[#This Row],[CUIT]],Lista_CUIT[#All],2,0)),"CUIT NO CARGADO")</f>
        <v>-</v>
      </c>
      <c r="H221" s="100"/>
      <c r="I221" s="101">
        <f>venta_a_mes1[[#This Row],[IMPORTE NETO]]*0.21</f>
        <v>0</v>
      </c>
      <c r="J221" s="65"/>
      <c r="K221" s="65"/>
      <c r="L221" s="65">
        <f>SUM(venta_a_mes1[[#This Row],[IMPORTE NETO]:[EXENTO]])</f>
        <v>0</v>
      </c>
      <c r="M221" s="59"/>
    </row>
    <row r="222" spans="2:13" x14ac:dyDescent="0.3">
      <c r="B222" s="109"/>
      <c r="C222" s="110"/>
      <c r="D222" s="111"/>
      <c r="E222" s="112"/>
      <c r="F222" s="113"/>
      <c r="G222" s="275" t="str">
        <f>IFERROR(IF(venta_a_mes1[[#This Row],[CUIT]]="","-",VLOOKUP(venta_a_mes1[[#This Row],[CUIT]],Lista_CUIT[#All],2,0)),"CUIT NO CARGADO")</f>
        <v>-</v>
      </c>
      <c r="H222" s="100"/>
      <c r="I222" s="101">
        <f>venta_a_mes1[[#This Row],[IMPORTE NETO]]*0.21</f>
        <v>0</v>
      </c>
      <c r="J222" s="65"/>
      <c r="K222" s="65"/>
      <c r="L222" s="65">
        <f>SUM(venta_a_mes1[[#This Row],[IMPORTE NETO]:[EXENTO]])</f>
        <v>0</v>
      </c>
      <c r="M222" s="59"/>
    </row>
    <row r="223" spans="2:13" x14ac:dyDescent="0.3">
      <c r="B223" s="109"/>
      <c r="C223" s="110"/>
      <c r="D223" s="111"/>
      <c r="E223" s="112"/>
      <c r="F223" s="113"/>
      <c r="G223" s="275" t="str">
        <f>IFERROR(IF(venta_a_mes1[[#This Row],[CUIT]]="","-",VLOOKUP(venta_a_mes1[[#This Row],[CUIT]],Lista_CUIT[#All],2,0)),"CUIT NO CARGADO")</f>
        <v>-</v>
      </c>
      <c r="H223" s="100"/>
      <c r="I223" s="101">
        <f>venta_a_mes1[[#This Row],[IMPORTE NETO]]*0.21</f>
        <v>0</v>
      </c>
      <c r="J223" s="65"/>
      <c r="K223" s="65"/>
      <c r="L223" s="65">
        <f>SUM(venta_a_mes1[[#This Row],[IMPORTE NETO]:[EXENTO]])</f>
        <v>0</v>
      </c>
      <c r="M223" s="59"/>
    </row>
    <row r="224" spans="2:13" x14ac:dyDescent="0.3">
      <c r="B224" s="109"/>
      <c r="C224" s="110"/>
      <c r="D224" s="111"/>
      <c r="E224" s="112"/>
      <c r="F224" s="113"/>
      <c r="G224" s="275" t="str">
        <f>IFERROR(IF(venta_a_mes1[[#This Row],[CUIT]]="","-",VLOOKUP(venta_a_mes1[[#This Row],[CUIT]],Lista_CUIT[#All],2,0)),"CUIT NO CARGADO")</f>
        <v>-</v>
      </c>
      <c r="H224" s="100"/>
      <c r="I224" s="101">
        <f>venta_a_mes1[[#This Row],[IMPORTE NETO]]*0.21</f>
        <v>0</v>
      </c>
      <c r="J224" s="65"/>
      <c r="K224" s="65"/>
      <c r="L224" s="65">
        <f>SUM(venta_a_mes1[[#This Row],[IMPORTE NETO]:[EXENTO]])</f>
        <v>0</v>
      </c>
      <c r="M224" s="59"/>
    </row>
    <row r="225" spans="2:13" x14ac:dyDescent="0.3">
      <c r="B225" s="109"/>
      <c r="C225" s="110"/>
      <c r="D225" s="111"/>
      <c r="E225" s="112"/>
      <c r="F225" s="113"/>
      <c r="G225" s="275" t="str">
        <f>IFERROR(IF(venta_a_mes1[[#This Row],[CUIT]]="","-",VLOOKUP(venta_a_mes1[[#This Row],[CUIT]],Lista_CUIT[#All],2,0)),"CUIT NO CARGADO")</f>
        <v>-</v>
      </c>
      <c r="H225" s="100"/>
      <c r="I225" s="101">
        <f>venta_a_mes1[[#This Row],[IMPORTE NETO]]*0.21</f>
        <v>0</v>
      </c>
      <c r="J225" s="65"/>
      <c r="K225" s="65"/>
      <c r="L225" s="65">
        <f>SUM(venta_a_mes1[[#This Row],[IMPORTE NETO]:[EXENTO]])</f>
        <v>0</v>
      </c>
      <c r="M225" s="59"/>
    </row>
    <row r="226" spans="2:13" x14ac:dyDescent="0.3">
      <c r="B226" s="109"/>
      <c r="C226" s="110"/>
      <c r="D226" s="111"/>
      <c r="E226" s="112"/>
      <c r="F226" s="113"/>
      <c r="G226" s="275" t="str">
        <f>IFERROR(IF(venta_a_mes1[[#This Row],[CUIT]]="","-",VLOOKUP(venta_a_mes1[[#This Row],[CUIT]],Lista_CUIT[#All],2,0)),"CUIT NO CARGADO")</f>
        <v>-</v>
      </c>
      <c r="H226" s="100"/>
      <c r="I226" s="101">
        <f>venta_a_mes1[[#This Row],[IMPORTE NETO]]*0.21</f>
        <v>0</v>
      </c>
      <c r="J226" s="65"/>
      <c r="K226" s="65"/>
      <c r="L226" s="65">
        <f>SUM(venta_a_mes1[[#This Row],[IMPORTE NETO]:[EXENTO]])</f>
        <v>0</v>
      </c>
      <c r="M226" s="59"/>
    </row>
    <row r="227" spans="2:13" x14ac:dyDescent="0.3">
      <c r="B227" s="109"/>
      <c r="C227" s="110"/>
      <c r="D227" s="111"/>
      <c r="E227" s="112"/>
      <c r="F227" s="113"/>
      <c r="G227" s="275" t="str">
        <f>IFERROR(IF(venta_a_mes1[[#This Row],[CUIT]]="","-",VLOOKUP(venta_a_mes1[[#This Row],[CUIT]],Lista_CUIT[#All],2,0)),"CUIT NO CARGADO")</f>
        <v>-</v>
      </c>
      <c r="H227" s="100"/>
      <c r="I227" s="101">
        <f>venta_a_mes1[[#This Row],[IMPORTE NETO]]*0.21</f>
        <v>0</v>
      </c>
      <c r="J227" s="65"/>
      <c r="K227" s="65"/>
      <c r="L227" s="65">
        <f>SUM(venta_a_mes1[[#This Row],[IMPORTE NETO]:[EXENTO]])</f>
        <v>0</v>
      </c>
      <c r="M227" s="59"/>
    </row>
    <row r="228" spans="2:13" x14ac:dyDescent="0.3">
      <c r="B228" s="109"/>
      <c r="C228" s="110"/>
      <c r="D228" s="111"/>
      <c r="E228" s="112"/>
      <c r="F228" s="113"/>
      <c r="G228" s="275" t="str">
        <f>IFERROR(IF(venta_a_mes1[[#This Row],[CUIT]]="","-",VLOOKUP(venta_a_mes1[[#This Row],[CUIT]],Lista_CUIT[#All],2,0)),"CUIT NO CARGADO")</f>
        <v>-</v>
      </c>
      <c r="H228" s="100"/>
      <c r="I228" s="101">
        <f>venta_a_mes1[[#This Row],[IMPORTE NETO]]*0.21</f>
        <v>0</v>
      </c>
      <c r="J228" s="65"/>
      <c r="K228" s="65"/>
      <c r="L228" s="65">
        <f>SUM(venta_a_mes1[[#This Row],[IMPORTE NETO]:[EXENTO]])</f>
        <v>0</v>
      </c>
      <c r="M228" s="59"/>
    </row>
    <row r="229" spans="2:13" x14ac:dyDescent="0.3">
      <c r="B229" s="109"/>
      <c r="C229" s="110"/>
      <c r="D229" s="111"/>
      <c r="E229" s="112"/>
      <c r="F229" s="113"/>
      <c r="G229" s="275" t="str">
        <f>IFERROR(IF(venta_a_mes1[[#This Row],[CUIT]]="","-",VLOOKUP(venta_a_mes1[[#This Row],[CUIT]],Lista_CUIT[#All],2,0)),"CUIT NO CARGADO")</f>
        <v>-</v>
      </c>
      <c r="H229" s="100"/>
      <c r="I229" s="101">
        <f>venta_a_mes1[[#This Row],[IMPORTE NETO]]*0.21</f>
        <v>0</v>
      </c>
      <c r="J229" s="65"/>
      <c r="K229" s="65"/>
      <c r="L229" s="65">
        <f>SUM(venta_a_mes1[[#This Row],[IMPORTE NETO]:[EXENTO]])</f>
        <v>0</v>
      </c>
      <c r="M229" s="59"/>
    </row>
    <row r="230" spans="2:13" x14ac:dyDescent="0.3">
      <c r="B230" s="109"/>
      <c r="C230" s="110"/>
      <c r="D230" s="111"/>
      <c r="E230" s="112"/>
      <c r="F230" s="113"/>
      <c r="G230" s="275" t="str">
        <f>IFERROR(IF(venta_a_mes1[[#This Row],[CUIT]]="","-",VLOOKUP(venta_a_mes1[[#This Row],[CUIT]],Lista_CUIT[#All],2,0)),"CUIT NO CARGADO")</f>
        <v>-</v>
      </c>
      <c r="H230" s="100"/>
      <c r="I230" s="101">
        <f>venta_a_mes1[[#This Row],[IMPORTE NETO]]*0.21</f>
        <v>0</v>
      </c>
      <c r="J230" s="65"/>
      <c r="K230" s="65"/>
      <c r="L230" s="65">
        <f>SUM(venta_a_mes1[[#This Row],[IMPORTE NETO]:[EXENTO]])</f>
        <v>0</v>
      </c>
      <c r="M230" s="59"/>
    </row>
    <row r="231" spans="2:13" x14ac:dyDescent="0.3">
      <c r="B231" s="109"/>
      <c r="C231" s="110"/>
      <c r="D231" s="111"/>
      <c r="E231" s="112"/>
      <c r="F231" s="113"/>
      <c r="G231" s="275" t="str">
        <f>IFERROR(IF(venta_a_mes1[[#This Row],[CUIT]]="","-",VLOOKUP(venta_a_mes1[[#This Row],[CUIT]],Lista_CUIT[#All],2,0)),"CUIT NO CARGADO")</f>
        <v>-</v>
      </c>
      <c r="H231" s="100"/>
      <c r="I231" s="101">
        <f>venta_a_mes1[[#This Row],[IMPORTE NETO]]*0.21</f>
        <v>0</v>
      </c>
      <c r="J231" s="65"/>
      <c r="K231" s="65"/>
      <c r="L231" s="65">
        <f>SUM(venta_a_mes1[[#This Row],[IMPORTE NETO]:[EXENTO]])</f>
        <v>0</v>
      </c>
      <c r="M231" s="59"/>
    </row>
    <row r="232" spans="2:13" x14ac:dyDescent="0.3">
      <c r="B232" s="109"/>
      <c r="C232" s="110"/>
      <c r="D232" s="111"/>
      <c r="E232" s="112"/>
      <c r="F232" s="113"/>
      <c r="G232" s="275" t="str">
        <f>IFERROR(IF(venta_a_mes1[[#This Row],[CUIT]]="","-",VLOOKUP(venta_a_mes1[[#This Row],[CUIT]],Lista_CUIT[#All],2,0)),"CUIT NO CARGADO")</f>
        <v>-</v>
      </c>
      <c r="H232" s="100"/>
      <c r="I232" s="101">
        <f>venta_a_mes1[[#This Row],[IMPORTE NETO]]*0.21</f>
        <v>0</v>
      </c>
      <c r="J232" s="65"/>
      <c r="K232" s="65"/>
      <c r="L232" s="65">
        <f>SUM(venta_a_mes1[[#This Row],[IMPORTE NETO]:[EXENTO]])</f>
        <v>0</v>
      </c>
      <c r="M232" s="59"/>
    </row>
    <row r="233" spans="2:13" x14ac:dyDescent="0.3">
      <c r="B233" s="109"/>
      <c r="C233" s="110"/>
      <c r="D233" s="111"/>
      <c r="E233" s="112"/>
      <c r="F233" s="113"/>
      <c r="G233" s="275" t="str">
        <f>IFERROR(IF(venta_a_mes1[[#This Row],[CUIT]]="","-",VLOOKUP(venta_a_mes1[[#This Row],[CUIT]],Lista_CUIT[#All],2,0)),"CUIT NO CARGADO")</f>
        <v>-</v>
      </c>
      <c r="H233" s="100"/>
      <c r="I233" s="101">
        <f>venta_a_mes1[[#This Row],[IMPORTE NETO]]*0.21</f>
        <v>0</v>
      </c>
      <c r="J233" s="65"/>
      <c r="K233" s="65"/>
      <c r="L233" s="65">
        <f>SUM(venta_a_mes1[[#This Row],[IMPORTE NETO]:[EXENTO]])</f>
        <v>0</v>
      </c>
      <c r="M233" s="59"/>
    </row>
    <row r="234" spans="2:13" x14ac:dyDescent="0.3">
      <c r="B234" s="109"/>
      <c r="C234" s="110"/>
      <c r="D234" s="111"/>
      <c r="E234" s="112"/>
      <c r="F234" s="113"/>
      <c r="G234" s="275" t="str">
        <f>IFERROR(IF(venta_a_mes1[[#This Row],[CUIT]]="","-",VLOOKUP(venta_a_mes1[[#This Row],[CUIT]],Lista_CUIT[#All],2,0)),"CUIT NO CARGADO")</f>
        <v>-</v>
      </c>
      <c r="H234" s="100"/>
      <c r="I234" s="101">
        <f>venta_a_mes1[[#This Row],[IMPORTE NETO]]*0.21</f>
        <v>0</v>
      </c>
      <c r="J234" s="65"/>
      <c r="K234" s="65"/>
      <c r="L234" s="65">
        <f>SUM(venta_a_mes1[[#This Row],[IMPORTE NETO]:[EXENTO]])</f>
        <v>0</v>
      </c>
      <c r="M234" s="59"/>
    </row>
    <row r="235" spans="2:13" x14ac:dyDescent="0.3">
      <c r="B235" s="109"/>
      <c r="C235" s="110"/>
      <c r="D235" s="111"/>
      <c r="E235" s="112"/>
      <c r="F235" s="113"/>
      <c r="G235" s="275" t="str">
        <f>IFERROR(IF(venta_a_mes1[[#This Row],[CUIT]]="","-",VLOOKUP(venta_a_mes1[[#This Row],[CUIT]],Lista_CUIT[#All],2,0)),"CUIT NO CARGADO")</f>
        <v>-</v>
      </c>
      <c r="H235" s="100"/>
      <c r="I235" s="101">
        <f>venta_a_mes1[[#This Row],[IMPORTE NETO]]*0.21</f>
        <v>0</v>
      </c>
      <c r="J235" s="65"/>
      <c r="K235" s="65"/>
      <c r="L235" s="65">
        <f>SUM(venta_a_mes1[[#This Row],[IMPORTE NETO]:[EXENTO]])</f>
        <v>0</v>
      </c>
      <c r="M235" s="59"/>
    </row>
    <row r="236" spans="2:13" x14ac:dyDescent="0.3">
      <c r="B236" s="109"/>
      <c r="C236" s="110"/>
      <c r="D236" s="111"/>
      <c r="E236" s="112"/>
      <c r="F236" s="113"/>
      <c r="G236" s="275" t="str">
        <f>IFERROR(IF(venta_a_mes1[[#This Row],[CUIT]]="","-",VLOOKUP(venta_a_mes1[[#This Row],[CUIT]],Lista_CUIT[#All],2,0)),"CUIT NO CARGADO")</f>
        <v>-</v>
      </c>
      <c r="H236" s="100"/>
      <c r="I236" s="101">
        <f>venta_a_mes1[[#This Row],[IMPORTE NETO]]*0.21</f>
        <v>0</v>
      </c>
      <c r="J236" s="65"/>
      <c r="K236" s="65"/>
      <c r="L236" s="65">
        <f>SUM(venta_a_mes1[[#This Row],[IMPORTE NETO]:[EXENTO]])</f>
        <v>0</v>
      </c>
      <c r="M236" s="59"/>
    </row>
    <row r="237" spans="2:13" x14ac:dyDescent="0.3">
      <c r="B237" s="109"/>
      <c r="C237" s="110"/>
      <c r="D237" s="111"/>
      <c r="E237" s="112"/>
      <c r="F237" s="113"/>
      <c r="G237" s="275" t="str">
        <f>IFERROR(IF(venta_a_mes1[[#This Row],[CUIT]]="","-",VLOOKUP(venta_a_mes1[[#This Row],[CUIT]],Lista_CUIT[#All],2,0)),"CUIT NO CARGADO")</f>
        <v>-</v>
      </c>
      <c r="H237" s="100"/>
      <c r="I237" s="101">
        <f>venta_a_mes1[[#This Row],[IMPORTE NETO]]*0.21</f>
        <v>0</v>
      </c>
      <c r="J237" s="65"/>
      <c r="K237" s="65"/>
      <c r="L237" s="65">
        <f>SUM(venta_a_mes1[[#This Row],[IMPORTE NETO]:[EXENTO]])</f>
        <v>0</v>
      </c>
      <c r="M237" s="59"/>
    </row>
    <row r="238" spans="2:13" x14ac:dyDescent="0.3">
      <c r="B238" s="109"/>
      <c r="C238" s="110"/>
      <c r="D238" s="111"/>
      <c r="E238" s="112"/>
      <c r="F238" s="113"/>
      <c r="G238" s="275" t="str">
        <f>IFERROR(IF(venta_a_mes1[[#This Row],[CUIT]]="","-",VLOOKUP(venta_a_mes1[[#This Row],[CUIT]],Lista_CUIT[#All],2,0)),"CUIT NO CARGADO")</f>
        <v>-</v>
      </c>
      <c r="H238" s="100"/>
      <c r="I238" s="101">
        <f>venta_a_mes1[[#This Row],[IMPORTE NETO]]*0.21</f>
        <v>0</v>
      </c>
      <c r="J238" s="65"/>
      <c r="K238" s="65"/>
      <c r="L238" s="65">
        <f>SUM(venta_a_mes1[[#This Row],[IMPORTE NETO]:[EXENTO]])</f>
        <v>0</v>
      </c>
      <c r="M238" s="59"/>
    </row>
    <row r="239" spans="2:13" x14ac:dyDescent="0.3">
      <c r="B239" s="109"/>
      <c r="C239" s="110"/>
      <c r="D239" s="111"/>
      <c r="E239" s="112"/>
      <c r="F239" s="113"/>
      <c r="G239" s="275" t="str">
        <f>IFERROR(IF(venta_a_mes1[[#This Row],[CUIT]]="","-",VLOOKUP(venta_a_mes1[[#This Row],[CUIT]],Lista_CUIT[#All],2,0)),"CUIT NO CARGADO")</f>
        <v>-</v>
      </c>
      <c r="H239" s="100"/>
      <c r="I239" s="101">
        <f>venta_a_mes1[[#This Row],[IMPORTE NETO]]*0.21</f>
        <v>0</v>
      </c>
      <c r="J239" s="65"/>
      <c r="K239" s="65"/>
      <c r="L239" s="65">
        <f>SUM(venta_a_mes1[[#This Row],[IMPORTE NETO]:[EXENTO]])</f>
        <v>0</v>
      </c>
      <c r="M239" s="59"/>
    </row>
    <row r="240" spans="2:13" x14ac:dyDescent="0.3">
      <c r="B240" s="109"/>
      <c r="C240" s="110"/>
      <c r="D240" s="111"/>
      <c r="E240" s="112"/>
      <c r="F240" s="113"/>
      <c r="G240" s="275" t="str">
        <f>IFERROR(IF(venta_a_mes1[[#This Row],[CUIT]]="","-",VLOOKUP(venta_a_mes1[[#This Row],[CUIT]],Lista_CUIT[#All],2,0)),"CUIT NO CARGADO")</f>
        <v>-</v>
      </c>
      <c r="H240" s="100"/>
      <c r="I240" s="101">
        <f>venta_a_mes1[[#This Row],[IMPORTE NETO]]*0.21</f>
        <v>0</v>
      </c>
      <c r="J240" s="65"/>
      <c r="K240" s="65"/>
      <c r="L240" s="65">
        <f>SUM(venta_a_mes1[[#This Row],[IMPORTE NETO]:[EXENTO]])</f>
        <v>0</v>
      </c>
      <c r="M240" s="59"/>
    </row>
    <row r="241" spans="2:13" x14ac:dyDescent="0.3">
      <c r="B241" s="109"/>
      <c r="C241" s="110"/>
      <c r="D241" s="111"/>
      <c r="E241" s="112"/>
      <c r="F241" s="113"/>
      <c r="G241" s="275" t="str">
        <f>IFERROR(IF(venta_a_mes1[[#This Row],[CUIT]]="","-",VLOOKUP(venta_a_mes1[[#This Row],[CUIT]],Lista_CUIT[#All],2,0)),"CUIT NO CARGADO")</f>
        <v>-</v>
      </c>
      <c r="H241" s="100"/>
      <c r="I241" s="101">
        <f>venta_a_mes1[[#This Row],[IMPORTE NETO]]*0.21</f>
        <v>0</v>
      </c>
      <c r="J241" s="65"/>
      <c r="K241" s="65"/>
      <c r="L241" s="65">
        <f>SUM(venta_a_mes1[[#This Row],[IMPORTE NETO]:[EXENTO]])</f>
        <v>0</v>
      </c>
      <c r="M241" s="59"/>
    </row>
    <row r="242" spans="2:13" x14ac:dyDescent="0.3">
      <c r="B242" s="109"/>
      <c r="C242" s="110"/>
      <c r="D242" s="111"/>
      <c r="E242" s="112"/>
      <c r="F242" s="113"/>
      <c r="G242" s="275" t="str">
        <f>IFERROR(IF(venta_a_mes1[[#This Row],[CUIT]]="","-",VLOOKUP(venta_a_mes1[[#This Row],[CUIT]],Lista_CUIT[#All],2,0)),"CUIT NO CARGADO")</f>
        <v>-</v>
      </c>
      <c r="H242" s="100"/>
      <c r="I242" s="101">
        <f>venta_a_mes1[[#This Row],[IMPORTE NETO]]*0.21</f>
        <v>0</v>
      </c>
      <c r="J242" s="65"/>
      <c r="K242" s="65"/>
      <c r="L242" s="65">
        <f>SUM(venta_a_mes1[[#This Row],[IMPORTE NETO]:[EXENTO]])</f>
        <v>0</v>
      </c>
      <c r="M242" s="59"/>
    </row>
    <row r="243" spans="2:13" x14ac:dyDescent="0.3">
      <c r="B243" s="109"/>
      <c r="C243" s="110"/>
      <c r="D243" s="111"/>
      <c r="E243" s="112"/>
      <c r="F243" s="113"/>
      <c r="G243" s="275" t="str">
        <f>IFERROR(IF(venta_a_mes1[[#This Row],[CUIT]]="","-",VLOOKUP(venta_a_mes1[[#This Row],[CUIT]],Lista_CUIT[#All],2,0)),"CUIT NO CARGADO")</f>
        <v>-</v>
      </c>
      <c r="H243" s="100"/>
      <c r="I243" s="101">
        <f>venta_a_mes1[[#This Row],[IMPORTE NETO]]*0.21</f>
        <v>0</v>
      </c>
      <c r="J243" s="65"/>
      <c r="K243" s="65"/>
      <c r="L243" s="65">
        <f>SUM(venta_a_mes1[[#This Row],[IMPORTE NETO]:[EXENTO]])</f>
        <v>0</v>
      </c>
      <c r="M243" s="59"/>
    </row>
    <row r="244" spans="2:13" x14ac:dyDescent="0.3">
      <c r="B244" s="109"/>
      <c r="C244" s="110"/>
      <c r="D244" s="111"/>
      <c r="E244" s="112"/>
      <c r="F244" s="113"/>
      <c r="G244" s="275" t="str">
        <f>IFERROR(IF(venta_a_mes1[[#This Row],[CUIT]]="","-",VLOOKUP(venta_a_mes1[[#This Row],[CUIT]],Lista_CUIT[#All],2,0)),"CUIT NO CARGADO")</f>
        <v>-</v>
      </c>
      <c r="H244" s="100"/>
      <c r="I244" s="101">
        <f>venta_a_mes1[[#This Row],[IMPORTE NETO]]*0.21</f>
        <v>0</v>
      </c>
      <c r="J244" s="65"/>
      <c r="K244" s="65"/>
      <c r="L244" s="65">
        <f>SUM(venta_a_mes1[[#This Row],[IMPORTE NETO]:[EXENTO]])</f>
        <v>0</v>
      </c>
      <c r="M244" s="59"/>
    </row>
    <row r="245" spans="2:13" x14ac:dyDescent="0.3">
      <c r="B245" s="109"/>
      <c r="C245" s="110"/>
      <c r="D245" s="111"/>
      <c r="E245" s="112"/>
      <c r="F245" s="113"/>
      <c r="G245" s="275" t="str">
        <f>IFERROR(IF(venta_a_mes1[[#This Row],[CUIT]]="","-",VLOOKUP(venta_a_mes1[[#This Row],[CUIT]],Lista_CUIT[#All],2,0)),"CUIT NO CARGADO")</f>
        <v>-</v>
      </c>
      <c r="H245" s="100"/>
      <c r="I245" s="101">
        <f>venta_a_mes1[[#This Row],[IMPORTE NETO]]*0.21</f>
        <v>0</v>
      </c>
      <c r="J245" s="65"/>
      <c r="K245" s="65"/>
      <c r="L245" s="65">
        <f>SUM(venta_a_mes1[[#This Row],[IMPORTE NETO]:[EXENTO]])</f>
        <v>0</v>
      </c>
      <c r="M245" s="59"/>
    </row>
    <row r="246" spans="2:13" x14ac:dyDescent="0.3">
      <c r="B246" s="109"/>
      <c r="C246" s="110"/>
      <c r="D246" s="111"/>
      <c r="E246" s="112"/>
      <c r="F246" s="113"/>
      <c r="G246" s="275" t="str">
        <f>IFERROR(IF(venta_a_mes1[[#This Row],[CUIT]]="","-",VLOOKUP(venta_a_mes1[[#This Row],[CUIT]],Lista_CUIT[#All],2,0)),"CUIT NO CARGADO")</f>
        <v>-</v>
      </c>
      <c r="H246" s="100"/>
      <c r="I246" s="101">
        <f>venta_a_mes1[[#This Row],[IMPORTE NETO]]*0.21</f>
        <v>0</v>
      </c>
      <c r="J246" s="65"/>
      <c r="K246" s="65"/>
      <c r="L246" s="65">
        <f>SUM(venta_a_mes1[[#This Row],[IMPORTE NETO]:[EXENTO]])</f>
        <v>0</v>
      </c>
      <c r="M246" s="59"/>
    </row>
    <row r="247" spans="2:13" x14ac:dyDescent="0.3">
      <c r="B247" s="109"/>
      <c r="C247" s="110"/>
      <c r="D247" s="111"/>
      <c r="E247" s="112"/>
      <c r="F247" s="113"/>
      <c r="G247" s="275" t="str">
        <f>IFERROR(IF(venta_a_mes1[[#This Row],[CUIT]]="","-",VLOOKUP(venta_a_mes1[[#This Row],[CUIT]],Lista_CUIT[#All],2,0)),"CUIT NO CARGADO")</f>
        <v>-</v>
      </c>
      <c r="H247" s="100"/>
      <c r="I247" s="101">
        <f>venta_a_mes1[[#This Row],[IMPORTE NETO]]*0.21</f>
        <v>0</v>
      </c>
      <c r="J247" s="65"/>
      <c r="K247" s="65"/>
      <c r="L247" s="65">
        <f>SUM(venta_a_mes1[[#This Row],[IMPORTE NETO]:[EXENTO]])</f>
        <v>0</v>
      </c>
      <c r="M247" s="59"/>
    </row>
    <row r="248" spans="2:13" x14ac:dyDescent="0.3">
      <c r="B248" s="109"/>
      <c r="C248" s="110"/>
      <c r="D248" s="111"/>
      <c r="E248" s="112"/>
      <c r="F248" s="113"/>
      <c r="G248" s="275" t="str">
        <f>IFERROR(IF(venta_a_mes1[[#This Row],[CUIT]]="","-",VLOOKUP(venta_a_mes1[[#This Row],[CUIT]],Lista_CUIT[#All],2,0)),"CUIT NO CARGADO")</f>
        <v>-</v>
      </c>
      <c r="H248" s="100"/>
      <c r="I248" s="101">
        <f>venta_a_mes1[[#This Row],[IMPORTE NETO]]*0.21</f>
        <v>0</v>
      </c>
      <c r="J248" s="65"/>
      <c r="K248" s="65"/>
      <c r="L248" s="65">
        <f>SUM(venta_a_mes1[[#This Row],[IMPORTE NETO]:[EXENTO]])</f>
        <v>0</v>
      </c>
      <c r="M248" s="59"/>
    </row>
    <row r="249" spans="2:13" x14ac:dyDescent="0.3">
      <c r="B249" s="109"/>
      <c r="C249" s="110"/>
      <c r="D249" s="111"/>
      <c r="E249" s="112"/>
      <c r="F249" s="113"/>
      <c r="G249" s="275" t="str">
        <f>IFERROR(IF(venta_a_mes1[[#This Row],[CUIT]]="","-",VLOOKUP(venta_a_mes1[[#This Row],[CUIT]],Lista_CUIT[#All],2,0)),"CUIT NO CARGADO")</f>
        <v>-</v>
      </c>
      <c r="H249" s="100"/>
      <c r="I249" s="101">
        <f>venta_a_mes1[[#This Row],[IMPORTE NETO]]*0.21</f>
        <v>0</v>
      </c>
      <c r="J249" s="65"/>
      <c r="K249" s="65"/>
      <c r="L249" s="65">
        <f>SUM(venta_a_mes1[[#This Row],[IMPORTE NETO]:[EXENTO]])</f>
        <v>0</v>
      </c>
      <c r="M249" s="59"/>
    </row>
    <row r="250" spans="2:13" x14ac:dyDescent="0.3">
      <c r="B250" s="109"/>
      <c r="C250" s="110"/>
      <c r="D250" s="111"/>
      <c r="E250" s="112"/>
      <c r="F250" s="113"/>
      <c r="G250" s="275" t="str">
        <f>IFERROR(IF(venta_a_mes1[[#This Row],[CUIT]]="","-",VLOOKUP(venta_a_mes1[[#This Row],[CUIT]],Lista_CUIT[#All],2,0)),"CUIT NO CARGADO")</f>
        <v>-</v>
      </c>
      <c r="H250" s="100"/>
      <c r="I250" s="101">
        <f>venta_a_mes1[[#This Row],[IMPORTE NETO]]*0.21</f>
        <v>0</v>
      </c>
      <c r="J250" s="65"/>
      <c r="K250" s="65"/>
      <c r="L250" s="65">
        <f>SUM(venta_a_mes1[[#This Row],[IMPORTE NETO]:[EXENTO]])</f>
        <v>0</v>
      </c>
      <c r="M250" s="59"/>
    </row>
    <row r="251" spans="2:13" x14ac:dyDescent="0.3">
      <c r="B251" s="109"/>
      <c r="C251" s="110"/>
      <c r="D251" s="111"/>
      <c r="E251" s="112"/>
      <c r="F251" s="113"/>
      <c r="G251" s="275" t="str">
        <f>IFERROR(IF(venta_a_mes1[[#This Row],[CUIT]]="","-",VLOOKUP(venta_a_mes1[[#This Row],[CUIT]],Lista_CUIT[#All],2,0)),"CUIT NO CARGADO")</f>
        <v>-</v>
      </c>
      <c r="H251" s="100"/>
      <c r="I251" s="101">
        <f>venta_a_mes1[[#This Row],[IMPORTE NETO]]*0.21</f>
        <v>0</v>
      </c>
      <c r="J251" s="65"/>
      <c r="K251" s="65"/>
      <c r="L251" s="65">
        <f>SUM(venta_a_mes1[[#This Row],[IMPORTE NETO]:[EXENTO]])</f>
        <v>0</v>
      </c>
      <c r="M251" s="59"/>
    </row>
    <row r="252" spans="2:13" x14ac:dyDescent="0.3">
      <c r="B252" s="109"/>
      <c r="C252" s="110"/>
      <c r="D252" s="111"/>
      <c r="E252" s="112"/>
      <c r="F252" s="113"/>
      <c r="G252" s="275" t="str">
        <f>IFERROR(IF(venta_a_mes1[[#This Row],[CUIT]]="","-",VLOOKUP(venta_a_mes1[[#This Row],[CUIT]],Lista_CUIT[#All],2,0)),"CUIT NO CARGADO")</f>
        <v>-</v>
      </c>
      <c r="H252" s="100"/>
      <c r="I252" s="101">
        <f>venta_a_mes1[[#This Row],[IMPORTE NETO]]*0.21</f>
        <v>0</v>
      </c>
      <c r="J252" s="65"/>
      <c r="K252" s="65"/>
      <c r="L252" s="65">
        <f>SUM(venta_a_mes1[[#This Row],[IMPORTE NETO]:[EXENTO]])</f>
        <v>0</v>
      </c>
      <c r="M252" s="59"/>
    </row>
    <row r="253" spans="2:13" x14ac:dyDescent="0.3">
      <c r="B253" s="109"/>
      <c r="C253" s="110"/>
      <c r="D253" s="111"/>
      <c r="E253" s="112"/>
      <c r="F253" s="113"/>
      <c r="G253" s="275" t="str">
        <f>IFERROR(IF(venta_a_mes1[[#This Row],[CUIT]]="","-",VLOOKUP(venta_a_mes1[[#This Row],[CUIT]],Lista_CUIT[#All],2,0)),"CUIT NO CARGADO")</f>
        <v>-</v>
      </c>
      <c r="H253" s="100"/>
      <c r="I253" s="101">
        <f>venta_a_mes1[[#This Row],[IMPORTE NETO]]*0.21</f>
        <v>0</v>
      </c>
      <c r="J253" s="65"/>
      <c r="K253" s="65"/>
      <c r="L253" s="65">
        <f>SUM(venta_a_mes1[[#This Row],[IMPORTE NETO]:[EXENTO]])</f>
        <v>0</v>
      </c>
      <c r="M253" s="59"/>
    </row>
    <row r="254" spans="2:13" x14ac:dyDescent="0.3">
      <c r="B254" s="109"/>
      <c r="C254" s="110"/>
      <c r="D254" s="111"/>
      <c r="E254" s="112"/>
      <c r="F254" s="113"/>
      <c r="G254" s="275" t="str">
        <f>IFERROR(IF(venta_a_mes1[[#This Row],[CUIT]]="","-",VLOOKUP(venta_a_mes1[[#This Row],[CUIT]],Lista_CUIT[#All],2,0)),"CUIT NO CARGADO")</f>
        <v>-</v>
      </c>
      <c r="H254" s="100"/>
      <c r="I254" s="101">
        <f>venta_a_mes1[[#This Row],[IMPORTE NETO]]*0.21</f>
        <v>0</v>
      </c>
      <c r="J254" s="65"/>
      <c r="K254" s="65"/>
      <c r="L254" s="65">
        <f>SUM(venta_a_mes1[[#This Row],[IMPORTE NETO]:[EXENTO]])</f>
        <v>0</v>
      </c>
      <c r="M254" s="59"/>
    </row>
    <row r="255" spans="2:13" x14ac:dyDescent="0.3">
      <c r="B255" s="109"/>
      <c r="C255" s="110"/>
      <c r="D255" s="111"/>
      <c r="E255" s="112"/>
      <c r="F255" s="113"/>
      <c r="G255" s="275" t="str">
        <f>IFERROR(IF(venta_a_mes1[[#This Row],[CUIT]]="","-",VLOOKUP(venta_a_mes1[[#This Row],[CUIT]],Lista_CUIT[#All],2,0)),"CUIT NO CARGADO")</f>
        <v>-</v>
      </c>
      <c r="H255" s="100"/>
      <c r="I255" s="101">
        <f>venta_a_mes1[[#This Row],[IMPORTE NETO]]*0.21</f>
        <v>0</v>
      </c>
      <c r="J255" s="65"/>
      <c r="K255" s="65"/>
      <c r="L255" s="65">
        <f>SUM(venta_a_mes1[[#This Row],[IMPORTE NETO]:[EXENTO]])</f>
        <v>0</v>
      </c>
      <c r="M255" s="59"/>
    </row>
    <row r="256" spans="2:13" x14ac:dyDescent="0.3">
      <c r="B256" s="109"/>
      <c r="C256" s="110"/>
      <c r="D256" s="111"/>
      <c r="E256" s="112"/>
      <c r="F256" s="113"/>
      <c r="G256" s="275" t="str">
        <f>IFERROR(IF(venta_a_mes1[[#This Row],[CUIT]]="","-",VLOOKUP(venta_a_mes1[[#This Row],[CUIT]],Lista_CUIT[#All],2,0)),"CUIT NO CARGADO")</f>
        <v>-</v>
      </c>
      <c r="H256" s="100"/>
      <c r="I256" s="101">
        <f>venta_a_mes1[[#This Row],[IMPORTE NETO]]*0.21</f>
        <v>0</v>
      </c>
      <c r="J256" s="65"/>
      <c r="K256" s="65"/>
      <c r="L256" s="65">
        <f>SUM(venta_a_mes1[[#This Row],[IMPORTE NETO]:[EXENTO]])</f>
        <v>0</v>
      </c>
      <c r="M256" s="59"/>
    </row>
    <row r="257" spans="2:13" x14ac:dyDescent="0.3">
      <c r="B257" s="109"/>
      <c r="C257" s="110"/>
      <c r="D257" s="111"/>
      <c r="E257" s="112"/>
      <c r="F257" s="113"/>
      <c r="G257" s="275" t="str">
        <f>IFERROR(IF(venta_a_mes1[[#This Row],[CUIT]]="","-",VLOOKUP(venta_a_mes1[[#This Row],[CUIT]],Lista_CUIT[#All],2,0)),"CUIT NO CARGADO")</f>
        <v>-</v>
      </c>
      <c r="H257" s="100"/>
      <c r="I257" s="101">
        <f>venta_a_mes1[[#This Row],[IMPORTE NETO]]*0.21</f>
        <v>0</v>
      </c>
      <c r="J257" s="65"/>
      <c r="K257" s="65"/>
      <c r="L257" s="65">
        <f>SUM(venta_a_mes1[[#This Row],[IMPORTE NETO]:[EXENTO]])</f>
        <v>0</v>
      </c>
      <c r="M257" s="59"/>
    </row>
    <row r="258" spans="2:13" x14ac:dyDescent="0.3">
      <c r="B258" s="109"/>
      <c r="C258" s="110"/>
      <c r="D258" s="111"/>
      <c r="E258" s="112"/>
      <c r="F258" s="113"/>
      <c r="G258" s="275" t="str">
        <f>IFERROR(IF(venta_a_mes1[[#This Row],[CUIT]]="","-",VLOOKUP(venta_a_mes1[[#This Row],[CUIT]],Lista_CUIT[#All],2,0)),"CUIT NO CARGADO")</f>
        <v>-</v>
      </c>
      <c r="H258" s="100"/>
      <c r="I258" s="101">
        <f>venta_a_mes1[[#This Row],[IMPORTE NETO]]*0.21</f>
        <v>0</v>
      </c>
      <c r="J258" s="65"/>
      <c r="K258" s="65"/>
      <c r="L258" s="65">
        <f>SUM(venta_a_mes1[[#This Row],[IMPORTE NETO]:[EXENTO]])</f>
        <v>0</v>
      </c>
      <c r="M258" s="59"/>
    </row>
    <row r="259" spans="2:13" x14ac:dyDescent="0.3">
      <c r="B259" s="109"/>
      <c r="C259" s="110"/>
      <c r="D259" s="111"/>
      <c r="E259" s="112"/>
      <c r="F259" s="113"/>
      <c r="G259" s="275" t="str">
        <f>IFERROR(IF(venta_a_mes1[[#This Row],[CUIT]]="","-",VLOOKUP(venta_a_mes1[[#This Row],[CUIT]],Lista_CUIT[#All],2,0)),"CUIT NO CARGADO")</f>
        <v>-</v>
      </c>
      <c r="H259" s="100"/>
      <c r="I259" s="101">
        <f>venta_a_mes1[[#This Row],[IMPORTE NETO]]*0.21</f>
        <v>0</v>
      </c>
      <c r="J259" s="65"/>
      <c r="K259" s="65"/>
      <c r="L259" s="65">
        <f>SUM(venta_a_mes1[[#This Row],[IMPORTE NETO]:[EXENTO]])</f>
        <v>0</v>
      </c>
      <c r="M259" s="59"/>
    </row>
    <row r="260" spans="2:13" x14ac:dyDescent="0.3">
      <c r="B260" s="109"/>
      <c r="C260" s="110"/>
      <c r="D260" s="111"/>
      <c r="E260" s="112"/>
      <c r="F260" s="113"/>
      <c r="G260" s="275" t="str">
        <f>IFERROR(IF(venta_a_mes1[[#This Row],[CUIT]]="","-",VLOOKUP(venta_a_mes1[[#This Row],[CUIT]],Lista_CUIT[#All],2,0)),"CUIT NO CARGADO")</f>
        <v>-</v>
      </c>
      <c r="H260" s="100"/>
      <c r="I260" s="101">
        <f>venta_a_mes1[[#This Row],[IMPORTE NETO]]*0.21</f>
        <v>0</v>
      </c>
      <c r="J260" s="65"/>
      <c r="K260" s="65"/>
      <c r="L260" s="65">
        <f>SUM(venta_a_mes1[[#This Row],[IMPORTE NETO]:[EXENTO]])</f>
        <v>0</v>
      </c>
      <c r="M260" s="59"/>
    </row>
    <row r="261" spans="2:13" x14ac:dyDescent="0.3">
      <c r="B261" s="109"/>
      <c r="C261" s="110"/>
      <c r="D261" s="111"/>
      <c r="E261" s="112"/>
      <c r="F261" s="113"/>
      <c r="G261" s="275" t="str">
        <f>IFERROR(IF(venta_a_mes1[[#This Row],[CUIT]]="","-",VLOOKUP(venta_a_mes1[[#This Row],[CUIT]],Lista_CUIT[#All],2,0)),"CUIT NO CARGADO")</f>
        <v>-</v>
      </c>
      <c r="H261" s="100"/>
      <c r="I261" s="101">
        <f>venta_a_mes1[[#This Row],[IMPORTE NETO]]*0.21</f>
        <v>0</v>
      </c>
      <c r="J261" s="65"/>
      <c r="K261" s="65"/>
      <c r="L261" s="65">
        <f>SUM(venta_a_mes1[[#This Row],[IMPORTE NETO]:[EXENTO]])</f>
        <v>0</v>
      </c>
      <c r="M261" s="59"/>
    </row>
    <row r="262" spans="2:13" x14ac:dyDescent="0.3">
      <c r="B262" s="109"/>
      <c r="C262" s="110"/>
      <c r="D262" s="111"/>
      <c r="E262" s="112"/>
      <c r="F262" s="113"/>
      <c r="G262" s="275" t="str">
        <f>IFERROR(IF(venta_a_mes1[[#This Row],[CUIT]]="","-",VLOOKUP(venta_a_mes1[[#This Row],[CUIT]],Lista_CUIT[#All],2,0)),"CUIT NO CARGADO")</f>
        <v>-</v>
      </c>
      <c r="H262" s="100"/>
      <c r="I262" s="101">
        <f>venta_a_mes1[[#This Row],[IMPORTE NETO]]*0.21</f>
        <v>0</v>
      </c>
      <c r="J262" s="65"/>
      <c r="K262" s="65"/>
      <c r="L262" s="65">
        <f>SUM(venta_a_mes1[[#This Row],[IMPORTE NETO]:[EXENTO]])</f>
        <v>0</v>
      </c>
      <c r="M262" s="59"/>
    </row>
    <row r="263" spans="2:13" x14ac:dyDescent="0.3">
      <c r="B263" s="109"/>
      <c r="C263" s="110"/>
      <c r="D263" s="111"/>
      <c r="E263" s="112"/>
      <c r="F263" s="113"/>
      <c r="G263" s="275" t="str">
        <f>IFERROR(IF(venta_a_mes1[[#This Row],[CUIT]]="","-",VLOOKUP(venta_a_mes1[[#This Row],[CUIT]],Lista_CUIT[#All],2,0)),"CUIT NO CARGADO")</f>
        <v>-</v>
      </c>
      <c r="H263" s="100"/>
      <c r="I263" s="101">
        <f>venta_a_mes1[[#This Row],[IMPORTE NETO]]*0.21</f>
        <v>0</v>
      </c>
      <c r="J263" s="65"/>
      <c r="K263" s="65"/>
      <c r="L263" s="65">
        <f>SUM(venta_a_mes1[[#This Row],[IMPORTE NETO]:[EXENTO]])</f>
        <v>0</v>
      </c>
      <c r="M263" s="59"/>
    </row>
    <row r="264" spans="2:13" x14ac:dyDescent="0.3">
      <c r="B264" s="109"/>
      <c r="C264" s="110"/>
      <c r="D264" s="111"/>
      <c r="E264" s="112"/>
      <c r="F264" s="113"/>
      <c r="G264" s="275" t="str">
        <f>IFERROR(IF(venta_a_mes1[[#This Row],[CUIT]]="","-",VLOOKUP(venta_a_mes1[[#This Row],[CUIT]],Lista_CUIT[#All],2,0)),"CUIT NO CARGADO")</f>
        <v>-</v>
      </c>
      <c r="H264" s="100"/>
      <c r="I264" s="101">
        <f>venta_a_mes1[[#This Row],[IMPORTE NETO]]*0.21</f>
        <v>0</v>
      </c>
      <c r="J264" s="65"/>
      <c r="K264" s="65"/>
      <c r="L264" s="65">
        <f>SUM(venta_a_mes1[[#This Row],[IMPORTE NETO]:[EXENTO]])</f>
        <v>0</v>
      </c>
      <c r="M264" s="59"/>
    </row>
    <row r="265" spans="2:13" x14ac:dyDescent="0.3">
      <c r="B265" s="109"/>
      <c r="C265" s="110"/>
      <c r="D265" s="111"/>
      <c r="E265" s="112"/>
      <c r="F265" s="113"/>
      <c r="G265" s="275" t="str">
        <f>IFERROR(IF(venta_a_mes1[[#This Row],[CUIT]]="","-",VLOOKUP(venta_a_mes1[[#This Row],[CUIT]],Lista_CUIT[#All],2,0)),"CUIT NO CARGADO")</f>
        <v>-</v>
      </c>
      <c r="H265" s="100"/>
      <c r="I265" s="101">
        <f>venta_a_mes1[[#This Row],[IMPORTE NETO]]*0.21</f>
        <v>0</v>
      </c>
      <c r="J265" s="65"/>
      <c r="K265" s="65"/>
      <c r="L265" s="65">
        <f>SUM(venta_a_mes1[[#This Row],[IMPORTE NETO]:[EXENTO]])</f>
        <v>0</v>
      </c>
      <c r="M265" s="59"/>
    </row>
    <row r="266" spans="2:13" x14ac:dyDescent="0.3">
      <c r="B266" s="109"/>
      <c r="C266" s="110"/>
      <c r="D266" s="111"/>
      <c r="E266" s="112"/>
      <c r="F266" s="113"/>
      <c r="G266" s="275" t="str">
        <f>IFERROR(IF(venta_a_mes1[[#This Row],[CUIT]]="","-",VLOOKUP(venta_a_mes1[[#This Row],[CUIT]],Lista_CUIT[#All],2,0)),"CUIT NO CARGADO")</f>
        <v>-</v>
      </c>
      <c r="H266" s="100"/>
      <c r="I266" s="101">
        <f>venta_a_mes1[[#This Row],[IMPORTE NETO]]*0.21</f>
        <v>0</v>
      </c>
      <c r="J266" s="65"/>
      <c r="K266" s="65"/>
      <c r="L266" s="65">
        <f>SUM(venta_a_mes1[[#This Row],[IMPORTE NETO]:[EXENTO]])</f>
        <v>0</v>
      </c>
      <c r="M266" s="59"/>
    </row>
    <row r="267" spans="2:13" x14ac:dyDescent="0.3">
      <c r="B267" s="109"/>
      <c r="C267" s="110"/>
      <c r="D267" s="111"/>
      <c r="E267" s="112"/>
      <c r="F267" s="113"/>
      <c r="G267" s="275" t="str">
        <f>IFERROR(IF(venta_a_mes1[[#This Row],[CUIT]]="","-",VLOOKUP(venta_a_mes1[[#This Row],[CUIT]],Lista_CUIT[#All],2,0)),"CUIT NO CARGADO")</f>
        <v>-</v>
      </c>
      <c r="H267" s="100"/>
      <c r="I267" s="101">
        <f>venta_a_mes1[[#This Row],[IMPORTE NETO]]*0.21</f>
        <v>0</v>
      </c>
      <c r="J267" s="65"/>
      <c r="K267" s="65"/>
      <c r="L267" s="65">
        <f>SUM(venta_a_mes1[[#This Row],[IMPORTE NETO]:[EXENTO]])</f>
        <v>0</v>
      </c>
      <c r="M267" s="59"/>
    </row>
    <row r="268" spans="2:13" x14ac:dyDescent="0.3">
      <c r="B268" s="109"/>
      <c r="C268" s="110"/>
      <c r="D268" s="111"/>
      <c r="E268" s="112"/>
      <c r="F268" s="113"/>
      <c r="G268" s="275" t="str">
        <f>IFERROR(IF(venta_a_mes1[[#This Row],[CUIT]]="","-",VLOOKUP(venta_a_mes1[[#This Row],[CUIT]],Lista_CUIT[#All],2,0)),"CUIT NO CARGADO")</f>
        <v>-</v>
      </c>
      <c r="H268" s="100"/>
      <c r="I268" s="101">
        <f>venta_a_mes1[[#This Row],[IMPORTE NETO]]*0.21</f>
        <v>0</v>
      </c>
      <c r="J268" s="65"/>
      <c r="K268" s="65"/>
      <c r="L268" s="65">
        <f>SUM(venta_a_mes1[[#This Row],[IMPORTE NETO]:[EXENTO]])</f>
        <v>0</v>
      </c>
      <c r="M268" s="59"/>
    </row>
    <row r="269" spans="2:13" x14ac:dyDescent="0.3">
      <c r="B269" s="109"/>
      <c r="C269" s="110"/>
      <c r="D269" s="111"/>
      <c r="E269" s="112"/>
      <c r="F269" s="113"/>
      <c r="G269" s="275" t="str">
        <f>IFERROR(IF(venta_a_mes1[[#This Row],[CUIT]]="","-",VLOOKUP(venta_a_mes1[[#This Row],[CUIT]],Lista_CUIT[#All],2,0)),"CUIT NO CARGADO")</f>
        <v>-</v>
      </c>
      <c r="H269" s="100"/>
      <c r="I269" s="101">
        <f>venta_a_mes1[[#This Row],[IMPORTE NETO]]*0.21</f>
        <v>0</v>
      </c>
      <c r="J269" s="65"/>
      <c r="K269" s="65"/>
      <c r="L269" s="65">
        <f>SUM(venta_a_mes1[[#This Row],[IMPORTE NETO]:[EXENTO]])</f>
        <v>0</v>
      </c>
      <c r="M269" s="59"/>
    </row>
    <row r="270" spans="2:13" x14ac:dyDescent="0.3">
      <c r="B270" s="109"/>
      <c r="C270" s="110"/>
      <c r="D270" s="111"/>
      <c r="E270" s="112"/>
      <c r="F270" s="113"/>
      <c r="G270" s="275" t="str">
        <f>IFERROR(IF(venta_a_mes1[[#This Row],[CUIT]]="","-",VLOOKUP(venta_a_mes1[[#This Row],[CUIT]],Lista_CUIT[#All],2,0)),"CUIT NO CARGADO")</f>
        <v>-</v>
      </c>
      <c r="H270" s="100"/>
      <c r="I270" s="101">
        <f>venta_a_mes1[[#This Row],[IMPORTE NETO]]*0.21</f>
        <v>0</v>
      </c>
      <c r="J270" s="65"/>
      <c r="K270" s="65"/>
      <c r="L270" s="65">
        <f>SUM(venta_a_mes1[[#This Row],[IMPORTE NETO]:[EXENTO]])</f>
        <v>0</v>
      </c>
      <c r="M270" s="59"/>
    </row>
    <row r="271" spans="2:13" x14ac:dyDescent="0.3">
      <c r="B271" s="109"/>
      <c r="C271" s="110"/>
      <c r="D271" s="111"/>
      <c r="E271" s="112"/>
      <c r="F271" s="113"/>
      <c r="G271" s="275" t="str">
        <f>IFERROR(IF(venta_a_mes1[[#This Row],[CUIT]]="","-",VLOOKUP(venta_a_mes1[[#This Row],[CUIT]],Lista_CUIT[#All],2,0)),"CUIT NO CARGADO")</f>
        <v>-</v>
      </c>
      <c r="H271" s="100"/>
      <c r="I271" s="101">
        <f>venta_a_mes1[[#This Row],[IMPORTE NETO]]*0.21</f>
        <v>0</v>
      </c>
      <c r="J271" s="65"/>
      <c r="K271" s="65"/>
      <c r="L271" s="65">
        <f>SUM(venta_a_mes1[[#This Row],[IMPORTE NETO]:[EXENTO]])</f>
        <v>0</v>
      </c>
      <c r="M271" s="59"/>
    </row>
    <row r="272" spans="2:13" x14ac:dyDescent="0.3">
      <c r="B272" s="109"/>
      <c r="C272" s="110"/>
      <c r="D272" s="111"/>
      <c r="E272" s="112"/>
      <c r="F272" s="113"/>
      <c r="G272" s="275" t="str">
        <f>IFERROR(IF(venta_a_mes1[[#This Row],[CUIT]]="","-",VLOOKUP(venta_a_mes1[[#This Row],[CUIT]],Lista_CUIT[#All],2,0)),"CUIT NO CARGADO")</f>
        <v>-</v>
      </c>
      <c r="H272" s="100"/>
      <c r="I272" s="101">
        <f>venta_a_mes1[[#This Row],[IMPORTE NETO]]*0.21</f>
        <v>0</v>
      </c>
      <c r="J272" s="65"/>
      <c r="K272" s="65"/>
      <c r="L272" s="65">
        <f>SUM(venta_a_mes1[[#This Row],[IMPORTE NETO]:[EXENTO]])</f>
        <v>0</v>
      </c>
      <c r="M272" s="59"/>
    </row>
    <row r="273" spans="2:13" x14ac:dyDescent="0.3">
      <c r="B273" s="109"/>
      <c r="C273" s="110"/>
      <c r="D273" s="111"/>
      <c r="E273" s="112"/>
      <c r="F273" s="113"/>
      <c r="G273" s="275" t="str">
        <f>IFERROR(IF(venta_a_mes1[[#This Row],[CUIT]]="","-",VLOOKUP(venta_a_mes1[[#This Row],[CUIT]],Lista_CUIT[#All],2,0)),"CUIT NO CARGADO")</f>
        <v>-</v>
      </c>
      <c r="H273" s="100"/>
      <c r="I273" s="101">
        <f>venta_a_mes1[[#This Row],[IMPORTE NETO]]*0.21</f>
        <v>0</v>
      </c>
      <c r="J273" s="65"/>
      <c r="K273" s="65"/>
      <c r="L273" s="65">
        <f>SUM(venta_a_mes1[[#This Row],[IMPORTE NETO]:[EXENTO]])</f>
        <v>0</v>
      </c>
      <c r="M273" s="59"/>
    </row>
    <row r="274" spans="2:13" x14ac:dyDescent="0.3">
      <c r="B274" s="109"/>
      <c r="C274" s="110"/>
      <c r="D274" s="111"/>
      <c r="E274" s="112"/>
      <c r="F274" s="113"/>
      <c r="G274" s="275" t="str">
        <f>IFERROR(IF(venta_a_mes1[[#This Row],[CUIT]]="","-",VLOOKUP(venta_a_mes1[[#This Row],[CUIT]],Lista_CUIT[#All],2,0)),"CUIT NO CARGADO")</f>
        <v>-</v>
      </c>
      <c r="H274" s="100"/>
      <c r="I274" s="101">
        <f>venta_a_mes1[[#This Row],[IMPORTE NETO]]*0.21</f>
        <v>0</v>
      </c>
      <c r="J274" s="65"/>
      <c r="K274" s="65"/>
      <c r="L274" s="65">
        <f>SUM(venta_a_mes1[[#This Row],[IMPORTE NETO]:[EXENTO]])</f>
        <v>0</v>
      </c>
      <c r="M274" s="59"/>
    </row>
    <row r="275" spans="2:13" x14ac:dyDescent="0.3">
      <c r="B275" s="109"/>
      <c r="C275" s="110"/>
      <c r="D275" s="111"/>
      <c r="E275" s="112"/>
      <c r="F275" s="113"/>
      <c r="G275" s="275" t="str">
        <f>IFERROR(IF(venta_a_mes1[[#This Row],[CUIT]]="","-",VLOOKUP(venta_a_mes1[[#This Row],[CUIT]],Lista_CUIT[#All],2,0)),"CUIT NO CARGADO")</f>
        <v>-</v>
      </c>
      <c r="H275" s="100"/>
      <c r="I275" s="101">
        <f>venta_a_mes1[[#This Row],[IMPORTE NETO]]*0.21</f>
        <v>0</v>
      </c>
      <c r="J275" s="65"/>
      <c r="K275" s="65"/>
      <c r="L275" s="65">
        <f>SUM(venta_a_mes1[[#This Row],[IMPORTE NETO]:[EXENTO]])</f>
        <v>0</v>
      </c>
      <c r="M275" s="59"/>
    </row>
    <row r="276" spans="2:13" x14ac:dyDescent="0.3">
      <c r="B276" s="109"/>
      <c r="C276" s="110"/>
      <c r="D276" s="111"/>
      <c r="E276" s="112"/>
      <c r="F276" s="113"/>
      <c r="G276" s="275" t="str">
        <f>IFERROR(IF(venta_a_mes1[[#This Row],[CUIT]]="","-",VLOOKUP(venta_a_mes1[[#This Row],[CUIT]],Lista_CUIT[#All],2,0)),"CUIT NO CARGADO")</f>
        <v>-</v>
      </c>
      <c r="H276" s="100"/>
      <c r="I276" s="101">
        <f>venta_a_mes1[[#This Row],[IMPORTE NETO]]*0.21</f>
        <v>0</v>
      </c>
      <c r="J276" s="65"/>
      <c r="K276" s="65"/>
      <c r="L276" s="65">
        <f>SUM(venta_a_mes1[[#This Row],[IMPORTE NETO]:[EXENTO]])</f>
        <v>0</v>
      </c>
      <c r="M276" s="59"/>
    </row>
    <row r="277" spans="2:13" x14ac:dyDescent="0.3">
      <c r="B277" s="109"/>
      <c r="C277" s="110"/>
      <c r="D277" s="111"/>
      <c r="E277" s="112"/>
      <c r="F277" s="113"/>
      <c r="G277" s="275" t="str">
        <f>IFERROR(IF(venta_a_mes1[[#This Row],[CUIT]]="","-",VLOOKUP(venta_a_mes1[[#This Row],[CUIT]],Lista_CUIT[#All],2,0)),"CUIT NO CARGADO")</f>
        <v>-</v>
      </c>
      <c r="H277" s="100"/>
      <c r="I277" s="101">
        <f>venta_a_mes1[[#This Row],[IMPORTE NETO]]*0.21</f>
        <v>0</v>
      </c>
      <c r="J277" s="65"/>
      <c r="K277" s="65"/>
      <c r="L277" s="65">
        <f>SUM(venta_a_mes1[[#This Row],[IMPORTE NETO]:[EXENTO]])</f>
        <v>0</v>
      </c>
      <c r="M277" s="59"/>
    </row>
    <row r="278" spans="2:13" x14ac:dyDescent="0.3">
      <c r="B278" s="109"/>
      <c r="C278" s="110"/>
      <c r="D278" s="111"/>
      <c r="E278" s="112"/>
      <c r="F278" s="113"/>
      <c r="G278" s="275" t="str">
        <f>IFERROR(IF(venta_a_mes1[[#This Row],[CUIT]]="","-",VLOOKUP(venta_a_mes1[[#This Row],[CUIT]],Lista_CUIT[#All],2,0)),"CUIT NO CARGADO")</f>
        <v>-</v>
      </c>
      <c r="H278" s="100"/>
      <c r="I278" s="101">
        <f>venta_a_mes1[[#This Row],[IMPORTE NETO]]*0.21</f>
        <v>0</v>
      </c>
      <c r="J278" s="65"/>
      <c r="K278" s="65"/>
      <c r="L278" s="65">
        <f>SUM(venta_a_mes1[[#This Row],[IMPORTE NETO]:[EXENTO]])</f>
        <v>0</v>
      </c>
      <c r="M278" s="59"/>
    </row>
    <row r="279" spans="2:13" x14ac:dyDescent="0.3">
      <c r="B279" s="109"/>
      <c r="C279" s="110"/>
      <c r="D279" s="111"/>
      <c r="E279" s="112"/>
      <c r="F279" s="113"/>
      <c r="G279" s="275" t="str">
        <f>IFERROR(IF(venta_a_mes1[[#This Row],[CUIT]]="","-",VLOOKUP(venta_a_mes1[[#This Row],[CUIT]],Lista_CUIT[#All],2,0)),"CUIT NO CARGADO")</f>
        <v>-</v>
      </c>
      <c r="H279" s="100"/>
      <c r="I279" s="101">
        <f>venta_a_mes1[[#This Row],[IMPORTE NETO]]*0.21</f>
        <v>0</v>
      </c>
      <c r="J279" s="65"/>
      <c r="K279" s="65"/>
      <c r="L279" s="65">
        <f>SUM(venta_a_mes1[[#This Row],[IMPORTE NETO]:[EXENTO]])</f>
        <v>0</v>
      </c>
      <c r="M279" s="59"/>
    </row>
    <row r="280" spans="2:13" x14ac:dyDescent="0.3">
      <c r="B280" s="109"/>
      <c r="C280" s="110"/>
      <c r="D280" s="111"/>
      <c r="E280" s="112"/>
      <c r="F280" s="113"/>
      <c r="G280" s="275" t="str">
        <f>IFERROR(IF(venta_a_mes1[[#This Row],[CUIT]]="","-",VLOOKUP(venta_a_mes1[[#This Row],[CUIT]],Lista_CUIT[#All],2,0)),"CUIT NO CARGADO")</f>
        <v>-</v>
      </c>
      <c r="H280" s="100"/>
      <c r="I280" s="101">
        <f>venta_a_mes1[[#This Row],[IMPORTE NETO]]*0.21</f>
        <v>0</v>
      </c>
      <c r="J280" s="65"/>
      <c r="K280" s="65"/>
      <c r="L280" s="65">
        <f>SUM(venta_a_mes1[[#This Row],[IMPORTE NETO]:[EXENTO]])</f>
        <v>0</v>
      </c>
      <c r="M280" s="59"/>
    </row>
    <row r="281" spans="2:13" x14ac:dyDescent="0.3">
      <c r="B281" s="109"/>
      <c r="C281" s="110"/>
      <c r="D281" s="111"/>
      <c r="E281" s="112"/>
      <c r="F281" s="113"/>
      <c r="G281" s="275" t="str">
        <f>IFERROR(IF(venta_a_mes1[[#This Row],[CUIT]]="","-",VLOOKUP(venta_a_mes1[[#This Row],[CUIT]],Lista_CUIT[#All],2,0)),"CUIT NO CARGADO")</f>
        <v>-</v>
      </c>
      <c r="H281" s="100"/>
      <c r="I281" s="101">
        <f>venta_a_mes1[[#This Row],[IMPORTE NETO]]*0.21</f>
        <v>0</v>
      </c>
      <c r="J281" s="65"/>
      <c r="K281" s="65"/>
      <c r="L281" s="65">
        <f>SUM(venta_a_mes1[[#This Row],[IMPORTE NETO]:[EXENTO]])</f>
        <v>0</v>
      </c>
      <c r="M281" s="59"/>
    </row>
    <row r="282" spans="2:13" x14ac:dyDescent="0.3">
      <c r="B282" s="109"/>
      <c r="C282" s="110"/>
      <c r="D282" s="111"/>
      <c r="E282" s="112"/>
      <c r="F282" s="113"/>
      <c r="G282" s="275" t="str">
        <f>IFERROR(IF(venta_a_mes1[[#This Row],[CUIT]]="","-",VLOOKUP(venta_a_mes1[[#This Row],[CUIT]],Lista_CUIT[#All],2,0)),"CUIT NO CARGADO")</f>
        <v>-</v>
      </c>
      <c r="H282" s="100"/>
      <c r="I282" s="101">
        <f>venta_a_mes1[[#This Row],[IMPORTE NETO]]*0.21</f>
        <v>0</v>
      </c>
      <c r="J282" s="65"/>
      <c r="K282" s="65"/>
      <c r="L282" s="65">
        <f>SUM(venta_a_mes1[[#This Row],[IMPORTE NETO]:[EXENTO]])</f>
        <v>0</v>
      </c>
      <c r="M282" s="59"/>
    </row>
    <row r="283" spans="2:13" x14ac:dyDescent="0.3">
      <c r="B283" s="109"/>
      <c r="C283" s="110"/>
      <c r="D283" s="111"/>
      <c r="E283" s="112"/>
      <c r="F283" s="113"/>
      <c r="G283" s="275" t="str">
        <f>IFERROR(IF(venta_a_mes1[[#This Row],[CUIT]]="","-",VLOOKUP(venta_a_mes1[[#This Row],[CUIT]],Lista_CUIT[#All],2,0)),"CUIT NO CARGADO")</f>
        <v>-</v>
      </c>
      <c r="H283" s="100"/>
      <c r="I283" s="101">
        <f>venta_a_mes1[[#This Row],[IMPORTE NETO]]*0.21</f>
        <v>0</v>
      </c>
      <c r="J283" s="65"/>
      <c r="K283" s="65"/>
      <c r="L283" s="65">
        <f>SUM(venta_a_mes1[[#This Row],[IMPORTE NETO]:[EXENTO]])</f>
        <v>0</v>
      </c>
      <c r="M283" s="59"/>
    </row>
    <row r="284" spans="2:13" x14ac:dyDescent="0.3">
      <c r="B284" s="109"/>
      <c r="C284" s="110"/>
      <c r="D284" s="111"/>
      <c r="E284" s="112"/>
      <c r="F284" s="113"/>
      <c r="G284" s="275" t="str">
        <f>IFERROR(IF(venta_a_mes1[[#This Row],[CUIT]]="","-",VLOOKUP(venta_a_mes1[[#This Row],[CUIT]],Lista_CUIT[#All],2,0)),"CUIT NO CARGADO")</f>
        <v>-</v>
      </c>
      <c r="H284" s="100"/>
      <c r="I284" s="101">
        <f>venta_a_mes1[[#This Row],[IMPORTE NETO]]*0.21</f>
        <v>0</v>
      </c>
      <c r="J284" s="65"/>
      <c r="K284" s="65"/>
      <c r="L284" s="65">
        <f>SUM(venta_a_mes1[[#This Row],[IMPORTE NETO]:[EXENTO]])</f>
        <v>0</v>
      </c>
      <c r="M284" s="59"/>
    </row>
    <row r="285" spans="2:13" x14ac:dyDescent="0.3">
      <c r="B285" s="109"/>
      <c r="C285" s="110"/>
      <c r="D285" s="111"/>
      <c r="E285" s="112"/>
      <c r="F285" s="113"/>
      <c r="G285" s="275" t="str">
        <f>IFERROR(IF(venta_a_mes1[[#This Row],[CUIT]]="","-",VLOOKUP(venta_a_mes1[[#This Row],[CUIT]],Lista_CUIT[#All],2,0)),"CUIT NO CARGADO")</f>
        <v>-</v>
      </c>
      <c r="H285" s="100"/>
      <c r="I285" s="101">
        <f>venta_a_mes1[[#This Row],[IMPORTE NETO]]*0.21</f>
        <v>0</v>
      </c>
      <c r="J285" s="65"/>
      <c r="K285" s="65"/>
      <c r="L285" s="65">
        <f>SUM(venta_a_mes1[[#This Row],[IMPORTE NETO]:[EXENTO]])</f>
        <v>0</v>
      </c>
      <c r="M285" s="59"/>
    </row>
    <row r="286" spans="2:13" x14ac:dyDescent="0.3">
      <c r="B286" s="109"/>
      <c r="C286" s="110"/>
      <c r="D286" s="111"/>
      <c r="E286" s="112"/>
      <c r="F286" s="113"/>
      <c r="G286" s="275" t="str">
        <f>IFERROR(IF(venta_a_mes1[[#This Row],[CUIT]]="","-",VLOOKUP(venta_a_mes1[[#This Row],[CUIT]],Lista_CUIT[#All],2,0)),"CUIT NO CARGADO")</f>
        <v>-</v>
      </c>
      <c r="H286" s="100"/>
      <c r="I286" s="101">
        <f>venta_a_mes1[[#This Row],[IMPORTE NETO]]*0.21</f>
        <v>0</v>
      </c>
      <c r="J286" s="65"/>
      <c r="K286" s="65"/>
      <c r="L286" s="65">
        <f>SUM(venta_a_mes1[[#This Row],[IMPORTE NETO]:[EXENTO]])</f>
        <v>0</v>
      </c>
      <c r="M286" s="59"/>
    </row>
    <row r="287" spans="2:13" x14ac:dyDescent="0.3">
      <c r="B287" s="109"/>
      <c r="C287" s="110"/>
      <c r="D287" s="111"/>
      <c r="E287" s="112"/>
      <c r="F287" s="113"/>
      <c r="G287" s="275" t="str">
        <f>IFERROR(IF(venta_a_mes1[[#This Row],[CUIT]]="","-",VLOOKUP(venta_a_mes1[[#This Row],[CUIT]],Lista_CUIT[#All],2,0)),"CUIT NO CARGADO")</f>
        <v>-</v>
      </c>
      <c r="H287" s="100"/>
      <c r="I287" s="101">
        <f>venta_a_mes1[[#This Row],[IMPORTE NETO]]*0.21</f>
        <v>0</v>
      </c>
      <c r="J287" s="65"/>
      <c r="K287" s="65"/>
      <c r="L287" s="65">
        <f>SUM(venta_a_mes1[[#This Row],[IMPORTE NETO]:[EXENTO]])</f>
        <v>0</v>
      </c>
      <c r="M287" s="59"/>
    </row>
    <row r="288" spans="2:13" x14ac:dyDescent="0.3">
      <c r="B288" s="66" t="s">
        <v>103</v>
      </c>
      <c r="C288" s="67"/>
      <c r="D288" s="67"/>
      <c r="E288" s="67"/>
      <c r="F288" s="67"/>
      <c r="G288" s="67"/>
      <c r="H288" s="69">
        <f>SUBTOTAL(109,venta_a_mes1[IMPORTE NETO])</f>
        <v>0</v>
      </c>
      <c r="I288" s="70">
        <f>SUBTOTAL(109,venta_a_mes1[IVA 21%])</f>
        <v>0</v>
      </c>
      <c r="J288" s="71">
        <f>SUBTOTAL(109,venta_a_mes1[IVA 10,5%])</f>
        <v>0</v>
      </c>
      <c r="K288" s="71">
        <f>SUBTOTAL(109,venta_a_mes1[EXENTO])</f>
        <v>0</v>
      </c>
      <c r="L288" s="71">
        <f>SUBTOTAL(109,venta_a_mes1[TOTAL])</f>
        <v>0</v>
      </c>
      <c r="M288" s="68">
        <f>SUBTOTAL(103,venta_a_mes1[Provincia])</f>
        <v>0</v>
      </c>
    </row>
    <row r="291" spans="2:13" ht="21" x14ac:dyDescent="0.3">
      <c r="B291" s="654" t="s">
        <v>31</v>
      </c>
      <c r="C291" s="654"/>
    </row>
    <row r="292" spans="2:13" ht="31.2" x14ac:dyDescent="0.3">
      <c r="B292" s="60" t="s">
        <v>0</v>
      </c>
      <c r="C292" s="61" t="s">
        <v>1</v>
      </c>
      <c r="D292" s="61" t="s">
        <v>21</v>
      </c>
      <c r="E292" s="61" t="s">
        <v>22</v>
      </c>
      <c r="F292" s="61" t="s">
        <v>3</v>
      </c>
      <c r="G292" s="61" t="s">
        <v>4</v>
      </c>
      <c r="H292" s="61" t="s">
        <v>23</v>
      </c>
      <c r="I292" s="61" t="s">
        <v>17</v>
      </c>
      <c r="J292" s="61" t="s">
        <v>7</v>
      </c>
      <c r="K292" s="61" t="s">
        <v>24</v>
      </c>
      <c r="L292" s="61" t="s">
        <v>10</v>
      </c>
      <c r="M292" s="62" t="s">
        <v>38</v>
      </c>
    </row>
    <row r="293" spans="2:13" x14ac:dyDescent="0.3">
      <c r="B293" s="178"/>
      <c r="C293" s="179"/>
      <c r="D293" s="180"/>
      <c r="E293" s="181"/>
      <c r="F293" s="182"/>
      <c r="G293" s="1" t="str">
        <f>IFERROR(IF(ventas_b_mes1[[#This Row],[CUIT]]="","-",VLOOKUP(ventas_b_mes1[[#This Row],[CUIT]],Lista_CUIT[#All],2,0)),"CUIT NO CARGADO")</f>
        <v>-</v>
      </c>
      <c r="H293" s="64">
        <f>ventas_b_mes1[[#This Row],[TOTAL]]/1.21</f>
        <v>0</v>
      </c>
      <c r="I293" s="183">
        <f>ventas_b_mes1[[#This Row],[IMPORTE NETO]]*0.21</f>
        <v>0</v>
      </c>
      <c r="J293" s="184"/>
      <c r="K293" s="184"/>
      <c r="L293" s="184"/>
      <c r="M293" s="59"/>
    </row>
    <row r="294" spans="2:13" x14ac:dyDescent="0.3">
      <c r="B294" s="178"/>
      <c r="C294" s="179"/>
      <c r="D294" s="180"/>
      <c r="E294" s="181"/>
      <c r="F294" s="182"/>
      <c r="G294" s="1" t="str">
        <f>IFERROR(IF(ventas_b_mes1[[#This Row],[CUIT]]="","-",VLOOKUP(ventas_b_mes1[[#This Row],[CUIT]],Lista_CUIT[#All],2,0)),"CUIT NO CARGADO")</f>
        <v>-</v>
      </c>
      <c r="H294" s="64">
        <f>ventas_b_mes1[[#This Row],[TOTAL]]/1.21</f>
        <v>0</v>
      </c>
      <c r="I294" s="183">
        <f>ventas_b_mes1[[#This Row],[IMPORTE NETO]]*0.21</f>
        <v>0</v>
      </c>
      <c r="J294" s="184"/>
      <c r="K294" s="184"/>
      <c r="L294" s="184"/>
      <c r="M294" s="59"/>
    </row>
    <row r="295" spans="2:13" x14ac:dyDescent="0.3">
      <c r="B295" s="178"/>
      <c r="C295" s="179"/>
      <c r="D295" s="180"/>
      <c r="E295" s="181"/>
      <c r="F295" s="182"/>
      <c r="G295" s="1" t="str">
        <f>IFERROR(IF(ventas_b_mes1[[#This Row],[CUIT]]="","-",VLOOKUP(ventas_b_mes1[[#This Row],[CUIT]],Lista_CUIT[#All],2,0)),"CUIT NO CARGADO")</f>
        <v>-</v>
      </c>
      <c r="H295" s="64">
        <f>ventas_b_mes1[[#This Row],[TOTAL]]/1.21</f>
        <v>0</v>
      </c>
      <c r="I295" s="183">
        <f>ventas_b_mes1[[#This Row],[IMPORTE NETO]]*0.21</f>
        <v>0</v>
      </c>
      <c r="J295" s="184"/>
      <c r="K295" s="184"/>
      <c r="L295" s="184"/>
      <c r="M295" s="59"/>
    </row>
    <row r="296" spans="2:13" x14ac:dyDescent="0.3">
      <c r="B296" s="178"/>
      <c r="C296" s="179"/>
      <c r="D296" s="180"/>
      <c r="E296" s="181"/>
      <c r="F296" s="182"/>
      <c r="G296" s="1" t="str">
        <f>IFERROR(IF(ventas_b_mes1[[#This Row],[CUIT]]="","-",VLOOKUP(ventas_b_mes1[[#This Row],[CUIT]],Lista_CUIT[#All],2,0)),"CUIT NO CARGADO")</f>
        <v>-</v>
      </c>
      <c r="H296" s="64">
        <f>ventas_b_mes1[[#This Row],[TOTAL]]/1.21</f>
        <v>0</v>
      </c>
      <c r="I296" s="183">
        <f>ventas_b_mes1[[#This Row],[IMPORTE NETO]]*0.21</f>
        <v>0</v>
      </c>
      <c r="J296" s="184"/>
      <c r="K296" s="184"/>
      <c r="L296" s="184"/>
      <c r="M296" s="59"/>
    </row>
    <row r="297" spans="2:13" x14ac:dyDescent="0.3">
      <c r="B297" s="178"/>
      <c r="C297" s="179"/>
      <c r="D297" s="180"/>
      <c r="E297" s="181"/>
      <c r="F297" s="182"/>
      <c r="G297" s="1" t="str">
        <f>IFERROR(IF(ventas_b_mes1[[#This Row],[CUIT]]="","-",VLOOKUP(ventas_b_mes1[[#This Row],[CUIT]],Lista_CUIT[#All],2,0)),"CUIT NO CARGADO")</f>
        <v>-</v>
      </c>
      <c r="H297" s="64">
        <f>ventas_b_mes1[[#This Row],[TOTAL]]/1.21</f>
        <v>0</v>
      </c>
      <c r="I297" s="183">
        <f>ventas_b_mes1[[#This Row],[IMPORTE NETO]]*0.21</f>
        <v>0</v>
      </c>
      <c r="J297" s="184"/>
      <c r="K297" s="184"/>
      <c r="L297" s="184"/>
      <c r="M297" s="59"/>
    </row>
    <row r="298" spans="2:13" x14ac:dyDescent="0.3">
      <c r="B298" s="178"/>
      <c r="C298" s="179"/>
      <c r="D298" s="180"/>
      <c r="E298" s="181"/>
      <c r="F298" s="182"/>
      <c r="G298" s="1" t="str">
        <f>IFERROR(IF(ventas_b_mes1[[#This Row],[CUIT]]="","-",VLOOKUP(ventas_b_mes1[[#This Row],[CUIT]],Lista_CUIT[#All],2,0)),"CUIT NO CARGADO")</f>
        <v>-</v>
      </c>
      <c r="H298" s="64">
        <f>ventas_b_mes1[[#This Row],[TOTAL]]/1.21</f>
        <v>0</v>
      </c>
      <c r="I298" s="183">
        <f>ventas_b_mes1[[#This Row],[IMPORTE NETO]]*0.21</f>
        <v>0</v>
      </c>
      <c r="J298" s="184"/>
      <c r="K298" s="184"/>
      <c r="L298" s="184"/>
      <c r="M298" s="59"/>
    </row>
    <row r="299" spans="2:13" x14ac:dyDescent="0.3">
      <c r="B299" s="178"/>
      <c r="C299" s="179"/>
      <c r="D299" s="180"/>
      <c r="E299" s="181"/>
      <c r="F299" s="182"/>
      <c r="G299" s="1" t="str">
        <f>IFERROR(IF(ventas_b_mes1[[#This Row],[CUIT]]="","-",VLOOKUP(ventas_b_mes1[[#This Row],[CUIT]],Lista_CUIT[#All],2,0)),"CUIT NO CARGADO")</f>
        <v>-</v>
      </c>
      <c r="H299" s="64">
        <f>ventas_b_mes1[[#This Row],[TOTAL]]/1.21</f>
        <v>0</v>
      </c>
      <c r="I299" s="183">
        <f>ventas_b_mes1[[#This Row],[IMPORTE NETO]]*0.21</f>
        <v>0</v>
      </c>
      <c r="J299" s="184"/>
      <c r="K299" s="184"/>
      <c r="L299" s="184"/>
      <c r="M299" s="59"/>
    </row>
    <row r="300" spans="2:13" x14ac:dyDescent="0.3">
      <c r="B300" s="178"/>
      <c r="C300" s="179"/>
      <c r="D300" s="180"/>
      <c r="E300" s="181"/>
      <c r="F300" s="182"/>
      <c r="G300" s="1" t="str">
        <f>IFERROR(IF(ventas_b_mes1[[#This Row],[CUIT]]="","-",VLOOKUP(ventas_b_mes1[[#This Row],[CUIT]],Lista_CUIT[#All],2,0)),"CUIT NO CARGADO")</f>
        <v>-</v>
      </c>
      <c r="H300" s="64">
        <f>ventas_b_mes1[[#This Row],[TOTAL]]/1.21</f>
        <v>0</v>
      </c>
      <c r="I300" s="183">
        <f>ventas_b_mes1[[#This Row],[IMPORTE NETO]]*0.21</f>
        <v>0</v>
      </c>
      <c r="J300" s="184"/>
      <c r="K300" s="184"/>
      <c r="L300" s="184"/>
      <c r="M300" s="59"/>
    </row>
    <row r="301" spans="2:13" x14ac:dyDescent="0.3">
      <c r="B301" s="178"/>
      <c r="C301" s="179"/>
      <c r="D301" s="180"/>
      <c r="E301" s="181"/>
      <c r="F301" s="182"/>
      <c r="G301" s="1" t="str">
        <f>IFERROR(IF(ventas_b_mes1[[#This Row],[CUIT]]="","-",VLOOKUP(ventas_b_mes1[[#This Row],[CUIT]],Lista_CUIT[#All],2,0)),"CUIT NO CARGADO")</f>
        <v>-</v>
      </c>
      <c r="H301" s="64">
        <f>ventas_b_mes1[[#This Row],[TOTAL]]/1.21</f>
        <v>0</v>
      </c>
      <c r="I301" s="183">
        <f>ventas_b_mes1[[#This Row],[IMPORTE NETO]]*0.21</f>
        <v>0</v>
      </c>
      <c r="J301" s="184"/>
      <c r="K301" s="184"/>
      <c r="L301" s="184"/>
      <c r="M301" s="59"/>
    </row>
    <row r="302" spans="2:13" x14ac:dyDescent="0.3">
      <c r="B302" s="178"/>
      <c r="C302" s="179"/>
      <c r="D302" s="180"/>
      <c r="E302" s="181"/>
      <c r="F302" s="182"/>
      <c r="G302" s="1" t="str">
        <f>IFERROR(IF(ventas_b_mes1[[#This Row],[CUIT]]="","-",VLOOKUP(ventas_b_mes1[[#This Row],[CUIT]],Lista_CUIT[#All],2,0)),"CUIT NO CARGADO")</f>
        <v>-</v>
      </c>
      <c r="H302" s="64">
        <f>ventas_b_mes1[[#This Row],[TOTAL]]/1.21</f>
        <v>0</v>
      </c>
      <c r="I302" s="183">
        <f>ventas_b_mes1[[#This Row],[IMPORTE NETO]]*0.21</f>
        <v>0</v>
      </c>
      <c r="J302" s="184"/>
      <c r="K302" s="184"/>
      <c r="L302" s="184"/>
      <c r="M302" s="59"/>
    </row>
    <row r="303" spans="2:13" x14ac:dyDescent="0.3">
      <c r="B303" s="178"/>
      <c r="C303" s="179"/>
      <c r="D303" s="180"/>
      <c r="E303" s="181"/>
      <c r="F303" s="182"/>
      <c r="G303" s="1" t="str">
        <f>IFERROR(IF(ventas_b_mes1[[#This Row],[CUIT]]="","-",VLOOKUP(ventas_b_mes1[[#This Row],[CUIT]],Lista_CUIT[#All],2,0)),"CUIT NO CARGADO")</f>
        <v>-</v>
      </c>
      <c r="H303" s="64">
        <f>ventas_b_mes1[[#This Row],[TOTAL]]/1.21</f>
        <v>0</v>
      </c>
      <c r="I303" s="183">
        <f>ventas_b_mes1[[#This Row],[IMPORTE NETO]]*0.21</f>
        <v>0</v>
      </c>
      <c r="J303" s="184"/>
      <c r="K303" s="184"/>
      <c r="L303" s="184"/>
      <c r="M303" s="59"/>
    </row>
    <row r="304" spans="2:13" x14ac:dyDescent="0.3">
      <c r="B304" s="178"/>
      <c r="C304" s="179"/>
      <c r="D304" s="180"/>
      <c r="E304" s="181"/>
      <c r="F304" s="182"/>
      <c r="G304" s="1" t="str">
        <f>IFERROR(IF(ventas_b_mes1[[#This Row],[CUIT]]="","-",VLOOKUP(ventas_b_mes1[[#This Row],[CUIT]],Lista_CUIT[#All],2,0)),"CUIT NO CARGADO")</f>
        <v>-</v>
      </c>
      <c r="H304" s="64">
        <f>ventas_b_mes1[[#This Row],[TOTAL]]/1.21</f>
        <v>0</v>
      </c>
      <c r="I304" s="183">
        <f>ventas_b_mes1[[#This Row],[IMPORTE NETO]]*0.21</f>
        <v>0</v>
      </c>
      <c r="J304" s="184"/>
      <c r="K304" s="184"/>
      <c r="L304" s="184"/>
      <c r="M304" s="59"/>
    </row>
    <row r="305" spans="2:13" x14ac:dyDescent="0.3">
      <c r="B305" s="178"/>
      <c r="C305" s="179"/>
      <c r="D305" s="180"/>
      <c r="E305" s="181"/>
      <c r="F305" s="182"/>
      <c r="G305" s="1" t="str">
        <f>IFERROR(IF(ventas_b_mes1[[#This Row],[CUIT]]="","-",VLOOKUP(ventas_b_mes1[[#This Row],[CUIT]],Lista_CUIT[#All],2,0)),"CUIT NO CARGADO")</f>
        <v>-</v>
      </c>
      <c r="H305" s="64">
        <f>ventas_b_mes1[[#This Row],[TOTAL]]/1.21</f>
        <v>0</v>
      </c>
      <c r="I305" s="183">
        <f>ventas_b_mes1[[#This Row],[IMPORTE NETO]]*0.21</f>
        <v>0</v>
      </c>
      <c r="J305" s="184"/>
      <c r="K305" s="184"/>
      <c r="L305" s="184"/>
      <c r="M305" s="59"/>
    </row>
    <row r="306" spans="2:13" x14ac:dyDescent="0.3">
      <c r="B306" s="178"/>
      <c r="C306" s="179"/>
      <c r="D306" s="180"/>
      <c r="E306" s="181"/>
      <c r="F306" s="182"/>
      <c r="G306" s="1" t="str">
        <f>IFERROR(IF(ventas_b_mes1[[#This Row],[CUIT]]="","-",VLOOKUP(ventas_b_mes1[[#This Row],[CUIT]],Lista_CUIT[#All],2,0)),"CUIT NO CARGADO")</f>
        <v>-</v>
      </c>
      <c r="H306" s="64">
        <f>ventas_b_mes1[[#This Row],[TOTAL]]/1.21</f>
        <v>0</v>
      </c>
      <c r="I306" s="183">
        <f>ventas_b_mes1[[#This Row],[IMPORTE NETO]]*0.21</f>
        <v>0</v>
      </c>
      <c r="J306" s="184"/>
      <c r="K306" s="184"/>
      <c r="L306" s="184"/>
      <c r="M306" s="59"/>
    </row>
    <row r="307" spans="2:13" x14ac:dyDescent="0.3">
      <c r="B307" s="178"/>
      <c r="C307" s="179"/>
      <c r="D307" s="180"/>
      <c r="E307" s="181"/>
      <c r="F307" s="182"/>
      <c r="G307" s="1" t="str">
        <f>IFERROR(IF(ventas_b_mes1[[#This Row],[CUIT]]="","-",VLOOKUP(ventas_b_mes1[[#This Row],[CUIT]],Lista_CUIT[#All],2,0)),"CUIT NO CARGADO")</f>
        <v>-</v>
      </c>
      <c r="H307" s="64">
        <f>ventas_b_mes1[[#This Row],[TOTAL]]/1.21</f>
        <v>0</v>
      </c>
      <c r="I307" s="183">
        <f>ventas_b_mes1[[#This Row],[IMPORTE NETO]]*0.21</f>
        <v>0</v>
      </c>
      <c r="J307" s="184"/>
      <c r="K307" s="184"/>
      <c r="L307" s="184"/>
      <c r="M307" s="59"/>
    </row>
    <row r="308" spans="2:13" x14ac:dyDescent="0.3">
      <c r="B308" s="178"/>
      <c r="C308" s="179"/>
      <c r="D308" s="180"/>
      <c r="E308" s="181"/>
      <c r="F308" s="182"/>
      <c r="G308" s="1" t="str">
        <f>IFERROR(IF(ventas_b_mes1[[#This Row],[CUIT]]="","-",VLOOKUP(ventas_b_mes1[[#This Row],[CUIT]],Lista_CUIT[#All],2,0)),"CUIT NO CARGADO")</f>
        <v>-</v>
      </c>
      <c r="H308" s="64">
        <f>ventas_b_mes1[[#This Row],[TOTAL]]/1.21</f>
        <v>0</v>
      </c>
      <c r="I308" s="183">
        <f>ventas_b_mes1[[#This Row],[IMPORTE NETO]]*0.21</f>
        <v>0</v>
      </c>
      <c r="J308" s="184"/>
      <c r="K308" s="184"/>
      <c r="L308" s="184"/>
      <c r="M308" s="59"/>
    </row>
    <row r="309" spans="2:13" x14ac:dyDescent="0.3">
      <c r="B309" s="178"/>
      <c r="C309" s="179"/>
      <c r="D309" s="180"/>
      <c r="E309" s="181"/>
      <c r="F309" s="182"/>
      <c r="G309" s="1" t="str">
        <f>IFERROR(IF(ventas_b_mes1[[#This Row],[CUIT]]="","-",VLOOKUP(ventas_b_mes1[[#This Row],[CUIT]],Lista_CUIT[#All],2,0)),"CUIT NO CARGADO")</f>
        <v>-</v>
      </c>
      <c r="H309" s="64">
        <f>ventas_b_mes1[[#This Row],[TOTAL]]/1.21</f>
        <v>0</v>
      </c>
      <c r="I309" s="183">
        <f>ventas_b_mes1[[#This Row],[IMPORTE NETO]]*0.21</f>
        <v>0</v>
      </c>
      <c r="J309" s="184"/>
      <c r="K309" s="184"/>
      <c r="L309" s="184"/>
      <c r="M309" s="59"/>
    </row>
    <row r="310" spans="2:13" x14ac:dyDescent="0.3">
      <c r="B310" s="178"/>
      <c r="C310" s="179"/>
      <c r="D310" s="180"/>
      <c r="E310" s="181"/>
      <c r="F310" s="182"/>
      <c r="G310" s="1" t="str">
        <f>IFERROR(IF(ventas_b_mes1[[#This Row],[CUIT]]="","-",VLOOKUP(ventas_b_mes1[[#This Row],[CUIT]],Lista_CUIT[#All],2,0)),"CUIT NO CARGADO")</f>
        <v>-</v>
      </c>
      <c r="H310" s="64">
        <f>ventas_b_mes1[[#This Row],[TOTAL]]/1.21</f>
        <v>0</v>
      </c>
      <c r="I310" s="183">
        <f>ventas_b_mes1[[#This Row],[IMPORTE NETO]]*0.21</f>
        <v>0</v>
      </c>
      <c r="J310" s="184"/>
      <c r="K310" s="184"/>
      <c r="L310" s="184"/>
      <c r="M310" s="59"/>
    </row>
    <row r="311" spans="2:13" x14ac:dyDescent="0.3">
      <c r="B311" s="178"/>
      <c r="C311" s="179"/>
      <c r="D311" s="180"/>
      <c r="E311" s="181"/>
      <c r="F311" s="182"/>
      <c r="G311" s="1" t="str">
        <f>IFERROR(IF(ventas_b_mes1[[#This Row],[CUIT]]="","-",VLOOKUP(ventas_b_mes1[[#This Row],[CUIT]],Lista_CUIT[#All],2,0)),"CUIT NO CARGADO")</f>
        <v>-</v>
      </c>
      <c r="H311" s="64">
        <f>ventas_b_mes1[[#This Row],[TOTAL]]/1.21</f>
        <v>0</v>
      </c>
      <c r="I311" s="183">
        <f>ventas_b_mes1[[#This Row],[IMPORTE NETO]]*0.21</f>
        <v>0</v>
      </c>
      <c r="J311" s="184"/>
      <c r="K311" s="184"/>
      <c r="L311" s="184"/>
      <c r="M311" s="59"/>
    </row>
    <row r="312" spans="2:13" x14ac:dyDescent="0.3">
      <c r="B312" s="178"/>
      <c r="C312" s="179"/>
      <c r="D312" s="180"/>
      <c r="E312" s="181"/>
      <c r="F312" s="182"/>
      <c r="G312" s="1" t="str">
        <f>IFERROR(IF(ventas_b_mes1[[#This Row],[CUIT]]="","-",VLOOKUP(ventas_b_mes1[[#This Row],[CUIT]],Lista_CUIT[#All],2,0)),"CUIT NO CARGADO")</f>
        <v>-</v>
      </c>
      <c r="H312" s="64">
        <f>ventas_b_mes1[[#This Row],[TOTAL]]/1.21</f>
        <v>0</v>
      </c>
      <c r="I312" s="183">
        <f>ventas_b_mes1[[#This Row],[IMPORTE NETO]]*0.21</f>
        <v>0</v>
      </c>
      <c r="J312" s="184"/>
      <c r="K312" s="184"/>
      <c r="L312" s="184"/>
      <c r="M312" s="59"/>
    </row>
    <row r="313" spans="2:13" x14ac:dyDescent="0.3">
      <c r="B313" s="178"/>
      <c r="C313" s="179"/>
      <c r="D313" s="180"/>
      <c r="E313" s="181"/>
      <c r="F313" s="182"/>
      <c r="G313" s="1" t="str">
        <f>IFERROR(IF(ventas_b_mes1[[#This Row],[CUIT]]="","-",VLOOKUP(ventas_b_mes1[[#This Row],[CUIT]],Lista_CUIT[#All],2,0)),"CUIT NO CARGADO")</f>
        <v>-</v>
      </c>
      <c r="H313" s="64">
        <f>ventas_b_mes1[[#This Row],[TOTAL]]/1.21</f>
        <v>0</v>
      </c>
      <c r="I313" s="183">
        <f>ventas_b_mes1[[#This Row],[IMPORTE NETO]]*0.21</f>
        <v>0</v>
      </c>
      <c r="J313" s="184"/>
      <c r="K313" s="184"/>
      <c r="L313" s="184"/>
      <c r="M313" s="59"/>
    </row>
    <row r="314" spans="2:13" x14ac:dyDescent="0.3">
      <c r="B314" s="178"/>
      <c r="C314" s="179"/>
      <c r="D314" s="180"/>
      <c r="E314" s="181"/>
      <c r="F314" s="182"/>
      <c r="G314" s="1" t="str">
        <f>IFERROR(IF(ventas_b_mes1[[#This Row],[CUIT]]="","-",VLOOKUP(ventas_b_mes1[[#This Row],[CUIT]],Lista_CUIT[#All],2,0)),"CUIT NO CARGADO")</f>
        <v>-</v>
      </c>
      <c r="H314" s="64">
        <f>ventas_b_mes1[[#This Row],[TOTAL]]/1.21</f>
        <v>0</v>
      </c>
      <c r="I314" s="183">
        <f>ventas_b_mes1[[#This Row],[IMPORTE NETO]]*0.21</f>
        <v>0</v>
      </c>
      <c r="J314" s="184"/>
      <c r="K314" s="184"/>
      <c r="L314" s="184"/>
      <c r="M314" s="59"/>
    </row>
    <row r="315" spans="2:13" x14ac:dyDescent="0.3">
      <c r="B315" s="178"/>
      <c r="C315" s="179"/>
      <c r="D315" s="180"/>
      <c r="E315" s="181"/>
      <c r="F315" s="182"/>
      <c r="G315" s="1" t="str">
        <f>IFERROR(IF(ventas_b_mes1[[#This Row],[CUIT]]="","-",VLOOKUP(ventas_b_mes1[[#This Row],[CUIT]],Lista_CUIT[#All],2,0)),"CUIT NO CARGADO")</f>
        <v>-</v>
      </c>
      <c r="H315" s="64">
        <f>ventas_b_mes1[[#This Row],[TOTAL]]/1.21</f>
        <v>0</v>
      </c>
      <c r="I315" s="183">
        <f>ventas_b_mes1[[#This Row],[IMPORTE NETO]]*0.21</f>
        <v>0</v>
      </c>
      <c r="J315" s="184"/>
      <c r="K315" s="184"/>
      <c r="L315" s="184"/>
      <c r="M315" s="59"/>
    </row>
    <row r="316" spans="2:13" x14ac:dyDescent="0.3">
      <c r="B316" s="178"/>
      <c r="C316" s="179"/>
      <c r="D316" s="180"/>
      <c r="E316" s="181"/>
      <c r="F316" s="182"/>
      <c r="G316" s="1" t="str">
        <f>IFERROR(IF(ventas_b_mes1[[#This Row],[CUIT]]="","-",VLOOKUP(ventas_b_mes1[[#This Row],[CUIT]],Lista_CUIT[#All],2,0)),"CUIT NO CARGADO")</f>
        <v>-</v>
      </c>
      <c r="H316" s="64">
        <f>ventas_b_mes1[[#This Row],[TOTAL]]/1.21</f>
        <v>0</v>
      </c>
      <c r="I316" s="183">
        <f>ventas_b_mes1[[#This Row],[IMPORTE NETO]]*0.21</f>
        <v>0</v>
      </c>
      <c r="J316" s="184"/>
      <c r="K316" s="184"/>
      <c r="L316" s="184"/>
      <c r="M316" s="59"/>
    </row>
    <row r="317" spans="2:13" x14ac:dyDescent="0.3">
      <c r="B317" s="178"/>
      <c r="C317" s="179"/>
      <c r="D317" s="180"/>
      <c r="E317" s="181"/>
      <c r="F317" s="182"/>
      <c r="G317" s="1" t="str">
        <f>IFERROR(IF(ventas_b_mes1[[#This Row],[CUIT]]="","-",VLOOKUP(ventas_b_mes1[[#This Row],[CUIT]],Lista_CUIT[#All],2,0)),"CUIT NO CARGADO")</f>
        <v>-</v>
      </c>
      <c r="H317" s="64">
        <f>ventas_b_mes1[[#This Row],[TOTAL]]/1.21</f>
        <v>0</v>
      </c>
      <c r="I317" s="183">
        <f>ventas_b_mes1[[#This Row],[IMPORTE NETO]]*0.21</f>
        <v>0</v>
      </c>
      <c r="J317" s="184"/>
      <c r="K317" s="184"/>
      <c r="L317" s="184"/>
      <c r="M317" s="59"/>
    </row>
    <row r="318" spans="2:13" x14ac:dyDescent="0.3">
      <c r="B318" s="178"/>
      <c r="C318" s="179"/>
      <c r="D318" s="180"/>
      <c r="E318" s="181"/>
      <c r="F318" s="182"/>
      <c r="G318" s="1" t="str">
        <f>IFERROR(IF(ventas_b_mes1[[#This Row],[CUIT]]="","-",VLOOKUP(ventas_b_mes1[[#This Row],[CUIT]],Lista_CUIT[#All],2,0)),"CUIT NO CARGADO")</f>
        <v>-</v>
      </c>
      <c r="H318" s="64">
        <f>ventas_b_mes1[[#This Row],[TOTAL]]/1.21</f>
        <v>0</v>
      </c>
      <c r="I318" s="183">
        <f>ventas_b_mes1[[#This Row],[IMPORTE NETO]]*0.21</f>
        <v>0</v>
      </c>
      <c r="J318" s="184"/>
      <c r="K318" s="184"/>
      <c r="L318" s="184"/>
      <c r="M318" s="59"/>
    </row>
    <row r="319" spans="2:13" x14ac:dyDescent="0.3">
      <c r="B319" s="178"/>
      <c r="C319" s="179"/>
      <c r="D319" s="180"/>
      <c r="E319" s="181"/>
      <c r="F319" s="182"/>
      <c r="G319" s="1" t="str">
        <f>IFERROR(IF(ventas_b_mes1[[#This Row],[CUIT]]="","-",VLOOKUP(ventas_b_mes1[[#This Row],[CUIT]],Lista_CUIT[#All],2,0)),"CUIT NO CARGADO")</f>
        <v>-</v>
      </c>
      <c r="H319" s="64">
        <f>ventas_b_mes1[[#This Row],[TOTAL]]/1.21</f>
        <v>0</v>
      </c>
      <c r="I319" s="183">
        <f>ventas_b_mes1[[#This Row],[IMPORTE NETO]]*0.21</f>
        <v>0</v>
      </c>
      <c r="J319" s="184"/>
      <c r="K319" s="184"/>
      <c r="L319" s="184"/>
      <c r="M319" s="59"/>
    </row>
    <row r="320" spans="2:13" x14ac:dyDescent="0.3">
      <c r="B320" s="178"/>
      <c r="C320" s="179"/>
      <c r="D320" s="180"/>
      <c r="E320" s="181"/>
      <c r="F320" s="182"/>
      <c r="G320" s="1" t="str">
        <f>IFERROR(IF(ventas_b_mes1[[#This Row],[CUIT]]="","-",VLOOKUP(ventas_b_mes1[[#This Row],[CUIT]],Lista_CUIT[#All],2,0)),"CUIT NO CARGADO")</f>
        <v>-</v>
      </c>
      <c r="H320" s="64">
        <f>ventas_b_mes1[[#This Row],[TOTAL]]/1.21</f>
        <v>0</v>
      </c>
      <c r="I320" s="183">
        <f>ventas_b_mes1[[#This Row],[IMPORTE NETO]]*0.21</f>
        <v>0</v>
      </c>
      <c r="J320" s="184"/>
      <c r="K320" s="184"/>
      <c r="L320" s="184"/>
      <c r="M320" s="59"/>
    </row>
    <row r="321" spans="2:13" x14ac:dyDescent="0.3">
      <c r="B321" s="178"/>
      <c r="C321" s="179"/>
      <c r="D321" s="180"/>
      <c r="E321" s="181"/>
      <c r="F321" s="182"/>
      <c r="G321" s="1" t="str">
        <f>IFERROR(IF(ventas_b_mes1[[#This Row],[CUIT]]="","-",VLOOKUP(ventas_b_mes1[[#This Row],[CUIT]],Lista_CUIT[#All],2,0)),"CUIT NO CARGADO")</f>
        <v>-</v>
      </c>
      <c r="H321" s="64">
        <f>ventas_b_mes1[[#This Row],[TOTAL]]/1.21</f>
        <v>0</v>
      </c>
      <c r="I321" s="183">
        <f>ventas_b_mes1[[#This Row],[IMPORTE NETO]]*0.21</f>
        <v>0</v>
      </c>
      <c r="J321" s="184"/>
      <c r="K321" s="184"/>
      <c r="L321" s="184"/>
      <c r="M321" s="59"/>
    </row>
    <row r="322" spans="2:13" x14ac:dyDescent="0.3">
      <c r="B322" s="178"/>
      <c r="C322" s="179"/>
      <c r="D322" s="180"/>
      <c r="E322" s="181"/>
      <c r="F322" s="182"/>
      <c r="G322" s="1" t="str">
        <f>IFERROR(IF(ventas_b_mes1[[#This Row],[CUIT]]="","-",VLOOKUP(ventas_b_mes1[[#This Row],[CUIT]],Lista_CUIT[#All],2,0)),"CUIT NO CARGADO")</f>
        <v>-</v>
      </c>
      <c r="H322" s="64">
        <f>ventas_b_mes1[[#This Row],[TOTAL]]/1.21</f>
        <v>0</v>
      </c>
      <c r="I322" s="183">
        <f>ventas_b_mes1[[#This Row],[IMPORTE NETO]]*0.21</f>
        <v>0</v>
      </c>
      <c r="J322" s="184"/>
      <c r="K322" s="184"/>
      <c r="L322" s="184"/>
      <c r="M322" s="59"/>
    </row>
    <row r="323" spans="2:13" x14ac:dyDescent="0.3">
      <c r="B323" s="178"/>
      <c r="C323" s="179"/>
      <c r="D323" s="180"/>
      <c r="E323" s="181"/>
      <c r="F323" s="182"/>
      <c r="G323" s="1" t="str">
        <f>IFERROR(IF(ventas_b_mes1[[#This Row],[CUIT]]="","-",VLOOKUP(ventas_b_mes1[[#This Row],[CUIT]],Lista_CUIT[#All],2,0)),"CUIT NO CARGADO")</f>
        <v>-</v>
      </c>
      <c r="H323" s="64">
        <f>ventas_b_mes1[[#This Row],[TOTAL]]/1.21</f>
        <v>0</v>
      </c>
      <c r="I323" s="183">
        <f>ventas_b_mes1[[#This Row],[IMPORTE NETO]]*0.21</f>
        <v>0</v>
      </c>
      <c r="J323" s="184"/>
      <c r="K323" s="184"/>
      <c r="L323" s="184"/>
      <c r="M323" s="59"/>
    </row>
    <row r="324" spans="2:13" x14ac:dyDescent="0.3">
      <c r="B324" s="178"/>
      <c r="C324" s="179"/>
      <c r="D324" s="180"/>
      <c r="E324" s="181"/>
      <c r="F324" s="182"/>
      <c r="G324" s="1" t="str">
        <f>IFERROR(IF(ventas_b_mes1[[#This Row],[CUIT]]="","-",VLOOKUP(ventas_b_mes1[[#This Row],[CUIT]],Lista_CUIT[#All],2,0)),"CUIT NO CARGADO")</f>
        <v>-</v>
      </c>
      <c r="H324" s="64">
        <f>ventas_b_mes1[[#This Row],[TOTAL]]/1.21</f>
        <v>0</v>
      </c>
      <c r="I324" s="183">
        <f>ventas_b_mes1[[#This Row],[IMPORTE NETO]]*0.21</f>
        <v>0</v>
      </c>
      <c r="J324" s="184"/>
      <c r="K324" s="184"/>
      <c r="L324" s="184"/>
      <c r="M324" s="59"/>
    </row>
    <row r="325" spans="2:13" x14ac:dyDescent="0.3">
      <c r="B325" s="178"/>
      <c r="C325" s="179"/>
      <c r="D325" s="180"/>
      <c r="E325" s="181"/>
      <c r="F325" s="182"/>
      <c r="G325" s="1" t="str">
        <f>IFERROR(IF(ventas_b_mes1[[#This Row],[CUIT]]="","-",VLOOKUP(ventas_b_mes1[[#This Row],[CUIT]],Lista_CUIT[#All],2,0)),"CUIT NO CARGADO")</f>
        <v>-</v>
      </c>
      <c r="H325" s="64">
        <f>ventas_b_mes1[[#This Row],[TOTAL]]/1.21</f>
        <v>0</v>
      </c>
      <c r="I325" s="183">
        <f>ventas_b_mes1[[#This Row],[IMPORTE NETO]]*0.21</f>
        <v>0</v>
      </c>
      <c r="J325" s="184"/>
      <c r="K325" s="184"/>
      <c r="L325" s="184"/>
      <c r="M325" s="59"/>
    </row>
    <row r="326" spans="2:13" x14ac:dyDescent="0.3">
      <c r="B326" s="178"/>
      <c r="C326" s="179"/>
      <c r="D326" s="180"/>
      <c r="E326" s="181"/>
      <c r="F326" s="182"/>
      <c r="G326" s="1" t="str">
        <f>IFERROR(IF(ventas_b_mes1[[#This Row],[CUIT]]="","-",VLOOKUP(ventas_b_mes1[[#This Row],[CUIT]],Lista_CUIT[#All],2,0)),"CUIT NO CARGADO")</f>
        <v>-</v>
      </c>
      <c r="H326" s="64">
        <f>ventas_b_mes1[[#This Row],[TOTAL]]/1.21</f>
        <v>0</v>
      </c>
      <c r="I326" s="183">
        <f>ventas_b_mes1[[#This Row],[IMPORTE NETO]]*0.21</f>
        <v>0</v>
      </c>
      <c r="J326" s="184"/>
      <c r="K326" s="184"/>
      <c r="L326" s="184"/>
      <c r="M326" s="59"/>
    </row>
    <row r="327" spans="2:13" x14ac:dyDescent="0.3">
      <c r="B327" s="178"/>
      <c r="C327" s="179"/>
      <c r="D327" s="180"/>
      <c r="E327" s="181"/>
      <c r="F327" s="182"/>
      <c r="G327" s="1" t="str">
        <f>IFERROR(IF(ventas_b_mes1[[#This Row],[CUIT]]="","-",VLOOKUP(ventas_b_mes1[[#This Row],[CUIT]],Lista_CUIT[#All],2,0)),"CUIT NO CARGADO")</f>
        <v>-</v>
      </c>
      <c r="H327" s="64">
        <f>ventas_b_mes1[[#This Row],[TOTAL]]/1.21</f>
        <v>0</v>
      </c>
      <c r="I327" s="183">
        <f>ventas_b_mes1[[#This Row],[IMPORTE NETO]]*0.21</f>
        <v>0</v>
      </c>
      <c r="J327" s="184"/>
      <c r="K327" s="184"/>
      <c r="L327" s="184"/>
      <c r="M327" s="59"/>
    </row>
    <row r="328" spans="2:13" x14ac:dyDescent="0.3">
      <c r="B328" s="178"/>
      <c r="C328" s="179"/>
      <c r="D328" s="180"/>
      <c r="E328" s="181"/>
      <c r="F328" s="182"/>
      <c r="G328" s="1" t="str">
        <f>IFERROR(IF(ventas_b_mes1[[#This Row],[CUIT]]="","-",VLOOKUP(ventas_b_mes1[[#This Row],[CUIT]],Lista_CUIT[#All],2,0)),"CUIT NO CARGADO")</f>
        <v>-</v>
      </c>
      <c r="H328" s="64">
        <f>ventas_b_mes1[[#This Row],[TOTAL]]/1.21</f>
        <v>0</v>
      </c>
      <c r="I328" s="183">
        <f>ventas_b_mes1[[#This Row],[IMPORTE NETO]]*0.21</f>
        <v>0</v>
      </c>
      <c r="J328" s="184"/>
      <c r="K328" s="184"/>
      <c r="L328" s="184"/>
      <c r="M328" s="59"/>
    </row>
    <row r="329" spans="2:13" x14ac:dyDescent="0.3">
      <c r="B329" s="178"/>
      <c r="C329" s="179"/>
      <c r="D329" s="180"/>
      <c r="E329" s="181"/>
      <c r="F329" s="182"/>
      <c r="G329" s="1" t="str">
        <f>IFERROR(IF(ventas_b_mes1[[#This Row],[CUIT]]="","-",VLOOKUP(ventas_b_mes1[[#This Row],[CUIT]],Lista_CUIT[#All],2,0)),"CUIT NO CARGADO")</f>
        <v>-</v>
      </c>
      <c r="H329" s="64">
        <f>ventas_b_mes1[[#This Row],[TOTAL]]/1.21</f>
        <v>0</v>
      </c>
      <c r="I329" s="183">
        <f>ventas_b_mes1[[#This Row],[IMPORTE NETO]]*0.21</f>
        <v>0</v>
      </c>
      <c r="J329" s="184"/>
      <c r="K329" s="184"/>
      <c r="L329" s="184"/>
      <c r="M329" s="59"/>
    </row>
    <row r="330" spans="2:13" x14ac:dyDescent="0.3">
      <c r="B330" s="178"/>
      <c r="C330" s="179"/>
      <c r="D330" s="180"/>
      <c r="E330" s="181"/>
      <c r="F330" s="182"/>
      <c r="G330" s="1" t="str">
        <f>IFERROR(IF(ventas_b_mes1[[#This Row],[CUIT]]="","-",VLOOKUP(ventas_b_mes1[[#This Row],[CUIT]],Lista_CUIT[#All],2,0)),"CUIT NO CARGADO")</f>
        <v>-</v>
      </c>
      <c r="H330" s="64">
        <f>ventas_b_mes1[[#This Row],[TOTAL]]/1.21</f>
        <v>0</v>
      </c>
      <c r="I330" s="183">
        <f>ventas_b_mes1[[#This Row],[IMPORTE NETO]]*0.21</f>
        <v>0</v>
      </c>
      <c r="J330" s="184"/>
      <c r="K330" s="184"/>
      <c r="L330" s="184"/>
      <c r="M330" s="59"/>
    </row>
    <row r="331" spans="2:13" x14ac:dyDescent="0.3">
      <c r="B331" s="178"/>
      <c r="C331" s="179"/>
      <c r="D331" s="180"/>
      <c r="E331" s="181"/>
      <c r="F331" s="182"/>
      <c r="G331" s="1" t="str">
        <f>IFERROR(IF(ventas_b_mes1[[#This Row],[CUIT]]="","-",VLOOKUP(ventas_b_mes1[[#This Row],[CUIT]],Lista_CUIT[#All],2,0)),"CUIT NO CARGADO")</f>
        <v>-</v>
      </c>
      <c r="H331" s="64">
        <f>ventas_b_mes1[[#This Row],[TOTAL]]/1.21</f>
        <v>0</v>
      </c>
      <c r="I331" s="183">
        <f>ventas_b_mes1[[#This Row],[IMPORTE NETO]]*0.21</f>
        <v>0</v>
      </c>
      <c r="J331" s="184"/>
      <c r="K331" s="184"/>
      <c r="L331" s="184"/>
      <c r="M331" s="59"/>
    </row>
    <row r="332" spans="2:13" x14ac:dyDescent="0.3">
      <c r="B332" s="178"/>
      <c r="C332" s="179"/>
      <c r="D332" s="180"/>
      <c r="E332" s="181"/>
      <c r="F332" s="182"/>
      <c r="G332" s="1" t="str">
        <f>IFERROR(IF(ventas_b_mes1[[#This Row],[CUIT]]="","-",VLOOKUP(ventas_b_mes1[[#This Row],[CUIT]],Lista_CUIT[#All],2,0)),"CUIT NO CARGADO")</f>
        <v>-</v>
      </c>
      <c r="H332" s="64">
        <f>ventas_b_mes1[[#This Row],[TOTAL]]/1.21</f>
        <v>0</v>
      </c>
      <c r="I332" s="183">
        <f>ventas_b_mes1[[#This Row],[IMPORTE NETO]]*0.21</f>
        <v>0</v>
      </c>
      <c r="J332" s="184"/>
      <c r="K332" s="184"/>
      <c r="L332" s="184"/>
      <c r="M332" s="59"/>
    </row>
    <row r="333" spans="2:13" x14ac:dyDescent="0.3">
      <c r="B333" s="178"/>
      <c r="C333" s="179"/>
      <c r="D333" s="180"/>
      <c r="E333" s="181"/>
      <c r="F333" s="182"/>
      <c r="G333" s="1" t="str">
        <f>IFERROR(IF(ventas_b_mes1[[#This Row],[CUIT]]="","-",VLOOKUP(ventas_b_mes1[[#This Row],[CUIT]],Lista_CUIT[#All],2,0)),"CUIT NO CARGADO")</f>
        <v>-</v>
      </c>
      <c r="H333" s="64">
        <f>ventas_b_mes1[[#This Row],[TOTAL]]/1.21</f>
        <v>0</v>
      </c>
      <c r="I333" s="183">
        <f>ventas_b_mes1[[#This Row],[IMPORTE NETO]]*0.21</f>
        <v>0</v>
      </c>
      <c r="J333" s="184"/>
      <c r="K333" s="184"/>
      <c r="L333" s="184"/>
      <c r="M333" s="59"/>
    </row>
    <row r="334" spans="2:13" x14ac:dyDescent="0.3">
      <c r="B334" s="178"/>
      <c r="C334" s="179"/>
      <c r="D334" s="180"/>
      <c r="E334" s="181"/>
      <c r="F334" s="182"/>
      <c r="G334" s="1" t="str">
        <f>IFERROR(IF(ventas_b_mes1[[#This Row],[CUIT]]="","-",VLOOKUP(ventas_b_mes1[[#This Row],[CUIT]],Lista_CUIT[#All],2,0)),"CUIT NO CARGADO")</f>
        <v>-</v>
      </c>
      <c r="H334" s="64">
        <f>ventas_b_mes1[[#This Row],[TOTAL]]/1.21</f>
        <v>0</v>
      </c>
      <c r="I334" s="183">
        <f>ventas_b_mes1[[#This Row],[IMPORTE NETO]]*0.21</f>
        <v>0</v>
      </c>
      <c r="J334" s="184"/>
      <c r="K334" s="184"/>
      <c r="L334" s="184"/>
      <c r="M334" s="59"/>
    </row>
    <row r="335" spans="2:13" x14ac:dyDescent="0.3">
      <c r="B335" s="178"/>
      <c r="C335" s="179"/>
      <c r="D335" s="180"/>
      <c r="E335" s="181"/>
      <c r="F335" s="182"/>
      <c r="G335" s="1" t="str">
        <f>IFERROR(IF(ventas_b_mes1[[#This Row],[CUIT]]="","-",VLOOKUP(ventas_b_mes1[[#This Row],[CUIT]],Lista_CUIT[#All],2,0)),"CUIT NO CARGADO")</f>
        <v>-</v>
      </c>
      <c r="H335" s="64">
        <f>ventas_b_mes1[[#This Row],[TOTAL]]/1.21</f>
        <v>0</v>
      </c>
      <c r="I335" s="183">
        <f>ventas_b_mes1[[#This Row],[IMPORTE NETO]]*0.21</f>
        <v>0</v>
      </c>
      <c r="J335" s="184"/>
      <c r="K335" s="184"/>
      <c r="L335" s="184"/>
      <c r="M335" s="59"/>
    </row>
    <row r="336" spans="2:13" x14ac:dyDescent="0.3">
      <c r="B336" s="178"/>
      <c r="C336" s="179"/>
      <c r="D336" s="180"/>
      <c r="E336" s="181"/>
      <c r="F336" s="182"/>
      <c r="G336" s="1" t="str">
        <f>IFERROR(IF(ventas_b_mes1[[#This Row],[CUIT]]="","-",VLOOKUP(ventas_b_mes1[[#This Row],[CUIT]],Lista_CUIT[#All],2,0)),"CUIT NO CARGADO")</f>
        <v>-</v>
      </c>
      <c r="H336" s="64">
        <f>ventas_b_mes1[[#This Row],[TOTAL]]/1.21</f>
        <v>0</v>
      </c>
      <c r="I336" s="183">
        <f>ventas_b_mes1[[#This Row],[IMPORTE NETO]]*0.21</f>
        <v>0</v>
      </c>
      <c r="J336" s="184"/>
      <c r="K336" s="184"/>
      <c r="L336" s="184"/>
      <c r="M336" s="59"/>
    </row>
    <row r="337" spans="2:13" x14ac:dyDescent="0.3">
      <c r="B337" s="178"/>
      <c r="C337" s="179"/>
      <c r="D337" s="180"/>
      <c r="E337" s="181"/>
      <c r="F337" s="182"/>
      <c r="G337" s="1" t="str">
        <f>IFERROR(IF(ventas_b_mes1[[#This Row],[CUIT]]="","-",VLOOKUP(ventas_b_mes1[[#This Row],[CUIT]],Lista_CUIT[#All],2,0)),"CUIT NO CARGADO")</f>
        <v>-</v>
      </c>
      <c r="H337" s="64">
        <f>ventas_b_mes1[[#This Row],[TOTAL]]/1.21</f>
        <v>0</v>
      </c>
      <c r="I337" s="183">
        <f>ventas_b_mes1[[#This Row],[IMPORTE NETO]]*0.21</f>
        <v>0</v>
      </c>
      <c r="J337" s="184"/>
      <c r="K337" s="184"/>
      <c r="L337" s="184"/>
      <c r="M337" s="59"/>
    </row>
    <row r="338" spans="2:13" x14ac:dyDescent="0.3">
      <c r="B338" s="178"/>
      <c r="C338" s="179"/>
      <c r="D338" s="180"/>
      <c r="E338" s="181"/>
      <c r="F338" s="182"/>
      <c r="G338" s="1" t="str">
        <f>IFERROR(IF(ventas_b_mes1[[#This Row],[CUIT]]="","-",VLOOKUP(ventas_b_mes1[[#This Row],[CUIT]],Lista_CUIT[#All],2,0)),"CUIT NO CARGADO")</f>
        <v>-</v>
      </c>
      <c r="H338" s="64">
        <f>ventas_b_mes1[[#This Row],[TOTAL]]/1.21</f>
        <v>0</v>
      </c>
      <c r="I338" s="183">
        <f>ventas_b_mes1[[#This Row],[IMPORTE NETO]]*0.21</f>
        <v>0</v>
      </c>
      <c r="J338" s="184"/>
      <c r="K338" s="184"/>
      <c r="L338" s="184"/>
      <c r="M338" s="59"/>
    </row>
    <row r="339" spans="2:13" x14ac:dyDescent="0.3">
      <c r="B339" s="178"/>
      <c r="C339" s="179"/>
      <c r="D339" s="180"/>
      <c r="E339" s="181"/>
      <c r="F339" s="182"/>
      <c r="G339" s="1" t="str">
        <f>IFERROR(IF(ventas_b_mes1[[#This Row],[CUIT]]="","-",VLOOKUP(ventas_b_mes1[[#This Row],[CUIT]],Lista_CUIT[#All],2,0)),"CUIT NO CARGADO")</f>
        <v>-</v>
      </c>
      <c r="H339" s="64">
        <f>ventas_b_mes1[[#This Row],[TOTAL]]/1.21</f>
        <v>0</v>
      </c>
      <c r="I339" s="183">
        <f>ventas_b_mes1[[#This Row],[IMPORTE NETO]]*0.21</f>
        <v>0</v>
      </c>
      <c r="J339" s="184"/>
      <c r="K339" s="184"/>
      <c r="L339" s="184"/>
      <c r="M339" s="59"/>
    </row>
    <row r="340" spans="2:13" x14ac:dyDescent="0.3">
      <c r="B340" s="178"/>
      <c r="C340" s="179"/>
      <c r="D340" s="180"/>
      <c r="E340" s="181"/>
      <c r="F340" s="182"/>
      <c r="G340" s="1" t="str">
        <f>IFERROR(IF(ventas_b_mes1[[#This Row],[CUIT]]="","-",VLOOKUP(ventas_b_mes1[[#This Row],[CUIT]],Lista_CUIT[#All],2,0)),"CUIT NO CARGADO")</f>
        <v>-</v>
      </c>
      <c r="H340" s="64">
        <f>ventas_b_mes1[[#This Row],[TOTAL]]/1.21</f>
        <v>0</v>
      </c>
      <c r="I340" s="183">
        <f>ventas_b_mes1[[#This Row],[IMPORTE NETO]]*0.21</f>
        <v>0</v>
      </c>
      <c r="J340" s="184"/>
      <c r="K340" s="184"/>
      <c r="L340" s="184"/>
      <c r="M340" s="59"/>
    </row>
    <row r="341" spans="2:13" x14ac:dyDescent="0.3">
      <c r="B341" s="178"/>
      <c r="C341" s="179"/>
      <c r="D341" s="180"/>
      <c r="E341" s="181"/>
      <c r="F341" s="182"/>
      <c r="G341" s="1" t="str">
        <f>IFERROR(IF(ventas_b_mes1[[#This Row],[CUIT]]="","-",VLOOKUP(ventas_b_mes1[[#This Row],[CUIT]],Lista_CUIT[#All],2,0)),"CUIT NO CARGADO")</f>
        <v>-</v>
      </c>
      <c r="H341" s="64">
        <f>ventas_b_mes1[[#This Row],[TOTAL]]/1.21</f>
        <v>0</v>
      </c>
      <c r="I341" s="183">
        <f>ventas_b_mes1[[#This Row],[IMPORTE NETO]]*0.21</f>
        <v>0</v>
      </c>
      <c r="J341" s="184"/>
      <c r="K341" s="184"/>
      <c r="L341" s="184"/>
      <c r="M341" s="59"/>
    </row>
    <row r="342" spans="2:13" x14ac:dyDescent="0.3">
      <c r="B342" s="178"/>
      <c r="C342" s="179"/>
      <c r="D342" s="180"/>
      <c r="E342" s="181"/>
      <c r="F342" s="182"/>
      <c r="G342" s="1" t="str">
        <f>IFERROR(IF(ventas_b_mes1[[#This Row],[CUIT]]="","-",VLOOKUP(ventas_b_mes1[[#This Row],[CUIT]],Lista_CUIT[#All],2,0)),"CUIT NO CARGADO")</f>
        <v>-</v>
      </c>
      <c r="H342" s="64">
        <f>ventas_b_mes1[[#This Row],[TOTAL]]/1.21</f>
        <v>0</v>
      </c>
      <c r="I342" s="183">
        <f>ventas_b_mes1[[#This Row],[IMPORTE NETO]]*0.21</f>
        <v>0</v>
      </c>
      <c r="J342" s="184"/>
      <c r="K342" s="184"/>
      <c r="L342" s="184"/>
      <c r="M342" s="59"/>
    </row>
    <row r="343" spans="2:13" x14ac:dyDescent="0.3">
      <c r="B343" s="178"/>
      <c r="C343" s="179"/>
      <c r="D343" s="180"/>
      <c r="E343" s="181"/>
      <c r="F343" s="182"/>
      <c r="G343" s="1" t="str">
        <f>IFERROR(IF(ventas_b_mes1[[#This Row],[CUIT]]="","-",VLOOKUP(ventas_b_mes1[[#This Row],[CUIT]],Lista_CUIT[#All],2,0)),"CUIT NO CARGADO")</f>
        <v>-</v>
      </c>
      <c r="H343" s="64">
        <f>ventas_b_mes1[[#This Row],[TOTAL]]/1.21</f>
        <v>0</v>
      </c>
      <c r="I343" s="183">
        <f>ventas_b_mes1[[#This Row],[IMPORTE NETO]]*0.21</f>
        <v>0</v>
      </c>
      <c r="J343" s="184"/>
      <c r="K343" s="184"/>
      <c r="L343" s="184"/>
      <c r="M343" s="59"/>
    </row>
    <row r="344" spans="2:13" x14ac:dyDescent="0.3">
      <c r="B344" s="178"/>
      <c r="C344" s="179"/>
      <c r="D344" s="180"/>
      <c r="E344" s="181"/>
      <c r="F344" s="182"/>
      <c r="G344" s="1" t="str">
        <f>IFERROR(IF(ventas_b_mes1[[#This Row],[CUIT]]="","-",VLOOKUP(ventas_b_mes1[[#This Row],[CUIT]],Lista_CUIT[#All],2,0)),"CUIT NO CARGADO")</f>
        <v>-</v>
      </c>
      <c r="H344" s="64">
        <f>ventas_b_mes1[[#This Row],[TOTAL]]/1.21</f>
        <v>0</v>
      </c>
      <c r="I344" s="183">
        <f>ventas_b_mes1[[#This Row],[IMPORTE NETO]]*0.21</f>
        <v>0</v>
      </c>
      <c r="J344" s="184"/>
      <c r="K344" s="184"/>
      <c r="L344" s="184"/>
      <c r="M344" s="59"/>
    </row>
    <row r="345" spans="2:13" x14ac:dyDescent="0.3">
      <c r="B345" s="178"/>
      <c r="C345" s="179"/>
      <c r="D345" s="180"/>
      <c r="E345" s="181"/>
      <c r="F345" s="182"/>
      <c r="G345" s="1" t="str">
        <f>IFERROR(IF(ventas_b_mes1[[#This Row],[CUIT]]="","-",VLOOKUP(ventas_b_mes1[[#This Row],[CUIT]],Lista_CUIT[#All],2,0)),"CUIT NO CARGADO")</f>
        <v>-</v>
      </c>
      <c r="H345" s="64">
        <f>ventas_b_mes1[[#This Row],[TOTAL]]/1.21</f>
        <v>0</v>
      </c>
      <c r="I345" s="183">
        <f>ventas_b_mes1[[#This Row],[IMPORTE NETO]]*0.21</f>
        <v>0</v>
      </c>
      <c r="J345" s="184"/>
      <c r="K345" s="184"/>
      <c r="L345" s="184"/>
      <c r="M345" s="59"/>
    </row>
    <row r="346" spans="2:13" x14ac:dyDescent="0.3">
      <c r="B346" s="178"/>
      <c r="C346" s="179"/>
      <c r="D346" s="180"/>
      <c r="E346" s="181"/>
      <c r="F346" s="182"/>
      <c r="G346" s="1" t="str">
        <f>IFERROR(IF(ventas_b_mes1[[#This Row],[CUIT]]="","-",VLOOKUP(ventas_b_mes1[[#This Row],[CUIT]],Lista_CUIT[#All],2,0)),"CUIT NO CARGADO")</f>
        <v>-</v>
      </c>
      <c r="H346" s="64">
        <f>ventas_b_mes1[[#This Row],[TOTAL]]/1.21</f>
        <v>0</v>
      </c>
      <c r="I346" s="183">
        <f>ventas_b_mes1[[#This Row],[IMPORTE NETO]]*0.21</f>
        <v>0</v>
      </c>
      <c r="J346" s="184"/>
      <c r="K346" s="184"/>
      <c r="L346" s="184"/>
      <c r="M346" s="59"/>
    </row>
    <row r="347" spans="2:13" x14ac:dyDescent="0.3">
      <c r="B347" s="178"/>
      <c r="C347" s="179"/>
      <c r="D347" s="180"/>
      <c r="E347" s="181"/>
      <c r="F347" s="182"/>
      <c r="G347" s="1" t="str">
        <f>IFERROR(IF(ventas_b_mes1[[#This Row],[CUIT]]="","-",VLOOKUP(ventas_b_mes1[[#This Row],[CUIT]],Lista_CUIT[#All],2,0)),"CUIT NO CARGADO")</f>
        <v>-</v>
      </c>
      <c r="H347" s="64">
        <f>ventas_b_mes1[[#This Row],[TOTAL]]/1.21</f>
        <v>0</v>
      </c>
      <c r="I347" s="183">
        <f>ventas_b_mes1[[#This Row],[IMPORTE NETO]]*0.21</f>
        <v>0</v>
      </c>
      <c r="J347" s="184"/>
      <c r="K347" s="184"/>
      <c r="L347" s="184"/>
      <c r="M347" s="59"/>
    </row>
    <row r="348" spans="2:13" x14ac:dyDescent="0.3">
      <c r="B348" s="178"/>
      <c r="C348" s="179"/>
      <c r="D348" s="180"/>
      <c r="E348" s="181"/>
      <c r="F348" s="182"/>
      <c r="G348" s="1" t="str">
        <f>IFERROR(IF(ventas_b_mes1[[#This Row],[CUIT]]="","-",VLOOKUP(ventas_b_mes1[[#This Row],[CUIT]],Lista_CUIT[#All],2,0)),"CUIT NO CARGADO")</f>
        <v>-</v>
      </c>
      <c r="H348" s="64">
        <f>ventas_b_mes1[[#This Row],[TOTAL]]/1.21</f>
        <v>0</v>
      </c>
      <c r="I348" s="183">
        <f>ventas_b_mes1[[#This Row],[IMPORTE NETO]]*0.21</f>
        <v>0</v>
      </c>
      <c r="J348" s="184"/>
      <c r="K348" s="184"/>
      <c r="L348" s="184"/>
      <c r="M348" s="59"/>
    </row>
    <row r="349" spans="2:13" x14ac:dyDescent="0.3">
      <c r="B349" s="178"/>
      <c r="C349" s="179"/>
      <c r="D349" s="180"/>
      <c r="E349" s="181"/>
      <c r="F349" s="182"/>
      <c r="G349" s="1" t="str">
        <f>IFERROR(IF(ventas_b_mes1[[#This Row],[CUIT]]="","-",VLOOKUP(ventas_b_mes1[[#This Row],[CUIT]],Lista_CUIT[#All],2,0)),"CUIT NO CARGADO")</f>
        <v>-</v>
      </c>
      <c r="H349" s="64">
        <f>ventas_b_mes1[[#This Row],[TOTAL]]/1.21</f>
        <v>0</v>
      </c>
      <c r="I349" s="183">
        <f>ventas_b_mes1[[#This Row],[IMPORTE NETO]]*0.21</f>
        <v>0</v>
      </c>
      <c r="J349" s="184"/>
      <c r="K349" s="184"/>
      <c r="L349" s="184"/>
      <c r="M349" s="59"/>
    </row>
    <row r="350" spans="2:13" x14ac:dyDescent="0.3">
      <c r="B350" s="178"/>
      <c r="C350" s="179"/>
      <c r="D350" s="180"/>
      <c r="E350" s="181"/>
      <c r="F350" s="182"/>
      <c r="G350" s="1" t="str">
        <f>IFERROR(IF(ventas_b_mes1[[#This Row],[CUIT]]="","-",VLOOKUP(ventas_b_mes1[[#This Row],[CUIT]],Lista_CUIT[#All],2,0)),"CUIT NO CARGADO")</f>
        <v>-</v>
      </c>
      <c r="H350" s="64">
        <f>ventas_b_mes1[[#This Row],[TOTAL]]/1.21</f>
        <v>0</v>
      </c>
      <c r="I350" s="183">
        <f>ventas_b_mes1[[#This Row],[IMPORTE NETO]]*0.21</f>
        <v>0</v>
      </c>
      <c r="J350" s="184"/>
      <c r="K350" s="184"/>
      <c r="L350" s="184"/>
      <c r="M350" s="59"/>
    </row>
    <row r="351" spans="2:13" x14ac:dyDescent="0.3">
      <c r="B351" s="178"/>
      <c r="C351" s="179"/>
      <c r="D351" s="180"/>
      <c r="E351" s="181"/>
      <c r="F351" s="182"/>
      <c r="G351" s="1" t="str">
        <f>IFERROR(IF(ventas_b_mes1[[#This Row],[CUIT]]="","-",VLOOKUP(ventas_b_mes1[[#This Row],[CUIT]],Lista_CUIT[#All],2,0)),"CUIT NO CARGADO")</f>
        <v>-</v>
      </c>
      <c r="H351" s="64">
        <f>ventas_b_mes1[[#This Row],[TOTAL]]/1.21</f>
        <v>0</v>
      </c>
      <c r="I351" s="183">
        <f>ventas_b_mes1[[#This Row],[IMPORTE NETO]]*0.21</f>
        <v>0</v>
      </c>
      <c r="J351" s="184"/>
      <c r="K351" s="184"/>
      <c r="L351" s="184"/>
      <c r="M351" s="59"/>
    </row>
    <row r="352" spans="2:13" x14ac:dyDescent="0.3">
      <c r="B352" s="178"/>
      <c r="C352" s="179"/>
      <c r="D352" s="180"/>
      <c r="E352" s="181"/>
      <c r="F352" s="182"/>
      <c r="G352" s="1" t="str">
        <f>IFERROR(IF(ventas_b_mes1[[#This Row],[CUIT]]="","-",VLOOKUP(ventas_b_mes1[[#This Row],[CUIT]],Lista_CUIT[#All],2,0)),"CUIT NO CARGADO")</f>
        <v>-</v>
      </c>
      <c r="H352" s="64">
        <f>ventas_b_mes1[[#This Row],[TOTAL]]/1.21</f>
        <v>0</v>
      </c>
      <c r="I352" s="183">
        <f>ventas_b_mes1[[#This Row],[IMPORTE NETO]]*0.21</f>
        <v>0</v>
      </c>
      <c r="J352" s="184"/>
      <c r="K352" s="184"/>
      <c r="L352" s="184"/>
      <c r="M352" s="59"/>
    </row>
    <row r="353" spans="2:13" x14ac:dyDescent="0.3">
      <c r="B353" s="178"/>
      <c r="C353" s="179"/>
      <c r="D353" s="180"/>
      <c r="E353" s="181"/>
      <c r="F353" s="182"/>
      <c r="G353" s="1" t="str">
        <f>IFERROR(IF(ventas_b_mes1[[#This Row],[CUIT]]="","-",VLOOKUP(ventas_b_mes1[[#This Row],[CUIT]],Lista_CUIT[#All],2,0)),"CUIT NO CARGADO")</f>
        <v>-</v>
      </c>
      <c r="H353" s="64">
        <f>ventas_b_mes1[[#This Row],[TOTAL]]/1.21</f>
        <v>0</v>
      </c>
      <c r="I353" s="183">
        <f>ventas_b_mes1[[#This Row],[IMPORTE NETO]]*0.21</f>
        <v>0</v>
      </c>
      <c r="J353" s="184"/>
      <c r="K353" s="184"/>
      <c r="L353" s="184"/>
      <c r="M353" s="59"/>
    </row>
    <row r="354" spans="2:13" x14ac:dyDescent="0.3">
      <c r="B354" s="178"/>
      <c r="C354" s="179"/>
      <c r="D354" s="180"/>
      <c r="E354" s="181"/>
      <c r="F354" s="182"/>
      <c r="G354" s="1" t="str">
        <f>IFERROR(IF(ventas_b_mes1[[#This Row],[CUIT]]="","-",VLOOKUP(ventas_b_mes1[[#This Row],[CUIT]],Lista_CUIT[#All],2,0)),"CUIT NO CARGADO")</f>
        <v>-</v>
      </c>
      <c r="H354" s="64">
        <f>ventas_b_mes1[[#This Row],[TOTAL]]/1.21</f>
        <v>0</v>
      </c>
      <c r="I354" s="183">
        <f>ventas_b_mes1[[#This Row],[IMPORTE NETO]]*0.21</f>
        <v>0</v>
      </c>
      <c r="J354" s="184"/>
      <c r="K354" s="184"/>
      <c r="L354" s="184"/>
      <c r="M354" s="59"/>
    </row>
    <row r="355" spans="2:13" x14ac:dyDescent="0.3">
      <c r="B355" s="178"/>
      <c r="C355" s="179"/>
      <c r="D355" s="180"/>
      <c r="E355" s="181"/>
      <c r="F355" s="182"/>
      <c r="G355" s="1" t="str">
        <f>IFERROR(IF(ventas_b_mes1[[#This Row],[CUIT]]="","-",VLOOKUP(ventas_b_mes1[[#This Row],[CUIT]],Lista_CUIT[#All],2,0)),"CUIT NO CARGADO")</f>
        <v>-</v>
      </c>
      <c r="H355" s="64">
        <f>ventas_b_mes1[[#This Row],[TOTAL]]/1.21</f>
        <v>0</v>
      </c>
      <c r="I355" s="183">
        <f>ventas_b_mes1[[#This Row],[IMPORTE NETO]]*0.21</f>
        <v>0</v>
      </c>
      <c r="J355" s="184"/>
      <c r="K355" s="184"/>
      <c r="L355" s="184"/>
      <c r="M355" s="59"/>
    </row>
    <row r="356" spans="2:13" x14ac:dyDescent="0.3">
      <c r="B356" s="178"/>
      <c r="C356" s="179"/>
      <c r="D356" s="180"/>
      <c r="E356" s="181"/>
      <c r="F356" s="182"/>
      <c r="G356" s="1" t="str">
        <f>IFERROR(IF(ventas_b_mes1[[#This Row],[CUIT]]="","-",VLOOKUP(ventas_b_mes1[[#This Row],[CUIT]],Lista_CUIT[#All],2,0)),"CUIT NO CARGADO")</f>
        <v>-</v>
      </c>
      <c r="H356" s="64">
        <f>ventas_b_mes1[[#This Row],[TOTAL]]/1.21</f>
        <v>0</v>
      </c>
      <c r="I356" s="183">
        <f>ventas_b_mes1[[#This Row],[IMPORTE NETO]]*0.21</f>
        <v>0</v>
      </c>
      <c r="J356" s="184"/>
      <c r="K356" s="184"/>
      <c r="L356" s="184"/>
      <c r="M356" s="59"/>
    </row>
    <row r="357" spans="2:13" x14ac:dyDescent="0.3">
      <c r="B357" s="178"/>
      <c r="C357" s="179"/>
      <c r="D357" s="180"/>
      <c r="E357" s="181"/>
      <c r="F357" s="182"/>
      <c r="G357" s="1" t="str">
        <f>IFERROR(IF(ventas_b_mes1[[#This Row],[CUIT]]="","-",VLOOKUP(ventas_b_mes1[[#This Row],[CUIT]],Lista_CUIT[#All],2,0)),"CUIT NO CARGADO")</f>
        <v>-</v>
      </c>
      <c r="H357" s="64">
        <f>ventas_b_mes1[[#This Row],[TOTAL]]/1.21</f>
        <v>0</v>
      </c>
      <c r="I357" s="183">
        <f>ventas_b_mes1[[#This Row],[IMPORTE NETO]]*0.21</f>
        <v>0</v>
      </c>
      <c r="J357" s="184"/>
      <c r="K357" s="184"/>
      <c r="L357" s="184"/>
      <c r="M357" s="59"/>
    </row>
    <row r="358" spans="2:13" x14ac:dyDescent="0.3">
      <c r="B358" s="178"/>
      <c r="C358" s="179"/>
      <c r="D358" s="180"/>
      <c r="E358" s="181"/>
      <c r="F358" s="182"/>
      <c r="G358" s="1" t="str">
        <f>IFERROR(IF(ventas_b_mes1[[#This Row],[CUIT]]="","-",VLOOKUP(ventas_b_mes1[[#This Row],[CUIT]],Lista_CUIT[#All],2,0)),"CUIT NO CARGADO")</f>
        <v>-</v>
      </c>
      <c r="H358" s="64">
        <f>ventas_b_mes1[[#This Row],[TOTAL]]/1.21</f>
        <v>0</v>
      </c>
      <c r="I358" s="183">
        <f>ventas_b_mes1[[#This Row],[IMPORTE NETO]]*0.21</f>
        <v>0</v>
      </c>
      <c r="J358" s="184"/>
      <c r="K358" s="184"/>
      <c r="L358" s="184"/>
      <c r="M358" s="59"/>
    </row>
    <row r="359" spans="2:13" x14ac:dyDescent="0.3">
      <c r="B359" s="178"/>
      <c r="C359" s="179"/>
      <c r="D359" s="180"/>
      <c r="E359" s="181"/>
      <c r="F359" s="182"/>
      <c r="G359" s="1" t="str">
        <f>IFERROR(IF(ventas_b_mes1[[#This Row],[CUIT]]="","-",VLOOKUP(ventas_b_mes1[[#This Row],[CUIT]],Lista_CUIT[#All],2,0)),"CUIT NO CARGADO")</f>
        <v>-</v>
      </c>
      <c r="H359" s="64">
        <f>ventas_b_mes1[[#This Row],[TOTAL]]/1.21</f>
        <v>0</v>
      </c>
      <c r="I359" s="183">
        <f>ventas_b_mes1[[#This Row],[IMPORTE NETO]]*0.21</f>
        <v>0</v>
      </c>
      <c r="J359" s="184"/>
      <c r="K359" s="184"/>
      <c r="L359" s="184"/>
      <c r="M359" s="59"/>
    </row>
    <row r="360" spans="2:13" x14ac:dyDescent="0.3">
      <c r="B360" s="178"/>
      <c r="C360" s="179"/>
      <c r="D360" s="180"/>
      <c r="E360" s="181"/>
      <c r="F360" s="182"/>
      <c r="G360" s="1" t="str">
        <f>IFERROR(IF(ventas_b_mes1[[#This Row],[CUIT]]="","-",VLOOKUP(ventas_b_mes1[[#This Row],[CUIT]],Lista_CUIT[#All],2,0)),"CUIT NO CARGADO")</f>
        <v>-</v>
      </c>
      <c r="H360" s="64">
        <f>ventas_b_mes1[[#This Row],[TOTAL]]/1.21</f>
        <v>0</v>
      </c>
      <c r="I360" s="183">
        <f>ventas_b_mes1[[#This Row],[IMPORTE NETO]]*0.21</f>
        <v>0</v>
      </c>
      <c r="J360" s="184"/>
      <c r="K360" s="184"/>
      <c r="L360" s="184"/>
      <c r="M360" s="59"/>
    </row>
    <row r="361" spans="2:13" x14ac:dyDescent="0.3">
      <c r="B361" s="178"/>
      <c r="C361" s="179"/>
      <c r="D361" s="180"/>
      <c r="E361" s="181"/>
      <c r="F361" s="182"/>
      <c r="G361" s="1" t="str">
        <f>IFERROR(IF(ventas_b_mes1[[#This Row],[CUIT]]="","-",VLOOKUP(ventas_b_mes1[[#This Row],[CUIT]],Lista_CUIT[#All],2,0)),"CUIT NO CARGADO")</f>
        <v>-</v>
      </c>
      <c r="H361" s="64">
        <f>ventas_b_mes1[[#This Row],[TOTAL]]/1.21</f>
        <v>0</v>
      </c>
      <c r="I361" s="183">
        <f>ventas_b_mes1[[#This Row],[IMPORTE NETO]]*0.21</f>
        <v>0</v>
      </c>
      <c r="J361" s="184"/>
      <c r="K361" s="184"/>
      <c r="L361" s="184"/>
      <c r="M361" s="59"/>
    </row>
    <row r="362" spans="2:13" x14ac:dyDescent="0.3">
      <c r="B362" s="178"/>
      <c r="C362" s="179"/>
      <c r="D362" s="180"/>
      <c r="E362" s="181"/>
      <c r="F362" s="182"/>
      <c r="G362" s="1" t="str">
        <f>IFERROR(IF(ventas_b_mes1[[#This Row],[CUIT]]="","-",VLOOKUP(ventas_b_mes1[[#This Row],[CUIT]],Lista_CUIT[#All],2,0)),"CUIT NO CARGADO")</f>
        <v>-</v>
      </c>
      <c r="H362" s="64">
        <f>ventas_b_mes1[[#This Row],[TOTAL]]/1.21</f>
        <v>0</v>
      </c>
      <c r="I362" s="183">
        <f>ventas_b_mes1[[#This Row],[IMPORTE NETO]]*0.21</f>
        <v>0</v>
      </c>
      <c r="J362" s="184"/>
      <c r="K362" s="184"/>
      <c r="L362" s="184"/>
      <c r="M362" s="59"/>
    </row>
    <row r="363" spans="2:13" x14ac:dyDescent="0.3">
      <c r="B363" s="178"/>
      <c r="C363" s="179"/>
      <c r="D363" s="180"/>
      <c r="E363" s="181"/>
      <c r="F363" s="182"/>
      <c r="G363" s="1" t="str">
        <f>IFERROR(IF(ventas_b_mes1[[#This Row],[CUIT]]="","-",VLOOKUP(ventas_b_mes1[[#This Row],[CUIT]],Lista_CUIT[#All],2,0)),"CUIT NO CARGADO")</f>
        <v>-</v>
      </c>
      <c r="H363" s="64">
        <f>ventas_b_mes1[[#This Row],[TOTAL]]/1.21</f>
        <v>0</v>
      </c>
      <c r="I363" s="183">
        <f>ventas_b_mes1[[#This Row],[IMPORTE NETO]]*0.21</f>
        <v>0</v>
      </c>
      <c r="J363" s="184"/>
      <c r="K363" s="184"/>
      <c r="L363" s="184"/>
      <c r="M363" s="59"/>
    </row>
    <row r="364" spans="2:13" x14ac:dyDescent="0.3">
      <c r="B364" s="178"/>
      <c r="C364" s="179"/>
      <c r="D364" s="180"/>
      <c r="E364" s="181"/>
      <c r="F364" s="182"/>
      <c r="G364" s="1" t="str">
        <f>IFERROR(IF(ventas_b_mes1[[#This Row],[CUIT]]="","-",VLOOKUP(ventas_b_mes1[[#This Row],[CUIT]],Lista_CUIT[#All],2,0)),"CUIT NO CARGADO")</f>
        <v>-</v>
      </c>
      <c r="H364" s="64">
        <f>ventas_b_mes1[[#This Row],[TOTAL]]/1.21</f>
        <v>0</v>
      </c>
      <c r="I364" s="183">
        <f>ventas_b_mes1[[#This Row],[IMPORTE NETO]]*0.21</f>
        <v>0</v>
      </c>
      <c r="J364" s="184"/>
      <c r="K364" s="184"/>
      <c r="L364" s="184"/>
      <c r="M364" s="59"/>
    </row>
    <row r="365" spans="2:13" x14ac:dyDescent="0.3">
      <c r="B365" s="178"/>
      <c r="C365" s="179"/>
      <c r="D365" s="180"/>
      <c r="E365" s="181"/>
      <c r="F365" s="182"/>
      <c r="G365" s="1" t="str">
        <f>IFERROR(IF(ventas_b_mes1[[#This Row],[CUIT]]="","-",VLOOKUP(ventas_b_mes1[[#This Row],[CUIT]],Lista_CUIT[#All],2,0)),"CUIT NO CARGADO")</f>
        <v>-</v>
      </c>
      <c r="H365" s="64">
        <f>ventas_b_mes1[[#This Row],[TOTAL]]/1.21</f>
        <v>0</v>
      </c>
      <c r="I365" s="183">
        <f>ventas_b_mes1[[#This Row],[IMPORTE NETO]]*0.21</f>
        <v>0</v>
      </c>
      <c r="J365" s="184"/>
      <c r="K365" s="184"/>
      <c r="L365" s="184"/>
      <c r="M365" s="59"/>
    </row>
    <row r="366" spans="2:13" x14ac:dyDescent="0.3">
      <c r="B366" s="178"/>
      <c r="C366" s="179"/>
      <c r="D366" s="180"/>
      <c r="E366" s="181"/>
      <c r="F366" s="182"/>
      <c r="G366" s="1" t="str">
        <f>IFERROR(IF(ventas_b_mes1[[#This Row],[CUIT]]="","-",VLOOKUP(ventas_b_mes1[[#This Row],[CUIT]],Lista_CUIT[#All],2,0)),"CUIT NO CARGADO")</f>
        <v>-</v>
      </c>
      <c r="H366" s="64">
        <f>ventas_b_mes1[[#This Row],[TOTAL]]/1.21</f>
        <v>0</v>
      </c>
      <c r="I366" s="183">
        <f>ventas_b_mes1[[#This Row],[IMPORTE NETO]]*0.21</f>
        <v>0</v>
      </c>
      <c r="J366" s="184"/>
      <c r="K366" s="184"/>
      <c r="L366" s="184"/>
      <c r="M366" s="59"/>
    </row>
    <row r="367" spans="2:13" x14ac:dyDescent="0.3">
      <c r="B367" s="178"/>
      <c r="C367" s="179"/>
      <c r="D367" s="180"/>
      <c r="E367" s="181"/>
      <c r="F367" s="182"/>
      <c r="G367" s="1" t="str">
        <f>IFERROR(IF(ventas_b_mes1[[#This Row],[CUIT]]="","-",VLOOKUP(ventas_b_mes1[[#This Row],[CUIT]],Lista_CUIT[#All],2,0)),"CUIT NO CARGADO")</f>
        <v>-</v>
      </c>
      <c r="H367" s="64">
        <f>ventas_b_mes1[[#This Row],[TOTAL]]/1.21</f>
        <v>0</v>
      </c>
      <c r="I367" s="183">
        <f>ventas_b_mes1[[#This Row],[IMPORTE NETO]]*0.21</f>
        <v>0</v>
      </c>
      <c r="J367" s="184"/>
      <c r="K367" s="184"/>
      <c r="L367" s="184"/>
      <c r="M367" s="59"/>
    </row>
    <row r="368" spans="2:13" x14ac:dyDescent="0.3">
      <c r="B368" s="178"/>
      <c r="C368" s="179"/>
      <c r="D368" s="180"/>
      <c r="E368" s="181"/>
      <c r="F368" s="182"/>
      <c r="G368" s="1" t="str">
        <f>IFERROR(IF(ventas_b_mes1[[#This Row],[CUIT]]="","-",VLOOKUP(ventas_b_mes1[[#This Row],[CUIT]],Lista_CUIT[#All],2,0)),"CUIT NO CARGADO")</f>
        <v>-</v>
      </c>
      <c r="H368" s="64">
        <f>ventas_b_mes1[[#This Row],[TOTAL]]/1.21</f>
        <v>0</v>
      </c>
      <c r="I368" s="183">
        <f>ventas_b_mes1[[#This Row],[IMPORTE NETO]]*0.21</f>
        <v>0</v>
      </c>
      <c r="J368" s="184"/>
      <c r="K368" s="184"/>
      <c r="L368" s="184"/>
      <c r="M368" s="59"/>
    </row>
    <row r="369" spans="2:13" x14ac:dyDescent="0.3">
      <c r="B369" s="178"/>
      <c r="C369" s="179"/>
      <c r="D369" s="180"/>
      <c r="E369" s="181"/>
      <c r="F369" s="182"/>
      <c r="G369" s="1" t="str">
        <f>IFERROR(IF(ventas_b_mes1[[#This Row],[CUIT]]="","-",VLOOKUP(ventas_b_mes1[[#This Row],[CUIT]],Lista_CUIT[#All],2,0)),"CUIT NO CARGADO")</f>
        <v>-</v>
      </c>
      <c r="H369" s="64">
        <f>ventas_b_mes1[[#This Row],[TOTAL]]/1.21</f>
        <v>0</v>
      </c>
      <c r="I369" s="183">
        <f>ventas_b_mes1[[#This Row],[IMPORTE NETO]]*0.21</f>
        <v>0</v>
      </c>
      <c r="J369" s="184"/>
      <c r="K369" s="184"/>
      <c r="L369" s="184"/>
      <c r="M369" s="59"/>
    </row>
    <row r="370" spans="2:13" x14ac:dyDescent="0.3">
      <c r="B370" s="178"/>
      <c r="C370" s="179"/>
      <c r="D370" s="180"/>
      <c r="E370" s="181"/>
      <c r="F370" s="182"/>
      <c r="G370" s="1" t="str">
        <f>IFERROR(IF(ventas_b_mes1[[#This Row],[CUIT]]="","-",VLOOKUP(ventas_b_mes1[[#This Row],[CUIT]],Lista_CUIT[#All],2,0)),"CUIT NO CARGADO")</f>
        <v>-</v>
      </c>
      <c r="H370" s="64">
        <f>ventas_b_mes1[[#This Row],[TOTAL]]/1.21</f>
        <v>0</v>
      </c>
      <c r="I370" s="183">
        <f>ventas_b_mes1[[#This Row],[IMPORTE NETO]]*0.21</f>
        <v>0</v>
      </c>
      <c r="J370" s="184"/>
      <c r="K370" s="184"/>
      <c r="L370" s="184"/>
      <c r="M370" s="59"/>
    </row>
    <row r="371" spans="2:13" x14ac:dyDescent="0.3">
      <c r="B371" s="178"/>
      <c r="C371" s="179"/>
      <c r="D371" s="180"/>
      <c r="E371" s="181"/>
      <c r="F371" s="182"/>
      <c r="G371" s="1" t="str">
        <f>IFERROR(IF(ventas_b_mes1[[#This Row],[CUIT]]="","-",VLOOKUP(ventas_b_mes1[[#This Row],[CUIT]],Lista_CUIT[#All],2,0)),"CUIT NO CARGADO")</f>
        <v>-</v>
      </c>
      <c r="H371" s="64">
        <f>ventas_b_mes1[[#This Row],[TOTAL]]/1.21</f>
        <v>0</v>
      </c>
      <c r="I371" s="183">
        <f>ventas_b_mes1[[#This Row],[IMPORTE NETO]]*0.21</f>
        <v>0</v>
      </c>
      <c r="J371" s="184"/>
      <c r="K371" s="184"/>
      <c r="L371" s="184"/>
      <c r="M371" s="59"/>
    </row>
    <row r="372" spans="2:13" x14ac:dyDescent="0.3">
      <c r="B372" s="178"/>
      <c r="C372" s="179"/>
      <c r="D372" s="180"/>
      <c r="E372" s="181"/>
      <c r="F372" s="182"/>
      <c r="G372" s="1" t="str">
        <f>IFERROR(IF(ventas_b_mes1[[#This Row],[CUIT]]="","-",VLOOKUP(ventas_b_mes1[[#This Row],[CUIT]],Lista_CUIT[#All],2,0)),"CUIT NO CARGADO")</f>
        <v>-</v>
      </c>
      <c r="H372" s="64">
        <f>ventas_b_mes1[[#This Row],[TOTAL]]/1.21</f>
        <v>0</v>
      </c>
      <c r="I372" s="183">
        <f>ventas_b_mes1[[#This Row],[IMPORTE NETO]]*0.21</f>
        <v>0</v>
      </c>
      <c r="J372" s="184"/>
      <c r="K372" s="184"/>
      <c r="L372" s="184"/>
      <c r="M372" s="59"/>
    </row>
    <row r="373" spans="2:13" x14ac:dyDescent="0.3">
      <c r="B373" s="178"/>
      <c r="C373" s="179"/>
      <c r="D373" s="180"/>
      <c r="E373" s="181"/>
      <c r="F373" s="182"/>
      <c r="G373" s="1" t="str">
        <f>IFERROR(IF(ventas_b_mes1[[#This Row],[CUIT]]="","-",VLOOKUP(ventas_b_mes1[[#This Row],[CUIT]],Lista_CUIT[#All],2,0)),"CUIT NO CARGADO")</f>
        <v>-</v>
      </c>
      <c r="H373" s="64">
        <f>ventas_b_mes1[[#This Row],[TOTAL]]/1.21</f>
        <v>0</v>
      </c>
      <c r="I373" s="183">
        <f>ventas_b_mes1[[#This Row],[IMPORTE NETO]]*0.21</f>
        <v>0</v>
      </c>
      <c r="J373" s="184"/>
      <c r="K373" s="184"/>
      <c r="L373" s="184"/>
      <c r="M373" s="59"/>
    </row>
    <row r="374" spans="2:13" x14ac:dyDescent="0.3">
      <c r="B374" s="178"/>
      <c r="C374" s="179"/>
      <c r="D374" s="180"/>
      <c r="E374" s="181"/>
      <c r="F374" s="182"/>
      <c r="G374" s="1" t="str">
        <f>IFERROR(IF(ventas_b_mes1[[#This Row],[CUIT]]="","-",VLOOKUP(ventas_b_mes1[[#This Row],[CUIT]],Lista_CUIT[#All],2,0)),"CUIT NO CARGADO")</f>
        <v>-</v>
      </c>
      <c r="H374" s="64">
        <f>ventas_b_mes1[[#This Row],[TOTAL]]/1.21</f>
        <v>0</v>
      </c>
      <c r="I374" s="183">
        <f>ventas_b_mes1[[#This Row],[IMPORTE NETO]]*0.21</f>
        <v>0</v>
      </c>
      <c r="J374" s="184"/>
      <c r="K374" s="184"/>
      <c r="L374" s="184"/>
      <c r="M374" s="59"/>
    </row>
    <row r="375" spans="2:13" x14ac:dyDescent="0.3">
      <c r="B375" s="178"/>
      <c r="C375" s="179"/>
      <c r="D375" s="180"/>
      <c r="E375" s="181"/>
      <c r="F375" s="182"/>
      <c r="G375" s="1" t="str">
        <f>IFERROR(IF(ventas_b_mes1[[#This Row],[CUIT]]="","-",VLOOKUP(ventas_b_mes1[[#This Row],[CUIT]],Lista_CUIT[#All],2,0)),"CUIT NO CARGADO")</f>
        <v>-</v>
      </c>
      <c r="H375" s="64">
        <f>ventas_b_mes1[[#This Row],[TOTAL]]/1.21</f>
        <v>0</v>
      </c>
      <c r="I375" s="183">
        <f>ventas_b_mes1[[#This Row],[IMPORTE NETO]]*0.21</f>
        <v>0</v>
      </c>
      <c r="J375" s="184"/>
      <c r="K375" s="184"/>
      <c r="L375" s="184"/>
      <c r="M375" s="59"/>
    </row>
    <row r="376" spans="2:13" x14ac:dyDescent="0.3">
      <c r="B376" s="178"/>
      <c r="C376" s="179"/>
      <c r="D376" s="180"/>
      <c r="E376" s="181"/>
      <c r="F376" s="182"/>
      <c r="G376" s="1" t="str">
        <f>IFERROR(IF(ventas_b_mes1[[#This Row],[CUIT]]="","-",VLOOKUP(ventas_b_mes1[[#This Row],[CUIT]],Lista_CUIT[#All],2,0)),"CUIT NO CARGADO")</f>
        <v>-</v>
      </c>
      <c r="H376" s="64">
        <f>ventas_b_mes1[[#This Row],[TOTAL]]/1.21</f>
        <v>0</v>
      </c>
      <c r="I376" s="183">
        <f>ventas_b_mes1[[#This Row],[IMPORTE NETO]]*0.21</f>
        <v>0</v>
      </c>
      <c r="J376" s="184"/>
      <c r="K376" s="184"/>
      <c r="L376" s="184"/>
      <c r="M376" s="59"/>
    </row>
    <row r="377" spans="2:13" x14ac:dyDescent="0.3">
      <c r="B377" s="178"/>
      <c r="C377" s="179"/>
      <c r="D377" s="180"/>
      <c r="E377" s="181"/>
      <c r="F377" s="182"/>
      <c r="G377" s="1" t="str">
        <f>IFERROR(IF(ventas_b_mes1[[#This Row],[CUIT]]="","-",VLOOKUP(ventas_b_mes1[[#This Row],[CUIT]],Lista_CUIT[#All],2,0)),"CUIT NO CARGADO")</f>
        <v>-</v>
      </c>
      <c r="H377" s="64">
        <f>ventas_b_mes1[[#This Row],[TOTAL]]/1.21</f>
        <v>0</v>
      </c>
      <c r="I377" s="183">
        <f>ventas_b_mes1[[#This Row],[IMPORTE NETO]]*0.21</f>
        <v>0</v>
      </c>
      <c r="J377" s="184"/>
      <c r="K377" s="184"/>
      <c r="L377" s="184"/>
      <c r="M377" s="59"/>
    </row>
    <row r="378" spans="2:13" x14ac:dyDescent="0.3">
      <c r="B378" s="178"/>
      <c r="C378" s="179"/>
      <c r="D378" s="180"/>
      <c r="E378" s="181"/>
      <c r="F378" s="182"/>
      <c r="G378" s="1" t="str">
        <f>IFERROR(IF(ventas_b_mes1[[#This Row],[CUIT]]="","-",VLOOKUP(ventas_b_mes1[[#This Row],[CUIT]],Lista_CUIT[#All],2,0)),"CUIT NO CARGADO")</f>
        <v>-</v>
      </c>
      <c r="H378" s="64">
        <f>ventas_b_mes1[[#This Row],[TOTAL]]/1.21</f>
        <v>0</v>
      </c>
      <c r="I378" s="183">
        <f>ventas_b_mes1[[#This Row],[IMPORTE NETO]]*0.21</f>
        <v>0</v>
      </c>
      <c r="J378" s="184"/>
      <c r="K378" s="184"/>
      <c r="L378" s="184"/>
      <c r="M378" s="59"/>
    </row>
    <row r="379" spans="2:13" x14ac:dyDescent="0.3">
      <c r="B379" s="178"/>
      <c r="C379" s="179"/>
      <c r="D379" s="180"/>
      <c r="E379" s="181"/>
      <c r="F379" s="182"/>
      <c r="G379" s="1" t="str">
        <f>IFERROR(IF(ventas_b_mes1[[#This Row],[CUIT]]="","-",VLOOKUP(ventas_b_mes1[[#This Row],[CUIT]],Lista_CUIT[#All],2,0)),"CUIT NO CARGADO")</f>
        <v>-</v>
      </c>
      <c r="H379" s="64">
        <f>ventas_b_mes1[[#This Row],[TOTAL]]/1.21</f>
        <v>0</v>
      </c>
      <c r="I379" s="183">
        <f>ventas_b_mes1[[#This Row],[IMPORTE NETO]]*0.21</f>
        <v>0</v>
      </c>
      <c r="J379" s="184"/>
      <c r="K379" s="184"/>
      <c r="L379" s="184"/>
      <c r="M379" s="59"/>
    </row>
    <row r="380" spans="2:13" x14ac:dyDescent="0.3">
      <c r="B380" s="178"/>
      <c r="C380" s="179"/>
      <c r="D380" s="180"/>
      <c r="E380" s="181"/>
      <c r="F380" s="182"/>
      <c r="G380" s="1" t="str">
        <f>IFERROR(IF(ventas_b_mes1[[#This Row],[CUIT]]="","-",VLOOKUP(ventas_b_mes1[[#This Row],[CUIT]],Lista_CUIT[#All],2,0)),"CUIT NO CARGADO")</f>
        <v>-</v>
      </c>
      <c r="H380" s="64">
        <f>ventas_b_mes1[[#This Row],[TOTAL]]/1.21</f>
        <v>0</v>
      </c>
      <c r="I380" s="183">
        <f>ventas_b_mes1[[#This Row],[IMPORTE NETO]]*0.21</f>
        <v>0</v>
      </c>
      <c r="J380" s="184"/>
      <c r="K380" s="184"/>
      <c r="L380" s="184"/>
      <c r="M380" s="59"/>
    </row>
    <row r="381" spans="2:13" x14ac:dyDescent="0.3">
      <c r="B381" s="178"/>
      <c r="C381" s="179"/>
      <c r="D381" s="180"/>
      <c r="E381" s="181"/>
      <c r="F381" s="182"/>
      <c r="G381" s="1" t="str">
        <f>IFERROR(IF(ventas_b_mes1[[#This Row],[CUIT]]="","-",VLOOKUP(ventas_b_mes1[[#This Row],[CUIT]],Lista_CUIT[#All],2,0)),"CUIT NO CARGADO")</f>
        <v>-</v>
      </c>
      <c r="H381" s="64">
        <f>ventas_b_mes1[[#This Row],[TOTAL]]/1.21</f>
        <v>0</v>
      </c>
      <c r="I381" s="183">
        <f>ventas_b_mes1[[#This Row],[IMPORTE NETO]]*0.21</f>
        <v>0</v>
      </c>
      <c r="J381" s="184"/>
      <c r="K381" s="184"/>
      <c r="L381" s="184"/>
      <c r="M381" s="59"/>
    </row>
    <row r="382" spans="2:13" x14ac:dyDescent="0.3">
      <c r="B382" s="178"/>
      <c r="C382" s="179"/>
      <c r="D382" s="180"/>
      <c r="E382" s="181"/>
      <c r="F382" s="182"/>
      <c r="G382" s="1" t="str">
        <f>IFERROR(IF(ventas_b_mes1[[#This Row],[CUIT]]="","-",VLOOKUP(ventas_b_mes1[[#This Row],[CUIT]],Lista_CUIT[#All],2,0)),"CUIT NO CARGADO")</f>
        <v>-</v>
      </c>
      <c r="H382" s="64">
        <f>ventas_b_mes1[[#This Row],[TOTAL]]/1.21</f>
        <v>0</v>
      </c>
      <c r="I382" s="183">
        <f>ventas_b_mes1[[#This Row],[IMPORTE NETO]]*0.21</f>
        <v>0</v>
      </c>
      <c r="J382" s="184"/>
      <c r="K382" s="184"/>
      <c r="L382" s="184"/>
      <c r="M382" s="59"/>
    </row>
    <row r="383" spans="2:13" x14ac:dyDescent="0.3">
      <c r="B383" s="178"/>
      <c r="C383" s="179"/>
      <c r="D383" s="180"/>
      <c r="E383" s="181"/>
      <c r="F383" s="182"/>
      <c r="G383" s="1" t="str">
        <f>IFERROR(IF(ventas_b_mes1[[#This Row],[CUIT]]="","-",VLOOKUP(ventas_b_mes1[[#This Row],[CUIT]],Lista_CUIT[#All],2,0)),"CUIT NO CARGADO")</f>
        <v>-</v>
      </c>
      <c r="H383" s="64">
        <f>ventas_b_mes1[[#This Row],[TOTAL]]/1.21</f>
        <v>0</v>
      </c>
      <c r="I383" s="183">
        <f>ventas_b_mes1[[#This Row],[IMPORTE NETO]]*0.21</f>
        <v>0</v>
      </c>
      <c r="J383" s="184"/>
      <c r="K383" s="184"/>
      <c r="L383" s="184"/>
      <c r="M383" s="59"/>
    </row>
    <row r="384" spans="2:13" x14ac:dyDescent="0.3">
      <c r="B384" s="178"/>
      <c r="C384" s="179"/>
      <c r="D384" s="180"/>
      <c r="E384" s="181"/>
      <c r="F384" s="182"/>
      <c r="G384" s="1" t="str">
        <f>IFERROR(IF(ventas_b_mes1[[#This Row],[CUIT]]="","-",VLOOKUP(ventas_b_mes1[[#This Row],[CUIT]],Lista_CUIT[#All],2,0)),"CUIT NO CARGADO")</f>
        <v>-</v>
      </c>
      <c r="H384" s="64">
        <f>ventas_b_mes1[[#This Row],[TOTAL]]/1.21</f>
        <v>0</v>
      </c>
      <c r="I384" s="183">
        <f>ventas_b_mes1[[#This Row],[IMPORTE NETO]]*0.21</f>
        <v>0</v>
      </c>
      <c r="J384" s="184"/>
      <c r="K384" s="184"/>
      <c r="L384" s="184"/>
      <c r="M384" s="59"/>
    </row>
    <row r="385" spans="2:13" x14ac:dyDescent="0.3">
      <c r="B385" s="178"/>
      <c r="C385" s="179"/>
      <c r="D385" s="180"/>
      <c r="E385" s="181"/>
      <c r="F385" s="182"/>
      <c r="G385" s="1" t="str">
        <f>IFERROR(IF(ventas_b_mes1[[#This Row],[CUIT]]="","-",VLOOKUP(ventas_b_mes1[[#This Row],[CUIT]],Lista_CUIT[#All],2,0)),"CUIT NO CARGADO")</f>
        <v>-</v>
      </c>
      <c r="H385" s="64">
        <f>ventas_b_mes1[[#This Row],[TOTAL]]/1.21</f>
        <v>0</v>
      </c>
      <c r="I385" s="183">
        <f>ventas_b_mes1[[#This Row],[IMPORTE NETO]]*0.21</f>
        <v>0</v>
      </c>
      <c r="J385" s="184"/>
      <c r="K385" s="184"/>
      <c r="L385" s="184"/>
      <c r="M385" s="59"/>
    </row>
    <row r="386" spans="2:13" x14ac:dyDescent="0.3">
      <c r="B386" s="178"/>
      <c r="C386" s="179"/>
      <c r="D386" s="180"/>
      <c r="E386" s="181"/>
      <c r="F386" s="182"/>
      <c r="G386" s="1" t="str">
        <f>IFERROR(IF(ventas_b_mes1[[#This Row],[CUIT]]="","-",VLOOKUP(ventas_b_mes1[[#This Row],[CUIT]],Lista_CUIT[#All],2,0)),"CUIT NO CARGADO")</f>
        <v>-</v>
      </c>
      <c r="H386" s="64">
        <f>ventas_b_mes1[[#This Row],[TOTAL]]/1.21</f>
        <v>0</v>
      </c>
      <c r="I386" s="183">
        <f>ventas_b_mes1[[#This Row],[IMPORTE NETO]]*0.21</f>
        <v>0</v>
      </c>
      <c r="J386" s="184"/>
      <c r="K386" s="184"/>
      <c r="L386" s="184"/>
      <c r="M386" s="59"/>
    </row>
    <row r="387" spans="2:13" x14ac:dyDescent="0.3">
      <c r="B387" s="178"/>
      <c r="C387" s="179"/>
      <c r="D387" s="180"/>
      <c r="E387" s="181"/>
      <c r="F387" s="182"/>
      <c r="G387" s="1" t="str">
        <f>IFERROR(IF(ventas_b_mes1[[#This Row],[CUIT]]="","-",VLOOKUP(ventas_b_mes1[[#This Row],[CUIT]],Lista_CUIT[#All],2,0)),"CUIT NO CARGADO")</f>
        <v>-</v>
      </c>
      <c r="H387" s="64">
        <f>ventas_b_mes1[[#This Row],[TOTAL]]/1.21</f>
        <v>0</v>
      </c>
      <c r="I387" s="183">
        <f>ventas_b_mes1[[#This Row],[IMPORTE NETO]]*0.21</f>
        <v>0</v>
      </c>
      <c r="J387" s="184"/>
      <c r="K387" s="184"/>
      <c r="L387" s="184"/>
      <c r="M387" s="59"/>
    </row>
    <row r="388" spans="2:13" x14ac:dyDescent="0.3">
      <c r="B388" s="178"/>
      <c r="C388" s="179"/>
      <c r="D388" s="180"/>
      <c r="E388" s="181"/>
      <c r="F388" s="182"/>
      <c r="G388" s="1" t="str">
        <f>IFERROR(IF(ventas_b_mes1[[#This Row],[CUIT]]="","-",VLOOKUP(ventas_b_mes1[[#This Row],[CUIT]],Lista_CUIT[#All],2,0)),"CUIT NO CARGADO")</f>
        <v>-</v>
      </c>
      <c r="H388" s="64">
        <f>ventas_b_mes1[[#This Row],[TOTAL]]/1.21</f>
        <v>0</v>
      </c>
      <c r="I388" s="183">
        <f>ventas_b_mes1[[#This Row],[IMPORTE NETO]]*0.21</f>
        <v>0</v>
      </c>
      <c r="J388" s="184"/>
      <c r="K388" s="184"/>
      <c r="L388" s="184"/>
      <c r="M388" s="59"/>
    </row>
    <row r="389" spans="2:13" x14ac:dyDescent="0.3">
      <c r="B389" s="178"/>
      <c r="C389" s="179"/>
      <c r="D389" s="180"/>
      <c r="E389" s="181"/>
      <c r="F389" s="182"/>
      <c r="G389" s="1" t="str">
        <f>IFERROR(IF(ventas_b_mes1[[#This Row],[CUIT]]="","-",VLOOKUP(ventas_b_mes1[[#This Row],[CUIT]],Lista_CUIT[#All],2,0)),"CUIT NO CARGADO")</f>
        <v>-</v>
      </c>
      <c r="H389" s="64">
        <f>ventas_b_mes1[[#This Row],[TOTAL]]/1.21</f>
        <v>0</v>
      </c>
      <c r="I389" s="183">
        <f>ventas_b_mes1[[#This Row],[IMPORTE NETO]]*0.21</f>
        <v>0</v>
      </c>
      <c r="J389" s="184"/>
      <c r="K389" s="184"/>
      <c r="L389" s="184"/>
      <c r="M389" s="59"/>
    </row>
    <row r="390" spans="2:13" x14ac:dyDescent="0.3">
      <c r="B390" s="178"/>
      <c r="C390" s="179"/>
      <c r="D390" s="180"/>
      <c r="E390" s="181"/>
      <c r="F390" s="182"/>
      <c r="G390" s="1" t="str">
        <f>IFERROR(IF(ventas_b_mes1[[#This Row],[CUIT]]="","-",VLOOKUP(ventas_b_mes1[[#This Row],[CUIT]],Lista_CUIT[#All],2,0)),"CUIT NO CARGADO")</f>
        <v>-</v>
      </c>
      <c r="H390" s="64">
        <f>ventas_b_mes1[[#This Row],[TOTAL]]/1.21</f>
        <v>0</v>
      </c>
      <c r="I390" s="183">
        <f>ventas_b_mes1[[#This Row],[IMPORTE NETO]]*0.21</f>
        <v>0</v>
      </c>
      <c r="J390" s="184"/>
      <c r="K390" s="184"/>
      <c r="L390" s="184"/>
      <c r="M390" s="59"/>
    </row>
    <row r="391" spans="2:13" x14ac:dyDescent="0.3">
      <c r="B391" s="178"/>
      <c r="C391" s="179"/>
      <c r="D391" s="180"/>
      <c r="E391" s="181"/>
      <c r="F391" s="182"/>
      <c r="G391" s="1" t="str">
        <f>IFERROR(IF(ventas_b_mes1[[#This Row],[CUIT]]="","-",VLOOKUP(ventas_b_mes1[[#This Row],[CUIT]],Lista_CUIT[#All],2,0)),"CUIT NO CARGADO")</f>
        <v>-</v>
      </c>
      <c r="H391" s="64">
        <f>ventas_b_mes1[[#This Row],[TOTAL]]/1.21</f>
        <v>0</v>
      </c>
      <c r="I391" s="183">
        <f>ventas_b_mes1[[#This Row],[IMPORTE NETO]]*0.21</f>
        <v>0</v>
      </c>
      <c r="J391" s="184"/>
      <c r="K391" s="184"/>
      <c r="L391" s="184"/>
      <c r="M391" s="59"/>
    </row>
    <row r="392" spans="2:13" x14ac:dyDescent="0.3">
      <c r="B392" s="178"/>
      <c r="C392" s="179"/>
      <c r="D392" s="180"/>
      <c r="E392" s="181"/>
      <c r="F392" s="182"/>
      <c r="G392" s="1" t="str">
        <f>IFERROR(IF(ventas_b_mes1[[#This Row],[CUIT]]="","-",VLOOKUP(ventas_b_mes1[[#This Row],[CUIT]],Lista_CUIT[#All],2,0)),"CUIT NO CARGADO")</f>
        <v>-</v>
      </c>
      <c r="H392" s="64">
        <f>ventas_b_mes1[[#This Row],[TOTAL]]/1.21</f>
        <v>0</v>
      </c>
      <c r="I392" s="183">
        <f>ventas_b_mes1[[#This Row],[IMPORTE NETO]]*0.21</f>
        <v>0</v>
      </c>
      <c r="J392" s="184"/>
      <c r="K392" s="184"/>
      <c r="L392" s="184"/>
      <c r="M392" s="59"/>
    </row>
    <row r="393" spans="2:13" x14ac:dyDescent="0.3">
      <c r="B393" s="178"/>
      <c r="C393" s="179"/>
      <c r="D393" s="180"/>
      <c r="E393" s="181"/>
      <c r="F393" s="182"/>
      <c r="G393" s="1" t="str">
        <f>IFERROR(IF(ventas_b_mes1[[#This Row],[CUIT]]="","-",VLOOKUP(ventas_b_mes1[[#This Row],[CUIT]],Lista_CUIT[#All],2,0)),"CUIT NO CARGADO")</f>
        <v>-</v>
      </c>
      <c r="H393" s="64">
        <f>ventas_b_mes1[[#This Row],[TOTAL]]/1.21</f>
        <v>0</v>
      </c>
      <c r="I393" s="183">
        <f>ventas_b_mes1[[#This Row],[IMPORTE NETO]]*0.21</f>
        <v>0</v>
      </c>
      <c r="J393" s="184"/>
      <c r="K393" s="184"/>
      <c r="L393" s="184"/>
      <c r="M393" s="59"/>
    </row>
    <row r="394" spans="2:13" x14ac:dyDescent="0.3">
      <c r="B394" s="178"/>
      <c r="C394" s="179"/>
      <c r="D394" s="180"/>
      <c r="E394" s="181"/>
      <c r="F394" s="182"/>
      <c r="G394" s="1" t="str">
        <f>IFERROR(IF(ventas_b_mes1[[#This Row],[CUIT]]="","-",VLOOKUP(ventas_b_mes1[[#This Row],[CUIT]],Lista_CUIT[#All],2,0)),"CUIT NO CARGADO")</f>
        <v>-</v>
      </c>
      <c r="H394" s="64">
        <f>ventas_b_mes1[[#This Row],[TOTAL]]/1.21</f>
        <v>0</v>
      </c>
      <c r="I394" s="183">
        <f>ventas_b_mes1[[#This Row],[IMPORTE NETO]]*0.21</f>
        <v>0</v>
      </c>
      <c r="J394" s="184"/>
      <c r="K394" s="184"/>
      <c r="L394" s="184"/>
      <c r="M394" s="59"/>
    </row>
    <row r="395" spans="2:13" x14ac:dyDescent="0.3">
      <c r="B395" s="178"/>
      <c r="C395" s="179"/>
      <c r="D395" s="180"/>
      <c r="E395" s="181"/>
      <c r="F395" s="182"/>
      <c r="G395" s="1" t="str">
        <f>IFERROR(IF(ventas_b_mes1[[#This Row],[CUIT]]="","-",VLOOKUP(ventas_b_mes1[[#This Row],[CUIT]],Lista_CUIT[#All],2,0)),"CUIT NO CARGADO")</f>
        <v>-</v>
      </c>
      <c r="H395" s="64">
        <f>ventas_b_mes1[[#This Row],[TOTAL]]/1.21</f>
        <v>0</v>
      </c>
      <c r="I395" s="183">
        <f>ventas_b_mes1[[#This Row],[IMPORTE NETO]]*0.21</f>
        <v>0</v>
      </c>
      <c r="J395" s="184"/>
      <c r="K395" s="184"/>
      <c r="L395" s="184"/>
      <c r="M395" s="59"/>
    </row>
    <row r="396" spans="2:13" x14ac:dyDescent="0.3">
      <c r="B396" s="178"/>
      <c r="C396" s="179"/>
      <c r="D396" s="180"/>
      <c r="E396" s="181"/>
      <c r="F396" s="182"/>
      <c r="G396" s="1" t="str">
        <f>IFERROR(IF(ventas_b_mes1[[#This Row],[CUIT]]="","-",VLOOKUP(ventas_b_mes1[[#This Row],[CUIT]],Lista_CUIT[#All],2,0)),"CUIT NO CARGADO")</f>
        <v>-</v>
      </c>
      <c r="H396" s="64">
        <f>ventas_b_mes1[[#This Row],[TOTAL]]/1.21</f>
        <v>0</v>
      </c>
      <c r="I396" s="183">
        <f>ventas_b_mes1[[#This Row],[IMPORTE NETO]]*0.21</f>
        <v>0</v>
      </c>
      <c r="J396" s="184"/>
      <c r="K396" s="184"/>
      <c r="L396" s="184"/>
      <c r="M396" s="59"/>
    </row>
    <row r="397" spans="2:13" x14ac:dyDescent="0.3">
      <c r="B397" s="178"/>
      <c r="C397" s="179"/>
      <c r="D397" s="180"/>
      <c r="E397" s="181"/>
      <c r="F397" s="182"/>
      <c r="G397" s="1" t="str">
        <f>IFERROR(IF(ventas_b_mes1[[#This Row],[CUIT]]="","-",VLOOKUP(ventas_b_mes1[[#This Row],[CUIT]],Lista_CUIT[#All],2,0)),"CUIT NO CARGADO")</f>
        <v>-</v>
      </c>
      <c r="H397" s="64">
        <f>ventas_b_mes1[[#This Row],[TOTAL]]/1.21</f>
        <v>0</v>
      </c>
      <c r="I397" s="183">
        <f>ventas_b_mes1[[#This Row],[IMPORTE NETO]]*0.21</f>
        <v>0</v>
      </c>
      <c r="J397" s="184"/>
      <c r="K397" s="184"/>
      <c r="L397" s="184"/>
      <c r="M397" s="59"/>
    </row>
    <row r="398" spans="2:13" x14ac:dyDescent="0.3">
      <c r="B398" s="178"/>
      <c r="C398" s="179"/>
      <c r="D398" s="180"/>
      <c r="E398" s="181"/>
      <c r="F398" s="182"/>
      <c r="G398" s="1" t="str">
        <f>IFERROR(IF(ventas_b_mes1[[#This Row],[CUIT]]="","-",VLOOKUP(ventas_b_mes1[[#This Row],[CUIT]],Lista_CUIT[#All],2,0)),"CUIT NO CARGADO")</f>
        <v>-</v>
      </c>
      <c r="H398" s="64">
        <f>ventas_b_mes1[[#This Row],[TOTAL]]/1.21</f>
        <v>0</v>
      </c>
      <c r="I398" s="183">
        <f>ventas_b_mes1[[#This Row],[IMPORTE NETO]]*0.21</f>
        <v>0</v>
      </c>
      <c r="J398" s="184"/>
      <c r="K398" s="184"/>
      <c r="L398" s="184"/>
      <c r="M398" s="59"/>
    </row>
    <row r="399" spans="2:13" x14ac:dyDescent="0.3">
      <c r="B399" s="178"/>
      <c r="C399" s="179"/>
      <c r="D399" s="180"/>
      <c r="E399" s="181"/>
      <c r="F399" s="182"/>
      <c r="G399" s="1" t="str">
        <f>IFERROR(IF(ventas_b_mes1[[#This Row],[CUIT]]="","-",VLOOKUP(ventas_b_mes1[[#This Row],[CUIT]],Lista_CUIT[#All],2,0)),"CUIT NO CARGADO")</f>
        <v>-</v>
      </c>
      <c r="H399" s="64">
        <f>ventas_b_mes1[[#This Row],[TOTAL]]/1.21</f>
        <v>0</v>
      </c>
      <c r="I399" s="183">
        <f>ventas_b_mes1[[#This Row],[IMPORTE NETO]]*0.21</f>
        <v>0</v>
      </c>
      <c r="J399" s="184"/>
      <c r="K399" s="184"/>
      <c r="L399" s="184"/>
      <c r="M399" s="59"/>
    </row>
    <row r="400" spans="2:13" x14ac:dyDescent="0.3">
      <c r="B400" s="178"/>
      <c r="C400" s="179"/>
      <c r="D400" s="180"/>
      <c r="E400" s="181"/>
      <c r="F400" s="182"/>
      <c r="G400" s="1" t="str">
        <f>IFERROR(IF(ventas_b_mes1[[#This Row],[CUIT]]="","-",VLOOKUP(ventas_b_mes1[[#This Row],[CUIT]],Lista_CUIT[#All],2,0)),"CUIT NO CARGADO")</f>
        <v>-</v>
      </c>
      <c r="H400" s="64">
        <f>ventas_b_mes1[[#This Row],[TOTAL]]/1.21</f>
        <v>0</v>
      </c>
      <c r="I400" s="183">
        <f>ventas_b_mes1[[#This Row],[IMPORTE NETO]]*0.21</f>
        <v>0</v>
      </c>
      <c r="J400" s="184"/>
      <c r="K400" s="184"/>
      <c r="L400" s="184"/>
      <c r="M400" s="59"/>
    </row>
    <row r="401" spans="2:13" x14ac:dyDescent="0.3">
      <c r="B401" s="178"/>
      <c r="C401" s="179"/>
      <c r="D401" s="180"/>
      <c r="E401" s="181"/>
      <c r="F401" s="182"/>
      <c r="G401" s="1" t="str">
        <f>IFERROR(IF(ventas_b_mes1[[#This Row],[CUIT]]="","-",VLOOKUP(ventas_b_mes1[[#This Row],[CUIT]],Lista_CUIT[#All],2,0)),"CUIT NO CARGADO")</f>
        <v>-</v>
      </c>
      <c r="H401" s="64">
        <f>ventas_b_mes1[[#This Row],[TOTAL]]/1.21</f>
        <v>0</v>
      </c>
      <c r="I401" s="183">
        <f>ventas_b_mes1[[#This Row],[IMPORTE NETO]]*0.21</f>
        <v>0</v>
      </c>
      <c r="J401" s="184"/>
      <c r="K401" s="184"/>
      <c r="L401" s="184"/>
      <c r="M401" s="59"/>
    </row>
    <row r="402" spans="2:13" x14ac:dyDescent="0.3">
      <c r="B402" s="178"/>
      <c r="C402" s="179"/>
      <c r="D402" s="180"/>
      <c r="E402" s="181"/>
      <c r="F402" s="182"/>
      <c r="G402" s="1" t="str">
        <f>IFERROR(IF(ventas_b_mes1[[#This Row],[CUIT]]="","-",VLOOKUP(ventas_b_mes1[[#This Row],[CUIT]],Lista_CUIT[#All],2,0)),"CUIT NO CARGADO")</f>
        <v>-</v>
      </c>
      <c r="H402" s="64">
        <f>ventas_b_mes1[[#This Row],[TOTAL]]/1.21</f>
        <v>0</v>
      </c>
      <c r="I402" s="183">
        <f>ventas_b_mes1[[#This Row],[IMPORTE NETO]]*0.21</f>
        <v>0</v>
      </c>
      <c r="J402" s="184"/>
      <c r="K402" s="184"/>
      <c r="L402" s="184"/>
      <c r="M402" s="59"/>
    </row>
    <row r="403" spans="2:13" x14ac:dyDescent="0.3">
      <c r="B403" s="178"/>
      <c r="C403" s="179"/>
      <c r="D403" s="180"/>
      <c r="E403" s="181"/>
      <c r="F403" s="182"/>
      <c r="G403" s="1" t="str">
        <f>IFERROR(IF(ventas_b_mes1[[#This Row],[CUIT]]="","-",VLOOKUP(ventas_b_mes1[[#This Row],[CUIT]],Lista_CUIT[#All],2,0)),"CUIT NO CARGADO")</f>
        <v>-</v>
      </c>
      <c r="H403" s="64">
        <f>ventas_b_mes1[[#This Row],[TOTAL]]/1.21</f>
        <v>0</v>
      </c>
      <c r="I403" s="183">
        <f>ventas_b_mes1[[#This Row],[IMPORTE NETO]]*0.21</f>
        <v>0</v>
      </c>
      <c r="J403" s="184"/>
      <c r="K403" s="184"/>
      <c r="L403" s="184"/>
      <c r="M403" s="59"/>
    </row>
    <row r="404" spans="2:13" x14ac:dyDescent="0.3">
      <c r="B404" s="178"/>
      <c r="C404" s="179"/>
      <c r="D404" s="180"/>
      <c r="E404" s="181"/>
      <c r="F404" s="182"/>
      <c r="G404" s="1" t="str">
        <f>IFERROR(IF(ventas_b_mes1[[#This Row],[CUIT]]="","-",VLOOKUP(ventas_b_mes1[[#This Row],[CUIT]],Lista_CUIT[#All],2,0)),"CUIT NO CARGADO")</f>
        <v>-</v>
      </c>
      <c r="H404" s="64">
        <f>ventas_b_mes1[[#This Row],[TOTAL]]/1.21</f>
        <v>0</v>
      </c>
      <c r="I404" s="183">
        <f>ventas_b_mes1[[#This Row],[IMPORTE NETO]]*0.21</f>
        <v>0</v>
      </c>
      <c r="J404" s="184"/>
      <c r="K404" s="184"/>
      <c r="L404" s="184"/>
      <c r="M404" s="59"/>
    </row>
    <row r="405" spans="2:13" x14ac:dyDescent="0.3">
      <c r="B405" s="178"/>
      <c r="C405" s="179"/>
      <c r="D405" s="180"/>
      <c r="E405" s="181"/>
      <c r="F405" s="182"/>
      <c r="G405" s="1" t="str">
        <f>IFERROR(IF(ventas_b_mes1[[#This Row],[CUIT]]="","-",VLOOKUP(ventas_b_mes1[[#This Row],[CUIT]],Lista_CUIT[#All],2,0)),"CUIT NO CARGADO")</f>
        <v>-</v>
      </c>
      <c r="H405" s="64">
        <f>ventas_b_mes1[[#This Row],[TOTAL]]/1.21</f>
        <v>0</v>
      </c>
      <c r="I405" s="183">
        <f>ventas_b_mes1[[#This Row],[IMPORTE NETO]]*0.21</f>
        <v>0</v>
      </c>
      <c r="J405" s="184"/>
      <c r="K405" s="184"/>
      <c r="L405" s="184"/>
      <c r="M405" s="59"/>
    </row>
    <row r="406" spans="2:13" x14ac:dyDescent="0.3">
      <c r="B406" s="178"/>
      <c r="C406" s="179"/>
      <c r="D406" s="180"/>
      <c r="E406" s="181"/>
      <c r="F406" s="182"/>
      <c r="G406" s="1" t="str">
        <f>IFERROR(IF(ventas_b_mes1[[#This Row],[CUIT]]="","-",VLOOKUP(ventas_b_mes1[[#This Row],[CUIT]],Lista_CUIT[#All],2,0)),"CUIT NO CARGADO")</f>
        <v>-</v>
      </c>
      <c r="H406" s="64">
        <f>ventas_b_mes1[[#This Row],[TOTAL]]/1.21</f>
        <v>0</v>
      </c>
      <c r="I406" s="183">
        <f>ventas_b_mes1[[#This Row],[IMPORTE NETO]]*0.21</f>
        <v>0</v>
      </c>
      <c r="J406" s="184"/>
      <c r="K406" s="184"/>
      <c r="L406" s="184"/>
      <c r="M406" s="59"/>
    </row>
    <row r="407" spans="2:13" x14ac:dyDescent="0.3">
      <c r="B407" s="178"/>
      <c r="C407" s="179"/>
      <c r="D407" s="180"/>
      <c r="E407" s="181"/>
      <c r="F407" s="182"/>
      <c r="G407" s="1" t="str">
        <f>IFERROR(IF(ventas_b_mes1[[#This Row],[CUIT]]="","-",VLOOKUP(ventas_b_mes1[[#This Row],[CUIT]],Lista_CUIT[#All],2,0)),"CUIT NO CARGADO")</f>
        <v>-</v>
      </c>
      <c r="H407" s="64">
        <f>ventas_b_mes1[[#This Row],[TOTAL]]/1.21</f>
        <v>0</v>
      </c>
      <c r="I407" s="183">
        <f>ventas_b_mes1[[#This Row],[IMPORTE NETO]]*0.21</f>
        <v>0</v>
      </c>
      <c r="J407" s="184"/>
      <c r="K407" s="184"/>
      <c r="L407" s="184"/>
      <c r="M407" s="59"/>
    </row>
    <row r="408" spans="2:13" x14ac:dyDescent="0.3">
      <c r="B408" s="178"/>
      <c r="C408" s="179"/>
      <c r="D408" s="180"/>
      <c r="E408" s="181"/>
      <c r="F408" s="182"/>
      <c r="G408" s="1" t="str">
        <f>IFERROR(IF(ventas_b_mes1[[#This Row],[CUIT]]="","-",VLOOKUP(ventas_b_mes1[[#This Row],[CUIT]],Lista_CUIT[#All],2,0)),"CUIT NO CARGADO")</f>
        <v>-</v>
      </c>
      <c r="H408" s="64">
        <f>ventas_b_mes1[[#This Row],[TOTAL]]/1.21</f>
        <v>0</v>
      </c>
      <c r="I408" s="183">
        <f>ventas_b_mes1[[#This Row],[IMPORTE NETO]]*0.21</f>
        <v>0</v>
      </c>
      <c r="J408" s="184"/>
      <c r="K408" s="184"/>
      <c r="L408" s="184"/>
      <c r="M408" s="59"/>
    </row>
    <row r="409" spans="2:13" x14ac:dyDescent="0.3">
      <c r="B409" s="178"/>
      <c r="C409" s="179"/>
      <c r="D409" s="180"/>
      <c r="E409" s="181"/>
      <c r="F409" s="182"/>
      <c r="G409" s="1" t="str">
        <f>IFERROR(IF(ventas_b_mes1[[#This Row],[CUIT]]="","-",VLOOKUP(ventas_b_mes1[[#This Row],[CUIT]],Lista_CUIT[#All],2,0)),"CUIT NO CARGADO")</f>
        <v>-</v>
      </c>
      <c r="H409" s="64">
        <f>ventas_b_mes1[[#This Row],[TOTAL]]/1.21</f>
        <v>0</v>
      </c>
      <c r="I409" s="183">
        <f>ventas_b_mes1[[#This Row],[IMPORTE NETO]]*0.21</f>
        <v>0</v>
      </c>
      <c r="J409" s="184"/>
      <c r="K409" s="184"/>
      <c r="L409" s="184"/>
      <c r="M409" s="59"/>
    </row>
    <row r="410" spans="2:13" x14ac:dyDescent="0.3">
      <c r="B410" s="178"/>
      <c r="C410" s="179"/>
      <c r="D410" s="180"/>
      <c r="E410" s="181"/>
      <c r="F410" s="182"/>
      <c r="G410" s="1" t="str">
        <f>IFERROR(IF(ventas_b_mes1[[#This Row],[CUIT]]="","-",VLOOKUP(ventas_b_mes1[[#This Row],[CUIT]],Lista_CUIT[#All],2,0)),"CUIT NO CARGADO")</f>
        <v>-</v>
      </c>
      <c r="H410" s="64">
        <f>ventas_b_mes1[[#This Row],[TOTAL]]/1.21</f>
        <v>0</v>
      </c>
      <c r="I410" s="183">
        <f>ventas_b_mes1[[#This Row],[IMPORTE NETO]]*0.21</f>
        <v>0</v>
      </c>
      <c r="J410" s="184"/>
      <c r="K410" s="184"/>
      <c r="L410" s="184"/>
      <c r="M410" s="59"/>
    </row>
    <row r="411" spans="2:13" x14ac:dyDescent="0.3">
      <c r="B411" s="178"/>
      <c r="C411" s="179"/>
      <c r="D411" s="180"/>
      <c r="E411" s="181"/>
      <c r="F411" s="182"/>
      <c r="G411" s="1" t="str">
        <f>IFERROR(IF(ventas_b_mes1[[#This Row],[CUIT]]="","-",VLOOKUP(ventas_b_mes1[[#This Row],[CUIT]],Lista_CUIT[#All],2,0)),"CUIT NO CARGADO")</f>
        <v>-</v>
      </c>
      <c r="H411" s="64">
        <f>ventas_b_mes1[[#This Row],[TOTAL]]/1.21</f>
        <v>0</v>
      </c>
      <c r="I411" s="183">
        <f>ventas_b_mes1[[#This Row],[IMPORTE NETO]]*0.21</f>
        <v>0</v>
      </c>
      <c r="J411" s="184"/>
      <c r="K411" s="184"/>
      <c r="L411" s="184"/>
      <c r="M411" s="59"/>
    </row>
    <row r="412" spans="2:13" x14ac:dyDescent="0.3">
      <c r="B412" s="178"/>
      <c r="C412" s="179"/>
      <c r="D412" s="180"/>
      <c r="E412" s="181"/>
      <c r="F412" s="182"/>
      <c r="G412" s="1" t="str">
        <f>IFERROR(IF(ventas_b_mes1[[#This Row],[CUIT]]="","-",VLOOKUP(ventas_b_mes1[[#This Row],[CUIT]],Lista_CUIT[#All],2,0)),"CUIT NO CARGADO")</f>
        <v>-</v>
      </c>
      <c r="H412" s="64">
        <f>ventas_b_mes1[[#This Row],[TOTAL]]/1.21</f>
        <v>0</v>
      </c>
      <c r="I412" s="183">
        <f>ventas_b_mes1[[#This Row],[IMPORTE NETO]]*0.21</f>
        <v>0</v>
      </c>
      <c r="J412" s="184"/>
      <c r="K412" s="184"/>
      <c r="L412" s="184"/>
      <c r="M412" s="59"/>
    </row>
    <row r="413" spans="2:13" x14ac:dyDescent="0.3">
      <c r="B413" s="178"/>
      <c r="C413" s="179"/>
      <c r="D413" s="180"/>
      <c r="E413" s="181"/>
      <c r="F413" s="182"/>
      <c r="G413" s="1" t="str">
        <f>IFERROR(IF(ventas_b_mes1[[#This Row],[CUIT]]="","-",VLOOKUP(ventas_b_mes1[[#This Row],[CUIT]],Lista_CUIT[#All],2,0)),"CUIT NO CARGADO")</f>
        <v>-</v>
      </c>
      <c r="H413" s="64">
        <f>ventas_b_mes1[[#This Row],[TOTAL]]/1.21</f>
        <v>0</v>
      </c>
      <c r="I413" s="183">
        <f>ventas_b_mes1[[#This Row],[IMPORTE NETO]]*0.21</f>
        <v>0</v>
      </c>
      <c r="J413" s="184"/>
      <c r="K413" s="184"/>
      <c r="L413" s="184"/>
      <c r="M413" s="59"/>
    </row>
    <row r="414" spans="2:13" x14ac:dyDescent="0.3">
      <c r="B414" s="178"/>
      <c r="C414" s="179"/>
      <c r="D414" s="180"/>
      <c r="E414" s="181"/>
      <c r="F414" s="182"/>
      <c r="G414" s="1" t="str">
        <f>IFERROR(IF(ventas_b_mes1[[#This Row],[CUIT]]="","-",VLOOKUP(ventas_b_mes1[[#This Row],[CUIT]],Lista_CUIT[#All],2,0)),"CUIT NO CARGADO")</f>
        <v>-</v>
      </c>
      <c r="H414" s="64">
        <f>ventas_b_mes1[[#This Row],[TOTAL]]/1.21</f>
        <v>0</v>
      </c>
      <c r="I414" s="183">
        <f>ventas_b_mes1[[#This Row],[IMPORTE NETO]]*0.21</f>
        <v>0</v>
      </c>
      <c r="J414" s="184"/>
      <c r="K414" s="184"/>
      <c r="L414" s="184"/>
      <c r="M414" s="59"/>
    </row>
    <row r="415" spans="2:13" x14ac:dyDescent="0.3">
      <c r="B415" s="178"/>
      <c r="C415" s="179"/>
      <c r="D415" s="180"/>
      <c r="E415" s="181"/>
      <c r="F415" s="182"/>
      <c r="G415" s="1" t="str">
        <f>IFERROR(IF(ventas_b_mes1[[#This Row],[CUIT]]="","-",VLOOKUP(ventas_b_mes1[[#This Row],[CUIT]],Lista_CUIT[#All],2,0)),"CUIT NO CARGADO")</f>
        <v>-</v>
      </c>
      <c r="H415" s="64">
        <f>ventas_b_mes1[[#This Row],[TOTAL]]/1.21</f>
        <v>0</v>
      </c>
      <c r="I415" s="183">
        <f>ventas_b_mes1[[#This Row],[IMPORTE NETO]]*0.21</f>
        <v>0</v>
      </c>
      <c r="J415" s="184"/>
      <c r="K415" s="184"/>
      <c r="L415" s="184"/>
      <c r="M415" s="59"/>
    </row>
    <row r="416" spans="2:13" x14ac:dyDescent="0.3">
      <c r="B416" s="178"/>
      <c r="C416" s="179"/>
      <c r="D416" s="180"/>
      <c r="E416" s="181"/>
      <c r="F416" s="182"/>
      <c r="G416" s="1" t="str">
        <f>IFERROR(IF(ventas_b_mes1[[#This Row],[CUIT]]="","-",VLOOKUP(ventas_b_mes1[[#This Row],[CUIT]],Lista_CUIT[#All],2,0)),"CUIT NO CARGADO")</f>
        <v>-</v>
      </c>
      <c r="H416" s="64">
        <f>ventas_b_mes1[[#This Row],[TOTAL]]/1.21</f>
        <v>0</v>
      </c>
      <c r="I416" s="183">
        <f>ventas_b_mes1[[#This Row],[IMPORTE NETO]]*0.21</f>
        <v>0</v>
      </c>
      <c r="J416" s="184"/>
      <c r="K416" s="184"/>
      <c r="L416" s="184"/>
      <c r="M416" s="59"/>
    </row>
    <row r="417" spans="2:13" x14ac:dyDescent="0.3">
      <c r="B417" s="178"/>
      <c r="C417" s="179"/>
      <c r="D417" s="180"/>
      <c r="E417" s="181"/>
      <c r="F417" s="182"/>
      <c r="G417" s="1" t="str">
        <f>IFERROR(IF(ventas_b_mes1[[#This Row],[CUIT]]="","-",VLOOKUP(ventas_b_mes1[[#This Row],[CUIT]],Lista_CUIT[#All],2,0)),"CUIT NO CARGADO")</f>
        <v>-</v>
      </c>
      <c r="H417" s="64">
        <f>ventas_b_mes1[[#This Row],[TOTAL]]/1.21</f>
        <v>0</v>
      </c>
      <c r="I417" s="183">
        <f>ventas_b_mes1[[#This Row],[IMPORTE NETO]]*0.21</f>
        <v>0</v>
      </c>
      <c r="J417" s="184"/>
      <c r="K417" s="184"/>
      <c r="L417" s="184"/>
      <c r="M417" s="59"/>
    </row>
    <row r="418" spans="2:13" x14ac:dyDescent="0.3">
      <c r="B418" s="178"/>
      <c r="C418" s="179"/>
      <c r="D418" s="180"/>
      <c r="E418" s="181"/>
      <c r="F418" s="182"/>
      <c r="G418" s="1" t="str">
        <f>IFERROR(IF(ventas_b_mes1[[#This Row],[CUIT]]="","-",VLOOKUP(ventas_b_mes1[[#This Row],[CUIT]],Lista_CUIT[#All],2,0)),"CUIT NO CARGADO")</f>
        <v>-</v>
      </c>
      <c r="H418" s="64">
        <f>ventas_b_mes1[[#This Row],[TOTAL]]/1.21</f>
        <v>0</v>
      </c>
      <c r="I418" s="183">
        <f>ventas_b_mes1[[#This Row],[IMPORTE NETO]]*0.21</f>
        <v>0</v>
      </c>
      <c r="J418" s="184"/>
      <c r="K418" s="184"/>
      <c r="L418" s="184"/>
      <c r="M418" s="59"/>
    </row>
    <row r="419" spans="2:13" x14ac:dyDescent="0.3">
      <c r="B419" s="178"/>
      <c r="C419" s="179"/>
      <c r="D419" s="180"/>
      <c r="E419" s="181"/>
      <c r="F419" s="182"/>
      <c r="G419" s="1" t="str">
        <f>IFERROR(IF(ventas_b_mes1[[#This Row],[CUIT]]="","-",VLOOKUP(ventas_b_mes1[[#This Row],[CUIT]],Lista_CUIT[#All],2,0)),"CUIT NO CARGADO")</f>
        <v>-</v>
      </c>
      <c r="H419" s="64">
        <f>ventas_b_mes1[[#This Row],[TOTAL]]/1.21</f>
        <v>0</v>
      </c>
      <c r="I419" s="183">
        <f>ventas_b_mes1[[#This Row],[IMPORTE NETO]]*0.21</f>
        <v>0</v>
      </c>
      <c r="J419" s="184"/>
      <c r="K419" s="184"/>
      <c r="L419" s="184"/>
      <c r="M419" s="59"/>
    </row>
    <row r="420" spans="2:13" x14ac:dyDescent="0.3">
      <c r="B420" s="178"/>
      <c r="C420" s="179"/>
      <c r="D420" s="180"/>
      <c r="E420" s="181"/>
      <c r="F420" s="182"/>
      <c r="G420" s="1" t="str">
        <f>IFERROR(IF(ventas_b_mes1[[#This Row],[CUIT]]="","-",VLOOKUP(ventas_b_mes1[[#This Row],[CUIT]],Lista_CUIT[#All],2,0)),"CUIT NO CARGADO")</f>
        <v>-</v>
      </c>
      <c r="H420" s="64">
        <f>ventas_b_mes1[[#This Row],[TOTAL]]/1.21</f>
        <v>0</v>
      </c>
      <c r="I420" s="183">
        <f>ventas_b_mes1[[#This Row],[IMPORTE NETO]]*0.21</f>
        <v>0</v>
      </c>
      <c r="J420" s="184"/>
      <c r="K420" s="184"/>
      <c r="L420" s="184"/>
      <c r="M420" s="59"/>
    </row>
    <row r="421" spans="2:13" x14ac:dyDescent="0.3">
      <c r="B421" s="178"/>
      <c r="C421" s="179"/>
      <c r="D421" s="180"/>
      <c r="E421" s="181"/>
      <c r="F421" s="182"/>
      <c r="G421" s="1" t="str">
        <f>IFERROR(IF(ventas_b_mes1[[#This Row],[CUIT]]="","-",VLOOKUP(ventas_b_mes1[[#This Row],[CUIT]],Lista_CUIT[#All],2,0)),"CUIT NO CARGADO")</f>
        <v>-</v>
      </c>
      <c r="H421" s="64">
        <f>ventas_b_mes1[[#This Row],[TOTAL]]/1.21</f>
        <v>0</v>
      </c>
      <c r="I421" s="183">
        <f>ventas_b_mes1[[#This Row],[IMPORTE NETO]]*0.21</f>
        <v>0</v>
      </c>
      <c r="J421" s="184"/>
      <c r="K421" s="184"/>
      <c r="L421" s="184"/>
      <c r="M421" s="59"/>
    </row>
    <row r="422" spans="2:13" x14ac:dyDescent="0.3">
      <c r="B422" s="178"/>
      <c r="C422" s="179"/>
      <c r="D422" s="180"/>
      <c r="E422" s="181"/>
      <c r="F422" s="182"/>
      <c r="G422" s="1" t="str">
        <f>IFERROR(IF(ventas_b_mes1[[#This Row],[CUIT]]="","-",VLOOKUP(ventas_b_mes1[[#This Row],[CUIT]],Lista_CUIT[#All],2,0)),"CUIT NO CARGADO")</f>
        <v>-</v>
      </c>
      <c r="H422" s="64">
        <f>ventas_b_mes1[[#This Row],[TOTAL]]/1.21</f>
        <v>0</v>
      </c>
      <c r="I422" s="183">
        <f>ventas_b_mes1[[#This Row],[IMPORTE NETO]]*0.21</f>
        <v>0</v>
      </c>
      <c r="J422" s="184"/>
      <c r="K422" s="184"/>
      <c r="L422" s="184"/>
      <c r="M422" s="59"/>
    </row>
    <row r="423" spans="2:13" x14ac:dyDescent="0.3">
      <c r="B423" s="178"/>
      <c r="C423" s="179"/>
      <c r="D423" s="180"/>
      <c r="E423" s="181"/>
      <c r="F423" s="182"/>
      <c r="G423" s="1" t="str">
        <f>IFERROR(IF(ventas_b_mes1[[#This Row],[CUIT]]="","-",VLOOKUP(ventas_b_mes1[[#This Row],[CUIT]],Lista_CUIT[#All],2,0)),"CUIT NO CARGADO")</f>
        <v>-</v>
      </c>
      <c r="H423" s="64">
        <f>ventas_b_mes1[[#This Row],[TOTAL]]/1.21</f>
        <v>0</v>
      </c>
      <c r="I423" s="183">
        <f>ventas_b_mes1[[#This Row],[IMPORTE NETO]]*0.21</f>
        <v>0</v>
      </c>
      <c r="J423" s="184"/>
      <c r="K423" s="184"/>
      <c r="L423" s="184"/>
      <c r="M423" s="59"/>
    </row>
    <row r="424" spans="2:13" x14ac:dyDescent="0.3">
      <c r="B424" s="178"/>
      <c r="C424" s="179"/>
      <c r="D424" s="180"/>
      <c r="E424" s="181"/>
      <c r="F424" s="182"/>
      <c r="G424" s="1" t="str">
        <f>IFERROR(IF(ventas_b_mes1[[#This Row],[CUIT]]="","-",VLOOKUP(ventas_b_mes1[[#This Row],[CUIT]],Lista_CUIT[#All],2,0)),"CUIT NO CARGADO")</f>
        <v>-</v>
      </c>
      <c r="H424" s="64">
        <f>ventas_b_mes1[[#This Row],[TOTAL]]/1.21</f>
        <v>0</v>
      </c>
      <c r="I424" s="183">
        <f>ventas_b_mes1[[#This Row],[IMPORTE NETO]]*0.21</f>
        <v>0</v>
      </c>
      <c r="J424" s="184"/>
      <c r="K424" s="184"/>
      <c r="L424" s="184"/>
      <c r="M424" s="59"/>
    </row>
    <row r="425" spans="2:13" x14ac:dyDescent="0.3">
      <c r="B425" s="178"/>
      <c r="C425" s="179"/>
      <c r="D425" s="180"/>
      <c r="E425" s="181"/>
      <c r="F425" s="182"/>
      <c r="G425" s="1" t="str">
        <f>IFERROR(IF(ventas_b_mes1[[#This Row],[CUIT]]="","-",VLOOKUP(ventas_b_mes1[[#This Row],[CUIT]],Lista_CUIT[#All],2,0)),"CUIT NO CARGADO")</f>
        <v>-</v>
      </c>
      <c r="H425" s="64">
        <f>ventas_b_mes1[[#This Row],[TOTAL]]/1.21</f>
        <v>0</v>
      </c>
      <c r="I425" s="183">
        <f>ventas_b_mes1[[#This Row],[IMPORTE NETO]]*0.21</f>
        <v>0</v>
      </c>
      <c r="J425" s="184"/>
      <c r="K425" s="184"/>
      <c r="L425" s="184"/>
      <c r="M425" s="59"/>
    </row>
    <row r="426" spans="2:13" x14ac:dyDescent="0.3">
      <c r="B426" s="178"/>
      <c r="C426" s="179"/>
      <c r="D426" s="180"/>
      <c r="E426" s="181"/>
      <c r="F426" s="182"/>
      <c r="G426" s="1" t="str">
        <f>IFERROR(IF(ventas_b_mes1[[#This Row],[CUIT]]="","-",VLOOKUP(ventas_b_mes1[[#This Row],[CUIT]],Lista_CUIT[#All],2,0)),"CUIT NO CARGADO")</f>
        <v>-</v>
      </c>
      <c r="H426" s="64">
        <f>ventas_b_mes1[[#This Row],[TOTAL]]/1.21</f>
        <v>0</v>
      </c>
      <c r="I426" s="183">
        <f>ventas_b_mes1[[#This Row],[IMPORTE NETO]]*0.21</f>
        <v>0</v>
      </c>
      <c r="J426" s="184"/>
      <c r="K426" s="184"/>
      <c r="L426" s="184"/>
      <c r="M426" s="59"/>
    </row>
    <row r="427" spans="2:13" x14ac:dyDescent="0.3">
      <c r="B427" s="178"/>
      <c r="C427" s="179"/>
      <c r="D427" s="180"/>
      <c r="E427" s="181"/>
      <c r="F427" s="182"/>
      <c r="G427" s="1" t="str">
        <f>IFERROR(IF(ventas_b_mes1[[#This Row],[CUIT]]="","-",VLOOKUP(ventas_b_mes1[[#This Row],[CUIT]],Lista_CUIT[#All],2,0)),"CUIT NO CARGADO")</f>
        <v>-</v>
      </c>
      <c r="H427" s="64">
        <f>ventas_b_mes1[[#This Row],[TOTAL]]/1.21</f>
        <v>0</v>
      </c>
      <c r="I427" s="183">
        <f>ventas_b_mes1[[#This Row],[IMPORTE NETO]]*0.21</f>
        <v>0</v>
      </c>
      <c r="J427" s="184"/>
      <c r="K427" s="184"/>
      <c r="L427" s="184"/>
      <c r="M427" s="59"/>
    </row>
    <row r="428" spans="2:13" x14ac:dyDescent="0.3">
      <c r="B428" s="178"/>
      <c r="C428" s="179"/>
      <c r="D428" s="180"/>
      <c r="E428" s="181"/>
      <c r="F428" s="182"/>
      <c r="G428" s="1" t="str">
        <f>IFERROR(IF(ventas_b_mes1[[#This Row],[CUIT]]="","-",VLOOKUP(ventas_b_mes1[[#This Row],[CUIT]],Lista_CUIT[#All],2,0)),"CUIT NO CARGADO")</f>
        <v>-</v>
      </c>
      <c r="H428" s="64">
        <f>ventas_b_mes1[[#This Row],[TOTAL]]/1.21</f>
        <v>0</v>
      </c>
      <c r="I428" s="183">
        <f>ventas_b_mes1[[#This Row],[IMPORTE NETO]]*0.21</f>
        <v>0</v>
      </c>
      <c r="J428" s="184"/>
      <c r="K428" s="184"/>
      <c r="L428" s="184"/>
      <c r="M428" s="59"/>
    </row>
    <row r="429" spans="2:13" x14ac:dyDescent="0.3">
      <c r="B429" s="178"/>
      <c r="C429" s="179"/>
      <c r="D429" s="180"/>
      <c r="E429" s="181"/>
      <c r="F429" s="182"/>
      <c r="G429" s="1" t="str">
        <f>IFERROR(IF(ventas_b_mes1[[#This Row],[CUIT]]="","-",VLOOKUP(ventas_b_mes1[[#This Row],[CUIT]],Lista_CUIT[#All],2,0)),"CUIT NO CARGADO")</f>
        <v>-</v>
      </c>
      <c r="H429" s="64">
        <f>ventas_b_mes1[[#This Row],[TOTAL]]/1.21</f>
        <v>0</v>
      </c>
      <c r="I429" s="183">
        <f>ventas_b_mes1[[#This Row],[IMPORTE NETO]]*0.21</f>
        <v>0</v>
      </c>
      <c r="J429" s="184"/>
      <c r="K429" s="184"/>
      <c r="L429" s="184"/>
      <c r="M429" s="59"/>
    </row>
    <row r="430" spans="2:13" x14ac:dyDescent="0.3">
      <c r="B430" s="178"/>
      <c r="C430" s="179"/>
      <c r="D430" s="180"/>
      <c r="E430" s="181"/>
      <c r="F430" s="182"/>
      <c r="G430" s="1" t="str">
        <f>IFERROR(IF(ventas_b_mes1[[#This Row],[CUIT]]="","-",VLOOKUP(ventas_b_mes1[[#This Row],[CUIT]],Lista_CUIT[#All],2,0)),"CUIT NO CARGADO")</f>
        <v>-</v>
      </c>
      <c r="H430" s="64">
        <f>ventas_b_mes1[[#This Row],[TOTAL]]/1.21</f>
        <v>0</v>
      </c>
      <c r="I430" s="183">
        <f>ventas_b_mes1[[#This Row],[IMPORTE NETO]]*0.21</f>
        <v>0</v>
      </c>
      <c r="J430" s="184"/>
      <c r="K430" s="184"/>
      <c r="L430" s="184"/>
      <c r="M430" s="59"/>
    </row>
    <row r="431" spans="2:13" x14ac:dyDescent="0.3">
      <c r="B431" s="178"/>
      <c r="C431" s="179"/>
      <c r="D431" s="180"/>
      <c r="E431" s="181"/>
      <c r="F431" s="182"/>
      <c r="G431" s="1" t="str">
        <f>IFERROR(IF(ventas_b_mes1[[#This Row],[CUIT]]="","-",VLOOKUP(ventas_b_mes1[[#This Row],[CUIT]],Lista_CUIT[#All],2,0)),"CUIT NO CARGADO")</f>
        <v>-</v>
      </c>
      <c r="H431" s="64">
        <f>ventas_b_mes1[[#This Row],[TOTAL]]/1.21</f>
        <v>0</v>
      </c>
      <c r="I431" s="183">
        <f>ventas_b_mes1[[#This Row],[IMPORTE NETO]]*0.21</f>
        <v>0</v>
      </c>
      <c r="J431" s="184"/>
      <c r="K431" s="184"/>
      <c r="L431" s="184"/>
      <c r="M431" s="59"/>
    </row>
    <row r="432" spans="2:13" x14ac:dyDescent="0.3">
      <c r="B432" s="178"/>
      <c r="C432" s="179"/>
      <c r="D432" s="180"/>
      <c r="E432" s="181"/>
      <c r="F432" s="182"/>
      <c r="G432" s="1" t="str">
        <f>IFERROR(IF(ventas_b_mes1[[#This Row],[CUIT]]="","-",VLOOKUP(ventas_b_mes1[[#This Row],[CUIT]],Lista_CUIT[#All],2,0)),"CUIT NO CARGADO")</f>
        <v>-</v>
      </c>
      <c r="H432" s="64">
        <f>ventas_b_mes1[[#This Row],[TOTAL]]/1.21</f>
        <v>0</v>
      </c>
      <c r="I432" s="183">
        <f>ventas_b_mes1[[#This Row],[IMPORTE NETO]]*0.21</f>
        <v>0</v>
      </c>
      <c r="J432" s="184"/>
      <c r="K432" s="184"/>
      <c r="L432" s="184"/>
      <c r="M432" s="59"/>
    </row>
    <row r="433" spans="2:13" x14ac:dyDescent="0.3">
      <c r="B433" s="178"/>
      <c r="C433" s="179"/>
      <c r="D433" s="180"/>
      <c r="E433" s="181"/>
      <c r="F433" s="182"/>
      <c r="G433" s="1" t="str">
        <f>IFERROR(IF(ventas_b_mes1[[#This Row],[CUIT]]="","-",VLOOKUP(ventas_b_mes1[[#This Row],[CUIT]],Lista_CUIT[#All],2,0)),"CUIT NO CARGADO")</f>
        <v>-</v>
      </c>
      <c r="H433" s="64">
        <f>ventas_b_mes1[[#This Row],[TOTAL]]/1.21</f>
        <v>0</v>
      </c>
      <c r="I433" s="183">
        <f>ventas_b_mes1[[#This Row],[IMPORTE NETO]]*0.21</f>
        <v>0</v>
      </c>
      <c r="J433" s="184"/>
      <c r="K433" s="184"/>
      <c r="L433" s="184"/>
      <c r="M433" s="59"/>
    </row>
    <row r="434" spans="2:13" x14ac:dyDescent="0.3">
      <c r="B434" s="178"/>
      <c r="C434" s="179"/>
      <c r="D434" s="180"/>
      <c r="E434" s="181"/>
      <c r="F434" s="182"/>
      <c r="G434" s="1" t="str">
        <f>IFERROR(IF(ventas_b_mes1[[#This Row],[CUIT]]="","-",VLOOKUP(ventas_b_mes1[[#This Row],[CUIT]],Lista_CUIT[#All],2,0)),"CUIT NO CARGADO")</f>
        <v>-</v>
      </c>
      <c r="H434" s="64">
        <f>ventas_b_mes1[[#This Row],[TOTAL]]/1.21</f>
        <v>0</v>
      </c>
      <c r="I434" s="183">
        <f>ventas_b_mes1[[#This Row],[IMPORTE NETO]]*0.21</f>
        <v>0</v>
      </c>
      <c r="J434" s="184"/>
      <c r="K434" s="184"/>
      <c r="L434" s="184"/>
      <c r="M434" s="59"/>
    </row>
    <row r="435" spans="2:13" x14ac:dyDescent="0.3">
      <c r="B435" s="178"/>
      <c r="C435" s="179"/>
      <c r="D435" s="180"/>
      <c r="E435" s="181"/>
      <c r="F435" s="182"/>
      <c r="G435" s="1" t="str">
        <f>IFERROR(IF(ventas_b_mes1[[#This Row],[CUIT]]="","-",VLOOKUP(ventas_b_mes1[[#This Row],[CUIT]],Lista_CUIT[#All],2,0)),"CUIT NO CARGADO")</f>
        <v>-</v>
      </c>
      <c r="H435" s="64">
        <f>ventas_b_mes1[[#This Row],[TOTAL]]/1.21</f>
        <v>0</v>
      </c>
      <c r="I435" s="183">
        <f>ventas_b_mes1[[#This Row],[IMPORTE NETO]]*0.21</f>
        <v>0</v>
      </c>
      <c r="J435" s="184"/>
      <c r="K435" s="184"/>
      <c r="L435" s="184"/>
      <c r="M435" s="59"/>
    </row>
    <row r="436" spans="2:13" x14ac:dyDescent="0.3">
      <c r="B436" s="178"/>
      <c r="C436" s="179"/>
      <c r="D436" s="180"/>
      <c r="E436" s="181"/>
      <c r="F436" s="182"/>
      <c r="G436" s="1" t="str">
        <f>IFERROR(IF(ventas_b_mes1[[#This Row],[CUIT]]="","-",VLOOKUP(ventas_b_mes1[[#This Row],[CUIT]],Lista_CUIT[#All],2,0)),"CUIT NO CARGADO")</f>
        <v>-</v>
      </c>
      <c r="H436" s="64">
        <f>ventas_b_mes1[[#This Row],[TOTAL]]/1.21</f>
        <v>0</v>
      </c>
      <c r="I436" s="183">
        <f>ventas_b_mes1[[#This Row],[IMPORTE NETO]]*0.21</f>
        <v>0</v>
      </c>
      <c r="J436" s="184"/>
      <c r="K436" s="184"/>
      <c r="L436" s="184"/>
      <c r="M436" s="59"/>
    </row>
    <row r="437" spans="2:13" x14ac:dyDescent="0.3">
      <c r="B437" s="178"/>
      <c r="C437" s="179"/>
      <c r="D437" s="180"/>
      <c r="E437" s="181"/>
      <c r="F437" s="182"/>
      <c r="G437" s="1" t="str">
        <f>IFERROR(IF(ventas_b_mes1[[#This Row],[CUIT]]="","-",VLOOKUP(ventas_b_mes1[[#This Row],[CUIT]],Lista_CUIT[#All],2,0)),"CUIT NO CARGADO")</f>
        <v>-</v>
      </c>
      <c r="H437" s="64">
        <f>ventas_b_mes1[[#This Row],[TOTAL]]/1.21</f>
        <v>0</v>
      </c>
      <c r="I437" s="183">
        <f>ventas_b_mes1[[#This Row],[IMPORTE NETO]]*0.21</f>
        <v>0</v>
      </c>
      <c r="J437" s="184"/>
      <c r="K437" s="184"/>
      <c r="L437" s="184"/>
      <c r="M437" s="59"/>
    </row>
    <row r="438" spans="2:13" x14ac:dyDescent="0.3">
      <c r="B438" s="178"/>
      <c r="C438" s="179"/>
      <c r="D438" s="180"/>
      <c r="E438" s="181"/>
      <c r="F438" s="182"/>
      <c r="G438" s="1" t="str">
        <f>IFERROR(IF(ventas_b_mes1[[#This Row],[CUIT]]="","-",VLOOKUP(ventas_b_mes1[[#This Row],[CUIT]],Lista_CUIT[#All],2,0)),"CUIT NO CARGADO")</f>
        <v>-</v>
      </c>
      <c r="H438" s="64">
        <f>ventas_b_mes1[[#This Row],[TOTAL]]/1.21</f>
        <v>0</v>
      </c>
      <c r="I438" s="183">
        <f>ventas_b_mes1[[#This Row],[IMPORTE NETO]]*0.21</f>
        <v>0</v>
      </c>
      <c r="J438" s="184"/>
      <c r="K438" s="184"/>
      <c r="L438" s="184"/>
      <c r="M438" s="59"/>
    </row>
    <row r="439" spans="2:13" x14ac:dyDescent="0.3">
      <c r="B439" s="178"/>
      <c r="C439" s="179"/>
      <c r="D439" s="180"/>
      <c r="E439" s="181"/>
      <c r="F439" s="182"/>
      <c r="G439" s="1" t="str">
        <f>IFERROR(IF(ventas_b_mes1[[#This Row],[CUIT]]="","-",VLOOKUP(ventas_b_mes1[[#This Row],[CUIT]],Lista_CUIT[#All],2,0)),"CUIT NO CARGADO")</f>
        <v>-</v>
      </c>
      <c r="H439" s="64">
        <f>ventas_b_mes1[[#This Row],[TOTAL]]/1.21</f>
        <v>0</v>
      </c>
      <c r="I439" s="183">
        <f>ventas_b_mes1[[#This Row],[IMPORTE NETO]]*0.21</f>
        <v>0</v>
      </c>
      <c r="J439" s="184"/>
      <c r="K439" s="184"/>
      <c r="L439" s="184"/>
      <c r="M439" s="59"/>
    </row>
    <row r="440" spans="2:13" x14ac:dyDescent="0.3">
      <c r="B440" s="178"/>
      <c r="C440" s="179"/>
      <c r="D440" s="180"/>
      <c r="E440" s="181"/>
      <c r="F440" s="182"/>
      <c r="G440" s="1" t="str">
        <f>IFERROR(IF(ventas_b_mes1[[#This Row],[CUIT]]="","-",VLOOKUP(ventas_b_mes1[[#This Row],[CUIT]],Lista_CUIT[#All],2,0)),"CUIT NO CARGADO")</f>
        <v>-</v>
      </c>
      <c r="H440" s="64">
        <f>ventas_b_mes1[[#This Row],[TOTAL]]/1.21</f>
        <v>0</v>
      </c>
      <c r="I440" s="183">
        <f>ventas_b_mes1[[#This Row],[IMPORTE NETO]]*0.21</f>
        <v>0</v>
      </c>
      <c r="J440" s="184"/>
      <c r="K440" s="184"/>
      <c r="L440" s="184"/>
      <c r="M440" s="59"/>
    </row>
    <row r="441" spans="2:13" x14ac:dyDescent="0.3">
      <c r="B441" s="178"/>
      <c r="C441" s="179"/>
      <c r="D441" s="180"/>
      <c r="E441" s="181"/>
      <c r="F441" s="182"/>
      <c r="G441" s="1" t="str">
        <f>IFERROR(IF(ventas_b_mes1[[#This Row],[CUIT]]="","-",VLOOKUP(ventas_b_mes1[[#This Row],[CUIT]],Lista_CUIT[#All],2,0)),"CUIT NO CARGADO")</f>
        <v>-</v>
      </c>
      <c r="H441" s="64">
        <f>ventas_b_mes1[[#This Row],[TOTAL]]/1.21</f>
        <v>0</v>
      </c>
      <c r="I441" s="183">
        <f>ventas_b_mes1[[#This Row],[IMPORTE NETO]]*0.21</f>
        <v>0</v>
      </c>
      <c r="J441" s="184"/>
      <c r="K441" s="184"/>
      <c r="L441" s="184"/>
      <c r="M441" s="59"/>
    </row>
    <row r="442" spans="2:13" x14ac:dyDescent="0.3">
      <c r="B442" s="178"/>
      <c r="C442" s="179"/>
      <c r="D442" s="180"/>
      <c r="E442" s="181"/>
      <c r="F442" s="182"/>
      <c r="G442" s="1" t="str">
        <f>IFERROR(IF(ventas_b_mes1[[#This Row],[CUIT]]="","-",VLOOKUP(ventas_b_mes1[[#This Row],[CUIT]],Lista_CUIT[#All],2,0)),"CUIT NO CARGADO")</f>
        <v>-</v>
      </c>
      <c r="H442" s="64">
        <f>ventas_b_mes1[[#This Row],[TOTAL]]/1.21</f>
        <v>0</v>
      </c>
      <c r="I442" s="183">
        <f>ventas_b_mes1[[#This Row],[IMPORTE NETO]]*0.21</f>
        <v>0</v>
      </c>
      <c r="J442" s="184"/>
      <c r="K442" s="184"/>
      <c r="L442" s="184"/>
      <c r="M442" s="59"/>
    </row>
    <row r="443" spans="2:13" x14ac:dyDescent="0.3">
      <c r="B443" s="178"/>
      <c r="C443" s="179"/>
      <c r="D443" s="180"/>
      <c r="E443" s="181"/>
      <c r="F443" s="182"/>
      <c r="G443" s="1" t="str">
        <f>IFERROR(IF(ventas_b_mes1[[#This Row],[CUIT]]="","-",VLOOKUP(ventas_b_mes1[[#This Row],[CUIT]],Lista_CUIT[#All],2,0)),"CUIT NO CARGADO")</f>
        <v>-</v>
      </c>
      <c r="H443" s="64">
        <f>ventas_b_mes1[[#This Row],[TOTAL]]/1.21</f>
        <v>0</v>
      </c>
      <c r="I443" s="183">
        <f>ventas_b_mes1[[#This Row],[IMPORTE NETO]]*0.21</f>
        <v>0</v>
      </c>
      <c r="J443" s="184"/>
      <c r="K443" s="184"/>
      <c r="L443" s="184"/>
      <c r="M443" s="59"/>
    </row>
    <row r="444" spans="2:13" x14ac:dyDescent="0.3">
      <c r="B444" s="178"/>
      <c r="C444" s="179"/>
      <c r="D444" s="180"/>
      <c r="E444" s="181"/>
      <c r="F444" s="182"/>
      <c r="G444" s="1" t="str">
        <f>IFERROR(IF(ventas_b_mes1[[#This Row],[CUIT]]="","-",VLOOKUP(ventas_b_mes1[[#This Row],[CUIT]],Lista_CUIT[#All],2,0)),"CUIT NO CARGADO")</f>
        <v>-</v>
      </c>
      <c r="H444" s="64">
        <f>ventas_b_mes1[[#This Row],[TOTAL]]/1.21</f>
        <v>0</v>
      </c>
      <c r="I444" s="183">
        <f>ventas_b_mes1[[#This Row],[IMPORTE NETO]]*0.21</f>
        <v>0</v>
      </c>
      <c r="J444" s="184"/>
      <c r="K444" s="184"/>
      <c r="L444" s="184"/>
      <c r="M444" s="59"/>
    </row>
    <row r="445" spans="2:13" x14ac:dyDescent="0.3">
      <c r="B445" s="178"/>
      <c r="C445" s="179"/>
      <c r="D445" s="180"/>
      <c r="E445" s="181"/>
      <c r="F445" s="182"/>
      <c r="G445" s="1" t="str">
        <f>IFERROR(IF(ventas_b_mes1[[#This Row],[CUIT]]="","-",VLOOKUP(ventas_b_mes1[[#This Row],[CUIT]],Lista_CUIT[#All],2,0)),"CUIT NO CARGADO")</f>
        <v>-</v>
      </c>
      <c r="H445" s="64">
        <f>ventas_b_mes1[[#This Row],[TOTAL]]/1.21</f>
        <v>0</v>
      </c>
      <c r="I445" s="183">
        <f>ventas_b_mes1[[#This Row],[IMPORTE NETO]]*0.21</f>
        <v>0</v>
      </c>
      <c r="J445" s="184"/>
      <c r="K445" s="184"/>
      <c r="L445" s="184"/>
      <c r="M445" s="59"/>
    </row>
    <row r="446" spans="2:13" x14ac:dyDescent="0.3">
      <c r="B446" s="178"/>
      <c r="C446" s="179"/>
      <c r="D446" s="180"/>
      <c r="E446" s="181"/>
      <c r="F446" s="182"/>
      <c r="G446" s="1" t="str">
        <f>IFERROR(IF(ventas_b_mes1[[#This Row],[CUIT]]="","-",VLOOKUP(ventas_b_mes1[[#This Row],[CUIT]],Lista_CUIT[#All],2,0)),"CUIT NO CARGADO")</f>
        <v>-</v>
      </c>
      <c r="H446" s="64">
        <f>ventas_b_mes1[[#This Row],[TOTAL]]/1.21</f>
        <v>0</v>
      </c>
      <c r="I446" s="183">
        <f>ventas_b_mes1[[#This Row],[IMPORTE NETO]]*0.21</f>
        <v>0</v>
      </c>
      <c r="J446" s="184"/>
      <c r="K446" s="184"/>
      <c r="L446" s="184"/>
      <c r="M446" s="59"/>
    </row>
    <row r="447" spans="2:13" x14ac:dyDescent="0.3">
      <c r="B447" s="178"/>
      <c r="C447" s="179"/>
      <c r="D447" s="180"/>
      <c r="E447" s="181"/>
      <c r="F447" s="182"/>
      <c r="G447" s="1" t="str">
        <f>IFERROR(IF(ventas_b_mes1[[#This Row],[CUIT]]="","-",VLOOKUP(ventas_b_mes1[[#This Row],[CUIT]],Lista_CUIT[#All],2,0)),"CUIT NO CARGADO")</f>
        <v>-</v>
      </c>
      <c r="H447" s="64">
        <f>ventas_b_mes1[[#This Row],[TOTAL]]/1.21</f>
        <v>0</v>
      </c>
      <c r="I447" s="183">
        <f>ventas_b_mes1[[#This Row],[IMPORTE NETO]]*0.21</f>
        <v>0</v>
      </c>
      <c r="J447" s="184"/>
      <c r="K447" s="184"/>
      <c r="L447" s="184"/>
      <c r="M447" s="59"/>
    </row>
    <row r="448" spans="2:13" x14ac:dyDescent="0.3">
      <c r="B448" s="178"/>
      <c r="C448" s="179"/>
      <c r="D448" s="180"/>
      <c r="E448" s="181"/>
      <c r="F448" s="182"/>
      <c r="G448" s="1" t="str">
        <f>IFERROR(IF(ventas_b_mes1[[#This Row],[CUIT]]="","-",VLOOKUP(ventas_b_mes1[[#This Row],[CUIT]],Lista_CUIT[#All],2,0)),"CUIT NO CARGADO")</f>
        <v>-</v>
      </c>
      <c r="H448" s="64">
        <f>ventas_b_mes1[[#This Row],[TOTAL]]/1.21</f>
        <v>0</v>
      </c>
      <c r="I448" s="183">
        <f>ventas_b_mes1[[#This Row],[IMPORTE NETO]]*0.21</f>
        <v>0</v>
      </c>
      <c r="J448" s="184"/>
      <c r="K448" s="184"/>
      <c r="L448" s="184"/>
      <c r="M448" s="59"/>
    </row>
    <row r="449" spans="2:13" x14ac:dyDescent="0.3">
      <c r="B449" s="178"/>
      <c r="C449" s="179"/>
      <c r="D449" s="180"/>
      <c r="E449" s="181"/>
      <c r="F449" s="182"/>
      <c r="G449" s="1" t="str">
        <f>IFERROR(IF(ventas_b_mes1[[#This Row],[CUIT]]="","-",VLOOKUP(ventas_b_mes1[[#This Row],[CUIT]],Lista_CUIT[#All],2,0)),"CUIT NO CARGADO")</f>
        <v>-</v>
      </c>
      <c r="H449" s="64">
        <f>ventas_b_mes1[[#This Row],[TOTAL]]/1.21</f>
        <v>0</v>
      </c>
      <c r="I449" s="183">
        <f>ventas_b_mes1[[#This Row],[IMPORTE NETO]]*0.21</f>
        <v>0</v>
      </c>
      <c r="J449" s="184"/>
      <c r="K449" s="184"/>
      <c r="L449" s="184"/>
      <c r="M449" s="59"/>
    </row>
    <row r="450" spans="2:13" x14ac:dyDescent="0.3">
      <c r="B450" s="178"/>
      <c r="C450" s="179"/>
      <c r="D450" s="180"/>
      <c r="E450" s="181"/>
      <c r="F450" s="182"/>
      <c r="G450" s="1" t="str">
        <f>IFERROR(IF(ventas_b_mes1[[#This Row],[CUIT]]="","-",VLOOKUP(ventas_b_mes1[[#This Row],[CUIT]],Lista_CUIT[#All],2,0)),"CUIT NO CARGADO")</f>
        <v>-</v>
      </c>
      <c r="H450" s="64">
        <f>ventas_b_mes1[[#This Row],[TOTAL]]/1.21</f>
        <v>0</v>
      </c>
      <c r="I450" s="183">
        <f>ventas_b_mes1[[#This Row],[IMPORTE NETO]]*0.21</f>
        <v>0</v>
      </c>
      <c r="J450" s="184"/>
      <c r="K450" s="184"/>
      <c r="L450" s="184"/>
      <c r="M450" s="59"/>
    </row>
    <row r="451" spans="2:13" x14ac:dyDescent="0.3">
      <c r="B451" s="178"/>
      <c r="C451" s="179"/>
      <c r="D451" s="180"/>
      <c r="E451" s="181"/>
      <c r="F451" s="182"/>
      <c r="G451" s="1" t="str">
        <f>IFERROR(IF(ventas_b_mes1[[#This Row],[CUIT]]="","-",VLOOKUP(ventas_b_mes1[[#This Row],[CUIT]],Lista_CUIT[#All],2,0)),"CUIT NO CARGADO")</f>
        <v>-</v>
      </c>
      <c r="H451" s="64">
        <f>ventas_b_mes1[[#This Row],[TOTAL]]/1.21</f>
        <v>0</v>
      </c>
      <c r="I451" s="183">
        <f>ventas_b_mes1[[#This Row],[IMPORTE NETO]]*0.21</f>
        <v>0</v>
      </c>
      <c r="J451" s="184"/>
      <c r="K451" s="184"/>
      <c r="L451" s="184"/>
      <c r="M451" s="59"/>
    </row>
    <row r="452" spans="2:13" x14ac:dyDescent="0.3">
      <c r="B452" s="178"/>
      <c r="C452" s="179"/>
      <c r="D452" s="180"/>
      <c r="E452" s="181"/>
      <c r="F452" s="182"/>
      <c r="G452" s="1" t="str">
        <f>IFERROR(IF(ventas_b_mes1[[#This Row],[CUIT]]="","-",VLOOKUP(ventas_b_mes1[[#This Row],[CUIT]],Lista_CUIT[#All],2,0)),"CUIT NO CARGADO")</f>
        <v>-</v>
      </c>
      <c r="H452" s="64">
        <f>ventas_b_mes1[[#This Row],[TOTAL]]/1.21</f>
        <v>0</v>
      </c>
      <c r="I452" s="183">
        <f>ventas_b_mes1[[#This Row],[IMPORTE NETO]]*0.21</f>
        <v>0</v>
      </c>
      <c r="J452" s="184"/>
      <c r="K452" s="184"/>
      <c r="L452" s="184"/>
      <c r="M452" s="59"/>
    </row>
    <row r="453" spans="2:13" x14ac:dyDescent="0.3">
      <c r="B453" s="178"/>
      <c r="C453" s="179"/>
      <c r="D453" s="180"/>
      <c r="E453" s="181"/>
      <c r="F453" s="182"/>
      <c r="G453" s="1" t="str">
        <f>IFERROR(IF(ventas_b_mes1[[#This Row],[CUIT]]="","-",VLOOKUP(ventas_b_mes1[[#This Row],[CUIT]],Lista_CUIT[#All],2,0)),"CUIT NO CARGADO")</f>
        <v>-</v>
      </c>
      <c r="H453" s="64">
        <f>ventas_b_mes1[[#This Row],[TOTAL]]/1.21</f>
        <v>0</v>
      </c>
      <c r="I453" s="183">
        <f>ventas_b_mes1[[#This Row],[IMPORTE NETO]]*0.21</f>
        <v>0</v>
      </c>
      <c r="J453" s="184"/>
      <c r="K453" s="184"/>
      <c r="L453" s="184"/>
      <c r="M453" s="59"/>
    </row>
    <row r="454" spans="2:13" x14ac:dyDescent="0.3">
      <c r="B454" s="178"/>
      <c r="C454" s="179"/>
      <c r="D454" s="180"/>
      <c r="E454" s="181"/>
      <c r="F454" s="182"/>
      <c r="G454" s="1" t="str">
        <f>IFERROR(IF(ventas_b_mes1[[#This Row],[CUIT]]="","-",VLOOKUP(ventas_b_mes1[[#This Row],[CUIT]],Lista_CUIT[#All],2,0)),"CUIT NO CARGADO")</f>
        <v>-</v>
      </c>
      <c r="H454" s="64">
        <f>ventas_b_mes1[[#This Row],[TOTAL]]/1.21</f>
        <v>0</v>
      </c>
      <c r="I454" s="183">
        <f>ventas_b_mes1[[#This Row],[IMPORTE NETO]]*0.21</f>
        <v>0</v>
      </c>
      <c r="J454" s="184"/>
      <c r="K454" s="184"/>
      <c r="L454" s="184"/>
      <c r="M454" s="59"/>
    </row>
    <row r="455" spans="2:13" x14ac:dyDescent="0.3">
      <c r="B455" s="178"/>
      <c r="C455" s="179"/>
      <c r="D455" s="180"/>
      <c r="E455" s="181"/>
      <c r="F455" s="182"/>
      <c r="G455" s="1" t="str">
        <f>IFERROR(IF(ventas_b_mes1[[#This Row],[CUIT]]="","-",VLOOKUP(ventas_b_mes1[[#This Row],[CUIT]],Lista_CUIT[#All],2,0)),"CUIT NO CARGADO")</f>
        <v>-</v>
      </c>
      <c r="H455" s="64">
        <f>ventas_b_mes1[[#This Row],[TOTAL]]/1.21</f>
        <v>0</v>
      </c>
      <c r="I455" s="183">
        <f>ventas_b_mes1[[#This Row],[IMPORTE NETO]]*0.21</f>
        <v>0</v>
      </c>
      <c r="J455" s="184"/>
      <c r="K455" s="184"/>
      <c r="L455" s="184"/>
      <c r="M455" s="59"/>
    </row>
    <row r="456" spans="2:13" x14ac:dyDescent="0.3">
      <c r="B456" s="178"/>
      <c r="C456" s="179"/>
      <c r="D456" s="180"/>
      <c r="E456" s="181"/>
      <c r="F456" s="182"/>
      <c r="G456" s="1" t="str">
        <f>IFERROR(IF(ventas_b_mes1[[#This Row],[CUIT]]="","-",VLOOKUP(ventas_b_mes1[[#This Row],[CUIT]],Lista_CUIT[#All],2,0)),"CUIT NO CARGADO")</f>
        <v>-</v>
      </c>
      <c r="H456" s="64">
        <f>ventas_b_mes1[[#This Row],[TOTAL]]/1.21</f>
        <v>0</v>
      </c>
      <c r="I456" s="183">
        <f>ventas_b_mes1[[#This Row],[IMPORTE NETO]]*0.21</f>
        <v>0</v>
      </c>
      <c r="J456" s="184"/>
      <c r="K456" s="184"/>
      <c r="L456" s="184"/>
      <c r="M456" s="59"/>
    </row>
    <row r="457" spans="2:13" x14ac:dyDescent="0.3">
      <c r="B457" s="178"/>
      <c r="C457" s="179"/>
      <c r="D457" s="180"/>
      <c r="E457" s="181"/>
      <c r="F457" s="182"/>
      <c r="G457" s="1" t="str">
        <f>IFERROR(IF(ventas_b_mes1[[#This Row],[CUIT]]="","-",VLOOKUP(ventas_b_mes1[[#This Row],[CUIT]],Lista_CUIT[#All],2,0)),"CUIT NO CARGADO")</f>
        <v>-</v>
      </c>
      <c r="H457" s="64">
        <f>ventas_b_mes1[[#This Row],[TOTAL]]/1.21</f>
        <v>0</v>
      </c>
      <c r="I457" s="183">
        <f>ventas_b_mes1[[#This Row],[IMPORTE NETO]]*0.21</f>
        <v>0</v>
      </c>
      <c r="J457" s="184"/>
      <c r="K457" s="184"/>
      <c r="L457" s="184"/>
      <c r="M457" s="59"/>
    </row>
    <row r="458" spans="2:13" x14ac:dyDescent="0.3">
      <c r="B458" s="178"/>
      <c r="C458" s="179"/>
      <c r="D458" s="180"/>
      <c r="E458" s="181"/>
      <c r="F458" s="182"/>
      <c r="G458" s="1" t="str">
        <f>IFERROR(IF(ventas_b_mes1[[#This Row],[CUIT]]="","-",VLOOKUP(ventas_b_mes1[[#This Row],[CUIT]],Lista_CUIT[#All],2,0)),"CUIT NO CARGADO")</f>
        <v>-</v>
      </c>
      <c r="H458" s="64">
        <f>ventas_b_mes1[[#This Row],[TOTAL]]/1.21</f>
        <v>0</v>
      </c>
      <c r="I458" s="183">
        <f>ventas_b_mes1[[#This Row],[IMPORTE NETO]]*0.21</f>
        <v>0</v>
      </c>
      <c r="J458" s="184"/>
      <c r="K458" s="184"/>
      <c r="L458" s="184"/>
      <c r="M458" s="59"/>
    </row>
    <row r="459" spans="2:13" x14ac:dyDescent="0.3">
      <c r="B459" s="178"/>
      <c r="C459" s="179"/>
      <c r="D459" s="180"/>
      <c r="E459" s="181"/>
      <c r="F459" s="182"/>
      <c r="G459" s="1" t="str">
        <f>IFERROR(IF(ventas_b_mes1[[#This Row],[CUIT]]="","-",VLOOKUP(ventas_b_mes1[[#This Row],[CUIT]],Lista_CUIT[#All],2,0)),"CUIT NO CARGADO")</f>
        <v>-</v>
      </c>
      <c r="H459" s="64">
        <f>ventas_b_mes1[[#This Row],[TOTAL]]/1.21</f>
        <v>0</v>
      </c>
      <c r="I459" s="183">
        <f>ventas_b_mes1[[#This Row],[IMPORTE NETO]]*0.21</f>
        <v>0</v>
      </c>
      <c r="J459" s="184"/>
      <c r="K459" s="184"/>
      <c r="L459" s="184"/>
      <c r="M459" s="59"/>
    </row>
    <row r="460" spans="2:13" x14ac:dyDescent="0.3">
      <c r="B460" s="178"/>
      <c r="C460" s="179"/>
      <c r="D460" s="180"/>
      <c r="E460" s="181"/>
      <c r="F460" s="182"/>
      <c r="G460" s="1" t="str">
        <f>IFERROR(IF(ventas_b_mes1[[#This Row],[CUIT]]="","-",VLOOKUP(ventas_b_mes1[[#This Row],[CUIT]],Lista_CUIT[#All],2,0)),"CUIT NO CARGADO")</f>
        <v>-</v>
      </c>
      <c r="H460" s="64">
        <f>ventas_b_mes1[[#This Row],[TOTAL]]/1.21</f>
        <v>0</v>
      </c>
      <c r="I460" s="183">
        <f>ventas_b_mes1[[#This Row],[IMPORTE NETO]]*0.21</f>
        <v>0</v>
      </c>
      <c r="J460" s="184"/>
      <c r="K460" s="184"/>
      <c r="L460" s="184"/>
      <c r="M460" s="59"/>
    </row>
    <row r="461" spans="2:13" x14ac:dyDescent="0.3">
      <c r="B461" s="178"/>
      <c r="C461" s="179"/>
      <c r="D461" s="180"/>
      <c r="E461" s="181"/>
      <c r="F461" s="182"/>
      <c r="G461" s="1" t="str">
        <f>IFERROR(IF(ventas_b_mes1[[#This Row],[CUIT]]="","-",VLOOKUP(ventas_b_mes1[[#This Row],[CUIT]],Lista_CUIT[#All],2,0)),"CUIT NO CARGADO")</f>
        <v>-</v>
      </c>
      <c r="H461" s="64">
        <f>ventas_b_mes1[[#This Row],[TOTAL]]/1.21</f>
        <v>0</v>
      </c>
      <c r="I461" s="183">
        <f>ventas_b_mes1[[#This Row],[IMPORTE NETO]]*0.21</f>
        <v>0</v>
      </c>
      <c r="J461" s="184"/>
      <c r="K461" s="184"/>
      <c r="L461" s="184"/>
      <c r="M461" s="59"/>
    </row>
    <row r="462" spans="2:13" x14ac:dyDescent="0.3">
      <c r="B462" s="178"/>
      <c r="C462" s="179"/>
      <c r="D462" s="180"/>
      <c r="E462" s="181"/>
      <c r="F462" s="182"/>
      <c r="G462" s="1" t="str">
        <f>IFERROR(IF(ventas_b_mes1[[#This Row],[CUIT]]="","-",VLOOKUP(ventas_b_mes1[[#This Row],[CUIT]],Lista_CUIT[#All],2,0)),"CUIT NO CARGADO")</f>
        <v>-</v>
      </c>
      <c r="H462" s="64">
        <f>ventas_b_mes1[[#This Row],[TOTAL]]/1.21</f>
        <v>0</v>
      </c>
      <c r="I462" s="183">
        <f>ventas_b_mes1[[#This Row],[IMPORTE NETO]]*0.21</f>
        <v>0</v>
      </c>
      <c r="J462" s="184"/>
      <c r="K462" s="184"/>
      <c r="L462" s="184"/>
      <c r="M462" s="59"/>
    </row>
    <row r="463" spans="2:13" x14ac:dyDescent="0.3">
      <c r="B463" s="178"/>
      <c r="C463" s="179"/>
      <c r="D463" s="180"/>
      <c r="E463" s="181"/>
      <c r="F463" s="182"/>
      <c r="G463" s="1" t="str">
        <f>IFERROR(IF(ventas_b_mes1[[#This Row],[CUIT]]="","-",VLOOKUP(ventas_b_mes1[[#This Row],[CUIT]],Lista_CUIT[#All],2,0)),"CUIT NO CARGADO")</f>
        <v>-</v>
      </c>
      <c r="H463" s="64">
        <f>ventas_b_mes1[[#This Row],[TOTAL]]/1.21</f>
        <v>0</v>
      </c>
      <c r="I463" s="183">
        <f>ventas_b_mes1[[#This Row],[IMPORTE NETO]]*0.21</f>
        <v>0</v>
      </c>
      <c r="J463" s="184"/>
      <c r="K463" s="184"/>
      <c r="L463" s="184"/>
      <c r="M463" s="59"/>
    </row>
    <row r="464" spans="2:13" x14ac:dyDescent="0.3">
      <c r="B464" s="178"/>
      <c r="C464" s="179"/>
      <c r="D464" s="180"/>
      <c r="E464" s="181"/>
      <c r="F464" s="182"/>
      <c r="G464" s="1" t="str">
        <f>IFERROR(IF(ventas_b_mes1[[#This Row],[CUIT]]="","-",VLOOKUP(ventas_b_mes1[[#This Row],[CUIT]],Lista_CUIT[#All],2,0)),"CUIT NO CARGADO")</f>
        <v>-</v>
      </c>
      <c r="H464" s="64">
        <f>ventas_b_mes1[[#This Row],[TOTAL]]/1.21</f>
        <v>0</v>
      </c>
      <c r="I464" s="183">
        <f>ventas_b_mes1[[#This Row],[IMPORTE NETO]]*0.21</f>
        <v>0</v>
      </c>
      <c r="J464" s="184"/>
      <c r="K464" s="184"/>
      <c r="L464" s="184"/>
      <c r="M464" s="59"/>
    </row>
    <row r="465" spans="2:13" x14ac:dyDescent="0.3">
      <c r="B465" s="178"/>
      <c r="C465" s="179"/>
      <c r="D465" s="180"/>
      <c r="E465" s="181"/>
      <c r="F465" s="182"/>
      <c r="G465" s="1" t="str">
        <f>IFERROR(IF(ventas_b_mes1[[#This Row],[CUIT]]="","-",VLOOKUP(ventas_b_mes1[[#This Row],[CUIT]],Lista_CUIT[#All],2,0)),"CUIT NO CARGADO")</f>
        <v>-</v>
      </c>
      <c r="H465" s="64">
        <f>ventas_b_mes1[[#This Row],[TOTAL]]/1.21</f>
        <v>0</v>
      </c>
      <c r="I465" s="183">
        <f>ventas_b_mes1[[#This Row],[IMPORTE NETO]]*0.21</f>
        <v>0</v>
      </c>
      <c r="J465" s="184"/>
      <c r="K465" s="184"/>
      <c r="L465" s="184"/>
      <c r="M465" s="59"/>
    </row>
    <row r="466" spans="2:13" x14ac:dyDescent="0.3">
      <c r="B466" s="178"/>
      <c r="C466" s="179"/>
      <c r="D466" s="180"/>
      <c r="E466" s="181"/>
      <c r="F466" s="182"/>
      <c r="G466" s="1" t="str">
        <f>IFERROR(IF(ventas_b_mes1[[#This Row],[CUIT]]="","-",VLOOKUP(ventas_b_mes1[[#This Row],[CUIT]],Lista_CUIT[#All],2,0)),"CUIT NO CARGADO")</f>
        <v>-</v>
      </c>
      <c r="H466" s="64">
        <f>ventas_b_mes1[[#This Row],[TOTAL]]/1.21</f>
        <v>0</v>
      </c>
      <c r="I466" s="183">
        <f>ventas_b_mes1[[#This Row],[IMPORTE NETO]]*0.21</f>
        <v>0</v>
      </c>
      <c r="J466" s="184"/>
      <c r="K466" s="184"/>
      <c r="L466" s="184"/>
      <c r="M466" s="59"/>
    </row>
    <row r="467" spans="2:13" x14ac:dyDescent="0.3">
      <c r="B467" s="178"/>
      <c r="C467" s="179"/>
      <c r="D467" s="180"/>
      <c r="E467" s="181"/>
      <c r="F467" s="182"/>
      <c r="G467" s="1" t="str">
        <f>IFERROR(IF(ventas_b_mes1[[#This Row],[CUIT]]="","-",VLOOKUP(ventas_b_mes1[[#This Row],[CUIT]],Lista_CUIT[#All],2,0)),"CUIT NO CARGADO")</f>
        <v>-</v>
      </c>
      <c r="H467" s="64">
        <f>ventas_b_mes1[[#This Row],[TOTAL]]/1.21</f>
        <v>0</v>
      </c>
      <c r="I467" s="183">
        <f>ventas_b_mes1[[#This Row],[IMPORTE NETO]]*0.21</f>
        <v>0</v>
      </c>
      <c r="J467" s="184"/>
      <c r="K467" s="184"/>
      <c r="L467" s="184"/>
      <c r="M467" s="59"/>
    </row>
    <row r="468" spans="2:13" x14ac:dyDescent="0.3">
      <c r="B468" s="178"/>
      <c r="C468" s="179"/>
      <c r="D468" s="180"/>
      <c r="E468" s="181"/>
      <c r="F468" s="182"/>
      <c r="G468" s="1" t="str">
        <f>IFERROR(IF(ventas_b_mes1[[#This Row],[CUIT]]="","-",VLOOKUP(ventas_b_mes1[[#This Row],[CUIT]],Lista_CUIT[#All],2,0)),"CUIT NO CARGADO")</f>
        <v>-</v>
      </c>
      <c r="H468" s="64">
        <f>ventas_b_mes1[[#This Row],[TOTAL]]/1.21</f>
        <v>0</v>
      </c>
      <c r="I468" s="183">
        <f>ventas_b_mes1[[#This Row],[IMPORTE NETO]]*0.21</f>
        <v>0</v>
      </c>
      <c r="J468" s="184"/>
      <c r="K468" s="184"/>
      <c r="L468" s="184"/>
      <c r="M468" s="59"/>
    </row>
    <row r="469" spans="2:13" x14ac:dyDescent="0.3">
      <c r="B469" s="178"/>
      <c r="C469" s="179"/>
      <c r="D469" s="180"/>
      <c r="E469" s="181"/>
      <c r="F469" s="182"/>
      <c r="G469" s="1" t="str">
        <f>IFERROR(IF(ventas_b_mes1[[#This Row],[CUIT]]="","-",VLOOKUP(ventas_b_mes1[[#This Row],[CUIT]],Lista_CUIT[#All],2,0)),"CUIT NO CARGADO")</f>
        <v>-</v>
      </c>
      <c r="H469" s="64">
        <f>ventas_b_mes1[[#This Row],[TOTAL]]/1.21</f>
        <v>0</v>
      </c>
      <c r="I469" s="183">
        <f>ventas_b_mes1[[#This Row],[IMPORTE NETO]]*0.21</f>
        <v>0</v>
      </c>
      <c r="J469" s="184"/>
      <c r="K469" s="184"/>
      <c r="L469" s="184"/>
      <c r="M469" s="59"/>
    </row>
    <row r="470" spans="2:13" x14ac:dyDescent="0.3">
      <c r="B470" s="178"/>
      <c r="C470" s="179"/>
      <c r="D470" s="180"/>
      <c r="E470" s="181"/>
      <c r="F470" s="182"/>
      <c r="G470" s="1" t="str">
        <f>IFERROR(IF(ventas_b_mes1[[#This Row],[CUIT]]="","-",VLOOKUP(ventas_b_mes1[[#This Row],[CUIT]],Lista_CUIT[#All],2,0)),"CUIT NO CARGADO")</f>
        <v>-</v>
      </c>
      <c r="H470" s="64">
        <f>ventas_b_mes1[[#This Row],[TOTAL]]/1.21</f>
        <v>0</v>
      </c>
      <c r="I470" s="183">
        <f>ventas_b_mes1[[#This Row],[IMPORTE NETO]]*0.21</f>
        <v>0</v>
      </c>
      <c r="J470" s="184"/>
      <c r="K470" s="184"/>
      <c r="L470" s="184"/>
      <c r="M470" s="59"/>
    </row>
    <row r="471" spans="2:13" x14ac:dyDescent="0.3">
      <c r="B471" s="178"/>
      <c r="C471" s="179"/>
      <c r="D471" s="180"/>
      <c r="E471" s="181"/>
      <c r="F471" s="182"/>
      <c r="G471" s="1" t="str">
        <f>IFERROR(IF(ventas_b_mes1[[#This Row],[CUIT]]="","-",VLOOKUP(ventas_b_mes1[[#This Row],[CUIT]],Lista_CUIT[#All],2,0)),"CUIT NO CARGADO")</f>
        <v>-</v>
      </c>
      <c r="H471" s="64">
        <f>ventas_b_mes1[[#This Row],[TOTAL]]/1.21</f>
        <v>0</v>
      </c>
      <c r="I471" s="183">
        <f>ventas_b_mes1[[#This Row],[IMPORTE NETO]]*0.21</f>
        <v>0</v>
      </c>
      <c r="J471" s="184"/>
      <c r="K471" s="184"/>
      <c r="L471" s="184"/>
      <c r="M471" s="59"/>
    </row>
    <row r="472" spans="2:13" x14ac:dyDescent="0.3">
      <c r="B472" s="178"/>
      <c r="C472" s="179"/>
      <c r="D472" s="180"/>
      <c r="E472" s="181"/>
      <c r="F472" s="182"/>
      <c r="G472" s="1" t="str">
        <f>IFERROR(IF(ventas_b_mes1[[#This Row],[CUIT]]="","-",VLOOKUP(ventas_b_mes1[[#This Row],[CUIT]],Lista_CUIT[#All],2,0)),"CUIT NO CARGADO")</f>
        <v>-</v>
      </c>
      <c r="H472" s="64">
        <f>ventas_b_mes1[[#This Row],[TOTAL]]/1.21</f>
        <v>0</v>
      </c>
      <c r="I472" s="183">
        <f>ventas_b_mes1[[#This Row],[IMPORTE NETO]]*0.21</f>
        <v>0</v>
      </c>
      <c r="J472" s="184"/>
      <c r="K472" s="184"/>
      <c r="L472" s="184"/>
      <c r="M472" s="59"/>
    </row>
    <row r="473" spans="2:13" x14ac:dyDescent="0.3">
      <c r="B473" s="178"/>
      <c r="C473" s="179"/>
      <c r="D473" s="180"/>
      <c r="E473" s="181"/>
      <c r="F473" s="182"/>
      <c r="G473" s="1" t="str">
        <f>IFERROR(IF(ventas_b_mes1[[#This Row],[CUIT]]="","-",VLOOKUP(ventas_b_mes1[[#This Row],[CUIT]],Lista_CUIT[#All],2,0)),"CUIT NO CARGADO")</f>
        <v>-</v>
      </c>
      <c r="H473" s="64">
        <f>ventas_b_mes1[[#This Row],[TOTAL]]/1.21</f>
        <v>0</v>
      </c>
      <c r="I473" s="183">
        <f>ventas_b_mes1[[#This Row],[IMPORTE NETO]]*0.21</f>
        <v>0</v>
      </c>
      <c r="J473" s="184"/>
      <c r="K473" s="184"/>
      <c r="L473" s="184"/>
      <c r="M473" s="59"/>
    </row>
    <row r="474" spans="2:13" x14ac:dyDescent="0.3">
      <c r="B474" s="178"/>
      <c r="C474" s="179"/>
      <c r="D474" s="180"/>
      <c r="E474" s="181"/>
      <c r="F474" s="182"/>
      <c r="G474" s="1" t="str">
        <f>IFERROR(IF(ventas_b_mes1[[#This Row],[CUIT]]="","-",VLOOKUP(ventas_b_mes1[[#This Row],[CUIT]],Lista_CUIT[#All],2,0)),"CUIT NO CARGADO")</f>
        <v>-</v>
      </c>
      <c r="H474" s="64">
        <f>ventas_b_mes1[[#This Row],[TOTAL]]/1.21</f>
        <v>0</v>
      </c>
      <c r="I474" s="183">
        <f>ventas_b_mes1[[#This Row],[IMPORTE NETO]]*0.21</f>
        <v>0</v>
      </c>
      <c r="J474" s="184"/>
      <c r="K474" s="184"/>
      <c r="L474" s="184"/>
      <c r="M474" s="59"/>
    </row>
    <row r="475" spans="2:13" x14ac:dyDescent="0.3">
      <c r="B475" s="178"/>
      <c r="C475" s="179"/>
      <c r="D475" s="180"/>
      <c r="E475" s="181"/>
      <c r="F475" s="182"/>
      <c r="G475" s="1" t="str">
        <f>IFERROR(IF(ventas_b_mes1[[#This Row],[CUIT]]="","-",VLOOKUP(ventas_b_mes1[[#This Row],[CUIT]],Lista_CUIT[#All],2,0)),"CUIT NO CARGADO")</f>
        <v>-</v>
      </c>
      <c r="H475" s="64">
        <f>ventas_b_mes1[[#This Row],[TOTAL]]/1.21</f>
        <v>0</v>
      </c>
      <c r="I475" s="183">
        <f>ventas_b_mes1[[#This Row],[IMPORTE NETO]]*0.21</f>
        <v>0</v>
      </c>
      <c r="J475" s="184"/>
      <c r="K475" s="184"/>
      <c r="L475" s="184"/>
      <c r="M475" s="59"/>
    </row>
    <row r="476" spans="2:13" x14ac:dyDescent="0.3">
      <c r="B476" s="178"/>
      <c r="C476" s="179"/>
      <c r="D476" s="180"/>
      <c r="E476" s="181"/>
      <c r="F476" s="182"/>
      <c r="G476" s="1" t="str">
        <f>IFERROR(IF(ventas_b_mes1[[#This Row],[CUIT]]="","-",VLOOKUP(ventas_b_mes1[[#This Row],[CUIT]],Lista_CUIT[#All],2,0)),"CUIT NO CARGADO")</f>
        <v>-</v>
      </c>
      <c r="H476" s="64">
        <f>ventas_b_mes1[[#This Row],[TOTAL]]/1.21</f>
        <v>0</v>
      </c>
      <c r="I476" s="183">
        <f>ventas_b_mes1[[#This Row],[IMPORTE NETO]]*0.21</f>
        <v>0</v>
      </c>
      <c r="J476" s="184"/>
      <c r="K476" s="184"/>
      <c r="L476" s="184"/>
      <c r="M476" s="59"/>
    </row>
    <row r="477" spans="2:13" x14ac:dyDescent="0.3">
      <c r="B477" s="178"/>
      <c r="C477" s="179"/>
      <c r="D477" s="180"/>
      <c r="E477" s="181"/>
      <c r="F477" s="182"/>
      <c r="G477" s="1" t="str">
        <f>IFERROR(IF(ventas_b_mes1[[#This Row],[CUIT]]="","-",VLOOKUP(ventas_b_mes1[[#This Row],[CUIT]],Lista_CUIT[#All],2,0)),"CUIT NO CARGADO")</f>
        <v>-</v>
      </c>
      <c r="H477" s="64">
        <f>ventas_b_mes1[[#This Row],[TOTAL]]/1.21</f>
        <v>0</v>
      </c>
      <c r="I477" s="183">
        <f>ventas_b_mes1[[#This Row],[IMPORTE NETO]]*0.21</f>
        <v>0</v>
      </c>
      <c r="J477" s="184"/>
      <c r="K477" s="184"/>
      <c r="L477" s="184"/>
      <c r="M477" s="59"/>
    </row>
    <row r="478" spans="2:13" x14ac:dyDescent="0.3">
      <c r="B478" s="178"/>
      <c r="C478" s="179"/>
      <c r="D478" s="180"/>
      <c r="E478" s="181"/>
      <c r="F478" s="182"/>
      <c r="G478" s="1" t="str">
        <f>IFERROR(IF(ventas_b_mes1[[#This Row],[CUIT]]="","-",VLOOKUP(ventas_b_mes1[[#This Row],[CUIT]],Lista_CUIT[#All],2,0)),"CUIT NO CARGADO")</f>
        <v>-</v>
      </c>
      <c r="H478" s="64">
        <f>ventas_b_mes1[[#This Row],[TOTAL]]/1.21</f>
        <v>0</v>
      </c>
      <c r="I478" s="183">
        <f>ventas_b_mes1[[#This Row],[IMPORTE NETO]]*0.21</f>
        <v>0</v>
      </c>
      <c r="J478" s="184"/>
      <c r="K478" s="184"/>
      <c r="L478" s="184"/>
      <c r="M478" s="59"/>
    </row>
    <row r="479" spans="2:13" x14ac:dyDescent="0.3">
      <c r="B479" s="178"/>
      <c r="C479" s="179"/>
      <c r="D479" s="180"/>
      <c r="E479" s="181"/>
      <c r="F479" s="182"/>
      <c r="G479" s="1" t="str">
        <f>IFERROR(IF(ventas_b_mes1[[#This Row],[CUIT]]="","-",VLOOKUP(ventas_b_mes1[[#This Row],[CUIT]],Lista_CUIT[#All],2,0)),"CUIT NO CARGADO")</f>
        <v>-</v>
      </c>
      <c r="H479" s="64">
        <f>ventas_b_mes1[[#This Row],[TOTAL]]/1.21</f>
        <v>0</v>
      </c>
      <c r="I479" s="183">
        <f>ventas_b_mes1[[#This Row],[IMPORTE NETO]]*0.21</f>
        <v>0</v>
      </c>
      <c r="J479" s="184"/>
      <c r="K479" s="184"/>
      <c r="L479" s="184"/>
      <c r="M479" s="59"/>
    </row>
    <row r="480" spans="2:13" x14ac:dyDescent="0.3">
      <c r="B480" s="178"/>
      <c r="C480" s="179"/>
      <c r="D480" s="180"/>
      <c r="E480" s="181"/>
      <c r="F480" s="182"/>
      <c r="G480" s="1" t="str">
        <f>IFERROR(IF(ventas_b_mes1[[#This Row],[CUIT]]="","-",VLOOKUP(ventas_b_mes1[[#This Row],[CUIT]],Lista_CUIT[#All],2,0)),"CUIT NO CARGADO")</f>
        <v>-</v>
      </c>
      <c r="H480" s="64">
        <f>ventas_b_mes1[[#This Row],[TOTAL]]/1.21</f>
        <v>0</v>
      </c>
      <c r="I480" s="183">
        <f>ventas_b_mes1[[#This Row],[IMPORTE NETO]]*0.21</f>
        <v>0</v>
      </c>
      <c r="J480" s="184"/>
      <c r="K480" s="184"/>
      <c r="L480" s="184"/>
      <c r="M480" s="59"/>
    </row>
    <row r="481" spans="2:13" x14ac:dyDescent="0.3">
      <c r="B481" s="178"/>
      <c r="C481" s="179"/>
      <c r="D481" s="180"/>
      <c r="E481" s="181"/>
      <c r="F481" s="182"/>
      <c r="G481" s="1" t="str">
        <f>IFERROR(IF(ventas_b_mes1[[#This Row],[CUIT]]="","-",VLOOKUP(ventas_b_mes1[[#This Row],[CUIT]],Lista_CUIT[#All],2,0)),"CUIT NO CARGADO")</f>
        <v>-</v>
      </c>
      <c r="H481" s="64">
        <f>ventas_b_mes1[[#This Row],[TOTAL]]/1.21</f>
        <v>0</v>
      </c>
      <c r="I481" s="183">
        <f>ventas_b_mes1[[#This Row],[IMPORTE NETO]]*0.21</f>
        <v>0</v>
      </c>
      <c r="J481" s="184"/>
      <c r="K481" s="184"/>
      <c r="L481" s="184"/>
      <c r="M481" s="59"/>
    </row>
    <row r="482" spans="2:13" x14ac:dyDescent="0.3">
      <c r="B482" s="178"/>
      <c r="C482" s="179"/>
      <c r="D482" s="180"/>
      <c r="E482" s="181"/>
      <c r="F482" s="182"/>
      <c r="G482" s="1" t="str">
        <f>IFERROR(IF(ventas_b_mes1[[#This Row],[CUIT]]="","-",VLOOKUP(ventas_b_mes1[[#This Row],[CUIT]],Lista_CUIT[#All],2,0)),"CUIT NO CARGADO")</f>
        <v>-</v>
      </c>
      <c r="H482" s="64">
        <f>ventas_b_mes1[[#This Row],[TOTAL]]/1.21</f>
        <v>0</v>
      </c>
      <c r="I482" s="183">
        <f>ventas_b_mes1[[#This Row],[IMPORTE NETO]]*0.21</f>
        <v>0</v>
      </c>
      <c r="J482" s="184"/>
      <c r="K482" s="184"/>
      <c r="L482" s="184"/>
      <c r="M482" s="59"/>
    </row>
    <row r="483" spans="2:13" x14ac:dyDescent="0.3">
      <c r="B483" s="178"/>
      <c r="C483" s="179"/>
      <c r="D483" s="180"/>
      <c r="E483" s="181"/>
      <c r="F483" s="182"/>
      <c r="G483" s="1" t="str">
        <f>IFERROR(IF(ventas_b_mes1[[#This Row],[CUIT]]="","-",VLOOKUP(ventas_b_mes1[[#This Row],[CUIT]],Lista_CUIT[#All],2,0)),"CUIT NO CARGADO")</f>
        <v>-</v>
      </c>
      <c r="H483" s="64">
        <f>ventas_b_mes1[[#This Row],[TOTAL]]/1.21</f>
        <v>0</v>
      </c>
      <c r="I483" s="183">
        <f>ventas_b_mes1[[#This Row],[IMPORTE NETO]]*0.21</f>
        <v>0</v>
      </c>
      <c r="J483" s="184"/>
      <c r="K483" s="184"/>
      <c r="L483" s="184"/>
      <c r="M483" s="59"/>
    </row>
    <row r="484" spans="2:13" x14ac:dyDescent="0.3">
      <c r="B484" s="178"/>
      <c r="C484" s="179"/>
      <c r="D484" s="180"/>
      <c r="E484" s="181"/>
      <c r="F484" s="182"/>
      <c r="G484" s="1" t="str">
        <f>IFERROR(IF(ventas_b_mes1[[#This Row],[CUIT]]="","-",VLOOKUP(ventas_b_mes1[[#This Row],[CUIT]],Lista_CUIT[#All],2,0)),"CUIT NO CARGADO")</f>
        <v>-</v>
      </c>
      <c r="H484" s="64">
        <f>ventas_b_mes1[[#This Row],[TOTAL]]/1.21</f>
        <v>0</v>
      </c>
      <c r="I484" s="183">
        <f>ventas_b_mes1[[#This Row],[IMPORTE NETO]]*0.21</f>
        <v>0</v>
      </c>
      <c r="J484" s="184"/>
      <c r="K484" s="184"/>
      <c r="L484" s="184"/>
      <c r="M484" s="59"/>
    </row>
    <row r="485" spans="2:13" x14ac:dyDescent="0.3">
      <c r="B485" s="178"/>
      <c r="C485" s="179"/>
      <c r="D485" s="180"/>
      <c r="E485" s="181"/>
      <c r="F485" s="182"/>
      <c r="G485" s="1" t="str">
        <f>IFERROR(IF(ventas_b_mes1[[#This Row],[CUIT]]="","-",VLOOKUP(ventas_b_mes1[[#This Row],[CUIT]],Lista_CUIT[#All],2,0)),"CUIT NO CARGADO")</f>
        <v>-</v>
      </c>
      <c r="H485" s="64">
        <f>ventas_b_mes1[[#This Row],[TOTAL]]/1.21</f>
        <v>0</v>
      </c>
      <c r="I485" s="183">
        <f>ventas_b_mes1[[#This Row],[IMPORTE NETO]]*0.21</f>
        <v>0</v>
      </c>
      <c r="J485" s="184"/>
      <c r="K485" s="184"/>
      <c r="L485" s="184"/>
      <c r="M485" s="59"/>
    </row>
    <row r="486" spans="2:13" x14ac:dyDescent="0.3">
      <c r="B486" s="178"/>
      <c r="C486" s="179"/>
      <c r="D486" s="180"/>
      <c r="E486" s="181"/>
      <c r="F486" s="182"/>
      <c r="G486" s="1" t="str">
        <f>IFERROR(IF(ventas_b_mes1[[#This Row],[CUIT]]="","-",VLOOKUP(ventas_b_mes1[[#This Row],[CUIT]],Lista_CUIT[#All],2,0)),"CUIT NO CARGADO")</f>
        <v>-</v>
      </c>
      <c r="H486" s="64">
        <f>ventas_b_mes1[[#This Row],[TOTAL]]/1.21</f>
        <v>0</v>
      </c>
      <c r="I486" s="183">
        <f>ventas_b_mes1[[#This Row],[IMPORTE NETO]]*0.21</f>
        <v>0</v>
      </c>
      <c r="J486" s="184"/>
      <c r="K486" s="184"/>
      <c r="L486" s="184"/>
      <c r="M486" s="59"/>
    </row>
    <row r="487" spans="2:13" x14ac:dyDescent="0.3">
      <c r="B487" s="178"/>
      <c r="C487" s="179"/>
      <c r="D487" s="180"/>
      <c r="E487" s="181"/>
      <c r="F487" s="182"/>
      <c r="G487" s="1" t="str">
        <f>IFERROR(IF(ventas_b_mes1[[#This Row],[CUIT]]="","-",VLOOKUP(ventas_b_mes1[[#This Row],[CUIT]],Lista_CUIT[#All],2,0)),"CUIT NO CARGADO")</f>
        <v>-</v>
      </c>
      <c r="H487" s="64">
        <f>ventas_b_mes1[[#This Row],[TOTAL]]/1.21</f>
        <v>0</v>
      </c>
      <c r="I487" s="183">
        <f>ventas_b_mes1[[#This Row],[IMPORTE NETO]]*0.21</f>
        <v>0</v>
      </c>
      <c r="J487" s="184"/>
      <c r="K487" s="184"/>
      <c r="L487" s="184"/>
      <c r="M487" s="59"/>
    </row>
    <row r="488" spans="2:13" x14ac:dyDescent="0.3">
      <c r="B488" s="178"/>
      <c r="C488" s="179"/>
      <c r="D488" s="180"/>
      <c r="E488" s="181"/>
      <c r="F488" s="182"/>
      <c r="G488" s="1" t="str">
        <f>IFERROR(IF(ventas_b_mes1[[#This Row],[CUIT]]="","-",VLOOKUP(ventas_b_mes1[[#This Row],[CUIT]],Lista_CUIT[#All],2,0)),"CUIT NO CARGADO")</f>
        <v>-</v>
      </c>
      <c r="H488" s="64">
        <f>ventas_b_mes1[[#This Row],[TOTAL]]/1.21</f>
        <v>0</v>
      </c>
      <c r="I488" s="183">
        <f>ventas_b_mes1[[#This Row],[IMPORTE NETO]]*0.21</f>
        <v>0</v>
      </c>
      <c r="J488" s="184"/>
      <c r="K488" s="184"/>
      <c r="L488" s="184"/>
      <c r="M488" s="59"/>
    </row>
    <row r="489" spans="2:13" x14ac:dyDescent="0.3">
      <c r="B489" s="178"/>
      <c r="C489" s="179"/>
      <c r="D489" s="180"/>
      <c r="E489" s="181"/>
      <c r="F489" s="182"/>
      <c r="G489" s="1" t="str">
        <f>IFERROR(IF(ventas_b_mes1[[#This Row],[CUIT]]="","-",VLOOKUP(ventas_b_mes1[[#This Row],[CUIT]],Lista_CUIT[#All],2,0)),"CUIT NO CARGADO")</f>
        <v>-</v>
      </c>
      <c r="H489" s="64">
        <f>ventas_b_mes1[[#This Row],[TOTAL]]/1.21</f>
        <v>0</v>
      </c>
      <c r="I489" s="183">
        <f>ventas_b_mes1[[#This Row],[IMPORTE NETO]]*0.21</f>
        <v>0</v>
      </c>
      <c r="J489" s="184"/>
      <c r="K489" s="184"/>
      <c r="L489" s="184"/>
      <c r="M489" s="59"/>
    </row>
    <row r="490" spans="2:13" x14ac:dyDescent="0.3">
      <c r="B490" s="178"/>
      <c r="C490" s="179"/>
      <c r="D490" s="180"/>
      <c r="E490" s="181"/>
      <c r="F490" s="182"/>
      <c r="G490" s="1" t="str">
        <f>IFERROR(IF(ventas_b_mes1[[#This Row],[CUIT]]="","-",VLOOKUP(ventas_b_mes1[[#This Row],[CUIT]],Lista_CUIT[#All],2,0)),"CUIT NO CARGADO")</f>
        <v>-</v>
      </c>
      <c r="H490" s="64">
        <f>ventas_b_mes1[[#This Row],[TOTAL]]/1.21</f>
        <v>0</v>
      </c>
      <c r="I490" s="183">
        <f>ventas_b_mes1[[#This Row],[IMPORTE NETO]]*0.21</f>
        <v>0</v>
      </c>
      <c r="J490" s="184"/>
      <c r="K490" s="184"/>
      <c r="L490" s="184"/>
      <c r="M490" s="59"/>
    </row>
    <row r="491" spans="2:13" x14ac:dyDescent="0.3">
      <c r="B491" s="178"/>
      <c r="C491" s="179"/>
      <c r="D491" s="180"/>
      <c r="E491" s="181"/>
      <c r="F491" s="182"/>
      <c r="G491" s="1" t="str">
        <f>IFERROR(IF(ventas_b_mes1[[#This Row],[CUIT]]="","-",VLOOKUP(ventas_b_mes1[[#This Row],[CUIT]],Lista_CUIT[#All],2,0)),"CUIT NO CARGADO")</f>
        <v>-</v>
      </c>
      <c r="H491" s="64">
        <f>ventas_b_mes1[[#This Row],[TOTAL]]/1.21</f>
        <v>0</v>
      </c>
      <c r="I491" s="183">
        <f>ventas_b_mes1[[#This Row],[IMPORTE NETO]]*0.21</f>
        <v>0</v>
      </c>
      <c r="J491" s="184"/>
      <c r="K491" s="184"/>
      <c r="L491" s="184"/>
      <c r="M491" s="59"/>
    </row>
    <row r="492" spans="2:13" x14ac:dyDescent="0.3">
      <c r="B492" s="178"/>
      <c r="C492" s="179"/>
      <c r="D492" s="180"/>
      <c r="E492" s="181"/>
      <c r="F492" s="182"/>
      <c r="G492" s="1" t="str">
        <f>IFERROR(IF(ventas_b_mes1[[#This Row],[CUIT]]="","-",VLOOKUP(ventas_b_mes1[[#This Row],[CUIT]],Lista_CUIT[#All],2,0)),"CUIT NO CARGADO")</f>
        <v>-</v>
      </c>
      <c r="H492" s="64">
        <f>ventas_b_mes1[[#This Row],[TOTAL]]/1.21</f>
        <v>0</v>
      </c>
      <c r="I492" s="183">
        <f>ventas_b_mes1[[#This Row],[IMPORTE NETO]]*0.21</f>
        <v>0</v>
      </c>
      <c r="J492" s="184"/>
      <c r="K492" s="184"/>
      <c r="L492" s="184"/>
      <c r="M492" s="59"/>
    </row>
    <row r="493" spans="2:13" x14ac:dyDescent="0.3">
      <c r="B493" s="178"/>
      <c r="C493" s="179"/>
      <c r="D493" s="180"/>
      <c r="E493" s="181"/>
      <c r="F493" s="182"/>
      <c r="G493" s="1" t="str">
        <f>IFERROR(IF(ventas_b_mes1[[#This Row],[CUIT]]="","-",VLOOKUP(ventas_b_mes1[[#This Row],[CUIT]],Lista_CUIT[#All],2,0)),"CUIT NO CARGADO")</f>
        <v>-</v>
      </c>
      <c r="H493" s="64">
        <f>ventas_b_mes1[[#This Row],[TOTAL]]/1.21</f>
        <v>0</v>
      </c>
      <c r="I493" s="183">
        <f>ventas_b_mes1[[#This Row],[IMPORTE NETO]]*0.21</f>
        <v>0</v>
      </c>
      <c r="J493" s="184"/>
      <c r="K493" s="184"/>
      <c r="L493" s="184"/>
      <c r="M493" s="59"/>
    </row>
    <row r="494" spans="2:13" x14ac:dyDescent="0.3">
      <c r="B494" s="178"/>
      <c r="C494" s="179"/>
      <c r="D494" s="180"/>
      <c r="E494" s="181"/>
      <c r="F494" s="182"/>
      <c r="G494" s="1" t="str">
        <f>IFERROR(IF(ventas_b_mes1[[#This Row],[CUIT]]="","-",VLOOKUP(ventas_b_mes1[[#This Row],[CUIT]],Lista_CUIT[#All],2,0)),"CUIT NO CARGADO")</f>
        <v>-</v>
      </c>
      <c r="H494" s="64">
        <f>ventas_b_mes1[[#This Row],[TOTAL]]/1.21</f>
        <v>0</v>
      </c>
      <c r="I494" s="183">
        <f>ventas_b_mes1[[#This Row],[IMPORTE NETO]]*0.21</f>
        <v>0</v>
      </c>
      <c r="J494" s="184"/>
      <c r="K494" s="184"/>
      <c r="L494" s="184"/>
      <c r="M494" s="59"/>
    </row>
    <row r="495" spans="2:13" x14ac:dyDescent="0.3">
      <c r="B495" s="178"/>
      <c r="C495" s="179"/>
      <c r="D495" s="180"/>
      <c r="E495" s="181"/>
      <c r="F495" s="182"/>
      <c r="G495" s="1" t="str">
        <f>IFERROR(IF(ventas_b_mes1[[#This Row],[CUIT]]="","-",VLOOKUP(ventas_b_mes1[[#This Row],[CUIT]],Lista_CUIT[#All],2,0)),"CUIT NO CARGADO")</f>
        <v>-</v>
      </c>
      <c r="H495" s="64">
        <f>ventas_b_mes1[[#This Row],[TOTAL]]/1.21</f>
        <v>0</v>
      </c>
      <c r="I495" s="183">
        <f>ventas_b_mes1[[#This Row],[IMPORTE NETO]]*0.21</f>
        <v>0</v>
      </c>
      <c r="J495" s="184"/>
      <c r="K495" s="184"/>
      <c r="L495" s="184"/>
      <c r="M495" s="59"/>
    </row>
    <row r="496" spans="2:13" x14ac:dyDescent="0.3">
      <c r="B496" s="178"/>
      <c r="C496" s="179"/>
      <c r="D496" s="180"/>
      <c r="E496" s="181"/>
      <c r="F496" s="182"/>
      <c r="G496" s="1" t="str">
        <f>IFERROR(IF(ventas_b_mes1[[#This Row],[CUIT]]="","-",VLOOKUP(ventas_b_mes1[[#This Row],[CUIT]],Lista_CUIT[#All],2,0)),"CUIT NO CARGADO")</f>
        <v>-</v>
      </c>
      <c r="H496" s="64">
        <f>ventas_b_mes1[[#This Row],[TOTAL]]/1.21</f>
        <v>0</v>
      </c>
      <c r="I496" s="183">
        <f>ventas_b_mes1[[#This Row],[IMPORTE NETO]]*0.21</f>
        <v>0</v>
      </c>
      <c r="J496" s="184"/>
      <c r="K496" s="184"/>
      <c r="L496" s="184"/>
      <c r="M496" s="59"/>
    </row>
    <row r="497" spans="2:13" x14ac:dyDescent="0.3">
      <c r="B497" s="178"/>
      <c r="C497" s="179"/>
      <c r="D497" s="180"/>
      <c r="E497" s="181"/>
      <c r="F497" s="182"/>
      <c r="G497" s="1" t="str">
        <f>IFERROR(IF(ventas_b_mes1[[#This Row],[CUIT]]="","-",VLOOKUP(ventas_b_mes1[[#This Row],[CUIT]],Lista_CUIT[#All],2,0)),"CUIT NO CARGADO")</f>
        <v>-</v>
      </c>
      <c r="H497" s="64">
        <f>ventas_b_mes1[[#This Row],[TOTAL]]/1.21</f>
        <v>0</v>
      </c>
      <c r="I497" s="183">
        <f>ventas_b_mes1[[#This Row],[IMPORTE NETO]]*0.21</f>
        <v>0</v>
      </c>
      <c r="J497" s="184"/>
      <c r="K497" s="184"/>
      <c r="L497" s="184"/>
      <c r="M497" s="59"/>
    </row>
    <row r="498" spans="2:13" x14ac:dyDescent="0.3">
      <c r="B498" s="178"/>
      <c r="C498" s="179"/>
      <c r="D498" s="180"/>
      <c r="E498" s="181"/>
      <c r="F498" s="182"/>
      <c r="G498" s="1" t="str">
        <f>IFERROR(IF(ventas_b_mes1[[#This Row],[CUIT]]="","-",VLOOKUP(ventas_b_mes1[[#This Row],[CUIT]],Lista_CUIT[#All],2,0)),"CUIT NO CARGADO")</f>
        <v>-</v>
      </c>
      <c r="H498" s="64">
        <f>ventas_b_mes1[[#This Row],[TOTAL]]/1.21</f>
        <v>0</v>
      </c>
      <c r="I498" s="183">
        <f>ventas_b_mes1[[#This Row],[IMPORTE NETO]]*0.21</f>
        <v>0</v>
      </c>
      <c r="J498" s="184"/>
      <c r="K498" s="184"/>
      <c r="L498" s="184"/>
      <c r="M498" s="59"/>
    </row>
    <row r="499" spans="2:13" x14ac:dyDescent="0.3">
      <c r="B499" s="178"/>
      <c r="C499" s="179"/>
      <c r="D499" s="180"/>
      <c r="E499" s="181"/>
      <c r="F499" s="182"/>
      <c r="G499" s="1" t="str">
        <f>IFERROR(IF(ventas_b_mes1[[#This Row],[CUIT]]="","-",VLOOKUP(ventas_b_mes1[[#This Row],[CUIT]],Lista_CUIT[#All],2,0)),"CUIT NO CARGADO")</f>
        <v>-</v>
      </c>
      <c r="H499" s="64">
        <f>ventas_b_mes1[[#This Row],[TOTAL]]/1.21</f>
        <v>0</v>
      </c>
      <c r="I499" s="183">
        <f>ventas_b_mes1[[#This Row],[IMPORTE NETO]]*0.21</f>
        <v>0</v>
      </c>
      <c r="J499" s="184"/>
      <c r="K499" s="184"/>
      <c r="L499" s="184"/>
      <c r="M499" s="59"/>
    </row>
    <row r="500" spans="2:13" x14ac:dyDescent="0.3">
      <c r="B500" s="178"/>
      <c r="C500" s="179"/>
      <c r="D500" s="180"/>
      <c r="E500" s="181"/>
      <c r="F500" s="182"/>
      <c r="G500" s="1" t="str">
        <f>IFERROR(IF(ventas_b_mes1[[#This Row],[CUIT]]="","-",VLOOKUP(ventas_b_mes1[[#This Row],[CUIT]],Lista_CUIT[#All],2,0)),"CUIT NO CARGADO")</f>
        <v>-</v>
      </c>
      <c r="H500" s="64">
        <f>ventas_b_mes1[[#This Row],[TOTAL]]/1.21</f>
        <v>0</v>
      </c>
      <c r="I500" s="183">
        <f>ventas_b_mes1[[#This Row],[IMPORTE NETO]]*0.21</f>
        <v>0</v>
      </c>
      <c r="J500" s="184"/>
      <c r="K500" s="184"/>
      <c r="L500" s="184"/>
      <c r="M500" s="59"/>
    </row>
    <row r="501" spans="2:13" x14ac:dyDescent="0.3">
      <c r="B501" s="178"/>
      <c r="C501" s="179"/>
      <c r="D501" s="180"/>
      <c r="E501" s="181"/>
      <c r="F501" s="182"/>
      <c r="G501" s="1" t="str">
        <f>IFERROR(IF(ventas_b_mes1[[#This Row],[CUIT]]="","-",VLOOKUP(ventas_b_mes1[[#This Row],[CUIT]],Lista_CUIT[#All],2,0)),"CUIT NO CARGADO")</f>
        <v>-</v>
      </c>
      <c r="H501" s="64">
        <f>ventas_b_mes1[[#This Row],[TOTAL]]/1.21</f>
        <v>0</v>
      </c>
      <c r="I501" s="183">
        <f>ventas_b_mes1[[#This Row],[IMPORTE NETO]]*0.21</f>
        <v>0</v>
      </c>
      <c r="J501" s="184"/>
      <c r="K501" s="184"/>
      <c r="L501" s="184"/>
      <c r="M501" s="59"/>
    </row>
    <row r="502" spans="2:13" x14ac:dyDescent="0.3">
      <c r="B502" s="178"/>
      <c r="C502" s="179"/>
      <c r="D502" s="180"/>
      <c r="E502" s="181"/>
      <c r="F502" s="182"/>
      <c r="G502" s="1" t="str">
        <f>IFERROR(IF(ventas_b_mes1[[#This Row],[CUIT]]="","-",VLOOKUP(ventas_b_mes1[[#This Row],[CUIT]],Lista_CUIT[#All],2,0)),"CUIT NO CARGADO")</f>
        <v>-</v>
      </c>
      <c r="H502" s="64">
        <f>ventas_b_mes1[[#This Row],[TOTAL]]/1.21</f>
        <v>0</v>
      </c>
      <c r="I502" s="183">
        <f>ventas_b_mes1[[#This Row],[IMPORTE NETO]]*0.21</f>
        <v>0</v>
      </c>
      <c r="J502" s="184"/>
      <c r="K502" s="184"/>
      <c r="L502" s="184"/>
      <c r="M502" s="59"/>
    </row>
    <row r="503" spans="2:13" x14ac:dyDescent="0.3">
      <c r="B503" s="178"/>
      <c r="C503" s="179"/>
      <c r="D503" s="180"/>
      <c r="E503" s="181"/>
      <c r="F503" s="182"/>
      <c r="G503" s="1" t="str">
        <f>IFERROR(IF(ventas_b_mes1[[#This Row],[CUIT]]="","-",VLOOKUP(ventas_b_mes1[[#This Row],[CUIT]],Lista_CUIT[#All],2,0)),"CUIT NO CARGADO")</f>
        <v>-</v>
      </c>
      <c r="H503" s="64">
        <f>ventas_b_mes1[[#This Row],[TOTAL]]/1.21</f>
        <v>0</v>
      </c>
      <c r="I503" s="183">
        <f>ventas_b_mes1[[#This Row],[IMPORTE NETO]]*0.21</f>
        <v>0</v>
      </c>
      <c r="J503" s="184"/>
      <c r="K503" s="184"/>
      <c r="L503" s="184"/>
      <c r="M503" s="59"/>
    </row>
    <row r="504" spans="2:13" x14ac:dyDescent="0.3">
      <c r="B504" s="178"/>
      <c r="C504" s="179"/>
      <c r="D504" s="180"/>
      <c r="E504" s="181"/>
      <c r="F504" s="182"/>
      <c r="G504" s="1" t="str">
        <f>IFERROR(IF(ventas_b_mes1[[#This Row],[CUIT]]="","-",VLOOKUP(ventas_b_mes1[[#This Row],[CUIT]],Lista_CUIT[#All],2,0)),"CUIT NO CARGADO")</f>
        <v>-</v>
      </c>
      <c r="H504" s="64">
        <f>ventas_b_mes1[[#This Row],[TOTAL]]/1.21</f>
        <v>0</v>
      </c>
      <c r="I504" s="183">
        <f>ventas_b_mes1[[#This Row],[IMPORTE NETO]]*0.21</f>
        <v>0</v>
      </c>
      <c r="J504" s="184"/>
      <c r="K504" s="184"/>
      <c r="L504" s="184"/>
      <c r="M504" s="59"/>
    </row>
    <row r="505" spans="2:13" x14ac:dyDescent="0.3">
      <c r="B505" s="178"/>
      <c r="C505" s="179"/>
      <c r="D505" s="180"/>
      <c r="E505" s="181"/>
      <c r="F505" s="182"/>
      <c r="G505" s="1" t="str">
        <f>IFERROR(IF(ventas_b_mes1[[#This Row],[CUIT]]="","-",VLOOKUP(ventas_b_mes1[[#This Row],[CUIT]],Lista_CUIT[#All],2,0)),"CUIT NO CARGADO")</f>
        <v>-</v>
      </c>
      <c r="H505" s="64">
        <f>ventas_b_mes1[[#This Row],[TOTAL]]/1.21</f>
        <v>0</v>
      </c>
      <c r="I505" s="183">
        <f>ventas_b_mes1[[#This Row],[IMPORTE NETO]]*0.21</f>
        <v>0</v>
      </c>
      <c r="J505" s="184"/>
      <c r="K505" s="184"/>
      <c r="L505" s="184"/>
      <c r="M505" s="59"/>
    </row>
    <row r="506" spans="2:13" x14ac:dyDescent="0.3">
      <c r="B506" s="178"/>
      <c r="C506" s="179"/>
      <c r="D506" s="180"/>
      <c r="E506" s="181"/>
      <c r="F506" s="182"/>
      <c r="G506" s="1" t="str">
        <f>IFERROR(IF(ventas_b_mes1[[#This Row],[CUIT]]="","-",VLOOKUP(ventas_b_mes1[[#This Row],[CUIT]],Lista_CUIT[#All],2,0)),"CUIT NO CARGADO")</f>
        <v>-</v>
      </c>
      <c r="H506" s="64">
        <f>ventas_b_mes1[[#This Row],[TOTAL]]/1.21</f>
        <v>0</v>
      </c>
      <c r="I506" s="183">
        <f>ventas_b_mes1[[#This Row],[IMPORTE NETO]]*0.21</f>
        <v>0</v>
      </c>
      <c r="J506" s="184"/>
      <c r="K506" s="184"/>
      <c r="L506" s="184"/>
      <c r="M506" s="59"/>
    </row>
    <row r="507" spans="2:13" x14ac:dyDescent="0.3">
      <c r="B507" s="178"/>
      <c r="C507" s="179"/>
      <c r="D507" s="180"/>
      <c r="E507" s="181"/>
      <c r="F507" s="182"/>
      <c r="G507" s="1" t="str">
        <f>IFERROR(IF(ventas_b_mes1[[#This Row],[CUIT]]="","-",VLOOKUP(ventas_b_mes1[[#This Row],[CUIT]],Lista_CUIT[#All],2,0)),"CUIT NO CARGADO")</f>
        <v>-</v>
      </c>
      <c r="H507" s="64">
        <f>ventas_b_mes1[[#This Row],[TOTAL]]/1.21</f>
        <v>0</v>
      </c>
      <c r="I507" s="183">
        <f>ventas_b_mes1[[#This Row],[IMPORTE NETO]]*0.21</f>
        <v>0</v>
      </c>
      <c r="J507" s="184"/>
      <c r="K507" s="184"/>
      <c r="L507" s="184"/>
      <c r="M507" s="59"/>
    </row>
    <row r="508" spans="2:13" x14ac:dyDescent="0.3">
      <c r="B508" s="178"/>
      <c r="C508" s="179"/>
      <c r="D508" s="180"/>
      <c r="E508" s="181"/>
      <c r="F508" s="182"/>
      <c r="G508" s="1" t="str">
        <f>IFERROR(IF(ventas_b_mes1[[#This Row],[CUIT]]="","-",VLOOKUP(ventas_b_mes1[[#This Row],[CUIT]],Lista_CUIT[#All],2,0)),"CUIT NO CARGADO")</f>
        <v>-</v>
      </c>
      <c r="H508" s="64">
        <f>ventas_b_mes1[[#This Row],[TOTAL]]/1.21</f>
        <v>0</v>
      </c>
      <c r="I508" s="183">
        <f>ventas_b_mes1[[#This Row],[IMPORTE NETO]]*0.21</f>
        <v>0</v>
      </c>
      <c r="J508" s="184"/>
      <c r="K508" s="184"/>
      <c r="L508" s="184"/>
      <c r="M508" s="59"/>
    </row>
    <row r="509" spans="2:13" x14ac:dyDescent="0.3">
      <c r="B509" s="178"/>
      <c r="C509" s="179"/>
      <c r="D509" s="180"/>
      <c r="E509" s="181"/>
      <c r="F509" s="182"/>
      <c r="G509" s="1" t="str">
        <f>IFERROR(IF(ventas_b_mes1[[#This Row],[CUIT]]="","-",VLOOKUP(ventas_b_mes1[[#This Row],[CUIT]],Lista_CUIT[#All],2,0)),"CUIT NO CARGADO")</f>
        <v>-</v>
      </c>
      <c r="H509" s="64">
        <f>ventas_b_mes1[[#This Row],[TOTAL]]/1.21</f>
        <v>0</v>
      </c>
      <c r="I509" s="183">
        <f>ventas_b_mes1[[#This Row],[IMPORTE NETO]]*0.21</f>
        <v>0</v>
      </c>
      <c r="J509" s="184"/>
      <c r="K509" s="184"/>
      <c r="L509" s="184"/>
      <c r="M509" s="59"/>
    </row>
    <row r="510" spans="2:13" x14ac:dyDescent="0.3">
      <c r="B510" s="178"/>
      <c r="C510" s="179"/>
      <c r="D510" s="180"/>
      <c r="E510" s="181"/>
      <c r="F510" s="182"/>
      <c r="G510" s="1" t="str">
        <f>IFERROR(IF(ventas_b_mes1[[#This Row],[CUIT]]="","-",VLOOKUP(ventas_b_mes1[[#This Row],[CUIT]],Lista_CUIT[#All],2,0)),"CUIT NO CARGADO")</f>
        <v>-</v>
      </c>
      <c r="H510" s="64">
        <f>ventas_b_mes1[[#This Row],[TOTAL]]/1.21</f>
        <v>0</v>
      </c>
      <c r="I510" s="183">
        <f>ventas_b_mes1[[#This Row],[IMPORTE NETO]]*0.21</f>
        <v>0</v>
      </c>
      <c r="J510" s="184"/>
      <c r="K510" s="184"/>
      <c r="L510" s="184"/>
      <c r="M510" s="59"/>
    </row>
    <row r="511" spans="2:13" x14ac:dyDescent="0.3">
      <c r="B511" s="178"/>
      <c r="C511" s="179"/>
      <c r="D511" s="180"/>
      <c r="E511" s="181"/>
      <c r="F511" s="182"/>
      <c r="G511" s="1" t="str">
        <f>IFERROR(IF(ventas_b_mes1[[#This Row],[CUIT]]="","-",VLOOKUP(ventas_b_mes1[[#This Row],[CUIT]],Lista_CUIT[#All],2,0)),"CUIT NO CARGADO")</f>
        <v>-</v>
      </c>
      <c r="H511" s="64">
        <f>ventas_b_mes1[[#This Row],[TOTAL]]/1.21</f>
        <v>0</v>
      </c>
      <c r="I511" s="183">
        <f>ventas_b_mes1[[#This Row],[IMPORTE NETO]]*0.21</f>
        <v>0</v>
      </c>
      <c r="J511" s="184"/>
      <c r="K511" s="184"/>
      <c r="L511" s="184"/>
      <c r="M511" s="59"/>
    </row>
    <row r="512" spans="2:13" x14ac:dyDescent="0.3">
      <c r="B512" s="178"/>
      <c r="C512" s="179"/>
      <c r="D512" s="180"/>
      <c r="E512" s="181"/>
      <c r="F512" s="182"/>
      <c r="G512" s="1" t="str">
        <f>IFERROR(IF(ventas_b_mes1[[#This Row],[CUIT]]="","-",VLOOKUP(ventas_b_mes1[[#This Row],[CUIT]],Lista_CUIT[#All],2,0)),"CUIT NO CARGADO")</f>
        <v>-</v>
      </c>
      <c r="H512" s="64">
        <f>ventas_b_mes1[[#This Row],[TOTAL]]/1.21</f>
        <v>0</v>
      </c>
      <c r="I512" s="183">
        <f>ventas_b_mes1[[#This Row],[IMPORTE NETO]]*0.21</f>
        <v>0</v>
      </c>
      <c r="J512" s="184"/>
      <c r="K512" s="184"/>
      <c r="L512" s="184"/>
      <c r="M512" s="59"/>
    </row>
    <row r="513" spans="2:13" x14ac:dyDescent="0.3">
      <c r="B513" s="178"/>
      <c r="C513" s="179"/>
      <c r="D513" s="180"/>
      <c r="E513" s="181"/>
      <c r="F513" s="182"/>
      <c r="G513" s="1" t="str">
        <f>IFERROR(IF(ventas_b_mes1[[#This Row],[CUIT]]="","-",VLOOKUP(ventas_b_mes1[[#This Row],[CUIT]],Lista_CUIT[#All],2,0)),"CUIT NO CARGADO")</f>
        <v>-</v>
      </c>
      <c r="H513" s="64">
        <f>ventas_b_mes1[[#This Row],[TOTAL]]/1.21</f>
        <v>0</v>
      </c>
      <c r="I513" s="183">
        <f>ventas_b_mes1[[#This Row],[IMPORTE NETO]]*0.21</f>
        <v>0</v>
      </c>
      <c r="J513" s="184"/>
      <c r="K513" s="184"/>
      <c r="L513" s="184"/>
      <c r="M513" s="59"/>
    </row>
    <row r="514" spans="2:13" x14ac:dyDescent="0.3">
      <c r="B514" s="178"/>
      <c r="C514" s="179"/>
      <c r="D514" s="180"/>
      <c r="E514" s="181"/>
      <c r="F514" s="182"/>
      <c r="G514" s="1" t="str">
        <f>IFERROR(IF(ventas_b_mes1[[#This Row],[CUIT]]="","-",VLOOKUP(ventas_b_mes1[[#This Row],[CUIT]],Lista_CUIT[#All],2,0)),"CUIT NO CARGADO")</f>
        <v>-</v>
      </c>
      <c r="H514" s="64">
        <f>ventas_b_mes1[[#This Row],[TOTAL]]/1.21</f>
        <v>0</v>
      </c>
      <c r="I514" s="183">
        <f>ventas_b_mes1[[#This Row],[IMPORTE NETO]]*0.21</f>
        <v>0</v>
      </c>
      <c r="J514" s="184"/>
      <c r="K514" s="184"/>
      <c r="L514" s="184"/>
      <c r="M514" s="59"/>
    </row>
    <row r="515" spans="2:13" x14ac:dyDescent="0.3">
      <c r="B515" s="178"/>
      <c r="C515" s="179"/>
      <c r="D515" s="180"/>
      <c r="E515" s="181"/>
      <c r="F515" s="182"/>
      <c r="G515" s="1" t="str">
        <f>IFERROR(IF(ventas_b_mes1[[#This Row],[CUIT]]="","-",VLOOKUP(ventas_b_mes1[[#This Row],[CUIT]],Lista_CUIT[#All],2,0)),"CUIT NO CARGADO")</f>
        <v>-</v>
      </c>
      <c r="H515" s="64">
        <f>ventas_b_mes1[[#This Row],[TOTAL]]/1.21</f>
        <v>0</v>
      </c>
      <c r="I515" s="183">
        <f>ventas_b_mes1[[#This Row],[IMPORTE NETO]]*0.21</f>
        <v>0</v>
      </c>
      <c r="J515" s="184"/>
      <c r="K515" s="184"/>
      <c r="L515" s="184"/>
      <c r="M515" s="59"/>
    </row>
    <row r="516" spans="2:13" x14ac:dyDescent="0.3">
      <c r="B516" s="178"/>
      <c r="C516" s="179"/>
      <c r="D516" s="180"/>
      <c r="E516" s="181"/>
      <c r="F516" s="182"/>
      <c r="G516" s="1" t="str">
        <f>IFERROR(IF(ventas_b_mes1[[#This Row],[CUIT]]="","-",VLOOKUP(ventas_b_mes1[[#This Row],[CUIT]],Lista_CUIT[#All],2,0)),"CUIT NO CARGADO")</f>
        <v>-</v>
      </c>
      <c r="H516" s="64">
        <f>ventas_b_mes1[[#This Row],[TOTAL]]/1.21</f>
        <v>0</v>
      </c>
      <c r="I516" s="183">
        <f>ventas_b_mes1[[#This Row],[IMPORTE NETO]]*0.21</f>
        <v>0</v>
      </c>
      <c r="J516" s="184"/>
      <c r="K516" s="184"/>
      <c r="L516" s="184"/>
      <c r="M516" s="59"/>
    </row>
    <row r="517" spans="2:13" x14ac:dyDescent="0.3">
      <c r="B517" s="178"/>
      <c r="C517" s="179"/>
      <c r="D517" s="180"/>
      <c r="E517" s="181"/>
      <c r="F517" s="182"/>
      <c r="G517" s="1" t="str">
        <f>IFERROR(IF(ventas_b_mes1[[#This Row],[CUIT]]="","-",VLOOKUP(ventas_b_mes1[[#This Row],[CUIT]],Lista_CUIT[#All],2,0)),"CUIT NO CARGADO")</f>
        <v>-</v>
      </c>
      <c r="H517" s="64">
        <f>ventas_b_mes1[[#This Row],[TOTAL]]/1.21</f>
        <v>0</v>
      </c>
      <c r="I517" s="183">
        <f>ventas_b_mes1[[#This Row],[IMPORTE NETO]]*0.21</f>
        <v>0</v>
      </c>
      <c r="J517" s="184"/>
      <c r="K517" s="184"/>
      <c r="L517" s="184"/>
      <c r="M517" s="59"/>
    </row>
    <row r="518" spans="2:13" x14ac:dyDescent="0.3">
      <c r="B518" s="178"/>
      <c r="C518" s="179"/>
      <c r="D518" s="180"/>
      <c r="E518" s="181"/>
      <c r="F518" s="182"/>
      <c r="G518" s="1" t="str">
        <f>IFERROR(IF(ventas_b_mes1[[#This Row],[CUIT]]="","-",VLOOKUP(ventas_b_mes1[[#This Row],[CUIT]],Lista_CUIT[#All],2,0)),"CUIT NO CARGADO")</f>
        <v>-</v>
      </c>
      <c r="H518" s="64">
        <f>ventas_b_mes1[[#This Row],[TOTAL]]/1.21</f>
        <v>0</v>
      </c>
      <c r="I518" s="183">
        <f>ventas_b_mes1[[#This Row],[IMPORTE NETO]]*0.21</f>
        <v>0</v>
      </c>
      <c r="J518" s="184"/>
      <c r="K518" s="184"/>
      <c r="L518" s="184"/>
      <c r="M518" s="59"/>
    </row>
    <row r="519" spans="2:13" x14ac:dyDescent="0.3">
      <c r="B519" s="178"/>
      <c r="C519" s="179"/>
      <c r="D519" s="180"/>
      <c r="E519" s="181"/>
      <c r="F519" s="182"/>
      <c r="G519" s="1" t="str">
        <f>IFERROR(IF(ventas_b_mes1[[#This Row],[CUIT]]="","-",VLOOKUP(ventas_b_mes1[[#This Row],[CUIT]],Lista_CUIT[#All],2,0)),"CUIT NO CARGADO")</f>
        <v>-</v>
      </c>
      <c r="H519" s="64">
        <f>ventas_b_mes1[[#This Row],[TOTAL]]/1.21</f>
        <v>0</v>
      </c>
      <c r="I519" s="183">
        <f>ventas_b_mes1[[#This Row],[IMPORTE NETO]]*0.21</f>
        <v>0</v>
      </c>
      <c r="J519" s="184"/>
      <c r="K519" s="184"/>
      <c r="L519" s="184"/>
      <c r="M519" s="59"/>
    </row>
    <row r="520" spans="2:13" x14ac:dyDescent="0.3">
      <c r="B520" s="178"/>
      <c r="C520" s="179"/>
      <c r="D520" s="180"/>
      <c r="E520" s="181"/>
      <c r="F520" s="182"/>
      <c r="G520" s="1" t="str">
        <f>IFERROR(IF(ventas_b_mes1[[#This Row],[CUIT]]="","-",VLOOKUP(ventas_b_mes1[[#This Row],[CUIT]],Lista_CUIT[#All],2,0)),"CUIT NO CARGADO")</f>
        <v>-</v>
      </c>
      <c r="H520" s="64">
        <f>ventas_b_mes1[[#This Row],[TOTAL]]/1.21</f>
        <v>0</v>
      </c>
      <c r="I520" s="183">
        <f>ventas_b_mes1[[#This Row],[IMPORTE NETO]]*0.21</f>
        <v>0</v>
      </c>
      <c r="J520" s="184"/>
      <c r="K520" s="184"/>
      <c r="L520" s="184"/>
      <c r="M520" s="59"/>
    </row>
    <row r="521" spans="2:13" x14ac:dyDescent="0.3">
      <c r="B521" s="178"/>
      <c r="C521" s="179"/>
      <c r="D521" s="180"/>
      <c r="E521" s="181"/>
      <c r="F521" s="182"/>
      <c r="G521" s="1" t="str">
        <f>IFERROR(IF(ventas_b_mes1[[#This Row],[CUIT]]="","-",VLOOKUP(ventas_b_mes1[[#This Row],[CUIT]],Lista_CUIT[#All],2,0)),"CUIT NO CARGADO")</f>
        <v>-</v>
      </c>
      <c r="H521" s="64">
        <f>ventas_b_mes1[[#This Row],[TOTAL]]/1.21</f>
        <v>0</v>
      </c>
      <c r="I521" s="183">
        <f>ventas_b_mes1[[#This Row],[IMPORTE NETO]]*0.21</f>
        <v>0</v>
      </c>
      <c r="J521" s="184"/>
      <c r="K521" s="184"/>
      <c r="L521" s="184"/>
      <c r="M521" s="59"/>
    </row>
    <row r="522" spans="2:13" x14ac:dyDescent="0.3">
      <c r="B522" s="178"/>
      <c r="C522" s="179"/>
      <c r="D522" s="180"/>
      <c r="E522" s="181"/>
      <c r="F522" s="182"/>
      <c r="G522" s="1" t="str">
        <f>IFERROR(IF(ventas_b_mes1[[#This Row],[CUIT]]="","-",VLOOKUP(ventas_b_mes1[[#This Row],[CUIT]],Lista_CUIT[#All],2,0)),"CUIT NO CARGADO")</f>
        <v>-</v>
      </c>
      <c r="H522" s="64">
        <f>ventas_b_mes1[[#This Row],[TOTAL]]/1.21</f>
        <v>0</v>
      </c>
      <c r="I522" s="183">
        <f>ventas_b_mes1[[#This Row],[IMPORTE NETO]]*0.21</f>
        <v>0</v>
      </c>
      <c r="J522" s="184"/>
      <c r="K522" s="184"/>
      <c r="L522" s="184"/>
      <c r="M522" s="59"/>
    </row>
    <row r="523" spans="2:13" x14ac:dyDescent="0.3">
      <c r="B523" s="178"/>
      <c r="C523" s="179"/>
      <c r="D523" s="180"/>
      <c r="E523" s="181"/>
      <c r="F523" s="182"/>
      <c r="G523" s="1" t="str">
        <f>IFERROR(IF(ventas_b_mes1[[#This Row],[CUIT]]="","-",VLOOKUP(ventas_b_mes1[[#This Row],[CUIT]],Lista_CUIT[#All],2,0)),"CUIT NO CARGADO")</f>
        <v>-</v>
      </c>
      <c r="H523" s="64">
        <f>ventas_b_mes1[[#This Row],[TOTAL]]/1.21</f>
        <v>0</v>
      </c>
      <c r="I523" s="183">
        <f>ventas_b_mes1[[#This Row],[IMPORTE NETO]]*0.21</f>
        <v>0</v>
      </c>
      <c r="J523" s="184"/>
      <c r="K523" s="184"/>
      <c r="L523" s="184"/>
      <c r="M523" s="59"/>
    </row>
    <row r="524" spans="2:13" x14ac:dyDescent="0.3">
      <c r="B524" s="178"/>
      <c r="C524" s="179"/>
      <c r="D524" s="180"/>
      <c r="E524" s="181"/>
      <c r="F524" s="182"/>
      <c r="G524" s="1" t="str">
        <f>IFERROR(IF(ventas_b_mes1[[#This Row],[CUIT]]="","-",VLOOKUP(ventas_b_mes1[[#This Row],[CUIT]],Lista_CUIT[#All],2,0)),"CUIT NO CARGADO")</f>
        <v>-</v>
      </c>
      <c r="H524" s="64">
        <f>ventas_b_mes1[[#This Row],[TOTAL]]/1.21</f>
        <v>0</v>
      </c>
      <c r="I524" s="183">
        <f>ventas_b_mes1[[#This Row],[IMPORTE NETO]]*0.21</f>
        <v>0</v>
      </c>
      <c r="J524" s="184"/>
      <c r="K524" s="184"/>
      <c r="L524" s="184"/>
      <c r="M524" s="59"/>
    </row>
    <row r="525" spans="2:13" x14ac:dyDescent="0.3">
      <c r="B525" s="178"/>
      <c r="C525" s="179"/>
      <c r="D525" s="180"/>
      <c r="E525" s="181"/>
      <c r="F525" s="182"/>
      <c r="G525" s="1" t="str">
        <f>IFERROR(IF(ventas_b_mes1[[#This Row],[CUIT]]="","-",VLOOKUP(ventas_b_mes1[[#This Row],[CUIT]],Lista_CUIT[#All],2,0)),"CUIT NO CARGADO")</f>
        <v>-</v>
      </c>
      <c r="H525" s="64">
        <f>ventas_b_mes1[[#This Row],[TOTAL]]/1.21</f>
        <v>0</v>
      </c>
      <c r="I525" s="183">
        <f>ventas_b_mes1[[#This Row],[IMPORTE NETO]]*0.21</f>
        <v>0</v>
      </c>
      <c r="J525" s="184"/>
      <c r="K525" s="184"/>
      <c r="L525" s="184"/>
      <c r="M525" s="59"/>
    </row>
    <row r="526" spans="2:13" x14ac:dyDescent="0.3">
      <c r="B526" s="178"/>
      <c r="C526" s="179"/>
      <c r="D526" s="180"/>
      <c r="E526" s="181"/>
      <c r="F526" s="182"/>
      <c r="G526" s="1" t="str">
        <f>IFERROR(IF(ventas_b_mes1[[#This Row],[CUIT]]="","-",VLOOKUP(ventas_b_mes1[[#This Row],[CUIT]],Lista_CUIT[#All],2,0)),"CUIT NO CARGADO")</f>
        <v>-</v>
      </c>
      <c r="H526" s="64">
        <f>ventas_b_mes1[[#This Row],[TOTAL]]/1.21</f>
        <v>0</v>
      </c>
      <c r="I526" s="183">
        <f>ventas_b_mes1[[#This Row],[IMPORTE NETO]]*0.21</f>
        <v>0</v>
      </c>
      <c r="J526" s="184"/>
      <c r="K526" s="184"/>
      <c r="L526" s="184"/>
      <c r="M526" s="59"/>
    </row>
    <row r="527" spans="2:13" x14ac:dyDescent="0.3">
      <c r="B527" s="178"/>
      <c r="C527" s="179"/>
      <c r="D527" s="180"/>
      <c r="E527" s="181"/>
      <c r="F527" s="182"/>
      <c r="G527" s="1" t="str">
        <f>IFERROR(IF(ventas_b_mes1[[#This Row],[CUIT]]="","-",VLOOKUP(ventas_b_mes1[[#This Row],[CUIT]],Lista_CUIT[#All],2,0)),"CUIT NO CARGADO")</f>
        <v>-</v>
      </c>
      <c r="H527" s="64">
        <f>ventas_b_mes1[[#This Row],[TOTAL]]/1.21</f>
        <v>0</v>
      </c>
      <c r="I527" s="183">
        <f>ventas_b_mes1[[#This Row],[IMPORTE NETO]]*0.21</f>
        <v>0</v>
      </c>
      <c r="J527" s="184"/>
      <c r="K527" s="184"/>
      <c r="L527" s="184"/>
      <c r="M527" s="59"/>
    </row>
    <row r="528" spans="2:13" x14ac:dyDescent="0.3">
      <c r="B528" s="178"/>
      <c r="C528" s="179"/>
      <c r="D528" s="180"/>
      <c r="E528" s="181"/>
      <c r="F528" s="182"/>
      <c r="G528" s="1" t="str">
        <f>IFERROR(IF(ventas_b_mes1[[#This Row],[CUIT]]="","-",VLOOKUP(ventas_b_mes1[[#This Row],[CUIT]],Lista_CUIT[#All],2,0)),"CUIT NO CARGADO")</f>
        <v>-</v>
      </c>
      <c r="H528" s="64">
        <f>ventas_b_mes1[[#This Row],[TOTAL]]/1.21</f>
        <v>0</v>
      </c>
      <c r="I528" s="183">
        <f>ventas_b_mes1[[#This Row],[IMPORTE NETO]]*0.21</f>
        <v>0</v>
      </c>
      <c r="J528" s="184"/>
      <c r="K528" s="184"/>
      <c r="L528" s="184"/>
      <c r="M528" s="59"/>
    </row>
    <row r="529" spans="2:13" x14ac:dyDescent="0.3">
      <c r="B529" s="178"/>
      <c r="C529" s="179"/>
      <c r="D529" s="180"/>
      <c r="E529" s="181"/>
      <c r="F529" s="182"/>
      <c r="G529" s="1" t="str">
        <f>IFERROR(IF(ventas_b_mes1[[#This Row],[CUIT]]="","-",VLOOKUP(ventas_b_mes1[[#This Row],[CUIT]],Lista_CUIT[#All],2,0)),"CUIT NO CARGADO")</f>
        <v>-</v>
      </c>
      <c r="H529" s="64">
        <f>ventas_b_mes1[[#This Row],[TOTAL]]/1.21</f>
        <v>0</v>
      </c>
      <c r="I529" s="183">
        <f>ventas_b_mes1[[#This Row],[IMPORTE NETO]]*0.21</f>
        <v>0</v>
      </c>
      <c r="J529" s="184"/>
      <c r="K529" s="184"/>
      <c r="L529" s="184"/>
      <c r="M529" s="59"/>
    </row>
    <row r="530" spans="2:13" x14ac:dyDescent="0.3">
      <c r="B530" s="178"/>
      <c r="C530" s="179"/>
      <c r="D530" s="180"/>
      <c r="E530" s="181"/>
      <c r="F530" s="182"/>
      <c r="G530" s="1" t="str">
        <f>IFERROR(IF(ventas_b_mes1[[#This Row],[CUIT]]="","-",VLOOKUP(ventas_b_mes1[[#This Row],[CUIT]],Lista_CUIT[#All],2,0)),"CUIT NO CARGADO")</f>
        <v>-</v>
      </c>
      <c r="H530" s="64">
        <f>ventas_b_mes1[[#This Row],[TOTAL]]/1.21</f>
        <v>0</v>
      </c>
      <c r="I530" s="183">
        <f>ventas_b_mes1[[#This Row],[IMPORTE NETO]]*0.21</f>
        <v>0</v>
      </c>
      <c r="J530" s="184"/>
      <c r="K530" s="184"/>
      <c r="L530" s="184"/>
      <c r="M530" s="59"/>
    </row>
    <row r="531" spans="2:13" x14ac:dyDescent="0.3">
      <c r="B531" s="178"/>
      <c r="C531" s="179"/>
      <c r="D531" s="180"/>
      <c r="E531" s="181"/>
      <c r="F531" s="182"/>
      <c r="G531" s="1" t="str">
        <f>IFERROR(IF(ventas_b_mes1[[#This Row],[CUIT]]="","-",VLOOKUP(ventas_b_mes1[[#This Row],[CUIT]],Lista_CUIT[#All],2,0)),"CUIT NO CARGADO")</f>
        <v>-</v>
      </c>
      <c r="H531" s="64">
        <f>ventas_b_mes1[[#This Row],[TOTAL]]/1.21</f>
        <v>0</v>
      </c>
      <c r="I531" s="183">
        <f>ventas_b_mes1[[#This Row],[IMPORTE NETO]]*0.21</f>
        <v>0</v>
      </c>
      <c r="J531" s="184"/>
      <c r="K531" s="184"/>
      <c r="L531" s="184"/>
      <c r="M531" s="59"/>
    </row>
    <row r="532" spans="2:13" x14ac:dyDescent="0.3">
      <c r="B532" s="178"/>
      <c r="C532" s="179"/>
      <c r="D532" s="180"/>
      <c r="E532" s="181"/>
      <c r="F532" s="182"/>
      <c r="G532" s="1" t="str">
        <f>IFERROR(IF(ventas_b_mes1[[#This Row],[CUIT]]="","-",VLOOKUP(ventas_b_mes1[[#This Row],[CUIT]],Lista_CUIT[#All],2,0)),"CUIT NO CARGADO")</f>
        <v>-</v>
      </c>
      <c r="H532" s="64">
        <f>ventas_b_mes1[[#This Row],[TOTAL]]/1.21</f>
        <v>0</v>
      </c>
      <c r="I532" s="183">
        <f>ventas_b_mes1[[#This Row],[IMPORTE NETO]]*0.21</f>
        <v>0</v>
      </c>
      <c r="J532" s="184"/>
      <c r="K532" s="184"/>
      <c r="L532" s="184"/>
      <c r="M532" s="59"/>
    </row>
    <row r="533" spans="2:13" x14ac:dyDescent="0.3">
      <c r="B533" s="178"/>
      <c r="C533" s="179"/>
      <c r="D533" s="180"/>
      <c r="E533" s="181"/>
      <c r="F533" s="182"/>
      <c r="G533" s="1" t="str">
        <f>IFERROR(IF(ventas_b_mes1[[#This Row],[CUIT]]="","-",VLOOKUP(ventas_b_mes1[[#This Row],[CUIT]],Lista_CUIT[#All],2,0)),"CUIT NO CARGADO")</f>
        <v>-</v>
      </c>
      <c r="H533" s="64">
        <f>ventas_b_mes1[[#This Row],[TOTAL]]/1.21</f>
        <v>0</v>
      </c>
      <c r="I533" s="183">
        <f>ventas_b_mes1[[#This Row],[IMPORTE NETO]]*0.21</f>
        <v>0</v>
      </c>
      <c r="J533" s="184"/>
      <c r="K533" s="184"/>
      <c r="L533" s="184"/>
      <c r="M533" s="59"/>
    </row>
    <row r="534" spans="2:13" x14ac:dyDescent="0.3">
      <c r="B534" s="178"/>
      <c r="C534" s="179"/>
      <c r="D534" s="180"/>
      <c r="E534" s="181"/>
      <c r="F534" s="182"/>
      <c r="G534" s="1" t="str">
        <f>IFERROR(IF(ventas_b_mes1[[#This Row],[CUIT]]="","-",VLOOKUP(ventas_b_mes1[[#This Row],[CUIT]],Lista_CUIT[#All],2,0)),"CUIT NO CARGADO")</f>
        <v>-</v>
      </c>
      <c r="H534" s="64">
        <f>ventas_b_mes1[[#This Row],[TOTAL]]/1.21</f>
        <v>0</v>
      </c>
      <c r="I534" s="183">
        <f>ventas_b_mes1[[#This Row],[IMPORTE NETO]]*0.21</f>
        <v>0</v>
      </c>
      <c r="J534" s="184"/>
      <c r="K534" s="184"/>
      <c r="L534" s="184"/>
      <c r="M534" s="59"/>
    </row>
    <row r="535" spans="2:13" x14ac:dyDescent="0.3">
      <c r="B535" s="178"/>
      <c r="C535" s="179"/>
      <c r="D535" s="180"/>
      <c r="E535" s="181"/>
      <c r="F535" s="182"/>
      <c r="G535" s="1" t="str">
        <f>IFERROR(IF(ventas_b_mes1[[#This Row],[CUIT]]="","-",VLOOKUP(ventas_b_mes1[[#This Row],[CUIT]],Lista_CUIT[#All],2,0)),"CUIT NO CARGADO")</f>
        <v>-</v>
      </c>
      <c r="H535" s="64">
        <f>ventas_b_mes1[[#This Row],[TOTAL]]/1.21</f>
        <v>0</v>
      </c>
      <c r="I535" s="183">
        <f>ventas_b_mes1[[#This Row],[IMPORTE NETO]]*0.21</f>
        <v>0</v>
      </c>
      <c r="J535" s="184"/>
      <c r="K535" s="184"/>
      <c r="L535" s="184"/>
      <c r="M535" s="59"/>
    </row>
    <row r="536" spans="2:13" x14ac:dyDescent="0.3">
      <c r="B536" s="178"/>
      <c r="C536" s="179"/>
      <c r="D536" s="180"/>
      <c r="E536" s="181"/>
      <c r="F536" s="182"/>
      <c r="G536" s="1" t="str">
        <f>IFERROR(IF(ventas_b_mes1[[#This Row],[CUIT]]="","-",VLOOKUP(ventas_b_mes1[[#This Row],[CUIT]],Lista_CUIT[#All],2,0)),"CUIT NO CARGADO")</f>
        <v>-</v>
      </c>
      <c r="H536" s="64">
        <f>ventas_b_mes1[[#This Row],[TOTAL]]/1.21</f>
        <v>0</v>
      </c>
      <c r="I536" s="183">
        <f>ventas_b_mes1[[#This Row],[IMPORTE NETO]]*0.21</f>
        <v>0</v>
      </c>
      <c r="J536" s="184"/>
      <c r="K536" s="184"/>
      <c r="L536" s="184"/>
      <c r="M536" s="59"/>
    </row>
    <row r="537" spans="2:13" x14ac:dyDescent="0.3">
      <c r="B537" s="178"/>
      <c r="C537" s="179"/>
      <c r="D537" s="180"/>
      <c r="E537" s="181"/>
      <c r="F537" s="182"/>
      <c r="G537" s="1" t="str">
        <f>IFERROR(IF(ventas_b_mes1[[#This Row],[CUIT]]="","-",VLOOKUP(ventas_b_mes1[[#This Row],[CUIT]],Lista_CUIT[#All],2,0)),"CUIT NO CARGADO")</f>
        <v>-</v>
      </c>
      <c r="H537" s="64">
        <f>ventas_b_mes1[[#This Row],[TOTAL]]/1.21</f>
        <v>0</v>
      </c>
      <c r="I537" s="183">
        <f>ventas_b_mes1[[#This Row],[IMPORTE NETO]]*0.21</f>
        <v>0</v>
      </c>
      <c r="J537" s="184"/>
      <c r="K537" s="184"/>
      <c r="L537" s="184"/>
      <c r="M537" s="59"/>
    </row>
    <row r="538" spans="2:13" x14ac:dyDescent="0.3">
      <c r="B538" s="178"/>
      <c r="C538" s="179"/>
      <c r="D538" s="180"/>
      <c r="E538" s="181"/>
      <c r="F538" s="182"/>
      <c r="G538" s="1" t="str">
        <f>IFERROR(IF(ventas_b_mes1[[#This Row],[CUIT]]="","-",VLOOKUP(ventas_b_mes1[[#This Row],[CUIT]],Lista_CUIT[#All],2,0)),"CUIT NO CARGADO")</f>
        <v>-</v>
      </c>
      <c r="H538" s="64">
        <f>ventas_b_mes1[[#This Row],[TOTAL]]/1.21</f>
        <v>0</v>
      </c>
      <c r="I538" s="183">
        <f>ventas_b_mes1[[#This Row],[IMPORTE NETO]]*0.21</f>
        <v>0</v>
      </c>
      <c r="J538" s="184"/>
      <c r="K538" s="184"/>
      <c r="L538" s="184"/>
      <c r="M538" s="59"/>
    </row>
    <row r="539" spans="2:13" x14ac:dyDescent="0.3">
      <c r="B539" s="178"/>
      <c r="C539" s="179"/>
      <c r="D539" s="180"/>
      <c r="E539" s="181"/>
      <c r="F539" s="182"/>
      <c r="G539" s="1" t="str">
        <f>IFERROR(IF(ventas_b_mes1[[#This Row],[CUIT]]="","-",VLOOKUP(ventas_b_mes1[[#This Row],[CUIT]],Lista_CUIT[#All],2,0)),"CUIT NO CARGADO")</f>
        <v>-</v>
      </c>
      <c r="H539" s="64">
        <f>ventas_b_mes1[[#This Row],[TOTAL]]/1.21</f>
        <v>0</v>
      </c>
      <c r="I539" s="183">
        <f>ventas_b_mes1[[#This Row],[IMPORTE NETO]]*0.21</f>
        <v>0</v>
      </c>
      <c r="J539" s="184"/>
      <c r="K539" s="184"/>
      <c r="L539" s="184"/>
      <c r="M539" s="59"/>
    </row>
    <row r="540" spans="2:13" x14ac:dyDescent="0.3">
      <c r="B540" s="178"/>
      <c r="C540" s="179"/>
      <c r="D540" s="180"/>
      <c r="E540" s="181"/>
      <c r="F540" s="182"/>
      <c r="G540" s="1" t="str">
        <f>IFERROR(IF(ventas_b_mes1[[#This Row],[CUIT]]="","-",VLOOKUP(ventas_b_mes1[[#This Row],[CUIT]],Lista_CUIT[#All],2,0)),"CUIT NO CARGADO")</f>
        <v>-</v>
      </c>
      <c r="H540" s="64">
        <f>ventas_b_mes1[[#This Row],[TOTAL]]/1.21</f>
        <v>0</v>
      </c>
      <c r="I540" s="183">
        <f>ventas_b_mes1[[#This Row],[IMPORTE NETO]]*0.21</f>
        <v>0</v>
      </c>
      <c r="J540" s="184"/>
      <c r="K540" s="184"/>
      <c r="L540" s="184"/>
      <c r="M540" s="59"/>
    </row>
    <row r="541" spans="2:13" x14ac:dyDescent="0.3">
      <c r="B541" s="178"/>
      <c r="C541" s="179"/>
      <c r="D541" s="180"/>
      <c r="E541" s="181"/>
      <c r="F541" s="182"/>
      <c r="G541" s="1" t="str">
        <f>IFERROR(IF(ventas_b_mes1[[#This Row],[CUIT]]="","-",VLOOKUP(ventas_b_mes1[[#This Row],[CUIT]],Lista_CUIT[#All],2,0)),"CUIT NO CARGADO")</f>
        <v>-</v>
      </c>
      <c r="H541" s="64">
        <f>ventas_b_mes1[[#This Row],[TOTAL]]/1.21</f>
        <v>0</v>
      </c>
      <c r="I541" s="183">
        <f>ventas_b_mes1[[#This Row],[IMPORTE NETO]]*0.21</f>
        <v>0</v>
      </c>
      <c r="J541" s="184"/>
      <c r="K541" s="184"/>
      <c r="L541" s="184"/>
      <c r="M541" s="59"/>
    </row>
    <row r="542" spans="2:13" x14ac:dyDescent="0.3">
      <c r="B542" s="178"/>
      <c r="C542" s="179"/>
      <c r="D542" s="180"/>
      <c r="E542" s="181"/>
      <c r="F542" s="182"/>
      <c r="G542" s="1" t="str">
        <f>IFERROR(IF(ventas_b_mes1[[#This Row],[CUIT]]="","-",VLOOKUP(ventas_b_mes1[[#This Row],[CUIT]],Lista_CUIT[#All],2,0)),"CUIT NO CARGADO")</f>
        <v>-</v>
      </c>
      <c r="H542" s="64">
        <f>ventas_b_mes1[[#This Row],[TOTAL]]/1.21</f>
        <v>0</v>
      </c>
      <c r="I542" s="183">
        <f>ventas_b_mes1[[#This Row],[IMPORTE NETO]]*0.21</f>
        <v>0</v>
      </c>
      <c r="J542" s="184"/>
      <c r="K542" s="184"/>
      <c r="L542" s="184"/>
      <c r="M542" s="59"/>
    </row>
    <row r="543" spans="2:13" x14ac:dyDescent="0.3">
      <c r="B543" s="178"/>
      <c r="C543" s="179"/>
      <c r="D543" s="180"/>
      <c r="E543" s="181"/>
      <c r="F543" s="182"/>
      <c r="G543" s="1" t="str">
        <f>IFERROR(IF(ventas_b_mes1[[#This Row],[CUIT]]="","-",VLOOKUP(ventas_b_mes1[[#This Row],[CUIT]],Lista_CUIT[#All],2,0)),"CUIT NO CARGADO")</f>
        <v>-</v>
      </c>
      <c r="H543" s="64">
        <f>ventas_b_mes1[[#This Row],[TOTAL]]/1.21</f>
        <v>0</v>
      </c>
      <c r="I543" s="183">
        <f>ventas_b_mes1[[#This Row],[IMPORTE NETO]]*0.21</f>
        <v>0</v>
      </c>
      <c r="J543" s="184"/>
      <c r="K543" s="184"/>
      <c r="L543" s="184"/>
      <c r="M543" s="59"/>
    </row>
    <row r="544" spans="2:13" x14ac:dyDescent="0.3">
      <c r="B544" s="178"/>
      <c r="C544" s="179"/>
      <c r="D544" s="180"/>
      <c r="E544" s="181"/>
      <c r="F544" s="182"/>
      <c r="G544" s="1" t="str">
        <f>IFERROR(IF(ventas_b_mes1[[#This Row],[CUIT]]="","-",VLOOKUP(ventas_b_mes1[[#This Row],[CUIT]],Lista_CUIT[#All],2,0)),"CUIT NO CARGADO")</f>
        <v>-</v>
      </c>
      <c r="H544" s="64">
        <f>ventas_b_mes1[[#This Row],[TOTAL]]/1.21</f>
        <v>0</v>
      </c>
      <c r="I544" s="183">
        <f>ventas_b_mes1[[#This Row],[IMPORTE NETO]]*0.21</f>
        <v>0</v>
      </c>
      <c r="J544" s="184"/>
      <c r="K544" s="184"/>
      <c r="L544" s="184"/>
      <c r="M544" s="59"/>
    </row>
    <row r="545" spans="2:13" x14ac:dyDescent="0.3">
      <c r="B545" s="178"/>
      <c r="C545" s="179"/>
      <c r="D545" s="180"/>
      <c r="E545" s="181"/>
      <c r="F545" s="182"/>
      <c r="G545" s="1" t="str">
        <f>IFERROR(IF(ventas_b_mes1[[#This Row],[CUIT]]="","-",VLOOKUP(ventas_b_mes1[[#This Row],[CUIT]],Lista_CUIT[#All],2,0)),"CUIT NO CARGADO")</f>
        <v>-</v>
      </c>
      <c r="H545" s="64">
        <f>ventas_b_mes1[[#This Row],[TOTAL]]/1.21</f>
        <v>0</v>
      </c>
      <c r="I545" s="183">
        <f>ventas_b_mes1[[#This Row],[IMPORTE NETO]]*0.21</f>
        <v>0</v>
      </c>
      <c r="J545" s="184"/>
      <c r="K545" s="184"/>
      <c r="L545" s="184"/>
      <c r="M545" s="59"/>
    </row>
    <row r="546" spans="2:13" x14ac:dyDescent="0.3">
      <c r="B546" s="178"/>
      <c r="C546" s="179"/>
      <c r="D546" s="180"/>
      <c r="E546" s="181"/>
      <c r="F546" s="182"/>
      <c r="G546" s="1" t="str">
        <f>IFERROR(IF(ventas_b_mes1[[#This Row],[CUIT]]="","-",VLOOKUP(ventas_b_mes1[[#This Row],[CUIT]],Lista_CUIT[#All],2,0)),"CUIT NO CARGADO")</f>
        <v>-</v>
      </c>
      <c r="H546" s="64">
        <f>ventas_b_mes1[[#This Row],[TOTAL]]/1.21</f>
        <v>0</v>
      </c>
      <c r="I546" s="183">
        <f>ventas_b_mes1[[#This Row],[IMPORTE NETO]]*0.21</f>
        <v>0</v>
      </c>
      <c r="J546" s="184"/>
      <c r="K546" s="184"/>
      <c r="L546" s="184"/>
      <c r="M546" s="59"/>
    </row>
    <row r="547" spans="2:13" x14ac:dyDescent="0.3">
      <c r="B547" s="178"/>
      <c r="C547" s="179"/>
      <c r="D547" s="180"/>
      <c r="E547" s="181"/>
      <c r="F547" s="182"/>
      <c r="G547" s="1" t="str">
        <f>IFERROR(IF(ventas_b_mes1[[#This Row],[CUIT]]="","-",VLOOKUP(ventas_b_mes1[[#This Row],[CUIT]],Lista_CUIT[#All],2,0)),"CUIT NO CARGADO")</f>
        <v>-</v>
      </c>
      <c r="H547" s="64">
        <f>ventas_b_mes1[[#This Row],[TOTAL]]/1.21</f>
        <v>0</v>
      </c>
      <c r="I547" s="183">
        <f>ventas_b_mes1[[#This Row],[IMPORTE NETO]]*0.21</f>
        <v>0</v>
      </c>
      <c r="J547" s="184"/>
      <c r="K547" s="184"/>
      <c r="L547" s="184"/>
      <c r="M547" s="59"/>
    </row>
    <row r="548" spans="2:13" x14ac:dyDescent="0.3">
      <c r="B548" s="178"/>
      <c r="C548" s="179"/>
      <c r="D548" s="180"/>
      <c r="E548" s="181"/>
      <c r="F548" s="182"/>
      <c r="G548" s="1" t="str">
        <f>IFERROR(IF(ventas_b_mes1[[#This Row],[CUIT]]="","-",VLOOKUP(ventas_b_mes1[[#This Row],[CUIT]],Lista_CUIT[#All],2,0)),"CUIT NO CARGADO")</f>
        <v>-</v>
      </c>
      <c r="H548" s="64">
        <f>ventas_b_mes1[[#This Row],[TOTAL]]/1.21</f>
        <v>0</v>
      </c>
      <c r="I548" s="183">
        <f>ventas_b_mes1[[#This Row],[IMPORTE NETO]]*0.21</f>
        <v>0</v>
      </c>
      <c r="J548" s="184"/>
      <c r="K548" s="184"/>
      <c r="L548" s="184"/>
      <c r="M548" s="59"/>
    </row>
    <row r="549" spans="2:13" x14ac:dyDescent="0.3">
      <c r="B549" s="178"/>
      <c r="C549" s="179"/>
      <c r="D549" s="180"/>
      <c r="E549" s="181"/>
      <c r="F549" s="182"/>
      <c r="G549" s="1" t="str">
        <f>IFERROR(IF(ventas_b_mes1[[#This Row],[CUIT]]="","-",VLOOKUP(ventas_b_mes1[[#This Row],[CUIT]],Lista_CUIT[#All],2,0)),"CUIT NO CARGADO")</f>
        <v>-</v>
      </c>
      <c r="H549" s="64">
        <f>ventas_b_mes1[[#This Row],[TOTAL]]/1.21</f>
        <v>0</v>
      </c>
      <c r="I549" s="183">
        <f>ventas_b_mes1[[#This Row],[IMPORTE NETO]]*0.21</f>
        <v>0</v>
      </c>
      <c r="J549" s="184"/>
      <c r="K549" s="184"/>
      <c r="L549" s="184"/>
      <c r="M549" s="59"/>
    </row>
    <row r="550" spans="2:13" x14ac:dyDescent="0.3">
      <c r="B550" s="178"/>
      <c r="C550" s="179"/>
      <c r="D550" s="180"/>
      <c r="E550" s="181"/>
      <c r="F550" s="182"/>
      <c r="G550" s="1" t="str">
        <f>IFERROR(IF(ventas_b_mes1[[#This Row],[CUIT]]="","-",VLOOKUP(ventas_b_mes1[[#This Row],[CUIT]],Lista_CUIT[#All],2,0)),"CUIT NO CARGADO")</f>
        <v>-</v>
      </c>
      <c r="H550" s="64">
        <f>ventas_b_mes1[[#This Row],[TOTAL]]/1.21</f>
        <v>0</v>
      </c>
      <c r="I550" s="183">
        <f>ventas_b_mes1[[#This Row],[IMPORTE NETO]]*0.21</f>
        <v>0</v>
      </c>
      <c r="J550" s="184"/>
      <c r="K550" s="184"/>
      <c r="L550" s="184"/>
      <c r="M550" s="59"/>
    </row>
    <row r="551" spans="2:13" x14ac:dyDescent="0.3">
      <c r="B551" s="178"/>
      <c r="C551" s="179"/>
      <c r="D551" s="180"/>
      <c r="E551" s="181"/>
      <c r="F551" s="182"/>
      <c r="G551" s="1" t="str">
        <f>IFERROR(IF(ventas_b_mes1[[#This Row],[CUIT]]="","-",VLOOKUP(ventas_b_mes1[[#This Row],[CUIT]],Lista_CUIT[#All],2,0)),"CUIT NO CARGADO")</f>
        <v>-</v>
      </c>
      <c r="H551" s="64">
        <f>ventas_b_mes1[[#This Row],[TOTAL]]/1.21</f>
        <v>0</v>
      </c>
      <c r="I551" s="183">
        <f>ventas_b_mes1[[#This Row],[IMPORTE NETO]]*0.21</f>
        <v>0</v>
      </c>
      <c r="J551" s="184"/>
      <c r="K551" s="184"/>
      <c r="L551" s="184"/>
      <c r="M551" s="59"/>
    </row>
    <row r="552" spans="2:13" x14ac:dyDescent="0.3">
      <c r="B552" s="178"/>
      <c r="C552" s="179"/>
      <c r="D552" s="180"/>
      <c r="E552" s="181"/>
      <c r="F552" s="182"/>
      <c r="G552" s="1" t="str">
        <f>IFERROR(IF(ventas_b_mes1[[#This Row],[CUIT]]="","-",VLOOKUP(ventas_b_mes1[[#This Row],[CUIT]],Lista_CUIT[#All],2,0)),"CUIT NO CARGADO")</f>
        <v>-</v>
      </c>
      <c r="H552" s="64">
        <f>ventas_b_mes1[[#This Row],[TOTAL]]/1.21</f>
        <v>0</v>
      </c>
      <c r="I552" s="183">
        <f>ventas_b_mes1[[#This Row],[IMPORTE NETO]]*0.21</f>
        <v>0</v>
      </c>
      <c r="J552" s="184"/>
      <c r="K552" s="184"/>
      <c r="L552" s="184"/>
      <c r="M552" s="59"/>
    </row>
    <row r="553" spans="2:13" x14ac:dyDescent="0.3">
      <c r="B553" s="178"/>
      <c r="C553" s="179"/>
      <c r="D553" s="180"/>
      <c r="E553" s="181"/>
      <c r="F553" s="182"/>
      <c r="G553" s="1" t="str">
        <f>IFERROR(IF(ventas_b_mes1[[#This Row],[CUIT]]="","-",VLOOKUP(ventas_b_mes1[[#This Row],[CUIT]],Lista_CUIT[#All],2,0)),"CUIT NO CARGADO")</f>
        <v>-</v>
      </c>
      <c r="H553" s="64">
        <f>ventas_b_mes1[[#This Row],[TOTAL]]/1.21</f>
        <v>0</v>
      </c>
      <c r="I553" s="183">
        <f>ventas_b_mes1[[#This Row],[IMPORTE NETO]]*0.21</f>
        <v>0</v>
      </c>
      <c r="J553" s="184"/>
      <c r="K553" s="184"/>
      <c r="L553" s="184"/>
      <c r="M553" s="59"/>
    </row>
    <row r="554" spans="2:13" x14ac:dyDescent="0.3">
      <c r="B554" s="178"/>
      <c r="C554" s="179"/>
      <c r="D554" s="180"/>
      <c r="E554" s="181"/>
      <c r="F554" s="182"/>
      <c r="G554" s="1" t="str">
        <f>IFERROR(IF(ventas_b_mes1[[#This Row],[CUIT]]="","-",VLOOKUP(ventas_b_mes1[[#This Row],[CUIT]],Lista_CUIT[#All],2,0)),"CUIT NO CARGADO")</f>
        <v>-</v>
      </c>
      <c r="H554" s="64">
        <f>ventas_b_mes1[[#This Row],[TOTAL]]/1.21</f>
        <v>0</v>
      </c>
      <c r="I554" s="183">
        <f>ventas_b_mes1[[#This Row],[IMPORTE NETO]]*0.21</f>
        <v>0</v>
      </c>
      <c r="J554" s="184"/>
      <c r="K554" s="184"/>
      <c r="L554" s="184"/>
      <c r="M554" s="59"/>
    </row>
    <row r="555" spans="2:13" x14ac:dyDescent="0.3">
      <c r="B555" s="178"/>
      <c r="C555" s="179"/>
      <c r="D555" s="180"/>
      <c r="E555" s="181"/>
      <c r="F555" s="182"/>
      <c r="G555" s="1" t="str">
        <f>IFERROR(IF(ventas_b_mes1[[#This Row],[CUIT]]="","-",VLOOKUP(ventas_b_mes1[[#This Row],[CUIT]],Lista_CUIT[#All],2,0)),"CUIT NO CARGADO")</f>
        <v>-</v>
      </c>
      <c r="H555" s="64">
        <f>ventas_b_mes1[[#This Row],[TOTAL]]/1.21</f>
        <v>0</v>
      </c>
      <c r="I555" s="183">
        <f>ventas_b_mes1[[#This Row],[IMPORTE NETO]]*0.21</f>
        <v>0</v>
      </c>
      <c r="J555" s="184"/>
      <c r="K555" s="184"/>
      <c r="L555" s="184"/>
      <c r="M555" s="59"/>
    </row>
    <row r="556" spans="2:13" x14ac:dyDescent="0.3">
      <c r="B556" s="178"/>
      <c r="C556" s="179"/>
      <c r="D556" s="180"/>
      <c r="E556" s="181"/>
      <c r="F556" s="182"/>
      <c r="G556" s="1" t="str">
        <f>IFERROR(IF(ventas_b_mes1[[#This Row],[CUIT]]="","-",VLOOKUP(ventas_b_mes1[[#This Row],[CUIT]],Lista_CUIT[#All],2,0)),"CUIT NO CARGADO")</f>
        <v>-</v>
      </c>
      <c r="H556" s="64">
        <f>ventas_b_mes1[[#This Row],[TOTAL]]/1.21</f>
        <v>0</v>
      </c>
      <c r="I556" s="183">
        <f>ventas_b_mes1[[#This Row],[IMPORTE NETO]]*0.21</f>
        <v>0</v>
      </c>
      <c r="J556" s="184"/>
      <c r="K556" s="184"/>
      <c r="L556" s="184"/>
      <c r="M556" s="59"/>
    </row>
    <row r="557" spans="2:13" x14ac:dyDescent="0.3">
      <c r="B557" s="178"/>
      <c r="C557" s="179"/>
      <c r="D557" s="180"/>
      <c r="E557" s="181"/>
      <c r="F557" s="182"/>
      <c r="G557" s="1" t="str">
        <f>IFERROR(IF(ventas_b_mes1[[#This Row],[CUIT]]="","-",VLOOKUP(ventas_b_mes1[[#This Row],[CUIT]],Lista_CUIT[#All],2,0)),"CUIT NO CARGADO")</f>
        <v>-</v>
      </c>
      <c r="H557" s="64">
        <f>ventas_b_mes1[[#This Row],[TOTAL]]/1.21</f>
        <v>0</v>
      </c>
      <c r="I557" s="183">
        <f>ventas_b_mes1[[#This Row],[IMPORTE NETO]]*0.21</f>
        <v>0</v>
      </c>
      <c r="J557" s="184"/>
      <c r="K557" s="184"/>
      <c r="L557" s="184"/>
      <c r="M557" s="59"/>
    </row>
    <row r="558" spans="2:13" x14ac:dyDescent="0.3">
      <c r="B558" s="178"/>
      <c r="C558" s="179"/>
      <c r="D558" s="180"/>
      <c r="E558" s="181"/>
      <c r="F558" s="182"/>
      <c r="G558" s="1" t="str">
        <f>IFERROR(IF(ventas_b_mes1[[#This Row],[CUIT]]="","-",VLOOKUP(ventas_b_mes1[[#This Row],[CUIT]],Lista_CUIT[#All],2,0)),"CUIT NO CARGADO")</f>
        <v>-</v>
      </c>
      <c r="H558" s="64">
        <f>ventas_b_mes1[[#This Row],[TOTAL]]/1.21</f>
        <v>0</v>
      </c>
      <c r="I558" s="183">
        <f>ventas_b_mes1[[#This Row],[IMPORTE NETO]]*0.21</f>
        <v>0</v>
      </c>
      <c r="J558" s="184"/>
      <c r="K558" s="184"/>
      <c r="L558" s="184"/>
      <c r="M558" s="59"/>
    </row>
    <row r="559" spans="2:13" x14ac:dyDescent="0.3">
      <c r="B559" s="178"/>
      <c r="C559" s="179"/>
      <c r="D559" s="180"/>
      <c r="E559" s="181"/>
      <c r="F559" s="182"/>
      <c r="G559" s="1" t="str">
        <f>IFERROR(IF(ventas_b_mes1[[#This Row],[CUIT]]="","-",VLOOKUP(ventas_b_mes1[[#This Row],[CUIT]],Lista_CUIT[#All],2,0)),"CUIT NO CARGADO")</f>
        <v>-</v>
      </c>
      <c r="H559" s="64">
        <f>ventas_b_mes1[[#This Row],[TOTAL]]/1.21</f>
        <v>0</v>
      </c>
      <c r="I559" s="183">
        <f>ventas_b_mes1[[#This Row],[IMPORTE NETO]]*0.21</f>
        <v>0</v>
      </c>
      <c r="J559" s="184"/>
      <c r="K559" s="184"/>
      <c r="L559" s="184"/>
      <c r="M559" s="59"/>
    </row>
    <row r="560" spans="2:13" x14ac:dyDescent="0.3">
      <c r="B560" s="178"/>
      <c r="C560" s="179"/>
      <c r="D560" s="180"/>
      <c r="E560" s="181"/>
      <c r="F560" s="182"/>
      <c r="G560" s="1" t="str">
        <f>IFERROR(IF(ventas_b_mes1[[#This Row],[CUIT]]="","-",VLOOKUP(ventas_b_mes1[[#This Row],[CUIT]],Lista_CUIT[#All],2,0)),"CUIT NO CARGADO")</f>
        <v>-</v>
      </c>
      <c r="H560" s="64">
        <f>ventas_b_mes1[[#This Row],[TOTAL]]/1.21</f>
        <v>0</v>
      </c>
      <c r="I560" s="183">
        <f>ventas_b_mes1[[#This Row],[IMPORTE NETO]]*0.21</f>
        <v>0</v>
      </c>
      <c r="J560" s="184"/>
      <c r="K560" s="184"/>
      <c r="L560" s="184"/>
      <c r="M560" s="59"/>
    </row>
    <row r="561" spans="2:13" x14ac:dyDescent="0.3">
      <c r="B561" s="178"/>
      <c r="C561" s="179"/>
      <c r="D561" s="180"/>
      <c r="E561" s="181"/>
      <c r="F561" s="182"/>
      <c r="G561" s="1" t="str">
        <f>IFERROR(IF(ventas_b_mes1[[#This Row],[CUIT]]="","-",VLOOKUP(ventas_b_mes1[[#This Row],[CUIT]],Lista_CUIT[#All],2,0)),"CUIT NO CARGADO")</f>
        <v>-</v>
      </c>
      <c r="H561" s="64">
        <f>ventas_b_mes1[[#This Row],[TOTAL]]/1.21</f>
        <v>0</v>
      </c>
      <c r="I561" s="183">
        <f>ventas_b_mes1[[#This Row],[IMPORTE NETO]]*0.21</f>
        <v>0</v>
      </c>
      <c r="J561" s="184"/>
      <c r="K561" s="184"/>
      <c r="L561" s="184"/>
      <c r="M561" s="59"/>
    </row>
    <row r="562" spans="2:13" x14ac:dyDescent="0.3">
      <c r="B562" s="178"/>
      <c r="C562" s="179"/>
      <c r="D562" s="180"/>
      <c r="E562" s="181"/>
      <c r="F562" s="182"/>
      <c r="G562" s="1" t="str">
        <f>IFERROR(IF(ventas_b_mes1[[#This Row],[CUIT]]="","-",VLOOKUP(ventas_b_mes1[[#This Row],[CUIT]],Lista_CUIT[#All],2,0)),"CUIT NO CARGADO")</f>
        <v>-</v>
      </c>
      <c r="H562" s="64">
        <f>ventas_b_mes1[[#This Row],[TOTAL]]/1.21</f>
        <v>0</v>
      </c>
      <c r="I562" s="183">
        <f>ventas_b_mes1[[#This Row],[IMPORTE NETO]]*0.21</f>
        <v>0</v>
      </c>
      <c r="J562" s="184"/>
      <c r="K562" s="184"/>
      <c r="L562" s="184"/>
      <c r="M562" s="59"/>
    </row>
    <row r="563" spans="2:13" x14ac:dyDescent="0.3">
      <c r="B563" s="178"/>
      <c r="C563" s="179"/>
      <c r="D563" s="180"/>
      <c r="E563" s="181"/>
      <c r="F563" s="182"/>
      <c r="G563" s="1" t="str">
        <f>IFERROR(IF(ventas_b_mes1[[#This Row],[CUIT]]="","-",VLOOKUP(ventas_b_mes1[[#This Row],[CUIT]],Lista_CUIT[#All],2,0)),"CUIT NO CARGADO")</f>
        <v>-</v>
      </c>
      <c r="H563" s="64">
        <f>ventas_b_mes1[[#This Row],[TOTAL]]/1.21</f>
        <v>0</v>
      </c>
      <c r="I563" s="183">
        <f>ventas_b_mes1[[#This Row],[IMPORTE NETO]]*0.21</f>
        <v>0</v>
      </c>
      <c r="J563" s="184"/>
      <c r="K563" s="184"/>
      <c r="L563" s="184"/>
      <c r="M563" s="59"/>
    </row>
    <row r="564" spans="2:13" x14ac:dyDescent="0.3">
      <c r="B564" s="178"/>
      <c r="C564" s="179"/>
      <c r="D564" s="180"/>
      <c r="E564" s="181"/>
      <c r="F564" s="182"/>
      <c r="G564" s="1" t="str">
        <f>IFERROR(IF(ventas_b_mes1[[#This Row],[CUIT]]="","-",VLOOKUP(ventas_b_mes1[[#This Row],[CUIT]],Lista_CUIT[#All],2,0)),"CUIT NO CARGADO")</f>
        <v>-</v>
      </c>
      <c r="H564" s="64">
        <f>ventas_b_mes1[[#This Row],[TOTAL]]/1.21</f>
        <v>0</v>
      </c>
      <c r="I564" s="183">
        <f>ventas_b_mes1[[#This Row],[IMPORTE NETO]]*0.21</f>
        <v>0</v>
      </c>
      <c r="J564" s="184"/>
      <c r="K564" s="184"/>
      <c r="L564" s="184"/>
      <c r="M564" s="59"/>
    </row>
    <row r="565" spans="2:13" x14ac:dyDescent="0.3">
      <c r="B565" s="178"/>
      <c r="C565" s="179"/>
      <c r="D565" s="180"/>
      <c r="E565" s="181"/>
      <c r="F565" s="182"/>
      <c r="G565" s="1" t="str">
        <f>IFERROR(IF(ventas_b_mes1[[#This Row],[CUIT]]="","-",VLOOKUP(ventas_b_mes1[[#This Row],[CUIT]],Lista_CUIT[#All],2,0)),"CUIT NO CARGADO")</f>
        <v>-</v>
      </c>
      <c r="H565" s="64">
        <f>ventas_b_mes1[[#This Row],[TOTAL]]/1.21</f>
        <v>0</v>
      </c>
      <c r="I565" s="183">
        <f>ventas_b_mes1[[#This Row],[IMPORTE NETO]]*0.21</f>
        <v>0</v>
      </c>
      <c r="J565" s="184"/>
      <c r="K565" s="184"/>
      <c r="L565" s="184"/>
      <c r="M565" s="59"/>
    </row>
    <row r="566" spans="2:13" x14ac:dyDescent="0.3">
      <c r="B566" s="178"/>
      <c r="C566" s="179"/>
      <c r="D566" s="180"/>
      <c r="E566" s="181"/>
      <c r="F566" s="182"/>
      <c r="G566" s="1" t="str">
        <f>IFERROR(IF(ventas_b_mes1[[#This Row],[CUIT]]="","-",VLOOKUP(ventas_b_mes1[[#This Row],[CUIT]],Lista_CUIT[#All],2,0)),"CUIT NO CARGADO")</f>
        <v>-</v>
      </c>
      <c r="H566" s="64">
        <f>ventas_b_mes1[[#This Row],[TOTAL]]/1.21</f>
        <v>0</v>
      </c>
      <c r="I566" s="183">
        <f>ventas_b_mes1[[#This Row],[IMPORTE NETO]]*0.21</f>
        <v>0</v>
      </c>
      <c r="J566" s="184"/>
      <c r="K566" s="184"/>
      <c r="L566" s="184"/>
      <c r="M566" s="59"/>
    </row>
    <row r="567" spans="2:13" x14ac:dyDescent="0.3">
      <c r="B567" s="178"/>
      <c r="C567" s="179"/>
      <c r="D567" s="180"/>
      <c r="E567" s="181"/>
      <c r="F567" s="182"/>
      <c r="G567" s="1" t="str">
        <f>IFERROR(IF(ventas_b_mes1[[#This Row],[CUIT]]="","-",VLOOKUP(ventas_b_mes1[[#This Row],[CUIT]],Lista_CUIT[#All],2,0)),"CUIT NO CARGADO")</f>
        <v>-</v>
      </c>
      <c r="H567" s="64">
        <f>ventas_b_mes1[[#This Row],[TOTAL]]/1.21</f>
        <v>0</v>
      </c>
      <c r="I567" s="183">
        <f>ventas_b_mes1[[#This Row],[IMPORTE NETO]]*0.21</f>
        <v>0</v>
      </c>
      <c r="J567" s="184"/>
      <c r="K567" s="184"/>
      <c r="L567" s="184"/>
      <c r="M567" s="59"/>
    </row>
    <row r="568" spans="2:13" x14ac:dyDescent="0.3">
      <c r="B568" s="178"/>
      <c r="C568" s="179"/>
      <c r="D568" s="180"/>
      <c r="E568" s="181"/>
      <c r="F568" s="182"/>
      <c r="G568" s="1" t="str">
        <f>IFERROR(IF(ventas_b_mes1[[#This Row],[CUIT]]="","-",VLOOKUP(ventas_b_mes1[[#This Row],[CUIT]],Lista_CUIT[#All],2,0)),"CUIT NO CARGADO")</f>
        <v>-</v>
      </c>
      <c r="H568" s="64">
        <f>ventas_b_mes1[[#This Row],[TOTAL]]/1.21</f>
        <v>0</v>
      </c>
      <c r="I568" s="183">
        <f>ventas_b_mes1[[#This Row],[IMPORTE NETO]]*0.21</f>
        <v>0</v>
      </c>
      <c r="J568" s="184"/>
      <c r="K568" s="184"/>
      <c r="L568" s="184"/>
      <c r="M568" s="59"/>
    </row>
    <row r="569" spans="2:13" x14ac:dyDescent="0.3">
      <c r="B569" s="178"/>
      <c r="C569" s="179"/>
      <c r="D569" s="180"/>
      <c r="E569" s="181"/>
      <c r="F569" s="182"/>
      <c r="G569" s="1" t="str">
        <f>IFERROR(IF(ventas_b_mes1[[#This Row],[CUIT]]="","-",VLOOKUP(ventas_b_mes1[[#This Row],[CUIT]],Lista_CUIT[#All],2,0)),"CUIT NO CARGADO")</f>
        <v>-</v>
      </c>
      <c r="H569" s="64">
        <f>ventas_b_mes1[[#This Row],[TOTAL]]/1.21</f>
        <v>0</v>
      </c>
      <c r="I569" s="183">
        <f>ventas_b_mes1[[#This Row],[IMPORTE NETO]]*0.21</f>
        <v>0</v>
      </c>
      <c r="J569" s="184"/>
      <c r="K569" s="184"/>
      <c r="L569" s="184"/>
      <c r="M569" s="59"/>
    </row>
    <row r="570" spans="2:13" x14ac:dyDescent="0.3">
      <c r="B570" s="178"/>
      <c r="C570" s="179"/>
      <c r="D570" s="180"/>
      <c r="E570" s="181"/>
      <c r="F570" s="182"/>
      <c r="G570" s="1" t="str">
        <f>IFERROR(IF(ventas_b_mes1[[#This Row],[CUIT]]="","-",VLOOKUP(ventas_b_mes1[[#This Row],[CUIT]],Lista_CUIT[#All],2,0)),"CUIT NO CARGADO")</f>
        <v>-</v>
      </c>
      <c r="H570" s="64">
        <f>ventas_b_mes1[[#This Row],[TOTAL]]/1.21</f>
        <v>0</v>
      </c>
      <c r="I570" s="183">
        <f>ventas_b_mes1[[#This Row],[IMPORTE NETO]]*0.21</f>
        <v>0</v>
      </c>
      <c r="J570" s="184"/>
      <c r="K570" s="184"/>
      <c r="L570" s="184"/>
      <c r="M570" s="59"/>
    </row>
    <row r="571" spans="2:13" x14ac:dyDescent="0.3">
      <c r="B571" s="178"/>
      <c r="C571" s="179"/>
      <c r="D571" s="180"/>
      <c r="E571" s="181"/>
      <c r="F571" s="182"/>
      <c r="G571" s="1" t="str">
        <f>IFERROR(IF(ventas_b_mes1[[#This Row],[CUIT]]="","-",VLOOKUP(ventas_b_mes1[[#This Row],[CUIT]],Lista_CUIT[#All],2,0)),"CUIT NO CARGADO")</f>
        <v>-</v>
      </c>
      <c r="H571" s="64">
        <f>ventas_b_mes1[[#This Row],[TOTAL]]/1.21</f>
        <v>0</v>
      </c>
      <c r="I571" s="183">
        <f>ventas_b_mes1[[#This Row],[IMPORTE NETO]]*0.21</f>
        <v>0</v>
      </c>
      <c r="J571" s="184"/>
      <c r="K571" s="184"/>
      <c r="L571" s="184"/>
      <c r="M571" s="59"/>
    </row>
    <row r="572" spans="2:13" x14ac:dyDescent="0.3">
      <c r="B572" s="178"/>
      <c r="C572" s="179"/>
      <c r="D572" s="180"/>
      <c r="E572" s="181"/>
      <c r="F572" s="182"/>
      <c r="G572" s="1" t="str">
        <f>IFERROR(IF(ventas_b_mes1[[#This Row],[CUIT]]="","-",VLOOKUP(ventas_b_mes1[[#This Row],[CUIT]],Lista_CUIT[#All],2,0)),"CUIT NO CARGADO")</f>
        <v>-</v>
      </c>
      <c r="H572" s="64">
        <f>ventas_b_mes1[[#This Row],[TOTAL]]/1.21</f>
        <v>0</v>
      </c>
      <c r="I572" s="183">
        <f>ventas_b_mes1[[#This Row],[IMPORTE NETO]]*0.21</f>
        <v>0</v>
      </c>
      <c r="J572" s="184"/>
      <c r="K572" s="184"/>
      <c r="L572" s="184"/>
      <c r="M572" s="59"/>
    </row>
    <row r="573" spans="2:13" x14ac:dyDescent="0.3">
      <c r="B573" s="178"/>
      <c r="C573" s="179"/>
      <c r="D573" s="180"/>
      <c r="E573" s="181"/>
      <c r="F573" s="182"/>
      <c r="G573" s="1" t="str">
        <f>IFERROR(IF(ventas_b_mes1[[#This Row],[CUIT]]="","-",VLOOKUP(ventas_b_mes1[[#This Row],[CUIT]],Lista_CUIT[#All],2,0)),"CUIT NO CARGADO")</f>
        <v>-</v>
      </c>
      <c r="H573" s="64">
        <f>ventas_b_mes1[[#This Row],[TOTAL]]/1.21</f>
        <v>0</v>
      </c>
      <c r="I573" s="183">
        <f>ventas_b_mes1[[#This Row],[IMPORTE NETO]]*0.21</f>
        <v>0</v>
      </c>
      <c r="J573" s="184"/>
      <c r="K573" s="184"/>
      <c r="L573" s="184"/>
      <c r="M573" s="59"/>
    </row>
    <row r="574" spans="2:13" x14ac:dyDescent="0.3">
      <c r="B574" s="178"/>
      <c r="C574" s="179"/>
      <c r="D574" s="180"/>
      <c r="E574" s="181"/>
      <c r="F574" s="182"/>
      <c r="G574" s="1" t="str">
        <f>IFERROR(IF(ventas_b_mes1[[#This Row],[CUIT]]="","-",VLOOKUP(ventas_b_mes1[[#This Row],[CUIT]],Lista_CUIT[#All],2,0)),"CUIT NO CARGADO")</f>
        <v>-</v>
      </c>
      <c r="H574" s="64">
        <f>ventas_b_mes1[[#This Row],[TOTAL]]/1.21</f>
        <v>0</v>
      </c>
      <c r="I574" s="183">
        <f>ventas_b_mes1[[#This Row],[IMPORTE NETO]]*0.21</f>
        <v>0</v>
      </c>
      <c r="J574" s="184"/>
      <c r="K574" s="184"/>
      <c r="L574" s="184"/>
      <c r="M574" s="59"/>
    </row>
    <row r="575" spans="2:13" x14ac:dyDescent="0.3">
      <c r="B575" s="178"/>
      <c r="C575" s="179"/>
      <c r="D575" s="180"/>
      <c r="E575" s="181"/>
      <c r="F575" s="182"/>
      <c r="G575" s="1" t="str">
        <f>IFERROR(IF(ventas_b_mes1[[#This Row],[CUIT]]="","-",VLOOKUP(ventas_b_mes1[[#This Row],[CUIT]],Lista_CUIT[#All],2,0)),"CUIT NO CARGADO")</f>
        <v>-</v>
      </c>
      <c r="H575" s="64">
        <f>ventas_b_mes1[[#This Row],[TOTAL]]/1.21</f>
        <v>0</v>
      </c>
      <c r="I575" s="183">
        <f>ventas_b_mes1[[#This Row],[IMPORTE NETO]]*0.21</f>
        <v>0</v>
      </c>
      <c r="J575" s="184"/>
      <c r="K575" s="184"/>
      <c r="L575" s="184"/>
      <c r="M575" s="59"/>
    </row>
    <row r="576" spans="2:13" x14ac:dyDescent="0.3">
      <c r="B576" s="178"/>
      <c r="C576" s="179"/>
      <c r="D576" s="180"/>
      <c r="E576" s="181"/>
      <c r="F576" s="182"/>
      <c r="G576" s="1" t="str">
        <f>IFERROR(IF(ventas_b_mes1[[#This Row],[CUIT]]="","-",VLOOKUP(ventas_b_mes1[[#This Row],[CUIT]],Lista_CUIT[#All],2,0)),"CUIT NO CARGADO")</f>
        <v>-</v>
      </c>
      <c r="H576" s="64">
        <f>ventas_b_mes1[[#This Row],[TOTAL]]/1.21</f>
        <v>0</v>
      </c>
      <c r="I576" s="183">
        <f>ventas_b_mes1[[#This Row],[IMPORTE NETO]]*0.21</f>
        <v>0</v>
      </c>
      <c r="J576" s="184"/>
      <c r="K576" s="184"/>
      <c r="L576" s="184"/>
      <c r="M576" s="59"/>
    </row>
    <row r="577" spans="2:13" x14ac:dyDescent="0.3">
      <c r="B577" s="178"/>
      <c r="C577" s="179"/>
      <c r="D577" s="180"/>
      <c r="E577" s="181"/>
      <c r="F577" s="182"/>
      <c r="G577" s="1" t="str">
        <f>IFERROR(IF(ventas_b_mes1[[#This Row],[CUIT]]="","-",VLOOKUP(ventas_b_mes1[[#This Row],[CUIT]],Lista_CUIT[#All],2,0)),"CUIT NO CARGADO")</f>
        <v>-</v>
      </c>
      <c r="H577" s="64">
        <f>ventas_b_mes1[[#This Row],[TOTAL]]/1.21</f>
        <v>0</v>
      </c>
      <c r="I577" s="183">
        <f>ventas_b_mes1[[#This Row],[IMPORTE NETO]]*0.21</f>
        <v>0</v>
      </c>
      <c r="J577" s="184"/>
      <c r="K577" s="184"/>
      <c r="L577" s="184"/>
      <c r="M577" s="59"/>
    </row>
    <row r="578" spans="2:13" x14ac:dyDescent="0.3">
      <c r="B578" s="178"/>
      <c r="C578" s="179"/>
      <c r="D578" s="180"/>
      <c r="E578" s="181"/>
      <c r="F578" s="182"/>
      <c r="G578" s="1" t="str">
        <f>IFERROR(IF(ventas_b_mes1[[#This Row],[CUIT]]="","-",VLOOKUP(ventas_b_mes1[[#This Row],[CUIT]],Lista_CUIT[#All],2,0)),"CUIT NO CARGADO")</f>
        <v>-</v>
      </c>
      <c r="H578" s="64">
        <f>ventas_b_mes1[[#This Row],[TOTAL]]/1.21</f>
        <v>0</v>
      </c>
      <c r="I578" s="183">
        <f>ventas_b_mes1[[#This Row],[IMPORTE NETO]]*0.21</f>
        <v>0</v>
      </c>
      <c r="J578" s="184"/>
      <c r="K578" s="184"/>
      <c r="L578" s="184"/>
      <c r="M578" s="59"/>
    </row>
    <row r="579" spans="2:13" x14ac:dyDescent="0.3">
      <c r="B579" s="178"/>
      <c r="C579" s="179"/>
      <c r="D579" s="180"/>
      <c r="E579" s="181"/>
      <c r="F579" s="182"/>
      <c r="G579" s="1" t="str">
        <f>IFERROR(IF(ventas_b_mes1[[#This Row],[CUIT]]="","-",VLOOKUP(ventas_b_mes1[[#This Row],[CUIT]],Lista_CUIT[#All],2,0)),"CUIT NO CARGADO")</f>
        <v>-</v>
      </c>
      <c r="H579" s="64">
        <f>ventas_b_mes1[[#This Row],[TOTAL]]/1.21</f>
        <v>0</v>
      </c>
      <c r="I579" s="183">
        <f>ventas_b_mes1[[#This Row],[IMPORTE NETO]]*0.21</f>
        <v>0</v>
      </c>
      <c r="J579" s="184"/>
      <c r="K579" s="184"/>
      <c r="L579" s="184"/>
      <c r="M579" s="59"/>
    </row>
    <row r="580" spans="2:13" x14ac:dyDescent="0.3">
      <c r="B580" s="178"/>
      <c r="C580" s="179"/>
      <c r="D580" s="180"/>
      <c r="E580" s="181"/>
      <c r="F580" s="182"/>
      <c r="G580" s="1" t="str">
        <f>IFERROR(IF(ventas_b_mes1[[#This Row],[CUIT]]="","-",VLOOKUP(ventas_b_mes1[[#This Row],[CUIT]],Lista_CUIT[#All],2,0)),"CUIT NO CARGADO")</f>
        <v>-</v>
      </c>
      <c r="H580" s="64">
        <f>ventas_b_mes1[[#This Row],[TOTAL]]/1.21</f>
        <v>0</v>
      </c>
      <c r="I580" s="183">
        <f>ventas_b_mes1[[#This Row],[IMPORTE NETO]]*0.21</f>
        <v>0</v>
      </c>
      <c r="J580" s="184"/>
      <c r="K580" s="184"/>
      <c r="L580" s="184"/>
      <c r="M580" s="59"/>
    </row>
    <row r="581" spans="2:13" x14ac:dyDescent="0.3">
      <c r="B581" s="178"/>
      <c r="C581" s="179"/>
      <c r="D581" s="180"/>
      <c r="E581" s="181"/>
      <c r="F581" s="182"/>
      <c r="G581" s="1" t="str">
        <f>IFERROR(IF(ventas_b_mes1[[#This Row],[CUIT]]="","-",VLOOKUP(ventas_b_mes1[[#This Row],[CUIT]],Lista_CUIT[#All],2,0)),"CUIT NO CARGADO")</f>
        <v>-</v>
      </c>
      <c r="H581" s="64">
        <f>ventas_b_mes1[[#This Row],[TOTAL]]/1.21</f>
        <v>0</v>
      </c>
      <c r="I581" s="183">
        <f>ventas_b_mes1[[#This Row],[IMPORTE NETO]]*0.21</f>
        <v>0</v>
      </c>
      <c r="J581" s="184"/>
      <c r="K581" s="184"/>
      <c r="L581" s="184"/>
      <c r="M581" s="59"/>
    </row>
    <row r="582" spans="2:13" x14ac:dyDescent="0.3">
      <c r="B582" s="178"/>
      <c r="C582" s="179"/>
      <c r="D582" s="180"/>
      <c r="E582" s="181"/>
      <c r="F582" s="182"/>
      <c r="G582" s="1" t="str">
        <f>IFERROR(IF(ventas_b_mes1[[#This Row],[CUIT]]="","-",VLOOKUP(ventas_b_mes1[[#This Row],[CUIT]],Lista_CUIT[#All],2,0)),"CUIT NO CARGADO")</f>
        <v>-</v>
      </c>
      <c r="H582" s="64">
        <f>ventas_b_mes1[[#This Row],[TOTAL]]/1.21</f>
        <v>0</v>
      </c>
      <c r="I582" s="183">
        <f>ventas_b_mes1[[#This Row],[IMPORTE NETO]]*0.21</f>
        <v>0</v>
      </c>
      <c r="J582" s="184"/>
      <c r="K582" s="184"/>
      <c r="L582" s="184"/>
      <c r="M582" s="59"/>
    </row>
    <row r="583" spans="2:13" x14ac:dyDescent="0.3">
      <c r="B583" s="40"/>
      <c r="C583" s="41"/>
      <c r="D583" s="42"/>
      <c r="E583" s="43"/>
      <c r="F583" s="44"/>
      <c r="G583" s="1" t="str">
        <f>IFERROR(IF(ventas_b_mes1[[#This Row],[CUIT]]="","-",VLOOKUP(ventas_b_mes1[[#This Row],[CUIT]],Lista_CUIT[#All],2,0)),"CUIT NO CARGADO")</f>
        <v>-</v>
      </c>
      <c r="H583" s="64">
        <f>ventas_b_mes1[[#This Row],[TOTAL]]/1.21</f>
        <v>0</v>
      </c>
      <c r="I583" s="64">
        <f>ventas_b_mes1[[#This Row],[IMPORTE NETO]]*0.21</f>
        <v>0</v>
      </c>
      <c r="J583" s="64"/>
      <c r="K583" s="64"/>
      <c r="L583" s="64"/>
      <c r="M583" s="59"/>
    </row>
    <row r="584" spans="2:13" x14ac:dyDescent="0.3">
      <c r="B584" s="178"/>
      <c r="C584" s="179"/>
      <c r="D584" s="180"/>
      <c r="E584" s="181"/>
      <c r="F584" s="182"/>
      <c r="G584" s="1" t="str">
        <f>IFERROR(IF(ventas_b_mes1[[#This Row],[CUIT]]="","-",VLOOKUP(ventas_b_mes1[[#This Row],[CUIT]],Lista_CUIT[#All],2,0)),"CUIT NO CARGADO")</f>
        <v>-</v>
      </c>
      <c r="H584" s="64">
        <f>ventas_b_mes1[[#This Row],[TOTAL]]/1.21</f>
        <v>0</v>
      </c>
      <c r="I584" s="183">
        <f>ventas_b_mes1[[#This Row],[IMPORTE NETO]]*0.21</f>
        <v>0</v>
      </c>
      <c r="J584" s="184"/>
      <c r="K584" s="184"/>
      <c r="L584" s="184"/>
      <c r="M584" s="59"/>
    </row>
    <row r="585" spans="2:13" x14ac:dyDescent="0.3">
      <c r="B585" s="178"/>
      <c r="C585" s="179"/>
      <c r="D585" s="180"/>
      <c r="E585" s="181"/>
      <c r="F585" s="182"/>
      <c r="G585" s="1" t="str">
        <f>IFERROR(IF(ventas_b_mes1[[#This Row],[CUIT]]="","-",VLOOKUP(ventas_b_mes1[[#This Row],[CUIT]],Lista_CUIT[#All],2,0)),"CUIT NO CARGADO")</f>
        <v>-</v>
      </c>
      <c r="H585" s="64">
        <f>ventas_b_mes1[[#This Row],[TOTAL]]/1.21</f>
        <v>0</v>
      </c>
      <c r="I585" s="183">
        <f>ventas_b_mes1[[#This Row],[IMPORTE NETO]]*0.21</f>
        <v>0</v>
      </c>
      <c r="J585" s="184"/>
      <c r="K585" s="184"/>
      <c r="L585" s="184"/>
      <c r="M585" s="59"/>
    </row>
    <row r="586" spans="2:13" x14ac:dyDescent="0.3">
      <c r="B586" s="178"/>
      <c r="C586" s="179"/>
      <c r="D586" s="180"/>
      <c r="E586" s="181"/>
      <c r="F586" s="182"/>
      <c r="G586" s="1" t="str">
        <f>IFERROR(IF(ventas_b_mes1[[#This Row],[CUIT]]="","-",VLOOKUP(ventas_b_mes1[[#This Row],[CUIT]],Lista_CUIT[#All],2,0)),"CUIT NO CARGADO")</f>
        <v>-</v>
      </c>
      <c r="H586" s="64">
        <f>ventas_b_mes1[[#This Row],[TOTAL]]/1.21</f>
        <v>0</v>
      </c>
      <c r="I586" s="183">
        <f>ventas_b_mes1[[#This Row],[IMPORTE NETO]]*0.21</f>
        <v>0</v>
      </c>
      <c r="J586" s="184"/>
      <c r="K586" s="184"/>
      <c r="L586" s="184"/>
      <c r="M586" s="59"/>
    </row>
    <row r="587" spans="2:13" x14ac:dyDescent="0.3">
      <c r="B587" s="178"/>
      <c r="C587" s="179"/>
      <c r="D587" s="180"/>
      <c r="E587" s="181"/>
      <c r="F587" s="182"/>
      <c r="G587" s="1" t="str">
        <f>IFERROR(IF(ventas_b_mes1[[#This Row],[CUIT]]="","-",VLOOKUP(ventas_b_mes1[[#This Row],[CUIT]],Lista_CUIT[#All],2,0)),"CUIT NO CARGADO")</f>
        <v>-</v>
      </c>
      <c r="H587" s="64">
        <f>ventas_b_mes1[[#This Row],[TOTAL]]/1.21</f>
        <v>0</v>
      </c>
      <c r="I587" s="183">
        <f>ventas_b_mes1[[#This Row],[IMPORTE NETO]]*0.21</f>
        <v>0</v>
      </c>
      <c r="J587" s="184"/>
      <c r="K587" s="184"/>
      <c r="L587" s="184"/>
      <c r="M587" s="59"/>
    </row>
    <row r="588" spans="2:13" x14ac:dyDescent="0.3">
      <c r="B588" s="178"/>
      <c r="C588" s="179"/>
      <c r="D588" s="180"/>
      <c r="E588" s="181"/>
      <c r="F588" s="182"/>
      <c r="G588" s="1" t="str">
        <f>IFERROR(IF(ventas_b_mes1[[#This Row],[CUIT]]="","-",VLOOKUP(ventas_b_mes1[[#This Row],[CUIT]],Lista_CUIT[#All],2,0)),"CUIT NO CARGADO")</f>
        <v>-</v>
      </c>
      <c r="H588" s="64">
        <f>ventas_b_mes1[[#This Row],[TOTAL]]/1.21</f>
        <v>0</v>
      </c>
      <c r="I588" s="183">
        <f>ventas_b_mes1[[#This Row],[IMPORTE NETO]]*0.21</f>
        <v>0</v>
      </c>
      <c r="J588" s="184"/>
      <c r="K588" s="184"/>
      <c r="L588" s="184"/>
      <c r="M588" s="59"/>
    </row>
    <row r="589" spans="2:13" x14ac:dyDescent="0.3">
      <c r="B589" s="178"/>
      <c r="C589" s="179"/>
      <c r="D589" s="180"/>
      <c r="E589" s="181"/>
      <c r="F589" s="182"/>
      <c r="G589" s="1" t="str">
        <f>IFERROR(IF(ventas_b_mes1[[#This Row],[CUIT]]="","-",VLOOKUP(ventas_b_mes1[[#This Row],[CUIT]],Lista_CUIT[#All],2,0)),"CUIT NO CARGADO")</f>
        <v>-</v>
      </c>
      <c r="H589" s="64">
        <f>ventas_b_mes1[[#This Row],[TOTAL]]/1.21</f>
        <v>0</v>
      </c>
      <c r="I589" s="183">
        <f>ventas_b_mes1[[#This Row],[IMPORTE NETO]]*0.21</f>
        <v>0</v>
      </c>
      <c r="J589" s="184"/>
      <c r="K589" s="184"/>
      <c r="L589" s="184"/>
      <c r="M589" s="59"/>
    </row>
    <row r="590" spans="2:13" x14ac:dyDescent="0.3">
      <c r="B590" s="178"/>
      <c r="C590" s="179"/>
      <c r="D590" s="180"/>
      <c r="E590" s="181"/>
      <c r="F590" s="182"/>
      <c r="G590" s="1" t="str">
        <f>IFERROR(IF(ventas_b_mes1[[#This Row],[CUIT]]="","-",VLOOKUP(ventas_b_mes1[[#This Row],[CUIT]],Lista_CUIT[#All],2,0)),"CUIT NO CARGADO")</f>
        <v>-</v>
      </c>
      <c r="H590" s="64">
        <f>ventas_b_mes1[[#This Row],[TOTAL]]/1.21</f>
        <v>0</v>
      </c>
      <c r="I590" s="183">
        <f>ventas_b_mes1[[#This Row],[IMPORTE NETO]]*0.21</f>
        <v>0</v>
      </c>
      <c r="J590" s="184"/>
      <c r="K590" s="184"/>
      <c r="L590" s="184"/>
      <c r="M590" s="59"/>
    </row>
    <row r="591" spans="2:13" x14ac:dyDescent="0.3">
      <c r="B591" s="178"/>
      <c r="C591" s="179"/>
      <c r="D591" s="180"/>
      <c r="E591" s="181"/>
      <c r="F591" s="182"/>
      <c r="G591" s="1" t="str">
        <f>IFERROR(IF(ventas_b_mes1[[#This Row],[CUIT]]="","-",VLOOKUP(ventas_b_mes1[[#This Row],[CUIT]],Lista_CUIT[#All],2,0)),"CUIT NO CARGADO")</f>
        <v>-</v>
      </c>
      <c r="H591" s="64">
        <f>ventas_b_mes1[[#This Row],[TOTAL]]/1.21</f>
        <v>0</v>
      </c>
      <c r="I591" s="183">
        <f>ventas_b_mes1[[#This Row],[IMPORTE NETO]]*0.21</f>
        <v>0</v>
      </c>
      <c r="J591" s="184"/>
      <c r="K591" s="184"/>
      <c r="L591" s="184"/>
      <c r="M591" s="59"/>
    </row>
    <row r="592" spans="2:13" x14ac:dyDescent="0.3">
      <c r="B592" s="178"/>
      <c r="C592" s="179"/>
      <c r="D592" s="180"/>
      <c r="E592" s="181"/>
      <c r="F592" s="182"/>
      <c r="G592" s="1" t="str">
        <f>IFERROR(IF(ventas_b_mes1[[#This Row],[CUIT]]="","-",VLOOKUP(ventas_b_mes1[[#This Row],[CUIT]],Lista_CUIT[#All],2,0)),"CUIT NO CARGADO")</f>
        <v>-</v>
      </c>
      <c r="H592" s="64">
        <f>ventas_b_mes1[[#This Row],[TOTAL]]/1.21</f>
        <v>0</v>
      </c>
      <c r="I592" s="183">
        <f>ventas_b_mes1[[#This Row],[IMPORTE NETO]]*0.21</f>
        <v>0</v>
      </c>
      <c r="J592" s="184"/>
      <c r="K592" s="184"/>
      <c r="L592" s="184"/>
      <c r="M592" s="59"/>
    </row>
    <row r="593" spans="2:13" x14ac:dyDescent="0.3">
      <c r="B593" s="178"/>
      <c r="C593" s="179"/>
      <c r="D593" s="180"/>
      <c r="E593" s="181"/>
      <c r="F593" s="182"/>
      <c r="G593" s="1" t="str">
        <f>IFERROR(IF(ventas_b_mes1[[#This Row],[CUIT]]="","-",VLOOKUP(ventas_b_mes1[[#This Row],[CUIT]],Lista_CUIT[#All],2,0)),"CUIT NO CARGADO")</f>
        <v>-</v>
      </c>
      <c r="H593" s="64">
        <f>ventas_b_mes1[[#This Row],[TOTAL]]/1.21</f>
        <v>0</v>
      </c>
      <c r="I593" s="183">
        <f>ventas_b_mes1[[#This Row],[IMPORTE NETO]]*0.21</f>
        <v>0</v>
      </c>
      <c r="J593" s="184"/>
      <c r="K593" s="184"/>
      <c r="L593" s="184"/>
      <c r="M593" s="59"/>
    </row>
    <row r="594" spans="2:13" x14ac:dyDescent="0.3">
      <c r="B594" s="178"/>
      <c r="C594" s="179"/>
      <c r="D594" s="180"/>
      <c r="E594" s="181"/>
      <c r="F594" s="182"/>
      <c r="G594" s="1" t="str">
        <f>IFERROR(IF(ventas_b_mes1[[#This Row],[CUIT]]="","-",VLOOKUP(ventas_b_mes1[[#This Row],[CUIT]],Lista_CUIT[#All],2,0)),"CUIT NO CARGADO")</f>
        <v>-</v>
      </c>
      <c r="H594" s="64">
        <f>ventas_b_mes1[[#This Row],[TOTAL]]/1.21</f>
        <v>0</v>
      </c>
      <c r="I594" s="183">
        <f>ventas_b_mes1[[#This Row],[IMPORTE NETO]]*0.21</f>
        <v>0</v>
      </c>
      <c r="J594" s="184"/>
      <c r="K594" s="184"/>
      <c r="L594" s="184"/>
      <c r="M594" s="59"/>
    </row>
    <row r="595" spans="2:13" x14ac:dyDescent="0.3">
      <c r="B595" s="178"/>
      <c r="C595" s="179"/>
      <c r="D595" s="180"/>
      <c r="E595" s="181"/>
      <c r="F595" s="182"/>
      <c r="G595" s="1" t="str">
        <f>IFERROR(IF(ventas_b_mes1[[#This Row],[CUIT]]="","-",VLOOKUP(ventas_b_mes1[[#This Row],[CUIT]],Lista_CUIT[#All],2,0)),"CUIT NO CARGADO")</f>
        <v>-</v>
      </c>
      <c r="H595" s="64">
        <f>ventas_b_mes1[[#This Row],[TOTAL]]/1.21</f>
        <v>0</v>
      </c>
      <c r="I595" s="183">
        <f>ventas_b_mes1[[#This Row],[IMPORTE NETO]]*0.21</f>
        <v>0</v>
      </c>
      <c r="J595" s="184"/>
      <c r="K595" s="184"/>
      <c r="L595" s="184"/>
      <c r="M595" s="59"/>
    </row>
    <row r="596" spans="2:13" x14ac:dyDescent="0.3">
      <c r="B596" s="178"/>
      <c r="C596" s="179"/>
      <c r="D596" s="180"/>
      <c r="E596" s="181"/>
      <c r="F596" s="182"/>
      <c r="G596" s="1" t="str">
        <f>IFERROR(IF(ventas_b_mes1[[#This Row],[CUIT]]="","-",VLOOKUP(ventas_b_mes1[[#This Row],[CUIT]],Lista_CUIT[#All],2,0)),"CUIT NO CARGADO")</f>
        <v>-</v>
      </c>
      <c r="H596" s="64">
        <f>ventas_b_mes1[[#This Row],[TOTAL]]/1.21</f>
        <v>0</v>
      </c>
      <c r="I596" s="183">
        <f>ventas_b_mes1[[#This Row],[IMPORTE NETO]]*0.21</f>
        <v>0</v>
      </c>
      <c r="J596" s="184"/>
      <c r="K596" s="184"/>
      <c r="L596" s="184"/>
      <c r="M596" s="59"/>
    </row>
    <row r="597" spans="2:13" x14ac:dyDescent="0.3">
      <c r="B597" s="178"/>
      <c r="C597" s="179"/>
      <c r="D597" s="180"/>
      <c r="E597" s="181"/>
      <c r="F597" s="182"/>
      <c r="G597" s="1" t="str">
        <f>IFERROR(IF(ventas_b_mes1[[#This Row],[CUIT]]="","-",VLOOKUP(ventas_b_mes1[[#This Row],[CUIT]],Lista_CUIT[#All],2,0)),"CUIT NO CARGADO")</f>
        <v>-</v>
      </c>
      <c r="H597" s="64">
        <f>ventas_b_mes1[[#This Row],[TOTAL]]/1.21</f>
        <v>0</v>
      </c>
      <c r="I597" s="183">
        <f>ventas_b_mes1[[#This Row],[IMPORTE NETO]]*0.21</f>
        <v>0</v>
      </c>
      <c r="J597" s="184"/>
      <c r="K597" s="184"/>
      <c r="L597" s="184"/>
      <c r="M597" s="59"/>
    </row>
    <row r="598" spans="2:13" x14ac:dyDescent="0.3">
      <c r="B598" s="178"/>
      <c r="C598" s="179"/>
      <c r="D598" s="180"/>
      <c r="E598" s="181"/>
      <c r="F598" s="182"/>
      <c r="G598" s="1" t="str">
        <f>IFERROR(IF(ventas_b_mes1[[#This Row],[CUIT]]="","-",VLOOKUP(ventas_b_mes1[[#This Row],[CUIT]],Lista_CUIT[#All],2,0)),"CUIT NO CARGADO")</f>
        <v>-</v>
      </c>
      <c r="H598" s="64">
        <f>ventas_b_mes1[[#This Row],[TOTAL]]/1.21</f>
        <v>0</v>
      </c>
      <c r="I598" s="183">
        <f>ventas_b_mes1[[#This Row],[IMPORTE NETO]]*0.21</f>
        <v>0</v>
      </c>
      <c r="J598" s="184"/>
      <c r="K598" s="184"/>
      <c r="L598" s="184"/>
      <c r="M598" s="59"/>
    </row>
    <row r="599" spans="2:13" x14ac:dyDescent="0.3">
      <c r="B599" s="178"/>
      <c r="C599" s="179"/>
      <c r="D599" s="180"/>
      <c r="E599" s="181"/>
      <c r="F599" s="182"/>
      <c r="G599" s="1" t="str">
        <f>IFERROR(IF(ventas_b_mes1[[#This Row],[CUIT]]="","-",VLOOKUP(ventas_b_mes1[[#This Row],[CUIT]],Lista_CUIT[#All],2,0)),"CUIT NO CARGADO")</f>
        <v>-</v>
      </c>
      <c r="H599" s="64">
        <f>ventas_b_mes1[[#This Row],[TOTAL]]/1.21</f>
        <v>0</v>
      </c>
      <c r="I599" s="183">
        <f>ventas_b_mes1[[#This Row],[IMPORTE NETO]]*0.21</f>
        <v>0</v>
      </c>
      <c r="J599" s="184"/>
      <c r="K599" s="184"/>
      <c r="L599" s="184"/>
      <c r="M599" s="59"/>
    </row>
    <row r="600" spans="2:13" x14ac:dyDescent="0.3">
      <c r="B600" s="178"/>
      <c r="C600" s="179"/>
      <c r="D600" s="180"/>
      <c r="E600" s="181"/>
      <c r="F600" s="182"/>
      <c r="G600" s="1" t="str">
        <f>IFERROR(IF(ventas_b_mes1[[#This Row],[CUIT]]="","-",VLOOKUP(ventas_b_mes1[[#This Row],[CUIT]],Lista_CUIT[#All],2,0)),"CUIT NO CARGADO")</f>
        <v>-</v>
      </c>
      <c r="H600" s="64">
        <f>ventas_b_mes1[[#This Row],[TOTAL]]/1.21</f>
        <v>0</v>
      </c>
      <c r="I600" s="183">
        <f>ventas_b_mes1[[#This Row],[IMPORTE NETO]]*0.21</f>
        <v>0</v>
      </c>
      <c r="J600" s="184"/>
      <c r="K600" s="184"/>
      <c r="L600" s="184"/>
      <c r="M600" s="59"/>
    </row>
    <row r="601" spans="2:13" x14ac:dyDescent="0.3">
      <c r="B601" s="178"/>
      <c r="C601" s="179"/>
      <c r="D601" s="180"/>
      <c r="E601" s="181"/>
      <c r="F601" s="182"/>
      <c r="G601" s="1" t="str">
        <f>IFERROR(IF(ventas_b_mes1[[#This Row],[CUIT]]="","-",VLOOKUP(ventas_b_mes1[[#This Row],[CUIT]],Lista_CUIT[#All],2,0)),"CUIT NO CARGADO")</f>
        <v>-</v>
      </c>
      <c r="H601" s="64">
        <f>ventas_b_mes1[[#This Row],[TOTAL]]/1.21</f>
        <v>0</v>
      </c>
      <c r="I601" s="183">
        <f>ventas_b_mes1[[#This Row],[IMPORTE NETO]]*0.21</f>
        <v>0</v>
      </c>
      <c r="J601" s="184"/>
      <c r="K601" s="184"/>
      <c r="L601" s="184"/>
      <c r="M601" s="59"/>
    </row>
    <row r="602" spans="2:13" x14ac:dyDescent="0.3">
      <c r="B602" s="178"/>
      <c r="C602" s="179"/>
      <c r="D602" s="180"/>
      <c r="E602" s="181"/>
      <c r="F602" s="182"/>
      <c r="G602" s="1" t="str">
        <f>IFERROR(IF(ventas_b_mes1[[#This Row],[CUIT]]="","-",VLOOKUP(ventas_b_mes1[[#This Row],[CUIT]],Lista_CUIT[#All],2,0)),"CUIT NO CARGADO")</f>
        <v>-</v>
      </c>
      <c r="H602" s="64">
        <f>ventas_b_mes1[[#This Row],[TOTAL]]/1.21</f>
        <v>0</v>
      </c>
      <c r="I602" s="183">
        <f>ventas_b_mes1[[#This Row],[IMPORTE NETO]]*0.21</f>
        <v>0</v>
      </c>
      <c r="J602" s="184"/>
      <c r="K602" s="184"/>
      <c r="L602" s="184"/>
      <c r="M602" s="59"/>
    </row>
    <row r="603" spans="2:13" x14ac:dyDescent="0.3">
      <c r="B603" s="178"/>
      <c r="C603" s="179"/>
      <c r="D603" s="180"/>
      <c r="E603" s="181"/>
      <c r="F603" s="182"/>
      <c r="G603" s="1" t="str">
        <f>IFERROR(IF(ventas_b_mes1[[#This Row],[CUIT]]="","-",VLOOKUP(ventas_b_mes1[[#This Row],[CUIT]],Lista_CUIT[#All],2,0)),"CUIT NO CARGADO")</f>
        <v>-</v>
      </c>
      <c r="H603" s="64">
        <f>ventas_b_mes1[[#This Row],[TOTAL]]/1.21</f>
        <v>0</v>
      </c>
      <c r="I603" s="183">
        <f>ventas_b_mes1[[#This Row],[IMPORTE NETO]]*0.21</f>
        <v>0</v>
      </c>
      <c r="J603" s="184"/>
      <c r="K603" s="184"/>
      <c r="L603" s="184"/>
      <c r="M603" s="59"/>
    </row>
    <row r="604" spans="2:13" x14ac:dyDescent="0.3">
      <c r="B604" s="178"/>
      <c r="C604" s="179"/>
      <c r="D604" s="180"/>
      <c r="E604" s="181"/>
      <c r="F604" s="182"/>
      <c r="G604" s="1" t="str">
        <f>IFERROR(IF(ventas_b_mes1[[#This Row],[CUIT]]="","-",VLOOKUP(ventas_b_mes1[[#This Row],[CUIT]],Lista_CUIT[#All],2,0)),"CUIT NO CARGADO")</f>
        <v>-</v>
      </c>
      <c r="H604" s="64">
        <f>ventas_b_mes1[[#This Row],[TOTAL]]/1.21</f>
        <v>0</v>
      </c>
      <c r="I604" s="183">
        <f>ventas_b_mes1[[#This Row],[IMPORTE NETO]]*0.21</f>
        <v>0</v>
      </c>
      <c r="J604" s="184"/>
      <c r="K604" s="184"/>
      <c r="L604" s="184"/>
      <c r="M604" s="59"/>
    </row>
    <row r="605" spans="2:13" x14ac:dyDescent="0.3">
      <c r="B605" s="178"/>
      <c r="C605" s="179"/>
      <c r="D605" s="180"/>
      <c r="E605" s="181"/>
      <c r="F605" s="182"/>
      <c r="G605" s="1" t="str">
        <f>IFERROR(IF(ventas_b_mes1[[#This Row],[CUIT]]="","-",VLOOKUP(ventas_b_mes1[[#This Row],[CUIT]],Lista_CUIT[#All],2,0)),"CUIT NO CARGADO")</f>
        <v>-</v>
      </c>
      <c r="H605" s="64">
        <f>ventas_b_mes1[[#This Row],[TOTAL]]/1.21</f>
        <v>0</v>
      </c>
      <c r="I605" s="183">
        <f>ventas_b_mes1[[#This Row],[IMPORTE NETO]]*0.21</f>
        <v>0</v>
      </c>
      <c r="J605" s="184"/>
      <c r="K605" s="184"/>
      <c r="L605" s="184"/>
      <c r="M605" s="59"/>
    </row>
    <row r="606" spans="2:13" x14ac:dyDescent="0.3">
      <c r="B606" s="178"/>
      <c r="C606" s="179"/>
      <c r="D606" s="180"/>
      <c r="E606" s="181"/>
      <c r="F606" s="182"/>
      <c r="G606" s="1" t="str">
        <f>IFERROR(IF(ventas_b_mes1[[#This Row],[CUIT]]="","-",VLOOKUP(ventas_b_mes1[[#This Row],[CUIT]],Lista_CUIT[#All],2,0)),"CUIT NO CARGADO")</f>
        <v>-</v>
      </c>
      <c r="H606" s="64">
        <f>ventas_b_mes1[[#This Row],[TOTAL]]/1.21</f>
        <v>0</v>
      </c>
      <c r="I606" s="183">
        <f>ventas_b_mes1[[#This Row],[IMPORTE NETO]]*0.21</f>
        <v>0</v>
      </c>
      <c r="J606" s="184"/>
      <c r="K606" s="184"/>
      <c r="L606" s="184"/>
      <c r="M606" s="59"/>
    </row>
    <row r="607" spans="2:13" x14ac:dyDescent="0.3">
      <c r="B607" s="178"/>
      <c r="C607" s="179"/>
      <c r="D607" s="180"/>
      <c r="E607" s="181"/>
      <c r="F607" s="182"/>
      <c r="G607" s="1" t="str">
        <f>IFERROR(IF(ventas_b_mes1[[#This Row],[CUIT]]="","-",VLOOKUP(ventas_b_mes1[[#This Row],[CUIT]],Lista_CUIT[#All],2,0)),"CUIT NO CARGADO")</f>
        <v>-</v>
      </c>
      <c r="H607" s="64">
        <f>ventas_b_mes1[[#This Row],[TOTAL]]/1.21</f>
        <v>0</v>
      </c>
      <c r="I607" s="183">
        <f>ventas_b_mes1[[#This Row],[IMPORTE NETO]]*0.21</f>
        <v>0</v>
      </c>
      <c r="J607" s="184"/>
      <c r="K607" s="184"/>
      <c r="L607" s="184"/>
      <c r="M607" s="59"/>
    </row>
    <row r="608" spans="2:13" x14ac:dyDescent="0.3">
      <c r="B608" s="178"/>
      <c r="C608" s="179"/>
      <c r="D608" s="180"/>
      <c r="E608" s="181"/>
      <c r="F608" s="182"/>
      <c r="G608" s="1" t="str">
        <f>IFERROR(IF(ventas_b_mes1[[#This Row],[CUIT]]="","-",VLOOKUP(ventas_b_mes1[[#This Row],[CUIT]],Lista_CUIT[#All],2,0)),"CUIT NO CARGADO")</f>
        <v>-</v>
      </c>
      <c r="H608" s="64">
        <f>ventas_b_mes1[[#This Row],[TOTAL]]/1.21</f>
        <v>0</v>
      </c>
      <c r="I608" s="183">
        <f>ventas_b_mes1[[#This Row],[IMPORTE NETO]]*0.21</f>
        <v>0</v>
      </c>
      <c r="J608" s="184"/>
      <c r="K608" s="184"/>
      <c r="L608" s="184"/>
      <c r="M608" s="59"/>
    </row>
    <row r="609" spans="2:13" x14ac:dyDescent="0.3">
      <c r="B609" s="178"/>
      <c r="C609" s="179"/>
      <c r="D609" s="180"/>
      <c r="E609" s="181"/>
      <c r="F609" s="182"/>
      <c r="G609" s="1" t="str">
        <f>IFERROR(IF(ventas_b_mes1[[#This Row],[CUIT]]="","-",VLOOKUP(ventas_b_mes1[[#This Row],[CUIT]],Lista_CUIT[#All],2,0)),"CUIT NO CARGADO")</f>
        <v>-</v>
      </c>
      <c r="H609" s="64">
        <f>ventas_b_mes1[[#This Row],[TOTAL]]/1.21</f>
        <v>0</v>
      </c>
      <c r="I609" s="183">
        <f>ventas_b_mes1[[#This Row],[IMPORTE NETO]]*0.21</f>
        <v>0</v>
      </c>
      <c r="J609" s="184"/>
      <c r="K609" s="184"/>
      <c r="L609" s="184"/>
      <c r="M609" s="59"/>
    </row>
    <row r="610" spans="2:13" x14ac:dyDescent="0.3">
      <c r="B610" s="178"/>
      <c r="C610" s="179"/>
      <c r="D610" s="180"/>
      <c r="E610" s="181"/>
      <c r="F610" s="182"/>
      <c r="G610" s="1" t="str">
        <f>IFERROR(IF(ventas_b_mes1[[#This Row],[CUIT]]="","-",VLOOKUP(ventas_b_mes1[[#This Row],[CUIT]],Lista_CUIT[#All],2,0)),"CUIT NO CARGADO")</f>
        <v>-</v>
      </c>
      <c r="H610" s="64">
        <f>ventas_b_mes1[[#This Row],[TOTAL]]/1.21</f>
        <v>0</v>
      </c>
      <c r="I610" s="183">
        <f>ventas_b_mes1[[#This Row],[IMPORTE NETO]]*0.21</f>
        <v>0</v>
      </c>
      <c r="J610" s="184"/>
      <c r="K610" s="184"/>
      <c r="L610" s="184"/>
      <c r="M610" s="59"/>
    </row>
    <row r="611" spans="2:13" x14ac:dyDescent="0.3">
      <c r="B611" s="178"/>
      <c r="C611" s="179"/>
      <c r="D611" s="180"/>
      <c r="E611" s="181"/>
      <c r="F611" s="182"/>
      <c r="G611" s="1" t="str">
        <f>IFERROR(IF(ventas_b_mes1[[#This Row],[CUIT]]="","-",VLOOKUP(ventas_b_mes1[[#This Row],[CUIT]],Lista_CUIT[#All],2,0)),"CUIT NO CARGADO")</f>
        <v>-</v>
      </c>
      <c r="H611" s="64">
        <f>ventas_b_mes1[[#This Row],[TOTAL]]/1.21</f>
        <v>0</v>
      </c>
      <c r="I611" s="183">
        <f>ventas_b_mes1[[#This Row],[IMPORTE NETO]]*0.21</f>
        <v>0</v>
      </c>
      <c r="J611" s="184"/>
      <c r="K611" s="184"/>
      <c r="L611" s="184"/>
      <c r="M611" s="59"/>
    </row>
    <row r="612" spans="2:13" x14ac:dyDescent="0.3">
      <c r="B612" s="178"/>
      <c r="C612" s="179"/>
      <c r="D612" s="180"/>
      <c r="E612" s="181"/>
      <c r="F612" s="182"/>
      <c r="G612" s="1" t="str">
        <f>IFERROR(IF(ventas_b_mes1[[#This Row],[CUIT]]="","-",VLOOKUP(ventas_b_mes1[[#This Row],[CUIT]],Lista_CUIT[#All],2,0)),"CUIT NO CARGADO")</f>
        <v>-</v>
      </c>
      <c r="H612" s="64">
        <f>ventas_b_mes1[[#This Row],[TOTAL]]/1.21</f>
        <v>0</v>
      </c>
      <c r="I612" s="183">
        <f>ventas_b_mes1[[#This Row],[IMPORTE NETO]]*0.21</f>
        <v>0</v>
      </c>
      <c r="J612" s="184"/>
      <c r="K612" s="184"/>
      <c r="L612" s="184"/>
      <c r="M612" s="59"/>
    </row>
    <row r="613" spans="2:13" x14ac:dyDescent="0.3">
      <c r="B613" s="178"/>
      <c r="C613" s="179"/>
      <c r="D613" s="180"/>
      <c r="E613" s="181"/>
      <c r="F613" s="182"/>
      <c r="G613" s="1" t="str">
        <f>IFERROR(IF(ventas_b_mes1[[#This Row],[CUIT]]="","-",VLOOKUP(ventas_b_mes1[[#This Row],[CUIT]],Lista_CUIT[#All],2,0)),"CUIT NO CARGADO")</f>
        <v>-</v>
      </c>
      <c r="H613" s="64">
        <f>ventas_b_mes1[[#This Row],[TOTAL]]/1.21</f>
        <v>0</v>
      </c>
      <c r="I613" s="183">
        <f>ventas_b_mes1[[#This Row],[IMPORTE NETO]]*0.21</f>
        <v>0</v>
      </c>
      <c r="J613" s="184"/>
      <c r="K613" s="184"/>
      <c r="L613" s="184"/>
      <c r="M613" s="59"/>
    </row>
    <row r="614" spans="2:13" x14ac:dyDescent="0.3">
      <c r="B614" s="178"/>
      <c r="C614" s="179"/>
      <c r="D614" s="180"/>
      <c r="E614" s="181"/>
      <c r="F614" s="182"/>
      <c r="G614" s="1" t="str">
        <f>IFERROR(IF(ventas_b_mes1[[#This Row],[CUIT]]="","-",VLOOKUP(ventas_b_mes1[[#This Row],[CUIT]],Lista_CUIT[#All],2,0)),"CUIT NO CARGADO")</f>
        <v>-</v>
      </c>
      <c r="H614" s="64">
        <f>ventas_b_mes1[[#This Row],[TOTAL]]/1.21</f>
        <v>0</v>
      </c>
      <c r="I614" s="183">
        <f>ventas_b_mes1[[#This Row],[IMPORTE NETO]]*0.21</f>
        <v>0</v>
      </c>
      <c r="J614" s="184"/>
      <c r="K614" s="184"/>
      <c r="L614" s="184"/>
      <c r="M614" s="59"/>
    </row>
    <row r="615" spans="2:13" x14ac:dyDescent="0.3">
      <c r="B615" s="178"/>
      <c r="C615" s="179"/>
      <c r="D615" s="180"/>
      <c r="E615" s="181"/>
      <c r="F615" s="182"/>
      <c r="G615" s="1" t="str">
        <f>IFERROR(IF(ventas_b_mes1[[#This Row],[CUIT]]="","-",VLOOKUP(ventas_b_mes1[[#This Row],[CUIT]],Lista_CUIT[#All],2,0)),"CUIT NO CARGADO")</f>
        <v>-</v>
      </c>
      <c r="H615" s="64">
        <f>ventas_b_mes1[[#This Row],[TOTAL]]/1.21</f>
        <v>0</v>
      </c>
      <c r="I615" s="183">
        <f>ventas_b_mes1[[#This Row],[IMPORTE NETO]]*0.21</f>
        <v>0</v>
      </c>
      <c r="J615" s="184"/>
      <c r="K615" s="184"/>
      <c r="L615" s="184"/>
      <c r="M615" s="59"/>
    </row>
    <row r="616" spans="2:13" x14ac:dyDescent="0.3">
      <c r="B616" s="178"/>
      <c r="C616" s="179"/>
      <c r="D616" s="180"/>
      <c r="E616" s="181"/>
      <c r="F616" s="182"/>
      <c r="G616" s="1" t="str">
        <f>IFERROR(IF(ventas_b_mes1[[#This Row],[CUIT]]="","-",VLOOKUP(ventas_b_mes1[[#This Row],[CUIT]],Lista_CUIT[#All],2,0)),"CUIT NO CARGADO")</f>
        <v>-</v>
      </c>
      <c r="H616" s="64">
        <f>ventas_b_mes1[[#This Row],[TOTAL]]/1.21</f>
        <v>0</v>
      </c>
      <c r="I616" s="183">
        <f>ventas_b_mes1[[#This Row],[IMPORTE NETO]]*0.21</f>
        <v>0</v>
      </c>
      <c r="J616" s="184"/>
      <c r="K616" s="184"/>
      <c r="L616" s="184"/>
      <c r="M616" s="59"/>
    </row>
    <row r="617" spans="2:13" x14ac:dyDescent="0.3">
      <c r="B617" s="178"/>
      <c r="C617" s="179"/>
      <c r="D617" s="180"/>
      <c r="E617" s="181"/>
      <c r="F617" s="182"/>
      <c r="G617" s="1" t="str">
        <f>IFERROR(IF(ventas_b_mes1[[#This Row],[CUIT]]="","-",VLOOKUP(ventas_b_mes1[[#This Row],[CUIT]],Lista_CUIT[#All],2,0)),"CUIT NO CARGADO")</f>
        <v>-</v>
      </c>
      <c r="H617" s="64">
        <f>ventas_b_mes1[[#This Row],[TOTAL]]/1.21</f>
        <v>0</v>
      </c>
      <c r="I617" s="183">
        <f>ventas_b_mes1[[#This Row],[IMPORTE NETO]]*0.21</f>
        <v>0</v>
      </c>
      <c r="J617" s="184"/>
      <c r="K617" s="184"/>
      <c r="L617" s="184"/>
      <c r="M617" s="59"/>
    </row>
    <row r="618" spans="2:13" x14ac:dyDescent="0.3">
      <c r="B618" s="178"/>
      <c r="C618" s="179"/>
      <c r="D618" s="180"/>
      <c r="E618" s="181"/>
      <c r="F618" s="182"/>
      <c r="G618" s="1" t="str">
        <f>IFERROR(IF(ventas_b_mes1[[#This Row],[CUIT]]="","-",VLOOKUP(ventas_b_mes1[[#This Row],[CUIT]],Lista_CUIT[#All],2,0)),"CUIT NO CARGADO")</f>
        <v>-</v>
      </c>
      <c r="H618" s="64">
        <f>ventas_b_mes1[[#This Row],[TOTAL]]/1.21</f>
        <v>0</v>
      </c>
      <c r="I618" s="183">
        <f>ventas_b_mes1[[#This Row],[IMPORTE NETO]]*0.21</f>
        <v>0</v>
      </c>
      <c r="J618" s="184"/>
      <c r="K618" s="184"/>
      <c r="L618" s="184"/>
      <c r="M618" s="59"/>
    </row>
    <row r="619" spans="2:13" x14ac:dyDescent="0.3">
      <c r="B619" s="178"/>
      <c r="C619" s="179"/>
      <c r="D619" s="180"/>
      <c r="E619" s="181"/>
      <c r="F619" s="182"/>
      <c r="G619" s="1" t="str">
        <f>IFERROR(IF(ventas_b_mes1[[#This Row],[CUIT]]="","-",VLOOKUP(ventas_b_mes1[[#This Row],[CUIT]],Lista_CUIT[#All],2,0)),"CUIT NO CARGADO")</f>
        <v>-</v>
      </c>
      <c r="H619" s="64">
        <f>ventas_b_mes1[[#This Row],[TOTAL]]/1.21</f>
        <v>0</v>
      </c>
      <c r="I619" s="183">
        <f>ventas_b_mes1[[#This Row],[IMPORTE NETO]]*0.21</f>
        <v>0</v>
      </c>
      <c r="J619" s="184"/>
      <c r="K619" s="184"/>
      <c r="L619" s="184"/>
      <c r="M619" s="59"/>
    </row>
    <row r="620" spans="2:13" x14ac:dyDescent="0.3">
      <c r="B620" s="178"/>
      <c r="C620" s="179"/>
      <c r="D620" s="180"/>
      <c r="E620" s="181"/>
      <c r="F620" s="182"/>
      <c r="G620" s="1" t="str">
        <f>IFERROR(IF(ventas_b_mes1[[#This Row],[CUIT]]="","-",VLOOKUP(ventas_b_mes1[[#This Row],[CUIT]],Lista_CUIT[#All],2,0)),"CUIT NO CARGADO")</f>
        <v>-</v>
      </c>
      <c r="H620" s="64">
        <f>ventas_b_mes1[[#This Row],[TOTAL]]/1.21</f>
        <v>0</v>
      </c>
      <c r="I620" s="183">
        <f>ventas_b_mes1[[#This Row],[IMPORTE NETO]]*0.21</f>
        <v>0</v>
      </c>
      <c r="J620" s="184"/>
      <c r="K620" s="184"/>
      <c r="L620" s="184"/>
      <c r="M620" s="59"/>
    </row>
    <row r="621" spans="2:13" x14ac:dyDescent="0.3">
      <c r="B621" s="178"/>
      <c r="C621" s="179"/>
      <c r="D621" s="180"/>
      <c r="E621" s="181"/>
      <c r="F621" s="182"/>
      <c r="G621" s="1" t="str">
        <f>IFERROR(IF(ventas_b_mes1[[#This Row],[CUIT]]="","-",VLOOKUP(ventas_b_mes1[[#This Row],[CUIT]],Lista_CUIT[#All],2,0)),"CUIT NO CARGADO")</f>
        <v>-</v>
      </c>
      <c r="H621" s="64">
        <f>ventas_b_mes1[[#This Row],[TOTAL]]/1.21</f>
        <v>0</v>
      </c>
      <c r="I621" s="183">
        <f>ventas_b_mes1[[#This Row],[IMPORTE NETO]]*0.21</f>
        <v>0</v>
      </c>
      <c r="J621" s="184"/>
      <c r="K621" s="184"/>
      <c r="L621" s="184"/>
      <c r="M621" s="59"/>
    </row>
    <row r="622" spans="2:13" x14ac:dyDescent="0.3">
      <c r="B622" s="178"/>
      <c r="C622" s="179"/>
      <c r="D622" s="180"/>
      <c r="E622" s="181"/>
      <c r="F622" s="182"/>
      <c r="G622" s="1" t="str">
        <f>IFERROR(IF(ventas_b_mes1[[#This Row],[CUIT]]="","-",VLOOKUP(ventas_b_mes1[[#This Row],[CUIT]],Lista_CUIT[#All],2,0)),"CUIT NO CARGADO")</f>
        <v>-</v>
      </c>
      <c r="H622" s="64">
        <f>ventas_b_mes1[[#This Row],[TOTAL]]/1.21</f>
        <v>0</v>
      </c>
      <c r="I622" s="183">
        <f>ventas_b_mes1[[#This Row],[IMPORTE NETO]]*0.21</f>
        <v>0</v>
      </c>
      <c r="J622" s="184"/>
      <c r="K622" s="184"/>
      <c r="L622" s="184"/>
      <c r="M622" s="59"/>
    </row>
    <row r="623" spans="2:13" x14ac:dyDescent="0.3">
      <c r="B623" s="178"/>
      <c r="C623" s="179"/>
      <c r="D623" s="180"/>
      <c r="E623" s="181"/>
      <c r="F623" s="182"/>
      <c r="G623" s="1" t="str">
        <f>IFERROR(IF(ventas_b_mes1[[#This Row],[CUIT]]="","-",VLOOKUP(ventas_b_mes1[[#This Row],[CUIT]],Lista_CUIT[#All],2,0)),"CUIT NO CARGADO")</f>
        <v>-</v>
      </c>
      <c r="H623" s="64">
        <f>ventas_b_mes1[[#This Row],[TOTAL]]/1.21</f>
        <v>0</v>
      </c>
      <c r="I623" s="183">
        <f>ventas_b_mes1[[#This Row],[IMPORTE NETO]]*0.21</f>
        <v>0</v>
      </c>
      <c r="J623" s="184"/>
      <c r="K623" s="184"/>
      <c r="L623" s="184"/>
      <c r="M623" s="59"/>
    </row>
    <row r="624" spans="2:13" x14ac:dyDescent="0.3">
      <c r="B624" s="178"/>
      <c r="C624" s="179"/>
      <c r="D624" s="180"/>
      <c r="E624" s="181"/>
      <c r="F624" s="182"/>
      <c r="G624" s="1" t="str">
        <f>IFERROR(IF(ventas_b_mes1[[#This Row],[CUIT]]="","-",VLOOKUP(ventas_b_mes1[[#This Row],[CUIT]],Lista_CUIT[#All],2,0)),"CUIT NO CARGADO")</f>
        <v>-</v>
      </c>
      <c r="H624" s="64">
        <f>ventas_b_mes1[[#This Row],[TOTAL]]/1.21</f>
        <v>0</v>
      </c>
      <c r="I624" s="183">
        <f>ventas_b_mes1[[#This Row],[IMPORTE NETO]]*0.21</f>
        <v>0</v>
      </c>
      <c r="J624" s="184"/>
      <c r="K624" s="184"/>
      <c r="L624" s="184"/>
      <c r="M624" s="59"/>
    </row>
    <row r="625" spans="2:13" x14ac:dyDescent="0.3">
      <c r="B625" s="178"/>
      <c r="C625" s="179"/>
      <c r="D625" s="180"/>
      <c r="E625" s="181"/>
      <c r="F625" s="182"/>
      <c r="G625" s="1" t="str">
        <f>IFERROR(IF(ventas_b_mes1[[#This Row],[CUIT]]="","-",VLOOKUP(ventas_b_mes1[[#This Row],[CUIT]],Lista_CUIT[#All],2,0)),"CUIT NO CARGADO")</f>
        <v>-</v>
      </c>
      <c r="H625" s="64">
        <f>ventas_b_mes1[[#This Row],[TOTAL]]/1.21</f>
        <v>0</v>
      </c>
      <c r="I625" s="183">
        <f>ventas_b_mes1[[#This Row],[IMPORTE NETO]]*0.21</f>
        <v>0</v>
      </c>
      <c r="J625" s="184"/>
      <c r="K625" s="184"/>
      <c r="L625" s="184"/>
      <c r="M625" s="59"/>
    </row>
    <row r="626" spans="2:13" x14ac:dyDescent="0.3">
      <c r="B626" s="178"/>
      <c r="C626" s="179"/>
      <c r="D626" s="180"/>
      <c r="E626" s="181"/>
      <c r="F626" s="182"/>
      <c r="G626" s="1" t="str">
        <f>IFERROR(IF(ventas_b_mes1[[#This Row],[CUIT]]="","-",VLOOKUP(ventas_b_mes1[[#This Row],[CUIT]],Lista_CUIT[#All],2,0)),"CUIT NO CARGADO")</f>
        <v>-</v>
      </c>
      <c r="H626" s="64">
        <f>ventas_b_mes1[[#This Row],[TOTAL]]/1.21</f>
        <v>0</v>
      </c>
      <c r="I626" s="183">
        <f>ventas_b_mes1[[#This Row],[IMPORTE NETO]]*0.21</f>
        <v>0</v>
      </c>
      <c r="J626" s="184"/>
      <c r="K626" s="184"/>
      <c r="L626" s="184"/>
      <c r="M626" s="59"/>
    </row>
    <row r="627" spans="2:13" x14ac:dyDescent="0.3">
      <c r="B627" s="178"/>
      <c r="C627" s="179"/>
      <c r="D627" s="180"/>
      <c r="E627" s="181"/>
      <c r="F627" s="182"/>
      <c r="G627" s="1" t="str">
        <f>IFERROR(IF(ventas_b_mes1[[#This Row],[CUIT]]="","-",VLOOKUP(ventas_b_mes1[[#This Row],[CUIT]],Lista_CUIT[#All],2,0)),"CUIT NO CARGADO")</f>
        <v>-</v>
      </c>
      <c r="H627" s="64">
        <f>ventas_b_mes1[[#This Row],[TOTAL]]/1.21</f>
        <v>0</v>
      </c>
      <c r="I627" s="183">
        <f>ventas_b_mes1[[#This Row],[IMPORTE NETO]]*0.21</f>
        <v>0</v>
      </c>
      <c r="J627" s="184"/>
      <c r="K627" s="184"/>
      <c r="L627" s="184"/>
      <c r="M627" s="59"/>
    </row>
    <row r="628" spans="2:13" x14ac:dyDescent="0.3">
      <c r="B628" s="178"/>
      <c r="C628" s="179"/>
      <c r="D628" s="180"/>
      <c r="E628" s="181"/>
      <c r="F628" s="182"/>
      <c r="G628" s="1" t="str">
        <f>IFERROR(IF(ventas_b_mes1[[#This Row],[CUIT]]="","-",VLOOKUP(ventas_b_mes1[[#This Row],[CUIT]],Lista_CUIT[#All],2,0)),"CUIT NO CARGADO")</f>
        <v>-</v>
      </c>
      <c r="H628" s="64">
        <f>ventas_b_mes1[[#This Row],[TOTAL]]/1.21</f>
        <v>0</v>
      </c>
      <c r="I628" s="183">
        <f>ventas_b_mes1[[#This Row],[IMPORTE NETO]]*0.21</f>
        <v>0</v>
      </c>
      <c r="J628" s="184"/>
      <c r="K628" s="184"/>
      <c r="L628" s="184"/>
      <c r="M628" s="59"/>
    </row>
    <row r="629" spans="2:13" x14ac:dyDescent="0.3">
      <c r="B629" s="178"/>
      <c r="C629" s="179"/>
      <c r="D629" s="180"/>
      <c r="E629" s="181"/>
      <c r="F629" s="182"/>
      <c r="G629" s="1" t="str">
        <f>IFERROR(IF(ventas_b_mes1[[#This Row],[CUIT]]="","-",VLOOKUP(ventas_b_mes1[[#This Row],[CUIT]],Lista_CUIT[#All],2,0)),"CUIT NO CARGADO")</f>
        <v>-</v>
      </c>
      <c r="H629" s="64">
        <f>ventas_b_mes1[[#This Row],[TOTAL]]/1.21</f>
        <v>0</v>
      </c>
      <c r="I629" s="183">
        <f>ventas_b_mes1[[#This Row],[IMPORTE NETO]]*0.21</f>
        <v>0</v>
      </c>
      <c r="J629" s="184"/>
      <c r="K629" s="184"/>
      <c r="L629" s="184"/>
      <c r="M629" s="59"/>
    </row>
    <row r="630" spans="2:13" x14ac:dyDescent="0.3">
      <c r="B630" s="178"/>
      <c r="C630" s="179"/>
      <c r="D630" s="180"/>
      <c r="E630" s="181"/>
      <c r="F630" s="182"/>
      <c r="G630" s="1" t="str">
        <f>IFERROR(IF(ventas_b_mes1[[#This Row],[CUIT]]="","-",VLOOKUP(ventas_b_mes1[[#This Row],[CUIT]],Lista_CUIT[#All],2,0)),"CUIT NO CARGADO")</f>
        <v>-</v>
      </c>
      <c r="H630" s="64">
        <f>ventas_b_mes1[[#This Row],[TOTAL]]/1.21</f>
        <v>0</v>
      </c>
      <c r="I630" s="183">
        <f>ventas_b_mes1[[#This Row],[IMPORTE NETO]]*0.21</f>
        <v>0</v>
      </c>
      <c r="J630" s="184"/>
      <c r="K630" s="184"/>
      <c r="L630" s="184"/>
      <c r="M630" s="59"/>
    </row>
    <row r="631" spans="2:13" x14ac:dyDescent="0.3">
      <c r="B631" s="178"/>
      <c r="C631" s="179"/>
      <c r="D631" s="180"/>
      <c r="E631" s="181"/>
      <c r="F631" s="182"/>
      <c r="G631" s="1" t="str">
        <f>IFERROR(IF(ventas_b_mes1[[#This Row],[CUIT]]="","-",VLOOKUP(ventas_b_mes1[[#This Row],[CUIT]],Lista_CUIT[#All],2,0)),"CUIT NO CARGADO")</f>
        <v>-</v>
      </c>
      <c r="H631" s="64">
        <f>ventas_b_mes1[[#This Row],[TOTAL]]/1.21</f>
        <v>0</v>
      </c>
      <c r="I631" s="183">
        <f>ventas_b_mes1[[#This Row],[IMPORTE NETO]]*0.21</f>
        <v>0</v>
      </c>
      <c r="J631" s="184"/>
      <c r="K631" s="184"/>
      <c r="L631" s="184"/>
      <c r="M631" s="59"/>
    </row>
    <row r="632" spans="2:13" x14ac:dyDescent="0.3">
      <c r="B632" s="178"/>
      <c r="C632" s="179"/>
      <c r="D632" s="180"/>
      <c r="E632" s="181"/>
      <c r="F632" s="182"/>
      <c r="G632" s="1" t="str">
        <f>IFERROR(IF(ventas_b_mes1[[#This Row],[CUIT]]="","-",VLOOKUP(ventas_b_mes1[[#This Row],[CUIT]],Lista_CUIT[#All],2,0)),"CUIT NO CARGADO")</f>
        <v>-</v>
      </c>
      <c r="H632" s="64">
        <f>ventas_b_mes1[[#This Row],[TOTAL]]/1.21</f>
        <v>0</v>
      </c>
      <c r="I632" s="183">
        <f>ventas_b_mes1[[#This Row],[IMPORTE NETO]]*0.21</f>
        <v>0</v>
      </c>
      <c r="J632" s="184"/>
      <c r="K632" s="184"/>
      <c r="L632" s="184"/>
      <c r="M632" s="59"/>
    </row>
    <row r="633" spans="2:13" x14ac:dyDescent="0.3">
      <c r="B633" s="178"/>
      <c r="C633" s="179"/>
      <c r="D633" s="180"/>
      <c r="E633" s="181"/>
      <c r="F633" s="182"/>
      <c r="G633" s="1" t="str">
        <f>IFERROR(IF(ventas_b_mes1[[#This Row],[CUIT]]="","-",VLOOKUP(ventas_b_mes1[[#This Row],[CUIT]],Lista_CUIT[#All],2,0)),"CUIT NO CARGADO")</f>
        <v>-</v>
      </c>
      <c r="H633" s="64">
        <f>ventas_b_mes1[[#This Row],[TOTAL]]/1.21</f>
        <v>0</v>
      </c>
      <c r="I633" s="183">
        <f>ventas_b_mes1[[#This Row],[IMPORTE NETO]]*0.21</f>
        <v>0</v>
      </c>
      <c r="J633" s="184"/>
      <c r="K633" s="184"/>
      <c r="L633" s="184"/>
      <c r="M633" s="59"/>
    </row>
    <row r="634" spans="2:13" x14ac:dyDescent="0.3">
      <c r="B634" s="178"/>
      <c r="C634" s="179"/>
      <c r="D634" s="180"/>
      <c r="E634" s="181"/>
      <c r="F634" s="182"/>
      <c r="G634" s="1" t="str">
        <f>IFERROR(IF(ventas_b_mes1[[#This Row],[CUIT]]="","-",VLOOKUP(ventas_b_mes1[[#This Row],[CUIT]],Lista_CUIT[#All],2,0)),"CUIT NO CARGADO")</f>
        <v>-</v>
      </c>
      <c r="H634" s="64">
        <f>ventas_b_mes1[[#This Row],[TOTAL]]/1.21</f>
        <v>0</v>
      </c>
      <c r="I634" s="183">
        <f>ventas_b_mes1[[#This Row],[IMPORTE NETO]]*0.21</f>
        <v>0</v>
      </c>
      <c r="J634" s="184"/>
      <c r="K634" s="184"/>
      <c r="L634" s="184"/>
      <c r="M634" s="59"/>
    </row>
    <row r="635" spans="2:13" x14ac:dyDescent="0.3">
      <c r="B635" s="178"/>
      <c r="C635" s="179"/>
      <c r="D635" s="180"/>
      <c r="E635" s="181"/>
      <c r="F635" s="182"/>
      <c r="G635" s="1" t="str">
        <f>IFERROR(IF(ventas_b_mes1[[#This Row],[CUIT]]="","-",VLOOKUP(ventas_b_mes1[[#This Row],[CUIT]],Lista_CUIT[#All],2,0)),"CUIT NO CARGADO")</f>
        <v>-</v>
      </c>
      <c r="H635" s="64">
        <f>ventas_b_mes1[[#This Row],[TOTAL]]/1.21</f>
        <v>0</v>
      </c>
      <c r="I635" s="183">
        <f>ventas_b_mes1[[#This Row],[IMPORTE NETO]]*0.21</f>
        <v>0</v>
      </c>
      <c r="J635" s="184"/>
      <c r="K635" s="184"/>
      <c r="L635" s="184"/>
      <c r="M635" s="59"/>
    </row>
    <row r="636" spans="2:13" x14ac:dyDescent="0.3">
      <c r="B636" s="178"/>
      <c r="C636" s="179"/>
      <c r="D636" s="180"/>
      <c r="E636" s="181"/>
      <c r="F636" s="182"/>
      <c r="G636" s="1" t="str">
        <f>IFERROR(IF(ventas_b_mes1[[#This Row],[CUIT]]="","-",VLOOKUP(ventas_b_mes1[[#This Row],[CUIT]],Lista_CUIT[#All],2,0)),"CUIT NO CARGADO")</f>
        <v>-</v>
      </c>
      <c r="H636" s="64">
        <f>ventas_b_mes1[[#This Row],[TOTAL]]/1.21</f>
        <v>0</v>
      </c>
      <c r="I636" s="183">
        <f>ventas_b_mes1[[#This Row],[IMPORTE NETO]]*0.21</f>
        <v>0</v>
      </c>
      <c r="J636" s="184"/>
      <c r="K636" s="184"/>
      <c r="L636" s="184"/>
      <c r="M636" s="59"/>
    </row>
    <row r="637" spans="2:13" x14ac:dyDescent="0.3">
      <c r="B637" s="178"/>
      <c r="C637" s="179"/>
      <c r="D637" s="180"/>
      <c r="E637" s="181"/>
      <c r="F637" s="182"/>
      <c r="G637" s="1" t="str">
        <f>IFERROR(IF(ventas_b_mes1[[#This Row],[CUIT]]="","-",VLOOKUP(ventas_b_mes1[[#This Row],[CUIT]],Lista_CUIT[#All],2,0)),"CUIT NO CARGADO")</f>
        <v>-</v>
      </c>
      <c r="H637" s="64">
        <f>ventas_b_mes1[[#This Row],[TOTAL]]/1.21</f>
        <v>0</v>
      </c>
      <c r="I637" s="183">
        <f>ventas_b_mes1[[#This Row],[IMPORTE NETO]]*0.21</f>
        <v>0</v>
      </c>
      <c r="J637" s="184"/>
      <c r="K637" s="184"/>
      <c r="L637" s="184"/>
      <c r="M637" s="59"/>
    </row>
    <row r="638" spans="2:13" x14ac:dyDescent="0.3">
      <c r="B638" s="178"/>
      <c r="C638" s="179"/>
      <c r="D638" s="180"/>
      <c r="E638" s="181"/>
      <c r="F638" s="182"/>
      <c r="G638" s="1" t="str">
        <f>IFERROR(IF(ventas_b_mes1[[#This Row],[CUIT]]="","-",VLOOKUP(ventas_b_mes1[[#This Row],[CUIT]],Lista_CUIT[#All],2,0)),"CUIT NO CARGADO")</f>
        <v>-</v>
      </c>
      <c r="H638" s="64">
        <f>ventas_b_mes1[[#This Row],[TOTAL]]/1.21</f>
        <v>0</v>
      </c>
      <c r="I638" s="183">
        <f>ventas_b_mes1[[#This Row],[IMPORTE NETO]]*0.21</f>
        <v>0</v>
      </c>
      <c r="J638" s="184"/>
      <c r="K638" s="184"/>
      <c r="L638" s="184"/>
      <c r="M638" s="59"/>
    </row>
    <row r="639" spans="2:13" x14ac:dyDescent="0.3">
      <c r="B639" s="178"/>
      <c r="C639" s="179"/>
      <c r="D639" s="180"/>
      <c r="E639" s="181"/>
      <c r="F639" s="182"/>
      <c r="G639" s="1" t="str">
        <f>IFERROR(IF(ventas_b_mes1[[#This Row],[CUIT]]="","-",VLOOKUP(ventas_b_mes1[[#This Row],[CUIT]],Lista_CUIT[#All],2,0)),"CUIT NO CARGADO")</f>
        <v>-</v>
      </c>
      <c r="H639" s="64">
        <f>ventas_b_mes1[[#This Row],[TOTAL]]/1.21</f>
        <v>0</v>
      </c>
      <c r="I639" s="183">
        <f>ventas_b_mes1[[#This Row],[IMPORTE NETO]]*0.21</f>
        <v>0</v>
      </c>
      <c r="J639" s="184"/>
      <c r="K639" s="184"/>
      <c r="L639" s="184"/>
      <c r="M639" s="59"/>
    </row>
    <row r="640" spans="2:13" x14ac:dyDescent="0.3">
      <c r="B640" s="178"/>
      <c r="C640" s="179"/>
      <c r="D640" s="180"/>
      <c r="E640" s="181"/>
      <c r="F640" s="182"/>
      <c r="G640" s="1" t="str">
        <f>IFERROR(IF(ventas_b_mes1[[#This Row],[CUIT]]="","-",VLOOKUP(ventas_b_mes1[[#This Row],[CUIT]],Lista_CUIT[#All],2,0)),"CUIT NO CARGADO")</f>
        <v>-</v>
      </c>
      <c r="H640" s="64">
        <f>ventas_b_mes1[[#This Row],[TOTAL]]/1.21</f>
        <v>0</v>
      </c>
      <c r="I640" s="183">
        <f>ventas_b_mes1[[#This Row],[IMPORTE NETO]]*0.21</f>
        <v>0</v>
      </c>
      <c r="J640" s="184"/>
      <c r="K640" s="184"/>
      <c r="L640" s="184"/>
      <c r="M640" s="59"/>
    </row>
    <row r="641" spans="2:13" x14ac:dyDescent="0.3">
      <c r="B641" s="178"/>
      <c r="C641" s="179"/>
      <c r="D641" s="180"/>
      <c r="E641" s="181"/>
      <c r="F641" s="182"/>
      <c r="G641" s="1" t="str">
        <f>IFERROR(IF(ventas_b_mes1[[#This Row],[CUIT]]="","-",VLOOKUP(ventas_b_mes1[[#This Row],[CUIT]],Lista_CUIT[#All],2,0)),"CUIT NO CARGADO")</f>
        <v>-</v>
      </c>
      <c r="H641" s="64">
        <f>ventas_b_mes1[[#This Row],[TOTAL]]/1.21</f>
        <v>0</v>
      </c>
      <c r="I641" s="183">
        <f>ventas_b_mes1[[#This Row],[IMPORTE NETO]]*0.21</f>
        <v>0</v>
      </c>
      <c r="J641" s="184"/>
      <c r="K641" s="184"/>
      <c r="L641" s="184"/>
      <c r="M641" s="59"/>
    </row>
    <row r="642" spans="2:13" x14ac:dyDescent="0.3">
      <c r="B642" s="178"/>
      <c r="C642" s="179"/>
      <c r="D642" s="180"/>
      <c r="E642" s="181"/>
      <c r="F642" s="182"/>
      <c r="G642" s="1" t="str">
        <f>IFERROR(IF(ventas_b_mes1[[#This Row],[CUIT]]="","-",VLOOKUP(ventas_b_mes1[[#This Row],[CUIT]],Lista_CUIT[#All],2,0)),"CUIT NO CARGADO")</f>
        <v>-</v>
      </c>
      <c r="H642" s="64">
        <f>ventas_b_mes1[[#This Row],[TOTAL]]/1.21</f>
        <v>0</v>
      </c>
      <c r="I642" s="183">
        <f>ventas_b_mes1[[#This Row],[IMPORTE NETO]]*0.21</f>
        <v>0</v>
      </c>
      <c r="J642" s="184"/>
      <c r="K642" s="184"/>
      <c r="L642" s="184"/>
      <c r="M642" s="59"/>
    </row>
    <row r="643" spans="2:13" x14ac:dyDescent="0.3">
      <c r="B643" s="178"/>
      <c r="C643" s="179"/>
      <c r="D643" s="180"/>
      <c r="E643" s="181"/>
      <c r="F643" s="182"/>
      <c r="G643" s="1" t="str">
        <f>IFERROR(IF(ventas_b_mes1[[#This Row],[CUIT]]="","-",VLOOKUP(ventas_b_mes1[[#This Row],[CUIT]],Lista_CUIT[#All],2,0)),"CUIT NO CARGADO")</f>
        <v>-</v>
      </c>
      <c r="H643" s="64">
        <f>ventas_b_mes1[[#This Row],[TOTAL]]/1.21</f>
        <v>0</v>
      </c>
      <c r="I643" s="183">
        <f>ventas_b_mes1[[#This Row],[IMPORTE NETO]]*0.21</f>
        <v>0</v>
      </c>
      <c r="J643" s="184"/>
      <c r="K643" s="184"/>
      <c r="L643" s="184"/>
      <c r="M643" s="59"/>
    </row>
    <row r="644" spans="2:13" x14ac:dyDescent="0.3">
      <c r="B644" s="178"/>
      <c r="C644" s="179"/>
      <c r="D644" s="180"/>
      <c r="E644" s="181"/>
      <c r="F644" s="182"/>
      <c r="G644" s="1" t="str">
        <f>IFERROR(IF(ventas_b_mes1[[#This Row],[CUIT]]="","-",VLOOKUP(ventas_b_mes1[[#This Row],[CUIT]],Lista_CUIT[#All],2,0)),"CUIT NO CARGADO")</f>
        <v>-</v>
      </c>
      <c r="H644" s="64">
        <f>ventas_b_mes1[[#This Row],[TOTAL]]/1.21</f>
        <v>0</v>
      </c>
      <c r="I644" s="183">
        <f>ventas_b_mes1[[#This Row],[IMPORTE NETO]]*0.21</f>
        <v>0</v>
      </c>
      <c r="J644" s="184"/>
      <c r="K644" s="184"/>
      <c r="L644" s="184"/>
      <c r="M644" s="59"/>
    </row>
    <row r="645" spans="2:13" x14ac:dyDescent="0.3">
      <c r="B645" s="178"/>
      <c r="C645" s="179"/>
      <c r="D645" s="180"/>
      <c r="E645" s="181"/>
      <c r="F645" s="182"/>
      <c r="G645" s="1" t="str">
        <f>IFERROR(IF(ventas_b_mes1[[#This Row],[CUIT]]="","-",VLOOKUP(ventas_b_mes1[[#This Row],[CUIT]],Lista_CUIT[#All],2,0)),"CUIT NO CARGADO")</f>
        <v>-</v>
      </c>
      <c r="H645" s="64">
        <f>ventas_b_mes1[[#This Row],[TOTAL]]/1.21</f>
        <v>0</v>
      </c>
      <c r="I645" s="183">
        <f>ventas_b_mes1[[#This Row],[IMPORTE NETO]]*0.21</f>
        <v>0</v>
      </c>
      <c r="J645" s="184"/>
      <c r="K645" s="184"/>
      <c r="L645" s="184"/>
      <c r="M645" s="59"/>
    </row>
    <row r="646" spans="2:13" x14ac:dyDescent="0.3">
      <c r="B646" s="178"/>
      <c r="C646" s="179"/>
      <c r="D646" s="180"/>
      <c r="E646" s="181"/>
      <c r="F646" s="182"/>
      <c r="G646" s="1" t="str">
        <f>IFERROR(IF(ventas_b_mes1[[#This Row],[CUIT]]="","-",VLOOKUP(ventas_b_mes1[[#This Row],[CUIT]],Lista_CUIT[#All],2,0)),"CUIT NO CARGADO")</f>
        <v>-</v>
      </c>
      <c r="H646" s="64">
        <f>ventas_b_mes1[[#This Row],[TOTAL]]/1.21</f>
        <v>0</v>
      </c>
      <c r="I646" s="183">
        <f>ventas_b_mes1[[#This Row],[IMPORTE NETO]]*0.21</f>
        <v>0</v>
      </c>
      <c r="J646" s="184"/>
      <c r="K646" s="184"/>
      <c r="L646" s="184"/>
      <c r="M646" s="59"/>
    </row>
    <row r="647" spans="2:13" x14ac:dyDescent="0.3">
      <c r="B647" s="178"/>
      <c r="C647" s="179"/>
      <c r="D647" s="180"/>
      <c r="E647" s="181"/>
      <c r="F647" s="182"/>
      <c r="G647" s="1" t="str">
        <f>IFERROR(IF(ventas_b_mes1[[#This Row],[CUIT]]="","-",VLOOKUP(ventas_b_mes1[[#This Row],[CUIT]],Lista_CUIT[#All],2,0)),"CUIT NO CARGADO")</f>
        <v>-</v>
      </c>
      <c r="H647" s="64">
        <f>ventas_b_mes1[[#This Row],[TOTAL]]/1.21</f>
        <v>0</v>
      </c>
      <c r="I647" s="183">
        <f>ventas_b_mes1[[#This Row],[IMPORTE NETO]]*0.21</f>
        <v>0</v>
      </c>
      <c r="J647" s="184"/>
      <c r="K647" s="184"/>
      <c r="L647" s="184"/>
      <c r="M647" s="59"/>
    </row>
    <row r="648" spans="2:13" x14ac:dyDescent="0.3">
      <c r="B648" s="178"/>
      <c r="C648" s="179"/>
      <c r="D648" s="180"/>
      <c r="E648" s="181"/>
      <c r="F648" s="182"/>
      <c r="G648" s="1" t="str">
        <f>IFERROR(IF(ventas_b_mes1[[#This Row],[CUIT]]="","-",VLOOKUP(ventas_b_mes1[[#This Row],[CUIT]],Lista_CUIT[#All],2,0)),"CUIT NO CARGADO")</f>
        <v>-</v>
      </c>
      <c r="H648" s="64">
        <f>ventas_b_mes1[[#This Row],[TOTAL]]/1.21</f>
        <v>0</v>
      </c>
      <c r="I648" s="183">
        <f>ventas_b_mes1[[#This Row],[IMPORTE NETO]]*0.21</f>
        <v>0</v>
      </c>
      <c r="J648" s="184"/>
      <c r="K648" s="184"/>
      <c r="L648" s="184"/>
      <c r="M648" s="59"/>
    </row>
    <row r="649" spans="2:13" x14ac:dyDescent="0.3">
      <c r="B649" s="178"/>
      <c r="C649" s="179"/>
      <c r="D649" s="180"/>
      <c r="E649" s="181"/>
      <c r="F649" s="182"/>
      <c r="G649" s="1" t="str">
        <f>IFERROR(IF(ventas_b_mes1[[#This Row],[CUIT]]="","-",VLOOKUP(ventas_b_mes1[[#This Row],[CUIT]],Lista_CUIT[#All],2,0)),"CUIT NO CARGADO")</f>
        <v>-</v>
      </c>
      <c r="H649" s="64">
        <f>ventas_b_mes1[[#This Row],[TOTAL]]/1.21</f>
        <v>0</v>
      </c>
      <c r="I649" s="183">
        <f>ventas_b_mes1[[#This Row],[IMPORTE NETO]]*0.21</f>
        <v>0</v>
      </c>
      <c r="J649" s="184"/>
      <c r="K649" s="184"/>
      <c r="L649" s="184"/>
      <c r="M649" s="59"/>
    </row>
    <row r="650" spans="2:13" x14ac:dyDescent="0.3">
      <c r="B650" s="178"/>
      <c r="C650" s="179"/>
      <c r="D650" s="180"/>
      <c r="E650" s="181"/>
      <c r="F650" s="182"/>
      <c r="G650" s="1" t="str">
        <f>IFERROR(IF(ventas_b_mes1[[#This Row],[CUIT]]="","-",VLOOKUP(ventas_b_mes1[[#This Row],[CUIT]],Lista_CUIT[#All],2,0)),"CUIT NO CARGADO")</f>
        <v>-</v>
      </c>
      <c r="H650" s="64">
        <f>ventas_b_mes1[[#This Row],[TOTAL]]/1.21</f>
        <v>0</v>
      </c>
      <c r="I650" s="183">
        <f>ventas_b_mes1[[#This Row],[IMPORTE NETO]]*0.21</f>
        <v>0</v>
      </c>
      <c r="J650" s="184"/>
      <c r="K650" s="184"/>
      <c r="L650" s="184"/>
      <c r="M650" s="59"/>
    </row>
    <row r="651" spans="2:13" x14ac:dyDescent="0.3">
      <c r="B651" s="178"/>
      <c r="C651" s="179"/>
      <c r="D651" s="180"/>
      <c r="E651" s="181"/>
      <c r="F651" s="182"/>
      <c r="G651" s="1" t="str">
        <f>IFERROR(IF(ventas_b_mes1[[#This Row],[CUIT]]="","-",VLOOKUP(ventas_b_mes1[[#This Row],[CUIT]],Lista_CUIT[#All],2,0)),"CUIT NO CARGADO")</f>
        <v>-</v>
      </c>
      <c r="H651" s="64">
        <f>ventas_b_mes1[[#This Row],[TOTAL]]/1.21</f>
        <v>0</v>
      </c>
      <c r="I651" s="183">
        <f>ventas_b_mes1[[#This Row],[IMPORTE NETO]]*0.21</f>
        <v>0</v>
      </c>
      <c r="J651" s="184"/>
      <c r="K651" s="184"/>
      <c r="L651" s="184"/>
      <c r="M651" s="59"/>
    </row>
    <row r="652" spans="2:13" x14ac:dyDescent="0.3">
      <c r="B652" s="178"/>
      <c r="C652" s="179"/>
      <c r="D652" s="180"/>
      <c r="E652" s="181"/>
      <c r="F652" s="182"/>
      <c r="G652" s="1" t="str">
        <f>IFERROR(IF(ventas_b_mes1[[#This Row],[CUIT]]="","-",VLOOKUP(ventas_b_mes1[[#This Row],[CUIT]],Lista_CUIT[#All],2,0)),"CUIT NO CARGADO")</f>
        <v>-</v>
      </c>
      <c r="H652" s="64">
        <f>ventas_b_mes1[[#This Row],[TOTAL]]/1.21</f>
        <v>0</v>
      </c>
      <c r="I652" s="183">
        <f>ventas_b_mes1[[#This Row],[IMPORTE NETO]]*0.21</f>
        <v>0</v>
      </c>
      <c r="J652" s="184"/>
      <c r="K652" s="184"/>
      <c r="L652" s="184"/>
      <c r="M652" s="59"/>
    </row>
    <row r="653" spans="2:13" x14ac:dyDescent="0.3">
      <c r="B653" s="178"/>
      <c r="C653" s="179"/>
      <c r="D653" s="180"/>
      <c r="E653" s="181"/>
      <c r="F653" s="182"/>
      <c r="G653" s="1" t="str">
        <f>IFERROR(IF(ventas_b_mes1[[#This Row],[CUIT]]="","-",VLOOKUP(ventas_b_mes1[[#This Row],[CUIT]],Lista_CUIT[#All],2,0)),"CUIT NO CARGADO")</f>
        <v>-</v>
      </c>
      <c r="H653" s="64">
        <f>ventas_b_mes1[[#This Row],[TOTAL]]/1.21</f>
        <v>0</v>
      </c>
      <c r="I653" s="183">
        <f>ventas_b_mes1[[#This Row],[IMPORTE NETO]]*0.21</f>
        <v>0</v>
      </c>
      <c r="J653" s="184"/>
      <c r="K653" s="184"/>
      <c r="L653" s="184"/>
      <c r="M653" s="59"/>
    </row>
    <row r="654" spans="2:13" x14ac:dyDescent="0.3">
      <c r="B654" s="178"/>
      <c r="C654" s="179"/>
      <c r="D654" s="180"/>
      <c r="E654" s="181"/>
      <c r="F654" s="182"/>
      <c r="G654" s="1" t="str">
        <f>IFERROR(IF(ventas_b_mes1[[#This Row],[CUIT]]="","-",VLOOKUP(ventas_b_mes1[[#This Row],[CUIT]],Lista_CUIT[#All],2,0)),"CUIT NO CARGADO")</f>
        <v>-</v>
      </c>
      <c r="H654" s="64">
        <f>ventas_b_mes1[[#This Row],[TOTAL]]/1.21</f>
        <v>0</v>
      </c>
      <c r="I654" s="183">
        <f>ventas_b_mes1[[#This Row],[IMPORTE NETO]]*0.21</f>
        <v>0</v>
      </c>
      <c r="J654" s="184"/>
      <c r="K654" s="184"/>
      <c r="L654" s="184"/>
      <c r="M654" s="59"/>
    </row>
    <row r="655" spans="2:13" x14ac:dyDescent="0.3">
      <c r="B655" s="178"/>
      <c r="C655" s="179"/>
      <c r="D655" s="180"/>
      <c r="E655" s="181"/>
      <c r="F655" s="182"/>
      <c r="G655" s="1" t="str">
        <f>IFERROR(IF(ventas_b_mes1[[#This Row],[CUIT]]="","-",VLOOKUP(ventas_b_mes1[[#This Row],[CUIT]],Lista_CUIT[#All],2,0)),"CUIT NO CARGADO")</f>
        <v>-</v>
      </c>
      <c r="H655" s="64">
        <f>ventas_b_mes1[[#This Row],[TOTAL]]/1.21</f>
        <v>0</v>
      </c>
      <c r="I655" s="183">
        <f>ventas_b_mes1[[#This Row],[IMPORTE NETO]]*0.21</f>
        <v>0</v>
      </c>
      <c r="J655" s="184"/>
      <c r="K655" s="184"/>
      <c r="L655" s="184"/>
      <c r="M655" s="59"/>
    </row>
    <row r="656" spans="2:13" x14ac:dyDescent="0.3">
      <c r="B656" s="178"/>
      <c r="C656" s="179"/>
      <c r="D656" s="180"/>
      <c r="E656" s="181"/>
      <c r="F656" s="182"/>
      <c r="G656" s="1" t="str">
        <f>IFERROR(IF(ventas_b_mes1[[#This Row],[CUIT]]="","-",VLOOKUP(ventas_b_mes1[[#This Row],[CUIT]],Lista_CUIT[#All],2,0)),"CUIT NO CARGADO")</f>
        <v>-</v>
      </c>
      <c r="H656" s="64">
        <f>ventas_b_mes1[[#This Row],[TOTAL]]/1.21</f>
        <v>0</v>
      </c>
      <c r="I656" s="183">
        <f>ventas_b_mes1[[#This Row],[IMPORTE NETO]]*0.21</f>
        <v>0</v>
      </c>
      <c r="J656" s="184"/>
      <c r="K656" s="184"/>
      <c r="L656" s="184"/>
      <c r="M656" s="59"/>
    </row>
    <row r="657" spans="2:13" x14ac:dyDescent="0.3">
      <c r="B657" s="178"/>
      <c r="C657" s="179"/>
      <c r="D657" s="180"/>
      <c r="E657" s="181"/>
      <c r="F657" s="182"/>
      <c r="G657" s="1" t="str">
        <f>IFERROR(IF(ventas_b_mes1[[#This Row],[CUIT]]="","-",VLOOKUP(ventas_b_mes1[[#This Row],[CUIT]],Lista_CUIT[#All],2,0)),"CUIT NO CARGADO")</f>
        <v>-</v>
      </c>
      <c r="H657" s="64">
        <f>ventas_b_mes1[[#This Row],[TOTAL]]/1.21</f>
        <v>0</v>
      </c>
      <c r="I657" s="183">
        <f>ventas_b_mes1[[#This Row],[IMPORTE NETO]]*0.21</f>
        <v>0</v>
      </c>
      <c r="J657" s="184"/>
      <c r="K657" s="184"/>
      <c r="L657" s="184"/>
      <c r="M657" s="59"/>
    </row>
    <row r="658" spans="2:13" x14ac:dyDescent="0.3">
      <c r="B658" s="178"/>
      <c r="C658" s="179"/>
      <c r="D658" s="180"/>
      <c r="E658" s="181"/>
      <c r="F658" s="182"/>
      <c r="G658" s="1" t="str">
        <f>IFERROR(IF(ventas_b_mes1[[#This Row],[CUIT]]="","-",VLOOKUP(ventas_b_mes1[[#This Row],[CUIT]],Lista_CUIT[#All],2,0)),"CUIT NO CARGADO")</f>
        <v>-</v>
      </c>
      <c r="H658" s="64">
        <f>ventas_b_mes1[[#This Row],[TOTAL]]/1.21</f>
        <v>0</v>
      </c>
      <c r="I658" s="183">
        <f>ventas_b_mes1[[#This Row],[IMPORTE NETO]]*0.21</f>
        <v>0</v>
      </c>
      <c r="J658" s="184"/>
      <c r="K658" s="184"/>
      <c r="L658" s="184"/>
      <c r="M658" s="59"/>
    </row>
    <row r="659" spans="2:13" x14ac:dyDescent="0.3">
      <c r="B659" s="178"/>
      <c r="C659" s="179"/>
      <c r="D659" s="180"/>
      <c r="E659" s="181"/>
      <c r="F659" s="182"/>
      <c r="G659" s="1" t="str">
        <f>IFERROR(IF(ventas_b_mes1[[#This Row],[CUIT]]="","-",VLOOKUP(ventas_b_mes1[[#This Row],[CUIT]],Lista_CUIT[#All],2,0)),"CUIT NO CARGADO")</f>
        <v>-</v>
      </c>
      <c r="H659" s="64">
        <f>ventas_b_mes1[[#This Row],[TOTAL]]/1.21</f>
        <v>0</v>
      </c>
      <c r="I659" s="183">
        <f>ventas_b_mes1[[#This Row],[IMPORTE NETO]]*0.21</f>
        <v>0</v>
      </c>
      <c r="J659" s="184"/>
      <c r="K659" s="184"/>
      <c r="L659" s="184"/>
      <c r="M659" s="59"/>
    </row>
    <row r="660" spans="2:13" x14ac:dyDescent="0.3">
      <c r="B660" s="178"/>
      <c r="C660" s="179"/>
      <c r="D660" s="180"/>
      <c r="E660" s="181"/>
      <c r="F660" s="182"/>
      <c r="G660" s="1" t="str">
        <f>IFERROR(IF(ventas_b_mes1[[#This Row],[CUIT]]="","-",VLOOKUP(ventas_b_mes1[[#This Row],[CUIT]],Lista_CUIT[#All],2,0)),"CUIT NO CARGADO")</f>
        <v>-</v>
      </c>
      <c r="H660" s="64">
        <f>ventas_b_mes1[[#This Row],[TOTAL]]/1.21</f>
        <v>0</v>
      </c>
      <c r="I660" s="183">
        <f>ventas_b_mes1[[#This Row],[IMPORTE NETO]]*0.21</f>
        <v>0</v>
      </c>
      <c r="J660" s="184"/>
      <c r="K660" s="184"/>
      <c r="L660" s="184"/>
      <c r="M660" s="59"/>
    </row>
    <row r="661" spans="2:13" x14ac:dyDescent="0.3">
      <c r="B661" s="178"/>
      <c r="C661" s="179"/>
      <c r="D661" s="180"/>
      <c r="E661" s="181"/>
      <c r="F661" s="182"/>
      <c r="G661" s="1" t="str">
        <f>IFERROR(IF(ventas_b_mes1[[#This Row],[CUIT]]="","-",VLOOKUP(ventas_b_mes1[[#This Row],[CUIT]],Lista_CUIT[#All],2,0)),"CUIT NO CARGADO")</f>
        <v>-</v>
      </c>
      <c r="H661" s="64">
        <f>ventas_b_mes1[[#This Row],[TOTAL]]/1.21</f>
        <v>0</v>
      </c>
      <c r="I661" s="183">
        <f>ventas_b_mes1[[#This Row],[IMPORTE NETO]]*0.21</f>
        <v>0</v>
      </c>
      <c r="J661" s="184"/>
      <c r="K661" s="184"/>
      <c r="L661" s="184"/>
      <c r="M661" s="59"/>
    </row>
    <row r="662" spans="2:13" x14ac:dyDescent="0.3">
      <c r="B662" s="178"/>
      <c r="C662" s="179"/>
      <c r="D662" s="180"/>
      <c r="E662" s="181"/>
      <c r="F662" s="182"/>
      <c r="G662" s="1" t="str">
        <f>IFERROR(IF(ventas_b_mes1[[#This Row],[CUIT]]="","-",VLOOKUP(ventas_b_mes1[[#This Row],[CUIT]],Lista_CUIT[#All],2,0)),"CUIT NO CARGADO")</f>
        <v>-</v>
      </c>
      <c r="H662" s="64">
        <f>ventas_b_mes1[[#This Row],[TOTAL]]/1.21</f>
        <v>0</v>
      </c>
      <c r="I662" s="183">
        <f>ventas_b_mes1[[#This Row],[IMPORTE NETO]]*0.21</f>
        <v>0</v>
      </c>
      <c r="J662" s="184"/>
      <c r="K662" s="184"/>
      <c r="L662" s="184"/>
      <c r="M662" s="59"/>
    </row>
    <row r="663" spans="2:13" x14ac:dyDescent="0.3">
      <c r="B663" s="178"/>
      <c r="C663" s="179"/>
      <c r="D663" s="180"/>
      <c r="E663" s="181"/>
      <c r="F663" s="182"/>
      <c r="G663" s="1" t="str">
        <f>IFERROR(IF(ventas_b_mes1[[#This Row],[CUIT]]="","-",VLOOKUP(ventas_b_mes1[[#This Row],[CUIT]],Lista_CUIT[#All],2,0)),"CUIT NO CARGADO")</f>
        <v>-</v>
      </c>
      <c r="H663" s="64">
        <f>ventas_b_mes1[[#This Row],[TOTAL]]/1.21</f>
        <v>0</v>
      </c>
      <c r="I663" s="183">
        <f>ventas_b_mes1[[#This Row],[IMPORTE NETO]]*0.21</f>
        <v>0</v>
      </c>
      <c r="J663" s="184"/>
      <c r="K663" s="184"/>
      <c r="L663" s="184"/>
      <c r="M663" s="59"/>
    </row>
    <row r="664" spans="2:13" x14ac:dyDescent="0.3">
      <c r="B664" s="178"/>
      <c r="C664" s="179"/>
      <c r="D664" s="180"/>
      <c r="E664" s="181"/>
      <c r="F664" s="182"/>
      <c r="G664" s="1" t="str">
        <f>IFERROR(IF(ventas_b_mes1[[#This Row],[CUIT]]="","-",VLOOKUP(ventas_b_mes1[[#This Row],[CUIT]],Lista_CUIT[#All],2,0)),"CUIT NO CARGADO")</f>
        <v>-</v>
      </c>
      <c r="H664" s="64">
        <f>ventas_b_mes1[[#This Row],[TOTAL]]/1.21</f>
        <v>0</v>
      </c>
      <c r="I664" s="183">
        <f>ventas_b_mes1[[#This Row],[IMPORTE NETO]]*0.21</f>
        <v>0</v>
      </c>
      <c r="J664" s="184"/>
      <c r="K664" s="184"/>
      <c r="L664" s="184"/>
      <c r="M664" s="59"/>
    </row>
    <row r="665" spans="2:13" x14ac:dyDescent="0.3">
      <c r="B665" s="178"/>
      <c r="C665" s="179"/>
      <c r="D665" s="180"/>
      <c r="E665" s="181"/>
      <c r="F665" s="182"/>
      <c r="G665" s="1" t="str">
        <f>IFERROR(IF(ventas_b_mes1[[#This Row],[CUIT]]="","-",VLOOKUP(ventas_b_mes1[[#This Row],[CUIT]],Lista_CUIT[#All],2,0)),"CUIT NO CARGADO")</f>
        <v>-</v>
      </c>
      <c r="H665" s="64">
        <f>ventas_b_mes1[[#This Row],[TOTAL]]/1.21</f>
        <v>0</v>
      </c>
      <c r="I665" s="183">
        <f>ventas_b_mes1[[#This Row],[IMPORTE NETO]]*0.21</f>
        <v>0</v>
      </c>
      <c r="J665" s="184"/>
      <c r="K665" s="184"/>
      <c r="L665" s="184"/>
      <c r="M665" s="59"/>
    </row>
    <row r="666" spans="2:13" x14ac:dyDescent="0.3">
      <c r="B666" s="178"/>
      <c r="C666" s="179"/>
      <c r="D666" s="180"/>
      <c r="E666" s="181"/>
      <c r="F666" s="182"/>
      <c r="G666" s="1" t="str">
        <f>IFERROR(IF(ventas_b_mes1[[#This Row],[CUIT]]="","-",VLOOKUP(ventas_b_mes1[[#This Row],[CUIT]],Lista_CUIT[#All],2,0)),"CUIT NO CARGADO")</f>
        <v>-</v>
      </c>
      <c r="H666" s="64">
        <f>ventas_b_mes1[[#This Row],[TOTAL]]/1.21</f>
        <v>0</v>
      </c>
      <c r="I666" s="183">
        <f>ventas_b_mes1[[#This Row],[IMPORTE NETO]]*0.21</f>
        <v>0</v>
      </c>
      <c r="J666" s="184"/>
      <c r="K666" s="184"/>
      <c r="L666" s="184"/>
      <c r="M666" s="59"/>
    </row>
    <row r="667" spans="2:13" x14ac:dyDescent="0.3">
      <c r="B667" s="178"/>
      <c r="C667" s="179"/>
      <c r="D667" s="180"/>
      <c r="E667" s="181"/>
      <c r="F667" s="182"/>
      <c r="G667" s="1" t="str">
        <f>IFERROR(IF(ventas_b_mes1[[#This Row],[CUIT]]="","-",VLOOKUP(ventas_b_mes1[[#This Row],[CUIT]],Lista_CUIT[#All],2,0)),"CUIT NO CARGADO")</f>
        <v>-</v>
      </c>
      <c r="H667" s="64">
        <f>ventas_b_mes1[[#This Row],[TOTAL]]/1.21</f>
        <v>0</v>
      </c>
      <c r="I667" s="183">
        <f>ventas_b_mes1[[#This Row],[IMPORTE NETO]]*0.21</f>
        <v>0</v>
      </c>
      <c r="J667" s="184"/>
      <c r="K667" s="184"/>
      <c r="L667" s="184"/>
      <c r="M667" s="59"/>
    </row>
    <row r="668" spans="2:13" x14ac:dyDescent="0.3">
      <c r="B668" s="178"/>
      <c r="C668" s="179"/>
      <c r="D668" s="180"/>
      <c r="E668" s="181"/>
      <c r="F668" s="182"/>
      <c r="G668" s="1" t="str">
        <f>IFERROR(IF(ventas_b_mes1[[#This Row],[CUIT]]="","-",VLOOKUP(ventas_b_mes1[[#This Row],[CUIT]],Lista_CUIT[#All],2,0)),"CUIT NO CARGADO")</f>
        <v>-</v>
      </c>
      <c r="H668" s="64">
        <f>ventas_b_mes1[[#This Row],[TOTAL]]/1.21</f>
        <v>0</v>
      </c>
      <c r="I668" s="183">
        <f>ventas_b_mes1[[#This Row],[IMPORTE NETO]]*0.21</f>
        <v>0</v>
      </c>
      <c r="J668" s="184"/>
      <c r="K668" s="184"/>
      <c r="L668" s="184"/>
      <c r="M668" s="59"/>
    </row>
    <row r="669" spans="2:13" x14ac:dyDescent="0.3">
      <c r="B669" s="178"/>
      <c r="C669" s="179"/>
      <c r="D669" s="180"/>
      <c r="E669" s="181"/>
      <c r="F669" s="182"/>
      <c r="G669" s="1" t="str">
        <f>IFERROR(IF(ventas_b_mes1[[#This Row],[CUIT]]="","-",VLOOKUP(ventas_b_mes1[[#This Row],[CUIT]],Lista_CUIT[#All],2,0)),"CUIT NO CARGADO")</f>
        <v>-</v>
      </c>
      <c r="H669" s="64">
        <f>ventas_b_mes1[[#This Row],[TOTAL]]/1.21</f>
        <v>0</v>
      </c>
      <c r="I669" s="183">
        <f>ventas_b_mes1[[#This Row],[IMPORTE NETO]]*0.21</f>
        <v>0</v>
      </c>
      <c r="J669" s="184"/>
      <c r="K669" s="184"/>
      <c r="L669" s="184"/>
      <c r="M669" s="59"/>
    </row>
    <row r="670" spans="2:13" x14ac:dyDescent="0.3">
      <c r="B670" s="178"/>
      <c r="C670" s="179"/>
      <c r="D670" s="180"/>
      <c r="E670" s="181"/>
      <c r="F670" s="182"/>
      <c r="G670" s="1" t="str">
        <f>IFERROR(IF(ventas_b_mes1[[#This Row],[CUIT]]="","-",VLOOKUP(ventas_b_mes1[[#This Row],[CUIT]],Lista_CUIT[#All],2,0)),"CUIT NO CARGADO")</f>
        <v>-</v>
      </c>
      <c r="H670" s="64">
        <f>ventas_b_mes1[[#This Row],[TOTAL]]/1.21</f>
        <v>0</v>
      </c>
      <c r="I670" s="183">
        <f>ventas_b_mes1[[#This Row],[IMPORTE NETO]]*0.21</f>
        <v>0</v>
      </c>
      <c r="J670" s="184"/>
      <c r="K670" s="184"/>
      <c r="L670" s="184"/>
      <c r="M670" s="59"/>
    </row>
    <row r="671" spans="2:13" x14ac:dyDescent="0.3">
      <c r="B671" s="178"/>
      <c r="C671" s="179"/>
      <c r="D671" s="180"/>
      <c r="E671" s="181"/>
      <c r="F671" s="182"/>
      <c r="G671" s="1" t="str">
        <f>IFERROR(IF(ventas_b_mes1[[#This Row],[CUIT]]="","-",VLOOKUP(ventas_b_mes1[[#This Row],[CUIT]],Lista_CUIT[#All],2,0)),"CUIT NO CARGADO")</f>
        <v>-</v>
      </c>
      <c r="H671" s="64">
        <f>ventas_b_mes1[[#This Row],[TOTAL]]/1.21</f>
        <v>0</v>
      </c>
      <c r="I671" s="183">
        <f>ventas_b_mes1[[#This Row],[IMPORTE NETO]]*0.21</f>
        <v>0</v>
      </c>
      <c r="J671" s="184"/>
      <c r="K671" s="184"/>
      <c r="L671" s="184"/>
      <c r="M671" s="59"/>
    </row>
    <row r="672" spans="2:13" x14ac:dyDescent="0.3">
      <c r="B672" s="178"/>
      <c r="C672" s="179"/>
      <c r="D672" s="180"/>
      <c r="E672" s="181"/>
      <c r="F672" s="182"/>
      <c r="G672" s="1" t="str">
        <f>IFERROR(IF(ventas_b_mes1[[#This Row],[CUIT]]="","-",VLOOKUP(ventas_b_mes1[[#This Row],[CUIT]],Lista_CUIT[#All],2,0)),"CUIT NO CARGADO")</f>
        <v>-</v>
      </c>
      <c r="H672" s="64">
        <f>ventas_b_mes1[[#This Row],[TOTAL]]/1.21</f>
        <v>0</v>
      </c>
      <c r="I672" s="183">
        <f>ventas_b_mes1[[#This Row],[IMPORTE NETO]]*0.21</f>
        <v>0</v>
      </c>
      <c r="J672" s="184"/>
      <c r="K672" s="184"/>
      <c r="L672" s="184"/>
      <c r="M672" s="59"/>
    </row>
    <row r="673" spans="2:13" x14ac:dyDescent="0.3">
      <c r="B673" s="178"/>
      <c r="C673" s="179"/>
      <c r="D673" s="180"/>
      <c r="E673" s="181"/>
      <c r="F673" s="182"/>
      <c r="G673" s="1" t="str">
        <f>IFERROR(IF(ventas_b_mes1[[#This Row],[CUIT]]="","-",VLOOKUP(ventas_b_mes1[[#This Row],[CUIT]],Lista_CUIT[#All],2,0)),"CUIT NO CARGADO")</f>
        <v>-</v>
      </c>
      <c r="H673" s="64">
        <f>ventas_b_mes1[[#This Row],[TOTAL]]/1.21</f>
        <v>0</v>
      </c>
      <c r="I673" s="183">
        <f>ventas_b_mes1[[#This Row],[IMPORTE NETO]]*0.21</f>
        <v>0</v>
      </c>
      <c r="J673" s="184"/>
      <c r="K673" s="184"/>
      <c r="L673" s="184"/>
      <c r="M673" s="59"/>
    </row>
    <row r="674" spans="2:13" x14ac:dyDescent="0.3">
      <c r="B674" s="178"/>
      <c r="C674" s="179"/>
      <c r="D674" s="180"/>
      <c r="E674" s="181"/>
      <c r="F674" s="182"/>
      <c r="G674" s="1" t="str">
        <f>IFERROR(IF(ventas_b_mes1[[#This Row],[CUIT]]="","-",VLOOKUP(ventas_b_mes1[[#This Row],[CUIT]],Lista_CUIT[#All],2,0)),"CUIT NO CARGADO")</f>
        <v>-</v>
      </c>
      <c r="H674" s="64">
        <f>ventas_b_mes1[[#This Row],[TOTAL]]/1.21</f>
        <v>0</v>
      </c>
      <c r="I674" s="183">
        <f>ventas_b_mes1[[#This Row],[IMPORTE NETO]]*0.21</f>
        <v>0</v>
      </c>
      <c r="J674" s="184"/>
      <c r="K674" s="184"/>
      <c r="L674" s="184"/>
      <c r="M674" s="59"/>
    </row>
    <row r="675" spans="2:13" x14ac:dyDescent="0.3">
      <c r="B675" s="178"/>
      <c r="C675" s="179"/>
      <c r="D675" s="180"/>
      <c r="E675" s="181"/>
      <c r="F675" s="182"/>
      <c r="G675" s="1" t="str">
        <f>IFERROR(IF(ventas_b_mes1[[#This Row],[CUIT]]="","-",VLOOKUP(ventas_b_mes1[[#This Row],[CUIT]],Lista_CUIT[#All],2,0)),"CUIT NO CARGADO")</f>
        <v>-</v>
      </c>
      <c r="H675" s="64">
        <f>ventas_b_mes1[[#This Row],[TOTAL]]/1.21</f>
        <v>0</v>
      </c>
      <c r="I675" s="183">
        <f>ventas_b_mes1[[#This Row],[IMPORTE NETO]]*0.21</f>
        <v>0</v>
      </c>
      <c r="J675" s="184"/>
      <c r="K675" s="184"/>
      <c r="L675" s="184"/>
      <c r="M675" s="59"/>
    </row>
    <row r="676" spans="2:13" x14ac:dyDescent="0.3">
      <c r="B676" s="178"/>
      <c r="C676" s="179"/>
      <c r="D676" s="180"/>
      <c r="E676" s="181"/>
      <c r="F676" s="182"/>
      <c r="G676" s="1" t="str">
        <f>IFERROR(IF(ventas_b_mes1[[#This Row],[CUIT]]="","-",VLOOKUP(ventas_b_mes1[[#This Row],[CUIT]],Lista_CUIT[#All],2,0)),"CUIT NO CARGADO")</f>
        <v>-</v>
      </c>
      <c r="H676" s="64">
        <f>ventas_b_mes1[[#This Row],[TOTAL]]/1.21</f>
        <v>0</v>
      </c>
      <c r="I676" s="183">
        <f>ventas_b_mes1[[#This Row],[IMPORTE NETO]]*0.21</f>
        <v>0</v>
      </c>
      <c r="J676" s="184"/>
      <c r="K676" s="184"/>
      <c r="L676" s="184"/>
      <c r="M676" s="59"/>
    </row>
    <row r="677" spans="2:13" x14ac:dyDescent="0.3">
      <c r="B677" s="178"/>
      <c r="C677" s="179"/>
      <c r="D677" s="180"/>
      <c r="E677" s="181"/>
      <c r="F677" s="182"/>
      <c r="G677" s="1" t="str">
        <f>IFERROR(IF(ventas_b_mes1[[#This Row],[CUIT]]="","-",VLOOKUP(ventas_b_mes1[[#This Row],[CUIT]],Lista_CUIT[#All],2,0)),"CUIT NO CARGADO")</f>
        <v>-</v>
      </c>
      <c r="H677" s="64">
        <f>ventas_b_mes1[[#This Row],[TOTAL]]/1.21</f>
        <v>0</v>
      </c>
      <c r="I677" s="183">
        <f>ventas_b_mes1[[#This Row],[IMPORTE NETO]]*0.21</f>
        <v>0</v>
      </c>
      <c r="J677" s="184"/>
      <c r="K677" s="184"/>
      <c r="L677" s="184"/>
      <c r="M677" s="59"/>
    </row>
    <row r="678" spans="2:13" x14ac:dyDescent="0.3">
      <c r="B678" s="178"/>
      <c r="C678" s="179"/>
      <c r="D678" s="180"/>
      <c r="E678" s="181"/>
      <c r="F678" s="182"/>
      <c r="G678" s="1" t="str">
        <f>IFERROR(IF(ventas_b_mes1[[#This Row],[CUIT]]="","-",VLOOKUP(ventas_b_mes1[[#This Row],[CUIT]],Lista_CUIT[#All],2,0)),"CUIT NO CARGADO")</f>
        <v>-</v>
      </c>
      <c r="H678" s="64">
        <f>ventas_b_mes1[[#This Row],[TOTAL]]/1.21</f>
        <v>0</v>
      </c>
      <c r="I678" s="183">
        <f>ventas_b_mes1[[#This Row],[IMPORTE NETO]]*0.21</f>
        <v>0</v>
      </c>
      <c r="J678" s="184"/>
      <c r="K678" s="184"/>
      <c r="L678" s="184"/>
      <c r="M678" s="59"/>
    </row>
    <row r="679" spans="2:13" x14ac:dyDescent="0.3">
      <c r="B679" s="178"/>
      <c r="C679" s="179"/>
      <c r="D679" s="180"/>
      <c r="E679" s="181"/>
      <c r="F679" s="182"/>
      <c r="G679" s="1" t="str">
        <f>IFERROR(IF(ventas_b_mes1[[#This Row],[CUIT]]="","-",VLOOKUP(ventas_b_mes1[[#This Row],[CUIT]],Lista_CUIT[#All],2,0)),"CUIT NO CARGADO")</f>
        <v>-</v>
      </c>
      <c r="H679" s="64">
        <f>ventas_b_mes1[[#This Row],[TOTAL]]/1.21</f>
        <v>0</v>
      </c>
      <c r="I679" s="183">
        <f>ventas_b_mes1[[#This Row],[IMPORTE NETO]]*0.21</f>
        <v>0</v>
      </c>
      <c r="J679" s="184"/>
      <c r="K679" s="184"/>
      <c r="L679" s="184"/>
      <c r="M679" s="59"/>
    </row>
    <row r="680" spans="2:13" x14ac:dyDescent="0.3">
      <c r="B680" s="178"/>
      <c r="C680" s="179"/>
      <c r="D680" s="180"/>
      <c r="E680" s="181"/>
      <c r="F680" s="182"/>
      <c r="G680" s="1" t="str">
        <f>IFERROR(IF(ventas_b_mes1[[#This Row],[CUIT]]="","-",VLOOKUP(ventas_b_mes1[[#This Row],[CUIT]],Lista_CUIT[#All],2,0)),"CUIT NO CARGADO")</f>
        <v>-</v>
      </c>
      <c r="H680" s="64">
        <f>ventas_b_mes1[[#This Row],[TOTAL]]/1.21</f>
        <v>0</v>
      </c>
      <c r="I680" s="183">
        <f>ventas_b_mes1[[#This Row],[IMPORTE NETO]]*0.21</f>
        <v>0</v>
      </c>
      <c r="J680" s="184"/>
      <c r="K680" s="184"/>
      <c r="L680" s="184"/>
      <c r="M680" s="59"/>
    </row>
    <row r="681" spans="2:13" x14ac:dyDescent="0.3">
      <c r="B681" s="178"/>
      <c r="C681" s="179"/>
      <c r="D681" s="180"/>
      <c r="E681" s="181"/>
      <c r="F681" s="182"/>
      <c r="G681" s="1" t="str">
        <f>IFERROR(IF(ventas_b_mes1[[#This Row],[CUIT]]="","-",VLOOKUP(ventas_b_mes1[[#This Row],[CUIT]],Lista_CUIT[#All],2,0)),"CUIT NO CARGADO")</f>
        <v>-</v>
      </c>
      <c r="H681" s="64">
        <f>ventas_b_mes1[[#This Row],[TOTAL]]/1.21</f>
        <v>0</v>
      </c>
      <c r="I681" s="183">
        <f>ventas_b_mes1[[#This Row],[IMPORTE NETO]]*0.21</f>
        <v>0</v>
      </c>
      <c r="J681" s="184"/>
      <c r="K681" s="184"/>
      <c r="L681" s="184"/>
      <c r="M681" s="59"/>
    </row>
    <row r="682" spans="2:13" x14ac:dyDescent="0.3">
      <c r="B682" s="178"/>
      <c r="C682" s="179"/>
      <c r="D682" s="180"/>
      <c r="E682" s="181"/>
      <c r="F682" s="182"/>
      <c r="G682" s="1" t="str">
        <f>IFERROR(IF(ventas_b_mes1[[#This Row],[CUIT]]="","-",VLOOKUP(ventas_b_mes1[[#This Row],[CUIT]],Lista_CUIT[#All],2,0)),"CUIT NO CARGADO")</f>
        <v>-</v>
      </c>
      <c r="H682" s="64">
        <f>ventas_b_mes1[[#This Row],[TOTAL]]/1.21</f>
        <v>0</v>
      </c>
      <c r="I682" s="183">
        <f>ventas_b_mes1[[#This Row],[IMPORTE NETO]]*0.21</f>
        <v>0</v>
      </c>
      <c r="J682" s="184"/>
      <c r="K682" s="184"/>
      <c r="L682" s="184"/>
      <c r="M682" s="59"/>
    </row>
    <row r="683" spans="2:13" x14ac:dyDescent="0.3">
      <c r="B683" s="178"/>
      <c r="C683" s="179"/>
      <c r="D683" s="180"/>
      <c r="E683" s="181"/>
      <c r="F683" s="182"/>
      <c r="G683" s="1" t="str">
        <f>IFERROR(IF(ventas_b_mes1[[#This Row],[CUIT]]="","-",VLOOKUP(ventas_b_mes1[[#This Row],[CUIT]],Lista_CUIT[#All],2,0)),"CUIT NO CARGADO")</f>
        <v>-</v>
      </c>
      <c r="H683" s="64">
        <f>ventas_b_mes1[[#This Row],[TOTAL]]/1.21</f>
        <v>0</v>
      </c>
      <c r="I683" s="183">
        <f>ventas_b_mes1[[#This Row],[IMPORTE NETO]]*0.21</f>
        <v>0</v>
      </c>
      <c r="J683" s="184"/>
      <c r="K683" s="184"/>
      <c r="L683" s="184"/>
      <c r="M683" s="59"/>
    </row>
    <row r="684" spans="2:13" x14ac:dyDescent="0.3">
      <c r="B684" s="178"/>
      <c r="C684" s="179"/>
      <c r="D684" s="180"/>
      <c r="E684" s="181"/>
      <c r="F684" s="182"/>
      <c r="G684" s="1" t="str">
        <f>IFERROR(IF(ventas_b_mes1[[#This Row],[CUIT]]="","-",VLOOKUP(ventas_b_mes1[[#This Row],[CUIT]],Lista_CUIT[#All],2,0)),"CUIT NO CARGADO")</f>
        <v>-</v>
      </c>
      <c r="H684" s="64">
        <f>ventas_b_mes1[[#This Row],[TOTAL]]/1.21</f>
        <v>0</v>
      </c>
      <c r="I684" s="183">
        <f>ventas_b_mes1[[#This Row],[IMPORTE NETO]]*0.21</f>
        <v>0</v>
      </c>
      <c r="J684" s="184"/>
      <c r="K684" s="184"/>
      <c r="L684" s="184"/>
      <c r="M684" s="59"/>
    </row>
    <row r="685" spans="2:13" x14ac:dyDescent="0.3">
      <c r="B685" s="178"/>
      <c r="C685" s="179"/>
      <c r="D685" s="180"/>
      <c r="E685" s="181"/>
      <c r="F685" s="182"/>
      <c r="G685" s="1" t="str">
        <f>IFERROR(IF(ventas_b_mes1[[#This Row],[CUIT]]="","-",VLOOKUP(ventas_b_mes1[[#This Row],[CUIT]],Lista_CUIT[#All],2,0)),"CUIT NO CARGADO")</f>
        <v>-</v>
      </c>
      <c r="H685" s="64">
        <f>ventas_b_mes1[[#This Row],[TOTAL]]/1.21</f>
        <v>0</v>
      </c>
      <c r="I685" s="183">
        <f>ventas_b_mes1[[#This Row],[IMPORTE NETO]]*0.21</f>
        <v>0</v>
      </c>
      <c r="J685" s="184"/>
      <c r="K685" s="184"/>
      <c r="L685" s="184"/>
      <c r="M685" s="59"/>
    </row>
    <row r="686" spans="2:13" x14ac:dyDescent="0.3">
      <c r="B686" s="178"/>
      <c r="C686" s="179"/>
      <c r="D686" s="180"/>
      <c r="E686" s="181"/>
      <c r="F686" s="182"/>
      <c r="G686" s="1" t="str">
        <f>IFERROR(IF(ventas_b_mes1[[#This Row],[CUIT]]="","-",VLOOKUP(ventas_b_mes1[[#This Row],[CUIT]],Lista_CUIT[#All],2,0)),"CUIT NO CARGADO")</f>
        <v>-</v>
      </c>
      <c r="H686" s="64">
        <f>ventas_b_mes1[[#This Row],[TOTAL]]/1.21</f>
        <v>0</v>
      </c>
      <c r="I686" s="183">
        <f>ventas_b_mes1[[#This Row],[IMPORTE NETO]]*0.21</f>
        <v>0</v>
      </c>
      <c r="J686" s="184"/>
      <c r="K686" s="184"/>
      <c r="L686" s="184"/>
      <c r="M686" s="59"/>
    </row>
    <row r="687" spans="2:13" x14ac:dyDescent="0.3">
      <c r="B687" s="178"/>
      <c r="C687" s="179"/>
      <c r="D687" s="180"/>
      <c r="E687" s="181"/>
      <c r="F687" s="182"/>
      <c r="G687" s="1" t="str">
        <f>IFERROR(IF(ventas_b_mes1[[#This Row],[CUIT]]="","-",VLOOKUP(ventas_b_mes1[[#This Row],[CUIT]],Lista_CUIT[#All],2,0)),"CUIT NO CARGADO")</f>
        <v>-</v>
      </c>
      <c r="H687" s="64">
        <f>ventas_b_mes1[[#This Row],[TOTAL]]/1.21</f>
        <v>0</v>
      </c>
      <c r="I687" s="183">
        <f>ventas_b_mes1[[#This Row],[IMPORTE NETO]]*0.21</f>
        <v>0</v>
      </c>
      <c r="J687" s="184"/>
      <c r="K687" s="184"/>
      <c r="L687" s="184"/>
      <c r="M687" s="59"/>
    </row>
    <row r="688" spans="2:13" x14ac:dyDescent="0.3">
      <c r="B688" s="178"/>
      <c r="C688" s="179"/>
      <c r="D688" s="180"/>
      <c r="E688" s="181"/>
      <c r="F688" s="182"/>
      <c r="G688" s="1" t="str">
        <f>IFERROR(IF(ventas_b_mes1[[#This Row],[CUIT]]="","-",VLOOKUP(ventas_b_mes1[[#This Row],[CUIT]],Lista_CUIT[#All],2,0)),"CUIT NO CARGADO")</f>
        <v>-</v>
      </c>
      <c r="H688" s="64">
        <f>ventas_b_mes1[[#This Row],[TOTAL]]/1.21</f>
        <v>0</v>
      </c>
      <c r="I688" s="183">
        <f>ventas_b_mes1[[#This Row],[IMPORTE NETO]]*0.21</f>
        <v>0</v>
      </c>
      <c r="J688" s="184"/>
      <c r="K688" s="184"/>
      <c r="L688" s="184"/>
      <c r="M688" s="59"/>
    </row>
    <row r="689" spans="2:13" x14ac:dyDescent="0.3">
      <c r="B689" s="178"/>
      <c r="C689" s="179"/>
      <c r="D689" s="180"/>
      <c r="E689" s="181"/>
      <c r="F689" s="182"/>
      <c r="G689" s="1" t="str">
        <f>IFERROR(IF(ventas_b_mes1[[#This Row],[CUIT]]="","-",VLOOKUP(ventas_b_mes1[[#This Row],[CUIT]],Lista_CUIT[#All],2,0)),"CUIT NO CARGADO")</f>
        <v>-</v>
      </c>
      <c r="H689" s="64">
        <f>ventas_b_mes1[[#This Row],[TOTAL]]/1.21</f>
        <v>0</v>
      </c>
      <c r="I689" s="183">
        <f>ventas_b_mes1[[#This Row],[IMPORTE NETO]]*0.21</f>
        <v>0</v>
      </c>
      <c r="J689" s="184"/>
      <c r="K689" s="184"/>
      <c r="L689" s="184"/>
      <c r="M689" s="59"/>
    </row>
    <row r="690" spans="2:13" x14ac:dyDescent="0.3">
      <c r="B690" s="178"/>
      <c r="C690" s="179"/>
      <c r="D690" s="180"/>
      <c r="E690" s="181"/>
      <c r="F690" s="182"/>
      <c r="G690" s="1" t="str">
        <f>IFERROR(IF(ventas_b_mes1[[#This Row],[CUIT]]="","-",VLOOKUP(ventas_b_mes1[[#This Row],[CUIT]],Lista_CUIT[#All],2,0)),"CUIT NO CARGADO")</f>
        <v>-</v>
      </c>
      <c r="H690" s="64">
        <f>ventas_b_mes1[[#This Row],[TOTAL]]/1.21</f>
        <v>0</v>
      </c>
      <c r="I690" s="183">
        <f>ventas_b_mes1[[#This Row],[IMPORTE NETO]]*0.21</f>
        <v>0</v>
      </c>
      <c r="J690" s="184"/>
      <c r="K690" s="184"/>
      <c r="L690" s="184"/>
      <c r="M690" s="59"/>
    </row>
    <row r="691" spans="2:13" x14ac:dyDescent="0.3">
      <c r="B691" s="178"/>
      <c r="C691" s="179"/>
      <c r="D691" s="180"/>
      <c r="E691" s="181"/>
      <c r="F691" s="182"/>
      <c r="G691" s="1" t="str">
        <f>IFERROR(IF(ventas_b_mes1[[#This Row],[CUIT]]="","-",VLOOKUP(ventas_b_mes1[[#This Row],[CUIT]],Lista_CUIT[#All],2,0)),"CUIT NO CARGADO")</f>
        <v>-</v>
      </c>
      <c r="H691" s="64">
        <f>ventas_b_mes1[[#This Row],[TOTAL]]/1.21</f>
        <v>0</v>
      </c>
      <c r="I691" s="183">
        <f>ventas_b_mes1[[#This Row],[IMPORTE NETO]]*0.21</f>
        <v>0</v>
      </c>
      <c r="J691" s="184"/>
      <c r="K691" s="184"/>
      <c r="L691" s="184"/>
      <c r="M691" s="59"/>
    </row>
    <row r="692" spans="2:13" x14ac:dyDescent="0.3">
      <c r="B692" s="178"/>
      <c r="C692" s="179"/>
      <c r="D692" s="180"/>
      <c r="E692" s="181"/>
      <c r="F692" s="182"/>
      <c r="G692" s="1" t="str">
        <f>IFERROR(IF(ventas_b_mes1[[#This Row],[CUIT]]="","-",VLOOKUP(ventas_b_mes1[[#This Row],[CUIT]],Lista_CUIT[#All],2,0)),"CUIT NO CARGADO")</f>
        <v>-</v>
      </c>
      <c r="H692" s="64">
        <f>ventas_b_mes1[[#This Row],[TOTAL]]/1.21</f>
        <v>0</v>
      </c>
      <c r="I692" s="183">
        <f>ventas_b_mes1[[#This Row],[IMPORTE NETO]]*0.21</f>
        <v>0</v>
      </c>
      <c r="J692" s="184"/>
      <c r="K692" s="184"/>
      <c r="L692" s="184"/>
      <c r="M692" s="59"/>
    </row>
    <row r="693" spans="2:13" x14ac:dyDescent="0.3">
      <c r="B693" s="178"/>
      <c r="C693" s="179"/>
      <c r="D693" s="180"/>
      <c r="E693" s="181"/>
      <c r="F693" s="182"/>
      <c r="G693" s="1" t="str">
        <f>IFERROR(IF(ventas_b_mes1[[#This Row],[CUIT]]="","-",VLOOKUP(ventas_b_mes1[[#This Row],[CUIT]],Lista_CUIT[#All],2,0)),"CUIT NO CARGADO")</f>
        <v>-</v>
      </c>
      <c r="H693" s="64">
        <f>ventas_b_mes1[[#This Row],[TOTAL]]/1.21</f>
        <v>0</v>
      </c>
      <c r="I693" s="183">
        <f>ventas_b_mes1[[#This Row],[IMPORTE NETO]]*0.21</f>
        <v>0</v>
      </c>
      <c r="J693" s="184"/>
      <c r="K693" s="184"/>
      <c r="L693" s="184"/>
      <c r="M693" s="59"/>
    </row>
    <row r="694" spans="2:13" x14ac:dyDescent="0.3">
      <c r="B694" s="178"/>
      <c r="C694" s="179"/>
      <c r="D694" s="180"/>
      <c r="E694" s="181"/>
      <c r="F694" s="182"/>
      <c r="G694" s="1" t="str">
        <f>IFERROR(IF(ventas_b_mes1[[#This Row],[CUIT]]="","-",VLOOKUP(ventas_b_mes1[[#This Row],[CUIT]],Lista_CUIT[#All],2,0)),"CUIT NO CARGADO")</f>
        <v>-</v>
      </c>
      <c r="H694" s="64">
        <f>ventas_b_mes1[[#This Row],[TOTAL]]/1.21</f>
        <v>0</v>
      </c>
      <c r="I694" s="183">
        <f>ventas_b_mes1[[#This Row],[IMPORTE NETO]]*0.21</f>
        <v>0</v>
      </c>
      <c r="J694" s="184"/>
      <c r="K694" s="184"/>
      <c r="L694" s="184"/>
      <c r="M694" s="59"/>
    </row>
    <row r="695" spans="2:13" x14ac:dyDescent="0.3">
      <c r="B695" s="178"/>
      <c r="C695" s="179"/>
      <c r="D695" s="180"/>
      <c r="E695" s="181"/>
      <c r="F695" s="182"/>
      <c r="G695" s="1" t="str">
        <f>IFERROR(IF(ventas_b_mes1[[#This Row],[CUIT]]="","-",VLOOKUP(ventas_b_mes1[[#This Row],[CUIT]],Lista_CUIT[#All],2,0)),"CUIT NO CARGADO")</f>
        <v>-</v>
      </c>
      <c r="H695" s="64">
        <f>ventas_b_mes1[[#This Row],[TOTAL]]/1.21</f>
        <v>0</v>
      </c>
      <c r="I695" s="183">
        <f>ventas_b_mes1[[#This Row],[IMPORTE NETO]]*0.21</f>
        <v>0</v>
      </c>
      <c r="J695" s="184"/>
      <c r="K695" s="184"/>
      <c r="L695" s="184"/>
      <c r="M695" s="59"/>
    </row>
    <row r="696" spans="2:13" x14ac:dyDescent="0.3">
      <c r="B696" s="178"/>
      <c r="C696" s="179"/>
      <c r="D696" s="180"/>
      <c r="E696" s="181"/>
      <c r="F696" s="182"/>
      <c r="G696" s="1" t="str">
        <f>IFERROR(IF(ventas_b_mes1[[#This Row],[CUIT]]="","-",VLOOKUP(ventas_b_mes1[[#This Row],[CUIT]],Lista_CUIT[#All],2,0)),"CUIT NO CARGADO")</f>
        <v>-</v>
      </c>
      <c r="H696" s="64">
        <f>ventas_b_mes1[[#This Row],[TOTAL]]/1.21</f>
        <v>0</v>
      </c>
      <c r="I696" s="183">
        <f>ventas_b_mes1[[#This Row],[IMPORTE NETO]]*0.21</f>
        <v>0</v>
      </c>
      <c r="J696" s="184"/>
      <c r="K696" s="184"/>
      <c r="L696" s="184"/>
      <c r="M696" s="59"/>
    </row>
    <row r="697" spans="2:13" x14ac:dyDescent="0.3">
      <c r="B697" s="178"/>
      <c r="C697" s="179"/>
      <c r="D697" s="180"/>
      <c r="E697" s="181"/>
      <c r="F697" s="182"/>
      <c r="G697" s="1" t="str">
        <f>IFERROR(IF(ventas_b_mes1[[#This Row],[CUIT]]="","-",VLOOKUP(ventas_b_mes1[[#This Row],[CUIT]],Lista_CUIT[#All],2,0)),"CUIT NO CARGADO")</f>
        <v>-</v>
      </c>
      <c r="H697" s="64">
        <f>ventas_b_mes1[[#This Row],[TOTAL]]/1.21</f>
        <v>0</v>
      </c>
      <c r="I697" s="183">
        <f>ventas_b_mes1[[#This Row],[IMPORTE NETO]]*0.21</f>
        <v>0</v>
      </c>
      <c r="J697" s="184"/>
      <c r="K697" s="184"/>
      <c r="L697" s="184"/>
      <c r="M697" s="59"/>
    </row>
    <row r="698" spans="2:13" x14ac:dyDescent="0.3">
      <c r="B698" s="178"/>
      <c r="C698" s="179"/>
      <c r="D698" s="180"/>
      <c r="E698" s="181"/>
      <c r="F698" s="182"/>
      <c r="G698" s="1" t="str">
        <f>IFERROR(IF(ventas_b_mes1[[#This Row],[CUIT]]="","-",VLOOKUP(ventas_b_mes1[[#This Row],[CUIT]],Lista_CUIT[#All],2,0)),"CUIT NO CARGADO")</f>
        <v>-</v>
      </c>
      <c r="H698" s="64">
        <f>ventas_b_mes1[[#This Row],[TOTAL]]/1.21</f>
        <v>0</v>
      </c>
      <c r="I698" s="183">
        <f>ventas_b_mes1[[#This Row],[IMPORTE NETO]]*0.21</f>
        <v>0</v>
      </c>
      <c r="J698" s="184"/>
      <c r="K698" s="184"/>
      <c r="L698" s="184"/>
      <c r="M698" s="59"/>
    </row>
    <row r="699" spans="2:13" x14ac:dyDescent="0.3">
      <c r="B699" s="178"/>
      <c r="C699" s="179"/>
      <c r="D699" s="180"/>
      <c r="E699" s="181"/>
      <c r="F699" s="182"/>
      <c r="G699" s="1" t="str">
        <f>IFERROR(IF(ventas_b_mes1[[#This Row],[CUIT]]="","-",VLOOKUP(ventas_b_mes1[[#This Row],[CUIT]],Lista_CUIT[#All],2,0)),"CUIT NO CARGADO")</f>
        <v>-</v>
      </c>
      <c r="H699" s="64">
        <f>ventas_b_mes1[[#This Row],[TOTAL]]/1.21</f>
        <v>0</v>
      </c>
      <c r="I699" s="183">
        <f>ventas_b_mes1[[#This Row],[IMPORTE NETO]]*0.21</f>
        <v>0</v>
      </c>
      <c r="J699" s="184"/>
      <c r="K699" s="184"/>
      <c r="L699" s="184"/>
      <c r="M699" s="59"/>
    </row>
    <row r="700" spans="2:13" x14ac:dyDescent="0.3">
      <c r="B700" s="178"/>
      <c r="C700" s="179"/>
      <c r="D700" s="180"/>
      <c r="E700" s="181"/>
      <c r="F700" s="182"/>
      <c r="G700" s="1" t="str">
        <f>IFERROR(IF(ventas_b_mes1[[#This Row],[CUIT]]="","-",VLOOKUP(ventas_b_mes1[[#This Row],[CUIT]],Lista_CUIT[#All],2,0)),"CUIT NO CARGADO")</f>
        <v>-</v>
      </c>
      <c r="H700" s="64">
        <f>ventas_b_mes1[[#This Row],[TOTAL]]/1.21</f>
        <v>0</v>
      </c>
      <c r="I700" s="183">
        <f>ventas_b_mes1[[#This Row],[IMPORTE NETO]]*0.21</f>
        <v>0</v>
      </c>
      <c r="J700" s="184"/>
      <c r="K700" s="184"/>
      <c r="L700" s="184"/>
      <c r="M700" s="59"/>
    </row>
    <row r="701" spans="2:13" x14ac:dyDescent="0.3">
      <c r="B701" s="178"/>
      <c r="C701" s="179"/>
      <c r="D701" s="180"/>
      <c r="E701" s="181"/>
      <c r="F701" s="182"/>
      <c r="G701" s="1" t="str">
        <f>IFERROR(IF(ventas_b_mes1[[#This Row],[CUIT]]="","-",VLOOKUP(ventas_b_mes1[[#This Row],[CUIT]],Lista_CUIT[#All],2,0)),"CUIT NO CARGADO")</f>
        <v>-</v>
      </c>
      <c r="H701" s="64">
        <f>ventas_b_mes1[[#This Row],[TOTAL]]/1.21</f>
        <v>0</v>
      </c>
      <c r="I701" s="183">
        <f>ventas_b_mes1[[#This Row],[IMPORTE NETO]]*0.21</f>
        <v>0</v>
      </c>
      <c r="J701" s="184"/>
      <c r="K701" s="184"/>
      <c r="L701" s="184"/>
      <c r="M701" s="59"/>
    </row>
    <row r="702" spans="2:13" x14ac:dyDescent="0.3">
      <c r="B702" s="178"/>
      <c r="C702" s="179"/>
      <c r="D702" s="180"/>
      <c r="E702" s="181"/>
      <c r="F702" s="182"/>
      <c r="G702" s="1" t="str">
        <f>IFERROR(IF(ventas_b_mes1[[#This Row],[CUIT]]="","-",VLOOKUP(ventas_b_mes1[[#This Row],[CUIT]],Lista_CUIT[#All],2,0)),"CUIT NO CARGADO")</f>
        <v>-</v>
      </c>
      <c r="H702" s="64">
        <f>ventas_b_mes1[[#This Row],[TOTAL]]/1.21</f>
        <v>0</v>
      </c>
      <c r="I702" s="183">
        <f>ventas_b_mes1[[#This Row],[IMPORTE NETO]]*0.21</f>
        <v>0</v>
      </c>
      <c r="J702" s="184"/>
      <c r="K702" s="184"/>
      <c r="L702" s="184"/>
      <c r="M702" s="59"/>
    </row>
    <row r="703" spans="2:13" x14ac:dyDescent="0.3">
      <c r="B703" s="178"/>
      <c r="C703" s="179"/>
      <c r="D703" s="180"/>
      <c r="E703" s="181"/>
      <c r="F703" s="182"/>
      <c r="G703" s="1" t="str">
        <f>IFERROR(IF(ventas_b_mes1[[#This Row],[CUIT]]="","-",VLOOKUP(ventas_b_mes1[[#This Row],[CUIT]],Lista_CUIT[#All],2,0)),"CUIT NO CARGADO")</f>
        <v>-</v>
      </c>
      <c r="H703" s="64">
        <f>ventas_b_mes1[[#This Row],[TOTAL]]/1.21</f>
        <v>0</v>
      </c>
      <c r="I703" s="183">
        <f>ventas_b_mes1[[#This Row],[IMPORTE NETO]]*0.21</f>
        <v>0</v>
      </c>
      <c r="J703" s="184"/>
      <c r="K703" s="184"/>
      <c r="L703" s="184"/>
      <c r="M703" s="59"/>
    </row>
    <row r="704" spans="2:13" x14ac:dyDescent="0.3">
      <c r="B704" s="178"/>
      <c r="C704" s="179"/>
      <c r="D704" s="180"/>
      <c r="E704" s="181"/>
      <c r="F704" s="182"/>
      <c r="G704" s="1" t="str">
        <f>IFERROR(IF(ventas_b_mes1[[#This Row],[CUIT]]="","-",VLOOKUP(ventas_b_mes1[[#This Row],[CUIT]],Lista_CUIT[#All],2,0)),"CUIT NO CARGADO")</f>
        <v>-</v>
      </c>
      <c r="H704" s="64">
        <f>ventas_b_mes1[[#This Row],[TOTAL]]/1.21</f>
        <v>0</v>
      </c>
      <c r="I704" s="183">
        <f>ventas_b_mes1[[#This Row],[IMPORTE NETO]]*0.21</f>
        <v>0</v>
      </c>
      <c r="J704" s="184"/>
      <c r="K704" s="184"/>
      <c r="L704" s="184"/>
      <c r="M704" s="59"/>
    </row>
    <row r="705" spans="2:13" x14ac:dyDescent="0.3">
      <c r="B705" s="178"/>
      <c r="C705" s="179"/>
      <c r="D705" s="180"/>
      <c r="E705" s="181"/>
      <c r="F705" s="182"/>
      <c r="G705" s="1" t="str">
        <f>IFERROR(IF(ventas_b_mes1[[#This Row],[CUIT]]="","-",VLOOKUP(ventas_b_mes1[[#This Row],[CUIT]],Lista_CUIT[#All],2,0)),"CUIT NO CARGADO")</f>
        <v>-</v>
      </c>
      <c r="H705" s="64">
        <f>ventas_b_mes1[[#This Row],[TOTAL]]/1.21</f>
        <v>0</v>
      </c>
      <c r="I705" s="183">
        <f>ventas_b_mes1[[#This Row],[IMPORTE NETO]]*0.21</f>
        <v>0</v>
      </c>
      <c r="J705" s="184"/>
      <c r="K705" s="184"/>
      <c r="L705" s="184"/>
      <c r="M705" s="59"/>
    </row>
    <row r="706" spans="2:13" x14ac:dyDescent="0.3">
      <c r="B706" s="178"/>
      <c r="C706" s="179"/>
      <c r="D706" s="180"/>
      <c r="E706" s="181"/>
      <c r="F706" s="182"/>
      <c r="G706" s="1" t="str">
        <f>IFERROR(IF(ventas_b_mes1[[#This Row],[CUIT]]="","-",VLOOKUP(ventas_b_mes1[[#This Row],[CUIT]],Lista_CUIT[#All],2,0)),"CUIT NO CARGADO")</f>
        <v>-</v>
      </c>
      <c r="H706" s="64">
        <f>ventas_b_mes1[[#This Row],[TOTAL]]/1.21</f>
        <v>0</v>
      </c>
      <c r="I706" s="183">
        <f>ventas_b_mes1[[#This Row],[IMPORTE NETO]]*0.21</f>
        <v>0</v>
      </c>
      <c r="J706" s="184"/>
      <c r="K706" s="184"/>
      <c r="L706" s="184"/>
      <c r="M706" s="59"/>
    </row>
    <row r="707" spans="2:13" x14ac:dyDescent="0.3">
      <c r="B707" s="178"/>
      <c r="C707" s="179"/>
      <c r="D707" s="180"/>
      <c r="E707" s="181"/>
      <c r="F707" s="182"/>
      <c r="G707" s="1" t="str">
        <f>IFERROR(IF(ventas_b_mes1[[#This Row],[CUIT]]="","-",VLOOKUP(ventas_b_mes1[[#This Row],[CUIT]],Lista_CUIT[#All],2,0)),"CUIT NO CARGADO")</f>
        <v>-</v>
      </c>
      <c r="H707" s="64">
        <f>ventas_b_mes1[[#This Row],[TOTAL]]/1.21</f>
        <v>0</v>
      </c>
      <c r="I707" s="183">
        <f>ventas_b_mes1[[#This Row],[IMPORTE NETO]]*0.21</f>
        <v>0</v>
      </c>
      <c r="J707" s="184"/>
      <c r="K707" s="184"/>
      <c r="L707" s="184"/>
      <c r="M707" s="59"/>
    </row>
    <row r="708" spans="2:13" x14ac:dyDescent="0.3">
      <c r="B708" s="178"/>
      <c r="C708" s="179"/>
      <c r="D708" s="180"/>
      <c r="E708" s="181"/>
      <c r="F708" s="182"/>
      <c r="G708" s="1" t="str">
        <f>IFERROR(IF(ventas_b_mes1[[#This Row],[CUIT]]="","-",VLOOKUP(ventas_b_mes1[[#This Row],[CUIT]],Lista_CUIT[#All],2,0)),"CUIT NO CARGADO")</f>
        <v>-</v>
      </c>
      <c r="H708" s="64">
        <f>ventas_b_mes1[[#This Row],[TOTAL]]/1.21</f>
        <v>0</v>
      </c>
      <c r="I708" s="183">
        <f>ventas_b_mes1[[#This Row],[IMPORTE NETO]]*0.21</f>
        <v>0</v>
      </c>
      <c r="J708" s="184"/>
      <c r="K708" s="184"/>
      <c r="L708" s="184"/>
      <c r="M708" s="59"/>
    </row>
    <row r="709" spans="2:13" x14ac:dyDescent="0.3">
      <c r="B709" s="178"/>
      <c r="C709" s="179"/>
      <c r="D709" s="180"/>
      <c r="E709" s="181"/>
      <c r="F709" s="182"/>
      <c r="G709" s="1" t="str">
        <f>IFERROR(IF(ventas_b_mes1[[#This Row],[CUIT]]="","-",VLOOKUP(ventas_b_mes1[[#This Row],[CUIT]],Lista_CUIT[#All],2,0)),"CUIT NO CARGADO")</f>
        <v>-</v>
      </c>
      <c r="H709" s="64">
        <f>ventas_b_mes1[[#This Row],[TOTAL]]/1.21</f>
        <v>0</v>
      </c>
      <c r="I709" s="183">
        <f>ventas_b_mes1[[#This Row],[IMPORTE NETO]]*0.21</f>
        <v>0</v>
      </c>
      <c r="J709" s="184"/>
      <c r="K709" s="184"/>
      <c r="L709" s="184"/>
      <c r="M709" s="59"/>
    </row>
    <row r="710" spans="2:13" x14ac:dyDescent="0.3">
      <c r="B710" s="178"/>
      <c r="C710" s="179"/>
      <c r="D710" s="180"/>
      <c r="E710" s="181"/>
      <c r="F710" s="182"/>
      <c r="G710" s="1" t="str">
        <f>IFERROR(IF(ventas_b_mes1[[#This Row],[CUIT]]="","-",VLOOKUP(ventas_b_mes1[[#This Row],[CUIT]],Lista_CUIT[#All],2,0)),"CUIT NO CARGADO")</f>
        <v>-</v>
      </c>
      <c r="H710" s="64">
        <f>ventas_b_mes1[[#This Row],[TOTAL]]/1.21</f>
        <v>0</v>
      </c>
      <c r="I710" s="183">
        <f>ventas_b_mes1[[#This Row],[IMPORTE NETO]]*0.21</f>
        <v>0</v>
      </c>
      <c r="J710" s="184"/>
      <c r="K710" s="184"/>
      <c r="L710" s="184"/>
      <c r="M710" s="59"/>
    </row>
    <row r="711" spans="2:13" x14ac:dyDescent="0.3">
      <c r="B711" s="178"/>
      <c r="C711" s="179"/>
      <c r="D711" s="180"/>
      <c r="E711" s="181"/>
      <c r="F711" s="182"/>
      <c r="G711" s="1" t="str">
        <f>IFERROR(IF(ventas_b_mes1[[#This Row],[CUIT]]="","-",VLOOKUP(ventas_b_mes1[[#This Row],[CUIT]],Lista_CUIT[#All],2,0)),"CUIT NO CARGADO")</f>
        <v>-</v>
      </c>
      <c r="H711" s="64">
        <f>ventas_b_mes1[[#This Row],[TOTAL]]/1.21</f>
        <v>0</v>
      </c>
      <c r="I711" s="183">
        <f>ventas_b_mes1[[#This Row],[IMPORTE NETO]]*0.21</f>
        <v>0</v>
      </c>
      <c r="J711" s="184"/>
      <c r="K711" s="184"/>
      <c r="L711" s="184"/>
      <c r="M711" s="59"/>
    </row>
    <row r="712" spans="2:13" x14ac:dyDescent="0.3">
      <c r="B712" s="178"/>
      <c r="C712" s="179"/>
      <c r="D712" s="180"/>
      <c r="E712" s="181"/>
      <c r="F712" s="182"/>
      <c r="G712" s="1" t="str">
        <f>IFERROR(IF(ventas_b_mes1[[#This Row],[CUIT]]="","-",VLOOKUP(ventas_b_mes1[[#This Row],[CUIT]],Lista_CUIT[#All],2,0)),"CUIT NO CARGADO")</f>
        <v>-</v>
      </c>
      <c r="H712" s="64">
        <f>ventas_b_mes1[[#This Row],[TOTAL]]/1.21</f>
        <v>0</v>
      </c>
      <c r="I712" s="183">
        <f>ventas_b_mes1[[#This Row],[IMPORTE NETO]]*0.21</f>
        <v>0</v>
      </c>
      <c r="J712" s="184"/>
      <c r="K712" s="184"/>
      <c r="L712" s="184"/>
      <c r="M712" s="59"/>
    </row>
    <row r="713" spans="2:13" x14ac:dyDescent="0.3">
      <c r="B713" s="178"/>
      <c r="C713" s="179"/>
      <c r="D713" s="180"/>
      <c r="E713" s="181"/>
      <c r="F713" s="182"/>
      <c r="G713" s="1" t="str">
        <f>IFERROR(IF(ventas_b_mes1[[#This Row],[CUIT]]="","-",VLOOKUP(ventas_b_mes1[[#This Row],[CUIT]],Lista_CUIT[#All],2,0)),"CUIT NO CARGADO")</f>
        <v>-</v>
      </c>
      <c r="H713" s="64">
        <f>ventas_b_mes1[[#This Row],[TOTAL]]/1.21</f>
        <v>0</v>
      </c>
      <c r="I713" s="183">
        <f>ventas_b_mes1[[#This Row],[IMPORTE NETO]]*0.21</f>
        <v>0</v>
      </c>
      <c r="J713" s="184"/>
      <c r="K713" s="184"/>
      <c r="L713" s="184"/>
      <c r="M713" s="59"/>
    </row>
    <row r="714" spans="2:13" x14ac:dyDescent="0.3">
      <c r="B714" s="178"/>
      <c r="C714" s="179"/>
      <c r="D714" s="180"/>
      <c r="E714" s="181"/>
      <c r="F714" s="182"/>
      <c r="G714" s="1" t="str">
        <f>IFERROR(IF(ventas_b_mes1[[#This Row],[CUIT]]="","-",VLOOKUP(ventas_b_mes1[[#This Row],[CUIT]],Lista_CUIT[#All],2,0)),"CUIT NO CARGADO")</f>
        <v>-</v>
      </c>
      <c r="H714" s="64">
        <f>ventas_b_mes1[[#This Row],[TOTAL]]/1.21</f>
        <v>0</v>
      </c>
      <c r="I714" s="183">
        <f>ventas_b_mes1[[#This Row],[IMPORTE NETO]]*0.21</f>
        <v>0</v>
      </c>
      <c r="J714" s="184"/>
      <c r="K714" s="184"/>
      <c r="L714" s="184"/>
      <c r="M714" s="59"/>
    </row>
    <row r="715" spans="2:13" x14ac:dyDescent="0.3">
      <c r="B715" s="178"/>
      <c r="C715" s="179"/>
      <c r="D715" s="180"/>
      <c r="E715" s="181"/>
      <c r="F715" s="182"/>
      <c r="G715" s="1" t="str">
        <f>IFERROR(IF(ventas_b_mes1[[#This Row],[CUIT]]="","-",VLOOKUP(ventas_b_mes1[[#This Row],[CUIT]],Lista_CUIT[#All],2,0)),"CUIT NO CARGADO")</f>
        <v>-</v>
      </c>
      <c r="H715" s="64">
        <f>ventas_b_mes1[[#This Row],[TOTAL]]/1.21</f>
        <v>0</v>
      </c>
      <c r="I715" s="183">
        <f>ventas_b_mes1[[#This Row],[IMPORTE NETO]]*0.21</f>
        <v>0</v>
      </c>
      <c r="J715" s="184"/>
      <c r="K715" s="184"/>
      <c r="L715" s="184"/>
      <c r="M715" s="59"/>
    </row>
    <row r="716" spans="2:13" x14ac:dyDescent="0.3">
      <c r="B716" s="178"/>
      <c r="C716" s="179"/>
      <c r="D716" s="180"/>
      <c r="E716" s="181"/>
      <c r="F716" s="182"/>
      <c r="G716" s="1" t="str">
        <f>IFERROR(IF(ventas_b_mes1[[#This Row],[CUIT]]="","-",VLOOKUP(ventas_b_mes1[[#This Row],[CUIT]],Lista_CUIT[#All],2,0)),"CUIT NO CARGADO")</f>
        <v>-</v>
      </c>
      <c r="H716" s="64">
        <f>ventas_b_mes1[[#This Row],[TOTAL]]/1.21</f>
        <v>0</v>
      </c>
      <c r="I716" s="183">
        <f>ventas_b_mes1[[#This Row],[IMPORTE NETO]]*0.21</f>
        <v>0</v>
      </c>
      <c r="J716" s="184"/>
      <c r="K716" s="184"/>
      <c r="L716" s="184"/>
      <c r="M716" s="59"/>
    </row>
    <row r="717" spans="2:13" x14ac:dyDescent="0.3">
      <c r="B717" s="178"/>
      <c r="C717" s="179"/>
      <c r="D717" s="180"/>
      <c r="E717" s="181"/>
      <c r="F717" s="182"/>
      <c r="G717" s="1" t="str">
        <f>IFERROR(IF(ventas_b_mes1[[#This Row],[CUIT]]="","-",VLOOKUP(ventas_b_mes1[[#This Row],[CUIT]],Lista_CUIT[#All],2,0)),"CUIT NO CARGADO")</f>
        <v>-</v>
      </c>
      <c r="H717" s="64">
        <f>ventas_b_mes1[[#This Row],[TOTAL]]/1.21</f>
        <v>0</v>
      </c>
      <c r="I717" s="183">
        <f>ventas_b_mes1[[#This Row],[IMPORTE NETO]]*0.21</f>
        <v>0</v>
      </c>
      <c r="J717" s="184"/>
      <c r="K717" s="184"/>
      <c r="L717" s="184"/>
      <c r="M717" s="59"/>
    </row>
    <row r="718" spans="2:13" x14ac:dyDescent="0.3">
      <c r="B718" s="178"/>
      <c r="C718" s="179"/>
      <c r="D718" s="180"/>
      <c r="E718" s="181"/>
      <c r="F718" s="182"/>
      <c r="G718" s="1" t="str">
        <f>IFERROR(IF(ventas_b_mes1[[#This Row],[CUIT]]="","-",VLOOKUP(ventas_b_mes1[[#This Row],[CUIT]],Lista_CUIT[#All],2,0)),"CUIT NO CARGADO")</f>
        <v>-</v>
      </c>
      <c r="H718" s="64">
        <f>ventas_b_mes1[[#This Row],[TOTAL]]/1.21</f>
        <v>0</v>
      </c>
      <c r="I718" s="183">
        <f>ventas_b_mes1[[#This Row],[IMPORTE NETO]]*0.21</f>
        <v>0</v>
      </c>
      <c r="J718" s="184"/>
      <c r="K718" s="184"/>
      <c r="L718" s="184"/>
      <c r="M718" s="59"/>
    </row>
    <row r="719" spans="2:13" x14ac:dyDescent="0.3">
      <c r="B719" s="178"/>
      <c r="C719" s="179"/>
      <c r="D719" s="180"/>
      <c r="E719" s="181"/>
      <c r="F719" s="182"/>
      <c r="G719" s="1" t="str">
        <f>IFERROR(IF(ventas_b_mes1[[#This Row],[CUIT]]="","-",VLOOKUP(ventas_b_mes1[[#This Row],[CUIT]],Lista_CUIT[#All],2,0)),"CUIT NO CARGADO")</f>
        <v>-</v>
      </c>
      <c r="H719" s="64">
        <f>ventas_b_mes1[[#This Row],[TOTAL]]/1.21</f>
        <v>0</v>
      </c>
      <c r="I719" s="183">
        <f>ventas_b_mes1[[#This Row],[IMPORTE NETO]]*0.21</f>
        <v>0</v>
      </c>
      <c r="J719" s="184"/>
      <c r="K719" s="184"/>
      <c r="L719" s="184"/>
      <c r="M719" s="59"/>
    </row>
    <row r="720" spans="2:13" x14ac:dyDescent="0.3">
      <c r="B720" s="178"/>
      <c r="C720" s="179"/>
      <c r="D720" s="180"/>
      <c r="E720" s="181"/>
      <c r="F720" s="182"/>
      <c r="G720" s="1" t="str">
        <f>IFERROR(IF(ventas_b_mes1[[#This Row],[CUIT]]="","-",VLOOKUP(ventas_b_mes1[[#This Row],[CUIT]],Lista_CUIT[#All],2,0)),"CUIT NO CARGADO")</f>
        <v>-</v>
      </c>
      <c r="H720" s="64">
        <f>ventas_b_mes1[[#This Row],[TOTAL]]/1.21</f>
        <v>0</v>
      </c>
      <c r="I720" s="183">
        <f>ventas_b_mes1[[#This Row],[IMPORTE NETO]]*0.21</f>
        <v>0</v>
      </c>
      <c r="J720" s="184"/>
      <c r="K720" s="184"/>
      <c r="L720" s="184"/>
      <c r="M720" s="59"/>
    </row>
    <row r="721" spans="2:13" x14ac:dyDescent="0.3">
      <c r="B721" s="178"/>
      <c r="C721" s="179"/>
      <c r="D721" s="180"/>
      <c r="E721" s="181"/>
      <c r="F721" s="182"/>
      <c r="G721" s="1" t="str">
        <f>IFERROR(IF(ventas_b_mes1[[#This Row],[CUIT]]="","-",VLOOKUP(ventas_b_mes1[[#This Row],[CUIT]],Lista_CUIT[#All],2,0)),"CUIT NO CARGADO")</f>
        <v>-</v>
      </c>
      <c r="H721" s="64">
        <f>ventas_b_mes1[[#This Row],[TOTAL]]/1.21</f>
        <v>0</v>
      </c>
      <c r="I721" s="183">
        <f>ventas_b_mes1[[#This Row],[IMPORTE NETO]]*0.21</f>
        <v>0</v>
      </c>
      <c r="J721" s="184"/>
      <c r="K721" s="184"/>
      <c r="L721" s="184"/>
      <c r="M721" s="59"/>
    </row>
    <row r="722" spans="2:13" x14ac:dyDescent="0.3">
      <c r="B722" s="178"/>
      <c r="C722" s="179"/>
      <c r="D722" s="180"/>
      <c r="E722" s="181"/>
      <c r="F722" s="182"/>
      <c r="G722" s="1" t="str">
        <f>IFERROR(IF(ventas_b_mes1[[#This Row],[CUIT]]="","-",VLOOKUP(ventas_b_mes1[[#This Row],[CUIT]],Lista_CUIT[#All],2,0)),"CUIT NO CARGADO")</f>
        <v>-</v>
      </c>
      <c r="H722" s="64">
        <f>ventas_b_mes1[[#This Row],[TOTAL]]/1.21</f>
        <v>0</v>
      </c>
      <c r="I722" s="183">
        <f>ventas_b_mes1[[#This Row],[IMPORTE NETO]]*0.21</f>
        <v>0</v>
      </c>
      <c r="J722" s="184"/>
      <c r="K722" s="184"/>
      <c r="L722" s="184"/>
      <c r="M722" s="59"/>
    </row>
    <row r="723" spans="2:13" x14ac:dyDescent="0.3">
      <c r="B723" s="178"/>
      <c r="C723" s="179"/>
      <c r="D723" s="180"/>
      <c r="E723" s="181"/>
      <c r="F723" s="182"/>
      <c r="G723" s="1" t="str">
        <f>IFERROR(IF(ventas_b_mes1[[#This Row],[CUIT]]="","-",VLOOKUP(ventas_b_mes1[[#This Row],[CUIT]],Lista_CUIT[#All],2,0)),"CUIT NO CARGADO")</f>
        <v>-</v>
      </c>
      <c r="H723" s="64">
        <f>ventas_b_mes1[[#This Row],[TOTAL]]/1.21</f>
        <v>0</v>
      </c>
      <c r="I723" s="183">
        <f>ventas_b_mes1[[#This Row],[IMPORTE NETO]]*0.21</f>
        <v>0</v>
      </c>
      <c r="J723" s="184"/>
      <c r="K723" s="184"/>
      <c r="L723" s="184"/>
      <c r="M723" s="59"/>
    </row>
    <row r="724" spans="2:13" x14ac:dyDescent="0.3">
      <c r="B724" s="178"/>
      <c r="C724" s="179"/>
      <c r="D724" s="180"/>
      <c r="E724" s="181"/>
      <c r="F724" s="182"/>
      <c r="G724" s="1" t="str">
        <f>IFERROR(IF(ventas_b_mes1[[#This Row],[CUIT]]="","-",VLOOKUP(ventas_b_mes1[[#This Row],[CUIT]],Lista_CUIT[#All],2,0)),"CUIT NO CARGADO")</f>
        <v>-</v>
      </c>
      <c r="H724" s="64">
        <f>ventas_b_mes1[[#This Row],[TOTAL]]/1.21</f>
        <v>0</v>
      </c>
      <c r="I724" s="183">
        <f>ventas_b_mes1[[#This Row],[IMPORTE NETO]]*0.21</f>
        <v>0</v>
      </c>
      <c r="J724" s="184"/>
      <c r="K724" s="184"/>
      <c r="L724" s="184"/>
      <c r="M724" s="59"/>
    </row>
    <row r="725" spans="2:13" x14ac:dyDescent="0.3">
      <c r="B725" s="178"/>
      <c r="C725" s="179"/>
      <c r="D725" s="180"/>
      <c r="E725" s="181"/>
      <c r="F725" s="182"/>
      <c r="G725" s="1" t="str">
        <f>IFERROR(IF(ventas_b_mes1[[#This Row],[CUIT]]="","-",VLOOKUP(ventas_b_mes1[[#This Row],[CUIT]],Lista_CUIT[#All],2,0)),"CUIT NO CARGADO")</f>
        <v>-</v>
      </c>
      <c r="H725" s="64">
        <f>ventas_b_mes1[[#This Row],[TOTAL]]/1.21</f>
        <v>0</v>
      </c>
      <c r="I725" s="183">
        <f>ventas_b_mes1[[#This Row],[IMPORTE NETO]]*0.21</f>
        <v>0</v>
      </c>
      <c r="J725" s="184"/>
      <c r="K725" s="184"/>
      <c r="L725" s="184"/>
      <c r="M725" s="59"/>
    </row>
    <row r="726" spans="2:13" x14ac:dyDescent="0.3">
      <c r="B726" s="178"/>
      <c r="C726" s="179"/>
      <c r="D726" s="180"/>
      <c r="E726" s="181"/>
      <c r="F726" s="182"/>
      <c r="G726" s="1" t="str">
        <f>IFERROR(IF(ventas_b_mes1[[#This Row],[CUIT]]="","-",VLOOKUP(ventas_b_mes1[[#This Row],[CUIT]],Lista_CUIT[#All],2,0)),"CUIT NO CARGADO")</f>
        <v>-</v>
      </c>
      <c r="H726" s="64">
        <f>ventas_b_mes1[[#This Row],[TOTAL]]/1.21</f>
        <v>0</v>
      </c>
      <c r="I726" s="183">
        <f>ventas_b_mes1[[#This Row],[IMPORTE NETO]]*0.21</f>
        <v>0</v>
      </c>
      <c r="J726" s="184"/>
      <c r="K726" s="184"/>
      <c r="L726" s="184"/>
      <c r="M726" s="59"/>
    </row>
    <row r="727" spans="2:13" x14ac:dyDescent="0.3">
      <c r="B727" s="178"/>
      <c r="C727" s="179"/>
      <c r="D727" s="180"/>
      <c r="E727" s="181"/>
      <c r="F727" s="182"/>
      <c r="G727" s="1" t="str">
        <f>IFERROR(IF(ventas_b_mes1[[#This Row],[CUIT]]="","-",VLOOKUP(ventas_b_mes1[[#This Row],[CUIT]],Lista_CUIT[#All],2,0)),"CUIT NO CARGADO")</f>
        <v>-</v>
      </c>
      <c r="H727" s="64">
        <f>ventas_b_mes1[[#This Row],[TOTAL]]/1.21</f>
        <v>0</v>
      </c>
      <c r="I727" s="183">
        <f>ventas_b_mes1[[#This Row],[IMPORTE NETO]]*0.21</f>
        <v>0</v>
      </c>
      <c r="J727" s="184"/>
      <c r="K727" s="184"/>
      <c r="L727" s="184"/>
      <c r="M727" s="59"/>
    </row>
    <row r="728" spans="2:13" x14ac:dyDescent="0.3">
      <c r="B728" s="178"/>
      <c r="C728" s="179"/>
      <c r="D728" s="180"/>
      <c r="E728" s="181"/>
      <c r="F728" s="182"/>
      <c r="G728" s="1" t="str">
        <f>IFERROR(IF(ventas_b_mes1[[#This Row],[CUIT]]="","-",VLOOKUP(ventas_b_mes1[[#This Row],[CUIT]],Lista_CUIT[#All],2,0)),"CUIT NO CARGADO")</f>
        <v>-</v>
      </c>
      <c r="H728" s="64">
        <f>ventas_b_mes1[[#This Row],[TOTAL]]/1.21</f>
        <v>0</v>
      </c>
      <c r="I728" s="183">
        <f>ventas_b_mes1[[#This Row],[IMPORTE NETO]]*0.21</f>
        <v>0</v>
      </c>
      <c r="J728" s="184"/>
      <c r="K728" s="184"/>
      <c r="L728" s="184"/>
      <c r="M728" s="59"/>
    </row>
    <row r="729" spans="2:13" x14ac:dyDescent="0.3">
      <c r="B729" s="178"/>
      <c r="C729" s="179"/>
      <c r="D729" s="180"/>
      <c r="E729" s="181"/>
      <c r="F729" s="182"/>
      <c r="G729" s="1" t="str">
        <f>IFERROR(IF(ventas_b_mes1[[#This Row],[CUIT]]="","-",VLOOKUP(ventas_b_mes1[[#This Row],[CUIT]],Lista_CUIT[#All],2,0)),"CUIT NO CARGADO")</f>
        <v>-</v>
      </c>
      <c r="H729" s="64">
        <f>ventas_b_mes1[[#This Row],[TOTAL]]/1.21</f>
        <v>0</v>
      </c>
      <c r="I729" s="183">
        <f>ventas_b_mes1[[#This Row],[IMPORTE NETO]]*0.21</f>
        <v>0</v>
      </c>
      <c r="J729" s="184"/>
      <c r="K729" s="184"/>
      <c r="L729" s="184"/>
      <c r="M729" s="59"/>
    </row>
    <row r="730" spans="2:13" x14ac:dyDescent="0.3">
      <c r="B730" s="178"/>
      <c r="C730" s="179"/>
      <c r="D730" s="180"/>
      <c r="E730" s="181"/>
      <c r="F730" s="182"/>
      <c r="G730" s="1" t="str">
        <f>IFERROR(IF(ventas_b_mes1[[#This Row],[CUIT]]="","-",VLOOKUP(ventas_b_mes1[[#This Row],[CUIT]],Lista_CUIT[#All],2,0)),"CUIT NO CARGADO")</f>
        <v>-</v>
      </c>
      <c r="H730" s="64">
        <f>ventas_b_mes1[[#This Row],[TOTAL]]/1.21</f>
        <v>0</v>
      </c>
      <c r="I730" s="183">
        <f>ventas_b_mes1[[#This Row],[IMPORTE NETO]]*0.21</f>
        <v>0</v>
      </c>
      <c r="J730" s="184"/>
      <c r="K730" s="184"/>
      <c r="L730" s="184"/>
      <c r="M730" s="59"/>
    </row>
    <row r="731" spans="2:13" x14ac:dyDescent="0.3">
      <c r="B731" s="178"/>
      <c r="C731" s="179"/>
      <c r="D731" s="180"/>
      <c r="E731" s="181"/>
      <c r="F731" s="182"/>
      <c r="G731" s="1" t="str">
        <f>IFERROR(IF(ventas_b_mes1[[#This Row],[CUIT]]="","-",VLOOKUP(ventas_b_mes1[[#This Row],[CUIT]],Lista_CUIT[#All],2,0)),"CUIT NO CARGADO")</f>
        <v>-</v>
      </c>
      <c r="H731" s="64">
        <f>ventas_b_mes1[[#This Row],[TOTAL]]/1.21</f>
        <v>0</v>
      </c>
      <c r="I731" s="183">
        <f>ventas_b_mes1[[#This Row],[IMPORTE NETO]]*0.21</f>
        <v>0</v>
      </c>
      <c r="J731" s="184"/>
      <c r="K731" s="184"/>
      <c r="L731" s="184"/>
      <c r="M731" s="59"/>
    </row>
    <row r="732" spans="2:13" x14ac:dyDescent="0.3">
      <c r="B732" s="178"/>
      <c r="C732" s="179"/>
      <c r="D732" s="180"/>
      <c r="E732" s="181"/>
      <c r="F732" s="182"/>
      <c r="G732" s="1" t="str">
        <f>IFERROR(IF(ventas_b_mes1[[#This Row],[CUIT]]="","-",VLOOKUP(ventas_b_mes1[[#This Row],[CUIT]],Lista_CUIT[#All],2,0)),"CUIT NO CARGADO")</f>
        <v>-</v>
      </c>
      <c r="H732" s="64">
        <f>ventas_b_mes1[[#This Row],[TOTAL]]/1.21</f>
        <v>0</v>
      </c>
      <c r="I732" s="183">
        <f>ventas_b_mes1[[#This Row],[IMPORTE NETO]]*0.21</f>
        <v>0</v>
      </c>
      <c r="J732" s="184"/>
      <c r="K732" s="184"/>
      <c r="L732" s="184"/>
      <c r="M732" s="59"/>
    </row>
    <row r="733" spans="2:13" x14ac:dyDescent="0.3">
      <c r="B733" s="178"/>
      <c r="C733" s="179"/>
      <c r="D733" s="180"/>
      <c r="E733" s="181"/>
      <c r="F733" s="182"/>
      <c r="G733" s="1" t="str">
        <f>IFERROR(IF(ventas_b_mes1[[#This Row],[CUIT]]="","-",VLOOKUP(ventas_b_mes1[[#This Row],[CUIT]],Lista_CUIT[#All],2,0)),"CUIT NO CARGADO")</f>
        <v>-</v>
      </c>
      <c r="H733" s="64">
        <f>ventas_b_mes1[[#This Row],[TOTAL]]/1.21</f>
        <v>0</v>
      </c>
      <c r="I733" s="183">
        <f>ventas_b_mes1[[#This Row],[IMPORTE NETO]]*0.21</f>
        <v>0</v>
      </c>
      <c r="J733" s="184"/>
      <c r="K733" s="184"/>
      <c r="L733" s="184"/>
      <c r="M733" s="59"/>
    </row>
    <row r="734" spans="2:13" x14ac:dyDescent="0.3">
      <c r="B734" s="178"/>
      <c r="C734" s="179"/>
      <c r="D734" s="180"/>
      <c r="E734" s="181"/>
      <c r="F734" s="182"/>
      <c r="G734" s="1" t="str">
        <f>IFERROR(IF(ventas_b_mes1[[#This Row],[CUIT]]="","-",VLOOKUP(ventas_b_mes1[[#This Row],[CUIT]],Lista_CUIT[#All],2,0)),"CUIT NO CARGADO")</f>
        <v>-</v>
      </c>
      <c r="H734" s="64">
        <f>ventas_b_mes1[[#This Row],[TOTAL]]/1.21</f>
        <v>0</v>
      </c>
      <c r="I734" s="183">
        <f>ventas_b_mes1[[#This Row],[IMPORTE NETO]]*0.21</f>
        <v>0</v>
      </c>
      <c r="J734" s="184"/>
      <c r="K734" s="184"/>
      <c r="L734" s="184"/>
      <c r="M734" s="59"/>
    </row>
    <row r="735" spans="2:13" x14ac:dyDescent="0.3">
      <c r="B735" s="178"/>
      <c r="C735" s="179"/>
      <c r="D735" s="180"/>
      <c r="E735" s="181"/>
      <c r="F735" s="182"/>
      <c r="G735" s="1" t="str">
        <f>IFERROR(IF(ventas_b_mes1[[#This Row],[CUIT]]="","-",VLOOKUP(ventas_b_mes1[[#This Row],[CUIT]],Lista_CUIT[#All],2,0)),"CUIT NO CARGADO")</f>
        <v>-</v>
      </c>
      <c r="H735" s="64">
        <f>ventas_b_mes1[[#This Row],[TOTAL]]/1.21</f>
        <v>0</v>
      </c>
      <c r="I735" s="183">
        <f>ventas_b_mes1[[#This Row],[IMPORTE NETO]]*0.21</f>
        <v>0</v>
      </c>
      <c r="J735" s="184"/>
      <c r="K735" s="184"/>
      <c r="L735" s="184"/>
      <c r="M735" s="59"/>
    </row>
    <row r="736" spans="2:13" x14ac:dyDescent="0.3">
      <c r="B736" s="178"/>
      <c r="C736" s="179"/>
      <c r="D736" s="180"/>
      <c r="E736" s="181"/>
      <c r="F736" s="182"/>
      <c r="G736" s="1" t="str">
        <f>IFERROR(IF(ventas_b_mes1[[#This Row],[CUIT]]="","-",VLOOKUP(ventas_b_mes1[[#This Row],[CUIT]],Lista_CUIT[#All],2,0)),"CUIT NO CARGADO")</f>
        <v>-</v>
      </c>
      <c r="H736" s="64">
        <f>ventas_b_mes1[[#This Row],[TOTAL]]/1.21</f>
        <v>0</v>
      </c>
      <c r="I736" s="183">
        <f>ventas_b_mes1[[#This Row],[IMPORTE NETO]]*0.21</f>
        <v>0</v>
      </c>
      <c r="J736" s="184"/>
      <c r="K736" s="184"/>
      <c r="L736" s="184"/>
      <c r="M736" s="59"/>
    </row>
    <row r="737" spans="2:13" x14ac:dyDescent="0.3">
      <c r="B737" s="178"/>
      <c r="C737" s="179"/>
      <c r="D737" s="180"/>
      <c r="E737" s="181"/>
      <c r="F737" s="182"/>
      <c r="G737" s="1" t="str">
        <f>IFERROR(IF(ventas_b_mes1[[#This Row],[CUIT]]="","-",VLOOKUP(ventas_b_mes1[[#This Row],[CUIT]],Lista_CUIT[#All],2,0)),"CUIT NO CARGADO")</f>
        <v>-</v>
      </c>
      <c r="H737" s="64">
        <f>ventas_b_mes1[[#This Row],[TOTAL]]/1.21</f>
        <v>0</v>
      </c>
      <c r="I737" s="183">
        <f>ventas_b_mes1[[#This Row],[IMPORTE NETO]]*0.21</f>
        <v>0</v>
      </c>
      <c r="J737" s="184"/>
      <c r="K737" s="184"/>
      <c r="L737" s="184"/>
      <c r="M737" s="59"/>
    </row>
    <row r="738" spans="2:13" x14ac:dyDescent="0.3">
      <c r="B738" s="178"/>
      <c r="C738" s="179"/>
      <c r="D738" s="180"/>
      <c r="E738" s="181"/>
      <c r="F738" s="182"/>
      <c r="G738" s="1" t="str">
        <f>IFERROR(IF(ventas_b_mes1[[#This Row],[CUIT]]="","-",VLOOKUP(ventas_b_mes1[[#This Row],[CUIT]],Lista_CUIT[#All],2,0)),"CUIT NO CARGADO")</f>
        <v>-</v>
      </c>
      <c r="H738" s="64">
        <f>ventas_b_mes1[[#This Row],[TOTAL]]/1.21</f>
        <v>0</v>
      </c>
      <c r="I738" s="183">
        <f>ventas_b_mes1[[#This Row],[IMPORTE NETO]]*0.21</f>
        <v>0</v>
      </c>
      <c r="J738" s="184"/>
      <c r="K738" s="184"/>
      <c r="L738" s="184"/>
      <c r="M738" s="59"/>
    </row>
    <row r="739" spans="2:13" x14ac:dyDescent="0.3">
      <c r="B739" s="178"/>
      <c r="C739" s="179"/>
      <c r="D739" s="180"/>
      <c r="E739" s="181"/>
      <c r="F739" s="182"/>
      <c r="G739" s="1" t="str">
        <f>IFERROR(IF(ventas_b_mes1[[#This Row],[CUIT]]="","-",VLOOKUP(ventas_b_mes1[[#This Row],[CUIT]],Lista_CUIT[#All],2,0)),"CUIT NO CARGADO")</f>
        <v>-</v>
      </c>
      <c r="H739" s="64">
        <f>ventas_b_mes1[[#This Row],[TOTAL]]/1.21</f>
        <v>0</v>
      </c>
      <c r="I739" s="183">
        <f>ventas_b_mes1[[#This Row],[IMPORTE NETO]]*0.21</f>
        <v>0</v>
      </c>
      <c r="J739" s="184"/>
      <c r="K739" s="184"/>
      <c r="L739" s="184"/>
      <c r="M739" s="59"/>
    </row>
    <row r="740" spans="2:13" x14ac:dyDescent="0.3">
      <c r="B740" s="178"/>
      <c r="C740" s="179"/>
      <c r="D740" s="180"/>
      <c r="E740" s="181"/>
      <c r="F740" s="182"/>
      <c r="G740" s="1" t="str">
        <f>IFERROR(IF(ventas_b_mes1[[#This Row],[CUIT]]="","-",VLOOKUP(ventas_b_mes1[[#This Row],[CUIT]],Lista_CUIT[#All],2,0)),"CUIT NO CARGADO")</f>
        <v>-</v>
      </c>
      <c r="H740" s="64">
        <f>ventas_b_mes1[[#This Row],[TOTAL]]/1.21</f>
        <v>0</v>
      </c>
      <c r="I740" s="183">
        <f>ventas_b_mes1[[#This Row],[IMPORTE NETO]]*0.21</f>
        <v>0</v>
      </c>
      <c r="J740" s="184"/>
      <c r="K740" s="184"/>
      <c r="L740" s="184"/>
      <c r="M740" s="59"/>
    </row>
    <row r="741" spans="2:13" x14ac:dyDescent="0.3">
      <c r="B741" s="178"/>
      <c r="C741" s="179"/>
      <c r="D741" s="180"/>
      <c r="E741" s="181"/>
      <c r="F741" s="182"/>
      <c r="G741" s="1" t="str">
        <f>IFERROR(IF(ventas_b_mes1[[#This Row],[CUIT]]="","-",VLOOKUP(ventas_b_mes1[[#This Row],[CUIT]],Lista_CUIT[#All],2,0)),"CUIT NO CARGADO")</f>
        <v>-</v>
      </c>
      <c r="H741" s="64">
        <f>ventas_b_mes1[[#This Row],[TOTAL]]/1.21</f>
        <v>0</v>
      </c>
      <c r="I741" s="183">
        <f>ventas_b_mes1[[#This Row],[IMPORTE NETO]]*0.21</f>
        <v>0</v>
      </c>
      <c r="J741" s="184"/>
      <c r="K741" s="184"/>
      <c r="L741" s="184"/>
      <c r="M741" s="59"/>
    </row>
    <row r="742" spans="2:13" x14ac:dyDescent="0.3">
      <c r="B742" s="178"/>
      <c r="C742" s="179"/>
      <c r="D742" s="180"/>
      <c r="E742" s="181"/>
      <c r="F742" s="182"/>
      <c r="G742" s="1" t="str">
        <f>IFERROR(IF(ventas_b_mes1[[#This Row],[CUIT]]="","-",VLOOKUP(ventas_b_mes1[[#This Row],[CUIT]],Lista_CUIT[#All],2,0)),"CUIT NO CARGADO")</f>
        <v>-</v>
      </c>
      <c r="H742" s="64">
        <f>ventas_b_mes1[[#This Row],[TOTAL]]/1.21</f>
        <v>0</v>
      </c>
      <c r="I742" s="183">
        <f>ventas_b_mes1[[#This Row],[IMPORTE NETO]]*0.21</f>
        <v>0</v>
      </c>
      <c r="J742" s="184"/>
      <c r="K742" s="184"/>
      <c r="L742" s="184"/>
      <c r="M742" s="59"/>
    </row>
    <row r="743" spans="2:13" x14ac:dyDescent="0.3">
      <c r="B743" s="178"/>
      <c r="C743" s="179"/>
      <c r="D743" s="180"/>
      <c r="E743" s="181"/>
      <c r="F743" s="182"/>
      <c r="G743" s="1" t="str">
        <f>IFERROR(IF(ventas_b_mes1[[#This Row],[CUIT]]="","-",VLOOKUP(ventas_b_mes1[[#This Row],[CUIT]],Lista_CUIT[#All],2,0)),"CUIT NO CARGADO")</f>
        <v>-</v>
      </c>
      <c r="H743" s="64">
        <f>ventas_b_mes1[[#This Row],[TOTAL]]/1.21</f>
        <v>0</v>
      </c>
      <c r="I743" s="183">
        <f>ventas_b_mes1[[#This Row],[IMPORTE NETO]]*0.21</f>
        <v>0</v>
      </c>
      <c r="J743" s="184"/>
      <c r="K743" s="184"/>
      <c r="L743" s="184"/>
      <c r="M743" s="59"/>
    </row>
    <row r="744" spans="2:13" x14ac:dyDescent="0.3">
      <c r="B744" s="178"/>
      <c r="C744" s="179"/>
      <c r="D744" s="180"/>
      <c r="E744" s="181"/>
      <c r="F744" s="182"/>
      <c r="G744" s="1" t="str">
        <f>IFERROR(IF(ventas_b_mes1[[#This Row],[CUIT]]="","-",VLOOKUP(ventas_b_mes1[[#This Row],[CUIT]],Lista_CUIT[#All],2,0)),"CUIT NO CARGADO")</f>
        <v>-</v>
      </c>
      <c r="H744" s="64">
        <f>ventas_b_mes1[[#This Row],[TOTAL]]/1.21</f>
        <v>0</v>
      </c>
      <c r="I744" s="183">
        <f>ventas_b_mes1[[#This Row],[IMPORTE NETO]]*0.21</f>
        <v>0</v>
      </c>
      <c r="J744" s="184"/>
      <c r="K744" s="184"/>
      <c r="L744" s="184"/>
      <c r="M744" s="59"/>
    </row>
    <row r="745" spans="2:13" x14ac:dyDescent="0.3">
      <c r="B745" s="178"/>
      <c r="C745" s="179"/>
      <c r="D745" s="180"/>
      <c r="E745" s="181"/>
      <c r="F745" s="182"/>
      <c r="G745" s="1" t="str">
        <f>IFERROR(IF(ventas_b_mes1[[#This Row],[CUIT]]="","-",VLOOKUP(ventas_b_mes1[[#This Row],[CUIT]],Lista_CUIT[#All],2,0)),"CUIT NO CARGADO")</f>
        <v>-</v>
      </c>
      <c r="H745" s="64">
        <f>ventas_b_mes1[[#This Row],[TOTAL]]/1.21</f>
        <v>0</v>
      </c>
      <c r="I745" s="183">
        <f>ventas_b_mes1[[#This Row],[IMPORTE NETO]]*0.21</f>
        <v>0</v>
      </c>
      <c r="J745" s="184"/>
      <c r="K745" s="184"/>
      <c r="L745" s="184"/>
      <c r="M745" s="59"/>
    </row>
    <row r="746" spans="2:13" x14ac:dyDescent="0.3">
      <c r="B746" s="178"/>
      <c r="C746" s="179"/>
      <c r="D746" s="180"/>
      <c r="E746" s="181"/>
      <c r="F746" s="182"/>
      <c r="G746" s="1" t="str">
        <f>IFERROR(IF(ventas_b_mes1[[#This Row],[CUIT]]="","-",VLOOKUP(ventas_b_mes1[[#This Row],[CUIT]],Lista_CUIT[#All],2,0)),"CUIT NO CARGADO")</f>
        <v>-</v>
      </c>
      <c r="H746" s="64">
        <f>ventas_b_mes1[[#This Row],[TOTAL]]/1.21</f>
        <v>0</v>
      </c>
      <c r="I746" s="183">
        <f>ventas_b_mes1[[#This Row],[IMPORTE NETO]]*0.21</f>
        <v>0</v>
      </c>
      <c r="J746" s="184"/>
      <c r="K746" s="184"/>
      <c r="L746" s="184"/>
      <c r="M746" s="59"/>
    </row>
    <row r="747" spans="2:13" x14ac:dyDescent="0.3">
      <c r="B747" s="178"/>
      <c r="C747" s="179"/>
      <c r="D747" s="180"/>
      <c r="E747" s="181"/>
      <c r="F747" s="182"/>
      <c r="G747" s="1" t="str">
        <f>IFERROR(IF(ventas_b_mes1[[#This Row],[CUIT]]="","-",VLOOKUP(ventas_b_mes1[[#This Row],[CUIT]],Lista_CUIT[#All],2,0)),"CUIT NO CARGADO")</f>
        <v>-</v>
      </c>
      <c r="H747" s="64">
        <f>ventas_b_mes1[[#This Row],[TOTAL]]/1.21</f>
        <v>0</v>
      </c>
      <c r="I747" s="183">
        <f>ventas_b_mes1[[#This Row],[IMPORTE NETO]]*0.21</f>
        <v>0</v>
      </c>
      <c r="J747" s="184"/>
      <c r="K747" s="184"/>
      <c r="L747" s="184"/>
      <c r="M747" s="59"/>
    </row>
    <row r="748" spans="2:13" x14ac:dyDescent="0.3">
      <c r="B748" s="178"/>
      <c r="C748" s="179"/>
      <c r="D748" s="180"/>
      <c r="E748" s="181"/>
      <c r="F748" s="182"/>
      <c r="G748" s="1" t="str">
        <f>IFERROR(IF(ventas_b_mes1[[#This Row],[CUIT]]="","-",VLOOKUP(ventas_b_mes1[[#This Row],[CUIT]],Lista_CUIT[#All],2,0)),"CUIT NO CARGADO")</f>
        <v>-</v>
      </c>
      <c r="H748" s="64">
        <f>ventas_b_mes1[[#This Row],[TOTAL]]/1.21</f>
        <v>0</v>
      </c>
      <c r="I748" s="183">
        <f>ventas_b_mes1[[#This Row],[IMPORTE NETO]]*0.21</f>
        <v>0</v>
      </c>
      <c r="J748" s="184"/>
      <c r="K748" s="184"/>
      <c r="L748" s="184"/>
      <c r="M748" s="59"/>
    </row>
    <row r="749" spans="2:13" x14ac:dyDescent="0.3">
      <c r="B749" s="178"/>
      <c r="C749" s="179"/>
      <c r="D749" s="180"/>
      <c r="E749" s="181"/>
      <c r="F749" s="182"/>
      <c r="G749" s="1" t="str">
        <f>IFERROR(IF(ventas_b_mes1[[#This Row],[CUIT]]="","-",VLOOKUP(ventas_b_mes1[[#This Row],[CUIT]],Lista_CUIT[#All],2,0)),"CUIT NO CARGADO")</f>
        <v>-</v>
      </c>
      <c r="H749" s="64">
        <f>ventas_b_mes1[[#This Row],[TOTAL]]/1.21</f>
        <v>0</v>
      </c>
      <c r="I749" s="183">
        <f>ventas_b_mes1[[#This Row],[IMPORTE NETO]]*0.21</f>
        <v>0</v>
      </c>
      <c r="J749" s="184"/>
      <c r="K749" s="184"/>
      <c r="L749" s="184"/>
      <c r="M749" s="59"/>
    </row>
    <row r="750" spans="2:13" x14ac:dyDescent="0.3">
      <c r="B750" s="178"/>
      <c r="C750" s="179"/>
      <c r="D750" s="180"/>
      <c r="E750" s="181"/>
      <c r="F750" s="182"/>
      <c r="G750" s="1" t="str">
        <f>IFERROR(IF(ventas_b_mes1[[#This Row],[CUIT]]="","-",VLOOKUP(ventas_b_mes1[[#This Row],[CUIT]],Lista_CUIT[#All],2,0)),"CUIT NO CARGADO")</f>
        <v>-</v>
      </c>
      <c r="H750" s="64">
        <f>ventas_b_mes1[[#This Row],[TOTAL]]/1.21</f>
        <v>0</v>
      </c>
      <c r="I750" s="183">
        <f>ventas_b_mes1[[#This Row],[IMPORTE NETO]]*0.21</f>
        <v>0</v>
      </c>
      <c r="J750" s="184"/>
      <c r="K750" s="184"/>
      <c r="L750" s="184"/>
      <c r="M750" s="59"/>
    </row>
    <row r="751" spans="2:13" x14ac:dyDescent="0.3">
      <c r="B751" s="178"/>
      <c r="C751" s="179"/>
      <c r="D751" s="180"/>
      <c r="E751" s="181"/>
      <c r="F751" s="182"/>
      <c r="G751" s="1" t="str">
        <f>IFERROR(IF(ventas_b_mes1[[#This Row],[CUIT]]="","-",VLOOKUP(ventas_b_mes1[[#This Row],[CUIT]],Lista_CUIT[#All],2,0)),"CUIT NO CARGADO")</f>
        <v>-</v>
      </c>
      <c r="H751" s="64">
        <f>ventas_b_mes1[[#This Row],[TOTAL]]/1.21</f>
        <v>0</v>
      </c>
      <c r="I751" s="183">
        <f>ventas_b_mes1[[#This Row],[IMPORTE NETO]]*0.21</f>
        <v>0</v>
      </c>
      <c r="J751" s="184"/>
      <c r="K751" s="184"/>
      <c r="L751" s="184"/>
      <c r="M751" s="59"/>
    </row>
    <row r="752" spans="2:13" x14ac:dyDescent="0.3">
      <c r="B752" s="178"/>
      <c r="C752" s="179"/>
      <c r="D752" s="180"/>
      <c r="E752" s="181"/>
      <c r="F752" s="182"/>
      <c r="G752" s="1" t="str">
        <f>IFERROR(IF(ventas_b_mes1[[#This Row],[CUIT]]="","-",VLOOKUP(ventas_b_mes1[[#This Row],[CUIT]],Lista_CUIT[#All],2,0)),"CUIT NO CARGADO")</f>
        <v>-</v>
      </c>
      <c r="H752" s="64">
        <f>ventas_b_mes1[[#This Row],[TOTAL]]/1.21</f>
        <v>0</v>
      </c>
      <c r="I752" s="183">
        <f>ventas_b_mes1[[#This Row],[IMPORTE NETO]]*0.21</f>
        <v>0</v>
      </c>
      <c r="J752" s="184"/>
      <c r="K752" s="184"/>
      <c r="L752" s="184"/>
      <c r="M752" s="59"/>
    </row>
    <row r="753" spans="2:13" x14ac:dyDescent="0.3">
      <c r="B753" s="178"/>
      <c r="C753" s="179"/>
      <c r="D753" s="180"/>
      <c r="E753" s="181"/>
      <c r="F753" s="182"/>
      <c r="G753" s="1" t="str">
        <f>IFERROR(IF(ventas_b_mes1[[#This Row],[CUIT]]="","-",VLOOKUP(ventas_b_mes1[[#This Row],[CUIT]],Lista_CUIT[#All],2,0)),"CUIT NO CARGADO")</f>
        <v>-</v>
      </c>
      <c r="H753" s="64">
        <f>ventas_b_mes1[[#This Row],[TOTAL]]/1.21</f>
        <v>0</v>
      </c>
      <c r="I753" s="183">
        <f>ventas_b_mes1[[#This Row],[IMPORTE NETO]]*0.21</f>
        <v>0</v>
      </c>
      <c r="J753" s="184"/>
      <c r="K753" s="184"/>
      <c r="L753" s="184"/>
      <c r="M753" s="59"/>
    </row>
    <row r="754" spans="2:13" x14ac:dyDescent="0.3">
      <c r="B754" s="178"/>
      <c r="C754" s="179"/>
      <c r="D754" s="180"/>
      <c r="E754" s="181"/>
      <c r="F754" s="182"/>
      <c r="G754" s="1" t="str">
        <f>IFERROR(IF(ventas_b_mes1[[#This Row],[CUIT]]="","-",VLOOKUP(ventas_b_mes1[[#This Row],[CUIT]],Lista_CUIT[#All],2,0)),"CUIT NO CARGADO")</f>
        <v>-</v>
      </c>
      <c r="H754" s="64">
        <f>ventas_b_mes1[[#This Row],[TOTAL]]/1.21</f>
        <v>0</v>
      </c>
      <c r="I754" s="183">
        <f>ventas_b_mes1[[#This Row],[IMPORTE NETO]]*0.21</f>
        <v>0</v>
      </c>
      <c r="J754" s="184"/>
      <c r="K754" s="184"/>
      <c r="L754" s="184"/>
      <c r="M754" s="59"/>
    </row>
    <row r="755" spans="2:13" x14ac:dyDescent="0.3">
      <c r="B755" s="178"/>
      <c r="C755" s="179"/>
      <c r="D755" s="180"/>
      <c r="E755" s="181"/>
      <c r="F755" s="182"/>
      <c r="G755" s="1" t="str">
        <f>IFERROR(IF(ventas_b_mes1[[#This Row],[CUIT]]="","-",VLOOKUP(ventas_b_mes1[[#This Row],[CUIT]],Lista_CUIT[#All],2,0)),"CUIT NO CARGADO")</f>
        <v>-</v>
      </c>
      <c r="H755" s="64">
        <f>ventas_b_mes1[[#This Row],[TOTAL]]/1.21</f>
        <v>0</v>
      </c>
      <c r="I755" s="183">
        <f>ventas_b_mes1[[#This Row],[IMPORTE NETO]]*0.21</f>
        <v>0</v>
      </c>
      <c r="J755" s="184"/>
      <c r="K755" s="184"/>
      <c r="L755" s="184"/>
      <c r="M755" s="59"/>
    </row>
    <row r="756" spans="2:13" x14ac:dyDescent="0.3">
      <c r="B756" s="178"/>
      <c r="C756" s="179"/>
      <c r="D756" s="180"/>
      <c r="E756" s="181"/>
      <c r="F756" s="182"/>
      <c r="G756" s="1" t="str">
        <f>IFERROR(IF(ventas_b_mes1[[#This Row],[CUIT]]="","-",VLOOKUP(ventas_b_mes1[[#This Row],[CUIT]],Lista_CUIT[#All],2,0)),"CUIT NO CARGADO")</f>
        <v>-</v>
      </c>
      <c r="H756" s="64">
        <f>ventas_b_mes1[[#This Row],[TOTAL]]/1.21</f>
        <v>0</v>
      </c>
      <c r="I756" s="183">
        <f>ventas_b_mes1[[#This Row],[IMPORTE NETO]]*0.21</f>
        <v>0</v>
      </c>
      <c r="J756" s="184"/>
      <c r="K756" s="184"/>
      <c r="L756" s="184"/>
      <c r="M756" s="59"/>
    </row>
    <row r="757" spans="2:13" x14ac:dyDescent="0.3">
      <c r="B757" s="178"/>
      <c r="C757" s="179"/>
      <c r="D757" s="180"/>
      <c r="E757" s="181"/>
      <c r="F757" s="182"/>
      <c r="G757" s="1" t="str">
        <f>IFERROR(IF(ventas_b_mes1[[#This Row],[CUIT]]="","-",VLOOKUP(ventas_b_mes1[[#This Row],[CUIT]],Lista_CUIT[#All],2,0)),"CUIT NO CARGADO")</f>
        <v>-</v>
      </c>
      <c r="H757" s="64">
        <f>ventas_b_mes1[[#This Row],[TOTAL]]/1.21</f>
        <v>0</v>
      </c>
      <c r="I757" s="183">
        <f>ventas_b_mes1[[#This Row],[IMPORTE NETO]]*0.21</f>
        <v>0</v>
      </c>
      <c r="J757" s="184"/>
      <c r="K757" s="184"/>
      <c r="L757" s="184"/>
      <c r="M757" s="59"/>
    </row>
    <row r="758" spans="2:13" x14ac:dyDescent="0.3">
      <c r="B758" s="178"/>
      <c r="C758" s="179"/>
      <c r="D758" s="180"/>
      <c r="E758" s="181"/>
      <c r="F758" s="182"/>
      <c r="G758" s="1" t="str">
        <f>IFERROR(IF(ventas_b_mes1[[#This Row],[CUIT]]="","-",VLOOKUP(ventas_b_mes1[[#This Row],[CUIT]],Lista_CUIT[#All],2,0)),"CUIT NO CARGADO")</f>
        <v>-</v>
      </c>
      <c r="H758" s="64">
        <f>ventas_b_mes1[[#This Row],[TOTAL]]/1.21</f>
        <v>0</v>
      </c>
      <c r="I758" s="183">
        <f>ventas_b_mes1[[#This Row],[IMPORTE NETO]]*0.21</f>
        <v>0</v>
      </c>
      <c r="J758" s="184"/>
      <c r="K758" s="184"/>
      <c r="L758" s="184"/>
      <c r="M758" s="59"/>
    </row>
    <row r="759" spans="2:13" x14ac:dyDescent="0.3">
      <c r="B759" s="178"/>
      <c r="C759" s="179"/>
      <c r="D759" s="180"/>
      <c r="E759" s="181"/>
      <c r="F759" s="182"/>
      <c r="G759" s="1" t="str">
        <f>IFERROR(IF(ventas_b_mes1[[#This Row],[CUIT]]="","-",VLOOKUP(ventas_b_mes1[[#This Row],[CUIT]],Lista_CUIT[#All],2,0)),"CUIT NO CARGADO")</f>
        <v>-</v>
      </c>
      <c r="H759" s="64">
        <f>ventas_b_mes1[[#This Row],[TOTAL]]/1.21</f>
        <v>0</v>
      </c>
      <c r="I759" s="183">
        <f>ventas_b_mes1[[#This Row],[IMPORTE NETO]]*0.21</f>
        <v>0</v>
      </c>
      <c r="J759" s="184"/>
      <c r="K759" s="184"/>
      <c r="L759" s="184"/>
      <c r="M759" s="59"/>
    </row>
    <row r="760" spans="2:13" x14ac:dyDescent="0.3">
      <c r="B760" s="178"/>
      <c r="C760" s="179"/>
      <c r="D760" s="180"/>
      <c r="E760" s="181"/>
      <c r="F760" s="182"/>
      <c r="G760" s="1" t="str">
        <f>IFERROR(IF(ventas_b_mes1[[#This Row],[CUIT]]="","-",VLOOKUP(ventas_b_mes1[[#This Row],[CUIT]],Lista_CUIT[#All],2,0)),"CUIT NO CARGADO")</f>
        <v>-</v>
      </c>
      <c r="H760" s="64">
        <f>ventas_b_mes1[[#This Row],[TOTAL]]/1.21</f>
        <v>0</v>
      </c>
      <c r="I760" s="183">
        <f>ventas_b_mes1[[#This Row],[IMPORTE NETO]]*0.21</f>
        <v>0</v>
      </c>
      <c r="J760" s="184"/>
      <c r="K760" s="184"/>
      <c r="L760" s="184"/>
      <c r="M760" s="59"/>
    </row>
    <row r="761" spans="2:13" x14ac:dyDescent="0.3">
      <c r="B761" s="178"/>
      <c r="C761" s="179"/>
      <c r="D761" s="180"/>
      <c r="E761" s="181"/>
      <c r="F761" s="182"/>
      <c r="G761" s="1" t="str">
        <f>IFERROR(IF(ventas_b_mes1[[#This Row],[CUIT]]="","-",VLOOKUP(ventas_b_mes1[[#This Row],[CUIT]],Lista_CUIT[#All],2,0)),"CUIT NO CARGADO")</f>
        <v>-</v>
      </c>
      <c r="H761" s="64">
        <f>ventas_b_mes1[[#This Row],[TOTAL]]/1.21</f>
        <v>0</v>
      </c>
      <c r="I761" s="183">
        <f>ventas_b_mes1[[#This Row],[IMPORTE NETO]]*0.21</f>
        <v>0</v>
      </c>
      <c r="J761" s="184"/>
      <c r="K761" s="184"/>
      <c r="L761" s="184"/>
      <c r="M761" s="59"/>
    </row>
    <row r="762" spans="2:13" x14ac:dyDescent="0.3">
      <c r="B762" s="178"/>
      <c r="C762" s="179"/>
      <c r="D762" s="180"/>
      <c r="E762" s="181"/>
      <c r="F762" s="182"/>
      <c r="G762" s="1" t="str">
        <f>IFERROR(IF(ventas_b_mes1[[#This Row],[CUIT]]="","-",VLOOKUP(ventas_b_mes1[[#This Row],[CUIT]],Lista_CUIT[#All],2,0)),"CUIT NO CARGADO")</f>
        <v>-</v>
      </c>
      <c r="H762" s="64">
        <f>ventas_b_mes1[[#This Row],[TOTAL]]/1.21</f>
        <v>0</v>
      </c>
      <c r="I762" s="183">
        <f>ventas_b_mes1[[#This Row],[IMPORTE NETO]]*0.21</f>
        <v>0</v>
      </c>
      <c r="J762" s="184"/>
      <c r="K762" s="184"/>
      <c r="L762" s="184"/>
      <c r="M762" s="59"/>
    </row>
    <row r="763" spans="2:13" x14ac:dyDescent="0.3">
      <c r="B763" s="178"/>
      <c r="C763" s="179"/>
      <c r="D763" s="180"/>
      <c r="E763" s="181"/>
      <c r="F763" s="182"/>
      <c r="G763" s="1" t="str">
        <f>IFERROR(IF(ventas_b_mes1[[#This Row],[CUIT]]="","-",VLOOKUP(ventas_b_mes1[[#This Row],[CUIT]],Lista_CUIT[#All],2,0)),"CUIT NO CARGADO")</f>
        <v>-</v>
      </c>
      <c r="H763" s="64">
        <f>ventas_b_mes1[[#This Row],[TOTAL]]/1.21</f>
        <v>0</v>
      </c>
      <c r="I763" s="183">
        <f>ventas_b_mes1[[#This Row],[IMPORTE NETO]]*0.21</f>
        <v>0</v>
      </c>
      <c r="J763" s="184"/>
      <c r="K763" s="184"/>
      <c r="L763" s="184"/>
      <c r="M763" s="59"/>
    </row>
    <row r="764" spans="2:13" x14ac:dyDescent="0.3">
      <c r="B764" s="178"/>
      <c r="C764" s="179"/>
      <c r="D764" s="180"/>
      <c r="E764" s="181"/>
      <c r="F764" s="182"/>
      <c r="G764" s="1" t="str">
        <f>IFERROR(IF(ventas_b_mes1[[#This Row],[CUIT]]="","-",VLOOKUP(ventas_b_mes1[[#This Row],[CUIT]],Lista_CUIT[#All],2,0)),"CUIT NO CARGADO")</f>
        <v>-</v>
      </c>
      <c r="H764" s="64">
        <f>ventas_b_mes1[[#This Row],[TOTAL]]/1.21</f>
        <v>0</v>
      </c>
      <c r="I764" s="183">
        <f>ventas_b_mes1[[#This Row],[IMPORTE NETO]]*0.21</f>
        <v>0</v>
      </c>
      <c r="J764" s="184"/>
      <c r="K764" s="184"/>
      <c r="L764" s="184"/>
      <c r="M764" s="59"/>
    </row>
    <row r="765" spans="2:13" x14ac:dyDescent="0.3">
      <c r="B765" s="178"/>
      <c r="C765" s="179"/>
      <c r="D765" s="180"/>
      <c r="E765" s="181"/>
      <c r="F765" s="182"/>
      <c r="G765" s="1" t="str">
        <f>IFERROR(IF(ventas_b_mes1[[#This Row],[CUIT]]="","-",VLOOKUP(ventas_b_mes1[[#This Row],[CUIT]],Lista_CUIT[#All],2,0)),"CUIT NO CARGADO")</f>
        <v>-</v>
      </c>
      <c r="H765" s="64">
        <f>ventas_b_mes1[[#This Row],[TOTAL]]/1.21</f>
        <v>0</v>
      </c>
      <c r="I765" s="183">
        <f>ventas_b_mes1[[#This Row],[IMPORTE NETO]]*0.21</f>
        <v>0</v>
      </c>
      <c r="J765" s="184"/>
      <c r="K765" s="184"/>
      <c r="L765" s="184"/>
      <c r="M765" s="59"/>
    </row>
    <row r="766" spans="2:13" x14ac:dyDescent="0.3">
      <c r="B766" s="178"/>
      <c r="C766" s="179"/>
      <c r="D766" s="180"/>
      <c r="E766" s="181"/>
      <c r="F766" s="182"/>
      <c r="G766" s="1" t="str">
        <f>IFERROR(IF(ventas_b_mes1[[#This Row],[CUIT]]="","-",VLOOKUP(ventas_b_mes1[[#This Row],[CUIT]],Lista_CUIT[#All],2,0)),"CUIT NO CARGADO")</f>
        <v>-</v>
      </c>
      <c r="H766" s="64">
        <f>ventas_b_mes1[[#This Row],[TOTAL]]/1.21</f>
        <v>0</v>
      </c>
      <c r="I766" s="183">
        <f>ventas_b_mes1[[#This Row],[IMPORTE NETO]]*0.21</f>
        <v>0</v>
      </c>
      <c r="J766" s="184"/>
      <c r="K766" s="184"/>
      <c r="L766" s="184"/>
      <c r="M766" s="59"/>
    </row>
    <row r="767" spans="2:13" x14ac:dyDescent="0.3">
      <c r="B767" s="178"/>
      <c r="C767" s="179"/>
      <c r="D767" s="180"/>
      <c r="E767" s="181"/>
      <c r="F767" s="182"/>
      <c r="G767" s="1" t="str">
        <f>IFERROR(IF(ventas_b_mes1[[#This Row],[CUIT]]="","-",VLOOKUP(ventas_b_mes1[[#This Row],[CUIT]],Lista_CUIT[#All],2,0)),"CUIT NO CARGADO")</f>
        <v>-</v>
      </c>
      <c r="H767" s="64">
        <f>ventas_b_mes1[[#This Row],[TOTAL]]/1.21</f>
        <v>0</v>
      </c>
      <c r="I767" s="183">
        <f>ventas_b_mes1[[#This Row],[IMPORTE NETO]]*0.21</f>
        <v>0</v>
      </c>
      <c r="J767" s="184"/>
      <c r="K767" s="184"/>
      <c r="L767" s="184"/>
      <c r="M767" s="59"/>
    </row>
    <row r="768" spans="2:13" x14ac:dyDescent="0.3">
      <c r="B768" s="178"/>
      <c r="C768" s="179"/>
      <c r="D768" s="180"/>
      <c r="E768" s="181"/>
      <c r="F768" s="182"/>
      <c r="G768" s="1" t="str">
        <f>IFERROR(IF(ventas_b_mes1[[#This Row],[CUIT]]="","-",VLOOKUP(ventas_b_mes1[[#This Row],[CUIT]],Lista_CUIT[#All],2,0)),"CUIT NO CARGADO")</f>
        <v>-</v>
      </c>
      <c r="H768" s="64">
        <f>ventas_b_mes1[[#This Row],[TOTAL]]/1.21</f>
        <v>0</v>
      </c>
      <c r="I768" s="183">
        <f>ventas_b_mes1[[#This Row],[IMPORTE NETO]]*0.21</f>
        <v>0</v>
      </c>
      <c r="J768" s="184"/>
      <c r="K768" s="184"/>
      <c r="L768" s="184"/>
      <c r="M768" s="59"/>
    </row>
    <row r="769" spans="2:13" x14ac:dyDescent="0.3">
      <c r="B769" s="178"/>
      <c r="C769" s="179"/>
      <c r="D769" s="180"/>
      <c r="E769" s="181"/>
      <c r="F769" s="182"/>
      <c r="G769" s="1" t="str">
        <f>IFERROR(IF(ventas_b_mes1[[#This Row],[CUIT]]="","-",VLOOKUP(ventas_b_mes1[[#This Row],[CUIT]],Lista_CUIT[#All],2,0)),"CUIT NO CARGADO")</f>
        <v>-</v>
      </c>
      <c r="H769" s="64">
        <f>ventas_b_mes1[[#This Row],[TOTAL]]/1.21</f>
        <v>0</v>
      </c>
      <c r="I769" s="183">
        <f>ventas_b_mes1[[#This Row],[IMPORTE NETO]]*0.21</f>
        <v>0</v>
      </c>
      <c r="J769" s="184"/>
      <c r="K769" s="184"/>
      <c r="L769" s="184"/>
      <c r="M769" s="59"/>
    </row>
    <row r="770" spans="2:13" x14ac:dyDescent="0.3">
      <c r="B770" s="178"/>
      <c r="C770" s="179"/>
      <c r="D770" s="180"/>
      <c r="E770" s="181"/>
      <c r="F770" s="182"/>
      <c r="G770" s="1" t="str">
        <f>IFERROR(IF(ventas_b_mes1[[#This Row],[CUIT]]="","-",VLOOKUP(ventas_b_mes1[[#This Row],[CUIT]],Lista_CUIT[#All],2,0)),"CUIT NO CARGADO")</f>
        <v>-</v>
      </c>
      <c r="H770" s="64">
        <f>ventas_b_mes1[[#This Row],[TOTAL]]/1.21</f>
        <v>0</v>
      </c>
      <c r="I770" s="183">
        <f>ventas_b_mes1[[#This Row],[IMPORTE NETO]]*0.21</f>
        <v>0</v>
      </c>
      <c r="J770" s="184"/>
      <c r="K770" s="184"/>
      <c r="L770" s="184"/>
      <c r="M770" s="59"/>
    </row>
    <row r="771" spans="2:13" x14ac:dyDescent="0.3">
      <c r="B771" s="178"/>
      <c r="C771" s="179"/>
      <c r="D771" s="180"/>
      <c r="E771" s="181"/>
      <c r="F771" s="182"/>
      <c r="G771" s="1" t="str">
        <f>IFERROR(IF(ventas_b_mes1[[#This Row],[CUIT]]="","-",VLOOKUP(ventas_b_mes1[[#This Row],[CUIT]],Lista_CUIT[#All],2,0)),"CUIT NO CARGADO")</f>
        <v>-</v>
      </c>
      <c r="H771" s="64">
        <f>ventas_b_mes1[[#This Row],[TOTAL]]/1.21</f>
        <v>0</v>
      </c>
      <c r="I771" s="183">
        <f>ventas_b_mes1[[#This Row],[IMPORTE NETO]]*0.21</f>
        <v>0</v>
      </c>
      <c r="J771" s="184"/>
      <c r="K771" s="184"/>
      <c r="L771" s="184"/>
      <c r="M771" s="59"/>
    </row>
    <row r="772" spans="2:13" x14ac:dyDescent="0.3">
      <c r="B772" s="178"/>
      <c r="C772" s="179"/>
      <c r="D772" s="180"/>
      <c r="E772" s="181"/>
      <c r="F772" s="182"/>
      <c r="G772" s="1" t="str">
        <f>IFERROR(IF(ventas_b_mes1[[#This Row],[CUIT]]="","-",VLOOKUP(ventas_b_mes1[[#This Row],[CUIT]],Lista_CUIT[#All],2,0)),"CUIT NO CARGADO")</f>
        <v>-</v>
      </c>
      <c r="H772" s="64">
        <f>ventas_b_mes1[[#This Row],[TOTAL]]/1.21</f>
        <v>0</v>
      </c>
      <c r="I772" s="183">
        <f>ventas_b_mes1[[#This Row],[IMPORTE NETO]]*0.21</f>
        <v>0</v>
      </c>
      <c r="J772" s="184"/>
      <c r="K772" s="184"/>
      <c r="L772" s="184"/>
      <c r="M772" s="59"/>
    </row>
    <row r="773" spans="2:13" x14ac:dyDescent="0.3">
      <c r="B773" s="178"/>
      <c r="C773" s="179"/>
      <c r="D773" s="180"/>
      <c r="E773" s="181"/>
      <c r="F773" s="182"/>
      <c r="G773" s="1" t="str">
        <f>IFERROR(IF(ventas_b_mes1[[#This Row],[CUIT]]="","-",VLOOKUP(ventas_b_mes1[[#This Row],[CUIT]],Lista_CUIT[#All],2,0)),"CUIT NO CARGADO")</f>
        <v>-</v>
      </c>
      <c r="H773" s="64">
        <f>ventas_b_mes1[[#This Row],[TOTAL]]/1.21</f>
        <v>0</v>
      </c>
      <c r="I773" s="183">
        <f>ventas_b_mes1[[#This Row],[IMPORTE NETO]]*0.21</f>
        <v>0</v>
      </c>
      <c r="J773" s="184"/>
      <c r="K773" s="184"/>
      <c r="L773" s="184"/>
      <c r="M773" s="59"/>
    </row>
    <row r="774" spans="2:13" x14ac:dyDescent="0.3">
      <c r="B774" s="178"/>
      <c r="C774" s="179"/>
      <c r="D774" s="180"/>
      <c r="E774" s="181"/>
      <c r="F774" s="182"/>
      <c r="G774" s="1" t="str">
        <f>IFERROR(IF(ventas_b_mes1[[#This Row],[CUIT]]="","-",VLOOKUP(ventas_b_mes1[[#This Row],[CUIT]],Lista_CUIT[#All],2,0)),"CUIT NO CARGADO")</f>
        <v>-</v>
      </c>
      <c r="H774" s="64">
        <f>ventas_b_mes1[[#This Row],[TOTAL]]/1.21</f>
        <v>0</v>
      </c>
      <c r="I774" s="183">
        <f>ventas_b_mes1[[#This Row],[IMPORTE NETO]]*0.21</f>
        <v>0</v>
      </c>
      <c r="J774" s="184"/>
      <c r="K774" s="184"/>
      <c r="L774" s="184"/>
      <c r="M774" s="59"/>
    </row>
    <row r="775" spans="2:13" x14ac:dyDescent="0.3">
      <c r="B775" s="178"/>
      <c r="C775" s="179"/>
      <c r="D775" s="180"/>
      <c r="E775" s="181"/>
      <c r="F775" s="182"/>
      <c r="G775" s="1" t="str">
        <f>IFERROR(IF(ventas_b_mes1[[#This Row],[CUIT]]="","-",VLOOKUP(ventas_b_mes1[[#This Row],[CUIT]],Lista_CUIT[#All],2,0)),"CUIT NO CARGADO")</f>
        <v>-</v>
      </c>
      <c r="H775" s="64">
        <f>ventas_b_mes1[[#This Row],[TOTAL]]/1.21</f>
        <v>0</v>
      </c>
      <c r="I775" s="183">
        <f>ventas_b_mes1[[#This Row],[IMPORTE NETO]]*0.21</f>
        <v>0</v>
      </c>
      <c r="J775" s="184"/>
      <c r="K775" s="184"/>
      <c r="L775" s="184"/>
      <c r="M775" s="59"/>
    </row>
    <row r="776" spans="2:13" x14ac:dyDescent="0.3">
      <c r="B776" s="178"/>
      <c r="C776" s="179"/>
      <c r="D776" s="180"/>
      <c r="E776" s="181"/>
      <c r="F776" s="182"/>
      <c r="G776" s="1" t="str">
        <f>IFERROR(IF(ventas_b_mes1[[#This Row],[CUIT]]="","-",VLOOKUP(ventas_b_mes1[[#This Row],[CUIT]],Lista_CUIT[#All],2,0)),"CUIT NO CARGADO")</f>
        <v>-</v>
      </c>
      <c r="H776" s="64">
        <f>ventas_b_mes1[[#This Row],[TOTAL]]/1.21</f>
        <v>0</v>
      </c>
      <c r="I776" s="183">
        <f>ventas_b_mes1[[#This Row],[IMPORTE NETO]]*0.21</f>
        <v>0</v>
      </c>
      <c r="J776" s="184"/>
      <c r="K776" s="184"/>
      <c r="L776" s="184"/>
      <c r="M776" s="59"/>
    </row>
    <row r="777" spans="2:13" x14ac:dyDescent="0.3">
      <c r="B777" s="178"/>
      <c r="C777" s="179"/>
      <c r="D777" s="180"/>
      <c r="E777" s="181"/>
      <c r="F777" s="182"/>
      <c r="G777" s="1" t="str">
        <f>IFERROR(IF(ventas_b_mes1[[#This Row],[CUIT]]="","-",VLOOKUP(ventas_b_mes1[[#This Row],[CUIT]],Lista_CUIT[#All],2,0)),"CUIT NO CARGADO")</f>
        <v>-</v>
      </c>
      <c r="H777" s="64">
        <f>ventas_b_mes1[[#This Row],[TOTAL]]/1.21</f>
        <v>0</v>
      </c>
      <c r="I777" s="183">
        <f>ventas_b_mes1[[#This Row],[IMPORTE NETO]]*0.21</f>
        <v>0</v>
      </c>
      <c r="J777" s="184"/>
      <c r="K777" s="184"/>
      <c r="L777" s="184"/>
      <c r="M777" s="59"/>
    </row>
    <row r="778" spans="2:13" x14ac:dyDescent="0.3">
      <c r="B778" s="178"/>
      <c r="C778" s="179"/>
      <c r="D778" s="180"/>
      <c r="E778" s="181"/>
      <c r="F778" s="182"/>
      <c r="G778" s="1" t="str">
        <f>IFERROR(IF(ventas_b_mes1[[#This Row],[CUIT]]="","-",VLOOKUP(ventas_b_mes1[[#This Row],[CUIT]],Lista_CUIT[#All],2,0)),"CUIT NO CARGADO")</f>
        <v>-</v>
      </c>
      <c r="H778" s="64">
        <f>ventas_b_mes1[[#This Row],[TOTAL]]/1.21</f>
        <v>0</v>
      </c>
      <c r="I778" s="183">
        <f>ventas_b_mes1[[#This Row],[IMPORTE NETO]]*0.21</f>
        <v>0</v>
      </c>
      <c r="J778" s="184"/>
      <c r="K778" s="184"/>
      <c r="L778" s="184"/>
      <c r="M778" s="59"/>
    </row>
    <row r="779" spans="2:13" x14ac:dyDescent="0.3">
      <c r="B779" s="178"/>
      <c r="C779" s="179"/>
      <c r="D779" s="180"/>
      <c r="E779" s="181"/>
      <c r="F779" s="182"/>
      <c r="G779" s="1" t="str">
        <f>IFERROR(IF(ventas_b_mes1[[#This Row],[CUIT]]="","-",VLOOKUP(ventas_b_mes1[[#This Row],[CUIT]],Lista_CUIT[#All],2,0)),"CUIT NO CARGADO")</f>
        <v>-</v>
      </c>
      <c r="H779" s="64">
        <f>ventas_b_mes1[[#This Row],[TOTAL]]/1.21</f>
        <v>0</v>
      </c>
      <c r="I779" s="183">
        <f>ventas_b_mes1[[#This Row],[IMPORTE NETO]]*0.21</f>
        <v>0</v>
      </c>
      <c r="J779" s="184"/>
      <c r="K779" s="184"/>
      <c r="L779" s="184"/>
      <c r="M779" s="59"/>
    </row>
    <row r="780" spans="2:13" x14ac:dyDescent="0.3">
      <c r="B780" s="178"/>
      <c r="C780" s="179"/>
      <c r="D780" s="180"/>
      <c r="E780" s="181"/>
      <c r="F780" s="182"/>
      <c r="G780" s="1" t="str">
        <f>IFERROR(IF(ventas_b_mes1[[#This Row],[CUIT]]="","-",VLOOKUP(ventas_b_mes1[[#This Row],[CUIT]],Lista_CUIT[#All],2,0)),"CUIT NO CARGADO")</f>
        <v>-</v>
      </c>
      <c r="H780" s="64">
        <f>ventas_b_mes1[[#This Row],[TOTAL]]/1.21</f>
        <v>0</v>
      </c>
      <c r="I780" s="183">
        <f>ventas_b_mes1[[#This Row],[IMPORTE NETO]]*0.21</f>
        <v>0</v>
      </c>
      <c r="J780" s="184"/>
      <c r="K780" s="184"/>
      <c r="L780" s="184"/>
      <c r="M780" s="59"/>
    </row>
    <row r="781" spans="2:13" x14ac:dyDescent="0.3">
      <c r="B781" s="178"/>
      <c r="C781" s="179"/>
      <c r="D781" s="180"/>
      <c r="E781" s="181"/>
      <c r="F781" s="182"/>
      <c r="G781" s="1" t="str">
        <f>IFERROR(IF(ventas_b_mes1[[#This Row],[CUIT]]="","-",VLOOKUP(ventas_b_mes1[[#This Row],[CUIT]],Lista_CUIT[#All],2,0)),"CUIT NO CARGADO")</f>
        <v>-</v>
      </c>
      <c r="H781" s="64">
        <f>ventas_b_mes1[[#This Row],[TOTAL]]/1.21</f>
        <v>0</v>
      </c>
      <c r="I781" s="183">
        <f>ventas_b_mes1[[#This Row],[IMPORTE NETO]]*0.21</f>
        <v>0</v>
      </c>
      <c r="J781" s="184"/>
      <c r="K781" s="184"/>
      <c r="L781" s="184"/>
      <c r="M781" s="59"/>
    </row>
    <row r="782" spans="2:13" x14ac:dyDescent="0.3">
      <c r="B782" s="178"/>
      <c r="C782" s="179"/>
      <c r="D782" s="180"/>
      <c r="E782" s="181"/>
      <c r="F782" s="182"/>
      <c r="G782" s="1" t="str">
        <f>IFERROR(IF(ventas_b_mes1[[#This Row],[CUIT]]="","-",VLOOKUP(ventas_b_mes1[[#This Row],[CUIT]],Lista_CUIT[#All],2,0)),"CUIT NO CARGADO")</f>
        <v>-</v>
      </c>
      <c r="H782" s="64">
        <f>ventas_b_mes1[[#This Row],[TOTAL]]/1.21</f>
        <v>0</v>
      </c>
      <c r="I782" s="183">
        <f>ventas_b_mes1[[#This Row],[IMPORTE NETO]]*0.21</f>
        <v>0</v>
      </c>
      <c r="J782" s="184"/>
      <c r="K782" s="184"/>
      <c r="L782" s="184"/>
      <c r="M782" s="59"/>
    </row>
    <row r="783" spans="2:13" x14ac:dyDescent="0.3">
      <c r="B783" s="178"/>
      <c r="C783" s="179"/>
      <c r="D783" s="180"/>
      <c r="E783" s="181"/>
      <c r="F783" s="182"/>
      <c r="G783" s="1" t="str">
        <f>IFERROR(IF(ventas_b_mes1[[#This Row],[CUIT]]="","-",VLOOKUP(ventas_b_mes1[[#This Row],[CUIT]],Lista_CUIT[#All],2,0)),"CUIT NO CARGADO")</f>
        <v>-</v>
      </c>
      <c r="H783" s="64">
        <f>ventas_b_mes1[[#This Row],[TOTAL]]/1.21</f>
        <v>0</v>
      </c>
      <c r="I783" s="183">
        <f>ventas_b_mes1[[#This Row],[IMPORTE NETO]]*0.21</f>
        <v>0</v>
      </c>
      <c r="J783" s="184"/>
      <c r="K783" s="184"/>
      <c r="L783" s="184"/>
      <c r="M783" s="59"/>
    </row>
    <row r="784" spans="2:13" x14ac:dyDescent="0.3">
      <c r="B784" s="178"/>
      <c r="C784" s="179"/>
      <c r="D784" s="180"/>
      <c r="E784" s="181"/>
      <c r="F784" s="182"/>
      <c r="G784" s="1" t="str">
        <f>IFERROR(IF(ventas_b_mes1[[#This Row],[CUIT]]="","-",VLOOKUP(ventas_b_mes1[[#This Row],[CUIT]],Lista_CUIT[#All],2,0)),"CUIT NO CARGADO")</f>
        <v>-</v>
      </c>
      <c r="H784" s="64">
        <f>ventas_b_mes1[[#This Row],[TOTAL]]/1.21</f>
        <v>0</v>
      </c>
      <c r="I784" s="183">
        <f>ventas_b_mes1[[#This Row],[IMPORTE NETO]]*0.21</f>
        <v>0</v>
      </c>
      <c r="J784" s="184"/>
      <c r="K784" s="184"/>
      <c r="L784" s="184"/>
      <c r="M784" s="59"/>
    </row>
    <row r="785" spans="2:13" x14ac:dyDescent="0.3">
      <c r="B785" s="178"/>
      <c r="C785" s="179"/>
      <c r="D785" s="180"/>
      <c r="E785" s="181"/>
      <c r="F785" s="182"/>
      <c r="G785" s="1" t="str">
        <f>IFERROR(IF(ventas_b_mes1[[#This Row],[CUIT]]="","-",VLOOKUP(ventas_b_mes1[[#This Row],[CUIT]],Lista_CUIT[#All],2,0)),"CUIT NO CARGADO")</f>
        <v>-</v>
      </c>
      <c r="H785" s="64">
        <f>ventas_b_mes1[[#This Row],[TOTAL]]/1.21</f>
        <v>0</v>
      </c>
      <c r="I785" s="183">
        <f>ventas_b_mes1[[#This Row],[IMPORTE NETO]]*0.21</f>
        <v>0</v>
      </c>
      <c r="J785" s="184"/>
      <c r="K785" s="184"/>
      <c r="L785" s="184"/>
      <c r="M785" s="59"/>
    </row>
    <row r="786" spans="2:13" x14ac:dyDescent="0.3">
      <c r="B786" s="178"/>
      <c r="C786" s="179"/>
      <c r="D786" s="180"/>
      <c r="E786" s="181"/>
      <c r="F786" s="182"/>
      <c r="G786" s="1" t="str">
        <f>IFERROR(IF(ventas_b_mes1[[#This Row],[CUIT]]="","-",VLOOKUP(ventas_b_mes1[[#This Row],[CUIT]],Lista_CUIT[#All],2,0)),"CUIT NO CARGADO")</f>
        <v>-</v>
      </c>
      <c r="H786" s="64">
        <f>ventas_b_mes1[[#This Row],[TOTAL]]/1.21</f>
        <v>0</v>
      </c>
      <c r="I786" s="183">
        <f>ventas_b_mes1[[#This Row],[IMPORTE NETO]]*0.21</f>
        <v>0</v>
      </c>
      <c r="J786" s="184"/>
      <c r="K786" s="184"/>
      <c r="L786" s="184"/>
      <c r="M786" s="59"/>
    </row>
    <row r="787" spans="2:13" x14ac:dyDescent="0.3">
      <c r="B787" s="178"/>
      <c r="C787" s="179"/>
      <c r="D787" s="180"/>
      <c r="E787" s="181"/>
      <c r="F787" s="182"/>
      <c r="G787" s="1" t="str">
        <f>IFERROR(IF(ventas_b_mes1[[#This Row],[CUIT]]="","-",VLOOKUP(ventas_b_mes1[[#This Row],[CUIT]],Lista_CUIT[#All],2,0)),"CUIT NO CARGADO")</f>
        <v>-</v>
      </c>
      <c r="H787" s="64">
        <f>ventas_b_mes1[[#This Row],[TOTAL]]/1.21</f>
        <v>0</v>
      </c>
      <c r="I787" s="183">
        <f>ventas_b_mes1[[#This Row],[IMPORTE NETO]]*0.21</f>
        <v>0</v>
      </c>
      <c r="J787" s="184"/>
      <c r="K787" s="184"/>
      <c r="L787" s="184"/>
      <c r="M787" s="59"/>
    </row>
    <row r="788" spans="2:13" x14ac:dyDescent="0.3">
      <c r="B788" s="178"/>
      <c r="C788" s="179"/>
      <c r="D788" s="180"/>
      <c r="E788" s="181"/>
      <c r="F788" s="182"/>
      <c r="G788" s="1" t="str">
        <f>IFERROR(IF(ventas_b_mes1[[#This Row],[CUIT]]="","-",VLOOKUP(ventas_b_mes1[[#This Row],[CUIT]],Lista_CUIT[#All],2,0)),"CUIT NO CARGADO")</f>
        <v>-</v>
      </c>
      <c r="H788" s="64">
        <f>ventas_b_mes1[[#This Row],[TOTAL]]/1.21</f>
        <v>0</v>
      </c>
      <c r="I788" s="183">
        <f>ventas_b_mes1[[#This Row],[IMPORTE NETO]]*0.21</f>
        <v>0</v>
      </c>
      <c r="J788" s="184"/>
      <c r="K788" s="184"/>
      <c r="L788" s="184"/>
      <c r="M788" s="59"/>
    </row>
    <row r="789" spans="2:13" x14ac:dyDescent="0.3">
      <c r="B789" s="178"/>
      <c r="C789" s="179"/>
      <c r="D789" s="180"/>
      <c r="E789" s="181"/>
      <c r="F789" s="182"/>
      <c r="G789" s="1" t="str">
        <f>IFERROR(IF(ventas_b_mes1[[#This Row],[CUIT]]="","-",VLOOKUP(ventas_b_mes1[[#This Row],[CUIT]],Lista_CUIT[#All],2,0)),"CUIT NO CARGADO")</f>
        <v>-</v>
      </c>
      <c r="H789" s="64">
        <f>ventas_b_mes1[[#This Row],[TOTAL]]/1.21</f>
        <v>0</v>
      </c>
      <c r="I789" s="183">
        <f>ventas_b_mes1[[#This Row],[IMPORTE NETO]]*0.21</f>
        <v>0</v>
      </c>
      <c r="J789" s="184"/>
      <c r="K789" s="184"/>
      <c r="L789" s="184"/>
      <c r="M789" s="59"/>
    </row>
    <row r="790" spans="2:13" x14ac:dyDescent="0.3">
      <c r="B790" s="178"/>
      <c r="C790" s="179"/>
      <c r="D790" s="180"/>
      <c r="E790" s="181"/>
      <c r="F790" s="182"/>
      <c r="G790" s="1" t="str">
        <f>IFERROR(IF(ventas_b_mes1[[#This Row],[CUIT]]="","-",VLOOKUP(ventas_b_mes1[[#This Row],[CUIT]],Lista_CUIT[#All],2,0)),"CUIT NO CARGADO")</f>
        <v>-</v>
      </c>
      <c r="H790" s="64">
        <f>ventas_b_mes1[[#This Row],[TOTAL]]/1.21</f>
        <v>0</v>
      </c>
      <c r="I790" s="183">
        <f>ventas_b_mes1[[#This Row],[IMPORTE NETO]]*0.21</f>
        <v>0</v>
      </c>
      <c r="J790" s="184"/>
      <c r="K790" s="184"/>
      <c r="L790" s="184"/>
      <c r="M790" s="59"/>
    </row>
    <row r="791" spans="2:13" x14ac:dyDescent="0.3">
      <c r="B791" s="178"/>
      <c r="C791" s="179"/>
      <c r="D791" s="180"/>
      <c r="E791" s="181"/>
      <c r="F791" s="182"/>
      <c r="G791" s="1" t="str">
        <f>IFERROR(IF(ventas_b_mes1[[#This Row],[CUIT]]="","-",VLOOKUP(ventas_b_mes1[[#This Row],[CUIT]],Lista_CUIT[#All],2,0)),"CUIT NO CARGADO")</f>
        <v>-</v>
      </c>
      <c r="H791" s="64">
        <f>ventas_b_mes1[[#This Row],[TOTAL]]/1.21</f>
        <v>0</v>
      </c>
      <c r="I791" s="183">
        <f>ventas_b_mes1[[#This Row],[IMPORTE NETO]]*0.21</f>
        <v>0</v>
      </c>
      <c r="J791" s="184"/>
      <c r="K791" s="184"/>
      <c r="L791" s="184"/>
      <c r="M791" s="59"/>
    </row>
    <row r="792" spans="2:13" x14ac:dyDescent="0.3">
      <c r="B792" s="178"/>
      <c r="C792" s="179"/>
      <c r="D792" s="180"/>
      <c r="E792" s="181"/>
      <c r="F792" s="182"/>
      <c r="G792" s="1" t="str">
        <f>IFERROR(IF(ventas_b_mes1[[#This Row],[CUIT]]="","-",VLOOKUP(ventas_b_mes1[[#This Row],[CUIT]],Lista_CUIT[#All],2,0)),"CUIT NO CARGADO")</f>
        <v>-</v>
      </c>
      <c r="H792" s="64">
        <f>ventas_b_mes1[[#This Row],[TOTAL]]/1.21</f>
        <v>0</v>
      </c>
      <c r="I792" s="183">
        <f>ventas_b_mes1[[#This Row],[IMPORTE NETO]]*0.21</f>
        <v>0</v>
      </c>
      <c r="J792" s="184"/>
      <c r="K792" s="184"/>
      <c r="L792" s="184"/>
      <c r="M792" s="59"/>
    </row>
    <row r="793" spans="2:13" x14ac:dyDescent="0.3">
      <c r="B793" s="178"/>
      <c r="C793" s="179"/>
      <c r="D793" s="180"/>
      <c r="E793" s="181"/>
      <c r="F793" s="182"/>
      <c r="G793" s="1" t="str">
        <f>IFERROR(IF(ventas_b_mes1[[#This Row],[CUIT]]="","-",VLOOKUP(ventas_b_mes1[[#This Row],[CUIT]],Lista_CUIT[#All],2,0)),"CUIT NO CARGADO")</f>
        <v>-</v>
      </c>
      <c r="H793" s="64">
        <f>ventas_b_mes1[[#This Row],[TOTAL]]/1.21</f>
        <v>0</v>
      </c>
      <c r="I793" s="183">
        <f>ventas_b_mes1[[#This Row],[IMPORTE NETO]]*0.21</f>
        <v>0</v>
      </c>
      <c r="J793" s="184"/>
      <c r="K793" s="184"/>
      <c r="L793" s="184"/>
      <c r="M793" s="59"/>
    </row>
    <row r="794" spans="2:13" x14ac:dyDescent="0.3">
      <c r="B794" s="178"/>
      <c r="C794" s="179"/>
      <c r="D794" s="180"/>
      <c r="E794" s="181"/>
      <c r="F794" s="182"/>
      <c r="G794" s="1" t="str">
        <f>IFERROR(IF(ventas_b_mes1[[#This Row],[CUIT]]="","-",VLOOKUP(ventas_b_mes1[[#This Row],[CUIT]],Lista_CUIT[#All],2,0)),"CUIT NO CARGADO")</f>
        <v>-</v>
      </c>
      <c r="H794" s="64">
        <f>ventas_b_mes1[[#This Row],[TOTAL]]/1.21</f>
        <v>0</v>
      </c>
      <c r="I794" s="183">
        <f>ventas_b_mes1[[#This Row],[IMPORTE NETO]]*0.21</f>
        <v>0</v>
      </c>
      <c r="J794" s="184"/>
      <c r="K794" s="184"/>
      <c r="L794" s="184"/>
      <c r="M794" s="59"/>
    </row>
    <row r="795" spans="2:13" x14ac:dyDescent="0.3">
      <c r="B795" s="178"/>
      <c r="C795" s="179"/>
      <c r="D795" s="180"/>
      <c r="E795" s="181"/>
      <c r="F795" s="182"/>
      <c r="G795" s="1" t="str">
        <f>IFERROR(IF(ventas_b_mes1[[#This Row],[CUIT]]="","-",VLOOKUP(ventas_b_mes1[[#This Row],[CUIT]],Lista_CUIT[#All],2,0)),"CUIT NO CARGADO")</f>
        <v>-</v>
      </c>
      <c r="H795" s="64">
        <f>ventas_b_mes1[[#This Row],[TOTAL]]/1.21</f>
        <v>0</v>
      </c>
      <c r="I795" s="183">
        <f>ventas_b_mes1[[#This Row],[IMPORTE NETO]]*0.21</f>
        <v>0</v>
      </c>
      <c r="J795" s="184"/>
      <c r="K795" s="184"/>
      <c r="L795" s="184"/>
      <c r="M795" s="59"/>
    </row>
    <row r="796" spans="2:13" x14ac:dyDescent="0.3">
      <c r="B796" s="178"/>
      <c r="C796" s="179"/>
      <c r="D796" s="180"/>
      <c r="E796" s="181"/>
      <c r="F796" s="182"/>
      <c r="G796" s="1" t="str">
        <f>IFERROR(IF(ventas_b_mes1[[#This Row],[CUIT]]="","-",VLOOKUP(ventas_b_mes1[[#This Row],[CUIT]],Lista_CUIT[#All],2,0)),"CUIT NO CARGADO")</f>
        <v>-</v>
      </c>
      <c r="H796" s="64">
        <f>ventas_b_mes1[[#This Row],[TOTAL]]/1.21</f>
        <v>0</v>
      </c>
      <c r="I796" s="183">
        <f>ventas_b_mes1[[#This Row],[IMPORTE NETO]]*0.21</f>
        <v>0</v>
      </c>
      <c r="J796" s="184"/>
      <c r="K796" s="184"/>
      <c r="L796" s="184"/>
      <c r="M796" s="59"/>
    </row>
    <row r="797" spans="2:13" x14ac:dyDescent="0.3">
      <c r="B797" s="178"/>
      <c r="C797" s="179"/>
      <c r="D797" s="180"/>
      <c r="E797" s="181"/>
      <c r="F797" s="182"/>
      <c r="G797" s="1" t="str">
        <f>IFERROR(IF(ventas_b_mes1[[#This Row],[CUIT]]="","-",VLOOKUP(ventas_b_mes1[[#This Row],[CUIT]],Lista_CUIT[#All],2,0)),"CUIT NO CARGADO")</f>
        <v>-</v>
      </c>
      <c r="H797" s="64">
        <f>ventas_b_mes1[[#This Row],[TOTAL]]/1.21</f>
        <v>0</v>
      </c>
      <c r="I797" s="183">
        <f>ventas_b_mes1[[#This Row],[IMPORTE NETO]]*0.21</f>
        <v>0</v>
      </c>
      <c r="J797" s="184"/>
      <c r="K797" s="184"/>
      <c r="L797" s="184"/>
      <c r="M797" s="59"/>
    </row>
    <row r="798" spans="2:13" x14ac:dyDescent="0.3">
      <c r="B798" s="178"/>
      <c r="C798" s="179"/>
      <c r="D798" s="180"/>
      <c r="E798" s="181"/>
      <c r="F798" s="182"/>
      <c r="G798" s="1" t="str">
        <f>IFERROR(IF(ventas_b_mes1[[#This Row],[CUIT]]="","-",VLOOKUP(ventas_b_mes1[[#This Row],[CUIT]],Lista_CUIT[#All],2,0)),"CUIT NO CARGADO")</f>
        <v>-</v>
      </c>
      <c r="H798" s="64">
        <f>ventas_b_mes1[[#This Row],[TOTAL]]/1.21</f>
        <v>0</v>
      </c>
      <c r="I798" s="183">
        <f>ventas_b_mes1[[#This Row],[IMPORTE NETO]]*0.21</f>
        <v>0</v>
      </c>
      <c r="J798" s="184"/>
      <c r="K798" s="184"/>
      <c r="L798" s="184"/>
      <c r="M798" s="59"/>
    </row>
    <row r="799" spans="2:13" x14ac:dyDescent="0.3">
      <c r="B799" s="178"/>
      <c r="C799" s="179"/>
      <c r="D799" s="180"/>
      <c r="E799" s="181"/>
      <c r="F799" s="182"/>
      <c r="G799" s="1" t="str">
        <f>IFERROR(IF(ventas_b_mes1[[#This Row],[CUIT]]="","-",VLOOKUP(ventas_b_mes1[[#This Row],[CUIT]],Lista_CUIT[#All],2,0)),"CUIT NO CARGADO")</f>
        <v>-</v>
      </c>
      <c r="H799" s="64">
        <f>ventas_b_mes1[[#This Row],[TOTAL]]/1.21</f>
        <v>0</v>
      </c>
      <c r="I799" s="183">
        <f>ventas_b_mes1[[#This Row],[IMPORTE NETO]]*0.21</f>
        <v>0</v>
      </c>
      <c r="J799" s="184"/>
      <c r="K799" s="184"/>
      <c r="L799" s="184"/>
      <c r="M799" s="59"/>
    </row>
    <row r="800" spans="2:13" x14ac:dyDescent="0.3">
      <c r="B800" s="178"/>
      <c r="C800" s="179"/>
      <c r="D800" s="180"/>
      <c r="E800" s="181"/>
      <c r="F800" s="182"/>
      <c r="G800" s="1" t="str">
        <f>IFERROR(IF(ventas_b_mes1[[#This Row],[CUIT]]="","-",VLOOKUP(ventas_b_mes1[[#This Row],[CUIT]],Lista_CUIT[#All],2,0)),"CUIT NO CARGADO")</f>
        <v>-</v>
      </c>
      <c r="H800" s="64">
        <f>ventas_b_mes1[[#This Row],[TOTAL]]/1.21</f>
        <v>0</v>
      </c>
      <c r="I800" s="183">
        <f>ventas_b_mes1[[#This Row],[IMPORTE NETO]]*0.21</f>
        <v>0</v>
      </c>
      <c r="J800" s="184"/>
      <c r="K800" s="184"/>
      <c r="L800" s="184"/>
      <c r="M800" s="59"/>
    </row>
    <row r="801" spans="2:13" x14ac:dyDescent="0.3">
      <c r="B801" s="178"/>
      <c r="C801" s="179"/>
      <c r="D801" s="180"/>
      <c r="E801" s="181"/>
      <c r="F801" s="182"/>
      <c r="G801" s="1" t="str">
        <f>IFERROR(IF(ventas_b_mes1[[#This Row],[CUIT]]="","-",VLOOKUP(ventas_b_mes1[[#This Row],[CUIT]],Lista_CUIT[#All],2,0)),"CUIT NO CARGADO")</f>
        <v>-</v>
      </c>
      <c r="H801" s="64">
        <f>ventas_b_mes1[[#This Row],[TOTAL]]/1.21</f>
        <v>0</v>
      </c>
      <c r="I801" s="183">
        <f>ventas_b_mes1[[#This Row],[IMPORTE NETO]]*0.21</f>
        <v>0</v>
      </c>
      <c r="J801" s="184"/>
      <c r="K801" s="184"/>
      <c r="L801" s="184"/>
      <c r="M801" s="59"/>
    </row>
    <row r="802" spans="2:13" x14ac:dyDescent="0.3">
      <c r="B802" s="178"/>
      <c r="C802" s="179"/>
      <c r="D802" s="180"/>
      <c r="E802" s="181"/>
      <c r="F802" s="182"/>
      <c r="G802" s="1" t="str">
        <f>IFERROR(IF(ventas_b_mes1[[#This Row],[CUIT]]="","-",VLOOKUP(ventas_b_mes1[[#This Row],[CUIT]],Lista_CUIT[#All],2,0)),"CUIT NO CARGADO")</f>
        <v>-</v>
      </c>
      <c r="H802" s="64">
        <f>ventas_b_mes1[[#This Row],[TOTAL]]/1.21</f>
        <v>0</v>
      </c>
      <c r="I802" s="183">
        <f>ventas_b_mes1[[#This Row],[IMPORTE NETO]]*0.21</f>
        <v>0</v>
      </c>
      <c r="J802" s="184"/>
      <c r="K802" s="184"/>
      <c r="L802" s="184"/>
      <c r="M802" s="59"/>
    </row>
    <row r="803" spans="2:13" x14ac:dyDescent="0.3">
      <c r="B803" s="178"/>
      <c r="C803" s="179"/>
      <c r="D803" s="180"/>
      <c r="E803" s="181"/>
      <c r="F803" s="182"/>
      <c r="G803" s="1" t="str">
        <f>IFERROR(IF(ventas_b_mes1[[#This Row],[CUIT]]="","-",VLOOKUP(ventas_b_mes1[[#This Row],[CUIT]],Lista_CUIT[#All],2,0)),"CUIT NO CARGADO")</f>
        <v>-</v>
      </c>
      <c r="H803" s="64">
        <f>ventas_b_mes1[[#This Row],[TOTAL]]/1.21</f>
        <v>0</v>
      </c>
      <c r="I803" s="183">
        <f>ventas_b_mes1[[#This Row],[IMPORTE NETO]]*0.21</f>
        <v>0</v>
      </c>
      <c r="J803" s="184"/>
      <c r="K803" s="184"/>
      <c r="L803" s="184"/>
      <c r="M803" s="59"/>
    </row>
    <row r="804" spans="2:13" x14ac:dyDescent="0.3">
      <c r="B804" s="178"/>
      <c r="C804" s="179"/>
      <c r="D804" s="180"/>
      <c r="E804" s="181"/>
      <c r="F804" s="182"/>
      <c r="G804" s="1" t="str">
        <f>IFERROR(IF(ventas_b_mes1[[#This Row],[CUIT]]="","-",VLOOKUP(ventas_b_mes1[[#This Row],[CUIT]],Lista_CUIT[#All],2,0)),"CUIT NO CARGADO")</f>
        <v>-</v>
      </c>
      <c r="H804" s="64">
        <f>ventas_b_mes1[[#This Row],[TOTAL]]/1.21</f>
        <v>0</v>
      </c>
      <c r="I804" s="183">
        <f>ventas_b_mes1[[#This Row],[IMPORTE NETO]]*0.21</f>
        <v>0</v>
      </c>
      <c r="J804" s="184"/>
      <c r="K804" s="184"/>
      <c r="L804" s="184"/>
      <c r="M804" s="59"/>
    </row>
    <row r="805" spans="2:13" x14ac:dyDescent="0.3">
      <c r="B805" s="178"/>
      <c r="C805" s="179"/>
      <c r="D805" s="180"/>
      <c r="E805" s="181"/>
      <c r="F805" s="182"/>
      <c r="G805" s="1" t="str">
        <f>IFERROR(IF(ventas_b_mes1[[#This Row],[CUIT]]="","-",VLOOKUP(ventas_b_mes1[[#This Row],[CUIT]],Lista_CUIT[#All],2,0)),"CUIT NO CARGADO")</f>
        <v>-</v>
      </c>
      <c r="H805" s="64">
        <f>ventas_b_mes1[[#This Row],[TOTAL]]/1.21</f>
        <v>0</v>
      </c>
      <c r="I805" s="183">
        <f>ventas_b_mes1[[#This Row],[IMPORTE NETO]]*0.21</f>
        <v>0</v>
      </c>
      <c r="J805" s="184"/>
      <c r="K805" s="184"/>
      <c r="L805" s="184"/>
      <c r="M805" s="59"/>
    </row>
    <row r="806" spans="2:13" x14ac:dyDescent="0.3">
      <c r="B806" s="178"/>
      <c r="C806" s="179"/>
      <c r="D806" s="180"/>
      <c r="E806" s="181"/>
      <c r="F806" s="182"/>
      <c r="G806" s="1" t="str">
        <f>IFERROR(IF(ventas_b_mes1[[#This Row],[CUIT]]="","-",VLOOKUP(ventas_b_mes1[[#This Row],[CUIT]],Lista_CUIT[#All],2,0)),"CUIT NO CARGADO")</f>
        <v>-</v>
      </c>
      <c r="H806" s="64">
        <f>ventas_b_mes1[[#This Row],[TOTAL]]/1.21</f>
        <v>0</v>
      </c>
      <c r="I806" s="183">
        <f>ventas_b_mes1[[#This Row],[IMPORTE NETO]]*0.21</f>
        <v>0</v>
      </c>
      <c r="J806" s="184"/>
      <c r="K806" s="184"/>
      <c r="L806" s="184"/>
      <c r="M806" s="59"/>
    </row>
    <row r="807" spans="2:13" x14ac:dyDescent="0.3">
      <c r="B807" s="178"/>
      <c r="C807" s="179"/>
      <c r="D807" s="180"/>
      <c r="E807" s="181"/>
      <c r="F807" s="182"/>
      <c r="G807" s="1" t="str">
        <f>IFERROR(IF(ventas_b_mes1[[#This Row],[CUIT]]="","-",VLOOKUP(ventas_b_mes1[[#This Row],[CUIT]],Lista_CUIT[#All],2,0)),"CUIT NO CARGADO")</f>
        <v>-</v>
      </c>
      <c r="H807" s="64">
        <f>ventas_b_mes1[[#This Row],[TOTAL]]/1.21</f>
        <v>0</v>
      </c>
      <c r="I807" s="183">
        <f>ventas_b_mes1[[#This Row],[IMPORTE NETO]]*0.21</f>
        <v>0</v>
      </c>
      <c r="J807" s="184"/>
      <c r="K807" s="184"/>
      <c r="L807" s="184"/>
      <c r="M807" s="59"/>
    </row>
    <row r="808" spans="2:13" x14ac:dyDescent="0.3">
      <c r="B808" s="178"/>
      <c r="C808" s="179"/>
      <c r="D808" s="180"/>
      <c r="E808" s="181"/>
      <c r="F808" s="182"/>
      <c r="G808" s="1" t="str">
        <f>IFERROR(IF(ventas_b_mes1[[#This Row],[CUIT]]="","-",VLOOKUP(ventas_b_mes1[[#This Row],[CUIT]],Lista_CUIT[#All],2,0)),"CUIT NO CARGADO")</f>
        <v>-</v>
      </c>
      <c r="H808" s="64">
        <f>ventas_b_mes1[[#This Row],[TOTAL]]/1.21</f>
        <v>0</v>
      </c>
      <c r="I808" s="183">
        <f>ventas_b_mes1[[#This Row],[IMPORTE NETO]]*0.21</f>
        <v>0</v>
      </c>
      <c r="J808" s="184"/>
      <c r="K808" s="184"/>
      <c r="L808" s="184"/>
      <c r="M808" s="59"/>
    </row>
    <row r="809" spans="2:13" x14ac:dyDescent="0.3">
      <c r="B809" s="178"/>
      <c r="C809" s="179"/>
      <c r="D809" s="180"/>
      <c r="E809" s="181"/>
      <c r="F809" s="182"/>
      <c r="G809" s="1" t="str">
        <f>IFERROR(IF(ventas_b_mes1[[#This Row],[CUIT]]="","-",VLOOKUP(ventas_b_mes1[[#This Row],[CUIT]],Lista_CUIT[#All],2,0)),"CUIT NO CARGADO")</f>
        <v>-</v>
      </c>
      <c r="H809" s="64">
        <f>ventas_b_mes1[[#This Row],[TOTAL]]/1.21</f>
        <v>0</v>
      </c>
      <c r="I809" s="183">
        <f>ventas_b_mes1[[#This Row],[IMPORTE NETO]]*0.21</f>
        <v>0</v>
      </c>
      <c r="J809" s="184"/>
      <c r="K809" s="184"/>
      <c r="L809" s="184"/>
      <c r="M809" s="59"/>
    </row>
    <row r="810" spans="2:13" x14ac:dyDescent="0.3">
      <c r="B810" s="178"/>
      <c r="C810" s="179"/>
      <c r="D810" s="180"/>
      <c r="E810" s="181"/>
      <c r="F810" s="182"/>
      <c r="G810" s="1" t="str">
        <f>IFERROR(IF(ventas_b_mes1[[#This Row],[CUIT]]="","-",VLOOKUP(ventas_b_mes1[[#This Row],[CUIT]],Lista_CUIT[#All],2,0)),"CUIT NO CARGADO")</f>
        <v>-</v>
      </c>
      <c r="H810" s="64">
        <f>ventas_b_mes1[[#This Row],[TOTAL]]/1.21</f>
        <v>0</v>
      </c>
      <c r="I810" s="183">
        <f>ventas_b_mes1[[#This Row],[IMPORTE NETO]]*0.21</f>
        <v>0</v>
      </c>
      <c r="J810" s="184"/>
      <c r="K810" s="184"/>
      <c r="L810" s="184"/>
      <c r="M810" s="59"/>
    </row>
    <row r="811" spans="2:13" x14ac:dyDescent="0.3">
      <c r="B811" s="178"/>
      <c r="C811" s="179"/>
      <c r="D811" s="180"/>
      <c r="E811" s="181"/>
      <c r="F811" s="182"/>
      <c r="G811" s="1" t="str">
        <f>IFERROR(IF(ventas_b_mes1[[#This Row],[CUIT]]="","-",VLOOKUP(ventas_b_mes1[[#This Row],[CUIT]],Lista_CUIT[#All],2,0)),"CUIT NO CARGADO")</f>
        <v>-</v>
      </c>
      <c r="H811" s="64">
        <f>ventas_b_mes1[[#This Row],[TOTAL]]/1.21</f>
        <v>0</v>
      </c>
      <c r="I811" s="183">
        <f>ventas_b_mes1[[#This Row],[IMPORTE NETO]]*0.21</f>
        <v>0</v>
      </c>
      <c r="J811" s="184"/>
      <c r="K811" s="184"/>
      <c r="L811" s="184"/>
      <c r="M811" s="59"/>
    </row>
    <row r="812" spans="2:13" x14ac:dyDescent="0.3">
      <c r="B812" s="178"/>
      <c r="C812" s="179"/>
      <c r="D812" s="180"/>
      <c r="E812" s="181"/>
      <c r="F812" s="182"/>
      <c r="G812" s="1" t="str">
        <f>IFERROR(IF(ventas_b_mes1[[#This Row],[CUIT]]="","-",VLOOKUP(ventas_b_mes1[[#This Row],[CUIT]],Lista_CUIT[#All],2,0)),"CUIT NO CARGADO")</f>
        <v>-</v>
      </c>
      <c r="H812" s="64">
        <f>ventas_b_mes1[[#This Row],[TOTAL]]/1.21</f>
        <v>0</v>
      </c>
      <c r="I812" s="183">
        <f>ventas_b_mes1[[#This Row],[IMPORTE NETO]]*0.21</f>
        <v>0</v>
      </c>
      <c r="J812" s="184"/>
      <c r="K812" s="184"/>
      <c r="L812" s="184"/>
      <c r="M812" s="59"/>
    </row>
    <row r="813" spans="2:13" x14ac:dyDescent="0.3">
      <c r="B813" s="178"/>
      <c r="C813" s="179"/>
      <c r="D813" s="180"/>
      <c r="E813" s="181"/>
      <c r="F813" s="182"/>
      <c r="G813" s="1" t="str">
        <f>IFERROR(IF(ventas_b_mes1[[#This Row],[CUIT]]="","-",VLOOKUP(ventas_b_mes1[[#This Row],[CUIT]],Lista_CUIT[#All],2,0)),"CUIT NO CARGADO")</f>
        <v>-</v>
      </c>
      <c r="H813" s="64">
        <f>ventas_b_mes1[[#This Row],[TOTAL]]/1.21</f>
        <v>0</v>
      </c>
      <c r="I813" s="183">
        <f>ventas_b_mes1[[#This Row],[IMPORTE NETO]]*0.21</f>
        <v>0</v>
      </c>
      <c r="J813" s="184"/>
      <c r="K813" s="184"/>
      <c r="L813" s="184"/>
      <c r="M813" s="59"/>
    </row>
    <row r="814" spans="2:13" x14ac:dyDescent="0.3">
      <c r="B814" s="178"/>
      <c r="C814" s="179"/>
      <c r="D814" s="180"/>
      <c r="E814" s="181"/>
      <c r="F814" s="182"/>
      <c r="G814" s="1" t="str">
        <f>IFERROR(IF(ventas_b_mes1[[#This Row],[CUIT]]="","-",VLOOKUP(ventas_b_mes1[[#This Row],[CUIT]],Lista_CUIT[#All],2,0)),"CUIT NO CARGADO")</f>
        <v>-</v>
      </c>
      <c r="H814" s="64">
        <f>ventas_b_mes1[[#This Row],[TOTAL]]/1.21</f>
        <v>0</v>
      </c>
      <c r="I814" s="183">
        <f>ventas_b_mes1[[#This Row],[IMPORTE NETO]]*0.21</f>
        <v>0</v>
      </c>
      <c r="J814" s="184"/>
      <c r="K814" s="184"/>
      <c r="L814" s="184"/>
      <c r="M814" s="59"/>
    </row>
    <row r="815" spans="2:13" x14ac:dyDescent="0.3">
      <c r="B815" s="178"/>
      <c r="C815" s="179"/>
      <c r="D815" s="180"/>
      <c r="E815" s="181"/>
      <c r="F815" s="182"/>
      <c r="G815" s="1" t="str">
        <f>IFERROR(IF(ventas_b_mes1[[#This Row],[CUIT]]="","-",VLOOKUP(ventas_b_mes1[[#This Row],[CUIT]],Lista_CUIT[#All],2,0)),"CUIT NO CARGADO")</f>
        <v>-</v>
      </c>
      <c r="H815" s="64">
        <f>ventas_b_mes1[[#This Row],[TOTAL]]/1.21</f>
        <v>0</v>
      </c>
      <c r="I815" s="183">
        <f>ventas_b_mes1[[#This Row],[IMPORTE NETO]]*0.21</f>
        <v>0</v>
      </c>
      <c r="J815" s="184"/>
      <c r="K815" s="184"/>
      <c r="L815" s="184"/>
      <c r="M815" s="59"/>
    </row>
    <row r="816" spans="2:13" x14ac:dyDescent="0.3">
      <c r="B816" s="178"/>
      <c r="C816" s="179"/>
      <c r="D816" s="180"/>
      <c r="E816" s="181"/>
      <c r="F816" s="182"/>
      <c r="G816" s="1" t="str">
        <f>IFERROR(IF(ventas_b_mes1[[#This Row],[CUIT]]="","-",VLOOKUP(ventas_b_mes1[[#This Row],[CUIT]],Lista_CUIT[#All],2,0)),"CUIT NO CARGADO")</f>
        <v>-</v>
      </c>
      <c r="H816" s="64">
        <f>ventas_b_mes1[[#This Row],[TOTAL]]/1.21</f>
        <v>0</v>
      </c>
      <c r="I816" s="183">
        <f>ventas_b_mes1[[#This Row],[IMPORTE NETO]]*0.21</f>
        <v>0</v>
      </c>
      <c r="J816" s="184"/>
      <c r="K816" s="184"/>
      <c r="L816" s="184"/>
      <c r="M816" s="59"/>
    </row>
    <row r="817" spans="2:13" x14ac:dyDescent="0.3">
      <c r="B817" s="178"/>
      <c r="C817" s="179"/>
      <c r="D817" s="180"/>
      <c r="E817" s="181"/>
      <c r="F817" s="182"/>
      <c r="G817" s="1" t="str">
        <f>IFERROR(IF(ventas_b_mes1[[#This Row],[CUIT]]="","-",VLOOKUP(ventas_b_mes1[[#This Row],[CUIT]],Lista_CUIT[#All],2,0)),"CUIT NO CARGADO")</f>
        <v>-</v>
      </c>
      <c r="H817" s="64">
        <f>ventas_b_mes1[[#This Row],[TOTAL]]/1.21</f>
        <v>0</v>
      </c>
      <c r="I817" s="183">
        <f>ventas_b_mes1[[#This Row],[IMPORTE NETO]]*0.21</f>
        <v>0</v>
      </c>
      <c r="J817" s="184"/>
      <c r="K817" s="184"/>
      <c r="L817" s="184"/>
      <c r="M817" s="59"/>
    </row>
    <row r="818" spans="2:13" x14ac:dyDescent="0.3">
      <c r="B818" s="178"/>
      <c r="C818" s="179"/>
      <c r="D818" s="180"/>
      <c r="E818" s="181"/>
      <c r="F818" s="182"/>
      <c r="G818" s="1" t="str">
        <f>IFERROR(IF(ventas_b_mes1[[#This Row],[CUIT]]="","-",VLOOKUP(ventas_b_mes1[[#This Row],[CUIT]],Lista_CUIT[#All],2,0)),"CUIT NO CARGADO")</f>
        <v>-</v>
      </c>
      <c r="H818" s="64">
        <f>ventas_b_mes1[[#This Row],[TOTAL]]/1.21</f>
        <v>0</v>
      </c>
      <c r="I818" s="183">
        <f>ventas_b_mes1[[#This Row],[IMPORTE NETO]]*0.21</f>
        <v>0</v>
      </c>
      <c r="J818" s="184"/>
      <c r="K818" s="184"/>
      <c r="L818" s="184"/>
      <c r="M818" s="59"/>
    </row>
    <row r="819" spans="2:13" x14ac:dyDescent="0.3">
      <c r="B819" s="178"/>
      <c r="C819" s="179"/>
      <c r="D819" s="180"/>
      <c r="E819" s="181"/>
      <c r="F819" s="182"/>
      <c r="G819" s="1" t="str">
        <f>IFERROR(IF(ventas_b_mes1[[#This Row],[CUIT]]="","-",VLOOKUP(ventas_b_mes1[[#This Row],[CUIT]],Lista_CUIT[#All],2,0)),"CUIT NO CARGADO")</f>
        <v>-</v>
      </c>
      <c r="H819" s="64">
        <f>ventas_b_mes1[[#This Row],[TOTAL]]/1.21</f>
        <v>0</v>
      </c>
      <c r="I819" s="183">
        <f>ventas_b_mes1[[#This Row],[IMPORTE NETO]]*0.21</f>
        <v>0</v>
      </c>
      <c r="J819" s="184"/>
      <c r="K819" s="184"/>
      <c r="L819" s="184"/>
      <c r="M819" s="59"/>
    </row>
    <row r="820" spans="2:13" x14ac:dyDescent="0.3">
      <c r="B820" s="178"/>
      <c r="C820" s="179"/>
      <c r="D820" s="180"/>
      <c r="E820" s="181"/>
      <c r="F820" s="182"/>
      <c r="G820" s="1" t="str">
        <f>IFERROR(IF(ventas_b_mes1[[#This Row],[CUIT]]="","-",VLOOKUP(ventas_b_mes1[[#This Row],[CUIT]],Lista_CUIT[#All],2,0)),"CUIT NO CARGADO")</f>
        <v>-</v>
      </c>
      <c r="H820" s="64">
        <f>ventas_b_mes1[[#This Row],[TOTAL]]/1.21</f>
        <v>0</v>
      </c>
      <c r="I820" s="183">
        <f>ventas_b_mes1[[#This Row],[IMPORTE NETO]]*0.21</f>
        <v>0</v>
      </c>
      <c r="J820" s="184"/>
      <c r="K820" s="184"/>
      <c r="L820" s="184"/>
      <c r="M820" s="59"/>
    </row>
    <row r="821" spans="2:13" x14ac:dyDescent="0.3">
      <c r="B821" s="178"/>
      <c r="C821" s="179"/>
      <c r="D821" s="180"/>
      <c r="E821" s="181"/>
      <c r="F821" s="182"/>
      <c r="G821" s="1" t="str">
        <f>IFERROR(IF(ventas_b_mes1[[#This Row],[CUIT]]="","-",VLOOKUP(ventas_b_mes1[[#This Row],[CUIT]],Lista_CUIT[#All],2,0)),"CUIT NO CARGADO")</f>
        <v>-</v>
      </c>
      <c r="H821" s="64">
        <f>ventas_b_mes1[[#This Row],[TOTAL]]/1.21</f>
        <v>0</v>
      </c>
      <c r="I821" s="183">
        <f>ventas_b_mes1[[#This Row],[IMPORTE NETO]]*0.21</f>
        <v>0</v>
      </c>
      <c r="J821" s="184"/>
      <c r="K821" s="184"/>
      <c r="L821" s="184"/>
      <c r="M821" s="59"/>
    </row>
    <row r="822" spans="2:13" x14ac:dyDescent="0.3">
      <c r="B822" s="178"/>
      <c r="C822" s="179"/>
      <c r="D822" s="180"/>
      <c r="E822" s="181"/>
      <c r="F822" s="182"/>
      <c r="G822" s="1" t="str">
        <f>IFERROR(IF(ventas_b_mes1[[#This Row],[CUIT]]="","-",VLOOKUP(ventas_b_mes1[[#This Row],[CUIT]],Lista_CUIT[#All],2,0)),"CUIT NO CARGADO")</f>
        <v>-</v>
      </c>
      <c r="H822" s="64">
        <f>ventas_b_mes1[[#This Row],[TOTAL]]/1.21</f>
        <v>0</v>
      </c>
      <c r="I822" s="183">
        <f>ventas_b_mes1[[#This Row],[IMPORTE NETO]]*0.21</f>
        <v>0</v>
      </c>
      <c r="J822" s="184"/>
      <c r="K822" s="184"/>
      <c r="L822" s="184"/>
      <c r="M822" s="59"/>
    </row>
    <row r="823" spans="2:13" x14ac:dyDescent="0.3">
      <c r="B823" s="178"/>
      <c r="C823" s="179"/>
      <c r="D823" s="180"/>
      <c r="E823" s="181"/>
      <c r="F823" s="182"/>
      <c r="G823" s="1" t="str">
        <f>IFERROR(IF(ventas_b_mes1[[#This Row],[CUIT]]="","-",VLOOKUP(ventas_b_mes1[[#This Row],[CUIT]],Lista_CUIT[#All],2,0)),"CUIT NO CARGADO")</f>
        <v>-</v>
      </c>
      <c r="H823" s="64">
        <f>ventas_b_mes1[[#This Row],[TOTAL]]/1.21</f>
        <v>0</v>
      </c>
      <c r="I823" s="183">
        <f>ventas_b_mes1[[#This Row],[IMPORTE NETO]]*0.21</f>
        <v>0</v>
      </c>
      <c r="J823" s="184"/>
      <c r="K823" s="184"/>
      <c r="L823" s="184"/>
      <c r="M823" s="59"/>
    </row>
    <row r="824" spans="2:13" x14ac:dyDescent="0.3">
      <c r="B824" s="178"/>
      <c r="C824" s="179"/>
      <c r="D824" s="180"/>
      <c r="E824" s="181"/>
      <c r="F824" s="182"/>
      <c r="G824" s="1" t="str">
        <f>IFERROR(IF(ventas_b_mes1[[#This Row],[CUIT]]="","-",VLOOKUP(ventas_b_mes1[[#This Row],[CUIT]],Lista_CUIT[#All],2,0)),"CUIT NO CARGADO")</f>
        <v>-</v>
      </c>
      <c r="H824" s="64">
        <f>ventas_b_mes1[[#This Row],[TOTAL]]/1.21</f>
        <v>0</v>
      </c>
      <c r="I824" s="183">
        <f>ventas_b_mes1[[#This Row],[IMPORTE NETO]]*0.21</f>
        <v>0</v>
      </c>
      <c r="J824" s="184"/>
      <c r="K824" s="184"/>
      <c r="L824" s="184"/>
      <c r="M824" s="59"/>
    </row>
    <row r="825" spans="2:13" x14ac:dyDescent="0.3">
      <c r="B825" s="178"/>
      <c r="C825" s="179"/>
      <c r="D825" s="180"/>
      <c r="E825" s="181"/>
      <c r="F825" s="182"/>
      <c r="G825" s="1" t="str">
        <f>IFERROR(IF(ventas_b_mes1[[#This Row],[CUIT]]="","-",VLOOKUP(ventas_b_mes1[[#This Row],[CUIT]],Lista_CUIT[#All],2,0)),"CUIT NO CARGADO")</f>
        <v>-</v>
      </c>
      <c r="H825" s="64">
        <f>ventas_b_mes1[[#This Row],[TOTAL]]/1.21</f>
        <v>0</v>
      </c>
      <c r="I825" s="183">
        <f>ventas_b_mes1[[#This Row],[IMPORTE NETO]]*0.21</f>
        <v>0</v>
      </c>
      <c r="J825" s="184"/>
      <c r="K825" s="184"/>
      <c r="L825" s="184"/>
      <c r="M825" s="59"/>
    </row>
    <row r="826" spans="2:13" x14ac:dyDescent="0.3">
      <c r="B826" s="178"/>
      <c r="C826" s="179"/>
      <c r="D826" s="180"/>
      <c r="E826" s="181"/>
      <c r="F826" s="182"/>
      <c r="G826" s="1" t="str">
        <f>IFERROR(IF(ventas_b_mes1[[#This Row],[CUIT]]="","-",VLOOKUP(ventas_b_mes1[[#This Row],[CUIT]],Lista_CUIT[#All],2,0)),"CUIT NO CARGADO")</f>
        <v>-</v>
      </c>
      <c r="H826" s="64">
        <f>ventas_b_mes1[[#This Row],[TOTAL]]/1.21</f>
        <v>0</v>
      </c>
      <c r="I826" s="183">
        <f>ventas_b_mes1[[#This Row],[IMPORTE NETO]]*0.21</f>
        <v>0</v>
      </c>
      <c r="J826" s="184"/>
      <c r="K826" s="184"/>
      <c r="L826" s="184"/>
      <c r="M826" s="59"/>
    </row>
    <row r="827" spans="2:13" x14ac:dyDescent="0.3">
      <c r="B827" s="178"/>
      <c r="C827" s="179"/>
      <c r="D827" s="180"/>
      <c r="E827" s="181"/>
      <c r="F827" s="182"/>
      <c r="G827" s="1" t="str">
        <f>IFERROR(IF(ventas_b_mes1[[#This Row],[CUIT]]="","-",VLOOKUP(ventas_b_mes1[[#This Row],[CUIT]],Lista_CUIT[#All],2,0)),"CUIT NO CARGADO")</f>
        <v>-</v>
      </c>
      <c r="H827" s="64">
        <f>ventas_b_mes1[[#This Row],[TOTAL]]/1.21</f>
        <v>0</v>
      </c>
      <c r="I827" s="183">
        <f>ventas_b_mes1[[#This Row],[IMPORTE NETO]]*0.21</f>
        <v>0</v>
      </c>
      <c r="J827" s="184"/>
      <c r="K827" s="184"/>
      <c r="L827" s="184"/>
      <c r="M827" s="59"/>
    </row>
    <row r="828" spans="2:13" x14ac:dyDescent="0.3">
      <c r="B828" s="178"/>
      <c r="C828" s="179"/>
      <c r="D828" s="180"/>
      <c r="E828" s="181"/>
      <c r="F828" s="182"/>
      <c r="G828" s="1" t="str">
        <f>IFERROR(IF(ventas_b_mes1[[#This Row],[CUIT]]="","-",VLOOKUP(ventas_b_mes1[[#This Row],[CUIT]],Lista_CUIT[#All],2,0)),"CUIT NO CARGADO")</f>
        <v>-</v>
      </c>
      <c r="H828" s="64">
        <f>ventas_b_mes1[[#This Row],[TOTAL]]/1.21</f>
        <v>0</v>
      </c>
      <c r="I828" s="183">
        <f>ventas_b_mes1[[#This Row],[IMPORTE NETO]]*0.21</f>
        <v>0</v>
      </c>
      <c r="J828" s="184"/>
      <c r="K828" s="184"/>
      <c r="L828" s="184"/>
      <c r="M828" s="59"/>
    </row>
    <row r="829" spans="2:13" x14ac:dyDescent="0.3">
      <c r="B829" s="178"/>
      <c r="C829" s="179"/>
      <c r="D829" s="180"/>
      <c r="E829" s="181"/>
      <c r="F829" s="182"/>
      <c r="G829" s="1" t="str">
        <f>IFERROR(IF(ventas_b_mes1[[#This Row],[CUIT]]="","-",VLOOKUP(ventas_b_mes1[[#This Row],[CUIT]],Lista_CUIT[#All],2,0)),"CUIT NO CARGADO")</f>
        <v>-</v>
      </c>
      <c r="H829" s="64">
        <f>ventas_b_mes1[[#This Row],[TOTAL]]/1.21</f>
        <v>0</v>
      </c>
      <c r="I829" s="183">
        <f>ventas_b_mes1[[#This Row],[IMPORTE NETO]]*0.21</f>
        <v>0</v>
      </c>
      <c r="J829" s="184"/>
      <c r="K829" s="184"/>
      <c r="L829" s="184"/>
      <c r="M829" s="59"/>
    </row>
    <row r="830" spans="2:13" x14ac:dyDescent="0.3">
      <c r="B830" s="178"/>
      <c r="C830" s="179"/>
      <c r="D830" s="180"/>
      <c r="E830" s="181"/>
      <c r="F830" s="182"/>
      <c r="G830" s="1" t="str">
        <f>IFERROR(IF(ventas_b_mes1[[#This Row],[CUIT]]="","-",VLOOKUP(ventas_b_mes1[[#This Row],[CUIT]],Lista_CUIT[#All],2,0)),"CUIT NO CARGADO")</f>
        <v>-</v>
      </c>
      <c r="H830" s="64">
        <f>ventas_b_mes1[[#This Row],[TOTAL]]/1.21</f>
        <v>0</v>
      </c>
      <c r="I830" s="183">
        <f>ventas_b_mes1[[#This Row],[IMPORTE NETO]]*0.21</f>
        <v>0</v>
      </c>
      <c r="J830" s="184"/>
      <c r="K830" s="184"/>
      <c r="L830" s="184"/>
      <c r="M830" s="59"/>
    </row>
    <row r="831" spans="2:13" x14ac:dyDescent="0.3">
      <c r="B831" s="178"/>
      <c r="C831" s="179"/>
      <c r="D831" s="180"/>
      <c r="E831" s="181"/>
      <c r="F831" s="182"/>
      <c r="G831" s="1" t="str">
        <f>IFERROR(IF(ventas_b_mes1[[#This Row],[CUIT]]="","-",VLOOKUP(ventas_b_mes1[[#This Row],[CUIT]],Lista_CUIT[#All],2,0)),"CUIT NO CARGADO")</f>
        <v>-</v>
      </c>
      <c r="H831" s="64">
        <f>ventas_b_mes1[[#This Row],[TOTAL]]/1.21</f>
        <v>0</v>
      </c>
      <c r="I831" s="183">
        <f>ventas_b_mes1[[#This Row],[IMPORTE NETO]]*0.21</f>
        <v>0</v>
      </c>
      <c r="J831" s="184"/>
      <c r="K831" s="184"/>
      <c r="L831" s="184"/>
      <c r="M831" s="59"/>
    </row>
    <row r="832" spans="2:13" x14ac:dyDescent="0.3">
      <c r="B832" s="178"/>
      <c r="C832" s="179"/>
      <c r="D832" s="180"/>
      <c r="E832" s="181"/>
      <c r="F832" s="182"/>
      <c r="G832" s="1" t="str">
        <f>IFERROR(IF(ventas_b_mes1[[#This Row],[CUIT]]="","-",VLOOKUP(ventas_b_mes1[[#This Row],[CUIT]],Lista_CUIT[#All],2,0)),"CUIT NO CARGADO")</f>
        <v>-</v>
      </c>
      <c r="H832" s="64">
        <f>ventas_b_mes1[[#This Row],[TOTAL]]/1.21</f>
        <v>0</v>
      </c>
      <c r="I832" s="183">
        <f>ventas_b_mes1[[#This Row],[IMPORTE NETO]]*0.21</f>
        <v>0</v>
      </c>
      <c r="J832" s="184"/>
      <c r="K832" s="184"/>
      <c r="L832" s="184"/>
      <c r="M832" s="59"/>
    </row>
    <row r="833" spans="2:13" x14ac:dyDescent="0.3">
      <c r="B833" s="178"/>
      <c r="C833" s="179"/>
      <c r="D833" s="180"/>
      <c r="E833" s="181"/>
      <c r="F833" s="182"/>
      <c r="G833" s="1" t="str">
        <f>IFERROR(IF(ventas_b_mes1[[#This Row],[CUIT]]="","-",VLOOKUP(ventas_b_mes1[[#This Row],[CUIT]],Lista_CUIT[#All],2,0)),"CUIT NO CARGADO")</f>
        <v>-</v>
      </c>
      <c r="H833" s="64">
        <f>ventas_b_mes1[[#This Row],[TOTAL]]/1.21</f>
        <v>0</v>
      </c>
      <c r="I833" s="183">
        <f>ventas_b_mes1[[#This Row],[IMPORTE NETO]]*0.21</f>
        <v>0</v>
      </c>
      <c r="J833" s="184"/>
      <c r="K833" s="184"/>
      <c r="L833" s="184"/>
      <c r="M833" s="59"/>
    </row>
    <row r="834" spans="2:13" x14ac:dyDescent="0.3">
      <c r="B834" s="178"/>
      <c r="C834" s="179"/>
      <c r="D834" s="180"/>
      <c r="E834" s="181"/>
      <c r="F834" s="182"/>
      <c r="G834" s="1" t="str">
        <f>IFERROR(IF(ventas_b_mes1[[#This Row],[CUIT]]="","-",VLOOKUP(ventas_b_mes1[[#This Row],[CUIT]],Lista_CUIT[#All],2,0)),"CUIT NO CARGADO")</f>
        <v>-</v>
      </c>
      <c r="H834" s="64">
        <f>ventas_b_mes1[[#This Row],[TOTAL]]/1.21</f>
        <v>0</v>
      </c>
      <c r="I834" s="183">
        <f>ventas_b_mes1[[#This Row],[IMPORTE NETO]]*0.21</f>
        <v>0</v>
      </c>
      <c r="J834" s="184"/>
      <c r="K834" s="184"/>
      <c r="L834" s="184"/>
      <c r="M834" s="59"/>
    </row>
    <row r="835" spans="2:13" x14ac:dyDescent="0.3">
      <c r="B835" s="178"/>
      <c r="C835" s="179"/>
      <c r="D835" s="180"/>
      <c r="E835" s="181"/>
      <c r="F835" s="182"/>
      <c r="G835" s="1" t="str">
        <f>IFERROR(IF(ventas_b_mes1[[#This Row],[CUIT]]="","-",VLOOKUP(ventas_b_mes1[[#This Row],[CUIT]],Lista_CUIT[#All],2,0)),"CUIT NO CARGADO")</f>
        <v>-</v>
      </c>
      <c r="H835" s="64">
        <f>ventas_b_mes1[[#This Row],[TOTAL]]/1.21</f>
        <v>0</v>
      </c>
      <c r="I835" s="183">
        <f>ventas_b_mes1[[#This Row],[IMPORTE NETO]]*0.21</f>
        <v>0</v>
      </c>
      <c r="J835" s="184"/>
      <c r="K835" s="184"/>
      <c r="L835" s="184"/>
      <c r="M835" s="59"/>
    </row>
    <row r="836" spans="2:13" x14ac:dyDescent="0.3">
      <c r="B836" s="178"/>
      <c r="C836" s="179"/>
      <c r="D836" s="180"/>
      <c r="E836" s="181"/>
      <c r="F836" s="182"/>
      <c r="G836" s="1" t="str">
        <f>IFERROR(IF(ventas_b_mes1[[#This Row],[CUIT]]="","-",VLOOKUP(ventas_b_mes1[[#This Row],[CUIT]],Lista_CUIT[#All],2,0)),"CUIT NO CARGADO")</f>
        <v>-</v>
      </c>
      <c r="H836" s="64">
        <f>ventas_b_mes1[[#This Row],[TOTAL]]/1.21</f>
        <v>0</v>
      </c>
      <c r="I836" s="183">
        <f>ventas_b_mes1[[#This Row],[IMPORTE NETO]]*0.21</f>
        <v>0</v>
      </c>
      <c r="J836" s="184"/>
      <c r="K836" s="184"/>
      <c r="L836" s="184"/>
      <c r="M836" s="59"/>
    </row>
    <row r="837" spans="2:13" x14ac:dyDescent="0.3">
      <c r="B837" s="178"/>
      <c r="C837" s="179"/>
      <c r="D837" s="180"/>
      <c r="E837" s="181"/>
      <c r="F837" s="182"/>
      <c r="G837" s="1" t="str">
        <f>IFERROR(IF(ventas_b_mes1[[#This Row],[CUIT]]="","-",VLOOKUP(ventas_b_mes1[[#This Row],[CUIT]],Lista_CUIT[#All],2,0)),"CUIT NO CARGADO")</f>
        <v>-</v>
      </c>
      <c r="H837" s="64">
        <f>ventas_b_mes1[[#This Row],[TOTAL]]/1.21</f>
        <v>0</v>
      </c>
      <c r="I837" s="183">
        <f>ventas_b_mes1[[#This Row],[IMPORTE NETO]]*0.21</f>
        <v>0</v>
      </c>
      <c r="J837" s="184"/>
      <c r="K837" s="184"/>
      <c r="L837" s="184"/>
      <c r="M837" s="59"/>
    </row>
    <row r="838" spans="2:13" x14ac:dyDescent="0.3">
      <c r="B838" s="178"/>
      <c r="C838" s="179"/>
      <c r="D838" s="180"/>
      <c r="E838" s="181"/>
      <c r="F838" s="182"/>
      <c r="G838" s="1" t="str">
        <f>IFERROR(IF(ventas_b_mes1[[#This Row],[CUIT]]="","-",VLOOKUP(ventas_b_mes1[[#This Row],[CUIT]],Lista_CUIT[#All],2,0)),"CUIT NO CARGADO")</f>
        <v>-</v>
      </c>
      <c r="H838" s="64">
        <f>ventas_b_mes1[[#This Row],[TOTAL]]/1.21</f>
        <v>0</v>
      </c>
      <c r="I838" s="183">
        <f>ventas_b_mes1[[#This Row],[IMPORTE NETO]]*0.21</f>
        <v>0</v>
      </c>
      <c r="J838" s="184"/>
      <c r="K838" s="184"/>
      <c r="L838" s="184"/>
      <c r="M838" s="59"/>
    </row>
    <row r="839" spans="2:13" x14ac:dyDescent="0.3">
      <c r="B839" s="178"/>
      <c r="C839" s="179"/>
      <c r="D839" s="180"/>
      <c r="E839" s="181"/>
      <c r="F839" s="182"/>
      <c r="G839" s="1" t="str">
        <f>IFERROR(IF(ventas_b_mes1[[#This Row],[CUIT]]="","-",VLOOKUP(ventas_b_mes1[[#This Row],[CUIT]],Lista_CUIT[#All],2,0)),"CUIT NO CARGADO")</f>
        <v>-</v>
      </c>
      <c r="H839" s="64">
        <f>ventas_b_mes1[[#This Row],[TOTAL]]/1.21</f>
        <v>0</v>
      </c>
      <c r="I839" s="183">
        <f>ventas_b_mes1[[#This Row],[IMPORTE NETO]]*0.21</f>
        <v>0</v>
      </c>
      <c r="J839" s="184"/>
      <c r="K839" s="184"/>
      <c r="L839" s="184"/>
      <c r="M839" s="59"/>
    </row>
    <row r="840" spans="2:13" x14ac:dyDescent="0.3">
      <c r="B840" s="178"/>
      <c r="C840" s="179"/>
      <c r="D840" s="180"/>
      <c r="E840" s="181"/>
      <c r="F840" s="182"/>
      <c r="G840" s="1" t="str">
        <f>IFERROR(IF(ventas_b_mes1[[#This Row],[CUIT]]="","-",VLOOKUP(ventas_b_mes1[[#This Row],[CUIT]],Lista_CUIT[#All],2,0)),"CUIT NO CARGADO")</f>
        <v>-</v>
      </c>
      <c r="H840" s="64">
        <f>ventas_b_mes1[[#This Row],[TOTAL]]/1.21</f>
        <v>0</v>
      </c>
      <c r="I840" s="183">
        <f>ventas_b_mes1[[#This Row],[IMPORTE NETO]]*0.21</f>
        <v>0</v>
      </c>
      <c r="J840" s="184"/>
      <c r="K840" s="184"/>
      <c r="L840" s="184"/>
      <c r="M840" s="59"/>
    </row>
    <row r="841" spans="2:13" x14ac:dyDescent="0.3">
      <c r="B841" s="178"/>
      <c r="C841" s="179"/>
      <c r="D841" s="180"/>
      <c r="E841" s="181"/>
      <c r="F841" s="182"/>
      <c r="G841" s="1" t="str">
        <f>IFERROR(IF(ventas_b_mes1[[#This Row],[CUIT]]="","-",VLOOKUP(ventas_b_mes1[[#This Row],[CUIT]],Lista_CUIT[#All],2,0)),"CUIT NO CARGADO")</f>
        <v>-</v>
      </c>
      <c r="H841" s="64">
        <f>ventas_b_mes1[[#This Row],[TOTAL]]/1.21</f>
        <v>0</v>
      </c>
      <c r="I841" s="183">
        <f>ventas_b_mes1[[#This Row],[IMPORTE NETO]]*0.21</f>
        <v>0</v>
      </c>
      <c r="J841" s="184"/>
      <c r="K841" s="184"/>
      <c r="L841" s="184"/>
      <c r="M841" s="59"/>
    </row>
    <row r="842" spans="2:13" x14ac:dyDescent="0.3">
      <c r="B842" s="178"/>
      <c r="C842" s="179"/>
      <c r="D842" s="180"/>
      <c r="E842" s="181"/>
      <c r="F842" s="182"/>
      <c r="G842" s="1" t="str">
        <f>IFERROR(IF(ventas_b_mes1[[#This Row],[CUIT]]="","-",VLOOKUP(ventas_b_mes1[[#This Row],[CUIT]],Lista_CUIT[#All],2,0)),"CUIT NO CARGADO")</f>
        <v>-</v>
      </c>
      <c r="H842" s="64">
        <f>ventas_b_mes1[[#This Row],[TOTAL]]/1.21</f>
        <v>0</v>
      </c>
      <c r="I842" s="183">
        <f>ventas_b_mes1[[#This Row],[IMPORTE NETO]]*0.21</f>
        <v>0</v>
      </c>
      <c r="J842" s="184"/>
      <c r="K842" s="184"/>
      <c r="L842" s="184"/>
      <c r="M842" s="59"/>
    </row>
    <row r="843" spans="2:13" x14ac:dyDescent="0.3">
      <c r="B843" s="178"/>
      <c r="C843" s="179"/>
      <c r="D843" s="180"/>
      <c r="E843" s="181"/>
      <c r="F843" s="182"/>
      <c r="G843" s="1" t="str">
        <f>IFERROR(IF(ventas_b_mes1[[#This Row],[CUIT]]="","-",VLOOKUP(ventas_b_mes1[[#This Row],[CUIT]],Lista_CUIT[#All],2,0)),"CUIT NO CARGADO")</f>
        <v>-</v>
      </c>
      <c r="H843" s="64">
        <f>ventas_b_mes1[[#This Row],[TOTAL]]/1.21</f>
        <v>0</v>
      </c>
      <c r="I843" s="183">
        <f>ventas_b_mes1[[#This Row],[IMPORTE NETO]]*0.21</f>
        <v>0</v>
      </c>
      <c r="J843" s="184"/>
      <c r="K843" s="184"/>
      <c r="L843" s="184"/>
      <c r="M843" s="59"/>
    </row>
    <row r="844" spans="2:13" x14ac:dyDescent="0.3">
      <c r="B844" s="178"/>
      <c r="C844" s="179"/>
      <c r="D844" s="180"/>
      <c r="E844" s="181"/>
      <c r="F844" s="182"/>
      <c r="G844" s="1" t="str">
        <f>IFERROR(IF(ventas_b_mes1[[#This Row],[CUIT]]="","-",VLOOKUP(ventas_b_mes1[[#This Row],[CUIT]],Lista_CUIT[#All],2,0)),"CUIT NO CARGADO")</f>
        <v>-</v>
      </c>
      <c r="H844" s="64">
        <f>ventas_b_mes1[[#This Row],[TOTAL]]/1.21</f>
        <v>0</v>
      </c>
      <c r="I844" s="183">
        <f>ventas_b_mes1[[#This Row],[IMPORTE NETO]]*0.21</f>
        <v>0</v>
      </c>
      <c r="J844" s="184"/>
      <c r="K844" s="184"/>
      <c r="L844" s="184"/>
      <c r="M844" s="59"/>
    </row>
    <row r="845" spans="2:13" x14ac:dyDescent="0.3">
      <c r="B845" s="178"/>
      <c r="C845" s="179"/>
      <c r="D845" s="180"/>
      <c r="E845" s="181"/>
      <c r="F845" s="182"/>
      <c r="G845" s="1" t="str">
        <f>IFERROR(IF(ventas_b_mes1[[#This Row],[CUIT]]="","-",VLOOKUP(ventas_b_mes1[[#This Row],[CUIT]],Lista_CUIT[#All],2,0)),"CUIT NO CARGADO")</f>
        <v>-</v>
      </c>
      <c r="H845" s="64">
        <f>ventas_b_mes1[[#This Row],[TOTAL]]/1.21</f>
        <v>0</v>
      </c>
      <c r="I845" s="183">
        <f>ventas_b_mes1[[#This Row],[IMPORTE NETO]]*0.21</f>
        <v>0</v>
      </c>
      <c r="J845" s="184"/>
      <c r="K845" s="184"/>
      <c r="L845" s="184"/>
      <c r="M845" s="59"/>
    </row>
    <row r="846" spans="2:13" x14ac:dyDescent="0.3">
      <c r="B846" s="178"/>
      <c r="C846" s="179"/>
      <c r="D846" s="180"/>
      <c r="E846" s="181"/>
      <c r="F846" s="182"/>
      <c r="G846" s="1" t="str">
        <f>IFERROR(IF(ventas_b_mes1[[#This Row],[CUIT]]="","-",VLOOKUP(ventas_b_mes1[[#This Row],[CUIT]],Lista_CUIT[#All],2,0)),"CUIT NO CARGADO")</f>
        <v>-</v>
      </c>
      <c r="H846" s="64">
        <f>ventas_b_mes1[[#This Row],[TOTAL]]/1.21</f>
        <v>0</v>
      </c>
      <c r="I846" s="183">
        <f>ventas_b_mes1[[#This Row],[IMPORTE NETO]]*0.21</f>
        <v>0</v>
      </c>
      <c r="J846" s="184"/>
      <c r="K846" s="184"/>
      <c r="L846" s="184"/>
      <c r="M846" s="59"/>
    </row>
    <row r="847" spans="2:13" x14ac:dyDescent="0.3">
      <c r="B847" s="178"/>
      <c r="C847" s="179"/>
      <c r="D847" s="180"/>
      <c r="E847" s="181"/>
      <c r="F847" s="182"/>
      <c r="G847" s="1" t="str">
        <f>IFERROR(IF(ventas_b_mes1[[#This Row],[CUIT]]="","-",VLOOKUP(ventas_b_mes1[[#This Row],[CUIT]],Lista_CUIT[#All],2,0)),"CUIT NO CARGADO")</f>
        <v>-</v>
      </c>
      <c r="H847" s="64">
        <f>ventas_b_mes1[[#This Row],[TOTAL]]/1.21</f>
        <v>0</v>
      </c>
      <c r="I847" s="183">
        <f>ventas_b_mes1[[#This Row],[IMPORTE NETO]]*0.21</f>
        <v>0</v>
      </c>
      <c r="J847" s="184"/>
      <c r="K847" s="184"/>
      <c r="L847" s="184"/>
      <c r="M847" s="59"/>
    </row>
    <row r="848" spans="2:13" x14ac:dyDescent="0.3">
      <c r="B848" s="178"/>
      <c r="C848" s="179"/>
      <c r="D848" s="180"/>
      <c r="E848" s="181"/>
      <c r="F848" s="182"/>
      <c r="G848" s="1" t="str">
        <f>IFERROR(IF(ventas_b_mes1[[#This Row],[CUIT]]="","-",VLOOKUP(ventas_b_mes1[[#This Row],[CUIT]],Lista_CUIT[#All],2,0)),"CUIT NO CARGADO")</f>
        <v>-</v>
      </c>
      <c r="H848" s="64">
        <f>ventas_b_mes1[[#This Row],[TOTAL]]/1.21</f>
        <v>0</v>
      </c>
      <c r="I848" s="183">
        <f>ventas_b_mes1[[#This Row],[IMPORTE NETO]]*0.21</f>
        <v>0</v>
      </c>
      <c r="J848" s="184"/>
      <c r="K848" s="184"/>
      <c r="L848" s="184"/>
      <c r="M848" s="59"/>
    </row>
    <row r="849" spans="2:13" x14ac:dyDescent="0.3">
      <c r="B849" s="178"/>
      <c r="C849" s="179"/>
      <c r="D849" s="180"/>
      <c r="E849" s="181"/>
      <c r="F849" s="182"/>
      <c r="G849" s="1" t="str">
        <f>IFERROR(IF(ventas_b_mes1[[#This Row],[CUIT]]="","-",VLOOKUP(ventas_b_mes1[[#This Row],[CUIT]],Lista_CUIT[#All],2,0)),"CUIT NO CARGADO")</f>
        <v>-</v>
      </c>
      <c r="H849" s="64">
        <f>ventas_b_mes1[[#This Row],[TOTAL]]/1.21</f>
        <v>0</v>
      </c>
      <c r="I849" s="183">
        <f>ventas_b_mes1[[#This Row],[IMPORTE NETO]]*0.21</f>
        <v>0</v>
      </c>
      <c r="J849" s="184"/>
      <c r="K849" s="184"/>
      <c r="L849" s="184"/>
      <c r="M849" s="59"/>
    </row>
    <row r="850" spans="2:13" x14ac:dyDescent="0.3">
      <c r="B850" s="178"/>
      <c r="C850" s="179"/>
      <c r="D850" s="180"/>
      <c r="E850" s="181"/>
      <c r="F850" s="182"/>
      <c r="G850" s="1" t="str">
        <f>IFERROR(IF(ventas_b_mes1[[#This Row],[CUIT]]="","-",VLOOKUP(ventas_b_mes1[[#This Row],[CUIT]],Lista_CUIT[#All],2,0)),"CUIT NO CARGADO")</f>
        <v>-</v>
      </c>
      <c r="H850" s="64">
        <f>ventas_b_mes1[[#This Row],[TOTAL]]/1.21</f>
        <v>0</v>
      </c>
      <c r="I850" s="183">
        <f>ventas_b_mes1[[#This Row],[IMPORTE NETO]]*0.21</f>
        <v>0</v>
      </c>
      <c r="J850" s="184"/>
      <c r="K850" s="184"/>
      <c r="L850" s="184"/>
      <c r="M850" s="59"/>
    </row>
    <row r="851" spans="2:13" x14ac:dyDescent="0.3">
      <c r="B851" s="178"/>
      <c r="C851" s="179"/>
      <c r="D851" s="180"/>
      <c r="E851" s="181"/>
      <c r="F851" s="182"/>
      <c r="G851" s="1" t="str">
        <f>IFERROR(IF(ventas_b_mes1[[#This Row],[CUIT]]="","-",VLOOKUP(ventas_b_mes1[[#This Row],[CUIT]],Lista_CUIT[#All],2,0)),"CUIT NO CARGADO")</f>
        <v>-</v>
      </c>
      <c r="H851" s="64">
        <f>ventas_b_mes1[[#This Row],[TOTAL]]/1.21</f>
        <v>0</v>
      </c>
      <c r="I851" s="183">
        <f>ventas_b_mes1[[#This Row],[IMPORTE NETO]]*0.21</f>
        <v>0</v>
      </c>
      <c r="J851" s="184"/>
      <c r="K851" s="184"/>
      <c r="L851" s="184"/>
      <c r="M851" s="59"/>
    </row>
    <row r="852" spans="2:13" x14ac:dyDescent="0.3">
      <c r="B852" s="178"/>
      <c r="C852" s="179"/>
      <c r="D852" s="180"/>
      <c r="E852" s="181"/>
      <c r="F852" s="182"/>
      <c r="G852" s="1" t="str">
        <f>IFERROR(IF(ventas_b_mes1[[#This Row],[CUIT]]="","-",VLOOKUP(ventas_b_mes1[[#This Row],[CUIT]],Lista_CUIT[#All],2,0)),"CUIT NO CARGADO")</f>
        <v>-</v>
      </c>
      <c r="H852" s="64">
        <f>ventas_b_mes1[[#This Row],[TOTAL]]/1.21</f>
        <v>0</v>
      </c>
      <c r="I852" s="183">
        <f>ventas_b_mes1[[#This Row],[IMPORTE NETO]]*0.21</f>
        <v>0</v>
      </c>
      <c r="J852" s="184"/>
      <c r="K852" s="184"/>
      <c r="L852" s="184"/>
      <c r="M852" s="59"/>
    </row>
    <row r="853" spans="2:13" x14ac:dyDescent="0.3">
      <c r="B853" s="178"/>
      <c r="C853" s="179"/>
      <c r="D853" s="180"/>
      <c r="E853" s="181"/>
      <c r="F853" s="182"/>
      <c r="G853" s="1" t="str">
        <f>IFERROR(IF(ventas_b_mes1[[#This Row],[CUIT]]="","-",VLOOKUP(ventas_b_mes1[[#This Row],[CUIT]],Lista_CUIT[#All],2,0)),"CUIT NO CARGADO")</f>
        <v>-</v>
      </c>
      <c r="H853" s="64">
        <f>ventas_b_mes1[[#This Row],[TOTAL]]/1.21</f>
        <v>0</v>
      </c>
      <c r="I853" s="183">
        <f>ventas_b_mes1[[#This Row],[IMPORTE NETO]]*0.21</f>
        <v>0</v>
      </c>
      <c r="J853" s="184"/>
      <c r="K853" s="184"/>
      <c r="L853" s="184"/>
      <c r="M853" s="59"/>
    </row>
    <row r="854" spans="2:13" x14ac:dyDescent="0.3">
      <c r="B854" s="178"/>
      <c r="C854" s="179"/>
      <c r="D854" s="180"/>
      <c r="E854" s="181"/>
      <c r="F854" s="182"/>
      <c r="G854" s="1" t="str">
        <f>IFERROR(IF(ventas_b_mes1[[#This Row],[CUIT]]="","-",VLOOKUP(ventas_b_mes1[[#This Row],[CUIT]],Lista_CUIT[#All],2,0)),"CUIT NO CARGADO")</f>
        <v>-</v>
      </c>
      <c r="H854" s="64">
        <f>ventas_b_mes1[[#This Row],[TOTAL]]/1.21</f>
        <v>0</v>
      </c>
      <c r="I854" s="183">
        <f>ventas_b_mes1[[#This Row],[IMPORTE NETO]]*0.21</f>
        <v>0</v>
      </c>
      <c r="J854" s="184"/>
      <c r="K854" s="184"/>
      <c r="L854" s="184"/>
      <c r="M854" s="59"/>
    </row>
    <row r="855" spans="2:13" x14ac:dyDescent="0.3">
      <c r="B855" s="178"/>
      <c r="C855" s="179"/>
      <c r="D855" s="180"/>
      <c r="E855" s="181"/>
      <c r="F855" s="182"/>
      <c r="G855" s="1" t="str">
        <f>IFERROR(IF(ventas_b_mes1[[#This Row],[CUIT]]="","-",VLOOKUP(ventas_b_mes1[[#This Row],[CUIT]],Lista_CUIT[#All],2,0)),"CUIT NO CARGADO")</f>
        <v>-</v>
      </c>
      <c r="H855" s="64">
        <f>ventas_b_mes1[[#This Row],[TOTAL]]/1.21</f>
        <v>0</v>
      </c>
      <c r="I855" s="183">
        <f>ventas_b_mes1[[#This Row],[IMPORTE NETO]]*0.21</f>
        <v>0</v>
      </c>
      <c r="J855" s="184"/>
      <c r="K855" s="184"/>
      <c r="L855" s="184"/>
      <c r="M855" s="59"/>
    </row>
    <row r="856" spans="2:13" x14ac:dyDescent="0.3">
      <c r="B856" s="178"/>
      <c r="C856" s="179"/>
      <c r="D856" s="180"/>
      <c r="E856" s="181"/>
      <c r="F856" s="182"/>
      <c r="G856" s="1" t="str">
        <f>IFERROR(IF(ventas_b_mes1[[#This Row],[CUIT]]="","-",VLOOKUP(ventas_b_mes1[[#This Row],[CUIT]],Lista_CUIT[#All],2,0)),"CUIT NO CARGADO")</f>
        <v>-</v>
      </c>
      <c r="H856" s="64">
        <f>ventas_b_mes1[[#This Row],[TOTAL]]/1.21</f>
        <v>0</v>
      </c>
      <c r="I856" s="183">
        <f>ventas_b_mes1[[#This Row],[IMPORTE NETO]]*0.21</f>
        <v>0</v>
      </c>
      <c r="J856" s="184"/>
      <c r="K856" s="184"/>
      <c r="L856" s="184"/>
      <c r="M856" s="59"/>
    </row>
    <row r="857" spans="2:13" x14ac:dyDescent="0.3">
      <c r="B857" s="178"/>
      <c r="C857" s="179"/>
      <c r="D857" s="180"/>
      <c r="E857" s="181"/>
      <c r="F857" s="182"/>
      <c r="G857" s="1" t="str">
        <f>IFERROR(IF(ventas_b_mes1[[#This Row],[CUIT]]="","-",VLOOKUP(ventas_b_mes1[[#This Row],[CUIT]],Lista_CUIT[#All],2,0)),"CUIT NO CARGADO")</f>
        <v>-</v>
      </c>
      <c r="H857" s="64">
        <f>ventas_b_mes1[[#This Row],[TOTAL]]/1.21</f>
        <v>0</v>
      </c>
      <c r="I857" s="183">
        <f>ventas_b_mes1[[#This Row],[IMPORTE NETO]]*0.21</f>
        <v>0</v>
      </c>
      <c r="J857" s="184"/>
      <c r="K857" s="184"/>
      <c r="L857" s="184"/>
      <c r="M857" s="59"/>
    </row>
    <row r="858" spans="2:13" x14ac:dyDescent="0.3">
      <c r="B858" s="178"/>
      <c r="C858" s="179"/>
      <c r="D858" s="180"/>
      <c r="E858" s="181"/>
      <c r="F858" s="182"/>
      <c r="G858" s="1" t="str">
        <f>IFERROR(IF(ventas_b_mes1[[#This Row],[CUIT]]="","-",VLOOKUP(ventas_b_mes1[[#This Row],[CUIT]],Lista_CUIT[#All],2,0)),"CUIT NO CARGADO")</f>
        <v>-</v>
      </c>
      <c r="H858" s="64">
        <f>ventas_b_mes1[[#This Row],[TOTAL]]/1.21</f>
        <v>0</v>
      </c>
      <c r="I858" s="183">
        <f>ventas_b_mes1[[#This Row],[IMPORTE NETO]]*0.21</f>
        <v>0</v>
      </c>
      <c r="J858" s="184"/>
      <c r="K858" s="184"/>
      <c r="L858" s="184"/>
      <c r="M858" s="59"/>
    </row>
    <row r="859" spans="2:13" x14ac:dyDescent="0.3">
      <c r="B859" s="178"/>
      <c r="C859" s="179"/>
      <c r="D859" s="180"/>
      <c r="E859" s="181"/>
      <c r="F859" s="182"/>
      <c r="G859" s="1" t="str">
        <f>IFERROR(IF(ventas_b_mes1[[#This Row],[CUIT]]="","-",VLOOKUP(ventas_b_mes1[[#This Row],[CUIT]],Lista_CUIT[#All],2,0)),"CUIT NO CARGADO")</f>
        <v>-</v>
      </c>
      <c r="H859" s="64">
        <f>ventas_b_mes1[[#This Row],[TOTAL]]/1.21</f>
        <v>0</v>
      </c>
      <c r="I859" s="183">
        <f>ventas_b_mes1[[#This Row],[IMPORTE NETO]]*0.21</f>
        <v>0</v>
      </c>
      <c r="J859" s="184"/>
      <c r="K859" s="184"/>
      <c r="L859" s="184"/>
      <c r="M859" s="59"/>
    </row>
    <row r="860" spans="2:13" x14ac:dyDescent="0.3">
      <c r="B860" s="178"/>
      <c r="C860" s="179"/>
      <c r="D860" s="180"/>
      <c r="E860" s="181"/>
      <c r="F860" s="182"/>
      <c r="G860" s="1" t="str">
        <f>IFERROR(IF(ventas_b_mes1[[#This Row],[CUIT]]="","-",VLOOKUP(ventas_b_mes1[[#This Row],[CUIT]],Lista_CUIT[#All],2,0)),"CUIT NO CARGADO")</f>
        <v>-</v>
      </c>
      <c r="H860" s="64">
        <f>ventas_b_mes1[[#This Row],[TOTAL]]/1.21</f>
        <v>0</v>
      </c>
      <c r="I860" s="183">
        <f>ventas_b_mes1[[#This Row],[IMPORTE NETO]]*0.21</f>
        <v>0</v>
      </c>
      <c r="J860" s="184"/>
      <c r="K860" s="184"/>
      <c r="L860" s="184"/>
      <c r="M860" s="59"/>
    </row>
    <row r="861" spans="2:13" x14ac:dyDescent="0.3">
      <c r="B861" s="178"/>
      <c r="C861" s="179"/>
      <c r="D861" s="180"/>
      <c r="E861" s="181"/>
      <c r="F861" s="182"/>
      <c r="G861" s="1" t="str">
        <f>IFERROR(IF(ventas_b_mes1[[#This Row],[CUIT]]="","-",VLOOKUP(ventas_b_mes1[[#This Row],[CUIT]],Lista_CUIT[#All],2,0)),"CUIT NO CARGADO")</f>
        <v>-</v>
      </c>
      <c r="H861" s="64">
        <f>ventas_b_mes1[[#This Row],[TOTAL]]/1.21</f>
        <v>0</v>
      </c>
      <c r="I861" s="183">
        <f>ventas_b_mes1[[#This Row],[IMPORTE NETO]]*0.21</f>
        <v>0</v>
      </c>
      <c r="J861" s="184"/>
      <c r="K861" s="184"/>
      <c r="L861" s="184"/>
      <c r="M861" s="59"/>
    </row>
    <row r="862" spans="2:13" x14ac:dyDescent="0.3">
      <c r="B862" s="178"/>
      <c r="C862" s="179"/>
      <c r="D862" s="180"/>
      <c r="E862" s="181"/>
      <c r="F862" s="182"/>
      <c r="G862" s="1" t="str">
        <f>IFERROR(IF(ventas_b_mes1[[#This Row],[CUIT]]="","-",VLOOKUP(ventas_b_mes1[[#This Row],[CUIT]],Lista_CUIT[#All],2,0)),"CUIT NO CARGADO")</f>
        <v>-</v>
      </c>
      <c r="H862" s="64">
        <f>ventas_b_mes1[[#This Row],[TOTAL]]/1.21</f>
        <v>0</v>
      </c>
      <c r="I862" s="183">
        <f>ventas_b_mes1[[#This Row],[IMPORTE NETO]]*0.21</f>
        <v>0</v>
      </c>
      <c r="J862" s="184"/>
      <c r="K862" s="184"/>
      <c r="L862" s="184"/>
      <c r="M862" s="59"/>
    </row>
    <row r="863" spans="2:13" x14ac:dyDescent="0.3">
      <c r="B863" s="178"/>
      <c r="C863" s="179"/>
      <c r="D863" s="180"/>
      <c r="E863" s="181"/>
      <c r="F863" s="182"/>
      <c r="G863" s="1" t="str">
        <f>IFERROR(IF(ventas_b_mes1[[#This Row],[CUIT]]="","-",VLOOKUP(ventas_b_mes1[[#This Row],[CUIT]],Lista_CUIT[#All],2,0)),"CUIT NO CARGADO")</f>
        <v>-</v>
      </c>
      <c r="H863" s="64">
        <f>ventas_b_mes1[[#This Row],[TOTAL]]/1.21</f>
        <v>0</v>
      </c>
      <c r="I863" s="183">
        <f>ventas_b_mes1[[#This Row],[IMPORTE NETO]]*0.21</f>
        <v>0</v>
      </c>
      <c r="J863" s="184"/>
      <c r="K863" s="184"/>
      <c r="L863" s="184"/>
      <c r="M863" s="59"/>
    </row>
    <row r="864" spans="2:13" x14ac:dyDescent="0.3">
      <c r="B864" s="178"/>
      <c r="C864" s="179"/>
      <c r="D864" s="180"/>
      <c r="E864" s="181"/>
      <c r="F864" s="182"/>
      <c r="G864" s="1" t="str">
        <f>IFERROR(IF(ventas_b_mes1[[#This Row],[CUIT]]="","-",VLOOKUP(ventas_b_mes1[[#This Row],[CUIT]],Lista_CUIT[#All],2,0)),"CUIT NO CARGADO")</f>
        <v>-</v>
      </c>
      <c r="H864" s="64">
        <f>ventas_b_mes1[[#This Row],[TOTAL]]/1.21</f>
        <v>0</v>
      </c>
      <c r="I864" s="183">
        <f>ventas_b_mes1[[#This Row],[IMPORTE NETO]]*0.21</f>
        <v>0</v>
      </c>
      <c r="J864" s="184"/>
      <c r="K864" s="184"/>
      <c r="L864" s="184"/>
      <c r="M864" s="59"/>
    </row>
    <row r="865" spans="2:13" x14ac:dyDescent="0.3">
      <c r="B865" s="178"/>
      <c r="C865" s="179"/>
      <c r="D865" s="180"/>
      <c r="E865" s="181"/>
      <c r="F865" s="182"/>
      <c r="G865" s="1" t="str">
        <f>IFERROR(IF(ventas_b_mes1[[#This Row],[CUIT]]="","-",VLOOKUP(ventas_b_mes1[[#This Row],[CUIT]],Lista_CUIT[#All],2,0)),"CUIT NO CARGADO")</f>
        <v>-</v>
      </c>
      <c r="H865" s="64">
        <f>ventas_b_mes1[[#This Row],[TOTAL]]/1.21</f>
        <v>0</v>
      </c>
      <c r="I865" s="183">
        <f>ventas_b_mes1[[#This Row],[IMPORTE NETO]]*0.21</f>
        <v>0</v>
      </c>
      <c r="J865" s="184"/>
      <c r="K865" s="184"/>
      <c r="L865" s="184"/>
      <c r="M865" s="59"/>
    </row>
    <row r="866" spans="2:13" x14ac:dyDescent="0.3">
      <c r="B866" s="178"/>
      <c r="C866" s="179"/>
      <c r="D866" s="180"/>
      <c r="E866" s="181"/>
      <c r="F866" s="182"/>
      <c r="G866" s="1" t="str">
        <f>IFERROR(IF(ventas_b_mes1[[#This Row],[CUIT]]="","-",VLOOKUP(ventas_b_mes1[[#This Row],[CUIT]],Lista_CUIT[#All],2,0)),"CUIT NO CARGADO")</f>
        <v>-</v>
      </c>
      <c r="H866" s="64">
        <f>ventas_b_mes1[[#This Row],[TOTAL]]/1.21</f>
        <v>0</v>
      </c>
      <c r="I866" s="183">
        <f>ventas_b_mes1[[#This Row],[IMPORTE NETO]]*0.21</f>
        <v>0</v>
      </c>
      <c r="J866" s="184"/>
      <c r="K866" s="184"/>
      <c r="L866" s="184"/>
      <c r="M866" s="59"/>
    </row>
    <row r="867" spans="2:13" x14ac:dyDescent="0.3">
      <c r="B867" s="178"/>
      <c r="C867" s="179"/>
      <c r="D867" s="180"/>
      <c r="E867" s="181"/>
      <c r="F867" s="182"/>
      <c r="G867" s="1" t="str">
        <f>IFERROR(IF(ventas_b_mes1[[#This Row],[CUIT]]="","-",VLOOKUP(ventas_b_mes1[[#This Row],[CUIT]],Lista_CUIT[#All],2,0)),"CUIT NO CARGADO")</f>
        <v>-</v>
      </c>
      <c r="H867" s="64">
        <f>ventas_b_mes1[[#This Row],[TOTAL]]/1.21</f>
        <v>0</v>
      </c>
      <c r="I867" s="183">
        <f>ventas_b_mes1[[#This Row],[IMPORTE NETO]]*0.21</f>
        <v>0</v>
      </c>
      <c r="J867" s="184"/>
      <c r="K867" s="184"/>
      <c r="L867" s="184"/>
      <c r="M867" s="59"/>
    </row>
    <row r="868" spans="2:13" x14ac:dyDescent="0.3">
      <c r="B868" s="178"/>
      <c r="C868" s="179"/>
      <c r="D868" s="180"/>
      <c r="E868" s="181"/>
      <c r="F868" s="182"/>
      <c r="G868" s="1" t="str">
        <f>IFERROR(IF(ventas_b_mes1[[#This Row],[CUIT]]="","-",VLOOKUP(ventas_b_mes1[[#This Row],[CUIT]],Lista_CUIT[#All],2,0)),"CUIT NO CARGADO")</f>
        <v>-</v>
      </c>
      <c r="H868" s="64">
        <f>ventas_b_mes1[[#This Row],[TOTAL]]/1.21</f>
        <v>0</v>
      </c>
      <c r="I868" s="183">
        <f>ventas_b_mes1[[#This Row],[IMPORTE NETO]]*0.21</f>
        <v>0</v>
      </c>
      <c r="J868" s="184"/>
      <c r="K868" s="184"/>
      <c r="L868" s="184"/>
      <c r="M868" s="59"/>
    </row>
    <row r="869" spans="2:13" x14ac:dyDescent="0.3">
      <c r="B869" s="178"/>
      <c r="C869" s="179"/>
      <c r="D869" s="180"/>
      <c r="E869" s="181"/>
      <c r="F869" s="182"/>
      <c r="G869" s="1" t="str">
        <f>IFERROR(IF(ventas_b_mes1[[#This Row],[CUIT]]="","-",VLOOKUP(ventas_b_mes1[[#This Row],[CUIT]],Lista_CUIT[#All],2,0)),"CUIT NO CARGADO")</f>
        <v>-</v>
      </c>
      <c r="H869" s="64">
        <f>ventas_b_mes1[[#This Row],[TOTAL]]/1.21</f>
        <v>0</v>
      </c>
      <c r="I869" s="183">
        <f>ventas_b_mes1[[#This Row],[IMPORTE NETO]]*0.21</f>
        <v>0</v>
      </c>
      <c r="J869" s="184"/>
      <c r="K869" s="184"/>
      <c r="L869" s="184"/>
      <c r="M869" s="59"/>
    </row>
    <row r="870" spans="2:13" x14ac:dyDescent="0.3">
      <c r="B870" s="178"/>
      <c r="C870" s="179"/>
      <c r="D870" s="180"/>
      <c r="E870" s="181"/>
      <c r="F870" s="182"/>
      <c r="G870" s="1" t="str">
        <f>IFERROR(IF(ventas_b_mes1[[#This Row],[CUIT]]="","-",VLOOKUP(ventas_b_mes1[[#This Row],[CUIT]],Lista_CUIT[#All],2,0)),"CUIT NO CARGADO")</f>
        <v>-</v>
      </c>
      <c r="H870" s="64">
        <f>ventas_b_mes1[[#This Row],[TOTAL]]/1.21</f>
        <v>0</v>
      </c>
      <c r="I870" s="183">
        <f>ventas_b_mes1[[#This Row],[IMPORTE NETO]]*0.21</f>
        <v>0</v>
      </c>
      <c r="J870" s="184"/>
      <c r="K870" s="184"/>
      <c r="L870" s="184"/>
      <c r="M870" s="59"/>
    </row>
    <row r="871" spans="2:13" x14ac:dyDescent="0.3">
      <c r="B871" s="178"/>
      <c r="C871" s="179"/>
      <c r="D871" s="180"/>
      <c r="E871" s="181"/>
      <c r="F871" s="182"/>
      <c r="G871" s="1" t="str">
        <f>IFERROR(IF(ventas_b_mes1[[#This Row],[CUIT]]="","-",VLOOKUP(ventas_b_mes1[[#This Row],[CUIT]],Lista_CUIT[#All],2,0)),"CUIT NO CARGADO")</f>
        <v>-</v>
      </c>
      <c r="H871" s="64">
        <f>ventas_b_mes1[[#This Row],[TOTAL]]/1.21</f>
        <v>0</v>
      </c>
      <c r="I871" s="183">
        <f>ventas_b_mes1[[#This Row],[IMPORTE NETO]]*0.21</f>
        <v>0</v>
      </c>
      <c r="J871" s="184"/>
      <c r="K871" s="184"/>
      <c r="L871" s="184"/>
      <c r="M871" s="59"/>
    </row>
    <row r="872" spans="2:13" x14ac:dyDescent="0.3">
      <c r="B872" s="178"/>
      <c r="C872" s="179"/>
      <c r="D872" s="180"/>
      <c r="E872" s="181"/>
      <c r="F872" s="182"/>
      <c r="G872" s="1" t="str">
        <f>IFERROR(IF(ventas_b_mes1[[#This Row],[CUIT]]="","-",VLOOKUP(ventas_b_mes1[[#This Row],[CUIT]],Lista_CUIT[#All],2,0)),"CUIT NO CARGADO")</f>
        <v>-</v>
      </c>
      <c r="H872" s="64">
        <f>ventas_b_mes1[[#This Row],[TOTAL]]/1.21</f>
        <v>0</v>
      </c>
      <c r="I872" s="183">
        <f>ventas_b_mes1[[#This Row],[IMPORTE NETO]]*0.21</f>
        <v>0</v>
      </c>
      <c r="J872" s="184"/>
      <c r="K872" s="184"/>
      <c r="L872" s="184"/>
      <c r="M872" s="59"/>
    </row>
    <row r="873" spans="2:13" x14ac:dyDescent="0.3">
      <c r="B873" s="178"/>
      <c r="C873" s="179"/>
      <c r="D873" s="180"/>
      <c r="E873" s="181"/>
      <c r="F873" s="182"/>
      <c r="G873" s="1" t="str">
        <f>IFERROR(IF(ventas_b_mes1[[#This Row],[CUIT]]="","-",VLOOKUP(ventas_b_mes1[[#This Row],[CUIT]],Lista_CUIT[#All],2,0)),"CUIT NO CARGADO")</f>
        <v>-</v>
      </c>
      <c r="H873" s="64">
        <f>ventas_b_mes1[[#This Row],[TOTAL]]/1.21</f>
        <v>0</v>
      </c>
      <c r="I873" s="183">
        <f>ventas_b_mes1[[#This Row],[IMPORTE NETO]]*0.21</f>
        <v>0</v>
      </c>
      <c r="J873" s="184"/>
      <c r="K873" s="184"/>
      <c r="L873" s="184"/>
      <c r="M873" s="59"/>
    </row>
    <row r="874" spans="2:13" x14ac:dyDescent="0.3">
      <c r="B874" s="178"/>
      <c r="C874" s="179"/>
      <c r="D874" s="180"/>
      <c r="E874" s="181"/>
      <c r="F874" s="182"/>
      <c r="G874" s="1" t="str">
        <f>IFERROR(IF(ventas_b_mes1[[#This Row],[CUIT]]="","-",VLOOKUP(ventas_b_mes1[[#This Row],[CUIT]],Lista_CUIT[#All],2,0)),"CUIT NO CARGADO")</f>
        <v>-</v>
      </c>
      <c r="H874" s="64">
        <f>ventas_b_mes1[[#This Row],[TOTAL]]/1.21</f>
        <v>0</v>
      </c>
      <c r="I874" s="183">
        <f>ventas_b_mes1[[#This Row],[IMPORTE NETO]]*0.21</f>
        <v>0</v>
      </c>
      <c r="J874" s="184"/>
      <c r="K874" s="184"/>
      <c r="L874" s="184"/>
      <c r="M874" s="59"/>
    </row>
    <row r="875" spans="2:13" x14ac:dyDescent="0.3">
      <c r="B875" s="178"/>
      <c r="C875" s="179"/>
      <c r="D875" s="180"/>
      <c r="E875" s="181"/>
      <c r="F875" s="182"/>
      <c r="G875" s="1" t="str">
        <f>IFERROR(IF(ventas_b_mes1[[#This Row],[CUIT]]="","-",VLOOKUP(ventas_b_mes1[[#This Row],[CUIT]],Lista_CUIT[#All],2,0)),"CUIT NO CARGADO")</f>
        <v>-</v>
      </c>
      <c r="H875" s="64">
        <f>ventas_b_mes1[[#This Row],[TOTAL]]/1.21</f>
        <v>0</v>
      </c>
      <c r="I875" s="183">
        <f>ventas_b_mes1[[#This Row],[IMPORTE NETO]]*0.21</f>
        <v>0</v>
      </c>
      <c r="J875" s="184"/>
      <c r="K875" s="184"/>
      <c r="L875" s="184"/>
      <c r="M875" s="59"/>
    </row>
    <row r="876" spans="2:13" x14ac:dyDescent="0.3">
      <c r="B876" s="178"/>
      <c r="C876" s="179"/>
      <c r="D876" s="180"/>
      <c r="E876" s="181"/>
      <c r="F876" s="182"/>
      <c r="G876" s="1" t="str">
        <f>IFERROR(IF(ventas_b_mes1[[#This Row],[CUIT]]="","-",VLOOKUP(ventas_b_mes1[[#This Row],[CUIT]],Lista_CUIT[#All],2,0)),"CUIT NO CARGADO")</f>
        <v>-</v>
      </c>
      <c r="H876" s="64">
        <f>ventas_b_mes1[[#This Row],[TOTAL]]/1.21</f>
        <v>0</v>
      </c>
      <c r="I876" s="183">
        <f>ventas_b_mes1[[#This Row],[IMPORTE NETO]]*0.21</f>
        <v>0</v>
      </c>
      <c r="J876" s="184"/>
      <c r="K876" s="184"/>
      <c r="L876" s="184"/>
      <c r="M876" s="59"/>
    </row>
    <row r="877" spans="2:13" x14ac:dyDescent="0.3">
      <c r="B877" s="178"/>
      <c r="C877" s="179"/>
      <c r="D877" s="180"/>
      <c r="E877" s="181"/>
      <c r="F877" s="182"/>
      <c r="G877" s="1" t="str">
        <f>IFERROR(IF(ventas_b_mes1[[#This Row],[CUIT]]="","-",VLOOKUP(ventas_b_mes1[[#This Row],[CUIT]],Lista_CUIT[#All],2,0)),"CUIT NO CARGADO")</f>
        <v>-</v>
      </c>
      <c r="H877" s="64">
        <f>ventas_b_mes1[[#This Row],[TOTAL]]/1.21</f>
        <v>0</v>
      </c>
      <c r="I877" s="183">
        <f>ventas_b_mes1[[#This Row],[IMPORTE NETO]]*0.21</f>
        <v>0</v>
      </c>
      <c r="J877" s="184"/>
      <c r="K877" s="184"/>
      <c r="L877" s="184"/>
      <c r="M877" s="59"/>
    </row>
    <row r="878" spans="2:13" x14ac:dyDescent="0.3">
      <c r="B878" s="178"/>
      <c r="C878" s="179"/>
      <c r="D878" s="180"/>
      <c r="E878" s="181"/>
      <c r="F878" s="182"/>
      <c r="G878" s="1" t="str">
        <f>IFERROR(IF(ventas_b_mes1[[#This Row],[CUIT]]="","-",VLOOKUP(ventas_b_mes1[[#This Row],[CUIT]],Lista_CUIT[#All],2,0)),"CUIT NO CARGADO")</f>
        <v>-</v>
      </c>
      <c r="H878" s="64">
        <f>ventas_b_mes1[[#This Row],[TOTAL]]/1.21</f>
        <v>0</v>
      </c>
      <c r="I878" s="183">
        <f>ventas_b_mes1[[#This Row],[IMPORTE NETO]]*0.21</f>
        <v>0</v>
      </c>
      <c r="J878" s="184"/>
      <c r="K878" s="184"/>
      <c r="L878" s="184"/>
      <c r="M878" s="59"/>
    </row>
    <row r="879" spans="2:13" x14ac:dyDescent="0.3">
      <c r="B879" s="178"/>
      <c r="C879" s="179"/>
      <c r="D879" s="180"/>
      <c r="E879" s="181"/>
      <c r="F879" s="182"/>
      <c r="G879" s="1" t="str">
        <f>IFERROR(IF(ventas_b_mes1[[#This Row],[CUIT]]="","-",VLOOKUP(ventas_b_mes1[[#This Row],[CUIT]],Lista_CUIT[#All],2,0)),"CUIT NO CARGADO")</f>
        <v>-</v>
      </c>
      <c r="H879" s="64">
        <f>ventas_b_mes1[[#This Row],[TOTAL]]/1.21</f>
        <v>0</v>
      </c>
      <c r="I879" s="183">
        <f>ventas_b_mes1[[#This Row],[IMPORTE NETO]]*0.21</f>
        <v>0</v>
      </c>
      <c r="J879" s="184"/>
      <c r="K879" s="184"/>
      <c r="L879" s="184"/>
      <c r="M879" s="59"/>
    </row>
    <row r="880" spans="2:13" x14ac:dyDescent="0.3">
      <c r="B880" s="178"/>
      <c r="C880" s="179"/>
      <c r="D880" s="180"/>
      <c r="E880" s="181"/>
      <c r="F880" s="182"/>
      <c r="G880" s="1" t="str">
        <f>IFERROR(IF(ventas_b_mes1[[#This Row],[CUIT]]="","-",VLOOKUP(ventas_b_mes1[[#This Row],[CUIT]],Lista_CUIT[#All],2,0)),"CUIT NO CARGADO")</f>
        <v>-</v>
      </c>
      <c r="H880" s="64">
        <f>ventas_b_mes1[[#This Row],[TOTAL]]/1.21</f>
        <v>0</v>
      </c>
      <c r="I880" s="183">
        <f>ventas_b_mes1[[#This Row],[IMPORTE NETO]]*0.21</f>
        <v>0</v>
      </c>
      <c r="J880" s="184"/>
      <c r="K880" s="184"/>
      <c r="L880" s="184"/>
      <c r="M880" s="59"/>
    </row>
    <row r="881" spans="2:13" x14ac:dyDescent="0.3">
      <c r="B881" s="178"/>
      <c r="C881" s="179"/>
      <c r="D881" s="180"/>
      <c r="E881" s="181"/>
      <c r="F881" s="182"/>
      <c r="G881" s="1" t="str">
        <f>IFERROR(IF(ventas_b_mes1[[#This Row],[CUIT]]="","-",VLOOKUP(ventas_b_mes1[[#This Row],[CUIT]],Lista_CUIT[#All],2,0)),"CUIT NO CARGADO")</f>
        <v>-</v>
      </c>
      <c r="H881" s="64">
        <f>ventas_b_mes1[[#This Row],[TOTAL]]/1.21</f>
        <v>0</v>
      </c>
      <c r="I881" s="183">
        <f>ventas_b_mes1[[#This Row],[IMPORTE NETO]]*0.21</f>
        <v>0</v>
      </c>
      <c r="J881" s="184"/>
      <c r="K881" s="184"/>
      <c r="L881" s="184"/>
      <c r="M881" s="59"/>
    </row>
    <row r="882" spans="2:13" x14ac:dyDescent="0.3">
      <c r="B882" s="178"/>
      <c r="C882" s="179"/>
      <c r="D882" s="180"/>
      <c r="E882" s="181"/>
      <c r="F882" s="182"/>
      <c r="G882" s="1" t="str">
        <f>IFERROR(IF(ventas_b_mes1[[#This Row],[CUIT]]="","-",VLOOKUP(ventas_b_mes1[[#This Row],[CUIT]],Lista_CUIT[#All],2,0)),"CUIT NO CARGADO")</f>
        <v>-</v>
      </c>
      <c r="H882" s="64">
        <f>ventas_b_mes1[[#This Row],[TOTAL]]/1.21</f>
        <v>0</v>
      </c>
      <c r="I882" s="183">
        <f>ventas_b_mes1[[#This Row],[IMPORTE NETO]]*0.21</f>
        <v>0</v>
      </c>
      <c r="J882" s="184"/>
      <c r="K882" s="184"/>
      <c r="L882" s="184"/>
      <c r="M882" s="59"/>
    </row>
    <row r="883" spans="2:13" x14ac:dyDescent="0.3">
      <c r="B883" s="178"/>
      <c r="C883" s="179"/>
      <c r="D883" s="180"/>
      <c r="E883" s="181"/>
      <c r="F883" s="182"/>
      <c r="G883" s="1" t="str">
        <f>IFERROR(IF(ventas_b_mes1[[#This Row],[CUIT]]="","-",VLOOKUP(ventas_b_mes1[[#This Row],[CUIT]],Lista_CUIT[#All],2,0)),"CUIT NO CARGADO")</f>
        <v>-</v>
      </c>
      <c r="H883" s="64">
        <f>ventas_b_mes1[[#This Row],[TOTAL]]/1.21</f>
        <v>0</v>
      </c>
      <c r="I883" s="183">
        <f>ventas_b_mes1[[#This Row],[IMPORTE NETO]]*0.21</f>
        <v>0</v>
      </c>
      <c r="J883" s="184"/>
      <c r="K883" s="184"/>
      <c r="L883" s="184"/>
      <c r="M883" s="59"/>
    </row>
    <row r="884" spans="2:13" x14ac:dyDescent="0.3">
      <c r="B884" s="178"/>
      <c r="C884" s="179"/>
      <c r="D884" s="180"/>
      <c r="E884" s="181"/>
      <c r="F884" s="182"/>
      <c r="G884" s="1" t="str">
        <f>IFERROR(IF(ventas_b_mes1[[#This Row],[CUIT]]="","-",VLOOKUP(ventas_b_mes1[[#This Row],[CUIT]],Lista_CUIT[#All],2,0)),"CUIT NO CARGADO")</f>
        <v>-</v>
      </c>
      <c r="H884" s="64">
        <f>ventas_b_mes1[[#This Row],[TOTAL]]/1.21</f>
        <v>0</v>
      </c>
      <c r="I884" s="183">
        <f>ventas_b_mes1[[#This Row],[IMPORTE NETO]]*0.21</f>
        <v>0</v>
      </c>
      <c r="J884" s="184"/>
      <c r="K884" s="184"/>
      <c r="L884" s="184"/>
      <c r="M884" s="59"/>
    </row>
    <row r="885" spans="2:13" x14ac:dyDescent="0.3">
      <c r="B885" s="178"/>
      <c r="C885" s="179"/>
      <c r="D885" s="180"/>
      <c r="E885" s="181"/>
      <c r="F885" s="182"/>
      <c r="G885" s="1" t="str">
        <f>IFERROR(IF(ventas_b_mes1[[#This Row],[CUIT]]="","-",VLOOKUP(ventas_b_mes1[[#This Row],[CUIT]],Lista_CUIT[#All],2,0)),"CUIT NO CARGADO")</f>
        <v>-</v>
      </c>
      <c r="H885" s="64">
        <f>ventas_b_mes1[[#This Row],[TOTAL]]/1.21</f>
        <v>0</v>
      </c>
      <c r="I885" s="183">
        <f>ventas_b_mes1[[#This Row],[IMPORTE NETO]]*0.21</f>
        <v>0</v>
      </c>
      <c r="J885" s="184"/>
      <c r="K885" s="184"/>
      <c r="L885" s="184"/>
      <c r="M885" s="59"/>
    </row>
    <row r="886" spans="2:13" x14ac:dyDescent="0.3">
      <c r="B886" s="178"/>
      <c r="C886" s="179"/>
      <c r="D886" s="180"/>
      <c r="E886" s="181"/>
      <c r="F886" s="182"/>
      <c r="G886" s="1" t="str">
        <f>IFERROR(IF(ventas_b_mes1[[#This Row],[CUIT]]="","-",VLOOKUP(ventas_b_mes1[[#This Row],[CUIT]],Lista_CUIT[#All],2,0)),"CUIT NO CARGADO")</f>
        <v>-</v>
      </c>
      <c r="H886" s="64">
        <f>ventas_b_mes1[[#This Row],[TOTAL]]/1.21</f>
        <v>0</v>
      </c>
      <c r="I886" s="183">
        <f>ventas_b_mes1[[#This Row],[IMPORTE NETO]]*0.21</f>
        <v>0</v>
      </c>
      <c r="J886" s="184"/>
      <c r="K886" s="184"/>
      <c r="L886" s="184"/>
      <c r="M886" s="59"/>
    </row>
    <row r="887" spans="2:13" x14ac:dyDescent="0.3">
      <c r="B887" s="178"/>
      <c r="C887" s="179"/>
      <c r="D887" s="180"/>
      <c r="E887" s="181"/>
      <c r="F887" s="182"/>
      <c r="G887" s="1" t="str">
        <f>IFERROR(IF(ventas_b_mes1[[#This Row],[CUIT]]="","-",VLOOKUP(ventas_b_mes1[[#This Row],[CUIT]],Lista_CUIT[#All],2,0)),"CUIT NO CARGADO")</f>
        <v>-</v>
      </c>
      <c r="H887" s="64">
        <f>ventas_b_mes1[[#This Row],[TOTAL]]/1.21</f>
        <v>0</v>
      </c>
      <c r="I887" s="183">
        <f>ventas_b_mes1[[#This Row],[IMPORTE NETO]]*0.21</f>
        <v>0</v>
      </c>
      <c r="J887" s="184"/>
      <c r="K887" s="184"/>
      <c r="L887" s="184"/>
      <c r="M887" s="59"/>
    </row>
    <row r="888" spans="2:13" x14ac:dyDescent="0.3">
      <c r="B888" s="178"/>
      <c r="C888" s="179"/>
      <c r="D888" s="180"/>
      <c r="E888" s="181"/>
      <c r="F888" s="182"/>
      <c r="G888" s="1" t="str">
        <f>IFERROR(IF(ventas_b_mes1[[#This Row],[CUIT]]="","-",VLOOKUP(ventas_b_mes1[[#This Row],[CUIT]],Lista_CUIT[#All],2,0)),"CUIT NO CARGADO")</f>
        <v>-</v>
      </c>
      <c r="H888" s="64">
        <f>ventas_b_mes1[[#This Row],[TOTAL]]/1.21</f>
        <v>0</v>
      </c>
      <c r="I888" s="183">
        <f>ventas_b_mes1[[#This Row],[IMPORTE NETO]]*0.21</f>
        <v>0</v>
      </c>
      <c r="J888" s="184"/>
      <c r="K888" s="184"/>
      <c r="L888" s="184"/>
      <c r="M888" s="59"/>
    </row>
    <row r="889" spans="2:13" x14ac:dyDescent="0.3">
      <c r="B889" s="178"/>
      <c r="C889" s="179"/>
      <c r="D889" s="180"/>
      <c r="E889" s="181"/>
      <c r="F889" s="182"/>
      <c r="G889" s="1" t="str">
        <f>IFERROR(IF(ventas_b_mes1[[#This Row],[CUIT]]="","-",VLOOKUP(ventas_b_mes1[[#This Row],[CUIT]],Lista_CUIT[#All],2,0)),"CUIT NO CARGADO")</f>
        <v>-</v>
      </c>
      <c r="H889" s="64">
        <f>ventas_b_mes1[[#This Row],[TOTAL]]/1.21</f>
        <v>0</v>
      </c>
      <c r="I889" s="183">
        <f>ventas_b_mes1[[#This Row],[IMPORTE NETO]]*0.21</f>
        <v>0</v>
      </c>
      <c r="J889" s="184"/>
      <c r="K889" s="184"/>
      <c r="L889" s="184"/>
      <c r="M889" s="59"/>
    </row>
    <row r="890" spans="2:13" x14ac:dyDescent="0.3">
      <c r="B890" s="178"/>
      <c r="C890" s="179"/>
      <c r="D890" s="180"/>
      <c r="E890" s="181"/>
      <c r="F890" s="182"/>
      <c r="G890" s="1" t="str">
        <f>IFERROR(IF(ventas_b_mes1[[#This Row],[CUIT]]="","-",VLOOKUP(ventas_b_mes1[[#This Row],[CUIT]],Lista_CUIT[#All],2,0)),"CUIT NO CARGADO")</f>
        <v>-</v>
      </c>
      <c r="H890" s="64">
        <f>ventas_b_mes1[[#This Row],[TOTAL]]/1.21</f>
        <v>0</v>
      </c>
      <c r="I890" s="183">
        <f>ventas_b_mes1[[#This Row],[IMPORTE NETO]]*0.21</f>
        <v>0</v>
      </c>
      <c r="J890" s="184"/>
      <c r="K890" s="184"/>
      <c r="L890" s="184"/>
      <c r="M890" s="59"/>
    </row>
    <row r="891" spans="2:13" x14ac:dyDescent="0.3">
      <c r="B891" s="178"/>
      <c r="C891" s="179"/>
      <c r="D891" s="180"/>
      <c r="E891" s="181"/>
      <c r="F891" s="182"/>
      <c r="G891" s="1" t="str">
        <f>IFERROR(IF(ventas_b_mes1[[#This Row],[CUIT]]="","-",VLOOKUP(ventas_b_mes1[[#This Row],[CUIT]],Lista_CUIT[#All],2,0)),"CUIT NO CARGADO")</f>
        <v>-</v>
      </c>
      <c r="H891" s="64">
        <f>ventas_b_mes1[[#This Row],[TOTAL]]/1.21</f>
        <v>0</v>
      </c>
      <c r="I891" s="183">
        <f>ventas_b_mes1[[#This Row],[IMPORTE NETO]]*0.21</f>
        <v>0</v>
      </c>
      <c r="J891" s="184"/>
      <c r="K891" s="184"/>
      <c r="L891" s="184"/>
      <c r="M891" s="59"/>
    </row>
    <row r="892" spans="2:13" x14ac:dyDescent="0.3">
      <c r="B892" s="178"/>
      <c r="C892" s="179"/>
      <c r="D892" s="180"/>
      <c r="E892" s="181"/>
      <c r="F892" s="182"/>
      <c r="G892" s="1" t="str">
        <f>IFERROR(IF(ventas_b_mes1[[#This Row],[CUIT]]="","-",VLOOKUP(ventas_b_mes1[[#This Row],[CUIT]],Lista_CUIT[#All],2,0)),"CUIT NO CARGADO")</f>
        <v>-</v>
      </c>
      <c r="H892" s="64">
        <f>ventas_b_mes1[[#This Row],[TOTAL]]/1.21</f>
        <v>0</v>
      </c>
      <c r="I892" s="183">
        <f>ventas_b_mes1[[#This Row],[IMPORTE NETO]]*0.21</f>
        <v>0</v>
      </c>
      <c r="J892" s="184"/>
      <c r="K892" s="184"/>
      <c r="L892" s="184"/>
      <c r="M892" s="59"/>
    </row>
    <row r="893" spans="2:13" x14ac:dyDescent="0.3">
      <c r="B893" s="178"/>
      <c r="C893" s="179"/>
      <c r="D893" s="180"/>
      <c r="E893" s="181"/>
      <c r="F893" s="182"/>
      <c r="G893" s="1" t="str">
        <f>IFERROR(IF(ventas_b_mes1[[#This Row],[CUIT]]="","-",VLOOKUP(ventas_b_mes1[[#This Row],[CUIT]],Lista_CUIT[#All],2,0)),"CUIT NO CARGADO")</f>
        <v>-</v>
      </c>
      <c r="H893" s="64">
        <f>ventas_b_mes1[[#This Row],[TOTAL]]/1.21</f>
        <v>0</v>
      </c>
      <c r="I893" s="183">
        <f>ventas_b_mes1[[#This Row],[IMPORTE NETO]]*0.21</f>
        <v>0</v>
      </c>
      <c r="J893" s="184"/>
      <c r="K893" s="184"/>
      <c r="L893" s="184"/>
      <c r="M893" s="59"/>
    </row>
    <row r="894" spans="2:13" x14ac:dyDescent="0.3">
      <c r="B894" s="178"/>
      <c r="C894" s="179"/>
      <c r="D894" s="180"/>
      <c r="E894" s="181"/>
      <c r="F894" s="182"/>
      <c r="G894" s="1" t="str">
        <f>IFERROR(IF(ventas_b_mes1[[#This Row],[CUIT]]="","-",VLOOKUP(ventas_b_mes1[[#This Row],[CUIT]],Lista_CUIT[#All],2,0)),"CUIT NO CARGADO")</f>
        <v>-</v>
      </c>
      <c r="H894" s="64">
        <f>ventas_b_mes1[[#This Row],[TOTAL]]/1.21</f>
        <v>0</v>
      </c>
      <c r="I894" s="183">
        <f>ventas_b_mes1[[#This Row],[IMPORTE NETO]]*0.21</f>
        <v>0</v>
      </c>
      <c r="J894" s="184"/>
      <c r="K894" s="184"/>
      <c r="L894" s="184"/>
      <c r="M894" s="59"/>
    </row>
    <row r="895" spans="2:13" x14ac:dyDescent="0.3">
      <c r="B895" s="178"/>
      <c r="C895" s="179"/>
      <c r="D895" s="180"/>
      <c r="E895" s="181"/>
      <c r="F895" s="182"/>
      <c r="G895" s="1" t="str">
        <f>IFERROR(IF(ventas_b_mes1[[#This Row],[CUIT]]="","-",VLOOKUP(ventas_b_mes1[[#This Row],[CUIT]],Lista_CUIT[#All],2,0)),"CUIT NO CARGADO")</f>
        <v>-</v>
      </c>
      <c r="H895" s="64">
        <f>ventas_b_mes1[[#This Row],[TOTAL]]/1.21</f>
        <v>0</v>
      </c>
      <c r="I895" s="183">
        <f>ventas_b_mes1[[#This Row],[IMPORTE NETO]]*0.21</f>
        <v>0</v>
      </c>
      <c r="J895" s="184"/>
      <c r="K895" s="184"/>
      <c r="L895" s="184"/>
      <c r="M895" s="59"/>
    </row>
    <row r="896" spans="2:13" x14ac:dyDescent="0.3">
      <c r="B896" s="178"/>
      <c r="C896" s="179"/>
      <c r="D896" s="180"/>
      <c r="E896" s="181"/>
      <c r="F896" s="182"/>
      <c r="G896" s="1" t="str">
        <f>IFERROR(IF(ventas_b_mes1[[#This Row],[CUIT]]="","-",VLOOKUP(ventas_b_mes1[[#This Row],[CUIT]],Lista_CUIT[#All],2,0)),"CUIT NO CARGADO")</f>
        <v>-</v>
      </c>
      <c r="H896" s="64">
        <f>ventas_b_mes1[[#This Row],[TOTAL]]/1.21</f>
        <v>0</v>
      </c>
      <c r="I896" s="183">
        <f>ventas_b_mes1[[#This Row],[IMPORTE NETO]]*0.21</f>
        <v>0</v>
      </c>
      <c r="J896" s="184"/>
      <c r="K896" s="184"/>
      <c r="L896" s="184"/>
      <c r="M896" s="59"/>
    </row>
    <row r="897" spans="2:13" x14ac:dyDescent="0.3">
      <c r="B897" s="178"/>
      <c r="C897" s="179"/>
      <c r="D897" s="180"/>
      <c r="E897" s="181"/>
      <c r="F897" s="182"/>
      <c r="G897" s="1" t="str">
        <f>IFERROR(IF(ventas_b_mes1[[#This Row],[CUIT]]="","-",VLOOKUP(ventas_b_mes1[[#This Row],[CUIT]],Lista_CUIT[#All],2,0)),"CUIT NO CARGADO")</f>
        <v>-</v>
      </c>
      <c r="H897" s="64">
        <f>ventas_b_mes1[[#This Row],[TOTAL]]/1.21</f>
        <v>0</v>
      </c>
      <c r="I897" s="183">
        <f>ventas_b_mes1[[#This Row],[IMPORTE NETO]]*0.21</f>
        <v>0</v>
      </c>
      <c r="J897" s="184"/>
      <c r="K897" s="184"/>
      <c r="L897" s="184"/>
      <c r="M897" s="59"/>
    </row>
    <row r="898" spans="2:13" x14ac:dyDescent="0.3">
      <c r="B898" s="178"/>
      <c r="C898" s="179"/>
      <c r="D898" s="180"/>
      <c r="E898" s="181"/>
      <c r="F898" s="182"/>
      <c r="G898" s="1" t="str">
        <f>IFERROR(IF(ventas_b_mes1[[#This Row],[CUIT]]="","-",VLOOKUP(ventas_b_mes1[[#This Row],[CUIT]],Lista_CUIT[#All],2,0)),"CUIT NO CARGADO")</f>
        <v>-</v>
      </c>
      <c r="H898" s="64">
        <f>ventas_b_mes1[[#This Row],[TOTAL]]/1.21</f>
        <v>0</v>
      </c>
      <c r="I898" s="183">
        <f>ventas_b_mes1[[#This Row],[IMPORTE NETO]]*0.21</f>
        <v>0</v>
      </c>
      <c r="J898" s="184"/>
      <c r="K898" s="184"/>
      <c r="L898" s="184"/>
      <c r="M898" s="59"/>
    </row>
    <row r="899" spans="2:13" x14ac:dyDescent="0.3">
      <c r="B899" s="178"/>
      <c r="C899" s="179"/>
      <c r="D899" s="180"/>
      <c r="E899" s="181"/>
      <c r="F899" s="182"/>
      <c r="G899" s="1" t="str">
        <f>IFERROR(IF(ventas_b_mes1[[#This Row],[CUIT]]="","-",VLOOKUP(ventas_b_mes1[[#This Row],[CUIT]],Lista_CUIT[#All],2,0)),"CUIT NO CARGADO")</f>
        <v>-</v>
      </c>
      <c r="H899" s="64">
        <f>ventas_b_mes1[[#This Row],[TOTAL]]/1.21</f>
        <v>0</v>
      </c>
      <c r="I899" s="183">
        <f>ventas_b_mes1[[#This Row],[IMPORTE NETO]]*0.21</f>
        <v>0</v>
      </c>
      <c r="J899" s="184"/>
      <c r="K899" s="184"/>
      <c r="L899" s="184"/>
      <c r="M899" s="59"/>
    </row>
    <row r="900" spans="2:13" x14ac:dyDescent="0.3">
      <c r="B900" s="178"/>
      <c r="C900" s="179"/>
      <c r="D900" s="180"/>
      <c r="E900" s="181"/>
      <c r="F900" s="182"/>
      <c r="G900" s="1" t="str">
        <f>IFERROR(IF(ventas_b_mes1[[#This Row],[CUIT]]="","-",VLOOKUP(ventas_b_mes1[[#This Row],[CUIT]],Lista_CUIT[#All],2,0)),"CUIT NO CARGADO")</f>
        <v>-</v>
      </c>
      <c r="H900" s="64">
        <f>ventas_b_mes1[[#This Row],[TOTAL]]/1.21</f>
        <v>0</v>
      </c>
      <c r="I900" s="183">
        <f>ventas_b_mes1[[#This Row],[IMPORTE NETO]]*0.21</f>
        <v>0</v>
      </c>
      <c r="J900" s="184"/>
      <c r="K900" s="184"/>
      <c r="L900" s="184"/>
      <c r="M900" s="59"/>
    </row>
    <row r="901" spans="2:13" x14ac:dyDescent="0.3">
      <c r="B901" s="178"/>
      <c r="C901" s="179"/>
      <c r="D901" s="180"/>
      <c r="E901" s="181"/>
      <c r="F901" s="182"/>
      <c r="G901" s="1" t="str">
        <f>IFERROR(IF(ventas_b_mes1[[#This Row],[CUIT]]="","-",VLOOKUP(ventas_b_mes1[[#This Row],[CUIT]],Lista_CUIT[#All],2,0)),"CUIT NO CARGADO")</f>
        <v>-</v>
      </c>
      <c r="H901" s="64">
        <f>ventas_b_mes1[[#This Row],[TOTAL]]/1.21</f>
        <v>0</v>
      </c>
      <c r="I901" s="183">
        <f>ventas_b_mes1[[#This Row],[IMPORTE NETO]]*0.21</f>
        <v>0</v>
      </c>
      <c r="J901" s="184"/>
      <c r="K901" s="184"/>
      <c r="L901" s="184"/>
      <c r="M901" s="59"/>
    </row>
    <row r="902" spans="2:13" x14ac:dyDescent="0.3">
      <c r="B902" s="178"/>
      <c r="C902" s="179"/>
      <c r="D902" s="180"/>
      <c r="E902" s="181"/>
      <c r="F902" s="182"/>
      <c r="G902" s="1" t="str">
        <f>IFERROR(IF(ventas_b_mes1[[#This Row],[CUIT]]="","-",VLOOKUP(ventas_b_mes1[[#This Row],[CUIT]],Lista_CUIT[#All],2,0)),"CUIT NO CARGADO")</f>
        <v>-</v>
      </c>
      <c r="H902" s="64">
        <f>ventas_b_mes1[[#This Row],[TOTAL]]/1.21</f>
        <v>0</v>
      </c>
      <c r="I902" s="183">
        <f>ventas_b_mes1[[#This Row],[IMPORTE NETO]]*0.21</f>
        <v>0</v>
      </c>
      <c r="J902" s="184"/>
      <c r="K902" s="184"/>
      <c r="L902" s="184"/>
      <c r="M902" s="59"/>
    </row>
    <row r="903" spans="2:13" x14ac:dyDescent="0.3">
      <c r="B903" s="178"/>
      <c r="C903" s="179"/>
      <c r="D903" s="180"/>
      <c r="E903" s="181"/>
      <c r="F903" s="182"/>
      <c r="G903" s="1" t="str">
        <f>IFERROR(IF(ventas_b_mes1[[#This Row],[CUIT]]="","-",VLOOKUP(ventas_b_mes1[[#This Row],[CUIT]],Lista_CUIT[#All],2,0)),"CUIT NO CARGADO")</f>
        <v>-</v>
      </c>
      <c r="H903" s="64">
        <f>ventas_b_mes1[[#This Row],[TOTAL]]/1.21</f>
        <v>0</v>
      </c>
      <c r="I903" s="183">
        <f>ventas_b_mes1[[#This Row],[IMPORTE NETO]]*0.21</f>
        <v>0</v>
      </c>
      <c r="J903" s="184"/>
      <c r="K903" s="184"/>
      <c r="L903" s="184"/>
      <c r="M903" s="59"/>
    </row>
    <row r="904" spans="2:13" x14ac:dyDescent="0.3">
      <c r="B904" s="178"/>
      <c r="C904" s="179"/>
      <c r="D904" s="180"/>
      <c r="E904" s="181"/>
      <c r="F904" s="182"/>
      <c r="G904" s="1" t="str">
        <f>IFERROR(IF(ventas_b_mes1[[#This Row],[CUIT]]="","-",VLOOKUP(ventas_b_mes1[[#This Row],[CUIT]],Lista_CUIT[#All],2,0)),"CUIT NO CARGADO")</f>
        <v>-</v>
      </c>
      <c r="H904" s="64">
        <f>ventas_b_mes1[[#This Row],[TOTAL]]/1.21</f>
        <v>0</v>
      </c>
      <c r="I904" s="183">
        <f>ventas_b_mes1[[#This Row],[IMPORTE NETO]]*0.21</f>
        <v>0</v>
      </c>
      <c r="J904" s="184"/>
      <c r="K904" s="184"/>
      <c r="L904" s="184"/>
      <c r="M904" s="59"/>
    </row>
    <row r="905" spans="2:13" x14ac:dyDescent="0.3">
      <c r="B905" s="178"/>
      <c r="C905" s="179"/>
      <c r="D905" s="180"/>
      <c r="E905" s="181"/>
      <c r="F905" s="182"/>
      <c r="G905" s="1" t="str">
        <f>IFERROR(IF(ventas_b_mes1[[#This Row],[CUIT]]="","-",VLOOKUP(ventas_b_mes1[[#This Row],[CUIT]],Lista_CUIT[#All],2,0)),"CUIT NO CARGADO")</f>
        <v>-</v>
      </c>
      <c r="H905" s="64">
        <f>ventas_b_mes1[[#This Row],[TOTAL]]/1.21</f>
        <v>0</v>
      </c>
      <c r="I905" s="183">
        <f>ventas_b_mes1[[#This Row],[IMPORTE NETO]]*0.21</f>
        <v>0</v>
      </c>
      <c r="J905" s="184"/>
      <c r="K905" s="184"/>
      <c r="L905" s="184"/>
      <c r="M905" s="59"/>
    </row>
    <row r="906" spans="2:13" x14ac:dyDescent="0.3">
      <c r="B906" s="178"/>
      <c r="C906" s="179"/>
      <c r="D906" s="180"/>
      <c r="E906" s="181"/>
      <c r="F906" s="182"/>
      <c r="G906" s="1" t="str">
        <f>IFERROR(IF(ventas_b_mes1[[#This Row],[CUIT]]="","-",VLOOKUP(ventas_b_mes1[[#This Row],[CUIT]],Lista_CUIT[#All],2,0)),"CUIT NO CARGADO")</f>
        <v>-</v>
      </c>
      <c r="H906" s="64">
        <f>ventas_b_mes1[[#This Row],[TOTAL]]/1.21</f>
        <v>0</v>
      </c>
      <c r="I906" s="183">
        <f>ventas_b_mes1[[#This Row],[IMPORTE NETO]]*0.21</f>
        <v>0</v>
      </c>
      <c r="J906" s="184"/>
      <c r="K906" s="184"/>
      <c r="L906" s="184"/>
      <c r="M906" s="59"/>
    </row>
    <row r="907" spans="2:13" x14ac:dyDescent="0.3">
      <c r="B907" s="178"/>
      <c r="C907" s="179"/>
      <c r="D907" s="180"/>
      <c r="E907" s="181"/>
      <c r="F907" s="182"/>
      <c r="G907" s="1" t="str">
        <f>IFERROR(IF(ventas_b_mes1[[#This Row],[CUIT]]="","-",VLOOKUP(ventas_b_mes1[[#This Row],[CUIT]],Lista_CUIT[#All],2,0)),"CUIT NO CARGADO")</f>
        <v>-</v>
      </c>
      <c r="H907" s="64">
        <f>ventas_b_mes1[[#This Row],[TOTAL]]/1.21</f>
        <v>0</v>
      </c>
      <c r="I907" s="183">
        <f>ventas_b_mes1[[#This Row],[IMPORTE NETO]]*0.21</f>
        <v>0</v>
      </c>
      <c r="J907" s="184"/>
      <c r="K907" s="184"/>
      <c r="L907" s="184"/>
      <c r="M907" s="59"/>
    </row>
    <row r="908" spans="2:13" x14ac:dyDescent="0.3">
      <c r="B908" s="178"/>
      <c r="C908" s="179"/>
      <c r="D908" s="180"/>
      <c r="E908" s="181"/>
      <c r="F908" s="182"/>
      <c r="G908" s="1" t="str">
        <f>IFERROR(IF(ventas_b_mes1[[#This Row],[CUIT]]="","-",VLOOKUP(ventas_b_mes1[[#This Row],[CUIT]],Lista_CUIT[#All],2,0)),"CUIT NO CARGADO")</f>
        <v>-</v>
      </c>
      <c r="H908" s="64">
        <f>ventas_b_mes1[[#This Row],[TOTAL]]/1.21</f>
        <v>0</v>
      </c>
      <c r="I908" s="183">
        <f>ventas_b_mes1[[#This Row],[IMPORTE NETO]]*0.21</f>
        <v>0</v>
      </c>
      <c r="J908" s="184"/>
      <c r="K908" s="184"/>
      <c r="L908" s="184"/>
      <c r="M908" s="59"/>
    </row>
    <row r="909" spans="2:13" x14ac:dyDescent="0.3">
      <c r="B909" s="178"/>
      <c r="C909" s="179"/>
      <c r="D909" s="180"/>
      <c r="E909" s="181"/>
      <c r="F909" s="182"/>
      <c r="G909" s="1" t="str">
        <f>IFERROR(IF(ventas_b_mes1[[#This Row],[CUIT]]="","-",VLOOKUP(ventas_b_mes1[[#This Row],[CUIT]],Lista_CUIT[#All],2,0)),"CUIT NO CARGADO")</f>
        <v>-</v>
      </c>
      <c r="H909" s="64">
        <f>ventas_b_mes1[[#This Row],[TOTAL]]/1.21</f>
        <v>0</v>
      </c>
      <c r="I909" s="183">
        <f>ventas_b_mes1[[#This Row],[IMPORTE NETO]]*0.21</f>
        <v>0</v>
      </c>
      <c r="J909" s="184"/>
      <c r="K909" s="184"/>
      <c r="L909" s="184"/>
      <c r="M909" s="59"/>
    </row>
    <row r="910" spans="2:13" x14ac:dyDescent="0.3">
      <c r="B910" s="178"/>
      <c r="C910" s="179"/>
      <c r="D910" s="180"/>
      <c r="E910" s="181"/>
      <c r="F910" s="182"/>
      <c r="G910" s="1" t="str">
        <f>IFERROR(IF(ventas_b_mes1[[#This Row],[CUIT]]="","-",VLOOKUP(ventas_b_mes1[[#This Row],[CUIT]],Lista_CUIT[#All],2,0)),"CUIT NO CARGADO")</f>
        <v>-</v>
      </c>
      <c r="H910" s="64">
        <f>ventas_b_mes1[[#This Row],[TOTAL]]/1.21</f>
        <v>0</v>
      </c>
      <c r="I910" s="183">
        <f>ventas_b_mes1[[#This Row],[IMPORTE NETO]]*0.21</f>
        <v>0</v>
      </c>
      <c r="J910" s="184"/>
      <c r="K910" s="184"/>
      <c r="L910" s="184"/>
      <c r="M910" s="59"/>
    </row>
    <row r="911" spans="2:13" x14ac:dyDescent="0.3">
      <c r="B911" s="178"/>
      <c r="C911" s="179"/>
      <c r="D911" s="180"/>
      <c r="E911" s="181"/>
      <c r="F911" s="182"/>
      <c r="G911" s="1" t="str">
        <f>IFERROR(IF(ventas_b_mes1[[#This Row],[CUIT]]="","-",VLOOKUP(ventas_b_mes1[[#This Row],[CUIT]],Lista_CUIT[#All],2,0)),"CUIT NO CARGADO")</f>
        <v>-</v>
      </c>
      <c r="H911" s="64">
        <f>ventas_b_mes1[[#This Row],[TOTAL]]/1.21</f>
        <v>0</v>
      </c>
      <c r="I911" s="183">
        <f>ventas_b_mes1[[#This Row],[IMPORTE NETO]]*0.21</f>
        <v>0</v>
      </c>
      <c r="J911" s="184"/>
      <c r="K911" s="184"/>
      <c r="L911" s="184"/>
      <c r="M911" s="59"/>
    </row>
    <row r="912" spans="2:13" x14ac:dyDescent="0.3">
      <c r="B912" s="178"/>
      <c r="C912" s="179"/>
      <c r="D912" s="180"/>
      <c r="E912" s="181"/>
      <c r="F912" s="182"/>
      <c r="G912" s="1" t="str">
        <f>IFERROR(IF(ventas_b_mes1[[#This Row],[CUIT]]="","-",VLOOKUP(ventas_b_mes1[[#This Row],[CUIT]],Lista_CUIT[#All],2,0)),"CUIT NO CARGADO")</f>
        <v>-</v>
      </c>
      <c r="H912" s="64">
        <f>ventas_b_mes1[[#This Row],[TOTAL]]/1.21</f>
        <v>0</v>
      </c>
      <c r="I912" s="183">
        <f>ventas_b_mes1[[#This Row],[IMPORTE NETO]]*0.21</f>
        <v>0</v>
      </c>
      <c r="J912" s="184"/>
      <c r="K912" s="184"/>
      <c r="L912" s="184"/>
      <c r="M912" s="59"/>
    </row>
    <row r="913" spans="2:13" x14ac:dyDescent="0.3">
      <c r="B913" s="178"/>
      <c r="C913" s="179"/>
      <c r="D913" s="180"/>
      <c r="E913" s="181"/>
      <c r="F913" s="182"/>
      <c r="G913" s="1" t="str">
        <f>IFERROR(IF(ventas_b_mes1[[#This Row],[CUIT]]="","-",VLOOKUP(ventas_b_mes1[[#This Row],[CUIT]],Lista_CUIT[#All],2,0)),"CUIT NO CARGADO")</f>
        <v>-</v>
      </c>
      <c r="H913" s="64">
        <f>ventas_b_mes1[[#This Row],[TOTAL]]/1.21</f>
        <v>0</v>
      </c>
      <c r="I913" s="183">
        <f>ventas_b_mes1[[#This Row],[IMPORTE NETO]]*0.21</f>
        <v>0</v>
      </c>
      <c r="J913" s="184"/>
      <c r="K913" s="184"/>
      <c r="L913" s="184"/>
      <c r="M913" s="59"/>
    </row>
    <row r="914" spans="2:13" x14ac:dyDescent="0.3">
      <c r="B914" s="178"/>
      <c r="C914" s="179"/>
      <c r="D914" s="180"/>
      <c r="E914" s="181"/>
      <c r="F914" s="182"/>
      <c r="G914" s="1" t="str">
        <f>IFERROR(IF(ventas_b_mes1[[#This Row],[CUIT]]="","-",VLOOKUP(ventas_b_mes1[[#This Row],[CUIT]],Lista_CUIT[#All],2,0)),"CUIT NO CARGADO")</f>
        <v>-</v>
      </c>
      <c r="H914" s="64">
        <f>ventas_b_mes1[[#This Row],[TOTAL]]/1.21</f>
        <v>0</v>
      </c>
      <c r="I914" s="183">
        <f>ventas_b_mes1[[#This Row],[IMPORTE NETO]]*0.21</f>
        <v>0</v>
      </c>
      <c r="J914" s="184"/>
      <c r="K914" s="184"/>
      <c r="L914" s="184"/>
      <c r="M914" s="59"/>
    </row>
    <row r="915" spans="2:13" x14ac:dyDescent="0.3">
      <c r="B915" s="178"/>
      <c r="C915" s="179"/>
      <c r="D915" s="180"/>
      <c r="E915" s="181"/>
      <c r="F915" s="182"/>
      <c r="G915" s="1" t="str">
        <f>IFERROR(IF(ventas_b_mes1[[#This Row],[CUIT]]="","-",VLOOKUP(ventas_b_mes1[[#This Row],[CUIT]],Lista_CUIT[#All],2,0)),"CUIT NO CARGADO")</f>
        <v>-</v>
      </c>
      <c r="H915" s="64">
        <f>ventas_b_mes1[[#This Row],[TOTAL]]/1.21</f>
        <v>0</v>
      </c>
      <c r="I915" s="183">
        <f>ventas_b_mes1[[#This Row],[IMPORTE NETO]]*0.21</f>
        <v>0</v>
      </c>
      <c r="J915" s="184"/>
      <c r="K915" s="184"/>
      <c r="L915" s="184"/>
      <c r="M915" s="59"/>
    </row>
    <row r="916" spans="2:13" x14ac:dyDescent="0.3">
      <c r="B916" s="178"/>
      <c r="C916" s="179"/>
      <c r="D916" s="180"/>
      <c r="E916" s="181"/>
      <c r="F916" s="182"/>
      <c r="G916" s="1" t="str">
        <f>IFERROR(IF(ventas_b_mes1[[#This Row],[CUIT]]="","-",VLOOKUP(ventas_b_mes1[[#This Row],[CUIT]],Lista_CUIT[#All],2,0)),"CUIT NO CARGADO")</f>
        <v>-</v>
      </c>
      <c r="H916" s="64">
        <f>ventas_b_mes1[[#This Row],[TOTAL]]/1.21</f>
        <v>0</v>
      </c>
      <c r="I916" s="183">
        <f>ventas_b_mes1[[#This Row],[IMPORTE NETO]]*0.21</f>
        <v>0</v>
      </c>
      <c r="J916" s="184"/>
      <c r="K916" s="184"/>
      <c r="L916" s="184"/>
      <c r="M916" s="59"/>
    </row>
    <row r="917" spans="2:13" x14ac:dyDescent="0.3">
      <c r="B917" s="178"/>
      <c r="C917" s="179"/>
      <c r="D917" s="180"/>
      <c r="E917" s="181"/>
      <c r="F917" s="182"/>
      <c r="G917" s="1" t="str">
        <f>IFERROR(IF(ventas_b_mes1[[#This Row],[CUIT]]="","-",VLOOKUP(ventas_b_mes1[[#This Row],[CUIT]],Lista_CUIT[#All],2,0)),"CUIT NO CARGADO")</f>
        <v>-</v>
      </c>
      <c r="H917" s="64">
        <f>ventas_b_mes1[[#This Row],[TOTAL]]/1.21</f>
        <v>0</v>
      </c>
      <c r="I917" s="183">
        <f>ventas_b_mes1[[#This Row],[IMPORTE NETO]]*0.21</f>
        <v>0</v>
      </c>
      <c r="J917" s="184"/>
      <c r="K917" s="184"/>
      <c r="L917" s="184"/>
      <c r="M917" s="59"/>
    </row>
    <row r="918" spans="2:13" x14ac:dyDescent="0.3">
      <c r="B918" s="178"/>
      <c r="C918" s="179"/>
      <c r="D918" s="180"/>
      <c r="E918" s="181"/>
      <c r="F918" s="182"/>
      <c r="G918" s="1" t="str">
        <f>IFERROR(IF(ventas_b_mes1[[#This Row],[CUIT]]="","-",VLOOKUP(ventas_b_mes1[[#This Row],[CUIT]],Lista_CUIT[#All],2,0)),"CUIT NO CARGADO")</f>
        <v>-</v>
      </c>
      <c r="H918" s="64">
        <f>ventas_b_mes1[[#This Row],[TOTAL]]/1.21</f>
        <v>0</v>
      </c>
      <c r="I918" s="183">
        <f>ventas_b_mes1[[#This Row],[IMPORTE NETO]]*0.21</f>
        <v>0</v>
      </c>
      <c r="J918" s="184"/>
      <c r="K918" s="184"/>
      <c r="L918" s="184"/>
      <c r="M918" s="59"/>
    </row>
    <row r="919" spans="2:13" x14ac:dyDescent="0.3">
      <c r="B919" s="178"/>
      <c r="C919" s="179"/>
      <c r="D919" s="180"/>
      <c r="E919" s="181"/>
      <c r="F919" s="182"/>
      <c r="G919" s="1" t="str">
        <f>IFERROR(IF(ventas_b_mes1[[#This Row],[CUIT]]="","-",VLOOKUP(ventas_b_mes1[[#This Row],[CUIT]],Lista_CUIT[#All],2,0)),"CUIT NO CARGADO")</f>
        <v>-</v>
      </c>
      <c r="H919" s="64">
        <f>ventas_b_mes1[[#This Row],[TOTAL]]/1.21</f>
        <v>0</v>
      </c>
      <c r="I919" s="183">
        <f>ventas_b_mes1[[#This Row],[IMPORTE NETO]]*0.21</f>
        <v>0</v>
      </c>
      <c r="J919" s="184"/>
      <c r="K919" s="184"/>
      <c r="L919" s="184"/>
      <c r="M919" s="59"/>
    </row>
    <row r="920" spans="2:13" x14ac:dyDescent="0.3">
      <c r="B920" s="178"/>
      <c r="C920" s="179"/>
      <c r="D920" s="180"/>
      <c r="E920" s="181"/>
      <c r="F920" s="182"/>
      <c r="G920" s="1" t="str">
        <f>IFERROR(IF(ventas_b_mes1[[#This Row],[CUIT]]="","-",VLOOKUP(ventas_b_mes1[[#This Row],[CUIT]],Lista_CUIT[#All],2,0)),"CUIT NO CARGADO")</f>
        <v>-</v>
      </c>
      <c r="H920" s="64">
        <f>ventas_b_mes1[[#This Row],[TOTAL]]/1.21</f>
        <v>0</v>
      </c>
      <c r="I920" s="183">
        <f>ventas_b_mes1[[#This Row],[IMPORTE NETO]]*0.21</f>
        <v>0</v>
      </c>
      <c r="J920" s="184"/>
      <c r="K920" s="184"/>
      <c r="L920" s="184"/>
      <c r="M920" s="59"/>
    </row>
    <row r="921" spans="2:13" x14ac:dyDescent="0.3">
      <c r="B921" s="178"/>
      <c r="C921" s="179"/>
      <c r="D921" s="180"/>
      <c r="E921" s="181"/>
      <c r="F921" s="182"/>
      <c r="G921" s="1" t="str">
        <f>IFERROR(IF(ventas_b_mes1[[#This Row],[CUIT]]="","-",VLOOKUP(ventas_b_mes1[[#This Row],[CUIT]],Lista_CUIT[#All],2,0)),"CUIT NO CARGADO")</f>
        <v>-</v>
      </c>
      <c r="H921" s="64">
        <f>ventas_b_mes1[[#This Row],[TOTAL]]/1.21</f>
        <v>0</v>
      </c>
      <c r="I921" s="183">
        <f>ventas_b_mes1[[#This Row],[IMPORTE NETO]]*0.21</f>
        <v>0</v>
      </c>
      <c r="J921" s="184"/>
      <c r="K921" s="184"/>
      <c r="L921" s="184"/>
      <c r="M921" s="59"/>
    </row>
    <row r="922" spans="2:13" x14ac:dyDescent="0.3">
      <c r="B922" s="178"/>
      <c r="C922" s="179"/>
      <c r="D922" s="180"/>
      <c r="E922" s="181"/>
      <c r="F922" s="182"/>
      <c r="G922" s="1" t="str">
        <f>IFERROR(IF(ventas_b_mes1[[#This Row],[CUIT]]="","-",VLOOKUP(ventas_b_mes1[[#This Row],[CUIT]],Lista_CUIT[#All],2,0)),"CUIT NO CARGADO")</f>
        <v>-</v>
      </c>
      <c r="H922" s="64">
        <f>ventas_b_mes1[[#This Row],[TOTAL]]/1.21</f>
        <v>0</v>
      </c>
      <c r="I922" s="183">
        <f>ventas_b_mes1[[#This Row],[IMPORTE NETO]]*0.21</f>
        <v>0</v>
      </c>
      <c r="J922" s="184"/>
      <c r="K922" s="184"/>
      <c r="L922" s="184"/>
      <c r="M922" s="59"/>
    </row>
    <row r="923" spans="2:13" x14ac:dyDescent="0.3">
      <c r="B923" s="178"/>
      <c r="C923" s="179"/>
      <c r="D923" s="180"/>
      <c r="E923" s="181"/>
      <c r="F923" s="182"/>
      <c r="G923" s="1" t="str">
        <f>IFERROR(IF(ventas_b_mes1[[#This Row],[CUIT]]="","-",VLOOKUP(ventas_b_mes1[[#This Row],[CUIT]],Lista_CUIT[#All],2,0)),"CUIT NO CARGADO")</f>
        <v>-</v>
      </c>
      <c r="H923" s="64">
        <f>ventas_b_mes1[[#This Row],[TOTAL]]/1.21</f>
        <v>0</v>
      </c>
      <c r="I923" s="183">
        <f>ventas_b_mes1[[#This Row],[IMPORTE NETO]]*0.21</f>
        <v>0</v>
      </c>
      <c r="J923" s="184"/>
      <c r="K923" s="184"/>
      <c r="L923" s="184"/>
      <c r="M923" s="59"/>
    </row>
    <row r="924" spans="2:13" x14ac:dyDescent="0.3">
      <c r="B924" s="178"/>
      <c r="C924" s="179"/>
      <c r="D924" s="180"/>
      <c r="E924" s="181"/>
      <c r="F924" s="182"/>
      <c r="G924" s="1" t="str">
        <f>IFERROR(IF(ventas_b_mes1[[#This Row],[CUIT]]="","-",VLOOKUP(ventas_b_mes1[[#This Row],[CUIT]],Lista_CUIT[#All],2,0)),"CUIT NO CARGADO")</f>
        <v>-</v>
      </c>
      <c r="H924" s="64">
        <f>ventas_b_mes1[[#This Row],[TOTAL]]/1.21</f>
        <v>0</v>
      </c>
      <c r="I924" s="183">
        <f>ventas_b_mes1[[#This Row],[IMPORTE NETO]]*0.21</f>
        <v>0</v>
      </c>
      <c r="J924" s="184"/>
      <c r="K924" s="184"/>
      <c r="L924" s="184"/>
      <c r="M924" s="59"/>
    </row>
    <row r="925" spans="2:13" x14ac:dyDescent="0.3">
      <c r="B925" s="178"/>
      <c r="C925" s="179"/>
      <c r="D925" s="180"/>
      <c r="E925" s="181"/>
      <c r="F925" s="182"/>
      <c r="G925" s="1" t="str">
        <f>IFERROR(IF(ventas_b_mes1[[#This Row],[CUIT]]="","-",VLOOKUP(ventas_b_mes1[[#This Row],[CUIT]],Lista_CUIT[#All],2,0)),"CUIT NO CARGADO")</f>
        <v>-</v>
      </c>
      <c r="H925" s="64">
        <f>ventas_b_mes1[[#This Row],[TOTAL]]/1.21</f>
        <v>0</v>
      </c>
      <c r="I925" s="183">
        <f>ventas_b_mes1[[#This Row],[IMPORTE NETO]]*0.21</f>
        <v>0</v>
      </c>
      <c r="J925" s="184"/>
      <c r="K925" s="184"/>
      <c r="L925" s="184"/>
      <c r="M925" s="59"/>
    </row>
    <row r="926" spans="2:13" x14ac:dyDescent="0.3">
      <c r="B926" s="178"/>
      <c r="C926" s="179"/>
      <c r="D926" s="180"/>
      <c r="E926" s="181"/>
      <c r="F926" s="182"/>
      <c r="G926" s="1" t="str">
        <f>IFERROR(IF(ventas_b_mes1[[#This Row],[CUIT]]="","-",VLOOKUP(ventas_b_mes1[[#This Row],[CUIT]],Lista_CUIT[#All],2,0)),"CUIT NO CARGADO")</f>
        <v>-</v>
      </c>
      <c r="H926" s="64">
        <f>ventas_b_mes1[[#This Row],[TOTAL]]/1.21</f>
        <v>0</v>
      </c>
      <c r="I926" s="183">
        <f>ventas_b_mes1[[#This Row],[IMPORTE NETO]]*0.21</f>
        <v>0</v>
      </c>
      <c r="J926" s="184"/>
      <c r="K926" s="184"/>
      <c r="L926" s="184"/>
      <c r="M926" s="59"/>
    </row>
    <row r="927" spans="2:13" x14ac:dyDescent="0.3">
      <c r="B927" s="178"/>
      <c r="C927" s="179"/>
      <c r="D927" s="180"/>
      <c r="E927" s="181"/>
      <c r="F927" s="182"/>
      <c r="G927" s="1" t="str">
        <f>IFERROR(IF(ventas_b_mes1[[#This Row],[CUIT]]="","-",VLOOKUP(ventas_b_mes1[[#This Row],[CUIT]],Lista_CUIT[#All],2,0)),"CUIT NO CARGADO")</f>
        <v>-</v>
      </c>
      <c r="H927" s="64">
        <f>ventas_b_mes1[[#This Row],[TOTAL]]/1.21</f>
        <v>0</v>
      </c>
      <c r="I927" s="183">
        <f>ventas_b_mes1[[#This Row],[IMPORTE NETO]]*0.21</f>
        <v>0</v>
      </c>
      <c r="J927" s="184"/>
      <c r="K927" s="184"/>
      <c r="L927" s="184"/>
      <c r="M927" s="59"/>
    </row>
    <row r="928" spans="2:13" x14ac:dyDescent="0.3">
      <c r="B928" s="178"/>
      <c r="C928" s="179"/>
      <c r="D928" s="180"/>
      <c r="E928" s="181"/>
      <c r="F928" s="182"/>
      <c r="G928" s="1" t="str">
        <f>IFERROR(IF(ventas_b_mes1[[#This Row],[CUIT]]="","-",VLOOKUP(ventas_b_mes1[[#This Row],[CUIT]],Lista_CUIT[#All],2,0)),"CUIT NO CARGADO")</f>
        <v>-</v>
      </c>
      <c r="H928" s="64">
        <f>ventas_b_mes1[[#This Row],[TOTAL]]/1.21</f>
        <v>0</v>
      </c>
      <c r="I928" s="183">
        <f>ventas_b_mes1[[#This Row],[IMPORTE NETO]]*0.21</f>
        <v>0</v>
      </c>
      <c r="J928" s="184"/>
      <c r="K928" s="184"/>
      <c r="L928" s="184"/>
      <c r="M928" s="59"/>
    </row>
    <row r="929" spans="2:13" x14ac:dyDescent="0.3">
      <c r="B929" s="178"/>
      <c r="C929" s="179"/>
      <c r="D929" s="180"/>
      <c r="E929" s="181"/>
      <c r="F929" s="182"/>
      <c r="G929" s="1" t="str">
        <f>IFERROR(IF(ventas_b_mes1[[#This Row],[CUIT]]="","-",VLOOKUP(ventas_b_mes1[[#This Row],[CUIT]],Lista_CUIT[#All],2,0)),"CUIT NO CARGADO")</f>
        <v>-</v>
      </c>
      <c r="H929" s="64">
        <f>ventas_b_mes1[[#This Row],[TOTAL]]/1.21</f>
        <v>0</v>
      </c>
      <c r="I929" s="183">
        <f>ventas_b_mes1[[#This Row],[IMPORTE NETO]]*0.21</f>
        <v>0</v>
      </c>
      <c r="J929" s="184"/>
      <c r="K929" s="184"/>
      <c r="L929" s="184"/>
      <c r="M929" s="59"/>
    </row>
    <row r="930" spans="2:13" x14ac:dyDescent="0.3">
      <c r="B930" s="178"/>
      <c r="C930" s="179"/>
      <c r="D930" s="180"/>
      <c r="E930" s="181"/>
      <c r="F930" s="182"/>
      <c r="G930" s="1" t="str">
        <f>IFERROR(IF(ventas_b_mes1[[#This Row],[CUIT]]="","-",VLOOKUP(ventas_b_mes1[[#This Row],[CUIT]],Lista_CUIT[#All],2,0)),"CUIT NO CARGADO")</f>
        <v>-</v>
      </c>
      <c r="H930" s="64">
        <f>ventas_b_mes1[[#This Row],[TOTAL]]/1.21</f>
        <v>0</v>
      </c>
      <c r="I930" s="183">
        <f>ventas_b_mes1[[#This Row],[IMPORTE NETO]]*0.21</f>
        <v>0</v>
      </c>
      <c r="J930" s="184"/>
      <c r="K930" s="184"/>
      <c r="L930" s="184"/>
      <c r="M930" s="59"/>
    </row>
    <row r="931" spans="2:13" x14ac:dyDescent="0.3">
      <c r="B931" s="178"/>
      <c r="C931" s="179"/>
      <c r="D931" s="180"/>
      <c r="E931" s="181"/>
      <c r="F931" s="182"/>
      <c r="G931" s="1" t="str">
        <f>IFERROR(IF(ventas_b_mes1[[#This Row],[CUIT]]="","-",VLOOKUP(ventas_b_mes1[[#This Row],[CUIT]],Lista_CUIT[#All],2,0)),"CUIT NO CARGADO")</f>
        <v>-</v>
      </c>
      <c r="H931" s="64">
        <f>ventas_b_mes1[[#This Row],[TOTAL]]/1.21</f>
        <v>0</v>
      </c>
      <c r="I931" s="183">
        <f>ventas_b_mes1[[#This Row],[IMPORTE NETO]]*0.21</f>
        <v>0</v>
      </c>
      <c r="J931" s="184"/>
      <c r="K931" s="184"/>
      <c r="L931" s="184"/>
      <c r="M931" s="59"/>
    </row>
    <row r="932" spans="2:13" x14ac:dyDescent="0.3">
      <c r="B932" s="178"/>
      <c r="C932" s="179"/>
      <c r="D932" s="180"/>
      <c r="E932" s="181"/>
      <c r="F932" s="182"/>
      <c r="G932" s="1" t="str">
        <f>IFERROR(IF(ventas_b_mes1[[#This Row],[CUIT]]="","-",VLOOKUP(ventas_b_mes1[[#This Row],[CUIT]],Lista_CUIT[#All],2,0)),"CUIT NO CARGADO")</f>
        <v>-</v>
      </c>
      <c r="H932" s="64">
        <f>ventas_b_mes1[[#This Row],[TOTAL]]/1.21</f>
        <v>0</v>
      </c>
      <c r="I932" s="183">
        <f>ventas_b_mes1[[#This Row],[IMPORTE NETO]]*0.21</f>
        <v>0</v>
      </c>
      <c r="J932" s="184"/>
      <c r="K932" s="184"/>
      <c r="L932" s="184"/>
      <c r="M932" s="59"/>
    </row>
    <row r="933" spans="2:13" x14ac:dyDescent="0.3">
      <c r="B933" s="178"/>
      <c r="C933" s="179"/>
      <c r="D933" s="180"/>
      <c r="E933" s="181"/>
      <c r="F933" s="182"/>
      <c r="G933" s="1" t="str">
        <f>IFERROR(IF(ventas_b_mes1[[#This Row],[CUIT]]="","-",VLOOKUP(ventas_b_mes1[[#This Row],[CUIT]],Lista_CUIT[#All],2,0)),"CUIT NO CARGADO")</f>
        <v>-</v>
      </c>
      <c r="H933" s="64">
        <f>ventas_b_mes1[[#This Row],[TOTAL]]/1.21</f>
        <v>0</v>
      </c>
      <c r="I933" s="183">
        <f>ventas_b_mes1[[#This Row],[IMPORTE NETO]]*0.21</f>
        <v>0</v>
      </c>
      <c r="J933" s="184"/>
      <c r="K933" s="184"/>
      <c r="L933" s="184"/>
      <c r="M933" s="59"/>
    </row>
    <row r="934" spans="2:13" x14ac:dyDescent="0.3">
      <c r="B934" s="178"/>
      <c r="C934" s="179"/>
      <c r="D934" s="180"/>
      <c r="E934" s="181"/>
      <c r="F934" s="182"/>
      <c r="G934" s="1" t="str">
        <f>IFERROR(IF(ventas_b_mes1[[#This Row],[CUIT]]="","-",VLOOKUP(ventas_b_mes1[[#This Row],[CUIT]],Lista_CUIT[#All],2,0)),"CUIT NO CARGADO")</f>
        <v>-</v>
      </c>
      <c r="H934" s="64">
        <f>ventas_b_mes1[[#This Row],[TOTAL]]/1.21</f>
        <v>0</v>
      </c>
      <c r="I934" s="183">
        <f>ventas_b_mes1[[#This Row],[IMPORTE NETO]]*0.21</f>
        <v>0</v>
      </c>
      <c r="J934" s="184"/>
      <c r="K934" s="184"/>
      <c r="L934" s="184"/>
      <c r="M934" s="59"/>
    </row>
    <row r="935" spans="2:13" x14ac:dyDescent="0.3">
      <c r="B935" s="178"/>
      <c r="C935" s="179"/>
      <c r="D935" s="180"/>
      <c r="E935" s="181"/>
      <c r="F935" s="182"/>
      <c r="G935" s="1" t="str">
        <f>IFERROR(IF(ventas_b_mes1[[#This Row],[CUIT]]="","-",VLOOKUP(ventas_b_mes1[[#This Row],[CUIT]],Lista_CUIT[#All],2,0)),"CUIT NO CARGADO")</f>
        <v>-</v>
      </c>
      <c r="H935" s="64">
        <f>ventas_b_mes1[[#This Row],[TOTAL]]/1.21</f>
        <v>0</v>
      </c>
      <c r="I935" s="183">
        <f>ventas_b_mes1[[#This Row],[IMPORTE NETO]]*0.21</f>
        <v>0</v>
      </c>
      <c r="J935" s="184"/>
      <c r="K935" s="184"/>
      <c r="L935" s="184"/>
      <c r="M935" s="59"/>
    </row>
    <row r="936" spans="2:13" x14ac:dyDescent="0.3">
      <c r="B936" s="178"/>
      <c r="C936" s="179"/>
      <c r="D936" s="180"/>
      <c r="E936" s="181"/>
      <c r="F936" s="182"/>
      <c r="G936" s="1" t="str">
        <f>IFERROR(IF(ventas_b_mes1[[#This Row],[CUIT]]="","-",VLOOKUP(ventas_b_mes1[[#This Row],[CUIT]],Lista_CUIT[#All],2,0)),"CUIT NO CARGADO")</f>
        <v>-</v>
      </c>
      <c r="H936" s="64">
        <f>ventas_b_mes1[[#This Row],[TOTAL]]/1.21</f>
        <v>0</v>
      </c>
      <c r="I936" s="183">
        <f>ventas_b_mes1[[#This Row],[IMPORTE NETO]]*0.21</f>
        <v>0</v>
      </c>
      <c r="J936" s="184"/>
      <c r="K936" s="184"/>
      <c r="L936" s="184"/>
      <c r="M936" s="59"/>
    </row>
    <row r="937" spans="2:13" x14ac:dyDescent="0.3">
      <c r="B937" s="178"/>
      <c r="C937" s="179"/>
      <c r="D937" s="180"/>
      <c r="E937" s="181"/>
      <c r="F937" s="182"/>
      <c r="G937" s="1" t="str">
        <f>IFERROR(IF(ventas_b_mes1[[#This Row],[CUIT]]="","-",VLOOKUP(ventas_b_mes1[[#This Row],[CUIT]],Lista_CUIT[#All],2,0)),"CUIT NO CARGADO")</f>
        <v>-</v>
      </c>
      <c r="H937" s="64">
        <f>ventas_b_mes1[[#This Row],[TOTAL]]/1.21</f>
        <v>0</v>
      </c>
      <c r="I937" s="183">
        <f>ventas_b_mes1[[#This Row],[IMPORTE NETO]]*0.21</f>
        <v>0</v>
      </c>
      <c r="J937" s="184"/>
      <c r="K937" s="184"/>
      <c r="L937" s="184"/>
      <c r="M937" s="59"/>
    </row>
    <row r="938" spans="2:13" x14ac:dyDescent="0.3">
      <c r="B938" s="178"/>
      <c r="C938" s="179"/>
      <c r="D938" s="180"/>
      <c r="E938" s="181"/>
      <c r="F938" s="182"/>
      <c r="G938" s="1" t="str">
        <f>IFERROR(IF(ventas_b_mes1[[#This Row],[CUIT]]="","-",VLOOKUP(ventas_b_mes1[[#This Row],[CUIT]],Lista_CUIT[#All],2,0)),"CUIT NO CARGADO")</f>
        <v>-</v>
      </c>
      <c r="H938" s="64">
        <f>ventas_b_mes1[[#This Row],[TOTAL]]/1.21</f>
        <v>0</v>
      </c>
      <c r="I938" s="183">
        <f>ventas_b_mes1[[#This Row],[IMPORTE NETO]]*0.21</f>
        <v>0</v>
      </c>
      <c r="J938" s="184"/>
      <c r="K938" s="184"/>
      <c r="L938" s="184"/>
      <c r="M938" s="59"/>
    </row>
    <row r="939" spans="2:13" x14ac:dyDescent="0.3">
      <c r="B939" s="178"/>
      <c r="C939" s="179"/>
      <c r="D939" s="180"/>
      <c r="E939" s="181"/>
      <c r="F939" s="182"/>
      <c r="G939" s="1" t="str">
        <f>IFERROR(IF(ventas_b_mes1[[#This Row],[CUIT]]="","-",VLOOKUP(ventas_b_mes1[[#This Row],[CUIT]],Lista_CUIT[#All],2,0)),"CUIT NO CARGADO")</f>
        <v>-</v>
      </c>
      <c r="H939" s="64">
        <f>ventas_b_mes1[[#This Row],[TOTAL]]/1.21</f>
        <v>0</v>
      </c>
      <c r="I939" s="183">
        <f>ventas_b_mes1[[#This Row],[IMPORTE NETO]]*0.21</f>
        <v>0</v>
      </c>
      <c r="J939" s="184"/>
      <c r="K939" s="184"/>
      <c r="L939" s="184"/>
      <c r="M939" s="59"/>
    </row>
    <row r="940" spans="2:13" x14ac:dyDescent="0.3">
      <c r="B940" s="178"/>
      <c r="C940" s="179"/>
      <c r="D940" s="180"/>
      <c r="E940" s="181"/>
      <c r="F940" s="182"/>
      <c r="G940" s="1" t="str">
        <f>IFERROR(IF(ventas_b_mes1[[#This Row],[CUIT]]="","-",VLOOKUP(ventas_b_mes1[[#This Row],[CUIT]],Lista_CUIT[#All],2,0)),"CUIT NO CARGADO")</f>
        <v>-</v>
      </c>
      <c r="H940" s="64">
        <f>ventas_b_mes1[[#This Row],[TOTAL]]/1.21</f>
        <v>0</v>
      </c>
      <c r="I940" s="183">
        <f>ventas_b_mes1[[#This Row],[IMPORTE NETO]]*0.21</f>
        <v>0</v>
      </c>
      <c r="J940" s="184"/>
      <c r="K940" s="184"/>
      <c r="L940" s="184"/>
      <c r="M940" s="59"/>
    </row>
    <row r="941" spans="2:13" x14ac:dyDescent="0.3">
      <c r="B941" s="178"/>
      <c r="C941" s="179"/>
      <c r="D941" s="180"/>
      <c r="E941" s="181"/>
      <c r="F941" s="182"/>
      <c r="G941" s="1" t="str">
        <f>IFERROR(IF(ventas_b_mes1[[#This Row],[CUIT]]="","-",VLOOKUP(ventas_b_mes1[[#This Row],[CUIT]],Lista_CUIT[#All],2,0)),"CUIT NO CARGADO")</f>
        <v>-</v>
      </c>
      <c r="H941" s="64">
        <f>ventas_b_mes1[[#This Row],[TOTAL]]/1.21</f>
        <v>0</v>
      </c>
      <c r="I941" s="183">
        <f>ventas_b_mes1[[#This Row],[IMPORTE NETO]]*0.21</f>
        <v>0</v>
      </c>
      <c r="J941" s="184"/>
      <c r="K941" s="184"/>
      <c r="L941" s="184"/>
      <c r="M941" s="59"/>
    </row>
    <row r="942" spans="2:13" x14ac:dyDescent="0.3">
      <c r="B942" s="178"/>
      <c r="C942" s="179"/>
      <c r="D942" s="180"/>
      <c r="E942" s="181"/>
      <c r="F942" s="182"/>
      <c r="G942" s="1" t="str">
        <f>IFERROR(IF(ventas_b_mes1[[#This Row],[CUIT]]="","-",VLOOKUP(ventas_b_mes1[[#This Row],[CUIT]],Lista_CUIT[#All],2,0)),"CUIT NO CARGADO")</f>
        <v>-</v>
      </c>
      <c r="H942" s="64">
        <f>ventas_b_mes1[[#This Row],[TOTAL]]/1.21</f>
        <v>0</v>
      </c>
      <c r="I942" s="183">
        <f>ventas_b_mes1[[#This Row],[IMPORTE NETO]]*0.21</f>
        <v>0</v>
      </c>
      <c r="J942" s="184"/>
      <c r="K942" s="184"/>
      <c r="L942" s="184"/>
      <c r="M942" s="59"/>
    </row>
    <row r="943" spans="2:13" x14ac:dyDescent="0.3">
      <c r="B943" s="178"/>
      <c r="C943" s="179"/>
      <c r="D943" s="180"/>
      <c r="E943" s="181"/>
      <c r="F943" s="182"/>
      <c r="G943" s="1" t="str">
        <f>IFERROR(IF(ventas_b_mes1[[#This Row],[CUIT]]="","-",VLOOKUP(ventas_b_mes1[[#This Row],[CUIT]],Lista_CUIT[#All],2,0)),"CUIT NO CARGADO")</f>
        <v>-</v>
      </c>
      <c r="H943" s="64">
        <f>ventas_b_mes1[[#This Row],[TOTAL]]/1.21</f>
        <v>0</v>
      </c>
      <c r="I943" s="183">
        <f>ventas_b_mes1[[#This Row],[IMPORTE NETO]]*0.21</f>
        <v>0</v>
      </c>
      <c r="J943" s="184"/>
      <c r="K943" s="184"/>
      <c r="L943" s="184"/>
      <c r="M943" s="59"/>
    </row>
    <row r="944" spans="2:13" x14ac:dyDescent="0.3">
      <c r="B944" s="178"/>
      <c r="C944" s="179"/>
      <c r="D944" s="180"/>
      <c r="E944" s="181"/>
      <c r="F944" s="182"/>
      <c r="G944" s="1" t="str">
        <f>IFERROR(IF(ventas_b_mes1[[#This Row],[CUIT]]="","-",VLOOKUP(ventas_b_mes1[[#This Row],[CUIT]],Lista_CUIT[#All],2,0)),"CUIT NO CARGADO")</f>
        <v>-</v>
      </c>
      <c r="H944" s="64">
        <f>ventas_b_mes1[[#This Row],[TOTAL]]/1.21</f>
        <v>0</v>
      </c>
      <c r="I944" s="183">
        <f>ventas_b_mes1[[#This Row],[IMPORTE NETO]]*0.21</f>
        <v>0</v>
      </c>
      <c r="J944" s="184"/>
      <c r="K944" s="184"/>
      <c r="L944" s="184"/>
      <c r="M944" s="59"/>
    </row>
    <row r="945" spans="2:13" x14ac:dyDescent="0.3">
      <c r="B945" s="178"/>
      <c r="C945" s="179"/>
      <c r="D945" s="180"/>
      <c r="E945" s="181"/>
      <c r="F945" s="182"/>
      <c r="G945" s="1" t="str">
        <f>IFERROR(IF(ventas_b_mes1[[#This Row],[CUIT]]="","-",VLOOKUP(ventas_b_mes1[[#This Row],[CUIT]],Lista_CUIT[#All],2,0)),"CUIT NO CARGADO")</f>
        <v>-</v>
      </c>
      <c r="H945" s="64">
        <f>ventas_b_mes1[[#This Row],[TOTAL]]/1.21</f>
        <v>0</v>
      </c>
      <c r="I945" s="183">
        <f>ventas_b_mes1[[#This Row],[IMPORTE NETO]]*0.21</f>
        <v>0</v>
      </c>
      <c r="J945" s="184"/>
      <c r="K945" s="184"/>
      <c r="L945" s="184"/>
      <c r="M945" s="59"/>
    </row>
    <row r="946" spans="2:13" x14ac:dyDescent="0.3">
      <c r="B946" s="178"/>
      <c r="C946" s="179"/>
      <c r="D946" s="180"/>
      <c r="E946" s="181"/>
      <c r="F946" s="182"/>
      <c r="G946" s="1" t="str">
        <f>IFERROR(IF(ventas_b_mes1[[#This Row],[CUIT]]="","-",VLOOKUP(ventas_b_mes1[[#This Row],[CUIT]],Lista_CUIT[#All],2,0)),"CUIT NO CARGADO")</f>
        <v>-</v>
      </c>
      <c r="H946" s="64">
        <f>ventas_b_mes1[[#This Row],[TOTAL]]/1.21</f>
        <v>0</v>
      </c>
      <c r="I946" s="183">
        <f>ventas_b_mes1[[#This Row],[IMPORTE NETO]]*0.21</f>
        <v>0</v>
      </c>
      <c r="J946" s="184"/>
      <c r="K946" s="184"/>
      <c r="L946" s="184"/>
      <c r="M946" s="59"/>
    </row>
    <row r="947" spans="2:13" x14ac:dyDescent="0.3">
      <c r="B947" s="178"/>
      <c r="C947" s="179"/>
      <c r="D947" s="180"/>
      <c r="E947" s="181"/>
      <c r="F947" s="182"/>
      <c r="G947" s="1" t="str">
        <f>IFERROR(IF(ventas_b_mes1[[#This Row],[CUIT]]="","-",VLOOKUP(ventas_b_mes1[[#This Row],[CUIT]],Lista_CUIT[#All],2,0)),"CUIT NO CARGADO")</f>
        <v>-</v>
      </c>
      <c r="H947" s="64">
        <f>ventas_b_mes1[[#This Row],[TOTAL]]/1.21</f>
        <v>0</v>
      </c>
      <c r="I947" s="183">
        <f>ventas_b_mes1[[#This Row],[IMPORTE NETO]]*0.21</f>
        <v>0</v>
      </c>
      <c r="J947" s="184"/>
      <c r="K947" s="184"/>
      <c r="L947" s="184"/>
      <c r="M947" s="59"/>
    </row>
    <row r="948" spans="2:13" x14ac:dyDescent="0.3">
      <c r="B948" s="178"/>
      <c r="C948" s="179"/>
      <c r="D948" s="180"/>
      <c r="E948" s="181"/>
      <c r="F948" s="182"/>
      <c r="G948" s="1" t="str">
        <f>IFERROR(IF(ventas_b_mes1[[#This Row],[CUIT]]="","-",VLOOKUP(ventas_b_mes1[[#This Row],[CUIT]],Lista_CUIT[#All],2,0)),"CUIT NO CARGADO")</f>
        <v>-</v>
      </c>
      <c r="H948" s="64">
        <f>ventas_b_mes1[[#This Row],[TOTAL]]/1.21</f>
        <v>0</v>
      </c>
      <c r="I948" s="183">
        <f>ventas_b_mes1[[#This Row],[IMPORTE NETO]]*0.21</f>
        <v>0</v>
      </c>
      <c r="J948" s="184"/>
      <c r="K948" s="184"/>
      <c r="L948" s="184"/>
      <c r="M948" s="59"/>
    </row>
    <row r="949" spans="2:13" x14ac:dyDescent="0.3">
      <c r="B949" s="178"/>
      <c r="C949" s="179"/>
      <c r="D949" s="180"/>
      <c r="E949" s="181"/>
      <c r="F949" s="182"/>
      <c r="G949" s="1" t="str">
        <f>IFERROR(IF(ventas_b_mes1[[#This Row],[CUIT]]="","-",VLOOKUP(ventas_b_mes1[[#This Row],[CUIT]],Lista_CUIT[#All],2,0)),"CUIT NO CARGADO")</f>
        <v>-</v>
      </c>
      <c r="H949" s="64">
        <f>ventas_b_mes1[[#This Row],[TOTAL]]/1.21</f>
        <v>0</v>
      </c>
      <c r="I949" s="183">
        <f>ventas_b_mes1[[#This Row],[IMPORTE NETO]]*0.21</f>
        <v>0</v>
      </c>
      <c r="J949" s="184"/>
      <c r="K949" s="184"/>
      <c r="L949" s="184"/>
      <c r="M949" s="59"/>
    </row>
    <row r="950" spans="2:13" x14ac:dyDescent="0.3">
      <c r="B950" s="178"/>
      <c r="C950" s="179"/>
      <c r="D950" s="180"/>
      <c r="E950" s="181"/>
      <c r="F950" s="182"/>
      <c r="G950" s="1" t="str">
        <f>IFERROR(IF(ventas_b_mes1[[#This Row],[CUIT]]="","-",VLOOKUP(ventas_b_mes1[[#This Row],[CUIT]],Lista_CUIT[#All],2,0)),"CUIT NO CARGADO")</f>
        <v>-</v>
      </c>
      <c r="H950" s="64">
        <f>ventas_b_mes1[[#This Row],[TOTAL]]/1.21</f>
        <v>0</v>
      </c>
      <c r="I950" s="183">
        <f>ventas_b_mes1[[#This Row],[IMPORTE NETO]]*0.21</f>
        <v>0</v>
      </c>
      <c r="J950" s="184"/>
      <c r="K950" s="184"/>
      <c r="L950" s="184"/>
      <c r="M950" s="59"/>
    </row>
    <row r="951" spans="2:13" x14ac:dyDescent="0.3">
      <c r="B951" s="178"/>
      <c r="C951" s="179"/>
      <c r="D951" s="180"/>
      <c r="E951" s="181"/>
      <c r="F951" s="182"/>
      <c r="G951" s="1" t="str">
        <f>IFERROR(IF(ventas_b_mes1[[#This Row],[CUIT]]="","-",VLOOKUP(ventas_b_mes1[[#This Row],[CUIT]],Lista_CUIT[#All],2,0)),"CUIT NO CARGADO")</f>
        <v>-</v>
      </c>
      <c r="H951" s="64">
        <f>ventas_b_mes1[[#This Row],[TOTAL]]/1.21</f>
        <v>0</v>
      </c>
      <c r="I951" s="183">
        <f>ventas_b_mes1[[#This Row],[IMPORTE NETO]]*0.21</f>
        <v>0</v>
      </c>
      <c r="J951" s="184"/>
      <c r="K951" s="184"/>
      <c r="L951" s="184"/>
      <c r="M951" s="59"/>
    </row>
    <row r="952" spans="2:13" x14ac:dyDescent="0.3">
      <c r="B952" s="178"/>
      <c r="C952" s="179"/>
      <c r="D952" s="180"/>
      <c r="E952" s="181"/>
      <c r="F952" s="182"/>
      <c r="G952" s="1" t="str">
        <f>IFERROR(IF(ventas_b_mes1[[#This Row],[CUIT]]="","-",VLOOKUP(ventas_b_mes1[[#This Row],[CUIT]],Lista_CUIT[#All],2,0)),"CUIT NO CARGADO")</f>
        <v>-</v>
      </c>
      <c r="H952" s="64">
        <f>ventas_b_mes1[[#This Row],[TOTAL]]/1.21</f>
        <v>0</v>
      </c>
      <c r="I952" s="183">
        <f>ventas_b_mes1[[#This Row],[IMPORTE NETO]]*0.21</f>
        <v>0</v>
      </c>
      <c r="J952" s="184"/>
      <c r="K952" s="184"/>
      <c r="L952" s="184"/>
      <c r="M952" s="59"/>
    </row>
    <row r="953" spans="2:13" x14ac:dyDescent="0.3">
      <c r="B953" s="178"/>
      <c r="C953" s="179"/>
      <c r="D953" s="180"/>
      <c r="E953" s="181"/>
      <c r="F953" s="182"/>
      <c r="G953" s="1" t="str">
        <f>IFERROR(IF(ventas_b_mes1[[#This Row],[CUIT]]="","-",VLOOKUP(ventas_b_mes1[[#This Row],[CUIT]],Lista_CUIT[#All],2,0)),"CUIT NO CARGADO")</f>
        <v>-</v>
      </c>
      <c r="H953" s="64">
        <f>ventas_b_mes1[[#This Row],[TOTAL]]/1.21</f>
        <v>0</v>
      </c>
      <c r="I953" s="183">
        <f>ventas_b_mes1[[#This Row],[IMPORTE NETO]]*0.21</f>
        <v>0</v>
      </c>
      <c r="J953" s="184"/>
      <c r="K953" s="184"/>
      <c r="L953" s="184"/>
      <c r="M953" s="59"/>
    </row>
    <row r="954" spans="2:13" x14ac:dyDescent="0.3">
      <c r="B954" s="178"/>
      <c r="C954" s="179"/>
      <c r="D954" s="180"/>
      <c r="E954" s="181"/>
      <c r="F954" s="182"/>
      <c r="G954" s="1" t="str">
        <f>IFERROR(IF(ventas_b_mes1[[#This Row],[CUIT]]="","-",VLOOKUP(ventas_b_mes1[[#This Row],[CUIT]],Lista_CUIT[#All],2,0)),"CUIT NO CARGADO")</f>
        <v>-</v>
      </c>
      <c r="H954" s="64">
        <f>ventas_b_mes1[[#This Row],[TOTAL]]/1.21</f>
        <v>0</v>
      </c>
      <c r="I954" s="183">
        <f>ventas_b_mes1[[#This Row],[IMPORTE NETO]]*0.21</f>
        <v>0</v>
      </c>
      <c r="J954" s="184"/>
      <c r="K954" s="184"/>
      <c r="L954" s="184"/>
      <c r="M954" s="59"/>
    </row>
    <row r="955" spans="2:13" x14ac:dyDescent="0.3">
      <c r="B955" s="178"/>
      <c r="C955" s="179"/>
      <c r="D955" s="180"/>
      <c r="E955" s="181"/>
      <c r="F955" s="182"/>
      <c r="G955" s="1" t="str">
        <f>IFERROR(IF(ventas_b_mes1[[#This Row],[CUIT]]="","-",VLOOKUP(ventas_b_mes1[[#This Row],[CUIT]],Lista_CUIT[#All],2,0)),"CUIT NO CARGADO")</f>
        <v>-</v>
      </c>
      <c r="H955" s="64">
        <f>ventas_b_mes1[[#This Row],[TOTAL]]/1.21</f>
        <v>0</v>
      </c>
      <c r="I955" s="183">
        <f>ventas_b_mes1[[#This Row],[IMPORTE NETO]]*0.21</f>
        <v>0</v>
      </c>
      <c r="J955" s="184"/>
      <c r="K955" s="184"/>
      <c r="L955" s="184"/>
      <c r="M955" s="59"/>
    </row>
    <row r="956" spans="2:13" x14ac:dyDescent="0.3">
      <c r="B956" s="178"/>
      <c r="C956" s="179"/>
      <c r="D956" s="180"/>
      <c r="E956" s="181"/>
      <c r="F956" s="182"/>
      <c r="G956" s="1" t="str">
        <f>IFERROR(IF(ventas_b_mes1[[#This Row],[CUIT]]="","-",VLOOKUP(ventas_b_mes1[[#This Row],[CUIT]],Lista_CUIT[#All],2,0)),"CUIT NO CARGADO")</f>
        <v>-</v>
      </c>
      <c r="H956" s="64">
        <f>ventas_b_mes1[[#This Row],[TOTAL]]/1.21</f>
        <v>0</v>
      </c>
      <c r="I956" s="183">
        <f>ventas_b_mes1[[#This Row],[IMPORTE NETO]]*0.21</f>
        <v>0</v>
      </c>
      <c r="J956" s="184"/>
      <c r="K956" s="184"/>
      <c r="L956" s="184"/>
      <c r="M956" s="59"/>
    </row>
    <row r="957" spans="2:13" x14ac:dyDescent="0.3">
      <c r="B957" s="178"/>
      <c r="C957" s="179"/>
      <c r="D957" s="180"/>
      <c r="E957" s="181"/>
      <c r="F957" s="182"/>
      <c r="G957" s="1" t="str">
        <f>IFERROR(IF(ventas_b_mes1[[#This Row],[CUIT]]="","-",VLOOKUP(ventas_b_mes1[[#This Row],[CUIT]],Lista_CUIT[#All],2,0)),"CUIT NO CARGADO")</f>
        <v>-</v>
      </c>
      <c r="H957" s="64">
        <f>ventas_b_mes1[[#This Row],[TOTAL]]/1.21</f>
        <v>0</v>
      </c>
      <c r="I957" s="183">
        <f>ventas_b_mes1[[#This Row],[IMPORTE NETO]]*0.21</f>
        <v>0</v>
      </c>
      <c r="J957" s="184"/>
      <c r="K957" s="184"/>
      <c r="L957" s="184"/>
      <c r="M957" s="59"/>
    </row>
    <row r="958" spans="2:13" x14ac:dyDescent="0.3">
      <c r="B958" s="178"/>
      <c r="C958" s="179"/>
      <c r="D958" s="180"/>
      <c r="E958" s="181"/>
      <c r="F958" s="182"/>
      <c r="G958" s="1" t="str">
        <f>IFERROR(IF(ventas_b_mes1[[#This Row],[CUIT]]="","-",VLOOKUP(ventas_b_mes1[[#This Row],[CUIT]],Lista_CUIT[#All],2,0)),"CUIT NO CARGADO")</f>
        <v>-</v>
      </c>
      <c r="H958" s="64">
        <f>ventas_b_mes1[[#This Row],[TOTAL]]/1.21</f>
        <v>0</v>
      </c>
      <c r="I958" s="183">
        <f>ventas_b_mes1[[#This Row],[IMPORTE NETO]]*0.21</f>
        <v>0</v>
      </c>
      <c r="J958" s="184"/>
      <c r="K958" s="184"/>
      <c r="L958" s="184"/>
      <c r="M958" s="59"/>
    </row>
    <row r="959" spans="2:13" x14ac:dyDescent="0.3">
      <c r="B959" s="178"/>
      <c r="C959" s="179"/>
      <c r="D959" s="180"/>
      <c r="E959" s="181"/>
      <c r="F959" s="182"/>
      <c r="G959" s="1" t="str">
        <f>IFERROR(IF(ventas_b_mes1[[#This Row],[CUIT]]="","-",VLOOKUP(ventas_b_mes1[[#This Row],[CUIT]],Lista_CUIT[#All],2,0)),"CUIT NO CARGADO")</f>
        <v>-</v>
      </c>
      <c r="H959" s="64">
        <f>ventas_b_mes1[[#This Row],[TOTAL]]/1.21</f>
        <v>0</v>
      </c>
      <c r="I959" s="183">
        <f>ventas_b_mes1[[#This Row],[IMPORTE NETO]]*0.21</f>
        <v>0</v>
      </c>
      <c r="J959" s="184"/>
      <c r="K959" s="184"/>
      <c r="L959" s="184"/>
      <c r="M959" s="59"/>
    </row>
    <row r="960" spans="2:13" x14ac:dyDescent="0.3">
      <c r="B960" s="178"/>
      <c r="C960" s="179"/>
      <c r="D960" s="180"/>
      <c r="E960" s="181"/>
      <c r="F960" s="182"/>
      <c r="G960" s="1" t="str">
        <f>IFERROR(IF(ventas_b_mes1[[#This Row],[CUIT]]="","-",VLOOKUP(ventas_b_mes1[[#This Row],[CUIT]],Lista_CUIT[#All],2,0)),"CUIT NO CARGADO")</f>
        <v>-</v>
      </c>
      <c r="H960" s="64">
        <f>ventas_b_mes1[[#This Row],[TOTAL]]/1.21</f>
        <v>0</v>
      </c>
      <c r="I960" s="183">
        <f>ventas_b_mes1[[#This Row],[IMPORTE NETO]]*0.21</f>
        <v>0</v>
      </c>
      <c r="J960" s="184"/>
      <c r="K960" s="184"/>
      <c r="L960" s="184"/>
      <c r="M960" s="59"/>
    </row>
    <row r="961" spans="2:13" x14ac:dyDescent="0.3">
      <c r="B961" s="178"/>
      <c r="C961" s="179"/>
      <c r="D961" s="180"/>
      <c r="E961" s="181"/>
      <c r="F961" s="182"/>
      <c r="G961" s="1" t="str">
        <f>IFERROR(IF(ventas_b_mes1[[#This Row],[CUIT]]="","-",VLOOKUP(ventas_b_mes1[[#This Row],[CUIT]],Lista_CUIT[#All],2,0)),"CUIT NO CARGADO")</f>
        <v>-</v>
      </c>
      <c r="H961" s="64">
        <f>ventas_b_mes1[[#This Row],[TOTAL]]/1.21</f>
        <v>0</v>
      </c>
      <c r="I961" s="183">
        <f>ventas_b_mes1[[#This Row],[IMPORTE NETO]]*0.21</f>
        <v>0</v>
      </c>
      <c r="J961" s="184"/>
      <c r="K961" s="184"/>
      <c r="L961" s="184"/>
      <c r="M961" s="59"/>
    </row>
    <row r="962" spans="2:13" x14ac:dyDescent="0.3">
      <c r="B962" s="178"/>
      <c r="C962" s="179"/>
      <c r="D962" s="180"/>
      <c r="E962" s="181"/>
      <c r="F962" s="182"/>
      <c r="G962" s="1" t="str">
        <f>IFERROR(IF(ventas_b_mes1[[#This Row],[CUIT]]="","-",VLOOKUP(ventas_b_mes1[[#This Row],[CUIT]],Lista_CUIT[#All],2,0)),"CUIT NO CARGADO")</f>
        <v>-</v>
      </c>
      <c r="H962" s="64">
        <f>ventas_b_mes1[[#This Row],[TOTAL]]/1.21</f>
        <v>0</v>
      </c>
      <c r="I962" s="183">
        <f>ventas_b_mes1[[#This Row],[IMPORTE NETO]]*0.21</f>
        <v>0</v>
      </c>
      <c r="J962" s="184"/>
      <c r="K962" s="184"/>
      <c r="L962" s="184"/>
      <c r="M962" s="59"/>
    </row>
    <row r="963" spans="2:13" x14ac:dyDescent="0.3">
      <c r="B963" s="178"/>
      <c r="C963" s="179"/>
      <c r="D963" s="180"/>
      <c r="E963" s="181"/>
      <c r="F963" s="182"/>
      <c r="G963" s="1" t="str">
        <f>IFERROR(IF(ventas_b_mes1[[#This Row],[CUIT]]="","-",VLOOKUP(ventas_b_mes1[[#This Row],[CUIT]],Lista_CUIT[#All],2,0)),"CUIT NO CARGADO")</f>
        <v>-</v>
      </c>
      <c r="H963" s="64">
        <f>ventas_b_mes1[[#This Row],[TOTAL]]/1.21</f>
        <v>0</v>
      </c>
      <c r="I963" s="183">
        <f>ventas_b_mes1[[#This Row],[IMPORTE NETO]]*0.21</f>
        <v>0</v>
      </c>
      <c r="J963" s="184"/>
      <c r="K963" s="184"/>
      <c r="L963" s="184"/>
      <c r="M963" s="59"/>
    </row>
    <row r="964" spans="2:13" x14ac:dyDescent="0.3">
      <c r="B964" s="178"/>
      <c r="C964" s="179"/>
      <c r="D964" s="180"/>
      <c r="E964" s="181"/>
      <c r="F964" s="182"/>
      <c r="G964" s="1" t="str">
        <f>IFERROR(IF(ventas_b_mes1[[#This Row],[CUIT]]="","-",VLOOKUP(ventas_b_mes1[[#This Row],[CUIT]],Lista_CUIT[#All],2,0)),"CUIT NO CARGADO")</f>
        <v>-</v>
      </c>
      <c r="H964" s="64">
        <f>ventas_b_mes1[[#This Row],[TOTAL]]/1.21</f>
        <v>0</v>
      </c>
      <c r="I964" s="183">
        <f>ventas_b_mes1[[#This Row],[IMPORTE NETO]]*0.21</f>
        <v>0</v>
      </c>
      <c r="J964" s="184"/>
      <c r="K964" s="184"/>
      <c r="L964" s="184"/>
      <c r="M964" s="59"/>
    </row>
    <row r="965" spans="2:13" x14ac:dyDescent="0.3">
      <c r="B965" s="178"/>
      <c r="C965" s="179"/>
      <c r="D965" s="180"/>
      <c r="E965" s="181"/>
      <c r="F965" s="182"/>
      <c r="G965" s="1" t="str">
        <f>IFERROR(IF(ventas_b_mes1[[#This Row],[CUIT]]="","-",VLOOKUP(ventas_b_mes1[[#This Row],[CUIT]],Lista_CUIT[#All],2,0)),"CUIT NO CARGADO")</f>
        <v>-</v>
      </c>
      <c r="H965" s="64">
        <f>ventas_b_mes1[[#This Row],[TOTAL]]/1.21</f>
        <v>0</v>
      </c>
      <c r="I965" s="183">
        <f>ventas_b_mes1[[#This Row],[IMPORTE NETO]]*0.21</f>
        <v>0</v>
      </c>
      <c r="J965" s="184"/>
      <c r="K965" s="184"/>
      <c r="L965" s="184"/>
      <c r="M965" s="59"/>
    </row>
    <row r="966" spans="2:13" x14ac:dyDescent="0.3">
      <c r="B966" s="178"/>
      <c r="C966" s="179"/>
      <c r="D966" s="180"/>
      <c r="E966" s="181"/>
      <c r="F966" s="182"/>
      <c r="G966" s="1" t="str">
        <f>IFERROR(IF(ventas_b_mes1[[#This Row],[CUIT]]="","-",VLOOKUP(ventas_b_mes1[[#This Row],[CUIT]],Lista_CUIT[#All],2,0)),"CUIT NO CARGADO")</f>
        <v>-</v>
      </c>
      <c r="H966" s="64">
        <f>ventas_b_mes1[[#This Row],[TOTAL]]/1.21</f>
        <v>0</v>
      </c>
      <c r="I966" s="183">
        <f>ventas_b_mes1[[#This Row],[IMPORTE NETO]]*0.21</f>
        <v>0</v>
      </c>
      <c r="J966" s="184"/>
      <c r="K966" s="184"/>
      <c r="L966" s="184"/>
      <c r="M966" s="59"/>
    </row>
    <row r="967" spans="2:13" x14ac:dyDescent="0.3">
      <c r="B967" s="178"/>
      <c r="C967" s="179"/>
      <c r="D967" s="180"/>
      <c r="E967" s="181"/>
      <c r="F967" s="182"/>
      <c r="G967" s="1" t="str">
        <f>IFERROR(IF(ventas_b_mes1[[#This Row],[CUIT]]="","-",VLOOKUP(ventas_b_mes1[[#This Row],[CUIT]],Lista_CUIT[#All],2,0)),"CUIT NO CARGADO")</f>
        <v>-</v>
      </c>
      <c r="H967" s="64">
        <f>ventas_b_mes1[[#This Row],[TOTAL]]/1.21</f>
        <v>0</v>
      </c>
      <c r="I967" s="183">
        <f>ventas_b_mes1[[#This Row],[IMPORTE NETO]]*0.21</f>
        <v>0</v>
      </c>
      <c r="J967" s="184"/>
      <c r="K967" s="184"/>
      <c r="L967" s="184"/>
      <c r="M967" s="59"/>
    </row>
    <row r="968" spans="2:13" x14ac:dyDescent="0.3">
      <c r="B968" s="178"/>
      <c r="C968" s="179"/>
      <c r="D968" s="180"/>
      <c r="E968" s="181"/>
      <c r="F968" s="182"/>
      <c r="G968" s="1" t="str">
        <f>IFERROR(IF(ventas_b_mes1[[#This Row],[CUIT]]="","-",VLOOKUP(ventas_b_mes1[[#This Row],[CUIT]],Lista_CUIT[#All],2,0)),"CUIT NO CARGADO")</f>
        <v>-</v>
      </c>
      <c r="H968" s="64">
        <f>ventas_b_mes1[[#This Row],[TOTAL]]/1.21</f>
        <v>0</v>
      </c>
      <c r="I968" s="183">
        <f>ventas_b_mes1[[#This Row],[IMPORTE NETO]]*0.21</f>
        <v>0</v>
      </c>
      <c r="J968" s="184"/>
      <c r="K968" s="184"/>
      <c r="L968" s="184"/>
      <c r="M968" s="59"/>
    </row>
    <row r="969" spans="2:13" x14ac:dyDescent="0.3">
      <c r="B969" s="178"/>
      <c r="C969" s="179"/>
      <c r="D969" s="180"/>
      <c r="E969" s="181"/>
      <c r="F969" s="182"/>
      <c r="G969" s="1" t="str">
        <f>IFERROR(IF(ventas_b_mes1[[#This Row],[CUIT]]="","-",VLOOKUP(ventas_b_mes1[[#This Row],[CUIT]],Lista_CUIT[#All],2,0)),"CUIT NO CARGADO")</f>
        <v>-</v>
      </c>
      <c r="H969" s="64">
        <f>ventas_b_mes1[[#This Row],[TOTAL]]/1.21</f>
        <v>0</v>
      </c>
      <c r="I969" s="183">
        <f>ventas_b_mes1[[#This Row],[IMPORTE NETO]]*0.21</f>
        <v>0</v>
      </c>
      <c r="J969" s="184"/>
      <c r="K969" s="184"/>
      <c r="L969" s="184"/>
      <c r="M969" s="59"/>
    </row>
    <row r="970" spans="2:13" x14ac:dyDescent="0.3">
      <c r="B970" s="178"/>
      <c r="C970" s="179"/>
      <c r="D970" s="180"/>
      <c r="E970" s="181"/>
      <c r="F970" s="182"/>
      <c r="G970" s="1" t="str">
        <f>IFERROR(IF(ventas_b_mes1[[#This Row],[CUIT]]="","-",VLOOKUP(ventas_b_mes1[[#This Row],[CUIT]],Lista_CUIT[#All],2,0)),"CUIT NO CARGADO")</f>
        <v>-</v>
      </c>
      <c r="H970" s="64">
        <f>ventas_b_mes1[[#This Row],[TOTAL]]/1.21</f>
        <v>0</v>
      </c>
      <c r="I970" s="183">
        <f>ventas_b_mes1[[#This Row],[IMPORTE NETO]]*0.21</f>
        <v>0</v>
      </c>
      <c r="J970" s="184"/>
      <c r="K970" s="184"/>
      <c r="L970" s="184"/>
      <c r="M970" s="59"/>
    </row>
    <row r="971" spans="2:13" x14ac:dyDescent="0.3">
      <c r="B971" s="178"/>
      <c r="C971" s="179"/>
      <c r="D971" s="180"/>
      <c r="E971" s="181"/>
      <c r="F971" s="182"/>
      <c r="G971" s="1" t="str">
        <f>IFERROR(IF(ventas_b_mes1[[#This Row],[CUIT]]="","-",VLOOKUP(ventas_b_mes1[[#This Row],[CUIT]],Lista_CUIT[#All],2,0)),"CUIT NO CARGADO")</f>
        <v>-</v>
      </c>
      <c r="H971" s="64">
        <f>ventas_b_mes1[[#This Row],[TOTAL]]/1.21</f>
        <v>0</v>
      </c>
      <c r="I971" s="183">
        <f>ventas_b_mes1[[#This Row],[IMPORTE NETO]]*0.21</f>
        <v>0</v>
      </c>
      <c r="J971" s="184"/>
      <c r="K971" s="184"/>
      <c r="L971" s="184"/>
      <c r="M971" s="59"/>
    </row>
    <row r="972" spans="2:13" x14ac:dyDescent="0.3">
      <c r="B972" s="178"/>
      <c r="C972" s="179"/>
      <c r="D972" s="180"/>
      <c r="E972" s="181"/>
      <c r="F972" s="182"/>
      <c r="G972" s="1" t="str">
        <f>IFERROR(IF(ventas_b_mes1[[#This Row],[CUIT]]="","-",VLOOKUP(ventas_b_mes1[[#This Row],[CUIT]],Lista_CUIT[#All],2,0)),"CUIT NO CARGADO")</f>
        <v>-</v>
      </c>
      <c r="H972" s="64">
        <f>ventas_b_mes1[[#This Row],[TOTAL]]/1.21</f>
        <v>0</v>
      </c>
      <c r="I972" s="183">
        <f>ventas_b_mes1[[#This Row],[IMPORTE NETO]]*0.21</f>
        <v>0</v>
      </c>
      <c r="J972" s="184"/>
      <c r="K972" s="184"/>
      <c r="L972" s="184"/>
      <c r="M972" s="59"/>
    </row>
    <row r="973" spans="2:13" x14ac:dyDescent="0.3">
      <c r="B973" s="178"/>
      <c r="C973" s="179"/>
      <c r="D973" s="180"/>
      <c r="E973" s="181"/>
      <c r="F973" s="182"/>
      <c r="G973" s="1" t="str">
        <f>IFERROR(IF(ventas_b_mes1[[#This Row],[CUIT]]="","-",VLOOKUP(ventas_b_mes1[[#This Row],[CUIT]],Lista_CUIT[#All],2,0)),"CUIT NO CARGADO")</f>
        <v>-</v>
      </c>
      <c r="H973" s="64">
        <f>ventas_b_mes1[[#This Row],[TOTAL]]/1.21</f>
        <v>0</v>
      </c>
      <c r="I973" s="183">
        <f>ventas_b_mes1[[#This Row],[IMPORTE NETO]]*0.21</f>
        <v>0</v>
      </c>
      <c r="J973" s="184"/>
      <c r="K973" s="184"/>
      <c r="L973" s="184"/>
      <c r="M973" s="59"/>
    </row>
    <row r="974" spans="2:13" x14ac:dyDescent="0.3">
      <c r="B974" s="178"/>
      <c r="C974" s="179"/>
      <c r="D974" s="180"/>
      <c r="E974" s="181"/>
      <c r="F974" s="182"/>
      <c r="G974" s="1" t="str">
        <f>IFERROR(IF(ventas_b_mes1[[#This Row],[CUIT]]="","-",VLOOKUP(ventas_b_mes1[[#This Row],[CUIT]],Lista_CUIT[#All],2,0)),"CUIT NO CARGADO")</f>
        <v>-</v>
      </c>
      <c r="H974" s="64">
        <f>ventas_b_mes1[[#This Row],[TOTAL]]/1.21</f>
        <v>0</v>
      </c>
      <c r="I974" s="183">
        <f>ventas_b_mes1[[#This Row],[IMPORTE NETO]]*0.21</f>
        <v>0</v>
      </c>
      <c r="J974" s="184"/>
      <c r="K974" s="184"/>
      <c r="L974" s="184"/>
      <c r="M974" s="59"/>
    </row>
    <row r="975" spans="2:13" x14ac:dyDescent="0.3">
      <c r="B975" s="178"/>
      <c r="C975" s="179"/>
      <c r="D975" s="180"/>
      <c r="E975" s="181"/>
      <c r="F975" s="182"/>
      <c r="G975" s="1" t="str">
        <f>IFERROR(IF(ventas_b_mes1[[#This Row],[CUIT]]="","-",VLOOKUP(ventas_b_mes1[[#This Row],[CUIT]],Lista_CUIT[#All],2,0)),"CUIT NO CARGADO")</f>
        <v>-</v>
      </c>
      <c r="H975" s="64">
        <f>ventas_b_mes1[[#This Row],[TOTAL]]/1.21</f>
        <v>0</v>
      </c>
      <c r="I975" s="183">
        <f>ventas_b_mes1[[#This Row],[IMPORTE NETO]]*0.21</f>
        <v>0</v>
      </c>
      <c r="J975" s="184"/>
      <c r="K975" s="184"/>
      <c r="L975" s="184"/>
      <c r="M975" s="59"/>
    </row>
    <row r="976" spans="2:13" x14ac:dyDescent="0.3">
      <c r="B976" s="178"/>
      <c r="C976" s="179"/>
      <c r="D976" s="180"/>
      <c r="E976" s="181"/>
      <c r="F976" s="182"/>
      <c r="G976" s="1" t="str">
        <f>IFERROR(IF(ventas_b_mes1[[#This Row],[CUIT]]="","-",VLOOKUP(ventas_b_mes1[[#This Row],[CUIT]],Lista_CUIT[#All],2,0)),"CUIT NO CARGADO")</f>
        <v>-</v>
      </c>
      <c r="H976" s="64">
        <f>ventas_b_mes1[[#This Row],[TOTAL]]/1.21</f>
        <v>0</v>
      </c>
      <c r="I976" s="183">
        <f>ventas_b_mes1[[#This Row],[IMPORTE NETO]]*0.21</f>
        <v>0</v>
      </c>
      <c r="J976" s="184"/>
      <c r="K976" s="184"/>
      <c r="L976" s="184"/>
      <c r="M976" s="59"/>
    </row>
    <row r="977" spans="2:13" x14ac:dyDescent="0.3">
      <c r="B977" s="178"/>
      <c r="C977" s="179"/>
      <c r="D977" s="180"/>
      <c r="E977" s="181"/>
      <c r="F977" s="182"/>
      <c r="G977" s="1" t="str">
        <f>IFERROR(IF(ventas_b_mes1[[#This Row],[CUIT]]="","-",VLOOKUP(ventas_b_mes1[[#This Row],[CUIT]],Lista_CUIT[#All],2,0)),"CUIT NO CARGADO")</f>
        <v>-</v>
      </c>
      <c r="H977" s="64">
        <f>ventas_b_mes1[[#This Row],[TOTAL]]/1.21</f>
        <v>0</v>
      </c>
      <c r="I977" s="183">
        <f>ventas_b_mes1[[#This Row],[IMPORTE NETO]]*0.21</f>
        <v>0</v>
      </c>
      <c r="J977" s="184"/>
      <c r="K977" s="184"/>
      <c r="L977" s="184"/>
      <c r="M977" s="59"/>
    </row>
    <row r="978" spans="2:13" x14ac:dyDescent="0.3">
      <c r="B978" s="178"/>
      <c r="C978" s="179"/>
      <c r="D978" s="180"/>
      <c r="E978" s="181"/>
      <c r="F978" s="182"/>
      <c r="G978" s="1" t="str">
        <f>IFERROR(IF(ventas_b_mes1[[#This Row],[CUIT]]="","-",VLOOKUP(ventas_b_mes1[[#This Row],[CUIT]],Lista_CUIT[#All],2,0)),"CUIT NO CARGADO")</f>
        <v>-</v>
      </c>
      <c r="H978" s="64">
        <f>ventas_b_mes1[[#This Row],[TOTAL]]/1.21</f>
        <v>0</v>
      </c>
      <c r="I978" s="183">
        <f>ventas_b_mes1[[#This Row],[IMPORTE NETO]]*0.21</f>
        <v>0</v>
      </c>
      <c r="J978" s="184"/>
      <c r="K978" s="184"/>
      <c r="L978" s="184"/>
      <c r="M978" s="59"/>
    </row>
    <row r="979" spans="2:13" x14ac:dyDescent="0.3">
      <c r="B979" s="178"/>
      <c r="C979" s="179"/>
      <c r="D979" s="180"/>
      <c r="E979" s="181"/>
      <c r="F979" s="182"/>
      <c r="G979" s="1" t="str">
        <f>IFERROR(IF(ventas_b_mes1[[#This Row],[CUIT]]="","-",VLOOKUP(ventas_b_mes1[[#This Row],[CUIT]],Lista_CUIT[#All],2,0)),"CUIT NO CARGADO")</f>
        <v>-</v>
      </c>
      <c r="H979" s="64">
        <f>ventas_b_mes1[[#This Row],[TOTAL]]/1.21</f>
        <v>0</v>
      </c>
      <c r="I979" s="183">
        <f>ventas_b_mes1[[#This Row],[IMPORTE NETO]]*0.21</f>
        <v>0</v>
      </c>
      <c r="J979" s="184"/>
      <c r="K979" s="184"/>
      <c r="L979" s="184"/>
      <c r="M979" s="59"/>
    </row>
    <row r="980" spans="2:13" x14ac:dyDescent="0.3">
      <c r="B980" s="178"/>
      <c r="C980" s="179"/>
      <c r="D980" s="180"/>
      <c r="E980" s="181"/>
      <c r="F980" s="182"/>
      <c r="G980" s="1" t="str">
        <f>IFERROR(IF(ventas_b_mes1[[#This Row],[CUIT]]="","-",VLOOKUP(ventas_b_mes1[[#This Row],[CUIT]],Lista_CUIT[#All],2,0)),"CUIT NO CARGADO")</f>
        <v>-</v>
      </c>
      <c r="H980" s="64">
        <f>ventas_b_mes1[[#This Row],[TOTAL]]/1.21</f>
        <v>0</v>
      </c>
      <c r="I980" s="183">
        <f>ventas_b_mes1[[#This Row],[IMPORTE NETO]]*0.21</f>
        <v>0</v>
      </c>
      <c r="J980" s="184"/>
      <c r="K980" s="184"/>
      <c r="L980" s="184"/>
      <c r="M980" s="59"/>
    </row>
    <row r="981" spans="2:13" x14ac:dyDescent="0.3">
      <c r="B981" s="178"/>
      <c r="C981" s="179"/>
      <c r="D981" s="180"/>
      <c r="E981" s="181"/>
      <c r="F981" s="182"/>
      <c r="G981" s="1" t="str">
        <f>IFERROR(IF(ventas_b_mes1[[#This Row],[CUIT]]="","-",VLOOKUP(ventas_b_mes1[[#This Row],[CUIT]],Lista_CUIT[#All],2,0)),"CUIT NO CARGADO")</f>
        <v>-</v>
      </c>
      <c r="H981" s="64">
        <f>ventas_b_mes1[[#This Row],[TOTAL]]/1.21</f>
        <v>0</v>
      </c>
      <c r="I981" s="183">
        <f>ventas_b_mes1[[#This Row],[IMPORTE NETO]]*0.21</f>
        <v>0</v>
      </c>
      <c r="J981" s="184"/>
      <c r="K981" s="184"/>
      <c r="L981" s="184"/>
      <c r="M981" s="59"/>
    </row>
    <row r="982" spans="2:13" x14ac:dyDescent="0.3">
      <c r="B982" s="178"/>
      <c r="C982" s="179"/>
      <c r="D982" s="180"/>
      <c r="E982" s="181"/>
      <c r="F982" s="182"/>
      <c r="G982" s="1" t="str">
        <f>IFERROR(IF(ventas_b_mes1[[#This Row],[CUIT]]="","-",VLOOKUP(ventas_b_mes1[[#This Row],[CUIT]],Lista_CUIT[#All],2,0)),"CUIT NO CARGADO")</f>
        <v>-</v>
      </c>
      <c r="H982" s="64">
        <f>ventas_b_mes1[[#This Row],[TOTAL]]/1.21</f>
        <v>0</v>
      </c>
      <c r="I982" s="183">
        <f>ventas_b_mes1[[#This Row],[IMPORTE NETO]]*0.21</f>
        <v>0</v>
      </c>
      <c r="J982" s="184"/>
      <c r="K982" s="184"/>
      <c r="L982" s="184"/>
      <c r="M982" s="59"/>
    </row>
    <row r="983" spans="2:13" x14ac:dyDescent="0.3">
      <c r="B983" s="178"/>
      <c r="C983" s="179"/>
      <c r="D983" s="180"/>
      <c r="E983" s="181"/>
      <c r="F983" s="182"/>
      <c r="G983" s="1" t="str">
        <f>IFERROR(IF(ventas_b_mes1[[#This Row],[CUIT]]="","-",VLOOKUP(ventas_b_mes1[[#This Row],[CUIT]],Lista_CUIT[#All],2,0)),"CUIT NO CARGADO")</f>
        <v>-</v>
      </c>
      <c r="H983" s="64">
        <f>ventas_b_mes1[[#This Row],[TOTAL]]/1.21</f>
        <v>0</v>
      </c>
      <c r="I983" s="183">
        <f>ventas_b_mes1[[#This Row],[IMPORTE NETO]]*0.21</f>
        <v>0</v>
      </c>
      <c r="J983" s="184"/>
      <c r="K983" s="184"/>
      <c r="L983" s="184"/>
      <c r="M983" s="59"/>
    </row>
    <row r="984" spans="2:13" x14ac:dyDescent="0.3">
      <c r="B984" s="178"/>
      <c r="C984" s="179"/>
      <c r="D984" s="180"/>
      <c r="E984" s="181"/>
      <c r="F984" s="182"/>
      <c r="G984" s="1" t="str">
        <f>IFERROR(IF(ventas_b_mes1[[#This Row],[CUIT]]="","-",VLOOKUP(ventas_b_mes1[[#This Row],[CUIT]],Lista_CUIT[#All],2,0)),"CUIT NO CARGADO")</f>
        <v>-</v>
      </c>
      <c r="H984" s="64">
        <f>ventas_b_mes1[[#This Row],[TOTAL]]/1.21</f>
        <v>0</v>
      </c>
      <c r="I984" s="183">
        <f>ventas_b_mes1[[#This Row],[IMPORTE NETO]]*0.21</f>
        <v>0</v>
      </c>
      <c r="J984" s="184"/>
      <c r="K984" s="184"/>
      <c r="L984" s="184"/>
      <c r="M984" s="59"/>
    </row>
    <row r="985" spans="2:13" x14ac:dyDescent="0.3">
      <c r="B985" s="178"/>
      <c r="C985" s="179"/>
      <c r="D985" s="180"/>
      <c r="E985" s="181"/>
      <c r="F985" s="182"/>
      <c r="G985" s="1" t="str">
        <f>IFERROR(IF(ventas_b_mes1[[#This Row],[CUIT]]="","-",VLOOKUP(ventas_b_mes1[[#This Row],[CUIT]],Lista_CUIT[#All],2,0)),"CUIT NO CARGADO")</f>
        <v>-</v>
      </c>
      <c r="H985" s="64">
        <f>ventas_b_mes1[[#This Row],[TOTAL]]/1.21</f>
        <v>0</v>
      </c>
      <c r="I985" s="183">
        <f>ventas_b_mes1[[#This Row],[IMPORTE NETO]]*0.21</f>
        <v>0</v>
      </c>
      <c r="J985" s="184"/>
      <c r="K985" s="184"/>
      <c r="L985" s="184"/>
      <c r="M985" s="59"/>
    </row>
    <row r="986" spans="2:13" x14ac:dyDescent="0.3">
      <c r="B986" s="178"/>
      <c r="C986" s="179"/>
      <c r="D986" s="180"/>
      <c r="E986" s="181"/>
      <c r="F986" s="182"/>
      <c r="G986" s="1" t="str">
        <f>IFERROR(IF(ventas_b_mes1[[#This Row],[CUIT]]="","-",VLOOKUP(ventas_b_mes1[[#This Row],[CUIT]],Lista_CUIT[#All],2,0)),"CUIT NO CARGADO")</f>
        <v>-</v>
      </c>
      <c r="H986" s="64">
        <f>ventas_b_mes1[[#This Row],[TOTAL]]/1.21</f>
        <v>0</v>
      </c>
      <c r="I986" s="183">
        <f>ventas_b_mes1[[#This Row],[IMPORTE NETO]]*0.21</f>
        <v>0</v>
      </c>
      <c r="J986" s="184"/>
      <c r="K986" s="184"/>
      <c r="L986" s="184"/>
      <c r="M986" s="59"/>
    </row>
    <row r="987" spans="2:13" x14ac:dyDescent="0.3">
      <c r="B987" s="178"/>
      <c r="C987" s="179"/>
      <c r="D987" s="180"/>
      <c r="E987" s="181"/>
      <c r="F987" s="182"/>
      <c r="G987" s="1" t="str">
        <f>IFERROR(IF(ventas_b_mes1[[#This Row],[CUIT]]="","-",VLOOKUP(ventas_b_mes1[[#This Row],[CUIT]],Lista_CUIT[#All],2,0)),"CUIT NO CARGADO")</f>
        <v>-</v>
      </c>
      <c r="H987" s="64">
        <f>ventas_b_mes1[[#This Row],[TOTAL]]/1.21</f>
        <v>0</v>
      </c>
      <c r="I987" s="183">
        <f>ventas_b_mes1[[#This Row],[IMPORTE NETO]]*0.21</f>
        <v>0</v>
      </c>
      <c r="J987" s="184"/>
      <c r="K987" s="184"/>
      <c r="L987" s="184"/>
      <c r="M987" s="59"/>
    </row>
    <row r="988" spans="2:13" x14ac:dyDescent="0.3">
      <c r="B988" s="178"/>
      <c r="C988" s="179"/>
      <c r="D988" s="180"/>
      <c r="E988" s="181"/>
      <c r="F988" s="182"/>
      <c r="G988" s="1" t="str">
        <f>IFERROR(IF(ventas_b_mes1[[#This Row],[CUIT]]="","-",VLOOKUP(ventas_b_mes1[[#This Row],[CUIT]],Lista_CUIT[#All],2,0)),"CUIT NO CARGADO")</f>
        <v>-</v>
      </c>
      <c r="H988" s="64">
        <f>ventas_b_mes1[[#This Row],[TOTAL]]/1.21</f>
        <v>0</v>
      </c>
      <c r="I988" s="183">
        <f>ventas_b_mes1[[#This Row],[IMPORTE NETO]]*0.21</f>
        <v>0</v>
      </c>
      <c r="J988" s="184"/>
      <c r="K988" s="184"/>
      <c r="L988" s="184"/>
      <c r="M988" s="59"/>
    </row>
    <row r="989" spans="2:13" x14ac:dyDescent="0.3">
      <c r="B989" s="178"/>
      <c r="C989" s="179"/>
      <c r="D989" s="180"/>
      <c r="E989" s="181"/>
      <c r="F989" s="182"/>
      <c r="G989" s="1" t="str">
        <f>IFERROR(IF(ventas_b_mes1[[#This Row],[CUIT]]="","-",VLOOKUP(ventas_b_mes1[[#This Row],[CUIT]],Lista_CUIT[#All],2,0)),"CUIT NO CARGADO")</f>
        <v>-</v>
      </c>
      <c r="H989" s="64">
        <f>ventas_b_mes1[[#This Row],[TOTAL]]/1.21</f>
        <v>0</v>
      </c>
      <c r="I989" s="183">
        <f>ventas_b_mes1[[#This Row],[IMPORTE NETO]]*0.21</f>
        <v>0</v>
      </c>
      <c r="J989" s="184"/>
      <c r="K989" s="184"/>
      <c r="L989" s="184"/>
      <c r="M989" s="59"/>
    </row>
    <row r="990" spans="2:13" x14ac:dyDescent="0.3">
      <c r="B990" s="178"/>
      <c r="C990" s="179"/>
      <c r="D990" s="180"/>
      <c r="E990" s="181"/>
      <c r="F990" s="182"/>
      <c r="G990" s="1" t="str">
        <f>IFERROR(IF(ventas_b_mes1[[#This Row],[CUIT]]="","-",VLOOKUP(ventas_b_mes1[[#This Row],[CUIT]],Lista_CUIT[#All],2,0)),"CUIT NO CARGADO")</f>
        <v>-</v>
      </c>
      <c r="H990" s="64">
        <f>ventas_b_mes1[[#This Row],[TOTAL]]/1.21</f>
        <v>0</v>
      </c>
      <c r="I990" s="183">
        <f>ventas_b_mes1[[#This Row],[IMPORTE NETO]]*0.21</f>
        <v>0</v>
      </c>
      <c r="J990" s="184"/>
      <c r="K990" s="184"/>
      <c r="L990" s="184"/>
      <c r="M990" s="59"/>
    </row>
    <row r="991" spans="2:13" x14ac:dyDescent="0.3">
      <c r="B991" s="178"/>
      <c r="C991" s="179"/>
      <c r="D991" s="180"/>
      <c r="E991" s="181"/>
      <c r="F991" s="182"/>
      <c r="G991" s="1" t="str">
        <f>IFERROR(IF(ventas_b_mes1[[#This Row],[CUIT]]="","-",VLOOKUP(ventas_b_mes1[[#This Row],[CUIT]],Lista_CUIT[#All],2,0)),"CUIT NO CARGADO")</f>
        <v>-</v>
      </c>
      <c r="H991" s="64">
        <f>ventas_b_mes1[[#This Row],[TOTAL]]/1.21</f>
        <v>0</v>
      </c>
      <c r="I991" s="183">
        <f>ventas_b_mes1[[#This Row],[IMPORTE NETO]]*0.21</f>
        <v>0</v>
      </c>
      <c r="J991" s="184"/>
      <c r="K991" s="184"/>
      <c r="L991" s="184"/>
      <c r="M991" s="59"/>
    </row>
    <row r="992" spans="2:13" x14ac:dyDescent="0.3">
      <c r="B992" s="178"/>
      <c r="C992" s="179"/>
      <c r="D992" s="180"/>
      <c r="E992" s="181"/>
      <c r="F992" s="182"/>
      <c r="G992" s="1" t="str">
        <f>IFERROR(IF(ventas_b_mes1[[#This Row],[CUIT]]="","-",VLOOKUP(ventas_b_mes1[[#This Row],[CUIT]],Lista_CUIT[#All],2,0)),"CUIT NO CARGADO")</f>
        <v>-</v>
      </c>
      <c r="H992" s="64">
        <f>ventas_b_mes1[[#This Row],[TOTAL]]/1.21</f>
        <v>0</v>
      </c>
      <c r="I992" s="183">
        <f>ventas_b_mes1[[#This Row],[IMPORTE NETO]]*0.21</f>
        <v>0</v>
      </c>
      <c r="J992" s="184"/>
      <c r="K992" s="184"/>
      <c r="L992" s="184"/>
      <c r="M992" s="59"/>
    </row>
    <row r="993" spans="2:13" x14ac:dyDescent="0.3">
      <c r="B993" s="178"/>
      <c r="C993" s="179"/>
      <c r="D993" s="180"/>
      <c r="E993" s="181"/>
      <c r="F993" s="182"/>
      <c r="G993" s="1" t="str">
        <f>IFERROR(IF(ventas_b_mes1[[#This Row],[CUIT]]="","-",VLOOKUP(ventas_b_mes1[[#This Row],[CUIT]],Lista_CUIT[#All],2,0)),"CUIT NO CARGADO")</f>
        <v>-</v>
      </c>
      <c r="H993" s="64">
        <f>ventas_b_mes1[[#This Row],[TOTAL]]/1.21</f>
        <v>0</v>
      </c>
      <c r="I993" s="183">
        <f>ventas_b_mes1[[#This Row],[IMPORTE NETO]]*0.21</f>
        <v>0</v>
      </c>
      <c r="J993" s="184"/>
      <c r="K993" s="184"/>
      <c r="L993" s="184"/>
      <c r="M993" s="59"/>
    </row>
    <row r="994" spans="2:13" x14ac:dyDescent="0.3">
      <c r="B994" s="178"/>
      <c r="C994" s="179"/>
      <c r="D994" s="180"/>
      <c r="E994" s="181"/>
      <c r="F994" s="182"/>
      <c r="G994" s="1" t="str">
        <f>IFERROR(IF(ventas_b_mes1[[#This Row],[CUIT]]="","-",VLOOKUP(ventas_b_mes1[[#This Row],[CUIT]],Lista_CUIT[#All],2,0)),"CUIT NO CARGADO")</f>
        <v>-</v>
      </c>
      <c r="H994" s="64">
        <f>ventas_b_mes1[[#This Row],[TOTAL]]/1.21</f>
        <v>0</v>
      </c>
      <c r="I994" s="183">
        <f>ventas_b_mes1[[#This Row],[IMPORTE NETO]]*0.21</f>
        <v>0</v>
      </c>
      <c r="J994" s="184"/>
      <c r="K994" s="184"/>
      <c r="L994" s="184"/>
      <c r="M994" s="59"/>
    </row>
    <row r="995" spans="2:13" x14ac:dyDescent="0.3">
      <c r="B995" s="178"/>
      <c r="C995" s="179"/>
      <c r="D995" s="180"/>
      <c r="E995" s="181"/>
      <c r="F995" s="182"/>
      <c r="G995" s="1" t="str">
        <f>IFERROR(IF(ventas_b_mes1[[#This Row],[CUIT]]="","-",VLOOKUP(ventas_b_mes1[[#This Row],[CUIT]],Lista_CUIT[#All],2,0)),"CUIT NO CARGADO")</f>
        <v>-</v>
      </c>
      <c r="H995" s="64">
        <f>ventas_b_mes1[[#This Row],[TOTAL]]/1.21</f>
        <v>0</v>
      </c>
      <c r="I995" s="183">
        <f>ventas_b_mes1[[#This Row],[IMPORTE NETO]]*0.21</f>
        <v>0</v>
      </c>
      <c r="J995" s="184"/>
      <c r="K995" s="184"/>
      <c r="L995" s="184"/>
      <c r="M995" s="59"/>
    </row>
    <row r="996" spans="2:13" x14ac:dyDescent="0.3">
      <c r="B996" s="178"/>
      <c r="C996" s="179"/>
      <c r="D996" s="180"/>
      <c r="E996" s="181"/>
      <c r="F996" s="182"/>
      <c r="G996" s="1" t="str">
        <f>IFERROR(IF(ventas_b_mes1[[#This Row],[CUIT]]="","-",VLOOKUP(ventas_b_mes1[[#This Row],[CUIT]],Lista_CUIT[#All],2,0)),"CUIT NO CARGADO")</f>
        <v>-</v>
      </c>
      <c r="H996" s="64">
        <f>ventas_b_mes1[[#This Row],[TOTAL]]/1.21</f>
        <v>0</v>
      </c>
      <c r="I996" s="183">
        <f>ventas_b_mes1[[#This Row],[IMPORTE NETO]]*0.21</f>
        <v>0</v>
      </c>
      <c r="J996" s="184"/>
      <c r="K996" s="184"/>
      <c r="L996" s="184"/>
      <c r="M996" s="59"/>
    </row>
    <row r="997" spans="2:13" x14ac:dyDescent="0.3">
      <c r="B997" s="178"/>
      <c r="C997" s="179"/>
      <c r="D997" s="180"/>
      <c r="E997" s="181"/>
      <c r="F997" s="182"/>
      <c r="G997" s="1" t="str">
        <f>IFERROR(IF(ventas_b_mes1[[#This Row],[CUIT]]="","-",VLOOKUP(ventas_b_mes1[[#This Row],[CUIT]],Lista_CUIT[#All],2,0)),"CUIT NO CARGADO")</f>
        <v>-</v>
      </c>
      <c r="H997" s="64">
        <f>ventas_b_mes1[[#This Row],[TOTAL]]/1.21</f>
        <v>0</v>
      </c>
      <c r="I997" s="183">
        <f>ventas_b_mes1[[#This Row],[IMPORTE NETO]]*0.21</f>
        <v>0</v>
      </c>
      <c r="J997" s="184"/>
      <c r="K997" s="184"/>
      <c r="L997" s="184"/>
      <c r="M997" s="59"/>
    </row>
    <row r="998" spans="2:13" x14ac:dyDescent="0.3">
      <c r="B998" s="178"/>
      <c r="C998" s="179"/>
      <c r="D998" s="180"/>
      <c r="E998" s="181"/>
      <c r="F998" s="182"/>
      <c r="G998" s="1" t="str">
        <f>IFERROR(IF(ventas_b_mes1[[#This Row],[CUIT]]="","-",VLOOKUP(ventas_b_mes1[[#This Row],[CUIT]],Lista_CUIT[#All],2,0)),"CUIT NO CARGADO")</f>
        <v>-</v>
      </c>
      <c r="H998" s="64">
        <f>ventas_b_mes1[[#This Row],[TOTAL]]/1.21</f>
        <v>0</v>
      </c>
      <c r="I998" s="183">
        <f>ventas_b_mes1[[#This Row],[IMPORTE NETO]]*0.21</f>
        <v>0</v>
      </c>
      <c r="J998" s="184"/>
      <c r="K998" s="184"/>
      <c r="L998" s="184"/>
      <c r="M998" s="59"/>
    </row>
    <row r="999" spans="2:13" x14ac:dyDescent="0.3">
      <c r="B999" s="178"/>
      <c r="C999" s="179"/>
      <c r="D999" s="180"/>
      <c r="E999" s="181"/>
      <c r="F999" s="182"/>
      <c r="G999" s="1" t="str">
        <f>IFERROR(IF(ventas_b_mes1[[#This Row],[CUIT]]="","-",VLOOKUP(ventas_b_mes1[[#This Row],[CUIT]],Lista_CUIT[#All],2,0)),"CUIT NO CARGADO")</f>
        <v>-</v>
      </c>
      <c r="H999" s="64">
        <f>ventas_b_mes1[[#This Row],[TOTAL]]/1.21</f>
        <v>0</v>
      </c>
      <c r="I999" s="183">
        <f>ventas_b_mes1[[#This Row],[IMPORTE NETO]]*0.21</f>
        <v>0</v>
      </c>
      <c r="J999" s="184"/>
      <c r="K999" s="184"/>
      <c r="L999" s="184"/>
      <c r="M999" s="59"/>
    </row>
    <row r="1000" spans="2:13" x14ac:dyDescent="0.3">
      <c r="B1000" s="178"/>
      <c r="C1000" s="179"/>
      <c r="D1000" s="180"/>
      <c r="E1000" s="181"/>
      <c r="F1000" s="182"/>
      <c r="G1000" s="1" t="str">
        <f>IFERROR(IF(ventas_b_mes1[[#This Row],[CUIT]]="","-",VLOOKUP(ventas_b_mes1[[#This Row],[CUIT]],Lista_CUIT[#All],2,0)),"CUIT NO CARGADO")</f>
        <v>-</v>
      </c>
      <c r="H1000" s="64">
        <f>ventas_b_mes1[[#This Row],[TOTAL]]/1.21</f>
        <v>0</v>
      </c>
      <c r="I1000" s="183">
        <f>ventas_b_mes1[[#This Row],[IMPORTE NETO]]*0.21</f>
        <v>0</v>
      </c>
      <c r="J1000" s="184"/>
      <c r="K1000" s="184"/>
      <c r="L1000" s="184"/>
      <c r="M1000" s="59"/>
    </row>
    <row r="1001" spans="2:13" x14ac:dyDescent="0.3">
      <c r="B1001" s="178"/>
      <c r="C1001" s="179"/>
      <c r="D1001" s="180"/>
      <c r="E1001" s="181"/>
      <c r="F1001" s="182"/>
      <c r="G1001" s="1" t="str">
        <f>IFERROR(IF(ventas_b_mes1[[#This Row],[CUIT]]="","-",VLOOKUP(ventas_b_mes1[[#This Row],[CUIT]],Lista_CUIT[#All],2,0)),"CUIT NO CARGADO")</f>
        <v>-</v>
      </c>
      <c r="H1001" s="64">
        <f>ventas_b_mes1[[#This Row],[TOTAL]]/1.21</f>
        <v>0</v>
      </c>
      <c r="I1001" s="183">
        <f>ventas_b_mes1[[#This Row],[IMPORTE NETO]]*0.21</f>
        <v>0</v>
      </c>
      <c r="J1001" s="184"/>
      <c r="K1001" s="184"/>
      <c r="L1001" s="184"/>
      <c r="M1001" s="59"/>
    </row>
    <row r="1002" spans="2:13" x14ac:dyDescent="0.3">
      <c r="B1002" s="178"/>
      <c r="C1002" s="179"/>
      <c r="D1002" s="180"/>
      <c r="E1002" s="181"/>
      <c r="F1002" s="182"/>
      <c r="G1002" s="1" t="str">
        <f>IFERROR(IF(ventas_b_mes1[[#This Row],[CUIT]]="","-",VLOOKUP(ventas_b_mes1[[#This Row],[CUIT]],Lista_CUIT[#All],2,0)),"CUIT NO CARGADO")</f>
        <v>-</v>
      </c>
      <c r="H1002" s="64">
        <f>ventas_b_mes1[[#This Row],[TOTAL]]/1.21</f>
        <v>0</v>
      </c>
      <c r="I1002" s="183">
        <f>ventas_b_mes1[[#This Row],[IMPORTE NETO]]*0.21</f>
        <v>0</v>
      </c>
      <c r="J1002" s="184"/>
      <c r="K1002" s="184"/>
      <c r="L1002" s="184"/>
      <c r="M1002" s="59"/>
    </row>
    <row r="1003" spans="2:13" x14ac:dyDescent="0.3">
      <c r="B1003" s="178"/>
      <c r="C1003" s="179"/>
      <c r="D1003" s="180"/>
      <c r="E1003" s="181"/>
      <c r="F1003" s="182"/>
      <c r="G1003" s="1" t="str">
        <f>IFERROR(IF(ventas_b_mes1[[#This Row],[CUIT]]="","-",VLOOKUP(ventas_b_mes1[[#This Row],[CUIT]],Lista_CUIT[#All],2,0)),"CUIT NO CARGADO")</f>
        <v>-</v>
      </c>
      <c r="H1003" s="64">
        <f>ventas_b_mes1[[#This Row],[TOTAL]]/1.21</f>
        <v>0</v>
      </c>
      <c r="I1003" s="183">
        <f>ventas_b_mes1[[#This Row],[IMPORTE NETO]]*0.21</f>
        <v>0</v>
      </c>
      <c r="J1003" s="184"/>
      <c r="K1003" s="184"/>
      <c r="L1003" s="184"/>
      <c r="M1003" s="59"/>
    </row>
    <row r="1004" spans="2:13" x14ac:dyDescent="0.3">
      <c r="B1004" s="178"/>
      <c r="C1004" s="179"/>
      <c r="D1004" s="180"/>
      <c r="E1004" s="181"/>
      <c r="F1004" s="182"/>
      <c r="G1004" s="1" t="str">
        <f>IFERROR(IF(ventas_b_mes1[[#This Row],[CUIT]]="","-",VLOOKUP(ventas_b_mes1[[#This Row],[CUIT]],Lista_CUIT[#All],2,0)),"CUIT NO CARGADO")</f>
        <v>-</v>
      </c>
      <c r="H1004" s="64">
        <f>ventas_b_mes1[[#This Row],[TOTAL]]/1.21</f>
        <v>0</v>
      </c>
      <c r="I1004" s="183">
        <f>ventas_b_mes1[[#This Row],[IMPORTE NETO]]*0.21</f>
        <v>0</v>
      </c>
      <c r="J1004" s="184"/>
      <c r="K1004" s="184"/>
      <c r="L1004" s="184"/>
      <c r="M1004" s="59"/>
    </row>
    <row r="1005" spans="2:13" x14ac:dyDescent="0.3">
      <c r="B1005" s="178"/>
      <c r="C1005" s="179"/>
      <c r="D1005" s="180"/>
      <c r="E1005" s="181"/>
      <c r="F1005" s="182"/>
      <c r="G1005" s="1" t="str">
        <f>IFERROR(IF(ventas_b_mes1[[#This Row],[CUIT]]="","-",VLOOKUP(ventas_b_mes1[[#This Row],[CUIT]],Lista_CUIT[#All],2,0)),"CUIT NO CARGADO")</f>
        <v>-</v>
      </c>
      <c r="H1005" s="64">
        <f>ventas_b_mes1[[#This Row],[TOTAL]]/1.21</f>
        <v>0</v>
      </c>
      <c r="I1005" s="183">
        <f>ventas_b_mes1[[#This Row],[IMPORTE NETO]]*0.21</f>
        <v>0</v>
      </c>
      <c r="J1005" s="184"/>
      <c r="K1005" s="184"/>
      <c r="L1005" s="184"/>
      <c r="M1005" s="59"/>
    </row>
    <row r="1006" spans="2:13" x14ac:dyDescent="0.3">
      <c r="B1006" s="178"/>
      <c r="C1006" s="179"/>
      <c r="D1006" s="180"/>
      <c r="E1006" s="181"/>
      <c r="F1006" s="182"/>
      <c r="G1006" s="1" t="str">
        <f>IFERROR(IF(ventas_b_mes1[[#This Row],[CUIT]]="","-",VLOOKUP(ventas_b_mes1[[#This Row],[CUIT]],Lista_CUIT[#All],2,0)),"CUIT NO CARGADO")</f>
        <v>-</v>
      </c>
      <c r="H1006" s="64">
        <f>ventas_b_mes1[[#This Row],[TOTAL]]/1.21</f>
        <v>0</v>
      </c>
      <c r="I1006" s="183">
        <f>ventas_b_mes1[[#This Row],[IMPORTE NETO]]*0.21</f>
        <v>0</v>
      </c>
      <c r="J1006" s="184"/>
      <c r="K1006" s="184"/>
      <c r="L1006" s="184"/>
      <c r="M1006" s="59"/>
    </row>
    <row r="1007" spans="2:13" x14ac:dyDescent="0.3">
      <c r="B1007" s="178"/>
      <c r="C1007" s="179"/>
      <c r="D1007" s="180"/>
      <c r="E1007" s="181"/>
      <c r="F1007" s="182"/>
      <c r="G1007" s="1" t="str">
        <f>IFERROR(IF(ventas_b_mes1[[#This Row],[CUIT]]="","-",VLOOKUP(ventas_b_mes1[[#This Row],[CUIT]],Lista_CUIT[#All],2,0)),"CUIT NO CARGADO")</f>
        <v>-</v>
      </c>
      <c r="H1007" s="64">
        <f>ventas_b_mes1[[#This Row],[TOTAL]]/1.21</f>
        <v>0</v>
      </c>
      <c r="I1007" s="183">
        <f>ventas_b_mes1[[#This Row],[IMPORTE NETO]]*0.21</f>
        <v>0</v>
      </c>
      <c r="J1007" s="184"/>
      <c r="K1007" s="184"/>
      <c r="L1007" s="184"/>
      <c r="M1007" s="59"/>
    </row>
    <row r="1008" spans="2:13" x14ac:dyDescent="0.3">
      <c r="B1008" s="178"/>
      <c r="C1008" s="179"/>
      <c r="D1008" s="180"/>
      <c r="E1008" s="181"/>
      <c r="F1008" s="182"/>
      <c r="G1008" s="1" t="str">
        <f>IFERROR(IF(ventas_b_mes1[[#This Row],[CUIT]]="","-",VLOOKUP(ventas_b_mes1[[#This Row],[CUIT]],Lista_CUIT[#All],2,0)),"CUIT NO CARGADO")</f>
        <v>-</v>
      </c>
      <c r="H1008" s="64">
        <f>ventas_b_mes1[[#This Row],[TOTAL]]/1.21</f>
        <v>0</v>
      </c>
      <c r="I1008" s="183">
        <f>ventas_b_mes1[[#This Row],[IMPORTE NETO]]*0.21</f>
        <v>0</v>
      </c>
      <c r="J1008" s="184"/>
      <c r="K1008" s="184"/>
      <c r="L1008" s="184"/>
      <c r="M1008" s="59"/>
    </row>
    <row r="1009" spans="2:13" x14ac:dyDescent="0.3">
      <c r="B1009" s="178"/>
      <c r="C1009" s="179"/>
      <c r="D1009" s="180"/>
      <c r="E1009" s="181"/>
      <c r="F1009" s="182"/>
      <c r="G1009" s="1" t="str">
        <f>IFERROR(IF(ventas_b_mes1[[#This Row],[CUIT]]="","-",VLOOKUP(ventas_b_mes1[[#This Row],[CUIT]],Lista_CUIT[#All],2,0)),"CUIT NO CARGADO")</f>
        <v>-</v>
      </c>
      <c r="H1009" s="64">
        <f>ventas_b_mes1[[#This Row],[TOTAL]]/1.21</f>
        <v>0</v>
      </c>
      <c r="I1009" s="183">
        <f>ventas_b_mes1[[#This Row],[IMPORTE NETO]]*0.21</f>
        <v>0</v>
      </c>
      <c r="J1009" s="184"/>
      <c r="K1009" s="184"/>
      <c r="L1009" s="184"/>
      <c r="M1009" s="59"/>
    </row>
    <row r="1010" spans="2:13" x14ac:dyDescent="0.3">
      <c r="B1010" s="178"/>
      <c r="C1010" s="179"/>
      <c r="D1010" s="180"/>
      <c r="E1010" s="181"/>
      <c r="F1010" s="182"/>
      <c r="G1010" s="1" t="str">
        <f>IFERROR(IF(ventas_b_mes1[[#This Row],[CUIT]]="","-",VLOOKUP(ventas_b_mes1[[#This Row],[CUIT]],Lista_CUIT[#All],2,0)),"CUIT NO CARGADO")</f>
        <v>-</v>
      </c>
      <c r="H1010" s="64">
        <f>ventas_b_mes1[[#This Row],[TOTAL]]/1.21</f>
        <v>0</v>
      </c>
      <c r="I1010" s="183">
        <f>ventas_b_mes1[[#This Row],[IMPORTE NETO]]*0.21</f>
        <v>0</v>
      </c>
      <c r="J1010" s="184"/>
      <c r="K1010" s="184"/>
      <c r="L1010" s="184"/>
      <c r="M1010" s="59"/>
    </row>
    <row r="1011" spans="2:13" x14ac:dyDescent="0.3">
      <c r="B1011" s="178"/>
      <c r="C1011" s="179"/>
      <c r="D1011" s="180"/>
      <c r="E1011" s="181"/>
      <c r="F1011" s="182"/>
      <c r="G1011" s="1" t="str">
        <f>IFERROR(IF(ventas_b_mes1[[#This Row],[CUIT]]="","-",VLOOKUP(ventas_b_mes1[[#This Row],[CUIT]],Lista_CUIT[#All],2,0)),"CUIT NO CARGADO")</f>
        <v>-</v>
      </c>
      <c r="H1011" s="64">
        <f>ventas_b_mes1[[#This Row],[TOTAL]]/1.21</f>
        <v>0</v>
      </c>
      <c r="I1011" s="183">
        <f>ventas_b_mes1[[#This Row],[IMPORTE NETO]]*0.21</f>
        <v>0</v>
      </c>
      <c r="J1011" s="184"/>
      <c r="K1011" s="184"/>
      <c r="L1011" s="184"/>
      <c r="M1011" s="59"/>
    </row>
    <row r="1012" spans="2:13" x14ac:dyDescent="0.3">
      <c r="B1012" s="178"/>
      <c r="C1012" s="179"/>
      <c r="D1012" s="180"/>
      <c r="E1012" s="181"/>
      <c r="F1012" s="182"/>
      <c r="G1012" s="1" t="str">
        <f>IFERROR(IF(ventas_b_mes1[[#This Row],[CUIT]]="","-",VLOOKUP(ventas_b_mes1[[#This Row],[CUIT]],Lista_CUIT[#All],2,0)),"CUIT NO CARGADO")</f>
        <v>-</v>
      </c>
      <c r="H1012" s="64">
        <f>ventas_b_mes1[[#This Row],[TOTAL]]/1.21</f>
        <v>0</v>
      </c>
      <c r="I1012" s="183">
        <f>ventas_b_mes1[[#This Row],[IMPORTE NETO]]*0.21</f>
        <v>0</v>
      </c>
      <c r="J1012" s="184"/>
      <c r="K1012" s="184"/>
      <c r="L1012" s="184"/>
      <c r="M1012" s="59"/>
    </row>
    <row r="1013" spans="2:13" x14ac:dyDescent="0.3">
      <c r="B1013" s="178"/>
      <c r="C1013" s="179"/>
      <c r="D1013" s="180"/>
      <c r="E1013" s="181"/>
      <c r="F1013" s="182"/>
      <c r="G1013" s="1" t="str">
        <f>IFERROR(IF(ventas_b_mes1[[#This Row],[CUIT]]="","-",VLOOKUP(ventas_b_mes1[[#This Row],[CUIT]],Lista_CUIT[#All],2,0)),"CUIT NO CARGADO")</f>
        <v>-</v>
      </c>
      <c r="H1013" s="64">
        <f>ventas_b_mes1[[#This Row],[TOTAL]]/1.21</f>
        <v>0</v>
      </c>
      <c r="I1013" s="183">
        <f>ventas_b_mes1[[#This Row],[IMPORTE NETO]]*0.21</f>
        <v>0</v>
      </c>
      <c r="J1013" s="184"/>
      <c r="K1013" s="184"/>
      <c r="L1013" s="184"/>
      <c r="M1013" s="59"/>
    </row>
    <row r="1014" spans="2:13" x14ac:dyDescent="0.3">
      <c r="B1014" s="178"/>
      <c r="C1014" s="179"/>
      <c r="D1014" s="180"/>
      <c r="E1014" s="181"/>
      <c r="F1014" s="182"/>
      <c r="G1014" s="1" t="str">
        <f>IFERROR(IF(ventas_b_mes1[[#This Row],[CUIT]]="","-",VLOOKUP(ventas_b_mes1[[#This Row],[CUIT]],Lista_CUIT[#All],2,0)),"CUIT NO CARGADO")</f>
        <v>-</v>
      </c>
      <c r="H1014" s="64">
        <f>ventas_b_mes1[[#This Row],[TOTAL]]/1.21</f>
        <v>0</v>
      </c>
      <c r="I1014" s="183">
        <f>ventas_b_mes1[[#This Row],[IMPORTE NETO]]*0.21</f>
        <v>0</v>
      </c>
      <c r="J1014" s="184"/>
      <c r="K1014" s="184"/>
      <c r="L1014" s="184"/>
      <c r="M1014" s="59"/>
    </row>
    <row r="1015" spans="2:13" x14ac:dyDescent="0.3">
      <c r="B1015" s="178"/>
      <c r="C1015" s="179"/>
      <c r="D1015" s="180"/>
      <c r="E1015" s="181"/>
      <c r="F1015" s="182"/>
      <c r="G1015" s="1" t="str">
        <f>IFERROR(IF(ventas_b_mes1[[#This Row],[CUIT]]="","-",VLOOKUP(ventas_b_mes1[[#This Row],[CUIT]],Lista_CUIT[#All],2,0)),"CUIT NO CARGADO")</f>
        <v>-</v>
      </c>
      <c r="H1015" s="64">
        <f>ventas_b_mes1[[#This Row],[TOTAL]]/1.21</f>
        <v>0</v>
      </c>
      <c r="I1015" s="183">
        <f>ventas_b_mes1[[#This Row],[IMPORTE NETO]]*0.21</f>
        <v>0</v>
      </c>
      <c r="J1015" s="184"/>
      <c r="K1015" s="184"/>
      <c r="L1015" s="184"/>
      <c r="M1015" s="59"/>
    </row>
    <row r="1016" spans="2:13" x14ac:dyDescent="0.3">
      <c r="B1016" s="178"/>
      <c r="C1016" s="179"/>
      <c r="D1016" s="180"/>
      <c r="E1016" s="181"/>
      <c r="F1016" s="182"/>
      <c r="G1016" s="1" t="str">
        <f>IFERROR(IF(ventas_b_mes1[[#This Row],[CUIT]]="","-",VLOOKUP(ventas_b_mes1[[#This Row],[CUIT]],Lista_CUIT[#All],2,0)),"CUIT NO CARGADO")</f>
        <v>-</v>
      </c>
      <c r="H1016" s="64">
        <f>ventas_b_mes1[[#This Row],[TOTAL]]/1.21</f>
        <v>0</v>
      </c>
      <c r="I1016" s="183">
        <f>ventas_b_mes1[[#This Row],[IMPORTE NETO]]*0.21</f>
        <v>0</v>
      </c>
      <c r="J1016" s="184"/>
      <c r="K1016" s="184"/>
      <c r="L1016" s="184"/>
      <c r="M1016" s="59"/>
    </row>
    <row r="1017" spans="2:13" x14ac:dyDescent="0.3">
      <c r="B1017" s="178"/>
      <c r="C1017" s="179"/>
      <c r="D1017" s="180"/>
      <c r="E1017" s="181"/>
      <c r="F1017" s="182"/>
      <c r="G1017" s="1" t="str">
        <f>IFERROR(IF(ventas_b_mes1[[#This Row],[CUIT]]="","-",VLOOKUP(ventas_b_mes1[[#This Row],[CUIT]],Lista_CUIT[#All],2,0)),"CUIT NO CARGADO")</f>
        <v>-</v>
      </c>
      <c r="H1017" s="64">
        <f>ventas_b_mes1[[#This Row],[TOTAL]]/1.21</f>
        <v>0</v>
      </c>
      <c r="I1017" s="183">
        <f>ventas_b_mes1[[#This Row],[IMPORTE NETO]]*0.21</f>
        <v>0</v>
      </c>
      <c r="J1017" s="184"/>
      <c r="K1017" s="184"/>
      <c r="L1017" s="184"/>
      <c r="M1017" s="59"/>
    </row>
    <row r="1018" spans="2:13" x14ac:dyDescent="0.3">
      <c r="B1018" s="178"/>
      <c r="C1018" s="179"/>
      <c r="D1018" s="180"/>
      <c r="E1018" s="181"/>
      <c r="F1018" s="182"/>
      <c r="G1018" s="1" t="str">
        <f>IFERROR(IF(ventas_b_mes1[[#This Row],[CUIT]]="","-",VLOOKUP(ventas_b_mes1[[#This Row],[CUIT]],Lista_CUIT[#All],2,0)),"CUIT NO CARGADO")</f>
        <v>-</v>
      </c>
      <c r="H1018" s="64">
        <f>ventas_b_mes1[[#This Row],[TOTAL]]/1.21</f>
        <v>0</v>
      </c>
      <c r="I1018" s="183">
        <f>ventas_b_mes1[[#This Row],[IMPORTE NETO]]*0.21</f>
        <v>0</v>
      </c>
      <c r="J1018" s="184"/>
      <c r="K1018" s="184"/>
      <c r="L1018" s="184"/>
      <c r="M1018" s="59"/>
    </row>
    <row r="1019" spans="2:13" x14ac:dyDescent="0.3">
      <c r="B1019" s="178"/>
      <c r="C1019" s="179"/>
      <c r="D1019" s="180"/>
      <c r="E1019" s="181"/>
      <c r="F1019" s="182"/>
      <c r="G1019" s="1" t="str">
        <f>IFERROR(IF(ventas_b_mes1[[#This Row],[CUIT]]="","-",VLOOKUP(ventas_b_mes1[[#This Row],[CUIT]],Lista_CUIT[#All],2,0)),"CUIT NO CARGADO")</f>
        <v>-</v>
      </c>
      <c r="H1019" s="64">
        <f>ventas_b_mes1[[#This Row],[TOTAL]]/1.21</f>
        <v>0</v>
      </c>
      <c r="I1019" s="183">
        <f>ventas_b_mes1[[#This Row],[IMPORTE NETO]]*0.21</f>
        <v>0</v>
      </c>
      <c r="J1019" s="184"/>
      <c r="K1019" s="184"/>
      <c r="L1019" s="184"/>
      <c r="M1019" s="59"/>
    </row>
    <row r="1020" spans="2:13" x14ac:dyDescent="0.3">
      <c r="B1020" s="178"/>
      <c r="C1020" s="179"/>
      <c r="D1020" s="180"/>
      <c r="E1020" s="181"/>
      <c r="F1020" s="182"/>
      <c r="G1020" s="1" t="str">
        <f>IFERROR(IF(ventas_b_mes1[[#This Row],[CUIT]]="","-",VLOOKUP(ventas_b_mes1[[#This Row],[CUIT]],Lista_CUIT[#All],2,0)),"CUIT NO CARGADO")</f>
        <v>-</v>
      </c>
      <c r="H1020" s="64">
        <f>ventas_b_mes1[[#This Row],[TOTAL]]/1.21</f>
        <v>0</v>
      </c>
      <c r="I1020" s="183">
        <f>ventas_b_mes1[[#This Row],[IMPORTE NETO]]*0.21</f>
        <v>0</v>
      </c>
      <c r="J1020" s="184"/>
      <c r="K1020" s="184"/>
      <c r="L1020" s="184"/>
      <c r="M1020" s="59"/>
    </row>
    <row r="1021" spans="2:13" x14ac:dyDescent="0.3">
      <c r="B1021" s="178"/>
      <c r="C1021" s="179"/>
      <c r="D1021" s="180"/>
      <c r="E1021" s="181"/>
      <c r="F1021" s="182"/>
      <c r="G1021" s="1" t="str">
        <f>IFERROR(IF(ventas_b_mes1[[#This Row],[CUIT]]="","-",VLOOKUP(ventas_b_mes1[[#This Row],[CUIT]],Lista_CUIT[#All],2,0)),"CUIT NO CARGADO")</f>
        <v>-</v>
      </c>
      <c r="H1021" s="64">
        <f>ventas_b_mes1[[#This Row],[TOTAL]]/1.21</f>
        <v>0</v>
      </c>
      <c r="I1021" s="183">
        <f>ventas_b_mes1[[#This Row],[IMPORTE NETO]]*0.21</f>
        <v>0</v>
      </c>
      <c r="J1021" s="184"/>
      <c r="K1021" s="184"/>
      <c r="L1021" s="184"/>
      <c r="M1021" s="59"/>
    </row>
    <row r="1022" spans="2:13" x14ac:dyDescent="0.3">
      <c r="B1022" s="178"/>
      <c r="C1022" s="179"/>
      <c r="D1022" s="180"/>
      <c r="E1022" s="181"/>
      <c r="F1022" s="182"/>
      <c r="G1022" s="1" t="str">
        <f>IFERROR(IF(ventas_b_mes1[[#This Row],[CUIT]]="","-",VLOOKUP(ventas_b_mes1[[#This Row],[CUIT]],Lista_CUIT[#All],2,0)),"CUIT NO CARGADO")</f>
        <v>-</v>
      </c>
      <c r="H1022" s="64">
        <f>ventas_b_mes1[[#This Row],[TOTAL]]/1.21</f>
        <v>0</v>
      </c>
      <c r="I1022" s="183">
        <f>ventas_b_mes1[[#This Row],[IMPORTE NETO]]*0.21</f>
        <v>0</v>
      </c>
      <c r="J1022" s="184"/>
      <c r="K1022" s="184"/>
      <c r="L1022" s="184"/>
      <c r="M1022" s="59"/>
    </row>
    <row r="1023" spans="2:13" x14ac:dyDescent="0.3">
      <c r="B1023" s="178"/>
      <c r="C1023" s="179"/>
      <c r="D1023" s="180"/>
      <c r="E1023" s="181"/>
      <c r="F1023" s="182"/>
      <c r="G1023" s="1" t="str">
        <f>IFERROR(IF(ventas_b_mes1[[#This Row],[CUIT]]="","-",VLOOKUP(ventas_b_mes1[[#This Row],[CUIT]],Lista_CUIT[#All],2,0)),"CUIT NO CARGADO")</f>
        <v>-</v>
      </c>
      <c r="H1023" s="64">
        <f>ventas_b_mes1[[#This Row],[TOTAL]]/1.21</f>
        <v>0</v>
      </c>
      <c r="I1023" s="183">
        <f>ventas_b_mes1[[#This Row],[IMPORTE NETO]]*0.21</f>
        <v>0</v>
      </c>
      <c r="J1023" s="184"/>
      <c r="K1023" s="184"/>
      <c r="L1023" s="184"/>
      <c r="M1023" s="59"/>
    </row>
    <row r="1024" spans="2:13" x14ac:dyDescent="0.3">
      <c r="B1024" s="178"/>
      <c r="C1024" s="179"/>
      <c r="D1024" s="180"/>
      <c r="E1024" s="181"/>
      <c r="F1024" s="182"/>
      <c r="G1024" s="1" t="str">
        <f>IFERROR(IF(ventas_b_mes1[[#This Row],[CUIT]]="","-",VLOOKUP(ventas_b_mes1[[#This Row],[CUIT]],Lista_CUIT[#All],2,0)),"CUIT NO CARGADO")</f>
        <v>-</v>
      </c>
      <c r="H1024" s="64">
        <f>ventas_b_mes1[[#This Row],[TOTAL]]/1.21</f>
        <v>0</v>
      </c>
      <c r="I1024" s="183">
        <f>ventas_b_mes1[[#This Row],[IMPORTE NETO]]*0.21</f>
        <v>0</v>
      </c>
      <c r="J1024" s="184"/>
      <c r="K1024" s="184"/>
      <c r="L1024" s="184"/>
      <c r="M1024" s="59"/>
    </row>
    <row r="1025" spans="2:13" x14ac:dyDescent="0.3">
      <c r="B1025" s="178"/>
      <c r="C1025" s="179"/>
      <c r="D1025" s="180"/>
      <c r="E1025" s="181"/>
      <c r="F1025" s="182"/>
      <c r="G1025" s="1" t="str">
        <f>IFERROR(IF(ventas_b_mes1[[#This Row],[CUIT]]="","-",VLOOKUP(ventas_b_mes1[[#This Row],[CUIT]],Lista_CUIT[#All],2,0)),"CUIT NO CARGADO")</f>
        <v>-</v>
      </c>
      <c r="H1025" s="64">
        <f>ventas_b_mes1[[#This Row],[TOTAL]]/1.21</f>
        <v>0</v>
      </c>
      <c r="I1025" s="183">
        <f>ventas_b_mes1[[#This Row],[IMPORTE NETO]]*0.21</f>
        <v>0</v>
      </c>
      <c r="J1025" s="184"/>
      <c r="K1025" s="184"/>
      <c r="L1025" s="184"/>
      <c r="M1025" s="59"/>
    </row>
    <row r="1026" spans="2:13" x14ac:dyDescent="0.3">
      <c r="B1026" s="178"/>
      <c r="C1026" s="179"/>
      <c r="D1026" s="180"/>
      <c r="E1026" s="181"/>
      <c r="F1026" s="182"/>
      <c r="G1026" s="1" t="str">
        <f>IFERROR(IF(ventas_b_mes1[[#This Row],[CUIT]]="","-",VLOOKUP(ventas_b_mes1[[#This Row],[CUIT]],Lista_CUIT[#All],2,0)),"CUIT NO CARGADO")</f>
        <v>-</v>
      </c>
      <c r="H1026" s="64">
        <f>ventas_b_mes1[[#This Row],[TOTAL]]/1.21</f>
        <v>0</v>
      </c>
      <c r="I1026" s="183">
        <f>ventas_b_mes1[[#This Row],[IMPORTE NETO]]*0.21</f>
        <v>0</v>
      </c>
      <c r="J1026" s="184"/>
      <c r="K1026" s="184"/>
      <c r="L1026" s="184"/>
      <c r="M1026" s="59"/>
    </row>
    <row r="1027" spans="2:13" x14ac:dyDescent="0.3">
      <c r="B1027" s="178"/>
      <c r="C1027" s="179"/>
      <c r="D1027" s="180"/>
      <c r="E1027" s="181"/>
      <c r="F1027" s="182"/>
      <c r="G1027" s="1" t="str">
        <f>IFERROR(IF(ventas_b_mes1[[#This Row],[CUIT]]="","-",VLOOKUP(ventas_b_mes1[[#This Row],[CUIT]],Lista_CUIT[#All],2,0)),"CUIT NO CARGADO")</f>
        <v>-</v>
      </c>
      <c r="H1027" s="64">
        <f>ventas_b_mes1[[#This Row],[TOTAL]]/1.21</f>
        <v>0</v>
      </c>
      <c r="I1027" s="183">
        <f>ventas_b_mes1[[#This Row],[IMPORTE NETO]]*0.21</f>
        <v>0</v>
      </c>
      <c r="J1027" s="184"/>
      <c r="K1027" s="184"/>
      <c r="L1027" s="184"/>
      <c r="M1027" s="59"/>
    </row>
    <row r="1028" spans="2:13" x14ac:dyDescent="0.3">
      <c r="B1028" s="178"/>
      <c r="C1028" s="179"/>
      <c r="D1028" s="180"/>
      <c r="E1028" s="181"/>
      <c r="F1028" s="182"/>
      <c r="G1028" s="1" t="str">
        <f>IFERROR(IF(ventas_b_mes1[[#This Row],[CUIT]]="","-",VLOOKUP(ventas_b_mes1[[#This Row],[CUIT]],Lista_CUIT[#All],2,0)),"CUIT NO CARGADO")</f>
        <v>-</v>
      </c>
      <c r="H1028" s="64">
        <f>ventas_b_mes1[[#This Row],[TOTAL]]/1.21</f>
        <v>0</v>
      </c>
      <c r="I1028" s="183">
        <f>ventas_b_mes1[[#This Row],[IMPORTE NETO]]*0.21</f>
        <v>0</v>
      </c>
      <c r="J1028" s="184"/>
      <c r="K1028" s="184"/>
      <c r="L1028" s="184"/>
      <c r="M1028" s="59"/>
    </row>
    <row r="1029" spans="2:13" x14ac:dyDescent="0.3">
      <c r="B1029" s="178"/>
      <c r="C1029" s="179"/>
      <c r="D1029" s="180"/>
      <c r="E1029" s="181"/>
      <c r="F1029" s="182"/>
      <c r="G1029" s="1" t="str">
        <f>IFERROR(IF(ventas_b_mes1[[#This Row],[CUIT]]="","-",VLOOKUP(ventas_b_mes1[[#This Row],[CUIT]],Lista_CUIT[#All],2,0)),"CUIT NO CARGADO")</f>
        <v>-</v>
      </c>
      <c r="H1029" s="64">
        <f>ventas_b_mes1[[#This Row],[TOTAL]]/1.21</f>
        <v>0</v>
      </c>
      <c r="I1029" s="183">
        <f>ventas_b_mes1[[#This Row],[IMPORTE NETO]]*0.21</f>
        <v>0</v>
      </c>
      <c r="J1029" s="184"/>
      <c r="K1029" s="184"/>
      <c r="L1029" s="184"/>
      <c r="M1029" s="59"/>
    </row>
    <row r="1030" spans="2:13" x14ac:dyDescent="0.3">
      <c r="B1030" s="178"/>
      <c r="C1030" s="179"/>
      <c r="D1030" s="180"/>
      <c r="E1030" s="181"/>
      <c r="F1030" s="182"/>
      <c r="G1030" s="1" t="str">
        <f>IFERROR(IF(ventas_b_mes1[[#This Row],[CUIT]]="","-",VLOOKUP(ventas_b_mes1[[#This Row],[CUIT]],Lista_CUIT[#All],2,0)),"CUIT NO CARGADO")</f>
        <v>-</v>
      </c>
      <c r="H1030" s="64">
        <f>ventas_b_mes1[[#This Row],[TOTAL]]/1.21</f>
        <v>0</v>
      </c>
      <c r="I1030" s="183">
        <f>ventas_b_mes1[[#This Row],[IMPORTE NETO]]*0.21</f>
        <v>0</v>
      </c>
      <c r="J1030" s="184"/>
      <c r="K1030" s="184"/>
      <c r="L1030" s="184"/>
      <c r="M1030" s="59"/>
    </row>
    <row r="1031" spans="2:13" x14ac:dyDescent="0.3">
      <c r="B1031" s="178"/>
      <c r="C1031" s="179"/>
      <c r="D1031" s="180"/>
      <c r="E1031" s="181"/>
      <c r="F1031" s="182"/>
      <c r="G1031" s="1" t="str">
        <f>IFERROR(IF(ventas_b_mes1[[#This Row],[CUIT]]="","-",VLOOKUP(ventas_b_mes1[[#This Row],[CUIT]],Lista_CUIT[#All],2,0)),"CUIT NO CARGADO")</f>
        <v>-</v>
      </c>
      <c r="H1031" s="64">
        <f>ventas_b_mes1[[#This Row],[TOTAL]]/1.21</f>
        <v>0</v>
      </c>
      <c r="I1031" s="183">
        <f>ventas_b_mes1[[#This Row],[IMPORTE NETO]]*0.21</f>
        <v>0</v>
      </c>
      <c r="J1031" s="184"/>
      <c r="K1031" s="184"/>
      <c r="L1031" s="184"/>
      <c r="M1031" s="59"/>
    </row>
    <row r="1032" spans="2:13" x14ac:dyDescent="0.3">
      <c r="B1032" s="178"/>
      <c r="C1032" s="179"/>
      <c r="D1032" s="180"/>
      <c r="E1032" s="181"/>
      <c r="F1032" s="182"/>
      <c r="G1032" s="1" t="str">
        <f>IFERROR(IF(ventas_b_mes1[[#This Row],[CUIT]]="","-",VLOOKUP(ventas_b_mes1[[#This Row],[CUIT]],Lista_CUIT[#All],2,0)),"CUIT NO CARGADO")</f>
        <v>-</v>
      </c>
      <c r="H1032" s="64">
        <f>ventas_b_mes1[[#This Row],[TOTAL]]/1.21</f>
        <v>0</v>
      </c>
      <c r="I1032" s="183">
        <f>ventas_b_mes1[[#This Row],[IMPORTE NETO]]*0.21</f>
        <v>0</v>
      </c>
      <c r="J1032" s="184"/>
      <c r="K1032" s="184"/>
      <c r="L1032" s="184"/>
      <c r="M1032" s="59"/>
    </row>
    <row r="1033" spans="2:13" x14ac:dyDescent="0.3">
      <c r="B1033" s="178"/>
      <c r="C1033" s="179"/>
      <c r="D1033" s="180"/>
      <c r="E1033" s="181"/>
      <c r="F1033" s="182"/>
      <c r="G1033" s="1" t="str">
        <f>IFERROR(IF(ventas_b_mes1[[#This Row],[CUIT]]="","-",VLOOKUP(ventas_b_mes1[[#This Row],[CUIT]],Lista_CUIT[#All],2,0)),"CUIT NO CARGADO")</f>
        <v>-</v>
      </c>
      <c r="H1033" s="64">
        <f>ventas_b_mes1[[#This Row],[TOTAL]]/1.21</f>
        <v>0</v>
      </c>
      <c r="I1033" s="183">
        <f>ventas_b_mes1[[#This Row],[IMPORTE NETO]]*0.21</f>
        <v>0</v>
      </c>
      <c r="J1033" s="184"/>
      <c r="K1033" s="184"/>
      <c r="L1033" s="184"/>
      <c r="M1033" s="59"/>
    </row>
    <row r="1034" spans="2:13" x14ac:dyDescent="0.3">
      <c r="B1034" s="178"/>
      <c r="C1034" s="179"/>
      <c r="D1034" s="180"/>
      <c r="E1034" s="181"/>
      <c r="F1034" s="182"/>
      <c r="G1034" s="1" t="str">
        <f>IFERROR(IF(ventas_b_mes1[[#This Row],[CUIT]]="","-",VLOOKUP(ventas_b_mes1[[#This Row],[CUIT]],Lista_CUIT[#All],2,0)),"CUIT NO CARGADO")</f>
        <v>-</v>
      </c>
      <c r="H1034" s="64">
        <f>ventas_b_mes1[[#This Row],[TOTAL]]/1.21</f>
        <v>0</v>
      </c>
      <c r="I1034" s="183">
        <f>ventas_b_mes1[[#This Row],[IMPORTE NETO]]*0.21</f>
        <v>0</v>
      </c>
      <c r="J1034" s="184"/>
      <c r="K1034" s="184"/>
      <c r="L1034" s="184"/>
      <c r="M1034" s="59"/>
    </row>
    <row r="1035" spans="2:13" x14ac:dyDescent="0.3">
      <c r="B1035" s="178"/>
      <c r="C1035" s="179"/>
      <c r="D1035" s="180"/>
      <c r="E1035" s="181"/>
      <c r="F1035" s="182"/>
      <c r="G1035" s="1" t="str">
        <f>IFERROR(IF(ventas_b_mes1[[#This Row],[CUIT]]="","-",VLOOKUP(ventas_b_mes1[[#This Row],[CUIT]],Lista_CUIT[#All],2,0)),"CUIT NO CARGADO")</f>
        <v>-</v>
      </c>
      <c r="H1035" s="64">
        <f>ventas_b_mes1[[#This Row],[TOTAL]]/1.21</f>
        <v>0</v>
      </c>
      <c r="I1035" s="183">
        <f>ventas_b_mes1[[#This Row],[IMPORTE NETO]]*0.21</f>
        <v>0</v>
      </c>
      <c r="J1035" s="184"/>
      <c r="K1035" s="184"/>
      <c r="L1035" s="184"/>
      <c r="M1035" s="59"/>
    </row>
    <row r="1036" spans="2:13" x14ac:dyDescent="0.3">
      <c r="B1036" s="178"/>
      <c r="C1036" s="179"/>
      <c r="D1036" s="180"/>
      <c r="E1036" s="181"/>
      <c r="F1036" s="182"/>
      <c r="G1036" s="1" t="str">
        <f>IFERROR(IF(ventas_b_mes1[[#This Row],[CUIT]]="","-",VLOOKUP(ventas_b_mes1[[#This Row],[CUIT]],Lista_CUIT[#All],2,0)),"CUIT NO CARGADO")</f>
        <v>-</v>
      </c>
      <c r="H1036" s="64">
        <f>ventas_b_mes1[[#This Row],[TOTAL]]/1.21</f>
        <v>0</v>
      </c>
      <c r="I1036" s="183">
        <f>ventas_b_mes1[[#This Row],[IMPORTE NETO]]*0.21</f>
        <v>0</v>
      </c>
      <c r="J1036" s="184"/>
      <c r="K1036" s="184"/>
      <c r="L1036" s="184"/>
      <c r="M1036" s="59"/>
    </row>
    <row r="1037" spans="2:13" x14ac:dyDescent="0.3">
      <c r="B1037" s="178"/>
      <c r="C1037" s="179"/>
      <c r="D1037" s="180"/>
      <c r="E1037" s="181"/>
      <c r="F1037" s="182"/>
      <c r="G1037" s="1" t="str">
        <f>IFERROR(IF(ventas_b_mes1[[#This Row],[CUIT]]="","-",VLOOKUP(ventas_b_mes1[[#This Row],[CUIT]],Lista_CUIT[#All],2,0)),"CUIT NO CARGADO")</f>
        <v>-</v>
      </c>
      <c r="H1037" s="64">
        <f>ventas_b_mes1[[#This Row],[TOTAL]]/1.21</f>
        <v>0</v>
      </c>
      <c r="I1037" s="183">
        <f>ventas_b_mes1[[#This Row],[IMPORTE NETO]]*0.21</f>
        <v>0</v>
      </c>
      <c r="J1037" s="184"/>
      <c r="K1037" s="184"/>
      <c r="L1037" s="184"/>
      <c r="M1037" s="59"/>
    </row>
    <row r="1038" spans="2:13" x14ac:dyDescent="0.3">
      <c r="B1038" s="178"/>
      <c r="C1038" s="179"/>
      <c r="D1038" s="180"/>
      <c r="E1038" s="181"/>
      <c r="F1038" s="182"/>
      <c r="G1038" s="1" t="str">
        <f>IFERROR(IF(ventas_b_mes1[[#This Row],[CUIT]]="","-",VLOOKUP(ventas_b_mes1[[#This Row],[CUIT]],Lista_CUIT[#All],2,0)),"CUIT NO CARGADO")</f>
        <v>-</v>
      </c>
      <c r="H1038" s="64">
        <f>ventas_b_mes1[[#This Row],[TOTAL]]/1.21</f>
        <v>0</v>
      </c>
      <c r="I1038" s="183">
        <f>ventas_b_mes1[[#This Row],[IMPORTE NETO]]*0.21</f>
        <v>0</v>
      </c>
      <c r="J1038" s="184"/>
      <c r="K1038" s="184"/>
      <c r="L1038" s="184"/>
      <c r="M1038" s="59"/>
    </row>
    <row r="1039" spans="2:13" x14ac:dyDescent="0.3">
      <c r="B1039" s="178"/>
      <c r="C1039" s="179"/>
      <c r="D1039" s="180"/>
      <c r="E1039" s="181"/>
      <c r="F1039" s="182"/>
      <c r="G1039" s="1" t="str">
        <f>IFERROR(IF(ventas_b_mes1[[#This Row],[CUIT]]="","-",VLOOKUP(ventas_b_mes1[[#This Row],[CUIT]],Lista_CUIT[#All],2,0)),"CUIT NO CARGADO")</f>
        <v>-</v>
      </c>
      <c r="H1039" s="64">
        <f>ventas_b_mes1[[#This Row],[TOTAL]]/1.21</f>
        <v>0</v>
      </c>
      <c r="I1039" s="183">
        <f>ventas_b_mes1[[#This Row],[IMPORTE NETO]]*0.21</f>
        <v>0</v>
      </c>
      <c r="J1039" s="184"/>
      <c r="K1039" s="184"/>
      <c r="L1039" s="184"/>
      <c r="M1039" s="59"/>
    </row>
    <row r="1040" spans="2:13" x14ac:dyDescent="0.3">
      <c r="B1040" s="178"/>
      <c r="C1040" s="179"/>
      <c r="D1040" s="180"/>
      <c r="E1040" s="181"/>
      <c r="F1040" s="182"/>
      <c r="G1040" s="1" t="str">
        <f>IFERROR(IF(ventas_b_mes1[[#This Row],[CUIT]]="","-",VLOOKUP(ventas_b_mes1[[#This Row],[CUIT]],Lista_CUIT[#All],2,0)),"CUIT NO CARGADO")</f>
        <v>-</v>
      </c>
      <c r="H1040" s="64">
        <f>ventas_b_mes1[[#This Row],[TOTAL]]/1.21</f>
        <v>0</v>
      </c>
      <c r="I1040" s="183">
        <f>ventas_b_mes1[[#This Row],[IMPORTE NETO]]*0.21</f>
        <v>0</v>
      </c>
      <c r="J1040" s="184"/>
      <c r="K1040" s="184"/>
      <c r="L1040" s="184"/>
      <c r="M1040" s="59"/>
    </row>
    <row r="1041" spans="2:13" x14ac:dyDescent="0.3">
      <c r="B1041" s="178"/>
      <c r="C1041" s="179"/>
      <c r="D1041" s="180"/>
      <c r="E1041" s="181"/>
      <c r="F1041" s="182"/>
      <c r="G1041" s="1" t="str">
        <f>IFERROR(IF(ventas_b_mes1[[#This Row],[CUIT]]="","-",VLOOKUP(ventas_b_mes1[[#This Row],[CUIT]],Lista_CUIT[#All],2,0)),"CUIT NO CARGADO")</f>
        <v>-</v>
      </c>
      <c r="H1041" s="64">
        <f>ventas_b_mes1[[#This Row],[TOTAL]]/1.21</f>
        <v>0</v>
      </c>
      <c r="I1041" s="183">
        <f>ventas_b_mes1[[#This Row],[IMPORTE NETO]]*0.21</f>
        <v>0</v>
      </c>
      <c r="J1041" s="184"/>
      <c r="K1041" s="184"/>
      <c r="L1041" s="184"/>
      <c r="M1041" s="59"/>
    </row>
    <row r="1042" spans="2:13" x14ac:dyDescent="0.3">
      <c r="B1042" s="178"/>
      <c r="C1042" s="179"/>
      <c r="D1042" s="180"/>
      <c r="E1042" s="181"/>
      <c r="F1042" s="182"/>
      <c r="G1042" s="1" t="str">
        <f>IFERROR(IF(ventas_b_mes1[[#This Row],[CUIT]]="","-",VLOOKUP(ventas_b_mes1[[#This Row],[CUIT]],Lista_CUIT[#All],2,0)),"CUIT NO CARGADO")</f>
        <v>-</v>
      </c>
      <c r="H1042" s="64">
        <f>ventas_b_mes1[[#This Row],[TOTAL]]/1.21</f>
        <v>0</v>
      </c>
      <c r="I1042" s="183">
        <f>ventas_b_mes1[[#This Row],[IMPORTE NETO]]*0.21</f>
        <v>0</v>
      </c>
      <c r="J1042" s="184"/>
      <c r="K1042" s="184"/>
      <c r="L1042" s="184"/>
      <c r="M1042" s="59"/>
    </row>
    <row r="1043" spans="2:13" x14ac:dyDescent="0.3">
      <c r="B1043" s="178"/>
      <c r="C1043" s="179"/>
      <c r="D1043" s="180"/>
      <c r="E1043" s="181"/>
      <c r="F1043" s="182"/>
      <c r="G1043" s="1" t="str">
        <f>IFERROR(IF(ventas_b_mes1[[#This Row],[CUIT]]="","-",VLOOKUP(ventas_b_mes1[[#This Row],[CUIT]],Lista_CUIT[#All],2,0)),"CUIT NO CARGADO")</f>
        <v>-</v>
      </c>
      <c r="H1043" s="64">
        <f>ventas_b_mes1[[#This Row],[TOTAL]]/1.21</f>
        <v>0</v>
      </c>
      <c r="I1043" s="183">
        <f>ventas_b_mes1[[#This Row],[IMPORTE NETO]]*0.21</f>
        <v>0</v>
      </c>
      <c r="J1043" s="184"/>
      <c r="K1043" s="184"/>
      <c r="L1043" s="184"/>
      <c r="M1043" s="59"/>
    </row>
    <row r="1044" spans="2:13" x14ac:dyDescent="0.3">
      <c r="B1044" s="178"/>
      <c r="C1044" s="179"/>
      <c r="D1044" s="180"/>
      <c r="E1044" s="181"/>
      <c r="F1044" s="182"/>
      <c r="G1044" s="1" t="str">
        <f>IFERROR(IF(ventas_b_mes1[[#This Row],[CUIT]]="","-",VLOOKUP(ventas_b_mes1[[#This Row],[CUIT]],Lista_CUIT[#All],2,0)),"CUIT NO CARGADO")</f>
        <v>-</v>
      </c>
      <c r="H1044" s="64">
        <f>ventas_b_mes1[[#This Row],[TOTAL]]/1.21</f>
        <v>0</v>
      </c>
      <c r="I1044" s="183">
        <f>ventas_b_mes1[[#This Row],[IMPORTE NETO]]*0.21</f>
        <v>0</v>
      </c>
      <c r="J1044" s="184"/>
      <c r="K1044" s="184"/>
      <c r="L1044" s="184"/>
      <c r="M1044" s="59"/>
    </row>
    <row r="1045" spans="2:13" x14ac:dyDescent="0.3">
      <c r="B1045" s="178"/>
      <c r="C1045" s="179"/>
      <c r="D1045" s="180"/>
      <c r="E1045" s="181"/>
      <c r="F1045" s="182"/>
      <c r="G1045" s="1" t="str">
        <f>IFERROR(IF(ventas_b_mes1[[#This Row],[CUIT]]="","-",VLOOKUP(ventas_b_mes1[[#This Row],[CUIT]],Lista_CUIT[#All],2,0)),"CUIT NO CARGADO")</f>
        <v>-</v>
      </c>
      <c r="H1045" s="64">
        <f>ventas_b_mes1[[#This Row],[TOTAL]]/1.21</f>
        <v>0</v>
      </c>
      <c r="I1045" s="183">
        <f>ventas_b_mes1[[#This Row],[IMPORTE NETO]]*0.21</f>
        <v>0</v>
      </c>
      <c r="J1045" s="184"/>
      <c r="K1045" s="184"/>
      <c r="L1045" s="184"/>
      <c r="M1045" s="59"/>
    </row>
    <row r="1046" spans="2:13" x14ac:dyDescent="0.3">
      <c r="B1046" s="178"/>
      <c r="C1046" s="179"/>
      <c r="D1046" s="180"/>
      <c r="E1046" s="181"/>
      <c r="F1046" s="182"/>
      <c r="G1046" s="1" t="str">
        <f>IFERROR(IF(ventas_b_mes1[[#This Row],[CUIT]]="","-",VLOOKUP(ventas_b_mes1[[#This Row],[CUIT]],Lista_CUIT[#All],2,0)),"CUIT NO CARGADO")</f>
        <v>-</v>
      </c>
      <c r="H1046" s="64">
        <f>ventas_b_mes1[[#This Row],[TOTAL]]/1.21</f>
        <v>0</v>
      </c>
      <c r="I1046" s="183">
        <f>ventas_b_mes1[[#This Row],[IMPORTE NETO]]*0.21</f>
        <v>0</v>
      </c>
      <c r="J1046" s="184"/>
      <c r="K1046" s="184"/>
      <c r="L1046" s="184"/>
      <c r="M1046" s="59"/>
    </row>
    <row r="1047" spans="2:13" x14ac:dyDescent="0.3">
      <c r="B1047" s="178"/>
      <c r="C1047" s="179"/>
      <c r="D1047" s="180"/>
      <c r="E1047" s="181"/>
      <c r="F1047" s="182"/>
      <c r="G1047" s="1" t="str">
        <f>IFERROR(IF(ventas_b_mes1[[#This Row],[CUIT]]="","-",VLOOKUP(ventas_b_mes1[[#This Row],[CUIT]],Lista_CUIT[#All],2,0)),"CUIT NO CARGADO")</f>
        <v>-</v>
      </c>
      <c r="H1047" s="64">
        <f>ventas_b_mes1[[#This Row],[TOTAL]]/1.21</f>
        <v>0</v>
      </c>
      <c r="I1047" s="183">
        <f>ventas_b_mes1[[#This Row],[IMPORTE NETO]]*0.21</f>
        <v>0</v>
      </c>
      <c r="J1047" s="184"/>
      <c r="K1047" s="184"/>
      <c r="L1047" s="184"/>
      <c r="M1047" s="59"/>
    </row>
    <row r="1048" spans="2:13" x14ac:dyDescent="0.3">
      <c r="B1048" s="178"/>
      <c r="C1048" s="179"/>
      <c r="D1048" s="180"/>
      <c r="E1048" s="181"/>
      <c r="F1048" s="182"/>
      <c r="G1048" s="1" t="str">
        <f>IFERROR(IF(ventas_b_mes1[[#This Row],[CUIT]]="","-",VLOOKUP(ventas_b_mes1[[#This Row],[CUIT]],Lista_CUIT[#All],2,0)),"CUIT NO CARGADO")</f>
        <v>-</v>
      </c>
      <c r="H1048" s="64">
        <f>ventas_b_mes1[[#This Row],[TOTAL]]/1.21</f>
        <v>0</v>
      </c>
      <c r="I1048" s="183">
        <f>ventas_b_mes1[[#This Row],[IMPORTE NETO]]*0.21</f>
        <v>0</v>
      </c>
      <c r="J1048" s="184"/>
      <c r="K1048" s="184"/>
      <c r="L1048" s="184"/>
      <c r="M1048" s="59"/>
    </row>
    <row r="1049" spans="2:13" x14ac:dyDescent="0.3">
      <c r="B1049" s="178"/>
      <c r="C1049" s="179"/>
      <c r="D1049" s="180"/>
      <c r="E1049" s="181"/>
      <c r="F1049" s="182"/>
      <c r="G1049" s="1" t="str">
        <f>IFERROR(IF(ventas_b_mes1[[#This Row],[CUIT]]="","-",VLOOKUP(ventas_b_mes1[[#This Row],[CUIT]],Lista_CUIT[#All],2,0)),"CUIT NO CARGADO")</f>
        <v>-</v>
      </c>
      <c r="H1049" s="64">
        <f>ventas_b_mes1[[#This Row],[TOTAL]]/1.21</f>
        <v>0</v>
      </c>
      <c r="I1049" s="183">
        <f>ventas_b_mes1[[#This Row],[IMPORTE NETO]]*0.21</f>
        <v>0</v>
      </c>
      <c r="J1049" s="184"/>
      <c r="K1049" s="184"/>
      <c r="L1049" s="184"/>
      <c r="M1049" s="59"/>
    </row>
    <row r="1050" spans="2:13" x14ac:dyDescent="0.3">
      <c r="B1050" s="178"/>
      <c r="C1050" s="179"/>
      <c r="D1050" s="180"/>
      <c r="E1050" s="181"/>
      <c r="F1050" s="182"/>
      <c r="G1050" s="1" t="str">
        <f>IFERROR(IF(ventas_b_mes1[[#This Row],[CUIT]]="","-",VLOOKUP(ventas_b_mes1[[#This Row],[CUIT]],Lista_CUIT[#All],2,0)),"CUIT NO CARGADO")</f>
        <v>-</v>
      </c>
      <c r="H1050" s="64">
        <f>ventas_b_mes1[[#This Row],[TOTAL]]/1.21</f>
        <v>0</v>
      </c>
      <c r="I1050" s="183">
        <f>ventas_b_mes1[[#This Row],[IMPORTE NETO]]*0.21</f>
        <v>0</v>
      </c>
      <c r="J1050" s="184"/>
      <c r="K1050" s="184"/>
      <c r="L1050" s="184"/>
      <c r="M1050" s="59"/>
    </row>
    <row r="1051" spans="2:13" x14ac:dyDescent="0.3">
      <c r="B1051" s="178"/>
      <c r="C1051" s="179"/>
      <c r="D1051" s="180"/>
      <c r="E1051" s="181"/>
      <c r="F1051" s="182"/>
      <c r="G1051" s="1" t="str">
        <f>IFERROR(IF(ventas_b_mes1[[#This Row],[CUIT]]="","-",VLOOKUP(ventas_b_mes1[[#This Row],[CUIT]],Lista_CUIT[#All],2,0)),"CUIT NO CARGADO")</f>
        <v>-</v>
      </c>
      <c r="H1051" s="64">
        <f>ventas_b_mes1[[#This Row],[TOTAL]]/1.21</f>
        <v>0</v>
      </c>
      <c r="I1051" s="183">
        <f>ventas_b_mes1[[#This Row],[IMPORTE NETO]]*0.21</f>
        <v>0</v>
      </c>
      <c r="J1051" s="184"/>
      <c r="K1051" s="184"/>
      <c r="L1051" s="184"/>
      <c r="M1051" s="59"/>
    </row>
    <row r="1052" spans="2:13" x14ac:dyDescent="0.3">
      <c r="B1052" s="178"/>
      <c r="C1052" s="179"/>
      <c r="D1052" s="180"/>
      <c r="E1052" s="181"/>
      <c r="F1052" s="182"/>
      <c r="G1052" s="1" t="str">
        <f>IFERROR(IF(ventas_b_mes1[[#This Row],[CUIT]]="","-",VLOOKUP(ventas_b_mes1[[#This Row],[CUIT]],Lista_CUIT[#All],2,0)),"CUIT NO CARGADO")</f>
        <v>-</v>
      </c>
      <c r="H1052" s="64">
        <f>ventas_b_mes1[[#This Row],[TOTAL]]/1.21</f>
        <v>0</v>
      </c>
      <c r="I1052" s="183">
        <f>ventas_b_mes1[[#This Row],[IMPORTE NETO]]*0.21</f>
        <v>0</v>
      </c>
      <c r="J1052" s="184"/>
      <c r="K1052" s="184"/>
      <c r="L1052" s="184"/>
      <c r="M1052" s="59"/>
    </row>
    <row r="1053" spans="2:13" x14ac:dyDescent="0.3">
      <c r="B1053" s="178"/>
      <c r="C1053" s="179"/>
      <c r="D1053" s="180"/>
      <c r="E1053" s="181"/>
      <c r="F1053" s="182"/>
      <c r="G1053" s="1" t="str">
        <f>IFERROR(IF(ventas_b_mes1[[#This Row],[CUIT]]="","-",VLOOKUP(ventas_b_mes1[[#This Row],[CUIT]],Lista_CUIT[#All],2,0)),"CUIT NO CARGADO")</f>
        <v>-</v>
      </c>
      <c r="H1053" s="64">
        <f>ventas_b_mes1[[#This Row],[TOTAL]]/1.21</f>
        <v>0</v>
      </c>
      <c r="I1053" s="183">
        <f>ventas_b_mes1[[#This Row],[IMPORTE NETO]]*0.21</f>
        <v>0</v>
      </c>
      <c r="J1053" s="184"/>
      <c r="K1053" s="184"/>
      <c r="L1053" s="184"/>
      <c r="M1053" s="59"/>
    </row>
    <row r="1054" spans="2:13" x14ac:dyDescent="0.3">
      <c r="B1054" s="178"/>
      <c r="C1054" s="179"/>
      <c r="D1054" s="180"/>
      <c r="E1054" s="181"/>
      <c r="F1054" s="182"/>
      <c r="G1054" s="1" t="str">
        <f>IFERROR(IF(ventas_b_mes1[[#This Row],[CUIT]]="","-",VLOOKUP(ventas_b_mes1[[#This Row],[CUIT]],Lista_CUIT[#All],2,0)),"CUIT NO CARGADO")</f>
        <v>-</v>
      </c>
      <c r="H1054" s="64">
        <f>ventas_b_mes1[[#This Row],[TOTAL]]/1.21</f>
        <v>0</v>
      </c>
      <c r="I1054" s="183">
        <f>ventas_b_mes1[[#This Row],[IMPORTE NETO]]*0.21</f>
        <v>0</v>
      </c>
      <c r="J1054" s="184"/>
      <c r="K1054" s="184"/>
      <c r="L1054" s="184"/>
      <c r="M1054" s="59"/>
    </row>
    <row r="1055" spans="2:13" x14ac:dyDescent="0.3">
      <c r="B1055" s="178"/>
      <c r="C1055" s="179"/>
      <c r="D1055" s="180"/>
      <c r="E1055" s="181"/>
      <c r="F1055" s="182"/>
      <c r="G1055" s="1" t="str">
        <f>IFERROR(IF(ventas_b_mes1[[#This Row],[CUIT]]="","-",VLOOKUP(ventas_b_mes1[[#This Row],[CUIT]],Lista_CUIT[#All],2,0)),"CUIT NO CARGADO")</f>
        <v>-</v>
      </c>
      <c r="H1055" s="64">
        <f>ventas_b_mes1[[#This Row],[TOTAL]]/1.21</f>
        <v>0</v>
      </c>
      <c r="I1055" s="183">
        <f>ventas_b_mes1[[#This Row],[IMPORTE NETO]]*0.21</f>
        <v>0</v>
      </c>
      <c r="J1055" s="184"/>
      <c r="K1055" s="184"/>
      <c r="L1055" s="184"/>
      <c r="M1055" s="59"/>
    </row>
    <row r="1056" spans="2:13" x14ac:dyDescent="0.3">
      <c r="B1056" s="178"/>
      <c r="C1056" s="179"/>
      <c r="D1056" s="180"/>
      <c r="E1056" s="181"/>
      <c r="F1056" s="182"/>
      <c r="G1056" s="1" t="str">
        <f>IFERROR(IF(ventas_b_mes1[[#This Row],[CUIT]]="","-",VLOOKUP(ventas_b_mes1[[#This Row],[CUIT]],Lista_CUIT[#All],2,0)),"CUIT NO CARGADO")</f>
        <v>-</v>
      </c>
      <c r="H1056" s="64">
        <f>ventas_b_mes1[[#This Row],[TOTAL]]/1.21</f>
        <v>0</v>
      </c>
      <c r="I1056" s="183">
        <f>ventas_b_mes1[[#This Row],[IMPORTE NETO]]*0.21</f>
        <v>0</v>
      </c>
      <c r="J1056" s="184"/>
      <c r="K1056" s="184"/>
      <c r="L1056" s="184"/>
      <c r="M1056" s="59"/>
    </row>
    <row r="1057" spans="2:13" x14ac:dyDescent="0.3">
      <c r="B1057" s="178"/>
      <c r="C1057" s="179"/>
      <c r="D1057" s="180"/>
      <c r="E1057" s="181"/>
      <c r="F1057" s="182"/>
      <c r="G1057" s="1" t="str">
        <f>IFERROR(IF(ventas_b_mes1[[#This Row],[CUIT]]="","-",VLOOKUP(ventas_b_mes1[[#This Row],[CUIT]],Lista_CUIT[#All],2,0)),"CUIT NO CARGADO")</f>
        <v>-</v>
      </c>
      <c r="H1057" s="64">
        <f>ventas_b_mes1[[#This Row],[TOTAL]]/1.21</f>
        <v>0</v>
      </c>
      <c r="I1057" s="183">
        <f>ventas_b_mes1[[#This Row],[IMPORTE NETO]]*0.21</f>
        <v>0</v>
      </c>
      <c r="J1057" s="184"/>
      <c r="K1057" s="184"/>
      <c r="L1057" s="184"/>
      <c r="M1057" s="59"/>
    </row>
    <row r="1058" spans="2:13" x14ac:dyDescent="0.3">
      <c r="B1058" s="178"/>
      <c r="C1058" s="179"/>
      <c r="D1058" s="180"/>
      <c r="E1058" s="181"/>
      <c r="F1058" s="182"/>
      <c r="G1058" s="1" t="str">
        <f>IFERROR(IF(ventas_b_mes1[[#This Row],[CUIT]]="","-",VLOOKUP(ventas_b_mes1[[#This Row],[CUIT]],Lista_CUIT[#All],2,0)),"CUIT NO CARGADO")</f>
        <v>-</v>
      </c>
      <c r="H1058" s="64">
        <f>ventas_b_mes1[[#This Row],[TOTAL]]/1.21</f>
        <v>0</v>
      </c>
      <c r="I1058" s="183">
        <f>ventas_b_mes1[[#This Row],[IMPORTE NETO]]*0.21</f>
        <v>0</v>
      </c>
      <c r="J1058" s="184"/>
      <c r="K1058" s="184"/>
      <c r="L1058" s="184"/>
      <c r="M1058" s="59"/>
    </row>
    <row r="1059" spans="2:13" x14ac:dyDescent="0.3">
      <c r="B1059" s="178"/>
      <c r="C1059" s="179"/>
      <c r="D1059" s="180"/>
      <c r="E1059" s="181"/>
      <c r="F1059" s="182"/>
      <c r="G1059" s="1" t="str">
        <f>IFERROR(IF(ventas_b_mes1[[#This Row],[CUIT]]="","-",VLOOKUP(ventas_b_mes1[[#This Row],[CUIT]],Lista_CUIT[#All],2,0)),"CUIT NO CARGADO")</f>
        <v>-</v>
      </c>
      <c r="H1059" s="64">
        <f>ventas_b_mes1[[#This Row],[TOTAL]]/1.21</f>
        <v>0</v>
      </c>
      <c r="I1059" s="183">
        <f>ventas_b_mes1[[#This Row],[IMPORTE NETO]]*0.21</f>
        <v>0</v>
      </c>
      <c r="J1059" s="184"/>
      <c r="K1059" s="184"/>
      <c r="L1059" s="184"/>
      <c r="M1059" s="59"/>
    </row>
    <row r="1060" spans="2:13" x14ac:dyDescent="0.3">
      <c r="B1060" s="178"/>
      <c r="C1060" s="179"/>
      <c r="D1060" s="180"/>
      <c r="E1060" s="181"/>
      <c r="F1060" s="182"/>
      <c r="G1060" s="1" t="str">
        <f>IFERROR(IF(ventas_b_mes1[[#This Row],[CUIT]]="","-",VLOOKUP(ventas_b_mes1[[#This Row],[CUIT]],Lista_CUIT[#All],2,0)),"CUIT NO CARGADO")</f>
        <v>-</v>
      </c>
      <c r="H1060" s="64">
        <f>ventas_b_mes1[[#This Row],[TOTAL]]/1.21</f>
        <v>0</v>
      </c>
      <c r="I1060" s="183">
        <f>ventas_b_mes1[[#This Row],[IMPORTE NETO]]*0.21</f>
        <v>0</v>
      </c>
      <c r="J1060" s="184"/>
      <c r="K1060" s="184"/>
      <c r="L1060" s="184"/>
      <c r="M1060" s="59"/>
    </row>
    <row r="1061" spans="2:13" x14ac:dyDescent="0.3">
      <c r="B1061" s="178"/>
      <c r="C1061" s="179"/>
      <c r="D1061" s="180"/>
      <c r="E1061" s="181"/>
      <c r="F1061" s="182"/>
      <c r="G1061" s="1" t="str">
        <f>IFERROR(IF(ventas_b_mes1[[#This Row],[CUIT]]="","-",VLOOKUP(ventas_b_mes1[[#This Row],[CUIT]],Lista_CUIT[#All],2,0)),"CUIT NO CARGADO")</f>
        <v>-</v>
      </c>
      <c r="H1061" s="64">
        <f>ventas_b_mes1[[#This Row],[TOTAL]]/1.21</f>
        <v>0</v>
      </c>
      <c r="I1061" s="183">
        <f>ventas_b_mes1[[#This Row],[IMPORTE NETO]]*0.21</f>
        <v>0</v>
      </c>
      <c r="J1061" s="184"/>
      <c r="K1061" s="184"/>
      <c r="L1061" s="184"/>
      <c r="M1061" s="59"/>
    </row>
    <row r="1062" spans="2:13" x14ac:dyDescent="0.3">
      <c r="B1062" s="178"/>
      <c r="C1062" s="179"/>
      <c r="D1062" s="180"/>
      <c r="E1062" s="181"/>
      <c r="F1062" s="182"/>
      <c r="G1062" s="1" t="str">
        <f>IFERROR(IF(ventas_b_mes1[[#This Row],[CUIT]]="","-",VLOOKUP(ventas_b_mes1[[#This Row],[CUIT]],Lista_CUIT[#All],2,0)),"CUIT NO CARGADO")</f>
        <v>-</v>
      </c>
      <c r="H1062" s="64">
        <f>ventas_b_mes1[[#This Row],[TOTAL]]/1.21</f>
        <v>0</v>
      </c>
      <c r="I1062" s="183">
        <f>ventas_b_mes1[[#This Row],[IMPORTE NETO]]*0.21</f>
        <v>0</v>
      </c>
      <c r="J1062" s="184"/>
      <c r="K1062" s="184"/>
      <c r="L1062" s="184"/>
      <c r="M1062" s="59"/>
    </row>
    <row r="1063" spans="2:13" x14ac:dyDescent="0.3">
      <c r="B1063" s="178"/>
      <c r="C1063" s="179"/>
      <c r="D1063" s="180"/>
      <c r="E1063" s="181"/>
      <c r="F1063" s="182"/>
      <c r="G1063" s="1" t="str">
        <f>IFERROR(IF(ventas_b_mes1[[#This Row],[CUIT]]="","-",VLOOKUP(ventas_b_mes1[[#This Row],[CUIT]],Lista_CUIT[#All],2,0)),"CUIT NO CARGADO")</f>
        <v>-</v>
      </c>
      <c r="H1063" s="64">
        <f>ventas_b_mes1[[#This Row],[TOTAL]]/1.21</f>
        <v>0</v>
      </c>
      <c r="I1063" s="183">
        <f>ventas_b_mes1[[#This Row],[IMPORTE NETO]]*0.21</f>
        <v>0</v>
      </c>
      <c r="J1063" s="184"/>
      <c r="K1063" s="184"/>
      <c r="L1063" s="184"/>
      <c r="M1063" s="59"/>
    </row>
    <row r="1064" spans="2:13" x14ac:dyDescent="0.3">
      <c r="B1064" s="178"/>
      <c r="C1064" s="179"/>
      <c r="D1064" s="180"/>
      <c r="E1064" s="181"/>
      <c r="F1064" s="182"/>
      <c r="G1064" s="1" t="str">
        <f>IFERROR(IF(ventas_b_mes1[[#This Row],[CUIT]]="","-",VLOOKUP(ventas_b_mes1[[#This Row],[CUIT]],Lista_CUIT[#All],2,0)),"CUIT NO CARGADO")</f>
        <v>-</v>
      </c>
      <c r="H1064" s="64">
        <f>ventas_b_mes1[[#This Row],[TOTAL]]/1.21</f>
        <v>0</v>
      </c>
      <c r="I1064" s="183">
        <f>ventas_b_mes1[[#This Row],[IMPORTE NETO]]*0.21</f>
        <v>0</v>
      </c>
      <c r="J1064" s="184"/>
      <c r="K1064" s="184"/>
      <c r="L1064" s="184"/>
      <c r="M1064" s="59"/>
    </row>
    <row r="1065" spans="2:13" x14ac:dyDescent="0.3">
      <c r="B1065" s="178"/>
      <c r="C1065" s="179"/>
      <c r="D1065" s="180"/>
      <c r="E1065" s="181"/>
      <c r="F1065" s="182"/>
      <c r="G1065" s="1" t="str">
        <f>IFERROR(IF(ventas_b_mes1[[#This Row],[CUIT]]="","-",VLOOKUP(ventas_b_mes1[[#This Row],[CUIT]],Lista_CUIT[#All],2,0)),"CUIT NO CARGADO")</f>
        <v>-</v>
      </c>
      <c r="H1065" s="64">
        <f>ventas_b_mes1[[#This Row],[TOTAL]]/1.21</f>
        <v>0</v>
      </c>
      <c r="I1065" s="183">
        <f>ventas_b_mes1[[#This Row],[IMPORTE NETO]]*0.21</f>
        <v>0</v>
      </c>
      <c r="J1065" s="184"/>
      <c r="K1065" s="184"/>
      <c r="L1065" s="184"/>
      <c r="M1065" s="59"/>
    </row>
    <row r="1066" spans="2:13" x14ac:dyDescent="0.3">
      <c r="B1066" s="178"/>
      <c r="C1066" s="179"/>
      <c r="D1066" s="180"/>
      <c r="E1066" s="181"/>
      <c r="F1066" s="182"/>
      <c r="G1066" s="1" t="str">
        <f>IFERROR(IF(ventas_b_mes1[[#This Row],[CUIT]]="","-",VLOOKUP(ventas_b_mes1[[#This Row],[CUIT]],Lista_CUIT[#All],2,0)),"CUIT NO CARGADO")</f>
        <v>-</v>
      </c>
      <c r="H1066" s="64">
        <f>ventas_b_mes1[[#This Row],[TOTAL]]/1.21</f>
        <v>0</v>
      </c>
      <c r="I1066" s="183">
        <f>ventas_b_mes1[[#This Row],[IMPORTE NETO]]*0.21</f>
        <v>0</v>
      </c>
      <c r="J1066" s="184"/>
      <c r="K1066" s="184"/>
      <c r="L1066" s="184"/>
      <c r="M1066" s="59"/>
    </row>
    <row r="1067" spans="2:13" x14ac:dyDescent="0.3">
      <c r="B1067" s="178"/>
      <c r="C1067" s="179"/>
      <c r="D1067" s="180"/>
      <c r="E1067" s="181"/>
      <c r="F1067" s="182"/>
      <c r="G1067" s="1" t="str">
        <f>IFERROR(IF(ventas_b_mes1[[#This Row],[CUIT]]="","-",VLOOKUP(ventas_b_mes1[[#This Row],[CUIT]],Lista_CUIT[#All],2,0)),"CUIT NO CARGADO")</f>
        <v>-</v>
      </c>
      <c r="H1067" s="64">
        <f>ventas_b_mes1[[#This Row],[TOTAL]]/1.21</f>
        <v>0</v>
      </c>
      <c r="I1067" s="183">
        <f>ventas_b_mes1[[#This Row],[IMPORTE NETO]]*0.21</f>
        <v>0</v>
      </c>
      <c r="J1067" s="184"/>
      <c r="K1067" s="184"/>
      <c r="L1067" s="184"/>
      <c r="M1067" s="59"/>
    </row>
    <row r="1068" spans="2:13" x14ac:dyDescent="0.3">
      <c r="B1068" s="178"/>
      <c r="C1068" s="179"/>
      <c r="D1068" s="180"/>
      <c r="E1068" s="181"/>
      <c r="F1068" s="182"/>
      <c r="G1068" s="1" t="str">
        <f>IFERROR(IF(ventas_b_mes1[[#This Row],[CUIT]]="","-",VLOOKUP(ventas_b_mes1[[#This Row],[CUIT]],Lista_CUIT[#All],2,0)),"CUIT NO CARGADO")</f>
        <v>-</v>
      </c>
      <c r="H1068" s="64">
        <f>ventas_b_mes1[[#This Row],[TOTAL]]/1.21</f>
        <v>0</v>
      </c>
      <c r="I1068" s="183">
        <f>ventas_b_mes1[[#This Row],[IMPORTE NETO]]*0.21</f>
        <v>0</v>
      </c>
      <c r="J1068" s="184"/>
      <c r="K1068" s="184"/>
      <c r="L1068" s="184"/>
      <c r="M1068" s="59"/>
    </row>
    <row r="1069" spans="2:13" x14ac:dyDescent="0.3">
      <c r="B1069" s="178"/>
      <c r="C1069" s="179"/>
      <c r="D1069" s="180"/>
      <c r="E1069" s="181"/>
      <c r="F1069" s="182"/>
      <c r="G1069" s="1" t="str">
        <f>IFERROR(IF(ventas_b_mes1[[#This Row],[CUIT]]="","-",VLOOKUP(ventas_b_mes1[[#This Row],[CUIT]],Lista_CUIT[#All],2,0)),"CUIT NO CARGADO")</f>
        <v>-</v>
      </c>
      <c r="H1069" s="64">
        <f>ventas_b_mes1[[#This Row],[TOTAL]]/1.21</f>
        <v>0</v>
      </c>
      <c r="I1069" s="183">
        <f>ventas_b_mes1[[#This Row],[IMPORTE NETO]]*0.21</f>
        <v>0</v>
      </c>
      <c r="J1069" s="184"/>
      <c r="K1069" s="184"/>
      <c r="L1069" s="184"/>
      <c r="M1069" s="59"/>
    </row>
    <row r="1070" spans="2:13" x14ac:dyDescent="0.3">
      <c r="B1070" s="178"/>
      <c r="C1070" s="179"/>
      <c r="D1070" s="180"/>
      <c r="E1070" s="181"/>
      <c r="F1070" s="182"/>
      <c r="G1070" s="1" t="str">
        <f>IFERROR(IF(ventas_b_mes1[[#This Row],[CUIT]]="","-",VLOOKUP(ventas_b_mes1[[#This Row],[CUIT]],Lista_CUIT[#All],2,0)),"CUIT NO CARGADO")</f>
        <v>-</v>
      </c>
      <c r="H1070" s="64">
        <f>ventas_b_mes1[[#This Row],[TOTAL]]/1.21</f>
        <v>0</v>
      </c>
      <c r="I1070" s="183">
        <f>ventas_b_mes1[[#This Row],[IMPORTE NETO]]*0.21</f>
        <v>0</v>
      </c>
      <c r="J1070" s="184"/>
      <c r="K1070" s="184"/>
      <c r="L1070" s="184"/>
      <c r="M1070" s="59"/>
    </row>
    <row r="1071" spans="2:13" x14ac:dyDescent="0.3">
      <c r="B1071" s="178"/>
      <c r="C1071" s="179"/>
      <c r="D1071" s="180"/>
      <c r="E1071" s="181"/>
      <c r="F1071" s="182"/>
      <c r="G1071" s="1" t="str">
        <f>IFERROR(IF(ventas_b_mes1[[#This Row],[CUIT]]="","-",VLOOKUP(ventas_b_mes1[[#This Row],[CUIT]],Lista_CUIT[#All],2,0)),"CUIT NO CARGADO")</f>
        <v>-</v>
      </c>
      <c r="H1071" s="64">
        <f>ventas_b_mes1[[#This Row],[TOTAL]]/1.21</f>
        <v>0</v>
      </c>
      <c r="I1071" s="183">
        <f>ventas_b_mes1[[#This Row],[IMPORTE NETO]]*0.21</f>
        <v>0</v>
      </c>
      <c r="J1071" s="184"/>
      <c r="K1071" s="184"/>
      <c r="L1071" s="184"/>
      <c r="M1071" s="59"/>
    </row>
    <row r="1072" spans="2:13" x14ac:dyDescent="0.3">
      <c r="B1072" s="178"/>
      <c r="C1072" s="179"/>
      <c r="D1072" s="180"/>
      <c r="E1072" s="181"/>
      <c r="F1072" s="182"/>
      <c r="G1072" s="1" t="str">
        <f>IFERROR(IF(ventas_b_mes1[[#This Row],[CUIT]]="","-",VLOOKUP(ventas_b_mes1[[#This Row],[CUIT]],Lista_CUIT[#All],2,0)),"CUIT NO CARGADO")</f>
        <v>-</v>
      </c>
      <c r="H1072" s="64">
        <f>ventas_b_mes1[[#This Row],[TOTAL]]/1.21</f>
        <v>0</v>
      </c>
      <c r="I1072" s="183">
        <f>ventas_b_mes1[[#This Row],[IMPORTE NETO]]*0.21</f>
        <v>0</v>
      </c>
      <c r="J1072" s="184"/>
      <c r="K1072" s="184"/>
      <c r="L1072" s="184"/>
      <c r="M1072" s="59"/>
    </row>
    <row r="1073" spans="2:13" x14ac:dyDescent="0.3">
      <c r="B1073" s="178"/>
      <c r="C1073" s="179"/>
      <c r="D1073" s="180"/>
      <c r="E1073" s="181"/>
      <c r="F1073" s="182"/>
      <c r="G1073" s="1" t="str">
        <f>IFERROR(IF(ventas_b_mes1[[#This Row],[CUIT]]="","-",VLOOKUP(ventas_b_mes1[[#This Row],[CUIT]],Lista_CUIT[#All],2,0)),"CUIT NO CARGADO")</f>
        <v>-</v>
      </c>
      <c r="H1073" s="64">
        <f>ventas_b_mes1[[#This Row],[TOTAL]]/1.21</f>
        <v>0</v>
      </c>
      <c r="I1073" s="183">
        <f>ventas_b_mes1[[#This Row],[IMPORTE NETO]]*0.21</f>
        <v>0</v>
      </c>
      <c r="J1073" s="184"/>
      <c r="K1073" s="184"/>
      <c r="L1073" s="184"/>
      <c r="M1073" s="59"/>
    </row>
    <row r="1074" spans="2:13" x14ac:dyDescent="0.3">
      <c r="B1074" s="178"/>
      <c r="C1074" s="179"/>
      <c r="D1074" s="180"/>
      <c r="E1074" s="181"/>
      <c r="F1074" s="182"/>
      <c r="G1074" s="1" t="str">
        <f>IFERROR(IF(ventas_b_mes1[[#This Row],[CUIT]]="","-",VLOOKUP(ventas_b_mes1[[#This Row],[CUIT]],Lista_CUIT[#All],2,0)),"CUIT NO CARGADO")</f>
        <v>-</v>
      </c>
      <c r="H1074" s="64">
        <f>ventas_b_mes1[[#This Row],[TOTAL]]/1.21</f>
        <v>0</v>
      </c>
      <c r="I1074" s="183">
        <f>ventas_b_mes1[[#This Row],[IMPORTE NETO]]*0.21</f>
        <v>0</v>
      </c>
      <c r="J1074" s="184"/>
      <c r="K1074" s="184"/>
      <c r="L1074" s="184"/>
      <c r="M1074" s="59"/>
    </row>
    <row r="1075" spans="2:13" x14ac:dyDescent="0.3">
      <c r="B1075" s="178"/>
      <c r="C1075" s="179"/>
      <c r="D1075" s="180"/>
      <c r="E1075" s="181"/>
      <c r="F1075" s="182"/>
      <c r="G1075" s="1" t="str">
        <f>IFERROR(IF(ventas_b_mes1[[#This Row],[CUIT]]="","-",VLOOKUP(ventas_b_mes1[[#This Row],[CUIT]],Lista_CUIT[#All],2,0)),"CUIT NO CARGADO")</f>
        <v>-</v>
      </c>
      <c r="H1075" s="64">
        <f>ventas_b_mes1[[#This Row],[TOTAL]]/1.21</f>
        <v>0</v>
      </c>
      <c r="I1075" s="183">
        <f>ventas_b_mes1[[#This Row],[IMPORTE NETO]]*0.21</f>
        <v>0</v>
      </c>
      <c r="J1075" s="184"/>
      <c r="K1075" s="184"/>
      <c r="L1075" s="184"/>
      <c r="M1075" s="59"/>
    </row>
    <row r="1076" spans="2:13" x14ac:dyDescent="0.3">
      <c r="B1076" s="178"/>
      <c r="C1076" s="179"/>
      <c r="D1076" s="180"/>
      <c r="E1076" s="181"/>
      <c r="F1076" s="182"/>
      <c r="G1076" s="1" t="str">
        <f>IFERROR(IF(ventas_b_mes1[[#This Row],[CUIT]]="","-",VLOOKUP(ventas_b_mes1[[#This Row],[CUIT]],Lista_CUIT[#All],2,0)),"CUIT NO CARGADO")</f>
        <v>-</v>
      </c>
      <c r="H1076" s="64">
        <f>ventas_b_mes1[[#This Row],[TOTAL]]/1.21</f>
        <v>0</v>
      </c>
      <c r="I1076" s="183">
        <f>ventas_b_mes1[[#This Row],[IMPORTE NETO]]*0.21</f>
        <v>0</v>
      </c>
      <c r="J1076" s="184"/>
      <c r="K1076" s="184"/>
      <c r="L1076" s="184"/>
      <c r="M1076" s="59"/>
    </row>
    <row r="1077" spans="2:13" x14ac:dyDescent="0.3">
      <c r="B1077" s="178"/>
      <c r="C1077" s="179"/>
      <c r="D1077" s="180"/>
      <c r="E1077" s="181"/>
      <c r="F1077" s="182"/>
      <c r="G1077" s="1" t="str">
        <f>IFERROR(IF(ventas_b_mes1[[#This Row],[CUIT]]="","-",VLOOKUP(ventas_b_mes1[[#This Row],[CUIT]],Lista_CUIT[#All],2,0)),"CUIT NO CARGADO")</f>
        <v>-</v>
      </c>
      <c r="H1077" s="64">
        <f>ventas_b_mes1[[#This Row],[TOTAL]]/1.21</f>
        <v>0</v>
      </c>
      <c r="I1077" s="183">
        <f>ventas_b_mes1[[#This Row],[IMPORTE NETO]]*0.21</f>
        <v>0</v>
      </c>
      <c r="J1077" s="184"/>
      <c r="K1077" s="184"/>
      <c r="L1077" s="184"/>
      <c r="M1077" s="59"/>
    </row>
    <row r="1078" spans="2:13" x14ac:dyDescent="0.3">
      <c r="B1078" s="178"/>
      <c r="C1078" s="179"/>
      <c r="D1078" s="180"/>
      <c r="E1078" s="181"/>
      <c r="F1078" s="182"/>
      <c r="G1078" s="1" t="str">
        <f>IFERROR(IF(ventas_b_mes1[[#This Row],[CUIT]]="","-",VLOOKUP(ventas_b_mes1[[#This Row],[CUIT]],Lista_CUIT[#All],2,0)),"CUIT NO CARGADO")</f>
        <v>-</v>
      </c>
      <c r="H1078" s="64">
        <f>ventas_b_mes1[[#This Row],[TOTAL]]/1.21</f>
        <v>0</v>
      </c>
      <c r="I1078" s="183">
        <f>ventas_b_mes1[[#This Row],[IMPORTE NETO]]*0.21</f>
        <v>0</v>
      </c>
      <c r="J1078" s="184"/>
      <c r="K1078" s="184"/>
      <c r="L1078" s="184"/>
      <c r="M1078" s="59"/>
    </row>
    <row r="1079" spans="2:13" x14ac:dyDescent="0.3">
      <c r="B1079" s="178"/>
      <c r="C1079" s="179"/>
      <c r="D1079" s="180"/>
      <c r="E1079" s="181"/>
      <c r="F1079" s="182"/>
      <c r="G1079" s="1" t="str">
        <f>IFERROR(IF(ventas_b_mes1[[#This Row],[CUIT]]="","-",VLOOKUP(ventas_b_mes1[[#This Row],[CUIT]],Lista_CUIT[#All],2,0)),"CUIT NO CARGADO")</f>
        <v>-</v>
      </c>
      <c r="H1079" s="64">
        <f>ventas_b_mes1[[#This Row],[TOTAL]]/1.21</f>
        <v>0</v>
      </c>
      <c r="I1079" s="183">
        <f>ventas_b_mes1[[#This Row],[IMPORTE NETO]]*0.21</f>
        <v>0</v>
      </c>
      <c r="J1079" s="184"/>
      <c r="K1079" s="184"/>
      <c r="L1079" s="184"/>
      <c r="M1079" s="59"/>
    </row>
    <row r="1080" spans="2:13" x14ac:dyDescent="0.3">
      <c r="B1080" s="178"/>
      <c r="C1080" s="179"/>
      <c r="D1080" s="180"/>
      <c r="E1080" s="181"/>
      <c r="F1080" s="182"/>
      <c r="G1080" s="1" t="str">
        <f>IFERROR(IF(ventas_b_mes1[[#This Row],[CUIT]]="","-",VLOOKUP(ventas_b_mes1[[#This Row],[CUIT]],Lista_CUIT[#All],2,0)),"CUIT NO CARGADO")</f>
        <v>-</v>
      </c>
      <c r="H1080" s="64">
        <f>ventas_b_mes1[[#This Row],[TOTAL]]/1.21</f>
        <v>0</v>
      </c>
      <c r="I1080" s="183">
        <f>ventas_b_mes1[[#This Row],[IMPORTE NETO]]*0.21</f>
        <v>0</v>
      </c>
      <c r="J1080" s="184"/>
      <c r="K1080" s="184"/>
      <c r="L1080" s="184"/>
      <c r="M1080" s="59"/>
    </row>
    <row r="1081" spans="2:13" x14ac:dyDescent="0.3">
      <c r="B1081" s="178"/>
      <c r="C1081" s="179"/>
      <c r="D1081" s="180"/>
      <c r="E1081" s="181"/>
      <c r="F1081" s="182"/>
      <c r="G1081" s="1" t="str">
        <f>IFERROR(IF(ventas_b_mes1[[#This Row],[CUIT]]="","-",VLOOKUP(ventas_b_mes1[[#This Row],[CUIT]],Lista_CUIT[#All],2,0)),"CUIT NO CARGADO")</f>
        <v>-</v>
      </c>
      <c r="H1081" s="64">
        <f>ventas_b_mes1[[#This Row],[TOTAL]]/1.21</f>
        <v>0</v>
      </c>
      <c r="I1081" s="183">
        <f>ventas_b_mes1[[#This Row],[IMPORTE NETO]]*0.21</f>
        <v>0</v>
      </c>
      <c r="J1081" s="184"/>
      <c r="K1081" s="184"/>
      <c r="L1081" s="184"/>
      <c r="M1081" s="59"/>
    </row>
    <row r="1082" spans="2:13" x14ac:dyDescent="0.3">
      <c r="B1082" s="178"/>
      <c r="C1082" s="179"/>
      <c r="D1082" s="180"/>
      <c r="E1082" s="181"/>
      <c r="F1082" s="182"/>
      <c r="G1082" s="1" t="str">
        <f>IFERROR(IF(ventas_b_mes1[[#This Row],[CUIT]]="","-",VLOOKUP(ventas_b_mes1[[#This Row],[CUIT]],Lista_CUIT[#All],2,0)),"CUIT NO CARGADO")</f>
        <v>-</v>
      </c>
      <c r="H1082" s="64">
        <f>ventas_b_mes1[[#This Row],[TOTAL]]/1.21</f>
        <v>0</v>
      </c>
      <c r="I1082" s="183">
        <f>ventas_b_mes1[[#This Row],[IMPORTE NETO]]*0.21</f>
        <v>0</v>
      </c>
      <c r="J1082" s="184"/>
      <c r="K1082" s="184"/>
      <c r="L1082" s="184"/>
      <c r="M1082" s="59"/>
    </row>
    <row r="1083" spans="2:13" x14ac:dyDescent="0.3">
      <c r="B1083" s="178"/>
      <c r="C1083" s="179"/>
      <c r="D1083" s="180"/>
      <c r="E1083" s="181"/>
      <c r="F1083" s="182"/>
      <c r="G1083" s="1" t="str">
        <f>IFERROR(IF(ventas_b_mes1[[#This Row],[CUIT]]="","-",VLOOKUP(ventas_b_mes1[[#This Row],[CUIT]],Lista_CUIT[#All],2,0)),"CUIT NO CARGADO")</f>
        <v>-</v>
      </c>
      <c r="H1083" s="64">
        <f>ventas_b_mes1[[#This Row],[TOTAL]]/1.21</f>
        <v>0</v>
      </c>
      <c r="I1083" s="183">
        <f>ventas_b_mes1[[#This Row],[IMPORTE NETO]]*0.21</f>
        <v>0</v>
      </c>
      <c r="J1083" s="184"/>
      <c r="K1083" s="184"/>
      <c r="L1083" s="184"/>
      <c r="M1083" s="59"/>
    </row>
    <row r="1084" spans="2:13" x14ac:dyDescent="0.3">
      <c r="B1084" s="178"/>
      <c r="C1084" s="179"/>
      <c r="D1084" s="180"/>
      <c r="E1084" s="181"/>
      <c r="F1084" s="182"/>
      <c r="G1084" s="1" t="str">
        <f>IFERROR(IF(ventas_b_mes1[[#This Row],[CUIT]]="","-",VLOOKUP(ventas_b_mes1[[#This Row],[CUIT]],Lista_CUIT[#All],2,0)),"CUIT NO CARGADO")</f>
        <v>-</v>
      </c>
      <c r="H1084" s="64">
        <f>ventas_b_mes1[[#This Row],[TOTAL]]/1.21</f>
        <v>0</v>
      </c>
      <c r="I1084" s="183">
        <f>ventas_b_mes1[[#This Row],[IMPORTE NETO]]*0.21</f>
        <v>0</v>
      </c>
      <c r="J1084" s="184"/>
      <c r="K1084" s="184"/>
      <c r="L1084" s="184"/>
      <c r="M1084" s="59"/>
    </row>
    <row r="1085" spans="2:13" x14ac:dyDescent="0.3">
      <c r="B1085" s="178"/>
      <c r="C1085" s="179"/>
      <c r="D1085" s="180"/>
      <c r="E1085" s="181"/>
      <c r="F1085" s="182"/>
      <c r="G1085" s="1" t="str">
        <f>IFERROR(IF(ventas_b_mes1[[#This Row],[CUIT]]="","-",VLOOKUP(ventas_b_mes1[[#This Row],[CUIT]],Lista_CUIT[#All],2,0)),"CUIT NO CARGADO")</f>
        <v>-</v>
      </c>
      <c r="H1085" s="64">
        <f>ventas_b_mes1[[#This Row],[TOTAL]]/1.21</f>
        <v>0</v>
      </c>
      <c r="I1085" s="183">
        <f>ventas_b_mes1[[#This Row],[IMPORTE NETO]]*0.21</f>
        <v>0</v>
      </c>
      <c r="J1085" s="184"/>
      <c r="K1085" s="184"/>
      <c r="L1085" s="184"/>
      <c r="M1085" s="59"/>
    </row>
    <row r="1086" spans="2:13" x14ac:dyDescent="0.3">
      <c r="B1086" s="178"/>
      <c r="C1086" s="179"/>
      <c r="D1086" s="180"/>
      <c r="E1086" s="181"/>
      <c r="F1086" s="182"/>
      <c r="G1086" s="1" t="str">
        <f>IFERROR(IF(ventas_b_mes1[[#This Row],[CUIT]]="","-",VLOOKUP(ventas_b_mes1[[#This Row],[CUIT]],Lista_CUIT[#All],2,0)),"CUIT NO CARGADO")</f>
        <v>-</v>
      </c>
      <c r="H1086" s="64">
        <f>ventas_b_mes1[[#This Row],[TOTAL]]/1.21</f>
        <v>0</v>
      </c>
      <c r="I1086" s="183">
        <f>ventas_b_mes1[[#This Row],[IMPORTE NETO]]*0.21</f>
        <v>0</v>
      </c>
      <c r="J1086" s="184"/>
      <c r="K1086" s="184"/>
      <c r="L1086" s="184"/>
      <c r="M1086" s="59"/>
    </row>
    <row r="1087" spans="2:13" x14ac:dyDescent="0.3">
      <c r="B1087" s="178"/>
      <c r="C1087" s="179"/>
      <c r="D1087" s="180"/>
      <c r="E1087" s="181"/>
      <c r="F1087" s="182"/>
      <c r="G1087" s="1" t="str">
        <f>IFERROR(IF(ventas_b_mes1[[#This Row],[CUIT]]="","-",VLOOKUP(ventas_b_mes1[[#This Row],[CUIT]],Lista_CUIT[#All],2,0)),"CUIT NO CARGADO")</f>
        <v>-</v>
      </c>
      <c r="H1087" s="64">
        <f>ventas_b_mes1[[#This Row],[TOTAL]]/1.21</f>
        <v>0</v>
      </c>
      <c r="I1087" s="183">
        <f>ventas_b_mes1[[#This Row],[IMPORTE NETO]]*0.21</f>
        <v>0</v>
      </c>
      <c r="J1087" s="184"/>
      <c r="K1087" s="184"/>
      <c r="L1087" s="184"/>
      <c r="M1087" s="59"/>
    </row>
    <row r="1088" spans="2:13" x14ac:dyDescent="0.3">
      <c r="B1088" s="178"/>
      <c r="C1088" s="179"/>
      <c r="D1088" s="180"/>
      <c r="E1088" s="181"/>
      <c r="F1088" s="182"/>
      <c r="G1088" s="1" t="str">
        <f>IFERROR(IF(ventas_b_mes1[[#This Row],[CUIT]]="","-",VLOOKUP(ventas_b_mes1[[#This Row],[CUIT]],Lista_CUIT[#All],2,0)),"CUIT NO CARGADO")</f>
        <v>-</v>
      </c>
      <c r="H1088" s="64">
        <f>ventas_b_mes1[[#This Row],[TOTAL]]/1.21</f>
        <v>0</v>
      </c>
      <c r="I1088" s="183">
        <f>ventas_b_mes1[[#This Row],[IMPORTE NETO]]*0.21</f>
        <v>0</v>
      </c>
      <c r="J1088" s="184"/>
      <c r="K1088" s="184"/>
      <c r="L1088" s="184"/>
      <c r="M1088" s="59"/>
    </row>
    <row r="1089" spans="2:13" x14ac:dyDescent="0.3">
      <c r="B1089" s="178"/>
      <c r="C1089" s="179"/>
      <c r="D1089" s="180"/>
      <c r="E1089" s="181"/>
      <c r="F1089" s="182"/>
      <c r="G1089" s="1" t="str">
        <f>IFERROR(IF(ventas_b_mes1[[#This Row],[CUIT]]="","-",VLOOKUP(ventas_b_mes1[[#This Row],[CUIT]],Lista_CUIT[#All],2,0)),"CUIT NO CARGADO")</f>
        <v>-</v>
      </c>
      <c r="H1089" s="64">
        <f>ventas_b_mes1[[#This Row],[TOTAL]]/1.21</f>
        <v>0</v>
      </c>
      <c r="I1089" s="183">
        <f>ventas_b_mes1[[#This Row],[IMPORTE NETO]]*0.21</f>
        <v>0</v>
      </c>
      <c r="J1089" s="184"/>
      <c r="K1089" s="184"/>
      <c r="L1089" s="184"/>
      <c r="M1089" s="59"/>
    </row>
    <row r="1090" spans="2:13" x14ac:dyDescent="0.3">
      <c r="B1090" s="178"/>
      <c r="C1090" s="179"/>
      <c r="D1090" s="180"/>
      <c r="E1090" s="181"/>
      <c r="F1090" s="182"/>
      <c r="G1090" s="1" t="str">
        <f>IFERROR(IF(ventas_b_mes1[[#This Row],[CUIT]]="","-",VLOOKUP(ventas_b_mes1[[#This Row],[CUIT]],Lista_CUIT[#All],2,0)),"CUIT NO CARGADO")</f>
        <v>-</v>
      </c>
      <c r="H1090" s="64">
        <f>ventas_b_mes1[[#This Row],[TOTAL]]/1.21</f>
        <v>0</v>
      </c>
      <c r="I1090" s="183">
        <f>ventas_b_mes1[[#This Row],[IMPORTE NETO]]*0.21</f>
        <v>0</v>
      </c>
      <c r="J1090" s="184"/>
      <c r="K1090" s="184"/>
      <c r="L1090" s="184"/>
      <c r="M1090" s="59"/>
    </row>
    <row r="1091" spans="2:13" x14ac:dyDescent="0.3">
      <c r="B1091" s="178"/>
      <c r="C1091" s="179"/>
      <c r="D1091" s="180"/>
      <c r="E1091" s="181"/>
      <c r="F1091" s="182"/>
      <c r="G1091" s="1" t="str">
        <f>IFERROR(IF(ventas_b_mes1[[#This Row],[CUIT]]="","-",VLOOKUP(ventas_b_mes1[[#This Row],[CUIT]],Lista_CUIT[#All],2,0)),"CUIT NO CARGADO")</f>
        <v>-</v>
      </c>
      <c r="H1091" s="64">
        <f>ventas_b_mes1[[#This Row],[TOTAL]]/1.21</f>
        <v>0</v>
      </c>
      <c r="I1091" s="183">
        <f>ventas_b_mes1[[#This Row],[IMPORTE NETO]]*0.21</f>
        <v>0</v>
      </c>
      <c r="J1091" s="184"/>
      <c r="K1091" s="184"/>
      <c r="L1091" s="184"/>
      <c r="M1091" s="59"/>
    </row>
    <row r="1092" spans="2:13" x14ac:dyDescent="0.3">
      <c r="B1092" s="178"/>
      <c r="C1092" s="179"/>
      <c r="D1092" s="180"/>
      <c r="E1092" s="181"/>
      <c r="F1092" s="182"/>
      <c r="G1092" s="1" t="str">
        <f>IFERROR(IF(ventas_b_mes1[[#This Row],[CUIT]]="","-",VLOOKUP(ventas_b_mes1[[#This Row],[CUIT]],Lista_CUIT[#All],2,0)),"CUIT NO CARGADO")</f>
        <v>-</v>
      </c>
      <c r="H1092" s="64">
        <f>ventas_b_mes1[[#This Row],[TOTAL]]/1.21</f>
        <v>0</v>
      </c>
      <c r="I1092" s="183">
        <f>ventas_b_mes1[[#This Row],[IMPORTE NETO]]*0.21</f>
        <v>0</v>
      </c>
      <c r="J1092" s="184"/>
      <c r="K1092" s="184"/>
      <c r="L1092" s="184"/>
      <c r="M1092" s="59"/>
    </row>
    <row r="1093" spans="2:13" x14ac:dyDescent="0.3">
      <c r="B1093" s="178"/>
      <c r="C1093" s="179"/>
      <c r="D1093" s="180"/>
      <c r="E1093" s="181"/>
      <c r="F1093" s="182"/>
      <c r="G1093" s="1" t="str">
        <f>IFERROR(IF(ventas_b_mes1[[#This Row],[CUIT]]="","-",VLOOKUP(ventas_b_mes1[[#This Row],[CUIT]],Lista_CUIT[#All],2,0)),"CUIT NO CARGADO")</f>
        <v>-</v>
      </c>
      <c r="H1093" s="64">
        <f>ventas_b_mes1[[#This Row],[TOTAL]]/1.21</f>
        <v>0</v>
      </c>
      <c r="I1093" s="183">
        <f>ventas_b_mes1[[#This Row],[IMPORTE NETO]]*0.21</f>
        <v>0</v>
      </c>
      <c r="J1093" s="184"/>
      <c r="K1093" s="184"/>
      <c r="L1093" s="184"/>
      <c r="M1093" s="59"/>
    </row>
    <row r="1094" spans="2:13" x14ac:dyDescent="0.3">
      <c r="B1094" s="178"/>
      <c r="C1094" s="179"/>
      <c r="D1094" s="180"/>
      <c r="E1094" s="181"/>
      <c r="F1094" s="182"/>
      <c r="G1094" s="1" t="str">
        <f>IFERROR(IF(ventas_b_mes1[[#This Row],[CUIT]]="","-",VLOOKUP(ventas_b_mes1[[#This Row],[CUIT]],Lista_CUIT[#All],2,0)),"CUIT NO CARGADO")</f>
        <v>-</v>
      </c>
      <c r="H1094" s="64">
        <f>ventas_b_mes1[[#This Row],[TOTAL]]/1.21</f>
        <v>0</v>
      </c>
      <c r="I1094" s="183">
        <f>ventas_b_mes1[[#This Row],[IMPORTE NETO]]*0.21</f>
        <v>0</v>
      </c>
      <c r="J1094" s="184"/>
      <c r="K1094" s="184"/>
      <c r="L1094" s="184"/>
      <c r="M1094" s="59"/>
    </row>
    <row r="1095" spans="2:13" x14ac:dyDescent="0.3">
      <c r="B1095" s="178"/>
      <c r="C1095" s="179"/>
      <c r="D1095" s="180"/>
      <c r="E1095" s="181"/>
      <c r="F1095" s="182"/>
      <c r="G1095" s="1" t="str">
        <f>IFERROR(IF(ventas_b_mes1[[#This Row],[CUIT]]="","-",VLOOKUP(ventas_b_mes1[[#This Row],[CUIT]],Lista_CUIT[#All],2,0)),"CUIT NO CARGADO")</f>
        <v>-</v>
      </c>
      <c r="H1095" s="64">
        <f>ventas_b_mes1[[#This Row],[TOTAL]]/1.21</f>
        <v>0</v>
      </c>
      <c r="I1095" s="183">
        <f>ventas_b_mes1[[#This Row],[IMPORTE NETO]]*0.21</f>
        <v>0</v>
      </c>
      <c r="J1095" s="184"/>
      <c r="K1095" s="184"/>
      <c r="L1095" s="184"/>
      <c r="M1095" s="59"/>
    </row>
    <row r="1096" spans="2:13" x14ac:dyDescent="0.3">
      <c r="B1096" s="178"/>
      <c r="C1096" s="179"/>
      <c r="D1096" s="180"/>
      <c r="E1096" s="181"/>
      <c r="F1096" s="182"/>
      <c r="G1096" s="1" t="str">
        <f>IFERROR(IF(ventas_b_mes1[[#This Row],[CUIT]]="","-",VLOOKUP(ventas_b_mes1[[#This Row],[CUIT]],Lista_CUIT[#All],2,0)),"CUIT NO CARGADO")</f>
        <v>-</v>
      </c>
      <c r="H1096" s="64">
        <f>ventas_b_mes1[[#This Row],[TOTAL]]/1.21</f>
        <v>0</v>
      </c>
      <c r="I1096" s="183">
        <f>ventas_b_mes1[[#This Row],[IMPORTE NETO]]*0.21</f>
        <v>0</v>
      </c>
      <c r="J1096" s="184"/>
      <c r="K1096" s="184"/>
      <c r="L1096" s="184"/>
      <c r="M1096" s="59"/>
    </row>
    <row r="1097" spans="2:13" x14ac:dyDescent="0.3">
      <c r="B1097" s="178"/>
      <c r="C1097" s="179"/>
      <c r="D1097" s="180"/>
      <c r="E1097" s="181"/>
      <c r="F1097" s="182"/>
      <c r="G1097" s="1" t="str">
        <f>IFERROR(IF(ventas_b_mes1[[#This Row],[CUIT]]="","-",VLOOKUP(ventas_b_mes1[[#This Row],[CUIT]],Lista_CUIT[#All],2,0)),"CUIT NO CARGADO")</f>
        <v>-</v>
      </c>
      <c r="H1097" s="64">
        <f>ventas_b_mes1[[#This Row],[TOTAL]]/1.21</f>
        <v>0</v>
      </c>
      <c r="I1097" s="183">
        <f>ventas_b_mes1[[#This Row],[IMPORTE NETO]]*0.21</f>
        <v>0</v>
      </c>
      <c r="J1097" s="184"/>
      <c r="K1097" s="184"/>
      <c r="L1097" s="184"/>
      <c r="M1097" s="59"/>
    </row>
    <row r="1098" spans="2:13" x14ac:dyDescent="0.3">
      <c r="B1098" s="178"/>
      <c r="C1098" s="179"/>
      <c r="D1098" s="180"/>
      <c r="E1098" s="181"/>
      <c r="F1098" s="182"/>
      <c r="G1098" s="1" t="str">
        <f>IFERROR(IF(ventas_b_mes1[[#This Row],[CUIT]]="","-",VLOOKUP(ventas_b_mes1[[#This Row],[CUIT]],Lista_CUIT[#All],2,0)),"CUIT NO CARGADO")</f>
        <v>-</v>
      </c>
      <c r="H1098" s="64">
        <f>ventas_b_mes1[[#This Row],[TOTAL]]/1.21</f>
        <v>0</v>
      </c>
      <c r="I1098" s="183">
        <f>ventas_b_mes1[[#This Row],[IMPORTE NETO]]*0.21</f>
        <v>0</v>
      </c>
      <c r="J1098" s="184"/>
      <c r="K1098" s="184"/>
      <c r="L1098" s="184"/>
      <c r="M1098" s="59"/>
    </row>
    <row r="1099" spans="2:13" x14ac:dyDescent="0.3">
      <c r="B1099" s="178"/>
      <c r="C1099" s="179"/>
      <c r="D1099" s="180"/>
      <c r="E1099" s="181"/>
      <c r="F1099" s="182"/>
      <c r="G1099" s="1" t="str">
        <f>IFERROR(IF(ventas_b_mes1[[#This Row],[CUIT]]="","-",VLOOKUP(ventas_b_mes1[[#This Row],[CUIT]],Lista_CUIT[#All],2,0)),"CUIT NO CARGADO")</f>
        <v>-</v>
      </c>
      <c r="H1099" s="64">
        <f>ventas_b_mes1[[#This Row],[TOTAL]]/1.21</f>
        <v>0</v>
      </c>
      <c r="I1099" s="183">
        <f>ventas_b_mes1[[#This Row],[IMPORTE NETO]]*0.21</f>
        <v>0</v>
      </c>
      <c r="J1099" s="184"/>
      <c r="K1099" s="184"/>
      <c r="L1099" s="184"/>
      <c r="M1099" s="59"/>
    </row>
    <row r="1100" spans="2:13" x14ac:dyDescent="0.3">
      <c r="B1100" s="178"/>
      <c r="C1100" s="179"/>
      <c r="D1100" s="180"/>
      <c r="E1100" s="181"/>
      <c r="F1100" s="182"/>
      <c r="G1100" s="1" t="str">
        <f>IFERROR(IF(ventas_b_mes1[[#This Row],[CUIT]]="","-",VLOOKUP(ventas_b_mes1[[#This Row],[CUIT]],Lista_CUIT[#All],2,0)),"CUIT NO CARGADO")</f>
        <v>-</v>
      </c>
      <c r="H1100" s="64">
        <f>ventas_b_mes1[[#This Row],[TOTAL]]/1.21</f>
        <v>0</v>
      </c>
      <c r="I1100" s="183">
        <f>ventas_b_mes1[[#This Row],[IMPORTE NETO]]*0.21</f>
        <v>0</v>
      </c>
      <c r="J1100" s="184"/>
      <c r="K1100" s="184"/>
      <c r="L1100" s="184"/>
      <c r="M1100" s="59"/>
    </row>
    <row r="1101" spans="2:13" x14ac:dyDescent="0.3">
      <c r="B1101" s="178"/>
      <c r="C1101" s="179"/>
      <c r="D1101" s="180"/>
      <c r="E1101" s="181"/>
      <c r="F1101" s="182"/>
      <c r="G1101" s="1" t="str">
        <f>IFERROR(IF(ventas_b_mes1[[#This Row],[CUIT]]="","-",VLOOKUP(ventas_b_mes1[[#This Row],[CUIT]],Lista_CUIT[#All],2,0)),"CUIT NO CARGADO")</f>
        <v>-</v>
      </c>
      <c r="H1101" s="64">
        <f>ventas_b_mes1[[#This Row],[TOTAL]]/1.21</f>
        <v>0</v>
      </c>
      <c r="I1101" s="183">
        <f>ventas_b_mes1[[#This Row],[IMPORTE NETO]]*0.21</f>
        <v>0</v>
      </c>
      <c r="J1101" s="184"/>
      <c r="K1101" s="184"/>
      <c r="L1101" s="184"/>
      <c r="M1101" s="59"/>
    </row>
    <row r="1102" spans="2:13" x14ac:dyDescent="0.3">
      <c r="B1102" s="178"/>
      <c r="C1102" s="179"/>
      <c r="D1102" s="180"/>
      <c r="E1102" s="181"/>
      <c r="F1102" s="182"/>
      <c r="G1102" s="1" t="str">
        <f>IFERROR(IF(ventas_b_mes1[[#This Row],[CUIT]]="","-",VLOOKUP(ventas_b_mes1[[#This Row],[CUIT]],Lista_CUIT[#All],2,0)),"CUIT NO CARGADO")</f>
        <v>-</v>
      </c>
      <c r="H1102" s="64">
        <f>ventas_b_mes1[[#This Row],[TOTAL]]/1.21</f>
        <v>0</v>
      </c>
      <c r="I1102" s="183">
        <f>ventas_b_mes1[[#This Row],[IMPORTE NETO]]*0.21</f>
        <v>0</v>
      </c>
      <c r="J1102" s="184"/>
      <c r="K1102" s="184"/>
      <c r="L1102" s="184"/>
      <c r="M1102" s="59"/>
    </row>
    <row r="1103" spans="2:13" x14ac:dyDescent="0.3">
      <c r="B1103" s="178"/>
      <c r="C1103" s="179"/>
      <c r="D1103" s="180"/>
      <c r="E1103" s="181"/>
      <c r="F1103" s="182"/>
      <c r="G1103" s="1" t="str">
        <f>IFERROR(IF(ventas_b_mes1[[#This Row],[CUIT]]="","-",VLOOKUP(ventas_b_mes1[[#This Row],[CUIT]],Lista_CUIT[#All],2,0)),"CUIT NO CARGADO")</f>
        <v>-</v>
      </c>
      <c r="H1103" s="64">
        <f>ventas_b_mes1[[#This Row],[TOTAL]]/1.21</f>
        <v>0</v>
      </c>
      <c r="I1103" s="183">
        <f>ventas_b_mes1[[#This Row],[IMPORTE NETO]]*0.21</f>
        <v>0</v>
      </c>
      <c r="J1103" s="184"/>
      <c r="K1103" s="184"/>
      <c r="L1103" s="184"/>
      <c r="M1103" s="59"/>
    </row>
    <row r="1104" spans="2:13" x14ac:dyDescent="0.3">
      <c r="B1104" s="178"/>
      <c r="C1104" s="179"/>
      <c r="D1104" s="180"/>
      <c r="E1104" s="181"/>
      <c r="F1104" s="182"/>
      <c r="G1104" s="1" t="str">
        <f>IFERROR(IF(ventas_b_mes1[[#This Row],[CUIT]]="","-",VLOOKUP(ventas_b_mes1[[#This Row],[CUIT]],Lista_CUIT[#All],2,0)),"CUIT NO CARGADO")</f>
        <v>-</v>
      </c>
      <c r="H1104" s="64">
        <f>ventas_b_mes1[[#This Row],[TOTAL]]/1.21</f>
        <v>0</v>
      </c>
      <c r="I1104" s="183">
        <f>ventas_b_mes1[[#This Row],[IMPORTE NETO]]*0.21</f>
        <v>0</v>
      </c>
      <c r="J1104" s="184"/>
      <c r="K1104" s="184"/>
      <c r="L1104" s="184"/>
      <c r="M1104" s="59"/>
    </row>
    <row r="1105" spans="2:13" x14ac:dyDescent="0.3">
      <c r="B1105" s="178"/>
      <c r="C1105" s="179"/>
      <c r="D1105" s="180"/>
      <c r="E1105" s="181"/>
      <c r="F1105" s="182"/>
      <c r="G1105" s="1" t="str">
        <f>IFERROR(IF(ventas_b_mes1[[#This Row],[CUIT]]="","-",VLOOKUP(ventas_b_mes1[[#This Row],[CUIT]],Lista_CUIT[#All],2,0)),"CUIT NO CARGADO")</f>
        <v>-</v>
      </c>
      <c r="H1105" s="64">
        <f>ventas_b_mes1[[#This Row],[TOTAL]]/1.21</f>
        <v>0</v>
      </c>
      <c r="I1105" s="183">
        <f>ventas_b_mes1[[#This Row],[IMPORTE NETO]]*0.21</f>
        <v>0</v>
      </c>
      <c r="J1105" s="184"/>
      <c r="K1105" s="184"/>
      <c r="L1105" s="184"/>
      <c r="M1105" s="59"/>
    </row>
    <row r="1106" spans="2:13" x14ac:dyDescent="0.3">
      <c r="B1106" s="178"/>
      <c r="C1106" s="179"/>
      <c r="D1106" s="180"/>
      <c r="E1106" s="181"/>
      <c r="F1106" s="182"/>
      <c r="G1106" s="1" t="str">
        <f>IFERROR(IF(ventas_b_mes1[[#This Row],[CUIT]]="","-",VLOOKUP(ventas_b_mes1[[#This Row],[CUIT]],Lista_CUIT[#All],2,0)),"CUIT NO CARGADO")</f>
        <v>-</v>
      </c>
      <c r="H1106" s="64">
        <f>ventas_b_mes1[[#This Row],[TOTAL]]/1.21</f>
        <v>0</v>
      </c>
      <c r="I1106" s="183">
        <f>ventas_b_mes1[[#This Row],[IMPORTE NETO]]*0.21</f>
        <v>0</v>
      </c>
      <c r="J1106" s="184"/>
      <c r="K1106" s="184"/>
      <c r="L1106" s="184"/>
      <c r="M1106" s="59"/>
    </row>
    <row r="1107" spans="2:13" x14ac:dyDescent="0.3">
      <c r="B1107" s="178"/>
      <c r="C1107" s="179"/>
      <c r="D1107" s="180"/>
      <c r="E1107" s="181"/>
      <c r="F1107" s="182"/>
      <c r="G1107" s="1" t="str">
        <f>IFERROR(IF(ventas_b_mes1[[#This Row],[CUIT]]="","-",VLOOKUP(ventas_b_mes1[[#This Row],[CUIT]],Lista_CUIT[#All],2,0)),"CUIT NO CARGADO")</f>
        <v>-</v>
      </c>
      <c r="H1107" s="64">
        <f>ventas_b_mes1[[#This Row],[TOTAL]]/1.21</f>
        <v>0</v>
      </c>
      <c r="I1107" s="183">
        <f>ventas_b_mes1[[#This Row],[IMPORTE NETO]]*0.21</f>
        <v>0</v>
      </c>
      <c r="J1107" s="184"/>
      <c r="K1107" s="184"/>
      <c r="L1107" s="184"/>
      <c r="M1107" s="59"/>
    </row>
    <row r="1108" spans="2:13" x14ac:dyDescent="0.3">
      <c r="B1108" s="178"/>
      <c r="C1108" s="179"/>
      <c r="D1108" s="180"/>
      <c r="E1108" s="181"/>
      <c r="F1108" s="182"/>
      <c r="G1108" s="1" t="str">
        <f>IFERROR(IF(ventas_b_mes1[[#This Row],[CUIT]]="","-",VLOOKUP(ventas_b_mes1[[#This Row],[CUIT]],Lista_CUIT[#All],2,0)),"CUIT NO CARGADO")</f>
        <v>-</v>
      </c>
      <c r="H1108" s="64">
        <f>ventas_b_mes1[[#This Row],[TOTAL]]/1.21</f>
        <v>0</v>
      </c>
      <c r="I1108" s="183">
        <f>ventas_b_mes1[[#This Row],[IMPORTE NETO]]*0.21</f>
        <v>0</v>
      </c>
      <c r="J1108" s="184"/>
      <c r="K1108" s="184"/>
      <c r="L1108" s="184"/>
      <c r="M1108" s="59"/>
    </row>
    <row r="1109" spans="2:13" x14ac:dyDescent="0.3">
      <c r="B1109" s="178"/>
      <c r="C1109" s="179"/>
      <c r="D1109" s="180"/>
      <c r="E1109" s="181"/>
      <c r="F1109" s="182"/>
      <c r="G1109" s="1" t="str">
        <f>IFERROR(IF(ventas_b_mes1[[#This Row],[CUIT]]="","-",VLOOKUP(ventas_b_mes1[[#This Row],[CUIT]],Lista_CUIT[#All],2,0)),"CUIT NO CARGADO")</f>
        <v>-</v>
      </c>
      <c r="H1109" s="64">
        <f>ventas_b_mes1[[#This Row],[TOTAL]]/1.21</f>
        <v>0</v>
      </c>
      <c r="I1109" s="183">
        <f>ventas_b_mes1[[#This Row],[IMPORTE NETO]]*0.21</f>
        <v>0</v>
      </c>
      <c r="J1109" s="184"/>
      <c r="K1109" s="184"/>
      <c r="L1109" s="184"/>
      <c r="M1109" s="59"/>
    </row>
    <row r="1110" spans="2:13" x14ac:dyDescent="0.3">
      <c r="B1110" s="178"/>
      <c r="C1110" s="179"/>
      <c r="D1110" s="180"/>
      <c r="E1110" s="181"/>
      <c r="F1110" s="182"/>
      <c r="G1110" s="1" t="str">
        <f>IFERROR(IF(ventas_b_mes1[[#This Row],[CUIT]]="","-",VLOOKUP(ventas_b_mes1[[#This Row],[CUIT]],Lista_CUIT[#All],2,0)),"CUIT NO CARGADO")</f>
        <v>-</v>
      </c>
      <c r="H1110" s="64">
        <f>ventas_b_mes1[[#This Row],[TOTAL]]/1.21</f>
        <v>0</v>
      </c>
      <c r="I1110" s="183">
        <f>ventas_b_mes1[[#This Row],[IMPORTE NETO]]*0.21</f>
        <v>0</v>
      </c>
      <c r="J1110" s="184"/>
      <c r="K1110" s="184"/>
      <c r="L1110" s="184"/>
      <c r="M1110" s="59"/>
    </row>
    <row r="1111" spans="2:13" x14ac:dyDescent="0.3">
      <c r="B1111" s="178"/>
      <c r="C1111" s="179"/>
      <c r="D1111" s="180"/>
      <c r="E1111" s="181"/>
      <c r="F1111" s="182"/>
      <c r="G1111" s="1" t="str">
        <f>IFERROR(IF(ventas_b_mes1[[#This Row],[CUIT]]="","-",VLOOKUP(ventas_b_mes1[[#This Row],[CUIT]],Lista_CUIT[#All],2,0)),"CUIT NO CARGADO")</f>
        <v>-</v>
      </c>
      <c r="H1111" s="64">
        <f>ventas_b_mes1[[#This Row],[TOTAL]]/1.21</f>
        <v>0</v>
      </c>
      <c r="I1111" s="183">
        <f>ventas_b_mes1[[#This Row],[IMPORTE NETO]]*0.21</f>
        <v>0</v>
      </c>
      <c r="J1111" s="184"/>
      <c r="K1111" s="184"/>
      <c r="L1111" s="184"/>
      <c r="M1111" s="59"/>
    </row>
    <row r="1112" spans="2:13" x14ac:dyDescent="0.3">
      <c r="B1112" s="178"/>
      <c r="C1112" s="179"/>
      <c r="D1112" s="180"/>
      <c r="E1112" s="181"/>
      <c r="F1112" s="182"/>
      <c r="G1112" s="1" t="str">
        <f>IFERROR(IF(ventas_b_mes1[[#This Row],[CUIT]]="","-",VLOOKUP(ventas_b_mes1[[#This Row],[CUIT]],Lista_CUIT[#All],2,0)),"CUIT NO CARGADO")</f>
        <v>-</v>
      </c>
      <c r="H1112" s="64">
        <f>ventas_b_mes1[[#This Row],[TOTAL]]/1.21</f>
        <v>0</v>
      </c>
      <c r="I1112" s="183">
        <f>ventas_b_mes1[[#This Row],[IMPORTE NETO]]*0.21</f>
        <v>0</v>
      </c>
      <c r="J1112" s="184"/>
      <c r="K1112" s="184"/>
      <c r="L1112" s="184"/>
      <c r="M1112" s="59"/>
    </row>
    <row r="1113" spans="2:13" x14ac:dyDescent="0.3">
      <c r="B1113" s="178"/>
      <c r="C1113" s="179"/>
      <c r="D1113" s="180"/>
      <c r="E1113" s="181"/>
      <c r="F1113" s="182"/>
      <c r="G1113" s="1" t="str">
        <f>IFERROR(IF(ventas_b_mes1[[#This Row],[CUIT]]="","-",VLOOKUP(ventas_b_mes1[[#This Row],[CUIT]],Lista_CUIT[#All],2,0)),"CUIT NO CARGADO")</f>
        <v>-</v>
      </c>
      <c r="H1113" s="64">
        <f>ventas_b_mes1[[#This Row],[TOTAL]]/1.21</f>
        <v>0</v>
      </c>
      <c r="I1113" s="183">
        <f>ventas_b_mes1[[#This Row],[IMPORTE NETO]]*0.21</f>
        <v>0</v>
      </c>
      <c r="J1113" s="184"/>
      <c r="K1113" s="184"/>
      <c r="L1113" s="184"/>
      <c r="M1113" s="59"/>
    </row>
    <row r="1114" spans="2:13" x14ac:dyDescent="0.3">
      <c r="B1114" s="178"/>
      <c r="C1114" s="179"/>
      <c r="D1114" s="180"/>
      <c r="E1114" s="181"/>
      <c r="F1114" s="182"/>
      <c r="G1114" s="1" t="str">
        <f>IFERROR(IF(ventas_b_mes1[[#This Row],[CUIT]]="","-",VLOOKUP(ventas_b_mes1[[#This Row],[CUIT]],Lista_CUIT[#All],2,0)),"CUIT NO CARGADO")</f>
        <v>-</v>
      </c>
      <c r="H1114" s="64">
        <f>ventas_b_mes1[[#This Row],[TOTAL]]/1.21</f>
        <v>0</v>
      </c>
      <c r="I1114" s="183">
        <f>ventas_b_mes1[[#This Row],[IMPORTE NETO]]*0.21</f>
        <v>0</v>
      </c>
      <c r="J1114" s="184"/>
      <c r="K1114" s="184"/>
      <c r="L1114" s="184"/>
      <c r="M1114" s="59"/>
    </row>
    <row r="1115" spans="2:13" x14ac:dyDescent="0.3">
      <c r="B1115" s="178"/>
      <c r="C1115" s="179"/>
      <c r="D1115" s="180"/>
      <c r="E1115" s="181"/>
      <c r="F1115" s="182"/>
      <c r="G1115" s="1" t="str">
        <f>IFERROR(IF(ventas_b_mes1[[#This Row],[CUIT]]="","-",VLOOKUP(ventas_b_mes1[[#This Row],[CUIT]],Lista_CUIT[#All],2,0)),"CUIT NO CARGADO")</f>
        <v>-</v>
      </c>
      <c r="H1115" s="64">
        <f>ventas_b_mes1[[#This Row],[TOTAL]]/1.21</f>
        <v>0</v>
      </c>
      <c r="I1115" s="183">
        <f>ventas_b_mes1[[#This Row],[IMPORTE NETO]]*0.21</f>
        <v>0</v>
      </c>
      <c r="J1115" s="184"/>
      <c r="K1115" s="184"/>
      <c r="L1115" s="184"/>
      <c r="M1115" s="59"/>
    </row>
    <row r="1116" spans="2:13" x14ac:dyDescent="0.3">
      <c r="B1116" s="178"/>
      <c r="C1116" s="179"/>
      <c r="D1116" s="180"/>
      <c r="E1116" s="181"/>
      <c r="F1116" s="182"/>
      <c r="G1116" s="1" t="str">
        <f>IFERROR(IF(ventas_b_mes1[[#This Row],[CUIT]]="","-",VLOOKUP(ventas_b_mes1[[#This Row],[CUIT]],Lista_CUIT[#All],2,0)),"CUIT NO CARGADO")</f>
        <v>-</v>
      </c>
      <c r="H1116" s="64">
        <f>ventas_b_mes1[[#This Row],[TOTAL]]/1.21</f>
        <v>0</v>
      </c>
      <c r="I1116" s="183">
        <f>ventas_b_mes1[[#This Row],[IMPORTE NETO]]*0.21</f>
        <v>0</v>
      </c>
      <c r="J1116" s="184"/>
      <c r="K1116" s="184"/>
      <c r="L1116" s="184"/>
      <c r="M1116" s="59"/>
    </row>
    <row r="1117" spans="2:13" x14ac:dyDescent="0.3">
      <c r="B1117" s="178"/>
      <c r="C1117" s="179"/>
      <c r="D1117" s="180"/>
      <c r="E1117" s="181"/>
      <c r="F1117" s="182"/>
      <c r="G1117" s="1" t="str">
        <f>IFERROR(IF(ventas_b_mes1[[#This Row],[CUIT]]="","-",VLOOKUP(ventas_b_mes1[[#This Row],[CUIT]],Lista_CUIT[#All],2,0)),"CUIT NO CARGADO")</f>
        <v>-</v>
      </c>
      <c r="H1117" s="64">
        <f>ventas_b_mes1[[#This Row],[TOTAL]]/1.21</f>
        <v>0</v>
      </c>
      <c r="I1117" s="183">
        <f>ventas_b_mes1[[#This Row],[IMPORTE NETO]]*0.21</f>
        <v>0</v>
      </c>
      <c r="J1117" s="184"/>
      <c r="K1117" s="184"/>
      <c r="L1117" s="184"/>
      <c r="M1117" s="59"/>
    </row>
    <row r="1118" spans="2:13" x14ac:dyDescent="0.3">
      <c r="B1118" s="178"/>
      <c r="C1118" s="179"/>
      <c r="D1118" s="180"/>
      <c r="E1118" s="181"/>
      <c r="F1118" s="182"/>
      <c r="G1118" s="1" t="str">
        <f>IFERROR(IF(ventas_b_mes1[[#This Row],[CUIT]]="","-",VLOOKUP(ventas_b_mes1[[#This Row],[CUIT]],Lista_CUIT[#All],2,0)),"CUIT NO CARGADO")</f>
        <v>-</v>
      </c>
      <c r="H1118" s="64">
        <f>ventas_b_mes1[[#This Row],[TOTAL]]/1.21</f>
        <v>0</v>
      </c>
      <c r="I1118" s="183">
        <f>ventas_b_mes1[[#This Row],[IMPORTE NETO]]*0.21</f>
        <v>0</v>
      </c>
      <c r="J1118" s="184"/>
      <c r="K1118" s="184"/>
      <c r="L1118" s="184"/>
      <c r="M1118" s="59"/>
    </row>
    <row r="1119" spans="2:13" x14ac:dyDescent="0.3">
      <c r="B1119" s="178"/>
      <c r="C1119" s="179"/>
      <c r="D1119" s="180"/>
      <c r="E1119" s="181"/>
      <c r="F1119" s="182"/>
      <c r="G1119" s="1" t="str">
        <f>IFERROR(IF(ventas_b_mes1[[#This Row],[CUIT]]="","-",VLOOKUP(ventas_b_mes1[[#This Row],[CUIT]],Lista_CUIT[#All],2,0)),"CUIT NO CARGADO")</f>
        <v>-</v>
      </c>
      <c r="H1119" s="64">
        <f>ventas_b_mes1[[#This Row],[TOTAL]]/1.21</f>
        <v>0</v>
      </c>
      <c r="I1119" s="183">
        <f>ventas_b_mes1[[#This Row],[IMPORTE NETO]]*0.21</f>
        <v>0</v>
      </c>
      <c r="J1119" s="184"/>
      <c r="K1119" s="184"/>
      <c r="L1119" s="184"/>
      <c r="M1119" s="59"/>
    </row>
    <row r="1120" spans="2:13" x14ac:dyDescent="0.3">
      <c r="B1120" s="178"/>
      <c r="C1120" s="179"/>
      <c r="D1120" s="180"/>
      <c r="E1120" s="181"/>
      <c r="F1120" s="182"/>
      <c r="G1120" s="1" t="str">
        <f>IFERROR(IF(ventas_b_mes1[[#This Row],[CUIT]]="","-",VLOOKUP(ventas_b_mes1[[#This Row],[CUIT]],Lista_CUIT[#All],2,0)),"CUIT NO CARGADO")</f>
        <v>-</v>
      </c>
      <c r="H1120" s="64">
        <f>ventas_b_mes1[[#This Row],[TOTAL]]/1.21</f>
        <v>0</v>
      </c>
      <c r="I1120" s="183">
        <f>ventas_b_mes1[[#This Row],[IMPORTE NETO]]*0.21</f>
        <v>0</v>
      </c>
      <c r="J1120" s="184"/>
      <c r="K1120" s="184"/>
      <c r="L1120" s="184"/>
      <c r="M1120" s="59"/>
    </row>
    <row r="1121" spans="2:13" x14ac:dyDescent="0.3">
      <c r="B1121" s="178"/>
      <c r="C1121" s="179"/>
      <c r="D1121" s="180"/>
      <c r="E1121" s="181"/>
      <c r="F1121" s="182"/>
      <c r="G1121" s="1" t="str">
        <f>IFERROR(IF(ventas_b_mes1[[#This Row],[CUIT]]="","-",VLOOKUP(ventas_b_mes1[[#This Row],[CUIT]],Lista_CUIT[#All],2,0)),"CUIT NO CARGADO")</f>
        <v>-</v>
      </c>
      <c r="H1121" s="64">
        <f>ventas_b_mes1[[#This Row],[TOTAL]]/1.21</f>
        <v>0</v>
      </c>
      <c r="I1121" s="183">
        <f>ventas_b_mes1[[#This Row],[IMPORTE NETO]]*0.21</f>
        <v>0</v>
      </c>
      <c r="J1121" s="184"/>
      <c r="K1121" s="184"/>
      <c r="L1121" s="184"/>
      <c r="M1121" s="59"/>
    </row>
    <row r="1122" spans="2:13" x14ac:dyDescent="0.3">
      <c r="B1122" s="178"/>
      <c r="C1122" s="179"/>
      <c r="D1122" s="180"/>
      <c r="E1122" s="181"/>
      <c r="F1122" s="182"/>
      <c r="G1122" s="1" t="str">
        <f>IFERROR(IF(ventas_b_mes1[[#This Row],[CUIT]]="","-",VLOOKUP(ventas_b_mes1[[#This Row],[CUIT]],Lista_CUIT[#All],2,0)),"CUIT NO CARGADO")</f>
        <v>-</v>
      </c>
      <c r="H1122" s="64">
        <f>ventas_b_mes1[[#This Row],[TOTAL]]/1.21</f>
        <v>0</v>
      </c>
      <c r="I1122" s="183">
        <f>ventas_b_mes1[[#This Row],[IMPORTE NETO]]*0.21</f>
        <v>0</v>
      </c>
      <c r="J1122" s="184"/>
      <c r="K1122" s="184"/>
      <c r="L1122" s="184"/>
      <c r="M1122" s="59"/>
    </row>
    <row r="1123" spans="2:13" x14ac:dyDescent="0.3">
      <c r="B1123" s="178"/>
      <c r="C1123" s="179"/>
      <c r="D1123" s="180"/>
      <c r="E1123" s="181"/>
      <c r="F1123" s="182"/>
      <c r="G1123" s="1" t="str">
        <f>IFERROR(IF(ventas_b_mes1[[#This Row],[CUIT]]="","-",VLOOKUP(ventas_b_mes1[[#This Row],[CUIT]],Lista_CUIT[#All],2,0)),"CUIT NO CARGADO")</f>
        <v>-</v>
      </c>
      <c r="H1123" s="64">
        <f>ventas_b_mes1[[#This Row],[TOTAL]]/1.21</f>
        <v>0</v>
      </c>
      <c r="I1123" s="183">
        <f>ventas_b_mes1[[#This Row],[IMPORTE NETO]]*0.21</f>
        <v>0</v>
      </c>
      <c r="J1123" s="184"/>
      <c r="K1123" s="184"/>
      <c r="L1123" s="184"/>
      <c r="M1123" s="59"/>
    </row>
    <row r="1124" spans="2:13" x14ac:dyDescent="0.3">
      <c r="B1124" s="178"/>
      <c r="C1124" s="179"/>
      <c r="D1124" s="180"/>
      <c r="E1124" s="181"/>
      <c r="F1124" s="182"/>
      <c r="G1124" s="1" t="str">
        <f>IFERROR(IF(ventas_b_mes1[[#This Row],[CUIT]]="","-",VLOOKUP(ventas_b_mes1[[#This Row],[CUIT]],Lista_CUIT[#All],2,0)),"CUIT NO CARGADO")</f>
        <v>-</v>
      </c>
      <c r="H1124" s="64">
        <f>ventas_b_mes1[[#This Row],[TOTAL]]/1.21</f>
        <v>0</v>
      </c>
      <c r="I1124" s="183">
        <f>ventas_b_mes1[[#This Row],[IMPORTE NETO]]*0.21</f>
        <v>0</v>
      </c>
      <c r="J1124" s="184"/>
      <c r="K1124" s="184"/>
      <c r="L1124" s="184"/>
      <c r="M1124" s="59"/>
    </row>
    <row r="1125" spans="2:13" x14ac:dyDescent="0.3">
      <c r="B1125" s="178"/>
      <c r="C1125" s="179"/>
      <c r="D1125" s="180"/>
      <c r="E1125" s="181"/>
      <c r="F1125" s="182"/>
      <c r="G1125" s="1" t="str">
        <f>IFERROR(IF(ventas_b_mes1[[#This Row],[CUIT]]="","-",VLOOKUP(ventas_b_mes1[[#This Row],[CUIT]],Lista_CUIT[#All],2,0)),"CUIT NO CARGADO")</f>
        <v>-</v>
      </c>
      <c r="H1125" s="64">
        <f>ventas_b_mes1[[#This Row],[TOTAL]]/1.21</f>
        <v>0</v>
      </c>
      <c r="I1125" s="183">
        <f>ventas_b_mes1[[#This Row],[IMPORTE NETO]]*0.21</f>
        <v>0</v>
      </c>
      <c r="J1125" s="184"/>
      <c r="K1125" s="184"/>
      <c r="L1125" s="184"/>
      <c r="M1125" s="59"/>
    </row>
    <row r="1126" spans="2:13" x14ac:dyDescent="0.3">
      <c r="B1126" s="178"/>
      <c r="C1126" s="179"/>
      <c r="D1126" s="180"/>
      <c r="E1126" s="181"/>
      <c r="F1126" s="182"/>
      <c r="G1126" s="1" t="str">
        <f>IFERROR(IF(ventas_b_mes1[[#This Row],[CUIT]]="","-",VLOOKUP(ventas_b_mes1[[#This Row],[CUIT]],Lista_CUIT[#All],2,0)),"CUIT NO CARGADO")</f>
        <v>-</v>
      </c>
      <c r="H1126" s="64">
        <f>ventas_b_mes1[[#This Row],[TOTAL]]/1.21</f>
        <v>0</v>
      </c>
      <c r="I1126" s="183">
        <f>ventas_b_mes1[[#This Row],[IMPORTE NETO]]*0.21</f>
        <v>0</v>
      </c>
      <c r="J1126" s="184"/>
      <c r="K1126" s="184"/>
      <c r="L1126" s="184"/>
      <c r="M1126" s="59"/>
    </row>
    <row r="1127" spans="2:13" x14ac:dyDescent="0.3">
      <c r="B1127" s="178"/>
      <c r="C1127" s="179"/>
      <c r="D1127" s="180"/>
      <c r="E1127" s="181"/>
      <c r="F1127" s="182"/>
      <c r="G1127" s="1" t="str">
        <f>IFERROR(IF(ventas_b_mes1[[#This Row],[CUIT]]="","-",VLOOKUP(ventas_b_mes1[[#This Row],[CUIT]],Lista_CUIT[#All],2,0)),"CUIT NO CARGADO")</f>
        <v>-</v>
      </c>
      <c r="H1127" s="64">
        <f>ventas_b_mes1[[#This Row],[TOTAL]]/1.21</f>
        <v>0</v>
      </c>
      <c r="I1127" s="183">
        <f>ventas_b_mes1[[#This Row],[IMPORTE NETO]]*0.21</f>
        <v>0</v>
      </c>
      <c r="J1127" s="184"/>
      <c r="K1127" s="184"/>
      <c r="L1127" s="184"/>
      <c r="M1127" s="59"/>
    </row>
    <row r="1128" spans="2:13" x14ac:dyDescent="0.3">
      <c r="B1128" s="178"/>
      <c r="C1128" s="179"/>
      <c r="D1128" s="180"/>
      <c r="E1128" s="181"/>
      <c r="F1128" s="182"/>
      <c r="G1128" s="1" t="str">
        <f>IFERROR(IF(ventas_b_mes1[[#This Row],[CUIT]]="","-",VLOOKUP(ventas_b_mes1[[#This Row],[CUIT]],Lista_CUIT[#All],2,0)),"CUIT NO CARGADO")</f>
        <v>-</v>
      </c>
      <c r="H1128" s="64">
        <f>ventas_b_mes1[[#This Row],[TOTAL]]/1.21</f>
        <v>0</v>
      </c>
      <c r="I1128" s="183">
        <f>ventas_b_mes1[[#This Row],[IMPORTE NETO]]*0.21</f>
        <v>0</v>
      </c>
      <c r="J1128" s="184"/>
      <c r="K1128" s="184"/>
      <c r="L1128" s="184"/>
      <c r="M1128" s="59"/>
    </row>
    <row r="1129" spans="2:13" x14ac:dyDescent="0.3">
      <c r="B1129" s="178"/>
      <c r="C1129" s="179"/>
      <c r="D1129" s="180"/>
      <c r="E1129" s="181"/>
      <c r="F1129" s="182"/>
      <c r="G1129" s="1" t="str">
        <f>IFERROR(IF(ventas_b_mes1[[#This Row],[CUIT]]="","-",VLOOKUP(ventas_b_mes1[[#This Row],[CUIT]],Lista_CUIT[#All],2,0)),"CUIT NO CARGADO")</f>
        <v>-</v>
      </c>
      <c r="H1129" s="64">
        <f>ventas_b_mes1[[#This Row],[TOTAL]]/1.21</f>
        <v>0</v>
      </c>
      <c r="I1129" s="183">
        <f>ventas_b_mes1[[#This Row],[IMPORTE NETO]]*0.21</f>
        <v>0</v>
      </c>
      <c r="J1129" s="184"/>
      <c r="K1129" s="184"/>
      <c r="L1129" s="184"/>
      <c r="M1129" s="59"/>
    </row>
    <row r="1130" spans="2:13" x14ac:dyDescent="0.3">
      <c r="B1130" s="178"/>
      <c r="C1130" s="179"/>
      <c r="D1130" s="180"/>
      <c r="E1130" s="181"/>
      <c r="F1130" s="182"/>
      <c r="G1130" s="1" t="str">
        <f>IFERROR(IF(ventas_b_mes1[[#This Row],[CUIT]]="","-",VLOOKUP(ventas_b_mes1[[#This Row],[CUIT]],Lista_CUIT[#All],2,0)),"CUIT NO CARGADO")</f>
        <v>-</v>
      </c>
      <c r="H1130" s="64">
        <f>ventas_b_mes1[[#This Row],[TOTAL]]/1.21</f>
        <v>0</v>
      </c>
      <c r="I1130" s="183">
        <f>ventas_b_mes1[[#This Row],[IMPORTE NETO]]*0.21</f>
        <v>0</v>
      </c>
      <c r="J1130" s="184"/>
      <c r="K1130" s="184"/>
      <c r="L1130" s="184"/>
      <c r="M1130" s="59"/>
    </row>
    <row r="1131" spans="2:13" x14ac:dyDescent="0.3">
      <c r="B1131" s="178"/>
      <c r="C1131" s="179"/>
      <c r="D1131" s="180"/>
      <c r="E1131" s="181"/>
      <c r="F1131" s="182"/>
      <c r="G1131" s="1" t="str">
        <f>IFERROR(IF(ventas_b_mes1[[#This Row],[CUIT]]="","-",VLOOKUP(ventas_b_mes1[[#This Row],[CUIT]],Lista_CUIT[#All],2,0)),"CUIT NO CARGADO")</f>
        <v>-</v>
      </c>
      <c r="H1131" s="64">
        <f>ventas_b_mes1[[#This Row],[TOTAL]]/1.21</f>
        <v>0</v>
      </c>
      <c r="I1131" s="183">
        <f>ventas_b_mes1[[#This Row],[IMPORTE NETO]]*0.21</f>
        <v>0</v>
      </c>
      <c r="J1131" s="184"/>
      <c r="K1131" s="184"/>
      <c r="L1131" s="184"/>
      <c r="M1131" s="59"/>
    </row>
    <row r="1132" spans="2:13" x14ac:dyDescent="0.3">
      <c r="B1132" s="178"/>
      <c r="C1132" s="179"/>
      <c r="D1132" s="180"/>
      <c r="E1132" s="181"/>
      <c r="F1132" s="182"/>
      <c r="G1132" s="1" t="str">
        <f>IFERROR(IF(ventas_b_mes1[[#This Row],[CUIT]]="","-",VLOOKUP(ventas_b_mes1[[#This Row],[CUIT]],Lista_CUIT[#All],2,0)),"CUIT NO CARGADO")</f>
        <v>-</v>
      </c>
      <c r="H1132" s="64">
        <f>ventas_b_mes1[[#This Row],[TOTAL]]/1.21</f>
        <v>0</v>
      </c>
      <c r="I1132" s="183">
        <f>ventas_b_mes1[[#This Row],[IMPORTE NETO]]*0.21</f>
        <v>0</v>
      </c>
      <c r="J1132" s="184"/>
      <c r="K1132" s="184"/>
      <c r="L1132" s="184"/>
      <c r="M1132" s="59"/>
    </row>
    <row r="1133" spans="2:13" x14ac:dyDescent="0.3">
      <c r="B1133" s="178"/>
      <c r="C1133" s="179"/>
      <c r="D1133" s="180"/>
      <c r="E1133" s="181"/>
      <c r="F1133" s="182"/>
      <c r="G1133" s="1" t="str">
        <f>IFERROR(IF(ventas_b_mes1[[#This Row],[CUIT]]="","-",VLOOKUP(ventas_b_mes1[[#This Row],[CUIT]],Lista_CUIT[#All],2,0)),"CUIT NO CARGADO")</f>
        <v>-</v>
      </c>
      <c r="H1133" s="64">
        <f>ventas_b_mes1[[#This Row],[TOTAL]]/1.21</f>
        <v>0</v>
      </c>
      <c r="I1133" s="183">
        <f>ventas_b_mes1[[#This Row],[IMPORTE NETO]]*0.21</f>
        <v>0</v>
      </c>
      <c r="J1133" s="184"/>
      <c r="K1133" s="184"/>
      <c r="L1133" s="184"/>
      <c r="M1133" s="59"/>
    </row>
    <row r="1134" spans="2:13" x14ac:dyDescent="0.3">
      <c r="B1134" s="178"/>
      <c r="C1134" s="179"/>
      <c r="D1134" s="180"/>
      <c r="E1134" s="181"/>
      <c r="F1134" s="182"/>
      <c r="G1134" s="1" t="str">
        <f>IFERROR(IF(ventas_b_mes1[[#This Row],[CUIT]]="","-",VLOOKUP(ventas_b_mes1[[#This Row],[CUIT]],Lista_CUIT[#All],2,0)),"CUIT NO CARGADO")</f>
        <v>-</v>
      </c>
      <c r="H1134" s="64">
        <f>ventas_b_mes1[[#This Row],[TOTAL]]/1.21</f>
        <v>0</v>
      </c>
      <c r="I1134" s="183">
        <f>ventas_b_mes1[[#This Row],[IMPORTE NETO]]*0.21</f>
        <v>0</v>
      </c>
      <c r="J1134" s="184"/>
      <c r="K1134" s="184"/>
      <c r="L1134" s="184"/>
      <c r="M1134" s="59"/>
    </row>
    <row r="1135" spans="2:13" x14ac:dyDescent="0.3">
      <c r="B1135" s="178"/>
      <c r="C1135" s="179"/>
      <c r="D1135" s="180"/>
      <c r="E1135" s="181"/>
      <c r="F1135" s="182"/>
      <c r="G1135" s="1" t="str">
        <f>IFERROR(IF(ventas_b_mes1[[#This Row],[CUIT]]="","-",VLOOKUP(ventas_b_mes1[[#This Row],[CUIT]],Lista_CUIT[#All],2,0)),"CUIT NO CARGADO")</f>
        <v>-</v>
      </c>
      <c r="H1135" s="64">
        <f>ventas_b_mes1[[#This Row],[TOTAL]]/1.21</f>
        <v>0</v>
      </c>
      <c r="I1135" s="183">
        <f>ventas_b_mes1[[#This Row],[IMPORTE NETO]]*0.21</f>
        <v>0</v>
      </c>
      <c r="J1135" s="184"/>
      <c r="K1135" s="184"/>
      <c r="L1135" s="184"/>
      <c r="M1135" s="59"/>
    </row>
    <row r="1136" spans="2:13" x14ac:dyDescent="0.3">
      <c r="B1136" s="178"/>
      <c r="C1136" s="179"/>
      <c r="D1136" s="180"/>
      <c r="E1136" s="181"/>
      <c r="F1136" s="182"/>
      <c r="G1136" s="1" t="str">
        <f>IFERROR(IF(ventas_b_mes1[[#This Row],[CUIT]]="","-",VLOOKUP(ventas_b_mes1[[#This Row],[CUIT]],Lista_CUIT[#All],2,0)),"CUIT NO CARGADO")</f>
        <v>-</v>
      </c>
      <c r="H1136" s="64">
        <f>ventas_b_mes1[[#This Row],[TOTAL]]/1.21</f>
        <v>0</v>
      </c>
      <c r="I1136" s="183">
        <f>ventas_b_mes1[[#This Row],[IMPORTE NETO]]*0.21</f>
        <v>0</v>
      </c>
      <c r="J1136" s="184"/>
      <c r="K1136" s="184"/>
      <c r="L1136" s="184"/>
      <c r="M1136" s="59"/>
    </row>
    <row r="1137" spans="2:13" x14ac:dyDescent="0.3">
      <c r="B1137" s="178"/>
      <c r="C1137" s="179"/>
      <c r="D1137" s="180"/>
      <c r="E1137" s="181"/>
      <c r="F1137" s="182"/>
      <c r="G1137" s="1" t="str">
        <f>IFERROR(IF(ventas_b_mes1[[#This Row],[CUIT]]="","-",VLOOKUP(ventas_b_mes1[[#This Row],[CUIT]],Lista_CUIT[#All],2,0)),"CUIT NO CARGADO")</f>
        <v>-</v>
      </c>
      <c r="H1137" s="64">
        <f>ventas_b_mes1[[#This Row],[TOTAL]]/1.21</f>
        <v>0</v>
      </c>
      <c r="I1137" s="183">
        <f>ventas_b_mes1[[#This Row],[IMPORTE NETO]]*0.21</f>
        <v>0</v>
      </c>
      <c r="J1137" s="184"/>
      <c r="K1137" s="184"/>
      <c r="L1137" s="184"/>
      <c r="M1137" s="59"/>
    </row>
    <row r="1138" spans="2:13" x14ac:dyDescent="0.3">
      <c r="B1138" s="178"/>
      <c r="C1138" s="179"/>
      <c r="D1138" s="180"/>
      <c r="E1138" s="181"/>
      <c r="F1138" s="182"/>
      <c r="G1138" s="1" t="str">
        <f>IFERROR(IF(ventas_b_mes1[[#This Row],[CUIT]]="","-",VLOOKUP(ventas_b_mes1[[#This Row],[CUIT]],Lista_CUIT[#All],2,0)),"CUIT NO CARGADO")</f>
        <v>-</v>
      </c>
      <c r="H1138" s="64">
        <f>ventas_b_mes1[[#This Row],[TOTAL]]/1.21</f>
        <v>0</v>
      </c>
      <c r="I1138" s="183">
        <f>ventas_b_mes1[[#This Row],[IMPORTE NETO]]*0.21</f>
        <v>0</v>
      </c>
      <c r="J1138" s="184"/>
      <c r="K1138" s="184"/>
      <c r="L1138" s="184"/>
      <c r="M1138" s="59"/>
    </row>
    <row r="1139" spans="2:13" x14ac:dyDescent="0.3">
      <c r="B1139" s="178"/>
      <c r="C1139" s="179"/>
      <c r="D1139" s="180"/>
      <c r="E1139" s="181"/>
      <c r="F1139" s="182"/>
      <c r="G1139" s="1" t="str">
        <f>IFERROR(IF(ventas_b_mes1[[#This Row],[CUIT]]="","-",VLOOKUP(ventas_b_mes1[[#This Row],[CUIT]],Lista_CUIT[#All],2,0)),"CUIT NO CARGADO")</f>
        <v>-</v>
      </c>
      <c r="H1139" s="64">
        <f>ventas_b_mes1[[#This Row],[TOTAL]]/1.21</f>
        <v>0</v>
      </c>
      <c r="I1139" s="183">
        <f>ventas_b_mes1[[#This Row],[IMPORTE NETO]]*0.21</f>
        <v>0</v>
      </c>
      <c r="J1139" s="184"/>
      <c r="K1139" s="184"/>
      <c r="L1139" s="184"/>
      <c r="M1139" s="59"/>
    </row>
    <row r="1140" spans="2:13" x14ac:dyDescent="0.3">
      <c r="B1140" s="178"/>
      <c r="C1140" s="179"/>
      <c r="D1140" s="180"/>
      <c r="E1140" s="181"/>
      <c r="F1140" s="182"/>
      <c r="G1140" s="1" t="str">
        <f>IFERROR(IF(ventas_b_mes1[[#This Row],[CUIT]]="","-",VLOOKUP(ventas_b_mes1[[#This Row],[CUIT]],Lista_CUIT[#All],2,0)),"CUIT NO CARGADO")</f>
        <v>-</v>
      </c>
      <c r="H1140" s="64">
        <f>ventas_b_mes1[[#This Row],[TOTAL]]/1.21</f>
        <v>0</v>
      </c>
      <c r="I1140" s="183">
        <f>ventas_b_mes1[[#This Row],[IMPORTE NETO]]*0.21</f>
        <v>0</v>
      </c>
      <c r="J1140" s="184"/>
      <c r="K1140" s="184"/>
      <c r="L1140" s="184"/>
      <c r="M1140" s="59"/>
    </row>
    <row r="1141" spans="2:13" x14ac:dyDescent="0.3">
      <c r="B1141" s="178"/>
      <c r="C1141" s="179"/>
      <c r="D1141" s="180"/>
      <c r="E1141" s="181"/>
      <c r="F1141" s="182"/>
      <c r="G1141" s="1" t="str">
        <f>IFERROR(IF(ventas_b_mes1[[#This Row],[CUIT]]="","-",VLOOKUP(ventas_b_mes1[[#This Row],[CUIT]],Lista_CUIT[#All],2,0)),"CUIT NO CARGADO")</f>
        <v>-</v>
      </c>
      <c r="H1141" s="64">
        <f>ventas_b_mes1[[#This Row],[TOTAL]]/1.21</f>
        <v>0</v>
      </c>
      <c r="I1141" s="183">
        <f>ventas_b_mes1[[#This Row],[IMPORTE NETO]]*0.21</f>
        <v>0</v>
      </c>
      <c r="J1141" s="184"/>
      <c r="K1141" s="184"/>
      <c r="L1141" s="184"/>
      <c r="M1141" s="59"/>
    </row>
    <row r="1142" spans="2:13" x14ac:dyDescent="0.3">
      <c r="B1142" s="178"/>
      <c r="C1142" s="179"/>
      <c r="D1142" s="180"/>
      <c r="E1142" s="181"/>
      <c r="F1142" s="182"/>
      <c r="G1142" s="1" t="str">
        <f>IFERROR(IF(ventas_b_mes1[[#This Row],[CUIT]]="","-",VLOOKUP(ventas_b_mes1[[#This Row],[CUIT]],Lista_CUIT[#All],2,0)),"CUIT NO CARGADO")</f>
        <v>-</v>
      </c>
      <c r="H1142" s="64">
        <f>ventas_b_mes1[[#This Row],[TOTAL]]/1.21</f>
        <v>0</v>
      </c>
      <c r="I1142" s="183">
        <f>ventas_b_mes1[[#This Row],[IMPORTE NETO]]*0.21</f>
        <v>0</v>
      </c>
      <c r="J1142" s="184"/>
      <c r="K1142" s="184"/>
      <c r="L1142" s="184"/>
      <c r="M1142" s="59"/>
    </row>
    <row r="1143" spans="2:13" x14ac:dyDescent="0.3">
      <c r="B1143" s="178"/>
      <c r="C1143" s="179"/>
      <c r="D1143" s="180"/>
      <c r="E1143" s="181"/>
      <c r="F1143" s="182"/>
      <c r="G1143" s="1" t="str">
        <f>IFERROR(IF(ventas_b_mes1[[#This Row],[CUIT]]="","-",VLOOKUP(ventas_b_mes1[[#This Row],[CUIT]],Lista_CUIT[#All],2,0)),"CUIT NO CARGADO")</f>
        <v>-</v>
      </c>
      <c r="H1143" s="64">
        <f>ventas_b_mes1[[#This Row],[TOTAL]]/1.21</f>
        <v>0</v>
      </c>
      <c r="I1143" s="183">
        <f>ventas_b_mes1[[#This Row],[IMPORTE NETO]]*0.21</f>
        <v>0</v>
      </c>
      <c r="J1143" s="184"/>
      <c r="K1143" s="184"/>
      <c r="L1143" s="184"/>
      <c r="M1143" s="59"/>
    </row>
    <row r="1144" spans="2:13" x14ac:dyDescent="0.3">
      <c r="B1144" s="178"/>
      <c r="C1144" s="179"/>
      <c r="D1144" s="180"/>
      <c r="E1144" s="181"/>
      <c r="F1144" s="182"/>
      <c r="G1144" s="1" t="str">
        <f>IFERROR(IF(ventas_b_mes1[[#This Row],[CUIT]]="","-",VLOOKUP(ventas_b_mes1[[#This Row],[CUIT]],Lista_CUIT[#All],2,0)),"CUIT NO CARGADO")</f>
        <v>-</v>
      </c>
      <c r="H1144" s="64">
        <f>ventas_b_mes1[[#This Row],[TOTAL]]/1.21</f>
        <v>0</v>
      </c>
      <c r="I1144" s="183">
        <f>ventas_b_mes1[[#This Row],[IMPORTE NETO]]*0.21</f>
        <v>0</v>
      </c>
      <c r="J1144" s="184"/>
      <c r="K1144" s="184"/>
      <c r="L1144" s="184"/>
      <c r="M1144" s="59"/>
    </row>
    <row r="1145" spans="2:13" x14ac:dyDescent="0.3">
      <c r="B1145" s="178"/>
      <c r="C1145" s="179"/>
      <c r="D1145" s="180"/>
      <c r="E1145" s="181"/>
      <c r="F1145" s="182"/>
      <c r="G1145" s="1" t="str">
        <f>IFERROR(IF(ventas_b_mes1[[#This Row],[CUIT]]="","-",VLOOKUP(ventas_b_mes1[[#This Row],[CUIT]],Lista_CUIT[#All],2,0)),"CUIT NO CARGADO")</f>
        <v>-</v>
      </c>
      <c r="H1145" s="64">
        <f>ventas_b_mes1[[#This Row],[TOTAL]]/1.21</f>
        <v>0</v>
      </c>
      <c r="I1145" s="183">
        <f>ventas_b_mes1[[#This Row],[IMPORTE NETO]]*0.21</f>
        <v>0</v>
      </c>
      <c r="J1145" s="184"/>
      <c r="K1145" s="184"/>
      <c r="L1145" s="184"/>
      <c r="M1145" s="59"/>
    </row>
    <row r="1146" spans="2:13" x14ac:dyDescent="0.3">
      <c r="B1146" s="178"/>
      <c r="C1146" s="179"/>
      <c r="D1146" s="180"/>
      <c r="E1146" s="181"/>
      <c r="F1146" s="182"/>
      <c r="G1146" s="1" t="str">
        <f>IFERROR(IF(ventas_b_mes1[[#This Row],[CUIT]]="","-",VLOOKUP(ventas_b_mes1[[#This Row],[CUIT]],Lista_CUIT[#All],2,0)),"CUIT NO CARGADO")</f>
        <v>-</v>
      </c>
      <c r="H1146" s="64">
        <f>ventas_b_mes1[[#This Row],[TOTAL]]/1.21</f>
        <v>0</v>
      </c>
      <c r="I1146" s="183">
        <f>ventas_b_mes1[[#This Row],[IMPORTE NETO]]*0.21</f>
        <v>0</v>
      </c>
      <c r="J1146" s="184"/>
      <c r="K1146" s="184"/>
      <c r="L1146" s="184"/>
      <c r="M1146" s="59"/>
    </row>
    <row r="1147" spans="2:13" x14ac:dyDescent="0.3">
      <c r="B1147" s="178"/>
      <c r="C1147" s="179"/>
      <c r="D1147" s="180"/>
      <c r="E1147" s="181"/>
      <c r="F1147" s="182"/>
      <c r="G1147" s="1" t="str">
        <f>IFERROR(IF(ventas_b_mes1[[#This Row],[CUIT]]="","-",VLOOKUP(ventas_b_mes1[[#This Row],[CUIT]],Lista_CUIT[#All],2,0)),"CUIT NO CARGADO")</f>
        <v>-</v>
      </c>
      <c r="H1147" s="64">
        <f>ventas_b_mes1[[#This Row],[TOTAL]]/1.21</f>
        <v>0</v>
      </c>
      <c r="I1147" s="183">
        <f>ventas_b_mes1[[#This Row],[IMPORTE NETO]]*0.21</f>
        <v>0</v>
      </c>
      <c r="J1147" s="184"/>
      <c r="K1147" s="184"/>
      <c r="L1147" s="184"/>
      <c r="M1147" s="59"/>
    </row>
    <row r="1148" spans="2:13" x14ac:dyDescent="0.3">
      <c r="B1148" s="178"/>
      <c r="C1148" s="179"/>
      <c r="D1148" s="180"/>
      <c r="E1148" s="181"/>
      <c r="F1148" s="182"/>
      <c r="G1148" s="1" t="str">
        <f>IFERROR(IF(ventas_b_mes1[[#This Row],[CUIT]]="","-",VLOOKUP(ventas_b_mes1[[#This Row],[CUIT]],Lista_CUIT[#All],2,0)),"CUIT NO CARGADO")</f>
        <v>-</v>
      </c>
      <c r="H1148" s="64">
        <f>ventas_b_mes1[[#This Row],[TOTAL]]/1.21</f>
        <v>0</v>
      </c>
      <c r="I1148" s="183">
        <f>ventas_b_mes1[[#This Row],[IMPORTE NETO]]*0.21</f>
        <v>0</v>
      </c>
      <c r="J1148" s="184"/>
      <c r="K1148" s="184"/>
      <c r="L1148" s="184"/>
      <c r="M1148" s="59"/>
    </row>
    <row r="1149" spans="2:13" x14ac:dyDescent="0.3">
      <c r="B1149" s="178"/>
      <c r="C1149" s="179"/>
      <c r="D1149" s="180"/>
      <c r="E1149" s="181"/>
      <c r="F1149" s="182"/>
      <c r="G1149" s="1" t="str">
        <f>IFERROR(IF(ventas_b_mes1[[#This Row],[CUIT]]="","-",VLOOKUP(ventas_b_mes1[[#This Row],[CUIT]],Lista_CUIT[#All],2,0)),"CUIT NO CARGADO")</f>
        <v>-</v>
      </c>
      <c r="H1149" s="64">
        <f>ventas_b_mes1[[#This Row],[TOTAL]]/1.21</f>
        <v>0</v>
      </c>
      <c r="I1149" s="183">
        <f>ventas_b_mes1[[#This Row],[IMPORTE NETO]]*0.21</f>
        <v>0</v>
      </c>
      <c r="J1149" s="184"/>
      <c r="K1149" s="184"/>
      <c r="L1149" s="184"/>
      <c r="M1149" s="59"/>
    </row>
    <row r="1150" spans="2:13" x14ac:dyDescent="0.3">
      <c r="B1150" s="178"/>
      <c r="C1150" s="179"/>
      <c r="D1150" s="180"/>
      <c r="E1150" s="181"/>
      <c r="F1150" s="182"/>
      <c r="G1150" s="1" t="str">
        <f>IFERROR(IF(ventas_b_mes1[[#This Row],[CUIT]]="","-",VLOOKUP(ventas_b_mes1[[#This Row],[CUIT]],Lista_CUIT[#All],2,0)),"CUIT NO CARGADO")</f>
        <v>-</v>
      </c>
      <c r="H1150" s="64">
        <f>ventas_b_mes1[[#This Row],[TOTAL]]/1.21</f>
        <v>0</v>
      </c>
      <c r="I1150" s="183">
        <f>ventas_b_mes1[[#This Row],[IMPORTE NETO]]*0.21</f>
        <v>0</v>
      </c>
      <c r="J1150" s="184"/>
      <c r="K1150" s="184"/>
      <c r="L1150" s="184"/>
      <c r="M1150" s="59"/>
    </row>
    <row r="1151" spans="2:13" x14ac:dyDescent="0.3">
      <c r="B1151" s="178"/>
      <c r="C1151" s="179"/>
      <c r="D1151" s="180"/>
      <c r="E1151" s="181"/>
      <c r="F1151" s="182"/>
      <c r="G1151" s="1" t="str">
        <f>IFERROR(IF(ventas_b_mes1[[#This Row],[CUIT]]="","-",VLOOKUP(ventas_b_mes1[[#This Row],[CUIT]],Lista_CUIT[#All],2,0)),"CUIT NO CARGADO")</f>
        <v>-</v>
      </c>
      <c r="H1151" s="64">
        <f>ventas_b_mes1[[#This Row],[TOTAL]]/1.21</f>
        <v>0</v>
      </c>
      <c r="I1151" s="183">
        <f>ventas_b_mes1[[#This Row],[IMPORTE NETO]]*0.21</f>
        <v>0</v>
      </c>
      <c r="J1151" s="184"/>
      <c r="K1151" s="184"/>
      <c r="L1151" s="184"/>
      <c r="M1151" s="59"/>
    </row>
    <row r="1152" spans="2:13" x14ac:dyDescent="0.3">
      <c r="B1152" s="178"/>
      <c r="C1152" s="179"/>
      <c r="D1152" s="180"/>
      <c r="E1152" s="181"/>
      <c r="F1152" s="182"/>
      <c r="G1152" s="1" t="str">
        <f>IFERROR(IF(ventas_b_mes1[[#This Row],[CUIT]]="","-",VLOOKUP(ventas_b_mes1[[#This Row],[CUIT]],Lista_CUIT[#All],2,0)),"CUIT NO CARGADO")</f>
        <v>-</v>
      </c>
      <c r="H1152" s="64">
        <f>ventas_b_mes1[[#This Row],[TOTAL]]/1.21</f>
        <v>0</v>
      </c>
      <c r="I1152" s="183">
        <f>ventas_b_mes1[[#This Row],[IMPORTE NETO]]*0.21</f>
        <v>0</v>
      </c>
      <c r="J1152" s="184"/>
      <c r="K1152" s="184"/>
      <c r="L1152" s="184"/>
      <c r="M1152" s="59"/>
    </row>
    <row r="1153" spans="2:13" x14ac:dyDescent="0.3">
      <c r="B1153" s="178"/>
      <c r="C1153" s="179"/>
      <c r="D1153" s="180"/>
      <c r="E1153" s="181"/>
      <c r="F1153" s="182"/>
      <c r="G1153" s="1" t="str">
        <f>IFERROR(IF(ventas_b_mes1[[#This Row],[CUIT]]="","-",VLOOKUP(ventas_b_mes1[[#This Row],[CUIT]],Lista_CUIT[#All],2,0)),"CUIT NO CARGADO")</f>
        <v>-</v>
      </c>
      <c r="H1153" s="64">
        <f>ventas_b_mes1[[#This Row],[TOTAL]]/1.21</f>
        <v>0</v>
      </c>
      <c r="I1153" s="183">
        <f>ventas_b_mes1[[#This Row],[IMPORTE NETO]]*0.21</f>
        <v>0</v>
      </c>
      <c r="J1153" s="184"/>
      <c r="K1153" s="184"/>
      <c r="L1153" s="184"/>
      <c r="M1153" s="59"/>
    </row>
    <row r="1154" spans="2:13" x14ac:dyDescent="0.3">
      <c r="B1154" s="178"/>
      <c r="C1154" s="179"/>
      <c r="D1154" s="180"/>
      <c r="E1154" s="181"/>
      <c r="F1154" s="182"/>
      <c r="G1154" s="1" t="str">
        <f>IFERROR(IF(ventas_b_mes1[[#This Row],[CUIT]]="","-",VLOOKUP(ventas_b_mes1[[#This Row],[CUIT]],Lista_CUIT[#All],2,0)),"CUIT NO CARGADO")</f>
        <v>-</v>
      </c>
      <c r="H1154" s="64">
        <f>ventas_b_mes1[[#This Row],[TOTAL]]/1.21</f>
        <v>0</v>
      </c>
      <c r="I1154" s="183">
        <f>ventas_b_mes1[[#This Row],[IMPORTE NETO]]*0.21</f>
        <v>0</v>
      </c>
      <c r="J1154" s="184"/>
      <c r="K1154" s="184"/>
      <c r="L1154" s="184"/>
      <c r="M1154" s="59"/>
    </row>
    <row r="1155" spans="2:13" x14ac:dyDescent="0.3">
      <c r="B1155" s="178"/>
      <c r="C1155" s="179"/>
      <c r="D1155" s="180"/>
      <c r="E1155" s="181"/>
      <c r="F1155" s="182"/>
      <c r="G1155" s="1" t="str">
        <f>IFERROR(IF(ventas_b_mes1[[#This Row],[CUIT]]="","-",VLOOKUP(ventas_b_mes1[[#This Row],[CUIT]],Lista_CUIT[#All],2,0)),"CUIT NO CARGADO")</f>
        <v>-</v>
      </c>
      <c r="H1155" s="64">
        <f>ventas_b_mes1[[#This Row],[TOTAL]]/1.21</f>
        <v>0</v>
      </c>
      <c r="I1155" s="183">
        <f>ventas_b_mes1[[#This Row],[IMPORTE NETO]]*0.21</f>
        <v>0</v>
      </c>
      <c r="J1155" s="184"/>
      <c r="K1155" s="184"/>
      <c r="L1155" s="184"/>
      <c r="M1155" s="59"/>
    </row>
    <row r="1156" spans="2:13" x14ac:dyDescent="0.3">
      <c r="B1156" s="178"/>
      <c r="C1156" s="179"/>
      <c r="D1156" s="180"/>
      <c r="E1156" s="181"/>
      <c r="F1156" s="182"/>
      <c r="G1156" s="1" t="str">
        <f>IFERROR(IF(ventas_b_mes1[[#This Row],[CUIT]]="","-",VLOOKUP(ventas_b_mes1[[#This Row],[CUIT]],Lista_CUIT[#All],2,0)),"CUIT NO CARGADO")</f>
        <v>-</v>
      </c>
      <c r="H1156" s="64">
        <f>ventas_b_mes1[[#This Row],[TOTAL]]/1.21</f>
        <v>0</v>
      </c>
      <c r="I1156" s="183">
        <f>ventas_b_mes1[[#This Row],[IMPORTE NETO]]*0.21</f>
        <v>0</v>
      </c>
      <c r="J1156" s="184"/>
      <c r="K1156" s="184"/>
      <c r="L1156" s="184"/>
      <c r="M1156" s="59"/>
    </row>
    <row r="1157" spans="2:13" x14ac:dyDescent="0.3">
      <c r="B1157" s="178"/>
      <c r="C1157" s="179"/>
      <c r="D1157" s="180"/>
      <c r="E1157" s="181"/>
      <c r="F1157" s="182"/>
      <c r="G1157" s="1" t="str">
        <f>IFERROR(IF(ventas_b_mes1[[#This Row],[CUIT]]="","-",VLOOKUP(ventas_b_mes1[[#This Row],[CUIT]],Lista_CUIT[#All],2,0)),"CUIT NO CARGADO")</f>
        <v>-</v>
      </c>
      <c r="H1157" s="64">
        <f>ventas_b_mes1[[#This Row],[TOTAL]]/1.21</f>
        <v>0</v>
      </c>
      <c r="I1157" s="183">
        <f>ventas_b_mes1[[#This Row],[IMPORTE NETO]]*0.21</f>
        <v>0</v>
      </c>
      <c r="J1157" s="184"/>
      <c r="K1157" s="184"/>
      <c r="L1157" s="184"/>
      <c r="M1157" s="59"/>
    </row>
    <row r="1158" spans="2:13" x14ac:dyDescent="0.3">
      <c r="B1158" s="178"/>
      <c r="C1158" s="179"/>
      <c r="D1158" s="180"/>
      <c r="E1158" s="181"/>
      <c r="F1158" s="182"/>
      <c r="G1158" s="1" t="str">
        <f>IFERROR(IF(ventas_b_mes1[[#This Row],[CUIT]]="","-",VLOOKUP(ventas_b_mes1[[#This Row],[CUIT]],Lista_CUIT[#All],2,0)),"CUIT NO CARGADO")</f>
        <v>-</v>
      </c>
      <c r="H1158" s="64">
        <f>ventas_b_mes1[[#This Row],[TOTAL]]/1.21</f>
        <v>0</v>
      </c>
      <c r="I1158" s="183">
        <f>ventas_b_mes1[[#This Row],[IMPORTE NETO]]*0.21</f>
        <v>0</v>
      </c>
      <c r="J1158" s="184"/>
      <c r="K1158" s="184"/>
      <c r="L1158" s="184"/>
      <c r="M1158" s="59"/>
    </row>
    <row r="1159" spans="2:13" x14ac:dyDescent="0.3">
      <c r="B1159" s="178"/>
      <c r="C1159" s="179"/>
      <c r="D1159" s="180"/>
      <c r="E1159" s="181"/>
      <c r="F1159" s="182"/>
      <c r="G1159" s="1" t="str">
        <f>IFERROR(IF(ventas_b_mes1[[#This Row],[CUIT]]="","-",VLOOKUP(ventas_b_mes1[[#This Row],[CUIT]],Lista_CUIT[#All],2,0)),"CUIT NO CARGADO")</f>
        <v>-</v>
      </c>
      <c r="H1159" s="64">
        <f>ventas_b_mes1[[#This Row],[TOTAL]]/1.21</f>
        <v>0</v>
      </c>
      <c r="I1159" s="183">
        <f>ventas_b_mes1[[#This Row],[IMPORTE NETO]]*0.21</f>
        <v>0</v>
      </c>
      <c r="J1159" s="184"/>
      <c r="K1159" s="184"/>
      <c r="L1159" s="184"/>
      <c r="M1159" s="59"/>
    </row>
    <row r="1160" spans="2:13" x14ac:dyDescent="0.3">
      <c r="B1160" s="178"/>
      <c r="C1160" s="179"/>
      <c r="D1160" s="180"/>
      <c r="E1160" s="181"/>
      <c r="F1160" s="182"/>
      <c r="G1160" s="1" t="str">
        <f>IFERROR(IF(ventas_b_mes1[[#This Row],[CUIT]]="","-",VLOOKUP(ventas_b_mes1[[#This Row],[CUIT]],Lista_CUIT[#All],2,0)),"CUIT NO CARGADO")</f>
        <v>-</v>
      </c>
      <c r="H1160" s="64">
        <f>ventas_b_mes1[[#This Row],[TOTAL]]/1.21</f>
        <v>0</v>
      </c>
      <c r="I1160" s="183">
        <f>ventas_b_mes1[[#This Row],[IMPORTE NETO]]*0.21</f>
        <v>0</v>
      </c>
      <c r="J1160" s="184"/>
      <c r="K1160" s="184"/>
      <c r="L1160" s="184"/>
      <c r="M1160" s="59"/>
    </row>
    <row r="1161" spans="2:13" x14ac:dyDescent="0.3">
      <c r="B1161" s="178"/>
      <c r="C1161" s="179"/>
      <c r="D1161" s="180"/>
      <c r="E1161" s="181"/>
      <c r="F1161" s="182"/>
      <c r="G1161" s="1" t="str">
        <f>IFERROR(IF(ventas_b_mes1[[#This Row],[CUIT]]="","-",VLOOKUP(ventas_b_mes1[[#This Row],[CUIT]],Lista_CUIT[#All],2,0)),"CUIT NO CARGADO")</f>
        <v>-</v>
      </c>
      <c r="H1161" s="64">
        <f>ventas_b_mes1[[#This Row],[TOTAL]]/1.21</f>
        <v>0</v>
      </c>
      <c r="I1161" s="183">
        <f>ventas_b_mes1[[#This Row],[IMPORTE NETO]]*0.21</f>
        <v>0</v>
      </c>
      <c r="J1161" s="184"/>
      <c r="K1161" s="184"/>
      <c r="L1161" s="184"/>
      <c r="M1161" s="59"/>
    </row>
    <row r="1162" spans="2:13" x14ac:dyDescent="0.3">
      <c r="B1162" s="178"/>
      <c r="C1162" s="179"/>
      <c r="D1162" s="180"/>
      <c r="E1162" s="181"/>
      <c r="F1162" s="182"/>
      <c r="G1162" s="1" t="str">
        <f>IFERROR(IF(ventas_b_mes1[[#This Row],[CUIT]]="","-",VLOOKUP(ventas_b_mes1[[#This Row],[CUIT]],Lista_CUIT[#All],2,0)),"CUIT NO CARGADO")</f>
        <v>-</v>
      </c>
      <c r="H1162" s="64">
        <f>ventas_b_mes1[[#This Row],[TOTAL]]/1.21</f>
        <v>0</v>
      </c>
      <c r="I1162" s="183">
        <f>ventas_b_mes1[[#This Row],[IMPORTE NETO]]*0.21</f>
        <v>0</v>
      </c>
      <c r="J1162" s="184"/>
      <c r="K1162" s="184"/>
      <c r="L1162" s="184"/>
      <c r="M1162" s="59"/>
    </row>
    <row r="1163" spans="2:13" x14ac:dyDescent="0.3">
      <c r="B1163" s="178"/>
      <c r="C1163" s="179"/>
      <c r="D1163" s="180"/>
      <c r="E1163" s="181"/>
      <c r="F1163" s="182"/>
      <c r="G1163" s="1" t="str">
        <f>IFERROR(IF(ventas_b_mes1[[#This Row],[CUIT]]="","-",VLOOKUP(ventas_b_mes1[[#This Row],[CUIT]],Lista_CUIT[#All],2,0)),"CUIT NO CARGADO")</f>
        <v>-</v>
      </c>
      <c r="H1163" s="64">
        <f>ventas_b_mes1[[#This Row],[TOTAL]]/1.21</f>
        <v>0</v>
      </c>
      <c r="I1163" s="183">
        <f>ventas_b_mes1[[#This Row],[IMPORTE NETO]]*0.21</f>
        <v>0</v>
      </c>
      <c r="J1163" s="184"/>
      <c r="K1163" s="184"/>
      <c r="L1163" s="184"/>
      <c r="M1163" s="59"/>
    </row>
    <row r="1164" spans="2:13" x14ac:dyDescent="0.3">
      <c r="B1164" s="178"/>
      <c r="C1164" s="179"/>
      <c r="D1164" s="180"/>
      <c r="E1164" s="181"/>
      <c r="F1164" s="182"/>
      <c r="G1164" s="1" t="str">
        <f>IFERROR(IF(ventas_b_mes1[[#This Row],[CUIT]]="","-",VLOOKUP(ventas_b_mes1[[#This Row],[CUIT]],Lista_CUIT[#All],2,0)),"CUIT NO CARGADO")</f>
        <v>-</v>
      </c>
      <c r="H1164" s="64">
        <f>ventas_b_mes1[[#This Row],[TOTAL]]/1.21</f>
        <v>0</v>
      </c>
      <c r="I1164" s="183">
        <f>ventas_b_mes1[[#This Row],[IMPORTE NETO]]*0.21</f>
        <v>0</v>
      </c>
      <c r="J1164" s="184"/>
      <c r="K1164" s="184"/>
      <c r="L1164" s="184"/>
      <c r="M1164" s="59"/>
    </row>
    <row r="1165" spans="2:13" x14ac:dyDescent="0.3">
      <c r="B1165" s="178"/>
      <c r="C1165" s="179"/>
      <c r="D1165" s="180"/>
      <c r="E1165" s="181"/>
      <c r="F1165" s="182"/>
      <c r="G1165" s="1" t="str">
        <f>IFERROR(IF(ventas_b_mes1[[#This Row],[CUIT]]="","-",VLOOKUP(ventas_b_mes1[[#This Row],[CUIT]],Lista_CUIT[#All],2,0)),"CUIT NO CARGADO")</f>
        <v>-</v>
      </c>
      <c r="H1165" s="64">
        <f>ventas_b_mes1[[#This Row],[TOTAL]]/1.21</f>
        <v>0</v>
      </c>
      <c r="I1165" s="183">
        <f>ventas_b_mes1[[#This Row],[IMPORTE NETO]]*0.21</f>
        <v>0</v>
      </c>
      <c r="J1165" s="184"/>
      <c r="K1165" s="184"/>
      <c r="L1165" s="184"/>
      <c r="M1165" s="59"/>
    </row>
    <row r="1166" spans="2:13" x14ac:dyDescent="0.3">
      <c r="B1166" s="178"/>
      <c r="C1166" s="179"/>
      <c r="D1166" s="180"/>
      <c r="E1166" s="181"/>
      <c r="F1166" s="182"/>
      <c r="G1166" s="1" t="str">
        <f>IFERROR(IF(ventas_b_mes1[[#This Row],[CUIT]]="","-",VLOOKUP(ventas_b_mes1[[#This Row],[CUIT]],Lista_CUIT[#All],2,0)),"CUIT NO CARGADO")</f>
        <v>-</v>
      </c>
      <c r="H1166" s="64">
        <f>ventas_b_mes1[[#This Row],[TOTAL]]/1.21</f>
        <v>0</v>
      </c>
      <c r="I1166" s="183">
        <f>ventas_b_mes1[[#This Row],[IMPORTE NETO]]*0.21</f>
        <v>0</v>
      </c>
      <c r="J1166" s="184"/>
      <c r="K1166" s="184"/>
      <c r="L1166" s="184"/>
      <c r="M1166" s="59"/>
    </row>
    <row r="1167" spans="2:13" x14ac:dyDescent="0.3">
      <c r="B1167" s="178"/>
      <c r="C1167" s="179"/>
      <c r="D1167" s="180"/>
      <c r="E1167" s="181"/>
      <c r="F1167" s="182"/>
      <c r="G1167" s="1" t="str">
        <f>IFERROR(IF(ventas_b_mes1[[#This Row],[CUIT]]="","-",VLOOKUP(ventas_b_mes1[[#This Row],[CUIT]],Lista_CUIT[#All],2,0)),"CUIT NO CARGADO")</f>
        <v>-</v>
      </c>
      <c r="H1167" s="64">
        <f>ventas_b_mes1[[#This Row],[TOTAL]]/1.21</f>
        <v>0</v>
      </c>
      <c r="I1167" s="183">
        <f>ventas_b_mes1[[#This Row],[IMPORTE NETO]]*0.21</f>
        <v>0</v>
      </c>
      <c r="J1167" s="184"/>
      <c r="K1167" s="184"/>
      <c r="L1167" s="184"/>
      <c r="M1167" s="59"/>
    </row>
    <row r="1168" spans="2:13" x14ac:dyDescent="0.3">
      <c r="B1168" s="178"/>
      <c r="C1168" s="179"/>
      <c r="D1168" s="180"/>
      <c r="E1168" s="181"/>
      <c r="F1168" s="182"/>
      <c r="G1168" s="1" t="str">
        <f>IFERROR(IF(ventas_b_mes1[[#This Row],[CUIT]]="","-",VLOOKUP(ventas_b_mes1[[#This Row],[CUIT]],Lista_CUIT[#All],2,0)),"CUIT NO CARGADO")</f>
        <v>-</v>
      </c>
      <c r="H1168" s="64">
        <f>ventas_b_mes1[[#This Row],[TOTAL]]/1.21</f>
        <v>0</v>
      </c>
      <c r="I1168" s="183">
        <f>ventas_b_mes1[[#This Row],[IMPORTE NETO]]*0.21</f>
        <v>0</v>
      </c>
      <c r="J1168" s="184"/>
      <c r="K1168" s="184"/>
      <c r="L1168" s="184"/>
      <c r="M1168" s="59"/>
    </row>
    <row r="1169" spans="2:13" x14ac:dyDescent="0.3">
      <c r="B1169" s="178"/>
      <c r="C1169" s="179"/>
      <c r="D1169" s="180"/>
      <c r="E1169" s="181"/>
      <c r="F1169" s="182"/>
      <c r="G1169" s="1" t="str">
        <f>IFERROR(IF(ventas_b_mes1[[#This Row],[CUIT]]="","-",VLOOKUP(ventas_b_mes1[[#This Row],[CUIT]],Lista_CUIT[#All],2,0)),"CUIT NO CARGADO")</f>
        <v>-</v>
      </c>
      <c r="H1169" s="64">
        <f>ventas_b_mes1[[#This Row],[TOTAL]]/1.21</f>
        <v>0</v>
      </c>
      <c r="I1169" s="183">
        <f>ventas_b_mes1[[#This Row],[IMPORTE NETO]]*0.21</f>
        <v>0</v>
      </c>
      <c r="J1169" s="184"/>
      <c r="K1169" s="184"/>
      <c r="L1169" s="184"/>
      <c r="M1169" s="59"/>
    </row>
    <row r="1170" spans="2:13" x14ac:dyDescent="0.3">
      <c r="B1170" s="178"/>
      <c r="C1170" s="179"/>
      <c r="D1170" s="180"/>
      <c r="E1170" s="181"/>
      <c r="F1170" s="182"/>
      <c r="G1170" s="1" t="str">
        <f>IFERROR(IF(ventas_b_mes1[[#This Row],[CUIT]]="","-",VLOOKUP(ventas_b_mes1[[#This Row],[CUIT]],Lista_CUIT[#All],2,0)),"CUIT NO CARGADO")</f>
        <v>-</v>
      </c>
      <c r="H1170" s="64">
        <f>ventas_b_mes1[[#This Row],[TOTAL]]/1.21</f>
        <v>0</v>
      </c>
      <c r="I1170" s="183">
        <f>ventas_b_mes1[[#This Row],[IMPORTE NETO]]*0.21</f>
        <v>0</v>
      </c>
      <c r="J1170" s="184"/>
      <c r="K1170" s="184"/>
      <c r="L1170" s="184"/>
      <c r="M1170" s="59"/>
    </row>
    <row r="1171" spans="2:13" x14ac:dyDescent="0.3">
      <c r="B1171" s="178"/>
      <c r="C1171" s="179"/>
      <c r="D1171" s="180"/>
      <c r="E1171" s="181"/>
      <c r="F1171" s="182"/>
      <c r="G1171" s="1" t="str">
        <f>IFERROR(IF(ventas_b_mes1[[#This Row],[CUIT]]="","-",VLOOKUP(ventas_b_mes1[[#This Row],[CUIT]],Lista_CUIT[#All],2,0)),"CUIT NO CARGADO")</f>
        <v>-</v>
      </c>
      <c r="H1171" s="64">
        <f>ventas_b_mes1[[#This Row],[TOTAL]]/1.21</f>
        <v>0</v>
      </c>
      <c r="I1171" s="183">
        <f>ventas_b_mes1[[#This Row],[IMPORTE NETO]]*0.21</f>
        <v>0</v>
      </c>
      <c r="J1171" s="184"/>
      <c r="K1171" s="184"/>
      <c r="L1171" s="184"/>
      <c r="M1171" s="59"/>
    </row>
    <row r="1172" spans="2:13" x14ac:dyDescent="0.3">
      <c r="B1172" s="178"/>
      <c r="C1172" s="179"/>
      <c r="D1172" s="180"/>
      <c r="E1172" s="181"/>
      <c r="F1172" s="182"/>
      <c r="G1172" s="1" t="str">
        <f>IFERROR(IF(ventas_b_mes1[[#This Row],[CUIT]]="","-",VLOOKUP(ventas_b_mes1[[#This Row],[CUIT]],Lista_CUIT[#All],2,0)),"CUIT NO CARGADO")</f>
        <v>-</v>
      </c>
      <c r="H1172" s="64">
        <f>ventas_b_mes1[[#This Row],[TOTAL]]/1.21</f>
        <v>0</v>
      </c>
      <c r="I1172" s="183">
        <f>ventas_b_mes1[[#This Row],[IMPORTE NETO]]*0.21</f>
        <v>0</v>
      </c>
      <c r="J1172" s="184"/>
      <c r="K1172" s="184"/>
      <c r="L1172" s="184"/>
      <c r="M1172" s="59"/>
    </row>
    <row r="1173" spans="2:13" x14ac:dyDescent="0.3">
      <c r="B1173" s="178"/>
      <c r="C1173" s="179"/>
      <c r="D1173" s="180"/>
      <c r="E1173" s="181"/>
      <c r="F1173" s="182"/>
      <c r="G1173" s="1" t="str">
        <f>IFERROR(IF(ventas_b_mes1[[#This Row],[CUIT]]="","-",VLOOKUP(ventas_b_mes1[[#This Row],[CUIT]],Lista_CUIT[#All],2,0)),"CUIT NO CARGADO")</f>
        <v>-</v>
      </c>
      <c r="H1173" s="64">
        <f>ventas_b_mes1[[#This Row],[TOTAL]]/1.21</f>
        <v>0</v>
      </c>
      <c r="I1173" s="183">
        <f>ventas_b_mes1[[#This Row],[IMPORTE NETO]]*0.21</f>
        <v>0</v>
      </c>
      <c r="J1173" s="184"/>
      <c r="K1173" s="184"/>
      <c r="L1173" s="184"/>
      <c r="M1173" s="59"/>
    </row>
    <row r="1174" spans="2:13" x14ac:dyDescent="0.3">
      <c r="B1174" s="178"/>
      <c r="C1174" s="179"/>
      <c r="D1174" s="180"/>
      <c r="E1174" s="181"/>
      <c r="F1174" s="182"/>
      <c r="G1174" s="1" t="str">
        <f>IFERROR(IF(ventas_b_mes1[[#This Row],[CUIT]]="","-",VLOOKUP(ventas_b_mes1[[#This Row],[CUIT]],Lista_CUIT[#All],2,0)),"CUIT NO CARGADO")</f>
        <v>-</v>
      </c>
      <c r="H1174" s="64">
        <f>ventas_b_mes1[[#This Row],[TOTAL]]/1.21</f>
        <v>0</v>
      </c>
      <c r="I1174" s="183">
        <f>ventas_b_mes1[[#This Row],[IMPORTE NETO]]*0.21</f>
        <v>0</v>
      </c>
      <c r="J1174" s="184"/>
      <c r="K1174" s="184"/>
      <c r="L1174" s="184"/>
      <c r="M1174" s="59"/>
    </row>
    <row r="1175" spans="2:13" x14ac:dyDescent="0.3">
      <c r="B1175" s="178"/>
      <c r="C1175" s="179"/>
      <c r="D1175" s="180"/>
      <c r="E1175" s="181"/>
      <c r="F1175" s="182"/>
      <c r="G1175" s="1" t="str">
        <f>IFERROR(IF(ventas_b_mes1[[#This Row],[CUIT]]="","-",VLOOKUP(ventas_b_mes1[[#This Row],[CUIT]],Lista_CUIT[#All],2,0)),"CUIT NO CARGADO")</f>
        <v>-</v>
      </c>
      <c r="H1175" s="64">
        <f>ventas_b_mes1[[#This Row],[TOTAL]]/1.21</f>
        <v>0</v>
      </c>
      <c r="I1175" s="183">
        <f>ventas_b_mes1[[#This Row],[IMPORTE NETO]]*0.21</f>
        <v>0</v>
      </c>
      <c r="J1175" s="184"/>
      <c r="K1175" s="184"/>
      <c r="L1175" s="184"/>
      <c r="M1175" s="59"/>
    </row>
    <row r="1176" spans="2:13" x14ac:dyDescent="0.3">
      <c r="B1176" s="178"/>
      <c r="C1176" s="179"/>
      <c r="D1176" s="180"/>
      <c r="E1176" s="181"/>
      <c r="F1176" s="182"/>
      <c r="G1176" s="1" t="str">
        <f>IFERROR(IF(ventas_b_mes1[[#This Row],[CUIT]]="","-",VLOOKUP(ventas_b_mes1[[#This Row],[CUIT]],Lista_CUIT[#All],2,0)),"CUIT NO CARGADO")</f>
        <v>-</v>
      </c>
      <c r="H1176" s="64">
        <f>ventas_b_mes1[[#This Row],[TOTAL]]/1.21</f>
        <v>0</v>
      </c>
      <c r="I1176" s="183">
        <f>ventas_b_mes1[[#This Row],[IMPORTE NETO]]*0.21</f>
        <v>0</v>
      </c>
      <c r="J1176" s="184"/>
      <c r="K1176" s="184"/>
      <c r="L1176" s="184"/>
      <c r="M1176" s="59"/>
    </row>
    <row r="1177" spans="2:13" x14ac:dyDescent="0.3">
      <c r="B1177" s="178"/>
      <c r="C1177" s="179"/>
      <c r="D1177" s="180"/>
      <c r="E1177" s="181"/>
      <c r="F1177" s="182"/>
      <c r="G1177" s="1" t="str">
        <f>IFERROR(IF(ventas_b_mes1[[#This Row],[CUIT]]="","-",VLOOKUP(ventas_b_mes1[[#This Row],[CUIT]],Lista_CUIT[#All],2,0)),"CUIT NO CARGADO")</f>
        <v>-</v>
      </c>
      <c r="H1177" s="64">
        <f>ventas_b_mes1[[#This Row],[TOTAL]]/1.21</f>
        <v>0</v>
      </c>
      <c r="I1177" s="183">
        <f>ventas_b_mes1[[#This Row],[IMPORTE NETO]]*0.21</f>
        <v>0</v>
      </c>
      <c r="J1177" s="184"/>
      <c r="K1177" s="184"/>
      <c r="L1177" s="184"/>
      <c r="M1177" s="59"/>
    </row>
    <row r="1178" spans="2:13" x14ac:dyDescent="0.3">
      <c r="B1178" s="178"/>
      <c r="C1178" s="179"/>
      <c r="D1178" s="180"/>
      <c r="E1178" s="181"/>
      <c r="F1178" s="182"/>
      <c r="G1178" s="1" t="str">
        <f>IFERROR(IF(ventas_b_mes1[[#This Row],[CUIT]]="","-",VLOOKUP(ventas_b_mes1[[#This Row],[CUIT]],Lista_CUIT[#All],2,0)),"CUIT NO CARGADO")</f>
        <v>-</v>
      </c>
      <c r="H1178" s="64">
        <f>ventas_b_mes1[[#This Row],[TOTAL]]/1.21</f>
        <v>0</v>
      </c>
      <c r="I1178" s="183">
        <f>ventas_b_mes1[[#This Row],[IMPORTE NETO]]*0.21</f>
        <v>0</v>
      </c>
      <c r="J1178" s="184"/>
      <c r="K1178" s="184"/>
      <c r="L1178" s="184"/>
      <c r="M1178" s="59"/>
    </row>
    <row r="1179" spans="2:13" x14ac:dyDescent="0.3">
      <c r="B1179" s="178"/>
      <c r="C1179" s="179"/>
      <c r="D1179" s="180"/>
      <c r="E1179" s="181"/>
      <c r="F1179" s="182"/>
      <c r="G1179" s="1" t="str">
        <f>IFERROR(IF(ventas_b_mes1[[#This Row],[CUIT]]="","-",VLOOKUP(ventas_b_mes1[[#This Row],[CUIT]],Lista_CUIT[#All],2,0)),"CUIT NO CARGADO")</f>
        <v>-</v>
      </c>
      <c r="H1179" s="64">
        <f>ventas_b_mes1[[#This Row],[TOTAL]]/1.21</f>
        <v>0</v>
      </c>
      <c r="I1179" s="183">
        <f>ventas_b_mes1[[#This Row],[IMPORTE NETO]]*0.21</f>
        <v>0</v>
      </c>
      <c r="J1179" s="184"/>
      <c r="K1179" s="184"/>
      <c r="L1179" s="184"/>
      <c r="M1179" s="59"/>
    </row>
    <row r="1180" spans="2:13" x14ac:dyDescent="0.3">
      <c r="B1180" s="178"/>
      <c r="C1180" s="179"/>
      <c r="D1180" s="180"/>
      <c r="E1180" s="181"/>
      <c r="F1180" s="182"/>
      <c r="G1180" s="1" t="str">
        <f>IFERROR(IF(ventas_b_mes1[[#This Row],[CUIT]]="","-",VLOOKUP(ventas_b_mes1[[#This Row],[CUIT]],Lista_CUIT[#All],2,0)),"CUIT NO CARGADO")</f>
        <v>-</v>
      </c>
      <c r="H1180" s="64">
        <f>ventas_b_mes1[[#This Row],[TOTAL]]/1.21</f>
        <v>0</v>
      </c>
      <c r="I1180" s="183">
        <f>ventas_b_mes1[[#This Row],[IMPORTE NETO]]*0.21</f>
        <v>0</v>
      </c>
      <c r="J1180" s="184"/>
      <c r="K1180" s="184"/>
      <c r="L1180" s="184"/>
      <c r="M1180" s="59"/>
    </row>
    <row r="1181" spans="2:13" x14ac:dyDescent="0.3">
      <c r="B1181" s="178"/>
      <c r="C1181" s="179"/>
      <c r="D1181" s="180"/>
      <c r="E1181" s="181"/>
      <c r="F1181" s="182"/>
      <c r="G1181" s="1" t="str">
        <f>IFERROR(IF(ventas_b_mes1[[#This Row],[CUIT]]="","-",VLOOKUP(ventas_b_mes1[[#This Row],[CUIT]],Lista_CUIT[#All],2,0)),"CUIT NO CARGADO")</f>
        <v>-</v>
      </c>
      <c r="H1181" s="64">
        <f>ventas_b_mes1[[#This Row],[TOTAL]]/1.21</f>
        <v>0</v>
      </c>
      <c r="I1181" s="183">
        <f>ventas_b_mes1[[#This Row],[IMPORTE NETO]]*0.21</f>
        <v>0</v>
      </c>
      <c r="J1181" s="184"/>
      <c r="K1181" s="184"/>
      <c r="L1181" s="184"/>
      <c r="M1181" s="59"/>
    </row>
    <row r="1182" spans="2:13" x14ac:dyDescent="0.3">
      <c r="B1182" s="178"/>
      <c r="C1182" s="179"/>
      <c r="D1182" s="180"/>
      <c r="E1182" s="181"/>
      <c r="F1182" s="182"/>
      <c r="G1182" s="1" t="str">
        <f>IFERROR(IF(ventas_b_mes1[[#This Row],[CUIT]]="","-",VLOOKUP(ventas_b_mes1[[#This Row],[CUIT]],Lista_CUIT[#All],2,0)),"CUIT NO CARGADO")</f>
        <v>-</v>
      </c>
      <c r="H1182" s="64">
        <f>ventas_b_mes1[[#This Row],[TOTAL]]/1.21</f>
        <v>0</v>
      </c>
      <c r="I1182" s="183">
        <f>ventas_b_mes1[[#This Row],[IMPORTE NETO]]*0.21</f>
        <v>0</v>
      </c>
      <c r="J1182" s="184"/>
      <c r="K1182" s="184"/>
      <c r="L1182" s="184"/>
      <c r="M1182" s="59"/>
    </row>
    <row r="1183" spans="2:13" x14ac:dyDescent="0.3">
      <c r="B1183" s="178"/>
      <c r="C1183" s="179"/>
      <c r="D1183" s="180"/>
      <c r="E1183" s="181"/>
      <c r="F1183" s="182"/>
      <c r="G1183" s="1" t="str">
        <f>IFERROR(IF(ventas_b_mes1[[#This Row],[CUIT]]="","-",VLOOKUP(ventas_b_mes1[[#This Row],[CUIT]],Lista_CUIT[#All],2,0)),"CUIT NO CARGADO")</f>
        <v>-</v>
      </c>
      <c r="H1183" s="64">
        <f>ventas_b_mes1[[#This Row],[TOTAL]]/1.21</f>
        <v>0</v>
      </c>
      <c r="I1183" s="183">
        <f>ventas_b_mes1[[#This Row],[IMPORTE NETO]]*0.21</f>
        <v>0</v>
      </c>
      <c r="J1183" s="184"/>
      <c r="K1183" s="184"/>
      <c r="L1183" s="184"/>
      <c r="M1183" s="59"/>
    </row>
    <row r="1184" spans="2:13" x14ac:dyDescent="0.3">
      <c r="B1184" s="178"/>
      <c r="C1184" s="179"/>
      <c r="D1184" s="180"/>
      <c r="E1184" s="181"/>
      <c r="F1184" s="182"/>
      <c r="G1184" s="1" t="str">
        <f>IFERROR(IF(ventas_b_mes1[[#This Row],[CUIT]]="","-",VLOOKUP(ventas_b_mes1[[#This Row],[CUIT]],Lista_CUIT[#All],2,0)),"CUIT NO CARGADO")</f>
        <v>-</v>
      </c>
      <c r="H1184" s="64">
        <f>ventas_b_mes1[[#This Row],[TOTAL]]/1.21</f>
        <v>0</v>
      </c>
      <c r="I1184" s="183">
        <f>ventas_b_mes1[[#This Row],[IMPORTE NETO]]*0.21</f>
        <v>0</v>
      </c>
      <c r="J1184" s="184"/>
      <c r="K1184" s="184"/>
      <c r="L1184" s="184"/>
      <c r="M1184" s="59"/>
    </row>
    <row r="1185" spans="2:13" x14ac:dyDescent="0.3">
      <c r="B1185" s="178"/>
      <c r="C1185" s="179"/>
      <c r="D1185" s="180"/>
      <c r="E1185" s="181"/>
      <c r="F1185" s="182"/>
      <c r="G1185" s="1" t="str">
        <f>IFERROR(IF(ventas_b_mes1[[#This Row],[CUIT]]="","-",VLOOKUP(ventas_b_mes1[[#This Row],[CUIT]],Lista_CUIT[#All],2,0)),"CUIT NO CARGADO")</f>
        <v>-</v>
      </c>
      <c r="H1185" s="64">
        <f>ventas_b_mes1[[#This Row],[TOTAL]]/1.21</f>
        <v>0</v>
      </c>
      <c r="I1185" s="183">
        <f>ventas_b_mes1[[#This Row],[IMPORTE NETO]]*0.21</f>
        <v>0</v>
      </c>
      <c r="J1185" s="184"/>
      <c r="K1185" s="184"/>
      <c r="L1185" s="184"/>
      <c r="M1185" s="59"/>
    </row>
    <row r="1186" spans="2:13" x14ac:dyDescent="0.3">
      <c r="B1186" s="178"/>
      <c r="C1186" s="179"/>
      <c r="D1186" s="180"/>
      <c r="E1186" s="181"/>
      <c r="F1186" s="182"/>
      <c r="G1186" s="1" t="str">
        <f>IFERROR(IF(ventas_b_mes1[[#This Row],[CUIT]]="","-",VLOOKUP(ventas_b_mes1[[#This Row],[CUIT]],Lista_CUIT[#All],2,0)),"CUIT NO CARGADO")</f>
        <v>-</v>
      </c>
      <c r="H1186" s="64">
        <f>ventas_b_mes1[[#This Row],[TOTAL]]/1.21</f>
        <v>0</v>
      </c>
      <c r="I1186" s="183">
        <f>ventas_b_mes1[[#This Row],[IMPORTE NETO]]*0.21</f>
        <v>0</v>
      </c>
      <c r="J1186" s="184"/>
      <c r="K1186" s="184"/>
      <c r="L1186" s="184"/>
      <c r="M1186" s="59"/>
    </row>
    <row r="1187" spans="2:13" x14ac:dyDescent="0.3">
      <c r="B1187" s="178"/>
      <c r="C1187" s="179"/>
      <c r="D1187" s="180"/>
      <c r="E1187" s="181"/>
      <c r="F1187" s="182"/>
      <c r="G1187" s="1" t="str">
        <f>IFERROR(IF(ventas_b_mes1[[#This Row],[CUIT]]="","-",VLOOKUP(ventas_b_mes1[[#This Row],[CUIT]],Lista_CUIT[#All],2,0)),"CUIT NO CARGADO")</f>
        <v>-</v>
      </c>
      <c r="H1187" s="64">
        <f>ventas_b_mes1[[#This Row],[TOTAL]]/1.21</f>
        <v>0</v>
      </c>
      <c r="I1187" s="183">
        <f>ventas_b_mes1[[#This Row],[IMPORTE NETO]]*0.21</f>
        <v>0</v>
      </c>
      <c r="J1187" s="184"/>
      <c r="K1187" s="184"/>
      <c r="L1187" s="184"/>
      <c r="M1187" s="59"/>
    </row>
    <row r="1188" spans="2:13" x14ac:dyDescent="0.3">
      <c r="B1188" s="178"/>
      <c r="C1188" s="179"/>
      <c r="D1188" s="180"/>
      <c r="E1188" s="181"/>
      <c r="F1188" s="182"/>
      <c r="G1188" s="1" t="str">
        <f>IFERROR(IF(ventas_b_mes1[[#This Row],[CUIT]]="","-",VLOOKUP(ventas_b_mes1[[#This Row],[CUIT]],Lista_CUIT[#All],2,0)),"CUIT NO CARGADO")</f>
        <v>-</v>
      </c>
      <c r="H1188" s="64">
        <f>ventas_b_mes1[[#This Row],[TOTAL]]/1.21</f>
        <v>0</v>
      </c>
      <c r="I1188" s="183">
        <f>ventas_b_mes1[[#This Row],[IMPORTE NETO]]*0.21</f>
        <v>0</v>
      </c>
      <c r="J1188" s="184"/>
      <c r="K1188" s="184"/>
      <c r="L1188" s="184"/>
      <c r="M1188" s="59"/>
    </row>
    <row r="1189" spans="2:13" x14ac:dyDescent="0.3">
      <c r="B1189" s="178"/>
      <c r="C1189" s="179"/>
      <c r="D1189" s="180"/>
      <c r="E1189" s="181"/>
      <c r="F1189" s="182"/>
      <c r="G1189" s="1" t="str">
        <f>IFERROR(IF(ventas_b_mes1[[#This Row],[CUIT]]="","-",VLOOKUP(ventas_b_mes1[[#This Row],[CUIT]],Lista_CUIT[#All],2,0)),"CUIT NO CARGADO")</f>
        <v>-</v>
      </c>
      <c r="H1189" s="64">
        <f>ventas_b_mes1[[#This Row],[TOTAL]]/1.21</f>
        <v>0</v>
      </c>
      <c r="I1189" s="183">
        <f>ventas_b_mes1[[#This Row],[IMPORTE NETO]]*0.21</f>
        <v>0</v>
      </c>
      <c r="J1189" s="184"/>
      <c r="K1189" s="184"/>
      <c r="L1189" s="184"/>
      <c r="M1189" s="59"/>
    </row>
    <row r="1190" spans="2:13" x14ac:dyDescent="0.3">
      <c r="B1190" s="178"/>
      <c r="C1190" s="179"/>
      <c r="D1190" s="180"/>
      <c r="E1190" s="181"/>
      <c r="F1190" s="182"/>
      <c r="G1190" s="1" t="str">
        <f>IFERROR(IF(ventas_b_mes1[[#This Row],[CUIT]]="","-",VLOOKUP(ventas_b_mes1[[#This Row],[CUIT]],Lista_CUIT[#All],2,0)),"CUIT NO CARGADO")</f>
        <v>-</v>
      </c>
      <c r="H1190" s="64">
        <f>ventas_b_mes1[[#This Row],[TOTAL]]/1.21</f>
        <v>0</v>
      </c>
      <c r="I1190" s="183">
        <f>ventas_b_mes1[[#This Row],[IMPORTE NETO]]*0.21</f>
        <v>0</v>
      </c>
      <c r="J1190" s="184"/>
      <c r="K1190" s="184"/>
      <c r="L1190" s="184"/>
      <c r="M1190" s="59"/>
    </row>
    <row r="1191" spans="2:13" x14ac:dyDescent="0.3">
      <c r="B1191" s="178"/>
      <c r="C1191" s="179"/>
      <c r="D1191" s="180"/>
      <c r="E1191" s="181"/>
      <c r="F1191" s="182"/>
      <c r="G1191" s="1" t="str">
        <f>IFERROR(IF(ventas_b_mes1[[#This Row],[CUIT]]="","-",VLOOKUP(ventas_b_mes1[[#This Row],[CUIT]],Lista_CUIT[#All],2,0)),"CUIT NO CARGADO")</f>
        <v>-</v>
      </c>
      <c r="H1191" s="64">
        <f>ventas_b_mes1[[#This Row],[TOTAL]]/1.21</f>
        <v>0</v>
      </c>
      <c r="I1191" s="183">
        <f>ventas_b_mes1[[#This Row],[IMPORTE NETO]]*0.21</f>
        <v>0</v>
      </c>
      <c r="J1191" s="184"/>
      <c r="K1191" s="184"/>
      <c r="L1191" s="184"/>
      <c r="M1191" s="59"/>
    </row>
    <row r="1192" spans="2:13" x14ac:dyDescent="0.3">
      <c r="B1192" s="178"/>
      <c r="C1192" s="179"/>
      <c r="D1192" s="180"/>
      <c r="E1192" s="181"/>
      <c r="F1192" s="182"/>
      <c r="G1192" s="1" t="str">
        <f>IFERROR(IF(ventas_b_mes1[[#This Row],[CUIT]]="","-",VLOOKUP(ventas_b_mes1[[#This Row],[CUIT]],Lista_CUIT[#All],2,0)),"CUIT NO CARGADO")</f>
        <v>-</v>
      </c>
      <c r="H1192" s="64">
        <f>ventas_b_mes1[[#This Row],[TOTAL]]/1.21</f>
        <v>0</v>
      </c>
      <c r="I1192" s="183">
        <f>ventas_b_mes1[[#This Row],[IMPORTE NETO]]*0.21</f>
        <v>0</v>
      </c>
      <c r="J1192" s="184"/>
      <c r="K1192" s="184"/>
      <c r="L1192" s="184"/>
      <c r="M1192" s="59"/>
    </row>
    <row r="1193" spans="2:13" x14ac:dyDescent="0.3">
      <c r="B1193" s="178"/>
      <c r="C1193" s="179"/>
      <c r="D1193" s="180"/>
      <c r="E1193" s="181"/>
      <c r="F1193" s="182"/>
      <c r="G1193" s="1" t="str">
        <f>IFERROR(IF(ventas_b_mes1[[#This Row],[CUIT]]="","-",VLOOKUP(ventas_b_mes1[[#This Row],[CUIT]],Lista_CUIT[#All],2,0)),"CUIT NO CARGADO")</f>
        <v>-</v>
      </c>
      <c r="H1193" s="64">
        <f>ventas_b_mes1[[#This Row],[TOTAL]]/1.21</f>
        <v>0</v>
      </c>
      <c r="I1193" s="183">
        <f>ventas_b_mes1[[#This Row],[IMPORTE NETO]]*0.21</f>
        <v>0</v>
      </c>
      <c r="J1193" s="184"/>
      <c r="K1193" s="184"/>
      <c r="L1193" s="184"/>
      <c r="M1193" s="59"/>
    </row>
    <row r="1194" spans="2:13" x14ac:dyDescent="0.3">
      <c r="B1194" s="178"/>
      <c r="C1194" s="179"/>
      <c r="D1194" s="180"/>
      <c r="E1194" s="181"/>
      <c r="F1194" s="182"/>
      <c r="G1194" s="1" t="str">
        <f>IFERROR(IF(ventas_b_mes1[[#This Row],[CUIT]]="","-",VLOOKUP(ventas_b_mes1[[#This Row],[CUIT]],Lista_CUIT[#All],2,0)),"CUIT NO CARGADO")</f>
        <v>-</v>
      </c>
      <c r="H1194" s="64">
        <f>ventas_b_mes1[[#This Row],[TOTAL]]/1.21</f>
        <v>0</v>
      </c>
      <c r="I1194" s="183">
        <f>ventas_b_mes1[[#This Row],[IMPORTE NETO]]*0.21</f>
        <v>0</v>
      </c>
      <c r="J1194" s="184"/>
      <c r="K1194" s="184"/>
      <c r="L1194" s="184"/>
      <c r="M1194" s="59"/>
    </row>
    <row r="1195" spans="2:13" x14ac:dyDescent="0.3">
      <c r="B1195" s="178"/>
      <c r="C1195" s="179"/>
      <c r="D1195" s="180"/>
      <c r="E1195" s="181"/>
      <c r="F1195" s="182"/>
      <c r="G1195" s="1" t="str">
        <f>IFERROR(IF(ventas_b_mes1[[#This Row],[CUIT]]="","-",VLOOKUP(ventas_b_mes1[[#This Row],[CUIT]],Lista_CUIT[#All],2,0)),"CUIT NO CARGADO")</f>
        <v>-</v>
      </c>
      <c r="H1195" s="64">
        <f>ventas_b_mes1[[#This Row],[TOTAL]]/1.21</f>
        <v>0</v>
      </c>
      <c r="I1195" s="183">
        <f>ventas_b_mes1[[#This Row],[IMPORTE NETO]]*0.21</f>
        <v>0</v>
      </c>
      <c r="J1195" s="184"/>
      <c r="K1195" s="184"/>
      <c r="L1195" s="184"/>
      <c r="M1195" s="59"/>
    </row>
    <row r="1196" spans="2:13" x14ac:dyDescent="0.3">
      <c r="B1196" s="178"/>
      <c r="C1196" s="179"/>
      <c r="D1196" s="180"/>
      <c r="E1196" s="181"/>
      <c r="F1196" s="182"/>
      <c r="G1196" s="1" t="str">
        <f>IFERROR(IF(ventas_b_mes1[[#This Row],[CUIT]]="","-",VLOOKUP(ventas_b_mes1[[#This Row],[CUIT]],Lista_CUIT[#All],2,0)),"CUIT NO CARGADO")</f>
        <v>-</v>
      </c>
      <c r="H1196" s="64">
        <f>ventas_b_mes1[[#This Row],[TOTAL]]/1.21</f>
        <v>0</v>
      </c>
      <c r="I1196" s="183">
        <f>ventas_b_mes1[[#This Row],[IMPORTE NETO]]*0.21</f>
        <v>0</v>
      </c>
      <c r="J1196" s="184"/>
      <c r="K1196" s="184"/>
      <c r="L1196" s="184"/>
      <c r="M1196" s="59"/>
    </row>
    <row r="1197" spans="2:13" x14ac:dyDescent="0.3">
      <c r="B1197" s="178"/>
      <c r="C1197" s="179"/>
      <c r="D1197" s="180"/>
      <c r="E1197" s="181"/>
      <c r="F1197" s="182"/>
      <c r="G1197" s="1" t="str">
        <f>IFERROR(IF(ventas_b_mes1[[#This Row],[CUIT]]="","-",VLOOKUP(ventas_b_mes1[[#This Row],[CUIT]],Lista_CUIT[#All],2,0)),"CUIT NO CARGADO")</f>
        <v>-</v>
      </c>
      <c r="H1197" s="64">
        <f>ventas_b_mes1[[#This Row],[TOTAL]]/1.21</f>
        <v>0</v>
      </c>
      <c r="I1197" s="183">
        <f>ventas_b_mes1[[#This Row],[IMPORTE NETO]]*0.21</f>
        <v>0</v>
      </c>
      <c r="J1197" s="184"/>
      <c r="K1197" s="184"/>
      <c r="L1197" s="184"/>
      <c r="M1197" s="59"/>
    </row>
    <row r="1198" spans="2:13" x14ac:dyDescent="0.3">
      <c r="B1198" s="178"/>
      <c r="C1198" s="179"/>
      <c r="D1198" s="180"/>
      <c r="E1198" s="181"/>
      <c r="F1198" s="182"/>
      <c r="G1198" s="1" t="str">
        <f>IFERROR(IF(ventas_b_mes1[[#This Row],[CUIT]]="","-",VLOOKUP(ventas_b_mes1[[#This Row],[CUIT]],Lista_CUIT[#All],2,0)),"CUIT NO CARGADO")</f>
        <v>-</v>
      </c>
      <c r="H1198" s="64">
        <f>ventas_b_mes1[[#This Row],[TOTAL]]/1.21</f>
        <v>0</v>
      </c>
      <c r="I1198" s="183">
        <f>ventas_b_mes1[[#This Row],[IMPORTE NETO]]*0.21</f>
        <v>0</v>
      </c>
      <c r="J1198" s="184"/>
      <c r="K1198" s="184"/>
      <c r="L1198" s="184"/>
      <c r="M1198" s="59"/>
    </row>
    <row r="1199" spans="2:13" x14ac:dyDescent="0.3">
      <c r="B1199" s="178"/>
      <c r="C1199" s="179"/>
      <c r="D1199" s="180"/>
      <c r="E1199" s="181"/>
      <c r="F1199" s="182"/>
      <c r="G1199" s="1" t="str">
        <f>IFERROR(IF(ventas_b_mes1[[#This Row],[CUIT]]="","-",VLOOKUP(ventas_b_mes1[[#This Row],[CUIT]],Lista_CUIT[#All],2,0)),"CUIT NO CARGADO")</f>
        <v>-</v>
      </c>
      <c r="H1199" s="64">
        <f>ventas_b_mes1[[#This Row],[TOTAL]]/1.21</f>
        <v>0</v>
      </c>
      <c r="I1199" s="183">
        <f>ventas_b_mes1[[#This Row],[IMPORTE NETO]]*0.21</f>
        <v>0</v>
      </c>
      <c r="J1199" s="184"/>
      <c r="K1199" s="184"/>
      <c r="L1199" s="184"/>
      <c r="M1199" s="59"/>
    </row>
    <row r="1200" spans="2:13" x14ac:dyDescent="0.3">
      <c r="B1200" s="178"/>
      <c r="C1200" s="179"/>
      <c r="D1200" s="180"/>
      <c r="E1200" s="181"/>
      <c r="F1200" s="182"/>
      <c r="G1200" s="1" t="str">
        <f>IFERROR(IF(ventas_b_mes1[[#This Row],[CUIT]]="","-",VLOOKUP(ventas_b_mes1[[#This Row],[CUIT]],Lista_CUIT[#All],2,0)),"CUIT NO CARGADO")</f>
        <v>-</v>
      </c>
      <c r="H1200" s="64">
        <f>ventas_b_mes1[[#This Row],[TOTAL]]/1.21</f>
        <v>0</v>
      </c>
      <c r="I1200" s="183">
        <f>ventas_b_mes1[[#This Row],[IMPORTE NETO]]*0.21</f>
        <v>0</v>
      </c>
      <c r="J1200" s="184"/>
      <c r="K1200" s="184"/>
      <c r="L1200" s="184"/>
      <c r="M1200" s="59"/>
    </row>
    <row r="1201" spans="2:13" x14ac:dyDescent="0.3">
      <c r="B1201" s="178"/>
      <c r="C1201" s="179"/>
      <c r="D1201" s="180"/>
      <c r="E1201" s="181"/>
      <c r="F1201" s="182"/>
      <c r="G1201" s="1" t="str">
        <f>IFERROR(IF(ventas_b_mes1[[#This Row],[CUIT]]="","-",VLOOKUP(ventas_b_mes1[[#This Row],[CUIT]],Lista_CUIT[#All],2,0)),"CUIT NO CARGADO")</f>
        <v>-</v>
      </c>
      <c r="H1201" s="64">
        <f>ventas_b_mes1[[#This Row],[TOTAL]]/1.21</f>
        <v>0</v>
      </c>
      <c r="I1201" s="183">
        <f>ventas_b_mes1[[#This Row],[IMPORTE NETO]]*0.21</f>
        <v>0</v>
      </c>
      <c r="J1201" s="184"/>
      <c r="K1201" s="184"/>
      <c r="L1201" s="184"/>
      <c r="M1201" s="59"/>
    </row>
    <row r="1202" spans="2:13" x14ac:dyDescent="0.3">
      <c r="B1202" s="178"/>
      <c r="C1202" s="179"/>
      <c r="D1202" s="180"/>
      <c r="E1202" s="181"/>
      <c r="F1202" s="182"/>
      <c r="G1202" s="1" t="str">
        <f>IFERROR(IF(ventas_b_mes1[[#This Row],[CUIT]]="","-",VLOOKUP(ventas_b_mes1[[#This Row],[CUIT]],Lista_CUIT[#All],2,0)),"CUIT NO CARGADO")</f>
        <v>-</v>
      </c>
      <c r="H1202" s="64">
        <f>ventas_b_mes1[[#This Row],[TOTAL]]/1.21</f>
        <v>0</v>
      </c>
      <c r="I1202" s="183">
        <f>ventas_b_mes1[[#This Row],[IMPORTE NETO]]*0.21</f>
        <v>0</v>
      </c>
      <c r="J1202" s="184"/>
      <c r="K1202" s="184"/>
      <c r="L1202" s="184"/>
      <c r="M1202" s="59"/>
    </row>
    <row r="1203" spans="2:13" x14ac:dyDescent="0.3">
      <c r="B1203" s="178"/>
      <c r="C1203" s="179"/>
      <c r="D1203" s="180"/>
      <c r="E1203" s="181"/>
      <c r="F1203" s="182"/>
      <c r="G1203" s="1" t="str">
        <f>IFERROR(IF(ventas_b_mes1[[#This Row],[CUIT]]="","-",VLOOKUP(ventas_b_mes1[[#This Row],[CUIT]],Lista_CUIT[#All],2,0)),"CUIT NO CARGADO")</f>
        <v>-</v>
      </c>
      <c r="H1203" s="64">
        <f>ventas_b_mes1[[#This Row],[TOTAL]]/1.21</f>
        <v>0</v>
      </c>
      <c r="I1203" s="183">
        <f>ventas_b_mes1[[#This Row],[IMPORTE NETO]]*0.21</f>
        <v>0</v>
      </c>
      <c r="J1203" s="184"/>
      <c r="K1203" s="184"/>
      <c r="L1203" s="184"/>
      <c r="M1203" s="59"/>
    </row>
    <row r="1204" spans="2:13" x14ac:dyDescent="0.3">
      <c r="B1204" s="178"/>
      <c r="C1204" s="179"/>
      <c r="D1204" s="180"/>
      <c r="E1204" s="181"/>
      <c r="F1204" s="182"/>
      <c r="G1204" s="1" t="str">
        <f>IFERROR(IF(ventas_b_mes1[[#This Row],[CUIT]]="","-",VLOOKUP(ventas_b_mes1[[#This Row],[CUIT]],Lista_CUIT[#All],2,0)),"CUIT NO CARGADO")</f>
        <v>-</v>
      </c>
      <c r="H1204" s="64">
        <f>ventas_b_mes1[[#This Row],[TOTAL]]/1.21</f>
        <v>0</v>
      </c>
      <c r="I1204" s="183">
        <f>ventas_b_mes1[[#This Row],[IMPORTE NETO]]*0.21</f>
        <v>0</v>
      </c>
      <c r="J1204" s="184"/>
      <c r="K1204" s="184"/>
      <c r="L1204" s="184"/>
      <c r="M1204" s="59"/>
    </row>
    <row r="1205" spans="2:13" x14ac:dyDescent="0.3">
      <c r="B1205" s="178"/>
      <c r="C1205" s="179"/>
      <c r="D1205" s="180"/>
      <c r="E1205" s="181"/>
      <c r="F1205" s="182"/>
      <c r="G1205" s="1" t="str">
        <f>IFERROR(IF(ventas_b_mes1[[#This Row],[CUIT]]="","-",VLOOKUP(ventas_b_mes1[[#This Row],[CUIT]],Lista_CUIT[#All],2,0)),"CUIT NO CARGADO")</f>
        <v>-</v>
      </c>
      <c r="H1205" s="64">
        <f>ventas_b_mes1[[#This Row],[TOTAL]]/1.21</f>
        <v>0</v>
      </c>
      <c r="I1205" s="183">
        <f>ventas_b_mes1[[#This Row],[IMPORTE NETO]]*0.21</f>
        <v>0</v>
      </c>
      <c r="J1205" s="184"/>
      <c r="K1205" s="184"/>
      <c r="L1205" s="184"/>
      <c r="M1205" s="59"/>
    </row>
    <row r="1206" spans="2:13" x14ac:dyDescent="0.3">
      <c r="B1206" s="178"/>
      <c r="C1206" s="179"/>
      <c r="D1206" s="180"/>
      <c r="E1206" s="181"/>
      <c r="F1206" s="182"/>
      <c r="G1206" s="1" t="str">
        <f>IFERROR(IF(ventas_b_mes1[[#This Row],[CUIT]]="","-",VLOOKUP(ventas_b_mes1[[#This Row],[CUIT]],Lista_CUIT[#All],2,0)),"CUIT NO CARGADO")</f>
        <v>-</v>
      </c>
      <c r="H1206" s="64">
        <f>ventas_b_mes1[[#This Row],[TOTAL]]/1.21</f>
        <v>0</v>
      </c>
      <c r="I1206" s="183">
        <f>ventas_b_mes1[[#This Row],[IMPORTE NETO]]*0.21</f>
        <v>0</v>
      </c>
      <c r="J1206" s="184"/>
      <c r="K1206" s="184"/>
      <c r="L1206" s="184"/>
      <c r="M1206" s="59"/>
    </row>
    <row r="1207" spans="2:13" x14ac:dyDescent="0.3">
      <c r="B1207" s="178"/>
      <c r="C1207" s="179"/>
      <c r="D1207" s="180"/>
      <c r="E1207" s="181"/>
      <c r="F1207" s="182"/>
      <c r="G1207" s="1" t="str">
        <f>IFERROR(IF(ventas_b_mes1[[#This Row],[CUIT]]="","-",VLOOKUP(ventas_b_mes1[[#This Row],[CUIT]],Lista_CUIT[#All],2,0)),"CUIT NO CARGADO")</f>
        <v>-</v>
      </c>
      <c r="H1207" s="64">
        <f>ventas_b_mes1[[#This Row],[TOTAL]]/1.21</f>
        <v>0</v>
      </c>
      <c r="I1207" s="183">
        <f>ventas_b_mes1[[#This Row],[IMPORTE NETO]]*0.21</f>
        <v>0</v>
      </c>
      <c r="J1207" s="184"/>
      <c r="K1207" s="184"/>
      <c r="L1207" s="184"/>
      <c r="M1207" s="59"/>
    </row>
    <row r="1208" spans="2:13" x14ac:dyDescent="0.3">
      <c r="B1208" s="178"/>
      <c r="C1208" s="179"/>
      <c r="D1208" s="180"/>
      <c r="E1208" s="181"/>
      <c r="F1208" s="182"/>
      <c r="G1208" s="1" t="str">
        <f>IFERROR(IF(ventas_b_mes1[[#This Row],[CUIT]]="","-",VLOOKUP(ventas_b_mes1[[#This Row],[CUIT]],Lista_CUIT[#All],2,0)),"CUIT NO CARGADO")</f>
        <v>-</v>
      </c>
      <c r="H1208" s="64">
        <f>ventas_b_mes1[[#This Row],[TOTAL]]/1.21</f>
        <v>0</v>
      </c>
      <c r="I1208" s="183">
        <f>ventas_b_mes1[[#This Row],[IMPORTE NETO]]*0.21</f>
        <v>0</v>
      </c>
      <c r="J1208" s="184"/>
      <c r="K1208" s="184"/>
      <c r="L1208" s="184"/>
      <c r="M1208" s="59"/>
    </row>
    <row r="1209" spans="2:13" x14ac:dyDescent="0.3">
      <c r="B1209" s="178"/>
      <c r="C1209" s="179"/>
      <c r="D1209" s="180"/>
      <c r="E1209" s="181"/>
      <c r="F1209" s="182"/>
      <c r="G1209" s="1" t="str">
        <f>IFERROR(IF(ventas_b_mes1[[#This Row],[CUIT]]="","-",VLOOKUP(ventas_b_mes1[[#This Row],[CUIT]],Lista_CUIT[#All],2,0)),"CUIT NO CARGADO")</f>
        <v>-</v>
      </c>
      <c r="H1209" s="64">
        <f>ventas_b_mes1[[#This Row],[TOTAL]]/1.21</f>
        <v>0</v>
      </c>
      <c r="I1209" s="183">
        <f>ventas_b_mes1[[#This Row],[IMPORTE NETO]]*0.21</f>
        <v>0</v>
      </c>
      <c r="J1209" s="184"/>
      <c r="K1209" s="184"/>
      <c r="L1209" s="184"/>
      <c r="M1209" s="59"/>
    </row>
    <row r="1210" spans="2:13" x14ac:dyDescent="0.3">
      <c r="B1210" s="178"/>
      <c r="C1210" s="179"/>
      <c r="D1210" s="180"/>
      <c r="E1210" s="181"/>
      <c r="F1210" s="182"/>
      <c r="G1210" s="1" t="str">
        <f>IFERROR(IF(ventas_b_mes1[[#This Row],[CUIT]]="","-",VLOOKUP(ventas_b_mes1[[#This Row],[CUIT]],Lista_CUIT[#All],2,0)),"CUIT NO CARGADO")</f>
        <v>-</v>
      </c>
      <c r="H1210" s="64">
        <f>ventas_b_mes1[[#This Row],[TOTAL]]/1.21</f>
        <v>0</v>
      </c>
      <c r="I1210" s="183">
        <f>ventas_b_mes1[[#This Row],[IMPORTE NETO]]*0.21</f>
        <v>0</v>
      </c>
      <c r="J1210" s="184"/>
      <c r="K1210" s="184"/>
      <c r="L1210" s="184"/>
      <c r="M1210" s="59"/>
    </row>
    <row r="1211" spans="2:13" x14ac:dyDescent="0.3">
      <c r="B1211" s="178"/>
      <c r="C1211" s="179"/>
      <c r="D1211" s="180"/>
      <c r="E1211" s="181"/>
      <c r="F1211" s="182"/>
      <c r="G1211" s="1" t="str">
        <f>IFERROR(IF(ventas_b_mes1[[#This Row],[CUIT]]="","-",VLOOKUP(ventas_b_mes1[[#This Row],[CUIT]],Lista_CUIT[#All],2,0)),"CUIT NO CARGADO")</f>
        <v>-</v>
      </c>
      <c r="H1211" s="64">
        <f>ventas_b_mes1[[#This Row],[TOTAL]]/1.21</f>
        <v>0</v>
      </c>
      <c r="I1211" s="183">
        <f>ventas_b_mes1[[#This Row],[IMPORTE NETO]]*0.21</f>
        <v>0</v>
      </c>
      <c r="J1211" s="184"/>
      <c r="K1211" s="184"/>
      <c r="L1211" s="184"/>
      <c r="M1211" s="59"/>
    </row>
    <row r="1212" spans="2:13" x14ac:dyDescent="0.3">
      <c r="B1212" s="178"/>
      <c r="C1212" s="179"/>
      <c r="D1212" s="180"/>
      <c r="E1212" s="181"/>
      <c r="F1212" s="182"/>
      <c r="G1212" s="1" t="str">
        <f>IFERROR(IF(ventas_b_mes1[[#This Row],[CUIT]]="","-",VLOOKUP(ventas_b_mes1[[#This Row],[CUIT]],Lista_CUIT[#All],2,0)),"CUIT NO CARGADO")</f>
        <v>-</v>
      </c>
      <c r="H1212" s="64">
        <f>ventas_b_mes1[[#This Row],[TOTAL]]/1.21</f>
        <v>0</v>
      </c>
      <c r="I1212" s="183">
        <f>ventas_b_mes1[[#This Row],[IMPORTE NETO]]*0.21</f>
        <v>0</v>
      </c>
      <c r="J1212" s="184"/>
      <c r="K1212" s="184"/>
      <c r="L1212" s="184"/>
      <c r="M1212" s="59"/>
    </row>
    <row r="1213" spans="2:13" x14ac:dyDescent="0.3">
      <c r="B1213" s="178"/>
      <c r="C1213" s="179"/>
      <c r="D1213" s="180"/>
      <c r="E1213" s="181"/>
      <c r="F1213" s="182"/>
      <c r="G1213" s="1" t="str">
        <f>IFERROR(IF(ventas_b_mes1[[#This Row],[CUIT]]="","-",VLOOKUP(ventas_b_mes1[[#This Row],[CUIT]],Lista_CUIT[#All],2,0)),"CUIT NO CARGADO")</f>
        <v>-</v>
      </c>
      <c r="H1213" s="64">
        <f>ventas_b_mes1[[#This Row],[TOTAL]]/1.21</f>
        <v>0</v>
      </c>
      <c r="I1213" s="183">
        <f>ventas_b_mes1[[#This Row],[IMPORTE NETO]]*0.21</f>
        <v>0</v>
      </c>
      <c r="J1213" s="184"/>
      <c r="K1213" s="184"/>
      <c r="L1213" s="184"/>
      <c r="M1213" s="59"/>
    </row>
    <row r="1214" spans="2:13" x14ac:dyDescent="0.3">
      <c r="B1214" s="178"/>
      <c r="C1214" s="179"/>
      <c r="D1214" s="180"/>
      <c r="E1214" s="181"/>
      <c r="F1214" s="182"/>
      <c r="G1214" s="1" t="str">
        <f>IFERROR(IF(ventas_b_mes1[[#This Row],[CUIT]]="","-",VLOOKUP(ventas_b_mes1[[#This Row],[CUIT]],Lista_CUIT[#All],2,0)),"CUIT NO CARGADO")</f>
        <v>-</v>
      </c>
      <c r="H1214" s="64">
        <f>ventas_b_mes1[[#This Row],[TOTAL]]/1.21</f>
        <v>0</v>
      </c>
      <c r="I1214" s="183">
        <f>ventas_b_mes1[[#This Row],[IMPORTE NETO]]*0.21</f>
        <v>0</v>
      </c>
      <c r="J1214" s="184"/>
      <c r="K1214" s="184"/>
      <c r="L1214" s="184"/>
      <c r="M1214" s="59"/>
    </row>
    <row r="1215" spans="2:13" x14ac:dyDescent="0.3">
      <c r="B1215" s="178"/>
      <c r="C1215" s="179"/>
      <c r="D1215" s="180"/>
      <c r="E1215" s="181"/>
      <c r="F1215" s="182"/>
      <c r="G1215" s="1" t="str">
        <f>IFERROR(IF(ventas_b_mes1[[#This Row],[CUIT]]="","-",VLOOKUP(ventas_b_mes1[[#This Row],[CUIT]],Lista_CUIT[#All],2,0)),"CUIT NO CARGADO")</f>
        <v>-</v>
      </c>
      <c r="H1215" s="64">
        <f>ventas_b_mes1[[#This Row],[TOTAL]]/1.21</f>
        <v>0</v>
      </c>
      <c r="I1215" s="183">
        <f>ventas_b_mes1[[#This Row],[IMPORTE NETO]]*0.21</f>
        <v>0</v>
      </c>
      <c r="J1215" s="184"/>
      <c r="K1215" s="184"/>
      <c r="L1215" s="184"/>
      <c r="M1215" s="59"/>
    </row>
    <row r="1216" spans="2:13" x14ac:dyDescent="0.3">
      <c r="B1216" s="178"/>
      <c r="C1216" s="179"/>
      <c r="D1216" s="180"/>
      <c r="E1216" s="181"/>
      <c r="F1216" s="182"/>
      <c r="G1216" s="1" t="str">
        <f>IFERROR(IF(ventas_b_mes1[[#This Row],[CUIT]]="","-",VLOOKUP(ventas_b_mes1[[#This Row],[CUIT]],Lista_CUIT[#All],2,0)),"CUIT NO CARGADO")</f>
        <v>-</v>
      </c>
      <c r="H1216" s="64">
        <f>ventas_b_mes1[[#This Row],[TOTAL]]/1.21</f>
        <v>0</v>
      </c>
      <c r="I1216" s="183">
        <f>ventas_b_mes1[[#This Row],[IMPORTE NETO]]*0.21</f>
        <v>0</v>
      </c>
      <c r="J1216" s="184"/>
      <c r="K1216" s="184"/>
      <c r="L1216" s="184"/>
      <c r="M1216" s="59"/>
    </row>
    <row r="1217" spans="2:13" x14ac:dyDescent="0.3">
      <c r="B1217" s="178"/>
      <c r="C1217" s="179"/>
      <c r="D1217" s="180"/>
      <c r="E1217" s="181"/>
      <c r="F1217" s="182"/>
      <c r="G1217" s="1" t="str">
        <f>IFERROR(IF(ventas_b_mes1[[#This Row],[CUIT]]="","-",VLOOKUP(ventas_b_mes1[[#This Row],[CUIT]],Lista_CUIT[#All],2,0)),"CUIT NO CARGADO")</f>
        <v>-</v>
      </c>
      <c r="H1217" s="64">
        <f>ventas_b_mes1[[#This Row],[TOTAL]]/1.21</f>
        <v>0</v>
      </c>
      <c r="I1217" s="183">
        <f>ventas_b_mes1[[#This Row],[IMPORTE NETO]]*0.21</f>
        <v>0</v>
      </c>
      <c r="J1217" s="184"/>
      <c r="K1217" s="184"/>
      <c r="L1217" s="184"/>
      <c r="M1217" s="59"/>
    </row>
    <row r="1218" spans="2:13" x14ac:dyDescent="0.3">
      <c r="B1218" s="178"/>
      <c r="C1218" s="179"/>
      <c r="D1218" s="180"/>
      <c r="E1218" s="181"/>
      <c r="F1218" s="182"/>
      <c r="G1218" s="1" t="str">
        <f>IFERROR(IF(ventas_b_mes1[[#This Row],[CUIT]]="","-",VLOOKUP(ventas_b_mes1[[#This Row],[CUIT]],Lista_CUIT[#All],2,0)),"CUIT NO CARGADO")</f>
        <v>-</v>
      </c>
      <c r="H1218" s="64">
        <f>ventas_b_mes1[[#This Row],[TOTAL]]/1.21</f>
        <v>0</v>
      </c>
      <c r="I1218" s="183">
        <f>ventas_b_mes1[[#This Row],[IMPORTE NETO]]*0.21</f>
        <v>0</v>
      </c>
      <c r="J1218" s="184"/>
      <c r="K1218" s="184"/>
      <c r="L1218" s="184"/>
      <c r="M1218" s="59"/>
    </row>
    <row r="1219" spans="2:13" x14ac:dyDescent="0.3">
      <c r="B1219" s="178"/>
      <c r="C1219" s="179"/>
      <c r="D1219" s="180"/>
      <c r="E1219" s="181"/>
      <c r="F1219" s="182"/>
      <c r="G1219" s="1" t="str">
        <f>IFERROR(IF(ventas_b_mes1[[#This Row],[CUIT]]="","-",VLOOKUP(ventas_b_mes1[[#This Row],[CUIT]],Lista_CUIT[#All],2,0)),"CUIT NO CARGADO")</f>
        <v>-</v>
      </c>
      <c r="H1219" s="64">
        <f>ventas_b_mes1[[#This Row],[TOTAL]]/1.21</f>
        <v>0</v>
      </c>
      <c r="I1219" s="183">
        <f>ventas_b_mes1[[#This Row],[IMPORTE NETO]]*0.21</f>
        <v>0</v>
      </c>
      <c r="J1219" s="184"/>
      <c r="K1219" s="184"/>
      <c r="L1219" s="184"/>
      <c r="M1219" s="59"/>
    </row>
    <row r="1220" spans="2:13" x14ac:dyDescent="0.3">
      <c r="B1220" s="178"/>
      <c r="C1220" s="179"/>
      <c r="D1220" s="180"/>
      <c r="E1220" s="181"/>
      <c r="F1220" s="182"/>
      <c r="G1220" s="1" t="str">
        <f>IFERROR(IF(ventas_b_mes1[[#This Row],[CUIT]]="","-",VLOOKUP(ventas_b_mes1[[#This Row],[CUIT]],Lista_CUIT[#All],2,0)),"CUIT NO CARGADO")</f>
        <v>-</v>
      </c>
      <c r="H1220" s="64">
        <f>ventas_b_mes1[[#This Row],[TOTAL]]/1.21</f>
        <v>0</v>
      </c>
      <c r="I1220" s="183">
        <f>ventas_b_mes1[[#This Row],[IMPORTE NETO]]*0.21</f>
        <v>0</v>
      </c>
      <c r="J1220" s="184"/>
      <c r="K1220" s="184"/>
      <c r="L1220" s="184"/>
      <c r="M1220" s="59"/>
    </row>
    <row r="1221" spans="2:13" x14ac:dyDescent="0.3">
      <c r="B1221" s="178"/>
      <c r="C1221" s="179"/>
      <c r="D1221" s="180"/>
      <c r="E1221" s="181"/>
      <c r="F1221" s="182"/>
      <c r="G1221" s="1" t="str">
        <f>IFERROR(IF(ventas_b_mes1[[#This Row],[CUIT]]="","-",VLOOKUP(ventas_b_mes1[[#This Row],[CUIT]],Lista_CUIT[#All],2,0)),"CUIT NO CARGADO")</f>
        <v>-</v>
      </c>
      <c r="H1221" s="64">
        <f>ventas_b_mes1[[#This Row],[TOTAL]]/1.21</f>
        <v>0</v>
      </c>
      <c r="I1221" s="183">
        <f>ventas_b_mes1[[#This Row],[IMPORTE NETO]]*0.21</f>
        <v>0</v>
      </c>
      <c r="J1221" s="184"/>
      <c r="K1221" s="184"/>
      <c r="L1221" s="184"/>
      <c r="M1221" s="59"/>
    </row>
    <row r="1222" spans="2:13" x14ac:dyDescent="0.3">
      <c r="B1222" s="178"/>
      <c r="C1222" s="179"/>
      <c r="D1222" s="180"/>
      <c r="E1222" s="181"/>
      <c r="F1222" s="182"/>
      <c r="G1222" s="1" t="str">
        <f>IFERROR(IF(ventas_b_mes1[[#This Row],[CUIT]]="","-",VLOOKUP(ventas_b_mes1[[#This Row],[CUIT]],Lista_CUIT[#All],2,0)),"CUIT NO CARGADO")</f>
        <v>-</v>
      </c>
      <c r="H1222" s="64">
        <f>ventas_b_mes1[[#This Row],[TOTAL]]/1.21</f>
        <v>0</v>
      </c>
      <c r="I1222" s="183">
        <f>ventas_b_mes1[[#This Row],[IMPORTE NETO]]*0.21</f>
        <v>0</v>
      </c>
      <c r="J1222" s="184"/>
      <c r="K1222" s="184"/>
      <c r="L1222" s="184"/>
      <c r="M1222" s="59"/>
    </row>
    <row r="1223" spans="2:13" x14ac:dyDescent="0.3">
      <c r="B1223" s="178"/>
      <c r="C1223" s="179"/>
      <c r="D1223" s="180"/>
      <c r="E1223" s="181"/>
      <c r="F1223" s="182"/>
      <c r="G1223" s="1" t="str">
        <f>IFERROR(IF(ventas_b_mes1[[#This Row],[CUIT]]="","-",VLOOKUP(ventas_b_mes1[[#This Row],[CUIT]],Lista_CUIT[#All],2,0)),"CUIT NO CARGADO")</f>
        <v>-</v>
      </c>
      <c r="H1223" s="64">
        <f>ventas_b_mes1[[#This Row],[TOTAL]]/1.21</f>
        <v>0</v>
      </c>
      <c r="I1223" s="183">
        <f>ventas_b_mes1[[#This Row],[IMPORTE NETO]]*0.21</f>
        <v>0</v>
      </c>
      <c r="J1223" s="184"/>
      <c r="K1223" s="184"/>
      <c r="L1223" s="184"/>
      <c r="M1223" s="59"/>
    </row>
    <row r="1224" spans="2:13" x14ac:dyDescent="0.3">
      <c r="B1224" s="178"/>
      <c r="C1224" s="179"/>
      <c r="D1224" s="180"/>
      <c r="E1224" s="181"/>
      <c r="F1224" s="182"/>
      <c r="G1224" s="1" t="str">
        <f>IFERROR(IF(ventas_b_mes1[[#This Row],[CUIT]]="","-",VLOOKUP(ventas_b_mes1[[#This Row],[CUIT]],Lista_CUIT[#All],2,0)),"CUIT NO CARGADO")</f>
        <v>-</v>
      </c>
      <c r="H1224" s="64">
        <f>ventas_b_mes1[[#This Row],[TOTAL]]/1.21</f>
        <v>0</v>
      </c>
      <c r="I1224" s="183">
        <f>ventas_b_mes1[[#This Row],[IMPORTE NETO]]*0.21</f>
        <v>0</v>
      </c>
      <c r="J1224" s="184"/>
      <c r="K1224" s="184"/>
      <c r="L1224" s="184"/>
      <c r="M1224" s="59"/>
    </row>
    <row r="1225" spans="2:13" x14ac:dyDescent="0.3">
      <c r="B1225" s="178"/>
      <c r="C1225" s="179"/>
      <c r="D1225" s="180"/>
      <c r="E1225" s="181"/>
      <c r="F1225" s="182"/>
      <c r="G1225" s="1" t="str">
        <f>IFERROR(IF(ventas_b_mes1[[#This Row],[CUIT]]="","-",VLOOKUP(ventas_b_mes1[[#This Row],[CUIT]],Lista_CUIT[#All],2,0)),"CUIT NO CARGADO")</f>
        <v>-</v>
      </c>
      <c r="H1225" s="64">
        <f>ventas_b_mes1[[#This Row],[TOTAL]]/1.21</f>
        <v>0</v>
      </c>
      <c r="I1225" s="183">
        <f>ventas_b_mes1[[#This Row],[IMPORTE NETO]]*0.21</f>
        <v>0</v>
      </c>
      <c r="J1225" s="184"/>
      <c r="K1225" s="184"/>
      <c r="L1225" s="184"/>
      <c r="M1225" s="59"/>
    </row>
    <row r="1226" spans="2:13" x14ac:dyDescent="0.3">
      <c r="B1226" s="178"/>
      <c r="C1226" s="179"/>
      <c r="D1226" s="180"/>
      <c r="E1226" s="181"/>
      <c r="F1226" s="182"/>
      <c r="G1226" s="1" t="str">
        <f>IFERROR(IF(ventas_b_mes1[[#This Row],[CUIT]]="","-",VLOOKUP(ventas_b_mes1[[#This Row],[CUIT]],Lista_CUIT[#All],2,0)),"CUIT NO CARGADO")</f>
        <v>-</v>
      </c>
      <c r="H1226" s="64">
        <f>ventas_b_mes1[[#This Row],[TOTAL]]/1.21</f>
        <v>0</v>
      </c>
      <c r="I1226" s="183">
        <f>ventas_b_mes1[[#This Row],[IMPORTE NETO]]*0.21</f>
        <v>0</v>
      </c>
      <c r="J1226" s="184"/>
      <c r="K1226" s="184"/>
      <c r="L1226" s="184"/>
      <c r="M1226" s="59"/>
    </row>
    <row r="1227" spans="2:13" x14ac:dyDescent="0.3">
      <c r="B1227" s="178"/>
      <c r="C1227" s="179"/>
      <c r="D1227" s="180"/>
      <c r="E1227" s="181"/>
      <c r="F1227" s="182"/>
      <c r="G1227" s="1" t="str">
        <f>IFERROR(IF(ventas_b_mes1[[#This Row],[CUIT]]="","-",VLOOKUP(ventas_b_mes1[[#This Row],[CUIT]],Lista_CUIT[#All],2,0)),"CUIT NO CARGADO")</f>
        <v>-</v>
      </c>
      <c r="H1227" s="64">
        <f>ventas_b_mes1[[#This Row],[TOTAL]]/1.21</f>
        <v>0</v>
      </c>
      <c r="I1227" s="183">
        <f>ventas_b_mes1[[#This Row],[IMPORTE NETO]]*0.21</f>
        <v>0</v>
      </c>
      <c r="J1227" s="184"/>
      <c r="K1227" s="184"/>
      <c r="L1227" s="184"/>
      <c r="M1227" s="59"/>
    </row>
    <row r="1228" spans="2:13" x14ac:dyDescent="0.3">
      <c r="B1228" s="178"/>
      <c r="C1228" s="179"/>
      <c r="D1228" s="180"/>
      <c r="E1228" s="181"/>
      <c r="F1228" s="182"/>
      <c r="G1228" s="1" t="str">
        <f>IFERROR(IF(ventas_b_mes1[[#This Row],[CUIT]]="","-",VLOOKUP(ventas_b_mes1[[#This Row],[CUIT]],Lista_CUIT[#All],2,0)),"CUIT NO CARGADO")</f>
        <v>-</v>
      </c>
      <c r="H1228" s="64">
        <f>ventas_b_mes1[[#This Row],[TOTAL]]/1.21</f>
        <v>0</v>
      </c>
      <c r="I1228" s="183">
        <f>ventas_b_mes1[[#This Row],[IMPORTE NETO]]*0.21</f>
        <v>0</v>
      </c>
      <c r="J1228" s="184"/>
      <c r="K1228" s="184"/>
      <c r="L1228" s="184"/>
      <c r="M1228" s="59"/>
    </row>
    <row r="1229" spans="2:13" x14ac:dyDescent="0.3">
      <c r="B1229" s="178"/>
      <c r="C1229" s="179"/>
      <c r="D1229" s="180"/>
      <c r="E1229" s="181"/>
      <c r="F1229" s="182"/>
      <c r="G1229" s="1" t="str">
        <f>IFERROR(IF(ventas_b_mes1[[#This Row],[CUIT]]="","-",VLOOKUP(ventas_b_mes1[[#This Row],[CUIT]],Lista_CUIT[#All],2,0)),"CUIT NO CARGADO")</f>
        <v>-</v>
      </c>
      <c r="H1229" s="64">
        <f>ventas_b_mes1[[#This Row],[TOTAL]]/1.21</f>
        <v>0</v>
      </c>
      <c r="I1229" s="183">
        <f>ventas_b_mes1[[#This Row],[IMPORTE NETO]]*0.21</f>
        <v>0</v>
      </c>
      <c r="J1229" s="184"/>
      <c r="K1229" s="184"/>
      <c r="L1229" s="184"/>
      <c r="M1229" s="59"/>
    </row>
    <row r="1230" spans="2:13" x14ac:dyDescent="0.3">
      <c r="B1230" s="178"/>
      <c r="C1230" s="179"/>
      <c r="D1230" s="180"/>
      <c r="E1230" s="181"/>
      <c r="F1230" s="182"/>
      <c r="G1230" s="1" t="str">
        <f>IFERROR(IF(ventas_b_mes1[[#This Row],[CUIT]]="","-",VLOOKUP(ventas_b_mes1[[#This Row],[CUIT]],Lista_CUIT[#All],2,0)),"CUIT NO CARGADO")</f>
        <v>-</v>
      </c>
      <c r="H1230" s="64">
        <f>ventas_b_mes1[[#This Row],[TOTAL]]/1.21</f>
        <v>0</v>
      </c>
      <c r="I1230" s="183">
        <f>ventas_b_mes1[[#This Row],[IMPORTE NETO]]*0.21</f>
        <v>0</v>
      </c>
      <c r="J1230" s="184"/>
      <c r="K1230" s="184"/>
      <c r="L1230" s="184"/>
      <c r="M1230" s="59"/>
    </row>
    <row r="1231" spans="2:13" x14ac:dyDescent="0.3">
      <c r="B1231" s="178"/>
      <c r="C1231" s="179"/>
      <c r="D1231" s="180"/>
      <c r="E1231" s="181"/>
      <c r="F1231" s="182"/>
      <c r="G1231" s="1" t="str">
        <f>IFERROR(IF(ventas_b_mes1[[#This Row],[CUIT]]="","-",VLOOKUP(ventas_b_mes1[[#This Row],[CUIT]],Lista_CUIT[#All],2,0)),"CUIT NO CARGADO")</f>
        <v>-</v>
      </c>
      <c r="H1231" s="64">
        <f>ventas_b_mes1[[#This Row],[TOTAL]]/1.21</f>
        <v>0</v>
      </c>
      <c r="I1231" s="183">
        <f>ventas_b_mes1[[#This Row],[IMPORTE NETO]]*0.21</f>
        <v>0</v>
      </c>
      <c r="J1231" s="184"/>
      <c r="K1231" s="184"/>
      <c r="L1231" s="184"/>
      <c r="M1231" s="59"/>
    </row>
    <row r="1232" spans="2:13" x14ac:dyDescent="0.3">
      <c r="B1232" s="178"/>
      <c r="C1232" s="179"/>
      <c r="D1232" s="180"/>
      <c r="E1232" s="181"/>
      <c r="F1232" s="182"/>
      <c r="G1232" s="1" t="str">
        <f>IFERROR(IF(ventas_b_mes1[[#This Row],[CUIT]]="","-",VLOOKUP(ventas_b_mes1[[#This Row],[CUIT]],Lista_CUIT[#All],2,0)),"CUIT NO CARGADO")</f>
        <v>-</v>
      </c>
      <c r="H1232" s="64">
        <f>ventas_b_mes1[[#This Row],[TOTAL]]/1.21</f>
        <v>0</v>
      </c>
      <c r="I1232" s="183">
        <f>ventas_b_mes1[[#This Row],[IMPORTE NETO]]*0.21</f>
        <v>0</v>
      </c>
      <c r="J1232" s="184"/>
      <c r="K1232" s="184"/>
      <c r="L1232" s="184"/>
      <c r="M1232" s="59"/>
    </row>
    <row r="1233" spans="2:13" x14ac:dyDescent="0.3">
      <c r="B1233" s="178"/>
      <c r="C1233" s="179"/>
      <c r="D1233" s="180"/>
      <c r="E1233" s="181"/>
      <c r="F1233" s="182"/>
      <c r="G1233" s="1" t="str">
        <f>IFERROR(IF(ventas_b_mes1[[#This Row],[CUIT]]="","-",VLOOKUP(ventas_b_mes1[[#This Row],[CUIT]],Lista_CUIT[#All],2,0)),"CUIT NO CARGADO")</f>
        <v>-</v>
      </c>
      <c r="H1233" s="64">
        <f>ventas_b_mes1[[#This Row],[TOTAL]]/1.21</f>
        <v>0</v>
      </c>
      <c r="I1233" s="183">
        <f>ventas_b_mes1[[#This Row],[IMPORTE NETO]]*0.21</f>
        <v>0</v>
      </c>
      <c r="J1233" s="184"/>
      <c r="K1233" s="184"/>
      <c r="L1233" s="184"/>
      <c r="M1233" s="59"/>
    </row>
    <row r="1234" spans="2:13" x14ac:dyDescent="0.3">
      <c r="B1234" s="178"/>
      <c r="C1234" s="179"/>
      <c r="D1234" s="180"/>
      <c r="E1234" s="181"/>
      <c r="F1234" s="182"/>
      <c r="G1234" s="1" t="str">
        <f>IFERROR(IF(ventas_b_mes1[[#This Row],[CUIT]]="","-",VLOOKUP(ventas_b_mes1[[#This Row],[CUIT]],Lista_CUIT[#All],2,0)),"CUIT NO CARGADO")</f>
        <v>-</v>
      </c>
      <c r="H1234" s="64">
        <f>ventas_b_mes1[[#This Row],[TOTAL]]/1.21</f>
        <v>0</v>
      </c>
      <c r="I1234" s="183">
        <f>ventas_b_mes1[[#This Row],[IMPORTE NETO]]*0.21</f>
        <v>0</v>
      </c>
      <c r="J1234" s="184"/>
      <c r="K1234" s="184"/>
      <c r="L1234" s="184"/>
      <c r="M1234" s="59"/>
    </row>
    <row r="1235" spans="2:13" x14ac:dyDescent="0.3">
      <c r="B1235" s="178"/>
      <c r="C1235" s="179"/>
      <c r="D1235" s="180"/>
      <c r="E1235" s="181"/>
      <c r="F1235" s="182"/>
      <c r="G1235" s="1" t="str">
        <f>IFERROR(IF(ventas_b_mes1[[#This Row],[CUIT]]="","-",VLOOKUP(ventas_b_mes1[[#This Row],[CUIT]],Lista_CUIT[#All],2,0)),"CUIT NO CARGADO")</f>
        <v>-</v>
      </c>
      <c r="H1235" s="64">
        <f>ventas_b_mes1[[#This Row],[TOTAL]]/1.21</f>
        <v>0</v>
      </c>
      <c r="I1235" s="183">
        <f>ventas_b_mes1[[#This Row],[IMPORTE NETO]]*0.21</f>
        <v>0</v>
      </c>
      <c r="J1235" s="184"/>
      <c r="K1235" s="184"/>
      <c r="L1235" s="184"/>
      <c r="M1235" s="59"/>
    </row>
    <row r="1236" spans="2:13" x14ac:dyDescent="0.3">
      <c r="B1236" s="178"/>
      <c r="C1236" s="179"/>
      <c r="D1236" s="180"/>
      <c r="E1236" s="181"/>
      <c r="F1236" s="182"/>
      <c r="G1236" s="1" t="str">
        <f>IFERROR(IF(ventas_b_mes1[[#This Row],[CUIT]]="","-",VLOOKUP(ventas_b_mes1[[#This Row],[CUIT]],Lista_CUIT[#All],2,0)),"CUIT NO CARGADO")</f>
        <v>-</v>
      </c>
      <c r="H1236" s="64">
        <f>ventas_b_mes1[[#This Row],[TOTAL]]/1.21</f>
        <v>0</v>
      </c>
      <c r="I1236" s="183">
        <f>ventas_b_mes1[[#This Row],[IMPORTE NETO]]*0.21</f>
        <v>0</v>
      </c>
      <c r="J1236" s="184"/>
      <c r="K1236" s="184"/>
      <c r="L1236" s="184"/>
      <c r="M1236" s="59"/>
    </row>
    <row r="1237" spans="2:13" x14ac:dyDescent="0.3">
      <c r="B1237" s="178"/>
      <c r="C1237" s="179"/>
      <c r="D1237" s="180"/>
      <c r="E1237" s="181"/>
      <c r="F1237" s="182"/>
      <c r="G1237" s="1" t="str">
        <f>IFERROR(IF(ventas_b_mes1[[#This Row],[CUIT]]="","-",VLOOKUP(ventas_b_mes1[[#This Row],[CUIT]],Lista_CUIT[#All],2,0)),"CUIT NO CARGADO")</f>
        <v>-</v>
      </c>
      <c r="H1237" s="64">
        <f>ventas_b_mes1[[#This Row],[TOTAL]]/1.21</f>
        <v>0</v>
      </c>
      <c r="I1237" s="183">
        <f>ventas_b_mes1[[#This Row],[IMPORTE NETO]]*0.21</f>
        <v>0</v>
      </c>
      <c r="J1237" s="184"/>
      <c r="K1237" s="184"/>
      <c r="L1237" s="184"/>
      <c r="M1237" s="59"/>
    </row>
    <row r="1238" spans="2:13" x14ac:dyDescent="0.3">
      <c r="B1238" s="178"/>
      <c r="C1238" s="179"/>
      <c r="D1238" s="180"/>
      <c r="E1238" s="181"/>
      <c r="F1238" s="182"/>
      <c r="G1238" s="1" t="str">
        <f>IFERROR(IF(ventas_b_mes1[[#This Row],[CUIT]]="","-",VLOOKUP(ventas_b_mes1[[#This Row],[CUIT]],Lista_CUIT[#All],2,0)),"CUIT NO CARGADO")</f>
        <v>-</v>
      </c>
      <c r="H1238" s="64">
        <f>ventas_b_mes1[[#This Row],[TOTAL]]/1.21</f>
        <v>0</v>
      </c>
      <c r="I1238" s="183">
        <f>ventas_b_mes1[[#This Row],[IMPORTE NETO]]*0.21</f>
        <v>0</v>
      </c>
      <c r="J1238" s="184"/>
      <c r="K1238" s="184"/>
      <c r="L1238" s="184"/>
      <c r="M1238" s="59"/>
    </row>
    <row r="1239" spans="2:13" x14ac:dyDescent="0.3">
      <c r="B1239" s="178"/>
      <c r="C1239" s="179"/>
      <c r="D1239" s="180"/>
      <c r="E1239" s="181"/>
      <c r="F1239" s="182"/>
      <c r="G1239" s="1" t="str">
        <f>IFERROR(IF(ventas_b_mes1[[#This Row],[CUIT]]="","-",VLOOKUP(ventas_b_mes1[[#This Row],[CUIT]],Lista_CUIT[#All],2,0)),"CUIT NO CARGADO")</f>
        <v>-</v>
      </c>
      <c r="H1239" s="64">
        <f>ventas_b_mes1[[#This Row],[TOTAL]]/1.21</f>
        <v>0</v>
      </c>
      <c r="I1239" s="183">
        <f>ventas_b_mes1[[#This Row],[IMPORTE NETO]]*0.21</f>
        <v>0</v>
      </c>
      <c r="J1239" s="184"/>
      <c r="K1239" s="184"/>
      <c r="L1239" s="184"/>
      <c r="M1239" s="59"/>
    </row>
    <row r="1240" spans="2:13" x14ac:dyDescent="0.3">
      <c r="B1240" s="178"/>
      <c r="C1240" s="179"/>
      <c r="D1240" s="180"/>
      <c r="E1240" s="181"/>
      <c r="F1240" s="182"/>
      <c r="G1240" s="1" t="str">
        <f>IFERROR(IF(ventas_b_mes1[[#This Row],[CUIT]]="","-",VLOOKUP(ventas_b_mes1[[#This Row],[CUIT]],Lista_CUIT[#All],2,0)),"CUIT NO CARGADO")</f>
        <v>-</v>
      </c>
      <c r="H1240" s="64">
        <f>ventas_b_mes1[[#This Row],[TOTAL]]/1.21</f>
        <v>0</v>
      </c>
      <c r="I1240" s="183">
        <f>ventas_b_mes1[[#This Row],[IMPORTE NETO]]*0.21</f>
        <v>0</v>
      </c>
      <c r="J1240" s="184"/>
      <c r="K1240" s="184"/>
      <c r="L1240" s="184"/>
      <c r="M1240" s="59"/>
    </row>
    <row r="1241" spans="2:13" x14ac:dyDescent="0.3">
      <c r="B1241" s="178"/>
      <c r="C1241" s="179"/>
      <c r="D1241" s="180"/>
      <c r="E1241" s="181"/>
      <c r="F1241" s="182"/>
      <c r="G1241" s="1" t="str">
        <f>IFERROR(IF(ventas_b_mes1[[#This Row],[CUIT]]="","-",VLOOKUP(ventas_b_mes1[[#This Row],[CUIT]],Lista_CUIT[#All],2,0)),"CUIT NO CARGADO")</f>
        <v>-</v>
      </c>
      <c r="H1241" s="64">
        <f>ventas_b_mes1[[#This Row],[TOTAL]]/1.21</f>
        <v>0</v>
      </c>
      <c r="I1241" s="183">
        <f>ventas_b_mes1[[#This Row],[IMPORTE NETO]]*0.21</f>
        <v>0</v>
      </c>
      <c r="J1241" s="184"/>
      <c r="K1241" s="184"/>
      <c r="L1241" s="184"/>
      <c r="M1241" s="59"/>
    </row>
    <row r="1242" spans="2:13" x14ac:dyDescent="0.3">
      <c r="B1242" s="178"/>
      <c r="C1242" s="179"/>
      <c r="D1242" s="180"/>
      <c r="E1242" s="181"/>
      <c r="F1242" s="182"/>
      <c r="G1242" s="1" t="str">
        <f>IFERROR(IF(ventas_b_mes1[[#This Row],[CUIT]]="","-",VLOOKUP(ventas_b_mes1[[#This Row],[CUIT]],Lista_CUIT[#All],2,0)),"CUIT NO CARGADO")</f>
        <v>-</v>
      </c>
      <c r="H1242" s="64">
        <f>ventas_b_mes1[[#This Row],[TOTAL]]/1.21</f>
        <v>0</v>
      </c>
      <c r="I1242" s="183">
        <f>ventas_b_mes1[[#This Row],[IMPORTE NETO]]*0.21</f>
        <v>0</v>
      </c>
      <c r="J1242" s="184"/>
      <c r="K1242" s="184"/>
      <c r="L1242" s="184"/>
      <c r="M1242" s="59"/>
    </row>
    <row r="1243" spans="2:13" x14ac:dyDescent="0.3">
      <c r="B1243" s="178"/>
      <c r="C1243" s="179"/>
      <c r="D1243" s="180"/>
      <c r="E1243" s="181"/>
      <c r="F1243" s="182"/>
      <c r="G1243" s="1" t="str">
        <f>IFERROR(IF(ventas_b_mes1[[#This Row],[CUIT]]="","-",VLOOKUP(ventas_b_mes1[[#This Row],[CUIT]],Lista_CUIT[#All],2,0)),"CUIT NO CARGADO")</f>
        <v>-</v>
      </c>
      <c r="H1243" s="64">
        <f>ventas_b_mes1[[#This Row],[TOTAL]]/1.21</f>
        <v>0</v>
      </c>
      <c r="I1243" s="183">
        <f>ventas_b_mes1[[#This Row],[IMPORTE NETO]]*0.21</f>
        <v>0</v>
      </c>
      <c r="J1243" s="184"/>
      <c r="K1243" s="184"/>
      <c r="L1243" s="184"/>
      <c r="M1243" s="59"/>
    </row>
    <row r="1244" spans="2:13" x14ac:dyDescent="0.3">
      <c r="B1244" s="178"/>
      <c r="C1244" s="179"/>
      <c r="D1244" s="180"/>
      <c r="E1244" s="181"/>
      <c r="F1244" s="182"/>
      <c r="G1244" s="1" t="str">
        <f>IFERROR(IF(ventas_b_mes1[[#This Row],[CUIT]]="","-",VLOOKUP(ventas_b_mes1[[#This Row],[CUIT]],Lista_CUIT[#All],2,0)),"CUIT NO CARGADO")</f>
        <v>-</v>
      </c>
      <c r="H1244" s="64">
        <f>ventas_b_mes1[[#This Row],[TOTAL]]/1.21</f>
        <v>0</v>
      </c>
      <c r="I1244" s="183">
        <f>ventas_b_mes1[[#This Row],[IMPORTE NETO]]*0.21</f>
        <v>0</v>
      </c>
      <c r="J1244" s="184"/>
      <c r="K1244" s="184"/>
      <c r="L1244" s="184"/>
      <c r="M1244" s="59"/>
    </row>
    <row r="1245" spans="2:13" x14ac:dyDescent="0.3">
      <c r="B1245" s="178"/>
      <c r="C1245" s="179"/>
      <c r="D1245" s="180"/>
      <c r="E1245" s="181"/>
      <c r="F1245" s="182"/>
      <c r="G1245" s="1" t="str">
        <f>IFERROR(IF(ventas_b_mes1[[#This Row],[CUIT]]="","-",VLOOKUP(ventas_b_mes1[[#This Row],[CUIT]],Lista_CUIT[#All],2,0)),"CUIT NO CARGADO")</f>
        <v>-</v>
      </c>
      <c r="H1245" s="64">
        <f>ventas_b_mes1[[#This Row],[TOTAL]]/1.21</f>
        <v>0</v>
      </c>
      <c r="I1245" s="183">
        <f>ventas_b_mes1[[#This Row],[IMPORTE NETO]]*0.21</f>
        <v>0</v>
      </c>
      <c r="J1245" s="184"/>
      <c r="K1245" s="184"/>
      <c r="L1245" s="184"/>
      <c r="M1245" s="59"/>
    </row>
    <row r="1246" spans="2:13" x14ac:dyDescent="0.3">
      <c r="B1246" s="178"/>
      <c r="C1246" s="179"/>
      <c r="D1246" s="180"/>
      <c r="E1246" s="181"/>
      <c r="F1246" s="182"/>
      <c r="G1246" s="1" t="str">
        <f>IFERROR(IF(ventas_b_mes1[[#This Row],[CUIT]]="","-",VLOOKUP(ventas_b_mes1[[#This Row],[CUIT]],Lista_CUIT[#All],2,0)),"CUIT NO CARGADO")</f>
        <v>-</v>
      </c>
      <c r="H1246" s="64">
        <f>ventas_b_mes1[[#This Row],[TOTAL]]/1.21</f>
        <v>0</v>
      </c>
      <c r="I1246" s="183">
        <f>ventas_b_mes1[[#This Row],[IMPORTE NETO]]*0.21</f>
        <v>0</v>
      </c>
      <c r="J1246" s="184"/>
      <c r="K1246" s="184"/>
      <c r="L1246" s="184"/>
      <c r="M1246" s="59"/>
    </row>
    <row r="1247" spans="2:13" x14ac:dyDescent="0.3">
      <c r="B1247" s="178"/>
      <c r="C1247" s="179"/>
      <c r="D1247" s="180"/>
      <c r="E1247" s="181"/>
      <c r="F1247" s="182"/>
      <c r="G1247" s="1" t="str">
        <f>IFERROR(IF(ventas_b_mes1[[#This Row],[CUIT]]="","-",VLOOKUP(ventas_b_mes1[[#This Row],[CUIT]],Lista_CUIT[#All],2,0)),"CUIT NO CARGADO")</f>
        <v>-</v>
      </c>
      <c r="H1247" s="64">
        <f>ventas_b_mes1[[#This Row],[TOTAL]]/1.21</f>
        <v>0</v>
      </c>
      <c r="I1247" s="183">
        <f>ventas_b_mes1[[#This Row],[IMPORTE NETO]]*0.21</f>
        <v>0</v>
      </c>
      <c r="J1247" s="184"/>
      <c r="K1247" s="184"/>
      <c r="L1247" s="184"/>
      <c r="M1247" s="59"/>
    </row>
    <row r="1248" spans="2:13" x14ac:dyDescent="0.3">
      <c r="B1248" s="178"/>
      <c r="C1248" s="179"/>
      <c r="D1248" s="180"/>
      <c r="E1248" s="181"/>
      <c r="F1248" s="182"/>
      <c r="G1248" s="1" t="str">
        <f>IFERROR(IF(ventas_b_mes1[[#This Row],[CUIT]]="","-",VLOOKUP(ventas_b_mes1[[#This Row],[CUIT]],Lista_CUIT[#All],2,0)),"CUIT NO CARGADO")</f>
        <v>-</v>
      </c>
      <c r="H1248" s="64">
        <f>ventas_b_mes1[[#This Row],[TOTAL]]/1.21</f>
        <v>0</v>
      </c>
      <c r="I1248" s="183">
        <f>ventas_b_mes1[[#This Row],[IMPORTE NETO]]*0.21</f>
        <v>0</v>
      </c>
      <c r="J1248" s="184"/>
      <c r="K1248" s="184"/>
      <c r="L1248" s="184"/>
      <c r="M1248" s="59"/>
    </row>
    <row r="1249" spans="2:13" x14ac:dyDescent="0.3">
      <c r="B1249" s="178"/>
      <c r="C1249" s="179"/>
      <c r="D1249" s="180"/>
      <c r="E1249" s="181"/>
      <c r="F1249" s="182"/>
      <c r="G1249" s="1" t="str">
        <f>IFERROR(IF(ventas_b_mes1[[#This Row],[CUIT]]="","-",VLOOKUP(ventas_b_mes1[[#This Row],[CUIT]],Lista_CUIT[#All],2,0)),"CUIT NO CARGADO")</f>
        <v>-</v>
      </c>
      <c r="H1249" s="64">
        <f>ventas_b_mes1[[#This Row],[TOTAL]]/1.21</f>
        <v>0</v>
      </c>
      <c r="I1249" s="183">
        <f>ventas_b_mes1[[#This Row],[IMPORTE NETO]]*0.21</f>
        <v>0</v>
      </c>
      <c r="J1249" s="184"/>
      <c r="K1249" s="184"/>
      <c r="L1249" s="184"/>
      <c r="M1249" s="59"/>
    </row>
    <row r="1250" spans="2:13" x14ac:dyDescent="0.3">
      <c r="B1250" s="178"/>
      <c r="C1250" s="179"/>
      <c r="D1250" s="180"/>
      <c r="E1250" s="181"/>
      <c r="F1250" s="182"/>
      <c r="G1250" s="1" t="str">
        <f>IFERROR(IF(ventas_b_mes1[[#This Row],[CUIT]]="","-",VLOOKUP(ventas_b_mes1[[#This Row],[CUIT]],Lista_CUIT[#All],2,0)),"CUIT NO CARGADO")</f>
        <v>-</v>
      </c>
      <c r="H1250" s="64">
        <f>ventas_b_mes1[[#This Row],[TOTAL]]/1.21</f>
        <v>0</v>
      </c>
      <c r="I1250" s="183">
        <f>ventas_b_mes1[[#This Row],[IMPORTE NETO]]*0.21</f>
        <v>0</v>
      </c>
      <c r="J1250" s="184"/>
      <c r="K1250" s="184"/>
      <c r="L1250" s="184"/>
      <c r="M1250" s="59"/>
    </row>
    <row r="1251" spans="2:13" x14ac:dyDescent="0.3">
      <c r="B1251" s="178"/>
      <c r="C1251" s="179"/>
      <c r="D1251" s="180"/>
      <c r="E1251" s="181"/>
      <c r="F1251" s="182"/>
      <c r="G1251" s="1" t="str">
        <f>IFERROR(IF(ventas_b_mes1[[#This Row],[CUIT]]="","-",VLOOKUP(ventas_b_mes1[[#This Row],[CUIT]],Lista_CUIT[#All],2,0)),"CUIT NO CARGADO")</f>
        <v>-</v>
      </c>
      <c r="H1251" s="64">
        <f>ventas_b_mes1[[#This Row],[TOTAL]]/1.21</f>
        <v>0</v>
      </c>
      <c r="I1251" s="183">
        <f>ventas_b_mes1[[#This Row],[IMPORTE NETO]]*0.21</f>
        <v>0</v>
      </c>
      <c r="J1251" s="184"/>
      <c r="K1251" s="184"/>
      <c r="L1251" s="184"/>
      <c r="M1251" s="59"/>
    </row>
    <row r="1252" spans="2:13" x14ac:dyDescent="0.3">
      <c r="B1252" s="178"/>
      <c r="C1252" s="179"/>
      <c r="D1252" s="180"/>
      <c r="E1252" s="181"/>
      <c r="F1252" s="182"/>
      <c r="G1252" s="1" t="str">
        <f>IFERROR(IF(ventas_b_mes1[[#This Row],[CUIT]]="","-",VLOOKUP(ventas_b_mes1[[#This Row],[CUIT]],Lista_CUIT[#All],2,0)),"CUIT NO CARGADO")</f>
        <v>-</v>
      </c>
      <c r="H1252" s="64">
        <f>ventas_b_mes1[[#This Row],[TOTAL]]/1.21</f>
        <v>0</v>
      </c>
      <c r="I1252" s="183">
        <f>ventas_b_mes1[[#This Row],[IMPORTE NETO]]*0.21</f>
        <v>0</v>
      </c>
      <c r="J1252" s="184"/>
      <c r="K1252" s="184"/>
      <c r="L1252" s="184"/>
      <c r="M1252" s="59"/>
    </row>
    <row r="1253" spans="2:13" x14ac:dyDescent="0.3">
      <c r="B1253" s="178"/>
      <c r="C1253" s="179"/>
      <c r="D1253" s="180"/>
      <c r="E1253" s="181"/>
      <c r="F1253" s="182"/>
      <c r="G1253" s="1" t="str">
        <f>IFERROR(IF(ventas_b_mes1[[#This Row],[CUIT]]="","-",VLOOKUP(ventas_b_mes1[[#This Row],[CUIT]],Lista_CUIT[#All],2,0)),"CUIT NO CARGADO")</f>
        <v>-</v>
      </c>
      <c r="H1253" s="64">
        <f>ventas_b_mes1[[#This Row],[TOTAL]]/1.21</f>
        <v>0</v>
      </c>
      <c r="I1253" s="183">
        <f>ventas_b_mes1[[#This Row],[IMPORTE NETO]]*0.21</f>
        <v>0</v>
      </c>
      <c r="J1253" s="184"/>
      <c r="K1253" s="184"/>
      <c r="L1253" s="184"/>
      <c r="M1253" s="59"/>
    </row>
    <row r="1254" spans="2:13" x14ac:dyDescent="0.3">
      <c r="B1254" s="178"/>
      <c r="C1254" s="179"/>
      <c r="D1254" s="180"/>
      <c r="E1254" s="181"/>
      <c r="F1254" s="182"/>
      <c r="G1254" s="1" t="str">
        <f>IFERROR(IF(ventas_b_mes1[[#This Row],[CUIT]]="","-",VLOOKUP(ventas_b_mes1[[#This Row],[CUIT]],Lista_CUIT[#All],2,0)),"CUIT NO CARGADO")</f>
        <v>-</v>
      </c>
      <c r="H1254" s="64">
        <f>ventas_b_mes1[[#This Row],[TOTAL]]/1.21</f>
        <v>0</v>
      </c>
      <c r="I1254" s="183">
        <f>ventas_b_mes1[[#This Row],[IMPORTE NETO]]*0.21</f>
        <v>0</v>
      </c>
      <c r="J1254" s="184"/>
      <c r="K1254" s="184"/>
      <c r="L1254" s="184"/>
      <c r="M1254" s="59"/>
    </row>
    <row r="1255" spans="2:13" x14ac:dyDescent="0.3">
      <c r="B1255" s="178"/>
      <c r="C1255" s="179"/>
      <c r="D1255" s="180"/>
      <c r="E1255" s="181"/>
      <c r="F1255" s="182"/>
      <c r="G1255" s="1" t="str">
        <f>IFERROR(IF(ventas_b_mes1[[#This Row],[CUIT]]="","-",VLOOKUP(ventas_b_mes1[[#This Row],[CUIT]],Lista_CUIT[#All],2,0)),"CUIT NO CARGADO")</f>
        <v>-</v>
      </c>
      <c r="H1255" s="64">
        <f>ventas_b_mes1[[#This Row],[TOTAL]]/1.21</f>
        <v>0</v>
      </c>
      <c r="I1255" s="183">
        <f>ventas_b_mes1[[#This Row],[IMPORTE NETO]]*0.21</f>
        <v>0</v>
      </c>
      <c r="J1255" s="184"/>
      <c r="K1255" s="184"/>
      <c r="L1255" s="184"/>
      <c r="M1255" s="59"/>
    </row>
    <row r="1256" spans="2:13" x14ac:dyDescent="0.3">
      <c r="B1256" s="178"/>
      <c r="C1256" s="179"/>
      <c r="D1256" s="180"/>
      <c r="E1256" s="181"/>
      <c r="F1256" s="182"/>
      <c r="G1256" s="1" t="str">
        <f>IFERROR(IF(ventas_b_mes1[[#This Row],[CUIT]]="","-",VLOOKUP(ventas_b_mes1[[#This Row],[CUIT]],Lista_CUIT[#All],2,0)),"CUIT NO CARGADO")</f>
        <v>-</v>
      </c>
      <c r="H1256" s="64">
        <f>ventas_b_mes1[[#This Row],[TOTAL]]/1.21</f>
        <v>0</v>
      </c>
      <c r="I1256" s="183">
        <f>ventas_b_mes1[[#This Row],[IMPORTE NETO]]*0.21</f>
        <v>0</v>
      </c>
      <c r="J1256" s="184"/>
      <c r="K1256" s="184"/>
      <c r="L1256" s="184"/>
      <c r="M1256" s="59"/>
    </row>
    <row r="1257" spans="2:13" x14ac:dyDescent="0.3">
      <c r="B1257" s="178"/>
      <c r="C1257" s="179"/>
      <c r="D1257" s="180"/>
      <c r="E1257" s="181"/>
      <c r="F1257" s="182"/>
      <c r="G1257" s="1" t="str">
        <f>IFERROR(IF(ventas_b_mes1[[#This Row],[CUIT]]="","-",VLOOKUP(ventas_b_mes1[[#This Row],[CUIT]],Lista_CUIT[#All],2,0)),"CUIT NO CARGADO")</f>
        <v>-</v>
      </c>
      <c r="H1257" s="64">
        <f>ventas_b_mes1[[#This Row],[TOTAL]]/1.21</f>
        <v>0</v>
      </c>
      <c r="I1257" s="183">
        <f>ventas_b_mes1[[#This Row],[IMPORTE NETO]]*0.21</f>
        <v>0</v>
      </c>
      <c r="J1257" s="184"/>
      <c r="K1257" s="184"/>
      <c r="L1257" s="184"/>
      <c r="M1257" s="59"/>
    </row>
    <row r="1258" spans="2:13" x14ac:dyDescent="0.3">
      <c r="B1258" s="178"/>
      <c r="C1258" s="179"/>
      <c r="D1258" s="180"/>
      <c r="E1258" s="181"/>
      <c r="F1258" s="182"/>
      <c r="G1258" s="1" t="str">
        <f>IFERROR(IF(ventas_b_mes1[[#This Row],[CUIT]]="","-",VLOOKUP(ventas_b_mes1[[#This Row],[CUIT]],Lista_CUIT[#All],2,0)),"CUIT NO CARGADO")</f>
        <v>-</v>
      </c>
      <c r="H1258" s="64">
        <f>ventas_b_mes1[[#This Row],[TOTAL]]/1.21</f>
        <v>0</v>
      </c>
      <c r="I1258" s="183">
        <f>ventas_b_mes1[[#This Row],[IMPORTE NETO]]*0.21</f>
        <v>0</v>
      </c>
      <c r="J1258" s="184"/>
      <c r="K1258" s="184"/>
      <c r="L1258" s="184"/>
      <c r="M1258" s="59"/>
    </row>
    <row r="1259" spans="2:13" x14ac:dyDescent="0.3">
      <c r="B1259" s="178"/>
      <c r="C1259" s="179"/>
      <c r="D1259" s="180"/>
      <c r="E1259" s="181"/>
      <c r="F1259" s="182"/>
      <c r="G1259" s="1" t="str">
        <f>IFERROR(IF(ventas_b_mes1[[#This Row],[CUIT]]="","-",VLOOKUP(ventas_b_mes1[[#This Row],[CUIT]],Lista_CUIT[#All],2,0)),"CUIT NO CARGADO")</f>
        <v>-</v>
      </c>
      <c r="H1259" s="64">
        <f>ventas_b_mes1[[#This Row],[TOTAL]]/1.21</f>
        <v>0</v>
      </c>
      <c r="I1259" s="183">
        <f>ventas_b_mes1[[#This Row],[IMPORTE NETO]]*0.21</f>
        <v>0</v>
      </c>
      <c r="J1259" s="184"/>
      <c r="K1259" s="184"/>
      <c r="L1259" s="184"/>
      <c r="M1259" s="59"/>
    </row>
    <row r="1260" spans="2:13" x14ac:dyDescent="0.3">
      <c r="B1260" s="178"/>
      <c r="C1260" s="179"/>
      <c r="D1260" s="180"/>
      <c r="E1260" s="181"/>
      <c r="F1260" s="182"/>
      <c r="G1260" s="1" t="str">
        <f>IFERROR(IF(ventas_b_mes1[[#This Row],[CUIT]]="","-",VLOOKUP(ventas_b_mes1[[#This Row],[CUIT]],Lista_CUIT[#All],2,0)),"CUIT NO CARGADO")</f>
        <v>-</v>
      </c>
      <c r="H1260" s="64">
        <f>ventas_b_mes1[[#This Row],[TOTAL]]/1.21</f>
        <v>0</v>
      </c>
      <c r="I1260" s="183">
        <f>ventas_b_mes1[[#This Row],[IMPORTE NETO]]*0.21</f>
        <v>0</v>
      </c>
      <c r="J1260" s="184"/>
      <c r="K1260" s="184"/>
      <c r="L1260" s="184"/>
      <c r="M1260" s="59"/>
    </row>
    <row r="1261" spans="2:13" x14ac:dyDescent="0.3">
      <c r="B1261" s="178"/>
      <c r="C1261" s="179"/>
      <c r="D1261" s="180"/>
      <c r="E1261" s="181"/>
      <c r="F1261" s="182"/>
      <c r="G1261" s="1" t="str">
        <f>IFERROR(IF(ventas_b_mes1[[#This Row],[CUIT]]="","-",VLOOKUP(ventas_b_mes1[[#This Row],[CUIT]],Lista_CUIT[#All],2,0)),"CUIT NO CARGADO")</f>
        <v>-</v>
      </c>
      <c r="H1261" s="64">
        <f>ventas_b_mes1[[#This Row],[TOTAL]]/1.21</f>
        <v>0</v>
      </c>
      <c r="I1261" s="183">
        <f>ventas_b_mes1[[#This Row],[IMPORTE NETO]]*0.21</f>
        <v>0</v>
      </c>
      <c r="J1261" s="184"/>
      <c r="K1261" s="184"/>
      <c r="L1261" s="184"/>
      <c r="M1261" s="59"/>
    </row>
    <row r="1262" spans="2:13" x14ac:dyDescent="0.3">
      <c r="B1262" s="178"/>
      <c r="C1262" s="179"/>
      <c r="D1262" s="180"/>
      <c r="E1262" s="181"/>
      <c r="F1262" s="182"/>
      <c r="G1262" s="1" t="str">
        <f>IFERROR(IF(ventas_b_mes1[[#This Row],[CUIT]]="","-",VLOOKUP(ventas_b_mes1[[#This Row],[CUIT]],Lista_CUIT[#All],2,0)),"CUIT NO CARGADO")</f>
        <v>-</v>
      </c>
      <c r="H1262" s="64">
        <f>ventas_b_mes1[[#This Row],[TOTAL]]/1.21</f>
        <v>0</v>
      </c>
      <c r="I1262" s="183">
        <f>ventas_b_mes1[[#This Row],[IMPORTE NETO]]*0.21</f>
        <v>0</v>
      </c>
      <c r="J1262" s="184"/>
      <c r="K1262" s="184"/>
      <c r="L1262" s="184"/>
      <c r="M1262" s="59"/>
    </row>
    <row r="1263" spans="2:13" x14ac:dyDescent="0.3">
      <c r="B1263" s="178"/>
      <c r="C1263" s="179"/>
      <c r="D1263" s="180"/>
      <c r="E1263" s="181"/>
      <c r="F1263" s="182"/>
      <c r="G1263" s="1" t="str">
        <f>IFERROR(IF(ventas_b_mes1[[#This Row],[CUIT]]="","-",VLOOKUP(ventas_b_mes1[[#This Row],[CUIT]],Lista_CUIT[#All],2,0)),"CUIT NO CARGADO")</f>
        <v>-</v>
      </c>
      <c r="H1263" s="64">
        <f>ventas_b_mes1[[#This Row],[TOTAL]]/1.21</f>
        <v>0</v>
      </c>
      <c r="I1263" s="183">
        <f>ventas_b_mes1[[#This Row],[IMPORTE NETO]]*0.21</f>
        <v>0</v>
      </c>
      <c r="J1263" s="184"/>
      <c r="K1263" s="184"/>
      <c r="L1263" s="184"/>
      <c r="M1263" s="59"/>
    </row>
    <row r="1264" spans="2:13" x14ac:dyDescent="0.3">
      <c r="B1264" s="178"/>
      <c r="C1264" s="179"/>
      <c r="D1264" s="180"/>
      <c r="E1264" s="181"/>
      <c r="F1264" s="182"/>
      <c r="G1264" s="1" t="str">
        <f>IFERROR(IF(ventas_b_mes1[[#This Row],[CUIT]]="","-",VLOOKUP(ventas_b_mes1[[#This Row],[CUIT]],Lista_CUIT[#All],2,0)),"CUIT NO CARGADO")</f>
        <v>-</v>
      </c>
      <c r="H1264" s="64">
        <f>ventas_b_mes1[[#This Row],[TOTAL]]/1.21</f>
        <v>0</v>
      </c>
      <c r="I1264" s="183">
        <f>ventas_b_mes1[[#This Row],[IMPORTE NETO]]*0.21</f>
        <v>0</v>
      </c>
      <c r="J1264" s="184"/>
      <c r="K1264" s="184"/>
      <c r="L1264" s="184"/>
      <c r="M1264" s="59"/>
    </row>
    <row r="1265" spans="2:13" x14ac:dyDescent="0.3">
      <c r="B1265" s="178"/>
      <c r="C1265" s="179"/>
      <c r="D1265" s="180"/>
      <c r="E1265" s="181"/>
      <c r="F1265" s="182"/>
      <c r="G1265" s="1" t="str">
        <f>IFERROR(IF(ventas_b_mes1[[#This Row],[CUIT]]="","-",VLOOKUP(ventas_b_mes1[[#This Row],[CUIT]],Lista_CUIT[#All],2,0)),"CUIT NO CARGADO")</f>
        <v>-</v>
      </c>
      <c r="H1265" s="64">
        <f>ventas_b_mes1[[#This Row],[TOTAL]]/1.21</f>
        <v>0</v>
      </c>
      <c r="I1265" s="183">
        <f>ventas_b_mes1[[#This Row],[IMPORTE NETO]]*0.21</f>
        <v>0</v>
      </c>
      <c r="J1265" s="184"/>
      <c r="K1265" s="184"/>
      <c r="L1265" s="184"/>
      <c r="M1265" s="59"/>
    </row>
    <row r="1266" spans="2:13" x14ac:dyDescent="0.3">
      <c r="B1266" s="178"/>
      <c r="C1266" s="179"/>
      <c r="D1266" s="180"/>
      <c r="E1266" s="181"/>
      <c r="F1266" s="182"/>
      <c r="G1266" s="1" t="str">
        <f>IFERROR(IF(ventas_b_mes1[[#This Row],[CUIT]]="","-",VLOOKUP(ventas_b_mes1[[#This Row],[CUIT]],Lista_CUIT[#All],2,0)),"CUIT NO CARGADO")</f>
        <v>-</v>
      </c>
      <c r="H1266" s="64">
        <f>ventas_b_mes1[[#This Row],[TOTAL]]/1.21</f>
        <v>0</v>
      </c>
      <c r="I1266" s="183">
        <f>ventas_b_mes1[[#This Row],[IMPORTE NETO]]*0.21</f>
        <v>0</v>
      </c>
      <c r="J1266" s="184"/>
      <c r="K1266" s="184"/>
      <c r="L1266" s="184"/>
      <c r="M1266" s="59"/>
    </row>
    <row r="1267" spans="2:13" x14ac:dyDescent="0.3">
      <c r="B1267" s="178"/>
      <c r="C1267" s="179"/>
      <c r="D1267" s="180"/>
      <c r="E1267" s="181"/>
      <c r="F1267" s="182"/>
      <c r="G1267" s="1" t="str">
        <f>IFERROR(IF(ventas_b_mes1[[#This Row],[CUIT]]="","-",VLOOKUP(ventas_b_mes1[[#This Row],[CUIT]],Lista_CUIT[#All],2,0)),"CUIT NO CARGADO")</f>
        <v>-</v>
      </c>
      <c r="H1267" s="64">
        <f>ventas_b_mes1[[#This Row],[TOTAL]]/1.21</f>
        <v>0</v>
      </c>
      <c r="I1267" s="183">
        <f>ventas_b_mes1[[#This Row],[IMPORTE NETO]]*0.21</f>
        <v>0</v>
      </c>
      <c r="J1267" s="184"/>
      <c r="K1267" s="184"/>
      <c r="L1267" s="184"/>
      <c r="M1267" s="59"/>
    </row>
    <row r="1268" spans="2:13" x14ac:dyDescent="0.3">
      <c r="B1268" s="178"/>
      <c r="C1268" s="179"/>
      <c r="D1268" s="180"/>
      <c r="E1268" s="181"/>
      <c r="F1268" s="182"/>
      <c r="G1268" s="1" t="str">
        <f>IFERROR(IF(ventas_b_mes1[[#This Row],[CUIT]]="","-",VLOOKUP(ventas_b_mes1[[#This Row],[CUIT]],Lista_CUIT[#All],2,0)),"CUIT NO CARGADO")</f>
        <v>-</v>
      </c>
      <c r="H1268" s="64">
        <f>ventas_b_mes1[[#This Row],[TOTAL]]/1.21</f>
        <v>0</v>
      </c>
      <c r="I1268" s="183">
        <f>ventas_b_mes1[[#This Row],[IMPORTE NETO]]*0.21</f>
        <v>0</v>
      </c>
      <c r="J1268" s="184"/>
      <c r="K1268" s="184"/>
      <c r="L1268" s="184"/>
      <c r="M1268" s="59"/>
    </row>
    <row r="1269" spans="2:13" x14ac:dyDescent="0.3">
      <c r="B1269" s="178"/>
      <c r="C1269" s="179"/>
      <c r="D1269" s="180"/>
      <c r="E1269" s="181"/>
      <c r="F1269" s="182"/>
      <c r="G1269" s="1" t="str">
        <f>IFERROR(IF(ventas_b_mes1[[#This Row],[CUIT]]="","-",VLOOKUP(ventas_b_mes1[[#This Row],[CUIT]],Lista_CUIT[#All],2,0)),"CUIT NO CARGADO")</f>
        <v>-</v>
      </c>
      <c r="H1269" s="64">
        <f>ventas_b_mes1[[#This Row],[TOTAL]]/1.21</f>
        <v>0</v>
      </c>
      <c r="I1269" s="183">
        <f>ventas_b_mes1[[#This Row],[IMPORTE NETO]]*0.21</f>
        <v>0</v>
      </c>
      <c r="J1269" s="184"/>
      <c r="K1269" s="184"/>
      <c r="L1269" s="184"/>
      <c r="M1269" s="59"/>
    </row>
    <row r="1270" spans="2:13" x14ac:dyDescent="0.3">
      <c r="B1270" s="178"/>
      <c r="C1270" s="179"/>
      <c r="D1270" s="180"/>
      <c r="E1270" s="181"/>
      <c r="F1270" s="182"/>
      <c r="G1270" s="1" t="str">
        <f>IFERROR(IF(ventas_b_mes1[[#This Row],[CUIT]]="","-",VLOOKUP(ventas_b_mes1[[#This Row],[CUIT]],Lista_CUIT[#All],2,0)),"CUIT NO CARGADO")</f>
        <v>-</v>
      </c>
      <c r="H1270" s="64">
        <f>ventas_b_mes1[[#This Row],[TOTAL]]/1.21</f>
        <v>0</v>
      </c>
      <c r="I1270" s="183">
        <f>ventas_b_mes1[[#This Row],[IMPORTE NETO]]*0.21</f>
        <v>0</v>
      </c>
      <c r="J1270" s="184"/>
      <c r="K1270" s="184"/>
      <c r="L1270" s="184"/>
      <c r="M1270" s="59"/>
    </row>
    <row r="1271" spans="2:13" x14ac:dyDescent="0.3">
      <c r="B1271" s="178"/>
      <c r="C1271" s="179"/>
      <c r="D1271" s="180"/>
      <c r="E1271" s="181"/>
      <c r="F1271" s="182"/>
      <c r="G1271" s="1" t="str">
        <f>IFERROR(IF(ventas_b_mes1[[#This Row],[CUIT]]="","-",VLOOKUP(ventas_b_mes1[[#This Row],[CUIT]],Lista_CUIT[#All],2,0)),"CUIT NO CARGADO")</f>
        <v>-</v>
      </c>
      <c r="H1271" s="64">
        <f>ventas_b_mes1[[#This Row],[TOTAL]]/1.21</f>
        <v>0</v>
      </c>
      <c r="I1271" s="183">
        <f>ventas_b_mes1[[#This Row],[IMPORTE NETO]]*0.21</f>
        <v>0</v>
      </c>
      <c r="J1271" s="184"/>
      <c r="K1271" s="184"/>
      <c r="L1271" s="184"/>
      <c r="M1271" s="59"/>
    </row>
    <row r="1272" spans="2:13" x14ac:dyDescent="0.3">
      <c r="B1272" s="178"/>
      <c r="C1272" s="179"/>
      <c r="D1272" s="180"/>
      <c r="E1272" s="181"/>
      <c r="F1272" s="182"/>
      <c r="G1272" s="1" t="str">
        <f>IFERROR(IF(ventas_b_mes1[[#This Row],[CUIT]]="","-",VLOOKUP(ventas_b_mes1[[#This Row],[CUIT]],Lista_CUIT[#All],2,0)),"CUIT NO CARGADO")</f>
        <v>-</v>
      </c>
      <c r="H1272" s="64">
        <f>ventas_b_mes1[[#This Row],[TOTAL]]/1.21</f>
        <v>0</v>
      </c>
      <c r="I1272" s="183">
        <f>ventas_b_mes1[[#This Row],[IMPORTE NETO]]*0.21</f>
        <v>0</v>
      </c>
      <c r="J1272" s="184"/>
      <c r="K1272" s="184"/>
      <c r="L1272" s="184"/>
      <c r="M1272" s="59"/>
    </row>
    <row r="1273" spans="2:13" x14ac:dyDescent="0.3">
      <c r="B1273" s="178"/>
      <c r="C1273" s="179"/>
      <c r="D1273" s="180"/>
      <c r="E1273" s="181"/>
      <c r="F1273" s="182"/>
      <c r="G1273" s="1" t="str">
        <f>IFERROR(IF(ventas_b_mes1[[#This Row],[CUIT]]="","-",VLOOKUP(ventas_b_mes1[[#This Row],[CUIT]],Lista_CUIT[#All],2,0)),"CUIT NO CARGADO")</f>
        <v>-</v>
      </c>
      <c r="H1273" s="64">
        <f>ventas_b_mes1[[#This Row],[TOTAL]]/1.21</f>
        <v>0</v>
      </c>
      <c r="I1273" s="183">
        <f>ventas_b_mes1[[#This Row],[IMPORTE NETO]]*0.21</f>
        <v>0</v>
      </c>
      <c r="J1273" s="184"/>
      <c r="K1273" s="184"/>
      <c r="L1273" s="184"/>
      <c r="M1273" s="59"/>
    </row>
    <row r="1274" spans="2:13" x14ac:dyDescent="0.3">
      <c r="B1274" s="178"/>
      <c r="C1274" s="179"/>
      <c r="D1274" s="180"/>
      <c r="E1274" s="181"/>
      <c r="F1274" s="182"/>
      <c r="G1274" s="1" t="str">
        <f>IFERROR(IF(ventas_b_mes1[[#This Row],[CUIT]]="","-",VLOOKUP(ventas_b_mes1[[#This Row],[CUIT]],Lista_CUIT[#All],2,0)),"CUIT NO CARGADO")</f>
        <v>-</v>
      </c>
      <c r="H1274" s="64">
        <f>ventas_b_mes1[[#This Row],[TOTAL]]/1.21</f>
        <v>0</v>
      </c>
      <c r="I1274" s="183">
        <f>ventas_b_mes1[[#This Row],[IMPORTE NETO]]*0.21</f>
        <v>0</v>
      </c>
      <c r="J1274" s="184"/>
      <c r="K1274" s="184"/>
      <c r="L1274" s="184"/>
      <c r="M1274" s="59"/>
    </row>
    <row r="1275" spans="2:13" x14ac:dyDescent="0.3">
      <c r="B1275" s="178"/>
      <c r="C1275" s="179"/>
      <c r="D1275" s="180"/>
      <c r="E1275" s="181"/>
      <c r="F1275" s="182"/>
      <c r="G1275" s="1" t="str">
        <f>IFERROR(IF(ventas_b_mes1[[#This Row],[CUIT]]="","-",VLOOKUP(ventas_b_mes1[[#This Row],[CUIT]],Lista_CUIT[#All],2,0)),"CUIT NO CARGADO")</f>
        <v>-</v>
      </c>
      <c r="H1275" s="64">
        <f>ventas_b_mes1[[#This Row],[TOTAL]]/1.21</f>
        <v>0</v>
      </c>
      <c r="I1275" s="183">
        <f>ventas_b_mes1[[#This Row],[IMPORTE NETO]]*0.21</f>
        <v>0</v>
      </c>
      <c r="J1275" s="184"/>
      <c r="K1275" s="184"/>
      <c r="L1275" s="184"/>
      <c r="M1275" s="59"/>
    </row>
    <row r="1276" spans="2:13" x14ac:dyDescent="0.3">
      <c r="B1276" s="178"/>
      <c r="C1276" s="179"/>
      <c r="D1276" s="180"/>
      <c r="E1276" s="181"/>
      <c r="F1276" s="182"/>
      <c r="G1276" s="1" t="str">
        <f>IFERROR(IF(ventas_b_mes1[[#This Row],[CUIT]]="","-",VLOOKUP(ventas_b_mes1[[#This Row],[CUIT]],Lista_CUIT[#All],2,0)),"CUIT NO CARGADO")</f>
        <v>-</v>
      </c>
      <c r="H1276" s="64">
        <f>ventas_b_mes1[[#This Row],[TOTAL]]/1.21</f>
        <v>0</v>
      </c>
      <c r="I1276" s="183">
        <f>ventas_b_mes1[[#This Row],[IMPORTE NETO]]*0.21</f>
        <v>0</v>
      </c>
      <c r="J1276" s="184"/>
      <c r="K1276" s="184"/>
      <c r="L1276" s="184"/>
      <c r="M1276" s="59"/>
    </row>
    <row r="1277" spans="2:13" x14ac:dyDescent="0.3">
      <c r="B1277" s="178"/>
      <c r="C1277" s="179"/>
      <c r="D1277" s="180"/>
      <c r="E1277" s="181"/>
      <c r="F1277" s="182"/>
      <c r="G1277" s="1" t="str">
        <f>IFERROR(IF(ventas_b_mes1[[#This Row],[CUIT]]="","-",VLOOKUP(ventas_b_mes1[[#This Row],[CUIT]],Lista_CUIT[#All],2,0)),"CUIT NO CARGADO")</f>
        <v>-</v>
      </c>
      <c r="H1277" s="64">
        <f>ventas_b_mes1[[#This Row],[TOTAL]]/1.21</f>
        <v>0</v>
      </c>
      <c r="I1277" s="183">
        <f>ventas_b_mes1[[#This Row],[IMPORTE NETO]]*0.21</f>
        <v>0</v>
      </c>
      <c r="J1277" s="184"/>
      <c r="K1277" s="184"/>
      <c r="L1277" s="184"/>
      <c r="M1277" s="59"/>
    </row>
    <row r="1278" spans="2:13" x14ac:dyDescent="0.3">
      <c r="B1278" s="178"/>
      <c r="C1278" s="179"/>
      <c r="D1278" s="180"/>
      <c r="E1278" s="181"/>
      <c r="F1278" s="182"/>
      <c r="G1278" s="1" t="str">
        <f>IFERROR(IF(ventas_b_mes1[[#This Row],[CUIT]]="","-",VLOOKUP(ventas_b_mes1[[#This Row],[CUIT]],Lista_CUIT[#All],2,0)),"CUIT NO CARGADO")</f>
        <v>-</v>
      </c>
      <c r="H1278" s="64">
        <f>ventas_b_mes1[[#This Row],[TOTAL]]/1.21</f>
        <v>0</v>
      </c>
      <c r="I1278" s="183">
        <f>ventas_b_mes1[[#This Row],[IMPORTE NETO]]*0.21</f>
        <v>0</v>
      </c>
      <c r="J1278" s="184"/>
      <c r="K1278" s="184"/>
      <c r="L1278" s="184"/>
      <c r="M1278" s="59"/>
    </row>
    <row r="1279" spans="2:13" x14ac:dyDescent="0.3">
      <c r="B1279" s="178"/>
      <c r="C1279" s="179"/>
      <c r="D1279" s="180"/>
      <c r="E1279" s="181"/>
      <c r="F1279" s="182"/>
      <c r="G1279" s="1" t="str">
        <f>IFERROR(IF(ventas_b_mes1[[#This Row],[CUIT]]="","-",VLOOKUP(ventas_b_mes1[[#This Row],[CUIT]],Lista_CUIT[#All],2,0)),"CUIT NO CARGADO")</f>
        <v>-</v>
      </c>
      <c r="H1279" s="64">
        <f>ventas_b_mes1[[#This Row],[TOTAL]]/1.21</f>
        <v>0</v>
      </c>
      <c r="I1279" s="183">
        <f>ventas_b_mes1[[#This Row],[IMPORTE NETO]]*0.21</f>
        <v>0</v>
      </c>
      <c r="J1279" s="184"/>
      <c r="K1279" s="184"/>
      <c r="L1279" s="184"/>
      <c r="M1279" s="59"/>
    </row>
    <row r="1280" spans="2:13" x14ac:dyDescent="0.3">
      <c r="B1280" s="178"/>
      <c r="C1280" s="179"/>
      <c r="D1280" s="180"/>
      <c r="E1280" s="181"/>
      <c r="F1280" s="182"/>
      <c r="G1280" s="1" t="str">
        <f>IFERROR(IF(ventas_b_mes1[[#This Row],[CUIT]]="","-",VLOOKUP(ventas_b_mes1[[#This Row],[CUIT]],Lista_CUIT[#All],2,0)),"CUIT NO CARGADO")</f>
        <v>-</v>
      </c>
      <c r="H1280" s="64">
        <f>ventas_b_mes1[[#This Row],[TOTAL]]/1.21</f>
        <v>0</v>
      </c>
      <c r="I1280" s="183">
        <f>ventas_b_mes1[[#This Row],[IMPORTE NETO]]*0.21</f>
        <v>0</v>
      </c>
      <c r="J1280" s="184"/>
      <c r="K1280" s="184"/>
      <c r="L1280" s="184"/>
      <c r="M1280" s="59"/>
    </row>
    <row r="1281" spans="2:13" x14ac:dyDescent="0.3">
      <c r="B1281" s="178"/>
      <c r="C1281" s="179"/>
      <c r="D1281" s="180"/>
      <c r="E1281" s="181"/>
      <c r="F1281" s="182"/>
      <c r="G1281" s="1" t="str">
        <f>IFERROR(IF(ventas_b_mes1[[#This Row],[CUIT]]="","-",VLOOKUP(ventas_b_mes1[[#This Row],[CUIT]],Lista_CUIT[#All],2,0)),"CUIT NO CARGADO")</f>
        <v>-</v>
      </c>
      <c r="H1281" s="64">
        <f>ventas_b_mes1[[#This Row],[TOTAL]]/1.21</f>
        <v>0</v>
      </c>
      <c r="I1281" s="183">
        <f>ventas_b_mes1[[#This Row],[IMPORTE NETO]]*0.21</f>
        <v>0</v>
      </c>
      <c r="J1281" s="184"/>
      <c r="K1281" s="184"/>
      <c r="L1281" s="184"/>
      <c r="M1281" s="59"/>
    </row>
    <row r="1282" spans="2:13" x14ac:dyDescent="0.3">
      <c r="B1282" s="178"/>
      <c r="C1282" s="179"/>
      <c r="D1282" s="180"/>
      <c r="E1282" s="181"/>
      <c r="F1282" s="182"/>
      <c r="G1282" s="1" t="str">
        <f>IFERROR(IF(ventas_b_mes1[[#This Row],[CUIT]]="","-",VLOOKUP(ventas_b_mes1[[#This Row],[CUIT]],Lista_CUIT[#All],2,0)),"CUIT NO CARGADO")</f>
        <v>-</v>
      </c>
      <c r="H1282" s="64">
        <f>ventas_b_mes1[[#This Row],[TOTAL]]/1.21</f>
        <v>0</v>
      </c>
      <c r="I1282" s="183">
        <f>ventas_b_mes1[[#This Row],[IMPORTE NETO]]*0.21</f>
        <v>0</v>
      </c>
      <c r="J1282" s="184"/>
      <c r="K1282" s="184"/>
      <c r="L1282" s="184"/>
      <c r="M1282" s="59"/>
    </row>
    <row r="1283" spans="2:13" x14ac:dyDescent="0.3">
      <c r="B1283" s="178"/>
      <c r="C1283" s="179"/>
      <c r="D1283" s="180"/>
      <c r="E1283" s="181"/>
      <c r="F1283" s="182"/>
      <c r="G1283" s="1" t="str">
        <f>IFERROR(IF(ventas_b_mes1[[#This Row],[CUIT]]="","-",VLOOKUP(ventas_b_mes1[[#This Row],[CUIT]],Lista_CUIT[#All],2,0)),"CUIT NO CARGADO")</f>
        <v>-</v>
      </c>
      <c r="H1283" s="64">
        <f>ventas_b_mes1[[#This Row],[TOTAL]]/1.21</f>
        <v>0</v>
      </c>
      <c r="I1283" s="183">
        <f>ventas_b_mes1[[#This Row],[IMPORTE NETO]]*0.21</f>
        <v>0</v>
      </c>
      <c r="J1283" s="184"/>
      <c r="K1283" s="184"/>
      <c r="L1283" s="184"/>
      <c r="M1283" s="59"/>
    </row>
    <row r="1284" spans="2:13" x14ac:dyDescent="0.3">
      <c r="B1284" s="178"/>
      <c r="C1284" s="179"/>
      <c r="D1284" s="180"/>
      <c r="E1284" s="181"/>
      <c r="F1284" s="182"/>
      <c r="G1284" s="1" t="str">
        <f>IFERROR(IF(ventas_b_mes1[[#This Row],[CUIT]]="","-",VLOOKUP(ventas_b_mes1[[#This Row],[CUIT]],Lista_CUIT[#All],2,0)),"CUIT NO CARGADO")</f>
        <v>-</v>
      </c>
      <c r="H1284" s="64">
        <f>ventas_b_mes1[[#This Row],[TOTAL]]/1.21</f>
        <v>0</v>
      </c>
      <c r="I1284" s="183">
        <f>ventas_b_mes1[[#This Row],[IMPORTE NETO]]*0.21</f>
        <v>0</v>
      </c>
      <c r="J1284" s="184"/>
      <c r="K1284" s="184"/>
      <c r="L1284" s="184"/>
      <c r="M1284" s="59"/>
    </row>
    <row r="1285" spans="2:13" x14ac:dyDescent="0.3">
      <c r="B1285" s="178"/>
      <c r="C1285" s="179"/>
      <c r="D1285" s="180"/>
      <c r="E1285" s="181"/>
      <c r="F1285" s="182"/>
      <c r="G1285" s="1" t="str">
        <f>IFERROR(IF(ventas_b_mes1[[#This Row],[CUIT]]="","-",VLOOKUP(ventas_b_mes1[[#This Row],[CUIT]],Lista_CUIT[#All],2,0)),"CUIT NO CARGADO")</f>
        <v>-</v>
      </c>
      <c r="H1285" s="64">
        <f>ventas_b_mes1[[#This Row],[TOTAL]]/1.21</f>
        <v>0</v>
      </c>
      <c r="I1285" s="183">
        <f>ventas_b_mes1[[#This Row],[IMPORTE NETO]]*0.21</f>
        <v>0</v>
      </c>
      <c r="J1285" s="184"/>
      <c r="K1285" s="184"/>
      <c r="L1285" s="184"/>
      <c r="M1285" s="59"/>
    </row>
    <row r="1286" spans="2:13" x14ac:dyDescent="0.3">
      <c r="B1286" s="178"/>
      <c r="C1286" s="179"/>
      <c r="D1286" s="180"/>
      <c r="E1286" s="181"/>
      <c r="F1286" s="182"/>
      <c r="G1286" s="1" t="str">
        <f>IFERROR(IF(ventas_b_mes1[[#This Row],[CUIT]]="","-",VLOOKUP(ventas_b_mes1[[#This Row],[CUIT]],Lista_CUIT[#All],2,0)),"CUIT NO CARGADO")</f>
        <v>-</v>
      </c>
      <c r="H1286" s="64">
        <f>ventas_b_mes1[[#This Row],[TOTAL]]/1.21</f>
        <v>0</v>
      </c>
      <c r="I1286" s="183">
        <f>ventas_b_mes1[[#This Row],[IMPORTE NETO]]*0.21</f>
        <v>0</v>
      </c>
      <c r="J1286" s="184"/>
      <c r="K1286" s="184"/>
      <c r="L1286" s="184"/>
      <c r="M1286" s="59"/>
    </row>
    <row r="1287" spans="2:13" x14ac:dyDescent="0.3">
      <c r="B1287" s="178"/>
      <c r="C1287" s="179"/>
      <c r="D1287" s="180"/>
      <c r="E1287" s="181"/>
      <c r="F1287" s="182"/>
      <c r="G1287" s="1" t="str">
        <f>IFERROR(IF(ventas_b_mes1[[#This Row],[CUIT]]="","-",VLOOKUP(ventas_b_mes1[[#This Row],[CUIT]],Lista_CUIT[#All],2,0)),"CUIT NO CARGADO")</f>
        <v>-</v>
      </c>
      <c r="H1287" s="64">
        <f>ventas_b_mes1[[#This Row],[TOTAL]]/1.21</f>
        <v>0</v>
      </c>
      <c r="I1287" s="183">
        <f>ventas_b_mes1[[#This Row],[IMPORTE NETO]]*0.21</f>
        <v>0</v>
      </c>
      <c r="J1287" s="184"/>
      <c r="K1287" s="184"/>
      <c r="L1287" s="184"/>
      <c r="M1287" s="59"/>
    </row>
    <row r="1288" spans="2:13" x14ac:dyDescent="0.3">
      <c r="B1288" s="178"/>
      <c r="C1288" s="179"/>
      <c r="D1288" s="180"/>
      <c r="E1288" s="181"/>
      <c r="F1288" s="182"/>
      <c r="G1288" s="1" t="str">
        <f>IFERROR(IF(ventas_b_mes1[[#This Row],[CUIT]]="","-",VLOOKUP(ventas_b_mes1[[#This Row],[CUIT]],Lista_CUIT[#All],2,0)),"CUIT NO CARGADO")</f>
        <v>-</v>
      </c>
      <c r="H1288" s="64">
        <f>ventas_b_mes1[[#This Row],[TOTAL]]/1.21</f>
        <v>0</v>
      </c>
      <c r="I1288" s="183">
        <f>ventas_b_mes1[[#This Row],[IMPORTE NETO]]*0.21</f>
        <v>0</v>
      </c>
      <c r="J1288" s="184"/>
      <c r="K1288" s="184"/>
      <c r="L1288" s="184"/>
      <c r="M1288" s="59"/>
    </row>
    <row r="1289" spans="2:13" x14ac:dyDescent="0.3">
      <c r="B1289" s="178"/>
      <c r="C1289" s="179"/>
      <c r="D1289" s="180"/>
      <c r="E1289" s="181"/>
      <c r="F1289" s="182"/>
      <c r="G1289" s="1" t="str">
        <f>IFERROR(IF(ventas_b_mes1[[#This Row],[CUIT]]="","-",VLOOKUP(ventas_b_mes1[[#This Row],[CUIT]],Lista_CUIT[#All],2,0)),"CUIT NO CARGADO")</f>
        <v>-</v>
      </c>
      <c r="H1289" s="64">
        <f>ventas_b_mes1[[#This Row],[TOTAL]]/1.21</f>
        <v>0</v>
      </c>
      <c r="I1289" s="183">
        <f>ventas_b_mes1[[#This Row],[IMPORTE NETO]]*0.21</f>
        <v>0</v>
      </c>
      <c r="J1289" s="184"/>
      <c r="K1289" s="184"/>
      <c r="L1289" s="184"/>
      <c r="M1289" s="59"/>
    </row>
    <row r="1290" spans="2:13" x14ac:dyDescent="0.3">
      <c r="B1290" s="178"/>
      <c r="C1290" s="179"/>
      <c r="D1290" s="180"/>
      <c r="E1290" s="181"/>
      <c r="F1290" s="182"/>
      <c r="G1290" s="1" t="str">
        <f>IFERROR(IF(ventas_b_mes1[[#This Row],[CUIT]]="","-",VLOOKUP(ventas_b_mes1[[#This Row],[CUIT]],Lista_CUIT[#All],2,0)),"CUIT NO CARGADO")</f>
        <v>-</v>
      </c>
      <c r="H1290" s="64">
        <f>ventas_b_mes1[[#This Row],[TOTAL]]/1.21</f>
        <v>0</v>
      </c>
      <c r="I1290" s="183">
        <f>ventas_b_mes1[[#This Row],[IMPORTE NETO]]*0.21</f>
        <v>0</v>
      </c>
      <c r="J1290" s="184"/>
      <c r="K1290" s="184"/>
      <c r="L1290" s="184"/>
      <c r="M1290" s="59"/>
    </row>
    <row r="1291" spans="2:13" x14ac:dyDescent="0.3">
      <c r="B1291" s="178"/>
      <c r="C1291" s="179"/>
      <c r="D1291" s="180"/>
      <c r="E1291" s="181"/>
      <c r="F1291" s="182"/>
      <c r="G1291" s="1" t="str">
        <f>IFERROR(IF(ventas_b_mes1[[#This Row],[CUIT]]="","-",VLOOKUP(ventas_b_mes1[[#This Row],[CUIT]],Lista_CUIT[#All],2,0)),"CUIT NO CARGADO")</f>
        <v>-</v>
      </c>
      <c r="H1291" s="64">
        <f>ventas_b_mes1[[#This Row],[TOTAL]]/1.21</f>
        <v>0</v>
      </c>
      <c r="I1291" s="183">
        <f>ventas_b_mes1[[#This Row],[IMPORTE NETO]]*0.21</f>
        <v>0</v>
      </c>
      <c r="J1291" s="184"/>
      <c r="K1291" s="184"/>
      <c r="L1291" s="184"/>
      <c r="M1291" s="59"/>
    </row>
    <row r="1292" spans="2:13" x14ac:dyDescent="0.3">
      <c r="B1292" s="178"/>
      <c r="C1292" s="179"/>
      <c r="D1292" s="180"/>
      <c r="E1292" s="181"/>
      <c r="F1292" s="182"/>
      <c r="G1292" s="1" t="str">
        <f>IFERROR(IF(ventas_b_mes1[[#This Row],[CUIT]]="","-",VLOOKUP(ventas_b_mes1[[#This Row],[CUIT]],Lista_CUIT[#All],2,0)),"CUIT NO CARGADO")</f>
        <v>-</v>
      </c>
      <c r="H1292" s="64">
        <f>ventas_b_mes1[[#This Row],[TOTAL]]/1.21</f>
        <v>0</v>
      </c>
      <c r="I1292" s="183">
        <f>ventas_b_mes1[[#This Row],[IMPORTE NETO]]*0.21</f>
        <v>0</v>
      </c>
      <c r="J1292" s="184"/>
      <c r="K1292" s="184"/>
      <c r="L1292" s="184"/>
      <c r="M1292" s="59"/>
    </row>
    <row r="1293" spans="2:13" x14ac:dyDescent="0.3">
      <c r="B1293" s="178"/>
      <c r="C1293" s="179"/>
      <c r="D1293" s="180"/>
      <c r="E1293" s="181"/>
      <c r="F1293" s="182"/>
      <c r="G1293" s="1" t="str">
        <f>IFERROR(IF(ventas_b_mes1[[#This Row],[CUIT]]="","-",VLOOKUP(ventas_b_mes1[[#This Row],[CUIT]],Lista_CUIT[#All],2,0)),"CUIT NO CARGADO")</f>
        <v>-</v>
      </c>
      <c r="H1293" s="64">
        <f>ventas_b_mes1[[#This Row],[TOTAL]]/1.21</f>
        <v>0</v>
      </c>
      <c r="I1293" s="183">
        <f>ventas_b_mes1[[#This Row],[IMPORTE NETO]]*0.21</f>
        <v>0</v>
      </c>
      <c r="J1293" s="184"/>
      <c r="K1293" s="184"/>
      <c r="L1293" s="184"/>
      <c r="M1293" s="59"/>
    </row>
    <row r="1294" spans="2:13" x14ac:dyDescent="0.3">
      <c r="B1294" s="178"/>
      <c r="C1294" s="179"/>
      <c r="D1294" s="180"/>
      <c r="E1294" s="181"/>
      <c r="F1294" s="182"/>
      <c r="G1294" s="1" t="str">
        <f>IFERROR(IF(ventas_b_mes1[[#This Row],[CUIT]]="","-",VLOOKUP(ventas_b_mes1[[#This Row],[CUIT]],Lista_CUIT[#All],2,0)),"CUIT NO CARGADO")</f>
        <v>-</v>
      </c>
      <c r="H1294" s="64">
        <f>ventas_b_mes1[[#This Row],[TOTAL]]/1.21</f>
        <v>0</v>
      </c>
      <c r="I1294" s="183">
        <f>ventas_b_mes1[[#This Row],[IMPORTE NETO]]*0.21</f>
        <v>0</v>
      </c>
      <c r="J1294" s="184"/>
      <c r="K1294" s="184"/>
      <c r="L1294" s="184"/>
      <c r="M1294" s="59"/>
    </row>
    <row r="1295" spans="2:13" x14ac:dyDescent="0.3">
      <c r="B1295" s="178"/>
      <c r="C1295" s="179"/>
      <c r="D1295" s="180"/>
      <c r="E1295" s="181"/>
      <c r="F1295" s="182"/>
      <c r="G1295" s="1" t="str">
        <f>IFERROR(IF(ventas_b_mes1[[#This Row],[CUIT]]="","-",VLOOKUP(ventas_b_mes1[[#This Row],[CUIT]],Lista_CUIT[#All],2,0)),"CUIT NO CARGADO")</f>
        <v>-</v>
      </c>
      <c r="H1295" s="64">
        <f>ventas_b_mes1[[#This Row],[TOTAL]]/1.21</f>
        <v>0</v>
      </c>
      <c r="I1295" s="183">
        <f>ventas_b_mes1[[#This Row],[IMPORTE NETO]]*0.21</f>
        <v>0</v>
      </c>
      <c r="J1295" s="184"/>
      <c r="K1295" s="184"/>
      <c r="L1295" s="184"/>
      <c r="M1295" s="59"/>
    </row>
    <row r="1296" spans="2:13" x14ac:dyDescent="0.3">
      <c r="B1296" s="178"/>
      <c r="C1296" s="179"/>
      <c r="D1296" s="180"/>
      <c r="E1296" s="181"/>
      <c r="F1296" s="182"/>
      <c r="G1296" s="1" t="str">
        <f>IFERROR(IF(ventas_b_mes1[[#This Row],[CUIT]]="","-",VLOOKUP(ventas_b_mes1[[#This Row],[CUIT]],Lista_CUIT[#All],2,0)),"CUIT NO CARGADO")</f>
        <v>-</v>
      </c>
      <c r="H1296" s="64">
        <f>ventas_b_mes1[[#This Row],[TOTAL]]/1.21</f>
        <v>0</v>
      </c>
      <c r="I1296" s="183">
        <f>ventas_b_mes1[[#This Row],[IMPORTE NETO]]*0.21</f>
        <v>0</v>
      </c>
      <c r="J1296" s="184"/>
      <c r="K1296" s="184"/>
      <c r="L1296" s="184"/>
      <c r="M1296" s="59"/>
    </row>
    <row r="1297" spans="2:13" x14ac:dyDescent="0.3">
      <c r="B1297" s="178"/>
      <c r="C1297" s="179"/>
      <c r="D1297" s="180"/>
      <c r="E1297" s="181"/>
      <c r="F1297" s="182"/>
      <c r="G1297" s="1" t="str">
        <f>IFERROR(IF(ventas_b_mes1[[#This Row],[CUIT]]="","-",VLOOKUP(ventas_b_mes1[[#This Row],[CUIT]],Lista_CUIT[#All],2,0)),"CUIT NO CARGADO")</f>
        <v>-</v>
      </c>
      <c r="H1297" s="64">
        <f>ventas_b_mes1[[#This Row],[TOTAL]]/1.21</f>
        <v>0</v>
      </c>
      <c r="I1297" s="183">
        <f>ventas_b_mes1[[#This Row],[IMPORTE NETO]]*0.21</f>
        <v>0</v>
      </c>
      <c r="J1297" s="184"/>
      <c r="K1297" s="184"/>
      <c r="L1297" s="184"/>
      <c r="M1297" s="59"/>
    </row>
    <row r="1298" spans="2:13" x14ac:dyDescent="0.3">
      <c r="B1298" s="178"/>
      <c r="C1298" s="179"/>
      <c r="D1298" s="180"/>
      <c r="E1298" s="181"/>
      <c r="F1298" s="182"/>
      <c r="G1298" s="1" t="str">
        <f>IFERROR(IF(ventas_b_mes1[[#This Row],[CUIT]]="","-",VLOOKUP(ventas_b_mes1[[#This Row],[CUIT]],Lista_CUIT[#All],2,0)),"CUIT NO CARGADO")</f>
        <v>-</v>
      </c>
      <c r="H1298" s="64">
        <f>ventas_b_mes1[[#This Row],[TOTAL]]/1.21</f>
        <v>0</v>
      </c>
      <c r="I1298" s="183">
        <f>ventas_b_mes1[[#This Row],[IMPORTE NETO]]*0.21</f>
        <v>0</v>
      </c>
      <c r="J1298" s="184"/>
      <c r="K1298" s="184"/>
      <c r="L1298" s="184"/>
      <c r="M1298" s="59"/>
    </row>
    <row r="1299" spans="2:13" x14ac:dyDescent="0.3">
      <c r="B1299" s="178"/>
      <c r="C1299" s="179"/>
      <c r="D1299" s="180"/>
      <c r="E1299" s="181"/>
      <c r="F1299" s="182"/>
      <c r="G1299" s="1" t="str">
        <f>IFERROR(IF(ventas_b_mes1[[#This Row],[CUIT]]="","-",VLOOKUP(ventas_b_mes1[[#This Row],[CUIT]],Lista_CUIT[#All],2,0)),"CUIT NO CARGADO")</f>
        <v>-</v>
      </c>
      <c r="H1299" s="64">
        <f>ventas_b_mes1[[#This Row],[TOTAL]]/1.21</f>
        <v>0</v>
      </c>
      <c r="I1299" s="183">
        <f>ventas_b_mes1[[#This Row],[IMPORTE NETO]]*0.21</f>
        <v>0</v>
      </c>
      <c r="J1299" s="184"/>
      <c r="K1299" s="184"/>
      <c r="L1299" s="184"/>
      <c r="M1299" s="59"/>
    </row>
    <row r="1300" spans="2:13" x14ac:dyDescent="0.3">
      <c r="B1300" s="178"/>
      <c r="C1300" s="179"/>
      <c r="D1300" s="180"/>
      <c r="E1300" s="181"/>
      <c r="F1300" s="182"/>
      <c r="G1300" s="1" t="str">
        <f>IFERROR(IF(ventas_b_mes1[[#This Row],[CUIT]]="","-",VLOOKUP(ventas_b_mes1[[#This Row],[CUIT]],Lista_CUIT[#All],2,0)),"CUIT NO CARGADO")</f>
        <v>-</v>
      </c>
      <c r="H1300" s="64">
        <f>ventas_b_mes1[[#This Row],[TOTAL]]/1.21</f>
        <v>0</v>
      </c>
      <c r="I1300" s="183">
        <f>ventas_b_mes1[[#This Row],[IMPORTE NETO]]*0.21</f>
        <v>0</v>
      </c>
      <c r="J1300" s="184"/>
      <c r="K1300" s="184"/>
      <c r="L1300" s="184"/>
      <c r="M1300" s="59"/>
    </row>
    <row r="1301" spans="2:13" x14ac:dyDescent="0.3">
      <c r="B1301" s="178"/>
      <c r="C1301" s="179"/>
      <c r="D1301" s="180"/>
      <c r="E1301" s="181"/>
      <c r="F1301" s="182"/>
      <c r="G1301" s="1" t="str">
        <f>IFERROR(IF(ventas_b_mes1[[#This Row],[CUIT]]="","-",VLOOKUP(ventas_b_mes1[[#This Row],[CUIT]],Lista_CUIT[#All],2,0)),"CUIT NO CARGADO")</f>
        <v>-</v>
      </c>
      <c r="H1301" s="64">
        <f>ventas_b_mes1[[#This Row],[TOTAL]]/1.21</f>
        <v>0</v>
      </c>
      <c r="I1301" s="183">
        <f>ventas_b_mes1[[#This Row],[IMPORTE NETO]]*0.21</f>
        <v>0</v>
      </c>
      <c r="J1301" s="184"/>
      <c r="K1301" s="184"/>
      <c r="L1301" s="184"/>
      <c r="M1301" s="59"/>
    </row>
    <row r="1302" spans="2:13" x14ac:dyDescent="0.3">
      <c r="B1302" s="178"/>
      <c r="C1302" s="179"/>
      <c r="D1302" s="180"/>
      <c r="E1302" s="181"/>
      <c r="F1302" s="182"/>
      <c r="G1302" s="1" t="str">
        <f>IFERROR(IF(ventas_b_mes1[[#This Row],[CUIT]]="","-",VLOOKUP(ventas_b_mes1[[#This Row],[CUIT]],Lista_CUIT[#All],2,0)),"CUIT NO CARGADO")</f>
        <v>-</v>
      </c>
      <c r="H1302" s="64">
        <f>ventas_b_mes1[[#This Row],[TOTAL]]/1.21</f>
        <v>0</v>
      </c>
      <c r="I1302" s="183">
        <f>ventas_b_mes1[[#This Row],[IMPORTE NETO]]*0.21</f>
        <v>0</v>
      </c>
      <c r="J1302" s="184"/>
      <c r="K1302" s="184"/>
      <c r="L1302" s="184"/>
      <c r="M1302" s="59"/>
    </row>
    <row r="1303" spans="2:13" x14ac:dyDescent="0.3">
      <c r="B1303" s="178"/>
      <c r="C1303" s="179"/>
      <c r="D1303" s="180"/>
      <c r="E1303" s="181"/>
      <c r="F1303" s="182"/>
      <c r="G1303" s="1" t="str">
        <f>IFERROR(IF(ventas_b_mes1[[#This Row],[CUIT]]="","-",VLOOKUP(ventas_b_mes1[[#This Row],[CUIT]],Lista_CUIT[#All],2,0)),"CUIT NO CARGADO")</f>
        <v>-</v>
      </c>
      <c r="H1303" s="64">
        <f>ventas_b_mes1[[#This Row],[TOTAL]]/1.21</f>
        <v>0</v>
      </c>
      <c r="I1303" s="183">
        <f>ventas_b_mes1[[#This Row],[IMPORTE NETO]]*0.21</f>
        <v>0</v>
      </c>
      <c r="J1303" s="184"/>
      <c r="K1303" s="184"/>
      <c r="L1303" s="184"/>
      <c r="M1303" s="59"/>
    </row>
    <row r="1304" spans="2:13" x14ac:dyDescent="0.3">
      <c r="B1304" s="178"/>
      <c r="C1304" s="179"/>
      <c r="D1304" s="180"/>
      <c r="E1304" s="181"/>
      <c r="F1304" s="182"/>
      <c r="G1304" s="1" t="str">
        <f>IFERROR(IF(ventas_b_mes1[[#This Row],[CUIT]]="","-",VLOOKUP(ventas_b_mes1[[#This Row],[CUIT]],Lista_CUIT[#All],2,0)),"CUIT NO CARGADO")</f>
        <v>-</v>
      </c>
      <c r="H1304" s="64">
        <f>ventas_b_mes1[[#This Row],[TOTAL]]/1.21</f>
        <v>0</v>
      </c>
      <c r="I1304" s="183">
        <f>ventas_b_mes1[[#This Row],[IMPORTE NETO]]*0.21</f>
        <v>0</v>
      </c>
      <c r="J1304" s="184"/>
      <c r="K1304" s="184"/>
      <c r="L1304" s="184"/>
      <c r="M1304" s="59"/>
    </row>
    <row r="1305" spans="2:13" x14ac:dyDescent="0.3">
      <c r="B1305" s="178"/>
      <c r="C1305" s="179"/>
      <c r="D1305" s="180"/>
      <c r="E1305" s="181"/>
      <c r="F1305" s="182"/>
      <c r="G1305" s="1" t="str">
        <f>IFERROR(IF(ventas_b_mes1[[#This Row],[CUIT]]="","-",VLOOKUP(ventas_b_mes1[[#This Row],[CUIT]],Lista_CUIT[#All],2,0)),"CUIT NO CARGADO")</f>
        <v>-</v>
      </c>
      <c r="H1305" s="64">
        <f>ventas_b_mes1[[#This Row],[TOTAL]]/1.21</f>
        <v>0</v>
      </c>
      <c r="I1305" s="183">
        <f>ventas_b_mes1[[#This Row],[IMPORTE NETO]]*0.21</f>
        <v>0</v>
      </c>
      <c r="J1305" s="184"/>
      <c r="K1305" s="184"/>
      <c r="L1305" s="184"/>
      <c r="M1305" s="59"/>
    </row>
    <row r="1306" spans="2:13" x14ac:dyDescent="0.3">
      <c r="B1306" s="178"/>
      <c r="C1306" s="179"/>
      <c r="D1306" s="180"/>
      <c r="E1306" s="181"/>
      <c r="F1306" s="182"/>
      <c r="G1306" s="1" t="str">
        <f>IFERROR(IF(ventas_b_mes1[[#This Row],[CUIT]]="","-",VLOOKUP(ventas_b_mes1[[#This Row],[CUIT]],Lista_CUIT[#All],2,0)),"CUIT NO CARGADO")</f>
        <v>-</v>
      </c>
      <c r="H1306" s="64">
        <f>ventas_b_mes1[[#This Row],[TOTAL]]/1.21</f>
        <v>0</v>
      </c>
      <c r="I1306" s="183">
        <f>ventas_b_mes1[[#This Row],[IMPORTE NETO]]*0.21</f>
        <v>0</v>
      </c>
      <c r="J1306" s="184"/>
      <c r="K1306" s="184"/>
      <c r="L1306" s="184"/>
      <c r="M1306" s="59"/>
    </row>
    <row r="1307" spans="2:13" x14ac:dyDescent="0.3">
      <c r="B1307" s="178"/>
      <c r="C1307" s="179"/>
      <c r="D1307" s="180"/>
      <c r="E1307" s="181"/>
      <c r="F1307" s="182"/>
      <c r="G1307" s="1" t="str">
        <f>IFERROR(IF(ventas_b_mes1[[#This Row],[CUIT]]="","-",VLOOKUP(ventas_b_mes1[[#This Row],[CUIT]],Lista_CUIT[#All],2,0)),"CUIT NO CARGADO")</f>
        <v>-</v>
      </c>
      <c r="H1307" s="64">
        <f>ventas_b_mes1[[#This Row],[TOTAL]]/1.21</f>
        <v>0</v>
      </c>
      <c r="I1307" s="183">
        <f>ventas_b_mes1[[#This Row],[IMPORTE NETO]]*0.21</f>
        <v>0</v>
      </c>
      <c r="J1307" s="184"/>
      <c r="K1307" s="184"/>
      <c r="L1307" s="184"/>
      <c r="M1307" s="59"/>
    </row>
    <row r="1308" spans="2:13" x14ac:dyDescent="0.3">
      <c r="B1308" s="178"/>
      <c r="C1308" s="179"/>
      <c r="D1308" s="180"/>
      <c r="E1308" s="181"/>
      <c r="F1308" s="182"/>
      <c r="G1308" s="1" t="str">
        <f>IFERROR(IF(ventas_b_mes1[[#This Row],[CUIT]]="","-",VLOOKUP(ventas_b_mes1[[#This Row],[CUIT]],Lista_CUIT[#All],2,0)),"CUIT NO CARGADO")</f>
        <v>-</v>
      </c>
      <c r="H1308" s="64">
        <f>ventas_b_mes1[[#This Row],[TOTAL]]/1.21</f>
        <v>0</v>
      </c>
      <c r="I1308" s="183">
        <f>ventas_b_mes1[[#This Row],[IMPORTE NETO]]*0.21</f>
        <v>0</v>
      </c>
      <c r="J1308" s="184"/>
      <c r="K1308" s="184"/>
      <c r="L1308" s="184"/>
      <c r="M1308" s="59"/>
    </row>
    <row r="1309" spans="2:13" x14ac:dyDescent="0.3">
      <c r="B1309" s="178"/>
      <c r="C1309" s="179"/>
      <c r="D1309" s="180"/>
      <c r="E1309" s="181"/>
      <c r="F1309" s="182"/>
      <c r="G1309" s="1" t="str">
        <f>IFERROR(IF(ventas_b_mes1[[#This Row],[CUIT]]="","-",VLOOKUP(ventas_b_mes1[[#This Row],[CUIT]],Lista_CUIT[#All],2,0)),"CUIT NO CARGADO")</f>
        <v>-</v>
      </c>
      <c r="H1309" s="64">
        <f>ventas_b_mes1[[#This Row],[TOTAL]]/1.21</f>
        <v>0</v>
      </c>
      <c r="I1309" s="183">
        <f>ventas_b_mes1[[#This Row],[IMPORTE NETO]]*0.21</f>
        <v>0</v>
      </c>
      <c r="J1309" s="184"/>
      <c r="K1309" s="184"/>
      <c r="L1309" s="184"/>
      <c r="M1309" s="59"/>
    </row>
    <row r="1310" spans="2:13" x14ac:dyDescent="0.3">
      <c r="B1310" s="178"/>
      <c r="C1310" s="179"/>
      <c r="D1310" s="180"/>
      <c r="E1310" s="181"/>
      <c r="F1310" s="182"/>
      <c r="G1310" s="1" t="str">
        <f>IFERROR(IF(ventas_b_mes1[[#This Row],[CUIT]]="","-",VLOOKUP(ventas_b_mes1[[#This Row],[CUIT]],Lista_CUIT[#All],2,0)),"CUIT NO CARGADO")</f>
        <v>-</v>
      </c>
      <c r="H1310" s="64">
        <f>ventas_b_mes1[[#This Row],[TOTAL]]/1.21</f>
        <v>0</v>
      </c>
      <c r="I1310" s="183">
        <f>ventas_b_mes1[[#This Row],[IMPORTE NETO]]*0.21</f>
        <v>0</v>
      </c>
      <c r="J1310" s="184"/>
      <c r="K1310" s="184"/>
      <c r="L1310" s="184"/>
      <c r="M1310" s="59"/>
    </row>
    <row r="1311" spans="2:13" x14ac:dyDescent="0.3">
      <c r="B1311" s="178"/>
      <c r="C1311" s="179"/>
      <c r="D1311" s="180"/>
      <c r="E1311" s="181"/>
      <c r="F1311" s="182"/>
      <c r="G1311" s="1" t="str">
        <f>IFERROR(IF(ventas_b_mes1[[#This Row],[CUIT]]="","-",VLOOKUP(ventas_b_mes1[[#This Row],[CUIT]],Lista_CUIT[#All],2,0)),"CUIT NO CARGADO")</f>
        <v>-</v>
      </c>
      <c r="H1311" s="64">
        <f>ventas_b_mes1[[#This Row],[TOTAL]]/1.21</f>
        <v>0</v>
      </c>
      <c r="I1311" s="183">
        <f>ventas_b_mes1[[#This Row],[IMPORTE NETO]]*0.21</f>
        <v>0</v>
      </c>
      <c r="J1311" s="184"/>
      <c r="K1311" s="184"/>
      <c r="L1311" s="184"/>
      <c r="M1311" s="59"/>
    </row>
    <row r="1312" spans="2:13" x14ac:dyDescent="0.3">
      <c r="B1312" s="178"/>
      <c r="C1312" s="179"/>
      <c r="D1312" s="180"/>
      <c r="E1312" s="181"/>
      <c r="F1312" s="182"/>
      <c r="G1312" s="1" t="str">
        <f>IFERROR(IF(ventas_b_mes1[[#This Row],[CUIT]]="","-",VLOOKUP(ventas_b_mes1[[#This Row],[CUIT]],Lista_CUIT[#All],2,0)),"CUIT NO CARGADO")</f>
        <v>-</v>
      </c>
      <c r="H1312" s="64">
        <f>ventas_b_mes1[[#This Row],[TOTAL]]/1.21</f>
        <v>0</v>
      </c>
      <c r="I1312" s="183">
        <f>ventas_b_mes1[[#This Row],[IMPORTE NETO]]*0.21</f>
        <v>0</v>
      </c>
      <c r="J1312" s="184"/>
      <c r="K1312" s="184"/>
      <c r="L1312" s="184"/>
      <c r="M1312" s="59"/>
    </row>
    <row r="1313" spans="2:13" x14ac:dyDescent="0.3">
      <c r="B1313" s="178"/>
      <c r="C1313" s="179"/>
      <c r="D1313" s="180"/>
      <c r="E1313" s="181"/>
      <c r="F1313" s="182"/>
      <c r="G1313" s="1" t="str">
        <f>IFERROR(IF(ventas_b_mes1[[#This Row],[CUIT]]="","-",VLOOKUP(ventas_b_mes1[[#This Row],[CUIT]],Lista_CUIT[#All],2,0)),"CUIT NO CARGADO")</f>
        <v>-</v>
      </c>
      <c r="H1313" s="64">
        <f>ventas_b_mes1[[#This Row],[TOTAL]]/1.21</f>
        <v>0</v>
      </c>
      <c r="I1313" s="183">
        <f>ventas_b_mes1[[#This Row],[IMPORTE NETO]]*0.21</f>
        <v>0</v>
      </c>
      <c r="J1313" s="184"/>
      <c r="K1313" s="184"/>
      <c r="L1313" s="184"/>
      <c r="M1313" s="59"/>
    </row>
    <row r="1314" spans="2:13" x14ac:dyDescent="0.3">
      <c r="B1314" s="178"/>
      <c r="C1314" s="179"/>
      <c r="D1314" s="180"/>
      <c r="E1314" s="181"/>
      <c r="F1314" s="182"/>
      <c r="G1314" s="1" t="str">
        <f>IFERROR(IF(ventas_b_mes1[[#This Row],[CUIT]]="","-",VLOOKUP(ventas_b_mes1[[#This Row],[CUIT]],Lista_CUIT[#All],2,0)),"CUIT NO CARGADO")</f>
        <v>-</v>
      </c>
      <c r="H1314" s="64">
        <f>ventas_b_mes1[[#This Row],[TOTAL]]/1.21</f>
        <v>0</v>
      </c>
      <c r="I1314" s="183">
        <f>ventas_b_mes1[[#This Row],[IMPORTE NETO]]*0.21</f>
        <v>0</v>
      </c>
      <c r="J1314" s="184"/>
      <c r="K1314" s="184"/>
      <c r="L1314" s="184"/>
      <c r="M1314" s="59"/>
    </row>
    <row r="1315" spans="2:13" x14ac:dyDescent="0.3">
      <c r="B1315" s="178"/>
      <c r="C1315" s="179"/>
      <c r="D1315" s="180"/>
      <c r="E1315" s="181"/>
      <c r="F1315" s="182"/>
      <c r="G1315" s="1" t="str">
        <f>IFERROR(IF(ventas_b_mes1[[#This Row],[CUIT]]="","-",VLOOKUP(ventas_b_mes1[[#This Row],[CUIT]],Lista_CUIT[#All],2,0)),"CUIT NO CARGADO")</f>
        <v>-</v>
      </c>
      <c r="H1315" s="64">
        <f>ventas_b_mes1[[#This Row],[TOTAL]]/1.21</f>
        <v>0</v>
      </c>
      <c r="I1315" s="183">
        <f>ventas_b_mes1[[#This Row],[IMPORTE NETO]]*0.21</f>
        <v>0</v>
      </c>
      <c r="J1315" s="184"/>
      <c r="K1315" s="184"/>
      <c r="L1315" s="184"/>
      <c r="M1315" s="59"/>
    </row>
    <row r="1316" spans="2:13" x14ac:dyDescent="0.3">
      <c r="B1316" s="178"/>
      <c r="C1316" s="179"/>
      <c r="D1316" s="180"/>
      <c r="E1316" s="181"/>
      <c r="F1316" s="182"/>
      <c r="G1316" s="1" t="str">
        <f>IFERROR(IF(ventas_b_mes1[[#This Row],[CUIT]]="","-",VLOOKUP(ventas_b_mes1[[#This Row],[CUIT]],Lista_CUIT[#All],2,0)),"CUIT NO CARGADO")</f>
        <v>-</v>
      </c>
      <c r="H1316" s="64">
        <f>ventas_b_mes1[[#This Row],[TOTAL]]/1.21</f>
        <v>0</v>
      </c>
      <c r="I1316" s="183">
        <f>ventas_b_mes1[[#This Row],[IMPORTE NETO]]*0.21</f>
        <v>0</v>
      </c>
      <c r="J1316" s="184"/>
      <c r="K1316" s="184"/>
      <c r="L1316" s="184"/>
      <c r="M1316" s="59"/>
    </row>
    <row r="1317" spans="2:13" x14ac:dyDescent="0.3">
      <c r="B1317" s="178"/>
      <c r="C1317" s="179"/>
      <c r="D1317" s="180"/>
      <c r="E1317" s="181"/>
      <c r="F1317" s="182"/>
      <c r="G1317" s="1" t="str">
        <f>IFERROR(IF(ventas_b_mes1[[#This Row],[CUIT]]="","-",VLOOKUP(ventas_b_mes1[[#This Row],[CUIT]],Lista_CUIT[#All],2,0)),"CUIT NO CARGADO")</f>
        <v>-</v>
      </c>
      <c r="H1317" s="64">
        <f>ventas_b_mes1[[#This Row],[TOTAL]]/1.21</f>
        <v>0</v>
      </c>
      <c r="I1317" s="183">
        <f>ventas_b_mes1[[#This Row],[IMPORTE NETO]]*0.21</f>
        <v>0</v>
      </c>
      <c r="J1317" s="184"/>
      <c r="K1317" s="184"/>
      <c r="L1317" s="184"/>
      <c r="M1317" s="59"/>
    </row>
    <row r="1318" spans="2:13" x14ac:dyDescent="0.3">
      <c r="B1318" s="178"/>
      <c r="C1318" s="179"/>
      <c r="D1318" s="180"/>
      <c r="E1318" s="181"/>
      <c r="F1318" s="182"/>
      <c r="G1318" s="1" t="str">
        <f>IFERROR(IF(ventas_b_mes1[[#This Row],[CUIT]]="","-",VLOOKUP(ventas_b_mes1[[#This Row],[CUIT]],Lista_CUIT[#All],2,0)),"CUIT NO CARGADO")</f>
        <v>-</v>
      </c>
      <c r="H1318" s="64">
        <f>ventas_b_mes1[[#This Row],[TOTAL]]/1.21</f>
        <v>0</v>
      </c>
      <c r="I1318" s="183">
        <f>ventas_b_mes1[[#This Row],[IMPORTE NETO]]*0.21</f>
        <v>0</v>
      </c>
      <c r="J1318" s="184"/>
      <c r="K1318" s="184"/>
      <c r="L1318" s="184"/>
      <c r="M1318" s="59"/>
    </row>
    <row r="1319" spans="2:13" x14ac:dyDescent="0.3">
      <c r="B1319" s="178"/>
      <c r="C1319" s="179"/>
      <c r="D1319" s="180"/>
      <c r="E1319" s="181"/>
      <c r="F1319" s="182"/>
      <c r="G1319" s="1" t="str">
        <f>IFERROR(IF(ventas_b_mes1[[#This Row],[CUIT]]="","-",VLOOKUP(ventas_b_mes1[[#This Row],[CUIT]],Lista_CUIT[#All],2,0)),"CUIT NO CARGADO")</f>
        <v>-</v>
      </c>
      <c r="H1319" s="64">
        <f>ventas_b_mes1[[#This Row],[TOTAL]]/1.21</f>
        <v>0</v>
      </c>
      <c r="I1319" s="183">
        <f>ventas_b_mes1[[#This Row],[IMPORTE NETO]]*0.21</f>
        <v>0</v>
      </c>
      <c r="J1319" s="184"/>
      <c r="K1319" s="184"/>
      <c r="L1319" s="184"/>
      <c r="M1319" s="59"/>
    </row>
    <row r="1320" spans="2:13" x14ac:dyDescent="0.3">
      <c r="B1320" s="178"/>
      <c r="C1320" s="179"/>
      <c r="D1320" s="180"/>
      <c r="E1320" s="181"/>
      <c r="F1320" s="182"/>
      <c r="G1320" s="1" t="str">
        <f>IFERROR(IF(ventas_b_mes1[[#This Row],[CUIT]]="","-",VLOOKUP(ventas_b_mes1[[#This Row],[CUIT]],Lista_CUIT[#All],2,0)),"CUIT NO CARGADO")</f>
        <v>-</v>
      </c>
      <c r="H1320" s="64">
        <f>ventas_b_mes1[[#This Row],[TOTAL]]/1.21</f>
        <v>0</v>
      </c>
      <c r="I1320" s="183">
        <f>ventas_b_mes1[[#This Row],[IMPORTE NETO]]*0.21</f>
        <v>0</v>
      </c>
      <c r="J1320" s="184"/>
      <c r="K1320" s="184"/>
      <c r="L1320" s="184"/>
      <c r="M1320" s="59"/>
    </row>
    <row r="1321" spans="2:13" x14ac:dyDescent="0.3">
      <c r="B1321" s="178"/>
      <c r="C1321" s="179"/>
      <c r="D1321" s="180"/>
      <c r="E1321" s="181"/>
      <c r="F1321" s="182"/>
      <c r="G1321" s="1" t="str">
        <f>IFERROR(IF(ventas_b_mes1[[#This Row],[CUIT]]="","-",VLOOKUP(ventas_b_mes1[[#This Row],[CUIT]],Lista_CUIT[#All],2,0)),"CUIT NO CARGADO")</f>
        <v>-</v>
      </c>
      <c r="H1321" s="64">
        <f>ventas_b_mes1[[#This Row],[TOTAL]]/1.21</f>
        <v>0</v>
      </c>
      <c r="I1321" s="183">
        <f>ventas_b_mes1[[#This Row],[IMPORTE NETO]]*0.21</f>
        <v>0</v>
      </c>
      <c r="J1321" s="184"/>
      <c r="K1321" s="184"/>
      <c r="L1321" s="184"/>
      <c r="M1321" s="59"/>
    </row>
    <row r="1322" spans="2:13" x14ac:dyDescent="0.3">
      <c r="B1322" s="178"/>
      <c r="C1322" s="179"/>
      <c r="D1322" s="180"/>
      <c r="E1322" s="181"/>
      <c r="F1322" s="182"/>
      <c r="G1322" s="1" t="str">
        <f>IFERROR(IF(ventas_b_mes1[[#This Row],[CUIT]]="","-",VLOOKUP(ventas_b_mes1[[#This Row],[CUIT]],Lista_CUIT[#All],2,0)),"CUIT NO CARGADO")</f>
        <v>-</v>
      </c>
      <c r="H1322" s="64">
        <f>ventas_b_mes1[[#This Row],[TOTAL]]/1.21</f>
        <v>0</v>
      </c>
      <c r="I1322" s="183">
        <f>ventas_b_mes1[[#This Row],[IMPORTE NETO]]*0.21</f>
        <v>0</v>
      </c>
      <c r="J1322" s="184"/>
      <c r="K1322" s="184"/>
      <c r="L1322" s="184"/>
      <c r="M1322" s="59"/>
    </row>
    <row r="1323" spans="2:13" x14ac:dyDescent="0.3">
      <c r="B1323" s="178"/>
      <c r="C1323" s="179"/>
      <c r="D1323" s="180"/>
      <c r="E1323" s="181"/>
      <c r="F1323" s="182"/>
      <c r="G1323" s="1" t="str">
        <f>IFERROR(IF(ventas_b_mes1[[#This Row],[CUIT]]="","-",VLOOKUP(ventas_b_mes1[[#This Row],[CUIT]],Lista_CUIT[#All],2,0)),"CUIT NO CARGADO")</f>
        <v>-</v>
      </c>
      <c r="H1323" s="64">
        <f>ventas_b_mes1[[#This Row],[TOTAL]]/1.21</f>
        <v>0</v>
      </c>
      <c r="I1323" s="183">
        <f>ventas_b_mes1[[#This Row],[IMPORTE NETO]]*0.21</f>
        <v>0</v>
      </c>
      <c r="J1323" s="184"/>
      <c r="K1323" s="184"/>
      <c r="L1323" s="184"/>
      <c r="M1323" s="59"/>
    </row>
    <row r="1324" spans="2:13" x14ac:dyDescent="0.3">
      <c r="B1324" s="178"/>
      <c r="C1324" s="179"/>
      <c r="D1324" s="180"/>
      <c r="E1324" s="181"/>
      <c r="F1324" s="182"/>
      <c r="G1324" s="1" t="str">
        <f>IFERROR(IF(ventas_b_mes1[[#This Row],[CUIT]]="","-",VLOOKUP(ventas_b_mes1[[#This Row],[CUIT]],Lista_CUIT[#All],2,0)),"CUIT NO CARGADO")</f>
        <v>-</v>
      </c>
      <c r="H1324" s="64">
        <f>ventas_b_mes1[[#This Row],[TOTAL]]/1.21</f>
        <v>0</v>
      </c>
      <c r="I1324" s="183">
        <f>ventas_b_mes1[[#This Row],[IMPORTE NETO]]*0.21</f>
        <v>0</v>
      </c>
      <c r="J1324" s="184"/>
      <c r="K1324" s="184"/>
      <c r="L1324" s="184"/>
      <c r="M1324" s="59"/>
    </row>
    <row r="1325" spans="2:13" x14ac:dyDescent="0.3">
      <c r="B1325" s="178"/>
      <c r="C1325" s="179"/>
      <c r="D1325" s="180"/>
      <c r="E1325" s="181"/>
      <c r="F1325" s="182"/>
      <c r="G1325" s="1" t="str">
        <f>IFERROR(IF(ventas_b_mes1[[#This Row],[CUIT]]="","-",VLOOKUP(ventas_b_mes1[[#This Row],[CUIT]],Lista_CUIT[#All],2,0)),"CUIT NO CARGADO")</f>
        <v>-</v>
      </c>
      <c r="H1325" s="64">
        <f>ventas_b_mes1[[#This Row],[TOTAL]]/1.21</f>
        <v>0</v>
      </c>
      <c r="I1325" s="183">
        <f>ventas_b_mes1[[#This Row],[IMPORTE NETO]]*0.21</f>
        <v>0</v>
      </c>
      <c r="J1325" s="184"/>
      <c r="K1325" s="184"/>
      <c r="L1325" s="184"/>
      <c r="M1325" s="59"/>
    </row>
    <row r="1326" spans="2:13" x14ac:dyDescent="0.3">
      <c r="B1326" s="178"/>
      <c r="C1326" s="179"/>
      <c r="D1326" s="180"/>
      <c r="E1326" s="181"/>
      <c r="F1326" s="182"/>
      <c r="G1326" s="1" t="str">
        <f>IFERROR(IF(ventas_b_mes1[[#This Row],[CUIT]]="","-",VLOOKUP(ventas_b_mes1[[#This Row],[CUIT]],Lista_CUIT[#All],2,0)),"CUIT NO CARGADO")</f>
        <v>-</v>
      </c>
      <c r="H1326" s="64">
        <f>ventas_b_mes1[[#This Row],[TOTAL]]/1.21</f>
        <v>0</v>
      </c>
      <c r="I1326" s="183">
        <f>ventas_b_mes1[[#This Row],[IMPORTE NETO]]*0.21</f>
        <v>0</v>
      </c>
      <c r="J1326" s="184"/>
      <c r="K1326" s="184"/>
      <c r="L1326" s="184"/>
      <c r="M1326" s="59"/>
    </row>
    <row r="1327" spans="2:13" x14ac:dyDescent="0.3">
      <c r="B1327" s="178"/>
      <c r="C1327" s="179"/>
      <c r="D1327" s="180"/>
      <c r="E1327" s="181"/>
      <c r="F1327" s="182"/>
      <c r="G1327" s="1" t="str">
        <f>IFERROR(IF(ventas_b_mes1[[#This Row],[CUIT]]="","-",VLOOKUP(ventas_b_mes1[[#This Row],[CUIT]],Lista_CUIT[#All],2,0)),"CUIT NO CARGADO")</f>
        <v>-</v>
      </c>
      <c r="H1327" s="64">
        <f>ventas_b_mes1[[#This Row],[TOTAL]]/1.21</f>
        <v>0</v>
      </c>
      <c r="I1327" s="183">
        <f>ventas_b_mes1[[#This Row],[IMPORTE NETO]]*0.21</f>
        <v>0</v>
      </c>
      <c r="J1327" s="184"/>
      <c r="K1327" s="184"/>
      <c r="L1327" s="184"/>
      <c r="M1327" s="59"/>
    </row>
    <row r="1328" spans="2:13" x14ac:dyDescent="0.3">
      <c r="B1328" s="178"/>
      <c r="C1328" s="179"/>
      <c r="D1328" s="180"/>
      <c r="E1328" s="181"/>
      <c r="F1328" s="182"/>
      <c r="G1328" s="1" t="str">
        <f>IFERROR(IF(ventas_b_mes1[[#This Row],[CUIT]]="","-",VLOOKUP(ventas_b_mes1[[#This Row],[CUIT]],Lista_CUIT[#All],2,0)),"CUIT NO CARGADO")</f>
        <v>-</v>
      </c>
      <c r="H1328" s="64">
        <f>ventas_b_mes1[[#This Row],[TOTAL]]/1.21</f>
        <v>0</v>
      </c>
      <c r="I1328" s="183">
        <f>ventas_b_mes1[[#This Row],[IMPORTE NETO]]*0.21</f>
        <v>0</v>
      </c>
      <c r="J1328" s="184"/>
      <c r="K1328" s="184"/>
      <c r="L1328" s="184"/>
      <c r="M1328" s="59"/>
    </row>
    <row r="1329" spans="2:13" x14ac:dyDescent="0.3">
      <c r="B1329" s="178"/>
      <c r="C1329" s="179"/>
      <c r="D1329" s="180"/>
      <c r="E1329" s="181"/>
      <c r="F1329" s="182"/>
      <c r="G1329" s="1" t="str">
        <f>IFERROR(IF(ventas_b_mes1[[#This Row],[CUIT]]="","-",VLOOKUP(ventas_b_mes1[[#This Row],[CUIT]],Lista_CUIT[#All],2,0)),"CUIT NO CARGADO")</f>
        <v>-</v>
      </c>
      <c r="H1329" s="64">
        <f>ventas_b_mes1[[#This Row],[TOTAL]]/1.21</f>
        <v>0</v>
      </c>
      <c r="I1329" s="183">
        <f>ventas_b_mes1[[#This Row],[IMPORTE NETO]]*0.21</f>
        <v>0</v>
      </c>
      <c r="J1329" s="184"/>
      <c r="K1329" s="184"/>
      <c r="L1329" s="184"/>
      <c r="M1329" s="59"/>
    </row>
    <row r="1330" spans="2:13" x14ac:dyDescent="0.3">
      <c r="B1330" s="178"/>
      <c r="C1330" s="179"/>
      <c r="D1330" s="180"/>
      <c r="E1330" s="181"/>
      <c r="F1330" s="182"/>
      <c r="G1330" s="1" t="str">
        <f>IFERROR(IF(ventas_b_mes1[[#This Row],[CUIT]]="","-",VLOOKUP(ventas_b_mes1[[#This Row],[CUIT]],Lista_CUIT[#All],2,0)),"CUIT NO CARGADO")</f>
        <v>-</v>
      </c>
      <c r="H1330" s="64">
        <f>ventas_b_mes1[[#This Row],[TOTAL]]/1.21</f>
        <v>0</v>
      </c>
      <c r="I1330" s="183">
        <f>ventas_b_mes1[[#This Row],[IMPORTE NETO]]*0.21</f>
        <v>0</v>
      </c>
      <c r="J1330" s="184"/>
      <c r="K1330" s="184"/>
      <c r="L1330" s="184"/>
      <c r="M1330" s="59"/>
    </row>
    <row r="1331" spans="2:13" x14ac:dyDescent="0.3">
      <c r="B1331" s="178"/>
      <c r="C1331" s="179"/>
      <c r="D1331" s="180"/>
      <c r="E1331" s="181"/>
      <c r="F1331" s="182"/>
      <c r="G1331" s="1" t="str">
        <f>IFERROR(IF(ventas_b_mes1[[#This Row],[CUIT]]="","-",VLOOKUP(ventas_b_mes1[[#This Row],[CUIT]],Lista_CUIT[#All],2,0)),"CUIT NO CARGADO")</f>
        <v>-</v>
      </c>
      <c r="H1331" s="64">
        <f>ventas_b_mes1[[#This Row],[TOTAL]]/1.21</f>
        <v>0</v>
      </c>
      <c r="I1331" s="183">
        <f>ventas_b_mes1[[#This Row],[IMPORTE NETO]]*0.21</f>
        <v>0</v>
      </c>
      <c r="J1331" s="184"/>
      <c r="K1331" s="184"/>
      <c r="L1331" s="184"/>
      <c r="M1331" s="59"/>
    </row>
    <row r="1332" spans="2:13" x14ac:dyDescent="0.3">
      <c r="B1332" s="178"/>
      <c r="C1332" s="179"/>
      <c r="D1332" s="180"/>
      <c r="E1332" s="181"/>
      <c r="F1332" s="182"/>
      <c r="G1332" s="1" t="str">
        <f>IFERROR(IF(ventas_b_mes1[[#This Row],[CUIT]]="","-",VLOOKUP(ventas_b_mes1[[#This Row],[CUIT]],Lista_CUIT[#All],2,0)),"CUIT NO CARGADO")</f>
        <v>-</v>
      </c>
      <c r="H1332" s="64">
        <f>ventas_b_mes1[[#This Row],[TOTAL]]/1.21</f>
        <v>0</v>
      </c>
      <c r="I1332" s="183">
        <f>ventas_b_mes1[[#This Row],[IMPORTE NETO]]*0.21</f>
        <v>0</v>
      </c>
      <c r="J1332" s="184"/>
      <c r="K1332" s="184"/>
      <c r="L1332" s="184"/>
      <c r="M1332" s="59"/>
    </row>
    <row r="1333" spans="2:13" x14ac:dyDescent="0.3">
      <c r="B1333" s="178"/>
      <c r="C1333" s="179"/>
      <c r="D1333" s="180"/>
      <c r="E1333" s="181"/>
      <c r="F1333" s="182"/>
      <c r="G1333" s="1" t="str">
        <f>IFERROR(IF(ventas_b_mes1[[#This Row],[CUIT]]="","-",VLOOKUP(ventas_b_mes1[[#This Row],[CUIT]],Lista_CUIT[#All],2,0)),"CUIT NO CARGADO")</f>
        <v>-</v>
      </c>
      <c r="H1333" s="64">
        <f>ventas_b_mes1[[#This Row],[TOTAL]]/1.21</f>
        <v>0</v>
      </c>
      <c r="I1333" s="183">
        <f>ventas_b_mes1[[#This Row],[IMPORTE NETO]]*0.21</f>
        <v>0</v>
      </c>
      <c r="J1333" s="184"/>
      <c r="K1333" s="184"/>
      <c r="L1333" s="184"/>
      <c r="M1333" s="59"/>
    </row>
    <row r="1334" spans="2:13" x14ac:dyDescent="0.3">
      <c r="B1334" s="178"/>
      <c r="C1334" s="179"/>
      <c r="D1334" s="180"/>
      <c r="E1334" s="181"/>
      <c r="F1334" s="182"/>
      <c r="G1334" s="1" t="str">
        <f>IFERROR(IF(ventas_b_mes1[[#This Row],[CUIT]]="","-",VLOOKUP(ventas_b_mes1[[#This Row],[CUIT]],Lista_CUIT[#All],2,0)),"CUIT NO CARGADO")</f>
        <v>-</v>
      </c>
      <c r="H1334" s="64">
        <f>ventas_b_mes1[[#This Row],[TOTAL]]/1.21</f>
        <v>0</v>
      </c>
      <c r="I1334" s="183">
        <f>ventas_b_mes1[[#This Row],[IMPORTE NETO]]*0.21</f>
        <v>0</v>
      </c>
      <c r="J1334" s="184"/>
      <c r="K1334" s="184"/>
      <c r="L1334" s="184"/>
      <c r="M1334" s="59"/>
    </row>
    <row r="1335" spans="2:13" x14ac:dyDescent="0.3">
      <c r="B1335" s="178"/>
      <c r="C1335" s="179"/>
      <c r="D1335" s="180"/>
      <c r="E1335" s="181"/>
      <c r="F1335" s="182"/>
      <c r="G1335" s="1" t="str">
        <f>IFERROR(IF(ventas_b_mes1[[#This Row],[CUIT]]="","-",VLOOKUP(ventas_b_mes1[[#This Row],[CUIT]],Lista_CUIT[#All],2,0)),"CUIT NO CARGADO")</f>
        <v>-</v>
      </c>
      <c r="H1335" s="64">
        <f>ventas_b_mes1[[#This Row],[TOTAL]]/1.21</f>
        <v>0</v>
      </c>
      <c r="I1335" s="183">
        <f>ventas_b_mes1[[#This Row],[IMPORTE NETO]]*0.21</f>
        <v>0</v>
      </c>
      <c r="J1335" s="184"/>
      <c r="K1335" s="184"/>
      <c r="L1335" s="184"/>
      <c r="M1335" s="59"/>
    </row>
    <row r="1336" spans="2:13" x14ac:dyDescent="0.3">
      <c r="B1336" s="178"/>
      <c r="C1336" s="179"/>
      <c r="D1336" s="180"/>
      <c r="E1336" s="181"/>
      <c r="F1336" s="182"/>
      <c r="G1336" s="1" t="str">
        <f>IFERROR(IF(ventas_b_mes1[[#This Row],[CUIT]]="","-",VLOOKUP(ventas_b_mes1[[#This Row],[CUIT]],Lista_CUIT[#All],2,0)),"CUIT NO CARGADO")</f>
        <v>-</v>
      </c>
      <c r="H1336" s="64">
        <f>ventas_b_mes1[[#This Row],[TOTAL]]/1.21</f>
        <v>0</v>
      </c>
      <c r="I1336" s="183">
        <f>ventas_b_mes1[[#This Row],[IMPORTE NETO]]*0.21</f>
        <v>0</v>
      </c>
      <c r="J1336" s="184"/>
      <c r="K1336" s="184"/>
      <c r="L1336" s="184"/>
      <c r="M1336" s="59"/>
    </row>
    <row r="1337" spans="2:13" x14ac:dyDescent="0.3">
      <c r="B1337" s="178"/>
      <c r="C1337" s="179"/>
      <c r="D1337" s="180"/>
      <c r="E1337" s="181"/>
      <c r="F1337" s="182"/>
      <c r="G1337" s="1" t="str">
        <f>IFERROR(IF(ventas_b_mes1[[#This Row],[CUIT]]="","-",VLOOKUP(ventas_b_mes1[[#This Row],[CUIT]],Lista_CUIT[#All],2,0)),"CUIT NO CARGADO")</f>
        <v>-</v>
      </c>
      <c r="H1337" s="64">
        <f>ventas_b_mes1[[#This Row],[TOTAL]]/1.21</f>
        <v>0</v>
      </c>
      <c r="I1337" s="183">
        <f>ventas_b_mes1[[#This Row],[IMPORTE NETO]]*0.21</f>
        <v>0</v>
      </c>
      <c r="J1337" s="184"/>
      <c r="K1337" s="184"/>
      <c r="L1337" s="184"/>
      <c r="M1337" s="59"/>
    </row>
    <row r="1338" spans="2:13" x14ac:dyDescent="0.3">
      <c r="B1338" s="178"/>
      <c r="C1338" s="179"/>
      <c r="D1338" s="180"/>
      <c r="E1338" s="181"/>
      <c r="F1338" s="182"/>
      <c r="G1338" s="1" t="str">
        <f>IFERROR(IF(ventas_b_mes1[[#This Row],[CUIT]]="","-",VLOOKUP(ventas_b_mes1[[#This Row],[CUIT]],Lista_CUIT[#All],2,0)),"CUIT NO CARGADO")</f>
        <v>-</v>
      </c>
      <c r="H1338" s="64">
        <f>ventas_b_mes1[[#This Row],[TOTAL]]/1.21</f>
        <v>0</v>
      </c>
      <c r="I1338" s="183">
        <f>ventas_b_mes1[[#This Row],[IMPORTE NETO]]*0.21</f>
        <v>0</v>
      </c>
      <c r="J1338" s="184"/>
      <c r="K1338" s="184"/>
      <c r="L1338" s="184"/>
      <c r="M1338" s="59"/>
    </row>
    <row r="1339" spans="2:13" x14ac:dyDescent="0.3">
      <c r="B1339" s="178"/>
      <c r="C1339" s="179"/>
      <c r="D1339" s="180"/>
      <c r="E1339" s="181"/>
      <c r="F1339" s="182"/>
      <c r="G1339" s="1" t="str">
        <f>IFERROR(IF(ventas_b_mes1[[#This Row],[CUIT]]="","-",VLOOKUP(ventas_b_mes1[[#This Row],[CUIT]],Lista_CUIT[#All],2,0)),"CUIT NO CARGADO")</f>
        <v>-</v>
      </c>
      <c r="H1339" s="64">
        <f>ventas_b_mes1[[#This Row],[TOTAL]]/1.21</f>
        <v>0</v>
      </c>
      <c r="I1339" s="183">
        <f>ventas_b_mes1[[#This Row],[IMPORTE NETO]]*0.21</f>
        <v>0</v>
      </c>
      <c r="J1339" s="184"/>
      <c r="K1339" s="184"/>
      <c r="L1339" s="184"/>
      <c r="M1339" s="59"/>
    </row>
    <row r="1340" spans="2:13" x14ac:dyDescent="0.3">
      <c r="B1340" s="178"/>
      <c r="C1340" s="179"/>
      <c r="D1340" s="180"/>
      <c r="E1340" s="181"/>
      <c r="F1340" s="182"/>
      <c r="G1340" s="1" t="str">
        <f>IFERROR(IF(ventas_b_mes1[[#This Row],[CUIT]]="","-",VLOOKUP(ventas_b_mes1[[#This Row],[CUIT]],Lista_CUIT[#All],2,0)),"CUIT NO CARGADO")</f>
        <v>-</v>
      </c>
      <c r="H1340" s="64">
        <f>ventas_b_mes1[[#This Row],[TOTAL]]/1.21</f>
        <v>0</v>
      </c>
      <c r="I1340" s="183">
        <f>ventas_b_mes1[[#This Row],[IMPORTE NETO]]*0.21</f>
        <v>0</v>
      </c>
      <c r="J1340" s="184"/>
      <c r="K1340" s="184"/>
      <c r="L1340" s="184"/>
      <c r="M1340" s="59"/>
    </row>
    <row r="1341" spans="2:13" x14ac:dyDescent="0.3">
      <c r="B1341" s="178"/>
      <c r="C1341" s="179"/>
      <c r="D1341" s="180"/>
      <c r="E1341" s="181"/>
      <c r="F1341" s="182"/>
      <c r="G1341" s="1" t="str">
        <f>IFERROR(IF(ventas_b_mes1[[#This Row],[CUIT]]="","-",VLOOKUP(ventas_b_mes1[[#This Row],[CUIT]],Lista_CUIT[#All],2,0)),"CUIT NO CARGADO")</f>
        <v>-</v>
      </c>
      <c r="H1341" s="64">
        <f>ventas_b_mes1[[#This Row],[TOTAL]]/1.21</f>
        <v>0</v>
      </c>
      <c r="I1341" s="183">
        <f>ventas_b_mes1[[#This Row],[IMPORTE NETO]]*0.21</f>
        <v>0</v>
      </c>
      <c r="J1341" s="184"/>
      <c r="K1341" s="184"/>
      <c r="L1341" s="184"/>
      <c r="M1341" s="59"/>
    </row>
    <row r="1342" spans="2:13" x14ac:dyDescent="0.3">
      <c r="B1342" s="178"/>
      <c r="C1342" s="179"/>
      <c r="D1342" s="180"/>
      <c r="E1342" s="181"/>
      <c r="F1342" s="182"/>
      <c r="G1342" s="1" t="str">
        <f>IFERROR(IF(ventas_b_mes1[[#This Row],[CUIT]]="","-",VLOOKUP(ventas_b_mes1[[#This Row],[CUIT]],Lista_CUIT[#All],2,0)),"CUIT NO CARGADO")</f>
        <v>-</v>
      </c>
      <c r="H1342" s="64">
        <f>ventas_b_mes1[[#This Row],[TOTAL]]/1.21</f>
        <v>0</v>
      </c>
      <c r="I1342" s="183">
        <f>ventas_b_mes1[[#This Row],[IMPORTE NETO]]*0.21</f>
        <v>0</v>
      </c>
      <c r="J1342" s="184"/>
      <c r="K1342" s="184"/>
      <c r="L1342" s="184"/>
      <c r="M1342" s="59"/>
    </row>
    <row r="1343" spans="2:13" x14ac:dyDescent="0.3">
      <c r="B1343" s="178"/>
      <c r="C1343" s="179"/>
      <c r="D1343" s="180"/>
      <c r="E1343" s="181"/>
      <c r="F1343" s="182"/>
      <c r="G1343" s="1" t="str">
        <f>IFERROR(IF(ventas_b_mes1[[#This Row],[CUIT]]="","-",VLOOKUP(ventas_b_mes1[[#This Row],[CUIT]],Lista_CUIT[#All],2,0)),"CUIT NO CARGADO")</f>
        <v>-</v>
      </c>
      <c r="H1343" s="64">
        <f>ventas_b_mes1[[#This Row],[TOTAL]]/1.21</f>
        <v>0</v>
      </c>
      <c r="I1343" s="183">
        <f>ventas_b_mes1[[#This Row],[IMPORTE NETO]]*0.21</f>
        <v>0</v>
      </c>
      <c r="J1343" s="184"/>
      <c r="K1343" s="184"/>
      <c r="L1343" s="184"/>
      <c r="M1343" s="59"/>
    </row>
    <row r="1344" spans="2:13" x14ac:dyDescent="0.3">
      <c r="B1344" s="178"/>
      <c r="C1344" s="179"/>
      <c r="D1344" s="180"/>
      <c r="E1344" s="181"/>
      <c r="F1344" s="182"/>
      <c r="G1344" s="1" t="str">
        <f>IFERROR(IF(ventas_b_mes1[[#This Row],[CUIT]]="","-",VLOOKUP(ventas_b_mes1[[#This Row],[CUIT]],Lista_CUIT[#All],2,0)),"CUIT NO CARGADO")</f>
        <v>-</v>
      </c>
      <c r="H1344" s="64">
        <f>ventas_b_mes1[[#This Row],[TOTAL]]/1.21</f>
        <v>0</v>
      </c>
      <c r="I1344" s="183">
        <f>ventas_b_mes1[[#This Row],[IMPORTE NETO]]*0.21</f>
        <v>0</v>
      </c>
      <c r="J1344" s="184"/>
      <c r="K1344" s="184"/>
      <c r="L1344" s="184"/>
      <c r="M1344" s="59"/>
    </row>
    <row r="1345" spans="2:13" x14ac:dyDescent="0.3">
      <c r="B1345" s="178"/>
      <c r="C1345" s="179"/>
      <c r="D1345" s="180"/>
      <c r="E1345" s="181"/>
      <c r="F1345" s="182"/>
      <c r="G1345" s="1" t="str">
        <f>IFERROR(IF(ventas_b_mes1[[#This Row],[CUIT]]="","-",VLOOKUP(ventas_b_mes1[[#This Row],[CUIT]],Lista_CUIT[#All],2,0)),"CUIT NO CARGADO")</f>
        <v>-</v>
      </c>
      <c r="H1345" s="64">
        <f>ventas_b_mes1[[#This Row],[TOTAL]]/1.21</f>
        <v>0</v>
      </c>
      <c r="I1345" s="183">
        <f>ventas_b_mes1[[#This Row],[IMPORTE NETO]]*0.21</f>
        <v>0</v>
      </c>
      <c r="J1345" s="184"/>
      <c r="K1345" s="184"/>
      <c r="L1345" s="184"/>
      <c r="M1345" s="59"/>
    </row>
    <row r="1346" spans="2:13" x14ac:dyDescent="0.3">
      <c r="B1346" s="178"/>
      <c r="C1346" s="179"/>
      <c r="D1346" s="180"/>
      <c r="E1346" s="181"/>
      <c r="F1346" s="182"/>
      <c r="G1346" s="1" t="str">
        <f>IFERROR(IF(ventas_b_mes1[[#This Row],[CUIT]]="","-",VLOOKUP(ventas_b_mes1[[#This Row],[CUIT]],Lista_CUIT[#All],2,0)),"CUIT NO CARGADO")</f>
        <v>-</v>
      </c>
      <c r="H1346" s="64">
        <f>ventas_b_mes1[[#This Row],[TOTAL]]/1.21</f>
        <v>0</v>
      </c>
      <c r="I1346" s="183">
        <f>ventas_b_mes1[[#This Row],[IMPORTE NETO]]*0.21</f>
        <v>0</v>
      </c>
      <c r="J1346" s="184"/>
      <c r="K1346" s="184"/>
      <c r="L1346" s="184"/>
      <c r="M1346" s="59"/>
    </row>
    <row r="1347" spans="2:13" x14ac:dyDescent="0.3">
      <c r="B1347" s="178"/>
      <c r="C1347" s="179"/>
      <c r="D1347" s="180"/>
      <c r="E1347" s="181"/>
      <c r="F1347" s="182"/>
      <c r="G1347" s="1" t="str">
        <f>IFERROR(IF(ventas_b_mes1[[#This Row],[CUIT]]="","-",VLOOKUP(ventas_b_mes1[[#This Row],[CUIT]],Lista_CUIT[#All],2,0)),"CUIT NO CARGADO")</f>
        <v>-</v>
      </c>
      <c r="H1347" s="64">
        <f>ventas_b_mes1[[#This Row],[TOTAL]]/1.21</f>
        <v>0</v>
      </c>
      <c r="I1347" s="183">
        <f>ventas_b_mes1[[#This Row],[IMPORTE NETO]]*0.21</f>
        <v>0</v>
      </c>
      <c r="J1347" s="184"/>
      <c r="K1347" s="184"/>
      <c r="L1347" s="184"/>
      <c r="M1347" s="59"/>
    </row>
    <row r="1348" spans="2:13" x14ac:dyDescent="0.3">
      <c r="B1348" s="178"/>
      <c r="C1348" s="179"/>
      <c r="D1348" s="180"/>
      <c r="E1348" s="181"/>
      <c r="F1348" s="182"/>
      <c r="G1348" s="1" t="str">
        <f>IFERROR(IF(ventas_b_mes1[[#This Row],[CUIT]]="","-",VLOOKUP(ventas_b_mes1[[#This Row],[CUIT]],Lista_CUIT[#All],2,0)),"CUIT NO CARGADO")</f>
        <v>-</v>
      </c>
      <c r="H1348" s="64">
        <f>ventas_b_mes1[[#This Row],[TOTAL]]/1.21</f>
        <v>0</v>
      </c>
      <c r="I1348" s="183">
        <f>ventas_b_mes1[[#This Row],[IMPORTE NETO]]*0.21</f>
        <v>0</v>
      </c>
      <c r="J1348" s="184"/>
      <c r="K1348" s="184"/>
      <c r="L1348" s="184"/>
      <c r="M1348" s="59"/>
    </row>
    <row r="1349" spans="2:13" x14ac:dyDescent="0.3">
      <c r="B1349" s="178"/>
      <c r="C1349" s="179"/>
      <c r="D1349" s="180"/>
      <c r="E1349" s="181"/>
      <c r="F1349" s="182"/>
      <c r="G1349" s="1" t="str">
        <f>IFERROR(IF(ventas_b_mes1[[#This Row],[CUIT]]="","-",VLOOKUP(ventas_b_mes1[[#This Row],[CUIT]],Lista_CUIT[#All],2,0)),"CUIT NO CARGADO")</f>
        <v>-</v>
      </c>
      <c r="H1349" s="64">
        <f>ventas_b_mes1[[#This Row],[TOTAL]]/1.21</f>
        <v>0</v>
      </c>
      <c r="I1349" s="183">
        <f>ventas_b_mes1[[#This Row],[IMPORTE NETO]]*0.21</f>
        <v>0</v>
      </c>
      <c r="J1349" s="184"/>
      <c r="K1349" s="184"/>
      <c r="L1349" s="184"/>
      <c r="M1349" s="59"/>
    </row>
    <row r="1350" spans="2:13" x14ac:dyDescent="0.3">
      <c r="B1350" s="178"/>
      <c r="C1350" s="179"/>
      <c r="D1350" s="180"/>
      <c r="E1350" s="181"/>
      <c r="F1350" s="182"/>
      <c r="G1350" s="1" t="str">
        <f>IFERROR(IF(ventas_b_mes1[[#This Row],[CUIT]]="","-",VLOOKUP(ventas_b_mes1[[#This Row],[CUIT]],Lista_CUIT[#All],2,0)),"CUIT NO CARGADO")</f>
        <v>-</v>
      </c>
      <c r="H1350" s="64">
        <f>ventas_b_mes1[[#This Row],[TOTAL]]/1.21</f>
        <v>0</v>
      </c>
      <c r="I1350" s="183">
        <f>ventas_b_mes1[[#This Row],[IMPORTE NETO]]*0.21</f>
        <v>0</v>
      </c>
      <c r="J1350" s="184"/>
      <c r="K1350" s="184"/>
      <c r="L1350" s="184"/>
      <c r="M1350" s="59"/>
    </row>
    <row r="1351" spans="2:13" x14ac:dyDescent="0.3">
      <c r="B1351" s="178"/>
      <c r="C1351" s="179"/>
      <c r="D1351" s="180"/>
      <c r="E1351" s="181"/>
      <c r="F1351" s="182"/>
      <c r="G1351" s="1" t="str">
        <f>IFERROR(IF(ventas_b_mes1[[#This Row],[CUIT]]="","-",VLOOKUP(ventas_b_mes1[[#This Row],[CUIT]],Lista_CUIT[#All],2,0)),"CUIT NO CARGADO")</f>
        <v>-</v>
      </c>
      <c r="H1351" s="64">
        <f>ventas_b_mes1[[#This Row],[TOTAL]]/1.21</f>
        <v>0</v>
      </c>
      <c r="I1351" s="183">
        <f>ventas_b_mes1[[#This Row],[IMPORTE NETO]]*0.21</f>
        <v>0</v>
      </c>
      <c r="J1351" s="184"/>
      <c r="K1351" s="184"/>
      <c r="L1351" s="184"/>
      <c r="M1351" s="59"/>
    </row>
    <row r="1352" spans="2:13" x14ac:dyDescent="0.3">
      <c r="B1352" s="178"/>
      <c r="C1352" s="179"/>
      <c r="D1352" s="180"/>
      <c r="E1352" s="181"/>
      <c r="F1352" s="182"/>
      <c r="G1352" s="1" t="str">
        <f>IFERROR(IF(ventas_b_mes1[[#This Row],[CUIT]]="","-",VLOOKUP(ventas_b_mes1[[#This Row],[CUIT]],Lista_CUIT[#All],2,0)),"CUIT NO CARGADO")</f>
        <v>-</v>
      </c>
      <c r="H1352" s="64">
        <f>ventas_b_mes1[[#This Row],[TOTAL]]/1.21</f>
        <v>0</v>
      </c>
      <c r="I1352" s="183">
        <f>ventas_b_mes1[[#This Row],[IMPORTE NETO]]*0.21</f>
        <v>0</v>
      </c>
      <c r="J1352" s="184"/>
      <c r="K1352" s="184"/>
      <c r="L1352" s="184"/>
      <c r="M1352" s="59"/>
    </row>
    <row r="1353" spans="2:13" x14ac:dyDescent="0.3">
      <c r="B1353" s="178"/>
      <c r="C1353" s="179"/>
      <c r="D1353" s="180"/>
      <c r="E1353" s="181"/>
      <c r="F1353" s="182"/>
      <c r="G1353" s="1" t="str">
        <f>IFERROR(IF(ventas_b_mes1[[#This Row],[CUIT]]="","-",VLOOKUP(ventas_b_mes1[[#This Row],[CUIT]],Lista_CUIT[#All],2,0)),"CUIT NO CARGADO")</f>
        <v>-</v>
      </c>
      <c r="H1353" s="64">
        <f>ventas_b_mes1[[#This Row],[TOTAL]]/1.21</f>
        <v>0</v>
      </c>
      <c r="I1353" s="183">
        <f>ventas_b_mes1[[#This Row],[IMPORTE NETO]]*0.21</f>
        <v>0</v>
      </c>
      <c r="J1353" s="184"/>
      <c r="K1353" s="184"/>
      <c r="L1353" s="184"/>
      <c r="M1353" s="59"/>
    </row>
    <row r="1354" spans="2:13" x14ac:dyDescent="0.3">
      <c r="B1354" s="178"/>
      <c r="C1354" s="179"/>
      <c r="D1354" s="180"/>
      <c r="E1354" s="181"/>
      <c r="F1354" s="182"/>
      <c r="G1354" s="1" t="str">
        <f>IFERROR(IF(ventas_b_mes1[[#This Row],[CUIT]]="","-",VLOOKUP(ventas_b_mes1[[#This Row],[CUIT]],Lista_CUIT[#All],2,0)),"CUIT NO CARGADO")</f>
        <v>-</v>
      </c>
      <c r="H1354" s="64">
        <f>ventas_b_mes1[[#This Row],[TOTAL]]/1.21</f>
        <v>0</v>
      </c>
      <c r="I1354" s="183">
        <f>ventas_b_mes1[[#This Row],[IMPORTE NETO]]*0.21</f>
        <v>0</v>
      </c>
      <c r="J1354" s="184"/>
      <c r="K1354" s="184"/>
      <c r="L1354" s="184"/>
      <c r="M1354" s="59"/>
    </row>
    <row r="1355" spans="2:13" x14ac:dyDescent="0.3">
      <c r="B1355" s="178"/>
      <c r="C1355" s="179"/>
      <c r="D1355" s="180"/>
      <c r="E1355" s="181"/>
      <c r="F1355" s="182"/>
      <c r="G1355" s="1" t="str">
        <f>IFERROR(IF(ventas_b_mes1[[#This Row],[CUIT]]="","-",VLOOKUP(ventas_b_mes1[[#This Row],[CUIT]],Lista_CUIT[#All],2,0)),"CUIT NO CARGADO")</f>
        <v>-</v>
      </c>
      <c r="H1355" s="64">
        <f>ventas_b_mes1[[#This Row],[TOTAL]]/1.21</f>
        <v>0</v>
      </c>
      <c r="I1355" s="183">
        <f>ventas_b_mes1[[#This Row],[IMPORTE NETO]]*0.21</f>
        <v>0</v>
      </c>
      <c r="J1355" s="184"/>
      <c r="K1355" s="184"/>
      <c r="L1355" s="184"/>
      <c r="M1355" s="59"/>
    </row>
    <row r="1356" spans="2:13" x14ac:dyDescent="0.3">
      <c r="B1356" s="178"/>
      <c r="C1356" s="179"/>
      <c r="D1356" s="180"/>
      <c r="E1356" s="181"/>
      <c r="F1356" s="182"/>
      <c r="G1356" s="1" t="str">
        <f>IFERROR(IF(ventas_b_mes1[[#This Row],[CUIT]]="","-",VLOOKUP(ventas_b_mes1[[#This Row],[CUIT]],Lista_CUIT[#All],2,0)),"CUIT NO CARGADO")</f>
        <v>-</v>
      </c>
      <c r="H1356" s="64">
        <f>ventas_b_mes1[[#This Row],[TOTAL]]/1.21</f>
        <v>0</v>
      </c>
      <c r="I1356" s="183">
        <f>ventas_b_mes1[[#This Row],[IMPORTE NETO]]*0.21</f>
        <v>0</v>
      </c>
      <c r="J1356" s="184"/>
      <c r="K1356" s="184"/>
      <c r="L1356" s="184"/>
      <c r="M1356" s="59"/>
    </row>
    <row r="1357" spans="2:13" x14ac:dyDescent="0.3">
      <c r="B1357" s="178"/>
      <c r="C1357" s="179"/>
      <c r="D1357" s="180"/>
      <c r="E1357" s="181"/>
      <c r="F1357" s="182"/>
      <c r="G1357" s="1" t="str">
        <f>IFERROR(IF(ventas_b_mes1[[#This Row],[CUIT]]="","-",VLOOKUP(ventas_b_mes1[[#This Row],[CUIT]],Lista_CUIT[#All],2,0)),"CUIT NO CARGADO")</f>
        <v>-</v>
      </c>
      <c r="H1357" s="64">
        <f>ventas_b_mes1[[#This Row],[TOTAL]]/1.21</f>
        <v>0</v>
      </c>
      <c r="I1357" s="183">
        <f>ventas_b_mes1[[#This Row],[IMPORTE NETO]]*0.21</f>
        <v>0</v>
      </c>
      <c r="J1357" s="184"/>
      <c r="K1357" s="184"/>
      <c r="L1357" s="184"/>
      <c r="M1357" s="59"/>
    </row>
    <row r="1358" spans="2:13" x14ac:dyDescent="0.3">
      <c r="B1358" s="178"/>
      <c r="C1358" s="179"/>
      <c r="D1358" s="180"/>
      <c r="E1358" s="181"/>
      <c r="F1358" s="182"/>
      <c r="G1358" s="1" t="str">
        <f>IFERROR(IF(ventas_b_mes1[[#This Row],[CUIT]]="","-",VLOOKUP(ventas_b_mes1[[#This Row],[CUIT]],Lista_CUIT[#All],2,0)),"CUIT NO CARGADO")</f>
        <v>-</v>
      </c>
      <c r="H1358" s="64">
        <f>ventas_b_mes1[[#This Row],[TOTAL]]/1.21</f>
        <v>0</v>
      </c>
      <c r="I1358" s="183">
        <f>ventas_b_mes1[[#This Row],[IMPORTE NETO]]*0.21</f>
        <v>0</v>
      </c>
      <c r="J1358" s="184"/>
      <c r="K1358" s="184"/>
      <c r="L1358" s="184"/>
      <c r="M1358" s="59"/>
    </row>
    <row r="1359" spans="2:13" x14ac:dyDescent="0.3">
      <c r="B1359" s="178"/>
      <c r="C1359" s="179"/>
      <c r="D1359" s="180"/>
      <c r="E1359" s="181"/>
      <c r="F1359" s="182"/>
      <c r="G1359" s="1" t="str">
        <f>IFERROR(IF(ventas_b_mes1[[#This Row],[CUIT]]="","-",VLOOKUP(ventas_b_mes1[[#This Row],[CUIT]],Lista_CUIT[#All],2,0)),"CUIT NO CARGADO")</f>
        <v>-</v>
      </c>
      <c r="H1359" s="64">
        <f>ventas_b_mes1[[#This Row],[TOTAL]]/1.21</f>
        <v>0</v>
      </c>
      <c r="I1359" s="183">
        <f>ventas_b_mes1[[#This Row],[IMPORTE NETO]]*0.21</f>
        <v>0</v>
      </c>
      <c r="J1359" s="184"/>
      <c r="K1359" s="184"/>
      <c r="L1359" s="184"/>
      <c r="M1359" s="59"/>
    </row>
    <row r="1360" spans="2:13" x14ac:dyDescent="0.3">
      <c r="B1360" s="178"/>
      <c r="C1360" s="179"/>
      <c r="D1360" s="180"/>
      <c r="E1360" s="181"/>
      <c r="F1360" s="182"/>
      <c r="G1360" s="1" t="str">
        <f>IFERROR(IF(ventas_b_mes1[[#This Row],[CUIT]]="","-",VLOOKUP(ventas_b_mes1[[#This Row],[CUIT]],Lista_CUIT[#All],2,0)),"CUIT NO CARGADO")</f>
        <v>-</v>
      </c>
      <c r="H1360" s="64">
        <f>ventas_b_mes1[[#This Row],[TOTAL]]/1.21</f>
        <v>0</v>
      </c>
      <c r="I1360" s="183">
        <f>ventas_b_mes1[[#This Row],[IMPORTE NETO]]*0.21</f>
        <v>0</v>
      </c>
      <c r="J1360" s="184"/>
      <c r="K1360" s="184"/>
      <c r="L1360" s="184"/>
      <c r="M1360" s="59"/>
    </row>
    <row r="1361" spans="2:13" x14ac:dyDescent="0.3">
      <c r="B1361" s="178"/>
      <c r="C1361" s="179"/>
      <c r="D1361" s="180"/>
      <c r="E1361" s="181"/>
      <c r="F1361" s="182"/>
      <c r="G1361" s="1" t="str">
        <f>IFERROR(IF(ventas_b_mes1[[#This Row],[CUIT]]="","-",VLOOKUP(ventas_b_mes1[[#This Row],[CUIT]],Lista_CUIT[#All],2,0)),"CUIT NO CARGADO")</f>
        <v>-</v>
      </c>
      <c r="H1361" s="64">
        <f>ventas_b_mes1[[#This Row],[TOTAL]]/1.21</f>
        <v>0</v>
      </c>
      <c r="I1361" s="183">
        <f>ventas_b_mes1[[#This Row],[IMPORTE NETO]]*0.21</f>
        <v>0</v>
      </c>
      <c r="J1361" s="184"/>
      <c r="K1361" s="184"/>
      <c r="L1361" s="184"/>
      <c r="M1361" s="59"/>
    </row>
    <row r="1362" spans="2:13" x14ac:dyDescent="0.3">
      <c r="B1362" s="178"/>
      <c r="C1362" s="179"/>
      <c r="D1362" s="180"/>
      <c r="E1362" s="181"/>
      <c r="F1362" s="182"/>
      <c r="G1362" s="1" t="str">
        <f>IFERROR(IF(ventas_b_mes1[[#This Row],[CUIT]]="","-",VLOOKUP(ventas_b_mes1[[#This Row],[CUIT]],Lista_CUIT[#All],2,0)),"CUIT NO CARGADO")</f>
        <v>-</v>
      </c>
      <c r="H1362" s="64">
        <f>ventas_b_mes1[[#This Row],[TOTAL]]/1.21</f>
        <v>0</v>
      </c>
      <c r="I1362" s="183">
        <f>ventas_b_mes1[[#This Row],[IMPORTE NETO]]*0.21</f>
        <v>0</v>
      </c>
      <c r="J1362" s="184"/>
      <c r="K1362" s="184"/>
      <c r="L1362" s="184"/>
      <c r="M1362" s="59"/>
    </row>
    <row r="1363" spans="2:13" x14ac:dyDescent="0.3">
      <c r="B1363" s="178"/>
      <c r="C1363" s="179"/>
      <c r="D1363" s="180"/>
      <c r="E1363" s="181"/>
      <c r="F1363" s="182"/>
      <c r="G1363" s="1" t="str">
        <f>IFERROR(IF(ventas_b_mes1[[#This Row],[CUIT]]="","-",VLOOKUP(ventas_b_mes1[[#This Row],[CUIT]],Lista_CUIT[#All],2,0)),"CUIT NO CARGADO")</f>
        <v>-</v>
      </c>
      <c r="H1363" s="64">
        <f>ventas_b_mes1[[#This Row],[TOTAL]]/1.21</f>
        <v>0</v>
      </c>
      <c r="I1363" s="183">
        <f>ventas_b_mes1[[#This Row],[IMPORTE NETO]]*0.21</f>
        <v>0</v>
      </c>
      <c r="J1363" s="184"/>
      <c r="K1363" s="184"/>
      <c r="L1363" s="184"/>
      <c r="M1363" s="59"/>
    </row>
    <row r="1364" spans="2:13" x14ac:dyDescent="0.3">
      <c r="B1364" s="178"/>
      <c r="C1364" s="179"/>
      <c r="D1364" s="180"/>
      <c r="E1364" s="181"/>
      <c r="F1364" s="182"/>
      <c r="G1364" s="1" t="str">
        <f>IFERROR(IF(ventas_b_mes1[[#This Row],[CUIT]]="","-",VLOOKUP(ventas_b_mes1[[#This Row],[CUIT]],Lista_CUIT[#All],2,0)),"CUIT NO CARGADO")</f>
        <v>-</v>
      </c>
      <c r="H1364" s="64">
        <f>ventas_b_mes1[[#This Row],[TOTAL]]/1.21</f>
        <v>0</v>
      </c>
      <c r="I1364" s="183">
        <f>ventas_b_mes1[[#This Row],[IMPORTE NETO]]*0.21</f>
        <v>0</v>
      </c>
      <c r="J1364" s="184"/>
      <c r="K1364" s="184"/>
      <c r="L1364" s="184"/>
      <c r="M1364" s="59"/>
    </row>
    <row r="1365" spans="2:13" x14ac:dyDescent="0.3">
      <c r="B1365" s="178"/>
      <c r="C1365" s="179"/>
      <c r="D1365" s="180"/>
      <c r="E1365" s="181"/>
      <c r="F1365" s="182"/>
      <c r="G1365" s="1" t="str">
        <f>IFERROR(IF(ventas_b_mes1[[#This Row],[CUIT]]="","-",VLOOKUP(ventas_b_mes1[[#This Row],[CUIT]],Lista_CUIT[#All],2,0)),"CUIT NO CARGADO")</f>
        <v>-</v>
      </c>
      <c r="H1365" s="64">
        <f>ventas_b_mes1[[#This Row],[TOTAL]]/1.21</f>
        <v>0</v>
      </c>
      <c r="I1365" s="183">
        <f>ventas_b_mes1[[#This Row],[IMPORTE NETO]]*0.21</f>
        <v>0</v>
      </c>
      <c r="J1365" s="184"/>
      <c r="K1365" s="184"/>
      <c r="L1365" s="184"/>
      <c r="M1365" s="59"/>
    </row>
    <row r="1366" spans="2:13" x14ac:dyDescent="0.3">
      <c r="B1366" s="178"/>
      <c r="C1366" s="179"/>
      <c r="D1366" s="180"/>
      <c r="E1366" s="181"/>
      <c r="F1366" s="182"/>
      <c r="G1366" s="1" t="str">
        <f>IFERROR(IF(ventas_b_mes1[[#This Row],[CUIT]]="","-",VLOOKUP(ventas_b_mes1[[#This Row],[CUIT]],Lista_CUIT[#All],2,0)),"CUIT NO CARGADO")</f>
        <v>-</v>
      </c>
      <c r="H1366" s="64">
        <f>ventas_b_mes1[[#This Row],[TOTAL]]/1.21</f>
        <v>0</v>
      </c>
      <c r="I1366" s="183">
        <f>ventas_b_mes1[[#This Row],[IMPORTE NETO]]*0.21</f>
        <v>0</v>
      </c>
      <c r="J1366" s="184"/>
      <c r="K1366" s="184"/>
      <c r="L1366" s="184"/>
      <c r="M1366" s="59"/>
    </row>
    <row r="1367" spans="2:13" x14ac:dyDescent="0.3">
      <c r="B1367" s="178"/>
      <c r="C1367" s="179"/>
      <c r="D1367" s="180"/>
      <c r="E1367" s="181"/>
      <c r="F1367" s="182"/>
      <c r="G1367" s="1" t="str">
        <f>IFERROR(IF(ventas_b_mes1[[#This Row],[CUIT]]="","-",VLOOKUP(ventas_b_mes1[[#This Row],[CUIT]],Lista_CUIT[#All],2,0)),"CUIT NO CARGADO")</f>
        <v>-</v>
      </c>
      <c r="H1367" s="64">
        <f>ventas_b_mes1[[#This Row],[TOTAL]]/1.21</f>
        <v>0</v>
      </c>
      <c r="I1367" s="183">
        <f>ventas_b_mes1[[#This Row],[IMPORTE NETO]]*0.21</f>
        <v>0</v>
      </c>
      <c r="J1367" s="184"/>
      <c r="K1367" s="184"/>
      <c r="L1367" s="184"/>
      <c r="M1367" s="59"/>
    </row>
    <row r="1368" spans="2:13" x14ac:dyDescent="0.3">
      <c r="B1368" s="178"/>
      <c r="C1368" s="179"/>
      <c r="D1368" s="180"/>
      <c r="E1368" s="181"/>
      <c r="F1368" s="182"/>
      <c r="G1368" s="1" t="str">
        <f>IFERROR(IF(ventas_b_mes1[[#This Row],[CUIT]]="","-",VLOOKUP(ventas_b_mes1[[#This Row],[CUIT]],Lista_CUIT[#All],2,0)),"CUIT NO CARGADO")</f>
        <v>-</v>
      </c>
      <c r="H1368" s="64">
        <f>ventas_b_mes1[[#This Row],[TOTAL]]/1.21</f>
        <v>0</v>
      </c>
      <c r="I1368" s="183">
        <f>ventas_b_mes1[[#This Row],[IMPORTE NETO]]*0.21</f>
        <v>0</v>
      </c>
      <c r="J1368" s="184"/>
      <c r="K1368" s="184"/>
      <c r="L1368" s="184"/>
      <c r="M1368" s="59"/>
    </row>
    <row r="1369" spans="2:13" x14ac:dyDescent="0.3">
      <c r="B1369" s="178"/>
      <c r="C1369" s="179"/>
      <c r="D1369" s="180"/>
      <c r="E1369" s="181"/>
      <c r="F1369" s="182"/>
      <c r="G1369" s="1" t="str">
        <f>IFERROR(IF(ventas_b_mes1[[#This Row],[CUIT]]="","-",VLOOKUP(ventas_b_mes1[[#This Row],[CUIT]],Lista_CUIT[#All],2,0)),"CUIT NO CARGADO")</f>
        <v>-</v>
      </c>
      <c r="H1369" s="64">
        <f>ventas_b_mes1[[#This Row],[TOTAL]]/1.21</f>
        <v>0</v>
      </c>
      <c r="I1369" s="183">
        <f>ventas_b_mes1[[#This Row],[IMPORTE NETO]]*0.21</f>
        <v>0</v>
      </c>
      <c r="J1369" s="184"/>
      <c r="K1369" s="184"/>
      <c r="L1369" s="184"/>
      <c r="M1369" s="59"/>
    </row>
    <row r="1370" spans="2:13" x14ac:dyDescent="0.3">
      <c r="B1370" s="178"/>
      <c r="C1370" s="179"/>
      <c r="D1370" s="180"/>
      <c r="E1370" s="181"/>
      <c r="F1370" s="182"/>
      <c r="G1370" s="1" t="str">
        <f>IFERROR(IF(ventas_b_mes1[[#This Row],[CUIT]]="","-",VLOOKUP(ventas_b_mes1[[#This Row],[CUIT]],Lista_CUIT[#All],2,0)),"CUIT NO CARGADO")</f>
        <v>-</v>
      </c>
      <c r="H1370" s="64">
        <f>ventas_b_mes1[[#This Row],[TOTAL]]/1.21</f>
        <v>0</v>
      </c>
      <c r="I1370" s="183">
        <f>ventas_b_mes1[[#This Row],[IMPORTE NETO]]*0.21</f>
        <v>0</v>
      </c>
      <c r="J1370" s="184"/>
      <c r="K1370" s="184"/>
      <c r="L1370" s="184"/>
      <c r="M1370" s="59"/>
    </row>
    <row r="1371" spans="2:13" x14ac:dyDescent="0.3">
      <c r="B1371" s="178"/>
      <c r="C1371" s="179"/>
      <c r="D1371" s="180"/>
      <c r="E1371" s="181"/>
      <c r="F1371" s="182"/>
      <c r="G1371" s="1" t="str">
        <f>IFERROR(IF(ventas_b_mes1[[#This Row],[CUIT]]="","-",VLOOKUP(ventas_b_mes1[[#This Row],[CUIT]],Lista_CUIT[#All],2,0)),"CUIT NO CARGADO")</f>
        <v>-</v>
      </c>
      <c r="H1371" s="64">
        <f>ventas_b_mes1[[#This Row],[TOTAL]]/1.21</f>
        <v>0</v>
      </c>
      <c r="I1371" s="183">
        <f>ventas_b_mes1[[#This Row],[IMPORTE NETO]]*0.21</f>
        <v>0</v>
      </c>
      <c r="J1371" s="184"/>
      <c r="K1371" s="184"/>
      <c r="L1371" s="184"/>
      <c r="M1371" s="59"/>
    </row>
    <row r="1372" spans="2:13" x14ac:dyDescent="0.3">
      <c r="B1372" s="178"/>
      <c r="C1372" s="179"/>
      <c r="D1372" s="180"/>
      <c r="E1372" s="181"/>
      <c r="F1372" s="182"/>
      <c r="G1372" s="1" t="str">
        <f>IFERROR(IF(ventas_b_mes1[[#This Row],[CUIT]]="","-",VLOOKUP(ventas_b_mes1[[#This Row],[CUIT]],Lista_CUIT[#All],2,0)),"CUIT NO CARGADO")</f>
        <v>-</v>
      </c>
      <c r="H1372" s="64">
        <f>ventas_b_mes1[[#This Row],[TOTAL]]/1.21</f>
        <v>0</v>
      </c>
      <c r="I1372" s="183">
        <f>ventas_b_mes1[[#This Row],[IMPORTE NETO]]*0.21</f>
        <v>0</v>
      </c>
      <c r="J1372" s="184"/>
      <c r="K1372" s="184"/>
      <c r="L1372" s="184"/>
      <c r="M1372" s="59"/>
    </row>
    <row r="1373" spans="2:13" x14ac:dyDescent="0.3">
      <c r="B1373" s="178"/>
      <c r="C1373" s="179"/>
      <c r="D1373" s="180"/>
      <c r="E1373" s="181"/>
      <c r="F1373" s="182"/>
      <c r="G1373" s="1" t="str">
        <f>IFERROR(IF(ventas_b_mes1[[#This Row],[CUIT]]="","-",VLOOKUP(ventas_b_mes1[[#This Row],[CUIT]],Lista_CUIT[#All],2,0)),"CUIT NO CARGADO")</f>
        <v>-</v>
      </c>
      <c r="H1373" s="64">
        <f>ventas_b_mes1[[#This Row],[TOTAL]]/1.21</f>
        <v>0</v>
      </c>
      <c r="I1373" s="183">
        <f>ventas_b_mes1[[#This Row],[IMPORTE NETO]]*0.21</f>
        <v>0</v>
      </c>
      <c r="J1373" s="184"/>
      <c r="K1373" s="184"/>
      <c r="L1373" s="184"/>
      <c r="M1373" s="59"/>
    </row>
    <row r="1374" spans="2:13" x14ac:dyDescent="0.3">
      <c r="B1374" s="178"/>
      <c r="C1374" s="179"/>
      <c r="D1374" s="180"/>
      <c r="E1374" s="181"/>
      <c r="F1374" s="182"/>
      <c r="G1374" s="1" t="str">
        <f>IFERROR(IF(ventas_b_mes1[[#This Row],[CUIT]]="","-",VLOOKUP(ventas_b_mes1[[#This Row],[CUIT]],Lista_CUIT[#All],2,0)),"CUIT NO CARGADO")</f>
        <v>-</v>
      </c>
      <c r="H1374" s="64">
        <f>ventas_b_mes1[[#This Row],[TOTAL]]/1.21</f>
        <v>0</v>
      </c>
      <c r="I1374" s="183">
        <f>ventas_b_mes1[[#This Row],[IMPORTE NETO]]*0.21</f>
        <v>0</v>
      </c>
      <c r="J1374" s="184"/>
      <c r="K1374" s="184"/>
      <c r="L1374" s="184"/>
      <c r="M1374" s="59"/>
    </row>
    <row r="1375" spans="2:13" x14ac:dyDescent="0.3">
      <c r="B1375" s="178"/>
      <c r="C1375" s="179"/>
      <c r="D1375" s="180"/>
      <c r="E1375" s="181"/>
      <c r="F1375" s="182"/>
      <c r="G1375" s="1" t="str">
        <f>IFERROR(IF(ventas_b_mes1[[#This Row],[CUIT]]="","-",VLOOKUP(ventas_b_mes1[[#This Row],[CUIT]],Lista_CUIT[#All],2,0)),"CUIT NO CARGADO")</f>
        <v>-</v>
      </c>
      <c r="H1375" s="64">
        <f>ventas_b_mes1[[#This Row],[TOTAL]]/1.21</f>
        <v>0</v>
      </c>
      <c r="I1375" s="183">
        <f>ventas_b_mes1[[#This Row],[IMPORTE NETO]]*0.21</f>
        <v>0</v>
      </c>
      <c r="J1375" s="184"/>
      <c r="K1375" s="184"/>
      <c r="L1375" s="184"/>
      <c r="M1375" s="59"/>
    </row>
    <row r="1376" spans="2:13" x14ac:dyDescent="0.3">
      <c r="B1376" s="178"/>
      <c r="C1376" s="179"/>
      <c r="D1376" s="180"/>
      <c r="E1376" s="181"/>
      <c r="F1376" s="182"/>
      <c r="G1376" s="1" t="str">
        <f>IFERROR(IF(ventas_b_mes1[[#This Row],[CUIT]]="","-",VLOOKUP(ventas_b_mes1[[#This Row],[CUIT]],Lista_CUIT[#All],2,0)),"CUIT NO CARGADO")</f>
        <v>-</v>
      </c>
      <c r="H1376" s="64">
        <f>ventas_b_mes1[[#This Row],[TOTAL]]/1.21</f>
        <v>0</v>
      </c>
      <c r="I1376" s="183">
        <f>ventas_b_mes1[[#This Row],[IMPORTE NETO]]*0.21</f>
        <v>0</v>
      </c>
      <c r="J1376" s="184"/>
      <c r="K1376" s="184"/>
      <c r="L1376" s="184"/>
      <c r="M1376" s="59"/>
    </row>
    <row r="1377" spans="2:13" x14ac:dyDescent="0.3">
      <c r="B1377" s="178"/>
      <c r="C1377" s="179"/>
      <c r="D1377" s="180"/>
      <c r="E1377" s="181"/>
      <c r="F1377" s="182"/>
      <c r="G1377" s="1" t="str">
        <f>IFERROR(IF(ventas_b_mes1[[#This Row],[CUIT]]="","-",VLOOKUP(ventas_b_mes1[[#This Row],[CUIT]],Lista_CUIT[#All],2,0)),"CUIT NO CARGADO")</f>
        <v>-</v>
      </c>
      <c r="H1377" s="64">
        <f>ventas_b_mes1[[#This Row],[TOTAL]]/1.21</f>
        <v>0</v>
      </c>
      <c r="I1377" s="183">
        <f>ventas_b_mes1[[#This Row],[IMPORTE NETO]]*0.21</f>
        <v>0</v>
      </c>
      <c r="J1377" s="184"/>
      <c r="K1377" s="184"/>
      <c r="L1377" s="184"/>
      <c r="M1377" s="59"/>
    </row>
    <row r="1378" spans="2:13" x14ac:dyDescent="0.3">
      <c r="B1378" s="178"/>
      <c r="C1378" s="179"/>
      <c r="D1378" s="180"/>
      <c r="E1378" s="181"/>
      <c r="F1378" s="182"/>
      <c r="G1378" s="1" t="str">
        <f>IFERROR(IF(ventas_b_mes1[[#This Row],[CUIT]]="","-",VLOOKUP(ventas_b_mes1[[#This Row],[CUIT]],Lista_CUIT[#All],2,0)),"CUIT NO CARGADO")</f>
        <v>-</v>
      </c>
      <c r="H1378" s="64">
        <f>ventas_b_mes1[[#This Row],[TOTAL]]/1.21</f>
        <v>0</v>
      </c>
      <c r="I1378" s="183">
        <f>ventas_b_mes1[[#This Row],[IMPORTE NETO]]*0.21</f>
        <v>0</v>
      </c>
      <c r="J1378" s="184"/>
      <c r="K1378" s="184"/>
      <c r="L1378" s="184"/>
      <c r="M1378" s="59"/>
    </row>
    <row r="1379" spans="2:13" x14ac:dyDescent="0.3">
      <c r="B1379" s="178"/>
      <c r="C1379" s="179"/>
      <c r="D1379" s="180"/>
      <c r="E1379" s="181"/>
      <c r="F1379" s="182"/>
      <c r="G1379" s="1" t="str">
        <f>IFERROR(IF(ventas_b_mes1[[#This Row],[CUIT]]="","-",VLOOKUP(ventas_b_mes1[[#This Row],[CUIT]],Lista_CUIT[#All],2,0)),"CUIT NO CARGADO")</f>
        <v>-</v>
      </c>
      <c r="H1379" s="64">
        <f>ventas_b_mes1[[#This Row],[TOTAL]]/1.21</f>
        <v>0</v>
      </c>
      <c r="I1379" s="183">
        <f>ventas_b_mes1[[#This Row],[IMPORTE NETO]]*0.21</f>
        <v>0</v>
      </c>
      <c r="J1379" s="184"/>
      <c r="K1379" s="184"/>
      <c r="L1379" s="184"/>
      <c r="M1379" s="59"/>
    </row>
    <row r="1380" spans="2:13" x14ac:dyDescent="0.3">
      <c r="B1380" s="178"/>
      <c r="C1380" s="179"/>
      <c r="D1380" s="180"/>
      <c r="E1380" s="181"/>
      <c r="F1380" s="182"/>
      <c r="G1380" s="1" t="str">
        <f>IFERROR(IF(ventas_b_mes1[[#This Row],[CUIT]]="","-",VLOOKUP(ventas_b_mes1[[#This Row],[CUIT]],Lista_CUIT[#All],2,0)),"CUIT NO CARGADO")</f>
        <v>-</v>
      </c>
      <c r="H1380" s="64">
        <f>ventas_b_mes1[[#This Row],[TOTAL]]/1.21</f>
        <v>0</v>
      </c>
      <c r="I1380" s="183">
        <f>ventas_b_mes1[[#This Row],[IMPORTE NETO]]*0.21</f>
        <v>0</v>
      </c>
      <c r="J1380" s="184"/>
      <c r="K1380" s="184"/>
      <c r="L1380" s="184"/>
      <c r="M1380" s="59"/>
    </row>
    <row r="1381" spans="2:13" x14ac:dyDescent="0.3">
      <c r="B1381" s="178"/>
      <c r="C1381" s="179"/>
      <c r="D1381" s="180"/>
      <c r="E1381" s="181"/>
      <c r="F1381" s="182"/>
      <c r="G1381" s="1" t="str">
        <f>IFERROR(IF(ventas_b_mes1[[#This Row],[CUIT]]="","-",VLOOKUP(ventas_b_mes1[[#This Row],[CUIT]],Lista_CUIT[#All],2,0)),"CUIT NO CARGADO")</f>
        <v>-</v>
      </c>
      <c r="H1381" s="64">
        <f>ventas_b_mes1[[#This Row],[TOTAL]]/1.21</f>
        <v>0</v>
      </c>
      <c r="I1381" s="183">
        <f>ventas_b_mes1[[#This Row],[IMPORTE NETO]]*0.21</f>
        <v>0</v>
      </c>
      <c r="J1381" s="184"/>
      <c r="K1381" s="184"/>
      <c r="L1381" s="184"/>
      <c r="M1381" s="59"/>
    </row>
    <row r="1382" spans="2:13" x14ac:dyDescent="0.3">
      <c r="B1382" s="178"/>
      <c r="C1382" s="179"/>
      <c r="D1382" s="180"/>
      <c r="E1382" s="181"/>
      <c r="F1382" s="182"/>
      <c r="G1382" s="1" t="str">
        <f>IFERROR(IF(ventas_b_mes1[[#This Row],[CUIT]]="","-",VLOOKUP(ventas_b_mes1[[#This Row],[CUIT]],Lista_CUIT[#All],2,0)),"CUIT NO CARGADO")</f>
        <v>-</v>
      </c>
      <c r="H1382" s="64">
        <f>ventas_b_mes1[[#This Row],[TOTAL]]/1.21</f>
        <v>0</v>
      </c>
      <c r="I1382" s="183">
        <f>ventas_b_mes1[[#This Row],[IMPORTE NETO]]*0.21</f>
        <v>0</v>
      </c>
      <c r="J1382" s="184"/>
      <c r="K1382" s="184"/>
      <c r="L1382" s="184"/>
      <c r="M1382" s="59"/>
    </row>
    <row r="1383" spans="2:13" x14ac:dyDescent="0.3">
      <c r="B1383" s="178"/>
      <c r="C1383" s="179"/>
      <c r="D1383" s="180"/>
      <c r="E1383" s="181"/>
      <c r="F1383" s="182"/>
      <c r="G1383" s="1" t="str">
        <f>IFERROR(IF(ventas_b_mes1[[#This Row],[CUIT]]="","-",VLOOKUP(ventas_b_mes1[[#This Row],[CUIT]],Lista_CUIT[#All],2,0)),"CUIT NO CARGADO")</f>
        <v>-</v>
      </c>
      <c r="H1383" s="64">
        <f>ventas_b_mes1[[#This Row],[TOTAL]]/1.21</f>
        <v>0</v>
      </c>
      <c r="I1383" s="183">
        <f>ventas_b_mes1[[#This Row],[IMPORTE NETO]]*0.21</f>
        <v>0</v>
      </c>
      <c r="J1383" s="184"/>
      <c r="K1383" s="184"/>
      <c r="L1383" s="184"/>
      <c r="M1383" s="59"/>
    </row>
    <row r="1384" spans="2:13" x14ac:dyDescent="0.3">
      <c r="B1384" s="178"/>
      <c r="C1384" s="179"/>
      <c r="D1384" s="180"/>
      <c r="E1384" s="181"/>
      <c r="F1384" s="182"/>
      <c r="G1384" s="1" t="str">
        <f>IFERROR(IF(ventas_b_mes1[[#This Row],[CUIT]]="","-",VLOOKUP(ventas_b_mes1[[#This Row],[CUIT]],Lista_CUIT[#All],2,0)),"CUIT NO CARGADO")</f>
        <v>-</v>
      </c>
      <c r="H1384" s="64">
        <f>ventas_b_mes1[[#This Row],[TOTAL]]/1.21</f>
        <v>0</v>
      </c>
      <c r="I1384" s="183">
        <f>ventas_b_mes1[[#This Row],[IMPORTE NETO]]*0.21</f>
        <v>0</v>
      </c>
      <c r="J1384" s="184"/>
      <c r="K1384" s="184"/>
      <c r="L1384" s="184"/>
      <c r="M1384" s="59"/>
    </row>
    <row r="1385" spans="2:13" x14ac:dyDescent="0.3">
      <c r="B1385" s="178"/>
      <c r="C1385" s="179"/>
      <c r="D1385" s="180"/>
      <c r="E1385" s="181"/>
      <c r="F1385" s="182"/>
      <c r="G1385" s="1" t="str">
        <f>IFERROR(IF(ventas_b_mes1[[#This Row],[CUIT]]="","-",VLOOKUP(ventas_b_mes1[[#This Row],[CUIT]],Lista_CUIT[#All],2,0)),"CUIT NO CARGADO")</f>
        <v>-</v>
      </c>
      <c r="H1385" s="64">
        <f>ventas_b_mes1[[#This Row],[TOTAL]]/1.21</f>
        <v>0</v>
      </c>
      <c r="I1385" s="183">
        <f>ventas_b_mes1[[#This Row],[IMPORTE NETO]]*0.21</f>
        <v>0</v>
      </c>
      <c r="J1385" s="184"/>
      <c r="K1385" s="184"/>
      <c r="L1385" s="184"/>
      <c r="M1385" s="59"/>
    </row>
    <row r="1386" spans="2:13" x14ac:dyDescent="0.3">
      <c r="B1386" s="178"/>
      <c r="C1386" s="179"/>
      <c r="D1386" s="180"/>
      <c r="E1386" s="181"/>
      <c r="F1386" s="182"/>
      <c r="G1386" s="1" t="str">
        <f>IFERROR(IF(ventas_b_mes1[[#This Row],[CUIT]]="","-",VLOOKUP(ventas_b_mes1[[#This Row],[CUIT]],Lista_CUIT[#All],2,0)),"CUIT NO CARGADO")</f>
        <v>-</v>
      </c>
      <c r="H1386" s="64">
        <f>ventas_b_mes1[[#This Row],[TOTAL]]/1.21</f>
        <v>0</v>
      </c>
      <c r="I1386" s="183">
        <f>ventas_b_mes1[[#This Row],[IMPORTE NETO]]*0.21</f>
        <v>0</v>
      </c>
      <c r="J1386" s="184"/>
      <c r="K1386" s="184"/>
      <c r="L1386" s="184"/>
      <c r="M1386" s="59"/>
    </row>
    <row r="1387" spans="2:13" x14ac:dyDescent="0.3">
      <c r="B1387" s="178"/>
      <c r="C1387" s="179"/>
      <c r="D1387" s="180"/>
      <c r="E1387" s="181"/>
      <c r="F1387" s="182"/>
      <c r="G1387" s="1" t="str">
        <f>IFERROR(IF(ventas_b_mes1[[#This Row],[CUIT]]="","-",VLOOKUP(ventas_b_mes1[[#This Row],[CUIT]],Lista_CUIT[#All],2,0)),"CUIT NO CARGADO")</f>
        <v>-</v>
      </c>
      <c r="H1387" s="64">
        <f>ventas_b_mes1[[#This Row],[TOTAL]]/1.21</f>
        <v>0</v>
      </c>
      <c r="I1387" s="183">
        <f>ventas_b_mes1[[#This Row],[IMPORTE NETO]]*0.21</f>
        <v>0</v>
      </c>
      <c r="J1387" s="184"/>
      <c r="K1387" s="184"/>
      <c r="L1387" s="184"/>
      <c r="M1387" s="59"/>
    </row>
    <row r="1388" spans="2:13" x14ac:dyDescent="0.3">
      <c r="B1388" s="178"/>
      <c r="C1388" s="179"/>
      <c r="D1388" s="180"/>
      <c r="E1388" s="181"/>
      <c r="F1388" s="182"/>
      <c r="G1388" s="1" t="str">
        <f>IFERROR(IF(ventas_b_mes1[[#This Row],[CUIT]]="","-",VLOOKUP(ventas_b_mes1[[#This Row],[CUIT]],Lista_CUIT[#All],2,0)),"CUIT NO CARGADO")</f>
        <v>-</v>
      </c>
      <c r="H1388" s="64">
        <f>ventas_b_mes1[[#This Row],[TOTAL]]/1.21</f>
        <v>0</v>
      </c>
      <c r="I1388" s="183">
        <f>ventas_b_mes1[[#This Row],[IMPORTE NETO]]*0.21</f>
        <v>0</v>
      </c>
      <c r="J1388" s="184"/>
      <c r="K1388" s="184"/>
      <c r="L1388" s="184"/>
      <c r="M1388" s="59"/>
    </row>
    <row r="1389" spans="2:13" x14ac:dyDescent="0.3">
      <c r="B1389" s="178"/>
      <c r="C1389" s="179"/>
      <c r="D1389" s="180"/>
      <c r="E1389" s="181"/>
      <c r="F1389" s="182"/>
      <c r="G1389" s="1" t="str">
        <f>IFERROR(IF(ventas_b_mes1[[#This Row],[CUIT]]="","-",VLOOKUP(ventas_b_mes1[[#This Row],[CUIT]],Lista_CUIT[#All],2,0)),"CUIT NO CARGADO")</f>
        <v>-</v>
      </c>
      <c r="H1389" s="64">
        <f>ventas_b_mes1[[#This Row],[TOTAL]]/1.21</f>
        <v>0</v>
      </c>
      <c r="I1389" s="183">
        <f>ventas_b_mes1[[#This Row],[IMPORTE NETO]]*0.21</f>
        <v>0</v>
      </c>
      <c r="J1389" s="184"/>
      <c r="K1389" s="184"/>
      <c r="L1389" s="184"/>
      <c r="M1389" s="59"/>
    </row>
    <row r="1390" spans="2:13" x14ac:dyDescent="0.3">
      <c r="B1390" s="178"/>
      <c r="C1390" s="179"/>
      <c r="D1390" s="180"/>
      <c r="E1390" s="181"/>
      <c r="F1390" s="182"/>
      <c r="G1390" s="1" t="str">
        <f>IFERROR(IF(ventas_b_mes1[[#This Row],[CUIT]]="","-",VLOOKUP(ventas_b_mes1[[#This Row],[CUIT]],Lista_CUIT[#All],2,0)),"CUIT NO CARGADO")</f>
        <v>-</v>
      </c>
      <c r="H1390" s="64">
        <f>ventas_b_mes1[[#This Row],[TOTAL]]/1.21</f>
        <v>0</v>
      </c>
      <c r="I1390" s="183">
        <f>ventas_b_mes1[[#This Row],[IMPORTE NETO]]*0.21</f>
        <v>0</v>
      </c>
      <c r="J1390" s="184"/>
      <c r="K1390" s="184"/>
      <c r="L1390" s="184"/>
      <c r="M1390" s="59"/>
    </row>
    <row r="1391" spans="2:13" x14ac:dyDescent="0.3">
      <c r="B1391" s="178"/>
      <c r="C1391" s="179"/>
      <c r="D1391" s="180"/>
      <c r="E1391" s="181"/>
      <c r="F1391" s="182"/>
      <c r="G1391" s="1" t="str">
        <f>IFERROR(IF(ventas_b_mes1[[#This Row],[CUIT]]="","-",VLOOKUP(ventas_b_mes1[[#This Row],[CUIT]],Lista_CUIT[#All],2,0)),"CUIT NO CARGADO")</f>
        <v>-</v>
      </c>
      <c r="H1391" s="64">
        <f>ventas_b_mes1[[#This Row],[TOTAL]]/1.21</f>
        <v>0</v>
      </c>
      <c r="I1391" s="183">
        <f>ventas_b_mes1[[#This Row],[IMPORTE NETO]]*0.21</f>
        <v>0</v>
      </c>
      <c r="J1391" s="184"/>
      <c r="K1391" s="184"/>
      <c r="L1391" s="184"/>
      <c r="M1391" s="59"/>
    </row>
    <row r="1392" spans="2:13" x14ac:dyDescent="0.3">
      <c r="B1392" s="178"/>
      <c r="C1392" s="179"/>
      <c r="D1392" s="180"/>
      <c r="E1392" s="181"/>
      <c r="F1392" s="182"/>
      <c r="G1392" s="1" t="str">
        <f>IFERROR(IF(ventas_b_mes1[[#This Row],[CUIT]]="","-",VLOOKUP(ventas_b_mes1[[#This Row],[CUIT]],Lista_CUIT[#All],2,0)),"CUIT NO CARGADO")</f>
        <v>-</v>
      </c>
      <c r="H1392" s="64">
        <f>ventas_b_mes1[[#This Row],[TOTAL]]/1.21</f>
        <v>0</v>
      </c>
      <c r="I1392" s="183">
        <f>ventas_b_mes1[[#This Row],[IMPORTE NETO]]*0.21</f>
        <v>0</v>
      </c>
      <c r="J1392" s="184"/>
      <c r="K1392" s="184"/>
      <c r="L1392" s="184"/>
      <c r="M1392" s="59"/>
    </row>
    <row r="1393" spans="2:13" x14ac:dyDescent="0.3">
      <c r="B1393" s="178"/>
      <c r="C1393" s="179"/>
      <c r="D1393" s="180"/>
      <c r="E1393" s="181"/>
      <c r="F1393" s="182"/>
      <c r="G1393" s="1" t="str">
        <f>IFERROR(IF(ventas_b_mes1[[#This Row],[CUIT]]="","-",VLOOKUP(ventas_b_mes1[[#This Row],[CUIT]],Lista_CUIT[#All],2,0)),"CUIT NO CARGADO")</f>
        <v>-</v>
      </c>
      <c r="H1393" s="64">
        <f>ventas_b_mes1[[#This Row],[TOTAL]]/1.21</f>
        <v>0</v>
      </c>
      <c r="I1393" s="183">
        <f>ventas_b_mes1[[#This Row],[IMPORTE NETO]]*0.21</f>
        <v>0</v>
      </c>
      <c r="J1393" s="184"/>
      <c r="K1393" s="184"/>
      <c r="L1393" s="184"/>
      <c r="M1393" s="59"/>
    </row>
    <row r="1394" spans="2:13" x14ac:dyDescent="0.3">
      <c r="B1394" s="178"/>
      <c r="C1394" s="179"/>
      <c r="D1394" s="180"/>
      <c r="E1394" s="181"/>
      <c r="F1394" s="182"/>
      <c r="G1394" s="1" t="str">
        <f>IFERROR(IF(ventas_b_mes1[[#This Row],[CUIT]]="","-",VLOOKUP(ventas_b_mes1[[#This Row],[CUIT]],Lista_CUIT[#All],2,0)),"CUIT NO CARGADO")</f>
        <v>-</v>
      </c>
      <c r="H1394" s="64">
        <f>ventas_b_mes1[[#This Row],[TOTAL]]/1.21</f>
        <v>0</v>
      </c>
      <c r="I1394" s="183">
        <f>ventas_b_mes1[[#This Row],[IMPORTE NETO]]*0.21</f>
        <v>0</v>
      </c>
      <c r="J1394" s="184"/>
      <c r="K1394" s="184"/>
      <c r="L1394" s="184"/>
      <c r="M1394" s="59"/>
    </row>
    <row r="1395" spans="2:13" x14ac:dyDescent="0.3">
      <c r="B1395" s="178"/>
      <c r="C1395" s="179"/>
      <c r="D1395" s="180"/>
      <c r="E1395" s="181"/>
      <c r="F1395" s="182"/>
      <c r="G1395" s="1" t="str">
        <f>IFERROR(IF(ventas_b_mes1[[#This Row],[CUIT]]="","-",VLOOKUP(ventas_b_mes1[[#This Row],[CUIT]],Lista_CUIT[#All],2,0)),"CUIT NO CARGADO")</f>
        <v>-</v>
      </c>
      <c r="H1395" s="64">
        <f>ventas_b_mes1[[#This Row],[TOTAL]]/1.21</f>
        <v>0</v>
      </c>
      <c r="I1395" s="183">
        <f>ventas_b_mes1[[#This Row],[IMPORTE NETO]]*0.21</f>
        <v>0</v>
      </c>
      <c r="J1395" s="184"/>
      <c r="K1395" s="184"/>
      <c r="L1395" s="184"/>
      <c r="M1395" s="59"/>
    </row>
    <row r="1396" spans="2:13" x14ac:dyDescent="0.3">
      <c r="B1396" s="178"/>
      <c r="C1396" s="179"/>
      <c r="D1396" s="180"/>
      <c r="E1396" s="181"/>
      <c r="F1396" s="182"/>
      <c r="G1396" s="1" t="str">
        <f>IFERROR(IF(ventas_b_mes1[[#This Row],[CUIT]]="","-",VLOOKUP(ventas_b_mes1[[#This Row],[CUIT]],Lista_CUIT[#All],2,0)),"CUIT NO CARGADO")</f>
        <v>-</v>
      </c>
      <c r="H1396" s="64">
        <f>ventas_b_mes1[[#This Row],[TOTAL]]/1.21</f>
        <v>0</v>
      </c>
      <c r="I1396" s="183">
        <f>ventas_b_mes1[[#This Row],[IMPORTE NETO]]*0.21</f>
        <v>0</v>
      </c>
      <c r="J1396" s="184"/>
      <c r="K1396" s="184"/>
      <c r="L1396" s="184"/>
      <c r="M1396" s="59"/>
    </row>
    <row r="1397" spans="2:13" x14ac:dyDescent="0.3">
      <c r="B1397" s="178"/>
      <c r="C1397" s="179"/>
      <c r="D1397" s="180"/>
      <c r="E1397" s="181"/>
      <c r="F1397" s="182"/>
      <c r="G1397" s="1" t="str">
        <f>IFERROR(IF(ventas_b_mes1[[#This Row],[CUIT]]="","-",VLOOKUP(ventas_b_mes1[[#This Row],[CUIT]],Lista_CUIT[#All],2,0)),"CUIT NO CARGADO")</f>
        <v>-</v>
      </c>
      <c r="H1397" s="64">
        <f>ventas_b_mes1[[#This Row],[TOTAL]]/1.21</f>
        <v>0</v>
      </c>
      <c r="I1397" s="183">
        <f>ventas_b_mes1[[#This Row],[IMPORTE NETO]]*0.21</f>
        <v>0</v>
      </c>
      <c r="J1397" s="184"/>
      <c r="K1397" s="184"/>
      <c r="L1397" s="184"/>
      <c r="M1397" s="59"/>
    </row>
    <row r="1398" spans="2:13" x14ac:dyDescent="0.3">
      <c r="B1398" s="178"/>
      <c r="C1398" s="179"/>
      <c r="D1398" s="180"/>
      <c r="E1398" s="181"/>
      <c r="F1398" s="182"/>
      <c r="G1398" s="1" t="str">
        <f>IFERROR(IF(ventas_b_mes1[[#This Row],[CUIT]]="","-",VLOOKUP(ventas_b_mes1[[#This Row],[CUIT]],Lista_CUIT[#All],2,0)),"CUIT NO CARGADO")</f>
        <v>-</v>
      </c>
      <c r="H1398" s="64">
        <f>ventas_b_mes1[[#This Row],[TOTAL]]/1.21</f>
        <v>0</v>
      </c>
      <c r="I1398" s="183">
        <f>ventas_b_mes1[[#This Row],[IMPORTE NETO]]*0.21</f>
        <v>0</v>
      </c>
      <c r="J1398" s="184"/>
      <c r="K1398" s="184"/>
      <c r="L1398" s="184"/>
      <c r="M1398" s="59"/>
    </row>
    <row r="1399" spans="2:13" x14ac:dyDescent="0.3">
      <c r="B1399" s="178"/>
      <c r="C1399" s="179"/>
      <c r="D1399" s="180"/>
      <c r="E1399" s="181"/>
      <c r="F1399" s="182"/>
      <c r="G1399" s="1" t="str">
        <f>IFERROR(IF(ventas_b_mes1[[#This Row],[CUIT]]="","-",VLOOKUP(ventas_b_mes1[[#This Row],[CUIT]],Lista_CUIT[#All],2,0)),"CUIT NO CARGADO")</f>
        <v>-</v>
      </c>
      <c r="H1399" s="64">
        <f>ventas_b_mes1[[#This Row],[TOTAL]]/1.21</f>
        <v>0</v>
      </c>
      <c r="I1399" s="183">
        <f>ventas_b_mes1[[#This Row],[IMPORTE NETO]]*0.21</f>
        <v>0</v>
      </c>
      <c r="J1399" s="184"/>
      <c r="K1399" s="184"/>
      <c r="L1399" s="184"/>
      <c r="M1399" s="59"/>
    </row>
    <row r="1400" spans="2:13" x14ac:dyDescent="0.3">
      <c r="B1400" s="178"/>
      <c r="C1400" s="179"/>
      <c r="D1400" s="180"/>
      <c r="E1400" s="181"/>
      <c r="F1400" s="182"/>
      <c r="G1400" s="1" t="str">
        <f>IFERROR(IF(ventas_b_mes1[[#This Row],[CUIT]]="","-",VLOOKUP(ventas_b_mes1[[#This Row],[CUIT]],Lista_CUIT[#All],2,0)),"CUIT NO CARGADO")</f>
        <v>-</v>
      </c>
      <c r="H1400" s="64">
        <f>ventas_b_mes1[[#This Row],[TOTAL]]/1.21</f>
        <v>0</v>
      </c>
      <c r="I1400" s="183">
        <f>ventas_b_mes1[[#This Row],[IMPORTE NETO]]*0.21</f>
        <v>0</v>
      </c>
      <c r="J1400" s="184"/>
      <c r="K1400" s="184"/>
      <c r="L1400" s="184"/>
      <c r="M1400" s="59"/>
    </row>
    <row r="1401" spans="2:13" x14ac:dyDescent="0.3">
      <c r="B1401" s="178"/>
      <c r="C1401" s="179"/>
      <c r="D1401" s="180"/>
      <c r="E1401" s="181"/>
      <c r="F1401" s="182"/>
      <c r="G1401" s="1" t="str">
        <f>IFERROR(IF(ventas_b_mes1[[#This Row],[CUIT]]="","-",VLOOKUP(ventas_b_mes1[[#This Row],[CUIT]],Lista_CUIT[#All],2,0)),"CUIT NO CARGADO")</f>
        <v>-</v>
      </c>
      <c r="H1401" s="64">
        <f>ventas_b_mes1[[#This Row],[TOTAL]]/1.21</f>
        <v>0</v>
      </c>
      <c r="I1401" s="183">
        <f>ventas_b_mes1[[#This Row],[IMPORTE NETO]]*0.21</f>
        <v>0</v>
      </c>
      <c r="J1401" s="184"/>
      <c r="K1401" s="184"/>
      <c r="L1401" s="184"/>
      <c r="M1401" s="59"/>
    </row>
    <row r="1402" spans="2:13" x14ac:dyDescent="0.3">
      <c r="B1402" s="178"/>
      <c r="C1402" s="179"/>
      <c r="D1402" s="180"/>
      <c r="E1402" s="181"/>
      <c r="F1402" s="182"/>
      <c r="G1402" s="1" t="str">
        <f>IFERROR(IF(ventas_b_mes1[[#This Row],[CUIT]]="","-",VLOOKUP(ventas_b_mes1[[#This Row],[CUIT]],Lista_CUIT[#All],2,0)),"CUIT NO CARGADO")</f>
        <v>-</v>
      </c>
      <c r="H1402" s="64">
        <f>ventas_b_mes1[[#This Row],[TOTAL]]/1.21</f>
        <v>0</v>
      </c>
      <c r="I1402" s="183">
        <f>ventas_b_mes1[[#This Row],[IMPORTE NETO]]*0.21</f>
        <v>0</v>
      </c>
      <c r="J1402" s="184"/>
      <c r="K1402" s="184"/>
      <c r="L1402" s="184"/>
      <c r="M1402" s="59"/>
    </row>
    <row r="1403" spans="2:13" x14ac:dyDescent="0.3">
      <c r="B1403" s="178"/>
      <c r="C1403" s="179"/>
      <c r="D1403" s="180"/>
      <c r="E1403" s="181"/>
      <c r="F1403" s="182"/>
      <c r="G1403" s="1" t="str">
        <f>IFERROR(IF(ventas_b_mes1[[#This Row],[CUIT]]="","-",VLOOKUP(ventas_b_mes1[[#This Row],[CUIT]],Lista_CUIT[#All],2,0)),"CUIT NO CARGADO")</f>
        <v>-</v>
      </c>
      <c r="H1403" s="64">
        <f>ventas_b_mes1[[#This Row],[TOTAL]]/1.21</f>
        <v>0</v>
      </c>
      <c r="I1403" s="183">
        <f>ventas_b_mes1[[#This Row],[IMPORTE NETO]]*0.21</f>
        <v>0</v>
      </c>
      <c r="J1403" s="184"/>
      <c r="K1403" s="184"/>
      <c r="L1403" s="184"/>
      <c r="M1403" s="59"/>
    </row>
    <row r="1404" spans="2:13" x14ac:dyDescent="0.3">
      <c r="B1404" s="178"/>
      <c r="C1404" s="179"/>
      <c r="D1404" s="180"/>
      <c r="E1404" s="181"/>
      <c r="F1404" s="182"/>
      <c r="G1404" s="1" t="str">
        <f>IFERROR(IF(ventas_b_mes1[[#This Row],[CUIT]]="","-",VLOOKUP(ventas_b_mes1[[#This Row],[CUIT]],Lista_CUIT[#All],2,0)),"CUIT NO CARGADO")</f>
        <v>-</v>
      </c>
      <c r="H1404" s="64">
        <f>ventas_b_mes1[[#This Row],[TOTAL]]/1.21</f>
        <v>0</v>
      </c>
      <c r="I1404" s="183">
        <f>ventas_b_mes1[[#This Row],[IMPORTE NETO]]*0.21</f>
        <v>0</v>
      </c>
      <c r="J1404" s="184"/>
      <c r="K1404" s="184"/>
      <c r="L1404" s="184"/>
      <c r="M1404" s="59"/>
    </row>
    <row r="1405" spans="2:13" x14ac:dyDescent="0.3">
      <c r="B1405" s="178"/>
      <c r="C1405" s="179"/>
      <c r="D1405" s="180"/>
      <c r="E1405" s="181"/>
      <c r="F1405" s="182"/>
      <c r="G1405" s="1" t="str">
        <f>IFERROR(IF(ventas_b_mes1[[#This Row],[CUIT]]="","-",VLOOKUP(ventas_b_mes1[[#This Row],[CUIT]],Lista_CUIT[#All],2,0)),"CUIT NO CARGADO")</f>
        <v>-</v>
      </c>
      <c r="H1405" s="64">
        <f>ventas_b_mes1[[#This Row],[TOTAL]]/1.21</f>
        <v>0</v>
      </c>
      <c r="I1405" s="183">
        <f>ventas_b_mes1[[#This Row],[IMPORTE NETO]]*0.21</f>
        <v>0</v>
      </c>
      <c r="J1405" s="184"/>
      <c r="K1405" s="184"/>
      <c r="L1405" s="184"/>
      <c r="M1405" s="59"/>
    </row>
    <row r="1406" spans="2:13" x14ac:dyDescent="0.3">
      <c r="B1406" s="178"/>
      <c r="C1406" s="179"/>
      <c r="D1406" s="180"/>
      <c r="E1406" s="181"/>
      <c r="F1406" s="182"/>
      <c r="G1406" s="1" t="str">
        <f>IFERROR(IF(ventas_b_mes1[[#This Row],[CUIT]]="","-",VLOOKUP(ventas_b_mes1[[#This Row],[CUIT]],Lista_CUIT[#All],2,0)),"CUIT NO CARGADO")</f>
        <v>-</v>
      </c>
      <c r="H1406" s="64">
        <f>ventas_b_mes1[[#This Row],[TOTAL]]/1.21</f>
        <v>0</v>
      </c>
      <c r="I1406" s="183">
        <f>ventas_b_mes1[[#This Row],[IMPORTE NETO]]*0.21</f>
        <v>0</v>
      </c>
      <c r="J1406" s="184"/>
      <c r="K1406" s="184"/>
      <c r="L1406" s="184"/>
      <c r="M1406" s="59"/>
    </row>
    <row r="1407" spans="2:13" x14ac:dyDescent="0.3">
      <c r="B1407" s="178"/>
      <c r="C1407" s="179"/>
      <c r="D1407" s="180"/>
      <c r="E1407" s="181"/>
      <c r="F1407" s="182"/>
      <c r="G1407" s="1" t="str">
        <f>IFERROR(IF(ventas_b_mes1[[#This Row],[CUIT]]="","-",VLOOKUP(ventas_b_mes1[[#This Row],[CUIT]],Lista_CUIT[#All],2,0)),"CUIT NO CARGADO")</f>
        <v>-</v>
      </c>
      <c r="H1407" s="64">
        <f>ventas_b_mes1[[#This Row],[TOTAL]]/1.21</f>
        <v>0</v>
      </c>
      <c r="I1407" s="183">
        <f>ventas_b_mes1[[#This Row],[IMPORTE NETO]]*0.21</f>
        <v>0</v>
      </c>
      <c r="J1407" s="184"/>
      <c r="K1407" s="184"/>
      <c r="L1407" s="184"/>
      <c r="M1407" s="59"/>
    </row>
    <row r="1408" spans="2:13" x14ac:dyDescent="0.3">
      <c r="B1408" s="178"/>
      <c r="C1408" s="179"/>
      <c r="D1408" s="180"/>
      <c r="E1408" s="181"/>
      <c r="F1408" s="182"/>
      <c r="G1408" s="1" t="str">
        <f>IFERROR(IF(ventas_b_mes1[[#This Row],[CUIT]]="","-",VLOOKUP(ventas_b_mes1[[#This Row],[CUIT]],Lista_CUIT[#All],2,0)),"CUIT NO CARGADO")</f>
        <v>-</v>
      </c>
      <c r="H1408" s="64">
        <f>ventas_b_mes1[[#This Row],[TOTAL]]/1.21</f>
        <v>0</v>
      </c>
      <c r="I1408" s="183">
        <f>ventas_b_mes1[[#This Row],[IMPORTE NETO]]*0.21</f>
        <v>0</v>
      </c>
      <c r="J1408" s="184"/>
      <c r="K1408" s="184"/>
      <c r="L1408" s="184"/>
      <c r="M1408" s="59"/>
    </row>
    <row r="1409" spans="2:13" x14ac:dyDescent="0.3">
      <c r="B1409" s="178"/>
      <c r="C1409" s="179"/>
      <c r="D1409" s="180"/>
      <c r="E1409" s="181"/>
      <c r="F1409" s="182"/>
      <c r="G1409" s="1" t="str">
        <f>IFERROR(IF(ventas_b_mes1[[#This Row],[CUIT]]="","-",VLOOKUP(ventas_b_mes1[[#This Row],[CUIT]],Lista_CUIT[#All],2,0)),"CUIT NO CARGADO")</f>
        <v>-</v>
      </c>
      <c r="H1409" s="64">
        <f>ventas_b_mes1[[#This Row],[TOTAL]]/1.21</f>
        <v>0</v>
      </c>
      <c r="I1409" s="183">
        <f>ventas_b_mes1[[#This Row],[IMPORTE NETO]]*0.21</f>
        <v>0</v>
      </c>
      <c r="J1409" s="184"/>
      <c r="K1409" s="184"/>
      <c r="L1409" s="184"/>
      <c r="M1409" s="59"/>
    </row>
    <row r="1410" spans="2:13" x14ac:dyDescent="0.3">
      <c r="B1410" s="178"/>
      <c r="C1410" s="179"/>
      <c r="D1410" s="180"/>
      <c r="E1410" s="181"/>
      <c r="F1410" s="182"/>
      <c r="G1410" s="1" t="str">
        <f>IFERROR(IF(ventas_b_mes1[[#This Row],[CUIT]]="","-",VLOOKUP(ventas_b_mes1[[#This Row],[CUIT]],Lista_CUIT[#All],2,0)),"CUIT NO CARGADO")</f>
        <v>-</v>
      </c>
      <c r="H1410" s="64">
        <f>ventas_b_mes1[[#This Row],[TOTAL]]/1.21</f>
        <v>0</v>
      </c>
      <c r="I1410" s="183">
        <f>ventas_b_mes1[[#This Row],[IMPORTE NETO]]*0.21</f>
        <v>0</v>
      </c>
      <c r="J1410" s="184"/>
      <c r="K1410" s="184"/>
      <c r="L1410" s="184"/>
      <c r="M1410" s="59"/>
    </row>
    <row r="1411" spans="2:13" x14ac:dyDescent="0.3">
      <c r="B1411" s="178"/>
      <c r="C1411" s="179"/>
      <c r="D1411" s="180"/>
      <c r="E1411" s="181"/>
      <c r="F1411" s="182"/>
      <c r="G1411" s="1" t="str">
        <f>IFERROR(IF(ventas_b_mes1[[#This Row],[CUIT]]="","-",VLOOKUP(ventas_b_mes1[[#This Row],[CUIT]],Lista_CUIT[#All],2,0)),"CUIT NO CARGADO")</f>
        <v>-</v>
      </c>
      <c r="H1411" s="64">
        <f>ventas_b_mes1[[#This Row],[TOTAL]]/1.21</f>
        <v>0</v>
      </c>
      <c r="I1411" s="183">
        <f>ventas_b_mes1[[#This Row],[IMPORTE NETO]]*0.21</f>
        <v>0</v>
      </c>
      <c r="J1411" s="184"/>
      <c r="K1411" s="184"/>
      <c r="L1411" s="184"/>
      <c r="M1411" s="59"/>
    </row>
    <row r="1412" spans="2:13" x14ac:dyDescent="0.3">
      <c r="B1412" s="178"/>
      <c r="C1412" s="179"/>
      <c r="D1412" s="180"/>
      <c r="E1412" s="181"/>
      <c r="F1412" s="182"/>
      <c r="G1412" s="1" t="str">
        <f>IFERROR(IF(ventas_b_mes1[[#This Row],[CUIT]]="","-",VLOOKUP(ventas_b_mes1[[#This Row],[CUIT]],Lista_CUIT[#All],2,0)),"CUIT NO CARGADO")</f>
        <v>-</v>
      </c>
      <c r="H1412" s="64">
        <f>ventas_b_mes1[[#This Row],[TOTAL]]/1.21</f>
        <v>0</v>
      </c>
      <c r="I1412" s="183">
        <f>ventas_b_mes1[[#This Row],[IMPORTE NETO]]*0.21</f>
        <v>0</v>
      </c>
      <c r="J1412" s="184"/>
      <c r="K1412" s="184"/>
      <c r="L1412" s="184"/>
      <c r="M1412" s="59"/>
    </row>
    <row r="1413" spans="2:13" x14ac:dyDescent="0.3">
      <c r="B1413" s="178"/>
      <c r="C1413" s="179"/>
      <c r="D1413" s="180"/>
      <c r="E1413" s="181"/>
      <c r="F1413" s="182"/>
      <c r="G1413" s="1" t="str">
        <f>IFERROR(IF(ventas_b_mes1[[#This Row],[CUIT]]="","-",VLOOKUP(ventas_b_mes1[[#This Row],[CUIT]],Lista_CUIT[#All],2,0)),"CUIT NO CARGADO")</f>
        <v>-</v>
      </c>
      <c r="H1413" s="64">
        <f>ventas_b_mes1[[#This Row],[TOTAL]]/1.21</f>
        <v>0</v>
      </c>
      <c r="I1413" s="183">
        <f>ventas_b_mes1[[#This Row],[IMPORTE NETO]]*0.21</f>
        <v>0</v>
      </c>
      <c r="J1413" s="184"/>
      <c r="K1413" s="184"/>
      <c r="L1413" s="184"/>
      <c r="M1413" s="59"/>
    </row>
    <row r="1414" spans="2:13" x14ac:dyDescent="0.3">
      <c r="B1414" s="178"/>
      <c r="C1414" s="179"/>
      <c r="D1414" s="180"/>
      <c r="E1414" s="181"/>
      <c r="F1414" s="182"/>
      <c r="G1414" s="1" t="str">
        <f>IFERROR(IF(ventas_b_mes1[[#This Row],[CUIT]]="","-",VLOOKUP(ventas_b_mes1[[#This Row],[CUIT]],Lista_CUIT[#All],2,0)),"CUIT NO CARGADO")</f>
        <v>-</v>
      </c>
      <c r="H1414" s="64">
        <f>ventas_b_mes1[[#This Row],[TOTAL]]/1.21</f>
        <v>0</v>
      </c>
      <c r="I1414" s="183">
        <f>ventas_b_mes1[[#This Row],[IMPORTE NETO]]*0.21</f>
        <v>0</v>
      </c>
      <c r="J1414" s="184"/>
      <c r="K1414" s="184"/>
      <c r="L1414" s="184"/>
      <c r="M1414" s="59"/>
    </row>
    <row r="1415" spans="2:13" x14ac:dyDescent="0.3">
      <c r="B1415" s="178"/>
      <c r="C1415" s="179"/>
      <c r="D1415" s="180"/>
      <c r="E1415" s="181"/>
      <c r="F1415" s="182"/>
      <c r="G1415" s="1" t="str">
        <f>IFERROR(IF(ventas_b_mes1[[#This Row],[CUIT]]="","-",VLOOKUP(ventas_b_mes1[[#This Row],[CUIT]],Lista_CUIT[#All],2,0)),"CUIT NO CARGADO")</f>
        <v>-</v>
      </c>
      <c r="H1415" s="64">
        <f>ventas_b_mes1[[#This Row],[TOTAL]]/1.21</f>
        <v>0</v>
      </c>
      <c r="I1415" s="183">
        <f>ventas_b_mes1[[#This Row],[IMPORTE NETO]]*0.21</f>
        <v>0</v>
      </c>
      <c r="J1415" s="184"/>
      <c r="K1415" s="184"/>
      <c r="L1415" s="184"/>
      <c r="M1415" s="59"/>
    </row>
    <row r="1416" spans="2:13" x14ac:dyDescent="0.3">
      <c r="B1416" s="178"/>
      <c r="C1416" s="179"/>
      <c r="D1416" s="180"/>
      <c r="E1416" s="181"/>
      <c r="F1416" s="182"/>
      <c r="G1416" s="1" t="str">
        <f>IFERROR(IF(ventas_b_mes1[[#This Row],[CUIT]]="","-",VLOOKUP(ventas_b_mes1[[#This Row],[CUIT]],Lista_CUIT[#All],2,0)),"CUIT NO CARGADO")</f>
        <v>-</v>
      </c>
      <c r="H1416" s="64">
        <f>ventas_b_mes1[[#This Row],[TOTAL]]/1.21</f>
        <v>0</v>
      </c>
      <c r="I1416" s="183">
        <f>ventas_b_mes1[[#This Row],[IMPORTE NETO]]*0.21</f>
        <v>0</v>
      </c>
      <c r="J1416" s="184"/>
      <c r="K1416" s="184"/>
      <c r="L1416" s="184"/>
      <c r="M1416" s="59"/>
    </row>
    <row r="1417" spans="2:13" x14ac:dyDescent="0.3">
      <c r="B1417" s="178"/>
      <c r="C1417" s="179"/>
      <c r="D1417" s="180"/>
      <c r="E1417" s="181"/>
      <c r="F1417" s="182"/>
      <c r="G1417" s="1" t="str">
        <f>IFERROR(IF(ventas_b_mes1[[#This Row],[CUIT]]="","-",VLOOKUP(ventas_b_mes1[[#This Row],[CUIT]],Lista_CUIT[#All],2,0)),"CUIT NO CARGADO")</f>
        <v>-</v>
      </c>
      <c r="H1417" s="64">
        <f>ventas_b_mes1[[#This Row],[TOTAL]]/1.21</f>
        <v>0</v>
      </c>
      <c r="I1417" s="183">
        <f>ventas_b_mes1[[#This Row],[IMPORTE NETO]]*0.21</f>
        <v>0</v>
      </c>
      <c r="J1417" s="184"/>
      <c r="K1417" s="184"/>
      <c r="L1417" s="184"/>
      <c r="M1417" s="59"/>
    </row>
    <row r="1418" spans="2:13" x14ac:dyDescent="0.3">
      <c r="B1418" s="178"/>
      <c r="C1418" s="179"/>
      <c r="D1418" s="180"/>
      <c r="E1418" s="181"/>
      <c r="F1418" s="182"/>
      <c r="G1418" s="1" t="str">
        <f>IFERROR(IF(ventas_b_mes1[[#This Row],[CUIT]]="","-",VLOOKUP(ventas_b_mes1[[#This Row],[CUIT]],Lista_CUIT[#All],2,0)),"CUIT NO CARGADO")</f>
        <v>-</v>
      </c>
      <c r="H1418" s="64">
        <f>ventas_b_mes1[[#This Row],[TOTAL]]/1.21</f>
        <v>0</v>
      </c>
      <c r="I1418" s="183">
        <f>ventas_b_mes1[[#This Row],[IMPORTE NETO]]*0.21</f>
        <v>0</v>
      </c>
      <c r="J1418" s="184"/>
      <c r="K1418" s="184"/>
      <c r="L1418" s="184"/>
      <c r="M1418" s="59"/>
    </row>
    <row r="1419" spans="2:13" x14ac:dyDescent="0.3">
      <c r="B1419" s="178"/>
      <c r="C1419" s="179"/>
      <c r="D1419" s="180"/>
      <c r="E1419" s="181"/>
      <c r="F1419" s="182"/>
      <c r="G1419" s="1" t="str">
        <f>IFERROR(IF(ventas_b_mes1[[#This Row],[CUIT]]="","-",VLOOKUP(ventas_b_mes1[[#This Row],[CUIT]],Lista_CUIT[#All],2,0)),"CUIT NO CARGADO")</f>
        <v>-</v>
      </c>
      <c r="H1419" s="64">
        <f>ventas_b_mes1[[#This Row],[TOTAL]]/1.21</f>
        <v>0</v>
      </c>
      <c r="I1419" s="183">
        <f>ventas_b_mes1[[#This Row],[IMPORTE NETO]]*0.21</f>
        <v>0</v>
      </c>
      <c r="J1419" s="184"/>
      <c r="K1419" s="184"/>
      <c r="L1419" s="184"/>
      <c r="M1419" s="59"/>
    </row>
    <row r="1420" spans="2:13" x14ac:dyDescent="0.3">
      <c r="B1420" s="178"/>
      <c r="C1420" s="179"/>
      <c r="D1420" s="180"/>
      <c r="E1420" s="181"/>
      <c r="F1420" s="182"/>
      <c r="G1420" s="1" t="str">
        <f>IFERROR(IF(ventas_b_mes1[[#This Row],[CUIT]]="","-",VLOOKUP(ventas_b_mes1[[#This Row],[CUIT]],Lista_CUIT[#All],2,0)),"CUIT NO CARGADO")</f>
        <v>-</v>
      </c>
      <c r="H1420" s="64">
        <f>ventas_b_mes1[[#This Row],[TOTAL]]/1.21</f>
        <v>0</v>
      </c>
      <c r="I1420" s="183">
        <f>ventas_b_mes1[[#This Row],[IMPORTE NETO]]*0.21</f>
        <v>0</v>
      </c>
      <c r="J1420" s="184"/>
      <c r="K1420" s="184"/>
      <c r="L1420" s="184"/>
      <c r="M1420" s="59"/>
    </row>
    <row r="1421" spans="2:13" x14ac:dyDescent="0.3">
      <c r="B1421" s="178"/>
      <c r="C1421" s="179"/>
      <c r="D1421" s="180"/>
      <c r="E1421" s="181"/>
      <c r="F1421" s="182"/>
      <c r="G1421" s="1" t="str">
        <f>IFERROR(IF(ventas_b_mes1[[#This Row],[CUIT]]="","-",VLOOKUP(ventas_b_mes1[[#This Row],[CUIT]],Lista_CUIT[#All],2,0)),"CUIT NO CARGADO")</f>
        <v>-</v>
      </c>
      <c r="H1421" s="64">
        <f>ventas_b_mes1[[#This Row],[TOTAL]]/1.21</f>
        <v>0</v>
      </c>
      <c r="I1421" s="183">
        <f>ventas_b_mes1[[#This Row],[IMPORTE NETO]]*0.21</f>
        <v>0</v>
      </c>
      <c r="J1421" s="184"/>
      <c r="K1421" s="184"/>
      <c r="L1421" s="184"/>
      <c r="M1421" s="59"/>
    </row>
    <row r="1422" spans="2:13" x14ac:dyDescent="0.3">
      <c r="B1422" s="178"/>
      <c r="C1422" s="179"/>
      <c r="D1422" s="180"/>
      <c r="E1422" s="181"/>
      <c r="F1422" s="182"/>
      <c r="G1422" s="1" t="str">
        <f>IFERROR(IF(ventas_b_mes1[[#This Row],[CUIT]]="","-",VLOOKUP(ventas_b_mes1[[#This Row],[CUIT]],Lista_CUIT[#All],2,0)),"CUIT NO CARGADO")</f>
        <v>-</v>
      </c>
      <c r="H1422" s="64">
        <f>ventas_b_mes1[[#This Row],[TOTAL]]/1.21</f>
        <v>0</v>
      </c>
      <c r="I1422" s="183">
        <f>ventas_b_mes1[[#This Row],[IMPORTE NETO]]*0.21</f>
        <v>0</v>
      </c>
      <c r="J1422" s="184"/>
      <c r="K1422" s="184"/>
      <c r="L1422" s="184"/>
      <c r="M1422" s="59"/>
    </row>
    <row r="1423" spans="2:13" x14ac:dyDescent="0.3">
      <c r="B1423" s="178"/>
      <c r="C1423" s="179"/>
      <c r="D1423" s="180"/>
      <c r="E1423" s="181"/>
      <c r="F1423" s="182"/>
      <c r="G1423" s="1" t="str">
        <f>IFERROR(IF(ventas_b_mes1[[#This Row],[CUIT]]="","-",VLOOKUP(ventas_b_mes1[[#This Row],[CUIT]],Lista_CUIT[#All],2,0)),"CUIT NO CARGADO")</f>
        <v>-</v>
      </c>
      <c r="H1423" s="64">
        <f>ventas_b_mes1[[#This Row],[TOTAL]]/1.21</f>
        <v>0</v>
      </c>
      <c r="I1423" s="183">
        <f>ventas_b_mes1[[#This Row],[IMPORTE NETO]]*0.21</f>
        <v>0</v>
      </c>
      <c r="J1423" s="184"/>
      <c r="K1423" s="184"/>
      <c r="L1423" s="184"/>
      <c r="M1423" s="59"/>
    </row>
    <row r="1424" spans="2:13" x14ac:dyDescent="0.3">
      <c r="B1424" s="178"/>
      <c r="C1424" s="179"/>
      <c r="D1424" s="180"/>
      <c r="E1424" s="181"/>
      <c r="F1424" s="182"/>
      <c r="G1424" s="1" t="str">
        <f>IFERROR(IF(ventas_b_mes1[[#This Row],[CUIT]]="","-",VLOOKUP(ventas_b_mes1[[#This Row],[CUIT]],Lista_CUIT[#All],2,0)),"CUIT NO CARGADO")</f>
        <v>-</v>
      </c>
      <c r="H1424" s="64">
        <f>ventas_b_mes1[[#This Row],[TOTAL]]/1.21</f>
        <v>0</v>
      </c>
      <c r="I1424" s="183">
        <f>ventas_b_mes1[[#This Row],[IMPORTE NETO]]*0.21</f>
        <v>0</v>
      </c>
      <c r="J1424" s="184"/>
      <c r="K1424" s="184"/>
      <c r="L1424" s="184"/>
      <c r="M1424" s="59"/>
    </row>
    <row r="1425" spans="2:13" x14ac:dyDescent="0.3">
      <c r="B1425" s="178"/>
      <c r="C1425" s="179"/>
      <c r="D1425" s="180"/>
      <c r="E1425" s="181"/>
      <c r="F1425" s="182"/>
      <c r="G1425" s="1" t="str">
        <f>IFERROR(IF(ventas_b_mes1[[#This Row],[CUIT]]="","-",VLOOKUP(ventas_b_mes1[[#This Row],[CUIT]],Lista_CUIT[#All],2,0)),"CUIT NO CARGADO")</f>
        <v>-</v>
      </c>
      <c r="H1425" s="64">
        <f>ventas_b_mes1[[#This Row],[TOTAL]]/1.21</f>
        <v>0</v>
      </c>
      <c r="I1425" s="183">
        <f>ventas_b_mes1[[#This Row],[IMPORTE NETO]]*0.21</f>
        <v>0</v>
      </c>
      <c r="J1425" s="184"/>
      <c r="K1425" s="184"/>
      <c r="L1425" s="184"/>
      <c r="M1425" s="59"/>
    </row>
    <row r="1426" spans="2:13" x14ac:dyDescent="0.3">
      <c r="B1426" s="178"/>
      <c r="C1426" s="179"/>
      <c r="D1426" s="180"/>
      <c r="E1426" s="181"/>
      <c r="F1426" s="182"/>
      <c r="G1426" s="1" t="str">
        <f>IFERROR(IF(ventas_b_mes1[[#This Row],[CUIT]]="","-",VLOOKUP(ventas_b_mes1[[#This Row],[CUIT]],Lista_CUIT[#All],2,0)),"CUIT NO CARGADO")</f>
        <v>-</v>
      </c>
      <c r="H1426" s="64">
        <f>ventas_b_mes1[[#This Row],[TOTAL]]/1.21</f>
        <v>0</v>
      </c>
      <c r="I1426" s="183">
        <f>ventas_b_mes1[[#This Row],[IMPORTE NETO]]*0.21</f>
        <v>0</v>
      </c>
      <c r="J1426" s="184"/>
      <c r="K1426" s="184"/>
      <c r="L1426" s="184"/>
      <c r="M1426" s="59"/>
    </row>
    <row r="1427" spans="2:13" x14ac:dyDescent="0.3">
      <c r="B1427" s="178"/>
      <c r="C1427" s="179"/>
      <c r="D1427" s="180"/>
      <c r="E1427" s="181"/>
      <c r="F1427" s="182"/>
      <c r="G1427" s="1" t="str">
        <f>IFERROR(IF(ventas_b_mes1[[#This Row],[CUIT]]="","-",VLOOKUP(ventas_b_mes1[[#This Row],[CUIT]],Lista_CUIT[#All],2,0)),"CUIT NO CARGADO")</f>
        <v>-</v>
      </c>
      <c r="H1427" s="64">
        <f>ventas_b_mes1[[#This Row],[TOTAL]]/1.21</f>
        <v>0</v>
      </c>
      <c r="I1427" s="183">
        <f>ventas_b_mes1[[#This Row],[IMPORTE NETO]]*0.21</f>
        <v>0</v>
      </c>
      <c r="J1427" s="184"/>
      <c r="K1427" s="184"/>
      <c r="L1427" s="184"/>
      <c r="M1427" s="59"/>
    </row>
    <row r="1428" spans="2:13" x14ac:dyDescent="0.3">
      <c r="B1428" s="178"/>
      <c r="C1428" s="179"/>
      <c r="D1428" s="180"/>
      <c r="E1428" s="181"/>
      <c r="F1428" s="182"/>
      <c r="G1428" s="1" t="str">
        <f>IFERROR(IF(ventas_b_mes1[[#This Row],[CUIT]]="","-",VLOOKUP(ventas_b_mes1[[#This Row],[CUIT]],Lista_CUIT[#All],2,0)),"CUIT NO CARGADO")</f>
        <v>-</v>
      </c>
      <c r="H1428" s="64">
        <f>ventas_b_mes1[[#This Row],[TOTAL]]/1.21</f>
        <v>0</v>
      </c>
      <c r="I1428" s="183">
        <f>ventas_b_mes1[[#This Row],[IMPORTE NETO]]*0.21</f>
        <v>0</v>
      </c>
      <c r="J1428" s="184"/>
      <c r="K1428" s="184"/>
      <c r="L1428" s="184"/>
      <c r="M1428" s="59"/>
    </row>
    <row r="1429" spans="2:13" x14ac:dyDescent="0.3">
      <c r="B1429" s="178"/>
      <c r="C1429" s="179"/>
      <c r="D1429" s="180"/>
      <c r="E1429" s="181"/>
      <c r="F1429" s="182"/>
      <c r="G1429" s="1" t="str">
        <f>IFERROR(IF(ventas_b_mes1[[#This Row],[CUIT]]="","-",VLOOKUP(ventas_b_mes1[[#This Row],[CUIT]],Lista_CUIT[#All],2,0)),"CUIT NO CARGADO")</f>
        <v>-</v>
      </c>
      <c r="H1429" s="64">
        <f>ventas_b_mes1[[#This Row],[TOTAL]]/1.21</f>
        <v>0</v>
      </c>
      <c r="I1429" s="183">
        <f>ventas_b_mes1[[#This Row],[IMPORTE NETO]]*0.21</f>
        <v>0</v>
      </c>
      <c r="J1429" s="184"/>
      <c r="K1429" s="184"/>
      <c r="L1429" s="184"/>
      <c r="M1429" s="59"/>
    </row>
    <row r="1430" spans="2:13" x14ac:dyDescent="0.3">
      <c r="B1430" s="178"/>
      <c r="C1430" s="179"/>
      <c r="D1430" s="180"/>
      <c r="E1430" s="181"/>
      <c r="F1430" s="182"/>
      <c r="G1430" s="1" t="str">
        <f>IFERROR(IF(ventas_b_mes1[[#This Row],[CUIT]]="","-",VLOOKUP(ventas_b_mes1[[#This Row],[CUIT]],Lista_CUIT[#All],2,0)),"CUIT NO CARGADO")</f>
        <v>-</v>
      </c>
      <c r="H1430" s="64">
        <f>ventas_b_mes1[[#This Row],[TOTAL]]/1.21</f>
        <v>0</v>
      </c>
      <c r="I1430" s="183">
        <f>ventas_b_mes1[[#This Row],[IMPORTE NETO]]*0.21</f>
        <v>0</v>
      </c>
      <c r="J1430" s="184"/>
      <c r="K1430" s="184"/>
      <c r="L1430" s="184"/>
      <c r="M1430" s="59"/>
    </row>
    <row r="1431" spans="2:13" x14ac:dyDescent="0.3">
      <c r="B1431" s="178"/>
      <c r="C1431" s="179"/>
      <c r="D1431" s="180"/>
      <c r="E1431" s="181"/>
      <c r="F1431" s="182"/>
      <c r="G1431" s="1" t="str">
        <f>IFERROR(IF(ventas_b_mes1[[#This Row],[CUIT]]="","-",VLOOKUP(ventas_b_mes1[[#This Row],[CUIT]],Lista_CUIT[#All],2,0)),"CUIT NO CARGADO")</f>
        <v>-</v>
      </c>
      <c r="H1431" s="64">
        <f>ventas_b_mes1[[#This Row],[TOTAL]]/1.21</f>
        <v>0</v>
      </c>
      <c r="I1431" s="183">
        <f>ventas_b_mes1[[#This Row],[IMPORTE NETO]]*0.21</f>
        <v>0</v>
      </c>
      <c r="J1431" s="184"/>
      <c r="K1431" s="184"/>
      <c r="L1431" s="184"/>
      <c r="M1431" s="59"/>
    </row>
    <row r="1432" spans="2:13" x14ac:dyDescent="0.3">
      <c r="B1432" s="178"/>
      <c r="C1432" s="179"/>
      <c r="D1432" s="180"/>
      <c r="E1432" s="181"/>
      <c r="F1432" s="182"/>
      <c r="G1432" s="1" t="str">
        <f>IFERROR(IF(ventas_b_mes1[[#This Row],[CUIT]]="","-",VLOOKUP(ventas_b_mes1[[#This Row],[CUIT]],Lista_CUIT[#All],2,0)),"CUIT NO CARGADO")</f>
        <v>-</v>
      </c>
      <c r="H1432" s="64">
        <f>ventas_b_mes1[[#This Row],[TOTAL]]/1.21</f>
        <v>0</v>
      </c>
      <c r="I1432" s="183">
        <f>ventas_b_mes1[[#This Row],[IMPORTE NETO]]*0.21</f>
        <v>0</v>
      </c>
      <c r="J1432" s="184"/>
      <c r="K1432" s="184"/>
      <c r="L1432" s="184"/>
      <c r="M1432" s="59"/>
    </row>
    <row r="1433" spans="2:13" x14ac:dyDescent="0.3">
      <c r="B1433" s="178"/>
      <c r="C1433" s="179"/>
      <c r="D1433" s="180"/>
      <c r="E1433" s="181"/>
      <c r="F1433" s="182"/>
      <c r="G1433" s="1" t="str">
        <f>IFERROR(IF(ventas_b_mes1[[#This Row],[CUIT]]="","-",VLOOKUP(ventas_b_mes1[[#This Row],[CUIT]],Lista_CUIT[#All],2,0)),"CUIT NO CARGADO")</f>
        <v>-</v>
      </c>
      <c r="H1433" s="64">
        <f>ventas_b_mes1[[#This Row],[TOTAL]]/1.21</f>
        <v>0</v>
      </c>
      <c r="I1433" s="183">
        <f>ventas_b_mes1[[#This Row],[IMPORTE NETO]]*0.21</f>
        <v>0</v>
      </c>
      <c r="J1433" s="184"/>
      <c r="K1433" s="184"/>
      <c r="L1433" s="184"/>
      <c r="M1433" s="59"/>
    </row>
    <row r="1434" spans="2:13" x14ac:dyDescent="0.3">
      <c r="B1434" s="178"/>
      <c r="C1434" s="179"/>
      <c r="D1434" s="180"/>
      <c r="E1434" s="181"/>
      <c r="F1434" s="182"/>
      <c r="G1434" s="1" t="str">
        <f>IFERROR(IF(ventas_b_mes1[[#This Row],[CUIT]]="","-",VLOOKUP(ventas_b_mes1[[#This Row],[CUIT]],Lista_CUIT[#All],2,0)),"CUIT NO CARGADO")</f>
        <v>-</v>
      </c>
      <c r="H1434" s="64">
        <f>ventas_b_mes1[[#This Row],[TOTAL]]/1.21</f>
        <v>0</v>
      </c>
      <c r="I1434" s="183">
        <f>ventas_b_mes1[[#This Row],[IMPORTE NETO]]*0.21</f>
        <v>0</v>
      </c>
      <c r="J1434" s="184"/>
      <c r="K1434" s="184"/>
      <c r="L1434" s="184"/>
      <c r="M1434" s="59"/>
    </row>
    <row r="1435" spans="2:13" x14ac:dyDescent="0.3">
      <c r="B1435" s="178"/>
      <c r="C1435" s="179"/>
      <c r="D1435" s="180"/>
      <c r="E1435" s="181"/>
      <c r="F1435" s="182"/>
      <c r="G1435" s="1" t="str">
        <f>IFERROR(IF(ventas_b_mes1[[#This Row],[CUIT]]="","-",VLOOKUP(ventas_b_mes1[[#This Row],[CUIT]],Lista_CUIT[#All],2,0)),"CUIT NO CARGADO")</f>
        <v>-</v>
      </c>
      <c r="H1435" s="64">
        <f>ventas_b_mes1[[#This Row],[TOTAL]]/1.21</f>
        <v>0</v>
      </c>
      <c r="I1435" s="183">
        <f>ventas_b_mes1[[#This Row],[IMPORTE NETO]]*0.21</f>
        <v>0</v>
      </c>
      <c r="J1435" s="184"/>
      <c r="K1435" s="184"/>
      <c r="L1435" s="184"/>
      <c r="M1435" s="59"/>
    </row>
    <row r="1436" spans="2:13" x14ac:dyDescent="0.3">
      <c r="B1436" s="178"/>
      <c r="C1436" s="179"/>
      <c r="D1436" s="180"/>
      <c r="E1436" s="181"/>
      <c r="F1436" s="182"/>
      <c r="G1436" s="1" t="str">
        <f>IFERROR(IF(ventas_b_mes1[[#This Row],[CUIT]]="","-",VLOOKUP(ventas_b_mes1[[#This Row],[CUIT]],Lista_CUIT[#All],2,0)),"CUIT NO CARGADO")</f>
        <v>-</v>
      </c>
      <c r="H1436" s="64">
        <f>ventas_b_mes1[[#This Row],[TOTAL]]/1.21</f>
        <v>0</v>
      </c>
      <c r="I1436" s="183">
        <f>ventas_b_mes1[[#This Row],[IMPORTE NETO]]*0.21</f>
        <v>0</v>
      </c>
      <c r="J1436" s="184"/>
      <c r="K1436" s="184"/>
      <c r="L1436" s="184"/>
      <c r="M1436" s="59"/>
    </row>
    <row r="1437" spans="2:13" x14ac:dyDescent="0.3">
      <c r="B1437" s="178"/>
      <c r="C1437" s="179"/>
      <c r="D1437" s="180"/>
      <c r="E1437" s="181"/>
      <c r="F1437" s="182"/>
      <c r="G1437" s="1" t="str">
        <f>IFERROR(IF(ventas_b_mes1[[#This Row],[CUIT]]="","-",VLOOKUP(ventas_b_mes1[[#This Row],[CUIT]],Lista_CUIT[#All],2,0)),"CUIT NO CARGADO")</f>
        <v>-</v>
      </c>
      <c r="H1437" s="64">
        <f>ventas_b_mes1[[#This Row],[TOTAL]]/1.21</f>
        <v>0</v>
      </c>
      <c r="I1437" s="183">
        <f>ventas_b_mes1[[#This Row],[IMPORTE NETO]]*0.21</f>
        <v>0</v>
      </c>
      <c r="J1437" s="184"/>
      <c r="K1437" s="184"/>
      <c r="L1437" s="184"/>
      <c r="M1437" s="59"/>
    </row>
    <row r="1438" spans="2:13" x14ac:dyDescent="0.3">
      <c r="B1438" s="178"/>
      <c r="C1438" s="179"/>
      <c r="D1438" s="180"/>
      <c r="E1438" s="181"/>
      <c r="F1438" s="182"/>
      <c r="G1438" s="1" t="str">
        <f>IFERROR(IF(ventas_b_mes1[[#This Row],[CUIT]]="","-",VLOOKUP(ventas_b_mes1[[#This Row],[CUIT]],Lista_CUIT[#All],2,0)),"CUIT NO CARGADO")</f>
        <v>-</v>
      </c>
      <c r="H1438" s="64">
        <f>ventas_b_mes1[[#This Row],[TOTAL]]/1.21</f>
        <v>0</v>
      </c>
      <c r="I1438" s="183">
        <f>ventas_b_mes1[[#This Row],[IMPORTE NETO]]*0.21</f>
        <v>0</v>
      </c>
      <c r="J1438" s="184"/>
      <c r="K1438" s="184"/>
      <c r="L1438" s="184"/>
      <c r="M1438" s="59"/>
    </row>
    <row r="1439" spans="2:13" x14ac:dyDescent="0.3">
      <c r="B1439" s="178"/>
      <c r="C1439" s="179"/>
      <c r="D1439" s="180"/>
      <c r="E1439" s="181"/>
      <c r="F1439" s="182"/>
      <c r="G1439" s="1" t="str">
        <f>IFERROR(IF(ventas_b_mes1[[#This Row],[CUIT]]="","-",VLOOKUP(ventas_b_mes1[[#This Row],[CUIT]],Lista_CUIT[#All],2,0)),"CUIT NO CARGADO")</f>
        <v>-</v>
      </c>
      <c r="H1439" s="64">
        <f>ventas_b_mes1[[#This Row],[TOTAL]]/1.21</f>
        <v>0</v>
      </c>
      <c r="I1439" s="183">
        <f>ventas_b_mes1[[#This Row],[IMPORTE NETO]]*0.21</f>
        <v>0</v>
      </c>
      <c r="J1439" s="184"/>
      <c r="K1439" s="184"/>
      <c r="L1439" s="184"/>
      <c r="M1439" s="59"/>
    </row>
    <row r="1440" spans="2:13" x14ac:dyDescent="0.3">
      <c r="B1440" s="178"/>
      <c r="C1440" s="179"/>
      <c r="D1440" s="180"/>
      <c r="E1440" s="181"/>
      <c r="F1440" s="182"/>
      <c r="G1440" s="1" t="str">
        <f>IFERROR(IF(ventas_b_mes1[[#This Row],[CUIT]]="","-",VLOOKUP(ventas_b_mes1[[#This Row],[CUIT]],Lista_CUIT[#All],2,0)),"CUIT NO CARGADO")</f>
        <v>-</v>
      </c>
      <c r="H1440" s="64">
        <f>ventas_b_mes1[[#This Row],[TOTAL]]/1.21</f>
        <v>0</v>
      </c>
      <c r="I1440" s="183">
        <f>ventas_b_mes1[[#This Row],[IMPORTE NETO]]*0.21</f>
        <v>0</v>
      </c>
      <c r="J1440" s="184"/>
      <c r="K1440" s="184"/>
      <c r="L1440" s="184"/>
      <c r="M1440" s="59"/>
    </row>
    <row r="1441" spans="2:13" x14ac:dyDescent="0.3">
      <c r="B1441" s="178"/>
      <c r="C1441" s="179"/>
      <c r="D1441" s="180"/>
      <c r="E1441" s="181"/>
      <c r="F1441" s="182"/>
      <c r="G1441" s="1" t="str">
        <f>IFERROR(IF(ventas_b_mes1[[#This Row],[CUIT]]="","-",VLOOKUP(ventas_b_mes1[[#This Row],[CUIT]],Lista_CUIT[#All],2,0)),"CUIT NO CARGADO")</f>
        <v>-</v>
      </c>
      <c r="H1441" s="64">
        <f>ventas_b_mes1[[#This Row],[TOTAL]]/1.21</f>
        <v>0</v>
      </c>
      <c r="I1441" s="183">
        <f>ventas_b_mes1[[#This Row],[IMPORTE NETO]]*0.21</f>
        <v>0</v>
      </c>
      <c r="J1441" s="184"/>
      <c r="K1441" s="184"/>
      <c r="L1441" s="184"/>
      <c r="M1441" s="59"/>
    </row>
    <row r="1442" spans="2:13" x14ac:dyDescent="0.3">
      <c r="B1442" s="178"/>
      <c r="C1442" s="179"/>
      <c r="D1442" s="180"/>
      <c r="E1442" s="181"/>
      <c r="F1442" s="182"/>
      <c r="G1442" s="1" t="str">
        <f>IFERROR(IF(ventas_b_mes1[[#This Row],[CUIT]]="","-",VLOOKUP(ventas_b_mes1[[#This Row],[CUIT]],Lista_CUIT[#All],2,0)),"CUIT NO CARGADO")</f>
        <v>-</v>
      </c>
      <c r="H1442" s="64">
        <f>ventas_b_mes1[[#This Row],[TOTAL]]/1.21</f>
        <v>0</v>
      </c>
      <c r="I1442" s="183">
        <f>ventas_b_mes1[[#This Row],[IMPORTE NETO]]*0.21</f>
        <v>0</v>
      </c>
      <c r="J1442" s="184"/>
      <c r="K1442" s="184"/>
      <c r="L1442" s="184"/>
      <c r="M1442" s="59"/>
    </row>
    <row r="1443" spans="2:13" x14ac:dyDescent="0.3">
      <c r="B1443" s="178"/>
      <c r="C1443" s="179"/>
      <c r="D1443" s="180"/>
      <c r="E1443" s="181"/>
      <c r="F1443" s="182"/>
      <c r="G1443" s="1" t="str">
        <f>IFERROR(IF(ventas_b_mes1[[#This Row],[CUIT]]="","-",VLOOKUP(ventas_b_mes1[[#This Row],[CUIT]],Lista_CUIT[#All],2,0)),"CUIT NO CARGADO")</f>
        <v>-</v>
      </c>
      <c r="H1443" s="64">
        <f>ventas_b_mes1[[#This Row],[TOTAL]]/1.21</f>
        <v>0</v>
      </c>
      <c r="I1443" s="183">
        <f>ventas_b_mes1[[#This Row],[IMPORTE NETO]]*0.21</f>
        <v>0</v>
      </c>
      <c r="J1443" s="184"/>
      <c r="K1443" s="184"/>
      <c r="L1443" s="184"/>
      <c r="M1443" s="59"/>
    </row>
    <row r="1444" spans="2:13" x14ac:dyDescent="0.3">
      <c r="B1444" s="178"/>
      <c r="C1444" s="179"/>
      <c r="D1444" s="180"/>
      <c r="E1444" s="181"/>
      <c r="F1444" s="182"/>
      <c r="G1444" s="1" t="str">
        <f>IFERROR(IF(ventas_b_mes1[[#This Row],[CUIT]]="","-",VLOOKUP(ventas_b_mes1[[#This Row],[CUIT]],Lista_CUIT[#All],2,0)),"CUIT NO CARGADO")</f>
        <v>-</v>
      </c>
      <c r="H1444" s="64">
        <f>ventas_b_mes1[[#This Row],[TOTAL]]/1.21</f>
        <v>0</v>
      </c>
      <c r="I1444" s="183">
        <f>ventas_b_mes1[[#This Row],[IMPORTE NETO]]*0.21</f>
        <v>0</v>
      </c>
      <c r="J1444" s="184"/>
      <c r="K1444" s="184"/>
      <c r="L1444" s="184"/>
      <c r="M1444" s="59"/>
    </row>
    <row r="1445" spans="2:13" x14ac:dyDescent="0.3">
      <c r="B1445" s="178"/>
      <c r="C1445" s="179"/>
      <c r="D1445" s="180"/>
      <c r="E1445" s="181"/>
      <c r="F1445" s="182"/>
      <c r="G1445" s="1" t="str">
        <f>IFERROR(IF(ventas_b_mes1[[#This Row],[CUIT]]="","-",VLOOKUP(ventas_b_mes1[[#This Row],[CUIT]],Lista_CUIT[#All],2,0)),"CUIT NO CARGADO")</f>
        <v>-</v>
      </c>
      <c r="H1445" s="64">
        <f>ventas_b_mes1[[#This Row],[TOTAL]]/1.21</f>
        <v>0</v>
      </c>
      <c r="I1445" s="183">
        <f>ventas_b_mes1[[#This Row],[IMPORTE NETO]]*0.21</f>
        <v>0</v>
      </c>
      <c r="J1445" s="184"/>
      <c r="K1445" s="184"/>
      <c r="L1445" s="184"/>
      <c r="M1445" s="59"/>
    </row>
    <row r="1446" spans="2:13" x14ac:dyDescent="0.3">
      <c r="B1446" s="178"/>
      <c r="C1446" s="179"/>
      <c r="D1446" s="180"/>
      <c r="E1446" s="181"/>
      <c r="F1446" s="182"/>
      <c r="G1446" s="1" t="str">
        <f>IFERROR(IF(ventas_b_mes1[[#This Row],[CUIT]]="","-",VLOOKUP(ventas_b_mes1[[#This Row],[CUIT]],Lista_CUIT[#All],2,0)),"CUIT NO CARGADO")</f>
        <v>-</v>
      </c>
      <c r="H1446" s="64">
        <f>ventas_b_mes1[[#This Row],[TOTAL]]/1.21</f>
        <v>0</v>
      </c>
      <c r="I1446" s="183">
        <f>ventas_b_mes1[[#This Row],[IMPORTE NETO]]*0.21</f>
        <v>0</v>
      </c>
      <c r="J1446" s="184"/>
      <c r="K1446" s="184"/>
      <c r="L1446" s="184"/>
      <c r="M1446" s="59"/>
    </row>
    <row r="1447" spans="2:13" x14ac:dyDescent="0.3">
      <c r="B1447" s="178"/>
      <c r="C1447" s="179"/>
      <c r="D1447" s="180"/>
      <c r="E1447" s="181"/>
      <c r="F1447" s="182"/>
      <c r="G1447" s="1" t="str">
        <f>IFERROR(IF(ventas_b_mes1[[#This Row],[CUIT]]="","-",VLOOKUP(ventas_b_mes1[[#This Row],[CUIT]],Lista_CUIT[#All],2,0)),"CUIT NO CARGADO")</f>
        <v>-</v>
      </c>
      <c r="H1447" s="64">
        <f>ventas_b_mes1[[#This Row],[TOTAL]]/1.21</f>
        <v>0</v>
      </c>
      <c r="I1447" s="183">
        <f>ventas_b_mes1[[#This Row],[IMPORTE NETO]]*0.21</f>
        <v>0</v>
      </c>
      <c r="J1447" s="184"/>
      <c r="K1447" s="184"/>
      <c r="L1447" s="184"/>
      <c r="M1447" s="59"/>
    </row>
    <row r="1448" spans="2:13" x14ac:dyDescent="0.3">
      <c r="B1448" s="178"/>
      <c r="C1448" s="179"/>
      <c r="D1448" s="180"/>
      <c r="E1448" s="181"/>
      <c r="F1448" s="182"/>
      <c r="G1448" s="1" t="str">
        <f>IFERROR(IF(ventas_b_mes1[[#This Row],[CUIT]]="","-",VLOOKUP(ventas_b_mes1[[#This Row],[CUIT]],Lista_CUIT[#All],2,0)),"CUIT NO CARGADO")</f>
        <v>-</v>
      </c>
      <c r="H1448" s="64">
        <f>ventas_b_mes1[[#This Row],[TOTAL]]/1.21</f>
        <v>0</v>
      </c>
      <c r="I1448" s="183">
        <f>ventas_b_mes1[[#This Row],[IMPORTE NETO]]*0.21</f>
        <v>0</v>
      </c>
      <c r="J1448" s="184"/>
      <c r="K1448" s="184"/>
      <c r="L1448" s="184"/>
      <c r="M1448" s="59"/>
    </row>
    <row r="1449" spans="2:13" x14ac:dyDescent="0.3">
      <c r="B1449" s="178"/>
      <c r="C1449" s="179"/>
      <c r="D1449" s="180"/>
      <c r="E1449" s="181"/>
      <c r="F1449" s="182"/>
      <c r="G1449" s="1" t="str">
        <f>IFERROR(IF(ventas_b_mes1[[#This Row],[CUIT]]="","-",VLOOKUP(ventas_b_mes1[[#This Row],[CUIT]],Lista_CUIT[#All],2,0)),"CUIT NO CARGADO")</f>
        <v>-</v>
      </c>
      <c r="H1449" s="64">
        <f>ventas_b_mes1[[#This Row],[TOTAL]]/1.21</f>
        <v>0</v>
      </c>
      <c r="I1449" s="183">
        <f>ventas_b_mes1[[#This Row],[IMPORTE NETO]]*0.21</f>
        <v>0</v>
      </c>
      <c r="J1449" s="184"/>
      <c r="K1449" s="184"/>
      <c r="L1449" s="184"/>
      <c r="M1449" s="59"/>
    </row>
    <row r="1450" spans="2:13" x14ac:dyDescent="0.3">
      <c r="B1450" s="178"/>
      <c r="C1450" s="179"/>
      <c r="D1450" s="180"/>
      <c r="E1450" s="181"/>
      <c r="F1450" s="182"/>
      <c r="G1450" s="1" t="str">
        <f>IFERROR(IF(ventas_b_mes1[[#This Row],[CUIT]]="","-",VLOOKUP(ventas_b_mes1[[#This Row],[CUIT]],Lista_CUIT[#All],2,0)),"CUIT NO CARGADO")</f>
        <v>-</v>
      </c>
      <c r="H1450" s="64">
        <f>ventas_b_mes1[[#This Row],[TOTAL]]/1.21</f>
        <v>0</v>
      </c>
      <c r="I1450" s="183">
        <f>ventas_b_mes1[[#This Row],[IMPORTE NETO]]*0.21</f>
        <v>0</v>
      </c>
      <c r="J1450" s="184"/>
      <c r="K1450" s="184"/>
      <c r="L1450" s="184"/>
      <c r="M1450" s="59"/>
    </row>
    <row r="1451" spans="2:13" x14ac:dyDescent="0.3">
      <c r="B1451" s="178"/>
      <c r="C1451" s="179"/>
      <c r="D1451" s="180"/>
      <c r="E1451" s="181"/>
      <c r="F1451" s="182"/>
      <c r="G1451" s="1" t="str">
        <f>IFERROR(IF(ventas_b_mes1[[#This Row],[CUIT]]="","-",VLOOKUP(ventas_b_mes1[[#This Row],[CUIT]],Lista_CUIT[#All],2,0)),"CUIT NO CARGADO")</f>
        <v>-</v>
      </c>
      <c r="H1451" s="64">
        <f>ventas_b_mes1[[#This Row],[TOTAL]]/1.21</f>
        <v>0</v>
      </c>
      <c r="I1451" s="183">
        <f>ventas_b_mes1[[#This Row],[IMPORTE NETO]]*0.21</f>
        <v>0</v>
      </c>
      <c r="J1451" s="184"/>
      <c r="K1451" s="184"/>
      <c r="L1451" s="184"/>
      <c r="M1451" s="59"/>
    </row>
    <row r="1452" spans="2:13" x14ac:dyDescent="0.3">
      <c r="B1452" s="178"/>
      <c r="C1452" s="179"/>
      <c r="D1452" s="180"/>
      <c r="E1452" s="181"/>
      <c r="F1452" s="182"/>
      <c r="G1452" s="1" t="str">
        <f>IFERROR(IF(ventas_b_mes1[[#This Row],[CUIT]]="","-",VLOOKUP(ventas_b_mes1[[#This Row],[CUIT]],Lista_CUIT[#All],2,0)),"CUIT NO CARGADO")</f>
        <v>-</v>
      </c>
      <c r="H1452" s="64">
        <f>ventas_b_mes1[[#This Row],[TOTAL]]/1.21</f>
        <v>0</v>
      </c>
      <c r="I1452" s="183">
        <f>ventas_b_mes1[[#This Row],[IMPORTE NETO]]*0.21</f>
        <v>0</v>
      </c>
      <c r="J1452" s="184"/>
      <c r="K1452" s="184"/>
      <c r="L1452" s="184"/>
      <c r="M1452" s="59"/>
    </row>
    <row r="1453" spans="2:13" x14ac:dyDescent="0.3">
      <c r="B1453" s="178"/>
      <c r="C1453" s="179"/>
      <c r="D1453" s="180"/>
      <c r="E1453" s="181"/>
      <c r="F1453" s="182"/>
      <c r="G1453" s="1" t="str">
        <f>IFERROR(IF(ventas_b_mes1[[#This Row],[CUIT]]="","-",VLOOKUP(ventas_b_mes1[[#This Row],[CUIT]],Lista_CUIT[#All],2,0)),"CUIT NO CARGADO")</f>
        <v>-</v>
      </c>
      <c r="H1453" s="64">
        <f>ventas_b_mes1[[#This Row],[TOTAL]]/1.21</f>
        <v>0</v>
      </c>
      <c r="I1453" s="183">
        <f>ventas_b_mes1[[#This Row],[IMPORTE NETO]]*0.21</f>
        <v>0</v>
      </c>
      <c r="J1453" s="184"/>
      <c r="K1453" s="184"/>
      <c r="L1453" s="184"/>
      <c r="M1453" s="59"/>
    </row>
    <row r="1454" spans="2:13" x14ac:dyDescent="0.3">
      <c r="B1454" s="178"/>
      <c r="C1454" s="179"/>
      <c r="D1454" s="180"/>
      <c r="E1454" s="181"/>
      <c r="F1454" s="182"/>
      <c r="G1454" s="1" t="str">
        <f>IFERROR(IF(ventas_b_mes1[[#This Row],[CUIT]]="","-",VLOOKUP(ventas_b_mes1[[#This Row],[CUIT]],Lista_CUIT[#All],2,0)),"CUIT NO CARGADO")</f>
        <v>-</v>
      </c>
      <c r="H1454" s="64">
        <f>ventas_b_mes1[[#This Row],[TOTAL]]/1.21</f>
        <v>0</v>
      </c>
      <c r="I1454" s="183">
        <f>ventas_b_mes1[[#This Row],[IMPORTE NETO]]*0.21</f>
        <v>0</v>
      </c>
      <c r="J1454" s="184"/>
      <c r="K1454" s="184"/>
      <c r="L1454" s="184"/>
      <c r="M1454" s="59"/>
    </row>
    <row r="1455" spans="2:13" x14ac:dyDescent="0.3">
      <c r="B1455" s="178"/>
      <c r="C1455" s="179"/>
      <c r="D1455" s="180"/>
      <c r="E1455" s="181"/>
      <c r="F1455" s="182"/>
      <c r="G1455" s="1" t="str">
        <f>IFERROR(IF(ventas_b_mes1[[#This Row],[CUIT]]="","-",VLOOKUP(ventas_b_mes1[[#This Row],[CUIT]],Lista_CUIT[#All],2,0)),"CUIT NO CARGADO")</f>
        <v>-</v>
      </c>
      <c r="H1455" s="64">
        <f>ventas_b_mes1[[#This Row],[TOTAL]]/1.21</f>
        <v>0</v>
      </c>
      <c r="I1455" s="183">
        <f>ventas_b_mes1[[#This Row],[IMPORTE NETO]]*0.21</f>
        <v>0</v>
      </c>
      <c r="J1455" s="184"/>
      <c r="K1455" s="184"/>
      <c r="L1455" s="184"/>
      <c r="M1455" s="59"/>
    </row>
    <row r="1456" spans="2:13" x14ac:dyDescent="0.3">
      <c r="B1456" s="178"/>
      <c r="C1456" s="179"/>
      <c r="D1456" s="180"/>
      <c r="E1456" s="181"/>
      <c r="F1456" s="182"/>
      <c r="G1456" s="1" t="str">
        <f>IFERROR(IF(ventas_b_mes1[[#This Row],[CUIT]]="","-",VLOOKUP(ventas_b_mes1[[#This Row],[CUIT]],Lista_CUIT[#All],2,0)),"CUIT NO CARGADO")</f>
        <v>-</v>
      </c>
      <c r="H1456" s="64">
        <f>ventas_b_mes1[[#This Row],[TOTAL]]/1.21</f>
        <v>0</v>
      </c>
      <c r="I1456" s="183">
        <f>ventas_b_mes1[[#This Row],[IMPORTE NETO]]*0.21</f>
        <v>0</v>
      </c>
      <c r="J1456" s="184"/>
      <c r="K1456" s="184"/>
      <c r="L1456" s="184"/>
      <c r="M1456" s="59"/>
    </row>
    <row r="1457" spans="2:13" x14ac:dyDescent="0.3">
      <c r="B1457" s="178"/>
      <c r="C1457" s="179"/>
      <c r="D1457" s="180"/>
      <c r="E1457" s="181"/>
      <c r="F1457" s="182"/>
      <c r="G1457" s="1" t="str">
        <f>IFERROR(IF(ventas_b_mes1[[#This Row],[CUIT]]="","-",VLOOKUP(ventas_b_mes1[[#This Row],[CUIT]],Lista_CUIT[#All],2,0)),"CUIT NO CARGADO")</f>
        <v>-</v>
      </c>
      <c r="H1457" s="64">
        <f>ventas_b_mes1[[#This Row],[TOTAL]]/1.21</f>
        <v>0</v>
      </c>
      <c r="I1457" s="183">
        <f>ventas_b_mes1[[#This Row],[IMPORTE NETO]]*0.21</f>
        <v>0</v>
      </c>
      <c r="J1457" s="184"/>
      <c r="K1457" s="184"/>
      <c r="L1457" s="184"/>
      <c r="M1457" s="59"/>
    </row>
    <row r="1458" spans="2:13" x14ac:dyDescent="0.3">
      <c r="B1458" s="178"/>
      <c r="C1458" s="179"/>
      <c r="D1458" s="180"/>
      <c r="E1458" s="181"/>
      <c r="F1458" s="182"/>
      <c r="G1458" s="1" t="str">
        <f>IFERROR(IF(ventas_b_mes1[[#This Row],[CUIT]]="","-",VLOOKUP(ventas_b_mes1[[#This Row],[CUIT]],Lista_CUIT[#All],2,0)),"CUIT NO CARGADO")</f>
        <v>-</v>
      </c>
      <c r="H1458" s="64">
        <f>ventas_b_mes1[[#This Row],[TOTAL]]/1.21</f>
        <v>0</v>
      </c>
      <c r="I1458" s="183">
        <f>ventas_b_mes1[[#This Row],[IMPORTE NETO]]*0.21</f>
        <v>0</v>
      </c>
      <c r="J1458" s="184"/>
      <c r="K1458" s="184"/>
      <c r="L1458" s="184"/>
      <c r="M1458" s="59"/>
    </row>
    <row r="1459" spans="2:13" x14ac:dyDescent="0.3">
      <c r="B1459" s="178"/>
      <c r="C1459" s="179"/>
      <c r="D1459" s="180"/>
      <c r="E1459" s="181"/>
      <c r="F1459" s="182"/>
      <c r="G1459" s="1" t="str">
        <f>IFERROR(IF(ventas_b_mes1[[#This Row],[CUIT]]="","-",VLOOKUP(ventas_b_mes1[[#This Row],[CUIT]],Lista_CUIT[#All],2,0)),"CUIT NO CARGADO")</f>
        <v>-</v>
      </c>
      <c r="H1459" s="64">
        <f>ventas_b_mes1[[#This Row],[TOTAL]]/1.21</f>
        <v>0</v>
      </c>
      <c r="I1459" s="183">
        <f>ventas_b_mes1[[#This Row],[IMPORTE NETO]]*0.21</f>
        <v>0</v>
      </c>
      <c r="J1459" s="184"/>
      <c r="K1459" s="184"/>
      <c r="L1459" s="184"/>
      <c r="M1459" s="59"/>
    </row>
    <row r="1460" spans="2:13" x14ac:dyDescent="0.3">
      <c r="B1460" s="178"/>
      <c r="C1460" s="179"/>
      <c r="D1460" s="180"/>
      <c r="E1460" s="181"/>
      <c r="F1460" s="182"/>
      <c r="G1460" s="1" t="str">
        <f>IFERROR(IF(ventas_b_mes1[[#This Row],[CUIT]]="","-",VLOOKUP(ventas_b_mes1[[#This Row],[CUIT]],Lista_CUIT[#All],2,0)),"CUIT NO CARGADO")</f>
        <v>-</v>
      </c>
      <c r="H1460" s="64">
        <f>ventas_b_mes1[[#This Row],[TOTAL]]/1.21</f>
        <v>0</v>
      </c>
      <c r="I1460" s="183">
        <f>ventas_b_mes1[[#This Row],[IMPORTE NETO]]*0.21</f>
        <v>0</v>
      </c>
      <c r="J1460" s="184"/>
      <c r="K1460" s="184"/>
      <c r="L1460" s="184"/>
      <c r="M1460" s="59"/>
    </row>
    <row r="1461" spans="2:13" x14ac:dyDescent="0.3">
      <c r="B1461" s="178"/>
      <c r="C1461" s="179"/>
      <c r="D1461" s="180"/>
      <c r="E1461" s="181"/>
      <c r="F1461" s="182"/>
      <c r="G1461" s="1" t="str">
        <f>IFERROR(IF(ventas_b_mes1[[#This Row],[CUIT]]="","-",VLOOKUP(ventas_b_mes1[[#This Row],[CUIT]],Lista_CUIT[#All],2,0)),"CUIT NO CARGADO")</f>
        <v>-</v>
      </c>
      <c r="H1461" s="64">
        <f>ventas_b_mes1[[#This Row],[TOTAL]]/1.21</f>
        <v>0</v>
      </c>
      <c r="I1461" s="183">
        <f>ventas_b_mes1[[#This Row],[IMPORTE NETO]]*0.21</f>
        <v>0</v>
      </c>
      <c r="J1461" s="184"/>
      <c r="K1461" s="184"/>
      <c r="L1461" s="184"/>
      <c r="M1461" s="59"/>
    </row>
    <row r="1462" spans="2:13" x14ac:dyDescent="0.3">
      <c r="B1462" s="178"/>
      <c r="C1462" s="179"/>
      <c r="D1462" s="180"/>
      <c r="E1462" s="181"/>
      <c r="F1462" s="182"/>
      <c r="G1462" s="1" t="str">
        <f>IFERROR(IF(ventas_b_mes1[[#This Row],[CUIT]]="","-",VLOOKUP(ventas_b_mes1[[#This Row],[CUIT]],Lista_CUIT[#All],2,0)),"CUIT NO CARGADO")</f>
        <v>-</v>
      </c>
      <c r="H1462" s="64">
        <f>ventas_b_mes1[[#This Row],[TOTAL]]/1.21</f>
        <v>0</v>
      </c>
      <c r="I1462" s="183">
        <f>ventas_b_mes1[[#This Row],[IMPORTE NETO]]*0.21</f>
        <v>0</v>
      </c>
      <c r="J1462" s="184"/>
      <c r="K1462" s="184"/>
      <c r="L1462" s="184"/>
      <c r="M1462" s="59"/>
    </row>
    <row r="1463" spans="2:13" x14ac:dyDescent="0.3">
      <c r="B1463" s="178"/>
      <c r="C1463" s="179"/>
      <c r="D1463" s="180"/>
      <c r="E1463" s="181"/>
      <c r="F1463" s="182"/>
      <c r="G1463" s="1" t="str">
        <f>IFERROR(IF(ventas_b_mes1[[#This Row],[CUIT]]="","-",VLOOKUP(ventas_b_mes1[[#This Row],[CUIT]],Lista_CUIT[#All],2,0)),"CUIT NO CARGADO")</f>
        <v>-</v>
      </c>
      <c r="H1463" s="64">
        <f>ventas_b_mes1[[#This Row],[TOTAL]]/1.21</f>
        <v>0</v>
      </c>
      <c r="I1463" s="183">
        <f>ventas_b_mes1[[#This Row],[IMPORTE NETO]]*0.21</f>
        <v>0</v>
      </c>
      <c r="J1463" s="184"/>
      <c r="K1463" s="184"/>
      <c r="L1463" s="184"/>
      <c r="M1463" s="59"/>
    </row>
    <row r="1464" spans="2:13" x14ac:dyDescent="0.3">
      <c r="B1464" s="178"/>
      <c r="C1464" s="179"/>
      <c r="D1464" s="180"/>
      <c r="E1464" s="181"/>
      <c r="F1464" s="182"/>
      <c r="G1464" s="1" t="str">
        <f>IFERROR(IF(ventas_b_mes1[[#This Row],[CUIT]]="","-",VLOOKUP(ventas_b_mes1[[#This Row],[CUIT]],Lista_CUIT[#All],2,0)),"CUIT NO CARGADO")</f>
        <v>-</v>
      </c>
      <c r="H1464" s="64">
        <f>ventas_b_mes1[[#This Row],[TOTAL]]/1.21</f>
        <v>0</v>
      </c>
      <c r="I1464" s="183">
        <f>ventas_b_mes1[[#This Row],[IMPORTE NETO]]*0.21</f>
        <v>0</v>
      </c>
      <c r="J1464" s="184"/>
      <c r="K1464" s="184"/>
      <c r="L1464" s="184"/>
      <c r="M1464" s="59"/>
    </row>
    <row r="1465" spans="2:13" x14ac:dyDescent="0.3">
      <c r="B1465" s="178"/>
      <c r="C1465" s="179"/>
      <c r="D1465" s="180"/>
      <c r="E1465" s="181"/>
      <c r="F1465" s="182"/>
      <c r="G1465" s="1" t="str">
        <f>IFERROR(IF(ventas_b_mes1[[#This Row],[CUIT]]="","-",VLOOKUP(ventas_b_mes1[[#This Row],[CUIT]],Lista_CUIT[#All],2,0)),"CUIT NO CARGADO")</f>
        <v>-</v>
      </c>
      <c r="H1465" s="64">
        <f>ventas_b_mes1[[#This Row],[TOTAL]]/1.21</f>
        <v>0</v>
      </c>
      <c r="I1465" s="183">
        <f>ventas_b_mes1[[#This Row],[IMPORTE NETO]]*0.21</f>
        <v>0</v>
      </c>
      <c r="J1465" s="184"/>
      <c r="K1465" s="184"/>
      <c r="L1465" s="184"/>
      <c r="M1465" s="59"/>
    </row>
    <row r="1466" spans="2:13" x14ac:dyDescent="0.3">
      <c r="B1466" s="178"/>
      <c r="C1466" s="179"/>
      <c r="D1466" s="180"/>
      <c r="E1466" s="181"/>
      <c r="F1466" s="182"/>
      <c r="G1466" s="1" t="str">
        <f>IFERROR(IF(ventas_b_mes1[[#This Row],[CUIT]]="","-",VLOOKUP(ventas_b_mes1[[#This Row],[CUIT]],Lista_CUIT[#All],2,0)),"CUIT NO CARGADO")</f>
        <v>-</v>
      </c>
      <c r="H1466" s="64">
        <f>ventas_b_mes1[[#This Row],[TOTAL]]/1.21</f>
        <v>0</v>
      </c>
      <c r="I1466" s="183">
        <f>ventas_b_mes1[[#This Row],[IMPORTE NETO]]*0.21</f>
        <v>0</v>
      </c>
      <c r="J1466" s="184"/>
      <c r="K1466" s="184"/>
      <c r="L1466" s="184"/>
      <c r="M1466" s="59"/>
    </row>
    <row r="1467" spans="2:13" x14ac:dyDescent="0.3">
      <c r="B1467" s="178"/>
      <c r="C1467" s="179"/>
      <c r="D1467" s="180"/>
      <c r="E1467" s="181"/>
      <c r="F1467" s="182"/>
      <c r="G1467" s="1" t="str">
        <f>IFERROR(IF(ventas_b_mes1[[#This Row],[CUIT]]="","-",VLOOKUP(ventas_b_mes1[[#This Row],[CUIT]],Lista_CUIT[#All],2,0)),"CUIT NO CARGADO")</f>
        <v>-</v>
      </c>
      <c r="H1467" s="64">
        <f>ventas_b_mes1[[#This Row],[TOTAL]]/1.21</f>
        <v>0</v>
      </c>
      <c r="I1467" s="183">
        <f>ventas_b_mes1[[#This Row],[IMPORTE NETO]]*0.21</f>
        <v>0</v>
      </c>
      <c r="J1467" s="184"/>
      <c r="K1467" s="184"/>
      <c r="L1467" s="184"/>
      <c r="M1467" s="59"/>
    </row>
    <row r="1468" spans="2:13" x14ac:dyDescent="0.3">
      <c r="B1468" s="178"/>
      <c r="C1468" s="179"/>
      <c r="D1468" s="180"/>
      <c r="E1468" s="181"/>
      <c r="F1468" s="182"/>
      <c r="G1468" s="1" t="str">
        <f>IFERROR(IF(ventas_b_mes1[[#This Row],[CUIT]]="","-",VLOOKUP(ventas_b_mes1[[#This Row],[CUIT]],Lista_CUIT[#All],2,0)),"CUIT NO CARGADO")</f>
        <v>-</v>
      </c>
      <c r="H1468" s="64">
        <f>ventas_b_mes1[[#This Row],[TOTAL]]/1.21</f>
        <v>0</v>
      </c>
      <c r="I1468" s="183">
        <f>ventas_b_mes1[[#This Row],[IMPORTE NETO]]*0.21</f>
        <v>0</v>
      </c>
      <c r="J1468" s="184"/>
      <c r="K1468" s="184"/>
      <c r="L1468" s="184"/>
      <c r="M1468" s="59"/>
    </row>
    <row r="1469" spans="2:13" x14ac:dyDescent="0.3">
      <c r="B1469" s="178"/>
      <c r="C1469" s="179"/>
      <c r="D1469" s="180"/>
      <c r="E1469" s="181"/>
      <c r="F1469" s="182"/>
      <c r="G1469" s="1" t="str">
        <f>IFERROR(IF(ventas_b_mes1[[#This Row],[CUIT]]="","-",VLOOKUP(ventas_b_mes1[[#This Row],[CUIT]],Lista_CUIT[#All],2,0)),"CUIT NO CARGADO")</f>
        <v>-</v>
      </c>
      <c r="H1469" s="64">
        <f>ventas_b_mes1[[#This Row],[TOTAL]]/1.21</f>
        <v>0</v>
      </c>
      <c r="I1469" s="183">
        <f>ventas_b_mes1[[#This Row],[IMPORTE NETO]]*0.21</f>
        <v>0</v>
      </c>
      <c r="J1469" s="184"/>
      <c r="K1469" s="184"/>
      <c r="L1469" s="184"/>
      <c r="M1469" s="59"/>
    </row>
    <row r="1470" spans="2:13" x14ac:dyDescent="0.3">
      <c r="B1470" s="178"/>
      <c r="C1470" s="179"/>
      <c r="D1470" s="180"/>
      <c r="E1470" s="181"/>
      <c r="F1470" s="182"/>
      <c r="G1470" s="1" t="str">
        <f>IFERROR(IF(ventas_b_mes1[[#This Row],[CUIT]]="","-",VLOOKUP(ventas_b_mes1[[#This Row],[CUIT]],Lista_CUIT[#All],2,0)),"CUIT NO CARGADO")</f>
        <v>-</v>
      </c>
      <c r="H1470" s="64">
        <f>ventas_b_mes1[[#This Row],[TOTAL]]/1.21</f>
        <v>0</v>
      </c>
      <c r="I1470" s="183">
        <f>ventas_b_mes1[[#This Row],[IMPORTE NETO]]*0.21</f>
        <v>0</v>
      </c>
      <c r="J1470" s="184"/>
      <c r="K1470" s="184"/>
      <c r="L1470" s="184"/>
      <c r="M1470" s="59"/>
    </row>
    <row r="1471" spans="2:13" x14ac:dyDescent="0.3">
      <c r="B1471" s="178"/>
      <c r="C1471" s="179"/>
      <c r="D1471" s="180"/>
      <c r="E1471" s="181"/>
      <c r="F1471" s="182"/>
      <c r="G1471" s="1" t="str">
        <f>IFERROR(IF(ventas_b_mes1[[#This Row],[CUIT]]="","-",VLOOKUP(ventas_b_mes1[[#This Row],[CUIT]],Lista_CUIT[#All],2,0)),"CUIT NO CARGADO")</f>
        <v>-</v>
      </c>
      <c r="H1471" s="64">
        <f>ventas_b_mes1[[#This Row],[TOTAL]]/1.21</f>
        <v>0</v>
      </c>
      <c r="I1471" s="183">
        <f>ventas_b_mes1[[#This Row],[IMPORTE NETO]]*0.21</f>
        <v>0</v>
      </c>
      <c r="J1471" s="184"/>
      <c r="K1471" s="184"/>
      <c r="L1471" s="184"/>
      <c r="M1471" s="59"/>
    </row>
    <row r="1472" spans="2:13" x14ac:dyDescent="0.3">
      <c r="B1472" s="178"/>
      <c r="C1472" s="179"/>
      <c r="D1472" s="180"/>
      <c r="E1472" s="181"/>
      <c r="F1472" s="182"/>
      <c r="G1472" s="1" t="str">
        <f>IFERROR(IF(ventas_b_mes1[[#This Row],[CUIT]]="","-",VLOOKUP(ventas_b_mes1[[#This Row],[CUIT]],Lista_CUIT[#All],2,0)),"CUIT NO CARGADO")</f>
        <v>-</v>
      </c>
      <c r="H1472" s="64">
        <f>ventas_b_mes1[[#This Row],[TOTAL]]/1.21</f>
        <v>0</v>
      </c>
      <c r="I1472" s="183">
        <f>ventas_b_mes1[[#This Row],[IMPORTE NETO]]*0.21</f>
        <v>0</v>
      </c>
      <c r="J1472" s="184"/>
      <c r="K1472" s="184"/>
      <c r="L1472" s="184"/>
      <c r="M1472" s="59"/>
    </row>
    <row r="1473" spans="2:13" x14ac:dyDescent="0.3">
      <c r="B1473" s="178"/>
      <c r="C1473" s="179"/>
      <c r="D1473" s="180"/>
      <c r="E1473" s="181"/>
      <c r="F1473" s="182"/>
      <c r="G1473" s="1" t="str">
        <f>IFERROR(IF(ventas_b_mes1[[#This Row],[CUIT]]="","-",VLOOKUP(ventas_b_mes1[[#This Row],[CUIT]],Lista_CUIT[#All],2,0)),"CUIT NO CARGADO")</f>
        <v>-</v>
      </c>
      <c r="H1473" s="64">
        <f>ventas_b_mes1[[#This Row],[TOTAL]]/1.21</f>
        <v>0</v>
      </c>
      <c r="I1473" s="183">
        <f>ventas_b_mes1[[#This Row],[IMPORTE NETO]]*0.21</f>
        <v>0</v>
      </c>
      <c r="J1473" s="184"/>
      <c r="K1473" s="184"/>
      <c r="L1473" s="184"/>
      <c r="M1473" s="59"/>
    </row>
    <row r="1474" spans="2:13" x14ac:dyDescent="0.3">
      <c r="B1474" s="178"/>
      <c r="C1474" s="179"/>
      <c r="D1474" s="180"/>
      <c r="E1474" s="181"/>
      <c r="F1474" s="182"/>
      <c r="G1474" s="1" t="str">
        <f>IFERROR(IF(ventas_b_mes1[[#This Row],[CUIT]]="","-",VLOOKUP(ventas_b_mes1[[#This Row],[CUIT]],Lista_CUIT[#All],2,0)),"CUIT NO CARGADO")</f>
        <v>-</v>
      </c>
      <c r="H1474" s="64">
        <f>ventas_b_mes1[[#This Row],[TOTAL]]/1.21</f>
        <v>0</v>
      </c>
      <c r="I1474" s="183">
        <f>ventas_b_mes1[[#This Row],[IMPORTE NETO]]*0.21</f>
        <v>0</v>
      </c>
      <c r="J1474" s="184"/>
      <c r="K1474" s="184"/>
      <c r="L1474" s="184"/>
      <c r="M1474" s="59"/>
    </row>
    <row r="1475" spans="2:13" x14ac:dyDescent="0.3">
      <c r="B1475" s="178"/>
      <c r="C1475" s="179"/>
      <c r="D1475" s="180"/>
      <c r="E1475" s="181"/>
      <c r="F1475" s="182"/>
      <c r="G1475" s="1" t="str">
        <f>IFERROR(IF(ventas_b_mes1[[#This Row],[CUIT]]="","-",VLOOKUP(ventas_b_mes1[[#This Row],[CUIT]],Lista_CUIT[#All],2,0)),"CUIT NO CARGADO")</f>
        <v>-</v>
      </c>
      <c r="H1475" s="64">
        <f>ventas_b_mes1[[#This Row],[TOTAL]]/1.21</f>
        <v>0</v>
      </c>
      <c r="I1475" s="183">
        <f>ventas_b_mes1[[#This Row],[IMPORTE NETO]]*0.21</f>
        <v>0</v>
      </c>
      <c r="J1475" s="184"/>
      <c r="K1475" s="184"/>
      <c r="L1475" s="184"/>
      <c r="M1475" s="59"/>
    </row>
    <row r="1476" spans="2:13" x14ac:dyDescent="0.3">
      <c r="B1476" s="178"/>
      <c r="C1476" s="179"/>
      <c r="D1476" s="180"/>
      <c r="E1476" s="181"/>
      <c r="F1476" s="182"/>
      <c r="G1476" s="1" t="str">
        <f>IFERROR(IF(ventas_b_mes1[[#This Row],[CUIT]]="","-",VLOOKUP(ventas_b_mes1[[#This Row],[CUIT]],Lista_CUIT[#All],2,0)),"CUIT NO CARGADO")</f>
        <v>-</v>
      </c>
      <c r="H1476" s="64">
        <f>ventas_b_mes1[[#This Row],[TOTAL]]/1.21</f>
        <v>0</v>
      </c>
      <c r="I1476" s="183">
        <f>ventas_b_mes1[[#This Row],[IMPORTE NETO]]*0.21</f>
        <v>0</v>
      </c>
      <c r="J1476" s="184"/>
      <c r="K1476" s="184"/>
      <c r="L1476" s="184"/>
      <c r="M1476" s="59"/>
    </row>
    <row r="1477" spans="2:13" x14ac:dyDescent="0.3">
      <c r="B1477" s="178"/>
      <c r="C1477" s="179"/>
      <c r="D1477" s="180"/>
      <c r="E1477" s="181"/>
      <c r="F1477" s="182"/>
      <c r="G1477" s="1" t="str">
        <f>IFERROR(IF(ventas_b_mes1[[#This Row],[CUIT]]="","-",VLOOKUP(ventas_b_mes1[[#This Row],[CUIT]],Lista_CUIT[#All],2,0)),"CUIT NO CARGADO")</f>
        <v>-</v>
      </c>
      <c r="H1477" s="64">
        <f>ventas_b_mes1[[#This Row],[TOTAL]]/1.21</f>
        <v>0</v>
      </c>
      <c r="I1477" s="183">
        <f>ventas_b_mes1[[#This Row],[IMPORTE NETO]]*0.21</f>
        <v>0</v>
      </c>
      <c r="J1477" s="184"/>
      <c r="K1477" s="184"/>
      <c r="L1477" s="184"/>
      <c r="M1477" s="59"/>
    </row>
    <row r="1478" spans="2:13" x14ac:dyDescent="0.3">
      <c r="B1478" s="178"/>
      <c r="C1478" s="179"/>
      <c r="D1478" s="180"/>
      <c r="E1478" s="181"/>
      <c r="F1478" s="182"/>
      <c r="G1478" s="1" t="str">
        <f>IFERROR(IF(ventas_b_mes1[[#This Row],[CUIT]]="","-",VLOOKUP(ventas_b_mes1[[#This Row],[CUIT]],Lista_CUIT[#All],2,0)),"CUIT NO CARGADO")</f>
        <v>-</v>
      </c>
      <c r="H1478" s="64">
        <f>ventas_b_mes1[[#This Row],[TOTAL]]/1.21</f>
        <v>0</v>
      </c>
      <c r="I1478" s="183">
        <f>ventas_b_mes1[[#This Row],[IMPORTE NETO]]*0.21</f>
        <v>0</v>
      </c>
      <c r="J1478" s="184"/>
      <c r="K1478" s="184"/>
      <c r="L1478" s="184"/>
      <c r="M1478" s="59"/>
    </row>
    <row r="1479" spans="2:13" x14ac:dyDescent="0.3">
      <c r="B1479" s="178"/>
      <c r="C1479" s="179"/>
      <c r="D1479" s="180"/>
      <c r="E1479" s="181"/>
      <c r="F1479" s="182"/>
      <c r="G1479" s="1" t="str">
        <f>IFERROR(IF(ventas_b_mes1[[#This Row],[CUIT]]="","-",VLOOKUP(ventas_b_mes1[[#This Row],[CUIT]],Lista_CUIT[#All],2,0)),"CUIT NO CARGADO")</f>
        <v>-</v>
      </c>
      <c r="H1479" s="64">
        <f>ventas_b_mes1[[#This Row],[TOTAL]]/1.21</f>
        <v>0</v>
      </c>
      <c r="I1479" s="183">
        <f>ventas_b_mes1[[#This Row],[IMPORTE NETO]]*0.21</f>
        <v>0</v>
      </c>
      <c r="J1479" s="184"/>
      <c r="K1479" s="184"/>
      <c r="L1479" s="184"/>
      <c r="M1479" s="59"/>
    </row>
    <row r="1480" spans="2:13" x14ac:dyDescent="0.3">
      <c r="B1480" s="178"/>
      <c r="C1480" s="179"/>
      <c r="D1480" s="180"/>
      <c r="E1480" s="181"/>
      <c r="F1480" s="182"/>
      <c r="G1480" s="1" t="str">
        <f>IFERROR(IF(ventas_b_mes1[[#This Row],[CUIT]]="","-",VLOOKUP(ventas_b_mes1[[#This Row],[CUIT]],Lista_CUIT[#All],2,0)),"CUIT NO CARGADO")</f>
        <v>-</v>
      </c>
      <c r="H1480" s="64">
        <f>ventas_b_mes1[[#This Row],[TOTAL]]/1.21</f>
        <v>0</v>
      </c>
      <c r="I1480" s="183">
        <f>ventas_b_mes1[[#This Row],[IMPORTE NETO]]*0.21</f>
        <v>0</v>
      </c>
      <c r="J1480" s="184"/>
      <c r="K1480" s="184"/>
      <c r="L1480" s="184"/>
      <c r="M1480" s="59"/>
    </row>
    <row r="1481" spans="2:13" x14ac:dyDescent="0.3">
      <c r="B1481" s="178"/>
      <c r="C1481" s="179"/>
      <c r="D1481" s="180"/>
      <c r="E1481" s="181"/>
      <c r="F1481" s="182"/>
      <c r="G1481" s="1" t="str">
        <f>IFERROR(IF(ventas_b_mes1[[#This Row],[CUIT]]="","-",VLOOKUP(ventas_b_mes1[[#This Row],[CUIT]],Lista_CUIT[#All],2,0)),"CUIT NO CARGADO")</f>
        <v>-</v>
      </c>
      <c r="H1481" s="64">
        <f>ventas_b_mes1[[#This Row],[TOTAL]]/1.21</f>
        <v>0</v>
      </c>
      <c r="I1481" s="183">
        <f>ventas_b_mes1[[#This Row],[IMPORTE NETO]]*0.21</f>
        <v>0</v>
      </c>
      <c r="J1481" s="184"/>
      <c r="K1481" s="184"/>
      <c r="L1481" s="184"/>
      <c r="M1481" s="59"/>
    </row>
    <row r="1482" spans="2:13" x14ac:dyDescent="0.3">
      <c r="B1482" s="178"/>
      <c r="C1482" s="179"/>
      <c r="D1482" s="180"/>
      <c r="E1482" s="181"/>
      <c r="F1482" s="182"/>
      <c r="G1482" s="1" t="str">
        <f>IFERROR(IF(ventas_b_mes1[[#This Row],[CUIT]]="","-",VLOOKUP(ventas_b_mes1[[#This Row],[CUIT]],Lista_CUIT[#All],2,0)),"CUIT NO CARGADO")</f>
        <v>-</v>
      </c>
      <c r="H1482" s="64">
        <f>ventas_b_mes1[[#This Row],[TOTAL]]/1.21</f>
        <v>0</v>
      </c>
      <c r="I1482" s="183">
        <f>ventas_b_mes1[[#This Row],[IMPORTE NETO]]*0.21</f>
        <v>0</v>
      </c>
      <c r="J1482" s="184"/>
      <c r="K1482" s="184"/>
      <c r="L1482" s="184"/>
      <c r="M1482" s="59"/>
    </row>
    <row r="1483" spans="2:13" x14ac:dyDescent="0.3">
      <c r="B1483" s="178"/>
      <c r="C1483" s="179"/>
      <c r="D1483" s="180"/>
      <c r="E1483" s="181"/>
      <c r="F1483" s="182"/>
      <c r="G1483" s="1" t="str">
        <f>IFERROR(IF(ventas_b_mes1[[#This Row],[CUIT]]="","-",VLOOKUP(ventas_b_mes1[[#This Row],[CUIT]],Lista_CUIT[#All],2,0)),"CUIT NO CARGADO")</f>
        <v>-</v>
      </c>
      <c r="H1483" s="64">
        <f>ventas_b_mes1[[#This Row],[TOTAL]]/1.21</f>
        <v>0</v>
      </c>
      <c r="I1483" s="183">
        <f>ventas_b_mes1[[#This Row],[IMPORTE NETO]]*0.21</f>
        <v>0</v>
      </c>
      <c r="J1483" s="184"/>
      <c r="K1483" s="184"/>
      <c r="L1483" s="184"/>
      <c r="M1483" s="59"/>
    </row>
    <row r="1484" spans="2:13" x14ac:dyDescent="0.3">
      <c r="B1484" s="178"/>
      <c r="C1484" s="179"/>
      <c r="D1484" s="180"/>
      <c r="E1484" s="181"/>
      <c r="F1484" s="182"/>
      <c r="G1484" s="1" t="str">
        <f>IFERROR(IF(ventas_b_mes1[[#This Row],[CUIT]]="","-",VLOOKUP(ventas_b_mes1[[#This Row],[CUIT]],Lista_CUIT[#All],2,0)),"CUIT NO CARGADO")</f>
        <v>-</v>
      </c>
      <c r="H1484" s="64">
        <f>ventas_b_mes1[[#This Row],[TOTAL]]/1.21</f>
        <v>0</v>
      </c>
      <c r="I1484" s="183">
        <f>ventas_b_mes1[[#This Row],[IMPORTE NETO]]*0.21</f>
        <v>0</v>
      </c>
      <c r="J1484" s="184"/>
      <c r="K1484" s="184"/>
      <c r="L1484" s="184"/>
      <c r="M1484" s="59"/>
    </row>
    <row r="1485" spans="2:13" x14ac:dyDescent="0.3">
      <c r="B1485" s="178"/>
      <c r="C1485" s="179"/>
      <c r="D1485" s="180"/>
      <c r="E1485" s="181"/>
      <c r="F1485" s="182"/>
      <c r="G1485" s="1" t="str">
        <f>IFERROR(IF(ventas_b_mes1[[#This Row],[CUIT]]="","-",VLOOKUP(ventas_b_mes1[[#This Row],[CUIT]],Lista_CUIT[#All],2,0)),"CUIT NO CARGADO")</f>
        <v>-</v>
      </c>
      <c r="H1485" s="64">
        <f>ventas_b_mes1[[#This Row],[TOTAL]]/1.21</f>
        <v>0</v>
      </c>
      <c r="I1485" s="183">
        <f>ventas_b_mes1[[#This Row],[IMPORTE NETO]]*0.21</f>
        <v>0</v>
      </c>
      <c r="J1485" s="184"/>
      <c r="K1485" s="184"/>
      <c r="L1485" s="184"/>
      <c r="M1485" s="59"/>
    </row>
    <row r="1486" spans="2:13" x14ac:dyDescent="0.3">
      <c r="B1486" s="178"/>
      <c r="C1486" s="179"/>
      <c r="D1486" s="180"/>
      <c r="E1486" s="181"/>
      <c r="F1486" s="182"/>
      <c r="G1486" s="1" t="str">
        <f>IFERROR(IF(ventas_b_mes1[[#This Row],[CUIT]]="","-",VLOOKUP(ventas_b_mes1[[#This Row],[CUIT]],Lista_CUIT[#All],2,0)),"CUIT NO CARGADO")</f>
        <v>-</v>
      </c>
      <c r="H1486" s="64">
        <f>ventas_b_mes1[[#This Row],[TOTAL]]/1.21</f>
        <v>0</v>
      </c>
      <c r="I1486" s="183">
        <f>ventas_b_mes1[[#This Row],[IMPORTE NETO]]*0.21</f>
        <v>0</v>
      </c>
      <c r="J1486" s="184"/>
      <c r="K1486" s="184"/>
      <c r="L1486" s="184"/>
      <c r="M1486" s="59"/>
    </row>
    <row r="1487" spans="2:13" x14ac:dyDescent="0.3">
      <c r="B1487" s="178"/>
      <c r="C1487" s="179"/>
      <c r="D1487" s="180"/>
      <c r="E1487" s="181"/>
      <c r="F1487" s="182"/>
      <c r="G1487" s="1" t="str">
        <f>IFERROR(IF(ventas_b_mes1[[#This Row],[CUIT]]="","-",VLOOKUP(ventas_b_mes1[[#This Row],[CUIT]],Lista_CUIT[#All],2,0)),"CUIT NO CARGADO")</f>
        <v>-</v>
      </c>
      <c r="H1487" s="64">
        <f>ventas_b_mes1[[#This Row],[TOTAL]]/1.21</f>
        <v>0</v>
      </c>
      <c r="I1487" s="183">
        <f>ventas_b_mes1[[#This Row],[IMPORTE NETO]]*0.21</f>
        <v>0</v>
      </c>
      <c r="J1487" s="184"/>
      <c r="K1487" s="184"/>
      <c r="L1487" s="184"/>
      <c r="M1487" s="59"/>
    </row>
    <row r="1488" spans="2:13" x14ac:dyDescent="0.3">
      <c r="B1488" s="178"/>
      <c r="C1488" s="179"/>
      <c r="D1488" s="180"/>
      <c r="E1488" s="181"/>
      <c r="F1488" s="182"/>
      <c r="G1488" s="1" t="str">
        <f>IFERROR(IF(ventas_b_mes1[[#This Row],[CUIT]]="","-",VLOOKUP(ventas_b_mes1[[#This Row],[CUIT]],Lista_CUIT[#All],2,0)),"CUIT NO CARGADO")</f>
        <v>-</v>
      </c>
      <c r="H1488" s="64">
        <f>ventas_b_mes1[[#This Row],[TOTAL]]/1.21</f>
        <v>0</v>
      </c>
      <c r="I1488" s="183">
        <f>ventas_b_mes1[[#This Row],[IMPORTE NETO]]*0.21</f>
        <v>0</v>
      </c>
      <c r="J1488" s="184"/>
      <c r="K1488" s="184"/>
      <c r="L1488" s="184"/>
      <c r="M1488" s="59"/>
    </row>
    <row r="1489" spans="2:13" x14ac:dyDescent="0.3">
      <c r="B1489" s="178"/>
      <c r="C1489" s="179"/>
      <c r="D1489" s="180"/>
      <c r="E1489" s="181"/>
      <c r="F1489" s="182"/>
      <c r="G1489" s="1" t="str">
        <f>IFERROR(IF(ventas_b_mes1[[#This Row],[CUIT]]="","-",VLOOKUP(ventas_b_mes1[[#This Row],[CUIT]],Lista_CUIT[#All],2,0)),"CUIT NO CARGADO")</f>
        <v>-</v>
      </c>
      <c r="H1489" s="64">
        <f>ventas_b_mes1[[#This Row],[TOTAL]]/1.21</f>
        <v>0</v>
      </c>
      <c r="I1489" s="183">
        <f>ventas_b_mes1[[#This Row],[IMPORTE NETO]]*0.21</f>
        <v>0</v>
      </c>
      <c r="J1489" s="184"/>
      <c r="K1489" s="184"/>
      <c r="L1489" s="184"/>
      <c r="M1489" s="59"/>
    </row>
    <row r="1490" spans="2:13" x14ac:dyDescent="0.3">
      <c r="B1490" s="178"/>
      <c r="C1490" s="179"/>
      <c r="D1490" s="180"/>
      <c r="E1490" s="181"/>
      <c r="F1490" s="182"/>
      <c r="G1490" s="1" t="str">
        <f>IFERROR(IF(ventas_b_mes1[[#This Row],[CUIT]]="","-",VLOOKUP(ventas_b_mes1[[#This Row],[CUIT]],Lista_CUIT[#All],2,0)),"CUIT NO CARGADO")</f>
        <v>-</v>
      </c>
      <c r="H1490" s="64">
        <f>ventas_b_mes1[[#This Row],[TOTAL]]/1.21</f>
        <v>0</v>
      </c>
      <c r="I1490" s="183">
        <f>ventas_b_mes1[[#This Row],[IMPORTE NETO]]*0.21</f>
        <v>0</v>
      </c>
      <c r="J1490" s="184"/>
      <c r="K1490" s="184"/>
      <c r="L1490" s="184"/>
      <c r="M1490" s="59"/>
    </row>
    <row r="1491" spans="2:13" x14ac:dyDescent="0.3">
      <c r="B1491" s="178"/>
      <c r="C1491" s="179"/>
      <c r="D1491" s="180"/>
      <c r="E1491" s="181"/>
      <c r="F1491" s="182"/>
      <c r="G1491" s="1" t="str">
        <f>IFERROR(IF(ventas_b_mes1[[#This Row],[CUIT]]="","-",VLOOKUP(ventas_b_mes1[[#This Row],[CUIT]],Lista_CUIT[#All],2,0)),"CUIT NO CARGADO")</f>
        <v>-</v>
      </c>
      <c r="H1491" s="64">
        <f>ventas_b_mes1[[#This Row],[TOTAL]]/1.21</f>
        <v>0</v>
      </c>
      <c r="I1491" s="183">
        <f>ventas_b_mes1[[#This Row],[IMPORTE NETO]]*0.21</f>
        <v>0</v>
      </c>
      <c r="J1491" s="184"/>
      <c r="K1491" s="184"/>
      <c r="L1491" s="184"/>
      <c r="M1491" s="59"/>
    </row>
    <row r="1492" spans="2:13" x14ac:dyDescent="0.3">
      <c r="B1492" s="178"/>
      <c r="C1492" s="179"/>
      <c r="D1492" s="180"/>
      <c r="E1492" s="181"/>
      <c r="F1492" s="182"/>
      <c r="G1492" s="1" t="str">
        <f>IFERROR(IF(ventas_b_mes1[[#This Row],[CUIT]]="","-",VLOOKUP(ventas_b_mes1[[#This Row],[CUIT]],Lista_CUIT[#All],2,0)),"CUIT NO CARGADO")</f>
        <v>-</v>
      </c>
      <c r="H1492" s="64">
        <f>ventas_b_mes1[[#This Row],[TOTAL]]/1.21</f>
        <v>0</v>
      </c>
      <c r="I1492" s="183">
        <f>ventas_b_mes1[[#This Row],[IMPORTE NETO]]*0.21</f>
        <v>0</v>
      </c>
      <c r="J1492" s="184"/>
      <c r="K1492" s="184"/>
      <c r="L1492" s="184"/>
      <c r="M1492" s="59"/>
    </row>
    <row r="1493" spans="2:13" x14ac:dyDescent="0.3">
      <c r="B1493" s="178"/>
      <c r="C1493" s="179"/>
      <c r="D1493" s="180"/>
      <c r="E1493" s="181"/>
      <c r="F1493" s="182"/>
      <c r="G1493" s="1" t="str">
        <f>IFERROR(IF(ventas_b_mes1[[#This Row],[CUIT]]="","-",VLOOKUP(ventas_b_mes1[[#This Row],[CUIT]],Lista_CUIT[#All],2,0)),"CUIT NO CARGADO")</f>
        <v>-</v>
      </c>
      <c r="H1493" s="64">
        <f>ventas_b_mes1[[#This Row],[TOTAL]]/1.21</f>
        <v>0</v>
      </c>
      <c r="I1493" s="183">
        <f>ventas_b_mes1[[#This Row],[IMPORTE NETO]]*0.21</f>
        <v>0</v>
      </c>
      <c r="J1493" s="184"/>
      <c r="K1493" s="184"/>
      <c r="L1493" s="184"/>
      <c r="M1493" s="59"/>
    </row>
    <row r="1494" spans="2:13" x14ac:dyDescent="0.3">
      <c r="B1494" s="178"/>
      <c r="C1494" s="179"/>
      <c r="D1494" s="180"/>
      <c r="E1494" s="181"/>
      <c r="F1494" s="182"/>
      <c r="G1494" s="1" t="str">
        <f>IFERROR(IF(ventas_b_mes1[[#This Row],[CUIT]]="","-",VLOOKUP(ventas_b_mes1[[#This Row],[CUIT]],Lista_CUIT[#All],2,0)),"CUIT NO CARGADO")</f>
        <v>-</v>
      </c>
      <c r="H1494" s="64">
        <f>ventas_b_mes1[[#This Row],[TOTAL]]/1.21</f>
        <v>0</v>
      </c>
      <c r="I1494" s="183">
        <f>ventas_b_mes1[[#This Row],[IMPORTE NETO]]*0.21</f>
        <v>0</v>
      </c>
      <c r="J1494" s="184"/>
      <c r="K1494" s="184"/>
      <c r="L1494" s="184"/>
      <c r="M1494" s="59"/>
    </row>
    <row r="1495" spans="2:13" x14ac:dyDescent="0.3">
      <c r="B1495" s="178"/>
      <c r="C1495" s="179"/>
      <c r="D1495" s="180"/>
      <c r="E1495" s="181"/>
      <c r="F1495" s="182"/>
      <c r="G1495" s="1" t="str">
        <f>IFERROR(IF(ventas_b_mes1[[#This Row],[CUIT]]="","-",VLOOKUP(ventas_b_mes1[[#This Row],[CUIT]],Lista_CUIT[#All],2,0)),"CUIT NO CARGADO")</f>
        <v>-</v>
      </c>
      <c r="H1495" s="64">
        <f>ventas_b_mes1[[#This Row],[TOTAL]]/1.21</f>
        <v>0</v>
      </c>
      <c r="I1495" s="183">
        <f>ventas_b_mes1[[#This Row],[IMPORTE NETO]]*0.21</f>
        <v>0</v>
      </c>
      <c r="J1495" s="184"/>
      <c r="K1495" s="184"/>
      <c r="L1495" s="184"/>
      <c r="M1495" s="59"/>
    </row>
    <row r="1496" spans="2:13" x14ac:dyDescent="0.3">
      <c r="B1496" s="178"/>
      <c r="C1496" s="179"/>
      <c r="D1496" s="180"/>
      <c r="E1496" s="181"/>
      <c r="F1496" s="182"/>
      <c r="G1496" s="1" t="str">
        <f>IFERROR(IF(ventas_b_mes1[[#This Row],[CUIT]]="","-",VLOOKUP(ventas_b_mes1[[#This Row],[CUIT]],Lista_CUIT[#All],2,0)),"CUIT NO CARGADO")</f>
        <v>-</v>
      </c>
      <c r="H1496" s="64">
        <f>ventas_b_mes1[[#This Row],[TOTAL]]/1.21</f>
        <v>0</v>
      </c>
      <c r="I1496" s="183">
        <f>ventas_b_mes1[[#This Row],[IMPORTE NETO]]*0.21</f>
        <v>0</v>
      </c>
      <c r="J1496" s="184"/>
      <c r="K1496" s="184"/>
      <c r="L1496" s="184"/>
      <c r="M1496" s="59"/>
    </row>
    <row r="1497" spans="2:13" x14ac:dyDescent="0.3">
      <c r="B1497" s="178"/>
      <c r="C1497" s="179"/>
      <c r="D1497" s="180"/>
      <c r="E1497" s="181"/>
      <c r="F1497" s="182"/>
      <c r="G1497" s="1" t="str">
        <f>IFERROR(IF(ventas_b_mes1[[#This Row],[CUIT]]="","-",VLOOKUP(ventas_b_mes1[[#This Row],[CUIT]],Lista_CUIT[#All],2,0)),"CUIT NO CARGADO")</f>
        <v>-</v>
      </c>
      <c r="H1497" s="64">
        <f>ventas_b_mes1[[#This Row],[TOTAL]]/1.21</f>
        <v>0</v>
      </c>
      <c r="I1497" s="183">
        <f>ventas_b_mes1[[#This Row],[IMPORTE NETO]]*0.21</f>
        <v>0</v>
      </c>
      <c r="J1497" s="184"/>
      <c r="K1497" s="184"/>
      <c r="L1497" s="184"/>
      <c r="M1497" s="59"/>
    </row>
    <row r="1498" spans="2:13" x14ac:dyDescent="0.3">
      <c r="B1498" s="178"/>
      <c r="C1498" s="179"/>
      <c r="D1498" s="180"/>
      <c r="E1498" s="181"/>
      <c r="F1498" s="182"/>
      <c r="G1498" s="1" t="str">
        <f>IFERROR(IF(ventas_b_mes1[[#This Row],[CUIT]]="","-",VLOOKUP(ventas_b_mes1[[#This Row],[CUIT]],Lista_CUIT[#All],2,0)),"CUIT NO CARGADO")</f>
        <v>-</v>
      </c>
      <c r="H1498" s="64">
        <f>ventas_b_mes1[[#This Row],[TOTAL]]/1.21</f>
        <v>0</v>
      </c>
      <c r="I1498" s="183">
        <f>ventas_b_mes1[[#This Row],[IMPORTE NETO]]*0.21</f>
        <v>0</v>
      </c>
      <c r="J1498" s="184"/>
      <c r="K1498" s="184"/>
      <c r="L1498" s="184"/>
      <c r="M1498" s="59"/>
    </row>
    <row r="1499" spans="2:13" x14ac:dyDescent="0.3">
      <c r="B1499" s="178"/>
      <c r="C1499" s="179"/>
      <c r="D1499" s="180"/>
      <c r="E1499" s="181"/>
      <c r="F1499" s="182"/>
      <c r="G1499" s="1" t="str">
        <f>IFERROR(IF(ventas_b_mes1[[#This Row],[CUIT]]="","-",VLOOKUP(ventas_b_mes1[[#This Row],[CUIT]],Lista_CUIT[#All],2,0)),"CUIT NO CARGADO")</f>
        <v>-</v>
      </c>
      <c r="H1499" s="64">
        <f>ventas_b_mes1[[#This Row],[TOTAL]]/1.21</f>
        <v>0</v>
      </c>
      <c r="I1499" s="183">
        <f>ventas_b_mes1[[#This Row],[IMPORTE NETO]]*0.21</f>
        <v>0</v>
      </c>
      <c r="J1499" s="184"/>
      <c r="K1499" s="184"/>
      <c r="L1499" s="184"/>
      <c r="M1499" s="59"/>
    </row>
    <row r="1500" spans="2:13" x14ac:dyDescent="0.3">
      <c r="B1500" s="178"/>
      <c r="C1500" s="179"/>
      <c r="D1500" s="180"/>
      <c r="E1500" s="181"/>
      <c r="F1500" s="182"/>
      <c r="G1500" s="1" t="str">
        <f>IFERROR(IF(ventas_b_mes1[[#This Row],[CUIT]]="","-",VLOOKUP(ventas_b_mes1[[#This Row],[CUIT]],Lista_CUIT[#All],2,0)),"CUIT NO CARGADO")</f>
        <v>-</v>
      </c>
      <c r="H1500" s="64">
        <f>ventas_b_mes1[[#This Row],[TOTAL]]/1.21</f>
        <v>0</v>
      </c>
      <c r="I1500" s="183">
        <f>ventas_b_mes1[[#This Row],[IMPORTE NETO]]*0.21</f>
        <v>0</v>
      </c>
      <c r="J1500" s="184"/>
      <c r="K1500" s="184"/>
      <c r="L1500" s="184"/>
      <c r="M1500" s="59"/>
    </row>
    <row r="1501" spans="2:13" x14ac:dyDescent="0.3">
      <c r="B1501" s="178"/>
      <c r="C1501" s="179"/>
      <c r="D1501" s="180"/>
      <c r="E1501" s="181"/>
      <c r="F1501" s="182"/>
      <c r="G1501" s="1" t="str">
        <f>IFERROR(IF(ventas_b_mes1[[#This Row],[CUIT]]="","-",VLOOKUP(ventas_b_mes1[[#This Row],[CUIT]],Lista_CUIT[#All],2,0)),"CUIT NO CARGADO")</f>
        <v>-</v>
      </c>
      <c r="H1501" s="64">
        <f>ventas_b_mes1[[#This Row],[TOTAL]]/1.21</f>
        <v>0</v>
      </c>
      <c r="I1501" s="183">
        <f>ventas_b_mes1[[#This Row],[IMPORTE NETO]]*0.21</f>
        <v>0</v>
      </c>
      <c r="J1501" s="184"/>
      <c r="K1501" s="184"/>
      <c r="L1501" s="184"/>
      <c r="M1501" s="59"/>
    </row>
    <row r="1502" spans="2:13" x14ac:dyDescent="0.3">
      <c r="B1502" s="178"/>
      <c r="C1502" s="179"/>
      <c r="D1502" s="180"/>
      <c r="E1502" s="181"/>
      <c r="F1502" s="182"/>
      <c r="G1502" s="1" t="str">
        <f>IFERROR(IF(ventas_b_mes1[[#This Row],[CUIT]]="","-",VLOOKUP(ventas_b_mes1[[#This Row],[CUIT]],Lista_CUIT[#All],2,0)),"CUIT NO CARGADO")</f>
        <v>-</v>
      </c>
      <c r="H1502" s="64">
        <f>ventas_b_mes1[[#This Row],[TOTAL]]/1.21</f>
        <v>0</v>
      </c>
      <c r="I1502" s="183">
        <f>ventas_b_mes1[[#This Row],[IMPORTE NETO]]*0.21</f>
        <v>0</v>
      </c>
      <c r="J1502" s="184"/>
      <c r="K1502" s="184"/>
      <c r="L1502" s="184"/>
      <c r="M1502" s="59"/>
    </row>
    <row r="1503" spans="2:13" x14ac:dyDescent="0.3">
      <c r="B1503" s="178"/>
      <c r="C1503" s="179"/>
      <c r="D1503" s="180"/>
      <c r="E1503" s="181"/>
      <c r="F1503" s="182"/>
      <c r="G1503" s="1" t="str">
        <f>IFERROR(IF(ventas_b_mes1[[#This Row],[CUIT]]="","-",VLOOKUP(ventas_b_mes1[[#This Row],[CUIT]],Lista_CUIT[#All],2,0)),"CUIT NO CARGADO")</f>
        <v>-</v>
      </c>
      <c r="H1503" s="64">
        <f>ventas_b_mes1[[#This Row],[TOTAL]]/1.21</f>
        <v>0</v>
      </c>
      <c r="I1503" s="183">
        <f>ventas_b_mes1[[#This Row],[IMPORTE NETO]]*0.21</f>
        <v>0</v>
      </c>
      <c r="J1503" s="184"/>
      <c r="K1503" s="184"/>
      <c r="L1503" s="184"/>
      <c r="M1503" s="59"/>
    </row>
    <row r="1504" spans="2:13" x14ac:dyDescent="0.3">
      <c r="B1504" s="178"/>
      <c r="C1504" s="179"/>
      <c r="D1504" s="180"/>
      <c r="E1504" s="181"/>
      <c r="F1504" s="182"/>
      <c r="G1504" s="1" t="str">
        <f>IFERROR(IF(ventas_b_mes1[[#This Row],[CUIT]]="","-",VLOOKUP(ventas_b_mes1[[#This Row],[CUIT]],Lista_CUIT[#All],2,0)),"CUIT NO CARGADO")</f>
        <v>-</v>
      </c>
      <c r="H1504" s="64">
        <f>ventas_b_mes1[[#This Row],[TOTAL]]/1.21</f>
        <v>0</v>
      </c>
      <c r="I1504" s="183">
        <f>ventas_b_mes1[[#This Row],[IMPORTE NETO]]*0.21</f>
        <v>0</v>
      </c>
      <c r="J1504" s="184"/>
      <c r="K1504" s="184"/>
      <c r="L1504" s="184"/>
      <c r="M1504" s="59"/>
    </row>
    <row r="1505" spans="2:13" x14ac:dyDescent="0.3">
      <c r="B1505" s="178"/>
      <c r="C1505" s="179"/>
      <c r="D1505" s="180"/>
      <c r="E1505" s="181"/>
      <c r="F1505" s="182"/>
      <c r="G1505" s="1" t="str">
        <f>IFERROR(IF(ventas_b_mes1[[#This Row],[CUIT]]="","-",VLOOKUP(ventas_b_mes1[[#This Row],[CUIT]],Lista_CUIT[#All],2,0)),"CUIT NO CARGADO")</f>
        <v>-</v>
      </c>
      <c r="H1505" s="64">
        <f>ventas_b_mes1[[#This Row],[TOTAL]]/1.21</f>
        <v>0</v>
      </c>
      <c r="I1505" s="183">
        <f>ventas_b_mes1[[#This Row],[IMPORTE NETO]]*0.21</f>
        <v>0</v>
      </c>
      <c r="J1505" s="184"/>
      <c r="K1505" s="184"/>
      <c r="L1505" s="184"/>
      <c r="M1505" s="59"/>
    </row>
    <row r="1506" spans="2:13" x14ac:dyDescent="0.3">
      <c r="B1506" s="178"/>
      <c r="C1506" s="179"/>
      <c r="D1506" s="180"/>
      <c r="E1506" s="181"/>
      <c r="F1506" s="182"/>
      <c r="G1506" s="1" t="str">
        <f>IFERROR(IF(ventas_b_mes1[[#This Row],[CUIT]]="","-",VLOOKUP(ventas_b_mes1[[#This Row],[CUIT]],Lista_CUIT[#All],2,0)),"CUIT NO CARGADO")</f>
        <v>-</v>
      </c>
      <c r="H1506" s="64">
        <f>ventas_b_mes1[[#This Row],[TOTAL]]/1.21</f>
        <v>0</v>
      </c>
      <c r="I1506" s="183">
        <f>ventas_b_mes1[[#This Row],[IMPORTE NETO]]*0.21</f>
        <v>0</v>
      </c>
      <c r="J1506" s="184"/>
      <c r="K1506" s="184"/>
      <c r="L1506" s="184"/>
      <c r="M1506" s="59"/>
    </row>
    <row r="1507" spans="2:13" x14ac:dyDescent="0.3">
      <c r="B1507" s="178"/>
      <c r="C1507" s="179"/>
      <c r="D1507" s="180"/>
      <c r="E1507" s="181"/>
      <c r="F1507" s="182"/>
      <c r="G1507" s="1" t="str">
        <f>IFERROR(IF(ventas_b_mes1[[#This Row],[CUIT]]="","-",VLOOKUP(ventas_b_mes1[[#This Row],[CUIT]],Lista_CUIT[#All],2,0)),"CUIT NO CARGADO")</f>
        <v>-</v>
      </c>
      <c r="H1507" s="64">
        <f>ventas_b_mes1[[#This Row],[TOTAL]]/1.21</f>
        <v>0</v>
      </c>
      <c r="I1507" s="183">
        <f>ventas_b_mes1[[#This Row],[IMPORTE NETO]]*0.21</f>
        <v>0</v>
      </c>
      <c r="J1507" s="184"/>
      <c r="K1507" s="184"/>
      <c r="L1507" s="184"/>
      <c r="M1507" s="59"/>
    </row>
    <row r="1508" spans="2:13" x14ac:dyDescent="0.3">
      <c r="B1508" s="178"/>
      <c r="C1508" s="179"/>
      <c r="D1508" s="180"/>
      <c r="E1508" s="181"/>
      <c r="F1508" s="182"/>
      <c r="G1508" s="1" t="str">
        <f>IFERROR(IF(ventas_b_mes1[[#This Row],[CUIT]]="","-",VLOOKUP(ventas_b_mes1[[#This Row],[CUIT]],Lista_CUIT[#All],2,0)),"CUIT NO CARGADO")</f>
        <v>-</v>
      </c>
      <c r="H1508" s="64">
        <f>ventas_b_mes1[[#This Row],[TOTAL]]/1.21</f>
        <v>0</v>
      </c>
      <c r="I1508" s="183">
        <f>ventas_b_mes1[[#This Row],[IMPORTE NETO]]*0.21</f>
        <v>0</v>
      </c>
      <c r="J1508" s="184"/>
      <c r="K1508" s="184"/>
      <c r="L1508" s="184"/>
      <c r="M1508" s="59"/>
    </row>
    <row r="1509" spans="2:13" x14ac:dyDescent="0.3">
      <c r="B1509" s="178"/>
      <c r="C1509" s="179"/>
      <c r="D1509" s="180"/>
      <c r="E1509" s="181"/>
      <c r="F1509" s="182"/>
      <c r="G1509" s="1" t="str">
        <f>IFERROR(IF(ventas_b_mes1[[#This Row],[CUIT]]="","-",VLOOKUP(ventas_b_mes1[[#This Row],[CUIT]],Lista_CUIT[#All],2,0)),"CUIT NO CARGADO")</f>
        <v>-</v>
      </c>
      <c r="H1509" s="64">
        <f>ventas_b_mes1[[#This Row],[TOTAL]]/1.21</f>
        <v>0</v>
      </c>
      <c r="I1509" s="183">
        <f>ventas_b_mes1[[#This Row],[IMPORTE NETO]]*0.21</f>
        <v>0</v>
      </c>
      <c r="J1509" s="184"/>
      <c r="K1509" s="184"/>
      <c r="L1509" s="184"/>
      <c r="M1509" s="59"/>
    </row>
    <row r="1510" spans="2:13" x14ac:dyDescent="0.3">
      <c r="B1510" s="178"/>
      <c r="C1510" s="179"/>
      <c r="D1510" s="180"/>
      <c r="E1510" s="181"/>
      <c r="F1510" s="182"/>
      <c r="G1510" s="1" t="str">
        <f>IFERROR(IF(ventas_b_mes1[[#This Row],[CUIT]]="","-",VLOOKUP(ventas_b_mes1[[#This Row],[CUIT]],Lista_CUIT[#All],2,0)),"CUIT NO CARGADO")</f>
        <v>-</v>
      </c>
      <c r="H1510" s="64">
        <f>ventas_b_mes1[[#This Row],[TOTAL]]/1.21</f>
        <v>0</v>
      </c>
      <c r="I1510" s="183">
        <f>ventas_b_mes1[[#This Row],[IMPORTE NETO]]*0.21</f>
        <v>0</v>
      </c>
      <c r="J1510" s="184"/>
      <c r="K1510" s="184"/>
      <c r="L1510" s="184"/>
      <c r="M1510" s="59"/>
    </row>
    <row r="1511" spans="2:13" x14ac:dyDescent="0.3">
      <c r="B1511" s="178"/>
      <c r="C1511" s="179"/>
      <c r="D1511" s="180"/>
      <c r="E1511" s="181"/>
      <c r="F1511" s="182"/>
      <c r="G1511" s="1" t="str">
        <f>IFERROR(IF(ventas_b_mes1[[#This Row],[CUIT]]="","-",VLOOKUP(ventas_b_mes1[[#This Row],[CUIT]],Lista_CUIT[#All],2,0)),"CUIT NO CARGADO")</f>
        <v>-</v>
      </c>
      <c r="H1511" s="64">
        <f>ventas_b_mes1[[#This Row],[TOTAL]]/1.21</f>
        <v>0</v>
      </c>
      <c r="I1511" s="183">
        <f>ventas_b_mes1[[#This Row],[IMPORTE NETO]]*0.21</f>
        <v>0</v>
      </c>
      <c r="J1511" s="184"/>
      <c r="K1511" s="184"/>
      <c r="L1511" s="184"/>
      <c r="M1511" s="59"/>
    </row>
    <row r="1512" spans="2:13" x14ac:dyDescent="0.3">
      <c r="B1512" s="178"/>
      <c r="C1512" s="179"/>
      <c r="D1512" s="180"/>
      <c r="E1512" s="181"/>
      <c r="F1512" s="182"/>
      <c r="G1512" s="1" t="str">
        <f>IFERROR(IF(ventas_b_mes1[[#This Row],[CUIT]]="","-",VLOOKUP(ventas_b_mes1[[#This Row],[CUIT]],Lista_CUIT[#All],2,0)),"CUIT NO CARGADO")</f>
        <v>-</v>
      </c>
      <c r="H1512" s="64">
        <f>ventas_b_mes1[[#This Row],[TOTAL]]/1.21</f>
        <v>0</v>
      </c>
      <c r="I1512" s="183">
        <f>ventas_b_mes1[[#This Row],[IMPORTE NETO]]*0.21</f>
        <v>0</v>
      </c>
      <c r="J1512" s="184"/>
      <c r="K1512" s="184"/>
      <c r="L1512" s="184"/>
      <c r="M1512" s="59"/>
    </row>
    <row r="1513" spans="2:13" x14ac:dyDescent="0.3">
      <c r="B1513" s="178"/>
      <c r="C1513" s="179"/>
      <c r="D1513" s="180"/>
      <c r="E1513" s="181"/>
      <c r="F1513" s="182"/>
      <c r="G1513" s="1" t="str">
        <f>IFERROR(IF(ventas_b_mes1[[#This Row],[CUIT]]="","-",VLOOKUP(ventas_b_mes1[[#This Row],[CUIT]],Lista_CUIT[#All],2,0)),"CUIT NO CARGADO")</f>
        <v>-</v>
      </c>
      <c r="H1513" s="64">
        <f>ventas_b_mes1[[#This Row],[TOTAL]]/1.21</f>
        <v>0</v>
      </c>
      <c r="I1513" s="183">
        <f>ventas_b_mes1[[#This Row],[IMPORTE NETO]]*0.21</f>
        <v>0</v>
      </c>
      <c r="J1513" s="184"/>
      <c r="K1513" s="184"/>
      <c r="L1513" s="184"/>
      <c r="M1513" s="59"/>
    </row>
    <row r="1514" spans="2:13" x14ac:dyDescent="0.3">
      <c r="B1514" s="178"/>
      <c r="C1514" s="179"/>
      <c r="D1514" s="180"/>
      <c r="E1514" s="181"/>
      <c r="F1514" s="182"/>
      <c r="G1514" s="1" t="str">
        <f>IFERROR(IF(ventas_b_mes1[[#This Row],[CUIT]]="","-",VLOOKUP(ventas_b_mes1[[#This Row],[CUIT]],Lista_CUIT[#All],2,0)),"CUIT NO CARGADO")</f>
        <v>-</v>
      </c>
      <c r="H1514" s="64">
        <f>ventas_b_mes1[[#This Row],[TOTAL]]/1.21</f>
        <v>0</v>
      </c>
      <c r="I1514" s="183">
        <f>ventas_b_mes1[[#This Row],[IMPORTE NETO]]*0.21</f>
        <v>0</v>
      </c>
      <c r="J1514" s="184"/>
      <c r="K1514" s="184"/>
      <c r="L1514" s="184"/>
      <c r="M1514" s="59"/>
    </row>
    <row r="1515" spans="2:13" x14ac:dyDescent="0.3">
      <c r="B1515" s="178"/>
      <c r="C1515" s="179"/>
      <c r="D1515" s="180"/>
      <c r="E1515" s="181"/>
      <c r="F1515" s="182"/>
      <c r="G1515" s="1" t="str">
        <f>IFERROR(IF(ventas_b_mes1[[#This Row],[CUIT]]="","-",VLOOKUP(ventas_b_mes1[[#This Row],[CUIT]],Lista_CUIT[#All],2,0)),"CUIT NO CARGADO")</f>
        <v>-</v>
      </c>
      <c r="H1515" s="64">
        <f>ventas_b_mes1[[#This Row],[TOTAL]]/1.21</f>
        <v>0</v>
      </c>
      <c r="I1515" s="183">
        <f>ventas_b_mes1[[#This Row],[IMPORTE NETO]]*0.21</f>
        <v>0</v>
      </c>
      <c r="J1515" s="184"/>
      <c r="K1515" s="184"/>
      <c r="L1515" s="184"/>
      <c r="M1515" s="59"/>
    </row>
    <row r="1516" spans="2:13" x14ac:dyDescent="0.3">
      <c r="B1516" s="178"/>
      <c r="C1516" s="179"/>
      <c r="D1516" s="180"/>
      <c r="E1516" s="181"/>
      <c r="F1516" s="182"/>
      <c r="G1516" s="1" t="str">
        <f>IFERROR(IF(ventas_b_mes1[[#This Row],[CUIT]]="","-",VLOOKUP(ventas_b_mes1[[#This Row],[CUIT]],Lista_CUIT[#All],2,0)),"CUIT NO CARGADO")</f>
        <v>-</v>
      </c>
      <c r="H1516" s="64">
        <f>ventas_b_mes1[[#This Row],[TOTAL]]/1.21</f>
        <v>0</v>
      </c>
      <c r="I1516" s="183">
        <f>ventas_b_mes1[[#This Row],[IMPORTE NETO]]*0.21</f>
        <v>0</v>
      </c>
      <c r="J1516" s="184"/>
      <c r="K1516" s="184"/>
      <c r="L1516" s="184"/>
      <c r="M1516" s="59"/>
    </row>
    <row r="1517" spans="2:13" x14ac:dyDescent="0.3">
      <c r="B1517" s="178"/>
      <c r="C1517" s="179"/>
      <c r="D1517" s="180"/>
      <c r="E1517" s="181"/>
      <c r="F1517" s="182"/>
      <c r="G1517" s="1" t="str">
        <f>IFERROR(IF(ventas_b_mes1[[#This Row],[CUIT]]="","-",VLOOKUP(ventas_b_mes1[[#This Row],[CUIT]],Lista_CUIT[#All],2,0)),"CUIT NO CARGADO")</f>
        <v>-</v>
      </c>
      <c r="H1517" s="64">
        <f>ventas_b_mes1[[#This Row],[TOTAL]]/1.21</f>
        <v>0</v>
      </c>
      <c r="I1517" s="183">
        <f>ventas_b_mes1[[#This Row],[IMPORTE NETO]]*0.21</f>
        <v>0</v>
      </c>
      <c r="J1517" s="184"/>
      <c r="K1517" s="184"/>
      <c r="L1517" s="184"/>
      <c r="M1517" s="59"/>
    </row>
    <row r="1518" spans="2:13" x14ac:dyDescent="0.3">
      <c r="B1518" s="178"/>
      <c r="C1518" s="179"/>
      <c r="D1518" s="180"/>
      <c r="E1518" s="181"/>
      <c r="F1518" s="182"/>
      <c r="G1518" s="1" t="str">
        <f>IFERROR(IF(ventas_b_mes1[[#This Row],[CUIT]]="","-",VLOOKUP(ventas_b_mes1[[#This Row],[CUIT]],Lista_CUIT[#All],2,0)),"CUIT NO CARGADO")</f>
        <v>-</v>
      </c>
      <c r="H1518" s="64">
        <f>ventas_b_mes1[[#This Row],[TOTAL]]/1.21</f>
        <v>0</v>
      </c>
      <c r="I1518" s="183">
        <f>ventas_b_mes1[[#This Row],[IMPORTE NETO]]*0.21</f>
        <v>0</v>
      </c>
      <c r="J1518" s="184"/>
      <c r="K1518" s="184"/>
      <c r="L1518" s="184"/>
      <c r="M1518" s="59"/>
    </row>
    <row r="1519" spans="2:13" x14ac:dyDescent="0.3">
      <c r="B1519" s="178"/>
      <c r="C1519" s="179"/>
      <c r="D1519" s="180"/>
      <c r="E1519" s="181"/>
      <c r="F1519" s="182"/>
      <c r="G1519" s="1" t="str">
        <f>IFERROR(IF(ventas_b_mes1[[#This Row],[CUIT]]="","-",VLOOKUP(ventas_b_mes1[[#This Row],[CUIT]],Lista_CUIT[#All],2,0)),"CUIT NO CARGADO")</f>
        <v>-</v>
      </c>
      <c r="H1519" s="64">
        <f>ventas_b_mes1[[#This Row],[TOTAL]]/1.21</f>
        <v>0</v>
      </c>
      <c r="I1519" s="183">
        <f>ventas_b_mes1[[#This Row],[IMPORTE NETO]]*0.21</f>
        <v>0</v>
      </c>
      <c r="J1519" s="184"/>
      <c r="K1519" s="184"/>
      <c r="L1519" s="184"/>
      <c r="M1519" s="59"/>
    </row>
    <row r="1520" spans="2:13" x14ac:dyDescent="0.3">
      <c r="B1520" s="178"/>
      <c r="C1520" s="179"/>
      <c r="D1520" s="180"/>
      <c r="E1520" s="181"/>
      <c r="F1520" s="182"/>
      <c r="G1520" s="1" t="str">
        <f>IFERROR(IF(ventas_b_mes1[[#This Row],[CUIT]]="","-",VLOOKUP(ventas_b_mes1[[#This Row],[CUIT]],Lista_CUIT[#All],2,0)),"CUIT NO CARGADO")</f>
        <v>-</v>
      </c>
      <c r="H1520" s="64">
        <f>ventas_b_mes1[[#This Row],[TOTAL]]/1.21</f>
        <v>0</v>
      </c>
      <c r="I1520" s="183">
        <f>ventas_b_mes1[[#This Row],[IMPORTE NETO]]*0.21</f>
        <v>0</v>
      </c>
      <c r="J1520" s="184"/>
      <c r="K1520" s="184"/>
      <c r="L1520" s="184"/>
      <c r="M1520" s="59"/>
    </row>
    <row r="1521" spans="2:13" x14ac:dyDescent="0.3">
      <c r="B1521" s="178"/>
      <c r="C1521" s="179"/>
      <c r="D1521" s="180"/>
      <c r="E1521" s="181"/>
      <c r="F1521" s="182"/>
      <c r="G1521" s="1" t="str">
        <f>IFERROR(IF(ventas_b_mes1[[#This Row],[CUIT]]="","-",VLOOKUP(ventas_b_mes1[[#This Row],[CUIT]],Lista_CUIT[#All],2,0)),"CUIT NO CARGADO")</f>
        <v>-</v>
      </c>
      <c r="H1521" s="64">
        <f>ventas_b_mes1[[#This Row],[TOTAL]]/1.21</f>
        <v>0</v>
      </c>
      <c r="I1521" s="183">
        <f>ventas_b_mes1[[#This Row],[IMPORTE NETO]]*0.21</f>
        <v>0</v>
      </c>
      <c r="J1521" s="184"/>
      <c r="K1521" s="184"/>
      <c r="L1521" s="184"/>
      <c r="M1521" s="59"/>
    </row>
    <row r="1522" spans="2:13" x14ac:dyDescent="0.3">
      <c r="B1522" s="178"/>
      <c r="C1522" s="179"/>
      <c r="D1522" s="180"/>
      <c r="E1522" s="181"/>
      <c r="F1522" s="182"/>
      <c r="G1522" s="1" t="str">
        <f>IFERROR(IF(ventas_b_mes1[[#This Row],[CUIT]]="","-",VLOOKUP(ventas_b_mes1[[#This Row],[CUIT]],Lista_CUIT[#All],2,0)),"CUIT NO CARGADO")</f>
        <v>-</v>
      </c>
      <c r="H1522" s="64">
        <f>ventas_b_mes1[[#This Row],[TOTAL]]/1.21</f>
        <v>0</v>
      </c>
      <c r="I1522" s="183">
        <f>ventas_b_mes1[[#This Row],[IMPORTE NETO]]*0.21</f>
        <v>0</v>
      </c>
      <c r="J1522" s="184"/>
      <c r="K1522" s="184"/>
      <c r="L1522" s="184"/>
      <c r="M1522" s="59"/>
    </row>
    <row r="1523" spans="2:13" x14ac:dyDescent="0.3">
      <c r="B1523" s="178"/>
      <c r="C1523" s="179"/>
      <c r="D1523" s="180"/>
      <c r="E1523" s="181"/>
      <c r="F1523" s="182"/>
      <c r="G1523" s="1" t="str">
        <f>IFERROR(IF(ventas_b_mes1[[#This Row],[CUIT]]="","-",VLOOKUP(ventas_b_mes1[[#This Row],[CUIT]],Lista_CUIT[#All],2,0)),"CUIT NO CARGADO")</f>
        <v>-</v>
      </c>
      <c r="H1523" s="64">
        <f>ventas_b_mes1[[#This Row],[TOTAL]]/1.21</f>
        <v>0</v>
      </c>
      <c r="I1523" s="183">
        <f>ventas_b_mes1[[#This Row],[IMPORTE NETO]]*0.21</f>
        <v>0</v>
      </c>
      <c r="J1523" s="184"/>
      <c r="K1523" s="184"/>
      <c r="L1523" s="184"/>
      <c r="M1523" s="59"/>
    </row>
    <row r="1524" spans="2:13" x14ac:dyDescent="0.3">
      <c r="B1524" s="178"/>
      <c r="C1524" s="179"/>
      <c r="D1524" s="180"/>
      <c r="E1524" s="181"/>
      <c r="F1524" s="182"/>
      <c r="G1524" s="1" t="str">
        <f>IFERROR(IF(ventas_b_mes1[[#This Row],[CUIT]]="","-",VLOOKUP(ventas_b_mes1[[#This Row],[CUIT]],Lista_CUIT[#All],2,0)),"CUIT NO CARGADO")</f>
        <v>-</v>
      </c>
      <c r="H1524" s="64">
        <f>ventas_b_mes1[[#This Row],[TOTAL]]/1.21</f>
        <v>0</v>
      </c>
      <c r="I1524" s="183">
        <f>ventas_b_mes1[[#This Row],[IMPORTE NETO]]*0.21</f>
        <v>0</v>
      </c>
      <c r="J1524" s="184"/>
      <c r="K1524" s="184"/>
      <c r="L1524" s="184"/>
      <c r="M1524" s="59"/>
    </row>
    <row r="1525" spans="2:13" x14ac:dyDescent="0.3">
      <c r="B1525" s="178"/>
      <c r="C1525" s="179"/>
      <c r="D1525" s="180"/>
      <c r="E1525" s="181"/>
      <c r="F1525" s="182"/>
      <c r="G1525" s="1" t="str">
        <f>IFERROR(IF(ventas_b_mes1[[#This Row],[CUIT]]="","-",VLOOKUP(ventas_b_mes1[[#This Row],[CUIT]],Lista_CUIT[#All],2,0)),"CUIT NO CARGADO")</f>
        <v>-</v>
      </c>
      <c r="H1525" s="64">
        <f>ventas_b_mes1[[#This Row],[TOTAL]]/1.21</f>
        <v>0</v>
      </c>
      <c r="I1525" s="183">
        <f>ventas_b_mes1[[#This Row],[IMPORTE NETO]]*0.21</f>
        <v>0</v>
      </c>
      <c r="J1525" s="184"/>
      <c r="K1525" s="184"/>
      <c r="L1525" s="184"/>
      <c r="M1525" s="59"/>
    </row>
    <row r="1526" spans="2:13" x14ac:dyDescent="0.3">
      <c r="B1526" s="178"/>
      <c r="C1526" s="179"/>
      <c r="D1526" s="180"/>
      <c r="E1526" s="181"/>
      <c r="F1526" s="182"/>
      <c r="G1526" s="1" t="str">
        <f>IFERROR(IF(ventas_b_mes1[[#This Row],[CUIT]]="","-",VLOOKUP(ventas_b_mes1[[#This Row],[CUIT]],Lista_CUIT[#All],2,0)),"CUIT NO CARGADO")</f>
        <v>-</v>
      </c>
      <c r="H1526" s="64">
        <f>ventas_b_mes1[[#This Row],[TOTAL]]/1.21</f>
        <v>0</v>
      </c>
      <c r="I1526" s="183">
        <f>ventas_b_mes1[[#This Row],[IMPORTE NETO]]*0.21</f>
        <v>0</v>
      </c>
      <c r="J1526" s="184"/>
      <c r="K1526" s="184"/>
      <c r="L1526" s="184"/>
      <c r="M1526" s="59"/>
    </row>
    <row r="1527" spans="2:13" x14ac:dyDescent="0.3">
      <c r="B1527" s="178"/>
      <c r="C1527" s="179"/>
      <c r="D1527" s="180"/>
      <c r="E1527" s="181"/>
      <c r="F1527" s="182"/>
      <c r="G1527" s="1" t="str">
        <f>IFERROR(IF(ventas_b_mes1[[#This Row],[CUIT]]="","-",VLOOKUP(ventas_b_mes1[[#This Row],[CUIT]],Lista_CUIT[#All],2,0)),"CUIT NO CARGADO")</f>
        <v>-</v>
      </c>
      <c r="H1527" s="64">
        <f>ventas_b_mes1[[#This Row],[TOTAL]]/1.21</f>
        <v>0</v>
      </c>
      <c r="I1527" s="183">
        <f>ventas_b_mes1[[#This Row],[IMPORTE NETO]]*0.21</f>
        <v>0</v>
      </c>
      <c r="J1527" s="184"/>
      <c r="K1527" s="184"/>
      <c r="L1527" s="184"/>
      <c r="M1527" s="59"/>
    </row>
    <row r="1528" spans="2:13" x14ac:dyDescent="0.3">
      <c r="B1528" s="178"/>
      <c r="C1528" s="179"/>
      <c r="D1528" s="180"/>
      <c r="E1528" s="181"/>
      <c r="F1528" s="182"/>
      <c r="G1528" s="1" t="str">
        <f>IFERROR(IF(ventas_b_mes1[[#This Row],[CUIT]]="","-",VLOOKUP(ventas_b_mes1[[#This Row],[CUIT]],Lista_CUIT[#All],2,0)),"CUIT NO CARGADO")</f>
        <v>-</v>
      </c>
      <c r="H1528" s="64">
        <f>ventas_b_mes1[[#This Row],[TOTAL]]/1.21</f>
        <v>0</v>
      </c>
      <c r="I1528" s="183">
        <f>ventas_b_mes1[[#This Row],[IMPORTE NETO]]*0.21</f>
        <v>0</v>
      </c>
      <c r="J1528" s="184"/>
      <c r="K1528" s="184"/>
      <c r="L1528" s="184"/>
      <c r="M1528" s="59"/>
    </row>
    <row r="1529" spans="2:13" x14ac:dyDescent="0.3">
      <c r="B1529" s="178"/>
      <c r="C1529" s="179"/>
      <c r="D1529" s="180"/>
      <c r="E1529" s="181"/>
      <c r="F1529" s="182"/>
      <c r="G1529" s="1" t="str">
        <f>IFERROR(IF(ventas_b_mes1[[#This Row],[CUIT]]="","-",VLOOKUP(ventas_b_mes1[[#This Row],[CUIT]],Lista_CUIT[#All],2,0)),"CUIT NO CARGADO")</f>
        <v>-</v>
      </c>
      <c r="H1529" s="64">
        <f>ventas_b_mes1[[#This Row],[TOTAL]]/1.21</f>
        <v>0</v>
      </c>
      <c r="I1529" s="183">
        <f>ventas_b_mes1[[#This Row],[IMPORTE NETO]]*0.21</f>
        <v>0</v>
      </c>
      <c r="J1529" s="184"/>
      <c r="K1529" s="184"/>
      <c r="L1529" s="184"/>
      <c r="M1529" s="59"/>
    </row>
    <row r="1530" spans="2:13" x14ac:dyDescent="0.3">
      <c r="B1530" s="178"/>
      <c r="C1530" s="179"/>
      <c r="D1530" s="180"/>
      <c r="E1530" s="181"/>
      <c r="F1530" s="182"/>
      <c r="G1530" s="1" t="str">
        <f>IFERROR(IF(ventas_b_mes1[[#This Row],[CUIT]]="","-",VLOOKUP(ventas_b_mes1[[#This Row],[CUIT]],Lista_CUIT[#All],2,0)),"CUIT NO CARGADO")</f>
        <v>-</v>
      </c>
      <c r="H1530" s="64">
        <f>ventas_b_mes1[[#This Row],[TOTAL]]/1.21</f>
        <v>0</v>
      </c>
      <c r="I1530" s="183">
        <f>ventas_b_mes1[[#This Row],[IMPORTE NETO]]*0.21</f>
        <v>0</v>
      </c>
      <c r="J1530" s="184"/>
      <c r="K1530" s="184"/>
      <c r="L1530" s="184"/>
      <c r="M1530" s="59"/>
    </row>
    <row r="1531" spans="2:13" x14ac:dyDescent="0.3">
      <c r="B1531" s="178"/>
      <c r="C1531" s="179"/>
      <c r="D1531" s="180"/>
      <c r="E1531" s="181"/>
      <c r="F1531" s="182"/>
      <c r="G1531" s="1" t="str">
        <f>IFERROR(IF(ventas_b_mes1[[#This Row],[CUIT]]="","-",VLOOKUP(ventas_b_mes1[[#This Row],[CUIT]],Lista_CUIT[#All],2,0)),"CUIT NO CARGADO")</f>
        <v>-</v>
      </c>
      <c r="H1531" s="64">
        <f>ventas_b_mes1[[#This Row],[TOTAL]]/1.21</f>
        <v>0</v>
      </c>
      <c r="I1531" s="183">
        <f>ventas_b_mes1[[#This Row],[IMPORTE NETO]]*0.21</f>
        <v>0</v>
      </c>
      <c r="J1531" s="184"/>
      <c r="K1531" s="184"/>
      <c r="L1531" s="184"/>
      <c r="M1531" s="59"/>
    </row>
    <row r="1532" spans="2:13" x14ac:dyDescent="0.3">
      <c r="B1532" s="178"/>
      <c r="C1532" s="179"/>
      <c r="D1532" s="180"/>
      <c r="E1532" s="181"/>
      <c r="F1532" s="182"/>
      <c r="G1532" s="1" t="str">
        <f>IFERROR(IF(ventas_b_mes1[[#This Row],[CUIT]]="","-",VLOOKUP(ventas_b_mes1[[#This Row],[CUIT]],Lista_CUIT[#All],2,0)),"CUIT NO CARGADO")</f>
        <v>-</v>
      </c>
      <c r="H1532" s="64">
        <f>ventas_b_mes1[[#This Row],[TOTAL]]/1.21</f>
        <v>0</v>
      </c>
      <c r="I1532" s="183">
        <f>ventas_b_mes1[[#This Row],[IMPORTE NETO]]*0.21</f>
        <v>0</v>
      </c>
      <c r="J1532" s="184"/>
      <c r="K1532" s="184"/>
      <c r="L1532" s="184"/>
      <c r="M1532" s="59"/>
    </row>
    <row r="1533" spans="2:13" x14ac:dyDescent="0.3">
      <c r="B1533" s="178"/>
      <c r="C1533" s="179"/>
      <c r="D1533" s="180"/>
      <c r="E1533" s="181"/>
      <c r="F1533" s="182"/>
      <c r="G1533" s="1" t="str">
        <f>IFERROR(IF(ventas_b_mes1[[#This Row],[CUIT]]="","-",VLOOKUP(ventas_b_mes1[[#This Row],[CUIT]],Lista_CUIT[#All],2,0)),"CUIT NO CARGADO")</f>
        <v>-</v>
      </c>
      <c r="H1533" s="64">
        <f>ventas_b_mes1[[#This Row],[TOTAL]]/1.21</f>
        <v>0</v>
      </c>
      <c r="I1533" s="183">
        <f>ventas_b_mes1[[#This Row],[IMPORTE NETO]]*0.21</f>
        <v>0</v>
      </c>
      <c r="J1533" s="184"/>
      <c r="K1533" s="184"/>
      <c r="L1533" s="184"/>
      <c r="M1533" s="59"/>
    </row>
    <row r="1534" spans="2:13" x14ac:dyDescent="0.3">
      <c r="B1534" s="178"/>
      <c r="C1534" s="179"/>
      <c r="D1534" s="180"/>
      <c r="E1534" s="181"/>
      <c r="F1534" s="182"/>
      <c r="G1534" s="1" t="str">
        <f>IFERROR(IF(ventas_b_mes1[[#This Row],[CUIT]]="","-",VLOOKUP(ventas_b_mes1[[#This Row],[CUIT]],Lista_CUIT[#All],2,0)),"CUIT NO CARGADO")</f>
        <v>-</v>
      </c>
      <c r="H1534" s="64">
        <f>ventas_b_mes1[[#This Row],[TOTAL]]/1.21</f>
        <v>0</v>
      </c>
      <c r="I1534" s="183">
        <f>ventas_b_mes1[[#This Row],[IMPORTE NETO]]*0.21</f>
        <v>0</v>
      </c>
      <c r="J1534" s="184"/>
      <c r="K1534" s="184"/>
      <c r="L1534" s="184"/>
      <c r="M1534" s="59"/>
    </row>
    <row r="1535" spans="2:13" x14ac:dyDescent="0.3">
      <c r="B1535" s="178"/>
      <c r="C1535" s="179"/>
      <c r="D1535" s="180"/>
      <c r="E1535" s="181"/>
      <c r="F1535" s="182"/>
      <c r="G1535" s="1" t="str">
        <f>IFERROR(IF(ventas_b_mes1[[#This Row],[CUIT]]="","-",VLOOKUP(ventas_b_mes1[[#This Row],[CUIT]],Lista_CUIT[#All],2,0)),"CUIT NO CARGADO")</f>
        <v>-</v>
      </c>
      <c r="H1535" s="64">
        <f>ventas_b_mes1[[#This Row],[TOTAL]]/1.21</f>
        <v>0</v>
      </c>
      <c r="I1535" s="183">
        <f>ventas_b_mes1[[#This Row],[IMPORTE NETO]]*0.21</f>
        <v>0</v>
      </c>
      <c r="J1535" s="184"/>
      <c r="K1535" s="184"/>
      <c r="L1535" s="184"/>
      <c r="M1535" s="59"/>
    </row>
    <row r="1536" spans="2:13" x14ac:dyDescent="0.3">
      <c r="B1536" s="178"/>
      <c r="C1536" s="179"/>
      <c r="D1536" s="180"/>
      <c r="E1536" s="181"/>
      <c r="F1536" s="182"/>
      <c r="G1536" s="1" t="str">
        <f>IFERROR(IF(ventas_b_mes1[[#This Row],[CUIT]]="","-",VLOOKUP(ventas_b_mes1[[#This Row],[CUIT]],Lista_CUIT[#All],2,0)),"CUIT NO CARGADO")</f>
        <v>-</v>
      </c>
      <c r="H1536" s="64">
        <f>ventas_b_mes1[[#This Row],[TOTAL]]/1.21</f>
        <v>0</v>
      </c>
      <c r="I1536" s="183">
        <f>ventas_b_mes1[[#This Row],[IMPORTE NETO]]*0.21</f>
        <v>0</v>
      </c>
      <c r="J1536" s="184"/>
      <c r="K1536" s="184"/>
      <c r="L1536" s="184"/>
      <c r="M1536" s="59"/>
    </row>
    <row r="1537" spans="2:13" x14ac:dyDescent="0.3">
      <c r="B1537" s="178"/>
      <c r="C1537" s="179"/>
      <c r="D1537" s="180"/>
      <c r="E1537" s="181"/>
      <c r="F1537" s="182"/>
      <c r="G1537" s="1" t="str">
        <f>IFERROR(IF(ventas_b_mes1[[#This Row],[CUIT]]="","-",VLOOKUP(ventas_b_mes1[[#This Row],[CUIT]],Lista_CUIT[#All],2,0)),"CUIT NO CARGADO")</f>
        <v>-</v>
      </c>
      <c r="H1537" s="64">
        <f>ventas_b_mes1[[#This Row],[TOTAL]]/1.21</f>
        <v>0</v>
      </c>
      <c r="I1537" s="183">
        <f>ventas_b_mes1[[#This Row],[IMPORTE NETO]]*0.21</f>
        <v>0</v>
      </c>
      <c r="J1537" s="184"/>
      <c r="K1537" s="184"/>
      <c r="L1537" s="184"/>
      <c r="M1537" s="59"/>
    </row>
    <row r="1538" spans="2:13" x14ac:dyDescent="0.3">
      <c r="B1538" s="178"/>
      <c r="C1538" s="179"/>
      <c r="D1538" s="180"/>
      <c r="E1538" s="181"/>
      <c r="F1538" s="182"/>
      <c r="G1538" s="1" t="str">
        <f>IFERROR(IF(ventas_b_mes1[[#This Row],[CUIT]]="","-",VLOOKUP(ventas_b_mes1[[#This Row],[CUIT]],Lista_CUIT[#All],2,0)),"CUIT NO CARGADO")</f>
        <v>-</v>
      </c>
      <c r="H1538" s="64">
        <f>ventas_b_mes1[[#This Row],[TOTAL]]/1.21</f>
        <v>0</v>
      </c>
      <c r="I1538" s="183">
        <f>ventas_b_mes1[[#This Row],[IMPORTE NETO]]*0.21</f>
        <v>0</v>
      </c>
      <c r="J1538" s="184"/>
      <c r="K1538" s="184"/>
      <c r="L1538" s="184"/>
      <c r="M1538" s="59"/>
    </row>
    <row r="1539" spans="2:13" x14ac:dyDescent="0.3">
      <c r="B1539" s="178"/>
      <c r="C1539" s="179"/>
      <c r="D1539" s="180"/>
      <c r="E1539" s="181"/>
      <c r="F1539" s="182"/>
      <c r="G1539" s="1" t="str">
        <f>IFERROR(IF(ventas_b_mes1[[#This Row],[CUIT]]="","-",VLOOKUP(ventas_b_mes1[[#This Row],[CUIT]],Lista_CUIT[#All],2,0)),"CUIT NO CARGADO")</f>
        <v>-</v>
      </c>
      <c r="H1539" s="64">
        <f>ventas_b_mes1[[#This Row],[TOTAL]]/1.21</f>
        <v>0</v>
      </c>
      <c r="I1539" s="183">
        <f>ventas_b_mes1[[#This Row],[IMPORTE NETO]]*0.21</f>
        <v>0</v>
      </c>
      <c r="J1539" s="184"/>
      <c r="K1539" s="184"/>
      <c r="L1539" s="184"/>
      <c r="M1539" s="59"/>
    </row>
    <row r="1540" spans="2:13" x14ac:dyDescent="0.3">
      <c r="B1540" s="178"/>
      <c r="C1540" s="179"/>
      <c r="D1540" s="180"/>
      <c r="E1540" s="181"/>
      <c r="F1540" s="182"/>
      <c r="G1540" s="1" t="str">
        <f>IFERROR(IF(ventas_b_mes1[[#This Row],[CUIT]]="","-",VLOOKUP(ventas_b_mes1[[#This Row],[CUIT]],Lista_CUIT[#All],2,0)),"CUIT NO CARGADO")</f>
        <v>-</v>
      </c>
      <c r="H1540" s="64">
        <f>ventas_b_mes1[[#This Row],[TOTAL]]/1.21</f>
        <v>0</v>
      </c>
      <c r="I1540" s="183">
        <f>ventas_b_mes1[[#This Row],[IMPORTE NETO]]*0.21</f>
        <v>0</v>
      </c>
      <c r="J1540" s="184"/>
      <c r="K1540" s="184"/>
      <c r="L1540" s="184"/>
      <c r="M1540" s="59"/>
    </row>
    <row r="1541" spans="2:13" x14ac:dyDescent="0.3">
      <c r="B1541" s="178"/>
      <c r="C1541" s="179"/>
      <c r="D1541" s="180"/>
      <c r="E1541" s="181"/>
      <c r="F1541" s="182"/>
      <c r="G1541" s="1" t="str">
        <f>IFERROR(IF(ventas_b_mes1[[#This Row],[CUIT]]="","-",VLOOKUP(ventas_b_mes1[[#This Row],[CUIT]],Lista_CUIT[#All],2,0)),"CUIT NO CARGADO")</f>
        <v>-</v>
      </c>
      <c r="H1541" s="64">
        <f>ventas_b_mes1[[#This Row],[TOTAL]]/1.21</f>
        <v>0</v>
      </c>
      <c r="I1541" s="183">
        <f>ventas_b_mes1[[#This Row],[IMPORTE NETO]]*0.21</f>
        <v>0</v>
      </c>
      <c r="J1541" s="184"/>
      <c r="K1541" s="184"/>
      <c r="L1541" s="184"/>
      <c r="M1541" s="59"/>
    </row>
    <row r="1542" spans="2:13" x14ac:dyDescent="0.3">
      <c r="B1542" s="178"/>
      <c r="C1542" s="179"/>
      <c r="D1542" s="180"/>
      <c r="E1542" s="181"/>
      <c r="F1542" s="182"/>
      <c r="G1542" s="1" t="str">
        <f>IFERROR(IF(ventas_b_mes1[[#This Row],[CUIT]]="","-",VLOOKUP(ventas_b_mes1[[#This Row],[CUIT]],Lista_CUIT[#All],2,0)),"CUIT NO CARGADO")</f>
        <v>-</v>
      </c>
      <c r="H1542" s="64">
        <f>ventas_b_mes1[[#This Row],[TOTAL]]/1.21</f>
        <v>0</v>
      </c>
      <c r="I1542" s="183">
        <f>ventas_b_mes1[[#This Row],[IMPORTE NETO]]*0.21</f>
        <v>0</v>
      </c>
      <c r="J1542" s="184"/>
      <c r="K1542" s="184"/>
      <c r="L1542" s="184"/>
      <c r="M1542" s="59"/>
    </row>
    <row r="1543" spans="2:13" x14ac:dyDescent="0.3">
      <c r="B1543" s="178"/>
      <c r="C1543" s="179"/>
      <c r="D1543" s="180"/>
      <c r="E1543" s="181"/>
      <c r="F1543" s="182"/>
      <c r="G1543" s="1" t="str">
        <f>IFERROR(IF(ventas_b_mes1[[#This Row],[CUIT]]="","-",VLOOKUP(ventas_b_mes1[[#This Row],[CUIT]],Lista_CUIT[#All],2,0)),"CUIT NO CARGADO")</f>
        <v>-</v>
      </c>
      <c r="H1543" s="64">
        <f>ventas_b_mes1[[#This Row],[TOTAL]]/1.21</f>
        <v>0</v>
      </c>
      <c r="I1543" s="183">
        <f>ventas_b_mes1[[#This Row],[IMPORTE NETO]]*0.21</f>
        <v>0</v>
      </c>
      <c r="J1543" s="184"/>
      <c r="K1543" s="184"/>
      <c r="L1543" s="184"/>
      <c r="M1543" s="59"/>
    </row>
    <row r="1544" spans="2:13" x14ac:dyDescent="0.3">
      <c r="B1544" s="178"/>
      <c r="C1544" s="179"/>
      <c r="D1544" s="180"/>
      <c r="E1544" s="181"/>
      <c r="F1544" s="182"/>
      <c r="G1544" s="1" t="str">
        <f>IFERROR(IF(ventas_b_mes1[[#This Row],[CUIT]]="","-",VLOOKUP(ventas_b_mes1[[#This Row],[CUIT]],Lista_CUIT[#All],2,0)),"CUIT NO CARGADO")</f>
        <v>-</v>
      </c>
      <c r="H1544" s="64">
        <f>ventas_b_mes1[[#This Row],[TOTAL]]/1.21</f>
        <v>0</v>
      </c>
      <c r="I1544" s="183">
        <f>ventas_b_mes1[[#This Row],[IMPORTE NETO]]*0.21</f>
        <v>0</v>
      </c>
      <c r="J1544" s="184"/>
      <c r="K1544" s="184"/>
      <c r="L1544" s="184"/>
      <c r="M1544" s="59"/>
    </row>
    <row r="1545" spans="2:13" x14ac:dyDescent="0.3">
      <c r="B1545" s="178"/>
      <c r="C1545" s="179"/>
      <c r="D1545" s="180"/>
      <c r="E1545" s="181"/>
      <c r="F1545" s="182"/>
      <c r="G1545" s="1" t="str">
        <f>IFERROR(IF(ventas_b_mes1[[#This Row],[CUIT]]="","-",VLOOKUP(ventas_b_mes1[[#This Row],[CUIT]],Lista_CUIT[#All],2,0)),"CUIT NO CARGADO")</f>
        <v>-</v>
      </c>
      <c r="H1545" s="64">
        <f>ventas_b_mes1[[#This Row],[TOTAL]]/1.21</f>
        <v>0</v>
      </c>
      <c r="I1545" s="183">
        <f>ventas_b_mes1[[#This Row],[IMPORTE NETO]]*0.21</f>
        <v>0</v>
      </c>
      <c r="J1545" s="184"/>
      <c r="K1545" s="184"/>
      <c r="L1545" s="184"/>
      <c r="M1545" s="59"/>
    </row>
    <row r="1546" spans="2:13" x14ac:dyDescent="0.3">
      <c r="B1546" s="178"/>
      <c r="C1546" s="179"/>
      <c r="D1546" s="180"/>
      <c r="E1546" s="181"/>
      <c r="F1546" s="182"/>
      <c r="G1546" s="1" t="str">
        <f>IFERROR(IF(ventas_b_mes1[[#This Row],[CUIT]]="","-",VLOOKUP(ventas_b_mes1[[#This Row],[CUIT]],Lista_CUIT[#All],2,0)),"CUIT NO CARGADO")</f>
        <v>-</v>
      </c>
      <c r="H1546" s="64">
        <f>ventas_b_mes1[[#This Row],[TOTAL]]/1.21</f>
        <v>0</v>
      </c>
      <c r="I1546" s="183">
        <f>ventas_b_mes1[[#This Row],[IMPORTE NETO]]*0.21</f>
        <v>0</v>
      </c>
      <c r="J1546" s="184"/>
      <c r="K1546" s="184"/>
      <c r="L1546" s="184"/>
      <c r="M1546" s="59"/>
    </row>
    <row r="1547" spans="2:13" x14ac:dyDescent="0.3">
      <c r="B1547" s="178"/>
      <c r="C1547" s="179"/>
      <c r="D1547" s="180"/>
      <c r="E1547" s="181"/>
      <c r="F1547" s="182"/>
      <c r="G1547" s="1" t="str">
        <f>IFERROR(IF(ventas_b_mes1[[#This Row],[CUIT]]="","-",VLOOKUP(ventas_b_mes1[[#This Row],[CUIT]],Lista_CUIT[#All],2,0)),"CUIT NO CARGADO")</f>
        <v>-</v>
      </c>
      <c r="H1547" s="64">
        <f>ventas_b_mes1[[#This Row],[TOTAL]]/1.21</f>
        <v>0</v>
      </c>
      <c r="I1547" s="183">
        <f>ventas_b_mes1[[#This Row],[IMPORTE NETO]]*0.21</f>
        <v>0</v>
      </c>
      <c r="J1547" s="184"/>
      <c r="K1547" s="184"/>
      <c r="L1547" s="184"/>
      <c r="M1547" s="59"/>
    </row>
    <row r="1548" spans="2:13" x14ac:dyDescent="0.3">
      <c r="B1548" s="178"/>
      <c r="C1548" s="179"/>
      <c r="D1548" s="180"/>
      <c r="E1548" s="181"/>
      <c r="F1548" s="182"/>
      <c r="G1548" s="1" t="str">
        <f>IFERROR(IF(ventas_b_mes1[[#This Row],[CUIT]]="","-",VLOOKUP(ventas_b_mes1[[#This Row],[CUIT]],Lista_CUIT[#All],2,0)),"CUIT NO CARGADO")</f>
        <v>-</v>
      </c>
      <c r="H1548" s="64">
        <f>ventas_b_mes1[[#This Row],[TOTAL]]/1.21</f>
        <v>0</v>
      </c>
      <c r="I1548" s="183">
        <f>ventas_b_mes1[[#This Row],[IMPORTE NETO]]*0.21</f>
        <v>0</v>
      </c>
      <c r="J1548" s="184"/>
      <c r="K1548" s="184"/>
      <c r="L1548" s="184"/>
      <c r="M1548" s="59"/>
    </row>
    <row r="1549" spans="2:13" x14ac:dyDescent="0.3">
      <c r="B1549" s="178"/>
      <c r="C1549" s="179"/>
      <c r="D1549" s="180"/>
      <c r="E1549" s="181"/>
      <c r="F1549" s="182"/>
      <c r="G1549" s="1" t="str">
        <f>IFERROR(IF(ventas_b_mes1[[#This Row],[CUIT]]="","-",VLOOKUP(ventas_b_mes1[[#This Row],[CUIT]],Lista_CUIT[#All],2,0)),"CUIT NO CARGADO")</f>
        <v>-</v>
      </c>
      <c r="H1549" s="64">
        <f>ventas_b_mes1[[#This Row],[TOTAL]]/1.21</f>
        <v>0</v>
      </c>
      <c r="I1549" s="183">
        <f>ventas_b_mes1[[#This Row],[IMPORTE NETO]]*0.21</f>
        <v>0</v>
      </c>
      <c r="J1549" s="184"/>
      <c r="K1549" s="184"/>
      <c r="L1549" s="184"/>
      <c r="M1549" s="59"/>
    </row>
    <row r="1550" spans="2:13" x14ac:dyDescent="0.3">
      <c r="B1550" s="178"/>
      <c r="C1550" s="179"/>
      <c r="D1550" s="180"/>
      <c r="E1550" s="181"/>
      <c r="F1550" s="182"/>
      <c r="G1550" s="1" t="str">
        <f>IFERROR(IF(ventas_b_mes1[[#This Row],[CUIT]]="","-",VLOOKUP(ventas_b_mes1[[#This Row],[CUIT]],Lista_CUIT[#All],2,0)),"CUIT NO CARGADO")</f>
        <v>-</v>
      </c>
      <c r="H1550" s="64">
        <f>ventas_b_mes1[[#This Row],[TOTAL]]/1.21</f>
        <v>0</v>
      </c>
      <c r="I1550" s="183">
        <f>ventas_b_mes1[[#This Row],[IMPORTE NETO]]*0.21</f>
        <v>0</v>
      </c>
      <c r="J1550" s="184"/>
      <c r="K1550" s="184"/>
      <c r="L1550" s="184"/>
      <c r="M1550" s="59"/>
    </row>
    <row r="1551" spans="2:13" x14ac:dyDescent="0.3">
      <c r="B1551" s="178"/>
      <c r="C1551" s="179"/>
      <c r="D1551" s="180"/>
      <c r="E1551" s="181"/>
      <c r="F1551" s="182"/>
      <c r="G1551" s="1" t="str">
        <f>IFERROR(IF(ventas_b_mes1[[#This Row],[CUIT]]="","-",VLOOKUP(ventas_b_mes1[[#This Row],[CUIT]],Lista_CUIT[#All],2,0)),"CUIT NO CARGADO")</f>
        <v>-</v>
      </c>
      <c r="H1551" s="64">
        <f>ventas_b_mes1[[#This Row],[TOTAL]]/1.21</f>
        <v>0</v>
      </c>
      <c r="I1551" s="183">
        <f>ventas_b_mes1[[#This Row],[IMPORTE NETO]]*0.21</f>
        <v>0</v>
      </c>
      <c r="J1551" s="184"/>
      <c r="K1551" s="184"/>
      <c r="L1551" s="184"/>
      <c r="M1551" s="59"/>
    </row>
    <row r="1552" spans="2:13" x14ac:dyDescent="0.3">
      <c r="B1552" s="178"/>
      <c r="C1552" s="179"/>
      <c r="D1552" s="180"/>
      <c r="E1552" s="181"/>
      <c r="F1552" s="182"/>
      <c r="G1552" s="1" t="str">
        <f>IFERROR(IF(ventas_b_mes1[[#This Row],[CUIT]]="","-",VLOOKUP(ventas_b_mes1[[#This Row],[CUIT]],Lista_CUIT[#All],2,0)),"CUIT NO CARGADO")</f>
        <v>-</v>
      </c>
      <c r="H1552" s="64">
        <f>ventas_b_mes1[[#This Row],[TOTAL]]/1.21</f>
        <v>0</v>
      </c>
      <c r="I1552" s="183">
        <f>ventas_b_mes1[[#This Row],[IMPORTE NETO]]*0.21</f>
        <v>0</v>
      </c>
      <c r="J1552" s="184"/>
      <c r="K1552" s="184"/>
      <c r="L1552" s="184"/>
      <c r="M1552" s="59"/>
    </row>
    <row r="1553" spans="2:13" x14ac:dyDescent="0.3">
      <c r="B1553" s="178"/>
      <c r="C1553" s="179"/>
      <c r="D1553" s="180"/>
      <c r="E1553" s="181"/>
      <c r="F1553" s="182"/>
      <c r="G1553" s="1" t="str">
        <f>IFERROR(IF(ventas_b_mes1[[#This Row],[CUIT]]="","-",VLOOKUP(ventas_b_mes1[[#This Row],[CUIT]],Lista_CUIT[#All],2,0)),"CUIT NO CARGADO")</f>
        <v>-</v>
      </c>
      <c r="H1553" s="64">
        <f>ventas_b_mes1[[#This Row],[TOTAL]]/1.21</f>
        <v>0</v>
      </c>
      <c r="I1553" s="183">
        <f>ventas_b_mes1[[#This Row],[IMPORTE NETO]]*0.21</f>
        <v>0</v>
      </c>
      <c r="J1553" s="184"/>
      <c r="K1553" s="184"/>
      <c r="L1553" s="184"/>
      <c r="M1553" s="59"/>
    </row>
    <row r="1554" spans="2:13" x14ac:dyDescent="0.3">
      <c r="B1554" s="178"/>
      <c r="C1554" s="179"/>
      <c r="D1554" s="180"/>
      <c r="E1554" s="181"/>
      <c r="F1554" s="182"/>
      <c r="G1554" s="1" t="str">
        <f>IFERROR(IF(ventas_b_mes1[[#This Row],[CUIT]]="","-",VLOOKUP(ventas_b_mes1[[#This Row],[CUIT]],Lista_CUIT[#All],2,0)),"CUIT NO CARGADO")</f>
        <v>-</v>
      </c>
      <c r="H1554" s="64">
        <f>ventas_b_mes1[[#This Row],[TOTAL]]/1.21</f>
        <v>0</v>
      </c>
      <c r="I1554" s="183">
        <f>ventas_b_mes1[[#This Row],[IMPORTE NETO]]*0.21</f>
        <v>0</v>
      </c>
      <c r="J1554" s="184"/>
      <c r="K1554" s="184"/>
      <c r="L1554" s="184"/>
      <c r="M1554" s="59"/>
    </row>
    <row r="1555" spans="2:13" x14ac:dyDescent="0.3">
      <c r="B1555" s="178"/>
      <c r="C1555" s="179"/>
      <c r="D1555" s="180"/>
      <c r="E1555" s="181"/>
      <c r="F1555" s="182"/>
      <c r="G1555" s="1" t="str">
        <f>IFERROR(IF(ventas_b_mes1[[#This Row],[CUIT]]="","-",VLOOKUP(ventas_b_mes1[[#This Row],[CUIT]],Lista_CUIT[#All],2,0)),"CUIT NO CARGADO")</f>
        <v>-</v>
      </c>
      <c r="H1555" s="64">
        <f>ventas_b_mes1[[#This Row],[TOTAL]]/1.21</f>
        <v>0</v>
      </c>
      <c r="I1555" s="183">
        <f>ventas_b_mes1[[#This Row],[IMPORTE NETO]]*0.21</f>
        <v>0</v>
      </c>
      <c r="J1555" s="184"/>
      <c r="K1555" s="184"/>
      <c r="L1555" s="184"/>
      <c r="M1555" s="59"/>
    </row>
    <row r="1556" spans="2:13" x14ac:dyDescent="0.3">
      <c r="B1556" s="178"/>
      <c r="C1556" s="179"/>
      <c r="D1556" s="180"/>
      <c r="E1556" s="181"/>
      <c r="F1556" s="182"/>
      <c r="G1556" s="1" t="str">
        <f>IFERROR(IF(ventas_b_mes1[[#This Row],[CUIT]]="","-",VLOOKUP(ventas_b_mes1[[#This Row],[CUIT]],Lista_CUIT[#All],2,0)),"CUIT NO CARGADO")</f>
        <v>-</v>
      </c>
      <c r="H1556" s="64">
        <f>ventas_b_mes1[[#This Row],[TOTAL]]/1.21</f>
        <v>0</v>
      </c>
      <c r="I1556" s="183">
        <f>ventas_b_mes1[[#This Row],[IMPORTE NETO]]*0.21</f>
        <v>0</v>
      </c>
      <c r="J1556" s="184"/>
      <c r="K1556" s="184"/>
      <c r="L1556" s="184"/>
      <c r="M1556" s="59"/>
    </row>
    <row r="1557" spans="2:13" x14ac:dyDescent="0.3">
      <c r="B1557" s="178"/>
      <c r="C1557" s="179"/>
      <c r="D1557" s="180"/>
      <c r="E1557" s="181"/>
      <c r="F1557" s="182"/>
      <c r="G1557" s="1" t="str">
        <f>IFERROR(IF(ventas_b_mes1[[#This Row],[CUIT]]="","-",VLOOKUP(ventas_b_mes1[[#This Row],[CUIT]],Lista_CUIT[#All],2,0)),"CUIT NO CARGADO")</f>
        <v>-</v>
      </c>
      <c r="H1557" s="64">
        <f>ventas_b_mes1[[#This Row],[TOTAL]]/1.21</f>
        <v>0</v>
      </c>
      <c r="I1557" s="183">
        <f>ventas_b_mes1[[#This Row],[IMPORTE NETO]]*0.21</f>
        <v>0</v>
      </c>
      <c r="J1557" s="184"/>
      <c r="K1557" s="184"/>
      <c r="L1557" s="184"/>
      <c r="M1557" s="59"/>
    </row>
    <row r="1558" spans="2:13" x14ac:dyDescent="0.3">
      <c r="B1558" s="178"/>
      <c r="C1558" s="179"/>
      <c r="D1558" s="180"/>
      <c r="E1558" s="181"/>
      <c r="F1558" s="182"/>
      <c r="G1558" s="1" t="str">
        <f>IFERROR(IF(ventas_b_mes1[[#This Row],[CUIT]]="","-",VLOOKUP(ventas_b_mes1[[#This Row],[CUIT]],Lista_CUIT[#All],2,0)),"CUIT NO CARGADO")</f>
        <v>-</v>
      </c>
      <c r="H1558" s="64">
        <f>ventas_b_mes1[[#This Row],[TOTAL]]/1.21</f>
        <v>0</v>
      </c>
      <c r="I1558" s="183">
        <f>ventas_b_mes1[[#This Row],[IMPORTE NETO]]*0.21</f>
        <v>0</v>
      </c>
      <c r="J1558" s="184"/>
      <c r="K1558" s="184"/>
      <c r="L1558" s="184"/>
      <c r="M1558" s="59"/>
    </row>
    <row r="1559" spans="2:13" x14ac:dyDescent="0.3">
      <c r="B1559" s="178"/>
      <c r="C1559" s="179"/>
      <c r="D1559" s="180"/>
      <c r="E1559" s="181"/>
      <c r="F1559" s="182"/>
      <c r="G1559" s="1" t="str">
        <f>IFERROR(IF(ventas_b_mes1[[#This Row],[CUIT]]="","-",VLOOKUP(ventas_b_mes1[[#This Row],[CUIT]],Lista_CUIT[#All],2,0)),"CUIT NO CARGADO")</f>
        <v>-</v>
      </c>
      <c r="H1559" s="64">
        <f>ventas_b_mes1[[#This Row],[TOTAL]]/1.21</f>
        <v>0</v>
      </c>
      <c r="I1559" s="183">
        <f>ventas_b_mes1[[#This Row],[IMPORTE NETO]]*0.21</f>
        <v>0</v>
      </c>
      <c r="J1559" s="184"/>
      <c r="K1559" s="184"/>
      <c r="L1559" s="184"/>
      <c r="M1559" s="59"/>
    </row>
    <row r="1560" spans="2:13" x14ac:dyDescent="0.3">
      <c r="B1560" s="178"/>
      <c r="C1560" s="179"/>
      <c r="D1560" s="180"/>
      <c r="E1560" s="181"/>
      <c r="F1560" s="182"/>
      <c r="G1560" s="1" t="str">
        <f>IFERROR(IF(ventas_b_mes1[[#This Row],[CUIT]]="","-",VLOOKUP(ventas_b_mes1[[#This Row],[CUIT]],Lista_CUIT[#All],2,0)),"CUIT NO CARGADO")</f>
        <v>-</v>
      </c>
      <c r="H1560" s="64">
        <f>ventas_b_mes1[[#This Row],[TOTAL]]/1.21</f>
        <v>0</v>
      </c>
      <c r="I1560" s="183">
        <f>ventas_b_mes1[[#This Row],[IMPORTE NETO]]*0.21</f>
        <v>0</v>
      </c>
      <c r="J1560" s="184"/>
      <c r="K1560" s="184"/>
      <c r="L1560" s="184"/>
      <c r="M1560" s="59"/>
    </row>
    <row r="1561" spans="2:13" x14ac:dyDescent="0.3">
      <c r="B1561" s="178"/>
      <c r="C1561" s="179"/>
      <c r="D1561" s="180"/>
      <c r="E1561" s="181"/>
      <c r="F1561" s="182"/>
      <c r="G1561" s="1" t="str">
        <f>IFERROR(IF(ventas_b_mes1[[#This Row],[CUIT]]="","-",VLOOKUP(ventas_b_mes1[[#This Row],[CUIT]],Lista_CUIT[#All],2,0)),"CUIT NO CARGADO")</f>
        <v>-</v>
      </c>
      <c r="H1561" s="64">
        <f>ventas_b_mes1[[#This Row],[TOTAL]]/1.21</f>
        <v>0</v>
      </c>
      <c r="I1561" s="183">
        <f>ventas_b_mes1[[#This Row],[IMPORTE NETO]]*0.21</f>
        <v>0</v>
      </c>
      <c r="J1561" s="184"/>
      <c r="K1561" s="184"/>
      <c r="L1561" s="184"/>
      <c r="M1561" s="59"/>
    </row>
    <row r="1562" spans="2:13" x14ac:dyDescent="0.3">
      <c r="B1562" s="178"/>
      <c r="C1562" s="179"/>
      <c r="D1562" s="180"/>
      <c r="E1562" s="181"/>
      <c r="F1562" s="182"/>
      <c r="G1562" s="1" t="str">
        <f>IFERROR(IF(ventas_b_mes1[[#This Row],[CUIT]]="","-",VLOOKUP(ventas_b_mes1[[#This Row],[CUIT]],Lista_CUIT[#All],2,0)),"CUIT NO CARGADO")</f>
        <v>-</v>
      </c>
      <c r="H1562" s="64">
        <f>ventas_b_mes1[[#This Row],[TOTAL]]/1.21</f>
        <v>0</v>
      </c>
      <c r="I1562" s="183">
        <f>ventas_b_mes1[[#This Row],[IMPORTE NETO]]*0.21</f>
        <v>0</v>
      </c>
      <c r="J1562" s="184"/>
      <c r="K1562" s="184"/>
      <c r="L1562" s="184"/>
      <c r="M1562" s="59"/>
    </row>
    <row r="1563" spans="2:13" x14ac:dyDescent="0.3">
      <c r="B1563" s="178"/>
      <c r="C1563" s="179"/>
      <c r="D1563" s="180"/>
      <c r="E1563" s="181"/>
      <c r="F1563" s="182"/>
      <c r="G1563" s="1" t="str">
        <f>IFERROR(IF(ventas_b_mes1[[#This Row],[CUIT]]="","-",VLOOKUP(ventas_b_mes1[[#This Row],[CUIT]],Lista_CUIT[#All],2,0)),"CUIT NO CARGADO")</f>
        <v>-</v>
      </c>
      <c r="H1563" s="64">
        <f>ventas_b_mes1[[#This Row],[TOTAL]]/1.21</f>
        <v>0</v>
      </c>
      <c r="I1563" s="183">
        <f>ventas_b_mes1[[#This Row],[IMPORTE NETO]]*0.21</f>
        <v>0</v>
      </c>
      <c r="J1563" s="184"/>
      <c r="K1563" s="184"/>
      <c r="L1563" s="184"/>
      <c r="M1563" s="59"/>
    </row>
    <row r="1564" spans="2:13" x14ac:dyDescent="0.3">
      <c r="B1564" s="178"/>
      <c r="C1564" s="179"/>
      <c r="D1564" s="180"/>
      <c r="E1564" s="181"/>
      <c r="F1564" s="182"/>
      <c r="G1564" s="1" t="str">
        <f>IFERROR(IF(ventas_b_mes1[[#This Row],[CUIT]]="","-",VLOOKUP(ventas_b_mes1[[#This Row],[CUIT]],Lista_CUIT[#All],2,0)),"CUIT NO CARGADO")</f>
        <v>-</v>
      </c>
      <c r="H1564" s="64">
        <f>ventas_b_mes1[[#This Row],[TOTAL]]/1.21</f>
        <v>0</v>
      </c>
      <c r="I1564" s="183">
        <f>ventas_b_mes1[[#This Row],[IMPORTE NETO]]*0.21</f>
        <v>0</v>
      </c>
      <c r="J1564" s="184"/>
      <c r="K1564" s="184"/>
      <c r="L1564" s="184"/>
      <c r="M1564" s="59"/>
    </row>
    <row r="1565" spans="2:13" x14ac:dyDescent="0.3">
      <c r="B1565" s="178"/>
      <c r="C1565" s="179"/>
      <c r="D1565" s="180"/>
      <c r="E1565" s="181"/>
      <c r="F1565" s="182"/>
      <c r="G1565" s="1" t="str">
        <f>IFERROR(IF(ventas_b_mes1[[#This Row],[CUIT]]="","-",VLOOKUP(ventas_b_mes1[[#This Row],[CUIT]],Lista_CUIT[#All],2,0)),"CUIT NO CARGADO")</f>
        <v>-</v>
      </c>
      <c r="H1565" s="64">
        <f>ventas_b_mes1[[#This Row],[TOTAL]]/1.21</f>
        <v>0</v>
      </c>
      <c r="I1565" s="183">
        <f>ventas_b_mes1[[#This Row],[IMPORTE NETO]]*0.21</f>
        <v>0</v>
      </c>
      <c r="J1565" s="184"/>
      <c r="K1565" s="184"/>
      <c r="L1565" s="184"/>
      <c r="M1565" s="59"/>
    </row>
    <row r="1566" spans="2:13" x14ac:dyDescent="0.3">
      <c r="B1566" s="178"/>
      <c r="C1566" s="179"/>
      <c r="D1566" s="180"/>
      <c r="E1566" s="181"/>
      <c r="F1566" s="182"/>
      <c r="G1566" s="1" t="str">
        <f>IFERROR(IF(ventas_b_mes1[[#This Row],[CUIT]]="","-",VLOOKUP(ventas_b_mes1[[#This Row],[CUIT]],Lista_CUIT[#All],2,0)),"CUIT NO CARGADO")</f>
        <v>-</v>
      </c>
      <c r="H1566" s="64">
        <f>ventas_b_mes1[[#This Row],[TOTAL]]/1.21</f>
        <v>0</v>
      </c>
      <c r="I1566" s="183">
        <f>ventas_b_mes1[[#This Row],[IMPORTE NETO]]*0.21</f>
        <v>0</v>
      </c>
      <c r="J1566" s="184"/>
      <c r="K1566" s="184"/>
      <c r="L1566" s="184"/>
      <c r="M1566" s="59"/>
    </row>
    <row r="1567" spans="2:13" x14ac:dyDescent="0.3">
      <c r="B1567" s="178"/>
      <c r="C1567" s="179"/>
      <c r="D1567" s="180"/>
      <c r="E1567" s="181"/>
      <c r="F1567" s="182"/>
      <c r="G1567" s="1" t="str">
        <f>IFERROR(IF(ventas_b_mes1[[#This Row],[CUIT]]="","-",VLOOKUP(ventas_b_mes1[[#This Row],[CUIT]],Lista_CUIT[#All],2,0)),"CUIT NO CARGADO")</f>
        <v>-</v>
      </c>
      <c r="H1567" s="64">
        <f>ventas_b_mes1[[#This Row],[TOTAL]]/1.21</f>
        <v>0</v>
      </c>
      <c r="I1567" s="183">
        <f>ventas_b_mes1[[#This Row],[IMPORTE NETO]]*0.21</f>
        <v>0</v>
      </c>
      <c r="J1567" s="184"/>
      <c r="K1567" s="184"/>
      <c r="L1567" s="184"/>
      <c r="M1567" s="59"/>
    </row>
    <row r="1568" spans="2:13" x14ac:dyDescent="0.3">
      <c r="B1568" s="178"/>
      <c r="C1568" s="179"/>
      <c r="D1568" s="180"/>
      <c r="E1568" s="181"/>
      <c r="F1568" s="182"/>
      <c r="G1568" s="1" t="str">
        <f>IFERROR(IF(ventas_b_mes1[[#This Row],[CUIT]]="","-",VLOOKUP(ventas_b_mes1[[#This Row],[CUIT]],Lista_CUIT[#All],2,0)),"CUIT NO CARGADO")</f>
        <v>-</v>
      </c>
      <c r="H1568" s="64">
        <f>ventas_b_mes1[[#This Row],[TOTAL]]/1.21</f>
        <v>0</v>
      </c>
      <c r="I1568" s="183">
        <f>ventas_b_mes1[[#This Row],[IMPORTE NETO]]*0.21</f>
        <v>0</v>
      </c>
      <c r="J1568" s="184"/>
      <c r="K1568" s="184"/>
      <c r="L1568" s="184"/>
      <c r="M1568" s="59"/>
    </row>
    <row r="1569" spans="2:13" x14ac:dyDescent="0.3">
      <c r="B1569" s="178"/>
      <c r="C1569" s="179"/>
      <c r="D1569" s="180"/>
      <c r="E1569" s="181"/>
      <c r="F1569" s="182"/>
      <c r="G1569" s="1" t="str">
        <f>IFERROR(IF(ventas_b_mes1[[#This Row],[CUIT]]="","-",VLOOKUP(ventas_b_mes1[[#This Row],[CUIT]],Lista_CUIT[#All],2,0)),"CUIT NO CARGADO")</f>
        <v>-</v>
      </c>
      <c r="H1569" s="64">
        <f>ventas_b_mes1[[#This Row],[TOTAL]]/1.21</f>
        <v>0</v>
      </c>
      <c r="I1569" s="183">
        <f>ventas_b_mes1[[#This Row],[IMPORTE NETO]]*0.21</f>
        <v>0</v>
      </c>
      <c r="J1569" s="184"/>
      <c r="K1569" s="184"/>
      <c r="L1569" s="184"/>
      <c r="M1569" s="59"/>
    </row>
    <row r="1570" spans="2:13" x14ac:dyDescent="0.3">
      <c r="B1570" s="178"/>
      <c r="C1570" s="179"/>
      <c r="D1570" s="180"/>
      <c r="E1570" s="181"/>
      <c r="F1570" s="182"/>
      <c r="G1570" s="1" t="str">
        <f>IFERROR(IF(ventas_b_mes1[[#This Row],[CUIT]]="","-",VLOOKUP(ventas_b_mes1[[#This Row],[CUIT]],Lista_CUIT[#All],2,0)),"CUIT NO CARGADO")</f>
        <v>-</v>
      </c>
      <c r="H1570" s="64">
        <f>ventas_b_mes1[[#This Row],[TOTAL]]/1.21</f>
        <v>0</v>
      </c>
      <c r="I1570" s="183">
        <f>ventas_b_mes1[[#This Row],[IMPORTE NETO]]*0.21</f>
        <v>0</v>
      </c>
      <c r="J1570" s="184"/>
      <c r="K1570" s="184"/>
      <c r="L1570" s="184"/>
      <c r="M1570" s="59"/>
    </row>
    <row r="1571" spans="2:13" x14ac:dyDescent="0.3">
      <c r="B1571" s="178"/>
      <c r="C1571" s="179"/>
      <c r="D1571" s="180"/>
      <c r="E1571" s="181"/>
      <c r="F1571" s="182"/>
      <c r="G1571" s="1" t="str">
        <f>IFERROR(IF(ventas_b_mes1[[#This Row],[CUIT]]="","-",VLOOKUP(ventas_b_mes1[[#This Row],[CUIT]],Lista_CUIT[#All],2,0)),"CUIT NO CARGADO")</f>
        <v>-</v>
      </c>
      <c r="H1571" s="64">
        <f>ventas_b_mes1[[#This Row],[TOTAL]]/1.21</f>
        <v>0</v>
      </c>
      <c r="I1571" s="183">
        <f>ventas_b_mes1[[#This Row],[IMPORTE NETO]]*0.21</f>
        <v>0</v>
      </c>
      <c r="J1571" s="184"/>
      <c r="K1571" s="184"/>
      <c r="L1571" s="184"/>
      <c r="M1571" s="59"/>
    </row>
    <row r="1572" spans="2:13" x14ac:dyDescent="0.3">
      <c r="B1572" s="178"/>
      <c r="C1572" s="179"/>
      <c r="D1572" s="180"/>
      <c r="E1572" s="181"/>
      <c r="F1572" s="182"/>
      <c r="G1572" s="1" t="str">
        <f>IFERROR(IF(ventas_b_mes1[[#This Row],[CUIT]]="","-",VLOOKUP(ventas_b_mes1[[#This Row],[CUIT]],Lista_CUIT[#All],2,0)),"CUIT NO CARGADO")</f>
        <v>-</v>
      </c>
      <c r="H1572" s="64">
        <f>ventas_b_mes1[[#This Row],[TOTAL]]/1.21</f>
        <v>0</v>
      </c>
      <c r="I1572" s="183">
        <f>ventas_b_mes1[[#This Row],[IMPORTE NETO]]*0.21</f>
        <v>0</v>
      </c>
      <c r="J1572" s="184"/>
      <c r="K1572" s="184"/>
      <c r="L1572" s="184"/>
      <c r="M1572" s="59"/>
    </row>
    <row r="1573" spans="2:13" x14ac:dyDescent="0.3">
      <c r="B1573" s="178"/>
      <c r="C1573" s="179"/>
      <c r="D1573" s="180"/>
      <c r="E1573" s="181"/>
      <c r="F1573" s="182"/>
      <c r="G1573" s="1" t="str">
        <f>IFERROR(IF(ventas_b_mes1[[#This Row],[CUIT]]="","-",VLOOKUP(ventas_b_mes1[[#This Row],[CUIT]],Lista_CUIT[#All],2,0)),"CUIT NO CARGADO")</f>
        <v>-</v>
      </c>
      <c r="H1573" s="64">
        <f>ventas_b_mes1[[#This Row],[TOTAL]]/1.21</f>
        <v>0</v>
      </c>
      <c r="I1573" s="183">
        <f>ventas_b_mes1[[#This Row],[IMPORTE NETO]]*0.21</f>
        <v>0</v>
      </c>
      <c r="J1573" s="184"/>
      <c r="K1573" s="184"/>
      <c r="L1573" s="184"/>
      <c r="M1573" s="59"/>
    </row>
    <row r="1574" spans="2:13" x14ac:dyDescent="0.3">
      <c r="B1574" s="178"/>
      <c r="C1574" s="179"/>
      <c r="D1574" s="180"/>
      <c r="E1574" s="181"/>
      <c r="F1574" s="182"/>
      <c r="G1574" s="1" t="str">
        <f>IFERROR(IF(ventas_b_mes1[[#This Row],[CUIT]]="","-",VLOOKUP(ventas_b_mes1[[#This Row],[CUIT]],Lista_CUIT[#All],2,0)),"CUIT NO CARGADO")</f>
        <v>-</v>
      </c>
      <c r="H1574" s="64">
        <f>ventas_b_mes1[[#This Row],[TOTAL]]/1.21</f>
        <v>0</v>
      </c>
      <c r="I1574" s="183">
        <f>ventas_b_mes1[[#This Row],[IMPORTE NETO]]*0.21</f>
        <v>0</v>
      </c>
      <c r="J1574" s="184"/>
      <c r="K1574" s="184"/>
      <c r="L1574" s="184"/>
      <c r="M1574" s="59"/>
    </row>
    <row r="1575" spans="2:13" x14ac:dyDescent="0.3">
      <c r="B1575" s="178"/>
      <c r="C1575" s="179"/>
      <c r="D1575" s="180"/>
      <c r="E1575" s="181"/>
      <c r="F1575" s="182"/>
      <c r="G1575" s="1" t="str">
        <f>IFERROR(IF(ventas_b_mes1[[#This Row],[CUIT]]="","-",VLOOKUP(ventas_b_mes1[[#This Row],[CUIT]],Lista_CUIT[#All],2,0)),"CUIT NO CARGADO")</f>
        <v>-</v>
      </c>
      <c r="H1575" s="64">
        <f>ventas_b_mes1[[#This Row],[TOTAL]]/1.21</f>
        <v>0</v>
      </c>
      <c r="I1575" s="183">
        <f>ventas_b_mes1[[#This Row],[IMPORTE NETO]]*0.21</f>
        <v>0</v>
      </c>
      <c r="J1575" s="184"/>
      <c r="K1575" s="184"/>
      <c r="L1575" s="184"/>
      <c r="M1575" s="59"/>
    </row>
    <row r="1576" spans="2:13" x14ac:dyDescent="0.3">
      <c r="B1576" s="178"/>
      <c r="C1576" s="179"/>
      <c r="D1576" s="180"/>
      <c r="E1576" s="181"/>
      <c r="F1576" s="182"/>
      <c r="G1576" s="1" t="str">
        <f>IFERROR(IF(ventas_b_mes1[[#This Row],[CUIT]]="","-",VLOOKUP(ventas_b_mes1[[#This Row],[CUIT]],Lista_CUIT[#All],2,0)),"CUIT NO CARGADO")</f>
        <v>-</v>
      </c>
      <c r="H1576" s="64">
        <f>ventas_b_mes1[[#This Row],[TOTAL]]/1.21</f>
        <v>0</v>
      </c>
      <c r="I1576" s="183">
        <f>ventas_b_mes1[[#This Row],[IMPORTE NETO]]*0.21</f>
        <v>0</v>
      </c>
      <c r="J1576" s="184"/>
      <c r="K1576" s="184"/>
      <c r="L1576" s="184"/>
      <c r="M1576" s="59"/>
    </row>
    <row r="1577" spans="2:13" x14ac:dyDescent="0.3">
      <c r="B1577" s="178"/>
      <c r="C1577" s="179"/>
      <c r="D1577" s="180"/>
      <c r="E1577" s="181"/>
      <c r="F1577" s="182"/>
      <c r="G1577" s="1" t="str">
        <f>IFERROR(IF(ventas_b_mes1[[#This Row],[CUIT]]="","-",VLOOKUP(ventas_b_mes1[[#This Row],[CUIT]],Lista_CUIT[#All],2,0)),"CUIT NO CARGADO")</f>
        <v>-</v>
      </c>
      <c r="H1577" s="64">
        <f>ventas_b_mes1[[#This Row],[TOTAL]]/1.21</f>
        <v>0</v>
      </c>
      <c r="I1577" s="183">
        <f>ventas_b_mes1[[#This Row],[IMPORTE NETO]]*0.21</f>
        <v>0</v>
      </c>
      <c r="J1577" s="184"/>
      <c r="K1577" s="184"/>
      <c r="L1577" s="184"/>
      <c r="M1577" s="59"/>
    </row>
    <row r="1578" spans="2:13" x14ac:dyDescent="0.3">
      <c r="B1578" s="178"/>
      <c r="C1578" s="179"/>
      <c r="D1578" s="180"/>
      <c r="E1578" s="181"/>
      <c r="F1578" s="182"/>
      <c r="G1578" s="1" t="str">
        <f>IFERROR(IF(ventas_b_mes1[[#This Row],[CUIT]]="","-",VLOOKUP(ventas_b_mes1[[#This Row],[CUIT]],Lista_CUIT[#All],2,0)),"CUIT NO CARGADO")</f>
        <v>-</v>
      </c>
      <c r="H1578" s="64">
        <f>ventas_b_mes1[[#This Row],[TOTAL]]/1.21</f>
        <v>0</v>
      </c>
      <c r="I1578" s="183">
        <f>ventas_b_mes1[[#This Row],[IMPORTE NETO]]*0.21</f>
        <v>0</v>
      </c>
      <c r="J1578" s="184"/>
      <c r="K1578" s="184"/>
      <c r="L1578" s="184"/>
      <c r="M1578" s="59"/>
    </row>
    <row r="1579" spans="2:13" x14ac:dyDescent="0.3">
      <c r="B1579" s="178"/>
      <c r="C1579" s="179"/>
      <c r="D1579" s="180"/>
      <c r="E1579" s="181"/>
      <c r="F1579" s="182"/>
      <c r="G1579" s="1" t="str">
        <f>IFERROR(IF(ventas_b_mes1[[#This Row],[CUIT]]="","-",VLOOKUP(ventas_b_mes1[[#This Row],[CUIT]],Lista_CUIT[#All],2,0)),"CUIT NO CARGADO")</f>
        <v>-</v>
      </c>
      <c r="H1579" s="64">
        <f>ventas_b_mes1[[#This Row],[TOTAL]]/1.21</f>
        <v>0</v>
      </c>
      <c r="I1579" s="183">
        <f>ventas_b_mes1[[#This Row],[IMPORTE NETO]]*0.21</f>
        <v>0</v>
      </c>
      <c r="J1579" s="184"/>
      <c r="K1579" s="184"/>
      <c r="L1579" s="184"/>
      <c r="M1579" s="59"/>
    </row>
    <row r="1580" spans="2:13" x14ac:dyDescent="0.3">
      <c r="B1580" s="178"/>
      <c r="C1580" s="179"/>
      <c r="D1580" s="180"/>
      <c r="E1580" s="181"/>
      <c r="F1580" s="182"/>
      <c r="G1580" s="1" t="str">
        <f>IFERROR(IF(ventas_b_mes1[[#This Row],[CUIT]]="","-",VLOOKUP(ventas_b_mes1[[#This Row],[CUIT]],Lista_CUIT[#All],2,0)),"CUIT NO CARGADO")</f>
        <v>-</v>
      </c>
      <c r="H1580" s="64">
        <f>ventas_b_mes1[[#This Row],[TOTAL]]/1.21</f>
        <v>0</v>
      </c>
      <c r="I1580" s="183">
        <f>ventas_b_mes1[[#This Row],[IMPORTE NETO]]*0.21</f>
        <v>0</v>
      </c>
      <c r="J1580" s="184"/>
      <c r="K1580" s="184"/>
      <c r="L1580" s="184"/>
      <c r="M1580" s="59"/>
    </row>
    <row r="1581" spans="2:13" x14ac:dyDescent="0.3">
      <c r="B1581" s="178"/>
      <c r="C1581" s="179"/>
      <c r="D1581" s="180"/>
      <c r="E1581" s="181"/>
      <c r="F1581" s="182"/>
      <c r="G1581" s="1" t="str">
        <f>IFERROR(IF(ventas_b_mes1[[#This Row],[CUIT]]="","-",VLOOKUP(ventas_b_mes1[[#This Row],[CUIT]],Lista_CUIT[#All],2,0)),"CUIT NO CARGADO")</f>
        <v>-</v>
      </c>
      <c r="H1581" s="64">
        <f>ventas_b_mes1[[#This Row],[TOTAL]]/1.21</f>
        <v>0</v>
      </c>
      <c r="I1581" s="183">
        <f>ventas_b_mes1[[#This Row],[IMPORTE NETO]]*0.21</f>
        <v>0</v>
      </c>
      <c r="J1581" s="184"/>
      <c r="K1581" s="184"/>
      <c r="L1581" s="184"/>
      <c r="M1581" s="59"/>
    </row>
    <row r="1582" spans="2:13" x14ac:dyDescent="0.3">
      <c r="B1582" s="178"/>
      <c r="C1582" s="179"/>
      <c r="D1582" s="180"/>
      <c r="E1582" s="181"/>
      <c r="F1582" s="182"/>
      <c r="G1582" s="1" t="str">
        <f>IFERROR(IF(ventas_b_mes1[[#This Row],[CUIT]]="","-",VLOOKUP(ventas_b_mes1[[#This Row],[CUIT]],Lista_CUIT[#All],2,0)),"CUIT NO CARGADO")</f>
        <v>-</v>
      </c>
      <c r="H1582" s="64">
        <f>ventas_b_mes1[[#This Row],[TOTAL]]/1.21</f>
        <v>0</v>
      </c>
      <c r="I1582" s="183">
        <f>ventas_b_mes1[[#This Row],[IMPORTE NETO]]*0.21</f>
        <v>0</v>
      </c>
      <c r="J1582" s="184"/>
      <c r="K1582" s="184"/>
      <c r="L1582" s="184"/>
      <c r="M1582" s="59"/>
    </row>
    <row r="1583" spans="2:13" x14ac:dyDescent="0.3">
      <c r="B1583" s="178"/>
      <c r="C1583" s="179"/>
      <c r="D1583" s="180"/>
      <c r="E1583" s="181"/>
      <c r="F1583" s="182"/>
      <c r="G1583" s="1" t="str">
        <f>IFERROR(IF(ventas_b_mes1[[#This Row],[CUIT]]="","-",VLOOKUP(ventas_b_mes1[[#This Row],[CUIT]],Lista_CUIT[#All],2,0)),"CUIT NO CARGADO")</f>
        <v>-</v>
      </c>
      <c r="H1583" s="64">
        <f>ventas_b_mes1[[#This Row],[TOTAL]]/1.21</f>
        <v>0</v>
      </c>
      <c r="I1583" s="183">
        <f>ventas_b_mes1[[#This Row],[IMPORTE NETO]]*0.21</f>
        <v>0</v>
      </c>
      <c r="J1583" s="184"/>
      <c r="K1583" s="184"/>
      <c r="L1583" s="184"/>
      <c r="M1583" s="59"/>
    </row>
    <row r="1584" spans="2:13" x14ac:dyDescent="0.3">
      <c r="B1584" s="178"/>
      <c r="C1584" s="179"/>
      <c r="D1584" s="180"/>
      <c r="E1584" s="181"/>
      <c r="F1584" s="182"/>
      <c r="G1584" s="1" t="str">
        <f>IFERROR(IF(ventas_b_mes1[[#This Row],[CUIT]]="","-",VLOOKUP(ventas_b_mes1[[#This Row],[CUIT]],Lista_CUIT[#All],2,0)),"CUIT NO CARGADO")</f>
        <v>-</v>
      </c>
      <c r="H1584" s="64">
        <f>ventas_b_mes1[[#This Row],[TOTAL]]/1.21</f>
        <v>0</v>
      </c>
      <c r="I1584" s="183">
        <f>ventas_b_mes1[[#This Row],[IMPORTE NETO]]*0.21</f>
        <v>0</v>
      </c>
      <c r="J1584" s="184"/>
      <c r="K1584" s="184"/>
      <c r="L1584" s="184"/>
      <c r="M1584" s="59"/>
    </row>
    <row r="1585" spans="2:13" x14ac:dyDescent="0.3">
      <c r="B1585" s="178"/>
      <c r="C1585" s="179"/>
      <c r="D1585" s="180"/>
      <c r="E1585" s="181"/>
      <c r="F1585" s="182"/>
      <c r="G1585" s="1" t="str">
        <f>IFERROR(IF(ventas_b_mes1[[#This Row],[CUIT]]="","-",VLOOKUP(ventas_b_mes1[[#This Row],[CUIT]],Lista_CUIT[#All],2,0)),"CUIT NO CARGADO")</f>
        <v>-</v>
      </c>
      <c r="H1585" s="64">
        <f>ventas_b_mes1[[#This Row],[TOTAL]]/1.21</f>
        <v>0</v>
      </c>
      <c r="I1585" s="183">
        <f>ventas_b_mes1[[#This Row],[IMPORTE NETO]]*0.21</f>
        <v>0</v>
      </c>
      <c r="J1585" s="184"/>
      <c r="K1585" s="184"/>
      <c r="L1585" s="184"/>
      <c r="M1585" s="59"/>
    </row>
    <row r="1586" spans="2:13" x14ac:dyDescent="0.3">
      <c r="B1586" s="178"/>
      <c r="C1586" s="179"/>
      <c r="D1586" s="180"/>
      <c r="E1586" s="181"/>
      <c r="F1586" s="182"/>
      <c r="G1586" s="1" t="str">
        <f>IFERROR(IF(ventas_b_mes1[[#This Row],[CUIT]]="","-",VLOOKUP(ventas_b_mes1[[#This Row],[CUIT]],Lista_CUIT[#All],2,0)),"CUIT NO CARGADO")</f>
        <v>-</v>
      </c>
      <c r="H1586" s="64">
        <f>ventas_b_mes1[[#This Row],[TOTAL]]/1.21</f>
        <v>0</v>
      </c>
      <c r="I1586" s="183">
        <f>ventas_b_mes1[[#This Row],[IMPORTE NETO]]*0.21</f>
        <v>0</v>
      </c>
      <c r="J1586" s="184"/>
      <c r="K1586" s="184"/>
      <c r="L1586" s="184"/>
      <c r="M1586" s="59"/>
    </row>
    <row r="1587" spans="2:13" x14ac:dyDescent="0.3">
      <c r="B1587" s="178"/>
      <c r="C1587" s="179"/>
      <c r="D1587" s="180"/>
      <c r="E1587" s="181"/>
      <c r="F1587" s="182"/>
      <c r="G1587" s="1" t="str">
        <f>IFERROR(IF(ventas_b_mes1[[#This Row],[CUIT]]="","-",VLOOKUP(ventas_b_mes1[[#This Row],[CUIT]],Lista_CUIT[#All],2,0)),"CUIT NO CARGADO")</f>
        <v>-</v>
      </c>
      <c r="H1587" s="64">
        <f>ventas_b_mes1[[#This Row],[TOTAL]]/1.21</f>
        <v>0</v>
      </c>
      <c r="I1587" s="183">
        <f>ventas_b_mes1[[#This Row],[IMPORTE NETO]]*0.21</f>
        <v>0</v>
      </c>
      <c r="J1587" s="184"/>
      <c r="K1587" s="184"/>
      <c r="L1587" s="184"/>
      <c r="M1587" s="59"/>
    </row>
    <row r="1588" spans="2:13" x14ac:dyDescent="0.3">
      <c r="B1588" s="178"/>
      <c r="C1588" s="179"/>
      <c r="D1588" s="180"/>
      <c r="E1588" s="181"/>
      <c r="F1588" s="182"/>
      <c r="G1588" s="1" t="str">
        <f>IFERROR(IF(ventas_b_mes1[[#This Row],[CUIT]]="","-",VLOOKUP(ventas_b_mes1[[#This Row],[CUIT]],Lista_CUIT[#All],2,0)),"CUIT NO CARGADO")</f>
        <v>-</v>
      </c>
      <c r="H1588" s="64">
        <f>ventas_b_mes1[[#This Row],[TOTAL]]/1.21</f>
        <v>0</v>
      </c>
      <c r="I1588" s="183">
        <f>ventas_b_mes1[[#This Row],[IMPORTE NETO]]*0.21</f>
        <v>0</v>
      </c>
      <c r="J1588" s="184"/>
      <c r="K1588" s="184"/>
      <c r="L1588" s="184"/>
      <c r="M1588" s="59"/>
    </row>
    <row r="1589" spans="2:13" x14ac:dyDescent="0.3">
      <c r="B1589" s="178"/>
      <c r="C1589" s="179"/>
      <c r="D1589" s="180"/>
      <c r="E1589" s="181"/>
      <c r="F1589" s="182"/>
      <c r="G1589" s="1" t="str">
        <f>IFERROR(IF(ventas_b_mes1[[#This Row],[CUIT]]="","-",VLOOKUP(ventas_b_mes1[[#This Row],[CUIT]],Lista_CUIT[#All],2,0)),"CUIT NO CARGADO")</f>
        <v>-</v>
      </c>
      <c r="H1589" s="64">
        <f>ventas_b_mes1[[#This Row],[TOTAL]]/1.21</f>
        <v>0</v>
      </c>
      <c r="I1589" s="183">
        <f>ventas_b_mes1[[#This Row],[IMPORTE NETO]]*0.21</f>
        <v>0</v>
      </c>
      <c r="J1589" s="184"/>
      <c r="K1589" s="184"/>
      <c r="L1589" s="184"/>
      <c r="M1589" s="59"/>
    </row>
    <row r="1590" spans="2:13" x14ac:dyDescent="0.3">
      <c r="B1590" s="178"/>
      <c r="C1590" s="179"/>
      <c r="D1590" s="180"/>
      <c r="E1590" s="181"/>
      <c r="F1590" s="182"/>
      <c r="G1590" s="1" t="str">
        <f>IFERROR(IF(ventas_b_mes1[[#This Row],[CUIT]]="","-",VLOOKUP(ventas_b_mes1[[#This Row],[CUIT]],Lista_CUIT[#All],2,0)),"CUIT NO CARGADO")</f>
        <v>-</v>
      </c>
      <c r="H1590" s="64">
        <f>ventas_b_mes1[[#This Row],[TOTAL]]/1.21</f>
        <v>0</v>
      </c>
      <c r="I1590" s="183">
        <f>ventas_b_mes1[[#This Row],[IMPORTE NETO]]*0.21</f>
        <v>0</v>
      </c>
      <c r="J1590" s="184"/>
      <c r="K1590" s="184"/>
      <c r="L1590" s="184"/>
      <c r="M1590" s="59"/>
    </row>
    <row r="1591" spans="2:13" x14ac:dyDescent="0.3">
      <c r="B1591" s="178"/>
      <c r="C1591" s="179"/>
      <c r="D1591" s="180"/>
      <c r="E1591" s="181"/>
      <c r="F1591" s="182"/>
      <c r="G1591" s="1" t="str">
        <f>IFERROR(IF(ventas_b_mes1[[#This Row],[CUIT]]="","-",VLOOKUP(ventas_b_mes1[[#This Row],[CUIT]],Lista_CUIT[#All],2,0)),"CUIT NO CARGADO")</f>
        <v>-</v>
      </c>
      <c r="H1591" s="64">
        <f>ventas_b_mes1[[#This Row],[TOTAL]]/1.21</f>
        <v>0</v>
      </c>
      <c r="I1591" s="183">
        <f>ventas_b_mes1[[#This Row],[IMPORTE NETO]]*0.21</f>
        <v>0</v>
      </c>
      <c r="J1591" s="184"/>
      <c r="K1591" s="184"/>
      <c r="L1591" s="184"/>
      <c r="M1591" s="59"/>
    </row>
    <row r="1592" spans="2:13" x14ac:dyDescent="0.3">
      <c r="B1592" s="178"/>
      <c r="C1592" s="179"/>
      <c r="D1592" s="180"/>
      <c r="E1592" s="181"/>
      <c r="F1592" s="182"/>
      <c r="G1592" s="1" t="str">
        <f>IFERROR(IF(ventas_b_mes1[[#This Row],[CUIT]]="","-",VLOOKUP(ventas_b_mes1[[#This Row],[CUIT]],Lista_CUIT[#All],2,0)),"CUIT NO CARGADO")</f>
        <v>-</v>
      </c>
      <c r="H1592" s="64">
        <f>ventas_b_mes1[[#This Row],[TOTAL]]/1.21</f>
        <v>0</v>
      </c>
      <c r="I1592" s="183">
        <f>ventas_b_mes1[[#This Row],[IMPORTE NETO]]*0.21</f>
        <v>0</v>
      </c>
      <c r="J1592" s="184"/>
      <c r="K1592" s="184"/>
      <c r="L1592" s="184"/>
      <c r="M1592" s="59"/>
    </row>
    <row r="1593" spans="2:13" x14ac:dyDescent="0.3">
      <c r="B1593" s="178"/>
      <c r="C1593" s="179"/>
      <c r="D1593" s="180"/>
      <c r="E1593" s="181"/>
      <c r="F1593" s="182"/>
      <c r="G1593" s="1" t="str">
        <f>IFERROR(IF(ventas_b_mes1[[#This Row],[CUIT]]="","-",VLOOKUP(ventas_b_mes1[[#This Row],[CUIT]],Lista_CUIT[#All],2,0)),"CUIT NO CARGADO")</f>
        <v>-</v>
      </c>
      <c r="H1593" s="64">
        <f>ventas_b_mes1[[#This Row],[TOTAL]]/1.21</f>
        <v>0</v>
      </c>
      <c r="I1593" s="183">
        <f>ventas_b_mes1[[#This Row],[IMPORTE NETO]]*0.21</f>
        <v>0</v>
      </c>
      <c r="J1593" s="184"/>
      <c r="K1593" s="184"/>
      <c r="L1593" s="184"/>
      <c r="M1593" s="59"/>
    </row>
    <row r="1594" spans="2:13" x14ac:dyDescent="0.3">
      <c r="B1594" s="178"/>
      <c r="C1594" s="179"/>
      <c r="D1594" s="180"/>
      <c r="E1594" s="181"/>
      <c r="F1594" s="182"/>
      <c r="G1594" s="1" t="str">
        <f>IFERROR(IF(ventas_b_mes1[[#This Row],[CUIT]]="","-",VLOOKUP(ventas_b_mes1[[#This Row],[CUIT]],Lista_CUIT[#All],2,0)),"CUIT NO CARGADO")</f>
        <v>-</v>
      </c>
      <c r="H1594" s="64">
        <f>ventas_b_mes1[[#This Row],[TOTAL]]/1.21</f>
        <v>0</v>
      </c>
      <c r="I1594" s="183">
        <f>ventas_b_mes1[[#This Row],[IMPORTE NETO]]*0.21</f>
        <v>0</v>
      </c>
      <c r="J1594" s="184"/>
      <c r="K1594" s="184"/>
      <c r="L1594" s="184"/>
      <c r="M1594" s="59"/>
    </row>
    <row r="1595" spans="2:13" x14ac:dyDescent="0.3">
      <c r="B1595" s="178"/>
      <c r="C1595" s="179"/>
      <c r="D1595" s="180"/>
      <c r="E1595" s="181"/>
      <c r="F1595" s="182"/>
      <c r="G1595" s="1" t="str">
        <f>IFERROR(IF(ventas_b_mes1[[#This Row],[CUIT]]="","-",VLOOKUP(ventas_b_mes1[[#This Row],[CUIT]],Lista_CUIT[#All],2,0)),"CUIT NO CARGADO")</f>
        <v>-</v>
      </c>
      <c r="H1595" s="64">
        <f>ventas_b_mes1[[#This Row],[TOTAL]]/1.21</f>
        <v>0</v>
      </c>
      <c r="I1595" s="183">
        <f>ventas_b_mes1[[#This Row],[IMPORTE NETO]]*0.21</f>
        <v>0</v>
      </c>
      <c r="J1595" s="184"/>
      <c r="K1595" s="184"/>
      <c r="L1595" s="184"/>
      <c r="M1595" s="59"/>
    </row>
    <row r="1596" spans="2:13" x14ac:dyDescent="0.3">
      <c r="B1596" s="178"/>
      <c r="C1596" s="179"/>
      <c r="D1596" s="180"/>
      <c r="E1596" s="181"/>
      <c r="F1596" s="182"/>
      <c r="G1596" s="1" t="str">
        <f>IFERROR(IF(ventas_b_mes1[[#This Row],[CUIT]]="","-",VLOOKUP(ventas_b_mes1[[#This Row],[CUIT]],Lista_CUIT[#All],2,0)),"CUIT NO CARGADO")</f>
        <v>-</v>
      </c>
      <c r="H1596" s="64">
        <f>ventas_b_mes1[[#This Row],[TOTAL]]/1.21</f>
        <v>0</v>
      </c>
      <c r="I1596" s="183">
        <f>ventas_b_mes1[[#This Row],[IMPORTE NETO]]*0.21</f>
        <v>0</v>
      </c>
      <c r="J1596" s="184"/>
      <c r="K1596" s="184"/>
      <c r="L1596" s="184"/>
      <c r="M1596" s="59"/>
    </row>
    <row r="1597" spans="2:13" x14ac:dyDescent="0.3">
      <c r="B1597" s="178"/>
      <c r="C1597" s="179"/>
      <c r="D1597" s="180"/>
      <c r="E1597" s="181"/>
      <c r="F1597" s="182"/>
      <c r="G1597" s="1" t="str">
        <f>IFERROR(IF(ventas_b_mes1[[#This Row],[CUIT]]="","-",VLOOKUP(ventas_b_mes1[[#This Row],[CUIT]],Lista_CUIT[#All],2,0)),"CUIT NO CARGADO")</f>
        <v>-</v>
      </c>
      <c r="H1597" s="64">
        <f>ventas_b_mes1[[#This Row],[TOTAL]]/1.21</f>
        <v>0</v>
      </c>
      <c r="I1597" s="183">
        <f>ventas_b_mes1[[#This Row],[IMPORTE NETO]]*0.21</f>
        <v>0</v>
      </c>
      <c r="J1597" s="184"/>
      <c r="K1597" s="184"/>
      <c r="L1597" s="184"/>
      <c r="M1597" s="59"/>
    </row>
    <row r="1598" spans="2:13" x14ac:dyDescent="0.3">
      <c r="B1598" s="178"/>
      <c r="C1598" s="179"/>
      <c r="D1598" s="180"/>
      <c r="E1598" s="181"/>
      <c r="F1598" s="182"/>
      <c r="G1598" s="1" t="str">
        <f>IFERROR(IF(ventas_b_mes1[[#This Row],[CUIT]]="","-",VLOOKUP(ventas_b_mes1[[#This Row],[CUIT]],Lista_CUIT[#All],2,0)),"CUIT NO CARGADO")</f>
        <v>-</v>
      </c>
      <c r="H1598" s="64">
        <f>ventas_b_mes1[[#This Row],[TOTAL]]/1.21</f>
        <v>0</v>
      </c>
      <c r="I1598" s="183">
        <f>ventas_b_mes1[[#This Row],[IMPORTE NETO]]*0.21</f>
        <v>0</v>
      </c>
      <c r="J1598" s="184"/>
      <c r="K1598" s="184"/>
      <c r="L1598" s="184"/>
      <c r="M1598" s="59"/>
    </row>
    <row r="1599" spans="2:13" x14ac:dyDescent="0.3">
      <c r="B1599" s="178"/>
      <c r="C1599" s="179"/>
      <c r="D1599" s="180"/>
      <c r="E1599" s="181"/>
      <c r="F1599" s="182"/>
      <c r="G1599" s="1" t="str">
        <f>IFERROR(IF(ventas_b_mes1[[#This Row],[CUIT]]="","-",VLOOKUP(ventas_b_mes1[[#This Row],[CUIT]],Lista_CUIT[#All],2,0)),"CUIT NO CARGADO")</f>
        <v>-</v>
      </c>
      <c r="H1599" s="64">
        <f>ventas_b_mes1[[#This Row],[TOTAL]]/1.21</f>
        <v>0</v>
      </c>
      <c r="I1599" s="183">
        <f>ventas_b_mes1[[#This Row],[IMPORTE NETO]]*0.21</f>
        <v>0</v>
      </c>
      <c r="J1599" s="184"/>
      <c r="K1599" s="184"/>
      <c r="L1599" s="184"/>
      <c r="M1599" s="59"/>
    </row>
    <row r="1600" spans="2:13" x14ac:dyDescent="0.3">
      <c r="B1600" s="178"/>
      <c r="C1600" s="179"/>
      <c r="D1600" s="180"/>
      <c r="E1600" s="181"/>
      <c r="F1600" s="182"/>
      <c r="G1600" s="1" t="str">
        <f>IFERROR(IF(ventas_b_mes1[[#This Row],[CUIT]]="","-",VLOOKUP(ventas_b_mes1[[#This Row],[CUIT]],Lista_CUIT[#All],2,0)),"CUIT NO CARGADO")</f>
        <v>-</v>
      </c>
      <c r="H1600" s="64">
        <f>ventas_b_mes1[[#This Row],[TOTAL]]/1.21</f>
        <v>0</v>
      </c>
      <c r="I1600" s="183">
        <f>ventas_b_mes1[[#This Row],[IMPORTE NETO]]*0.21</f>
        <v>0</v>
      </c>
      <c r="J1600" s="184"/>
      <c r="K1600" s="184"/>
      <c r="L1600" s="184"/>
      <c r="M1600" s="59"/>
    </row>
    <row r="1601" spans="2:13" x14ac:dyDescent="0.3">
      <c r="B1601" s="178"/>
      <c r="C1601" s="179"/>
      <c r="D1601" s="180"/>
      <c r="E1601" s="181"/>
      <c r="F1601" s="182"/>
      <c r="G1601" s="1" t="str">
        <f>IFERROR(IF(ventas_b_mes1[[#This Row],[CUIT]]="","-",VLOOKUP(ventas_b_mes1[[#This Row],[CUIT]],Lista_CUIT[#All],2,0)),"CUIT NO CARGADO")</f>
        <v>-</v>
      </c>
      <c r="H1601" s="64">
        <f>ventas_b_mes1[[#This Row],[TOTAL]]/1.21</f>
        <v>0</v>
      </c>
      <c r="I1601" s="183">
        <f>ventas_b_mes1[[#This Row],[IMPORTE NETO]]*0.21</f>
        <v>0</v>
      </c>
      <c r="J1601" s="184"/>
      <c r="K1601" s="184"/>
      <c r="L1601" s="184"/>
      <c r="M1601" s="59"/>
    </row>
    <row r="1602" spans="2:13" x14ac:dyDescent="0.3">
      <c r="B1602" s="178"/>
      <c r="C1602" s="179"/>
      <c r="D1602" s="180"/>
      <c r="E1602" s="181"/>
      <c r="F1602" s="182"/>
      <c r="G1602" s="1" t="str">
        <f>IFERROR(IF(ventas_b_mes1[[#This Row],[CUIT]]="","-",VLOOKUP(ventas_b_mes1[[#This Row],[CUIT]],Lista_CUIT[#All],2,0)),"CUIT NO CARGADO")</f>
        <v>-</v>
      </c>
      <c r="H1602" s="64">
        <f>ventas_b_mes1[[#This Row],[TOTAL]]/1.21</f>
        <v>0</v>
      </c>
      <c r="I1602" s="183">
        <f>ventas_b_mes1[[#This Row],[IMPORTE NETO]]*0.21</f>
        <v>0</v>
      </c>
      <c r="J1602" s="184"/>
      <c r="K1602" s="184"/>
      <c r="L1602" s="184"/>
      <c r="M1602" s="59"/>
    </row>
    <row r="1603" spans="2:13" x14ac:dyDescent="0.3">
      <c r="B1603" s="178"/>
      <c r="C1603" s="179"/>
      <c r="D1603" s="180"/>
      <c r="E1603" s="181"/>
      <c r="F1603" s="182"/>
      <c r="G1603" s="1" t="str">
        <f>IFERROR(IF(ventas_b_mes1[[#This Row],[CUIT]]="","-",VLOOKUP(ventas_b_mes1[[#This Row],[CUIT]],Lista_CUIT[#All],2,0)),"CUIT NO CARGADO")</f>
        <v>-</v>
      </c>
      <c r="H1603" s="64">
        <f>ventas_b_mes1[[#This Row],[TOTAL]]/1.21</f>
        <v>0</v>
      </c>
      <c r="I1603" s="183">
        <f>ventas_b_mes1[[#This Row],[IMPORTE NETO]]*0.21</f>
        <v>0</v>
      </c>
      <c r="J1603" s="184"/>
      <c r="K1603" s="184"/>
      <c r="L1603" s="184"/>
      <c r="M1603" s="59"/>
    </row>
    <row r="1604" spans="2:13" x14ac:dyDescent="0.3">
      <c r="B1604" s="178"/>
      <c r="C1604" s="179"/>
      <c r="D1604" s="180"/>
      <c r="E1604" s="181"/>
      <c r="F1604" s="182"/>
      <c r="G1604" s="1" t="str">
        <f>IFERROR(IF(ventas_b_mes1[[#This Row],[CUIT]]="","-",VLOOKUP(ventas_b_mes1[[#This Row],[CUIT]],Lista_CUIT[#All],2,0)),"CUIT NO CARGADO")</f>
        <v>-</v>
      </c>
      <c r="H1604" s="64">
        <f>ventas_b_mes1[[#This Row],[TOTAL]]/1.21</f>
        <v>0</v>
      </c>
      <c r="I1604" s="183">
        <f>ventas_b_mes1[[#This Row],[IMPORTE NETO]]*0.21</f>
        <v>0</v>
      </c>
      <c r="J1604" s="184"/>
      <c r="K1604" s="184"/>
      <c r="L1604" s="184"/>
      <c r="M1604" s="59"/>
    </row>
    <row r="1605" spans="2:13" x14ac:dyDescent="0.3">
      <c r="B1605" s="178"/>
      <c r="C1605" s="179"/>
      <c r="D1605" s="180"/>
      <c r="E1605" s="181"/>
      <c r="F1605" s="182"/>
      <c r="G1605" s="1" t="str">
        <f>IFERROR(IF(ventas_b_mes1[[#This Row],[CUIT]]="","-",VLOOKUP(ventas_b_mes1[[#This Row],[CUIT]],Lista_CUIT[#All],2,0)),"CUIT NO CARGADO")</f>
        <v>-</v>
      </c>
      <c r="H1605" s="64">
        <f>ventas_b_mes1[[#This Row],[TOTAL]]/1.21</f>
        <v>0</v>
      </c>
      <c r="I1605" s="183">
        <f>ventas_b_mes1[[#This Row],[IMPORTE NETO]]*0.21</f>
        <v>0</v>
      </c>
      <c r="J1605" s="184"/>
      <c r="K1605" s="184"/>
      <c r="L1605" s="184"/>
      <c r="M1605" s="59"/>
    </row>
    <row r="1606" spans="2:13" x14ac:dyDescent="0.3">
      <c r="B1606" s="178"/>
      <c r="C1606" s="179"/>
      <c r="D1606" s="180"/>
      <c r="E1606" s="181"/>
      <c r="F1606" s="182"/>
      <c r="G1606" s="1" t="str">
        <f>IFERROR(IF(ventas_b_mes1[[#This Row],[CUIT]]="","-",VLOOKUP(ventas_b_mes1[[#This Row],[CUIT]],Lista_CUIT[#All],2,0)),"CUIT NO CARGADO")</f>
        <v>-</v>
      </c>
      <c r="H1606" s="64">
        <f>ventas_b_mes1[[#This Row],[TOTAL]]/1.21</f>
        <v>0</v>
      </c>
      <c r="I1606" s="183">
        <f>ventas_b_mes1[[#This Row],[IMPORTE NETO]]*0.21</f>
        <v>0</v>
      </c>
      <c r="J1606" s="184"/>
      <c r="K1606" s="184"/>
      <c r="L1606" s="184"/>
      <c r="M1606" s="59"/>
    </row>
    <row r="1607" spans="2:13" x14ac:dyDescent="0.3">
      <c r="B1607" s="178"/>
      <c r="C1607" s="179"/>
      <c r="D1607" s="180"/>
      <c r="E1607" s="181"/>
      <c r="F1607" s="182"/>
      <c r="G1607" s="1" t="str">
        <f>IFERROR(IF(ventas_b_mes1[[#This Row],[CUIT]]="","-",VLOOKUP(ventas_b_mes1[[#This Row],[CUIT]],Lista_CUIT[#All],2,0)),"CUIT NO CARGADO")</f>
        <v>-</v>
      </c>
      <c r="H1607" s="64">
        <f>ventas_b_mes1[[#This Row],[TOTAL]]/1.21</f>
        <v>0</v>
      </c>
      <c r="I1607" s="183">
        <f>ventas_b_mes1[[#This Row],[IMPORTE NETO]]*0.21</f>
        <v>0</v>
      </c>
      <c r="J1607" s="184"/>
      <c r="K1607" s="184"/>
      <c r="L1607" s="184"/>
      <c r="M1607" s="59"/>
    </row>
    <row r="1608" spans="2:13" x14ac:dyDescent="0.3">
      <c r="B1608" s="178"/>
      <c r="C1608" s="179"/>
      <c r="D1608" s="180"/>
      <c r="E1608" s="181"/>
      <c r="F1608" s="182"/>
      <c r="G1608" s="1" t="str">
        <f>IFERROR(IF(ventas_b_mes1[[#This Row],[CUIT]]="","-",VLOOKUP(ventas_b_mes1[[#This Row],[CUIT]],Lista_CUIT[#All],2,0)),"CUIT NO CARGADO")</f>
        <v>-</v>
      </c>
      <c r="H1608" s="64">
        <f>ventas_b_mes1[[#This Row],[TOTAL]]/1.21</f>
        <v>0</v>
      </c>
      <c r="I1608" s="183">
        <f>ventas_b_mes1[[#This Row],[IMPORTE NETO]]*0.21</f>
        <v>0</v>
      </c>
      <c r="J1608" s="184"/>
      <c r="K1608" s="184"/>
      <c r="L1608" s="184"/>
      <c r="M1608" s="59"/>
    </row>
    <row r="1609" spans="2:13" x14ac:dyDescent="0.3">
      <c r="B1609" s="178"/>
      <c r="C1609" s="179"/>
      <c r="D1609" s="180"/>
      <c r="E1609" s="181"/>
      <c r="F1609" s="182"/>
      <c r="G1609" s="1" t="str">
        <f>IFERROR(IF(ventas_b_mes1[[#This Row],[CUIT]]="","-",VLOOKUP(ventas_b_mes1[[#This Row],[CUIT]],Lista_CUIT[#All],2,0)),"CUIT NO CARGADO")</f>
        <v>-</v>
      </c>
      <c r="H1609" s="64">
        <f>ventas_b_mes1[[#This Row],[TOTAL]]/1.21</f>
        <v>0</v>
      </c>
      <c r="I1609" s="183">
        <f>ventas_b_mes1[[#This Row],[IMPORTE NETO]]*0.21</f>
        <v>0</v>
      </c>
      <c r="J1609" s="184"/>
      <c r="K1609" s="184"/>
      <c r="L1609" s="184"/>
      <c r="M1609" s="59"/>
    </row>
    <row r="1610" spans="2:13" x14ac:dyDescent="0.3">
      <c r="B1610" s="178"/>
      <c r="C1610" s="179"/>
      <c r="D1610" s="180"/>
      <c r="E1610" s="181"/>
      <c r="F1610" s="182"/>
      <c r="G1610" s="1" t="str">
        <f>IFERROR(IF(ventas_b_mes1[[#This Row],[CUIT]]="","-",VLOOKUP(ventas_b_mes1[[#This Row],[CUIT]],Lista_CUIT[#All],2,0)),"CUIT NO CARGADO")</f>
        <v>-</v>
      </c>
      <c r="H1610" s="64">
        <f>ventas_b_mes1[[#This Row],[TOTAL]]/1.21</f>
        <v>0</v>
      </c>
      <c r="I1610" s="183">
        <f>ventas_b_mes1[[#This Row],[IMPORTE NETO]]*0.21</f>
        <v>0</v>
      </c>
      <c r="J1610" s="184"/>
      <c r="K1610" s="184"/>
      <c r="L1610" s="184"/>
      <c r="M1610" s="59"/>
    </row>
    <row r="1611" spans="2:13" x14ac:dyDescent="0.3">
      <c r="B1611" s="178"/>
      <c r="C1611" s="179"/>
      <c r="D1611" s="180"/>
      <c r="E1611" s="181"/>
      <c r="F1611" s="182"/>
      <c r="G1611" s="1" t="str">
        <f>IFERROR(IF(ventas_b_mes1[[#This Row],[CUIT]]="","-",VLOOKUP(ventas_b_mes1[[#This Row],[CUIT]],Lista_CUIT[#All],2,0)),"CUIT NO CARGADO")</f>
        <v>-</v>
      </c>
      <c r="H1611" s="64">
        <f>ventas_b_mes1[[#This Row],[TOTAL]]/1.21</f>
        <v>0</v>
      </c>
      <c r="I1611" s="183">
        <f>ventas_b_mes1[[#This Row],[IMPORTE NETO]]*0.21</f>
        <v>0</v>
      </c>
      <c r="J1611" s="184"/>
      <c r="K1611" s="184"/>
      <c r="L1611" s="184"/>
      <c r="M1611" s="59"/>
    </row>
    <row r="1612" spans="2:13" x14ac:dyDescent="0.3">
      <c r="B1612" s="178"/>
      <c r="C1612" s="179"/>
      <c r="D1612" s="180"/>
      <c r="E1612" s="181"/>
      <c r="F1612" s="182"/>
      <c r="G1612" s="1" t="str">
        <f>IFERROR(IF(ventas_b_mes1[[#This Row],[CUIT]]="","-",VLOOKUP(ventas_b_mes1[[#This Row],[CUIT]],Lista_CUIT[#All],2,0)),"CUIT NO CARGADO")</f>
        <v>-</v>
      </c>
      <c r="H1612" s="64">
        <f>ventas_b_mes1[[#This Row],[TOTAL]]/1.21</f>
        <v>0</v>
      </c>
      <c r="I1612" s="183">
        <f>ventas_b_mes1[[#This Row],[IMPORTE NETO]]*0.21</f>
        <v>0</v>
      </c>
      <c r="J1612" s="184"/>
      <c r="K1612" s="184"/>
      <c r="L1612" s="184"/>
      <c r="M1612" s="59"/>
    </row>
    <row r="1613" spans="2:13" x14ac:dyDescent="0.3">
      <c r="B1613" s="178"/>
      <c r="C1613" s="179"/>
      <c r="D1613" s="180"/>
      <c r="E1613" s="181"/>
      <c r="F1613" s="182"/>
      <c r="G1613" s="1" t="str">
        <f>IFERROR(IF(ventas_b_mes1[[#This Row],[CUIT]]="","-",VLOOKUP(ventas_b_mes1[[#This Row],[CUIT]],Lista_CUIT[#All],2,0)),"CUIT NO CARGADO")</f>
        <v>-</v>
      </c>
      <c r="H1613" s="64">
        <f>ventas_b_mes1[[#This Row],[TOTAL]]/1.21</f>
        <v>0</v>
      </c>
      <c r="I1613" s="183">
        <f>ventas_b_mes1[[#This Row],[IMPORTE NETO]]*0.21</f>
        <v>0</v>
      </c>
      <c r="J1613" s="184"/>
      <c r="K1613" s="184"/>
      <c r="L1613" s="184"/>
      <c r="M1613" s="59"/>
    </row>
    <row r="1614" spans="2:13" x14ac:dyDescent="0.3">
      <c r="B1614" s="178"/>
      <c r="C1614" s="179"/>
      <c r="D1614" s="180"/>
      <c r="E1614" s="181"/>
      <c r="F1614" s="182"/>
      <c r="G1614" s="1" t="str">
        <f>IFERROR(IF(ventas_b_mes1[[#This Row],[CUIT]]="","-",VLOOKUP(ventas_b_mes1[[#This Row],[CUIT]],Lista_CUIT[#All],2,0)),"CUIT NO CARGADO")</f>
        <v>-</v>
      </c>
      <c r="H1614" s="64">
        <f>ventas_b_mes1[[#This Row],[TOTAL]]/1.21</f>
        <v>0</v>
      </c>
      <c r="I1614" s="183">
        <f>ventas_b_mes1[[#This Row],[IMPORTE NETO]]*0.21</f>
        <v>0</v>
      </c>
      <c r="J1614" s="184"/>
      <c r="K1614" s="184"/>
      <c r="L1614" s="184"/>
      <c r="M1614" s="59"/>
    </row>
    <row r="1615" spans="2:13" x14ac:dyDescent="0.3">
      <c r="B1615" s="178"/>
      <c r="C1615" s="179"/>
      <c r="D1615" s="180"/>
      <c r="E1615" s="181"/>
      <c r="F1615" s="182"/>
      <c r="G1615" s="1" t="str">
        <f>IFERROR(IF(ventas_b_mes1[[#This Row],[CUIT]]="","-",VLOOKUP(ventas_b_mes1[[#This Row],[CUIT]],Lista_CUIT[#All],2,0)),"CUIT NO CARGADO")</f>
        <v>-</v>
      </c>
      <c r="H1615" s="64">
        <f>ventas_b_mes1[[#This Row],[TOTAL]]/1.21</f>
        <v>0</v>
      </c>
      <c r="I1615" s="183">
        <f>ventas_b_mes1[[#This Row],[IMPORTE NETO]]*0.21</f>
        <v>0</v>
      </c>
      <c r="J1615" s="184"/>
      <c r="K1615" s="184"/>
      <c r="L1615" s="184"/>
      <c r="M1615" s="59"/>
    </row>
    <row r="1616" spans="2:13" x14ac:dyDescent="0.3">
      <c r="B1616" s="178"/>
      <c r="C1616" s="179"/>
      <c r="D1616" s="180"/>
      <c r="E1616" s="181"/>
      <c r="F1616" s="182"/>
      <c r="G1616" s="1" t="str">
        <f>IFERROR(IF(ventas_b_mes1[[#This Row],[CUIT]]="","-",VLOOKUP(ventas_b_mes1[[#This Row],[CUIT]],Lista_CUIT[#All],2,0)),"CUIT NO CARGADO")</f>
        <v>-</v>
      </c>
      <c r="H1616" s="64">
        <f>ventas_b_mes1[[#This Row],[TOTAL]]/1.21</f>
        <v>0</v>
      </c>
      <c r="I1616" s="183">
        <f>ventas_b_mes1[[#This Row],[IMPORTE NETO]]*0.21</f>
        <v>0</v>
      </c>
      <c r="J1616" s="184"/>
      <c r="K1616" s="184"/>
      <c r="L1616" s="184"/>
      <c r="M1616" s="59"/>
    </row>
    <row r="1617" spans="2:13" x14ac:dyDescent="0.3">
      <c r="B1617" s="178"/>
      <c r="C1617" s="179"/>
      <c r="D1617" s="180"/>
      <c r="E1617" s="181"/>
      <c r="F1617" s="182"/>
      <c r="G1617" s="1" t="str">
        <f>IFERROR(IF(ventas_b_mes1[[#This Row],[CUIT]]="","-",VLOOKUP(ventas_b_mes1[[#This Row],[CUIT]],Lista_CUIT[#All],2,0)),"CUIT NO CARGADO")</f>
        <v>-</v>
      </c>
      <c r="H1617" s="64">
        <f>ventas_b_mes1[[#This Row],[TOTAL]]/1.21</f>
        <v>0</v>
      </c>
      <c r="I1617" s="183">
        <f>ventas_b_mes1[[#This Row],[IMPORTE NETO]]*0.21</f>
        <v>0</v>
      </c>
      <c r="J1617" s="184"/>
      <c r="K1617" s="184"/>
      <c r="L1617" s="184"/>
      <c r="M1617" s="59"/>
    </row>
    <row r="1618" spans="2:13" x14ac:dyDescent="0.3">
      <c r="B1618" s="178"/>
      <c r="C1618" s="179"/>
      <c r="D1618" s="180"/>
      <c r="E1618" s="181"/>
      <c r="F1618" s="182"/>
      <c r="G1618" s="1" t="str">
        <f>IFERROR(IF(ventas_b_mes1[[#This Row],[CUIT]]="","-",VLOOKUP(ventas_b_mes1[[#This Row],[CUIT]],Lista_CUIT[#All],2,0)),"CUIT NO CARGADO")</f>
        <v>-</v>
      </c>
      <c r="H1618" s="64">
        <f>ventas_b_mes1[[#This Row],[TOTAL]]/1.21</f>
        <v>0</v>
      </c>
      <c r="I1618" s="183">
        <f>ventas_b_mes1[[#This Row],[IMPORTE NETO]]*0.21</f>
        <v>0</v>
      </c>
      <c r="J1618" s="184"/>
      <c r="K1618" s="184"/>
      <c r="L1618" s="184"/>
      <c r="M1618" s="59"/>
    </row>
    <row r="1619" spans="2:13" x14ac:dyDescent="0.3">
      <c r="B1619" s="178"/>
      <c r="C1619" s="179"/>
      <c r="D1619" s="180"/>
      <c r="E1619" s="181"/>
      <c r="F1619" s="182"/>
      <c r="G1619" s="1" t="str">
        <f>IFERROR(IF(ventas_b_mes1[[#This Row],[CUIT]]="","-",VLOOKUP(ventas_b_mes1[[#This Row],[CUIT]],Lista_CUIT[#All],2,0)),"CUIT NO CARGADO")</f>
        <v>-</v>
      </c>
      <c r="H1619" s="64">
        <f>ventas_b_mes1[[#This Row],[TOTAL]]/1.21</f>
        <v>0</v>
      </c>
      <c r="I1619" s="183">
        <f>ventas_b_mes1[[#This Row],[IMPORTE NETO]]*0.21</f>
        <v>0</v>
      </c>
      <c r="J1619" s="184"/>
      <c r="K1619" s="184"/>
      <c r="L1619" s="184"/>
      <c r="M1619" s="59"/>
    </row>
    <row r="1620" spans="2:13" x14ac:dyDescent="0.3">
      <c r="B1620" s="178"/>
      <c r="C1620" s="179"/>
      <c r="D1620" s="180"/>
      <c r="E1620" s="181"/>
      <c r="F1620" s="182"/>
      <c r="G1620" s="1" t="str">
        <f>IFERROR(IF(ventas_b_mes1[[#This Row],[CUIT]]="","-",VLOOKUP(ventas_b_mes1[[#This Row],[CUIT]],Lista_CUIT[#All],2,0)),"CUIT NO CARGADO")</f>
        <v>-</v>
      </c>
      <c r="H1620" s="64">
        <f>ventas_b_mes1[[#This Row],[TOTAL]]/1.21</f>
        <v>0</v>
      </c>
      <c r="I1620" s="183">
        <f>ventas_b_mes1[[#This Row],[IMPORTE NETO]]*0.21</f>
        <v>0</v>
      </c>
      <c r="J1620" s="184"/>
      <c r="K1620" s="184"/>
      <c r="L1620" s="184"/>
      <c r="M1620" s="59"/>
    </row>
    <row r="1621" spans="2:13" x14ac:dyDescent="0.3">
      <c r="B1621" s="178"/>
      <c r="C1621" s="179"/>
      <c r="D1621" s="180"/>
      <c r="E1621" s="181"/>
      <c r="F1621" s="182"/>
      <c r="G1621" s="1" t="str">
        <f>IFERROR(IF(ventas_b_mes1[[#This Row],[CUIT]]="","-",VLOOKUP(ventas_b_mes1[[#This Row],[CUIT]],Lista_CUIT[#All],2,0)),"CUIT NO CARGADO")</f>
        <v>-</v>
      </c>
      <c r="H1621" s="64">
        <f>ventas_b_mes1[[#This Row],[TOTAL]]/1.21</f>
        <v>0</v>
      </c>
      <c r="I1621" s="183">
        <f>ventas_b_mes1[[#This Row],[IMPORTE NETO]]*0.21</f>
        <v>0</v>
      </c>
      <c r="J1621" s="184"/>
      <c r="K1621" s="184"/>
      <c r="L1621" s="184"/>
      <c r="M1621" s="59"/>
    </row>
    <row r="1622" spans="2:13" x14ac:dyDescent="0.3">
      <c r="B1622" s="178"/>
      <c r="C1622" s="179"/>
      <c r="D1622" s="180"/>
      <c r="E1622" s="181"/>
      <c r="F1622" s="182"/>
      <c r="G1622" s="1" t="str">
        <f>IFERROR(IF(ventas_b_mes1[[#This Row],[CUIT]]="","-",VLOOKUP(ventas_b_mes1[[#This Row],[CUIT]],Lista_CUIT[#All],2,0)),"CUIT NO CARGADO")</f>
        <v>-</v>
      </c>
      <c r="H1622" s="64">
        <f>ventas_b_mes1[[#This Row],[TOTAL]]/1.21</f>
        <v>0</v>
      </c>
      <c r="I1622" s="183">
        <f>ventas_b_mes1[[#This Row],[IMPORTE NETO]]*0.21</f>
        <v>0</v>
      </c>
      <c r="J1622" s="184"/>
      <c r="K1622" s="184"/>
      <c r="L1622" s="184"/>
      <c r="M1622" s="59"/>
    </row>
    <row r="1623" spans="2:13" x14ac:dyDescent="0.3">
      <c r="B1623" s="178"/>
      <c r="C1623" s="179"/>
      <c r="D1623" s="180"/>
      <c r="E1623" s="181"/>
      <c r="F1623" s="182"/>
      <c r="G1623" s="1" t="str">
        <f>IFERROR(IF(ventas_b_mes1[[#This Row],[CUIT]]="","-",VLOOKUP(ventas_b_mes1[[#This Row],[CUIT]],Lista_CUIT[#All],2,0)),"CUIT NO CARGADO")</f>
        <v>-</v>
      </c>
      <c r="H1623" s="64">
        <f>ventas_b_mes1[[#This Row],[TOTAL]]/1.21</f>
        <v>0</v>
      </c>
      <c r="I1623" s="183">
        <f>ventas_b_mes1[[#This Row],[IMPORTE NETO]]*0.21</f>
        <v>0</v>
      </c>
      <c r="J1623" s="184"/>
      <c r="K1623" s="184"/>
      <c r="L1623" s="184"/>
      <c r="M1623" s="59"/>
    </row>
    <row r="1624" spans="2:13" x14ac:dyDescent="0.3">
      <c r="B1624" s="178"/>
      <c r="C1624" s="179"/>
      <c r="D1624" s="180"/>
      <c r="E1624" s="181"/>
      <c r="F1624" s="182"/>
      <c r="G1624" s="1" t="str">
        <f>IFERROR(IF(ventas_b_mes1[[#This Row],[CUIT]]="","-",VLOOKUP(ventas_b_mes1[[#This Row],[CUIT]],Lista_CUIT[#All],2,0)),"CUIT NO CARGADO")</f>
        <v>-</v>
      </c>
      <c r="H1624" s="64">
        <f>ventas_b_mes1[[#This Row],[TOTAL]]/1.21</f>
        <v>0</v>
      </c>
      <c r="I1624" s="183">
        <f>ventas_b_mes1[[#This Row],[IMPORTE NETO]]*0.21</f>
        <v>0</v>
      </c>
      <c r="J1624" s="184"/>
      <c r="K1624" s="184"/>
      <c r="L1624" s="184"/>
      <c r="M1624" s="59"/>
    </row>
    <row r="1625" spans="2:13" x14ac:dyDescent="0.3">
      <c r="B1625" s="178"/>
      <c r="C1625" s="179"/>
      <c r="D1625" s="180"/>
      <c r="E1625" s="181"/>
      <c r="F1625" s="182"/>
      <c r="G1625" s="1" t="str">
        <f>IFERROR(IF(ventas_b_mes1[[#This Row],[CUIT]]="","-",VLOOKUP(ventas_b_mes1[[#This Row],[CUIT]],Lista_CUIT[#All],2,0)),"CUIT NO CARGADO")</f>
        <v>-</v>
      </c>
      <c r="H1625" s="64">
        <f>ventas_b_mes1[[#This Row],[TOTAL]]/1.21</f>
        <v>0</v>
      </c>
      <c r="I1625" s="183">
        <f>ventas_b_mes1[[#This Row],[IMPORTE NETO]]*0.21</f>
        <v>0</v>
      </c>
      <c r="J1625" s="184"/>
      <c r="K1625" s="184"/>
      <c r="L1625" s="184"/>
      <c r="M1625" s="59"/>
    </row>
    <row r="1626" spans="2:13" x14ac:dyDescent="0.3">
      <c r="B1626" s="178"/>
      <c r="C1626" s="179"/>
      <c r="D1626" s="180"/>
      <c r="E1626" s="181"/>
      <c r="F1626" s="182"/>
      <c r="G1626" s="1" t="str">
        <f>IFERROR(IF(ventas_b_mes1[[#This Row],[CUIT]]="","-",VLOOKUP(ventas_b_mes1[[#This Row],[CUIT]],Lista_CUIT[#All],2,0)),"CUIT NO CARGADO")</f>
        <v>-</v>
      </c>
      <c r="H1626" s="64">
        <f>ventas_b_mes1[[#This Row],[TOTAL]]/1.21</f>
        <v>0</v>
      </c>
      <c r="I1626" s="183">
        <f>ventas_b_mes1[[#This Row],[IMPORTE NETO]]*0.21</f>
        <v>0</v>
      </c>
      <c r="J1626" s="184"/>
      <c r="K1626" s="184"/>
      <c r="L1626" s="184"/>
      <c r="M1626" s="59"/>
    </row>
    <row r="1627" spans="2:13" x14ac:dyDescent="0.3">
      <c r="B1627" s="178"/>
      <c r="C1627" s="179"/>
      <c r="D1627" s="180"/>
      <c r="E1627" s="181"/>
      <c r="F1627" s="182"/>
      <c r="G1627" s="1" t="str">
        <f>IFERROR(IF(ventas_b_mes1[[#This Row],[CUIT]]="","-",VLOOKUP(ventas_b_mes1[[#This Row],[CUIT]],Lista_CUIT[#All],2,0)),"CUIT NO CARGADO")</f>
        <v>-</v>
      </c>
      <c r="H1627" s="64">
        <f>ventas_b_mes1[[#This Row],[TOTAL]]/1.21</f>
        <v>0</v>
      </c>
      <c r="I1627" s="183">
        <f>ventas_b_mes1[[#This Row],[IMPORTE NETO]]*0.21</f>
        <v>0</v>
      </c>
      <c r="J1627" s="184"/>
      <c r="K1627" s="184"/>
      <c r="L1627" s="184"/>
      <c r="M1627" s="59"/>
    </row>
    <row r="1628" spans="2:13" x14ac:dyDescent="0.3">
      <c r="B1628" s="178"/>
      <c r="C1628" s="179"/>
      <c r="D1628" s="180"/>
      <c r="E1628" s="181"/>
      <c r="F1628" s="182"/>
      <c r="G1628" s="1" t="str">
        <f>IFERROR(IF(ventas_b_mes1[[#This Row],[CUIT]]="","-",VLOOKUP(ventas_b_mes1[[#This Row],[CUIT]],Lista_CUIT[#All],2,0)),"CUIT NO CARGADO")</f>
        <v>-</v>
      </c>
      <c r="H1628" s="64">
        <f>ventas_b_mes1[[#This Row],[TOTAL]]/1.21</f>
        <v>0</v>
      </c>
      <c r="I1628" s="183">
        <f>ventas_b_mes1[[#This Row],[IMPORTE NETO]]*0.21</f>
        <v>0</v>
      </c>
      <c r="J1628" s="184"/>
      <c r="K1628" s="184"/>
      <c r="L1628" s="184"/>
      <c r="M1628" s="59"/>
    </row>
    <row r="1629" spans="2:13" x14ac:dyDescent="0.3">
      <c r="B1629" s="178"/>
      <c r="C1629" s="179"/>
      <c r="D1629" s="180"/>
      <c r="E1629" s="181"/>
      <c r="F1629" s="182"/>
      <c r="G1629" s="1" t="str">
        <f>IFERROR(IF(ventas_b_mes1[[#This Row],[CUIT]]="","-",VLOOKUP(ventas_b_mes1[[#This Row],[CUIT]],Lista_CUIT[#All],2,0)),"CUIT NO CARGADO")</f>
        <v>-</v>
      </c>
      <c r="H1629" s="64">
        <f>ventas_b_mes1[[#This Row],[TOTAL]]/1.21</f>
        <v>0</v>
      </c>
      <c r="I1629" s="183">
        <f>ventas_b_mes1[[#This Row],[IMPORTE NETO]]*0.21</f>
        <v>0</v>
      </c>
      <c r="J1629" s="184"/>
      <c r="K1629" s="184"/>
      <c r="L1629" s="184"/>
      <c r="M1629" s="59"/>
    </row>
    <row r="1630" spans="2:13" x14ac:dyDescent="0.3">
      <c r="B1630" s="178"/>
      <c r="C1630" s="179"/>
      <c r="D1630" s="180"/>
      <c r="E1630" s="181"/>
      <c r="F1630" s="182"/>
      <c r="G1630" s="1" t="str">
        <f>IFERROR(IF(ventas_b_mes1[[#This Row],[CUIT]]="","-",VLOOKUP(ventas_b_mes1[[#This Row],[CUIT]],Lista_CUIT[#All],2,0)),"CUIT NO CARGADO")</f>
        <v>-</v>
      </c>
      <c r="H1630" s="64">
        <f>ventas_b_mes1[[#This Row],[TOTAL]]/1.21</f>
        <v>0</v>
      </c>
      <c r="I1630" s="183">
        <f>ventas_b_mes1[[#This Row],[IMPORTE NETO]]*0.21</f>
        <v>0</v>
      </c>
      <c r="J1630" s="184"/>
      <c r="K1630" s="184"/>
      <c r="L1630" s="184"/>
      <c r="M1630" s="59"/>
    </row>
    <row r="1631" spans="2:13" x14ac:dyDescent="0.3">
      <c r="B1631" s="178"/>
      <c r="C1631" s="179"/>
      <c r="D1631" s="180"/>
      <c r="E1631" s="181"/>
      <c r="F1631" s="182"/>
      <c r="G1631" s="1" t="str">
        <f>IFERROR(IF(ventas_b_mes1[[#This Row],[CUIT]]="","-",VLOOKUP(ventas_b_mes1[[#This Row],[CUIT]],Lista_CUIT[#All],2,0)),"CUIT NO CARGADO")</f>
        <v>-</v>
      </c>
      <c r="H1631" s="64">
        <f>ventas_b_mes1[[#This Row],[TOTAL]]/1.21</f>
        <v>0</v>
      </c>
      <c r="I1631" s="183">
        <f>ventas_b_mes1[[#This Row],[IMPORTE NETO]]*0.21</f>
        <v>0</v>
      </c>
      <c r="J1631" s="184"/>
      <c r="K1631" s="184"/>
      <c r="L1631" s="184"/>
      <c r="M1631" s="59"/>
    </row>
    <row r="1632" spans="2:13" x14ac:dyDescent="0.3">
      <c r="B1632" s="178"/>
      <c r="C1632" s="179"/>
      <c r="D1632" s="180"/>
      <c r="E1632" s="181"/>
      <c r="F1632" s="182"/>
      <c r="G1632" s="1" t="str">
        <f>IFERROR(IF(ventas_b_mes1[[#This Row],[CUIT]]="","-",VLOOKUP(ventas_b_mes1[[#This Row],[CUIT]],Lista_CUIT[#All],2,0)),"CUIT NO CARGADO")</f>
        <v>-</v>
      </c>
      <c r="H1632" s="64">
        <f>ventas_b_mes1[[#This Row],[TOTAL]]/1.21</f>
        <v>0</v>
      </c>
      <c r="I1632" s="183">
        <f>ventas_b_mes1[[#This Row],[IMPORTE NETO]]*0.21</f>
        <v>0</v>
      </c>
      <c r="J1632" s="184"/>
      <c r="K1632" s="184"/>
      <c r="L1632" s="184"/>
      <c r="M1632" s="59"/>
    </row>
    <row r="1633" spans="2:13" x14ac:dyDescent="0.3">
      <c r="B1633" s="178"/>
      <c r="C1633" s="179"/>
      <c r="D1633" s="180"/>
      <c r="E1633" s="181"/>
      <c r="F1633" s="182"/>
      <c r="G1633" s="1" t="str">
        <f>IFERROR(IF(ventas_b_mes1[[#This Row],[CUIT]]="","-",VLOOKUP(ventas_b_mes1[[#This Row],[CUIT]],Lista_CUIT[#All],2,0)),"CUIT NO CARGADO")</f>
        <v>-</v>
      </c>
      <c r="H1633" s="64">
        <f>ventas_b_mes1[[#This Row],[TOTAL]]/1.21</f>
        <v>0</v>
      </c>
      <c r="I1633" s="183">
        <f>ventas_b_mes1[[#This Row],[IMPORTE NETO]]*0.21</f>
        <v>0</v>
      </c>
      <c r="J1633" s="184"/>
      <c r="K1633" s="184"/>
      <c r="L1633" s="184"/>
      <c r="M1633" s="59"/>
    </row>
    <row r="1634" spans="2:13" x14ac:dyDescent="0.3">
      <c r="B1634" s="178"/>
      <c r="C1634" s="179"/>
      <c r="D1634" s="180"/>
      <c r="E1634" s="181"/>
      <c r="F1634" s="182"/>
      <c r="G1634" s="1" t="str">
        <f>IFERROR(IF(ventas_b_mes1[[#This Row],[CUIT]]="","-",VLOOKUP(ventas_b_mes1[[#This Row],[CUIT]],Lista_CUIT[#All],2,0)),"CUIT NO CARGADO")</f>
        <v>-</v>
      </c>
      <c r="H1634" s="64">
        <f>ventas_b_mes1[[#This Row],[TOTAL]]/1.21</f>
        <v>0</v>
      </c>
      <c r="I1634" s="183">
        <f>ventas_b_mes1[[#This Row],[IMPORTE NETO]]*0.21</f>
        <v>0</v>
      </c>
      <c r="J1634" s="184"/>
      <c r="K1634" s="184"/>
      <c r="L1634" s="184"/>
      <c r="M1634" s="59"/>
    </row>
    <row r="1635" spans="2:13" x14ac:dyDescent="0.3">
      <c r="B1635" s="178"/>
      <c r="C1635" s="179"/>
      <c r="D1635" s="180"/>
      <c r="E1635" s="181"/>
      <c r="F1635" s="182"/>
      <c r="G1635" s="1" t="str">
        <f>IFERROR(IF(ventas_b_mes1[[#This Row],[CUIT]]="","-",VLOOKUP(ventas_b_mes1[[#This Row],[CUIT]],Lista_CUIT[#All],2,0)),"CUIT NO CARGADO")</f>
        <v>-</v>
      </c>
      <c r="H1635" s="64">
        <f>ventas_b_mes1[[#This Row],[TOTAL]]/1.21</f>
        <v>0</v>
      </c>
      <c r="I1635" s="183">
        <f>ventas_b_mes1[[#This Row],[IMPORTE NETO]]*0.21</f>
        <v>0</v>
      </c>
      <c r="J1635" s="184"/>
      <c r="K1635" s="184"/>
      <c r="L1635" s="184"/>
      <c r="M1635" s="59"/>
    </row>
    <row r="1636" spans="2:13" x14ac:dyDescent="0.3">
      <c r="B1636" s="178"/>
      <c r="C1636" s="179"/>
      <c r="D1636" s="180"/>
      <c r="E1636" s="181"/>
      <c r="F1636" s="182"/>
      <c r="G1636" s="1" t="str">
        <f>IFERROR(IF(ventas_b_mes1[[#This Row],[CUIT]]="","-",VLOOKUP(ventas_b_mes1[[#This Row],[CUIT]],Lista_CUIT[#All],2,0)),"CUIT NO CARGADO")</f>
        <v>-</v>
      </c>
      <c r="H1636" s="64">
        <f>ventas_b_mes1[[#This Row],[TOTAL]]/1.21</f>
        <v>0</v>
      </c>
      <c r="I1636" s="183">
        <f>ventas_b_mes1[[#This Row],[IMPORTE NETO]]*0.21</f>
        <v>0</v>
      </c>
      <c r="J1636" s="184"/>
      <c r="K1636" s="184"/>
      <c r="L1636" s="184"/>
      <c r="M1636" s="59"/>
    </row>
    <row r="1637" spans="2:13" x14ac:dyDescent="0.3">
      <c r="B1637" s="178"/>
      <c r="C1637" s="179"/>
      <c r="D1637" s="180"/>
      <c r="E1637" s="181"/>
      <c r="F1637" s="182"/>
      <c r="G1637" s="1" t="str">
        <f>IFERROR(IF(ventas_b_mes1[[#This Row],[CUIT]]="","-",VLOOKUP(ventas_b_mes1[[#This Row],[CUIT]],Lista_CUIT[#All],2,0)),"CUIT NO CARGADO")</f>
        <v>-</v>
      </c>
      <c r="H1637" s="64">
        <f>ventas_b_mes1[[#This Row],[TOTAL]]/1.21</f>
        <v>0</v>
      </c>
      <c r="I1637" s="183">
        <f>ventas_b_mes1[[#This Row],[IMPORTE NETO]]*0.21</f>
        <v>0</v>
      </c>
      <c r="J1637" s="184"/>
      <c r="K1637" s="184"/>
      <c r="L1637" s="184"/>
      <c r="M1637" s="59"/>
    </row>
    <row r="1638" spans="2:13" x14ac:dyDescent="0.3">
      <c r="B1638" s="178"/>
      <c r="C1638" s="179"/>
      <c r="D1638" s="180"/>
      <c r="E1638" s="181"/>
      <c r="F1638" s="182"/>
      <c r="G1638" s="1" t="str">
        <f>IFERROR(IF(ventas_b_mes1[[#This Row],[CUIT]]="","-",VLOOKUP(ventas_b_mes1[[#This Row],[CUIT]],Lista_CUIT[#All],2,0)),"CUIT NO CARGADO")</f>
        <v>-</v>
      </c>
      <c r="H1638" s="64">
        <f>ventas_b_mes1[[#This Row],[TOTAL]]/1.21</f>
        <v>0</v>
      </c>
      <c r="I1638" s="183">
        <f>ventas_b_mes1[[#This Row],[IMPORTE NETO]]*0.21</f>
        <v>0</v>
      </c>
      <c r="J1638" s="184"/>
      <c r="K1638" s="184"/>
      <c r="L1638" s="184"/>
      <c r="M1638" s="59"/>
    </row>
    <row r="1639" spans="2:13" x14ac:dyDescent="0.3">
      <c r="B1639" s="178"/>
      <c r="C1639" s="179"/>
      <c r="D1639" s="180"/>
      <c r="E1639" s="181"/>
      <c r="F1639" s="182"/>
      <c r="G1639" s="1" t="str">
        <f>IFERROR(IF(ventas_b_mes1[[#This Row],[CUIT]]="","-",VLOOKUP(ventas_b_mes1[[#This Row],[CUIT]],Lista_CUIT[#All],2,0)),"CUIT NO CARGADO")</f>
        <v>-</v>
      </c>
      <c r="H1639" s="64">
        <f>ventas_b_mes1[[#This Row],[TOTAL]]/1.21</f>
        <v>0</v>
      </c>
      <c r="I1639" s="183">
        <f>ventas_b_mes1[[#This Row],[IMPORTE NETO]]*0.21</f>
        <v>0</v>
      </c>
      <c r="J1639" s="184"/>
      <c r="K1639" s="184"/>
      <c r="L1639" s="184"/>
      <c r="M1639" s="59"/>
    </row>
    <row r="1640" spans="2:13" x14ac:dyDescent="0.3">
      <c r="B1640" s="178"/>
      <c r="C1640" s="179"/>
      <c r="D1640" s="180"/>
      <c r="E1640" s="181"/>
      <c r="F1640" s="182"/>
      <c r="G1640" s="1" t="str">
        <f>IFERROR(IF(ventas_b_mes1[[#This Row],[CUIT]]="","-",VLOOKUP(ventas_b_mes1[[#This Row],[CUIT]],Lista_CUIT[#All],2,0)),"CUIT NO CARGADO")</f>
        <v>-</v>
      </c>
      <c r="H1640" s="64">
        <f>ventas_b_mes1[[#This Row],[TOTAL]]/1.21</f>
        <v>0</v>
      </c>
      <c r="I1640" s="183">
        <f>ventas_b_mes1[[#This Row],[IMPORTE NETO]]*0.21</f>
        <v>0</v>
      </c>
      <c r="J1640" s="184"/>
      <c r="K1640" s="184"/>
      <c r="L1640" s="184"/>
      <c r="M1640" s="59"/>
    </row>
    <row r="1641" spans="2:13" x14ac:dyDescent="0.3">
      <c r="B1641" s="178"/>
      <c r="C1641" s="179"/>
      <c r="D1641" s="180"/>
      <c r="E1641" s="181"/>
      <c r="F1641" s="182"/>
      <c r="G1641" s="1" t="str">
        <f>IFERROR(IF(ventas_b_mes1[[#This Row],[CUIT]]="","-",VLOOKUP(ventas_b_mes1[[#This Row],[CUIT]],Lista_CUIT[#All],2,0)),"CUIT NO CARGADO")</f>
        <v>-</v>
      </c>
      <c r="H1641" s="64">
        <f>ventas_b_mes1[[#This Row],[TOTAL]]/1.21</f>
        <v>0</v>
      </c>
      <c r="I1641" s="183">
        <f>ventas_b_mes1[[#This Row],[IMPORTE NETO]]*0.21</f>
        <v>0</v>
      </c>
      <c r="J1641" s="184"/>
      <c r="K1641" s="184"/>
      <c r="L1641" s="184"/>
      <c r="M1641" s="59"/>
    </row>
    <row r="1642" spans="2:13" x14ac:dyDescent="0.3">
      <c r="B1642" s="178"/>
      <c r="C1642" s="179"/>
      <c r="D1642" s="180"/>
      <c r="E1642" s="181"/>
      <c r="F1642" s="182"/>
      <c r="G1642" s="1" t="str">
        <f>IFERROR(IF(ventas_b_mes1[[#This Row],[CUIT]]="","-",VLOOKUP(ventas_b_mes1[[#This Row],[CUIT]],Lista_CUIT[#All],2,0)),"CUIT NO CARGADO")</f>
        <v>-</v>
      </c>
      <c r="H1642" s="64">
        <f>ventas_b_mes1[[#This Row],[TOTAL]]/1.21</f>
        <v>0</v>
      </c>
      <c r="I1642" s="183">
        <f>ventas_b_mes1[[#This Row],[IMPORTE NETO]]*0.21</f>
        <v>0</v>
      </c>
      <c r="J1642" s="184"/>
      <c r="K1642" s="184"/>
      <c r="L1642" s="184"/>
      <c r="M1642" s="59"/>
    </row>
    <row r="1643" spans="2:13" x14ac:dyDescent="0.3">
      <c r="B1643" s="178"/>
      <c r="C1643" s="179"/>
      <c r="D1643" s="180"/>
      <c r="E1643" s="181"/>
      <c r="F1643" s="182"/>
      <c r="G1643" s="1" t="str">
        <f>IFERROR(IF(ventas_b_mes1[[#This Row],[CUIT]]="","-",VLOOKUP(ventas_b_mes1[[#This Row],[CUIT]],Lista_CUIT[#All],2,0)),"CUIT NO CARGADO")</f>
        <v>-</v>
      </c>
      <c r="H1643" s="64">
        <f>ventas_b_mes1[[#This Row],[TOTAL]]/1.21</f>
        <v>0</v>
      </c>
      <c r="I1643" s="183">
        <f>ventas_b_mes1[[#This Row],[IMPORTE NETO]]*0.21</f>
        <v>0</v>
      </c>
      <c r="J1643" s="184"/>
      <c r="K1643" s="184"/>
      <c r="L1643" s="184"/>
      <c r="M1643" s="59"/>
    </row>
    <row r="1644" spans="2:13" x14ac:dyDescent="0.3">
      <c r="B1644" s="178"/>
      <c r="C1644" s="179"/>
      <c r="D1644" s="180"/>
      <c r="E1644" s="181"/>
      <c r="F1644" s="182"/>
      <c r="G1644" s="1" t="str">
        <f>IFERROR(IF(ventas_b_mes1[[#This Row],[CUIT]]="","-",VLOOKUP(ventas_b_mes1[[#This Row],[CUIT]],Lista_CUIT[#All],2,0)),"CUIT NO CARGADO")</f>
        <v>-</v>
      </c>
      <c r="H1644" s="64">
        <f>ventas_b_mes1[[#This Row],[TOTAL]]/1.21</f>
        <v>0</v>
      </c>
      <c r="I1644" s="183">
        <f>ventas_b_mes1[[#This Row],[IMPORTE NETO]]*0.21</f>
        <v>0</v>
      </c>
      <c r="J1644" s="184"/>
      <c r="K1644" s="184"/>
      <c r="L1644" s="184"/>
      <c r="M1644" s="59"/>
    </row>
    <row r="1645" spans="2:13" x14ac:dyDescent="0.3">
      <c r="B1645" s="178"/>
      <c r="C1645" s="179"/>
      <c r="D1645" s="180"/>
      <c r="E1645" s="181"/>
      <c r="F1645" s="182"/>
      <c r="G1645" s="1" t="str">
        <f>IFERROR(IF(ventas_b_mes1[[#This Row],[CUIT]]="","-",VLOOKUP(ventas_b_mes1[[#This Row],[CUIT]],Lista_CUIT[#All],2,0)),"CUIT NO CARGADO")</f>
        <v>-</v>
      </c>
      <c r="H1645" s="64">
        <f>ventas_b_mes1[[#This Row],[TOTAL]]/1.21</f>
        <v>0</v>
      </c>
      <c r="I1645" s="183">
        <f>ventas_b_mes1[[#This Row],[IMPORTE NETO]]*0.21</f>
        <v>0</v>
      </c>
      <c r="J1645" s="184"/>
      <c r="K1645" s="184"/>
      <c r="L1645" s="184"/>
      <c r="M1645" s="59"/>
    </row>
    <row r="1646" spans="2:13" x14ac:dyDescent="0.3">
      <c r="B1646" s="178"/>
      <c r="C1646" s="179"/>
      <c r="D1646" s="180"/>
      <c r="E1646" s="181"/>
      <c r="F1646" s="182"/>
      <c r="G1646" s="1" t="str">
        <f>IFERROR(IF(ventas_b_mes1[[#This Row],[CUIT]]="","-",VLOOKUP(ventas_b_mes1[[#This Row],[CUIT]],Lista_CUIT[#All],2,0)),"CUIT NO CARGADO")</f>
        <v>-</v>
      </c>
      <c r="H1646" s="64">
        <f>ventas_b_mes1[[#This Row],[TOTAL]]/1.21</f>
        <v>0</v>
      </c>
      <c r="I1646" s="183">
        <f>ventas_b_mes1[[#This Row],[IMPORTE NETO]]*0.21</f>
        <v>0</v>
      </c>
      <c r="J1646" s="184"/>
      <c r="K1646" s="184"/>
      <c r="L1646" s="184"/>
      <c r="M1646" s="59"/>
    </row>
    <row r="1647" spans="2:13" x14ac:dyDescent="0.3">
      <c r="B1647" s="178"/>
      <c r="C1647" s="179"/>
      <c r="D1647" s="180"/>
      <c r="E1647" s="181"/>
      <c r="F1647" s="182"/>
      <c r="G1647" s="1" t="str">
        <f>IFERROR(IF(ventas_b_mes1[[#This Row],[CUIT]]="","-",VLOOKUP(ventas_b_mes1[[#This Row],[CUIT]],Lista_CUIT[#All],2,0)),"CUIT NO CARGADO")</f>
        <v>-</v>
      </c>
      <c r="H1647" s="64">
        <f>ventas_b_mes1[[#This Row],[TOTAL]]/1.21</f>
        <v>0</v>
      </c>
      <c r="I1647" s="183">
        <f>ventas_b_mes1[[#This Row],[IMPORTE NETO]]*0.21</f>
        <v>0</v>
      </c>
      <c r="J1647" s="184"/>
      <c r="K1647" s="184"/>
      <c r="L1647" s="184"/>
      <c r="M1647" s="59"/>
    </row>
    <row r="1648" spans="2:13" x14ac:dyDescent="0.3">
      <c r="B1648" s="178"/>
      <c r="C1648" s="179"/>
      <c r="D1648" s="180"/>
      <c r="E1648" s="181"/>
      <c r="F1648" s="182"/>
      <c r="G1648" s="1" t="str">
        <f>IFERROR(IF(ventas_b_mes1[[#This Row],[CUIT]]="","-",VLOOKUP(ventas_b_mes1[[#This Row],[CUIT]],Lista_CUIT[#All],2,0)),"CUIT NO CARGADO")</f>
        <v>-</v>
      </c>
      <c r="H1648" s="64">
        <f>ventas_b_mes1[[#This Row],[TOTAL]]/1.21</f>
        <v>0</v>
      </c>
      <c r="I1648" s="183">
        <f>ventas_b_mes1[[#This Row],[IMPORTE NETO]]*0.21</f>
        <v>0</v>
      </c>
      <c r="J1648" s="184"/>
      <c r="K1648" s="184"/>
      <c r="L1648" s="184"/>
      <c r="M1648" s="59"/>
    </row>
    <row r="1649" spans="2:13" x14ac:dyDescent="0.3">
      <c r="B1649" s="178"/>
      <c r="C1649" s="179"/>
      <c r="D1649" s="180"/>
      <c r="E1649" s="181"/>
      <c r="F1649" s="182"/>
      <c r="G1649" s="1" t="str">
        <f>IFERROR(IF(ventas_b_mes1[[#This Row],[CUIT]]="","-",VLOOKUP(ventas_b_mes1[[#This Row],[CUIT]],Lista_CUIT[#All],2,0)),"CUIT NO CARGADO")</f>
        <v>-</v>
      </c>
      <c r="H1649" s="64">
        <f>ventas_b_mes1[[#This Row],[TOTAL]]/1.21</f>
        <v>0</v>
      </c>
      <c r="I1649" s="183">
        <f>ventas_b_mes1[[#This Row],[IMPORTE NETO]]*0.21</f>
        <v>0</v>
      </c>
      <c r="J1649" s="184"/>
      <c r="K1649" s="184"/>
      <c r="L1649" s="184"/>
      <c r="M1649" s="59"/>
    </row>
    <row r="1650" spans="2:13" x14ac:dyDescent="0.3">
      <c r="B1650" s="178"/>
      <c r="C1650" s="179"/>
      <c r="D1650" s="180"/>
      <c r="E1650" s="181"/>
      <c r="F1650" s="182"/>
      <c r="G1650" s="1" t="str">
        <f>IFERROR(IF(ventas_b_mes1[[#This Row],[CUIT]]="","-",VLOOKUP(ventas_b_mes1[[#This Row],[CUIT]],Lista_CUIT[#All],2,0)),"CUIT NO CARGADO")</f>
        <v>-</v>
      </c>
      <c r="H1650" s="64">
        <f>ventas_b_mes1[[#This Row],[TOTAL]]/1.21</f>
        <v>0</v>
      </c>
      <c r="I1650" s="183">
        <f>ventas_b_mes1[[#This Row],[IMPORTE NETO]]*0.21</f>
        <v>0</v>
      </c>
      <c r="J1650" s="184"/>
      <c r="K1650" s="184"/>
      <c r="L1650" s="184"/>
      <c r="M1650" s="59"/>
    </row>
    <row r="1651" spans="2:13" x14ac:dyDescent="0.3">
      <c r="B1651" s="178"/>
      <c r="C1651" s="179"/>
      <c r="D1651" s="180"/>
      <c r="E1651" s="181"/>
      <c r="F1651" s="182"/>
      <c r="G1651" s="1" t="str">
        <f>IFERROR(IF(ventas_b_mes1[[#This Row],[CUIT]]="","-",VLOOKUP(ventas_b_mes1[[#This Row],[CUIT]],Lista_CUIT[#All],2,0)),"CUIT NO CARGADO")</f>
        <v>-</v>
      </c>
      <c r="H1651" s="64">
        <f>ventas_b_mes1[[#This Row],[TOTAL]]/1.21</f>
        <v>0</v>
      </c>
      <c r="I1651" s="183">
        <f>ventas_b_mes1[[#This Row],[IMPORTE NETO]]*0.21</f>
        <v>0</v>
      </c>
      <c r="J1651" s="184"/>
      <c r="K1651" s="184"/>
      <c r="L1651" s="184"/>
      <c r="M1651" s="59"/>
    </row>
    <row r="1652" spans="2:13" x14ac:dyDescent="0.3">
      <c r="B1652" s="178"/>
      <c r="C1652" s="179"/>
      <c r="D1652" s="180"/>
      <c r="E1652" s="181"/>
      <c r="F1652" s="182"/>
      <c r="G1652" s="1" t="str">
        <f>IFERROR(IF(ventas_b_mes1[[#This Row],[CUIT]]="","-",VLOOKUP(ventas_b_mes1[[#This Row],[CUIT]],Lista_CUIT[#All],2,0)),"CUIT NO CARGADO")</f>
        <v>-</v>
      </c>
      <c r="H1652" s="64">
        <f>ventas_b_mes1[[#This Row],[TOTAL]]/1.21</f>
        <v>0</v>
      </c>
      <c r="I1652" s="183">
        <f>ventas_b_mes1[[#This Row],[IMPORTE NETO]]*0.21</f>
        <v>0</v>
      </c>
      <c r="J1652" s="184"/>
      <c r="K1652" s="184"/>
      <c r="L1652" s="184"/>
      <c r="M1652" s="59"/>
    </row>
    <row r="1653" spans="2:13" x14ac:dyDescent="0.3">
      <c r="B1653" s="178"/>
      <c r="C1653" s="179"/>
      <c r="D1653" s="180"/>
      <c r="E1653" s="181"/>
      <c r="F1653" s="182"/>
      <c r="G1653" s="1" t="str">
        <f>IFERROR(IF(ventas_b_mes1[[#This Row],[CUIT]]="","-",VLOOKUP(ventas_b_mes1[[#This Row],[CUIT]],Lista_CUIT[#All],2,0)),"CUIT NO CARGADO")</f>
        <v>-</v>
      </c>
      <c r="H1653" s="64">
        <f>ventas_b_mes1[[#This Row],[TOTAL]]/1.21</f>
        <v>0</v>
      </c>
      <c r="I1653" s="183">
        <f>ventas_b_mes1[[#This Row],[IMPORTE NETO]]*0.21</f>
        <v>0</v>
      </c>
      <c r="J1653" s="184"/>
      <c r="K1653" s="184"/>
      <c r="L1653" s="184"/>
      <c r="M1653" s="59"/>
    </row>
    <row r="1654" spans="2:13" x14ac:dyDescent="0.3">
      <c r="B1654" s="178"/>
      <c r="C1654" s="179"/>
      <c r="D1654" s="180"/>
      <c r="E1654" s="181"/>
      <c r="F1654" s="182"/>
      <c r="G1654" s="1" t="str">
        <f>IFERROR(IF(ventas_b_mes1[[#This Row],[CUIT]]="","-",VLOOKUP(ventas_b_mes1[[#This Row],[CUIT]],Lista_CUIT[#All],2,0)),"CUIT NO CARGADO")</f>
        <v>-</v>
      </c>
      <c r="H1654" s="64">
        <f>ventas_b_mes1[[#This Row],[TOTAL]]/1.21</f>
        <v>0</v>
      </c>
      <c r="I1654" s="183">
        <f>ventas_b_mes1[[#This Row],[IMPORTE NETO]]*0.21</f>
        <v>0</v>
      </c>
      <c r="J1654" s="184"/>
      <c r="K1654" s="184"/>
      <c r="L1654" s="184"/>
      <c r="M1654" s="59"/>
    </row>
    <row r="1655" spans="2:13" x14ac:dyDescent="0.3">
      <c r="B1655" s="178"/>
      <c r="C1655" s="179"/>
      <c r="D1655" s="180"/>
      <c r="E1655" s="181"/>
      <c r="F1655" s="182"/>
      <c r="G1655" s="1" t="str">
        <f>IFERROR(IF(ventas_b_mes1[[#This Row],[CUIT]]="","-",VLOOKUP(ventas_b_mes1[[#This Row],[CUIT]],Lista_CUIT[#All],2,0)),"CUIT NO CARGADO")</f>
        <v>-</v>
      </c>
      <c r="H1655" s="64">
        <f>ventas_b_mes1[[#This Row],[TOTAL]]/1.21</f>
        <v>0</v>
      </c>
      <c r="I1655" s="183">
        <f>ventas_b_mes1[[#This Row],[IMPORTE NETO]]*0.21</f>
        <v>0</v>
      </c>
      <c r="J1655" s="184"/>
      <c r="K1655" s="184"/>
      <c r="L1655" s="184"/>
      <c r="M1655" s="59"/>
    </row>
    <row r="1656" spans="2:13" x14ac:dyDescent="0.3">
      <c r="B1656" s="178"/>
      <c r="C1656" s="179"/>
      <c r="D1656" s="180"/>
      <c r="E1656" s="181"/>
      <c r="F1656" s="182"/>
      <c r="G1656" s="1" t="str">
        <f>IFERROR(IF(ventas_b_mes1[[#This Row],[CUIT]]="","-",VLOOKUP(ventas_b_mes1[[#This Row],[CUIT]],Lista_CUIT[#All],2,0)),"CUIT NO CARGADO")</f>
        <v>-</v>
      </c>
      <c r="H1656" s="64">
        <f>ventas_b_mes1[[#This Row],[TOTAL]]/1.21</f>
        <v>0</v>
      </c>
      <c r="I1656" s="183">
        <f>ventas_b_mes1[[#This Row],[IMPORTE NETO]]*0.21</f>
        <v>0</v>
      </c>
      <c r="J1656" s="184"/>
      <c r="K1656" s="184"/>
      <c r="L1656" s="184"/>
      <c r="M1656" s="59"/>
    </row>
    <row r="1657" spans="2:13" x14ac:dyDescent="0.3">
      <c r="B1657" s="178"/>
      <c r="C1657" s="179"/>
      <c r="D1657" s="180"/>
      <c r="E1657" s="181"/>
      <c r="F1657" s="182"/>
      <c r="G1657" s="1" t="str">
        <f>IFERROR(IF(ventas_b_mes1[[#This Row],[CUIT]]="","-",VLOOKUP(ventas_b_mes1[[#This Row],[CUIT]],Lista_CUIT[#All],2,0)),"CUIT NO CARGADO")</f>
        <v>-</v>
      </c>
      <c r="H1657" s="64">
        <f>ventas_b_mes1[[#This Row],[TOTAL]]/1.21</f>
        <v>0</v>
      </c>
      <c r="I1657" s="183">
        <f>ventas_b_mes1[[#This Row],[IMPORTE NETO]]*0.21</f>
        <v>0</v>
      </c>
      <c r="J1657" s="184"/>
      <c r="K1657" s="184"/>
      <c r="L1657" s="184"/>
      <c r="M1657" s="59"/>
    </row>
    <row r="1658" spans="2:13" x14ac:dyDescent="0.3">
      <c r="B1658" s="178"/>
      <c r="C1658" s="179"/>
      <c r="D1658" s="180"/>
      <c r="E1658" s="181"/>
      <c r="F1658" s="182"/>
      <c r="G1658" s="1" t="str">
        <f>IFERROR(IF(ventas_b_mes1[[#This Row],[CUIT]]="","-",VLOOKUP(ventas_b_mes1[[#This Row],[CUIT]],Lista_CUIT[#All],2,0)),"CUIT NO CARGADO")</f>
        <v>-</v>
      </c>
      <c r="H1658" s="64">
        <f>ventas_b_mes1[[#This Row],[TOTAL]]/1.21</f>
        <v>0</v>
      </c>
      <c r="I1658" s="183">
        <f>ventas_b_mes1[[#This Row],[IMPORTE NETO]]*0.21</f>
        <v>0</v>
      </c>
      <c r="J1658" s="184"/>
      <c r="K1658" s="184"/>
      <c r="L1658" s="184"/>
      <c r="M1658" s="59"/>
    </row>
    <row r="1659" spans="2:13" x14ac:dyDescent="0.3">
      <c r="B1659" s="178"/>
      <c r="C1659" s="179"/>
      <c r="D1659" s="180"/>
      <c r="E1659" s="181"/>
      <c r="F1659" s="182"/>
      <c r="G1659" s="1" t="str">
        <f>IFERROR(IF(ventas_b_mes1[[#This Row],[CUIT]]="","-",VLOOKUP(ventas_b_mes1[[#This Row],[CUIT]],Lista_CUIT[#All],2,0)),"CUIT NO CARGADO")</f>
        <v>-</v>
      </c>
      <c r="H1659" s="64">
        <f>ventas_b_mes1[[#This Row],[TOTAL]]/1.21</f>
        <v>0</v>
      </c>
      <c r="I1659" s="183">
        <f>ventas_b_mes1[[#This Row],[IMPORTE NETO]]*0.21</f>
        <v>0</v>
      </c>
      <c r="J1659" s="184"/>
      <c r="K1659" s="184"/>
      <c r="L1659" s="184"/>
      <c r="M1659" s="59"/>
    </row>
    <row r="1660" spans="2:13" x14ac:dyDescent="0.3">
      <c r="B1660" s="178"/>
      <c r="C1660" s="179"/>
      <c r="D1660" s="180"/>
      <c r="E1660" s="181"/>
      <c r="F1660" s="182"/>
      <c r="G1660" s="1" t="str">
        <f>IFERROR(IF(ventas_b_mes1[[#This Row],[CUIT]]="","-",VLOOKUP(ventas_b_mes1[[#This Row],[CUIT]],Lista_CUIT[#All],2,0)),"CUIT NO CARGADO")</f>
        <v>-</v>
      </c>
      <c r="H1660" s="64">
        <f>ventas_b_mes1[[#This Row],[TOTAL]]/1.21</f>
        <v>0</v>
      </c>
      <c r="I1660" s="183">
        <f>ventas_b_mes1[[#This Row],[IMPORTE NETO]]*0.21</f>
        <v>0</v>
      </c>
      <c r="J1660" s="184"/>
      <c r="K1660" s="184"/>
      <c r="L1660" s="184"/>
      <c r="M1660" s="59"/>
    </row>
    <row r="1661" spans="2:13" x14ac:dyDescent="0.3">
      <c r="B1661" s="178"/>
      <c r="C1661" s="179"/>
      <c r="D1661" s="180"/>
      <c r="E1661" s="181"/>
      <c r="F1661" s="182"/>
      <c r="G1661" s="1" t="str">
        <f>IFERROR(IF(ventas_b_mes1[[#This Row],[CUIT]]="","-",VLOOKUP(ventas_b_mes1[[#This Row],[CUIT]],Lista_CUIT[#All],2,0)),"CUIT NO CARGADO")</f>
        <v>-</v>
      </c>
      <c r="H1661" s="64">
        <f>ventas_b_mes1[[#This Row],[TOTAL]]/1.21</f>
        <v>0</v>
      </c>
      <c r="I1661" s="183">
        <f>ventas_b_mes1[[#This Row],[IMPORTE NETO]]*0.21</f>
        <v>0</v>
      </c>
      <c r="J1661" s="184"/>
      <c r="K1661" s="184"/>
      <c r="L1661" s="184"/>
      <c r="M1661" s="59"/>
    </row>
    <row r="1662" spans="2:13" x14ac:dyDescent="0.3">
      <c r="B1662" s="178"/>
      <c r="C1662" s="179"/>
      <c r="D1662" s="180"/>
      <c r="E1662" s="181"/>
      <c r="F1662" s="182"/>
      <c r="G1662" s="1" t="str">
        <f>IFERROR(IF(ventas_b_mes1[[#This Row],[CUIT]]="","-",VLOOKUP(ventas_b_mes1[[#This Row],[CUIT]],Lista_CUIT[#All],2,0)),"CUIT NO CARGADO")</f>
        <v>-</v>
      </c>
      <c r="H1662" s="64">
        <f>ventas_b_mes1[[#This Row],[TOTAL]]/1.21</f>
        <v>0</v>
      </c>
      <c r="I1662" s="183">
        <f>ventas_b_mes1[[#This Row],[IMPORTE NETO]]*0.21</f>
        <v>0</v>
      </c>
      <c r="J1662" s="184"/>
      <c r="K1662" s="184"/>
      <c r="L1662" s="184"/>
      <c r="M1662" s="59"/>
    </row>
    <row r="1663" spans="2:13" x14ac:dyDescent="0.3">
      <c r="B1663" s="178"/>
      <c r="C1663" s="179"/>
      <c r="D1663" s="180"/>
      <c r="E1663" s="181"/>
      <c r="F1663" s="182"/>
      <c r="G1663" s="1" t="str">
        <f>IFERROR(IF(ventas_b_mes1[[#This Row],[CUIT]]="","-",VLOOKUP(ventas_b_mes1[[#This Row],[CUIT]],Lista_CUIT[#All],2,0)),"CUIT NO CARGADO")</f>
        <v>-</v>
      </c>
      <c r="H1663" s="64">
        <f>ventas_b_mes1[[#This Row],[TOTAL]]/1.21</f>
        <v>0</v>
      </c>
      <c r="I1663" s="183">
        <f>ventas_b_mes1[[#This Row],[IMPORTE NETO]]*0.21</f>
        <v>0</v>
      </c>
      <c r="J1663" s="184"/>
      <c r="K1663" s="184"/>
      <c r="L1663" s="184"/>
      <c r="M1663" s="59"/>
    </row>
    <row r="1664" spans="2:13" x14ac:dyDescent="0.3">
      <c r="B1664" s="178"/>
      <c r="C1664" s="179"/>
      <c r="D1664" s="180"/>
      <c r="E1664" s="181"/>
      <c r="F1664" s="182"/>
      <c r="G1664" s="1" t="str">
        <f>IFERROR(IF(ventas_b_mes1[[#This Row],[CUIT]]="","-",VLOOKUP(ventas_b_mes1[[#This Row],[CUIT]],Lista_CUIT[#All],2,0)),"CUIT NO CARGADO")</f>
        <v>-</v>
      </c>
      <c r="H1664" s="64">
        <f>ventas_b_mes1[[#This Row],[TOTAL]]/1.21</f>
        <v>0</v>
      </c>
      <c r="I1664" s="183">
        <f>ventas_b_mes1[[#This Row],[IMPORTE NETO]]*0.21</f>
        <v>0</v>
      </c>
      <c r="J1664" s="184"/>
      <c r="K1664" s="184"/>
      <c r="L1664" s="184"/>
      <c r="M1664" s="59"/>
    </row>
    <row r="1665" spans="2:13" x14ac:dyDescent="0.3">
      <c r="B1665" s="178"/>
      <c r="C1665" s="179"/>
      <c r="D1665" s="180"/>
      <c r="E1665" s="181"/>
      <c r="F1665" s="182"/>
      <c r="G1665" s="1" t="str">
        <f>IFERROR(IF(ventas_b_mes1[[#This Row],[CUIT]]="","-",VLOOKUP(ventas_b_mes1[[#This Row],[CUIT]],Lista_CUIT[#All],2,0)),"CUIT NO CARGADO")</f>
        <v>-</v>
      </c>
      <c r="H1665" s="64">
        <f>ventas_b_mes1[[#This Row],[TOTAL]]/1.21</f>
        <v>0</v>
      </c>
      <c r="I1665" s="183">
        <f>ventas_b_mes1[[#This Row],[IMPORTE NETO]]*0.21</f>
        <v>0</v>
      </c>
      <c r="J1665" s="184"/>
      <c r="K1665" s="184"/>
      <c r="L1665" s="184"/>
      <c r="M1665" s="59"/>
    </row>
    <row r="1666" spans="2:13" x14ac:dyDescent="0.3">
      <c r="B1666" s="178"/>
      <c r="C1666" s="179"/>
      <c r="D1666" s="180"/>
      <c r="E1666" s="181"/>
      <c r="F1666" s="182"/>
      <c r="G1666" s="1" t="str">
        <f>IFERROR(IF(ventas_b_mes1[[#This Row],[CUIT]]="","-",VLOOKUP(ventas_b_mes1[[#This Row],[CUIT]],Lista_CUIT[#All],2,0)),"CUIT NO CARGADO")</f>
        <v>-</v>
      </c>
      <c r="H1666" s="64">
        <f>ventas_b_mes1[[#This Row],[TOTAL]]/1.21</f>
        <v>0</v>
      </c>
      <c r="I1666" s="183">
        <f>ventas_b_mes1[[#This Row],[IMPORTE NETO]]*0.21</f>
        <v>0</v>
      </c>
      <c r="J1666" s="184"/>
      <c r="K1666" s="184"/>
      <c r="L1666" s="184"/>
      <c r="M1666" s="59"/>
    </row>
    <row r="1667" spans="2:13" x14ac:dyDescent="0.3">
      <c r="B1667" s="178"/>
      <c r="C1667" s="179"/>
      <c r="D1667" s="180"/>
      <c r="E1667" s="181"/>
      <c r="F1667" s="182"/>
      <c r="G1667" s="1" t="str">
        <f>IFERROR(IF(ventas_b_mes1[[#This Row],[CUIT]]="","-",VLOOKUP(ventas_b_mes1[[#This Row],[CUIT]],Lista_CUIT[#All],2,0)),"CUIT NO CARGADO")</f>
        <v>-</v>
      </c>
      <c r="H1667" s="64">
        <f>ventas_b_mes1[[#This Row],[TOTAL]]/1.21</f>
        <v>0</v>
      </c>
      <c r="I1667" s="183">
        <f>ventas_b_mes1[[#This Row],[IMPORTE NETO]]*0.21</f>
        <v>0</v>
      </c>
      <c r="J1667" s="184"/>
      <c r="K1667" s="184"/>
      <c r="L1667" s="184"/>
      <c r="M1667" s="59"/>
    </row>
    <row r="1668" spans="2:13" x14ac:dyDescent="0.3">
      <c r="B1668" s="178"/>
      <c r="C1668" s="179"/>
      <c r="D1668" s="180"/>
      <c r="E1668" s="181"/>
      <c r="F1668" s="182"/>
      <c r="G1668" s="1" t="str">
        <f>IFERROR(IF(ventas_b_mes1[[#This Row],[CUIT]]="","-",VLOOKUP(ventas_b_mes1[[#This Row],[CUIT]],Lista_CUIT[#All],2,0)),"CUIT NO CARGADO")</f>
        <v>-</v>
      </c>
      <c r="H1668" s="64">
        <f>ventas_b_mes1[[#This Row],[TOTAL]]/1.21</f>
        <v>0</v>
      </c>
      <c r="I1668" s="183">
        <f>ventas_b_mes1[[#This Row],[IMPORTE NETO]]*0.21</f>
        <v>0</v>
      </c>
      <c r="J1668" s="184"/>
      <c r="K1668" s="184"/>
      <c r="L1668" s="184"/>
      <c r="M1668" s="59"/>
    </row>
    <row r="1669" spans="2:13" x14ac:dyDescent="0.3">
      <c r="B1669" s="178"/>
      <c r="C1669" s="179"/>
      <c r="D1669" s="180"/>
      <c r="E1669" s="181"/>
      <c r="F1669" s="182"/>
      <c r="G1669" s="1" t="str">
        <f>IFERROR(IF(ventas_b_mes1[[#This Row],[CUIT]]="","-",VLOOKUP(ventas_b_mes1[[#This Row],[CUIT]],Lista_CUIT[#All],2,0)),"CUIT NO CARGADO")</f>
        <v>-</v>
      </c>
      <c r="H1669" s="64">
        <f>ventas_b_mes1[[#This Row],[TOTAL]]/1.21</f>
        <v>0</v>
      </c>
      <c r="I1669" s="183">
        <f>ventas_b_mes1[[#This Row],[IMPORTE NETO]]*0.21</f>
        <v>0</v>
      </c>
      <c r="J1669" s="184"/>
      <c r="K1669" s="184"/>
      <c r="L1669" s="184"/>
      <c r="M1669" s="59"/>
    </row>
    <row r="1670" spans="2:13" x14ac:dyDescent="0.3">
      <c r="B1670" s="178"/>
      <c r="C1670" s="179"/>
      <c r="D1670" s="180"/>
      <c r="E1670" s="181"/>
      <c r="F1670" s="182"/>
      <c r="G1670" s="1" t="str">
        <f>IFERROR(IF(ventas_b_mes1[[#This Row],[CUIT]]="","-",VLOOKUP(ventas_b_mes1[[#This Row],[CUIT]],Lista_CUIT[#All],2,0)),"CUIT NO CARGADO")</f>
        <v>-</v>
      </c>
      <c r="H1670" s="64">
        <f>ventas_b_mes1[[#This Row],[TOTAL]]/1.21</f>
        <v>0</v>
      </c>
      <c r="I1670" s="183">
        <f>ventas_b_mes1[[#This Row],[IMPORTE NETO]]*0.21</f>
        <v>0</v>
      </c>
      <c r="J1670" s="184"/>
      <c r="K1670" s="184"/>
      <c r="L1670" s="184"/>
      <c r="M1670" s="59"/>
    </row>
    <row r="1671" spans="2:13" x14ac:dyDescent="0.3">
      <c r="B1671" s="178"/>
      <c r="C1671" s="179"/>
      <c r="D1671" s="180"/>
      <c r="E1671" s="181"/>
      <c r="F1671" s="182"/>
      <c r="G1671" s="1" t="str">
        <f>IFERROR(IF(ventas_b_mes1[[#This Row],[CUIT]]="","-",VLOOKUP(ventas_b_mes1[[#This Row],[CUIT]],Lista_CUIT[#All],2,0)),"CUIT NO CARGADO")</f>
        <v>-</v>
      </c>
      <c r="H1671" s="64">
        <f>ventas_b_mes1[[#This Row],[TOTAL]]/1.21</f>
        <v>0</v>
      </c>
      <c r="I1671" s="183">
        <f>ventas_b_mes1[[#This Row],[IMPORTE NETO]]*0.21</f>
        <v>0</v>
      </c>
      <c r="J1671" s="184"/>
      <c r="K1671" s="184"/>
      <c r="L1671" s="184"/>
      <c r="M1671" s="59"/>
    </row>
    <row r="1672" spans="2:13" x14ac:dyDescent="0.3">
      <c r="B1672" s="178"/>
      <c r="C1672" s="179"/>
      <c r="D1672" s="180"/>
      <c r="E1672" s="181"/>
      <c r="F1672" s="182"/>
      <c r="G1672" s="1" t="str">
        <f>IFERROR(IF(ventas_b_mes1[[#This Row],[CUIT]]="","-",VLOOKUP(ventas_b_mes1[[#This Row],[CUIT]],Lista_CUIT[#All],2,0)),"CUIT NO CARGADO")</f>
        <v>-</v>
      </c>
      <c r="H1672" s="64">
        <f>ventas_b_mes1[[#This Row],[TOTAL]]/1.21</f>
        <v>0</v>
      </c>
      <c r="I1672" s="183">
        <f>ventas_b_mes1[[#This Row],[IMPORTE NETO]]*0.21</f>
        <v>0</v>
      </c>
      <c r="J1672" s="184"/>
      <c r="K1672" s="184"/>
      <c r="L1672" s="184"/>
      <c r="M1672" s="59"/>
    </row>
    <row r="1673" spans="2:13" x14ac:dyDescent="0.3">
      <c r="B1673" s="178"/>
      <c r="C1673" s="179"/>
      <c r="D1673" s="180"/>
      <c r="E1673" s="181"/>
      <c r="F1673" s="182"/>
      <c r="G1673" s="1" t="str">
        <f>IFERROR(IF(ventas_b_mes1[[#This Row],[CUIT]]="","-",VLOOKUP(ventas_b_mes1[[#This Row],[CUIT]],Lista_CUIT[#All],2,0)),"CUIT NO CARGADO")</f>
        <v>-</v>
      </c>
      <c r="H1673" s="64">
        <f>ventas_b_mes1[[#This Row],[TOTAL]]/1.21</f>
        <v>0</v>
      </c>
      <c r="I1673" s="183">
        <f>ventas_b_mes1[[#This Row],[IMPORTE NETO]]*0.21</f>
        <v>0</v>
      </c>
      <c r="J1673" s="184"/>
      <c r="K1673" s="184"/>
      <c r="L1673" s="184"/>
      <c r="M1673" s="59"/>
    </row>
    <row r="1674" spans="2:13" x14ac:dyDescent="0.3">
      <c r="B1674" s="178"/>
      <c r="C1674" s="179"/>
      <c r="D1674" s="180"/>
      <c r="E1674" s="181"/>
      <c r="F1674" s="182"/>
      <c r="G1674" s="1" t="str">
        <f>IFERROR(IF(ventas_b_mes1[[#This Row],[CUIT]]="","-",VLOOKUP(ventas_b_mes1[[#This Row],[CUIT]],Lista_CUIT[#All],2,0)),"CUIT NO CARGADO")</f>
        <v>-</v>
      </c>
      <c r="H1674" s="64">
        <f>ventas_b_mes1[[#This Row],[TOTAL]]/1.21</f>
        <v>0</v>
      </c>
      <c r="I1674" s="183">
        <f>ventas_b_mes1[[#This Row],[IMPORTE NETO]]*0.21</f>
        <v>0</v>
      </c>
      <c r="J1674" s="184"/>
      <c r="K1674" s="184"/>
      <c r="L1674" s="184"/>
      <c r="M1674" s="59"/>
    </row>
    <row r="1675" spans="2:13" x14ac:dyDescent="0.3">
      <c r="B1675" s="178"/>
      <c r="C1675" s="179"/>
      <c r="D1675" s="180"/>
      <c r="E1675" s="181"/>
      <c r="F1675" s="182"/>
      <c r="G1675" s="1" t="str">
        <f>IFERROR(IF(ventas_b_mes1[[#This Row],[CUIT]]="","-",VLOOKUP(ventas_b_mes1[[#This Row],[CUIT]],Lista_CUIT[#All],2,0)),"CUIT NO CARGADO")</f>
        <v>-</v>
      </c>
      <c r="H1675" s="64">
        <f>ventas_b_mes1[[#This Row],[TOTAL]]/1.21</f>
        <v>0</v>
      </c>
      <c r="I1675" s="183">
        <f>ventas_b_mes1[[#This Row],[IMPORTE NETO]]*0.21</f>
        <v>0</v>
      </c>
      <c r="J1675" s="184"/>
      <c r="K1675" s="184"/>
      <c r="L1675" s="184"/>
      <c r="M1675" s="59"/>
    </row>
    <row r="1676" spans="2:13" x14ac:dyDescent="0.3">
      <c r="B1676" s="178"/>
      <c r="C1676" s="179"/>
      <c r="D1676" s="180"/>
      <c r="E1676" s="181"/>
      <c r="F1676" s="182"/>
      <c r="G1676" s="1" t="str">
        <f>IFERROR(IF(ventas_b_mes1[[#This Row],[CUIT]]="","-",VLOOKUP(ventas_b_mes1[[#This Row],[CUIT]],Lista_CUIT[#All],2,0)),"CUIT NO CARGADO")</f>
        <v>-</v>
      </c>
      <c r="H1676" s="64">
        <f>ventas_b_mes1[[#This Row],[TOTAL]]/1.21</f>
        <v>0</v>
      </c>
      <c r="I1676" s="183">
        <f>ventas_b_mes1[[#This Row],[IMPORTE NETO]]*0.21</f>
        <v>0</v>
      </c>
      <c r="J1676" s="184"/>
      <c r="K1676" s="184"/>
      <c r="L1676" s="184"/>
      <c r="M1676" s="59"/>
    </row>
    <row r="1677" spans="2:13" x14ac:dyDescent="0.3">
      <c r="B1677" s="178"/>
      <c r="C1677" s="179"/>
      <c r="D1677" s="180"/>
      <c r="E1677" s="181"/>
      <c r="F1677" s="182"/>
      <c r="G1677" s="1" t="str">
        <f>IFERROR(IF(ventas_b_mes1[[#This Row],[CUIT]]="","-",VLOOKUP(ventas_b_mes1[[#This Row],[CUIT]],Lista_CUIT[#All],2,0)),"CUIT NO CARGADO")</f>
        <v>-</v>
      </c>
      <c r="H1677" s="64">
        <f>ventas_b_mes1[[#This Row],[TOTAL]]/1.21</f>
        <v>0</v>
      </c>
      <c r="I1677" s="183">
        <f>ventas_b_mes1[[#This Row],[IMPORTE NETO]]*0.21</f>
        <v>0</v>
      </c>
      <c r="J1677" s="184"/>
      <c r="K1677" s="184"/>
      <c r="L1677" s="184"/>
      <c r="M1677" s="59"/>
    </row>
    <row r="1678" spans="2:13" x14ac:dyDescent="0.3">
      <c r="B1678" s="178"/>
      <c r="C1678" s="179"/>
      <c r="D1678" s="180"/>
      <c r="E1678" s="181"/>
      <c r="F1678" s="182"/>
      <c r="G1678" s="1" t="str">
        <f>IFERROR(IF(ventas_b_mes1[[#This Row],[CUIT]]="","-",VLOOKUP(ventas_b_mes1[[#This Row],[CUIT]],Lista_CUIT[#All],2,0)),"CUIT NO CARGADO")</f>
        <v>-</v>
      </c>
      <c r="H1678" s="64">
        <f>ventas_b_mes1[[#This Row],[TOTAL]]/1.21</f>
        <v>0</v>
      </c>
      <c r="I1678" s="183">
        <f>ventas_b_mes1[[#This Row],[IMPORTE NETO]]*0.21</f>
        <v>0</v>
      </c>
      <c r="J1678" s="184"/>
      <c r="K1678" s="184"/>
      <c r="L1678" s="184"/>
      <c r="M1678" s="59"/>
    </row>
    <row r="1679" spans="2:13" x14ac:dyDescent="0.3">
      <c r="B1679" s="178"/>
      <c r="C1679" s="179"/>
      <c r="D1679" s="180"/>
      <c r="E1679" s="181"/>
      <c r="F1679" s="182"/>
      <c r="G1679" s="1" t="str">
        <f>IFERROR(IF(ventas_b_mes1[[#This Row],[CUIT]]="","-",VLOOKUP(ventas_b_mes1[[#This Row],[CUIT]],Lista_CUIT[#All],2,0)),"CUIT NO CARGADO")</f>
        <v>-</v>
      </c>
      <c r="H1679" s="64">
        <f>ventas_b_mes1[[#This Row],[TOTAL]]/1.21</f>
        <v>0</v>
      </c>
      <c r="I1679" s="183">
        <f>ventas_b_mes1[[#This Row],[IMPORTE NETO]]*0.21</f>
        <v>0</v>
      </c>
      <c r="J1679" s="184"/>
      <c r="K1679" s="184"/>
      <c r="L1679" s="184"/>
      <c r="M1679" s="59"/>
    </row>
    <row r="1680" spans="2:13" x14ac:dyDescent="0.3">
      <c r="B1680" s="178"/>
      <c r="C1680" s="179"/>
      <c r="D1680" s="180"/>
      <c r="E1680" s="181"/>
      <c r="F1680" s="182"/>
      <c r="G1680" s="1" t="str">
        <f>IFERROR(IF(ventas_b_mes1[[#This Row],[CUIT]]="","-",VLOOKUP(ventas_b_mes1[[#This Row],[CUIT]],Lista_CUIT[#All],2,0)),"CUIT NO CARGADO")</f>
        <v>-</v>
      </c>
      <c r="H1680" s="64">
        <f>ventas_b_mes1[[#This Row],[TOTAL]]/1.21</f>
        <v>0</v>
      </c>
      <c r="I1680" s="183">
        <f>ventas_b_mes1[[#This Row],[IMPORTE NETO]]*0.21</f>
        <v>0</v>
      </c>
      <c r="J1680" s="184"/>
      <c r="K1680" s="184"/>
      <c r="L1680" s="184"/>
      <c r="M1680" s="59"/>
    </row>
    <row r="1681" spans="2:13" x14ac:dyDescent="0.3">
      <c r="B1681" s="178"/>
      <c r="C1681" s="179"/>
      <c r="D1681" s="180"/>
      <c r="E1681" s="181"/>
      <c r="F1681" s="182"/>
      <c r="G1681" s="1" t="str">
        <f>IFERROR(IF(ventas_b_mes1[[#This Row],[CUIT]]="","-",VLOOKUP(ventas_b_mes1[[#This Row],[CUIT]],Lista_CUIT[#All],2,0)),"CUIT NO CARGADO")</f>
        <v>-</v>
      </c>
      <c r="H1681" s="64">
        <f>ventas_b_mes1[[#This Row],[TOTAL]]/1.21</f>
        <v>0</v>
      </c>
      <c r="I1681" s="183">
        <f>ventas_b_mes1[[#This Row],[IMPORTE NETO]]*0.21</f>
        <v>0</v>
      </c>
      <c r="J1681" s="184"/>
      <c r="K1681" s="184"/>
      <c r="L1681" s="184"/>
      <c r="M1681" s="59"/>
    </row>
    <row r="1682" spans="2:13" x14ac:dyDescent="0.3">
      <c r="B1682" s="178"/>
      <c r="C1682" s="179"/>
      <c r="D1682" s="180"/>
      <c r="E1682" s="181"/>
      <c r="F1682" s="182"/>
      <c r="G1682" s="1" t="str">
        <f>IFERROR(IF(ventas_b_mes1[[#This Row],[CUIT]]="","-",VLOOKUP(ventas_b_mes1[[#This Row],[CUIT]],Lista_CUIT[#All],2,0)),"CUIT NO CARGADO")</f>
        <v>-</v>
      </c>
      <c r="H1682" s="64">
        <f>ventas_b_mes1[[#This Row],[TOTAL]]/1.21</f>
        <v>0</v>
      </c>
      <c r="I1682" s="183">
        <f>ventas_b_mes1[[#This Row],[IMPORTE NETO]]*0.21</f>
        <v>0</v>
      </c>
      <c r="J1682" s="184"/>
      <c r="K1682" s="184"/>
      <c r="L1682" s="184"/>
      <c r="M1682" s="59"/>
    </row>
    <row r="1683" spans="2:13" x14ac:dyDescent="0.3">
      <c r="B1683" s="178"/>
      <c r="C1683" s="179"/>
      <c r="D1683" s="180"/>
      <c r="E1683" s="181"/>
      <c r="F1683" s="182"/>
      <c r="G1683" s="1" t="str">
        <f>IFERROR(IF(ventas_b_mes1[[#This Row],[CUIT]]="","-",VLOOKUP(ventas_b_mes1[[#This Row],[CUIT]],Lista_CUIT[#All],2,0)),"CUIT NO CARGADO")</f>
        <v>-</v>
      </c>
      <c r="H1683" s="64">
        <f>ventas_b_mes1[[#This Row],[TOTAL]]/1.21</f>
        <v>0</v>
      </c>
      <c r="I1683" s="183">
        <f>ventas_b_mes1[[#This Row],[IMPORTE NETO]]*0.21</f>
        <v>0</v>
      </c>
      <c r="J1683" s="184"/>
      <c r="K1683" s="184"/>
      <c r="L1683" s="184"/>
      <c r="M1683" s="59"/>
    </row>
    <row r="1684" spans="2:13" x14ac:dyDescent="0.3">
      <c r="B1684" s="178"/>
      <c r="C1684" s="179"/>
      <c r="D1684" s="180"/>
      <c r="E1684" s="181"/>
      <c r="F1684" s="182"/>
      <c r="G1684" s="1" t="str">
        <f>IFERROR(IF(ventas_b_mes1[[#This Row],[CUIT]]="","-",VLOOKUP(ventas_b_mes1[[#This Row],[CUIT]],Lista_CUIT[#All],2,0)),"CUIT NO CARGADO")</f>
        <v>-</v>
      </c>
      <c r="H1684" s="64">
        <f>ventas_b_mes1[[#This Row],[TOTAL]]/1.21</f>
        <v>0</v>
      </c>
      <c r="I1684" s="183">
        <f>ventas_b_mes1[[#This Row],[IMPORTE NETO]]*0.21</f>
        <v>0</v>
      </c>
      <c r="J1684" s="184"/>
      <c r="K1684" s="184"/>
      <c r="L1684" s="184"/>
      <c r="M1684" s="59"/>
    </row>
    <row r="1685" spans="2:13" x14ac:dyDescent="0.3">
      <c r="B1685" s="178"/>
      <c r="C1685" s="179"/>
      <c r="D1685" s="180"/>
      <c r="E1685" s="181"/>
      <c r="F1685" s="182"/>
      <c r="G1685" s="1" t="str">
        <f>IFERROR(IF(ventas_b_mes1[[#This Row],[CUIT]]="","-",VLOOKUP(ventas_b_mes1[[#This Row],[CUIT]],Lista_CUIT[#All],2,0)),"CUIT NO CARGADO")</f>
        <v>-</v>
      </c>
      <c r="H1685" s="64">
        <f>ventas_b_mes1[[#This Row],[TOTAL]]/1.21</f>
        <v>0</v>
      </c>
      <c r="I1685" s="183">
        <f>ventas_b_mes1[[#This Row],[IMPORTE NETO]]*0.21</f>
        <v>0</v>
      </c>
      <c r="J1685" s="184"/>
      <c r="K1685" s="184"/>
      <c r="L1685" s="184"/>
      <c r="M1685" s="59"/>
    </row>
    <row r="1686" spans="2:13" x14ac:dyDescent="0.3">
      <c r="B1686" s="178"/>
      <c r="C1686" s="179"/>
      <c r="D1686" s="180"/>
      <c r="E1686" s="181"/>
      <c r="F1686" s="182"/>
      <c r="G1686" s="1" t="str">
        <f>IFERROR(IF(ventas_b_mes1[[#This Row],[CUIT]]="","-",VLOOKUP(ventas_b_mes1[[#This Row],[CUIT]],Lista_CUIT[#All],2,0)),"CUIT NO CARGADO")</f>
        <v>-</v>
      </c>
      <c r="H1686" s="64">
        <f>ventas_b_mes1[[#This Row],[TOTAL]]/1.21</f>
        <v>0</v>
      </c>
      <c r="I1686" s="183">
        <f>ventas_b_mes1[[#This Row],[IMPORTE NETO]]*0.21</f>
        <v>0</v>
      </c>
      <c r="J1686" s="184"/>
      <c r="K1686" s="184"/>
      <c r="L1686" s="184"/>
      <c r="M1686" s="59"/>
    </row>
    <row r="1687" spans="2:13" x14ac:dyDescent="0.3">
      <c r="B1687" s="178"/>
      <c r="C1687" s="179"/>
      <c r="D1687" s="180"/>
      <c r="E1687" s="181"/>
      <c r="F1687" s="182"/>
      <c r="G1687" s="1" t="str">
        <f>IFERROR(IF(ventas_b_mes1[[#This Row],[CUIT]]="","-",VLOOKUP(ventas_b_mes1[[#This Row],[CUIT]],Lista_CUIT[#All],2,0)),"CUIT NO CARGADO")</f>
        <v>-</v>
      </c>
      <c r="H1687" s="64">
        <f>ventas_b_mes1[[#This Row],[TOTAL]]/1.21</f>
        <v>0</v>
      </c>
      <c r="I1687" s="183">
        <f>ventas_b_mes1[[#This Row],[IMPORTE NETO]]*0.21</f>
        <v>0</v>
      </c>
      <c r="J1687" s="184"/>
      <c r="K1687" s="184"/>
      <c r="L1687" s="184"/>
      <c r="M1687" s="59"/>
    </row>
    <row r="1688" spans="2:13" x14ac:dyDescent="0.3">
      <c r="B1688" s="178"/>
      <c r="C1688" s="179"/>
      <c r="D1688" s="180"/>
      <c r="E1688" s="181"/>
      <c r="F1688" s="182"/>
      <c r="G1688" s="1" t="str">
        <f>IFERROR(IF(ventas_b_mes1[[#This Row],[CUIT]]="","-",VLOOKUP(ventas_b_mes1[[#This Row],[CUIT]],Lista_CUIT[#All],2,0)),"CUIT NO CARGADO")</f>
        <v>-</v>
      </c>
      <c r="H1688" s="64">
        <f>ventas_b_mes1[[#This Row],[TOTAL]]/1.21</f>
        <v>0</v>
      </c>
      <c r="I1688" s="183">
        <f>ventas_b_mes1[[#This Row],[IMPORTE NETO]]*0.21</f>
        <v>0</v>
      </c>
      <c r="J1688" s="184"/>
      <c r="K1688" s="184"/>
      <c r="L1688" s="184"/>
      <c r="M1688" s="59"/>
    </row>
    <row r="1689" spans="2:13" x14ac:dyDescent="0.3">
      <c r="B1689" s="178"/>
      <c r="C1689" s="179"/>
      <c r="D1689" s="180"/>
      <c r="E1689" s="181"/>
      <c r="F1689" s="182"/>
      <c r="G1689" s="1" t="str">
        <f>IFERROR(IF(ventas_b_mes1[[#This Row],[CUIT]]="","-",VLOOKUP(ventas_b_mes1[[#This Row],[CUIT]],Lista_CUIT[#All],2,0)),"CUIT NO CARGADO")</f>
        <v>-</v>
      </c>
      <c r="H1689" s="64">
        <f>ventas_b_mes1[[#This Row],[TOTAL]]/1.21</f>
        <v>0</v>
      </c>
      <c r="I1689" s="183">
        <f>ventas_b_mes1[[#This Row],[IMPORTE NETO]]*0.21</f>
        <v>0</v>
      </c>
      <c r="J1689" s="184"/>
      <c r="K1689" s="184"/>
      <c r="L1689" s="184"/>
      <c r="M1689" s="59"/>
    </row>
    <row r="1690" spans="2:13" x14ac:dyDescent="0.3">
      <c r="B1690" s="178"/>
      <c r="C1690" s="179"/>
      <c r="D1690" s="180"/>
      <c r="E1690" s="181"/>
      <c r="F1690" s="182"/>
      <c r="G1690" s="1" t="str">
        <f>IFERROR(IF(ventas_b_mes1[[#This Row],[CUIT]]="","-",VLOOKUP(ventas_b_mes1[[#This Row],[CUIT]],Lista_CUIT[#All],2,0)),"CUIT NO CARGADO")</f>
        <v>-</v>
      </c>
      <c r="H1690" s="64">
        <f>ventas_b_mes1[[#This Row],[TOTAL]]/1.21</f>
        <v>0</v>
      </c>
      <c r="I1690" s="183">
        <f>ventas_b_mes1[[#This Row],[IMPORTE NETO]]*0.21</f>
        <v>0</v>
      </c>
      <c r="J1690" s="184"/>
      <c r="K1690" s="184"/>
      <c r="L1690" s="184"/>
      <c r="M1690" s="59"/>
    </row>
    <row r="1691" spans="2:13" x14ac:dyDescent="0.3">
      <c r="B1691" s="178"/>
      <c r="C1691" s="179"/>
      <c r="D1691" s="180"/>
      <c r="E1691" s="181"/>
      <c r="F1691" s="182"/>
      <c r="G1691" s="1" t="str">
        <f>IFERROR(IF(ventas_b_mes1[[#This Row],[CUIT]]="","-",VLOOKUP(ventas_b_mes1[[#This Row],[CUIT]],Lista_CUIT[#All],2,0)),"CUIT NO CARGADO")</f>
        <v>-</v>
      </c>
      <c r="H1691" s="64">
        <f>ventas_b_mes1[[#This Row],[TOTAL]]/1.21</f>
        <v>0</v>
      </c>
      <c r="I1691" s="183">
        <f>ventas_b_mes1[[#This Row],[IMPORTE NETO]]*0.21</f>
        <v>0</v>
      </c>
      <c r="J1691" s="184"/>
      <c r="K1691" s="184"/>
      <c r="L1691" s="184"/>
      <c r="M1691" s="59"/>
    </row>
    <row r="1692" spans="2:13" x14ac:dyDescent="0.3">
      <c r="B1692" s="178"/>
      <c r="C1692" s="179"/>
      <c r="D1692" s="180"/>
      <c r="E1692" s="181"/>
      <c r="F1692" s="182"/>
      <c r="G1692" s="1" t="str">
        <f>IFERROR(IF(ventas_b_mes1[[#This Row],[CUIT]]="","-",VLOOKUP(ventas_b_mes1[[#This Row],[CUIT]],Lista_CUIT[#All],2,0)),"CUIT NO CARGADO")</f>
        <v>-</v>
      </c>
      <c r="H1692" s="64">
        <f>ventas_b_mes1[[#This Row],[TOTAL]]/1.21</f>
        <v>0</v>
      </c>
      <c r="I1692" s="183">
        <f>ventas_b_mes1[[#This Row],[IMPORTE NETO]]*0.21</f>
        <v>0</v>
      </c>
      <c r="J1692" s="184"/>
      <c r="K1692" s="184"/>
      <c r="L1692" s="184"/>
      <c r="M1692" s="59"/>
    </row>
    <row r="1693" spans="2:13" x14ac:dyDescent="0.3">
      <c r="B1693" s="178"/>
      <c r="C1693" s="179"/>
      <c r="D1693" s="180"/>
      <c r="E1693" s="181"/>
      <c r="F1693" s="182"/>
      <c r="G1693" s="1" t="str">
        <f>IFERROR(IF(ventas_b_mes1[[#This Row],[CUIT]]="","-",VLOOKUP(ventas_b_mes1[[#This Row],[CUIT]],Lista_CUIT[#All],2,0)),"CUIT NO CARGADO")</f>
        <v>-</v>
      </c>
      <c r="H1693" s="64">
        <f>ventas_b_mes1[[#This Row],[TOTAL]]/1.21</f>
        <v>0</v>
      </c>
      <c r="I1693" s="183">
        <f>ventas_b_mes1[[#This Row],[IMPORTE NETO]]*0.21</f>
        <v>0</v>
      </c>
      <c r="J1693" s="184"/>
      <c r="K1693" s="184"/>
      <c r="L1693" s="184"/>
      <c r="M1693" s="59"/>
    </row>
    <row r="1694" spans="2:13" x14ac:dyDescent="0.3">
      <c r="B1694" s="178"/>
      <c r="C1694" s="179"/>
      <c r="D1694" s="180"/>
      <c r="E1694" s="181"/>
      <c r="F1694" s="182"/>
      <c r="G1694" s="1" t="str">
        <f>IFERROR(IF(ventas_b_mes1[[#This Row],[CUIT]]="","-",VLOOKUP(ventas_b_mes1[[#This Row],[CUIT]],Lista_CUIT[#All],2,0)),"CUIT NO CARGADO")</f>
        <v>-</v>
      </c>
      <c r="H1694" s="64">
        <f>ventas_b_mes1[[#This Row],[TOTAL]]/1.21</f>
        <v>0</v>
      </c>
      <c r="I1694" s="183">
        <f>ventas_b_mes1[[#This Row],[IMPORTE NETO]]*0.21</f>
        <v>0</v>
      </c>
      <c r="J1694" s="184"/>
      <c r="K1694" s="184"/>
      <c r="L1694" s="184"/>
      <c r="M1694" s="59"/>
    </row>
    <row r="1695" spans="2:13" x14ac:dyDescent="0.3">
      <c r="B1695" s="178"/>
      <c r="C1695" s="179"/>
      <c r="D1695" s="180"/>
      <c r="E1695" s="181"/>
      <c r="F1695" s="182"/>
      <c r="G1695" s="1" t="str">
        <f>IFERROR(IF(ventas_b_mes1[[#This Row],[CUIT]]="","-",VLOOKUP(ventas_b_mes1[[#This Row],[CUIT]],Lista_CUIT[#All],2,0)),"CUIT NO CARGADO")</f>
        <v>-</v>
      </c>
      <c r="H1695" s="64">
        <f>ventas_b_mes1[[#This Row],[TOTAL]]/1.21</f>
        <v>0</v>
      </c>
      <c r="I1695" s="183">
        <f>ventas_b_mes1[[#This Row],[IMPORTE NETO]]*0.21</f>
        <v>0</v>
      </c>
      <c r="J1695" s="184"/>
      <c r="K1695" s="184"/>
      <c r="L1695" s="184"/>
      <c r="M1695" s="59"/>
    </row>
    <row r="1696" spans="2:13" x14ac:dyDescent="0.3">
      <c r="B1696" s="178"/>
      <c r="C1696" s="179"/>
      <c r="D1696" s="180"/>
      <c r="E1696" s="181"/>
      <c r="F1696" s="182"/>
      <c r="G1696" s="1" t="str">
        <f>IFERROR(IF(ventas_b_mes1[[#This Row],[CUIT]]="","-",VLOOKUP(ventas_b_mes1[[#This Row],[CUIT]],Lista_CUIT[#All],2,0)),"CUIT NO CARGADO")</f>
        <v>-</v>
      </c>
      <c r="H1696" s="64">
        <f>ventas_b_mes1[[#This Row],[TOTAL]]/1.21</f>
        <v>0</v>
      </c>
      <c r="I1696" s="183">
        <f>ventas_b_mes1[[#This Row],[IMPORTE NETO]]*0.21</f>
        <v>0</v>
      </c>
      <c r="J1696" s="184"/>
      <c r="K1696" s="184"/>
      <c r="L1696" s="184"/>
      <c r="M1696" s="59"/>
    </row>
    <row r="1697" spans="2:13" x14ac:dyDescent="0.3">
      <c r="B1697" s="178"/>
      <c r="C1697" s="179"/>
      <c r="D1697" s="180"/>
      <c r="E1697" s="181"/>
      <c r="F1697" s="182"/>
      <c r="G1697" s="1" t="str">
        <f>IFERROR(IF(ventas_b_mes1[[#This Row],[CUIT]]="","-",VLOOKUP(ventas_b_mes1[[#This Row],[CUIT]],Lista_CUIT[#All],2,0)),"CUIT NO CARGADO")</f>
        <v>-</v>
      </c>
      <c r="H1697" s="64">
        <f>ventas_b_mes1[[#This Row],[TOTAL]]/1.21</f>
        <v>0</v>
      </c>
      <c r="I1697" s="183">
        <f>ventas_b_mes1[[#This Row],[IMPORTE NETO]]*0.21</f>
        <v>0</v>
      </c>
      <c r="J1697" s="184"/>
      <c r="K1697" s="184"/>
      <c r="L1697" s="184"/>
      <c r="M1697" s="59"/>
    </row>
    <row r="1698" spans="2:13" x14ac:dyDescent="0.3">
      <c r="B1698" s="178"/>
      <c r="C1698" s="179"/>
      <c r="D1698" s="180"/>
      <c r="E1698" s="181"/>
      <c r="F1698" s="182"/>
      <c r="G1698" s="1" t="str">
        <f>IFERROR(IF(ventas_b_mes1[[#This Row],[CUIT]]="","-",VLOOKUP(ventas_b_mes1[[#This Row],[CUIT]],Lista_CUIT[#All],2,0)),"CUIT NO CARGADO")</f>
        <v>-</v>
      </c>
      <c r="H1698" s="64">
        <f>ventas_b_mes1[[#This Row],[TOTAL]]/1.21</f>
        <v>0</v>
      </c>
      <c r="I1698" s="183">
        <f>ventas_b_mes1[[#This Row],[IMPORTE NETO]]*0.21</f>
        <v>0</v>
      </c>
      <c r="J1698" s="184"/>
      <c r="K1698" s="184"/>
      <c r="L1698" s="184"/>
      <c r="M1698" s="59"/>
    </row>
    <row r="1699" spans="2:13" x14ac:dyDescent="0.3">
      <c r="B1699" s="178"/>
      <c r="C1699" s="179"/>
      <c r="D1699" s="180"/>
      <c r="E1699" s="181"/>
      <c r="F1699" s="182"/>
      <c r="G1699" s="1" t="str">
        <f>IFERROR(IF(ventas_b_mes1[[#This Row],[CUIT]]="","-",VLOOKUP(ventas_b_mes1[[#This Row],[CUIT]],Lista_CUIT[#All],2,0)),"CUIT NO CARGADO")</f>
        <v>-</v>
      </c>
      <c r="H1699" s="64">
        <f>ventas_b_mes1[[#This Row],[TOTAL]]/1.21</f>
        <v>0</v>
      </c>
      <c r="I1699" s="183">
        <f>ventas_b_mes1[[#This Row],[IMPORTE NETO]]*0.21</f>
        <v>0</v>
      </c>
      <c r="J1699" s="184"/>
      <c r="K1699" s="184"/>
      <c r="L1699" s="184"/>
      <c r="M1699" s="59"/>
    </row>
    <row r="1700" spans="2:13" x14ac:dyDescent="0.3">
      <c r="B1700" s="178"/>
      <c r="C1700" s="179"/>
      <c r="D1700" s="180"/>
      <c r="E1700" s="181"/>
      <c r="F1700" s="182"/>
      <c r="G1700" s="1" t="str">
        <f>IFERROR(IF(ventas_b_mes1[[#This Row],[CUIT]]="","-",VLOOKUP(ventas_b_mes1[[#This Row],[CUIT]],Lista_CUIT[#All],2,0)),"CUIT NO CARGADO")</f>
        <v>-</v>
      </c>
      <c r="H1700" s="64">
        <f>ventas_b_mes1[[#This Row],[TOTAL]]/1.21</f>
        <v>0</v>
      </c>
      <c r="I1700" s="183">
        <f>ventas_b_mes1[[#This Row],[IMPORTE NETO]]*0.21</f>
        <v>0</v>
      </c>
      <c r="J1700" s="184"/>
      <c r="K1700" s="184"/>
      <c r="L1700" s="184"/>
      <c r="M1700" s="59"/>
    </row>
    <row r="1701" spans="2:13" x14ac:dyDescent="0.3">
      <c r="B1701" s="178"/>
      <c r="C1701" s="179"/>
      <c r="D1701" s="180"/>
      <c r="E1701" s="181"/>
      <c r="F1701" s="182"/>
      <c r="G1701" s="1" t="str">
        <f>IFERROR(IF(ventas_b_mes1[[#This Row],[CUIT]]="","-",VLOOKUP(ventas_b_mes1[[#This Row],[CUIT]],Lista_CUIT[#All],2,0)),"CUIT NO CARGADO")</f>
        <v>-</v>
      </c>
      <c r="H1701" s="64">
        <f>ventas_b_mes1[[#This Row],[TOTAL]]/1.21</f>
        <v>0</v>
      </c>
      <c r="I1701" s="183">
        <f>ventas_b_mes1[[#This Row],[IMPORTE NETO]]*0.21</f>
        <v>0</v>
      </c>
      <c r="J1701" s="184"/>
      <c r="K1701" s="184"/>
      <c r="L1701" s="184"/>
      <c r="M1701" s="59"/>
    </row>
    <row r="1702" spans="2:13" x14ac:dyDescent="0.3">
      <c r="B1702" s="178"/>
      <c r="C1702" s="179"/>
      <c r="D1702" s="180"/>
      <c r="E1702" s="181"/>
      <c r="F1702" s="182"/>
      <c r="G1702" s="1" t="str">
        <f>IFERROR(IF(ventas_b_mes1[[#This Row],[CUIT]]="","-",VLOOKUP(ventas_b_mes1[[#This Row],[CUIT]],Lista_CUIT[#All],2,0)),"CUIT NO CARGADO")</f>
        <v>-</v>
      </c>
      <c r="H1702" s="64">
        <f>ventas_b_mes1[[#This Row],[TOTAL]]/1.21</f>
        <v>0</v>
      </c>
      <c r="I1702" s="183">
        <f>ventas_b_mes1[[#This Row],[IMPORTE NETO]]*0.21</f>
        <v>0</v>
      </c>
      <c r="J1702" s="184"/>
      <c r="K1702" s="184"/>
      <c r="L1702" s="184"/>
      <c r="M1702" s="59"/>
    </row>
    <row r="1703" spans="2:13" x14ac:dyDescent="0.3">
      <c r="B1703" s="178"/>
      <c r="C1703" s="179"/>
      <c r="D1703" s="180"/>
      <c r="E1703" s="181"/>
      <c r="F1703" s="182"/>
      <c r="G1703" s="1" t="str">
        <f>IFERROR(IF(ventas_b_mes1[[#This Row],[CUIT]]="","-",VLOOKUP(ventas_b_mes1[[#This Row],[CUIT]],Lista_CUIT[#All],2,0)),"CUIT NO CARGADO")</f>
        <v>-</v>
      </c>
      <c r="H1703" s="64">
        <f>ventas_b_mes1[[#This Row],[TOTAL]]/1.21</f>
        <v>0</v>
      </c>
      <c r="I1703" s="183">
        <f>ventas_b_mes1[[#This Row],[IMPORTE NETO]]*0.21</f>
        <v>0</v>
      </c>
      <c r="J1703" s="184"/>
      <c r="K1703" s="184"/>
      <c r="L1703" s="184"/>
      <c r="M1703" s="59"/>
    </row>
    <row r="1704" spans="2:13" x14ac:dyDescent="0.3">
      <c r="B1704" s="178"/>
      <c r="C1704" s="179"/>
      <c r="D1704" s="180"/>
      <c r="E1704" s="181"/>
      <c r="F1704" s="182"/>
      <c r="G1704" s="1" t="str">
        <f>IFERROR(IF(ventas_b_mes1[[#This Row],[CUIT]]="","-",VLOOKUP(ventas_b_mes1[[#This Row],[CUIT]],Lista_CUIT[#All],2,0)),"CUIT NO CARGADO")</f>
        <v>-</v>
      </c>
      <c r="H1704" s="64">
        <f>ventas_b_mes1[[#This Row],[TOTAL]]/1.21</f>
        <v>0</v>
      </c>
      <c r="I1704" s="183">
        <f>ventas_b_mes1[[#This Row],[IMPORTE NETO]]*0.21</f>
        <v>0</v>
      </c>
      <c r="J1704" s="184"/>
      <c r="K1704" s="184"/>
      <c r="L1704" s="184"/>
      <c r="M1704" s="59"/>
    </row>
    <row r="1705" spans="2:13" x14ac:dyDescent="0.3">
      <c r="B1705" s="178"/>
      <c r="C1705" s="179"/>
      <c r="D1705" s="180"/>
      <c r="E1705" s="181"/>
      <c r="F1705" s="182"/>
      <c r="G1705" s="1" t="str">
        <f>IFERROR(IF(ventas_b_mes1[[#This Row],[CUIT]]="","-",VLOOKUP(ventas_b_mes1[[#This Row],[CUIT]],Lista_CUIT[#All],2,0)),"CUIT NO CARGADO")</f>
        <v>-</v>
      </c>
      <c r="H1705" s="64">
        <f>ventas_b_mes1[[#This Row],[TOTAL]]/1.21</f>
        <v>0</v>
      </c>
      <c r="I1705" s="183">
        <f>ventas_b_mes1[[#This Row],[IMPORTE NETO]]*0.21</f>
        <v>0</v>
      </c>
      <c r="J1705" s="184"/>
      <c r="K1705" s="184"/>
      <c r="L1705" s="184"/>
      <c r="M1705" s="59"/>
    </row>
    <row r="1706" spans="2:13" x14ac:dyDescent="0.3">
      <c r="B1706" s="178"/>
      <c r="C1706" s="179"/>
      <c r="D1706" s="180"/>
      <c r="E1706" s="181"/>
      <c r="F1706" s="182"/>
      <c r="G1706" s="1" t="str">
        <f>IFERROR(IF(ventas_b_mes1[[#This Row],[CUIT]]="","-",VLOOKUP(ventas_b_mes1[[#This Row],[CUIT]],Lista_CUIT[#All],2,0)),"CUIT NO CARGADO")</f>
        <v>-</v>
      </c>
      <c r="H1706" s="64">
        <f>ventas_b_mes1[[#This Row],[TOTAL]]/1.21</f>
        <v>0</v>
      </c>
      <c r="I1706" s="183">
        <f>ventas_b_mes1[[#This Row],[IMPORTE NETO]]*0.21</f>
        <v>0</v>
      </c>
      <c r="J1706" s="184"/>
      <c r="K1706" s="184"/>
      <c r="L1706" s="184"/>
      <c r="M1706" s="59"/>
    </row>
    <row r="1707" spans="2:13" x14ac:dyDescent="0.3">
      <c r="B1707" s="178"/>
      <c r="C1707" s="179"/>
      <c r="D1707" s="180"/>
      <c r="E1707" s="181"/>
      <c r="F1707" s="182"/>
      <c r="G1707" s="1" t="str">
        <f>IFERROR(IF(ventas_b_mes1[[#This Row],[CUIT]]="","-",VLOOKUP(ventas_b_mes1[[#This Row],[CUIT]],Lista_CUIT[#All],2,0)),"CUIT NO CARGADO")</f>
        <v>-</v>
      </c>
      <c r="H1707" s="64">
        <f>ventas_b_mes1[[#This Row],[TOTAL]]/1.21</f>
        <v>0</v>
      </c>
      <c r="I1707" s="183">
        <f>ventas_b_mes1[[#This Row],[IMPORTE NETO]]*0.21</f>
        <v>0</v>
      </c>
      <c r="J1707" s="184"/>
      <c r="K1707" s="184"/>
      <c r="L1707" s="184"/>
      <c r="M1707" s="59"/>
    </row>
    <row r="1708" spans="2:13" x14ac:dyDescent="0.3">
      <c r="B1708" s="178"/>
      <c r="C1708" s="179"/>
      <c r="D1708" s="180"/>
      <c r="E1708" s="181"/>
      <c r="F1708" s="182"/>
      <c r="G1708" s="1" t="str">
        <f>IFERROR(IF(ventas_b_mes1[[#This Row],[CUIT]]="","-",VLOOKUP(ventas_b_mes1[[#This Row],[CUIT]],Lista_CUIT[#All],2,0)),"CUIT NO CARGADO")</f>
        <v>-</v>
      </c>
      <c r="H1708" s="64">
        <f>ventas_b_mes1[[#This Row],[TOTAL]]/1.21</f>
        <v>0</v>
      </c>
      <c r="I1708" s="183">
        <f>ventas_b_mes1[[#This Row],[IMPORTE NETO]]*0.21</f>
        <v>0</v>
      </c>
      <c r="J1708" s="184"/>
      <c r="K1708" s="184"/>
      <c r="L1708" s="184"/>
      <c r="M1708" s="59"/>
    </row>
    <row r="1709" spans="2:13" x14ac:dyDescent="0.3">
      <c r="B1709" s="178"/>
      <c r="C1709" s="179"/>
      <c r="D1709" s="180"/>
      <c r="E1709" s="181"/>
      <c r="F1709" s="182"/>
      <c r="G1709" s="1" t="str">
        <f>IFERROR(IF(ventas_b_mes1[[#This Row],[CUIT]]="","-",VLOOKUP(ventas_b_mes1[[#This Row],[CUIT]],Lista_CUIT[#All],2,0)),"CUIT NO CARGADO")</f>
        <v>-</v>
      </c>
      <c r="H1709" s="64">
        <f>ventas_b_mes1[[#This Row],[TOTAL]]/1.21</f>
        <v>0</v>
      </c>
      <c r="I1709" s="183">
        <f>ventas_b_mes1[[#This Row],[IMPORTE NETO]]*0.21</f>
        <v>0</v>
      </c>
      <c r="J1709" s="184"/>
      <c r="K1709" s="184"/>
      <c r="L1709" s="184"/>
      <c r="M1709" s="59"/>
    </row>
    <row r="1710" spans="2:13" x14ac:dyDescent="0.3">
      <c r="B1710" s="178"/>
      <c r="C1710" s="179"/>
      <c r="D1710" s="180"/>
      <c r="E1710" s="181"/>
      <c r="F1710" s="182"/>
      <c r="G1710" s="1" t="str">
        <f>IFERROR(IF(ventas_b_mes1[[#This Row],[CUIT]]="","-",VLOOKUP(ventas_b_mes1[[#This Row],[CUIT]],Lista_CUIT[#All],2,0)),"CUIT NO CARGADO")</f>
        <v>-</v>
      </c>
      <c r="H1710" s="64">
        <f>ventas_b_mes1[[#This Row],[TOTAL]]/1.21</f>
        <v>0</v>
      </c>
      <c r="I1710" s="183">
        <f>ventas_b_mes1[[#This Row],[IMPORTE NETO]]*0.21</f>
        <v>0</v>
      </c>
      <c r="J1710" s="184"/>
      <c r="K1710" s="184"/>
      <c r="L1710" s="184"/>
      <c r="M1710" s="59"/>
    </row>
    <row r="1711" spans="2:13" x14ac:dyDescent="0.3">
      <c r="B1711" s="178"/>
      <c r="C1711" s="179"/>
      <c r="D1711" s="180"/>
      <c r="E1711" s="181"/>
      <c r="F1711" s="182"/>
      <c r="G1711" s="1" t="str">
        <f>IFERROR(IF(ventas_b_mes1[[#This Row],[CUIT]]="","-",VLOOKUP(ventas_b_mes1[[#This Row],[CUIT]],Lista_CUIT[#All],2,0)),"CUIT NO CARGADO")</f>
        <v>-</v>
      </c>
      <c r="H1711" s="64">
        <f>ventas_b_mes1[[#This Row],[TOTAL]]/1.21</f>
        <v>0</v>
      </c>
      <c r="I1711" s="183">
        <f>ventas_b_mes1[[#This Row],[IMPORTE NETO]]*0.21</f>
        <v>0</v>
      </c>
      <c r="J1711" s="184"/>
      <c r="K1711" s="184"/>
      <c r="L1711" s="184"/>
      <c r="M1711" s="59"/>
    </row>
    <row r="1712" spans="2:13" x14ac:dyDescent="0.3">
      <c r="B1712" s="178"/>
      <c r="C1712" s="179"/>
      <c r="D1712" s="180"/>
      <c r="E1712" s="181"/>
      <c r="F1712" s="182"/>
      <c r="G1712" s="1" t="str">
        <f>IFERROR(IF(ventas_b_mes1[[#This Row],[CUIT]]="","-",VLOOKUP(ventas_b_mes1[[#This Row],[CUIT]],Lista_CUIT[#All],2,0)),"CUIT NO CARGADO")</f>
        <v>-</v>
      </c>
      <c r="H1712" s="64">
        <f>ventas_b_mes1[[#This Row],[TOTAL]]/1.21</f>
        <v>0</v>
      </c>
      <c r="I1712" s="183">
        <f>ventas_b_mes1[[#This Row],[IMPORTE NETO]]*0.21</f>
        <v>0</v>
      </c>
      <c r="J1712" s="184"/>
      <c r="K1712" s="184"/>
      <c r="L1712" s="184"/>
      <c r="M1712" s="59"/>
    </row>
    <row r="1713" spans="2:13" x14ac:dyDescent="0.3">
      <c r="B1713" s="178"/>
      <c r="C1713" s="179"/>
      <c r="D1713" s="180"/>
      <c r="E1713" s="181"/>
      <c r="F1713" s="182"/>
      <c r="G1713" s="1" t="str">
        <f>IFERROR(IF(ventas_b_mes1[[#This Row],[CUIT]]="","-",VLOOKUP(ventas_b_mes1[[#This Row],[CUIT]],Lista_CUIT[#All],2,0)),"CUIT NO CARGADO")</f>
        <v>-</v>
      </c>
      <c r="H1713" s="64">
        <f>ventas_b_mes1[[#This Row],[TOTAL]]/1.21</f>
        <v>0</v>
      </c>
      <c r="I1713" s="183">
        <f>ventas_b_mes1[[#This Row],[IMPORTE NETO]]*0.21</f>
        <v>0</v>
      </c>
      <c r="J1713" s="184"/>
      <c r="K1713" s="184"/>
      <c r="L1713" s="184"/>
      <c r="M1713" s="59"/>
    </row>
    <row r="1714" spans="2:13" x14ac:dyDescent="0.3">
      <c r="B1714" s="178"/>
      <c r="C1714" s="179"/>
      <c r="D1714" s="180"/>
      <c r="E1714" s="181"/>
      <c r="F1714" s="182"/>
      <c r="G1714" s="1" t="str">
        <f>IFERROR(IF(ventas_b_mes1[[#This Row],[CUIT]]="","-",VLOOKUP(ventas_b_mes1[[#This Row],[CUIT]],Lista_CUIT[#All],2,0)),"CUIT NO CARGADO")</f>
        <v>-</v>
      </c>
      <c r="H1714" s="64">
        <f>ventas_b_mes1[[#This Row],[TOTAL]]/1.21</f>
        <v>0</v>
      </c>
      <c r="I1714" s="183">
        <f>ventas_b_mes1[[#This Row],[IMPORTE NETO]]*0.21</f>
        <v>0</v>
      </c>
      <c r="J1714" s="184"/>
      <c r="K1714" s="184"/>
      <c r="L1714" s="184"/>
      <c r="M1714" s="59"/>
    </row>
    <row r="1715" spans="2:13" x14ac:dyDescent="0.3">
      <c r="B1715" s="178"/>
      <c r="C1715" s="179"/>
      <c r="D1715" s="180"/>
      <c r="E1715" s="181"/>
      <c r="F1715" s="182"/>
      <c r="G1715" s="1" t="str">
        <f>IFERROR(IF(ventas_b_mes1[[#This Row],[CUIT]]="","-",VLOOKUP(ventas_b_mes1[[#This Row],[CUIT]],Lista_CUIT[#All],2,0)),"CUIT NO CARGADO")</f>
        <v>-</v>
      </c>
      <c r="H1715" s="64">
        <f>ventas_b_mes1[[#This Row],[TOTAL]]/1.21</f>
        <v>0</v>
      </c>
      <c r="I1715" s="183">
        <f>ventas_b_mes1[[#This Row],[IMPORTE NETO]]*0.21</f>
        <v>0</v>
      </c>
      <c r="J1715" s="184"/>
      <c r="K1715" s="184"/>
      <c r="L1715" s="184"/>
      <c r="M1715" s="59"/>
    </row>
    <row r="1716" spans="2:13" x14ac:dyDescent="0.3">
      <c r="B1716" s="178"/>
      <c r="C1716" s="179"/>
      <c r="D1716" s="180"/>
      <c r="E1716" s="181"/>
      <c r="F1716" s="182"/>
      <c r="G1716" s="1" t="str">
        <f>IFERROR(IF(ventas_b_mes1[[#This Row],[CUIT]]="","-",VLOOKUP(ventas_b_mes1[[#This Row],[CUIT]],Lista_CUIT[#All],2,0)),"CUIT NO CARGADO")</f>
        <v>-</v>
      </c>
      <c r="H1716" s="64">
        <f>ventas_b_mes1[[#This Row],[TOTAL]]/1.21</f>
        <v>0</v>
      </c>
      <c r="I1716" s="183">
        <f>ventas_b_mes1[[#This Row],[IMPORTE NETO]]*0.21</f>
        <v>0</v>
      </c>
      <c r="J1716" s="184"/>
      <c r="K1716" s="184"/>
      <c r="L1716" s="184"/>
      <c r="M1716" s="59"/>
    </row>
    <row r="1717" spans="2:13" x14ac:dyDescent="0.3">
      <c r="B1717" s="178"/>
      <c r="C1717" s="179"/>
      <c r="D1717" s="180"/>
      <c r="E1717" s="181"/>
      <c r="F1717" s="182"/>
      <c r="G1717" s="1" t="str">
        <f>IFERROR(IF(ventas_b_mes1[[#This Row],[CUIT]]="","-",VLOOKUP(ventas_b_mes1[[#This Row],[CUIT]],Lista_CUIT[#All],2,0)),"CUIT NO CARGADO")</f>
        <v>-</v>
      </c>
      <c r="H1717" s="64">
        <f>ventas_b_mes1[[#This Row],[TOTAL]]/1.21</f>
        <v>0</v>
      </c>
      <c r="I1717" s="183">
        <f>ventas_b_mes1[[#This Row],[IMPORTE NETO]]*0.21</f>
        <v>0</v>
      </c>
      <c r="J1717" s="184"/>
      <c r="K1717" s="184"/>
      <c r="L1717" s="184"/>
      <c r="M1717" s="59"/>
    </row>
    <row r="1718" spans="2:13" x14ac:dyDescent="0.3">
      <c r="B1718" s="178"/>
      <c r="C1718" s="179"/>
      <c r="D1718" s="180"/>
      <c r="E1718" s="181"/>
      <c r="F1718" s="182"/>
      <c r="G1718" s="1" t="str">
        <f>IFERROR(IF(ventas_b_mes1[[#This Row],[CUIT]]="","-",VLOOKUP(ventas_b_mes1[[#This Row],[CUIT]],Lista_CUIT[#All],2,0)),"CUIT NO CARGADO")</f>
        <v>-</v>
      </c>
      <c r="H1718" s="64">
        <f>ventas_b_mes1[[#This Row],[TOTAL]]/1.21</f>
        <v>0</v>
      </c>
      <c r="I1718" s="183">
        <f>ventas_b_mes1[[#This Row],[IMPORTE NETO]]*0.21</f>
        <v>0</v>
      </c>
      <c r="J1718" s="184"/>
      <c r="K1718" s="184"/>
      <c r="L1718" s="184"/>
      <c r="M1718" s="59"/>
    </row>
    <row r="1719" spans="2:13" x14ac:dyDescent="0.3">
      <c r="B1719" s="178"/>
      <c r="C1719" s="179"/>
      <c r="D1719" s="180"/>
      <c r="E1719" s="181"/>
      <c r="F1719" s="182"/>
      <c r="G1719" s="1" t="str">
        <f>IFERROR(IF(ventas_b_mes1[[#This Row],[CUIT]]="","-",VLOOKUP(ventas_b_mes1[[#This Row],[CUIT]],Lista_CUIT[#All],2,0)),"CUIT NO CARGADO")</f>
        <v>-</v>
      </c>
      <c r="H1719" s="64">
        <f>ventas_b_mes1[[#This Row],[TOTAL]]/1.21</f>
        <v>0</v>
      </c>
      <c r="I1719" s="183">
        <f>ventas_b_mes1[[#This Row],[IMPORTE NETO]]*0.21</f>
        <v>0</v>
      </c>
      <c r="J1719" s="184"/>
      <c r="K1719" s="184"/>
      <c r="L1719" s="184"/>
      <c r="M1719" s="59"/>
    </row>
    <row r="1720" spans="2:13" x14ac:dyDescent="0.3">
      <c r="B1720" s="178"/>
      <c r="C1720" s="179"/>
      <c r="D1720" s="180"/>
      <c r="E1720" s="181"/>
      <c r="F1720" s="182"/>
      <c r="G1720" s="1" t="str">
        <f>IFERROR(IF(ventas_b_mes1[[#This Row],[CUIT]]="","-",VLOOKUP(ventas_b_mes1[[#This Row],[CUIT]],Lista_CUIT[#All],2,0)),"CUIT NO CARGADO")</f>
        <v>-</v>
      </c>
      <c r="H1720" s="64">
        <f>ventas_b_mes1[[#This Row],[TOTAL]]/1.21</f>
        <v>0</v>
      </c>
      <c r="I1720" s="183">
        <f>ventas_b_mes1[[#This Row],[IMPORTE NETO]]*0.21</f>
        <v>0</v>
      </c>
      <c r="J1720" s="184"/>
      <c r="K1720" s="184"/>
      <c r="L1720" s="184"/>
      <c r="M1720" s="59"/>
    </row>
    <row r="1721" spans="2:13" x14ac:dyDescent="0.3">
      <c r="B1721" s="178"/>
      <c r="C1721" s="179"/>
      <c r="D1721" s="180"/>
      <c r="E1721" s="181"/>
      <c r="F1721" s="182"/>
      <c r="G1721" s="1" t="str">
        <f>IFERROR(IF(ventas_b_mes1[[#This Row],[CUIT]]="","-",VLOOKUP(ventas_b_mes1[[#This Row],[CUIT]],Lista_CUIT[#All],2,0)),"CUIT NO CARGADO")</f>
        <v>-</v>
      </c>
      <c r="H1721" s="64">
        <f>ventas_b_mes1[[#This Row],[TOTAL]]/1.21</f>
        <v>0</v>
      </c>
      <c r="I1721" s="183">
        <f>ventas_b_mes1[[#This Row],[IMPORTE NETO]]*0.21</f>
        <v>0</v>
      </c>
      <c r="J1721" s="184"/>
      <c r="K1721" s="184"/>
      <c r="L1721" s="184"/>
      <c r="M1721" s="59"/>
    </row>
    <row r="1722" spans="2:13" x14ac:dyDescent="0.3">
      <c r="B1722" s="178"/>
      <c r="C1722" s="179"/>
      <c r="D1722" s="180"/>
      <c r="E1722" s="181"/>
      <c r="F1722" s="182"/>
      <c r="G1722" s="1" t="str">
        <f>IFERROR(IF(ventas_b_mes1[[#This Row],[CUIT]]="","-",VLOOKUP(ventas_b_mes1[[#This Row],[CUIT]],Lista_CUIT[#All],2,0)),"CUIT NO CARGADO")</f>
        <v>-</v>
      </c>
      <c r="H1722" s="64">
        <f>ventas_b_mes1[[#This Row],[TOTAL]]/1.21</f>
        <v>0</v>
      </c>
      <c r="I1722" s="183">
        <f>ventas_b_mes1[[#This Row],[IMPORTE NETO]]*0.21</f>
        <v>0</v>
      </c>
      <c r="J1722" s="184"/>
      <c r="K1722" s="184"/>
      <c r="L1722" s="184"/>
      <c r="M1722" s="59"/>
    </row>
    <row r="1723" spans="2:13" x14ac:dyDescent="0.3">
      <c r="B1723" s="178"/>
      <c r="C1723" s="179"/>
      <c r="D1723" s="180"/>
      <c r="E1723" s="181"/>
      <c r="F1723" s="182"/>
      <c r="G1723" s="1" t="str">
        <f>IFERROR(IF(ventas_b_mes1[[#This Row],[CUIT]]="","-",VLOOKUP(ventas_b_mes1[[#This Row],[CUIT]],Lista_CUIT[#All],2,0)),"CUIT NO CARGADO")</f>
        <v>-</v>
      </c>
      <c r="H1723" s="64">
        <f>ventas_b_mes1[[#This Row],[TOTAL]]/1.21</f>
        <v>0</v>
      </c>
      <c r="I1723" s="183">
        <f>ventas_b_mes1[[#This Row],[IMPORTE NETO]]*0.21</f>
        <v>0</v>
      </c>
      <c r="J1723" s="184"/>
      <c r="K1723" s="184"/>
      <c r="L1723" s="184"/>
      <c r="M1723" s="59"/>
    </row>
    <row r="1724" spans="2:13" x14ac:dyDescent="0.3">
      <c r="B1724" s="178"/>
      <c r="C1724" s="179"/>
      <c r="D1724" s="180"/>
      <c r="E1724" s="181"/>
      <c r="F1724" s="182"/>
      <c r="G1724" s="1" t="str">
        <f>IFERROR(IF(ventas_b_mes1[[#This Row],[CUIT]]="","-",VLOOKUP(ventas_b_mes1[[#This Row],[CUIT]],Lista_CUIT[#All],2,0)),"CUIT NO CARGADO")</f>
        <v>-</v>
      </c>
      <c r="H1724" s="64">
        <f>ventas_b_mes1[[#This Row],[TOTAL]]/1.21</f>
        <v>0</v>
      </c>
      <c r="I1724" s="183">
        <f>ventas_b_mes1[[#This Row],[IMPORTE NETO]]*0.21</f>
        <v>0</v>
      </c>
      <c r="J1724" s="184"/>
      <c r="K1724" s="184"/>
      <c r="L1724" s="184"/>
      <c r="M1724" s="59"/>
    </row>
    <row r="1725" spans="2:13" x14ac:dyDescent="0.3">
      <c r="B1725" s="178"/>
      <c r="C1725" s="179"/>
      <c r="D1725" s="180"/>
      <c r="E1725" s="181"/>
      <c r="F1725" s="182"/>
      <c r="G1725" s="1" t="str">
        <f>IFERROR(IF(ventas_b_mes1[[#This Row],[CUIT]]="","-",VLOOKUP(ventas_b_mes1[[#This Row],[CUIT]],Lista_CUIT[#All],2,0)),"CUIT NO CARGADO")</f>
        <v>-</v>
      </c>
      <c r="H1725" s="64">
        <f>ventas_b_mes1[[#This Row],[TOTAL]]/1.21</f>
        <v>0</v>
      </c>
      <c r="I1725" s="183">
        <f>ventas_b_mes1[[#This Row],[IMPORTE NETO]]*0.21</f>
        <v>0</v>
      </c>
      <c r="J1725" s="184"/>
      <c r="K1725" s="184"/>
      <c r="L1725" s="184"/>
      <c r="M1725" s="59"/>
    </row>
    <row r="1726" spans="2:13" x14ac:dyDescent="0.3">
      <c r="B1726" s="178"/>
      <c r="C1726" s="179"/>
      <c r="D1726" s="180"/>
      <c r="E1726" s="181"/>
      <c r="F1726" s="182"/>
      <c r="G1726" s="1" t="str">
        <f>IFERROR(IF(ventas_b_mes1[[#This Row],[CUIT]]="","-",VLOOKUP(ventas_b_mes1[[#This Row],[CUIT]],Lista_CUIT[#All],2,0)),"CUIT NO CARGADO")</f>
        <v>-</v>
      </c>
      <c r="H1726" s="64">
        <f>ventas_b_mes1[[#This Row],[TOTAL]]/1.21</f>
        <v>0</v>
      </c>
      <c r="I1726" s="183">
        <f>ventas_b_mes1[[#This Row],[IMPORTE NETO]]*0.21</f>
        <v>0</v>
      </c>
      <c r="J1726" s="184"/>
      <c r="K1726" s="184"/>
      <c r="L1726" s="184"/>
      <c r="M1726" s="59"/>
    </row>
    <row r="1727" spans="2:13" x14ac:dyDescent="0.3">
      <c r="B1727" s="178"/>
      <c r="C1727" s="179"/>
      <c r="D1727" s="180"/>
      <c r="E1727" s="181"/>
      <c r="F1727" s="182"/>
      <c r="G1727" s="1" t="str">
        <f>IFERROR(IF(ventas_b_mes1[[#This Row],[CUIT]]="","-",VLOOKUP(ventas_b_mes1[[#This Row],[CUIT]],Lista_CUIT[#All],2,0)),"CUIT NO CARGADO")</f>
        <v>-</v>
      </c>
      <c r="H1727" s="64">
        <f>ventas_b_mes1[[#This Row],[TOTAL]]/1.21</f>
        <v>0</v>
      </c>
      <c r="I1727" s="183">
        <f>ventas_b_mes1[[#This Row],[IMPORTE NETO]]*0.21</f>
        <v>0</v>
      </c>
      <c r="J1727" s="184"/>
      <c r="K1727" s="184"/>
      <c r="L1727" s="184"/>
      <c r="M1727" s="59"/>
    </row>
    <row r="1728" spans="2:13" x14ac:dyDescent="0.3">
      <c r="B1728" s="178"/>
      <c r="C1728" s="179"/>
      <c r="D1728" s="180"/>
      <c r="E1728" s="181"/>
      <c r="F1728" s="182"/>
      <c r="G1728" s="1" t="str">
        <f>IFERROR(IF(ventas_b_mes1[[#This Row],[CUIT]]="","-",VLOOKUP(ventas_b_mes1[[#This Row],[CUIT]],Lista_CUIT[#All],2,0)),"CUIT NO CARGADO")</f>
        <v>-</v>
      </c>
      <c r="H1728" s="64">
        <f>ventas_b_mes1[[#This Row],[TOTAL]]/1.21</f>
        <v>0</v>
      </c>
      <c r="I1728" s="183">
        <f>ventas_b_mes1[[#This Row],[IMPORTE NETO]]*0.21</f>
        <v>0</v>
      </c>
      <c r="J1728" s="184"/>
      <c r="K1728" s="184"/>
      <c r="L1728" s="184"/>
      <c r="M1728" s="59"/>
    </row>
    <row r="1729" spans="2:13" x14ac:dyDescent="0.3">
      <c r="B1729" s="178"/>
      <c r="C1729" s="179"/>
      <c r="D1729" s="180"/>
      <c r="E1729" s="181"/>
      <c r="F1729" s="182"/>
      <c r="G1729" s="1" t="str">
        <f>IFERROR(IF(ventas_b_mes1[[#This Row],[CUIT]]="","-",VLOOKUP(ventas_b_mes1[[#This Row],[CUIT]],Lista_CUIT[#All],2,0)),"CUIT NO CARGADO")</f>
        <v>-</v>
      </c>
      <c r="H1729" s="64">
        <f>ventas_b_mes1[[#This Row],[TOTAL]]/1.21</f>
        <v>0</v>
      </c>
      <c r="I1729" s="183">
        <f>ventas_b_mes1[[#This Row],[IMPORTE NETO]]*0.21</f>
        <v>0</v>
      </c>
      <c r="J1729" s="184"/>
      <c r="K1729" s="184"/>
      <c r="L1729" s="184"/>
      <c r="M1729" s="59"/>
    </row>
    <row r="1730" spans="2:13" x14ac:dyDescent="0.3">
      <c r="B1730" s="178"/>
      <c r="C1730" s="179"/>
      <c r="D1730" s="180"/>
      <c r="E1730" s="181"/>
      <c r="F1730" s="182"/>
      <c r="G1730" s="1" t="str">
        <f>IFERROR(IF(ventas_b_mes1[[#This Row],[CUIT]]="","-",VLOOKUP(ventas_b_mes1[[#This Row],[CUIT]],Lista_CUIT[#All],2,0)),"CUIT NO CARGADO")</f>
        <v>-</v>
      </c>
      <c r="H1730" s="64">
        <f>ventas_b_mes1[[#This Row],[TOTAL]]/1.21</f>
        <v>0</v>
      </c>
      <c r="I1730" s="183">
        <f>ventas_b_mes1[[#This Row],[IMPORTE NETO]]*0.21</f>
        <v>0</v>
      </c>
      <c r="J1730" s="184"/>
      <c r="K1730" s="184"/>
      <c r="L1730" s="184"/>
      <c r="M1730" s="59"/>
    </row>
    <row r="1731" spans="2:13" x14ac:dyDescent="0.3">
      <c r="B1731" s="178"/>
      <c r="C1731" s="179"/>
      <c r="D1731" s="180"/>
      <c r="E1731" s="181"/>
      <c r="F1731" s="182"/>
      <c r="G1731" s="1" t="str">
        <f>IFERROR(IF(ventas_b_mes1[[#This Row],[CUIT]]="","-",VLOOKUP(ventas_b_mes1[[#This Row],[CUIT]],Lista_CUIT[#All],2,0)),"CUIT NO CARGADO")</f>
        <v>-</v>
      </c>
      <c r="H1731" s="64">
        <f>ventas_b_mes1[[#This Row],[TOTAL]]/1.21</f>
        <v>0</v>
      </c>
      <c r="I1731" s="183">
        <f>ventas_b_mes1[[#This Row],[IMPORTE NETO]]*0.21</f>
        <v>0</v>
      </c>
      <c r="J1731" s="184"/>
      <c r="K1731" s="184"/>
      <c r="L1731" s="184"/>
      <c r="M1731" s="59"/>
    </row>
    <row r="1732" spans="2:13" x14ac:dyDescent="0.3">
      <c r="B1732" s="178"/>
      <c r="C1732" s="179"/>
      <c r="D1732" s="180"/>
      <c r="E1732" s="181"/>
      <c r="F1732" s="182"/>
      <c r="G1732" s="1" t="str">
        <f>IFERROR(IF(ventas_b_mes1[[#This Row],[CUIT]]="","-",VLOOKUP(ventas_b_mes1[[#This Row],[CUIT]],Lista_CUIT[#All],2,0)),"CUIT NO CARGADO")</f>
        <v>-</v>
      </c>
      <c r="H1732" s="64">
        <f>ventas_b_mes1[[#This Row],[TOTAL]]/1.21</f>
        <v>0</v>
      </c>
      <c r="I1732" s="183">
        <f>ventas_b_mes1[[#This Row],[IMPORTE NETO]]*0.21</f>
        <v>0</v>
      </c>
      <c r="J1732" s="184"/>
      <c r="K1732" s="184"/>
      <c r="L1732" s="184"/>
      <c r="M1732" s="59"/>
    </row>
    <row r="1733" spans="2:13" x14ac:dyDescent="0.3">
      <c r="B1733" s="178"/>
      <c r="C1733" s="179"/>
      <c r="D1733" s="180"/>
      <c r="E1733" s="181"/>
      <c r="F1733" s="182"/>
      <c r="G1733" s="1" t="str">
        <f>IFERROR(IF(ventas_b_mes1[[#This Row],[CUIT]]="","-",VLOOKUP(ventas_b_mes1[[#This Row],[CUIT]],Lista_CUIT[#All],2,0)),"CUIT NO CARGADO")</f>
        <v>-</v>
      </c>
      <c r="H1733" s="64">
        <f>ventas_b_mes1[[#This Row],[TOTAL]]/1.21</f>
        <v>0</v>
      </c>
      <c r="I1733" s="183">
        <f>ventas_b_mes1[[#This Row],[IMPORTE NETO]]*0.21</f>
        <v>0</v>
      </c>
      <c r="J1733" s="184"/>
      <c r="K1733" s="184"/>
      <c r="L1733" s="184"/>
      <c r="M1733" s="59"/>
    </row>
    <row r="1734" spans="2:13" x14ac:dyDescent="0.3">
      <c r="B1734" s="178"/>
      <c r="C1734" s="179"/>
      <c r="D1734" s="180"/>
      <c r="E1734" s="181"/>
      <c r="F1734" s="182"/>
      <c r="G1734" s="1" t="str">
        <f>IFERROR(IF(ventas_b_mes1[[#This Row],[CUIT]]="","-",VLOOKUP(ventas_b_mes1[[#This Row],[CUIT]],Lista_CUIT[#All],2,0)),"CUIT NO CARGADO")</f>
        <v>-</v>
      </c>
      <c r="H1734" s="64">
        <f>ventas_b_mes1[[#This Row],[TOTAL]]/1.21</f>
        <v>0</v>
      </c>
      <c r="I1734" s="183">
        <f>ventas_b_mes1[[#This Row],[IMPORTE NETO]]*0.21</f>
        <v>0</v>
      </c>
      <c r="J1734" s="184"/>
      <c r="K1734" s="184"/>
      <c r="L1734" s="184"/>
      <c r="M1734" s="59"/>
    </row>
    <row r="1735" spans="2:13" x14ac:dyDescent="0.3">
      <c r="B1735" s="178"/>
      <c r="C1735" s="179"/>
      <c r="D1735" s="180"/>
      <c r="E1735" s="181"/>
      <c r="F1735" s="182"/>
      <c r="G1735" s="1" t="str">
        <f>IFERROR(IF(ventas_b_mes1[[#This Row],[CUIT]]="","-",VLOOKUP(ventas_b_mes1[[#This Row],[CUIT]],Lista_CUIT[#All],2,0)),"CUIT NO CARGADO")</f>
        <v>-</v>
      </c>
      <c r="H1735" s="64">
        <f>ventas_b_mes1[[#This Row],[TOTAL]]/1.21</f>
        <v>0</v>
      </c>
      <c r="I1735" s="183">
        <f>ventas_b_mes1[[#This Row],[IMPORTE NETO]]*0.21</f>
        <v>0</v>
      </c>
      <c r="J1735" s="184"/>
      <c r="K1735" s="184"/>
      <c r="L1735" s="184"/>
      <c r="M1735" s="59"/>
    </row>
    <row r="1736" spans="2:13" x14ac:dyDescent="0.3">
      <c r="B1736" s="178"/>
      <c r="C1736" s="179"/>
      <c r="D1736" s="180"/>
      <c r="E1736" s="181"/>
      <c r="F1736" s="182"/>
      <c r="G1736" s="1" t="str">
        <f>IFERROR(IF(ventas_b_mes1[[#This Row],[CUIT]]="","-",VLOOKUP(ventas_b_mes1[[#This Row],[CUIT]],Lista_CUIT[#All],2,0)),"CUIT NO CARGADO")</f>
        <v>-</v>
      </c>
      <c r="H1736" s="64">
        <f>ventas_b_mes1[[#This Row],[TOTAL]]/1.21</f>
        <v>0</v>
      </c>
      <c r="I1736" s="183">
        <f>ventas_b_mes1[[#This Row],[IMPORTE NETO]]*0.21</f>
        <v>0</v>
      </c>
      <c r="J1736" s="184"/>
      <c r="K1736" s="184"/>
      <c r="L1736" s="184"/>
      <c r="M1736" s="59"/>
    </row>
    <row r="1737" spans="2:13" x14ac:dyDescent="0.3">
      <c r="B1737" s="178"/>
      <c r="C1737" s="179"/>
      <c r="D1737" s="180"/>
      <c r="E1737" s="181"/>
      <c r="F1737" s="182"/>
      <c r="G1737" s="1" t="str">
        <f>IFERROR(IF(ventas_b_mes1[[#This Row],[CUIT]]="","-",VLOOKUP(ventas_b_mes1[[#This Row],[CUIT]],Lista_CUIT[#All],2,0)),"CUIT NO CARGADO")</f>
        <v>-</v>
      </c>
      <c r="H1737" s="64">
        <f>ventas_b_mes1[[#This Row],[TOTAL]]/1.21</f>
        <v>0</v>
      </c>
      <c r="I1737" s="183">
        <f>ventas_b_mes1[[#This Row],[IMPORTE NETO]]*0.21</f>
        <v>0</v>
      </c>
      <c r="J1737" s="184"/>
      <c r="K1737" s="184"/>
      <c r="L1737" s="184"/>
      <c r="M1737" s="59"/>
    </row>
    <row r="1738" spans="2:13" x14ac:dyDescent="0.3">
      <c r="B1738" s="40"/>
      <c r="C1738" s="41"/>
      <c r="D1738" s="42"/>
      <c r="E1738" s="43"/>
      <c r="F1738" s="44"/>
      <c r="G1738" s="1" t="str">
        <f>IFERROR(IF(ventas_b_mes1[[#This Row],[CUIT]]="","-",VLOOKUP(ventas_b_mes1[[#This Row],[CUIT]],Lista_CUIT[#All],2,0)),"CUIT NO CARGADO")</f>
        <v>-</v>
      </c>
      <c r="H1738" s="64">
        <f>ventas_b_mes1[[#This Row],[TOTAL]]/1.21</f>
        <v>0</v>
      </c>
      <c r="I1738" s="64">
        <f>ventas_b_mes1[[#This Row],[IMPORTE NETO]]*0.21</f>
        <v>0</v>
      </c>
      <c r="J1738" s="64"/>
      <c r="K1738" s="64"/>
      <c r="L1738" s="64"/>
      <c r="M1738" s="59"/>
    </row>
    <row r="1739" spans="2:13" x14ac:dyDescent="0.3">
      <c r="B1739" s="40"/>
      <c r="C1739" s="41"/>
      <c r="D1739" s="42"/>
      <c r="E1739" s="43"/>
      <c r="F1739" s="44"/>
      <c r="G1739" s="1" t="str">
        <f>IFERROR(IF(ventas_b_mes1[[#This Row],[CUIT]]="","-",VLOOKUP(ventas_b_mes1[[#This Row],[CUIT]],Lista_CUIT[#All],2,0)),"CUIT NO CARGADO")</f>
        <v>-</v>
      </c>
      <c r="H1739" s="64">
        <f>ventas_b_mes1[[#This Row],[TOTAL]]/1.21</f>
        <v>0</v>
      </c>
      <c r="I1739" s="64">
        <f>ventas_b_mes1[[#This Row],[IMPORTE NETO]]*0.21</f>
        <v>0</v>
      </c>
      <c r="J1739" s="64"/>
      <c r="K1739" s="64"/>
      <c r="L1739" s="64"/>
      <c r="M1739" s="59"/>
    </row>
    <row r="1740" spans="2:13" x14ac:dyDescent="0.3">
      <c r="B1740" s="40"/>
      <c r="C1740" s="41"/>
      <c r="D1740" s="42"/>
      <c r="E1740" s="43"/>
      <c r="F1740" s="44"/>
      <c r="G1740" s="1" t="str">
        <f>IFERROR(IF(ventas_b_mes1[[#This Row],[CUIT]]="","-",VLOOKUP(ventas_b_mes1[[#This Row],[CUIT]],Lista_CUIT[#All],2,0)),"CUIT NO CARGADO")</f>
        <v>-</v>
      </c>
      <c r="H1740" s="64">
        <f>ventas_b_mes1[[#This Row],[TOTAL]]/1.21</f>
        <v>0</v>
      </c>
      <c r="I1740" s="64">
        <f>ventas_b_mes1[[#This Row],[IMPORTE NETO]]*0.21</f>
        <v>0</v>
      </c>
      <c r="J1740" s="64"/>
      <c r="K1740" s="64"/>
      <c r="L1740" s="64"/>
      <c r="M1740" s="59"/>
    </row>
    <row r="1741" spans="2:13" x14ac:dyDescent="0.3">
      <c r="B1741" s="40"/>
      <c r="C1741" s="41"/>
      <c r="D1741" s="42"/>
      <c r="E1741" s="43"/>
      <c r="F1741" s="44"/>
      <c r="G1741" s="1" t="str">
        <f>IFERROR(IF(ventas_b_mes1[[#This Row],[CUIT]]="","-",VLOOKUP(ventas_b_mes1[[#This Row],[CUIT]],Lista_CUIT[#All],2,0)),"CUIT NO CARGADO")</f>
        <v>-</v>
      </c>
      <c r="H1741" s="64">
        <f>ventas_b_mes1[[#This Row],[TOTAL]]/1.21</f>
        <v>0</v>
      </c>
      <c r="I1741" s="64">
        <f>ventas_b_mes1[[#This Row],[IMPORTE NETO]]*0.21</f>
        <v>0</v>
      </c>
      <c r="J1741" s="64"/>
      <c r="K1741" s="64"/>
      <c r="L1741" s="64"/>
      <c r="M1741" s="59"/>
    </row>
    <row r="1742" spans="2:13" x14ac:dyDescent="0.3">
      <c r="B1742" s="40"/>
      <c r="C1742" s="41"/>
      <c r="D1742" s="42"/>
      <c r="E1742" s="43"/>
      <c r="F1742" s="44"/>
      <c r="G1742" s="1" t="str">
        <f>IFERROR(IF(ventas_b_mes1[[#This Row],[CUIT]]="","-",VLOOKUP(ventas_b_mes1[[#This Row],[CUIT]],Lista_CUIT[#All],2,0)),"CUIT NO CARGADO")</f>
        <v>-</v>
      </c>
      <c r="H1742" s="64">
        <f>ventas_b_mes1[[#This Row],[TOTAL]]/1.21</f>
        <v>0</v>
      </c>
      <c r="I1742" s="64">
        <f>ventas_b_mes1[[#This Row],[IMPORTE NETO]]*0.21</f>
        <v>0</v>
      </c>
      <c r="J1742" s="64"/>
      <c r="K1742" s="64"/>
      <c r="L1742" s="64"/>
      <c r="M1742" s="59"/>
    </row>
    <row r="1743" spans="2:13" x14ac:dyDescent="0.3">
      <c r="B1743" s="66" t="s">
        <v>103</v>
      </c>
      <c r="C1743" s="67"/>
      <c r="D1743" s="67"/>
      <c r="E1743" s="67"/>
      <c r="F1743" s="67"/>
      <c r="G1743" s="67"/>
      <c r="H1743" s="77">
        <f>SUBTOTAL(109,ventas_b_mes1[IMPORTE NETO])</f>
        <v>0</v>
      </c>
      <c r="I1743" s="77">
        <f>SUBTOTAL(109,ventas_b_mes1[IVA 21%])</f>
        <v>0</v>
      </c>
      <c r="J1743" s="78">
        <f>SUBTOTAL(109,ventas_b_mes1[IVA 10,5%])</f>
        <v>0</v>
      </c>
      <c r="K1743" s="78">
        <f>SUBTOTAL(109,ventas_b_mes1[EXENTO])</f>
        <v>0</v>
      </c>
      <c r="L1743" s="78">
        <f>SUBTOTAL(109,ventas_b_mes1[TOTAL])</f>
        <v>0</v>
      </c>
      <c r="M1743" s="68">
        <f>SUBTOTAL(103,ventas_b_mes1[Provincia])</f>
        <v>0</v>
      </c>
    </row>
    <row r="1750" spans="3:12" ht="15" thickBot="1" x14ac:dyDescent="0.35"/>
    <row r="1751" spans="3:12" ht="15" thickTop="1" x14ac:dyDescent="0.3">
      <c r="C1751" s="651" t="s">
        <v>66</v>
      </c>
      <c r="D1751" s="651"/>
      <c r="E1751" s="651"/>
      <c r="F1751" s="651"/>
      <c r="G1751" s="651"/>
      <c r="H1751" s="32"/>
      <c r="I1751" s="32"/>
      <c r="J1751" s="32"/>
    </row>
    <row r="1752" spans="3:12" ht="15.6" x14ac:dyDescent="0.3">
      <c r="C1752" s="114" t="s">
        <v>67</v>
      </c>
      <c r="D1752" s="115" t="s">
        <v>68</v>
      </c>
      <c r="E1752" s="115" t="s">
        <v>105</v>
      </c>
      <c r="F1752" s="115" t="s">
        <v>3</v>
      </c>
      <c r="G1752" s="115" t="s">
        <v>4</v>
      </c>
      <c r="H1752" s="116" t="s">
        <v>69</v>
      </c>
      <c r="I1752" s="116" t="s">
        <v>70</v>
      </c>
      <c r="J1752" s="116" t="s">
        <v>71</v>
      </c>
      <c r="K1752" s="116" t="s">
        <v>72</v>
      </c>
      <c r="L1752" s="116" t="s">
        <v>73</v>
      </c>
    </row>
    <row r="1753" spans="3:12" x14ac:dyDescent="0.3">
      <c r="C1753" s="117"/>
      <c r="D1753" s="118"/>
      <c r="E1753" s="118"/>
      <c r="F1753" s="119"/>
      <c r="G1753" s="53" t="str">
        <f>IFERROR(IF(retenciones_mes1[[#This Row],[CUIT]]="","-",VLOOKUP(retenciones_mes1[[#This Row],[CUIT]],Lista_CUIT[#All],2,0)),"CUIT NO CARGADO")</f>
        <v>-</v>
      </c>
      <c r="H1753" s="120"/>
      <c r="I1753" s="120"/>
      <c r="J1753" s="120"/>
      <c r="K1753" s="120"/>
      <c r="L1753" s="120"/>
    </row>
    <row r="1754" spans="3:12" x14ac:dyDescent="0.3">
      <c r="C1754" s="117"/>
      <c r="D1754" s="118"/>
      <c r="E1754" s="118"/>
      <c r="F1754" s="119"/>
      <c r="G1754" s="53" t="str">
        <f>IFERROR(IF(retenciones_mes1[[#This Row],[CUIT]]="","-",VLOOKUP(retenciones_mes1[[#This Row],[CUIT]],Lista_CUIT[#All],2,0)),"CUIT NO CARGADO")</f>
        <v>-</v>
      </c>
      <c r="H1754" s="120"/>
      <c r="I1754" s="120"/>
      <c r="J1754" s="120"/>
      <c r="K1754" s="120"/>
      <c r="L1754" s="120"/>
    </row>
    <row r="1755" spans="3:12" x14ac:dyDescent="0.3">
      <c r="C1755" s="117"/>
      <c r="D1755" s="118"/>
      <c r="E1755" s="118"/>
      <c r="F1755" s="119"/>
      <c r="G1755" s="53" t="str">
        <f>IFERROR(IF(retenciones_mes1[[#This Row],[CUIT]]="","-",VLOOKUP(retenciones_mes1[[#This Row],[CUIT]],Lista_CUIT[#All],2,0)),"CUIT NO CARGADO")</f>
        <v>-</v>
      </c>
      <c r="H1755" s="120"/>
      <c r="I1755" s="120"/>
      <c r="J1755" s="120"/>
      <c r="K1755" s="120"/>
      <c r="L1755" s="120"/>
    </row>
    <row r="1756" spans="3:12" x14ac:dyDescent="0.3">
      <c r="C1756" s="117"/>
      <c r="D1756" s="118"/>
      <c r="E1756" s="118"/>
      <c r="F1756" s="119"/>
      <c r="G1756" s="53" t="str">
        <f>IFERROR(IF(retenciones_mes1[[#This Row],[CUIT]]="","-",VLOOKUP(retenciones_mes1[[#This Row],[CUIT]],Lista_CUIT[#All],2,0)),"CUIT NO CARGADO")</f>
        <v>-</v>
      </c>
      <c r="H1756" s="120"/>
      <c r="I1756" s="120"/>
      <c r="J1756" s="120"/>
      <c r="K1756" s="120"/>
      <c r="L1756" s="120"/>
    </row>
    <row r="1757" spans="3:12" x14ac:dyDescent="0.3">
      <c r="D1757" s="118"/>
      <c r="E1757" s="118"/>
      <c r="G1757" s="53" t="str">
        <f>IFERROR(IF(retenciones_mes1[[#This Row],[CUIT]]="","-",VLOOKUP(retenciones_mes1[[#This Row],[CUIT]],Lista_CUIT[#All],2,0)),"CUIT NO CARGADO")</f>
        <v>-</v>
      </c>
    </row>
    <row r="1758" spans="3:12" x14ac:dyDescent="0.3">
      <c r="C1758" s="33"/>
    </row>
  </sheetData>
  <mergeCells count="20">
    <mergeCell ref="D148:K148"/>
    <mergeCell ref="P4:R4"/>
    <mergeCell ref="P3:R3"/>
    <mergeCell ref="J3:K3"/>
    <mergeCell ref="J4:K4"/>
    <mergeCell ref="M4:N4"/>
    <mergeCell ref="M3:N3"/>
    <mergeCell ref="C1751:G1751"/>
    <mergeCell ref="N1:R1"/>
    <mergeCell ref="D136:L136"/>
    <mergeCell ref="B174:C174"/>
    <mergeCell ref="B291:C291"/>
    <mergeCell ref="B1:F1"/>
    <mergeCell ref="G1:M1"/>
    <mergeCell ref="K172:M172"/>
    <mergeCell ref="B3:E3"/>
    <mergeCell ref="B4:E4"/>
    <mergeCell ref="G4:H4"/>
    <mergeCell ref="G3:H3"/>
    <mergeCell ref="B172:J172"/>
  </mergeCells>
  <phoneticPr fontId="38" type="noConversion"/>
  <dataValidations count="19">
    <dataValidation type="whole" allowBlank="1" showInputMessage="1" showErrorMessage="1" sqref="D9:D130 E150:E165 D293:D1742 D176:D287" xr:uid="{00000000-0002-0000-0100-000000000000}">
      <formula1>1</formula1>
      <formula2>9999</formula2>
    </dataValidation>
    <dataValidation type="whole" allowBlank="1" showInputMessage="1" showErrorMessage="1" sqref="E9:E130 F150:F165 E293:E1742 E176:E287" xr:uid="{00000000-0002-0000-0100-000001000000}">
      <formula1>1</formula1>
      <formula2>99999999</formula2>
    </dataValidation>
    <dataValidation type="whole" allowBlank="1" showInputMessage="1" showErrorMessage="1" sqref="F293:F1742 G150:G165 F9:F130 F176:F287" xr:uid="{00000000-0002-0000-0100-000002000000}">
      <formula1>20000000000</formula1>
      <formula2>33999999999</formula2>
    </dataValidation>
    <dataValidation type="date" allowBlank="1" showInputMessage="1" showErrorMessage="1" sqref="B9:B130 D138:D144 D150:D165 B132:B135 B293:B1742 B176:B287" xr:uid="{00000000-0002-0000-0100-000003000000}">
      <formula1>40179</formula1>
      <formula2>TODAY()</formula2>
    </dataValidation>
    <dataValidation type="whole" allowBlank="1" showInputMessage="1" showErrorMessage="1" sqref="C132:C135 C9:C130 C176:C287" xr:uid="{00000000-0002-0000-0100-000004000000}">
      <formula1>1</formula1>
      <formula2>3</formula2>
    </dataValidation>
    <dataValidation type="custom" allowBlank="1" showInputMessage="1" showErrorMessage="1" sqref="H176:K176" xr:uid="{00000000-0002-0000-0100-000005000000}">
      <formula1>IF($C176=3,H176&lt;0,H176&gt;=0)</formula1>
    </dataValidation>
    <dataValidation type="whole" allowBlank="1" showInputMessage="1" showErrorMessage="1" sqref="C293:C1742" xr:uid="{00000000-0002-0000-0100-000006000000}">
      <formula1>6</formula1>
      <formula2>8</formula2>
    </dataValidation>
    <dataValidation type="custom" allowBlank="1" showInputMessage="1" showErrorMessage="1" sqref="H293:L1742" xr:uid="{00000000-0002-0000-0100-000007000000}">
      <formula1>IF($C293=8,H293&lt;0,H293&gt;=0)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30" xr:uid="{00000000-0002-0000-0100-000008000000}">
      <formula1>IF($C9=3,H9&lt;0,H9&gt;=0)</formula1>
    </dataValidation>
    <dataValidation type="custom" allowBlank="1" showInputMessage="1" showErrorMessage="1" sqref="L286:L287" xr:uid="{00000000-0002-0000-0100-000009000000}">
      <formula1>IF($C11=3,L11&lt;0,L11&gt;=0)</formula1>
    </dataValidation>
    <dataValidation type="custom" allowBlank="1" showInputMessage="1" showErrorMessage="1" sqref="L192:L198" xr:uid="{00000000-0002-0000-0100-00000A000000}">
      <formula1>IF($C11=3,L11&lt;0,L11&gt;=0)</formula1>
    </dataValidation>
    <dataValidation type="custom" allowBlank="1" showInputMessage="1" showErrorMessage="1" sqref="L176:L184" xr:uid="{00000000-0002-0000-0100-00000B000000}">
      <formula1>IF($C9=3,L9&lt;0,L9&gt;=0)</formula1>
    </dataValidation>
    <dataValidation type="custom" allowBlank="1" showInputMessage="1" showErrorMessage="1" sqref="L185:L191" xr:uid="{00000000-0002-0000-0100-00000C000000}">
      <formula1>IF($C11=3,L11&lt;0,L11&gt;=0)</formula1>
    </dataValidation>
    <dataValidation type="custom" allowBlank="1" showInputMessage="1" showErrorMessage="1" sqref="L199:L230" xr:uid="{00000000-0002-0000-0100-00000D000000}">
      <formula1>IF($C11=3,L11&lt;0,L11&gt;=0)</formula1>
    </dataValidation>
    <dataValidation type="custom" allowBlank="1" showInputMessage="1" showErrorMessage="1" sqref="L231" xr:uid="{00000000-0002-0000-0100-00000E000000}">
      <formula1>IF($C25=3,L25&lt;0,L25&gt;=0)</formula1>
    </dataValidation>
    <dataValidation type="custom" allowBlank="1" showInputMessage="1" showErrorMessage="1" sqref="L281:L285" xr:uid="{00000000-0002-0000-0100-00000F000000}">
      <formula1>IF($C13=3,L13&lt;0,L13&gt;=0)</formula1>
    </dataValidation>
    <dataValidation type="custom" allowBlank="1" showInputMessage="1" showErrorMessage="1" sqref="L265:L280" xr:uid="{00000000-0002-0000-0100-000010000000}">
      <formula1>IF($C13=3,L13&lt;0,L13&gt;=0)</formula1>
    </dataValidation>
    <dataValidation type="custom" allowBlank="1" showInputMessage="1" showErrorMessage="1" sqref="L232:L248" xr:uid="{00000000-0002-0000-0100-000011000000}">
      <formula1>IF($C12=3,L12&lt;0,L12&gt;=0)</formula1>
    </dataValidation>
    <dataValidation type="custom" allowBlank="1" showInputMessage="1" showErrorMessage="1" sqref="L249:L264" xr:uid="{00000000-0002-0000-0100-000012000000}">
      <formula1>IF($C13=3,L13&lt;0,L13&gt;=0)</formula1>
    </dataValidation>
  </dataValidations>
  <pageMargins left="0.25" right="0.25" top="0.75" bottom="0.75" header="0.3" footer="0.3"/>
  <pageSetup paperSize="9" scale="49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  <pageSetUpPr fitToPage="1"/>
  </sheetPr>
  <dimension ref="A1:Z220"/>
  <sheetViews>
    <sheetView showGridLines="0" tabSelected="1" topLeftCell="F147" zoomScale="80" zoomScaleNormal="80" workbookViewId="0">
      <selection activeCell="J154" sqref="J154"/>
    </sheetView>
  </sheetViews>
  <sheetFormatPr baseColWidth="10" defaultColWidth="0" defaultRowHeight="14.4" x14ac:dyDescent="0.3"/>
  <cols>
    <col min="1" max="1" width="1.6640625" customWidth="1"/>
    <col min="2" max="2" width="13.5546875" customWidth="1"/>
    <col min="3" max="3" width="9.5546875" customWidth="1"/>
    <col min="4" max="4" width="13.33203125" customWidth="1"/>
    <col min="5" max="5" width="15.88671875" customWidth="1"/>
    <col min="6" max="6" width="31.6640625" customWidth="1"/>
    <col min="7" max="7" width="16.88671875" customWidth="1"/>
    <col min="8" max="8" width="15.5546875" customWidth="1"/>
    <col min="9" max="9" width="14" customWidth="1"/>
    <col min="10" max="10" width="11.44140625" customWidth="1"/>
    <col min="11" max="11" width="14.44140625" customWidth="1"/>
    <col min="12" max="12" width="11.44140625" customWidth="1"/>
    <col min="13" max="13" width="12.88671875" customWidth="1"/>
    <col min="14" max="14" width="13.33203125" customWidth="1"/>
    <col min="15" max="15" width="12.44140625" customWidth="1"/>
    <col min="16" max="16" width="20.33203125" customWidth="1"/>
    <col min="17" max="17" width="20.109375" bestFit="1" customWidth="1"/>
    <col min="18" max="18" width="15.6640625" bestFit="1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0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EDATE('Ene-23'!N1,1)</f>
        <v>44958</v>
      </c>
      <c r="O1" s="652"/>
      <c r="P1" s="652"/>
      <c r="Q1" s="652"/>
      <c r="R1" s="652"/>
    </row>
    <row r="2" spans="1:20" ht="15" customHeight="1" x14ac:dyDescent="0.3"/>
    <row r="3" spans="1:20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0" ht="25.2" customHeight="1" x14ac:dyDescent="0.4">
      <c r="B4" s="659">
        <f>SUM(compras_mes2[[#Totals],[NETO GRAVADO]])+extracto_banco_mes2[[#Totals],[NETO]]</f>
        <v>15123306.750000002</v>
      </c>
      <c r="C4" s="659"/>
      <c r="D4" s="659"/>
      <c r="E4" s="659"/>
      <c r="F4" s="39"/>
      <c r="G4" s="660">
        <f>compras_mes2[[#Totals],[IVA 21 %]]+compras_mes2[[#Totals],[IVA 27%]]+compras_mes2[[#Totals],[IVA 10,5%]]+extracto_banco_mes2[[#Totals],[IVA 21%]]+extracto_banco_mes2[[#Totals],[IVA 10,5%]]</f>
        <v>2883120.7233501454</v>
      </c>
      <c r="H4" s="660"/>
      <c r="I4" s="39"/>
      <c r="J4" s="649">
        <f>venta_a_mes2[[#Totals],[IMPORTE NETO]]+ventas_b_mes2[[#Totals],[IMPORTE NETO]]</f>
        <v>0</v>
      </c>
      <c r="K4" s="649"/>
      <c r="L4" s="39"/>
      <c r="M4" s="649">
        <f>venta_a_mes2[[#Totals],[IVA 21%]]+venta_a_mes2[[#Totals],[IVA 10,5%]]+ventas_b_mes2[[#Totals],[IVA 21%]]+ventas_b_mes2[[#Totals],[IVA 10,5%]]</f>
        <v>0</v>
      </c>
      <c r="N4" s="649"/>
      <c r="O4" s="39"/>
      <c r="P4" s="662">
        <f>G4-M4</f>
        <v>2883120.7233501454</v>
      </c>
      <c r="Q4" s="663"/>
      <c r="R4" s="663"/>
    </row>
    <row r="5" spans="1:20" ht="17.25" customHeight="1" x14ac:dyDescent="0.3"/>
    <row r="6" spans="1:20" ht="18.75" customHeight="1" x14ac:dyDescent="0.3">
      <c r="F6" s="307" t="s">
        <v>1740</v>
      </c>
    </row>
    <row r="7" spans="1:20" ht="38.4" customHeight="1" x14ac:dyDescent="0.3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0" s="229" customFormat="1" x14ac:dyDescent="0.3">
      <c r="A8"/>
      <c r="B8" s="40">
        <v>44924</v>
      </c>
      <c r="C8" s="41">
        <v>1</v>
      </c>
      <c r="D8" s="42">
        <v>16</v>
      </c>
      <c r="E8" s="43">
        <v>7026</v>
      </c>
      <c r="F8" s="44">
        <v>30707841105</v>
      </c>
      <c r="G8" s="45" t="str">
        <f>IFERROR(IF(compras_mes2[[#This Row],[CUIT]]="","-",VLOOKUP(compras_mes2[[#This Row],[CUIT]],Lista_CUIT[#All],2,0)),"CUIT NO CARGADO")</f>
        <v>PETRO ARG SRL</v>
      </c>
      <c r="H8" s="46">
        <v>4047.04</v>
      </c>
      <c r="I8" s="85">
        <f>IF(compras_mes2[[#This Row],[NETO GRAVADO]]="","",compras_mes2[[#This Row],[NETO GRAVADO]]*0.21)</f>
        <v>849.87839999999994</v>
      </c>
      <c r="J8" s="85"/>
      <c r="K8" s="85"/>
      <c r="L8" s="85"/>
      <c r="M8" s="85"/>
      <c r="N8" s="85"/>
      <c r="O8" s="85">
        <v>903.49</v>
      </c>
      <c r="P8" s="48">
        <f>SUM(compras_mes2[[#This Row],[NETO GRAVADO]:[Otros / No Grav.]])</f>
        <v>5800.4083999999993</v>
      </c>
      <c r="Q8" s="49" t="str">
        <f>IFERROR(IF(compras_mes2[[#This Row],[CUIT]]="","-",VLOOKUP(compras_mes2[[#This Row],[CUIT]],Lista_CUIT[#All],3,0)),"CUIT NO CARGADO")</f>
        <v>Combustible</v>
      </c>
      <c r="R8" s="49">
        <f>IFERROR(IF(compras_mes2[[#This Row],[CUIT]]="","-",VLOOKUP(compras_mes2[[#This Row],[CUIT]],Lista_CUIT[#All],4,0)),"CUIT NO CARGADO")</f>
        <v>0</v>
      </c>
      <c r="S8"/>
      <c r="T8"/>
    </row>
    <row r="9" spans="1:20" x14ac:dyDescent="0.3">
      <c r="B9" s="40">
        <v>44956</v>
      </c>
      <c r="C9" s="41">
        <v>1</v>
      </c>
      <c r="D9" s="42">
        <v>5</v>
      </c>
      <c r="E9" s="43">
        <v>202</v>
      </c>
      <c r="F9" s="44">
        <v>30716654105</v>
      </c>
      <c r="G9" s="45" t="str">
        <f>IFERROR(IF(compras_mes2[[#This Row],[CUIT]]="","-",VLOOKUP(compras_mes2[[#This Row],[CUIT]],Lista_CUIT[#All],2,0)),"CUIT NO CARGADO")</f>
        <v>CARNICA DEL NORTE S.R.L.</v>
      </c>
      <c r="H9" s="46">
        <v>4831.13</v>
      </c>
      <c r="I9" s="85"/>
      <c r="J9" s="85"/>
      <c r="K9" s="85">
        <f>compras_mes2[[#This Row],[NETO GRAVADO]]*10.5/100</f>
        <v>507.26864999999998</v>
      </c>
      <c r="L9" s="85"/>
      <c r="M9" s="85"/>
      <c r="N9" s="85"/>
      <c r="O9" s="85"/>
      <c r="P9" s="48">
        <f>SUM(compras_mes2[[#This Row],[NETO GRAVADO]:[Otros / No Grav.]])</f>
        <v>5338.3986500000001</v>
      </c>
      <c r="Q9" s="49">
        <f>IFERROR(IF(compras_mes2[[#This Row],[CUIT]]="","-",VLOOKUP(compras_mes2[[#This Row],[CUIT]],Lista_CUIT[#All],3,0)),"CUIT NO CARGADO")</f>
        <v>0</v>
      </c>
      <c r="R9" s="49">
        <f>IFERROR(IF(compras_mes2[[#This Row],[CUIT]]="","-",VLOOKUP(compras_mes2[[#This Row],[CUIT]],Lista_CUIT[#All],4,0)),"CUIT NO CARGADO")</f>
        <v>0</v>
      </c>
    </row>
    <row r="10" spans="1:20" s="229" customFormat="1" x14ac:dyDescent="0.3">
      <c r="A10"/>
      <c r="B10" s="40">
        <v>44957</v>
      </c>
      <c r="C10" s="41">
        <v>1</v>
      </c>
      <c r="D10" s="42">
        <v>16</v>
      </c>
      <c r="E10" s="43">
        <v>8183</v>
      </c>
      <c r="F10" s="44">
        <v>30707841105</v>
      </c>
      <c r="G10" s="45" t="str">
        <f>IFERROR(IF(compras_mes2[[#This Row],[CUIT]]="","-",VLOOKUP(compras_mes2[[#This Row],[CUIT]],Lista_CUIT[#All],2,0)),"CUIT NO CARGADO")</f>
        <v>PETRO ARG SRL</v>
      </c>
      <c r="H10" s="46">
        <v>7243.55</v>
      </c>
      <c r="I10" s="85">
        <f>IF(compras_mes2[[#This Row],[NETO GRAVADO]]="","",compras_mes2[[#This Row],[NETO GRAVADO]]*0.21)</f>
        <v>1521.1455000000001</v>
      </c>
      <c r="J10" s="85"/>
      <c r="K10" s="85"/>
      <c r="L10" s="85"/>
      <c r="M10" s="85"/>
      <c r="N10" s="85"/>
      <c r="O10" s="85">
        <v>1535.47</v>
      </c>
      <c r="P10" s="48">
        <f>SUM(compras_mes2[[#This Row],[NETO GRAVADO]:[Otros / No Grav.]])</f>
        <v>10300.165499999999</v>
      </c>
      <c r="Q10" s="49" t="str">
        <f>IFERROR(IF(compras_mes2[[#This Row],[CUIT]]="","-",VLOOKUP(compras_mes2[[#This Row],[CUIT]],Lista_CUIT[#All],3,0)),"CUIT NO CARGADO")</f>
        <v>Combustible</v>
      </c>
      <c r="R10" s="49">
        <f>IFERROR(IF(compras_mes2[[#This Row],[CUIT]]="","-",VLOOKUP(compras_mes2[[#This Row],[CUIT]],Lista_CUIT[#All],4,0)),"CUIT NO CARGADO")</f>
        <v>0</v>
      </c>
      <c r="S10"/>
      <c r="T10"/>
    </row>
    <row r="11" spans="1:20" s="229" customFormat="1" x14ac:dyDescent="0.3">
      <c r="A11"/>
      <c r="B11" s="40">
        <v>44958</v>
      </c>
      <c r="C11" s="41">
        <v>1</v>
      </c>
      <c r="D11" s="285">
        <v>7</v>
      </c>
      <c r="E11" s="43">
        <v>8333</v>
      </c>
      <c r="F11" s="44">
        <v>30708017759</v>
      </c>
      <c r="G11" s="45" t="str">
        <f>IFERROR(IF(compras_mes2[[#This Row],[CUIT]]="","-",VLOOKUP(compras_mes2[[#This Row],[CUIT]],Lista_CUIT[#All],2,0)),"CUIT NO CARGADO")</f>
        <v>NEW  HIGH PACK  SA</v>
      </c>
      <c r="H11" s="46">
        <v>538350</v>
      </c>
      <c r="I11" s="85">
        <f>IF(compras_mes2[[#This Row],[NETO GRAVADO]]="","",compras_mes2[[#This Row],[NETO GRAVADO]]*0.21)</f>
        <v>113053.5</v>
      </c>
      <c r="J11" s="85"/>
      <c r="K11" s="85"/>
      <c r="L11" s="85"/>
      <c r="M11" s="85">
        <v>32301</v>
      </c>
      <c r="N11" s="85"/>
      <c r="O11" s="85"/>
      <c r="P11" s="48">
        <f>SUM(compras_mes2[[#This Row],[NETO GRAVADO]:[Otros / No Grav.]])</f>
        <v>683704.5</v>
      </c>
      <c r="Q11" s="49">
        <f>IFERROR(IF(compras_mes2[[#This Row],[CUIT]]="","-",VLOOKUP(compras_mes2[[#This Row],[CUIT]],Lista_CUIT[#All],3,0)),"CUIT NO CARGADO")</f>
        <v>0</v>
      </c>
      <c r="R11" s="49">
        <f>IFERROR(IF(compras_mes2[[#This Row],[CUIT]]="","-",VLOOKUP(compras_mes2[[#This Row],[CUIT]],Lista_CUIT[#All],4,0)),"CUIT NO CARGADO")</f>
        <v>0</v>
      </c>
      <c r="S11"/>
      <c r="T11"/>
    </row>
    <row r="12" spans="1:20" s="229" customFormat="1" x14ac:dyDescent="0.3">
      <c r="A12"/>
      <c r="B12" s="249">
        <v>44958</v>
      </c>
      <c r="C12" s="250">
        <v>1</v>
      </c>
      <c r="D12" s="297">
        <v>6338</v>
      </c>
      <c r="E12" s="252">
        <v>221625</v>
      </c>
      <c r="F12" s="253">
        <v>30639453738</v>
      </c>
      <c r="G12" s="254" t="str">
        <f>IFERROR(IF(compras_mes2[[#This Row],[CUIT]]="","-",VLOOKUP(compras_mes2[[#This Row],[CUIT]],Lista_CUIT[#All],2,0)),"CUIT NO CARGADO")</f>
        <v>TELECOM ARG SA</v>
      </c>
      <c r="H12" s="255">
        <v>0.01</v>
      </c>
      <c r="I12" s="256">
        <f>IF(compras_mes2[[#This Row],[NETO GRAVADO]]="","",compras_mes2[[#This Row],[NETO GRAVADO]]*0.21)</f>
        <v>2.0999999999999999E-3</v>
      </c>
      <c r="J12" s="256"/>
      <c r="K12" s="256"/>
      <c r="L12" s="256"/>
      <c r="M12" s="256"/>
      <c r="N12" s="256"/>
      <c r="O12" s="256"/>
      <c r="P12" s="257">
        <f>SUM(compras_mes2[[#This Row],[NETO GRAVADO]:[Otros / No Grav.]])</f>
        <v>1.21E-2</v>
      </c>
      <c r="Q12" s="258" t="str">
        <f>IFERROR(IF(compras_mes2[[#This Row],[CUIT]]="","-",VLOOKUP(compras_mes2[[#This Row],[CUIT]],Lista_CUIT[#All],3,0)),"CUIT NO CARGADO")</f>
        <v>Servicios Gas, Luz, etc.</v>
      </c>
      <c r="R12" s="258">
        <f>IFERROR(IF(compras_mes2[[#This Row],[CUIT]]="","-",VLOOKUP(compras_mes2[[#This Row],[CUIT]],Lista_CUIT[#All],4,0)),"CUIT NO CARGADO")</f>
        <v>0</v>
      </c>
      <c r="S12"/>
      <c r="T12"/>
    </row>
    <row r="13" spans="1:20" s="229" customFormat="1" x14ac:dyDescent="0.3">
      <c r="A13"/>
      <c r="B13" s="89">
        <v>44958</v>
      </c>
      <c r="C13" s="41">
        <v>1</v>
      </c>
      <c r="D13" s="285">
        <v>1</v>
      </c>
      <c r="E13" s="92">
        <v>341</v>
      </c>
      <c r="F13" s="93">
        <v>20131206144</v>
      </c>
      <c r="G13" s="94" t="str">
        <f>IFERROR(IF(compras_mes2[[#This Row],[CUIT]]="","-",VLOOKUP(compras_mes2[[#This Row],[CUIT]],Lista_CUIT[#All],2,0)),"CUIT NO CARGADO")</f>
        <v>CHAMORRO MANUEL</v>
      </c>
      <c r="H13" s="95">
        <v>60000</v>
      </c>
      <c r="I13" s="85">
        <f>IF(compras_mes2[[#This Row],[NETO GRAVADO]]="","",compras_mes2[[#This Row],[NETO GRAVADO]]*0.21)</f>
        <v>12600</v>
      </c>
      <c r="J13" s="86"/>
      <c r="K13" s="86"/>
      <c r="L13" s="86"/>
      <c r="M13" s="86"/>
      <c r="N13" s="86"/>
      <c r="O13" s="86"/>
      <c r="P13" s="87">
        <f>SUM(compras_mes2[[#This Row],[NETO GRAVADO]:[Otros / No Grav.]])</f>
        <v>72600</v>
      </c>
      <c r="Q13" s="88" t="str">
        <f>IFERROR(IF(compras_mes2[[#This Row],[CUIT]]="","-",VLOOKUP(compras_mes2[[#This Row],[CUIT]],Lista_CUIT[#All],3,0)),"CUIT NO CARGADO")</f>
        <v>Alquiler</v>
      </c>
      <c r="R13" s="88">
        <f>IFERROR(IF(compras_mes2[[#This Row],[CUIT]]="","-",VLOOKUP(compras_mes2[[#This Row],[CUIT]],Lista_CUIT[#All],4,0)),"CUIT NO CARGADO")</f>
        <v>0</v>
      </c>
      <c r="S13"/>
      <c r="T13"/>
    </row>
    <row r="14" spans="1:20" s="229" customFormat="1" x14ac:dyDescent="0.3">
      <c r="A14"/>
      <c r="B14" s="89">
        <v>44958</v>
      </c>
      <c r="C14" s="41">
        <v>1</v>
      </c>
      <c r="D14" s="285">
        <v>7</v>
      </c>
      <c r="E14" s="92">
        <v>5459</v>
      </c>
      <c r="F14" s="93">
        <v>30715124919</v>
      </c>
      <c r="G14" s="94" t="str">
        <f>IFERROR(IF(compras_mes2[[#This Row],[CUIT]]="","-",VLOOKUP(compras_mes2[[#This Row],[CUIT]],Lista_CUIT[#All],2,0)),"CUIT NO CARGADO")</f>
        <v>CLEAN LAB SRL</v>
      </c>
      <c r="H14" s="95">
        <v>19851.62</v>
      </c>
      <c r="I14" s="85">
        <f>IF(compras_mes2[[#This Row],[NETO GRAVADO]]="","",compras_mes2[[#This Row],[NETO GRAVADO]]*0.21)</f>
        <v>4168.8401999999996</v>
      </c>
      <c r="J14" s="86"/>
      <c r="K14" s="86"/>
      <c r="L14" s="86"/>
      <c r="M14" s="86"/>
      <c r="N14" s="86"/>
      <c r="O14" s="86"/>
      <c r="P14" s="87">
        <f>SUM(compras_mes2[[#This Row],[NETO GRAVADO]:[Otros / No Grav.]])</f>
        <v>24020.460199999998</v>
      </c>
      <c r="Q14" s="88">
        <f>IFERROR(IF(compras_mes2[[#This Row],[CUIT]]="","-",VLOOKUP(compras_mes2[[#This Row],[CUIT]],Lista_CUIT[#All],3,0)),"CUIT NO CARGADO")</f>
        <v>0</v>
      </c>
      <c r="R14" s="88">
        <f>IFERROR(IF(compras_mes2[[#This Row],[CUIT]]="","-",VLOOKUP(compras_mes2[[#This Row],[CUIT]],Lista_CUIT[#All],4,0)),"CUIT NO CARGADO")</f>
        <v>0</v>
      </c>
      <c r="S14"/>
      <c r="T14"/>
    </row>
    <row r="15" spans="1:20" s="290" customFormat="1" x14ac:dyDescent="0.3">
      <c r="A15" s="56"/>
      <c r="B15" s="40">
        <v>44958</v>
      </c>
      <c r="C15" s="41">
        <v>1</v>
      </c>
      <c r="D15" s="285">
        <v>7</v>
      </c>
      <c r="E15" s="43">
        <v>5457</v>
      </c>
      <c r="F15" s="44">
        <v>30715124919</v>
      </c>
      <c r="G15" s="45" t="str">
        <f>IFERROR(IF(compras_mes2[[#This Row],[CUIT]]="","-",VLOOKUP(compras_mes2[[#This Row],[CUIT]],Lista_CUIT[#All],2,0)),"CUIT NO CARGADO")</f>
        <v>CLEAN LAB SRL</v>
      </c>
      <c r="H15" s="46">
        <v>6986.03</v>
      </c>
      <c r="I15" s="85">
        <f>IF(compras_mes2[[#This Row],[NETO GRAVADO]]="","",compras_mes2[[#This Row],[NETO GRAVADO]]*0.21)</f>
        <v>1467.0663</v>
      </c>
      <c r="J15" s="85"/>
      <c r="K15" s="85"/>
      <c r="L15" s="85"/>
      <c r="M15" s="85"/>
      <c r="N15" s="85"/>
      <c r="O15" s="85"/>
      <c r="P15" s="48">
        <f>SUM(compras_mes2[[#This Row],[NETO GRAVADO]:[Otros / No Grav.]])</f>
        <v>8453.0962999999992</v>
      </c>
      <c r="Q15" s="49">
        <f>IFERROR(IF(compras_mes2[[#This Row],[CUIT]]="","-",VLOOKUP(compras_mes2[[#This Row],[CUIT]],Lista_CUIT[#All],3,0)),"CUIT NO CARGADO")</f>
        <v>0</v>
      </c>
      <c r="R15" s="49">
        <f>IFERROR(IF(compras_mes2[[#This Row],[CUIT]]="","-",VLOOKUP(compras_mes2[[#This Row],[CUIT]],Lista_CUIT[#All],4,0)),"CUIT NO CARGADO")</f>
        <v>0</v>
      </c>
      <c r="S15" s="56"/>
      <c r="T15" s="56"/>
    </row>
    <row r="16" spans="1:20" s="229" customFormat="1" ht="15.75" customHeight="1" x14ac:dyDescent="0.3">
      <c r="A16"/>
      <c r="B16" s="40">
        <v>44958</v>
      </c>
      <c r="C16" s="41">
        <v>1</v>
      </c>
      <c r="D16" s="285">
        <v>7</v>
      </c>
      <c r="E16" s="43">
        <v>5458</v>
      </c>
      <c r="F16" s="44">
        <v>30715124919</v>
      </c>
      <c r="G16" s="45" t="str">
        <f>IFERROR(IF(compras_mes2[[#This Row],[CUIT]]="","-",VLOOKUP(compras_mes2[[#This Row],[CUIT]],Lista_CUIT[#All],2,0)),"CUIT NO CARGADO")</f>
        <v>CLEAN LAB SRL</v>
      </c>
      <c r="H16" s="46">
        <v>15476.98</v>
      </c>
      <c r="I16" s="85">
        <f>IF(compras_mes2[[#This Row],[NETO GRAVADO]]="","",compras_mes2[[#This Row],[NETO GRAVADO]]*0.21)</f>
        <v>3250.1657999999998</v>
      </c>
      <c r="J16" s="85"/>
      <c r="K16" s="85"/>
      <c r="L16" s="85"/>
      <c r="M16" s="85"/>
      <c r="N16" s="85"/>
      <c r="O16" s="85"/>
      <c r="P16" s="48">
        <f>SUM(compras_mes2[[#This Row],[NETO GRAVADO]:[Otros / No Grav.]])</f>
        <v>18727.145799999998</v>
      </c>
      <c r="Q16" s="49">
        <f>IFERROR(IF(compras_mes2[[#This Row],[CUIT]]="","-",VLOOKUP(compras_mes2[[#This Row],[CUIT]],Lista_CUIT[#All],3,0)),"CUIT NO CARGADO")</f>
        <v>0</v>
      </c>
      <c r="R16" s="49">
        <f>IFERROR(IF(compras_mes2[[#This Row],[CUIT]]="","-",VLOOKUP(compras_mes2[[#This Row],[CUIT]],Lista_CUIT[#All],4,0)),"CUIT NO CARGADO")</f>
        <v>0</v>
      </c>
      <c r="S16"/>
      <c r="T16"/>
    </row>
    <row r="17" spans="1:20" x14ac:dyDescent="0.3">
      <c r="B17" s="40">
        <v>44958</v>
      </c>
      <c r="C17" s="41">
        <v>1</v>
      </c>
      <c r="D17" s="285">
        <v>6</v>
      </c>
      <c r="E17" s="43">
        <v>8509</v>
      </c>
      <c r="F17" s="44">
        <v>30707603123</v>
      </c>
      <c r="G17" s="45" t="str">
        <f>IFERROR(IF(compras_mes2[[#This Row],[CUIT]]="","-",VLOOKUP(compras_mes2[[#This Row],[CUIT]],Lista_CUIT[#All],2,0)),"CUIT NO CARGADO")</f>
        <v>BI-ORIENT S.A.</v>
      </c>
      <c r="H17" s="46">
        <v>296800</v>
      </c>
      <c r="I17" s="85">
        <f>IF(compras_mes2[[#This Row],[NETO GRAVADO]]="","",compras_mes2[[#This Row],[NETO GRAVADO]]*0.21)</f>
        <v>62328</v>
      </c>
      <c r="J17" s="85"/>
      <c r="K17" s="85"/>
      <c r="L17" s="85"/>
      <c r="M17" s="85"/>
      <c r="N17" s="85"/>
      <c r="O17" s="85"/>
      <c r="P17" s="48">
        <f>SUM(compras_mes2[[#This Row],[NETO GRAVADO]:[Otros / No Grav.]])</f>
        <v>359128</v>
      </c>
      <c r="Q17" s="49">
        <f>IFERROR(IF(compras_mes2[[#This Row],[CUIT]]="","-",VLOOKUP(compras_mes2[[#This Row],[CUIT]],Lista_CUIT[#All],3,0)),"CUIT NO CARGADO")</f>
        <v>0</v>
      </c>
      <c r="R17" s="49">
        <f>IFERROR(IF(compras_mes2[[#This Row],[CUIT]]="","-",VLOOKUP(compras_mes2[[#This Row],[CUIT]],Lista_CUIT[#All],4,0)),"CUIT NO CARGADO")</f>
        <v>0</v>
      </c>
    </row>
    <row r="18" spans="1:20" s="229" customFormat="1" x14ac:dyDescent="0.3">
      <c r="A18"/>
      <c r="B18" s="89">
        <v>44958</v>
      </c>
      <c r="C18" s="41">
        <v>1</v>
      </c>
      <c r="D18" s="285">
        <v>7</v>
      </c>
      <c r="E18" s="92">
        <v>5456</v>
      </c>
      <c r="F18" s="93">
        <v>30715124919</v>
      </c>
      <c r="G18" s="94" t="str">
        <f>IFERROR(IF(compras_mes2[[#This Row],[CUIT]]="","-",VLOOKUP(compras_mes2[[#This Row],[CUIT]],Lista_CUIT[#All],2,0)),"CUIT NO CARGADO")</f>
        <v>CLEAN LAB SRL</v>
      </c>
      <c r="H18" s="95">
        <v>12179.24</v>
      </c>
      <c r="I18" s="85">
        <f>IF(compras_mes2[[#This Row],[NETO GRAVADO]]="","",compras_mes2[[#This Row],[NETO GRAVADO]]*0.21)</f>
        <v>2557.6403999999998</v>
      </c>
      <c r="J18" s="86"/>
      <c r="K18" s="86"/>
      <c r="L18" s="86"/>
      <c r="M18" s="86"/>
      <c r="N18" s="86"/>
      <c r="O18" s="86"/>
      <c r="P18" s="48">
        <f>SUM(compras_mes2[[#This Row],[NETO GRAVADO]:[Otros / No Grav.]])</f>
        <v>14736.8804</v>
      </c>
      <c r="Q18" s="88">
        <f>IFERROR(IF(compras_mes2[[#This Row],[CUIT]]="","-",VLOOKUP(compras_mes2[[#This Row],[CUIT]],Lista_CUIT[#All],3,0)),"CUIT NO CARGADO")</f>
        <v>0</v>
      </c>
      <c r="R18" s="88">
        <f>IFERROR(IF(compras_mes2[[#This Row],[CUIT]]="","-",VLOOKUP(compras_mes2[[#This Row],[CUIT]],Lista_CUIT[#All],4,0)),"CUIT NO CARGADO")</f>
        <v>0</v>
      </c>
      <c r="S18"/>
      <c r="T18"/>
    </row>
    <row r="19" spans="1:20" ht="14.4" customHeight="1" x14ac:dyDescent="0.3">
      <c r="B19" s="259">
        <v>44958</v>
      </c>
      <c r="C19" s="41">
        <v>1</v>
      </c>
      <c r="D19" s="285">
        <v>7</v>
      </c>
      <c r="E19" s="260">
        <v>8334</v>
      </c>
      <c r="F19" s="261">
        <v>30708017759</v>
      </c>
      <c r="G19" s="262" t="str">
        <f>IFERROR(IF(compras_mes2[[#This Row],[CUIT]]="","-",VLOOKUP(compras_mes2[[#This Row],[CUIT]],Lista_CUIT[#All],2,0)),"CUIT NO CARGADO")</f>
        <v>NEW  HIGH PACK  SA</v>
      </c>
      <c r="H19" s="263">
        <v>338549.4</v>
      </c>
      <c r="I19" s="85">
        <f>IF(compras_mes2[[#This Row],[NETO GRAVADO]]="","",compras_mes2[[#This Row],[NETO GRAVADO]]*0.21)</f>
        <v>71095.373999999996</v>
      </c>
      <c r="J19" s="264"/>
      <c r="K19" s="264"/>
      <c r="L19" s="264"/>
      <c r="M19" s="264">
        <v>20312.96</v>
      </c>
      <c r="N19" s="264"/>
      <c r="O19" s="264"/>
      <c r="P19" s="265">
        <f>SUM(compras_mes2[[#This Row],[NETO GRAVADO]:[Otros / No Grav.]])</f>
        <v>429957.73400000005</v>
      </c>
      <c r="Q19" s="266">
        <f>IFERROR(IF(compras_mes2[[#This Row],[CUIT]]="","-",VLOOKUP(compras_mes2[[#This Row],[CUIT]],Lista_CUIT[#All],3,0)),"CUIT NO CARGADO")</f>
        <v>0</v>
      </c>
      <c r="R19" s="266">
        <f>IFERROR(IF(compras_mes2[[#This Row],[CUIT]]="","-",VLOOKUP(compras_mes2[[#This Row],[CUIT]],Lista_CUIT[#All],4,0)),"CUIT NO CARGADO")</f>
        <v>0</v>
      </c>
    </row>
    <row r="20" spans="1:20" s="229" customFormat="1" x14ac:dyDescent="0.3">
      <c r="A20"/>
      <c r="B20" s="298">
        <v>44958</v>
      </c>
      <c r="C20" s="250">
        <v>1</v>
      </c>
      <c r="D20" s="297">
        <v>1</v>
      </c>
      <c r="E20" s="299">
        <v>70</v>
      </c>
      <c r="F20" s="300">
        <v>30716010313</v>
      </c>
      <c r="G20" s="301" t="str">
        <f>IFERROR(IF(compras_mes2[[#This Row],[CUIT]]="","-",VLOOKUP(compras_mes2[[#This Row],[CUIT]],Lista_CUIT[#All],2,0)),"CUIT NO CARGADO")</f>
        <v>H UNO 1469 S.A.</v>
      </c>
      <c r="H20" s="302">
        <v>38400</v>
      </c>
      <c r="I20" s="256">
        <f>IF(compras_mes2[[#This Row],[NETO GRAVADO]]="","",compras_mes2[[#This Row],[NETO GRAVADO]]*0.21)</f>
        <v>8064</v>
      </c>
      <c r="J20" s="303"/>
      <c r="K20" s="303"/>
      <c r="L20" s="303"/>
      <c r="M20" s="303"/>
      <c r="N20" s="303"/>
      <c r="O20" s="303"/>
      <c r="P20" s="257">
        <f>SUM(compras_mes2[[#This Row],[NETO GRAVADO]:[Otros / No Grav.]])</f>
        <v>46464</v>
      </c>
      <c r="Q20" s="304" t="str">
        <f>IFERROR(IF(compras_mes2[[#This Row],[CUIT]]="","-",VLOOKUP(compras_mes2[[#This Row],[CUIT]],Lista_CUIT[#All],3,0)),"CUIT NO CARGADO")</f>
        <v>Alquiler</v>
      </c>
      <c r="R20" s="304">
        <f>IFERROR(IF(compras_mes2[[#This Row],[CUIT]]="","-",VLOOKUP(compras_mes2[[#This Row],[CUIT]],Lista_CUIT[#All],4,0)),"CUIT NO CARGADO")</f>
        <v>0</v>
      </c>
      <c r="S20"/>
      <c r="T20"/>
    </row>
    <row r="21" spans="1:20" x14ac:dyDescent="0.3">
      <c r="B21" s="259">
        <v>44959</v>
      </c>
      <c r="C21" s="41">
        <v>1</v>
      </c>
      <c r="D21" s="285">
        <v>10</v>
      </c>
      <c r="E21" s="260">
        <v>4087</v>
      </c>
      <c r="F21" s="261">
        <v>20217646414</v>
      </c>
      <c r="G21" s="262" t="str">
        <f>IFERROR(IF(compras_mes2[[#This Row],[CUIT]]="","-",VLOOKUP(compras_mes2[[#This Row],[CUIT]],Lista_CUIT[#All],2,0)),"CUIT NO CARGADO")</f>
        <v>FARBER HERMAN</v>
      </c>
      <c r="H21" s="263">
        <v>193380</v>
      </c>
      <c r="I21" s="85">
        <f>IF(compras_mes2[[#This Row],[NETO GRAVADO]]="","",compras_mes2[[#This Row],[NETO GRAVADO]]*0.21)</f>
        <v>40609.799999999996</v>
      </c>
      <c r="J21" s="264"/>
      <c r="K21" s="264"/>
      <c r="L21" s="264"/>
      <c r="M21" s="264"/>
      <c r="N21" s="264"/>
      <c r="O21" s="264"/>
      <c r="P21" s="48">
        <f>SUM(compras_mes2[[#This Row],[NETO GRAVADO]:[Otros / No Grav.]])</f>
        <v>233989.8</v>
      </c>
      <c r="Q21" s="266">
        <f>IFERROR(IF(compras_mes2[[#This Row],[CUIT]]="","-",VLOOKUP(compras_mes2[[#This Row],[CUIT]],Lista_CUIT[#All],3,0)),"CUIT NO CARGADO")</f>
        <v>0</v>
      </c>
      <c r="R21" s="266">
        <f>IFERROR(IF(compras_mes2[[#This Row],[CUIT]]="","-",VLOOKUP(compras_mes2[[#This Row],[CUIT]],Lista_CUIT[#All],4,0)),"CUIT NO CARGADO")</f>
        <v>0</v>
      </c>
    </row>
    <row r="22" spans="1:20" ht="14.4" customHeight="1" x14ac:dyDescent="0.3">
      <c r="B22" s="298">
        <v>44959</v>
      </c>
      <c r="C22" s="250">
        <v>1</v>
      </c>
      <c r="D22" s="297">
        <v>994</v>
      </c>
      <c r="E22" s="299">
        <v>4</v>
      </c>
      <c r="F22" s="300">
        <v>20141890159</v>
      </c>
      <c r="G22" s="301" t="str">
        <f>IFERROR(IF(compras_mes2[[#This Row],[CUIT]]="","-",VLOOKUP(compras_mes2[[#This Row],[CUIT]],Lista_CUIT[#All],2,0)),"CUIT NO CARGADO")</f>
        <v>GARBARSKY JAIME GERARDO</v>
      </c>
      <c r="H22" s="302">
        <v>727.27</v>
      </c>
      <c r="I22" s="256">
        <f>IF(compras_mes2[[#This Row],[NETO GRAVADO]]="","",compras_mes2[[#This Row],[NETO GRAVADO]]*0.21)</f>
        <v>152.72669999999999</v>
      </c>
      <c r="J22" s="303"/>
      <c r="K22" s="303"/>
      <c r="L22" s="303"/>
      <c r="M22" s="303"/>
      <c r="N22" s="303"/>
      <c r="O22" s="303"/>
      <c r="P22" s="305">
        <f>SUM(compras_mes2[[#This Row],[NETO GRAVADO]:[Otros / No Grav.]])</f>
        <v>879.99669999999992</v>
      </c>
      <c r="Q22" s="304">
        <f>IFERROR(IF(compras_mes2[[#This Row],[CUIT]]="","-",VLOOKUP(compras_mes2[[#This Row],[CUIT]],Lista_CUIT[#All],3,0)),"CUIT NO CARGADO")</f>
        <v>0</v>
      </c>
      <c r="R22" s="304">
        <f>IFERROR(IF(compras_mes2[[#This Row],[CUIT]]="","-",VLOOKUP(compras_mes2[[#This Row],[CUIT]],Lista_CUIT[#All],4,0)),"CUIT NO CARGADO")</f>
        <v>0</v>
      </c>
    </row>
    <row r="23" spans="1:20" ht="14.4" customHeight="1" x14ac:dyDescent="0.3">
      <c r="B23" s="259">
        <v>44959</v>
      </c>
      <c r="C23" s="41">
        <v>1</v>
      </c>
      <c r="D23" s="285">
        <v>3</v>
      </c>
      <c r="E23" s="260">
        <v>40</v>
      </c>
      <c r="F23" s="261">
        <v>33715993509</v>
      </c>
      <c r="G23" s="262" t="str">
        <f>IFERROR(IF(compras_mes2[[#This Row],[CUIT]]="","-",VLOOKUP(compras_mes2[[#This Row],[CUIT]],Lista_CUIT[#All],2,0)),"CUIT NO CARGADO")</f>
        <v>+Q NATURAL S.A.</v>
      </c>
      <c r="H23" s="263">
        <v>2644.63</v>
      </c>
      <c r="I23" s="85">
        <f>IF(compras_mes2[[#This Row],[NETO GRAVADO]]="","",compras_mes2[[#This Row],[NETO GRAVADO]]*0.21)</f>
        <v>555.3723</v>
      </c>
      <c r="J23" s="264"/>
      <c r="K23" s="264"/>
      <c r="L23" s="264"/>
      <c r="M23" s="264"/>
      <c r="N23" s="264"/>
      <c r="O23" s="264"/>
      <c r="P23" s="265">
        <f>SUM(compras_mes2[[#This Row],[NETO GRAVADO]:[Otros / No Grav.]])</f>
        <v>3200.0023000000001</v>
      </c>
      <c r="Q23" s="266">
        <f>IFERROR(IF(compras_mes2[[#This Row],[CUIT]]="","-",VLOOKUP(compras_mes2[[#This Row],[CUIT]],Lista_CUIT[#All],3,0)),"CUIT NO CARGADO")</f>
        <v>0</v>
      </c>
      <c r="R23" s="266">
        <f>IFERROR(IF(compras_mes2[[#This Row],[CUIT]]="","-",VLOOKUP(compras_mes2[[#This Row],[CUIT]],Lista_CUIT[#All],4,0)),"CUIT NO CARGADO")</f>
        <v>0</v>
      </c>
    </row>
    <row r="24" spans="1:20" ht="15" customHeight="1" x14ac:dyDescent="0.3">
      <c r="B24" s="298">
        <v>44959</v>
      </c>
      <c r="C24" s="250">
        <v>1</v>
      </c>
      <c r="D24" s="297">
        <v>3034</v>
      </c>
      <c r="E24" s="299">
        <v>3148958</v>
      </c>
      <c r="F24" s="300">
        <v>30708574836</v>
      </c>
      <c r="G24" s="301" t="str">
        <f>IFERROR(IF(compras_mes2[[#This Row],[CUIT]]="","-",VLOOKUP(compras_mes2[[#This Row],[CUIT]],Lista_CUIT[#All],2,0)),"CUIT NO CARGADO")</f>
        <v>CORREO OFICIAL DE LA REPUBLICA ARGENTINA SOCIEDAD ANONIMA</v>
      </c>
      <c r="H24" s="302">
        <v>981.41</v>
      </c>
      <c r="I24" s="256">
        <f>IF(compras_mes2[[#This Row],[NETO GRAVADO]]="","",compras_mes2[[#This Row],[NETO GRAVADO]]*0.21)</f>
        <v>206.09609999999998</v>
      </c>
      <c r="J24" s="303"/>
      <c r="K24" s="303"/>
      <c r="L24" s="303"/>
      <c r="M24" s="303"/>
      <c r="N24" s="303"/>
      <c r="O24" s="303"/>
      <c r="P24" s="305">
        <f>SUM(compras_mes2[[#This Row],[NETO GRAVADO]:[Otros / No Grav.]])</f>
        <v>1187.5061000000001</v>
      </c>
      <c r="Q24" s="304" t="str">
        <f>IFERROR(IF(compras_mes2[[#This Row],[CUIT]]="","-",VLOOKUP(compras_mes2[[#This Row],[CUIT]],Lista_CUIT[#All],3,0)),"CUIT NO CARGADO")</f>
        <v>MESAJERIA</v>
      </c>
      <c r="R24" s="304">
        <f>IFERROR(IF(compras_mes2[[#This Row],[CUIT]]="","-",VLOOKUP(compras_mes2[[#This Row],[CUIT]],Lista_CUIT[#All],4,0)),"CUIT NO CARGADO")</f>
        <v>0</v>
      </c>
    </row>
    <row r="25" spans="1:20" s="229" customFormat="1" ht="15" customHeight="1" x14ac:dyDescent="0.3">
      <c r="A25"/>
      <c r="B25" s="298">
        <v>44959</v>
      </c>
      <c r="C25" s="250">
        <v>1</v>
      </c>
      <c r="D25" s="297">
        <v>50</v>
      </c>
      <c r="E25" s="299">
        <v>2938381</v>
      </c>
      <c r="F25" s="300">
        <v>30714112836</v>
      </c>
      <c r="G25" s="301" t="str">
        <f>IFERROR(IF(compras_mes2[[#This Row],[CUIT]]="","-",VLOOKUP(compras_mes2[[#This Row],[CUIT]],Lista_CUIT[#All],2,0)),"CUIT NO CARGADO")</f>
        <v>AUTOPISTAS DE BS AS</v>
      </c>
      <c r="H25" s="302">
        <v>4433.8900000000003</v>
      </c>
      <c r="I25" s="256">
        <f>IF(compras_mes2[[#This Row],[NETO GRAVADO]]="","",compras_mes2[[#This Row],[NETO GRAVADO]]*0.21)</f>
        <v>931.11689999999999</v>
      </c>
      <c r="J25" s="303"/>
      <c r="K25" s="303"/>
      <c r="L25" s="303"/>
      <c r="M25" s="303"/>
      <c r="N25" s="303"/>
      <c r="O25" s="303"/>
      <c r="P25" s="305">
        <f>SUM(compras_mes2[[#This Row],[NETO GRAVADO]:[Otros / No Grav.]])</f>
        <v>5365.0069000000003</v>
      </c>
      <c r="Q25" s="304">
        <f>IFERROR(IF(compras_mes2[[#This Row],[CUIT]]="","-",VLOOKUP(compras_mes2[[#This Row],[CUIT]],Lista_CUIT[#All],3,0)),"CUIT NO CARGADO")</f>
        <v>0</v>
      </c>
      <c r="R25" s="304">
        <f>IFERROR(IF(compras_mes2[[#This Row],[CUIT]]="","-",VLOOKUP(compras_mes2[[#This Row],[CUIT]],Lista_CUIT[#All],4,0)),"CUIT NO CARGADO")</f>
        <v>0</v>
      </c>
      <c r="S25"/>
      <c r="T25"/>
    </row>
    <row r="26" spans="1:20" s="229" customFormat="1" ht="15" customHeight="1" x14ac:dyDescent="0.3">
      <c r="A26"/>
      <c r="B26" s="298">
        <v>44960</v>
      </c>
      <c r="C26" s="250">
        <v>1</v>
      </c>
      <c r="D26" s="297">
        <v>5014</v>
      </c>
      <c r="E26" s="299">
        <v>365776</v>
      </c>
      <c r="F26" s="300">
        <v>30574876474</v>
      </c>
      <c r="G26" s="301" t="str">
        <f>IFERROR(IF(compras_mes2[[#This Row],[CUIT]]="","-",VLOOKUP(compras_mes2[[#This Row],[CUIT]],Lista_CUIT[#All],2,0)),"CUIT NO CARGADO")</f>
        <v>AUTOPISTAS URBANAS S A</v>
      </c>
      <c r="H26" s="302">
        <v>7177.5</v>
      </c>
      <c r="I26" s="256">
        <f>IF(compras_mes2[[#This Row],[NETO GRAVADO]]="","",compras_mes2[[#This Row],[NETO GRAVADO]]*0.21)</f>
        <v>1507.2749999999999</v>
      </c>
      <c r="J26" s="303"/>
      <c r="K26" s="303"/>
      <c r="L26" s="303"/>
      <c r="M26" s="303"/>
      <c r="N26" s="303"/>
      <c r="O26" s="303"/>
      <c r="P26" s="305">
        <f>SUM(compras_mes2[[#This Row],[NETO GRAVADO]:[Otros / No Grav.]])</f>
        <v>8684.7749999999996</v>
      </c>
      <c r="Q26" s="304">
        <f>IFERROR(IF(compras_mes2[[#This Row],[CUIT]]="","-",VLOOKUP(compras_mes2[[#This Row],[CUIT]],Lista_CUIT[#All],3,0)),"CUIT NO CARGADO")</f>
        <v>0</v>
      </c>
      <c r="R26" s="304">
        <f>IFERROR(IF(compras_mes2[[#This Row],[CUIT]]="","-",VLOOKUP(compras_mes2[[#This Row],[CUIT]],Lista_CUIT[#All],4,0)),"CUIT NO CARGADO")</f>
        <v>0</v>
      </c>
      <c r="S26"/>
      <c r="T26"/>
    </row>
    <row r="27" spans="1:20" ht="15" customHeight="1" x14ac:dyDescent="0.3">
      <c r="B27" s="298">
        <v>44960</v>
      </c>
      <c r="C27" s="250">
        <v>1</v>
      </c>
      <c r="D27" s="297">
        <v>943</v>
      </c>
      <c r="E27" s="299">
        <v>1357394</v>
      </c>
      <c r="F27" s="300">
        <v>30639453975</v>
      </c>
      <c r="G27" s="301" t="str">
        <f>IFERROR(IF(compras_mes2[[#This Row],[CUIT]]="","-",VLOOKUP(compras_mes2[[#This Row],[CUIT]],Lista_CUIT[#All],2,0)),"CUIT NO CARGADO")</f>
        <v>TELEFONICA DE ARG S.A.</v>
      </c>
      <c r="H27" s="302">
        <v>18150.73</v>
      </c>
      <c r="I27" s="256"/>
      <c r="J27" s="303">
        <v>4900.7</v>
      </c>
      <c r="K27" s="303"/>
      <c r="L27" s="303">
        <v>544.52</v>
      </c>
      <c r="M27" s="303"/>
      <c r="N27" s="303">
        <v>1089.04</v>
      </c>
      <c r="O27" s="303"/>
      <c r="P27" s="305">
        <f>SUM(compras_mes2[[#This Row],[NETO GRAVADO]:[Otros / No Grav.]])</f>
        <v>24684.99</v>
      </c>
      <c r="Q27" s="304" t="str">
        <f>IFERROR(IF(compras_mes2[[#This Row],[CUIT]]="","-",VLOOKUP(compras_mes2[[#This Row],[CUIT]],Lista_CUIT[#All],3,0)),"CUIT NO CARGADO")</f>
        <v>Servicios Gas, Luz, etc.</v>
      </c>
      <c r="R27" s="304">
        <f>IFERROR(IF(compras_mes2[[#This Row],[CUIT]]="","-",VLOOKUP(compras_mes2[[#This Row],[CUIT]],Lista_CUIT[#All],4,0)),"CUIT NO CARGADO")</f>
        <v>0</v>
      </c>
    </row>
    <row r="28" spans="1:20" ht="15" customHeight="1" x14ac:dyDescent="0.3">
      <c r="B28" s="259">
        <v>44960</v>
      </c>
      <c r="C28" s="41">
        <v>1</v>
      </c>
      <c r="D28" s="285">
        <v>1678</v>
      </c>
      <c r="E28" s="260">
        <v>10906</v>
      </c>
      <c r="F28" s="261">
        <v>30589621499</v>
      </c>
      <c r="G28" s="262" t="str">
        <f>IFERROR(IF(compras_mes2[[#This Row],[CUIT]]="","-",VLOOKUP(compras_mes2[[#This Row],[CUIT]],Lista_CUIT[#All],2,0)),"CUIT NO CARGADO")</f>
        <v>MAKRO SA</v>
      </c>
      <c r="H28" s="263">
        <v>18291.46</v>
      </c>
      <c r="I28" s="85">
        <f>IF(compras_mes2[[#This Row],[NETO GRAVADO]]="","",compras_mes2[[#This Row],[NETO GRAVADO]]*0.21)</f>
        <v>3841.2065999999995</v>
      </c>
      <c r="J28" s="264"/>
      <c r="K28" s="264"/>
      <c r="L28" s="264">
        <v>548.74</v>
      </c>
      <c r="M28" s="264"/>
      <c r="N28" s="264">
        <v>1097.49</v>
      </c>
      <c r="O28" s="264"/>
      <c r="P28" s="265">
        <f>SUM(compras_mes2[[#This Row],[NETO GRAVADO]:[Otros / No Grav.]])</f>
        <v>23778.8966</v>
      </c>
      <c r="Q28" s="266">
        <f>IFERROR(IF(compras_mes2[[#This Row],[CUIT]]="","-",VLOOKUP(compras_mes2[[#This Row],[CUIT]],Lista_CUIT[#All],3,0)),"CUIT NO CARGADO")</f>
        <v>0</v>
      </c>
      <c r="R28" s="266">
        <f>IFERROR(IF(compras_mes2[[#This Row],[CUIT]]="","-",VLOOKUP(compras_mes2[[#This Row],[CUIT]],Lista_CUIT[#All],4,0)),"CUIT NO CARGADO")</f>
        <v>0</v>
      </c>
    </row>
    <row r="29" spans="1:20" x14ac:dyDescent="0.3">
      <c r="B29" s="259">
        <v>44960</v>
      </c>
      <c r="C29" s="41">
        <v>1</v>
      </c>
      <c r="D29" s="285">
        <v>1</v>
      </c>
      <c r="E29" s="260">
        <v>458</v>
      </c>
      <c r="F29" s="261">
        <v>30715889486</v>
      </c>
      <c r="G29" s="262" t="str">
        <f>IFERROR(IF(compras_mes2[[#This Row],[CUIT]]="","-",VLOOKUP(compras_mes2[[#This Row],[CUIT]],Lista_CUIT[#All],2,0)),"CUIT NO CARGADO")</f>
        <v>EXPOESTETICA</v>
      </c>
      <c r="H29" s="263">
        <v>244800</v>
      </c>
      <c r="I29" s="85">
        <f>IF(compras_mes2[[#This Row],[NETO GRAVADO]]="","",compras_mes2[[#This Row],[NETO GRAVADO]]*0.21)</f>
        <v>51408</v>
      </c>
      <c r="J29" s="264"/>
      <c r="K29" s="264"/>
      <c r="L29" s="264"/>
      <c r="M29" s="264"/>
      <c r="N29" s="264"/>
      <c r="O29" s="264"/>
      <c r="P29" s="265">
        <f>SUM(compras_mes2[[#This Row],[NETO GRAVADO]:[Otros / No Grav.]])</f>
        <v>296208</v>
      </c>
      <c r="Q29" s="266" t="str">
        <f>IFERROR(IF(compras_mes2[[#This Row],[CUIT]]="","-",VLOOKUP(compras_mes2[[#This Row],[CUIT]],Lista_CUIT[#All],3,0)),"CUIT NO CARGADO")</f>
        <v>Convencion</v>
      </c>
      <c r="R29" s="266" t="str">
        <f>IFERROR(IF(compras_mes2[[#This Row],[CUIT]]="","-",VLOOKUP(compras_mes2[[#This Row],[CUIT]],Lista_CUIT[#All],4,0)),"CUIT NO CARGADO")</f>
        <v>BUENOS AIRES</v>
      </c>
    </row>
    <row r="30" spans="1:20" s="229" customFormat="1" x14ac:dyDescent="0.3">
      <c r="A30"/>
      <c r="B30" s="298">
        <v>44960</v>
      </c>
      <c r="C30" s="250">
        <v>1</v>
      </c>
      <c r="D30" s="297">
        <v>5</v>
      </c>
      <c r="E30" s="299">
        <v>216</v>
      </c>
      <c r="F30" s="300">
        <v>30716654105</v>
      </c>
      <c r="G30" s="301" t="str">
        <f>IFERROR(IF(compras_mes2[[#This Row],[CUIT]]="","-",VLOOKUP(compras_mes2[[#This Row],[CUIT]],Lista_CUIT[#All],2,0)),"CUIT NO CARGADO")</f>
        <v>CARNICA DEL NORTE S.R.L.</v>
      </c>
      <c r="H30" s="302">
        <v>4954.4799999999996</v>
      </c>
      <c r="I30" s="256"/>
      <c r="J30" s="303"/>
      <c r="K30" s="303">
        <v>520.22</v>
      </c>
      <c r="L30" s="303"/>
      <c r="M30" s="303"/>
      <c r="N30" s="303"/>
      <c r="O30" s="303"/>
      <c r="P30" s="305">
        <f>SUM(compras_mes2[[#This Row],[NETO GRAVADO]:[Otros / No Grav.]])</f>
        <v>5474.7</v>
      </c>
      <c r="Q30" s="304">
        <f>IFERROR(IF(compras_mes2[[#This Row],[CUIT]]="","-",VLOOKUP(compras_mes2[[#This Row],[CUIT]],Lista_CUIT[#All],3,0)),"CUIT NO CARGADO")</f>
        <v>0</v>
      </c>
      <c r="R30" s="304">
        <f>IFERROR(IF(compras_mes2[[#This Row],[CUIT]]="","-",VLOOKUP(compras_mes2[[#This Row],[CUIT]],Lista_CUIT[#All],4,0)),"CUIT NO CARGADO")</f>
        <v>0</v>
      </c>
      <c r="S30"/>
      <c r="T30"/>
    </row>
    <row r="31" spans="1:20" s="229" customFormat="1" x14ac:dyDescent="0.3">
      <c r="A31"/>
      <c r="B31" s="298">
        <v>44960</v>
      </c>
      <c r="C31" s="250">
        <v>1</v>
      </c>
      <c r="D31" s="297">
        <v>711</v>
      </c>
      <c r="E31" s="299">
        <v>3919048</v>
      </c>
      <c r="F31" s="300">
        <v>30677237119</v>
      </c>
      <c r="G31" s="301" t="str">
        <f>IFERROR(IF(compras_mes2[[#This Row],[CUIT]]="","-",VLOOKUP(compras_mes2[[#This Row],[CUIT]],Lista_CUIT[#All],2,0)),"CUIT NO CARGADO")</f>
        <v>AUTOPISTAS DEL SOL S A</v>
      </c>
      <c r="H31" s="302">
        <v>1374.4</v>
      </c>
      <c r="I31" s="256">
        <f>IF(compras_mes2[[#This Row],[NETO GRAVADO]]="","",compras_mes2[[#This Row],[NETO GRAVADO]]*0.21)</f>
        <v>288.62400000000002</v>
      </c>
      <c r="J31" s="303"/>
      <c r="K31" s="303"/>
      <c r="L31" s="303"/>
      <c r="M31" s="303"/>
      <c r="N31" s="303"/>
      <c r="O31" s="303"/>
      <c r="P31" s="305">
        <f>SUM(compras_mes2[[#This Row],[NETO GRAVADO]:[Otros / No Grav.]])</f>
        <v>1663.0240000000001</v>
      </c>
      <c r="Q31" s="304">
        <f>IFERROR(IF(compras_mes2[[#This Row],[CUIT]]="","-",VLOOKUP(compras_mes2[[#This Row],[CUIT]],Lista_CUIT[#All],3,0)),"CUIT NO CARGADO")</f>
        <v>0</v>
      </c>
      <c r="R31" s="304">
        <f>IFERROR(IF(compras_mes2[[#This Row],[CUIT]]="","-",VLOOKUP(compras_mes2[[#This Row],[CUIT]],Lista_CUIT[#All],4,0)),"CUIT NO CARGADO")</f>
        <v>0</v>
      </c>
      <c r="S31"/>
      <c r="T31"/>
    </row>
    <row r="32" spans="1:20" s="229" customFormat="1" x14ac:dyDescent="0.3">
      <c r="A32"/>
      <c r="B32" s="298">
        <v>44960</v>
      </c>
      <c r="C32" s="250">
        <v>1</v>
      </c>
      <c r="D32" s="297">
        <v>629</v>
      </c>
      <c r="E32" s="299">
        <v>3905969</v>
      </c>
      <c r="F32" s="300">
        <v>30663498513</v>
      </c>
      <c r="G32" s="301" t="str">
        <f>IFERROR(IF(compras_mes2[[#This Row],[CUIT]]="","-",VLOOKUP(compras_mes2[[#This Row],[CUIT]],Lista_CUIT[#All],2,0)),"CUIT NO CARGADO")</f>
        <v>GRUPO CONCES. DEL OESTE SA</v>
      </c>
      <c r="H32" s="302">
        <v>538.84</v>
      </c>
      <c r="I32" s="256">
        <f>IF(compras_mes2[[#This Row],[NETO GRAVADO]]="","",compras_mes2[[#This Row],[NETO GRAVADO]]*0.21)</f>
        <v>113.1564</v>
      </c>
      <c r="J32" s="303"/>
      <c r="K32" s="303"/>
      <c r="L32" s="303"/>
      <c r="M32" s="303"/>
      <c r="N32" s="303"/>
      <c r="O32" s="303"/>
      <c r="P32" s="305">
        <f>SUM(compras_mes2[[#This Row],[NETO GRAVADO]:[Otros / No Grav.]])</f>
        <v>651.99639999999999</v>
      </c>
      <c r="Q32" s="304">
        <f>IFERROR(IF(compras_mes2[[#This Row],[CUIT]]="","-",VLOOKUP(compras_mes2[[#This Row],[CUIT]],Lista_CUIT[#All],3,0)),"CUIT NO CARGADO")</f>
        <v>0</v>
      </c>
      <c r="R32" s="304">
        <f>IFERROR(IF(compras_mes2[[#This Row],[CUIT]]="","-",VLOOKUP(compras_mes2[[#This Row],[CUIT]],Lista_CUIT[#All],4,0)),"CUIT NO CARGADO")</f>
        <v>0</v>
      </c>
      <c r="S32"/>
      <c r="T32"/>
    </row>
    <row r="33" spans="1:20" s="229" customFormat="1" x14ac:dyDescent="0.3">
      <c r="A33"/>
      <c r="B33" s="259">
        <v>44960</v>
      </c>
      <c r="C33" s="41">
        <v>1</v>
      </c>
      <c r="D33" s="285">
        <v>20</v>
      </c>
      <c r="E33" s="260">
        <v>7223</v>
      </c>
      <c r="F33" s="261">
        <v>30515800219</v>
      </c>
      <c r="G33" s="262" t="str">
        <f>IFERROR(IF(compras_mes2[[#This Row],[CUIT]]="","-",VLOOKUP(compras_mes2[[#This Row],[CUIT]],Lista_CUIT[#All],2,0)),"CUIT NO CARGADO")</f>
        <v>INCAT SRL</v>
      </c>
      <c r="H33" s="263">
        <v>629.57000000000005</v>
      </c>
      <c r="I33" s="85">
        <f>IF(compras_mes2[[#This Row],[NETO GRAVADO]]="","",compras_mes2[[#This Row],[NETO GRAVADO]]*0.21)</f>
        <v>132.2097</v>
      </c>
      <c r="J33" s="264"/>
      <c r="K33" s="264"/>
      <c r="L33" s="264"/>
      <c r="M33" s="264"/>
      <c r="N33" s="264"/>
      <c r="O33" s="264">
        <v>12.24</v>
      </c>
      <c r="P33" s="265">
        <f>SUM(compras_mes2[[#This Row],[NETO GRAVADO]:[Otros / No Grav.]])</f>
        <v>774.01970000000006</v>
      </c>
      <c r="Q33" s="49" t="str">
        <f>IFERROR(IF(compras_mes2[[#This Row],[CUIT]]="","-",VLOOKUP(compras_mes2[[#This Row],[CUIT]],Lista_CUIT[#All],3,0)),"CUIT NO CARGADO")</f>
        <v>Combustibe</v>
      </c>
      <c r="R33" s="49" t="str">
        <f>IFERROR(IF(compras_mes2[[#This Row],[CUIT]]="","-",VLOOKUP(compras_mes2[[#This Row],[CUIT]],Lista_CUIT[#All],4,0)),"CUIT NO CARGADO")</f>
        <v>CABA</v>
      </c>
      <c r="S33"/>
      <c r="T33"/>
    </row>
    <row r="34" spans="1:20" s="229" customFormat="1" x14ac:dyDescent="0.3">
      <c r="A34"/>
      <c r="B34" s="259">
        <v>44960</v>
      </c>
      <c r="C34" s="41">
        <v>1</v>
      </c>
      <c r="D34" s="285">
        <v>20</v>
      </c>
      <c r="E34" s="260">
        <v>7224</v>
      </c>
      <c r="F34" s="261">
        <v>30515800219</v>
      </c>
      <c r="G34" s="262" t="str">
        <f>IFERROR(IF(compras_mes2[[#This Row],[CUIT]]="","-",VLOOKUP(compras_mes2[[#This Row],[CUIT]],Lista_CUIT[#All],2,0)),"CUIT NO CARGADO")</f>
        <v>INCAT SRL</v>
      </c>
      <c r="H34" s="263">
        <v>488.05</v>
      </c>
      <c r="I34" s="85">
        <f>IF(compras_mes2[[#This Row],[NETO GRAVADO]]="","",compras_mes2[[#This Row],[NETO GRAVADO]]*0.21)</f>
        <v>102.4905</v>
      </c>
      <c r="J34" s="264"/>
      <c r="K34" s="264"/>
      <c r="L34" s="264"/>
      <c r="M34" s="264"/>
      <c r="N34" s="264"/>
      <c r="O34" s="264">
        <v>9.48</v>
      </c>
      <c r="P34" s="265">
        <f>SUM(compras_mes2[[#This Row],[NETO GRAVADO]:[Otros / No Grav.]])</f>
        <v>600.02050000000008</v>
      </c>
      <c r="Q34" s="49" t="str">
        <f>IFERROR(IF(compras_mes2[[#This Row],[CUIT]]="","-",VLOOKUP(compras_mes2[[#This Row],[CUIT]],Lista_CUIT[#All],3,0)),"CUIT NO CARGADO")</f>
        <v>Combustibe</v>
      </c>
      <c r="R34" s="49" t="str">
        <f>IFERROR(IF(compras_mes2[[#This Row],[CUIT]]="","-",VLOOKUP(compras_mes2[[#This Row],[CUIT]],Lista_CUIT[#All],4,0)),"CUIT NO CARGADO")</f>
        <v>CABA</v>
      </c>
      <c r="S34"/>
      <c r="T34"/>
    </row>
    <row r="35" spans="1:20" s="229" customFormat="1" x14ac:dyDescent="0.3">
      <c r="A35"/>
      <c r="B35" s="259">
        <v>44961</v>
      </c>
      <c r="C35" s="41">
        <v>1</v>
      </c>
      <c r="D35" s="285">
        <v>12</v>
      </c>
      <c r="E35" s="43">
        <v>17117</v>
      </c>
      <c r="F35" s="44">
        <v>30696131003</v>
      </c>
      <c r="G35" s="45" t="str">
        <f>IFERROR(IF(compras_mes2[[#This Row],[CUIT]]="","-",VLOOKUP(compras_mes2[[#This Row],[CUIT]],Lista_CUIT[#All],2,0)),"CUIT NO CARGADO")</f>
        <v>Petrolfe S.A.</v>
      </c>
      <c r="H35" s="46">
        <v>18395.52</v>
      </c>
      <c r="I35" s="85">
        <f>IF(compras_mes2[[#This Row],[NETO GRAVADO]]="","",compras_mes2[[#This Row],[NETO GRAVADO]]*0.21)</f>
        <v>3863.0592000000001</v>
      </c>
      <c r="J35" s="85"/>
      <c r="K35" s="85"/>
      <c r="L35" s="85"/>
      <c r="M35" s="85"/>
      <c r="N35" s="85"/>
      <c r="O35" s="85">
        <v>4073.42</v>
      </c>
      <c r="P35" s="48">
        <f>SUM(compras_mes2[[#This Row],[NETO GRAVADO]:[Otros / No Grav.]])</f>
        <v>26331.999199999998</v>
      </c>
      <c r="Q35" s="49" t="str">
        <f>IFERROR(IF(compras_mes2[[#This Row],[CUIT]]="","-",VLOOKUP(compras_mes2[[#This Row],[CUIT]],Lista_CUIT[#All],3,0)),"CUIT NO CARGADO")</f>
        <v>Combustible</v>
      </c>
      <c r="R35" s="49">
        <f>IFERROR(IF(compras_mes2[[#This Row],[CUIT]]="","-",VLOOKUP(compras_mes2[[#This Row],[CUIT]],Lista_CUIT[#All],4,0)),"CUIT NO CARGADO")</f>
        <v>0</v>
      </c>
      <c r="S35"/>
      <c r="T35"/>
    </row>
    <row r="36" spans="1:20" s="290" customFormat="1" ht="18.600000000000001" customHeight="1" x14ac:dyDescent="0.3">
      <c r="A36" s="56"/>
      <c r="B36" s="259">
        <v>44962</v>
      </c>
      <c r="C36" s="41">
        <v>1</v>
      </c>
      <c r="D36" s="285">
        <v>4793</v>
      </c>
      <c r="E36" s="260">
        <v>223</v>
      </c>
      <c r="F36" s="261">
        <v>30685849751</v>
      </c>
      <c r="G36" s="262" t="str">
        <f>IFERROR(IF(compras_mes2[[#This Row],[CUIT]]="","-",VLOOKUP(compras_mes2[[#This Row],[CUIT]],Lista_CUIT[#All],2,0)),"CUIT NO CARGADO")</f>
        <v>DIA ARGENTINA S A</v>
      </c>
      <c r="H36" s="263">
        <v>15211.65</v>
      </c>
      <c r="I36" s="85">
        <v>2871.59</v>
      </c>
      <c r="J36" s="264"/>
      <c r="K36" s="264">
        <v>108.19</v>
      </c>
      <c r="L36" s="264"/>
      <c r="M36" s="264"/>
      <c r="N36" s="264"/>
      <c r="O36" s="264"/>
      <c r="P36" s="265">
        <f>SUM(compras_mes2[[#This Row],[NETO GRAVADO]:[Otros / No Grav.]])</f>
        <v>18191.429999999997</v>
      </c>
      <c r="Q36" s="266">
        <f>IFERROR(IF(compras_mes2[[#This Row],[CUIT]]="","-",VLOOKUP(compras_mes2[[#This Row],[CUIT]],Lista_CUIT[#All],3,0)),"CUIT NO CARGADO")</f>
        <v>0</v>
      </c>
      <c r="R36" s="266">
        <f>IFERROR(IF(compras_mes2[[#This Row],[CUIT]]="","-",VLOOKUP(compras_mes2[[#This Row],[CUIT]],Lista_CUIT[#All],4,0)),"CUIT NO CARGADO")</f>
        <v>0</v>
      </c>
      <c r="S36" s="56"/>
      <c r="T36" s="56"/>
    </row>
    <row r="37" spans="1:20" s="229" customFormat="1" x14ac:dyDescent="0.3">
      <c r="A37"/>
      <c r="B37" s="259">
        <v>44962</v>
      </c>
      <c r="C37" s="41">
        <v>1</v>
      </c>
      <c r="D37" s="285">
        <v>13560</v>
      </c>
      <c r="E37" s="260">
        <v>576</v>
      </c>
      <c r="F37" s="261">
        <v>30590360763</v>
      </c>
      <c r="G37" s="262" t="str">
        <f>IFERROR(IF(compras_mes2[[#This Row],[CUIT]]="","-",VLOOKUP(compras_mes2[[#This Row],[CUIT]],Lista_CUIT[#All],2,0)),"CUIT NO CARGADO")</f>
        <v>CENCOSUD S.A</v>
      </c>
      <c r="H37" s="263">
        <v>19015.79</v>
      </c>
      <c r="I37" s="85">
        <v>2842.36</v>
      </c>
      <c r="J37" s="264"/>
      <c r="K37" s="264">
        <v>575.48</v>
      </c>
      <c r="L37" s="264">
        <v>497.93</v>
      </c>
      <c r="M37" s="264"/>
      <c r="N37" s="264">
        <v>1138.7</v>
      </c>
      <c r="O37" s="264">
        <v>456.87</v>
      </c>
      <c r="P37" s="265">
        <f>SUM(compras_mes2[[#This Row],[NETO GRAVADO]:[Otros / No Grav.]])</f>
        <v>24527.13</v>
      </c>
      <c r="Q37" s="266" t="str">
        <f>IFERROR(IF(compras_mes2[[#This Row],[CUIT]]="","-",VLOOKUP(compras_mes2[[#This Row],[CUIT]],Lista_CUIT[#All],3,0)),"CUIT NO CARGADO")</f>
        <v>Gastos Varios</v>
      </c>
      <c r="R37" s="266">
        <f>IFERROR(IF(compras_mes2[[#This Row],[CUIT]]="","-",VLOOKUP(compras_mes2[[#This Row],[CUIT]],Lista_CUIT[#All],4,0)),"CUIT NO CARGADO")</f>
        <v>0</v>
      </c>
      <c r="S37"/>
      <c r="T37"/>
    </row>
    <row r="38" spans="1:20" s="229" customFormat="1" x14ac:dyDescent="0.3">
      <c r="A38"/>
      <c r="B38" s="259">
        <v>44963</v>
      </c>
      <c r="C38" s="41">
        <v>1</v>
      </c>
      <c r="D38" s="285">
        <v>6</v>
      </c>
      <c r="E38" s="260">
        <v>22690</v>
      </c>
      <c r="F38" s="261">
        <v>30641221771</v>
      </c>
      <c r="G38" s="262" t="str">
        <f>IFERROR(IF(compras_mes2[[#This Row],[CUIT]]="","-",VLOOKUP(compras_mes2[[#This Row],[CUIT]],Lista_CUIT[#All],2,0)),"CUIT NO CARGADO")</f>
        <v>FARMATRADE S R L</v>
      </c>
      <c r="H38" s="263">
        <v>152100</v>
      </c>
      <c r="I38" s="85">
        <f>IF(compras_mes2[[#This Row],[NETO GRAVADO]]="","",compras_mes2[[#This Row],[NETO GRAVADO]]*0.21)</f>
        <v>31941</v>
      </c>
      <c r="J38" s="264"/>
      <c r="K38" s="264"/>
      <c r="L38" s="264"/>
      <c r="M38" s="264"/>
      <c r="N38" s="264">
        <v>9126</v>
      </c>
      <c r="O38" s="264"/>
      <c r="P38" s="265">
        <f>SUM(compras_mes2[[#This Row],[NETO GRAVADO]:[Otros / No Grav.]])</f>
        <v>193167</v>
      </c>
      <c r="Q38" s="266">
        <f>IFERROR(IF(compras_mes2[[#This Row],[CUIT]]="","-",VLOOKUP(compras_mes2[[#This Row],[CUIT]],Lista_CUIT[#All],3,0)),"CUIT NO CARGADO")</f>
        <v>0</v>
      </c>
      <c r="R38" s="266">
        <f>IFERROR(IF(compras_mes2[[#This Row],[CUIT]]="","-",VLOOKUP(compras_mes2[[#This Row],[CUIT]],Lista_CUIT[#All],4,0)),"CUIT NO CARGADO")</f>
        <v>0</v>
      </c>
      <c r="S38"/>
      <c r="T38"/>
    </row>
    <row r="39" spans="1:20" s="229" customFormat="1" x14ac:dyDescent="0.3">
      <c r="A39"/>
      <c r="B39" s="259">
        <v>44963</v>
      </c>
      <c r="C39" s="41">
        <v>1</v>
      </c>
      <c r="D39" s="285">
        <v>6</v>
      </c>
      <c r="E39" s="260">
        <v>393</v>
      </c>
      <c r="F39" s="261">
        <v>20219190469</v>
      </c>
      <c r="G39" s="262" t="str">
        <f>IFERROR(IF(compras_mes2[[#This Row],[CUIT]]="","-",VLOOKUP(compras_mes2[[#This Row],[CUIT]],Lista_CUIT[#All],2,0)),"CUIT NO CARGADO")</f>
        <v>PARADISO ESTEBAN DAMIAN</v>
      </c>
      <c r="H39" s="263">
        <v>141054.6</v>
      </c>
      <c r="I39" s="85">
        <f>IF(compras_mes2[[#This Row],[NETO GRAVADO]]="","",compras_mes2[[#This Row],[NETO GRAVADO]]*0.21)</f>
        <v>29621.466</v>
      </c>
      <c r="J39" s="264"/>
      <c r="K39" s="264"/>
      <c r="L39" s="264"/>
      <c r="M39" s="264"/>
      <c r="N39" s="264"/>
      <c r="O39" s="264"/>
      <c r="P39" s="265">
        <f>SUM(compras_mes2[[#This Row],[NETO GRAVADO]:[Otros / No Grav.]])</f>
        <v>170676.06599999999</v>
      </c>
      <c r="Q39" s="266">
        <f>IFERROR(IF(compras_mes2[[#This Row],[CUIT]]="","-",VLOOKUP(compras_mes2[[#This Row],[CUIT]],Lista_CUIT[#All],3,0)),"CUIT NO CARGADO")</f>
        <v>0</v>
      </c>
      <c r="R39" s="266">
        <f>IFERROR(IF(compras_mes2[[#This Row],[CUIT]]="","-",VLOOKUP(compras_mes2[[#This Row],[CUIT]],Lista_CUIT[#All],4,0)),"CUIT NO CARGADO")</f>
        <v>0</v>
      </c>
      <c r="S39"/>
      <c r="T39"/>
    </row>
    <row r="40" spans="1:20" s="229" customFormat="1" x14ac:dyDescent="0.3">
      <c r="A40"/>
      <c r="B40" s="259">
        <v>44963</v>
      </c>
      <c r="C40" s="41">
        <v>1</v>
      </c>
      <c r="D40" s="285">
        <v>8</v>
      </c>
      <c r="E40" s="260">
        <v>1835</v>
      </c>
      <c r="F40" s="261">
        <v>30517266457</v>
      </c>
      <c r="G40" s="262" t="str">
        <f>IFERROR(IF(compras_mes2[[#This Row],[CUIT]]="","-",VLOOKUP(compras_mes2[[#This Row],[CUIT]],Lista_CUIT[#All],2,0)),"CUIT NO CARGADO")</f>
        <v>BOLSAFILM S.A.</v>
      </c>
      <c r="H40" s="263">
        <v>166600</v>
      </c>
      <c r="I40" s="85">
        <f>IF(compras_mes2[[#This Row],[NETO GRAVADO]]="","",compras_mes2[[#This Row],[NETO GRAVADO]]*0.21)</f>
        <v>34986</v>
      </c>
      <c r="J40" s="264"/>
      <c r="K40" s="264"/>
      <c r="L40" s="264"/>
      <c r="M40" s="264"/>
      <c r="N40" s="264">
        <v>9996</v>
      </c>
      <c r="O40" s="264"/>
      <c r="P40" s="265">
        <f>SUM(compras_mes2[[#This Row],[NETO GRAVADO]:[Otros / No Grav.]])</f>
        <v>211582</v>
      </c>
      <c r="Q40" s="266">
        <f>IFERROR(IF(compras_mes2[[#This Row],[CUIT]]="","-",VLOOKUP(compras_mes2[[#This Row],[CUIT]],Lista_CUIT[#All],3,0)),"CUIT NO CARGADO")</f>
        <v>0</v>
      </c>
      <c r="R40" s="266">
        <f>IFERROR(IF(compras_mes2[[#This Row],[CUIT]]="","-",VLOOKUP(compras_mes2[[#This Row],[CUIT]],Lista_CUIT[#All],4,0)),"CUIT NO CARGADO")</f>
        <v>0</v>
      </c>
      <c r="S40"/>
      <c r="T40"/>
    </row>
    <row r="41" spans="1:20" x14ac:dyDescent="0.3">
      <c r="B41" s="259">
        <v>44963</v>
      </c>
      <c r="C41" s="41">
        <v>1</v>
      </c>
      <c r="D41" s="285">
        <v>2</v>
      </c>
      <c r="E41" s="260">
        <v>33749</v>
      </c>
      <c r="F41" s="261">
        <v>33714232199</v>
      </c>
      <c r="G41" s="262" t="str">
        <f>IFERROR(IF(compras_mes2[[#This Row],[CUIT]]="","-",VLOOKUP(compras_mes2[[#This Row],[CUIT]],Lista_CUIT[#All],2,0)),"CUIT NO CARGADO")</f>
        <v>NUAGE SYSTEMS S.A.</v>
      </c>
      <c r="H41" s="263">
        <v>28665</v>
      </c>
      <c r="I41" s="85">
        <f>IF(compras_mes2[[#This Row],[NETO GRAVADO]]="","",compras_mes2[[#This Row],[NETO GRAVADO]]*0.21)</f>
        <v>6019.65</v>
      </c>
      <c r="J41" s="264"/>
      <c r="K41" s="264"/>
      <c r="L41" s="264"/>
      <c r="M41" s="264"/>
      <c r="N41" s="264"/>
      <c r="O41" s="264"/>
      <c r="P41" s="265">
        <f>SUM(compras_mes2[[#This Row],[NETO GRAVADO]:[Otros / No Grav.]])</f>
        <v>34684.65</v>
      </c>
      <c r="Q41" s="266">
        <f>IFERROR(IF(compras_mes2[[#This Row],[CUIT]]="","-",VLOOKUP(compras_mes2[[#This Row],[CUIT]],Lista_CUIT[#All],3,0)),"CUIT NO CARGADO")</f>
        <v>0</v>
      </c>
      <c r="R41" s="266">
        <f>IFERROR(IF(compras_mes2[[#This Row],[CUIT]]="","-",VLOOKUP(compras_mes2[[#This Row],[CUIT]],Lista_CUIT[#All],4,0)),"CUIT NO CARGADO")</f>
        <v>0</v>
      </c>
    </row>
    <row r="42" spans="1:20" x14ac:dyDescent="0.3">
      <c r="B42" s="259">
        <v>44963</v>
      </c>
      <c r="C42" s="41">
        <v>1</v>
      </c>
      <c r="D42" s="285">
        <v>29</v>
      </c>
      <c r="E42" s="260">
        <v>31816</v>
      </c>
      <c r="F42" s="261">
        <v>30679202045</v>
      </c>
      <c r="G42" s="262" t="str">
        <f>IFERROR(IF(compras_mes2[[#This Row],[CUIT]]="","-",VLOOKUP(compras_mes2[[#This Row],[CUIT]],Lista_CUIT[#All],2,0)),"CUIT NO CARGADO")</f>
        <v>LEADER ELECTRONIC S A</v>
      </c>
      <c r="H42" s="263">
        <v>6773.55</v>
      </c>
      <c r="I42" s="85">
        <f>IF(compras_mes2[[#This Row],[NETO GRAVADO]]="","",compras_mes2[[#This Row],[NETO GRAVADO]]*0.21)</f>
        <v>1422.4455</v>
      </c>
      <c r="J42" s="264"/>
      <c r="K42" s="264"/>
      <c r="L42" s="264"/>
      <c r="M42" s="264"/>
      <c r="N42" s="264"/>
      <c r="O42" s="264"/>
      <c r="P42" s="265">
        <f>SUM(compras_mes2[[#This Row],[NETO GRAVADO]:[Otros / No Grav.]])</f>
        <v>8195.9955000000009</v>
      </c>
      <c r="Q42" s="266">
        <f>IFERROR(IF(compras_mes2[[#This Row],[CUIT]]="","-",VLOOKUP(compras_mes2[[#This Row],[CUIT]],Lista_CUIT[#All],3,0)),"CUIT NO CARGADO")</f>
        <v>0</v>
      </c>
      <c r="R42" s="266">
        <f>IFERROR(IF(compras_mes2[[#This Row],[CUIT]]="","-",VLOOKUP(compras_mes2[[#This Row],[CUIT]],Lista_CUIT[#All],4,0)),"CUIT NO CARGADO")</f>
        <v>0</v>
      </c>
    </row>
    <row r="43" spans="1:20" s="229" customFormat="1" x14ac:dyDescent="0.3">
      <c r="A43"/>
      <c r="B43" s="259">
        <v>44963</v>
      </c>
      <c r="C43" s="41">
        <v>1</v>
      </c>
      <c r="D43" s="285">
        <v>2</v>
      </c>
      <c r="E43" s="260">
        <v>7815</v>
      </c>
      <c r="F43" s="261">
        <v>30714284963</v>
      </c>
      <c r="G43" s="262" t="str">
        <f>IFERROR(IF(compras_mes2[[#This Row],[CUIT]]="","-",VLOOKUP(compras_mes2[[#This Row],[CUIT]],Lista_CUIT[#All],2,0)),"CUIT NO CARGADO")</f>
        <v>ENGYMAN SRL</v>
      </c>
      <c r="H43" s="263">
        <v>29699</v>
      </c>
      <c r="I43" s="85">
        <f>IF(compras_mes2[[#This Row],[NETO GRAVADO]]="","",compras_mes2[[#This Row],[NETO GRAVADO]]*0.21)</f>
        <v>6236.79</v>
      </c>
      <c r="J43" s="264"/>
      <c r="K43" s="264"/>
      <c r="L43" s="264"/>
      <c r="M43" s="264"/>
      <c r="N43" s="264"/>
      <c r="O43" s="264"/>
      <c r="P43" s="265">
        <f>SUM(compras_mes2[[#This Row],[NETO GRAVADO]:[Otros / No Grav.]])</f>
        <v>35935.79</v>
      </c>
      <c r="Q43" s="266">
        <f>IFERROR(IF(compras_mes2[[#This Row],[CUIT]]="","-",VLOOKUP(compras_mes2[[#This Row],[CUIT]],Lista_CUIT[#All],3,0)),"CUIT NO CARGADO")</f>
        <v>0</v>
      </c>
      <c r="R43" s="266">
        <f>IFERROR(IF(compras_mes2[[#This Row],[CUIT]]="","-",VLOOKUP(compras_mes2[[#This Row],[CUIT]],Lista_CUIT[#All],4,0)),"CUIT NO CARGADO")</f>
        <v>0</v>
      </c>
      <c r="S43"/>
      <c r="T43"/>
    </row>
    <row r="44" spans="1:20" s="229" customFormat="1" x14ac:dyDescent="0.3">
      <c r="A44"/>
      <c r="B44" s="40">
        <v>44963</v>
      </c>
      <c r="C44" s="41">
        <v>1</v>
      </c>
      <c r="D44" s="42">
        <v>13</v>
      </c>
      <c r="E44" s="43">
        <v>49679</v>
      </c>
      <c r="F44" s="44">
        <v>30707841105</v>
      </c>
      <c r="G44" s="45" t="str">
        <f>IFERROR(IF(compras_mes2[[#This Row],[CUIT]]="","-",VLOOKUP(compras_mes2[[#This Row],[CUIT]],Lista_CUIT[#All],2,0)),"CUIT NO CARGADO")</f>
        <v>PETRO ARG SRL</v>
      </c>
      <c r="H44" s="46">
        <v>3727.68</v>
      </c>
      <c r="I44" s="85">
        <f>IF(compras_mes2[[#This Row],[NETO GRAVADO]]="","",compras_mes2[[#This Row],[NETO GRAVADO]]*0.21)</f>
        <v>782.81279999999992</v>
      </c>
      <c r="J44" s="85"/>
      <c r="K44" s="85"/>
      <c r="L44" s="85"/>
      <c r="M44" s="85"/>
      <c r="N44" s="85"/>
      <c r="O44" s="85">
        <v>790.19</v>
      </c>
      <c r="P44" s="48">
        <f>SUM(compras_mes2[[#This Row],[NETO GRAVADO]:[Otros / No Grav.]])</f>
        <v>5300.6828000000005</v>
      </c>
      <c r="Q44" s="49" t="str">
        <f>IFERROR(IF(compras_mes2[[#This Row],[CUIT]]="","-",VLOOKUP(compras_mes2[[#This Row],[CUIT]],Lista_CUIT[#All],3,0)),"CUIT NO CARGADO")</f>
        <v>Combustible</v>
      </c>
      <c r="R44" s="49">
        <f>IFERROR(IF(compras_mes2[[#This Row],[CUIT]]="","-",VLOOKUP(compras_mes2[[#This Row],[CUIT]],Lista_CUIT[#All],4,0)),"CUIT NO CARGADO")</f>
        <v>0</v>
      </c>
      <c r="S44"/>
      <c r="T44"/>
    </row>
    <row r="45" spans="1:20" s="229" customFormat="1" ht="18" customHeight="1" x14ac:dyDescent="0.3">
      <c r="A45"/>
      <c r="B45" s="298">
        <v>44964</v>
      </c>
      <c r="C45" s="250">
        <v>1</v>
      </c>
      <c r="D45" s="297">
        <v>63</v>
      </c>
      <c r="E45" s="299">
        <v>2262372</v>
      </c>
      <c r="F45" s="300">
        <v>30640897267</v>
      </c>
      <c r="G45" s="301" t="str">
        <f>IFERROR(IF(compras_mes2[[#This Row],[CUIT]]="","-",VLOOKUP(compras_mes2[[#This Row],[CUIT]],Lista_CUIT[#All],2,0)),"CUIT NO CARGADO")</f>
        <v>TELECENTRO S.A.</v>
      </c>
      <c r="H45" s="302">
        <v>8079.34</v>
      </c>
      <c r="I45" s="256">
        <f>IF(compras_mes2[[#This Row],[NETO GRAVADO]]="","",compras_mes2[[#This Row],[NETO GRAVADO]]*0.21)</f>
        <v>1696.6614</v>
      </c>
      <c r="J45" s="303"/>
      <c r="K45" s="303"/>
      <c r="L45" s="303">
        <v>242.38</v>
      </c>
      <c r="M45" s="303"/>
      <c r="N45" s="303">
        <v>484.76</v>
      </c>
      <c r="O45" s="303"/>
      <c r="P45" s="305">
        <f>SUM(compras_mes2[[#This Row],[NETO GRAVADO]:[Otros / No Grav.]])</f>
        <v>10503.1414</v>
      </c>
      <c r="Q45" s="304">
        <f>IFERROR(IF(compras_mes2[[#This Row],[CUIT]]="","-",VLOOKUP(compras_mes2[[#This Row],[CUIT]],Lista_CUIT[#All],3,0)),"CUIT NO CARGADO")</f>
        <v>0</v>
      </c>
      <c r="R45" s="304">
        <f>IFERROR(IF(compras_mes2[[#This Row],[CUIT]]="","-",VLOOKUP(compras_mes2[[#This Row],[CUIT]],Lista_CUIT[#All],4,0)),"CUIT NO CARGADO")</f>
        <v>0</v>
      </c>
      <c r="S45"/>
      <c r="T45"/>
    </row>
    <row r="46" spans="1:20" s="229" customFormat="1" x14ac:dyDescent="0.3">
      <c r="A46"/>
      <c r="B46" s="298">
        <v>44964</v>
      </c>
      <c r="C46" s="250">
        <v>1</v>
      </c>
      <c r="D46" s="297">
        <v>63</v>
      </c>
      <c r="E46" s="299">
        <v>2263027</v>
      </c>
      <c r="F46" s="300">
        <v>30640897267</v>
      </c>
      <c r="G46" s="301" t="str">
        <f>IFERROR(IF(compras_mes2[[#This Row],[CUIT]]="","-",VLOOKUP(compras_mes2[[#This Row],[CUIT]],Lista_CUIT[#All],2,0)),"CUIT NO CARGADO")</f>
        <v>TELECENTRO S.A.</v>
      </c>
      <c r="H46" s="302">
        <v>8079.34</v>
      </c>
      <c r="I46" s="256">
        <f>IF(compras_mes2[[#This Row],[NETO GRAVADO]]="","",compras_mes2[[#This Row],[NETO GRAVADO]]*0.21)</f>
        <v>1696.6614</v>
      </c>
      <c r="J46" s="303"/>
      <c r="K46" s="303"/>
      <c r="L46" s="303">
        <v>242.38</v>
      </c>
      <c r="M46" s="303"/>
      <c r="N46" s="303">
        <v>484.76</v>
      </c>
      <c r="O46" s="303"/>
      <c r="P46" s="305">
        <f>SUM(compras_mes2[[#This Row],[NETO GRAVADO]:[Otros / No Grav.]])</f>
        <v>10503.1414</v>
      </c>
      <c r="Q46" s="304">
        <f>IFERROR(IF(compras_mes2[[#This Row],[CUIT]]="","-",VLOOKUP(compras_mes2[[#This Row],[CUIT]],Lista_CUIT[#All],3,0)),"CUIT NO CARGADO")</f>
        <v>0</v>
      </c>
      <c r="R46" s="304">
        <f>IFERROR(IF(compras_mes2[[#This Row],[CUIT]]="","-",VLOOKUP(compras_mes2[[#This Row],[CUIT]],Lista_CUIT[#All],4,0)),"CUIT NO CARGADO")</f>
        <v>0</v>
      </c>
      <c r="S46"/>
      <c r="T46"/>
    </row>
    <row r="47" spans="1:20" s="229" customFormat="1" x14ac:dyDescent="0.3">
      <c r="A47"/>
      <c r="B47" s="259">
        <v>44964</v>
      </c>
      <c r="C47" s="41">
        <v>1</v>
      </c>
      <c r="D47" s="285">
        <v>1</v>
      </c>
      <c r="E47" s="260">
        <v>115</v>
      </c>
      <c r="F47" s="261">
        <v>20077604627</v>
      </c>
      <c r="G47" s="262" t="str">
        <f>IFERROR(IF(compras_mes2[[#This Row],[CUIT]]="","-",VLOOKUP(compras_mes2[[#This Row],[CUIT]],Lista_CUIT[#All],2,0)),"CUIT NO CARGADO")</f>
        <v>OCAÑO ENRIQUE</v>
      </c>
      <c r="H47" s="263">
        <v>320550</v>
      </c>
      <c r="I47" s="85">
        <f>IF(compras_mes2[[#This Row],[NETO GRAVADO]]="","",compras_mes2[[#This Row],[NETO GRAVADO]]*0.21)</f>
        <v>67315.5</v>
      </c>
      <c r="J47" s="264"/>
      <c r="K47" s="264"/>
      <c r="L47" s="306"/>
      <c r="M47" s="264"/>
      <c r="N47" s="306"/>
      <c r="O47" s="264"/>
      <c r="P47" s="265">
        <f>SUM(compras_mes2[[#This Row],[NETO GRAVADO]:[Otros / No Grav.]])</f>
        <v>387865.5</v>
      </c>
      <c r="Q47" s="266">
        <f>IFERROR(IF(compras_mes2[[#This Row],[CUIT]]="","-",VLOOKUP(compras_mes2[[#This Row],[CUIT]],Lista_CUIT[#All],3,0)),"CUIT NO CARGADO")</f>
        <v>0</v>
      </c>
      <c r="R47" s="266">
        <f>IFERROR(IF(compras_mes2[[#This Row],[CUIT]]="","-",VLOOKUP(compras_mes2[[#This Row],[CUIT]],Lista_CUIT[#All],4,0)),"CUIT NO CARGADO")</f>
        <v>0</v>
      </c>
      <c r="S47"/>
      <c r="T47"/>
    </row>
    <row r="48" spans="1:20" x14ac:dyDescent="0.3">
      <c r="B48" s="259">
        <v>44964</v>
      </c>
      <c r="C48" s="41">
        <v>1</v>
      </c>
      <c r="D48" s="285">
        <v>1</v>
      </c>
      <c r="E48" s="260">
        <v>118</v>
      </c>
      <c r="F48" s="261">
        <v>20077604627</v>
      </c>
      <c r="G48" s="262" t="str">
        <f>IFERROR(IF(compras_mes2[[#This Row],[CUIT]]="","-",VLOOKUP(compras_mes2[[#This Row],[CUIT]],Lista_CUIT[#All],2,0)),"CUIT NO CARGADO")</f>
        <v>OCAÑO ENRIQUE</v>
      </c>
      <c r="H48" s="263">
        <v>90550</v>
      </c>
      <c r="I48" s="85">
        <f>IF(compras_mes2[[#This Row],[NETO GRAVADO]]="","",compras_mes2[[#This Row],[NETO GRAVADO]]*0.21)</f>
        <v>19015.5</v>
      </c>
      <c r="J48" s="264"/>
      <c r="K48" s="264"/>
      <c r="L48" s="264"/>
      <c r="M48" s="264"/>
      <c r="N48" s="264"/>
      <c r="O48" s="264"/>
      <c r="P48" s="265">
        <f>SUM(compras_mes2[[#This Row],[NETO GRAVADO]:[Otros / No Grav.]])</f>
        <v>109565.5</v>
      </c>
      <c r="Q48" s="266">
        <f>IFERROR(IF(compras_mes2[[#This Row],[CUIT]]="","-",VLOOKUP(compras_mes2[[#This Row],[CUIT]],Lista_CUIT[#All],3,0)),"CUIT NO CARGADO")</f>
        <v>0</v>
      </c>
      <c r="R48" s="266">
        <f>IFERROR(IF(compras_mes2[[#This Row],[CUIT]]="","-",VLOOKUP(compras_mes2[[#This Row],[CUIT]],Lista_CUIT[#All],4,0)),"CUIT NO CARGADO")</f>
        <v>0</v>
      </c>
    </row>
    <row r="49" spans="1:20" s="229" customFormat="1" x14ac:dyDescent="0.3">
      <c r="A49"/>
      <c r="B49" s="259">
        <v>44964</v>
      </c>
      <c r="C49" s="41">
        <v>3</v>
      </c>
      <c r="D49" s="285">
        <v>1</v>
      </c>
      <c r="E49" s="43">
        <v>12</v>
      </c>
      <c r="F49" s="44">
        <v>20077604627</v>
      </c>
      <c r="G49" s="45" t="str">
        <f>IFERROR(IF(compras_mes2[[#This Row],[CUIT]]="","-",VLOOKUP(compras_mes2[[#This Row],[CUIT]],Lista_CUIT[#All],2,0)),"CUIT NO CARGADO")</f>
        <v>OCAÑO ENRIQUE</v>
      </c>
      <c r="H49" s="46">
        <v>-320550</v>
      </c>
      <c r="I49" s="85">
        <f>IF(compras_mes2[[#This Row],[NETO GRAVADO]]="","",compras_mes2[[#This Row],[NETO GRAVADO]]*0.21)</f>
        <v>-67315.5</v>
      </c>
      <c r="J49" s="85"/>
      <c r="K49" s="85"/>
      <c r="L49" s="85"/>
      <c r="M49" s="85"/>
      <c r="N49" s="85"/>
      <c r="O49" s="85"/>
      <c r="P49" s="48">
        <f>SUM(compras_mes2[[#This Row],[NETO GRAVADO]:[Otros / No Grav.]])</f>
        <v>-387865.5</v>
      </c>
      <c r="Q49" s="49">
        <f>IFERROR(IF(compras_mes2[[#This Row],[CUIT]]="","-",VLOOKUP(compras_mes2[[#This Row],[CUIT]],Lista_CUIT[#All],3,0)),"CUIT NO CARGADO")</f>
        <v>0</v>
      </c>
      <c r="R49" s="49">
        <f>IFERROR(IF(compras_mes2[[#This Row],[CUIT]]="","-",VLOOKUP(compras_mes2[[#This Row],[CUIT]],Lista_CUIT[#All],4,0)),"CUIT NO CARGADO")</f>
        <v>0</v>
      </c>
      <c r="S49"/>
      <c r="T49"/>
    </row>
    <row r="50" spans="1:20" x14ac:dyDescent="0.3">
      <c r="B50" s="259">
        <v>44965</v>
      </c>
      <c r="C50" s="41">
        <v>1</v>
      </c>
      <c r="D50" s="285">
        <v>2</v>
      </c>
      <c r="E50" s="260">
        <v>3263</v>
      </c>
      <c r="F50" s="261">
        <v>30629863571</v>
      </c>
      <c r="G50" s="262" t="str">
        <f>IFERROR(IF(compras_mes2[[#This Row],[CUIT]]="","-",VLOOKUP(compras_mes2[[#This Row],[CUIT]],Lista_CUIT[#All],2,0)),"CUIT NO CARGADO")</f>
        <v>TECNIMAR S R L</v>
      </c>
      <c r="H50" s="263">
        <v>931215.63</v>
      </c>
      <c r="I50" s="85">
        <f>IF(compras_mes2[[#This Row],[NETO GRAVADO]]="","",compras_mes2[[#This Row],[NETO GRAVADO]]*0.21)</f>
        <v>195555.28229999999</v>
      </c>
      <c r="J50" s="264"/>
      <c r="K50" s="264"/>
      <c r="L50" s="264"/>
      <c r="M50" s="264"/>
      <c r="N50" s="264"/>
      <c r="O50" s="264"/>
      <c r="P50" s="265">
        <f>SUM(compras_mes2[[#This Row],[NETO GRAVADO]:[Otros / No Grav.]])</f>
        <v>1126770.9123</v>
      </c>
      <c r="Q50" s="266" t="str">
        <f>IFERROR(IF(compras_mes2[[#This Row],[CUIT]]="","-",VLOOKUP(compras_mes2[[#This Row],[CUIT]],Lista_CUIT[#All],3,0)),"CUIT NO CARGADO")</f>
        <v>LABORATORIO</v>
      </c>
      <c r="R50" s="266">
        <f>IFERROR(IF(compras_mes2[[#This Row],[CUIT]]="","-",VLOOKUP(compras_mes2[[#This Row],[CUIT]],Lista_CUIT[#All],4,0)),"CUIT NO CARGADO")</f>
        <v>0</v>
      </c>
    </row>
    <row r="51" spans="1:20" s="229" customFormat="1" x14ac:dyDescent="0.3">
      <c r="A51"/>
      <c r="B51" s="259">
        <v>44965</v>
      </c>
      <c r="C51" s="41">
        <v>1</v>
      </c>
      <c r="D51" s="285">
        <v>5</v>
      </c>
      <c r="E51" s="260">
        <v>5293</v>
      </c>
      <c r="F51" s="261">
        <v>30714381551</v>
      </c>
      <c r="G51" s="262" t="str">
        <f>IFERROR(IF(compras_mes2[[#This Row],[CUIT]]="","-",VLOOKUP(compras_mes2[[#This Row],[CUIT]],Lista_CUIT[#All],2,0)),"CUIT NO CARGADO")</f>
        <v>ECOEXIST S.R.L.</v>
      </c>
      <c r="H51" s="263">
        <v>180000</v>
      </c>
      <c r="I51" s="85">
        <f>IF(compras_mes2[[#This Row],[NETO GRAVADO]]="","",compras_mes2[[#This Row],[NETO GRAVADO]]*0.21)</f>
        <v>37800</v>
      </c>
      <c r="J51" s="264"/>
      <c r="K51" s="264"/>
      <c r="L51" s="264"/>
      <c r="M51" s="264"/>
      <c r="N51" s="264"/>
      <c r="O51" s="264"/>
      <c r="P51" s="265">
        <f>SUM(compras_mes2[[#This Row],[NETO GRAVADO]:[Otros / No Grav.]])</f>
        <v>217800</v>
      </c>
      <c r="Q51" s="266">
        <f>IFERROR(IF(compras_mes2[[#This Row],[CUIT]]="","-",VLOOKUP(compras_mes2[[#This Row],[CUIT]],Lista_CUIT[#All],3,0)),"CUIT NO CARGADO")</f>
        <v>0</v>
      </c>
      <c r="R51" s="266">
        <f>IFERROR(IF(compras_mes2[[#This Row],[CUIT]]="","-",VLOOKUP(compras_mes2[[#This Row],[CUIT]],Lista_CUIT[#All],4,0)),"CUIT NO CARGADO")</f>
        <v>0</v>
      </c>
      <c r="S51"/>
      <c r="T51"/>
    </row>
    <row r="52" spans="1:20" s="229" customFormat="1" x14ac:dyDescent="0.3">
      <c r="A52"/>
      <c r="B52" s="298">
        <v>44965</v>
      </c>
      <c r="C52" s="250">
        <v>1</v>
      </c>
      <c r="D52" s="297">
        <v>8002</v>
      </c>
      <c r="E52" s="299">
        <v>14195</v>
      </c>
      <c r="F52" s="300">
        <v>30678774495</v>
      </c>
      <c r="G52" s="301" t="str">
        <f>IFERROR(IF(compras_mes2[[#This Row],[CUIT]]="","-",VLOOKUP(compras_mes2[[#This Row],[CUIT]],Lista_CUIT[#All],2,0)),"CUIT NO CARGADO")</f>
        <v>OPER. DE EST. DE SERV. SA</v>
      </c>
      <c r="H52" s="302">
        <v>8023.27</v>
      </c>
      <c r="I52" s="256">
        <f>IF(compras_mes2[[#This Row],[NETO GRAVADO]]="","",compras_mes2[[#This Row],[NETO GRAVADO]]*0.21)</f>
        <v>1684.8867</v>
      </c>
      <c r="J52" s="303"/>
      <c r="K52" s="303"/>
      <c r="L52" s="303"/>
      <c r="M52" s="303"/>
      <c r="N52" s="303"/>
      <c r="O52" s="303"/>
      <c r="P52" s="305">
        <f>SUM(compras_mes2[[#This Row],[NETO GRAVADO]:[Otros / No Grav.]])</f>
        <v>9708.1566999999995</v>
      </c>
      <c r="Q52" s="304" t="str">
        <f>IFERROR(IF(compras_mes2[[#This Row],[CUIT]]="","-",VLOOKUP(compras_mes2[[#This Row],[CUIT]],Lista_CUIT[#All],3,0)),"CUIT NO CARGADO")</f>
        <v>Combustibe</v>
      </c>
      <c r="R52" s="304">
        <f>IFERROR(IF(compras_mes2[[#This Row],[CUIT]]="","-",VLOOKUP(compras_mes2[[#This Row],[CUIT]],Lista_CUIT[#All],4,0)),"CUIT NO CARGADO")</f>
        <v>0</v>
      </c>
      <c r="S52"/>
      <c r="T52"/>
    </row>
    <row r="53" spans="1:20" s="229" customFormat="1" x14ac:dyDescent="0.3">
      <c r="A53" t="s">
        <v>1591</v>
      </c>
      <c r="B53" s="259">
        <v>44965</v>
      </c>
      <c r="C53" s="41">
        <v>1</v>
      </c>
      <c r="D53" s="285">
        <v>21</v>
      </c>
      <c r="E53" s="43">
        <v>25138</v>
      </c>
      <c r="F53" s="44">
        <v>30515800219</v>
      </c>
      <c r="G53" s="45" t="str">
        <f>IFERROR(IF(compras_mes2[[#This Row],[CUIT]]="","-",VLOOKUP(compras_mes2[[#This Row],[CUIT]],Lista_CUIT[#All],2,0)),"CUIT NO CARGADO")</f>
        <v>INCAT SRL</v>
      </c>
      <c r="H53" s="46">
        <v>4468.57</v>
      </c>
      <c r="I53" s="85">
        <f>IF(compras_mes2[[#This Row],[NETO GRAVADO]]="","",compras_mes2[[#This Row],[NETO GRAVADO]]*0.21)</f>
        <v>938.39969999999994</v>
      </c>
      <c r="J53" s="85"/>
      <c r="K53" s="85"/>
      <c r="L53" s="85"/>
      <c r="M53" s="85"/>
      <c r="N53" s="85"/>
      <c r="O53" s="85">
        <v>993.63</v>
      </c>
      <c r="P53" s="48">
        <f>SUM(compras_mes2[[#This Row],[NETO GRAVADO]:[Otros / No Grav.]])</f>
        <v>6400.5996999999998</v>
      </c>
      <c r="Q53" s="49" t="str">
        <f>IFERROR(IF(compras_mes2[[#This Row],[CUIT]]="","-",VLOOKUP(compras_mes2[[#This Row],[CUIT]],Lista_CUIT[#All],3,0)),"CUIT NO CARGADO")</f>
        <v>Combustibe</v>
      </c>
      <c r="R53" s="49" t="str">
        <f>IFERROR(IF(compras_mes2[[#This Row],[CUIT]]="","-",VLOOKUP(compras_mes2[[#This Row],[CUIT]],Lista_CUIT[#All],4,0)),"CUIT NO CARGADO")</f>
        <v>CABA</v>
      </c>
      <c r="S53"/>
      <c r="T53"/>
    </row>
    <row r="54" spans="1:20" s="229" customFormat="1" x14ac:dyDescent="0.3">
      <c r="A54"/>
      <c r="B54" s="40">
        <v>44965</v>
      </c>
      <c r="C54" s="41">
        <v>1</v>
      </c>
      <c r="D54" s="42">
        <v>8526</v>
      </c>
      <c r="E54" s="43">
        <v>597204</v>
      </c>
      <c r="F54" s="44">
        <v>30678774495</v>
      </c>
      <c r="G54" s="45" t="str">
        <f>IFERROR(IF(compras_mes2[[#This Row],[CUIT]]="","-",VLOOKUP(compras_mes2[[#This Row],[CUIT]],Lista_CUIT[#All],2,0)),"CUIT NO CARGADO")</f>
        <v>OPER. DE EST. DE SERV. SA</v>
      </c>
      <c r="H54" s="46">
        <v>8023.27</v>
      </c>
      <c r="I54" s="85">
        <f>IF(compras_mes2[[#This Row],[NETO GRAVADO]]="","",compras_mes2[[#This Row],[NETO GRAVADO]]*0.21)</f>
        <v>1684.8867</v>
      </c>
      <c r="J54" s="85"/>
      <c r="K54" s="85"/>
      <c r="L54" s="85"/>
      <c r="M54" s="85"/>
      <c r="N54" s="85"/>
      <c r="O54" s="85">
        <v>1592.85</v>
      </c>
      <c r="P54" s="48">
        <f>SUM(compras_mes2[[#This Row],[NETO GRAVADO]:[Otros / No Grav.]])</f>
        <v>11301.0067</v>
      </c>
      <c r="Q54" s="49" t="str">
        <f>IFERROR(IF(compras_mes2[[#This Row],[CUIT]]="","-",VLOOKUP(compras_mes2[[#This Row],[CUIT]],Lista_CUIT[#All],3,0)),"CUIT NO CARGADO")</f>
        <v>Combustibe</v>
      </c>
      <c r="R54" s="49">
        <f>IFERROR(IF(compras_mes2[[#This Row],[CUIT]]="","-",VLOOKUP(compras_mes2[[#This Row],[CUIT]],Lista_CUIT[#All],4,0)),"CUIT NO CARGADO")</f>
        <v>0</v>
      </c>
      <c r="S54"/>
      <c r="T54"/>
    </row>
    <row r="55" spans="1:20" s="229" customFormat="1" x14ac:dyDescent="0.3">
      <c r="A55"/>
      <c r="B55" s="298">
        <v>44966</v>
      </c>
      <c r="C55" s="250">
        <v>1</v>
      </c>
      <c r="D55" s="297">
        <v>948</v>
      </c>
      <c r="E55" s="299">
        <v>878650</v>
      </c>
      <c r="F55" s="300">
        <v>30639453975</v>
      </c>
      <c r="G55" s="301" t="str">
        <f>IFERROR(IF(compras_mes2[[#This Row],[CUIT]]="","-",VLOOKUP(compras_mes2[[#This Row],[CUIT]],Lista_CUIT[#All],2,0)),"CUIT NO CARGADO")</f>
        <v>TELEFONICA DE ARG S.A.</v>
      </c>
      <c r="H55" s="302">
        <v>5250</v>
      </c>
      <c r="I55" s="303"/>
      <c r="J55" s="303"/>
      <c r="K55" s="303">
        <v>1417.5</v>
      </c>
      <c r="L55" s="303">
        <v>157.5</v>
      </c>
      <c r="M55" s="303"/>
      <c r="N55" s="303">
        <v>315</v>
      </c>
      <c r="O55" s="303"/>
      <c r="P55" s="305">
        <f>SUM(compras_mes2[[#This Row],[NETO GRAVADO]:[Otros / No Grav.]])</f>
        <v>7140</v>
      </c>
      <c r="Q55" s="304" t="str">
        <f>IFERROR(IF(compras_mes2[[#This Row],[CUIT]]="","-",VLOOKUP(compras_mes2[[#This Row],[CUIT]],Lista_CUIT[#All],3,0)),"CUIT NO CARGADO")</f>
        <v>Servicios Gas, Luz, etc.</v>
      </c>
      <c r="R55" s="304">
        <f>IFERROR(IF(compras_mes2[[#This Row],[CUIT]]="","-",VLOOKUP(compras_mes2[[#This Row],[CUIT]],Lista_CUIT[#All],4,0)),"CUIT NO CARGADO")</f>
        <v>0</v>
      </c>
      <c r="S55"/>
      <c r="T55"/>
    </row>
    <row r="56" spans="1:20" x14ac:dyDescent="0.3">
      <c r="B56" s="259">
        <v>44966</v>
      </c>
      <c r="C56" s="41">
        <v>1</v>
      </c>
      <c r="D56" s="285">
        <v>6</v>
      </c>
      <c r="E56" s="260">
        <v>22714</v>
      </c>
      <c r="F56" s="261">
        <v>33640878679</v>
      </c>
      <c r="G56" s="262" t="str">
        <f>IFERROR(IF(compras_mes2[[#This Row],[CUIT]]="","-",VLOOKUP(compras_mes2[[#This Row],[CUIT]],Lista_CUIT[#All],2,0)),"CUIT NO CARGADO")</f>
        <v>DHACAM S R L</v>
      </c>
      <c r="H56" s="263">
        <v>40980</v>
      </c>
      <c r="I56" s="85">
        <f>IF(compras_mes2[[#This Row],[NETO GRAVADO]]="","",compras_mes2[[#This Row],[NETO GRAVADO]]*0.21)</f>
        <v>8605.7999999999993</v>
      </c>
      <c r="J56" s="264"/>
      <c r="K56" s="264"/>
      <c r="L56" s="264"/>
      <c r="M56" s="264"/>
      <c r="N56" s="264"/>
      <c r="O56" s="264"/>
      <c r="P56" s="265">
        <f>SUM(compras_mes2[[#This Row],[NETO GRAVADO]:[Otros / No Grav.]])</f>
        <v>49585.8</v>
      </c>
      <c r="Q56" s="266">
        <f>IFERROR(IF(compras_mes2[[#This Row],[CUIT]]="","-",VLOOKUP(compras_mes2[[#This Row],[CUIT]],Lista_CUIT[#All],3,0)),"CUIT NO CARGADO")</f>
        <v>0</v>
      </c>
      <c r="R56" s="266">
        <f>IFERROR(IF(compras_mes2[[#This Row],[CUIT]]="","-",VLOOKUP(compras_mes2[[#This Row],[CUIT]],Lista_CUIT[#All],4,0)),"CUIT NO CARGADO")</f>
        <v>0</v>
      </c>
    </row>
    <row r="57" spans="1:20" ht="17.25" customHeight="1" x14ac:dyDescent="0.3">
      <c r="B57" s="259">
        <v>44966</v>
      </c>
      <c r="C57" s="41">
        <v>1</v>
      </c>
      <c r="D57" s="285">
        <v>5</v>
      </c>
      <c r="E57" s="260">
        <v>236</v>
      </c>
      <c r="F57" s="261">
        <v>30716654105</v>
      </c>
      <c r="G57" s="262" t="str">
        <f>IFERROR(IF(compras_mes2[[#This Row],[CUIT]]="","-",VLOOKUP(compras_mes2[[#This Row],[CUIT]],Lista_CUIT[#All],2,0)),"CUIT NO CARGADO")</f>
        <v>CARNICA DEL NORTE S.R.L.</v>
      </c>
      <c r="H57" s="263">
        <v>2971.43</v>
      </c>
      <c r="I57" s="85"/>
      <c r="J57" s="264"/>
      <c r="K57" s="264">
        <v>312</v>
      </c>
      <c r="L57" s="264"/>
      <c r="M57" s="264"/>
      <c r="N57" s="264"/>
      <c r="O57" s="264"/>
      <c r="P57" s="265">
        <f>SUM(compras_mes2[[#This Row],[NETO GRAVADO]:[Otros / No Grav.]])</f>
        <v>3283.43</v>
      </c>
      <c r="Q57" s="266">
        <f>IFERROR(IF(compras_mes2[[#This Row],[CUIT]]="","-",VLOOKUP(compras_mes2[[#This Row],[CUIT]],Lista_CUIT[#All],3,0)),"CUIT NO CARGADO")</f>
        <v>0</v>
      </c>
      <c r="R57" s="266">
        <f>IFERROR(IF(compras_mes2[[#This Row],[CUIT]]="","-",VLOOKUP(compras_mes2[[#This Row],[CUIT]],Lista_CUIT[#All],4,0)),"CUIT NO CARGADO")</f>
        <v>0</v>
      </c>
    </row>
    <row r="58" spans="1:20" x14ac:dyDescent="0.3">
      <c r="B58" s="259">
        <v>44967</v>
      </c>
      <c r="C58" s="41">
        <v>1</v>
      </c>
      <c r="D58" s="285">
        <v>2199</v>
      </c>
      <c r="E58" s="260">
        <v>20384</v>
      </c>
      <c r="F58" s="261">
        <v>30548083156</v>
      </c>
      <c r="G58" s="262" t="str">
        <f>IFERROR(IF(compras_mes2[[#This Row],[CUIT]]="","-",VLOOKUP(compras_mes2[[#This Row],[CUIT]],Lista_CUIT[#All],2,0)),"CUIT NO CARGADO")</f>
        <v>COTO CENTRO INTEGRAL DE COMERCIALIZACION SOCIEDAD ANONIMA</v>
      </c>
      <c r="H58" s="263">
        <v>2425.63</v>
      </c>
      <c r="I58" s="85">
        <v>399.17</v>
      </c>
      <c r="J58" s="264"/>
      <c r="K58" s="264">
        <v>55.11</v>
      </c>
      <c r="L58" s="264"/>
      <c r="M58" s="264"/>
      <c r="N58" s="264">
        <v>117.29</v>
      </c>
      <c r="O58" s="264"/>
      <c r="P58" s="265">
        <f>SUM(compras_mes2[[#This Row],[NETO GRAVADO]:[Otros / No Grav.]])</f>
        <v>2997.2000000000003</v>
      </c>
      <c r="Q58" s="266" t="str">
        <f>IFERROR(IF(compras_mes2[[#This Row],[CUIT]]="","-",VLOOKUP(compras_mes2[[#This Row],[CUIT]],Lista_CUIT[#All],3,0)),"CUIT NO CARGADO")</f>
        <v>GASTOS COMERCIALES</v>
      </c>
      <c r="R58" s="266">
        <f>IFERROR(IF(compras_mes2[[#This Row],[CUIT]]="","-",VLOOKUP(compras_mes2[[#This Row],[CUIT]],Lista_CUIT[#All],4,0)),"CUIT NO CARGADO")</f>
        <v>0</v>
      </c>
    </row>
    <row r="59" spans="1:20" x14ac:dyDescent="0.3">
      <c r="B59" s="259">
        <v>44967</v>
      </c>
      <c r="C59" s="41">
        <v>1</v>
      </c>
      <c r="D59" s="285">
        <v>1</v>
      </c>
      <c r="E59" s="260">
        <v>55</v>
      </c>
      <c r="F59" s="261">
        <v>20403989496</v>
      </c>
      <c r="G59" s="262" t="str">
        <f>IFERROR(IF(compras_mes2[[#This Row],[CUIT]]="","-",VLOOKUP(compras_mes2[[#This Row],[CUIT]],Lista_CUIT[#All],2,0)),"CUIT NO CARGADO")</f>
        <v>DUARTE JEAN FRANCO</v>
      </c>
      <c r="H59" s="263">
        <v>35000</v>
      </c>
      <c r="I59" s="85">
        <f>IF(compras_mes2[[#This Row],[NETO GRAVADO]]="","",compras_mes2[[#This Row],[NETO GRAVADO]]*0.21)</f>
        <v>7350</v>
      </c>
      <c r="J59" s="264"/>
      <c r="K59" s="264"/>
      <c r="L59" s="264"/>
      <c r="M59" s="264"/>
      <c r="N59" s="264"/>
      <c r="O59" s="264"/>
      <c r="P59" s="265">
        <f>SUM(compras_mes2[[#This Row],[NETO GRAVADO]:[Otros / No Grav.]])</f>
        <v>42350</v>
      </c>
      <c r="Q59" s="266">
        <f>IFERROR(IF(compras_mes2[[#This Row],[CUIT]]="","-",VLOOKUP(compras_mes2[[#This Row],[CUIT]],Lista_CUIT[#All],3,0)),"CUIT NO CARGADO")</f>
        <v>0</v>
      </c>
      <c r="R59" s="266">
        <f>IFERROR(IF(compras_mes2[[#This Row],[CUIT]]="","-",VLOOKUP(compras_mes2[[#This Row],[CUIT]],Lista_CUIT[#All],4,0)),"CUIT NO CARGADO")</f>
        <v>0</v>
      </c>
    </row>
    <row r="60" spans="1:20" x14ac:dyDescent="0.3">
      <c r="B60" s="259">
        <v>44967</v>
      </c>
      <c r="C60" s="41">
        <v>1</v>
      </c>
      <c r="D60" s="285">
        <v>22</v>
      </c>
      <c r="E60" s="260">
        <v>28004</v>
      </c>
      <c r="F60" s="261">
        <v>30584529454</v>
      </c>
      <c r="G60" s="262" t="str">
        <f>IFERROR(IF(compras_mes2[[#This Row],[CUIT]]="","-",VLOOKUP(compras_mes2[[#This Row],[CUIT]],Lista_CUIT[#All],2,0)),"CUIT NO CARGADO")</f>
        <v>MALI Y CIA SA</v>
      </c>
      <c r="H60" s="263">
        <v>119587.38</v>
      </c>
      <c r="I60" s="85"/>
      <c r="J60" s="264">
        <f>compras_mes2[[#This Row],[NETO GRAVADO]]*0.27</f>
        <v>32288.592600000004</v>
      </c>
      <c r="K60" s="264"/>
      <c r="L60" s="264"/>
      <c r="M60" s="264"/>
      <c r="N60" s="264"/>
      <c r="O60" s="264"/>
      <c r="P60" s="265">
        <f>SUM(compras_mes2[[#This Row],[NETO GRAVADO]:[Otros / No Grav.]])</f>
        <v>151875.97260000001</v>
      </c>
      <c r="Q60" s="266">
        <f>IFERROR(IF(compras_mes2[[#This Row],[CUIT]]="","-",VLOOKUP(compras_mes2[[#This Row],[CUIT]],Lista_CUIT[#All],3,0)),"CUIT NO CARGADO")</f>
        <v>0</v>
      </c>
      <c r="R60" s="266">
        <f>IFERROR(IF(compras_mes2[[#This Row],[CUIT]]="","-",VLOOKUP(compras_mes2[[#This Row],[CUIT]],Lista_CUIT[#All],4,0)),"CUIT NO CARGADO")</f>
        <v>0</v>
      </c>
    </row>
    <row r="61" spans="1:20" x14ac:dyDescent="0.3">
      <c r="B61" s="298">
        <v>44967</v>
      </c>
      <c r="C61" s="250">
        <v>1</v>
      </c>
      <c r="D61" s="297">
        <v>6</v>
      </c>
      <c r="E61" s="299">
        <v>13632672</v>
      </c>
      <c r="F61" s="300">
        <v>30620177497</v>
      </c>
      <c r="G61" s="301" t="str">
        <f>IFERROR(IF(compras_mes2[[#This Row],[CUIT]]="","-",VLOOKUP(compras_mes2[[#This Row],[CUIT]],Lista_CUIT[#All],2,0)),"CUIT NO CARGADO")</f>
        <v>POSNET SRL</v>
      </c>
      <c r="H61" s="302">
        <v>10185</v>
      </c>
      <c r="I61" s="256">
        <f>IF(compras_mes2[[#This Row],[NETO GRAVADO]]="","",compras_mes2[[#This Row],[NETO GRAVADO]]*0.21)</f>
        <v>2138.85</v>
      </c>
      <c r="J61" s="303"/>
      <c r="K61" s="303"/>
      <c r="L61" s="303"/>
      <c r="M61" s="303"/>
      <c r="N61" s="303"/>
      <c r="O61" s="303"/>
      <c r="P61" s="305">
        <f>SUM(compras_mes2[[#This Row],[NETO GRAVADO]:[Otros / No Grav.]])</f>
        <v>12323.85</v>
      </c>
      <c r="Q61" s="304" t="str">
        <f>IFERROR(IF(compras_mes2[[#This Row],[CUIT]]="","-",VLOOKUP(compras_mes2[[#This Row],[CUIT]],Lista_CUIT[#All],3,0)),"CUIT NO CARGADO")</f>
        <v>Servicios Gas, Luz, etc.</v>
      </c>
      <c r="R61" s="304">
        <f>IFERROR(IF(compras_mes2[[#This Row],[CUIT]]="","-",VLOOKUP(compras_mes2[[#This Row],[CUIT]],Lista_CUIT[#All],4,0)),"CUIT NO CARGADO")</f>
        <v>0</v>
      </c>
    </row>
    <row r="62" spans="1:20" x14ac:dyDescent="0.3">
      <c r="B62" s="298">
        <v>44967</v>
      </c>
      <c r="C62" s="250">
        <v>1</v>
      </c>
      <c r="D62" s="297">
        <v>6</v>
      </c>
      <c r="E62" s="299">
        <v>13632639</v>
      </c>
      <c r="F62" s="300">
        <v>30620177497</v>
      </c>
      <c r="G62" s="301" t="str">
        <f>IFERROR(IF(compras_mes2[[#This Row],[CUIT]]="","-",VLOOKUP(compras_mes2[[#This Row],[CUIT]],Lista_CUIT[#All],2,0)),"CUIT NO CARGADO")</f>
        <v>POSNET SRL</v>
      </c>
      <c r="H62" s="302">
        <v>3395</v>
      </c>
      <c r="I62" s="256">
        <f>IF(compras_mes2[[#This Row],[NETO GRAVADO]]="","",compras_mes2[[#This Row],[NETO GRAVADO]]*0.21)</f>
        <v>712.94999999999993</v>
      </c>
      <c r="J62" s="303"/>
      <c r="K62" s="303"/>
      <c r="L62" s="303"/>
      <c r="M62" s="303"/>
      <c r="N62" s="303"/>
      <c r="O62" s="303"/>
      <c r="P62" s="305">
        <f>SUM(compras_mes2[[#This Row],[NETO GRAVADO]:[Otros / No Grav.]])</f>
        <v>4107.95</v>
      </c>
      <c r="Q62" s="304" t="str">
        <f>IFERROR(IF(compras_mes2[[#This Row],[CUIT]]="","-",VLOOKUP(compras_mes2[[#This Row],[CUIT]],Lista_CUIT[#All],3,0)),"CUIT NO CARGADO")</f>
        <v>Servicios Gas, Luz, etc.</v>
      </c>
      <c r="R62" s="304">
        <f>IFERROR(IF(compras_mes2[[#This Row],[CUIT]]="","-",VLOOKUP(compras_mes2[[#This Row],[CUIT]],Lista_CUIT[#All],4,0)),"CUIT NO CARGADO")</f>
        <v>0</v>
      </c>
    </row>
    <row r="63" spans="1:20" s="229" customFormat="1" x14ac:dyDescent="0.3">
      <c r="A63"/>
      <c r="B63" s="298">
        <v>44967</v>
      </c>
      <c r="C63" s="250">
        <v>1</v>
      </c>
      <c r="D63" s="297">
        <v>6</v>
      </c>
      <c r="E63" s="299">
        <v>13632655</v>
      </c>
      <c r="F63" s="300">
        <v>30620177497</v>
      </c>
      <c r="G63" s="301" t="str">
        <f>IFERROR(IF(compras_mes2[[#This Row],[CUIT]]="","-",VLOOKUP(compras_mes2[[#This Row],[CUIT]],Lista_CUIT[#All],2,0)),"CUIT NO CARGADO")</f>
        <v>POSNET SRL</v>
      </c>
      <c r="H63" s="302">
        <v>3395</v>
      </c>
      <c r="I63" s="256">
        <f>IF(compras_mes2[[#This Row],[NETO GRAVADO]]="","",compras_mes2[[#This Row],[NETO GRAVADO]]*0.21)</f>
        <v>712.94999999999993</v>
      </c>
      <c r="J63" s="303"/>
      <c r="K63" s="303"/>
      <c r="L63" s="303"/>
      <c r="M63" s="303"/>
      <c r="N63" s="303"/>
      <c r="O63" s="303"/>
      <c r="P63" s="305">
        <f>SUM(compras_mes2[[#This Row],[NETO GRAVADO]:[Otros / No Grav.]])</f>
        <v>4107.95</v>
      </c>
      <c r="Q63" s="304" t="str">
        <f>IFERROR(IF(compras_mes2[[#This Row],[CUIT]]="","-",VLOOKUP(compras_mes2[[#This Row],[CUIT]],Lista_CUIT[#All],3,0)),"CUIT NO CARGADO")</f>
        <v>Servicios Gas, Luz, etc.</v>
      </c>
      <c r="R63" s="304">
        <f>IFERROR(IF(compras_mes2[[#This Row],[CUIT]]="","-",VLOOKUP(compras_mes2[[#This Row],[CUIT]],Lista_CUIT[#All],4,0)),"CUIT NO CARGADO")</f>
        <v>0</v>
      </c>
      <c r="S63"/>
      <c r="T63"/>
    </row>
    <row r="64" spans="1:20" s="229" customFormat="1" x14ac:dyDescent="0.3">
      <c r="A64"/>
      <c r="B64" s="298">
        <v>44967</v>
      </c>
      <c r="C64" s="250">
        <v>1</v>
      </c>
      <c r="D64" s="297">
        <v>6</v>
      </c>
      <c r="E64" s="299">
        <v>13632661</v>
      </c>
      <c r="F64" s="300">
        <v>30620177497</v>
      </c>
      <c r="G64" s="301" t="str">
        <f>IFERROR(IF(compras_mes2[[#This Row],[CUIT]]="","-",VLOOKUP(compras_mes2[[#This Row],[CUIT]],Lista_CUIT[#All],2,0)),"CUIT NO CARGADO")</f>
        <v>POSNET SRL</v>
      </c>
      <c r="H64" s="302">
        <v>3395</v>
      </c>
      <c r="I64" s="256">
        <f>IF(compras_mes2[[#This Row],[NETO GRAVADO]]="","",compras_mes2[[#This Row],[NETO GRAVADO]]*0.21)</f>
        <v>712.94999999999993</v>
      </c>
      <c r="J64" s="303"/>
      <c r="K64" s="303"/>
      <c r="L64" s="303"/>
      <c r="M64" s="303"/>
      <c r="N64" s="303"/>
      <c r="O64" s="303"/>
      <c r="P64" s="305">
        <f>SUM(compras_mes2[[#This Row],[NETO GRAVADO]:[Otros / No Grav.]])</f>
        <v>4107.95</v>
      </c>
      <c r="Q64" s="304" t="str">
        <f>IFERROR(IF(compras_mes2[[#This Row],[CUIT]]="","-",VLOOKUP(compras_mes2[[#This Row],[CUIT]],Lista_CUIT[#All],3,0)),"CUIT NO CARGADO")</f>
        <v>Servicios Gas, Luz, etc.</v>
      </c>
      <c r="R64" s="304">
        <f>IFERROR(IF(compras_mes2[[#This Row],[CUIT]]="","-",VLOOKUP(compras_mes2[[#This Row],[CUIT]],Lista_CUIT[#All],4,0)),"CUIT NO CARGADO")</f>
        <v>0</v>
      </c>
      <c r="S64"/>
      <c r="T64"/>
    </row>
    <row r="65" spans="1:20" s="229" customFormat="1" x14ac:dyDescent="0.3">
      <c r="A65"/>
      <c r="B65" s="298">
        <v>44967</v>
      </c>
      <c r="C65" s="250">
        <v>1</v>
      </c>
      <c r="D65" s="297">
        <v>3034</v>
      </c>
      <c r="E65" s="299">
        <v>3193883</v>
      </c>
      <c r="F65" s="300">
        <v>30708574836</v>
      </c>
      <c r="G65" s="301" t="str">
        <f>IFERROR(IF(compras_mes2[[#This Row],[CUIT]]="","-",VLOOKUP(compras_mes2[[#This Row],[CUIT]],Lista_CUIT[#All],2,0)),"CUIT NO CARGADO")</f>
        <v>CORREO OFICIAL DE LA REPUBLICA ARGENTINA SOCIEDAD ANONIMA</v>
      </c>
      <c r="H65" s="302">
        <v>1038.58</v>
      </c>
      <c r="I65" s="256">
        <f>IF(compras_mes2[[#This Row],[NETO GRAVADO]]="","",compras_mes2[[#This Row],[NETO GRAVADO]]*0.21)</f>
        <v>218.10179999999997</v>
      </c>
      <c r="J65" s="303"/>
      <c r="K65" s="303"/>
      <c r="L65" s="303"/>
      <c r="M65" s="303"/>
      <c r="N65" s="303"/>
      <c r="O65" s="303"/>
      <c r="P65" s="305">
        <f>SUM(compras_mes2[[#This Row],[NETO GRAVADO]:[Otros / No Grav.]])</f>
        <v>1256.6817999999998</v>
      </c>
      <c r="Q65" s="304" t="str">
        <f>IFERROR(IF(compras_mes2[[#This Row],[CUIT]]="","-",VLOOKUP(compras_mes2[[#This Row],[CUIT]],Lista_CUIT[#All],3,0)),"CUIT NO CARGADO")</f>
        <v>MESAJERIA</v>
      </c>
      <c r="R65" s="304">
        <f>IFERROR(IF(compras_mes2[[#This Row],[CUIT]]="","-",VLOOKUP(compras_mes2[[#This Row],[CUIT]],Lista_CUIT[#All],4,0)),"CUIT NO CARGADO")</f>
        <v>0</v>
      </c>
      <c r="S65"/>
      <c r="T65"/>
    </row>
    <row r="66" spans="1:20" s="229" customFormat="1" x14ac:dyDescent="0.3">
      <c r="A66"/>
      <c r="B66" s="298">
        <v>44967</v>
      </c>
      <c r="C66" s="250">
        <v>1</v>
      </c>
      <c r="D66" s="297">
        <v>6364</v>
      </c>
      <c r="E66" s="299">
        <v>7233209</v>
      </c>
      <c r="F66" s="300">
        <v>30639453738</v>
      </c>
      <c r="G66" s="301" t="str">
        <f>IFERROR(IF(compras_mes2[[#This Row],[CUIT]]="","-",VLOOKUP(compras_mes2[[#This Row],[CUIT]],Lista_CUIT[#All],2,0)),"CUIT NO CARGADO")</f>
        <v>TELECOM ARG SA</v>
      </c>
      <c r="H66" s="302">
        <v>45066.73</v>
      </c>
      <c r="I66" s="256">
        <v>9160.2800000000007</v>
      </c>
      <c r="J66" s="303">
        <v>390.51</v>
      </c>
      <c r="K66" s="303"/>
      <c r="L66" s="303"/>
      <c r="M66" s="303">
        <v>2482.46</v>
      </c>
      <c r="N66" s="303"/>
      <c r="O66" s="303">
        <f>4.62+1351.99+76.14</f>
        <v>1432.75</v>
      </c>
      <c r="P66" s="305">
        <f>SUM(compras_mes2[[#This Row],[NETO GRAVADO]:[Otros / No Grav.]])</f>
        <v>58532.73</v>
      </c>
      <c r="Q66" s="304" t="str">
        <f>IFERROR(IF(compras_mes2[[#This Row],[CUIT]]="","-",VLOOKUP(compras_mes2[[#This Row],[CUIT]],Lista_CUIT[#All],3,0)),"CUIT NO CARGADO")</f>
        <v>Servicios Gas, Luz, etc.</v>
      </c>
      <c r="R66" s="304">
        <f>IFERROR(IF(compras_mes2[[#This Row],[CUIT]]="","-",VLOOKUP(compras_mes2[[#This Row],[CUIT]],Lista_CUIT[#All],4,0)),"CUIT NO CARGADO")</f>
        <v>0</v>
      </c>
      <c r="S66"/>
      <c r="T66"/>
    </row>
    <row r="67" spans="1:20" s="229" customFormat="1" x14ac:dyDescent="0.3">
      <c r="A67"/>
      <c r="B67" s="298">
        <v>44968</v>
      </c>
      <c r="C67" s="250">
        <v>1</v>
      </c>
      <c r="D67" s="297">
        <v>8012</v>
      </c>
      <c r="E67" s="299">
        <v>12000</v>
      </c>
      <c r="F67" s="300">
        <v>30678774495</v>
      </c>
      <c r="G67" s="301" t="str">
        <f>IFERROR(IF(compras_mes2[[#This Row],[CUIT]]="","-",VLOOKUP(compras_mes2[[#This Row],[CUIT]],Lista_CUIT[#All],2,0)),"CUIT NO CARGADO")</f>
        <v>OPER. DE EST. DE SERV. SA</v>
      </c>
      <c r="H67" s="302">
        <v>4260.34</v>
      </c>
      <c r="I67" s="256">
        <f>IF(compras_mes2[[#This Row],[NETO GRAVADO]]="","",compras_mes2[[#This Row],[NETO GRAVADO]]*0.21)</f>
        <v>894.67139999999995</v>
      </c>
      <c r="J67" s="303"/>
      <c r="K67" s="303"/>
      <c r="L67" s="303"/>
      <c r="M67" s="303"/>
      <c r="N67" s="303"/>
      <c r="O67" s="303"/>
      <c r="P67" s="305">
        <f>SUM(compras_mes2[[#This Row],[NETO GRAVADO]:[Otros / No Grav.]])</f>
        <v>5155.0114000000003</v>
      </c>
      <c r="Q67" s="304" t="str">
        <f>IFERROR(IF(compras_mes2[[#This Row],[CUIT]]="","-",VLOOKUP(compras_mes2[[#This Row],[CUIT]],Lista_CUIT[#All],3,0)),"CUIT NO CARGADO")</f>
        <v>Combustibe</v>
      </c>
      <c r="R67" s="304">
        <f>IFERROR(IF(compras_mes2[[#This Row],[CUIT]]="","-",VLOOKUP(compras_mes2[[#This Row],[CUIT]],Lista_CUIT[#All],4,0)),"CUIT NO CARGADO")</f>
        <v>0</v>
      </c>
      <c r="S67"/>
      <c r="T67"/>
    </row>
    <row r="68" spans="1:20" ht="19.2" customHeight="1" x14ac:dyDescent="0.3">
      <c r="B68" s="259">
        <v>44968</v>
      </c>
      <c r="C68" s="41">
        <v>1</v>
      </c>
      <c r="D68" s="285">
        <v>12</v>
      </c>
      <c r="E68" s="43">
        <v>17609</v>
      </c>
      <c r="F68" s="44">
        <v>30696131003</v>
      </c>
      <c r="G68" s="45" t="str">
        <f>IFERROR(IF(compras_mes2[[#This Row],[CUIT]]="","-",VLOOKUP(compras_mes2[[#This Row],[CUIT]],Lista_CUIT[#All],2,0)),"CUIT NO CARGADO")</f>
        <v>Petrolfe S.A.</v>
      </c>
      <c r="H68" s="46">
        <v>19397.62</v>
      </c>
      <c r="I68" s="85">
        <f>IF(compras_mes2[[#This Row],[NETO GRAVADO]]="","",compras_mes2[[#This Row],[NETO GRAVADO]]*0.21)</f>
        <v>4073.5001999999995</v>
      </c>
      <c r="J68" s="85"/>
      <c r="K68" s="85"/>
      <c r="L68" s="85"/>
      <c r="M68" s="85"/>
      <c r="N68" s="85"/>
      <c r="O68" s="85">
        <v>4290.9799999999996</v>
      </c>
      <c r="P68" s="48">
        <f>SUM(compras_mes2[[#This Row],[NETO GRAVADO]:[Otros / No Grav.]])</f>
        <v>27762.100199999997</v>
      </c>
      <c r="Q68" s="49" t="str">
        <f>IFERROR(IF(compras_mes2[[#This Row],[CUIT]]="","-",VLOOKUP(compras_mes2[[#This Row],[CUIT]],Lista_CUIT[#All],3,0)),"CUIT NO CARGADO")</f>
        <v>Combustible</v>
      </c>
      <c r="R68" s="49">
        <f>IFERROR(IF(compras_mes2[[#This Row],[CUIT]]="","-",VLOOKUP(compras_mes2[[#This Row],[CUIT]],Lista_CUIT[#All],4,0)),"CUIT NO CARGADO")</f>
        <v>0</v>
      </c>
    </row>
    <row r="69" spans="1:20" s="229" customFormat="1" x14ac:dyDescent="0.3">
      <c r="A69"/>
      <c r="B69" s="40">
        <v>44968</v>
      </c>
      <c r="C69" s="41">
        <v>1</v>
      </c>
      <c r="D69" s="42">
        <v>8583</v>
      </c>
      <c r="E69" s="43">
        <v>269117</v>
      </c>
      <c r="F69" s="44">
        <v>30696106068</v>
      </c>
      <c r="G69" s="45" t="str">
        <f>IFERROR(IF(compras_mes2[[#This Row],[CUIT]]="","-",VLOOKUP(compras_mes2[[#This Row],[CUIT]],Lista_CUIT[#All],2,0)),"CUIT NO CARGADO")</f>
        <v>PINTURERIAS LIBERATO SRL</v>
      </c>
      <c r="H69" s="46">
        <v>4260.34</v>
      </c>
      <c r="I69" s="85">
        <f>IF(compras_mes2[[#This Row],[NETO GRAVADO]]="","",compras_mes2[[#This Row],[NETO GRAVADO]]*0.21)</f>
        <v>894.67139999999995</v>
      </c>
      <c r="J69" s="85"/>
      <c r="K69" s="85"/>
      <c r="L69" s="85"/>
      <c r="M69" s="85"/>
      <c r="N69" s="85"/>
      <c r="O69" s="85">
        <v>845.8</v>
      </c>
      <c r="P69" s="48">
        <f>SUM(compras_mes2[[#This Row],[NETO GRAVADO]:[Otros / No Grav.]])</f>
        <v>6000.8114000000005</v>
      </c>
      <c r="Q69" s="49">
        <f>IFERROR(IF(compras_mes2[[#This Row],[CUIT]]="","-",VLOOKUP(compras_mes2[[#This Row],[CUIT]],Lista_CUIT[#All],3,0)),"CUIT NO CARGADO")</f>
        <v>0</v>
      </c>
      <c r="R69" s="49">
        <f>IFERROR(IF(compras_mes2[[#This Row],[CUIT]]="","-",VLOOKUP(compras_mes2[[#This Row],[CUIT]],Lista_CUIT[#All],4,0)),"CUIT NO CARGADO")</f>
        <v>0</v>
      </c>
      <c r="S69"/>
      <c r="T69"/>
    </row>
    <row r="70" spans="1:20" s="229" customFormat="1" x14ac:dyDescent="0.3">
      <c r="A70"/>
      <c r="B70" s="259">
        <v>44969</v>
      </c>
      <c r="C70" s="41">
        <v>1</v>
      </c>
      <c r="D70" s="285">
        <v>2199</v>
      </c>
      <c r="E70" s="260">
        <v>20418</v>
      </c>
      <c r="F70" s="261">
        <v>30548083156</v>
      </c>
      <c r="G70" s="262" t="str">
        <f>IFERROR(IF(compras_mes2[[#This Row],[CUIT]]="","-",VLOOKUP(compras_mes2[[#This Row],[CUIT]],Lista_CUIT[#All],2,0)),"CUIT NO CARGADO")</f>
        <v>COTO CENTRO INTEGRAL DE COMERCIALIZACION SOCIEDAD ANONIMA</v>
      </c>
      <c r="H70" s="263">
        <v>11031.97</v>
      </c>
      <c r="I70" s="85">
        <v>1673.21</v>
      </c>
      <c r="J70" s="264"/>
      <c r="K70" s="264">
        <v>321.75</v>
      </c>
      <c r="L70" s="264">
        <v>239.03</v>
      </c>
      <c r="M70" s="264"/>
      <c r="N70" s="264">
        <v>611.33000000000004</v>
      </c>
      <c r="O70" s="264"/>
      <c r="P70" s="265">
        <f>SUM(compras_mes2[[#This Row],[NETO GRAVADO]:[Otros / No Grav.]])</f>
        <v>13877.29</v>
      </c>
      <c r="Q70" s="266" t="str">
        <f>IFERROR(IF(compras_mes2[[#This Row],[CUIT]]="","-",VLOOKUP(compras_mes2[[#This Row],[CUIT]],Lista_CUIT[#All],3,0)),"CUIT NO CARGADO")</f>
        <v>GASTOS COMERCIALES</v>
      </c>
      <c r="R70" s="266">
        <f>IFERROR(IF(compras_mes2[[#This Row],[CUIT]]="","-",VLOOKUP(compras_mes2[[#This Row],[CUIT]],Lista_CUIT[#All],4,0)),"CUIT NO CARGADO")</f>
        <v>0</v>
      </c>
      <c r="S70"/>
      <c r="T70"/>
    </row>
    <row r="71" spans="1:20" s="229" customFormat="1" x14ac:dyDescent="0.3">
      <c r="A71"/>
      <c r="B71" s="259">
        <v>44970</v>
      </c>
      <c r="C71" s="41">
        <v>1</v>
      </c>
      <c r="D71" s="285">
        <v>6</v>
      </c>
      <c r="E71" s="260">
        <v>2425</v>
      </c>
      <c r="F71" s="261">
        <v>30574603788</v>
      </c>
      <c r="G71" s="262" t="str">
        <f>IFERROR(IF(compras_mes2[[#This Row],[CUIT]]="","-",VLOOKUP(compras_mes2[[#This Row],[CUIT]],Lista_CUIT[#All],2,0)),"CUIT NO CARGADO")</f>
        <v>CODAC SRL</v>
      </c>
      <c r="H71" s="263">
        <v>217900</v>
      </c>
      <c r="I71" s="85">
        <f>IF(compras_mes2[[#This Row],[NETO GRAVADO]]="","",compras_mes2[[#This Row],[NETO GRAVADO]]*0.21)</f>
        <v>45759</v>
      </c>
      <c r="J71" s="264"/>
      <c r="K71" s="264"/>
      <c r="L71" s="264"/>
      <c r="M71" s="264"/>
      <c r="N71" s="264"/>
      <c r="O71" s="264"/>
      <c r="P71" s="265">
        <f>SUM(compras_mes2[[#This Row],[NETO GRAVADO]:[Otros / No Grav.]])</f>
        <v>263659</v>
      </c>
      <c r="Q71" s="266" t="str">
        <f>IFERROR(IF(compras_mes2[[#This Row],[CUIT]]="","-",VLOOKUP(compras_mes2[[#This Row],[CUIT]],Lista_CUIT[#All],3,0)),"CUIT NO CARGADO")</f>
        <v>GASTOS COSMETICA</v>
      </c>
      <c r="R71" s="266" t="str">
        <f>IFERROR(IF(compras_mes2[[#This Row],[CUIT]]="","-",VLOOKUP(compras_mes2[[#This Row],[CUIT]],Lista_CUIT[#All],4,0)),"CUIT NO CARGADO")</f>
        <v>BUENOS AIRES</v>
      </c>
      <c r="S71"/>
      <c r="T71"/>
    </row>
    <row r="72" spans="1:20" x14ac:dyDescent="0.3">
      <c r="B72" s="259">
        <v>44970</v>
      </c>
      <c r="C72" s="41">
        <v>1</v>
      </c>
      <c r="D72" s="285">
        <v>2188</v>
      </c>
      <c r="E72" s="260">
        <v>83156</v>
      </c>
      <c r="F72" s="261">
        <v>30548083156</v>
      </c>
      <c r="G72" s="262" t="str">
        <f>IFERROR(IF(compras_mes2[[#This Row],[CUIT]]="","-",VLOOKUP(compras_mes2[[#This Row],[CUIT]],Lista_CUIT[#All],2,0)),"CUIT NO CARGADO")</f>
        <v>COTO CENTRO INTEGRAL DE COMERCIALIZACION SOCIEDAD ANONIMA</v>
      </c>
      <c r="H72" s="263">
        <v>2892.5</v>
      </c>
      <c r="I72" s="85">
        <f>IF(compras_mes2[[#This Row],[NETO GRAVADO]]="","",compras_mes2[[#This Row],[NETO GRAVADO]]*0.21)</f>
        <v>607.42499999999995</v>
      </c>
      <c r="J72" s="264"/>
      <c r="K72" s="264"/>
      <c r="L72" s="264"/>
      <c r="M72" s="264"/>
      <c r="N72" s="264"/>
      <c r="O72" s="264"/>
      <c r="P72" s="265">
        <f>SUM(compras_mes2[[#This Row],[NETO GRAVADO]:[Otros / No Grav.]])</f>
        <v>3499.9250000000002</v>
      </c>
      <c r="Q72" s="266" t="str">
        <f>IFERROR(IF(compras_mes2[[#This Row],[CUIT]]="","-",VLOOKUP(compras_mes2[[#This Row],[CUIT]],Lista_CUIT[#All],3,0)),"CUIT NO CARGADO")</f>
        <v>GASTOS COMERCIALES</v>
      </c>
      <c r="R72" s="266">
        <f>IFERROR(IF(compras_mes2[[#This Row],[CUIT]]="","-",VLOOKUP(compras_mes2[[#This Row],[CUIT]],Lista_CUIT[#All],4,0)),"CUIT NO CARGADO")</f>
        <v>0</v>
      </c>
    </row>
    <row r="73" spans="1:20" s="229" customFormat="1" x14ac:dyDescent="0.3">
      <c r="A73"/>
      <c r="B73" s="259">
        <v>44970</v>
      </c>
      <c r="C73" s="41">
        <v>1</v>
      </c>
      <c r="D73" s="285">
        <v>2188</v>
      </c>
      <c r="E73" s="260">
        <v>83155</v>
      </c>
      <c r="F73" s="261">
        <v>30548083156</v>
      </c>
      <c r="G73" s="262" t="str">
        <f>IFERROR(IF(compras_mes2[[#This Row],[CUIT]]="","-",VLOOKUP(compras_mes2[[#This Row],[CUIT]],Lista_CUIT[#All],2,0)),"CUIT NO CARGADO")</f>
        <v>COTO CENTRO INTEGRAL DE COMERCIALIZACION SOCIEDAD ANONIMA</v>
      </c>
      <c r="H73" s="263">
        <v>19509.080000000002</v>
      </c>
      <c r="I73" s="85">
        <v>3413.59</v>
      </c>
      <c r="J73" s="264"/>
      <c r="K73" s="264">
        <v>341.66</v>
      </c>
      <c r="L73" s="264">
        <v>398.02</v>
      </c>
      <c r="M73" s="264"/>
      <c r="N73" s="264">
        <v>874.73</v>
      </c>
      <c r="O73" s="264"/>
      <c r="P73" s="265">
        <f>SUM(compras_mes2[[#This Row],[NETO GRAVADO]:[Otros / No Grav.]])</f>
        <v>24537.08</v>
      </c>
      <c r="Q73" s="266" t="str">
        <f>IFERROR(IF(compras_mes2[[#This Row],[CUIT]]="","-",VLOOKUP(compras_mes2[[#This Row],[CUIT]],Lista_CUIT[#All],3,0)),"CUIT NO CARGADO")</f>
        <v>GASTOS COMERCIALES</v>
      </c>
      <c r="R73" s="266">
        <f>IFERROR(IF(compras_mes2[[#This Row],[CUIT]]="","-",VLOOKUP(compras_mes2[[#This Row],[CUIT]],Lista_CUIT[#All],4,0)),"CUIT NO CARGADO")</f>
        <v>0</v>
      </c>
      <c r="S73"/>
      <c r="T73"/>
    </row>
    <row r="74" spans="1:20" s="229" customFormat="1" x14ac:dyDescent="0.3">
      <c r="A74"/>
      <c r="B74" s="298">
        <v>44970</v>
      </c>
      <c r="C74" s="250">
        <v>1</v>
      </c>
      <c r="D74" s="297">
        <v>2</v>
      </c>
      <c r="E74" s="299">
        <v>214</v>
      </c>
      <c r="F74" s="300">
        <v>27302111346</v>
      </c>
      <c r="G74" s="301" t="str">
        <f>IFERROR(IF(compras_mes2[[#This Row],[CUIT]]="","-",VLOOKUP(compras_mes2[[#This Row],[CUIT]],Lista_CUIT[#All],2,0)),"CUIT NO CARGADO")</f>
        <v>ARBIT MARIA FLOR</v>
      </c>
      <c r="H74" s="255">
        <v>402748</v>
      </c>
      <c r="I74" s="256">
        <f>IF(compras_mes2[[#This Row],[NETO GRAVADO]]="","",compras_mes2[[#This Row],[NETO GRAVADO]]*0.21)</f>
        <v>84577.08</v>
      </c>
      <c r="J74" s="303"/>
      <c r="K74" s="303"/>
      <c r="L74" s="303"/>
      <c r="M74" s="303"/>
      <c r="N74" s="303"/>
      <c r="O74" s="303"/>
      <c r="P74" s="305">
        <f>SUM(compras_mes2[[#This Row],[NETO GRAVADO]:[Otros / No Grav.]])</f>
        <v>487325.08</v>
      </c>
      <c r="Q74" s="304">
        <f>IFERROR(IF(compras_mes2[[#This Row],[CUIT]]="","-",VLOOKUP(compras_mes2[[#This Row],[CUIT]],Lista_CUIT[#All],3,0)),"CUIT NO CARGADO")</f>
        <v>0</v>
      </c>
      <c r="R74" s="304">
        <f>IFERROR(IF(compras_mes2[[#This Row],[CUIT]]="","-",VLOOKUP(compras_mes2[[#This Row],[CUIT]],Lista_CUIT[#All],4,0)),"CUIT NO CARGADO")</f>
        <v>0</v>
      </c>
      <c r="S74"/>
      <c r="T74"/>
    </row>
    <row r="75" spans="1:20" s="229" customFormat="1" x14ac:dyDescent="0.3">
      <c r="A75"/>
      <c r="B75" s="259">
        <v>44970</v>
      </c>
      <c r="C75" s="41">
        <v>1</v>
      </c>
      <c r="D75" s="285">
        <v>11</v>
      </c>
      <c r="E75" s="260">
        <v>10903</v>
      </c>
      <c r="F75" s="261">
        <v>30503874497</v>
      </c>
      <c r="G75" s="262" t="str">
        <f>IFERROR(IF(compras_mes2[[#This Row],[CUIT]]="","-",VLOOKUP(compras_mes2[[#This Row],[CUIT]],Lista_CUIT[#All],2,0)),"CUIT NO CARGADO")</f>
        <v>A M PESCIO SOC EN COM POR ACC</v>
      </c>
      <c r="H75" s="263">
        <v>51301.120000000003</v>
      </c>
      <c r="I75" s="85">
        <f>IF(compras_mes2[[#This Row],[NETO GRAVADO]]="","",compras_mes2[[#This Row],[NETO GRAVADO]]*0.21)</f>
        <v>10773.235200000001</v>
      </c>
      <c r="J75" s="264"/>
      <c r="K75" s="264"/>
      <c r="L75" s="264"/>
      <c r="M75" s="264"/>
      <c r="N75" s="264"/>
      <c r="O75" s="264"/>
      <c r="P75" s="265">
        <f>SUM(compras_mes2[[#This Row],[NETO GRAVADO]:[Otros / No Grav.]])</f>
        <v>62074.355200000005</v>
      </c>
      <c r="Q75" s="266">
        <f>IFERROR(IF(compras_mes2[[#This Row],[CUIT]]="","-",VLOOKUP(compras_mes2[[#This Row],[CUIT]],Lista_CUIT[#All],3,0)),"CUIT NO CARGADO")</f>
        <v>0</v>
      </c>
      <c r="R75" s="266">
        <f>IFERROR(IF(compras_mes2[[#This Row],[CUIT]]="","-",VLOOKUP(compras_mes2[[#This Row],[CUIT]],Lista_CUIT[#All],4,0)),"CUIT NO CARGADO")</f>
        <v>0</v>
      </c>
      <c r="S75"/>
      <c r="T75"/>
    </row>
    <row r="76" spans="1:20" s="229" customFormat="1" x14ac:dyDescent="0.3">
      <c r="A76"/>
      <c r="B76" s="259">
        <v>44970</v>
      </c>
      <c r="C76" s="41">
        <v>1</v>
      </c>
      <c r="D76" s="285">
        <v>5</v>
      </c>
      <c r="E76" s="260">
        <v>13846</v>
      </c>
      <c r="F76" s="261">
        <v>23127284369</v>
      </c>
      <c r="G76" s="262" t="str">
        <f>IFERROR(IF(compras_mes2[[#This Row],[CUIT]]="","-",VLOOKUP(compras_mes2[[#This Row],[CUIT]],Lista_CUIT[#All],2,0)),"CUIT NO CARGADO")</f>
        <v xml:space="preserve">DOMINGO MONTORRO </v>
      </c>
      <c r="H76" s="263">
        <v>19834.7</v>
      </c>
      <c r="I76" s="85">
        <f>IF(compras_mes2[[#This Row],[NETO GRAVADO]]="","",compras_mes2[[#This Row],[NETO GRAVADO]]*0.21)</f>
        <v>4165.2870000000003</v>
      </c>
      <c r="J76" s="264"/>
      <c r="K76" s="264"/>
      <c r="L76" s="264"/>
      <c r="M76" s="264"/>
      <c r="N76" s="264"/>
      <c r="O76" s="264"/>
      <c r="P76" s="265">
        <f>SUM(compras_mes2[[#This Row],[NETO GRAVADO]:[Otros / No Grav.]])</f>
        <v>23999.987000000001</v>
      </c>
      <c r="Q76" s="266">
        <f>IFERROR(IF(compras_mes2[[#This Row],[CUIT]]="","-",VLOOKUP(compras_mes2[[#This Row],[CUIT]],Lista_CUIT[#All],3,0)),"CUIT NO CARGADO")</f>
        <v>0</v>
      </c>
      <c r="R76" s="266">
        <f>IFERROR(IF(compras_mes2[[#This Row],[CUIT]]="","-",VLOOKUP(compras_mes2[[#This Row],[CUIT]],Lista_CUIT[#All],4,0)),"CUIT NO CARGADO")</f>
        <v>0</v>
      </c>
      <c r="S76"/>
      <c r="T76"/>
    </row>
    <row r="77" spans="1:20" x14ac:dyDescent="0.3">
      <c r="B77" s="259">
        <v>44971</v>
      </c>
      <c r="C77" s="41">
        <v>1</v>
      </c>
      <c r="D77" s="285">
        <v>3</v>
      </c>
      <c r="E77" s="260">
        <v>8289</v>
      </c>
      <c r="F77" s="261">
        <v>30679163317</v>
      </c>
      <c r="G77" s="262" t="str">
        <f>IFERROR(IF(compras_mes2[[#This Row],[CUIT]]="","-",VLOOKUP(compras_mes2[[#This Row],[CUIT]],Lista_CUIT[#All],2,0)),"CUIT NO CARGADO")</f>
        <v>RANKO S R L</v>
      </c>
      <c r="H77" s="263">
        <v>43219.34</v>
      </c>
      <c r="I77" s="85">
        <f>IF(compras_mes2[[#This Row],[NETO GRAVADO]]="","",compras_mes2[[#This Row],[NETO GRAVADO]]*0.21)</f>
        <v>9076.0613999999987</v>
      </c>
      <c r="J77" s="264"/>
      <c r="K77" s="264"/>
      <c r="L77" s="264"/>
      <c r="M77" s="264"/>
      <c r="N77" s="264"/>
      <c r="O77" s="264"/>
      <c r="P77" s="265">
        <f>SUM(compras_mes2[[#This Row],[NETO GRAVADO]:[Otros / No Grav.]])</f>
        <v>52295.401399999995</v>
      </c>
      <c r="Q77" s="266">
        <f>IFERROR(IF(compras_mes2[[#This Row],[CUIT]]="","-",VLOOKUP(compras_mes2[[#This Row],[CUIT]],Lista_CUIT[#All],3,0)),"CUIT NO CARGADO")</f>
        <v>0</v>
      </c>
      <c r="R77" s="266">
        <f>IFERROR(IF(compras_mes2[[#This Row],[CUIT]]="","-",VLOOKUP(compras_mes2[[#This Row],[CUIT]],Lista_CUIT[#All],4,0)),"CUIT NO CARGADO")</f>
        <v>0</v>
      </c>
    </row>
    <row r="78" spans="1:20" x14ac:dyDescent="0.3">
      <c r="B78" s="298">
        <v>44971</v>
      </c>
      <c r="C78" s="250">
        <v>1</v>
      </c>
      <c r="D78" s="297">
        <v>2</v>
      </c>
      <c r="E78" s="299">
        <v>199</v>
      </c>
      <c r="F78" s="300">
        <v>27309896063</v>
      </c>
      <c r="G78" s="301" t="str">
        <f>IFERROR(IF(compras_mes2[[#This Row],[CUIT]]="","-",VLOOKUP(compras_mes2[[#This Row],[CUIT]],Lista_CUIT[#All],2,0)),"CUIT NO CARGADO")</f>
        <v>BATTELLINI MARIA SOLEDAD</v>
      </c>
      <c r="H78" s="302">
        <v>35000</v>
      </c>
      <c r="I78" s="256">
        <f>IF(compras_mes2[[#This Row],[NETO GRAVADO]]="","",compras_mes2[[#This Row],[NETO GRAVADO]]*0.21)</f>
        <v>7350</v>
      </c>
      <c r="J78" s="303"/>
      <c r="K78" s="303"/>
      <c r="L78" s="303"/>
      <c r="M78" s="303"/>
      <c r="N78" s="303"/>
      <c r="O78" s="303"/>
      <c r="P78" s="305">
        <f>SUM(compras_mes2[[#This Row],[NETO GRAVADO]:[Otros / No Grav.]])</f>
        <v>42350</v>
      </c>
      <c r="Q78" s="304">
        <f>IFERROR(IF(compras_mes2[[#This Row],[CUIT]]="","-",VLOOKUP(compras_mes2[[#This Row],[CUIT]],Lista_CUIT[#All],3,0)),"CUIT NO CARGADO")</f>
        <v>0</v>
      </c>
      <c r="R78" s="304">
        <f>IFERROR(IF(compras_mes2[[#This Row],[CUIT]]="","-",VLOOKUP(compras_mes2[[#This Row],[CUIT]],Lista_CUIT[#All],4,0)),"CUIT NO CARGADO")</f>
        <v>0</v>
      </c>
    </row>
    <row r="79" spans="1:20" x14ac:dyDescent="0.3">
      <c r="B79" s="259">
        <v>44971</v>
      </c>
      <c r="C79" s="41">
        <v>1</v>
      </c>
      <c r="D79" s="285">
        <v>5</v>
      </c>
      <c r="E79" s="260">
        <v>59527</v>
      </c>
      <c r="F79" s="261">
        <v>30660981736</v>
      </c>
      <c r="G79" s="262" t="str">
        <f>IFERROR(IF(compras_mes2[[#This Row],[CUIT]]="","-",VLOOKUP(compras_mes2[[#This Row],[CUIT]],Lista_CUIT[#All],2,0)),"CUIT NO CARGADO")</f>
        <v>R A DURAN Y ASOC SRL</v>
      </c>
      <c r="H79" s="263">
        <v>26625</v>
      </c>
      <c r="I79" s="85">
        <f>IF(compras_mes2[[#This Row],[NETO GRAVADO]]="","",compras_mes2[[#This Row],[NETO GRAVADO]]*0.21)</f>
        <v>5591.25</v>
      </c>
      <c r="J79" s="264"/>
      <c r="K79" s="264"/>
      <c r="L79" s="264"/>
      <c r="M79" s="264"/>
      <c r="N79" s="264"/>
      <c r="O79" s="264">
        <v>5733</v>
      </c>
      <c r="P79" s="265">
        <f>SUM(compras_mes2[[#This Row],[NETO GRAVADO]:[Otros / No Grav.]])</f>
        <v>37949.25</v>
      </c>
      <c r="Q79" s="266">
        <f>IFERROR(IF(compras_mes2[[#This Row],[CUIT]]="","-",VLOOKUP(compras_mes2[[#This Row],[CUIT]],Lista_CUIT[#All],3,0)),"CUIT NO CARGADO")</f>
        <v>0</v>
      </c>
      <c r="R79" s="266">
        <f>IFERROR(IF(compras_mes2[[#This Row],[CUIT]]="","-",VLOOKUP(compras_mes2[[#This Row],[CUIT]],Lista_CUIT[#All],4,0)),"CUIT NO CARGADO")</f>
        <v>0</v>
      </c>
    </row>
    <row r="80" spans="1:20" s="229" customFormat="1" x14ac:dyDescent="0.3">
      <c r="A80"/>
      <c r="B80" s="259">
        <v>44971</v>
      </c>
      <c r="C80" s="41">
        <v>1</v>
      </c>
      <c r="D80" s="285">
        <v>9</v>
      </c>
      <c r="E80" s="260">
        <v>746</v>
      </c>
      <c r="F80" s="261">
        <v>30710446047</v>
      </c>
      <c r="G80" s="262" t="str">
        <f>IFERROR(IF(compras_mes2[[#This Row],[CUIT]]="","-",VLOOKUP(compras_mes2[[#This Row],[CUIT]],Lista_CUIT[#All],2,0)),"CUIT NO CARGADO")</f>
        <v>ENSAMBLE GRAFICO S.H.</v>
      </c>
      <c r="H80" s="263">
        <v>440580</v>
      </c>
      <c r="I80" s="85">
        <f>IF(compras_mes2[[#This Row],[NETO GRAVADO]]="","",compras_mes2[[#This Row],[NETO GRAVADO]]*0.21)</f>
        <v>92521.8</v>
      </c>
      <c r="J80" s="264"/>
      <c r="K80" s="264"/>
      <c r="L80" s="264"/>
      <c r="M80" s="264"/>
      <c r="N80" s="264"/>
      <c r="O80" s="264"/>
      <c r="P80" s="265">
        <f>SUM(compras_mes2[[#This Row],[NETO GRAVADO]:[Otros / No Grav.]])</f>
        <v>533101.80000000005</v>
      </c>
      <c r="Q80" s="266">
        <f>IFERROR(IF(compras_mes2[[#This Row],[CUIT]]="","-",VLOOKUP(compras_mes2[[#This Row],[CUIT]],Lista_CUIT[#All],3,0)),"CUIT NO CARGADO")</f>
        <v>0</v>
      </c>
      <c r="R80" s="266">
        <f>IFERROR(IF(compras_mes2[[#This Row],[CUIT]]="","-",VLOOKUP(compras_mes2[[#This Row],[CUIT]],Lista_CUIT[#All],4,0)),"CUIT NO CARGADO")</f>
        <v>0</v>
      </c>
      <c r="S80"/>
      <c r="T80"/>
    </row>
    <row r="81" spans="1:20" s="229" customFormat="1" x14ac:dyDescent="0.3">
      <c r="A81"/>
      <c r="B81" s="259">
        <v>44971</v>
      </c>
      <c r="C81" s="41">
        <v>1</v>
      </c>
      <c r="D81" s="285">
        <v>6</v>
      </c>
      <c r="E81" s="260">
        <v>8120</v>
      </c>
      <c r="F81" s="261">
        <v>33710167309</v>
      </c>
      <c r="G81" s="262" t="str">
        <f>IFERROR(IF(compras_mes2[[#This Row],[CUIT]]="","-",VLOOKUP(compras_mes2[[#This Row],[CUIT]],Lista_CUIT[#All],2,0)),"CUIT NO CARGADO")</f>
        <v>MAT. ESCO SA</v>
      </c>
      <c r="H81" s="263">
        <v>6678.1</v>
      </c>
      <c r="I81" s="85">
        <f>IF(compras_mes2[[#This Row],[NETO GRAVADO]]="","",compras_mes2[[#This Row],[NETO GRAVADO]]*0.21)</f>
        <v>1402.4010000000001</v>
      </c>
      <c r="J81" s="264"/>
      <c r="K81" s="264"/>
      <c r="L81" s="264"/>
      <c r="M81" s="264"/>
      <c r="N81" s="264"/>
      <c r="O81" s="264"/>
      <c r="P81" s="265">
        <f>SUM(compras_mes2[[#This Row],[NETO GRAVADO]:[Otros / No Grav.]])</f>
        <v>8080.5010000000002</v>
      </c>
      <c r="Q81" s="266">
        <f>IFERROR(IF(compras_mes2[[#This Row],[CUIT]]="","-",VLOOKUP(compras_mes2[[#This Row],[CUIT]],Lista_CUIT[#All],3,0)),"CUIT NO CARGADO")</f>
        <v>0</v>
      </c>
      <c r="R81" s="266">
        <f>IFERROR(IF(compras_mes2[[#This Row],[CUIT]]="","-",VLOOKUP(compras_mes2[[#This Row],[CUIT]],Lista_CUIT[#All],4,0)),"CUIT NO CARGADO")</f>
        <v>0</v>
      </c>
      <c r="S81"/>
      <c r="T81"/>
    </row>
    <row r="82" spans="1:20" s="229" customFormat="1" x14ac:dyDescent="0.3">
      <c r="A82"/>
      <c r="B82" s="259">
        <v>44971</v>
      </c>
      <c r="C82" s="41">
        <v>1</v>
      </c>
      <c r="D82" s="285">
        <v>2</v>
      </c>
      <c r="E82" s="260">
        <v>3267</v>
      </c>
      <c r="F82" s="261">
        <v>30629863571</v>
      </c>
      <c r="G82" s="262" t="str">
        <f>IFERROR(IF(compras_mes2[[#This Row],[CUIT]]="","-",VLOOKUP(compras_mes2[[#This Row],[CUIT]],Lista_CUIT[#All],2,0)),"CUIT NO CARGADO")</f>
        <v>TECNIMAR S R L</v>
      </c>
      <c r="H82" s="263">
        <v>710987.9</v>
      </c>
      <c r="I82" s="85">
        <f>IF(compras_mes2[[#This Row],[NETO GRAVADO]]="","",compras_mes2[[#This Row],[NETO GRAVADO]]*0.21)</f>
        <v>149307.459</v>
      </c>
      <c r="J82" s="264"/>
      <c r="K82" s="264"/>
      <c r="L82" s="264"/>
      <c r="M82" s="264"/>
      <c r="N82" s="264"/>
      <c r="O82" s="264"/>
      <c r="P82" s="265">
        <f>SUM(compras_mes2[[#This Row],[NETO GRAVADO]:[Otros / No Grav.]])</f>
        <v>860295.35900000005</v>
      </c>
      <c r="Q82" s="266" t="str">
        <f>IFERROR(IF(compras_mes2[[#This Row],[CUIT]]="","-",VLOOKUP(compras_mes2[[#This Row],[CUIT]],Lista_CUIT[#All],3,0)),"CUIT NO CARGADO")</f>
        <v>LABORATORIO</v>
      </c>
      <c r="R82" s="266">
        <f>IFERROR(IF(compras_mes2[[#This Row],[CUIT]]="","-",VLOOKUP(compras_mes2[[#This Row],[CUIT]],Lista_CUIT[#All],4,0)),"CUIT NO CARGADO")</f>
        <v>0</v>
      </c>
      <c r="S82"/>
      <c r="T82"/>
    </row>
    <row r="83" spans="1:20" x14ac:dyDescent="0.3">
      <c r="B83" s="298">
        <v>44972</v>
      </c>
      <c r="C83" s="250">
        <v>1</v>
      </c>
      <c r="D83" s="297">
        <v>4264</v>
      </c>
      <c r="E83" s="299">
        <v>1309606</v>
      </c>
      <c r="F83" s="300">
        <v>30639453738</v>
      </c>
      <c r="G83" s="301" t="str">
        <f>IFERROR(IF(compras_mes2[[#This Row],[CUIT]]="","-",VLOOKUP(compras_mes2[[#This Row],[CUIT]],Lista_CUIT[#All],2,0)),"CUIT NO CARGADO")</f>
        <v>TELECOM ARG SA</v>
      </c>
      <c r="H83" s="302">
        <v>11900</v>
      </c>
      <c r="I83" s="256">
        <f>IF(compras_mes2[[#This Row],[NETO GRAVADO]]="","",compras_mes2[[#This Row],[NETO GRAVADO]]*0.21)</f>
        <v>2499</v>
      </c>
      <c r="J83" s="303"/>
      <c r="K83" s="303"/>
      <c r="L83" s="303"/>
      <c r="M83" s="303"/>
      <c r="N83" s="303"/>
      <c r="O83" s="303"/>
      <c r="P83" s="305">
        <f>SUM(compras_mes2[[#This Row],[NETO GRAVADO]:[Otros / No Grav.]])</f>
        <v>14399</v>
      </c>
      <c r="Q83" s="304" t="str">
        <f>IFERROR(IF(compras_mes2[[#This Row],[CUIT]]="","-",VLOOKUP(compras_mes2[[#This Row],[CUIT]],Lista_CUIT[#All],3,0)),"CUIT NO CARGADO")</f>
        <v>Servicios Gas, Luz, etc.</v>
      </c>
      <c r="R83" s="304">
        <f>IFERROR(IF(compras_mes2[[#This Row],[CUIT]]="","-",VLOOKUP(compras_mes2[[#This Row],[CUIT]],Lista_CUIT[#All],4,0)),"CUIT NO CARGADO")</f>
        <v>0</v>
      </c>
    </row>
    <row r="84" spans="1:20" s="229" customFormat="1" x14ac:dyDescent="0.3">
      <c r="A84"/>
      <c r="B84" s="298">
        <v>44972</v>
      </c>
      <c r="C84" s="250">
        <v>1</v>
      </c>
      <c r="D84" s="297">
        <v>4264</v>
      </c>
      <c r="E84" s="299">
        <v>1315031</v>
      </c>
      <c r="F84" s="300">
        <v>30639453738</v>
      </c>
      <c r="G84" s="301" t="str">
        <f>IFERROR(IF(compras_mes2[[#This Row],[CUIT]]="","-",VLOOKUP(compras_mes2[[#This Row],[CUIT]],Lista_CUIT[#All],2,0)),"CUIT NO CARGADO")</f>
        <v>TELECOM ARG SA</v>
      </c>
      <c r="H84" s="302">
        <v>8900</v>
      </c>
      <c r="I84" s="256">
        <f>IF(compras_mes2[[#This Row],[NETO GRAVADO]]="","",compras_mes2[[#This Row],[NETO GRAVADO]]*0.21)</f>
        <v>1869</v>
      </c>
      <c r="J84" s="303"/>
      <c r="K84" s="303"/>
      <c r="L84" s="303"/>
      <c r="M84" s="303"/>
      <c r="N84" s="303"/>
      <c r="O84" s="303"/>
      <c r="P84" s="305">
        <f>SUM(compras_mes2[[#This Row],[NETO GRAVADO]:[Otros / No Grav.]])</f>
        <v>10769</v>
      </c>
      <c r="Q84" s="304" t="str">
        <f>IFERROR(IF(compras_mes2[[#This Row],[CUIT]]="","-",VLOOKUP(compras_mes2[[#This Row],[CUIT]],Lista_CUIT[#All],3,0)),"CUIT NO CARGADO")</f>
        <v>Servicios Gas, Luz, etc.</v>
      </c>
      <c r="R84" s="304">
        <f>IFERROR(IF(compras_mes2[[#This Row],[CUIT]]="","-",VLOOKUP(compras_mes2[[#This Row],[CUIT]],Lista_CUIT[#All],4,0)),"CUIT NO CARGADO")</f>
        <v>0</v>
      </c>
      <c r="S84"/>
      <c r="T84"/>
    </row>
    <row r="85" spans="1:20" s="229" customFormat="1" x14ac:dyDescent="0.3">
      <c r="A85"/>
      <c r="B85" s="298">
        <v>44972</v>
      </c>
      <c r="C85" s="250">
        <v>1</v>
      </c>
      <c r="D85" s="297">
        <v>4264</v>
      </c>
      <c r="E85" s="299">
        <v>1355709</v>
      </c>
      <c r="F85" s="300">
        <v>30639453738</v>
      </c>
      <c r="G85" s="301" t="str">
        <f>IFERROR(IF(compras_mes2[[#This Row],[CUIT]]="","-",VLOOKUP(compras_mes2[[#This Row],[CUIT]],Lista_CUIT[#All],2,0)),"CUIT NO CARGADO")</f>
        <v>TELECOM ARG SA</v>
      </c>
      <c r="H85" s="302">
        <v>18700</v>
      </c>
      <c r="I85" s="256">
        <f>IF(compras_mes2[[#This Row],[NETO GRAVADO]]="","",compras_mes2[[#This Row],[NETO GRAVADO]]*0.21)</f>
        <v>3927</v>
      </c>
      <c r="J85" s="303"/>
      <c r="K85" s="303"/>
      <c r="L85" s="303"/>
      <c r="M85" s="303"/>
      <c r="N85" s="303"/>
      <c r="O85" s="303"/>
      <c r="P85" s="305">
        <f>SUM(compras_mes2[[#This Row],[NETO GRAVADO]:[Otros / No Grav.]])</f>
        <v>22627</v>
      </c>
      <c r="Q85" s="304" t="str">
        <f>IFERROR(IF(compras_mes2[[#This Row],[CUIT]]="","-",VLOOKUP(compras_mes2[[#This Row],[CUIT]],Lista_CUIT[#All],3,0)),"CUIT NO CARGADO")</f>
        <v>Servicios Gas, Luz, etc.</v>
      </c>
      <c r="R85" s="304">
        <f>IFERROR(IF(compras_mes2[[#This Row],[CUIT]]="","-",VLOOKUP(compras_mes2[[#This Row],[CUIT]],Lista_CUIT[#All],4,0)),"CUIT NO CARGADO")</f>
        <v>0</v>
      </c>
      <c r="S85"/>
      <c r="T85"/>
    </row>
    <row r="86" spans="1:20" x14ac:dyDescent="0.3">
      <c r="B86" s="259">
        <v>44973</v>
      </c>
      <c r="C86" s="41">
        <v>1</v>
      </c>
      <c r="D86" s="285">
        <v>1</v>
      </c>
      <c r="E86" s="260">
        <v>119</v>
      </c>
      <c r="F86" s="261">
        <v>20077604627</v>
      </c>
      <c r="G86" s="262" t="str">
        <f>IFERROR(IF(compras_mes2[[#This Row],[CUIT]]="","-",VLOOKUP(compras_mes2[[#This Row],[CUIT]],Lista_CUIT[#All],2,0)),"CUIT NO CARGADO")</f>
        <v>OCAÑO ENRIQUE</v>
      </c>
      <c r="H86" s="263">
        <v>727296</v>
      </c>
      <c r="I86" s="85">
        <f>IF(compras_mes2[[#This Row],[NETO GRAVADO]]="","",compras_mes2[[#This Row],[NETO GRAVADO]]*0.21)</f>
        <v>152732.16</v>
      </c>
      <c r="J86" s="264"/>
      <c r="K86" s="264"/>
      <c r="L86" s="264"/>
      <c r="M86" s="264"/>
      <c r="N86" s="264"/>
      <c r="O86" s="264"/>
      <c r="P86" s="265">
        <f>SUM(compras_mes2[[#This Row],[NETO GRAVADO]:[Otros / No Grav.]])</f>
        <v>880028.16000000003</v>
      </c>
      <c r="Q86" s="266">
        <f>IFERROR(IF(compras_mes2[[#This Row],[CUIT]]="","-",VLOOKUP(compras_mes2[[#This Row],[CUIT]],Lista_CUIT[#All],3,0)),"CUIT NO CARGADO")</f>
        <v>0</v>
      </c>
      <c r="R86" s="266">
        <f>IFERROR(IF(compras_mes2[[#This Row],[CUIT]]="","-",VLOOKUP(compras_mes2[[#This Row],[CUIT]],Lista_CUIT[#All],4,0)),"CUIT NO CARGADO")</f>
        <v>0</v>
      </c>
    </row>
    <row r="87" spans="1:20" x14ac:dyDescent="0.3">
      <c r="B87" s="259">
        <v>44973</v>
      </c>
      <c r="C87" s="41">
        <v>1</v>
      </c>
      <c r="D87" s="285">
        <v>3</v>
      </c>
      <c r="E87" s="260">
        <v>3358</v>
      </c>
      <c r="F87" s="261">
        <v>30714618977</v>
      </c>
      <c r="G87" s="262" t="str">
        <f>IFERROR(IF(compras_mes2[[#This Row],[CUIT]]="","-",VLOOKUP(compras_mes2[[#This Row],[CUIT]],Lista_CUIT[#All],2,0)),"CUIT NO CARGADO")</f>
        <v>DISTRIBUIDORA N.G. S.A.</v>
      </c>
      <c r="H87" s="263">
        <v>268500</v>
      </c>
      <c r="I87" s="85">
        <f>IF(compras_mes2[[#This Row],[NETO GRAVADO]]="","",compras_mes2[[#This Row],[NETO GRAVADO]]*0.21)</f>
        <v>56385</v>
      </c>
      <c r="J87" s="264"/>
      <c r="K87" s="264"/>
      <c r="L87" s="264"/>
      <c r="M87" s="264"/>
      <c r="N87" s="264"/>
      <c r="O87" s="264"/>
      <c r="P87" s="265">
        <f>SUM(compras_mes2[[#This Row],[NETO GRAVADO]:[Otros / No Grav.]])</f>
        <v>324885</v>
      </c>
      <c r="Q87" s="266">
        <f>IFERROR(IF(compras_mes2[[#This Row],[CUIT]]="","-",VLOOKUP(compras_mes2[[#This Row],[CUIT]],Lista_CUIT[#All],3,0)),"CUIT NO CARGADO")</f>
        <v>0</v>
      </c>
      <c r="R87" s="266">
        <f>IFERROR(IF(compras_mes2[[#This Row],[CUIT]]="","-",VLOOKUP(compras_mes2[[#This Row],[CUIT]],Lista_CUIT[#All],4,0)),"CUIT NO CARGADO")</f>
        <v>0</v>
      </c>
    </row>
    <row r="88" spans="1:20" s="229" customFormat="1" x14ac:dyDescent="0.3">
      <c r="A88"/>
      <c r="B88" s="259">
        <v>44973</v>
      </c>
      <c r="C88" s="41">
        <v>1</v>
      </c>
      <c r="D88" s="285">
        <v>4</v>
      </c>
      <c r="E88" s="260">
        <v>18763</v>
      </c>
      <c r="F88" s="261">
        <v>30710688180</v>
      </c>
      <c r="G88" s="262" t="str">
        <f>IFERROR(IF(compras_mes2[[#This Row],[CUIT]]="","-",VLOOKUP(compras_mes2[[#This Row],[CUIT]],Lista_CUIT[#All],2,0)),"CUIT NO CARGADO")</f>
        <v>DALTOSUR S.R.L.</v>
      </c>
      <c r="H88" s="263">
        <v>362994</v>
      </c>
      <c r="I88" s="85">
        <f>IF(compras_mes2[[#This Row],[NETO GRAVADO]]="","",compras_mes2[[#This Row],[NETO GRAVADO]]*0.21)</f>
        <v>76228.739999999991</v>
      </c>
      <c r="J88" s="264"/>
      <c r="K88" s="264"/>
      <c r="L88" s="264"/>
      <c r="M88" s="264"/>
      <c r="N88" s="264">
        <v>21779.64</v>
      </c>
      <c r="O88" s="264"/>
      <c r="P88" s="265">
        <f>SUM(compras_mes2[[#This Row],[NETO GRAVADO]:[Otros / No Grav.]])</f>
        <v>461002.38</v>
      </c>
      <c r="Q88" s="266">
        <f>IFERROR(IF(compras_mes2[[#This Row],[CUIT]]="","-",VLOOKUP(compras_mes2[[#This Row],[CUIT]],Lista_CUIT[#All],3,0)),"CUIT NO CARGADO")</f>
        <v>0</v>
      </c>
      <c r="R88" s="266">
        <f>IFERROR(IF(compras_mes2[[#This Row],[CUIT]]="","-",VLOOKUP(compras_mes2[[#This Row],[CUIT]],Lista_CUIT[#All],4,0)),"CUIT NO CARGADO")</f>
        <v>0</v>
      </c>
      <c r="S88"/>
      <c r="T88"/>
    </row>
    <row r="89" spans="1:20" x14ac:dyDescent="0.3">
      <c r="B89" s="40">
        <v>44973</v>
      </c>
      <c r="C89" s="41">
        <v>1</v>
      </c>
      <c r="D89" s="42">
        <v>91</v>
      </c>
      <c r="E89" s="43">
        <v>6450</v>
      </c>
      <c r="F89" s="44">
        <v>30633647697</v>
      </c>
      <c r="G89" s="45" t="str">
        <f>IFERROR(IF(compras_mes2[[#This Row],[CUIT]]="","-",VLOOKUP(compras_mes2[[#This Row],[CUIT]],Lista_CUIT[#All],2,0)),"CUIT NO CARGADO")</f>
        <v>JORGE ALBERTO CASO SA</v>
      </c>
      <c r="H89" s="46">
        <v>8344.7900000000009</v>
      </c>
      <c r="I89" s="85">
        <f>IF(compras_mes2[[#This Row],[NETO GRAVADO]]="","",compras_mes2[[#This Row],[NETO GRAVADO]]*0.21)</f>
        <v>1752.4059000000002</v>
      </c>
      <c r="J89" s="85"/>
      <c r="K89" s="85"/>
      <c r="L89" s="85"/>
      <c r="M89" s="85"/>
      <c r="N89" s="85"/>
      <c r="O89" s="85">
        <v>1502.6</v>
      </c>
      <c r="P89" s="48">
        <f>SUM(compras_mes2[[#This Row],[NETO GRAVADO]:[Otros / No Grav.]])</f>
        <v>11599.795900000001</v>
      </c>
      <c r="Q89" s="49" t="str">
        <f>IFERROR(IF(compras_mes2[[#This Row],[CUIT]]="","-",VLOOKUP(compras_mes2[[#This Row],[CUIT]],Lista_CUIT[#All],3,0)),"CUIT NO CARGADO")</f>
        <v>COMBUSTIBLE</v>
      </c>
      <c r="R89" s="49">
        <f>IFERROR(IF(compras_mes2[[#This Row],[CUIT]]="","-",VLOOKUP(compras_mes2[[#This Row],[CUIT]],Lista_CUIT[#All],4,0)),"CUIT NO CARGADO")</f>
        <v>0</v>
      </c>
    </row>
    <row r="90" spans="1:20" s="229" customFormat="1" x14ac:dyDescent="0.3">
      <c r="A90"/>
      <c r="B90" s="298">
        <v>44974</v>
      </c>
      <c r="C90" s="250">
        <v>1</v>
      </c>
      <c r="D90" s="297">
        <v>711</v>
      </c>
      <c r="E90" s="299">
        <v>3975112</v>
      </c>
      <c r="F90" s="300">
        <v>30677237119</v>
      </c>
      <c r="G90" s="301" t="str">
        <f>IFERROR(IF(compras_mes2[[#This Row],[CUIT]]="","-",VLOOKUP(compras_mes2[[#This Row],[CUIT]],Lista_CUIT[#All],2,0)),"CUIT NO CARGADO")</f>
        <v>AUTOPISTAS DEL SOL S A</v>
      </c>
      <c r="H90" s="302">
        <v>2937.19</v>
      </c>
      <c r="I90" s="256">
        <f>IF(compras_mes2[[#This Row],[NETO GRAVADO]]="","",compras_mes2[[#This Row],[NETO GRAVADO]]*0.21)</f>
        <v>616.80989999999997</v>
      </c>
      <c r="J90" s="303"/>
      <c r="K90" s="303"/>
      <c r="L90" s="303"/>
      <c r="M90" s="303"/>
      <c r="N90" s="303"/>
      <c r="O90" s="303"/>
      <c r="P90" s="305">
        <f>SUM(compras_mes2[[#This Row],[NETO GRAVADO]:[Otros / No Grav.]])</f>
        <v>3553.9998999999998</v>
      </c>
      <c r="Q90" s="304">
        <f>IFERROR(IF(compras_mes2[[#This Row],[CUIT]]="","-",VLOOKUP(compras_mes2[[#This Row],[CUIT]],Lista_CUIT[#All],3,0)),"CUIT NO CARGADO")</f>
        <v>0</v>
      </c>
      <c r="R90" s="304">
        <f>IFERROR(IF(compras_mes2[[#This Row],[CUIT]]="","-",VLOOKUP(compras_mes2[[#This Row],[CUIT]],Lista_CUIT[#All],4,0)),"CUIT NO CARGADO")</f>
        <v>0</v>
      </c>
      <c r="S90"/>
      <c r="T90"/>
    </row>
    <row r="91" spans="1:20" s="229" customFormat="1" x14ac:dyDescent="0.3">
      <c r="A91"/>
      <c r="B91" s="259">
        <v>44974</v>
      </c>
      <c r="C91" s="41">
        <v>1</v>
      </c>
      <c r="D91" s="285">
        <v>26</v>
      </c>
      <c r="E91" s="260">
        <v>51378</v>
      </c>
      <c r="F91" s="261">
        <v>30544110035</v>
      </c>
      <c r="G91" s="262" t="str">
        <f>IFERROR(IF(compras_mes2[[#This Row],[CUIT]]="","-",VLOOKUP(compras_mes2[[#This Row],[CUIT]],Lista_CUIT[#All],2,0)),"CUIT NO CARGADO")</f>
        <v>EXPRESO SANTA ROSA S A </v>
      </c>
      <c r="H91" s="263">
        <v>2600.75</v>
      </c>
      <c r="I91" s="85">
        <f>IF(compras_mes2[[#This Row],[NETO GRAVADO]]="","",compras_mes2[[#This Row],[NETO GRAVADO]]*0.21)</f>
        <v>546.15750000000003</v>
      </c>
      <c r="J91" s="264"/>
      <c r="K91" s="264"/>
      <c r="L91" s="264"/>
      <c r="M91" s="264"/>
      <c r="N91" s="264"/>
      <c r="O91" s="264"/>
      <c r="P91" s="265">
        <f>SUM(compras_mes2[[#This Row],[NETO GRAVADO]:[Otros / No Grav.]])</f>
        <v>3146.9075000000003</v>
      </c>
      <c r="Q91" s="266">
        <f>IFERROR(IF(compras_mes2[[#This Row],[CUIT]]="","-",VLOOKUP(compras_mes2[[#This Row],[CUIT]],Lista_CUIT[#All],3,0)),"CUIT NO CARGADO")</f>
        <v>0</v>
      </c>
      <c r="R91" s="266">
        <f>IFERROR(IF(compras_mes2[[#This Row],[CUIT]]="","-",VLOOKUP(compras_mes2[[#This Row],[CUIT]],Lista_CUIT[#All],4,0)),"CUIT NO CARGADO")</f>
        <v>0</v>
      </c>
      <c r="S91"/>
      <c r="T91"/>
    </row>
    <row r="92" spans="1:20" s="229" customFormat="1" x14ac:dyDescent="0.3">
      <c r="A92"/>
      <c r="B92" s="259">
        <v>44974</v>
      </c>
      <c r="C92" s="41">
        <v>1</v>
      </c>
      <c r="D92" s="285">
        <v>3</v>
      </c>
      <c r="E92" s="260">
        <v>3359</v>
      </c>
      <c r="F92" s="261">
        <v>30714618977</v>
      </c>
      <c r="G92" s="262" t="str">
        <f>IFERROR(IF(compras_mes2[[#This Row],[CUIT]]="","-",VLOOKUP(compras_mes2[[#This Row],[CUIT]],Lista_CUIT[#All],2,0)),"CUIT NO CARGADO")</f>
        <v>DISTRIBUIDORA N.G. S.A.</v>
      </c>
      <c r="H92" s="263">
        <v>135000</v>
      </c>
      <c r="I92" s="85">
        <f>IF(compras_mes2[[#This Row],[NETO GRAVADO]]="","",compras_mes2[[#This Row],[NETO GRAVADO]]*0.21)</f>
        <v>28350</v>
      </c>
      <c r="J92" s="264"/>
      <c r="K92" s="264"/>
      <c r="L92" s="264"/>
      <c r="M92" s="264"/>
      <c r="N92" s="264"/>
      <c r="O92" s="264"/>
      <c r="P92" s="265">
        <f>SUM(compras_mes2[[#This Row],[NETO GRAVADO]:[Otros / No Grav.]])</f>
        <v>163350</v>
      </c>
      <c r="Q92" s="266">
        <f>IFERROR(IF(compras_mes2[[#This Row],[CUIT]]="","-",VLOOKUP(compras_mes2[[#This Row],[CUIT]],Lista_CUIT[#All],3,0)),"CUIT NO CARGADO")</f>
        <v>0</v>
      </c>
      <c r="R92" s="266">
        <f>IFERROR(IF(compras_mes2[[#This Row],[CUIT]]="","-",VLOOKUP(compras_mes2[[#This Row],[CUIT]],Lista_CUIT[#All],4,0)),"CUIT NO CARGADO")</f>
        <v>0</v>
      </c>
      <c r="S92"/>
      <c r="T92"/>
    </row>
    <row r="93" spans="1:20" x14ac:dyDescent="0.3">
      <c r="B93" s="298">
        <v>44974</v>
      </c>
      <c r="C93" s="250">
        <v>1</v>
      </c>
      <c r="D93" s="297">
        <v>629</v>
      </c>
      <c r="E93" s="299">
        <v>3944836</v>
      </c>
      <c r="F93" s="300">
        <v>30663498513</v>
      </c>
      <c r="G93" s="301" t="str">
        <f>IFERROR(IF(compras_mes2[[#This Row],[CUIT]]="","-",VLOOKUP(compras_mes2[[#This Row],[CUIT]],Lista_CUIT[#All],2,0)),"CUIT NO CARGADO")</f>
        <v>GRUPO CONCES. DEL OESTE SA</v>
      </c>
      <c r="H93" s="302">
        <v>1852.9</v>
      </c>
      <c r="I93" s="256">
        <f>IF(compras_mes2[[#This Row],[NETO GRAVADO]]="","",compras_mes2[[#This Row],[NETO GRAVADO]]*0.21)</f>
        <v>389.10899999999998</v>
      </c>
      <c r="J93" s="303"/>
      <c r="K93" s="303"/>
      <c r="L93" s="303"/>
      <c r="M93" s="303"/>
      <c r="N93" s="303"/>
      <c r="O93" s="303"/>
      <c r="P93" s="305">
        <f>SUM(compras_mes2[[#This Row],[NETO GRAVADO]:[Otros / No Grav.]])</f>
        <v>2242.009</v>
      </c>
      <c r="Q93" s="304">
        <f>IFERROR(IF(compras_mes2[[#This Row],[CUIT]]="","-",VLOOKUP(compras_mes2[[#This Row],[CUIT]],Lista_CUIT[#All],3,0)),"CUIT NO CARGADO")</f>
        <v>0</v>
      </c>
      <c r="R93" s="304">
        <f>IFERROR(IF(compras_mes2[[#This Row],[CUIT]]="","-",VLOOKUP(compras_mes2[[#This Row],[CUIT]],Lista_CUIT[#All],4,0)),"CUIT NO CARGADO")</f>
        <v>0</v>
      </c>
    </row>
    <row r="94" spans="1:20" s="229" customFormat="1" x14ac:dyDescent="0.3">
      <c r="A94"/>
      <c r="B94" s="298">
        <v>44974</v>
      </c>
      <c r="C94" s="250">
        <v>1</v>
      </c>
      <c r="D94" s="297">
        <v>6</v>
      </c>
      <c r="E94" s="299">
        <v>94</v>
      </c>
      <c r="F94" s="300">
        <v>30715777599</v>
      </c>
      <c r="G94" s="301" t="str">
        <f>IFERROR(IF(compras_mes2[[#This Row],[CUIT]]="","-",VLOOKUP(compras_mes2[[#This Row],[CUIT]],Lista_CUIT[#All],2,0)),"CUIT NO CARGADO")</f>
        <v>CENTRAL ALCORTA S.A</v>
      </c>
      <c r="H94" s="302">
        <v>2396380.09</v>
      </c>
      <c r="I94" s="256"/>
      <c r="J94" s="303"/>
      <c r="K94" s="303">
        <v>251619.91</v>
      </c>
      <c r="L94" s="303"/>
      <c r="M94" s="303"/>
      <c r="N94" s="303"/>
      <c r="O94" s="303"/>
      <c r="P94" s="305">
        <f>SUM(compras_mes2[[#This Row],[NETO GRAVADO]:[Otros / No Grav.]])</f>
        <v>2648000</v>
      </c>
      <c r="Q94" s="304">
        <f>IFERROR(IF(compras_mes2[[#This Row],[CUIT]]="","-",VLOOKUP(compras_mes2[[#This Row],[CUIT]],Lista_CUIT[#All],3,0)),"CUIT NO CARGADO")</f>
        <v>0</v>
      </c>
      <c r="R94" s="304">
        <f>IFERROR(IF(compras_mes2[[#This Row],[CUIT]]="","-",VLOOKUP(compras_mes2[[#This Row],[CUIT]],Lista_CUIT[#All],4,0)),"CUIT NO CARGADO")</f>
        <v>0</v>
      </c>
      <c r="S94"/>
      <c r="T94"/>
    </row>
    <row r="95" spans="1:20" s="229" customFormat="1" x14ac:dyDescent="0.3">
      <c r="A95"/>
      <c r="B95" s="259">
        <v>44974</v>
      </c>
      <c r="C95" s="41">
        <v>1</v>
      </c>
      <c r="D95" s="285">
        <v>6</v>
      </c>
      <c r="E95" s="43">
        <v>3076</v>
      </c>
      <c r="F95" s="44">
        <v>20134664518</v>
      </c>
      <c r="G95" s="45" t="str">
        <f>IFERROR(IF(compras_mes2[[#This Row],[CUIT]]="","-",VLOOKUP(compras_mes2[[#This Row],[CUIT]],Lista_CUIT[#All],2,0)),"CUIT NO CARGADO")</f>
        <v>HOKAMA SERGIO ENRIQUE</v>
      </c>
      <c r="H95" s="46">
        <v>7071.48</v>
      </c>
      <c r="I95" s="85">
        <f>IF(compras_mes2[[#This Row],[NETO GRAVADO]]="","",compras_mes2[[#This Row],[NETO GRAVADO]]*0.21)</f>
        <v>1485.0107999999998</v>
      </c>
      <c r="J95" s="85"/>
      <c r="K95" s="85"/>
      <c r="L95" s="85"/>
      <c r="M95" s="85"/>
      <c r="N95" s="85"/>
      <c r="O95" s="85"/>
      <c r="P95" s="48">
        <f>SUM(compras_mes2[[#This Row],[NETO GRAVADO]:[Otros / No Grav.]])</f>
        <v>8556.4907999999996</v>
      </c>
      <c r="Q95" s="49" t="str">
        <f>IFERROR(IF(compras_mes2[[#This Row],[CUIT]]="","-",VLOOKUP(compras_mes2[[#This Row],[CUIT]],Lista_CUIT[#All],3,0)),"CUIT NO CARGADO")</f>
        <v>Gastos Varios</v>
      </c>
      <c r="R95" s="49" t="str">
        <f>IFERROR(IF(compras_mes2[[#This Row],[CUIT]]="","-",VLOOKUP(compras_mes2[[#This Row],[CUIT]],Lista_CUIT[#All],4,0)),"CUIT NO CARGADO")</f>
        <v>BUENOS AIRES</v>
      </c>
      <c r="S95"/>
      <c r="T95"/>
    </row>
    <row r="96" spans="1:20" s="229" customFormat="1" x14ac:dyDescent="0.3">
      <c r="A96"/>
      <c r="B96" s="40">
        <v>44974</v>
      </c>
      <c r="C96" s="41">
        <v>1</v>
      </c>
      <c r="D96" s="42">
        <v>6</v>
      </c>
      <c r="E96" s="43">
        <v>10806</v>
      </c>
      <c r="F96" s="44">
        <v>30708033932</v>
      </c>
      <c r="G96" s="45" t="str">
        <f>IFERROR(IF(compras_mes2[[#This Row],[CUIT]]="","-",VLOOKUP(compras_mes2[[#This Row],[CUIT]],Lista_CUIT[#All],2,0)),"CUIT NO CARGADO")</f>
        <v>ESTACION RUTA 1422 SRL</v>
      </c>
      <c r="H96" s="46">
        <v>528.12</v>
      </c>
      <c r="I96" s="85">
        <f>IF(compras_mes2[[#This Row],[NETO GRAVADO]]="","",compras_mes2[[#This Row],[NETO GRAVADO]]*0.21)</f>
        <v>110.90519999999999</v>
      </c>
      <c r="J96" s="85"/>
      <c r="K96" s="85"/>
      <c r="L96" s="85"/>
      <c r="M96" s="85"/>
      <c r="N96" s="85"/>
      <c r="O96" s="85">
        <v>10.97</v>
      </c>
      <c r="P96" s="48">
        <f>SUM(compras_mes2[[#This Row],[NETO GRAVADO]:[Otros / No Grav.]])</f>
        <v>649.99520000000007</v>
      </c>
      <c r="Q96" s="49" t="str">
        <f>IFERROR(IF(compras_mes2[[#This Row],[CUIT]]="","-",VLOOKUP(compras_mes2[[#This Row],[CUIT]],Lista_CUIT[#All],3,0)),"CUIT NO CARGADO")</f>
        <v>COMBUSTIBLE</v>
      </c>
      <c r="R96" s="49">
        <f>IFERROR(IF(compras_mes2[[#This Row],[CUIT]]="","-",VLOOKUP(compras_mes2[[#This Row],[CUIT]],Lista_CUIT[#All],4,0)),"CUIT NO CARGADO")</f>
        <v>0</v>
      </c>
      <c r="S96"/>
      <c r="T96"/>
    </row>
    <row r="97" spans="1:20" s="229" customFormat="1" x14ac:dyDescent="0.3">
      <c r="A97"/>
      <c r="B97" s="298">
        <v>44975</v>
      </c>
      <c r="C97" s="250">
        <v>1</v>
      </c>
      <c r="D97" s="297">
        <v>5014</v>
      </c>
      <c r="E97" s="299">
        <v>376952</v>
      </c>
      <c r="F97" s="300">
        <v>30574876474</v>
      </c>
      <c r="G97" s="301" t="str">
        <f>IFERROR(IF(compras_mes2[[#This Row],[CUIT]]="","-",VLOOKUP(compras_mes2[[#This Row],[CUIT]],Lista_CUIT[#All],2,0)),"CUIT NO CARGADO")</f>
        <v>AUTOPISTAS URBANAS S A</v>
      </c>
      <c r="H97" s="302">
        <v>12923.35</v>
      </c>
      <c r="I97" s="256">
        <f>IF(compras_mes2[[#This Row],[NETO GRAVADO]]="","",compras_mes2[[#This Row],[NETO GRAVADO]]*0.21)</f>
        <v>2713.9034999999999</v>
      </c>
      <c r="J97" s="303"/>
      <c r="K97" s="303"/>
      <c r="L97" s="303"/>
      <c r="M97" s="303"/>
      <c r="N97" s="303"/>
      <c r="O97" s="303"/>
      <c r="P97" s="305">
        <f>SUM(compras_mes2[[#This Row],[NETO GRAVADO]:[Otros / No Grav.]])</f>
        <v>15637.253500000001</v>
      </c>
      <c r="Q97" s="304">
        <f>IFERROR(IF(compras_mes2[[#This Row],[CUIT]]="","-",VLOOKUP(compras_mes2[[#This Row],[CUIT]],Lista_CUIT[#All],3,0)),"CUIT NO CARGADO")</f>
        <v>0</v>
      </c>
      <c r="R97" s="304">
        <f>IFERROR(IF(compras_mes2[[#This Row],[CUIT]]="","-",VLOOKUP(compras_mes2[[#This Row],[CUIT]],Lista_CUIT[#All],4,0)),"CUIT NO CARGADO")</f>
        <v>0</v>
      </c>
      <c r="S97"/>
      <c r="T97"/>
    </row>
    <row r="98" spans="1:20" x14ac:dyDescent="0.3">
      <c r="B98" s="259">
        <v>44975</v>
      </c>
      <c r="C98" s="41">
        <v>1</v>
      </c>
      <c r="D98" s="285">
        <v>2199</v>
      </c>
      <c r="E98" s="260">
        <v>20513</v>
      </c>
      <c r="F98" s="261">
        <v>30548083156</v>
      </c>
      <c r="G98" s="262" t="str">
        <f>IFERROR(IF(compras_mes2[[#This Row],[CUIT]]="","-",VLOOKUP(compras_mes2[[#This Row],[CUIT]],Lista_CUIT[#All],2,0)),"CUIT NO CARGADO")</f>
        <v>COTO CENTRO INTEGRAL DE COMERCIALIZACION SOCIEDAD ANONIMA</v>
      </c>
      <c r="H98" s="263">
        <v>4628.4399999999996</v>
      </c>
      <c r="I98" s="85">
        <v>765.05</v>
      </c>
      <c r="J98" s="264"/>
      <c r="K98" s="264">
        <v>103.46</v>
      </c>
      <c r="L98" s="264">
        <v>117.45</v>
      </c>
      <c r="M98" s="264"/>
      <c r="N98" s="264">
        <v>196.78</v>
      </c>
      <c r="O98" s="264"/>
      <c r="P98" s="265">
        <f>SUM(compras_mes2[[#This Row],[NETO GRAVADO]:[Otros / No Grav.]])</f>
        <v>5811.1799999999994</v>
      </c>
      <c r="Q98" s="266" t="str">
        <f>IFERROR(IF(compras_mes2[[#This Row],[CUIT]]="","-",VLOOKUP(compras_mes2[[#This Row],[CUIT]],Lista_CUIT[#All],3,0)),"CUIT NO CARGADO")</f>
        <v>GASTOS COMERCIALES</v>
      </c>
      <c r="R98" s="266">
        <f>IFERROR(IF(compras_mes2[[#This Row],[CUIT]]="","-",VLOOKUP(compras_mes2[[#This Row],[CUIT]],Lista_CUIT[#All],4,0)),"CUIT NO CARGADO")</f>
        <v>0</v>
      </c>
    </row>
    <row r="99" spans="1:20" x14ac:dyDescent="0.3">
      <c r="B99" s="259">
        <v>44975</v>
      </c>
      <c r="C99" s="41">
        <v>1</v>
      </c>
      <c r="D99" s="285">
        <v>12</v>
      </c>
      <c r="E99" s="43">
        <v>18121</v>
      </c>
      <c r="F99" s="44">
        <v>30696131003</v>
      </c>
      <c r="G99" s="45" t="str">
        <f>IFERROR(IF(compras_mes2[[#This Row],[CUIT]]="","-",VLOOKUP(compras_mes2[[#This Row],[CUIT]],Lista_CUIT[#All],2,0)),"CUIT NO CARGADO")</f>
        <v>Petrolfe S.A.</v>
      </c>
      <c r="H99" s="46">
        <v>19209.14</v>
      </c>
      <c r="I99" s="85">
        <f>IF(compras_mes2[[#This Row],[NETO GRAVADO]]="","",compras_mes2[[#This Row],[NETO GRAVADO]]*0.21)</f>
        <v>4033.9193999999998</v>
      </c>
      <c r="J99" s="85"/>
      <c r="K99" s="85"/>
      <c r="L99" s="85"/>
      <c r="M99" s="85"/>
      <c r="N99" s="85"/>
      <c r="O99" s="85">
        <v>3796.18</v>
      </c>
      <c r="P99" s="48">
        <f>SUM(compras_mes2[[#This Row],[NETO GRAVADO]:[Otros / No Grav.]])</f>
        <v>27039.239399999999</v>
      </c>
      <c r="Q99" s="49" t="str">
        <f>IFERROR(IF(compras_mes2[[#This Row],[CUIT]]="","-",VLOOKUP(compras_mes2[[#This Row],[CUIT]],Lista_CUIT[#All],3,0)),"CUIT NO CARGADO")</f>
        <v>Combustible</v>
      </c>
      <c r="R99" s="49">
        <f>IFERROR(IF(compras_mes2[[#This Row],[CUIT]]="","-",VLOOKUP(compras_mes2[[#This Row],[CUIT]],Lista_CUIT[#All],4,0)),"CUIT NO CARGADO")</f>
        <v>0</v>
      </c>
    </row>
    <row r="100" spans="1:20" s="229" customFormat="1" x14ac:dyDescent="0.3">
      <c r="A100"/>
      <c r="B100" s="259">
        <v>44975</v>
      </c>
      <c r="C100" s="41">
        <v>1</v>
      </c>
      <c r="D100" s="285">
        <v>6</v>
      </c>
      <c r="E100" s="43">
        <v>3083</v>
      </c>
      <c r="F100" s="44">
        <v>20134664518</v>
      </c>
      <c r="G100" s="45" t="str">
        <f>IFERROR(IF(compras_mes2[[#This Row],[CUIT]]="","-",VLOOKUP(compras_mes2[[#This Row],[CUIT]],Lista_CUIT[#All],2,0)),"CUIT NO CARGADO")</f>
        <v>HOKAMA SERGIO ENRIQUE</v>
      </c>
      <c r="H100" s="46">
        <v>2512.0500000000002</v>
      </c>
      <c r="I100" s="85">
        <f>IF(compras_mes2[[#This Row],[NETO GRAVADO]]="","",compras_mes2[[#This Row],[NETO GRAVADO]]*0.21)</f>
        <v>527.53050000000007</v>
      </c>
      <c r="J100" s="85"/>
      <c r="K100" s="85"/>
      <c r="L100" s="85"/>
      <c r="M100" s="85"/>
      <c r="N100" s="85"/>
      <c r="O100" s="85"/>
      <c r="P100" s="48">
        <f>SUM(compras_mes2[[#This Row],[NETO GRAVADO]:[Otros / No Grav.]])</f>
        <v>3039.5805</v>
      </c>
      <c r="Q100" s="49" t="str">
        <f>IFERROR(IF(compras_mes2[[#This Row],[CUIT]]="","-",VLOOKUP(compras_mes2[[#This Row],[CUIT]],Lista_CUIT[#All],3,0)),"CUIT NO CARGADO")</f>
        <v>Gastos Varios</v>
      </c>
      <c r="R100" s="49" t="str">
        <f>IFERROR(IF(compras_mes2[[#This Row],[CUIT]]="","-",VLOOKUP(compras_mes2[[#This Row],[CUIT]],Lista_CUIT[#All],4,0)),"CUIT NO CARGADO")</f>
        <v>BUENOS AIRES</v>
      </c>
      <c r="S100"/>
      <c r="T100"/>
    </row>
    <row r="101" spans="1:20" s="229" customFormat="1" x14ac:dyDescent="0.3">
      <c r="A101"/>
      <c r="B101" s="298">
        <v>44976</v>
      </c>
      <c r="C101" s="250">
        <v>1</v>
      </c>
      <c r="D101" s="297">
        <v>6862</v>
      </c>
      <c r="E101" s="299">
        <v>18533</v>
      </c>
      <c r="F101" s="300">
        <v>30678774495</v>
      </c>
      <c r="G101" s="301" t="str">
        <f>IFERROR(IF(compras_mes2[[#This Row],[CUIT]]="","-",VLOOKUP(compras_mes2[[#This Row],[CUIT]],Lista_CUIT[#All],2,0)),"CUIT NO CARGADO")</f>
        <v>OPER. DE EST. DE SERV. SA</v>
      </c>
      <c r="H101" s="302">
        <v>5575.72</v>
      </c>
      <c r="I101" s="256">
        <f>IF(compras_mes2[[#This Row],[NETO GRAVADO]]="","",compras_mes2[[#This Row],[NETO GRAVADO]]*0.21)</f>
        <v>1170.9012</v>
      </c>
      <c r="J101" s="303"/>
      <c r="K101" s="303"/>
      <c r="L101" s="303"/>
      <c r="M101" s="303"/>
      <c r="N101" s="303"/>
      <c r="O101" s="303"/>
      <c r="P101" s="305">
        <f>SUM(compras_mes2[[#This Row],[NETO GRAVADO]:[Otros / No Grav.]])</f>
        <v>6746.6212000000005</v>
      </c>
      <c r="Q101" s="304" t="str">
        <f>IFERROR(IF(compras_mes2[[#This Row],[CUIT]]="","-",VLOOKUP(compras_mes2[[#This Row],[CUIT]],Lista_CUIT[#All],3,0)),"CUIT NO CARGADO")</f>
        <v>Combustibe</v>
      </c>
      <c r="R101" s="304">
        <f>IFERROR(IF(compras_mes2[[#This Row],[CUIT]]="","-",VLOOKUP(compras_mes2[[#This Row],[CUIT]],Lista_CUIT[#All],4,0)),"CUIT NO CARGADO")</f>
        <v>0</v>
      </c>
      <c r="S101"/>
      <c r="T101"/>
    </row>
    <row r="102" spans="1:20" s="229" customFormat="1" x14ac:dyDescent="0.3">
      <c r="A102"/>
      <c r="B102" s="259">
        <v>44976</v>
      </c>
      <c r="C102" s="41">
        <v>1</v>
      </c>
      <c r="D102" s="285">
        <v>13550</v>
      </c>
      <c r="E102" s="260">
        <v>1382</v>
      </c>
      <c r="F102" s="261">
        <v>30590360763</v>
      </c>
      <c r="G102" s="262" t="str">
        <f>IFERROR(IF(compras_mes2[[#This Row],[CUIT]]="","-",VLOOKUP(compras_mes2[[#This Row],[CUIT]],Lista_CUIT[#All],2,0)),"CUIT NO CARGADO")</f>
        <v>CENCOSUD S.A</v>
      </c>
      <c r="H102" s="263">
        <v>21322.31</v>
      </c>
      <c r="I102" s="85">
        <v>3480.87</v>
      </c>
      <c r="J102" s="264"/>
      <c r="K102" s="264">
        <v>498.41</v>
      </c>
      <c r="L102" s="264">
        <v>571.66</v>
      </c>
      <c r="M102" s="264"/>
      <c r="N102" s="264">
        <v>1276.67</v>
      </c>
      <c r="O102" s="264">
        <v>340.82</v>
      </c>
      <c r="P102" s="265">
        <f>SUM(compras_mes2[[#This Row],[NETO GRAVADO]:[Otros / No Grav.]])</f>
        <v>27490.739999999998</v>
      </c>
      <c r="Q102" s="266" t="str">
        <f>IFERROR(IF(compras_mes2[[#This Row],[CUIT]]="","-",VLOOKUP(compras_mes2[[#This Row],[CUIT]],Lista_CUIT[#All],3,0)),"CUIT NO CARGADO")</f>
        <v>Gastos Varios</v>
      </c>
      <c r="R102" s="266">
        <f>IFERROR(IF(compras_mes2[[#This Row],[CUIT]]="","-",VLOOKUP(compras_mes2[[#This Row],[CUIT]],Lista_CUIT[#All],4,0)),"CUIT NO CARGADO")</f>
        <v>0</v>
      </c>
      <c r="S102"/>
      <c r="T102"/>
    </row>
    <row r="103" spans="1:20" x14ac:dyDescent="0.3">
      <c r="B103" s="40">
        <v>44976</v>
      </c>
      <c r="C103" s="41">
        <v>1</v>
      </c>
      <c r="D103" s="42">
        <v>8</v>
      </c>
      <c r="E103" s="43">
        <v>6207</v>
      </c>
      <c r="F103" s="44">
        <v>30712450327</v>
      </c>
      <c r="G103" s="45" t="str">
        <f>IFERROR(IF(compras_mes2[[#This Row],[CUIT]]="","-",VLOOKUP(compras_mes2[[#This Row],[CUIT]],Lista_CUIT[#All],2,0)),"CUIT NO CARGADO")</f>
        <v>MANDOLA HERMANOS SA</v>
      </c>
      <c r="H103" s="46">
        <v>8487.74</v>
      </c>
      <c r="I103" s="85">
        <f>IF(compras_mes2[[#This Row],[NETO GRAVADO]]="","",compras_mes2[[#This Row],[NETO GRAVADO]]*0.21)</f>
        <v>1782.4253999999999</v>
      </c>
      <c r="J103" s="85"/>
      <c r="K103" s="85"/>
      <c r="L103" s="85"/>
      <c r="M103" s="85"/>
      <c r="N103" s="85"/>
      <c r="O103" s="85">
        <v>1530.34</v>
      </c>
      <c r="P103" s="48">
        <f>SUM(compras_mes2[[#This Row],[NETO GRAVADO]:[Otros / No Grav.]])</f>
        <v>11800.5054</v>
      </c>
      <c r="Q103" s="49" t="str">
        <f>IFERROR(IF(compras_mes2[[#This Row],[CUIT]]="","-",VLOOKUP(compras_mes2[[#This Row],[CUIT]],Lista_CUIT[#All],3,0)),"CUIT NO CARGADO")</f>
        <v>COMBUSTIBLE</v>
      </c>
      <c r="R103" s="49">
        <f>IFERROR(IF(compras_mes2[[#This Row],[CUIT]]="","-",VLOOKUP(compras_mes2[[#This Row],[CUIT]],Lista_CUIT[#All],4,0)),"CUIT NO CARGADO")</f>
        <v>0</v>
      </c>
    </row>
    <row r="104" spans="1:20" x14ac:dyDescent="0.3">
      <c r="B104" s="40">
        <v>44976</v>
      </c>
      <c r="C104" s="41">
        <v>1</v>
      </c>
      <c r="D104" s="42">
        <v>8559</v>
      </c>
      <c r="E104" s="43">
        <v>958277</v>
      </c>
      <c r="F104" s="44">
        <v>30678774495</v>
      </c>
      <c r="G104" s="45" t="str">
        <f>IFERROR(IF(compras_mes2[[#This Row],[CUIT]]="","-",VLOOKUP(compras_mes2[[#This Row],[CUIT]],Lista_CUIT[#All],2,0)),"CUIT NO CARGADO")</f>
        <v>OPER. DE EST. DE SERV. SA</v>
      </c>
      <c r="H104" s="46">
        <v>5575.72</v>
      </c>
      <c r="I104" s="85">
        <f>IF(compras_mes2[[#This Row],[NETO GRAVADO]]="","",compras_mes2[[#This Row],[NETO GRAVADO]]*0.21)</f>
        <v>1170.9012</v>
      </c>
      <c r="J104" s="85"/>
      <c r="K104" s="85"/>
      <c r="L104" s="85"/>
      <c r="M104" s="85"/>
      <c r="N104" s="85"/>
      <c r="O104" s="85">
        <v>1053.68</v>
      </c>
      <c r="P104" s="48">
        <f>SUM(compras_mes2[[#This Row],[NETO GRAVADO]:[Otros / No Grav.]])</f>
        <v>7800.3012000000008</v>
      </c>
      <c r="Q104" s="49" t="str">
        <f>IFERROR(IF(compras_mes2[[#This Row],[CUIT]]="","-",VLOOKUP(compras_mes2[[#This Row],[CUIT]],Lista_CUIT[#All],3,0)),"CUIT NO CARGADO")</f>
        <v>Combustibe</v>
      </c>
      <c r="R104" s="49">
        <f>IFERROR(IF(compras_mes2[[#This Row],[CUIT]]="","-",VLOOKUP(compras_mes2[[#This Row],[CUIT]],Lista_CUIT[#All],4,0)),"CUIT NO CARGADO")</f>
        <v>0</v>
      </c>
    </row>
    <row r="105" spans="1:20" s="229" customFormat="1" x14ac:dyDescent="0.3">
      <c r="A105"/>
      <c r="B105" s="259">
        <v>44977</v>
      </c>
      <c r="C105" s="41">
        <v>1</v>
      </c>
      <c r="D105" s="285">
        <v>6</v>
      </c>
      <c r="E105" s="260">
        <v>8149</v>
      </c>
      <c r="F105" s="261">
        <v>33710167309</v>
      </c>
      <c r="G105" s="262" t="str">
        <f>IFERROR(IF(compras_mes2[[#This Row],[CUIT]]="","-",VLOOKUP(compras_mes2[[#This Row],[CUIT]],Lista_CUIT[#All],2,0)),"CUIT NO CARGADO")</f>
        <v>MAT. ESCO SA</v>
      </c>
      <c r="H105" s="263">
        <v>9570.2900000000009</v>
      </c>
      <c r="I105" s="85">
        <f>IF(compras_mes2[[#This Row],[NETO GRAVADO]]="","",compras_mes2[[#This Row],[NETO GRAVADO]]*0.21)</f>
        <v>2009.7609000000002</v>
      </c>
      <c r="J105" s="264"/>
      <c r="K105" s="264"/>
      <c r="L105" s="264"/>
      <c r="M105" s="264"/>
      <c r="N105" s="264"/>
      <c r="O105" s="264"/>
      <c r="P105" s="265">
        <f>SUM(compras_mes2[[#This Row],[NETO GRAVADO]:[Otros / No Grav.]])</f>
        <v>11580.050900000002</v>
      </c>
      <c r="Q105" s="266">
        <f>IFERROR(IF(compras_mes2[[#This Row],[CUIT]]="","-",VLOOKUP(compras_mes2[[#This Row],[CUIT]],Lista_CUIT[#All],3,0)),"CUIT NO CARGADO")</f>
        <v>0</v>
      </c>
      <c r="R105" s="266">
        <f>IFERROR(IF(compras_mes2[[#This Row],[CUIT]]="","-",VLOOKUP(compras_mes2[[#This Row],[CUIT]],Lista_CUIT[#All],4,0)),"CUIT NO CARGADO")</f>
        <v>0</v>
      </c>
      <c r="S105"/>
      <c r="T105"/>
    </row>
    <row r="106" spans="1:20" s="229" customFormat="1" x14ac:dyDescent="0.3">
      <c r="A106"/>
      <c r="B106" s="259">
        <v>44977</v>
      </c>
      <c r="C106" s="41">
        <v>1</v>
      </c>
      <c r="D106" s="42">
        <v>8</v>
      </c>
      <c r="E106" s="43">
        <v>6216</v>
      </c>
      <c r="F106" s="44">
        <v>30712450327</v>
      </c>
      <c r="G106" s="45" t="str">
        <f>IFERROR(IF(compras_mes2[[#This Row],[CUIT]]="","-",VLOOKUP(compras_mes2[[#This Row],[CUIT]],Lista_CUIT[#All],2,0)),"CUIT NO CARGADO")</f>
        <v>MANDOLA HERMANOS SA</v>
      </c>
      <c r="H106" s="46">
        <v>4675.7</v>
      </c>
      <c r="I106" s="85">
        <f>IF(compras_mes2[[#This Row],[NETO GRAVADO]]="","",compras_mes2[[#This Row],[NETO GRAVADO]]*0.21)</f>
        <v>981.89699999999993</v>
      </c>
      <c r="J106" s="85"/>
      <c r="K106" s="85"/>
      <c r="L106" s="85"/>
      <c r="M106" s="85"/>
      <c r="N106" s="85"/>
      <c r="O106" s="85">
        <v>843.02</v>
      </c>
      <c r="P106" s="48">
        <f>SUM(compras_mes2[[#This Row],[NETO GRAVADO]:[Otros / No Grav.]])</f>
        <v>6500.6170000000002</v>
      </c>
      <c r="Q106" s="49" t="str">
        <f>IFERROR(IF(compras_mes2[[#This Row],[CUIT]]="","-",VLOOKUP(compras_mes2[[#This Row],[CUIT]],Lista_CUIT[#All],3,0)),"CUIT NO CARGADO")</f>
        <v>COMBUSTIBLE</v>
      </c>
      <c r="R106" s="49">
        <f>IFERROR(IF(compras_mes2[[#This Row],[CUIT]]="","-",VLOOKUP(compras_mes2[[#This Row],[CUIT]],Lista_CUIT[#All],4,0)),"CUIT NO CARGADO")</f>
        <v>0</v>
      </c>
      <c r="S106"/>
      <c r="T106"/>
    </row>
    <row r="107" spans="1:20" s="229" customFormat="1" x14ac:dyDescent="0.3">
      <c r="A107"/>
      <c r="B107" s="259">
        <v>44978</v>
      </c>
      <c r="C107" s="41">
        <v>1</v>
      </c>
      <c r="D107" s="285">
        <v>11035</v>
      </c>
      <c r="E107" s="260">
        <v>820</v>
      </c>
      <c r="F107" s="261">
        <v>30590360763</v>
      </c>
      <c r="G107" s="262" t="str">
        <f>IFERROR(IF(compras_mes2[[#This Row],[CUIT]]="","-",VLOOKUP(compras_mes2[[#This Row],[CUIT]],Lista_CUIT[#All],2,0)),"CUIT NO CARGADO")</f>
        <v>CENCOSUD S.A</v>
      </c>
      <c r="H107" s="263">
        <v>2552.88</v>
      </c>
      <c r="I107" s="85">
        <f>IF(compras_mes2[[#This Row],[NETO GRAVADO]]="","",compras_mes2[[#This Row],[NETO GRAVADO]]*0.21)</f>
        <v>536.10479999999995</v>
      </c>
      <c r="J107" s="264"/>
      <c r="K107" s="264"/>
      <c r="L107" s="264">
        <v>76.33</v>
      </c>
      <c r="M107" s="264"/>
      <c r="N107" s="264"/>
      <c r="O107" s="264">
        <v>22.46</v>
      </c>
      <c r="P107" s="265">
        <f>SUM(compras_mes2[[#This Row],[NETO GRAVADO]:[Otros / No Grav.]])</f>
        <v>3187.7748000000001</v>
      </c>
      <c r="Q107" s="266" t="str">
        <f>IFERROR(IF(compras_mes2[[#This Row],[CUIT]]="","-",VLOOKUP(compras_mes2[[#This Row],[CUIT]],Lista_CUIT[#All],3,0)),"CUIT NO CARGADO")</f>
        <v>Gastos Varios</v>
      </c>
      <c r="R107" s="266">
        <f>IFERROR(IF(compras_mes2[[#This Row],[CUIT]]="","-",VLOOKUP(compras_mes2[[#This Row],[CUIT]],Lista_CUIT[#All],4,0)),"CUIT NO CARGADO")</f>
        <v>0</v>
      </c>
      <c r="S107"/>
      <c r="T107"/>
    </row>
    <row r="108" spans="1:20" s="229" customFormat="1" x14ac:dyDescent="0.3">
      <c r="A108"/>
      <c r="B108" s="259">
        <v>44979</v>
      </c>
      <c r="C108" s="41">
        <v>1</v>
      </c>
      <c r="D108" s="285">
        <v>5</v>
      </c>
      <c r="E108" s="260">
        <v>264</v>
      </c>
      <c r="F108" s="261">
        <v>30716654105</v>
      </c>
      <c r="G108" s="262" t="str">
        <f>IFERROR(IF(compras_mes2[[#This Row],[CUIT]]="","-",VLOOKUP(compras_mes2[[#This Row],[CUIT]],Lista_CUIT[#All],2,0)),"CUIT NO CARGADO")</f>
        <v>CARNICA DEL NORTE S.R.L.</v>
      </c>
      <c r="H108" s="263">
        <v>7877.14</v>
      </c>
      <c r="I108" s="85"/>
      <c r="J108" s="264"/>
      <c r="K108" s="264">
        <v>827.1</v>
      </c>
      <c r="L108" s="264"/>
      <c r="M108" s="264"/>
      <c r="N108" s="264"/>
      <c r="O108" s="264"/>
      <c r="P108" s="265">
        <f>SUM(compras_mes2[[#This Row],[NETO GRAVADO]:[Otros / No Grav.]])</f>
        <v>8704.24</v>
      </c>
      <c r="Q108" s="266">
        <f>IFERROR(IF(compras_mes2[[#This Row],[CUIT]]="","-",VLOOKUP(compras_mes2[[#This Row],[CUIT]],Lista_CUIT[#All],3,0)),"CUIT NO CARGADO")</f>
        <v>0</v>
      </c>
      <c r="R108" s="266">
        <f>IFERROR(IF(compras_mes2[[#This Row],[CUIT]]="","-",VLOOKUP(compras_mes2[[#This Row],[CUIT]],Lista_CUIT[#All],4,0)),"CUIT NO CARGADO")</f>
        <v>0</v>
      </c>
      <c r="S108"/>
      <c r="T108"/>
    </row>
    <row r="109" spans="1:20" s="229" customFormat="1" x14ac:dyDescent="0.3">
      <c r="A109"/>
      <c r="B109" s="298">
        <v>44979</v>
      </c>
      <c r="C109" s="250">
        <v>1</v>
      </c>
      <c r="D109" s="297">
        <v>113</v>
      </c>
      <c r="E109" s="299">
        <v>3091422</v>
      </c>
      <c r="F109" s="300">
        <v>30577207190</v>
      </c>
      <c r="G109" s="301" t="str">
        <f>IFERROR(IF(compras_mes2[[#This Row],[CUIT]]="","-",VLOOKUP(compras_mes2[[#This Row],[CUIT]],Lista_CUIT[#All],2,0)),"CUIT NO CARGADO")</f>
        <v>COORDINACION ECOLOGICA AREA METROPOLITANA SOCIEDAD DEL ESTADO</v>
      </c>
      <c r="H109" s="302">
        <v>495.87</v>
      </c>
      <c r="I109" s="256">
        <f>IF(compras_mes2[[#This Row],[NETO GRAVADO]]="","",compras_mes2[[#This Row],[NETO GRAVADO]]*0.21)</f>
        <v>104.1327</v>
      </c>
      <c r="J109" s="303"/>
      <c r="K109" s="303"/>
      <c r="L109" s="303"/>
      <c r="M109" s="303"/>
      <c r="N109" s="303"/>
      <c r="O109" s="303"/>
      <c r="P109" s="305">
        <f>SUM(compras_mes2[[#This Row],[NETO GRAVADO]:[Otros / No Grav.]])</f>
        <v>600.0027</v>
      </c>
      <c r="Q109" s="304">
        <f>IFERROR(IF(compras_mes2[[#This Row],[CUIT]]="","-",VLOOKUP(compras_mes2[[#This Row],[CUIT]],Lista_CUIT[#All],3,0)),"CUIT NO CARGADO")</f>
        <v>0</v>
      </c>
      <c r="R109" s="304">
        <f>IFERROR(IF(compras_mes2[[#This Row],[CUIT]]="","-",VLOOKUP(compras_mes2[[#This Row],[CUIT]],Lista_CUIT[#All],4,0)),"CUIT NO CARGADO")</f>
        <v>0</v>
      </c>
      <c r="S109"/>
      <c r="T109"/>
    </row>
    <row r="110" spans="1:20" s="229" customFormat="1" x14ac:dyDescent="0.3">
      <c r="A110"/>
      <c r="B110" s="298">
        <v>44979</v>
      </c>
      <c r="C110" s="250">
        <v>1</v>
      </c>
      <c r="D110" s="297">
        <v>7</v>
      </c>
      <c r="E110" s="299">
        <v>34037</v>
      </c>
      <c r="F110" s="300">
        <v>30517266457</v>
      </c>
      <c r="G110" s="301" t="str">
        <f>IFERROR(IF(compras_mes2[[#This Row],[CUIT]]="","-",VLOOKUP(compras_mes2[[#This Row],[CUIT]],Lista_CUIT[#All],2,0)),"CUIT NO CARGADO")</f>
        <v>BOLSAFILM S.A.</v>
      </c>
      <c r="H110" s="302">
        <v>171734.16</v>
      </c>
      <c r="I110" s="256">
        <f>IF(compras_mes2[[#This Row],[NETO GRAVADO]]="","",compras_mes2[[#This Row],[NETO GRAVADO]]*0.21)</f>
        <v>36064.173600000002</v>
      </c>
      <c r="J110" s="303"/>
      <c r="K110" s="303"/>
      <c r="L110" s="303"/>
      <c r="M110" s="303"/>
      <c r="N110" s="303"/>
      <c r="O110" s="303"/>
      <c r="P110" s="305">
        <f>SUM(compras_mes2[[#This Row],[NETO GRAVADO]:[Otros / No Grav.]])</f>
        <v>207798.33360000001</v>
      </c>
      <c r="Q110" s="304">
        <f>IFERROR(IF(compras_mes2[[#This Row],[CUIT]]="","-",VLOOKUP(compras_mes2[[#This Row],[CUIT]],Lista_CUIT[#All],3,0)),"CUIT NO CARGADO")</f>
        <v>0</v>
      </c>
      <c r="R110" s="304">
        <f>IFERROR(IF(compras_mes2[[#This Row],[CUIT]]="","-",VLOOKUP(compras_mes2[[#This Row],[CUIT]],Lista_CUIT[#All],4,0)),"CUIT NO CARGADO")</f>
        <v>0</v>
      </c>
      <c r="S110"/>
      <c r="T110"/>
    </row>
    <row r="111" spans="1:20" s="229" customFormat="1" x14ac:dyDescent="0.3">
      <c r="A111"/>
      <c r="B111" s="259">
        <v>44979</v>
      </c>
      <c r="C111" s="41">
        <v>1</v>
      </c>
      <c r="D111" s="285">
        <v>2</v>
      </c>
      <c r="E111" s="260">
        <v>3271</v>
      </c>
      <c r="F111" s="261">
        <v>30629863571</v>
      </c>
      <c r="G111" s="262" t="str">
        <f>IFERROR(IF(compras_mes2[[#This Row],[CUIT]]="","-",VLOOKUP(compras_mes2[[#This Row],[CUIT]],Lista_CUIT[#All],2,0)),"CUIT NO CARGADO")</f>
        <v>TECNIMAR S R L</v>
      </c>
      <c r="H111" s="263">
        <v>74664</v>
      </c>
      <c r="I111" s="85">
        <f>IF(compras_mes2[[#This Row],[NETO GRAVADO]]="","",compras_mes2[[#This Row],[NETO GRAVADO]]*0.21)</f>
        <v>15679.439999999999</v>
      </c>
      <c r="J111" s="264"/>
      <c r="K111" s="264"/>
      <c r="L111" s="264"/>
      <c r="M111" s="264"/>
      <c r="N111" s="264"/>
      <c r="O111" s="264"/>
      <c r="P111" s="265">
        <f>SUM(compras_mes2[[#This Row],[NETO GRAVADO]:[Otros / No Grav.]])</f>
        <v>90343.44</v>
      </c>
      <c r="Q111" s="266" t="str">
        <f>IFERROR(IF(compras_mes2[[#This Row],[CUIT]]="","-",VLOOKUP(compras_mes2[[#This Row],[CUIT]],Lista_CUIT[#All],3,0)),"CUIT NO CARGADO")</f>
        <v>LABORATORIO</v>
      </c>
      <c r="R111" s="266">
        <f>IFERROR(IF(compras_mes2[[#This Row],[CUIT]]="","-",VLOOKUP(compras_mes2[[#This Row],[CUIT]],Lista_CUIT[#All],4,0)),"CUIT NO CARGADO")</f>
        <v>0</v>
      </c>
      <c r="S111"/>
      <c r="T111"/>
    </row>
    <row r="112" spans="1:20" x14ac:dyDescent="0.3">
      <c r="B112" s="259">
        <v>44979</v>
      </c>
      <c r="C112" s="41">
        <v>1</v>
      </c>
      <c r="D112" s="285">
        <v>5</v>
      </c>
      <c r="E112" s="260">
        <v>2710168</v>
      </c>
      <c r="F112" s="261">
        <v>30702652975</v>
      </c>
      <c r="G112" s="262" t="str">
        <f>IFERROR(IF(compras_mes2[[#This Row],[CUIT]]="","-",VLOOKUP(compras_mes2[[#This Row],[CUIT]],Lista_CUIT[#All],2,0)),"CUIT NO CARGADO")</f>
        <v>NSS SA</v>
      </c>
      <c r="H112" s="263">
        <v>5932.49</v>
      </c>
      <c r="I112" s="85">
        <f>IF(compras_mes2[[#This Row],[NETO GRAVADO]]="","",compras_mes2[[#This Row],[NETO GRAVADO]]*0.21)</f>
        <v>1245.8228999999999</v>
      </c>
      <c r="J112" s="264"/>
      <c r="K112" s="264"/>
      <c r="L112" s="264"/>
      <c r="M112" s="264"/>
      <c r="N112" s="264">
        <v>355.95</v>
      </c>
      <c r="O112" s="264"/>
      <c r="P112" s="265">
        <f>SUM(compras_mes2[[#This Row],[NETO GRAVADO]:[Otros / No Grav.]])</f>
        <v>7534.2628999999997</v>
      </c>
      <c r="Q112" s="266" t="str">
        <f>IFERROR(IF(compras_mes2[[#This Row],[CUIT]]="","-",VLOOKUP(compras_mes2[[#This Row],[CUIT]],Lista_CUIT[#All],3,0)),"CUIT NO CARGADO")</f>
        <v>Servicios Gas, Luz, etc.</v>
      </c>
      <c r="R112" s="266">
        <f>IFERROR(IF(compras_mes2[[#This Row],[CUIT]]="","-",VLOOKUP(compras_mes2[[#This Row],[CUIT]],Lista_CUIT[#All],4,0)),"CUIT NO CARGADO")</f>
        <v>0</v>
      </c>
    </row>
    <row r="113" spans="1:20" s="229" customFormat="1" x14ac:dyDescent="0.3">
      <c r="A113"/>
      <c r="B113" s="259">
        <v>44979</v>
      </c>
      <c r="C113" s="41">
        <v>1</v>
      </c>
      <c r="D113" s="285">
        <v>5</v>
      </c>
      <c r="E113" s="260">
        <v>108752</v>
      </c>
      <c r="F113" s="261">
        <v>30550106430</v>
      </c>
      <c r="G113" s="262" t="str">
        <f>IFERROR(IF(compras_mes2[[#This Row],[CUIT]]="","-",VLOOKUP(compras_mes2[[#This Row],[CUIT]],Lista_CUIT[#All],2,0)),"CUIT NO CARGADO")</f>
        <v>MAGEL S A</v>
      </c>
      <c r="H113" s="263">
        <v>380725</v>
      </c>
      <c r="I113" s="85">
        <f>IF(compras_mes2[[#This Row],[NETO GRAVADO]]="","",compras_mes2[[#This Row],[NETO GRAVADO]]*0.21)</f>
        <v>79952.25</v>
      </c>
      <c r="J113" s="264"/>
      <c r="K113" s="264"/>
      <c r="L113" s="264"/>
      <c r="M113" s="264"/>
      <c r="N113" s="264">
        <v>26650.75</v>
      </c>
      <c r="O113" s="264"/>
      <c r="P113" s="265">
        <f>SUM(compras_mes2[[#This Row],[NETO GRAVADO]:[Otros / No Grav.]])</f>
        <v>487328</v>
      </c>
      <c r="Q113" s="266">
        <f>IFERROR(IF(compras_mes2[[#This Row],[CUIT]]="","-",VLOOKUP(compras_mes2[[#This Row],[CUIT]],Lista_CUIT[#All],3,0)),"CUIT NO CARGADO")</f>
        <v>0</v>
      </c>
      <c r="R113" s="266">
        <f>IFERROR(IF(compras_mes2[[#This Row],[CUIT]]="","-",VLOOKUP(compras_mes2[[#This Row],[CUIT]],Lista_CUIT[#All],4,0)),"CUIT NO CARGADO")</f>
        <v>0</v>
      </c>
      <c r="S113"/>
      <c r="T113"/>
    </row>
    <row r="114" spans="1:20" s="229" customFormat="1" x14ac:dyDescent="0.3">
      <c r="A114"/>
      <c r="B114" s="298">
        <v>44979</v>
      </c>
      <c r="C114" s="250">
        <v>3</v>
      </c>
      <c r="D114" s="297">
        <v>7</v>
      </c>
      <c r="E114" s="252">
        <v>3812</v>
      </c>
      <c r="F114" s="253">
        <v>30517266457</v>
      </c>
      <c r="G114" s="254" t="str">
        <f>IFERROR(IF(compras_mes2[[#This Row],[CUIT]]="","-",VLOOKUP(compras_mes2[[#This Row],[CUIT]],Lista_CUIT[#All],2,0)),"CUIT NO CARGADO")</f>
        <v>BOLSAFILM S.A.</v>
      </c>
      <c r="H114" s="255">
        <v>-3612.5</v>
      </c>
      <c r="I114" s="256">
        <f>IF(compras_mes2[[#This Row],[NETO GRAVADO]]="","",compras_mes2[[#This Row],[NETO GRAVADO]]*0.21)</f>
        <v>-758.625</v>
      </c>
      <c r="J114" s="256"/>
      <c r="K114" s="256"/>
      <c r="L114" s="256"/>
      <c r="M114" s="256"/>
      <c r="N114" s="256"/>
      <c r="O114" s="256"/>
      <c r="P114" s="257">
        <f>SUM(compras_mes2[[#This Row],[NETO GRAVADO]:[Otros / No Grav.]])</f>
        <v>-4371.125</v>
      </c>
      <c r="Q114" s="258">
        <f>IFERROR(IF(compras_mes2[[#This Row],[CUIT]]="","-",VLOOKUP(compras_mes2[[#This Row],[CUIT]],Lista_CUIT[#All],3,0)),"CUIT NO CARGADO")</f>
        <v>0</v>
      </c>
      <c r="R114" s="258">
        <f>IFERROR(IF(compras_mes2[[#This Row],[CUIT]]="","-",VLOOKUP(compras_mes2[[#This Row],[CUIT]],Lista_CUIT[#All],4,0)),"CUIT NO CARGADO")</f>
        <v>0</v>
      </c>
      <c r="S114"/>
      <c r="T114"/>
    </row>
    <row r="115" spans="1:20" s="229" customFormat="1" x14ac:dyDescent="0.3">
      <c r="A115"/>
      <c r="B115" s="298">
        <v>44979</v>
      </c>
      <c r="C115" s="250">
        <v>3</v>
      </c>
      <c r="D115" s="297">
        <v>8</v>
      </c>
      <c r="E115" s="252">
        <v>1018</v>
      </c>
      <c r="F115" s="253">
        <v>30517266457</v>
      </c>
      <c r="G115" s="254" t="str">
        <f>IFERROR(IF(compras_mes2[[#This Row],[CUIT]]="","-",VLOOKUP(compras_mes2[[#This Row],[CUIT]],Lista_CUIT[#All],2,0)),"CUIT NO CARGADO")</f>
        <v>BOLSAFILM S.A.</v>
      </c>
      <c r="H115" s="255">
        <v>-1999.2</v>
      </c>
      <c r="I115" s="256">
        <f>IF(compras_mes2[[#This Row],[NETO GRAVADO]]="","",compras_mes2[[#This Row],[NETO GRAVADO]]*0.21)</f>
        <v>-419.83199999999999</v>
      </c>
      <c r="J115" s="256"/>
      <c r="K115" s="256"/>
      <c r="L115" s="256"/>
      <c r="M115" s="256"/>
      <c r="N115" s="256"/>
      <c r="O115" s="256"/>
      <c r="P115" s="257">
        <f>SUM(compras_mes2[[#This Row],[NETO GRAVADO]:[Otros / No Grav.]])</f>
        <v>-2419.0320000000002</v>
      </c>
      <c r="Q115" s="258">
        <f>IFERROR(IF(compras_mes2[[#This Row],[CUIT]]="","-",VLOOKUP(compras_mes2[[#This Row],[CUIT]],Lista_CUIT[#All],3,0)),"CUIT NO CARGADO")</f>
        <v>0</v>
      </c>
      <c r="R115" s="258">
        <f>IFERROR(IF(compras_mes2[[#This Row],[CUIT]]="","-",VLOOKUP(compras_mes2[[#This Row],[CUIT]],Lista_CUIT[#All],4,0)),"CUIT NO CARGADO")</f>
        <v>0</v>
      </c>
      <c r="S115"/>
      <c r="T115"/>
    </row>
    <row r="116" spans="1:20" s="229" customFormat="1" x14ac:dyDescent="0.3">
      <c r="A116"/>
      <c r="B116" s="259">
        <v>44980</v>
      </c>
      <c r="C116" s="41">
        <v>1</v>
      </c>
      <c r="D116" s="285">
        <v>13</v>
      </c>
      <c r="E116" s="260">
        <v>6357</v>
      </c>
      <c r="F116" s="261">
        <v>33662613199</v>
      </c>
      <c r="G116" s="262" t="str">
        <f>IFERROR(IF(compras_mes2[[#This Row],[CUIT]]="","-",VLOOKUP(compras_mes2[[#This Row],[CUIT]],Lista_CUIT[#All],2,0)),"CUIT NO CARGADO")</f>
        <v>D M H S A</v>
      </c>
      <c r="H116" s="263">
        <v>32090.87</v>
      </c>
      <c r="I116" s="85">
        <f>IF(compras_mes2[[#This Row],[NETO GRAVADO]]="","",compras_mes2[[#This Row],[NETO GRAVADO]]*0.21)</f>
        <v>6739.0826999999999</v>
      </c>
      <c r="J116" s="264"/>
      <c r="K116" s="264"/>
      <c r="L116" s="264"/>
      <c r="M116" s="264"/>
      <c r="N116" s="264"/>
      <c r="O116" s="264"/>
      <c r="P116" s="265">
        <f>SUM(compras_mes2[[#This Row],[NETO GRAVADO]:[Otros / No Grav.]])</f>
        <v>38829.952700000002</v>
      </c>
      <c r="Q116" s="266">
        <f>IFERROR(IF(compras_mes2[[#This Row],[CUIT]]="","-",VLOOKUP(compras_mes2[[#This Row],[CUIT]],Lista_CUIT[#All],3,0)),"CUIT NO CARGADO")</f>
        <v>0</v>
      </c>
      <c r="R116" s="266">
        <f>IFERROR(IF(compras_mes2[[#This Row],[CUIT]]="","-",VLOOKUP(compras_mes2[[#This Row],[CUIT]],Lista_CUIT[#All],4,0)),"CUIT NO CARGADO")</f>
        <v>0</v>
      </c>
      <c r="S116"/>
      <c r="T116"/>
    </row>
    <row r="117" spans="1:20" s="229" customFormat="1" x14ac:dyDescent="0.3">
      <c r="A117"/>
      <c r="B117" s="259">
        <v>44980</v>
      </c>
      <c r="C117" s="41">
        <v>1</v>
      </c>
      <c r="D117" s="285">
        <v>7</v>
      </c>
      <c r="E117" s="260">
        <v>5700</v>
      </c>
      <c r="F117" s="261">
        <v>30715124919</v>
      </c>
      <c r="G117" s="262" t="str">
        <f>IFERROR(IF(compras_mes2[[#This Row],[CUIT]]="","-",VLOOKUP(compras_mes2[[#This Row],[CUIT]],Lista_CUIT[#All],2,0)),"CUIT NO CARGADO")</f>
        <v>CLEAN LAB SRL</v>
      </c>
      <c r="H117" s="263">
        <v>9652.4599999999991</v>
      </c>
      <c r="I117" s="85">
        <f>IF(compras_mes2[[#This Row],[NETO GRAVADO]]="","",compras_mes2[[#This Row],[NETO GRAVADO]]*0.21)</f>
        <v>2027.0165999999997</v>
      </c>
      <c r="J117" s="264"/>
      <c r="K117" s="264"/>
      <c r="L117" s="264"/>
      <c r="M117" s="264"/>
      <c r="N117" s="264"/>
      <c r="O117" s="264"/>
      <c r="P117" s="265">
        <f>SUM(compras_mes2[[#This Row],[NETO GRAVADO]:[Otros / No Grav.]])</f>
        <v>11679.476599999998</v>
      </c>
      <c r="Q117" s="266">
        <f>IFERROR(IF(compras_mes2[[#This Row],[CUIT]]="","-",VLOOKUP(compras_mes2[[#This Row],[CUIT]],Lista_CUIT[#All],3,0)),"CUIT NO CARGADO")</f>
        <v>0</v>
      </c>
      <c r="R117" s="266">
        <f>IFERROR(IF(compras_mes2[[#This Row],[CUIT]]="","-",VLOOKUP(compras_mes2[[#This Row],[CUIT]],Lista_CUIT[#All],4,0)),"CUIT NO CARGADO")</f>
        <v>0</v>
      </c>
      <c r="S117"/>
      <c r="T117"/>
    </row>
    <row r="118" spans="1:20" x14ac:dyDescent="0.3">
      <c r="B118" s="259">
        <v>44980</v>
      </c>
      <c r="C118" s="41">
        <v>1</v>
      </c>
      <c r="D118" s="285">
        <v>6328</v>
      </c>
      <c r="E118" s="260">
        <v>257</v>
      </c>
      <c r="F118" s="261">
        <v>30638485733</v>
      </c>
      <c r="G118" s="262" t="str">
        <f>IFERROR(IF(compras_mes2[[#This Row],[CUIT]]="","-",VLOOKUP(compras_mes2[[#This Row],[CUIT]],Lista_CUIT[#All],2,0)),"CUIT NO CARGADO")</f>
        <v>DABRA SOCIEDAD ANONIMA</v>
      </c>
      <c r="H118" s="263">
        <v>12809.1</v>
      </c>
      <c r="I118" s="85">
        <f>IF(compras_mes2[[#This Row],[NETO GRAVADO]]="","",compras_mes2[[#This Row],[NETO GRAVADO]]*0.21)</f>
        <v>2689.9110000000001</v>
      </c>
      <c r="J118" s="264"/>
      <c r="K118" s="264"/>
      <c r="L118" s="264"/>
      <c r="M118" s="264"/>
      <c r="N118" s="264"/>
      <c r="O118" s="264"/>
      <c r="P118" s="265">
        <f>SUM(compras_mes2[[#This Row],[NETO GRAVADO]:[Otros / No Grav.]])</f>
        <v>15499.011</v>
      </c>
      <c r="Q118" s="266">
        <f>IFERROR(IF(compras_mes2[[#This Row],[CUIT]]="","-",VLOOKUP(compras_mes2[[#This Row],[CUIT]],Lista_CUIT[#All],3,0)),"CUIT NO CARGADO")</f>
        <v>0</v>
      </c>
      <c r="R118" s="266">
        <f>IFERROR(IF(compras_mes2[[#This Row],[CUIT]]="","-",VLOOKUP(compras_mes2[[#This Row],[CUIT]],Lista_CUIT[#All],4,0)),"CUIT NO CARGADO")</f>
        <v>0</v>
      </c>
    </row>
    <row r="119" spans="1:20" x14ac:dyDescent="0.3">
      <c r="B119" s="259">
        <v>44980</v>
      </c>
      <c r="C119" s="41">
        <v>1</v>
      </c>
      <c r="D119" s="285">
        <v>2188</v>
      </c>
      <c r="E119" s="260">
        <v>83815</v>
      </c>
      <c r="F119" s="261">
        <v>30548083156</v>
      </c>
      <c r="G119" s="262" t="str">
        <f>IFERROR(IF(compras_mes2[[#This Row],[CUIT]]="","-",VLOOKUP(compras_mes2[[#This Row],[CUIT]],Lista_CUIT[#All],2,0)),"CUIT NO CARGADO")</f>
        <v>COTO CENTRO INTEGRAL DE COMERCIALIZACION SOCIEDAD ANONIMA</v>
      </c>
      <c r="H119" s="263">
        <v>13454.89</v>
      </c>
      <c r="I119" s="85">
        <v>1916.93</v>
      </c>
      <c r="J119" s="264"/>
      <c r="K119" s="264">
        <v>454.3</v>
      </c>
      <c r="L119" s="264">
        <v>286.92</v>
      </c>
      <c r="M119" s="264"/>
      <c r="N119" s="264">
        <v>601.95000000000005</v>
      </c>
      <c r="O119" s="264"/>
      <c r="P119" s="265">
        <f>SUM(compras_mes2[[#This Row],[NETO GRAVADO]:[Otros / No Grav.]])</f>
        <v>16714.989999999998</v>
      </c>
      <c r="Q119" s="266" t="str">
        <f>IFERROR(IF(compras_mes2[[#This Row],[CUIT]]="","-",VLOOKUP(compras_mes2[[#This Row],[CUIT]],Lista_CUIT[#All],3,0)),"CUIT NO CARGADO")</f>
        <v>GASTOS COMERCIALES</v>
      </c>
      <c r="R119" s="266">
        <f>IFERROR(IF(compras_mes2[[#This Row],[CUIT]]="","-",VLOOKUP(compras_mes2[[#This Row],[CUIT]],Lista_CUIT[#All],4,0)),"CUIT NO CARGADO")</f>
        <v>0</v>
      </c>
    </row>
    <row r="120" spans="1:20" x14ac:dyDescent="0.3">
      <c r="B120" s="259">
        <v>44980</v>
      </c>
      <c r="C120" s="41">
        <v>1</v>
      </c>
      <c r="D120" s="285">
        <v>1</v>
      </c>
      <c r="E120" s="260">
        <v>120</v>
      </c>
      <c r="F120" s="261">
        <v>20077604627</v>
      </c>
      <c r="G120" s="262" t="str">
        <f>IFERROR(IF(compras_mes2[[#This Row],[CUIT]]="","-",VLOOKUP(compras_mes2[[#This Row],[CUIT]],Lista_CUIT[#All],2,0)),"CUIT NO CARGADO")</f>
        <v>OCAÑO ENRIQUE</v>
      </c>
      <c r="H120" s="263">
        <v>111119</v>
      </c>
      <c r="I120" s="85">
        <f>IF(compras_mes2[[#This Row],[NETO GRAVADO]]="","",compras_mes2[[#This Row],[NETO GRAVADO]]*0.21)</f>
        <v>23334.989999999998</v>
      </c>
      <c r="J120" s="264"/>
      <c r="K120" s="264"/>
      <c r="L120" s="264"/>
      <c r="M120" s="264"/>
      <c r="N120" s="264"/>
      <c r="O120" s="264"/>
      <c r="P120" s="265">
        <f>SUM(compras_mes2[[#This Row],[NETO GRAVADO]:[Otros / No Grav.]])</f>
        <v>134453.99</v>
      </c>
      <c r="Q120" s="266">
        <f>IFERROR(IF(compras_mes2[[#This Row],[CUIT]]="","-",VLOOKUP(compras_mes2[[#This Row],[CUIT]],Lista_CUIT[#All],3,0)),"CUIT NO CARGADO")</f>
        <v>0</v>
      </c>
      <c r="R120" s="266">
        <f>IFERROR(IF(compras_mes2[[#This Row],[CUIT]]="","-",VLOOKUP(compras_mes2[[#This Row],[CUIT]],Lista_CUIT[#All],4,0)),"CUIT NO CARGADO")</f>
        <v>0</v>
      </c>
    </row>
    <row r="121" spans="1:20" s="229" customFormat="1" x14ac:dyDescent="0.3">
      <c r="A121"/>
      <c r="B121" s="259">
        <v>44980</v>
      </c>
      <c r="C121" s="41">
        <v>1</v>
      </c>
      <c r="D121" s="285">
        <v>7</v>
      </c>
      <c r="E121" s="260">
        <v>5699</v>
      </c>
      <c r="F121" s="261">
        <v>30715124919</v>
      </c>
      <c r="G121" s="262" t="str">
        <f>IFERROR(IF(compras_mes2[[#This Row],[CUIT]]="","-",VLOOKUP(compras_mes2[[#This Row],[CUIT]],Lista_CUIT[#All],2,0)),"CUIT NO CARGADO")</f>
        <v>CLEAN LAB SRL</v>
      </c>
      <c r="H121" s="263">
        <v>22108.63</v>
      </c>
      <c r="I121" s="85">
        <f>IF(compras_mes2[[#This Row],[NETO GRAVADO]]="","",compras_mes2[[#This Row],[NETO GRAVADO]]*0.21)</f>
        <v>4642.8122999999996</v>
      </c>
      <c r="J121" s="264"/>
      <c r="K121" s="264"/>
      <c r="L121" s="264"/>
      <c r="M121" s="264"/>
      <c r="N121" s="264"/>
      <c r="O121" s="264"/>
      <c r="P121" s="265">
        <f>SUM(compras_mes2[[#This Row],[NETO GRAVADO]:[Otros / No Grav.]])</f>
        <v>26751.442300000002</v>
      </c>
      <c r="Q121" s="266">
        <f>IFERROR(IF(compras_mes2[[#This Row],[CUIT]]="","-",VLOOKUP(compras_mes2[[#This Row],[CUIT]],Lista_CUIT[#All],3,0)),"CUIT NO CARGADO")</f>
        <v>0</v>
      </c>
      <c r="R121" s="266">
        <f>IFERROR(IF(compras_mes2[[#This Row],[CUIT]]="","-",VLOOKUP(compras_mes2[[#This Row],[CUIT]],Lista_CUIT[#All],4,0)),"CUIT NO CARGADO")</f>
        <v>0</v>
      </c>
      <c r="S121"/>
      <c r="T121"/>
    </row>
    <row r="122" spans="1:20" x14ac:dyDescent="0.3">
      <c r="B122" s="259">
        <v>44981</v>
      </c>
      <c r="C122" s="41">
        <v>1</v>
      </c>
      <c r="D122" s="285">
        <v>5</v>
      </c>
      <c r="E122" s="260">
        <v>10660</v>
      </c>
      <c r="F122" s="261">
        <v>20107074989</v>
      </c>
      <c r="G122" s="262" t="str">
        <f>IFERROR(IF(compras_mes2[[#This Row],[CUIT]]="","-",VLOOKUP(compras_mes2[[#This Row],[CUIT]],Lista_CUIT[#All],2,0)),"CUIT NO CARGADO")</f>
        <v>SCALZO OSVALDO NESTOR</v>
      </c>
      <c r="H122" s="263">
        <v>20660.330000000002</v>
      </c>
      <c r="I122" s="85">
        <f>IF(compras_mes2[[#This Row],[NETO GRAVADO]]="","",compras_mes2[[#This Row],[NETO GRAVADO]]*0.21)</f>
        <v>4338.6693000000005</v>
      </c>
      <c r="J122" s="264"/>
      <c r="K122" s="264"/>
      <c r="L122" s="264"/>
      <c r="M122" s="264"/>
      <c r="N122" s="264"/>
      <c r="O122" s="264"/>
      <c r="P122" s="265">
        <f>SUM(compras_mes2[[#This Row],[NETO GRAVADO]:[Otros / No Grav.]])</f>
        <v>24998.999300000003</v>
      </c>
      <c r="Q122" s="266">
        <f>IFERROR(IF(compras_mes2[[#This Row],[CUIT]]="","-",VLOOKUP(compras_mes2[[#This Row],[CUIT]],Lista_CUIT[#All],3,0)),"CUIT NO CARGADO")</f>
        <v>0</v>
      </c>
      <c r="R122" s="266">
        <f>IFERROR(IF(compras_mes2[[#This Row],[CUIT]]="","-",VLOOKUP(compras_mes2[[#This Row],[CUIT]],Lista_CUIT[#All],4,0)),"CUIT NO CARGADO")</f>
        <v>0</v>
      </c>
    </row>
    <row r="123" spans="1:20" x14ac:dyDescent="0.3">
      <c r="B123" s="298">
        <v>44981</v>
      </c>
      <c r="C123" s="250">
        <v>1</v>
      </c>
      <c r="D123" s="297">
        <v>3</v>
      </c>
      <c r="E123" s="299">
        <v>41</v>
      </c>
      <c r="F123" s="300">
        <v>33715993509</v>
      </c>
      <c r="G123" s="301" t="str">
        <f>IFERROR(IF(compras_mes2[[#This Row],[CUIT]]="","-",VLOOKUP(compras_mes2[[#This Row],[CUIT]],Lista_CUIT[#All],2,0)),"CUIT NO CARGADO")</f>
        <v>+Q NATURAL S.A.</v>
      </c>
      <c r="H123" s="302">
        <v>2504.12</v>
      </c>
      <c r="I123" s="256">
        <f>IF(compras_mes2[[#This Row],[NETO GRAVADO]]="","",compras_mes2[[#This Row],[NETO GRAVADO]]*0.21)</f>
        <v>525.86519999999996</v>
      </c>
      <c r="J123" s="303"/>
      <c r="K123" s="303"/>
      <c r="L123" s="303"/>
      <c r="M123" s="303"/>
      <c r="N123" s="303"/>
      <c r="O123" s="303"/>
      <c r="P123" s="305">
        <f>SUM(compras_mes2[[#This Row],[NETO GRAVADO]:[Otros / No Grav.]])</f>
        <v>3029.9852000000001</v>
      </c>
      <c r="Q123" s="304">
        <f>IFERROR(IF(compras_mes2[[#This Row],[CUIT]]="","-",VLOOKUP(compras_mes2[[#This Row],[CUIT]],Lista_CUIT[#All],3,0)),"CUIT NO CARGADO")</f>
        <v>0</v>
      </c>
      <c r="R123" s="304">
        <f>IFERROR(IF(compras_mes2[[#This Row],[CUIT]]="","-",VLOOKUP(compras_mes2[[#This Row],[CUIT]],Lista_CUIT[#All],4,0)),"CUIT NO CARGADO")</f>
        <v>0</v>
      </c>
    </row>
    <row r="124" spans="1:20" x14ac:dyDescent="0.3">
      <c r="B124" s="259">
        <v>44981</v>
      </c>
      <c r="C124" s="41">
        <v>1</v>
      </c>
      <c r="D124" s="285">
        <v>3</v>
      </c>
      <c r="E124" s="260">
        <v>1348</v>
      </c>
      <c r="F124" s="261">
        <v>30715434276</v>
      </c>
      <c r="G124" s="262" t="str">
        <f>IFERROR(IF(compras_mes2[[#This Row],[CUIT]]="","-",VLOOKUP(compras_mes2[[#This Row],[CUIT]],Lista_CUIT[#All],2,0)),"CUIT NO CARGADO")</f>
        <v>BRUAYAFA S.A.</v>
      </c>
      <c r="H124" s="263">
        <v>456750</v>
      </c>
      <c r="I124" s="85">
        <f>IF(compras_mes2[[#This Row],[NETO GRAVADO]]="","",compras_mes2[[#This Row],[NETO GRAVADO]]*0.21)</f>
        <v>95917.5</v>
      </c>
      <c r="J124" s="264"/>
      <c r="K124" s="264"/>
      <c r="L124" s="264"/>
      <c r="M124" s="264"/>
      <c r="N124" s="264"/>
      <c r="O124" s="264"/>
      <c r="P124" s="265">
        <f>SUM(compras_mes2[[#This Row],[NETO GRAVADO]:[Otros / No Grav.]])</f>
        <v>552667.5</v>
      </c>
      <c r="Q124" s="266">
        <f>IFERROR(IF(compras_mes2[[#This Row],[CUIT]]="","-",VLOOKUP(compras_mes2[[#This Row],[CUIT]],Lista_CUIT[#All],3,0)),"CUIT NO CARGADO")</f>
        <v>0</v>
      </c>
      <c r="R124" s="266">
        <f>IFERROR(IF(compras_mes2[[#This Row],[CUIT]]="","-",VLOOKUP(compras_mes2[[#This Row],[CUIT]],Lista_CUIT[#All],4,0)),"CUIT NO CARGADO")</f>
        <v>0</v>
      </c>
    </row>
    <row r="125" spans="1:20" s="286" customFormat="1" x14ac:dyDescent="0.3">
      <c r="A125"/>
      <c r="B125" s="40">
        <v>44981</v>
      </c>
      <c r="C125" s="41">
        <v>1</v>
      </c>
      <c r="D125" s="42">
        <v>2406</v>
      </c>
      <c r="E125" s="43">
        <v>82799</v>
      </c>
      <c r="F125" s="44">
        <v>30708574836</v>
      </c>
      <c r="G125" s="45" t="str">
        <f>IFERROR(IF(compras_mes2[[#This Row],[CUIT]]="","-",VLOOKUP(compras_mes2[[#This Row],[CUIT]],Lista_CUIT[#All],2,0)),"CUIT NO CARGADO")</f>
        <v>CORREO OFICIAL DE LA REPUBLICA ARGENTINA SOCIEDAD ANONIMA</v>
      </c>
      <c r="H125" s="46"/>
      <c r="I125" s="85" t="str">
        <f>IF(compras_mes2[[#This Row],[NETO GRAVADO]]="","",compras_mes2[[#This Row],[NETO GRAVADO]]*0.21)</f>
        <v/>
      </c>
      <c r="J125" s="85"/>
      <c r="K125" s="85"/>
      <c r="L125" s="85"/>
      <c r="M125" s="85"/>
      <c r="N125" s="85"/>
      <c r="O125" s="85">
        <v>1900</v>
      </c>
      <c r="P125" s="48">
        <f>SUM(compras_mes2[[#This Row],[NETO GRAVADO]:[Otros / No Grav.]])</f>
        <v>1900</v>
      </c>
      <c r="Q125" s="49" t="str">
        <f>IFERROR(IF(compras_mes2[[#This Row],[CUIT]]="","-",VLOOKUP(compras_mes2[[#This Row],[CUIT]],Lista_CUIT[#All],3,0)),"CUIT NO CARGADO")</f>
        <v>MESAJERIA</v>
      </c>
      <c r="R125" s="49">
        <f>IFERROR(IF(compras_mes2[[#This Row],[CUIT]]="","-",VLOOKUP(compras_mes2[[#This Row],[CUIT]],Lista_CUIT[#All],4,0)),"CUIT NO CARGADO")</f>
        <v>0</v>
      </c>
      <c r="S125"/>
      <c r="T125"/>
    </row>
    <row r="126" spans="1:20" s="286" customFormat="1" x14ac:dyDescent="0.3">
      <c r="A126"/>
      <c r="B126" s="40">
        <v>44981</v>
      </c>
      <c r="C126" s="41">
        <v>1</v>
      </c>
      <c r="D126" s="42">
        <v>2406</v>
      </c>
      <c r="E126" s="43">
        <v>82801</v>
      </c>
      <c r="F126" s="44">
        <v>30708574836</v>
      </c>
      <c r="G126" s="45" t="str">
        <f>IFERROR(IF(compras_mes2[[#This Row],[CUIT]]="","-",VLOOKUP(compras_mes2[[#This Row],[CUIT]],Lista_CUIT[#All],2,0)),"CUIT NO CARGADO")</f>
        <v>CORREO OFICIAL DE LA REPUBLICA ARGENTINA SOCIEDAD ANONIMA</v>
      </c>
      <c r="H126" s="46"/>
      <c r="I126" s="85" t="str">
        <f>IF(compras_mes2[[#This Row],[NETO GRAVADO]]="","",compras_mes2[[#This Row],[NETO GRAVADO]]*0.21)</f>
        <v/>
      </c>
      <c r="J126" s="85"/>
      <c r="K126" s="85"/>
      <c r="L126" s="85"/>
      <c r="M126" s="85"/>
      <c r="N126" s="85"/>
      <c r="O126" s="85">
        <v>1900</v>
      </c>
      <c r="P126" s="48">
        <f>SUM(compras_mes2[[#This Row],[NETO GRAVADO]:[Otros / No Grav.]])</f>
        <v>1900</v>
      </c>
      <c r="Q126" s="49" t="str">
        <f>IFERROR(IF(compras_mes2[[#This Row],[CUIT]]="","-",VLOOKUP(compras_mes2[[#This Row],[CUIT]],Lista_CUIT[#All],3,0)),"CUIT NO CARGADO")</f>
        <v>MESAJERIA</v>
      </c>
      <c r="R126" s="49">
        <f>IFERROR(IF(compras_mes2[[#This Row],[CUIT]]="","-",VLOOKUP(compras_mes2[[#This Row],[CUIT]],Lista_CUIT[#All],4,0)),"CUIT NO CARGADO")</f>
        <v>0</v>
      </c>
      <c r="S126"/>
      <c r="T126"/>
    </row>
    <row r="127" spans="1:20" s="286" customFormat="1" x14ac:dyDescent="0.3">
      <c r="A127"/>
      <c r="B127" s="259">
        <v>44982</v>
      </c>
      <c r="C127" s="41">
        <v>1</v>
      </c>
      <c r="D127" s="285">
        <v>2199</v>
      </c>
      <c r="E127" s="260">
        <v>20632</v>
      </c>
      <c r="F127" s="261">
        <v>30548083156</v>
      </c>
      <c r="G127" s="262" t="str">
        <f>IFERROR(IF(compras_mes2[[#This Row],[CUIT]]="","-",VLOOKUP(compras_mes2[[#This Row],[CUIT]],Lista_CUIT[#All],2,0)),"CUIT NO CARGADO")</f>
        <v>COTO CENTRO INTEGRAL DE COMERCIALIZACION SOCIEDAD ANONIMA</v>
      </c>
      <c r="H127" s="263">
        <v>9134.8799999999992</v>
      </c>
      <c r="I127" s="85">
        <v>1623.61</v>
      </c>
      <c r="J127" s="264"/>
      <c r="K127" s="264">
        <v>147.36000000000001</v>
      </c>
      <c r="L127" s="264">
        <v>231.94</v>
      </c>
      <c r="M127" s="264"/>
      <c r="N127" s="264">
        <v>548.09</v>
      </c>
      <c r="O127" s="264"/>
      <c r="P127" s="265">
        <f>SUM(compras_mes2[[#This Row],[NETO GRAVADO]:[Otros / No Grav.]])</f>
        <v>11685.880000000001</v>
      </c>
      <c r="Q127" s="266" t="str">
        <f>IFERROR(IF(compras_mes2[[#This Row],[CUIT]]="","-",VLOOKUP(compras_mes2[[#This Row],[CUIT]],Lista_CUIT[#All],3,0)),"CUIT NO CARGADO")</f>
        <v>GASTOS COMERCIALES</v>
      </c>
      <c r="R127" s="266">
        <f>IFERROR(IF(compras_mes2[[#This Row],[CUIT]]="","-",VLOOKUP(compras_mes2[[#This Row],[CUIT]],Lista_CUIT[#All],4,0)),"CUIT NO CARGADO")</f>
        <v>0</v>
      </c>
      <c r="S127"/>
      <c r="T127"/>
    </row>
    <row r="128" spans="1:20" s="286" customFormat="1" x14ac:dyDescent="0.3">
      <c r="A128"/>
      <c r="B128" s="40">
        <v>44982</v>
      </c>
      <c r="C128" s="41">
        <v>1</v>
      </c>
      <c r="D128" s="42">
        <v>12</v>
      </c>
      <c r="E128" s="43">
        <v>18416</v>
      </c>
      <c r="F128" s="44">
        <v>30696131003</v>
      </c>
      <c r="G128" s="45" t="str">
        <f>IFERROR(IF(compras_mes2[[#This Row],[CUIT]]="","-",VLOOKUP(compras_mes2[[#This Row],[CUIT]],Lista_CUIT[#All],2,0)),"CUIT NO CARGADO")</f>
        <v>Petrolfe S.A.</v>
      </c>
      <c r="H128" s="46">
        <v>11097.24</v>
      </c>
      <c r="I128" s="85">
        <f>IF(compras_mes2[[#This Row],[NETO GRAVADO]]="","",compras_mes2[[#This Row],[NETO GRAVADO]]*0.21)</f>
        <v>2330.4204</v>
      </c>
      <c r="J128" s="85"/>
      <c r="K128" s="85"/>
      <c r="L128" s="85"/>
      <c r="M128" s="85"/>
      <c r="N128" s="85"/>
      <c r="O128" s="85">
        <v>2313.09</v>
      </c>
      <c r="P128" s="48">
        <f>SUM(compras_mes2[[#This Row],[NETO GRAVADO]:[Otros / No Grav.]])</f>
        <v>15740.750400000001</v>
      </c>
      <c r="Q128" s="49" t="str">
        <f>IFERROR(IF(compras_mes2[[#This Row],[CUIT]]="","-",VLOOKUP(compras_mes2[[#This Row],[CUIT]],Lista_CUIT[#All],3,0)),"CUIT NO CARGADO")</f>
        <v>Combustible</v>
      </c>
      <c r="R128" s="49">
        <f>IFERROR(IF(compras_mes2[[#This Row],[CUIT]]="","-",VLOOKUP(compras_mes2[[#This Row],[CUIT]],Lista_CUIT[#All],4,0)),"CUIT NO CARGADO")</f>
        <v>0</v>
      </c>
      <c r="S128"/>
      <c r="T128"/>
    </row>
    <row r="129" spans="1:20" s="286" customFormat="1" x14ac:dyDescent="0.3">
      <c r="A129"/>
      <c r="B129" s="259">
        <v>44984</v>
      </c>
      <c r="C129" s="41">
        <v>1</v>
      </c>
      <c r="D129" s="285">
        <v>7</v>
      </c>
      <c r="E129" s="260">
        <v>947</v>
      </c>
      <c r="F129" s="261">
        <v>20134664518</v>
      </c>
      <c r="G129" s="262" t="str">
        <f>IFERROR(IF(compras_mes2[[#This Row],[CUIT]]="","-",VLOOKUP(compras_mes2[[#This Row],[CUIT]],Lista_CUIT[#All],2,0)),"CUIT NO CARGADO")</f>
        <v>HOKAMA SERGIO ENRIQUE</v>
      </c>
      <c r="H129" s="263">
        <v>2520.87</v>
      </c>
      <c r="I129" s="85">
        <f>IF(compras_mes2[[#This Row],[NETO GRAVADO]]="","",compras_mes2[[#This Row],[NETO GRAVADO]]*0.21)</f>
        <v>529.3827</v>
      </c>
      <c r="J129" s="264"/>
      <c r="K129" s="264"/>
      <c r="L129" s="264"/>
      <c r="M129" s="264"/>
      <c r="N129" s="264"/>
      <c r="O129" s="264"/>
      <c r="P129" s="265">
        <f>SUM(compras_mes2[[#This Row],[NETO GRAVADO]:[Otros / No Grav.]])</f>
        <v>3050.2527</v>
      </c>
      <c r="Q129" s="266" t="str">
        <f>IFERROR(IF(compras_mes2[[#This Row],[CUIT]]="","-",VLOOKUP(compras_mes2[[#This Row],[CUIT]],Lista_CUIT[#All],3,0)),"CUIT NO CARGADO")</f>
        <v>Gastos Varios</v>
      </c>
      <c r="R129" s="266" t="str">
        <f>IFERROR(IF(compras_mes2[[#This Row],[CUIT]]="","-",VLOOKUP(compras_mes2[[#This Row],[CUIT]],Lista_CUIT[#All],4,0)),"CUIT NO CARGADO")</f>
        <v>BUENOS AIRES</v>
      </c>
      <c r="S129"/>
      <c r="T129"/>
    </row>
    <row r="130" spans="1:20" s="286" customFormat="1" x14ac:dyDescent="0.3">
      <c r="A130"/>
      <c r="B130" s="259">
        <v>44984</v>
      </c>
      <c r="C130" s="41">
        <v>1</v>
      </c>
      <c r="D130" s="285">
        <v>6</v>
      </c>
      <c r="E130" s="260">
        <v>8167</v>
      </c>
      <c r="F130" s="261">
        <v>33710167309</v>
      </c>
      <c r="G130" s="262" t="str">
        <f>IFERROR(IF(compras_mes2[[#This Row],[CUIT]]="","-",VLOOKUP(compras_mes2[[#This Row],[CUIT]],Lista_CUIT[#All],2,0)),"CUIT NO CARGADO")</f>
        <v>MAT. ESCO SA</v>
      </c>
      <c r="H130" s="263">
        <v>3413.29</v>
      </c>
      <c r="I130" s="85">
        <f>IF(compras_mes2[[#This Row],[NETO GRAVADO]]="","",compras_mes2[[#This Row],[NETO GRAVADO]]*0.21)</f>
        <v>716.79089999999997</v>
      </c>
      <c r="J130" s="264"/>
      <c r="K130" s="264"/>
      <c r="L130" s="264"/>
      <c r="M130" s="264"/>
      <c r="N130" s="264"/>
      <c r="O130" s="264"/>
      <c r="P130" s="265">
        <f>SUM(compras_mes2[[#This Row],[NETO GRAVADO]:[Otros / No Grav.]])</f>
        <v>4130.0808999999999</v>
      </c>
      <c r="Q130" s="266">
        <f>IFERROR(IF(compras_mes2[[#This Row],[CUIT]]="","-",VLOOKUP(compras_mes2[[#This Row],[CUIT]],Lista_CUIT[#All],3,0)),"CUIT NO CARGADO")</f>
        <v>0</v>
      </c>
      <c r="R130" s="266">
        <f>IFERROR(IF(compras_mes2[[#This Row],[CUIT]]="","-",VLOOKUP(compras_mes2[[#This Row],[CUIT]],Lista_CUIT[#All],4,0)),"CUIT NO CARGADO")</f>
        <v>0</v>
      </c>
      <c r="S130"/>
      <c r="T130"/>
    </row>
    <row r="131" spans="1:20" s="286" customFormat="1" x14ac:dyDescent="0.3">
      <c r="A131"/>
      <c r="B131" s="259">
        <v>44984</v>
      </c>
      <c r="C131" s="41">
        <v>1</v>
      </c>
      <c r="D131" s="285">
        <v>5</v>
      </c>
      <c r="E131" s="260">
        <v>278</v>
      </c>
      <c r="F131" s="261">
        <v>30716654105</v>
      </c>
      <c r="G131" s="262" t="str">
        <f>IFERROR(IF(compras_mes2[[#This Row],[CUIT]]="","-",VLOOKUP(compras_mes2[[#This Row],[CUIT]],Lista_CUIT[#All],2,0)),"CUIT NO CARGADO")</f>
        <v>CARNICA DEL NORTE S.R.L.</v>
      </c>
      <c r="H131" s="263">
        <v>13604.67</v>
      </c>
      <c r="I131" s="85"/>
      <c r="J131" s="264"/>
      <c r="K131" s="264">
        <v>1428.49</v>
      </c>
      <c r="L131" s="264"/>
      <c r="M131" s="264"/>
      <c r="N131" s="264"/>
      <c r="O131" s="264"/>
      <c r="P131" s="265">
        <f>SUM(compras_mes2[[#This Row],[NETO GRAVADO]:[Otros / No Grav.]])</f>
        <v>15033.16</v>
      </c>
      <c r="Q131" s="266">
        <f>IFERROR(IF(compras_mes2[[#This Row],[CUIT]]="","-",VLOOKUP(compras_mes2[[#This Row],[CUIT]],Lista_CUIT[#All],3,0)),"CUIT NO CARGADO")</f>
        <v>0</v>
      </c>
      <c r="R131" s="266">
        <f>IFERROR(IF(compras_mes2[[#This Row],[CUIT]]="","-",VLOOKUP(compras_mes2[[#This Row],[CUIT]],Lista_CUIT[#All],4,0)),"CUIT NO CARGADO")</f>
        <v>0</v>
      </c>
      <c r="S131"/>
      <c r="T131"/>
    </row>
    <row r="132" spans="1:20" s="286" customFormat="1" x14ac:dyDescent="0.3">
      <c r="A132"/>
      <c r="B132" s="40">
        <v>44984</v>
      </c>
      <c r="C132" s="41">
        <v>1</v>
      </c>
      <c r="D132" s="42">
        <v>2</v>
      </c>
      <c r="E132" s="43">
        <v>3275</v>
      </c>
      <c r="F132" s="44">
        <v>30629863571</v>
      </c>
      <c r="G132" s="45" t="str">
        <f>IFERROR(IF(compras_mes2[[#This Row],[CUIT]]="","-",VLOOKUP(compras_mes2[[#This Row],[CUIT]],Lista_CUIT[#All],2,0)),"CUIT NO CARGADO")</f>
        <v>TECNIMAR S R L</v>
      </c>
      <c r="H132" s="46">
        <v>635306.78</v>
      </c>
      <c r="I132" s="85">
        <f>IF(compras_mes2[[#This Row],[NETO GRAVADO]]="","",compras_mes2[[#This Row],[NETO GRAVADO]]*0.21)</f>
        <v>133414.42379999999</v>
      </c>
      <c r="J132" s="85"/>
      <c r="K132" s="85"/>
      <c r="L132" s="85"/>
      <c r="M132" s="85"/>
      <c r="N132" s="85"/>
      <c r="O132" s="85"/>
      <c r="P132" s="48">
        <f>SUM(compras_mes2[[#This Row],[NETO GRAVADO]:[Otros / No Grav.]])</f>
        <v>768721.20380000002</v>
      </c>
      <c r="Q132" s="49" t="str">
        <f>IFERROR(IF(compras_mes2[[#This Row],[CUIT]]="","-",VLOOKUP(compras_mes2[[#This Row],[CUIT]],Lista_CUIT[#All],3,0)),"CUIT NO CARGADO")</f>
        <v>LABORATORIO</v>
      </c>
      <c r="R132" s="49">
        <f>IFERROR(IF(compras_mes2[[#This Row],[CUIT]]="","-",VLOOKUP(compras_mes2[[#This Row],[CUIT]],Lista_CUIT[#All],4,0)),"CUIT NO CARGADO")</f>
        <v>0</v>
      </c>
      <c r="S132"/>
      <c r="T132"/>
    </row>
    <row r="133" spans="1:20" s="286" customFormat="1" x14ac:dyDescent="0.3">
      <c r="A133"/>
      <c r="B133" s="40">
        <v>44984</v>
      </c>
      <c r="C133" s="41">
        <v>1</v>
      </c>
      <c r="D133" s="42">
        <v>7</v>
      </c>
      <c r="E133" s="43">
        <v>9865</v>
      </c>
      <c r="F133" s="44">
        <v>30712450327</v>
      </c>
      <c r="G133" s="45" t="str">
        <f>IFERROR(IF(compras_mes2[[#This Row],[CUIT]]="","-",VLOOKUP(compras_mes2[[#This Row],[CUIT]],Lista_CUIT[#All],2,0)),"CUIT NO CARGADO")</f>
        <v>MANDOLA HERMANOS SA</v>
      </c>
      <c r="H133" s="46">
        <v>4099.75</v>
      </c>
      <c r="I133" s="85">
        <f>IF(compras_mes2[[#This Row],[NETO GRAVADO]]="","",compras_mes2[[#This Row],[NETO GRAVADO]]*0.21)</f>
        <v>860.94749999999999</v>
      </c>
      <c r="J133" s="85"/>
      <c r="K133" s="85"/>
      <c r="L133" s="85"/>
      <c r="M133" s="85"/>
      <c r="N133" s="85"/>
      <c r="O133" s="85">
        <v>739.19</v>
      </c>
      <c r="P133" s="48">
        <f>SUM(compras_mes2[[#This Row],[NETO GRAVADO]:[Otros / No Grav.]])</f>
        <v>5699.8875000000007</v>
      </c>
      <c r="Q133" s="49" t="str">
        <f>IFERROR(IF(compras_mes2[[#This Row],[CUIT]]="","-",VLOOKUP(compras_mes2[[#This Row],[CUIT]],Lista_CUIT[#All],3,0)),"CUIT NO CARGADO")</f>
        <v>COMBUSTIBLE</v>
      </c>
      <c r="R133" s="49">
        <f>IFERROR(IF(compras_mes2[[#This Row],[CUIT]]="","-",VLOOKUP(compras_mes2[[#This Row],[CUIT]],Lista_CUIT[#All],4,0)),"CUIT NO CARGADO")</f>
        <v>0</v>
      </c>
      <c r="S133"/>
      <c r="T133"/>
    </row>
    <row r="134" spans="1:20" s="286" customFormat="1" x14ac:dyDescent="0.3">
      <c r="A134"/>
      <c r="B134" s="40">
        <v>44984</v>
      </c>
      <c r="C134" s="41">
        <v>1</v>
      </c>
      <c r="D134" s="42">
        <v>20</v>
      </c>
      <c r="E134" s="43">
        <v>7557</v>
      </c>
      <c r="F134" s="44">
        <v>30515800219</v>
      </c>
      <c r="G134" s="45" t="str">
        <f>IFERROR(IF(compras_mes2[[#This Row],[CUIT]]="","-",VLOOKUP(compras_mes2[[#This Row],[CUIT]],Lista_CUIT[#All],2,0)),"CUIT NO CARGADO")</f>
        <v>INCAT SRL</v>
      </c>
      <c r="H134" s="46">
        <v>252.33</v>
      </c>
      <c r="I134" s="85">
        <f>IF(compras_mes2[[#This Row],[NETO GRAVADO]]="","",compras_mes2[[#This Row],[NETO GRAVADO]]*0.21)</f>
        <v>52.9893</v>
      </c>
      <c r="J134" s="85"/>
      <c r="K134" s="85"/>
      <c r="L134" s="85"/>
      <c r="M134" s="85"/>
      <c r="N134" s="85"/>
      <c r="O134" s="85">
        <v>4.68</v>
      </c>
      <c r="P134" s="48">
        <f>SUM(compras_mes2[[#This Row],[NETO GRAVADO]:[Otros / No Grav.]])</f>
        <v>309.99930000000001</v>
      </c>
      <c r="Q134" s="49" t="str">
        <f>IFERROR(IF(compras_mes2[[#This Row],[CUIT]]="","-",VLOOKUP(compras_mes2[[#This Row],[CUIT]],Lista_CUIT[#All],3,0)),"CUIT NO CARGADO")</f>
        <v>Combustibe</v>
      </c>
      <c r="R134" s="49" t="str">
        <f>IFERROR(IF(compras_mes2[[#This Row],[CUIT]]="","-",VLOOKUP(compras_mes2[[#This Row],[CUIT]],Lista_CUIT[#All],4,0)),"CUIT NO CARGADO")</f>
        <v>CABA</v>
      </c>
      <c r="S134"/>
      <c r="T134"/>
    </row>
    <row r="135" spans="1:20" s="286" customFormat="1" x14ac:dyDescent="0.3">
      <c r="A135"/>
      <c r="B135" s="259">
        <v>44985</v>
      </c>
      <c r="C135" s="41">
        <v>1</v>
      </c>
      <c r="D135" s="285">
        <v>4</v>
      </c>
      <c r="E135" s="260">
        <v>4666</v>
      </c>
      <c r="F135" s="261">
        <v>20283638783</v>
      </c>
      <c r="G135" s="262" t="str">
        <f>IFERROR(IF(compras_mes2[[#This Row],[CUIT]]="","-",VLOOKUP(compras_mes2[[#This Row],[CUIT]],Lista_CUIT[#All],2,0)),"CUIT NO CARGADO")</f>
        <v>GONZALEZ ALBERTO DANIEL</v>
      </c>
      <c r="H135" s="263">
        <v>7227.62</v>
      </c>
      <c r="I135" s="85">
        <f>IF(compras_mes2[[#This Row],[NETO GRAVADO]]="","",compras_mes2[[#This Row],[NETO GRAVADO]]*0.21)</f>
        <v>1517.8001999999999</v>
      </c>
      <c r="J135" s="264"/>
      <c r="K135" s="264"/>
      <c r="L135" s="264"/>
      <c r="M135" s="264"/>
      <c r="N135" s="264"/>
      <c r="O135" s="264"/>
      <c r="P135" s="265">
        <f>SUM(compras_mes2[[#This Row],[NETO GRAVADO]:[Otros / No Grav.]])</f>
        <v>8745.4202000000005</v>
      </c>
      <c r="Q135" s="266">
        <f>IFERROR(IF(compras_mes2[[#This Row],[CUIT]]="","-",VLOOKUP(compras_mes2[[#This Row],[CUIT]],Lista_CUIT[#All],3,0)),"CUIT NO CARGADO")</f>
        <v>0</v>
      </c>
      <c r="R135" s="266">
        <f>IFERROR(IF(compras_mes2[[#This Row],[CUIT]]="","-",VLOOKUP(compras_mes2[[#This Row],[CUIT]],Lista_CUIT[#All],4,0)),"CUIT NO CARGADO")</f>
        <v>0</v>
      </c>
      <c r="S135"/>
      <c r="T135"/>
    </row>
    <row r="136" spans="1:20" s="286" customFormat="1" x14ac:dyDescent="0.3">
      <c r="A136"/>
      <c r="B136" s="298">
        <v>44985</v>
      </c>
      <c r="C136" s="250">
        <v>1</v>
      </c>
      <c r="D136" s="297">
        <v>4</v>
      </c>
      <c r="E136" s="299">
        <v>1877</v>
      </c>
      <c r="F136" s="300">
        <v>30715946250</v>
      </c>
      <c r="G136" s="301" t="str">
        <f>IFERROR(IF(compras_mes2[[#This Row],[CUIT]]="","-",VLOOKUP(compras_mes2[[#This Row],[CUIT]],Lista_CUIT[#All],2,0)),"CUIT NO CARGADO")</f>
        <v>GLOBAL AESTHETICS PRODUCTS AND SERVICES SRL</v>
      </c>
      <c r="H136" s="302">
        <v>2071078.4</v>
      </c>
      <c r="I136" s="256">
        <f>IF(compras_mes2[[#This Row],[NETO GRAVADO]]="","",compras_mes2[[#This Row],[NETO GRAVADO]]*0.21)</f>
        <v>434926.46399999998</v>
      </c>
      <c r="J136" s="303"/>
      <c r="K136" s="303"/>
      <c r="L136" s="303"/>
      <c r="M136" s="303"/>
      <c r="N136" s="303"/>
      <c r="O136" s="303"/>
      <c r="P136" s="305">
        <f>SUM(compras_mes2[[#This Row],[NETO GRAVADO]:[Otros / No Grav.]])</f>
        <v>2506004.8640000001</v>
      </c>
      <c r="Q136" s="304" t="str">
        <f>IFERROR(IF(compras_mes2[[#This Row],[CUIT]]="","-",VLOOKUP(compras_mes2[[#This Row],[CUIT]],Lista_CUIT[#All],3,0)),"CUIT NO CARGADO")</f>
        <v>aparatos</v>
      </c>
      <c r="R136" s="304">
        <f>IFERROR(IF(compras_mes2[[#This Row],[CUIT]]="","-",VLOOKUP(compras_mes2[[#This Row],[CUIT]],Lista_CUIT[#All],4,0)),"CUIT NO CARGADO")</f>
        <v>0</v>
      </c>
      <c r="S136"/>
      <c r="T136"/>
    </row>
    <row r="137" spans="1:20" s="286" customFormat="1" x14ac:dyDescent="0.3">
      <c r="A137"/>
      <c r="B137" s="298">
        <v>44985</v>
      </c>
      <c r="C137" s="250">
        <v>1</v>
      </c>
      <c r="D137" s="297">
        <v>3034</v>
      </c>
      <c r="E137" s="299">
        <v>3277530</v>
      </c>
      <c r="F137" s="300">
        <v>30708574836</v>
      </c>
      <c r="G137" s="301" t="str">
        <f>IFERROR(IF(compras_mes2[[#This Row],[CUIT]]="","-",VLOOKUP(compras_mes2[[#This Row],[CUIT]],Lista_CUIT[#All],2,0)),"CUIT NO CARGADO")</f>
        <v>CORREO OFICIAL DE LA REPUBLICA ARGENTINA SOCIEDAD ANONIMA</v>
      </c>
      <c r="H137" s="302">
        <v>981.41</v>
      </c>
      <c r="I137" s="256">
        <f>IF(compras_mes2[[#This Row],[NETO GRAVADO]]="","",compras_mes2[[#This Row],[NETO GRAVADO]]*0.21)</f>
        <v>206.09609999999998</v>
      </c>
      <c r="J137" s="303"/>
      <c r="K137" s="303"/>
      <c r="L137" s="303"/>
      <c r="M137" s="303"/>
      <c r="N137" s="303"/>
      <c r="O137" s="303"/>
      <c r="P137" s="305">
        <f>SUM(compras_mes2[[#This Row],[NETO GRAVADO]:[Otros / No Grav.]])</f>
        <v>1187.5061000000001</v>
      </c>
      <c r="Q137" s="304" t="str">
        <f>IFERROR(IF(compras_mes2[[#This Row],[CUIT]]="","-",VLOOKUP(compras_mes2[[#This Row],[CUIT]],Lista_CUIT[#All],3,0)),"CUIT NO CARGADO")</f>
        <v>MESAJERIA</v>
      </c>
      <c r="R137" s="304">
        <f>IFERROR(IF(compras_mes2[[#This Row],[CUIT]]="","-",VLOOKUP(compras_mes2[[#This Row],[CUIT]],Lista_CUIT[#All],4,0)),"CUIT NO CARGADO")</f>
        <v>0</v>
      </c>
      <c r="S137"/>
      <c r="T137"/>
    </row>
    <row r="138" spans="1:20" s="286" customFormat="1" x14ac:dyDescent="0.3">
      <c r="A138"/>
      <c r="B138" s="259">
        <v>44985</v>
      </c>
      <c r="C138" s="41">
        <v>1</v>
      </c>
      <c r="D138" s="285">
        <v>1676</v>
      </c>
      <c r="E138" s="260">
        <v>16326</v>
      </c>
      <c r="F138" s="261">
        <v>30589621499</v>
      </c>
      <c r="G138" s="262" t="str">
        <f>IFERROR(IF(compras_mes2[[#This Row],[CUIT]]="","-",VLOOKUP(compras_mes2[[#This Row],[CUIT]],Lista_CUIT[#All],2,0)),"CUIT NO CARGADO")</f>
        <v>MAKRO SA</v>
      </c>
      <c r="H138" s="263">
        <v>19889.490000000002</v>
      </c>
      <c r="I138" s="85">
        <v>4001.3</v>
      </c>
      <c r="J138" s="264"/>
      <c r="K138" s="264">
        <v>87.75</v>
      </c>
      <c r="L138" s="264">
        <v>584.15</v>
      </c>
      <c r="M138" s="264"/>
      <c r="N138" s="264">
        <v>1193.3699999999999</v>
      </c>
      <c r="O138" s="264">
        <v>986.14</v>
      </c>
      <c r="P138" s="265">
        <f>SUM(compras_mes2[[#This Row],[NETO GRAVADO]:[Otros / No Grav.]])</f>
        <v>26742.2</v>
      </c>
      <c r="Q138" s="266">
        <f>IFERROR(IF(compras_mes2[[#This Row],[CUIT]]="","-",VLOOKUP(compras_mes2[[#This Row],[CUIT]],Lista_CUIT[#All],3,0)),"CUIT NO CARGADO")</f>
        <v>0</v>
      </c>
      <c r="R138" s="266">
        <f>IFERROR(IF(compras_mes2[[#This Row],[CUIT]]="","-",VLOOKUP(compras_mes2[[#This Row],[CUIT]],Lista_CUIT[#All],4,0)),"CUIT NO CARGADO")</f>
        <v>0</v>
      </c>
      <c r="S138"/>
      <c r="T138"/>
    </row>
    <row r="139" spans="1:20" s="286" customFormat="1" x14ac:dyDescent="0.3">
      <c r="A139"/>
      <c r="B139" s="298">
        <v>44985</v>
      </c>
      <c r="C139" s="250">
        <v>1</v>
      </c>
      <c r="D139" s="297">
        <v>5</v>
      </c>
      <c r="E139" s="299">
        <v>1125</v>
      </c>
      <c r="F139" s="300">
        <v>30707397256</v>
      </c>
      <c r="G139" s="301" t="str">
        <f>IFERROR(IF(compras_mes2[[#This Row],[CUIT]]="","-",VLOOKUP(compras_mes2[[#This Row],[CUIT]],Lista_CUIT[#All],2,0)),"CUIT NO CARGADO")</f>
        <v>GRAFICA Y FOTOGRABADOS LA PLAZA S.R.L.</v>
      </c>
      <c r="H139" s="302">
        <v>395511.5</v>
      </c>
      <c r="I139" s="256">
        <f>IF(compras_mes2[[#This Row],[NETO GRAVADO]]="","",compras_mes2[[#This Row],[NETO GRAVADO]]*0.21)</f>
        <v>83057.414999999994</v>
      </c>
      <c r="J139" s="303"/>
      <c r="K139" s="303"/>
      <c r="L139" s="303"/>
      <c r="M139" s="303"/>
      <c r="N139" s="303"/>
      <c r="O139" s="303"/>
      <c r="P139" s="305">
        <f>SUM(compras_mes2[[#This Row],[NETO GRAVADO]:[Otros / No Grav.]])</f>
        <v>478568.91499999998</v>
      </c>
      <c r="Q139" s="258">
        <f>IFERROR(IF(compras_mes2[[#This Row],[CUIT]]="","-",VLOOKUP(compras_mes2[[#This Row],[CUIT]],Lista_CUIT[#All],3,0)),"CUIT NO CARGADO")</f>
        <v>0</v>
      </c>
      <c r="R139" s="258">
        <f>IFERROR(IF(compras_mes2[[#This Row],[CUIT]]="","-",VLOOKUP(compras_mes2[[#This Row],[CUIT]],Lista_CUIT[#All],4,0)),"CUIT NO CARGADO")</f>
        <v>0</v>
      </c>
      <c r="S139"/>
      <c r="T139"/>
    </row>
    <row r="140" spans="1:20" s="286" customFormat="1" x14ac:dyDescent="0.3">
      <c r="A140"/>
      <c r="B140" s="298">
        <v>44985</v>
      </c>
      <c r="C140" s="250">
        <v>1</v>
      </c>
      <c r="D140" s="297">
        <v>700</v>
      </c>
      <c r="E140" s="299">
        <v>834129</v>
      </c>
      <c r="F140" s="300">
        <v>30715804812</v>
      </c>
      <c r="G140" s="301" t="str">
        <f>IFERROR(IF(compras_mes2[[#This Row],[CUIT]]="","-",VLOOKUP(compras_mes2[[#This Row],[CUIT]],Lista_CUIT[#All],2,0)),"CUIT NO CARGADO")</f>
        <v>CORREDORES VIALES SOCIEDAD ANONIMA</v>
      </c>
      <c r="H140" s="302">
        <v>1561.98</v>
      </c>
      <c r="I140" s="256">
        <f>IF(compras_mes2[[#This Row],[NETO GRAVADO]]="","",compras_mes2[[#This Row],[NETO GRAVADO]]*0.21)</f>
        <v>328.01580000000001</v>
      </c>
      <c r="J140" s="303"/>
      <c r="K140" s="303"/>
      <c r="L140" s="303"/>
      <c r="M140" s="303"/>
      <c r="N140" s="303"/>
      <c r="O140" s="303"/>
      <c r="P140" s="305">
        <f>SUM(compras_mes2[[#This Row],[NETO GRAVADO]:[Otros / No Grav.]])</f>
        <v>1889.9958000000001</v>
      </c>
      <c r="Q140" s="258">
        <f>IFERROR(IF(compras_mes2[[#This Row],[CUIT]]="","-",VLOOKUP(compras_mes2[[#This Row],[CUIT]],Lista_CUIT[#All],3,0)),"CUIT NO CARGADO")</f>
        <v>0</v>
      </c>
      <c r="R140" s="258">
        <f>IFERROR(IF(compras_mes2[[#This Row],[CUIT]]="","-",VLOOKUP(compras_mes2[[#This Row],[CUIT]],Lista_CUIT[#All],4,0)),"CUIT NO CARGADO")</f>
        <v>0</v>
      </c>
      <c r="S140"/>
      <c r="T140"/>
    </row>
    <row r="141" spans="1:20" s="286" customFormat="1" x14ac:dyDescent="0.3">
      <c r="A141"/>
      <c r="B141" s="40">
        <v>44985</v>
      </c>
      <c r="C141" s="41">
        <v>1</v>
      </c>
      <c r="D141" s="42">
        <v>5</v>
      </c>
      <c r="E141" s="43">
        <v>293</v>
      </c>
      <c r="F141" s="44">
        <v>30716654105</v>
      </c>
      <c r="G141" s="45" t="str">
        <f>IFERROR(IF(compras_mes2[[#This Row],[CUIT]]="","-",VLOOKUP(compras_mes2[[#This Row],[CUIT]],Lista_CUIT[#All],2,0)),"CUIT NO CARGADO")</f>
        <v>CARNICA DEL NORTE S.R.L.</v>
      </c>
      <c r="H141" s="46">
        <v>3003.08</v>
      </c>
      <c r="I141" s="85"/>
      <c r="J141" s="85"/>
      <c r="K141" s="85">
        <f>compras_mes2[[#This Row],[NETO GRAVADO]]*0.105</f>
        <v>315.32339999999999</v>
      </c>
      <c r="L141" s="85"/>
      <c r="M141" s="85"/>
      <c r="N141" s="85"/>
      <c r="O141" s="85"/>
      <c r="P141" s="48">
        <f>SUM(compras_mes2[[#This Row],[NETO GRAVADO]:[Otros / No Grav.]])</f>
        <v>3318.4034000000001</v>
      </c>
      <c r="Q141" s="49">
        <f>IFERROR(IF(compras_mes2[[#This Row],[CUIT]]="","-",VLOOKUP(compras_mes2[[#This Row],[CUIT]],Lista_CUIT[#All],3,0)),"CUIT NO CARGADO")</f>
        <v>0</v>
      </c>
      <c r="R141" s="49">
        <f>IFERROR(IF(compras_mes2[[#This Row],[CUIT]]="","-",VLOOKUP(compras_mes2[[#This Row],[CUIT]],Lista_CUIT[#All],4,0)),"CUIT NO CARGADO")</f>
        <v>0</v>
      </c>
      <c r="S141"/>
      <c r="T141"/>
    </row>
    <row r="142" spans="1:20" s="286" customFormat="1" x14ac:dyDescent="0.3">
      <c r="A142"/>
      <c r="B142" s="40">
        <v>44985</v>
      </c>
      <c r="C142" s="41">
        <v>1</v>
      </c>
      <c r="D142" s="42">
        <v>2</v>
      </c>
      <c r="E142" s="43">
        <v>233</v>
      </c>
      <c r="F142" s="44">
        <v>20262815367</v>
      </c>
      <c r="G142" s="45" t="str">
        <f>IFERROR(IF(compras_mes2[[#This Row],[CUIT]]="","-",VLOOKUP(compras_mes2[[#This Row],[CUIT]],Lista_CUIT[#All],2,0)),"CUIT NO CARGADO")</f>
        <v>CARDARELLO BASAVILBASO FEDERICO JORGE</v>
      </c>
      <c r="H142" s="46">
        <v>3471.08</v>
      </c>
      <c r="I142" s="85">
        <f>IF(compras_mes2[[#This Row],[NETO GRAVADO]]="","",compras_mes2[[#This Row],[NETO GRAVADO]]*0.21)</f>
        <v>728.92679999999996</v>
      </c>
      <c r="J142" s="85"/>
      <c r="K142" s="85"/>
      <c r="L142" s="85"/>
      <c r="M142" s="85"/>
      <c r="N142" s="85"/>
      <c r="O142" s="85"/>
      <c r="P142" s="48">
        <f>SUM(compras_mes2[[#This Row],[NETO GRAVADO]:[Otros / No Grav.]])</f>
        <v>4200.0068000000001</v>
      </c>
      <c r="Q142" s="49" t="str">
        <f>IFERROR(IF(compras_mes2[[#This Row],[CUIT]]="","-",VLOOKUP(compras_mes2[[#This Row],[CUIT]],Lista_CUIT[#All],3,0)),"CUIT NO CARGADO")</f>
        <v>GASTOS VARIOS</v>
      </c>
      <c r="R142" s="49">
        <f>IFERROR(IF(compras_mes2[[#This Row],[CUIT]]="","-",VLOOKUP(compras_mes2[[#This Row],[CUIT]],Lista_CUIT[#All],4,0)),"CUIT NO CARGADO")</f>
        <v>0</v>
      </c>
      <c r="S142"/>
      <c r="T142"/>
    </row>
    <row r="143" spans="1:20" s="286" customFormat="1" x14ac:dyDescent="0.3">
      <c r="A143"/>
      <c r="B143" s="298">
        <v>44985</v>
      </c>
      <c r="C143" s="250">
        <v>2</v>
      </c>
      <c r="D143" s="297">
        <v>7</v>
      </c>
      <c r="E143" s="299">
        <v>1414</v>
      </c>
      <c r="F143" s="300">
        <v>30691617773</v>
      </c>
      <c r="G143" s="301" t="str">
        <f>IFERROR(IF(compras_mes2[[#This Row],[CUIT]]="","-",VLOOKUP(compras_mes2[[#This Row],[CUIT]],Lista_CUIT[#All],2,0)),"CUIT NO CARGADO")</f>
        <v>NOVACHEM S R L</v>
      </c>
      <c r="H143" s="302">
        <v>3464.89</v>
      </c>
      <c r="I143" s="256">
        <f>IF(compras_mes2[[#This Row],[NETO GRAVADO]]="","",compras_mes2[[#This Row],[NETO GRAVADO]]*0.21)</f>
        <v>727.62689999999998</v>
      </c>
      <c r="J143" s="303"/>
      <c r="K143" s="303"/>
      <c r="L143" s="303"/>
      <c r="M143" s="303"/>
      <c r="N143" s="303"/>
      <c r="O143" s="303"/>
      <c r="P143" s="305">
        <f>SUM(compras_mes2[[#This Row],[NETO GRAVADO]:[Otros / No Grav.]])</f>
        <v>4192.5168999999996</v>
      </c>
      <c r="Q143" s="304">
        <f>IFERROR(IF(compras_mes2[[#This Row],[CUIT]]="","-",VLOOKUP(compras_mes2[[#This Row],[CUIT]],Lista_CUIT[#All],3,0)),"CUIT NO CARGADO")</f>
        <v>0</v>
      </c>
      <c r="R143" s="304">
        <f>IFERROR(IF(compras_mes2[[#This Row],[CUIT]]="","-",VLOOKUP(compras_mes2[[#This Row],[CUIT]],Lista_CUIT[#All],4,0)),"CUIT NO CARGADO")</f>
        <v>0</v>
      </c>
      <c r="S143"/>
      <c r="T143"/>
    </row>
    <row r="144" spans="1:20" x14ac:dyDescent="0.3">
      <c r="B144" s="96" t="s">
        <v>103</v>
      </c>
      <c r="C144" s="96"/>
      <c r="D144" s="96"/>
      <c r="E144" s="96"/>
      <c r="F144" s="96"/>
      <c r="G144" s="97"/>
      <c r="H144" s="98">
        <f>SUBTOTAL(109,compras_mes2[NETO GRAVADO])</f>
        <v>14502509.480000002</v>
      </c>
      <c r="I144" s="98">
        <f>SUBTOTAL(109,compras_mes2[IVA 21 %])</f>
        <v>2498641.7429000004</v>
      </c>
      <c r="J144" s="98">
        <f>SUBTOTAL(109,compras_mes2[IVA 27%])</f>
        <v>37579.802600000003</v>
      </c>
      <c r="K144" s="98">
        <f>SUBTOTAL(109,compras_mes2[IVA 10,5%])</f>
        <v>259641.28204999995</v>
      </c>
      <c r="L144" s="98">
        <f>SUBTOTAL(109,compras_mes2[PERC. IVA])</f>
        <v>4738.95</v>
      </c>
      <c r="M144" s="98">
        <f>SUBTOTAL(109,compras_mes2[PERC IIBB 
BS AS])</f>
        <v>55096.42</v>
      </c>
      <c r="N144" s="98">
        <f>SUBTOTAL(109,compras_mes2[PERC. IIBB CABA])</f>
        <v>77938.299999999974</v>
      </c>
      <c r="O144" s="98">
        <f>SUBTOTAL(109,compras_mes2[Otros / No Grav.])</f>
        <v>39613.340000000004</v>
      </c>
      <c r="P144" s="98">
        <f>SUBTOTAL(109,compras_mes2[TOTAL])</f>
        <v>17475759.31755</v>
      </c>
      <c r="Q144" s="96"/>
      <c r="R144" s="96"/>
    </row>
    <row r="145" spans="2:18" x14ac:dyDescent="0.3">
      <c r="B145" s="96"/>
      <c r="C145" s="96"/>
      <c r="D145" s="96"/>
      <c r="E145" s="96"/>
      <c r="F145" s="96"/>
      <c r="G145" s="97"/>
      <c r="H145" s="98"/>
      <c r="I145" s="98"/>
      <c r="J145" s="98"/>
      <c r="K145" s="98"/>
      <c r="L145" s="98"/>
      <c r="M145" s="98"/>
      <c r="N145" s="98"/>
      <c r="O145" s="98"/>
      <c r="P145" s="98"/>
      <c r="Q145" s="96"/>
      <c r="R145" s="96"/>
    </row>
    <row r="146" spans="2:18" x14ac:dyDescent="0.3">
      <c r="B146" s="96"/>
      <c r="C146" s="96"/>
      <c r="D146" s="96"/>
      <c r="E146" s="96"/>
      <c r="F146" s="96"/>
      <c r="G146" s="97"/>
      <c r="H146" s="98"/>
      <c r="I146" s="98"/>
      <c r="J146" s="98"/>
      <c r="K146" s="98"/>
      <c r="L146" s="98"/>
      <c r="M146" s="98"/>
      <c r="N146" s="98"/>
      <c r="O146" s="98"/>
      <c r="P146" s="98"/>
      <c r="Q146" s="96"/>
      <c r="R146" s="96"/>
    </row>
    <row r="147" spans="2:18" x14ac:dyDescent="0.3">
      <c r="B147" s="40"/>
      <c r="C147" s="41"/>
      <c r="D147" s="42"/>
      <c r="E147" s="43"/>
      <c r="F147" s="44"/>
      <c r="G147" s="45"/>
      <c r="H147" s="46"/>
      <c r="I147" s="47"/>
      <c r="J147" s="47"/>
      <c r="K147" s="47"/>
      <c r="L147" s="47"/>
      <c r="M147" s="47"/>
      <c r="N147" s="47"/>
      <c r="O147" s="47"/>
      <c r="P147" s="48"/>
      <c r="Q147" s="49"/>
      <c r="R147" s="49"/>
    </row>
    <row r="148" spans="2:18" ht="21" x14ac:dyDescent="0.3">
      <c r="D148" s="653" t="s">
        <v>15</v>
      </c>
      <c r="E148" s="653"/>
      <c r="F148" s="653"/>
      <c r="G148" s="653"/>
      <c r="H148" s="653"/>
      <c r="I148" s="653"/>
      <c r="J148" s="653"/>
      <c r="K148" s="653"/>
      <c r="L148" s="653"/>
    </row>
    <row r="149" spans="2:18" ht="15.6" x14ac:dyDescent="0.3">
      <c r="D149" s="73" t="s">
        <v>0</v>
      </c>
      <c r="E149" s="74" t="s">
        <v>26</v>
      </c>
      <c r="F149" s="74" t="s">
        <v>16</v>
      </c>
      <c r="G149" s="74" t="s">
        <v>5</v>
      </c>
      <c r="H149" s="74" t="s">
        <v>17</v>
      </c>
      <c r="I149" s="74" t="s">
        <v>7</v>
      </c>
      <c r="J149" s="75" t="s">
        <v>18</v>
      </c>
      <c r="K149" s="75" t="s">
        <v>19</v>
      </c>
      <c r="L149" s="76" t="s">
        <v>20</v>
      </c>
    </row>
    <row r="150" spans="2:18" x14ac:dyDescent="0.3">
      <c r="D150" s="50">
        <v>44985</v>
      </c>
      <c r="E150" s="80">
        <v>230323</v>
      </c>
      <c r="F150" s="359" t="s">
        <v>115</v>
      </c>
      <c r="G150" s="81">
        <v>14580.13</v>
      </c>
      <c r="H150" s="81">
        <v>3061.8272999999995</v>
      </c>
      <c r="I150" s="81"/>
      <c r="J150" s="81"/>
      <c r="K150" s="81">
        <v>259.8</v>
      </c>
      <c r="L150" s="81">
        <v>519.6</v>
      </c>
    </row>
    <row r="151" spans="2:18" x14ac:dyDescent="0.3">
      <c r="D151" s="50">
        <v>44985</v>
      </c>
      <c r="E151" s="80">
        <v>222302</v>
      </c>
      <c r="F151" s="359" t="s">
        <v>1597</v>
      </c>
      <c r="G151" s="81">
        <v>367574.89</v>
      </c>
      <c r="H151" s="81">
        <v>15921.5931</v>
      </c>
      <c r="I151" s="81">
        <v>30634.567000144998</v>
      </c>
      <c r="J151" s="81"/>
      <c r="K151" s="81">
        <v>5850.3699999999981</v>
      </c>
      <c r="L151" s="81">
        <v>217248.44000000009</v>
      </c>
    </row>
    <row r="152" spans="2:18" x14ac:dyDescent="0.3">
      <c r="D152" s="50">
        <v>44985</v>
      </c>
      <c r="E152" s="80">
        <v>293023</v>
      </c>
      <c r="F152" s="359" t="s">
        <v>1598</v>
      </c>
      <c r="G152" s="81">
        <v>20995</v>
      </c>
      <c r="H152" s="81">
        <f>extracto_banco_mes2[[#This Row],[NETO]]*21/100</f>
        <v>4408.95</v>
      </c>
      <c r="I152" s="81"/>
      <c r="J152" s="81"/>
      <c r="K152" s="81"/>
      <c r="L152" s="81">
        <v>629.85</v>
      </c>
    </row>
    <row r="153" spans="2:18" x14ac:dyDescent="0.3">
      <c r="D153" s="50">
        <v>44985</v>
      </c>
      <c r="E153" s="80">
        <v>283023</v>
      </c>
      <c r="F153" s="359" t="s">
        <v>116</v>
      </c>
      <c r="G153" s="81">
        <v>791.03999999999985</v>
      </c>
      <c r="H153" s="81">
        <v>166.11839999999998</v>
      </c>
      <c r="I153" s="81"/>
      <c r="J153" s="81"/>
      <c r="K153" s="81"/>
      <c r="L153" s="81">
        <v>4413.99</v>
      </c>
    </row>
    <row r="154" spans="2:18" x14ac:dyDescent="0.3">
      <c r="D154" s="50">
        <v>44985</v>
      </c>
      <c r="E154" s="80">
        <v>142302</v>
      </c>
      <c r="F154" s="359" t="s">
        <v>1599</v>
      </c>
      <c r="G154" s="81">
        <v>500</v>
      </c>
      <c r="H154" s="81">
        <v>105</v>
      </c>
      <c r="I154" s="81"/>
      <c r="J154" s="81"/>
      <c r="K154" s="81"/>
      <c r="L154" s="81">
        <v>1388.85</v>
      </c>
    </row>
    <row r="155" spans="2:18" x14ac:dyDescent="0.3">
      <c r="D155" s="50">
        <v>44985</v>
      </c>
      <c r="E155" s="80"/>
      <c r="F155" s="359" t="s">
        <v>1600</v>
      </c>
      <c r="G155" s="81"/>
      <c r="H155" s="81"/>
      <c r="I155" s="81"/>
      <c r="J155" s="81"/>
      <c r="K155" s="81"/>
      <c r="L155" s="81"/>
    </row>
    <row r="156" spans="2:18" x14ac:dyDescent="0.3">
      <c r="D156" s="50">
        <v>44985</v>
      </c>
      <c r="E156" s="80">
        <v>230210</v>
      </c>
      <c r="F156" s="359" t="s">
        <v>118</v>
      </c>
      <c r="G156" s="81">
        <v>5625</v>
      </c>
      <c r="H156" s="81">
        <v>1181.25</v>
      </c>
      <c r="I156" s="81"/>
      <c r="J156" s="81"/>
      <c r="K156" s="81" t="s">
        <v>1730</v>
      </c>
      <c r="L156" s="81">
        <v>337.5</v>
      </c>
    </row>
    <row r="157" spans="2:18" x14ac:dyDescent="0.3">
      <c r="D157" s="50">
        <v>44957</v>
      </c>
      <c r="E157" s="80">
        <v>222301</v>
      </c>
      <c r="F157" s="359" t="s">
        <v>1742</v>
      </c>
      <c r="G157" s="81">
        <v>210731.21</v>
      </c>
      <c r="H157" s="81">
        <v>17862.650000000001</v>
      </c>
      <c r="I157" s="81">
        <v>13915.94</v>
      </c>
      <c r="J157" s="81">
        <v>196380.95</v>
      </c>
      <c r="K157" s="81">
        <v>2657.9</v>
      </c>
      <c r="L157" s="81"/>
    </row>
    <row r="158" spans="2:18" x14ac:dyDescent="0.3">
      <c r="D158" s="308" t="s">
        <v>103</v>
      </c>
      <c r="E158" s="309"/>
      <c r="F158" s="309"/>
      <c r="G158" s="310">
        <f>SUBTOTAL(109,extracto_banco_mes2[NETO])</f>
        <v>620797.27</v>
      </c>
      <c r="H158" s="310">
        <f>SUBTOTAL(109,extracto_banco_mes2[IVA 21%])</f>
        <v>42707.388800000001</v>
      </c>
      <c r="I158" s="310">
        <f>SUBTOTAL(109,extracto_banco_mes2[IVA 10,5%])</f>
        <v>44550.507000145</v>
      </c>
      <c r="J158" s="310">
        <f>SUBTOTAL(109,extracto_banco_mes2[RET IIBB CABA])</f>
        <v>196380.95</v>
      </c>
      <c r="K158" s="310">
        <f>SUBTOTAL(109,extracto_banco_mes2[PERC IVA])</f>
        <v>8768.0699999999979</v>
      </c>
      <c r="L158" s="310">
        <f>SUBTOTAL(109,extracto_banco_mes2[PERC IIBB])</f>
        <v>224538.2300000001</v>
      </c>
    </row>
    <row r="159" spans="2:18" x14ac:dyDescent="0.3">
      <c r="D159" s="308"/>
      <c r="E159" s="309"/>
      <c r="F159" s="309"/>
      <c r="G159" s="310"/>
      <c r="H159" s="310"/>
      <c r="I159" s="310"/>
      <c r="J159" s="310"/>
      <c r="K159" s="310"/>
      <c r="L159" s="310"/>
    </row>
    <row r="160" spans="2:18" x14ac:dyDescent="0.3">
      <c r="D160" s="308"/>
      <c r="E160" s="309"/>
      <c r="F160" s="309"/>
      <c r="G160" s="310"/>
      <c r="H160" s="310"/>
      <c r="I160" s="310"/>
      <c r="J160" s="310"/>
      <c r="K160" s="310"/>
      <c r="L160" s="310"/>
    </row>
    <row r="162" spans="4:11" ht="21" x14ac:dyDescent="0.3">
      <c r="D162" s="653" t="s">
        <v>25</v>
      </c>
      <c r="E162" s="653"/>
      <c r="F162" s="653"/>
      <c r="G162" s="653"/>
      <c r="H162" s="653"/>
      <c r="I162" s="653"/>
      <c r="J162" s="653"/>
      <c r="K162" s="653"/>
    </row>
    <row r="163" spans="4:11" x14ac:dyDescent="0.3">
      <c r="D163" s="51" t="s">
        <v>0</v>
      </c>
      <c r="E163" s="51" t="s">
        <v>2</v>
      </c>
      <c r="F163" s="51" t="s">
        <v>74</v>
      </c>
      <c r="G163" s="51" t="s">
        <v>3</v>
      </c>
      <c r="H163" s="51" t="s">
        <v>4</v>
      </c>
      <c r="I163" s="52" t="s">
        <v>10</v>
      </c>
      <c r="J163" s="51" t="s">
        <v>13</v>
      </c>
      <c r="K163" s="51" t="s">
        <v>38</v>
      </c>
    </row>
    <row r="164" spans="4:11" x14ac:dyDescent="0.3">
      <c r="D164" s="50">
        <v>44958</v>
      </c>
      <c r="E164" s="42">
        <v>3</v>
      </c>
      <c r="F164" s="43">
        <v>179</v>
      </c>
      <c r="G164" s="44">
        <v>20173025557</v>
      </c>
      <c r="H164" s="53" t="str">
        <f>IFERROR(IF(factura_c_mes2[[#This Row],[CUIT]]="","-",VLOOKUP(factura_c_mes2[[#This Row],[CUIT]],Lista_CUIT[#All],2,0)),"CUIT NO CARGADO")</f>
        <v>MARAUDA HECTOR</v>
      </c>
      <c r="I164" s="81">
        <v>1000</v>
      </c>
      <c r="J164" s="54">
        <f>IFERROR(IF(factura_c_mes2[[#This Row],[CUIT]]="","-",VLOOKUP(factura_c_mes2[[#This Row],[CUIT]],Lista_CUIT[#All],3,0)),"CUIT NO CARGADO")</f>
        <v>0</v>
      </c>
      <c r="K164" s="54">
        <f>IFERROR(IF(factura_c_mes2[[#This Row],[CUIT]]="","-",VLOOKUP(factura_c_mes2[[#This Row],[CUIT]],Lista_CUIT[#All],4,0)),"CUIT NO CARGADO")</f>
        <v>0</v>
      </c>
    </row>
    <row r="165" spans="4:11" x14ac:dyDescent="0.3">
      <c r="D165" s="50">
        <v>44958</v>
      </c>
      <c r="E165" s="42">
        <v>3</v>
      </c>
      <c r="F165" s="43">
        <v>681</v>
      </c>
      <c r="G165" s="44">
        <v>20086277523</v>
      </c>
      <c r="H165" s="53" t="str">
        <f>IFERROR(IF(factura_c_mes2[[#This Row],[CUIT]]="","-",VLOOKUP(factura_c_mes2[[#This Row],[CUIT]],Lista_CUIT[#All],2,0)),"CUIT NO CARGADO")</f>
        <v>BOTINDARI JUAN CARLOS</v>
      </c>
      <c r="I165" s="81">
        <v>60000</v>
      </c>
      <c r="J165" s="54" t="str">
        <f>IFERROR(IF(factura_c_mes2[[#This Row],[CUIT]]="","-",VLOOKUP(factura_c_mes2[[#This Row],[CUIT]],Lista_CUIT[#All],3,0)),"CUIT NO CARGADO")</f>
        <v>HONORARIOS</v>
      </c>
      <c r="K165" s="54" t="str">
        <f>IFERROR(IF(factura_c_mes2[[#This Row],[CUIT]]="","-",VLOOKUP(factura_c_mes2[[#This Row],[CUIT]],Lista_CUIT[#All],4,0)),"CUIT NO CARGADO")</f>
        <v>CABA</v>
      </c>
    </row>
    <row r="166" spans="4:11" x14ac:dyDescent="0.3">
      <c r="D166" s="50">
        <v>44959</v>
      </c>
      <c r="E166" s="42">
        <v>3</v>
      </c>
      <c r="F166" s="43">
        <v>124</v>
      </c>
      <c r="G166" s="119">
        <v>20226549758</v>
      </c>
      <c r="H166" s="53" t="str">
        <f>IFERROR(IF(factura_c_mes2[[#This Row],[CUIT]]="","-",VLOOKUP(factura_c_mes2[[#This Row],[CUIT]],Lista_CUIT[#All],2,0)),"CUIT NO CARGADO")</f>
        <v>JANEIRO VERONICA BELEN</v>
      </c>
      <c r="I166" s="269">
        <v>70000</v>
      </c>
      <c r="J166" s="54">
        <f>IFERROR(IF(factura_c_mes2[[#This Row],[CUIT]]="","-",VLOOKUP(factura_c_mes2[[#This Row],[CUIT]],Lista_CUIT[#All],3,0)),"CUIT NO CARGADO")</f>
        <v>0</v>
      </c>
      <c r="K166" s="54">
        <f>IFERROR(IF(factura_c_mes2[[#This Row],[CUIT]]="","-",VLOOKUP(factura_c_mes2[[#This Row],[CUIT]],Lista_CUIT[#All],4,0)),"CUIT NO CARGADO")</f>
        <v>0</v>
      </c>
    </row>
    <row r="167" spans="4:11" x14ac:dyDescent="0.3">
      <c r="D167" s="50">
        <v>44961</v>
      </c>
      <c r="E167" s="42">
        <v>2</v>
      </c>
      <c r="F167" s="43">
        <v>258</v>
      </c>
      <c r="G167" s="119">
        <v>20300814094</v>
      </c>
      <c r="H167" s="53" t="str">
        <f>IFERROR(IF(factura_c_mes2[[#This Row],[CUIT]]="","-",VLOOKUP(factura_c_mes2[[#This Row],[CUIT]],Lista_CUIT[#All],2,0)),"CUIT NO CARGADO")</f>
        <v>FARRAPEIRA OSCAR MAXIMO</v>
      </c>
      <c r="I167" s="269">
        <v>75040</v>
      </c>
      <c r="J167" s="54">
        <f>IFERROR(IF(factura_c_mes2[[#This Row],[CUIT]]="","-",VLOOKUP(factura_c_mes2[[#This Row],[CUIT]],Lista_CUIT[#All],3,0)),"CUIT NO CARGADO")</f>
        <v>0</v>
      </c>
      <c r="K167" s="54">
        <f>IFERROR(IF(factura_c_mes2[[#This Row],[CUIT]]="","-",VLOOKUP(factura_c_mes2[[#This Row],[CUIT]],Lista_CUIT[#All],4,0)),"CUIT NO CARGADO")</f>
        <v>0</v>
      </c>
    </row>
    <row r="168" spans="4:11" x14ac:dyDescent="0.3">
      <c r="D168" s="50">
        <v>44963</v>
      </c>
      <c r="E168" s="42">
        <v>3</v>
      </c>
      <c r="F168" s="43">
        <v>324</v>
      </c>
      <c r="G168" s="119">
        <v>20268898221</v>
      </c>
      <c r="H168" s="53" t="str">
        <f>IFERROR(IF(factura_c_mes2[[#This Row],[CUIT]]="","-",VLOOKUP(factura_c_mes2[[#This Row],[CUIT]],Lista_CUIT[#All],2,0)),"CUIT NO CARGADO")</f>
        <v>NAGEL DANIEL ALEJANDRO</v>
      </c>
      <c r="I168" s="269">
        <v>38000</v>
      </c>
      <c r="J168" s="54">
        <f>IFERROR(IF(factura_c_mes2[[#This Row],[CUIT]]="","-",VLOOKUP(factura_c_mes2[[#This Row],[CUIT]],Lista_CUIT[#All],3,0)),"CUIT NO CARGADO")</f>
        <v>0</v>
      </c>
      <c r="K168" s="54">
        <f>IFERROR(IF(factura_c_mes2[[#This Row],[CUIT]]="","-",VLOOKUP(factura_c_mes2[[#This Row],[CUIT]],Lista_CUIT[#All],4,0)),"CUIT NO CARGADO")</f>
        <v>0</v>
      </c>
    </row>
    <row r="169" spans="4:11" x14ac:dyDescent="0.3">
      <c r="D169" s="50">
        <v>44965</v>
      </c>
      <c r="E169" s="42">
        <v>3</v>
      </c>
      <c r="F169" s="43">
        <v>382</v>
      </c>
      <c r="G169" s="44">
        <v>20210551574</v>
      </c>
      <c r="H169" s="53" t="str">
        <f>IFERROR(IF(factura_c_mes2[[#This Row],[CUIT]]="","-",VLOOKUP(factura_c_mes2[[#This Row],[CUIT]],Lista_CUIT[#All],2,0)),"CUIT NO CARGADO")</f>
        <v>REUS JORGE DIEGO</v>
      </c>
      <c r="I169" s="81">
        <v>42000</v>
      </c>
      <c r="J169" s="54" t="str">
        <f>IFERROR(IF(factura_c_mes2[[#This Row],[CUIT]]="","-",VLOOKUP(factura_c_mes2[[#This Row],[CUIT]],Lista_CUIT[#All],3,0)),"CUIT NO CARGADO")</f>
        <v>HONORARIOS PROFESIONALES</v>
      </c>
      <c r="K169" s="54">
        <f>IFERROR(IF(factura_c_mes2[[#This Row],[CUIT]]="","-",VLOOKUP(factura_c_mes2[[#This Row],[CUIT]],Lista_CUIT[#All],4,0)),"CUIT NO CARGADO")</f>
        <v>0</v>
      </c>
    </row>
    <row r="170" spans="4:11" x14ac:dyDescent="0.3">
      <c r="D170" s="50">
        <v>44966</v>
      </c>
      <c r="E170" s="42">
        <v>2</v>
      </c>
      <c r="F170" s="43">
        <v>219</v>
      </c>
      <c r="G170" s="44">
        <v>23319210954</v>
      </c>
      <c r="H170" s="53" t="str">
        <f>IFERROR(IF(factura_c_mes2[[#This Row],[CUIT]]="","-",VLOOKUP(factura_c_mes2[[#This Row],[CUIT]],Lista_CUIT[#All],2,0)),"CUIT NO CARGADO")</f>
        <v>CAFFARATTI ROMINA PAOLA</v>
      </c>
      <c r="I170" s="81">
        <v>22400</v>
      </c>
      <c r="J170" s="54" t="str">
        <f>IFERROR(IF(factura_c_mes2[[#This Row],[CUIT]]="","-",VLOOKUP(factura_c_mes2[[#This Row],[CUIT]],Lista_CUIT[#All],3,0)),"CUIT NO CARGADO")</f>
        <v>HONORARIOS</v>
      </c>
      <c r="K170" s="54">
        <f>IFERROR(IF(factura_c_mes2[[#This Row],[CUIT]]="","-",VLOOKUP(factura_c_mes2[[#This Row],[CUIT]],Lista_CUIT[#All],4,0)),"CUIT NO CARGADO")</f>
        <v>0</v>
      </c>
    </row>
    <row r="171" spans="4:11" x14ac:dyDescent="0.3">
      <c r="D171" s="50">
        <v>44966</v>
      </c>
      <c r="E171" s="42">
        <v>2</v>
      </c>
      <c r="F171" s="43">
        <v>215</v>
      </c>
      <c r="G171" s="44">
        <v>23319210954</v>
      </c>
      <c r="H171" s="53" t="str">
        <f>IFERROR(IF(factura_c_mes2[[#This Row],[CUIT]]="","-",VLOOKUP(factura_c_mes2[[#This Row],[CUIT]],Lista_CUIT[#All],2,0)),"CUIT NO CARGADO")</f>
        <v>CAFFARATTI ROMINA PAOLA</v>
      </c>
      <c r="I171" s="81">
        <v>7300</v>
      </c>
      <c r="J171" s="54" t="str">
        <f>IFERROR(IF(factura_c_mes2[[#This Row],[CUIT]]="","-",VLOOKUP(factura_c_mes2[[#This Row],[CUIT]],Lista_CUIT[#All],3,0)),"CUIT NO CARGADO")</f>
        <v>HONORARIOS</v>
      </c>
      <c r="K171" s="54">
        <f>IFERROR(IF(factura_c_mes2[[#This Row],[CUIT]]="","-",VLOOKUP(factura_c_mes2[[#This Row],[CUIT]],Lista_CUIT[#All],4,0)),"CUIT NO CARGADO")</f>
        <v>0</v>
      </c>
    </row>
    <row r="172" spans="4:11" x14ac:dyDescent="0.3">
      <c r="D172" s="50">
        <v>44967</v>
      </c>
      <c r="E172" s="42">
        <v>3</v>
      </c>
      <c r="F172" s="43">
        <v>35</v>
      </c>
      <c r="G172" s="44">
        <v>23291131204</v>
      </c>
      <c r="H172" s="53" t="str">
        <f>IFERROR(IF(factura_c_mes2[[#This Row],[CUIT]]="","-",VLOOKUP(factura_c_mes2[[#This Row],[CUIT]],Lista_CUIT[#All],2,0)),"CUIT NO CARGADO")</f>
        <v>LOMBARDI LAURA CECILIA</v>
      </c>
      <c r="I172" s="81">
        <v>33600</v>
      </c>
      <c r="J172" s="54">
        <f>IFERROR(IF(factura_c_mes2[[#This Row],[CUIT]]="","-",VLOOKUP(factura_c_mes2[[#This Row],[CUIT]],Lista_CUIT[#All],3,0)),"CUIT NO CARGADO")</f>
        <v>0</v>
      </c>
      <c r="K172" s="54">
        <f>IFERROR(IF(factura_c_mes2[[#This Row],[CUIT]]="","-",VLOOKUP(factura_c_mes2[[#This Row],[CUIT]],Lista_CUIT[#All],4,0)),"CUIT NO CARGADO")</f>
        <v>0</v>
      </c>
    </row>
    <row r="173" spans="4:11" x14ac:dyDescent="0.3">
      <c r="D173" s="50">
        <v>44970</v>
      </c>
      <c r="E173" s="42">
        <v>2</v>
      </c>
      <c r="F173" s="43">
        <v>260</v>
      </c>
      <c r="G173" s="44">
        <v>20300814094</v>
      </c>
      <c r="H173" s="53" t="str">
        <f>IFERROR(IF(factura_c_mes2[[#This Row],[CUIT]]="","-",VLOOKUP(factura_c_mes2[[#This Row],[CUIT]],Lista_CUIT[#All],2,0)),"CUIT NO CARGADO")</f>
        <v>FARRAPEIRA OSCAR MAXIMO</v>
      </c>
      <c r="I173" s="81">
        <v>28560</v>
      </c>
      <c r="J173" s="54">
        <f>IFERROR(IF(factura_c_mes2[[#This Row],[CUIT]]="","-",VLOOKUP(factura_c_mes2[[#This Row],[CUIT]],Lista_CUIT[#All],3,0)),"CUIT NO CARGADO")</f>
        <v>0</v>
      </c>
      <c r="K173" s="54">
        <f>IFERROR(IF(factura_c_mes2[[#This Row],[CUIT]]="","-",VLOOKUP(factura_c_mes2[[#This Row],[CUIT]],Lista_CUIT[#All],4,0)),"CUIT NO CARGADO")</f>
        <v>0</v>
      </c>
    </row>
    <row r="174" spans="4:11" x14ac:dyDescent="0.3">
      <c r="D174" s="50">
        <v>44974</v>
      </c>
      <c r="E174" s="42">
        <v>3</v>
      </c>
      <c r="F174" s="43">
        <v>95</v>
      </c>
      <c r="G174" s="44">
        <v>20174208094</v>
      </c>
      <c r="H174" s="53" t="str">
        <f>IFERROR(IF(factura_c_mes2[[#This Row],[CUIT]]="","-",VLOOKUP(factura_c_mes2[[#This Row],[CUIT]],Lista_CUIT[#All],2,0)),"CUIT NO CARGADO")</f>
        <v>VILLARUEL OSCAR EDUARDO</v>
      </c>
      <c r="I174" s="81">
        <v>77000</v>
      </c>
      <c r="J174" s="54">
        <f>IFERROR(IF(factura_c_mes2[[#This Row],[CUIT]]="","-",VLOOKUP(factura_c_mes2[[#This Row],[CUIT]],Lista_CUIT[#All],3,0)),"CUIT NO CARGADO")</f>
        <v>0</v>
      </c>
      <c r="K174" s="54">
        <f>IFERROR(IF(factura_c_mes2[[#This Row],[CUIT]]="","-",VLOOKUP(factura_c_mes2[[#This Row],[CUIT]],Lista_CUIT[#All],4,0)),"CUIT NO CARGADO")</f>
        <v>0</v>
      </c>
    </row>
    <row r="175" spans="4:11" x14ac:dyDescent="0.3">
      <c r="D175" s="50">
        <v>44979</v>
      </c>
      <c r="E175" s="42">
        <v>1</v>
      </c>
      <c r="F175" s="43">
        <v>22</v>
      </c>
      <c r="G175" s="44">
        <v>27315558706</v>
      </c>
      <c r="H175" s="53" t="str">
        <f>IFERROR(IF(factura_c_mes2[[#This Row],[CUIT]]="","-",VLOOKUP(factura_c_mes2[[#This Row],[CUIT]],Lista_CUIT[#All],2,0)),"CUIT NO CARGADO")</f>
        <v>ARBIT MARIA SOL</v>
      </c>
      <c r="I175" s="81">
        <v>100000</v>
      </c>
      <c r="J175" s="54">
        <f>IFERROR(IF(factura_c_mes2[[#This Row],[CUIT]]="","-",VLOOKUP(factura_c_mes2[[#This Row],[CUIT]],Lista_CUIT[#All],3,0)),"CUIT NO CARGADO")</f>
        <v>0</v>
      </c>
      <c r="K175" s="54">
        <f>IFERROR(IF(factura_c_mes2[[#This Row],[CUIT]]="","-",VLOOKUP(factura_c_mes2[[#This Row],[CUIT]],Lista_CUIT[#All],4,0)),"CUIT NO CARGADO")</f>
        <v>0</v>
      </c>
    </row>
    <row r="176" spans="4:11" x14ac:dyDescent="0.3">
      <c r="D176" s="50">
        <v>44979</v>
      </c>
      <c r="E176" s="42">
        <v>1</v>
      </c>
      <c r="F176" s="43">
        <v>5</v>
      </c>
      <c r="G176" s="44">
        <v>30717223299</v>
      </c>
      <c r="H176" s="53" t="str">
        <f>IFERROR(IF(factura_c_mes2[[#This Row],[CUIT]]="","-",VLOOKUP(factura_c_mes2[[#This Row],[CUIT]],Lista_CUIT[#All],2,0)),"CUIT NO CARGADO")</f>
        <v>ASOCIACION CIVIL DE ESTETICA, PELUQUERIA Y MAQUILLAJE ACEPYM</v>
      </c>
      <c r="I176" s="81">
        <v>307500</v>
      </c>
      <c r="J176" s="54">
        <f>IFERROR(IF(factura_c_mes2[[#This Row],[CUIT]]="","-",VLOOKUP(factura_c_mes2[[#This Row],[CUIT]],Lista_CUIT[#All],3,0)),"CUIT NO CARGADO")</f>
        <v>0</v>
      </c>
      <c r="K176" s="54">
        <f>IFERROR(IF(factura_c_mes2[[#This Row],[CUIT]]="","-",VLOOKUP(factura_c_mes2[[#This Row],[CUIT]],Lista_CUIT[#All],4,0)),"CUIT NO CARGADO")</f>
        <v>0</v>
      </c>
    </row>
    <row r="177" spans="2:18" x14ac:dyDescent="0.3">
      <c r="D177" s="50">
        <v>44984</v>
      </c>
      <c r="E177" s="42">
        <v>8</v>
      </c>
      <c r="F177" s="43">
        <v>212</v>
      </c>
      <c r="G177" s="119">
        <v>27409592487</v>
      </c>
      <c r="H177" s="53" t="str">
        <f>IFERROR(IF(factura_c_mes2[[#This Row],[CUIT]]="","-",VLOOKUP(factura_c_mes2[[#This Row],[CUIT]],Lista_CUIT[#All],2,0)),"CUIT NO CARGADO")</f>
        <v>BAUDONE ANTONELLA AGOSTINA</v>
      </c>
      <c r="I177" s="269">
        <v>26700</v>
      </c>
      <c r="J177" s="54">
        <f>IFERROR(IF(factura_c_mes2[[#This Row],[CUIT]]="","-",VLOOKUP(factura_c_mes2[[#This Row],[CUIT]],Lista_CUIT[#All],3,0)),"CUIT NO CARGADO")</f>
        <v>0</v>
      </c>
      <c r="K177" s="54">
        <f>IFERROR(IF(factura_c_mes2[[#This Row],[CUIT]]="","-",VLOOKUP(factura_c_mes2[[#This Row],[CUIT]],Lista_CUIT[#All],4,0)),"CUIT NO CARGADO")</f>
        <v>0</v>
      </c>
    </row>
    <row r="178" spans="2:18" x14ac:dyDescent="0.3">
      <c r="D178" s="291">
        <v>44985</v>
      </c>
      <c r="E178" s="287">
        <v>2</v>
      </c>
      <c r="F178" s="288">
        <v>1181</v>
      </c>
      <c r="G178" s="292">
        <v>23277121859</v>
      </c>
      <c r="H178" s="293" t="str">
        <f>IFERROR(IF(factura_c_mes2[[#This Row],[CUIT]]="","-",VLOOKUP(factura_c_mes2[[#This Row],[CUIT]],Lista_CUIT[#All],2,0)),"CUIT NO CARGADO")</f>
        <v>BARCELONAMOTOS</v>
      </c>
      <c r="I178" s="294">
        <v>9330</v>
      </c>
      <c r="J178" s="295">
        <f>IFERROR(IF(factura_c_mes2[[#This Row],[CUIT]]="","-",VLOOKUP(factura_c_mes2[[#This Row],[CUIT]],Lista_CUIT[#All],3,0)),"CUIT NO CARGADO")</f>
        <v>0</v>
      </c>
      <c r="K178" s="295">
        <f>IFERROR(IF(factura_c_mes2[[#This Row],[CUIT]]="","-",VLOOKUP(factura_c_mes2[[#This Row],[CUIT]],Lista_CUIT[#All],4,0)),"CUIT NO CARGADO")</f>
        <v>0</v>
      </c>
    </row>
    <row r="179" spans="2:18" x14ac:dyDescent="0.3">
      <c r="C179" t="s">
        <v>1735</v>
      </c>
      <c r="D179" s="291">
        <v>44984</v>
      </c>
      <c r="E179" s="287">
        <v>2600</v>
      </c>
      <c r="F179" s="288">
        <v>34607</v>
      </c>
      <c r="G179" s="292">
        <v>33699685459</v>
      </c>
      <c r="H179" s="293" t="str">
        <f>IFERROR(IF(factura_c_mes2[[#This Row],[CUIT]]="","-",VLOOKUP(factura_c_mes2[[#This Row],[CUIT]],Lista_CUIT[#All],2,0)),"CUIT NO CARGADO")</f>
        <v>CORREO ANDREANI SA</v>
      </c>
      <c r="I179" s="294">
        <v>2137.9499999999998</v>
      </c>
      <c r="J179" s="295" t="str">
        <f>IFERROR(IF(factura_c_mes2[[#This Row],[CUIT]]="","-",VLOOKUP(factura_c_mes2[[#This Row],[CUIT]],Lista_CUIT[#All],3,0)),"CUIT NO CARGADO")</f>
        <v>FLETE</v>
      </c>
      <c r="K179" s="295">
        <f>IFERROR(IF(factura_c_mes2[[#This Row],[CUIT]]="","-",VLOOKUP(factura_c_mes2[[#This Row],[CUIT]],Lista_CUIT[#All],4,0)),"CUIT NO CARGADO")</f>
        <v>0</v>
      </c>
    </row>
    <row r="180" spans="2:18" x14ac:dyDescent="0.3">
      <c r="C180" t="s">
        <v>1735</v>
      </c>
      <c r="D180" s="291">
        <v>44980</v>
      </c>
      <c r="E180" s="287">
        <v>2036</v>
      </c>
      <c r="F180" s="288">
        <v>80786</v>
      </c>
      <c r="G180" s="292">
        <v>30516186670</v>
      </c>
      <c r="H180" s="293" t="str">
        <f>IFERROR(IF(factura_c_mes2[[#This Row],[CUIT]]="","-",VLOOKUP(factura_c_mes2[[#This Row],[CUIT]],Lista_CUIT[#All],2,0)),"CUIT NO CARGADO")</f>
        <v>DEHEZA S.A.I.C.F. e I.</v>
      </c>
      <c r="I180" s="294">
        <v>1197.98</v>
      </c>
      <c r="J180" s="295" t="str">
        <f>IFERROR(IF(factura_c_mes2[[#This Row],[CUIT]]="","-",VLOOKUP(factura_c_mes2[[#This Row],[CUIT]],Lista_CUIT[#All],3,0)),"CUIT NO CARGADO")</f>
        <v>COMBUSTIBLE</v>
      </c>
      <c r="K180" s="295" t="str">
        <f>IFERROR(IF(factura_c_mes2[[#This Row],[CUIT]]="","-",VLOOKUP(factura_c_mes2[[#This Row],[CUIT]],Lista_CUIT[#All],4,0)),"CUIT NO CARGADO")</f>
        <v>CABA</v>
      </c>
    </row>
    <row r="181" spans="2:18" x14ac:dyDescent="0.3">
      <c r="C181" t="s">
        <v>1735</v>
      </c>
      <c r="D181" s="291">
        <v>44970</v>
      </c>
      <c r="E181" s="287">
        <v>2</v>
      </c>
      <c r="F181" s="288">
        <v>9976</v>
      </c>
      <c r="G181" s="289">
        <v>23234730959</v>
      </c>
      <c r="H181" s="293" t="str">
        <f>IFERROR(IF(factura_c_mes2[[#This Row],[CUIT]]="","-",VLOOKUP(factura_c_mes2[[#This Row],[CUIT]],Lista_CUIT[#All],2,0)),"CUIT NO CARGADO")</f>
        <v xml:space="preserve">ENCENDIDO INDEPENDENCIA </v>
      </c>
      <c r="I181" s="296">
        <v>180</v>
      </c>
      <c r="J181" s="295" t="str">
        <f>IFERROR(IF(factura_c_mes2[[#This Row],[CUIT]]="","-",VLOOKUP(factura_c_mes2[[#This Row],[CUIT]],Lista_CUIT[#All],3,0)),"CUIT NO CARGADO")</f>
        <v>SERVICIOS</v>
      </c>
      <c r="K181" s="295">
        <f>IFERROR(IF(factura_c_mes2[[#This Row],[CUIT]]="","-",VLOOKUP(factura_c_mes2[[#This Row],[CUIT]],Lista_CUIT[#All],4,0)),"CUIT NO CARGADO")</f>
        <v>0</v>
      </c>
    </row>
    <row r="182" spans="2:18" x14ac:dyDescent="0.3">
      <c r="C182" t="s">
        <v>1735</v>
      </c>
      <c r="D182" s="291">
        <v>44972</v>
      </c>
      <c r="E182" s="287">
        <v>6</v>
      </c>
      <c r="F182" s="288">
        <v>29913</v>
      </c>
      <c r="G182" s="289">
        <v>30699642777</v>
      </c>
      <c r="H182" s="293" t="str">
        <f>IFERROR(IF(factura_c_mes2[[#This Row],[CUIT]]="","-",VLOOKUP(factura_c_mes2[[#This Row],[CUIT]],Lista_CUIT[#All],2,0)),"CUIT NO CARGADO")</f>
        <v>COMBEC SA</v>
      </c>
      <c r="I182" s="296">
        <v>900</v>
      </c>
      <c r="J182" s="295" t="str">
        <f>IFERROR(IF(factura_c_mes2[[#This Row],[CUIT]]="","-",VLOOKUP(factura_c_mes2[[#This Row],[CUIT]],Lista_CUIT[#All],3,0)),"CUIT NO CARGADO")</f>
        <v>COMBUSTIBLE</v>
      </c>
      <c r="K182" s="295">
        <f>IFERROR(IF(factura_c_mes2[[#This Row],[CUIT]]="","-",VLOOKUP(factura_c_mes2[[#This Row],[CUIT]],Lista_CUIT[#All],4,0)),"CUIT NO CARGADO")</f>
        <v>0</v>
      </c>
    </row>
    <row r="183" spans="2:18" x14ac:dyDescent="0.3">
      <c r="C183" t="s">
        <v>1735</v>
      </c>
      <c r="D183" s="291">
        <v>44958</v>
      </c>
      <c r="E183" s="287">
        <v>2036</v>
      </c>
      <c r="F183" s="288">
        <v>779799</v>
      </c>
      <c r="G183" s="289">
        <v>30516186670</v>
      </c>
      <c r="H183" s="293" t="str">
        <f>IFERROR(IF(factura_c_mes2[[#This Row],[CUIT]]="","-",VLOOKUP(factura_c_mes2[[#This Row],[CUIT]],Lista_CUIT[#All],2,0)),"CUIT NO CARGADO")</f>
        <v>DEHEZA S.A.I.C.F. e I.</v>
      </c>
      <c r="I183" s="296">
        <v>699.98</v>
      </c>
      <c r="J183" s="295" t="str">
        <f>IFERROR(IF(factura_c_mes2[[#This Row],[CUIT]]="","-",VLOOKUP(factura_c_mes2[[#This Row],[CUIT]],Lista_CUIT[#All],3,0)),"CUIT NO CARGADO")</f>
        <v>COMBUSTIBLE</v>
      </c>
      <c r="K183" s="295" t="str">
        <f>IFERROR(IF(factura_c_mes2[[#This Row],[CUIT]]="","-",VLOOKUP(factura_c_mes2[[#This Row],[CUIT]],Lista_CUIT[#All],4,0)),"CUIT NO CARGADO")</f>
        <v>CABA</v>
      </c>
    </row>
    <row r="184" spans="2:18" x14ac:dyDescent="0.3">
      <c r="D184" s="55" t="s">
        <v>103</v>
      </c>
      <c r="E184" s="55"/>
      <c r="F184" s="55"/>
      <c r="G184" s="55"/>
      <c r="H184" s="57"/>
      <c r="I184" s="58">
        <f>SUBTOTAL(109,factura_c_mes2[TOTAL])</f>
        <v>903545.90999999992</v>
      </c>
      <c r="J184" s="55"/>
      <c r="K184" s="55"/>
    </row>
    <row r="185" spans="2:18" x14ac:dyDescent="0.3">
      <c r="B185" s="56"/>
      <c r="C185" s="56"/>
      <c r="L185" s="56"/>
      <c r="M185" s="56"/>
      <c r="N185" s="56"/>
      <c r="O185" s="56"/>
      <c r="P185" s="56"/>
      <c r="Q185" s="56"/>
      <c r="R185" s="56"/>
    </row>
    <row r="190" spans="2:18" ht="25.8" x14ac:dyDescent="0.3">
      <c r="B190" s="661" t="s">
        <v>29</v>
      </c>
      <c r="C190" s="661"/>
      <c r="D190" s="661"/>
      <c r="E190" s="661"/>
      <c r="F190" s="661"/>
      <c r="G190" s="661"/>
      <c r="H190" s="661"/>
      <c r="I190" s="661"/>
      <c r="J190" s="661"/>
      <c r="K190" s="657">
        <f>N1</f>
        <v>44958</v>
      </c>
      <c r="L190" s="657"/>
      <c r="M190" s="657"/>
    </row>
    <row r="192" spans="2:18" ht="21" x14ac:dyDescent="0.3">
      <c r="B192" s="654" t="s">
        <v>30</v>
      </c>
      <c r="C192" s="654"/>
    </row>
    <row r="193" spans="2:13" ht="15.6" x14ac:dyDescent="0.3">
      <c r="B193" s="60" t="s">
        <v>0</v>
      </c>
      <c r="C193" s="61" t="s">
        <v>1</v>
      </c>
      <c r="D193" s="61" t="s">
        <v>21</v>
      </c>
      <c r="E193" s="61" t="s">
        <v>22</v>
      </c>
      <c r="F193" s="61" t="s">
        <v>3</v>
      </c>
      <c r="G193" s="61" t="s">
        <v>4</v>
      </c>
      <c r="H193" s="61" t="s">
        <v>23</v>
      </c>
      <c r="I193" s="61" t="s">
        <v>17</v>
      </c>
      <c r="J193" s="61" t="s">
        <v>7</v>
      </c>
      <c r="K193" s="61" t="s">
        <v>24</v>
      </c>
      <c r="L193" s="61" t="s">
        <v>10</v>
      </c>
      <c r="M193" s="62" t="s">
        <v>38</v>
      </c>
    </row>
    <row r="194" spans="2:13" x14ac:dyDescent="0.3">
      <c r="B194" s="40"/>
      <c r="C194" s="41"/>
      <c r="D194" s="42"/>
      <c r="E194" s="43"/>
      <c r="F194" s="44"/>
      <c r="G194" s="99" t="str">
        <f>IFERROR(IF(venta_a_mes2[[#This Row],[CUIT]]="","-",VLOOKUP(venta_a_mes2[[#This Row],[CUIT]],Lista_CUIT[#All],2,0)),"CUIT NO CARGADO")</f>
        <v>-</v>
      </c>
      <c r="H194" s="100"/>
      <c r="I194" s="101">
        <f>venta_a_mes2[[#This Row],[IMPORTE NETO]]*0.21</f>
        <v>0</v>
      </c>
      <c r="J194" s="65"/>
      <c r="K194" s="65"/>
      <c r="L194" s="65">
        <f>SUM(venta_a_mes2[[#This Row],[IMPORTE NETO]:[EXENTO]])</f>
        <v>0</v>
      </c>
      <c r="M194" s="59"/>
    </row>
    <row r="195" spans="2:13" x14ac:dyDescent="0.3">
      <c r="B195" s="278" t="s">
        <v>103</v>
      </c>
      <c r="C195" s="279"/>
      <c r="D195" s="279"/>
      <c r="E195" s="279"/>
      <c r="F195" s="279"/>
      <c r="G195" s="279"/>
      <c r="H195" s="280">
        <f>SUBTOTAL(109,venta_a_mes2[IMPORTE NETO])</f>
        <v>0</v>
      </c>
      <c r="I195" s="281">
        <f>SUBTOTAL(109,venta_a_mes2[IVA 21%])</f>
        <v>0</v>
      </c>
      <c r="J195" s="282">
        <f>SUBTOTAL(109,venta_a_mes2[IVA 10,5%])</f>
        <v>0</v>
      </c>
      <c r="K195" s="282">
        <f>SUBTOTAL(109,venta_a_mes2[EXENTO])</f>
        <v>0</v>
      </c>
      <c r="L195" s="282">
        <f>SUBTOTAL(109,venta_a_mes2[TOTAL])</f>
        <v>0</v>
      </c>
      <c r="M195" s="283">
        <f>SUBTOTAL(103,venta_a_mes2[Provincia])</f>
        <v>0</v>
      </c>
    </row>
    <row r="198" spans="2:13" ht="21" x14ac:dyDescent="0.3">
      <c r="B198" s="654" t="s">
        <v>31</v>
      </c>
      <c r="C198" s="654"/>
    </row>
    <row r="199" spans="2:13" ht="15.6" x14ac:dyDescent="0.3">
      <c r="B199" s="60" t="s">
        <v>0</v>
      </c>
      <c r="C199" s="61" t="s">
        <v>1</v>
      </c>
      <c r="D199" s="61" t="s">
        <v>21</v>
      </c>
      <c r="E199" s="61" t="s">
        <v>22</v>
      </c>
      <c r="F199" s="61" t="s">
        <v>3</v>
      </c>
      <c r="G199" s="61" t="s">
        <v>4</v>
      </c>
      <c r="H199" s="61" t="s">
        <v>23</v>
      </c>
      <c r="I199" s="61" t="s">
        <v>17</v>
      </c>
      <c r="J199" s="61" t="s">
        <v>7</v>
      </c>
      <c r="K199" s="61" t="s">
        <v>24</v>
      </c>
      <c r="L199" s="61" t="s">
        <v>10</v>
      </c>
      <c r="M199" s="62" t="s">
        <v>38</v>
      </c>
    </row>
    <row r="200" spans="2:13" x14ac:dyDescent="0.3">
      <c r="B200" s="40"/>
      <c r="C200" s="41"/>
      <c r="D200" s="42"/>
      <c r="E200" s="43"/>
      <c r="F200" s="43"/>
      <c r="G200" s="1" t="str">
        <f>IFERROR(IF(ventas_b_mes2[[#This Row],[CUIT]]="","-",VLOOKUP(ventas_b_mes2[[#This Row],[CUIT]],Lista_CUIT[#All],2,0)),"CUIT NO CARGADO")</f>
        <v>-</v>
      </c>
      <c r="H200" s="64">
        <f>ventas_b_mes2[[#This Row],[TOTAL]]/1.21</f>
        <v>0</v>
      </c>
      <c r="I200" s="64">
        <f>ventas_b_mes2[[#This Row],[IMPORTE NETO]]*0.21</f>
        <v>0</v>
      </c>
      <c r="J200" s="64"/>
      <c r="K200" s="64"/>
      <c r="L200" s="64"/>
      <c r="M200" s="59"/>
    </row>
    <row r="201" spans="2:13" x14ac:dyDescent="0.3">
      <c r="B201" s="40"/>
      <c r="C201" s="41"/>
      <c r="D201" s="42"/>
      <c r="E201" s="43"/>
      <c r="F201" s="43"/>
      <c r="G201" s="1" t="str">
        <f>IFERROR(IF(ventas_b_mes2[[#This Row],[CUIT]]="","-",VLOOKUP(ventas_b_mes2[[#This Row],[CUIT]],Lista_CUIT[#All],2,0)),"CUIT NO CARGADO")</f>
        <v>-</v>
      </c>
      <c r="H201" s="64">
        <f>ventas_b_mes2[[#This Row],[TOTAL]]/1.21</f>
        <v>0</v>
      </c>
      <c r="I201" s="64">
        <f>ventas_b_mes2[[#This Row],[IMPORTE NETO]]*0.21</f>
        <v>0</v>
      </c>
      <c r="J201" s="64"/>
      <c r="K201" s="64"/>
      <c r="L201" s="64"/>
      <c r="M201" s="59"/>
    </row>
    <row r="202" spans="2:13" x14ac:dyDescent="0.3">
      <c r="B202" s="66" t="s">
        <v>103</v>
      </c>
      <c r="C202" s="67"/>
      <c r="D202" s="67"/>
      <c r="E202" s="67"/>
      <c r="F202" s="67"/>
      <c r="G202" s="67"/>
      <c r="H202" s="77">
        <f>SUBTOTAL(109,ventas_b_mes2[IMPORTE NETO])</f>
        <v>0</v>
      </c>
      <c r="I202" s="77">
        <f>SUBTOTAL(109,ventas_b_mes2[IVA 21%])</f>
        <v>0</v>
      </c>
      <c r="J202" s="78">
        <f>SUBTOTAL(109,ventas_b_mes2[IVA 10,5%])</f>
        <v>0</v>
      </c>
      <c r="K202" s="78">
        <f>SUBTOTAL(109,ventas_b_mes2[EXENTO])</f>
        <v>0</v>
      </c>
      <c r="L202" s="78">
        <f>SUBTOTAL(109,ventas_b_mes2[TOTAL])</f>
        <v>0</v>
      </c>
      <c r="M202" s="68">
        <f>SUBTOTAL(103,ventas_b_mes2[Provincia])</f>
        <v>0</v>
      </c>
    </row>
    <row r="203" spans="2:13" x14ac:dyDescent="0.3">
      <c r="B203" s="271"/>
      <c r="C203" s="271"/>
      <c r="D203" s="271"/>
      <c r="E203" s="271"/>
      <c r="F203" s="271"/>
      <c r="G203" s="271"/>
      <c r="H203" s="272"/>
      <c r="I203" s="272"/>
      <c r="J203" s="273"/>
      <c r="K203" s="273"/>
      <c r="L203" s="273"/>
      <c r="M203" s="274"/>
    </row>
    <row r="204" spans="2:13" ht="15" thickBot="1" x14ac:dyDescent="0.35">
      <c r="B204" s="271"/>
      <c r="C204" s="271"/>
      <c r="D204" s="271"/>
      <c r="E204" s="271"/>
      <c r="F204" s="271"/>
      <c r="G204" s="271"/>
      <c r="H204" s="272"/>
      <c r="I204" s="272"/>
      <c r="J204" s="273"/>
      <c r="K204" s="273"/>
      <c r="L204" s="273"/>
      <c r="M204" s="274"/>
    </row>
    <row r="205" spans="2:13" ht="15" thickTop="1" x14ac:dyDescent="0.3">
      <c r="C205" s="651" t="s">
        <v>66</v>
      </c>
      <c r="D205" s="651"/>
      <c r="E205" s="651"/>
      <c r="F205" s="651"/>
      <c r="G205" s="651"/>
      <c r="H205" s="32"/>
      <c r="I205" s="32"/>
      <c r="J205" s="32"/>
    </row>
    <row r="206" spans="2:13" ht="15.6" x14ac:dyDescent="0.3">
      <c r="C206" s="114" t="s">
        <v>67</v>
      </c>
      <c r="D206" s="115" t="s">
        <v>68</v>
      </c>
      <c r="E206" s="115" t="s">
        <v>105</v>
      </c>
      <c r="F206" s="115" t="s">
        <v>3</v>
      </c>
      <c r="G206" s="115" t="s">
        <v>4</v>
      </c>
      <c r="H206" s="116" t="s">
        <v>69</v>
      </c>
      <c r="I206" s="116" t="s">
        <v>70</v>
      </c>
      <c r="J206" s="116" t="s">
        <v>71</v>
      </c>
      <c r="K206" s="116" t="s">
        <v>72</v>
      </c>
      <c r="L206" s="116" t="s">
        <v>73</v>
      </c>
    </row>
    <row r="207" spans="2:13" x14ac:dyDescent="0.3">
      <c r="C207" s="117"/>
      <c r="D207" s="118"/>
      <c r="E207" s="118"/>
      <c r="F207" s="119"/>
      <c r="G207" s="53" t="str">
        <f>IFERROR(IF(Retenciones_mes2[[#This Row],[CUIT]]="","-",VLOOKUP(Retenciones_mes2[[#This Row],[CUIT]],Lista_CUIT[#All],2,0)),"CUIT NO CARGADO")</f>
        <v>-</v>
      </c>
      <c r="H207" s="120"/>
      <c r="I207" s="120"/>
      <c r="J207" s="120"/>
      <c r="K207" s="120"/>
      <c r="L207" s="120"/>
    </row>
    <row r="208" spans="2:13" x14ac:dyDescent="0.3">
      <c r="C208" s="117"/>
      <c r="D208" s="118"/>
      <c r="E208" s="118"/>
      <c r="F208" s="119"/>
      <c r="G208" s="53" t="str">
        <f>IFERROR(IF(Retenciones_mes2[[#This Row],[CUIT]]="","-",VLOOKUP(Retenciones_mes2[[#This Row],[CUIT]],Lista_CUIT[#All],2,0)),"CUIT NO CARGADO")</f>
        <v>-</v>
      </c>
      <c r="H208" s="120"/>
      <c r="I208" s="120"/>
      <c r="J208" s="120"/>
      <c r="K208" s="120"/>
      <c r="L208" s="120"/>
    </row>
    <row r="209" spans="2:13" x14ac:dyDescent="0.3">
      <c r="C209" s="117"/>
      <c r="D209" s="118"/>
      <c r="E209" s="118"/>
      <c r="F209" s="119"/>
      <c r="G209" s="53" t="str">
        <f>IFERROR(IF(Retenciones_mes2[[#This Row],[CUIT]]="","-",VLOOKUP(Retenciones_mes2[[#This Row],[CUIT]],Lista_CUIT[#All],2,0)),"CUIT NO CARGADO")</f>
        <v>-</v>
      </c>
      <c r="H209" s="120"/>
      <c r="I209" s="120"/>
      <c r="J209" s="120"/>
      <c r="K209" s="120"/>
      <c r="L209" s="120"/>
    </row>
    <row r="210" spans="2:13" x14ac:dyDescent="0.3">
      <c r="C210" s="117"/>
      <c r="D210" s="118"/>
      <c r="E210" s="118"/>
      <c r="F210" s="119"/>
      <c r="G210" s="53" t="str">
        <f>IFERROR(IF(Retenciones_mes2[[#This Row],[CUIT]]="","-",VLOOKUP(Retenciones_mes2[[#This Row],[CUIT]],Lista_CUIT[#All],2,0)),"CUIT NO CARGADO")</f>
        <v>-</v>
      </c>
      <c r="H210" s="120"/>
      <c r="I210" s="120"/>
      <c r="J210" s="120"/>
      <c r="K210" s="120"/>
      <c r="L210" s="120"/>
    </row>
    <row r="211" spans="2:13" x14ac:dyDescent="0.3">
      <c r="D211" s="118"/>
      <c r="E211" s="118"/>
      <c r="G211" s="53" t="str">
        <f>IFERROR(IF(Retenciones_mes2[[#This Row],[CUIT]]="","-",VLOOKUP(Retenciones_mes2[[#This Row],[CUIT]],Lista_CUIT[#All],2,0)),"CUIT NO CARGADO")</f>
        <v>-</v>
      </c>
    </row>
    <row r="212" spans="2:13" x14ac:dyDescent="0.3">
      <c r="C212" s="33"/>
    </row>
    <row r="214" spans="2:13" ht="21" x14ac:dyDescent="0.3">
      <c r="B214" s="654" t="s">
        <v>1729</v>
      </c>
      <c r="C214" s="654"/>
    </row>
    <row r="215" spans="2:13" ht="15.6" x14ac:dyDescent="0.3">
      <c r="B215" s="60" t="s">
        <v>0</v>
      </c>
      <c r="C215" s="61" t="s">
        <v>1</v>
      </c>
      <c r="D215" s="61" t="s">
        <v>21</v>
      </c>
      <c r="E215" s="61" t="s">
        <v>22</v>
      </c>
      <c r="F215" s="61" t="s">
        <v>3</v>
      </c>
      <c r="G215" s="61" t="s">
        <v>4</v>
      </c>
      <c r="H215" s="61" t="s">
        <v>23</v>
      </c>
      <c r="I215" s="61" t="s">
        <v>17</v>
      </c>
      <c r="J215" s="61" t="s">
        <v>7</v>
      </c>
      <c r="K215" s="61" t="s">
        <v>24</v>
      </c>
      <c r="L215" s="61" t="s">
        <v>10</v>
      </c>
      <c r="M215" s="62" t="s">
        <v>38</v>
      </c>
    </row>
    <row r="216" spans="2:13" x14ac:dyDescent="0.3">
      <c r="B216" s="40"/>
      <c r="C216" s="41"/>
      <c r="D216" s="42"/>
      <c r="E216" s="43"/>
      <c r="F216" s="44"/>
      <c r="G216" s="99" t="str">
        <f>IFERROR(IF(venta_a_mes552[[#This Row],[CUIT]]="","-",VLOOKUP(venta_a_mes552[[#This Row],[CUIT]],Lista_CUIT[#All],2,0)),"CUIT NO CARGADO")</f>
        <v>-</v>
      </c>
      <c r="H216" s="100"/>
      <c r="I216" s="101"/>
      <c r="J216" s="65"/>
      <c r="K216" s="65"/>
      <c r="L216" s="65">
        <f>SUM(venta_a_mes552[[#This Row],[IMPORTE NETO]:[EXENTO]])</f>
        <v>0</v>
      </c>
      <c r="M216" s="59"/>
    </row>
    <row r="217" spans="2:13" x14ac:dyDescent="0.3">
      <c r="B217" s="40"/>
      <c r="C217" s="41"/>
      <c r="D217" s="42"/>
      <c r="E217" s="43"/>
      <c r="F217" s="44"/>
      <c r="G217" s="99" t="str">
        <f>IFERROR(IF(venta_a_mes552[[#This Row],[CUIT]]="","-",VLOOKUP(venta_a_mes552[[#This Row],[CUIT]],Lista_CUIT[#All],2,0)),"CUIT NO CARGADO")</f>
        <v>-</v>
      </c>
      <c r="H217" s="100"/>
      <c r="I217" s="101"/>
      <c r="J217" s="65"/>
      <c r="K217" s="65"/>
      <c r="L217" s="65">
        <f>SUM(venta_a_mes552[[#This Row],[IMPORTE NETO]:[EXENTO]])</f>
        <v>0</v>
      </c>
      <c r="M217" s="59"/>
    </row>
    <row r="218" spans="2:13" x14ac:dyDescent="0.3">
      <c r="B218" s="40"/>
      <c r="C218" s="41"/>
      <c r="D218" s="42"/>
      <c r="E218" s="43"/>
      <c r="F218" s="44"/>
      <c r="G218" s="99" t="str">
        <f>IFERROR(IF(venta_a_mes552[[#This Row],[CUIT]]="","-",VLOOKUP(venta_a_mes552[[#This Row],[CUIT]],Lista_CUIT[#All],2,0)),"CUIT NO CARGADO")</f>
        <v>-</v>
      </c>
      <c r="H218" s="100"/>
      <c r="I218" s="101"/>
      <c r="J218" s="65"/>
      <c r="K218" s="65"/>
      <c r="L218" s="65">
        <f>SUM(venta_a_mes552[[#This Row],[IMPORTE NETO]:[EXENTO]])</f>
        <v>0</v>
      </c>
      <c r="M218" s="59"/>
    </row>
    <row r="219" spans="2:13" x14ac:dyDescent="0.3">
      <c r="B219" s="40"/>
      <c r="C219" s="41"/>
      <c r="D219" s="42"/>
      <c r="E219" s="43"/>
      <c r="F219" s="44"/>
      <c r="G219" s="99" t="str">
        <f>IFERROR(IF(venta_a_mes552[[#This Row],[CUIT]]="","-",VLOOKUP(venta_a_mes552[[#This Row],[CUIT]],Lista_CUIT[#All],2,0)),"CUIT NO CARGADO")</f>
        <v>-</v>
      </c>
      <c r="H219" s="100"/>
      <c r="I219" s="101"/>
      <c r="J219" s="65"/>
      <c r="K219" s="65"/>
      <c r="L219" s="65">
        <f>SUM(venta_a_mes552[[#This Row],[IMPORTE NETO]:[EXENTO]])</f>
        <v>0</v>
      </c>
      <c r="M219" s="59"/>
    </row>
    <row r="220" spans="2:13" x14ac:dyDescent="0.3">
      <c r="B220" s="66" t="s">
        <v>103</v>
      </c>
      <c r="C220" s="67"/>
      <c r="D220" s="67"/>
      <c r="E220" s="67"/>
      <c r="F220" s="67"/>
      <c r="G220" s="67"/>
      <c r="H220" s="69">
        <f>SUBTOTAL(109,venta_a_mes552[IMPORTE NETO])</f>
        <v>0</v>
      </c>
      <c r="I220" s="70">
        <f>SUBTOTAL(109,venta_a_mes552[IVA 21%])</f>
        <v>0</v>
      </c>
      <c r="J220" s="71">
        <f>SUBTOTAL(109,venta_a_mes552[IVA 10,5%])</f>
        <v>0</v>
      </c>
      <c r="K220" s="71">
        <f>SUBTOTAL(109,venta_a_mes552[EXENTO])</f>
        <v>0</v>
      </c>
      <c r="L220" s="71">
        <f>SUBTOTAL(109,venta_a_mes552[TOTAL])</f>
        <v>0</v>
      </c>
      <c r="M220" s="68">
        <f>SUBTOTAL(103,venta_a_mes552[Provincia])</f>
        <v>0</v>
      </c>
    </row>
  </sheetData>
  <mergeCells count="21">
    <mergeCell ref="B214:C214"/>
    <mergeCell ref="P4:R4"/>
    <mergeCell ref="D148:L148"/>
    <mergeCell ref="B1:F1"/>
    <mergeCell ref="G1:M1"/>
    <mergeCell ref="N1:R1"/>
    <mergeCell ref="B3:E3"/>
    <mergeCell ref="G3:H3"/>
    <mergeCell ref="J3:K3"/>
    <mergeCell ref="M3:N3"/>
    <mergeCell ref="P3:R3"/>
    <mergeCell ref="C205:G205"/>
    <mergeCell ref="B4:E4"/>
    <mergeCell ref="G4:H4"/>
    <mergeCell ref="J4:K4"/>
    <mergeCell ref="M4:N4"/>
    <mergeCell ref="D162:K162"/>
    <mergeCell ref="B190:J190"/>
    <mergeCell ref="K190:M190"/>
    <mergeCell ref="B192:C192"/>
    <mergeCell ref="B198:C198"/>
  </mergeCells>
  <phoneticPr fontId="38" type="noConversion"/>
  <dataValidations count="13">
    <dataValidation type="custom" allowBlank="1" showInputMessage="1" showErrorMessage="1" sqref="H194:K194 H216:K216 H218:K218" xr:uid="{00000000-0002-0000-0200-000000000000}">
      <formula1>IF($C194=3,H194&lt;0,H194&gt;=0)</formula1>
    </dataValidation>
    <dataValidation type="whole" allowBlank="1" showInputMessage="1" showErrorMessage="1" sqref="C194 C216:C219 C8:C143 C147" xr:uid="{00000000-0002-0000-0200-000001000000}">
      <formula1>1</formula1>
      <formula2>3</formula2>
    </dataValidation>
    <dataValidation type="date" allowBlank="1" showInputMessage="1" showErrorMessage="1" sqref="D150:D157 B8:B143 B200:B201 B194 B216:B219 D164:D183 B147" xr:uid="{00000000-0002-0000-0200-000002000000}">
      <formula1>40179</formula1>
      <formula2>TODAY()</formula2>
    </dataValidation>
    <dataValidation type="whole" allowBlank="1" showInputMessage="1" showErrorMessage="1" sqref="G164:G183 F194 F216:F219 F200:F201 F8:F143" xr:uid="{00000000-0002-0000-0200-000003000000}">
      <formula1>20000000000</formula1>
      <formula2>33999999999</formula2>
    </dataValidation>
    <dataValidation type="whole" allowBlank="1" showInputMessage="1" showErrorMessage="1" sqref="E8:E143 E194 E216:E219 E200:E201 F164:F183" xr:uid="{00000000-0002-0000-0200-000004000000}">
      <formula1>1</formula1>
      <formula2>99999999</formula2>
    </dataValidation>
    <dataValidation type="whole" allowBlank="1" showInputMessage="1" showErrorMessage="1" sqref="D8:D143 D194 D216:D219 D200:D201 E164:E183" xr:uid="{00000000-0002-0000-0200-000005000000}">
      <formula1>1</formula1>
      <formula2>9999</formula2>
    </dataValidation>
    <dataValidation type="custom" allowBlank="1" showInputMessage="1" showErrorMessage="1" sqref="L194" xr:uid="{00000000-0002-0000-0200-000006000000}">
      <formula1>IF($C8=3,L8&lt;0,L8&gt;=0)</formula1>
    </dataValidation>
    <dataValidation type="custom" allowBlank="1" showInputMessage="1" showErrorMessage="1" sqref="L216:L217" xr:uid="{00000000-0002-0000-0200-000007000000}">
      <formula1>IF(#REF!=3,#REF!&lt;0,#REF!&gt;=0)</formula1>
    </dataValidation>
    <dataValidation type="custom" allowBlank="1" showInputMessage="1" showErrorMessage="1" sqref="L218:L219" xr:uid="{00000000-0002-0000-0200-000008000000}">
      <formula1>IF(#REF!=3,#REF!&lt;0,#REF!&gt;=0)</formula1>
    </dataValidation>
    <dataValidation type="whole" allowBlank="1" showInputMessage="1" showErrorMessage="1" sqref="C200:C201" xr:uid="{00000000-0002-0000-0200-00000900000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8:L37 L39 N8:N37 N39 H8:K143 O8:O143 M8:M143 L41:L143 N41:N143" xr:uid="{00000000-0002-0000-0200-00000A000000}">
      <formula1>IF($C8=3,H8&lt;0,H8&gt;=0)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38 N38" xr:uid="{00000000-0002-0000-0200-00000B000000}">
      <formula1>IF($C40=3,L38&lt;0,L38&gt;=0)</formula1>
    </dataValidation>
    <dataValidation type="custom" allowBlank="1" showInputMessage="1" showErrorMessage="1" sqref="H200:L201" xr:uid="{00000000-0002-0000-0200-00000C000000}">
      <formula1>IF($C200=8,H200&lt;0,H200&gt;=0)</formula1>
    </dataValidation>
  </dataValidations>
  <pageMargins left="0.7" right="0.7" top="0.75" bottom="0.75" header="0.3" footer="0.3"/>
  <pageSetup paperSize="9" scale="49" fitToHeight="0" orientation="landscape" r:id="rId1"/>
  <ignoredErrors>
    <ignoredError sqref="G150:G157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  <pageSetUpPr fitToPage="1"/>
  </sheetPr>
  <dimension ref="A1:Z263"/>
  <sheetViews>
    <sheetView showGridLines="0" topLeftCell="G182" zoomScale="80" zoomScaleNormal="80" workbookViewId="0">
      <selection activeCell="J192" sqref="J192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29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2" customWidth="1"/>
    <col min="13" max="13" width="11.88671875" customWidth="1"/>
    <col min="14" max="14" width="20.6640625" customWidth="1"/>
    <col min="15" max="15" width="18.5546875" customWidth="1"/>
    <col min="16" max="16" width="23.109375" customWidth="1"/>
    <col min="17" max="17" width="20.109375" bestFit="1" customWidth="1"/>
    <col min="18" max="18" width="15.6640625" bestFit="1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56" t="str">
        <f>'Ene-23'!G1:M1</f>
        <v>EUROARGENTINA</v>
      </c>
      <c r="H1" s="656"/>
      <c r="I1" s="656"/>
      <c r="J1" s="656"/>
      <c r="K1" s="656"/>
      <c r="L1" s="656"/>
      <c r="M1" s="656"/>
      <c r="N1" s="652">
        <f>EDATE('Ene-23'!N1,2)</f>
        <v>44986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SUM(compras_mes3[[#Totals],[NETO GRAVADO]])+extracto_banco_mes3[[#Totals],[NETO]]</f>
        <v>14955156.780000001</v>
      </c>
      <c r="C4" s="659"/>
      <c r="D4" s="659"/>
      <c r="E4" s="659"/>
      <c r="F4" s="39"/>
      <c r="G4" s="660">
        <f>compras_mes3[[#Totals],[IVA 21 %]]+compras_mes3[[#Totals],[IVA 27%]]+compras_mes3[[#Totals],[IVA 10,5%]]+extracto_banco_mes3[[#Totals],[IVA 21%]]+extracto_banco_mes3[[#Totals],[IVA 10,5%]]</f>
        <v>3013725.6761000007</v>
      </c>
      <c r="H4" s="660"/>
      <c r="I4" s="39"/>
      <c r="J4" s="649">
        <f>venta_a_mes3[[#Totals],[IMPORTE NETO]]+ventas_b_mes3[[#Totals],[IMPORTE NETO]]</f>
        <v>0</v>
      </c>
      <c r="K4" s="649"/>
      <c r="L4" s="39"/>
      <c r="M4" s="649">
        <f>venta_a_mes3[[#Totals],[IVA 21%]]+venta_a_mes3[[#Totals],[IVA 10,5%]]+ventas_b_mes3[[#Totals],[IVA 21%]]+ventas_b_mes3[[#Totals],[IVA 10,5%]]</f>
        <v>0</v>
      </c>
      <c r="N4" s="649"/>
      <c r="O4" s="39"/>
      <c r="P4" s="662">
        <f>G4-M4</f>
        <v>3013725.6761000007</v>
      </c>
      <c r="Q4" s="663"/>
      <c r="R4" s="663"/>
    </row>
    <row r="6" spans="1:26" x14ac:dyDescent="0.3">
      <c r="N6" s="355">
        <v>4938386.4214000152</v>
      </c>
    </row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345">
        <v>44940</v>
      </c>
      <c r="C9" s="354">
        <v>1</v>
      </c>
      <c r="D9" s="346">
        <v>24</v>
      </c>
      <c r="E9" s="347">
        <v>3737</v>
      </c>
      <c r="F9" s="348">
        <v>30675994915</v>
      </c>
      <c r="G9" s="349" t="str">
        <f>IFERROR(IF(compras_mes3[[#This Row],[CUIT]]="","-",VLOOKUP(compras_mes3[[#This Row],[CUIT]],Lista_CUIT[#All],2,0)),"CUIT NO CARGADO")</f>
        <v>LOMALI SA</v>
      </c>
      <c r="H9" s="350">
        <v>1710.91</v>
      </c>
      <c r="I9" s="351">
        <f>IF(compras_mes3[[#This Row],[NETO GRAVADO]]="","",compras_mes3[[#This Row],[NETO GRAVADO]]*0.21)</f>
        <v>359.29110000000003</v>
      </c>
      <c r="J9" s="351"/>
      <c r="K9" s="351"/>
      <c r="L9" s="351"/>
      <c r="M9" s="351"/>
      <c r="N9" s="351"/>
      <c r="O9" s="351">
        <v>429.8</v>
      </c>
      <c r="P9" s="352">
        <f>SUM(compras_mes3[[#This Row],[NETO GRAVADO]:[Otros / No Grav.]])</f>
        <v>2500.0011000000004</v>
      </c>
      <c r="Q9" s="353">
        <f>IFERROR(IF(compras_mes3[[#This Row],[CUIT]]="","-",VLOOKUP(compras_mes3[[#This Row],[CUIT]],Lista_CUIT[#All],3,0)),"CUIT NO CARGADO")</f>
        <v>0</v>
      </c>
      <c r="R9" s="353">
        <f>IFERROR(IF(compras_mes3[[#This Row],[CUIT]]="","-",VLOOKUP(compras_mes3[[#This Row],[CUIT]],Lista_CUIT[#All],4,0)),"CUIT NO CARGADO")</f>
        <v>0</v>
      </c>
    </row>
    <row r="10" spans="1:26" x14ac:dyDescent="0.3">
      <c r="B10" s="345">
        <v>44973</v>
      </c>
      <c r="C10" s="354">
        <v>1</v>
      </c>
      <c r="D10" s="346">
        <v>24</v>
      </c>
      <c r="E10" s="347">
        <v>4422</v>
      </c>
      <c r="F10" s="348">
        <v>30675994915</v>
      </c>
      <c r="G10" s="349" t="str">
        <f>IFERROR(IF(compras_mes3[[#This Row],[CUIT]]="","-",VLOOKUP(compras_mes3[[#This Row],[CUIT]],Lista_CUIT[#All],2,0)),"CUIT NO CARGADO")</f>
        <v>LOMALI SA</v>
      </c>
      <c r="H10" s="350">
        <v>2794.67</v>
      </c>
      <c r="I10" s="351">
        <f>IF(compras_mes3[[#This Row],[NETO GRAVADO]]="","",compras_mes3[[#This Row],[NETO GRAVADO]]*0.21)</f>
        <v>586.88070000000005</v>
      </c>
      <c r="J10" s="351"/>
      <c r="K10" s="351"/>
      <c r="L10" s="351"/>
      <c r="M10" s="351"/>
      <c r="N10" s="351"/>
      <c r="O10" s="351">
        <v>618.47</v>
      </c>
      <c r="P10" s="352">
        <f>SUM(compras_mes3[[#This Row],[NETO GRAVADO]:[Otros / No Grav.]])</f>
        <v>4000.0207</v>
      </c>
      <c r="Q10" s="353">
        <f>IFERROR(IF(compras_mes3[[#This Row],[CUIT]]="","-",VLOOKUP(compras_mes3[[#This Row],[CUIT]],Lista_CUIT[#All],3,0)),"CUIT NO CARGADO")</f>
        <v>0</v>
      </c>
      <c r="R10" s="353">
        <f>IFERROR(IF(compras_mes3[[#This Row],[CUIT]]="","-",VLOOKUP(compras_mes3[[#This Row],[CUIT]],Lista_CUIT[#All],4,0)),"CUIT NO CARGADO")</f>
        <v>0</v>
      </c>
    </row>
    <row r="11" spans="1:26" x14ac:dyDescent="0.3">
      <c r="B11" s="345">
        <v>44978</v>
      </c>
      <c r="C11" s="354">
        <v>1</v>
      </c>
      <c r="D11" s="346">
        <v>33</v>
      </c>
      <c r="E11" s="347">
        <v>19534</v>
      </c>
      <c r="F11" s="348">
        <v>30520201048</v>
      </c>
      <c r="G11" s="349" t="str">
        <f>IFERROR(IF(compras_mes3[[#This Row],[CUIT]]="","-",VLOOKUP(compras_mes3[[#This Row],[CUIT]],Lista_CUIT[#All],2,0)),"CUIT NO CARGADO")</f>
        <v>ASENSIO E HIJO Y PULLEY SOCIEDAD DE RESP</v>
      </c>
      <c r="H11" s="350">
        <v>2207.19</v>
      </c>
      <c r="I11" s="351">
        <f>IF(compras_mes3[[#This Row],[NETO GRAVADO]]="","",compras_mes3[[#This Row],[NETO GRAVADO]]*0.21)</f>
        <v>463.50990000000002</v>
      </c>
      <c r="J11" s="351"/>
      <c r="K11" s="351"/>
      <c r="L11" s="351"/>
      <c r="M11" s="351"/>
      <c r="N11" s="351"/>
      <c r="O11" s="351">
        <v>330.89</v>
      </c>
      <c r="P11" s="352">
        <f>SUM(compras_mes3[[#This Row],[NETO GRAVADO]:[Otros / No Grav.]])</f>
        <v>3001.5898999999999</v>
      </c>
      <c r="Q11" s="353">
        <f>IFERROR(IF(compras_mes3[[#This Row],[CUIT]]="","-",VLOOKUP(compras_mes3[[#This Row],[CUIT]],Lista_CUIT[#All],3,0)),"CUIT NO CARGADO")</f>
        <v>0</v>
      </c>
      <c r="R11" s="353">
        <f>IFERROR(IF(compras_mes3[[#This Row],[CUIT]]="","-",VLOOKUP(compras_mes3[[#This Row],[CUIT]],Lista_CUIT[#All],4,0)),"CUIT NO CARGADO")</f>
        <v>0</v>
      </c>
    </row>
    <row r="12" spans="1:26" x14ac:dyDescent="0.3">
      <c r="B12" s="345">
        <v>44980</v>
      </c>
      <c r="C12" s="354">
        <v>1</v>
      </c>
      <c r="D12" s="346">
        <v>24</v>
      </c>
      <c r="E12" s="347">
        <v>4521</v>
      </c>
      <c r="F12" s="348">
        <v>30675994915</v>
      </c>
      <c r="G12" s="349" t="str">
        <f>IFERROR(IF(compras_mes3[[#This Row],[CUIT]]="","-",VLOOKUP(compras_mes3[[#This Row],[CUIT]],Lista_CUIT[#All],2,0)),"CUIT NO CARGADO")</f>
        <v>LOMALI SA</v>
      </c>
      <c r="H12" s="350">
        <v>2794.8</v>
      </c>
      <c r="I12" s="351">
        <f>IF(compras_mes3[[#This Row],[NETO GRAVADO]]="","",compras_mes3[[#This Row],[NETO GRAVADO]]*0.21)</f>
        <v>586.90800000000002</v>
      </c>
      <c r="J12" s="351"/>
      <c r="K12" s="351"/>
      <c r="L12" s="351"/>
      <c r="M12" s="351"/>
      <c r="N12" s="351"/>
      <c r="O12" s="351">
        <v>618.5</v>
      </c>
      <c r="P12" s="352">
        <f>SUM(compras_mes3[[#This Row],[NETO GRAVADO]:[Otros / No Grav.]])</f>
        <v>4000.2080000000001</v>
      </c>
      <c r="Q12" s="353">
        <f>IFERROR(IF(compras_mes3[[#This Row],[CUIT]]="","-",VLOOKUP(compras_mes3[[#This Row],[CUIT]],Lista_CUIT[#All],3,0)),"CUIT NO CARGADO")</f>
        <v>0</v>
      </c>
      <c r="R12" s="353">
        <f>IFERROR(IF(compras_mes3[[#This Row],[CUIT]]="","-",VLOOKUP(compras_mes3[[#This Row],[CUIT]],Lista_CUIT[#All],4,0)),"CUIT NO CARGADO")</f>
        <v>0</v>
      </c>
    </row>
    <row r="13" spans="1:26" x14ac:dyDescent="0.3">
      <c r="B13" s="345">
        <v>44984</v>
      </c>
      <c r="C13" s="354">
        <v>1</v>
      </c>
      <c r="D13" s="346">
        <v>33</v>
      </c>
      <c r="E13" s="347">
        <v>19732</v>
      </c>
      <c r="F13" s="348">
        <v>30520201048</v>
      </c>
      <c r="G13" s="349" t="str">
        <f>IFERROR(IF(compras_mes3[[#This Row],[CUIT]]="","-",VLOOKUP(compras_mes3[[#This Row],[CUIT]],Lista_CUIT[#All],2,0)),"CUIT NO CARGADO")</f>
        <v>ASENSIO E HIJO Y PULLEY SOCIEDAD DE RESP</v>
      </c>
      <c r="H13" s="350">
        <v>2206.2199999999998</v>
      </c>
      <c r="I13" s="351">
        <f>IF(compras_mes3[[#This Row],[NETO GRAVADO]]="","",compras_mes3[[#This Row],[NETO GRAVADO]]*0.21)</f>
        <v>463.30619999999993</v>
      </c>
      <c r="J13" s="351"/>
      <c r="K13" s="351"/>
      <c r="L13" s="351"/>
      <c r="M13" s="351"/>
      <c r="N13" s="351"/>
      <c r="O13" s="351">
        <v>330.75</v>
      </c>
      <c r="P13" s="352">
        <f>SUM(compras_mes3[[#This Row],[NETO GRAVADO]:[Otros / No Grav.]])</f>
        <v>3000.2761999999998</v>
      </c>
      <c r="Q13" s="353">
        <f>IFERROR(IF(compras_mes3[[#This Row],[CUIT]]="","-",VLOOKUP(compras_mes3[[#This Row],[CUIT]],Lista_CUIT[#All],3,0)),"CUIT NO CARGADO")</f>
        <v>0</v>
      </c>
      <c r="R13" s="353">
        <f>IFERROR(IF(compras_mes3[[#This Row],[CUIT]]="","-",VLOOKUP(compras_mes3[[#This Row],[CUIT]],Lista_CUIT[#All],4,0)),"CUIT NO CARGADO")</f>
        <v>0</v>
      </c>
    </row>
    <row r="14" spans="1:26" x14ac:dyDescent="0.3">
      <c r="B14" s="345">
        <v>44986</v>
      </c>
      <c r="C14" s="41">
        <v>1</v>
      </c>
      <c r="D14" s="346">
        <v>1</v>
      </c>
      <c r="E14" s="347">
        <v>73</v>
      </c>
      <c r="F14" s="348">
        <v>30716010313</v>
      </c>
      <c r="G14" s="349" t="str">
        <f>IFERROR(IF(compras_mes3[[#This Row],[CUIT]]="","-",VLOOKUP(compras_mes3[[#This Row],[CUIT]],Lista_CUIT[#All],2,0)),"CUIT NO CARGADO")</f>
        <v>H UNO 1469 S.A.</v>
      </c>
      <c r="H14" s="350">
        <v>38400</v>
      </c>
      <c r="I14" s="351">
        <f>IF(compras_mes3[[#This Row],[NETO GRAVADO]]="","",compras_mes3[[#This Row],[NETO GRAVADO]]*0.21)</f>
        <v>8064</v>
      </c>
      <c r="J14" s="351"/>
      <c r="K14" s="351"/>
      <c r="L14" s="351"/>
      <c r="M14" s="351"/>
      <c r="N14" s="351"/>
      <c r="O14" s="351"/>
      <c r="P14" s="352">
        <f>SUM(compras_mes3[[#This Row],[NETO GRAVADO]:[Otros / No Grav.]])</f>
        <v>46464</v>
      </c>
      <c r="Q14" s="353" t="str">
        <f>IFERROR(IF(compras_mes3[[#This Row],[CUIT]]="","-",VLOOKUP(compras_mes3[[#This Row],[CUIT]],Lista_CUIT[#All],3,0)),"CUIT NO CARGADO")</f>
        <v>Alquiler</v>
      </c>
      <c r="R14" s="353">
        <f>IFERROR(IF(compras_mes3[[#This Row],[CUIT]]="","-",VLOOKUP(compras_mes3[[#This Row],[CUIT]],Lista_CUIT[#All],4,0)),"CUIT NO CARGADO")</f>
        <v>0</v>
      </c>
    </row>
    <row r="15" spans="1:26" x14ac:dyDescent="0.3">
      <c r="B15" s="345">
        <v>44986</v>
      </c>
      <c r="C15" s="41">
        <v>1</v>
      </c>
      <c r="D15" s="346">
        <v>1</v>
      </c>
      <c r="E15" s="347">
        <v>350</v>
      </c>
      <c r="F15" s="348">
        <v>20131206144</v>
      </c>
      <c r="G15" s="349" t="str">
        <f>IFERROR(IF(compras_mes3[[#This Row],[CUIT]]="","-",VLOOKUP(compras_mes3[[#This Row],[CUIT]],Lista_CUIT[#All],2,0)),"CUIT NO CARGADO")</f>
        <v>CHAMORRO MANUEL</v>
      </c>
      <c r="H15" s="350">
        <v>60000</v>
      </c>
      <c r="I15" s="351">
        <f>IF(compras_mes3[[#This Row],[NETO GRAVADO]]="","",compras_mes3[[#This Row],[NETO GRAVADO]]*0.21)</f>
        <v>12600</v>
      </c>
      <c r="J15" s="351"/>
      <c r="K15" s="351"/>
      <c r="L15" s="351"/>
      <c r="M15" s="351"/>
      <c r="N15" s="351"/>
      <c r="O15" s="351"/>
      <c r="P15" s="352">
        <f>SUM(compras_mes3[[#This Row],[NETO GRAVADO]:[Otros / No Grav.]])</f>
        <v>72600</v>
      </c>
      <c r="Q15" s="353" t="str">
        <f>IFERROR(IF(compras_mes3[[#This Row],[CUIT]]="","-",VLOOKUP(compras_mes3[[#This Row],[CUIT]],Lista_CUIT[#All],3,0)),"CUIT NO CARGADO")</f>
        <v>Alquiler</v>
      </c>
      <c r="R15" s="353">
        <f>IFERROR(IF(compras_mes3[[#This Row],[CUIT]]="","-",VLOOKUP(compras_mes3[[#This Row],[CUIT]],Lista_CUIT[#All],4,0)),"CUIT NO CARGADO")</f>
        <v>0</v>
      </c>
    </row>
    <row r="16" spans="1:26" x14ac:dyDescent="0.3">
      <c r="B16" s="345">
        <v>44986</v>
      </c>
      <c r="C16" s="41">
        <v>1</v>
      </c>
      <c r="D16" s="346">
        <v>2</v>
      </c>
      <c r="E16" s="347">
        <v>2258</v>
      </c>
      <c r="F16" s="348">
        <v>20321577645</v>
      </c>
      <c r="G16" s="349" t="str">
        <f>IFERROR(IF(compras_mes3[[#This Row],[CUIT]]="","-",VLOOKUP(compras_mes3[[#This Row],[CUIT]],Lista_CUIT[#All],2,0)),"CUIT NO CARGADO")</f>
        <v>SOLIS PABLO GABRIEL</v>
      </c>
      <c r="H16" s="350">
        <v>9737.52</v>
      </c>
      <c r="I16" s="351"/>
      <c r="J16" s="351"/>
      <c r="K16" s="351">
        <v>1022.44</v>
      </c>
      <c r="L16" s="351"/>
      <c r="M16" s="351"/>
      <c r="N16" s="351"/>
      <c r="O16" s="351"/>
      <c r="P16" s="352">
        <f>SUM(compras_mes3[[#This Row],[NETO GRAVADO]:[Otros / No Grav.]])</f>
        <v>10759.960000000001</v>
      </c>
      <c r="Q16" s="353">
        <f>IFERROR(IF(compras_mes3[[#This Row],[CUIT]]="","-",VLOOKUP(compras_mes3[[#This Row],[CUIT]],Lista_CUIT[#All],3,0)),"CUIT NO CARGADO")</f>
        <v>0</v>
      </c>
      <c r="R16" s="353">
        <f>IFERROR(IF(compras_mes3[[#This Row],[CUIT]]="","-",VLOOKUP(compras_mes3[[#This Row],[CUIT]],Lista_CUIT[#All],4,0)),"CUIT NO CARGADO")</f>
        <v>0</v>
      </c>
    </row>
    <row r="17" spans="2:18" x14ac:dyDescent="0.3">
      <c r="B17" s="345">
        <v>44986</v>
      </c>
      <c r="C17" s="41">
        <v>1</v>
      </c>
      <c r="D17" s="346">
        <v>8267</v>
      </c>
      <c r="E17" s="347">
        <v>3078</v>
      </c>
      <c r="F17" s="348">
        <v>30590360763</v>
      </c>
      <c r="G17" s="349" t="str">
        <f>IFERROR(IF(compras_mes3[[#This Row],[CUIT]]="","-",VLOOKUP(compras_mes3[[#This Row],[CUIT]],Lista_CUIT[#All],2,0)),"CUIT NO CARGADO")</f>
        <v>CENCOSUD S.A</v>
      </c>
      <c r="H17" s="350">
        <v>15161.98</v>
      </c>
      <c r="I17" s="351">
        <f>IF(compras_mes3[[#This Row],[NETO GRAVADO]]="","",compras_mes3[[#This Row],[NETO GRAVADO]]*0.21)</f>
        <v>3184.0157999999997</v>
      </c>
      <c r="J17" s="351"/>
      <c r="K17" s="351"/>
      <c r="L17" s="351">
        <v>454.86</v>
      </c>
      <c r="M17" s="351"/>
      <c r="N17" s="351">
        <v>909.72</v>
      </c>
      <c r="O17" s="351"/>
      <c r="P17" s="352">
        <f>SUM(compras_mes3[[#This Row],[NETO GRAVADO]:[Otros / No Grav.]])</f>
        <v>19710.575800000002</v>
      </c>
      <c r="Q17" s="353" t="str">
        <f>IFERROR(IF(compras_mes3[[#This Row],[CUIT]]="","-",VLOOKUP(compras_mes3[[#This Row],[CUIT]],Lista_CUIT[#All],3,0)),"CUIT NO CARGADO")</f>
        <v>Gastos Varios</v>
      </c>
      <c r="R17" s="353">
        <f>IFERROR(IF(compras_mes3[[#This Row],[CUIT]]="","-",VLOOKUP(compras_mes3[[#This Row],[CUIT]],Lista_CUIT[#All],4,0)),"CUIT NO CARGADO")</f>
        <v>0</v>
      </c>
    </row>
    <row r="18" spans="2:18" x14ac:dyDescent="0.3">
      <c r="B18" s="345">
        <v>44986</v>
      </c>
      <c r="C18" s="41">
        <v>1</v>
      </c>
      <c r="D18" s="346">
        <v>2</v>
      </c>
      <c r="E18" s="347">
        <v>3276</v>
      </c>
      <c r="F18" s="348">
        <v>30629863571</v>
      </c>
      <c r="G18" s="349" t="str">
        <f>IFERROR(IF(compras_mes3[[#This Row],[CUIT]]="","-",VLOOKUP(compras_mes3[[#This Row],[CUIT]],Lista_CUIT[#All],2,0)),"CUIT NO CARGADO")</f>
        <v>TECNIMAR S R L</v>
      </c>
      <c r="H18" s="350">
        <v>487773.24</v>
      </c>
      <c r="I18" s="351">
        <f>IF(compras_mes3[[#This Row],[NETO GRAVADO]]="","",compras_mes3[[#This Row],[NETO GRAVADO]]*0.21)</f>
        <v>102432.38039999999</v>
      </c>
      <c r="J18" s="351"/>
      <c r="K18" s="351"/>
      <c r="L18" s="351"/>
      <c r="M18" s="351"/>
      <c r="N18" s="351"/>
      <c r="O18" s="351"/>
      <c r="P18" s="352">
        <f>SUM(compras_mes3[[#This Row],[NETO GRAVADO]:[Otros / No Grav.]])</f>
        <v>590205.62040000001</v>
      </c>
      <c r="Q18" s="353" t="str">
        <f>IFERROR(IF(compras_mes3[[#This Row],[CUIT]]="","-",VLOOKUP(compras_mes3[[#This Row],[CUIT]],Lista_CUIT[#All],3,0)),"CUIT NO CARGADO")</f>
        <v>LABORATORIO</v>
      </c>
      <c r="R18" s="353">
        <f>IFERROR(IF(compras_mes3[[#This Row],[CUIT]]="","-",VLOOKUP(compras_mes3[[#This Row],[CUIT]],Lista_CUIT[#All],4,0)),"CUIT NO CARGADO")</f>
        <v>0</v>
      </c>
    </row>
    <row r="19" spans="2:18" x14ac:dyDescent="0.3">
      <c r="B19" s="345">
        <v>44986</v>
      </c>
      <c r="C19" s="41">
        <v>1</v>
      </c>
      <c r="D19" s="346">
        <v>19</v>
      </c>
      <c r="E19" s="347">
        <v>9304</v>
      </c>
      <c r="F19" s="348">
        <v>30515800219</v>
      </c>
      <c r="G19" s="349" t="str">
        <f>IFERROR(IF(compras_mes3[[#This Row],[CUIT]]="","-",VLOOKUP(compras_mes3[[#This Row],[CUIT]],Lista_CUIT[#All],2,0)),"CUIT NO CARGADO")</f>
        <v>INCAT SRL</v>
      </c>
      <c r="H19" s="350">
        <v>7313.48</v>
      </c>
      <c r="I19" s="351">
        <f>IF(compras_mes3[[#This Row],[NETO GRAVADO]]="","",compras_mes3[[#This Row],[NETO GRAVADO]]*0.21)</f>
        <v>1535.8308</v>
      </c>
      <c r="J19" s="351"/>
      <c r="K19" s="351"/>
      <c r="L19" s="351"/>
      <c r="M19" s="351"/>
      <c r="N19" s="351"/>
      <c r="O19" s="351">
        <v>1552.39</v>
      </c>
      <c r="P19" s="352">
        <f>SUM(compras_mes3[[#This Row],[NETO GRAVADO]:[Otros / No Grav.]])</f>
        <v>10401.700799999999</v>
      </c>
      <c r="Q19" s="353" t="str">
        <f>IFERROR(IF(compras_mes3[[#This Row],[CUIT]]="","-",VLOOKUP(compras_mes3[[#This Row],[CUIT]],Lista_CUIT[#All],3,0)),"CUIT NO CARGADO")</f>
        <v>Combustibe</v>
      </c>
      <c r="R19" s="353" t="str">
        <f>IFERROR(IF(compras_mes3[[#This Row],[CUIT]]="","-",VLOOKUP(compras_mes3[[#This Row],[CUIT]],Lista_CUIT[#All],4,0)),"CUIT NO CARGADO")</f>
        <v>CABA</v>
      </c>
    </row>
    <row r="20" spans="2:18" x14ac:dyDescent="0.3">
      <c r="B20" s="345">
        <v>44986</v>
      </c>
      <c r="C20" s="41">
        <v>1</v>
      </c>
      <c r="D20" s="346">
        <v>10</v>
      </c>
      <c r="E20" s="347">
        <v>13650</v>
      </c>
      <c r="F20" s="348">
        <v>30711239800</v>
      </c>
      <c r="G20" s="349" t="str">
        <f>IFERROR(IF(compras_mes3[[#This Row],[CUIT]]="","-",VLOOKUP(compras_mes3[[#This Row],[CUIT]],Lista_CUIT[#All],2,0)),"CUIT NO CARGADO")</f>
        <v>CELEX GROUP  SRL</v>
      </c>
      <c r="H20" s="350">
        <v>472221.75</v>
      </c>
      <c r="I20" s="351">
        <f>IF(compras_mes3[[#This Row],[NETO GRAVADO]]="","",compras_mes3[[#This Row],[NETO GRAVADO]]*0.21)</f>
        <v>99166.56749999999</v>
      </c>
      <c r="J20" s="351"/>
      <c r="K20" s="351"/>
      <c r="L20" s="351"/>
      <c r="M20" s="351"/>
      <c r="N20" s="351"/>
      <c r="O20" s="351"/>
      <c r="P20" s="352">
        <f>SUM(compras_mes3[[#This Row],[NETO GRAVADO]:[Otros / No Grav.]])</f>
        <v>571388.3175</v>
      </c>
      <c r="Q20" s="353">
        <f>IFERROR(IF(compras_mes3[[#This Row],[CUIT]]="","-",VLOOKUP(compras_mes3[[#This Row],[CUIT]],Lista_CUIT[#All],3,0)),"CUIT NO CARGADO")</f>
        <v>0</v>
      </c>
      <c r="R20" s="353">
        <f>IFERROR(IF(compras_mes3[[#This Row],[CUIT]]="","-",VLOOKUP(compras_mes3[[#This Row],[CUIT]],Lista_CUIT[#All],4,0)),"CUIT NO CARGADO")</f>
        <v>0</v>
      </c>
    </row>
    <row r="21" spans="2:18" x14ac:dyDescent="0.3">
      <c r="B21" s="40">
        <v>44986</v>
      </c>
      <c r="C21" s="41">
        <v>1</v>
      </c>
      <c r="D21" s="42">
        <v>3</v>
      </c>
      <c r="E21" s="43">
        <v>19128</v>
      </c>
      <c r="F21" s="44">
        <v>30707463143</v>
      </c>
      <c r="G21" s="45" t="str">
        <f>IFERROR(IF(compras_mes3[[#This Row],[CUIT]]="","-",VLOOKUP(compras_mes3[[#This Row],[CUIT]],Lista_CUIT[#All],2,0)),"CUIT NO CARGADO")</f>
        <v>AROMATICA S.A.</v>
      </c>
      <c r="H21" s="46">
        <v>350175</v>
      </c>
      <c r="I21" s="85">
        <f>IF(compras_mes3[[#This Row],[NETO GRAVADO]]="","",compras_mes3[[#This Row],[NETO GRAVADO]]*0.21)</f>
        <v>73536.75</v>
      </c>
      <c r="J21" s="85"/>
      <c r="K21" s="85"/>
      <c r="L21" s="85"/>
      <c r="M21" s="85"/>
      <c r="N21" s="85"/>
      <c r="O21" s="85"/>
      <c r="P21" s="48">
        <f>SUM(compras_mes3[[#This Row],[NETO GRAVADO]:[Otros / No Grav.]])</f>
        <v>423711.75</v>
      </c>
      <c r="Q21" s="49">
        <f>IFERROR(IF(compras_mes3[[#This Row],[CUIT]]="","-",VLOOKUP(compras_mes3[[#This Row],[CUIT]],Lista_CUIT[#All],3,0)),"CUIT NO CARGADO")</f>
        <v>0</v>
      </c>
      <c r="R21" s="49">
        <f>IFERROR(IF(compras_mes3[[#This Row],[CUIT]]="","-",VLOOKUP(compras_mes3[[#This Row],[CUIT]],Lista_CUIT[#All],4,0)),"CUIT NO CARGADO")</f>
        <v>0</v>
      </c>
    </row>
    <row r="22" spans="2:18" x14ac:dyDescent="0.3">
      <c r="B22" s="40">
        <v>44986</v>
      </c>
      <c r="C22" s="41">
        <v>1</v>
      </c>
      <c r="D22" s="42">
        <v>2188</v>
      </c>
      <c r="E22" s="43">
        <v>84208</v>
      </c>
      <c r="F22" s="44">
        <v>30548083156</v>
      </c>
      <c r="G22" s="45" t="str">
        <f>IFERROR(IF(compras_mes3[[#This Row],[CUIT]]="","-",VLOOKUP(compras_mes3[[#This Row],[CUIT]],Lista_CUIT[#All],2,0)),"CUIT NO CARGADO")</f>
        <v>COTO CENTRO INTEGRAL DE COMERCIALIZACION SOCIEDAD ANONIMA</v>
      </c>
      <c r="H22" s="46">
        <v>15364.62</v>
      </c>
      <c r="I22" s="85">
        <v>3094.49</v>
      </c>
      <c r="J22" s="85"/>
      <c r="K22" s="85">
        <v>66.040000000000006</v>
      </c>
      <c r="L22" s="85">
        <v>420.39</v>
      </c>
      <c r="M22" s="85"/>
      <c r="N22" s="85">
        <v>896.89</v>
      </c>
      <c r="O22" s="85"/>
      <c r="P22" s="48">
        <f>SUM(compras_mes3[[#This Row],[NETO GRAVADO]:[Otros / No Grav.]])</f>
        <v>19842.43</v>
      </c>
      <c r="Q22" s="49" t="str">
        <f>IFERROR(IF(compras_mes3[[#This Row],[CUIT]]="","-",VLOOKUP(compras_mes3[[#This Row],[CUIT]],Lista_CUIT[#All],3,0)),"CUIT NO CARGADO")</f>
        <v>GASTOS COMERCIALES</v>
      </c>
      <c r="R22" s="49">
        <f>IFERROR(IF(compras_mes3[[#This Row],[CUIT]]="","-",VLOOKUP(compras_mes3[[#This Row],[CUIT]],Lista_CUIT[#All],4,0)),"CUIT NO CARGADO")</f>
        <v>0</v>
      </c>
    </row>
    <row r="23" spans="2:18" x14ac:dyDescent="0.3">
      <c r="B23" s="345">
        <v>44986</v>
      </c>
      <c r="C23" s="41">
        <v>1</v>
      </c>
      <c r="D23" s="346">
        <v>327</v>
      </c>
      <c r="E23" s="347">
        <v>1694610</v>
      </c>
      <c r="F23" s="348">
        <v>30579939008</v>
      </c>
      <c r="G23" s="349" t="str">
        <f>IFERROR(IF(compras_mes3[[#This Row],[CUIT]]="","-",VLOOKUP(compras_mes3[[#This Row],[CUIT]],Lista_CUIT[#All],2,0)),"CUIT NO CARGADO")</f>
        <v>TRANSPORTES LA SEVILLANITA SRL</v>
      </c>
      <c r="H23" s="350">
        <v>14736.08</v>
      </c>
      <c r="I23" s="351">
        <f>IF(compras_mes3[[#This Row],[NETO GRAVADO]]="","",compras_mes3[[#This Row],[NETO GRAVADO]]*0.21)</f>
        <v>3094.5767999999998</v>
      </c>
      <c r="J23" s="351"/>
      <c r="K23" s="351"/>
      <c r="L23" s="351"/>
      <c r="M23" s="351"/>
      <c r="N23" s="351"/>
      <c r="O23" s="351"/>
      <c r="P23" s="352">
        <f>SUM(compras_mes3[[#This Row],[NETO GRAVADO]:[Otros / No Grav.]])</f>
        <v>17830.656800000001</v>
      </c>
      <c r="Q23" s="353">
        <f>IFERROR(IF(compras_mes3[[#This Row],[CUIT]]="","-",VLOOKUP(compras_mes3[[#This Row],[CUIT]],Lista_CUIT[#All],3,0)),"CUIT NO CARGADO")</f>
        <v>0</v>
      </c>
      <c r="R23" s="353">
        <f>IFERROR(IF(compras_mes3[[#This Row],[CUIT]]="","-",VLOOKUP(compras_mes3[[#This Row],[CUIT]],Lista_CUIT[#All],4,0)),"CUIT NO CARGADO")</f>
        <v>0</v>
      </c>
    </row>
    <row r="24" spans="2:18" x14ac:dyDescent="0.3">
      <c r="B24" s="89">
        <v>44987</v>
      </c>
      <c r="C24" s="41">
        <v>3</v>
      </c>
      <c r="D24" s="91">
        <v>1</v>
      </c>
      <c r="E24" s="92">
        <v>30</v>
      </c>
      <c r="F24" s="93">
        <v>30715048066</v>
      </c>
      <c r="G24" s="94" t="str">
        <f>IFERROR(IF(compras_mes3[[#This Row],[CUIT]]="","-",VLOOKUP(compras_mes3[[#This Row],[CUIT]],Lista_CUIT[#All],2,0)),"CUIT NO CARGADO")</f>
        <v>ROLLS Y EMPANADAS SA</v>
      </c>
      <c r="H24" s="95">
        <v>-353220</v>
      </c>
      <c r="I24" s="86">
        <f>IF(compras_mes3[[#This Row],[NETO GRAVADO]]="","",compras_mes3[[#This Row],[NETO GRAVADO]]*0.21)</f>
        <v>-74176.2</v>
      </c>
      <c r="J24" s="86"/>
      <c r="K24" s="86"/>
      <c r="L24" s="86"/>
      <c r="M24" s="86"/>
      <c r="N24" s="86"/>
      <c r="O24" s="86"/>
      <c r="P24" s="87">
        <f>SUM(compras_mes3[[#This Row],[NETO GRAVADO]:[Otros / No Grav.]])</f>
        <v>-427396.2</v>
      </c>
      <c r="Q24" s="88" t="str">
        <f>IFERROR(IF(compras_mes3[[#This Row],[CUIT]]="","-",VLOOKUP(compras_mes3[[#This Row],[CUIT]],Lista_CUIT[#All],3,0)),"CUIT NO CARGADO")</f>
        <v>CATERING</v>
      </c>
      <c r="R24" s="88">
        <f>IFERROR(IF(compras_mes3[[#This Row],[CUIT]]="","-",VLOOKUP(compras_mes3[[#This Row],[CUIT]],Lista_CUIT[#All],4,0)),"CUIT NO CARGADO")</f>
        <v>0</v>
      </c>
    </row>
    <row r="25" spans="2:18" x14ac:dyDescent="0.3">
      <c r="B25" s="345">
        <v>44987</v>
      </c>
      <c r="C25" s="41">
        <v>1</v>
      </c>
      <c r="D25" s="346">
        <v>2</v>
      </c>
      <c r="E25" s="347">
        <v>101</v>
      </c>
      <c r="F25" s="348">
        <v>33717247189</v>
      </c>
      <c r="G25" s="349" t="str">
        <f>IFERROR(IF(compras_mes3[[#This Row],[CUIT]]="","-",VLOOKUP(compras_mes3[[#This Row],[CUIT]],Lista_CUIT[#All],2,0)),"CUIT NO CARGADO")</f>
        <v>COOP DE TRABAJO PAN DE VIDA LTDA</v>
      </c>
      <c r="H25" s="350">
        <v>9074.3799999999992</v>
      </c>
      <c r="I25" s="351">
        <f>IF(compras_mes3[[#This Row],[NETO GRAVADO]]="","",compras_mes3[[#This Row],[NETO GRAVADO]]*0.21)</f>
        <v>1905.6197999999997</v>
      </c>
      <c r="J25" s="351"/>
      <c r="K25" s="351"/>
      <c r="L25" s="351"/>
      <c r="M25" s="351"/>
      <c r="N25" s="351"/>
      <c r="O25" s="351"/>
      <c r="P25" s="352">
        <f>SUM(compras_mes3[[#This Row],[NETO GRAVADO]:[Otros / No Grav.]])</f>
        <v>10979.9998</v>
      </c>
      <c r="Q25" s="353">
        <f>IFERROR(IF(compras_mes3[[#This Row],[CUIT]]="","-",VLOOKUP(compras_mes3[[#This Row],[CUIT]],Lista_CUIT[#All],3,0)),"CUIT NO CARGADO")</f>
        <v>0</v>
      </c>
      <c r="R25" s="353">
        <f>IFERROR(IF(compras_mes3[[#This Row],[CUIT]]="","-",VLOOKUP(compras_mes3[[#This Row],[CUIT]],Lista_CUIT[#All],4,0)),"CUIT NO CARGADO")</f>
        <v>0</v>
      </c>
    </row>
    <row r="26" spans="2:18" x14ac:dyDescent="0.3">
      <c r="B26" s="345">
        <v>44987</v>
      </c>
      <c r="C26" s="41">
        <v>1</v>
      </c>
      <c r="D26" s="346">
        <v>1</v>
      </c>
      <c r="E26" s="347">
        <v>122</v>
      </c>
      <c r="F26" s="348">
        <v>20077604627</v>
      </c>
      <c r="G26" s="349" t="str">
        <f>IFERROR(IF(compras_mes3[[#This Row],[CUIT]]="","-",VLOOKUP(compras_mes3[[#This Row],[CUIT]],Lista_CUIT[#All],2,0)),"CUIT NO CARGADO")</f>
        <v>OCAÑO ENRIQUE</v>
      </c>
      <c r="H26" s="350">
        <v>65750</v>
      </c>
      <c r="I26" s="351">
        <f>IF(compras_mes3[[#This Row],[NETO GRAVADO]]="","",compras_mes3[[#This Row],[NETO GRAVADO]]*0.21)</f>
        <v>13807.5</v>
      </c>
      <c r="J26" s="351"/>
      <c r="K26" s="351"/>
      <c r="L26" s="351"/>
      <c r="M26" s="351"/>
      <c r="N26" s="351"/>
      <c r="O26" s="351"/>
      <c r="P26" s="352">
        <f>SUM(compras_mes3[[#This Row],[NETO GRAVADO]:[Otros / No Grav.]])</f>
        <v>79557.5</v>
      </c>
      <c r="Q26" s="353">
        <f>IFERROR(IF(compras_mes3[[#This Row],[CUIT]]="","-",VLOOKUP(compras_mes3[[#This Row],[CUIT]],Lista_CUIT[#All],3,0)),"CUIT NO CARGADO")</f>
        <v>0</v>
      </c>
      <c r="R26" s="353">
        <f>IFERROR(IF(compras_mes3[[#This Row],[CUIT]]="","-",VLOOKUP(compras_mes3[[#This Row],[CUIT]],Lista_CUIT[#All],4,0)),"CUIT NO CARGADO")</f>
        <v>0</v>
      </c>
    </row>
    <row r="27" spans="2:18" x14ac:dyDescent="0.3">
      <c r="B27" s="345">
        <v>44987</v>
      </c>
      <c r="C27" s="41">
        <v>1</v>
      </c>
      <c r="D27" s="346">
        <v>6328</v>
      </c>
      <c r="E27" s="347">
        <v>281</v>
      </c>
      <c r="F27" s="348">
        <v>30638485733</v>
      </c>
      <c r="G27" s="349" t="str">
        <f>IFERROR(IF(compras_mes3[[#This Row],[CUIT]]="","-",VLOOKUP(compras_mes3[[#This Row],[CUIT]],Lista_CUIT[#All],2,0)),"CUIT NO CARGADO")</f>
        <v>DABRA SOCIEDAD ANONIMA</v>
      </c>
      <c r="H27" s="350">
        <v>12809.1</v>
      </c>
      <c r="I27" s="351">
        <f>IF(compras_mes3[[#This Row],[NETO GRAVADO]]="","",compras_mes3[[#This Row],[NETO GRAVADO]]*0.21)</f>
        <v>2689.9110000000001</v>
      </c>
      <c r="J27" s="351"/>
      <c r="K27" s="351"/>
      <c r="L27" s="351"/>
      <c r="M27" s="351"/>
      <c r="N27" s="351"/>
      <c r="O27" s="351"/>
      <c r="P27" s="352">
        <f>SUM(compras_mes3[[#This Row],[NETO GRAVADO]:[Otros / No Grav.]])</f>
        <v>15499.011</v>
      </c>
      <c r="Q27" s="353">
        <f>IFERROR(IF(compras_mes3[[#This Row],[CUIT]]="","-",VLOOKUP(compras_mes3[[#This Row],[CUIT]],Lista_CUIT[#All],3,0)),"CUIT NO CARGADO")</f>
        <v>0</v>
      </c>
      <c r="R27" s="353">
        <f>IFERROR(IF(compras_mes3[[#This Row],[CUIT]]="","-",VLOOKUP(compras_mes3[[#This Row],[CUIT]],Lista_CUIT[#All],4,0)),"CUIT NO CARGADO")</f>
        <v>0</v>
      </c>
    </row>
    <row r="28" spans="2:18" x14ac:dyDescent="0.3">
      <c r="B28" s="345">
        <v>44987</v>
      </c>
      <c r="C28" s="41">
        <v>1</v>
      </c>
      <c r="D28" s="346">
        <v>1</v>
      </c>
      <c r="E28" s="347">
        <v>572</v>
      </c>
      <c r="F28" s="348">
        <v>30715048066</v>
      </c>
      <c r="G28" s="349" t="str">
        <f>IFERROR(IF(compras_mes3[[#This Row],[CUIT]]="","-",VLOOKUP(compras_mes3[[#This Row],[CUIT]],Lista_CUIT[#All],2,0)),"CUIT NO CARGADO")</f>
        <v>ROLLS Y EMPANADAS SA</v>
      </c>
      <c r="H28" s="350">
        <v>353220</v>
      </c>
      <c r="I28" s="351">
        <f>IF(compras_mes3[[#This Row],[NETO GRAVADO]]="","",compras_mes3[[#This Row],[NETO GRAVADO]]*0.21)</f>
        <v>74176.2</v>
      </c>
      <c r="J28" s="351"/>
      <c r="K28" s="351"/>
      <c r="L28" s="351"/>
      <c r="M28" s="351"/>
      <c r="N28" s="351"/>
      <c r="O28" s="351"/>
      <c r="P28" s="352">
        <f>SUM(compras_mes3[[#This Row],[NETO GRAVADO]:[Otros / No Grav.]])</f>
        <v>427396.2</v>
      </c>
      <c r="Q28" s="353" t="str">
        <f>IFERROR(IF(compras_mes3[[#This Row],[CUIT]]="","-",VLOOKUP(compras_mes3[[#This Row],[CUIT]],Lista_CUIT[#All],3,0)),"CUIT NO CARGADO")</f>
        <v>CATERING</v>
      </c>
      <c r="R28" s="353">
        <f>IFERROR(IF(compras_mes3[[#This Row],[CUIT]]="","-",VLOOKUP(compras_mes3[[#This Row],[CUIT]],Lista_CUIT[#All],4,0)),"CUIT NO CARGADO")</f>
        <v>0</v>
      </c>
    </row>
    <row r="29" spans="2:18" x14ac:dyDescent="0.3">
      <c r="B29" s="345">
        <v>44987</v>
      </c>
      <c r="C29" s="41">
        <v>1</v>
      </c>
      <c r="D29" s="346">
        <v>2</v>
      </c>
      <c r="E29" s="347">
        <v>3279</v>
      </c>
      <c r="F29" s="348">
        <v>30629863571</v>
      </c>
      <c r="G29" s="349" t="str">
        <f>IFERROR(IF(compras_mes3[[#This Row],[CUIT]]="","-",VLOOKUP(compras_mes3[[#This Row],[CUIT]],Lista_CUIT[#All],2,0)),"CUIT NO CARGADO")</f>
        <v>TECNIMAR S R L</v>
      </c>
      <c r="H29" s="350">
        <v>458729.19</v>
      </c>
      <c r="I29" s="351">
        <f>IF(compras_mes3[[#This Row],[NETO GRAVADO]]="","",compras_mes3[[#This Row],[NETO GRAVADO]]*0.21)</f>
        <v>96333.1299</v>
      </c>
      <c r="J29" s="351"/>
      <c r="K29" s="351"/>
      <c r="L29" s="351"/>
      <c r="M29" s="351"/>
      <c r="N29" s="351"/>
      <c r="O29" s="351"/>
      <c r="P29" s="352">
        <f>SUM(compras_mes3[[#This Row],[NETO GRAVADO]:[Otros / No Grav.]])</f>
        <v>555062.3199</v>
      </c>
      <c r="Q29" s="353" t="str">
        <f>IFERROR(IF(compras_mes3[[#This Row],[CUIT]]="","-",VLOOKUP(compras_mes3[[#This Row],[CUIT]],Lista_CUIT[#All],3,0)),"CUIT NO CARGADO")</f>
        <v>LABORATORIO</v>
      </c>
      <c r="R29" s="353">
        <f>IFERROR(IF(compras_mes3[[#This Row],[CUIT]]="","-",VLOOKUP(compras_mes3[[#This Row],[CUIT]],Lista_CUIT[#All],4,0)),"CUIT NO CARGADO")</f>
        <v>0</v>
      </c>
    </row>
    <row r="30" spans="2:18" x14ac:dyDescent="0.3">
      <c r="B30" s="345">
        <v>44987</v>
      </c>
      <c r="C30" s="41">
        <v>1</v>
      </c>
      <c r="D30" s="346">
        <v>4</v>
      </c>
      <c r="E30" s="347">
        <v>8591</v>
      </c>
      <c r="F30" s="348">
        <v>30694547903</v>
      </c>
      <c r="G30" s="349" t="str">
        <f>IFERROR(IF(compras_mes3[[#This Row],[CUIT]]="","-",VLOOKUP(compras_mes3[[#This Row],[CUIT]],Lista_CUIT[#All],2,0)),"CUIT NO CARGADO")</f>
        <v>MULTICAJAS S A</v>
      </c>
      <c r="H30" s="350">
        <v>0</v>
      </c>
      <c r="I30" s="351">
        <f>IF(compras_mes3[[#This Row],[NETO GRAVADO]]="","",compras_mes3[[#This Row],[NETO GRAVADO]]*0.21)</f>
        <v>0</v>
      </c>
      <c r="J30" s="351"/>
      <c r="K30" s="351"/>
      <c r="L30" s="351"/>
      <c r="M30" s="351"/>
      <c r="N30" s="351"/>
      <c r="O30" s="351">
        <v>59450</v>
      </c>
      <c r="P30" s="352">
        <f>SUM(compras_mes3[[#This Row],[NETO GRAVADO]:[Otros / No Grav.]])</f>
        <v>59450</v>
      </c>
      <c r="Q30" s="353">
        <f>IFERROR(IF(compras_mes3[[#This Row],[CUIT]]="","-",VLOOKUP(compras_mes3[[#This Row],[CUIT]],Lista_CUIT[#All],3,0)),"CUIT NO CARGADO")</f>
        <v>0</v>
      </c>
      <c r="R30" s="353">
        <f>IFERROR(IF(compras_mes3[[#This Row],[CUIT]]="","-",VLOOKUP(compras_mes3[[#This Row],[CUIT]],Lista_CUIT[#All],4,0)),"CUIT NO CARGADO")</f>
        <v>0</v>
      </c>
    </row>
    <row r="31" spans="2:18" x14ac:dyDescent="0.3">
      <c r="B31" s="345">
        <v>44987</v>
      </c>
      <c r="C31" s="354">
        <v>1</v>
      </c>
      <c r="D31" s="346">
        <v>11</v>
      </c>
      <c r="E31" s="347">
        <v>15290</v>
      </c>
      <c r="F31" s="348">
        <v>30699166673</v>
      </c>
      <c r="G31" s="349" t="str">
        <f>IFERROR(IF(compras_mes3[[#This Row],[CUIT]]="","-",VLOOKUP(compras_mes3[[#This Row],[CUIT]],Lista_CUIT[#All],2,0)),"CUIT NO CARGADO")</f>
        <v>DEL TRABAJO SA</v>
      </c>
      <c r="H31" s="350">
        <v>2141.87</v>
      </c>
      <c r="I31" s="351">
        <f>IF(compras_mes3[[#This Row],[NETO GRAVADO]]="","",compras_mes3[[#This Row],[NETO GRAVADO]]*0.21)</f>
        <v>449.79269999999997</v>
      </c>
      <c r="J31" s="351"/>
      <c r="K31" s="351"/>
      <c r="L31" s="351"/>
      <c r="M31" s="351"/>
      <c r="N31" s="351"/>
      <c r="O31" s="351">
        <v>408.33</v>
      </c>
      <c r="P31" s="352">
        <f>SUM(compras_mes3[[#This Row],[NETO GRAVADO]:[Otros / No Grav.]])</f>
        <v>2999.9926999999998</v>
      </c>
      <c r="Q31" s="353">
        <f>IFERROR(IF(compras_mes3[[#This Row],[CUIT]]="","-",VLOOKUP(compras_mes3[[#This Row],[CUIT]],Lista_CUIT[#All],3,0)),"CUIT NO CARGADO")</f>
        <v>0</v>
      </c>
      <c r="R31" s="353">
        <f>IFERROR(IF(compras_mes3[[#This Row],[CUIT]]="","-",VLOOKUP(compras_mes3[[#This Row],[CUIT]],Lista_CUIT[#All],4,0)),"CUIT NO CARGADO")</f>
        <v>0</v>
      </c>
    </row>
    <row r="32" spans="2:18" x14ac:dyDescent="0.3">
      <c r="B32" s="345">
        <v>44987</v>
      </c>
      <c r="C32" s="41">
        <v>1</v>
      </c>
      <c r="D32" s="346">
        <v>629</v>
      </c>
      <c r="E32" s="347">
        <v>3982716</v>
      </c>
      <c r="F32" s="348">
        <v>30663498513</v>
      </c>
      <c r="G32" s="349" t="str">
        <f>IFERROR(IF(compras_mes3[[#This Row],[CUIT]]="","-",VLOOKUP(compras_mes3[[#This Row],[CUIT]],Lista_CUIT[#All],2,0)),"CUIT NO CARGADO")</f>
        <v>GRUPO CONCES. DEL OESTE SA</v>
      </c>
      <c r="H32" s="350">
        <v>1414.88</v>
      </c>
      <c r="I32" s="351">
        <f>IF(compras_mes3[[#This Row],[NETO GRAVADO]]="","",compras_mes3[[#This Row],[NETO GRAVADO]]*0.21)</f>
        <v>297.12479999999999</v>
      </c>
      <c r="J32" s="351"/>
      <c r="K32" s="351"/>
      <c r="L32" s="351"/>
      <c r="M32" s="351"/>
      <c r="N32" s="351"/>
      <c r="O32" s="351"/>
      <c r="P32" s="352">
        <f>SUM(compras_mes3[[#This Row],[NETO GRAVADO]:[Otros / No Grav.]])</f>
        <v>1712.0048000000002</v>
      </c>
      <c r="Q32" s="353">
        <f>IFERROR(IF(compras_mes3[[#This Row],[CUIT]]="","-",VLOOKUP(compras_mes3[[#This Row],[CUIT]],Lista_CUIT[#All],3,0)),"CUIT NO CARGADO")</f>
        <v>0</v>
      </c>
      <c r="R32" s="353">
        <f>IFERROR(IF(compras_mes3[[#This Row],[CUIT]]="","-",VLOOKUP(compras_mes3[[#This Row],[CUIT]],Lista_CUIT[#All],4,0)),"CUIT NO CARGADO")</f>
        <v>0</v>
      </c>
    </row>
    <row r="33" spans="2:18" x14ac:dyDescent="0.3">
      <c r="B33" s="345">
        <v>44987</v>
      </c>
      <c r="C33" s="41">
        <v>1</v>
      </c>
      <c r="D33" s="346">
        <v>711</v>
      </c>
      <c r="E33" s="347">
        <v>4029700</v>
      </c>
      <c r="F33" s="348">
        <v>30677237119</v>
      </c>
      <c r="G33" s="349" t="str">
        <f>IFERROR(IF(compras_mes3[[#This Row],[CUIT]]="","-",VLOOKUP(compras_mes3[[#This Row],[CUIT]],Lista_CUIT[#All],2,0)),"CUIT NO CARGADO")</f>
        <v>AUTOPISTAS DEL SOL S A</v>
      </c>
      <c r="H33" s="350">
        <v>1639.68</v>
      </c>
      <c r="I33" s="351">
        <f>IF(compras_mes3[[#This Row],[NETO GRAVADO]]="","",compras_mes3[[#This Row],[NETO GRAVADO]]*0.21)</f>
        <v>344.33280000000002</v>
      </c>
      <c r="J33" s="351"/>
      <c r="K33" s="351"/>
      <c r="L33" s="351"/>
      <c r="M33" s="351"/>
      <c r="N33" s="351"/>
      <c r="O33" s="351"/>
      <c r="P33" s="352">
        <f>SUM(compras_mes3[[#This Row],[NETO GRAVADO]:[Otros / No Grav.]])</f>
        <v>1984.0128</v>
      </c>
      <c r="Q33" s="353">
        <f>IFERROR(IF(compras_mes3[[#This Row],[CUIT]]="","-",VLOOKUP(compras_mes3[[#This Row],[CUIT]],Lista_CUIT[#All],3,0)),"CUIT NO CARGADO")</f>
        <v>0</v>
      </c>
      <c r="R33" s="353">
        <f>IFERROR(IF(compras_mes3[[#This Row],[CUIT]]="","-",VLOOKUP(compras_mes3[[#This Row],[CUIT]],Lista_CUIT[#All],4,0)),"CUIT NO CARGADO")</f>
        <v>0</v>
      </c>
    </row>
    <row r="34" spans="2:18" x14ac:dyDescent="0.3">
      <c r="B34" s="345">
        <v>44988</v>
      </c>
      <c r="C34" s="41">
        <v>1</v>
      </c>
      <c r="D34" s="346">
        <v>23</v>
      </c>
      <c r="E34" s="347">
        <v>59</v>
      </c>
      <c r="F34" s="348">
        <v>30716032120</v>
      </c>
      <c r="G34" s="349" t="str">
        <f>IFERROR(IF(compras_mes3[[#This Row],[CUIT]]="","-",VLOOKUP(compras_mes3[[#This Row],[CUIT]],Lista_CUIT[#All],2,0)),"CUIT NO CARGADO")</f>
        <v>BROKEN MOBILE S.A.S.</v>
      </c>
      <c r="H34" s="350">
        <v>5363.64</v>
      </c>
      <c r="I34" s="351">
        <f>IF(compras_mes3[[#This Row],[NETO GRAVADO]]="","",compras_mes3[[#This Row],[NETO GRAVADO]]*0.21)</f>
        <v>1126.3643999999999</v>
      </c>
      <c r="J34" s="351"/>
      <c r="K34" s="351"/>
      <c r="L34" s="351"/>
      <c r="M34" s="351"/>
      <c r="N34" s="351"/>
      <c r="O34" s="351"/>
      <c r="P34" s="352">
        <f>SUM(compras_mes3[[#This Row],[NETO GRAVADO]:[Otros / No Grav.]])</f>
        <v>6490.0043999999998</v>
      </c>
      <c r="Q34" s="353">
        <f>IFERROR(IF(compras_mes3[[#This Row],[CUIT]]="","-",VLOOKUP(compras_mes3[[#This Row],[CUIT]],Lista_CUIT[#All],3,0)),"CUIT NO CARGADO")</f>
        <v>0</v>
      </c>
      <c r="R34" s="353">
        <f>IFERROR(IF(compras_mes3[[#This Row],[CUIT]]="","-",VLOOKUP(compras_mes3[[#This Row],[CUIT]],Lista_CUIT[#All],4,0)),"CUIT NO CARGADO")</f>
        <v>0</v>
      </c>
    </row>
    <row r="35" spans="2:18" x14ac:dyDescent="0.3">
      <c r="B35" s="345">
        <v>44988</v>
      </c>
      <c r="C35" s="41">
        <v>1</v>
      </c>
      <c r="D35" s="346">
        <v>5</v>
      </c>
      <c r="E35" s="347">
        <v>297</v>
      </c>
      <c r="F35" s="348">
        <v>30716654105</v>
      </c>
      <c r="G35" s="349" t="str">
        <f>IFERROR(IF(compras_mes3[[#This Row],[CUIT]]="","-",VLOOKUP(compras_mes3[[#This Row],[CUIT]],Lista_CUIT[#All],2,0)),"CUIT NO CARGADO")</f>
        <v>CARNICA DEL NORTE S.R.L.</v>
      </c>
      <c r="H35" s="350">
        <v>8479.33</v>
      </c>
      <c r="I35" s="351"/>
      <c r="J35" s="351"/>
      <c r="K35" s="351">
        <v>890.33</v>
      </c>
      <c r="L35" s="351"/>
      <c r="M35" s="351"/>
      <c r="N35" s="351"/>
      <c r="O35" s="351"/>
      <c r="P35" s="352">
        <f>SUM(compras_mes3[[#This Row],[NETO GRAVADO]:[Otros / No Grav.]])</f>
        <v>9369.66</v>
      </c>
      <c r="Q35" s="353">
        <f>IFERROR(IF(compras_mes3[[#This Row],[CUIT]]="","-",VLOOKUP(compras_mes3[[#This Row],[CUIT]],Lista_CUIT[#All],3,0)),"CUIT NO CARGADO")</f>
        <v>0</v>
      </c>
      <c r="R35" s="353">
        <f>IFERROR(IF(compras_mes3[[#This Row],[CUIT]]="","-",VLOOKUP(compras_mes3[[#This Row],[CUIT]],Lista_CUIT[#All],4,0)),"CUIT NO CARGADO")</f>
        <v>0</v>
      </c>
    </row>
    <row r="36" spans="2:18" x14ac:dyDescent="0.3">
      <c r="B36" s="345">
        <v>44988</v>
      </c>
      <c r="C36" s="41">
        <v>1</v>
      </c>
      <c r="D36" s="346">
        <v>13</v>
      </c>
      <c r="E36" s="347">
        <v>4306</v>
      </c>
      <c r="F36" s="348">
        <v>20172002448</v>
      </c>
      <c r="G36" s="349" t="str">
        <f>IFERROR(IF(compras_mes3[[#This Row],[CUIT]]="","-",VLOOKUP(compras_mes3[[#This Row],[CUIT]],Lista_CUIT[#All],2,0)),"CUIT NO CARGADO")</f>
        <v>ALVAREZ MIGUEL ANGEL</v>
      </c>
      <c r="H36" s="350">
        <v>13538.35</v>
      </c>
      <c r="I36" s="351">
        <f>IF(compras_mes3[[#This Row],[NETO GRAVADO]]="","",compras_mes3[[#This Row],[NETO GRAVADO]]*0.21)</f>
        <v>2843.0535</v>
      </c>
      <c r="J36" s="351"/>
      <c r="K36" s="351"/>
      <c r="L36" s="351"/>
      <c r="M36" s="351"/>
      <c r="N36" s="351"/>
      <c r="O36" s="351"/>
      <c r="P36" s="352">
        <f>SUM(compras_mes3[[#This Row],[NETO GRAVADO]:[Otros / No Grav.]])</f>
        <v>16381.4035</v>
      </c>
      <c r="Q36" s="353">
        <f>IFERROR(IF(compras_mes3[[#This Row],[CUIT]]="","-",VLOOKUP(compras_mes3[[#This Row],[CUIT]],Lista_CUIT[#All],3,0)),"CUIT NO CARGADO")</f>
        <v>0</v>
      </c>
      <c r="R36" s="353">
        <f>IFERROR(IF(compras_mes3[[#This Row],[CUIT]]="","-",VLOOKUP(compras_mes3[[#This Row],[CUIT]],Lista_CUIT[#All],4,0)),"CUIT NO CARGADO")</f>
        <v>0</v>
      </c>
    </row>
    <row r="37" spans="2:18" x14ac:dyDescent="0.3">
      <c r="B37" s="345">
        <v>44988</v>
      </c>
      <c r="C37" s="41">
        <v>1</v>
      </c>
      <c r="D37" s="346">
        <v>13</v>
      </c>
      <c r="E37" s="347">
        <v>4307</v>
      </c>
      <c r="F37" s="348">
        <v>20172002448</v>
      </c>
      <c r="G37" s="349" t="str">
        <f>IFERROR(IF(compras_mes3[[#This Row],[CUIT]]="","-",VLOOKUP(compras_mes3[[#This Row],[CUIT]],Lista_CUIT[#All],2,0)),"CUIT NO CARGADO")</f>
        <v>ALVAREZ MIGUEL ANGEL</v>
      </c>
      <c r="H37" s="350">
        <v>16272.96</v>
      </c>
      <c r="I37" s="351">
        <f>IF(compras_mes3[[#This Row],[NETO GRAVADO]]="","",compras_mes3[[#This Row],[NETO GRAVADO]]*0.21)</f>
        <v>3417.3215999999998</v>
      </c>
      <c r="J37" s="351"/>
      <c r="K37" s="351"/>
      <c r="L37" s="351"/>
      <c r="M37" s="351"/>
      <c r="N37" s="351"/>
      <c r="O37" s="351"/>
      <c r="P37" s="352">
        <f>SUM(compras_mes3[[#This Row],[NETO GRAVADO]:[Otros / No Grav.]])</f>
        <v>19690.281599999998</v>
      </c>
      <c r="Q37" s="353">
        <f>IFERROR(IF(compras_mes3[[#This Row],[CUIT]]="","-",VLOOKUP(compras_mes3[[#This Row],[CUIT]],Lista_CUIT[#All],3,0)),"CUIT NO CARGADO")</f>
        <v>0</v>
      </c>
      <c r="R37" s="353">
        <f>IFERROR(IF(compras_mes3[[#This Row],[CUIT]]="","-",VLOOKUP(compras_mes3[[#This Row],[CUIT]],Lista_CUIT[#All],4,0)),"CUIT NO CARGADO")</f>
        <v>0</v>
      </c>
    </row>
    <row r="38" spans="2:18" x14ac:dyDescent="0.3">
      <c r="B38" s="345">
        <v>44988</v>
      </c>
      <c r="C38" s="41">
        <v>1</v>
      </c>
      <c r="D38" s="346">
        <v>5014</v>
      </c>
      <c r="E38" s="347">
        <v>380694</v>
      </c>
      <c r="F38" s="348">
        <v>30574876474</v>
      </c>
      <c r="G38" s="349" t="str">
        <f>IFERROR(IF(compras_mes3[[#This Row],[CUIT]]="","-",VLOOKUP(compras_mes3[[#This Row],[CUIT]],Lista_CUIT[#All],2,0)),"CUIT NO CARGADO")</f>
        <v>AUTOPISTAS URBANAS S A</v>
      </c>
      <c r="H38" s="350">
        <v>9835.43</v>
      </c>
      <c r="I38" s="351">
        <f>IF(compras_mes3[[#This Row],[NETO GRAVADO]]="","",compras_mes3[[#This Row],[NETO GRAVADO]]*0.21)</f>
        <v>2065.4403000000002</v>
      </c>
      <c r="J38" s="351"/>
      <c r="K38" s="351"/>
      <c r="L38" s="351"/>
      <c r="M38" s="351"/>
      <c r="N38" s="351"/>
      <c r="O38" s="351">
        <v>1277.42</v>
      </c>
      <c r="P38" s="352">
        <f>SUM(compras_mes3[[#This Row],[NETO GRAVADO]:[Otros / No Grav.]])</f>
        <v>13178.290300000001</v>
      </c>
      <c r="Q38" s="353">
        <f>IFERROR(IF(compras_mes3[[#This Row],[CUIT]]="","-",VLOOKUP(compras_mes3[[#This Row],[CUIT]],Lista_CUIT[#All],3,0)),"CUIT NO CARGADO")</f>
        <v>0</v>
      </c>
      <c r="R38" s="353">
        <f>IFERROR(IF(compras_mes3[[#This Row],[CUIT]]="","-",VLOOKUP(compras_mes3[[#This Row],[CUIT]],Lista_CUIT[#All],4,0)),"CUIT NO CARGADO")</f>
        <v>0</v>
      </c>
    </row>
    <row r="39" spans="2:18" x14ac:dyDescent="0.3">
      <c r="B39" s="345">
        <v>44988</v>
      </c>
      <c r="C39" s="41">
        <v>1</v>
      </c>
      <c r="D39" s="346">
        <v>943</v>
      </c>
      <c r="E39" s="347">
        <v>1392581</v>
      </c>
      <c r="F39" s="348">
        <v>30639453975</v>
      </c>
      <c r="G39" s="349" t="str">
        <f>IFERROR(IF(compras_mes3[[#This Row],[CUIT]]="","-",VLOOKUP(compras_mes3[[#This Row],[CUIT]],Lista_CUIT[#All],2,0)),"CUIT NO CARGADO")</f>
        <v>TELEFONICA DE ARG S.A.</v>
      </c>
      <c r="H39" s="350">
        <v>18300.41</v>
      </c>
      <c r="I39" s="351"/>
      <c r="J39" s="351">
        <v>4941.1099999999997</v>
      </c>
      <c r="K39" s="351"/>
      <c r="L39" s="351">
        <v>549.01</v>
      </c>
      <c r="M39" s="351"/>
      <c r="N39" s="351">
        <v>1098.02</v>
      </c>
      <c r="O39" s="351"/>
      <c r="P39" s="352">
        <f>SUM(compras_mes3[[#This Row],[NETO GRAVADO]:[Otros / No Grav.]])</f>
        <v>24888.55</v>
      </c>
      <c r="Q39" s="353" t="str">
        <f>IFERROR(IF(compras_mes3[[#This Row],[CUIT]]="","-",VLOOKUP(compras_mes3[[#This Row],[CUIT]],Lista_CUIT[#All],3,0)),"CUIT NO CARGADO")</f>
        <v>Servicios Gas, Luz, etc.</v>
      </c>
      <c r="R39" s="353">
        <f>IFERROR(IF(compras_mes3[[#This Row],[CUIT]]="","-",VLOOKUP(compras_mes3[[#This Row],[CUIT]],Lista_CUIT[#All],4,0)),"CUIT NO CARGADO")</f>
        <v>0</v>
      </c>
    </row>
    <row r="40" spans="2:18" x14ac:dyDescent="0.3">
      <c r="B40" s="345">
        <v>44989</v>
      </c>
      <c r="C40" s="41">
        <v>1</v>
      </c>
      <c r="D40" s="346">
        <v>8</v>
      </c>
      <c r="E40" s="347">
        <v>122</v>
      </c>
      <c r="F40" s="348">
        <v>20338956496</v>
      </c>
      <c r="G40" s="349" t="str">
        <f>IFERROR(IF(compras_mes3[[#This Row],[CUIT]]="","-",VLOOKUP(compras_mes3[[#This Row],[CUIT]],Lista_CUIT[#All],2,0)),"CUIT NO CARGADO")</f>
        <v>MOREIRA CORONEL NESTOR NAHUEL</v>
      </c>
      <c r="H40" s="350">
        <v>18099.169999999998</v>
      </c>
      <c r="I40" s="351">
        <f>IF(compras_mes3[[#This Row],[NETO GRAVADO]]="","",compras_mes3[[#This Row],[NETO GRAVADO]]*0.21)</f>
        <v>3800.8256999999994</v>
      </c>
      <c r="J40" s="351"/>
      <c r="K40" s="351"/>
      <c r="L40" s="351"/>
      <c r="M40" s="351"/>
      <c r="N40" s="351"/>
      <c r="O40" s="351"/>
      <c r="P40" s="352">
        <f>SUM(compras_mes3[[#This Row],[NETO GRAVADO]:[Otros / No Grav.]])</f>
        <v>21899.995699999999</v>
      </c>
      <c r="Q40" s="353">
        <f>IFERROR(IF(compras_mes3[[#This Row],[CUIT]]="","-",VLOOKUP(compras_mes3[[#This Row],[CUIT]],Lista_CUIT[#All],3,0)),"CUIT NO CARGADO")</f>
        <v>0</v>
      </c>
      <c r="R40" s="353">
        <f>IFERROR(IF(compras_mes3[[#This Row],[CUIT]]="","-",VLOOKUP(compras_mes3[[#This Row],[CUIT]],Lista_CUIT[#All],4,0)),"CUIT NO CARGADO")</f>
        <v>0</v>
      </c>
    </row>
    <row r="41" spans="2:18" x14ac:dyDescent="0.3">
      <c r="B41" s="345">
        <v>44989</v>
      </c>
      <c r="C41" s="41">
        <v>1</v>
      </c>
      <c r="D41" s="346">
        <v>12</v>
      </c>
      <c r="E41" s="347">
        <v>19099</v>
      </c>
      <c r="F41" s="348">
        <v>30696131003</v>
      </c>
      <c r="G41" s="349" t="str">
        <f>IFERROR(IF(compras_mes3[[#This Row],[CUIT]]="","-",VLOOKUP(compras_mes3[[#This Row],[CUIT]],Lista_CUIT[#All],2,0)),"CUIT NO CARGADO")</f>
        <v>Petrolfe S.A.</v>
      </c>
      <c r="H41" s="350">
        <v>27480.1</v>
      </c>
      <c r="I41" s="351">
        <f>IF(compras_mes3[[#This Row],[NETO GRAVADO]]="","",compras_mes3[[#This Row],[NETO GRAVADO]]*0.21)</f>
        <v>5770.8209999999999</v>
      </c>
      <c r="J41" s="351"/>
      <c r="K41" s="351"/>
      <c r="L41" s="351"/>
      <c r="M41" s="351"/>
      <c r="N41" s="351"/>
      <c r="O41" s="351">
        <v>5797.2</v>
      </c>
      <c r="P41" s="352">
        <f>SUM(compras_mes3[[#This Row],[NETO GRAVADO]:[Otros / No Grav.]])</f>
        <v>39048.120999999999</v>
      </c>
      <c r="Q41" s="353" t="str">
        <f>IFERROR(IF(compras_mes3[[#This Row],[CUIT]]="","-",VLOOKUP(compras_mes3[[#This Row],[CUIT]],Lista_CUIT[#All],3,0)),"CUIT NO CARGADO")</f>
        <v>Combustible</v>
      </c>
      <c r="R41" s="353">
        <f>IFERROR(IF(compras_mes3[[#This Row],[CUIT]]="","-",VLOOKUP(compras_mes3[[#This Row],[CUIT]],Lista_CUIT[#All],4,0)),"CUIT NO CARGADO")</f>
        <v>0</v>
      </c>
    </row>
    <row r="42" spans="2:18" x14ac:dyDescent="0.3">
      <c r="B42" s="345">
        <v>44989</v>
      </c>
      <c r="C42" s="41">
        <v>1</v>
      </c>
      <c r="D42" s="346">
        <v>50</v>
      </c>
      <c r="E42" s="347">
        <v>2985493</v>
      </c>
      <c r="F42" s="348">
        <v>30714112836</v>
      </c>
      <c r="G42" s="349" t="str">
        <f>IFERROR(IF(compras_mes3[[#This Row],[CUIT]]="","-",VLOOKUP(compras_mes3[[#This Row],[CUIT]],Lista_CUIT[#All],2,0)),"CUIT NO CARGADO")</f>
        <v>AUTOPISTAS DE BS AS</v>
      </c>
      <c r="H42" s="350">
        <v>1607.44</v>
      </c>
      <c r="I42" s="351">
        <f>IF(compras_mes3[[#This Row],[NETO GRAVADO]]="","",compras_mes3[[#This Row],[NETO GRAVADO]]*0.21)</f>
        <v>337.56240000000003</v>
      </c>
      <c r="J42" s="351"/>
      <c r="K42" s="351"/>
      <c r="L42" s="351">
        <v>48.22</v>
      </c>
      <c r="M42" s="351"/>
      <c r="N42" s="351"/>
      <c r="O42" s="351"/>
      <c r="P42" s="352">
        <f>SUM(compras_mes3[[#This Row],[NETO GRAVADO]:[Otros / No Grav.]])</f>
        <v>1993.2224000000001</v>
      </c>
      <c r="Q42" s="353">
        <f>IFERROR(IF(compras_mes3[[#This Row],[CUIT]]="","-",VLOOKUP(compras_mes3[[#This Row],[CUIT]],Lista_CUIT[#All],3,0)),"CUIT NO CARGADO")</f>
        <v>0</v>
      </c>
      <c r="R42" s="353">
        <f>IFERROR(IF(compras_mes3[[#This Row],[CUIT]]="","-",VLOOKUP(compras_mes3[[#This Row],[CUIT]],Lista_CUIT[#All],4,0)),"CUIT NO CARGADO")</f>
        <v>0</v>
      </c>
    </row>
    <row r="43" spans="2:18" x14ac:dyDescent="0.3">
      <c r="B43" s="345">
        <v>44991</v>
      </c>
      <c r="C43" s="41">
        <v>1</v>
      </c>
      <c r="D43" s="346">
        <v>6</v>
      </c>
      <c r="E43" s="347">
        <v>2451</v>
      </c>
      <c r="F43" s="348">
        <v>30574603788</v>
      </c>
      <c r="G43" s="349" t="str">
        <f>IFERROR(IF(compras_mes3[[#This Row],[CUIT]]="","-",VLOOKUP(compras_mes3[[#This Row],[CUIT]],Lista_CUIT[#All],2,0)),"CUIT NO CARGADO")</f>
        <v>CODAC SRL</v>
      </c>
      <c r="H43" s="350">
        <v>684914</v>
      </c>
      <c r="I43" s="351">
        <f>IF(compras_mes3[[#This Row],[NETO GRAVADO]]="","",compras_mes3[[#This Row],[NETO GRAVADO]]*0.21)</f>
        <v>143831.94</v>
      </c>
      <c r="J43" s="351"/>
      <c r="K43" s="351"/>
      <c r="L43" s="351"/>
      <c r="M43" s="351"/>
      <c r="N43" s="351"/>
      <c r="O43" s="351"/>
      <c r="P43" s="352">
        <f>SUM(compras_mes3[[#This Row],[NETO GRAVADO]:[Otros / No Grav.]])</f>
        <v>828745.94</v>
      </c>
      <c r="Q43" s="353" t="str">
        <f>IFERROR(IF(compras_mes3[[#This Row],[CUIT]]="","-",VLOOKUP(compras_mes3[[#This Row],[CUIT]],Lista_CUIT[#All],3,0)),"CUIT NO CARGADO")</f>
        <v>GASTOS COSMETICA</v>
      </c>
      <c r="R43" s="353" t="str">
        <f>IFERROR(IF(compras_mes3[[#This Row],[CUIT]]="","-",VLOOKUP(compras_mes3[[#This Row],[CUIT]],Lista_CUIT[#All],4,0)),"CUIT NO CARGADO")</f>
        <v>BUENOS AIRES</v>
      </c>
    </row>
    <row r="44" spans="2:18" x14ac:dyDescent="0.3">
      <c r="B44" s="345">
        <v>44991</v>
      </c>
      <c r="C44" s="41">
        <v>1</v>
      </c>
      <c r="D44" s="346">
        <v>23</v>
      </c>
      <c r="E44" s="347">
        <v>9819</v>
      </c>
      <c r="F44" s="348">
        <v>30515800219</v>
      </c>
      <c r="G44" s="349" t="str">
        <f>IFERROR(IF(compras_mes3[[#This Row],[CUIT]]="","-",VLOOKUP(compras_mes3[[#This Row],[CUIT]],Lista_CUIT[#All],2,0)),"CUIT NO CARGADO")</f>
        <v>INCAT SRL</v>
      </c>
      <c r="H44" s="350">
        <v>1055.05</v>
      </c>
      <c r="I44" s="351">
        <f>IF(compras_mes3[[#This Row],[NETO GRAVADO]]="","",compras_mes3[[#This Row],[NETO GRAVADO]]*0.21)</f>
        <v>221.56049999999999</v>
      </c>
      <c r="J44" s="351"/>
      <c r="K44" s="351"/>
      <c r="L44" s="351"/>
      <c r="M44" s="351"/>
      <c r="N44" s="351"/>
      <c r="O44" s="351">
        <v>223.94</v>
      </c>
      <c r="P44" s="352">
        <f>SUM(compras_mes3[[#This Row],[NETO GRAVADO]:[Otros / No Grav.]])</f>
        <v>1500.5505000000001</v>
      </c>
      <c r="Q44" s="353" t="str">
        <f>IFERROR(IF(compras_mes3[[#This Row],[CUIT]]="","-",VLOOKUP(compras_mes3[[#This Row],[CUIT]],Lista_CUIT[#All],3,0)),"CUIT NO CARGADO")</f>
        <v>Combustibe</v>
      </c>
      <c r="R44" s="353" t="str">
        <f>IFERROR(IF(compras_mes3[[#This Row],[CUIT]]="","-",VLOOKUP(compras_mes3[[#This Row],[CUIT]],Lista_CUIT[#All],4,0)),"CUIT NO CARGADO")</f>
        <v>CABA</v>
      </c>
    </row>
    <row r="45" spans="2:18" x14ac:dyDescent="0.3">
      <c r="B45" s="345">
        <v>44991</v>
      </c>
      <c r="C45" s="41">
        <v>1</v>
      </c>
      <c r="D45" s="346">
        <v>2</v>
      </c>
      <c r="E45" s="347">
        <v>34115</v>
      </c>
      <c r="F45" s="348">
        <v>33714232199</v>
      </c>
      <c r="G45" s="349" t="str">
        <f>IFERROR(IF(compras_mes3[[#This Row],[CUIT]]="","-",VLOOKUP(compras_mes3[[#This Row],[CUIT]],Lista_CUIT[#All],2,0)),"CUIT NO CARGADO")</f>
        <v>NUAGE SYSTEMS S.A.</v>
      </c>
      <c r="H45" s="350">
        <v>29988</v>
      </c>
      <c r="I45" s="351">
        <f>IF(compras_mes3[[#This Row],[NETO GRAVADO]]="","",compras_mes3[[#This Row],[NETO GRAVADO]]*0.21)</f>
        <v>6297.48</v>
      </c>
      <c r="J45" s="351"/>
      <c r="K45" s="351"/>
      <c r="L45" s="351"/>
      <c r="M45" s="351"/>
      <c r="N45" s="351"/>
      <c r="O45" s="351"/>
      <c r="P45" s="352">
        <f>SUM(compras_mes3[[#This Row],[NETO GRAVADO]:[Otros / No Grav.]])</f>
        <v>36285.479999999996</v>
      </c>
      <c r="Q45" s="353">
        <f>IFERROR(IF(compras_mes3[[#This Row],[CUIT]]="","-",VLOOKUP(compras_mes3[[#This Row],[CUIT]],Lista_CUIT[#All],3,0)),"CUIT NO CARGADO")</f>
        <v>0</v>
      </c>
      <c r="R45" s="353">
        <f>IFERROR(IF(compras_mes3[[#This Row],[CUIT]]="","-",VLOOKUP(compras_mes3[[#This Row],[CUIT]],Lista_CUIT[#All],4,0)),"CUIT NO CARGADO")</f>
        <v>0</v>
      </c>
    </row>
    <row r="46" spans="2:18" x14ac:dyDescent="0.3">
      <c r="B46" s="345">
        <v>44991</v>
      </c>
      <c r="C46" s="41">
        <v>1</v>
      </c>
      <c r="D46" s="346">
        <v>63</v>
      </c>
      <c r="E46" s="347">
        <v>2300314</v>
      </c>
      <c r="F46" s="348">
        <v>30640897267</v>
      </c>
      <c r="G46" s="349" t="str">
        <f>IFERROR(IF(compras_mes3[[#This Row],[CUIT]]="","-",VLOOKUP(compras_mes3[[#This Row],[CUIT]],Lista_CUIT[#All],2,0)),"CUIT NO CARGADO")</f>
        <v>TELECENTRO S.A.</v>
      </c>
      <c r="H46" s="350">
        <v>8079.34</v>
      </c>
      <c r="I46" s="351">
        <f>IF(compras_mes3[[#This Row],[NETO GRAVADO]]="","",compras_mes3[[#This Row],[NETO GRAVADO]]*0.21)</f>
        <v>1696.6614</v>
      </c>
      <c r="J46" s="351"/>
      <c r="K46" s="351"/>
      <c r="L46" s="351">
        <v>242.38</v>
      </c>
      <c r="M46" s="351"/>
      <c r="N46" s="351">
        <v>484.76</v>
      </c>
      <c r="O46" s="351"/>
      <c r="P46" s="352">
        <f>SUM(compras_mes3[[#This Row],[NETO GRAVADO]:[Otros / No Grav.]])</f>
        <v>10503.1414</v>
      </c>
      <c r="Q46" s="353">
        <f>IFERROR(IF(compras_mes3[[#This Row],[CUIT]]="","-",VLOOKUP(compras_mes3[[#This Row],[CUIT]],Lista_CUIT[#All],3,0)),"CUIT NO CARGADO")</f>
        <v>0</v>
      </c>
      <c r="R46" s="353">
        <f>IFERROR(IF(compras_mes3[[#This Row],[CUIT]]="","-",VLOOKUP(compras_mes3[[#This Row],[CUIT]],Lista_CUIT[#All],4,0)),"CUIT NO CARGADO")</f>
        <v>0</v>
      </c>
    </row>
    <row r="47" spans="2:18" x14ac:dyDescent="0.3">
      <c r="B47" s="345">
        <v>44991</v>
      </c>
      <c r="C47" s="41">
        <v>1</v>
      </c>
      <c r="D47" s="346">
        <v>63</v>
      </c>
      <c r="E47" s="347">
        <v>2300972</v>
      </c>
      <c r="F47" s="348">
        <v>30640897267</v>
      </c>
      <c r="G47" s="349" t="str">
        <f>IFERROR(IF(compras_mes3[[#This Row],[CUIT]]="","-",VLOOKUP(compras_mes3[[#This Row],[CUIT]],Lista_CUIT[#All],2,0)),"CUIT NO CARGADO")</f>
        <v>TELECENTRO S.A.</v>
      </c>
      <c r="H47" s="350">
        <v>8079.34</v>
      </c>
      <c r="I47" s="351">
        <f>IF(compras_mes3[[#This Row],[NETO GRAVADO]]="","",compras_mes3[[#This Row],[NETO GRAVADO]]*0.21)</f>
        <v>1696.6614</v>
      </c>
      <c r="J47" s="351"/>
      <c r="K47" s="351"/>
      <c r="L47" s="351">
        <v>242.38</v>
      </c>
      <c r="M47" s="351"/>
      <c r="N47" s="351">
        <v>484.76</v>
      </c>
      <c r="O47" s="351"/>
      <c r="P47" s="352">
        <f>SUM(compras_mes3[[#This Row],[NETO GRAVADO]:[Otros / No Grav.]])</f>
        <v>10503.1414</v>
      </c>
      <c r="Q47" s="353">
        <f>IFERROR(IF(compras_mes3[[#This Row],[CUIT]]="","-",VLOOKUP(compras_mes3[[#This Row],[CUIT]],Lista_CUIT[#All],3,0)),"CUIT NO CARGADO")</f>
        <v>0</v>
      </c>
      <c r="R47" s="353">
        <f>IFERROR(IF(compras_mes3[[#This Row],[CUIT]]="","-",VLOOKUP(compras_mes3[[#This Row],[CUIT]],Lista_CUIT[#All],4,0)),"CUIT NO CARGADO")</f>
        <v>0</v>
      </c>
    </row>
    <row r="48" spans="2:18" x14ac:dyDescent="0.3">
      <c r="B48" s="345">
        <v>44992</v>
      </c>
      <c r="C48" s="41">
        <v>1</v>
      </c>
      <c r="D48" s="346">
        <v>7</v>
      </c>
      <c r="E48" s="347">
        <v>1218</v>
      </c>
      <c r="F48" s="348">
        <v>30715683446</v>
      </c>
      <c r="G48" s="349" t="str">
        <f>IFERROR(IF(compras_mes3[[#This Row],[CUIT]]="","-",VLOOKUP(compras_mes3[[#This Row],[CUIT]],Lista_CUIT[#All],2,0)),"CUIT NO CARGADO")</f>
        <v>CENTRAL MAYORISTA S R L</v>
      </c>
      <c r="H48" s="350">
        <v>3146.48</v>
      </c>
      <c r="I48" s="351">
        <f>IF(compras_mes3[[#This Row],[NETO GRAVADO]]="","",compras_mes3[[#This Row],[NETO GRAVADO]]*0.21)</f>
        <v>660.76080000000002</v>
      </c>
      <c r="J48" s="351"/>
      <c r="K48" s="351"/>
      <c r="L48" s="351"/>
      <c r="M48" s="351"/>
      <c r="N48" s="351"/>
      <c r="O48" s="351"/>
      <c r="P48" s="352">
        <f>SUM(compras_mes3[[#This Row],[NETO GRAVADO]:[Otros / No Grav.]])</f>
        <v>3807.2408</v>
      </c>
      <c r="Q48" s="353">
        <f>IFERROR(IF(compras_mes3[[#This Row],[CUIT]]="","-",VLOOKUP(compras_mes3[[#This Row],[CUIT]],Lista_CUIT[#All],3,0)),"CUIT NO CARGADO")</f>
        <v>0</v>
      </c>
      <c r="R48" s="353">
        <f>IFERROR(IF(compras_mes3[[#This Row],[CUIT]]="","-",VLOOKUP(compras_mes3[[#This Row],[CUIT]],Lista_CUIT[#All],4,0)),"CUIT NO CARGADO")</f>
        <v>0</v>
      </c>
    </row>
    <row r="49" spans="2:18" x14ac:dyDescent="0.3">
      <c r="B49" s="345">
        <v>44992</v>
      </c>
      <c r="C49" s="41">
        <v>1</v>
      </c>
      <c r="D49" s="346">
        <v>4</v>
      </c>
      <c r="E49" s="347">
        <v>2743</v>
      </c>
      <c r="F49" s="348">
        <v>30683553391</v>
      </c>
      <c r="G49" s="349" t="str">
        <f>IFERROR(IF(compras_mes3[[#This Row],[CUIT]]="","-",VLOOKUP(compras_mes3[[#This Row],[CUIT]],Lista_CUIT[#All],2,0)),"CUIT NO CARGADO")</f>
        <v>D ERAMO GUSTAVO Y D ERAMO PABLO SOC DE HECHO</v>
      </c>
      <c r="H49" s="350">
        <v>2975.19</v>
      </c>
      <c r="I49" s="351">
        <f>IF(compras_mes3[[#This Row],[NETO GRAVADO]]="","",compras_mes3[[#This Row],[NETO GRAVADO]]*0.21)</f>
        <v>624.78989999999999</v>
      </c>
      <c r="J49" s="351"/>
      <c r="K49" s="351"/>
      <c r="L49" s="351"/>
      <c r="M49" s="351"/>
      <c r="N49" s="351"/>
      <c r="O49" s="351"/>
      <c r="P49" s="352">
        <f>SUM(compras_mes3[[#This Row],[NETO GRAVADO]:[Otros / No Grav.]])</f>
        <v>3599.9799000000003</v>
      </c>
      <c r="Q49" s="353">
        <f>IFERROR(IF(compras_mes3[[#This Row],[CUIT]]="","-",VLOOKUP(compras_mes3[[#This Row],[CUIT]],Lista_CUIT[#All],3,0)),"CUIT NO CARGADO")</f>
        <v>0</v>
      </c>
      <c r="R49" s="353">
        <f>IFERROR(IF(compras_mes3[[#This Row],[CUIT]]="","-",VLOOKUP(compras_mes3[[#This Row],[CUIT]],Lista_CUIT[#All],4,0)),"CUIT NO CARGADO")</f>
        <v>0</v>
      </c>
    </row>
    <row r="50" spans="2:18" x14ac:dyDescent="0.3">
      <c r="B50" s="345">
        <v>44992</v>
      </c>
      <c r="C50" s="41">
        <v>1</v>
      </c>
      <c r="D50" s="346">
        <v>5</v>
      </c>
      <c r="E50" s="347">
        <v>13878</v>
      </c>
      <c r="F50" s="348">
        <v>23127284369</v>
      </c>
      <c r="G50" s="349" t="str">
        <f>IFERROR(IF(compras_mes3[[#This Row],[CUIT]]="","-",VLOOKUP(compras_mes3[[#This Row],[CUIT]],Lista_CUIT[#All],2,0)),"CUIT NO CARGADO")</f>
        <v xml:space="preserve">DOMINGO MONTORRO </v>
      </c>
      <c r="H50" s="350">
        <v>9000</v>
      </c>
      <c r="I50" s="351">
        <f>IF(compras_mes3[[#This Row],[NETO GRAVADO]]="","",compras_mes3[[#This Row],[NETO GRAVADO]]*0.21)</f>
        <v>1890</v>
      </c>
      <c r="J50" s="351"/>
      <c r="K50" s="351"/>
      <c r="L50" s="351"/>
      <c r="M50" s="351"/>
      <c r="N50" s="351"/>
      <c r="O50" s="351"/>
      <c r="P50" s="352">
        <f>SUM(compras_mes3[[#This Row],[NETO GRAVADO]:[Otros / No Grav.]])</f>
        <v>10890</v>
      </c>
      <c r="Q50" s="353">
        <f>IFERROR(IF(compras_mes3[[#This Row],[CUIT]]="","-",VLOOKUP(compras_mes3[[#This Row],[CUIT]],Lista_CUIT[#All],3,0)),"CUIT NO CARGADO")</f>
        <v>0</v>
      </c>
      <c r="R50" s="353">
        <f>IFERROR(IF(compras_mes3[[#This Row],[CUIT]]="","-",VLOOKUP(compras_mes3[[#This Row],[CUIT]],Lista_CUIT[#All],4,0)),"CUIT NO CARGADO")</f>
        <v>0</v>
      </c>
    </row>
    <row r="51" spans="2:18" x14ac:dyDescent="0.3">
      <c r="B51" s="345">
        <v>44992</v>
      </c>
      <c r="C51" s="41">
        <v>1</v>
      </c>
      <c r="D51" s="346">
        <v>21</v>
      </c>
      <c r="E51" s="347">
        <v>26446</v>
      </c>
      <c r="F51" s="348">
        <v>30515800219</v>
      </c>
      <c r="G51" s="349" t="str">
        <f>IFERROR(IF(compras_mes3[[#This Row],[CUIT]]="","-",VLOOKUP(compras_mes3[[#This Row],[CUIT]],Lista_CUIT[#All],2,0)),"CUIT NO CARGADO")</f>
        <v>INCAT SRL</v>
      </c>
      <c r="H51" s="350">
        <v>4923.05</v>
      </c>
      <c r="I51" s="351">
        <f>IF(compras_mes3[[#This Row],[NETO GRAVADO]]="","",compras_mes3[[#This Row],[NETO GRAVADO]]*0.21)</f>
        <v>1033.8405</v>
      </c>
      <c r="J51" s="351"/>
      <c r="K51" s="351"/>
      <c r="L51" s="351"/>
      <c r="M51" s="351"/>
      <c r="N51" s="351"/>
      <c r="O51" s="351">
        <v>1044.99</v>
      </c>
      <c r="P51" s="352">
        <f>SUM(compras_mes3[[#This Row],[NETO GRAVADO]:[Otros / No Grav.]])</f>
        <v>7001.8805000000002</v>
      </c>
      <c r="Q51" s="353" t="str">
        <f>IFERROR(IF(compras_mes3[[#This Row],[CUIT]]="","-",VLOOKUP(compras_mes3[[#This Row],[CUIT]],Lista_CUIT[#All],3,0)),"CUIT NO CARGADO")</f>
        <v>Combustibe</v>
      </c>
      <c r="R51" s="353" t="str">
        <f>IFERROR(IF(compras_mes3[[#This Row],[CUIT]]="","-",VLOOKUP(compras_mes3[[#This Row],[CUIT]],Lista_CUIT[#All],4,0)),"CUIT NO CARGADO")</f>
        <v>CABA</v>
      </c>
    </row>
    <row r="52" spans="2:18" x14ac:dyDescent="0.3">
      <c r="B52" s="345">
        <v>44993</v>
      </c>
      <c r="C52" s="41">
        <v>1</v>
      </c>
      <c r="D52" s="346">
        <v>5</v>
      </c>
      <c r="E52" s="347">
        <v>303</v>
      </c>
      <c r="F52" s="348">
        <v>30716654105</v>
      </c>
      <c r="G52" s="349" t="str">
        <f>IFERROR(IF(compras_mes3[[#This Row],[CUIT]]="","-",VLOOKUP(compras_mes3[[#This Row],[CUIT]],Lista_CUIT[#All],2,0)),"CUIT NO CARGADO")</f>
        <v>CARNICA DEL NORTE S.R.L.</v>
      </c>
      <c r="H52" s="350">
        <v>4067.24</v>
      </c>
      <c r="I52" s="351"/>
      <c r="J52" s="351"/>
      <c r="K52" s="351">
        <v>427.06</v>
      </c>
      <c r="L52" s="351"/>
      <c r="M52" s="351"/>
      <c r="N52" s="351"/>
      <c r="O52" s="351"/>
      <c r="P52" s="352">
        <f>SUM(compras_mes3[[#This Row],[NETO GRAVADO]:[Otros / No Grav.]])</f>
        <v>4494.3</v>
      </c>
      <c r="Q52" s="353">
        <f>IFERROR(IF(compras_mes3[[#This Row],[CUIT]]="","-",VLOOKUP(compras_mes3[[#This Row],[CUIT]],Lista_CUIT[#All],3,0)),"CUIT NO CARGADO")</f>
        <v>0</v>
      </c>
      <c r="R52" s="353">
        <f>IFERROR(IF(compras_mes3[[#This Row],[CUIT]]="","-",VLOOKUP(compras_mes3[[#This Row],[CUIT]],Lista_CUIT[#All],4,0)),"CUIT NO CARGADO")</f>
        <v>0</v>
      </c>
    </row>
    <row r="53" spans="2:18" x14ac:dyDescent="0.3">
      <c r="B53" s="345">
        <v>44993</v>
      </c>
      <c r="C53" s="41">
        <v>1</v>
      </c>
      <c r="D53" s="346">
        <v>1</v>
      </c>
      <c r="E53" s="347">
        <v>482</v>
      </c>
      <c r="F53" s="348">
        <v>30715889486</v>
      </c>
      <c r="G53" s="349" t="str">
        <f>IFERROR(IF(compras_mes3[[#This Row],[CUIT]]="","-",VLOOKUP(compras_mes3[[#This Row],[CUIT]],Lista_CUIT[#All],2,0)),"CUIT NO CARGADO")</f>
        <v>EXPOESTETICA</v>
      </c>
      <c r="H53" s="350">
        <v>244800</v>
      </c>
      <c r="I53" s="351">
        <f>IF(compras_mes3[[#This Row],[NETO GRAVADO]]="","",compras_mes3[[#This Row],[NETO GRAVADO]]*0.21)</f>
        <v>51408</v>
      </c>
      <c r="J53" s="351"/>
      <c r="K53" s="351"/>
      <c r="L53" s="351"/>
      <c r="M53" s="351"/>
      <c r="N53" s="351"/>
      <c r="O53" s="351"/>
      <c r="P53" s="352">
        <f>SUM(compras_mes3[[#This Row],[NETO GRAVADO]:[Otros / No Grav.]])</f>
        <v>296208</v>
      </c>
      <c r="Q53" s="353" t="str">
        <f>IFERROR(IF(compras_mes3[[#This Row],[CUIT]]="","-",VLOOKUP(compras_mes3[[#This Row],[CUIT]],Lista_CUIT[#All],3,0)),"CUIT NO CARGADO")</f>
        <v>Convencion</v>
      </c>
      <c r="R53" s="353" t="str">
        <f>IFERROR(IF(compras_mes3[[#This Row],[CUIT]]="","-",VLOOKUP(compras_mes3[[#This Row],[CUIT]],Lista_CUIT[#All],4,0)),"CUIT NO CARGADO")</f>
        <v>BUENOS AIRES</v>
      </c>
    </row>
    <row r="54" spans="2:18" x14ac:dyDescent="0.3">
      <c r="B54" s="345">
        <v>44993</v>
      </c>
      <c r="C54" s="41">
        <v>1</v>
      </c>
      <c r="D54" s="346">
        <v>7</v>
      </c>
      <c r="E54" s="347">
        <v>980</v>
      </c>
      <c r="F54" s="348">
        <v>20134664518</v>
      </c>
      <c r="G54" s="349" t="str">
        <f>IFERROR(IF(compras_mes3[[#This Row],[CUIT]]="","-",VLOOKUP(compras_mes3[[#This Row],[CUIT]],Lista_CUIT[#All],2,0)),"CUIT NO CARGADO")</f>
        <v>HOKAMA SERGIO ENRIQUE</v>
      </c>
      <c r="H54" s="350">
        <v>13448.55</v>
      </c>
      <c r="I54" s="351">
        <f>IF(compras_mes3[[#This Row],[NETO GRAVADO]]="","",compras_mes3[[#This Row],[NETO GRAVADO]]*0.21)</f>
        <v>2824.1954999999998</v>
      </c>
      <c r="J54" s="351"/>
      <c r="K54" s="351"/>
      <c r="L54" s="351"/>
      <c r="M54" s="351"/>
      <c r="N54" s="351"/>
      <c r="O54" s="351"/>
      <c r="P54" s="352">
        <f>SUM(compras_mes3[[#This Row],[NETO GRAVADO]:[Otros / No Grav.]])</f>
        <v>16272.745499999999</v>
      </c>
      <c r="Q54" s="353" t="str">
        <f>IFERROR(IF(compras_mes3[[#This Row],[CUIT]]="","-",VLOOKUP(compras_mes3[[#This Row],[CUIT]],Lista_CUIT[#All],3,0)),"CUIT NO CARGADO")</f>
        <v>Gastos Varios</v>
      </c>
      <c r="R54" s="353" t="str">
        <f>IFERROR(IF(compras_mes3[[#This Row],[CUIT]]="","-",VLOOKUP(compras_mes3[[#This Row],[CUIT]],Lista_CUIT[#All],4,0)),"CUIT NO CARGADO")</f>
        <v>BUENOS AIRES</v>
      </c>
    </row>
    <row r="55" spans="2:18" x14ac:dyDescent="0.3">
      <c r="B55" s="345">
        <v>44993</v>
      </c>
      <c r="C55" s="41">
        <v>1</v>
      </c>
      <c r="D55" s="346">
        <v>1678</v>
      </c>
      <c r="E55" s="347">
        <v>11554</v>
      </c>
      <c r="F55" s="348">
        <v>30589621499</v>
      </c>
      <c r="G55" s="349" t="str">
        <f>IFERROR(IF(compras_mes3[[#This Row],[CUIT]]="","-",VLOOKUP(compras_mes3[[#This Row],[CUIT]],Lista_CUIT[#All],2,0)),"CUIT NO CARGADO")</f>
        <v>MAKRO SA</v>
      </c>
      <c r="H55" s="350">
        <v>21635.32</v>
      </c>
      <c r="I55" s="351">
        <f>IF(compras_mes3[[#This Row],[NETO GRAVADO]]="","",compras_mes3[[#This Row],[NETO GRAVADO]]*0.21)</f>
        <v>4543.4171999999999</v>
      </c>
      <c r="J55" s="351"/>
      <c r="K55" s="351"/>
      <c r="L55" s="351">
        <v>649.05999999999995</v>
      </c>
      <c r="M55" s="351"/>
      <c r="N55" s="351">
        <v>1298.1199999999999</v>
      </c>
      <c r="O55" s="351">
        <v>9.06</v>
      </c>
      <c r="P55" s="352">
        <f>SUM(compras_mes3[[#This Row],[NETO GRAVADO]:[Otros / No Grav.]])</f>
        <v>28134.977200000001</v>
      </c>
      <c r="Q55" s="353">
        <f>IFERROR(IF(compras_mes3[[#This Row],[CUIT]]="","-",VLOOKUP(compras_mes3[[#This Row],[CUIT]],Lista_CUIT[#All],3,0)),"CUIT NO CARGADO")</f>
        <v>0</v>
      </c>
      <c r="R55" s="353">
        <f>IFERROR(IF(compras_mes3[[#This Row],[CUIT]]="","-",VLOOKUP(compras_mes3[[#This Row],[CUIT]],Lista_CUIT[#All],4,0)),"CUIT NO CARGADO")</f>
        <v>0</v>
      </c>
    </row>
    <row r="56" spans="2:18" x14ac:dyDescent="0.3">
      <c r="B56" s="345">
        <v>44994</v>
      </c>
      <c r="C56" s="41">
        <v>1</v>
      </c>
      <c r="D56" s="346">
        <v>76</v>
      </c>
      <c r="E56" s="347">
        <v>393</v>
      </c>
      <c r="F56" s="348">
        <v>30707719725</v>
      </c>
      <c r="G56" s="349" t="str">
        <f>IFERROR(IF(compras_mes3[[#This Row],[CUIT]]="","-",VLOOKUP(compras_mes3[[#This Row],[CUIT]],Lista_CUIT[#All],2,0)),"CUIT NO CARGADO")</f>
        <v>ANGLET SRL</v>
      </c>
      <c r="H56" s="350">
        <v>24235.57</v>
      </c>
      <c r="I56" s="351">
        <f>IF(compras_mes3[[#This Row],[NETO GRAVADO]]="","",compras_mes3[[#This Row],[NETO GRAVADO]]*0.21)</f>
        <v>5089.4696999999996</v>
      </c>
      <c r="J56" s="351"/>
      <c r="K56" s="351"/>
      <c r="L56" s="351"/>
      <c r="M56" s="351"/>
      <c r="N56" s="351"/>
      <c r="O56" s="351"/>
      <c r="P56" s="352">
        <f>SUM(compras_mes3[[#This Row],[NETO GRAVADO]:[Otros / No Grav.]])</f>
        <v>29325.039700000001</v>
      </c>
      <c r="Q56" s="353">
        <f>IFERROR(IF(compras_mes3[[#This Row],[CUIT]]="","-",VLOOKUP(compras_mes3[[#This Row],[CUIT]],Lista_CUIT[#All],3,0)),"CUIT NO CARGADO")</f>
        <v>0</v>
      </c>
      <c r="R56" s="353">
        <f>IFERROR(IF(compras_mes3[[#This Row],[CUIT]]="","-",VLOOKUP(compras_mes3[[#This Row],[CUIT]],Lista_CUIT[#All],4,0)),"CUIT NO CARGADO")</f>
        <v>0</v>
      </c>
    </row>
    <row r="57" spans="2:18" x14ac:dyDescent="0.3">
      <c r="B57" s="345">
        <v>44994</v>
      </c>
      <c r="C57" s="41">
        <v>1</v>
      </c>
      <c r="D57" s="346">
        <v>5</v>
      </c>
      <c r="E57" s="347">
        <v>5386</v>
      </c>
      <c r="F57" s="348">
        <v>30714381551</v>
      </c>
      <c r="G57" s="349" t="str">
        <f>IFERROR(IF(compras_mes3[[#This Row],[CUIT]]="","-",VLOOKUP(compras_mes3[[#This Row],[CUIT]],Lista_CUIT[#All],2,0)),"CUIT NO CARGADO")</f>
        <v>ECOEXIST S.R.L.</v>
      </c>
      <c r="H57" s="350">
        <v>186000</v>
      </c>
      <c r="I57" s="351">
        <f>IF(compras_mes3[[#This Row],[NETO GRAVADO]]="","",compras_mes3[[#This Row],[NETO GRAVADO]]*0.21)</f>
        <v>39060</v>
      </c>
      <c r="J57" s="351"/>
      <c r="K57" s="351"/>
      <c r="L57" s="351"/>
      <c r="M57" s="351"/>
      <c r="N57" s="351"/>
      <c r="O57" s="351"/>
      <c r="P57" s="352">
        <f>SUM(compras_mes3[[#This Row],[NETO GRAVADO]:[Otros / No Grav.]])</f>
        <v>225060</v>
      </c>
      <c r="Q57" s="353">
        <f>IFERROR(IF(compras_mes3[[#This Row],[CUIT]]="","-",VLOOKUP(compras_mes3[[#This Row],[CUIT]],Lista_CUIT[#All],3,0)),"CUIT NO CARGADO")</f>
        <v>0</v>
      </c>
      <c r="R57" s="353">
        <f>IFERROR(IF(compras_mes3[[#This Row],[CUIT]]="","-",VLOOKUP(compras_mes3[[#This Row],[CUIT]],Lista_CUIT[#All],4,0)),"CUIT NO CARGADO")</f>
        <v>0</v>
      </c>
    </row>
    <row r="58" spans="2:18" x14ac:dyDescent="0.3">
      <c r="B58" s="345">
        <v>44994</v>
      </c>
      <c r="C58" s="41">
        <v>1</v>
      </c>
      <c r="D58" s="346">
        <v>20</v>
      </c>
      <c r="E58" s="347">
        <v>7717</v>
      </c>
      <c r="F58" s="348">
        <v>30515800219</v>
      </c>
      <c r="G58" s="349" t="str">
        <f>IFERROR(IF(compras_mes3[[#This Row],[CUIT]]="","-",VLOOKUP(compras_mes3[[#This Row],[CUIT]],Lista_CUIT[#All],2,0)),"CUIT NO CARGADO")</f>
        <v>INCAT SRL</v>
      </c>
      <c r="H58" s="350">
        <v>423.24</v>
      </c>
      <c r="I58" s="351">
        <f>IF(compras_mes3[[#This Row],[NETO GRAVADO]]="","",compras_mes3[[#This Row],[NETO GRAVADO]]*0.21)</f>
        <v>88.880399999999995</v>
      </c>
      <c r="J58" s="351"/>
      <c r="K58" s="351"/>
      <c r="L58" s="351"/>
      <c r="M58" s="351"/>
      <c r="N58" s="351"/>
      <c r="O58" s="351">
        <v>7.85</v>
      </c>
      <c r="P58" s="352">
        <f>SUM(compras_mes3[[#This Row],[NETO GRAVADO]:[Otros / No Grav.]])</f>
        <v>519.97040000000004</v>
      </c>
      <c r="Q58" s="353" t="str">
        <f>IFERROR(IF(compras_mes3[[#This Row],[CUIT]]="","-",VLOOKUP(compras_mes3[[#This Row],[CUIT]],Lista_CUIT[#All],3,0)),"CUIT NO CARGADO")</f>
        <v>Combustibe</v>
      </c>
      <c r="R58" s="353" t="str">
        <f>IFERROR(IF(compras_mes3[[#This Row],[CUIT]]="","-",VLOOKUP(compras_mes3[[#This Row],[CUIT]],Lista_CUIT[#All],4,0)),"CUIT NO CARGADO")</f>
        <v>CABA</v>
      </c>
    </row>
    <row r="59" spans="2:18" x14ac:dyDescent="0.3">
      <c r="B59" s="345">
        <v>44994</v>
      </c>
      <c r="C59" s="41">
        <v>1</v>
      </c>
      <c r="D59" s="346">
        <v>5</v>
      </c>
      <c r="E59" s="347">
        <v>13884</v>
      </c>
      <c r="F59" s="348">
        <v>23127284369</v>
      </c>
      <c r="G59" s="349" t="str">
        <f>IFERROR(IF(compras_mes3[[#This Row],[CUIT]]="","-",VLOOKUP(compras_mes3[[#This Row],[CUIT]],Lista_CUIT[#All],2,0)),"CUIT NO CARGADO")</f>
        <v xml:space="preserve">DOMINGO MONTORRO </v>
      </c>
      <c r="H59" s="350">
        <v>27860</v>
      </c>
      <c r="I59" s="351">
        <f>IF(compras_mes3[[#This Row],[NETO GRAVADO]]="","",compras_mes3[[#This Row],[NETO GRAVADO]]*0.21)</f>
        <v>5850.5999999999995</v>
      </c>
      <c r="J59" s="351"/>
      <c r="K59" s="351"/>
      <c r="L59" s="351"/>
      <c r="M59" s="351"/>
      <c r="N59" s="351"/>
      <c r="O59" s="351"/>
      <c r="P59" s="352">
        <f>SUM(compras_mes3[[#This Row],[NETO GRAVADO]:[Otros / No Grav.]])</f>
        <v>33710.6</v>
      </c>
      <c r="Q59" s="353">
        <f>IFERROR(IF(compras_mes3[[#This Row],[CUIT]]="","-",VLOOKUP(compras_mes3[[#This Row],[CUIT]],Lista_CUIT[#All],3,0)),"CUIT NO CARGADO")</f>
        <v>0</v>
      </c>
      <c r="R59" s="353">
        <f>IFERROR(IF(compras_mes3[[#This Row],[CUIT]]="","-",VLOOKUP(compras_mes3[[#This Row],[CUIT]],Lista_CUIT[#All],4,0)),"CUIT NO CARGADO")</f>
        <v>0</v>
      </c>
    </row>
    <row r="60" spans="2:18" x14ac:dyDescent="0.3">
      <c r="B60" s="345">
        <v>44994</v>
      </c>
      <c r="C60" s="41">
        <v>1</v>
      </c>
      <c r="D60" s="346">
        <v>6852</v>
      </c>
      <c r="E60" s="347">
        <v>15848</v>
      </c>
      <c r="F60" s="348">
        <v>30678774495</v>
      </c>
      <c r="G60" s="349" t="str">
        <f>IFERROR(IF(compras_mes3[[#This Row],[CUIT]]="","-",VLOOKUP(compras_mes3[[#This Row],[CUIT]],Lista_CUIT[#All],2,0)),"CUIT NO CARGADO")</f>
        <v>OPER. DE EST. DE SERV. SA</v>
      </c>
      <c r="H60" s="350">
        <v>1064.55</v>
      </c>
      <c r="I60" s="351">
        <f>IF(compras_mes3[[#This Row],[NETO GRAVADO]]="","",compras_mes3[[#This Row],[NETO GRAVADO]]*0.21)</f>
        <v>223.55549999999999</v>
      </c>
      <c r="J60" s="351"/>
      <c r="K60" s="351"/>
      <c r="L60" s="351"/>
      <c r="M60" s="351"/>
      <c r="N60" s="351"/>
      <c r="O60" s="351">
        <v>212.09</v>
      </c>
      <c r="P60" s="352">
        <f>SUM(compras_mes3[[#This Row],[NETO GRAVADO]:[Otros / No Grav.]])</f>
        <v>1500.1954999999998</v>
      </c>
      <c r="Q60" s="353" t="str">
        <f>IFERROR(IF(compras_mes3[[#This Row],[CUIT]]="","-",VLOOKUP(compras_mes3[[#This Row],[CUIT]],Lista_CUIT[#All],3,0)),"CUIT NO CARGADO")</f>
        <v>Combustibe</v>
      </c>
      <c r="R60" s="353">
        <f>IFERROR(IF(compras_mes3[[#This Row],[CUIT]]="","-",VLOOKUP(compras_mes3[[#This Row],[CUIT]],Lista_CUIT[#All],4,0)),"CUIT NO CARGADO")</f>
        <v>0</v>
      </c>
    </row>
    <row r="61" spans="2:18" x14ac:dyDescent="0.3">
      <c r="B61" s="345">
        <v>44994</v>
      </c>
      <c r="C61" s="41">
        <v>1</v>
      </c>
      <c r="D61" s="346">
        <v>2199</v>
      </c>
      <c r="E61" s="347">
        <v>20846</v>
      </c>
      <c r="F61" s="348">
        <v>30548083156</v>
      </c>
      <c r="G61" s="349" t="str">
        <f>IFERROR(IF(compras_mes3[[#This Row],[CUIT]]="","-",VLOOKUP(compras_mes3[[#This Row],[CUIT]],Lista_CUIT[#All],2,0)),"CUIT NO CARGADO")</f>
        <v>COTO CENTRO INTEGRAL DE COMERCIALIZACION SOCIEDAD ANONIMA</v>
      </c>
      <c r="H61" s="350">
        <v>9556.35</v>
      </c>
      <c r="I61" s="351">
        <v>1553.18</v>
      </c>
      <c r="J61" s="351"/>
      <c r="K61" s="351">
        <v>226.83</v>
      </c>
      <c r="L61" s="351">
        <v>228.97</v>
      </c>
      <c r="M61" s="351"/>
      <c r="N61" s="351">
        <v>558.66999999999996</v>
      </c>
      <c r="O61" s="351"/>
      <c r="P61" s="352">
        <f>SUM(compras_mes3[[#This Row],[NETO GRAVADO]:[Otros / No Grav.]])</f>
        <v>12124</v>
      </c>
      <c r="Q61" s="353" t="str">
        <f>IFERROR(IF(compras_mes3[[#This Row],[CUIT]]="","-",VLOOKUP(compras_mes3[[#This Row],[CUIT]],Lista_CUIT[#All],3,0)),"CUIT NO CARGADO")</f>
        <v>GASTOS COMERCIALES</v>
      </c>
      <c r="R61" s="353">
        <f>IFERROR(IF(compras_mes3[[#This Row],[CUIT]]="","-",VLOOKUP(compras_mes3[[#This Row],[CUIT]],Lista_CUIT[#All],4,0)),"CUIT NO CARGADO")</f>
        <v>0</v>
      </c>
    </row>
    <row r="62" spans="2:18" x14ac:dyDescent="0.3">
      <c r="B62" s="345">
        <v>44994</v>
      </c>
      <c r="C62" s="41">
        <v>1</v>
      </c>
      <c r="D62" s="346">
        <v>301</v>
      </c>
      <c r="E62" s="347">
        <v>44699</v>
      </c>
      <c r="F62" s="348">
        <v>30686978350</v>
      </c>
      <c r="G62" s="349" t="str">
        <f>IFERROR(IF(compras_mes3[[#This Row],[CUIT]]="","-",VLOOKUP(compras_mes3[[#This Row],[CUIT]],Lista_CUIT[#All],2,0)),"CUIT NO CARGADO")</f>
        <v>SPEED BUSINESS S. A.</v>
      </c>
      <c r="H62" s="350">
        <v>2363.64</v>
      </c>
      <c r="I62" s="351">
        <f>IF(compras_mes3[[#This Row],[NETO GRAVADO]]="","",compras_mes3[[#This Row],[NETO GRAVADO]]*0.21)</f>
        <v>496.36439999999993</v>
      </c>
      <c r="J62" s="351"/>
      <c r="K62" s="351"/>
      <c r="L62" s="351"/>
      <c r="M62" s="351"/>
      <c r="N62" s="351"/>
      <c r="O62" s="351"/>
      <c r="P62" s="352">
        <f>SUM(compras_mes3[[#This Row],[NETO GRAVADO]:[Otros / No Grav.]])</f>
        <v>2860.0043999999998</v>
      </c>
      <c r="Q62" s="353">
        <f>IFERROR(IF(compras_mes3[[#This Row],[CUIT]]="","-",VLOOKUP(compras_mes3[[#This Row],[CUIT]],Lista_CUIT[#All],3,0)),"CUIT NO CARGADO")</f>
        <v>0</v>
      </c>
      <c r="R62" s="353">
        <f>IFERROR(IF(compras_mes3[[#This Row],[CUIT]]="","-",VLOOKUP(compras_mes3[[#This Row],[CUIT]],Lista_CUIT[#All],4,0)),"CUIT NO CARGADO")</f>
        <v>0</v>
      </c>
    </row>
    <row r="63" spans="2:18" x14ac:dyDescent="0.3">
      <c r="B63" s="345">
        <v>44994</v>
      </c>
      <c r="C63" s="41">
        <v>1</v>
      </c>
      <c r="D63" s="346">
        <v>2188</v>
      </c>
      <c r="E63" s="347">
        <v>84817</v>
      </c>
      <c r="F63" s="348">
        <v>30548083156</v>
      </c>
      <c r="G63" s="349" t="str">
        <f>IFERROR(IF(compras_mes3[[#This Row],[CUIT]]="","-",VLOOKUP(compras_mes3[[#This Row],[CUIT]],Lista_CUIT[#All],2,0)),"CUIT NO CARGADO")</f>
        <v>COTO CENTRO INTEGRAL DE COMERCIALIZACION SOCIEDAD ANONIMA</v>
      </c>
      <c r="H63" s="350">
        <v>2807.68</v>
      </c>
      <c r="I63" s="351">
        <v>484.83</v>
      </c>
      <c r="J63" s="351"/>
      <c r="K63" s="351">
        <v>52.39</v>
      </c>
      <c r="L63" s="351">
        <v>69.260000000000005</v>
      </c>
      <c r="M63" s="351"/>
      <c r="N63" s="351">
        <v>168.46</v>
      </c>
      <c r="O63" s="351"/>
      <c r="P63" s="352">
        <f>SUM(compras_mes3[[#This Row],[NETO GRAVADO]:[Otros / No Grav.]])</f>
        <v>3582.62</v>
      </c>
      <c r="Q63" s="353" t="str">
        <f>IFERROR(IF(compras_mes3[[#This Row],[CUIT]]="","-",VLOOKUP(compras_mes3[[#This Row],[CUIT]],Lista_CUIT[#All],3,0)),"CUIT NO CARGADO")</f>
        <v>GASTOS COMERCIALES</v>
      </c>
      <c r="R63" s="353">
        <f>IFERROR(IF(compras_mes3[[#This Row],[CUIT]]="","-",VLOOKUP(compras_mes3[[#This Row],[CUIT]],Lista_CUIT[#All],4,0)),"CUIT NO CARGADO")</f>
        <v>0</v>
      </c>
    </row>
    <row r="64" spans="2:18" x14ac:dyDescent="0.3">
      <c r="B64" s="345">
        <v>44994</v>
      </c>
      <c r="C64" s="41">
        <v>1</v>
      </c>
      <c r="D64" s="346">
        <v>948</v>
      </c>
      <c r="E64" s="347">
        <v>903022</v>
      </c>
      <c r="F64" s="348">
        <v>30639453975</v>
      </c>
      <c r="G64" s="349" t="str">
        <f>IFERROR(IF(compras_mes3[[#This Row],[CUIT]]="","-",VLOOKUP(compras_mes3[[#This Row],[CUIT]],Lista_CUIT[#All],2,0)),"CUIT NO CARGADO")</f>
        <v>TELEFONICA DE ARG S.A.</v>
      </c>
      <c r="H64" s="350">
        <v>5368.32</v>
      </c>
      <c r="I64" s="351"/>
      <c r="J64" s="351">
        <v>1449.45</v>
      </c>
      <c r="K64" s="351"/>
      <c r="L64" s="351">
        <v>161.05000000000001</v>
      </c>
      <c r="M64" s="351"/>
      <c r="N64" s="351">
        <v>322.10000000000002</v>
      </c>
      <c r="O64" s="351"/>
      <c r="P64" s="352">
        <f>SUM(compras_mes3[[#This Row],[NETO GRAVADO]:[Otros / No Grav.]])</f>
        <v>7300.92</v>
      </c>
      <c r="Q64" s="353" t="str">
        <f>IFERROR(IF(compras_mes3[[#This Row],[CUIT]]="","-",VLOOKUP(compras_mes3[[#This Row],[CUIT]],Lista_CUIT[#All],3,0)),"CUIT NO CARGADO")</f>
        <v>Servicios Gas, Luz, etc.</v>
      </c>
      <c r="R64" s="353">
        <f>IFERROR(IF(compras_mes3[[#This Row],[CUIT]]="","-",VLOOKUP(compras_mes3[[#This Row],[CUIT]],Lista_CUIT[#All],4,0)),"CUIT NO CARGADO")</f>
        <v>0</v>
      </c>
    </row>
    <row r="65" spans="2:18" x14ac:dyDescent="0.3">
      <c r="B65" s="345">
        <v>44995</v>
      </c>
      <c r="C65" s="41">
        <v>1</v>
      </c>
      <c r="D65" s="346">
        <v>3</v>
      </c>
      <c r="E65" s="347">
        <v>42</v>
      </c>
      <c r="F65" s="348">
        <v>33715993509</v>
      </c>
      <c r="G65" s="349" t="str">
        <f>IFERROR(IF(compras_mes3[[#This Row],[CUIT]]="","-",VLOOKUP(compras_mes3[[#This Row],[CUIT]],Lista_CUIT[#All],2,0)),"CUIT NO CARGADO")</f>
        <v>+Q NATURAL S.A.</v>
      </c>
      <c r="H65" s="350">
        <v>2330.58</v>
      </c>
      <c r="I65" s="351">
        <f>IF(compras_mes3[[#This Row],[NETO GRAVADO]]="","",compras_mes3[[#This Row],[NETO GRAVADO]]*0.21)</f>
        <v>489.42179999999996</v>
      </c>
      <c r="J65" s="351"/>
      <c r="K65" s="351"/>
      <c r="L65" s="351"/>
      <c r="M65" s="351"/>
      <c r="N65" s="351"/>
      <c r="O65" s="351"/>
      <c r="P65" s="352">
        <f>SUM(compras_mes3[[#This Row],[NETO GRAVADO]:[Otros / No Grav.]])</f>
        <v>2820.0018</v>
      </c>
      <c r="Q65" s="353">
        <f>IFERROR(IF(compras_mes3[[#This Row],[CUIT]]="","-",VLOOKUP(compras_mes3[[#This Row],[CUIT]],Lista_CUIT[#All],3,0)),"CUIT NO CARGADO")</f>
        <v>0</v>
      </c>
      <c r="R65" s="353">
        <f>IFERROR(IF(compras_mes3[[#This Row],[CUIT]]="","-",VLOOKUP(compras_mes3[[#This Row],[CUIT]],Lista_CUIT[#All],4,0)),"CUIT NO CARGADO")</f>
        <v>0</v>
      </c>
    </row>
    <row r="66" spans="2:18" x14ac:dyDescent="0.3">
      <c r="B66" s="345">
        <v>44995</v>
      </c>
      <c r="C66" s="41">
        <v>1</v>
      </c>
      <c r="D66" s="346">
        <v>1</v>
      </c>
      <c r="E66" s="347">
        <v>2073</v>
      </c>
      <c r="F66" s="348">
        <v>27181689183</v>
      </c>
      <c r="G66" s="349" t="str">
        <f>IFERROR(IF(compras_mes3[[#This Row],[CUIT]]="","-",VLOOKUP(compras_mes3[[#This Row],[CUIT]],Lista_CUIT[#All],2,0)),"CUIT NO CARGADO")</f>
        <v>REPETTO MARIA FERNANDA</v>
      </c>
      <c r="H66" s="350">
        <v>139500</v>
      </c>
      <c r="I66" s="351">
        <f>IF(compras_mes3[[#This Row],[NETO GRAVADO]]="","",compras_mes3[[#This Row],[NETO GRAVADO]]*0.21)</f>
        <v>29295</v>
      </c>
      <c r="J66" s="351"/>
      <c r="K66" s="351"/>
      <c r="L66" s="351"/>
      <c r="M66" s="351"/>
      <c r="N66" s="351"/>
      <c r="O66" s="351"/>
      <c r="P66" s="352">
        <f>SUM(compras_mes3[[#This Row],[NETO GRAVADO]:[Otros / No Grav.]])</f>
        <v>168795</v>
      </c>
      <c r="Q66" s="353">
        <f>IFERROR(IF(compras_mes3[[#This Row],[CUIT]]="","-",VLOOKUP(compras_mes3[[#This Row],[CUIT]],Lista_CUIT[#All],3,0)),"CUIT NO CARGADO")</f>
        <v>0</v>
      </c>
      <c r="R66" s="353">
        <f>IFERROR(IF(compras_mes3[[#This Row],[CUIT]]="","-",VLOOKUP(compras_mes3[[#This Row],[CUIT]],Lista_CUIT[#All],4,0)),"CUIT NO CARGADO")</f>
        <v>0</v>
      </c>
    </row>
    <row r="67" spans="2:18" x14ac:dyDescent="0.3">
      <c r="B67" s="345">
        <v>44995</v>
      </c>
      <c r="C67" s="41">
        <v>1</v>
      </c>
      <c r="D67" s="346">
        <v>2</v>
      </c>
      <c r="E67" s="347">
        <v>3284</v>
      </c>
      <c r="F67" s="348">
        <v>30629863571</v>
      </c>
      <c r="G67" s="349" t="str">
        <f>IFERROR(IF(compras_mes3[[#This Row],[CUIT]]="","-",VLOOKUP(compras_mes3[[#This Row],[CUIT]],Lista_CUIT[#All],2,0)),"CUIT NO CARGADO")</f>
        <v>TECNIMAR S R L</v>
      </c>
      <c r="H67" s="350">
        <v>718400.38</v>
      </c>
      <c r="I67" s="351">
        <f>IF(compras_mes3[[#This Row],[NETO GRAVADO]]="","",compras_mes3[[#This Row],[NETO GRAVADO]]*0.21)</f>
        <v>150864.07980000001</v>
      </c>
      <c r="J67" s="351"/>
      <c r="K67" s="351"/>
      <c r="L67" s="351"/>
      <c r="M67" s="351"/>
      <c r="N67" s="351"/>
      <c r="O67" s="351"/>
      <c r="P67" s="352">
        <f>SUM(compras_mes3[[#This Row],[NETO GRAVADO]:[Otros / No Grav.]])</f>
        <v>869264.45980000007</v>
      </c>
      <c r="Q67" s="353" t="str">
        <f>IFERROR(IF(compras_mes3[[#This Row],[CUIT]]="","-",VLOOKUP(compras_mes3[[#This Row],[CUIT]],Lista_CUIT[#All],3,0)),"CUIT NO CARGADO")</f>
        <v>LABORATORIO</v>
      </c>
      <c r="R67" s="353">
        <f>IFERROR(IF(compras_mes3[[#This Row],[CUIT]]="","-",VLOOKUP(compras_mes3[[#This Row],[CUIT]],Lista_CUIT[#All],4,0)),"CUIT NO CARGADO")</f>
        <v>0</v>
      </c>
    </row>
    <row r="68" spans="2:18" x14ac:dyDescent="0.3">
      <c r="B68" s="40">
        <v>44995</v>
      </c>
      <c r="C68" s="41">
        <v>2</v>
      </c>
      <c r="D68" s="42">
        <v>4</v>
      </c>
      <c r="E68" s="43">
        <v>4126</v>
      </c>
      <c r="F68" s="44">
        <v>30585948817</v>
      </c>
      <c r="G68" s="45" t="str">
        <f>IFERROR(IF(compras_mes3[[#This Row],[CUIT]]="","-",VLOOKUP(compras_mes3[[#This Row],[CUIT]],Lista_CUIT[#All],2,0)),"CUIT NO CARGADO")</f>
        <v xml:space="preserve">GLASCAR </v>
      </c>
      <c r="H68" s="46">
        <v>157083.01999999999</v>
      </c>
      <c r="I68" s="85">
        <f>IF(compras_mes3[[#This Row],[NETO GRAVADO]]="","",compras_mes3[[#This Row],[NETO GRAVADO]]*0.21)</f>
        <v>32987.434199999996</v>
      </c>
      <c r="J68" s="85"/>
      <c r="K68" s="85"/>
      <c r="L68" s="85"/>
      <c r="M68" s="85"/>
      <c r="N68" s="85"/>
      <c r="O68" s="85"/>
      <c r="P68" s="48">
        <f>SUM(compras_mes3[[#This Row],[NETO GRAVADO]:[Otros / No Grav.]])</f>
        <v>190070.45419999998</v>
      </c>
      <c r="Q68" s="49">
        <f>IFERROR(IF(compras_mes3[[#This Row],[CUIT]]="","-",VLOOKUP(compras_mes3[[#This Row],[CUIT]],Lista_CUIT[#All],3,0)),"CUIT NO CARGADO")</f>
        <v>0</v>
      </c>
      <c r="R68" s="49">
        <f>IFERROR(IF(compras_mes3[[#This Row],[CUIT]]="","-",VLOOKUP(compras_mes3[[#This Row],[CUIT]],Lista_CUIT[#All],4,0)),"CUIT NO CARGADO")</f>
        <v>0</v>
      </c>
    </row>
    <row r="69" spans="2:18" x14ac:dyDescent="0.3">
      <c r="B69" s="345">
        <v>44995</v>
      </c>
      <c r="C69" s="41">
        <v>1</v>
      </c>
      <c r="D69" s="346">
        <v>23</v>
      </c>
      <c r="E69" s="347">
        <v>9992</v>
      </c>
      <c r="F69" s="348">
        <v>30515800219</v>
      </c>
      <c r="G69" s="349" t="str">
        <f>IFERROR(IF(compras_mes3[[#This Row],[CUIT]]="","-",VLOOKUP(compras_mes3[[#This Row],[CUIT]],Lista_CUIT[#All],2,0)),"CUIT NO CARGADO")</f>
        <v>INCAT SRL</v>
      </c>
      <c r="H69" s="350">
        <v>2110.29</v>
      </c>
      <c r="I69" s="351">
        <f>IF(compras_mes3[[#This Row],[NETO GRAVADO]]="","",compras_mes3[[#This Row],[NETO GRAVADO]]*0.21)</f>
        <v>443.16089999999997</v>
      </c>
      <c r="J69" s="351"/>
      <c r="K69" s="351"/>
      <c r="L69" s="351"/>
      <c r="M69" s="351"/>
      <c r="N69" s="351"/>
      <c r="O69" s="351">
        <v>447.16</v>
      </c>
      <c r="P69" s="352">
        <f>SUM(compras_mes3[[#This Row],[NETO GRAVADO]:[Otros / No Grav.]])</f>
        <v>3000.6108999999997</v>
      </c>
      <c r="Q69" s="353" t="str">
        <f>IFERROR(IF(compras_mes3[[#This Row],[CUIT]]="","-",VLOOKUP(compras_mes3[[#This Row],[CUIT]],Lista_CUIT[#All],3,0)),"CUIT NO CARGADO")</f>
        <v>Combustibe</v>
      </c>
      <c r="R69" s="353" t="str">
        <f>IFERROR(IF(compras_mes3[[#This Row],[CUIT]]="","-",VLOOKUP(compras_mes3[[#This Row],[CUIT]],Lista_CUIT[#All],4,0)),"CUIT NO CARGADO")</f>
        <v>CABA</v>
      </c>
    </row>
    <row r="70" spans="2:18" x14ac:dyDescent="0.3">
      <c r="B70" s="345">
        <v>44995</v>
      </c>
      <c r="C70" s="41">
        <v>1</v>
      </c>
      <c r="D70" s="346">
        <v>16</v>
      </c>
      <c r="E70" s="347">
        <v>76426</v>
      </c>
      <c r="F70" s="348">
        <v>30711050767</v>
      </c>
      <c r="G70" s="349" t="str">
        <f>IFERROR(IF(compras_mes3[[#This Row],[CUIT]]="","-",VLOOKUP(compras_mes3[[#This Row],[CUIT]],Lista_CUIT[#All],2,0)),"CUIT NO CARGADO")</f>
        <v>DIAMOND SYSTEM S.A.</v>
      </c>
      <c r="H70" s="350">
        <v>35528.1</v>
      </c>
      <c r="I70" s="351">
        <f>IF(compras_mes3[[#This Row],[NETO GRAVADO]]="","",compras_mes3[[#This Row],[NETO GRAVADO]]*0.21)</f>
        <v>7460.9009999999998</v>
      </c>
      <c r="J70" s="351"/>
      <c r="K70" s="351"/>
      <c r="L70" s="351"/>
      <c r="M70" s="351"/>
      <c r="N70" s="351"/>
      <c r="O70" s="351"/>
      <c r="P70" s="352">
        <f>SUM(compras_mes3[[#This Row],[NETO GRAVADO]:[Otros / No Grav.]])</f>
        <v>42989.000999999997</v>
      </c>
      <c r="Q70" s="353">
        <f>IFERROR(IF(compras_mes3[[#This Row],[CUIT]]="","-",VLOOKUP(compras_mes3[[#This Row],[CUIT]],Lista_CUIT[#All],3,0)),"CUIT NO CARGADO")</f>
        <v>0</v>
      </c>
      <c r="R70" s="353">
        <f>IFERROR(IF(compras_mes3[[#This Row],[CUIT]]="","-",VLOOKUP(compras_mes3[[#This Row],[CUIT]],Lista_CUIT[#All],4,0)),"CUIT NO CARGADO")</f>
        <v>0</v>
      </c>
    </row>
    <row r="71" spans="2:18" x14ac:dyDescent="0.3">
      <c r="B71" s="345">
        <v>44995</v>
      </c>
      <c r="C71" s="41">
        <v>1</v>
      </c>
      <c r="D71" s="346">
        <v>3034</v>
      </c>
      <c r="E71" s="347">
        <v>3337576</v>
      </c>
      <c r="F71" s="348">
        <v>30708574836</v>
      </c>
      <c r="G71" s="349" t="str">
        <f>IFERROR(IF(compras_mes3[[#This Row],[CUIT]]="","-",VLOOKUP(compras_mes3[[#This Row],[CUIT]],Lista_CUIT[#All],2,0)),"CUIT NO CARGADO")</f>
        <v>CORREO OFICIAL DE LA REPUBLICA ARGENTINA SOCIEDAD ANONIMA</v>
      </c>
      <c r="H71" s="350">
        <v>981.41</v>
      </c>
      <c r="I71" s="351">
        <f>IF(compras_mes3[[#This Row],[NETO GRAVADO]]="","",compras_mes3[[#This Row],[NETO GRAVADO]]*0.21)</f>
        <v>206.09609999999998</v>
      </c>
      <c r="J71" s="351"/>
      <c r="K71" s="351"/>
      <c r="L71" s="351"/>
      <c r="M71" s="351"/>
      <c r="N71" s="351"/>
      <c r="O71" s="351"/>
      <c r="P71" s="352">
        <f>SUM(compras_mes3[[#This Row],[NETO GRAVADO]:[Otros / No Grav.]])</f>
        <v>1187.5061000000001</v>
      </c>
      <c r="Q71" s="353" t="str">
        <f>IFERROR(IF(compras_mes3[[#This Row],[CUIT]]="","-",VLOOKUP(compras_mes3[[#This Row],[CUIT]],Lista_CUIT[#All],3,0)),"CUIT NO CARGADO")</f>
        <v>MESAJERIA</v>
      </c>
      <c r="R71" s="353">
        <f>IFERROR(IF(compras_mes3[[#This Row],[CUIT]]="","-",VLOOKUP(compras_mes3[[#This Row],[CUIT]],Lista_CUIT[#All],4,0)),"CUIT NO CARGADO")</f>
        <v>0</v>
      </c>
    </row>
    <row r="72" spans="2:18" x14ac:dyDescent="0.3">
      <c r="B72" s="345">
        <v>44995</v>
      </c>
      <c r="C72" s="41">
        <v>1</v>
      </c>
      <c r="D72" s="346">
        <v>6364</v>
      </c>
      <c r="E72" s="347">
        <v>7319603</v>
      </c>
      <c r="F72" s="348">
        <v>30639453738</v>
      </c>
      <c r="G72" s="349" t="str">
        <f>IFERROR(IF(compras_mes3[[#This Row],[CUIT]]="","-",VLOOKUP(compras_mes3[[#This Row],[CUIT]],Lista_CUIT[#All],2,0)),"CUIT NO CARGADO")</f>
        <v>TELECOM ARG SA</v>
      </c>
      <c r="H72" s="350">
        <v>59185.66</v>
      </c>
      <c r="I72" s="351">
        <v>11996.96</v>
      </c>
      <c r="J72" s="351">
        <v>554.21</v>
      </c>
      <c r="K72" s="351"/>
      <c r="L72" s="351">
        <v>1775.43</v>
      </c>
      <c r="M72" s="351">
        <v>40.049999999999997</v>
      </c>
      <c r="N72" s="351">
        <v>3290.57</v>
      </c>
      <c r="O72" s="351">
        <v>80</v>
      </c>
      <c r="P72" s="352">
        <f>SUM(compras_mes3[[#This Row],[NETO GRAVADO]:[Otros / No Grav.]])</f>
        <v>76922.880000000005</v>
      </c>
      <c r="Q72" s="353" t="str">
        <f>IFERROR(IF(compras_mes3[[#This Row],[CUIT]]="","-",VLOOKUP(compras_mes3[[#This Row],[CUIT]],Lista_CUIT[#All],3,0)),"CUIT NO CARGADO")</f>
        <v>Servicios Gas, Luz, etc.</v>
      </c>
      <c r="R72" s="353">
        <f>IFERROR(IF(compras_mes3[[#This Row],[CUIT]]="","-",VLOOKUP(compras_mes3[[#This Row],[CUIT]],Lista_CUIT[#All],4,0)),"CUIT NO CARGADO")</f>
        <v>0</v>
      </c>
    </row>
    <row r="73" spans="2:18" x14ac:dyDescent="0.3">
      <c r="B73" s="345">
        <v>44995</v>
      </c>
      <c r="C73" s="41">
        <v>1</v>
      </c>
      <c r="D73" s="346">
        <v>6</v>
      </c>
      <c r="E73" s="347">
        <v>13782409</v>
      </c>
      <c r="F73" s="348">
        <v>30620177497</v>
      </c>
      <c r="G73" s="349" t="str">
        <f>IFERROR(IF(compras_mes3[[#This Row],[CUIT]]="","-",VLOOKUP(compras_mes3[[#This Row],[CUIT]],Lista_CUIT[#All],2,0)),"CUIT NO CARGADO")</f>
        <v>POSNET SRL</v>
      </c>
      <c r="H73" s="350">
        <v>3743</v>
      </c>
      <c r="I73" s="351">
        <f>IF(compras_mes3[[#This Row],[NETO GRAVADO]]="","",compras_mes3[[#This Row],[NETO GRAVADO]]*0.21)</f>
        <v>786.03</v>
      </c>
      <c r="J73" s="351"/>
      <c r="K73" s="351"/>
      <c r="L73" s="351"/>
      <c r="M73" s="351"/>
      <c r="N73" s="351">
        <v>336.87</v>
      </c>
      <c r="O73" s="351"/>
      <c r="P73" s="352">
        <f>SUM(compras_mes3[[#This Row],[NETO GRAVADO]:[Otros / No Grav.]])</f>
        <v>4865.8999999999996</v>
      </c>
      <c r="Q73" s="353" t="str">
        <f>IFERROR(IF(compras_mes3[[#This Row],[CUIT]]="","-",VLOOKUP(compras_mes3[[#This Row],[CUIT]],Lista_CUIT[#All],3,0)),"CUIT NO CARGADO")</f>
        <v>Servicios Gas, Luz, etc.</v>
      </c>
      <c r="R73" s="353">
        <f>IFERROR(IF(compras_mes3[[#This Row],[CUIT]]="","-",VLOOKUP(compras_mes3[[#This Row],[CUIT]],Lista_CUIT[#All],4,0)),"CUIT NO CARGADO")</f>
        <v>0</v>
      </c>
    </row>
    <row r="74" spans="2:18" x14ac:dyDescent="0.3">
      <c r="B74" s="345">
        <v>44995</v>
      </c>
      <c r="C74" s="41">
        <v>1</v>
      </c>
      <c r="D74" s="346">
        <v>6</v>
      </c>
      <c r="E74" s="347">
        <v>13790294</v>
      </c>
      <c r="F74" s="348">
        <v>30620177497</v>
      </c>
      <c r="G74" s="349" t="str">
        <f>IFERROR(IF(compras_mes3[[#This Row],[CUIT]]="","-",VLOOKUP(compras_mes3[[#This Row],[CUIT]],Lista_CUIT[#All],2,0)),"CUIT NO CARGADO")</f>
        <v>POSNET SRL</v>
      </c>
      <c r="H74" s="350">
        <v>11229</v>
      </c>
      <c r="I74" s="351">
        <f>IF(compras_mes3[[#This Row],[NETO GRAVADO]]="","",compras_mes3[[#This Row],[NETO GRAVADO]]*0.21)</f>
        <v>2358.0899999999997</v>
      </c>
      <c r="J74" s="351"/>
      <c r="K74" s="351"/>
      <c r="L74" s="351"/>
      <c r="M74" s="351"/>
      <c r="N74" s="351">
        <v>1010.61</v>
      </c>
      <c r="O74" s="351"/>
      <c r="P74" s="352">
        <f>SUM(compras_mes3[[#This Row],[NETO GRAVADO]:[Otros / No Grav.]])</f>
        <v>14597.7</v>
      </c>
      <c r="Q74" s="353" t="str">
        <f>IFERROR(IF(compras_mes3[[#This Row],[CUIT]]="","-",VLOOKUP(compras_mes3[[#This Row],[CUIT]],Lista_CUIT[#All],3,0)),"CUIT NO CARGADO")</f>
        <v>Servicios Gas, Luz, etc.</v>
      </c>
      <c r="R74" s="353">
        <f>IFERROR(IF(compras_mes3[[#This Row],[CUIT]]="","-",VLOOKUP(compras_mes3[[#This Row],[CUIT]],Lista_CUIT[#All],4,0)),"CUIT NO CARGADO")</f>
        <v>0</v>
      </c>
    </row>
    <row r="75" spans="2:18" x14ac:dyDescent="0.3">
      <c r="B75" s="345">
        <v>44995</v>
      </c>
      <c r="C75" s="41">
        <v>1</v>
      </c>
      <c r="D75" s="346">
        <v>6</v>
      </c>
      <c r="E75" s="347">
        <v>13813417</v>
      </c>
      <c r="F75" s="348">
        <v>30620177497</v>
      </c>
      <c r="G75" s="349" t="str">
        <f>IFERROR(IF(compras_mes3[[#This Row],[CUIT]]="","-",VLOOKUP(compras_mes3[[#This Row],[CUIT]],Lista_CUIT[#All],2,0)),"CUIT NO CARGADO")</f>
        <v>POSNET SRL</v>
      </c>
      <c r="H75" s="350">
        <v>3743</v>
      </c>
      <c r="I75" s="351">
        <f>IF(compras_mes3[[#This Row],[NETO GRAVADO]]="","",compras_mes3[[#This Row],[NETO GRAVADO]]*0.21)</f>
        <v>786.03</v>
      </c>
      <c r="J75" s="351"/>
      <c r="K75" s="351"/>
      <c r="L75" s="351"/>
      <c r="M75" s="351"/>
      <c r="N75" s="351">
        <v>336.87</v>
      </c>
      <c r="O75" s="351"/>
      <c r="P75" s="352">
        <f>SUM(compras_mes3[[#This Row],[NETO GRAVADO]:[Otros / No Grav.]])</f>
        <v>4865.8999999999996</v>
      </c>
      <c r="Q75" s="353" t="str">
        <f>IFERROR(IF(compras_mes3[[#This Row],[CUIT]]="","-",VLOOKUP(compras_mes3[[#This Row],[CUIT]],Lista_CUIT[#All],3,0)),"CUIT NO CARGADO")</f>
        <v>Servicios Gas, Luz, etc.</v>
      </c>
      <c r="R75" s="353">
        <f>IFERROR(IF(compras_mes3[[#This Row],[CUIT]]="","-",VLOOKUP(compras_mes3[[#This Row],[CUIT]],Lista_CUIT[#All],4,0)),"CUIT NO CARGADO")</f>
        <v>0</v>
      </c>
    </row>
    <row r="76" spans="2:18" x14ac:dyDescent="0.3">
      <c r="B76" s="345">
        <v>44995</v>
      </c>
      <c r="C76" s="41">
        <v>1</v>
      </c>
      <c r="D76" s="346">
        <v>6</v>
      </c>
      <c r="E76" s="347">
        <v>13813442</v>
      </c>
      <c r="F76" s="348">
        <v>30620177497</v>
      </c>
      <c r="G76" s="349" t="str">
        <f>IFERROR(IF(compras_mes3[[#This Row],[CUIT]]="","-",VLOOKUP(compras_mes3[[#This Row],[CUIT]],Lista_CUIT[#All],2,0)),"CUIT NO CARGADO")</f>
        <v>POSNET SRL</v>
      </c>
      <c r="H76" s="350">
        <v>3743</v>
      </c>
      <c r="I76" s="351">
        <f>IF(compras_mes3[[#This Row],[NETO GRAVADO]]="","",compras_mes3[[#This Row],[NETO GRAVADO]]*0.21)</f>
        <v>786.03</v>
      </c>
      <c r="J76" s="351"/>
      <c r="K76" s="351"/>
      <c r="L76" s="351"/>
      <c r="M76" s="351"/>
      <c r="N76" s="351">
        <v>336.87</v>
      </c>
      <c r="O76" s="351"/>
      <c r="P76" s="352">
        <f>SUM(compras_mes3[[#This Row],[NETO GRAVADO]:[Otros / No Grav.]])</f>
        <v>4865.8999999999996</v>
      </c>
      <c r="Q76" s="353" t="str">
        <f>IFERROR(IF(compras_mes3[[#This Row],[CUIT]]="","-",VLOOKUP(compras_mes3[[#This Row],[CUIT]],Lista_CUIT[#All],3,0)),"CUIT NO CARGADO")</f>
        <v>Servicios Gas, Luz, etc.</v>
      </c>
      <c r="R76" s="353">
        <f>IFERROR(IF(compras_mes3[[#This Row],[CUIT]]="","-",VLOOKUP(compras_mes3[[#This Row],[CUIT]],Lista_CUIT[#All],4,0)),"CUIT NO CARGADO")</f>
        <v>0</v>
      </c>
    </row>
    <row r="77" spans="2:18" x14ac:dyDescent="0.3">
      <c r="B77" s="345">
        <v>44996</v>
      </c>
      <c r="C77" s="41">
        <v>1</v>
      </c>
      <c r="D77" s="346">
        <v>12</v>
      </c>
      <c r="E77" s="347">
        <v>19513</v>
      </c>
      <c r="F77" s="348">
        <v>30696131003</v>
      </c>
      <c r="G77" s="349" t="str">
        <f>IFERROR(IF(compras_mes3[[#This Row],[CUIT]]="","-",VLOOKUP(compras_mes3[[#This Row],[CUIT]],Lista_CUIT[#All],2,0)),"CUIT NO CARGADO")</f>
        <v>Petrolfe S.A.</v>
      </c>
      <c r="H77" s="350">
        <v>22895.38</v>
      </c>
      <c r="I77" s="351">
        <f>IF(compras_mes3[[#This Row],[NETO GRAVADO]]="","",compras_mes3[[#This Row],[NETO GRAVADO]]*0.21)</f>
        <v>4808.0298000000003</v>
      </c>
      <c r="J77" s="351"/>
      <c r="K77" s="351"/>
      <c r="L77" s="351"/>
      <c r="M77" s="351"/>
      <c r="N77" s="351"/>
      <c r="O77" s="351">
        <v>4492.43</v>
      </c>
      <c r="P77" s="352">
        <f>SUM(compras_mes3[[#This Row],[NETO GRAVADO]:[Otros / No Grav.]])</f>
        <v>32195.839800000002</v>
      </c>
      <c r="Q77" s="353" t="str">
        <f>IFERROR(IF(compras_mes3[[#This Row],[CUIT]]="","-",VLOOKUP(compras_mes3[[#This Row],[CUIT]],Lista_CUIT[#All],3,0)),"CUIT NO CARGADO")</f>
        <v>Combustible</v>
      </c>
      <c r="R77" s="353">
        <f>IFERROR(IF(compras_mes3[[#This Row],[CUIT]]="","-",VLOOKUP(compras_mes3[[#This Row],[CUIT]],Lista_CUIT[#All],4,0)),"CUIT NO CARGADO")</f>
        <v>0</v>
      </c>
    </row>
    <row r="78" spans="2:18" x14ac:dyDescent="0.3">
      <c r="B78" s="345">
        <v>44998</v>
      </c>
      <c r="C78" s="41">
        <v>1</v>
      </c>
      <c r="D78" s="346">
        <v>45</v>
      </c>
      <c r="E78" s="347">
        <v>28</v>
      </c>
      <c r="F78" s="348">
        <v>30708610999</v>
      </c>
      <c r="G78" s="349" t="str">
        <f>IFERROR(IF(compras_mes3[[#This Row],[CUIT]]="","-",VLOOKUP(compras_mes3[[#This Row],[CUIT]],Lista_CUIT[#All],2,0)),"CUIT NO CARGADO")</f>
        <v xml:space="preserve">ARMONIE S A </v>
      </c>
      <c r="H78" s="350">
        <v>8074.38</v>
      </c>
      <c r="I78" s="351">
        <f>IF(compras_mes3[[#This Row],[NETO GRAVADO]]="","",compras_mes3[[#This Row],[NETO GRAVADO]]*0.21)</f>
        <v>1695.6197999999999</v>
      </c>
      <c r="J78" s="351"/>
      <c r="K78" s="351"/>
      <c r="L78" s="351"/>
      <c r="M78" s="351"/>
      <c r="N78" s="351"/>
      <c r="O78" s="351"/>
      <c r="P78" s="352">
        <f>SUM(compras_mes3[[#This Row],[NETO GRAVADO]:[Otros / No Grav.]])</f>
        <v>9769.9997999999996</v>
      </c>
      <c r="Q78" s="353" t="str">
        <f>IFERROR(IF(compras_mes3[[#This Row],[CUIT]]="","-",VLOOKUP(compras_mes3[[#This Row],[CUIT]],Lista_CUIT[#All],3,0)),"CUIT NO CARGADO")</f>
        <v>Otros</v>
      </c>
      <c r="R78" s="353" t="str">
        <f>IFERROR(IF(compras_mes3[[#This Row],[CUIT]]="","-",VLOOKUP(compras_mes3[[#This Row],[CUIT]],Lista_CUIT[#All],4,0)),"CUIT NO CARGADO")</f>
        <v>BUENOS AIRES</v>
      </c>
    </row>
    <row r="79" spans="2:18" x14ac:dyDescent="0.3">
      <c r="B79" s="345">
        <v>44998</v>
      </c>
      <c r="C79" s="41">
        <v>1</v>
      </c>
      <c r="D79" s="346">
        <v>2</v>
      </c>
      <c r="E79" s="347">
        <v>203</v>
      </c>
      <c r="F79" s="348">
        <v>27309896063</v>
      </c>
      <c r="G79" s="349" t="str">
        <f>IFERROR(IF(compras_mes3[[#This Row],[CUIT]]="","-",VLOOKUP(compras_mes3[[#This Row],[CUIT]],Lista_CUIT[#All],2,0)),"CUIT NO CARGADO")</f>
        <v>BATTELLINI MARIA SOLEDAD</v>
      </c>
      <c r="H79" s="350">
        <v>35000</v>
      </c>
      <c r="I79" s="351">
        <f>IF(compras_mes3[[#This Row],[NETO GRAVADO]]="","",compras_mes3[[#This Row],[NETO GRAVADO]]*0.21)</f>
        <v>7350</v>
      </c>
      <c r="J79" s="351"/>
      <c r="K79" s="351"/>
      <c r="L79" s="351"/>
      <c r="M79" s="351"/>
      <c r="N79" s="351"/>
      <c r="O79" s="351"/>
      <c r="P79" s="352">
        <f>SUM(compras_mes3[[#This Row],[NETO GRAVADO]:[Otros / No Grav.]])</f>
        <v>42350</v>
      </c>
      <c r="Q79" s="353">
        <f>IFERROR(IF(compras_mes3[[#This Row],[CUIT]]="","-",VLOOKUP(compras_mes3[[#This Row],[CUIT]],Lista_CUIT[#All],3,0)),"CUIT NO CARGADO")</f>
        <v>0</v>
      </c>
      <c r="R79" s="353">
        <f>IFERROR(IF(compras_mes3[[#This Row],[CUIT]]="","-",VLOOKUP(compras_mes3[[#This Row],[CUIT]],Lista_CUIT[#All],4,0)),"CUIT NO CARGADO")</f>
        <v>0</v>
      </c>
    </row>
    <row r="80" spans="2:18" x14ac:dyDescent="0.3">
      <c r="B80" s="345">
        <v>44998</v>
      </c>
      <c r="C80" s="41">
        <v>1</v>
      </c>
      <c r="D80" s="346">
        <v>5</v>
      </c>
      <c r="E80" s="347">
        <v>48965</v>
      </c>
      <c r="F80" s="348">
        <v>30714430781</v>
      </c>
      <c r="G80" s="349" t="str">
        <f>IFERROR(IF(compras_mes3[[#This Row],[CUIT]]="","-",VLOOKUP(compras_mes3[[#This Row],[CUIT]],Lista_CUIT[#All],2,0)),"CUIT NO CARGADO")</f>
        <v>JFC HACELA  FACIL SRL</v>
      </c>
      <c r="H80" s="350">
        <v>327434.55</v>
      </c>
      <c r="I80" s="351"/>
      <c r="J80" s="351"/>
      <c r="K80" s="351">
        <v>34380.629999999997</v>
      </c>
      <c r="L80" s="351"/>
      <c r="M80" s="351"/>
      <c r="N80" s="351"/>
      <c r="O80" s="351"/>
      <c r="P80" s="352">
        <f>SUM(compras_mes3[[#This Row],[NETO GRAVADO]:[Otros / No Grav.]])</f>
        <v>361815.18</v>
      </c>
      <c r="Q80" s="353">
        <f>IFERROR(IF(compras_mes3[[#This Row],[CUIT]]="","-",VLOOKUP(compras_mes3[[#This Row],[CUIT]],Lista_CUIT[#All],3,0)),"CUIT NO CARGADO")</f>
        <v>0</v>
      </c>
      <c r="R80" s="353">
        <f>IFERROR(IF(compras_mes3[[#This Row],[CUIT]]="","-",VLOOKUP(compras_mes3[[#This Row],[CUIT]],Lista_CUIT[#All],4,0)),"CUIT NO CARGADO")</f>
        <v>0</v>
      </c>
    </row>
    <row r="81" spans="2:18" x14ac:dyDescent="0.3">
      <c r="B81" s="345">
        <v>44998</v>
      </c>
      <c r="C81" s="41">
        <v>1</v>
      </c>
      <c r="D81" s="346">
        <v>13</v>
      </c>
      <c r="E81" s="347">
        <v>52570</v>
      </c>
      <c r="F81" s="348">
        <v>30707841105</v>
      </c>
      <c r="G81" s="349" t="str">
        <f>IFERROR(IF(compras_mes3[[#This Row],[CUIT]]="","-",VLOOKUP(compras_mes3[[#This Row],[CUIT]],Lista_CUIT[#All],2,0)),"CUIT NO CARGADO")</f>
        <v>PETRO ARG SRL</v>
      </c>
      <c r="H81" s="350">
        <v>4399.71</v>
      </c>
      <c r="I81" s="351">
        <f>IF(compras_mes3[[#This Row],[NETO GRAVADO]]="","",compras_mes3[[#This Row],[NETO GRAVADO]]*0.21)</f>
        <v>923.93909999999994</v>
      </c>
      <c r="J81" s="351"/>
      <c r="K81" s="351"/>
      <c r="L81" s="351"/>
      <c r="M81" s="351"/>
      <c r="N81" s="351"/>
      <c r="O81" s="351">
        <v>876.56</v>
      </c>
      <c r="P81" s="352">
        <f>SUM(compras_mes3[[#This Row],[NETO GRAVADO]:[Otros / No Grav.]])</f>
        <v>6200.2091</v>
      </c>
      <c r="Q81" s="353" t="str">
        <f>IFERROR(IF(compras_mes3[[#This Row],[CUIT]]="","-",VLOOKUP(compras_mes3[[#This Row],[CUIT]],Lista_CUIT[#All],3,0)),"CUIT NO CARGADO")</f>
        <v>Combustible</v>
      </c>
      <c r="R81" s="353">
        <f>IFERROR(IF(compras_mes3[[#This Row],[CUIT]]="","-",VLOOKUP(compras_mes3[[#This Row],[CUIT]],Lista_CUIT[#All],4,0)),"CUIT NO CARGADO")</f>
        <v>0</v>
      </c>
    </row>
    <row r="82" spans="2:18" x14ac:dyDescent="0.3">
      <c r="B82" s="345">
        <v>44999</v>
      </c>
      <c r="C82" s="41">
        <v>1</v>
      </c>
      <c r="D82" s="346">
        <v>16</v>
      </c>
      <c r="E82" s="347">
        <v>1187</v>
      </c>
      <c r="F82" s="348">
        <v>30709003654</v>
      </c>
      <c r="G82" s="349" t="str">
        <f>IFERROR(IF(compras_mes3[[#This Row],[CUIT]]="","-",VLOOKUP(compras_mes3[[#This Row],[CUIT]],Lista_CUIT[#All],2,0)),"CUIT NO CARGADO")</f>
        <v>TEXEL SRL</v>
      </c>
      <c r="H82" s="350">
        <v>38009.050000000003</v>
      </c>
      <c r="I82" s="351"/>
      <c r="J82" s="351"/>
      <c r="K82" s="351">
        <v>3990.95</v>
      </c>
      <c r="L82" s="351"/>
      <c r="M82" s="351"/>
      <c r="N82" s="351"/>
      <c r="O82" s="351"/>
      <c r="P82" s="352">
        <f>SUM(compras_mes3[[#This Row],[NETO GRAVADO]:[Otros / No Grav.]])</f>
        <v>42000</v>
      </c>
      <c r="Q82" s="353">
        <f>IFERROR(IF(compras_mes3[[#This Row],[CUIT]]="","-",VLOOKUP(compras_mes3[[#This Row],[CUIT]],Lista_CUIT[#All],3,0)),"CUIT NO CARGADO")</f>
        <v>0</v>
      </c>
      <c r="R82" s="353">
        <f>IFERROR(IF(compras_mes3[[#This Row],[CUIT]]="","-",VLOOKUP(compras_mes3[[#This Row],[CUIT]],Lista_CUIT[#All],4,0)),"CUIT NO CARGADO")</f>
        <v>0</v>
      </c>
    </row>
    <row r="83" spans="2:18" x14ac:dyDescent="0.3">
      <c r="B83" s="345">
        <v>44999</v>
      </c>
      <c r="C83" s="41">
        <v>1</v>
      </c>
      <c r="D83" s="346">
        <v>16</v>
      </c>
      <c r="E83" s="347">
        <v>1188</v>
      </c>
      <c r="F83" s="348">
        <v>30709003654</v>
      </c>
      <c r="G83" s="349" t="str">
        <f>IFERROR(IF(compras_mes3[[#This Row],[CUIT]]="","-",VLOOKUP(compras_mes3[[#This Row],[CUIT]],Lista_CUIT[#All],2,0)),"CUIT NO CARGADO")</f>
        <v>TEXEL SRL</v>
      </c>
      <c r="H83" s="350">
        <v>265339.37</v>
      </c>
      <c r="I83" s="351"/>
      <c r="J83" s="351"/>
      <c r="K83" s="351">
        <v>27860.63</v>
      </c>
      <c r="L83" s="351"/>
      <c r="M83" s="351"/>
      <c r="N83" s="351"/>
      <c r="O83" s="351"/>
      <c r="P83" s="352">
        <f>SUM(compras_mes3[[#This Row],[NETO GRAVADO]:[Otros / No Grav.]])</f>
        <v>293200</v>
      </c>
      <c r="Q83" s="353">
        <f>IFERROR(IF(compras_mes3[[#This Row],[CUIT]]="","-",VLOOKUP(compras_mes3[[#This Row],[CUIT]],Lista_CUIT[#All],3,0)),"CUIT NO CARGADO")</f>
        <v>0</v>
      </c>
      <c r="R83" s="353">
        <f>IFERROR(IF(compras_mes3[[#This Row],[CUIT]]="","-",VLOOKUP(compras_mes3[[#This Row],[CUIT]],Lista_CUIT[#All],4,0)),"CUIT NO CARGADO")</f>
        <v>0</v>
      </c>
    </row>
    <row r="84" spans="2:18" x14ac:dyDescent="0.3">
      <c r="B84" s="345">
        <v>44999</v>
      </c>
      <c r="C84" s="41">
        <v>1</v>
      </c>
      <c r="D84" s="346">
        <v>2</v>
      </c>
      <c r="E84" s="347">
        <v>3286</v>
      </c>
      <c r="F84" s="348">
        <v>30629863571</v>
      </c>
      <c r="G84" s="349" t="str">
        <f>IFERROR(IF(compras_mes3[[#This Row],[CUIT]]="","-",VLOOKUP(compras_mes3[[#This Row],[CUIT]],Lista_CUIT[#All],2,0)),"CUIT NO CARGADO")</f>
        <v>TECNIMAR S R L</v>
      </c>
      <c r="H84" s="350">
        <v>619236.18999999994</v>
      </c>
      <c r="I84" s="351">
        <f>IF(compras_mes3[[#This Row],[NETO GRAVADO]]="","",compras_mes3[[#This Row],[NETO GRAVADO]]*0.21)</f>
        <v>130039.59989999999</v>
      </c>
      <c r="J84" s="351"/>
      <c r="K84" s="351"/>
      <c r="L84" s="351"/>
      <c r="M84" s="351"/>
      <c r="N84" s="351"/>
      <c r="O84" s="351"/>
      <c r="P84" s="352">
        <f>SUM(compras_mes3[[#This Row],[NETO GRAVADO]:[Otros / No Grav.]])</f>
        <v>749275.78989999997</v>
      </c>
      <c r="Q84" s="353" t="str">
        <f>IFERROR(IF(compras_mes3[[#This Row],[CUIT]]="","-",VLOOKUP(compras_mes3[[#This Row],[CUIT]],Lista_CUIT[#All],3,0)),"CUIT NO CARGADO")</f>
        <v>LABORATORIO</v>
      </c>
      <c r="R84" s="353">
        <f>IFERROR(IF(compras_mes3[[#This Row],[CUIT]]="","-",VLOOKUP(compras_mes3[[#This Row],[CUIT]],Lista_CUIT[#All],4,0)),"CUIT NO CARGADO")</f>
        <v>0</v>
      </c>
    </row>
    <row r="85" spans="2:18" x14ac:dyDescent="0.3">
      <c r="B85" s="345">
        <v>44999</v>
      </c>
      <c r="C85" s="41">
        <v>1</v>
      </c>
      <c r="D85" s="346">
        <v>3</v>
      </c>
      <c r="E85" s="347">
        <v>3377</v>
      </c>
      <c r="F85" s="348">
        <v>30714618977</v>
      </c>
      <c r="G85" s="349" t="str">
        <f>IFERROR(IF(compras_mes3[[#This Row],[CUIT]]="","-",VLOOKUP(compras_mes3[[#This Row],[CUIT]],Lista_CUIT[#All],2,0)),"CUIT NO CARGADO")</f>
        <v>DISTRIBUIDORA N.G. S.A.</v>
      </c>
      <c r="H85" s="350">
        <v>345420</v>
      </c>
      <c r="I85" s="351">
        <f>IF(compras_mes3[[#This Row],[NETO GRAVADO]]="","",compras_mes3[[#This Row],[NETO GRAVADO]]*0.21)</f>
        <v>72538.2</v>
      </c>
      <c r="J85" s="351"/>
      <c r="K85" s="351"/>
      <c r="L85" s="351"/>
      <c r="M85" s="351"/>
      <c r="N85" s="351"/>
      <c r="O85" s="351"/>
      <c r="P85" s="352">
        <f>SUM(compras_mes3[[#This Row],[NETO GRAVADO]:[Otros / No Grav.]])</f>
        <v>417958.2</v>
      </c>
      <c r="Q85" s="353">
        <f>IFERROR(IF(compras_mes3[[#This Row],[CUIT]]="","-",VLOOKUP(compras_mes3[[#This Row],[CUIT]],Lista_CUIT[#All],3,0)),"CUIT NO CARGADO")</f>
        <v>0</v>
      </c>
      <c r="R85" s="353">
        <f>IFERROR(IF(compras_mes3[[#This Row],[CUIT]]="","-",VLOOKUP(compras_mes3[[#This Row],[CUIT]],Lista_CUIT[#All],4,0)),"CUIT NO CARGADO")</f>
        <v>0</v>
      </c>
    </row>
    <row r="86" spans="2:18" x14ac:dyDescent="0.3">
      <c r="B86" s="345">
        <v>44999</v>
      </c>
      <c r="C86" s="41">
        <v>1</v>
      </c>
      <c r="D86" s="346">
        <v>4</v>
      </c>
      <c r="E86" s="347">
        <v>8625</v>
      </c>
      <c r="F86" s="348">
        <v>30694547903</v>
      </c>
      <c r="G86" s="349" t="str">
        <f>IFERROR(IF(compras_mes3[[#This Row],[CUIT]]="","-",VLOOKUP(compras_mes3[[#This Row],[CUIT]],Lista_CUIT[#All],2,0)),"CUIT NO CARGADO")</f>
        <v>MULTICAJAS S A</v>
      </c>
      <c r="H86" s="350">
        <v>481425</v>
      </c>
      <c r="I86" s="351">
        <f>IF(compras_mes3[[#This Row],[NETO GRAVADO]]="","",compras_mes3[[#This Row],[NETO GRAVADO]]*0.21)</f>
        <v>101099.25</v>
      </c>
      <c r="J86" s="351"/>
      <c r="K86" s="351"/>
      <c r="L86" s="351"/>
      <c r="M86" s="351"/>
      <c r="N86" s="351"/>
      <c r="O86" s="351"/>
      <c r="P86" s="352">
        <f>SUM(compras_mes3[[#This Row],[NETO GRAVADO]:[Otros / No Grav.]])</f>
        <v>582524.25</v>
      </c>
      <c r="Q86" s="353">
        <f>IFERROR(IF(compras_mes3[[#This Row],[CUIT]]="","-",VLOOKUP(compras_mes3[[#This Row],[CUIT]],Lista_CUIT[#All],3,0)),"CUIT NO CARGADO")</f>
        <v>0</v>
      </c>
      <c r="R86" s="353">
        <f>IFERROR(IF(compras_mes3[[#This Row],[CUIT]]="","-",VLOOKUP(compras_mes3[[#This Row],[CUIT]],Lista_CUIT[#All],4,0)),"CUIT NO CARGADO")</f>
        <v>0</v>
      </c>
    </row>
    <row r="87" spans="2:18" x14ac:dyDescent="0.3">
      <c r="B87" s="345">
        <v>44999</v>
      </c>
      <c r="C87" s="41">
        <v>1</v>
      </c>
      <c r="D87" s="346">
        <v>301</v>
      </c>
      <c r="E87" s="347">
        <v>45123</v>
      </c>
      <c r="F87" s="348">
        <v>30686978350</v>
      </c>
      <c r="G87" s="349" t="str">
        <f>IFERROR(IF(compras_mes3[[#This Row],[CUIT]]="","-",VLOOKUP(compras_mes3[[#This Row],[CUIT]],Lista_CUIT[#All],2,0)),"CUIT NO CARGADO")</f>
        <v>SPEED BUSINESS S. A.</v>
      </c>
      <c r="H87" s="350">
        <v>2363.64</v>
      </c>
      <c r="I87" s="351">
        <f>IF(compras_mes3[[#This Row],[NETO GRAVADO]]="","",compras_mes3[[#This Row],[NETO GRAVADO]]*0.21)</f>
        <v>496.36439999999993</v>
      </c>
      <c r="J87" s="351"/>
      <c r="K87" s="351"/>
      <c r="L87" s="351"/>
      <c r="M87" s="351"/>
      <c r="N87" s="351"/>
      <c r="O87" s="351"/>
      <c r="P87" s="352">
        <f>SUM(compras_mes3[[#This Row],[NETO GRAVADO]:[Otros / No Grav.]])</f>
        <v>2860.0043999999998</v>
      </c>
      <c r="Q87" s="353">
        <f>IFERROR(IF(compras_mes3[[#This Row],[CUIT]]="","-",VLOOKUP(compras_mes3[[#This Row],[CUIT]],Lista_CUIT[#All],3,0)),"CUIT NO CARGADO")</f>
        <v>0</v>
      </c>
      <c r="R87" s="353">
        <f>IFERROR(IF(compras_mes3[[#This Row],[CUIT]]="","-",VLOOKUP(compras_mes3[[#This Row],[CUIT]],Lista_CUIT[#All],4,0)),"CUIT NO CARGADO")</f>
        <v>0</v>
      </c>
    </row>
    <row r="88" spans="2:18" x14ac:dyDescent="0.3">
      <c r="B88" s="345">
        <v>44999</v>
      </c>
      <c r="C88" s="41">
        <v>1</v>
      </c>
      <c r="D88" s="346">
        <v>2188</v>
      </c>
      <c r="E88" s="347">
        <v>85126</v>
      </c>
      <c r="F88" s="348">
        <v>30548083156</v>
      </c>
      <c r="G88" s="349" t="str">
        <f>IFERROR(IF(compras_mes3[[#This Row],[CUIT]]="","-",VLOOKUP(compras_mes3[[#This Row],[CUIT]],Lista_CUIT[#All],2,0)),"CUIT NO CARGADO")</f>
        <v>COTO CENTRO INTEGRAL DE COMERCIALIZACION SOCIEDAD ANONIMA</v>
      </c>
      <c r="H88" s="350">
        <v>14598.31</v>
      </c>
      <c r="I88" s="351">
        <v>2299.25</v>
      </c>
      <c r="J88" s="351"/>
      <c r="K88" s="351">
        <v>383.2</v>
      </c>
      <c r="L88" s="351">
        <v>328.46</v>
      </c>
      <c r="M88" s="351"/>
      <c r="N88" s="351">
        <v>688.81</v>
      </c>
      <c r="O88" s="351"/>
      <c r="P88" s="352">
        <f>SUM(compras_mes3[[#This Row],[NETO GRAVADO]:[Otros / No Grav.]])</f>
        <v>18298.03</v>
      </c>
      <c r="Q88" s="353" t="str">
        <f>IFERROR(IF(compras_mes3[[#This Row],[CUIT]]="","-",VLOOKUP(compras_mes3[[#This Row],[CUIT]],Lista_CUIT[#All],3,0)),"CUIT NO CARGADO")</f>
        <v>GASTOS COMERCIALES</v>
      </c>
      <c r="R88" s="353">
        <f>IFERROR(IF(compras_mes3[[#This Row],[CUIT]]="","-",VLOOKUP(compras_mes3[[#This Row],[CUIT]],Lista_CUIT[#All],4,0)),"CUIT NO CARGADO")</f>
        <v>0</v>
      </c>
    </row>
    <row r="89" spans="2:18" x14ac:dyDescent="0.3">
      <c r="B89" s="345">
        <v>45000</v>
      </c>
      <c r="C89" s="41">
        <v>1</v>
      </c>
      <c r="D89" s="346">
        <v>5</v>
      </c>
      <c r="E89" s="347">
        <v>249</v>
      </c>
      <c r="F89" s="348">
        <v>30643993089</v>
      </c>
      <c r="G89" s="349" t="str">
        <f>IFERROR(IF(compras_mes3[[#This Row],[CUIT]]="","-",VLOOKUP(compras_mes3[[#This Row],[CUIT]],Lista_CUIT[#All],2,0)),"CUIT NO CARGADO")</f>
        <v>CORNEALENT PANAMERICANA SA</v>
      </c>
      <c r="H89" s="350">
        <v>8264.4599999999991</v>
      </c>
      <c r="I89" s="351">
        <f>IF(compras_mes3[[#This Row],[NETO GRAVADO]]="","",compras_mes3[[#This Row],[NETO GRAVADO]]*0.21)</f>
        <v>1735.5365999999997</v>
      </c>
      <c r="J89" s="351"/>
      <c r="K89" s="351"/>
      <c r="L89" s="351"/>
      <c r="M89" s="351"/>
      <c r="N89" s="351"/>
      <c r="O89" s="351"/>
      <c r="P89" s="352">
        <f>SUM(compras_mes3[[#This Row],[NETO GRAVADO]:[Otros / No Grav.]])</f>
        <v>9999.9965999999986</v>
      </c>
      <c r="Q89" s="353">
        <f>IFERROR(IF(compras_mes3[[#This Row],[CUIT]]="","-",VLOOKUP(compras_mes3[[#This Row],[CUIT]],Lista_CUIT[#All],3,0)),"CUIT NO CARGADO")</f>
        <v>0</v>
      </c>
      <c r="R89" s="353">
        <f>IFERROR(IF(compras_mes3[[#This Row],[CUIT]]="","-",VLOOKUP(compras_mes3[[#This Row],[CUIT]],Lista_CUIT[#All],4,0)),"CUIT NO CARGADO")</f>
        <v>0</v>
      </c>
    </row>
    <row r="90" spans="2:18" x14ac:dyDescent="0.3">
      <c r="B90" s="345">
        <v>45000</v>
      </c>
      <c r="C90" s="41">
        <v>1</v>
      </c>
      <c r="D90" s="346">
        <v>2</v>
      </c>
      <c r="E90" s="347">
        <v>5611</v>
      </c>
      <c r="F90" s="348">
        <v>23180288899</v>
      </c>
      <c r="G90" s="349" t="str">
        <f>IFERROR(IF(compras_mes3[[#This Row],[CUIT]]="","-",VLOOKUP(compras_mes3[[#This Row],[CUIT]],Lista_CUIT[#All],2,0)),"CUIT NO CARGADO")</f>
        <v>ROMERO EMILIO</v>
      </c>
      <c r="H90" s="350">
        <v>228000</v>
      </c>
      <c r="I90" s="351">
        <f>IF(compras_mes3[[#This Row],[NETO GRAVADO]]="","",compras_mes3[[#This Row],[NETO GRAVADO]]*0.21)</f>
        <v>47880</v>
      </c>
      <c r="J90" s="351"/>
      <c r="K90" s="351"/>
      <c r="L90" s="351"/>
      <c r="M90" s="351"/>
      <c r="N90" s="351"/>
      <c r="O90" s="351"/>
      <c r="P90" s="352">
        <f>SUM(compras_mes3[[#This Row],[NETO GRAVADO]:[Otros / No Grav.]])</f>
        <v>275880</v>
      </c>
      <c r="Q90" s="353">
        <f>IFERROR(IF(compras_mes3[[#This Row],[CUIT]]="","-",VLOOKUP(compras_mes3[[#This Row],[CUIT]],Lista_CUIT[#All],3,0)),"CUIT NO CARGADO")</f>
        <v>0</v>
      </c>
      <c r="R90" s="353">
        <f>IFERROR(IF(compras_mes3[[#This Row],[CUIT]]="","-",VLOOKUP(compras_mes3[[#This Row],[CUIT]],Lista_CUIT[#All],4,0)),"CUIT NO CARGADO")</f>
        <v>0</v>
      </c>
    </row>
    <row r="91" spans="2:18" x14ac:dyDescent="0.3">
      <c r="B91" s="345">
        <v>45000</v>
      </c>
      <c r="C91" s="41">
        <v>1</v>
      </c>
      <c r="D91" s="346">
        <v>3</v>
      </c>
      <c r="E91" s="347">
        <v>6423</v>
      </c>
      <c r="F91" s="348">
        <v>30708006420</v>
      </c>
      <c r="G91" s="349" t="str">
        <f>IFERROR(IF(compras_mes3[[#This Row],[CUIT]]="","-",VLOOKUP(compras_mes3[[#This Row],[CUIT]],Lista_CUIT[#All],2,0)),"CUIT NO CARGADO")</f>
        <v>MEDILEA S.A.</v>
      </c>
      <c r="H91" s="350">
        <v>305929</v>
      </c>
      <c r="I91" s="351">
        <f>IF(compras_mes3[[#This Row],[NETO GRAVADO]]="","",compras_mes3[[#This Row],[NETO GRAVADO]]*0.21)</f>
        <v>64245.09</v>
      </c>
      <c r="J91" s="351"/>
      <c r="K91" s="351"/>
      <c r="L91" s="351"/>
      <c r="M91" s="351"/>
      <c r="N91" s="351"/>
      <c r="O91" s="351"/>
      <c r="P91" s="352">
        <f>SUM(compras_mes3[[#This Row],[NETO GRAVADO]:[Otros / No Grav.]])</f>
        <v>370174.08999999997</v>
      </c>
      <c r="Q91" s="353">
        <f>IFERROR(IF(compras_mes3[[#This Row],[CUIT]]="","-",VLOOKUP(compras_mes3[[#This Row],[CUIT]],Lista_CUIT[#All],3,0)),"CUIT NO CARGADO")</f>
        <v>0</v>
      </c>
      <c r="R91" s="353">
        <f>IFERROR(IF(compras_mes3[[#This Row],[CUIT]]="","-",VLOOKUP(compras_mes3[[#This Row],[CUIT]],Lista_CUIT[#All],4,0)),"CUIT NO CARGADO")</f>
        <v>0</v>
      </c>
    </row>
    <row r="92" spans="2:18" x14ac:dyDescent="0.3">
      <c r="B92" s="345">
        <v>45000</v>
      </c>
      <c r="C92" s="41">
        <v>1</v>
      </c>
      <c r="D92" s="346">
        <v>4</v>
      </c>
      <c r="E92" s="347">
        <v>41737</v>
      </c>
      <c r="F92" s="348">
        <v>30709863076</v>
      </c>
      <c r="G92" s="349" t="str">
        <f>IFERROR(IF(compras_mes3[[#This Row],[CUIT]]="","-",VLOOKUP(compras_mes3[[#This Row],[CUIT]],Lista_CUIT[#All],2,0)),"CUIT NO CARGADO")</f>
        <v>INDUSTRIAS PLASTICOS SALTA S.R.L.</v>
      </c>
      <c r="H92" s="350">
        <v>216000</v>
      </c>
      <c r="I92" s="351">
        <f>IF(compras_mes3[[#This Row],[NETO GRAVADO]]="","",compras_mes3[[#This Row],[NETO GRAVADO]]*0.21)</f>
        <v>45360</v>
      </c>
      <c r="J92" s="351"/>
      <c r="K92" s="351"/>
      <c r="L92" s="351"/>
      <c r="M92" s="351"/>
      <c r="N92" s="351"/>
      <c r="O92" s="351"/>
      <c r="P92" s="352">
        <f>SUM(compras_mes3[[#This Row],[NETO GRAVADO]:[Otros / No Grav.]])</f>
        <v>261360</v>
      </c>
      <c r="Q92" s="353">
        <f>IFERROR(IF(compras_mes3[[#This Row],[CUIT]]="","-",VLOOKUP(compras_mes3[[#This Row],[CUIT]],Lista_CUIT[#All],3,0)),"CUIT NO CARGADO")</f>
        <v>0</v>
      </c>
      <c r="R92" s="353">
        <f>IFERROR(IF(compras_mes3[[#This Row],[CUIT]]="","-",VLOOKUP(compras_mes3[[#This Row],[CUIT]],Lista_CUIT[#All],4,0)),"CUIT NO CARGADO")</f>
        <v>0</v>
      </c>
    </row>
    <row r="93" spans="2:18" x14ac:dyDescent="0.3">
      <c r="B93" s="345">
        <v>45000</v>
      </c>
      <c r="C93" s="41">
        <v>1</v>
      </c>
      <c r="D93" s="346">
        <v>103</v>
      </c>
      <c r="E93" s="347">
        <v>594176</v>
      </c>
      <c r="F93" s="348">
        <v>30701307115</v>
      </c>
      <c r="G93" s="349" t="str">
        <f>IFERROR(IF(compras_mes3[[#This Row],[CUIT]]="","-",VLOOKUP(compras_mes3[[#This Row],[CUIT]],Lista_CUIT[#All],2,0)),"CUIT NO CARGADO")</f>
        <v>DESPEGAR COM AR SA</v>
      </c>
      <c r="H93" s="350">
        <v>8995.26</v>
      </c>
      <c r="I93" s="351">
        <v>160.4</v>
      </c>
      <c r="J93" s="351"/>
      <c r="K93" s="351">
        <v>864.3</v>
      </c>
      <c r="L93" s="351"/>
      <c r="M93" s="351"/>
      <c r="N93" s="351"/>
      <c r="O93" s="351">
        <v>2230.46</v>
      </c>
      <c r="P93" s="352">
        <f>SUM(compras_mes3[[#This Row],[NETO GRAVADO]:[Otros / No Grav.]])</f>
        <v>12250.419999999998</v>
      </c>
      <c r="Q93" s="353">
        <f>IFERROR(IF(compras_mes3[[#This Row],[CUIT]]="","-",VLOOKUP(compras_mes3[[#This Row],[CUIT]],Lista_CUIT[#All],3,0)),"CUIT NO CARGADO")</f>
        <v>0</v>
      </c>
      <c r="R93" s="353">
        <f>IFERROR(IF(compras_mes3[[#This Row],[CUIT]]="","-",VLOOKUP(compras_mes3[[#This Row],[CUIT]],Lista_CUIT[#All],4,0)),"CUIT NO CARGADO")</f>
        <v>0</v>
      </c>
    </row>
    <row r="94" spans="2:18" x14ac:dyDescent="0.3">
      <c r="B94" s="345">
        <v>45000</v>
      </c>
      <c r="C94" s="41">
        <v>1</v>
      </c>
      <c r="D94" s="346">
        <v>4264</v>
      </c>
      <c r="E94" s="347">
        <v>1497477</v>
      </c>
      <c r="F94" s="348">
        <v>30639453738</v>
      </c>
      <c r="G94" s="349" t="str">
        <f>IFERROR(IF(compras_mes3[[#This Row],[CUIT]]="","-",VLOOKUP(compras_mes3[[#This Row],[CUIT]],Lista_CUIT[#All],2,0)),"CUIT NO CARGADO")</f>
        <v>TELECOM ARG SA</v>
      </c>
      <c r="H94" s="350">
        <v>11900</v>
      </c>
      <c r="I94" s="351">
        <f>IF(compras_mes3[[#This Row],[NETO GRAVADO]]="","",compras_mes3[[#This Row],[NETO GRAVADO]]*0.21)</f>
        <v>2499</v>
      </c>
      <c r="J94" s="351"/>
      <c r="K94" s="351"/>
      <c r="L94" s="351"/>
      <c r="M94" s="351"/>
      <c r="N94" s="351"/>
      <c r="O94" s="351">
        <v>1071</v>
      </c>
      <c r="P94" s="352">
        <f>SUM(compras_mes3[[#This Row],[NETO GRAVADO]:[Otros / No Grav.]])</f>
        <v>15470</v>
      </c>
      <c r="Q94" s="353" t="str">
        <f>IFERROR(IF(compras_mes3[[#This Row],[CUIT]]="","-",VLOOKUP(compras_mes3[[#This Row],[CUIT]],Lista_CUIT[#All],3,0)),"CUIT NO CARGADO")</f>
        <v>Servicios Gas, Luz, etc.</v>
      </c>
      <c r="R94" s="353">
        <f>IFERROR(IF(compras_mes3[[#This Row],[CUIT]]="","-",VLOOKUP(compras_mes3[[#This Row],[CUIT]],Lista_CUIT[#All],4,0)),"CUIT NO CARGADO")</f>
        <v>0</v>
      </c>
    </row>
    <row r="95" spans="2:18" x14ac:dyDescent="0.3">
      <c r="B95" s="345">
        <v>45000</v>
      </c>
      <c r="C95" s="41">
        <v>1</v>
      </c>
      <c r="D95" s="346">
        <v>4264</v>
      </c>
      <c r="E95" s="347">
        <v>1500921</v>
      </c>
      <c r="F95" s="348">
        <v>30639453738</v>
      </c>
      <c r="G95" s="349" t="str">
        <f>IFERROR(IF(compras_mes3[[#This Row],[CUIT]]="","-",VLOOKUP(compras_mes3[[#This Row],[CUIT]],Lista_CUIT[#All],2,0)),"CUIT NO CARGADO")</f>
        <v>TELECOM ARG SA</v>
      </c>
      <c r="H95" s="350">
        <v>8900</v>
      </c>
      <c r="I95" s="351">
        <f>IF(compras_mes3[[#This Row],[NETO GRAVADO]]="","",compras_mes3[[#This Row],[NETO GRAVADO]]*0.21)</f>
        <v>1869</v>
      </c>
      <c r="J95" s="351"/>
      <c r="K95" s="351"/>
      <c r="L95" s="351"/>
      <c r="M95" s="351"/>
      <c r="N95" s="351">
        <v>267</v>
      </c>
      <c r="O95" s="351"/>
      <c r="P95" s="352">
        <f>SUM(compras_mes3[[#This Row],[NETO GRAVADO]:[Otros / No Grav.]])</f>
        <v>11036</v>
      </c>
      <c r="Q95" s="353" t="str">
        <f>IFERROR(IF(compras_mes3[[#This Row],[CUIT]]="","-",VLOOKUP(compras_mes3[[#This Row],[CUIT]],Lista_CUIT[#All],3,0)),"CUIT NO CARGADO")</f>
        <v>Servicios Gas, Luz, etc.</v>
      </c>
      <c r="R95" s="353">
        <f>IFERROR(IF(compras_mes3[[#This Row],[CUIT]]="","-",VLOOKUP(compras_mes3[[#This Row],[CUIT]],Lista_CUIT[#All],4,0)),"CUIT NO CARGADO")</f>
        <v>0</v>
      </c>
    </row>
    <row r="96" spans="2:18" x14ac:dyDescent="0.3">
      <c r="B96" s="345">
        <v>45000</v>
      </c>
      <c r="C96" s="41">
        <v>1</v>
      </c>
      <c r="D96" s="346">
        <v>4264</v>
      </c>
      <c r="E96" s="347">
        <v>1547623</v>
      </c>
      <c r="F96" s="348">
        <v>30639453738</v>
      </c>
      <c r="G96" s="349" t="str">
        <f>IFERROR(IF(compras_mes3[[#This Row],[CUIT]]="","-",VLOOKUP(compras_mes3[[#This Row],[CUIT]],Lista_CUIT[#All],2,0)),"CUIT NO CARGADO")</f>
        <v>TELECOM ARG SA</v>
      </c>
      <c r="H96" s="350">
        <v>18700</v>
      </c>
      <c r="I96" s="351">
        <f>IF(compras_mes3[[#This Row],[NETO GRAVADO]]="","",compras_mes3[[#This Row],[NETO GRAVADO]]*0.21)</f>
        <v>3927</v>
      </c>
      <c r="J96" s="351"/>
      <c r="K96" s="351"/>
      <c r="L96" s="351"/>
      <c r="M96" s="351"/>
      <c r="N96" s="351">
        <v>1683</v>
      </c>
      <c r="O96" s="351"/>
      <c r="P96" s="352">
        <f>SUM(compras_mes3[[#This Row],[NETO GRAVADO]:[Otros / No Grav.]])</f>
        <v>24310</v>
      </c>
      <c r="Q96" s="353" t="str">
        <f>IFERROR(IF(compras_mes3[[#This Row],[CUIT]]="","-",VLOOKUP(compras_mes3[[#This Row],[CUIT]],Lista_CUIT[#All],3,0)),"CUIT NO CARGADO")</f>
        <v>Servicios Gas, Luz, etc.</v>
      </c>
      <c r="R96" s="353">
        <f>IFERROR(IF(compras_mes3[[#This Row],[CUIT]]="","-",VLOOKUP(compras_mes3[[#This Row],[CUIT]],Lista_CUIT[#All],4,0)),"CUIT NO CARGADO")</f>
        <v>0</v>
      </c>
    </row>
    <row r="97" spans="2:18" x14ac:dyDescent="0.3">
      <c r="B97" s="345">
        <v>45001</v>
      </c>
      <c r="C97" s="41">
        <v>1</v>
      </c>
      <c r="D97" s="346">
        <v>1</v>
      </c>
      <c r="E97" s="347">
        <v>124</v>
      </c>
      <c r="F97" s="348">
        <v>20077604627</v>
      </c>
      <c r="G97" s="349" t="str">
        <f>IFERROR(IF(compras_mes3[[#This Row],[CUIT]]="","-",VLOOKUP(compras_mes3[[#This Row],[CUIT]],Lista_CUIT[#All],2,0)),"CUIT NO CARGADO")</f>
        <v>OCAÑO ENRIQUE</v>
      </c>
      <c r="H97" s="350">
        <v>37950</v>
      </c>
      <c r="I97" s="351">
        <f>IF(compras_mes3[[#This Row],[NETO GRAVADO]]="","",compras_mes3[[#This Row],[NETO GRAVADO]]*0.21)</f>
        <v>7969.5</v>
      </c>
      <c r="J97" s="351"/>
      <c r="K97" s="351"/>
      <c r="L97" s="351"/>
      <c r="M97" s="351"/>
      <c r="N97" s="351"/>
      <c r="O97" s="351"/>
      <c r="P97" s="352">
        <f>SUM(compras_mes3[[#This Row],[NETO GRAVADO]:[Otros / No Grav.]])</f>
        <v>45919.5</v>
      </c>
      <c r="Q97" s="353">
        <f>IFERROR(IF(compras_mes3[[#This Row],[CUIT]]="","-",VLOOKUP(compras_mes3[[#This Row],[CUIT]],Lista_CUIT[#All],3,0)),"CUIT NO CARGADO")</f>
        <v>0</v>
      </c>
      <c r="R97" s="353">
        <f>IFERROR(IF(compras_mes3[[#This Row],[CUIT]]="","-",VLOOKUP(compras_mes3[[#This Row],[CUIT]],Lista_CUIT[#All],4,0)),"CUIT NO CARGADO")</f>
        <v>0</v>
      </c>
    </row>
    <row r="98" spans="2:18" x14ac:dyDescent="0.3">
      <c r="B98" s="345">
        <v>45001</v>
      </c>
      <c r="C98" s="41">
        <v>1</v>
      </c>
      <c r="D98" s="346">
        <v>1001</v>
      </c>
      <c r="E98" s="347">
        <v>1423</v>
      </c>
      <c r="F98" s="348">
        <v>30712289046</v>
      </c>
      <c r="G98" s="349" t="str">
        <f>IFERROR(IF(compras_mes3[[#This Row],[CUIT]]="","-",VLOOKUP(compras_mes3[[#This Row],[CUIT]],Lista_CUIT[#All],2,0)),"CUIT NO CARGADO")</f>
        <v>IMPIERI PIÑEIRO RIZZO Y ASOC SA</v>
      </c>
      <c r="H98" s="350">
        <v>1213.54</v>
      </c>
      <c r="I98" s="351">
        <f>IF(compras_mes3[[#This Row],[NETO GRAVADO]]="","",compras_mes3[[#This Row],[NETO GRAVADO]]*0.21)</f>
        <v>254.84339999999997</v>
      </c>
      <c r="J98" s="351"/>
      <c r="K98" s="351"/>
      <c r="L98" s="351"/>
      <c r="M98" s="351"/>
      <c r="N98" s="351"/>
      <c r="O98" s="351">
        <v>235.99</v>
      </c>
      <c r="P98" s="352">
        <f>SUM(compras_mes3[[#This Row],[NETO GRAVADO]:[Otros / No Grav.]])</f>
        <v>1704.3733999999999</v>
      </c>
      <c r="Q98" s="353">
        <f>IFERROR(IF(compras_mes3[[#This Row],[CUIT]]="","-",VLOOKUP(compras_mes3[[#This Row],[CUIT]],Lista_CUIT[#All],3,0)),"CUIT NO CARGADO")</f>
        <v>0</v>
      </c>
      <c r="R98" s="353">
        <f>IFERROR(IF(compras_mes3[[#This Row],[CUIT]]="","-",VLOOKUP(compras_mes3[[#This Row],[CUIT]],Lista_CUIT[#All],4,0)),"CUIT NO CARGADO")</f>
        <v>0</v>
      </c>
    </row>
    <row r="99" spans="2:18" x14ac:dyDescent="0.3">
      <c r="B99" s="345">
        <v>45002</v>
      </c>
      <c r="C99" s="354">
        <v>3</v>
      </c>
      <c r="D99" s="346">
        <v>21</v>
      </c>
      <c r="E99" s="347">
        <v>66</v>
      </c>
      <c r="F99" s="348">
        <v>30707040900</v>
      </c>
      <c r="G99" s="349" t="str">
        <f>IFERROR(IF(compras_mes3[[#This Row],[CUIT]]="","-",VLOOKUP(compras_mes3[[#This Row],[CUIT]],Lista_CUIT[#All],2,0)),"CUIT NO CARGADO")</f>
        <v>TODOVISION S.A</v>
      </c>
      <c r="H99" s="350">
        <v>-1694.21</v>
      </c>
      <c r="I99" s="351">
        <f>IF(compras_mes3[[#This Row],[NETO GRAVADO]]="","",compras_mes3[[#This Row],[NETO GRAVADO]]*0.21)</f>
        <v>-355.78409999999997</v>
      </c>
      <c r="J99" s="351"/>
      <c r="K99" s="351"/>
      <c r="L99" s="351"/>
      <c r="M99" s="351"/>
      <c r="N99" s="351"/>
      <c r="O99" s="351"/>
      <c r="P99" s="352">
        <f>SUM(compras_mes3[[#This Row],[NETO GRAVADO]:[Otros / No Grav.]])</f>
        <v>-2049.9940999999999</v>
      </c>
      <c r="Q99" s="353">
        <f>IFERROR(IF(compras_mes3[[#This Row],[CUIT]]="","-",VLOOKUP(compras_mes3[[#This Row],[CUIT]],Lista_CUIT[#All],3,0)),"CUIT NO CARGADO")</f>
        <v>0</v>
      </c>
      <c r="R99" s="353">
        <f>IFERROR(IF(compras_mes3[[#This Row],[CUIT]]="","-",VLOOKUP(compras_mes3[[#This Row],[CUIT]],Lista_CUIT[#All],4,0)),"CUIT NO CARGADO")</f>
        <v>0</v>
      </c>
    </row>
    <row r="100" spans="2:18" x14ac:dyDescent="0.3">
      <c r="B100" s="345">
        <v>45002</v>
      </c>
      <c r="C100" s="41">
        <v>1</v>
      </c>
      <c r="D100" s="346">
        <v>8</v>
      </c>
      <c r="E100" s="347">
        <v>222</v>
      </c>
      <c r="F100" s="348">
        <v>33519459529</v>
      </c>
      <c r="G100" s="349" t="str">
        <f>IFERROR(IF(compras_mes3[[#This Row],[CUIT]]="","-",VLOOKUP(compras_mes3[[#This Row],[CUIT]],Lista_CUIT[#All],2,0)),"CUIT NO CARGADO")</f>
        <v>PARQUE AYERZA SCA</v>
      </c>
      <c r="H100" s="350">
        <v>2272.71</v>
      </c>
      <c r="I100" s="351">
        <f>IF(compras_mes3[[#This Row],[NETO GRAVADO]]="","",compras_mes3[[#This Row],[NETO GRAVADO]]*0.21)</f>
        <v>477.26909999999998</v>
      </c>
      <c r="J100" s="351"/>
      <c r="K100" s="351"/>
      <c r="L100" s="351"/>
      <c r="M100" s="351"/>
      <c r="N100" s="351"/>
      <c r="O100" s="351"/>
      <c r="P100" s="352">
        <f>SUM(compras_mes3[[#This Row],[NETO GRAVADO]:[Otros / No Grav.]])</f>
        <v>2749.9791</v>
      </c>
      <c r="Q100" s="353">
        <f>IFERROR(IF(compras_mes3[[#This Row],[CUIT]]="","-",VLOOKUP(compras_mes3[[#This Row],[CUIT]],Lista_CUIT[#All],3,0)),"CUIT NO CARGADO")</f>
        <v>0</v>
      </c>
      <c r="R100" s="353">
        <f>IFERROR(IF(compras_mes3[[#This Row],[CUIT]]="","-",VLOOKUP(compras_mes3[[#This Row],[CUIT]],Lista_CUIT[#All],4,0)),"CUIT NO CARGADO")</f>
        <v>0</v>
      </c>
    </row>
    <row r="101" spans="2:18" x14ac:dyDescent="0.3">
      <c r="B101" s="345">
        <v>45002</v>
      </c>
      <c r="C101" s="41">
        <v>1</v>
      </c>
      <c r="D101" s="346">
        <v>4</v>
      </c>
      <c r="E101" s="347">
        <v>1759</v>
      </c>
      <c r="F101" s="348">
        <v>30708528052</v>
      </c>
      <c r="G101" s="349" t="str">
        <f>IFERROR(IF(compras_mes3[[#This Row],[CUIT]]="","-",VLOOKUP(compras_mes3[[#This Row],[CUIT]],Lista_CUIT[#All],2,0)),"CUIT NO CARGADO")</f>
        <v>SAN ANDRES ABERTURAS SRL</v>
      </c>
      <c r="H101" s="350">
        <v>86033.05</v>
      </c>
      <c r="I101" s="351">
        <f>IF(compras_mes3[[#This Row],[NETO GRAVADO]]="","",compras_mes3[[#This Row],[NETO GRAVADO]]*0.21)</f>
        <v>18066.940500000001</v>
      </c>
      <c r="J101" s="351"/>
      <c r="K101" s="351"/>
      <c r="L101" s="351"/>
      <c r="M101" s="351"/>
      <c r="N101" s="351"/>
      <c r="O101" s="351"/>
      <c r="P101" s="352">
        <f>SUM(compras_mes3[[#This Row],[NETO GRAVADO]:[Otros / No Grav.]])</f>
        <v>104099.9905</v>
      </c>
      <c r="Q101" s="353">
        <f>IFERROR(IF(compras_mes3[[#This Row],[CUIT]]="","-",VLOOKUP(compras_mes3[[#This Row],[CUIT]],Lista_CUIT[#All],3,0)),"CUIT NO CARGADO")</f>
        <v>0</v>
      </c>
      <c r="R101" s="353">
        <f>IFERROR(IF(compras_mes3[[#This Row],[CUIT]]="","-",VLOOKUP(compras_mes3[[#This Row],[CUIT]],Lista_CUIT[#All],4,0)),"CUIT NO CARGADO")</f>
        <v>0</v>
      </c>
    </row>
    <row r="102" spans="2:18" x14ac:dyDescent="0.3">
      <c r="B102" s="345">
        <v>45002</v>
      </c>
      <c r="C102" s="41">
        <v>1</v>
      </c>
      <c r="D102" s="346">
        <v>6</v>
      </c>
      <c r="E102" s="347">
        <v>2476</v>
      </c>
      <c r="F102" s="348">
        <v>30574603788</v>
      </c>
      <c r="G102" s="349" t="str">
        <f>IFERROR(IF(compras_mes3[[#This Row],[CUIT]]="","-",VLOOKUP(compras_mes3[[#This Row],[CUIT]],Lista_CUIT[#All],2,0)),"CUIT NO CARGADO")</f>
        <v>CODAC SRL</v>
      </c>
      <c r="H102" s="350">
        <v>911061</v>
      </c>
      <c r="I102" s="351">
        <f>IF(compras_mes3[[#This Row],[NETO GRAVADO]]="","",compras_mes3[[#This Row],[NETO GRAVADO]]*0.21)</f>
        <v>191322.81</v>
      </c>
      <c r="J102" s="351"/>
      <c r="K102" s="351"/>
      <c r="L102" s="351"/>
      <c r="M102" s="351"/>
      <c r="N102" s="351"/>
      <c r="O102" s="351"/>
      <c r="P102" s="352">
        <f>SUM(compras_mes3[[#This Row],[NETO GRAVADO]:[Otros / No Grav.]])</f>
        <v>1102383.81</v>
      </c>
      <c r="Q102" s="353" t="str">
        <f>IFERROR(IF(compras_mes3[[#This Row],[CUIT]]="","-",VLOOKUP(compras_mes3[[#This Row],[CUIT]],Lista_CUIT[#All],3,0)),"CUIT NO CARGADO")</f>
        <v>GASTOS COSMETICA</v>
      </c>
      <c r="R102" s="353" t="str">
        <f>IFERROR(IF(compras_mes3[[#This Row],[CUIT]]="","-",VLOOKUP(compras_mes3[[#This Row],[CUIT]],Lista_CUIT[#All],4,0)),"CUIT NO CARGADO")</f>
        <v>BUENOS AIRES</v>
      </c>
    </row>
    <row r="103" spans="2:18" x14ac:dyDescent="0.3">
      <c r="B103" s="345">
        <v>45002</v>
      </c>
      <c r="C103" s="41">
        <v>1</v>
      </c>
      <c r="D103" s="346">
        <v>21</v>
      </c>
      <c r="E103" s="347">
        <v>2827</v>
      </c>
      <c r="F103" s="348">
        <v>30707040900</v>
      </c>
      <c r="G103" s="349" t="str">
        <f>IFERROR(IF(compras_mes3[[#This Row],[CUIT]]="","-",VLOOKUP(compras_mes3[[#This Row],[CUIT]],Lista_CUIT[#All],2,0)),"CUIT NO CARGADO")</f>
        <v>TODOVISION S.A</v>
      </c>
      <c r="H103" s="350">
        <v>1694.21</v>
      </c>
      <c r="I103" s="351">
        <f>IF(compras_mes3[[#This Row],[NETO GRAVADO]]="","",compras_mes3[[#This Row],[NETO GRAVADO]]*0.21)</f>
        <v>355.78409999999997</v>
      </c>
      <c r="J103" s="351"/>
      <c r="K103" s="351"/>
      <c r="L103" s="351"/>
      <c r="M103" s="351"/>
      <c r="N103" s="351"/>
      <c r="O103" s="351"/>
      <c r="P103" s="352">
        <f>SUM(compras_mes3[[#This Row],[NETO GRAVADO]:[Otros / No Grav.]])</f>
        <v>2049.9940999999999</v>
      </c>
      <c r="Q103" s="353">
        <f>IFERROR(IF(compras_mes3[[#This Row],[CUIT]]="","-",VLOOKUP(compras_mes3[[#This Row],[CUIT]],Lista_CUIT[#All],3,0)),"CUIT NO CARGADO")</f>
        <v>0</v>
      </c>
      <c r="R103" s="353">
        <f>IFERROR(IF(compras_mes3[[#This Row],[CUIT]]="","-",VLOOKUP(compras_mes3[[#This Row],[CUIT]],Lista_CUIT[#All],4,0)),"CUIT NO CARGADO")</f>
        <v>0</v>
      </c>
    </row>
    <row r="104" spans="2:18" x14ac:dyDescent="0.3">
      <c r="B104" s="345">
        <v>45002</v>
      </c>
      <c r="C104" s="41">
        <v>1</v>
      </c>
      <c r="D104" s="346">
        <v>21</v>
      </c>
      <c r="E104" s="347">
        <v>2828</v>
      </c>
      <c r="F104" s="348">
        <v>30707040900</v>
      </c>
      <c r="G104" s="349" t="str">
        <f>IFERROR(IF(compras_mes3[[#This Row],[CUIT]]="","-",VLOOKUP(compras_mes3[[#This Row],[CUIT]],Lista_CUIT[#All],2,0)),"CUIT NO CARGADO")</f>
        <v>TODOVISION S.A</v>
      </c>
      <c r="H104" s="350">
        <v>2268.59</v>
      </c>
      <c r="I104" s="351">
        <f>IF(compras_mes3[[#This Row],[NETO GRAVADO]]="","",compras_mes3[[#This Row],[NETO GRAVADO]]*0.21)</f>
        <v>476.40390000000002</v>
      </c>
      <c r="J104" s="351"/>
      <c r="K104" s="351"/>
      <c r="L104" s="351"/>
      <c r="M104" s="351"/>
      <c r="N104" s="351"/>
      <c r="O104" s="351"/>
      <c r="P104" s="352">
        <f>SUM(compras_mes3[[#This Row],[NETO GRAVADO]:[Otros / No Grav.]])</f>
        <v>2744.9939000000004</v>
      </c>
      <c r="Q104" s="353">
        <f>IFERROR(IF(compras_mes3[[#This Row],[CUIT]]="","-",VLOOKUP(compras_mes3[[#This Row],[CUIT]],Lista_CUIT[#All],3,0)),"CUIT NO CARGADO")</f>
        <v>0</v>
      </c>
      <c r="R104" s="353">
        <f>IFERROR(IF(compras_mes3[[#This Row],[CUIT]]="","-",VLOOKUP(compras_mes3[[#This Row],[CUIT]],Lista_CUIT[#All],4,0)),"CUIT NO CARGADO")</f>
        <v>0</v>
      </c>
    </row>
    <row r="105" spans="2:18" x14ac:dyDescent="0.3">
      <c r="B105" s="345">
        <v>45002</v>
      </c>
      <c r="C105" s="41">
        <v>1</v>
      </c>
      <c r="D105" s="346">
        <v>21</v>
      </c>
      <c r="E105" s="347">
        <v>2831</v>
      </c>
      <c r="F105" s="348">
        <v>30707040900</v>
      </c>
      <c r="G105" s="349" t="str">
        <f>IFERROR(IF(compras_mes3[[#This Row],[CUIT]]="","-",VLOOKUP(compras_mes3[[#This Row],[CUIT]],Lista_CUIT[#All],2,0)),"CUIT NO CARGADO")</f>
        <v>TODOVISION S.A</v>
      </c>
      <c r="H105" s="350">
        <v>305.79000000000002</v>
      </c>
      <c r="I105" s="351">
        <f>IF(compras_mes3[[#This Row],[NETO GRAVADO]]="","",compras_mes3[[#This Row],[NETO GRAVADO]]*0.21)</f>
        <v>64.215900000000005</v>
      </c>
      <c r="J105" s="351"/>
      <c r="K105" s="351"/>
      <c r="L105" s="351"/>
      <c r="M105" s="351"/>
      <c r="N105" s="351"/>
      <c r="O105" s="351"/>
      <c r="P105" s="352">
        <f>SUM(compras_mes3[[#This Row],[NETO GRAVADO]:[Otros / No Grav.]])</f>
        <v>370.0059</v>
      </c>
      <c r="Q105" s="353">
        <f>IFERROR(IF(compras_mes3[[#This Row],[CUIT]]="","-",VLOOKUP(compras_mes3[[#This Row],[CUIT]],Lista_CUIT[#All],3,0)),"CUIT NO CARGADO")</f>
        <v>0</v>
      </c>
      <c r="R105" s="353">
        <f>IFERROR(IF(compras_mes3[[#This Row],[CUIT]]="","-",VLOOKUP(compras_mes3[[#This Row],[CUIT]],Lista_CUIT[#All],4,0)),"CUIT NO CARGADO")</f>
        <v>0</v>
      </c>
    </row>
    <row r="106" spans="2:18" x14ac:dyDescent="0.3">
      <c r="B106" s="345">
        <v>45002</v>
      </c>
      <c r="C106" s="354">
        <v>1</v>
      </c>
      <c r="D106" s="346">
        <v>6</v>
      </c>
      <c r="E106" s="347">
        <v>3140</v>
      </c>
      <c r="F106" s="348">
        <v>20134664518</v>
      </c>
      <c r="G106" s="349" t="str">
        <f>IFERROR(IF(compras_mes3[[#This Row],[CUIT]]="","-",VLOOKUP(compras_mes3[[#This Row],[CUIT]],Lista_CUIT[#All],2,0)),"CUIT NO CARGADO")</f>
        <v>HOKAMA SERGIO ENRIQUE</v>
      </c>
      <c r="H106" s="350">
        <v>4518.5600000000004</v>
      </c>
      <c r="I106" s="351">
        <f>IF(compras_mes3[[#This Row],[NETO GRAVADO]]="","",compras_mes3[[#This Row],[NETO GRAVADO]]*0.21)</f>
        <v>948.89760000000001</v>
      </c>
      <c r="J106" s="351"/>
      <c r="K106" s="351"/>
      <c r="L106" s="351"/>
      <c r="M106" s="351"/>
      <c r="N106" s="351"/>
      <c r="O106" s="351"/>
      <c r="P106" s="352">
        <f>SUM(compras_mes3[[#This Row],[NETO GRAVADO]:[Otros / No Grav.]])</f>
        <v>5467.4576000000006</v>
      </c>
      <c r="Q106" s="353" t="str">
        <f>IFERROR(IF(compras_mes3[[#This Row],[CUIT]]="","-",VLOOKUP(compras_mes3[[#This Row],[CUIT]],Lista_CUIT[#All],3,0)),"CUIT NO CARGADO")</f>
        <v>Gastos Varios</v>
      </c>
      <c r="R106" s="353" t="str">
        <f>IFERROR(IF(compras_mes3[[#This Row],[CUIT]]="","-",VLOOKUP(compras_mes3[[#This Row],[CUIT]],Lista_CUIT[#All],4,0)),"CUIT NO CARGADO")</f>
        <v>BUENOS AIRES</v>
      </c>
    </row>
    <row r="107" spans="2:18" x14ac:dyDescent="0.3">
      <c r="B107" s="345">
        <v>45002</v>
      </c>
      <c r="C107" s="41">
        <v>1</v>
      </c>
      <c r="D107" s="346">
        <v>6</v>
      </c>
      <c r="E107" s="347">
        <v>22885</v>
      </c>
      <c r="F107" s="348">
        <v>33640878679</v>
      </c>
      <c r="G107" s="349" t="str">
        <f>IFERROR(IF(compras_mes3[[#This Row],[CUIT]]="","-",VLOOKUP(compras_mes3[[#This Row],[CUIT]],Lista_CUIT[#All],2,0)),"CUIT NO CARGADO")</f>
        <v>DHACAM S R L</v>
      </c>
      <c r="H107" s="350">
        <v>58620</v>
      </c>
      <c r="I107" s="351">
        <f>IF(compras_mes3[[#This Row],[NETO GRAVADO]]="","",compras_mes3[[#This Row],[NETO GRAVADO]]*0.21)</f>
        <v>12310.199999999999</v>
      </c>
      <c r="J107" s="351"/>
      <c r="K107" s="351"/>
      <c r="L107" s="351"/>
      <c r="M107" s="351"/>
      <c r="N107" s="351"/>
      <c r="O107" s="351"/>
      <c r="P107" s="352">
        <f>SUM(compras_mes3[[#This Row],[NETO GRAVADO]:[Otros / No Grav.]])</f>
        <v>70930.2</v>
      </c>
      <c r="Q107" s="353">
        <f>IFERROR(IF(compras_mes3[[#This Row],[CUIT]]="","-",VLOOKUP(compras_mes3[[#This Row],[CUIT]],Lista_CUIT[#All],3,0)),"CUIT NO CARGADO")</f>
        <v>0</v>
      </c>
      <c r="R107" s="353">
        <f>IFERROR(IF(compras_mes3[[#This Row],[CUIT]]="","-",VLOOKUP(compras_mes3[[#This Row],[CUIT]],Lista_CUIT[#All],4,0)),"CUIT NO CARGADO")</f>
        <v>0</v>
      </c>
    </row>
    <row r="108" spans="2:18" x14ac:dyDescent="0.3">
      <c r="B108" s="345">
        <v>45002</v>
      </c>
      <c r="C108" s="41">
        <v>1</v>
      </c>
      <c r="D108" s="346">
        <v>629</v>
      </c>
      <c r="E108" s="347">
        <v>4018460</v>
      </c>
      <c r="F108" s="348">
        <v>30663498513</v>
      </c>
      <c r="G108" s="349" t="str">
        <f>IFERROR(IF(compras_mes3[[#This Row],[CUIT]]="","-",VLOOKUP(compras_mes3[[#This Row],[CUIT]],Lista_CUIT[#All],2,0)),"CUIT NO CARGADO")</f>
        <v>GRUPO CONCES. DEL OESTE SA</v>
      </c>
      <c r="H108" s="350">
        <v>1739.65</v>
      </c>
      <c r="I108" s="351">
        <f>IF(compras_mes3[[#This Row],[NETO GRAVADO]]="","",compras_mes3[[#This Row],[NETO GRAVADO]]*0.21)</f>
        <v>365.32650000000001</v>
      </c>
      <c r="J108" s="351"/>
      <c r="K108" s="351"/>
      <c r="L108" s="351"/>
      <c r="M108" s="351"/>
      <c r="N108" s="351"/>
      <c r="O108" s="351"/>
      <c r="P108" s="352">
        <f>SUM(compras_mes3[[#This Row],[NETO GRAVADO]:[Otros / No Grav.]])</f>
        <v>2104.9765000000002</v>
      </c>
      <c r="Q108" s="353">
        <f>IFERROR(IF(compras_mes3[[#This Row],[CUIT]]="","-",VLOOKUP(compras_mes3[[#This Row],[CUIT]],Lista_CUIT[#All],3,0)),"CUIT NO CARGADO")</f>
        <v>0</v>
      </c>
      <c r="R108" s="353">
        <f>IFERROR(IF(compras_mes3[[#This Row],[CUIT]]="","-",VLOOKUP(compras_mes3[[#This Row],[CUIT]],Lista_CUIT[#All],4,0)),"CUIT NO CARGADO")</f>
        <v>0</v>
      </c>
    </row>
    <row r="109" spans="2:18" x14ac:dyDescent="0.3">
      <c r="B109" s="345">
        <v>45002</v>
      </c>
      <c r="C109" s="41">
        <v>1</v>
      </c>
      <c r="D109" s="346">
        <v>711</v>
      </c>
      <c r="E109" s="347">
        <v>4083356</v>
      </c>
      <c r="F109" s="348">
        <v>30677237119</v>
      </c>
      <c r="G109" s="349" t="str">
        <f>IFERROR(IF(compras_mes3[[#This Row],[CUIT]]="","-",VLOOKUP(compras_mes3[[#This Row],[CUIT]],Lista_CUIT[#All],2,0)),"CUIT NO CARGADO")</f>
        <v>AUTOPISTAS DEL SOL S A</v>
      </c>
      <c r="H109" s="350">
        <v>1798.37</v>
      </c>
      <c r="I109" s="351">
        <f>IF(compras_mes3[[#This Row],[NETO GRAVADO]]="","",compras_mes3[[#This Row],[NETO GRAVADO]]*0.21)</f>
        <v>377.65769999999998</v>
      </c>
      <c r="J109" s="351"/>
      <c r="K109" s="351"/>
      <c r="L109" s="351"/>
      <c r="M109" s="351"/>
      <c r="N109" s="351"/>
      <c r="O109" s="351"/>
      <c r="P109" s="352">
        <f>SUM(compras_mes3[[#This Row],[NETO GRAVADO]:[Otros / No Grav.]])</f>
        <v>2176.0276999999996</v>
      </c>
      <c r="Q109" s="353">
        <f>IFERROR(IF(compras_mes3[[#This Row],[CUIT]]="","-",VLOOKUP(compras_mes3[[#This Row],[CUIT]],Lista_CUIT[#All],3,0)),"CUIT NO CARGADO")</f>
        <v>0</v>
      </c>
      <c r="R109" s="353">
        <f>IFERROR(IF(compras_mes3[[#This Row],[CUIT]]="","-",VLOOKUP(compras_mes3[[#This Row],[CUIT]],Lista_CUIT[#All],4,0)),"CUIT NO CARGADO")</f>
        <v>0</v>
      </c>
    </row>
    <row r="110" spans="2:18" x14ac:dyDescent="0.3">
      <c r="B110" s="345">
        <v>45003</v>
      </c>
      <c r="C110" s="41">
        <v>1</v>
      </c>
      <c r="D110" s="346">
        <v>6</v>
      </c>
      <c r="E110" s="347">
        <v>6196</v>
      </c>
      <c r="F110" s="348">
        <v>30679907995</v>
      </c>
      <c r="G110" s="349" t="str">
        <f>IFERROR(IF(compras_mes3[[#This Row],[CUIT]]="","-",VLOOKUP(compras_mes3[[#This Row],[CUIT]],Lista_CUIT[#All],2,0)),"CUIT NO CARGADO")</f>
        <v xml:space="preserve">COPY JET DE BIAFORE PABLO Y ANDRADE JAVIER  </v>
      </c>
      <c r="H110" s="350">
        <v>8371.9</v>
      </c>
      <c r="I110" s="351">
        <f>IF(compras_mes3[[#This Row],[NETO GRAVADO]]="","",compras_mes3[[#This Row],[NETO GRAVADO]]*0.21)</f>
        <v>1758.0989999999999</v>
      </c>
      <c r="J110" s="351"/>
      <c r="K110" s="351"/>
      <c r="L110" s="351"/>
      <c r="M110" s="351"/>
      <c r="N110" s="351"/>
      <c r="O110" s="351"/>
      <c r="P110" s="352">
        <f>SUM(compras_mes3[[#This Row],[NETO GRAVADO]:[Otros / No Grav.]])</f>
        <v>10129.999</v>
      </c>
      <c r="Q110" s="353" t="str">
        <f>IFERROR(IF(compras_mes3[[#This Row],[CUIT]]="","-",VLOOKUP(compras_mes3[[#This Row],[CUIT]],Lista_CUIT[#All],3,0)),"CUIT NO CARGADO")</f>
        <v>INSUMO</v>
      </c>
      <c r="R110" s="353" t="str">
        <f>IFERROR(IF(compras_mes3[[#This Row],[CUIT]]="","-",VLOOKUP(compras_mes3[[#This Row],[CUIT]],Lista_CUIT[#All],4,0)),"CUIT NO CARGADO")</f>
        <v>BUENOS AIRES</v>
      </c>
    </row>
    <row r="111" spans="2:18" x14ac:dyDescent="0.3">
      <c r="B111" s="345">
        <v>45003</v>
      </c>
      <c r="C111" s="41">
        <v>1</v>
      </c>
      <c r="D111" s="346">
        <v>8014</v>
      </c>
      <c r="E111" s="347">
        <v>19654</v>
      </c>
      <c r="F111" s="348">
        <v>30678774495</v>
      </c>
      <c r="G111" s="349" t="str">
        <f>IFERROR(IF(compras_mes3[[#This Row],[CUIT]]="","-",VLOOKUP(compras_mes3[[#This Row],[CUIT]],Lista_CUIT[#All],2,0)),"CUIT NO CARGADO")</f>
        <v>OPER. DE EST. DE SERV. SA</v>
      </c>
      <c r="H111" s="350">
        <v>7780.86</v>
      </c>
      <c r="I111" s="351">
        <f>IF(compras_mes3[[#This Row],[NETO GRAVADO]]="","",compras_mes3[[#This Row],[NETO GRAVADO]]*0.21)</f>
        <v>1633.9805999999999</v>
      </c>
      <c r="J111" s="351"/>
      <c r="K111" s="351"/>
      <c r="L111" s="351"/>
      <c r="M111" s="351"/>
      <c r="N111" s="351"/>
      <c r="O111" s="351">
        <v>1379.25</v>
      </c>
      <c r="P111" s="352">
        <f>SUM(compras_mes3[[#This Row],[NETO GRAVADO]:[Otros / No Grav.]])</f>
        <v>10794.0906</v>
      </c>
      <c r="Q111" s="353" t="str">
        <f>IFERROR(IF(compras_mes3[[#This Row],[CUIT]]="","-",VLOOKUP(compras_mes3[[#This Row],[CUIT]],Lista_CUIT[#All],3,0)),"CUIT NO CARGADO")</f>
        <v>Combustibe</v>
      </c>
      <c r="R111" s="353">
        <f>IFERROR(IF(compras_mes3[[#This Row],[CUIT]]="","-",VLOOKUP(compras_mes3[[#This Row],[CUIT]],Lista_CUIT[#All],4,0)),"CUIT NO CARGADO")</f>
        <v>0</v>
      </c>
    </row>
    <row r="112" spans="2:18" x14ac:dyDescent="0.3">
      <c r="B112" s="345">
        <v>45003</v>
      </c>
      <c r="C112" s="354">
        <v>1</v>
      </c>
      <c r="D112" s="346">
        <v>12</v>
      </c>
      <c r="E112" s="347">
        <v>19961</v>
      </c>
      <c r="F112" s="348">
        <v>30696131003</v>
      </c>
      <c r="G112" s="349" t="str">
        <f>IFERROR(IF(compras_mes3[[#This Row],[CUIT]]="","-",VLOOKUP(compras_mes3[[#This Row],[CUIT]],Lista_CUIT[#All],2,0)),"CUIT NO CARGADO")</f>
        <v>Petrolfe S.A.</v>
      </c>
      <c r="H112" s="350">
        <v>22195.32</v>
      </c>
      <c r="I112" s="351">
        <f>IF(compras_mes3[[#This Row],[NETO GRAVADO]]="","",compras_mes3[[#This Row],[NETO GRAVADO]]*0.21)</f>
        <v>4661.0171999999993</v>
      </c>
      <c r="J112" s="351"/>
      <c r="K112" s="351"/>
      <c r="L112" s="351"/>
      <c r="M112" s="351"/>
      <c r="N112" s="351"/>
      <c r="O112" s="351">
        <v>4489.8500000000004</v>
      </c>
      <c r="P112" s="352">
        <f>SUM(compras_mes3[[#This Row],[NETO GRAVADO]:[Otros / No Grav.]])</f>
        <v>31346.1872</v>
      </c>
      <c r="Q112" s="353" t="str">
        <f>IFERROR(IF(compras_mes3[[#This Row],[CUIT]]="","-",VLOOKUP(compras_mes3[[#This Row],[CUIT]],Lista_CUIT[#All],3,0)),"CUIT NO CARGADO")</f>
        <v>Combustible</v>
      </c>
      <c r="R112" s="353">
        <f>IFERROR(IF(compras_mes3[[#This Row],[CUIT]]="","-",VLOOKUP(compras_mes3[[#This Row],[CUIT]],Lista_CUIT[#All],4,0)),"CUIT NO CARGADO")</f>
        <v>0</v>
      </c>
    </row>
    <row r="113" spans="2:18" x14ac:dyDescent="0.3">
      <c r="B113" s="345">
        <v>45003</v>
      </c>
      <c r="C113" s="41">
        <v>1</v>
      </c>
      <c r="D113" s="346">
        <v>2199</v>
      </c>
      <c r="E113" s="347">
        <v>21010</v>
      </c>
      <c r="F113" s="348">
        <v>30548083156</v>
      </c>
      <c r="G113" s="349" t="str">
        <f>IFERROR(IF(compras_mes3[[#This Row],[CUIT]]="","-",VLOOKUP(compras_mes3[[#This Row],[CUIT]],Lista_CUIT[#All],2,0)),"CUIT NO CARGADO")</f>
        <v>COTO CENTRO INTEGRAL DE COMERCIALIZACION SOCIEDAD ANONIMA</v>
      </c>
      <c r="H113" s="350">
        <v>12006.08</v>
      </c>
      <c r="I113" s="351">
        <v>2005.28</v>
      </c>
      <c r="J113" s="351"/>
      <c r="K113" s="351">
        <v>258</v>
      </c>
      <c r="L113" s="351">
        <v>283.74</v>
      </c>
      <c r="M113" s="351"/>
      <c r="N113" s="351">
        <v>645.39</v>
      </c>
      <c r="O113" s="351"/>
      <c r="P113" s="352">
        <f>SUM(compras_mes3[[#This Row],[NETO GRAVADO]:[Otros / No Grav.]])</f>
        <v>15198.49</v>
      </c>
      <c r="Q113" s="353" t="str">
        <f>IFERROR(IF(compras_mes3[[#This Row],[CUIT]]="","-",VLOOKUP(compras_mes3[[#This Row],[CUIT]],Lista_CUIT[#All],3,0)),"CUIT NO CARGADO")</f>
        <v>GASTOS COMERCIALES</v>
      </c>
      <c r="R113" s="353">
        <f>IFERROR(IF(compras_mes3[[#This Row],[CUIT]]="","-",VLOOKUP(compras_mes3[[#This Row],[CUIT]],Lista_CUIT[#All],4,0)),"CUIT NO CARGADO")</f>
        <v>0</v>
      </c>
    </row>
    <row r="114" spans="2:18" x14ac:dyDescent="0.3">
      <c r="B114" s="345">
        <v>45003</v>
      </c>
      <c r="C114" s="41">
        <v>1</v>
      </c>
      <c r="D114" s="346">
        <v>5014</v>
      </c>
      <c r="E114" s="347">
        <v>392529</v>
      </c>
      <c r="F114" s="348">
        <v>30574876474</v>
      </c>
      <c r="G114" s="349" t="str">
        <f>IFERROR(IF(compras_mes3[[#This Row],[CUIT]]="","-",VLOOKUP(compras_mes3[[#This Row],[CUIT]],Lista_CUIT[#All],2,0)),"CUIT NO CARGADO")</f>
        <v>AUTOPISTAS URBANAS S A</v>
      </c>
      <c r="H114" s="350">
        <v>16016.8</v>
      </c>
      <c r="I114" s="351">
        <f>IF(compras_mes3[[#This Row],[NETO GRAVADO]]="","",compras_mes3[[#This Row],[NETO GRAVADO]]*0.21)</f>
        <v>3363.5279999999998</v>
      </c>
      <c r="J114" s="351"/>
      <c r="K114" s="351"/>
      <c r="L114" s="351"/>
      <c r="M114" s="351"/>
      <c r="N114" s="351"/>
      <c r="O114" s="351">
        <v>2080.7399999999998</v>
      </c>
      <c r="P114" s="352">
        <f>SUM(compras_mes3[[#This Row],[NETO GRAVADO]:[Otros / No Grav.]])</f>
        <v>21461.067999999999</v>
      </c>
      <c r="Q114" s="353">
        <f>IFERROR(IF(compras_mes3[[#This Row],[CUIT]]="","-",VLOOKUP(compras_mes3[[#This Row],[CUIT]],Lista_CUIT[#All],3,0)),"CUIT NO CARGADO")</f>
        <v>0</v>
      </c>
      <c r="R114" s="353">
        <f>IFERROR(IF(compras_mes3[[#This Row],[CUIT]]="","-",VLOOKUP(compras_mes3[[#This Row],[CUIT]],Lista_CUIT[#All],4,0)),"CUIT NO CARGADO")</f>
        <v>0</v>
      </c>
    </row>
    <row r="115" spans="2:18" x14ac:dyDescent="0.3">
      <c r="B115" s="345">
        <v>45005</v>
      </c>
      <c r="C115" s="354">
        <v>1</v>
      </c>
      <c r="D115" s="346">
        <v>6</v>
      </c>
      <c r="E115" s="347">
        <v>3151</v>
      </c>
      <c r="F115" s="348">
        <v>20134664518</v>
      </c>
      <c r="G115" s="349" t="str">
        <f>IFERROR(IF(compras_mes3[[#This Row],[CUIT]]="","-",VLOOKUP(compras_mes3[[#This Row],[CUIT]],Lista_CUIT[#All],2,0)),"CUIT NO CARGADO")</f>
        <v>HOKAMA SERGIO ENRIQUE</v>
      </c>
      <c r="H115" s="350">
        <v>5755.29</v>
      </c>
      <c r="I115" s="351">
        <f>IF(compras_mes3[[#This Row],[NETO GRAVADO]]="","",compras_mes3[[#This Row],[NETO GRAVADO]]*0.21)</f>
        <v>1208.6108999999999</v>
      </c>
      <c r="J115" s="351"/>
      <c r="K115" s="351"/>
      <c r="L115" s="351"/>
      <c r="M115" s="351"/>
      <c r="N115" s="351"/>
      <c r="O115" s="351"/>
      <c r="P115" s="352">
        <f>SUM(compras_mes3[[#This Row],[NETO GRAVADO]:[Otros / No Grav.]])</f>
        <v>6963.9008999999996</v>
      </c>
      <c r="Q115" s="353" t="str">
        <f>IFERROR(IF(compras_mes3[[#This Row],[CUIT]]="","-",VLOOKUP(compras_mes3[[#This Row],[CUIT]],Lista_CUIT[#All],3,0)),"CUIT NO CARGADO")</f>
        <v>Gastos Varios</v>
      </c>
      <c r="R115" s="353" t="str">
        <f>IFERROR(IF(compras_mes3[[#This Row],[CUIT]]="","-",VLOOKUP(compras_mes3[[#This Row],[CUIT]],Lista_CUIT[#All],4,0)),"CUIT NO CARGADO")</f>
        <v>BUENOS AIRES</v>
      </c>
    </row>
    <row r="116" spans="2:18" x14ac:dyDescent="0.3">
      <c r="B116" s="345">
        <v>45005</v>
      </c>
      <c r="C116" s="41">
        <v>1</v>
      </c>
      <c r="D116" s="346">
        <v>4</v>
      </c>
      <c r="E116" s="347">
        <v>8651</v>
      </c>
      <c r="F116" s="348">
        <v>30694547903</v>
      </c>
      <c r="G116" s="349" t="str">
        <f>IFERROR(IF(compras_mes3[[#This Row],[CUIT]]="","-",VLOOKUP(compras_mes3[[#This Row],[CUIT]],Lista_CUIT[#All],2,0)),"CUIT NO CARGADO")</f>
        <v>MULTICAJAS S A</v>
      </c>
      <c r="H116" s="350">
        <v>389725</v>
      </c>
      <c r="I116" s="351">
        <f>IF(compras_mes3[[#This Row],[NETO GRAVADO]]="","",compras_mes3[[#This Row],[NETO GRAVADO]]*0.21)</f>
        <v>81842.25</v>
      </c>
      <c r="J116" s="351"/>
      <c r="K116" s="351"/>
      <c r="L116" s="351"/>
      <c r="M116" s="351"/>
      <c r="N116" s="351"/>
      <c r="O116" s="351"/>
      <c r="P116" s="352">
        <f>SUM(compras_mes3[[#This Row],[NETO GRAVADO]:[Otros / No Grav.]])</f>
        <v>471567.25</v>
      </c>
      <c r="Q116" s="353">
        <f>IFERROR(IF(compras_mes3[[#This Row],[CUIT]]="","-",VLOOKUP(compras_mes3[[#This Row],[CUIT]],Lista_CUIT[#All],3,0)),"CUIT NO CARGADO")</f>
        <v>0</v>
      </c>
      <c r="R116" s="353">
        <f>IFERROR(IF(compras_mes3[[#This Row],[CUIT]]="","-",VLOOKUP(compras_mes3[[#This Row],[CUIT]],Lista_CUIT[#All],4,0)),"CUIT NO CARGADO")</f>
        <v>0</v>
      </c>
    </row>
    <row r="117" spans="2:18" x14ac:dyDescent="0.3">
      <c r="B117" s="345">
        <v>45005</v>
      </c>
      <c r="C117" s="41">
        <v>1</v>
      </c>
      <c r="D117" s="346">
        <v>6860</v>
      </c>
      <c r="E117" s="347">
        <v>18390</v>
      </c>
      <c r="F117" s="348">
        <v>30678774495</v>
      </c>
      <c r="G117" s="349" t="str">
        <f>IFERROR(IF(compras_mes3[[#This Row],[CUIT]]="","-",VLOOKUP(compras_mes3[[#This Row],[CUIT]],Lista_CUIT[#All],2,0)),"CUIT NO CARGADO")</f>
        <v>OPER. DE EST. DE SERV. SA</v>
      </c>
      <c r="H117" s="350">
        <v>6486.11</v>
      </c>
      <c r="I117" s="351">
        <f>IF(compras_mes3[[#This Row],[NETO GRAVADO]]="","",compras_mes3[[#This Row],[NETO GRAVADO]]*0.21)</f>
        <v>1362.0830999999998</v>
      </c>
      <c r="J117" s="351"/>
      <c r="K117" s="351"/>
      <c r="L117" s="351"/>
      <c r="M117" s="351"/>
      <c r="N117" s="351"/>
      <c r="O117" s="351">
        <v>1151.1199999999999</v>
      </c>
      <c r="P117" s="352">
        <f>SUM(compras_mes3[[#This Row],[NETO GRAVADO]:[Otros / No Grav.]])</f>
        <v>8999.3130999999994</v>
      </c>
      <c r="Q117" s="353" t="str">
        <f>IFERROR(IF(compras_mes3[[#This Row],[CUIT]]="","-",VLOOKUP(compras_mes3[[#This Row],[CUIT]],Lista_CUIT[#All],3,0)),"CUIT NO CARGADO")</f>
        <v>Combustibe</v>
      </c>
      <c r="R117" s="353">
        <f>IFERROR(IF(compras_mes3[[#This Row],[CUIT]]="","-",VLOOKUP(compras_mes3[[#This Row],[CUIT]],Lista_CUIT[#All],4,0)),"CUIT NO CARGADO")</f>
        <v>0</v>
      </c>
    </row>
    <row r="118" spans="2:18" x14ac:dyDescent="0.3">
      <c r="B118" s="345">
        <v>45005</v>
      </c>
      <c r="C118" s="41">
        <v>1</v>
      </c>
      <c r="D118" s="346">
        <v>12</v>
      </c>
      <c r="E118" s="347">
        <v>124636</v>
      </c>
      <c r="F118" s="348">
        <v>30534051049</v>
      </c>
      <c r="G118" s="349" t="str">
        <f>IFERROR(IF(compras_mes3[[#This Row],[CUIT]]="","-",VLOOKUP(compras_mes3[[#This Row],[CUIT]],Lista_CUIT[#All],2,0)),"CUIT NO CARGADO")</f>
        <v>ELECTRO UNIVERSO - PLIN METAL S A</v>
      </c>
      <c r="H118" s="350">
        <v>4896.33</v>
      </c>
      <c r="I118" s="351">
        <v>765.95</v>
      </c>
      <c r="J118" s="351"/>
      <c r="K118" s="351">
        <v>131.13999999999999</v>
      </c>
      <c r="L118" s="351"/>
      <c r="M118" s="351"/>
      <c r="N118" s="351"/>
      <c r="O118" s="351"/>
      <c r="P118" s="352">
        <f>SUM(compras_mes3[[#This Row],[NETO GRAVADO]:[Otros / No Grav.]])</f>
        <v>5793.42</v>
      </c>
      <c r="Q118" s="353">
        <f>IFERROR(IF(compras_mes3[[#This Row],[CUIT]]="","-",VLOOKUP(compras_mes3[[#This Row],[CUIT]],Lista_CUIT[#All],3,0)),"CUIT NO CARGADO")</f>
        <v>0</v>
      </c>
      <c r="R118" s="353">
        <f>IFERROR(IF(compras_mes3[[#This Row],[CUIT]]="","-",VLOOKUP(compras_mes3[[#This Row],[CUIT]],Lista_CUIT[#All],4,0)),"CUIT NO CARGADO")</f>
        <v>0</v>
      </c>
    </row>
    <row r="119" spans="2:18" x14ac:dyDescent="0.3">
      <c r="B119" s="345">
        <v>45005</v>
      </c>
      <c r="C119" s="41">
        <v>1</v>
      </c>
      <c r="D119" s="346">
        <v>113</v>
      </c>
      <c r="E119" s="347">
        <v>3123191</v>
      </c>
      <c r="F119" s="348">
        <v>30577207190</v>
      </c>
      <c r="G119" s="349" t="str">
        <f>IFERROR(IF(compras_mes3[[#This Row],[CUIT]]="","-",VLOOKUP(compras_mes3[[#This Row],[CUIT]],Lista_CUIT[#All],2,0)),"CUIT NO CARGADO")</f>
        <v>COORDINACION ECOLOGICA AREA METROPOLITANA SOCIEDAD DEL ESTADO</v>
      </c>
      <c r="H119" s="350">
        <v>1538.84</v>
      </c>
      <c r="I119" s="351">
        <f>IF(compras_mes3[[#This Row],[NETO GRAVADO]]="","",compras_mes3[[#This Row],[NETO GRAVADO]]*0.21)</f>
        <v>323.15639999999996</v>
      </c>
      <c r="J119" s="351"/>
      <c r="K119" s="351"/>
      <c r="L119" s="351"/>
      <c r="M119" s="351"/>
      <c r="N119" s="351"/>
      <c r="O119" s="351"/>
      <c r="P119" s="352">
        <f>SUM(compras_mes3[[#This Row],[NETO GRAVADO]:[Otros / No Grav.]])</f>
        <v>1861.9964</v>
      </c>
      <c r="Q119" s="353">
        <f>IFERROR(IF(compras_mes3[[#This Row],[CUIT]]="","-",VLOOKUP(compras_mes3[[#This Row],[CUIT]],Lista_CUIT[#All],3,0)),"CUIT NO CARGADO")</f>
        <v>0</v>
      </c>
      <c r="R119" s="353">
        <f>IFERROR(IF(compras_mes3[[#This Row],[CUIT]]="","-",VLOOKUP(compras_mes3[[#This Row],[CUIT]],Lista_CUIT[#All],4,0)),"CUIT NO CARGADO")</f>
        <v>0</v>
      </c>
    </row>
    <row r="120" spans="2:18" x14ac:dyDescent="0.3">
      <c r="B120" s="345">
        <v>45006</v>
      </c>
      <c r="C120" s="41">
        <v>1</v>
      </c>
      <c r="D120" s="346">
        <v>5</v>
      </c>
      <c r="E120" s="347">
        <v>250</v>
      </c>
      <c r="F120" s="348">
        <v>30643993089</v>
      </c>
      <c r="G120" s="349" t="str">
        <f>IFERROR(IF(compras_mes3[[#This Row],[CUIT]]="","-",VLOOKUP(compras_mes3[[#This Row],[CUIT]],Lista_CUIT[#All],2,0)),"CUIT NO CARGADO")</f>
        <v>CORNEALENT PANAMERICANA SA</v>
      </c>
      <c r="H120" s="350">
        <v>15702.48</v>
      </c>
      <c r="I120" s="351">
        <f>IF(compras_mes3[[#This Row],[NETO GRAVADO]]="","",compras_mes3[[#This Row],[NETO GRAVADO]]*0.21)</f>
        <v>3297.5207999999998</v>
      </c>
      <c r="J120" s="351"/>
      <c r="K120" s="351"/>
      <c r="L120" s="351"/>
      <c r="M120" s="351"/>
      <c r="N120" s="351"/>
      <c r="O120" s="351"/>
      <c r="P120" s="352">
        <f>SUM(compras_mes3[[#This Row],[NETO GRAVADO]:[Otros / No Grav.]])</f>
        <v>19000.000799999998</v>
      </c>
      <c r="Q120" s="353">
        <f>IFERROR(IF(compras_mes3[[#This Row],[CUIT]]="","-",VLOOKUP(compras_mes3[[#This Row],[CUIT]],Lista_CUIT[#All],3,0)),"CUIT NO CARGADO")</f>
        <v>0</v>
      </c>
      <c r="R120" s="353">
        <f>IFERROR(IF(compras_mes3[[#This Row],[CUIT]]="","-",VLOOKUP(compras_mes3[[#This Row],[CUIT]],Lista_CUIT[#All],4,0)),"CUIT NO CARGADO")</f>
        <v>0</v>
      </c>
    </row>
    <row r="121" spans="2:18" x14ac:dyDescent="0.3">
      <c r="B121" s="345">
        <v>45006</v>
      </c>
      <c r="C121" s="41">
        <v>1</v>
      </c>
      <c r="D121" s="346">
        <v>5</v>
      </c>
      <c r="E121" s="347">
        <v>251</v>
      </c>
      <c r="F121" s="348">
        <v>30643993089</v>
      </c>
      <c r="G121" s="349" t="str">
        <f>IFERROR(IF(compras_mes3[[#This Row],[CUIT]]="","-",VLOOKUP(compras_mes3[[#This Row],[CUIT]],Lista_CUIT[#All],2,0)),"CUIT NO CARGADO")</f>
        <v>CORNEALENT PANAMERICANA SA</v>
      </c>
      <c r="H121" s="350">
        <v>2669.42</v>
      </c>
      <c r="I121" s="351">
        <f>IF(compras_mes3[[#This Row],[NETO GRAVADO]]="","",compras_mes3[[#This Row],[NETO GRAVADO]]*0.21)</f>
        <v>560.57820000000004</v>
      </c>
      <c r="J121" s="351"/>
      <c r="K121" s="351"/>
      <c r="L121" s="351"/>
      <c r="M121" s="351"/>
      <c r="N121" s="351"/>
      <c r="O121" s="351"/>
      <c r="P121" s="352">
        <f>SUM(compras_mes3[[#This Row],[NETO GRAVADO]:[Otros / No Grav.]])</f>
        <v>3229.9982</v>
      </c>
      <c r="Q121" s="353">
        <f>IFERROR(IF(compras_mes3[[#This Row],[CUIT]]="","-",VLOOKUP(compras_mes3[[#This Row],[CUIT]],Lista_CUIT[#All],3,0)),"CUIT NO CARGADO")</f>
        <v>0</v>
      </c>
      <c r="R121" s="353">
        <f>IFERROR(IF(compras_mes3[[#This Row],[CUIT]]="","-",VLOOKUP(compras_mes3[[#This Row],[CUIT]],Lista_CUIT[#All],4,0)),"CUIT NO CARGADO")</f>
        <v>0</v>
      </c>
    </row>
    <row r="122" spans="2:18" x14ac:dyDescent="0.3">
      <c r="B122" s="345">
        <v>45006</v>
      </c>
      <c r="C122" s="354">
        <v>1</v>
      </c>
      <c r="D122" s="346">
        <v>9</v>
      </c>
      <c r="E122" s="347">
        <v>483</v>
      </c>
      <c r="F122" s="348">
        <v>30703843618</v>
      </c>
      <c r="G122" s="349" t="str">
        <f>IFERROR(IF(compras_mes3[[#This Row],[CUIT]]="","-",VLOOKUP(compras_mes3[[#This Row],[CUIT]],Lista_CUIT[#All],2,0)),"CUIT NO CARGADO")</f>
        <v>SILFA SA</v>
      </c>
      <c r="H122" s="350">
        <v>778.7</v>
      </c>
      <c r="I122" s="351">
        <f>IF(compras_mes3[[#This Row],[NETO GRAVADO]]="","",compras_mes3[[#This Row],[NETO GRAVADO]]*0.21)</f>
        <v>163.52700000000002</v>
      </c>
      <c r="J122" s="351"/>
      <c r="K122" s="351"/>
      <c r="L122" s="351"/>
      <c r="M122" s="351"/>
      <c r="N122" s="351"/>
      <c r="O122" s="351"/>
      <c r="P122" s="352">
        <f>SUM(compras_mes3[[#This Row],[NETO GRAVADO]:[Otros / No Grav.]])</f>
        <v>942.22700000000009</v>
      </c>
      <c r="Q122" s="353" t="str">
        <f>IFERROR(IF(compras_mes3[[#This Row],[CUIT]]="","-",VLOOKUP(compras_mes3[[#This Row],[CUIT]],Lista_CUIT[#All],3,0)),"CUIT NO CARGADO")</f>
        <v>COMBUSTIBLE</v>
      </c>
      <c r="R122" s="353" t="str">
        <f>IFERROR(IF(compras_mes3[[#This Row],[CUIT]]="","-",VLOOKUP(compras_mes3[[#This Row],[CUIT]],Lista_CUIT[#All],4,0)),"CUIT NO CARGADO")</f>
        <v>BUENOS AIRES</v>
      </c>
    </row>
    <row r="123" spans="2:18" x14ac:dyDescent="0.3">
      <c r="B123" s="345">
        <v>45006</v>
      </c>
      <c r="C123" s="41">
        <v>1</v>
      </c>
      <c r="D123" s="346">
        <v>5</v>
      </c>
      <c r="E123" s="347">
        <v>1311</v>
      </c>
      <c r="F123" s="348">
        <v>30711651779</v>
      </c>
      <c r="G123" s="349" t="str">
        <f>IFERROR(IF(compras_mes3[[#This Row],[CUIT]]="","-",VLOOKUP(compras_mes3[[#This Row],[CUIT]],Lista_CUIT[#All],2,0)),"CUIT NO CARGADO")</f>
        <v>INFOSOL BUENOS AIRES S.R.L.</v>
      </c>
      <c r="H123" s="350">
        <v>12396.69</v>
      </c>
      <c r="I123" s="351">
        <f>IF(compras_mes3[[#This Row],[NETO GRAVADO]]="","",compras_mes3[[#This Row],[NETO GRAVADO]]*0.21)</f>
        <v>2603.3049000000001</v>
      </c>
      <c r="J123" s="351"/>
      <c r="K123" s="351"/>
      <c r="L123" s="351"/>
      <c r="M123" s="351"/>
      <c r="N123" s="351"/>
      <c r="O123" s="351"/>
      <c r="P123" s="352">
        <f>SUM(compras_mes3[[#This Row],[NETO GRAVADO]:[Otros / No Grav.]])</f>
        <v>14999.994900000002</v>
      </c>
      <c r="Q123" s="353">
        <f>IFERROR(IF(compras_mes3[[#This Row],[CUIT]]="","-",VLOOKUP(compras_mes3[[#This Row],[CUIT]],Lista_CUIT[#All],3,0)),"CUIT NO CARGADO")</f>
        <v>0</v>
      </c>
      <c r="R123" s="353">
        <f>IFERROR(IF(compras_mes3[[#This Row],[CUIT]]="","-",VLOOKUP(compras_mes3[[#This Row],[CUIT]],Lista_CUIT[#All],4,0)),"CUIT NO CARGADO")</f>
        <v>0</v>
      </c>
    </row>
    <row r="124" spans="2:18" x14ac:dyDescent="0.3">
      <c r="B124" s="345">
        <v>45006</v>
      </c>
      <c r="C124" s="41">
        <v>1</v>
      </c>
      <c r="D124" s="346">
        <v>20</v>
      </c>
      <c r="E124" s="347">
        <v>7913</v>
      </c>
      <c r="F124" s="348">
        <v>30515800219</v>
      </c>
      <c r="G124" s="349" t="str">
        <f>IFERROR(IF(compras_mes3[[#This Row],[CUIT]]="","-",VLOOKUP(compras_mes3[[#This Row],[CUIT]],Lista_CUIT[#All],2,0)),"CUIT NO CARGADO")</f>
        <v>INCAT SRL</v>
      </c>
      <c r="H124" s="350">
        <v>448</v>
      </c>
      <c r="I124" s="351">
        <f>IF(compras_mes3[[#This Row],[NETO GRAVADO]]="","",compras_mes3[[#This Row],[NETO GRAVADO]]*0.21)</f>
        <v>94.08</v>
      </c>
      <c r="J124" s="351"/>
      <c r="K124" s="351"/>
      <c r="L124" s="351"/>
      <c r="M124" s="351"/>
      <c r="N124" s="351"/>
      <c r="O124" s="351">
        <v>7.94</v>
      </c>
      <c r="P124" s="352">
        <f>SUM(compras_mes3[[#This Row],[NETO GRAVADO]:[Otros / No Grav.]])</f>
        <v>550.0200000000001</v>
      </c>
      <c r="Q124" s="353" t="str">
        <f>IFERROR(IF(compras_mes3[[#This Row],[CUIT]]="","-",VLOOKUP(compras_mes3[[#This Row],[CUIT]],Lista_CUIT[#All],3,0)),"CUIT NO CARGADO")</f>
        <v>Combustibe</v>
      </c>
      <c r="R124" s="353" t="str">
        <f>IFERROR(IF(compras_mes3[[#This Row],[CUIT]]="","-",VLOOKUP(compras_mes3[[#This Row],[CUIT]],Lista_CUIT[#All],4,0)),"CUIT NO CARGADO")</f>
        <v>CABA</v>
      </c>
    </row>
    <row r="125" spans="2:18" x14ac:dyDescent="0.3">
      <c r="B125" s="345">
        <v>45006</v>
      </c>
      <c r="C125" s="41">
        <v>1</v>
      </c>
      <c r="D125" s="346">
        <v>10</v>
      </c>
      <c r="E125" s="347">
        <v>44925</v>
      </c>
      <c r="F125" s="348">
        <v>30715012835</v>
      </c>
      <c r="G125" s="349" t="str">
        <f>IFERROR(IF(compras_mes3[[#This Row],[CUIT]]="","-",VLOOKUP(compras_mes3[[#This Row],[CUIT]],Lista_CUIT[#All],2,0)),"CUIT NO CARGADO")</f>
        <v>B M WEB S.A.</v>
      </c>
      <c r="H125" s="350">
        <v>336648.87</v>
      </c>
      <c r="I125" s="351"/>
      <c r="J125" s="351"/>
      <c r="K125" s="351">
        <v>35348.129999999997</v>
      </c>
      <c r="L125" s="351"/>
      <c r="M125" s="351"/>
      <c r="N125" s="351"/>
      <c r="O125" s="351"/>
      <c r="P125" s="352">
        <f>SUM(compras_mes3[[#This Row],[NETO GRAVADO]:[Otros / No Grav.]])</f>
        <v>371997</v>
      </c>
      <c r="Q125" s="353">
        <f>IFERROR(IF(compras_mes3[[#This Row],[CUIT]]="","-",VLOOKUP(compras_mes3[[#This Row],[CUIT]],Lista_CUIT[#All],3,0)),"CUIT NO CARGADO")</f>
        <v>0</v>
      </c>
      <c r="R125" s="353">
        <f>IFERROR(IF(compras_mes3[[#This Row],[CUIT]]="","-",VLOOKUP(compras_mes3[[#This Row],[CUIT]],Lista_CUIT[#All],4,0)),"CUIT NO CARGADO")</f>
        <v>0</v>
      </c>
    </row>
    <row r="126" spans="2:18" x14ac:dyDescent="0.3">
      <c r="B126" s="345">
        <v>45006</v>
      </c>
      <c r="C126" s="41">
        <v>1</v>
      </c>
      <c r="D126" s="346">
        <v>11</v>
      </c>
      <c r="E126" s="347">
        <v>71650</v>
      </c>
      <c r="F126" s="348">
        <v>30534051049</v>
      </c>
      <c r="G126" s="349" t="str">
        <f>IFERROR(IF(compras_mes3[[#This Row],[CUIT]]="","-",VLOOKUP(compras_mes3[[#This Row],[CUIT]],Lista_CUIT[#All],2,0)),"CUIT NO CARGADO")</f>
        <v>ELECTRO UNIVERSO - PLIN METAL S A</v>
      </c>
      <c r="H126" s="350">
        <v>1413.35</v>
      </c>
      <c r="I126" s="351"/>
      <c r="J126" s="351"/>
      <c r="K126" s="351">
        <v>148.4</v>
      </c>
      <c r="L126" s="351"/>
      <c r="M126" s="351"/>
      <c r="N126" s="351"/>
      <c r="O126" s="351"/>
      <c r="P126" s="352">
        <f>SUM(compras_mes3[[#This Row],[NETO GRAVADO]:[Otros / No Grav.]])</f>
        <v>1561.75</v>
      </c>
      <c r="Q126" s="353">
        <f>IFERROR(IF(compras_mes3[[#This Row],[CUIT]]="","-",VLOOKUP(compras_mes3[[#This Row],[CUIT]],Lista_CUIT[#All],3,0)),"CUIT NO CARGADO")</f>
        <v>0</v>
      </c>
      <c r="R126" s="353">
        <f>IFERROR(IF(compras_mes3[[#This Row],[CUIT]]="","-",VLOOKUP(compras_mes3[[#This Row],[CUIT]],Lista_CUIT[#All],4,0)),"CUIT NO CARGADO")</f>
        <v>0</v>
      </c>
    </row>
    <row r="127" spans="2:18" x14ac:dyDescent="0.3">
      <c r="B127" s="345">
        <v>45006</v>
      </c>
      <c r="C127" s="41">
        <v>1</v>
      </c>
      <c r="D127" s="346">
        <v>5</v>
      </c>
      <c r="E127" s="347">
        <v>2731609</v>
      </c>
      <c r="F127" s="348">
        <v>30702652975</v>
      </c>
      <c r="G127" s="349" t="str">
        <f>IFERROR(IF(compras_mes3[[#This Row],[CUIT]]="","-",VLOOKUP(compras_mes3[[#This Row],[CUIT]],Lista_CUIT[#All],2,0)),"CUIT NO CARGADO")</f>
        <v>NSS SA</v>
      </c>
      <c r="H127" s="350">
        <v>5407.01</v>
      </c>
      <c r="I127" s="351">
        <f>IF(compras_mes3[[#This Row],[NETO GRAVADO]]="","",compras_mes3[[#This Row],[NETO GRAVADO]]*0.21)</f>
        <v>1135.4721</v>
      </c>
      <c r="J127" s="351"/>
      <c r="K127" s="351"/>
      <c r="L127" s="351"/>
      <c r="M127" s="351"/>
      <c r="N127" s="351">
        <v>324.42</v>
      </c>
      <c r="O127" s="351"/>
      <c r="P127" s="352">
        <f>SUM(compras_mes3[[#This Row],[NETO GRAVADO]:[Otros / No Grav.]])</f>
        <v>6866.9021000000002</v>
      </c>
      <c r="Q127" s="353" t="str">
        <f>IFERROR(IF(compras_mes3[[#This Row],[CUIT]]="","-",VLOOKUP(compras_mes3[[#This Row],[CUIT]],Lista_CUIT[#All],3,0)),"CUIT NO CARGADO")</f>
        <v>Servicios Gas, Luz, etc.</v>
      </c>
      <c r="R127" s="353">
        <f>IFERROR(IF(compras_mes3[[#This Row],[CUIT]]="","-",VLOOKUP(compras_mes3[[#This Row],[CUIT]],Lista_CUIT[#All],4,0)),"CUIT NO CARGADO")</f>
        <v>0</v>
      </c>
    </row>
    <row r="128" spans="2:18" x14ac:dyDescent="0.3">
      <c r="B128" s="345">
        <v>45007</v>
      </c>
      <c r="C128" s="41">
        <v>1</v>
      </c>
      <c r="D128" s="346">
        <v>5</v>
      </c>
      <c r="E128" s="347">
        <v>328</v>
      </c>
      <c r="F128" s="348">
        <v>30716654105</v>
      </c>
      <c r="G128" s="349" t="str">
        <f>IFERROR(IF(compras_mes3[[#This Row],[CUIT]]="","-",VLOOKUP(compras_mes3[[#This Row],[CUIT]],Lista_CUIT[#All],2,0)),"CUIT NO CARGADO")</f>
        <v>CARNICA DEL NORTE S.R.L.</v>
      </c>
      <c r="H128" s="350">
        <v>5687.71</v>
      </c>
      <c r="I128" s="351"/>
      <c r="J128" s="351"/>
      <c r="K128" s="351">
        <v>597.21</v>
      </c>
      <c r="L128" s="351"/>
      <c r="M128" s="351"/>
      <c r="N128" s="351"/>
      <c r="O128" s="351"/>
      <c r="P128" s="352">
        <f>SUM(compras_mes3[[#This Row],[NETO GRAVADO]:[Otros / No Grav.]])</f>
        <v>6284.92</v>
      </c>
      <c r="Q128" s="353">
        <f>IFERROR(IF(compras_mes3[[#This Row],[CUIT]]="","-",VLOOKUP(compras_mes3[[#This Row],[CUIT]],Lista_CUIT[#All],3,0)),"CUIT NO CARGADO")</f>
        <v>0</v>
      </c>
      <c r="R128" s="353">
        <f>IFERROR(IF(compras_mes3[[#This Row],[CUIT]]="","-",VLOOKUP(compras_mes3[[#This Row],[CUIT]],Lista_CUIT[#All],4,0)),"CUIT NO CARGADO")</f>
        <v>0</v>
      </c>
    </row>
    <row r="129" spans="2:18" x14ac:dyDescent="0.3">
      <c r="B129" s="345">
        <v>45007</v>
      </c>
      <c r="C129" s="41">
        <v>1</v>
      </c>
      <c r="D129" s="346">
        <v>5</v>
      </c>
      <c r="E129" s="347">
        <v>329</v>
      </c>
      <c r="F129" s="348">
        <v>30716654105</v>
      </c>
      <c r="G129" s="349" t="str">
        <f>IFERROR(IF(compras_mes3[[#This Row],[CUIT]]="","-",VLOOKUP(compras_mes3[[#This Row],[CUIT]],Lista_CUIT[#All],2,0)),"CUIT NO CARGADO")</f>
        <v>CARNICA DEL NORTE S.R.L.</v>
      </c>
      <c r="H129" s="350">
        <v>6051.43</v>
      </c>
      <c r="I129" s="351"/>
      <c r="J129" s="351"/>
      <c r="K129" s="351">
        <v>635.4</v>
      </c>
      <c r="L129" s="351"/>
      <c r="M129" s="351"/>
      <c r="N129" s="351"/>
      <c r="O129" s="351"/>
      <c r="P129" s="352">
        <f>SUM(compras_mes3[[#This Row],[NETO GRAVADO]:[Otros / No Grav.]])</f>
        <v>6686.83</v>
      </c>
      <c r="Q129" s="353">
        <f>IFERROR(IF(compras_mes3[[#This Row],[CUIT]]="","-",VLOOKUP(compras_mes3[[#This Row],[CUIT]],Lista_CUIT[#All],3,0)),"CUIT NO CARGADO")</f>
        <v>0</v>
      </c>
      <c r="R129" s="353">
        <f>IFERROR(IF(compras_mes3[[#This Row],[CUIT]]="","-",VLOOKUP(compras_mes3[[#This Row],[CUIT]],Lista_CUIT[#All],4,0)),"CUIT NO CARGADO")</f>
        <v>0</v>
      </c>
    </row>
    <row r="130" spans="2:18" x14ac:dyDescent="0.3">
      <c r="B130" s="345">
        <v>45007</v>
      </c>
      <c r="C130" s="41">
        <v>1</v>
      </c>
      <c r="D130" s="346">
        <v>5</v>
      </c>
      <c r="E130" s="347">
        <v>335</v>
      </c>
      <c r="F130" s="348">
        <v>30716654105</v>
      </c>
      <c r="G130" s="349" t="str">
        <f>IFERROR(IF(compras_mes3[[#This Row],[CUIT]]="","-",VLOOKUP(compras_mes3[[#This Row],[CUIT]],Lista_CUIT[#All],2,0)),"CUIT NO CARGADO")</f>
        <v>CARNICA DEL NORTE S.R.L.</v>
      </c>
      <c r="H130" s="350">
        <v>6092.57</v>
      </c>
      <c r="I130" s="351"/>
      <c r="J130" s="351"/>
      <c r="K130" s="351">
        <v>639.72</v>
      </c>
      <c r="L130" s="351"/>
      <c r="M130" s="351"/>
      <c r="N130" s="351"/>
      <c r="O130" s="351"/>
      <c r="P130" s="352">
        <f>SUM(compras_mes3[[#This Row],[NETO GRAVADO]:[Otros / No Grav.]])</f>
        <v>6732.29</v>
      </c>
      <c r="Q130" s="353">
        <f>IFERROR(IF(compras_mes3[[#This Row],[CUIT]]="","-",VLOOKUP(compras_mes3[[#This Row],[CUIT]],Lista_CUIT[#All],3,0)),"CUIT NO CARGADO")</f>
        <v>0</v>
      </c>
      <c r="R130" s="353">
        <f>IFERROR(IF(compras_mes3[[#This Row],[CUIT]]="","-",VLOOKUP(compras_mes3[[#This Row],[CUIT]],Lista_CUIT[#All],4,0)),"CUIT NO CARGADO")</f>
        <v>0</v>
      </c>
    </row>
    <row r="131" spans="2:18" x14ac:dyDescent="0.3">
      <c r="B131" s="345">
        <v>45007</v>
      </c>
      <c r="C131" s="41">
        <v>1</v>
      </c>
      <c r="D131" s="346">
        <v>32</v>
      </c>
      <c r="E131" s="347">
        <v>1461</v>
      </c>
      <c r="F131" s="348">
        <v>30696106068</v>
      </c>
      <c r="G131" s="349" t="str">
        <f>IFERROR(IF(compras_mes3[[#This Row],[CUIT]]="","-",VLOOKUP(compras_mes3[[#This Row],[CUIT]],Lista_CUIT[#All],2,0)),"CUIT NO CARGADO")</f>
        <v>PINTURERIAS LIBERATO SRL</v>
      </c>
      <c r="H131" s="350">
        <v>7177.57</v>
      </c>
      <c r="I131" s="351">
        <f>IF(compras_mes3[[#This Row],[NETO GRAVADO]]="","",compras_mes3[[#This Row],[NETO GRAVADO]]*0.21)</f>
        <v>1507.2896999999998</v>
      </c>
      <c r="J131" s="351"/>
      <c r="K131" s="351"/>
      <c r="L131" s="351"/>
      <c r="M131" s="351"/>
      <c r="N131" s="351"/>
      <c r="O131" s="351"/>
      <c r="P131" s="352">
        <f>SUM(compras_mes3[[#This Row],[NETO GRAVADO]:[Otros / No Grav.]])</f>
        <v>8684.8596999999991</v>
      </c>
      <c r="Q131" s="353">
        <f>IFERROR(IF(compras_mes3[[#This Row],[CUIT]]="","-",VLOOKUP(compras_mes3[[#This Row],[CUIT]],Lista_CUIT[#All],3,0)),"CUIT NO CARGADO")</f>
        <v>0</v>
      </c>
      <c r="R131" s="353">
        <f>IFERROR(IF(compras_mes3[[#This Row],[CUIT]]="","-",VLOOKUP(compras_mes3[[#This Row],[CUIT]],Lista_CUIT[#All],4,0)),"CUIT NO CARGADO")</f>
        <v>0</v>
      </c>
    </row>
    <row r="132" spans="2:18" x14ac:dyDescent="0.3">
      <c r="B132" s="345">
        <v>45007</v>
      </c>
      <c r="C132" s="41">
        <v>1</v>
      </c>
      <c r="D132" s="346">
        <v>2</v>
      </c>
      <c r="E132" s="347">
        <v>3292</v>
      </c>
      <c r="F132" s="348">
        <v>30629863571</v>
      </c>
      <c r="G132" s="349" t="str">
        <f>IFERROR(IF(compras_mes3[[#This Row],[CUIT]]="","-",VLOOKUP(compras_mes3[[#This Row],[CUIT]],Lista_CUIT[#All],2,0)),"CUIT NO CARGADO")</f>
        <v>TECNIMAR S R L</v>
      </c>
      <c r="H132" s="350">
        <v>356404.05</v>
      </c>
      <c r="I132" s="351">
        <f>IF(compras_mes3[[#This Row],[NETO GRAVADO]]="","",compras_mes3[[#This Row],[NETO GRAVADO]]*0.21)</f>
        <v>74844.8505</v>
      </c>
      <c r="J132" s="351"/>
      <c r="K132" s="351"/>
      <c r="L132" s="351"/>
      <c r="M132" s="351"/>
      <c r="N132" s="351"/>
      <c r="O132" s="351"/>
      <c r="P132" s="352">
        <f>SUM(compras_mes3[[#This Row],[NETO GRAVADO]:[Otros / No Grav.]])</f>
        <v>431248.90049999999</v>
      </c>
      <c r="Q132" s="353" t="str">
        <f>IFERROR(IF(compras_mes3[[#This Row],[CUIT]]="","-",VLOOKUP(compras_mes3[[#This Row],[CUIT]],Lista_CUIT[#All],3,0)),"CUIT NO CARGADO")</f>
        <v>LABORATORIO</v>
      </c>
      <c r="R132" s="353">
        <f>IFERROR(IF(compras_mes3[[#This Row],[CUIT]]="","-",VLOOKUP(compras_mes3[[#This Row],[CUIT]],Lista_CUIT[#All],4,0)),"CUIT NO CARGADO")</f>
        <v>0</v>
      </c>
    </row>
    <row r="133" spans="2:18" x14ac:dyDescent="0.3">
      <c r="B133" s="345">
        <v>45007</v>
      </c>
      <c r="C133" s="41">
        <v>1</v>
      </c>
      <c r="D133" s="346">
        <v>3</v>
      </c>
      <c r="E133" s="347">
        <v>6430</v>
      </c>
      <c r="F133" s="348">
        <v>30708006420</v>
      </c>
      <c r="G133" s="349" t="str">
        <f>IFERROR(IF(compras_mes3[[#This Row],[CUIT]]="","-",VLOOKUP(compras_mes3[[#This Row],[CUIT]],Lista_CUIT[#All],2,0)),"CUIT NO CARGADO")</f>
        <v>MEDILEA S.A.</v>
      </c>
      <c r="H133" s="350">
        <v>264000</v>
      </c>
      <c r="I133" s="351">
        <f>IF(compras_mes3[[#This Row],[NETO GRAVADO]]="","",compras_mes3[[#This Row],[NETO GRAVADO]]*0.21)</f>
        <v>55440</v>
      </c>
      <c r="J133" s="351"/>
      <c r="K133" s="351"/>
      <c r="L133" s="351"/>
      <c r="M133" s="351"/>
      <c r="N133" s="351"/>
      <c r="O133" s="351"/>
      <c r="P133" s="352">
        <f>SUM(compras_mes3[[#This Row],[NETO GRAVADO]:[Otros / No Grav.]])</f>
        <v>319440</v>
      </c>
      <c r="Q133" s="353">
        <f>IFERROR(IF(compras_mes3[[#This Row],[CUIT]]="","-",VLOOKUP(compras_mes3[[#This Row],[CUIT]],Lista_CUIT[#All],3,0)),"CUIT NO CARGADO")</f>
        <v>0</v>
      </c>
      <c r="R133" s="353">
        <f>IFERROR(IF(compras_mes3[[#This Row],[CUIT]]="","-",VLOOKUP(compras_mes3[[#This Row],[CUIT]],Lista_CUIT[#All],4,0)),"CUIT NO CARGADO")</f>
        <v>0</v>
      </c>
    </row>
    <row r="134" spans="2:18" x14ac:dyDescent="0.3">
      <c r="B134" s="345">
        <v>45007</v>
      </c>
      <c r="C134" s="41">
        <v>1</v>
      </c>
      <c r="D134" s="346">
        <v>6850</v>
      </c>
      <c r="E134" s="347">
        <v>13575</v>
      </c>
      <c r="F134" s="348">
        <v>30678774495</v>
      </c>
      <c r="G134" s="349" t="str">
        <f>IFERROR(IF(compras_mes3[[#This Row],[CUIT]]="","-",VLOOKUP(compras_mes3[[#This Row],[CUIT]],Lista_CUIT[#All],2,0)),"CUIT NO CARGADO")</f>
        <v>OPER. DE EST. DE SERV. SA</v>
      </c>
      <c r="H134" s="350">
        <v>1218.42</v>
      </c>
      <c r="I134" s="351">
        <f>IF(compras_mes3[[#This Row],[NETO GRAVADO]]="","",compras_mes3[[#This Row],[NETO GRAVADO]]*0.21)</f>
        <v>255.8682</v>
      </c>
      <c r="J134" s="351"/>
      <c r="K134" s="351"/>
      <c r="L134" s="351"/>
      <c r="M134" s="351"/>
      <c r="N134" s="351"/>
      <c r="O134" s="351">
        <v>225.71</v>
      </c>
      <c r="P134" s="352">
        <f>SUM(compras_mes3[[#This Row],[NETO GRAVADO]:[Otros / No Grav.]])</f>
        <v>1699.9982</v>
      </c>
      <c r="Q134" s="353" t="str">
        <f>IFERROR(IF(compras_mes3[[#This Row],[CUIT]]="","-",VLOOKUP(compras_mes3[[#This Row],[CUIT]],Lista_CUIT[#All],3,0)),"CUIT NO CARGADO")</f>
        <v>Combustibe</v>
      </c>
      <c r="R134" s="353">
        <f>IFERROR(IF(compras_mes3[[#This Row],[CUIT]]="","-",VLOOKUP(compras_mes3[[#This Row],[CUIT]],Lista_CUIT[#All],4,0)),"CUIT NO CARGADO")</f>
        <v>0</v>
      </c>
    </row>
    <row r="135" spans="2:18" x14ac:dyDescent="0.3">
      <c r="B135" s="345">
        <v>45007</v>
      </c>
      <c r="C135" s="41">
        <v>1</v>
      </c>
      <c r="D135" s="346">
        <v>301</v>
      </c>
      <c r="E135" s="347">
        <v>46037</v>
      </c>
      <c r="F135" s="348">
        <v>30686978350</v>
      </c>
      <c r="G135" s="349" t="str">
        <f>IFERROR(IF(compras_mes3[[#This Row],[CUIT]]="","-",VLOOKUP(compras_mes3[[#This Row],[CUIT]],Lista_CUIT[#All],2,0)),"CUIT NO CARGADO")</f>
        <v>SPEED BUSINESS S. A.</v>
      </c>
      <c r="H135" s="350">
        <v>3801.65</v>
      </c>
      <c r="I135" s="351">
        <f>IF(compras_mes3[[#This Row],[NETO GRAVADO]]="","",compras_mes3[[#This Row],[NETO GRAVADO]]*0.21)</f>
        <v>798.34649999999999</v>
      </c>
      <c r="J135" s="351"/>
      <c r="K135" s="351"/>
      <c r="L135" s="351"/>
      <c r="M135" s="351"/>
      <c r="N135" s="351"/>
      <c r="O135" s="351"/>
      <c r="P135" s="352">
        <f>SUM(compras_mes3[[#This Row],[NETO GRAVADO]:[Otros / No Grav.]])</f>
        <v>4599.9965000000002</v>
      </c>
      <c r="Q135" s="353">
        <f>IFERROR(IF(compras_mes3[[#This Row],[CUIT]]="","-",VLOOKUP(compras_mes3[[#This Row],[CUIT]],Lista_CUIT[#All],3,0)),"CUIT NO CARGADO")</f>
        <v>0</v>
      </c>
      <c r="R135" s="353">
        <f>IFERROR(IF(compras_mes3[[#This Row],[CUIT]]="","-",VLOOKUP(compras_mes3[[#This Row],[CUIT]],Lista_CUIT[#All],4,0)),"CUIT NO CARGADO")</f>
        <v>0</v>
      </c>
    </row>
    <row r="136" spans="2:18" x14ac:dyDescent="0.3">
      <c r="B136" s="345">
        <v>45007</v>
      </c>
      <c r="C136" s="41">
        <v>1</v>
      </c>
      <c r="D136" s="346">
        <v>6</v>
      </c>
      <c r="E136" s="347">
        <v>62854</v>
      </c>
      <c r="F136" s="348">
        <v>30585727152</v>
      </c>
      <c r="G136" s="349" t="str">
        <f>IFERROR(IF(compras_mes3[[#This Row],[CUIT]]="","-",VLOOKUP(compras_mes3[[#This Row],[CUIT]],Lista_CUIT[#All],2,0)),"CUIT NO CARGADO")</f>
        <v>CHAPAFERRO S.A.</v>
      </c>
      <c r="H136" s="350">
        <v>98489.84</v>
      </c>
      <c r="I136" s="351">
        <f>IF(compras_mes3[[#This Row],[NETO GRAVADO]]="","",compras_mes3[[#This Row],[NETO GRAVADO]]*0.21)</f>
        <v>20682.866399999999</v>
      </c>
      <c r="J136" s="351"/>
      <c r="K136" s="351"/>
      <c r="L136" s="351"/>
      <c r="M136" s="351"/>
      <c r="N136" s="351">
        <v>5909.39</v>
      </c>
      <c r="O136" s="351"/>
      <c r="P136" s="352">
        <f>SUM(compras_mes3[[#This Row],[NETO GRAVADO]:[Otros / No Grav.]])</f>
        <v>125082.09639999999</v>
      </c>
      <c r="Q136" s="353">
        <f>IFERROR(IF(compras_mes3[[#This Row],[CUIT]]="","-",VLOOKUP(compras_mes3[[#This Row],[CUIT]],Lista_CUIT[#All],3,0)),"CUIT NO CARGADO")</f>
        <v>0</v>
      </c>
      <c r="R136" s="353">
        <f>IFERROR(IF(compras_mes3[[#This Row],[CUIT]]="","-",VLOOKUP(compras_mes3[[#This Row],[CUIT]],Lista_CUIT[#All],4,0)),"CUIT NO CARGADO")</f>
        <v>0</v>
      </c>
    </row>
    <row r="137" spans="2:18" x14ac:dyDescent="0.3">
      <c r="B137" s="345">
        <v>45007</v>
      </c>
      <c r="C137" s="41">
        <v>1</v>
      </c>
      <c r="D137" s="346">
        <v>9</v>
      </c>
      <c r="E137" s="347">
        <v>71031</v>
      </c>
      <c r="F137" s="348">
        <v>33715571639</v>
      </c>
      <c r="G137" s="349" t="str">
        <f>IFERROR(IF(compras_mes3[[#This Row],[CUIT]]="","-",VLOOKUP(compras_mes3[[#This Row],[CUIT]],Lista_CUIT[#All],2,0)),"CUIT NO CARGADO")</f>
        <v>DUAITEK SRL</v>
      </c>
      <c r="H137" s="350">
        <v>1770.02</v>
      </c>
      <c r="I137" s="351">
        <v>77.790000000000006</v>
      </c>
      <c r="J137" s="351"/>
      <c r="K137" s="351">
        <v>146.96</v>
      </c>
      <c r="L137" s="351"/>
      <c r="M137" s="351"/>
      <c r="N137" s="351"/>
      <c r="O137" s="351"/>
      <c r="P137" s="352">
        <f>SUM(compras_mes3[[#This Row],[NETO GRAVADO]:[Otros / No Grav.]])</f>
        <v>1994.77</v>
      </c>
      <c r="Q137" s="353">
        <f>IFERROR(IF(compras_mes3[[#This Row],[CUIT]]="","-",VLOOKUP(compras_mes3[[#This Row],[CUIT]],Lista_CUIT[#All],3,0)),"CUIT NO CARGADO")</f>
        <v>0</v>
      </c>
      <c r="R137" s="353">
        <f>IFERROR(IF(compras_mes3[[#This Row],[CUIT]]="","-",VLOOKUP(compras_mes3[[#This Row],[CUIT]],Lista_CUIT[#All],4,0)),"CUIT NO CARGADO")</f>
        <v>0</v>
      </c>
    </row>
    <row r="138" spans="2:18" x14ac:dyDescent="0.3">
      <c r="B138" s="345">
        <v>45007</v>
      </c>
      <c r="C138" s="41">
        <v>1</v>
      </c>
      <c r="D138" s="346">
        <v>2188</v>
      </c>
      <c r="E138" s="347">
        <v>85722</v>
      </c>
      <c r="F138" s="348">
        <v>30548083156</v>
      </c>
      <c r="G138" s="349" t="str">
        <f>IFERROR(IF(compras_mes3[[#This Row],[CUIT]]="","-",VLOOKUP(compras_mes3[[#This Row],[CUIT]],Lista_CUIT[#All],2,0)),"CUIT NO CARGADO")</f>
        <v>COTO CENTRO INTEGRAL DE COMERCIALIZACION SOCIEDAD ANONIMA</v>
      </c>
      <c r="H138" s="350">
        <v>9666.98</v>
      </c>
      <c r="I138" s="351">
        <v>1678.99</v>
      </c>
      <c r="J138" s="351"/>
      <c r="K138" s="351">
        <v>175.54</v>
      </c>
      <c r="L138" s="351">
        <v>223.61</v>
      </c>
      <c r="M138" s="351"/>
      <c r="N138" s="351">
        <v>470.73</v>
      </c>
      <c r="O138" s="351"/>
      <c r="P138" s="352">
        <f>SUM(compras_mes3[[#This Row],[NETO GRAVADO]:[Otros / No Grav.]])</f>
        <v>12215.85</v>
      </c>
      <c r="Q138" s="353" t="str">
        <f>IFERROR(IF(compras_mes3[[#This Row],[CUIT]]="","-",VLOOKUP(compras_mes3[[#This Row],[CUIT]],Lista_CUIT[#All],3,0)),"CUIT NO CARGADO")</f>
        <v>GASTOS COMERCIALES</v>
      </c>
      <c r="R138" s="353">
        <f>IFERROR(IF(compras_mes3[[#This Row],[CUIT]]="","-",VLOOKUP(compras_mes3[[#This Row],[CUIT]],Lista_CUIT[#All],4,0)),"CUIT NO CARGADO")</f>
        <v>0</v>
      </c>
    </row>
    <row r="139" spans="2:18" x14ac:dyDescent="0.3">
      <c r="B139" s="345">
        <v>45008</v>
      </c>
      <c r="C139" s="41">
        <v>1</v>
      </c>
      <c r="D139" s="346">
        <v>2</v>
      </c>
      <c r="E139" s="347">
        <v>3298</v>
      </c>
      <c r="F139" s="348">
        <v>30629863571</v>
      </c>
      <c r="G139" s="349" t="str">
        <f>IFERROR(IF(compras_mes3[[#This Row],[CUIT]]="","-",VLOOKUP(compras_mes3[[#This Row],[CUIT]],Lista_CUIT[#All],2,0)),"CUIT NO CARGADO")</f>
        <v>TECNIMAR S R L</v>
      </c>
      <c r="H139" s="350">
        <v>905865.52</v>
      </c>
      <c r="I139" s="351">
        <f>IF(compras_mes3[[#This Row],[NETO GRAVADO]]="","",compras_mes3[[#This Row],[NETO GRAVADO]]*0.21)</f>
        <v>190231.7592</v>
      </c>
      <c r="J139" s="351"/>
      <c r="K139" s="351"/>
      <c r="L139" s="351"/>
      <c r="M139" s="351"/>
      <c r="N139" s="351"/>
      <c r="O139" s="351"/>
      <c r="P139" s="352">
        <f>SUM(compras_mes3[[#This Row],[NETO GRAVADO]:[Otros / No Grav.]])</f>
        <v>1096097.2792</v>
      </c>
      <c r="Q139" s="353" t="str">
        <f>IFERROR(IF(compras_mes3[[#This Row],[CUIT]]="","-",VLOOKUP(compras_mes3[[#This Row],[CUIT]],Lista_CUIT[#All],3,0)),"CUIT NO CARGADO")</f>
        <v>LABORATORIO</v>
      </c>
      <c r="R139" s="353">
        <f>IFERROR(IF(compras_mes3[[#This Row],[CUIT]]="","-",VLOOKUP(compras_mes3[[#This Row],[CUIT]],Lista_CUIT[#All],4,0)),"CUIT NO CARGADO")</f>
        <v>0</v>
      </c>
    </row>
    <row r="140" spans="2:18" x14ac:dyDescent="0.3">
      <c r="B140" s="345">
        <v>45008</v>
      </c>
      <c r="C140" s="41">
        <v>1</v>
      </c>
      <c r="D140" s="346">
        <v>7</v>
      </c>
      <c r="E140" s="347">
        <v>3677</v>
      </c>
      <c r="F140" s="348">
        <v>20149021591</v>
      </c>
      <c r="G140" s="349" t="str">
        <f>IFERROR(IF(compras_mes3[[#This Row],[CUIT]]="","-",VLOOKUP(compras_mes3[[#This Row],[CUIT]],Lista_CUIT[#All],2,0)),"CUIT NO CARGADO")</f>
        <v>TARTARONE RUBEN OSCAR</v>
      </c>
      <c r="H140" s="350">
        <v>208420.5</v>
      </c>
      <c r="I140" s="351">
        <f>IF(compras_mes3[[#This Row],[NETO GRAVADO]]="","",compras_mes3[[#This Row],[NETO GRAVADO]]*0.21)</f>
        <v>43768.305</v>
      </c>
      <c r="J140" s="351"/>
      <c r="K140" s="351"/>
      <c r="L140" s="351"/>
      <c r="M140" s="351"/>
      <c r="N140" s="351"/>
      <c r="O140" s="351"/>
      <c r="P140" s="352">
        <f>SUM(compras_mes3[[#This Row],[NETO GRAVADO]:[Otros / No Grav.]])</f>
        <v>252188.80499999999</v>
      </c>
      <c r="Q140" s="353">
        <f>IFERROR(IF(compras_mes3[[#This Row],[CUIT]]="","-",VLOOKUP(compras_mes3[[#This Row],[CUIT]],Lista_CUIT[#All],3,0)),"CUIT NO CARGADO")</f>
        <v>0</v>
      </c>
      <c r="R140" s="353">
        <f>IFERROR(IF(compras_mes3[[#This Row],[CUIT]]="","-",VLOOKUP(compras_mes3[[#This Row],[CUIT]],Lista_CUIT[#All],4,0)),"CUIT NO CARGADO")</f>
        <v>0</v>
      </c>
    </row>
    <row r="141" spans="2:18" x14ac:dyDescent="0.3">
      <c r="B141" s="345">
        <v>45008</v>
      </c>
      <c r="C141" s="41">
        <v>1</v>
      </c>
      <c r="D141" s="346">
        <v>3</v>
      </c>
      <c r="E141" s="347">
        <v>4490</v>
      </c>
      <c r="F141" s="348">
        <v>30708142022</v>
      </c>
      <c r="G141" s="349" t="str">
        <f>IFERROR(IF(compras_mes3[[#This Row],[CUIT]]="","-",VLOOKUP(compras_mes3[[#This Row],[CUIT]],Lista_CUIT[#All],2,0)),"CUIT NO CARGADO")</f>
        <v>TABLEROS  SUDAMERICANA S.R.L.</v>
      </c>
      <c r="H141" s="350">
        <v>23794.21</v>
      </c>
      <c r="I141" s="351">
        <f>IF(compras_mes3[[#This Row],[NETO GRAVADO]]="","",compras_mes3[[#This Row],[NETO GRAVADO]]*0.21)</f>
        <v>4996.7840999999999</v>
      </c>
      <c r="J141" s="351"/>
      <c r="K141" s="351"/>
      <c r="L141" s="351"/>
      <c r="M141" s="351"/>
      <c r="N141" s="351"/>
      <c r="O141" s="351"/>
      <c r="P141" s="352">
        <f>SUM(compras_mes3[[#This Row],[NETO GRAVADO]:[Otros / No Grav.]])</f>
        <v>28790.9941</v>
      </c>
      <c r="Q141" s="353">
        <f>IFERROR(IF(compras_mes3[[#This Row],[CUIT]]="","-",VLOOKUP(compras_mes3[[#This Row],[CUIT]],Lista_CUIT[#All],3,0)),"CUIT NO CARGADO")</f>
        <v>0</v>
      </c>
      <c r="R141" s="353">
        <f>IFERROR(IF(compras_mes3[[#This Row],[CUIT]]="","-",VLOOKUP(compras_mes3[[#This Row],[CUIT]],Lista_CUIT[#All],4,0)),"CUIT NO CARGADO")</f>
        <v>0</v>
      </c>
    </row>
    <row r="142" spans="2:18" x14ac:dyDescent="0.3">
      <c r="B142" s="345">
        <v>45008</v>
      </c>
      <c r="C142" s="41">
        <v>1</v>
      </c>
      <c r="D142" s="346">
        <v>20</v>
      </c>
      <c r="E142" s="347">
        <v>7950</v>
      </c>
      <c r="F142" s="348">
        <v>30515800219</v>
      </c>
      <c r="G142" s="349" t="str">
        <f>IFERROR(IF(compras_mes3[[#This Row],[CUIT]]="","-",VLOOKUP(compras_mes3[[#This Row],[CUIT]],Lista_CUIT[#All],2,0)),"CUIT NO CARGADO")</f>
        <v>INCAT SRL</v>
      </c>
      <c r="H142" s="350">
        <v>488.71</v>
      </c>
      <c r="I142" s="351">
        <f>IF(compras_mes3[[#This Row],[NETO GRAVADO]]="","",compras_mes3[[#This Row],[NETO GRAVADO]]*0.21)</f>
        <v>102.62909999999999</v>
      </c>
      <c r="J142" s="351"/>
      <c r="K142" s="351"/>
      <c r="L142" s="351"/>
      <c r="M142" s="351"/>
      <c r="N142" s="351"/>
      <c r="O142" s="351">
        <v>8.66</v>
      </c>
      <c r="P142" s="352">
        <f>SUM(compras_mes3[[#This Row],[NETO GRAVADO]:[Otros / No Grav.]])</f>
        <v>599.99909999999988</v>
      </c>
      <c r="Q142" s="353" t="str">
        <f>IFERROR(IF(compras_mes3[[#This Row],[CUIT]]="","-",VLOOKUP(compras_mes3[[#This Row],[CUIT]],Lista_CUIT[#All],3,0)),"CUIT NO CARGADO")</f>
        <v>Combustibe</v>
      </c>
      <c r="R142" s="353" t="str">
        <f>IFERROR(IF(compras_mes3[[#This Row],[CUIT]]="","-",VLOOKUP(compras_mes3[[#This Row],[CUIT]],Lista_CUIT[#All],4,0)),"CUIT NO CARGADO")</f>
        <v>CABA</v>
      </c>
    </row>
    <row r="143" spans="2:18" x14ac:dyDescent="0.3">
      <c r="B143" s="345">
        <v>45008</v>
      </c>
      <c r="C143" s="41">
        <v>1</v>
      </c>
      <c r="D143" s="346">
        <v>10</v>
      </c>
      <c r="E143" s="347">
        <v>9492</v>
      </c>
      <c r="F143" s="348">
        <v>30528214483</v>
      </c>
      <c r="G143" s="349" t="str">
        <f>IFERROR(IF(compras_mes3[[#This Row],[CUIT]]="","-",VLOOKUP(compras_mes3[[#This Row],[CUIT]],Lista_CUIT[#All],2,0)),"CUIT NO CARGADO")</f>
        <v>D WEINSTOCK S R L</v>
      </c>
      <c r="H143" s="350">
        <v>6669.69</v>
      </c>
      <c r="I143" s="351">
        <f>IF(compras_mes3[[#This Row],[NETO GRAVADO]]="","",compras_mes3[[#This Row],[NETO GRAVADO]]*0.21)</f>
        <v>1400.6348999999998</v>
      </c>
      <c r="J143" s="351"/>
      <c r="K143" s="351"/>
      <c r="L143" s="351"/>
      <c r="M143" s="351"/>
      <c r="N143" s="351"/>
      <c r="O143" s="351"/>
      <c r="P143" s="352">
        <f>SUM(compras_mes3[[#This Row],[NETO GRAVADO]:[Otros / No Grav.]])</f>
        <v>8070.3248999999996</v>
      </c>
      <c r="Q143" s="353">
        <f>IFERROR(IF(compras_mes3[[#This Row],[CUIT]]="","-",VLOOKUP(compras_mes3[[#This Row],[CUIT]],Lista_CUIT[#All],3,0)),"CUIT NO CARGADO")</f>
        <v>0</v>
      </c>
      <c r="R143" s="353">
        <f>IFERROR(IF(compras_mes3[[#This Row],[CUIT]]="","-",VLOOKUP(compras_mes3[[#This Row],[CUIT]],Lista_CUIT[#All],4,0)),"CUIT NO CARGADO")</f>
        <v>0</v>
      </c>
    </row>
    <row r="144" spans="2:18" x14ac:dyDescent="0.3">
      <c r="B144" s="345">
        <v>45008</v>
      </c>
      <c r="C144" s="41">
        <v>1</v>
      </c>
      <c r="D144" s="346">
        <v>3034</v>
      </c>
      <c r="E144" s="347">
        <v>3411871</v>
      </c>
      <c r="F144" s="348">
        <v>30708574836</v>
      </c>
      <c r="G144" s="349" t="str">
        <f>IFERROR(IF(compras_mes3[[#This Row],[CUIT]]="","-",VLOOKUP(compras_mes3[[#This Row],[CUIT]],Lista_CUIT[#All],2,0)),"CUIT NO CARGADO")</f>
        <v>CORREO OFICIAL DE LA REPUBLICA ARGENTINA SOCIEDAD ANONIMA</v>
      </c>
      <c r="H144" s="350">
        <v>981.41</v>
      </c>
      <c r="I144" s="351">
        <f>IF(compras_mes3[[#This Row],[NETO GRAVADO]]="","",compras_mes3[[#This Row],[NETO GRAVADO]]*0.21)</f>
        <v>206.09609999999998</v>
      </c>
      <c r="J144" s="351"/>
      <c r="K144" s="351"/>
      <c r="L144" s="351"/>
      <c r="M144" s="351"/>
      <c r="N144" s="351"/>
      <c r="O144" s="351"/>
      <c r="P144" s="352">
        <f>SUM(compras_mes3[[#This Row],[NETO GRAVADO]:[Otros / No Grav.]])</f>
        <v>1187.5061000000001</v>
      </c>
      <c r="Q144" s="353" t="str">
        <f>IFERROR(IF(compras_mes3[[#This Row],[CUIT]]="","-",VLOOKUP(compras_mes3[[#This Row],[CUIT]],Lista_CUIT[#All],3,0)),"CUIT NO CARGADO")</f>
        <v>MESAJERIA</v>
      </c>
      <c r="R144" s="353">
        <f>IFERROR(IF(compras_mes3[[#This Row],[CUIT]]="","-",VLOOKUP(compras_mes3[[#This Row],[CUIT]],Lista_CUIT[#All],4,0)),"CUIT NO CARGADO")</f>
        <v>0</v>
      </c>
    </row>
    <row r="145" spans="2:18" x14ac:dyDescent="0.3">
      <c r="B145" s="345">
        <v>45010</v>
      </c>
      <c r="C145" s="41">
        <v>1</v>
      </c>
      <c r="D145" s="346">
        <v>7</v>
      </c>
      <c r="E145" s="347">
        <v>1065</v>
      </c>
      <c r="F145" s="348">
        <v>20134664518</v>
      </c>
      <c r="G145" s="349" t="str">
        <f>IFERROR(IF(compras_mes3[[#This Row],[CUIT]]="","-",VLOOKUP(compras_mes3[[#This Row],[CUIT]],Lista_CUIT[#All],2,0)),"CUIT NO CARGADO")</f>
        <v>HOKAMA SERGIO ENRIQUE</v>
      </c>
      <c r="H145" s="350">
        <v>9317.3700000000008</v>
      </c>
      <c r="I145" s="351">
        <f>IF(compras_mes3[[#This Row],[NETO GRAVADO]]="","",compras_mes3[[#This Row],[NETO GRAVADO]]*0.21)</f>
        <v>1956.6477</v>
      </c>
      <c r="J145" s="351"/>
      <c r="K145" s="351"/>
      <c r="L145" s="351"/>
      <c r="M145" s="351"/>
      <c r="N145" s="351"/>
      <c r="O145" s="351"/>
      <c r="P145" s="352">
        <f>SUM(compras_mes3[[#This Row],[NETO GRAVADO]:[Otros / No Grav.]])</f>
        <v>11274.0177</v>
      </c>
      <c r="Q145" s="353" t="str">
        <f>IFERROR(IF(compras_mes3[[#This Row],[CUIT]]="","-",VLOOKUP(compras_mes3[[#This Row],[CUIT]],Lista_CUIT[#All],3,0)),"CUIT NO CARGADO")</f>
        <v>Gastos Varios</v>
      </c>
      <c r="R145" s="353" t="str">
        <f>IFERROR(IF(compras_mes3[[#This Row],[CUIT]]="","-",VLOOKUP(compras_mes3[[#This Row],[CUIT]],Lista_CUIT[#All],4,0)),"CUIT NO CARGADO")</f>
        <v>BUENOS AIRES</v>
      </c>
    </row>
    <row r="146" spans="2:18" x14ac:dyDescent="0.3">
      <c r="B146" s="89">
        <v>45010</v>
      </c>
      <c r="C146" s="41">
        <v>1</v>
      </c>
      <c r="D146" s="91">
        <v>12</v>
      </c>
      <c r="E146" s="92">
        <v>20334</v>
      </c>
      <c r="F146" s="93">
        <v>30696131003</v>
      </c>
      <c r="G146" s="94" t="str">
        <f>IFERROR(IF(compras_mes3[[#This Row],[CUIT]]="","-",VLOOKUP(compras_mes3[[#This Row],[CUIT]],Lista_CUIT[#All],2,0)),"CUIT NO CARGADO")</f>
        <v>Petrolfe S.A.</v>
      </c>
      <c r="H146" s="95">
        <v>14498.57</v>
      </c>
      <c r="I146" s="86">
        <f>IF(compras_mes3[[#This Row],[NETO GRAVADO]]="","",compras_mes3[[#This Row],[NETO GRAVADO]]*0.21)</f>
        <v>3044.6996999999997</v>
      </c>
      <c r="J146" s="86"/>
      <c r="K146" s="86"/>
      <c r="L146" s="86"/>
      <c r="M146" s="86"/>
      <c r="N146" s="86"/>
      <c r="O146" s="86">
        <v>2921.71</v>
      </c>
      <c r="P146" s="87">
        <f>SUM(compras_mes3[[#This Row],[NETO GRAVADO]:[Otros / No Grav.]])</f>
        <v>20464.9797</v>
      </c>
      <c r="Q146" s="88" t="str">
        <f>IFERROR(IF(compras_mes3[[#This Row],[CUIT]]="","-",VLOOKUP(compras_mes3[[#This Row],[CUIT]],Lista_CUIT[#All],3,0)),"CUIT NO CARGADO")</f>
        <v>Combustible</v>
      </c>
      <c r="R146" s="88">
        <f>IFERROR(IF(compras_mes3[[#This Row],[CUIT]]="","-",VLOOKUP(compras_mes3[[#This Row],[CUIT]],Lista_CUIT[#All],4,0)),"CUIT NO CARGADO")</f>
        <v>0</v>
      </c>
    </row>
    <row r="147" spans="2:18" x14ac:dyDescent="0.3">
      <c r="B147" s="345">
        <v>45012</v>
      </c>
      <c r="C147" s="41">
        <v>1</v>
      </c>
      <c r="D147" s="346">
        <v>3</v>
      </c>
      <c r="E147" s="347">
        <v>3393</v>
      </c>
      <c r="F147" s="348">
        <v>30714618977</v>
      </c>
      <c r="G147" s="349" t="str">
        <f>IFERROR(IF(compras_mes3[[#This Row],[CUIT]]="","-",VLOOKUP(compras_mes3[[#This Row],[CUIT]],Lista_CUIT[#All],2,0)),"CUIT NO CARGADO")</f>
        <v>DISTRIBUIDORA N.G. S.A.</v>
      </c>
      <c r="H147" s="350">
        <v>140000</v>
      </c>
      <c r="I147" s="351">
        <f>IF(compras_mes3[[#This Row],[NETO GRAVADO]]="","",compras_mes3[[#This Row],[NETO GRAVADO]]*0.21)</f>
        <v>29400</v>
      </c>
      <c r="J147" s="351"/>
      <c r="K147" s="351"/>
      <c r="L147" s="351"/>
      <c r="M147" s="351"/>
      <c r="N147" s="351"/>
      <c r="O147" s="351"/>
      <c r="P147" s="352">
        <f>SUM(compras_mes3[[#This Row],[NETO GRAVADO]:[Otros / No Grav.]])</f>
        <v>169400</v>
      </c>
      <c r="Q147" s="353">
        <f>IFERROR(IF(compras_mes3[[#This Row],[CUIT]]="","-",VLOOKUP(compras_mes3[[#This Row],[CUIT]],Lista_CUIT[#All],3,0)),"CUIT NO CARGADO")</f>
        <v>0</v>
      </c>
      <c r="R147" s="353">
        <f>IFERROR(IF(compras_mes3[[#This Row],[CUIT]]="","-",VLOOKUP(compras_mes3[[#This Row],[CUIT]],Lista_CUIT[#All],4,0)),"CUIT NO CARGADO")</f>
        <v>0</v>
      </c>
    </row>
    <row r="148" spans="2:18" x14ac:dyDescent="0.3">
      <c r="B148" s="345">
        <v>45012</v>
      </c>
      <c r="C148" s="41">
        <v>1</v>
      </c>
      <c r="D148" s="346">
        <v>5</v>
      </c>
      <c r="E148" s="347">
        <v>16485</v>
      </c>
      <c r="F148" s="348">
        <v>20331496643</v>
      </c>
      <c r="G148" s="349" t="str">
        <f>IFERROR(IF(compras_mes3[[#This Row],[CUIT]]="","-",VLOOKUP(compras_mes3[[#This Row],[CUIT]],Lista_CUIT[#All],2,0)),"CUIT NO CARGADO")</f>
        <v>MARZANO OSVALDO MATIAS</v>
      </c>
      <c r="H148" s="350">
        <v>6914.87</v>
      </c>
      <c r="I148" s="351">
        <f>IF(compras_mes3[[#This Row],[NETO GRAVADO]]="","",compras_mes3[[#This Row],[NETO GRAVADO]]*0.21)</f>
        <v>1452.1226999999999</v>
      </c>
      <c r="J148" s="351"/>
      <c r="K148" s="351"/>
      <c r="L148" s="351"/>
      <c r="M148" s="351"/>
      <c r="N148" s="351"/>
      <c r="O148" s="351"/>
      <c r="P148" s="352">
        <f>SUM(compras_mes3[[#This Row],[NETO GRAVADO]:[Otros / No Grav.]])</f>
        <v>8366.9926999999989</v>
      </c>
      <c r="Q148" s="353">
        <f>IFERROR(IF(compras_mes3[[#This Row],[CUIT]]="","-",VLOOKUP(compras_mes3[[#This Row],[CUIT]],Lista_CUIT[#All],3,0)),"CUIT NO CARGADO")</f>
        <v>0</v>
      </c>
      <c r="R148" s="353">
        <f>IFERROR(IF(compras_mes3[[#This Row],[CUIT]]="","-",VLOOKUP(compras_mes3[[#This Row],[CUIT]],Lista_CUIT[#All],4,0)),"CUIT NO CARGADO")</f>
        <v>0</v>
      </c>
    </row>
    <row r="149" spans="2:18" x14ac:dyDescent="0.3">
      <c r="B149" s="345">
        <v>45012</v>
      </c>
      <c r="C149" s="41">
        <v>1</v>
      </c>
      <c r="D149" s="346">
        <v>5</v>
      </c>
      <c r="E149" s="347">
        <v>16486</v>
      </c>
      <c r="F149" s="348">
        <v>20331496643</v>
      </c>
      <c r="G149" s="349" t="str">
        <f>IFERROR(IF(compras_mes3[[#This Row],[CUIT]]="","-",VLOOKUP(compras_mes3[[#This Row],[CUIT]],Lista_CUIT[#All],2,0)),"CUIT NO CARGADO")</f>
        <v>MARZANO OSVALDO MATIAS</v>
      </c>
      <c r="H149" s="350">
        <v>4609.92</v>
      </c>
      <c r="I149" s="351">
        <f>IF(compras_mes3[[#This Row],[NETO GRAVADO]]="","",compras_mes3[[#This Row],[NETO GRAVADO]]*0.21)</f>
        <v>968.08320000000003</v>
      </c>
      <c r="J149" s="351"/>
      <c r="K149" s="351"/>
      <c r="L149" s="351"/>
      <c r="M149" s="351"/>
      <c r="N149" s="351"/>
      <c r="O149" s="351"/>
      <c r="P149" s="352">
        <f>SUM(compras_mes3[[#This Row],[NETO GRAVADO]:[Otros / No Grav.]])</f>
        <v>5578.0032000000001</v>
      </c>
      <c r="Q149" s="353">
        <f>IFERROR(IF(compras_mes3[[#This Row],[CUIT]]="","-",VLOOKUP(compras_mes3[[#This Row],[CUIT]],Lista_CUIT[#All],3,0)),"CUIT NO CARGADO")</f>
        <v>0</v>
      </c>
      <c r="R149" s="353">
        <f>IFERROR(IF(compras_mes3[[#This Row],[CUIT]]="","-",VLOOKUP(compras_mes3[[#This Row],[CUIT]],Lista_CUIT[#All],4,0)),"CUIT NO CARGADO")</f>
        <v>0</v>
      </c>
    </row>
    <row r="150" spans="2:18" x14ac:dyDescent="0.3">
      <c r="B150" s="345">
        <v>45012</v>
      </c>
      <c r="C150" s="41">
        <v>1</v>
      </c>
      <c r="D150" s="346">
        <v>5</v>
      </c>
      <c r="E150" s="347">
        <v>16487</v>
      </c>
      <c r="F150" s="348">
        <v>20331496643</v>
      </c>
      <c r="G150" s="349" t="str">
        <f>IFERROR(IF(compras_mes3[[#This Row],[CUIT]]="","-",VLOOKUP(compras_mes3[[#This Row],[CUIT]],Lista_CUIT[#All],2,0)),"CUIT NO CARGADO")</f>
        <v>MARZANO OSVALDO MATIAS</v>
      </c>
      <c r="H150" s="350">
        <v>6914.88</v>
      </c>
      <c r="I150" s="351">
        <f>IF(compras_mes3[[#This Row],[NETO GRAVADO]]="","",compras_mes3[[#This Row],[NETO GRAVADO]]*0.21)</f>
        <v>1452.1248000000001</v>
      </c>
      <c r="J150" s="351"/>
      <c r="K150" s="351"/>
      <c r="L150" s="351"/>
      <c r="M150" s="351"/>
      <c r="N150" s="351"/>
      <c r="O150" s="351"/>
      <c r="P150" s="352">
        <f>SUM(compras_mes3[[#This Row],[NETO GRAVADO]:[Otros / No Grav.]])</f>
        <v>8367.0048000000006</v>
      </c>
      <c r="Q150" s="353">
        <f>IFERROR(IF(compras_mes3[[#This Row],[CUIT]]="","-",VLOOKUP(compras_mes3[[#This Row],[CUIT]],Lista_CUIT[#All],3,0)),"CUIT NO CARGADO")</f>
        <v>0</v>
      </c>
      <c r="R150" s="353">
        <f>IFERROR(IF(compras_mes3[[#This Row],[CUIT]]="","-",VLOOKUP(compras_mes3[[#This Row],[CUIT]],Lista_CUIT[#All],4,0)),"CUIT NO CARGADO")</f>
        <v>0</v>
      </c>
    </row>
    <row r="151" spans="2:18" x14ac:dyDescent="0.3">
      <c r="B151" s="345">
        <v>45012</v>
      </c>
      <c r="C151" s="41">
        <v>1</v>
      </c>
      <c r="D151" s="346">
        <v>103</v>
      </c>
      <c r="E151" s="347">
        <v>596119</v>
      </c>
      <c r="F151" s="348">
        <v>30701307115</v>
      </c>
      <c r="G151" s="349" t="str">
        <f>IFERROR(IF(compras_mes3[[#This Row],[CUIT]]="","-",VLOOKUP(compras_mes3[[#This Row],[CUIT]],Lista_CUIT[#All],2,0)),"CUIT NO CARGADO")</f>
        <v>DESPEGAR COM AR SA</v>
      </c>
      <c r="H151" s="350">
        <v>89675.17</v>
      </c>
      <c r="I151" s="351">
        <v>2675.34</v>
      </c>
      <c r="J151" s="351"/>
      <c r="K151" s="351">
        <v>8078.22</v>
      </c>
      <c r="L151" s="351"/>
      <c r="M151" s="351"/>
      <c r="N151" s="351">
        <v>6127.74</v>
      </c>
      <c r="O151" s="351">
        <v>13740</v>
      </c>
      <c r="P151" s="352">
        <f>SUM(compras_mes3[[#This Row],[NETO GRAVADO]:[Otros / No Grav.]])</f>
        <v>120296.47</v>
      </c>
      <c r="Q151" s="353">
        <f>IFERROR(IF(compras_mes3[[#This Row],[CUIT]]="","-",VLOOKUP(compras_mes3[[#This Row],[CUIT]],Lista_CUIT[#All],3,0)),"CUIT NO CARGADO")</f>
        <v>0</v>
      </c>
      <c r="R151" s="353">
        <f>IFERROR(IF(compras_mes3[[#This Row],[CUIT]]="","-",VLOOKUP(compras_mes3[[#This Row],[CUIT]],Lista_CUIT[#All],4,0)),"CUIT NO CARGADO")</f>
        <v>0</v>
      </c>
    </row>
    <row r="152" spans="2:18" x14ac:dyDescent="0.3">
      <c r="B152" s="345">
        <v>45012</v>
      </c>
      <c r="C152" s="41">
        <v>1</v>
      </c>
      <c r="D152" s="346">
        <v>700</v>
      </c>
      <c r="E152" s="347">
        <v>872987</v>
      </c>
      <c r="F152" s="348">
        <v>30715804812</v>
      </c>
      <c r="G152" s="349" t="str">
        <f>IFERROR(IF(compras_mes3[[#This Row],[CUIT]]="","-",VLOOKUP(compras_mes3[[#This Row],[CUIT]],Lista_CUIT[#All],2,0)),"CUIT NO CARGADO")</f>
        <v>CORREDORES VIALES SOCIEDAD ANONIMA</v>
      </c>
      <c r="H152" s="350">
        <v>892.56</v>
      </c>
      <c r="I152" s="351">
        <f>IF(compras_mes3[[#This Row],[NETO GRAVADO]]="","",compras_mes3[[#This Row],[NETO GRAVADO]]*0.21)</f>
        <v>187.43759999999997</v>
      </c>
      <c r="J152" s="351"/>
      <c r="K152" s="351"/>
      <c r="L152" s="351"/>
      <c r="M152" s="351"/>
      <c r="N152" s="351"/>
      <c r="O152" s="351"/>
      <c r="P152" s="352">
        <f>SUM(compras_mes3[[#This Row],[NETO GRAVADO]:[Otros / No Grav.]])</f>
        <v>1079.9975999999999</v>
      </c>
      <c r="Q152" s="353">
        <f>IFERROR(IF(compras_mes3[[#This Row],[CUIT]]="","-",VLOOKUP(compras_mes3[[#This Row],[CUIT]],Lista_CUIT[#All],3,0)),"CUIT NO CARGADO")</f>
        <v>0</v>
      </c>
      <c r="R152" s="353">
        <f>IFERROR(IF(compras_mes3[[#This Row],[CUIT]]="","-",VLOOKUP(compras_mes3[[#This Row],[CUIT]],Lista_CUIT[#All],4,0)),"CUIT NO CARGADO")</f>
        <v>0</v>
      </c>
    </row>
    <row r="153" spans="2:18" x14ac:dyDescent="0.3">
      <c r="B153" s="345">
        <v>45012</v>
      </c>
      <c r="C153" s="41">
        <v>1</v>
      </c>
      <c r="D153" s="346">
        <v>3034</v>
      </c>
      <c r="E153" s="347">
        <v>3420247</v>
      </c>
      <c r="F153" s="348">
        <v>30708574836</v>
      </c>
      <c r="G153" s="349" t="str">
        <f>IFERROR(IF(compras_mes3[[#This Row],[CUIT]]="","-",VLOOKUP(compras_mes3[[#This Row],[CUIT]],Lista_CUIT[#All],2,0)),"CUIT NO CARGADO")</f>
        <v>CORREO OFICIAL DE LA REPUBLICA ARGENTINA SOCIEDAD ANONIMA</v>
      </c>
      <c r="H153" s="350">
        <v>1038.58</v>
      </c>
      <c r="I153" s="351">
        <f>IF(compras_mes3[[#This Row],[NETO GRAVADO]]="","",compras_mes3[[#This Row],[NETO GRAVADO]]*0.21)</f>
        <v>218.10179999999997</v>
      </c>
      <c r="J153" s="351"/>
      <c r="K153" s="351"/>
      <c r="L153" s="351"/>
      <c r="M153" s="351"/>
      <c r="N153" s="351"/>
      <c r="O153" s="351"/>
      <c r="P153" s="352">
        <f>SUM(compras_mes3[[#This Row],[NETO GRAVADO]:[Otros / No Grav.]])</f>
        <v>1256.6817999999998</v>
      </c>
      <c r="Q153" s="353" t="str">
        <f>IFERROR(IF(compras_mes3[[#This Row],[CUIT]]="","-",VLOOKUP(compras_mes3[[#This Row],[CUIT]],Lista_CUIT[#All],3,0)),"CUIT NO CARGADO")</f>
        <v>MESAJERIA</v>
      </c>
      <c r="R153" s="353">
        <f>IFERROR(IF(compras_mes3[[#This Row],[CUIT]]="","-",VLOOKUP(compras_mes3[[#This Row],[CUIT]],Lista_CUIT[#All],4,0)),"CUIT NO CARGADO")</f>
        <v>0</v>
      </c>
    </row>
    <row r="154" spans="2:18" x14ac:dyDescent="0.3">
      <c r="B154" s="345">
        <v>45013</v>
      </c>
      <c r="C154" s="41">
        <v>1</v>
      </c>
      <c r="D154" s="346">
        <v>5</v>
      </c>
      <c r="E154" s="347">
        <v>1327</v>
      </c>
      <c r="F154" s="348">
        <v>30711651779</v>
      </c>
      <c r="G154" s="349" t="str">
        <f>IFERROR(IF(compras_mes3[[#This Row],[CUIT]]="","-",VLOOKUP(compras_mes3[[#This Row],[CUIT]],Lista_CUIT[#All],2,0)),"CUIT NO CARGADO")</f>
        <v>INFOSOL BUENOS AIRES S.R.L.</v>
      </c>
      <c r="H154" s="350">
        <v>6611.57</v>
      </c>
      <c r="I154" s="351">
        <f>IF(compras_mes3[[#This Row],[NETO GRAVADO]]="","",compras_mes3[[#This Row],[NETO GRAVADO]]*0.21)</f>
        <v>1388.4296999999999</v>
      </c>
      <c r="J154" s="351"/>
      <c r="K154" s="351"/>
      <c r="L154" s="351"/>
      <c r="M154" s="351"/>
      <c r="N154" s="351"/>
      <c r="O154" s="351"/>
      <c r="P154" s="352">
        <f>SUM(compras_mes3[[#This Row],[NETO GRAVADO]:[Otros / No Grav.]])</f>
        <v>7999.9996999999994</v>
      </c>
      <c r="Q154" s="353">
        <f>IFERROR(IF(compras_mes3[[#This Row],[CUIT]]="","-",VLOOKUP(compras_mes3[[#This Row],[CUIT]],Lista_CUIT[#All],3,0)),"CUIT NO CARGADO")</f>
        <v>0</v>
      </c>
      <c r="R154" s="353">
        <f>IFERROR(IF(compras_mes3[[#This Row],[CUIT]]="","-",VLOOKUP(compras_mes3[[#This Row],[CUIT]],Lista_CUIT[#All],4,0)),"CUIT NO CARGADO")</f>
        <v>0</v>
      </c>
    </row>
    <row r="155" spans="2:18" x14ac:dyDescent="0.3">
      <c r="B155" s="345">
        <v>45013</v>
      </c>
      <c r="C155" s="41">
        <v>1</v>
      </c>
      <c r="D155" s="346">
        <v>2</v>
      </c>
      <c r="E155" s="347">
        <v>3299</v>
      </c>
      <c r="F155" s="348">
        <v>30629863571</v>
      </c>
      <c r="G155" s="349" t="str">
        <f>IFERROR(IF(compras_mes3[[#This Row],[CUIT]]="","-",VLOOKUP(compras_mes3[[#This Row],[CUIT]],Lista_CUIT[#All],2,0)),"CUIT NO CARGADO")</f>
        <v>TECNIMAR S R L</v>
      </c>
      <c r="H155" s="350">
        <v>603063.24</v>
      </c>
      <c r="I155" s="351">
        <f>IF(compras_mes3[[#This Row],[NETO GRAVADO]]="","",compras_mes3[[#This Row],[NETO GRAVADO]]*0.21)</f>
        <v>126643.28039999999</v>
      </c>
      <c r="J155" s="351"/>
      <c r="K155" s="351"/>
      <c r="L155" s="351"/>
      <c r="M155" s="351"/>
      <c r="N155" s="351"/>
      <c r="O155" s="351"/>
      <c r="P155" s="352">
        <f>SUM(compras_mes3[[#This Row],[NETO GRAVADO]:[Otros / No Grav.]])</f>
        <v>729706.52040000004</v>
      </c>
      <c r="Q155" s="353" t="str">
        <f>IFERROR(IF(compras_mes3[[#This Row],[CUIT]]="","-",VLOOKUP(compras_mes3[[#This Row],[CUIT]],Lista_CUIT[#All],3,0)),"CUIT NO CARGADO")</f>
        <v>LABORATORIO</v>
      </c>
      <c r="R155" s="353">
        <f>IFERROR(IF(compras_mes3[[#This Row],[CUIT]]="","-",VLOOKUP(compras_mes3[[#This Row],[CUIT]],Lista_CUIT[#All],4,0)),"CUIT NO CARGADO")</f>
        <v>0</v>
      </c>
    </row>
    <row r="156" spans="2:18" x14ac:dyDescent="0.3">
      <c r="B156" s="345">
        <v>45013</v>
      </c>
      <c r="C156" s="41">
        <v>1</v>
      </c>
      <c r="D156" s="346">
        <v>6958</v>
      </c>
      <c r="E156" s="347">
        <v>14272</v>
      </c>
      <c r="F156" s="348">
        <v>30678774495</v>
      </c>
      <c r="G156" s="349" t="str">
        <f>IFERROR(IF(compras_mes3[[#This Row],[CUIT]]="","-",VLOOKUP(compras_mes3[[#This Row],[CUIT]],Lista_CUIT[#All],2,0)),"CUIT NO CARGADO")</f>
        <v>OPER. DE EST. DE SERV. SA</v>
      </c>
      <c r="H156" s="350">
        <v>4610.21</v>
      </c>
      <c r="I156" s="351">
        <f>IF(compras_mes3[[#This Row],[NETO GRAVADO]]="","",compras_mes3[[#This Row],[NETO GRAVADO]]*0.21)</f>
        <v>968.14409999999998</v>
      </c>
      <c r="J156" s="351"/>
      <c r="K156" s="351"/>
      <c r="L156" s="351"/>
      <c r="M156" s="351"/>
      <c r="N156" s="351">
        <v>338.01</v>
      </c>
      <c r="O156" s="351">
        <v>1023.23</v>
      </c>
      <c r="P156" s="352">
        <f>SUM(compras_mes3[[#This Row],[NETO GRAVADO]:[Otros / No Grav.]])</f>
        <v>6939.5941000000003</v>
      </c>
      <c r="Q156" s="353" t="str">
        <f>IFERROR(IF(compras_mes3[[#This Row],[CUIT]]="","-",VLOOKUP(compras_mes3[[#This Row],[CUIT]],Lista_CUIT[#All],3,0)),"CUIT NO CARGADO")</f>
        <v>Combustibe</v>
      </c>
      <c r="R156" s="353">
        <f>IFERROR(IF(compras_mes3[[#This Row],[CUIT]]="","-",VLOOKUP(compras_mes3[[#This Row],[CUIT]],Lista_CUIT[#All],4,0)),"CUIT NO CARGADO")</f>
        <v>0</v>
      </c>
    </row>
    <row r="157" spans="2:18" x14ac:dyDescent="0.3">
      <c r="B157" s="345">
        <v>45013</v>
      </c>
      <c r="C157" s="41">
        <v>1</v>
      </c>
      <c r="D157" s="346">
        <v>1</v>
      </c>
      <c r="E157" s="347">
        <v>21183</v>
      </c>
      <c r="F157" s="348">
        <v>30715294938</v>
      </c>
      <c r="G157" s="349" t="str">
        <f>IFERROR(IF(compras_mes3[[#This Row],[CUIT]]="","-",VLOOKUP(compras_mes3[[#This Row],[CUIT]],Lista_CUIT[#All],2,0)),"CUIT NO CARGADO")</f>
        <v>DEVENTAS S.A.</v>
      </c>
      <c r="H157" s="350">
        <v>99172.89</v>
      </c>
      <c r="I157" s="351">
        <f>IF(compras_mes3[[#This Row],[NETO GRAVADO]]="","",compras_mes3[[#This Row],[NETO GRAVADO]]*0.21)</f>
        <v>20826.3069</v>
      </c>
      <c r="J157" s="351"/>
      <c r="K157" s="351"/>
      <c r="L157" s="351"/>
      <c r="M157" s="351"/>
      <c r="N157" s="351">
        <v>5950.37</v>
      </c>
      <c r="O157" s="351"/>
      <c r="P157" s="352">
        <f>SUM(compras_mes3[[#This Row],[NETO GRAVADO]:[Otros / No Grav.]])</f>
        <v>125949.56689999999</v>
      </c>
      <c r="Q157" s="353">
        <f>IFERROR(IF(compras_mes3[[#This Row],[CUIT]]="","-",VLOOKUP(compras_mes3[[#This Row],[CUIT]],Lista_CUIT[#All],3,0)),"CUIT NO CARGADO")</f>
        <v>0</v>
      </c>
      <c r="R157" s="353">
        <f>IFERROR(IF(compras_mes3[[#This Row],[CUIT]]="","-",VLOOKUP(compras_mes3[[#This Row],[CUIT]],Lista_CUIT[#All],4,0)),"CUIT NO CARGADO")</f>
        <v>0</v>
      </c>
    </row>
    <row r="158" spans="2:18" x14ac:dyDescent="0.3">
      <c r="B158" s="345">
        <v>45013</v>
      </c>
      <c r="C158" s="41">
        <v>1</v>
      </c>
      <c r="D158" s="346">
        <v>4</v>
      </c>
      <c r="E158" s="347">
        <v>41863</v>
      </c>
      <c r="F158" s="348">
        <v>30709863076</v>
      </c>
      <c r="G158" s="349" t="str">
        <f>IFERROR(IF(compras_mes3[[#This Row],[CUIT]]="","-",VLOOKUP(compras_mes3[[#This Row],[CUIT]],Lista_CUIT[#All],2,0)),"CUIT NO CARGADO")</f>
        <v>INDUSTRIAS PLASTICOS SALTA S.R.L.</v>
      </c>
      <c r="H158" s="350">
        <v>8619.84</v>
      </c>
      <c r="I158" s="351">
        <f>IF(compras_mes3[[#This Row],[NETO GRAVADO]]="","",compras_mes3[[#This Row],[NETO GRAVADO]]*0.21)</f>
        <v>1810.1664000000001</v>
      </c>
      <c r="J158" s="351"/>
      <c r="K158" s="351"/>
      <c r="L158" s="351"/>
      <c r="M158" s="351"/>
      <c r="N158" s="351"/>
      <c r="O158" s="351"/>
      <c r="P158" s="352">
        <f>SUM(compras_mes3[[#This Row],[NETO GRAVADO]:[Otros / No Grav.]])</f>
        <v>10430.0064</v>
      </c>
      <c r="Q158" s="353">
        <f>IFERROR(IF(compras_mes3[[#This Row],[CUIT]]="","-",VLOOKUP(compras_mes3[[#This Row],[CUIT]],Lista_CUIT[#All],3,0)),"CUIT NO CARGADO")</f>
        <v>0</v>
      </c>
      <c r="R158" s="353">
        <f>IFERROR(IF(compras_mes3[[#This Row],[CUIT]]="","-",VLOOKUP(compras_mes3[[#This Row],[CUIT]],Lista_CUIT[#All],4,0)),"CUIT NO CARGADO")</f>
        <v>0</v>
      </c>
    </row>
    <row r="159" spans="2:18" x14ac:dyDescent="0.3">
      <c r="B159" s="345">
        <v>45014</v>
      </c>
      <c r="C159" s="41">
        <v>1</v>
      </c>
      <c r="D159" s="346">
        <v>7</v>
      </c>
      <c r="E159" s="347">
        <v>1079</v>
      </c>
      <c r="F159" s="348">
        <v>20134664518</v>
      </c>
      <c r="G159" s="349" t="str">
        <f>IFERROR(IF(compras_mes3[[#This Row],[CUIT]]="","-",VLOOKUP(compras_mes3[[#This Row],[CUIT]],Lista_CUIT[#All],2,0)),"CUIT NO CARGADO")</f>
        <v>HOKAMA SERGIO ENRIQUE</v>
      </c>
      <c r="H159" s="350">
        <v>8061.57</v>
      </c>
      <c r="I159" s="351">
        <f>IF(compras_mes3[[#This Row],[NETO GRAVADO]]="","",compras_mes3[[#This Row],[NETO GRAVADO]]*0.21)</f>
        <v>1692.9296999999999</v>
      </c>
      <c r="J159" s="351"/>
      <c r="K159" s="351"/>
      <c r="L159" s="351"/>
      <c r="M159" s="351"/>
      <c r="N159" s="351"/>
      <c r="O159" s="351"/>
      <c r="P159" s="352">
        <f>SUM(compras_mes3[[#This Row],[NETO GRAVADO]:[Otros / No Grav.]])</f>
        <v>9754.4997000000003</v>
      </c>
      <c r="Q159" s="353" t="str">
        <f>IFERROR(IF(compras_mes3[[#This Row],[CUIT]]="","-",VLOOKUP(compras_mes3[[#This Row],[CUIT]],Lista_CUIT[#All],3,0)),"CUIT NO CARGADO")</f>
        <v>Gastos Varios</v>
      </c>
      <c r="R159" s="353" t="str">
        <f>IFERROR(IF(compras_mes3[[#This Row],[CUIT]]="","-",VLOOKUP(compras_mes3[[#This Row],[CUIT]],Lista_CUIT[#All],4,0)),"CUIT NO CARGADO")</f>
        <v>BUENOS AIRES</v>
      </c>
    </row>
    <row r="160" spans="2:18" x14ac:dyDescent="0.3">
      <c r="B160" s="345">
        <v>45014</v>
      </c>
      <c r="C160" s="41">
        <v>1</v>
      </c>
      <c r="D160" s="346">
        <v>3</v>
      </c>
      <c r="E160" s="347">
        <v>1404</v>
      </c>
      <c r="F160" s="348">
        <v>30715434276</v>
      </c>
      <c r="G160" s="349" t="str">
        <f>IFERROR(IF(compras_mes3[[#This Row],[CUIT]]="","-",VLOOKUP(compras_mes3[[#This Row],[CUIT]],Lista_CUIT[#All],2,0)),"CUIT NO CARGADO")</f>
        <v>BRUAYAFA S.A.</v>
      </c>
      <c r="H160" s="350">
        <v>425766</v>
      </c>
      <c r="I160" s="351">
        <f>IF(compras_mes3[[#This Row],[NETO GRAVADO]]="","",compras_mes3[[#This Row],[NETO GRAVADO]]*0.21)</f>
        <v>89410.86</v>
      </c>
      <c r="J160" s="351"/>
      <c r="K160" s="351"/>
      <c r="L160" s="351"/>
      <c r="M160" s="351"/>
      <c r="N160" s="351"/>
      <c r="O160" s="351"/>
      <c r="P160" s="352">
        <f>SUM(compras_mes3[[#This Row],[NETO GRAVADO]:[Otros / No Grav.]])</f>
        <v>515176.86</v>
      </c>
      <c r="Q160" s="353">
        <f>IFERROR(IF(compras_mes3[[#This Row],[CUIT]]="","-",VLOOKUP(compras_mes3[[#This Row],[CUIT]],Lista_CUIT[#All],3,0)),"CUIT NO CARGADO")</f>
        <v>0</v>
      </c>
      <c r="R160" s="353">
        <f>IFERROR(IF(compras_mes3[[#This Row],[CUIT]]="","-",VLOOKUP(compras_mes3[[#This Row],[CUIT]],Lista_CUIT[#All],4,0)),"CUIT NO CARGADO")</f>
        <v>0</v>
      </c>
    </row>
    <row r="161" spans="2:18" x14ac:dyDescent="0.3">
      <c r="B161" s="345">
        <v>45014</v>
      </c>
      <c r="C161" s="41">
        <v>1</v>
      </c>
      <c r="D161" s="346">
        <v>1001</v>
      </c>
      <c r="E161" s="347">
        <v>1486</v>
      </c>
      <c r="F161" s="348">
        <v>30712289046</v>
      </c>
      <c r="G161" s="349" t="str">
        <f>IFERROR(IF(compras_mes3[[#This Row],[CUIT]]="","-",VLOOKUP(compras_mes3[[#This Row],[CUIT]],Lista_CUIT[#All],2,0)),"CUIT NO CARGADO")</f>
        <v>IMPIERI PIÑEIRO RIZZO Y ASOC SA</v>
      </c>
      <c r="H161" s="350">
        <v>883.28</v>
      </c>
      <c r="I161" s="351">
        <f>IF(compras_mes3[[#This Row],[NETO GRAVADO]]="","",compras_mes3[[#This Row],[NETO GRAVADO]]*0.21)</f>
        <v>185.4888</v>
      </c>
      <c r="J161" s="351"/>
      <c r="K161" s="351"/>
      <c r="L161" s="351"/>
      <c r="M161" s="351"/>
      <c r="N161" s="351"/>
      <c r="O161" s="351">
        <v>131.22</v>
      </c>
      <c r="P161" s="352">
        <f>SUM(compras_mes3[[#This Row],[NETO GRAVADO]:[Otros / No Grav.]])</f>
        <v>1199.9888000000001</v>
      </c>
      <c r="Q161" s="353">
        <f>IFERROR(IF(compras_mes3[[#This Row],[CUIT]]="","-",VLOOKUP(compras_mes3[[#This Row],[CUIT]],Lista_CUIT[#All],3,0)),"CUIT NO CARGADO")</f>
        <v>0</v>
      </c>
      <c r="R161" s="353">
        <f>IFERROR(IF(compras_mes3[[#This Row],[CUIT]]="","-",VLOOKUP(compras_mes3[[#This Row],[CUIT]],Lista_CUIT[#All],4,0)),"CUIT NO CARGADO")</f>
        <v>0</v>
      </c>
    </row>
    <row r="162" spans="2:18" x14ac:dyDescent="0.3">
      <c r="B162" s="345">
        <v>45014</v>
      </c>
      <c r="C162" s="41">
        <v>1</v>
      </c>
      <c r="D162" s="346">
        <v>8</v>
      </c>
      <c r="E162" s="347">
        <v>3067</v>
      </c>
      <c r="F162" s="348">
        <v>20304940019</v>
      </c>
      <c r="G162" s="349" t="str">
        <f>IFERROR(IF(compras_mes3[[#This Row],[CUIT]]="","-",VLOOKUP(compras_mes3[[#This Row],[CUIT]],Lista_CUIT[#All],2,0)),"CUIT NO CARGADO")</f>
        <v>LAZZARIN LIMA MARTIN IGNACIO</v>
      </c>
      <c r="H162" s="350">
        <v>8136.65</v>
      </c>
      <c r="I162" s="351"/>
      <c r="J162" s="351"/>
      <c r="K162" s="351">
        <v>854.35</v>
      </c>
      <c r="L162" s="351"/>
      <c r="M162" s="351"/>
      <c r="N162" s="351"/>
      <c r="O162" s="351"/>
      <c r="P162" s="352">
        <f>SUM(compras_mes3[[#This Row],[NETO GRAVADO]:[Otros / No Grav.]])</f>
        <v>8991</v>
      </c>
      <c r="Q162" s="353">
        <f>IFERROR(IF(compras_mes3[[#This Row],[CUIT]]="","-",VLOOKUP(compras_mes3[[#This Row],[CUIT]],Lista_CUIT[#All],3,0)),"CUIT NO CARGADO")</f>
        <v>0</v>
      </c>
      <c r="R162" s="353">
        <f>IFERROR(IF(compras_mes3[[#This Row],[CUIT]]="","-",VLOOKUP(compras_mes3[[#This Row],[CUIT]],Lista_CUIT[#All],4,0)),"CUIT NO CARGADO")</f>
        <v>0</v>
      </c>
    </row>
    <row r="163" spans="2:18" x14ac:dyDescent="0.3">
      <c r="B163" s="345">
        <v>45014</v>
      </c>
      <c r="C163" s="41">
        <v>1</v>
      </c>
      <c r="D163" s="346">
        <v>3</v>
      </c>
      <c r="E163" s="347">
        <v>3315</v>
      </c>
      <c r="F163" s="348">
        <v>30716072033</v>
      </c>
      <c r="G163" s="349" t="str">
        <f>IFERROR(IF(compras_mes3[[#This Row],[CUIT]]="","-",VLOOKUP(compras_mes3[[#This Row],[CUIT]],Lista_CUIT[#All],2,0)),"CUIT NO CARGADO")</f>
        <v>SHOPPING NET S.A.S.</v>
      </c>
      <c r="H163" s="350">
        <v>6333.94</v>
      </c>
      <c r="I163" s="351"/>
      <c r="J163" s="351"/>
      <c r="K163" s="351">
        <v>665.06</v>
      </c>
      <c r="L163" s="351"/>
      <c r="M163" s="351"/>
      <c r="N163" s="351"/>
      <c r="O163" s="351"/>
      <c r="P163" s="352">
        <f>SUM(compras_mes3[[#This Row],[NETO GRAVADO]:[Otros / No Grav.]])</f>
        <v>6999</v>
      </c>
      <c r="Q163" s="353">
        <f>IFERROR(IF(compras_mes3[[#This Row],[CUIT]]="","-",VLOOKUP(compras_mes3[[#This Row],[CUIT]],Lista_CUIT[#All],3,0)),"CUIT NO CARGADO")</f>
        <v>0</v>
      </c>
      <c r="R163" s="353">
        <f>IFERROR(IF(compras_mes3[[#This Row],[CUIT]]="","-",VLOOKUP(compras_mes3[[#This Row],[CUIT]],Lista_CUIT[#All],4,0)),"CUIT NO CARGADO")</f>
        <v>0</v>
      </c>
    </row>
    <row r="164" spans="2:18" x14ac:dyDescent="0.3">
      <c r="B164" s="345">
        <v>45014</v>
      </c>
      <c r="C164" s="41">
        <v>1</v>
      </c>
      <c r="D164" s="346">
        <v>10</v>
      </c>
      <c r="E164" s="347">
        <v>12511</v>
      </c>
      <c r="F164" s="348">
        <v>30696186932</v>
      </c>
      <c r="G164" s="349" t="str">
        <f>IFERROR(IF(compras_mes3[[#This Row],[CUIT]]="","-",VLOOKUP(compras_mes3[[#This Row],[CUIT]],Lista_CUIT[#All],2,0)),"CUIT NO CARGADO")</f>
        <v>Nordestnova S A</v>
      </c>
      <c r="H164" s="350">
        <v>548139.9</v>
      </c>
      <c r="I164" s="351">
        <f>IF(compras_mes3[[#This Row],[NETO GRAVADO]]="","",compras_mes3[[#This Row],[NETO GRAVADO]]*0.21)</f>
        <v>115109.379</v>
      </c>
      <c r="J164" s="351"/>
      <c r="K164" s="351"/>
      <c r="L164" s="351"/>
      <c r="M164" s="351"/>
      <c r="N164" s="351"/>
      <c r="O164" s="351"/>
      <c r="P164" s="352">
        <f>SUM(compras_mes3[[#This Row],[NETO GRAVADO]:[Otros / No Grav.]])</f>
        <v>663249.27899999998</v>
      </c>
      <c r="Q164" s="353">
        <f>IFERROR(IF(compras_mes3[[#This Row],[CUIT]]="","-",VLOOKUP(compras_mes3[[#This Row],[CUIT]],Lista_CUIT[#All],3,0)),"CUIT NO CARGADO")</f>
        <v>0</v>
      </c>
      <c r="R164" s="353">
        <f>IFERROR(IF(compras_mes3[[#This Row],[CUIT]]="","-",VLOOKUP(compras_mes3[[#This Row],[CUIT]],Lista_CUIT[#All],4,0)),"CUIT NO CARGADO")</f>
        <v>0</v>
      </c>
    </row>
    <row r="165" spans="2:18" x14ac:dyDescent="0.3">
      <c r="B165" s="345">
        <v>45014</v>
      </c>
      <c r="C165" s="354">
        <v>3</v>
      </c>
      <c r="D165" s="346">
        <v>27</v>
      </c>
      <c r="E165" s="347">
        <v>35387</v>
      </c>
      <c r="F165" s="348">
        <v>30703088534</v>
      </c>
      <c r="G165" s="349" t="str">
        <f>IFERROR(IF(compras_mes3[[#This Row],[CUIT]]="","-",VLOOKUP(compras_mes3[[#This Row],[CUIT]],Lista_CUIT[#All],2,0)),"CUIT NO CARGADO")</f>
        <v>MERCADO LIBRE SRL</v>
      </c>
      <c r="H165" s="350">
        <v>-209.42</v>
      </c>
      <c r="I165" s="351">
        <f>IF(compras_mes3[[#This Row],[NETO GRAVADO]]="","",compras_mes3[[#This Row],[NETO GRAVADO]]*0.21)</f>
        <v>-43.978199999999994</v>
      </c>
      <c r="J165" s="351"/>
      <c r="K165" s="351"/>
      <c r="L165" s="351"/>
      <c r="M165" s="351"/>
      <c r="N165" s="351"/>
      <c r="O165" s="351">
        <v>-6.28</v>
      </c>
      <c r="P165" s="352">
        <f>SUM(compras_mes3[[#This Row],[NETO GRAVADO]:[Otros / No Grav.]])</f>
        <v>-259.67819999999995</v>
      </c>
      <c r="Q165" s="353" t="str">
        <f>IFERROR(IF(compras_mes3[[#This Row],[CUIT]]="","-",VLOOKUP(compras_mes3[[#This Row],[CUIT]],Lista_CUIT[#All],3,0)),"CUIT NO CARGADO")</f>
        <v>Gastos Varios</v>
      </c>
      <c r="R165" s="353" t="str">
        <f>IFERROR(IF(compras_mes3[[#This Row],[CUIT]]="","-",VLOOKUP(compras_mes3[[#This Row],[CUIT]],Lista_CUIT[#All],4,0)),"CUIT NO CARGADO")</f>
        <v>CABA</v>
      </c>
    </row>
    <row r="166" spans="2:18" x14ac:dyDescent="0.3">
      <c r="B166" s="345">
        <v>45014</v>
      </c>
      <c r="C166" s="41">
        <v>1</v>
      </c>
      <c r="D166" s="346">
        <v>2188</v>
      </c>
      <c r="E166" s="347">
        <v>86198</v>
      </c>
      <c r="F166" s="348">
        <v>30548083156</v>
      </c>
      <c r="G166" s="349" t="str">
        <f>IFERROR(IF(compras_mes3[[#This Row],[CUIT]]="","-",VLOOKUP(compras_mes3[[#This Row],[CUIT]],Lista_CUIT[#All],2,0)),"CUIT NO CARGADO")</f>
        <v>COTO CENTRO INTEGRAL DE COMERCIALIZACION SOCIEDAD ANONIMA</v>
      </c>
      <c r="H166" s="350">
        <v>13873.38</v>
      </c>
      <c r="I166" s="351">
        <v>2019.31</v>
      </c>
      <c r="J166" s="351">
        <v>447.05</v>
      </c>
      <c r="K166" s="351"/>
      <c r="L166" s="351">
        <v>250.87</v>
      </c>
      <c r="M166" s="351">
        <v>63.86</v>
      </c>
      <c r="N166" s="351">
        <v>586.14</v>
      </c>
      <c r="O166" s="351"/>
      <c r="P166" s="352">
        <f>SUM(compras_mes3[[#This Row],[NETO GRAVADO]:[Otros / No Grav.]])</f>
        <v>17240.609999999997</v>
      </c>
      <c r="Q166" s="353" t="str">
        <f>IFERROR(IF(compras_mes3[[#This Row],[CUIT]]="","-",VLOOKUP(compras_mes3[[#This Row],[CUIT]],Lista_CUIT[#All],3,0)),"CUIT NO CARGADO")</f>
        <v>GASTOS COMERCIALES</v>
      </c>
      <c r="R166" s="353">
        <f>IFERROR(IF(compras_mes3[[#This Row],[CUIT]]="","-",VLOOKUP(compras_mes3[[#This Row],[CUIT]],Lista_CUIT[#All],4,0)),"CUIT NO CARGADO")</f>
        <v>0</v>
      </c>
    </row>
    <row r="167" spans="2:18" x14ac:dyDescent="0.3">
      <c r="B167" s="345">
        <v>45014</v>
      </c>
      <c r="C167" s="41">
        <v>1</v>
      </c>
      <c r="D167" s="346">
        <v>27</v>
      </c>
      <c r="E167" s="347">
        <v>1107550</v>
      </c>
      <c r="F167" s="348">
        <v>30703088534</v>
      </c>
      <c r="G167" s="349" t="str">
        <f>IFERROR(IF(compras_mes3[[#This Row],[CUIT]]="","-",VLOOKUP(compras_mes3[[#This Row],[CUIT]],Lista_CUIT[#All],2,0)),"CUIT NO CARGADO")</f>
        <v>MERCADO LIBRE SRL</v>
      </c>
      <c r="H167" s="350">
        <v>174798.17</v>
      </c>
      <c r="I167" s="351">
        <f>IF(compras_mes3[[#This Row],[NETO GRAVADO]]="","",compras_mes3[[#This Row],[NETO GRAVADO]]*0.21)</f>
        <v>36707.615700000002</v>
      </c>
      <c r="J167" s="351"/>
      <c r="K167" s="351"/>
      <c r="L167" s="351">
        <v>5243.94</v>
      </c>
      <c r="M167" s="351"/>
      <c r="N167" s="351">
        <v>10487.88</v>
      </c>
      <c r="O167" s="351"/>
      <c r="P167" s="352">
        <f>SUM(compras_mes3[[#This Row],[NETO GRAVADO]:[Otros / No Grav.]])</f>
        <v>227237.60570000001</v>
      </c>
      <c r="Q167" s="353" t="str">
        <f>IFERROR(IF(compras_mes3[[#This Row],[CUIT]]="","-",VLOOKUP(compras_mes3[[#This Row],[CUIT]],Lista_CUIT[#All],3,0)),"CUIT NO CARGADO")</f>
        <v>Gastos Varios</v>
      </c>
      <c r="R167" s="353" t="str">
        <f>IFERROR(IF(compras_mes3[[#This Row],[CUIT]]="","-",VLOOKUP(compras_mes3[[#This Row],[CUIT]],Lista_CUIT[#All],4,0)),"CUIT NO CARGADO")</f>
        <v>CABA</v>
      </c>
    </row>
    <row r="168" spans="2:18" s="56" customFormat="1" ht="18.600000000000001" customHeight="1" x14ac:dyDescent="0.3">
      <c r="B168" s="345">
        <v>45015</v>
      </c>
      <c r="C168" s="41">
        <v>1</v>
      </c>
      <c r="D168" s="346">
        <v>5</v>
      </c>
      <c r="E168" s="347">
        <v>1339</v>
      </c>
      <c r="F168" s="348">
        <v>30711651779</v>
      </c>
      <c r="G168" s="349" t="str">
        <f>IFERROR(IF(compras_mes3[[#This Row],[CUIT]]="","-",VLOOKUP(compras_mes3[[#This Row],[CUIT]],Lista_CUIT[#All],2,0)),"CUIT NO CARGADO")</f>
        <v>INFOSOL BUENOS AIRES S.R.L.</v>
      </c>
      <c r="H168" s="350">
        <v>4710.74</v>
      </c>
      <c r="I168" s="351">
        <f>IF(compras_mes3[[#This Row],[NETO GRAVADO]]="","",compras_mes3[[#This Row],[NETO GRAVADO]]*0.21)</f>
        <v>989.2553999999999</v>
      </c>
      <c r="J168" s="351"/>
      <c r="K168" s="351"/>
      <c r="L168" s="351"/>
      <c r="M168" s="351"/>
      <c r="N168" s="351"/>
      <c r="O168" s="351"/>
      <c r="P168" s="352">
        <f>SUM(compras_mes3[[#This Row],[NETO GRAVADO]:[Otros / No Grav.]])</f>
        <v>5699.9953999999998</v>
      </c>
      <c r="Q168" s="353">
        <f>IFERROR(IF(compras_mes3[[#This Row],[CUIT]]="","-",VLOOKUP(compras_mes3[[#This Row],[CUIT]],Lista_CUIT[#All],3,0)),"CUIT NO CARGADO")</f>
        <v>0</v>
      </c>
      <c r="R168" s="353">
        <f>IFERROR(IF(compras_mes3[[#This Row],[CUIT]]="","-",VLOOKUP(compras_mes3[[#This Row],[CUIT]],Lista_CUIT[#All],4,0)),"CUIT NO CARGADO")</f>
        <v>0</v>
      </c>
    </row>
    <row r="169" spans="2:18" x14ac:dyDescent="0.3">
      <c r="B169" s="345">
        <v>45015</v>
      </c>
      <c r="C169" s="41">
        <v>1</v>
      </c>
      <c r="D169" s="346">
        <v>2</v>
      </c>
      <c r="E169" s="347">
        <v>3300</v>
      </c>
      <c r="F169" s="348">
        <v>30629863571</v>
      </c>
      <c r="G169" s="349" t="str">
        <f>IFERROR(IF(compras_mes3[[#This Row],[CUIT]]="","-",VLOOKUP(compras_mes3[[#This Row],[CUIT]],Lista_CUIT[#All],2,0)),"CUIT NO CARGADO")</f>
        <v>TECNIMAR S R L</v>
      </c>
      <c r="H169" s="350">
        <v>350166.29</v>
      </c>
      <c r="I169" s="351">
        <f>IF(compras_mes3[[#This Row],[NETO GRAVADO]]="","",compras_mes3[[#This Row],[NETO GRAVADO]]*0.21)</f>
        <v>73534.920899999997</v>
      </c>
      <c r="J169" s="351"/>
      <c r="K169" s="351"/>
      <c r="L169" s="351"/>
      <c r="M169" s="351"/>
      <c r="N169" s="351"/>
      <c r="O169" s="351"/>
      <c r="P169" s="352">
        <f>SUM(compras_mes3[[#This Row],[NETO GRAVADO]:[Otros / No Grav.]])</f>
        <v>423701.21089999995</v>
      </c>
      <c r="Q169" s="353" t="str">
        <f>IFERROR(IF(compras_mes3[[#This Row],[CUIT]]="","-",VLOOKUP(compras_mes3[[#This Row],[CUIT]],Lista_CUIT[#All],3,0)),"CUIT NO CARGADO")</f>
        <v>LABORATORIO</v>
      </c>
      <c r="R169" s="353">
        <f>IFERROR(IF(compras_mes3[[#This Row],[CUIT]]="","-",VLOOKUP(compras_mes3[[#This Row],[CUIT]],Lista_CUIT[#All],4,0)),"CUIT NO CARGADO")</f>
        <v>0</v>
      </c>
    </row>
    <row r="170" spans="2:18" x14ac:dyDescent="0.3">
      <c r="B170" s="40">
        <v>45015</v>
      </c>
      <c r="C170" s="41">
        <v>1</v>
      </c>
      <c r="D170" s="42">
        <v>20</v>
      </c>
      <c r="E170" s="43">
        <v>8067</v>
      </c>
      <c r="F170" s="44">
        <v>30515800219</v>
      </c>
      <c r="G170" s="45" t="str">
        <f>IFERROR(IF(compras_mes3[[#This Row],[CUIT]]="","-",VLOOKUP(compras_mes3[[#This Row],[CUIT]],Lista_CUIT[#All],2,0)),"CUIT NO CARGADO")</f>
        <v>INCAT SRL</v>
      </c>
      <c r="H170" s="46">
        <v>895.98</v>
      </c>
      <c r="I170" s="85">
        <f>IF(compras_mes3[[#This Row],[NETO GRAVADO]]="","",compras_mes3[[#This Row],[NETO GRAVADO]]*0.21)</f>
        <v>188.1558</v>
      </c>
      <c r="J170" s="85"/>
      <c r="K170" s="85"/>
      <c r="L170" s="85"/>
      <c r="M170" s="85"/>
      <c r="N170" s="85"/>
      <c r="O170" s="85">
        <v>15.87</v>
      </c>
      <c r="P170" s="48">
        <f>SUM(compras_mes3[[#This Row],[NETO GRAVADO]:[Otros / No Grav.]])</f>
        <v>1100.0057999999999</v>
      </c>
      <c r="Q170" s="49" t="str">
        <f>IFERROR(IF(compras_mes3[[#This Row],[CUIT]]="","-",VLOOKUP(compras_mes3[[#This Row],[CUIT]],Lista_CUIT[#All],3,0)),"CUIT NO CARGADO")</f>
        <v>Combustibe</v>
      </c>
      <c r="R170" s="49" t="str">
        <f>IFERROR(IF(compras_mes3[[#This Row],[CUIT]]="","-",VLOOKUP(compras_mes3[[#This Row],[CUIT]],Lista_CUIT[#All],4,0)),"CUIT NO CARGADO")</f>
        <v>CABA</v>
      </c>
    </row>
    <row r="171" spans="2:18" x14ac:dyDescent="0.3">
      <c r="B171" s="40">
        <v>45015</v>
      </c>
      <c r="C171" s="41">
        <v>1</v>
      </c>
      <c r="D171" s="42">
        <v>19</v>
      </c>
      <c r="E171" s="43">
        <v>9978</v>
      </c>
      <c r="F171" s="44">
        <v>30515800219</v>
      </c>
      <c r="G171" s="45" t="str">
        <f>IFERROR(IF(compras_mes3[[#This Row],[CUIT]]="","-",VLOOKUP(compras_mes3[[#This Row],[CUIT]],Lista_CUIT[#All],2,0)),"CUIT NO CARGADO")</f>
        <v>INCAT SRL</v>
      </c>
      <c r="H171" s="46">
        <v>1111.81</v>
      </c>
      <c r="I171" s="85">
        <f>IF(compras_mes3[[#This Row],[NETO GRAVADO]]="","",compras_mes3[[#This Row],[NETO GRAVADO]]*0.21)</f>
        <v>233.48009999999999</v>
      </c>
      <c r="J171" s="85"/>
      <c r="K171" s="85"/>
      <c r="L171" s="85"/>
      <c r="M171" s="85"/>
      <c r="N171" s="85"/>
      <c r="O171" s="85">
        <v>254.91</v>
      </c>
      <c r="P171" s="48">
        <f>SUM(compras_mes3[[#This Row],[NETO GRAVADO]:[Otros / No Grav.]])</f>
        <v>1600.2001</v>
      </c>
      <c r="Q171" s="49" t="str">
        <f>IFERROR(IF(compras_mes3[[#This Row],[CUIT]]="","-",VLOOKUP(compras_mes3[[#This Row],[CUIT]],Lista_CUIT[#All],3,0)),"CUIT NO CARGADO")</f>
        <v>Combustibe</v>
      </c>
      <c r="R171" s="49" t="str">
        <f>IFERROR(IF(compras_mes3[[#This Row],[CUIT]]="","-",VLOOKUP(compras_mes3[[#This Row],[CUIT]],Lista_CUIT[#All],4,0)),"CUIT NO CARGADO")</f>
        <v>CABA</v>
      </c>
    </row>
    <row r="172" spans="2:18" ht="14.4" customHeight="1" x14ac:dyDescent="0.3">
      <c r="B172" s="345">
        <v>45015</v>
      </c>
      <c r="C172" s="41">
        <v>1</v>
      </c>
      <c r="D172" s="346">
        <v>1677</v>
      </c>
      <c r="E172" s="347">
        <v>14410</v>
      </c>
      <c r="F172" s="348">
        <v>30589621499</v>
      </c>
      <c r="G172" s="349" t="str">
        <f>IFERROR(IF(compras_mes3[[#This Row],[CUIT]]="","-",VLOOKUP(compras_mes3[[#This Row],[CUIT]],Lista_CUIT[#All],2,0)),"CUIT NO CARGADO")</f>
        <v>MAKRO SA</v>
      </c>
      <c r="H172" s="350">
        <v>17444.939999999999</v>
      </c>
      <c r="I172" s="351">
        <v>3439.67</v>
      </c>
      <c r="J172" s="351"/>
      <c r="K172" s="351">
        <v>111.88</v>
      </c>
      <c r="L172" s="351">
        <v>507.36</v>
      </c>
      <c r="M172" s="351"/>
      <c r="N172" s="351">
        <v>1046.7</v>
      </c>
      <c r="O172" s="351">
        <v>112.39</v>
      </c>
      <c r="P172" s="352">
        <f>SUM(compras_mes3[[#This Row],[NETO GRAVADO]:[Otros / No Grav.]])</f>
        <v>22662.940000000002</v>
      </c>
      <c r="Q172" s="353">
        <f>IFERROR(IF(compras_mes3[[#This Row],[CUIT]]="","-",VLOOKUP(compras_mes3[[#This Row],[CUIT]],Lista_CUIT[#All],3,0)),"CUIT NO CARGADO")</f>
        <v>0</v>
      </c>
      <c r="R172" s="353">
        <f>IFERROR(IF(compras_mes3[[#This Row],[CUIT]]="","-",VLOOKUP(compras_mes3[[#This Row],[CUIT]],Lista_CUIT[#All],4,0)),"CUIT NO CARGADO")</f>
        <v>0</v>
      </c>
    </row>
    <row r="173" spans="2:18" x14ac:dyDescent="0.3">
      <c r="B173" s="345">
        <v>45015</v>
      </c>
      <c r="C173" s="41">
        <v>1</v>
      </c>
      <c r="D173" s="346">
        <v>6852</v>
      </c>
      <c r="E173" s="347">
        <v>16281</v>
      </c>
      <c r="F173" s="348">
        <v>30678774495</v>
      </c>
      <c r="G173" s="349" t="str">
        <f>IFERROR(IF(compras_mes3[[#This Row],[CUIT]]="","-",VLOOKUP(compras_mes3[[#This Row],[CUIT]],Lista_CUIT[#All],2,0)),"CUIT NO CARGADO")</f>
        <v>OPER. DE EST. DE SERV. SA</v>
      </c>
      <c r="H173" s="350">
        <v>8153.34</v>
      </c>
      <c r="I173" s="351">
        <f>IF(compras_mes3[[#This Row],[NETO GRAVADO]]="","",compras_mes3[[#This Row],[NETO GRAVADO]]*0.21)</f>
        <v>1712.2013999999999</v>
      </c>
      <c r="J173" s="351"/>
      <c r="K173" s="351"/>
      <c r="L173" s="351"/>
      <c r="M173" s="351"/>
      <c r="N173" s="351"/>
      <c r="O173" s="351">
        <v>1699.16</v>
      </c>
      <c r="P173" s="352">
        <f>SUM(compras_mes3[[#This Row],[NETO GRAVADO]:[Otros / No Grav.]])</f>
        <v>11564.7014</v>
      </c>
      <c r="Q173" s="353" t="str">
        <f>IFERROR(IF(compras_mes3[[#This Row],[CUIT]]="","-",VLOOKUP(compras_mes3[[#This Row],[CUIT]],Lista_CUIT[#All],3,0)),"CUIT NO CARGADO")</f>
        <v>Combustibe</v>
      </c>
      <c r="R173" s="353">
        <f>IFERROR(IF(compras_mes3[[#This Row],[CUIT]]="","-",VLOOKUP(compras_mes3[[#This Row],[CUIT]],Lista_CUIT[#All],4,0)),"CUIT NO CARGADO")</f>
        <v>0</v>
      </c>
    </row>
    <row r="174" spans="2:18" x14ac:dyDescent="0.3">
      <c r="B174" s="89">
        <v>45015</v>
      </c>
      <c r="C174" s="41">
        <v>1</v>
      </c>
      <c r="D174" s="91">
        <v>18</v>
      </c>
      <c r="E174" s="92">
        <v>17223</v>
      </c>
      <c r="F174" s="93">
        <v>30515800219</v>
      </c>
      <c r="G174" s="94" t="str">
        <f>IFERROR(IF(compras_mes3[[#This Row],[CUIT]]="","-",VLOOKUP(compras_mes3[[#This Row],[CUIT]],Lista_CUIT[#All],2,0)),"CUIT NO CARGADO")</f>
        <v>INCAT SRL</v>
      </c>
      <c r="H174" s="95">
        <v>5072.7299999999996</v>
      </c>
      <c r="I174" s="86">
        <f>IF(compras_mes3[[#This Row],[NETO GRAVADO]]="","",compras_mes3[[#This Row],[NETO GRAVADO]]*0.21)</f>
        <v>1065.2732999999998</v>
      </c>
      <c r="J174" s="86"/>
      <c r="K174" s="86"/>
      <c r="L174" s="86"/>
      <c r="M174" s="86"/>
      <c r="N174" s="86"/>
      <c r="O174" s="86">
        <v>1163.06</v>
      </c>
      <c r="P174" s="87">
        <f>SUM(compras_mes3[[#This Row],[NETO GRAVADO]:[Otros / No Grav.]])</f>
        <v>7301.0632999999998</v>
      </c>
      <c r="Q174" s="88" t="str">
        <f>IFERROR(IF(compras_mes3[[#This Row],[CUIT]]="","-",VLOOKUP(compras_mes3[[#This Row],[CUIT]],Lista_CUIT[#All],3,0)),"CUIT NO CARGADO")</f>
        <v>Combustibe</v>
      </c>
      <c r="R174" s="88" t="str">
        <f>IFERROR(IF(compras_mes3[[#This Row],[CUIT]]="","-",VLOOKUP(compras_mes3[[#This Row],[CUIT]],Lista_CUIT[#All],4,0)),"CUIT NO CARGADO")</f>
        <v>CABA</v>
      </c>
    </row>
    <row r="175" spans="2:18" ht="14.4" customHeight="1" x14ac:dyDescent="0.3">
      <c r="B175" s="345">
        <v>45016</v>
      </c>
      <c r="C175" s="41">
        <v>1</v>
      </c>
      <c r="D175" s="346">
        <v>10</v>
      </c>
      <c r="E175" s="347">
        <v>297</v>
      </c>
      <c r="F175" s="348">
        <v>27316594676</v>
      </c>
      <c r="G175" s="349" t="str">
        <f>IFERROR(IF(compras_mes3[[#This Row],[CUIT]]="","-",VLOOKUP(compras_mes3[[#This Row],[CUIT]],Lista_CUIT[#All],2,0)),"CUIT NO CARGADO")</f>
        <v>GOLDIN DAIANA</v>
      </c>
      <c r="H175" s="350">
        <v>143400</v>
      </c>
      <c r="I175" s="351">
        <f>IF(compras_mes3[[#This Row],[NETO GRAVADO]]="","",compras_mes3[[#This Row],[NETO GRAVADO]]*0.21)</f>
        <v>30114</v>
      </c>
      <c r="J175" s="351"/>
      <c r="K175" s="351"/>
      <c r="L175" s="351"/>
      <c r="M175" s="351"/>
      <c r="N175" s="351"/>
      <c r="O175" s="351"/>
      <c r="P175" s="352">
        <f>SUM(compras_mes3[[#This Row],[NETO GRAVADO]:[Otros / No Grav.]])</f>
        <v>173514</v>
      </c>
      <c r="Q175" s="353">
        <f>IFERROR(IF(compras_mes3[[#This Row],[CUIT]]="","-",VLOOKUP(compras_mes3[[#This Row],[CUIT]],Lista_CUIT[#All],3,0)),"CUIT NO CARGADO")</f>
        <v>0</v>
      </c>
      <c r="R175" s="353">
        <f>IFERROR(IF(compras_mes3[[#This Row],[CUIT]]="","-",VLOOKUP(compras_mes3[[#This Row],[CUIT]],Lista_CUIT[#All],4,0)),"CUIT NO CARGADO")</f>
        <v>0</v>
      </c>
    </row>
    <row r="176" spans="2:18" ht="15" customHeight="1" x14ac:dyDescent="0.3">
      <c r="B176" s="345">
        <v>45016</v>
      </c>
      <c r="C176" s="41">
        <v>1</v>
      </c>
      <c r="D176" s="346">
        <v>5</v>
      </c>
      <c r="E176" s="347">
        <v>364</v>
      </c>
      <c r="F176" s="348">
        <v>30716654105</v>
      </c>
      <c r="G176" s="349" t="str">
        <f>IFERROR(IF(compras_mes3[[#This Row],[CUIT]]="","-",VLOOKUP(compras_mes3[[#This Row],[CUIT]],Lista_CUIT[#All],2,0)),"CUIT NO CARGADO")</f>
        <v>CARNICA DEL NORTE S.R.L.</v>
      </c>
      <c r="H176" s="350">
        <v>4108.4799999999996</v>
      </c>
      <c r="I176" s="351"/>
      <c r="J176" s="351"/>
      <c r="K176" s="351">
        <v>431.39</v>
      </c>
      <c r="L176" s="351"/>
      <c r="M176" s="351"/>
      <c r="N176" s="351"/>
      <c r="O176" s="351"/>
      <c r="P176" s="352">
        <f>SUM(compras_mes3[[#This Row],[NETO GRAVADO]:[Otros / No Grav.]])</f>
        <v>4539.87</v>
      </c>
      <c r="Q176" s="353">
        <f>IFERROR(IF(compras_mes3[[#This Row],[CUIT]]="","-",VLOOKUP(compras_mes3[[#This Row],[CUIT]],Lista_CUIT[#All],3,0)),"CUIT NO CARGADO")</f>
        <v>0</v>
      </c>
      <c r="R176" s="353">
        <f>IFERROR(IF(compras_mes3[[#This Row],[CUIT]]="","-",VLOOKUP(compras_mes3[[#This Row],[CUIT]],Lista_CUIT[#All],4,0)),"CUIT NO CARGADO")</f>
        <v>0</v>
      </c>
    </row>
    <row r="177" spans="2:18" ht="15" customHeight="1" x14ac:dyDescent="0.3">
      <c r="B177" s="345">
        <v>45016</v>
      </c>
      <c r="C177" s="41">
        <v>1</v>
      </c>
      <c r="D177" s="346">
        <v>1</v>
      </c>
      <c r="E177" s="347">
        <v>581</v>
      </c>
      <c r="F177" s="348">
        <v>30715048066</v>
      </c>
      <c r="G177" s="349" t="str">
        <f>IFERROR(IF(compras_mes3[[#This Row],[CUIT]]="","-",VLOOKUP(compras_mes3[[#This Row],[CUIT]],Lista_CUIT[#All],2,0)),"CUIT NO CARGADO")</f>
        <v>ROLLS Y EMPANADAS SA</v>
      </c>
      <c r="H177" s="350">
        <v>258880</v>
      </c>
      <c r="I177" s="351">
        <f>IF(compras_mes3[[#This Row],[NETO GRAVADO]]="","",compras_mes3[[#This Row],[NETO GRAVADO]]*0.21)</f>
        <v>54364.799999999996</v>
      </c>
      <c r="J177" s="351"/>
      <c r="K177" s="351"/>
      <c r="L177" s="351"/>
      <c r="M177" s="351"/>
      <c r="N177" s="351"/>
      <c r="O177" s="351"/>
      <c r="P177" s="352">
        <f>SUM(compras_mes3[[#This Row],[NETO GRAVADO]:[Otros / No Grav.]])</f>
        <v>313244.79999999999</v>
      </c>
      <c r="Q177" s="353" t="str">
        <f>IFERROR(IF(compras_mes3[[#This Row],[CUIT]]="","-",VLOOKUP(compras_mes3[[#This Row],[CUIT]],Lista_CUIT[#All],3,0)),"CUIT NO CARGADO")</f>
        <v>CATERING</v>
      </c>
      <c r="R177" s="353">
        <f>IFERROR(IF(compras_mes3[[#This Row],[CUIT]]="","-",VLOOKUP(compras_mes3[[#This Row],[CUIT]],Lista_CUIT[#All],4,0)),"CUIT NO CARGADO")</f>
        <v>0</v>
      </c>
    </row>
    <row r="178" spans="2:18" ht="15" customHeight="1" x14ac:dyDescent="0.3">
      <c r="B178" s="345">
        <v>45016</v>
      </c>
      <c r="C178" s="41">
        <v>1</v>
      </c>
      <c r="D178" s="346">
        <v>1</v>
      </c>
      <c r="E178" s="347">
        <v>582</v>
      </c>
      <c r="F178" s="348">
        <v>30715048066</v>
      </c>
      <c r="G178" s="349" t="str">
        <f>IFERROR(IF(compras_mes3[[#This Row],[CUIT]]="","-",VLOOKUP(compras_mes3[[#This Row],[CUIT]],Lista_CUIT[#All],2,0)),"CUIT NO CARGADO")</f>
        <v>ROLLS Y EMPANADAS SA</v>
      </c>
      <c r="H178" s="350">
        <v>258210</v>
      </c>
      <c r="I178" s="351">
        <f>IF(compras_mes3[[#This Row],[NETO GRAVADO]]="","",compras_mes3[[#This Row],[NETO GRAVADO]]*0.21)</f>
        <v>54224.1</v>
      </c>
      <c r="J178" s="351"/>
      <c r="K178" s="351"/>
      <c r="L178" s="351"/>
      <c r="M178" s="351"/>
      <c r="N178" s="351"/>
      <c r="O178" s="351"/>
      <c r="P178" s="352">
        <f>SUM(compras_mes3[[#This Row],[NETO GRAVADO]:[Otros / No Grav.]])</f>
        <v>312434.09999999998</v>
      </c>
      <c r="Q178" s="353" t="str">
        <f>IFERROR(IF(compras_mes3[[#This Row],[CUIT]]="","-",VLOOKUP(compras_mes3[[#This Row],[CUIT]],Lista_CUIT[#All],3,0)),"CUIT NO CARGADO")</f>
        <v>CATERING</v>
      </c>
      <c r="R178" s="353">
        <f>IFERROR(IF(compras_mes3[[#This Row],[CUIT]]="","-",VLOOKUP(compras_mes3[[#This Row],[CUIT]],Lista_CUIT[#All],4,0)),"CUIT NO CARGADO")</f>
        <v>0</v>
      </c>
    </row>
    <row r="179" spans="2:18" ht="15" customHeight="1" x14ac:dyDescent="0.3">
      <c r="B179" s="345">
        <v>45016</v>
      </c>
      <c r="C179" s="41">
        <v>1</v>
      </c>
      <c r="D179" s="346">
        <v>5</v>
      </c>
      <c r="E179" s="347">
        <v>3297</v>
      </c>
      <c r="F179" s="348">
        <v>20367393042</v>
      </c>
      <c r="G179" s="349" t="str">
        <f>IFERROR(IF(compras_mes3[[#This Row],[CUIT]]="","-",VLOOKUP(compras_mes3[[#This Row],[CUIT]],Lista_CUIT[#All],2,0)),"CUIT NO CARGADO")</f>
        <v>RITACCO RODRIGO</v>
      </c>
      <c r="H179" s="350">
        <v>75537.19</v>
      </c>
      <c r="I179" s="351">
        <f>IF(compras_mes3[[#This Row],[NETO GRAVADO]]="","",compras_mes3[[#This Row],[NETO GRAVADO]]*0.21)</f>
        <v>15862.8099</v>
      </c>
      <c r="J179" s="351"/>
      <c r="K179" s="351"/>
      <c r="L179" s="351"/>
      <c r="M179" s="351"/>
      <c r="N179" s="351"/>
      <c r="O179" s="351"/>
      <c r="P179" s="352">
        <f>SUM(compras_mes3[[#This Row],[NETO GRAVADO]:[Otros / No Grav.]])</f>
        <v>91399.999899999995</v>
      </c>
      <c r="Q179" s="353">
        <f>IFERROR(IF(compras_mes3[[#This Row],[CUIT]]="","-",VLOOKUP(compras_mes3[[#This Row],[CUIT]],Lista_CUIT[#All],3,0)),"CUIT NO CARGADO")</f>
        <v>0</v>
      </c>
      <c r="R179" s="353">
        <f>IFERROR(IF(compras_mes3[[#This Row],[CUIT]]="","-",VLOOKUP(compras_mes3[[#This Row],[CUIT]],Lista_CUIT[#All],4,0)),"CUIT NO CARGADO")</f>
        <v>0</v>
      </c>
    </row>
    <row r="180" spans="2:18" ht="15" customHeight="1" x14ac:dyDescent="0.3">
      <c r="B180" s="345">
        <v>45016</v>
      </c>
      <c r="C180" s="41">
        <v>1</v>
      </c>
      <c r="D180" s="346">
        <v>5</v>
      </c>
      <c r="E180" s="347">
        <v>21366</v>
      </c>
      <c r="F180" s="348">
        <v>30709040460</v>
      </c>
      <c r="G180" s="349" t="str">
        <f>IFERROR(IF(compras_mes3[[#This Row],[CUIT]]="","-",VLOOKUP(compras_mes3[[#This Row],[CUIT]],Lista_CUIT[#All],2,0)),"CUIT NO CARGADO")</f>
        <v>ELECTRICIDAD CABRERA SRL</v>
      </c>
      <c r="H180" s="350">
        <v>23586.54</v>
      </c>
      <c r="I180" s="351">
        <f>IF(compras_mes3[[#This Row],[NETO GRAVADO]]="","",compras_mes3[[#This Row],[NETO GRAVADO]]*0.21)</f>
        <v>4953.1733999999997</v>
      </c>
      <c r="J180" s="351"/>
      <c r="K180" s="351"/>
      <c r="L180" s="351"/>
      <c r="M180" s="351"/>
      <c r="N180" s="351"/>
      <c r="O180" s="351"/>
      <c r="P180" s="352">
        <f>SUM(compras_mes3[[#This Row],[NETO GRAVADO]:[Otros / No Grav.]])</f>
        <v>28539.713400000001</v>
      </c>
      <c r="Q180" s="353">
        <f>IFERROR(IF(compras_mes3[[#This Row],[CUIT]]="","-",VLOOKUP(compras_mes3[[#This Row],[CUIT]],Lista_CUIT[#All],3,0)),"CUIT NO CARGADO")</f>
        <v>0</v>
      </c>
      <c r="R180" s="353">
        <f>IFERROR(IF(compras_mes3[[#This Row],[CUIT]]="","-",VLOOKUP(compras_mes3[[#This Row],[CUIT]],Lista_CUIT[#All],4,0)),"CUIT NO CARGADO")</f>
        <v>0</v>
      </c>
    </row>
    <row r="181" spans="2:18" x14ac:dyDescent="0.3">
      <c r="B181" s="311" t="s">
        <v>103</v>
      </c>
      <c r="C181" s="311"/>
      <c r="D181" s="311"/>
      <c r="E181" s="311"/>
      <c r="F181" s="311"/>
      <c r="G181" s="312"/>
      <c r="H181" s="313">
        <f>SUBTOTAL(109,compras_mes3[NETO GRAVADO])</f>
        <v>14754985.810000001</v>
      </c>
      <c r="I181" s="313">
        <f>SUBTOTAL(109,compras_mes3[IVA 21 %])</f>
        <v>2855478.050400001</v>
      </c>
      <c r="J181" s="313">
        <f>SUBTOTAL(109,compras_mes3[IVA 27%])</f>
        <v>7391.82</v>
      </c>
      <c r="K181" s="313">
        <f>SUBTOTAL(109,compras_mes3[IVA 10,5%])</f>
        <v>118386.19999999998</v>
      </c>
      <c r="L181" s="313">
        <f>SUBTOTAL(109,compras_mes3[PERC. IVA])</f>
        <v>11678.99</v>
      </c>
      <c r="M181" s="313">
        <f>SUBTOTAL(109,compras_mes3[PERC IIBB 
BS AS])</f>
        <v>103.91</v>
      </c>
      <c r="N181" s="313">
        <f>SUBTOTAL(109,compras_mes3[PERC. IIBB CABA])</f>
        <v>46058.869999999995</v>
      </c>
      <c r="O181" s="313">
        <f>SUBTOTAL(109,compras_mes3[Otros / No Grav.])</f>
        <v>112143.82000000005</v>
      </c>
      <c r="P181" s="313">
        <f>SUBTOTAL(109,compras_mes3[TOTAL])</f>
        <v>17906227.470400002</v>
      </c>
      <c r="Q181" s="311"/>
      <c r="R181" s="311"/>
    </row>
    <row r="182" spans="2:18" s="56" customFormat="1" ht="18.600000000000001" customHeight="1" x14ac:dyDescent="0.3">
      <c r="B182" s="40"/>
      <c r="C182" s="41"/>
      <c r="D182" s="42"/>
      <c r="E182" s="43"/>
      <c r="F182" s="44"/>
      <c r="G182" s="45"/>
      <c r="H182" s="46"/>
      <c r="I182" s="47"/>
      <c r="J182" s="47"/>
      <c r="K182" s="47"/>
      <c r="L182" s="47"/>
      <c r="M182" s="47"/>
      <c r="N182" s="47"/>
      <c r="O182" s="47"/>
      <c r="P182" s="48"/>
      <c r="Q182" s="49"/>
      <c r="R182" s="49"/>
    </row>
    <row r="183" spans="2:18" ht="21" x14ac:dyDescent="0.3">
      <c r="D183" s="653" t="s">
        <v>15</v>
      </c>
      <c r="E183" s="653"/>
      <c r="F183" s="653"/>
      <c r="G183" s="653"/>
      <c r="H183" s="653"/>
      <c r="I183" s="653"/>
      <c r="J183" s="653"/>
      <c r="K183" s="653"/>
      <c r="L183" s="653"/>
    </row>
    <row r="184" spans="2:18" ht="15.6" x14ac:dyDescent="0.3">
      <c r="D184" s="73" t="s">
        <v>0</v>
      </c>
      <c r="E184" s="74" t="s">
        <v>26</v>
      </c>
      <c r="F184" s="74" t="s">
        <v>16</v>
      </c>
      <c r="G184" s="74" t="s">
        <v>5</v>
      </c>
      <c r="H184" s="74" t="s">
        <v>17</v>
      </c>
      <c r="I184" s="74" t="s">
        <v>7</v>
      </c>
      <c r="J184" s="75" t="s">
        <v>18</v>
      </c>
      <c r="K184" s="75" t="s">
        <v>19</v>
      </c>
      <c r="L184" s="76" t="s">
        <v>20</v>
      </c>
    </row>
    <row r="185" spans="2:18" x14ac:dyDescent="0.3">
      <c r="D185" s="341">
        <v>45016</v>
      </c>
      <c r="E185" s="342">
        <v>230328</v>
      </c>
      <c r="F185" s="356" t="s">
        <v>115</v>
      </c>
      <c r="G185" s="343">
        <v>19028.11</v>
      </c>
      <c r="H185" s="343">
        <v>3995.9031</v>
      </c>
      <c r="I185" s="343"/>
      <c r="J185" s="343">
        <v>679.8</v>
      </c>
      <c r="K185" s="343">
        <v>339.9</v>
      </c>
      <c r="L185" s="343"/>
    </row>
    <row r="186" spans="2:18" x14ac:dyDescent="0.3">
      <c r="D186" s="341">
        <v>45016</v>
      </c>
      <c r="E186" s="342">
        <v>302832</v>
      </c>
      <c r="F186" s="356" t="s">
        <v>1598</v>
      </c>
      <c r="G186" s="343">
        <v>20995</v>
      </c>
      <c r="H186" s="343">
        <v>4408.95</v>
      </c>
      <c r="I186" s="343"/>
      <c r="J186" s="343"/>
      <c r="K186" s="343">
        <v>629.85</v>
      </c>
      <c r="L186" s="343"/>
    </row>
    <row r="187" spans="2:18" ht="15" customHeight="1" x14ac:dyDescent="0.3">
      <c r="D187" s="168">
        <v>45016</v>
      </c>
      <c r="E187" s="342">
        <v>323023</v>
      </c>
      <c r="F187" s="357" t="s">
        <v>116</v>
      </c>
      <c r="G187" s="344">
        <v>979.78</v>
      </c>
      <c r="H187" s="344">
        <v>205.75379999999998</v>
      </c>
      <c r="I187" s="344"/>
      <c r="J187" s="344">
        <v>5467.1699999999992</v>
      </c>
      <c r="K187" s="344"/>
      <c r="L187" s="344"/>
    </row>
    <row r="188" spans="2:18" x14ac:dyDescent="0.3">
      <c r="D188" s="168">
        <v>45016</v>
      </c>
      <c r="E188" s="342">
        <v>230331</v>
      </c>
      <c r="F188" s="357" t="s">
        <v>1599</v>
      </c>
      <c r="G188" s="344">
        <v>500</v>
      </c>
      <c r="H188" s="344">
        <v>105</v>
      </c>
      <c r="I188" s="344"/>
      <c r="J188" s="344">
        <v>3006.23</v>
      </c>
      <c r="K188" s="344"/>
      <c r="L188" s="344"/>
    </row>
    <row r="189" spans="2:18" x14ac:dyDescent="0.3">
      <c r="D189" s="168">
        <v>45016</v>
      </c>
      <c r="E189" s="342">
        <v>310323</v>
      </c>
      <c r="F189" s="357" t="s">
        <v>1600</v>
      </c>
      <c r="G189" s="344">
        <v>496</v>
      </c>
      <c r="H189" s="344">
        <v>104.16</v>
      </c>
      <c r="I189" s="344"/>
      <c r="J189" s="344">
        <v>4.12</v>
      </c>
      <c r="K189" s="344"/>
      <c r="L189" s="344"/>
    </row>
    <row r="190" spans="2:18" x14ac:dyDescent="0.3">
      <c r="D190" s="341">
        <v>45016</v>
      </c>
      <c r="E190" s="342">
        <v>321013</v>
      </c>
      <c r="F190" s="358" t="s">
        <v>118</v>
      </c>
      <c r="G190" s="343">
        <v>5625</v>
      </c>
      <c r="H190" s="343">
        <v>1181.25</v>
      </c>
      <c r="I190" s="343"/>
      <c r="J190" s="343">
        <v>337.5</v>
      </c>
      <c r="K190" s="343">
        <v>168.75</v>
      </c>
      <c r="L190" s="343"/>
    </row>
    <row r="191" spans="2:18" x14ac:dyDescent="0.3">
      <c r="D191" s="341">
        <v>45016</v>
      </c>
      <c r="E191" s="342">
        <v>330231</v>
      </c>
      <c r="F191" s="358" t="s">
        <v>1742</v>
      </c>
      <c r="G191" s="343">
        <v>152547.07999999999</v>
      </c>
      <c r="H191" s="343">
        <v>12902.290799999997</v>
      </c>
      <c r="I191" s="343">
        <v>9566.2979999999989</v>
      </c>
      <c r="J191" s="343">
        <v>195142.50999999998</v>
      </c>
      <c r="K191" s="343">
        <v>896.21</v>
      </c>
      <c r="L191" s="343">
        <v>1670.1799999999998</v>
      </c>
    </row>
    <row r="192" spans="2:18" x14ac:dyDescent="0.3">
      <c r="D192" s="308" t="s">
        <v>103</v>
      </c>
      <c r="E192" s="309"/>
      <c r="F192" s="309"/>
      <c r="G192" s="310">
        <f>SUBTOTAL(109,extracto_banco_mes3[NETO])</f>
        <v>200170.96999999997</v>
      </c>
      <c r="H192" s="310">
        <f>SUBTOTAL(109,extracto_banco_mes3[IVA 21%])</f>
        <v>22903.307699999998</v>
      </c>
      <c r="I192" s="310">
        <f>SUBTOTAL(109,extracto_banco_mes3[IVA 10,5%])</f>
        <v>9566.2979999999989</v>
      </c>
      <c r="J192" s="310">
        <f>SUBTOTAL(109,extracto_banco_mes3[RET IIBB CABA])</f>
        <v>204637.33</v>
      </c>
      <c r="K192" s="310">
        <f>SUBTOTAL(109,extracto_banco_mes3[PERC IVA])</f>
        <v>2034.71</v>
      </c>
      <c r="L192" s="310">
        <f>SUBTOTAL(109,extracto_banco_mes3[PERC IIBB])</f>
        <v>1670.1799999999998</v>
      </c>
    </row>
    <row r="193" spans="4:12" x14ac:dyDescent="0.3">
      <c r="D193" s="308"/>
      <c r="E193" s="309"/>
      <c r="F193" s="309"/>
      <c r="G193" s="310"/>
      <c r="H193" s="310"/>
      <c r="I193" s="310"/>
      <c r="J193" s="310"/>
      <c r="K193" s="310"/>
      <c r="L193" s="310"/>
    </row>
    <row r="194" spans="4:12" ht="21" x14ac:dyDescent="0.3">
      <c r="D194" s="653" t="s">
        <v>25</v>
      </c>
      <c r="E194" s="653"/>
      <c r="F194" s="653"/>
      <c r="G194" s="653"/>
      <c r="H194" s="653"/>
      <c r="I194" s="653"/>
      <c r="J194" s="653"/>
      <c r="K194" s="653"/>
    </row>
    <row r="195" spans="4:12" x14ac:dyDescent="0.3">
      <c r="D195" s="51" t="s">
        <v>0</v>
      </c>
      <c r="E195" s="51" t="s">
        <v>2</v>
      </c>
      <c r="F195" s="51" t="s">
        <v>74</v>
      </c>
      <c r="G195" s="51" t="s">
        <v>3</v>
      </c>
      <c r="H195" s="51" t="s">
        <v>4</v>
      </c>
      <c r="I195" s="52" t="s">
        <v>10</v>
      </c>
      <c r="J195" s="51" t="s">
        <v>13</v>
      </c>
      <c r="K195" s="51" t="s">
        <v>38</v>
      </c>
    </row>
    <row r="196" spans="4:12" x14ac:dyDescent="0.3">
      <c r="D196" s="340">
        <v>45015</v>
      </c>
      <c r="E196" s="314">
        <v>20</v>
      </c>
      <c r="F196" s="314">
        <v>74429</v>
      </c>
      <c r="G196" s="315">
        <v>30515800219</v>
      </c>
      <c r="H196" s="316" t="str">
        <f>IFERROR(IF(factura_c_mes3[[#This Row],[CUIT]]="","-",VLOOKUP(factura_c_mes3[[#This Row],[CUIT]],Lista_CUIT[#All],2,0)),"CUIT NO CARGADO")</f>
        <v>INCAT SRL</v>
      </c>
      <c r="I196" s="317">
        <v>340</v>
      </c>
      <c r="J196" s="318" t="str">
        <f>IFERROR(IF(factura_c_mes3[[#This Row],[CUIT]]="","-",VLOOKUP(factura_c_mes3[[#This Row],[CUIT]],Lista_CUIT[#All],3,0)),"CUIT NO CARGADO")</f>
        <v>Combustibe</v>
      </c>
      <c r="K196" s="318" t="str">
        <f>IFERROR(IF(factura_c_mes3[[#This Row],[CUIT]]="","-",VLOOKUP(factura_c_mes3[[#This Row],[CUIT]],Lista_CUIT[#All],4,0)),"CUIT NO CARGADO")</f>
        <v>CABA</v>
      </c>
    </row>
    <row r="197" spans="4:12" x14ac:dyDescent="0.3">
      <c r="D197" s="50">
        <v>45014</v>
      </c>
      <c r="E197" s="314">
        <v>3</v>
      </c>
      <c r="F197" s="314">
        <v>1276</v>
      </c>
      <c r="G197" s="315">
        <v>20183216725</v>
      </c>
      <c r="H197" s="316" t="str">
        <f>IFERROR(IF(factura_c_mes3[[#This Row],[CUIT]]="","-",VLOOKUP(factura_c_mes3[[#This Row],[CUIT]],Lista_CUIT[#All],2,0)),"CUIT NO CARGADO")</f>
        <v>FERRARO RAFAEL AUGUSTO</v>
      </c>
      <c r="I197" s="317">
        <v>1500</v>
      </c>
      <c r="J197" s="318" t="str">
        <f>IFERROR(IF(factura_c_mes3[[#This Row],[CUIT]]="","-",VLOOKUP(factura_c_mes3[[#This Row],[CUIT]],Lista_CUIT[#All],3,0)),"CUIT NO CARGADO")</f>
        <v>MANTENIMIENTO</v>
      </c>
      <c r="K197" s="318" t="str">
        <f>IFERROR(IF(factura_c_mes3[[#This Row],[CUIT]]="","-",VLOOKUP(factura_c_mes3[[#This Row],[CUIT]],Lista_CUIT[#All],4,0)),"CUIT NO CARGADO")</f>
        <v>BUENOS AIRES</v>
      </c>
    </row>
    <row r="198" spans="4:12" x14ac:dyDescent="0.3">
      <c r="D198" s="340">
        <v>45014</v>
      </c>
      <c r="E198" s="314">
        <v>11</v>
      </c>
      <c r="F198" s="314">
        <v>60985</v>
      </c>
      <c r="G198" s="315">
        <v>30708425237</v>
      </c>
      <c r="H198" s="316" t="str">
        <f>IFERROR(IF(factura_c_mes3[[#This Row],[CUIT]]="","-",VLOOKUP(factura_c_mes3[[#This Row],[CUIT]],Lista_CUIT[#All],2,0)),"CUIT NO CARGADO")</f>
        <v>CONSTRUCCIONES JUMALO S A</v>
      </c>
      <c r="I198" s="317">
        <v>400</v>
      </c>
      <c r="J198" s="318" t="str">
        <f>IFERROR(IF(factura_c_mes3[[#This Row],[CUIT]]="","-",VLOOKUP(factura_c_mes3[[#This Row],[CUIT]],Lista_CUIT[#All],3,0)),"CUIT NO CARGADO")</f>
        <v>Otros</v>
      </c>
      <c r="K198" s="318" t="str">
        <f>IFERROR(IF(factura_c_mes3[[#This Row],[CUIT]]="","-",VLOOKUP(factura_c_mes3[[#This Row],[CUIT]],Lista_CUIT[#All],4,0)),"CUIT NO CARGADO")</f>
        <v>CABA</v>
      </c>
    </row>
    <row r="199" spans="4:12" x14ac:dyDescent="0.3">
      <c r="D199" s="340">
        <v>45014</v>
      </c>
      <c r="E199" s="314">
        <v>3</v>
      </c>
      <c r="F199" s="314">
        <v>1276</v>
      </c>
      <c r="G199" s="315">
        <v>20183216725</v>
      </c>
      <c r="H199" s="316" t="str">
        <f>IFERROR(IF(factura_c_mes3[[#This Row],[CUIT]]="","-",VLOOKUP(factura_c_mes3[[#This Row],[CUIT]],Lista_CUIT[#All],2,0)),"CUIT NO CARGADO")</f>
        <v>FERRARO RAFAEL AUGUSTO</v>
      </c>
      <c r="I199" s="317">
        <v>1500</v>
      </c>
      <c r="J199" s="318" t="str">
        <f>IFERROR(IF(factura_c_mes3[[#This Row],[CUIT]]="","-",VLOOKUP(factura_c_mes3[[#This Row],[CUIT]],Lista_CUIT[#All],3,0)),"CUIT NO CARGADO")</f>
        <v>MANTENIMIENTO</v>
      </c>
      <c r="K199" s="318" t="str">
        <f>IFERROR(IF(factura_c_mes3[[#This Row],[CUIT]]="","-",VLOOKUP(factura_c_mes3[[#This Row],[CUIT]],Lista_CUIT[#All],4,0)),"CUIT NO CARGADO")</f>
        <v>BUENOS AIRES</v>
      </c>
    </row>
    <row r="200" spans="4:12" x14ac:dyDescent="0.3">
      <c r="D200" s="50">
        <v>45013</v>
      </c>
      <c r="E200" s="314">
        <v>2</v>
      </c>
      <c r="F200" s="314">
        <v>23</v>
      </c>
      <c r="G200" s="315">
        <v>20231009524</v>
      </c>
      <c r="H200" s="316" t="str">
        <f>IFERROR(IF(factura_c_mes3[[#This Row],[CUIT]]="","-",VLOOKUP(factura_c_mes3[[#This Row],[CUIT]],Lista_CUIT[#All],2,0)),"CUIT NO CARGADO")</f>
        <v>RAMOS PATRICIO SEBASTIAN</v>
      </c>
      <c r="I200" s="317">
        <v>160000</v>
      </c>
      <c r="J200" s="318" t="str">
        <f>IFERROR(IF(factura_c_mes3[[#This Row],[CUIT]]="","-",VLOOKUP(factura_c_mes3[[#This Row],[CUIT]],Lista_CUIT[#All],3,0)),"CUIT NO CARGADO")</f>
        <v>Insumo</v>
      </c>
      <c r="K200" s="318" t="str">
        <f>IFERROR(IF(factura_c_mes3[[#This Row],[CUIT]]="","-",VLOOKUP(factura_c_mes3[[#This Row],[CUIT]],Lista_CUIT[#All],4,0)),"CUIT NO CARGADO")</f>
        <v>BUENOS AIRES</v>
      </c>
    </row>
    <row r="201" spans="4:12" x14ac:dyDescent="0.3">
      <c r="D201" s="340">
        <v>45013</v>
      </c>
      <c r="E201" s="314">
        <v>20</v>
      </c>
      <c r="F201" s="314">
        <v>74143</v>
      </c>
      <c r="G201" s="315">
        <v>30515800219</v>
      </c>
      <c r="H201" s="316" t="str">
        <f>IFERROR(IF(factura_c_mes3[[#This Row],[CUIT]]="","-",VLOOKUP(factura_c_mes3[[#This Row],[CUIT]],Lista_CUIT[#All],2,0)),"CUIT NO CARGADO")</f>
        <v>INCAT SRL</v>
      </c>
      <c r="I201" s="317">
        <v>670</v>
      </c>
      <c r="J201" s="318" t="str">
        <f>IFERROR(IF(factura_c_mes3[[#This Row],[CUIT]]="","-",VLOOKUP(factura_c_mes3[[#This Row],[CUIT]],Lista_CUIT[#All],3,0)),"CUIT NO CARGADO")</f>
        <v>Combustibe</v>
      </c>
      <c r="K201" s="318" t="str">
        <f>IFERROR(IF(factura_c_mes3[[#This Row],[CUIT]]="","-",VLOOKUP(factura_c_mes3[[#This Row],[CUIT]],Lista_CUIT[#All],4,0)),"CUIT NO CARGADO")</f>
        <v>CABA</v>
      </c>
    </row>
    <row r="202" spans="4:12" ht="18" customHeight="1" x14ac:dyDescent="0.3">
      <c r="D202" s="50">
        <v>45012</v>
      </c>
      <c r="E202" s="42">
        <v>2</v>
      </c>
      <c r="F202" s="43">
        <v>3495</v>
      </c>
      <c r="G202" s="44">
        <v>20136536320</v>
      </c>
      <c r="H202" s="53" t="str">
        <f>IFERROR(IF(factura_c_mes3[[#This Row],[CUIT]]="","-",VLOOKUP(factura_c_mes3[[#This Row],[CUIT]],Lista_CUIT[#All],2,0)),"CUIT NO CARGADO")</f>
        <v>FONTENLA ERNESTO MARIO</v>
      </c>
      <c r="I202" s="81">
        <v>1500</v>
      </c>
      <c r="J202" s="54" t="str">
        <f>IFERROR(IF(factura_c_mes3[[#This Row],[CUIT]]="","-",VLOOKUP(factura_c_mes3[[#This Row],[CUIT]],Lista_CUIT[#All],3,0)),"CUIT NO CARGADO")</f>
        <v>INSUMO</v>
      </c>
      <c r="K202" s="54" t="str">
        <f>IFERROR(IF(factura_c_mes3[[#This Row],[CUIT]]="","-",VLOOKUP(factura_c_mes3[[#This Row],[CUIT]],Lista_CUIT[#All],4,0)),"CUIT NO CARGADO")</f>
        <v>CABA</v>
      </c>
    </row>
    <row r="203" spans="4:12" ht="18" customHeight="1" x14ac:dyDescent="0.3">
      <c r="D203" s="340">
        <v>45012</v>
      </c>
      <c r="E203" s="314">
        <v>6996</v>
      </c>
      <c r="F203" s="314">
        <v>203209</v>
      </c>
      <c r="G203" s="315">
        <v>30678774495</v>
      </c>
      <c r="H203" s="316" t="str">
        <f>IFERROR(IF(factura_c_mes3[[#This Row],[CUIT]]="","-",VLOOKUP(factura_c_mes3[[#This Row],[CUIT]],Lista_CUIT[#All],2,0)),"CUIT NO CARGADO")</f>
        <v>OPER. DE EST. DE SERV. SA</v>
      </c>
      <c r="I203" s="317">
        <v>600</v>
      </c>
      <c r="J203" s="318" t="str">
        <f>IFERROR(IF(factura_c_mes3[[#This Row],[CUIT]]="","-",VLOOKUP(factura_c_mes3[[#This Row],[CUIT]],Lista_CUIT[#All],3,0)),"CUIT NO CARGADO")</f>
        <v>Combustibe</v>
      </c>
      <c r="K203" s="318">
        <f>IFERROR(IF(factura_c_mes3[[#This Row],[CUIT]]="","-",VLOOKUP(factura_c_mes3[[#This Row],[CUIT]],Lista_CUIT[#All],4,0)),"CUIT NO CARGADO")</f>
        <v>0</v>
      </c>
    </row>
    <row r="204" spans="4:12" ht="18" customHeight="1" x14ac:dyDescent="0.3">
      <c r="D204" s="50">
        <v>45008</v>
      </c>
      <c r="E204" s="42">
        <v>8</v>
      </c>
      <c r="F204" s="43">
        <v>264</v>
      </c>
      <c r="G204" s="44">
        <v>27409592487</v>
      </c>
      <c r="H204" s="53" t="str">
        <f>IFERROR(IF(factura_c_mes3[[#This Row],[CUIT]]="","-",VLOOKUP(factura_c_mes3[[#This Row],[CUIT]],Lista_CUIT[#All],2,0)),"CUIT NO CARGADO")</f>
        <v>BAUDONE ANTONELLA AGOSTINA</v>
      </c>
      <c r="I204" s="81">
        <v>5200</v>
      </c>
      <c r="J204" s="54">
        <f>IFERROR(IF(factura_c_mes3[[#This Row],[CUIT]]="","-",VLOOKUP(factura_c_mes3[[#This Row],[CUIT]],Lista_CUIT[#All],3,0)),"CUIT NO CARGADO")</f>
        <v>0</v>
      </c>
      <c r="K204" s="54">
        <f>IFERROR(IF(factura_c_mes3[[#This Row],[CUIT]]="","-",VLOOKUP(factura_c_mes3[[#This Row],[CUIT]],Lista_CUIT[#All],4,0)),"CUIT NO CARGADO")</f>
        <v>0</v>
      </c>
    </row>
    <row r="205" spans="4:12" ht="18" customHeight="1" x14ac:dyDescent="0.3">
      <c r="D205" s="50">
        <v>45006</v>
      </c>
      <c r="E205" s="314">
        <v>1</v>
      </c>
      <c r="F205" s="314">
        <v>1</v>
      </c>
      <c r="G205" s="315">
        <v>27164522704</v>
      </c>
      <c r="H205" s="316" t="str">
        <f>IFERROR(IF(factura_c_mes3[[#This Row],[CUIT]]="","-",VLOOKUP(factura_c_mes3[[#This Row],[CUIT]],Lista_CUIT[#All],2,0)),"CUIT NO CARGADO")</f>
        <v>TIDONI SILVANA GRACIELA</v>
      </c>
      <c r="I205" s="317">
        <v>-214950</v>
      </c>
      <c r="J205" s="318">
        <f>IFERROR(IF(factura_c_mes3[[#This Row],[CUIT]]="","-",VLOOKUP(factura_c_mes3[[#This Row],[CUIT]],Lista_CUIT[#All],3,0)),"CUIT NO CARGADO")</f>
        <v>0</v>
      </c>
      <c r="K205" s="318">
        <f>IFERROR(IF(factura_c_mes3[[#This Row],[CUIT]]="","-",VLOOKUP(factura_c_mes3[[#This Row],[CUIT]],Lista_CUIT[#All],4,0)),"CUIT NO CARGADO")</f>
        <v>0</v>
      </c>
    </row>
    <row r="206" spans="4:12" ht="18" customHeight="1" x14ac:dyDescent="0.3">
      <c r="D206" s="340">
        <v>45006</v>
      </c>
      <c r="E206" s="314">
        <v>2</v>
      </c>
      <c r="F206" s="314">
        <v>2595</v>
      </c>
      <c r="G206" s="315">
        <v>20206480409</v>
      </c>
      <c r="H206" s="316" t="str">
        <f>IFERROR(IF(factura_c_mes3[[#This Row],[CUIT]]="","-",VLOOKUP(factura_c_mes3[[#This Row],[CUIT]],Lista_CUIT[#All],2,0)),"CUIT NO CARGADO")</f>
        <v>GRACIA SANDRO EDUARDO</v>
      </c>
      <c r="I206" s="317">
        <v>1000</v>
      </c>
      <c r="J206" s="318" t="str">
        <f>IFERROR(IF(factura_c_mes3[[#This Row],[CUIT]]="","-",VLOOKUP(factura_c_mes3[[#This Row],[CUIT]],Lista_CUIT[#All],3,0)),"CUIT NO CARGADO")</f>
        <v>Gastos Varios</v>
      </c>
      <c r="K206" s="318" t="str">
        <f>IFERROR(IF(factura_c_mes3[[#This Row],[CUIT]]="","-",VLOOKUP(factura_c_mes3[[#This Row],[CUIT]],Lista_CUIT[#All],4,0)),"CUIT NO CARGADO")</f>
        <v>CABA</v>
      </c>
    </row>
    <row r="207" spans="4:12" ht="18" customHeight="1" x14ac:dyDescent="0.3">
      <c r="D207" s="50">
        <v>45005</v>
      </c>
      <c r="E207" s="42">
        <v>1</v>
      </c>
      <c r="F207" s="43">
        <v>1</v>
      </c>
      <c r="G207" s="44">
        <v>27164522704</v>
      </c>
      <c r="H207" s="53" t="str">
        <f>IFERROR(IF(factura_c_mes3[[#This Row],[CUIT]]="","-",VLOOKUP(factura_c_mes3[[#This Row],[CUIT]],Lista_CUIT[#All],2,0)),"CUIT NO CARGADO")</f>
        <v>TIDONI SILVANA GRACIELA</v>
      </c>
      <c r="I207" s="81">
        <v>214950</v>
      </c>
      <c r="J207" s="54">
        <f>IFERROR(IF(factura_c_mes3[[#This Row],[CUIT]]="","-",VLOOKUP(factura_c_mes3[[#This Row],[CUIT]],Lista_CUIT[#All],3,0)),"CUIT NO CARGADO")</f>
        <v>0</v>
      </c>
      <c r="K207" s="54">
        <f>IFERROR(IF(factura_c_mes3[[#This Row],[CUIT]]="","-",VLOOKUP(factura_c_mes3[[#This Row],[CUIT]],Lista_CUIT[#All],4,0)),"CUIT NO CARGADO")</f>
        <v>0</v>
      </c>
    </row>
    <row r="208" spans="4:12" ht="18" customHeight="1" x14ac:dyDescent="0.3">
      <c r="D208" s="50">
        <v>45002</v>
      </c>
      <c r="E208" s="42">
        <v>8</v>
      </c>
      <c r="F208" s="43">
        <v>253</v>
      </c>
      <c r="G208" s="44">
        <v>27409592487</v>
      </c>
      <c r="H208" s="53" t="str">
        <f>IFERROR(IF(factura_c_mes3[[#This Row],[CUIT]]="","-",VLOOKUP(factura_c_mes3[[#This Row],[CUIT]],Lista_CUIT[#All],2,0)),"CUIT NO CARGADO")</f>
        <v>BAUDONE ANTONELLA AGOSTINA</v>
      </c>
      <c r="I208" s="81">
        <v>5600</v>
      </c>
      <c r="J208" s="54">
        <f>IFERROR(IF(factura_c_mes3[[#This Row],[CUIT]]="","-",VLOOKUP(factura_c_mes3[[#This Row],[CUIT]],Lista_CUIT[#All],3,0)),"CUIT NO CARGADO")</f>
        <v>0</v>
      </c>
      <c r="K208" s="54">
        <f>IFERROR(IF(factura_c_mes3[[#This Row],[CUIT]]="","-",VLOOKUP(factura_c_mes3[[#This Row],[CUIT]],Lista_CUIT[#All],4,0)),"CUIT NO CARGADO")</f>
        <v>0</v>
      </c>
    </row>
    <row r="209" spans="2:18" ht="18" customHeight="1" x14ac:dyDescent="0.3">
      <c r="D209" s="50">
        <v>45000</v>
      </c>
      <c r="E209" s="314">
        <v>8</v>
      </c>
      <c r="F209" s="314">
        <v>251</v>
      </c>
      <c r="G209" s="315">
        <v>27409592487</v>
      </c>
      <c r="H209" s="316" t="str">
        <f>IFERROR(IF(factura_c_mes3[[#This Row],[CUIT]]="","-",VLOOKUP(factura_c_mes3[[#This Row],[CUIT]],Lista_CUIT[#All],2,0)),"CUIT NO CARGADO")</f>
        <v>BAUDONE ANTONELLA AGOSTINA</v>
      </c>
      <c r="I209" s="317">
        <v>15200</v>
      </c>
      <c r="J209" s="318">
        <f>IFERROR(IF(factura_c_mes3[[#This Row],[CUIT]]="","-",VLOOKUP(factura_c_mes3[[#This Row],[CUIT]],Lista_CUIT[#All],3,0)),"CUIT NO CARGADO")</f>
        <v>0</v>
      </c>
      <c r="K209" s="318">
        <f>IFERROR(IF(factura_c_mes3[[#This Row],[CUIT]]="","-",VLOOKUP(factura_c_mes3[[#This Row],[CUIT]],Lista_CUIT[#All],4,0)),"CUIT NO CARGADO")</f>
        <v>0</v>
      </c>
    </row>
    <row r="210" spans="2:18" ht="18" customHeight="1" x14ac:dyDescent="0.3">
      <c r="D210" s="50">
        <v>44995</v>
      </c>
      <c r="E210" s="314">
        <v>8</v>
      </c>
      <c r="F210" s="314">
        <v>244</v>
      </c>
      <c r="G210" s="315">
        <v>27409592487</v>
      </c>
      <c r="H210" s="316" t="str">
        <f>IFERROR(IF(factura_c_mes3[[#This Row],[CUIT]]="","-",VLOOKUP(factura_c_mes3[[#This Row],[CUIT]],Lista_CUIT[#All],2,0)),"CUIT NO CARGADO")</f>
        <v>BAUDONE ANTONELLA AGOSTINA</v>
      </c>
      <c r="I210" s="317">
        <v>10000</v>
      </c>
      <c r="J210" s="318">
        <f>IFERROR(IF(factura_c_mes3[[#This Row],[CUIT]]="","-",VLOOKUP(factura_c_mes3[[#This Row],[CUIT]],Lista_CUIT[#All],3,0)),"CUIT NO CARGADO")</f>
        <v>0</v>
      </c>
      <c r="K210" s="318">
        <f>IFERROR(IF(factura_c_mes3[[#This Row],[CUIT]]="","-",VLOOKUP(factura_c_mes3[[#This Row],[CUIT]],Lista_CUIT[#All],4,0)),"CUIT NO CARGADO")</f>
        <v>0</v>
      </c>
    </row>
    <row r="211" spans="2:18" x14ac:dyDescent="0.3">
      <c r="D211" s="50">
        <v>44995</v>
      </c>
      <c r="E211" s="314">
        <v>3</v>
      </c>
      <c r="F211" s="314">
        <v>389</v>
      </c>
      <c r="G211" s="315">
        <v>20210551574</v>
      </c>
      <c r="H211" s="316" t="str">
        <f>IFERROR(IF(factura_c_mes3[[#This Row],[CUIT]]="","-",VLOOKUP(factura_c_mes3[[#This Row],[CUIT]],Lista_CUIT[#All],2,0)),"CUIT NO CARGADO")</f>
        <v>REUS JORGE DIEGO</v>
      </c>
      <c r="I211" s="317">
        <v>42000</v>
      </c>
      <c r="J211" s="318" t="str">
        <f>IFERROR(IF(factura_c_mes3[[#This Row],[CUIT]]="","-",VLOOKUP(factura_c_mes3[[#This Row],[CUIT]],Lista_CUIT[#All],3,0)),"CUIT NO CARGADO")</f>
        <v>HONORARIOS PROFESIONALES</v>
      </c>
      <c r="K211" s="318">
        <f>IFERROR(IF(factura_c_mes3[[#This Row],[CUIT]]="","-",VLOOKUP(factura_c_mes3[[#This Row],[CUIT]],Lista_CUIT[#All],4,0)),"CUIT NO CARGADO")</f>
        <v>0</v>
      </c>
    </row>
    <row r="212" spans="2:18" x14ac:dyDescent="0.3">
      <c r="D212" s="340">
        <v>44995</v>
      </c>
      <c r="E212" s="314">
        <v>1004</v>
      </c>
      <c r="F212" s="314">
        <v>26642</v>
      </c>
      <c r="G212" s="315">
        <v>30712289046</v>
      </c>
      <c r="H212" s="316" t="str">
        <f>IFERROR(IF(factura_c_mes3[[#This Row],[CUIT]]="","-",VLOOKUP(factura_c_mes3[[#This Row],[CUIT]],Lista_CUIT[#All],2,0)),"CUIT NO CARGADO")</f>
        <v>IMPIERI PIÑEIRO RIZZO Y ASOC SA</v>
      </c>
      <c r="I212" s="317">
        <v>600</v>
      </c>
      <c r="J212" s="318">
        <f>IFERROR(IF(factura_c_mes3[[#This Row],[CUIT]]="","-",VLOOKUP(factura_c_mes3[[#This Row],[CUIT]],Lista_CUIT[#All],3,0)),"CUIT NO CARGADO")</f>
        <v>0</v>
      </c>
      <c r="K212" s="318">
        <f>IFERROR(IF(factura_c_mes3[[#This Row],[CUIT]]="","-",VLOOKUP(factura_c_mes3[[#This Row],[CUIT]],Lista_CUIT[#All],4,0)),"CUIT NO CARGADO")</f>
        <v>0</v>
      </c>
    </row>
    <row r="213" spans="2:18" x14ac:dyDescent="0.3">
      <c r="B213" s="56"/>
      <c r="C213" s="56"/>
      <c r="D213" s="50">
        <v>44993</v>
      </c>
      <c r="E213" s="314">
        <v>2</v>
      </c>
      <c r="F213" s="314">
        <v>226</v>
      </c>
      <c r="G213" s="315">
        <v>23319210954</v>
      </c>
      <c r="H213" s="316" t="str">
        <f>IFERROR(IF(factura_c_mes3[[#This Row],[CUIT]]="","-",VLOOKUP(factura_c_mes3[[#This Row],[CUIT]],Lista_CUIT[#All],2,0)),"CUIT NO CARGADO")</f>
        <v>CAFFARATTI ROMINA PAOLA</v>
      </c>
      <c r="I213" s="317">
        <v>22400</v>
      </c>
      <c r="J213" s="318" t="str">
        <f>IFERROR(IF(factura_c_mes3[[#This Row],[CUIT]]="","-",VLOOKUP(factura_c_mes3[[#This Row],[CUIT]],Lista_CUIT[#All],3,0)),"CUIT NO CARGADO")</f>
        <v>HONORARIOS</v>
      </c>
      <c r="K213" s="318">
        <f>IFERROR(IF(factura_c_mes3[[#This Row],[CUIT]]="","-",VLOOKUP(factura_c_mes3[[#This Row],[CUIT]],Lista_CUIT[#All],4,0)),"CUIT NO CARGADO")</f>
        <v>0</v>
      </c>
      <c r="L213" s="56"/>
      <c r="M213" s="56"/>
      <c r="N213" s="56"/>
      <c r="O213" s="56"/>
      <c r="P213" s="56"/>
      <c r="Q213" s="56"/>
      <c r="R213" s="56"/>
    </row>
    <row r="214" spans="2:18" x14ac:dyDescent="0.3">
      <c r="B214" s="56"/>
      <c r="C214" s="56"/>
      <c r="D214" s="50">
        <v>44993</v>
      </c>
      <c r="E214" s="314">
        <v>4</v>
      </c>
      <c r="F214" s="314">
        <v>305</v>
      </c>
      <c r="G214" s="315">
        <v>30686965801</v>
      </c>
      <c r="H214" s="316" t="str">
        <f>IFERROR(IF(factura_c_mes3[[#This Row],[CUIT]]="","-",VLOOKUP(factura_c_mes3[[#This Row],[CUIT]],Lista_CUIT[#All],2,0)),"CUIT NO CARGADO")</f>
        <v>FEDERACION ARGENTINA DE COSMETOLOGOS Y ESTETICISTAS F A C E</v>
      </c>
      <c r="I214" s="317">
        <v>25000</v>
      </c>
      <c r="J214" s="318">
        <f>IFERROR(IF(factura_c_mes3[[#This Row],[CUIT]]="","-",VLOOKUP(factura_c_mes3[[#This Row],[CUIT]],Lista_CUIT[#All],3,0)),"CUIT NO CARGADO")</f>
        <v>0</v>
      </c>
      <c r="K214" s="318">
        <f>IFERROR(IF(factura_c_mes3[[#This Row],[CUIT]]="","-",VLOOKUP(factura_c_mes3[[#This Row],[CUIT]],Lista_CUIT[#All],4,0)),"CUIT NO CARGADO")</f>
        <v>0</v>
      </c>
      <c r="L214" s="56"/>
      <c r="M214" s="56"/>
      <c r="N214" s="56"/>
      <c r="O214" s="56"/>
      <c r="P214" s="56"/>
      <c r="Q214" s="56"/>
      <c r="R214" s="56"/>
    </row>
    <row r="215" spans="2:18" x14ac:dyDescent="0.3">
      <c r="B215" s="56"/>
      <c r="C215" s="56" t="s">
        <v>1785</v>
      </c>
      <c r="D215" s="50">
        <v>44991</v>
      </c>
      <c r="E215" s="314">
        <v>3</v>
      </c>
      <c r="F215" s="314">
        <v>701</v>
      </c>
      <c r="G215" s="315">
        <v>20086277523</v>
      </c>
      <c r="H215" s="316" t="str">
        <f>IFERROR(IF(factura_c_mes3[[#This Row],[CUIT]]="","-",VLOOKUP(factura_c_mes3[[#This Row],[CUIT]],Lista_CUIT[#All],2,0)),"CUIT NO CARGADO")</f>
        <v>BOTINDARI JUAN CARLOS</v>
      </c>
      <c r="I215" s="317">
        <v>21000</v>
      </c>
      <c r="J215" s="318" t="str">
        <f>IFERROR(IF(factura_c_mes3[[#This Row],[CUIT]]="","-",VLOOKUP(factura_c_mes3[[#This Row],[CUIT]],Lista_CUIT[#All],3,0)),"CUIT NO CARGADO")</f>
        <v>HONORARIOS</v>
      </c>
      <c r="K215" s="318" t="str">
        <f>IFERROR(IF(factura_c_mes3[[#This Row],[CUIT]]="","-",VLOOKUP(factura_c_mes3[[#This Row],[CUIT]],Lista_CUIT[#All],4,0)),"CUIT NO CARGADO")</f>
        <v>CABA</v>
      </c>
      <c r="L215" s="56"/>
      <c r="M215" s="56"/>
      <c r="N215" s="56"/>
      <c r="O215" s="56"/>
      <c r="P215" s="56"/>
      <c r="Q215" s="56"/>
      <c r="R215" s="56"/>
    </row>
    <row r="216" spans="2:18" x14ac:dyDescent="0.3">
      <c r="B216" s="56"/>
      <c r="C216" s="56" t="s">
        <v>1785</v>
      </c>
      <c r="D216" s="50">
        <v>44991</v>
      </c>
      <c r="E216" s="314">
        <v>2</v>
      </c>
      <c r="F216" s="314">
        <v>223</v>
      </c>
      <c r="G216" s="315">
        <v>23319210954</v>
      </c>
      <c r="H216" s="316" t="str">
        <f>IFERROR(IF(factura_c_mes3[[#This Row],[CUIT]]="","-",VLOOKUP(factura_c_mes3[[#This Row],[CUIT]],Lista_CUIT[#All],2,0)),"CUIT NO CARGADO")</f>
        <v>CAFFARATTI ROMINA PAOLA</v>
      </c>
      <c r="I216" s="317">
        <v>7300</v>
      </c>
      <c r="J216" s="318" t="str">
        <f>IFERROR(IF(factura_c_mes3[[#This Row],[CUIT]]="","-",VLOOKUP(factura_c_mes3[[#This Row],[CUIT]],Lista_CUIT[#All],3,0)),"CUIT NO CARGADO")</f>
        <v>HONORARIOS</v>
      </c>
      <c r="K216" s="318">
        <f>IFERROR(IF(factura_c_mes3[[#This Row],[CUIT]]="","-",VLOOKUP(factura_c_mes3[[#This Row],[CUIT]],Lista_CUIT[#All],4,0)),"CUIT NO CARGADO")</f>
        <v>0</v>
      </c>
      <c r="L216" s="56"/>
      <c r="M216" s="56"/>
      <c r="N216" s="56"/>
      <c r="O216" s="56"/>
      <c r="P216" s="56"/>
      <c r="Q216" s="56"/>
      <c r="R216" s="56"/>
    </row>
    <row r="217" spans="2:18" x14ac:dyDescent="0.3">
      <c r="B217" s="56"/>
      <c r="C217" s="56" t="s">
        <v>1785</v>
      </c>
      <c r="D217" s="50">
        <v>44988</v>
      </c>
      <c r="E217" s="314">
        <v>3</v>
      </c>
      <c r="F217" s="314">
        <v>140</v>
      </c>
      <c r="G217" s="315">
        <v>20226549758</v>
      </c>
      <c r="H217" s="316" t="str">
        <f>IFERROR(IF(factura_c_mes3[[#This Row],[CUIT]]="","-",VLOOKUP(factura_c_mes3[[#This Row],[CUIT]],Lista_CUIT[#All],2,0)),"CUIT NO CARGADO")</f>
        <v>JANEIRO VERONICA BELEN</v>
      </c>
      <c r="I217" s="317">
        <v>70000</v>
      </c>
      <c r="J217" s="318">
        <f>IFERROR(IF(factura_c_mes3[[#This Row],[CUIT]]="","-",VLOOKUP(factura_c_mes3[[#This Row],[CUIT]],Lista_CUIT[#All],3,0)),"CUIT NO CARGADO")</f>
        <v>0</v>
      </c>
      <c r="K217" s="318">
        <f>IFERROR(IF(factura_c_mes3[[#This Row],[CUIT]]="","-",VLOOKUP(factura_c_mes3[[#This Row],[CUIT]],Lista_CUIT[#All],4,0)),"CUIT NO CARGADO")</f>
        <v>0</v>
      </c>
      <c r="L217" s="56"/>
      <c r="M217" s="56"/>
      <c r="N217" s="56"/>
      <c r="O217" s="56"/>
      <c r="P217" s="56"/>
      <c r="Q217" s="56"/>
      <c r="R217" s="56"/>
    </row>
    <row r="218" spans="2:18" x14ac:dyDescent="0.3">
      <c r="B218" s="56"/>
      <c r="C218" s="56" t="s">
        <v>1785</v>
      </c>
      <c r="D218" s="340">
        <v>44988</v>
      </c>
      <c r="E218" s="314">
        <v>2406</v>
      </c>
      <c r="F218" s="314">
        <v>186802</v>
      </c>
      <c r="G218" s="315">
        <v>30708574836</v>
      </c>
      <c r="H218" s="316" t="str">
        <f>IFERROR(IF(factura_c_mes3[[#This Row],[CUIT]]="","-",VLOOKUP(factura_c_mes3[[#This Row],[CUIT]],Lista_CUIT[#All],2,0)),"CUIT NO CARGADO")</f>
        <v>CORREO OFICIAL DE LA REPUBLICA ARGENTINA SOCIEDAD ANONIMA</v>
      </c>
      <c r="I218" s="317">
        <v>2000</v>
      </c>
      <c r="J218" s="318" t="str">
        <f>IFERROR(IF(factura_c_mes3[[#This Row],[CUIT]]="","-",VLOOKUP(factura_c_mes3[[#This Row],[CUIT]],Lista_CUIT[#All],3,0)),"CUIT NO CARGADO")</f>
        <v>MESAJERIA</v>
      </c>
      <c r="K218" s="318">
        <f>IFERROR(IF(factura_c_mes3[[#This Row],[CUIT]]="","-",VLOOKUP(factura_c_mes3[[#This Row],[CUIT]],Lista_CUIT[#All],4,0)),"CUIT NO CARGADO")</f>
        <v>0</v>
      </c>
      <c r="L218" s="56"/>
      <c r="M218" s="56"/>
      <c r="N218" s="56"/>
      <c r="O218" s="56"/>
      <c r="P218" s="56"/>
      <c r="Q218" s="56"/>
      <c r="R218" s="56"/>
    </row>
    <row r="219" spans="2:18" x14ac:dyDescent="0.3">
      <c r="B219" s="56"/>
      <c r="C219" s="56" t="s">
        <v>1785</v>
      </c>
      <c r="D219" s="50">
        <v>44987</v>
      </c>
      <c r="E219" s="314">
        <v>3</v>
      </c>
      <c r="F219" s="314">
        <v>695</v>
      </c>
      <c r="G219" s="315">
        <v>20086277523</v>
      </c>
      <c r="H219" s="316" t="str">
        <f>IFERROR(IF(factura_c_mes3[[#This Row],[CUIT]]="","-",VLOOKUP(factura_c_mes3[[#This Row],[CUIT]],Lista_CUIT[#All],2,0)),"CUIT NO CARGADO")</f>
        <v>BOTINDARI JUAN CARLOS</v>
      </c>
      <c r="I219" s="317">
        <v>60000</v>
      </c>
      <c r="J219" s="318" t="str">
        <f>IFERROR(IF(factura_c_mes3[[#This Row],[CUIT]]="","-",VLOOKUP(factura_c_mes3[[#This Row],[CUIT]],Lista_CUIT[#All],3,0)),"CUIT NO CARGADO")</f>
        <v>HONORARIOS</v>
      </c>
      <c r="K219" s="318" t="str">
        <f>IFERROR(IF(factura_c_mes3[[#This Row],[CUIT]]="","-",VLOOKUP(factura_c_mes3[[#This Row],[CUIT]],Lista_CUIT[#All],4,0)),"CUIT NO CARGADO")</f>
        <v>CABA</v>
      </c>
      <c r="L219" s="56"/>
      <c r="M219" s="56"/>
      <c r="N219" s="56"/>
      <c r="O219" s="56"/>
      <c r="P219" s="56"/>
      <c r="Q219" s="56"/>
      <c r="R219" s="56"/>
    </row>
    <row r="220" spans="2:18" x14ac:dyDescent="0.3">
      <c r="B220" s="56"/>
      <c r="C220" s="56" t="s">
        <v>1785</v>
      </c>
      <c r="D220" s="340">
        <v>44987</v>
      </c>
      <c r="E220" s="314">
        <v>331</v>
      </c>
      <c r="F220" s="314">
        <v>37084</v>
      </c>
      <c r="G220" s="315">
        <v>30579939008</v>
      </c>
      <c r="H220" s="316" t="str">
        <f>IFERROR(IF(factura_c_mes3[[#This Row],[CUIT]]="","-",VLOOKUP(factura_c_mes3[[#This Row],[CUIT]],Lista_CUIT[#All],2,0)),"CUIT NO CARGADO")</f>
        <v>TRANSPORTES LA SEVILLANITA SRL</v>
      </c>
      <c r="I220" s="317">
        <v>17914.14</v>
      </c>
      <c r="J220" s="318">
        <f>IFERROR(IF(factura_c_mes3[[#This Row],[CUIT]]="","-",VLOOKUP(factura_c_mes3[[#This Row],[CUIT]],Lista_CUIT[#All],3,0)),"CUIT NO CARGADO")</f>
        <v>0</v>
      </c>
      <c r="K220" s="318">
        <f>IFERROR(IF(factura_c_mes3[[#This Row],[CUIT]]="","-",VLOOKUP(factura_c_mes3[[#This Row],[CUIT]],Lista_CUIT[#All],4,0)),"CUIT NO CARGADO")</f>
        <v>0</v>
      </c>
      <c r="L220" s="56"/>
      <c r="M220" s="56"/>
      <c r="N220" s="56"/>
      <c r="O220" s="56"/>
      <c r="P220" s="56"/>
      <c r="Q220" s="56"/>
      <c r="R220" s="56"/>
    </row>
    <row r="221" spans="2:18" x14ac:dyDescent="0.3">
      <c r="B221" s="56"/>
      <c r="C221" s="56" t="s">
        <v>1784</v>
      </c>
      <c r="D221" s="50">
        <v>44986</v>
      </c>
      <c r="E221" s="314">
        <v>3</v>
      </c>
      <c r="F221" s="314">
        <v>222</v>
      </c>
      <c r="G221" s="315">
        <v>20173025557</v>
      </c>
      <c r="H221" s="316" t="str">
        <f>IFERROR(IF(factura_c_mes3[[#This Row],[CUIT]]="","-",VLOOKUP(factura_c_mes3[[#This Row],[CUIT]],Lista_CUIT[#All],2,0)),"CUIT NO CARGADO")</f>
        <v>MARAUDA HECTOR</v>
      </c>
      <c r="I221" s="317">
        <v>1000</v>
      </c>
      <c r="J221" s="318">
        <f>IFERROR(IF(factura_c_mes3[[#This Row],[CUIT]]="","-",VLOOKUP(factura_c_mes3[[#This Row],[CUIT]],Lista_CUIT[#All],3,0)),"CUIT NO CARGADO")</f>
        <v>0</v>
      </c>
      <c r="K221" s="318">
        <f>IFERROR(IF(factura_c_mes3[[#This Row],[CUIT]]="","-",VLOOKUP(factura_c_mes3[[#This Row],[CUIT]],Lista_CUIT[#All],4,0)),"CUIT NO CARGADO")</f>
        <v>0</v>
      </c>
      <c r="L221" s="56"/>
      <c r="M221" s="56"/>
      <c r="N221" s="56"/>
      <c r="O221" s="56"/>
      <c r="P221" s="56"/>
      <c r="Q221" s="56"/>
      <c r="R221" s="56"/>
    </row>
    <row r="222" spans="2:18" x14ac:dyDescent="0.3">
      <c r="B222" s="56"/>
      <c r="C222" s="56" t="s">
        <v>1785</v>
      </c>
      <c r="D222" s="50">
        <v>44986</v>
      </c>
      <c r="E222" s="314">
        <v>8</v>
      </c>
      <c r="F222" s="314">
        <v>219</v>
      </c>
      <c r="G222" s="315">
        <v>27409592487</v>
      </c>
      <c r="H222" s="316" t="str">
        <f>IFERROR(IF(factura_c_mes3[[#This Row],[CUIT]]="","-",VLOOKUP(factura_c_mes3[[#This Row],[CUIT]],Lista_CUIT[#All],2,0)),"CUIT NO CARGADO")</f>
        <v>BAUDONE ANTONELLA AGOSTINA</v>
      </c>
      <c r="I222" s="317">
        <v>14400</v>
      </c>
      <c r="J222" s="318">
        <f>IFERROR(IF(factura_c_mes3[[#This Row],[CUIT]]="","-",VLOOKUP(factura_c_mes3[[#This Row],[CUIT]],Lista_CUIT[#All],3,0)),"CUIT NO CARGADO")</f>
        <v>0</v>
      </c>
      <c r="K222" s="318">
        <f>IFERROR(IF(factura_c_mes3[[#This Row],[CUIT]]="","-",VLOOKUP(factura_c_mes3[[#This Row],[CUIT]],Lista_CUIT[#All],4,0)),"CUIT NO CARGADO")</f>
        <v>0</v>
      </c>
      <c r="L222" s="56" t="s">
        <v>1789</v>
      </c>
      <c r="M222" s="56">
        <v>1702.25</v>
      </c>
      <c r="N222" s="56"/>
      <c r="O222" s="56"/>
      <c r="P222" s="56"/>
      <c r="Q222" s="56"/>
      <c r="R222" s="56"/>
    </row>
    <row r="223" spans="2:18" x14ac:dyDescent="0.3">
      <c r="B223" s="56"/>
      <c r="C223" s="56" t="s">
        <v>1790</v>
      </c>
      <c r="D223" s="50">
        <v>44986</v>
      </c>
      <c r="E223" s="314">
        <v>1</v>
      </c>
      <c r="F223" s="314">
        <v>6</v>
      </c>
      <c r="G223" s="315">
        <v>30717223299</v>
      </c>
      <c r="H223" s="316" t="str">
        <f>IFERROR(IF(factura_c_mes3[[#This Row],[CUIT]]="","-",VLOOKUP(factura_c_mes3[[#This Row],[CUIT]],Lista_CUIT[#All],2,0)),"CUIT NO CARGADO")</f>
        <v>ASOCIACION CIVIL DE ESTETICA, PELUQUERIA Y MAQUILLAJE ACEPYM</v>
      </c>
      <c r="I223" s="317">
        <v>307500</v>
      </c>
      <c r="J223" s="318">
        <f>IFERROR(IF(factura_c_mes3[[#This Row],[CUIT]]="","-",VLOOKUP(factura_c_mes3[[#This Row],[CUIT]],Lista_CUIT[#All],3,0)),"CUIT NO CARGADO")</f>
        <v>0</v>
      </c>
      <c r="K223" s="318">
        <f>IFERROR(IF(factura_c_mes3[[#This Row],[CUIT]]="","-",VLOOKUP(factura_c_mes3[[#This Row],[CUIT]],Lista_CUIT[#All],4,0)),"CUIT NO CARGADO")</f>
        <v>0</v>
      </c>
      <c r="L223" s="56"/>
      <c r="M223" s="56"/>
      <c r="N223" s="56"/>
      <c r="O223" s="56"/>
      <c r="P223" s="56"/>
      <c r="Q223" s="56"/>
      <c r="R223" s="56"/>
    </row>
    <row r="224" spans="2:18" ht="31.5" customHeight="1" x14ac:dyDescent="0.3">
      <c r="D224" s="319" t="s">
        <v>103</v>
      </c>
      <c r="E224" s="319"/>
      <c r="F224" s="319"/>
      <c r="G224" s="319"/>
      <c r="H224" s="320"/>
      <c r="I224" s="321">
        <f>SUBTOTAL(109,factura_c_mes3[TOTAL])</f>
        <v>794624.14</v>
      </c>
      <c r="J224" s="319"/>
      <c r="K224" s="319"/>
    </row>
    <row r="227" spans="2:13" ht="25.8" x14ac:dyDescent="0.3">
      <c r="B227" s="661" t="s">
        <v>29</v>
      </c>
      <c r="C227" s="661"/>
      <c r="D227" s="661"/>
      <c r="E227" s="661"/>
      <c r="F227" s="661"/>
      <c r="G227" s="661"/>
      <c r="H227" s="661"/>
      <c r="I227" s="661"/>
      <c r="J227" s="661"/>
      <c r="K227" s="657">
        <f>N1</f>
        <v>44986</v>
      </c>
      <c r="L227" s="657"/>
      <c r="M227" s="657"/>
    </row>
    <row r="229" spans="2:13" ht="21" x14ac:dyDescent="0.3">
      <c r="B229" s="654" t="s">
        <v>30</v>
      </c>
      <c r="C229" s="654"/>
    </row>
    <row r="230" spans="2:13" ht="15.6" x14ac:dyDescent="0.3">
      <c r="B230" s="60" t="s">
        <v>0</v>
      </c>
      <c r="C230" s="61" t="s">
        <v>1</v>
      </c>
      <c r="D230" s="61" t="s">
        <v>21</v>
      </c>
      <c r="E230" s="61" t="s">
        <v>22</v>
      </c>
      <c r="F230" s="61" t="s">
        <v>3</v>
      </c>
      <c r="G230" s="61" t="s">
        <v>4</v>
      </c>
      <c r="H230" s="61" t="s">
        <v>23</v>
      </c>
      <c r="I230" s="61" t="s">
        <v>17</v>
      </c>
      <c r="J230" s="61" t="s">
        <v>7</v>
      </c>
      <c r="K230" s="61" t="s">
        <v>24</v>
      </c>
      <c r="L230" s="61" t="s">
        <v>10</v>
      </c>
      <c r="M230" s="62" t="s">
        <v>38</v>
      </c>
    </row>
    <row r="231" spans="2:13" x14ac:dyDescent="0.3">
      <c r="B231" s="40"/>
      <c r="C231" s="41"/>
      <c r="D231" s="42"/>
      <c r="E231" s="43"/>
      <c r="F231" s="44"/>
      <c r="G231" s="99" t="str">
        <f>IFERROR(IF(venta_a_mes3[[#This Row],[CUIT]]="","-",VLOOKUP(venta_a_mes3[[#This Row],[CUIT]],Lista_CUIT[#All],2,0)),"CUIT NO CARGADO")</f>
        <v>-</v>
      </c>
      <c r="H231" s="100"/>
      <c r="I231" s="101">
        <f>venta_a_mes3[[#This Row],[IMPORTE NETO]]*0.21</f>
        <v>0</v>
      </c>
      <c r="J231" s="65"/>
      <c r="K231" s="65"/>
      <c r="L231" s="65">
        <f>SUM(venta_a_mes3[[#This Row],[IMPORTE NETO]:[EXENTO]])</f>
        <v>0</v>
      </c>
      <c r="M231" s="59"/>
    </row>
    <row r="232" spans="2:13" x14ac:dyDescent="0.3">
      <c r="B232" s="109"/>
      <c r="C232" s="110"/>
      <c r="D232" s="111"/>
      <c r="E232" s="112"/>
      <c r="F232" s="113"/>
      <c r="G232" s="99" t="str">
        <f>IFERROR(IF(venta_a_mes3[[#This Row],[CUIT]]="","-",VLOOKUP(venta_a_mes3[[#This Row],[CUIT]],Lista_CUIT[#All],2,0)),"CUIT NO CARGADO")</f>
        <v>-</v>
      </c>
      <c r="H232" s="100"/>
      <c r="I232" s="101">
        <f>venta_a_mes3[[#This Row],[IMPORTE NETO]]*0.21</f>
        <v>0</v>
      </c>
      <c r="J232" s="65"/>
      <c r="K232" s="65"/>
      <c r="L232" s="65">
        <f>SUM(venta_a_mes3[[#This Row],[IMPORTE NETO]:[EXENTO]])</f>
        <v>0</v>
      </c>
      <c r="M232" s="59"/>
    </row>
    <row r="233" spans="2:13" x14ac:dyDescent="0.3">
      <c r="B233" s="66" t="s">
        <v>103</v>
      </c>
      <c r="C233" s="67"/>
      <c r="D233" s="67"/>
      <c r="E233" s="67"/>
      <c r="F233" s="67"/>
      <c r="G233" s="67"/>
      <c r="H233" s="69">
        <f>SUBTOTAL(109,venta_a_mes3[IMPORTE NETO])</f>
        <v>0</v>
      </c>
      <c r="I233" s="70">
        <f>SUBTOTAL(109,venta_a_mes3[IVA 21%])</f>
        <v>0</v>
      </c>
      <c r="J233" s="71">
        <f>SUBTOTAL(109,venta_a_mes3[IVA 10,5%])</f>
        <v>0</v>
      </c>
      <c r="K233" s="71">
        <f>SUBTOTAL(109,venta_a_mes3[EXENTO])</f>
        <v>0</v>
      </c>
      <c r="L233" s="71">
        <f>SUBTOTAL(109,venta_a_mes3[TOTAL])</f>
        <v>0</v>
      </c>
      <c r="M233" s="68">
        <f>SUBTOTAL(103,venta_a_mes3[Provincia])</f>
        <v>0</v>
      </c>
    </row>
    <row r="236" spans="2:13" ht="21" x14ac:dyDescent="0.3">
      <c r="B236" s="654" t="s">
        <v>31</v>
      </c>
      <c r="C236" s="654"/>
    </row>
    <row r="237" spans="2:13" ht="15.6" x14ac:dyDescent="0.3">
      <c r="B237" s="60" t="s">
        <v>0</v>
      </c>
      <c r="C237" s="61" t="s">
        <v>1</v>
      </c>
      <c r="D237" s="61" t="s">
        <v>21</v>
      </c>
      <c r="E237" s="61" t="s">
        <v>22</v>
      </c>
      <c r="F237" s="61" t="s">
        <v>3</v>
      </c>
      <c r="G237" s="61" t="s">
        <v>4</v>
      </c>
      <c r="H237" s="61" t="s">
        <v>23</v>
      </c>
      <c r="I237" s="61" t="s">
        <v>17</v>
      </c>
      <c r="J237" s="61" t="s">
        <v>7</v>
      </c>
      <c r="K237" s="61" t="s">
        <v>24</v>
      </c>
      <c r="L237" s="61" t="s">
        <v>10</v>
      </c>
      <c r="M237" s="62" t="s">
        <v>38</v>
      </c>
    </row>
    <row r="238" spans="2:13" x14ac:dyDescent="0.3">
      <c r="B238" s="40"/>
      <c r="C238" s="41"/>
      <c r="D238" s="42"/>
      <c r="E238" s="43"/>
      <c r="F238" s="44"/>
      <c r="G238" s="1" t="str">
        <f>IFERROR(IF(ventas_b_mes3[[#This Row],[CUIT]]="","-",VLOOKUP(ventas_b_mes3[[#This Row],[CUIT]],Lista_CUIT[#All],2,0)),"CUIT NO CARGADO")</f>
        <v>-</v>
      </c>
      <c r="H238" s="64"/>
      <c r="I238" s="64"/>
      <c r="J238" s="64"/>
      <c r="K238" s="64"/>
      <c r="L238" s="64">
        <f>SUM(ventas_b_mes3[[#This Row],[IMPORTE NETO]:[EXENTO]])</f>
        <v>0</v>
      </c>
      <c r="M238" s="59"/>
    </row>
    <row r="239" spans="2:13" x14ac:dyDescent="0.3">
      <c r="B239" s="40"/>
      <c r="C239" s="41"/>
      <c r="D239" s="42"/>
      <c r="E239" s="43"/>
      <c r="F239" s="44"/>
      <c r="G239" s="1"/>
      <c r="H239" s="64"/>
      <c r="I239" s="64"/>
      <c r="J239" s="64"/>
      <c r="K239" s="64"/>
      <c r="L239" s="64">
        <f>SUM(ventas_b_mes3[[#This Row],[IMPORTE NETO]:[EXENTO]])</f>
        <v>0</v>
      </c>
      <c r="M239" s="59"/>
    </row>
    <row r="240" spans="2:13" x14ac:dyDescent="0.3">
      <c r="B240" s="66" t="s">
        <v>103</v>
      </c>
      <c r="C240" s="67"/>
      <c r="D240" s="67"/>
      <c r="E240" s="67"/>
      <c r="F240" s="67"/>
      <c r="G240" s="67"/>
      <c r="H240" s="77">
        <f>SUBTOTAL(109,ventas_b_mes3[IMPORTE NETO])</f>
        <v>0</v>
      </c>
      <c r="I240" s="77">
        <f>SUBTOTAL(109,ventas_b_mes3[IVA 21%])</f>
        <v>0</v>
      </c>
      <c r="J240" s="78">
        <f>SUBTOTAL(109,ventas_b_mes3[IVA 10,5%])</f>
        <v>0</v>
      </c>
      <c r="K240" s="78">
        <f>SUBTOTAL(109,ventas_b_mes3[EXENTO])</f>
        <v>0</v>
      </c>
      <c r="L240" s="78">
        <f>SUBTOTAL(109,ventas_b_mes3[TOTAL])</f>
        <v>0</v>
      </c>
      <c r="M240" s="68">
        <f>SUBTOTAL(103,ventas_b_mes3[Provincia])</f>
        <v>0</v>
      </c>
    </row>
    <row r="247" spans="3:12" ht="15" thickBot="1" x14ac:dyDescent="0.35"/>
    <row r="248" spans="3:12" ht="15" thickTop="1" x14ac:dyDescent="0.3">
      <c r="C248" s="651" t="s">
        <v>66</v>
      </c>
      <c r="D248" s="651"/>
      <c r="E248" s="651"/>
      <c r="F248" s="651"/>
      <c r="G248" s="651"/>
      <c r="H248" s="32"/>
      <c r="I248" s="32"/>
      <c r="J248" s="32"/>
    </row>
    <row r="249" spans="3:12" ht="15.6" x14ac:dyDescent="0.3">
      <c r="C249" s="114" t="s">
        <v>67</v>
      </c>
      <c r="D249" s="115" t="s">
        <v>68</v>
      </c>
      <c r="E249" s="115" t="s">
        <v>105</v>
      </c>
      <c r="F249" s="115" t="s">
        <v>3</v>
      </c>
      <c r="G249" s="115" t="s">
        <v>4</v>
      </c>
      <c r="H249" s="116" t="s">
        <v>69</v>
      </c>
      <c r="I249" s="116" t="s">
        <v>70</v>
      </c>
      <c r="J249" s="116" t="s">
        <v>71</v>
      </c>
      <c r="K249" s="116" t="s">
        <v>72</v>
      </c>
      <c r="L249" s="116" t="s">
        <v>73</v>
      </c>
    </row>
    <row r="250" spans="3:12" x14ac:dyDescent="0.3">
      <c r="C250" s="117"/>
      <c r="D250" s="118"/>
      <c r="E250" s="118"/>
      <c r="F250" s="119"/>
      <c r="G250" s="53" t="str">
        <f>IFERROR(IF(Retenciones_mes3[[#This Row],[CUIT]]="","-",VLOOKUP(Retenciones_mes3[[#This Row],[CUIT]],Lista_CUIT[#All],2,0)),"CUIT NO CARGADO")</f>
        <v>-</v>
      </c>
      <c r="H250" s="120"/>
      <c r="I250" s="120"/>
      <c r="J250" s="120"/>
      <c r="K250" s="120"/>
      <c r="L250" s="120"/>
    </row>
    <row r="251" spans="3:12" x14ac:dyDescent="0.3">
      <c r="C251" s="117"/>
      <c r="D251" s="118"/>
      <c r="E251" s="118"/>
      <c r="F251" s="119"/>
      <c r="G251" s="53" t="str">
        <f>IFERROR(IF(Retenciones_mes3[[#This Row],[CUIT]]="","-",VLOOKUP(Retenciones_mes3[[#This Row],[CUIT]],Lista_CUIT[#All],2,0)),"CUIT NO CARGADO")</f>
        <v>-</v>
      </c>
      <c r="H251" s="120"/>
      <c r="I251" s="120"/>
      <c r="J251" s="120"/>
      <c r="K251" s="120"/>
      <c r="L251" s="120"/>
    </row>
    <row r="252" spans="3:12" x14ac:dyDescent="0.3">
      <c r="C252" s="117"/>
      <c r="D252" s="118"/>
      <c r="E252" s="118"/>
      <c r="F252" s="119"/>
      <c r="G252" s="53" t="str">
        <f>IFERROR(IF(Retenciones_mes3[[#This Row],[CUIT]]="","-",VLOOKUP(Retenciones_mes3[[#This Row],[CUIT]],Lista_CUIT[#All],2,0)),"CUIT NO CARGADO")</f>
        <v>-</v>
      </c>
      <c r="H252" s="120"/>
      <c r="I252" s="120"/>
      <c r="J252" s="120"/>
      <c r="K252" s="120"/>
      <c r="L252" s="120"/>
    </row>
    <row r="253" spans="3:12" x14ac:dyDescent="0.3">
      <c r="C253" s="117"/>
      <c r="D253" s="118"/>
      <c r="E253" s="118"/>
      <c r="F253" s="119"/>
      <c r="G253" s="53" t="str">
        <f>IFERROR(IF(Retenciones_mes3[[#This Row],[CUIT]]="","-",VLOOKUP(Retenciones_mes3[[#This Row],[CUIT]],Lista_CUIT[#All],2,0)),"CUIT NO CARGADO")</f>
        <v>-</v>
      </c>
      <c r="H253" s="120"/>
      <c r="I253" s="120"/>
      <c r="J253" s="120"/>
      <c r="K253" s="120"/>
      <c r="L253" s="120"/>
    </row>
    <row r="254" spans="3:12" x14ac:dyDescent="0.3">
      <c r="D254" s="118"/>
      <c r="E254" s="118"/>
      <c r="G254" s="53" t="str">
        <f>IFERROR(IF(Retenciones_mes3[[#This Row],[CUIT]]="","-",VLOOKUP(Retenciones_mes3[[#This Row],[CUIT]],Lista_CUIT[#All],2,0)),"CUIT NO CARGADO")</f>
        <v>-</v>
      </c>
    </row>
    <row r="255" spans="3:12" x14ac:dyDescent="0.3">
      <c r="C255" s="33"/>
    </row>
    <row r="257" spans="3:14" ht="21" x14ac:dyDescent="0.3">
      <c r="C257" s="654" t="s">
        <v>1729</v>
      </c>
      <c r="D257" s="654"/>
    </row>
    <row r="258" spans="3:14" ht="15.6" x14ac:dyDescent="0.3">
      <c r="C258" s="60" t="s">
        <v>0</v>
      </c>
      <c r="D258" s="61" t="s">
        <v>1</v>
      </c>
      <c r="E258" s="61" t="s">
        <v>21</v>
      </c>
      <c r="F258" s="61" t="s">
        <v>22</v>
      </c>
      <c r="G258" s="61" t="s">
        <v>3</v>
      </c>
      <c r="H258" s="61" t="s">
        <v>4</v>
      </c>
      <c r="I258" s="61" t="s">
        <v>23</v>
      </c>
      <c r="J258" s="61" t="s">
        <v>17</v>
      </c>
      <c r="K258" s="61" t="s">
        <v>7</v>
      </c>
      <c r="L258" s="61" t="s">
        <v>24</v>
      </c>
      <c r="M258" s="61" t="s">
        <v>10</v>
      </c>
      <c r="N258" s="62" t="s">
        <v>38</v>
      </c>
    </row>
    <row r="259" spans="3:14" x14ac:dyDescent="0.3">
      <c r="C259" s="40">
        <v>45005</v>
      </c>
      <c r="D259" s="41"/>
      <c r="E259" s="42">
        <v>2</v>
      </c>
      <c r="F259" s="43">
        <v>1434</v>
      </c>
      <c r="G259" s="44">
        <v>27220620587</v>
      </c>
      <c r="H259" s="99" t="str">
        <f>IFERROR(IF(venta_a_mes55253[[#This Row],[CUIT]]="","-",VLOOKUP(venta_a_mes55253[[#This Row],[CUIT]],Lista_CUIT[#All],2,0)),"CUIT NO CARGADO")</f>
        <v>SILVINA ZANON</v>
      </c>
      <c r="I259" s="100">
        <v>139378.5508</v>
      </c>
      <c r="J259" s="328"/>
      <c r="K259" s="65"/>
      <c r="L259" s="65"/>
      <c r="M259" s="329">
        <f>SUM(venta_a_mes55253[[#This Row],[IMPORTE NETO]:[EXENTO]])</f>
        <v>139378.5508</v>
      </c>
      <c r="N259" s="59"/>
    </row>
    <row r="260" spans="3:14" x14ac:dyDescent="0.3">
      <c r="C260" s="40">
        <v>45005</v>
      </c>
      <c r="D260" s="41"/>
      <c r="E260" s="42">
        <v>2</v>
      </c>
      <c r="F260" s="43">
        <v>1435</v>
      </c>
      <c r="G260" s="44">
        <v>27220620587</v>
      </c>
      <c r="H260" s="99" t="str">
        <f>IFERROR(IF(venta_a_mes55253[[#This Row],[CUIT]]="","-",VLOOKUP(venta_a_mes55253[[#This Row],[CUIT]],Lista_CUIT[#All],2,0)),"CUIT NO CARGADO")</f>
        <v>SILVINA ZANON</v>
      </c>
      <c r="I260" s="100">
        <v>232938.70559999999</v>
      </c>
      <c r="J260" s="328"/>
      <c r="K260" s="65"/>
      <c r="L260" s="65"/>
      <c r="M260" s="329">
        <f>SUM(venta_a_mes55253[[#This Row],[IMPORTE NETO]:[EXENTO]])</f>
        <v>232938.70559999999</v>
      </c>
      <c r="N260" s="59"/>
    </row>
    <row r="261" spans="3:14" x14ac:dyDescent="0.3">
      <c r="C261" s="40">
        <v>45005</v>
      </c>
      <c r="D261" s="41"/>
      <c r="E261" s="42">
        <v>2</v>
      </c>
      <c r="F261" s="43">
        <v>1436</v>
      </c>
      <c r="G261" s="44">
        <v>27220620587</v>
      </c>
      <c r="H261" s="99" t="str">
        <f>IFERROR(IF(venta_a_mes55253[[#This Row],[CUIT]]="","-",VLOOKUP(venta_a_mes55253[[#This Row],[CUIT]],Lista_CUIT[#All],2,0)),"CUIT NO CARGADO")</f>
        <v>SILVINA ZANON</v>
      </c>
      <c r="I261" s="100">
        <v>97289.1973</v>
      </c>
      <c r="J261" s="328"/>
      <c r="K261" s="65"/>
      <c r="L261" s="65"/>
      <c r="M261" s="329">
        <f>SUM(venta_a_mes55253[[#This Row],[IMPORTE NETO]:[EXENTO]])</f>
        <v>97289.1973</v>
      </c>
      <c r="N261" s="59"/>
    </row>
    <row r="262" spans="3:14" x14ac:dyDescent="0.3">
      <c r="C262" s="40">
        <v>45005</v>
      </c>
      <c r="D262" s="41"/>
      <c r="E262" s="42">
        <v>2</v>
      </c>
      <c r="F262" s="43">
        <v>1437</v>
      </c>
      <c r="G262" s="44">
        <v>27220620587</v>
      </c>
      <c r="H262" s="99" t="str">
        <f>IFERROR(IF(venta_a_mes55253[[#This Row],[CUIT]]="","-",VLOOKUP(venta_a_mes55253[[#This Row],[CUIT]],Lista_CUIT[#All],2,0)),"CUIT NO CARGADO")</f>
        <v>SILVINA ZANON</v>
      </c>
      <c r="I262" s="100">
        <v>73443.8416</v>
      </c>
      <c r="J262" s="328"/>
      <c r="K262" s="65"/>
      <c r="L262" s="65"/>
      <c r="M262" s="329">
        <f>SUM(venta_a_mes55253[[#This Row],[IMPORTE NETO]:[EXENTO]])</f>
        <v>73443.8416</v>
      </c>
      <c r="N262" s="59"/>
    </row>
    <row r="263" spans="3:14" x14ac:dyDescent="0.3">
      <c r="C263" s="322" t="s">
        <v>103</v>
      </c>
      <c r="D263" s="323"/>
      <c r="E263" s="323"/>
      <c r="F263" s="323"/>
      <c r="G263" s="323"/>
      <c r="H263" s="323"/>
      <c r="I263" s="324">
        <f>SUBTOTAL(109,venta_a_mes55253[IMPORTE NETO])</f>
        <v>543050.2953</v>
      </c>
      <c r="J263" s="325">
        <f>SUBTOTAL(109,venta_a_mes55253[IVA 21%])</f>
        <v>0</v>
      </c>
      <c r="K263" s="326">
        <f>SUBTOTAL(109,venta_a_mes55253[IVA 10,5%])</f>
        <v>0</v>
      </c>
      <c r="L263" s="326">
        <f>SUBTOTAL(109,venta_a_mes55253[EXENTO])</f>
        <v>0</v>
      </c>
      <c r="M263" s="326">
        <f>SUBTOTAL(109,venta_a_mes55253[TOTAL])</f>
        <v>543050.2953</v>
      </c>
      <c r="N263" s="327">
        <f>SUBTOTAL(103,venta_a_mes55253[Provincia])</f>
        <v>0</v>
      </c>
    </row>
  </sheetData>
  <mergeCells count="21">
    <mergeCell ref="P4:R4"/>
    <mergeCell ref="D183:L183"/>
    <mergeCell ref="B1:F1"/>
    <mergeCell ref="G1:M1"/>
    <mergeCell ref="N1:R1"/>
    <mergeCell ref="B3:E3"/>
    <mergeCell ref="G3:H3"/>
    <mergeCell ref="J3:K3"/>
    <mergeCell ref="M3:N3"/>
    <mergeCell ref="P3:R3"/>
    <mergeCell ref="M4:N4"/>
    <mergeCell ref="B4:E4"/>
    <mergeCell ref="G4:H4"/>
    <mergeCell ref="J4:K4"/>
    <mergeCell ref="D194:K194"/>
    <mergeCell ref="B227:J227"/>
    <mergeCell ref="K227:M227"/>
    <mergeCell ref="B229:C229"/>
    <mergeCell ref="C257:D257"/>
    <mergeCell ref="C248:G248"/>
    <mergeCell ref="B236:C236"/>
  </mergeCells>
  <dataValidations count="10">
    <dataValidation type="whole" allowBlank="1" showInputMessage="1" showErrorMessage="1" sqref="E259:E262 D238:D239 E196:E223 D9:D180 D231:D232" xr:uid="{00000000-0002-0000-0300-000000000000}">
      <formula1>1</formula1>
      <formula2>9999</formula2>
    </dataValidation>
    <dataValidation type="whole" allowBlank="1" showInputMessage="1" showErrorMessage="1" sqref="F259:F262 E238:E239 F196:F223 E9:E180 E231:E232" xr:uid="{00000000-0002-0000-0300-000001000000}">
      <formula1>1</formula1>
      <formula2>99999999</formula2>
    </dataValidation>
    <dataValidation type="whole" allowBlank="1" showInputMessage="1" showErrorMessage="1" sqref="G259:G262 F238:F239 G196:G223 F9:F180 F231:F232" xr:uid="{00000000-0002-0000-0300-000002000000}">
      <formula1>20000000000</formula1>
      <formula2>33999999999</formula2>
    </dataValidation>
    <dataValidation type="date" allowBlank="1" showInputMessage="1" showErrorMessage="1" sqref="C259:C262 B238:B239 D196:D223 B9:B180 D185:D191 B231:B232 B182" xr:uid="{00000000-0002-0000-0300-000003000000}">
      <formula1>40179</formula1>
      <formula2>TODAY()</formula2>
    </dataValidation>
    <dataValidation type="whole" allowBlank="1" showInputMessage="1" showErrorMessage="1" sqref="D259:D262 C9:C180 C231:C232 C182" xr:uid="{00000000-0002-0000-0300-000004000000}">
      <formula1>1</formula1>
      <formula2>3</formula2>
    </dataValidation>
    <dataValidation type="custom" allowBlank="1" showInputMessage="1" showErrorMessage="1" sqref="H231:K231 K261:L261 I261 I259 K259:L259" xr:uid="{00000000-0002-0000-0300-000005000000}">
      <formula1>IF($C231=3,H231&lt;0,H231&gt;=0)</formula1>
    </dataValidation>
    <dataValidation type="whole" allowBlank="1" showInputMessage="1" showErrorMessage="1" sqref="C238:C239" xr:uid="{00000000-0002-0000-0300-000006000000}">
      <formula1>6</formula1>
      <formula2>8</formula2>
    </dataValidation>
    <dataValidation type="custom" allowBlank="1" showInputMessage="1" showErrorMessage="1" sqref="L231" xr:uid="{00000000-0002-0000-0300-000007000000}">
      <formula1>IF($C9=3,L9&lt;0,L9&gt;=0)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0" xr:uid="{00000000-0002-0000-0300-000008000000}">
      <formula1>IF($C9=3,H9&lt;0,H9&gt;=0)</formula1>
    </dataValidation>
    <dataValidation type="custom" allowBlank="1" showInputMessage="1" showErrorMessage="1" sqref="H238:L239" xr:uid="{00000000-0002-0000-0300-000009000000}">
      <formula1>IF($C238=8,H238&lt;0,H238&gt;=0)</formula1>
    </dataValidation>
  </dataValidations>
  <pageMargins left="0.7" right="0.7" top="0.75" bottom="0.75" header="0.3" footer="0.3"/>
  <pageSetup paperSize="9" scale="42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  <pageSetUpPr fitToPage="1"/>
  </sheetPr>
  <dimension ref="A1:Z250"/>
  <sheetViews>
    <sheetView showGridLines="0" topLeftCell="F175" zoomScale="80" zoomScaleNormal="80" workbookViewId="0">
      <selection activeCell="K182" activeCellId="1" sqref="K178 K182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9.88671875" customWidth="1"/>
    <col min="5" max="5" width="11" customWidth="1"/>
    <col min="6" max="6" width="28.44140625" customWidth="1"/>
    <col min="7" max="7" width="22.6640625" customWidth="1"/>
    <col min="8" max="8" width="16.5546875" customWidth="1"/>
    <col min="9" max="9" width="15.6640625" bestFit="1" customWidth="1"/>
    <col min="10" max="10" width="11.6640625" customWidth="1"/>
    <col min="11" max="11" width="14.88671875" bestFit="1" customWidth="1"/>
    <col min="12" max="12" width="11.44140625" customWidth="1"/>
    <col min="13" max="13" width="14.6640625" bestFit="1" customWidth="1"/>
    <col min="14" max="14" width="13.5546875" customWidth="1"/>
    <col min="15" max="15" width="12.5546875" bestFit="1" customWidth="1"/>
    <col min="16" max="16" width="12.6640625" bestFit="1" customWidth="1"/>
    <col min="17" max="17" width="22" bestFit="1" customWidth="1"/>
    <col min="18" max="18" width="14.6640625" bestFit="1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EDATE('Ene-23'!N1,3)</f>
        <v>45017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SUM(compras_mes4[[#Totals],[NETO GRAVADO]])+extracto_banco_mes4[[#Totals],[NETO]]</f>
        <v>11948015.500000002</v>
      </c>
      <c r="C4" s="659"/>
      <c r="D4" s="659"/>
      <c r="E4" s="659"/>
      <c r="F4" s="39"/>
      <c r="G4" s="660">
        <f>compras_mes4[[#Totals],[IVA 21 %]]+compras_mes4[[#Totals],[IVA 27%]]+compras_mes4[[#Totals],[IVA 10,5%]]+extracto_banco_mes4[[#Totals],[IVA 21%]]+extracto_banco_mes4[[#Totals],[IVA 10,5%]]</f>
        <v>2472027.4472000008</v>
      </c>
      <c r="H4" s="660"/>
      <c r="I4" s="39"/>
      <c r="J4" s="649">
        <f>venta_a_mes4[[#Totals],[IMPORTE NETO]]+ventas_b_mes4[[#Totals],[IMPORTE NETO]]</f>
        <v>0</v>
      </c>
      <c r="K4" s="649"/>
      <c r="L4" s="39"/>
      <c r="M4" s="649">
        <f>venta_a_mes4[[#Totals],[IVA 21%]]+venta_a_mes4[[#Totals],[IVA 10,5%]]+ventas_b_mes4[[#Totals],[IVA 21%]]+ventas_b_mes4[[#Totals],[IVA 10,5%]]</f>
        <v>0</v>
      </c>
      <c r="N4" s="649"/>
      <c r="O4" s="39"/>
      <c r="P4" s="662">
        <f>G4-M4</f>
        <v>2472027.4472000008</v>
      </c>
      <c r="Q4" s="662"/>
      <c r="R4" s="662"/>
    </row>
    <row r="5" spans="1:26" ht="33" customHeight="1" x14ac:dyDescent="0.3">
      <c r="P5" s="128"/>
    </row>
    <row r="6" spans="1:26" s="2" customFormat="1" x14ac:dyDescent="0.3">
      <c r="B6" s="40"/>
      <c r="C6" s="41"/>
      <c r="D6" s="42"/>
      <c r="E6" s="43"/>
      <c r="F6" s="44"/>
      <c r="G6" s="335" t="s">
        <v>1776</v>
      </c>
      <c r="H6" s="46"/>
      <c r="I6" s="47"/>
      <c r="J6" s="198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" customHeight="1" x14ac:dyDescent="0.3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3">
      <c r="B8" s="40">
        <v>45017</v>
      </c>
      <c r="C8" s="41">
        <v>1</v>
      </c>
      <c r="D8" s="42">
        <v>6</v>
      </c>
      <c r="E8" s="43">
        <v>3188</v>
      </c>
      <c r="F8" s="44">
        <v>20134664518</v>
      </c>
      <c r="G8" s="45" t="str">
        <f>IFERROR(IF(compras_mes4[[#This Row],[CUIT]]="","-",VLOOKUP(compras_mes4[[#This Row],[CUIT]],Lista_CUIT[#All],2,0)),"CUIT NO CARGADO")</f>
        <v>HOKAMA SERGIO ENRIQUE</v>
      </c>
      <c r="H8" s="46">
        <v>2011.57</v>
      </c>
      <c r="I8" s="85">
        <f>IF(compras_mes4[[#This Row],[NETO GRAVADO]]="","",compras_mes4[[#This Row],[NETO GRAVADO]]*0.21)</f>
        <v>422.42969999999997</v>
      </c>
      <c r="J8" s="85"/>
      <c r="K8" s="85"/>
      <c r="L8" s="85"/>
      <c r="M8" s="85"/>
      <c r="N8" s="85"/>
      <c r="O8" s="85"/>
      <c r="P8" s="48">
        <f>SUM(compras_mes4[[#This Row],[NETO GRAVADO]:[Otros / No Grav.]])</f>
        <v>2433.9996999999998</v>
      </c>
      <c r="Q8" s="49" t="str">
        <f>IFERROR(IF(compras_mes4[[#This Row],[CUIT]]="","-",VLOOKUP(compras_mes4[[#This Row],[CUIT]],Lista_CUIT[#All],3,0)),"CUIT NO CARGADO")</f>
        <v>Gastos Varios</v>
      </c>
      <c r="R8" s="49" t="str">
        <f>IFERROR(IF(compras_mes4[[#This Row],[CUIT]]="","-",VLOOKUP(compras_mes4[[#This Row],[CUIT]],Lista_CUIT[#All],4,0)),"CUIT NO CARGADO")</f>
        <v>BUENOS AIRES</v>
      </c>
    </row>
    <row r="9" spans="1:26" x14ac:dyDescent="0.3">
      <c r="B9" s="40">
        <v>45017</v>
      </c>
      <c r="C9" s="41">
        <v>1</v>
      </c>
      <c r="D9" s="42">
        <v>12</v>
      </c>
      <c r="E9" s="43">
        <v>20922</v>
      </c>
      <c r="F9" s="44">
        <v>30696131003</v>
      </c>
      <c r="G9" s="45" t="str">
        <f>IFERROR(IF(compras_mes4[[#This Row],[CUIT]]="","-",VLOOKUP(compras_mes4[[#This Row],[CUIT]],Lista_CUIT[#All],2,0)),"CUIT NO CARGADO")</f>
        <v>Petrolfe S.A.</v>
      </c>
      <c r="H9" s="46">
        <v>21149.24</v>
      </c>
      <c r="I9" s="85">
        <f>IF(compras_mes4[[#This Row],[NETO GRAVADO]]="","",compras_mes4[[#This Row],[NETO GRAVADO]]*0.21)</f>
        <v>4441.3404</v>
      </c>
      <c r="J9" s="85"/>
      <c r="K9" s="85"/>
      <c r="L9" s="85"/>
      <c r="M9" s="85"/>
      <c r="N9" s="85"/>
      <c r="O9" s="85">
        <v>4781.09</v>
      </c>
      <c r="P9" s="48">
        <f>SUM(compras_mes4[[#This Row],[NETO GRAVADO]:[Otros / No Grav.]])</f>
        <v>30371.670400000003</v>
      </c>
      <c r="Q9" s="49" t="str">
        <f>IFERROR(IF(compras_mes4[[#This Row],[CUIT]]="","-",VLOOKUP(compras_mes4[[#This Row],[CUIT]],Lista_CUIT[#All],3,0)),"CUIT NO CARGADO")</f>
        <v>Combustible</v>
      </c>
      <c r="R9" s="49">
        <f>IFERROR(IF(compras_mes4[[#This Row],[CUIT]]="","-",VLOOKUP(compras_mes4[[#This Row],[CUIT]],Lista_CUIT[#All],4,0)),"CUIT NO CARGADO")</f>
        <v>0</v>
      </c>
    </row>
    <row r="10" spans="1:26" x14ac:dyDescent="0.3">
      <c r="B10" s="40">
        <v>45017</v>
      </c>
      <c r="C10" s="41">
        <v>1</v>
      </c>
      <c r="D10" s="42">
        <v>2199</v>
      </c>
      <c r="E10" s="43">
        <v>21234</v>
      </c>
      <c r="F10" s="44">
        <v>30548083156</v>
      </c>
      <c r="G10" s="45" t="str">
        <f>IFERROR(IF(compras_mes4[[#This Row],[CUIT]]="","-",VLOOKUP(compras_mes4[[#This Row],[CUIT]],Lista_CUIT[#All],2,0)),"CUIT NO CARGADO")</f>
        <v>COTO CENTRO INTEGRAL DE COMERCIALIZACION SOCIEDAD ANONIMA</v>
      </c>
      <c r="H10" s="46">
        <v>16108.77</v>
      </c>
      <c r="I10" s="85">
        <v>2771</v>
      </c>
      <c r="J10" s="85"/>
      <c r="K10" s="85">
        <v>305.92</v>
      </c>
      <c r="L10" s="85"/>
      <c r="M10" s="85"/>
      <c r="N10" s="85"/>
      <c r="O10" s="85">
        <v>1329.8</v>
      </c>
      <c r="P10" s="87">
        <f>SUM(compras_mes4[[#This Row],[NETO GRAVADO]:[Otros / No Grav.]])</f>
        <v>20515.489999999998</v>
      </c>
      <c r="Q10" s="49" t="str">
        <f>IFERROR(IF(compras_mes4[[#This Row],[CUIT]]="","-",VLOOKUP(compras_mes4[[#This Row],[CUIT]],Lista_CUIT[#All],3,0)),"CUIT NO CARGADO")</f>
        <v>GASTOS COMERCIALES</v>
      </c>
      <c r="R10" s="49">
        <f>IFERROR(IF(compras_mes4[[#This Row],[CUIT]]="","-",VLOOKUP(compras_mes4[[#This Row],[CUIT]],Lista_CUIT[#All],4,0)),"CUIT NO CARGADO")</f>
        <v>0</v>
      </c>
    </row>
    <row r="11" spans="1:26" x14ac:dyDescent="0.3">
      <c r="B11" s="89">
        <v>45018</v>
      </c>
      <c r="C11" s="41">
        <v>1</v>
      </c>
      <c r="D11" s="91">
        <v>50</v>
      </c>
      <c r="E11" s="92">
        <v>3031439</v>
      </c>
      <c r="F11" s="93">
        <v>30714112836</v>
      </c>
      <c r="G11" s="94" t="str">
        <f>IFERROR(IF(compras_mes4[[#This Row],[CUIT]]="","-",VLOOKUP(compras_mes4[[#This Row],[CUIT]],Lista_CUIT[#All],2,0)),"CUIT NO CARGADO")</f>
        <v>AUTOPISTAS DE BS AS</v>
      </c>
      <c r="H11" s="95">
        <v>2351.2399999999998</v>
      </c>
      <c r="I11" s="86">
        <f>IF(compras_mes4[[#This Row],[NETO GRAVADO]]="","",compras_mes4[[#This Row],[NETO GRAVADO]]*0.21)</f>
        <v>493.76039999999995</v>
      </c>
      <c r="J11" s="86"/>
      <c r="K11" s="86"/>
      <c r="L11" s="86">
        <v>70.540000000000006</v>
      </c>
      <c r="M11" s="86"/>
      <c r="N11" s="86"/>
      <c r="O11" s="86"/>
      <c r="P11" s="87">
        <f>SUM(compras_mes4[[#This Row],[NETO GRAVADO]:[Otros / No Grav.]])</f>
        <v>2915.5403999999999</v>
      </c>
      <c r="Q11" s="88">
        <f>IFERROR(IF(compras_mes4[[#This Row],[CUIT]]="","-",VLOOKUP(compras_mes4[[#This Row],[CUIT]],Lista_CUIT[#All],3,0)),"CUIT NO CARGADO")</f>
        <v>0</v>
      </c>
      <c r="R11" s="88">
        <f>IFERROR(IF(compras_mes4[[#This Row],[CUIT]]="","-",VLOOKUP(compras_mes4[[#This Row],[CUIT]],Lista_CUIT[#All],4,0)),"CUIT NO CARGADO")</f>
        <v>0</v>
      </c>
    </row>
    <row r="12" spans="1:26" x14ac:dyDescent="0.3">
      <c r="B12" s="89">
        <v>45019</v>
      </c>
      <c r="C12" s="41">
        <v>1</v>
      </c>
      <c r="D12" s="91">
        <v>2</v>
      </c>
      <c r="E12" s="92">
        <v>18</v>
      </c>
      <c r="F12" s="93">
        <v>30717768511</v>
      </c>
      <c r="G12" s="94" t="str">
        <f>IFERROR(IF(compras_mes4[[#This Row],[CUIT]]="","-",VLOOKUP(compras_mes4[[#This Row],[CUIT]],Lista_CUIT[#All],2,0)),"CUIT NO CARGADO")</f>
        <v>DEALER S. CAP I SECC IV</v>
      </c>
      <c r="H12" s="95">
        <v>36750.32</v>
      </c>
      <c r="I12" s="86">
        <f>IF(compras_mes4[[#This Row],[NETO GRAVADO]]="","",compras_mes4[[#This Row],[NETO GRAVADO]]*0.21)</f>
        <v>7717.5671999999995</v>
      </c>
      <c r="J12" s="86"/>
      <c r="K12" s="86"/>
      <c r="L12" s="86"/>
      <c r="M12" s="86"/>
      <c r="N12" s="86"/>
      <c r="O12" s="86"/>
      <c r="P12" s="87">
        <f>SUM(compras_mes4[[#This Row],[NETO GRAVADO]:[Otros / No Grav.]])</f>
        <v>44467.887199999997</v>
      </c>
      <c r="Q12" s="88">
        <f>IFERROR(IF(compras_mes4[[#This Row],[CUIT]]="","-",VLOOKUP(compras_mes4[[#This Row],[CUIT]],Lista_CUIT[#All],3,0)),"CUIT NO CARGADO")</f>
        <v>0</v>
      </c>
      <c r="R12" s="88">
        <f>IFERROR(IF(compras_mes4[[#This Row],[CUIT]]="","-",VLOOKUP(compras_mes4[[#This Row],[CUIT]],Lista_CUIT[#All],4,0)),"CUIT NO CARGADO")</f>
        <v>0</v>
      </c>
    </row>
    <row r="13" spans="1:26" x14ac:dyDescent="0.3">
      <c r="B13" s="40">
        <v>45019</v>
      </c>
      <c r="C13" s="41">
        <v>1</v>
      </c>
      <c r="D13" s="42">
        <v>1</v>
      </c>
      <c r="E13" s="43">
        <v>365</v>
      </c>
      <c r="F13" s="44">
        <v>20131206144</v>
      </c>
      <c r="G13" s="45" t="str">
        <f>IFERROR(IF(compras_mes4[[#This Row],[CUIT]]="","-",VLOOKUP(compras_mes4[[#This Row],[CUIT]],Lista_CUIT[#All],2,0)),"CUIT NO CARGADO")</f>
        <v>CHAMORRO MANUEL</v>
      </c>
      <c r="H13" s="46">
        <v>60000</v>
      </c>
      <c r="I13" s="85">
        <f>IF(compras_mes4[[#This Row],[NETO GRAVADO]]="","",compras_mes4[[#This Row],[NETO GRAVADO]]*0.21)</f>
        <v>12600</v>
      </c>
      <c r="J13" s="85"/>
      <c r="K13" s="85"/>
      <c r="L13" s="85"/>
      <c r="M13" s="85"/>
      <c r="N13" s="85"/>
      <c r="O13" s="85"/>
      <c r="P13" s="48">
        <f>SUM(compras_mes4[[#This Row],[NETO GRAVADO]:[Otros / No Grav.]])</f>
        <v>72600</v>
      </c>
      <c r="Q13" s="49" t="str">
        <f>IFERROR(IF(compras_mes4[[#This Row],[CUIT]]="","-",VLOOKUP(compras_mes4[[#This Row],[CUIT]],Lista_CUIT[#All],3,0)),"CUIT NO CARGADO")</f>
        <v>Alquiler</v>
      </c>
      <c r="R13" s="49">
        <f>IFERROR(IF(compras_mes4[[#This Row],[CUIT]]="","-",VLOOKUP(compras_mes4[[#This Row],[CUIT]],Lista_CUIT[#All],4,0)),"CUIT NO CARGADO")</f>
        <v>0</v>
      </c>
    </row>
    <row r="14" spans="1:26" s="56" customFormat="1" ht="18.600000000000001" customHeight="1" x14ac:dyDescent="0.3">
      <c r="B14" s="89">
        <v>45019</v>
      </c>
      <c r="C14" s="41">
        <v>1</v>
      </c>
      <c r="D14" s="91">
        <v>6</v>
      </c>
      <c r="E14" s="92">
        <v>2503</v>
      </c>
      <c r="F14" s="93">
        <v>30574603788</v>
      </c>
      <c r="G14" s="94" t="str">
        <f>IFERROR(IF(compras_mes4[[#This Row],[CUIT]]="","-",VLOOKUP(compras_mes4[[#This Row],[CUIT]],Lista_CUIT[#All],2,0)),"CUIT NO CARGADO")</f>
        <v>CODAC SRL</v>
      </c>
      <c r="H14" s="95">
        <v>1287526</v>
      </c>
      <c r="I14" s="86">
        <f>IF(compras_mes4[[#This Row],[NETO GRAVADO]]="","",compras_mes4[[#This Row],[NETO GRAVADO]]*0.21)</f>
        <v>270380.45999999996</v>
      </c>
      <c r="J14" s="86"/>
      <c r="K14" s="86"/>
      <c r="L14" s="86"/>
      <c r="M14" s="86"/>
      <c r="N14" s="86"/>
      <c r="O14" s="86"/>
      <c r="P14" s="87">
        <f>SUM(compras_mes4[[#This Row],[NETO GRAVADO]:[Otros / No Grav.]])</f>
        <v>1557906.46</v>
      </c>
      <c r="Q14" s="88" t="str">
        <f>IFERROR(IF(compras_mes4[[#This Row],[CUIT]]="","-",VLOOKUP(compras_mes4[[#This Row],[CUIT]],Lista_CUIT[#All],3,0)),"CUIT NO CARGADO")</f>
        <v>GASTOS COSMETICA</v>
      </c>
      <c r="R14" s="88" t="str">
        <f>IFERROR(IF(compras_mes4[[#This Row],[CUIT]]="","-",VLOOKUP(compras_mes4[[#This Row],[CUIT]],Lista_CUIT[#All],4,0)),"CUIT NO CARGADO")</f>
        <v>BUENOS AIRES</v>
      </c>
    </row>
    <row r="15" spans="1:26" x14ac:dyDescent="0.3">
      <c r="B15" s="40">
        <v>45019</v>
      </c>
      <c r="C15" s="41">
        <v>1</v>
      </c>
      <c r="D15" s="42">
        <v>7</v>
      </c>
      <c r="E15" s="43">
        <v>3689</v>
      </c>
      <c r="F15" s="44">
        <v>30714144339</v>
      </c>
      <c r="G15" s="45" t="str">
        <f>IFERROR(IF(compras_mes4[[#This Row],[CUIT]]="","-",VLOOKUP(compras_mes4[[#This Row],[CUIT]],Lista_CUIT[#All],2,0)),"CUIT NO CARGADO")</f>
        <v>EMPRENDIMIENTOS XYNCO S.R.L.</v>
      </c>
      <c r="H15" s="46">
        <v>29142.080000000002</v>
      </c>
      <c r="I15" s="85"/>
      <c r="J15" s="85"/>
      <c r="K15" s="85">
        <v>3059.92</v>
      </c>
      <c r="L15" s="85"/>
      <c r="M15" s="85"/>
      <c r="N15" s="85"/>
      <c r="O15" s="85"/>
      <c r="P15" s="48">
        <f>SUM(compras_mes4[[#This Row],[NETO GRAVADO]:[Otros / No Grav.]])</f>
        <v>32202</v>
      </c>
      <c r="Q15" s="49">
        <f>IFERROR(IF(compras_mes4[[#This Row],[CUIT]]="","-",VLOOKUP(compras_mes4[[#This Row],[CUIT]],Lista_CUIT[#All],3,0)),"CUIT NO CARGADO")</f>
        <v>0</v>
      </c>
      <c r="R15" s="49">
        <f>IFERROR(IF(compras_mes4[[#This Row],[CUIT]]="","-",VLOOKUP(compras_mes4[[#This Row],[CUIT]],Lista_CUIT[#All],4,0)),"CUIT NO CARGADO")</f>
        <v>0</v>
      </c>
    </row>
    <row r="16" spans="1:26" x14ac:dyDescent="0.3">
      <c r="B16" s="40">
        <v>45019</v>
      </c>
      <c r="C16" s="41">
        <v>1</v>
      </c>
      <c r="D16" s="42">
        <v>5014</v>
      </c>
      <c r="E16" s="43">
        <v>395332</v>
      </c>
      <c r="F16" s="44">
        <v>30574876474</v>
      </c>
      <c r="G16" s="45" t="str">
        <f>IFERROR(IF(compras_mes4[[#This Row],[CUIT]]="","-",VLOOKUP(compras_mes4[[#This Row],[CUIT]],Lista_CUIT[#All],2,0)),"CUIT NO CARGADO")</f>
        <v>AUTOPISTAS URBANAS S A</v>
      </c>
      <c r="H16" s="46">
        <v>18763.61</v>
      </c>
      <c r="I16" s="85">
        <f>IF(compras_mes4[[#This Row],[NETO GRAVADO]]="","",compras_mes4[[#This Row],[NETO GRAVADO]]*0.21)</f>
        <v>3940.3580999999999</v>
      </c>
      <c r="J16" s="85"/>
      <c r="K16" s="85"/>
      <c r="L16" s="85"/>
      <c r="M16" s="85"/>
      <c r="N16" s="85"/>
      <c r="O16" s="85">
        <v>2438.08</v>
      </c>
      <c r="P16" s="87">
        <f>SUM(compras_mes4[[#This Row],[NETO GRAVADO]:[Otros / No Grav.]])</f>
        <v>25142.0481</v>
      </c>
      <c r="Q16" s="49">
        <f>IFERROR(IF(compras_mes4[[#This Row],[CUIT]]="","-",VLOOKUP(compras_mes4[[#This Row],[CUIT]],Lista_CUIT[#All],3,0)),"CUIT NO CARGADO")</f>
        <v>0</v>
      </c>
      <c r="R16" s="49">
        <f>IFERROR(IF(compras_mes4[[#This Row],[CUIT]]="","-",VLOOKUP(compras_mes4[[#This Row],[CUIT]],Lista_CUIT[#All],4,0)),"CUIT NO CARGADO")</f>
        <v>0</v>
      </c>
    </row>
    <row r="17" spans="2:18" x14ac:dyDescent="0.3">
      <c r="B17" s="40">
        <v>45019</v>
      </c>
      <c r="C17" s="41">
        <v>1</v>
      </c>
      <c r="D17" s="42">
        <v>943</v>
      </c>
      <c r="E17" s="43">
        <v>1427248</v>
      </c>
      <c r="F17" s="44">
        <v>30639453975</v>
      </c>
      <c r="G17" s="45" t="str">
        <f>IFERROR(IF(compras_mes4[[#This Row],[CUIT]]="","-",VLOOKUP(compras_mes4[[#This Row],[CUIT]],Lista_CUIT[#All],2,0)),"CUIT NO CARGADO")</f>
        <v>TELEFONICA DE ARG S.A.</v>
      </c>
      <c r="H17" s="46">
        <v>17784</v>
      </c>
      <c r="I17" s="85"/>
      <c r="J17" s="85">
        <v>4801.68</v>
      </c>
      <c r="K17" s="85"/>
      <c r="L17" s="85">
        <v>533.52</v>
      </c>
      <c r="M17" s="85"/>
      <c r="N17" s="85">
        <v>1067.04</v>
      </c>
      <c r="O17" s="85"/>
      <c r="P17" s="48">
        <f>SUM(compras_mes4[[#This Row],[NETO GRAVADO]:[Otros / No Grav.]])</f>
        <v>24186.240000000002</v>
      </c>
      <c r="Q17" s="49" t="str">
        <f>IFERROR(IF(compras_mes4[[#This Row],[CUIT]]="","-",VLOOKUP(compras_mes4[[#This Row],[CUIT]],Lista_CUIT[#All],3,0)),"CUIT NO CARGADO")</f>
        <v>Servicios Gas, Luz, etc.</v>
      </c>
      <c r="R17" s="49">
        <f>IFERROR(IF(compras_mes4[[#This Row],[CUIT]]="","-",VLOOKUP(compras_mes4[[#This Row],[CUIT]],Lista_CUIT[#All],4,0)),"CUIT NO CARGADO")</f>
        <v>0</v>
      </c>
    </row>
    <row r="18" spans="2:18" ht="14.4" customHeight="1" x14ac:dyDescent="0.3">
      <c r="B18" s="40">
        <v>45020</v>
      </c>
      <c r="C18" s="41">
        <v>1</v>
      </c>
      <c r="D18" s="42">
        <v>3</v>
      </c>
      <c r="E18" s="43">
        <v>44</v>
      </c>
      <c r="F18" s="44">
        <v>33715993509</v>
      </c>
      <c r="G18" s="45" t="str">
        <f>IFERROR(IF(compras_mes4[[#This Row],[CUIT]]="","-",VLOOKUP(compras_mes4[[#This Row],[CUIT]],Lista_CUIT[#All],2,0)),"CUIT NO CARGADO")</f>
        <v>+Q NATURAL S.A.</v>
      </c>
      <c r="H18" s="46">
        <v>4487.6000000000004</v>
      </c>
      <c r="I18" s="85">
        <f>IF(compras_mes4[[#This Row],[NETO GRAVADO]]="","",compras_mes4[[#This Row],[NETO GRAVADO]]*0.21)</f>
        <v>942.39600000000007</v>
      </c>
      <c r="J18" s="85"/>
      <c r="K18" s="85"/>
      <c r="L18" s="85"/>
      <c r="M18" s="85"/>
      <c r="N18" s="85"/>
      <c r="O18" s="85"/>
      <c r="P18" s="48">
        <f>SUM(compras_mes4[[#This Row],[NETO GRAVADO]:[Otros / No Grav.]])</f>
        <v>5429.9960000000001</v>
      </c>
      <c r="Q18" s="49">
        <f>IFERROR(IF(compras_mes4[[#This Row],[CUIT]]="","-",VLOOKUP(compras_mes4[[#This Row],[CUIT]],Lista_CUIT[#All],3,0)),"CUIT NO CARGADO")</f>
        <v>0</v>
      </c>
      <c r="R18" s="49">
        <f>IFERROR(IF(compras_mes4[[#This Row],[CUIT]]="","-",VLOOKUP(compras_mes4[[#This Row],[CUIT]],Lista_CUIT[#All],4,0)),"CUIT NO CARGADO")</f>
        <v>0</v>
      </c>
    </row>
    <row r="19" spans="2:18" ht="14.4" customHeight="1" x14ac:dyDescent="0.3">
      <c r="B19" s="40">
        <v>45020</v>
      </c>
      <c r="C19" s="41">
        <v>1</v>
      </c>
      <c r="D19" s="42">
        <v>1</v>
      </c>
      <c r="E19" s="43">
        <v>76</v>
      </c>
      <c r="F19" s="44">
        <v>30716010313</v>
      </c>
      <c r="G19" s="45" t="str">
        <f>IFERROR(IF(compras_mes4[[#This Row],[CUIT]]="","-",VLOOKUP(compras_mes4[[#This Row],[CUIT]],Lista_CUIT[#All],2,0)),"CUIT NO CARGADO")</f>
        <v>H UNO 1469 S.A.</v>
      </c>
      <c r="H19" s="46">
        <v>38400</v>
      </c>
      <c r="I19" s="85">
        <f>IF(compras_mes4[[#This Row],[NETO GRAVADO]]="","",compras_mes4[[#This Row],[NETO GRAVADO]]*0.21)</f>
        <v>8064</v>
      </c>
      <c r="J19" s="85"/>
      <c r="K19" s="85"/>
      <c r="L19" s="85"/>
      <c r="M19" s="85"/>
      <c r="N19" s="85"/>
      <c r="O19" s="85"/>
      <c r="P19" s="48">
        <f>SUM(compras_mes4[[#This Row],[NETO GRAVADO]:[Otros / No Grav.]])</f>
        <v>46464</v>
      </c>
      <c r="Q19" s="49" t="str">
        <f>IFERROR(IF(compras_mes4[[#This Row],[CUIT]]="","-",VLOOKUP(compras_mes4[[#This Row],[CUIT]],Lista_CUIT[#All],3,0)),"CUIT NO CARGADO")</f>
        <v>Alquiler</v>
      </c>
      <c r="R19" s="49">
        <f>IFERROR(IF(compras_mes4[[#This Row],[CUIT]]="","-",VLOOKUP(compras_mes4[[#This Row],[CUIT]],Lista_CUIT[#All],4,0)),"CUIT NO CARGADO")</f>
        <v>0</v>
      </c>
    </row>
    <row r="20" spans="2:18" ht="14.4" customHeight="1" x14ac:dyDescent="0.3">
      <c r="B20" s="40">
        <v>45020</v>
      </c>
      <c r="C20" s="41">
        <v>1</v>
      </c>
      <c r="D20" s="42">
        <v>32</v>
      </c>
      <c r="E20" s="43">
        <v>1483</v>
      </c>
      <c r="F20" s="44">
        <v>30696106068</v>
      </c>
      <c r="G20" s="45" t="str">
        <f>IFERROR(IF(compras_mes4[[#This Row],[CUIT]]="","-",VLOOKUP(compras_mes4[[#This Row],[CUIT]],Lista_CUIT[#All],2,0)),"CUIT NO CARGADO")</f>
        <v>PINTURERIAS LIBERATO SRL</v>
      </c>
      <c r="H20" s="46">
        <v>2757.81</v>
      </c>
      <c r="I20" s="85">
        <f>IF(compras_mes4[[#This Row],[NETO GRAVADO]]="","",compras_mes4[[#This Row],[NETO GRAVADO]]*0.21)</f>
        <v>579.14009999999996</v>
      </c>
      <c r="J20" s="85"/>
      <c r="K20" s="85"/>
      <c r="L20" s="85"/>
      <c r="M20" s="85"/>
      <c r="N20" s="85"/>
      <c r="O20" s="85"/>
      <c r="P20" s="48">
        <f>SUM(compras_mes4[[#This Row],[NETO GRAVADO]:[Otros / No Grav.]])</f>
        <v>3336.9501</v>
      </c>
      <c r="Q20" s="49">
        <f>IFERROR(IF(compras_mes4[[#This Row],[CUIT]]="","-",VLOOKUP(compras_mes4[[#This Row],[CUIT]],Lista_CUIT[#All],3,0)),"CUIT NO CARGADO")</f>
        <v>0</v>
      </c>
      <c r="R20" s="49">
        <f>IFERROR(IF(compras_mes4[[#This Row],[CUIT]]="","-",VLOOKUP(compras_mes4[[#This Row],[CUIT]],Lista_CUIT[#All],4,0)),"CUIT NO CARGADO")</f>
        <v>0</v>
      </c>
    </row>
    <row r="21" spans="2:18" ht="14.4" customHeight="1" x14ac:dyDescent="0.3">
      <c r="B21" s="40">
        <v>45020</v>
      </c>
      <c r="C21" s="41">
        <v>1</v>
      </c>
      <c r="D21" s="42">
        <v>2</v>
      </c>
      <c r="E21" s="43">
        <v>5911</v>
      </c>
      <c r="F21" s="44">
        <v>33714677239</v>
      </c>
      <c r="G21" s="45" t="str">
        <f>IFERROR(IF(compras_mes4[[#This Row],[CUIT]]="","-",VLOOKUP(compras_mes4[[#This Row],[CUIT]],Lista_CUIT[#All],2,0)),"CUIT NO CARGADO")</f>
        <v xml:space="preserve">BOMBAS VAPORIZADORAS </v>
      </c>
      <c r="H21" s="46">
        <v>238150</v>
      </c>
      <c r="I21" s="85">
        <f>IF(compras_mes4[[#This Row],[NETO GRAVADO]]="","",compras_mes4[[#This Row],[NETO GRAVADO]]*0.21)</f>
        <v>50011.5</v>
      </c>
      <c r="J21" s="85"/>
      <c r="K21" s="85"/>
      <c r="L21" s="85"/>
      <c r="M21" s="85"/>
      <c r="N21" s="85"/>
      <c r="O21" s="85"/>
      <c r="P21" s="48">
        <f>SUM(compras_mes4[[#This Row],[NETO GRAVADO]:[Otros / No Grav.]])</f>
        <v>288161.5</v>
      </c>
      <c r="Q21" s="49" t="str">
        <f>IFERROR(IF(compras_mes4[[#This Row],[CUIT]]="","-",VLOOKUP(compras_mes4[[#This Row],[CUIT]],Lista_CUIT[#All],3,0)),"CUIT NO CARGADO")</f>
        <v>GASTOS VEHICULO</v>
      </c>
      <c r="R21" s="49">
        <f>IFERROR(IF(compras_mes4[[#This Row],[CUIT]]="","-",VLOOKUP(compras_mes4[[#This Row],[CUIT]],Lista_CUIT[#All],4,0)),"CUIT NO CARGADO")</f>
        <v>0</v>
      </c>
    </row>
    <row r="22" spans="2:18" ht="14.4" customHeight="1" x14ac:dyDescent="0.3">
      <c r="B22" s="40">
        <v>45020</v>
      </c>
      <c r="C22" s="41">
        <v>1</v>
      </c>
      <c r="D22" s="42">
        <v>2</v>
      </c>
      <c r="E22" s="43">
        <v>5912</v>
      </c>
      <c r="F22" s="44">
        <v>33714677239</v>
      </c>
      <c r="G22" s="45" t="str">
        <f>IFERROR(IF(compras_mes4[[#This Row],[CUIT]]="","-",VLOOKUP(compras_mes4[[#This Row],[CUIT]],Lista_CUIT[#All],2,0)),"CUIT NO CARGADO")</f>
        <v xml:space="preserve">BOMBAS VAPORIZADORAS </v>
      </c>
      <c r="H22" s="46">
        <v>433000</v>
      </c>
      <c r="I22" s="85">
        <f>IF(compras_mes4[[#This Row],[NETO GRAVADO]]="","",compras_mes4[[#This Row],[NETO GRAVADO]]*0.21)</f>
        <v>90930</v>
      </c>
      <c r="J22" s="85"/>
      <c r="K22" s="85"/>
      <c r="L22" s="85"/>
      <c r="M22" s="85"/>
      <c r="N22" s="85"/>
      <c r="O22" s="85"/>
      <c r="P22" s="48">
        <f>SUM(compras_mes4[[#This Row],[NETO GRAVADO]:[Otros / No Grav.]])</f>
        <v>523930</v>
      </c>
      <c r="Q22" s="49" t="str">
        <f>IFERROR(IF(compras_mes4[[#This Row],[CUIT]]="","-",VLOOKUP(compras_mes4[[#This Row],[CUIT]],Lista_CUIT[#All],3,0)),"CUIT NO CARGADO")</f>
        <v>GASTOS VEHICULO</v>
      </c>
      <c r="R22" s="49">
        <f>IFERROR(IF(compras_mes4[[#This Row],[CUIT]]="","-",VLOOKUP(compras_mes4[[#This Row],[CUIT]],Lista_CUIT[#All],4,0)),"CUIT NO CARGADO")</f>
        <v>0</v>
      </c>
    </row>
    <row r="23" spans="2:18" ht="14.4" customHeight="1" x14ac:dyDescent="0.3">
      <c r="B23" s="40">
        <v>45020</v>
      </c>
      <c r="C23" s="41">
        <v>1</v>
      </c>
      <c r="D23" s="42">
        <v>3</v>
      </c>
      <c r="E23" s="43">
        <v>6441</v>
      </c>
      <c r="F23" s="44">
        <v>30708006420</v>
      </c>
      <c r="G23" s="45" t="str">
        <f>IFERROR(IF(compras_mes4[[#This Row],[CUIT]]="","-",VLOOKUP(compras_mes4[[#This Row],[CUIT]],Lista_CUIT[#All],2,0)),"CUIT NO CARGADO")</f>
        <v>MEDILEA S.A.</v>
      </c>
      <c r="H23" s="46">
        <v>102900</v>
      </c>
      <c r="I23" s="85">
        <f>IF(compras_mes4[[#This Row],[NETO GRAVADO]]="","",compras_mes4[[#This Row],[NETO GRAVADO]]*0.21)</f>
        <v>21609</v>
      </c>
      <c r="J23" s="85"/>
      <c r="K23" s="85"/>
      <c r="L23" s="85"/>
      <c r="M23" s="85"/>
      <c r="N23" s="85"/>
      <c r="O23" s="85"/>
      <c r="P23" s="48">
        <f>SUM(compras_mes4[[#This Row],[NETO GRAVADO]:[Otros / No Grav.]])</f>
        <v>124509</v>
      </c>
      <c r="Q23" s="49">
        <f>IFERROR(IF(compras_mes4[[#This Row],[CUIT]]="","-",VLOOKUP(compras_mes4[[#This Row],[CUIT]],Lista_CUIT[#All],3,0)),"CUIT NO CARGADO")</f>
        <v>0</v>
      </c>
      <c r="R23" s="49">
        <f>IFERROR(IF(compras_mes4[[#This Row],[CUIT]]="","-",VLOOKUP(compras_mes4[[#This Row],[CUIT]],Lista_CUIT[#All],4,0)),"CUIT NO CARGADO")</f>
        <v>0</v>
      </c>
    </row>
    <row r="24" spans="2:18" ht="14.4" customHeight="1" x14ac:dyDescent="0.3">
      <c r="B24" s="40">
        <v>45020</v>
      </c>
      <c r="C24" s="41">
        <v>1</v>
      </c>
      <c r="D24" s="42">
        <v>2</v>
      </c>
      <c r="E24" s="43">
        <v>7884</v>
      </c>
      <c r="F24" s="44">
        <v>30714284963</v>
      </c>
      <c r="G24" s="45" t="str">
        <f>IFERROR(IF(compras_mes4[[#This Row],[CUIT]]="","-",VLOOKUP(compras_mes4[[#This Row],[CUIT]],Lista_CUIT[#All],2,0)),"CUIT NO CARGADO")</f>
        <v>ENGYMAN SRL</v>
      </c>
      <c r="H24" s="46">
        <v>27680</v>
      </c>
      <c r="I24" s="85">
        <f>IF(compras_mes4[[#This Row],[NETO GRAVADO]]="","",compras_mes4[[#This Row],[NETO GRAVADO]]*0.21)</f>
        <v>5812.8</v>
      </c>
      <c r="J24" s="85"/>
      <c r="K24" s="85"/>
      <c r="L24" s="85"/>
      <c r="M24" s="85"/>
      <c r="N24" s="85"/>
      <c r="O24" s="85"/>
      <c r="P24" s="48">
        <f>SUM(compras_mes4[[#This Row],[NETO GRAVADO]:[Otros / No Grav.]])</f>
        <v>33492.800000000003</v>
      </c>
      <c r="Q24" s="49">
        <f>IFERROR(IF(compras_mes4[[#This Row],[CUIT]]="","-",VLOOKUP(compras_mes4[[#This Row],[CUIT]],Lista_CUIT[#All],3,0)),"CUIT NO CARGADO")</f>
        <v>0</v>
      </c>
      <c r="R24" s="49">
        <f>IFERROR(IF(compras_mes4[[#This Row],[CUIT]]="","-",VLOOKUP(compras_mes4[[#This Row],[CUIT]],Lista_CUIT[#All],4,0)),"CUIT NO CARGADO")</f>
        <v>0</v>
      </c>
    </row>
    <row r="25" spans="2:18" ht="14.4" customHeight="1" x14ac:dyDescent="0.3">
      <c r="B25" s="330">
        <v>45020</v>
      </c>
      <c r="C25" s="331">
        <v>1</v>
      </c>
      <c r="D25" s="332">
        <v>20</v>
      </c>
      <c r="E25" s="333">
        <v>8157</v>
      </c>
      <c r="F25" s="334">
        <v>30515800219</v>
      </c>
      <c r="G25" s="335" t="str">
        <f>IFERROR(IF(compras_mes4[[#This Row],[CUIT]]="","-",VLOOKUP(compras_mes4[[#This Row],[CUIT]],Lista_CUIT[#All],2,0)),"CUIT NO CARGADO")</f>
        <v>INCAT SRL</v>
      </c>
      <c r="H25" s="336">
        <v>555.03</v>
      </c>
      <c r="I25" s="337">
        <f>IF(compras_mes4[[#This Row],[NETO GRAVADO]]="","",compras_mes4[[#This Row],[NETO GRAVADO]]*0.21)</f>
        <v>116.55629999999999</v>
      </c>
      <c r="J25" s="337"/>
      <c r="K25" s="337"/>
      <c r="L25" s="337"/>
      <c r="M25" s="337"/>
      <c r="N25" s="337"/>
      <c r="O25" s="337">
        <v>9.43</v>
      </c>
      <c r="P25" s="338">
        <f>SUM(compras_mes4[[#This Row],[NETO GRAVADO]:[Otros / No Grav.]])</f>
        <v>681.01629999999989</v>
      </c>
      <c r="Q25" s="339" t="str">
        <f>IFERROR(IF(compras_mes4[[#This Row],[CUIT]]="","-",VLOOKUP(compras_mes4[[#This Row],[CUIT]],Lista_CUIT[#All],3,0)),"CUIT NO CARGADO")</f>
        <v>Combustibe</v>
      </c>
      <c r="R25" s="339" t="str">
        <f>IFERROR(IF(compras_mes4[[#This Row],[CUIT]]="","-",VLOOKUP(compras_mes4[[#This Row],[CUIT]],Lista_CUIT[#All],4,0)),"CUIT NO CARGADO")</f>
        <v>CABA</v>
      </c>
    </row>
    <row r="26" spans="2:18" ht="14.4" customHeight="1" x14ac:dyDescent="0.3">
      <c r="B26" s="249">
        <v>45020</v>
      </c>
      <c r="C26" s="250">
        <v>1</v>
      </c>
      <c r="D26" s="251">
        <v>4</v>
      </c>
      <c r="E26" s="252">
        <v>19895</v>
      </c>
      <c r="F26" s="253">
        <v>30552433595</v>
      </c>
      <c r="G26" s="254" t="str">
        <f>IFERROR(IF(compras_mes4[[#This Row],[CUIT]]="","-",VLOOKUP(compras_mes4[[#This Row],[CUIT]],Lista_CUIT[#All],2,0)),"CUIT NO CARGADO")</f>
        <v>PIROPLAST SRL</v>
      </c>
      <c r="H26" s="255">
        <v>776377.13</v>
      </c>
      <c r="I26" s="256">
        <f>IF(compras_mes4[[#This Row],[NETO GRAVADO]]="","",compras_mes4[[#This Row],[NETO GRAVADO]]*0.21)</f>
        <v>163039.1973</v>
      </c>
      <c r="J26" s="256"/>
      <c r="K26" s="256"/>
      <c r="L26" s="256"/>
      <c r="M26" s="256"/>
      <c r="N26" s="256"/>
      <c r="O26" s="256"/>
      <c r="P26" s="257">
        <f>SUM(compras_mes4[[#This Row],[NETO GRAVADO]:[Otros / No Grav.]])</f>
        <v>939416.3273</v>
      </c>
      <c r="Q26" s="258" t="str">
        <f>IFERROR(IF(compras_mes4[[#This Row],[CUIT]]="","-",VLOOKUP(compras_mes4[[#This Row],[CUIT]],Lista_CUIT[#All],3,0)),"CUIT NO CARGADO")</f>
        <v>Insumo</v>
      </c>
      <c r="R26" s="258">
        <f>IFERROR(IF(compras_mes4[[#This Row],[CUIT]]="","-",VLOOKUP(compras_mes4[[#This Row],[CUIT]],Lista_CUIT[#All],4,0)),"CUIT NO CARGADO")</f>
        <v>0</v>
      </c>
    </row>
    <row r="27" spans="2:18" ht="14.4" customHeight="1" x14ac:dyDescent="0.3">
      <c r="B27" s="40">
        <v>45020</v>
      </c>
      <c r="C27" s="41">
        <v>1</v>
      </c>
      <c r="D27" s="42">
        <v>2</v>
      </c>
      <c r="E27" s="43">
        <v>34472</v>
      </c>
      <c r="F27" s="44">
        <v>33714232199</v>
      </c>
      <c r="G27" s="45" t="str">
        <f>IFERROR(IF(compras_mes4[[#This Row],[CUIT]]="","-",VLOOKUP(compras_mes4[[#This Row],[CUIT]],Lista_CUIT[#All],2,0)),"CUIT NO CARGADO")</f>
        <v>NUAGE SYSTEMS S.A.</v>
      </c>
      <c r="H27" s="46">
        <v>32591.16</v>
      </c>
      <c r="I27" s="85">
        <f>IF(compras_mes4[[#This Row],[NETO GRAVADO]]="","",compras_mes4[[#This Row],[NETO GRAVADO]]*0.21)</f>
        <v>6844.1435999999994</v>
      </c>
      <c r="J27" s="85"/>
      <c r="K27" s="85"/>
      <c r="L27" s="85"/>
      <c r="M27" s="85"/>
      <c r="N27" s="85"/>
      <c r="O27" s="85"/>
      <c r="P27" s="48">
        <f>SUM(compras_mes4[[#This Row],[NETO GRAVADO]:[Otros / No Grav.]])</f>
        <v>39435.303599999999</v>
      </c>
      <c r="Q27" s="49">
        <f>IFERROR(IF(compras_mes4[[#This Row],[CUIT]]="","-",VLOOKUP(compras_mes4[[#This Row],[CUIT]],Lista_CUIT[#All],3,0)),"CUIT NO CARGADO")</f>
        <v>0</v>
      </c>
      <c r="R27" s="49">
        <f>IFERROR(IF(compras_mes4[[#This Row],[CUIT]]="","-",VLOOKUP(compras_mes4[[#This Row],[CUIT]],Lista_CUIT[#All],4,0)),"CUIT NO CARGADO")</f>
        <v>0</v>
      </c>
    </row>
    <row r="28" spans="2:18" ht="14.4" customHeight="1" x14ac:dyDescent="0.3">
      <c r="B28" s="40">
        <v>45020</v>
      </c>
      <c r="C28" s="41">
        <v>1</v>
      </c>
      <c r="D28" s="42">
        <v>4</v>
      </c>
      <c r="E28" s="43">
        <v>41972</v>
      </c>
      <c r="F28" s="44">
        <v>30709863076</v>
      </c>
      <c r="G28" s="45" t="str">
        <f>IFERROR(IF(compras_mes4[[#This Row],[CUIT]]="","-",VLOOKUP(compras_mes4[[#This Row],[CUIT]],Lista_CUIT[#All],2,0)),"CUIT NO CARGADO")</f>
        <v>INDUSTRIAS PLASTICOS SALTA S.R.L.</v>
      </c>
      <c r="H28" s="46">
        <v>36140.5</v>
      </c>
      <c r="I28" s="85">
        <f>IF(compras_mes4[[#This Row],[NETO GRAVADO]]="","",compras_mes4[[#This Row],[NETO GRAVADO]]*0.21)</f>
        <v>7589.5050000000001</v>
      </c>
      <c r="J28" s="85"/>
      <c r="K28" s="85"/>
      <c r="L28" s="85"/>
      <c r="M28" s="85"/>
      <c r="N28" s="85"/>
      <c r="O28" s="85"/>
      <c r="P28" s="48">
        <f>SUM(compras_mes4[[#This Row],[NETO GRAVADO]:[Otros / No Grav.]])</f>
        <v>43730.004999999997</v>
      </c>
      <c r="Q28" s="49">
        <f>IFERROR(IF(compras_mes4[[#This Row],[CUIT]]="","-",VLOOKUP(compras_mes4[[#This Row],[CUIT]],Lista_CUIT[#All],3,0)),"CUIT NO CARGADO")</f>
        <v>0</v>
      </c>
      <c r="R28" s="49">
        <f>IFERROR(IF(compras_mes4[[#This Row],[CUIT]]="","-",VLOOKUP(compras_mes4[[#This Row],[CUIT]],Lista_CUIT[#All],4,0)),"CUIT NO CARGADO")</f>
        <v>0</v>
      </c>
    </row>
    <row r="29" spans="2:18" ht="14.4" customHeight="1" x14ac:dyDescent="0.3">
      <c r="B29" s="40">
        <v>45020</v>
      </c>
      <c r="C29" s="41">
        <v>1</v>
      </c>
      <c r="D29" s="42">
        <v>711</v>
      </c>
      <c r="E29" s="43">
        <v>4141845</v>
      </c>
      <c r="F29" s="44">
        <v>30677237119</v>
      </c>
      <c r="G29" s="45" t="str">
        <f>IFERROR(IF(compras_mes4[[#This Row],[CUIT]]="","-",VLOOKUP(compras_mes4[[#This Row],[CUIT]],Lista_CUIT[#All],2,0)),"CUIT NO CARGADO")</f>
        <v>AUTOPISTAS DEL SOL S A</v>
      </c>
      <c r="H29" s="46">
        <v>2630.61</v>
      </c>
      <c r="I29" s="85">
        <f>IF(compras_mes4[[#This Row],[NETO GRAVADO]]="","",compras_mes4[[#This Row],[NETO GRAVADO]]*0.21)</f>
        <v>552.42809999999997</v>
      </c>
      <c r="J29" s="85"/>
      <c r="K29" s="85"/>
      <c r="L29" s="85"/>
      <c r="M29" s="85"/>
      <c r="N29" s="85"/>
      <c r="O29" s="85">
        <v>78.92</v>
      </c>
      <c r="P29" s="48">
        <f>SUM(compras_mes4[[#This Row],[NETO GRAVADO]:[Otros / No Grav.]])</f>
        <v>3261.9581000000003</v>
      </c>
      <c r="Q29" s="49">
        <f>IFERROR(IF(compras_mes4[[#This Row],[CUIT]]="","-",VLOOKUP(compras_mes4[[#This Row],[CUIT]],Lista_CUIT[#All],3,0)),"CUIT NO CARGADO")</f>
        <v>0</v>
      </c>
      <c r="R29" s="49">
        <f>IFERROR(IF(compras_mes4[[#This Row],[CUIT]]="","-",VLOOKUP(compras_mes4[[#This Row],[CUIT]],Lista_CUIT[#All],4,0)),"CUIT NO CARGADO")</f>
        <v>0</v>
      </c>
    </row>
    <row r="30" spans="2:18" ht="14.4" customHeight="1" x14ac:dyDescent="0.3">
      <c r="B30" s="40">
        <v>45021</v>
      </c>
      <c r="C30" s="41">
        <v>2</v>
      </c>
      <c r="D30" s="42">
        <v>7</v>
      </c>
      <c r="E30" s="43">
        <v>1462</v>
      </c>
      <c r="F30" s="44">
        <v>30691617773</v>
      </c>
      <c r="G30" s="45" t="str">
        <f>IFERROR(IF(compras_mes4[[#This Row],[CUIT]]="","-",VLOOKUP(compras_mes4[[#This Row],[CUIT]],Lista_CUIT[#All],2,0)),"CUIT NO CARGADO")</f>
        <v>NOVACHEM S R L</v>
      </c>
      <c r="H30" s="46">
        <v>1105.29</v>
      </c>
      <c r="I30" s="85">
        <f>IF(compras_mes4[[#This Row],[NETO GRAVADO]]="","",compras_mes4[[#This Row],[NETO GRAVADO]]*0.21)</f>
        <v>232.11089999999999</v>
      </c>
      <c r="J30" s="85"/>
      <c r="K30" s="85"/>
      <c r="L30" s="85"/>
      <c r="M30" s="85"/>
      <c r="N30" s="85"/>
      <c r="O30" s="85"/>
      <c r="P30" s="48">
        <f>SUM(compras_mes4[[#This Row],[NETO GRAVADO]:[Otros / No Grav.]])</f>
        <v>1337.4008999999999</v>
      </c>
      <c r="Q30" s="49">
        <f>IFERROR(IF(compras_mes4[[#This Row],[CUIT]]="","-",VLOOKUP(compras_mes4[[#This Row],[CUIT]],Lista_CUIT[#All],3,0)),"CUIT NO CARGADO")</f>
        <v>0</v>
      </c>
      <c r="R30" s="49">
        <f>IFERROR(IF(compras_mes4[[#This Row],[CUIT]]="","-",VLOOKUP(compras_mes4[[#This Row],[CUIT]],Lista_CUIT[#All],4,0)),"CUIT NO CARGADO")</f>
        <v>0</v>
      </c>
    </row>
    <row r="31" spans="2:18" ht="14.4" customHeight="1" x14ac:dyDescent="0.3">
      <c r="B31" s="40">
        <v>45021</v>
      </c>
      <c r="C31" s="41">
        <v>1</v>
      </c>
      <c r="D31" s="42">
        <v>2</v>
      </c>
      <c r="E31" s="43">
        <v>3306</v>
      </c>
      <c r="F31" s="44">
        <v>30629863571</v>
      </c>
      <c r="G31" s="45" t="str">
        <f>IFERROR(IF(compras_mes4[[#This Row],[CUIT]]="","-",VLOOKUP(compras_mes4[[#This Row],[CUIT]],Lista_CUIT[#All],2,0)),"CUIT NO CARGADO")</f>
        <v>TECNIMAR S R L</v>
      </c>
      <c r="H31" s="46">
        <v>436950.62</v>
      </c>
      <c r="I31" s="85">
        <f>IF(compras_mes4[[#This Row],[NETO GRAVADO]]="","",compras_mes4[[#This Row],[NETO GRAVADO]]*0.21)</f>
        <v>91759.6302</v>
      </c>
      <c r="J31" s="85"/>
      <c r="K31" s="85"/>
      <c r="L31" s="85"/>
      <c r="M31" s="85"/>
      <c r="N31" s="85"/>
      <c r="O31" s="85"/>
      <c r="P31" s="48">
        <f>SUM(compras_mes4[[#This Row],[NETO GRAVADO]:[Otros / No Grav.]])</f>
        <v>528710.25020000001</v>
      </c>
      <c r="Q31" s="49" t="str">
        <f>IFERROR(IF(compras_mes4[[#This Row],[CUIT]]="","-",VLOOKUP(compras_mes4[[#This Row],[CUIT]],Lista_CUIT[#All],3,0)),"CUIT NO CARGADO")</f>
        <v>LABORATORIO</v>
      </c>
      <c r="R31" s="49">
        <f>IFERROR(IF(compras_mes4[[#This Row],[CUIT]]="","-",VLOOKUP(compras_mes4[[#This Row],[CUIT]],Lista_CUIT[#All],4,0)),"CUIT NO CARGADO")</f>
        <v>0</v>
      </c>
    </row>
    <row r="32" spans="2:18" ht="14.4" customHeight="1" x14ac:dyDescent="0.3">
      <c r="B32" s="40">
        <v>45021</v>
      </c>
      <c r="C32" s="41">
        <v>1</v>
      </c>
      <c r="D32" s="42">
        <v>2</v>
      </c>
      <c r="E32" s="43">
        <v>65286</v>
      </c>
      <c r="F32" s="44">
        <v>30714275824</v>
      </c>
      <c r="G32" s="45" t="str">
        <f>IFERROR(IF(compras_mes4[[#This Row],[CUIT]]="","-",VLOOKUP(compras_mes4[[#This Row],[CUIT]],Lista_CUIT[#All],2,0)),"CUIT NO CARGADO")</f>
        <v>ARG COLOR S.R.L.</v>
      </c>
      <c r="H32" s="46">
        <v>8838.02</v>
      </c>
      <c r="I32" s="85">
        <f>IF(compras_mes4[[#This Row],[NETO GRAVADO]]="","",compras_mes4[[#This Row],[NETO GRAVADO]]*0.21)</f>
        <v>1855.9842000000001</v>
      </c>
      <c r="J32" s="85"/>
      <c r="K32" s="85"/>
      <c r="L32" s="85"/>
      <c r="M32" s="85"/>
      <c r="N32" s="85">
        <v>530.28</v>
      </c>
      <c r="O32" s="85"/>
      <c r="P32" s="48">
        <f>SUM(compras_mes4[[#This Row],[NETO GRAVADO]:[Otros / No Grav.]])</f>
        <v>11224.284200000002</v>
      </c>
      <c r="Q32" s="49">
        <f>IFERROR(IF(compras_mes4[[#This Row],[CUIT]]="","-",VLOOKUP(compras_mes4[[#This Row],[CUIT]],Lista_CUIT[#All],3,0)),"CUIT NO CARGADO")</f>
        <v>0</v>
      </c>
      <c r="R32" s="49">
        <f>IFERROR(IF(compras_mes4[[#This Row],[CUIT]]="","-",VLOOKUP(compras_mes4[[#This Row],[CUIT]],Lista_CUIT[#All],4,0)),"CUIT NO CARGADO")</f>
        <v>0</v>
      </c>
    </row>
    <row r="33" spans="2:18" ht="14.4" customHeight="1" x14ac:dyDescent="0.3">
      <c r="B33" s="40">
        <v>45021</v>
      </c>
      <c r="C33" s="41">
        <v>1</v>
      </c>
      <c r="D33" s="42">
        <v>2188</v>
      </c>
      <c r="E33" s="43">
        <v>86795</v>
      </c>
      <c r="F33" s="44">
        <v>30548083156</v>
      </c>
      <c r="G33" s="45" t="str">
        <f>IFERROR(IF(compras_mes4[[#This Row],[CUIT]]="","-",VLOOKUP(compras_mes4[[#This Row],[CUIT]],Lista_CUIT[#All],2,0)),"CUIT NO CARGADO")</f>
        <v>COTO CENTRO INTEGRAL DE COMERCIALIZACION SOCIEDAD ANONIMA</v>
      </c>
      <c r="H33" s="46">
        <v>5163.84</v>
      </c>
      <c r="I33" s="85">
        <v>967.54</v>
      </c>
      <c r="J33" s="85"/>
      <c r="K33" s="85">
        <v>58.43</v>
      </c>
      <c r="L33" s="85"/>
      <c r="M33" s="85"/>
      <c r="N33" s="85"/>
      <c r="O33" s="85">
        <v>448.05</v>
      </c>
      <c r="P33" s="48">
        <f>SUM(compras_mes4[[#This Row],[NETO GRAVADO]:[Otros / No Grav.]])</f>
        <v>6637.8600000000006</v>
      </c>
      <c r="Q33" s="49" t="str">
        <f>IFERROR(IF(compras_mes4[[#This Row],[CUIT]]="","-",VLOOKUP(compras_mes4[[#This Row],[CUIT]],Lista_CUIT[#All],3,0)),"CUIT NO CARGADO")</f>
        <v>GASTOS COMERCIALES</v>
      </c>
      <c r="R33" s="49">
        <f>IFERROR(IF(compras_mes4[[#This Row],[CUIT]]="","-",VLOOKUP(compras_mes4[[#This Row],[CUIT]],Lista_CUIT[#All],4,0)),"CUIT NO CARGADO")</f>
        <v>0</v>
      </c>
    </row>
    <row r="34" spans="2:18" ht="14.4" customHeight="1" x14ac:dyDescent="0.3">
      <c r="B34" s="40">
        <v>45021</v>
      </c>
      <c r="C34" s="41">
        <v>1</v>
      </c>
      <c r="D34" s="42">
        <v>2188</v>
      </c>
      <c r="E34" s="43">
        <v>86797</v>
      </c>
      <c r="F34" s="44">
        <v>30548083156</v>
      </c>
      <c r="G34" s="45" t="str">
        <f>IFERROR(IF(compras_mes4[[#This Row],[CUIT]]="","-",VLOOKUP(compras_mes4[[#This Row],[CUIT]],Lista_CUIT[#All],2,0)),"CUIT NO CARGADO")</f>
        <v>COTO CENTRO INTEGRAL DE COMERCIALIZACION SOCIEDAD ANONIMA</v>
      </c>
      <c r="H34" s="46">
        <v>4958.05</v>
      </c>
      <c r="I34" s="85">
        <f>IF(compras_mes4[[#This Row],[NETO GRAVADO]]="","",compras_mes4[[#This Row],[NETO GRAVADO]]*0.21)</f>
        <v>1041.1904999999999</v>
      </c>
      <c r="J34" s="85"/>
      <c r="K34" s="85"/>
      <c r="L34" s="85"/>
      <c r="M34" s="85"/>
      <c r="N34" s="85"/>
      <c r="O34" s="85"/>
      <c r="P34" s="48">
        <f>SUM(compras_mes4[[#This Row],[NETO GRAVADO]:[Otros / No Grav.]])</f>
        <v>5999.2404999999999</v>
      </c>
      <c r="Q34" s="49" t="str">
        <f>IFERROR(IF(compras_mes4[[#This Row],[CUIT]]="","-",VLOOKUP(compras_mes4[[#This Row],[CUIT]],Lista_CUIT[#All],3,0)),"CUIT NO CARGADO")</f>
        <v>GASTOS COMERCIALES</v>
      </c>
      <c r="R34" s="49">
        <f>IFERROR(IF(compras_mes4[[#This Row],[CUIT]]="","-",VLOOKUP(compras_mes4[[#This Row],[CUIT]],Lista_CUIT[#All],4,0)),"CUIT NO CARGADO")</f>
        <v>0</v>
      </c>
    </row>
    <row r="35" spans="2:18" ht="14.4" customHeight="1" x14ac:dyDescent="0.3">
      <c r="B35" s="40">
        <v>45021</v>
      </c>
      <c r="C35" s="41">
        <v>1</v>
      </c>
      <c r="D35" s="42">
        <v>63</v>
      </c>
      <c r="E35" s="43">
        <v>2338212</v>
      </c>
      <c r="F35" s="44">
        <v>30640897267</v>
      </c>
      <c r="G35" s="45" t="str">
        <f>IFERROR(IF(compras_mes4[[#This Row],[CUIT]]="","-",VLOOKUP(compras_mes4[[#This Row],[CUIT]],Lista_CUIT[#All],2,0)),"CUIT NO CARGADO")</f>
        <v>TELECENTRO S.A.</v>
      </c>
      <c r="H35" s="46">
        <v>9785.3700000000008</v>
      </c>
      <c r="I35" s="85">
        <f>IF(compras_mes4[[#This Row],[NETO GRAVADO]]="","",compras_mes4[[#This Row],[NETO GRAVADO]]*0.21)</f>
        <v>2054.9277000000002</v>
      </c>
      <c r="J35" s="85"/>
      <c r="K35" s="85"/>
      <c r="L35" s="85">
        <v>293.56</v>
      </c>
      <c r="M35" s="85"/>
      <c r="N35" s="85">
        <v>587.12</v>
      </c>
      <c r="O35" s="85"/>
      <c r="P35" s="48">
        <f>SUM(compras_mes4[[#This Row],[NETO GRAVADO]:[Otros / No Grav.]])</f>
        <v>12720.977700000001</v>
      </c>
      <c r="Q35" s="49">
        <f>IFERROR(IF(compras_mes4[[#This Row],[CUIT]]="","-",VLOOKUP(compras_mes4[[#This Row],[CUIT]],Lista_CUIT[#All],3,0)),"CUIT NO CARGADO")</f>
        <v>0</v>
      </c>
      <c r="R35" s="49">
        <f>IFERROR(IF(compras_mes4[[#This Row],[CUIT]]="","-",VLOOKUP(compras_mes4[[#This Row],[CUIT]],Lista_CUIT[#All],4,0)),"CUIT NO CARGADO")</f>
        <v>0</v>
      </c>
    </row>
    <row r="36" spans="2:18" ht="14.4" customHeight="1" x14ac:dyDescent="0.3">
      <c r="B36" s="40">
        <v>45021</v>
      </c>
      <c r="C36" s="41">
        <v>1</v>
      </c>
      <c r="D36" s="42">
        <v>63</v>
      </c>
      <c r="E36" s="43">
        <v>2338880</v>
      </c>
      <c r="F36" s="44">
        <v>30640897267</v>
      </c>
      <c r="G36" s="45" t="str">
        <f>IFERROR(IF(compras_mes4[[#This Row],[CUIT]]="","-",VLOOKUP(compras_mes4[[#This Row],[CUIT]],Lista_CUIT[#All],2,0)),"CUIT NO CARGADO")</f>
        <v>TELECENTRO S.A.</v>
      </c>
      <c r="H36" s="46">
        <v>9785.3700000000008</v>
      </c>
      <c r="I36" s="85">
        <f>IF(compras_mes4[[#This Row],[NETO GRAVADO]]="","",compras_mes4[[#This Row],[NETO GRAVADO]]*0.21)</f>
        <v>2054.9277000000002</v>
      </c>
      <c r="J36" s="85"/>
      <c r="K36" s="85"/>
      <c r="L36" s="85">
        <v>293.56</v>
      </c>
      <c r="M36" s="85"/>
      <c r="N36" s="85">
        <v>587.12</v>
      </c>
      <c r="O36" s="85"/>
      <c r="P36" s="48">
        <f>SUM(compras_mes4[[#This Row],[NETO GRAVADO]:[Otros / No Grav.]])</f>
        <v>12720.977700000001</v>
      </c>
      <c r="Q36" s="49">
        <f>IFERROR(IF(compras_mes4[[#This Row],[CUIT]]="","-",VLOOKUP(compras_mes4[[#This Row],[CUIT]],Lista_CUIT[#All],3,0)),"CUIT NO CARGADO")</f>
        <v>0</v>
      </c>
      <c r="R36" s="49">
        <f>IFERROR(IF(compras_mes4[[#This Row],[CUIT]]="","-",VLOOKUP(compras_mes4[[#This Row],[CUIT]],Lista_CUIT[#All],4,0)),"CUIT NO CARGADO")</f>
        <v>0</v>
      </c>
    </row>
    <row r="37" spans="2:18" ht="14.4" customHeight="1" x14ac:dyDescent="0.3">
      <c r="B37" s="40">
        <v>45022</v>
      </c>
      <c r="C37" s="41">
        <v>3</v>
      </c>
      <c r="D37" s="42">
        <v>3</v>
      </c>
      <c r="E37" s="43">
        <v>190</v>
      </c>
      <c r="F37" s="44">
        <v>30715434276</v>
      </c>
      <c r="G37" s="45" t="str">
        <f>IFERROR(IF(compras_mes4[[#This Row],[CUIT]]="","-",VLOOKUP(compras_mes4[[#This Row],[CUIT]],Lista_CUIT[#All],2,0)),"CUIT NO CARGADO")</f>
        <v>BRUAYAFA S.A.</v>
      </c>
      <c r="H37" s="46">
        <v>-56135</v>
      </c>
      <c r="I37" s="85">
        <f>IF(compras_mes4[[#This Row],[NETO GRAVADO]]="","",compras_mes4[[#This Row],[NETO GRAVADO]]*0.21)</f>
        <v>-11788.35</v>
      </c>
      <c r="J37" s="85"/>
      <c r="K37" s="85"/>
      <c r="L37" s="85"/>
      <c r="M37" s="85"/>
      <c r="N37" s="85"/>
      <c r="O37" s="85"/>
      <c r="P37" s="48">
        <f>SUM(compras_mes4[[#This Row],[NETO GRAVADO]:[Otros / No Grav.]])</f>
        <v>-67923.350000000006</v>
      </c>
      <c r="Q37" s="49">
        <f>IFERROR(IF(compras_mes4[[#This Row],[CUIT]]="","-",VLOOKUP(compras_mes4[[#This Row],[CUIT]],Lista_CUIT[#All],3,0)),"CUIT NO CARGADO")</f>
        <v>0</v>
      </c>
      <c r="R37" s="49">
        <f>IFERROR(IF(compras_mes4[[#This Row],[CUIT]]="","-",VLOOKUP(compras_mes4[[#This Row],[CUIT]],Lista_CUIT[#All],4,0)),"CUIT NO CARGADO")</f>
        <v>0</v>
      </c>
    </row>
    <row r="38" spans="2:18" ht="14.4" customHeight="1" x14ac:dyDescent="0.3">
      <c r="B38" s="40">
        <v>45022</v>
      </c>
      <c r="C38" s="41">
        <v>1</v>
      </c>
      <c r="D38" s="42">
        <v>1</v>
      </c>
      <c r="E38" s="43">
        <v>507</v>
      </c>
      <c r="F38" s="44">
        <v>30715889486</v>
      </c>
      <c r="G38" s="45" t="str">
        <f>IFERROR(IF(compras_mes4[[#This Row],[CUIT]]="","-",VLOOKUP(compras_mes4[[#This Row],[CUIT]],Lista_CUIT[#All],2,0)),"CUIT NO CARGADO")</f>
        <v>EXPOESTETICA</v>
      </c>
      <c r="H38" s="46">
        <v>244800</v>
      </c>
      <c r="I38" s="85">
        <f>IF(compras_mes4[[#This Row],[NETO GRAVADO]]="","",compras_mes4[[#This Row],[NETO GRAVADO]]*0.21)</f>
        <v>51408</v>
      </c>
      <c r="J38" s="85"/>
      <c r="K38" s="85"/>
      <c r="L38" s="85"/>
      <c r="M38" s="85"/>
      <c r="N38" s="85"/>
      <c r="O38" s="85"/>
      <c r="P38" s="48">
        <f>SUM(compras_mes4[[#This Row],[NETO GRAVADO]:[Otros / No Grav.]])</f>
        <v>296208</v>
      </c>
      <c r="Q38" s="49" t="str">
        <f>IFERROR(IF(compras_mes4[[#This Row],[CUIT]]="","-",VLOOKUP(compras_mes4[[#This Row],[CUIT]],Lista_CUIT[#All],3,0)),"CUIT NO CARGADO")</f>
        <v>Convencion</v>
      </c>
      <c r="R38" s="49" t="str">
        <f>IFERROR(IF(compras_mes4[[#This Row],[CUIT]]="","-",VLOOKUP(compras_mes4[[#This Row],[CUIT]],Lista_CUIT[#All],4,0)),"CUIT NO CARGADO")</f>
        <v>BUENOS AIRES</v>
      </c>
    </row>
    <row r="39" spans="2:18" ht="14.4" customHeight="1" x14ac:dyDescent="0.3">
      <c r="B39" s="40">
        <v>45022</v>
      </c>
      <c r="C39" s="41">
        <v>1</v>
      </c>
      <c r="D39" s="42">
        <v>2</v>
      </c>
      <c r="E39" s="43">
        <v>1196</v>
      </c>
      <c r="F39" s="44">
        <v>30717065359</v>
      </c>
      <c r="G39" s="45" t="str">
        <f>IFERROR(IF(compras_mes4[[#This Row],[CUIT]]="","-",VLOOKUP(compras_mes4[[#This Row],[CUIT]],Lista_CUIT[#All],2,0)),"CUIT NO CARGADO")</f>
        <v>HERNANDEZ Y COSTA SOC. LEY 19550 CAP I SECC IV</v>
      </c>
      <c r="H39" s="46">
        <v>1239.67</v>
      </c>
      <c r="I39" s="85">
        <f>IF(compras_mes4[[#This Row],[NETO GRAVADO]]="","",compras_mes4[[#This Row],[NETO GRAVADO]]*0.21)</f>
        <v>260.33069999999998</v>
      </c>
      <c r="J39" s="85"/>
      <c r="K39" s="85"/>
      <c r="L39" s="85"/>
      <c r="M39" s="85"/>
      <c r="N39" s="85"/>
      <c r="O39" s="85"/>
      <c r="P39" s="48">
        <f>SUM(compras_mes4[[#This Row],[NETO GRAVADO]:[Otros / No Grav.]])</f>
        <v>1500.0007000000001</v>
      </c>
      <c r="Q39" s="49">
        <f>IFERROR(IF(compras_mes4[[#This Row],[CUIT]]="","-",VLOOKUP(compras_mes4[[#This Row],[CUIT]],Lista_CUIT[#All],3,0)),"CUIT NO CARGADO")</f>
        <v>0</v>
      </c>
      <c r="R39" s="49">
        <f>IFERROR(IF(compras_mes4[[#This Row],[CUIT]]="","-",VLOOKUP(compras_mes4[[#This Row],[CUIT]],Lista_CUIT[#All],4,0)),"CUIT NO CARGADO")</f>
        <v>0</v>
      </c>
    </row>
    <row r="40" spans="2:18" ht="14.4" customHeight="1" x14ac:dyDescent="0.3">
      <c r="B40" s="40">
        <v>45022</v>
      </c>
      <c r="C40" s="41">
        <v>1</v>
      </c>
      <c r="D40" s="42">
        <v>1001</v>
      </c>
      <c r="E40" s="43">
        <v>1532</v>
      </c>
      <c r="F40" s="44">
        <v>30712289046</v>
      </c>
      <c r="G40" s="45" t="str">
        <f>IFERROR(IF(compras_mes4[[#This Row],[CUIT]]="","-",VLOOKUP(compras_mes4[[#This Row],[CUIT]],Lista_CUIT[#All],2,0)),"CUIT NO CARGADO")</f>
        <v>IMPIERI PIÑEIRO RIZZO Y ASOC SA</v>
      </c>
      <c r="H40" s="46">
        <v>1282.23</v>
      </c>
      <c r="I40" s="85">
        <f>IF(compras_mes4[[#This Row],[NETO GRAVADO]]="","",compras_mes4[[#This Row],[NETO GRAVADO]]*0.21)</f>
        <v>269.26830000000001</v>
      </c>
      <c r="J40" s="85"/>
      <c r="K40" s="85"/>
      <c r="L40" s="85"/>
      <c r="M40" s="85"/>
      <c r="N40" s="85"/>
      <c r="O40" s="85">
        <v>249.19</v>
      </c>
      <c r="P40" s="48">
        <f>SUM(compras_mes4[[#This Row],[NETO GRAVADO]:[Otros / No Grav.]])</f>
        <v>1800.6883</v>
      </c>
      <c r="Q40" s="49">
        <f>IFERROR(IF(compras_mes4[[#This Row],[CUIT]]="","-",VLOOKUP(compras_mes4[[#This Row],[CUIT]],Lista_CUIT[#All],3,0)),"CUIT NO CARGADO")</f>
        <v>0</v>
      </c>
      <c r="R40" s="49">
        <f>IFERROR(IF(compras_mes4[[#This Row],[CUIT]]="","-",VLOOKUP(compras_mes4[[#This Row],[CUIT]],Lista_CUIT[#All],4,0)),"CUIT NO CARGADO")</f>
        <v>0</v>
      </c>
    </row>
    <row r="41" spans="2:18" ht="14.4" customHeight="1" x14ac:dyDescent="0.3">
      <c r="B41" s="249">
        <v>45022</v>
      </c>
      <c r="C41" s="250">
        <v>1</v>
      </c>
      <c r="D41" s="251">
        <v>2154</v>
      </c>
      <c r="E41" s="252">
        <v>9324</v>
      </c>
      <c r="F41" s="253">
        <v>30548083156</v>
      </c>
      <c r="G41" s="254" t="str">
        <f>IFERROR(IF(compras_mes4[[#This Row],[CUIT]]="","-",VLOOKUP(compras_mes4[[#This Row],[CUIT]],Lista_CUIT[#All],2,0)),"CUIT NO CARGADO")</f>
        <v>COTO CENTRO INTEGRAL DE COMERCIALIZACION SOCIEDAD ANONIMA</v>
      </c>
      <c r="H41" s="255">
        <v>3453.74</v>
      </c>
      <c r="I41" s="256">
        <v>697.91</v>
      </c>
      <c r="J41" s="256"/>
      <c r="K41" s="256">
        <v>13.69</v>
      </c>
      <c r="L41" s="256"/>
      <c r="M41" s="256"/>
      <c r="N41" s="256"/>
      <c r="O41" s="256">
        <v>268.19</v>
      </c>
      <c r="P41" s="257">
        <f>SUM(compras_mes4[[#This Row],[NETO GRAVADO]:[Otros / No Grav.]])</f>
        <v>4433.5299999999988</v>
      </c>
      <c r="Q41" s="258" t="str">
        <f>IFERROR(IF(compras_mes4[[#This Row],[CUIT]]="","-",VLOOKUP(compras_mes4[[#This Row],[CUIT]],Lista_CUIT[#All],3,0)),"CUIT NO CARGADO")</f>
        <v>GASTOS COMERCIALES</v>
      </c>
      <c r="R41" s="258">
        <f>IFERROR(IF(compras_mes4[[#This Row],[CUIT]]="","-",VLOOKUP(compras_mes4[[#This Row],[CUIT]],Lista_CUIT[#All],4,0)),"CUIT NO CARGADO")</f>
        <v>0</v>
      </c>
    </row>
    <row r="42" spans="2:18" ht="14.4" customHeight="1" x14ac:dyDescent="0.3">
      <c r="B42" s="40">
        <v>45022</v>
      </c>
      <c r="C42" s="41">
        <v>1</v>
      </c>
      <c r="D42" s="42">
        <v>23</v>
      </c>
      <c r="E42" s="43">
        <v>11040</v>
      </c>
      <c r="F42" s="44">
        <v>30515800219</v>
      </c>
      <c r="G42" s="45" t="str">
        <f>IFERROR(IF(compras_mes4[[#This Row],[CUIT]]="","-",VLOOKUP(compras_mes4[[#This Row],[CUIT]],Lista_CUIT[#All],2,0)),"CUIT NO CARGADO")</f>
        <v>INCAT SRL</v>
      </c>
      <c r="H42" s="46">
        <v>4544.1400000000003</v>
      </c>
      <c r="I42" s="85">
        <f>IF(compras_mes4[[#This Row],[NETO GRAVADO]]="","",compras_mes4[[#This Row],[NETO GRAVADO]]*0.21)</f>
        <v>954.26940000000002</v>
      </c>
      <c r="J42" s="85"/>
      <c r="K42" s="85"/>
      <c r="L42" s="85"/>
      <c r="M42" s="85"/>
      <c r="N42" s="85"/>
      <c r="O42" s="85">
        <v>1002.7</v>
      </c>
      <c r="P42" s="48">
        <f>SUM(compras_mes4[[#This Row],[NETO GRAVADO]:[Otros / No Grav.]])</f>
        <v>6501.1094000000003</v>
      </c>
      <c r="Q42" s="49" t="str">
        <f>IFERROR(IF(compras_mes4[[#This Row],[CUIT]]="","-",VLOOKUP(compras_mes4[[#This Row],[CUIT]],Lista_CUIT[#All],3,0)),"CUIT NO CARGADO")</f>
        <v>Combustibe</v>
      </c>
      <c r="R42" s="49" t="str">
        <f>IFERROR(IF(compras_mes4[[#This Row],[CUIT]]="","-",VLOOKUP(compras_mes4[[#This Row],[CUIT]],Lista_CUIT[#All],4,0)),"CUIT NO CARGADO")</f>
        <v>CABA</v>
      </c>
    </row>
    <row r="43" spans="2:18" ht="14.4" customHeight="1" x14ac:dyDescent="0.3">
      <c r="B43" s="40">
        <v>45022</v>
      </c>
      <c r="C43" s="41">
        <v>1</v>
      </c>
      <c r="D43" s="42">
        <v>1005</v>
      </c>
      <c r="E43" s="43">
        <v>22142</v>
      </c>
      <c r="F43" s="44">
        <v>20338116978</v>
      </c>
      <c r="G43" s="45" t="str">
        <f>IFERROR(IF(compras_mes4[[#This Row],[CUIT]]="","-",VLOOKUP(compras_mes4[[#This Row],[CUIT]],Lista_CUIT[#All],2,0)),"CUIT NO CARGADO")</f>
        <v>HERBAS ESPINOZA GABRIEL MATIAS</v>
      </c>
      <c r="H43" s="46">
        <v>1652.89</v>
      </c>
      <c r="I43" s="85">
        <f>IF(compras_mes4[[#This Row],[NETO GRAVADO]]="","",compras_mes4[[#This Row],[NETO GRAVADO]]*0.21)</f>
        <v>347.1069</v>
      </c>
      <c r="J43" s="85"/>
      <c r="K43" s="85"/>
      <c r="L43" s="85"/>
      <c r="M43" s="85"/>
      <c r="N43" s="85"/>
      <c r="O43" s="85"/>
      <c r="P43" s="48">
        <f>SUM(compras_mes4[[#This Row],[NETO GRAVADO]:[Otros / No Grav.]])</f>
        <v>1999.9969000000001</v>
      </c>
      <c r="Q43" s="49">
        <f>IFERROR(IF(compras_mes4[[#This Row],[CUIT]]="","-",VLOOKUP(compras_mes4[[#This Row],[CUIT]],Lista_CUIT[#All],3,0)),"CUIT NO CARGADO")</f>
        <v>0</v>
      </c>
      <c r="R43" s="49">
        <f>IFERROR(IF(compras_mes4[[#This Row],[CUIT]]="","-",VLOOKUP(compras_mes4[[#This Row],[CUIT]],Lista_CUIT[#All],4,0)),"CUIT NO CARGADO")</f>
        <v>0</v>
      </c>
    </row>
    <row r="44" spans="2:18" ht="14.4" customHeight="1" x14ac:dyDescent="0.3">
      <c r="B44" s="40">
        <v>45022</v>
      </c>
      <c r="C44" s="41">
        <v>1</v>
      </c>
      <c r="D44" s="42">
        <v>11</v>
      </c>
      <c r="E44" s="43">
        <v>71979</v>
      </c>
      <c r="F44" s="44">
        <v>30534051049</v>
      </c>
      <c r="G44" s="45" t="str">
        <f>IFERROR(IF(compras_mes4[[#This Row],[CUIT]]="","-",VLOOKUP(compras_mes4[[#This Row],[CUIT]],Lista_CUIT[#All],2,0)),"CUIT NO CARGADO")</f>
        <v>ELECTRO UNIVERSO - PLIN METAL S A</v>
      </c>
      <c r="H44" s="46">
        <v>1389.37</v>
      </c>
      <c r="I44" s="85">
        <f>IF(compras_mes4[[#This Row],[NETO GRAVADO]]="","",compras_mes4[[#This Row],[NETO GRAVADO]]*0.21)</f>
        <v>291.76769999999999</v>
      </c>
      <c r="J44" s="85"/>
      <c r="K44" s="85"/>
      <c r="L44" s="85"/>
      <c r="M44" s="85"/>
      <c r="N44" s="85"/>
      <c r="O44" s="85"/>
      <c r="P44" s="48">
        <f>SUM(compras_mes4[[#This Row],[NETO GRAVADO]:[Otros / No Grav.]])</f>
        <v>1681.1376999999998</v>
      </c>
      <c r="Q44" s="49">
        <f>IFERROR(IF(compras_mes4[[#This Row],[CUIT]]="","-",VLOOKUP(compras_mes4[[#This Row],[CUIT]],Lista_CUIT[#All],3,0)),"CUIT NO CARGADO")</f>
        <v>0</v>
      </c>
      <c r="R44" s="49">
        <f>IFERROR(IF(compras_mes4[[#This Row],[CUIT]]="","-",VLOOKUP(compras_mes4[[#This Row],[CUIT]],Lista_CUIT[#All],4,0)),"CUIT NO CARGADO")</f>
        <v>0</v>
      </c>
    </row>
    <row r="45" spans="2:18" ht="14.4" customHeight="1" x14ac:dyDescent="0.3">
      <c r="B45" s="40">
        <v>45022</v>
      </c>
      <c r="C45" s="41">
        <v>1</v>
      </c>
      <c r="D45" s="42">
        <v>11</v>
      </c>
      <c r="E45" s="43">
        <v>71992</v>
      </c>
      <c r="F45" s="44">
        <v>30534051049</v>
      </c>
      <c r="G45" s="45" t="str">
        <f>IFERROR(IF(compras_mes4[[#This Row],[CUIT]]="","-",VLOOKUP(compras_mes4[[#This Row],[CUIT]],Lista_CUIT[#All],2,0)),"CUIT NO CARGADO")</f>
        <v>ELECTRO UNIVERSO - PLIN METAL S A</v>
      </c>
      <c r="H45" s="46">
        <v>682.08</v>
      </c>
      <c r="I45" s="85">
        <f>IF(compras_mes4[[#This Row],[NETO GRAVADO]]="","",compras_mes4[[#This Row],[NETO GRAVADO]]*0.21)</f>
        <v>143.23680000000002</v>
      </c>
      <c r="J45" s="85"/>
      <c r="K45" s="85"/>
      <c r="L45" s="85"/>
      <c r="M45" s="85"/>
      <c r="N45" s="85"/>
      <c r="O45" s="85"/>
      <c r="P45" s="48">
        <f>SUM(compras_mes4[[#This Row],[NETO GRAVADO]:[Otros / No Grav.]])</f>
        <v>825.31680000000006</v>
      </c>
      <c r="Q45" s="49">
        <f>IFERROR(IF(compras_mes4[[#This Row],[CUIT]]="","-",VLOOKUP(compras_mes4[[#This Row],[CUIT]],Lista_CUIT[#All],3,0)),"CUIT NO CARGADO")</f>
        <v>0</v>
      </c>
      <c r="R45" s="49">
        <f>IFERROR(IF(compras_mes4[[#This Row],[CUIT]]="","-",VLOOKUP(compras_mes4[[#This Row],[CUIT]],Lista_CUIT[#All],4,0)),"CUIT NO CARGADO")</f>
        <v>0</v>
      </c>
    </row>
    <row r="46" spans="2:18" ht="14.4" customHeight="1" x14ac:dyDescent="0.3">
      <c r="B46" s="40">
        <v>45023</v>
      </c>
      <c r="C46" s="41">
        <v>1</v>
      </c>
      <c r="D46" s="42">
        <v>2215</v>
      </c>
      <c r="E46" s="43">
        <v>30720</v>
      </c>
      <c r="F46" s="44">
        <v>30548083156</v>
      </c>
      <c r="G46" s="45" t="str">
        <f>IFERROR(IF(compras_mes4[[#This Row],[CUIT]]="","-",VLOOKUP(compras_mes4[[#This Row],[CUIT]],Lista_CUIT[#All],2,0)),"CUIT NO CARGADO")</f>
        <v>COTO CENTRO INTEGRAL DE COMERCIALIZACION SOCIEDAD ANONIMA</v>
      </c>
      <c r="H46" s="46">
        <v>21944.76</v>
      </c>
      <c r="I46" s="85">
        <v>3978.25</v>
      </c>
      <c r="J46" s="85"/>
      <c r="K46" s="85">
        <v>315.08</v>
      </c>
      <c r="L46" s="85"/>
      <c r="M46" s="85"/>
      <c r="N46" s="85"/>
      <c r="O46" s="85">
        <v>1592.87</v>
      </c>
      <c r="P46" s="48">
        <f>SUM(compras_mes4[[#This Row],[NETO GRAVADO]:[Otros / No Grav.]])</f>
        <v>27830.959999999999</v>
      </c>
      <c r="Q46" s="49" t="str">
        <f>IFERROR(IF(compras_mes4[[#This Row],[CUIT]]="","-",VLOOKUP(compras_mes4[[#This Row],[CUIT]],Lista_CUIT[#All],3,0)),"CUIT NO CARGADO")</f>
        <v>GASTOS COMERCIALES</v>
      </c>
      <c r="R46" s="49">
        <f>IFERROR(IF(compras_mes4[[#This Row],[CUIT]]="","-",VLOOKUP(compras_mes4[[#This Row],[CUIT]],Lista_CUIT[#All],4,0)),"CUIT NO CARGADO")</f>
        <v>0</v>
      </c>
    </row>
    <row r="47" spans="2:18" ht="14.4" customHeight="1" x14ac:dyDescent="0.3">
      <c r="B47" s="40">
        <v>45024</v>
      </c>
      <c r="C47" s="41">
        <v>1</v>
      </c>
      <c r="D47" s="42">
        <v>2</v>
      </c>
      <c r="E47" s="43">
        <v>207</v>
      </c>
      <c r="F47" s="44">
        <v>27309896063</v>
      </c>
      <c r="G47" s="45" t="str">
        <f>IFERROR(IF(compras_mes4[[#This Row],[CUIT]]="","-",VLOOKUP(compras_mes4[[#This Row],[CUIT]],Lista_CUIT[#All],2,0)),"CUIT NO CARGADO")</f>
        <v>BATTELLINI MARIA SOLEDAD</v>
      </c>
      <c r="H47" s="46">
        <v>50000</v>
      </c>
      <c r="I47" s="85">
        <f>IF(compras_mes4[[#This Row],[NETO GRAVADO]]="","",compras_mes4[[#This Row],[NETO GRAVADO]]*0.21)</f>
        <v>10500</v>
      </c>
      <c r="J47" s="85"/>
      <c r="K47" s="85"/>
      <c r="L47" s="85"/>
      <c r="M47" s="85"/>
      <c r="N47" s="85"/>
      <c r="O47" s="85"/>
      <c r="P47" s="48">
        <f>SUM(compras_mes4[[#This Row],[NETO GRAVADO]:[Otros / No Grav.]])</f>
        <v>60500</v>
      </c>
      <c r="Q47" s="49">
        <f>IFERROR(IF(compras_mes4[[#This Row],[CUIT]]="","-",VLOOKUP(compras_mes4[[#This Row],[CUIT]],Lista_CUIT[#All],3,0)),"CUIT NO CARGADO")</f>
        <v>0</v>
      </c>
      <c r="R47" s="49">
        <f>IFERROR(IF(compras_mes4[[#This Row],[CUIT]]="","-",VLOOKUP(compras_mes4[[#This Row],[CUIT]],Lista_CUIT[#All],4,0)),"CUIT NO CARGADO")</f>
        <v>0</v>
      </c>
    </row>
    <row r="48" spans="2:18" ht="14.4" customHeight="1" x14ac:dyDescent="0.3">
      <c r="B48" s="40">
        <v>45024</v>
      </c>
      <c r="C48" s="41">
        <v>1</v>
      </c>
      <c r="D48" s="42">
        <v>7</v>
      </c>
      <c r="E48" s="43">
        <v>6554</v>
      </c>
      <c r="F48" s="44">
        <v>30715124919</v>
      </c>
      <c r="G48" s="45" t="str">
        <f>IFERROR(IF(compras_mes4[[#This Row],[CUIT]]="","-",VLOOKUP(compras_mes4[[#This Row],[CUIT]],Lista_CUIT[#All],2,0)),"CUIT NO CARGADO")</f>
        <v>CLEAN LAB SRL</v>
      </c>
      <c r="H48" s="46">
        <v>20293.73</v>
      </c>
      <c r="I48" s="85">
        <f>IF(compras_mes4[[#This Row],[NETO GRAVADO]]="","",compras_mes4[[#This Row],[NETO GRAVADO]]*0.21)</f>
        <v>4261.6832999999997</v>
      </c>
      <c r="J48" s="85"/>
      <c r="K48" s="85"/>
      <c r="L48" s="85"/>
      <c r="M48" s="85"/>
      <c r="N48" s="85"/>
      <c r="O48" s="85"/>
      <c r="P48" s="48">
        <f>SUM(compras_mes4[[#This Row],[NETO GRAVADO]:[Otros / No Grav.]])</f>
        <v>24555.4133</v>
      </c>
      <c r="Q48" s="49">
        <f>IFERROR(IF(compras_mes4[[#This Row],[CUIT]]="","-",VLOOKUP(compras_mes4[[#This Row],[CUIT]],Lista_CUIT[#All],3,0)),"CUIT NO CARGADO")</f>
        <v>0</v>
      </c>
      <c r="R48" s="49">
        <f>IFERROR(IF(compras_mes4[[#This Row],[CUIT]]="","-",VLOOKUP(compras_mes4[[#This Row],[CUIT]],Lista_CUIT[#All],4,0)),"CUIT NO CARGADO")</f>
        <v>0</v>
      </c>
    </row>
    <row r="49" spans="2:18" ht="14.4" customHeight="1" x14ac:dyDescent="0.3">
      <c r="B49" s="40">
        <v>45024</v>
      </c>
      <c r="C49" s="41">
        <v>1</v>
      </c>
      <c r="D49" s="42">
        <v>7</v>
      </c>
      <c r="E49" s="43">
        <v>6555</v>
      </c>
      <c r="F49" s="44">
        <v>30715124919</v>
      </c>
      <c r="G49" s="45" t="str">
        <f>IFERROR(IF(compras_mes4[[#This Row],[CUIT]]="","-",VLOOKUP(compras_mes4[[#This Row],[CUIT]],Lista_CUIT[#All],2,0)),"CUIT NO CARGADO")</f>
        <v>CLEAN LAB SRL</v>
      </c>
      <c r="H49" s="46">
        <v>26696.080000000002</v>
      </c>
      <c r="I49" s="85">
        <f>IF(compras_mes4[[#This Row],[NETO GRAVADO]]="","",compras_mes4[[#This Row],[NETO GRAVADO]]*0.21)</f>
        <v>5606.1768000000002</v>
      </c>
      <c r="J49" s="85"/>
      <c r="K49" s="85"/>
      <c r="L49" s="85"/>
      <c r="M49" s="85"/>
      <c r="N49" s="85"/>
      <c r="O49" s="85"/>
      <c r="P49" s="48">
        <f>SUM(compras_mes4[[#This Row],[NETO GRAVADO]:[Otros / No Grav.]])</f>
        <v>32302.256800000003</v>
      </c>
      <c r="Q49" s="49">
        <f>IFERROR(IF(compras_mes4[[#This Row],[CUIT]]="","-",VLOOKUP(compras_mes4[[#This Row],[CUIT]],Lista_CUIT[#All],3,0)),"CUIT NO CARGADO")</f>
        <v>0</v>
      </c>
      <c r="R49" s="49">
        <f>IFERROR(IF(compras_mes4[[#This Row],[CUIT]]="","-",VLOOKUP(compras_mes4[[#This Row],[CUIT]],Lista_CUIT[#All],4,0)),"CUIT NO CARGADO")</f>
        <v>0</v>
      </c>
    </row>
    <row r="50" spans="2:18" ht="14.4" customHeight="1" x14ac:dyDescent="0.3">
      <c r="B50" s="40">
        <v>45024</v>
      </c>
      <c r="C50" s="41">
        <v>1</v>
      </c>
      <c r="D50" s="42">
        <v>12</v>
      </c>
      <c r="E50" s="43">
        <v>21337</v>
      </c>
      <c r="F50" s="44">
        <v>30696131003</v>
      </c>
      <c r="G50" s="45" t="str">
        <f>IFERROR(IF(compras_mes4[[#This Row],[CUIT]]="","-",VLOOKUP(compras_mes4[[#This Row],[CUIT]],Lista_CUIT[#All],2,0)),"CUIT NO CARGADO")</f>
        <v>Petrolfe S.A.</v>
      </c>
      <c r="H50" s="46">
        <v>19253.43</v>
      </c>
      <c r="I50" s="85">
        <f>IF(compras_mes4[[#This Row],[NETO GRAVADO]]="","",compras_mes4[[#This Row],[NETO GRAVADO]]*0.21)</f>
        <v>4043.2203</v>
      </c>
      <c r="J50" s="85"/>
      <c r="K50" s="85"/>
      <c r="L50" s="85"/>
      <c r="M50" s="85"/>
      <c r="N50" s="85"/>
      <c r="O50" s="85">
        <v>3968.7</v>
      </c>
      <c r="P50" s="48">
        <f>SUM(compras_mes4[[#This Row],[NETO GRAVADO]:[Otros / No Grav.]])</f>
        <v>27265.350300000002</v>
      </c>
      <c r="Q50" s="49" t="str">
        <f>IFERROR(IF(compras_mes4[[#This Row],[CUIT]]="","-",VLOOKUP(compras_mes4[[#This Row],[CUIT]],Lista_CUIT[#All],3,0)),"CUIT NO CARGADO")</f>
        <v>Combustible</v>
      </c>
      <c r="R50" s="49">
        <f>IFERROR(IF(compras_mes4[[#This Row],[CUIT]]="","-",VLOOKUP(compras_mes4[[#This Row],[CUIT]],Lista_CUIT[#All],4,0)),"CUIT NO CARGADO")</f>
        <v>0</v>
      </c>
    </row>
    <row r="51" spans="2:18" ht="14.4" customHeight="1" x14ac:dyDescent="0.3">
      <c r="B51" s="40">
        <v>45025</v>
      </c>
      <c r="C51" s="41">
        <v>1</v>
      </c>
      <c r="D51" s="42">
        <v>948</v>
      </c>
      <c r="E51" s="43">
        <v>927047</v>
      </c>
      <c r="F51" s="44">
        <v>30639453975</v>
      </c>
      <c r="G51" s="45" t="str">
        <f>IFERROR(IF(compras_mes4[[#This Row],[CUIT]]="","-",VLOOKUP(compras_mes4[[#This Row],[CUIT]],Lista_CUIT[#All],2,0)),"CUIT NO CARGADO")</f>
        <v>TELEFONICA DE ARG S.A.</v>
      </c>
      <c r="H51" s="46">
        <v>5430.93</v>
      </c>
      <c r="I51" s="85">
        <v>1466.35</v>
      </c>
      <c r="J51" s="85"/>
      <c r="K51" s="85"/>
      <c r="L51" s="85">
        <v>162.93</v>
      </c>
      <c r="M51" s="85"/>
      <c r="N51" s="85">
        <v>325.86</v>
      </c>
      <c r="O51" s="85"/>
      <c r="P51" s="48">
        <f>SUM(compras_mes4[[#This Row],[NETO GRAVADO]:[Otros / No Grav.]])</f>
        <v>7386.0700000000006</v>
      </c>
      <c r="Q51" s="49" t="str">
        <f>IFERROR(IF(compras_mes4[[#This Row],[CUIT]]="","-",VLOOKUP(compras_mes4[[#This Row],[CUIT]],Lista_CUIT[#All],3,0)),"CUIT NO CARGADO")</f>
        <v>Servicios Gas, Luz, etc.</v>
      </c>
      <c r="R51" s="49">
        <f>IFERROR(IF(compras_mes4[[#This Row],[CUIT]]="","-",VLOOKUP(compras_mes4[[#This Row],[CUIT]],Lista_CUIT[#All],4,0)),"CUIT NO CARGADO")</f>
        <v>0</v>
      </c>
    </row>
    <row r="52" spans="2:18" ht="14.4" customHeight="1" x14ac:dyDescent="0.3">
      <c r="B52" s="40">
        <v>45026</v>
      </c>
      <c r="C52" s="41">
        <v>1</v>
      </c>
      <c r="D52" s="42">
        <v>6364</v>
      </c>
      <c r="E52" s="43">
        <v>7405441</v>
      </c>
      <c r="F52" s="44">
        <v>30639453738</v>
      </c>
      <c r="G52" s="45" t="str">
        <f>IFERROR(IF(compras_mes4[[#This Row],[CUIT]]="","-",VLOOKUP(compras_mes4[[#This Row],[CUIT]],Lista_CUIT[#All],2,0)),"CUIT NO CARGADO")</f>
        <v>TELECOM ARG SA</v>
      </c>
      <c r="H52" s="46">
        <v>55885.35</v>
      </c>
      <c r="I52" s="85">
        <v>11416.72</v>
      </c>
      <c r="J52" s="85">
        <v>410.1</v>
      </c>
      <c r="K52" s="85"/>
      <c r="L52" s="85"/>
      <c r="M52" s="85">
        <v>1676.56</v>
      </c>
      <c r="N52" s="85">
        <v>3085.32</v>
      </c>
      <c r="O52" s="85">
        <v>85.26</v>
      </c>
      <c r="P52" s="48">
        <f>SUM(compras_mes4[[#This Row],[NETO GRAVADO]:[Otros / No Grav.]])</f>
        <v>72559.31</v>
      </c>
      <c r="Q52" s="49" t="str">
        <f>IFERROR(IF(compras_mes4[[#This Row],[CUIT]]="","-",VLOOKUP(compras_mes4[[#This Row],[CUIT]],Lista_CUIT[#All],3,0)),"CUIT NO CARGADO")</f>
        <v>Servicios Gas, Luz, etc.</v>
      </c>
      <c r="R52" s="49">
        <f>IFERROR(IF(compras_mes4[[#This Row],[CUIT]]="","-",VLOOKUP(compras_mes4[[#This Row],[CUIT]],Lista_CUIT[#All],4,0)),"CUIT NO CARGADO")</f>
        <v>0</v>
      </c>
    </row>
    <row r="53" spans="2:18" ht="14.4" customHeight="1" x14ac:dyDescent="0.3">
      <c r="B53" s="249">
        <v>45026</v>
      </c>
      <c r="C53" s="250">
        <v>1</v>
      </c>
      <c r="D53" s="251">
        <v>6</v>
      </c>
      <c r="E53" s="252">
        <v>13938569</v>
      </c>
      <c r="F53" s="253">
        <v>30620177497</v>
      </c>
      <c r="G53" s="254" t="str">
        <f>IFERROR(IF(compras_mes4[[#This Row],[CUIT]]="","-",VLOOKUP(compras_mes4[[#This Row],[CUIT]],Lista_CUIT[#All],2,0)),"CUIT NO CARGADO")</f>
        <v>POSNET SRL</v>
      </c>
      <c r="H53" s="255">
        <v>3990.04</v>
      </c>
      <c r="I53" s="256">
        <f>IF(compras_mes4[[#This Row],[NETO GRAVADO]]="","",compras_mes4[[#This Row],[NETO GRAVADO]]*0.21)</f>
        <v>837.90839999999992</v>
      </c>
      <c r="J53" s="256"/>
      <c r="K53" s="256"/>
      <c r="L53" s="256"/>
      <c r="M53" s="256"/>
      <c r="N53" s="256">
        <v>359.1</v>
      </c>
      <c r="O53" s="256"/>
      <c r="P53" s="257">
        <f>SUM(compras_mes4[[#This Row],[NETO GRAVADO]:[Otros / No Grav.]])</f>
        <v>5187.0484000000006</v>
      </c>
      <c r="Q53" s="258" t="str">
        <f>IFERROR(IF(compras_mes4[[#This Row],[CUIT]]="","-",VLOOKUP(compras_mes4[[#This Row],[CUIT]],Lista_CUIT[#All],3,0)),"CUIT NO CARGADO")</f>
        <v>Servicios Gas, Luz, etc.</v>
      </c>
      <c r="R53" s="258">
        <f>IFERROR(IF(compras_mes4[[#This Row],[CUIT]]="","-",VLOOKUP(compras_mes4[[#This Row],[CUIT]],Lista_CUIT[#All],4,0)),"CUIT NO CARGADO")</f>
        <v>0</v>
      </c>
    </row>
    <row r="54" spans="2:18" ht="14.4" customHeight="1" x14ac:dyDescent="0.3">
      <c r="B54" s="249">
        <v>45026</v>
      </c>
      <c r="C54" s="250">
        <v>1</v>
      </c>
      <c r="D54" s="251">
        <v>6</v>
      </c>
      <c r="E54" s="252">
        <v>13960310</v>
      </c>
      <c r="F54" s="253">
        <v>30620177497</v>
      </c>
      <c r="G54" s="254" t="str">
        <f>IFERROR(IF(compras_mes4[[#This Row],[CUIT]]="","-",VLOOKUP(compras_mes4[[#This Row],[CUIT]],Lista_CUIT[#All],2,0)),"CUIT NO CARGADO")</f>
        <v>POSNET SRL</v>
      </c>
      <c r="H54" s="255">
        <v>3990.04</v>
      </c>
      <c r="I54" s="256">
        <f>IF(compras_mes4[[#This Row],[NETO GRAVADO]]="","",compras_mes4[[#This Row],[NETO GRAVADO]]*0.21)</f>
        <v>837.90839999999992</v>
      </c>
      <c r="J54" s="256"/>
      <c r="K54" s="256"/>
      <c r="L54" s="256"/>
      <c r="M54" s="256"/>
      <c r="N54" s="256">
        <v>359.1</v>
      </c>
      <c r="O54" s="256"/>
      <c r="P54" s="257">
        <f>SUM(compras_mes4[[#This Row],[NETO GRAVADO]:[Otros / No Grav.]])</f>
        <v>5187.0484000000006</v>
      </c>
      <c r="Q54" s="258" t="str">
        <f>IFERROR(IF(compras_mes4[[#This Row],[CUIT]]="","-",VLOOKUP(compras_mes4[[#This Row],[CUIT]],Lista_CUIT[#All],3,0)),"CUIT NO CARGADO")</f>
        <v>Servicios Gas, Luz, etc.</v>
      </c>
      <c r="R54" s="258">
        <f>IFERROR(IF(compras_mes4[[#This Row],[CUIT]]="","-",VLOOKUP(compras_mes4[[#This Row],[CUIT]],Lista_CUIT[#All],4,0)),"CUIT NO CARGADO")</f>
        <v>0</v>
      </c>
    </row>
    <row r="55" spans="2:18" ht="14.4" customHeight="1" x14ac:dyDescent="0.3">
      <c r="B55" s="249">
        <v>45026</v>
      </c>
      <c r="C55" s="250">
        <v>1</v>
      </c>
      <c r="D55" s="251">
        <v>6</v>
      </c>
      <c r="E55" s="252">
        <v>13960424</v>
      </c>
      <c r="F55" s="253">
        <v>30620177497</v>
      </c>
      <c r="G55" s="254" t="str">
        <f>IFERROR(IF(compras_mes4[[#This Row],[CUIT]]="","-",VLOOKUP(compras_mes4[[#This Row],[CUIT]],Lista_CUIT[#All],2,0)),"CUIT NO CARGADO")</f>
        <v>POSNET SRL</v>
      </c>
      <c r="H55" s="255">
        <v>3990.04</v>
      </c>
      <c r="I55" s="256">
        <f>IF(compras_mes4[[#This Row],[NETO GRAVADO]]="","",compras_mes4[[#This Row],[NETO GRAVADO]]*0.21)</f>
        <v>837.90839999999992</v>
      </c>
      <c r="J55" s="256"/>
      <c r="K55" s="256"/>
      <c r="L55" s="256"/>
      <c r="M55" s="256"/>
      <c r="N55" s="256">
        <v>359.1</v>
      </c>
      <c r="O55" s="256"/>
      <c r="P55" s="257">
        <f>SUM(compras_mes4[[#This Row],[NETO GRAVADO]:[Otros / No Grav.]])</f>
        <v>5187.0484000000006</v>
      </c>
      <c r="Q55" s="258" t="str">
        <f>IFERROR(IF(compras_mes4[[#This Row],[CUIT]]="","-",VLOOKUP(compras_mes4[[#This Row],[CUIT]],Lista_CUIT[#All],3,0)),"CUIT NO CARGADO")</f>
        <v>Servicios Gas, Luz, etc.</v>
      </c>
      <c r="R55" s="258">
        <f>IFERROR(IF(compras_mes4[[#This Row],[CUIT]]="","-",VLOOKUP(compras_mes4[[#This Row],[CUIT]],Lista_CUIT[#All],4,0)),"CUIT NO CARGADO")</f>
        <v>0</v>
      </c>
    </row>
    <row r="56" spans="2:18" ht="14.4" customHeight="1" x14ac:dyDescent="0.3">
      <c r="B56" s="249">
        <v>45026</v>
      </c>
      <c r="C56" s="250">
        <v>1</v>
      </c>
      <c r="D56" s="251">
        <v>6</v>
      </c>
      <c r="E56" s="252">
        <v>13977041</v>
      </c>
      <c r="F56" s="253">
        <v>30620177497</v>
      </c>
      <c r="G56" s="254" t="str">
        <f>IFERROR(IF(compras_mes4[[#This Row],[CUIT]]="","-",VLOOKUP(compras_mes4[[#This Row],[CUIT]],Lista_CUIT[#All],2,0)),"CUIT NO CARGADO")</f>
        <v>POSNET SRL</v>
      </c>
      <c r="H56" s="255">
        <v>11970.12</v>
      </c>
      <c r="I56" s="256">
        <f>IF(compras_mes4[[#This Row],[NETO GRAVADO]]="","",compras_mes4[[#This Row],[NETO GRAVADO]]*0.21)</f>
        <v>2513.7251999999999</v>
      </c>
      <c r="J56" s="256"/>
      <c r="K56" s="256"/>
      <c r="L56" s="256"/>
      <c r="M56" s="256"/>
      <c r="N56" s="256">
        <v>1077.31</v>
      </c>
      <c r="O56" s="256"/>
      <c r="P56" s="257">
        <f>SUM(compras_mes4[[#This Row],[NETO GRAVADO]:[Otros / No Grav.]])</f>
        <v>15561.155199999999</v>
      </c>
      <c r="Q56" s="258" t="str">
        <f>IFERROR(IF(compras_mes4[[#This Row],[CUIT]]="","-",VLOOKUP(compras_mes4[[#This Row],[CUIT]],Lista_CUIT[#All],3,0)),"CUIT NO CARGADO")</f>
        <v>Servicios Gas, Luz, etc.</v>
      </c>
      <c r="R56" s="258">
        <f>IFERROR(IF(compras_mes4[[#This Row],[CUIT]]="","-",VLOOKUP(compras_mes4[[#This Row],[CUIT]],Lista_CUIT[#All],4,0)),"CUIT NO CARGADO")</f>
        <v>0</v>
      </c>
    </row>
    <row r="57" spans="2:18" ht="14.4" customHeight="1" x14ac:dyDescent="0.3">
      <c r="B57" s="40">
        <v>45027</v>
      </c>
      <c r="C57" s="41">
        <v>1</v>
      </c>
      <c r="D57" s="42">
        <v>6</v>
      </c>
      <c r="E57" s="43">
        <v>2518</v>
      </c>
      <c r="F57" s="44">
        <v>30574603788</v>
      </c>
      <c r="G57" s="45" t="str">
        <f>IFERROR(IF(compras_mes4[[#This Row],[CUIT]]="","-",VLOOKUP(compras_mes4[[#This Row],[CUIT]],Lista_CUIT[#All],2,0)),"CUIT NO CARGADO")</f>
        <v>CODAC SRL</v>
      </c>
      <c r="H57" s="46">
        <v>85680</v>
      </c>
      <c r="I57" s="85">
        <f>IF(compras_mes4[[#This Row],[NETO GRAVADO]]="","",compras_mes4[[#This Row],[NETO GRAVADO]]*0.21)</f>
        <v>17992.8</v>
      </c>
      <c r="J57" s="85"/>
      <c r="K57" s="85"/>
      <c r="L57" s="85"/>
      <c r="M57" s="85"/>
      <c r="N57" s="85"/>
      <c r="O57" s="85"/>
      <c r="P57" s="48">
        <f>SUM(compras_mes4[[#This Row],[NETO GRAVADO]:[Otros / No Grav.]])</f>
        <v>103672.8</v>
      </c>
      <c r="Q57" s="49" t="str">
        <f>IFERROR(IF(compras_mes4[[#This Row],[CUIT]]="","-",VLOOKUP(compras_mes4[[#This Row],[CUIT]],Lista_CUIT[#All],3,0)),"CUIT NO CARGADO")</f>
        <v>GASTOS COSMETICA</v>
      </c>
      <c r="R57" s="49" t="str">
        <f>IFERROR(IF(compras_mes4[[#This Row],[CUIT]]="","-",VLOOKUP(compras_mes4[[#This Row],[CUIT]],Lista_CUIT[#All],4,0)),"CUIT NO CARGADO")</f>
        <v>BUENOS AIRES</v>
      </c>
    </row>
    <row r="58" spans="2:18" x14ac:dyDescent="0.3">
      <c r="B58" s="40">
        <v>45027</v>
      </c>
      <c r="C58" s="41">
        <v>1</v>
      </c>
      <c r="D58" s="42">
        <v>15</v>
      </c>
      <c r="E58" s="43">
        <v>4819</v>
      </c>
      <c r="F58" s="44">
        <v>30653466931</v>
      </c>
      <c r="G58" s="45" t="str">
        <f>IFERROR(IF(compras_mes4[[#This Row],[CUIT]]="","-",VLOOKUP(compras_mes4[[#This Row],[CUIT]],Lista_CUIT[#All],2,0)),"CUIT NO CARGADO")</f>
        <v>GNC ESCOBAR SA</v>
      </c>
      <c r="H58" s="46">
        <v>588.65</v>
      </c>
      <c r="I58" s="85">
        <f>IF(compras_mes4[[#This Row],[NETO GRAVADO]]="","",compras_mes4[[#This Row],[NETO GRAVADO]]*0.21)</f>
        <v>123.61649999999999</v>
      </c>
      <c r="J58" s="85"/>
      <c r="K58" s="85"/>
      <c r="L58" s="85"/>
      <c r="M58" s="85"/>
      <c r="N58" s="85"/>
      <c r="O58" s="85">
        <v>7.74</v>
      </c>
      <c r="P58" s="48">
        <f>SUM(compras_mes4[[#This Row],[NETO GRAVADO]:[Otros / No Grav.]])</f>
        <v>720.00649999999996</v>
      </c>
      <c r="Q58" s="49" t="str">
        <f>IFERROR(IF(compras_mes4[[#This Row],[CUIT]]="","-",VLOOKUP(compras_mes4[[#This Row],[CUIT]],Lista_CUIT[#All],3,0)),"CUIT NO CARGADO")</f>
        <v>COMBUSTIBLE</v>
      </c>
      <c r="R58" s="49">
        <f>IFERROR(IF(compras_mes4[[#This Row],[CUIT]]="","-",VLOOKUP(compras_mes4[[#This Row],[CUIT]],Lista_CUIT[#All],4,0)),"CUIT NO CARGADO")</f>
        <v>0</v>
      </c>
    </row>
    <row r="59" spans="2:18" x14ac:dyDescent="0.3">
      <c r="B59" s="40">
        <v>45027</v>
      </c>
      <c r="C59" s="41">
        <v>1</v>
      </c>
      <c r="D59" s="42">
        <v>10</v>
      </c>
      <c r="E59" s="43">
        <v>5881</v>
      </c>
      <c r="F59" s="44">
        <v>20102638086</v>
      </c>
      <c r="G59" s="45" t="str">
        <f>IFERROR(IF(compras_mes4[[#This Row],[CUIT]]="","-",VLOOKUP(compras_mes4[[#This Row],[CUIT]],Lista_CUIT[#All],2,0)),"CUIT NO CARGADO")</f>
        <v>ROMANO PASCUAL ANTONIO</v>
      </c>
      <c r="H59" s="46">
        <v>19800</v>
      </c>
      <c r="I59" s="85">
        <f>IF(compras_mes4[[#This Row],[NETO GRAVADO]]="","",compras_mes4[[#This Row],[NETO GRAVADO]]*0.21)</f>
        <v>4158</v>
      </c>
      <c r="J59" s="85"/>
      <c r="K59" s="85"/>
      <c r="L59" s="85"/>
      <c r="M59" s="85"/>
      <c r="N59" s="85"/>
      <c r="O59" s="85"/>
      <c r="P59" s="48">
        <f>SUM(compras_mes4[[#This Row],[NETO GRAVADO]:[Otros / No Grav.]])</f>
        <v>23958</v>
      </c>
      <c r="Q59" s="49" t="str">
        <f>IFERROR(IF(compras_mes4[[#This Row],[CUIT]]="","-",VLOOKUP(compras_mes4[[#This Row],[CUIT]],Lista_CUIT[#All],3,0)),"CUIT NO CARGADO")</f>
        <v>Productos Venta</v>
      </c>
      <c r="R59" s="49">
        <f>IFERROR(IF(compras_mes4[[#This Row],[CUIT]]="","-",VLOOKUP(compras_mes4[[#This Row],[CUIT]],Lista_CUIT[#All],4,0)),"CUIT NO CARGADO")</f>
        <v>0</v>
      </c>
    </row>
    <row r="60" spans="2:18" ht="14.4" customHeight="1" x14ac:dyDescent="0.3">
      <c r="B60" s="40">
        <v>45028</v>
      </c>
      <c r="C60" s="41">
        <v>1</v>
      </c>
      <c r="D60" s="42">
        <v>7</v>
      </c>
      <c r="E60" s="43">
        <v>37</v>
      </c>
      <c r="F60" s="44">
        <v>20298662915</v>
      </c>
      <c r="G60" s="45" t="str">
        <f>IFERROR(IF(compras_mes4[[#This Row],[CUIT]]="","-",VLOOKUP(compras_mes4[[#This Row],[CUIT]],Lista_CUIT[#All],2,0)),"CUIT NO CARGADO")</f>
        <v>LUCIOLI JUAN PABLO</v>
      </c>
      <c r="H60" s="46">
        <v>6107.43</v>
      </c>
      <c r="I60" s="85">
        <f>IF(compras_mes4[[#This Row],[NETO GRAVADO]]="","",compras_mes4[[#This Row],[NETO GRAVADO]]*0.21)</f>
        <v>1282.5603000000001</v>
      </c>
      <c r="J60" s="85"/>
      <c r="K60" s="85"/>
      <c r="L60" s="85"/>
      <c r="M60" s="85"/>
      <c r="N60" s="85"/>
      <c r="O60" s="85"/>
      <c r="P60" s="48">
        <f>SUM(compras_mes4[[#This Row],[NETO GRAVADO]:[Otros / No Grav.]])</f>
        <v>7389.9903000000004</v>
      </c>
      <c r="Q60" s="49">
        <f>IFERROR(IF(compras_mes4[[#This Row],[CUIT]]="","-",VLOOKUP(compras_mes4[[#This Row],[CUIT]],Lista_CUIT[#All],3,0)),"CUIT NO CARGADO")</f>
        <v>0</v>
      </c>
      <c r="R60" s="49">
        <f>IFERROR(IF(compras_mes4[[#This Row],[CUIT]]="","-",VLOOKUP(compras_mes4[[#This Row],[CUIT]],Lista_CUIT[#All],4,0)),"CUIT NO CARGADO")</f>
        <v>0</v>
      </c>
    </row>
    <row r="61" spans="2:18" ht="14.4" customHeight="1" x14ac:dyDescent="0.3">
      <c r="B61" s="40">
        <v>45028</v>
      </c>
      <c r="C61" s="41">
        <v>1</v>
      </c>
      <c r="D61" s="42">
        <v>2</v>
      </c>
      <c r="E61" s="43">
        <v>37</v>
      </c>
      <c r="F61" s="44">
        <v>30717768511</v>
      </c>
      <c r="G61" s="45" t="str">
        <f>IFERROR(IF(compras_mes4[[#This Row],[CUIT]]="","-",VLOOKUP(compras_mes4[[#This Row],[CUIT]],Lista_CUIT[#All],2,0)),"CUIT NO CARGADO")</f>
        <v>DEALER S. CAP I SECC IV</v>
      </c>
      <c r="H61" s="46">
        <v>4992.25</v>
      </c>
      <c r="I61" s="85">
        <f>IF(compras_mes4[[#This Row],[NETO GRAVADO]]="","",compras_mes4[[#This Row],[NETO GRAVADO]]*0.21)</f>
        <v>1048.3724999999999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6040.6224999999995</v>
      </c>
      <c r="Q61" s="49">
        <f>IFERROR(IF(compras_mes4[[#This Row],[CUIT]]="","-",VLOOKUP(compras_mes4[[#This Row],[CUIT]],Lista_CUIT[#All],3,0)),"CUIT NO CARGADO")</f>
        <v>0</v>
      </c>
      <c r="R61" s="49">
        <f>IFERROR(IF(compras_mes4[[#This Row],[CUIT]]="","-",VLOOKUP(compras_mes4[[#This Row],[CUIT]],Lista_CUIT[#All],4,0)),"CUIT NO CARGADO")</f>
        <v>0</v>
      </c>
    </row>
    <row r="62" spans="2:18" ht="15" customHeight="1" x14ac:dyDescent="0.3">
      <c r="B62" s="40">
        <v>45028</v>
      </c>
      <c r="C62" s="41">
        <v>1</v>
      </c>
      <c r="D62" s="42">
        <v>4</v>
      </c>
      <c r="E62" s="43">
        <v>132</v>
      </c>
      <c r="F62" s="44">
        <v>23043805649</v>
      </c>
      <c r="G62" s="45" t="str">
        <f>IFERROR(IF(compras_mes4[[#This Row],[CUIT]]="","-",VLOOKUP(compras_mes4[[#This Row],[CUIT]],Lista_CUIT[#All],2,0)),"CUIT NO CARGADO")</f>
        <v>LEJTMAN FERNANDO ALBERTO</v>
      </c>
      <c r="H62" s="46">
        <v>26859.62</v>
      </c>
      <c r="I62" s="85">
        <f>IF(compras_mes4[[#This Row],[NETO GRAVADO]]="","",compras_mes4[[#This Row],[NETO GRAVADO]]*0.21)</f>
        <v>5640.5201999999999</v>
      </c>
      <c r="J62" s="85"/>
      <c r="K62" s="85"/>
      <c r="L62" s="85"/>
      <c r="M62" s="85"/>
      <c r="N62" s="85"/>
      <c r="O62" s="85"/>
      <c r="P62" s="48">
        <f>SUM(compras_mes4[[#This Row],[NETO GRAVADO]:[Otros / No Grav.]])</f>
        <v>32500.140199999998</v>
      </c>
      <c r="Q62" s="49">
        <f>IFERROR(IF(compras_mes4[[#This Row],[CUIT]]="","-",VLOOKUP(compras_mes4[[#This Row],[CUIT]],Lista_CUIT[#All],3,0)),"CUIT NO CARGADO")</f>
        <v>0</v>
      </c>
      <c r="R62" s="49">
        <f>IFERROR(IF(compras_mes4[[#This Row],[CUIT]]="","-",VLOOKUP(compras_mes4[[#This Row],[CUIT]],Lista_CUIT[#All],4,0)),"CUIT NO CARGADO")</f>
        <v>0</v>
      </c>
    </row>
    <row r="63" spans="2:18" ht="15" customHeight="1" x14ac:dyDescent="0.3">
      <c r="B63" s="40">
        <v>45028</v>
      </c>
      <c r="C63" s="41">
        <v>1</v>
      </c>
      <c r="D63" s="42">
        <v>5</v>
      </c>
      <c r="E63" s="43">
        <v>386</v>
      </c>
      <c r="F63" s="44">
        <v>30716654105</v>
      </c>
      <c r="G63" s="45" t="str">
        <f>IFERROR(IF(compras_mes4[[#This Row],[CUIT]]="","-",VLOOKUP(compras_mes4[[#This Row],[CUIT]],Lista_CUIT[#All],2,0)),"CUIT NO CARGADO")</f>
        <v>CARNICA DEL NORTE S.R.L.</v>
      </c>
      <c r="H63" s="46">
        <v>6761.05</v>
      </c>
      <c r="I63" s="85"/>
      <c r="J63" s="85"/>
      <c r="K63" s="85">
        <v>709.91</v>
      </c>
      <c r="L63" s="85"/>
      <c r="M63" s="85"/>
      <c r="N63" s="85"/>
      <c r="O63" s="85"/>
      <c r="P63" s="48">
        <f>SUM(compras_mes4[[#This Row],[NETO GRAVADO]:[Otros / No Grav.]])</f>
        <v>7470.96</v>
      </c>
      <c r="Q63" s="49">
        <f>IFERROR(IF(compras_mes4[[#This Row],[CUIT]]="","-",VLOOKUP(compras_mes4[[#This Row],[CUIT]],Lista_CUIT[#All],3,0)),"CUIT NO CARGADO")</f>
        <v>0</v>
      </c>
      <c r="R63" s="49">
        <f>IFERROR(IF(compras_mes4[[#This Row],[CUIT]]="","-",VLOOKUP(compras_mes4[[#This Row],[CUIT]],Lista_CUIT[#All],4,0)),"CUIT NO CARGADO")</f>
        <v>0</v>
      </c>
    </row>
    <row r="64" spans="2:18" ht="15" customHeight="1" x14ac:dyDescent="0.3">
      <c r="B64" s="40">
        <v>45028</v>
      </c>
      <c r="C64" s="41">
        <v>1</v>
      </c>
      <c r="D64" s="42">
        <v>4</v>
      </c>
      <c r="E64" s="43">
        <v>2595</v>
      </c>
      <c r="F64" s="44">
        <v>30693213262</v>
      </c>
      <c r="G64" s="45" t="str">
        <f>IFERROR(IF(compras_mes4[[#This Row],[CUIT]]="","-",VLOOKUP(compras_mes4[[#This Row],[CUIT]],Lista_CUIT[#All],2,0)),"CUIT NO CARGADO")</f>
        <v>HENSCHEL ALEJANDRO Y VICCO LUCAS SOCIDADDE HECHO</v>
      </c>
      <c r="H64" s="46">
        <v>24188.43</v>
      </c>
      <c r="I64" s="85">
        <f>IF(compras_mes4[[#This Row],[NETO GRAVADO]]="","",compras_mes4[[#This Row],[NETO GRAVADO]]*0.21)</f>
        <v>5079.5703000000003</v>
      </c>
      <c r="J64" s="85"/>
      <c r="K64" s="85"/>
      <c r="L64" s="85"/>
      <c r="M64" s="85"/>
      <c r="N64" s="85"/>
      <c r="O64" s="85"/>
      <c r="P64" s="48">
        <f>SUM(compras_mes4[[#This Row],[NETO GRAVADO]:[Otros / No Grav.]])</f>
        <v>29268.0003</v>
      </c>
      <c r="Q64" s="49">
        <f>IFERROR(IF(compras_mes4[[#This Row],[CUIT]]="","-",VLOOKUP(compras_mes4[[#This Row],[CUIT]],Lista_CUIT[#All],3,0)),"CUIT NO CARGADO")</f>
        <v>0</v>
      </c>
      <c r="R64" s="49">
        <f>IFERROR(IF(compras_mes4[[#This Row],[CUIT]]="","-",VLOOKUP(compras_mes4[[#This Row],[CUIT]],Lista_CUIT[#All],4,0)),"CUIT NO CARGADO")</f>
        <v>0</v>
      </c>
    </row>
    <row r="65" spans="2:18" ht="15" customHeight="1" x14ac:dyDescent="0.3">
      <c r="B65" s="40">
        <v>45028</v>
      </c>
      <c r="C65" s="41">
        <v>1</v>
      </c>
      <c r="D65" s="42">
        <v>13</v>
      </c>
      <c r="E65" s="43">
        <v>2886</v>
      </c>
      <c r="F65" s="44">
        <v>20280299686</v>
      </c>
      <c r="G65" s="45" t="str">
        <f>IFERROR(IF(compras_mes4[[#This Row],[CUIT]]="","-",VLOOKUP(compras_mes4[[#This Row],[CUIT]],Lista_CUIT[#All],2,0)),"CUIT NO CARGADO")</f>
        <v>LETTIERI CARLOS ADRIANO</v>
      </c>
      <c r="H65" s="46">
        <v>6648.81</v>
      </c>
      <c r="I65" s="85">
        <f>IF(compras_mes4[[#This Row],[NETO GRAVADO]]="","",compras_mes4[[#This Row],[NETO GRAVADO]]*0.21)</f>
        <v>1396.2501</v>
      </c>
      <c r="J65" s="85"/>
      <c r="K65" s="85"/>
      <c r="L65" s="85"/>
      <c r="M65" s="85"/>
      <c r="N65" s="85"/>
      <c r="O65" s="85"/>
      <c r="P65" s="48">
        <f>SUM(compras_mes4[[#This Row],[NETO GRAVADO]:[Otros / No Grav.]])</f>
        <v>8045.0601000000006</v>
      </c>
      <c r="Q65" s="49">
        <f>IFERROR(IF(compras_mes4[[#This Row],[CUIT]]="","-",VLOOKUP(compras_mes4[[#This Row],[CUIT]],Lista_CUIT[#All],3,0)),"CUIT NO CARGADO")</f>
        <v>0</v>
      </c>
      <c r="R65" s="49">
        <f>IFERROR(IF(compras_mes4[[#This Row],[CUIT]]="","-",VLOOKUP(compras_mes4[[#This Row],[CUIT]],Lista_CUIT[#All],4,0)),"CUIT NO CARGADO")</f>
        <v>0</v>
      </c>
    </row>
    <row r="66" spans="2:18" ht="15" customHeight="1" x14ac:dyDescent="0.3">
      <c r="B66" s="40">
        <v>45028</v>
      </c>
      <c r="C66" s="41">
        <v>1</v>
      </c>
      <c r="D66" s="42">
        <v>7</v>
      </c>
      <c r="E66" s="43">
        <v>8822</v>
      </c>
      <c r="F66" s="44">
        <v>30708017759</v>
      </c>
      <c r="G66" s="45" t="str">
        <f>IFERROR(IF(compras_mes4[[#This Row],[CUIT]]="","-",VLOOKUP(compras_mes4[[#This Row],[CUIT]],Lista_CUIT[#All],2,0)),"CUIT NO CARGADO")</f>
        <v>NEW  HIGH PACK  SA</v>
      </c>
      <c r="H66" s="46">
        <v>305959.5</v>
      </c>
      <c r="I66" s="85">
        <f>IF(compras_mes4[[#This Row],[NETO GRAVADO]]="","",compras_mes4[[#This Row],[NETO GRAVADO]]*0.21)</f>
        <v>64251.494999999995</v>
      </c>
      <c r="J66" s="85"/>
      <c r="K66" s="85"/>
      <c r="L66" s="85"/>
      <c r="M66" s="85"/>
      <c r="N66" s="85">
        <v>18357.57</v>
      </c>
      <c r="O66" s="85"/>
      <c r="P66" s="48">
        <f>SUM(compras_mes4[[#This Row],[NETO GRAVADO]:[Otros / No Grav.]])</f>
        <v>388568.565</v>
      </c>
      <c r="Q66" s="49">
        <f>IFERROR(IF(compras_mes4[[#This Row],[CUIT]]="","-",VLOOKUP(compras_mes4[[#This Row],[CUIT]],Lista_CUIT[#All],3,0)),"CUIT NO CARGADO")</f>
        <v>0</v>
      </c>
      <c r="R66" s="49">
        <f>IFERROR(IF(compras_mes4[[#This Row],[CUIT]]="","-",VLOOKUP(compras_mes4[[#This Row],[CUIT]],Lista_CUIT[#All],4,0)),"CUIT NO CARGADO")</f>
        <v>0</v>
      </c>
    </row>
    <row r="67" spans="2:18" ht="23.4" customHeight="1" x14ac:dyDescent="0.3">
      <c r="B67" s="40">
        <v>45028</v>
      </c>
      <c r="C67" s="41">
        <v>1</v>
      </c>
      <c r="D67" s="42">
        <v>5</v>
      </c>
      <c r="E67" s="43">
        <v>9918</v>
      </c>
      <c r="F67" s="44">
        <v>30500445757</v>
      </c>
      <c r="G67" s="45" t="str">
        <f>IFERROR(IF(compras_mes4[[#This Row],[CUIT]]="","-",VLOOKUP(compras_mes4[[#This Row],[CUIT]],Lista_CUIT[#All],2,0)),"CUIT NO CARGADO")</f>
        <v>IMPRESORA RAWSON S A C I F E I</v>
      </c>
      <c r="H67" s="46">
        <v>48223.14</v>
      </c>
      <c r="I67" s="85">
        <f>IF(compras_mes4[[#This Row],[NETO GRAVADO]]="","",compras_mes4[[#This Row],[NETO GRAVADO]]*0.21)</f>
        <v>10126.859399999999</v>
      </c>
      <c r="J67" s="85"/>
      <c r="K67" s="85"/>
      <c r="L67" s="85"/>
      <c r="M67" s="85"/>
      <c r="N67" s="85"/>
      <c r="O67" s="85"/>
      <c r="P67" s="48">
        <f>SUM(compras_mes4[[#This Row],[NETO GRAVADO]:[Otros / No Grav.]])</f>
        <v>58349.999400000001</v>
      </c>
      <c r="Q67" s="49">
        <f>IFERROR(IF(compras_mes4[[#This Row],[CUIT]]="","-",VLOOKUP(compras_mes4[[#This Row],[CUIT]],Lista_CUIT[#All],3,0)),"CUIT NO CARGADO")</f>
        <v>0</v>
      </c>
      <c r="R67" s="49">
        <f>IFERROR(IF(compras_mes4[[#This Row],[CUIT]]="","-",VLOOKUP(compras_mes4[[#This Row],[CUIT]],Lista_CUIT[#All],4,0)),"CUIT NO CARGADO")</f>
        <v>0</v>
      </c>
    </row>
    <row r="68" spans="2:18" x14ac:dyDescent="0.3">
      <c r="B68" s="40">
        <v>45028</v>
      </c>
      <c r="C68" s="41">
        <v>1</v>
      </c>
      <c r="D68" s="42">
        <v>4</v>
      </c>
      <c r="E68" s="43">
        <v>42068</v>
      </c>
      <c r="F68" s="44">
        <v>30709863076</v>
      </c>
      <c r="G68" s="45" t="str">
        <f>IFERROR(IF(compras_mes4[[#This Row],[CUIT]]="","-",VLOOKUP(compras_mes4[[#This Row],[CUIT]],Lista_CUIT[#All],2,0)),"CUIT NO CARGADO")</f>
        <v>INDUSTRIAS PLASTICOS SALTA S.R.L.</v>
      </c>
      <c r="H68" s="46">
        <v>10991.75</v>
      </c>
      <c r="I68" s="85">
        <f>IF(compras_mes4[[#This Row],[NETO GRAVADO]]="","",compras_mes4[[#This Row],[NETO GRAVADO]]*0.21)</f>
        <v>2308.2674999999999</v>
      </c>
      <c r="J68" s="85"/>
      <c r="K68" s="85"/>
      <c r="L68" s="85"/>
      <c r="M68" s="85"/>
      <c r="N68" s="85"/>
      <c r="O68" s="85"/>
      <c r="P68" s="48">
        <f>SUM(compras_mes4[[#This Row],[NETO GRAVADO]:[Otros / No Grav.]])</f>
        <v>13300.0175</v>
      </c>
      <c r="Q68" s="49">
        <f>IFERROR(IF(compras_mes4[[#This Row],[CUIT]]="","-",VLOOKUP(compras_mes4[[#This Row],[CUIT]],Lista_CUIT[#All],3,0)),"CUIT NO CARGADO")</f>
        <v>0</v>
      </c>
      <c r="R68" s="49">
        <f>IFERROR(IF(compras_mes4[[#This Row],[CUIT]]="","-",VLOOKUP(compras_mes4[[#This Row],[CUIT]],Lista_CUIT[#All],4,0)),"CUIT NO CARGADO")</f>
        <v>0</v>
      </c>
    </row>
    <row r="69" spans="2:18" x14ac:dyDescent="0.3">
      <c r="B69" s="40">
        <v>45028</v>
      </c>
      <c r="C69" s="41">
        <v>1</v>
      </c>
      <c r="D69" s="42">
        <v>2</v>
      </c>
      <c r="E69" s="43">
        <v>55399</v>
      </c>
      <c r="F69" s="44">
        <v>30504507870</v>
      </c>
      <c r="G69" s="45" t="str">
        <f>IFERROR(IF(compras_mes4[[#This Row],[CUIT]]="","-",VLOOKUP(compras_mes4[[#This Row],[CUIT]],Lista_CUIT[#All],2,0)),"CUIT NO CARGADO")</f>
        <v>FABRIQUIMICA S.A.U.</v>
      </c>
      <c r="H69" s="46">
        <v>0</v>
      </c>
      <c r="I69" s="85">
        <f>IF(compras_mes4[[#This Row],[NETO GRAVADO]]="","",compras_mes4[[#This Row],[NETO GRAVADO]]*0.21)</f>
        <v>0</v>
      </c>
      <c r="J69" s="85"/>
      <c r="K69" s="85"/>
      <c r="L69" s="85"/>
      <c r="M69" s="85"/>
      <c r="N69" s="85"/>
      <c r="O69" s="85">
        <v>193920.05</v>
      </c>
      <c r="P69" s="48">
        <f>SUM(compras_mes4[[#This Row],[NETO GRAVADO]:[Otros / No Grav.]])</f>
        <v>193920.05</v>
      </c>
      <c r="Q69" s="49">
        <f>IFERROR(IF(compras_mes4[[#This Row],[CUIT]]="","-",VLOOKUP(compras_mes4[[#This Row],[CUIT]],Lista_CUIT[#All],3,0)),"CUIT NO CARGADO")</f>
        <v>0</v>
      </c>
      <c r="R69" s="49">
        <f>IFERROR(IF(compras_mes4[[#This Row],[CUIT]]="","-",VLOOKUP(compras_mes4[[#This Row],[CUIT]],Lista_CUIT[#All],4,0)),"CUIT NO CARGADO")</f>
        <v>0</v>
      </c>
    </row>
    <row r="70" spans="2:18" x14ac:dyDescent="0.3">
      <c r="B70" s="40">
        <v>45028</v>
      </c>
      <c r="C70" s="41">
        <v>1</v>
      </c>
      <c r="D70" s="42">
        <v>2</v>
      </c>
      <c r="E70" s="43">
        <v>55400</v>
      </c>
      <c r="F70" s="44">
        <v>30504507870</v>
      </c>
      <c r="G70" s="45" t="str">
        <f>IFERROR(IF(compras_mes4[[#This Row],[CUIT]]="","-",VLOOKUP(compras_mes4[[#This Row],[CUIT]],Lista_CUIT[#All],2,0)),"CUIT NO CARGADO")</f>
        <v>FABRIQUIMICA S.A.U.</v>
      </c>
      <c r="H70" s="46">
        <v>160264.5</v>
      </c>
      <c r="I70" s="85">
        <f>IF(compras_mes4[[#This Row],[NETO GRAVADO]]="","",compras_mes4[[#This Row],[NETO GRAVADO]]*0.21)</f>
        <v>33655.544999999998</v>
      </c>
      <c r="J70" s="85"/>
      <c r="K70" s="85"/>
      <c r="L70" s="85"/>
      <c r="M70" s="85"/>
      <c r="N70" s="85"/>
      <c r="O70" s="85"/>
      <c r="P70" s="48">
        <f>SUM(compras_mes4[[#This Row],[NETO GRAVADO]:[Otros / No Grav.]])</f>
        <v>193920.04499999998</v>
      </c>
      <c r="Q70" s="49">
        <f>IFERROR(IF(compras_mes4[[#This Row],[CUIT]]="","-",VLOOKUP(compras_mes4[[#This Row],[CUIT]],Lista_CUIT[#All],3,0)),"CUIT NO CARGADO")</f>
        <v>0</v>
      </c>
      <c r="R70" s="49">
        <f>IFERROR(IF(compras_mes4[[#This Row],[CUIT]]="","-",VLOOKUP(compras_mes4[[#This Row],[CUIT]],Lista_CUIT[#All],4,0)),"CUIT NO CARGADO")</f>
        <v>0</v>
      </c>
    </row>
    <row r="71" spans="2:18" x14ac:dyDescent="0.3">
      <c r="B71" s="40">
        <v>45028</v>
      </c>
      <c r="C71" s="41">
        <v>1</v>
      </c>
      <c r="D71" s="42">
        <v>11</v>
      </c>
      <c r="E71" s="43">
        <v>72056</v>
      </c>
      <c r="F71" s="44">
        <v>30534051049</v>
      </c>
      <c r="G71" s="45" t="str">
        <f>IFERROR(IF(compras_mes4[[#This Row],[CUIT]]="","-",VLOOKUP(compras_mes4[[#This Row],[CUIT]],Lista_CUIT[#All],2,0)),"CUIT NO CARGADO")</f>
        <v>ELECTRO UNIVERSO - PLIN METAL S A</v>
      </c>
      <c r="H71" s="46">
        <v>429.02</v>
      </c>
      <c r="I71" s="85">
        <f>IF(compras_mes4[[#This Row],[NETO GRAVADO]]="","",compras_mes4[[#This Row],[NETO GRAVADO]]*0.21)</f>
        <v>90.094199999999987</v>
      </c>
      <c r="J71" s="85"/>
      <c r="K71" s="85"/>
      <c r="L71" s="85"/>
      <c r="M71" s="85"/>
      <c r="N71" s="85"/>
      <c r="O71" s="85"/>
      <c r="P71" s="48">
        <f>SUM(compras_mes4[[#This Row],[NETO GRAVADO]:[Otros / No Grav.]])</f>
        <v>519.11419999999998</v>
      </c>
      <c r="Q71" s="49">
        <f>IFERROR(IF(compras_mes4[[#This Row],[CUIT]]="","-",VLOOKUP(compras_mes4[[#This Row],[CUIT]],Lista_CUIT[#All],3,0)),"CUIT NO CARGADO")</f>
        <v>0</v>
      </c>
      <c r="R71" s="49">
        <f>IFERROR(IF(compras_mes4[[#This Row],[CUIT]]="","-",VLOOKUP(compras_mes4[[#This Row],[CUIT]],Lista_CUIT[#All],4,0)),"CUIT NO CARGADO")</f>
        <v>0</v>
      </c>
    </row>
    <row r="72" spans="2:18" x14ac:dyDescent="0.3">
      <c r="B72" s="40">
        <v>45028</v>
      </c>
      <c r="C72" s="41">
        <v>1</v>
      </c>
      <c r="D72" s="42">
        <v>11</v>
      </c>
      <c r="E72" s="43">
        <v>72060</v>
      </c>
      <c r="F72" s="44">
        <v>30534051049</v>
      </c>
      <c r="G72" s="45" t="str">
        <f>IFERROR(IF(compras_mes4[[#This Row],[CUIT]]="","-",VLOOKUP(compras_mes4[[#This Row],[CUIT]],Lista_CUIT[#All],2,0)),"CUIT NO CARGADO")</f>
        <v>ELECTRO UNIVERSO - PLIN METAL S A</v>
      </c>
      <c r="H72" s="46">
        <v>3440.38</v>
      </c>
      <c r="I72" s="85"/>
      <c r="J72" s="85"/>
      <c r="K72" s="85">
        <v>361.24</v>
      </c>
      <c r="L72" s="85"/>
      <c r="M72" s="85"/>
      <c r="N72" s="85"/>
      <c r="O72" s="85"/>
      <c r="P72" s="48">
        <f>SUM(compras_mes4[[#This Row],[NETO GRAVADO]:[Otros / No Grav.]])</f>
        <v>3801.62</v>
      </c>
      <c r="Q72" s="49">
        <f>IFERROR(IF(compras_mes4[[#This Row],[CUIT]]="","-",VLOOKUP(compras_mes4[[#This Row],[CUIT]],Lista_CUIT[#All],3,0)),"CUIT NO CARGADO")</f>
        <v>0</v>
      </c>
      <c r="R72" s="49">
        <f>IFERROR(IF(compras_mes4[[#This Row],[CUIT]]="","-",VLOOKUP(compras_mes4[[#This Row],[CUIT]],Lista_CUIT[#All],4,0)),"CUIT NO CARGADO")</f>
        <v>0</v>
      </c>
    </row>
    <row r="73" spans="2:18" x14ac:dyDescent="0.3">
      <c r="B73" s="40">
        <v>45028</v>
      </c>
      <c r="C73" s="41">
        <v>1</v>
      </c>
      <c r="D73" s="42">
        <v>2188</v>
      </c>
      <c r="E73" s="43">
        <v>87243</v>
      </c>
      <c r="F73" s="44">
        <v>30548083156</v>
      </c>
      <c r="G73" s="45" t="str">
        <f>IFERROR(IF(compras_mes4[[#This Row],[CUIT]]="","-",VLOOKUP(compras_mes4[[#This Row],[CUIT]],Lista_CUIT[#All],2,0)),"CUIT NO CARGADO")</f>
        <v>COTO CENTRO INTEGRAL DE COMERCIALIZACION SOCIEDAD ANONIMA</v>
      </c>
      <c r="H73" s="46">
        <v>11831.39</v>
      </c>
      <c r="I73" s="85">
        <v>1888.2</v>
      </c>
      <c r="J73" s="85"/>
      <c r="K73" s="85">
        <v>298.2</v>
      </c>
      <c r="L73" s="85"/>
      <c r="M73" s="85"/>
      <c r="N73" s="85"/>
      <c r="O73" s="85">
        <v>899.76</v>
      </c>
      <c r="P73" s="48">
        <f>SUM(compras_mes4[[#This Row],[NETO GRAVADO]:[Otros / No Grav.]])</f>
        <v>14917.550000000001</v>
      </c>
      <c r="Q73" s="49" t="str">
        <f>IFERROR(IF(compras_mes4[[#This Row],[CUIT]]="","-",VLOOKUP(compras_mes4[[#This Row],[CUIT]],Lista_CUIT[#All],3,0)),"CUIT NO CARGADO")</f>
        <v>GASTOS COMERCIALES</v>
      </c>
      <c r="R73" s="49">
        <f>IFERROR(IF(compras_mes4[[#This Row],[CUIT]]="","-",VLOOKUP(compras_mes4[[#This Row],[CUIT]],Lista_CUIT[#All],4,0)),"CUIT NO CARGADO")</f>
        <v>0</v>
      </c>
    </row>
    <row r="74" spans="2:18" x14ac:dyDescent="0.3">
      <c r="B74" s="40">
        <v>45029</v>
      </c>
      <c r="C74" s="41">
        <v>1</v>
      </c>
      <c r="D74" s="42">
        <v>5</v>
      </c>
      <c r="E74" s="43">
        <v>1365</v>
      </c>
      <c r="F74" s="44">
        <v>30711651779</v>
      </c>
      <c r="G74" s="45" t="str">
        <f>IFERROR(IF(compras_mes4[[#This Row],[CUIT]]="","-",VLOOKUP(compras_mes4[[#This Row],[CUIT]],Lista_CUIT[#All],2,0)),"CUIT NO CARGADO")</f>
        <v>INFOSOL BUENOS AIRES S.R.L.</v>
      </c>
      <c r="H74" s="46">
        <v>11401.65</v>
      </c>
      <c r="I74" s="85">
        <f>IF(compras_mes4[[#This Row],[NETO GRAVADO]]="","",compras_mes4[[#This Row],[NETO GRAVADO]]*0.21)</f>
        <v>2394.3464999999997</v>
      </c>
      <c r="J74" s="85"/>
      <c r="K74" s="85"/>
      <c r="L74" s="85"/>
      <c r="M74" s="85"/>
      <c r="N74" s="85"/>
      <c r="O74" s="85"/>
      <c r="P74" s="48">
        <f>SUM(compras_mes4[[#This Row],[NETO GRAVADO]:[Otros / No Grav.]])</f>
        <v>13795.996499999999</v>
      </c>
      <c r="Q74" s="49">
        <f>IFERROR(IF(compras_mes4[[#This Row],[CUIT]]="","-",VLOOKUP(compras_mes4[[#This Row],[CUIT]],Lista_CUIT[#All],3,0)),"CUIT NO CARGADO")</f>
        <v>0</v>
      </c>
      <c r="R74" s="49">
        <f>IFERROR(IF(compras_mes4[[#This Row],[CUIT]]="","-",VLOOKUP(compras_mes4[[#This Row],[CUIT]],Lista_CUIT[#All],4,0)),"CUIT NO CARGADO")</f>
        <v>0</v>
      </c>
    </row>
    <row r="75" spans="2:18" x14ac:dyDescent="0.3">
      <c r="B75" s="40">
        <v>45029</v>
      </c>
      <c r="C75" s="41">
        <v>1</v>
      </c>
      <c r="D75" s="42">
        <v>2</v>
      </c>
      <c r="E75" s="43">
        <v>3313</v>
      </c>
      <c r="F75" s="44">
        <v>30629863571</v>
      </c>
      <c r="G75" s="45" t="str">
        <f>IFERROR(IF(compras_mes4[[#This Row],[CUIT]]="","-",VLOOKUP(compras_mes4[[#This Row],[CUIT]],Lista_CUIT[#All],2,0)),"CUIT NO CARGADO")</f>
        <v>TECNIMAR S R L</v>
      </c>
      <c r="H75" s="46">
        <v>638695.24</v>
      </c>
      <c r="I75" s="85">
        <f>IF(compras_mes4[[#This Row],[NETO GRAVADO]]="","",compras_mes4[[#This Row],[NETO GRAVADO]]*0.21)</f>
        <v>134126.00039999999</v>
      </c>
      <c r="J75" s="85"/>
      <c r="K75" s="85"/>
      <c r="L75" s="85"/>
      <c r="M75" s="85"/>
      <c r="N75" s="85"/>
      <c r="O75" s="85"/>
      <c r="P75" s="48">
        <f>SUM(compras_mes4[[#This Row],[NETO GRAVADO]:[Otros / No Grav.]])</f>
        <v>772821.24040000001</v>
      </c>
      <c r="Q75" s="49" t="str">
        <f>IFERROR(IF(compras_mes4[[#This Row],[CUIT]]="","-",VLOOKUP(compras_mes4[[#This Row],[CUIT]],Lista_CUIT[#All],3,0)),"CUIT NO CARGADO")</f>
        <v>LABORATORIO</v>
      </c>
      <c r="R75" s="49">
        <f>IFERROR(IF(compras_mes4[[#This Row],[CUIT]]="","-",VLOOKUP(compras_mes4[[#This Row],[CUIT]],Lista_CUIT[#All],4,0)),"CUIT NO CARGADO")</f>
        <v>0</v>
      </c>
    </row>
    <row r="76" spans="2:18" x14ac:dyDescent="0.3">
      <c r="B76" s="40">
        <v>45029</v>
      </c>
      <c r="C76" s="41">
        <v>1</v>
      </c>
      <c r="D76" s="42">
        <v>20</v>
      </c>
      <c r="E76" s="43">
        <v>8259</v>
      </c>
      <c r="F76" s="44">
        <v>30515800219</v>
      </c>
      <c r="G76" s="45" t="str">
        <f>IFERROR(IF(compras_mes4[[#This Row],[CUIT]]="","-",VLOOKUP(compras_mes4[[#This Row],[CUIT]],Lista_CUIT[#All],2,0)),"CUIT NO CARGADO")</f>
        <v>INCAT SRL</v>
      </c>
      <c r="H76" s="46">
        <v>806.86</v>
      </c>
      <c r="I76" s="85">
        <f>IF(compras_mes4[[#This Row],[NETO GRAVADO]]="","",compras_mes4[[#This Row],[NETO GRAVADO]]*0.21)</f>
        <v>169.44059999999999</v>
      </c>
      <c r="J76" s="85"/>
      <c r="K76" s="85"/>
      <c r="L76" s="85"/>
      <c r="M76" s="85"/>
      <c r="N76" s="85"/>
      <c r="O76" s="85">
        <v>13.69</v>
      </c>
      <c r="P76" s="48">
        <f>SUM(compras_mes4[[#This Row],[NETO GRAVADO]:[Otros / No Grav.]])</f>
        <v>989.99060000000009</v>
      </c>
      <c r="Q76" s="49" t="str">
        <f>IFERROR(IF(compras_mes4[[#This Row],[CUIT]]="","-",VLOOKUP(compras_mes4[[#This Row],[CUIT]],Lista_CUIT[#All],3,0)),"CUIT NO CARGADO")</f>
        <v>Combustibe</v>
      </c>
      <c r="R76" s="49" t="str">
        <f>IFERROR(IF(compras_mes4[[#This Row],[CUIT]]="","-",VLOOKUP(compras_mes4[[#This Row],[CUIT]],Lista_CUIT[#All],4,0)),"CUIT NO CARGADO")</f>
        <v>CABA</v>
      </c>
    </row>
    <row r="77" spans="2:18" x14ac:dyDescent="0.3">
      <c r="B77" s="40">
        <v>45029</v>
      </c>
      <c r="C77" s="41">
        <v>1</v>
      </c>
      <c r="D77" s="42">
        <v>16</v>
      </c>
      <c r="E77" s="43">
        <v>10860</v>
      </c>
      <c r="F77" s="44">
        <v>30707841105</v>
      </c>
      <c r="G77" s="45" t="str">
        <f>IFERROR(IF(compras_mes4[[#This Row],[CUIT]]="","-",VLOOKUP(compras_mes4[[#This Row],[CUIT]],Lista_CUIT[#All],2,0)),"CUIT NO CARGADO")</f>
        <v>PETRO ARG SRL</v>
      </c>
      <c r="H77" s="46">
        <v>5895.52</v>
      </c>
      <c r="I77" s="85">
        <f>IF(compras_mes4[[#This Row],[NETO GRAVADO]]="","",compras_mes4[[#This Row],[NETO GRAVADO]]*0.21)</f>
        <v>1238.0592000000001</v>
      </c>
      <c r="J77" s="85"/>
      <c r="K77" s="85"/>
      <c r="L77" s="85"/>
      <c r="M77" s="85"/>
      <c r="N77" s="85"/>
      <c r="O77" s="85">
        <v>943.97</v>
      </c>
      <c r="P77" s="48">
        <f>SUM(compras_mes4[[#This Row],[NETO GRAVADO]:[Otros / No Grav.]])</f>
        <v>8077.5492000000004</v>
      </c>
      <c r="Q77" s="49" t="str">
        <f>IFERROR(IF(compras_mes4[[#This Row],[CUIT]]="","-",VLOOKUP(compras_mes4[[#This Row],[CUIT]],Lista_CUIT[#All],3,0)),"CUIT NO CARGADO")</f>
        <v>Combustible</v>
      </c>
      <c r="R77" s="49">
        <f>IFERROR(IF(compras_mes4[[#This Row],[CUIT]]="","-",VLOOKUP(compras_mes4[[#This Row],[CUIT]],Lista_CUIT[#All],4,0)),"CUIT NO CARGADO")</f>
        <v>0</v>
      </c>
    </row>
    <row r="78" spans="2:18" x14ac:dyDescent="0.3">
      <c r="B78" s="249">
        <v>45029</v>
      </c>
      <c r="C78" s="250">
        <v>1</v>
      </c>
      <c r="D78" s="251">
        <v>6</v>
      </c>
      <c r="E78" s="252">
        <v>16628</v>
      </c>
      <c r="F78" s="253">
        <v>30709459399</v>
      </c>
      <c r="G78" s="254" t="str">
        <f>IFERROR(IF(compras_mes4[[#This Row],[CUIT]]="","-",VLOOKUP(compras_mes4[[#This Row],[CUIT]],Lista_CUIT[#All],2,0)),"CUIT NO CARGADO")</f>
        <v>LA JUNIOR SRL</v>
      </c>
      <c r="H78" s="255">
        <v>41505.79</v>
      </c>
      <c r="I78" s="256">
        <f>IF(compras_mes4[[#This Row],[NETO GRAVADO]]="","",compras_mes4[[#This Row],[NETO GRAVADO]]*0.21)</f>
        <v>8716.2158999999992</v>
      </c>
      <c r="J78" s="256"/>
      <c r="K78" s="256"/>
      <c r="L78" s="256"/>
      <c r="M78" s="256"/>
      <c r="N78" s="256"/>
      <c r="O78" s="256"/>
      <c r="P78" s="257">
        <f>SUM(compras_mes4[[#This Row],[NETO GRAVADO]:[Otros / No Grav.]])</f>
        <v>50222.005900000004</v>
      </c>
      <c r="Q78" s="258">
        <f>IFERROR(IF(compras_mes4[[#This Row],[CUIT]]="","-",VLOOKUP(compras_mes4[[#This Row],[CUIT]],Lista_CUIT[#All],3,0)),"CUIT NO CARGADO")</f>
        <v>0</v>
      </c>
      <c r="R78" s="258">
        <f>IFERROR(IF(compras_mes4[[#This Row],[CUIT]]="","-",VLOOKUP(compras_mes4[[#This Row],[CUIT]],Lista_CUIT[#All],4,0)),"CUIT NO CARGADO")</f>
        <v>0</v>
      </c>
    </row>
    <row r="79" spans="2:18" x14ac:dyDescent="0.3">
      <c r="B79" s="40">
        <v>45029</v>
      </c>
      <c r="C79" s="41">
        <v>1</v>
      </c>
      <c r="D79" s="42">
        <v>5202</v>
      </c>
      <c r="E79" s="43">
        <v>22244</v>
      </c>
      <c r="F79" s="44">
        <v>30695542476</v>
      </c>
      <c r="G79" s="45" t="str">
        <f>IFERROR(IF(compras_mes4[[#This Row],[CUIT]]="","-",VLOOKUP(compras_mes4[[#This Row],[CUIT]],Lista_CUIT[#All],2,0)),"CUIT NO CARGADO")</f>
        <v>PAN AMERICAN ENERGY LLC</v>
      </c>
      <c r="H79" s="46">
        <v>1427.38</v>
      </c>
      <c r="I79" s="85">
        <f>IF(compras_mes4[[#This Row],[NETO GRAVADO]]="","",compras_mes4[[#This Row],[NETO GRAVADO]]*0.21)</f>
        <v>299.74979999999999</v>
      </c>
      <c r="J79" s="85"/>
      <c r="K79" s="85"/>
      <c r="L79" s="85"/>
      <c r="M79" s="85"/>
      <c r="N79" s="85"/>
      <c r="O79" s="85">
        <v>272.88</v>
      </c>
      <c r="P79" s="48">
        <f>SUM(compras_mes4[[#This Row],[NETO GRAVADO]:[Otros / No Grav.]])</f>
        <v>2000.0098000000003</v>
      </c>
      <c r="Q79" s="49" t="str">
        <f>IFERROR(IF(compras_mes4[[#This Row],[CUIT]]="","-",VLOOKUP(compras_mes4[[#This Row],[CUIT]],Lista_CUIT[#All],3,0)),"CUIT NO CARGADO")</f>
        <v>Combustibe</v>
      </c>
      <c r="R79" s="49">
        <f>IFERROR(IF(compras_mes4[[#This Row],[CUIT]]="","-",VLOOKUP(compras_mes4[[#This Row],[CUIT]],Lista_CUIT[#All],4,0)),"CUIT NO CARGADO")</f>
        <v>0</v>
      </c>
    </row>
    <row r="80" spans="2:18" x14ac:dyDescent="0.3">
      <c r="B80" s="40">
        <v>45029</v>
      </c>
      <c r="C80" s="41">
        <v>1</v>
      </c>
      <c r="D80" s="42">
        <v>11</v>
      </c>
      <c r="E80" s="43">
        <v>72092</v>
      </c>
      <c r="F80" s="44">
        <v>30534051049</v>
      </c>
      <c r="G80" s="45" t="str">
        <f>IFERROR(IF(compras_mes4[[#This Row],[CUIT]]="","-",VLOOKUP(compras_mes4[[#This Row],[CUIT]],Lista_CUIT[#All],2,0)),"CUIT NO CARGADO")</f>
        <v>ELECTRO UNIVERSO - PLIN METAL S A</v>
      </c>
      <c r="H80" s="46">
        <v>1149.8599999999999</v>
      </c>
      <c r="I80" s="85">
        <v>138.26</v>
      </c>
      <c r="J80" s="85"/>
      <c r="K80" s="85">
        <v>51.61</v>
      </c>
      <c r="L80" s="85"/>
      <c r="M80" s="85"/>
      <c r="N80" s="85"/>
      <c r="O80" s="85"/>
      <c r="P80" s="48">
        <f>SUM(compras_mes4[[#This Row],[NETO GRAVADO]:[Otros / No Grav.]])</f>
        <v>1339.7299999999998</v>
      </c>
      <c r="Q80" s="49">
        <f>IFERROR(IF(compras_mes4[[#This Row],[CUIT]]="","-",VLOOKUP(compras_mes4[[#This Row],[CUIT]],Lista_CUIT[#All],3,0)),"CUIT NO CARGADO")</f>
        <v>0</v>
      </c>
      <c r="R80" s="49">
        <f>IFERROR(IF(compras_mes4[[#This Row],[CUIT]]="","-",VLOOKUP(compras_mes4[[#This Row],[CUIT]],Lista_CUIT[#All],4,0)),"CUIT NO CARGADO")</f>
        <v>0</v>
      </c>
    </row>
    <row r="81" spans="2:18" x14ac:dyDescent="0.3">
      <c r="B81" s="40">
        <v>45030</v>
      </c>
      <c r="C81" s="41">
        <v>1</v>
      </c>
      <c r="D81" s="42">
        <v>1</v>
      </c>
      <c r="E81" s="43">
        <v>32</v>
      </c>
      <c r="F81" s="44">
        <v>27188803771</v>
      </c>
      <c r="G81" s="45" t="str">
        <f>IFERROR(IF(compras_mes4[[#This Row],[CUIT]]="","-",VLOOKUP(compras_mes4[[#This Row],[CUIT]],Lista_CUIT[#All],2,0)),"CUIT NO CARGADO")</f>
        <v>LU YA HUI</v>
      </c>
      <c r="H81" s="46">
        <v>8000</v>
      </c>
      <c r="I81" s="85">
        <f>IF(compras_mes4[[#This Row],[NETO GRAVADO]]="","",compras_mes4[[#This Row],[NETO GRAVADO]]*0.21)</f>
        <v>1680</v>
      </c>
      <c r="J81" s="85"/>
      <c r="K81" s="85"/>
      <c r="L81" s="85"/>
      <c r="M81" s="85"/>
      <c r="N81" s="85"/>
      <c r="O81" s="85"/>
      <c r="P81" s="48">
        <f>SUM(compras_mes4[[#This Row],[NETO GRAVADO]:[Otros / No Grav.]])</f>
        <v>9680</v>
      </c>
      <c r="Q81" s="49">
        <f>IFERROR(IF(compras_mes4[[#This Row],[CUIT]]="","-",VLOOKUP(compras_mes4[[#This Row],[CUIT]],Lista_CUIT[#All],3,0)),"CUIT NO CARGADO")</f>
        <v>0</v>
      </c>
      <c r="R81" s="49">
        <f>IFERROR(IF(compras_mes4[[#This Row],[CUIT]]="","-",VLOOKUP(compras_mes4[[#This Row],[CUIT]],Lista_CUIT[#All],4,0)),"CUIT NO CARGADO")</f>
        <v>0</v>
      </c>
    </row>
    <row r="82" spans="2:18" x14ac:dyDescent="0.3">
      <c r="B82" s="40">
        <v>45030</v>
      </c>
      <c r="C82" s="41">
        <v>1</v>
      </c>
      <c r="D82" s="42">
        <v>2</v>
      </c>
      <c r="E82" s="43">
        <v>41</v>
      </c>
      <c r="F82" s="44">
        <v>30717768511</v>
      </c>
      <c r="G82" s="45" t="str">
        <f>IFERROR(IF(compras_mes4[[#This Row],[CUIT]]="","-",VLOOKUP(compras_mes4[[#This Row],[CUIT]],Lista_CUIT[#All],2,0)),"CUIT NO CARGADO")</f>
        <v>DEALER S. CAP I SECC IV</v>
      </c>
      <c r="H82" s="46">
        <v>25313.68</v>
      </c>
      <c r="I82" s="85">
        <f>IF(compras_mes4[[#This Row],[NETO GRAVADO]]="","",compras_mes4[[#This Row],[NETO GRAVADO]]*0.21)</f>
        <v>5315.8728000000001</v>
      </c>
      <c r="J82" s="85"/>
      <c r="K82" s="85"/>
      <c r="L82" s="85"/>
      <c r="M82" s="85"/>
      <c r="N82" s="85"/>
      <c r="O82" s="85"/>
      <c r="P82" s="48">
        <f>SUM(compras_mes4[[#This Row],[NETO GRAVADO]:[Otros / No Grav.]])</f>
        <v>30629.552800000001</v>
      </c>
      <c r="Q82" s="49">
        <f>IFERROR(IF(compras_mes4[[#This Row],[CUIT]]="","-",VLOOKUP(compras_mes4[[#This Row],[CUIT]],Lista_CUIT[#All],3,0)),"CUIT NO CARGADO")</f>
        <v>0</v>
      </c>
      <c r="R82" s="49">
        <f>IFERROR(IF(compras_mes4[[#This Row],[CUIT]]="","-",VLOOKUP(compras_mes4[[#This Row],[CUIT]],Lista_CUIT[#All],4,0)),"CUIT NO CARGADO")</f>
        <v>0</v>
      </c>
    </row>
    <row r="83" spans="2:18" x14ac:dyDescent="0.3">
      <c r="B83" s="40">
        <v>45030</v>
      </c>
      <c r="C83" s="41">
        <v>1</v>
      </c>
      <c r="D83" s="42">
        <v>3</v>
      </c>
      <c r="E83" s="43">
        <v>45</v>
      </c>
      <c r="F83" s="44">
        <v>33715993509</v>
      </c>
      <c r="G83" s="45" t="str">
        <f>IFERROR(IF(compras_mes4[[#This Row],[CUIT]]="","-",VLOOKUP(compras_mes4[[#This Row],[CUIT]],Lista_CUIT[#All],2,0)),"CUIT NO CARGADO")</f>
        <v>+Q NATURAL S.A.</v>
      </c>
      <c r="H83" s="46">
        <v>801.66</v>
      </c>
      <c r="I83" s="85">
        <f>IF(compras_mes4[[#This Row],[NETO GRAVADO]]="","",compras_mes4[[#This Row],[NETO GRAVADO]]*0.21)</f>
        <v>168.34859999999998</v>
      </c>
      <c r="J83" s="85"/>
      <c r="K83" s="85"/>
      <c r="L83" s="85"/>
      <c r="M83" s="85"/>
      <c r="N83" s="85"/>
      <c r="O83" s="85"/>
      <c r="P83" s="48">
        <f>SUM(compras_mes4[[#This Row],[NETO GRAVADO]:[Otros / No Grav.]])</f>
        <v>970.00859999999989</v>
      </c>
      <c r="Q83" s="49">
        <f>IFERROR(IF(compras_mes4[[#This Row],[CUIT]]="","-",VLOOKUP(compras_mes4[[#This Row],[CUIT]],Lista_CUIT[#All],3,0)),"CUIT NO CARGADO")</f>
        <v>0</v>
      </c>
      <c r="R83" s="49">
        <f>IFERROR(IF(compras_mes4[[#This Row],[CUIT]]="","-",VLOOKUP(compras_mes4[[#This Row],[CUIT]],Lista_CUIT[#All],4,0)),"CUIT NO CARGADO")</f>
        <v>0</v>
      </c>
    </row>
    <row r="84" spans="2:18" x14ac:dyDescent="0.3">
      <c r="B84" s="40">
        <v>45030</v>
      </c>
      <c r="C84" s="41">
        <v>1</v>
      </c>
      <c r="D84" s="42">
        <v>5</v>
      </c>
      <c r="E84" s="43">
        <v>2069</v>
      </c>
      <c r="F84" s="44">
        <v>30708558792</v>
      </c>
      <c r="G84" s="45" t="str">
        <f>IFERROR(IF(compras_mes4[[#This Row],[CUIT]]="","-",VLOOKUP(compras_mes4[[#This Row],[CUIT]],Lista_CUIT[#All],2,0)),"CUIT NO CARGADO")</f>
        <v>MYL TRANSFORMADORES S.A</v>
      </c>
      <c r="H84" s="46">
        <v>330.58</v>
      </c>
      <c r="I84" s="85">
        <f>IF(compras_mes4[[#This Row],[NETO GRAVADO]]="","",compras_mes4[[#This Row],[NETO GRAVADO]]*0.21)</f>
        <v>69.42179999999999</v>
      </c>
      <c r="J84" s="85"/>
      <c r="K84" s="85"/>
      <c r="L84" s="85"/>
      <c r="M84" s="85"/>
      <c r="N84" s="85"/>
      <c r="O84" s="85"/>
      <c r="P84" s="48">
        <f>SUM(compras_mes4[[#This Row],[NETO GRAVADO]:[Otros / No Grav.]])</f>
        <v>400.0018</v>
      </c>
      <c r="Q84" s="49">
        <f>IFERROR(IF(compras_mes4[[#This Row],[CUIT]]="","-",VLOOKUP(compras_mes4[[#This Row],[CUIT]],Lista_CUIT[#All],3,0)),"CUIT NO CARGADO")</f>
        <v>0</v>
      </c>
      <c r="R84" s="49">
        <f>IFERROR(IF(compras_mes4[[#This Row],[CUIT]]="","-",VLOOKUP(compras_mes4[[#This Row],[CUIT]],Lista_CUIT[#All],4,0)),"CUIT NO CARGADO")</f>
        <v>0</v>
      </c>
    </row>
    <row r="85" spans="2:18" x14ac:dyDescent="0.3">
      <c r="B85" s="40">
        <v>45030</v>
      </c>
      <c r="C85" s="41">
        <v>1</v>
      </c>
      <c r="D85" s="42">
        <v>10</v>
      </c>
      <c r="E85" s="43">
        <v>6332</v>
      </c>
      <c r="F85" s="44">
        <v>20286297839</v>
      </c>
      <c r="G85" s="45" t="str">
        <f>IFERROR(IF(compras_mes4[[#This Row],[CUIT]]="","-",VLOOKUP(compras_mes4[[#This Row],[CUIT]],Lista_CUIT[#All],2,0)),"CUIT NO CARGADO")</f>
        <v>MAGANAS SERGIO ESTEBAN</v>
      </c>
      <c r="H85" s="46">
        <v>16284.16</v>
      </c>
      <c r="I85" s="85"/>
      <c r="J85" s="85"/>
      <c r="K85" s="85">
        <v>1709.84</v>
      </c>
      <c r="L85" s="85"/>
      <c r="M85" s="85"/>
      <c r="N85" s="85"/>
      <c r="O85" s="85"/>
      <c r="P85" s="48">
        <f>SUM(compras_mes4[[#This Row],[NETO GRAVADO]:[Otros / No Grav.]])</f>
        <v>17994</v>
      </c>
      <c r="Q85" s="49">
        <f>IFERROR(IF(compras_mes4[[#This Row],[CUIT]]="","-",VLOOKUP(compras_mes4[[#This Row],[CUIT]],Lista_CUIT[#All],3,0)),"CUIT NO CARGADO")</f>
        <v>0</v>
      </c>
      <c r="R85" s="49">
        <f>IFERROR(IF(compras_mes4[[#This Row],[CUIT]]="","-",VLOOKUP(compras_mes4[[#This Row],[CUIT]],Lista_CUIT[#All],4,0)),"CUIT NO CARGADO")</f>
        <v>0</v>
      </c>
    </row>
    <row r="86" spans="2:18" x14ac:dyDescent="0.3">
      <c r="B86" s="40">
        <v>45030</v>
      </c>
      <c r="C86" s="41">
        <v>1</v>
      </c>
      <c r="D86" s="42">
        <v>3</v>
      </c>
      <c r="E86" s="43">
        <v>6453</v>
      </c>
      <c r="F86" s="44">
        <v>30708006420</v>
      </c>
      <c r="G86" s="45" t="str">
        <f>IFERROR(IF(compras_mes4[[#This Row],[CUIT]]="","-",VLOOKUP(compras_mes4[[#This Row],[CUIT]],Lista_CUIT[#All],2,0)),"CUIT NO CARGADO")</f>
        <v>MEDILEA S.A.</v>
      </c>
      <c r="H86" s="46">
        <v>251680</v>
      </c>
      <c r="I86" s="85">
        <f>IF(compras_mes4[[#This Row],[NETO GRAVADO]]="","",compras_mes4[[#This Row],[NETO GRAVADO]]*0.21)</f>
        <v>52852.799999999996</v>
      </c>
      <c r="J86" s="85"/>
      <c r="K86" s="85"/>
      <c r="L86" s="85"/>
      <c r="M86" s="85"/>
      <c r="N86" s="85"/>
      <c r="O86" s="85"/>
      <c r="P86" s="48">
        <f>SUM(compras_mes4[[#This Row],[NETO GRAVADO]:[Otros / No Grav.]])</f>
        <v>304532.8</v>
      </c>
      <c r="Q86" s="49">
        <f>IFERROR(IF(compras_mes4[[#This Row],[CUIT]]="","-",VLOOKUP(compras_mes4[[#This Row],[CUIT]],Lista_CUIT[#All],3,0)),"CUIT NO CARGADO")</f>
        <v>0</v>
      </c>
      <c r="R86" s="49">
        <f>IFERROR(IF(compras_mes4[[#This Row],[CUIT]]="","-",VLOOKUP(compras_mes4[[#This Row],[CUIT]],Lista_CUIT[#All],4,0)),"CUIT NO CARGADO")</f>
        <v>0</v>
      </c>
    </row>
    <row r="87" spans="2:18" x14ac:dyDescent="0.3">
      <c r="B87" s="40">
        <v>45031</v>
      </c>
      <c r="C87" s="41">
        <v>1</v>
      </c>
      <c r="D87" s="42">
        <v>2199</v>
      </c>
      <c r="E87" s="43">
        <v>21474</v>
      </c>
      <c r="F87" s="44">
        <v>30548083156</v>
      </c>
      <c r="G87" s="45" t="str">
        <f>IFERROR(IF(compras_mes4[[#This Row],[CUIT]]="","-",VLOOKUP(compras_mes4[[#This Row],[CUIT]],Lista_CUIT[#All],2,0)),"CUIT NO CARGADO")</f>
        <v>COTO CENTRO INTEGRAL DE COMERCIALIZACION SOCIEDAD ANONIMA</v>
      </c>
      <c r="H87" s="46">
        <v>11691.02</v>
      </c>
      <c r="I87" s="85">
        <v>1472.76</v>
      </c>
      <c r="J87" s="85"/>
      <c r="K87" s="85">
        <v>491.18</v>
      </c>
      <c r="L87" s="85">
        <v>70.17</v>
      </c>
      <c r="M87" s="85">
        <v>195.71</v>
      </c>
      <c r="N87" s="85">
        <v>589.64</v>
      </c>
      <c r="O87" s="85"/>
      <c r="P87" s="48">
        <f>SUM(compras_mes4[[#This Row],[NETO GRAVADO]:[Otros / No Grav.]])</f>
        <v>14510.48</v>
      </c>
      <c r="Q87" s="49" t="str">
        <f>IFERROR(IF(compras_mes4[[#This Row],[CUIT]]="","-",VLOOKUP(compras_mes4[[#This Row],[CUIT]],Lista_CUIT[#All],3,0)),"CUIT NO CARGADO")</f>
        <v>GASTOS COMERCIALES</v>
      </c>
      <c r="R87" s="49">
        <f>IFERROR(IF(compras_mes4[[#This Row],[CUIT]]="","-",VLOOKUP(compras_mes4[[#This Row],[CUIT]],Lista_CUIT[#All],4,0)),"CUIT NO CARGADO")</f>
        <v>0</v>
      </c>
    </row>
    <row r="88" spans="2:18" x14ac:dyDescent="0.3">
      <c r="B88" s="40">
        <v>45031</v>
      </c>
      <c r="C88" s="41">
        <v>1</v>
      </c>
      <c r="D88" s="42">
        <v>12</v>
      </c>
      <c r="E88" s="43">
        <v>21888</v>
      </c>
      <c r="F88" s="44">
        <v>30696131003</v>
      </c>
      <c r="G88" s="45" t="str">
        <f>IFERROR(IF(compras_mes4[[#This Row],[CUIT]]="","-",VLOOKUP(compras_mes4[[#This Row],[CUIT]],Lista_CUIT[#All],2,0)),"CUIT NO CARGADO")</f>
        <v>Petrolfe S.A.</v>
      </c>
      <c r="H88" s="46">
        <v>22450.19</v>
      </c>
      <c r="I88" s="85">
        <f>IF(compras_mes4[[#This Row],[NETO GRAVADO]]="","",compras_mes4[[#This Row],[NETO GRAVADO]]*0.21)</f>
        <v>4714.5398999999998</v>
      </c>
      <c r="J88" s="85"/>
      <c r="K88" s="85"/>
      <c r="L88" s="85"/>
      <c r="M88" s="85"/>
      <c r="N88" s="85"/>
      <c r="O88" s="85">
        <v>4738.99</v>
      </c>
      <c r="P88" s="48">
        <f>SUM(compras_mes4[[#This Row],[NETO GRAVADO]:[Otros / No Grav.]])</f>
        <v>31903.719899999996</v>
      </c>
      <c r="Q88" s="49" t="str">
        <f>IFERROR(IF(compras_mes4[[#This Row],[CUIT]]="","-",VLOOKUP(compras_mes4[[#This Row],[CUIT]],Lista_CUIT[#All],3,0)),"CUIT NO CARGADO")</f>
        <v>Combustible</v>
      </c>
      <c r="R88" s="49">
        <f>IFERROR(IF(compras_mes4[[#This Row],[CUIT]]="","-",VLOOKUP(compras_mes4[[#This Row],[CUIT]],Lista_CUIT[#All],4,0)),"CUIT NO CARGADO")</f>
        <v>0</v>
      </c>
    </row>
    <row r="89" spans="2:18" x14ac:dyDescent="0.3">
      <c r="B89" s="40">
        <v>45031</v>
      </c>
      <c r="C89" s="41">
        <v>1</v>
      </c>
      <c r="D89" s="42">
        <v>2188</v>
      </c>
      <c r="E89" s="43">
        <v>87493</v>
      </c>
      <c r="F89" s="44">
        <v>30548083156</v>
      </c>
      <c r="G89" s="45" t="str">
        <f>IFERROR(IF(compras_mes4[[#This Row],[CUIT]]="","-",VLOOKUP(compras_mes4[[#This Row],[CUIT]],Lista_CUIT[#All],2,0)),"CUIT NO CARGADO")</f>
        <v>COTO CENTRO INTEGRAL DE COMERCIALIZACION SOCIEDAD ANONIMA</v>
      </c>
      <c r="H89" s="46">
        <v>19287.95</v>
      </c>
      <c r="I89" s="85">
        <v>4024.1</v>
      </c>
      <c r="J89" s="85"/>
      <c r="K89" s="85">
        <v>13.18</v>
      </c>
      <c r="L89" s="85">
        <v>574.87</v>
      </c>
      <c r="M89" s="85"/>
      <c r="N89" s="85">
        <v>646.14</v>
      </c>
      <c r="O89" s="85"/>
      <c r="P89" s="48">
        <f>SUM(compras_mes4[[#This Row],[NETO GRAVADO]:[Otros / No Grav.]])</f>
        <v>24546.239999999998</v>
      </c>
      <c r="Q89" s="49" t="str">
        <f>IFERROR(IF(compras_mes4[[#This Row],[CUIT]]="","-",VLOOKUP(compras_mes4[[#This Row],[CUIT]],Lista_CUIT[#All],3,0)),"CUIT NO CARGADO")</f>
        <v>GASTOS COMERCIALES</v>
      </c>
      <c r="R89" s="49">
        <f>IFERROR(IF(compras_mes4[[#This Row],[CUIT]]="","-",VLOOKUP(compras_mes4[[#This Row],[CUIT]],Lista_CUIT[#All],4,0)),"CUIT NO CARGADO")</f>
        <v>0</v>
      </c>
    </row>
    <row r="90" spans="2:18" x14ac:dyDescent="0.3">
      <c r="B90" s="40">
        <v>45031</v>
      </c>
      <c r="C90" s="41">
        <v>1</v>
      </c>
      <c r="D90" s="42">
        <v>4264</v>
      </c>
      <c r="E90" s="43">
        <v>1685221</v>
      </c>
      <c r="F90" s="44">
        <v>30639453738</v>
      </c>
      <c r="G90" s="45" t="str">
        <f>IFERROR(IF(compras_mes4[[#This Row],[CUIT]]="","-",VLOOKUP(compras_mes4[[#This Row],[CUIT]],Lista_CUIT[#All],2,0)),"CUIT NO CARGADO")</f>
        <v>TELECOM ARG SA</v>
      </c>
      <c r="H90" s="46">
        <v>12500</v>
      </c>
      <c r="I90" s="85">
        <f>IF(compras_mes4[[#This Row],[NETO GRAVADO]]="","",compras_mes4[[#This Row],[NETO GRAVADO]]*0.21)</f>
        <v>2625</v>
      </c>
      <c r="J90" s="85"/>
      <c r="K90" s="85"/>
      <c r="L90" s="85"/>
      <c r="M90" s="85"/>
      <c r="N90" s="85"/>
      <c r="O90" s="85">
        <v>1125</v>
      </c>
      <c r="P90" s="48">
        <f>SUM(compras_mes4[[#This Row],[NETO GRAVADO]:[Otros / No Grav.]])</f>
        <v>16250</v>
      </c>
      <c r="Q90" s="49" t="str">
        <f>IFERROR(IF(compras_mes4[[#This Row],[CUIT]]="","-",VLOOKUP(compras_mes4[[#This Row],[CUIT]],Lista_CUIT[#All],3,0)),"CUIT NO CARGADO")</f>
        <v>Servicios Gas, Luz, etc.</v>
      </c>
      <c r="R90" s="49">
        <f>IFERROR(IF(compras_mes4[[#This Row],[CUIT]]="","-",VLOOKUP(compras_mes4[[#This Row],[CUIT]],Lista_CUIT[#All],4,0)),"CUIT NO CARGADO")</f>
        <v>0</v>
      </c>
    </row>
    <row r="91" spans="2:18" x14ac:dyDescent="0.3">
      <c r="B91" s="40">
        <v>45031</v>
      </c>
      <c r="C91" s="41">
        <v>1</v>
      </c>
      <c r="D91" s="42">
        <v>4264</v>
      </c>
      <c r="E91" s="43">
        <v>1687334</v>
      </c>
      <c r="F91" s="44">
        <v>30639453738</v>
      </c>
      <c r="G91" s="45" t="str">
        <f>IFERROR(IF(compras_mes4[[#This Row],[CUIT]]="","-",VLOOKUP(compras_mes4[[#This Row],[CUIT]],Lista_CUIT[#All],2,0)),"CUIT NO CARGADO")</f>
        <v>TELECOM ARG SA</v>
      </c>
      <c r="H91" s="46">
        <v>9350</v>
      </c>
      <c r="I91" s="85">
        <f>IF(compras_mes4[[#This Row],[NETO GRAVADO]]="","",compras_mes4[[#This Row],[NETO GRAVADO]]*0.21)</f>
        <v>1963.5</v>
      </c>
      <c r="J91" s="85"/>
      <c r="K91" s="85"/>
      <c r="L91" s="85"/>
      <c r="M91" s="85"/>
      <c r="N91" s="85"/>
      <c r="O91" s="85">
        <v>280.5</v>
      </c>
      <c r="P91" s="48">
        <f>SUM(compras_mes4[[#This Row],[NETO GRAVADO]:[Otros / No Grav.]])</f>
        <v>11594</v>
      </c>
      <c r="Q91" s="49" t="str">
        <f>IFERROR(IF(compras_mes4[[#This Row],[CUIT]]="","-",VLOOKUP(compras_mes4[[#This Row],[CUIT]],Lista_CUIT[#All],3,0)),"CUIT NO CARGADO")</f>
        <v>Servicios Gas, Luz, etc.</v>
      </c>
      <c r="R91" s="49">
        <f>IFERROR(IF(compras_mes4[[#This Row],[CUIT]]="","-",VLOOKUP(compras_mes4[[#This Row],[CUIT]],Lista_CUIT[#All],4,0)),"CUIT NO CARGADO")</f>
        <v>0</v>
      </c>
    </row>
    <row r="92" spans="2:18" x14ac:dyDescent="0.3">
      <c r="B92" s="40">
        <v>45031</v>
      </c>
      <c r="C92" s="41">
        <v>1</v>
      </c>
      <c r="D92" s="42">
        <v>4264</v>
      </c>
      <c r="E92" s="43">
        <v>1734402</v>
      </c>
      <c r="F92" s="44">
        <v>30639453738</v>
      </c>
      <c r="G92" s="45" t="str">
        <f>IFERROR(IF(compras_mes4[[#This Row],[CUIT]]="","-",VLOOKUP(compras_mes4[[#This Row],[CUIT]],Lista_CUIT[#All],2,0)),"CUIT NO CARGADO")</f>
        <v>TELECOM ARG SA</v>
      </c>
      <c r="H92" s="46">
        <v>19650</v>
      </c>
      <c r="I92" s="85">
        <f>IF(compras_mes4[[#This Row],[NETO GRAVADO]]="","",compras_mes4[[#This Row],[NETO GRAVADO]]*0.21)</f>
        <v>4126.5</v>
      </c>
      <c r="J92" s="85"/>
      <c r="K92" s="85"/>
      <c r="L92" s="85"/>
      <c r="M92" s="85"/>
      <c r="N92" s="85"/>
      <c r="O92" s="85">
        <v>1768.5</v>
      </c>
      <c r="P92" s="48">
        <f>SUM(compras_mes4[[#This Row],[NETO GRAVADO]:[Otros / No Grav.]])</f>
        <v>25545</v>
      </c>
      <c r="Q92" s="49" t="str">
        <f>IFERROR(IF(compras_mes4[[#This Row],[CUIT]]="","-",VLOOKUP(compras_mes4[[#This Row],[CUIT]],Lista_CUIT[#All],3,0)),"CUIT NO CARGADO")</f>
        <v>Servicios Gas, Luz, etc.</v>
      </c>
      <c r="R92" s="49">
        <f>IFERROR(IF(compras_mes4[[#This Row],[CUIT]]="","-",VLOOKUP(compras_mes4[[#This Row],[CUIT]],Lista_CUIT[#All],4,0)),"CUIT NO CARGADO")</f>
        <v>0</v>
      </c>
    </row>
    <row r="93" spans="2:18" x14ac:dyDescent="0.3">
      <c r="B93" s="40">
        <v>45032</v>
      </c>
      <c r="C93" s="41">
        <v>1</v>
      </c>
      <c r="D93" s="42">
        <v>7</v>
      </c>
      <c r="E93" s="43">
        <v>1171</v>
      </c>
      <c r="F93" s="44">
        <v>20134664518</v>
      </c>
      <c r="G93" s="45" t="str">
        <f>IFERROR(IF(compras_mes4[[#This Row],[CUIT]]="","-",VLOOKUP(compras_mes4[[#This Row],[CUIT]],Lista_CUIT[#All],2,0)),"CUIT NO CARGADO")</f>
        <v>HOKAMA SERGIO ENRIQUE</v>
      </c>
      <c r="H93" s="46">
        <v>3760.34</v>
      </c>
      <c r="I93" s="85">
        <f>IF(compras_mes4[[#This Row],[NETO GRAVADO]]="","",compras_mes4[[#This Row],[NETO GRAVADO]]*0.21)</f>
        <v>789.67139999999995</v>
      </c>
      <c r="J93" s="85"/>
      <c r="K93" s="85"/>
      <c r="L93" s="85"/>
      <c r="M93" s="85"/>
      <c r="N93" s="85"/>
      <c r="O93" s="85"/>
      <c r="P93" s="48">
        <f>SUM(compras_mes4[[#This Row],[NETO GRAVADO]:[Otros / No Grav.]])</f>
        <v>4550.0114000000003</v>
      </c>
      <c r="Q93" s="49" t="str">
        <f>IFERROR(IF(compras_mes4[[#This Row],[CUIT]]="","-",VLOOKUP(compras_mes4[[#This Row],[CUIT]],Lista_CUIT[#All],3,0)),"CUIT NO CARGADO")</f>
        <v>Gastos Varios</v>
      </c>
      <c r="R93" s="49" t="str">
        <f>IFERROR(IF(compras_mes4[[#This Row],[CUIT]]="","-",VLOOKUP(compras_mes4[[#This Row],[CUIT]],Lista_CUIT[#All],4,0)),"CUIT NO CARGADO")</f>
        <v>BUENOS AIRES</v>
      </c>
    </row>
    <row r="94" spans="2:18" x14ac:dyDescent="0.3">
      <c r="B94" s="40">
        <v>45033</v>
      </c>
      <c r="C94" s="41">
        <v>1</v>
      </c>
      <c r="D94" s="42">
        <v>5</v>
      </c>
      <c r="E94" s="43">
        <v>395</v>
      </c>
      <c r="F94" s="44">
        <v>30716654105</v>
      </c>
      <c r="G94" s="45" t="str">
        <f>IFERROR(IF(compras_mes4[[#This Row],[CUIT]]="","-",VLOOKUP(compras_mes4[[#This Row],[CUIT]],Lista_CUIT[#All],2,0)),"CUIT NO CARGADO")</f>
        <v>CARNICA DEL NORTE S.R.L.</v>
      </c>
      <c r="H94" s="46">
        <v>4316.1000000000004</v>
      </c>
      <c r="I94" s="85"/>
      <c r="J94" s="85"/>
      <c r="K94" s="85">
        <v>453.19</v>
      </c>
      <c r="L94" s="85"/>
      <c r="M94" s="85"/>
      <c r="N94" s="85"/>
      <c r="O94" s="85"/>
      <c r="P94" s="48">
        <f>SUM(compras_mes4[[#This Row],[NETO GRAVADO]:[Otros / No Grav.]])</f>
        <v>4769.29</v>
      </c>
      <c r="Q94" s="49">
        <f>IFERROR(IF(compras_mes4[[#This Row],[CUIT]]="","-",VLOOKUP(compras_mes4[[#This Row],[CUIT]],Lista_CUIT[#All],3,0)),"CUIT NO CARGADO")</f>
        <v>0</v>
      </c>
      <c r="R94" s="49">
        <f>IFERROR(IF(compras_mes4[[#This Row],[CUIT]]="","-",VLOOKUP(compras_mes4[[#This Row],[CUIT]],Lista_CUIT[#All],4,0)),"CUIT NO CARGADO")</f>
        <v>0</v>
      </c>
    </row>
    <row r="95" spans="2:18" x14ac:dyDescent="0.3">
      <c r="B95" s="40">
        <v>45033</v>
      </c>
      <c r="C95" s="41">
        <v>1</v>
      </c>
      <c r="D95" s="42">
        <v>2</v>
      </c>
      <c r="E95" s="43">
        <v>3314</v>
      </c>
      <c r="F95" s="44">
        <v>30629863571</v>
      </c>
      <c r="G95" s="45" t="str">
        <f>IFERROR(IF(compras_mes4[[#This Row],[CUIT]]="","-",VLOOKUP(compras_mes4[[#This Row],[CUIT]],Lista_CUIT[#All],2,0)),"CUIT NO CARGADO")</f>
        <v>TECNIMAR S R L</v>
      </c>
      <c r="H95" s="46">
        <v>448106.48</v>
      </c>
      <c r="I95" s="85">
        <f>IF(compras_mes4[[#This Row],[NETO GRAVADO]]="","",compras_mes4[[#This Row],[NETO GRAVADO]]*0.21)</f>
        <v>94102.360799999995</v>
      </c>
      <c r="J95" s="85"/>
      <c r="K95" s="85"/>
      <c r="L95" s="85"/>
      <c r="M95" s="85"/>
      <c r="N95" s="85"/>
      <c r="O95" s="85"/>
      <c r="P95" s="48">
        <f>SUM(compras_mes4[[#This Row],[NETO GRAVADO]:[Otros / No Grav.]])</f>
        <v>542208.84080000001</v>
      </c>
      <c r="Q95" s="49" t="str">
        <f>IFERROR(IF(compras_mes4[[#This Row],[CUIT]]="","-",VLOOKUP(compras_mes4[[#This Row],[CUIT]],Lista_CUIT[#All],3,0)),"CUIT NO CARGADO")</f>
        <v>LABORATORIO</v>
      </c>
      <c r="R95" s="49">
        <f>IFERROR(IF(compras_mes4[[#This Row],[CUIT]]="","-",VLOOKUP(compras_mes4[[#This Row],[CUIT]],Lista_CUIT[#All],4,0)),"CUIT NO CARGADO")</f>
        <v>0</v>
      </c>
    </row>
    <row r="96" spans="2:18" x14ac:dyDescent="0.3">
      <c r="B96" s="40">
        <v>45033</v>
      </c>
      <c r="C96" s="41">
        <v>1</v>
      </c>
      <c r="D96" s="42">
        <v>16</v>
      </c>
      <c r="E96" s="43">
        <v>10996</v>
      </c>
      <c r="F96" s="44">
        <v>30707841105</v>
      </c>
      <c r="G96" s="45" t="str">
        <f>IFERROR(IF(compras_mes4[[#This Row],[CUIT]]="","-",VLOOKUP(compras_mes4[[#This Row],[CUIT]],Lista_CUIT[#All],2,0)),"CUIT NO CARGADO")</f>
        <v>PETRO ARG SRL</v>
      </c>
      <c r="H96" s="46">
        <v>5028.55</v>
      </c>
      <c r="I96" s="85">
        <f>IF(compras_mes4[[#This Row],[NETO GRAVADO]]="","",compras_mes4[[#This Row],[NETO GRAVADO]]*0.21)</f>
        <v>1055.9955</v>
      </c>
      <c r="J96" s="85"/>
      <c r="K96" s="85"/>
      <c r="L96" s="85"/>
      <c r="M96" s="85"/>
      <c r="N96" s="85"/>
      <c r="O96" s="85">
        <v>969.57</v>
      </c>
      <c r="P96" s="48">
        <f>SUM(compras_mes4[[#This Row],[NETO GRAVADO]:[Otros / No Grav.]])</f>
        <v>7054.1154999999999</v>
      </c>
      <c r="Q96" s="49" t="str">
        <f>IFERROR(IF(compras_mes4[[#This Row],[CUIT]]="","-",VLOOKUP(compras_mes4[[#This Row],[CUIT]],Lista_CUIT[#All],3,0)),"CUIT NO CARGADO")</f>
        <v>Combustible</v>
      </c>
      <c r="R96" s="49">
        <f>IFERROR(IF(compras_mes4[[#This Row],[CUIT]]="","-",VLOOKUP(compras_mes4[[#This Row],[CUIT]],Lista_CUIT[#All],4,0)),"CUIT NO CARGADO")</f>
        <v>0</v>
      </c>
    </row>
    <row r="97" spans="2:18" x14ac:dyDescent="0.3">
      <c r="B97" s="361">
        <v>45033</v>
      </c>
      <c r="C97" s="41">
        <v>1</v>
      </c>
      <c r="D97" s="362">
        <v>23</v>
      </c>
      <c r="E97" s="363">
        <v>11405</v>
      </c>
      <c r="F97" s="364">
        <v>30515800219</v>
      </c>
      <c r="G97" s="365" t="str">
        <f>IFERROR(IF(compras_mes4[[#This Row],[CUIT]]="","-",VLOOKUP(compras_mes4[[#This Row],[CUIT]],Lista_CUIT[#All],2,0)),"CUIT NO CARGADO")</f>
        <v>INCAT SRL</v>
      </c>
      <c r="H97" s="366">
        <v>5068.6000000000004</v>
      </c>
      <c r="I97" s="367">
        <f>IF(compras_mes4[[#This Row],[NETO GRAVADO]]="","",compras_mes4[[#This Row],[NETO GRAVADO]]*0.21)</f>
        <v>1064.4059999999999</v>
      </c>
      <c r="J97" s="367"/>
      <c r="K97" s="367"/>
      <c r="L97" s="367"/>
      <c r="M97" s="367"/>
      <c r="N97" s="367"/>
      <c r="O97" s="367">
        <v>1067.72</v>
      </c>
      <c r="P97" s="368">
        <f>SUM(compras_mes4[[#This Row],[NETO GRAVADO]:[Otros / No Grav.]])</f>
        <v>7200.7260000000006</v>
      </c>
      <c r="Q97" s="369" t="str">
        <f>IFERROR(IF(compras_mes4[[#This Row],[CUIT]]="","-",VLOOKUP(compras_mes4[[#This Row],[CUIT]],Lista_CUIT[#All],3,0)),"CUIT NO CARGADO")</f>
        <v>Combustibe</v>
      </c>
      <c r="R97" s="369" t="str">
        <f>IFERROR(IF(compras_mes4[[#This Row],[CUIT]]="","-",VLOOKUP(compras_mes4[[#This Row],[CUIT]],Lista_CUIT[#All],4,0)),"CUIT NO CARGADO")</f>
        <v>CABA</v>
      </c>
    </row>
    <row r="98" spans="2:18" x14ac:dyDescent="0.3">
      <c r="B98" s="40">
        <v>45033</v>
      </c>
      <c r="C98" s="41">
        <v>1</v>
      </c>
      <c r="D98" s="42">
        <v>4</v>
      </c>
      <c r="E98" s="43">
        <v>42102</v>
      </c>
      <c r="F98" s="44">
        <v>30709863076</v>
      </c>
      <c r="G98" s="45" t="str">
        <f>IFERROR(IF(compras_mes4[[#This Row],[CUIT]]="","-",VLOOKUP(compras_mes4[[#This Row],[CUIT]],Lista_CUIT[#All],2,0)),"CUIT NO CARGADO")</f>
        <v>INDUSTRIAS PLASTICOS SALTA S.R.L.</v>
      </c>
      <c r="H98" s="46">
        <v>105918.2</v>
      </c>
      <c r="I98" s="85">
        <f>IF(compras_mes4[[#This Row],[NETO GRAVADO]]="","",compras_mes4[[#This Row],[NETO GRAVADO]]*0.21)</f>
        <v>22242.822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128161.022</v>
      </c>
      <c r="Q98" s="49">
        <f>IFERROR(IF(compras_mes4[[#This Row],[CUIT]]="","-",VLOOKUP(compras_mes4[[#This Row],[CUIT]],Lista_CUIT[#All],3,0)),"CUIT NO CARGADO")</f>
        <v>0</v>
      </c>
      <c r="R98" s="49">
        <f>IFERROR(IF(compras_mes4[[#This Row],[CUIT]]="","-",VLOOKUP(compras_mes4[[#This Row],[CUIT]],Lista_CUIT[#All],4,0)),"CUIT NO CARGADO")</f>
        <v>0</v>
      </c>
    </row>
    <row r="99" spans="2:18" x14ac:dyDescent="0.3">
      <c r="B99" s="40">
        <v>45034</v>
      </c>
      <c r="C99" s="41">
        <v>1</v>
      </c>
      <c r="D99" s="42">
        <v>12</v>
      </c>
      <c r="E99" s="43">
        <v>11384</v>
      </c>
      <c r="F99" s="44">
        <v>30517345039</v>
      </c>
      <c r="G99" s="45" t="str">
        <f>IFERROR(IF(compras_mes4[[#This Row],[CUIT]]="","-",VLOOKUP(compras_mes4[[#This Row],[CUIT]],Lista_CUIT[#All],2,0)),"CUIT NO CARGADO")</f>
        <v>QUIMICA OESTE S.A.</v>
      </c>
      <c r="H99" s="46">
        <v>6450</v>
      </c>
      <c r="I99" s="85">
        <f>IF(compras_mes4[[#This Row],[NETO GRAVADO]]="","",compras_mes4[[#This Row],[NETO GRAVADO]]*0.21)</f>
        <v>1354.5</v>
      </c>
      <c r="J99" s="85"/>
      <c r="K99" s="85"/>
      <c r="L99" s="85"/>
      <c r="M99" s="85"/>
      <c r="N99" s="85">
        <v>387</v>
      </c>
      <c r="O99" s="85"/>
      <c r="P99" s="48">
        <f>SUM(compras_mes4[[#This Row],[NETO GRAVADO]:[Otros / No Grav.]])</f>
        <v>8191.5</v>
      </c>
      <c r="Q99" s="49" t="str">
        <f>IFERROR(IF(compras_mes4[[#This Row],[CUIT]]="","-",VLOOKUP(compras_mes4[[#This Row],[CUIT]],Lista_CUIT[#All],3,0)),"CUIT NO CARGADO")</f>
        <v>Insumo</v>
      </c>
      <c r="R99" s="49">
        <f>IFERROR(IF(compras_mes4[[#This Row],[CUIT]]="","-",VLOOKUP(compras_mes4[[#This Row],[CUIT]],Lista_CUIT[#All],4,0)),"CUIT NO CARGADO")</f>
        <v>0</v>
      </c>
    </row>
    <row r="100" spans="2:18" x14ac:dyDescent="0.3">
      <c r="B100" s="40">
        <v>45034</v>
      </c>
      <c r="C100" s="41">
        <v>1</v>
      </c>
      <c r="D100" s="42">
        <v>5014</v>
      </c>
      <c r="E100" s="43">
        <v>403918</v>
      </c>
      <c r="F100" s="44">
        <v>30574876474</v>
      </c>
      <c r="G100" s="45" t="str">
        <f>IFERROR(IF(compras_mes4[[#This Row],[CUIT]]="","-",VLOOKUP(compras_mes4[[#This Row],[CUIT]],Lista_CUIT[#All],2,0)),"CUIT NO CARGADO")</f>
        <v>AUTOPISTAS URBANAS S A</v>
      </c>
      <c r="H100" s="46">
        <v>13440.09</v>
      </c>
      <c r="I100" s="85">
        <f>IF(compras_mes4[[#This Row],[NETO GRAVADO]]="","",compras_mes4[[#This Row],[NETO GRAVADO]]*0.21)</f>
        <v>2822.4189000000001</v>
      </c>
      <c r="J100" s="85"/>
      <c r="K100" s="85"/>
      <c r="L100" s="85"/>
      <c r="M100" s="85"/>
      <c r="N100" s="85"/>
      <c r="O100" s="85">
        <v>1746.02</v>
      </c>
      <c r="P100" s="48">
        <f>SUM(compras_mes4[[#This Row],[NETO GRAVADO]:[Otros / No Grav.]])</f>
        <v>18008.528900000001</v>
      </c>
      <c r="Q100" s="49">
        <f>IFERROR(IF(compras_mes4[[#This Row],[CUIT]]="","-",VLOOKUP(compras_mes4[[#This Row],[CUIT]],Lista_CUIT[#All],3,0)),"CUIT NO CARGADO")</f>
        <v>0</v>
      </c>
      <c r="R100" s="49">
        <f>IFERROR(IF(compras_mes4[[#This Row],[CUIT]]="","-",VLOOKUP(compras_mes4[[#This Row],[CUIT]],Lista_CUIT[#All],4,0)),"CUIT NO CARGADO")</f>
        <v>0</v>
      </c>
    </row>
    <row r="101" spans="2:18" x14ac:dyDescent="0.3">
      <c r="B101" s="40">
        <v>45034</v>
      </c>
      <c r="C101" s="41">
        <v>1</v>
      </c>
      <c r="D101" s="42">
        <v>103</v>
      </c>
      <c r="E101" s="43">
        <v>600236</v>
      </c>
      <c r="F101" s="44">
        <v>30701307115</v>
      </c>
      <c r="G101" s="45" t="str">
        <f>IFERROR(IF(compras_mes4[[#This Row],[CUIT]]="","-",VLOOKUP(compras_mes4[[#This Row],[CUIT]],Lista_CUIT[#All],2,0)),"CUIT NO CARGADO")</f>
        <v>DESPEGAR COM AR SA</v>
      </c>
      <c r="H101" s="46">
        <v>10431.11</v>
      </c>
      <c r="I101" s="85">
        <v>335.31</v>
      </c>
      <c r="J101" s="85"/>
      <c r="K101" s="85">
        <v>927.61</v>
      </c>
      <c r="L101" s="85">
        <v>60.97</v>
      </c>
      <c r="M101" s="85"/>
      <c r="N101" s="85">
        <v>2032.7</v>
      </c>
      <c r="O101" s="85">
        <v>284.62</v>
      </c>
      <c r="P101" s="48">
        <f>SUM(compras_mes4[[#This Row],[NETO GRAVADO]:[Otros / No Grav.]])</f>
        <v>14072.320000000002</v>
      </c>
      <c r="Q101" s="49">
        <f>IFERROR(IF(compras_mes4[[#This Row],[CUIT]]="","-",VLOOKUP(compras_mes4[[#This Row],[CUIT]],Lista_CUIT[#All],3,0)),"CUIT NO CARGADO")</f>
        <v>0</v>
      </c>
      <c r="R101" s="49">
        <f>IFERROR(IF(compras_mes4[[#This Row],[CUIT]]="","-",VLOOKUP(compras_mes4[[#This Row],[CUIT]],Lista_CUIT[#All],4,0)),"CUIT NO CARGADO")</f>
        <v>0</v>
      </c>
    </row>
    <row r="102" spans="2:18" x14ac:dyDescent="0.3">
      <c r="B102" s="40">
        <v>45034</v>
      </c>
      <c r="C102" s="41">
        <v>1</v>
      </c>
      <c r="D102" s="42">
        <v>629</v>
      </c>
      <c r="E102" s="43">
        <v>4059817</v>
      </c>
      <c r="F102" s="44">
        <v>30663498513</v>
      </c>
      <c r="G102" s="45" t="str">
        <f>IFERROR(IF(compras_mes4[[#This Row],[CUIT]]="","-",VLOOKUP(compras_mes4[[#This Row],[CUIT]],Lista_CUIT[#All],2,0)),"CUIT NO CARGADO")</f>
        <v>GRUPO CONCES. DEL OESTE SA</v>
      </c>
      <c r="H102" s="46">
        <v>1234.7</v>
      </c>
      <c r="I102" s="85">
        <f>IF(compras_mes4[[#This Row],[NETO GRAVADO]]="","",compras_mes4[[#This Row],[NETO GRAVADO]]*0.21)</f>
        <v>259.28699999999998</v>
      </c>
      <c r="J102" s="85"/>
      <c r="K102" s="85"/>
      <c r="L102" s="85"/>
      <c r="M102" s="85"/>
      <c r="N102" s="85"/>
      <c r="O102" s="85"/>
      <c r="P102" s="48">
        <f>SUM(compras_mes4[[#This Row],[NETO GRAVADO]:[Otros / No Grav.]])</f>
        <v>1493.9870000000001</v>
      </c>
      <c r="Q102" s="49">
        <f>IFERROR(IF(compras_mes4[[#This Row],[CUIT]]="","-",VLOOKUP(compras_mes4[[#This Row],[CUIT]],Lista_CUIT[#All],3,0)),"CUIT NO CARGADO")</f>
        <v>0</v>
      </c>
      <c r="R102" s="49">
        <f>IFERROR(IF(compras_mes4[[#This Row],[CUIT]]="","-",VLOOKUP(compras_mes4[[#This Row],[CUIT]],Lista_CUIT[#All],4,0)),"CUIT NO CARGADO")</f>
        <v>0</v>
      </c>
    </row>
    <row r="103" spans="2:18" x14ac:dyDescent="0.3">
      <c r="B103" s="40">
        <v>45034</v>
      </c>
      <c r="C103" s="41">
        <v>1</v>
      </c>
      <c r="D103" s="42">
        <v>629</v>
      </c>
      <c r="E103" s="43">
        <v>4099525</v>
      </c>
      <c r="F103" s="44">
        <v>30663498513</v>
      </c>
      <c r="G103" s="45" t="str">
        <f>IFERROR(IF(compras_mes4[[#This Row],[CUIT]]="","-",VLOOKUP(compras_mes4[[#This Row],[CUIT]],Lista_CUIT[#All],2,0)),"CUIT NO CARGADO")</f>
        <v>GRUPO CONCES. DEL OESTE SA</v>
      </c>
      <c r="H103" s="46">
        <v>1571.9</v>
      </c>
      <c r="I103" s="85">
        <f>IF(compras_mes4[[#This Row],[NETO GRAVADO]]="","",compras_mes4[[#This Row],[NETO GRAVADO]]*0.21)</f>
        <v>330.09899999999999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1901.999</v>
      </c>
      <c r="Q103" s="49">
        <f>IFERROR(IF(compras_mes4[[#This Row],[CUIT]]="","-",VLOOKUP(compras_mes4[[#This Row],[CUIT]],Lista_CUIT[#All],3,0)),"CUIT NO CARGADO")</f>
        <v>0</v>
      </c>
      <c r="R103" s="49">
        <f>IFERROR(IF(compras_mes4[[#This Row],[CUIT]]="","-",VLOOKUP(compras_mes4[[#This Row],[CUIT]],Lista_CUIT[#All],4,0)),"CUIT NO CARGADO")</f>
        <v>0</v>
      </c>
    </row>
    <row r="104" spans="2:18" x14ac:dyDescent="0.3">
      <c r="B104" s="40">
        <v>45034</v>
      </c>
      <c r="C104" s="41">
        <v>1</v>
      </c>
      <c r="D104" s="42">
        <v>711</v>
      </c>
      <c r="E104" s="43">
        <v>4199791</v>
      </c>
      <c r="F104" s="44">
        <v>30677237119</v>
      </c>
      <c r="G104" s="45" t="str">
        <f>IFERROR(IF(compras_mes4[[#This Row],[CUIT]]="","-",VLOOKUP(compras_mes4[[#This Row],[CUIT]],Lista_CUIT[#All],2,0)),"CUIT NO CARGADO")</f>
        <v>AUTOPISTAS DEL SOL S A</v>
      </c>
      <c r="H104" s="46">
        <v>2471.09</v>
      </c>
      <c r="I104" s="85">
        <f>IF(compras_mes4[[#This Row],[NETO GRAVADO]]="","",compras_mes4[[#This Row],[NETO GRAVADO]]*0.21)</f>
        <v>518.9289</v>
      </c>
      <c r="J104" s="85"/>
      <c r="K104" s="85"/>
      <c r="L104" s="85"/>
      <c r="M104" s="85"/>
      <c r="N104" s="85"/>
      <c r="O104" s="85">
        <v>74.13</v>
      </c>
      <c r="P104" s="48">
        <f>SUM(compras_mes4[[#This Row],[NETO GRAVADO]:[Otros / No Grav.]])</f>
        <v>3064.1489000000001</v>
      </c>
      <c r="Q104" s="49">
        <f>IFERROR(IF(compras_mes4[[#This Row],[CUIT]]="","-",VLOOKUP(compras_mes4[[#This Row],[CUIT]],Lista_CUIT[#All],3,0)),"CUIT NO CARGADO")</f>
        <v>0</v>
      </c>
      <c r="R104" s="49">
        <f>IFERROR(IF(compras_mes4[[#This Row],[CUIT]]="","-",VLOOKUP(compras_mes4[[#This Row],[CUIT]],Lista_CUIT[#All],4,0)),"CUIT NO CARGADO")</f>
        <v>0</v>
      </c>
    </row>
    <row r="105" spans="2:18" x14ac:dyDescent="0.3">
      <c r="B105" s="40">
        <v>45035</v>
      </c>
      <c r="C105" s="41">
        <v>1</v>
      </c>
      <c r="D105" s="42">
        <v>7</v>
      </c>
      <c r="E105" s="43">
        <v>1186</v>
      </c>
      <c r="F105" s="44">
        <v>20134664518</v>
      </c>
      <c r="G105" s="45" t="str">
        <f>IFERROR(IF(compras_mes4[[#This Row],[CUIT]]="","-",VLOOKUP(compras_mes4[[#This Row],[CUIT]],Lista_CUIT[#All],2,0)),"CUIT NO CARGADO")</f>
        <v>HOKAMA SERGIO ENRIQUE</v>
      </c>
      <c r="H105" s="46">
        <v>8638.4</v>
      </c>
      <c r="I105" s="85">
        <f>IF(compras_mes4[[#This Row],[NETO GRAVADO]]="","",compras_mes4[[#This Row],[NETO GRAVADO]]*0.21)</f>
        <v>1814.0639999999999</v>
      </c>
      <c r="J105" s="85"/>
      <c r="K105" s="85"/>
      <c r="L105" s="85"/>
      <c r="M105" s="85"/>
      <c r="N105" s="85"/>
      <c r="O105" s="85"/>
      <c r="P105" s="48">
        <f>SUM(compras_mes4[[#This Row],[NETO GRAVADO]:[Otros / No Grav.]])</f>
        <v>10452.464</v>
      </c>
      <c r="Q105" s="49" t="str">
        <f>IFERROR(IF(compras_mes4[[#This Row],[CUIT]]="","-",VLOOKUP(compras_mes4[[#This Row],[CUIT]],Lista_CUIT[#All],3,0)),"CUIT NO CARGADO")</f>
        <v>Gastos Varios</v>
      </c>
      <c r="R105" s="49" t="str">
        <f>IFERROR(IF(compras_mes4[[#This Row],[CUIT]]="","-",VLOOKUP(compras_mes4[[#This Row],[CUIT]],Lista_CUIT[#All],4,0)),"CUIT NO CARGADO")</f>
        <v>BUENOS AIRES</v>
      </c>
    </row>
    <row r="106" spans="2:18" x14ac:dyDescent="0.3">
      <c r="B106" s="40">
        <v>45035</v>
      </c>
      <c r="C106" s="41">
        <v>1</v>
      </c>
      <c r="D106" s="42">
        <v>5</v>
      </c>
      <c r="E106" s="43">
        <v>1748</v>
      </c>
      <c r="F106" s="44">
        <v>20116347742</v>
      </c>
      <c r="G106" s="45" t="str">
        <f>IFERROR(IF(compras_mes4[[#This Row],[CUIT]]="","-",VLOOKUP(compras_mes4[[#This Row],[CUIT]],Lista_CUIT[#All],2,0)),"CUIT NO CARGADO")</f>
        <v>VALDEZ PEDRO ALBERTO</v>
      </c>
      <c r="H106" s="46">
        <v>11865.23</v>
      </c>
      <c r="I106" s="85">
        <f>IF(compras_mes4[[#This Row],[NETO GRAVADO]]="","",compras_mes4[[#This Row],[NETO GRAVADO]]*0.21)</f>
        <v>2491.6983</v>
      </c>
      <c r="J106" s="85"/>
      <c r="K106" s="85"/>
      <c r="L106" s="85"/>
      <c r="M106" s="85"/>
      <c r="N106" s="85"/>
      <c r="O106" s="85"/>
      <c r="P106" s="48">
        <f>SUM(compras_mes4[[#This Row],[NETO GRAVADO]:[Otros / No Grav.]])</f>
        <v>14356.9283</v>
      </c>
      <c r="Q106" s="49">
        <f>IFERROR(IF(compras_mes4[[#This Row],[CUIT]]="","-",VLOOKUP(compras_mes4[[#This Row],[CUIT]],Lista_CUIT[#All],3,0)),"CUIT NO CARGADO")</f>
        <v>0</v>
      </c>
      <c r="R106" s="49">
        <f>IFERROR(IF(compras_mes4[[#This Row],[CUIT]]="","-",VLOOKUP(compras_mes4[[#This Row],[CUIT]],Lista_CUIT[#All],4,0)),"CUIT NO CARGADO")</f>
        <v>0</v>
      </c>
    </row>
    <row r="107" spans="2:18" x14ac:dyDescent="0.3">
      <c r="B107" s="40">
        <v>45035</v>
      </c>
      <c r="C107" s="41">
        <v>1</v>
      </c>
      <c r="D107" s="42">
        <v>4</v>
      </c>
      <c r="E107" s="43">
        <v>1937</v>
      </c>
      <c r="F107" s="44">
        <v>30715946250</v>
      </c>
      <c r="G107" s="45" t="str">
        <f>IFERROR(IF(compras_mes4[[#This Row],[CUIT]]="","-",VLOOKUP(compras_mes4[[#This Row],[CUIT]],Lista_CUIT[#All],2,0)),"CUIT NO CARGADO")</f>
        <v>GLOBAL AESTHETICS PRODUCTS AND SERVICES SRL</v>
      </c>
      <c r="H107" s="46">
        <v>438752</v>
      </c>
      <c r="I107" s="85">
        <f>IF(compras_mes4[[#This Row],[NETO GRAVADO]]="","",compras_mes4[[#This Row],[NETO GRAVADO]]*0.21)</f>
        <v>92137.919999999998</v>
      </c>
      <c r="J107" s="85"/>
      <c r="K107" s="85"/>
      <c r="L107" s="85"/>
      <c r="M107" s="85"/>
      <c r="N107" s="85"/>
      <c r="O107" s="85"/>
      <c r="P107" s="48">
        <f>SUM(compras_mes4[[#This Row],[NETO GRAVADO]:[Otros / No Grav.]])</f>
        <v>530889.92000000004</v>
      </c>
      <c r="Q107" s="49" t="str">
        <f>IFERROR(IF(compras_mes4[[#This Row],[CUIT]]="","-",VLOOKUP(compras_mes4[[#This Row],[CUIT]],Lista_CUIT[#All],3,0)),"CUIT NO CARGADO")</f>
        <v>aparatos</v>
      </c>
      <c r="R107" s="49">
        <f>IFERROR(IF(compras_mes4[[#This Row],[CUIT]]="","-",VLOOKUP(compras_mes4[[#This Row],[CUIT]],Lista_CUIT[#All],4,0)),"CUIT NO CARGADO")</f>
        <v>0</v>
      </c>
    </row>
    <row r="108" spans="2:18" x14ac:dyDescent="0.3">
      <c r="B108" s="40">
        <v>45035</v>
      </c>
      <c r="C108" s="41">
        <v>1</v>
      </c>
      <c r="D108" s="42">
        <v>6854</v>
      </c>
      <c r="E108" s="43">
        <v>9239</v>
      </c>
      <c r="F108" s="44">
        <v>30678774495</v>
      </c>
      <c r="G108" s="45" t="str">
        <f>IFERROR(IF(compras_mes4[[#This Row],[CUIT]]="","-",VLOOKUP(compras_mes4[[#This Row],[CUIT]],Lista_CUIT[#All],2,0)),"CUIT NO CARGADO")</f>
        <v>OPER. DE EST. DE SERV. SA</v>
      </c>
      <c r="H108" s="46">
        <v>1433.07</v>
      </c>
      <c r="I108" s="85">
        <f>IF(compras_mes4[[#This Row],[NETO GRAVADO]]="","",compras_mes4[[#This Row],[NETO GRAVADO]]*0.21)</f>
        <v>300.94469999999995</v>
      </c>
      <c r="J108" s="85"/>
      <c r="K108" s="85"/>
      <c r="L108" s="85"/>
      <c r="M108" s="85"/>
      <c r="N108" s="85"/>
      <c r="O108" s="85">
        <v>266.29000000000002</v>
      </c>
      <c r="P108" s="48">
        <f>SUM(compras_mes4[[#This Row],[NETO GRAVADO]:[Otros / No Grav.]])</f>
        <v>2000.3046999999999</v>
      </c>
      <c r="Q108" s="49" t="str">
        <f>IFERROR(IF(compras_mes4[[#This Row],[CUIT]]="","-",VLOOKUP(compras_mes4[[#This Row],[CUIT]],Lista_CUIT[#All],3,0)),"CUIT NO CARGADO")</f>
        <v>Combustibe</v>
      </c>
      <c r="R108" s="49">
        <f>IFERROR(IF(compras_mes4[[#This Row],[CUIT]]="","-",VLOOKUP(compras_mes4[[#This Row],[CUIT]],Lista_CUIT[#All],4,0)),"CUIT NO CARGADO")</f>
        <v>0</v>
      </c>
    </row>
    <row r="109" spans="2:18" x14ac:dyDescent="0.3">
      <c r="B109" s="361">
        <v>45035</v>
      </c>
      <c r="C109" s="41">
        <v>1</v>
      </c>
      <c r="D109" s="362">
        <v>19</v>
      </c>
      <c r="E109" s="363">
        <v>10549</v>
      </c>
      <c r="F109" s="364">
        <v>30515800219</v>
      </c>
      <c r="G109" s="365" t="str">
        <f>IFERROR(IF(compras_mes4[[#This Row],[CUIT]]="","-",VLOOKUP(compras_mes4[[#This Row],[CUIT]],Lista_CUIT[#All],2,0)),"CUIT NO CARGADO")</f>
        <v>INCAT SRL</v>
      </c>
      <c r="H109" s="366">
        <v>611.24</v>
      </c>
      <c r="I109" s="367">
        <f>IF(compras_mes4[[#This Row],[NETO GRAVADO]]="","",compras_mes4[[#This Row],[NETO GRAVADO]]*0.21)</f>
        <v>128.3604</v>
      </c>
      <c r="J109" s="367"/>
      <c r="K109" s="367"/>
      <c r="L109" s="367"/>
      <c r="M109" s="367"/>
      <c r="N109" s="367">
        <v>0.01</v>
      </c>
      <c r="O109" s="367">
        <v>10.31</v>
      </c>
      <c r="P109" s="368">
        <f>SUM(compras_mes4[[#This Row],[NETO GRAVADO]:[Otros / No Grav.]])</f>
        <v>749.92039999999997</v>
      </c>
      <c r="Q109" s="369" t="str">
        <f>IFERROR(IF(compras_mes4[[#This Row],[CUIT]]="","-",VLOOKUP(compras_mes4[[#This Row],[CUIT]],Lista_CUIT[#All],3,0)),"CUIT NO CARGADO")</f>
        <v>Combustibe</v>
      </c>
      <c r="R109" s="369" t="str">
        <f>IFERROR(IF(compras_mes4[[#This Row],[CUIT]]="","-",VLOOKUP(compras_mes4[[#This Row],[CUIT]],Lista_CUIT[#All],4,0)),"CUIT NO CARGADO")</f>
        <v>CABA</v>
      </c>
    </row>
    <row r="110" spans="2:18" x14ac:dyDescent="0.3">
      <c r="B110" s="40">
        <v>45035</v>
      </c>
      <c r="C110" s="41">
        <v>1</v>
      </c>
      <c r="D110" s="42">
        <v>8</v>
      </c>
      <c r="E110" s="43">
        <v>10834</v>
      </c>
      <c r="F110" s="44">
        <v>20334254500</v>
      </c>
      <c r="G110" s="45" t="str">
        <f>IFERROR(IF(compras_mes4[[#This Row],[CUIT]]="","-",VLOOKUP(compras_mes4[[#This Row],[CUIT]],Lista_CUIT[#All],2,0)),"CUIT NO CARGADO")</f>
        <v>MIRANDA GUIDO LUCAS VALERIO</v>
      </c>
      <c r="H110" s="46">
        <v>24442.17</v>
      </c>
      <c r="I110" s="85">
        <f>IF(compras_mes4[[#This Row],[NETO GRAVADO]]="","",compras_mes4[[#This Row],[NETO GRAVADO]]*0.21)</f>
        <v>5132.8556999999992</v>
      </c>
      <c r="J110" s="85"/>
      <c r="K110" s="85"/>
      <c r="L110" s="85"/>
      <c r="M110" s="85"/>
      <c r="N110" s="85"/>
      <c r="O110" s="85"/>
      <c r="P110" s="48">
        <f>SUM(compras_mes4[[#This Row],[NETO GRAVADO]:[Otros / No Grav.]])</f>
        <v>29575.025699999998</v>
      </c>
      <c r="Q110" s="49">
        <f>IFERROR(IF(compras_mes4[[#This Row],[CUIT]]="","-",VLOOKUP(compras_mes4[[#This Row],[CUIT]],Lista_CUIT[#All],3,0)),"CUIT NO CARGADO")</f>
        <v>0</v>
      </c>
      <c r="R110" s="49">
        <f>IFERROR(IF(compras_mes4[[#This Row],[CUIT]]="","-",VLOOKUP(compras_mes4[[#This Row],[CUIT]],Lista_CUIT[#All],4,0)),"CUIT NO CARGADO")</f>
        <v>0</v>
      </c>
    </row>
    <row r="111" spans="2:18" x14ac:dyDescent="0.3">
      <c r="B111" s="40">
        <v>45035</v>
      </c>
      <c r="C111" s="41">
        <v>1</v>
      </c>
      <c r="D111" s="42">
        <v>2036</v>
      </c>
      <c r="E111" s="43">
        <v>36316</v>
      </c>
      <c r="F111" s="44">
        <v>30516186670</v>
      </c>
      <c r="G111" s="45" t="str">
        <f>IFERROR(IF(compras_mes4[[#This Row],[CUIT]]="","-",VLOOKUP(compras_mes4[[#This Row],[CUIT]],Lista_CUIT[#All],2,0)),"CUIT NO CARGADO")</f>
        <v>DEHEZA S.A.I.C.F. e I.</v>
      </c>
      <c r="H111" s="46">
        <v>591.63</v>
      </c>
      <c r="I111" s="85">
        <f>IF(compras_mes4[[#This Row],[NETO GRAVADO]]="","",compras_mes4[[#This Row],[NETO GRAVADO]]*0.21)</f>
        <v>124.2423</v>
      </c>
      <c r="J111" s="85"/>
      <c r="K111" s="85"/>
      <c r="L111" s="85"/>
      <c r="M111" s="85"/>
      <c r="N111" s="85">
        <v>40.53</v>
      </c>
      <c r="O111" s="85">
        <v>83.96</v>
      </c>
      <c r="P111" s="48">
        <f>SUM(compras_mes4[[#This Row],[NETO GRAVADO]:[Otros / No Grav.]])</f>
        <v>840.3623</v>
      </c>
      <c r="Q111" s="49" t="str">
        <f>IFERROR(IF(compras_mes4[[#This Row],[CUIT]]="","-",VLOOKUP(compras_mes4[[#This Row],[CUIT]],Lista_CUIT[#All],3,0)),"CUIT NO CARGADO")</f>
        <v>COMBUSTIBLE</v>
      </c>
      <c r="R111" s="49" t="str">
        <f>IFERROR(IF(compras_mes4[[#This Row],[CUIT]]="","-",VLOOKUP(compras_mes4[[#This Row],[CUIT]],Lista_CUIT[#All],4,0)),"CUIT NO CARGADO")</f>
        <v>CABA</v>
      </c>
    </row>
    <row r="112" spans="2:18" x14ac:dyDescent="0.3">
      <c r="B112" s="40">
        <v>45035</v>
      </c>
      <c r="C112" s="41">
        <v>1</v>
      </c>
      <c r="D112" s="42">
        <v>5</v>
      </c>
      <c r="E112" s="43">
        <v>49714</v>
      </c>
      <c r="F112" s="44">
        <v>30714430781</v>
      </c>
      <c r="G112" s="45" t="str">
        <f>IFERROR(IF(compras_mes4[[#This Row],[CUIT]]="","-",VLOOKUP(compras_mes4[[#This Row],[CUIT]],Lista_CUIT[#All],2,0)),"CUIT NO CARGADO")</f>
        <v>JFC HACELA  FACIL SRL</v>
      </c>
      <c r="H112" s="46">
        <v>10837.98</v>
      </c>
      <c r="I112" s="85">
        <f>IF(compras_mes4[[#This Row],[NETO GRAVADO]]="","",compras_mes4[[#This Row],[NETO GRAVADO]]*0.21)</f>
        <v>2275.9757999999997</v>
      </c>
      <c r="J112" s="85"/>
      <c r="K112" s="85"/>
      <c r="L112" s="85"/>
      <c r="M112" s="85"/>
      <c r="N112" s="85"/>
      <c r="O112" s="85"/>
      <c r="P112" s="48">
        <f>SUM(compras_mes4[[#This Row],[NETO GRAVADO]:[Otros / No Grav.]])</f>
        <v>13113.9558</v>
      </c>
      <c r="Q112" s="49">
        <f>IFERROR(IF(compras_mes4[[#This Row],[CUIT]]="","-",VLOOKUP(compras_mes4[[#This Row],[CUIT]],Lista_CUIT[#All],3,0)),"CUIT NO CARGADO")</f>
        <v>0</v>
      </c>
      <c r="R112" s="49">
        <f>IFERROR(IF(compras_mes4[[#This Row],[CUIT]]="","-",VLOOKUP(compras_mes4[[#This Row],[CUIT]],Lista_CUIT[#All],4,0)),"CUIT NO CARGADO")</f>
        <v>0</v>
      </c>
    </row>
    <row r="113" spans="2:18" x14ac:dyDescent="0.3">
      <c r="B113" s="40">
        <v>45035</v>
      </c>
      <c r="C113" s="41">
        <v>1</v>
      </c>
      <c r="D113" s="42">
        <v>5</v>
      </c>
      <c r="E113" s="43">
        <v>49715</v>
      </c>
      <c r="F113" s="44">
        <v>30714430781</v>
      </c>
      <c r="G113" s="45" t="str">
        <f>IFERROR(IF(compras_mes4[[#This Row],[CUIT]]="","-",VLOOKUP(compras_mes4[[#This Row],[CUIT]],Lista_CUIT[#All],2,0)),"CUIT NO CARGADO")</f>
        <v>JFC HACELA  FACIL SRL</v>
      </c>
      <c r="H113" s="46">
        <v>8143.72</v>
      </c>
      <c r="I113" s="85"/>
      <c r="J113" s="85"/>
      <c r="K113" s="85">
        <v>855.09</v>
      </c>
      <c r="L113" s="85"/>
      <c r="M113" s="85"/>
      <c r="N113" s="85"/>
      <c r="O113" s="85"/>
      <c r="P113" s="48">
        <f>SUM(compras_mes4[[#This Row],[NETO GRAVADO]:[Otros / No Grav.]])</f>
        <v>8998.81</v>
      </c>
      <c r="Q113" s="49">
        <f>IFERROR(IF(compras_mes4[[#This Row],[CUIT]]="","-",VLOOKUP(compras_mes4[[#This Row],[CUIT]],Lista_CUIT[#All],3,0)),"CUIT NO CARGADO")</f>
        <v>0</v>
      </c>
      <c r="R113" s="49">
        <f>IFERROR(IF(compras_mes4[[#This Row],[CUIT]]="","-",VLOOKUP(compras_mes4[[#This Row],[CUIT]],Lista_CUIT[#All],4,0)),"CUIT NO CARGADO")</f>
        <v>0</v>
      </c>
    </row>
    <row r="114" spans="2:18" x14ac:dyDescent="0.3">
      <c r="B114" s="40">
        <v>45035</v>
      </c>
      <c r="C114" s="41">
        <v>1</v>
      </c>
      <c r="D114" s="42">
        <v>2188</v>
      </c>
      <c r="E114" s="43">
        <v>87836</v>
      </c>
      <c r="F114" s="44">
        <v>30548083156</v>
      </c>
      <c r="G114" s="45" t="str">
        <f>IFERROR(IF(compras_mes4[[#This Row],[CUIT]]="","-",VLOOKUP(compras_mes4[[#This Row],[CUIT]],Lista_CUIT[#All],2,0)),"CUIT NO CARGADO")</f>
        <v>COTO CENTRO INTEGRAL DE COMERCIALIZACION SOCIEDAD ANONIMA</v>
      </c>
      <c r="H114" s="46">
        <v>14430.02</v>
      </c>
      <c r="I114" s="85">
        <v>1953.18</v>
      </c>
      <c r="J114" s="85"/>
      <c r="K114" s="85">
        <v>538.55999999999995</v>
      </c>
      <c r="L114" s="85"/>
      <c r="M114" s="85"/>
      <c r="N114" s="85"/>
      <c r="O114" s="85">
        <v>993.46</v>
      </c>
      <c r="P114" s="48">
        <f>SUM(compras_mes4[[#This Row],[NETO GRAVADO]:[Otros / No Grav.]])</f>
        <v>17915.22</v>
      </c>
      <c r="Q114" s="49" t="str">
        <f>IFERROR(IF(compras_mes4[[#This Row],[CUIT]]="","-",VLOOKUP(compras_mes4[[#This Row],[CUIT]],Lista_CUIT[#All],3,0)),"CUIT NO CARGADO")</f>
        <v>GASTOS COMERCIALES</v>
      </c>
      <c r="R114" s="49">
        <f>IFERROR(IF(compras_mes4[[#This Row],[CUIT]]="","-",VLOOKUP(compras_mes4[[#This Row],[CUIT]],Lista_CUIT[#All],4,0)),"CUIT NO CARGADO")</f>
        <v>0</v>
      </c>
    </row>
    <row r="115" spans="2:18" x14ac:dyDescent="0.3">
      <c r="B115" s="40">
        <v>45036</v>
      </c>
      <c r="C115" s="41">
        <v>1</v>
      </c>
      <c r="D115" s="42">
        <v>8</v>
      </c>
      <c r="E115" s="43">
        <v>1988</v>
      </c>
      <c r="F115" s="44">
        <v>30517266457</v>
      </c>
      <c r="G115" s="45" t="str">
        <f>IFERROR(IF(compras_mes4[[#This Row],[CUIT]]="","-",VLOOKUP(compras_mes4[[#This Row],[CUIT]],Lista_CUIT[#All],2,0)),"CUIT NO CARGADO")</f>
        <v>BOLSAFILM S.A.</v>
      </c>
      <c r="H115" s="46">
        <v>276135</v>
      </c>
      <c r="I115" s="85">
        <f>IF(compras_mes4[[#This Row],[NETO GRAVADO]]="","",compras_mes4[[#This Row],[NETO GRAVADO]]*0.21)</f>
        <v>57988.35</v>
      </c>
      <c r="J115" s="85"/>
      <c r="K115" s="85"/>
      <c r="L115" s="85"/>
      <c r="M115" s="85"/>
      <c r="N115" s="85">
        <v>16568.099999999999</v>
      </c>
      <c r="O115" s="85"/>
      <c r="P115" s="48">
        <f>SUM(compras_mes4[[#This Row],[NETO GRAVADO]:[Otros / No Grav.]])</f>
        <v>350691.44999999995</v>
      </c>
      <c r="Q115" s="49">
        <f>IFERROR(IF(compras_mes4[[#This Row],[CUIT]]="","-",VLOOKUP(compras_mes4[[#This Row],[CUIT]],Lista_CUIT[#All],3,0)),"CUIT NO CARGADO")</f>
        <v>0</v>
      </c>
      <c r="R115" s="49">
        <f>IFERROR(IF(compras_mes4[[#This Row],[CUIT]]="","-",VLOOKUP(compras_mes4[[#This Row],[CUIT]],Lista_CUIT[#All],4,0)),"CUIT NO CARGADO")</f>
        <v>0</v>
      </c>
    </row>
    <row r="116" spans="2:18" x14ac:dyDescent="0.3">
      <c r="B116" s="40">
        <v>45036</v>
      </c>
      <c r="C116" s="41">
        <v>1</v>
      </c>
      <c r="D116" s="42">
        <v>1</v>
      </c>
      <c r="E116" s="43">
        <v>2120</v>
      </c>
      <c r="F116" s="44">
        <v>27181689183</v>
      </c>
      <c r="G116" s="45" t="str">
        <f>IFERROR(IF(compras_mes4[[#This Row],[CUIT]]="","-",VLOOKUP(compras_mes4[[#This Row],[CUIT]],Lista_CUIT[#All],2,0)),"CUIT NO CARGADO")</f>
        <v>REPETTO MARIA FERNANDA</v>
      </c>
      <c r="H116" s="46">
        <v>252000</v>
      </c>
      <c r="I116" s="85">
        <f>IF(compras_mes4[[#This Row],[NETO GRAVADO]]="","",compras_mes4[[#This Row],[NETO GRAVADO]]*0.21)</f>
        <v>52920</v>
      </c>
      <c r="J116" s="85"/>
      <c r="K116" s="85"/>
      <c r="L116" s="85"/>
      <c r="M116" s="85"/>
      <c r="N116" s="85"/>
      <c r="O116" s="85"/>
      <c r="P116" s="48">
        <f>SUM(compras_mes4[[#This Row],[NETO GRAVADO]:[Otros / No Grav.]])</f>
        <v>304920</v>
      </c>
      <c r="Q116" s="49">
        <f>IFERROR(IF(compras_mes4[[#This Row],[CUIT]]="","-",VLOOKUP(compras_mes4[[#This Row],[CUIT]],Lista_CUIT[#All],3,0)),"CUIT NO CARGADO")</f>
        <v>0</v>
      </c>
      <c r="R116" s="49">
        <f>IFERROR(IF(compras_mes4[[#This Row],[CUIT]]="","-",VLOOKUP(compras_mes4[[#This Row],[CUIT]],Lista_CUIT[#All],4,0)),"CUIT NO CARGADO")</f>
        <v>0</v>
      </c>
    </row>
    <row r="117" spans="2:18" x14ac:dyDescent="0.3">
      <c r="B117" s="361">
        <v>45036</v>
      </c>
      <c r="C117" s="41">
        <v>1</v>
      </c>
      <c r="D117" s="362">
        <v>20</v>
      </c>
      <c r="E117" s="363">
        <v>8352</v>
      </c>
      <c r="F117" s="364">
        <v>30515800219</v>
      </c>
      <c r="G117" s="365" t="str">
        <f>IFERROR(IF(compras_mes4[[#This Row],[CUIT]]="","-",VLOOKUP(compras_mes4[[#This Row],[CUIT]],Lista_CUIT[#All],2,0)),"CUIT NO CARGADO")</f>
        <v>INCAT SRL</v>
      </c>
      <c r="H117" s="366">
        <v>399.33</v>
      </c>
      <c r="I117" s="367">
        <f>IF(compras_mes4[[#This Row],[NETO GRAVADO]]="","",compras_mes4[[#This Row],[NETO GRAVADO]]*0.21)</f>
        <v>83.85929999999999</v>
      </c>
      <c r="J117" s="367"/>
      <c r="K117" s="367"/>
      <c r="L117" s="367"/>
      <c r="M117" s="367"/>
      <c r="N117" s="367"/>
      <c r="O117" s="367">
        <v>6.79</v>
      </c>
      <c r="P117" s="368">
        <f>SUM(compras_mes4[[#This Row],[NETO GRAVADO]:[Otros / No Grav.]])</f>
        <v>489.97930000000002</v>
      </c>
      <c r="Q117" s="369" t="str">
        <f>IFERROR(IF(compras_mes4[[#This Row],[CUIT]]="","-",VLOOKUP(compras_mes4[[#This Row],[CUIT]],Lista_CUIT[#All],3,0)),"CUIT NO CARGADO")</f>
        <v>Combustibe</v>
      </c>
      <c r="R117" s="369" t="str">
        <f>IFERROR(IF(compras_mes4[[#This Row],[CUIT]]="","-",VLOOKUP(compras_mes4[[#This Row],[CUIT]],Lista_CUIT[#All],4,0)),"CUIT NO CARGADO")</f>
        <v>CABA</v>
      </c>
    </row>
    <row r="118" spans="2:18" x14ac:dyDescent="0.3">
      <c r="B118" s="361">
        <v>45036</v>
      </c>
      <c r="C118" s="41">
        <v>1</v>
      </c>
      <c r="D118" s="362">
        <v>20</v>
      </c>
      <c r="E118" s="363">
        <v>8353</v>
      </c>
      <c r="F118" s="364">
        <v>30515800219</v>
      </c>
      <c r="G118" s="365" t="str">
        <f>IFERROR(IF(compras_mes4[[#This Row],[CUIT]]="","-",VLOOKUP(compras_mes4[[#This Row],[CUIT]],Lista_CUIT[#All],2,0)),"CUIT NO CARGADO")</f>
        <v>INCAT SRL</v>
      </c>
      <c r="H118" s="366">
        <v>442.57</v>
      </c>
      <c r="I118" s="367">
        <f>IF(compras_mes4[[#This Row],[NETO GRAVADO]]="","",compras_mes4[[#This Row],[NETO GRAVADO]]*0.21)</f>
        <v>92.939700000000002</v>
      </c>
      <c r="J118" s="367"/>
      <c r="K118" s="367"/>
      <c r="L118" s="367"/>
      <c r="M118" s="367"/>
      <c r="N118" s="367"/>
      <c r="O118" s="367">
        <v>7.51</v>
      </c>
      <c r="P118" s="368">
        <f>SUM(compras_mes4[[#This Row],[NETO GRAVADO]:[Otros / No Grav.]])</f>
        <v>543.01969999999994</v>
      </c>
      <c r="Q118" s="369" t="str">
        <f>IFERROR(IF(compras_mes4[[#This Row],[CUIT]]="","-",VLOOKUP(compras_mes4[[#This Row],[CUIT]],Lista_CUIT[#All],3,0)),"CUIT NO CARGADO")</f>
        <v>Combustibe</v>
      </c>
      <c r="R118" s="369" t="str">
        <f>IFERROR(IF(compras_mes4[[#This Row],[CUIT]]="","-",VLOOKUP(compras_mes4[[#This Row],[CUIT]],Lista_CUIT[#All],4,0)),"CUIT NO CARGADO")</f>
        <v>CABA</v>
      </c>
    </row>
    <row r="119" spans="2:18" x14ac:dyDescent="0.3">
      <c r="B119" s="40">
        <v>45036</v>
      </c>
      <c r="C119" s="41">
        <v>1</v>
      </c>
      <c r="D119" s="42">
        <v>3</v>
      </c>
      <c r="E119" s="43">
        <v>8632</v>
      </c>
      <c r="F119" s="44">
        <v>30679163317</v>
      </c>
      <c r="G119" s="45" t="str">
        <f>IFERROR(IF(compras_mes4[[#This Row],[CUIT]]="","-",VLOOKUP(compras_mes4[[#This Row],[CUIT]],Lista_CUIT[#All],2,0)),"CUIT NO CARGADO")</f>
        <v>RANKO S R L</v>
      </c>
      <c r="H119" s="46">
        <v>37056.639999999999</v>
      </c>
      <c r="I119" s="85">
        <f>IF(compras_mes4[[#This Row],[NETO GRAVADO]]="","",compras_mes4[[#This Row],[NETO GRAVADO]]*0.21)</f>
        <v>7781.8943999999992</v>
      </c>
      <c r="J119" s="85"/>
      <c r="K119" s="85"/>
      <c r="L119" s="85"/>
      <c r="M119" s="85"/>
      <c r="N119" s="85"/>
      <c r="O119" s="85"/>
      <c r="P119" s="48">
        <f>SUM(compras_mes4[[#This Row],[NETO GRAVADO]:[Otros / No Grav.]])</f>
        <v>44838.534399999997</v>
      </c>
      <c r="Q119" s="49">
        <f>IFERROR(IF(compras_mes4[[#This Row],[CUIT]]="","-",VLOOKUP(compras_mes4[[#This Row],[CUIT]],Lista_CUIT[#All],3,0)),"CUIT NO CARGADO")</f>
        <v>0</v>
      </c>
      <c r="R119" s="49">
        <f>IFERROR(IF(compras_mes4[[#This Row],[CUIT]]="","-",VLOOKUP(compras_mes4[[#This Row],[CUIT]],Lista_CUIT[#All],4,0)),"CUIT NO CARGADO")</f>
        <v>0</v>
      </c>
    </row>
    <row r="120" spans="2:18" x14ac:dyDescent="0.3">
      <c r="B120" s="40">
        <v>45036</v>
      </c>
      <c r="C120" s="41">
        <v>1</v>
      </c>
      <c r="D120" s="42">
        <v>3</v>
      </c>
      <c r="E120" s="43">
        <v>8633</v>
      </c>
      <c r="F120" s="44">
        <v>30679163317</v>
      </c>
      <c r="G120" s="45" t="str">
        <f>IFERROR(IF(compras_mes4[[#This Row],[CUIT]]="","-",VLOOKUP(compras_mes4[[#This Row],[CUIT]],Lista_CUIT[#All],2,0)),"CUIT NO CARGADO")</f>
        <v>RANKO S R L</v>
      </c>
      <c r="H120" s="46">
        <v>10413.219999999999</v>
      </c>
      <c r="I120" s="85">
        <f>IF(compras_mes4[[#This Row],[NETO GRAVADO]]="","",compras_mes4[[#This Row],[NETO GRAVADO]]*0.21)</f>
        <v>2186.7761999999998</v>
      </c>
      <c r="J120" s="85"/>
      <c r="K120" s="85"/>
      <c r="L120" s="85"/>
      <c r="M120" s="85"/>
      <c r="N120" s="85"/>
      <c r="O120" s="85"/>
      <c r="P120" s="48">
        <f>SUM(compras_mes4[[#This Row],[NETO GRAVADO]:[Otros / No Grav.]])</f>
        <v>12599.9962</v>
      </c>
      <c r="Q120" s="49">
        <f>IFERROR(IF(compras_mes4[[#This Row],[CUIT]]="","-",VLOOKUP(compras_mes4[[#This Row],[CUIT]],Lista_CUIT[#All],3,0)),"CUIT NO CARGADO")</f>
        <v>0</v>
      </c>
      <c r="R120" s="49">
        <f>IFERROR(IF(compras_mes4[[#This Row],[CUIT]]="","-",VLOOKUP(compras_mes4[[#This Row],[CUIT]],Lista_CUIT[#All],4,0)),"CUIT NO CARGADO")</f>
        <v>0</v>
      </c>
    </row>
    <row r="121" spans="2:18" ht="18" customHeight="1" x14ac:dyDescent="0.3">
      <c r="B121" s="40">
        <v>45037</v>
      </c>
      <c r="C121" s="41">
        <v>1</v>
      </c>
      <c r="D121" s="42">
        <v>3</v>
      </c>
      <c r="E121" s="43">
        <v>46</v>
      </c>
      <c r="F121" s="44">
        <v>33715993509</v>
      </c>
      <c r="G121" s="45" t="str">
        <f>IFERROR(IF(compras_mes4[[#This Row],[CUIT]]="","-",VLOOKUP(compras_mes4[[#This Row],[CUIT]],Lista_CUIT[#All],2,0)),"CUIT NO CARGADO")</f>
        <v>+Q NATURAL S.A.</v>
      </c>
      <c r="H121" s="46">
        <v>1272.72</v>
      </c>
      <c r="I121" s="85">
        <f>IF(compras_mes4[[#This Row],[NETO GRAVADO]]="","",compras_mes4[[#This Row],[NETO GRAVADO]]*0.21)</f>
        <v>267.27120000000002</v>
      </c>
      <c r="J121" s="85"/>
      <c r="K121" s="85"/>
      <c r="L121" s="85"/>
      <c r="M121" s="85"/>
      <c r="N121" s="85"/>
      <c r="O121" s="85"/>
      <c r="P121" s="48">
        <f>SUM(compras_mes4[[#This Row],[NETO GRAVADO]:[Otros / No Grav.]])</f>
        <v>1539.9911999999999</v>
      </c>
      <c r="Q121" s="49">
        <f>IFERROR(IF(compras_mes4[[#This Row],[CUIT]]="","-",VLOOKUP(compras_mes4[[#This Row],[CUIT]],Lista_CUIT[#All],3,0)),"CUIT NO CARGADO")</f>
        <v>0</v>
      </c>
      <c r="R121" s="49">
        <f>IFERROR(IF(compras_mes4[[#This Row],[CUIT]]="","-",VLOOKUP(compras_mes4[[#This Row],[CUIT]],Lista_CUIT[#All],4,0)),"CUIT NO CARGADO")</f>
        <v>0</v>
      </c>
    </row>
    <row r="122" spans="2:18" x14ac:dyDescent="0.3">
      <c r="B122" s="40">
        <v>45037</v>
      </c>
      <c r="C122" s="41">
        <v>1</v>
      </c>
      <c r="D122" s="42">
        <v>2</v>
      </c>
      <c r="E122" s="43">
        <v>3318</v>
      </c>
      <c r="F122" s="44">
        <v>30629863571</v>
      </c>
      <c r="G122" s="45" t="str">
        <f>IFERROR(IF(compras_mes4[[#This Row],[CUIT]]="","-",VLOOKUP(compras_mes4[[#This Row],[CUIT]],Lista_CUIT[#All],2,0)),"CUIT NO CARGADO")</f>
        <v>TECNIMAR S R L</v>
      </c>
      <c r="H122" s="46">
        <v>194390.9</v>
      </c>
      <c r="I122" s="85">
        <f>IF(compras_mes4[[#This Row],[NETO GRAVADO]]="","",compras_mes4[[#This Row],[NETO GRAVADO]]*0.21)</f>
        <v>40822.089</v>
      </c>
      <c r="J122" s="85"/>
      <c r="K122" s="85"/>
      <c r="L122" s="85"/>
      <c r="M122" s="85"/>
      <c r="N122" s="85"/>
      <c r="O122" s="85"/>
      <c r="P122" s="48">
        <f>SUM(compras_mes4[[#This Row],[NETO GRAVADO]:[Otros / No Grav.]])</f>
        <v>235212.989</v>
      </c>
      <c r="Q122" s="49" t="str">
        <f>IFERROR(IF(compras_mes4[[#This Row],[CUIT]]="","-",VLOOKUP(compras_mes4[[#This Row],[CUIT]],Lista_CUIT[#All],3,0)),"CUIT NO CARGADO")</f>
        <v>LABORATORIO</v>
      </c>
      <c r="R122" s="49">
        <f>IFERROR(IF(compras_mes4[[#This Row],[CUIT]]="","-",VLOOKUP(compras_mes4[[#This Row],[CUIT]],Lista_CUIT[#All],4,0)),"CUIT NO CARGADO")</f>
        <v>0</v>
      </c>
    </row>
    <row r="123" spans="2:18" x14ac:dyDescent="0.3">
      <c r="B123" s="249">
        <v>45037</v>
      </c>
      <c r="C123" s="250">
        <v>1</v>
      </c>
      <c r="D123" s="251">
        <v>1005</v>
      </c>
      <c r="E123" s="252">
        <v>23102</v>
      </c>
      <c r="F123" s="253">
        <v>20338116978</v>
      </c>
      <c r="G123" s="254" t="str">
        <f>IFERROR(IF(compras_mes4[[#This Row],[CUIT]]="","-",VLOOKUP(compras_mes4[[#This Row],[CUIT]],Lista_CUIT[#All],2,0)),"CUIT NO CARGADO")</f>
        <v>HERBAS ESPINOZA GABRIEL MATIAS</v>
      </c>
      <c r="H123" s="255">
        <v>1404.96</v>
      </c>
      <c r="I123" s="256">
        <f>IF(compras_mes4[[#This Row],[NETO GRAVADO]]="","",compras_mes4[[#This Row],[NETO GRAVADO]]*0.21)</f>
        <v>295.04160000000002</v>
      </c>
      <c r="J123" s="256"/>
      <c r="K123" s="256"/>
      <c r="L123" s="256"/>
      <c r="M123" s="256"/>
      <c r="N123" s="256"/>
      <c r="O123" s="256"/>
      <c r="P123" s="257">
        <f>SUM(compras_mes4[[#This Row],[NETO GRAVADO]:[Otros / No Grav.]])</f>
        <v>1700.0016000000001</v>
      </c>
      <c r="Q123" s="258">
        <f>IFERROR(IF(compras_mes4[[#This Row],[CUIT]]="","-",VLOOKUP(compras_mes4[[#This Row],[CUIT]],Lista_CUIT[#All],3,0)),"CUIT NO CARGADO")</f>
        <v>0</v>
      </c>
      <c r="R123" s="49">
        <f>IFERROR(IF(compras_mes4[[#This Row],[CUIT]]="","-",VLOOKUP(compras_mes4[[#This Row],[CUIT]],Lista_CUIT[#All],4,0)),"CUIT NO CARGADO")</f>
        <v>0</v>
      </c>
    </row>
    <row r="124" spans="2:18" x14ac:dyDescent="0.3">
      <c r="B124" s="40">
        <v>45037</v>
      </c>
      <c r="C124" s="41">
        <v>1</v>
      </c>
      <c r="D124" s="42">
        <v>14</v>
      </c>
      <c r="E124" s="43">
        <v>88436</v>
      </c>
      <c r="F124" s="44">
        <v>30516336885</v>
      </c>
      <c r="G124" s="45" t="str">
        <f>IFERROR(IF(compras_mes4[[#This Row],[CUIT]]="","-",VLOOKUP(compras_mes4[[#This Row],[CUIT]],Lista_CUIT[#All],2,0)),"CUIT NO CARGADO")</f>
        <v>STENFAR S.A. INDUSTRIAL COMERCIAL IMP. Y EXP.</v>
      </c>
      <c r="H124" s="46">
        <v>13287.11</v>
      </c>
      <c r="I124" s="85">
        <f>IF(compras_mes4[[#This Row],[NETO GRAVADO]]="","",compras_mes4[[#This Row],[NETO GRAVADO]]*0.21)</f>
        <v>2790.2930999999999</v>
      </c>
      <c r="J124" s="85"/>
      <c r="K124" s="85"/>
      <c r="L124" s="85"/>
      <c r="M124" s="85"/>
      <c r="N124" s="85">
        <v>797.23</v>
      </c>
      <c r="O124" s="85">
        <v>398.61</v>
      </c>
      <c r="P124" s="48">
        <f>SUM(compras_mes4[[#This Row],[NETO GRAVADO]:[Otros / No Grav.]])</f>
        <v>17273.2431</v>
      </c>
      <c r="Q124" s="49">
        <f>IFERROR(IF(compras_mes4[[#This Row],[CUIT]]="","-",VLOOKUP(compras_mes4[[#This Row],[CUIT]],Lista_CUIT[#All],3,0)),"CUIT NO CARGADO")</f>
        <v>0</v>
      </c>
      <c r="R124" s="49">
        <f>IFERROR(IF(compras_mes4[[#This Row],[CUIT]]="","-",VLOOKUP(compras_mes4[[#This Row],[CUIT]],Lista_CUIT[#All],4,0)),"CUIT NO CARGADO")</f>
        <v>0</v>
      </c>
    </row>
    <row r="125" spans="2:18" x14ac:dyDescent="0.3">
      <c r="B125" s="40">
        <v>45037</v>
      </c>
      <c r="C125" s="41">
        <v>1</v>
      </c>
      <c r="D125" s="42">
        <v>14</v>
      </c>
      <c r="E125" s="43">
        <v>88437</v>
      </c>
      <c r="F125" s="44">
        <v>30516336885</v>
      </c>
      <c r="G125" s="45" t="str">
        <f>IFERROR(IF(compras_mes4[[#This Row],[CUIT]]="","-",VLOOKUP(compras_mes4[[#This Row],[CUIT]],Lista_CUIT[#All],2,0)),"CUIT NO CARGADO")</f>
        <v>STENFAR S.A. INDUSTRIAL COMERCIAL IMP. Y EXP.</v>
      </c>
      <c r="H125" s="46">
        <v>13287.11</v>
      </c>
      <c r="I125" s="85">
        <f>IF(compras_mes4[[#This Row],[NETO GRAVADO]]="","",compras_mes4[[#This Row],[NETO GRAVADO]]*0.21)</f>
        <v>2790.2930999999999</v>
      </c>
      <c r="J125" s="85"/>
      <c r="K125" s="85"/>
      <c r="L125" s="85"/>
      <c r="M125" s="85"/>
      <c r="N125" s="85">
        <v>797.23</v>
      </c>
      <c r="O125" s="85">
        <v>398.61</v>
      </c>
      <c r="P125" s="48">
        <f>SUM(compras_mes4[[#This Row],[NETO GRAVADO]:[Otros / No Grav.]])</f>
        <v>17273.2431</v>
      </c>
      <c r="Q125" s="49">
        <f>IFERROR(IF(compras_mes4[[#This Row],[CUIT]]="","-",VLOOKUP(compras_mes4[[#This Row],[CUIT]],Lista_CUIT[#All],3,0)),"CUIT NO CARGADO")</f>
        <v>0</v>
      </c>
      <c r="R125" s="49">
        <f>IFERROR(IF(compras_mes4[[#This Row],[CUIT]]="","-",VLOOKUP(compras_mes4[[#This Row],[CUIT]],Lista_CUIT[#All],4,0)),"CUIT NO CARGADO")</f>
        <v>0</v>
      </c>
    </row>
    <row r="126" spans="2:18" x14ac:dyDescent="0.3">
      <c r="B126" s="40">
        <v>45037</v>
      </c>
      <c r="C126" s="41">
        <v>1</v>
      </c>
      <c r="D126" s="42">
        <v>5</v>
      </c>
      <c r="E126" s="43">
        <v>2753529</v>
      </c>
      <c r="F126" s="44">
        <v>30702652975</v>
      </c>
      <c r="G126" s="45" t="str">
        <f>IFERROR(IF(compras_mes4[[#This Row],[CUIT]]="","-",VLOOKUP(compras_mes4[[#This Row],[CUIT]],Lista_CUIT[#All],2,0)),"CUIT NO CARGADO")</f>
        <v>NSS SA</v>
      </c>
      <c r="H126" s="46">
        <v>6558.7</v>
      </c>
      <c r="I126" s="85">
        <f>IF(compras_mes4[[#This Row],[NETO GRAVADO]]="","",compras_mes4[[#This Row],[NETO GRAVADO]]*0.21)</f>
        <v>1377.327</v>
      </c>
      <c r="J126" s="85"/>
      <c r="K126" s="85"/>
      <c r="L126" s="85"/>
      <c r="M126" s="85"/>
      <c r="N126" s="85">
        <v>393.52</v>
      </c>
      <c r="O126" s="85"/>
      <c r="P126" s="48">
        <f>SUM(compras_mes4[[#This Row],[NETO GRAVADO]:[Otros / No Grav.]])</f>
        <v>8329.5470000000005</v>
      </c>
      <c r="Q126" s="49" t="str">
        <f>IFERROR(IF(compras_mes4[[#This Row],[CUIT]]="","-",VLOOKUP(compras_mes4[[#This Row],[CUIT]],Lista_CUIT[#All],3,0)),"CUIT NO CARGADO")</f>
        <v>Servicios Gas, Luz, etc.</v>
      </c>
      <c r="R126" s="49">
        <f>IFERROR(IF(compras_mes4[[#This Row],[CUIT]]="","-",VLOOKUP(compras_mes4[[#This Row],[CUIT]],Lista_CUIT[#All],4,0)),"CUIT NO CARGADO")</f>
        <v>0</v>
      </c>
    </row>
    <row r="127" spans="2:18" x14ac:dyDescent="0.3">
      <c r="B127" s="40">
        <v>45037</v>
      </c>
      <c r="C127" s="41">
        <v>1</v>
      </c>
      <c r="D127" s="42">
        <v>113</v>
      </c>
      <c r="E127" s="43">
        <v>3155481</v>
      </c>
      <c r="F127" s="44">
        <v>30577207190</v>
      </c>
      <c r="G127" s="45" t="str">
        <f>IFERROR(IF(compras_mes4[[#This Row],[CUIT]]="","-",VLOOKUP(compras_mes4[[#This Row],[CUIT]],Lista_CUIT[#All],2,0)),"CUIT NO CARGADO")</f>
        <v>COORDINACION ECOLOGICA AREA METROPOLITANA SOCIEDAD DEL ESTADO</v>
      </c>
      <c r="H127" s="46">
        <v>2695.87</v>
      </c>
      <c r="I127" s="85">
        <f>IF(compras_mes4[[#This Row],[NETO GRAVADO]]="","",compras_mes4[[#This Row],[NETO GRAVADO]]*0.21)</f>
        <v>566.1327</v>
      </c>
      <c r="J127" s="85"/>
      <c r="K127" s="85"/>
      <c r="L127" s="85">
        <v>80.88</v>
      </c>
      <c r="M127" s="85"/>
      <c r="N127" s="85"/>
      <c r="O127" s="85"/>
      <c r="P127" s="48">
        <f>SUM(compras_mes4[[#This Row],[NETO GRAVADO]:[Otros / No Grav.]])</f>
        <v>3342.8827000000001</v>
      </c>
      <c r="Q127" s="49">
        <f>IFERROR(IF(compras_mes4[[#This Row],[CUIT]]="","-",VLOOKUP(compras_mes4[[#This Row],[CUIT]],Lista_CUIT[#All],3,0)),"CUIT NO CARGADO")</f>
        <v>0</v>
      </c>
      <c r="R127" s="49">
        <f>IFERROR(IF(compras_mes4[[#This Row],[CUIT]]="","-",VLOOKUP(compras_mes4[[#This Row],[CUIT]],Lista_CUIT[#All],4,0)),"CUIT NO CARGADO")</f>
        <v>0</v>
      </c>
    </row>
    <row r="128" spans="2:18" x14ac:dyDescent="0.3">
      <c r="B128" s="40">
        <v>45038</v>
      </c>
      <c r="C128" s="41">
        <v>1</v>
      </c>
      <c r="D128" s="42">
        <v>4</v>
      </c>
      <c r="E128" s="43">
        <v>163</v>
      </c>
      <c r="F128" s="44">
        <v>23329455319</v>
      </c>
      <c r="G128" s="45" t="str">
        <f>IFERROR(IF(compras_mes4[[#This Row],[CUIT]]="","-",VLOOKUP(compras_mes4[[#This Row],[CUIT]],Lista_CUIT[#All],2,0)),"CUIT NO CARGADO")</f>
        <v>REPETTO RAMIRO ANDRES</v>
      </c>
      <c r="H128" s="46">
        <v>4958.68</v>
      </c>
      <c r="I128" s="85">
        <f>IF(compras_mes4[[#This Row],[NETO GRAVADO]]="","",compras_mes4[[#This Row],[NETO GRAVADO]]*0.21)</f>
        <v>1041.3227999999999</v>
      </c>
      <c r="J128" s="85"/>
      <c r="K128" s="85"/>
      <c r="L128" s="85"/>
      <c r="M128" s="85"/>
      <c r="N128" s="85"/>
      <c r="O128" s="85"/>
      <c r="P128" s="48">
        <f>SUM(compras_mes4[[#This Row],[NETO GRAVADO]:[Otros / No Grav.]])</f>
        <v>6000.0028000000002</v>
      </c>
      <c r="Q128" s="49">
        <f>IFERROR(IF(compras_mes4[[#This Row],[CUIT]]="","-",VLOOKUP(compras_mes4[[#This Row],[CUIT]],Lista_CUIT[#All],3,0)),"CUIT NO CARGADO")</f>
        <v>0</v>
      </c>
      <c r="R128" s="49">
        <f>IFERROR(IF(compras_mes4[[#This Row],[CUIT]]="","-",VLOOKUP(compras_mes4[[#This Row],[CUIT]],Lista_CUIT[#All],4,0)),"CUIT NO CARGADO")</f>
        <v>0</v>
      </c>
    </row>
    <row r="129" spans="2:18" x14ac:dyDescent="0.3">
      <c r="B129" s="40">
        <v>45038</v>
      </c>
      <c r="C129" s="41">
        <v>1</v>
      </c>
      <c r="D129" s="42">
        <v>8</v>
      </c>
      <c r="E129" s="43">
        <v>675</v>
      </c>
      <c r="F129" s="44">
        <v>20277381908</v>
      </c>
      <c r="G129" s="45" t="str">
        <f>IFERROR(IF(compras_mes4[[#This Row],[CUIT]]="","-",VLOOKUP(compras_mes4[[#This Row],[CUIT]],Lista_CUIT[#All],2,0)),"CUIT NO CARGADO")</f>
        <v>ALONSO RODRIGO JAVIER</v>
      </c>
      <c r="H129" s="46">
        <v>942.15</v>
      </c>
      <c r="I129" s="85">
        <f>IF(compras_mes4[[#This Row],[NETO GRAVADO]]="","",compras_mes4[[#This Row],[NETO GRAVADO]]*0.21)</f>
        <v>197.85149999999999</v>
      </c>
      <c r="J129" s="85"/>
      <c r="K129" s="85"/>
      <c r="L129" s="85"/>
      <c r="M129" s="85"/>
      <c r="N129" s="85"/>
      <c r="O129" s="85"/>
      <c r="P129" s="48">
        <f>SUM(compras_mes4[[#This Row],[NETO GRAVADO]:[Otros / No Grav.]])</f>
        <v>1140.0014999999999</v>
      </c>
      <c r="Q129" s="49">
        <f>IFERROR(IF(compras_mes4[[#This Row],[CUIT]]="","-",VLOOKUP(compras_mes4[[#This Row],[CUIT]],Lista_CUIT[#All],3,0)),"CUIT NO CARGADO")</f>
        <v>0</v>
      </c>
      <c r="R129" s="49">
        <f>IFERROR(IF(compras_mes4[[#This Row],[CUIT]]="","-",VLOOKUP(compras_mes4[[#This Row],[CUIT]],Lista_CUIT[#All],4,0)),"CUIT NO CARGADO")</f>
        <v>0</v>
      </c>
    </row>
    <row r="130" spans="2:18" x14ac:dyDescent="0.3">
      <c r="B130" s="40">
        <v>45038</v>
      </c>
      <c r="C130" s="41">
        <v>1</v>
      </c>
      <c r="D130" s="42">
        <v>6850</v>
      </c>
      <c r="E130" s="43">
        <v>14267</v>
      </c>
      <c r="F130" s="44">
        <v>30678774495</v>
      </c>
      <c r="G130" s="45" t="str">
        <f>IFERROR(IF(compras_mes4[[#This Row],[CUIT]]="","-",VLOOKUP(compras_mes4[[#This Row],[CUIT]],Lista_CUIT[#All],2,0)),"CUIT NO CARGADO")</f>
        <v>OPER. DE EST. DE SERV. SA</v>
      </c>
      <c r="H130" s="46">
        <v>6879.54</v>
      </c>
      <c r="I130" s="85">
        <f>IF(compras_mes4[[#This Row],[NETO GRAVADO]]="","",compras_mes4[[#This Row],[NETO GRAVADO]]*0.21)</f>
        <v>1444.7033999999999</v>
      </c>
      <c r="J130" s="85"/>
      <c r="K130" s="85"/>
      <c r="L130" s="85"/>
      <c r="M130" s="85"/>
      <c r="N130" s="85"/>
      <c r="O130" s="85">
        <v>1278.3499999999999</v>
      </c>
      <c r="P130" s="48">
        <f>SUM(compras_mes4[[#This Row],[NETO GRAVADO]:[Otros / No Grav.]])</f>
        <v>9602.5933999999997</v>
      </c>
      <c r="Q130" s="49" t="str">
        <f>IFERROR(IF(compras_mes4[[#This Row],[CUIT]]="","-",VLOOKUP(compras_mes4[[#This Row],[CUIT]],Lista_CUIT[#All],3,0)),"CUIT NO CARGADO")</f>
        <v>Combustibe</v>
      </c>
      <c r="R130" s="49">
        <f>IFERROR(IF(compras_mes4[[#This Row],[CUIT]]="","-",VLOOKUP(compras_mes4[[#This Row],[CUIT]],Lista_CUIT[#All],4,0)),"CUIT NO CARGADO")</f>
        <v>0</v>
      </c>
    </row>
    <row r="131" spans="2:18" x14ac:dyDescent="0.3">
      <c r="B131" s="361">
        <v>45038</v>
      </c>
      <c r="C131" s="41">
        <v>1</v>
      </c>
      <c r="D131" s="362">
        <v>12</v>
      </c>
      <c r="E131" s="363">
        <v>22583</v>
      </c>
      <c r="F131" s="364">
        <v>30696131003</v>
      </c>
      <c r="G131" s="365" t="str">
        <f>IFERROR(IF(compras_mes4[[#This Row],[CUIT]]="","-",VLOOKUP(compras_mes4[[#This Row],[CUIT]],Lista_CUIT[#All],2,0)),"CUIT NO CARGADO")</f>
        <v>Petrolfe S.A.</v>
      </c>
      <c r="H131" s="366">
        <v>22685.48</v>
      </c>
      <c r="I131" s="367">
        <f>IF(compras_mes4[[#This Row],[NETO GRAVADO]]="","",compras_mes4[[#This Row],[NETO GRAVADO]]*0.21)</f>
        <v>4763.9507999999996</v>
      </c>
      <c r="J131" s="367"/>
      <c r="K131" s="367"/>
      <c r="L131" s="367"/>
      <c r="M131" s="367"/>
      <c r="N131" s="367"/>
      <c r="O131" s="367">
        <v>4041.04</v>
      </c>
      <c r="P131" s="368">
        <f>SUM(compras_mes4[[#This Row],[NETO GRAVADO]:[Otros / No Grav.]])</f>
        <v>31490.470799999999</v>
      </c>
      <c r="Q131" s="369" t="str">
        <f>IFERROR(IF(compras_mes4[[#This Row],[CUIT]]="","-",VLOOKUP(compras_mes4[[#This Row],[CUIT]],Lista_CUIT[#All],3,0)),"CUIT NO CARGADO")</f>
        <v>Combustible</v>
      </c>
      <c r="R131" s="369">
        <f>IFERROR(IF(compras_mes4[[#This Row],[CUIT]]="","-",VLOOKUP(compras_mes4[[#This Row],[CUIT]],Lista_CUIT[#All],4,0)),"CUIT NO CARGADO")</f>
        <v>0</v>
      </c>
    </row>
    <row r="132" spans="2:18" x14ac:dyDescent="0.3">
      <c r="B132" s="40">
        <v>45039</v>
      </c>
      <c r="C132" s="41">
        <v>1</v>
      </c>
      <c r="D132" s="42">
        <v>8</v>
      </c>
      <c r="E132" s="43">
        <v>3351</v>
      </c>
      <c r="F132" s="44">
        <v>20304940019</v>
      </c>
      <c r="G132" s="45" t="str">
        <f>IFERROR(IF(compras_mes4[[#This Row],[CUIT]]="","-",VLOOKUP(compras_mes4[[#This Row],[CUIT]],Lista_CUIT[#All],2,0)),"CUIT NO CARGADO")</f>
        <v>LAZZARIN LIMA MARTIN IGNACIO</v>
      </c>
      <c r="H132" s="46">
        <v>7956.56</v>
      </c>
      <c r="I132" s="85"/>
      <c r="J132" s="85"/>
      <c r="K132" s="85">
        <v>835.44</v>
      </c>
      <c r="L132" s="85"/>
      <c r="M132" s="85"/>
      <c r="N132" s="85"/>
      <c r="O132" s="85"/>
      <c r="P132" s="48">
        <f>SUM(compras_mes4[[#This Row],[NETO GRAVADO]:[Otros / No Grav.]])</f>
        <v>8792</v>
      </c>
      <c r="Q132" s="49">
        <f>IFERROR(IF(compras_mes4[[#This Row],[CUIT]]="","-",VLOOKUP(compras_mes4[[#This Row],[CUIT]],Lista_CUIT[#All],3,0)),"CUIT NO CARGADO")</f>
        <v>0</v>
      </c>
      <c r="R132" s="49">
        <f>IFERROR(IF(compras_mes4[[#This Row],[CUIT]]="","-",VLOOKUP(compras_mes4[[#This Row],[CUIT]],Lista_CUIT[#All],4,0)),"CUIT NO CARGADO")</f>
        <v>0</v>
      </c>
    </row>
    <row r="133" spans="2:18" x14ac:dyDescent="0.3">
      <c r="B133" s="40">
        <v>45040</v>
      </c>
      <c r="C133" s="41">
        <v>1</v>
      </c>
      <c r="D133" s="42">
        <v>4</v>
      </c>
      <c r="E133" s="43">
        <v>11</v>
      </c>
      <c r="F133" s="44">
        <v>20335161395</v>
      </c>
      <c r="G133" s="45" t="str">
        <f>IFERROR(IF(compras_mes4[[#This Row],[CUIT]]="","-",VLOOKUP(compras_mes4[[#This Row],[CUIT]],Lista_CUIT[#All],2,0)),"CUIT NO CARGADO")</f>
        <v>CARLETTA MARTIN DANIEL</v>
      </c>
      <c r="H133" s="46">
        <v>70000</v>
      </c>
      <c r="I133" s="85">
        <f>IF(compras_mes4[[#This Row],[NETO GRAVADO]]="","",compras_mes4[[#This Row],[NETO GRAVADO]]*0.21)</f>
        <v>14700</v>
      </c>
      <c r="J133" s="85"/>
      <c r="K133" s="85"/>
      <c r="L133" s="85"/>
      <c r="M133" s="85"/>
      <c r="N133" s="85"/>
      <c r="O133" s="85"/>
      <c r="P133" s="48">
        <f>SUM(compras_mes4[[#This Row],[NETO GRAVADO]:[Otros / No Grav.]])</f>
        <v>84700</v>
      </c>
      <c r="Q133" s="49">
        <f>IFERROR(IF(compras_mes4[[#This Row],[CUIT]]="","-",VLOOKUP(compras_mes4[[#This Row],[CUIT]],Lista_CUIT[#All],3,0)),"CUIT NO CARGADO")</f>
        <v>0</v>
      </c>
      <c r="R133" s="49">
        <f>IFERROR(IF(compras_mes4[[#This Row],[CUIT]]="","-",VLOOKUP(compras_mes4[[#This Row],[CUIT]],Lista_CUIT[#All],4,0)),"CUIT NO CARGADO")</f>
        <v>0</v>
      </c>
    </row>
    <row r="134" spans="2:18" x14ac:dyDescent="0.3">
      <c r="B134" s="40">
        <v>45040</v>
      </c>
      <c r="C134" s="41">
        <v>1</v>
      </c>
      <c r="D134" s="42">
        <v>3</v>
      </c>
      <c r="E134" s="43">
        <v>305</v>
      </c>
      <c r="F134" s="44">
        <v>33663990859</v>
      </c>
      <c r="G134" s="45" t="str">
        <f>IFERROR(IF(compras_mes4[[#This Row],[CUIT]]="","-",VLOOKUP(compras_mes4[[#This Row],[CUIT]],Lista_CUIT[#All],2,0)),"CUIT NO CARGADO")</f>
        <v>OMAR ENRIQUE PICARDI Y PABLO BERNARDO   PICARDI S H</v>
      </c>
      <c r="H134" s="46">
        <v>330.57</v>
      </c>
      <c r="I134" s="85">
        <f>IF(compras_mes4[[#This Row],[NETO GRAVADO]]="","",compras_mes4[[#This Row],[NETO GRAVADO]]*0.21)</f>
        <v>69.419699999999992</v>
      </c>
      <c r="J134" s="85"/>
      <c r="K134" s="85"/>
      <c r="L134" s="85"/>
      <c r="M134" s="85"/>
      <c r="N134" s="85"/>
      <c r="O134" s="85"/>
      <c r="P134" s="48">
        <f>SUM(compras_mes4[[#This Row],[NETO GRAVADO]:[Otros / No Grav.]])</f>
        <v>399.98969999999997</v>
      </c>
      <c r="Q134" s="49">
        <f>IFERROR(IF(compras_mes4[[#This Row],[CUIT]]="","-",VLOOKUP(compras_mes4[[#This Row],[CUIT]],Lista_CUIT[#All],3,0)),"CUIT NO CARGADO")</f>
        <v>0</v>
      </c>
      <c r="R134" s="49">
        <f>IFERROR(IF(compras_mes4[[#This Row],[CUIT]]="","-",VLOOKUP(compras_mes4[[#This Row],[CUIT]],Lista_CUIT[#All],4,0)),"CUIT NO CARGADO")</f>
        <v>0</v>
      </c>
    </row>
    <row r="135" spans="2:18" x14ac:dyDescent="0.3">
      <c r="B135" s="40">
        <v>45040</v>
      </c>
      <c r="C135" s="41">
        <v>1</v>
      </c>
      <c r="D135" s="42">
        <v>5</v>
      </c>
      <c r="E135" s="43">
        <v>413</v>
      </c>
      <c r="F135" s="44">
        <v>30716654105</v>
      </c>
      <c r="G135" s="45" t="str">
        <f>IFERROR(IF(compras_mes4[[#This Row],[CUIT]]="","-",VLOOKUP(compras_mes4[[#This Row],[CUIT]],Lista_CUIT[#All],2,0)),"CUIT NO CARGADO")</f>
        <v>CARNICA DEL NORTE S.R.L.</v>
      </c>
      <c r="H135" s="46">
        <v>4962.8599999999997</v>
      </c>
      <c r="I135" s="85"/>
      <c r="J135" s="85"/>
      <c r="K135" s="85">
        <v>521.1</v>
      </c>
      <c r="L135" s="85"/>
      <c r="M135" s="85"/>
      <c r="N135" s="85"/>
      <c r="O135" s="85"/>
      <c r="P135" s="48">
        <f>SUM(compras_mes4[[#This Row],[NETO GRAVADO]:[Otros / No Grav.]])</f>
        <v>5483.96</v>
      </c>
      <c r="Q135" s="49">
        <f>IFERROR(IF(compras_mes4[[#This Row],[CUIT]]="","-",VLOOKUP(compras_mes4[[#This Row],[CUIT]],Lista_CUIT[#All],3,0)),"CUIT NO CARGADO")</f>
        <v>0</v>
      </c>
      <c r="R135" s="49">
        <f>IFERROR(IF(compras_mes4[[#This Row],[CUIT]]="","-",VLOOKUP(compras_mes4[[#This Row],[CUIT]],Lista_CUIT[#All],4,0)),"CUIT NO CARGADO")</f>
        <v>0</v>
      </c>
    </row>
    <row r="136" spans="2:18" x14ac:dyDescent="0.3">
      <c r="B136" s="40">
        <v>45040</v>
      </c>
      <c r="C136" s="41">
        <v>1</v>
      </c>
      <c r="D136" s="42">
        <v>5</v>
      </c>
      <c r="E136" s="43">
        <v>414</v>
      </c>
      <c r="F136" s="44">
        <v>30716654105</v>
      </c>
      <c r="G136" s="45" t="str">
        <f>IFERROR(IF(compras_mes4[[#This Row],[CUIT]]="","-",VLOOKUP(compras_mes4[[#This Row],[CUIT]],Lista_CUIT[#All],2,0)),"CUIT NO CARGADO")</f>
        <v>CARNICA DEL NORTE S.R.L.</v>
      </c>
      <c r="H136" s="46">
        <v>8073.03</v>
      </c>
      <c r="I136" s="85"/>
      <c r="J136" s="85"/>
      <c r="K136" s="85">
        <v>847.67</v>
      </c>
      <c r="L136" s="85"/>
      <c r="M136" s="85"/>
      <c r="N136" s="85"/>
      <c r="O136" s="85"/>
      <c r="P136" s="48">
        <f>SUM(compras_mes4[[#This Row],[NETO GRAVADO]:[Otros / No Grav.]])</f>
        <v>8920.6999999999989</v>
      </c>
      <c r="Q136" s="49">
        <f>IFERROR(IF(compras_mes4[[#This Row],[CUIT]]="","-",VLOOKUP(compras_mes4[[#This Row],[CUIT]],Lista_CUIT[#All],3,0)),"CUIT NO CARGADO")</f>
        <v>0</v>
      </c>
      <c r="R136" s="49">
        <f>IFERROR(IF(compras_mes4[[#This Row],[CUIT]]="","-",VLOOKUP(compras_mes4[[#This Row],[CUIT]],Lista_CUIT[#All],4,0)),"CUIT NO CARGADO")</f>
        <v>0</v>
      </c>
    </row>
    <row r="137" spans="2:18" x14ac:dyDescent="0.3">
      <c r="B137" s="40">
        <v>45040</v>
      </c>
      <c r="C137" s="41">
        <v>1</v>
      </c>
      <c r="D137" s="42">
        <v>4</v>
      </c>
      <c r="E137" s="43">
        <v>737</v>
      </c>
      <c r="F137" s="44">
        <v>20271009780</v>
      </c>
      <c r="G137" s="45" t="str">
        <f>IFERROR(IF(compras_mes4[[#This Row],[CUIT]]="","-",VLOOKUP(compras_mes4[[#This Row],[CUIT]],Lista_CUIT[#All],2,0)),"CUIT NO CARGADO")</f>
        <v>CURTO HECTOR ANIBAL</v>
      </c>
      <c r="H137" s="46">
        <v>14692.81</v>
      </c>
      <c r="I137" s="85">
        <f>IF(compras_mes4[[#This Row],[NETO GRAVADO]]="","",compras_mes4[[#This Row],[NETO GRAVADO]]*0.21)</f>
        <v>3085.4901</v>
      </c>
      <c r="J137" s="85"/>
      <c r="K137" s="85"/>
      <c r="L137" s="85"/>
      <c r="M137" s="85"/>
      <c r="N137" s="85"/>
      <c r="O137" s="85"/>
      <c r="P137" s="48">
        <f>SUM(compras_mes4[[#This Row],[NETO GRAVADO]:[Otros / No Grav.]])</f>
        <v>17778.3001</v>
      </c>
      <c r="Q137" s="49">
        <f>IFERROR(IF(compras_mes4[[#This Row],[CUIT]]="","-",VLOOKUP(compras_mes4[[#This Row],[CUIT]],Lista_CUIT[#All],3,0)),"CUIT NO CARGADO")</f>
        <v>0</v>
      </c>
      <c r="R137" s="49">
        <f>IFERROR(IF(compras_mes4[[#This Row],[CUIT]]="","-",VLOOKUP(compras_mes4[[#This Row],[CUIT]],Lista_CUIT[#All],4,0)),"CUIT NO CARGADO")</f>
        <v>0</v>
      </c>
    </row>
    <row r="138" spans="2:18" x14ac:dyDescent="0.3">
      <c r="B138" s="40">
        <v>45040</v>
      </c>
      <c r="C138" s="41">
        <v>1</v>
      </c>
      <c r="D138" s="42">
        <v>9</v>
      </c>
      <c r="E138" s="43">
        <v>761</v>
      </c>
      <c r="F138" s="44">
        <v>30710446047</v>
      </c>
      <c r="G138" s="45" t="str">
        <f>IFERROR(IF(compras_mes4[[#This Row],[CUIT]]="","-",VLOOKUP(compras_mes4[[#This Row],[CUIT]],Lista_CUIT[#All],2,0)),"CUIT NO CARGADO")</f>
        <v>ENSAMBLE GRAFICO S.H.</v>
      </c>
      <c r="H138" s="46">
        <v>887900</v>
      </c>
      <c r="I138" s="85">
        <f>IF(compras_mes4[[#This Row],[NETO GRAVADO]]="","",compras_mes4[[#This Row],[NETO GRAVADO]]*0.21)</f>
        <v>186459</v>
      </c>
      <c r="J138" s="85"/>
      <c r="K138" s="85"/>
      <c r="L138" s="85"/>
      <c r="M138" s="85"/>
      <c r="N138" s="85"/>
      <c r="O138" s="85"/>
      <c r="P138" s="48">
        <f>SUM(compras_mes4[[#This Row],[NETO GRAVADO]:[Otros / No Grav.]])</f>
        <v>1074359</v>
      </c>
      <c r="Q138" s="49">
        <f>IFERROR(IF(compras_mes4[[#This Row],[CUIT]]="","-",VLOOKUP(compras_mes4[[#This Row],[CUIT]],Lista_CUIT[#All],3,0)),"CUIT NO CARGADO")</f>
        <v>0</v>
      </c>
      <c r="R138" s="49">
        <f>IFERROR(IF(compras_mes4[[#This Row],[CUIT]]="","-",VLOOKUP(compras_mes4[[#This Row],[CUIT]],Lista_CUIT[#All],4,0)),"CUIT NO CARGADO")</f>
        <v>0</v>
      </c>
    </row>
    <row r="139" spans="2:18" x14ac:dyDescent="0.3">
      <c r="B139" s="40">
        <v>45040</v>
      </c>
      <c r="C139" s="41">
        <v>1</v>
      </c>
      <c r="D139" s="42">
        <v>9</v>
      </c>
      <c r="E139" s="43">
        <v>762</v>
      </c>
      <c r="F139" s="44">
        <v>30710446047</v>
      </c>
      <c r="G139" s="45" t="str">
        <f>IFERROR(IF(compras_mes4[[#This Row],[CUIT]]="","-",VLOOKUP(compras_mes4[[#This Row],[CUIT]],Lista_CUIT[#All],2,0)),"CUIT NO CARGADO")</f>
        <v>ENSAMBLE GRAFICO S.H.</v>
      </c>
      <c r="H139" s="46">
        <v>92000</v>
      </c>
      <c r="I139" s="85">
        <f>IF(compras_mes4[[#This Row],[NETO GRAVADO]]="","",compras_mes4[[#This Row],[NETO GRAVADO]]*0.21)</f>
        <v>19320</v>
      </c>
      <c r="J139" s="85"/>
      <c r="K139" s="85"/>
      <c r="L139" s="85"/>
      <c r="M139" s="85"/>
      <c r="N139" s="85"/>
      <c r="O139" s="85"/>
      <c r="P139" s="48">
        <f>SUM(compras_mes4[[#This Row],[NETO GRAVADO]:[Otros / No Grav.]])</f>
        <v>111320</v>
      </c>
      <c r="Q139" s="49">
        <f>IFERROR(IF(compras_mes4[[#This Row],[CUIT]]="","-",VLOOKUP(compras_mes4[[#This Row],[CUIT]],Lista_CUIT[#All],3,0)),"CUIT NO CARGADO")</f>
        <v>0</v>
      </c>
      <c r="R139" s="49">
        <f>IFERROR(IF(compras_mes4[[#This Row],[CUIT]]="","-",VLOOKUP(compras_mes4[[#This Row],[CUIT]],Lista_CUIT[#All],4,0)),"CUIT NO CARGADO")</f>
        <v>0</v>
      </c>
    </row>
    <row r="140" spans="2:18" x14ac:dyDescent="0.3">
      <c r="B140" s="40">
        <v>45040</v>
      </c>
      <c r="C140" s="41">
        <v>1</v>
      </c>
      <c r="D140" s="42">
        <v>3</v>
      </c>
      <c r="E140" s="43">
        <v>1095</v>
      </c>
      <c r="F140" s="44">
        <v>30716874377</v>
      </c>
      <c r="G140" s="45" t="str">
        <f>IFERROR(IF(compras_mes4[[#This Row],[CUIT]]="","-",VLOOKUP(compras_mes4[[#This Row],[CUIT]],Lista_CUIT[#All],2,0)),"CUIT NO CARGADO")</f>
        <v>TECNOTEAM S.A.S.</v>
      </c>
      <c r="H140" s="46">
        <v>8282.35</v>
      </c>
      <c r="I140" s="85"/>
      <c r="J140" s="85"/>
      <c r="K140" s="85">
        <v>869.65</v>
      </c>
      <c r="L140" s="85"/>
      <c r="M140" s="85"/>
      <c r="N140" s="85"/>
      <c r="O140" s="85"/>
      <c r="P140" s="48">
        <f>SUM(compras_mes4[[#This Row],[NETO GRAVADO]:[Otros / No Grav.]])</f>
        <v>9152</v>
      </c>
      <c r="Q140" s="49">
        <f>IFERROR(IF(compras_mes4[[#This Row],[CUIT]]="","-",VLOOKUP(compras_mes4[[#This Row],[CUIT]],Lista_CUIT[#All],3,0)),"CUIT NO CARGADO")</f>
        <v>0</v>
      </c>
      <c r="R140" s="49">
        <f>IFERROR(IF(compras_mes4[[#This Row],[CUIT]]="","-",VLOOKUP(compras_mes4[[#This Row],[CUIT]],Lista_CUIT[#All],4,0)),"CUIT NO CARGADO")</f>
        <v>0</v>
      </c>
    </row>
    <row r="141" spans="2:18" x14ac:dyDescent="0.3">
      <c r="B141" s="40">
        <v>45040</v>
      </c>
      <c r="C141" s="41">
        <v>1</v>
      </c>
      <c r="D141" s="42">
        <v>3</v>
      </c>
      <c r="E141" s="43">
        <v>1748</v>
      </c>
      <c r="F141" s="44">
        <v>27267891848</v>
      </c>
      <c r="G141" s="45" t="str">
        <f>IFERROR(IF(compras_mes4[[#This Row],[CUIT]]="","-",VLOOKUP(compras_mes4[[#This Row],[CUIT]],Lista_CUIT[#All],2,0)),"CUIT NO CARGADO")</f>
        <v>OCAMPO VIVIANA GRACIELA</v>
      </c>
      <c r="H141" s="46">
        <v>2117.65</v>
      </c>
      <c r="I141" s="85"/>
      <c r="J141" s="85"/>
      <c r="K141" s="85">
        <v>222.35</v>
      </c>
      <c r="L141" s="85"/>
      <c r="M141" s="85"/>
      <c r="N141" s="85"/>
      <c r="O141" s="85"/>
      <c r="P141" s="48">
        <f>SUM(compras_mes4[[#This Row],[NETO GRAVADO]:[Otros / No Grav.]])</f>
        <v>2340</v>
      </c>
      <c r="Q141" s="49">
        <f>IFERROR(IF(compras_mes4[[#This Row],[CUIT]]="","-",VLOOKUP(compras_mes4[[#This Row],[CUIT]],Lista_CUIT[#All],3,0)),"CUIT NO CARGADO")</f>
        <v>0</v>
      </c>
      <c r="R141" s="49">
        <f>IFERROR(IF(compras_mes4[[#This Row],[CUIT]]="","-",VLOOKUP(compras_mes4[[#This Row],[CUIT]],Lista_CUIT[#All],4,0)),"CUIT NO CARGADO")</f>
        <v>0</v>
      </c>
    </row>
    <row r="142" spans="2:18" x14ac:dyDescent="0.3">
      <c r="B142" s="40">
        <v>45040</v>
      </c>
      <c r="C142" s="41">
        <v>1</v>
      </c>
      <c r="D142" s="42">
        <v>6</v>
      </c>
      <c r="E142" s="43">
        <v>2550</v>
      </c>
      <c r="F142" s="44">
        <v>30574603788</v>
      </c>
      <c r="G142" s="45" t="str">
        <f>IFERROR(IF(compras_mes4[[#This Row],[CUIT]]="","-",VLOOKUP(compras_mes4[[#This Row],[CUIT]],Lista_CUIT[#All],2,0)),"CUIT NO CARGADO")</f>
        <v>CODAC SRL</v>
      </c>
      <c r="H142" s="46">
        <v>438150</v>
      </c>
      <c r="I142" s="85">
        <f>IF(compras_mes4[[#This Row],[NETO GRAVADO]]="","",compras_mes4[[#This Row],[NETO GRAVADO]]*0.21)</f>
        <v>92011.5</v>
      </c>
      <c r="J142" s="85"/>
      <c r="K142" s="85"/>
      <c r="L142" s="85"/>
      <c r="M142" s="85"/>
      <c r="N142" s="85"/>
      <c r="O142" s="85"/>
      <c r="P142" s="48">
        <f>SUM(compras_mes4[[#This Row],[NETO GRAVADO]:[Otros / No Grav.]])</f>
        <v>530161.5</v>
      </c>
      <c r="Q142" s="49" t="str">
        <f>IFERROR(IF(compras_mes4[[#This Row],[CUIT]]="","-",VLOOKUP(compras_mes4[[#This Row],[CUIT]],Lista_CUIT[#All],3,0)),"CUIT NO CARGADO")</f>
        <v>GASTOS COSMETICA</v>
      </c>
      <c r="R142" s="49" t="str">
        <f>IFERROR(IF(compras_mes4[[#This Row],[CUIT]]="","-",VLOOKUP(compras_mes4[[#This Row],[CUIT]],Lista_CUIT[#All],4,0)),"CUIT NO CARGADO")</f>
        <v>BUENOS AIRES</v>
      </c>
    </row>
    <row r="143" spans="2:18" x14ac:dyDescent="0.3">
      <c r="B143" s="40">
        <v>45040</v>
      </c>
      <c r="C143" s="41">
        <v>1</v>
      </c>
      <c r="D143" s="42">
        <v>1678</v>
      </c>
      <c r="E143" s="43">
        <v>12914</v>
      </c>
      <c r="F143" s="44">
        <v>30589621499</v>
      </c>
      <c r="G143" s="45" t="str">
        <f>IFERROR(IF(compras_mes4[[#This Row],[CUIT]]="","-",VLOOKUP(compras_mes4[[#This Row],[CUIT]],Lista_CUIT[#All],2,0)),"CUIT NO CARGADO")</f>
        <v>MAKRO SA</v>
      </c>
      <c r="H143" s="46">
        <v>14457.86</v>
      </c>
      <c r="I143" s="85">
        <f>IF(compras_mes4[[#This Row],[NETO GRAVADO]]="","",compras_mes4[[#This Row],[NETO GRAVADO]]*0.21)</f>
        <v>3036.1505999999999</v>
      </c>
      <c r="J143" s="85"/>
      <c r="K143" s="85"/>
      <c r="L143" s="85">
        <v>433.74</v>
      </c>
      <c r="M143" s="85"/>
      <c r="N143" s="85">
        <v>867.47</v>
      </c>
      <c r="O143" s="85"/>
      <c r="P143" s="48">
        <f>SUM(compras_mes4[[#This Row],[NETO GRAVADO]:[Otros / No Grav.]])</f>
        <v>18795.220600000004</v>
      </c>
      <c r="Q143" s="49">
        <f>IFERROR(IF(compras_mes4[[#This Row],[CUIT]]="","-",VLOOKUP(compras_mes4[[#This Row],[CUIT]],Lista_CUIT[#All],3,0)),"CUIT NO CARGADO")</f>
        <v>0</v>
      </c>
      <c r="R143" s="49">
        <f>IFERROR(IF(compras_mes4[[#This Row],[CUIT]]="","-",VLOOKUP(compras_mes4[[#This Row],[CUIT]],Lista_CUIT[#All],4,0)),"CUIT NO CARGADO")</f>
        <v>0</v>
      </c>
    </row>
    <row r="144" spans="2:18" x14ac:dyDescent="0.3">
      <c r="B144" s="40">
        <v>45040</v>
      </c>
      <c r="C144" s="41">
        <v>1</v>
      </c>
      <c r="D144" s="42">
        <v>6850</v>
      </c>
      <c r="E144" s="43">
        <v>14300</v>
      </c>
      <c r="F144" s="44">
        <v>30678774495</v>
      </c>
      <c r="G144" s="45" t="str">
        <f>IFERROR(IF(compras_mes4[[#This Row],[CUIT]]="","-",VLOOKUP(compras_mes4[[#This Row],[CUIT]],Lista_CUIT[#All],2,0)),"CUIT NO CARGADO")</f>
        <v>OPER. DE EST. DE SERV. SA</v>
      </c>
      <c r="H144" s="46">
        <v>1432.84</v>
      </c>
      <c r="I144" s="85">
        <f>IF(compras_mes4[[#This Row],[NETO GRAVADO]]="","",compras_mes4[[#This Row],[NETO GRAVADO]]*0.21)</f>
        <v>300.89639999999997</v>
      </c>
      <c r="J144" s="85"/>
      <c r="K144" s="85"/>
      <c r="L144" s="85"/>
      <c r="M144" s="85"/>
      <c r="N144" s="85"/>
      <c r="O144" s="85">
        <v>266.25</v>
      </c>
      <c r="P144" s="48">
        <f>SUM(compras_mes4[[#This Row],[NETO GRAVADO]:[Otros / No Grav.]])</f>
        <v>1999.9863999999998</v>
      </c>
      <c r="Q144" s="49" t="str">
        <f>IFERROR(IF(compras_mes4[[#This Row],[CUIT]]="","-",VLOOKUP(compras_mes4[[#This Row],[CUIT]],Lista_CUIT[#All],3,0)),"CUIT NO CARGADO")</f>
        <v>Combustibe</v>
      </c>
      <c r="R144" s="49">
        <f>IFERROR(IF(compras_mes4[[#This Row],[CUIT]]="","-",VLOOKUP(compras_mes4[[#This Row],[CUIT]],Lista_CUIT[#All],4,0)),"CUIT NO CARGADO")</f>
        <v>0</v>
      </c>
    </row>
    <row r="145" spans="2:18" x14ac:dyDescent="0.3">
      <c r="B145" s="40">
        <v>45040</v>
      </c>
      <c r="C145" s="41">
        <v>1</v>
      </c>
      <c r="D145" s="42">
        <v>700</v>
      </c>
      <c r="E145" s="43">
        <v>912769</v>
      </c>
      <c r="F145" s="44">
        <v>30715804812</v>
      </c>
      <c r="G145" s="45" t="str">
        <f>IFERROR(IF(compras_mes4[[#This Row],[CUIT]]="","-",VLOOKUP(compras_mes4[[#This Row],[CUIT]],Lista_CUIT[#All],2,0)),"CUIT NO CARGADO")</f>
        <v>CORREDORES VIALES SOCIEDAD ANONIMA</v>
      </c>
      <c r="H145" s="46">
        <v>818.18</v>
      </c>
      <c r="I145" s="85">
        <f>IF(compras_mes4[[#This Row],[NETO GRAVADO]]="","",compras_mes4[[#This Row],[NETO GRAVADO]]*0.21)</f>
        <v>171.81779999999998</v>
      </c>
      <c r="J145" s="85"/>
      <c r="K145" s="85"/>
      <c r="L145" s="85"/>
      <c r="M145" s="85"/>
      <c r="N145" s="85"/>
      <c r="O145" s="85"/>
      <c r="P145" s="48">
        <f>SUM(compras_mes4[[#This Row],[NETO GRAVADO]:[Otros / No Grav.]])</f>
        <v>989.99779999999987</v>
      </c>
      <c r="Q145" s="49">
        <f>IFERROR(IF(compras_mes4[[#This Row],[CUIT]]="","-",VLOOKUP(compras_mes4[[#This Row],[CUIT]],Lista_CUIT[#All],3,0)),"CUIT NO CARGADO")</f>
        <v>0</v>
      </c>
      <c r="R145" s="49">
        <f>IFERROR(IF(compras_mes4[[#This Row],[CUIT]]="","-",VLOOKUP(compras_mes4[[#This Row],[CUIT]],Lista_CUIT[#All],4,0)),"CUIT NO CARGADO")</f>
        <v>0</v>
      </c>
    </row>
    <row r="146" spans="2:18" x14ac:dyDescent="0.3">
      <c r="B146" s="40">
        <v>45041</v>
      </c>
      <c r="C146" s="41">
        <v>1</v>
      </c>
      <c r="D146" s="42">
        <v>4</v>
      </c>
      <c r="E146" s="43">
        <v>8520</v>
      </c>
      <c r="F146" s="44">
        <v>30715967134</v>
      </c>
      <c r="G146" s="45" t="str">
        <f>IFERROR(IF(compras_mes4[[#This Row],[CUIT]]="","-",VLOOKUP(compras_mes4[[#This Row],[CUIT]],Lista_CUIT[#All],2,0)),"CUIT NO CARGADO")</f>
        <v>ELIAS YANI S.R.L.</v>
      </c>
      <c r="H146" s="46">
        <v>1280.17</v>
      </c>
      <c r="I146" s="85">
        <f>IF(compras_mes4[[#This Row],[NETO GRAVADO]]="","",compras_mes4[[#This Row],[NETO GRAVADO]]*0.21)</f>
        <v>268.83570000000003</v>
      </c>
      <c r="J146" s="85"/>
      <c r="K146" s="85"/>
      <c r="L146" s="85"/>
      <c r="M146" s="85"/>
      <c r="N146" s="85"/>
      <c r="O146" s="85"/>
      <c r="P146" s="48">
        <f>SUM(compras_mes4[[#This Row],[NETO GRAVADO]:[Otros / No Grav.]])</f>
        <v>1549.0057000000002</v>
      </c>
      <c r="Q146" s="49">
        <f>IFERROR(IF(compras_mes4[[#This Row],[CUIT]]="","-",VLOOKUP(compras_mes4[[#This Row],[CUIT]],Lista_CUIT[#All],3,0)),"CUIT NO CARGADO")</f>
        <v>0</v>
      </c>
      <c r="R146" s="49">
        <f>IFERROR(IF(compras_mes4[[#This Row],[CUIT]]="","-",VLOOKUP(compras_mes4[[#This Row],[CUIT]],Lista_CUIT[#All],4,0)),"CUIT NO CARGADO")</f>
        <v>0</v>
      </c>
    </row>
    <row r="147" spans="2:18" x14ac:dyDescent="0.3">
      <c r="B147" s="361">
        <v>45041</v>
      </c>
      <c r="C147" s="41">
        <v>1</v>
      </c>
      <c r="D147" s="362">
        <v>19</v>
      </c>
      <c r="E147" s="363">
        <v>10715</v>
      </c>
      <c r="F147" s="364">
        <v>30515800219</v>
      </c>
      <c r="G147" s="365" t="str">
        <f>IFERROR(IF(compras_mes4[[#This Row],[CUIT]]="","-",VLOOKUP(compras_mes4[[#This Row],[CUIT]],Lista_CUIT[#All],2,0)),"CUIT NO CARGADO")</f>
        <v>INCAT SRL</v>
      </c>
      <c r="H147" s="366">
        <v>537.9</v>
      </c>
      <c r="I147" s="367">
        <f>IF(compras_mes4[[#This Row],[NETO GRAVADO]]="","",compras_mes4[[#This Row],[NETO GRAVADO]]*0.21)</f>
        <v>112.95899999999999</v>
      </c>
      <c r="J147" s="367"/>
      <c r="K147" s="367"/>
      <c r="L147" s="367"/>
      <c r="M147" s="367"/>
      <c r="N147" s="367"/>
      <c r="O147" s="367">
        <v>9.1300000000000008</v>
      </c>
      <c r="P147" s="368">
        <f>SUM(compras_mes4[[#This Row],[NETO GRAVADO]:[Otros / No Grav.]])</f>
        <v>659.98899999999992</v>
      </c>
      <c r="Q147" s="369" t="str">
        <f>IFERROR(IF(compras_mes4[[#This Row],[CUIT]]="","-",VLOOKUP(compras_mes4[[#This Row],[CUIT]],Lista_CUIT[#All],3,0)),"CUIT NO CARGADO")</f>
        <v>Combustibe</v>
      </c>
      <c r="R147" s="369" t="str">
        <f>IFERROR(IF(compras_mes4[[#This Row],[CUIT]]="","-",VLOOKUP(compras_mes4[[#This Row],[CUIT]],Lista_CUIT[#All],4,0)),"CUIT NO CARGADO")</f>
        <v>CABA</v>
      </c>
    </row>
    <row r="148" spans="2:18" x14ac:dyDescent="0.3">
      <c r="B148" s="361">
        <v>45041</v>
      </c>
      <c r="C148" s="41">
        <v>1</v>
      </c>
      <c r="D148" s="362">
        <v>23</v>
      </c>
      <c r="E148" s="363">
        <v>11701</v>
      </c>
      <c r="F148" s="364">
        <v>30515800219</v>
      </c>
      <c r="G148" s="365" t="str">
        <f>IFERROR(IF(compras_mes4[[#This Row],[CUIT]]="","-",VLOOKUP(compras_mes4[[#This Row],[CUIT]],Lista_CUIT[#All],2,0)),"CUIT NO CARGADO")</f>
        <v>INCAT SRL</v>
      </c>
      <c r="H148" s="366">
        <v>5844.19</v>
      </c>
      <c r="I148" s="367">
        <f>IF(compras_mes4[[#This Row],[NETO GRAVADO]]="","",compras_mes4[[#This Row],[NETO GRAVADO]]*0.21)</f>
        <v>1227.2798999999998</v>
      </c>
      <c r="J148" s="367"/>
      <c r="K148" s="367"/>
      <c r="L148" s="367"/>
      <c r="M148" s="367"/>
      <c r="N148" s="367"/>
      <c r="O148" s="367">
        <v>1231.0999999999999</v>
      </c>
      <c r="P148" s="368">
        <f>SUM(compras_mes4[[#This Row],[NETO GRAVADO]:[Otros / No Grav.]])</f>
        <v>8302.5698999999986</v>
      </c>
      <c r="Q148" s="369" t="str">
        <f>IFERROR(IF(compras_mes4[[#This Row],[CUIT]]="","-",VLOOKUP(compras_mes4[[#This Row],[CUIT]],Lista_CUIT[#All],3,0)),"CUIT NO CARGADO")</f>
        <v>Combustibe</v>
      </c>
      <c r="R148" s="369" t="str">
        <f>IFERROR(IF(compras_mes4[[#This Row],[CUIT]]="","-",VLOOKUP(compras_mes4[[#This Row],[CUIT]],Lista_CUIT[#All],4,0)),"CUIT NO CARGADO")</f>
        <v>CABA</v>
      </c>
    </row>
    <row r="149" spans="2:18" x14ac:dyDescent="0.3">
      <c r="B149" s="40">
        <v>45042</v>
      </c>
      <c r="C149" s="41">
        <v>1</v>
      </c>
      <c r="D149" s="42">
        <v>6</v>
      </c>
      <c r="E149" s="43">
        <v>1658</v>
      </c>
      <c r="F149" s="44">
        <v>20337062041</v>
      </c>
      <c r="G149" s="45" t="str">
        <f>IFERROR(IF(compras_mes4[[#This Row],[CUIT]]="","-",VLOOKUP(compras_mes4[[#This Row],[CUIT]],Lista_CUIT[#All],2,0)),"CUIT NO CARGADO")</f>
        <v>VEGA HUGO DANIEL</v>
      </c>
      <c r="H149" s="46">
        <v>8923.9699999999993</v>
      </c>
      <c r="I149" s="85">
        <f>IF(compras_mes4[[#This Row],[NETO GRAVADO]]="","",compras_mes4[[#This Row],[NETO GRAVADO]]*0.21)</f>
        <v>1874.0336999999997</v>
      </c>
      <c r="J149" s="85"/>
      <c r="K149" s="85"/>
      <c r="L149" s="85"/>
      <c r="M149" s="85"/>
      <c r="N149" s="85"/>
      <c r="O149" s="85"/>
      <c r="P149" s="48">
        <f>SUM(compras_mes4[[#This Row],[NETO GRAVADO]:[Otros / No Grav.]])</f>
        <v>10798.003699999999</v>
      </c>
      <c r="Q149" s="49">
        <f>IFERROR(IF(compras_mes4[[#This Row],[CUIT]]="","-",VLOOKUP(compras_mes4[[#This Row],[CUIT]],Lista_CUIT[#All],3,0)),"CUIT NO CARGADO")</f>
        <v>0</v>
      </c>
      <c r="R149" s="49">
        <f>IFERROR(IF(compras_mes4[[#This Row],[CUIT]]="","-",VLOOKUP(compras_mes4[[#This Row],[CUIT]],Lista_CUIT[#All],4,0)),"CUIT NO CARGADO")</f>
        <v>0</v>
      </c>
    </row>
    <row r="150" spans="2:18" x14ac:dyDescent="0.3">
      <c r="B150" s="40">
        <v>45043</v>
      </c>
      <c r="C150" s="41">
        <v>1</v>
      </c>
      <c r="D150" s="42">
        <v>1</v>
      </c>
      <c r="E150" s="43">
        <v>129</v>
      </c>
      <c r="F150" s="44">
        <v>20077604627</v>
      </c>
      <c r="G150" s="45" t="str">
        <f>IFERROR(IF(compras_mes4[[#This Row],[CUIT]]="","-",VLOOKUP(compras_mes4[[#This Row],[CUIT]],Lista_CUIT[#All],2,0)),"CUIT NO CARGADO")</f>
        <v>OCAÑO ENRIQUE</v>
      </c>
      <c r="H150" s="46">
        <v>729975.38</v>
      </c>
      <c r="I150" s="85">
        <f>IF(compras_mes4[[#This Row],[NETO GRAVADO]]="","",compras_mes4[[#This Row],[NETO GRAVADO]]*0.21)</f>
        <v>153294.82980000001</v>
      </c>
      <c r="J150" s="85"/>
      <c r="K150" s="85"/>
      <c r="L150" s="85"/>
      <c r="M150" s="85"/>
      <c r="N150" s="85"/>
      <c r="O150" s="85"/>
      <c r="P150" s="48">
        <f>SUM(compras_mes4[[#This Row],[NETO GRAVADO]:[Otros / No Grav.]])</f>
        <v>883270.20980000007</v>
      </c>
      <c r="Q150" s="49">
        <f>IFERROR(IF(compras_mes4[[#This Row],[CUIT]]="","-",VLOOKUP(compras_mes4[[#This Row],[CUIT]],Lista_CUIT[#All],3,0)),"CUIT NO CARGADO")</f>
        <v>0</v>
      </c>
      <c r="R150" s="49">
        <f>IFERROR(IF(compras_mes4[[#This Row],[CUIT]]="","-",VLOOKUP(compras_mes4[[#This Row],[CUIT]],Lista_CUIT[#All],4,0)),"CUIT NO CARGADO")</f>
        <v>0</v>
      </c>
    </row>
    <row r="151" spans="2:18" x14ac:dyDescent="0.3">
      <c r="B151" s="361">
        <v>45043</v>
      </c>
      <c r="C151" s="41">
        <v>1</v>
      </c>
      <c r="D151" s="362">
        <v>2</v>
      </c>
      <c r="E151" s="363">
        <v>831</v>
      </c>
      <c r="F151" s="364">
        <v>27165595861</v>
      </c>
      <c r="G151" s="365" t="str">
        <f>IFERROR(IF(compras_mes4[[#This Row],[CUIT]]="","-",VLOOKUP(compras_mes4[[#This Row],[CUIT]],Lista_CUIT[#All],2,0)),"CUIT NO CARGADO")</f>
        <v>CANJALLI SILVIA ALEGRE</v>
      </c>
      <c r="H151" s="366">
        <v>28820</v>
      </c>
      <c r="I151" s="367">
        <f>IF(compras_mes4[[#This Row],[NETO GRAVADO]]="","",compras_mes4[[#This Row],[NETO GRAVADO]]*0.21)</f>
        <v>6052.2</v>
      </c>
      <c r="J151" s="367"/>
      <c r="K151" s="367"/>
      <c r="L151" s="367"/>
      <c r="M151" s="367"/>
      <c r="N151" s="367"/>
      <c r="O151" s="367"/>
      <c r="P151" s="368">
        <f>SUM(compras_mes4[[#This Row],[NETO GRAVADO]:[Otros / No Grav.]])</f>
        <v>34872.199999999997</v>
      </c>
      <c r="Q151" s="369" t="str">
        <f>IFERROR(IF(compras_mes4[[#This Row],[CUIT]]="","-",VLOOKUP(compras_mes4[[#This Row],[CUIT]],Lista_CUIT[#All],3,0)),"CUIT NO CARGADO")</f>
        <v>SERVICIOS PROFESIONALES</v>
      </c>
      <c r="R151" s="369">
        <f>IFERROR(IF(compras_mes4[[#This Row],[CUIT]]="","-",VLOOKUP(compras_mes4[[#This Row],[CUIT]],Lista_CUIT[#All],4,0)),"CUIT NO CARGADO")</f>
        <v>0</v>
      </c>
    </row>
    <row r="152" spans="2:18" x14ac:dyDescent="0.3">
      <c r="B152" s="361">
        <v>45043</v>
      </c>
      <c r="C152" s="41">
        <v>1</v>
      </c>
      <c r="D152" s="362">
        <v>5</v>
      </c>
      <c r="E152" s="363">
        <v>6141</v>
      </c>
      <c r="F152" s="364">
        <v>27234805679</v>
      </c>
      <c r="G152" s="365" t="str">
        <f>IFERROR(IF(compras_mes4[[#This Row],[CUIT]]="","-",VLOOKUP(compras_mes4[[#This Row],[CUIT]],Lista_CUIT[#All],2,0)),"CUIT NO CARGADO")</f>
        <v>CAMPOY MABEL ALICIA</v>
      </c>
      <c r="H152" s="366">
        <v>21313.22</v>
      </c>
      <c r="I152" s="367">
        <f>IF(compras_mes4[[#This Row],[NETO GRAVADO]]="","",compras_mes4[[#This Row],[NETO GRAVADO]]*0.21)</f>
        <v>4475.7762000000002</v>
      </c>
      <c r="J152" s="367"/>
      <c r="K152" s="367"/>
      <c r="L152" s="367"/>
      <c r="M152" s="367"/>
      <c r="N152" s="367"/>
      <c r="O152" s="367"/>
      <c r="P152" s="368">
        <f>SUM(compras_mes4[[#This Row],[NETO GRAVADO]:[Otros / No Grav.]])</f>
        <v>25788.996200000001</v>
      </c>
      <c r="Q152" s="369">
        <f>IFERROR(IF(compras_mes4[[#This Row],[CUIT]]="","-",VLOOKUP(compras_mes4[[#This Row],[CUIT]],Lista_CUIT[#All],3,0)),"CUIT NO CARGADO")</f>
        <v>0</v>
      </c>
      <c r="R152" s="369">
        <f>IFERROR(IF(compras_mes4[[#This Row],[CUIT]]="","-",VLOOKUP(compras_mes4[[#This Row],[CUIT]],Lista_CUIT[#All],4,0)),"CUIT NO CARGADO")</f>
        <v>0</v>
      </c>
    </row>
    <row r="153" spans="2:18" x14ac:dyDescent="0.3">
      <c r="B153" s="361">
        <v>45043</v>
      </c>
      <c r="C153" s="41">
        <v>1</v>
      </c>
      <c r="D153" s="362">
        <v>3</v>
      </c>
      <c r="E153" s="363">
        <v>7646</v>
      </c>
      <c r="F153" s="364">
        <v>20928324568</v>
      </c>
      <c r="G153" s="365" t="str">
        <f>IFERROR(IF(compras_mes4[[#This Row],[CUIT]]="","-",VLOOKUP(compras_mes4[[#This Row],[CUIT]],Lista_CUIT[#All],2,0)),"CUIT NO CARGADO")</f>
        <v>LATEULADE DORADO ADRIAN HUGO</v>
      </c>
      <c r="H153" s="366">
        <v>2892.56</v>
      </c>
      <c r="I153" s="367">
        <f>IF(compras_mes4[[#This Row],[NETO GRAVADO]]="","",compras_mes4[[#This Row],[NETO GRAVADO]]*0.21)</f>
        <v>607.43759999999997</v>
      </c>
      <c r="J153" s="367"/>
      <c r="K153" s="367"/>
      <c r="L153" s="367"/>
      <c r="M153" s="367"/>
      <c r="N153" s="367"/>
      <c r="O153" s="367"/>
      <c r="P153" s="368">
        <f>SUM(compras_mes4[[#This Row],[NETO GRAVADO]:[Otros / No Grav.]])</f>
        <v>3499.9975999999997</v>
      </c>
      <c r="Q153" s="369">
        <f>IFERROR(IF(compras_mes4[[#This Row],[CUIT]]="","-",VLOOKUP(compras_mes4[[#This Row],[CUIT]],Lista_CUIT[#All],3,0)),"CUIT NO CARGADO")</f>
        <v>0</v>
      </c>
      <c r="R153" s="369">
        <f>IFERROR(IF(compras_mes4[[#This Row],[CUIT]]="","-",VLOOKUP(compras_mes4[[#This Row],[CUIT]],Lista_CUIT[#All],4,0)),"CUIT NO CARGADO")</f>
        <v>0</v>
      </c>
    </row>
    <row r="154" spans="2:18" x14ac:dyDescent="0.3">
      <c r="B154" s="361">
        <v>45043</v>
      </c>
      <c r="C154" s="41">
        <v>1</v>
      </c>
      <c r="D154" s="362">
        <v>20</v>
      </c>
      <c r="E154" s="363">
        <v>8452</v>
      </c>
      <c r="F154" s="364">
        <v>30515800219</v>
      </c>
      <c r="G154" s="365" t="str">
        <f>IFERROR(IF(compras_mes4[[#This Row],[CUIT]]="","-",VLOOKUP(compras_mes4[[#This Row],[CUIT]],Lista_CUIT[#All],2,0)),"CUIT NO CARGADO")</f>
        <v>INCAT SRL</v>
      </c>
      <c r="H154" s="366">
        <v>815.02</v>
      </c>
      <c r="I154" s="367">
        <f>IF(compras_mes4[[#This Row],[NETO GRAVADO]]="","",compras_mes4[[#This Row],[NETO GRAVADO]]*0.21)</f>
        <v>171.1542</v>
      </c>
      <c r="J154" s="367"/>
      <c r="K154" s="367"/>
      <c r="L154" s="367"/>
      <c r="M154" s="367"/>
      <c r="N154" s="367"/>
      <c r="O154" s="367">
        <v>13.83</v>
      </c>
      <c r="P154" s="368">
        <f>SUM(compras_mes4[[#This Row],[NETO GRAVADO]:[Otros / No Grav.]])</f>
        <v>1000.0042</v>
      </c>
      <c r="Q154" s="369" t="str">
        <f>IFERROR(IF(compras_mes4[[#This Row],[CUIT]]="","-",VLOOKUP(compras_mes4[[#This Row],[CUIT]],Lista_CUIT[#All],3,0)),"CUIT NO CARGADO")</f>
        <v>Combustibe</v>
      </c>
      <c r="R154" s="369" t="str">
        <f>IFERROR(IF(compras_mes4[[#This Row],[CUIT]]="","-",VLOOKUP(compras_mes4[[#This Row],[CUIT]],Lista_CUIT[#All],4,0)),"CUIT NO CARGADO")</f>
        <v>CABA</v>
      </c>
    </row>
    <row r="155" spans="2:18" x14ac:dyDescent="0.3">
      <c r="B155" s="361">
        <v>45043</v>
      </c>
      <c r="C155" s="41">
        <v>1</v>
      </c>
      <c r="D155" s="362">
        <v>6</v>
      </c>
      <c r="E155" s="363">
        <v>15636</v>
      </c>
      <c r="F155" s="364">
        <v>30715819461</v>
      </c>
      <c r="G155" s="365" t="str">
        <f>IFERROR(IF(compras_mes4[[#This Row],[CUIT]]="","-",VLOOKUP(compras_mes4[[#This Row],[CUIT]],Lista_CUIT[#All],2,0)),"CUIT NO CARGADO")</f>
        <v>DISTRI AIRES S.R.L</v>
      </c>
      <c r="H155" s="366">
        <v>8152.07</v>
      </c>
      <c r="I155" s="367">
        <f>IF(compras_mes4[[#This Row],[NETO GRAVADO]]="","",compras_mes4[[#This Row],[NETO GRAVADO]]*0.21)</f>
        <v>1711.9346999999998</v>
      </c>
      <c r="J155" s="367"/>
      <c r="K155" s="367"/>
      <c r="L155" s="367"/>
      <c r="M155" s="367"/>
      <c r="N155" s="367"/>
      <c r="O155" s="367">
        <v>0</v>
      </c>
      <c r="P155" s="368">
        <f>SUM(compras_mes4[[#This Row],[NETO GRAVADO]:[Otros / No Grav.]])</f>
        <v>9864.0046999999995</v>
      </c>
      <c r="Q155" s="369">
        <f>IFERROR(IF(compras_mes4[[#This Row],[CUIT]]="","-",VLOOKUP(compras_mes4[[#This Row],[CUIT]],Lista_CUIT[#All],3,0)),"CUIT NO CARGADO")</f>
        <v>0</v>
      </c>
      <c r="R155" s="369">
        <f>IFERROR(IF(compras_mes4[[#This Row],[CUIT]]="","-",VLOOKUP(compras_mes4[[#This Row],[CUIT]],Lista_CUIT[#All],4,0)),"CUIT NO CARGADO")</f>
        <v>0</v>
      </c>
    </row>
    <row r="156" spans="2:18" x14ac:dyDescent="0.3">
      <c r="B156" s="40">
        <v>45043</v>
      </c>
      <c r="C156" s="41">
        <v>1</v>
      </c>
      <c r="D156" s="42">
        <v>11</v>
      </c>
      <c r="E156" s="43">
        <v>72402</v>
      </c>
      <c r="F156" s="44">
        <v>30534051049</v>
      </c>
      <c r="G156" s="45" t="str">
        <f>IFERROR(IF(compras_mes4[[#This Row],[CUIT]]="","-",VLOOKUP(compras_mes4[[#This Row],[CUIT]],Lista_CUIT[#All],2,0)),"CUIT NO CARGADO")</f>
        <v>ELECTRO UNIVERSO - PLIN METAL S A</v>
      </c>
      <c r="H156" s="46">
        <v>627.15</v>
      </c>
      <c r="I156" s="85">
        <f>IF(compras_mes4[[#This Row],[NETO GRAVADO]]="","",compras_mes4[[#This Row],[NETO GRAVADO]]*0.21)</f>
        <v>131.70149999999998</v>
      </c>
      <c r="J156" s="85"/>
      <c r="K156" s="85"/>
      <c r="L156" s="85"/>
      <c r="M156" s="85"/>
      <c r="N156" s="85"/>
      <c r="O156" s="85"/>
      <c r="P156" s="48">
        <f>SUM(compras_mes4[[#This Row],[NETO GRAVADO]:[Otros / No Grav.]])</f>
        <v>758.85149999999999</v>
      </c>
      <c r="Q156" s="49">
        <f>IFERROR(IF(compras_mes4[[#This Row],[CUIT]]="","-",VLOOKUP(compras_mes4[[#This Row],[CUIT]],Lista_CUIT[#All],3,0)),"CUIT NO CARGADO")</f>
        <v>0</v>
      </c>
      <c r="R156" s="49">
        <f>IFERROR(IF(compras_mes4[[#This Row],[CUIT]]="","-",VLOOKUP(compras_mes4[[#This Row],[CUIT]],Lista_CUIT[#All],4,0)),"CUIT NO CARGADO")</f>
        <v>0</v>
      </c>
    </row>
    <row r="157" spans="2:18" x14ac:dyDescent="0.3">
      <c r="B157" s="387">
        <v>45043</v>
      </c>
      <c r="C157" s="250">
        <v>1</v>
      </c>
      <c r="D157" s="388">
        <v>3034</v>
      </c>
      <c r="E157" s="389">
        <v>3602555</v>
      </c>
      <c r="F157" s="390">
        <v>30708574836</v>
      </c>
      <c r="G157" s="391" t="str">
        <f>IFERROR(IF(compras_mes4[[#This Row],[CUIT]]="","-",VLOOKUP(compras_mes4[[#This Row],[CUIT]],Lista_CUIT[#All],2,0)),"CUIT NO CARGADO")</f>
        <v>CORREO OFICIAL DE LA REPUBLICA ARGENTINA SOCIEDAD ANONIMA</v>
      </c>
      <c r="H157" s="392">
        <v>953.42</v>
      </c>
      <c r="I157" s="393">
        <f>IF(compras_mes4[[#This Row],[NETO GRAVADO]]="","",compras_mes4[[#This Row],[NETO GRAVADO]]*0.21)</f>
        <v>200.2182</v>
      </c>
      <c r="J157" s="393"/>
      <c r="K157" s="393"/>
      <c r="L157" s="393"/>
      <c r="M157" s="393"/>
      <c r="N157" s="393"/>
      <c r="O157" s="393"/>
      <c r="P157" s="394">
        <f>SUM(compras_mes4[[#This Row],[NETO GRAVADO]:[Otros / No Grav.]])</f>
        <v>1153.6381999999999</v>
      </c>
      <c r="Q157" s="395" t="str">
        <f>IFERROR(IF(compras_mes4[[#This Row],[CUIT]]="","-",VLOOKUP(compras_mes4[[#This Row],[CUIT]],Lista_CUIT[#All],3,0)),"CUIT NO CARGADO")</f>
        <v>MESAJERIA</v>
      </c>
      <c r="R157" s="395">
        <f>IFERROR(IF(compras_mes4[[#This Row],[CUIT]]="","-",VLOOKUP(compras_mes4[[#This Row],[CUIT]],Lista_CUIT[#All],4,0)),"CUIT NO CARGADO")</f>
        <v>0</v>
      </c>
    </row>
    <row r="158" spans="2:18" x14ac:dyDescent="0.3">
      <c r="B158" s="361">
        <v>45044</v>
      </c>
      <c r="C158" s="41">
        <v>1</v>
      </c>
      <c r="D158" s="362">
        <v>5</v>
      </c>
      <c r="E158" s="363">
        <v>425</v>
      </c>
      <c r="F158" s="364">
        <v>30716654105</v>
      </c>
      <c r="G158" s="365" t="str">
        <f>IFERROR(IF(compras_mes4[[#This Row],[CUIT]]="","-",VLOOKUP(compras_mes4[[#This Row],[CUIT]],Lista_CUIT[#All],2,0)),"CUIT NO CARGADO")</f>
        <v>CARNICA DEL NORTE S.R.L.</v>
      </c>
      <c r="H158" s="366">
        <v>6133.62</v>
      </c>
      <c r="I158" s="367"/>
      <c r="J158" s="367"/>
      <c r="K158" s="367">
        <v>644.03</v>
      </c>
      <c r="L158" s="367"/>
      <c r="M158" s="367"/>
      <c r="N158" s="367"/>
      <c r="O158" s="367"/>
      <c r="P158" s="368">
        <f>SUM(compras_mes4[[#This Row],[NETO GRAVADO]:[Otros / No Grav.]])</f>
        <v>6777.65</v>
      </c>
      <c r="Q158" s="369">
        <f>IFERROR(IF(compras_mes4[[#This Row],[CUIT]]="","-",VLOOKUP(compras_mes4[[#This Row],[CUIT]],Lista_CUIT[#All],3,0)),"CUIT NO CARGADO")</f>
        <v>0</v>
      </c>
      <c r="R158" s="369">
        <f>IFERROR(IF(compras_mes4[[#This Row],[CUIT]]="","-",VLOOKUP(compras_mes4[[#This Row],[CUIT]],Lista_CUIT[#All],4,0)),"CUIT NO CARGADO")</f>
        <v>0</v>
      </c>
    </row>
    <row r="159" spans="2:18" x14ac:dyDescent="0.3">
      <c r="B159" s="361">
        <v>45044</v>
      </c>
      <c r="C159" s="41">
        <v>1</v>
      </c>
      <c r="D159" s="362">
        <v>9</v>
      </c>
      <c r="E159" s="363">
        <v>540</v>
      </c>
      <c r="F159" s="364">
        <v>20370475750</v>
      </c>
      <c r="G159" s="365" t="str">
        <f>IFERROR(IF(compras_mes4[[#This Row],[CUIT]]="","-",VLOOKUP(compras_mes4[[#This Row],[CUIT]],Lista_CUIT[#All],2,0)),"CUIT NO CARGADO")</f>
        <v>LOPEZ WALTER OSVALDO</v>
      </c>
      <c r="H159" s="366">
        <v>5776.86</v>
      </c>
      <c r="I159" s="367">
        <f>IF(compras_mes4[[#This Row],[NETO GRAVADO]]="","",compras_mes4[[#This Row],[NETO GRAVADO]]*0.21)</f>
        <v>1213.1405999999999</v>
      </c>
      <c r="J159" s="367"/>
      <c r="K159" s="367"/>
      <c r="L159" s="367"/>
      <c r="M159" s="367"/>
      <c r="N159" s="367"/>
      <c r="O159" s="367"/>
      <c r="P159" s="368">
        <f>SUM(compras_mes4[[#This Row],[NETO GRAVADO]:[Otros / No Grav.]])</f>
        <v>6990.0005999999994</v>
      </c>
      <c r="Q159" s="369">
        <f>IFERROR(IF(compras_mes4[[#This Row],[CUIT]]="","-",VLOOKUP(compras_mes4[[#This Row],[CUIT]],Lista_CUIT[#All],3,0)),"CUIT NO CARGADO")</f>
        <v>0</v>
      </c>
      <c r="R159" s="369">
        <f>IFERROR(IF(compras_mes4[[#This Row],[CUIT]]="","-",VLOOKUP(compras_mes4[[#This Row],[CUIT]],Lista_CUIT[#All],4,0)),"CUIT NO CARGADO")</f>
        <v>0</v>
      </c>
    </row>
    <row r="160" spans="2:18" x14ac:dyDescent="0.3">
      <c r="B160" s="361">
        <v>45044</v>
      </c>
      <c r="C160" s="41">
        <v>1</v>
      </c>
      <c r="D160" s="362">
        <v>1</v>
      </c>
      <c r="E160" s="363">
        <v>596</v>
      </c>
      <c r="F160" s="364">
        <v>30715048066</v>
      </c>
      <c r="G160" s="365" t="str">
        <f>IFERROR(IF(compras_mes4[[#This Row],[CUIT]]="","-",VLOOKUP(compras_mes4[[#This Row],[CUIT]],Lista_CUIT[#All],2,0)),"CUIT NO CARGADO")</f>
        <v>ROLLS Y EMPANADAS SA</v>
      </c>
      <c r="H160" s="366">
        <v>290580</v>
      </c>
      <c r="I160" s="367">
        <f>IF(compras_mes4[[#This Row],[NETO GRAVADO]]="","",compras_mes4[[#This Row],[NETO GRAVADO]]*0.21)</f>
        <v>61021.799999999996</v>
      </c>
      <c r="J160" s="367"/>
      <c r="K160" s="367"/>
      <c r="L160" s="367"/>
      <c r="M160" s="367"/>
      <c r="N160" s="367"/>
      <c r="O160" s="367"/>
      <c r="P160" s="368">
        <f>SUM(compras_mes4[[#This Row],[NETO GRAVADO]:[Otros / No Grav.]])</f>
        <v>351601.8</v>
      </c>
      <c r="Q160" s="369" t="str">
        <f>IFERROR(IF(compras_mes4[[#This Row],[CUIT]]="","-",VLOOKUP(compras_mes4[[#This Row],[CUIT]],Lista_CUIT[#All],3,0)),"CUIT NO CARGADO")</f>
        <v>CATERING</v>
      </c>
      <c r="R160" s="369">
        <f>IFERROR(IF(compras_mes4[[#This Row],[CUIT]]="","-",VLOOKUP(compras_mes4[[#This Row],[CUIT]],Lista_CUIT[#All],4,0)),"CUIT NO CARGADO")</f>
        <v>0</v>
      </c>
    </row>
    <row r="161" spans="2:18" x14ac:dyDescent="0.3">
      <c r="B161" s="361">
        <v>45044</v>
      </c>
      <c r="C161" s="41">
        <v>1</v>
      </c>
      <c r="D161" s="362">
        <v>1</v>
      </c>
      <c r="E161" s="363">
        <v>597</v>
      </c>
      <c r="F161" s="364">
        <v>30715048066</v>
      </c>
      <c r="G161" s="365" t="str">
        <f>IFERROR(IF(compras_mes4[[#This Row],[CUIT]]="","-",VLOOKUP(compras_mes4[[#This Row],[CUIT]],Lista_CUIT[#All],2,0)),"CUIT NO CARGADO")</f>
        <v>ROLLS Y EMPANADAS SA</v>
      </c>
      <c r="H161" s="366">
        <v>352550</v>
      </c>
      <c r="I161" s="367">
        <f>IF(compras_mes4[[#This Row],[NETO GRAVADO]]="","",compras_mes4[[#This Row],[NETO GRAVADO]]*0.21)</f>
        <v>74035.5</v>
      </c>
      <c r="J161" s="367"/>
      <c r="K161" s="367"/>
      <c r="L161" s="367"/>
      <c r="M161" s="367"/>
      <c r="N161" s="367"/>
      <c r="O161" s="367"/>
      <c r="P161" s="368">
        <f>SUM(compras_mes4[[#This Row],[NETO GRAVADO]:[Otros / No Grav.]])</f>
        <v>426585.5</v>
      </c>
      <c r="Q161" s="369" t="str">
        <f>IFERROR(IF(compras_mes4[[#This Row],[CUIT]]="","-",VLOOKUP(compras_mes4[[#This Row],[CUIT]],Lista_CUIT[#All],3,0)),"CUIT NO CARGADO")</f>
        <v>CATERING</v>
      </c>
      <c r="R161" s="369">
        <f>IFERROR(IF(compras_mes4[[#This Row],[CUIT]]="","-",VLOOKUP(compras_mes4[[#This Row],[CUIT]],Lista_CUIT[#All],4,0)),"CUIT NO CARGADO")</f>
        <v>0</v>
      </c>
    </row>
    <row r="162" spans="2:18" x14ac:dyDescent="0.3">
      <c r="B162" s="361">
        <v>45044</v>
      </c>
      <c r="C162" s="41">
        <v>1</v>
      </c>
      <c r="D162" s="362">
        <v>5</v>
      </c>
      <c r="E162" s="363">
        <v>2334</v>
      </c>
      <c r="F162" s="364">
        <v>20309151489</v>
      </c>
      <c r="G162" s="365" t="str">
        <f>IFERROR(IF(compras_mes4[[#This Row],[CUIT]]="","-",VLOOKUP(compras_mes4[[#This Row],[CUIT]],Lista_CUIT[#All],2,0)),"CUIT NO CARGADO")</f>
        <v>GOMEZ FERNANDO ALBERTO</v>
      </c>
      <c r="H162" s="366">
        <v>7884.3</v>
      </c>
      <c r="I162" s="367">
        <f>IF(compras_mes4[[#This Row],[NETO GRAVADO]]="","",compras_mes4[[#This Row],[NETO GRAVADO]]*0.21)</f>
        <v>1655.703</v>
      </c>
      <c r="J162" s="367"/>
      <c r="K162" s="367"/>
      <c r="L162" s="367"/>
      <c r="M162" s="367"/>
      <c r="N162" s="367"/>
      <c r="O162" s="367"/>
      <c r="P162" s="368">
        <f>SUM(compras_mes4[[#This Row],[NETO GRAVADO]:[Otros / No Grav.]])</f>
        <v>9540.0030000000006</v>
      </c>
      <c r="Q162" s="369">
        <f>IFERROR(IF(compras_mes4[[#This Row],[CUIT]]="","-",VLOOKUP(compras_mes4[[#This Row],[CUIT]],Lista_CUIT[#All],3,0)),"CUIT NO CARGADO")</f>
        <v>0</v>
      </c>
      <c r="R162" s="369">
        <f>IFERROR(IF(compras_mes4[[#This Row],[CUIT]]="","-",VLOOKUP(compras_mes4[[#This Row],[CUIT]],Lista_CUIT[#All],4,0)),"CUIT NO CARGADO")</f>
        <v>0</v>
      </c>
    </row>
    <row r="163" spans="2:18" x14ac:dyDescent="0.3">
      <c r="B163" s="40">
        <v>45044</v>
      </c>
      <c r="C163" s="41">
        <v>1</v>
      </c>
      <c r="D163" s="42">
        <v>6</v>
      </c>
      <c r="E163" s="43">
        <v>3284</v>
      </c>
      <c r="F163" s="44">
        <v>20134664518</v>
      </c>
      <c r="G163" s="45" t="str">
        <f>IFERROR(IF(compras_mes4[[#This Row],[CUIT]]="","-",VLOOKUP(compras_mes4[[#This Row],[CUIT]],Lista_CUIT[#All],2,0)),"CUIT NO CARGADO")</f>
        <v>HOKAMA SERGIO ENRIQUE</v>
      </c>
      <c r="H163" s="46">
        <v>14510.33</v>
      </c>
      <c r="I163" s="85">
        <f>IF(compras_mes4[[#This Row],[NETO GRAVADO]]="","",compras_mes4[[#This Row],[NETO GRAVADO]]*0.21)</f>
        <v>3047.1693</v>
      </c>
      <c r="J163" s="85"/>
      <c r="K163" s="85"/>
      <c r="L163" s="85"/>
      <c r="M163" s="85"/>
      <c r="N163" s="85"/>
      <c r="O163" s="85"/>
      <c r="P163" s="48">
        <f>SUM(compras_mes4[[#This Row],[NETO GRAVADO]:[Otros / No Grav.]])</f>
        <v>17557.499299999999</v>
      </c>
      <c r="Q163" s="49" t="str">
        <f>IFERROR(IF(compras_mes4[[#This Row],[CUIT]]="","-",VLOOKUP(compras_mes4[[#This Row],[CUIT]],Lista_CUIT[#All],3,0)),"CUIT NO CARGADO")</f>
        <v>Gastos Varios</v>
      </c>
      <c r="R163" s="49" t="str">
        <f>IFERROR(IF(compras_mes4[[#This Row],[CUIT]]="","-",VLOOKUP(compras_mes4[[#This Row],[CUIT]],Lista_CUIT[#All],4,0)),"CUIT NO CARGADO")</f>
        <v>BUENOS AIRES</v>
      </c>
    </row>
    <row r="164" spans="2:18" x14ac:dyDescent="0.3">
      <c r="B164" s="361">
        <v>45044</v>
      </c>
      <c r="C164" s="41">
        <v>1</v>
      </c>
      <c r="D164" s="362">
        <v>2</v>
      </c>
      <c r="E164" s="363">
        <v>3327</v>
      </c>
      <c r="F164" s="364">
        <v>30629863571</v>
      </c>
      <c r="G164" s="365" t="str">
        <f>IFERROR(IF(compras_mes4[[#This Row],[CUIT]]="","-",VLOOKUP(compras_mes4[[#This Row],[CUIT]],Lista_CUIT[#All],2,0)),"CUIT NO CARGADO")</f>
        <v>TECNIMAR S R L</v>
      </c>
      <c r="H164" s="366">
        <v>233208</v>
      </c>
      <c r="I164" s="367">
        <f>IF(compras_mes4[[#This Row],[NETO GRAVADO]]="","",compras_mes4[[#This Row],[NETO GRAVADO]]*0.21)</f>
        <v>48973.68</v>
      </c>
      <c r="J164" s="367"/>
      <c r="K164" s="367"/>
      <c r="L164" s="367"/>
      <c r="M164" s="367"/>
      <c r="N164" s="367"/>
      <c r="O164" s="367"/>
      <c r="P164" s="368">
        <f>SUM(compras_mes4[[#This Row],[NETO GRAVADO]:[Otros / No Grav.]])</f>
        <v>282181.68</v>
      </c>
      <c r="Q164" s="369" t="str">
        <f>IFERROR(IF(compras_mes4[[#This Row],[CUIT]]="","-",VLOOKUP(compras_mes4[[#This Row],[CUIT]],Lista_CUIT[#All],3,0)),"CUIT NO CARGADO")</f>
        <v>LABORATORIO</v>
      </c>
      <c r="R164" s="369">
        <f>IFERROR(IF(compras_mes4[[#This Row],[CUIT]]="","-",VLOOKUP(compras_mes4[[#This Row],[CUIT]],Lista_CUIT[#All],4,0)),"CUIT NO CARGADO")</f>
        <v>0</v>
      </c>
    </row>
    <row r="165" spans="2:18" x14ac:dyDescent="0.3">
      <c r="B165" s="361">
        <v>45044</v>
      </c>
      <c r="C165" s="41">
        <v>1</v>
      </c>
      <c r="D165" s="362">
        <v>20</v>
      </c>
      <c r="E165" s="363">
        <v>8467</v>
      </c>
      <c r="F165" s="364">
        <v>30515800219</v>
      </c>
      <c r="G165" s="365" t="str">
        <f>IFERROR(IF(compras_mes4[[#This Row],[CUIT]]="","-",VLOOKUP(compras_mes4[[#This Row],[CUIT]],Lista_CUIT[#All],2,0)),"CUIT NO CARGADO")</f>
        <v>INCAT SRL</v>
      </c>
      <c r="H165" s="366">
        <v>815.02</v>
      </c>
      <c r="I165" s="367">
        <f>IF(compras_mes4[[#This Row],[NETO GRAVADO]]="","",compras_mes4[[#This Row],[NETO GRAVADO]]*0.21)</f>
        <v>171.1542</v>
      </c>
      <c r="J165" s="367"/>
      <c r="K165" s="367"/>
      <c r="L165" s="367"/>
      <c r="M165" s="367"/>
      <c r="N165" s="367"/>
      <c r="O165" s="367">
        <v>13.83</v>
      </c>
      <c r="P165" s="368">
        <f>SUM(compras_mes4[[#This Row],[NETO GRAVADO]:[Otros / No Grav.]])</f>
        <v>1000.0042</v>
      </c>
      <c r="Q165" s="369" t="str">
        <f>IFERROR(IF(compras_mes4[[#This Row],[CUIT]]="","-",VLOOKUP(compras_mes4[[#This Row],[CUIT]],Lista_CUIT[#All],3,0)),"CUIT NO CARGADO")</f>
        <v>Combustibe</v>
      </c>
      <c r="R165" s="369" t="str">
        <f>IFERROR(IF(compras_mes4[[#This Row],[CUIT]]="","-",VLOOKUP(compras_mes4[[#This Row],[CUIT]],Lista_CUIT[#All],4,0)),"CUIT NO CARGADO")</f>
        <v>CABA</v>
      </c>
    </row>
    <row r="166" spans="2:18" x14ac:dyDescent="0.3">
      <c r="B166" s="361">
        <v>45044</v>
      </c>
      <c r="C166" s="41">
        <v>1</v>
      </c>
      <c r="D166" s="362">
        <v>2188</v>
      </c>
      <c r="E166" s="363">
        <v>88535</v>
      </c>
      <c r="F166" s="364">
        <v>30548083156</v>
      </c>
      <c r="G166" s="365" t="str">
        <f>IFERROR(IF(compras_mes4[[#This Row],[CUIT]]="","-",VLOOKUP(compras_mes4[[#This Row],[CUIT]],Lista_CUIT[#All],2,0)),"CUIT NO CARGADO")</f>
        <v>COTO CENTRO INTEGRAL DE COMERCIALIZACION SOCIEDAD ANONIMA</v>
      </c>
      <c r="H166" s="366">
        <v>13114.58</v>
      </c>
      <c r="I166" s="367">
        <v>2049.36</v>
      </c>
      <c r="J166" s="367"/>
      <c r="K166" s="367">
        <v>352.35</v>
      </c>
      <c r="L166" s="367"/>
      <c r="M166" s="367"/>
      <c r="N166" s="367"/>
      <c r="O166" s="367">
        <v>936.78</v>
      </c>
      <c r="P166" s="368">
        <f>SUM(compras_mes4[[#This Row],[NETO GRAVADO]:[Otros / No Grav.]])</f>
        <v>16453.07</v>
      </c>
      <c r="Q166" s="369" t="str">
        <f>IFERROR(IF(compras_mes4[[#This Row],[CUIT]]="","-",VLOOKUP(compras_mes4[[#This Row],[CUIT]],Lista_CUIT[#All],3,0)),"CUIT NO CARGADO")</f>
        <v>GASTOS COMERCIALES</v>
      </c>
      <c r="R166" s="369">
        <f>IFERROR(IF(compras_mes4[[#This Row],[CUIT]]="","-",VLOOKUP(compras_mes4[[#This Row],[CUIT]],Lista_CUIT[#All],4,0)),"CUIT NO CARGADO")</f>
        <v>0</v>
      </c>
    </row>
    <row r="167" spans="2:18" x14ac:dyDescent="0.3">
      <c r="B167" s="361">
        <v>45044</v>
      </c>
      <c r="C167" s="41">
        <v>1</v>
      </c>
      <c r="D167" s="362">
        <v>2188</v>
      </c>
      <c r="E167" s="363">
        <v>88539</v>
      </c>
      <c r="F167" s="364">
        <v>30548083156</v>
      </c>
      <c r="G167" s="365" t="str">
        <f>IFERROR(IF(compras_mes4[[#This Row],[CUIT]]="","-",VLOOKUP(compras_mes4[[#This Row],[CUIT]],Lista_CUIT[#All],2,0)),"CUIT NO CARGADO")</f>
        <v>COTO CENTRO INTEGRAL DE COMERCIALIZACION SOCIEDAD ANONIMA</v>
      </c>
      <c r="H167" s="366">
        <v>6884.15</v>
      </c>
      <c r="I167" s="367">
        <f>IF(compras_mes4[[#This Row],[NETO GRAVADO]]="","",compras_mes4[[#This Row],[NETO GRAVADO]]*0.21)</f>
        <v>1445.6714999999999</v>
      </c>
      <c r="J167" s="367"/>
      <c r="K167" s="367"/>
      <c r="L167" s="367"/>
      <c r="M167" s="367"/>
      <c r="N167" s="367"/>
      <c r="O167" s="367">
        <v>619.57000000000005</v>
      </c>
      <c r="P167" s="368">
        <f>SUM(compras_mes4[[#This Row],[NETO GRAVADO]:[Otros / No Grav.]])</f>
        <v>8949.3914999999997</v>
      </c>
      <c r="Q167" s="369" t="str">
        <f>IFERROR(IF(compras_mes4[[#This Row],[CUIT]]="","-",VLOOKUP(compras_mes4[[#This Row],[CUIT]],Lista_CUIT[#All],3,0)),"CUIT NO CARGADO")</f>
        <v>GASTOS COMERCIALES</v>
      </c>
      <c r="R167" s="369">
        <f>IFERROR(IF(compras_mes4[[#This Row],[CUIT]]="","-",VLOOKUP(compras_mes4[[#This Row],[CUIT]],Lista_CUIT[#All],4,0)),"CUIT NO CARGADO")</f>
        <v>0</v>
      </c>
    </row>
    <row r="168" spans="2:18" x14ac:dyDescent="0.3">
      <c r="B168" s="387">
        <v>45044</v>
      </c>
      <c r="C168" s="250">
        <v>1</v>
      </c>
      <c r="D168" s="388">
        <v>3034</v>
      </c>
      <c r="E168" s="389">
        <v>3619548</v>
      </c>
      <c r="F168" s="390">
        <v>30708574836</v>
      </c>
      <c r="G168" s="391" t="str">
        <f>IFERROR(IF(compras_mes4[[#This Row],[CUIT]]="","-",VLOOKUP(compras_mes4[[#This Row],[CUIT]],Lista_CUIT[#All],2,0)),"CUIT NO CARGADO")</f>
        <v>CORREO OFICIAL DE LA REPUBLICA ARGENTINA SOCIEDAD ANONIMA</v>
      </c>
      <c r="H168" s="392">
        <v>953.42</v>
      </c>
      <c r="I168" s="393">
        <f>IF(compras_mes4[[#This Row],[NETO GRAVADO]]="","",compras_mes4[[#This Row],[NETO GRAVADO]]*0.21)</f>
        <v>200.2182</v>
      </c>
      <c r="J168" s="393"/>
      <c r="K168" s="393"/>
      <c r="L168" s="393"/>
      <c r="M168" s="393"/>
      <c r="N168" s="393"/>
      <c r="O168" s="393"/>
      <c r="P168" s="394">
        <f>SUM(compras_mes4[[#This Row],[NETO GRAVADO]:[Otros / No Grav.]])</f>
        <v>1153.6381999999999</v>
      </c>
      <c r="Q168" s="395" t="str">
        <f>IFERROR(IF(compras_mes4[[#This Row],[CUIT]]="","-",VLOOKUP(compras_mes4[[#This Row],[CUIT]],Lista_CUIT[#All],3,0)),"CUIT NO CARGADO")</f>
        <v>MESAJERIA</v>
      </c>
      <c r="R168" s="395">
        <f>IFERROR(IF(compras_mes4[[#This Row],[CUIT]]="","-",VLOOKUP(compras_mes4[[#This Row],[CUIT]],Lista_CUIT[#All],4,0)),"CUIT NO CARGADO")</f>
        <v>0</v>
      </c>
    </row>
    <row r="169" spans="2:18" x14ac:dyDescent="0.3">
      <c r="B169" s="361">
        <v>45045</v>
      </c>
      <c r="C169" s="41">
        <v>1</v>
      </c>
      <c r="D169" s="362">
        <v>2199</v>
      </c>
      <c r="E169" s="363">
        <v>21736</v>
      </c>
      <c r="F169" s="364">
        <v>30548083156</v>
      </c>
      <c r="G169" s="365" t="str">
        <f>IFERROR(IF(compras_mes4[[#This Row],[CUIT]]="","-",VLOOKUP(compras_mes4[[#This Row],[CUIT]],Lista_CUIT[#All],2,0)),"CUIT NO CARGADO")</f>
        <v>COTO CENTRO INTEGRAL DE COMERCIALIZACION SOCIEDAD ANONIMA</v>
      </c>
      <c r="H169" s="366">
        <v>15392.52</v>
      </c>
      <c r="I169" s="367">
        <v>1524.8</v>
      </c>
      <c r="J169" s="367"/>
      <c r="K169" s="367">
        <v>853.82</v>
      </c>
      <c r="L169" s="367">
        <v>116.1</v>
      </c>
      <c r="M169" s="367">
        <v>192.33</v>
      </c>
      <c r="N169" s="367">
        <v>669.72</v>
      </c>
      <c r="O169" s="367"/>
      <c r="P169" s="368">
        <f>SUM(compras_mes4[[#This Row],[NETO GRAVADO]:[Otros / No Grav.]])</f>
        <v>18749.29</v>
      </c>
      <c r="Q169" s="369" t="str">
        <f>IFERROR(IF(compras_mes4[[#This Row],[CUIT]]="","-",VLOOKUP(compras_mes4[[#This Row],[CUIT]],Lista_CUIT[#All],3,0)),"CUIT NO CARGADO")</f>
        <v>GASTOS COMERCIALES</v>
      </c>
      <c r="R169" s="369">
        <f>IFERROR(IF(compras_mes4[[#This Row],[CUIT]]="","-",VLOOKUP(compras_mes4[[#This Row],[CUIT]],Lista_CUIT[#All],4,0)),"CUIT NO CARGADO")</f>
        <v>0</v>
      </c>
    </row>
    <row r="170" spans="2:18" x14ac:dyDescent="0.3">
      <c r="B170" s="387">
        <v>45045</v>
      </c>
      <c r="C170" s="250">
        <v>1</v>
      </c>
      <c r="D170" s="388">
        <v>12</v>
      </c>
      <c r="E170" s="389">
        <v>23117</v>
      </c>
      <c r="F170" s="390">
        <v>30696131003</v>
      </c>
      <c r="G170" s="391" t="str">
        <f>IFERROR(IF(compras_mes4[[#This Row],[CUIT]]="","-",VLOOKUP(compras_mes4[[#This Row],[CUIT]],Lista_CUIT[#All],2,0)),"CUIT NO CARGADO")</f>
        <v>Petrolfe S.A.</v>
      </c>
      <c r="H170" s="392">
        <v>15568.57</v>
      </c>
      <c r="I170" s="393">
        <f>IF(compras_mes4[[#This Row],[NETO GRAVADO]]="","",compras_mes4[[#This Row],[NETO GRAVADO]]*0.21)</f>
        <v>3269.3996999999999</v>
      </c>
      <c r="J170" s="393"/>
      <c r="K170" s="393"/>
      <c r="L170" s="393"/>
      <c r="M170" s="393"/>
      <c r="N170" s="393"/>
      <c r="O170" s="393">
        <v>3262.54</v>
      </c>
      <c r="P170" s="394">
        <f>SUM(compras_mes4[[#This Row],[NETO GRAVADO]:[Otros / No Grav.]])</f>
        <v>22100.509700000002</v>
      </c>
      <c r="Q170" s="395" t="str">
        <f>IFERROR(IF(compras_mes4[[#This Row],[CUIT]]="","-",VLOOKUP(compras_mes4[[#This Row],[CUIT]],Lista_CUIT[#All],3,0)),"CUIT NO CARGADO")</f>
        <v>Combustible</v>
      </c>
      <c r="R170" s="369">
        <f>IFERROR(IF(compras_mes4[[#This Row],[CUIT]]="","-",VLOOKUP(compras_mes4[[#This Row],[CUIT]],Lista_CUIT[#All],4,0)),"CUIT NO CARGADO")</f>
        <v>0</v>
      </c>
    </row>
    <row r="171" spans="2:18" x14ac:dyDescent="0.3">
      <c r="B171" s="361">
        <v>45045</v>
      </c>
      <c r="C171" s="41">
        <v>1</v>
      </c>
      <c r="D171" s="362">
        <v>27</v>
      </c>
      <c r="E171" s="363">
        <v>1197094</v>
      </c>
      <c r="F171" s="364">
        <v>30703088534</v>
      </c>
      <c r="G171" s="365" t="str">
        <f>IFERROR(IF(compras_mes4[[#This Row],[CUIT]]="","-",VLOOKUP(compras_mes4[[#This Row],[CUIT]],Lista_CUIT[#All],2,0)),"CUIT NO CARGADO")</f>
        <v>MERCADO LIBRE SRL</v>
      </c>
      <c r="H171" s="366">
        <v>329915.71000000002</v>
      </c>
      <c r="I171" s="367">
        <f>IF(compras_mes4[[#This Row],[NETO GRAVADO]]="","",compras_mes4[[#This Row],[NETO GRAVADO]]*0.21)</f>
        <v>69282.299100000004</v>
      </c>
      <c r="J171" s="367"/>
      <c r="K171" s="367"/>
      <c r="L171" s="367"/>
      <c r="M171" s="367"/>
      <c r="N171" s="367"/>
      <c r="O171" s="367">
        <v>32991.57</v>
      </c>
      <c r="P171" s="368">
        <f>SUM(compras_mes4[[#This Row],[NETO GRAVADO]:[Otros / No Grav.]])</f>
        <v>432189.57910000003</v>
      </c>
      <c r="Q171" s="369" t="str">
        <f>IFERROR(IF(compras_mes4[[#This Row],[CUIT]]="","-",VLOOKUP(compras_mes4[[#This Row],[CUIT]],Lista_CUIT[#All],3,0)),"CUIT NO CARGADO")</f>
        <v>Gastos Varios</v>
      </c>
      <c r="R171" s="369" t="str">
        <f>IFERROR(IF(compras_mes4[[#This Row],[CUIT]]="","-",VLOOKUP(compras_mes4[[#This Row],[CUIT]],Lista_CUIT[#All],4,0)),"CUIT NO CARGADO")</f>
        <v>CABA</v>
      </c>
    </row>
    <row r="172" spans="2:18" x14ac:dyDescent="0.3">
      <c r="B172" s="387">
        <v>45046</v>
      </c>
      <c r="C172" s="250">
        <v>1</v>
      </c>
      <c r="D172" s="388">
        <v>50</v>
      </c>
      <c r="E172" s="389">
        <v>3073560</v>
      </c>
      <c r="F172" s="390">
        <v>30714112836</v>
      </c>
      <c r="G172" s="391" t="str">
        <f>IFERROR(IF(compras_mes4[[#This Row],[CUIT]]="","-",VLOOKUP(compras_mes4[[#This Row],[CUIT]],Lista_CUIT[#All],2,0)),"CUIT NO CARGADO")</f>
        <v>AUTOPISTAS DE BS AS</v>
      </c>
      <c r="H172" s="392">
        <v>3185.95</v>
      </c>
      <c r="I172" s="393">
        <f>IF(compras_mes4[[#This Row],[NETO GRAVADO]]="","",compras_mes4[[#This Row],[NETO GRAVADO]]*0.21)</f>
        <v>669.04949999999997</v>
      </c>
      <c r="J172" s="393"/>
      <c r="K172" s="393"/>
      <c r="L172" s="393"/>
      <c r="M172" s="393"/>
      <c r="N172" s="393"/>
      <c r="O172" s="393">
        <v>95.58</v>
      </c>
      <c r="P172" s="394">
        <f>SUM(compras_mes4[[#This Row],[NETO GRAVADO]:[Otros / No Grav.]])</f>
        <v>3950.5794999999998</v>
      </c>
      <c r="Q172" s="395">
        <f>IFERROR(IF(compras_mes4[[#This Row],[CUIT]]="","-",VLOOKUP(compras_mes4[[#This Row],[CUIT]],Lista_CUIT[#All],3,0)),"CUIT NO CARGADO")</f>
        <v>0</v>
      </c>
      <c r="R172" s="395">
        <f>IFERROR(IF(compras_mes4[[#This Row],[CUIT]]="","-",VLOOKUP(compras_mes4[[#This Row],[CUIT]],Lista_CUIT[#All],4,0)),"CUIT NO CARGADO")</f>
        <v>0</v>
      </c>
    </row>
    <row r="173" spans="2:18" ht="19.2" customHeight="1" x14ac:dyDescent="0.3">
      <c r="B173" s="96" t="s">
        <v>103</v>
      </c>
      <c r="C173" s="96"/>
      <c r="D173" s="96"/>
      <c r="E173" s="96"/>
      <c r="F173" s="96"/>
      <c r="G173" s="97"/>
      <c r="H173" s="98">
        <f>SUBTOTAL(109,compras_mes4[NETO GRAVADO])</f>
        <v>11541319.720000003</v>
      </c>
      <c r="I173" s="98">
        <f>SUBTOTAL(109,compras_mes4[IVA 21 %])</f>
        <v>2389331.0672000009</v>
      </c>
      <c r="J173" s="98">
        <f>SUBTOTAL(109,compras_mes4[IVA 27%])</f>
        <v>5211.7800000000007</v>
      </c>
      <c r="K173" s="98">
        <f>SUBTOTAL(109,compras_mes4[IVA 10,5%])</f>
        <v>15309.060000000001</v>
      </c>
      <c r="L173" s="98">
        <f>SUBTOTAL(109,compras_mes4[PERC. IVA])</f>
        <v>2690.8399999999997</v>
      </c>
      <c r="M173" s="98">
        <f>SUBTOTAL(109,compras_mes4[PERC IIBB 
BS AS])</f>
        <v>2064.6</v>
      </c>
      <c r="N173" s="98">
        <f>SUBTOTAL(109,compras_mes4[PERC. IIBB CABA])</f>
        <v>50484.21</v>
      </c>
      <c r="O173" s="98">
        <f>SUBTOTAL(109,compras_mes4[Otros / No Grav.])</f>
        <v>271290.53000000003</v>
      </c>
      <c r="P173" s="98">
        <f>SUBTOTAL(109,compras_mes4[TOTAL])</f>
        <v>14277701.807200002</v>
      </c>
      <c r="Q173" s="96"/>
      <c r="R173" s="96"/>
    </row>
    <row r="174" spans="2:18" ht="19.2" customHeight="1" x14ac:dyDescent="0.3">
      <c r="B174" s="40"/>
      <c r="C174" s="41"/>
      <c r="D174" s="42"/>
      <c r="E174" s="43"/>
      <c r="F174" s="44"/>
      <c r="G174" s="45"/>
      <c r="H174" s="46"/>
      <c r="I174" s="47"/>
      <c r="J174" s="47"/>
      <c r="K174" s="47"/>
      <c r="L174" s="47"/>
    </row>
    <row r="175" spans="2:18" ht="19.2" customHeight="1" x14ac:dyDescent="0.3">
      <c r="D175" s="653" t="s">
        <v>15</v>
      </c>
      <c r="E175" s="653"/>
      <c r="F175" s="653"/>
      <c r="G175" s="653"/>
      <c r="H175" s="653"/>
      <c r="I175" s="653"/>
      <c r="J175" s="653"/>
      <c r="K175" s="653"/>
      <c r="L175" s="653"/>
    </row>
    <row r="176" spans="2:18" ht="19.2" customHeight="1" x14ac:dyDescent="0.3">
      <c r="D176" s="73" t="s">
        <v>0</v>
      </c>
      <c r="E176" s="74" t="s">
        <v>26</v>
      </c>
      <c r="F176" s="74" t="s">
        <v>16</v>
      </c>
      <c r="G176" s="74" t="s">
        <v>5</v>
      </c>
      <c r="H176" s="74" t="s">
        <v>17</v>
      </c>
      <c r="I176" s="74" t="s">
        <v>7</v>
      </c>
      <c r="J176" s="75" t="s">
        <v>18</v>
      </c>
      <c r="K176" s="75" t="s">
        <v>19</v>
      </c>
      <c r="L176" s="76" t="s">
        <v>20</v>
      </c>
    </row>
    <row r="177" spans="4:12" ht="19.2" customHeight="1" x14ac:dyDescent="0.3">
      <c r="D177" s="50">
        <v>45044</v>
      </c>
      <c r="E177" s="270">
        <v>280423</v>
      </c>
      <c r="F177" s="207" t="s">
        <v>115</v>
      </c>
      <c r="G177" s="81">
        <v>26852.33</v>
      </c>
      <c r="H177" s="81">
        <v>5752.95</v>
      </c>
      <c r="I177" s="81"/>
      <c r="J177" s="81">
        <v>873</v>
      </c>
      <c r="K177" s="81">
        <v>436.5</v>
      </c>
      <c r="L177" s="81"/>
    </row>
    <row r="178" spans="4:12" ht="19.2" customHeight="1" x14ac:dyDescent="0.3">
      <c r="D178" s="50">
        <v>45039</v>
      </c>
      <c r="E178" s="270">
        <v>230423</v>
      </c>
      <c r="F178" s="207" t="s">
        <v>1598</v>
      </c>
      <c r="G178" s="81">
        <v>20995</v>
      </c>
      <c r="H178" s="81">
        <v>4408.95</v>
      </c>
      <c r="I178" s="81"/>
      <c r="J178" s="81"/>
      <c r="K178" s="81">
        <v>629.85</v>
      </c>
      <c r="L178" s="81"/>
    </row>
    <row r="179" spans="4:12" ht="19.2" customHeight="1" x14ac:dyDescent="0.3">
      <c r="D179" s="50">
        <v>45043</v>
      </c>
      <c r="E179" s="270">
        <v>270423</v>
      </c>
      <c r="F179" s="207" t="s">
        <v>116</v>
      </c>
      <c r="G179" s="81">
        <v>720.55</v>
      </c>
      <c r="H179" s="81">
        <v>151.32</v>
      </c>
      <c r="I179" s="81"/>
      <c r="J179" s="81">
        <v>4020.68</v>
      </c>
      <c r="K179" s="81"/>
      <c r="L179" s="81"/>
    </row>
    <row r="180" spans="4:12" ht="19.2" customHeight="1" x14ac:dyDescent="0.3">
      <c r="D180" s="50">
        <v>45043</v>
      </c>
      <c r="E180" s="270">
        <v>402327</v>
      </c>
      <c r="F180" s="80" t="s">
        <v>1600</v>
      </c>
      <c r="G180" s="81">
        <v>850</v>
      </c>
      <c r="H180" s="81">
        <v>178.5</v>
      </c>
      <c r="I180" s="81"/>
      <c r="J180" s="81"/>
      <c r="K180" s="81"/>
      <c r="L180" s="81"/>
    </row>
    <row r="181" spans="4:12" ht="19.2" customHeight="1" x14ac:dyDescent="0.3">
      <c r="D181" s="50">
        <v>45042</v>
      </c>
      <c r="E181" s="270">
        <v>260423</v>
      </c>
      <c r="F181" s="80" t="s">
        <v>118</v>
      </c>
      <c r="G181" s="81">
        <v>5982</v>
      </c>
      <c r="H181" s="81">
        <v>1256.22</v>
      </c>
      <c r="I181" s="81"/>
      <c r="J181" s="81">
        <v>337.5</v>
      </c>
      <c r="K181" s="81">
        <v>168.75</v>
      </c>
      <c r="L181" s="81"/>
    </row>
    <row r="182" spans="4:12" ht="19.2" customHeight="1" x14ac:dyDescent="0.3">
      <c r="D182" s="50">
        <v>45042</v>
      </c>
      <c r="E182" s="270">
        <v>232604</v>
      </c>
      <c r="F182" s="80" t="s">
        <v>1742</v>
      </c>
      <c r="G182" s="81">
        <v>351295.9</v>
      </c>
      <c r="H182" s="81">
        <v>27083.06</v>
      </c>
      <c r="I182" s="81">
        <v>23344.54</v>
      </c>
      <c r="J182" s="81">
        <v>340466.52</v>
      </c>
      <c r="K182" s="81">
        <v>4712.74</v>
      </c>
      <c r="L182" s="81">
        <v>626.5</v>
      </c>
    </row>
    <row r="183" spans="4:12" ht="16.5" customHeight="1" x14ac:dyDescent="0.3">
      <c r="D183" s="396" t="s">
        <v>103</v>
      </c>
      <c r="E183" s="397"/>
      <c r="F183" s="397"/>
      <c r="G183" s="398">
        <f>SUBTOTAL(109,extracto_banco_mes4[NETO])</f>
        <v>406695.78</v>
      </c>
      <c r="H183" s="398">
        <f>SUBTOTAL(109,extracto_banco_mes4[IVA 21%])</f>
        <v>38831</v>
      </c>
      <c r="I183" s="398">
        <f>SUBTOTAL(109,extracto_banco_mes4[IVA 10,5%])</f>
        <v>23344.54</v>
      </c>
      <c r="J183" s="398">
        <f>SUBTOTAL(109,extracto_banco_mes4[RET IIBB CABA])</f>
        <v>345697.7</v>
      </c>
      <c r="K183" s="398">
        <f>SUBTOTAL(109,extracto_banco_mes4[PERC IVA])</f>
        <v>5947.84</v>
      </c>
      <c r="L183" s="398">
        <f>SUBTOTAL(109,extracto_banco_mes4[PERC IIBB])</f>
        <v>626.5</v>
      </c>
    </row>
    <row r="186" spans="4:12" ht="21" x14ac:dyDescent="0.3">
      <c r="D186" s="653" t="s">
        <v>1141</v>
      </c>
      <c r="E186" s="653"/>
      <c r="F186" s="653"/>
      <c r="G186" s="653"/>
      <c r="H186" s="653"/>
      <c r="I186" s="653"/>
      <c r="J186" s="653"/>
      <c r="K186" s="653"/>
    </row>
    <row r="187" spans="4:12" x14ac:dyDescent="0.3">
      <c r="D187" s="51" t="s">
        <v>0</v>
      </c>
      <c r="E187" s="51" t="s">
        <v>2</v>
      </c>
      <c r="F187" s="51" t="s">
        <v>74</v>
      </c>
      <c r="G187" s="51" t="s">
        <v>3</v>
      </c>
      <c r="H187" s="51" t="s">
        <v>4</v>
      </c>
      <c r="I187" s="52" t="s">
        <v>10</v>
      </c>
      <c r="J187" s="51" t="s">
        <v>13</v>
      </c>
      <c r="K187" s="51" t="s">
        <v>38</v>
      </c>
    </row>
    <row r="188" spans="4:12" x14ac:dyDescent="0.3">
      <c r="D188" s="50">
        <v>45031</v>
      </c>
      <c r="E188" s="42">
        <v>1</v>
      </c>
      <c r="F188" s="149">
        <v>26</v>
      </c>
      <c r="G188" s="119">
        <v>30717504824</v>
      </c>
      <c r="H188" s="53" t="str">
        <f>IFERROR(IF(factura_c_mes4[[#This Row],[CUIT]]="","-",VLOOKUP(factura_c_mes4[[#This Row],[CUIT]],Lista_CUIT[#All],2,0)),"CUIT NO CARGADO")</f>
        <v>FIDEICOMISO MAMBA</v>
      </c>
      <c r="I188" s="269">
        <v>611800</v>
      </c>
      <c r="J188" s="54">
        <f>IFERROR(IF(factura_c_mes4[[#This Row],[CUIT]]="","-",VLOOKUP(factura_c_mes4[[#This Row],[CUIT]],Lista_CUIT[#All],3,0)),"CUIT NO CARGADO")</f>
        <v>0</v>
      </c>
      <c r="K188" s="54">
        <f>IFERROR(IF(factura_c_mes4[[#This Row],[CUIT]]="","-",VLOOKUP(factura_c_mes4[[#This Row],[CUIT]],Lista_CUIT[#All],4,0)),"CUIT NO CARGADO")</f>
        <v>0</v>
      </c>
    </row>
    <row r="189" spans="4:12" x14ac:dyDescent="0.3">
      <c r="D189" s="50">
        <v>45018</v>
      </c>
      <c r="E189" s="42">
        <v>3</v>
      </c>
      <c r="F189" s="149">
        <v>288</v>
      </c>
      <c r="G189" s="119">
        <v>20173025557</v>
      </c>
      <c r="H189" s="53" t="str">
        <f>IFERROR(IF(factura_c_mes4[[#This Row],[CUIT]]="","-",VLOOKUP(factura_c_mes4[[#This Row],[CUIT]],Lista_CUIT[#All],2,0)),"CUIT NO CARGADO")</f>
        <v>MARAUDA HECTOR</v>
      </c>
      <c r="I189" s="269">
        <v>1200</v>
      </c>
      <c r="J189" s="54">
        <f>IFERROR(IF(factura_c_mes4[[#This Row],[CUIT]]="","-",VLOOKUP(factura_c_mes4[[#This Row],[CUIT]],Lista_CUIT[#All],3,0)),"CUIT NO CARGADO")</f>
        <v>0</v>
      </c>
      <c r="K189" s="54">
        <f>IFERROR(IF(factura_c_mes4[[#This Row],[CUIT]]="","-",VLOOKUP(factura_c_mes4[[#This Row],[CUIT]],Lista_CUIT[#All],4,0)),"CUIT NO CARGADO")</f>
        <v>0</v>
      </c>
    </row>
    <row r="190" spans="4:12" x14ac:dyDescent="0.3">
      <c r="D190" s="50">
        <v>45019</v>
      </c>
      <c r="E190" s="42">
        <v>3</v>
      </c>
      <c r="F190" s="149">
        <v>712</v>
      </c>
      <c r="G190" s="119">
        <v>20086277523</v>
      </c>
      <c r="H190" s="53" t="str">
        <f>IFERROR(IF(factura_c_mes4[[#This Row],[CUIT]]="","-",VLOOKUP(factura_c_mes4[[#This Row],[CUIT]],Lista_CUIT[#All],2,0)),"CUIT NO CARGADO")</f>
        <v>BOTINDARI JUAN CARLOS</v>
      </c>
      <c r="I190" s="269">
        <v>60000</v>
      </c>
      <c r="J190" s="54" t="str">
        <f>IFERROR(IF(factura_c_mes4[[#This Row],[CUIT]]="","-",VLOOKUP(factura_c_mes4[[#This Row],[CUIT]],Lista_CUIT[#All],3,0)),"CUIT NO CARGADO")</f>
        <v>HONORARIOS</v>
      </c>
      <c r="K190" s="54" t="str">
        <f>IFERROR(IF(factura_c_mes4[[#This Row],[CUIT]]="","-",VLOOKUP(factura_c_mes4[[#This Row],[CUIT]],Lista_CUIT[#All],4,0)),"CUIT NO CARGADO")</f>
        <v>CABA</v>
      </c>
    </row>
    <row r="191" spans="4:12" x14ac:dyDescent="0.3">
      <c r="D191" s="50">
        <v>45019</v>
      </c>
      <c r="E191" s="42">
        <v>8</v>
      </c>
      <c r="F191" s="149">
        <v>271</v>
      </c>
      <c r="G191" s="119">
        <v>27409592487</v>
      </c>
      <c r="H191" s="53" t="str">
        <f>IFERROR(IF(factura_c_mes4[[#This Row],[CUIT]]="","-",VLOOKUP(factura_c_mes4[[#This Row],[CUIT]],Lista_CUIT[#All],2,0)),"CUIT NO CARGADO")</f>
        <v>BAUDONE ANTONELLA AGOSTINA</v>
      </c>
      <c r="I191" s="269">
        <v>25200</v>
      </c>
      <c r="J191" s="54">
        <f>IFERROR(IF(factura_c_mes4[[#This Row],[CUIT]]="","-",VLOOKUP(factura_c_mes4[[#This Row],[CUIT]],Lista_CUIT[#All],3,0)),"CUIT NO CARGADO")</f>
        <v>0</v>
      </c>
      <c r="K191" s="54">
        <f>IFERROR(IF(factura_c_mes4[[#This Row],[CUIT]]="","-",VLOOKUP(factura_c_mes4[[#This Row],[CUIT]],Lista_CUIT[#All],4,0)),"CUIT NO CARGADO")</f>
        <v>0</v>
      </c>
    </row>
    <row r="192" spans="4:12" x14ac:dyDescent="0.3">
      <c r="D192" s="50">
        <v>45019</v>
      </c>
      <c r="E192" s="42">
        <v>3</v>
      </c>
      <c r="F192" s="149">
        <v>718</v>
      </c>
      <c r="G192" s="119">
        <v>20086277523</v>
      </c>
      <c r="H192" s="53" t="str">
        <f>IFERROR(IF(factura_c_mes4[[#This Row],[CUIT]]="","-",VLOOKUP(factura_c_mes4[[#This Row],[CUIT]],Lista_CUIT[#All],2,0)),"CUIT NO CARGADO")</f>
        <v>BOTINDARI JUAN CARLOS</v>
      </c>
      <c r="I192" s="269">
        <v>21000</v>
      </c>
      <c r="J192" s="54" t="str">
        <f>IFERROR(IF(factura_c_mes4[[#This Row],[CUIT]]="","-",VLOOKUP(factura_c_mes4[[#This Row],[CUIT]],Lista_CUIT[#All],3,0)),"CUIT NO CARGADO")</f>
        <v>HONORARIOS</v>
      </c>
      <c r="K192" s="54" t="str">
        <f>IFERROR(IF(factura_c_mes4[[#This Row],[CUIT]]="","-",VLOOKUP(factura_c_mes4[[#This Row],[CUIT]],Lista_CUIT[#All],4,0)),"CUIT NO CARGADO")</f>
        <v>CABA</v>
      </c>
    </row>
    <row r="193" spans="4:11" x14ac:dyDescent="0.3">
      <c r="D193" s="50">
        <v>45021</v>
      </c>
      <c r="E193" s="42">
        <v>3</v>
      </c>
      <c r="F193" s="149">
        <v>396</v>
      </c>
      <c r="G193" s="119">
        <v>20210551574</v>
      </c>
      <c r="H193" s="53" t="str">
        <f>IFERROR(IF(factura_c_mes4[[#This Row],[CUIT]]="","-",VLOOKUP(factura_c_mes4[[#This Row],[CUIT]],Lista_CUIT[#All],2,0)),"CUIT NO CARGADO")</f>
        <v>REUS JORGE DIEGO</v>
      </c>
      <c r="I193" s="269">
        <v>42000</v>
      </c>
      <c r="J193" s="54" t="str">
        <f>IFERROR(IF(factura_c_mes4[[#This Row],[CUIT]]="","-",VLOOKUP(factura_c_mes4[[#This Row],[CUIT]],Lista_CUIT[#All],3,0)),"CUIT NO CARGADO")</f>
        <v>HONORARIOS PROFESIONALES</v>
      </c>
      <c r="K193" s="54">
        <f>IFERROR(IF(factura_c_mes4[[#This Row],[CUIT]]="","-",VLOOKUP(factura_c_mes4[[#This Row],[CUIT]],Lista_CUIT[#All],4,0)),"CUIT NO CARGADO")</f>
        <v>0</v>
      </c>
    </row>
    <row r="194" spans="4:11" x14ac:dyDescent="0.3">
      <c r="D194" s="50">
        <v>45022</v>
      </c>
      <c r="E194" s="42">
        <v>2</v>
      </c>
      <c r="F194" s="149">
        <v>230</v>
      </c>
      <c r="G194" s="119">
        <v>23319210954</v>
      </c>
      <c r="H194" s="53" t="str">
        <f>IFERROR(IF(factura_c_mes4[[#This Row],[CUIT]]="","-",VLOOKUP(factura_c_mes4[[#This Row],[CUIT]],Lista_CUIT[#All],2,0)),"CUIT NO CARGADO")</f>
        <v>CAFFARATTI ROMINA PAOLA</v>
      </c>
      <c r="I194" s="269">
        <v>21100</v>
      </c>
      <c r="J194" s="54" t="str">
        <f>IFERROR(IF(factura_c_mes4[[#This Row],[CUIT]]="","-",VLOOKUP(factura_c_mes4[[#This Row],[CUIT]],Lista_CUIT[#All],3,0)),"CUIT NO CARGADO")</f>
        <v>HONORARIOS</v>
      </c>
      <c r="K194" s="54">
        <f>IFERROR(IF(factura_c_mes4[[#This Row],[CUIT]]="","-",VLOOKUP(factura_c_mes4[[#This Row],[CUIT]],Lista_CUIT[#All],4,0)),"CUIT NO CARGADO")</f>
        <v>0</v>
      </c>
    </row>
    <row r="195" spans="4:11" x14ac:dyDescent="0.3">
      <c r="D195" s="50">
        <v>45026</v>
      </c>
      <c r="E195" s="42">
        <v>8</v>
      </c>
      <c r="F195" s="149">
        <v>285</v>
      </c>
      <c r="G195" s="119">
        <v>27409592487</v>
      </c>
      <c r="H195" s="53" t="str">
        <f>IFERROR(IF(factura_c_mes4[[#This Row],[CUIT]]="","-",VLOOKUP(factura_c_mes4[[#This Row],[CUIT]],Lista_CUIT[#All],2,0)),"CUIT NO CARGADO")</f>
        <v>BAUDONE ANTONELLA AGOSTINA</v>
      </c>
      <c r="I195" s="269">
        <v>14800</v>
      </c>
      <c r="J195" s="54">
        <f>IFERROR(IF(factura_c_mes4[[#This Row],[CUIT]]="","-",VLOOKUP(factura_c_mes4[[#This Row],[CUIT]],Lista_CUIT[#All],3,0)),"CUIT NO CARGADO")</f>
        <v>0</v>
      </c>
      <c r="K195" s="54">
        <f>IFERROR(IF(factura_c_mes4[[#This Row],[CUIT]]="","-",VLOOKUP(factura_c_mes4[[#This Row],[CUIT]],Lista_CUIT[#All],4,0)),"CUIT NO CARGADO")</f>
        <v>0</v>
      </c>
    </row>
    <row r="196" spans="4:11" x14ac:dyDescent="0.3">
      <c r="D196" s="50">
        <v>45030</v>
      </c>
      <c r="E196" s="42">
        <v>2</v>
      </c>
      <c r="F196" s="149">
        <v>3539</v>
      </c>
      <c r="G196" s="119">
        <v>20136536320</v>
      </c>
      <c r="H196" s="53" t="str">
        <f>IFERROR(IF(factura_c_mes4[[#This Row],[CUIT]]="","-",VLOOKUP(factura_c_mes4[[#This Row],[CUIT]],Lista_CUIT[#All],2,0)),"CUIT NO CARGADO")</f>
        <v>FONTENLA ERNESTO MARIO</v>
      </c>
      <c r="I196" s="269">
        <v>2450</v>
      </c>
      <c r="J196" s="54" t="str">
        <f>IFERROR(IF(factura_c_mes4[[#This Row],[CUIT]]="","-",VLOOKUP(factura_c_mes4[[#This Row],[CUIT]],Lista_CUIT[#All],3,0)),"CUIT NO CARGADO")</f>
        <v>INSUMO</v>
      </c>
      <c r="K196" s="54" t="str">
        <f>IFERROR(IF(factura_c_mes4[[#This Row],[CUIT]]="","-",VLOOKUP(factura_c_mes4[[#This Row],[CUIT]],Lista_CUIT[#All],4,0)),"CUIT NO CARGADO")</f>
        <v>CABA</v>
      </c>
    </row>
    <row r="197" spans="4:11" x14ac:dyDescent="0.3">
      <c r="D197" s="50">
        <v>45033</v>
      </c>
      <c r="E197" s="42">
        <v>8</v>
      </c>
      <c r="F197" s="149">
        <v>296</v>
      </c>
      <c r="G197" s="119">
        <v>27409592487</v>
      </c>
      <c r="H197" s="53" t="str">
        <f>IFERROR(IF(factura_c_mes4[[#This Row],[CUIT]]="","-",VLOOKUP(factura_c_mes4[[#This Row],[CUIT]],Lista_CUIT[#All],2,0)),"CUIT NO CARGADO")</f>
        <v>BAUDONE ANTONELLA AGOSTINA</v>
      </c>
      <c r="I197" s="269">
        <v>20000</v>
      </c>
      <c r="J197" s="54">
        <f>IFERROR(IF(factura_c_mes4[[#This Row],[CUIT]]="","-",VLOOKUP(factura_c_mes4[[#This Row],[CUIT]],Lista_CUIT[#All],3,0)),"CUIT NO CARGADO")</f>
        <v>0</v>
      </c>
      <c r="K197" s="54">
        <f>IFERROR(IF(factura_c_mes4[[#This Row],[CUIT]]="","-",VLOOKUP(factura_c_mes4[[#This Row],[CUIT]],Lista_CUIT[#All],4,0)),"CUIT NO CARGADO")</f>
        <v>0</v>
      </c>
    </row>
    <row r="198" spans="4:11" x14ac:dyDescent="0.3">
      <c r="D198" s="50">
        <v>45037</v>
      </c>
      <c r="E198" s="42">
        <v>2</v>
      </c>
      <c r="F198" s="149">
        <v>470</v>
      </c>
      <c r="G198" s="119">
        <v>27369152357</v>
      </c>
      <c r="H198" s="53" t="str">
        <f>IFERROR(IF(factura_c_mes4[[#This Row],[CUIT]]="","-",VLOOKUP(factura_c_mes4[[#This Row],[CUIT]],Lista_CUIT[#All],2,0)),"CUIT NO CARGADO")</f>
        <v>BENTANCOUR NOELIA NOEMI</v>
      </c>
      <c r="I198" s="269">
        <v>23980</v>
      </c>
      <c r="J198" s="54">
        <f>IFERROR(IF(factura_c_mes4[[#This Row],[CUIT]]="","-",VLOOKUP(factura_c_mes4[[#This Row],[CUIT]],Lista_CUIT[#All],3,0)),"CUIT NO CARGADO")</f>
        <v>0</v>
      </c>
      <c r="K198" s="54">
        <f>IFERROR(IF(factura_c_mes4[[#This Row],[CUIT]]="","-",VLOOKUP(factura_c_mes4[[#This Row],[CUIT]],Lista_CUIT[#All],4,0)),"CUIT NO CARGADO")</f>
        <v>0</v>
      </c>
    </row>
    <row r="199" spans="4:11" x14ac:dyDescent="0.3">
      <c r="D199" s="50">
        <v>45040</v>
      </c>
      <c r="E199" s="42">
        <v>2</v>
      </c>
      <c r="F199" s="149">
        <v>274</v>
      </c>
      <c r="G199" s="119">
        <v>20300814094</v>
      </c>
      <c r="H199" s="53" t="str">
        <f>IFERROR(IF(factura_c_mes4[[#This Row],[CUIT]]="","-",VLOOKUP(factura_c_mes4[[#This Row],[CUIT]],Lista_CUIT[#All],2,0)),"CUIT NO CARGADO")</f>
        <v>FARRAPEIRA OSCAR MAXIMO</v>
      </c>
      <c r="I199" s="269">
        <v>214415.84</v>
      </c>
      <c r="J199" s="54">
        <f>IFERROR(IF(factura_c_mes4[[#This Row],[CUIT]]="","-",VLOOKUP(factura_c_mes4[[#This Row],[CUIT]],Lista_CUIT[#All],3,0)),"CUIT NO CARGADO")</f>
        <v>0</v>
      </c>
      <c r="K199" s="54">
        <f>IFERROR(IF(factura_c_mes4[[#This Row],[CUIT]]="","-",VLOOKUP(factura_c_mes4[[#This Row],[CUIT]],Lista_CUIT[#All],4,0)),"CUIT NO CARGADO")</f>
        <v>0</v>
      </c>
    </row>
    <row r="200" spans="4:11" x14ac:dyDescent="0.3">
      <c r="D200" s="50">
        <v>45042</v>
      </c>
      <c r="E200" s="42">
        <v>5</v>
      </c>
      <c r="F200" s="43">
        <v>426</v>
      </c>
      <c r="G200" s="44">
        <v>20374001524</v>
      </c>
      <c r="H200" s="53" t="str">
        <f>IFERROR(IF(factura_c_mes4[[#This Row],[CUIT]]="","-",VLOOKUP(factura_c_mes4[[#This Row],[CUIT]],Lista_CUIT[#All],2,0)),"CUIT NO CARGADO")</f>
        <v>GIMENEZ HERNAN ALEJANDRO</v>
      </c>
      <c r="I200" s="81">
        <v>2700</v>
      </c>
      <c r="J200" s="54">
        <f>IFERROR(IF(factura_c_mes4[[#This Row],[CUIT]]="","-",VLOOKUP(factura_c_mes4[[#This Row],[CUIT]],Lista_CUIT[#All],3,0)),"CUIT NO CARGADO")</f>
        <v>0</v>
      </c>
      <c r="K200" s="54">
        <f>IFERROR(IF(factura_c_mes4[[#This Row],[CUIT]]="","-",VLOOKUP(factura_c_mes4[[#This Row],[CUIT]],Lista_CUIT[#All],4,0)),"CUIT NO CARGADO")</f>
        <v>0</v>
      </c>
    </row>
    <row r="201" spans="4:11" x14ac:dyDescent="0.3">
      <c r="D201" s="50">
        <v>45042</v>
      </c>
      <c r="E201" s="42">
        <v>2</v>
      </c>
      <c r="F201" s="43">
        <v>2658</v>
      </c>
      <c r="G201" s="44">
        <v>20206480409</v>
      </c>
      <c r="H201" s="53" t="str">
        <f>IFERROR(IF(factura_c_mes4[[#This Row],[CUIT]]="","-",VLOOKUP(factura_c_mes4[[#This Row],[CUIT]],Lista_CUIT[#All],2,0)),"CUIT NO CARGADO")</f>
        <v>GRACIA SANDRO EDUARDO</v>
      </c>
      <c r="I201" s="81">
        <v>1335</v>
      </c>
      <c r="J201" s="54" t="str">
        <f>IFERROR(IF(factura_c_mes4[[#This Row],[CUIT]]="","-",VLOOKUP(factura_c_mes4[[#This Row],[CUIT]],Lista_CUIT[#All],3,0)),"CUIT NO CARGADO")</f>
        <v>Gastos Varios</v>
      </c>
      <c r="K201" s="54" t="str">
        <f>IFERROR(IF(factura_c_mes4[[#This Row],[CUIT]]="","-",VLOOKUP(factura_c_mes4[[#This Row],[CUIT]],Lista_CUIT[#All],4,0)),"CUIT NO CARGADO")</f>
        <v>CABA</v>
      </c>
    </row>
    <row r="202" spans="4:11" ht="18" customHeight="1" x14ac:dyDescent="0.3">
      <c r="D202" s="50">
        <v>45044</v>
      </c>
      <c r="E202" s="42">
        <v>8</v>
      </c>
      <c r="F202" s="43">
        <v>323</v>
      </c>
      <c r="G202" s="44">
        <v>27409592487</v>
      </c>
      <c r="H202" s="53" t="str">
        <f>IFERROR(IF(factura_c_mes4[[#This Row],[CUIT]]="","-",VLOOKUP(factura_c_mes4[[#This Row],[CUIT]],Lista_CUIT[#All],2,0)),"CUIT NO CARGADO")</f>
        <v>BAUDONE ANTONELLA AGOSTINA</v>
      </c>
      <c r="I202" s="81">
        <v>34800</v>
      </c>
      <c r="J202" s="54">
        <f>IFERROR(IF(factura_c_mes4[[#This Row],[CUIT]]="","-",VLOOKUP(factura_c_mes4[[#This Row],[CUIT]],Lista_CUIT[#All],3,0)),"CUIT NO CARGADO")</f>
        <v>0</v>
      </c>
      <c r="K202" s="54">
        <f>IFERROR(IF(factura_c_mes4[[#This Row],[CUIT]]="","-",VLOOKUP(factura_c_mes4[[#This Row],[CUIT]],Lista_CUIT[#All],4,0)),"CUIT NO CARGADO")</f>
        <v>0</v>
      </c>
    </row>
    <row r="203" spans="4:11" x14ac:dyDescent="0.3">
      <c r="D203" s="50">
        <v>45019</v>
      </c>
      <c r="E203" s="42">
        <v>21</v>
      </c>
      <c r="F203" s="43">
        <v>72491</v>
      </c>
      <c r="G203" s="44">
        <v>30515800219</v>
      </c>
      <c r="H203" s="53" t="str">
        <f>IFERROR(IF(factura_c_mes4[[#This Row],[CUIT]]="","-",VLOOKUP(factura_c_mes4[[#This Row],[CUIT]],Lista_CUIT[#All],2,0)),"CUIT NO CARGADO")</f>
        <v>INCAT SRL</v>
      </c>
      <c r="I203" s="81">
        <v>600</v>
      </c>
      <c r="J203" s="54" t="str">
        <f>IFERROR(IF(factura_c_mes4[[#This Row],[CUIT]]="","-",VLOOKUP(factura_c_mes4[[#This Row],[CUIT]],Lista_CUIT[#All],3,0)),"CUIT NO CARGADO")</f>
        <v>Combustibe</v>
      </c>
      <c r="K203" s="54" t="str">
        <f>IFERROR(IF(factura_c_mes4[[#This Row],[CUIT]]="","-",VLOOKUP(factura_c_mes4[[#This Row],[CUIT]],Lista_CUIT[#All],4,0)),"CUIT NO CARGADO")</f>
        <v>CABA</v>
      </c>
    </row>
    <row r="204" spans="4:11" x14ac:dyDescent="0.3">
      <c r="D204" s="50">
        <v>45040</v>
      </c>
      <c r="E204" s="42">
        <v>1004</v>
      </c>
      <c r="F204" s="43">
        <v>31142</v>
      </c>
      <c r="G204" s="44">
        <v>30712289046</v>
      </c>
      <c r="H204" s="53" t="str">
        <f>IFERROR(IF(factura_c_mes4[[#This Row],[CUIT]]="","-",VLOOKUP(factura_c_mes4[[#This Row],[CUIT]],Lista_CUIT[#All],2,0)),"CUIT NO CARGADO")</f>
        <v>IMPIERI PIÑEIRO RIZZO Y ASOC SA</v>
      </c>
      <c r="I204" s="81">
        <v>699.96</v>
      </c>
      <c r="J204" s="54">
        <f>IFERROR(IF(factura_c_mes4[[#This Row],[CUIT]]="","-",VLOOKUP(factura_c_mes4[[#This Row],[CUIT]],Lista_CUIT[#All],3,0)),"CUIT NO CARGADO")</f>
        <v>0</v>
      </c>
      <c r="K204" s="54">
        <f>IFERROR(IF(factura_c_mes4[[#This Row],[CUIT]]="","-",VLOOKUP(factura_c_mes4[[#This Row],[CUIT]],Lista_CUIT[#All],4,0)),"CUIT NO CARGADO")</f>
        <v>0</v>
      </c>
    </row>
    <row r="205" spans="4:11" x14ac:dyDescent="0.3">
      <c r="D205" s="50">
        <v>45034</v>
      </c>
      <c r="E205" s="42">
        <v>4</v>
      </c>
      <c r="F205" s="43">
        <v>46013</v>
      </c>
      <c r="G205" s="44">
        <v>30695443907</v>
      </c>
      <c r="H205" s="53" t="str">
        <f>IFERROR(IF(factura_c_mes4[[#This Row],[CUIT]]="","-",VLOOKUP(factura_c_mes4[[#This Row],[CUIT]],Lista_CUIT[#All],2,0)),"CUIT NO CARGADO")</f>
        <v>NAF GAS SA</v>
      </c>
      <c r="I205" s="81">
        <v>631.97</v>
      </c>
      <c r="J205" s="54" t="str">
        <f>IFERROR(IF(factura_c_mes4[[#This Row],[CUIT]]="","-",VLOOKUP(factura_c_mes4[[#This Row],[CUIT]],Lista_CUIT[#All],3,0)),"CUIT NO CARGADO")</f>
        <v>COMBUSTIBLE</v>
      </c>
      <c r="K205" s="54">
        <f>IFERROR(IF(factura_c_mes4[[#This Row],[CUIT]]="","-",VLOOKUP(factura_c_mes4[[#This Row],[CUIT]],Lista_CUIT[#All],4,0)),"CUIT NO CARGADO")</f>
        <v>0</v>
      </c>
    </row>
    <row r="206" spans="4:11" x14ac:dyDescent="0.3">
      <c r="D206" s="50">
        <v>45026</v>
      </c>
      <c r="E206" s="42">
        <v>4</v>
      </c>
      <c r="F206" s="43">
        <v>2307</v>
      </c>
      <c r="G206" s="44">
        <v>20186965818</v>
      </c>
      <c r="H206" s="53" t="str">
        <f>IFERROR(IF(factura_c_mes4[[#This Row],[CUIT]]="","-",VLOOKUP(factura_c_mes4[[#This Row],[CUIT]],Lista_CUIT[#All],2,0)),"CUIT NO CARGADO")</f>
        <v>CASTILLO PEDRO ISMAEL</v>
      </c>
      <c r="I206" s="81">
        <v>4000</v>
      </c>
      <c r="J206" s="54" t="str">
        <f>IFERROR(IF(factura_c_mes4[[#This Row],[CUIT]]="","-",VLOOKUP(factura_c_mes4[[#This Row],[CUIT]],Lista_CUIT[#All],3,0)),"CUIT NO CARGADO")</f>
        <v>MANTENIMIENTO</v>
      </c>
      <c r="K206" s="54">
        <f>IFERROR(IF(factura_c_mes4[[#This Row],[CUIT]]="","-",VLOOKUP(factura_c_mes4[[#This Row],[CUIT]],Lista_CUIT[#All],4,0)),"CUIT NO CARGADO")</f>
        <v>0</v>
      </c>
    </row>
    <row r="207" spans="4:11" x14ac:dyDescent="0.3">
      <c r="D207" s="50">
        <v>45034</v>
      </c>
      <c r="E207" s="42">
        <v>5</v>
      </c>
      <c r="F207" s="43">
        <v>2569</v>
      </c>
      <c r="G207" s="44">
        <v>30709394912</v>
      </c>
      <c r="H207" s="53" t="str">
        <f>IFERROR(IF(factura_c_mes4[[#This Row],[CUIT]]="","-",VLOOKUP(factura_c_mes4[[#This Row],[CUIT]],Lista_CUIT[#All],2,0)),"CUIT NO CARGADO")</f>
        <v>KINIEN SA</v>
      </c>
      <c r="I207" s="81">
        <v>1112.1300000000001</v>
      </c>
      <c r="J207" s="54" t="str">
        <f>IFERROR(IF(factura_c_mes4[[#This Row],[CUIT]]="","-",VLOOKUP(factura_c_mes4[[#This Row],[CUIT]],Lista_CUIT[#All],3,0)),"CUIT NO CARGADO")</f>
        <v>COMBUSTIBLE</v>
      </c>
      <c r="K207" s="54">
        <f>IFERROR(IF(factura_c_mes4[[#This Row],[CUIT]]="","-",VLOOKUP(factura_c_mes4[[#This Row],[CUIT]],Lista_CUIT[#All],4,0)),"CUIT NO CARGADO")</f>
        <v>0</v>
      </c>
    </row>
    <row r="208" spans="4:11" x14ac:dyDescent="0.3">
      <c r="D208" s="50">
        <v>45032</v>
      </c>
      <c r="E208" s="42">
        <v>6</v>
      </c>
      <c r="F208" s="43">
        <v>32235</v>
      </c>
      <c r="G208" s="44">
        <v>33661899439</v>
      </c>
      <c r="H208" s="53" t="str">
        <f>IFERROR(IF(factura_c_mes4[[#This Row],[CUIT]]="","-",VLOOKUP(factura_c_mes4[[#This Row],[CUIT]],Lista_CUIT[#All],2,0)),"CUIT NO CARGADO")</f>
        <v>AZUL II SRL</v>
      </c>
      <c r="I208" s="81">
        <v>750</v>
      </c>
      <c r="J208" s="54">
        <f>IFERROR(IF(factura_c_mes4[[#This Row],[CUIT]]="","-",VLOOKUP(factura_c_mes4[[#This Row],[CUIT]],Lista_CUIT[#All],3,0)),"CUIT NO CARGADO")</f>
        <v>0</v>
      </c>
      <c r="K208" s="54">
        <f>IFERROR(IF(factura_c_mes4[[#This Row],[CUIT]]="","-",VLOOKUP(factura_c_mes4[[#This Row],[CUIT]],Lista_CUIT[#All],4,0)),"CUIT NO CARGADO")</f>
        <v>0</v>
      </c>
    </row>
    <row r="209" spans="2:18" x14ac:dyDescent="0.3">
      <c r="D209" s="55" t="s">
        <v>103</v>
      </c>
      <c r="E209" s="55"/>
      <c r="F209" s="55"/>
      <c r="G209" s="55"/>
      <c r="H209" s="57"/>
      <c r="I209" s="58">
        <f>SUBTOTAL(109,factura_c_mes4[TOTAL])</f>
        <v>1104574.8999999999</v>
      </c>
      <c r="J209" s="55"/>
      <c r="K209" s="55"/>
    </row>
    <row r="210" spans="2:18" x14ac:dyDescent="0.3">
      <c r="B210" s="56"/>
      <c r="C210" s="56"/>
      <c r="L210" s="56"/>
      <c r="M210" s="56"/>
      <c r="N210" s="56"/>
      <c r="O210" s="56"/>
      <c r="P210" s="56"/>
      <c r="Q210" s="56"/>
      <c r="R210" s="56"/>
    </row>
    <row r="215" spans="2:18" ht="25.8" x14ac:dyDescent="0.3">
      <c r="B215" s="661" t="s">
        <v>29</v>
      </c>
      <c r="C215" s="661"/>
      <c r="D215" s="661"/>
      <c r="E215" s="661"/>
      <c r="F215" s="661"/>
      <c r="G215" s="661"/>
      <c r="H215" s="661"/>
      <c r="I215" s="661"/>
      <c r="J215" s="661"/>
      <c r="K215" s="657">
        <f>N1</f>
        <v>45017</v>
      </c>
      <c r="L215" s="657"/>
      <c r="M215" s="657"/>
    </row>
    <row r="217" spans="2:18" ht="21" x14ac:dyDescent="0.3">
      <c r="B217" s="654" t="s">
        <v>1729</v>
      </c>
      <c r="C217" s="654"/>
    </row>
    <row r="218" spans="2:18" ht="31.2" x14ac:dyDescent="0.3">
      <c r="B218" s="60" t="s">
        <v>0</v>
      </c>
      <c r="C218" s="61" t="s">
        <v>1</v>
      </c>
      <c r="D218" s="61" t="s">
        <v>21</v>
      </c>
      <c r="E218" s="61" t="s">
        <v>22</v>
      </c>
      <c r="F218" s="61" t="s">
        <v>3</v>
      </c>
      <c r="G218" s="61" t="s">
        <v>4</v>
      </c>
      <c r="H218" s="61" t="s">
        <v>23</v>
      </c>
      <c r="I218" s="61" t="s">
        <v>17</v>
      </c>
      <c r="J218" s="61" t="s">
        <v>7</v>
      </c>
      <c r="K218" s="61" t="s">
        <v>24</v>
      </c>
      <c r="L218" s="61" t="s">
        <v>10</v>
      </c>
      <c r="M218" s="62" t="s">
        <v>38</v>
      </c>
    </row>
    <row r="219" spans="2:18" x14ac:dyDescent="0.3">
      <c r="B219" s="40"/>
      <c r="C219" s="41"/>
      <c r="D219" s="42"/>
      <c r="E219" s="43"/>
      <c r="F219" s="44"/>
      <c r="G219" s="99" t="str">
        <f>IFERROR(IF(venta_a_mes4[[#This Row],[CUIT]]="","-",VLOOKUP(venta_a_mes4[[#This Row],[CUIT]],Lista_CUIT[#All],2,0)),"CUIT NO CARGADO")</f>
        <v>-</v>
      </c>
      <c r="H219" s="100"/>
      <c r="I219" s="101">
        <f>venta_a_mes4[[#This Row],[IMPORTE NETO]]*0.21</f>
        <v>0</v>
      </c>
      <c r="J219" s="65"/>
      <c r="K219" s="65"/>
      <c r="L219" s="65">
        <f>SUM(venta_a_mes4[[#This Row],[IMPORTE NETO]:[EXENTO]])</f>
        <v>0</v>
      </c>
      <c r="M219" s="59"/>
    </row>
    <row r="220" spans="2:18" x14ac:dyDescent="0.3">
      <c r="B220" s="40"/>
      <c r="C220" s="41"/>
      <c r="D220" s="42"/>
      <c r="E220" s="43"/>
      <c r="F220" s="44"/>
      <c r="G220" s="99" t="str">
        <f>IFERROR(IF(venta_a_mes4[[#This Row],[CUIT]]="","-",VLOOKUP(venta_a_mes4[[#This Row],[CUIT]],Lista_CUIT[#All],2,0)),"CUIT NO CARGADO")</f>
        <v>-</v>
      </c>
      <c r="H220" s="100"/>
      <c r="I220" s="101">
        <f>venta_a_mes4[[#This Row],[IMPORTE NETO]]*0.21</f>
        <v>0</v>
      </c>
      <c r="J220" s="65"/>
      <c r="K220" s="65"/>
      <c r="L220" s="65">
        <f>SUM(venta_a_mes4[[#This Row],[IMPORTE NETO]:[EXENTO]])</f>
        <v>0</v>
      </c>
      <c r="M220" s="59"/>
    </row>
    <row r="221" spans="2:18" x14ac:dyDescent="0.3">
      <c r="B221" s="40"/>
      <c r="C221" s="41"/>
      <c r="D221" s="42"/>
      <c r="E221" s="43"/>
      <c r="F221" s="44"/>
      <c r="G221" s="99" t="str">
        <f>IFERROR(IF(venta_a_mes4[[#This Row],[CUIT]]="","-",VLOOKUP(venta_a_mes4[[#This Row],[CUIT]],Lista_CUIT[#All],2,0)),"CUIT NO CARGADO")</f>
        <v>-</v>
      </c>
      <c r="H221" s="100"/>
      <c r="I221" s="101">
        <f>venta_a_mes4[[#This Row],[IMPORTE NETO]]*0.21</f>
        <v>0</v>
      </c>
      <c r="J221" s="65"/>
      <c r="K221" s="65"/>
      <c r="L221" s="65">
        <f>SUM(venta_a_mes4[[#This Row],[IMPORTE NETO]:[EXENTO]])</f>
        <v>0</v>
      </c>
      <c r="M221" s="59"/>
    </row>
    <row r="222" spans="2:18" x14ac:dyDescent="0.3">
      <c r="B222" s="40"/>
      <c r="C222" s="41"/>
      <c r="D222" s="42"/>
      <c r="E222" s="43"/>
      <c r="F222" s="44"/>
      <c r="G222" s="99" t="str">
        <f>IFERROR(IF(venta_a_mes4[[#This Row],[CUIT]]="","-",VLOOKUP(venta_a_mes4[[#This Row],[CUIT]],Lista_CUIT[#All],2,0)),"CUIT NO CARGADO")</f>
        <v>-</v>
      </c>
      <c r="H222" s="100"/>
      <c r="I222" s="101">
        <f>venta_a_mes4[[#This Row],[IMPORTE NETO]]*0.21</f>
        <v>0</v>
      </c>
      <c r="J222" s="65"/>
      <c r="K222" s="65"/>
      <c r="L222" s="65">
        <f>SUM(venta_a_mes4[[#This Row],[IMPORTE NETO]:[EXENTO]])</f>
        <v>0</v>
      </c>
      <c r="M222" s="59"/>
    </row>
    <row r="223" spans="2:18" x14ac:dyDescent="0.3">
      <c r="B223" s="40"/>
      <c r="C223" s="41"/>
      <c r="D223" s="42"/>
      <c r="E223" s="43"/>
      <c r="F223" s="44"/>
      <c r="G223" s="99" t="str">
        <f>IFERROR(IF(venta_a_mes4[[#This Row],[CUIT]]="","-",VLOOKUP(venta_a_mes4[[#This Row],[CUIT]],Lista_CUIT[#All],2,0)),"CUIT NO CARGADO")</f>
        <v>-</v>
      </c>
      <c r="H223" s="100"/>
      <c r="I223" s="101">
        <f>venta_a_mes4[[#This Row],[IMPORTE NETO]]*0.21</f>
        <v>0</v>
      </c>
      <c r="J223" s="65"/>
      <c r="K223" s="65"/>
      <c r="L223" s="65">
        <f>SUM(venta_a_mes4[[#This Row],[IMPORTE NETO]:[EXENTO]])</f>
        <v>0</v>
      </c>
      <c r="M223" s="59"/>
    </row>
    <row r="224" spans="2:18" x14ac:dyDescent="0.3">
      <c r="B224" s="66" t="s">
        <v>103</v>
      </c>
      <c r="C224" s="67"/>
      <c r="D224" s="67"/>
      <c r="E224" s="67"/>
      <c r="F224" s="67"/>
      <c r="G224" s="67"/>
      <c r="H224" s="69">
        <f>SUBTOTAL(109,venta_a_mes4[IMPORTE NETO])</f>
        <v>0</v>
      </c>
      <c r="I224" s="70">
        <f>SUBTOTAL(109,venta_a_mes4[IVA 21%])</f>
        <v>0</v>
      </c>
      <c r="J224" s="71">
        <f>SUBTOTAL(109,venta_a_mes4[IVA 10,5%])</f>
        <v>0</v>
      </c>
      <c r="K224" s="71">
        <f>SUBTOTAL(109,venta_a_mes4[EXENTO])</f>
        <v>0</v>
      </c>
      <c r="L224" s="71">
        <f>SUBTOTAL(109,venta_a_mes4[TOTAL])</f>
        <v>0</v>
      </c>
      <c r="M224" s="68">
        <f>SUBTOTAL(103,venta_a_mes4[Provincia])</f>
        <v>0</v>
      </c>
    </row>
    <row r="227" spans="2:13" ht="21" x14ac:dyDescent="0.3">
      <c r="B227" s="654" t="s">
        <v>31</v>
      </c>
      <c r="C227" s="654"/>
    </row>
    <row r="228" spans="2:13" ht="31.2" x14ac:dyDescent="0.3">
      <c r="B228" s="60" t="s">
        <v>0</v>
      </c>
      <c r="C228" s="61" t="s">
        <v>1</v>
      </c>
      <c r="D228" s="61" t="s">
        <v>21</v>
      </c>
      <c r="E228" s="61" t="s">
        <v>22</v>
      </c>
      <c r="F228" s="61" t="s">
        <v>3</v>
      </c>
      <c r="G228" s="61" t="s">
        <v>4</v>
      </c>
      <c r="H228" s="61" t="s">
        <v>23</v>
      </c>
      <c r="I228" s="61" t="s">
        <v>17</v>
      </c>
      <c r="J228" s="61" t="s">
        <v>7</v>
      </c>
      <c r="K228" s="61" t="s">
        <v>24</v>
      </c>
      <c r="L228" s="61" t="s">
        <v>10</v>
      </c>
      <c r="M228" s="62" t="s">
        <v>38</v>
      </c>
    </row>
    <row r="229" spans="2:13" x14ac:dyDescent="0.3">
      <c r="B229" s="40"/>
      <c r="C229" s="41"/>
      <c r="D229" s="42"/>
      <c r="E229" s="43"/>
      <c r="F229" s="44"/>
      <c r="G229" s="1" t="str">
        <f>IFERROR(IF(ventas_b_mes4[[#This Row],[CUIT]]="","-",VLOOKUP(ventas_b_mes4[[#This Row],[CUIT]],Lista_CUIT[#All],2,0)),"CUIT NO CARGADO")</f>
        <v>-</v>
      </c>
      <c r="H229" s="64"/>
      <c r="I229" s="64"/>
      <c r="J229" s="64"/>
      <c r="K229" s="64"/>
      <c r="L229" s="64">
        <f>SUM(ventas_b_mes4[[#This Row],[IMPORTE NETO]:[EXENTO]])</f>
        <v>0</v>
      </c>
      <c r="M229" s="59"/>
    </row>
    <row r="230" spans="2:13" x14ac:dyDescent="0.3">
      <c r="B230" s="40"/>
      <c r="C230" s="41"/>
      <c r="D230" s="42"/>
      <c r="E230" s="43"/>
      <c r="F230" s="44"/>
      <c r="G230" s="1"/>
      <c r="H230" s="64"/>
      <c r="I230" s="64"/>
      <c r="J230" s="64"/>
      <c r="K230" s="64"/>
      <c r="L230" s="64">
        <f>SUM(ventas_b_mes4[[#This Row],[IMPORTE NETO]:[EXENTO]])</f>
        <v>0</v>
      </c>
      <c r="M230" s="59"/>
    </row>
    <row r="231" spans="2:13" x14ac:dyDescent="0.3">
      <c r="B231" s="40"/>
      <c r="C231" s="41"/>
      <c r="D231" s="42"/>
      <c r="E231" s="43"/>
      <c r="F231" s="44"/>
      <c r="G231" s="1"/>
      <c r="H231" s="64"/>
      <c r="I231" s="64"/>
      <c r="J231" s="64"/>
      <c r="K231" s="64"/>
      <c r="L231" s="64">
        <f>SUM(ventas_b_mes4[[#This Row],[IMPORTE NETO]:[EXENTO]])</f>
        <v>0</v>
      </c>
      <c r="M231" s="59"/>
    </row>
    <row r="232" spans="2:13" x14ac:dyDescent="0.3">
      <c r="B232" s="40"/>
      <c r="C232" s="41"/>
      <c r="D232" s="42"/>
      <c r="E232" s="43"/>
      <c r="F232" s="44"/>
      <c r="G232" s="1"/>
      <c r="H232" s="64"/>
      <c r="I232" s="64"/>
      <c r="J232" s="64"/>
      <c r="K232" s="64"/>
      <c r="L232" s="64">
        <f>SUM(ventas_b_mes4[[#This Row],[IMPORTE NETO]:[EXENTO]])</f>
        <v>0</v>
      </c>
      <c r="M232" s="59"/>
    </row>
    <row r="233" spans="2:13" x14ac:dyDescent="0.3">
      <c r="B233" s="40"/>
      <c r="C233" s="41"/>
      <c r="D233" s="42"/>
      <c r="E233" s="43"/>
      <c r="F233" s="44"/>
      <c r="G233" s="1"/>
      <c r="H233" s="64"/>
      <c r="I233" s="64"/>
      <c r="J233" s="64"/>
      <c r="K233" s="64"/>
      <c r="L233" s="64">
        <f>SUM(ventas_b_mes4[[#This Row],[IMPORTE NETO]:[EXENTO]])</f>
        <v>0</v>
      </c>
      <c r="M233" s="59"/>
    </row>
    <row r="234" spans="2:13" x14ac:dyDescent="0.3">
      <c r="B234" s="40"/>
      <c r="C234" s="41"/>
      <c r="D234" s="42"/>
      <c r="E234" s="43"/>
      <c r="F234" s="44"/>
      <c r="G234" s="1"/>
      <c r="H234" s="64"/>
      <c r="I234" s="64"/>
      <c r="J234" s="64"/>
      <c r="K234" s="64"/>
      <c r="L234" s="64">
        <f>SUM(ventas_b_mes4[[#This Row],[IMPORTE NETO]:[EXENTO]])</f>
        <v>0</v>
      </c>
      <c r="M234" s="59"/>
    </row>
    <row r="235" spans="2:13" x14ac:dyDescent="0.3">
      <c r="B235" s="66" t="s">
        <v>103</v>
      </c>
      <c r="C235" s="67"/>
      <c r="D235" s="67"/>
      <c r="E235" s="67"/>
      <c r="F235" s="67"/>
      <c r="G235" s="67"/>
      <c r="H235" s="77">
        <f>SUBTOTAL(109,ventas_b_mes4[IMPORTE NETO])</f>
        <v>0</v>
      </c>
      <c r="I235" s="77">
        <f>SUBTOTAL(109,ventas_b_mes4[IVA 21%])</f>
        <v>0</v>
      </c>
      <c r="J235" s="78">
        <f>SUBTOTAL(109,ventas_b_mes4[IVA 10,5%])</f>
        <v>0</v>
      </c>
      <c r="K235" s="78">
        <f>SUBTOTAL(109,ventas_b_mes4[EXENTO])</f>
        <v>0</v>
      </c>
      <c r="L235" s="78">
        <f>SUBTOTAL(109,ventas_b_mes4[TOTAL])</f>
        <v>0</v>
      </c>
      <c r="M235" s="68">
        <f>SUBTOTAL(103,ventas_b_mes4[Provincia])</f>
        <v>0</v>
      </c>
    </row>
    <row r="242" spans="3:12" ht="15" thickBot="1" x14ac:dyDescent="0.35"/>
    <row r="243" spans="3:12" ht="15" thickTop="1" x14ac:dyDescent="0.3">
      <c r="C243" s="651" t="s">
        <v>66</v>
      </c>
      <c r="D243" s="651"/>
      <c r="E243" s="651"/>
      <c r="F243" s="651"/>
      <c r="G243" s="651"/>
      <c r="H243" s="32"/>
      <c r="I243" s="32"/>
      <c r="J243" s="32"/>
    </row>
    <row r="244" spans="3:12" ht="15.6" x14ac:dyDescent="0.3">
      <c r="C244" s="114" t="s">
        <v>67</v>
      </c>
      <c r="D244" s="115" t="s">
        <v>68</v>
      </c>
      <c r="E244" s="115" t="s">
        <v>105</v>
      </c>
      <c r="F244" s="115" t="s">
        <v>3</v>
      </c>
      <c r="G244" s="115" t="s">
        <v>4</v>
      </c>
      <c r="H244" s="116" t="s">
        <v>69</v>
      </c>
      <c r="I244" s="116" t="s">
        <v>70</v>
      </c>
      <c r="J244" s="116" t="s">
        <v>71</v>
      </c>
      <c r="K244" s="116" t="s">
        <v>72</v>
      </c>
      <c r="L244" s="116" t="s">
        <v>73</v>
      </c>
    </row>
    <row r="245" spans="3:12" x14ac:dyDescent="0.3">
      <c r="C245" s="117"/>
      <c r="D245" s="118"/>
      <c r="E245" s="118"/>
      <c r="F245" s="119"/>
      <c r="G245" s="53" t="str">
        <f>IFERROR(IF(Retenciones_mes4[[#This Row],[CUIT]]="","-",VLOOKUP(Retenciones_mes4[[#This Row],[CUIT]],Lista_CUIT[#All],2,0)),"CUIT NO CARGADO")</f>
        <v>-</v>
      </c>
      <c r="H245" s="120"/>
      <c r="I245" s="120"/>
      <c r="J245" s="120"/>
      <c r="K245" s="120"/>
      <c r="L245" s="120"/>
    </row>
    <row r="246" spans="3:12" x14ac:dyDescent="0.3">
      <c r="C246" s="117"/>
      <c r="D246" s="118"/>
      <c r="E246" s="118"/>
      <c r="F246" s="119"/>
      <c r="G246" s="53" t="str">
        <f>IFERROR(IF(Retenciones_mes4[[#This Row],[CUIT]]="","-",VLOOKUP(Retenciones_mes4[[#This Row],[CUIT]],Lista_CUIT[#All],2,0)),"CUIT NO CARGADO")</f>
        <v>-</v>
      </c>
      <c r="H246" s="120"/>
      <c r="I246" s="120"/>
      <c r="J246" s="120"/>
      <c r="K246" s="120"/>
      <c r="L246" s="120"/>
    </row>
    <row r="247" spans="3:12" x14ac:dyDescent="0.3">
      <c r="C247" s="117"/>
      <c r="D247" s="118"/>
      <c r="E247" s="118"/>
      <c r="F247" s="119"/>
      <c r="G247" s="53" t="str">
        <f>IFERROR(IF(Retenciones_mes4[[#This Row],[CUIT]]="","-",VLOOKUP(Retenciones_mes4[[#This Row],[CUIT]],Lista_CUIT[#All],2,0)),"CUIT NO CARGADO")</f>
        <v>-</v>
      </c>
      <c r="H247" s="120"/>
      <c r="I247" s="120"/>
      <c r="J247" s="120"/>
      <c r="K247" s="120"/>
      <c r="L247" s="120"/>
    </row>
    <row r="248" spans="3:12" x14ac:dyDescent="0.3">
      <c r="C248" s="117"/>
      <c r="D248" s="118"/>
      <c r="E248" s="118"/>
      <c r="F248" s="119"/>
      <c r="G248" s="53" t="str">
        <f>IFERROR(IF(Retenciones_mes4[[#This Row],[CUIT]]="","-",VLOOKUP(Retenciones_mes4[[#This Row],[CUIT]],Lista_CUIT[#All],2,0)),"CUIT NO CARGADO")</f>
        <v>-</v>
      </c>
      <c r="H248" s="120"/>
      <c r="I248" s="120"/>
      <c r="J248" s="120"/>
      <c r="K248" s="120"/>
      <c r="L248" s="120"/>
    </row>
    <row r="249" spans="3:12" x14ac:dyDescent="0.3">
      <c r="D249" s="118"/>
      <c r="E249" s="118"/>
      <c r="G249" s="53" t="str">
        <f>IFERROR(IF(Retenciones_mes4[[#This Row],[CUIT]]="","-",VLOOKUP(Retenciones_mes4[[#This Row],[CUIT]],Lista_CUIT[#All],2,0)),"CUIT NO CARGADO")</f>
        <v>-</v>
      </c>
    </row>
    <row r="250" spans="3:12" x14ac:dyDescent="0.3">
      <c r="C250" s="33"/>
    </row>
  </sheetData>
  <mergeCells count="20">
    <mergeCell ref="P4:R4"/>
    <mergeCell ref="D175:L175"/>
    <mergeCell ref="B1:F1"/>
    <mergeCell ref="G1:M1"/>
    <mergeCell ref="N1:R1"/>
    <mergeCell ref="B3:E3"/>
    <mergeCell ref="G3:H3"/>
    <mergeCell ref="J3:K3"/>
    <mergeCell ref="M3:N3"/>
    <mergeCell ref="P3:R3"/>
    <mergeCell ref="C243:G243"/>
    <mergeCell ref="B4:E4"/>
    <mergeCell ref="G4:H4"/>
    <mergeCell ref="J4:K4"/>
    <mergeCell ref="M4:N4"/>
    <mergeCell ref="D186:K186"/>
    <mergeCell ref="B215:J215"/>
    <mergeCell ref="K215:M215"/>
    <mergeCell ref="B217:C217"/>
    <mergeCell ref="B227:C227"/>
  </mergeCells>
  <dataValidations count="11">
    <dataValidation type="custom" allowBlank="1" showInputMessage="1" showErrorMessage="1" sqref="H229:L234" xr:uid="{00000000-0002-0000-0400-000000000000}">
      <formula1>IF($C229=8,H229&lt;0,H229&gt;=0)</formula1>
    </dataValidation>
    <dataValidation type="custom" allowBlank="1" showInputMessage="1" showErrorMessage="1" sqref="L221:L223" xr:uid="{00000000-0002-0000-0400-000001000000}">
      <formula1>IF($C11=3,L11&lt;0,L11&gt;=0)</formula1>
    </dataValidation>
    <dataValidation type="custom" allowBlank="1" showInputMessage="1" showErrorMessage="1" sqref="L219:L220" xr:uid="{00000000-0002-0000-0400-000002000000}">
      <formula1>IF($C8=3,L8&lt;0,L8&gt;=0)</formula1>
    </dataValidation>
    <dataValidation type="whole" allowBlank="1" showInputMessage="1" showErrorMessage="1" sqref="C229:C234" xr:uid="{00000000-0002-0000-0400-000003000000}">
      <formula1>6</formula1>
      <formula2>8</formula2>
    </dataValidation>
    <dataValidation type="custom" allowBlank="1" showInputMessage="1" showErrorMessage="1" sqref="H219:K219 H221:K221 H223:K223" xr:uid="{00000000-0002-0000-0400-000004000000}">
      <formula1>IF($C219=3,H219&lt;0,H219&gt;=0)</formula1>
    </dataValidation>
    <dataValidation type="whole" allowBlank="1" showInputMessage="1" showErrorMessage="1" sqref="C219:C223 C8:C166 C174" xr:uid="{00000000-0002-0000-0400-000005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18:O85 H8:O17 O87:O163 H18:N166" xr:uid="{00000000-0002-0000-0400-000006000000}">
      <formula1>IF($C8=3,H8&lt;0,H8&gt;=0)</formula1>
    </dataValidation>
    <dataValidation type="date" allowBlank="1" showInputMessage="1" showErrorMessage="1" sqref="B8:B166 B219:B223 B229:B234 D188:D208 D177:D182 B174" xr:uid="{00000000-0002-0000-0400-000007000000}">
      <formula1>40179</formula1>
      <formula2>TODAY()</formula2>
    </dataValidation>
    <dataValidation type="whole" allowBlank="1" showInputMessage="1" showErrorMessage="1" sqref="G188:G208 F229:F234 F219:F223 F8:F166" xr:uid="{00000000-0002-0000-0400-000008000000}">
      <formula1>20000000000</formula1>
      <formula2>33999999999</formula2>
    </dataValidation>
    <dataValidation type="whole" allowBlank="1" showInputMessage="1" showErrorMessage="1" sqref="E219:E223 E229:E234 F188:F208 E8:E166" xr:uid="{00000000-0002-0000-0400-000009000000}">
      <formula1>1</formula1>
      <formula2>99999999</formula2>
    </dataValidation>
    <dataValidation type="whole" allowBlank="1" showInputMessage="1" showErrorMessage="1" sqref="D219:D223 D229:D234 E188:E208 D8:D166" xr:uid="{00000000-0002-0000-0400-00000A000000}">
      <formula1>1</formula1>
      <formula2>9999</formula2>
    </dataValidation>
  </dataValidations>
  <pageMargins left="0.7" right="0.7" top="0.75" bottom="0.75" header="0.3" footer="0.3"/>
  <pageSetup paperSize="9" scale="51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  <pageSetUpPr fitToPage="1"/>
  </sheetPr>
  <dimension ref="A1:Z276"/>
  <sheetViews>
    <sheetView showGridLines="0" topLeftCell="G201" zoomScale="80" zoomScaleNormal="80" workbookViewId="0">
      <selection activeCell="K209" activeCellId="1" sqref="K204 K209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23.109375" customWidth="1"/>
    <col min="7" max="7" width="30.6640625" customWidth="1"/>
    <col min="8" max="8" width="20" customWidth="1"/>
    <col min="9" max="9" width="15.44140625" bestFit="1" customWidth="1"/>
    <col min="10" max="10" width="21.109375" bestFit="1" customWidth="1"/>
    <col min="11" max="11" width="15.33203125" bestFit="1" customWidth="1"/>
    <col min="12" max="13" width="15.44140625" bestFit="1" customWidth="1"/>
    <col min="14" max="14" width="15.88671875" bestFit="1" customWidth="1"/>
    <col min="15" max="15" width="9.88671875" customWidth="1"/>
    <col min="16" max="16" width="23.109375" customWidth="1"/>
    <col min="17" max="17" width="20.109375" bestFit="1" customWidth="1"/>
    <col min="18" max="18" width="15.6640625" bestFit="1" customWidth="1"/>
    <col min="19" max="19" width="12.332031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28.8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EDATE('Ene-23'!N1,4)</f>
        <v>45047</v>
      </c>
      <c r="O1" s="652"/>
      <c r="P1" s="652"/>
      <c r="Q1" s="652"/>
      <c r="R1" s="652"/>
    </row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SUM(compras_mes5[[#Totals],[NETO GRAVADO]])+extracto_banco_mes5[[#Totals],[NETO]]</f>
        <v>16944489.927099999</v>
      </c>
      <c r="C4" s="659"/>
      <c r="D4" s="659"/>
      <c r="E4" s="659"/>
      <c r="F4" s="39"/>
      <c r="G4" s="660">
        <f>compras_mes5[[#Totals],[IVA 21 %]]+compras_mes5[[#Totals],[IVA 27%]]+compras_mes5[[#Totals],[IVA 10,5%]]+extracto_banco_mes5[[#Totals],[IVA 21%]]+extracto_banco_mes5[[#Totals],[IVA 10,5%]]</f>
        <v>3515293.2168999994</v>
      </c>
      <c r="H4" s="660"/>
      <c r="I4" s="39"/>
      <c r="J4" s="649">
        <f>venta_a_mes5[[#Totals],[IMPORTE NETO]]+ventas_b_mes5[[#Totals],[IMPORTE NETO]]</f>
        <v>0</v>
      </c>
      <c r="K4" s="649"/>
      <c r="L4" s="39"/>
      <c r="M4" s="649">
        <f>venta_a_mes5[[#Totals],[IVA 21%]]+venta_a_mes5[[#Totals],[IVA 10,5%]]+ventas_b_mes5[[#Totals],[IVA 21%]]+ventas_b_mes5[[#Totals],[IVA 10,5%]]</f>
        <v>0</v>
      </c>
      <c r="N4" s="649"/>
      <c r="O4" s="39"/>
      <c r="P4" s="662">
        <f>G4-M4</f>
        <v>3515293.2168999994</v>
      </c>
      <c r="Q4" s="663"/>
      <c r="R4" s="663"/>
    </row>
    <row r="5" spans="1:26" x14ac:dyDescent="0.3">
      <c r="H5" s="355"/>
      <c r="M5">
        <v>7726855.9000000004</v>
      </c>
    </row>
    <row r="6" spans="1:26" s="2" customFormat="1" x14ac:dyDescent="0.3">
      <c r="B6" s="40"/>
      <c r="C6" s="41"/>
      <c r="D6" s="42"/>
      <c r="E6" s="43"/>
      <c r="F6" s="44"/>
      <c r="G6" s="370" t="s">
        <v>1832</v>
      </c>
      <c r="H6" s="46"/>
      <c r="I6" s="47"/>
      <c r="J6" s="47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" customHeight="1" x14ac:dyDescent="0.3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3">
      <c r="B8" s="399">
        <v>45048</v>
      </c>
      <c r="C8" s="400">
        <v>1</v>
      </c>
      <c r="D8" s="401">
        <v>1</v>
      </c>
      <c r="E8" s="402">
        <v>79</v>
      </c>
      <c r="F8" s="403">
        <v>30716010313</v>
      </c>
      <c r="G8" s="404" t="str">
        <f>IFERROR(IF(compras_mes5[[#This Row],[CUIT]]="","-",VLOOKUP(compras_mes5[[#This Row],[CUIT]],Lista_CUIT[#All],2,0)),"CUIT NO CARGADO")</f>
        <v>H UNO 1469 S.A.</v>
      </c>
      <c r="H8" s="405">
        <v>38400</v>
      </c>
      <c r="I8" s="406">
        <f>IF(compras_mes5[[#This Row],[NETO GRAVADO]]="","",compras_mes5[[#This Row],[NETO GRAVADO]]*0.21)</f>
        <v>8064</v>
      </c>
      <c r="J8" s="406"/>
      <c r="K8" s="406"/>
      <c r="L8" s="406"/>
      <c r="M8" s="406"/>
      <c r="N8" s="406"/>
      <c r="O8" s="406"/>
      <c r="P8" s="407">
        <f>SUM(compras_mes5[[#This Row],[NETO GRAVADO]:[Otros / No Grav.]])</f>
        <v>46464</v>
      </c>
      <c r="Q8" s="408" t="str">
        <f>IFERROR(IF(compras_mes5[[#This Row],[CUIT]]="","-",VLOOKUP(compras_mes5[[#This Row],[CUIT]],Lista_CUIT[#All],3,0)),"CUIT NO CARGADO")</f>
        <v>Alquiler</v>
      </c>
      <c r="R8" s="408">
        <f>IFERROR(IF(compras_mes5[[#This Row],[CUIT]]="","-",VLOOKUP(compras_mes5[[#This Row],[CUIT]],Lista_CUIT[#All],4,0)),"CUIT NO CARGADO")</f>
        <v>0</v>
      </c>
    </row>
    <row r="9" spans="1:26" x14ac:dyDescent="0.3">
      <c r="B9" s="378">
        <v>45048</v>
      </c>
      <c r="C9" s="379">
        <v>1</v>
      </c>
      <c r="D9" s="380">
        <v>1</v>
      </c>
      <c r="E9" s="381">
        <v>375</v>
      </c>
      <c r="F9" s="382">
        <v>20131206144</v>
      </c>
      <c r="G9" s="383" t="str">
        <f>IFERROR(IF(compras_mes5[[#This Row],[CUIT]]="","-",VLOOKUP(compras_mes5[[#This Row],[CUIT]],Lista_CUIT[#All],2,0)),"CUIT NO CARGADO")</f>
        <v>CHAMORRO MANUEL</v>
      </c>
      <c r="H9" s="384">
        <v>60000</v>
      </c>
      <c r="I9" s="385">
        <f>IF(compras_mes5[[#This Row],[NETO GRAVADO]]="","",compras_mes5[[#This Row],[NETO GRAVADO]]*0.21)</f>
        <v>12600</v>
      </c>
      <c r="J9" s="385"/>
      <c r="K9" s="385"/>
      <c r="L9" s="385"/>
      <c r="M9" s="385"/>
      <c r="N9" s="385"/>
      <c r="O9" s="385"/>
      <c r="P9" s="386">
        <f>SUM(compras_mes5[[#This Row],[NETO GRAVADO]:[Otros / No Grav.]])</f>
        <v>72600</v>
      </c>
      <c r="Q9" s="453" t="str">
        <f>IFERROR(IF(compras_mes5[[#This Row],[CUIT]]="","-",VLOOKUP(compras_mes5[[#This Row],[CUIT]],Lista_CUIT[#All],3,0)),"CUIT NO CARGADO")</f>
        <v>Alquiler</v>
      </c>
      <c r="R9" s="453">
        <f>IFERROR(IF(compras_mes5[[#This Row],[CUIT]]="","-",VLOOKUP(compras_mes5[[#This Row],[CUIT]],Lista_CUIT[#All],4,0)),"CUIT NO CARGADO")</f>
        <v>0</v>
      </c>
    </row>
    <row r="10" spans="1:26" x14ac:dyDescent="0.3">
      <c r="B10" s="399">
        <v>45048</v>
      </c>
      <c r="C10" s="400">
        <v>1</v>
      </c>
      <c r="D10" s="401">
        <v>130</v>
      </c>
      <c r="E10" s="402">
        <v>1849</v>
      </c>
      <c r="F10" s="403">
        <v>30712099166</v>
      </c>
      <c r="G10" s="404" t="str">
        <f>IFERROR(IF(compras_mes5[[#This Row],[CUIT]]="","-",VLOOKUP(compras_mes5[[#This Row],[CUIT]],Lista_CUIT[#All],2,0)),"CUIT NO CARGADO")</f>
        <v>INGACOT COMERCIAL S.A.</v>
      </c>
      <c r="H10" s="405">
        <v>6653.88</v>
      </c>
      <c r="I10" s="406">
        <f>IF(compras_mes5[[#This Row],[NETO GRAVADO]]="","",compras_mes5[[#This Row],[NETO GRAVADO]]*0.21)</f>
        <v>1397.3147999999999</v>
      </c>
      <c r="J10" s="406"/>
      <c r="K10" s="406"/>
      <c r="L10" s="406"/>
      <c r="M10" s="406"/>
      <c r="N10" s="406"/>
      <c r="O10" s="406"/>
      <c r="P10" s="407">
        <f>SUM(compras_mes5[[#This Row],[NETO GRAVADO]:[Otros / No Grav.]])</f>
        <v>8051.1948000000002</v>
      </c>
      <c r="Q10" s="408">
        <f>IFERROR(IF(compras_mes5[[#This Row],[CUIT]]="","-",VLOOKUP(compras_mes5[[#This Row],[CUIT]],Lista_CUIT[#All],3,0)),"CUIT NO CARGADO")</f>
        <v>0</v>
      </c>
      <c r="R10" s="408">
        <f>IFERROR(IF(compras_mes5[[#This Row],[CUIT]]="","-",VLOOKUP(compras_mes5[[#This Row],[CUIT]],Lista_CUIT[#All],4,0)),"CUIT NO CARGADO")</f>
        <v>0</v>
      </c>
    </row>
    <row r="11" spans="1:26" x14ac:dyDescent="0.3">
      <c r="B11" s="399">
        <v>45048</v>
      </c>
      <c r="C11" s="400">
        <v>1</v>
      </c>
      <c r="D11" s="401">
        <v>2</v>
      </c>
      <c r="E11" s="402">
        <v>3328</v>
      </c>
      <c r="F11" s="403">
        <v>30629863571</v>
      </c>
      <c r="G11" s="404" t="str">
        <f>IFERROR(IF(compras_mes5[[#This Row],[CUIT]]="","-",VLOOKUP(compras_mes5[[#This Row],[CUIT]],Lista_CUIT[#All],2,0)),"CUIT NO CARGADO")</f>
        <v>TECNIMAR S R L</v>
      </c>
      <c r="H11" s="405">
        <v>166760</v>
      </c>
      <c r="I11" s="406">
        <f>IF(compras_mes5[[#This Row],[NETO GRAVADO]]="","",compras_mes5[[#This Row],[NETO GRAVADO]]*0.21)</f>
        <v>35019.599999999999</v>
      </c>
      <c r="J11" s="406"/>
      <c r="K11" s="406"/>
      <c r="L11" s="406"/>
      <c r="M11" s="406"/>
      <c r="N11" s="406"/>
      <c r="O11" s="406"/>
      <c r="P11" s="407">
        <f>SUM(compras_mes5[[#This Row],[NETO GRAVADO]:[Otros / No Grav.]])</f>
        <v>201779.6</v>
      </c>
      <c r="Q11" s="408" t="str">
        <f>IFERROR(IF(compras_mes5[[#This Row],[CUIT]]="","-",VLOOKUP(compras_mes5[[#This Row],[CUIT]],Lista_CUIT[#All],3,0)),"CUIT NO CARGADO")</f>
        <v>LABORATORIO</v>
      </c>
      <c r="R11" s="408">
        <f>IFERROR(IF(compras_mes5[[#This Row],[CUIT]]="","-",VLOOKUP(compras_mes5[[#This Row],[CUIT]],Lista_CUIT[#All],4,0)),"CUIT NO CARGADO")</f>
        <v>0</v>
      </c>
    </row>
    <row r="12" spans="1:26" x14ac:dyDescent="0.3">
      <c r="B12" s="399">
        <v>45048</v>
      </c>
      <c r="C12" s="400">
        <v>1</v>
      </c>
      <c r="D12" s="401">
        <v>20</v>
      </c>
      <c r="E12" s="402">
        <v>8502</v>
      </c>
      <c r="F12" s="403">
        <v>30515800219</v>
      </c>
      <c r="G12" s="404" t="str">
        <f>IFERROR(IF(compras_mes5[[#This Row],[CUIT]]="","-",VLOOKUP(compras_mes5[[#This Row],[CUIT]],Lista_CUIT[#All],2,0)),"CUIT NO CARGADO")</f>
        <v>INCAT SRL</v>
      </c>
      <c r="H12" s="405">
        <v>574.59</v>
      </c>
      <c r="I12" s="406">
        <f>IF(compras_mes5[[#This Row],[NETO GRAVADO]]="","",compras_mes5[[#This Row],[NETO GRAVADO]]*0.21)</f>
        <v>120.6639</v>
      </c>
      <c r="J12" s="406"/>
      <c r="K12" s="406"/>
      <c r="L12" s="406"/>
      <c r="M12" s="406"/>
      <c r="N12" s="406"/>
      <c r="O12" s="406">
        <v>9.75</v>
      </c>
      <c r="P12" s="407">
        <f>SUM(compras_mes5[[#This Row],[NETO GRAVADO]:[Otros / No Grav.]])</f>
        <v>705.00390000000004</v>
      </c>
      <c r="Q12" s="408" t="str">
        <f>IFERROR(IF(compras_mes5[[#This Row],[CUIT]]="","-",VLOOKUP(compras_mes5[[#This Row],[CUIT]],Lista_CUIT[#All],3,0)),"CUIT NO CARGADO")</f>
        <v>Combustibe</v>
      </c>
      <c r="R12" s="408" t="str">
        <f>IFERROR(IF(compras_mes5[[#This Row],[CUIT]]="","-",VLOOKUP(compras_mes5[[#This Row],[CUIT]],Lista_CUIT[#All],4,0)),"CUIT NO CARGADO")</f>
        <v>CABA</v>
      </c>
    </row>
    <row r="13" spans="1:26" x14ac:dyDescent="0.3">
      <c r="B13" s="399">
        <v>45048</v>
      </c>
      <c r="C13" s="400">
        <v>1</v>
      </c>
      <c r="D13" s="401">
        <v>6852</v>
      </c>
      <c r="E13" s="402">
        <v>16729</v>
      </c>
      <c r="F13" s="403">
        <v>30678774495</v>
      </c>
      <c r="G13" s="404" t="str">
        <f>IFERROR(IF(compras_mes5[[#This Row],[CUIT]]="","-",VLOOKUP(compras_mes5[[#This Row],[CUIT]],Lista_CUIT[#All],2,0)),"CUIT NO CARGADO")</f>
        <v>OPER. DE EST. DE SERV. SA</v>
      </c>
      <c r="H13" s="405">
        <v>1447.6</v>
      </c>
      <c r="I13" s="406">
        <f>IF(compras_mes5[[#This Row],[NETO GRAVADO]]="","",compras_mes5[[#This Row],[NETO GRAVADO]]*0.21)</f>
        <v>303.99599999999998</v>
      </c>
      <c r="J13" s="406"/>
      <c r="K13" s="406"/>
      <c r="L13" s="406"/>
      <c r="M13" s="406"/>
      <c r="N13" s="406"/>
      <c r="O13" s="406">
        <v>248.4</v>
      </c>
      <c r="P13" s="407">
        <f>SUM(compras_mes5[[#This Row],[NETO GRAVADO]:[Otros / No Grav.]])</f>
        <v>1999.9960000000001</v>
      </c>
      <c r="Q13" s="408" t="str">
        <f>IFERROR(IF(compras_mes5[[#This Row],[CUIT]]="","-",VLOOKUP(compras_mes5[[#This Row],[CUIT]],Lista_CUIT[#All],3,0)),"CUIT NO CARGADO")</f>
        <v>Combustibe</v>
      </c>
      <c r="R13" s="408">
        <f>IFERROR(IF(compras_mes5[[#This Row],[CUIT]]="","-",VLOOKUP(compras_mes5[[#This Row],[CUIT]],Lista_CUIT[#All],4,0)),"CUIT NO CARGADO")</f>
        <v>0</v>
      </c>
    </row>
    <row r="14" spans="1:26" x14ac:dyDescent="0.3">
      <c r="B14" s="421">
        <v>45048</v>
      </c>
      <c r="C14" s="250">
        <v>1</v>
      </c>
      <c r="D14" s="423">
        <v>5014</v>
      </c>
      <c r="E14" s="424">
        <v>411968</v>
      </c>
      <c r="F14" s="425">
        <v>30574876474</v>
      </c>
      <c r="G14" s="426" t="str">
        <f>IFERROR(IF(compras_mes5[[#This Row],[CUIT]]="","-",VLOOKUP(compras_mes5[[#This Row],[CUIT]],Lista_CUIT[#All],2,0)),"CUIT NO CARGADO")</f>
        <v>AUTOPISTAS URBANAS S A</v>
      </c>
      <c r="H14" s="427">
        <v>15822.51</v>
      </c>
      <c r="I14" s="428">
        <f>IF(compras_mes5[[#This Row],[NETO GRAVADO]]="","",compras_mes5[[#This Row],[NETO GRAVADO]]*0.21)</f>
        <v>3322.7271000000001</v>
      </c>
      <c r="J14" s="428"/>
      <c r="K14" s="428"/>
      <c r="L14" s="428"/>
      <c r="M14" s="428"/>
      <c r="N14" s="428"/>
      <c r="O14" s="428">
        <v>2056.7199999999998</v>
      </c>
      <c r="P14" s="429">
        <f>SUM(compras_mes5[[#This Row],[NETO GRAVADO]:[Otros / No Grav.]])</f>
        <v>21201.9571</v>
      </c>
      <c r="Q14" s="430">
        <f>IFERROR(IF(compras_mes5[[#This Row],[CUIT]]="","-",VLOOKUP(compras_mes5[[#This Row],[CUIT]],Lista_CUIT[#All],3,0)),"CUIT NO CARGADO")</f>
        <v>0</v>
      </c>
      <c r="R14" s="430">
        <f>IFERROR(IF(compras_mes5[[#This Row],[CUIT]]="","-",VLOOKUP(compras_mes5[[#This Row],[CUIT]],Lista_CUIT[#All],4,0)),"CUIT NO CARGADO")</f>
        <v>0</v>
      </c>
    </row>
    <row r="15" spans="1:26" x14ac:dyDescent="0.3">
      <c r="B15" s="399">
        <v>45049</v>
      </c>
      <c r="C15" s="400">
        <v>1</v>
      </c>
      <c r="D15" s="401">
        <v>4</v>
      </c>
      <c r="E15" s="402">
        <v>511</v>
      </c>
      <c r="F15" s="403">
        <v>30705466269</v>
      </c>
      <c r="G15" s="404" t="str">
        <f>IFERROR(IF(compras_mes5[[#This Row],[CUIT]]="","-",VLOOKUP(compras_mes5[[#This Row],[CUIT]],Lista_CUIT[#All],2,0)),"CUIT NO CARGADO")</f>
        <v>CHIEN SA</v>
      </c>
      <c r="H15" s="405">
        <v>1824.66</v>
      </c>
      <c r="I15" s="406">
        <f>IF(compras_mes5[[#This Row],[NETO GRAVADO]]="","",compras_mes5[[#This Row],[NETO GRAVADO]]*0.21)</f>
        <v>383.17860000000002</v>
      </c>
      <c r="J15" s="406"/>
      <c r="K15" s="406"/>
      <c r="L15" s="406"/>
      <c r="M15" s="406"/>
      <c r="N15" s="406"/>
      <c r="O15" s="406"/>
      <c r="P15" s="407">
        <f>SUM(compras_mes5[[#This Row],[NETO GRAVADO]:[Otros / No Grav.]])</f>
        <v>2207.8386</v>
      </c>
      <c r="Q15" s="408">
        <f>IFERROR(IF(compras_mes5[[#This Row],[CUIT]]="","-",VLOOKUP(compras_mes5[[#This Row],[CUIT]],Lista_CUIT[#All],3,0)),"CUIT NO CARGADO")</f>
        <v>0</v>
      </c>
      <c r="R15" s="408">
        <f>IFERROR(IF(compras_mes5[[#This Row],[CUIT]]="","-",VLOOKUP(compras_mes5[[#This Row],[CUIT]],Lista_CUIT[#All],4,0)),"CUIT NO CARGADO")</f>
        <v>0</v>
      </c>
    </row>
    <row r="16" spans="1:26" x14ac:dyDescent="0.3">
      <c r="B16" s="371">
        <v>45049</v>
      </c>
      <c r="C16" s="372">
        <v>1</v>
      </c>
      <c r="D16" s="373">
        <v>9</v>
      </c>
      <c r="E16" s="374">
        <v>765</v>
      </c>
      <c r="F16" s="375">
        <v>30710446047</v>
      </c>
      <c r="G16" s="370" t="str">
        <f>IFERROR(IF(compras_mes5[[#This Row],[CUIT]]="","-",VLOOKUP(compras_mes5[[#This Row],[CUIT]],Lista_CUIT[#All],2,0)),"CUIT NO CARGADO")</f>
        <v>ENSAMBLE GRAFICO S.H.</v>
      </c>
      <c r="H16" s="376">
        <v>169750</v>
      </c>
      <c r="I16" s="377">
        <f>IF(compras_mes5[[#This Row],[NETO GRAVADO]]="","",compras_mes5[[#This Row],[NETO GRAVADO]]*0.21)</f>
        <v>35647.5</v>
      </c>
      <c r="J16" s="377"/>
      <c r="K16" s="377"/>
      <c r="L16" s="377"/>
      <c r="M16" s="377"/>
      <c r="N16" s="377"/>
      <c r="O16" s="377"/>
      <c r="P16" s="360">
        <f>SUM(compras_mes5[[#This Row],[NETO GRAVADO]:[Otros / No Grav.]])</f>
        <v>205397.5</v>
      </c>
      <c r="Q16" s="454">
        <f>IFERROR(IF(compras_mes5[[#This Row],[CUIT]]="","-",VLOOKUP(compras_mes5[[#This Row],[CUIT]],Lista_CUIT[#All],3,0)),"CUIT NO CARGADO")</f>
        <v>0</v>
      </c>
      <c r="R16" s="454">
        <f>IFERROR(IF(compras_mes5[[#This Row],[CUIT]]="","-",VLOOKUP(compras_mes5[[#This Row],[CUIT]],Lista_CUIT[#All],4,0)),"CUIT NO CARGADO")</f>
        <v>0</v>
      </c>
    </row>
    <row r="17" spans="2:18" x14ac:dyDescent="0.3">
      <c r="B17" s="399">
        <v>45049</v>
      </c>
      <c r="C17" s="400">
        <v>1</v>
      </c>
      <c r="D17" s="401">
        <v>6</v>
      </c>
      <c r="E17" s="402">
        <v>5690</v>
      </c>
      <c r="F17" s="403">
        <v>27135996373</v>
      </c>
      <c r="G17" s="404" t="str">
        <f>IFERROR(IF(compras_mes5[[#This Row],[CUIT]]="","-",VLOOKUP(compras_mes5[[#This Row],[CUIT]],Lista_CUIT[#All],2,0)),"CUIT NO CARGADO")</f>
        <v>MARTIN CRISTINA BEATRIZ</v>
      </c>
      <c r="H17" s="405">
        <v>4165.3</v>
      </c>
      <c r="I17" s="406">
        <f>IF(compras_mes5[[#This Row],[NETO GRAVADO]]="","",compras_mes5[[#This Row],[NETO GRAVADO]]*0.21)</f>
        <v>874.71299999999997</v>
      </c>
      <c r="J17" s="406"/>
      <c r="K17" s="406"/>
      <c r="L17" s="406"/>
      <c r="M17" s="406"/>
      <c r="N17" s="406"/>
      <c r="O17" s="406"/>
      <c r="P17" s="407">
        <f>SUM(compras_mes5[[#This Row],[NETO GRAVADO]:[Otros / No Grav.]])</f>
        <v>5040.0129999999999</v>
      </c>
      <c r="Q17" s="408">
        <f>IFERROR(IF(compras_mes5[[#This Row],[CUIT]]="","-",VLOOKUP(compras_mes5[[#This Row],[CUIT]],Lista_CUIT[#All],3,0)),"CUIT NO CARGADO")</f>
        <v>0</v>
      </c>
      <c r="R17" s="408">
        <f>IFERROR(IF(compras_mes5[[#This Row],[CUIT]]="","-",VLOOKUP(compras_mes5[[#This Row],[CUIT]],Lista_CUIT[#All],4,0)),"CUIT NO CARGADO")</f>
        <v>0</v>
      </c>
    </row>
    <row r="18" spans="2:18" x14ac:dyDescent="0.3">
      <c r="B18" s="399">
        <v>45049</v>
      </c>
      <c r="C18" s="400">
        <v>1</v>
      </c>
      <c r="D18" s="401">
        <v>3</v>
      </c>
      <c r="E18" s="402">
        <v>7653</v>
      </c>
      <c r="F18" s="403">
        <v>20928324568</v>
      </c>
      <c r="G18" s="404" t="str">
        <f>IFERROR(IF(compras_mes5[[#This Row],[CUIT]]="","-",VLOOKUP(compras_mes5[[#This Row],[CUIT]],Lista_CUIT[#All],2,0)),"CUIT NO CARGADO")</f>
        <v>LATEULADE DORADO ADRIAN HUGO</v>
      </c>
      <c r="H18" s="405">
        <v>3264.46</v>
      </c>
      <c r="I18" s="406">
        <f>IF(compras_mes5[[#This Row],[NETO GRAVADO]]="","",compras_mes5[[#This Row],[NETO GRAVADO]]*0.21)</f>
        <v>685.53660000000002</v>
      </c>
      <c r="J18" s="406"/>
      <c r="K18" s="406"/>
      <c r="L18" s="406"/>
      <c r="M18" s="406"/>
      <c r="N18" s="406"/>
      <c r="O18" s="406"/>
      <c r="P18" s="407">
        <f>SUM(compras_mes5[[#This Row],[NETO GRAVADO]:[Otros / No Grav.]])</f>
        <v>3949.9965999999999</v>
      </c>
      <c r="Q18" s="408">
        <f>IFERROR(IF(compras_mes5[[#This Row],[CUIT]]="","-",VLOOKUP(compras_mes5[[#This Row],[CUIT]],Lista_CUIT[#All],3,0)),"CUIT NO CARGADO")</f>
        <v>0</v>
      </c>
      <c r="R18" s="408">
        <f>IFERROR(IF(compras_mes5[[#This Row],[CUIT]]="","-",VLOOKUP(compras_mes5[[#This Row],[CUIT]],Lista_CUIT[#All],4,0)),"CUIT NO CARGADO")</f>
        <v>0</v>
      </c>
    </row>
    <row r="19" spans="2:18" x14ac:dyDescent="0.3">
      <c r="B19" s="421">
        <v>45049</v>
      </c>
      <c r="C19" s="422">
        <v>1</v>
      </c>
      <c r="D19" s="423">
        <v>20</v>
      </c>
      <c r="E19" s="424">
        <v>8517</v>
      </c>
      <c r="F19" s="425">
        <v>30515800219</v>
      </c>
      <c r="G19" s="426" t="str">
        <f>IFERROR(IF(compras_mes5[[#This Row],[CUIT]]="","-",VLOOKUP(compras_mes5[[#This Row],[CUIT]],Lista_CUIT[#All],2,0)),"CUIT NO CARGADO")</f>
        <v>INCAT SRL</v>
      </c>
      <c r="H19" s="427">
        <v>596.62</v>
      </c>
      <c r="I19" s="428">
        <f>IF(compras_mes5[[#This Row],[NETO GRAVADO]]="","",compras_mes5[[#This Row],[NETO GRAVADO]]*0.21)</f>
        <v>125.2902</v>
      </c>
      <c r="J19" s="428"/>
      <c r="K19" s="428"/>
      <c r="L19" s="428"/>
      <c r="M19" s="428"/>
      <c r="N19" s="428"/>
      <c r="O19" s="428">
        <v>10.11</v>
      </c>
      <c r="P19" s="429">
        <f>SUM(compras_mes5[[#This Row],[NETO GRAVADO]:[Otros / No Grav.]])</f>
        <v>732.02020000000005</v>
      </c>
      <c r="Q19" s="430" t="str">
        <f>IFERROR(IF(compras_mes5[[#This Row],[CUIT]]="","-",VLOOKUP(compras_mes5[[#This Row],[CUIT]],Lista_CUIT[#All],3,0)),"CUIT NO CARGADO")</f>
        <v>Combustibe</v>
      </c>
      <c r="R19" s="430" t="str">
        <f>IFERROR(IF(compras_mes5[[#This Row],[CUIT]]="","-",VLOOKUP(compras_mes5[[#This Row],[CUIT]],Lista_CUIT[#All],4,0)),"CUIT NO CARGADO")</f>
        <v>CABA</v>
      </c>
    </row>
    <row r="20" spans="2:18" x14ac:dyDescent="0.3">
      <c r="B20" s="399">
        <v>45049</v>
      </c>
      <c r="C20" s="400">
        <v>1</v>
      </c>
      <c r="D20" s="401">
        <v>19</v>
      </c>
      <c r="E20" s="402">
        <v>10911</v>
      </c>
      <c r="F20" s="403">
        <v>30515800219</v>
      </c>
      <c r="G20" s="404" t="str">
        <f>IFERROR(IF(compras_mes5[[#This Row],[CUIT]]="","-",VLOOKUP(compras_mes5[[#This Row],[CUIT]],Lista_CUIT[#All],2,0)),"CUIT NO CARGADO")</f>
        <v>INCAT SRL</v>
      </c>
      <c r="H20" s="405">
        <v>596.62</v>
      </c>
      <c r="I20" s="406">
        <f>IF(compras_mes5[[#This Row],[NETO GRAVADO]]="","",compras_mes5[[#This Row],[NETO GRAVADO]]*0.21)</f>
        <v>125.2902</v>
      </c>
      <c r="J20" s="406"/>
      <c r="K20" s="406"/>
      <c r="L20" s="406"/>
      <c r="M20" s="406"/>
      <c r="N20" s="406"/>
      <c r="O20" s="406">
        <v>10.119999999999999</v>
      </c>
      <c r="P20" s="407">
        <f>SUM(compras_mes5[[#This Row],[NETO GRAVADO]:[Otros / No Grav.]])</f>
        <v>732.03020000000004</v>
      </c>
      <c r="Q20" s="408" t="str">
        <f>IFERROR(IF(compras_mes5[[#This Row],[CUIT]]="","-",VLOOKUP(compras_mes5[[#This Row],[CUIT]],Lista_CUIT[#All],3,0)),"CUIT NO CARGADO")</f>
        <v>Combustibe</v>
      </c>
      <c r="R20" s="408" t="str">
        <f>IFERROR(IF(compras_mes5[[#This Row],[CUIT]]="","-",VLOOKUP(compras_mes5[[#This Row],[CUIT]],Lista_CUIT[#All],4,0)),"CUIT NO CARGADO")</f>
        <v>CABA</v>
      </c>
    </row>
    <row r="21" spans="2:18" x14ac:dyDescent="0.3">
      <c r="B21" s="399">
        <v>45049</v>
      </c>
      <c r="C21" s="400">
        <v>1</v>
      </c>
      <c r="D21" s="401">
        <v>10</v>
      </c>
      <c r="E21" s="402">
        <v>11272</v>
      </c>
      <c r="F21" s="403">
        <v>30528214483</v>
      </c>
      <c r="G21" s="404" t="str">
        <f>IFERROR(IF(compras_mes5[[#This Row],[CUIT]]="","-",VLOOKUP(compras_mes5[[#This Row],[CUIT]],Lista_CUIT[#All],2,0)),"CUIT NO CARGADO")</f>
        <v>D WEINSTOCK S R L</v>
      </c>
      <c r="H21" s="405">
        <v>22692.560000000001</v>
      </c>
      <c r="I21" s="406">
        <f>IF(compras_mes5[[#This Row],[NETO GRAVADO]]="","",compras_mes5[[#This Row],[NETO GRAVADO]]*0.21)</f>
        <v>4765.4376000000002</v>
      </c>
      <c r="J21" s="406"/>
      <c r="K21" s="406"/>
      <c r="L21" s="406"/>
      <c r="M21" s="406"/>
      <c r="N21" s="406"/>
      <c r="O21" s="406"/>
      <c r="P21" s="407">
        <f>SUM(compras_mes5[[#This Row],[NETO GRAVADO]:[Otros / No Grav.]])</f>
        <v>27457.997600000002</v>
      </c>
      <c r="Q21" s="408">
        <f>IFERROR(IF(compras_mes5[[#This Row],[CUIT]]="","-",VLOOKUP(compras_mes5[[#This Row],[CUIT]],Lista_CUIT[#All],3,0)),"CUIT NO CARGADO")</f>
        <v>0</v>
      </c>
      <c r="R21" s="408">
        <f>IFERROR(IF(compras_mes5[[#This Row],[CUIT]]="","-",VLOOKUP(compras_mes5[[#This Row],[CUIT]],Lista_CUIT[#All],4,0)),"CUIT NO CARGADO")</f>
        <v>0</v>
      </c>
    </row>
    <row r="22" spans="2:18" x14ac:dyDescent="0.3">
      <c r="B22" s="421">
        <v>45049</v>
      </c>
      <c r="C22" s="250">
        <v>1</v>
      </c>
      <c r="D22" s="423">
        <v>943</v>
      </c>
      <c r="E22" s="424">
        <v>1460793</v>
      </c>
      <c r="F22" s="425">
        <v>30639453975</v>
      </c>
      <c r="G22" s="426" t="str">
        <f>IFERROR(IF(compras_mes5[[#This Row],[CUIT]]="","-",VLOOKUP(compras_mes5[[#This Row],[CUIT]],Lista_CUIT[#All],2,0)),"CUIT NO CARGADO")</f>
        <v>TELEFONICA DE ARG S.A.</v>
      </c>
      <c r="H22" s="427">
        <v>20926.64</v>
      </c>
      <c r="I22" s="428"/>
      <c r="J22" s="428">
        <v>5650.16</v>
      </c>
      <c r="K22" s="428"/>
      <c r="L22" s="428">
        <v>627.79999999999995</v>
      </c>
      <c r="M22" s="428"/>
      <c r="N22" s="428">
        <v>1255.5999999999999</v>
      </c>
      <c r="O22" s="428"/>
      <c r="P22" s="429">
        <f>SUM(compras_mes5[[#This Row],[NETO GRAVADO]:[Otros / No Grav.]])</f>
        <v>28460.199999999997</v>
      </c>
      <c r="Q22" s="430" t="str">
        <f>IFERROR(IF(compras_mes5[[#This Row],[CUIT]]="","-",VLOOKUP(compras_mes5[[#This Row],[CUIT]],Lista_CUIT[#All],3,0)),"CUIT NO CARGADO")</f>
        <v>Servicios Gas, Luz, etc.</v>
      </c>
      <c r="R22" s="430">
        <f>IFERROR(IF(compras_mes5[[#This Row],[CUIT]]="","-",VLOOKUP(compras_mes5[[#This Row],[CUIT]],Lista_CUIT[#All],4,0)),"CUIT NO CARGADO")</f>
        <v>0</v>
      </c>
    </row>
    <row r="23" spans="2:18" x14ac:dyDescent="0.3">
      <c r="B23" s="421">
        <v>45049</v>
      </c>
      <c r="C23" s="250">
        <v>1</v>
      </c>
      <c r="D23" s="423">
        <v>629</v>
      </c>
      <c r="E23" s="424">
        <v>4139842</v>
      </c>
      <c r="F23" s="425">
        <v>30663498513</v>
      </c>
      <c r="G23" s="426" t="str">
        <f>IFERROR(IF(compras_mes5[[#This Row],[CUIT]]="","-",VLOOKUP(compras_mes5[[#This Row],[CUIT]],Lista_CUIT[#All],2,0)),"CUIT NO CARGADO")</f>
        <v>GRUPO CONCES. DEL OESTE SA</v>
      </c>
      <c r="H23" s="427">
        <v>1290.9000000000001</v>
      </c>
      <c r="I23" s="428">
        <f>IF(compras_mes5[[#This Row],[NETO GRAVADO]]="","",compras_mes5[[#This Row],[NETO GRAVADO]]*0.21)</f>
        <v>271.089</v>
      </c>
      <c r="J23" s="428"/>
      <c r="K23" s="428"/>
      <c r="L23" s="428"/>
      <c r="M23" s="428"/>
      <c r="N23" s="428"/>
      <c r="O23" s="428"/>
      <c r="P23" s="429">
        <f>SUM(compras_mes5[[#This Row],[NETO GRAVADO]:[Otros / No Grav.]])</f>
        <v>1561.989</v>
      </c>
      <c r="Q23" s="430">
        <f>IFERROR(IF(compras_mes5[[#This Row],[CUIT]]="","-",VLOOKUP(compras_mes5[[#This Row],[CUIT]],Lista_CUIT[#All],3,0)),"CUIT NO CARGADO")</f>
        <v>0</v>
      </c>
      <c r="R23" s="430">
        <f>IFERROR(IF(compras_mes5[[#This Row],[CUIT]]="","-",VLOOKUP(compras_mes5[[#This Row],[CUIT]],Lista_CUIT[#All],4,0)),"CUIT NO CARGADO")</f>
        <v>0</v>
      </c>
    </row>
    <row r="24" spans="2:18" x14ac:dyDescent="0.3">
      <c r="B24" s="421">
        <v>45049</v>
      </c>
      <c r="C24" s="250">
        <v>1</v>
      </c>
      <c r="D24" s="423">
        <v>711</v>
      </c>
      <c r="E24" s="424">
        <v>4258772</v>
      </c>
      <c r="F24" s="425">
        <v>30677237119</v>
      </c>
      <c r="G24" s="426" t="str">
        <f>IFERROR(IF(compras_mes5[[#This Row],[CUIT]]="","-",VLOOKUP(compras_mes5[[#This Row],[CUIT]],Lista_CUIT[#All],2,0)),"CUIT NO CARGADO")</f>
        <v>AUTOPISTAS DEL SOL S A</v>
      </c>
      <c r="H24" s="427">
        <v>1614.87</v>
      </c>
      <c r="I24" s="428">
        <f>IF(compras_mes5[[#This Row],[NETO GRAVADO]]="","",compras_mes5[[#This Row],[NETO GRAVADO]]*0.21)</f>
        <v>339.12269999999995</v>
      </c>
      <c r="J24" s="428"/>
      <c r="K24" s="428"/>
      <c r="L24" s="428"/>
      <c r="M24" s="428"/>
      <c r="N24" s="428"/>
      <c r="O24" s="428"/>
      <c r="P24" s="429">
        <f>SUM(compras_mes5[[#This Row],[NETO GRAVADO]:[Otros / No Grav.]])</f>
        <v>1953.9926999999998</v>
      </c>
      <c r="Q24" s="430">
        <f>IFERROR(IF(compras_mes5[[#This Row],[CUIT]]="","-",VLOOKUP(compras_mes5[[#This Row],[CUIT]],Lista_CUIT[#All],3,0)),"CUIT NO CARGADO")</f>
        <v>0</v>
      </c>
      <c r="R24" s="430">
        <f>IFERROR(IF(compras_mes5[[#This Row],[CUIT]]="","-",VLOOKUP(compras_mes5[[#This Row],[CUIT]],Lista_CUIT[#All],4,0)),"CUIT NO CARGADO")</f>
        <v>0</v>
      </c>
    </row>
    <row r="25" spans="2:18" x14ac:dyDescent="0.3">
      <c r="B25" s="421">
        <v>45050</v>
      </c>
      <c r="C25" s="422">
        <v>3</v>
      </c>
      <c r="D25" s="423">
        <v>12</v>
      </c>
      <c r="E25" s="424">
        <v>93</v>
      </c>
      <c r="F25" s="425">
        <v>30696131003</v>
      </c>
      <c r="G25" s="426" t="str">
        <f>IFERROR(IF(compras_mes5[[#This Row],[CUIT]]="","-",VLOOKUP(compras_mes5[[#This Row],[CUIT]],Lista_CUIT[#All],2,0)),"CUIT NO CARGADO")</f>
        <v>Petrolfe S.A.</v>
      </c>
      <c r="H25" s="427">
        <v>-4224</v>
      </c>
      <c r="I25" s="428">
        <f>IF(compras_mes5[[#This Row],[NETO GRAVADO]]="","",compras_mes5[[#This Row],[NETO GRAVADO]]*0.21)</f>
        <v>-887.04</v>
      </c>
      <c r="J25" s="428"/>
      <c r="K25" s="428"/>
      <c r="L25" s="428"/>
      <c r="M25" s="428"/>
      <c r="N25" s="428"/>
      <c r="O25" s="428">
        <v>-889.79</v>
      </c>
      <c r="P25" s="429">
        <f>SUM(compras_mes5[[#This Row],[NETO GRAVADO]:[Otros / No Grav.]])</f>
        <v>-6000.83</v>
      </c>
      <c r="Q25" s="430" t="str">
        <f>IFERROR(IF(compras_mes5[[#This Row],[CUIT]]="","-",VLOOKUP(compras_mes5[[#This Row],[CUIT]],Lista_CUIT[#All],3,0)),"CUIT NO CARGADO")</f>
        <v>Combustible</v>
      </c>
      <c r="R25" s="430">
        <f>IFERROR(IF(compras_mes5[[#This Row],[CUIT]]="","-",VLOOKUP(compras_mes5[[#This Row],[CUIT]],Lista_CUIT[#All],4,0)),"CUIT NO CARGADO")</f>
        <v>0</v>
      </c>
    </row>
    <row r="26" spans="2:18" x14ac:dyDescent="0.3">
      <c r="B26" s="421">
        <v>45050</v>
      </c>
      <c r="C26" s="422">
        <v>3</v>
      </c>
      <c r="D26" s="423">
        <v>5</v>
      </c>
      <c r="E26" s="424">
        <v>438</v>
      </c>
      <c r="F26" s="425">
        <v>27234805679</v>
      </c>
      <c r="G26" s="426" t="str">
        <f>IFERROR(IF(compras_mes5[[#This Row],[CUIT]]="","-",VLOOKUP(compras_mes5[[#This Row],[CUIT]],Lista_CUIT[#All],2,0)),"CUIT NO CARGADO")</f>
        <v>CAMPOY MABEL ALICIA</v>
      </c>
      <c r="H26" s="427">
        <v>-21313.22</v>
      </c>
      <c r="I26" s="428">
        <f>IF(compras_mes5[[#This Row],[NETO GRAVADO]]="","",compras_mes5[[#This Row],[NETO GRAVADO]]*0.21)</f>
        <v>-4475.7762000000002</v>
      </c>
      <c r="J26" s="428"/>
      <c r="K26" s="428"/>
      <c r="L26" s="428"/>
      <c r="M26" s="428"/>
      <c r="N26" s="428"/>
      <c r="O26" s="428"/>
      <c r="P26" s="429">
        <f>SUM(compras_mes5[[#This Row],[NETO GRAVADO]:[Otros / No Grav.]])</f>
        <v>-25788.996200000001</v>
      </c>
      <c r="Q26" s="430">
        <f>IFERROR(IF(compras_mes5[[#This Row],[CUIT]]="","-",VLOOKUP(compras_mes5[[#This Row],[CUIT]],Lista_CUIT[#All],3,0)),"CUIT NO CARGADO")</f>
        <v>0</v>
      </c>
      <c r="R26" s="430">
        <f>IFERROR(IF(compras_mes5[[#This Row],[CUIT]]="","-",VLOOKUP(compras_mes5[[#This Row],[CUIT]],Lista_CUIT[#All],4,0)),"CUIT NO CARGADO")</f>
        <v>0</v>
      </c>
    </row>
    <row r="27" spans="2:18" x14ac:dyDescent="0.3">
      <c r="B27" s="399">
        <v>45050</v>
      </c>
      <c r="C27" s="400">
        <v>1</v>
      </c>
      <c r="D27" s="401">
        <v>2</v>
      </c>
      <c r="E27" s="402">
        <v>548</v>
      </c>
      <c r="F27" s="403">
        <v>30717442551</v>
      </c>
      <c r="G27" s="404" t="str">
        <f>IFERROR(IF(compras_mes5[[#This Row],[CUIT]]="","-",VLOOKUP(compras_mes5[[#This Row],[CUIT]],Lista_CUIT[#All],2,0)),"CUIT NO CARGADO")</f>
        <v>BH ONLINE SRL</v>
      </c>
      <c r="H27" s="405">
        <v>34387.33</v>
      </c>
      <c r="I27" s="406"/>
      <c r="J27" s="406"/>
      <c r="K27" s="406">
        <v>3610.67</v>
      </c>
      <c r="L27" s="406"/>
      <c r="M27" s="406"/>
      <c r="N27" s="406"/>
      <c r="O27" s="406"/>
      <c r="P27" s="407">
        <f>SUM(compras_mes5[[#This Row],[NETO GRAVADO]:[Otros / No Grav.]])</f>
        <v>37998</v>
      </c>
      <c r="Q27" s="408">
        <f>IFERROR(IF(compras_mes5[[#This Row],[CUIT]]="","-",VLOOKUP(compras_mes5[[#This Row],[CUIT]],Lista_CUIT[#All],3,0)),"CUIT NO CARGADO")</f>
        <v>0</v>
      </c>
      <c r="R27" s="408">
        <f>IFERROR(IF(compras_mes5[[#This Row],[CUIT]]="","-",VLOOKUP(compras_mes5[[#This Row],[CUIT]],Lista_CUIT[#All],4,0)),"CUIT NO CARGADO")</f>
        <v>0</v>
      </c>
    </row>
    <row r="28" spans="2:18" x14ac:dyDescent="0.3">
      <c r="B28" s="399">
        <v>45050</v>
      </c>
      <c r="C28" s="400">
        <v>1</v>
      </c>
      <c r="D28" s="401">
        <v>9</v>
      </c>
      <c r="E28" s="402">
        <v>767</v>
      </c>
      <c r="F28" s="403">
        <v>30710446047</v>
      </c>
      <c r="G28" s="404" t="str">
        <f>IFERROR(IF(compras_mes5[[#This Row],[CUIT]]="","-",VLOOKUP(compras_mes5[[#This Row],[CUIT]],Lista_CUIT[#All],2,0)),"CUIT NO CARGADO")</f>
        <v>ENSAMBLE GRAFICO S.H.</v>
      </c>
      <c r="H28" s="405">
        <v>328925</v>
      </c>
      <c r="I28" s="406">
        <f>IF(compras_mes5[[#This Row],[NETO GRAVADO]]="","",compras_mes5[[#This Row],[NETO GRAVADO]]*0.21)</f>
        <v>69074.25</v>
      </c>
      <c r="J28" s="406"/>
      <c r="K28" s="406"/>
      <c r="L28" s="406"/>
      <c r="M28" s="406"/>
      <c r="N28" s="406"/>
      <c r="O28" s="406"/>
      <c r="P28" s="407">
        <f>SUM(compras_mes5[[#This Row],[NETO GRAVADO]:[Otros / No Grav.]])</f>
        <v>397999.25</v>
      </c>
      <c r="Q28" s="408">
        <f>IFERROR(IF(compras_mes5[[#This Row],[CUIT]]="","-",VLOOKUP(compras_mes5[[#This Row],[CUIT]],Lista_CUIT[#All],3,0)),"CUIT NO CARGADO")</f>
        <v>0</v>
      </c>
      <c r="R28" s="408">
        <f>IFERROR(IF(compras_mes5[[#This Row],[CUIT]]="","-",VLOOKUP(compras_mes5[[#This Row],[CUIT]],Lista_CUIT[#All],4,0)),"CUIT NO CARGADO")</f>
        <v>0</v>
      </c>
    </row>
    <row r="29" spans="2:18" x14ac:dyDescent="0.3">
      <c r="B29" s="399">
        <v>45050</v>
      </c>
      <c r="C29" s="400">
        <v>1</v>
      </c>
      <c r="D29" s="401">
        <v>399</v>
      </c>
      <c r="E29" s="402">
        <v>1942</v>
      </c>
      <c r="F29" s="403">
        <v>30715621866</v>
      </c>
      <c r="G29" s="404" t="str">
        <f>IFERROR(IF(compras_mes5[[#This Row],[CUIT]]="","-",VLOOKUP(compras_mes5[[#This Row],[CUIT]],Lista_CUIT[#All],2,0)),"CUIT NO CARGADO")</f>
        <v>GMRA S. A.</v>
      </c>
      <c r="H29" s="405">
        <v>429751.25</v>
      </c>
      <c r="I29" s="406">
        <f>IF(compras_mes5[[#This Row],[NETO GRAVADO]]="","",compras_mes5[[#This Row],[NETO GRAVADO]]*0.21)</f>
        <v>90247.762499999997</v>
      </c>
      <c r="J29" s="406"/>
      <c r="K29" s="406"/>
      <c r="L29" s="406"/>
      <c r="M29" s="406">
        <v>5371.89</v>
      </c>
      <c r="N29" s="406">
        <v>25785.08</v>
      </c>
      <c r="O29" s="406"/>
      <c r="P29" s="407">
        <f>SUM(compras_mes5[[#This Row],[NETO GRAVADO]:[Otros / No Grav.]])</f>
        <v>551155.98249999993</v>
      </c>
      <c r="Q29" s="408">
        <f>IFERROR(IF(compras_mes5[[#This Row],[CUIT]]="","-",VLOOKUP(compras_mes5[[#This Row],[CUIT]],Lista_CUIT[#All],3,0)),"CUIT NO CARGADO")</f>
        <v>0</v>
      </c>
      <c r="R29" s="408">
        <f>IFERROR(IF(compras_mes5[[#This Row],[CUIT]]="","-",VLOOKUP(compras_mes5[[#This Row],[CUIT]],Lista_CUIT[#All],4,0)),"CUIT NO CARGADO")</f>
        <v>0</v>
      </c>
    </row>
    <row r="30" spans="2:18" x14ac:dyDescent="0.3">
      <c r="B30" s="399">
        <v>45050</v>
      </c>
      <c r="C30" s="400">
        <v>1</v>
      </c>
      <c r="D30" s="401">
        <v>399</v>
      </c>
      <c r="E30" s="402">
        <v>1943</v>
      </c>
      <c r="F30" s="403">
        <v>30715621866</v>
      </c>
      <c r="G30" s="404" t="str">
        <f>IFERROR(IF(compras_mes5[[#This Row],[CUIT]]="","-",VLOOKUP(compras_mes5[[#This Row],[CUIT]],Lista_CUIT[#All],2,0)),"CUIT NO CARGADO")</f>
        <v>GMRA S. A.</v>
      </c>
      <c r="H30" s="405">
        <v>8676.8700000000008</v>
      </c>
      <c r="I30" s="406">
        <f>IF(compras_mes5[[#This Row],[NETO GRAVADO]]="","",compras_mes5[[#This Row],[NETO GRAVADO]]*0.21)</f>
        <v>1822.1427000000001</v>
      </c>
      <c r="J30" s="406"/>
      <c r="K30" s="406"/>
      <c r="L30" s="406"/>
      <c r="M30" s="406"/>
      <c r="N30" s="406">
        <v>520.61</v>
      </c>
      <c r="O30" s="406"/>
      <c r="P30" s="407">
        <f>SUM(compras_mes5[[#This Row],[NETO GRAVADO]:[Otros / No Grav.]])</f>
        <v>11019.622700000002</v>
      </c>
      <c r="Q30" s="408">
        <f>IFERROR(IF(compras_mes5[[#This Row],[CUIT]]="","-",VLOOKUP(compras_mes5[[#This Row],[CUIT]],Lista_CUIT[#All],3,0)),"CUIT NO CARGADO")</f>
        <v>0</v>
      </c>
      <c r="R30" s="408">
        <f>IFERROR(IF(compras_mes5[[#This Row],[CUIT]]="","-",VLOOKUP(compras_mes5[[#This Row],[CUIT]],Lista_CUIT[#All],4,0)),"CUIT NO CARGADO")</f>
        <v>0</v>
      </c>
    </row>
    <row r="31" spans="2:18" x14ac:dyDescent="0.3">
      <c r="B31" s="399">
        <v>45050</v>
      </c>
      <c r="C31" s="400">
        <v>1</v>
      </c>
      <c r="D31" s="401">
        <v>8</v>
      </c>
      <c r="E31" s="402">
        <v>1983</v>
      </c>
      <c r="F31" s="403">
        <v>30712210636</v>
      </c>
      <c r="G31" s="404" t="str">
        <f>IFERROR(IF(compras_mes5[[#This Row],[CUIT]]="","-",VLOOKUP(compras_mes5[[#This Row],[CUIT]],Lista_CUIT[#All],2,0)),"CUIT NO CARGADO")</f>
        <v>BARRERA RICARDO DARIO Y HUBY GANOZA JIMMY  SOCIEDAD DE HECHO</v>
      </c>
      <c r="H31" s="405">
        <v>1666.57</v>
      </c>
      <c r="I31" s="406">
        <f>IF(compras_mes5[[#This Row],[NETO GRAVADO]]="","",compras_mes5[[#This Row],[NETO GRAVADO]]*0.21)</f>
        <v>349.97969999999998</v>
      </c>
      <c r="J31" s="406"/>
      <c r="K31" s="406"/>
      <c r="L31" s="406"/>
      <c r="M31" s="406"/>
      <c r="N31" s="406"/>
      <c r="O31" s="406"/>
      <c r="P31" s="407">
        <f>SUM(compras_mes5[[#This Row],[NETO GRAVADO]:[Otros / No Grav.]])</f>
        <v>2016.5497</v>
      </c>
      <c r="Q31" s="408">
        <f>IFERROR(IF(compras_mes5[[#This Row],[CUIT]]="","-",VLOOKUP(compras_mes5[[#This Row],[CUIT]],Lista_CUIT[#All],3,0)),"CUIT NO CARGADO")</f>
        <v>0</v>
      </c>
      <c r="R31" s="408">
        <f>IFERROR(IF(compras_mes5[[#This Row],[CUIT]]="","-",VLOOKUP(compras_mes5[[#This Row],[CUIT]],Lista_CUIT[#All],4,0)),"CUIT NO CARGADO")</f>
        <v>0</v>
      </c>
    </row>
    <row r="32" spans="2:18" x14ac:dyDescent="0.3">
      <c r="B32" s="399">
        <v>45050</v>
      </c>
      <c r="C32" s="400">
        <v>1</v>
      </c>
      <c r="D32" s="401">
        <v>20</v>
      </c>
      <c r="E32" s="402">
        <v>8537</v>
      </c>
      <c r="F32" s="403">
        <v>30515800219</v>
      </c>
      <c r="G32" s="404" t="str">
        <f>IFERROR(IF(compras_mes5[[#This Row],[CUIT]]="","-",VLOOKUP(compras_mes5[[#This Row],[CUIT]],Lista_CUIT[#All],2,0)),"CUIT NO CARGADO")</f>
        <v>INCAT SRL</v>
      </c>
      <c r="H32" s="405">
        <v>815.02</v>
      </c>
      <c r="I32" s="406">
        <f>IF(compras_mes5[[#This Row],[NETO GRAVADO]]="","",compras_mes5[[#This Row],[NETO GRAVADO]]*0.21)</f>
        <v>171.1542</v>
      </c>
      <c r="J32" s="406"/>
      <c r="K32" s="406"/>
      <c r="L32" s="406"/>
      <c r="M32" s="406"/>
      <c r="N32" s="406"/>
      <c r="O32" s="406">
        <v>13.83</v>
      </c>
      <c r="P32" s="407">
        <f>SUM(compras_mes5[[#This Row],[NETO GRAVADO]:[Otros / No Grav.]])</f>
        <v>1000.0042</v>
      </c>
      <c r="Q32" s="408" t="str">
        <f>IFERROR(IF(compras_mes5[[#This Row],[CUIT]]="","-",VLOOKUP(compras_mes5[[#This Row],[CUIT]],Lista_CUIT[#All],3,0)),"CUIT NO CARGADO")</f>
        <v>Combustibe</v>
      </c>
      <c r="R32" s="408" t="str">
        <f>IFERROR(IF(compras_mes5[[#This Row],[CUIT]]="","-",VLOOKUP(compras_mes5[[#This Row],[CUIT]],Lista_CUIT[#All],4,0)),"CUIT NO CARGADO")</f>
        <v>CABA</v>
      </c>
    </row>
    <row r="33" spans="2:18" x14ac:dyDescent="0.3">
      <c r="B33" s="421">
        <v>45050</v>
      </c>
      <c r="C33" s="422">
        <v>1</v>
      </c>
      <c r="D33" s="423">
        <v>11</v>
      </c>
      <c r="E33" s="424">
        <v>19857</v>
      </c>
      <c r="F33" s="425">
        <v>30696131003</v>
      </c>
      <c r="G33" s="426" t="str">
        <f>IFERROR(IF(compras_mes5[[#This Row],[CUIT]]="","-",VLOOKUP(compras_mes5[[#This Row],[CUIT]],Lista_CUIT[#All],2,0)),"CUIT NO CARGADO")</f>
        <v>Petrolfe S.A.</v>
      </c>
      <c r="H33" s="427">
        <v>4224</v>
      </c>
      <c r="I33" s="428">
        <f>IF(compras_mes5[[#This Row],[NETO GRAVADO]]="","",compras_mes5[[#This Row],[NETO GRAVADO]]*0.21)</f>
        <v>887.04</v>
      </c>
      <c r="J33" s="428"/>
      <c r="K33" s="428"/>
      <c r="L33" s="428"/>
      <c r="M33" s="428"/>
      <c r="N33" s="428"/>
      <c r="O33" s="428">
        <v>889.79</v>
      </c>
      <c r="P33" s="429">
        <f>SUM(compras_mes5[[#This Row],[NETO GRAVADO]:[Otros / No Grav.]])</f>
        <v>6000.83</v>
      </c>
      <c r="Q33" s="430" t="str">
        <f>IFERROR(IF(compras_mes5[[#This Row],[CUIT]]="","-",VLOOKUP(compras_mes5[[#This Row],[CUIT]],Lista_CUIT[#All],3,0)),"CUIT NO CARGADO")</f>
        <v>Combustible</v>
      </c>
      <c r="R33" s="430">
        <f>IFERROR(IF(compras_mes5[[#This Row],[CUIT]]="","-",VLOOKUP(compras_mes5[[#This Row],[CUIT]],Lista_CUIT[#All],4,0)),"CUIT NO CARGADO")</f>
        <v>0</v>
      </c>
    </row>
    <row r="34" spans="2:18" x14ac:dyDescent="0.3">
      <c r="B34" s="399">
        <v>45050</v>
      </c>
      <c r="C34" s="400">
        <v>1</v>
      </c>
      <c r="D34" s="401">
        <v>13</v>
      </c>
      <c r="E34" s="402">
        <v>56641</v>
      </c>
      <c r="F34" s="403">
        <v>30707841105</v>
      </c>
      <c r="G34" s="404" t="str">
        <f>IFERROR(IF(compras_mes5[[#This Row],[CUIT]]="","-",VLOOKUP(compras_mes5[[#This Row],[CUIT]],Lista_CUIT[#All],2,0)),"CUIT NO CARGADO")</f>
        <v>PETRO ARG SRL</v>
      </c>
      <c r="H34" s="405">
        <v>5204.8999999999996</v>
      </c>
      <c r="I34" s="406">
        <f>IF(compras_mes5[[#This Row],[NETO GRAVADO]]="","",compras_mes5[[#This Row],[NETO GRAVADO]]*0.21)</f>
        <v>1093.029</v>
      </c>
      <c r="J34" s="406"/>
      <c r="K34" s="406"/>
      <c r="L34" s="406"/>
      <c r="M34" s="406"/>
      <c r="N34" s="406"/>
      <c r="O34" s="406">
        <v>1003.57</v>
      </c>
      <c r="P34" s="407">
        <f>SUM(compras_mes5[[#This Row],[NETO GRAVADO]:[Otros / No Grav.]])</f>
        <v>7301.4989999999998</v>
      </c>
      <c r="Q34" s="408" t="str">
        <f>IFERROR(IF(compras_mes5[[#This Row],[CUIT]]="","-",VLOOKUP(compras_mes5[[#This Row],[CUIT]],Lista_CUIT[#All],3,0)),"CUIT NO CARGADO")</f>
        <v>Combustible</v>
      </c>
      <c r="R34" s="408">
        <f>IFERROR(IF(compras_mes5[[#This Row],[CUIT]]="","-",VLOOKUP(compras_mes5[[#This Row],[CUIT]],Lista_CUIT[#All],4,0)),"CUIT NO CARGADO")</f>
        <v>0</v>
      </c>
    </row>
    <row r="35" spans="2:18" x14ac:dyDescent="0.3">
      <c r="B35" s="421">
        <v>45050</v>
      </c>
      <c r="C35" s="250">
        <v>1</v>
      </c>
      <c r="D35" s="423">
        <v>63</v>
      </c>
      <c r="E35" s="424">
        <v>2375984</v>
      </c>
      <c r="F35" s="425">
        <v>30640897267</v>
      </c>
      <c r="G35" s="426" t="str">
        <f>IFERROR(IF(compras_mes5[[#This Row],[CUIT]]="","-",VLOOKUP(compras_mes5[[#This Row],[CUIT]],Lista_CUIT[#All],2,0)),"CUIT NO CARGADO")</f>
        <v>TELECENTRO S.A.</v>
      </c>
      <c r="H35" s="427">
        <v>9785.3700000000008</v>
      </c>
      <c r="I35" s="428">
        <f>IF(compras_mes5[[#This Row],[NETO GRAVADO]]="","",compras_mes5[[#This Row],[NETO GRAVADO]]*0.21)</f>
        <v>2054.9277000000002</v>
      </c>
      <c r="J35" s="428"/>
      <c r="K35" s="428"/>
      <c r="L35" s="428">
        <v>293.56</v>
      </c>
      <c r="M35" s="428"/>
      <c r="N35" s="428">
        <v>587.12</v>
      </c>
      <c r="O35" s="428"/>
      <c r="P35" s="429">
        <f>SUM(compras_mes5[[#This Row],[NETO GRAVADO]:[Otros / No Grav.]])</f>
        <v>12720.977700000001</v>
      </c>
      <c r="Q35" s="430">
        <f>IFERROR(IF(compras_mes5[[#This Row],[CUIT]]="","-",VLOOKUP(compras_mes5[[#This Row],[CUIT]],Lista_CUIT[#All],3,0)),"CUIT NO CARGADO")</f>
        <v>0</v>
      </c>
      <c r="R35" s="430">
        <f>IFERROR(IF(compras_mes5[[#This Row],[CUIT]]="","-",VLOOKUP(compras_mes5[[#This Row],[CUIT]],Lista_CUIT[#All],4,0)),"CUIT NO CARGADO")</f>
        <v>0</v>
      </c>
    </row>
    <row r="36" spans="2:18" x14ac:dyDescent="0.3">
      <c r="B36" s="421">
        <v>45050</v>
      </c>
      <c r="C36" s="250">
        <v>1</v>
      </c>
      <c r="D36" s="423">
        <v>63</v>
      </c>
      <c r="E36" s="424">
        <v>2376666</v>
      </c>
      <c r="F36" s="425">
        <v>30640897267</v>
      </c>
      <c r="G36" s="426" t="str">
        <f>IFERROR(IF(compras_mes5[[#This Row],[CUIT]]="","-",VLOOKUP(compras_mes5[[#This Row],[CUIT]],Lista_CUIT[#All],2,0)),"CUIT NO CARGADO")</f>
        <v>TELECENTRO S.A.</v>
      </c>
      <c r="H36" s="427">
        <v>9785.3700000000008</v>
      </c>
      <c r="I36" s="428">
        <f>IF(compras_mes5[[#This Row],[NETO GRAVADO]]="","",compras_mes5[[#This Row],[NETO GRAVADO]]*0.21)</f>
        <v>2054.9277000000002</v>
      </c>
      <c r="J36" s="428"/>
      <c r="K36" s="428"/>
      <c r="L36" s="428">
        <v>293.56</v>
      </c>
      <c r="M36" s="428"/>
      <c r="N36" s="428">
        <v>587.12</v>
      </c>
      <c r="O36" s="428"/>
      <c r="P36" s="429">
        <f>SUM(compras_mes5[[#This Row],[NETO GRAVADO]:[Otros / No Grav.]])</f>
        <v>12720.977700000001</v>
      </c>
      <c r="Q36" s="430">
        <f>IFERROR(IF(compras_mes5[[#This Row],[CUIT]]="","-",VLOOKUP(compras_mes5[[#This Row],[CUIT]],Lista_CUIT[#All],3,0)),"CUIT NO CARGADO")</f>
        <v>0</v>
      </c>
      <c r="R36" s="430">
        <f>IFERROR(IF(compras_mes5[[#This Row],[CUIT]]="","-",VLOOKUP(compras_mes5[[#This Row],[CUIT]],Lista_CUIT[#All],4,0)),"CUIT NO CARGADO")</f>
        <v>0</v>
      </c>
    </row>
    <row r="37" spans="2:18" x14ac:dyDescent="0.3">
      <c r="B37" s="399">
        <v>45051</v>
      </c>
      <c r="C37" s="400">
        <v>1</v>
      </c>
      <c r="D37" s="401">
        <v>1</v>
      </c>
      <c r="E37" s="402">
        <v>529</v>
      </c>
      <c r="F37" s="403">
        <v>30715889486</v>
      </c>
      <c r="G37" s="404" t="str">
        <f>IFERROR(IF(compras_mes5[[#This Row],[CUIT]]="","-",VLOOKUP(compras_mes5[[#This Row],[CUIT]],Lista_CUIT[#All],2,0)),"CUIT NO CARGADO")</f>
        <v>EXPOESTETICA</v>
      </c>
      <c r="H37" s="405">
        <v>244800</v>
      </c>
      <c r="I37" s="406">
        <f>IF(compras_mes5[[#This Row],[NETO GRAVADO]]="","",compras_mes5[[#This Row],[NETO GRAVADO]]*0.21)</f>
        <v>51408</v>
      </c>
      <c r="J37" s="406"/>
      <c r="K37" s="406"/>
      <c r="L37" s="406"/>
      <c r="M37" s="406"/>
      <c r="N37" s="406"/>
      <c r="O37" s="406"/>
      <c r="P37" s="407">
        <f>SUM(compras_mes5[[#This Row],[NETO GRAVADO]:[Otros / No Grav.]])</f>
        <v>296208</v>
      </c>
      <c r="Q37" s="408" t="str">
        <f>IFERROR(IF(compras_mes5[[#This Row],[CUIT]]="","-",VLOOKUP(compras_mes5[[#This Row],[CUIT]],Lista_CUIT[#All],3,0)),"CUIT NO CARGADO")</f>
        <v>Convencion</v>
      </c>
      <c r="R37" s="408" t="str">
        <f>IFERROR(IF(compras_mes5[[#This Row],[CUIT]]="","-",VLOOKUP(compras_mes5[[#This Row],[CUIT]],Lista_CUIT[#All],4,0)),"CUIT NO CARGADO")</f>
        <v>BUENOS AIRES</v>
      </c>
    </row>
    <row r="38" spans="2:18" x14ac:dyDescent="0.3">
      <c r="B38" s="399">
        <v>45051</v>
      </c>
      <c r="C38" s="400">
        <v>1</v>
      </c>
      <c r="D38" s="401">
        <v>8</v>
      </c>
      <c r="E38" s="402">
        <v>1994</v>
      </c>
      <c r="F38" s="403">
        <v>30712210636</v>
      </c>
      <c r="G38" s="404" t="str">
        <f>IFERROR(IF(compras_mes5[[#This Row],[CUIT]]="","-",VLOOKUP(compras_mes5[[#This Row],[CUIT]],Lista_CUIT[#All],2,0)),"CUIT NO CARGADO")</f>
        <v>BARRERA RICARDO DARIO Y HUBY GANOZA JIMMY  SOCIEDAD DE HECHO</v>
      </c>
      <c r="H38" s="405">
        <v>1785.14</v>
      </c>
      <c r="I38" s="406">
        <f>IF(compras_mes5[[#This Row],[NETO GRAVADO]]="","",compras_mes5[[#This Row],[NETO GRAVADO]]*0.21)</f>
        <v>374.87940000000003</v>
      </c>
      <c r="J38" s="406"/>
      <c r="K38" s="406"/>
      <c r="L38" s="406"/>
      <c r="M38" s="406"/>
      <c r="N38" s="406"/>
      <c r="O38" s="406"/>
      <c r="P38" s="407">
        <f>SUM(compras_mes5[[#This Row],[NETO GRAVADO]:[Otros / No Grav.]])</f>
        <v>2160.0194000000001</v>
      </c>
      <c r="Q38" s="408">
        <f>IFERROR(IF(compras_mes5[[#This Row],[CUIT]]="","-",VLOOKUP(compras_mes5[[#This Row],[CUIT]],Lista_CUIT[#All],3,0)),"CUIT NO CARGADO")</f>
        <v>0</v>
      </c>
      <c r="R38" s="408">
        <f>IFERROR(IF(compras_mes5[[#This Row],[CUIT]]="","-",VLOOKUP(compras_mes5[[#This Row],[CUIT]],Lista_CUIT[#All],4,0)),"CUIT NO CARGADO")</f>
        <v>0</v>
      </c>
    </row>
    <row r="39" spans="2:18" x14ac:dyDescent="0.3">
      <c r="B39" s="399">
        <v>45051</v>
      </c>
      <c r="C39" s="400">
        <v>1</v>
      </c>
      <c r="D39" s="401">
        <v>6</v>
      </c>
      <c r="E39" s="402">
        <v>2568</v>
      </c>
      <c r="F39" s="403">
        <v>30574603788</v>
      </c>
      <c r="G39" s="404" t="str">
        <f>IFERROR(IF(compras_mes5[[#This Row],[CUIT]]="","-",VLOOKUP(compras_mes5[[#This Row],[CUIT]],Lista_CUIT[#All],2,0)),"CUIT NO CARGADO")</f>
        <v>CODAC SRL</v>
      </c>
      <c r="H39" s="405">
        <v>356255</v>
      </c>
      <c r="I39" s="406">
        <f>IF(compras_mes5[[#This Row],[NETO GRAVADO]]="","",compras_mes5[[#This Row],[NETO GRAVADO]]*0.21)</f>
        <v>74813.55</v>
      </c>
      <c r="J39" s="406"/>
      <c r="K39" s="406"/>
      <c r="L39" s="406"/>
      <c r="M39" s="406"/>
      <c r="N39" s="406"/>
      <c r="O39" s="406"/>
      <c r="P39" s="407">
        <f>SUM(compras_mes5[[#This Row],[NETO GRAVADO]:[Otros / No Grav.]])</f>
        <v>431068.55</v>
      </c>
      <c r="Q39" s="408" t="str">
        <f>IFERROR(IF(compras_mes5[[#This Row],[CUIT]]="","-",VLOOKUP(compras_mes5[[#This Row],[CUIT]],Lista_CUIT[#All],3,0)),"CUIT NO CARGADO")</f>
        <v>GASTOS COSMETICA</v>
      </c>
      <c r="R39" s="408" t="str">
        <f>IFERROR(IF(compras_mes5[[#This Row],[CUIT]]="","-",VLOOKUP(compras_mes5[[#This Row],[CUIT]],Lista_CUIT[#All],4,0)),"CUIT NO CARGADO")</f>
        <v>BUENOS AIRES</v>
      </c>
    </row>
    <row r="40" spans="2:18" x14ac:dyDescent="0.3">
      <c r="B40" s="399">
        <v>45051</v>
      </c>
      <c r="C40" s="400">
        <v>1</v>
      </c>
      <c r="D40" s="401">
        <v>2</v>
      </c>
      <c r="E40" s="402">
        <v>3332</v>
      </c>
      <c r="F40" s="403">
        <v>30629863571</v>
      </c>
      <c r="G40" s="404" t="str">
        <f>IFERROR(IF(compras_mes5[[#This Row],[CUIT]]="","-",VLOOKUP(compras_mes5[[#This Row],[CUIT]],Lista_CUIT[#All],2,0)),"CUIT NO CARGADO")</f>
        <v>TECNIMAR S R L</v>
      </c>
      <c r="H40" s="405">
        <v>592340</v>
      </c>
      <c r="I40" s="406">
        <f>IF(compras_mes5[[#This Row],[NETO GRAVADO]]="","",compras_mes5[[#This Row],[NETO GRAVADO]]*0.21)</f>
        <v>124391.4</v>
      </c>
      <c r="J40" s="406"/>
      <c r="K40" s="406"/>
      <c r="L40" s="406"/>
      <c r="M40" s="406"/>
      <c r="N40" s="406"/>
      <c r="O40" s="406"/>
      <c r="P40" s="407">
        <f>SUM(compras_mes5[[#This Row],[NETO GRAVADO]:[Otros / No Grav.]])</f>
        <v>716731.4</v>
      </c>
      <c r="Q40" s="408" t="str">
        <f>IFERROR(IF(compras_mes5[[#This Row],[CUIT]]="","-",VLOOKUP(compras_mes5[[#This Row],[CUIT]],Lista_CUIT[#All],3,0)),"CUIT NO CARGADO")</f>
        <v>LABORATORIO</v>
      </c>
      <c r="R40" s="408">
        <f>IFERROR(IF(compras_mes5[[#This Row],[CUIT]]="","-",VLOOKUP(compras_mes5[[#This Row],[CUIT]],Lista_CUIT[#All],4,0)),"CUIT NO CARGADO")</f>
        <v>0</v>
      </c>
    </row>
    <row r="41" spans="2:18" x14ac:dyDescent="0.3">
      <c r="B41" s="399">
        <v>45051</v>
      </c>
      <c r="C41" s="400">
        <v>1</v>
      </c>
      <c r="D41" s="401">
        <v>20</v>
      </c>
      <c r="E41" s="402">
        <v>8554</v>
      </c>
      <c r="F41" s="403">
        <v>30515800219</v>
      </c>
      <c r="G41" s="404" t="str">
        <f>IFERROR(IF(compras_mes5[[#This Row],[CUIT]]="","-",VLOOKUP(compras_mes5[[#This Row],[CUIT]],Lista_CUIT[#All],2,0)),"CUIT NO CARGADO")</f>
        <v>INCAT SRL</v>
      </c>
      <c r="H41" s="405">
        <v>815</v>
      </c>
      <c r="I41" s="406">
        <f>IF(compras_mes5[[#This Row],[NETO GRAVADO]]="","",compras_mes5[[#This Row],[NETO GRAVADO]]*0.21)</f>
        <v>171.15</v>
      </c>
      <c r="J41" s="406"/>
      <c r="K41" s="406"/>
      <c r="L41" s="406"/>
      <c r="M41" s="406"/>
      <c r="N41" s="406"/>
      <c r="O41" s="406">
        <v>13.83</v>
      </c>
      <c r="P41" s="407">
        <f>SUM(compras_mes5[[#This Row],[NETO GRAVADO]:[Otros / No Grav.]])</f>
        <v>999.98</v>
      </c>
      <c r="Q41" s="408" t="str">
        <f>IFERROR(IF(compras_mes5[[#This Row],[CUIT]]="","-",VLOOKUP(compras_mes5[[#This Row],[CUIT]],Lista_CUIT[#All],3,0)),"CUIT NO CARGADO")</f>
        <v>Combustibe</v>
      </c>
      <c r="R41" s="408" t="str">
        <f>IFERROR(IF(compras_mes5[[#This Row],[CUIT]]="","-",VLOOKUP(compras_mes5[[#This Row],[CUIT]],Lista_CUIT[#All],4,0)),"CUIT NO CARGADO")</f>
        <v>CABA</v>
      </c>
    </row>
    <row r="42" spans="2:18" x14ac:dyDescent="0.3">
      <c r="B42" s="421">
        <v>45051</v>
      </c>
      <c r="C42" s="250">
        <v>1</v>
      </c>
      <c r="D42" s="423">
        <v>4</v>
      </c>
      <c r="E42" s="424">
        <v>8707</v>
      </c>
      <c r="F42" s="425">
        <v>30715967134</v>
      </c>
      <c r="G42" s="426" t="str">
        <f>IFERROR(IF(compras_mes5[[#This Row],[CUIT]]="","-",VLOOKUP(compras_mes5[[#This Row],[CUIT]],Lista_CUIT[#All],2,0)),"CUIT NO CARGADO")</f>
        <v>ELIAS YANI S.R.L.</v>
      </c>
      <c r="H42" s="427">
        <v>1280.17</v>
      </c>
      <c r="I42" s="428">
        <f>IF(compras_mes5[[#This Row],[NETO GRAVADO]]="","",compras_mes5[[#This Row],[NETO GRAVADO]]*0.21)</f>
        <v>268.83570000000003</v>
      </c>
      <c r="J42" s="428"/>
      <c r="K42" s="428"/>
      <c r="L42" s="428"/>
      <c r="M42" s="428"/>
      <c r="N42" s="428"/>
      <c r="O42" s="428"/>
      <c r="P42" s="429">
        <f>SUM(compras_mes5[[#This Row],[NETO GRAVADO]:[Otros / No Grav.]])</f>
        <v>1549.0057000000002</v>
      </c>
      <c r="Q42" s="430">
        <f>IFERROR(IF(compras_mes5[[#This Row],[CUIT]]="","-",VLOOKUP(compras_mes5[[#This Row],[CUIT]],Lista_CUIT[#All],3,0)),"CUIT NO CARGADO")</f>
        <v>0</v>
      </c>
      <c r="R42" s="430">
        <f>IFERROR(IF(compras_mes5[[#This Row],[CUIT]]="","-",VLOOKUP(compras_mes5[[#This Row],[CUIT]],Lista_CUIT[#All],4,0)),"CUIT NO CARGADO")</f>
        <v>0</v>
      </c>
    </row>
    <row r="43" spans="2:18" x14ac:dyDescent="0.3">
      <c r="B43" s="399">
        <v>45051</v>
      </c>
      <c r="C43" s="400">
        <v>1</v>
      </c>
      <c r="D43" s="401">
        <v>7</v>
      </c>
      <c r="E43" s="402">
        <v>26353</v>
      </c>
      <c r="F43" s="403">
        <v>30715053221</v>
      </c>
      <c r="G43" s="404" t="str">
        <f>IFERROR(IF(compras_mes5[[#This Row],[CUIT]]="","-",VLOOKUP(compras_mes5[[#This Row],[CUIT]],Lista_CUIT[#All],2,0)),"CUIT NO CARGADO")</f>
        <v>KADURSPORT S.R.L.</v>
      </c>
      <c r="H43" s="405">
        <v>9475.2099999999991</v>
      </c>
      <c r="I43" s="406">
        <f>IF(compras_mes5[[#This Row],[NETO GRAVADO]]="","",compras_mes5[[#This Row],[NETO GRAVADO]]*0.21)</f>
        <v>1989.7940999999998</v>
      </c>
      <c r="J43" s="406"/>
      <c r="K43" s="406"/>
      <c r="L43" s="406"/>
      <c r="M43" s="406"/>
      <c r="N43" s="406"/>
      <c r="O43" s="406"/>
      <c r="P43" s="407">
        <f>SUM(compras_mes5[[#This Row],[NETO GRAVADO]:[Otros / No Grav.]])</f>
        <v>11465.004099999998</v>
      </c>
      <c r="Q43" s="408">
        <f>IFERROR(IF(compras_mes5[[#This Row],[CUIT]]="","-",VLOOKUP(compras_mes5[[#This Row],[CUIT]],Lista_CUIT[#All],3,0)),"CUIT NO CARGADO")</f>
        <v>0</v>
      </c>
      <c r="R43" s="408">
        <f>IFERROR(IF(compras_mes5[[#This Row],[CUIT]]="","-",VLOOKUP(compras_mes5[[#This Row],[CUIT]],Lista_CUIT[#All],4,0)),"CUIT NO CARGADO")</f>
        <v>0</v>
      </c>
    </row>
    <row r="44" spans="2:18" x14ac:dyDescent="0.3">
      <c r="B44" s="399">
        <v>45051</v>
      </c>
      <c r="C44" s="400">
        <v>1</v>
      </c>
      <c r="D44" s="401">
        <v>21</v>
      </c>
      <c r="E44" s="402">
        <v>28989</v>
      </c>
      <c r="F44" s="403">
        <v>30515800219</v>
      </c>
      <c r="G44" s="404" t="str">
        <f>IFERROR(IF(compras_mes5[[#This Row],[CUIT]]="","-",VLOOKUP(compras_mes5[[#This Row],[CUIT]],Lista_CUIT[#All],2,0)),"CUIT NO CARGADO")</f>
        <v>INCAT SRL</v>
      </c>
      <c r="H44" s="405">
        <v>5342.52</v>
      </c>
      <c r="I44" s="406">
        <f>IF(compras_mes5[[#This Row],[NETO GRAVADO]]="","",compras_mes5[[#This Row],[NETO GRAVADO]]*0.21)</f>
        <v>1121.9292</v>
      </c>
      <c r="J44" s="406"/>
      <c r="K44" s="406"/>
      <c r="L44" s="406"/>
      <c r="M44" s="406"/>
      <c r="N44" s="406"/>
      <c r="O44" s="406">
        <v>1036.8800000000001</v>
      </c>
      <c r="P44" s="407">
        <f>SUM(compras_mes5[[#This Row],[NETO GRAVADO]:[Otros / No Grav.]])</f>
        <v>7501.329200000001</v>
      </c>
      <c r="Q44" s="408" t="str">
        <f>IFERROR(IF(compras_mes5[[#This Row],[CUIT]]="","-",VLOOKUP(compras_mes5[[#This Row],[CUIT]],Lista_CUIT[#All],3,0)),"CUIT NO CARGADO")</f>
        <v>Combustibe</v>
      </c>
      <c r="R44" s="408" t="str">
        <f>IFERROR(IF(compras_mes5[[#This Row],[CUIT]]="","-",VLOOKUP(compras_mes5[[#This Row],[CUIT]],Lista_CUIT[#All],4,0)),"CUIT NO CARGADO")</f>
        <v>CABA</v>
      </c>
    </row>
    <row r="45" spans="2:18" x14ac:dyDescent="0.3">
      <c r="B45" s="399">
        <v>45051</v>
      </c>
      <c r="C45" s="400">
        <v>1</v>
      </c>
      <c r="D45" s="401">
        <v>2</v>
      </c>
      <c r="E45" s="402">
        <v>34853</v>
      </c>
      <c r="F45" s="403">
        <v>33714232199</v>
      </c>
      <c r="G45" s="404" t="str">
        <f>IFERROR(IF(compras_mes5[[#This Row],[CUIT]]="","-",VLOOKUP(compras_mes5[[#This Row],[CUIT]],Lista_CUIT[#All],2,0)),"CUIT NO CARGADO")</f>
        <v>NUAGE SYSTEMS S.A.</v>
      </c>
      <c r="H45" s="405">
        <v>38178.83</v>
      </c>
      <c r="I45" s="406">
        <f>IF(compras_mes5[[#This Row],[NETO GRAVADO]]="","",compras_mes5[[#This Row],[NETO GRAVADO]]*0.21)</f>
        <v>8017.5542999999998</v>
      </c>
      <c r="J45" s="406"/>
      <c r="K45" s="406"/>
      <c r="L45" s="406"/>
      <c r="M45" s="406"/>
      <c r="N45" s="406"/>
      <c r="O45" s="406"/>
      <c r="P45" s="407">
        <f>SUM(compras_mes5[[#This Row],[NETO GRAVADO]:[Otros / No Grav.]])</f>
        <v>46196.384300000005</v>
      </c>
      <c r="Q45" s="408">
        <f>IFERROR(IF(compras_mes5[[#This Row],[CUIT]]="","-",VLOOKUP(compras_mes5[[#This Row],[CUIT]],Lista_CUIT[#All],3,0)),"CUIT NO CARGADO")</f>
        <v>0</v>
      </c>
      <c r="R45" s="408">
        <f>IFERROR(IF(compras_mes5[[#This Row],[CUIT]]="","-",VLOOKUP(compras_mes5[[#This Row],[CUIT]],Lista_CUIT[#All],4,0)),"CUIT NO CARGADO")</f>
        <v>0</v>
      </c>
    </row>
    <row r="46" spans="2:18" x14ac:dyDescent="0.3">
      <c r="B46" s="399">
        <v>45051</v>
      </c>
      <c r="C46" s="400">
        <v>1</v>
      </c>
      <c r="D46" s="401">
        <v>2188</v>
      </c>
      <c r="E46" s="402">
        <v>89102</v>
      </c>
      <c r="F46" s="403">
        <v>30548083156</v>
      </c>
      <c r="G46" s="404" t="str">
        <f>IFERROR(IF(compras_mes5[[#This Row],[CUIT]]="","-",VLOOKUP(compras_mes5[[#This Row],[CUIT]],Lista_CUIT[#All],2,0)),"CUIT NO CARGADO")</f>
        <v>COTO CENTRO INTEGRAL DE COMERCIALIZACION SOCIEDAD ANONIMA</v>
      </c>
      <c r="H46" s="405">
        <v>13737.19</v>
      </c>
      <c r="I46" s="406">
        <v>1872.59</v>
      </c>
      <c r="J46" s="406"/>
      <c r="K46" s="406">
        <v>506.11</v>
      </c>
      <c r="L46" s="406">
        <v>267.51</v>
      </c>
      <c r="M46" s="406"/>
      <c r="N46" s="406"/>
      <c r="O46" s="406">
        <v>671.65</v>
      </c>
      <c r="P46" s="407">
        <f>SUM(compras_mes5[[#This Row],[NETO GRAVADO]:[Otros / No Grav.]])</f>
        <v>17055.050000000003</v>
      </c>
      <c r="Q46" s="408" t="str">
        <f>IFERROR(IF(compras_mes5[[#This Row],[CUIT]]="","-",VLOOKUP(compras_mes5[[#This Row],[CUIT]],Lista_CUIT[#All],3,0)),"CUIT NO CARGADO")</f>
        <v>GASTOS COMERCIALES</v>
      </c>
      <c r="R46" s="408">
        <f>IFERROR(IF(compras_mes5[[#This Row],[CUIT]]="","-",VLOOKUP(compras_mes5[[#This Row],[CUIT]],Lista_CUIT[#All],4,0)),"CUIT NO CARGADO")</f>
        <v>0</v>
      </c>
    </row>
    <row r="47" spans="2:18" x14ac:dyDescent="0.3">
      <c r="B47" s="399">
        <v>45052</v>
      </c>
      <c r="C47" s="400">
        <v>1</v>
      </c>
      <c r="D47" s="401">
        <v>5</v>
      </c>
      <c r="E47" s="402">
        <v>287</v>
      </c>
      <c r="F47" s="403">
        <v>20256599954</v>
      </c>
      <c r="G47" s="404" t="str">
        <f>IFERROR(IF(compras_mes5[[#This Row],[CUIT]]="","-",VLOOKUP(compras_mes5[[#This Row],[CUIT]],Lista_CUIT[#All],2,0)),"CUIT NO CARGADO")</f>
        <v>FONTELA VAZQUEZ PABLO HERNAN</v>
      </c>
      <c r="H47" s="405">
        <v>6858.67</v>
      </c>
      <c r="I47" s="406">
        <f>IF(compras_mes5[[#This Row],[NETO GRAVADO]]="","",compras_mes5[[#This Row],[NETO GRAVADO]]*0.21)</f>
        <v>1440.3207</v>
      </c>
      <c r="J47" s="406"/>
      <c r="K47" s="406"/>
      <c r="L47" s="406"/>
      <c r="M47" s="406"/>
      <c r="N47" s="406"/>
      <c r="O47" s="406"/>
      <c r="P47" s="407">
        <f>SUM(compras_mes5[[#This Row],[NETO GRAVADO]:[Otros / No Grav.]])</f>
        <v>8298.9907000000003</v>
      </c>
      <c r="Q47" s="408">
        <f>IFERROR(IF(compras_mes5[[#This Row],[CUIT]]="","-",VLOOKUP(compras_mes5[[#This Row],[CUIT]],Lista_CUIT[#All],3,0)),"CUIT NO CARGADO")</f>
        <v>0</v>
      </c>
      <c r="R47" s="408">
        <f>IFERROR(IF(compras_mes5[[#This Row],[CUIT]]="","-",VLOOKUP(compras_mes5[[#This Row],[CUIT]],Lista_CUIT[#All],4,0)),"CUIT NO CARGADO")</f>
        <v>0</v>
      </c>
    </row>
    <row r="48" spans="2:18" x14ac:dyDescent="0.3">
      <c r="B48" s="399">
        <v>45052</v>
      </c>
      <c r="C48" s="400">
        <v>1</v>
      </c>
      <c r="D48" s="401">
        <v>13554</v>
      </c>
      <c r="E48" s="402">
        <v>1398</v>
      </c>
      <c r="F48" s="403">
        <v>30590360763</v>
      </c>
      <c r="G48" s="404" t="str">
        <f>IFERROR(IF(compras_mes5[[#This Row],[CUIT]]="","-",VLOOKUP(compras_mes5[[#This Row],[CUIT]],Lista_CUIT[#All],2,0)),"CUIT NO CARGADO")</f>
        <v>CENCOSUD S.A</v>
      </c>
      <c r="H48" s="405">
        <v>21285.15</v>
      </c>
      <c r="I48" s="406">
        <v>4440.2</v>
      </c>
      <c r="J48" s="406"/>
      <c r="K48" s="406">
        <v>14.84</v>
      </c>
      <c r="L48" s="406">
        <v>634.73</v>
      </c>
      <c r="M48" s="406"/>
      <c r="N48" s="406">
        <v>1276.83</v>
      </c>
      <c r="O48" s="406">
        <v>239.81</v>
      </c>
      <c r="P48" s="407">
        <f>SUM(compras_mes5[[#This Row],[NETO GRAVADO]:[Otros / No Grav.]])</f>
        <v>27891.56</v>
      </c>
      <c r="Q48" s="408" t="str">
        <f>IFERROR(IF(compras_mes5[[#This Row],[CUIT]]="","-",VLOOKUP(compras_mes5[[#This Row],[CUIT]],Lista_CUIT[#All],3,0)),"CUIT NO CARGADO")</f>
        <v>Gastos Varios</v>
      </c>
      <c r="R48" s="408">
        <f>IFERROR(IF(compras_mes5[[#This Row],[CUIT]]="","-",VLOOKUP(compras_mes5[[#This Row],[CUIT]],Lista_CUIT[#All],4,0)),"CUIT NO CARGADO")</f>
        <v>0</v>
      </c>
    </row>
    <row r="49" spans="2:18" x14ac:dyDescent="0.3">
      <c r="B49" s="421">
        <v>45052</v>
      </c>
      <c r="C49" s="250">
        <v>1</v>
      </c>
      <c r="D49" s="423">
        <v>2199</v>
      </c>
      <c r="E49" s="424">
        <v>21856</v>
      </c>
      <c r="F49" s="425">
        <v>30548083156</v>
      </c>
      <c r="G49" s="426" t="str">
        <f>IFERROR(IF(compras_mes5[[#This Row],[CUIT]]="","-",VLOOKUP(compras_mes5[[#This Row],[CUIT]],Lista_CUIT[#All],2,0)),"CUIT NO CARGADO")</f>
        <v>COTO CENTRO INTEGRAL DE COMERCIALIZACION SOCIEDAD ANONIMA</v>
      </c>
      <c r="H49" s="427">
        <v>18630.669999999998</v>
      </c>
      <c r="I49" s="428">
        <v>3190.44</v>
      </c>
      <c r="J49" s="428"/>
      <c r="K49" s="428">
        <v>361</v>
      </c>
      <c r="L49" s="428"/>
      <c r="M49" s="428"/>
      <c r="N49" s="428"/>
      <c r="O49" s="428">
        <v>1561.98</v>
      </c>
      <c r="P49" s="429">
        <f>SUM(compras_mes5[[#This Row],[NETO GRAVADO]:[Otros / No Grav.]])</f>
        <v>23744.089999999997</v>
      </c>
      <c r="Q49" s="430" t="str">
        <f>IFERROR(IF(compras_mes5[[#This Row],[CUIT]]="","-",VLOOKUP(compras_mes5[[#This Row],[CUIT]],Lista_CUIT[#All],3,0)),"CUIT NO CARGADO")</f>
        <v>GASTOS COMERCIALES</v>
      </c>
      <c r="R49" s="430">
        <f>IFERROR(IF(compras_mes5[[#This Row],[CUIT]]="","-",VLOOKUP(compras_mes5[[#This Row],[CUIT]],Lista_CUIT[#All],4,0)),"CUIT NO CARGADO")</f>
        <v>0</v>
      </c>
    </row>
    <row r="50" spans="2:18" x14ac:dyDescent="0.3">
      <c r="B50" s="399">
        <v>45052</v>
      </c>
      <c r="C50" s="400">
        <v>1</v>
      </c>
      <c r="D50" s="401">
        <v>12</v>
      </c>
      <c r="E50" s="402">
        <v>23506</v>
      </c>
      <c r="F50" s="403">
        <v>30696131003</v>
      </c>
      <c r="G50" s="404" t="str">
        <f>IFERROR(IF(compras_mes5[[#This Row],[CUIT]]="","-",VLOOKUP(compras_mes5[[#This Row],[CUIT]],Lista_CUIT[#All],2,0)),"CUIT NO CARGADO")</f>
        <v>Petrolfe S.A.</v>
      </c>
      <c r="H50" s="405">
        <v>14009.95</v>
      </c>
      <c r="I50" s="406">
        <f>IF(compras_mes5[[#This Row],[NETO GRAVADO]]="","",compras_mes5[[#This Row],[NETO GRAVADO]]*0.21)</f>
        <v>2942.0895</v>
      </c>
      <c r="J50" s="406"/>
      <c r="K50" s="406"/>
      <c r="L50" s="406"/>
      <c r="M50" s="406"/>
      <c r="N50" s="406"/>
      <c r="O50" s="406">
        <v>2685.76</v>
      </c>
      <c r="P50" s="407">
        <f>SUM(compras_mes5[[#This Row],[NETO GRAVADO]:[Otros / No Grav.]])</f>
        <v>19637.799500000001</v>
      </c>
      <c r="Q50" s="408" t="str">
        <f>IFERROR(IF(compras_mes5[[#This Row],[CUIT]]="","-",VLOOKUP(compras_mes5[[#This Row],[CUIT]],Lista_CUIT[#All],3,0)),"CUIT NO CARGADO")</f>
        <v>Combustible</v>
      </c>
      <c r="R50" s="408">
        <f>IFERROR(IF(compras_mes5[[#This Row],[CUIT]]="","-",VLOOKUP(compras_mes5[[#This Row],[CUIT]],Lista_CUIT[#All],4,0)),"CUIT NO CARGADO")</f>
        <v>0</v>
      </c>
    </row>
    <row r="51" spans="2:18" x14ac:dyDescent="0.3">
      <c r="B51" s="399">
        <v>45053</v>
      </c>
      <c r="C51" s="400">
        <v>1</v>
      </c>
      <c r="D51" s="401">
        <v>6</v>
      </c>
      <c r="E51" s="402">
        <v>3313</v>
      </c>
      <c r="F51" s="403">
        <v>20134664518</v>
      </c>
      <c r="G51" s="404" t="str">
        <f>IFERROR(IF(compras_mes5[[#This Row],[CUIT]]="","-",VLOOKUP(compras_mes5[[#This Row],[CUIT]],Lista_CUIT[#All],2,0)),"CUIT NO CARGADO")</f>
        <v>HOKAMA SERGIO ENRIQUE</v>
      </c>
      <c r="H51" s="405">
        <v>6063.71</v>
      </c>
      <c r="I51" s="406">
        <f>IF(compras_mes5[[#This Row],[NETO GRAVADO]]="","",compras_mes5[[#This Row],[NETO GRAVADO]]*0.21)</f>
        <v>1273.3790999999999</v>
      </c>
      <c r="J51" s="406"/>
      <c r="K51" s="406"/>
      <c r="L51" s="406"/>
      <c r="M51" s="406"/>
      <c r="N51" s="406"/>
      <c r="O51" s="406"/>
      <c r="P51" s="407">
        <f>SUM(compras_mes5[[#This Row],[NETO GRAVADO]:[Otros / No Grav.]])</f>
        <v>7337.0891000000001</v>
      </c>
      <c r="Q51" s="408" t="str">
        <f>IFERROR(IF(compras_mes5[[#This Row],[CUIT]]="","-",VLOOKUP(compras_mes5[[#This Row],[CUIT]],Lista_CUIT[#All],3,0)),"CUIT NO CARGADO")</f>
        <v>Gastos Varios</v>
      </c>
      <c r="R51" s="408" t="str">
        <f>IFERROR(IF(compras_mes5[[#This Row],[CUIT]]="","-",VLOOKUP(compras_mes5[[#This Row],[CUIT]],Lista_CUIT[#All],4,0)),"CUIT NO CARGADO")</f>
        <v>BUENOS AIRES</v>
      </c>
    </row>
    <row r="52" spans="2:18" x14ac:dyDescent="0.3">
      <c r="B52" s="399">
        <v>45053</v>
      </c>
      <c r="C52" s="400">
        <v>1</v>
      </c>
      <c r="D52" s="401">
        <v>8</v>
      </c>
      <c r="E52" s="402">
        <v>7355</v>
      </c>
      <c r="F52" s="403">
        <v>30712450327</v>
      </c>
      <c r="G52" s="404" t="str">
        <f>IFERROR(IF(compras_mes5[[#This Row],[CUIT]]="","-",VLOOKUP(compras_mes5[[#This Row],[CUIT]],Lista_CUIT[#All],2,0)),"CUIT NO CARGADO")</f>
        <v>MANDOLA HERMANOS SA</v>
      </c>
      <c r="H52" s="405">
        <v>9727.2800000000007</v>
      </c>
      <c r="I52" s="406">
        <f>IF(compras_mes5[[#This Row],[NETO GRAVADO]]="","",compras_mes5[[#This Row],[NETO GRAVADO]]*0.21)</f>
        <v>2042.7288000000001</v>
      </c>
      <c r="J52" s="406"/>
      <c r="K52" s="406"/>
      <c r="L52" s="406"/>
      <c r="M52" s="406"/>
      <c r="N52" s="406"/>
      <c r="O52" s="406">
        <v>1530.8</v>
      </c>
      <c r="P52" s="407">
        <f>SUM(compras_mes5[[#This Row],[NETO GRAVADO]:[Otros / No Grav.]])</f>
        <v>13300.808800000001</v>
      </c>
      <c r="Q52" s="408" t="str">
        <f>IFERROR(IF(compras_mes5[[#This Row],[CUIT]]="","-",VLOOKUP(compras_mes5[[#This Row],[CUIT]],Lista_CUIT[#All],3,0)),"CUIT NO CARGADO")</f>
        <v>COMBUSTIBLE</v>
      </c>
      <c r="R52" s="408">
        <f>IFERROR(IF(compras_mes5[[#This Row],[CUIT]]="","-",VLOOKUP(compras_mes5[[#This Row],[CUIT]],Lista_CUIT[#All],4,0)),"CUIT NO CARGADO")</f>
        <v>0</v>
      </c>
    </row>
    <row r="53" spans="2:18" x14ac:dyDescent="0.3">
      <c r="B53" s="421">
        <v>45054</v>
      </c>
      <c r="C53" s="250">
        <v>1</v>
      </c>
      <c r="D53" s="423">
        <v>2</v>
      </c>
      <c r="E53" s="424">
        <v>209</v>
      </c>
      <c r="F53" s="425">
        <v>27309896063</v>
      </c>
      <c r="G53" s="426" t="str">
        <f>IFERROR(IF(compras_mes5[[#This Row],[CUIT]]="","-",VLOOKUP(compras_mes5[[#This Row],[CUIT]],Lista_CUIT[#All],2,0)),"CUIT NO CARGADO")</f>
        <v>BATTELLINI MARIA SOLEDAD</v>
      </c>
      <c r="H53" s="427">
        <v>50000</v>
      </c>
      <c r="I53" s="428">
        <f>IF(compras_mes5[[#This Row],[NETO GRAVADO]]="","",compras_mes5[[#This Row],[NETO GRAVADO]]*0.21)</f>
        <v>10500</v>
      </c>
      <c r="J53" s="428"/>
      <c r="K53" s="428"/>
      <c r="L53" s="428"/>
      <c r="M53" s="428"/>
      <c r="N53" s="428"/>
      <c r="O53" s="428"/>
      <c r="P53" s="429">
        <f>SUM(compras_mes5[[#This Row],[NETO GRAVADO]:[Otros / No Grav.]])</f>
        <v>60500</v>
      </c>
      <c r="Q53" s="430">
        <f>IFERROR(IF(compras_mes5[[#This Row],[CUIT]]="","-",VLOOKUP(compras_mes5[[#This Row],[CUIT]],Lista_CUIT[#All],3,0)),"CUIT NO CARGADO")</f>
        <v>0</v>
      </c>
      <c r="R53" s="430">
        <f>IFERROR(IF(compras_mes5[[#This Row],[CUIT]]="","-",VLOOKUP(compras_mes5[[#This Row],[CUIT]],Lista_CUIT[#All],4,0)),"CUIT NO CARGADO")</f>
        <v>0</v>
      </c>
    </row>
    <row r="54" spans="2:18" x14ac:dyDescent="0.3">
      <c r="B54" s="399">
        <v>45054</v>
      </c>
      <c r="C54" s="400">
        <v>1</v>
      </c>
      <c r="D54" s="401">
        <v>2</v>
      </c>
      <c r="E54" s="402">
        <v>551</v>
      </c>
      <c r="F54" s="403">
        <v>30717442551</v>
      </c>
      <c r="G54" s="404" t="str">
        <f>IFERROR(IF(compras_mes5[[#This Row],[CUIT]]="","-",VLOOKUP(compras_mes5[[#This Row],[CUIT]],Lista_CUIT[#All],2,0)),"CUIT NO CARGADO")</f>
        <v>BH ONLINE SRL</v>
      </c>
      <c r="H54" s="405">
        <v>17193.669999999998</v>
      </c>
      <c r="I54" s="406"/>
      <c r="J54" s="406"/>
      <c r="K54" s="406">
        <v>1805.34</v>
      </c>
      <c r="L54" s="406"/>
      <c r="M54" s="406"/>
      <c r="N54" s="406"/>
      <c r="O54" s="406"/>
      <c r="P54" s="407">
        <f>SUM(compras_mes5[[#This Row],[NETO GRAVADO]:[Otros / No Grav.]])</f>
        <v>18999.009999999998</v>
      </c>
      <c r="Q54" s="408">
        <f>IFERROR(IF(compras_mes5[[#This Row],[CUIT]]="","-",VLOOKUP(compras_mes5[[#This Row],[CUIT]],Lista_CUIT[#All],3,0)),"CUIT NO CARGADO")</f>
        <v>0</v>
      </c>
      <c r="R54" s="408">
        <f>IFERROR(IF(compras_mes5[[#This Row],[CUIT]]="","-",VLOOKUP(compras_mes5[[#This Row],[CUIT]],Lista_CUIT[#All],4,0)),"CUIT NO CARGADO")</f>
        <v>0</v>
      </c>
    </row>
    <row r="55" spans="2:18" x14ac:dyDescent="0.3">
      <c r="B55" s="399">
        <v>45054</v>
      </c>
      <c r="C55" s="400">
        <v>1</v>
      </c>
      <c r="D55" s="401">
        <v>9</v>
      </c>
      <c r="E55" s="402">
        <v>1490</v>
      </c>
      <c r="F55" s="403">
        <v>20372478056</v>
      </c>
      <c r="G55" s="404" t="str">
        <f>IFERROR(IF(compras_mes5[[#This Row],[CUIT]]="","-",VLOOKUP(compras_mes5[[#This Row],[CUIT]],Lista_CUIT[#All],2,0)),"CUIT NO CARGADO")</f>
        <v>SERRA ANDREOLI RODRIGO EMILIO</v>
      </c>
      <c r="H55" s="405">
        <v>12864.13</v>
      </c>
      <c r="I55" s="406">
        <f>IF(compras_mes5[[#This Row],[NETO GRAVADO]]="","",compras_mes5[[#This Row],[NETO GRAVADO]]*0.21)</f>
        <v>2701.4672999999998</v>
      </c>
      <c r="J55" s="406"/>
      <c r="K55" s="406"/>
      <c r="L55" s="406"/>
      <c r="M55" s="406"/>
      <c r="N55" s="406"/>
      <c r="O55" s="406"/>
      <c r="P55" s="407">
        <f>SUM(compras_mes5[[#This Row],[NETO GRAVADO]:[Otros / No Grav.]])</f>
        <v>15565.597299999999</v>
      </c>
      <c r="Q55" s="408">
        <f>IFERROR(IF(compras_mes5[[#This Row],[CUIT]]="","-",VLOOKUP(compras_mes5[[#This Row],[CUIT]],Lista_CUIT[#All],3,0)),"CUIT NO CARGADO")</f>
        <v>0</v>
      </c>
      <c r="R55" s="408">
        <f>IFERROR(IF(compras_mes5[[#This Row],[CUIT]]="","-",VLOOKUP(compras_mes5[[#This Row],[CUIT]],Lista_CUIT[#All],4,0)),"CUIT NO CARGADO")</f>
        <v>0</v>
      </c>
    </row>
    <row r="56" spans="2:18" x14ac:dyDescent="0.3">
      <c r="B56" s="399">
        <v>45054</v>
      </c>
      <c r="C56" s="400">
        <v>1</v>
      </c>
      <c r="D56" s="401">
        <v>20</v>
      </c>
      <c r="E56" s="402">
        <v>8585</v>
      </c>
      <c r="F56" s="403">
        <v>30515800219</v>
      </c>
      <c r="G56" s="404" t="str">
        <f>IFERROR(IF(compras_mes5[[#This Row],[CUIT]]="","-",VLOOKUP(compras_mes5[[#This Row],[CUIT]],Lista_CUIT[#All],2,0)),"CUIT NO CARGADO")</f>
        <v>INCAT SRL</v>
      </c>
      <c r="H56" s="405">
        <v>815</v>
      </c>
      <c r="I56" s="406">
        <f>IF(compras_mes5[[#This Row],[NETO GRAVADO]]="","",compras_mes5[[#This Row],[NETO GRAVADO]]*0.21)</f>
        <v>171.15</v>
      </c>
      <c r="J56" s="406"/>
      <c r="K56" s="406"/>
      <c r="L56" s="406"/>
      <c r="M56" s="406"/>
      <c r="N56" s="406"/>
      <c r="O56" s="406">
        <v>13.83</v>
      </c>
      <c r="P56" s="407">
        <f>SUM(compras_mes5[[#This Row],[NETO GRAVADO]:[Otros / No Grav.]])</f>
        <v>999.98</v>
      </c>
      <c r="Q56" s="408" t="str">
        <f>IFERROR(IF(compras_mes5[[#This Row],[CUIT]]="","-",VLOOKUP(compras_mes5[[#This Row],[CUIT]],Lista_CUIT[#All],3,0)),"CUIT NO CARGADO")</f>
        <v>Combustibe</v>
      </c>
      <c r="R56" s="408" t="str">
        <f>IFERROR(IF(compras_mes5[[#This Row],[CUIT]]="","-",VLOOKUP(compras_mes5[[#This Row],[CUIT]],Lista_CUIT[#All],4,0)),"CUIT NO CARGADO")</f>
        <v>CABA</v>
      </c>
    </row>
    <row r="57" spans="2:18" x14ac:dyDescent="0.3">
      <c r="B57" s="421">
        <v>45054</v>
      </c>
      <c r="C57" s="250">
        <v>1</v>
      </c>
      <c r="D57" s="423">
        <v>8</v>
      </c>
      <c r="E57" s="424">
        <v>17734</v>
      </c>
      <c r="F57" s="425">
        <v>30699455829</v>
      </c>
      <c r="G57" s="426" t="str">
        <f>IFERROR(IF(compras_mes5[[#This Row],[CUIT]]="","-",VLOOKUP(compras_mes5[[#This Row],[CUIT]],Lista_CUIT[#All],2,0)),"CUIT NO CARGADO")</f>
        <v>RODAR S R L</v>
      </c>
      <c r="H57" s="427">
        <v>113538.84</v>
      </c>
      <c r="I57" s="428">
        <f>IF(compras_mes5[[#This Row],[NETO GRAVADO]]="","",compras_mes5[[#This Row],[NETO GRAVADO]]*0.21)</f>
        <v>23843.1564</v>
      </c>
      <c r="J57" s="428"/>
      <c r="K57" s="428"/>
      <c r="L57" s="428"/>
      <c r="M57" s="428"/>
      <c r="N57" s="428"/>
      <c r="O57" s="428"/>
      <c r="P57" s="429">
        <f>SUM(compras_mes5[[#This Row],[NETO GRAVADO]:[Otros / No Grav.]])</f>
        <v>137381.9964</v>
      </c>
      <c r="Q57" s="430">
        <f>IFERROR(IF(compras_mes5[[#This Row],[CUIT]]="","-",VLOOKUP(compras_mes5[[#This Row],[CUIT]],Lista_CUIT[#All],3,0)),"CUIT NO CARGADO")</f>
        <v>0</v>
      </c>
      <c r="R57" s="430">
        <f>IFERROR(IF(compras_mes5[[#This Row],[CUIT]]="","-",VLOOKUP(compras_mes5[[#This Row],[CUIT]],Lista_CUIT[#All],4,0)),"CUIT NO CARGADO")</f>
        <v>0</v>
      </c>
    </row>
    <row r="58" spans="2:18" x14ac:dyDescent="0.3">
      <c r="B58" s="399">
        <v>45054</v>
      </c>
      <c r="C58" s="400">
        <v>1</v>
      </c>
      <c r="D58" s="401">
        <v>18</v>
      </c>
      <c r="E58" s="402">
        <v>18311</v>
      </c>
      <c r="F58" s="403">
        <v>30515800219</v>
      </c>
      <c r="G58" s="404" t="str">
        <f>IFERROR(IF(compras_mes5[[#This Row],[CUIT]]="","-",VLOOKUP(compras_mes5[[#This Row],[CUIT]],Lista_CUIT[#All],2,0)),"CUIT NO CARGADO")</f>
        <v>INCAT SRL</v>
      </c>
      <c r="H58" s="405">
        <v>1424.38</v>
      </c>
      <c r="I58" s="406">
        <f>IF(compras_mes5[[#This Row],[NETO GRAVADO]]="","",compras_mes5[[#This Row],[NETO GRAVADO]]*0.21)</f>
        <v>299.1198</v>
      </c>
      <c r="J58" s="406"/>
      <c r="K58" s="406"/>
      <c r="L58" s="406"/>
      <c r="M58" s="406"/>
      <c r="N58" s="406"/>
      <c r="O58" s="406">
        <v>276.45</v>
      </c>
      <c r="P58" s="407">
        <f>SUM(compras_mes5[[#This Row],[NETO GRAVADO]:[Otros / No Grav.]])</f>
        <v>1999.9498000000001</v>
      </c>
      <c r="Q58" s="408" t="str">
        <f>IFERROR(IF(compras_mes5[[#This Row],[CUIT]]="","-",VLOOKUP(compras_mes5[[#This Row],[CUIT]],Lista_CUIT[#All],3,0)),"CUIT NO CARGADO")</f>
        <v>Combustibe</v>
      </c>
      <c r="R58" s="408" t="str">
        <f>IFERROR(IF(compras_mes5[[#This Row],[CUIT]]="","-",VLOOKUP(compras_mes5[[#This Row],[CUIT]],Lista_CUIT[#All],4,0)),"CUIT NO CARGADO")</f>
        <v>CABA</v>
      </c>
    </row>
    <row r="59" spans="2:18" x14ac:dyDescent="0.3">
      <c r="B59" s="399">
        <v>45055</v>
      </c>
      <c r="C59" s="400">
        <v>1</v>
      </c>
      <c r="D59" s="401">
        <v>3</v>
      </c>
      <c r="E59" s="402">
        <v>47</v>
      </c>
      <c r="F59" s="403">
        <v>33715993509</v>
      </c>
      <c r="G59" s="404" t="str">
        <f>IFERROR(IF(compras_mes5[[#This Row],[CUIT]]="","-",VLOOKUP(compras_mes5[[#This Row],[CUIT]],Lista_CUIT[#All],2,0)),"CUIT NO CARGADO")</f>
        <v>+Q NATURAL S.A.</v>
      </c>
      <c r="H59" s="405">
        <v>4917.3599999999997</v>
      </c>
      <c r="I59" s="406">
        <f>IF(compras_mes5[[#This Row],[NETO GRAVADO]]="","",compras_mes5[[#This Row],[NETO GRAVADO]]*0.21)</f>
        <v>1032.6455999999998</v>
      </c>
      <c r="J59" s="406"/>
      <c r="K59" s="406"/>
      <c r="L59" s="406"/>
      <c r="M59" s="406"/>
      <c r="N59" s="406"/>
      <c r="O59" s="406"/>
      <c r="P59" s="407">
        <f>SUM(compras_mes5[[#This Row],[NETO GRAVADO]:[Otros / No Grav.]])</f>
        <v>5950.0055999999995</v>
      </c>
      <c r="Q59" s="408">
        <f>IFERROR(IF(compras_mes5[[#This Row],[CUIT]]="","-",VLOOKUP(compras_mes5[[#This Row],[CUIT]],Lista_CUIT[#All],3,0)),"CUIT NO CARGADO")</f>
        <v>0</v>
      </c>
      <c r="R59" s="408">
        <f>IFERROR(IF(compras_mes5[[#This Row],[CUIT]]="","-",VLOOKUP(compras_mes5[[#This Row],[CUIT]],Lista_CUIT[#All],4,0)),"CUIT NO CARGADO")</f>
        <v>0</v>
      </c>
    </row>
    <row r="60" spans="2:18" x14ac:dyDescent="0.3">
      <c r="B60" s="399">
        <v>45055</v>
      </c>
      <c r="C60" s="400">
        <v>1</v>
      </c>
      <c r="D60" s="401">
        <v>3</v>
      </c>
      <c r="E60" s="402">
        <v>81</v>
      </c>
      <c r="F60" s="403">
        <v>33716968109</v>
      </c>
      <c r="G60" s="404" t="str">
        <f>IFERROR(IF(compras_mes5[[#This Row],[CUIT]]="","-",VLOOKUP(compras_mes5[[#This Row],[CUIT]],Lista_CUIT[#All],2,0)),"CUIT NO CARGADO")</f>
        <v>SENSES PLUS S.R.L.</v>
      </c>
      <c r="H60" s="405">
        <v>66339</v>
      </c>
      <c r="I60" s="406">
        <f>IF(compras_mes5[[#This Row],[NETO GRAVADO]]="","",compras_mes5[[#This Row],[NETO GRAVADO]]*0.21)</f>
        <v>13931.189999999999</v>
      </c>
      <c r="J60" s="406"/>
      <c r="K60" s="406"/>
      <c r="L60" s="406"/>
      <c r="M60" s="406"/>
      <c r="N60" s="406"/>
      <c r="O60" s="406"/>
      <c r="P60" s="407">
        <f>SUM(compras_mes5[[#This Row],[NETO GRAVADO]:[Otros / No Grav.]])</f>
        <v>80270.19</v>
      </c>
      <c r="Q60" s="408">
        <f>IFERROR(IF(compras_mes5[[#This Row],[CUIT]]="","-",VLOOKUP(compras_mes5[[#This Row],[CUIT]],Lista_CUIT[#All],3,0)),"CUIT NO CARGADO")</f>
        <v>0</v>
      </c>
      <c r="R60" s="408">
        <f>IFERROR(IF(compras_mes5[[#This Row],[CUIT]]="","-",VLOOKUP(compras_mes5[[#This Row],[CUIT]],Lista_CUIT[#All],4,0)),"CUIT NO CARGADO")</f>
        <v>0</v>
      </c>
    </row>
    <row r="61" spans="2:18" x14ac:dyDescent="0.3">
      <c r="B61" s="399">
        <v>45055</v>
      </c>
      <c r="C61" s="400">
        <v>1</v>
      </c>
      <c r="D61" s="401">
        <v>2</v>
      </c>
      <c r="E61" s="402">
        <v>88</v>
      </c>
      <c r="F61" s="403">
        <v>30717768511</v>
      </c>
      <c r="G61" s="404" t="str">
        <f>IFERROR(IF(compras_mes5[[#This Row],[CUIT]]="","-",VLOOKUP(compras_mes5[[#This Row],[CUIT]],Lista_CUIT[#All],2,0)),"CUIT NO CARGADO")</f>
        <v>DEALER S. CAP I SECC IV</v>
      </c>
      <c r="H61" s="405">
        <v>44929.71</v>
      </c>
      <c r="I61" s="406">
        <f>IF(compras_mes5[[#This Row],[NETO GRAVADO]]="","",compras_mes5[[#This Row],[NETO GRAVADO]]*0.21)</f>
        <v>9435.2390999999989</v>
      </c>
      <c r="J61" s="406"/>
      <c r="K61" s="406"/>
      <c r="L61" s="406"/>
      <c r="M61" s="406"/>
      <c r="N61" s="406"/>
      <c r="O61" s="406"/>
      <c r="P61" s="407">
        <f>SUM(compras_mes5[[#This Row],[NETO GRAVADO]:[Otros / No Grav.]])</f>
        <v>54364.949099999998</v>
      </c>
      <c r="Q61" s="408">
        <f>IFERROR(IF(compras_mes5[[#This Row],[CUIT]]="","-",VLOOKUP(compras_mes5[[#This Row],[CUIT]],Lista_CUIT[#All],3,0)),"CUIT NO CARGADO")</f>
        <v>0</v>
      </c>
      <c r="R61" s="408">
        <f>IFERROR(IF(compras_mes5[[#This Row],[CUIT]]="","-",VLOOKUP(compras_mes5[[#This Row],[CUIT]],Lista_CUIT[#All],4,0)),"CUIT NO CARGADO")</f>
        <v>0</v>
      </c>
    </row>
    <row r="62" spans="2:18" x14ac:dyDescent="0.3">
      <c r="B62" s="399">
        <v>45055</v>
      </c>
      <c r="C62" s="400">
        <v>1</v>
      </c>
      <c r="D62" s="401">
        <v>20</v>
      </c>
      <c r="E62" s="402">
        <v>8604</v>
      </c>
      <c r="F62" s="403">
        <v>30515800219</v>
      </c>
      <c r="G62" s="404" t="str">
        <f>IFERROR(IF(compras_mes5[[#This Row],[CUIT]]="","-",VLOOKUP(compras_mes5[[#This Row],[CUIT]],Lista_CUIT[#All],2,0)),"CUIT NO CARGADO")</f>
        <v>INCAT SRL</v>
      </c>
      <c r="H62" s="405">
        <v>815</v>
      </c>
      <c r="I62" s="406">
        <f>IF(compras_mes5[[#This Row],[NETO GRAVADO]]="","",compras_mes5[[#This Row],[NETO GRAVADO]]*0.21)</f>
        <v>171.15</v>
      </c>
      <c r="J62" s="406"/>
      <c r="K62" s="406"/>
      <c r="L62" s="406"/>
      <c r="M62" s="406"/>
      <c r="N62" s="406"/>
      <c r="O62" s="406">
        <v>13.83</v>
      </c>
      <c r="P62" s="407">
        <f>SUM(compras_mes5[[#This Row],[NETO GRAVADO]:[Otros / No Grav.]])</f>
        <v>999.98</v>
      </c>
      <c r="Q62" s="408" t="str">
        <f>IFERROR(IF(compras_mes5[[#This Row],[CUIT]]="","-",VLOOKUP(compras_mes5[[#This Row],[CUIT]],Lista_CUIT[#All],3,0)),"CUIT NO CARGADO")</f>
        <v>Combustibe</v>
      </c>
      <c r="R62" s="408" t="str">
        <f>IFERROR(IF(compras_mes5[[#This Row],[CUIT]]="","-",VLOOKUP(compras_mes5[[#This Row],[CUIT]],Lista_CUIT[#All],4,0)),"CUIT NO CARGADO")</f>
        <v>CABA</v>
      </c>
    </row>
    <row r="63" spans="2:18" x14ac:dyDescent="0.3">
      <c r="B63" s="399">
        <v>45055</v>
      </c>
      <c r="C63" s="400">
        <v>1</v>
      </c>
      <c r="D63" s="401">
        <v>3</v>
      </c>
      <c r="E63" s="402">
        <v>8696</v>
      </c>
      <c r="F63" s="403">
        <v>30679163317</v>
      </c>
      <c r="G63" s="404" t="str">
        <f>IFERROR(IF(compras_mes5[[#This Row],[CUIT]]="","-",VLOOKUP(compras_mes5[[#This Row],[CUIT]],Lista_CUIT[#All],2,0)),"CUIT NO CARGADO")</f>
        <v>RANKO S R L</v>
      </c>
      <c r="H63" s="405">
        <v>6755.45</v>
      </c>
      <c r="I63" s="406">
        <f>IF(compras_mes5[[#This Row],[NETO GRAVADO]]="","",compras_mes5[[#This Row],[NETO GRAVADO]]*0.21)</f>
        <v>1418.6444999999999</v>
      </c>
      <c r="J63" s="406"/>
      <c r="K63" s="406"/>
      <c r="L63" s="406"/>
      <c r="M63" s="406"/>
      <c r="N63" s="406"/>
      <c r="O63" s="406"/>
      <c r="P63" s="407">
        <f>SUM(compras_mes5[[#This Row],[NETO GRAVADO]:[Otros / No Grav.]])</f>
        <v>8174.0944999999992</v>
      </c>
      <c r="Q63" s="408">
        <f>IFERROR(IF(compras_mes5[[#This Row],[CUIT]]="","-",VLOOKUP(compras_mes5[[#This Row],[CUIT]],Lista_CUIT[#All],3,0)),"CUIT NO CARGADO")</f>
        <v>0</v>
      </c>
      <c r="R63" s="408">
        <f>IFERROR(IF(compras_mes5[[#This Row],[CUIT]]="","-",VLOOKUP(compras_mes5[[#This Row],[CUIT]],Lista_CUIT[#All],4,0)),"CUIT NO CARGADO")</f>
        <v>0</v>
      </c>
    </row>
    <row r="64" spans="2:18" x14ac:dyDescent="0.3">
      <c r="B64" s="421">
        <v>45055</v>
      </c>
      <c r="C64" s="250">
        <v>1</v>
      </c>
      <c r="D64" s="423">
        <v>948</v>
      </c>
      <c r="E64" s="424">
        <v>950048</v>
      </c>
      <c r="F64" s="425">
        <v>30639453975</v>
      </c>
      <c r="G64" s="426" t="str">
        <f>IFERROR(IF(compras_mes5[[#This Row],[CUIT]]="","-",VLOOKUP(compras_mes5[[#This Row],[CUIT]],Lista_CUIT[#All],2,0)),"CUIT NO CARGADO")</f>
        <v>TELEFONICA DE ARG S.A.</v>
      </c>
      <c r="H64" s="427">
        <v>6177.42</v>
      </c>
      <c r="I64" s="428"/>
      <c r="J64" s="428">
        <v>1667.9</v>
      </c>
      <c r="K64" s="428"/>
      <c r="L64" s="428">
        <v>185.32</v>
      </c>
      <c r="M64" s="428"/>
      <c r="N64" s="428">
        <v>370.65</v>
      </c>
      <c r="O64" s="428"/>
      <c r="P64" s="429">
        <f>SUM(compras_mes5[[#This Row],[NETO GRAVADO]:[Otros / No Grav.]])</f>
        <v>8401.2899999999991</v>
      </c>
      <c r="Q64" s="430" t="str">
        <f>IFERROR(IF(compras_mes5[[#This Row],[CUIT]]="","-",VLOOKUP(compras_mes5[[#This Row],[CUIT]],Lista_CUIT[#All],3,0)),"CUIT NO CARGADO")</f>
        <v>Servicios Gas, Luz, etc.</v>
      </c>
      <c r="R64" s="430">
        <f>IFERROR(IF(compras_mes5[[#This Row],[CUIT]]="","-",VLOOKUP(compras_mes5[[#This Row],[CUIT]],Lista_CUIT[#All],4,0)),"CUIT NO CARGADO")</f>
        <v>0</v>
      </c>
    </row>
    <row r="65" spans="2:18" x14ac:dyDescent="0.3">
      <c r="B65" s="399">
        <v>45056</v>
      </c>
      <c r="C65" s="400">
        <v>1</v>
      </c>
      <c r="D65" s="401">
        <v>2</v>
      </c>
      <c r="E65" s="402">
        <v>1007</v>
      </c>
      <c r="F65" s="403">
        <v>20172319743</v>
      </c>
      <c r="G65" s="404" t="str">
        <f>IFERROR(IF(compras_mes5[[#This Row],[CUIT]]="","-",VLOOKUP(compras_mes5[[#This Row],[CUIT]],Lista_CUIT[#All],2,0)),"CUIT NO CARGADO")</f>
        <v>IACONIS SERGIO OMAR</v>
      </c>
      <c r="H65" s="405">
        <v>695280</v>
      </c>
      <c r="I65" s="406">
        <f>IF(compras_mes5[[#This Row],[NETO GRAVADO]]="","",compras_mes5[[#This Row],[NETO GRAVADO]]*0.21)</f>
        <v>146008.79999999999</v>
      </c>
      <c r="J65" s="406"/>
      <c r="K65" s="406"/>
      <c r="L65" s="406"/>
      <c r="M65" s="406"/>
      <c r="N65" s="406"/>
      <c r="O65" s="406"/>
      <c r="P65" s="407">
        <f>SUM(compras_mes5[[#This Row],[NETO GRAVADO]:[Otros / No Grav.]])</f>
        <v>841288.8</v>
      </c>
      <c r="Q65" s="408">
        <f>IFERROR(IF(compras_mes5[[#This Row],[CUIT]]="","-",VLOOKUP(compras_mes5[[#This Row],[CUIT]],Lista_CUIT[#All],3,0)),"CUIT NO CARGADO")</f>
        <v>0</v>
      </c>
      <c r="R65" s="408">
        <f>IFERROR(IF(compras_mes5[[#This Row],[CUIT]]="","-",VLOOKUP(compras_mes5[[#This Row],[CUIT]],Lista_CUIT[#All],4,0)),"CUIT NO CARGADO")</f>
        <v>0</v>
      </c>
    </row>
    <row r="66" spans="2:18" x14ac:dyDescent="0.3">
      <c r="B66" s="399">
        <v>45056</v>
      </c>
      <c r="C66" s="400">
        <v>1</v>
      </c>
      <c r="D66" s="401">
        <v>8</v>
      </c>
      <c r="E66" s="402">
        <v>2010</v>
      </c>
      <c r="F66" s="403">
        <v>30712210636</v>
      </c>
      <c r="G66" s="404" t="str">
        <f>IFERROR(IF(compras_mes5[[#This Row],[CUIT]]="","-",VLOOKUP(compras_mes5[[#This Row],[CUIT]],Lista_CUIT[#All],2,0)),"CUIT NO CARGADO")</f>
        <v>BARRERA RICARDO DARIO Y HUBY GANOZA JIMMY  SOCIEDAD DE HECHO</v>
      </c>
      <c r="H66" s="405">
        <v>1859.52</v>
      </c>
      <c r="I66" s="406">
        <f>IF(compras_mes5[[#This Row],[NETO GRAVADO]]="","",compras_mes5[[#This Row],[NETO GRAVADO]]*0.21)</f>
        <v>390.49919999999997</v>
      </c>
      <c r="J66" s="406"/>
      <c r="K66" s="406"/>
      <c r="L66" s="406"/>
      <c r="M66" s="406"/>
      <c r="N66" s="406"/>
      <c r="O66" s="406"/>
      <c r="P66" s="407">
        <f>SUM(compras_mes5[[#This Row],[NETO GRAVADO]:[Otros / No Grav.]])</f>
        <v>2250.0191999999997</v>
      </c>
      <c r="Q66" s="408">
        <f>IFERROR(IF(compras_mes5[[#This Row],[CUIT]]="","-",VLOOKUP(compras_mes5[[#This Row],[CUIT]],Lista_CUIT[#All],3,0)),"CUIT NO CARGADO")</f>
        <v>0</v>
      </c>
      <c r="R66" s="408">
        <f>IFERROR(IF(compras_mes5[[#This Row],[CUIT]]="","-",VLOOKUP(compras_mes5[[#This Row],[CUIT]],Lista_CUIT[#All],4,0)),"CUIT NO CARGADO")</f>
        <v>0</v>
      </c>
    </row>
    <row r="67" spans="2:18" x14ac:dyDescent="0.3">
      <c r="B67" s="399">
        <v>45056</v>
      </c>
      <c r="C67" s="400">
        <v>1</v>
      </c>
      <c r="D67" s="401">
        <v>6</v>
      </c>
      <c r="E67" s="402">
        <v>3320</v>
      </c>
      <c r="F67" s="403">
        <v>20134664518</v>
      </c>
      <c r="G67" s="404" t="str">
        <f>IFERROR(IF(compras_mes5[[#This Row],[CUIT]]="","-",VLOOKUP(compras_mes5[[#This Row],[CUIT]],Lista_CUIT[#All],2,0)),"CUIT NO CARGADO")</f>
        <v>HOKAMA SERGIO ENRIQUE</v>
      </c>
      <c r="H67" s="405">
        <v>8757.77</v>
      </c>
      <c r="I67" s="406">
        <f>IF(compras_mes5[[#This Row],[NETO GRAVADO]]="","",compras_mes5[[#This Row],[NETO GRAVADO]]*0.21)</f>
        <v>1839.1317000000001</v>
      </c>
      <c r="J67" s="406"/>
      <c r="K67" s="406"/>
      <c r="L67" s="406"/>
      <c r="M67" s="406"/>
      <c r="N67" s="406"/>
      <c r="O67" s="406"/>
      <c r="P67" s="407">
        <f>SUM(compras_mes5[[#This Row],[NETO GRAVADO]:[Otros / No Grav.]])</f>
        <v>10596.9017</v>
      </c>
      <c r="Q67" s="408" t="str">
        <f>IFERROR(IF(compras_mes5[[#This Row],[CUIT]]="","-",VLOOKUP(compras_mes5[[#This Row],[CUIT]],Lista_CUIT[#All],3,0)),"CUIT NO CARGADO")</f>
        <v>Gastos Varios</v>
      </c>
      <c r="R67" s="408" t="str">
        <f>IFERROR(IF(compras_mes5[[#This Row],[CUIT]]="","-",VLOOKUP(compras_mes5[[#This Row],[CUIT]],Lista_CUIT[#All],4,0)),"CUIT NO CARGADO")</f>
        <v>BUENOS AIRES</v>
      </c>
    </row>
    <row r="68" spans="2:18" x14ac:dyDescent="0.3">
      <c r="B68" s="399">
        <v>45056</v>
      </c>
      <c r="C68" s="400">
        <v>1</v>
      </c>
      <c r="D68" s="401">
        <v>2</v>
      </c>
      <c r="E68" s="402">
        <v>3335</v>
      </c>
      <c r="F68" s="403">
        <v>30629863571</v>
      </c>
      <c r="G68" s="404" t="str">
        <f>IFERROR(IF(compras_mes5[[#This Row],[CUIT]]="","-",VLOOKUP(compras_mes5[[#This Row],[CUIT]],Lista_CUIT[#All],2,0)),"CUIT NO CARGADO")</f>
        <v>TECNIMAR S R L</v>
      </c>
      <c r="H68" s="405">
        <v>261322</v>
      </c>
      <c r="I68" s="406">
        <f>IF(compras_mes5[[#This Row],[NETO GRAVADO]]="","",compras_mes5[[#This Row],[NETO GRAVADO]]*0.21)</f>
        <v>54877.619999999995</v>
      </c>
      <c r="J68" s="406"/>
      <c r="K68" s="406"/>
      <c r="L68" s="406"/>
      <c r="M68" s="406"/>
      <c r="N68" s="406"/>
      <c r="O68" s="406"/>
      <c r="P68" s="407">
        <f>SUM(compras_mes5[[#This Row],[NETO GRAVADO]:[Otros / No Grav.]])</f>
        <v>316199.62</v>
      </c>
      <c r="Q68" s="408" t="str">
        <f>IFERROR(IF(compras_mes5[[#This Row],[CUIT]]="","-",VLOOKUP(compras_mes5[[#This Row],[CUIT]],Lista_CUIT[#All],3,0)),"CUIT NO CARGADO")</f>
        <v>LABORATORIO</v>
      </c>
      <c r="R68" s="408">
        <f>IFERROR(IF(compras_mes5[[#This Row],[CUIT]]="","-",VLOOKUP(compras_mes5[[#This Row],[CUIT]],Lista_CUIT[#All],4,0)),"CUIT NO CARGADO")</f>
        <v>0</v>
      </c>
    </row>
    <row r="69" spans="2:18" x14ac:dyDescent="0.3">
      <c r="B69" s="399">
        <v>45056</v>
      </c>
      <c r="C69" s="400">
        <v>1</v>
      </c>
      <c r="D69" s="401">
        <v>20</v>
      </c>
      <c r="E69" s="402">
        <v>8623</v>
      </c>
      <c r="F69" s="403">
        <v>30515800219</v>
      </c>
      <c r="G69" s="404" t="str">
        <f>IFERROR(IF(compras_mes5[[#This Row],[CUIT]]="","-",VLOOKUP(compras_mes5[[#This Row],[CUIT]],Lista_CUIT[#All],2,0)),"CUIT NO CARGADO")</f>
        <v>INCAT SRL</v>
      </c>
      <c r="H69" s="405">
        <v>816.05</v>
      </c>
      <c r="I69" s="406">
        <f>IF(compras_mes5[[#This Row],[NETO GRAVADO]]="","",compras_mes5[[#This Row],[NETO GRAVADO]]*0.21)</f>
        <v>171.37049999999999</v>
      </c>
      <c r="J69" s="406"/>
      <c r="K69" s="406"/>
      <c r="L69" s="406"/>
      <c r="M69" s="406"/>
      <c r="N69" s="406"/>
      <c r="O69" s="406">
        <v>12.6</v>
      </c>
      <c r="P69" s="407">
        <f>SUM(compras_mes5[[#This Row],[NETO GRAVADO]:[Otros / No Grav.]])</f>
        <v>1000.0205</v>
      </c>
      <c r="Q69" s="408" t="str">
        <f>IFERROR(IF(compras_mes5[[#This Row],[CUIT]]="","-",VLOOKUP(compras_mes5[[#This Row],[CUIT]],Lista_CUIT[#All],3,0)),"CUIT NO CARGADO")</f>
        <v>Combustibe</v>
      </c>
      <c r="R69" s="408" t="str">
        <f>IFERROR(IF(compras_mes5[[#This Row],[CUIT]]="","-",VLOOKUP(compras_mes5[[#This Row],[CUIT]],Lista_CUIT[#All],4,0)),"CUIT NO CARGADO")</f>
        <v>CABA</v>
      </c>
    </row>
    <row r="70" spans="2:18" x14ac:dyDescent="0.3">
      <c r="B70" s="399">
        <v>45056</v>
      </c>
      <c r="C70" s="400">
        <v>1</v>
      </c>
      <c r="D70" s="401">
        <v>6852</v>
      </c>
      <c r="E70" s="402">
        <v>16873</v>
      </c>
      <c r="F70" s="403">
        <v>30678774495</v>
      </c>
      <c r="G70" s="404" t="str">
        <f>IFERROR(IF(compras_mes5[[#This Row],[CUIT]]="","-",VLOOKUP(compras_mes5[[#This Row],[CUIT]],Lista_CUIT[#All],2,0)),"CUIT NO CARGADO")</f>
        <v>OPER. DE EST. DE SERV. SA</v>
      </c>
      <c r="H70" s="405">
        <v>4342.8</v>
      </c>
      <c r="I70" s="406">
        <f>IF(compras_mes5[[#This Row],[NETO GRAVADO]]="","",compras_mes5[[#This Row],[NETO GRAVADO]]*0.21)</f>
        <v>911.98800000000006</v>
      </c>
      <c r="J70" s="406"/>
      <c r="K70" s="406"/>
      <c r="L70" s="406"/>
      <c r="M70" s="406"/>
      <c r="N70" s="406"/>
      <c r="O70" s="406">
        <v>745.21</v>
      </c>
      <c r="P70" s="407">
        <f>SUM(compras_mes5[[#This Row],[NETO GRAVADO]:[Otros / No Grav.]])</f>
        <v>5999.9980000000005</v>
      </c>
      <c r="Q70" s="408" t="str">
        <f>IFERROR(IF(compras_mes5[[#This Row],[CUIT]]="","-",VLOOKUP(compras_mes5[[#This Row],[CUIT]],Lista_CUIT[#All],3,0)),"CUIT NO CARGADO")</f>
        <v>Combustibe</v>
      </c>
      <c r="R70" s="408">
        <f>IFERROR(IF(compras_mes5[[#This Row],[CUIT]]="","-",VLOOKUP(compras_mes5[[#This Row],[CUIT]],Lista_CUIT[#All],4,0)),"CUIT NO CARGADO")</f>
        <v>0</v>
      </c>
    </row>
    <row r="71" spans="2:18" x14ac:dyDescent="0.3">
      <c r="B71" s="399">
        <v>45056</v>
      </c>
      <c r="C71" s="400">
        <v>1</v>
      </c>
      <c r="D71" s="401">
        <v>1676</v>
      </c>
      <c r="E71" s="402">
        <v>20778</v>
      </c>
      <c r="F71" s="403">
        <v>30589621499</v>
      </c>
      <c r="G71" s="404" t="str">
        <f>IFERROR(IF(compras_mes5[[#This Row],[CUIT]]="","-",VLOOKUP(compras_mes5[[#This Row],[CUIT]],Lista_CUIT[#All],2,0)),"CUIT NO CARGADO")</f>
        <v>MAKRO SA</v>
      </c>
      <c r="H71" s="405">
        <v>12726.69</v>
      </c>
      <c r="I71" s="406">
        <f>IF(compras_mes5[[#This Row],[NETO GRAVADO]]="","",compras_mes5[[#This Row],[NETO GRAVADO]]*0.21)</f>
        <v>2672.6048999999998</v>
      </c>
      <c r="J71" s="406"/>
      <c r="K71" s="406"/>
      <c r="L71" s="406">
        <v>381.8</v>
      </c>
      <c r="M71" s="406"/>
      <c r="N71" s="406">
        <v>763.6</v>
      </c>
      <c r="O71" s="406"/>
      <c r="P71" s="407">
        <f>SUM(compras_mes5[[#This Row],[NETO GRAVADO]:[Otros / No Grav.]])</f>
        <v>16544.694899999999</v>
      </c>
      <c r="Q71" s="408">
        <f>IFERROR(IF(compras_mes5[[#This Row],[CUIT]]="","-",VLOOKUP(compras_mes5[[#This Row],[CUIT]],Lista_CUIT[#All],3,0)),"CUIT NO CARGADO")</f>
        <v>0</v>
      </c>
      <c r="R71" s="408">
        <f>IFERROR(IF(compras_mes5[[#This Row],[CUIT]]="","-",VLOOKUP(compras_mes5[[#This Row],[CUIT]],Lista_CUIT[#All],4,0)),"CUIT NO CARGADO")</f>
        <v>0</v>
      </c>
    </row>
    <row r="72" spans="2:18" x14ac:dyDescent="0.3">
      <c r="B72" s="399">
        <v>45056</v>
      </c>
      <c r="C72" s="400">
        <v>1</v>
      </c>
      <c r="D72" s="401">
        <v>11</v>
      </c>
      <c r="E72" s="402">
        <v>32882</v>
      </c>
      <c r="F72" s="403">
        <v>30711776040</v>
      </c>
      <c r="G72" s="404" t="str">
        <f>IFERROR(IF(compras_mes5[[#This Row],[CUIT]]="","-",VLOOKUP(compras_mes5[[#This Row],[CUIT]],Lista_CUIT[#All],2,0)),"CUIT NO CARGADO")</f>
        <v>EXPRESO BICENTENARIO S.R.L</v>
      </c>
      <c r="H72" s="405">
        <v>1880.01</v>
      </c>
      <c r="I72" s="406">
        <f>IF(compras_mes5[[#This Row],[NETO GRAVADO]]="","",compras_mes5[[#This Row],[NETO GRAVADO]]*0.21)</f>
        <v>394.8021</v>
      </c>
      <c r="J72" s="406"/>
      <c r="K72" s="406"/>
      <c r="L72" s="406"/>
      <c r="M72" s="406"/>
      <c r="N72" s="406"/>
      <c r="O72" s="406"/>
      <c r="P72" s="407">
        <f>SUM(compras_mes5[[#This Row],[NETO GRAVADO]:[Otros / No Grav.]])</f>
        <v>2274.8121000000001</v>
      </c>
      <c r="Q72" s="408">
        <f>IFERROR(IF(compras_mes5[[#This Row],[CUIT]]="","-",VLOOKUP(compras_mes5[[#This Row],[CUIT]],Lista_CUIT[#All],3,0)),"CUIT NO CARGADO")</f>
        <v>0</v>
      </c>
      <c r="R72" s="408">
        <f>IFERROR(IF(compras_mes5[[#This Row],[CUIT]]="","-",VLOOKUP(compras_mes5[[#This Row],[CUIT]],Lista_CUIT[#All],4,0)),"CUIT NO CARGADO")</f>
        <v>0</v>
      </c>
    </row>
    <row r="73" spans="2:18" x14ac:dyDescent="0.3">
      <c r="B73" s="421">
        <v>45056</v>
      </c>
      <c r="C73" s="250">
        <v>1</v>
      </c>
      <c r="D73" s="423">
        <v>3034</v>
      </c>
      <c r="E73" s="424">
        <v>3691698</v>
      </c>
      <c r="F73" s="425">
        <v>30708574836</v>
      </c>
      <c r="G73" s="426" t="str">
        <f>IFERROR(IF(compras_mes5[[#This Row],[CUIT]]="","-",VLOOKUP(compras_mes5[[#This Row],[CUIT]],Lista_CUIT[#All],2,0)),"CUIT NO CARGADO")</f>
        <v>CORREO OFICIAL DE LA REPUBLICA ARGENTINA SOCIEDAD ANONIMA</v>
      </c>
      <c r="H73" s="427">
        <v>1037.07</v>
      </c>
      <c r="I73" s="428">
        <f>IF(compras_mes5[[#This Row],[NETO GRAVADO]]="","",compras_mes5[[#This Row],[NETO GRAVADO]]*0.21)</f>
        <v>217.78469999999999</v>
      </c>
      <c r="J73" s="428"/>
      <c r="K73" s="428"/>
      <c r="L73" s="428"/>
      <c r="M73" s="428"/>
      <c r="N73" s="428"/>
      <c r="O73" s="428"/>
      <c r="P73" s="429">
        <f>SUM(compras_mes5[[#This Row],[NETO GRAVADO]:[Otros / No Grav.]])</f>
        <v>1254.8546999999999</v>
      </c>
      <c r="Q73" s="430" t="str">
        <f>IFERROR(IF(compras_mes5[[#This Row],[CUIT]]="","-",VLOOKUP(compras_mes5[[#This Row],[CUIT]],Lista_CUIT[#All],3,0)),"CUIT NO CARGADO")</f>
        <v>MESAJERIA</v>
      </c>
      <c r="R73" s="430">
        <f>IFERROR(IF(compras_mes5[[#This Row],[CUIT]]="","-",VLOOKUP(compras_mes5[[#This Row],[CUIT]],Lista_CUIT[#All],4,0)),"CUIT NO CARGADO")</f>
        <v>0</v>
      </c>
    </row>
    <row r="74" spans="2:18" x14ac:dyDescent="0.3">
      <c r="B74" s="421">
        <v>45056</v>
      </c>
      <c r="C74" s="250">
        <v>1</v>
      </c>
      <c r="D74" s="423">
        <v>6364</v>
      </c>
      <c r="E74" s="424">
        <v>7491144</v>
      </c>
      <c r="F74" s="425">
        <v>30639453738</v>
      </c>
      <c r="G74" s="426" t="str">
        <f>IFERROR(IF(compras_mes5[[#This Row],[CUIT]]="","-",VLOOKUP(compras_mes5[[#This Row],[CUIT]],Lista_CUIT[#All],2,0)),"CUIT NO CARGADO")</f>
        <v>TELECOM ARG SA</v>
      </c>
      <c r="H74" s="427">
        <v>57851.34</v>
      </c>
      <c r="I74" s="428">
        <v>11830</v>
      </c>
      <c r="J74" s="428">
        <v>409.86</v>
      </c>
      <c r="K74" s="428"/>
      <c r="L74" s="428"/>
      <c r="M74" s="428"/>
      <c r="N74" s="428">
        <v>3205.95</v>
      </c>
      <c r="O74" s="428">
        <v>1820.86</v>
      </c>
      <c r="P74" s="429">
        <f>SUM(compras_mes5[[#This Row],[NETO GRAVADO]:[Otros / No Grav.]])</f>
        <v>75118.009999999995</v>
      </c>
      <c r="Q74" s="430" t="str">
        <f>IFERROR(IF(compras_mes5[[#This Row],[CUIT]]="","-",VLOOKUP(compras_mes5[[#This Row],[CUIT]],Lista_CUIT[#All],3,0)),"CUIT NO CARGADO")</f>
        <v>Servicios Gas, Luz, etc.</v>
      </c>
      <c r="R74" s="430">
        <f>IFERROR(IF(compras_mes5[[#This Row],[CUIT]]="","-",VLOOKUP(compras_mes5[[#This Row],[CUIT]],Lista_CUIT[#All],4,0)),"CUIT NO CARGADO")</f>
        <v>0</v>
      </c>
    </row>
    <row r="75" spans="2:18" x14ac:dyDescent="0.3">
      <c r="B75" s="421">
        <v>45056</v>
      </c>
      <c r="C75" s="250">
        <v>1</v>
      </c>
      <c r="D75" s="423">
        <v>6</v>
      </c>
      <c r="E75" s="424">
        <v>14110038</v>
      </c>
      <c r="F75" s="425">
        <v>30620177497</v>
      </c>
      <c r="G75" s="426" t="str">
        <f>IFERROR(IF(compras_mes5[[#This Row],[CUIT]]="","-",VLOOKUP(compras_mes5[[#This Row],[CUIT]],Lista_CUIT[#All],2,0)),"CUIT NO CARGADO")</f>
        <v>POSNET SRL</v>
      </c>
      <c r="H75" s="427">
        <v>4297.2700000000004</v>
      </c>
      <c r="I75" s="428">
        <f>IF(compras_mes5[[#This Row],[NETO GRAVADO]]="","",compras_mes5[[#This Row],[NETO GRAVADO]]*0.21)</f>
        <v>902.4267000000001</v>
      </c>
      <c r="J75" s="428"/>
      <c r="K75" s="428"/>
      <c r="L75" s="428"/>
      <c r="M75" s="428"/>
      <c r="N75" s="428">
        <v>386.76</v>
      </c>
      <c r="O75" s="428"/>
      <c r="P75" s="429">
        <f>SUM(compras_mes5[[#This Row],[NETO GRAVADO]:[Otros / No Grav.]])</f>
        <v>5586.4567000000006</v>
      </c>
      <c r="Q75" s="430" t="str">
        <f>IFERROR(IF(compras_mes5[[#This Row],[CUIT]]="","-",VLOOKUP(compras_mes5[[#This Row],[CUIT]],Lista_CUIT[#All],3,0)),"CUIT NO CARGADO")</f>
        <v>Servicios Gas, Luz, etc.</v>
      </c>
      <c r="R75" s="430">
        <f>IFERROR(IF(compras_mes5[[#This Row],[CUIT]]="","-",VLOOKUP(compras_mes5[[#This Row],[CUIT]],Lista_CUIT[#All],4,0)),"CUIT NO CARGADO")</f>
        <v>0</v>
      </c>
    </row>
    <row r="76" spans="2:18" x14ac:dyDescent="0.3">
      <c r="B76" s="421">
        <v>45056</v>
      </c>
      <c r="C76" s="250">
        <v>1</v>
      </c>
      <c r="D76" s="423">
        <v>6</v>
      </c>
      <c r="E76" s="424">
        <v>14121196</v>
      </c>
      <c r="F76" s="425">
        <v>30620177497</v>
      </c>
      <c r="G76" s="426" t="str">
        <f>IFERROR(IF(compras_mes5[[#This Row],[CUIT]]="","-",VLOOKUP(compras_mes5[[#This Row],[CUIT]],Lista_CUIT[#All],2,0)),"CUIT NO CARGADO")</f>
        <v>POSNET SRL</v>
      </c>
      <c r="H76" s="427">
        <v>4297.2700000000004</v>
      </c>
      <c r="I76" s="428">
        <f>IF(compras_mes5[[#This Row],[NETO GRAVADO]]="","",compras_mes5[[#This Row],[NETO GRAVADO]]*0.21)</f>
        <v>902.4267000000001</v>
      </c>
      <c r="J76" s="428"/>
      <c r="K76" s="428"/>
      <c r="L76" s="428"/>
      <c r="M76" s="428"/>
      <c r="N76" s="428">
        <v>386.76</v>
      </c>
      <c r="O76" s="428"/>
      <c r="P76" s="429">
        <f>SUM(compras_mes5[[#This Row],[NETO GRAVADO]:[Otros / No Grav.]])</f>
        <v>5586.4567000000006</v>
      </c>
      <c r="Q76" s="430" t="str">
        <f>IFERROR(IF(compras_mes5[[#This Row],[CUIT]]="","-",VLOOKUP(compras_mes5[[#This Row],[CUIT]],Lista_CUIT[#All],3,0)),"CUIT NO CARGADO")</f>
        <v>Servicios Gas, Luz, etc.</v>
      </c>
      <c r="R76" s="430">
        <f>IFERROR(IF(compras_mes5[[#This Row],[CUIT]]="","-",VLOOKUP(compras_mes5[[#This Row],[CUIT]],Lista_CUIT[#All],4,0)),"CUIT NO CARGADO")</f>
        <v>0</v>
      </c>
    </row>
    <row r="77" spans="2:18" x14ac:dyDescent="0.3">
      <c r="B77" s="421">
        <v>45056</v>
      </c>
      <c r="C77" s="250">
        <v>1</v>
      </c>
      <c r="D77" s="423">
        <v>6</v>
      </c>
      <c r="E77" s="424">
        <v>14121205</v>
      </c>
      <c r="F77" s="425">
        <v>30620177497</v>
      </c>
      <c r="G77" s="426" t="str">
        <f>IFERROR(IF(compras_mes5[[#This Row],[CUIT]]="","-",VLOOKUP(compras_mes5[[#This Row],[CUIT]],Lista_CUIT[#All],2,0)),"CUIT NO CARGADO")</f>
        <v>POSNET SRL</v>
      </c>
      <c r="H77" s="427">
        <v>4297.2700000000004</v>
      </c>
      <c r="I77" s="428">
        <f>IF(compras_mes5[[#This Row],[NETO GRAVADO]]="","",compras_mes5[[#This Row],[NETO GRAVADO]]*0.21)</f>
        <v>902.4267000000001</v>
      </c>
      <c r="J77" s="428"/>
      <c r="K77" s="428"/>
      <c r="L77" s="428"/>
      <c r="M77" s="428"/>
      <c r="N77" s="428">
        <v>386.76</v>
      </c>
      <c r="O77" s="428"/>
      <c r="P77" s="429">
        <f>SUM(compras_mes5[[#This Row],[NETO GRAVADO]:[Otros / No Grav.]])</f>
        <v>5586.4567000000006</v>
      </c>
      <c r="Q77" s="430" t="str">
        <f>IFERROR(IF(compras_mes5[[#This Row],[CUIT]]="","-",VLOOKUP(compras_mes5[[#This Row],[CUIT]],Lista_CUIT[#All],3,0)),"CUIT NO CARGADO")</f>
        <v>Servicios Gas, Luz, etc.</v>
      </c>
      <c r="R77" s="430">
        <f>IFERROR(IF(compras_mes5[[#This Row],[CUIT]]="","-",VLOOKUP(compras_mes5[[#This Row],[CUIT]],Lista_CUIT[#All],4,0)),"CUIT NO CARGADO")</f>
        <v>0</v>
      </c>
    </row>
    <row r="78" spans="2:18" x14ac:dyDescent="0.3">
      <c r="B78" s="421">
        <v>45056</v>
      </c>
      <c r="C78" s="250">
        <v>1</v>
      </c>
      <c r="D78" s="423">
        <v>6</v>
      </c>
      <c r="E78" s="424">
        <v>14128406</v>
      </c>
      <c r="F78" s="425">
        <v>30620177497</v>
      </c>
      <c r="G78" s="426" t="str">
        <f>IFERROR(IF(compras_mes5[[#This Row],[CUIT]]="","-",VLOOKUP(compras_mes5[[#This Row],[CUIT]],Lista_CUIT[#All],2,0)),"CUIT NO CARGADO")</f>
        <v>POSNET SRL</v>
      </c>
      <c r="H78" s="427">
        <v>12891.81</v>
      </c>
      <c r="I78" s="428">
        <f>IF(compras_mes5[[#This Row],[NETO GRAVADO]]="","",compras_mes5[[#This Row],[NETO GRAVADO]]*0.21)</f>
        <v>2707.2800999999999</v>
      </c>
      <c r="J78" s="428"/>
      <c r="K78" s="428"/>
      <c r="L78" s="428"/>
      <c r="M78" s="428"/>
      <c r="N78" s="428">
        <v>1160.26</v>
      </c>
      <c r="O78" s="428"/>
      <c r="P78" s="429">
        <f>SUM(compras_mes5[[#This Row],[NETO GRAVADO]:[Otros / No Grav.]])</f>
        <v>16759.3501</v>
      </c>
      <c r="Q78" s="430" t="str">
        <f>IFERROR(IF(compras_mes5[[#This Row],[CUIT]]="","-",VLOOKUP(compras_mes5[[#This Row],[CUIT]],Lista_CUIT[#All],3,0)),"CUIT NO CARGADO")</f>
        <v>Servicios Gas, Luz, etc.</v>
      </c>
      <c r="R78" s="430">
        <f>IFERROR(IF(compras_mes5[[#This Row],[CUIT]]="","-",VLOOKUP(compras_mes5[[#This Row],[CUIT]],Lista_CUIT[#All],4,0)),"CUIT NO CARGADO")</f>
        <v>0</v>
      </c>
    </row>
    <row r="79" spans="2:18" x14ac:dyDescent="0.3">
      <c r="B79" s="421">
        <v>45057</v>
      </c>
      <c r="C79" s="422">
        <v>3</v>
      </c>
      <c r="D79" s="423">
        <v>1698</v>
      </c>
      <c r="E79" s="424">
        <v>92</v>
      </c>
      <c r="F79" s="425">
        <v>30589621499</v>
      </c>
      <c r="G79" s="426" t="str">
        <f>IFERROR(IF(compras_mes5[[#This Row],[CUIT]]="","-",VLOOKUP(compras_mes5[[#This Row],[CUIT]],Lista_CUIT[#All],2,0)),"CUIT NO CARGADO")</f>
        <v>MAKRO SA</v>
      </c>
      <c r="H79" s="427">
        <v>-31823.05</v>
      </c>
      <c r="I79" s="428">
        <v>-6549.64</v>
      </c>
      <c r="J79" s="428"/>
      <c r="K79" s="428">
        <v>-66.599999999999994</v>
      </c>
      <c r="L79" s="428">
        <v>-945.17</v>
      </c>
      <c r="M79" s="428"/>
      <c r="N79" s="428">
        <v>-1909.38</v>
      </c>
      <c r="O79" s="428"/>
      <c r="P79" s="429">
        <f>SUM(compras_mes5[[#This Row],[NETO GRAVADO]:[Otros / No Grav.]])</f>
        <v>-41293.839999999997</v>
      </c>
      <c r="Q79" s="430">
        <f>IFERROR(IF(compras_mes5[[#This Row],[CUIT]]="","-",VLOOKUP(compras_mes5[[#This Row],[CUIT]],Lista_CUIT[#All],3,0)),"CUIT NO CARGADO")</f>
        <v>0</v>
      </c>
      <c r="R79" s="430">
        <f>IFERROR(IF(compras_mes5[[#This Row],[CUIT]]="","-",VLOOKUP(compras_mes5[[#This Row],[CUIT]],Lista_CUIT[#All],4,0)),"CUIT NO CARGADO")</f>
        <v>0</v>
      </c>
    </row>
    <row r="80" spans="2:18" x14ac:dyDescent="0.3">
      <c r="B80" s="399">
        <v>45057</v>
      </c>
      <c r="C80" s="400">
        <v>1</v>
      </c>
      <c r="D80" s="401">
        <v>1698</v>
      </c>
      <c r="E80" s="402">
        <v>412</v>
      </c>
      <c r="F80" s="403">
        <v>30589621499</v>
      </c>
      <c r="G80" s="404" t="str">
        <f>IFERROR(IF(compras_mes5[[#This Row],[CUIT]]="","-",VLOOKUP(compras_mes5[[#This Row],[CUIT]],Lista_CUIT[#All],2,0)),"CUIT NO CARGADO")</f>
        <v>MAKRO SA</v>
      </c>
      <c r="H80" s="405">
        <v>31823.05</v>
      </c>
      <c r="I80" s="406">
        <v>6549.64</v>
      </c>
      <c r="J80" s="406"/>
      <c r="K80" s="406">
        <v>66.599999999999994</v>
      </c>
      <c r="L80" s="406">
        <v>935.66</v>
      </c>
      <c r="M80" s="406">
        <v>9.51</v>
      </c>
      <c r="N80" s="406">
        <v>1909.38</v>
      </c>
      <c r="O80" s="406">
        <v>128.82</v>
      </c>
      <c r="P80" s="407">
        <f>SUM(compras_mes5[[#This Row],[NETO GRAVADO]:[Otros / No Grav.]])</f>
        <v>41422.660000000003</v>
      </c>
      <c r="Q80" s="408">
        <f>IFERROR(IF(compras_mes5[[#This Row],[CUIT]]="","-",VLOOKUP(compras_mes5[[#This Row],[CUIT]],Lista_CUIT[#All],3,0)),"CUIT NO CARGADO")</f>
        <v>0</v>
      </c>
      <c r="R80" s="408">
        <f>IFERROR(IF(compras_mes5[[#This Row],[CUIT]]="","-",VLOOKUP(compras_mes5[[#This Row],[CUIT]],Lista_CUIT[#All],4,0)),"CUIT NO CARGADO")</f>
        <v>0</v>
      </c>
    </row>
    <row r="81" spans="2:19" x14ac:dyDescent="0.3">
      <c r="B81" s="421">
        <v>45057</v>
      </c>
      <c r="C81" s="250">
        <v>1</v>
      </c>
      <c r="D81" s="423">
        <v>5</v>
      </c>
      <c r="E81" s="424">
        <v>448</v>
      </c>
      <c r="F81" s="425">
        <v>30716654105</v>
      </c>
      <c r="G81" s="426" t="str">
        <f>IFERROR(IF(compras_mes5[[#This Row],[CUIT]]="","-",VLOOKUP(compras_mes5[[#This Row],[CUIT]],Lista_CUIT[#All],2,0)),"CUIT NO CARGADO")</f>
        <v>CARNICA DEL NORTE S.R.L.</v>
      </c>
      <c r="H81" s="427">
        <v>7594.29</v>
      </c>
      <c r="I81" s="428"/>
      <c r="J81" s="428"/>
      <c r="K81" s="428">
        <v>797.4</v>
      </c>
      <c r="L81" s="428"/>
      <c r="M81" s="428"/>
      <c r="N81" s="428"/>
      <c r="O81" s="428"/>
      <c r="P81" s="429">
        <f>SUM(compras_mes5[[#This Row],[NETO GRAVADO]:[Otros / No Grav.]])</f>
        <v>8391.69</v>
      </c>
      <c r="Q81" s="430">
        <f>IFERROR(IF(compras_mes5[[#This Row],[CUIT]]="","-",VLOOKUP(compras_mes5[[#This Row],[CUIT]],Lista_CUIT[#All],3,0)),"CUIT NO CARGADO")</f>
        <v>0</v>
      </c>
      <c r="R81" s="430">
        <f>IFERROR(IF(compras_mes5[[#This Row],[CUIT]]="","-",VLOOKUP(compras_mes5[[#This Row],[CUIT]],Lista_CUIT[#All],4,0)),"CUIT NO CARGADO")</f>
        <v>0</v>
      </c>
    </row>
    <row r="82" spans="2:19" x14ac:dyDescent="0.3">
      <c r="B82" s="399">
        <v>45057</v>
      </c>
      <c r="C82" s="400">
        <v>1</v>
      </c>
      <c r="D82" s="401">
        <v>7</v>
      </c>
      <c r="E82" s="402">
        <v>2056</v>
      </c>
      <c r="F82" s="403">
        <v>33640077609</v>
      </c>
      <c r="G82" s="404" t="str">
        <f>IFERROR(IF(compras_mes5[[#This Row],[CUIT]]="","-",VLOOKUP(compras_mes5[[#This Row],[CUIT]],Lista_CUIT[#All],2,0)),"CUIT NO CARGADO")</f>
        <v>TODO GAS S A</v>
      </c>
      <c r="H82" s="405">
        <v>670.57</v>
      </c>
      <c r="I82" s="406">
        <f>IF(compras_mes5[[#This Row],[NETO GRAVADO]]="","",compras_mes5[[#This Row],[NETO GRAVADO]]*0.21)</f>
        <v>140.81970000000001</v>
      </c>
      <c r="J82" s="406"/>
      <c r="K82" s="406"/>
      <c r="L82" s="406"/>
      <c r="M82" s="406"/>
      <c r="N82" s="406"/>
      <c r="O82" s="406">
        <v>13.59</v>
      </c>
      <c r="P82" s="407">
        <f>SUM(compras_mes5[[#This Row],[NETO GRAVADO]:[Otros / No Grav.]])</f>
        <v>824.97970000000009</v>
      </c>
      <c r="Q82" s="408" t="str">
        <f>IFERROR(IF(compras_mes5[[#This Row],[CUIT]]="","-",VLOOKUP(compras_mes5[[#This Row],[CUIT]],Lista_CUIT[#All],3,0)),"CUIT NO CARGADO")</f>
        <v>servicios</v>
      </c>
      <c r="R82" s="408">
        <f>IFERROR(IF(compras_mes5[[#This Row],[CUIT]]="","-",VLOOKUP(compras_mes5[[#This Row],[CUIT]],Lista_CUIT[#All],4,0)),"CUIT NO CARGADO")</f>
        <v>0</v>
      </c>
    </row>
    <row r="83" spans="2:19" x14ac:dyDescent="0.3">
      <c r="B83" s="399">
        <v>45057</v>
      </c>
      <c r="C83" s="400">
        <v>1</v>
      </c>
      <c r="D83" s="401">
        <v>7</v>
      </c>
      <c r="E83" s="402">
        <v>7154</v>
      </c>
      <c r="F83" s="403">
        <v>30715124919</v>
      </c>
      <c r="G83" s="404" t="str">
        <f>IFERROR(IF(compras_mes5[[#This Row],[CUIT]]="","-",VLOOKUP(compras_mes5[[#This Row],[CUIT]],Lista_CUIT[#All],2,0)),"CUIT NO CARGADO")</f>
        <v>CLEAN LAB SRL</v>
      </c>
      <c r="H83" s="405">
        <v>24547.31</v>
      </c>
      <c r="I83" s="406">
        <f>IF(compras_mes5[[#This Row],[NETO GRAVADO]]="","",compras_mes5[[#This Row],[NETO GRAVADO]]*0.21)</f>
        <v>5154.9350999999997</v>
      </c>
      <c r="J83" s="406"/>
      <c r="K83" s="406"/>
      <c r="L83" s="406"/>
      <c r="M83" s="406"/>
      <c r="N83" s="406"/>
      <c r="O83" s="406"/>
      <c r="P83" s="407">
        <f>SUM(compras_mes5[[#This Row],[NETO GRAVADO]:[Otros / No Grav.]])</f>
        <v>29702.2451</v>
      </c>
      <c r="Q83" s="408">
        <f>IFERROR(IF(compras_mes5[[#This Row],[CUIT]]="","-",VLOOKUP(compras_mes5[[#This Row],[CUIT]],Lista_CUIT[#All],3,0)),"CUIT NO CARGADO")</f>
        <v>0</v>
      </c>
      <c r="R83" s="408">
        <f>IFERROR(IF(compras_mes5[[#This Row],[CUIT]]="","-",VLOOKUP(compras_mes5[[#This Row],[CUIT]],Lista_CUIT[#All],4,0)),"CUIT NO CARGADO")</f>
        <v>0</v>
      </c>
    </row>
    <row r="84" spans="2:19" x14ac:dyDescent="0.3">
      <c r="B84" s="399">
        <v>45057</v>
      </c>
      <c r="C84" s="400">
        <v>1</v>
      </c>
      <c r="D84" s="401">
        <v>7</v>
      </c>
      <c r="E84" s="402">
        <v>7155</v>
      </c>
      <c r="F84" s="403">
        <v>30715124919</v>
      </c>
      <c r="G84" s="404" t="str">
        <f>IFERROR(IF(compras_mes5[[#This Row],[CUIT]]="","-",VLOOKUP(compras_mes5[[#This Row],[CUIT]],Lista_CUIT[#All],2,0)),"CUIT NO CARGADO")</f>
        <v>CLEAN LAB SRL</v>
      </c>
      <c r="H84" s="405">
        <v>7152.69</v>
      </c>
      <c r="I84" s="406">
        <f>IF(compras_mes5[[#This Row],[NETO GRAVADO]]="","",compras_mes5[[#This Row],[NETO GRAVADO]]*0.21)</f>
        <v>1502.0648999999999</v>
      </c>
      <c r="J84" s="406"/>
      <c r="K84" s="406"/>
      <c r="L84" s="406"/>
      <c r="M84" s="406"/>
      <c r="N84" s="406"/>
      <c r="O84" s="406"/>
      <c r="P84" s="407">
        <f>SUM(compras_mes5[[#This Row],[NETO GRAVADO]:[Otros / No Grav.]])</f>
        <v>8654.7548999999999</v>
      </c>
      <c r="Q84" s="408">
        <f>IFERROR(IF(compras_mes5[[#This Row],[CUIT]]="","-",VLOOKUP(compras_mes5[[#This Row],[CUIT]],Lista_CUIT[#All],3,0)),"CUIT NO CARGADO")</f>
        <v>0</v>
      </c>
      <c r="R84" s="408">
        <f>IFERROR(IF(compras_mes5[[#This Row],[CUIT]]="","-",VLOOKUP(compras_mes5[[#This Row],[CUIT]],Lista_CUIT[#All],4,0)),"CUIT NO CARGADO")</f>
        <v>0</v>
      </c>
    </row>
    <row r="85" spans="2:19" x14ac:dyDescent="0.3">
      <c r="B85" s="399">
        <v>45057</v>
      </c>
      <c r="C85" s="400">
        <v>1</v>
      </c>
      <c r="D85" s="401">
        <v>7</v>
      </c>
      <c r="E85" s="402">
        <v>7156</v>
      </c>
      <c r="F85" s="403">
        <v>30715124919</v>
      </c>
      <c r="G85" s="404" t="str">
        <f>IFERROR(IF(compras_mes5[[#This Row],[CUIT]]="","-",VLOOKUP(compras_mes5[[#This Row],[CUIT]],Lista_CUIT[#All],2,0)),"CUIT NO CARGADO")</f>
        <v>CLEAN LAB SRL</v>
      </c>
      <c r="H85" s="405">
        <v>27823.1</v>
      </c>
      <c r="I85" s="406">
        <f>IF(compras_mes5[[#This Row],[NETO GRAVADO]]="","",compras_mes5[[#This Row],[NETO GRAVADO]]*0.21)</f>
        <v>5842.8509999999997</v>
      </c>
      <c r="J85" s="406"/>
      <c r="K85" s="406"/>
      <c r="L85" s="406"/>
      <c r="M85" s="406"/>
      <c r="N85" s="406"/>
      <c r="O85" s="406"/>
      <c r="P85" s="407">
        <f>SUM(compras_mes5[[#This Row],[NETO GRAVADO]:[Otros / No Grav.]])</f>
        <v>33665.951000000001</v>
      </c>
      <c r="Q85" s="408">
        <f>IFERROR(IF(compras_mes5[[#This Row],[CUIT]]="","-",VLOOKUP(compras_mes5[[#This Row],[CUIT]],Lista_CUIT[#All],3,0)),"CUIT NO CARGADO")</f>
        <v>0</v>
      </c>
      <c r="R85" s="408">
        <f>IFERROR(IF(compras_mes5[[#This Row],[CUIT]]="","-",VLOOKUP(compras_mes5[[#This Row],[CUIT]],Lista_CUIT[#All],4,0)),"CUIT NO CARGADO")</f>
        <v>0</v>
      </c>
    </row>
    <row r="86" spans="2:19" x14ac:dyDescent="0.3">
      <c r="B86" s="399">
        <v>45057</v>
      </c>
      <c r="C86" s="400">
        <v>1</v>
      </c>
      <c r="D86" s="401">
        <v>20</v>
      </c>
      <c r="E86" s="402">
        <v>8641</v>
      </c>
      <c r="F86" s="403">
        <v>30515800219</v>
      </c>
      <c r="G86" s="404" t="str">
        <f>IFERROR(IF(compras_mes5[[#This Row],[CUIT]]="","-",VLOOKUP(compras_mes5[[#This Row],[CUIT]],Lista_CUIT[#All],2,0)),"CUIT NO CARGADO")</f>
        <v>INCAT SRL</v>
      </c>
      <c r="H86" s="405">
        <v>816.05</v>
      </c>
      <c r="I86" s="406">
        <f>IF(compras_mes5[[#This Row],[NETO GRAVADO]]="","",compras_mes5[[#This Row],[NETO GRAVADO]]*0.21)</f>
        <v>171.37049999999999</v>
      </c>
      <c r="J86" s="406"/>
      <c r="K86" s="406"/>
      <c r="L86" s="406"/>
      <c r="M86" s="406"/>
      <c r="N86" s="406"/>
      <c r="O86" s="406">
        <v>12.6</v>
      </c>
      <c r="P86" s="407">
        <f>SUM(compras_mes5[[#This Row],[NETO GRAVADO]:[Otros / No Grav.]])</f>
        <v>1000.0205</v>
      </c>
      <c r="Q86" s="408" t="str">
        <f>IFERROR(IF(compras_mes5[[#This Row],[CUIT]]="","-",VLOOKUP(compras_mes5[[#This Row],[CUIT]],Lista_CUIT[#All],3,0)),"CUIT NO CARGADO")</f>
        <v>Combustibe</v>
      </c>
      <c r="R86" s="408" t="str">
        <f>IFERROR(IF(compras_mes5[[#This Row],[CUIT]]="","-",VLOOKUP(compras_mes5[[#This Row],[CUIT]],Lista_CUIT[#All],4,0)),"CUIT NO CARGADO")</f>
        <v>CABA</v>
      </c>
    </row>
    <row r="87" spans="2:19" x14ac:dyDescent="0.3">
      <c r="B87" s="421">
        <v>45057</v>
      </c>
      <c r="C87" s="250">
        <v>1</v>
      </c>
      <c r="D87" s="423">
        <v>1676</v>
      </c>
      <c r="E87" s="424">
        <v>20832</v>
      </c>
      <c r="F87" s="425">
        <v>30589621499</v>
      </c>
      <c r="G87" s="426" t="str">
        <f>IFERROR(IF(compras_mes5[[#This Row],[CUIT]]="","-",VLOOKUP(compras_mes5[[#This Row],[CUIT]],Lista_CUIT[#All],2,0)),"CUIT NO CARGADO")</f>
        <v>MAKRO SA</v>
      </c>
      <c r="H87" s="427">
        <v>31823.05</v>
      </c>
      <c r="I87" s="428">
        <v>6549.64</v>
      </c>
      <c r="J87" s="428"/>
      <c r="K87" s="428">
        <v>66.599999999999994</v>
      </c>
      <c r="L87" s="428">
        <v>945.17</v>
      </c>
      <c r="M87" s="428"/>
      <c r="N87" s="428">
        <v>1909.38</v>
      </c>
      <c r="O87" s="428">
        <v>128.82</v>
      </c>
      <c r="P87" s="429">
        <f>SUM(compras_mes5[[#This Row],[NETO GRAVADO]:[Otros / No Grav.]])</f>
        <v>41422.659999999996</v>
      </c>
      <c r="Q87" s="430">
        <f>IFERROR(IF(compras_mes5[[#This Row],[CUIT]]="","-",VLOOKUP(compras_mes5[[#This Row],[CUIT]],Lista_CUIT[#All],3,0)),"CUIT NO CARGADO")</f>
        <v>0</v>
      </c>
      <c r="R87" s="430">
        <f>IFERROR(IF(compras_mes5[[#This Row],[CUIT]]="","-",VLOOKUP(compras_mes5[[#This Row],[CUIT]],Lista_CUIT[#All],4,0)),"CUIT NO CARGADO")</f>
        <v>0</v>
      </c>
    </row>
    <row r="88" spans="2:19" x14ac:dyDescent="0.3">
      <c r="B88" s="399">
        <v>45057</v>
      </c>
      <c r="C88" s="400">
        <v>1</v>
      </c>
      <c r="D88" s="401">
        <v>14</v>
      </c>
      <c r="E88" s="402">
        <v>90965</v>
      </c>
      <c r="F88" s="403">
        <v>30516336885</v>
      </c>
      <c r="G88" s="404" t="str">
        <f>IFERROR(IF(compras_mes5[[#This Row],[CUIT]]="","-",VLOOKUP(compras_mes5[[#This Row],[CUIT]],Lista_CUIT[#All],2,0)),"CUIT NO CARGADO")</f>
        <v>STENFAR S.A. INDUSTRIAL COMERCIAL IMP. Y EXP.</v>
      </c>
      <c r="H88" s="405">
        <v>13943.27</v>
      </c>
      <c r="I88" s="406">
        <f>IF(compras_mes5[[#This Row],[NETO GRAVADO]]="","",compras_mes5[[#This Row],[NETO GRAVADO]]*0.21)</f>
        <v>2928.0866999999998</v>
      </c>
      <c r="J88" s="406"/>
      <c r="K88" s="406"/>
      <c r="L88" s="406">
        <v>418.3</v>
      </c>
      <c r="M88" s="406"/>
      <c r="N88" s="406">
        <v>836.6</v>
      </c>
      <c r="O88" s="406"/>
      <c r="P88" s="407">
        <f>SUM(compras_mes5[[#This Row],[NETO GRAVADO]:[Otros / No Grav.]])</f>
        <v>18126.256699999998</v>
      </c>
      <c r="Q88" s="408">
        <f>IFERROR(IF(compras_mes5[[#This Row],[CUIT]]="","-",VLOOKUP(compras_mes5[[#This Row],[CUIT]],Lista_CUIT[#All],3,0)),"CUIT NO CARGADO")</f>
        <v>0</v>
      </c>
      <c r="R88" s="408">
        <f>IFERROR(IF(compras_mes5[[#This Row],[CUIT]]="","-",VLOOKUP(compras_mes5[[#This Row],[CUIT]],Lista_CUIT[#All],4,0)),"CUIT NO CARGADO")</f>
        <v>0</v>
      </c>
    </row>
    <row r="89" spans="2:19" x14ac:dyDescent="0.3">
      <c r="B89" s="399">
        <v>45058</v>
      </c>
      <c r="C89" s="400">
        <v>1</v>
      </c>
      <c r="D89" s="401">
        <v>9</v>
      </c>
      <c r="E89" s="402">
        <v>287</v>
      </c>
      <c r="F89" s="403">
        <v>33716463899</v>
      </c>
      <c r="G89" s="404" t="str">
        <f>IFERROR(IF(compras_mes5[[#This Row],[CUIT]]="","-",VLOOKUP(compras_mes5[[#This Row],[CUIT]],Lista_CUIT[#All],2,0)),"CUIT NO CARGADO")</f>
        <v>PINTURERIAS DEL MAESTRO S.A.</v>
      </c>
      <c r="H89" s="405">
        <v>7744.93</v>
      </c>
      <c r="I89" s="406">
        <f>IF(compras_mes5[[#This Row],[NETO GRAVADO]]="","",compras_mes5[[#This Row],[NETO GRAVADO]]*0.21)</f>
        <v>1626.4353000000001</v>
      </c>
      <c r="J89" s="406"/>
      <c r="K89" s="406"/>
      <c r="L89" s="406"/>
      <c r="M89" s="406"/>
      <c r="N89" s="406"/>
      <c r="O89" s="406"/>
      <c r="P89" s="407">
        <f>SUM(compras_mes5[[#This Row],[NETO GRAVADO]:[Otros / No Grav.]])</f>
        <v>9371.3653000000013</v>
      </c>
      <c r="Q89" s="408" t="str">
        <f>IFERROR(IF(compras_mes5[[#This Row],[CUIT]]="","-",VLOOKUP(compras_mes5[[#This Row],[CUIT]],Lista_CUIT[#All],3,0)),"CUIT NO CARGADO")</f>
        <v>INSUMO</v>
      </c>
      <c r="R89" s="408">
        <f>IFERROR(IF(compras_mes5[[#This Row],[CUIT]]="","-",VLOOKUP(compras_mes5[[#This Row],[CUIT]],Lista_CUIT[#All],4,0)),"CUIT NO CARGADO")</f>
        <v>0</v>
      </c>
    </row>
    <row r="90" spans="2:19" x14ac:dyDescent="0.3">
      <c r="B90" s="399">
        <v>45058</v>
      </c>
      <c r="C90" s="400">
        <v>1</v>
      </c>
      <c r="D90" s="401">
        <v>32</v>
      </c>
      <c r="E90" s="402">
        <v>1547</v>
      </c>
      <c r="F90" s="403">
        <v>30696106068</v>
      </c>
      <c r="G90" s="404" t="str">
        <f>IFERROR(IF(compras_mes5[[#This Row],[CUIT]]="","-",VLOOKUP(compras_mes5[[#This Row],[CUIT]],Lista_CUIT[#All],2,0)),"CUIT NO CARGADO")</f>
        <v>PINTURERIAS LIBERATO SRL</v>
      </c>
      <c r="H90" s="405">
        <v>3478.76</v>
      </c>
      <c r="I90" s="406">
        <f>IF(compras_mes5[[#This Row],[NETO GRAVADO]]="","",compras_mes5[[#This Row],[NETO GRAVADO]]*0.21)</f>
        <v>730.53960000000006</v>
      </c>
      <c r="J90" s="406"/>
      <c r="K90" s="406"/>
      <c r="L90" s="406"/>
      <c r="M90" s="406"/>
      <c r="N90" s="406"/>
      <c r="O90" s="406"/>
      <c r="P90" s="407">
        <f>SUM(compras_mes5[[#This Row],[NETO GRAVADO]:[Otros / No Grav.]])</f>
        <v>4209.2996000000003</v>
      </c>
      <c r="Q90" s="408">
        <f>IFERROR(IF(compras_mes5[[#This Row],[CUIT]]="","-",VLOOKUP(compras_mes5[[#This Row],[CUIT]],Lista_CUIT[#All],3,0)),"CUIT NO CARGADO")</f>
        <v>0</v>
      </c>
      <c r="R90" s="408">
        <f>IFERROR(IF(compras_mes5[[#This Row],[CUIT]]="","-",VLOOKUP(compras_mes5[[#This Row],[CUIT]],Lista_CUIT[#All],4,0)),"CUIT NO CARGADO")</f>
        <v>0</v>
      </c>
    </row>
    <row r="91" spans="2:19" x14ac:dyDescent="0.3">
      <c r="B91" s="399">
        <v>45058</v>
      </c>
      <c r="C91" s="400">
        <v>1</v>
      </c>
      <c r="D91" s="401">
        <v>16</v>
      </c>
      <c r="E91" s="402">
        <v>6905</v>
      </c>
      <c r="F91" s="403">
        <v>33709344809</v>
      </c>
      <c r="G91" s="404" t="str">
        <f>IFERROR(IF(compras_mes5[[#This Row],[CUIT]]="","-",VLOOKUP(compras_mes5[[#This Row],[CUIT]],Lista_CUIT[#All],2,0)),"CUIT NO CARGADO")</f>
        <v xml:space="preserve">SHELL ALBERDI </v>
      </c>
      <c r="H91" s="405">
        <v>837.47</v>
      </c>
      <c r="I91" s="406">
        <f>IF(compras_mes5[[#This Row],[NETO GRAVADO]]="","",compras_mes5[[#This Row],[NETO GRAVADO]]*0.21)</f>
        <v>175.86869999999999</v>
      </c>
      <c r="J91" s="406"/>
      <c r="K91" s="406"/>
      <c r="L91" s="406"/>
      <c r="M91" s="406"/>
      <c r="N91" s="406"/>
      <c r="O91" s="406">
        <v>60.66</v>
      </c>
      <c r="P91" s="407">
        <f>SUM(compras_mes5[[#This Row],[NETO GRAVADO]:[Otros / No Grav.]])</f>
        <v>1073.9987000000001</v>
      </c>
      <c r="Q91" s="408">
        <f>IFERROR(IF(compras_mes5[[#This Row],[CUIT]]="","-",VLOOKUP(compras_mes5[[#This Row],[CUIT]],Lista_CUIT[#All],3,0)),"CUIT NO CARGADO")</f>
        <v>0</v>
      </c>
      <c r="R91" s="408">
        <f>IFERROR(IF(compras_mes5[[#This Row],[CUIT]]="","-",VLOOKUP(compras_mes5[[#This Row],[CUIT]],Lista_CUIT[#All],4,0)),"CUIT NO CARGADO")</f>
        <v>0</v>
      </c>
    </row>
    <row r="92" spans="2:19" x14ac:dyDescent="0.3">
      <c r="B92" s="399">
        <v>45058</v>
      </c>
      <c r="C92" s="400">
        <v>1</v>
      </c>
      <c r="D92" s="401">
        <v>20</v>
      </c>
      <c r="E92" s="402">
        <v>8659</v>
      </c>
      <c r="F92" s="403">
        <v>30515800219</v>
      </c>
      <c r="G92" s="404" t="str">
        <f>IFERROR(IF(compras_mes5[[#This Row],[CUIT]]="","-",VLOOKUP(compras_mes5[[#This Row],[CUIT]],Lista_CUIT[#All],2,0)),"CUIT NO CARGADO")</f>
        <v>INCAT SRL</v>
      </c>
      <c r="H92" s="405">
        <v>734.43</v>
      </c>
      <c r="I92" s="406">
        <f>IF(compras_mes5[[#This Row],[NETO GRAVADO]]="","",compras_mes5[[#This Row],[NETO GRAVADO]]*0.21)</f>
        <v>154.23029999999997</v>
      </c>
      <c r="J92" s="406"/>
      <c r="K92" s="406"/>
      <c r="L92" s="406"/>
      <c r="M92" s="406"/>
      <c r="N92" s="406"/>
      <c r="O92" s="406">
        <v>11.34</v>
      </c>
      <c r="P92" s="407">
        <f>SUM(compras_mes5[[#This Row],[NETO GRAVADO]:[Otros / No Grav.]])</f>
        <v>900.00029999999992</v>
      </c>
      <c r="Q92" s="408" t="str">
        <f>IFERROR(IF(compras_mes5[[#This Row],[CUIT]]="","-",VLOOKUP(compras_mes5[[#This Row],[CUIT]],Lista_CUIT[#All],3,0)),"CUIT NO CARGADO")</f>
        <v>Combustibe</v>
      </c>
      <c r="R92" s="408" t="str">
        <f>IFERROR(IF(compras_mes5[[#This Row],[CUIT]]="","-",VLOOKUP(compras_mes5[[#This Row],[CUIT]],Lista_CUIT[#All],4,0)),"CUIT NO CARGADO")</f>
        <v>CABA</v>
      </c>
      <c r="S92" s="420"/>
    </row>
    <row r="93" spans="2:19" x14ac:dyDescent="0.3">
      <c r="B93" s="399">
        <v>45059</v>
      </c>
      <c r="C93" s="400">
        <v>1</v>
      </c>
      <c r="D93" s="401">
        <v>4</v>
      </c>
      <c r="E93" s="402">
        <v>1660</v>
      </c>
      <c r="F93" s="403">
        <v>30712449361</v>
      </c>
      <c r="G93" s="404" t="str">
        <f>IFERROR(IF(compras_mes5[[#This Row],[CUIT]]="","-",VLOOKUP(compras_mes5[[#This Row],[CUIT]],Lista_CUIT[#All],2,0)),"CUIT NO CARGADO")</f>
        <v>CASTELLUCCI PABLO G., CASTELLUCCI CHRISTIAN M. Y CASTELLUCCI DIEGO S. S.H.</v>
      </c>
      <c r="H93" s="405">
        <v>3564.16</v>
      </c>
      <c r="I93" s="406">
        <f>IF(compras_mes5[[#This Row],[NETO GRAVADO]]="","",compras_mes5[[#This Row],[NETO GRAVADO]]*0.21)</f>
        <v>748.47359999999992</v>
      </c>
      <c r="J93" s="406"/>
      <c r="K93" s="406"/>
      <c r="L93" s="406"/>
      <c r="M93" s="406"/>
      <c r="N93" s="406"/>
      <c r="O93" s="406"/>
      <c r="P93" s="407">
        <f>SUM(compras_mes5[[#This Row],[NETO GRAVADO]:[Otros / No Grav.]])</f>
        <v>4312.6336000000001</v>
      </c>
      <c r="Q93" s="408">
        <f>IFERROR(IF(compras_mes5[[#This Row],[CUIT]]="","-",VLOOKUP(compras_mes5[[#This Row],[CUIT]],Lista_CUIT[#All],3,0)),"CUIT NO CARGADO")</f>
        <v>0</v>
      </c>
      <c r="R93" s="408">
        <f>IFERROR(IF(compras_mes5[[#This Row],[CUIT]]="","-",VLOOKUP(compras_mes5[[#This Row],[CUIT]],Lista_CUIT[#All],4,0)),"CUIT NO CARGADO")</f>
        <v>0</v>
      </c>
    </row>
    <row r="94" spans="2:19" x14ac:dyDescent="0.3">
      <c r="B94" s="399">
        <v>45059</v>
      </c>
      <c r="C94" s="400">
        <v>1</v>
      </c>
      <c r="D94" s="401">
        <v>6</v>
      </c>
      <c r="E94" s="402">
        <v>3333</v>
      </c>
      <c r="F94" s="403">
        <v>20134664518</v>
      </c>
      <c r="G94" s="404" t="str">
        <f>IFERROR(IF(compras_mes5[[#This Row],[CUIT]]="","-",VLOOKUP(compras_mes5[[#This Row],[CUIT]],Lista_CUIT[#All],2,0)),"CUIT NO CARGADO")</f>
        <v>HOKAMA SERGIO ENRIQUE</v>
      </c>
      <c r="H94" s="405">
        <v>2388.4299999999998</v>
      </c>
      <c r="I94" s="406">
        <f>IF(compras_mes5[[#This Row],[NETO GRAVADO]]="","",compras_mes5[[#This Row],[NETO GRAVADO]]*0.21)</f>
        <v>501.57029999999997</v>
      </c>
      <c r="J94" s="406"/>
      <c r="K94" s="406"/>
      <c r="L94" s="406"/>
      <c r="M94" s="406"/>
      <c r="N94" s="406"/>
      <c r="O94" s="406"/>
      <c r="P94" s="407">
        <f>SUM(compras_mes5[[#This Row],[NETO GRAVADO]:[Otros / No Grav.]])</f>
        <v>2890.0002999999997</v>
      </c>
      <c r="Q94" s="408" t="str">
        <f>IFERROR(IF(compras_mes5[[#This Row],[CUIT]]="","-",VLOOKUP(compras_mes5[[#This Row],[CUIT]],Lista_CUIT[#All],3,0)),"CUIT NO CARGADO")</f>
        <v>Gastos Varios</v>
      </c>
      <c r="R94" s="408" t="str">
        <f>IFERROR(IF(compras_mes5[[#This Row],[CUIT]]="","-",VLOOKUP(compras_mes5[[#This Row],[CUIT]],Lista_CUIT[#All],4,0)),"CUIT NO CARGADO")</f>
        <v>BUENOS AIRES</v>
      </c>
    </row>
    <row r="95" spans="2:19" x14ac:dyDescent="0.3">
      <c r="B95" s="399">
        <v>45059</v>
      </c>
      <c r="C95" s="400">
        <v>1</v>
      </c>
      <c r="D95" s="401">
        <v>2199</v>
      </c>
      <c r="E95" s="402">
        <v>21992</v>
      </c>
      <c r="F95" s="403">
        <v>30548083156</v>
      </c>
      <c r="G95" s="404" t="str">
        <f>IFERROR(IF(compras_mes5[[#This Row],[CUIT]]="","-",VLOOKUP(compras_mes5[[#This Row],[CUIT]],Lista_CUIT[#All],2,0)),"CUIT NO CARGADO")</f>
        <v>COTO CENTRO INTEGRAL DE COMERCIALIZACION SOCIEDAD ANONIMA</v>
      </c>
      <c r="H95" s="405">
        <v>12092.07</v>
      </c>
      <c r="I95" s="406">
        <v>697.84</v>
      </c>
      <c r="J95" s="406"/>
      <c r="K95" s="406">
        <v>920.75</v>
      </c>
      <c r="L95" s="406">
        <v>99.69</v>
      </c>
      <c r="M95" s="406">
        <v>127.87</v>
      </c>
      <c r="N95" s="406">
        <v>556.29999999999995</v>
      </c>
      <c r="O95" s="406"/>
      <c r="P95" s="407">
        <f>SUM(compras_mes5[[#This Row],[NETO GRAVADO]:[Otros / No Grav.]])</f>
        <v>14494.52</v>
      </c>
      <c r="Q95" s="408" t="str">
        <f>IFERROR(IF(compras_mes5[[#This Row],[CUIT]]="","-",VLOOKUP(compras_mes5[[#This Row],[CUIT]],Lista_CUIT[#All],3,0)),"CUIT NO CARGADO")</f>
        <v>GASTOS COMERCIALES</v>
      </c>
      <c r="R95" s="408">
        <f>IFERROR(IF(compras_mes5[[#This Row],[CUIT]]="","-",VLOOKUP(compras_mes5[[#This Row],[CUIT]],Lista_CUIT[#All],4,0)),"CUIT NO CARGADO")</f>
        <v>0</v>
      </c>
    </row>
    <row r="96" spans="2:19" x14ac:dyDescent="0.3">
      <c r="B96" s="399">
        <v>45059</v>
      </c>
      <c r="C96" s="400">
        <v>1</v>
      </c>
      <c r="D96" s="401">
        <v>12</v>
      </c>
      <c r="E96" s="402">
        <v>24008</v>
      </c>
      <c r="F96" s="403">
        <v>30696131003</v>
      </c>
      <c r="G96" s="404" t="str">
        <f>IFERROR(IF(compras_mes5[[#This Row],[CUIT]]="","-",VLOOKUP(compras_mes5[[#This Row],[CUIT]],Lista_CUIT[#All],2,0)),"CUIT NO CARGADO")</f>
        <v>Petrolfe S.A.</v>
      </c>
      <c r="H96" s="405">
        <v>9901.57</v>
      </c>
      <c r="I96" s="406">
        <f>IF(compras_mes5[[#This Row],[NETO GRAVADO]]="","",compras_mes5[[#This Row],[NETO GRAVADO]]*0.21)</f>
        <v>2079.3296999999998</v>
      </c>
      <c r="J96" s="406"/>
      <c r="K96" s="406"/>
      <c r="L96" s="406"/>
      <c r="M96" s="406"/>
      <c r="N96" s="406"/>
      <c r="O96" s="406">
        <v>1566.72</v>
      </c>
      <c r="P96" s="407">
        <f>SUM(compras_mes5[[#This Row],[NETO GRAVADO]:[Otros / No Grav.]])</f>
        <v>13547.619699999999</v>
      </c>
      <c r="Q96" s="408" t="str">
        <f>IFERROR(IF(compras_mes5[[#This Row],[CUIT]]="","-",VLOOKUP(compras_mes5[[#This Row],[CUIT]],Lista_CUIT[#All],3,0)),"CUIT NO CARGADO")</f>
        <v>Combustible</v>
      </c>
      <c r="R96" s="408">
        <f>IFERROR(IF(compras_mes5[[#This Row],[CUIT]]="","-",VLOOKUP(compras_mes5[[#This Row],[CUIT]],Lista_CUIT[#All],4,0)),"CUIT NO CARGADO")</f>
        <v>0</v>
      </c>
    </row>
    <row r="97" spans="2:18" x14ac:dyDescent="0.3">
      <c r="B97" s="399">
        <v>45059</v>
      </c>
      <c r="C97" s="400">
        <v>1</v>
      </c>
      <c r="D97" s="401">
        <v>6</v>
      </c>
      <c r="E97" s="402">
        <v>61576</v>
      </c>
      <c r="F97" s="403">
        <v>30697954399</v>
      </c>
      <c r="G97" s="404" t="str">
        <f>IFERROR(IF(compras_mes5[[#This Row],[CUIT]]="","-",VLOOKUP(compras_mes5[[#This Row],[CUIT]],Lista_CUIT[#All],2,0)),"CUIT NO CARGADO")</f>
        <v>MELINKA SRL</v>
      </c>
      <c r="H97" s="405">
        <v>585.17999999999995</v>
      </c>
      <c r="I97" s="406">
        <f>IF(compras_mes5[[#This Row],[NETO GRAVADO]]="","",compras_mes5[[#This Row],[NETO GRAVADO]]*0.21)</f>
        <v>122.88779999999998</v>
      </c>
      <c r="J97" s="406"/>
      <c r="K97" s="406"/>
      <c r="L97" s="406"/>
      <c r="M97" s="406"/>
      <c r="N97" s="406"/>
      <c r="O97" s="406">
        <v>67.260000000000005</v>
      </c>
      <c r="P97" s="407">
        <f>SUM(compras_mes5[[#This Row],[NETO GRAVADO]:[Otros / No Grav.]])</f>
        <v>775.32779999999991</v>
      </c>
      <c r="Q97" s="408">
        <f>IFERROR(IF(compras_mes5[[#This Row],[CUIT]]="","-",VLOOKUP(compras_mes5[[#This Row],[CUIT]],Lista_CUIT[#All],3,0)),"CUIT NO CARGADO")</f>
        <v>0</v>
      </c>
      <c r="R97" s="408">
        <f>IFERROR(IF(compras_mes5[[#This Row],[CUIT]]="","-",VLOOKUP(compras_mes5[[#This Row],[CUIT]],Lista_CUIT[#All],4,0)),"CUIT NO CARGADO")</f>
        <v>0</v>
      </c>
    </row>
    <row r="98" spans="2:18" x14ac:dyDescent="0.3">
      <c r="B98" s="399">
        <v>45060</v>
      </c>
      <c r="C98" s="400">
        <v>1</v>
      </c>
      <c r="D98" s="401">
        <v>34</v>
      </c>
      <c r="E98" s="402">
        <v>920</v>
      </c>
      <c r="F98" s="403">
        <v>30520201048</v>
      </c>
      <c r="G98" s="404" t="str">
        <f>IFERROR(IF(compras_mes5[[#This Row],[CUIT]]="","-",VLOOKUP(compras_mes5[[#This Row],[CUIT]],Lista_CUIT[#All],2,0)),"CUIT NO CARGADO")</f>
        <v>ASENSIO E HIJO Y PULLEY SOCIEDAD DE RESP</v>
      </c>
      <c r="H98" s="405">
        <v>2235.67</v>
      </c>
      <c r="I98" s="406">
        <f>IF(compras_mes5[[#This Row],[NETO GRAVADO]]="","",compras_mes5[[#This Row],[NETO GRAVADO]]*0.21)</f>
        <v>469.4907</v>
      </c>
      <c r="J98" s="406"/>
      <c r="K98" s="406"/>
      <c r="L98" s="406"/>
      <c r="M98" s="406"/>
      <c r="N98" s="406"/>
      <c r="O98" s="406">
        <v>295.52999999999997</v>
      </c>
      <c r="P98" s="407">
        <f>SUM(compras_mes5[[#This Row],[NETO GRAVADO]:[Otros / No Grav.]])</f>
        <v>3000.6907000000001</v>
      </c>
      <c r="Q98" s="408">
        <f>IFERROR(IF(compras_mes5[[#This Row],[CUIT]]="","-",VLOOKUP(compras_mes5[[#This Row],[CUIT]],Lista_CUIT[#All],3,0)),"CUIT NO CARGADO")</f>
        <v>0</v>
      </c>
      <c r="R98" s="408">
        <f>IFERROR(IF(compras_mes5[[#This Row],[CUIT]]="","-",VLOOKUP(compras_mes5[[#This Row],[CUIT]],Lista_CUIT[#All],4,0)),"CUIT NO CARGADO")</f>
        <v>0</v>
      </c>
    </row>
    <row r="99" spans="2:18" x14ac:dyDescent="0.3">
      <c r="B99" s="421">
        <v>45060</v>
      </c>
      <c r="C99" s="250">
        <v>1</v>
      </c>
      <c r="D99" s="423">
        <v>4264</v>
      </c>
      <c r="E99" s="424">
        <v>1871397</v>
      </c>
      <c r="F99" s="425">
        <v>30639453738</v>
      </c>
      <c r="G99" s="426" t="str">
        <f>IFERROR(IF(compras_mes5[[#This Row],[CUIT]]="","-",VLOOKUP(compras_mes5[[#This Row],[CUIT]],Lista_CUIT[#All],2,0)),"CUIT NO CARGADO")</f>
        <v>TELECOM ARG SA</v>
      </c>
      <c r="H99" s="427">
        <v>12500</v>
      </c>
      <c r="I99" s="428">
        <f>IF(compras_mes5[[#This Row],[NETO GRAVADO]]="","",compras_mes5[[#This Row],[NETO GRAVADO]]*0.21)</f>
        <v>2625</v>
      </c>
      <c r="J99" s="428"/>
      <c r="K99" s="428"/>
      <c r="L99" s="428"/>
      <c r="M99" s="428"/>
      <c r="N99" s="428">
        <v>1125</v>
      </c>
      <c r="O99" s="428"/>
      <c r="P99" s="429">
        <f>SUM(compras_mes5[[#This Row],[NETO GRAVADO]:[Otros / No Grav.]])</f>
        <v>16250</v>
      </c>
      <c r="Q99" s="430" t="str">
        <f>IFERROR(IF(compras_mes5[[#This Row],[CUIT]]="","-",VLOOKUP(compras_mes5[[#This Row],[CUIT]],Lista_CUIT[#All],3,0)),"CUIT NO CARGADO")</f>
        <v>Servicios Gas, Luz, etc.</v>
      </c>
      <c r="R99" s="430">
        <f>IFERROR(IF(compras_mes5[[#This Row],[CUIT]]="","-",VLOOKUP(compras_mes5[[#This Row],[CUIT]],Lista_CUIT[#All],4,0)),"CUIT NO CARGADO")</f>
        <v>0</v>
      </c>
    </row>
    <row r="100" spans="2:18" x14ac:dyDescent="0.3">
      <c r="B100" s="421">
        <v>45060</v>
      </c>
      <c r="C100" s="250">
        <v>1</v>
      </c>
      <c r="D100" s="423">
        <v>4264</v>
      </c>
      <c r="E100" s="424">
        <v>1875726</v>
      </c>
      <c r="F100" s="425">
        <v>30639453738</v>
      </c>
      <c r="G100" s="426" t="str">
        <f>IFERROR(IF(compras_mes5[[#This Row],[CUIT]]="","-",VLOOKUP(compras_mes5[[#This Row],[CUIT]],Lista_CUIT[#All],2,0)),"CUIT NO CARGADO")</f>
        <v>TELECOM ARG SA</v>
      </c>
      <c r="H100" s="427">
        <v>9350</v>
      </c>
      <c r="I100" s="428">
        <f>IF(compras_mes5[[#This Row],[NETO GRAVADO]]="","",compras_mes5[[#This Row],[NETO GRAVADO]]*0.21)</f>
        <v>1963.5</v>
      </c>
      <c r="J100" s="428"/>
      <c r="K100" s="428"/>
      <c r="L100" s="428"/>
      <c r="M100" s="428"/>
      <c r="N100" s="428">
        <v>280.5</v>
      </c>
      <c r="O100" s="428"/>
      <c r="P100" s="429">
        <f>SUM(compras_mes5[[#This Row],[NETO GRAVADO]:[Otros / No Grav.]])</f>
        <v>11594</v>
      </c>
      <c r="Q100" s="430" t="str">
        <f>IFERROR(IF(compras_mes5[[#This Row],[CUIT]]="","-",VLOOKUP(compras_mes5[[#This Row],[CUIT]],Lista_CUIT[#All],3,0)),"CUIT NO CARGADO")</f>
        <v>Servicios Gas, Luz, etc.</v>
      </c>
      <c r="R100" s="430">
        <f>IFERROR(IF(compras_mes5[[#This Row],[CUIT]]="","-",VLOOKUP(compras_mes5[[#This Row],[CUIT]],Lista_CUIT[#All],4,0)),"CUIT NO CARGADO")</f>
        <v>0</v>
      </c>
    </row>
    <row r="101" spans="2:18" x14ac:dyDescent="0.3">
      <c r="B101" s="421">
        <v>45060</v>
      </c>
      <c r="C101" s="250">
        <v>1</v>
      </c>
      <c r="D101" s="423">
        <v>4264</v>
      </c>
      <c r="E101" s="424">
        <v>1922588</v>
      </c>
      <c r="F101" s="425">
        <v>30639453738</v>
      </c>
      <c r="G101" s="426" t="str">
        <f>IFERROR(IF(compras_mes5[[#This Row],[CUIT]]="","-",VLOOKUP(compras_mes5[[#This Row],[CUIT]],Lista_CUIT[#All],2,0)),"CUIT NO CARGADO")</f>
        <v>TELECOM ARG SA</v>
      </c>
      <c r="H101" s="427">
        <v>19650</v>
      </c>
      <c r="I101" s="428">
        <f>IF(compras_mes5[[#This Row],[NETO GRAVADO]]="","",compras_mes5[[#This Row],[NETO GRAVADO]]*0.21)</f>
        <v>4126.5</v>
      </c>
      <c r="J101" s="428"/>
      <c r="K101" s="428"/>
      <c r="L101" s="428"/>
      <c r="M101" s="428"/>
      <c r="N101" s="428">
        <v>1768.5</v>
      </c>
      <c r="O101" s="428"/>
      <c r="P101" s="429">
        <f>SUM(compras_mes5[[#This Row],[NETO GRAVADO]:[Otros / No Grav.]])</f>
        <v>25545</v>
      </c>
      <c r="Q101" s="430" t="str">
        <f>IFERROR(IF(compras_mes5[[#This Row],[CUIT]]="","-",VLOOKUP(compras_mes5[[#This Row],[CUIT]],Lista_CUIT[#All],3,0)),"CUIT NO CARGADO")</f>
        <v>Servicios Gas, Luz, etc.</v>
      </c>
      <c r="R101" s="430">
        <f>IFERROR(IF(compras_mes5[[#This Row],[CUIT]]="","-",VLOOKUP(compras_mes5[[#This Row],[CUIT]],Lista_CUIT[#All],4,0)),"CUIT NO CARGADO")</f>
        <v>0</v>
      </c>
    </row>
    <row r="102" spans="2:18" x14ac:dyDescent="0.3">
      <c r="B102" s="399">
        <v>45061</v>
      </c>
      <c r="C102" s="400">
        <v>1</v>
      </c>
      <c r="D102" s="401">
        <v>6</v>
      </c>
      <c r="E102" s="402">
        <v>2582</v>
      </c>
      <c r="F102" s="403">
        <v>30574603788</v>
      </c>
      <c r="G102" s="404" t="str">
        <f>IFERROR(IF(compras_mes5[[#This Row],[CUIT]]="","-",VLOOKUP(compras_mes5[[#This Row],[CUIT]],Lista_CUIT[#All],2,0)),"CUIT NO CARGADO")</f>
        <v>CODAC SRL</v>
      </c>
      <c r="H102" s="405">
        <v>363072</v>
      </c>
      <c r="I102" s="406">
        <f>IF(compras_mes5[[#This Row],[NETO GRAVADO]]="","",compras_mes5[[#This Row],[NETO GRAVADO]]*0.21)</f>
        <v>76245.119999999995</v>
      </c>
      <c r="J102" s="406"/>
      <c r="K102" s="406"/>
      <c r="L102" s="406"/>
      <c r="M102" s="406"/>
      <c r="N102" s="406"/>
      <c r="O102" s="406"/>
      <c r="P102" s="407">
        <f>SUM(compras_mes5[[#This Row],[NETO GRAVADO]:[Otros / No Grav.]])</f>
        <v>439317.12</v>
      </c>
      <c r="Q102" s="408" t="str">
        <f>IFERROR(IF(compras_mes5[[#This Row],[CUIT]]="","-",VLOOKUP(compras_mes5[[#This Row],[CUIT]],Lista_CUIT[#All],3,0)),"CUIT NO CARGADO")</f>
        <v>GASTOS COSMETICA</v>
      </c>
      <c r="R102" s="408" t="str">
        <f>IFERROR(IF(compras_mes5[[#This Row],[CUIT]]="","-",VLOOKUP(compras_mes5[[#This Row],[CUIT]],Lista_CUIT[#All],4,0)),"CUIT NO CARGADO")</f>
        <v>BUENOS AIRES</v>
      </c>
    </row>
    <row r="103" spans="2:18" x14ac:dyDescent="0.3">
      <c r="B103" s="399">
        <v>45061</v>
      </c>
      <c r="C103" s="400">
        <v>1</v>
      </c>
      <c r="D103" s="401">
        <v>4</v>
      </c>
      <c r="E103" s="402">
        <v>2734</v>
      </c>
      <c r="F103" s="403">
        <v>30708669306</v>
      </c>
      <c r="G103" s="404" t="str">
        <f>IFERROR(IF(compras_mes5[[#This Row],[CUIT]]="","-",VLOOKUP(compras_mes5[[#This Row],[CUIT]],Lista_CUIT[#All],2,0)),"CUIT NO CARGADO")</f>
        <v>MAYOLAS S.R.L.</v>
      </c>
      <c r="H103" s="405">
        <v>290500</v>
      </c>
      <c r="I103" s="406">
        <f>IF(compras_mes5[[#This Row],[NETO GRAVADO]]="","",compras_mes5[[#This Row],[NETO GRAVADO]]*0.21)</f>
        <v>61005</v>
      </c>
      <c r="J103" s="406"/>
      <c r="K103" s="406"/>
      <c r="L103" s="406"/>
      <c r="M103" s="406"/>
      <c r="N103" s="406"/>
      <c r="O103" s="406"/>
      <c r="P103" s="407">
        <f>SUM(compras_mes5[[#This Row],[NETO GRAVADO]:[Otros / No Grav.]])</f>
        <v>351505</v>
      </c>
      <c r="Q103" s="408">
        <f>IFERROR(IF(compras_mes5[[#This Row],[CUIT]]="","-",VLOOKUP(compras_mes5[[#This Row],[CUIT]],Lista_CUIT[#All],3,0)),"CUIT NO CARGADO")</f>
        <v>0</v>
      </c>
      <c r="R103" s="408">
        <f>IFERROR(IF(compras_mes5[[#This Row],[CUIT]]="","-",VLOOKUP(compras_mes5[[#This Row],[CUIT]],Lista_CUIT[#All],4,0)),"CUIT NO CARGADO")</f>
        <v>0</v>
      </c>
    </row>
    <row r="104" spans="2:18" x14ac:dyDescent="0.3">
      <c r="B104" s="421">
        <v>45061</v>
      </c>
      <c r="C104" s="250">
        <v>1</v>
      </c>
      <c r="D104" s="423">
        <v>1</v>
      </c>
      <c r="E104" s="424">
        <v>2855</v>
      </c>
      <c r="F104" s="425">
        <v>30717219232</v>
      </c>
      <c r="G104" s="426" t="str">
        <f>IFERROR(IF(compras_mes5[[#This Row],[CUIT]]="","-",VLOOKUP(compras_mes5[[#This Row],[CUIT]],Lista_CUIT[#All],2,0)),"CUIT NO CARGADO")</f>
        <v>COPIADO FULL S.R.L</v>
      </c>
      <c r="H104" s="427">
        <v>1195.43</v>
      </c>
      <c r="I104" s="428">
        <f>IF(compras_mes5[[#This Row],[NETO GRAVADO]]="","",compras_mes5[[#This Row],[NETO GRAVADO]]*0.21)</f>
        <v>251.0403</v>
      </c>
      <c r="J104" s="428"/>
      <c r="K104" s="428"/>
      <c r="L104" s="428"/>
      <c r="M104" s="428"/>
      <c r="N104" s="428"/>
      <c r="O104" s="428"/>
      <c r="P104" s="429">
        <f>SUM(compras_mes5[[#This Row],[NETO GRAVADO]:[Otros / No Grav.]])</f>
        <v>1446.4703</v>
      </c>
      <c r="Q104" s="430">
        <f>IFERROR(IF(compras_mes5[[#This Row],[CUIT]]="","-",VLOOKUP(compras_mes5[[#This Row],[CUIT]],Lista_CUIT[#All],3,0)),"CUIT NO CARGADO")</f>
        <v>0</v>
      </c>
      <c r="R104" s="430">
        <f>IFERROR(IF(compras_mes5[[#This Row],[CUIT]]="","-",VLOOKUP(compras_mes5[[#This Row],[CUIT]],Lista_CUIT[#All],4,0)),"CUIT NO CARGADO")</f>
        <v>0</v>
      </c>
    </row>
    <row r="105" spans="2:18" x14ac:dyDescent="0.3">
      <c r="B105" s="399">
        <v>45061</v>
      </c>
      <c r="C105" s="400">
        <v>1</v>
      </c>
      <c r="D105" s="401">
        <v>20</v>
      </c>
      <c r="E105" s="402">
        <v>8697</v>
      </c>
      <c r="F105" s="403">
        <v>30515800219</v>
      </c>
      <c r="G105" s="404" t="str">
        <f>IFERROR(IF(compras_mes5[[#This Row],[CUIT]]="","-",VLOOKUP(compras_mes5[[#This Row],[CUIT]],Lista_CUIT[#All],2,0)),"CUIT NO CARGADO")</f>
        <v>INCAT SRL</v>
      </c>
      <c r="H105" s="405">
        <v>816.05</v>
      </c>
      <c r="I105" s="406">
        <f>IF(compras_mes5[[#This Row],[NETO GRAVADO]]="","",compras_mes5[[#This Row],[NETO GRAVADO]]*0.21)</f>
        <v>171.37049999999999</v>
      </c>
      <c r="J105" s="406"/>
      <c r="K105" s="406"/>
      <c r="L105" s="406"/>
      <c r="M105" s="406"/>
      <c r="N105" s="406"/>
      <c r="O105" s="406">
        <v>12.6</v>
      </c>
      <c r="P105" s="407">
        <f>SUM(compras_mes5[[#This Row],[NETO GRAVADO]:[Otros / No Grav.]])</f>
        <v>1000.0205</v>
      </c>
      <c r="Q105" s="408" t="str">
        <f>IFERROR(IF(compras_mes5[[#This Row],[CUIT]]="","-",VLOOKUP(compras_mes5[[#This Row],[CUIT]],Lista_CUIT[#All],3,0)),"CUIT NO CARGADO")</f>
        <v>Combustibe</v>
      </c>
      <c r="R105" s="408" t="str">
        <f>IFERROR(IF(compras_mes5[[#This Row],[CUIT]]="","-",VLOOKUP(compras_mes5[[#This Row],[CUIT]],Lista_CUIT[#All],4,0)),"CUIT NO CARGADO")</f>
        <v>CABA</v>
      </c>
    </row>
    <row r="106" spans="2:18" x14ac:dyDescent="0.3">
      <c r="B106" s="399">
        <v>45061</v>
      </c>
      <c r="C106" s="400">
        <v>1</v>
      </c>
      <c r="D106" s="401">
        <v>21</v>
      </c>
      <c r="E106" s="402">
        <v>29392</v>
      </c>
      <c r="F106" s="403">
        <v>30515800219</v>
      </c>
      <c r="G106" s="404" t="str">
        <f>IFERROR(IF(compras_mes5[[#This Row],[CUIT]]="","-",VLOOKUP(compras_mes5[[#This Row],[CUIT]],Lista_CUIT[#All],2,0)),"CUIT NO CARGADO")</f>
        <v>INCAT SRL</v>
      </c>
      <c r="H106" s="405">
        <v>5057.57</v>
      </c>
      <c r="I106" s="406">
        <f>IF(compras_mes5[[#This Row],[NETO GRAVADO]]="","",compras_mes5[[#This Row],[NETO GRAVADO]]*0.21)</f>
        <v>1062.0897</v>
      </c>
      <c r="J106" s="406"/>
      <c r="K106" s="406"/>
      <c r="L106" s="406"/>
      <c r="M106" s="406"/>
      <c r="N106" s="406"/>
      <c r="O106" s="406">
        <v>981.58</v>
      </c>
      <c r="P106" s="407">
        <f>SUM(compras_mes5[[#This Row],[NETO GRAVADO]:[Otros / No Grav.]])</f>
        <v>7101.2397000000001</v>
      </c>
      <c r="Q106" s="408" t="str">
        <f>IFERROR(IF(compras_mes5[[#This Row],[CUIT]]="","-",VLOOKUP(compras_mes5[[#This Row],[CUIT]],Lista_CUIT[#All],3,0)),"CUIT NO CARGADO")</f>
        <v>Combustibe</v>
      </c>
      <c r="R106" s="408" t="str">
        <f>IFERROR(IF(compras_mes5[[#This Row],[CUIT]]="","-",VLOOKUP(compras_mes5[[#This Row],[CUIT]],Lista_CUIT[#All],4,0)),"CUIT NO CARGADO")</f>
        <v>CABA</v>
      </c>
    </row>
    <row r="107" spans="2:18" x14ac:dyDescent="0.3">
      <c r="B107" s="399">
        <v>45061</v>
      </c>
      <c r="C107" s="400">
        <v>1</v>
      </c>
      <c r="D107" s="401">
        <v>24</v>
      </c>
      <c r="E107" s="402">
        <v>50049</v>
      </c>
      <c r="F107" s="403">
        <v>30707838260</v>
      </c>
      <c r="G107" s="404" t="str">
        <f>IFERROR(IF(compras_mes5[[#This Row],[CUIT]]="","-",VLOOKUP(compras_mes5[[#This Row],[CUIT]],Lista_CUIT[#All],2,0)),"CUIT NO CARGADO")</f>
        <v>EL INSUMO S.R.L.</v>
      </c>
      <c r="H107" s="405">
        <v>61636.36</v>
      </c>
      <c r="I107" s="406">
        <f>IF(compras_mes5[[#This Row],[NETO GRAVADO]]="","",compras_mes5[[#This Row],[NETO GRAVADO]]*0.21)</f>
        <v>12943.6356</v>
      </c>
      <c r="J107" s="406"/>
      <c r="K107" s="406"/>
      <c r="L107" s="406"/>
      <c r="M107" s="406"/>
      <c r="N107" s="406">
        <v>3698.18</v>
      </c>
      <c r="O107" s="406"/>
      <c r="P107" s="407">
        <f>SUM(compras_mes5[[#This Row],[NETO GRAVADO]:[Otros / No Grav.]])</f>
        <v>78278.175599999988</v>
      </c>
      <c r="Q107" s="408">
        <f>IFERROR(IF(compras_mes5[[#This Row],[CUIT]]="","-",VLOOKUP(compras_mes5[[#This Row],[CUIT]],Lista_CUIT[#All],3,0)),"CUIT NO CARGADO")</f>
        <v>0</v>
      </c>
      <c r="R107" s="408">
        <f>IFERROR(IF(compras_mes5[[#This Row],[CUIT]]="","-",VLOOKUP(compras_mes5[[#This Row],[CUIT]],Lista_CUIT[#All],4,0)),"CUIT NO CARGADO")</f>
        <v>0</v>
      </c>
    </row>
    <row r="108" spans="2:18" x14ac:dyDescent="0.3">
      <c r="B108" s="399">
        <v>45061</v>
      </c>
      <c r="C108" s="400">
        <v>1</v>
      </c>
      <c r="D108" s="401">
        <v>2188</v>
      </c>
      <c r="E108" s="402">
        <v>89859</v>
      </c>
      <c r="F108" s="403">
        <v>30548083156</v>
      </c>
      <c r="G108" s="404" t="str">
        <f>IFERROR(IF(compras_mes5[[#This Row],[CUIT]]="","-",VLOOKUP(compras_mes5[[#This Row],[CUIT]],Lista_CUIT[#All],2,0)),"CUIT NO CARGADO")</f>
        <v>COTO CENTRO INTEGRAL DE COMERCIALIZACION SOCIEDAD ANONIMA</v>
      </c>
      <c r="H108" s="405">
        <v>5451.95</v>
      </c>
      <c r="I108" s="406">
        <v>1094.93</v>
      </c>
      <c r="J108" s="406"/>
      <c r="K108" s="406">
        <v>24.99</v>
      </c>
      <c r="L108" s="406">
        <v>156.41999999999999</v>
      </c>
      <c r="M108" s="406"/>
      <c r="N108" s="406">
        <v>327.12</v>
      </c>
      <c r="O108" s="406"/>
      <c r="P108" s="407">
        <f>SUM(compras_mes5[[#This Row],[NETO GRAVADO]:[Otros / No Grav.]])</f>
        <v>7055.41</v>
      </c>
      <c r="Q108" s="408" t="str">
        <f>IFERROR(IF(compras_mes5[[#This Row],[CUIT]]="","-",VLOOKUP(compras_mes5[[#This Row],[CUIT]],Lista_CUIT[#All],3,0)),"CUIT NO CARGADO")</f>
        <v>GASTOS COMERCIALES</v>
      </c>
      <c r="R108" s="408">
        <f>IFERROR(IF(compras_mes5[[#This Row],[CUIT]]="","-",VLOOKUP(compras_mes5[[#This Row],[CUIT]],Lista_CUIT[#All],4,0)),"CUIT NO CARGADO")</f>
        <v>0</v>
      </c>
    </row>
    <row r="109" spans="2:18" x14ac:dyDescent="0.3">
      <c r="B109" s="399">
        <v>45061</v>
      </c>
      <c r="C109" s="400">
        <v>1</v>
      </c>
      <c r="D109" s="401">
        <v>331</v>
      </c>
      <c r="E109" s="402">
        <v>423286</v>
      </c>
      <c r="F109" s="403">
        <v>30579939008</v>
      </c>
      <c r="G109" s="404" t="str">
        <f>IFERROR(IF(compras_mes5[[#This Row],[CUIT]]="","-",VLOOKUP(compras_mes5[[#This Row],[CUIT]],Lista_CUIT[#All],2,0)),"CUIT NO CARGADO")</f>
        <v>TRANSPORTES LA SEVILLANITA SRL</v>
      </c>
      <c r="H109" s="405">
        <v>12670.49</v>
      </c>
      <c r="I109" s="406">
        <f>IF(compras_mes5[[#This Row],[NETO GRAVADO]]="","",compras_mes5[[#This Row],[NETO GRAVADO]]*0.21)</f>
        <v>2660.8028999999997</v>
      </c>
      <c r="J109" s="406"/>
      <c r="K109" s="406"/>
      <c r="L109" s="406"/>
      <c r="M109" s="406"/>
      <c r="N109" s="406"/>
      <c r="O109" s="406"/>
      <c r="P109" s="407">
        <f>SUM(compras_mes5[[#This Row],[NETO GRAVADO]:[Otros / No Grav.]])</f>
        <v>15331.2929</v>
      </c>
      <c r="Q109" s="408">
        <f>IFERROR(IF(compras_mes5[[#This Row],[CUIT]]="","-",VLOOKUP(compras_mes5[[#This Row],[CUIT]],Lista_CUIT[#All],3,0)),"CUIT NO CARGADO")</f>
        <v>0</v>
      </c>
      <c r="R109" s="408">
        <f>IFERROR(IF(compras_mes5[[#This Row],[CUIT]]="","-",VLOOKUP(compras_mes5[[#This Row],[CUIT]],Lista_CUIT[#All],4,0)),"CUIT NO CARGADO")</f>
        <v>0</v>
      </c>
    </row>
    <row r="110" spans="2:18" x14ac:dyDescent="0.3">
      <c r="B110" s="399">
        <v>45062</v>
      </c>
      <c r="C110" s="400">
        <v>1</v>
      </c>
      <c r="D110" s="401">
        <v>9</v>
      </c>
      <c r="E110" s="402">
        <v>769</v>
      </c>
      <c r="F110" s="403">
        <v>30710446047</v>
      </c>
      <c r="G110" s="404" t="str">
        <f>IFERROR(IF(compras_mes5[[#This Row],[CUIT]]="","-",VLOOKUP(compras_mes5[[#This Row],[CUIT]],Lista_CUIT[#All],2,0)),"CUIT NO CARGADO")</f>
        <v>ENSAMBLE GRAFICO S.H.</v>
      </c>
      <c r="H110" s="405">
        <v>1305580</v>
      </c>
      <c r="I110" s="406">
        <f>IF(compras_mes5[[#This Row],[NETO GRAVADO]]="","",compras_mes5[[#This Row],[NETO GRAVADO]]*0.21)</f>
        <v>274171.8</v>
      </c>
      <c r="J110" s="406"/>
      <c r="K110" s="406"/>
      <c r="L110" s="406"/>
      <c r="M110" s="406"/>
      <c r="N110" s="406"/>
      <c r="O110" s="406"/>
      <c r="P110" s="407">
        <f>SUM(compras_mes5[[#This Row],[NETO GRAVADO]:[Otros / No Grav.]])</f>
        <v>1579751.8</v>
      </c>
      <c r="Q110" s="408">
        <f>IFERROR(IF(compras_mes5[[#This Row],[CUIT]]="","-",VLOOKUP(compras_mes5[[#This Row],[CUIT]],Lista_CUIT[#All],3,0)),"CUIT NO CARGADO")</f>
        <v>0</v>
      </c>
      <c r="R110" s="408">
        <f>IFERROR(IF(compras_mes5[[#This Row],[CUIT]]="","-",VLOOKUP(compras_mes5[[#This Row],[CUIT]],Lista_CUIT[#All],4,0)),"CUIT NO CARGADO")</f>
        <v>0</v>
      </c>
    </row>
    <row r="111" spans="2:18" x14ac:dyDescent="0.3">
      <c r="B111" s="399">
        <v>45062</v>
      </c>
      <c r="C111" s="400">
        <v>1</v>
      </c>
      <c r="D111" s="401">
        <v>10</v>
      </c>
      <c r="E111" s="402">
        <v>2267</v>
      </c>
      <c r="F111" s="403">
        <v>30550106430</v>
      </c>
      <c r="G111" s="404" t="str">
        <f>IFERROR(IF(compras_mes5[[#This Row],[CUIT]]="","-",VLOOKUP(compras_mes5[[#This Row],[CUIT]],Lista_CUIT[#All],2,0)),"CUIT NO CARGADO")</f>
        <v>MAGEL S A</v>
      </c>
      <c r="H111" s="405">
        <v>1350000</v>
      </c>
      <c r="I111" s="406">
        <f>IF(compras_mes5[[#This Row],[NETO GRAVADO]]="","",compras_mes5[[#This Row],[NETO GRAVADO]]*0.21)</f>
        <v>283500</v>
      </c>
      <c r="J111" s="406"/>
      <c r="K111" s="406"/>
      <c r="L111" s="406"/>
      <c r="M111" s="406">
        <v>13500</v>
      </c>
      <c r="N111" s="406">
        <v>81000</v>
      </c>
      <c r="O111" s="406"/>
      <c r="P111" s="407">
        <f>SUM(compras_mes5[[#This Row],[NETO GRAVADO]:[Otros / No Grav.]])</f>
        <v>1728000</v>
      </c>
      <c r="Q111" s="408">
        <f>IFERROR(IF(compras_mes5[[#This Row],[CUIT]]="","-",VLOOKUP(compras_mes5[[#This Row],[CUIT]],Lista_CUIT[#All],3,0)),"CUIT NO CARGADO")</f>
        <v>0</v>
      </c>
      <c r="R111" s="408">
        <f>IFERROR(IF(compras_mes5[[#This Row],[CUIT]]="","-",VLOOKUP(compras_mes5[[#This Row],[CUIT]],Lista_CUIT[#All],4,0)),"CUIT NO CARGADO")</f>
        <v>0</v>
      </c>
    </row>
    <row r="112" spans="2:18" x14ac:dyDescent="0.3">
      <c r="B112" s="399">
        <v>45062</v>
      </c>
      <c r="C112" s="400">
        <v>1</v>
      </c>
      <c r="D112" s="401">
        <v>2</v>
      </c>
      <c r="E112" s="402">
        <v>3339</v>
      </c>
      <c r="F112" s="403">
        <v>30629863571</v>
      </c>
      <c r="G112" s="404" t="str">
        <f>IFERROR(IF(compras_mes5[[#This Row],[CUIT]]="","-",VLOOKUP(compras_mes5[[#This Row],[CUIT]],Lista_CUIT[#All],2,0)),"CUIT NO CARGADO")</f>
        <v>TECNIMAR S R L</v>
      </c>
      <c r="H112" s="405">
        <v>1682115</v>
      </c>
      <c r="I112" s="406">
        <f>IF(compras_mes5[[#This Row],[NETO GRAVADO]]="","",compras_mes5[[#This Row],[NETO GRAVADO]]*0.21)</f>
        <v>353244.14999999997</v>
      </c>
      <c r="J112" s="406"/>
      <c r="K112" s="406"/>
      <c r="L112" s="406"/>
      <c r="M112" s="406"/>
      <c r="N112" s="406"/>
      <c r="O112" s="406"/>
      <c r="P112" s="407">
        <f>SUM(compras_mes5[[#This Row],[NETO GRAVADO]:[Otros / No Grav.]])</f>
        <v>2035359.15</v>
      </c>
      <c r="Q112" s="408" t="str">
        <f>IFERROR(IF(compras_mes5[[#This Row],[CUIT]]="","-",VLOOKUP(compras_mes5[[#This Row],[CUIT]],Lista_CUIT[#All],3,0)),"CUIT NO CARGADO")</f>
        <v>LABORATORIO</v>
      </c>
      <c r="R112" s="408">
        <f>IFERROR(IF(compras_mes5[[#This Row],[CUIT]]="","-",VLOOKUP(compras_mes5[[#This Row],[CUIT]],Lista_CUIT[#All],4,0)),"CUIT NO CARGADO")</f>
        <v>0</v>
      </c>
    </row>
    <row r="113" spans="2:18" x14ac:dyDescent="0.3">
      <c r="B113" s="399">
        <v>45062</v>
      </c>
      <c r="C113" s="400">
        <v>1</v>
      </c>
      <c r="D113" s="401">
        <v>20</v>
      </c>
      <c r="E113" s="402">
        <v>8718</v>
      </c>
      <c r="F113" s="403">
        <v>30515800219</v>
      </c>
      <c r="G113" s="404" t="str">
        <f>IFERROR(IF(compras_mes5[[#This Row],[CUIT]]="","-",VLOOKUP(compras_mes5[[#This Row],[CUIT]],Lista_CUIT[#All],2,0)),"CUIT NO CARGADO")</f>
        <v>INCAT SRL</v>
      </c>
      <c r="H113" s="405">
        <v>514.1</v>
      </c>
      <c r="I113" s="406">
        <f>IF(compras_mes5[[#This Row],[NETO GRAVADO]]="","",compras_mes5[[#This Row],[NETO GRAVADO]]*0.21)</f>
        <v>107.961</v>
      </c>
      <c r="J113" s="406"/>
      <c r="K113" s="406"/>
      <c r="L113" s="406"/>
      <c r="M113" s="406"/>
      <c r="N113" s="406"/>
      <c r="O113" s="406">
        <v>7.94</v>
      </c>
      <c r="P113" s="407">
        <f>SUM(compras_mes5[[#This Row],[NETO GRAVADO]:[Otros / No Grav.]])</f>
        <v>630.00100000000009</v>
      </c>
      <c r="Q113" s="408" t="str">
        <f>IFERROR(IF(compras_mes5[[#This Row],[CUIT]]="","-",VLOOKUP(compras_mes5[[#This Row],[CUIT]],Lista_CUIT[#All],3,0)),"CUIT NO CARGADO")</f>
        <v>Combustibe</v>
      </c>
      <c r="R113" s="408" t="str">
        <f>IFERROR(IF(compras_mes5[[#This Row],[CUIT]]="","-",VLOOKUP(compras_mes5[[#This Row],[CUIT]],Lista_CUIT[#All],4,0)),"CUIT NO CARGADO")</f>
        <v>CABA</v>
      </c>
    </row>
    <row r="114" spans="2:18" x14ac:dyDescent="0.3">
      <c r="B114" s="399">
        <v>45062</v>
      </c>
      <c r="C114" s="400">
        <v>1</v>
      </c>
      <c r="D114" s="401">
        <v>4</v>
      </c>
      <c r="E114" s="402">
        <v>36023</v>
      </c>
      <c r="F114" s="403">
        <v>30532905555</v>
      </c>
      <c r="G114" s="404" t="str">
        <f>IFERROR(IF(compras_mes5[[#This Row],[CUIT]]="","-",VLOOKUP(compras_mes5[[#This Row],[CUIT]],Lista_CUIT[#All],2,0)),"CUIT NO CARGADO")</f>
        <v>UNTECO S.A.I.C. E I.</v>
      </c>
      <c r="H114" s="405">
        <v>179152.06</v>
      </c>
      <c r="I114" s="406">
        <f>IF(compras_mes5[[#This Row],[NETO GRAVADO]]="","",compras_mes5[[#This Row],[NETO GRAVADO]]*0.21)</f>
        <v>37621.9326</v>
      </c>
      <c r="J114" s="406"/>
      <c r="K114" s="406"/>
      <c r="L114" s="406"/>
      <c r="M114" s="406"/>
      <c r="N114" s="406">
        <v>10749.12</v>
      </c>
      <c r="O114" s="406"/>
      <c r="P114" s="407">
        <f>SUM(compras_mes5[[#This Row],[NETO GRAVADO]:[Otros / No Grav.]])</f>
        <v>227523.11259999999</v>
      </c>
      <c r="Q114" s="408">
        <f>IFERROR(IF(compras_mes5[[#This Row],[CUIT]]="","-",VLOOKUP(compras_mes5[[#This Row],[CUIT]],Lista_CUIT[#All],3,0)),"CUIT NO CARGADO")</f>
        <v>0</v>
      </c>
      <c r="R114" s="408">
        <f>IFERROR(IF(compras_mes5[[#This Row],[CUIT]]="","-",VLOOKUP(compras_mes5[[#This Row],[CUIT]],Lista_CUIT[#All],4,0)),"CUIT NO CARGADO")</f>
        <v>0</v>
      </c>
    </row>
    <row r="115" spans="2:18" x14ac:dyDescent="0.3">
      <c r="B115" s="399">
        <v>45062</v>
      </c>
      <c r="C115" s="400">
        <v>1</v>
      </c>
      <c r="D115" s="401">
        <v>13</v>
      </c>
      <c r="E115" s="402">
        <v>57597</v>
      </c>
      <c r="F115" s="403">
        <v>30707841105</v>
      </c>
      <c r="G115" s="404" t="str">
        <f>IFERROR(IF(compras_mes5[[#This Row],[CUIT]]="","-",VLOOKUP(compras_mes5[[#This Row],[CUIT]],Lista_CUIT[#All],2,0)),"CUIT NO CARGADO")</f>
        <v>PETRO ARG SRL</v>
      </c>
      <c r="H115" s="405">
        <v>648.52</v>
      </c>
      <c r="I115" s="406">
        <f>IF(compras_mes5[[#This Row],[NETO GRAVADO]]="","",compras_mes5[[#This Row],[NETO GRAVADO]]*0.21)</f>
        <v>136.1892</v>
      </c>
      <c r="J115" s="406"/>
      <c r="K115" s="406"/>
      <c r="L115" s="406"/>
      <c r="M115" s="406"/>
      <c r="N115" s="406"/>
      <c r="O115" s="406">
        <v>8.31</v>
      </c>
      <c r="P115" s="407">
        <f>SUM(compras_mes5[[#This Row],[NETO GRAVADO]:[Otros / No Grav.]])</f>
        <v>793.01919999999996</v>
      </c>
      <c r="Q115" s="408" t="str">
        <f>IFERROR(IF(compras_mes5[[#This Row],[CUIT]]="","-",VLOOKUP(compras_mes5[[#This Row],[CUIT]],Lista_CUIT[#All],3,0)),"CUIT NO CARGADO")</f>
        <v>Combustible</v>
      </c>
      <c r="R115" s="408">
        <f>IFERROR(IF(compras_mes5[[#This Row],[CUIT]]="","-",VLOOKUP(compras_mes5[[#This Row],[CUIT]],Lista_CUIT[#All],4,0)),"CUIT NO CARGADO")</f>
        <v>0</v>
      </c>
    </row>
    <row r="116" spans="2:18" x14ac:dyDescent="0.3">
      <c r="B116" s="399">
        <v>45063</v>
      </c>
      <c r="C116" s="400">
        <v>1</v>
      </c>
      <c r="D116" s="401">
        <v>6</v>
      </c>
      <c r="E116" s="402">
        <v>416</v>
      </c>
      <c r="F116" s="403">
        <v>20219190469</v>
      </c>
      <c r="G116" s="404" t="str">
        <f>IFERROR(IF(compras_mes5[[#This Row],[CUIT]]="","-",VLOOKUP(compras_mes5[[#This Row],[CUIT]],Lista_CUIT[#All],2,0)),"CUIT NO CARGADO")</f>
        <v>PARADISO ESTEBAN DAMIAN</v>
      </c>
      <c r="H116" s="405">
        <v>169814.51</v>
      </c>
      <c r="I116" s="406">
        <f>IF(compras_mes5[[#This Row],[NETO GRAVADO]]="","",compras_mes5[[#This Row],[NETO GRAVADO]]*0.21)</f>
        <v>35661.047100000003</v>
      </c>
      <c r="J116" s="406"/>
      <c r="K116" s="406"/>
      <c r="L116" s="406"/>
      <c r="M116" s="406"/>
      <c r="N116" s="406"/>
      <c r="O116" s="406"/>
      <c r="P116" s="407">
        <f>SUM(compras_mes5[[#This Row],[NETO GRAVADO]:[Otros / No Grav.]])</f>
        <v>205475.55710000001</v>
      </c>
      <c r="Q116" s="408">
        <f>IFERROR(IF(compras_mes5[[#This Row],[CUIT]]="","-",VLOOKUP(compras_mes5[[#This Row],[CUIT]],Lista_CUIT[#All],3,0)),"CUIT NO CARGADO")</f>
        <v>0</v>
      </c>
      <c r="R116" s="408">
        <f>IFERROR(IF(compras_mes5[[#This Row],[CUIT]]="","-",VLOOKUP(compras_mes5[[#This Row],[CUIT]],Lista_CUIT[#All],4,0)),"CUIT NO CARGADO")</f>
        <v>0</v>
      </c>
    </row>
    <row r="117" spans="2:18" x14ac:dyDescent="0.3">
      <c r="B117" s="399">
        <v>45063</v>
      </c>
      <c r="C117" s="400">
        <v>1</v>
      </c>
      <c r="D117" s="401">
        <v>6</v>
      </c>
      <c r="E117" s="402">
        <v>3343</v>
      </c>
      <c r="F117" s="403">
        <v>20134664518</v>
      </c>
      <c r="G117" s="404" t="str">
        <f>IFERROR(IF(compras_mes5[[#This Row],[CUIT]]="","-",VLOOKUP(compras_mes5[[#This Row],[CUIT]],Lista_CUIT[#All],2,0)),"CUIT NO CARGADO")</f>
        <v>HOKAMA SERGIO ENRIQUE</v>
      </c>
      <c r="H117" s="405">
        <v>10701.49</v>
      </c>
      <c r="I117" s="406">
        <f>IF(compras_mes5[[#This Row],[NETO GRAVADO]]="","",compras_mes5[[#This Row],[NETO GRAVADO]]*0.21)</f>
        <v>2247.3128999999999</v>
      </c>
      <c r="J117" s="406"/>
      <c r="K117" s="406"/>
      <c r="L117" s="406"/>
      <c r="M117" s="406"/>
      <c r="N117" s="406"/>
      <c r="O117" s="406"/>
      <c r="P117" s="407">
        <f>SUM(compras_mes5[[#This Row],[NETO GRAVADO]:[Otros / No Grav.]])</f>
        <v>12948.802899999999</v>
      </c>
      <c r="Q117" s="408" t="str">
        <f>IFERROR(IF(compras_mes5[[#This Row],[CUIT]]="","-",VLOOKUP(compras_mes5[[#This Row],[CUIT]],Lista_CUIT[#All],3,0)),"CUIT NO CARGADO")</f>
        <v>Gastos Varios</v>
      </c>
      <c r="R117" s="408" t="str">
        <f>IFERROR(IF(compras_mes5[[#This Row],[CUIT]]="","-",VLOOKUP(compras_mes5[[#This Row],[CUIT]],Lista_CUIT[#All],4,0)),"CUIT NO CARGADO")</f>
        <v>BUENOS AIRES</v>
      </c>
    </row>
    <row r="118" spans="2:18" x14ac:dyDescent="0.3">
      <c r="B118" s="399">
        <v>45063</v>
      </c>
      <c r="C118" s="400">
        <v>1</v>
      </c>
      <c r="D118" s="401">
        <v>20</v>
      </c>
      <c r="E118" s="402">
        <v>8734</v>
      </c>
      <c r="F118" s="403">
        <v>30515800219</v>
      </c>
      <c r="G118" s="404" t="str">
        <f>IFERROR(IF(compras_mes5[[#This Row],[CUIT]]="","-",VLOOKUP(compras_mes5[[#This Row],[CUIT]],Lista_CUIT[#All],2,0)),"CUIT NO CARGADO")</f>
        <v>INCAT SRL</v>
      </c>
      <c r="H118" s="405">
        <v>816.05</v>
      </c>
      <c r="I118" s="406">
        <f>IF(compras_mes5[[#This Row],[NETO GRAVADO]]="","",compras_mes5[[#This Row],[NETO GRAVADO]]*0.21)</f>
        <v>171.37049999999999</v>
      </c>
      <c r="J118" s="406"/>
      <c r="K118" s="406"/>
      <c r="L118" s="406"/>
      <c r="M118" s="406"/>
      <c r="N118" s="406"/>
      <c r="O118" s="406">
        <v>12.6</v>
      </c>
      <c r="P118" s="407">
        <f>SUM(compras_mes5[[#This Row],[NETO GRAVADO]:[Otros / No Grav.]])</f>
        <v>1000.0205</v>
      </c>
      <c r="Q118" s="408" t="str">
        <f>IFERROR(IF(compras_mes5[[#This Row],[CUIT]]="","-",VLOOKUP(compras_mes5[[#This Row],[CUIT]],Lista_CUIT[#All],3,0)),"CUIT NO CARGADO")</f>
        <v>Combustibe</v>
      </c>
      <c r="R118" s="408" t="str">
        <f>IFERROR(IF(compras_mes5[[#This Row],[CUIT]]="","-",VLOOKUP(compras_mes5[[#This Row],[CUIT]],Lista_CUIT[#All],4,0)),"CUIT NO CARGADO")</f>
        <v>CABA</v>
      </c>
    </row>
    <row r="119" spans="2:18" x14ac:dyDescent="0.3">
      <c r="B119" s="399">
        <v>45063</v>
      </c>
      <c r="C119" s="400">
        <v>1</v>
      </c>
      <c r="D119" s="401">
        <v>3</v>
      </c>
      <c r="E119" s="402">
        <v>8775</v>
      </c>
      <c r="F119" s="403">
        <v>30679163317</v>
      </c>
      <c r="G119" s="404" t="str">
        <f>IFERROR(IF(compras_mes5[[#This Row],[CUIT]]="","-",VLOOKUP(compras_mes5[[#This Row],[CUIT]],Lista_CUIT[#All],2,0)),"CUIT NO CARGADO")</f>
        <v>RANKO S R L</v>
      </c>
      <c r="H119" s="405">
        <v>15000</v>
      </c>
      <c r="I119" s="406">
        <f>IF(compras_mes5[[#This Row],[NETO GRAVADO]]="","",compras_mes5[[#This Row],[NETO GRAVADO]]*0.21)</f>
        <v>3150</v>
      </c>
      <c r="J119" s="406"/>
      <c r="K119" s="406"/>
      <c r="L119" s="406"/>
      <c r="M119" s="406"/>
      <c r="N119" s="406"/>
      <c r="O119" s="406"/>
      <c r="P119" s="407">
        <f>SUM(compras_mes5[[#This Row],[NETO GRAVADO]:[Otros / No Grav.]])</f>
        <v>18150</v>
      </c>
      <c r="Q119" s="408">
        <f>IFERROR(IF(compras_mes5[[#This Row],[CUIT]]="","-",VLOOKUP(compras_mes5[[#This Row],[CUIT]],Lista_CUIT[#All],3,0)),"CUIT NO CARGADO")</f>
        <v>0</v>
      </c>
      <c r="R119" s="408">
        <f>IFERROR(IF(compras_mes5[[#This Row],[CUIT]]="","-",VLOOKUP(compras_mes5[[#This Row],[CUIT]],Lista_CUIT[#All],4,0)),"CUIT NO CARGADO")</f>
        <v>0</v>
      </c>
    </row>
    <row r="120" spans="2:18" x14ac:dyDescent="0.3">
      <c r="B120" s="399">
        <v>45063</v>
      </c>
      <c r="C120" s="400">
        <v>1</v>
      </c>
      <c r="D120" s="401">
        <v>4</v>
      </c>
      <c r="E120" s="402">
        <v>21518</v>
      </c>
      <c r="F120" s="403">
        <v>30709788635</v>
      </c>
      <c r="G120" s="404" t="str">
        <f>IFERROR(IF(compras_mes5[[#This Row],[CUIT]]="","-",VLOOKUP(compras_mes5[[#This Row],[CUIT]],Lista_CUIT[#All],2,0)),"CUIT NO CARGADO")</f>
        <v>EMELINT S.R.L.</v>
      </c>
      <c r="H120" s="405">
        <v>45639.97</v>
      </c>
      <c r="I120" s="406">
        <f>IF(compras_mes5[[#This Row],[NETO GRAVADO]]="","",compras_mes5[[#This Row],[NETO GRAVADO]]*0.21)</f>
        <v>9584.3937000000005</v>
      </c>
      <c r="J120" s="406"/>
      <c r="K120" s="406"/>
      <c r="L120" s="406"/>
      <c r="M120" s="406"/>
      <c r="N120" s="406"/>
      <c r="O120" s="406"/>
      <c r="P120" s="407">
        <f>SUM(compras_mes5[[#This Row],[NETO GRAVADO]:[Otros / No Grav.]])</f>
        <v>55224.363700000002</v>
      </c>
      <c r="Q120" s="408">
        <f>IFERROR(IF(compras_mes5[[#This Row],[CUIT]]="","-",VLOOKUP(compras_mes5[[#This Row],[CUIT]],Lista_CUIT[#All],3,0)),"CUIT NO CARGADO")</f>
        <v>0</v>
      </c>
      <c r="R120" s="408">
        <f>IFERROR(IF(compras_mes5[[#This Row],[CUIT]]="","-",VLOOKUP(compras_mes5[[#This Row],[CUIT]],Lista_CUIT[#All],4,0)),"CUIT NO CARGADO")</f>
        <v>0</v>
      </c>
    </row>
    <row r="121" spans="2:18" x14ac:dyDescent="0.3">
      <c r="B121" s="399">
        <v>45063</v>
      </c>
      <c r="C121" s="400">
        <v>1</v>
      </c>
      <c r="D121" s="401">
        <v>21</v>
      </c>
      <c r="E121" s="402">
        <v>29513</v>
      </c>
      <c r="F121" s="403">
        <v>30515800219</v>
      </c>
      <c r="G121" s="404" t="str">
        <f>IFERROR(IF(compras_mes5[[#This Row],[CUIT]]="","-",VLOOKUP(compras_mes5[[#This Row],[CUIT]],Lista_CUIT[#All],2,0)),"CUIT NO CARGADO")</f>
        <v>INCAT SRL</v>
      </c>
      <c r="H121" s="405">
        <v>1435</v>
      </c>
      <c r="I121" s="406">
        <f>IF(compras_mes5[[#This Row],[NETO GRAVADO]]="","",compras_mes5[[#This Row],[NETO GRAVADO]]*0.21)</f>
        <v>301.34999999999997</v>
      </c>
      <c r="J121" s="406"/>
      <c r="K121" s="406"/>
      <c r="L121" s="406"/>
      <c r="M121" s="406"/>
      <c r="N121" s="406"/>
      <c r="O121" s="406">
        <v>263.57</v>
      </c>
      <c r="P121" s="407">
        <f>SUM(compras_mes5[[#This Row],[NETO GRAVADO]:[Otros / No Grav.]])</f>
        <v>1999.9199999999998</v>
      </c>
      <c r="Q121" s="408" t="str">
        <f>IFERROR(IF(compras_mes5[[#This Row],[CUIT]]="","-",VLOOKUP(compras_mes5[[#This Row],[CUIT]],Lista_CUIT[#All],3,0)),"CUIT NO CARGADO")</f>
        <v>Combustibe</v>
      </c>
      <c r="R121" s="408" t="str">
        <f>IFERROR(IF(compras_mes5[[#This Row],[CUIT]]="","-",VLOOKUP(compras_mes5[[#This Row],[CUIT]],Lista_CUIT[#All],4,0)),"CUIT NO CARGADO")</f>
        <v>CABA</v>
      </c>
    </row>
    <row r="122" spans="2:18" x14ac:dyDescent="0.3">
      <c r="B122" s="399">
        <v>45063</v>
      </c>
      <c r="C122" s="400">
        <v>1</v>
      </c>
      <c r="D122" s="401">
        <v>2</v>
      </c>
      <c r="E122" s="402">
        <v>33169</v>
      </c>
      <c r="F122" s="403">
        <v>30711080917</v>
      </c>
      <c r="G122" s="404" t="str">
        <f>IFERROR(IF(compras_mes5[[#This Row],[CUIT]]="","-",VLOOKUP(compras_mes5[[#This Row],[CUIT]],Lista_CUIT[#All],2,0)),"CUIT NO CARGADO")</f>
        <v xml:space="preserve">FROS SA </v>
      </c>
      <c r="H122" s="405">
        <v>557.86</v>
      </c>
      <c r="I122" s="406">
        <f>IF(compras_mes5[[#This Row],[NETO GRAVADO]]="","",compras_mes5[[#This Row],[NETO GRAVADO]]*0.21)</f>
        <v>117.1506</v>
      </c>
      <c r="J122" s="406"/>
      <c r="K122" s="406"/>
      <c r="L122" s="406"/>
      <c r="M122" s="406"/>
      <c r="N122" s="406"/>
      <c r="O122" s="406"/>
      <c r="P122" s="407">
        <f>SUM(compras_mes5[[#This Row],[NETO GRAVADO]:[Otros / No Grav.]])</f>
        <v>675.01060000000007</v>
      </c>
      <c r="Q122" s="408">
        <f>IFERROR(IF(compras_mes5[[#This Row],[CUIT]]="","-",VLOOKUP(compras_mes5[[#This Row],[CUIT]],Lista_CUIT[#All],3,0)),"CUIT NO CARGADO")</f>
        <v>0</v>
      </c>
      <c r="R122" s="408">
        <f>IFERROR(IF(compras_mes5[[#This Row],[CUIT]]="","-",VLOOKUP(compras_mes5[[#This Row],[CUIT]],Lista_CUIT[#All],4,0)),"CUIT NO CARGADO")</f>
        <v>0</v>
      </c>
    </row>
    <row r="123" spans="2:18" x14ac:dyDescent="0.3">
      <c r="B123" s="421">
        <v>45063</v>
      </c>
      <c r="C123" s="250">
        <v>1</v>
      </c>
      <c r="D123" s="423">
        <v>5014</v>
      </c>
      <c r="E123" s="424">
        <v>423546</v>
      </c>
      <c r="F123" s="425">
        <v>30574876474</v>
      </c>
      <c r="G123" s="426" t="str">
        <f>IFERROR(IF(compras_mes5[[#This Row],[CUIT]]="","-",VLOOKUP(compras_mes5[[#This Row],[CUIT]],Lista_CUIT[#All],2,0)),"CUIT NO CARGADO")</f>
        <v>AUTOPISTAS URBANAS S A</v>
      </c>
      <c r="H123" s="427">
        <v>17622.63</v>
      </c>
      <c r="I123" s="428">
        <f>IF(compras_mes5[[#This Row],[NETO GRAVADO]]="","",compras_mes5[[#This Row],[NETO GRAVADO]]*0.21)</f>
        <v>3700.7523000000001</v>
      </c>
      <c r="J123" s="428"/>
      <c r="K123" s="428"/>
      <c r="L123" s="428"/>
      <c r="M123" s="428"/>
      <c r="N123" s="428"/>
      <c r="O123" s="428">
        <v>2290.81</v>
      </c>
      <c r="P123" s="429">
        <f>SUM(compras_mes5[[#This Row],[NETO GRAVADO]:[Otros / No Grav.]])</f>
        <v>23614.192300000002</v>
      </c>
      <c r="Q123" s="430">
        <f>IFERROR(IF(compras_mes5[[#This Row],[CUIT]]="","-",VLOOKUP(compras_mes5[[#This Row],[CUIT]],Lista_CUIT[#All],3,0)),"CUIT NO CARGADO")</f>
        <v>0</v>
      </c>
      <c r="R123" s="430">
        <f>IFERROR(IF(compras_mes5[[#This Row],[CUIT]]="","-",VLOOKUP(compras_mes5[[#This Row],[CUIT]],Lista_CUIT[#All],4,0)),"CUIT NO CARGADO")</f>
        <v>0</v>
      </c>
    </row>
    <row r="124" spans="2:18" x14ac:dyDescent="0.3">
      <c r="B124" s="421">
        <v>45063</v>
      </c>
      <c r="C124" s="250">
        <v>1</v>
      </c>
      <c r="D124" s="423">
        <v>629</v>
      </c>
      <c r="E124" s="424">
        <v>4178834</v>
      </c>
      <c r="F124" s="425">
        <v>30663498513</v>
      </c>
      <c r="G124" s="426" t="str">
        <f>IFERROR(IF(compras_mes5[[#This Row],[CUIT]]="","-",VLOOKUP(compras_mes5[[#This Row],[CUIT]],Lista_CUIT[#All],2,0)),"CUIT NO CARGADO")</f>
        <v>GRUPO CONCES. DEL OESTE SA</v>
      </c>
      <c r="H124" s="427">
        <v>1415.69</v>
      </c>
      <c r="I124" s="428">
        <f>IF(compras_mes5[[#This Row],[NETO GRAVADO]]="","",compras_mes5[[#This Row],[NETO GRAVADO]]*0.21)</f>
        <v>297.29489999999998</v>
      </c>
      <c r="J124" s="428"/>
      <c r="K124" s="428"/>
      <c r="L124" s="428"/>
      <c r="M124" s="428"/>
      <c r="N124" s="428"/>
      <c r="O124" s="428"/>
      <c r="P124" s="429">
        <f>SUM(compras_mes5[[#This Row],[NETO GRAVADO]:[Otros / No Grav.]])</f>
        <v>1712.9848999999999</v>
      </c>
      <c r="Q124" s="430">
        <f>IFERROR(IF(compras_mes5[[#This Row],[CUIT]]="","-",VLOOKUP(compras_mes5[[#This Row],[CUIT]],Lista_CUIT[#All],3,0)),"CUIT NO CARGADO")</f>
        <v>0</v>
      </c>
      <c r="R124" s="430">
        <f>IFERROR(IF(compras_mes5[[#This Row],[CUIT]]="","-",VLOOKUP(compras_mes5[[#This Row],[CUIT]],Lista_CUIT[#All],4,0)),"CUIT NO CARGADO")</f>
        <v>0</v>
      </c>
    </row>
    <row r="125" spans="2:18" x14ac:dyDescent="0.3">
      <c r="B125" s="421">
        <v>45063</v>
      </c>
      <c r="C125" s="250">
        <v>1</v>
      </c>
      <c r="D125" s="423">
        <v>711</v>
      </c>
      <c r="E125" s="424">
        <v>4315348</v>
      </c>
      <c r="F125" s="425">
        <v>30677237119</v>
      </c>
      <c r="G125" s="426" t="str">
        <f>IFERROR(IF(compras_mes5[[#This Row],[CUIT]]="","-",VLOOKUP(compras_mes5[[#This Row],[CUIT]],Lista_CUIT[#All],2,0)),"CUIT NO CARGADO")</f>
        <v>AUTOPISTAS DEL SOL S A</v>
      </c>
      <c r="H125" s="427">
        <v>2405.79</v>
      </c>
      <c r="I125" s="428">
        <f>IF(compras_mes5[[#This Row],[NETO GRAVADO]]="","",compras_mes5[[#This Row],[NETO GRAVADO]]*0.21)</f>
        <v>505.21589999999998</v>
      </c>
      <c r="J125" s="428"/>
      <c r="K125" s="428"/>
      <c r="L125" s="428"/>
      <c r="M125" s="428"/>
      <c r="N125" s="428"/>
      <c r="O125" s="428">
        <v>72.17</v>
      </c>
      <c r="P125" s="429">
        <f>SUM(compras_mes5[[#This Row],[NETO GRAVADO]:[Otros / No Grav.]])</f>
        <v>2983.1759000000002</v>
      </c>
      <c r="Q125" s="430">
        <f>IFERROR(IF(compras_mes5[[#This Row],[CUIT]]="","-",VLOOKUP(compras_mes5[[#This Row],[CUIT]],Lista_CUIT[#All],3,0)),"CUIT NO CARGADO")</f>
        <v>0</v>
      </c>
      <c r="R125" s="430">
        <f>IFERROR(IF(compras_mes5[[#This Row],[CUIT]]="","-",VLOOKUP(compras_mes5[[#This Row],[CUIT]],Lista_CUIT[#All],4,0)),"CUIT NO CARGADO")</f>
        <v>0</v>
      </c>
    </row>
    <row r="126" spans="2:18" x14ac:dyDescent="0.3">
      <c r="B126" s="399">
        <v>45064</v>
      </c>
      <c r="C126" s="400">
        <v>1</v>
      </c>
      <c r="D126" s="401">
        <v>3</v>
      </c>
      <c r="E126" s="402">
        <v>48</v>
      </c>
      <c r="F126" s="403">
        <v>33715993509</v>
      </c>
      <c r="G126" s="404" t="str">
        <f>IFERROR(IF(compras_mes5[[#This Row],[CUIT]]="","-",VLOOKUP(compras_mes5[[#This Row],[CUIT]],Lista_CUIT[#All],2,0)),"CUIT NO CARGADO")</f>
        <v>+Q NATURAL S.A.</v>
      </c>
      <c r="H126" s="405">
        <v>2859.5</v>
      </c>
      <c r="I126" s="406">
        <f>IF(compras_mes5[[#This Row],[NETO GRAVADO]]="","",compras_mes5[[#This Row],[NETO GRAVADO]]*0.21)</f>
        <v>600.495</v>
      </c>
      <c r="J126" s="406"/>
      <c r="K126" s="406"/>
      <c r="L126" s="406"/>
      <c r="M126" s="406"/>
      <c r="N126" s="406"/>
      <c r="O126" s="406"/>
      <c r="P126" s="407">
        <f>SUM(compras_mes5[[#This Row],[NETO GRAVADO]:[Otros / No Grav.]])</f>
        <v>3459.9949999999999</v>
      </c>
      <c r="Q126" s="408">
        <f>IFERROR(IF(compras_mes5[[#This Row],[CUIT]]="","-",VLOOKUP(compras_mes5[[#This Row],[CUIT]],Lista_CUIT[#All],3,0)),"CUIT NO CARGADO")</f>
        <v>0</v>
      </c>
      <c r="R126" s="408">
        <f>IFERROR(IF(compras_mes5[[#This Row],[CUIT]]="","-",VLOOKUP(compras_mes5[[#This Row],[CUIT]],Lista_CUIT[#All],4,0)),"CUIT NO CARGADO")</f>
        <v>0</v>
      </c>
    </row>
    <row r="127" spans="2:18" x14ac:dyDescent="0.3">
      <c r="B127" s="399">
        <v>45064</v>
      </c>
      <c r="C127" s="400">
        <v>1</v>
      </c>
      <c r="D127" s="401">
        <v>20</v>
      </c>
      <c r="E127" s="402">
        <v>8753</v>
      </c>
      <c r="F127" s="403">
        <v>30515800219</v>
      </c>
      <c r="G127" s="404" t="str">
        <f>IFERROR(IF(compras_mes5[[#This Row],[CUIT]]="","-",VLOOKUP(compras_mes5[[#This Row],[CUIT]],Lista_CUIT[#All],2,0)),"CUIT NO CARGADO")</f>
        <v>INCAT SRL</v>
      </c>
      <c r="H127" s="405">
        <v>816.19</v>
      </c>
      <c r="I127" s="406">
        <f>IF(compras_mes5[[#This Row],[NETO GRAVADO]]="","",compras_mes5[[#This Row],[NETO GRAVADO]]*0.21)</f>
        <v>171.3999</v>
      </c>
      <c r="J127" s="406"/>
      <c r="K127" s="406"/>
      <c r="L127" s="406"/>
      <c r="M127" s="406"/>
      <c r="N127" s="406"/>
      <c r="O127" s="406">
        <v>12.44</v>
      </c>
      <c r="P127" s="407">
        <f>SUM(compras_mes5[[#This Row],[NETO GRAVADO]:[Otros / No Grav.]])</f>
        <v>1000.0299000000001</v>
      </c>
      <c r="Q127" s="408" t="str">
        <f>IFERROR(IF(compras_mes5[[#This Row],[CUIT]]="","-",VLOOKUP(compras_mes5[[#This Row],[CUIT]],Lista_CUIT[#All],3,0)),"CUIT NO CARGADO")</f>
        <v>Combustibe</v>
      </c>
      <c r="R127" s="408" t="str">
        <f>IFERROR(IF(compras_mes5[[#This Row],[CUIT]]="","-",VLOOKUP(compras_mes5[[#This Row],[CUIT]],Lista_CUIT[#All],4,0)),"CUIT NO CARGADO")</f>
        <v>CABA</v>
      </c>
    </row>
    <row r="128" spans="2:18" x14ac:dyDescent="0.3">
      <c r="B128" s="399">
        <v>45064</v>
      </c>
      <c r="C128" s="400">
        <v>1</v>
      </c>
      <c r="D128" s="401">
        <v>13</v>
      </c>
      <c r="E128" s="402">
        <v>57843</v>
      </c>
      <c r="F128" s="403">
        <v>30707841105</v>
      </c>
      <c r="G128" s="404" t="str">
        <f>IFERROR(IF(compras_mes5[[#This Row],[CUIT]]="","-",VLOOKUP(compras_mes5[[#This Row],[CUIT]],Lista_CUIT[#All],2,0)),"CUIT NO CARGADO")</f>
        <v>PETRO ARG SRL</v>
      </c>
      <c r="H128" s="405">
        <v>5611.71</v>
      </c>
      <c r="I128" s="406">
        <f>IF(compras_mes5[[#This Row],[NETO GRAVADO]]="","",compras_mes5[[#This Row],[NETO GRAVADO]]*0.21)</f>
        <v>1178.4591</v>
      </c>
      <c r="J128" s="406"/>
      <c r="K128" s="406"/>
      <c r="L128" s="406"/>
      <c r="M128" s="406"/>
      <c r="N128" s="406"/>
      <c r="O128" s="406">
        <v>912.04</v>
      </c>
      <c r="P128" s="407">
        <f>SUM(compras_mes5[[#This Row],[NETO GRAVADO]:[Otros / No Grav.]])</f>
        <v>7702.2091</v>
      </c>
      <c r="Q128" s="408" t="str">
        <f>IFERROR(IF(compras_mes5[[#This Row],[CUIT]]="","-",VLOOKUP(compras_mes5[[#This Row],[CUIT]],Lista_CUIT[#All],3,0)),"CUIT NO CARGADO")</f>
        <v>Combustible</v>
      </c>
      <c r="R128" s="408">
        <f>IFERROR(IF(compras_mes5[[#This Row],[CUIT]]="","-",VLOOKUP(compras_mes5[[#This Row],[CUIT]],Lista_CUIT[#All],4,0)),"CUIT NO CARGADO")</f>
        <v>0</v>
      </c>
    </row>
    <row r="129" spans="2:18" s="56" customFormat="1" ht="18.600000000000001" customHeight="1" x14ac:dyDescent="0.3">
      <c r="B129" s="421">
        <v>45065</v>
      </c>
      <c r="C129" s="250">
        <v>1</v>
      </c>
      <c r="D129" s="423">
        <v>2</v>
      </c>
      <c r="E129" s="424">
        <v>67</v>
      </c>
      <c r="F129" s="425">
        <v>30718018311</v>
      </c>
      <c r="G129" s="426" t="str">
        <f>IFERROR(IF(compras_mes5[[#This Row],[CUIT]]="","-",VLOOKUP(compras_mes5[[#This Row],[CUIT]],Lista_CUIT[#All],2,0)),"CUIT NO CARGADO")</f>
        <v>ANIMAL BROTHERS VENTA MAYORISTA Y MINORISTA DE ALIMENTOS BALANCEADOS DE SPADOTTO GABRIELA F. Y SPADO</v>
      </c>
      <c r="H129" s="427">
        <v>31289.26</v>
      </c>
      <c r="I129" s="428">
        <f>IF(compras_mes5[[#This Row],[NETO GRAVADO]]="","",compras_mes5[[#This Row],[NETO GRAVADO]]*0.21)</f>
        <v>6570.7445999999991</v>
      </c>
      <c r="J129" s="428"/>
      <c r="K129" s="428"/>
      <c r="L129" s="428"/>
      <c r="M129" s="428"/>
      <c r="N129" s="428"/>
      <c r="O129" s="428"/>
      <c r="P129" s="429">
        <f>SUM(compras_mes5[[#This Row],[NETO GRAVADO]:[Otros / No Grav.]])</f>
        <v>37860.0046</v>
      </c>
      <c r="Q129" s="430">
        <f>IFERROR(IF(compras_mes5[[#This Row],[CUIT]]="","-",VLOOKUP(compras_mes5[[#This Row],[CUIT]],Lista_CUIT[#All],3,0)),"CUIT NO CARGADO")</f>
        <v>0</v>
      </c>
      <c r="R129" s="430">
        <f>IFERROR(IF(compras_mes5[[#This Row],[CUIT]]="","-",VLOOKUP(compras_mes5[[#This Row],[CUIT]],Lista_CUIT[#All],4,0)),"CUIT NO CARGADO")</f>
        <v>0</v>
      </c>
    </row>
    <row r="130" spans="2:18" s="56" customFormat="1" ht="18.600000000000001" customHeight="1" x14ac:dyDescent="0.3">
      <c r="B130" s="399">
        <v>45065</v>
      </c>
      <c r="C130" s="400">
        <v>1</v>
      </c>
      <c r="D130" s="401">
        <v>2</v>
      </c>
      <c r="E130" s="402">
        <v>1868</v>
      </c>
      <c r="F130" s="403">
        <v>27162255881</v>
      </c>
      <c r="G130" s="404" t="str">
        <f>IFERROR(IF(compras_mes5[[#This Row],[CUIT]]="","-",VLOOKUP(compras_mes5[[#This Row],[CUIT]],Lista_CUIT[#All],2,0)),"CUIT NO CARGADO")</f>
        <v>SOLARI MARIA DE LOS ANGELES</v>
      </c>
      <c r="H130" s="405">
        <v>15930</v>
      </c>
      <c r="I130" s="406">
        <f>IF(compras_mes5[[#This Row],[NETO GRAVADO]]="","",compras_mes5[[#This Row],[NETO GRAVADO]]*0.21)</f>
        <v>3345.2999999999997</v>
      </c>
      <c r="J130" s="406"/>
      <c r="K130" s="406"/>
      <c r="L130" s="406"/>
      <c r="M130" s="406"/>
      <c r="N130" s="406"/>
      <c r="O130" s="406">
        <v>2425</v>
      </c>
      <c r="P130" s="407">
        <f>SUM(compras_mes5[[#This Row],[NETO GRAVADO]:[Otros / No Grav.]])</f>
        <v>21700.3</v>
      </c>
      <c r="Q130" s="408">
        <f>IFERROR(IF(compras_mes5[[#This Row],[CUIT]]="","-",VLOOKUP(compras_mes5[[#This Row],[CUIT]],Lista_CUIT[#All],3,0)),"CUIT NO CARGADO")</f>
        <v>0</v>
      </c>
      <c r="R130" s="408">
        <f>IFERROR(IF(compras_mes5[[#This Row],[CUIT]]="","-",VLOOKUP(compras_mes5[[#This Row],[CUIT]],Lista_CUIT[#All],4,0)),"CUIT NO CARGADO")</f>
        <v>0</v>
      </c>
    </row>
    <row r="131" spans="2:18" s="56" customFormat="1" ht="18.600000000000001" customHeight="1" x14ac:dyDescent="0.3">
      <c r="B131" s="399">
        <v>45065</v>
      </c>
      <c r="C131" s="400">
        <v>1</v>
      </c>
      <c r="D131" s="401">
        <v>3</v>
      </c>
      <c r="E131" s="402">
        <v>5165</v>
      </c>
      <c r="F131" s="403">
        <v>30711200599</v>
      </c>
      <c r="G131" s="404" t="str">
        <f>IFERROR(IF(compras_mes5[[#This Row],[CUIT]]="","-",VLOOKUP(compras_mes5[[#This Row],[CUIT]],Lista_CUIT[#All],2,0)),"CUIT NO CARGADO")</f>
        <v>BH IMPORT S.R.L.</v>
      </c>
      <c r="H131" s="405">
        <v>13357.85</v>
      </c>
      <c r="I131" s="406">
        <f>IF(compras_mes5[[#This Row],[NETO GRAVADO]]="","",compras_mes5[[#This Row],[NETO GRAVADO]]*0.21)</f>
        <v>2805.1484999999998</v>
      </c>
      <c r="J131" s="406"/>
      <c r="K131" s="406"/>
      <c r="L131" s="406"/>
      <c r="M131" s="406"/>
      <c r="N131" s="406"/>
      <c r="O131" s="406"/>
      <c r="P131" s="407">
        <f>SUM(compras_mes5[[#This Row],[NETO GRAVADO]:[Otros / No Grav.]])</f>
        <v>16162.9985</v>
      </c>
      <c r="Q131" s="408">
        <f>IFERROR(IF(compras_mes5[[#This Row],[CUIT]]="","-",VLOOKUP(compras_mes5[[#This Row],[CUIT]],Lista_CUIT[#All],3,0)),"CUIT NO CARGADO")</f>
        <v>0</v>
      </c>
      <c r="R131" s="408">
        <f>IFERROR(IF(compras_mes5[[#This Row],[CUIT]]="","-",VLOOKUP(compras_mes5[[#This Row],[CUIT]],Lista_CUIT[#All],4,0)),"CUIT NO CARGADO")</f>
        <v>0</v>
      </c>
    </row>
    <row r="132" spans="2:18" s="56" customFormat="1" ht="18.600000000000001" customHeight="1" x14ac:dyDescent="0.3">
      <c r="B132" s="421">
        <v>45065</v>
      </c>
      <c r="C132" s="422">
        <v>3</v>
      </c>
      <c r="D132" s="423">
        <v>5014</v>
      </c>
      <c r="E132" s="424">
        <v>5628</v>
      </c>
      <c r="F132" s="425">
        <v>30574876474</v>
      </c>
      <c r="G132" s="426" t="str">
        <f>IFERROR(IF(compras_mes5[[#This Row],[CUIT]]="","-",VLOOKUP(compras_mes5[[#This Row],[CUIT]],Lista_CUIT[#All],2,0)),"CUIT NO CARGADO")</f>
        <v>AUTOPISTAS URBANAS S A</v>
      </c>
      <c r="H132" s="427">
        <v>-17622.63</v>
      </c>
      <c r="I132" s="428">
        <f>IF(compras_mes5[[#This Row],[NETO GRAVADO]]="","",compras_mes5[[#This Row],[NETO GRAVADO]]*0.21)</f>
        <v>-3700.7523000000001</v>
      </c>
      <c r="J132" s="428"/>
      <c r="K132" s="428"/>
      <c r="L132" s="428"/>
      <c r="M132" s="428"/>
      <c r="N132" s="428"/>
      <c r="O132" s="428">
        <v>-2290.81</v>
      </c>
      <c r="P132" s="429">
        <f>SUM(compras_mes5[[#This Row],[NETO GRAVADO]:[Otros / No Grav.]])</f>
        <v>-23614.192300000002</v>
      </c>
      <c r="Q132" s="430">
        <f>IFERROR(IF(compras_mes5[[#This Row],[CUIT]]="","-",VLOOKUP(compras_mes5[[#This Row],[CUIT]],Lista_CUIT[#All],3,0)),"CUIT NO CARGADO")</f>
        <v>0</v>
      </c>
      <c r="R132" s="430">
        <f>IFERROR(IF(compras_mes5[[#This Row],[CUIT]]="","-",VLOOKUP(compras_mes5[[#This Row],[CUIT]],Lista_CUIT[#All],4,0)),"CUIT NO CARGADO")</f>
        <v>0</v>
      </c>
    </row>
    <row r="133" spans="2:18" s="56" customFormat="1" ht="18.600000000000001" customHeight="1" x14ac:dyDescent="0.3">
      <c r="B133" s="399">
        <v>45065</v>
      </c>
      <c r="C133" s="400">
        <v>1</v>
      </c>
      <c r="D133" s="401">
        <v>2</v>
      </c>
      <c r="E133" s="402">
        <v>6267</v>
      </c>
      <c r="F133" s="403">
        <v>30714381942</v>
      </c>
      <c r="G133" s="404" t="str">
        <f>IFERROR(IF(compras_mes5[[#This Row],[CUIT]]="","-",VLOOKUP(compras_mes5[[#This Row],[CUIT]],Lista_CUIT[#All],2,0)),"CUIT NO CARGADO")</f>
        <v>IMARKET SRL</v>
      </c>
      <c r="H133" s="405">
        <v>14461.98</v>
      </c>
      <c r="I133" s="406">
        <f>IF(compras_mes5[[#This Row],[NETO GRAVADO]]="","",compras_mes5[[#This Row],[NETO GRAVADO]]*0.21)</f>
        <v>3037.0157999999997</v>
      </c>
      <c r="J133" s="406"/>
      <c r="K133" s="406"/>
      <c r="L133" s="406"/>
      <c r="M133" s="406"/>
      <c r="N133" s="406"/>
      <c r="O133" s="406"/>
      <c r="P133" s="407">
        <f>SUM(compras_mes5[[#This Row],[NETO GRAVADO]:[Otros / No Grav.]])</f>
        <v>17498.995800000001</v>
      </c>
      <c r="Q133" s="408">
        <f>IFERROR(IF(compras_mes5[[#This Row],[CUIT]]="","-",VLOOKUP(compras_mes5[[#This Row],[CUIT]],Lista_CUIT[#All],3,0)),"CUIT NO CARGADO")</f>
        <v>0</v>
      </c>
      <c r="R133" s="408">
        <f>IFERROR(IF(compras_mes5[[#This Row],[CUIT]]="","-",VLOOKUP(compras_mes5[[#This Row],[CUIT]],Lista_CUIT[#All],4,0)),"CUIT NO CARGADO")</f>
        <v>0</v>
      </c>
    </row>
    <row r="134" spans="2:18" s="56" customFormat="1" ht="18.600000000000001" customHeight="1" x14ac:dyDescent="0.3">
      <c r="B134" s="399">
        <v>45065</v>
      </c>
      <c r="C134" s="400">
        <v>1</v>
      </c>
      <c r="D134" s="401">
        <v>20</v>
      </c>
      <c r="E134" s="402">
        <v>8771</v>
      </c>
      <c r="F134" s="403">
        <v>30515800219</v>
      </c>
      <c r="G134" s="404" t="str">
        <f>IFERROR(IF(compras_mes5[[#This Row],[CUIT]]="","-",VLOOKUP(compras_mes5[[#This Row],[CUIT]],Lista_CUIT[#All],2,0)),"CUIT NO CARGADO")</f>
        <v>INCAT SRL</v>
      </c>
      <c r="H134" s="405">
        <v>816.19</v>
      </c>
      <c r="I134" s="406">
        <f>IF(compras_mes5[[#This Row],[NETO GRAVADO]]="","",compras_mes5[[#This Row],[NETO GRAVADO]]*0.21)</f>
        <v>171.3999</v>
      </c>
      <c r="J134" s="406"/>
      <c r="K134" s="406"/>
      <c r="L134" s="406"/>
      <c r="M134" s="406"/>
      <c r="N134" s="406"/>
      <c r="O134" s="406">
        <v>12.44</v>
      </c>
      <c r="P134" s="407">
        <f>SUM(compras_mes5[[#This Row],[NETO GRAVADO]:[Otros / No Grav.]])</f>
        <v>1000.0299000000001</v>
      </c>
      <c r="Q134" s="408" t="str">
        <f>IFERROR(IF(compras_mes5[[#This Row],[CUIT]]="","-",VLOOKUP(compras_mes5[[#This Row],[CUIT]],Lista_CUIT[#All],3,0)),"CUIT NO CARGADO")</f>
        <v>Combustibe</v>
      </c>
      <c r="R134" s="408" t="str">
        <f>IFERROR(IF(compras_mes5[[#This Row],[CUIT]]="","-",VLOOKUP(compras_mes5[[#This Row],[CUIT]],Lista_CUIT[#All],4,0)),"CUIT NO CARGADO")</f>
        <v>CABA</v>
      </c>
    </row>
    <row r="135" spans="2:18" s="56" customFormat="1" ht="18.600000000000001" customHeight="1" x14ac:dyDescent="0.3">
      <c r="B135" s="399">
        <v>45065</v>
      </c>
      <c r="C135" s="400">
        <v>1</v>
      </c>
      <c r="D135" s="401">
        <v>4</v>
      </c>
      <c r="E135" s="402">
        <v>19123</v>
      </c>
      <c r="F135" s="403">
        <v>30710688180</v>
      </c>
      <c r="G135" s="404" t="str">
        <f>IFERROR(IF(compras_mes5[[#This Row],[CUIT]]="","-",VLOOKUP(compras_mes5[[#This Row],[CUIT]],Lista_CUIT[#All],2,0)),"CUIT NO CARGADO")</f>
        <v>DALTOSUR S.R.L.</v>
      </c>
      <c r="H135" s="405">
        <v>625973.69999999995</v>
      </c>
      <c r="I135" s="406">
        <f>IF(compras_mes5[[#This Row],[NETO GRAVADO]]="","",compras_mes5[[#This Row],[NETO GRAVADO]]*0.21)</f>
        <v>131454.47699999998</v>
      </c>
      <c r="J135" s="406"/>
      <c r="K135" s="406"/>
      <c r="L135" s="406"/>
      <c r="M135" s="406"/>
      <c r="N135" s="406">
        <v>37558.421999999999</v>
      </c>
      <c r="O135" s="406"/>
      <c r="P135" s="407">
        <f>SUM(compras_mes5[[#This Row],[NETO GRAVADO]:[Otros / No Grav.]])</f>
        <v>794986.59899999993</v>
      </c>
      <c r="Q135" s="408">
        <f>IFERROR(IF(compras_mes5[[#This Row],[CUIT]]="","-",VLOOKUP(compras_mes5[[#This Row],[CUIT]],Lista_CUIT[#All],3,0)),"CUIT NO CARGADO")</f>
        <v>0</v>
      </c>
      <c r="R135" s="408">
        <f>IFERROR(IF(compras_mes5[[#This Row],[CUIT]]="","-",VLOOKUP(compras_mes5[[#This Row],[CUIT]],Lista_CUIT[#All],4,0)),"CUIT NO CARGADO")</f>
        <v>0</v>
      </c>
    </row>
    <row r="136" spans="2:18" s="56" customFormat="1" ht="18.600000000000001" customHeight="1" x14ac:dyDescent="0.3">
      <c r="B136" s="399">
        <v>45065</v>
      </c>
      <c r="C136" s="400">
        <v>1</v>
      </c>
      <c r="D136" s="401">
        <v>331</v>
      </c>
      <c r="E136" s="402">
        <v>424267</v>
      </c>
      <c r="F136" s="403">
        <v>30579939008</v>
      </c>
      <c r="G136" s="404" t="str">
        <f>IFERROR(IF(compras_mes5[[#This Row],[CUIT]]="","-",VLOOKUP(compras_mes5[[#This Row],[CUIT]],Lista_CUIT[#All],2,0)),"CUIT NO CARGADO")</f>
        <v>TRANSPORTES LA SEVILLANITA SRL</v>
      </c>
      <c r="H136" s="405">
        <v>12670.49</v>
      </c>
      <c r="I136" s="406">
        <f>IF(compras_mes5[[#This Row],[NETO GRAVADO]]="","",compras_mes5[[#This Row],[NETO GRAVADO]]*0.21)</f>
        <v>2660.8028999999997</v>
      </c>
      <c r="J136" s="406"/>
      <c r="K136" s="406"/>
      <c r="L136" s="406"/>
      <c r="M136" s="406"/>
      <c r="N136" s="406"/>
      <c r="O136" s="406"/>
      <c r="P136" s="407">
        <f>SUM(compras_mes5[[#This Row],[NETO GRAVADO]:[Otros / No Grav.]])</f>
        <v>15331.2929</v>
      </c>
      <c r="Q136" s="408">
        <f>IFERROR(IF(compras_mes5[[#This Row],[CUIT]]="","-",VLOOKUP(compras_mes5[[#This Row],[CUIT]],Lista_CUIT[#All],3,0)),"CUIT NO CARGADO")</f>
        <v>0</v>
      </c>
      <c r="R136" s="408">
        <f>IFERROR(IF(compras_mes5[[#This Row],[CUIT]]="","-",VLOOKUP(compras_mes5[[#This Row],[CUIT]],Lista_CUIT[#All],4,0)),"CUIT NO CARGADO")</f>
        <v>0</v>
      </c>
    </row>
    <row r="137" spans="2:18" s="56" customFormat="1" ht="18.600000000000001" customHeight="1" x14ac:dyDescent="0.3">
      <c r="B137" s="421">
        <v>45065</v>
      </c>
      <c r="C137" s="250">
        <v>1</v>
      </c>
      <c r="D137" s="423">
        <v>113</v>
      </c>
      <c r="E137" s="424">
        <v>3189423</v>
      </c>
      <c r="F137" s="425">
        <v>30577207190</v>
      </c>
      <c r="G137" s="426" t="str">
        <f>IFERROR(IF(compras_mes5[[#This Row],[CUIT]]="","-",VLOOKUP(compras_mes5[[#This Row],[CUIT]],Lista_CUIT[#All],2,0)),"CUIT NO CARGADO")</f>
        <v>COORDINACION ECOLOGICA AREA METROPOLITANA SOCIEDAD DEL ESTADO</v>
      </c>
      <c r="H137" s="427">
        <v>1042.97</v>
      </c>
      <c r="I137" s="428">
        <f>IF(compras_mes5[[#This Row],[NETO GRAVADO]]="","",compras_mes5[[#This Row],[NETO GRAVADO]]*0.21)</f>
        <v>219.02369999999999</v>
      </c>
      <c r="J137" s="428"/>
      <c r="K137" s="428"/>
      <c r="L137" s="428"/>
      <c r="M137" s="428"/>
      <c r="N137" s="428"/>
      <c r="O137" s="428"/>
      <c r="P137" s="429">
        <f>SUM(compras_mes5[[#This Row],[NETO GRAVADO]:[Otros / No Grav.]])</f>
        <v>1261.9937</v>
      </c>
      <c r="Q137" s="430">
        <f>IFERROR(IF(compras_mes5[[#This Row],[CUIT]]="","-",VLOOKUP(compras_mes5[[#This Row],[CUIT]],Lista_CUIT[#All],3,0)),"CUIT NO CARGADO")</f>
        <v>0</v>
      </c>
      <c r="R137" s="430">
        <f>IFERROR(IF(compras_mes5[[#This Row],[CUIT]]="","-",VLOOKUP(compras_mes5[[#This Row],[CUIT]],Lista_CUIT[#All],4,0)),"CUIT NO CARGADO")</f>
        <v>0</v>
      </c>
    </row>
    <row r="138" spans="2:18" s="56" customFormat="1" ht="18.600000000000001" customHeight="1" x14ac:dyDescent="0.3">
      <c r="B138" s="399">
        <v>45066</v>
      </c>
      <c r="C138" s="400">
        <v>1</v>
      </c>
      <c r="D138" s="401">
        <v>7</v>
      </c>
      <c r="E138" s="402">
        <v>1297</v>
      </c>
      <c r="F138" s="403">
        <v>20134664518</v>
      </c>
      <c r="G138" s="404" t="str">
        <f>IFERROR(IF(compras_mes5[[#This Row],[CUIT]]="","-",VLOOKUP(compras_mes5[[#This Row],[CUIT]],Lista_CUIT[#All],2,0)),"CUIT NO CARGADO")</f>
        <v>HOKAMA SERGIO ENRIQUE</v>
      </c>
      <c r="H138" s="405">
        <v>11055.15</v>
      </c>
      <c r="I138" s="406">
        <f>IF(compras_mes5[[#This Row],[NETO GRAVADO]]="","",compras_mes5[[#This Row],[NETO GRAVADO]]*0.21)</f>
        <v>2321.5814999999998</v>
      </c>
      <c r="J138" s="406"/>
      <c r="K138" s="406"/>
      <c r="L138" s="406"/>
      <c r="M138" s="406"/>
      <c r="N138" s="406"/>
      <c r="O138" s="406"/>
      <c r="P138" s="407">
        <f>SUM(compras_mes5[[#This Row],[NETO GRAVADO]:[Otros / No Grav.]])</f>
        <v>13376.7315</v>
      </c>
      <c r="Q138" s="408" t="str">
        <f>IFERROR(IF(compras_mes5[[#This Row],[CUIT]]="","-",VLOOKUP(compras_mes5[[#This Row],[CUIT]],Lista_CUIT[#All],3,0)),"CUIT NO CARGADO")</f>
        <v>Gastos Varios</v>
      </c>
      <c r="R138" s="408" t="str">
        <f>IFERROR(IF(compras_mes5[[#This Row],[CUIT]]="","-",VLOOKUP(compras_mes5[[#This Row],[CUIT]],Lista_CUIT[#All],4,0)),"CUIT NO CARGADO")</f>
        <v>BUENOS AIRES</v>
      </c>
    </row>
    <row r="139" spans="2:18" s="56" customFormat="1" ht="18.600000000000001" customHeight="1" x14ac:dyDescent="0.3">
      <c r="B139" s="399">
        <v>45066</v>
      </c>
      <c r="C139" s="400">
        <v>1</v>
      </c>
      <c r="D139" s="401">
        <v>2</v>
      </c>
      <c r="E139" s="402">
        <v>1699</v>
      </c>
      <c r="F139" s="403">
        <v>30707254366</v>
      </c>
      <c r="G139" s="404" t="str">
        <f>IFERROR(IF(compras_mes5[[#This Row],[CUIT]]="","-",VLOOKUP(compras_mes5[[#This Row],[CUIT]],Lista_CUIT[#All],2,0)),"CUIT NO CARGADO")</f>
        <v>PUMP GEL S.R.L</v>
      </c>
      <c r="H139" s="405">
        <v>288000</v>
      </c>
      <c r="I139" s="406">
        <f>IF(compras_mes5[[#This Row],[NETO GRAVADO]]="","",compras_mes5[[#This Row],[NETO GRAVADO]]*0.21)</f>
        <v>60480</v>
      </c>
      <c r="J139" s="406"/>
      <c r="K139" s="406"/>
      <c r="L139" s="406"/>
      <c r="M139" s="406"/>
      <c r="N139" s="406"/>
      <c r="O139" s="406"/>
      <c r="P139" s="407">
        <f>SUM(compras_mes5[[#This Row],[NETO GRAVADO]:[Otros / No Grav.]])</f>
        <v>348480</v>
      </c>
      <c r="Q139" s="408">
        <f>IFERROR(IF(compras_mes5[[#This Row],[CUIT]]="","-",VLOOKUP(compras_mes5[[#This Row],[CUIT]],Lista_CUIT[#All],3,0)),"CUIT NO CARGADO")</f>
        <v>0</v>
      </c>
      <c r="R139" s="408">
        <f>IFERROR(IF(compras_mes5[[#This Row],[CUIT]]="","-",VLOOKUP(compras_mes5[[#This Row],[CUIT]],Lista_CUIT[#All],4,0)),"CUIT NO CARGADO")</f>
        <v>0</v>
      </c>
    </row>
    <row r="140" spans="2:18" s="56" customFormat="1" ht="18.600000000000001" customHeight="1" x14ac:dyDescent="0.3">
      <c r="B140" s="399">
        <v>45066</v>
      </c>
      <c r="C140" s="400">
        <v>1</v>
      </c>
      <c r="D140" s="401">
        <v>12</v>
      </c>
      <c r="E140" s="402">
        <v>24602</v>
      </c>
      <c r="F140" s="403">
        <v>30696131003</v>
      </c>
      <c r="G140" s="404" t="str">
        <f>IFERROR(IF(compras_mes5[[#This Row],[CUIT]]="","-",VLOOKUP(compras_mes5[[#This Row],[CUIT]],Lista_CUIT[#All],2,0)),"CUIT NO CARGADO")</f>
        <v>Petrolfe S.A.</v>
      </c>
      <c r="H140" s="405">
        <v>19087.330000000002</v>
      </c>
      <c r="I140" s="406">
        <f>IF(compras_mes5[[#This Row],[NETO GRAVADO]]="","",compras_mes5[[#This Row],[NETO GRAVADO]]*0.21)</f>
        <v>4008.3393000000001</v>
      </c>
      <c r="J140" s="406"/>
      <c r="K140" s="406"/>
      <c r="L140" s="406"/>
      <c r="M140" s="406"/>
      <c r="N140" s="406"/>
      <c r="O140" s="406">
        <v>3459.68</v>
      </c>
      <c r="P140" s="407">
        <f>SUM(compras_mes5[[#This Row],[NETO GRAVADO]:[Otros / No Grav.]])</f>
        <v>26555.349300000002</v>
      </c>
      <c r="Q140" s="408" t="str">
        <f>IFERROR(IF(compras_mes5[[#This Row],[CUIT]]="","-",VLOOKUP(compras_mes5[[#This Row],[CUIT]],Lista_CUIT[#All],3,0)),"CUIT NO CARGADO")</f>
        <v>Combustible</v>
      </c>
      <c r="R140" s="408">
        <f>IFERROR(IF(compras_mes5[[#This Row],[CUIT]]="","-",VLOOKUP(compras_mes5[[#This Row],[CUIT]],Lista_CUIT[#All],4,0)),"CUIT NO CARGADO")</f>
        <v>0</v>
      </c>
    </row>
    <row r="141" spans="2:18" s="56" customFormat="1" ht="18.600000000000001" customHeight="1" x14ac:dyDescent="0.3">
      <c r="B141" s="421">
        <v>45066</v>
      </c>
      <c r="C141" s="250">
        <v>1</v>
      </c>
      <c r="D141" s="423">
        <v>5014</v>
      </c>
      <c r="E141" s="424">
        <v>428275</v>
      </c>
      <c r="F141" s="425">
        <v>30574876474</v>
      </c>
      <c r="G141" s="426" t="str">
        <f>IFERROR(IF(compras_mes5[[#This Row],[CUIT]]="","-",VLOOKUP(compras_mes5[[#This Row],[CUIT]],Lista_CUIT[#All],2,0)),"CUIT NO CARGADO")</f>
        <v>AUTOPISTAS URBANAS S A</v>
      </c>
      <c r="H141" s="427">
        <v>17622.63</v>
      </c>
      <c r="I141" s="428">
        <f>IF(compras_mes5[[#This Row],[NETO GRAVADO]]="","",compras_mes5[[#This Row],[NETO GRAVADO]]*0.21)</f>
        <v>3700.7523000000001</v>
      </c>
      <c r="J141" s="428"/>
      <c r="K141" s="428"/>
      <c r="L141" s="428"/>
      <c r="M141" s="428"/>
      <c r="N141" s="428">
        <v>528.66</v>
      </c>
      <c r="O141" s="428">
        <v>1762.15</v>
      </c>
      <c r="P141" s="429">
        <f>SUM(compras_mes5[[#This Row],[NETO GRAVADO]:[Otros / No Grav.]])</f>
        <v>23614.192300000002</v>
      </c>
      <c r="Q141" s="430">
        <f>IFERROR(IF(compras_mes5[[#This Row],[CUIT]]="","-",VLOOKUP(compras_mes5[[#This Row],[CUIT]],Lista_CUIT[#All],3,0)),"CUIT NO CARGADO")</f>
        <v>0</v>
      </c>
      <c r="R141" s="430">
        <f>IFERROR(IF(compras_mes5[[#This Row],[CUIT]]="","-",VLOOKUP(compras_mes5[[#This Row],[CUIT]],Lista_CUIT[#All],4,0)),"CUIT NO CARGADO")</f>
        <v>0</v>
      </c>
    </row>
    <row r="142" spans="2:18" s="56" customFormat="1" ht="18.600000000000001" customHeight="1" x14ac:dyDescent="0.3">
      <c r="B142" s="421">
        <v>45068</v>
      </c>
      <c r="C142" s="422">
        <v>1</v>
      </c>
      <c r="D142" s="423">
        <v>10</v>
      </c>
      <c r="E142" s="424">
        <v>204</v>
      </c>
      <c r="F142" s="425">
        <v>20177984184</v>
      </c>
      <c r="G142" s="426" t="str">
        <f>IFERROR(IF(compras_mes5[[#This Row],[CUIT]]="","-",VLOOKUP(compras_mes5[[#This Row],[CUIT]],Lista_CUIT[#All],2,0)),"CUIT NO CARGADO")</f>
        <v>FERNANDEZ GABRIEL OMAR</v>
      </c>
      <c r="H142" s="427">
        <v>36858.67</v>
      </c>
      <c r="I142" s="428">
        <f>IF(compras_mes5[[#This Row],[NETO GRAVADO]]="","",compras_mes5[[#This Row],[NETO GRAVADO]]*0.21)</f>
        <v>7740.3206999999993</v>
      </c>
      <c r="J142" s="428"/>
      <c r="K142" s="428"/>
      <c r="L142" s="428"/>
      <c r="M142" s="428"/>
      <c r="N142" s="428"/>
      <c r="O142" s="428"/>
      <c r="P142" s="429">
        <f>SUM(compras_mes5[[#This Row],[NETO GRAVADO]:[Otros / No Grav.]])</f>
        <v>44598.990699999995</v>
      </c>
      <c r="Q142" s="430">
        <f>IFERROR(IF(compras_mes5[[#This Row],[CUIT]]="","-",VLOOKUP(compras_mes5[[#This Row],[CUIT]],Lista_CUIT[#All],3,0)),"CUIT NO CARGADO")</f>
        <v>0</v>
      </c>
      <c r="R142" s="430">
        <f>IFERROR(IF(compras_mes5[[#This Row],[CUIT]]="","-",VLOOKUP(compras_mes5[[#This Row],[CUIT]],Lista_CUIT[#All],4,0)),"CUIT NO CARGADO")</f>
        <v>0</v>
      </c>
    </row>
    <row r="143" spans="2:18" s="56" customFormat="1" ht="18.600000000000001" customHeight="1" x14ac:dyDescent="0.3">
      <c r="B143" s="421">
        <v>45068</v>
      </c>
      <c r="C143" s="250">
        <v>1</v>
      </c>
      <c r="D143" s="423">
        <v>8</v>
      </c>
      <c r="E143" s="424">
        <v>2047</v>
      </c>
      <c r="F143" s="425">
        <v>30712210636</v>
      </c>
      <c r="G143" s="426" t="str">
        <f>IFERROR(IF(compras_mes5[[#This Row],[CUIT]]="","-",VLOOKUP(compras_mes5[[#This Row],[CUIT]],Lista_CUIT[#All],2,0)),"CUIT NO CARGADO")</f>
        <v>BARRERA RICARDO DARIO Y HUBY GANOZA JIMMY  SOCIEDAD DE HECHO</v>
      </c>
      <c r="H143" s="427">
        <v>1983.43</v>
      </c>
      <c r="I143" s="428">
        <f>IF(compras_mes5[[#This Row],[NETO GRAVADO]]="","",compras_mes5[[#This Row],[NETO GRAVADO]]*0.21)</f>
        <v>416.52030000000002</v>
      </c>
      <c r="J143" s="428"/>
      <c r="K143" s="428"/>
      <c r="L143" s="428"/>
      <c r="M143" s="428"/>
      <c r="N143" s="428"/>
      <c r="O143" s="428"/>
      <c r="P143" s="429">
        <f>SUM(compras_mes5[[#This Row],[NETO GRAVADO]:[Otros / No Grav.]])</f>
        <v>2399.9503</v>
      </c>
      <c r="Q143" s="430">
        <f>IFERROR(IF(compras_mes5[[#This Row],[CUIT]]="","-",VLOOKUP(compras_mes5[[#This Row],[CUIT]],Lista_CUIT[#All],3,0)),"CUIT NO CARGADO")</f>
        <v>0</v>
      </c>
      <c r="R143" s="430">
        <f>IFERROR(IF(compras_mes5[[#This Row],[CUIT]]="","-",VLOOKUP(compras_mes5[[#This Row],[CUIT]],Lista_CUIT[#All],4,0)),"CUIT NO CARGADO")</f>
        <v>0</v>
      </c>
    </row>
    <row r="144" spans="2:18" s="56" customFormat="1" ht="18.600000000000001" customHeight="1" x14ac:dyDescent="0.3">
      <c r="B144" s="421">
        <v>45068</v>
      </c>
      <c r="C144" s="250">
        <v>1</v>
      </c>
      <c r="D144" s="423">
        <v>10</v>
      </c>
      <c r="E144" s="424">
        <v>2222</v>
      </c>
      <c r="F144" s="425">
        <v>30715510002</v>
      </c>
      <c r="G144" s="426" t="str">
        <f>IFERROR(IF(compras_mes5[[#This Row],[CUIT]]="","-",VLOOKUP(compras_mes5[[#This Row],[CUIT]],Lista_CUIT[#All],2,0)),"CUIT NO CARGADO")</f>
        <v>BAMBU SALUDABLE S.R.L.</v>
      </c>
      <c r="H144" s="427">
        <v>15617.38</v>
      </c>
      <c r="I144" s="428">
        <f>IF(compras_mes5[[#This Row],[NETO GRAVADO]]="","",compras_mes5[[#This Row],[NETO GRAVADO]]*0.21)</f>
        <v>3279.6497999999997</v>
      </c>
      <c r="J144" s="428"/>
      <c r="K144" s="428"/>
      <c r="L144" s="428"/>
      <c r="M144" s="428"/>
      <c r="N144" s="428"/>
      <c r="O144" s="428"/>
      <c r="P144" s="429">
        <f>SUM(compras_mes5[[#This Row],[NETO GRAVADO]:[Otros / No Grav.]])</f>
        <v>18897.0298</v>
      </c>
      <c r="Q144" s="430">
        <f>IFERROR(IF(compras_mes5[[#This Row],[CUIT]]="","-",VLOOKUP(compras_mes5[[#This Row],[CUIT]],Lista_CUIT[#All],3,0)),"CUIT NO CARGADO")</f>
        <v>0</v>
      </c>
      <c r="R144" s="430">
        <f>IFERROR(IF(compras_mes5[[#This Row],[CUIT]]="","-",VLOOKUP(compras_mes5[[#This Row],[CUIT]],Lista_CUIT[#All],4,0)),"CUIT NO CARGADO")</f>
        <v>0</v>
      </c>
    </row>
    <row r="145" spans="2:18" s="56" customFormat="1" ht="18.600000000000001" customHeight="1" x14ac:dyDescent="0.3">
      <c r="B145" s="421">
        <v>45068</v>
      </c>
      <c r="C145" s="250">
        <v>1</v>
      </c>
      <c r="D145" s="423">
        <v>10</v>
      </c>
      <c r="E145" s="424">
        <v>2223</v>
      </c>
      <c r="F145" s="425">
        <v>30715510002</v>
      </c>
      <c r="G145" s="426" t="str">
        <f>IFERROR(IF(compras_mes5[[#This Row],[CUIT]]="","-",VLOOKUP(compras_mes5[[#This Row],[CUIT]],Lista_CUIT[#All],2,0)),"CUIT NO CARGADO")</f>
        <v>BAMBU SALUDABLE S.R.L.</v>
      </c>
      <c r="H145" s="427">
        <v>10411.57</v>
      </c>
      <c r="I145" s="428">
        <f>IF(compras_mes5[[#This Row],[NETO GRAVADO]]="","",compras_mes5[[#This Row],[NETO GRAVADO]]*0.21)</f>
        <v>2186.4296999999997</v>
      </c>
      <c r="J145" s="428"/>
      <c r="K145" s="428"/>
      <c r="L145" s="428"/>
      <c r="M145" s="428"/>
      <c r="N145" s="428"/>
      <c r="O145" s="428"/>
      <c r="P145" s="429">
        <f>SUM(compras_mes5[[#This Row],[NETO GRAVADO]:[Otros / No Grav.]])</f>
        <v>12597.9997</v>
      </c>
      <c r="Q145" s="430">
        <f>IFERROR(IF(compras_mes5[[#This Row],[CUIT]]="","-",VLOOKUP(compras_mes5[[#This Row],[CUIT]],Lista_CUIT[#All],3,0)),"CUIT NO CARGADO")</f>
        <v>0</v>
      </c>
      <c r="R145" s="430">
        <f>IFERROR(IF(compras_mes5[[#This Row],[CUIT]]="","-",VLOOKUP(compras_mes5[[#This Row],[CUIT]],Lista_CUIT[#All],4,0)),"CUIT NO CARGADO")</f>
        <v>0</v>
      </c>
    </row>
    <row r="146" spans="2:18" s="56" customFormat="1" ht="18.600000000000001" customHeight="1" x14ac:dyDescent="0.3">
      <c r="B146" s="399">
        <v>45068</v>
      </c>
      <c r="C146" s="400">
        <v>1</v>
      </c>
      <c r="D146" s="401">
        <v>6</v>
      </c>
      <c r="E146" s="402">
        <v>2600</v>
      </c>
      <c r="F146" s="403">
        <v>30574603788</v>
      </c>
      <c r="G146" s="404" t="str">
        <f>IFERROR(IF(compras_mes5[[#This Row],[CUIT]]="","-",VLOOKUP(compras_mes5[[#This Row],[CUIT]],Lista_CUIT[#All],2,0)),"CUIT NO CARGADO")</f>
        <v>CODAC SRL</v>
      </c>
      <c r="H146" s="405">
        <v>115752</v>
      </c>
      <c r="I146" s="406">
        <f>IF(compras_mes5[[#This Row],[NETO GRAVADO]]="","",compras_mes5[[#This Row],[NETO GRAVADO]]*0.21)</f>
        <v>24307.919999999998</v>
      </c>
      <c r="J146" s="406"/>
      <c r="K146" s="406"/>
      <c r="L146" s="406"/>
      <c r="M146" s="406"/>
      <c r="N146" s="406"/>
      <c r="O146" s="406"/>
      <c r="P146" s="407">
        <f>SUM(compras_mes5[[#This Row],[NETO GRAVADO]:[Otros / No Grav.]])</f>
        <v>140059.91999999998</v>
      </c>
      <c r="Q146" s="408" t="str">
        <f>IFERROR(IF(compras_mes5[[#This Row],[CUIT]]="","-",VLOOKUP(compras_mes5[[#This Row],[CUIT]],Lista_CUIT[#All],3,0)),"CUIT NO CARGADO")</f>
        <v>GASTOS COSMETICA</v>
      </c>
      <c r="R146" s="408" t="str">
        <f>IFERROR(IF(compras_mes5[[#This Row],[CUIT]]="","-",VLOOKUP(compras_mes5[[#This Row],[CUIT]],Lista_CUIT[#All],4,0)),"CUIT NO CARGADO")</f>
        <v>BUENOS AIRES</v>
      </c>
    </row>
    <row r="147" spans="2:18" s="56" customFormat="1" ht="18.600000000000001" customHeight="1" x14ac:dyDescent="0.3">
      <c r="B147" s="399">
        <v>45068</v>
      </c>
      <c r="C147" s="400">
        <v>1</v>
      </c>
      <c r="D147" s="401">
        <v>6</v>
      </c>
      <c r="E147" s="402">
        <v>3362</v>
      </c>
      <c r="F147" s="403">
        <v>20134664518</v>
      </c>
      <c r="G147" s="404" t="str">
        <f>IFERROR(IF(compras_mes5[[#This Row],[CUIT]]="","-",VLOOKUP(compras_mes5[[#This Row],[CUIT]],Lista_CUIT[#All],2,0)),"CUIT NO CARGADO")</f>
        <v>HOKAMA SERGIO ENRIQUE</v>
      </c>
      <c r="H147" s="405">
        <v>3499.17</v>
      </c>
      <c r="I147" s="406">
        <f>IF(compras_mes5[[#This Row],[NETO GRAVADO]]="","",compras_mes5[[#This Row],[NETO GRAVADO]]*0.21)</f>
        <v>734.82569999999998</v>
      </c>
      <c r="J147" s="406"/>
      <c r="K147" s="406"/>
      <c r="L147" s="406"/>
      <c r="M147" s="406"/>
      <c r="N147" s="406"/>
      <c r="O147" s="406"/>
      <c r="P147" s="407">
        <f>SUM(compras_mes5[[#This Row],[NETO GRAVADO]:[Otros / No Grav.]])</f>
        <v>4233.9957000000004</v>
      </c>
      <c r="Q147" s="408" t="str">
        <f>IFERROR(IF(compras_mes5[[#This Row],[CUIT]]="","-",VLOOKUP(compras_mes5[[#This Row],[CUIT]],Lista_CUIT[#All],3,0)),"CUIT NO CARGADO")</f>
        <v>Gastos Varios</v>
      </c>
      <c r="R147" s="408" t="str">
        <f>IFERROR(IF(compras_mes5[[#This Row],[CUIT]]="","-",VLOOKUP(compras_mes5[[#This Row],[CUIT]],Lista_CUIT[#All],4,0)),"CUIT NO CARGADO")</f>
        <v>BUENOS AIRES</v>
      </c>
    </row>
    <row r="148" spans="2:18" s="56" customFormat="1" ht="18.600000000000001" customHeight="1" x14ac:dyDescent="0.3">
      <c r="B148" s="399">
        <v>45068</v>
      </c>
      <c r="C148" s="400">
        <v>1</v>
      </c>
      <c r="D148" s="401">
        <v>6</v>
      </c>
      <c r="E148" s="402">
        <v>8776</v>
      </c>
      <c r="F148" s="403">
        <v>30707603123</v>
      </c>
      <c r="G148" s="404" t="str">
        <f>IFERROR(IF(compras_mes5[[#This Row],[CUIT]]="","-",VLOOKUP(compras_mes5[[#This Row],[CUIT]],Lista_CUIT[#All],2,0)),"CUIT NO CARGADO")</f>
        <v>BI-ORIENT S.A.</v>
      </c>
      <c r="H148" s="405">
        <v>273600</v>
      </c>
      <c r="I148" s="406">
        <f>IF(compras_mes5[[#This Row],[NETO GRAVADO]]="","",compras_mes5[[#This Row],[NETO GRAVADO]]*0.21)</f>
        <v>57456</v>
      </c>
      <c r="J148" s="406"/>
      <c r="K148" s="406"/>
      <c r="L148" s="406"/>
      <c r="M148" s="406"/>
      <c r="N148" s="406"/>
      <c r="O148" s="406"/>
      <c r="P148" s="407">
        <f>SUM(compras_mes5[[#This Row],[NETO GRAVADO]:[Otros / No Grav.]])</f>
        <v>331056</v>
      </c>
      <c r="Q148" s="408">
        <f>IFERROR(IF(compras_mes5[[#This Row],[CUIT]]="","-",VLOOKUP(compras_mes5[[#This Row],[CUIT]],Lista_CUIT[#All],3,0)),"CUIT NO CARGADO")</f>
        <v>0</v>
      </c>
      <c r="R148" s="408">
        <f>IFERROR(IF(compras_mes5[[#This Row],[CUIT]]="","-",VLOOKUP(compras_mes5[[#This Row],[CUIT]],Lista_CUIT[#All],4,0)),"CUIT NO CARGADO")</f>
        <v>0</v>
      </c>
    </row>
    <row r="149" spans="2:18" s="56" customFormat="1" ht="18.600000000000001" customHeight="1" x14ac:dyDescent="0.3">
      <c r="B149" s="399">
        <v>45068</v>
      </c>
      <c r="C149" s="400">
        <v>1</v>
      </c>
      <c r="D149" s="401">
        <v>20</v>
      </c>
      <c r="E149" s="402">
        <v>8795</v>
      </c>
      <c r="F149" s="403">
        <v>30515800219</v>
      </c>
      <c r="G149" s="404" t="str">
        <f>IFERROR(IF(compras_mes5[[#This Row],[CUIT]]="","-",VLOOKUP(compras_mes5[[#This Row],[CUIT]],Lista_CUIT[#All],2,0)),"CUIT NO CARGADO")</f>
        <v>INCAT SRL</v>
      </c>
      <c r="H149" s="405">
        <v>816.19</v>
      </c>
      <c r="I149" s="406">
        <f>IF(compras_mes5[[#This Row],[NETO GRAVADO]]="","",compras_mes5[[#This Row],[NETO GRAVADO]]*0.21)</f>
        <v>171.3999</v>
      </c>
      <c r="J149" s="406"/>
      <c r="K149" s="406"/>
      <c r="L149" s="406"/>
      <c r="M149" s="406"/>
      <c r="N149" s="406"/>
      <c r="O149" s="406">
        <v>12.44</v>
      </c>
      <c r="P149" s="407">
        <f>SUM(compras_mes5[[#This Row],[NETO GRAVADO]:[Otros / No Grav.]])</f>
        <v>1000.0299000000001</v>
      </c>
      <c r="Q149" s="408" t="str">
        <f>IFERROR(IF(compras_mes5[[#This Row],[CUIT]]="","-",VLOOKUP(compras_mes5[[#This Row],[CUIT]],Lista_CUIT[#All],3,0)),"CUIT NO CARGADO")</f>
        <v>Combustibe</v>
      </c>
      <c r="R149" s="408" t="str">
        <f>IFERROR(IF(compras_mes5[[#This Row],[CUIT]]="","-",VLOOKUP(compras_mes5[[#This Row],[CUIT]],Lista_CUIT[#All],4,0)),"CUIT NO CARGADO")</f>
        <v>CABA</v>
      </c>
    </row>
    <row r="150" spans="2:18" s="56" customFormat="1" ht="18.600000000000001" customHeight="1" x14ac:dyDescent="0.3">
      <c r="B150" s="399">
        <v>45068</v>
      </c>
      <c r="C150" s="400">
        <v>1</v>
      </c>
      <c r="D150" s="401">
        <v>5</v>
      </c>
      <c r="E150" s="402">
        <v>2775393</v>
      </c>
      <c r="F150" s="403">
        <v>30702652975</v>
      </c>
      <c r="G150" s="404" t="str">
        <f>IFERROR(IF(compras_mes5[[#This Row],[CUIT]]="","-",VLOOKUP(compras_mes5[[#This Row],[CUIT]],Lista_CUIT[#All],2,0)),"CUIT NO CARGADO")</f>
        <v>NSS SA</v>
      </c>
      <c r="H150" s="405">
        <v>6558.7</v>
      </c>
      <c r="I150" s="406">
        <f>IF(compras_mes5[[#This Row],[NETO GRAVADO]]="","",compras_mes5[[#This Row],[NETO GRAVADO]]*0.21)</f>
        <v>1377.327</v>
      </c>
      <c r="J150" s="406"/>
      <c r="K150" s="406"/>
      <c r="L150" s="406"/>
      <c r="M150" s="406"/>
      <c r="N150" s="406">
        <v>393.52</v>
      </c>
      <c r="O150" s="406"/>
      <c r="P150" s="407">
        <f>SUM(compras_mes5[[#This Row],[NETO GRAVADO]:[Otros / No Grav.]])</f>
        <v>8329.5470000000005</v>
      </c>
      <c r="Q150" s="408" t="str">
        <f>IFERROR(IF(compras_mes5[[#This Row],[CUIT]]="","-",VLOOKUP(compras_mes5[[#This Row],[CUIT]],Lista_CUIT[#All],3,0)),"CUIT NO CARGADO")</f>
        <v>Servicios Gas, Luz, etc.</v>
      </c>
      <c r="R150" s="408">
        <f>IFERROR(IF(compras_mes5[[#This Row],[CUIT]]="","-",VLOOKUP(compras_mes5[[#This Row],[CUIT]],Lista_CUIT[#All],4,0)),"CUIT NO CARGADO")</f>
        <v>0</v>
      </c>
    </row>
    <row r="151" spans="2:18" s="56" customFormat="1" ht="18.600000000000001" customHeight="1" x14ac:dyDescent="0.3">
      <c r="B151" s="399">
        <v>45069</v>
      </c>
      <c r="C151" s="400">
        <v>1</v>
      </c>
      <c r="D151" s="401">
        <v>5</v>
      </c>
      <c r="E151" s="402">
        <v>4440</v>
      </c>
      <c r="F151" s="403">
        <v>23221796969</v>
      </c>
      <c r="G151" s="404" t="str">
        <f>IFERROR(IF(compras_mes5[[#This Row],[CUIT]]="","-",VLOOKUP(compras_mes5[[#This Row],[CUIT]],Lista_CUIT[#All],2,0)),"CUIT NO CARGADO")</f>
        <v>SCOZZAFAVA FERNANDO ANTONIO</v>
      </c>
      <c r="H151" s="405">
        <v>16115.7</v>
      </c>
      <c r="I151" s="406">
        <f>IF(compras_mes5[[#This Row],[NETO GRAVADO]]="","",compras_mes5[[#This Row],[NETO GRAVADO]]*0.21)</f>
        <v>3384.297</v>
      </c>
      <c r="J151" s="406"/>
      <c r="K151" s="406"/>
      <c r="L151" s="406"/>
      <c r="M151" s="406"/>
      <c r="N151" s="406"/>
      <c r="O151" s="406"/>
      <c r="P151" s="407">
        <f>SUM(compras_mes5[[#This Row],[NETO GRAVADO]:[Otros / No Grav.]])</f>
        <v>19499.996999999999</v>
      </c>
      <c r="Q151" s="408">
        <f>IFERROR(IF(compras_mes5[[#This Row],[CUIT]]="","-",VLOOKUP(compras_mes5[[#This Row],[CUIT]],Lista_CUIT[#All],3,0)),"CUIT NO CARGADO")</f>
        <v>0</v>
      </c>
      <c r="R151" s="408">
        <f>IFERROR(IF(compras_mes5[[#This Row],[CUIT]]="","-",VLOOKUP(compras_mes5[[#This Row],[CUIT]],Lista_CUIT[#All],4,0)),"CUIT NO CARGADO")</f>
        <v>0</v>
      </c>
    </row>
    <row r="152" spans="2:18" s="56" customFormat="1" ht="18.600000000000001" customHeight="1" x14ac:dyDescent="0.3">
      <c r="B152" s="399">
        <v>45069</v>
      </c>
      <c r="C152" s="400">
        <v>1</v>
      </c>
      <c r="D152" s="401">
        <v>20</v>
      </c>
      <c r="E152" s="402">
        <v>8816</v>
      </c>
      <c r="F152" s="403">
        <v>30515800219</v>
      </c>
      <c r="G152" s="404" t="str">
        <f>IFERROR(IF(compras_mes5[[#This Row],[CUIT]]="","-",VLOOKUP(compras_mes5[[#This Row],[CUIT]],Lista_CUIT[#All],2,0)),"CUIT NO CARGADO")</f>
        <v>INCAT SRL</v>
      </c>
      <c r="H152" s="405">
        <v>816.19</v>
      </c>
      <c r="I152" s="406">
        <f>IF(compras_mes5[[#This Row],[NETO GRAVADO]]="","",compras_mes5[[#This Row],[NETO GRAVADO]]*0.21)</f>
        <v>171.3999</v>
      </c>
      <c r="J152" s="406"/>
      <c r="K152" s="406"/>
      <c r="L152" s="406"/>
      <c r="M152" s="406"/>
      <c r="N152" s="406"/>
      <c r="O152" s="406">
        <v>12.44</v>
      </c>
      <c r="P152" s="407">
        <f>SUM(compras_mes5[[#This Row],[NETO GRAVADO]:[Otros / No Grav.]])</f>
        <v>1000.0299000000001</v>
      </c>
      <c r="Q152" s="408" t="str">
        <f>IFERROR(IF(compras_mes5[[#This Row],[CUIT]]="","-",VLOOKUP(compras_mes5[[#This Row],[CUIT]],Lista_CUIT[#All],3,0)),"CUIT NO CARGADO")</f>
        <v>Combustibe</v>
      </c>
      <c r="R152" s="408" t="str">
        <f>IFERROR(IF(compras_mes5[[#This Row],[CUIT]]="","-",VLOOKUP(compras_mes5[[#This Row],[CUIT]],Lista_CUIT[#All],4,0)),"CUIT NO CARGADO")</f>
        <v>CABA</v>
      </c>
    </row>
    <row r="153" spans="2:18" s="56" customFormat="1" ht="18.600000000000001" customHeight="1" x14ac:dyDescent="0.3">
      <c r="B153" s="399">
        <v>45069</v>
      </c>
      <c r="C153" s="400">
        <v>1</v>
      </c>
      <c r="D153" s="401">
        <v>23</v>
      </c>
      <c r="E153" s="402">
        <v>12590</v>
      </c>
      <c r="F153" s="403">
        <v>30515800219</v>
      </c>
      <c r="G153" s="404" t="str">
        <f>IFERROR(IF(compras_mes5[[#This Row],[CUIT]]="","-",VLOOKUP(compras_mes5[[#This Row],[CUIT]],Lista_CUIT[#All],2,0)),"CUIT NO CARGADO")</f>
        <v>INCAT SRL</v>
      </c>
      <c r="H153" s="405">
        <v>4874.21</v>
      </c>
      <c r="I153" s="406">
        <f>IF(compras_mes5[[#This Row],[NETO GRAVADO]]="","",compras_mes5[[#This Row],[NETO GRAVADO]]*0.21)</f>
        <v>1023.5840999999999</v>
      </c>
      <c r="J153" s="406"/>
      <c r="K153" s="406"/>
      <c r="L153" s="406"/>
      <c r="M153" s="406"/>
      <c r="N153" s="406"/>
      <c r="O153" s="406">
        <v>902.31</v>
      </c>
      <c r="P153" s="407">
        <f>SUM(compras_mes5[[#This Row],[NETO GRAVADO]:[Otros / No Grav.]])</f>
        <v>6800.1041000000005</v>
      </c>
      <c r="Q153" s="408" t="str">
        <f>IFERROR(IF(compras_mes5[[#This Row],[CUIT]]="","-",VLOOKUP(compras_mes5[[#This Row],[CUIT]],Lista_CUIT[#All],3,0)),"CUIT NO CARGADO")</f>
        <v>Combustibe</v>
      </c>
      <c r="R153" s="408" t="str">
        <f>IFERROR(IF(compras_mes5[[#This Row],[CUIT]]="","-",VLOOKUP(compras_mes5[[#This Row],[CUIT]],Lista_CUIT[#All],4,0)),"CUIT NO CARGADO")</f>
        <v>CABA</v>
      </c>
    </row>
    <row r="154" spans="2:18" s="56" customFormat="1" ht="18.600000000000001" customHeight="1" x14ac:dyDescent="0.3">
      <c r="B154" s="399">
        <v>45069</v>
      </c>
      <c r="C154" s="400">
        <v>1</v>
      </c>
      <c r="D154" s="401">
        <v>4</v>
      </c>
      <c r="E154" s="402">
        <v>42511</v>
      </c>
      <c r="F154" s="403">
        <v>30709863076</v>
      </c>
      <c r="G154" s="404" t="str">
        <f>IFERROR(IF(compras_mes5[[#This Row],[CUIT]]="","-",VLOOKUP(compras_mes5[[#This Row],[CUIT]],Lista_CUIT[#All],2,0)),"CUIT NO CARGADO")</f>
        <v>INDUSTRIAS PLASTICOS SALTA S.R.L.</v>
      </c>
      <c r="H154" s="405">
        <v>304357.5</v>
      </c>
      <c r="I154" s="406">
        <f>IF(compras_mes5[[#This Row],[NETO GRAVADO]]="","",compras_mes5[[#This Row],[NETO GRAVADO]]*0.21)</f>
        <v>63915.074999999997</v>
      </c>
      <c r="J154" s="406"/>
      <c r="K154" s="406"/>
      <c r="L154" s="406"/>
      <c r="M154" s="406"/>
      <c r="N154" s="406"/>
      <c r="O154" s="406"/>
      <c r="P154" s="407">
        <f>SUM(compras_mes5[[#This Row],[NETO GRAVADO]:[Otros / No Grav.]])</f>
        <v>368272.57500000001</v>
      </c>
      <c r="Q154" s="408">
        <f>IFERROR(IF(compras_mes5[[#This Row],[CUIT]]="","-",VLOOKUP(compras_mes5[[#This Row],[CUIT]],Lista_CUIT[#All],3,0)),"CUIT NO CARGADO")</f>
        <v>0</v>
      </c>
      <c r="R154" s="408">
        <f>IFERROR(IF(compras_mes5[[#This Row],[CUIT]]="","-",VLOOKUP(compras_mes5[[#This Row],[CUIT]],Lista_CUIT[#All],4,0)),"CUIT NO CARGADO")</f>
        <v>0</v>
      </c>
    </row>
    <row r="155" spans="2:18" s="56" customFormat="1" ht="18.600000000000001" customHeight="1" x14ac:dyDescent="0.3">
      <c r="B155" s="399">
        <v>45069</v>
      </c>
      <c r="C155" s="400">
        <v>1</v>
      </c>
      <c r="D155" s="401">
        <v>2188</v>
      </c>
      <c r="E155" s="402">
        <v>90443</v>
      </c>
      <c r="F155" s="403">
        <v>30548083156</v>
      </c>
      <c r="G155" s="404" t="str">
        <f>IFERROR(IF(compras_mes5[[#This Row],[CUIT]]="","-",VLOOKUP(compras_mes5[[#This Row],[CUIT]],Lista_CUIT[#All],2,0)),"CUIT NO CARGADO")</f>
        <v>COTO CENTRO INTEGRAL DE COMERCIALIZACION SOCIEDAD ANONIMA</v>
      </c>
      <c r="H155" s="405">
        <v>15161.23</v>
      </c>
      <c r="I155" s="406">
        <v>2217.91</v>
      </c>
      <c r="J155" s="406"/>
      <c r="K155" s="406">
        <v>482.97</v>
      </c>
      <c r="L155" s="406">
        <v>316.83999999999997</v>
      </c>
      <c r="M155" s="406">
        <v>69</v>
      </c>
      <c r="N155" s="406">
        <v>704.23</v>
      </c>
      <c r="O155" s="406"/>
      <c r="P155" s="407">
        <f>SUM(compras_mes5[[#This Row],[NETO GRAVADO]:[Otros / No Grav.]])</f>
        <v>18952.18</v>
      </c>
      <c r="Q155" s="408" t="str">
        <f>IFERROR(IF(compras_mes5[[#This Row],[CUIT]]="","-",VLOOKUP(compras_mes5[[#This Row],[CUIT]],Lista_CUIT[#All],3,0)),"CUIT NO CARGADO")</f>
        <v>GASTOS COMERCIALES</v>
      </c>
      <c r="R155" s="408">
        <f>IFERROR(IF(compras_mes5[[#This Row],[CUIT]]="","-",VLOOKUP(compras_mes5[[#This Row],[CUIT]],Lista_CUIT[#All],4,0)),"CUIT NO CARGADO")</f>
        <v>0</v>
      </c>
    </row>
    <row r="156" spans="2:18" s="56" customFormat="1" ht="18.600000000000001" customHeight="1" x14ac:dyDescent="0.3">
      <c r="B156" s="399">
        <v>45069</v>
      </c>
      <c r="C156" s="400">
        <v>1</v>
      </c>
      <c r="D156" s="401">
        <v>2188</v>
      </c>
      <c r="E156" s="402">
        <v>90444</v>
      </c>
      <c r="F156" s="403">
        <v>30548083156</v>
      </c>
      <c r="G156" s="404" t="str">
        <f>IFERROR(IF(compras_mes5[[#This Row],[CUIT]]="","-",VLOOKUP(compras_mes5[[#This Row],[CUIT]],Lista_CUIT[#All],2,0)),"CUIT NO CARGADO")</f>
        <v>COTO CENTRO INTEGRAL DE COMERCIALIZACION SOCIEDAD ANONIMA</v>
      </c>
      <c r="H156" s="405">
        <v>17485.18</v>
      </c>
      <c r="I156" s="406">
        <f>IF(compras_mes5[[#This Row],[NETO GRAVADO]]="","",compras_mes5[[#This Row],[NETO GRAVADO]]*0.21)</f>
        <v>3671.8878</v>
      </c>
      <c r="J156" s="406"/>
      <c r="K156" s="406"/>
      <c r="L156" s="406">
        <v>524.55999999999995</v>
      </c>
      <c r="M156" s="406"/>
      <c r="N156" s="406">
        <v>1049.1099999999999</v>
      </c>
      <c r="O156" s="406"/>
      <c r="P156" s="407">
        <f>SUM(compras_mes5[[#This Row],[NETO GRAVADO]:[Otros / No Grav.]])</f>
        <v>22730.737800000003</v>
      </c>
      <c r="Q156" s="408" t="str">
        <f>IFERROR(IF(compras_mes5[[#This Row],[CUIT]]="","-",VLOOKUP(compras_mes5[[#This Row],[CUIT]],Lista_CUIT[#All],3,0)),"CUIT NO CARGADO")</f>
        <v>GASTOS COMERCIALES</v>
      </c>
      <c r="R156" s="408">
        <f>IFERROR(IF(compras_mes5[[#This Row],[CUIT]]="","-",VLOOKUP(compras_mes5[[#This Row],[CUIT]],Lista_CUIT[#All],4,0)),"CUIT NO CARGADO")</f>
        <v>0</v>
      </c>
    </row>
    <row r="157" spans="2:18" s="56" customFormat="1" ht="18.600000000000001" customHeight="1" x14ac:dyDescent="0.3">
      <c r="B157" s="421">
        <v>45070</v>
      </c>
      <c r="C157" s="422">
        <v>3</v>
      </c>
      <c r="D157" s="423">
        <v>27</v>
      </c>
      <c r="E157" s="424">
        <v>15</v>
      </c>
      <c r="F157" s="425">
        <v>30710457502</v>
      </c>
      <c r="G157" s="426" t="str">
        <f>IFERROR(IF(compras_mes5[[#This Row],[CUIT]]="","-",VLOOKUP(compras_mes5[[#This Row],[CUIT]],Lista_CUIT[#All],2,0)),"CUIT NO CARGADO")</f>
        <v>REAL COLOR SRL</v>
      </c>
      <c r="H157" s="427">
        <v>-4247.93</v>
      </c>
      <c r="I157" s="428">
        <f>IF(compras_mes5[[#This Row],[NETO GRAVADO]]="","",compras_mes5[[#This Row],[NETO GRAVADO]]*0.21)</f>
        <v>-892.06529999999998</v>
      </c>
      <c r="J157" s="428"/>
      <c r="K157" s="428"/>
      <c r="L157" s="428"/>
      <c r="M157" s="428"/>
      <c r="N157" s="428">
        <v>-254.88</v>
      </c>
      <c r="O157" s="428"/>
      <c r="P157" s="429">
        <f>SUM(compras_mes5[[#This Row],[NETO GRAVADO]:[Otros / No Grav.]])</f>
        <v>-5394.8753000000006</v>
      </c>
      <c r="Q157" s="430">
        <f>IFERROR(IF(compras_mes5[[#This Row],[CUIT]]="","-",VLOOKUP(compras_mes5[[#This Row],[CUIT]],Lista_CUIT[#All],3,0)),"CUIT NO CARGADO")</f>
        <v>0</v>
      </c>
      <c r="R157" s="430">
        <f>IFERROR(IF(compras_mes5[[#This Row],[CUIT]]="","-",VLOOKUP(compras_mes5[[#This Row],[CUIT]],Lista_CUIT[#All],4,0)),"CUIT NO CARGADO")</f>
        <v>0</v>
      </c>
    </row>
    <row r="158" spans="2:18" s="56" customFormat="1" ht="18.600000000000001" customHeight="1" x14ac:dyDescent="0.3">
      <c r="B158" s="421">
        <v>45070</v>
      </c>
      <c r="C158" s="250">
        <v>1</v>
      </c>
      <c r="D158" s="423">
        <v>27</v>
      </c>
      <c r="E158" s="424">
        <v>595</v>
      </c>
      <c r="F158" s="425">
        <v>30710457502</v>
      </c>
      <c r="G158" s="426" t="str">
        <f>IFERROR(IF(compras_mes5[[#This Row],[CUIT]]="","-",VLOOKUP(compras_mes5[[#This Row],[CUIT]],Lista_CUIT[#All],2,0)),"CUIT NO CARGADO")</f>
        <v>REAL COLOR SRL</v>
      </c>
      <c r="H158" s="427">
        <v>4247.93</v>
      </c>
      <c r="I158" s="428">
        <f>IF(compras_mes5[[#This Row],[NETO GRAVADO]]="","",compras_mes5[[#This Row],[NETO GRAVADO]]*0.21)</f>
        <v>892.06529999999998</v>
      </c>
      <c r="J158" s="428"/>
      <c r="K158" s="428"/>
      <c r="L158" s="428"/>
      <c r="M158" s="428"/>
      <c r="N158" s="428">
        <v>254.88</v>
      </c>
      <c r="O158" s="428"/>
      <c r="P158" s="429">
        <f>SUM(compras_mes5[[#This Row],[NETO GRAVADO]:[Otros / No Grav.]])</f>
        <v>5394.8753000000006</v>
      </c>
      <c r="Q158" s="430">
        <f>IFERROR(IF(compras_mes5[[#This Row],[CUIT]]="","-",VLOOKUP(compras_mes5[[#This Row],[CUIT]],Lista_CUIT[#All],3,0)),"CUIT NO CARGADO")</f>
        <v>0</v>
      </c>
      <c r="R158" s="430">
        <f>IFERROR(IF(compras_mes5[[#This Row],[CUIT]]="","-",VLOOKUP(compras_mes5[[#This Row],[CUIT]],Lista_CUIT[#All],4,0)),"CUIT NO CARGADO")</f>
        <v>0</v>
      </c>
    </row>
    <row r="159" spans="2:18" s="56" customFormat="1" ht="18.600000000000001" customHeight="1" x14ac:dyDescent="0.3">
      <c r="B159" s="445">
        <v>45070</v>
      </c>
      <c r="C159" s="154">
        <v>1</v>
      </c>
      <c r="D159" s="446">
        <v>27</v>
      </c>
      <c r="E159" s="447">
        <v>596</v>
      </c>
      <c r="F159" s="448">
        <v>30710457502</v>
      </c>
      <c r="G159" s="449" t="str">
        <f>IFERROR(IF(compras_mes5[[#This Row],[CUIT]]="","-",VLOOKUP(compras_mes5[[#This Row],[CUIT]],Lista_CUIT[#All],2,0)),"CUIT NO CARGADO")</f>
        <v>REAL COLOR SRL</v>
      </c>
      <c r="H159" s="450">
        <v>4247.7</v>
      </c>
      <c r="I159" s="451">
        <f>IF(compras_mes5[[#This Row],[NETO GRAVADO]]="","",compras_mes5[[#This Row],[NETO GRAVADO]]*0.21)</f>
        <v>892.01699999999994</v>
      </c>
      <c r="J159" s="451"/>
      <c r="K159" s="451"/>
      <c r="L159" s="451"/>
      <c r="M159" s="451"/>
      <c r="N159" s="451">
        <v>254.88</v>
      </c>
      <c r="O159" s="451"/>
      <c r="P159" s="407">
        <f>SUM(compras_mes5[[#This Row],[NETO GRAVADO]:[Otros / No Grav.]])</f>
        <v>5394.5969999999998</v>
      </c>
      <c r="Q159" s="452">
        <f>IFERROR(IF(compras_mes5[[#This Row],[CUIT]]="","-",VLOOKUP(compras_mes5[[#This Row],[CUIT]],Lista_CUIT[#All],3,0)),"CUIT NO CARGADO")</f>
        <v>0</v>
      </c>
      <c r="R159" s="452">
        <f>IFERROR(IF(compras_mes5[[#This Row],[CUIT]]="","-",VLOOKUP(compras_mes5[[#This Row],[CUIT]],Lista_CUIT[#All],4,0)),"CUIT NO CARGADO")</f>
        <v>0</v>
      </c>
    </row>
    <row r="160" spans="2:18" s="56" customFormat="1" ht="18.600000000000001" customHeight="1" x14ac:dyDescent="0.3">
      <c r="B160" s="399">
        <v>45070</v>
      </c>
      <c r="C160" s="400">
        <v>1</v>
      </c>
      <c r="D160" s="401">
        <v>9</v>
      </c>
      <c r="E160" s="402">
        <v>775</v>
      </c>
      <c r="F160" s="403">
        <v>30710446047</v>
      </c>
      <c r="G160" s="404" t="str">
        <f>IFERROR(IF(compras_mes5[[#This Row],[CUIT]]="","-",VLOOKUP(compras_mes5[[#This Row],[CUIT]],Lista_CUIT[#All],2,0)),"CUIT NO CARGADO")</f>
        <v>ENSAMBLE GRAFICO S.H.</v>
      </c>
      <c r="H160" s="405">
        <v>386815.8</v>
      </c>
      <c r="I160" s="406">
        <f>IF(compras_mes5[[#This Row],[NETO GRAVADO]]="","",compras_mes5[[#This Row],[NETO GRAVADO]]*0.21)</f>
        <v>81231.317999999999</v>
      </c>
      <c r="J160" s="406"/>
      <c r="K160" s="406"/>
      <c r="L160" s="406"/>
      <c r="M160" s="406"/>
      <c r="N160" s="406"/>
      <c r="O160" s="406"/>
      <c r="P160" s="407">
        <f>SUM(compras_mes5[[#This Row],[NETO GRAVADO]:[Otros / No Grav.]])</f>
        <v>468047.11800000002</v>
      </c>
      <c r="Q160" s="408">
        <f>IFERROR(IF(compras_mes5[[#This Row],[CUIT]]="","-",VLOOKUP(compras_mes5[[#This Row],[CUIT]],Lista_CUIT[#All],3,0)),"CUIT NO CARGADO")</f>
        <v>0</v>
      </c>
      <c r="R160" s="408">
        <f>IFERROR(IF(compras_mes5[[#This Row],[CUIT]]="","-",VLOOKUP(compras_mes5[[#This Row],[CUIT]],Lista_CUIT[#All],4,0)),"CUIT NO CARGADO")</f>
        <v>0</v>
      </c>
    </row>
    <row r="161" spans="2:18" s="56" customFormat="1" ht="18.600000000000001" customHeight="1" x14ac:dyDescent="0.3">
      <c r="B161" s="421">
        <v>45070</v>
      </c>
      <c r="C161" s="250">
        <v>1</v>
      </c>
      <c r="D161" s="423">
        <v>8</v>
      </c>
      <c r="E161" s="424">
        <v>2054</v>
      </c>
      <c r="F161" s="425">
        <v>30712210636</v>
      </c>
      <c r="G161" s="426" t="str">
        <f>IFERROR(IF(compras_mes5[[#This Row],[CUIT]]="","-",VLOOKUP(compras_mes5[[#This Row],[CUIT]],Lista_CUIT[#All],2,0)),"CUIT NO CARGADO")</f>
        <v>BARRERA RICARDO DARIO Y HUBY GANOZA JIMMY  SOCIEDAD DE HECHO</v>
      </c>
      <c r="H161" s="427">
        <v>13623.95</v>
      </c>
      <c r="I161" s="428">
        <f>IF(compras_mes5[[#This Row],[NETO GRAVADO]]="","",compras_mes5[[#This Row],[NETO GRAVADO]]*0.21)</f>
        <v>2861.0295000000001</v>
      </c>
      <c r="J161" s="428"/>
      <c r="K161" s="428"/>
      <c r="L161" s="428"/>
      <c r="M161" s="428"/>
      <c r="N161" s="428"/>
      <c r="O161" s="428"/>
      <c r="P161" s="429">
        <f>SUM(compras_mes5[[#This Row],[NETO GRAVADO]:[Otros / No Grav.]])</f>
        <v>16484.979500000001</v>
      </c>
      <c r="Q161" s="430">
        <f>IFERROR(IF(compras_mes5[[#This Row],[CUIT]]="","-",VLOOKUP(compras_mes5[[#This Row],[CUIT]],Lista_CUIT[#All],3,0)),"CUIT NO CARGADO")</f>
        <v>0</v>
      </c>
      <c r="R161" s="430">
        <f>IFERROR(IF(compras_mes5[[#This Row],[CUIT]]="","-",VLOOKUP(compras_mes5[[#This Row],[CUIT]],Lista_CUIT[#All],4,0)),"CUIT NO CARGADO")</f>
        <v>0</v>
      </c>
    </row>
    <row r="162" spans="2:18" s="56" customFormat="1" ht="18.600000000000001" customHeight="1" x14ac:dyDescent="0.3">
      <c r="B162" s="421">
        <v>45070</v>
      </c>
      <c r="C162" s="422">
        <v>3</v>
      </c>
      <c r="D162" s="423">
        <v>2188</v>
      </c>
      <c r="E162" s="424">
        <v>2425</v>
      </c>
      <c r="F162" s="425">
        <v>30548083156</v>
      </c>
      <c r="G162" s="426" t="str">
        <f>IFERROR(IF(compras_mes5[[#This Row],[CUIT]]="","-",VLOOKUP(compras_mes5[[#This Row],[CUIT]],Lista_CUIT[#All],2,0)),"CUIT NO CARGADO")</f>
        <v>COTO CENTRO INTEGRAL DE COMERCIALIZACION SOCIEDAD ANONIMA</v>
      </c>
      <c r="H162" s="427">
        <v>-5206.03</v>
      </c>
      <c r="I162" s="428">
        <f>IF(compras_mes5[[#This Row],[NETO GRAVADO]]="","",compras_mes5[[#This Row],[NETO GRAVADO]]*0.21)</f>
        <v>-1093.2663</v>
      </c>
      <c r="J162" s="428"/>
      <c r="K162" s="428"/>
      <c r="L162" s="428"/>
      <c r="M162" s="428"/>
      <c r="N162" s="428"/>
      <c r="O162" s="428">
        <v>-468.54</v>
      </c>
      <c r="P162" s="429">
        <f>SUM(compras_mes5[[#This Row],[NETO GRAVADO]:[Otros / No Grav.]])</f>
        <v>-6767.8362999999999</v>
      </c>
      <c r="Q162" s="430" t="str">
        <f>IFERROR(IF(compras_mes5[[#This Row],[CUIT]]="","-",VLOOKUP(compras_mes5[[#This Row],[CUIT]],Lista_CUIT[#All],3,0)),"CUIT NO CARGADO")</f>
        <v>GASTOS COMERCIALES</v>
      </c>
      <c r="R162" s="430">
        <f>IFERROR(IF(compras_mes5[[#This Row],[CUIT]]="","-",VLOOKUP(compras_mes5[[#This Row],[CUIT]],Lista_CUIT[#All],4,0)),"CUIT NO CARGADO")</f>
        <v>0</v>
      </c>
    </row>
    <row r="163" spans="2:18" s="56" customFormat="1" ht="18.600000000000001" customHeight="1" x14ac:dyDescent="0.3">
      <c r="B163" s="399">
        <v>45070</v>
      </c>
      <c r="C163" s="400">
        <v>1</v>
      </c>
      <c r="D163" s="401">
        <v>20</v>
      </c>
      <c r="E163" s="402">
        <v>8841</v>
      </c>
      <c r="F163" s="403">
        <v>30515800219</v>
      </c>
      <c r="G163" s="404" t="str">
        <f>IFERROR(IF(compras_mes5[[#This Row],[CUIT]]="","-",VLOOKUP(compras_mes5[[#This Row],[CUIT]],Lista_CUIT[#All],2,0)),"CUIT NO CARGADO")</f>
        <v>INCAT SRL</v>
      </c>
      <c r="H163" s="405">
        <v>816.19</v>
      </c>
      <c r="I163" s="406">
        <f>IF(compras_mes5[[#This Row],[NETO GRAVADO]]="","",compras_mes5[[#This Row],[NETO GRAVADO]]*0.21)</f>
        <v>171.3999</v>
      </c>
      <c r="J163" s="406"/>
      <c r="K163" s="406"/>
      <c r="L163" s="406"/>
      <c r="M163" s="406"/>
      <c r="N163" s="406"/>
      <c r="O163" s="406">
        <v>12.44</v>
      </c>
      <c r="P163" s="407">
        <f>SUM(compras_mes5[[#This Row],[NETO GRAVADO]:[Otros / No Grav.]])</f>
        <v>1000.0299000000001</v>
      </c>
      <c r="Q163" s="408" t="str">
        <f>IFERROR(IF(compras_mes5[[#This Row],[CUIT]]="","-",VLOOKUP(compras_mes5[[#This Row],[CUIT]],Lista_CUIT[#All],3,0)),"CUIT NO CARGADO")</f>
        <v>Combustibe</v>
      </c>
      <c r="R163" s="408" t="str">
        <f>IFERROR(IF(compras_mes5[[#This Row],[CUIT]]="","-",VLOOKUP(compras_mes5[[#This Row],[CUIT]],Lista_CUIT[#All],4,0)),"CUIT NO CARGADO")</f>
        <v>CABA</v>
      </c>
    </row>
    <row r="164" spans="2:18" s="56" customFormat="1" ht="18.600000000000001" customHeight="1" x14ac:dyDescent="0.3">
      <c r="B164" s="399">
        <v>45070</v>
      </c>
      <c r="C164" s="400">
        <v>1</v>
      </c>
      <c r="D164" s="401">
        <v>4</v>
      </c>
      <c r="E164" s="402">
        <v>42544</v>
      </c>
      <c r="F164" s="403">
        <v>30709863076</v>
      </c>
      <c r="G164" s="404" t="str">
        <f>IFERROR(IF(compras_mes5[[#This Row],[CUIT]]="","-",VLOOKUP(compras_mes5[[#This Row],[CUIT]],Lista_CUIT[#All],2,0)),"CUIT NO CARGADO")</f>
        <v>INDUSTRIAS PLASTICOS SALTA S.R.L.</v>
      </c>
      <c r="H164" s="405">
        <v>442288</v>
      </c>
      <c r="I164" s="406">
        <f>IF(compras_mes5[[#This Row],[NETO GRAVADO]]="","",compras_mes5[[#This Row],[NETO GRAVADO]]*0.21)</f>
        <v>92880.48</v>
      </c>
      <c r="J164" s="406"/>
      <c r="K164" s="406"/>
      <c r="L164" s="406"/>
      <c r="M164" s="406"/>
      <c r="N164" s="406"/>
      <c r="O164" s="406"/>
      <c r="P164" s="407">
        <f>SUM(compras_mes5[[#This Row],[NETO GRAVADO]:[Otros / No Grav.]])</f>
        <v>535168.48</v>
      </c>
      <c r="Q164" s="408">
        <f>IFERROR(IF(compras_mes5[[#This Row],[CUIT]]="","-",VLOOKUP(compras_mes5[[#This Row],[CUIT]],Lista_CUIT[#All],3,0)),"CUIT NO CARGADO")</f>
        <v>0</v>
      </c>
      <c r="R164" s="408">
        <f>IFERROR(IF(compras_mes5[[#This Row],[CUIT]]="","-",VLOOKUP(compras_mes5[[#This Row],[CUIT]],Lista_CUIT[#All],4,0)),"CUIT NO CARGADO")</f>
        <v>0</v>
      </c>
    </row>
    <row r="165" spans="2:18" s="56" customFormat="1" ht="18.600000000000001" customHeight="1" x14ac:dyDescent="0.3">
      <c r="B165" s="399">
        <v>45070</v>
      </c>
      <c r="C165" s="400">
        <v>1</v>
      </c>
      <c r="D165" s="401">
        <v>2188</v>
      </c>
      <c r="E165" s="402">
        <v>90540</v>
      </c>
      <c r="F165" s="403">
        <v>30548083156</v>
      </c>
      <c r="G165" s="404" t="str">
        <f>IFERROR(IF(compras_mes5[[#This Row],[CUIT]]="","-",VLOOKUP(compras_mes5[[#This Row],[CUIT]],Lista_CUIT[#All],2,0)),"CUIT NO CARGADO")</f>
        <v>COTO CENTRO INTEGRAL DE COMERCIALIZACION SOCIEDAD ANONIMA</v>
      </c>
      <c r="H165" s="405">
        <v>14980.61</v>
      </c>
      <c r="I165" s="406">
        <v>1999.75</v>
      </c>
      <c r="J165" s="406"/>
      <c r="K165" s="406">
        <v>573.09</v>
      </c>
      <c r="L165" s="406">
        <v>285.68</v>
      </c>
      <c r="M165" s="406"/>
      <c r="N165" s="406">
        <v>716.17</v>
      </c>
      <c r="O165" s="406">
        <v>81.87</v>
      </c>
      <c r="P165" s="407">
        <f>SUM(compras_mes5[[#This Row],[NETO GRAVADO]:[Otros / No Grav.]])</f>
        <v>18637.169999999998</v>
      </c>
      <c r="Q165" s="408" t="str">
        <f>IFERROR(IF(compras_mes5[[#This Row],[CUIT]]="","-",VLOOKUP(compras_mes5[[#This Row],[CUIT]],Lista_CUIT[#All],3,0)),"CUIT NO CARGADO")</f>
        <v>GASTOS COMERCIALES</v>
      </c>
      <c r="R165" s="408">
        <f>IFERROR(IF(compras_mes5[[#This Row],[CUIT]]="","-",VLOOKUP(compras_mes5[[#This Row],[CUIT]],Lista_CUIT[#All],4,0)),"CUIT NO CARGADO")</f>
        <v>0</v>
      </c>
    </row>
    <row r="166" spans="2:18" s="56" customFormat="1" ht="18.600000000000001" customHeight="1" x14ac:dyDescent="0.3">
      <c r="B166" s="399">
        <v>45070</v>
      </c>
      <c r="C166" s="400">
        <v>1</v>
      </c>
      <c r="D166" s="401">
        <v>331</v>
      </c>
      <c r="E166" s="402">
        <v>424715</v>
      </c>
      <c r="F166" s="403">
        <v>30579939008</v>
      </c>
      <c r="G166" s="404" t="str">
        <f>IFERROR(IF(compras_mes5[[#This Row],[CUIT]]="","-",VLOOKUP(compras_mes5[[#This Row],[CUIT]],Lista_CUIT[#All],2,0)),"CUIT NO CARGADO")</f>
        <v>TRANSPORTES LA SEVILLANITA SRL</v>
      </c>
      <c r="H166" s="405">
        <v>19120.21</v>
      </c>
      <c r="I166" s="406">
        <f>IF(compras_mes5[[#This Row],[NETO GRAVADO]]="","",compras_mes5[[#This Row],[NETO GRAVADO]]*0.21)</f>
        <v>4015.2440999999999</v>
      </c>
      <c r="J166" s="406"/>
      <c r="K166" s="406"/>
      <c r="L166" s="406"/>
      <c r="M166" s="406"/>
      <c r="N166" s="406"/>
      <c r="O166" s="406"/>
      <c r="P166" s="407">
        <f>SUM(compras_mes5[[#This Row],[NETO GRAVADO]:[Otros / No Grav.]])</f>
        <v>23135.454099999999</v>
      </c>
      <c r="Q166" s="408">
        <f>IFERROR(IF(compras_mes5[[#This Row],[CUIT]]="","-",VLOOKUP(compras_mes5[[#This Row],[CUIT]],Lista_CUIT[#All],3,0)),"CUIT NO CARGADO")</f>
        <v>0</v>
      </c>
      <c r="R166" s="408">
        <f>IFERROR(IF(compras_mes5[[#This Row],[CUIT]]="","-",VLOOKUP(compras_mes5[[#This Row],[CUIT]],Lista_CUIT[#All],4,0)),"CUIT NO CARGADO")</f>
        <v>0</v>
      </c>
    </row>
    <row r="167" spans="2:18" s="56" customFormat="1" ht="18.600000000000001" customHeight="1" x14ac:dyDescent="0.3">
      <c r="B167" s="421">
        <v>45070</v>
      </c>
      <c r="C167" s="250">
        <v>1</v>
      </c>
      <c r="D167" s="423">
        <v>700</v>
      </c>
      <c r="E167" s="424">
        <v>954746</v>
      </c>
      <c r="F167" s="425">
        <v>30715804812</v>
      </c>
      <c r="G167" s="426" t="str">
        <f>IFERROR(IF(compras_mes5[[#This Row],[CUIT]]="","-",VLOOKUP(compras_mes5[[#This Row],[CUIT]],Lista_CUIT[#All],2,0)),"CUIT NO CARGADO")</f>
        <v>CORREDORES VIALES SOCIEDAD ANONIMA</v>
      </c>
      <c r="H167" s="427">
        <v>933.89</v>
      </c>
      <c r="I167" s="428">
        <f>IF(compras_mes5[[#This Row],[NETO GRAVADO]]="","",compras_mes5[[#This Row],[NETO GRAVADO]]*0.21)</f>
        <v>196.11689999999999</v>
      </c>
      <c r="J167" s="428"/>
      <c r="K167" s="428"/>
      <c r="L167" s="428"/>
      <c r="M167" s="428"/>
      <c r="N167" s="428"/>
      <c r="O167" s="428"/>
      <c r="P167" s="429">
        <f>SUM(compras_mes5[[#This Row],[NETO GRAVADO]:[Otros / No Grav.]])</f>
        <v>1130.0068999999999</v>
      </c>
      <c r="Q167" s="430">
        <f>IFERROR(IF(compras_mes5[[#This Row],[CUIT]]="","-",VLOOKUP(compras_mes5[[#This Row],[CUIT]],Lista_CUIT[#All],3,0)),"CUIT NO CARGADO")</f>
        <v>0</v>
      </c>
      <c r="R167" s="430">
        <f>IFERROR(IF(compras_mes5[[#This Row],[CUIT]]="","-",VLOOKUP(compras_mes5[[#This Row],[CUIT]],Lista_CUIT[#All],4,0)),"CUIT NO CARGADO")</f>
        <v>0</v>
      </c>
    </row>
    <row r="168" spans="2:18" s="56" customFormat="1" ht="18.600000000000001" customHeight="1" x14ac:dyDescent="0.3">
      <c r="B168" s="399">
        <v>45071</v>
      </c>
      <c r="C168" s="400">
        <v>1</v>
      </c>
      <c r="D168" s="401">
        <v>2199</v>
      </c>
      <c r="E168" s="402">
        <v>22237</v>
      </c>
      <c r="F168" s="403">
        <v>30548083156</v>
      </c>
      <c r="G168" s="404" t="str">
        <f>IFERROR(IF(compras_mes5[[#This Row],[CUIT]]="","-",VLOOKUP(compras_mes5[[#This Row],[CUIT]],Lista_CUIT[#All],2,0)),"CUIT NO CARGADO")</f>
        <v>COTO CENTRO INTEGRAL DE COMERCIALIZACION SOCIEDAD ANONIMA</v>
      </c>
      <c r="H168" s="405">
        <v>15759.67</v>
      </c>
      <c r="I168" s="406">
        <v>2378.9899999999998</v>
      </c>
      <c r="J168" s="406"/>
      <c r="K168" s="406">
        <v>465.27</v>
      </c>
      <c r="L168" s="406">
        <v>330.54</v>
      </c>
      <c r="M168" s="406"/>
      <c r="N168" s="406">
        <v>812.42</v>
      </c>
      <c r="O168" s="406">
        <v>66.47</v>
      </c>
      <c r="P168" s="407">
        <f>SUM(compras_mes5[[#This Row],[NETO GRAVADO]:[Otros / No Grav.]])</f>
        <v>19813.36</v>
      </c>
      <c r="Q168" s="408" t="str">
        <f>IFERROR(IF(compras_mes5[[#This Row],[CUIT]]="","-",VLOOKUP(compras_mes5[[#This Row],[CUIT]],Lista_CUIT[#All],3,0)),"CUIT NO CARGADO")</f>
        <v>GASTOS COMERCIALES</v>
      </c>
      <c r="R168" s="408">
        <f>IFERROR(IF(compras_mes5[[#This Row],[CUIT]]="","-",VLOOKUP(compras_mes5[[#This Row],[CUIT]],Lista_CUIT[#All],4,0)),"CUIT NO CARGADO")</f>
        <v>0</v>
      </c>
    </row>
    <row r="169" spans="2:18" s="56" customFormat="1" ht="18.600000000000001" customHeight="1" x14ac:dyDescent="0.3">
      <c r="B169" s="399">
        <v>45072</v>
      </c>
      <c r="C169" s="400">
        <v>1</v>
      </c>
      <c r="D169" s="401">
        <v>4767</v>
      </c>
      <c r="E169" s="402">
        <v>733</v>
      </c>
      <c r="F169" s="403">
        <v>30685849751</v>
      </c>
      <c r="G169" s="404" t="str">
        <f>IFERROR(IF(compras_mes5[[#This Row],[CUIT]]="","-",VLOOKUP(compras_mes5[[#This Row],[CUIT]],Lista_CUIT[#All],2,0)),"CUIT NO CARGADO")</f>
        <v>DIA ARGENTINA S A</v>
      </c>
      <c r="H169" s="405">
        <v>4506.8500000000004</v>
      </c>
      <c r="I169" s="406">
        <v>296.38</v>
      </c>
      <c r="J169" s="406"/>
      <c r="K169" s="406">
        <v>325.02999999999997</v>
      </c>
      <c r="L169" s="406"/>
      <c r="M169" s="406"/>
      <c r="N169" s="406"/>
      <c r="O169" s="406"/>
      <c r="P169" s="407">
        <f>SUM(compras_mes5[[#This Row],[NETO GRAVADO]:[Otros / No Grav.]])</f>
        <v>5128.26</v>
      </c>
      <c r="Q169" s="408">
        <f>IFERROR(IF(compras_mes5[[#This Row],[CUIT]]="","-",VLOOKUP(compras_mes5[[#This Row],[CUIT]],Lista_CUIT[#All],3,0)),"CUIT NO CARGADO")</f>
        <v>0</v>
      </c>
      <c r="R169" s="408">
        <f>IFERROR(IF(compras_mes5[[#This Row],[CUIT]]="","-",VLOOKUP(compras_mes5[[#This Row],[CUIT]],Lista_CUIT[#All],4,0)),"CUIT NO CARGADO")</f>
        <v>0</v>
      </c>
    </row>
    <row r="170" spans="2:18" s="56" customFormat="1" ht="18.600000000000001" customHeight="1" x14ac:dyDescent="0.3">
      <c r="B170" s="399">
        <v>45072</v>
      </c>
      <c r="C170" s="400">
        <v>1</v>
      </c>
      <c r="D170" s="401">
        <v>7</v>
      </c>
      <c r="E170" s="402">
        <v>1321</v>
      </c>
      <c r="F170" s="403">
        <v>20134664518</v>
      </c>
      <c r="G170" s="404" t="str">
        <f>IFERROR(IF(compras_mes5[[#This Row],[CUIT]]="","-",VLOOKUP(compras_mes5[[#This Row],[CUIT]],Lista_CUIT[#All],2,0)),"CUIT NO CARGADO")</f>
        <v>HOKAMA SERGIO ENRIQUE</v>
      </c>
      <c r="H170" s="405">
        <v>1077.8900000000001</v>
      </c>
      <c r="I170" s="406">
        <f>IF(compras_mes5[[#This Row],[NETO GRAVADO]]="","",compras_mes5[[#This Row],[NETO GRAVADO]]*0.21)</f>
        <v>226.35690000000002</v>
      </c>
      <c r="J170" s="406"/>
      <c r="K170" s="406"/>
      <c r="L170" s="406"/>
      <c r="M170" s="406"/>
      <c r="N170" s="406"/>
      <c r="O170" s="406"/>
      <c r="P170" s="407">
        <f>SUM(compras_mes5[[#This Row],[NETO GRAVADO]:[Otros / No Grav.]])</f>
        <v>1304.2469000000001</v>
      </c>
      <c r="Q170" s="408" t="str">
        <f>IFERROR(IF(compras_mes5[[#This Row],[CUIT]]="","-",VLOOKUP(compras_mes5[[#This Row],[CUIT]],Lista_CUIT[#All],3,0)),"CUIT NO CARGADO")</f>
        <v>Gastos Varios</v>
      </c>
      <c r="R170" s="408" t="str">
        <f>IFERROR(IF(compras_mes5[[#This Row],[CUIT]]="","-",VLOOKUP(compras_mes5[[#This Row],[CUIT]],Lista_CUIT[#All],4,0)),"CUIT NO CARGADO")</f>
        <v>BUENOS AIRES</v>
      </c>
    </row>
    <row r="171" spans="2:18" s="56" customFormat="1" ht="18.600000000000001" customHeight="1" x14ac:dyDescent="0.3">
      <c r="B171" s="421">
        <v>45073</v>
      </c>
      <c r="C171" s="250">
        <v>1</v>
      </c>
      <c r="D171" s="423">
        <v>2</v>
      </c>
      <c r="E171" s="424">
        <v>2083</v>
      </c>
      <c r="F171" s="425">
        <v>30717323420</v>
      </c>
      <c r="G171" s="426" t="str">
        <f>IFERROR(IF(compras_mes5[[#This Row],[CUIT]]="","-",VLOOKUP(compras_mes5[[#This Row],[CUIT]],Lista_CUIT[#All],2,0)),"CUIT NO CARGADO")</f>
        <v>DVT COMERCIO</v>
      </c>
      <c r="H171" s="427">
        <v>12767.77</v>
      </c>
      <c r="I171" s="428">
        <f>IF(compras_mes5[[#This Row],[NETO GRAVADO]]="","",compras_mes5[[#This Row],[NETO GRAVADO]]*0.21)</f>
        <v>2681.2316999999998</v>
      </c>
      <c r="J171" s="428"/>
      <c r="K171" s="428"/>
      <c r="L171" s="428"/>
      <c r="M171" s="428"/>
      <c r="N171" s="428"/>
      <c r="O171" s="428"/>
      <c r="P171" s="429">
        <f>SUM(compras_mes5[[#This Row],[NETO GRAVADO]:[Otros / No Grav.]])</f>
        <v>15449.001700000001</v>
      </c>
      <c r="Q171" s="430">
        <f>IFERROR(IF(compras_mes5[[#This Row],[CUIT]]="","-",VLOOKUP(compras_mes5[[#This Row],[CUIT]],Lista_CUIT[#All],3,0)),"CUIT NO CARGADO")</f>
        <v>0</v>
      </c>
      <c r="R171" s="430">
        <f>IFERROR(IF(compras_mes5[[#This Row],[CUIT]]="","-",VLOOKUP(compras_mes5[[#This Row],[CUIT]],Lista_CUIT[#All],4,0)),"CUIT NO CARGADO")</f>
        <v>0</v>
      </c>
    </row>
    <row r="172" spans="2:18" s="56" customFormat="1" ht="18.600000000000001" customHeight="1" x14ac:dyDescent="0.3">
      <c r="B172" s="421">
        <v>45073</v>
      </c>
      <c r="C172" s="250">
        <v>1</v>
      </c>
      <c r="D172" s="423">
        <v>2</v>
      </c>
      <c r="E172" s="424">
        <v>2084</v>
      </c>
      <c r="F172" s="425">
        <v>30717323420</v>
      </c>
      <c r="G172" s="426" t="str">
        <f>IFERROR(IF(compras_mes5[[#This Row],[CUIT]]="","-",VLOOKUP(compras_mes5[[#This Row],[CUIT]],Lista_CUIT[#All],2,0)),"CUIT NO CARGADO")</f>
        <v>DVT COMERCIO</v>
      </c>
      <c r="H172" s="427">
        <v>12767.77</v>
      </c>
      <c r="I172" s="428">
        <f>IF(compras_mes5[[#This Row],[NETO GRAVADO]]="","",compras_mes5[[#This Row],[NETO GRAVADO]]*0.21)</f>
        <v>2681.2316999999998</v>
      </c>
      <c r="J172" s="428"/>
      <c r="K172" s="428"/>
      <c r="L172" s="428"/>
      <c r="M172" s="428"/>
      <c r="N172" s="428"/>
      <c r="O172" s="428"/>
      <c r="P172" s="429">
        <f>SUM(compras_mes5[[#This Row],[NETO GRAVADO]:[Otros / No Grav.]])</f>
        <v>15449.001700000001</v>
      </c>
      <c r="Q172" s="430">
        <f>IFERROR(IF(compras_mes5[[#This Row],[CUIT]]="","-",VLOOKUP(compras_mes5[[#This Row],[CUIT]],Lista_CUIT[#All],3,0)),"CUIT NO CARGADO")</f>
        <v>0</v>
      </c>
      <c r="R172" s="430">
        <f>IFERROR(IF(compras_mes5[[#This Row],[CUIT]]="","-",VLOOKUP(compras_mes5[[#This Row],[CUIT]],Lista_CUIT[#All],4,0)),"CUIT NO CARGADO")</f>
        <v>0</v>
      </c>
    </row>
    <row r="173" spans="2:18" s="56" customFormat="1" ht="18.600000000000001" customHeight="1" x14ac:dyDescent="0.3">
      <c r="B173" s="399">
        <v>45073</v>
      </c>
      <c r="C173" s="400">
        <v>1</v>
      </c>
      <c r="D173" s="401">
        <v>12</v>
      </c>
      <c r="E173" s="402">
        <v>24949</v>
      </c>
      <c r="F173" s="403">
        <v>30696131003</v>
      </c>
      <c r="G173" s="404" t="str">
        <f>IFERROR(IF(compras_mes5[[#This Row],[CUIT]]="","-",VLOOKUP(compras_mes5[[#This Row],[CUIT]],Lista_CUIT[#All],2,0)),"CUIT NO CARGADO")</f>
        <v>Petrolfe S.A.</v>
      </c>
      <c r="H173" s="405">
        <v>10029.81</v>
      </c>
      <c r="I173" s="406">
        <f>IF(compras_mes5[[#This Row],[NETO GRAVADO]]="","",compras_mes5[[#This Row],[NETO GRAVADO]]*0.21)</f>
        <v>2106.2601</v>
      </c>
      <c r="J173" s="406"/>
      <c r="K173" s="406"/>
      <c r="L173" s="406"/>
      <c r="M173" s="406"/>
      <c r="N173" s="406"/>
      <c r="O173" s="406">
        <v>1826.26</v>
      </c>
      <c r="P173" s="407">
        <f>SUM(compras_mes5[[#This Row],[NETO GRAVADO]:[Otros / No Grav.]])</f>
        <v>13962.330099999999</v>
      </c>
      <c r="Q173" s="408" t="str">
        <f>IFERROR(IF(compras_mes5[[#This Row],[CUIT]]="","-",VLOOKUP(compras_mes5[[#This Row],[CUIT]],Lista_CUIT[#All],3,0)),"CUIT NO CARGADO")</f>
        <v>Combustible</v>
      </c>
      <c r="R173" s="408">
        <f>IFERROR(IF(compras_mes5[[#This Row],[CUIT]]="","-",VLOOKUP(compras_mes5[[#This Row],[CUIT]],Lista_CUIT[#All],4,0)),"CUIT NO CARGADO")</f>
        <v>0</v>
      </c>
    </row>
    <row r="174" spans="2:18" s="56" customFormat="1" ht="18.600000000000001" customHeight="1" x14ac:dyDescent="0.3">
      <c r="B174" s="399">
        <v>45074</v>
      </c>
      <c r="C174" s="400">
        <v>1</v>
      </c>
      <c r="D174" s="401">
        <v>7</v>
      </c>
      <c r="E174" s="402">
        <v>12001</v>
      </c>
      <c r="F174" s="403">
        <v>30712450327</v>
      </c>
      <c r="G174" s="404" t="str">
        <f>IFERROR(IF(compras_mes5[[#This Row],[CUIT]]="","-",VLOOKUP(compras_mes5[[#This Row],[CUIT]],Lista_CUIT[#All],2,0)),"CUIT NO CARGADO")</f>
        <v>MANDOLA HERMANOS SA</v>
      </c>
      <c r="H174" s="405">
        <v>5740</v>
      </c>
      <c r="I174" s="406">
        <f>IF(compras_mes5[[#This Row],[NETO GRAVADO]]="","",compras_mes5[[#This Row],[NETO GRAVADO]]*0.21)</f>
        <v>1205.3999999999999</v>
      </c>
      <c r="J174" s="406"/>
      <c r="K174" s="406"/>
      <c r="L174" s="406"/>
      <c r="M174" s="406"/>
      <c r="N174" s="406"/>
      <c r="O174" s="406">
        <v>856.19</v>
      </c>
      <c r="P174" s="407">
        <f>SUM(compras_mes5[[#This Row],[NETO GRAVADO]:[Otros / No Grav.]])</f>
        <v>7801.59</v>
      </c>
      <c r="Q174" s="408" t="str">
        <f>IFERROR(IF(compras_mes5[[#This Row],[CUIT]]="","-",VLOOKUP(compras_mes5[[#This Row],[CUIT]],Lista_CUIT[#All],3,0)),"CUIT NO CARGADO")</f>
        <v>COMBUSTIBLE</v>
      </c>
      <c r="R174" s="408">
        <f>IFERROR(IF(compras_mes5[[#This Row],[CUIT]]="","-",VLOOKUP(compras_mes5[[#This Row],[CUIT]],Lista_CUIT[#All],4,0)),"CUIT NO CARGADO")</f>
        <v>0</v>
      </c>
    </row>
    <row r="175" spans="2:18" s="56" customFormat="1" ht="18.600000000000001" customHeight="1" x14ac:dyDescent="0.3">
      <c r="B175" s="399">
        <v>45075</v>
      </c>
      <c r="C175" s="400">
        <v>1</v>
      </c>
      <c r="D175" s="401">
        <v>3</v>
      </c>
      <c r="E175" s="402">
        <v>358</v>
      </c>
      <c r="F175" s="403">
        <v>30716959232</v>
      </c>
      <c r="G175" s="404" t="str">
        <f>IFERROR(IF(compras_mes5[[#This Row],[CUIT]]="","-",VLOOKUP(compras_mes5[[#This Row],[CUIT]],Lista_CUIT[#All],2,0)),"CUIT NO CARGADO")</f>
        <v>FENEX S.A.S.</v>
      </c>
      <c r="H175" s="405">
        <v>16651.580000000002</v>
      </c>
      <c r="I175" s="406"/>
      <c r="J175" s="406"/>
      <c r="K175" s="406">
        <v>1748.42</v>
      </c>
      <c r="L175" s="406"/>
      <c r="M175" s="406"/>
      <c r="N175" s="406"/>
      <c r="O175" s="406"/>
      <c r="P175" s="407">
        <f>SUM(compras_mes5[[#This Row],[NETO GRAVADO]:[Otros / No Grav.]])</f>
        <v>18400</v>
      </c>
      <c r="Q175" s="408">
        <f>IFERROR(IF(compras_mes5[[#This Row],[CUIT]]="","-",VLOOKUP(compras_mes5[[#This Row],[CUIT]],Lista_CUIT[#All],3,0)),"CUIT NO CARGADO")</f>
        <v>0</v>
      </c>
      <c r="R175" s="408">
        <f>IFERROR(IF(compras_mes5[[#This Row],[CUIT]]="","-",VLOOKUP(compras_mes5[[#This Row],[CUIT]],Lista_CUIT[#All],4,0)),"CUIT NO CARGADO")</f>
        <v>0</v>
      </c>
    </row>
    <row r="176" spans="2:18" s="56" customFormat="1" ht="18.600000000000001" customHeight="1" x14ac:dyDescent="0.3">
      <c r="B176" s="399">
        <v>45075</v>
      </c>
      <c r="C176" s="400">
        <v>1</v>
      </c>
      <c r="D176" s="401">
        <v>2</v>
      </c>
      <c r="E176" s="402">
        <v>3349</v>
      </c>
      <c r="F176" s="403">
        <v>30629863571</v>
      </c>
      <c r="G176" s="404" t="str">
        <f>IFERROR(IF(compras_mes5[[#This Row],[CUIT]]="","-",VLOOKUP(compras_mes5[[#This Row],[CUIT]],Lista_CUIT[#All],2,0)),"CUIT NO CARGADO")</f>
        <v>TECNIMAR S R L</v>
      </c>
      <c r="H176" s="405">
        <v>516014.19</v>
      </c>
      <c r="I176" s="406">
        <f>IF(compras_mes5[[#This Row],[NETO GRAVADO]]="","",compras_mes5[[#This Row],[NETO GRAVADO]]*0.21)</f>
        <v>108362.97989999999</v>
      </c>
      <c r="J176" s="406"/>
      <c r="K176" s="406"/>
      <c r="L176" s="406"/>
      <c r="M176" s="406"/>
      <c r="N176" s="406"/>
      <c r="O176" s="406"/>
      <c r="P176" s="407">
        <f>SUM(compras_mes5[[#This Row],[NETO GRAVADO]:[Otros / No Grav.]])</f>
        <v>624377.16989999998</v>
      </c>
      <c r="Q176" s="408" t="str">
        <f>IFERROR(IF(compras_mes5[[#This Row],[CUIT]]="","-",VLOOKUP(compras_mes5[[#This Row],[CUIT]],Lista_CUIT[#All],3,0)),"CUIT NO CARGADO")</f>
        <v>LABORATORIO</v>
      </c>
      <c r="R176" s="408">
        <f>IFERROR(IF(compras_mes5[[#This Row],[CUIT]]="","-",VLOOKUP(compras_mes5[[#This Row],[CUIT]],Lista_CUIT[#All],4,0)),"CUIT NO CARGADO")</f>
        <v>0</v>
      </c>
    </row>
    <row r="177" spans="2:19" s="56" customFormat="1" ht="18.600000000000001" customHeight="1" x14ac:dyDescent="0.3">
      <c r="B177" s="399">
        <v>45075</v>
      </c>
      <c r="C177" s="400">
        <v>3</v>
      </c>
      <c r="D177" s="401">
        <v>7</v>
      </c>
      <c r="E177" s="402">
        <v>4028</v>
      </c>
      <c r="F177" s="403">
        <v>30517266457</v>
      </c>
      <c r="G177" s="404" t="str">
        <f>IFERROR(IF(compras_mes5[[#This Row],[CUIT]]="","-",VLOOKUP(compras_mes5[[#This Row],[CUIT]],Lista_CUIT[#All],2,0)),"CUIT NO CARGADO")</f>
        <v>BOLSAFILM S.A.</v>
      </c>
      <c r="H177" s="405">
        <v>-25215</v>
      </c>
      <c r="I177" s="406">
        <f>IF(compras_mes5[[#This Row],[NETO GRAVADO]]="","",compras_mes5[[#This Row],[NETO GRAVADO]]*0.21)</f>
        <v>-5295.15</v>
      </c>
      <c r="J177" s="406"/>
      <c r="K177" s="406"/>
      <c r="L177" s="406"/>
      <c r="M177" s="406"/>
      <c r="N177" s="406"/>
      <c r="O177" s="406"/>
      <c r="P177" s="407">
        <f>SUM(compras_mes5[[#This Row],[NETO GRAVADO]:[Otros / No Grav.]])</f>
        <v>-30510.15</v>
      </c>
      <c r="Q177" s="408">
        <f>IFERROR(IF(compras_mes5[[#This Row],[CUIT]]="","-",VLOOKUP(compras_mes5[[#This Row],[CUIT]],Lista_CUIT[#All],3,0)),"CUIT NO CARGADO")</f>
        <v>0</v>
      </c>
      <c r="R177" s="408">
        <f>IFERROR(IF(compras_mes5[[#This Row],[CUIT]]="","-",VLOOKUP(compras_mes5[[#This Row],[CUIT]],Lista_CUIT[#All],4,0)),"CUIT NO CARGADO")</f>
        <v>0</v>
      </c>
    </row>
    <row r="178" spans="2:19" s="56" customFormat="1" ht="18.600000000000001" customHeight="1" x14ac:dyDescent="0.3">
      <c r="B178" s="399">
        <v>45075</v>
      </c>
      <c r="C178" s="400">
        <v>1</v>
      </c>
      <c r="D178" s="401">
        <v>6852</v>
      </c>
      <c r="E178" s="402">
        <v>17204</v>
      </c>
      <c r="F178" s="403">
        <v>30678774495</v>
      </c>
      <c r="G178" s="404" t="str">
        <f>IFERROR(IF(compras_mes5[[#This Row],[CUIT]]="","-",VLOOKUP(compras_mes5[[#This Row],[CUIT]],Lista_CUIT[#All],2,0)),"CUIT NO CARGADO")</f>
        <v>OPER. DE EST. DE SERV. SA</v>
      </c>
      <c r="H178" s="405">
        <v>1455.86</v>
      </c>
      <c r="I178" s="406">
        <f>IF(compras_mes5[[#This Row],[NETO GRAVADO]]="","",compras_mes5[[#This Row],[NETO GRAVADO]]*0.21)</f>
        <v>305.73059999999998</v>
      </c>
      <c r="J178" s="406"/>
      <c r="K178" s="406"/>
      <c r="L178" s="406"/>
      <c r="M178" s="406"/>
      <c r="N178" s="406"/>
      <c r="O178" s="406">
        <v>238.42</v>
      </c>
      <c r="P178" s="407">
        <f>SUM(compras_mes5[[#This Row],[NETO GRAVADO]:[Otros / No Grav.]])</f>
        <v>2000.0106000000001</v>
      </c>
      <c r="Q178" s="408" t="str">
        <f>IFERROR(IF(compras_mes5[[#This Row],[CUIT]]="","-",VLOOKUP(compras_mes5[[#This Row],[CUIT]],Lista_CUIT[#All],3,0)),"CUIT NO CARGADO")</f>
        <v>Combustibe</v>
      </c>
      <c r="R178" s="408">
        <f>IFERROR(IF(compras_mes5[[#This Row],[CUIT]]="","-",VLOOKUP(compras_mes5[[#This Row],[CUIT]],Lista_CUIT[#All],4,0)),"CUIT NO CARGADO")</f>
        <v>0</v>
      </c>
    </row>
    <row r="179" spans="2:19" s="56" customFormat="1" ht="18.600000000000001" customHeight="1" x14ac:dyDescent="0.3">
      <c r="B179" s="399">
        <v>45075</v>
      </c>
      <c r="C179" s="400">
        <v>1</v>
      </c>
      <c r="D179" s="401">
        <v>7</v>
      </c>
      <c r="E179" s="402">
        <v>34801</v>
      </c>
      <c r="F179" s="403">
        <v>30517266457</v>
      </c>
      <c r="G179" s="404" t="str">
        <f>IFERROR(IF(compras_mes5[[#This Row],[CUIT]]="","-",VLOOKUP(compras_mes5[[#This Row],[CUIT]],Lista_CUIT[#All],2,0)),"CUIT NO CARGADO")</f>
        <v>BOLSAFILM S.A.</v>
      </c>
      <c r="H179" s="405">
        <v>412449.75</v>
      </c>
      <c r="I179" s="406">
        <f>IF(compras_mes5[[#This Row],[NETO GRAVADO]]="","",compras_mes5[[#This Row],[NETO GRAVADO]]*0.21)</f>
        <v>86614.447499999995</v>
      </c>
      <c r="J179" s="406"/>
      <c r="K179" s="406"/>
      <c r="L179" s="406"/>
      <c r="M179" s="406"/>
      <c r="N179" s="406">
        <v>24746.99</v>
      </c>
      <c r="O179" s="406"/>
      <c r="P179" s="407">
        <f>SUM(compras_mes5[[#This Row],[NETO GRAVADO]:[Otros / No Grav.]])</f>
        <v>523811.1875</v>
      </c>
      <c r="Q179" s="408">
        <f>IFERROR(IF(compras_mes5[[#This Row],[CUIT]]="","-",VLOOKUP(compras_mes5[[#This Row],[CUIT]],Lista_CUIT[#All],3,0)),"CUIT NO CARGADO")</f>
        <v>0</v>
      </c>
      <c r="R179" s="408">
        <f>IFERROR(IF(compras_mes5[[#This Row],[CUIT]]="","-",VLOOKUP(compras_mes5[[#This Row],[CUIT]],Lista_CUIT[#All],4,0)),"CUIT NO CARGADO")</f>
        <v>0</v>
      </c>
    </row>
    <row r="180" spans="2:19" s="56" customFormat="1" ht="18.600000000000001" customHeight="1" x14ac:dyDescent="0.3">
      <c r="B180" s="249">
        <v>45075</v>
      </c>
      <c r="C180" s="250">
        <v>1</v>
      </c>
      <c r="D180" s="251">
        <v>7</v>
      </c>
      <c r="E180" s="252">
        <v>34805</v>
      </c>
      <c r="F180" s="253">
        <v>30517266457</v>
      </c>
      <c r="G180" s="254" t="str">
        <f>IFERROR(IF(compras_mes5[[#This Row],[CUIT]]="","-",VLOOKUP(compras_mes5[[#This Row],[CUIT]],Lista_CUIT[#All],2,0)),"CUIT NO CARGADO")</f>
        <v>BOLSAFILM S.A.</v>
      </c>
      <c r="H180" s="255">
        <v>58800</v>
      </c>
      <c r="I180" s="256">
        <f>IF(compras_mes5[[#This Row],[NETO GRAVADO]]="","",compras_mes5[[#This Row],[NETO GRAVADO]]*0.21)</f>
        <v>12348</v>
      </c>
      <c r="J180" s="256"/>
      <c r="K180" s="256"/>
      <c r="L180" s="256"/>
      <c r="M180" s="256"/>
      <c r="N180" s="256">
        <v>3528</v>
      </c>
      <c r="O180" s="256"/>
      <c r="P180" s="429">
        <f>SUM(compras_mes5[[#This Row],[NETO GRAVADO]:[Otros / No Grav.]])</f>
        <v>74676</v>
      </c>
      <c r="Q180" s="258">
        <f>IFERROR(IF(compras_mes5[[#This Row],[CUIT]]="","-",VLOOKUP(compras_mes5[[#This Row],[CUIT]],Lista_CUIT[#All],3,0)),"CUIT NO CARGADO")</f>
        <v>0</v>
      </c>
      <c r="R180" s="258">
        <f>IFERROR(IF(compras_mes5[[#This Row],[CUIT]]="","-",VLOOKUP(compras_mes5[[#This Row],[CUIT]],Lista_CUIT[#All],4,0)),"CUIT NO CARGADO")</f>
        <v>0</v>
      </c>
    </row>
    <row r="181" spans="2:19" s="56" customFormat="1" ht="18.600000000000001" customHeight="1" x14ac:dyDescent="0.3">
      <c r="B181" s="421">
        <v>45075</v>
      </c>
      <c r="C181" s="422">
        <v>3</v>
      </c>
      <c r="D181" s="423">
        <v>27</v>
      </c>
      <c r="E181" s="424">
        <v>37514</v>
      </c>
      <c r="F181" s="425">
        <v>30703088534</v>
      </c>
      <c r="G181" s="426" t="str">
        <f>IFERROR(IF(compras_mes5[[#This Row],[CUIT]]="","-",VLOOKUP(compras_mes5[[#This Row],[CUIT]],Lista_CUIT[#All],2,0)),"CUIT NO CARGADO")</f>
        <v>MERCADO LIBRE SRL</v>
      </c>
      <c r="H181" s="427">
        <v>-382.94</v>
      </c>
      <c r="I181" s="428">
        <f>IF(compras_mes5[[#This Row],[NETO GRAVADO]]="","",compras_mes5[[#This Row],[NETO GRAVADO]]*0.21)</f>
        <v>-80.417400000000001</v>
      </c>
      <c r="J181" s="428"/>
      <c r="K181" s="428"/>
      <c r="L181" s="428"/>
      <c r="M181" s="428"/>
      <c r="N181" s="428"/>
      <c r="O181" s="428">
        <v>-15.32</v>
      </c>
      <c r="P181" s="429">
        <f>SUM(compras_mes5[[#This Row],[NETO GRAVADO]:[Otros / No Grav.]])</f>
        <v>-478.67739999999998</v>
      </c>
      <c r="Q181" s="430" t="str">
        <f>IFERROR(IF(compras_mes5[[#This Row],[CUIT]]="","-",VLOOKUP(compras_mes5[[#This Row],[CUIT]],Lista_CUIT[#All],3,0)),"CUIT NO CARGADO")</f>
        <v>Gastos Varios</v>
      </c>
      <c r="R181" s="430" t="str">
        <f>IFERROR(IF(compras_mes5[[#This Row],[CUIT]]="","-",VLOOKUP(compras_mes5[[#This Row],[CUIT]],Lista_CUIT[#All],4,0)),"CUIT NO CARGADO")</f>
        <v>CABA</v>
      </c>
    </row>
    <row r="182" spans="2:19" s="56" customFormat="1" ht="18.600000000000001" customHeight="1" x14ac:dyDescent="0.3">
      <c r="B182" s="421">
        <v>45075</v>
      </c>
      <c r="C182" s="250">
        <v>1</v>
      </c>
      <c r="D182" s="423">
        <v>27</v>
      </c>
      <c r="E182" s="424">
        <v>1289776</v>
      </c>
      <c r="F182" s="425">
        <v>30703088534</v>
      </c>
      <c r="G182" s="426" t="str">
        <f>IFERROR(IF(compras_mes5[[#This Row],[CUIT]]="","-",VLOOKUP(compras_mes5[[#This Row],[CUIT]],Lista_CUIT[#All],2,0)),"CUIT NO CARGADO")</f>
        <v>MERCADO LIBRE SRL</v>
      </c>
      <c r="H182" s="427">
        <v>226962.34</v>
      </c>
      <c r="I182" s="428">
        <f>IF(compras_mes5[[#This Row],[NETO GRAVADO]]="","",compras_mes5[[#This Row],[NETO GRAVADO]]*0.21)</f>
        <v>47662.091399999998</v>
      </c>
      <c r="J182" s="428"/>
      <c r="K182" s="428"/>
      <c r="L182" s="428"/>
      <c r="M182" s="428"/>
      <c r="N182" s="428"/>
      <c r="O182" s="428">
        <v>22696.22</v>
      </c>
      <c r="P182" s="429">
        <f>SUM(compras_mes5[[#This Row],[NETO GRAVADO]:[Otros / No Grav.]])</f>
        <v>297320.65139999997</v>
      </c>
      <c r="Q182" s="430" t="str">
        <f>IFERROR(IF(compras_mes5[[#This Row],[CUIT]]="","-",VLOOKUP(compras_mes5[[#This Row],[CUIT]],Lista_CUIT[#All],3,0)),"CUIT NO CARGADO")</f>
        <v>Gastos Varios</v>
      </c>
      <c r="R182" s="430" t="str">
        <f>IFERROR(IF(compras_mes5[[#This Row],[CUIT]]="","-",VLOOKUP(compras_mes5[[#This Row],[CUIT]],Lista_CUIT[#All],4,0)),"CUIT NO CARGADO")</f>
        <v>CABA</v>
      </c>
    </row>
    <row r="183" spans="2:19" s="56" customFormat="1" ht="18.600000000000001" customHeight="1" x14ac:dyDescent="0.3">
      <c r="B183" s="399">
        <v>45076</v>
      </c>
      <c r="C183" s="400">
        <v>1</v>
      </c>
      <c r="D183" s="401">
        <v>20</v>
      </c>
      <c r="E183" s="402">
        <v>8903</v>
      </c>
      <c r="F183" s="403">
        <v>30515800219</v>
      </c>
      <c r="G183" s="404" t="str">
        <f>IFERROR(IF(compras_mes5[[#This Row],[CUIT]]="","-",VLOOKUP(compras_mes5[[#This Row],[CUIT]],Lista_CUIT[#All],2,0)),"CUIT NO CARGADO")</f>
        <v>INCAT SRL</v>
      </c>
      <c r="H183" s="405">
        <v>816.19</v>
      </c>
      <c r="I183" s="406">
        <f>IF(compras_mes5[[#This Row],[NETO GRAVADO]]="","",compras_mes5[[#This Row],[NETO GRAVADO]]*0.21)</f>
        <v>171.3999</v>
      </c>
      <c r="J183" s="406"/>
      <c r="K183" s="406"/>
      <c r="L183" s="406"/>
      <c r="M183" s="406"/>
      <c r="N183" s="406"/>
      <c r="O183" s="406">
        <v>12.44</v>
      </c>
      <c r="P183" s="407">
        <f>SUM(compras_mes5[[#This Row],[NETO GRAVADO]:[Otros / No Grav.]])</f>
        <v>1000.0299000000001</v>
      </c>
      <c r="Q183" s="408" t="str">
        <f>IFERROR(IF(compras_mes5[[#This Row],[CUIT]]="","-",VLOOKUP(compras_mes5[[#This Row],[CUIT]],Lista_CUIT[#All],3,0)),"CUIT NO CARGADO")</f>
        <v>Combustibe</v>
      </c>
      <c r="R183" s="408" t="str">
        <f>IFERROR(IF(compras_mes5[[#This Row],[CUIT]]="","-",VLOOKUP(compras_mes5[[#This Row],[CUIT]],Lista_CUIT[#All],4,0)),"CUIT NO CARGADO")</f>
        <v>CABA</v>
      </c>
    </row>
    <row r="184" spans="2:19" s="56" customFormat="1" ht="18.600000000000001" customHeight="1" x14ac:dyDescent="0.3">
      <c r="B184" s="421">
        <v>45076</v>
      </c>
      <c r="C184" s="250">
        <v>1</v>
      </c>
      <c r="D184" s="423">
        <v>5</v>
      </c>
      <c r="E184" s="424">
        <v>26709</v>
      </c>
      <c r="F184" s="425">
        <v>30715342983</v>
      </c>
      <c r="G184" s="426" t="str">
        <f>IFERROR(IF(compras_mes5[[#This Row],[CUIT]]="","-",VLOOKUP(compras_mes5[[#This Row],[CUIT]],Lista_CUIT[#All],2,0)),"CUIT NO CARGADO")</f>
        <v>INSUMOS INDUSTRIALES BULFERIND S.A.</v>
      </c>
      <c r="H184" s="427">
        <v>27238.91</v>
      </c>
      <c r="I184" s="428"/>
      <c r="J184" s="428"/>
      <c r="K184" s="428">
        <v>2860.09</v>
      </c>
      <c r="L184" s="428"/>
      <c r="M184" s="428"/>
      <c r="N184" s="428"/>
      <c r="O184" s="428">
        <v>1634.33</v>
      </c>
      <c r="P184" s="429">
        <f>SUM(compras_mes5[[#This Row],[NETO GRAVADO]:[Otros / No Grav.]])</f>
        <v>31733.33</v>
      </c>
      <c r="Q184" s="430">
        <f>IFERROR(IF(compras_mes5[[#This Row],[CUIT]]="","-",VLOOKUP(compras_mes5[[#This Row],[CUIT]],Lista_CUIT[#All],3,0)),"CUIT NO CARGADO")</f>
        <v>0</v>
      </c>
      <c r="R184" s="430">
        <f>IFERROR(IF(compras_mes5[[#This Row],[CUIT]]="","-",VLOOKUP(compras_mes5[[#This Row],[CUIT]],Lista_CUIT[#All],4,0)),"CUIT NO CARGADO")</f>
        <v>0</v>
      </c>
    </row>
    <row r="185" spans="2:19" s="56" customFormat="1" ht="18.600000000000001" customHeight="1" x14ac:dyDescent="0.3">
      <c r="B185" s="421">
        <v>45077</v>
      </c>
      <c r="C185" s="250">
        <v>1</v>
      </c>
      <c r="D185" s="423">
        <v>1</v>
      </c>
      <c r="E185" s="424">
        <v>606</v>
      </c>
      <c r="F185" s="425">
        <v>30715048066</v>
      </c>
      <c r="G185" s="426" t="str">
        <f>IFERROR(IF(compras_mes5[[#This Row],[CUIT]]="","-",VLOOKUP(compras_mes5[[#This Row],[CUIT]],Lista_CUIT[#All],2,0)),"CUIT NO CARGADO")</f>
        <v>ROLLS Y EMPANADAS SA</v>
      </c>
      <c r="H185" s="427">
        <v>412125</v>
      </c>
      <c r="I185" s="428">
        <f>IF(compras_mes5[[#This Row],[NETO GRAVADO]]="","",compras_mes5[[#This Row],[NETO GRAVADO]]*0.21)</f>
        <v>86546.25</v>
      </c>
      <c r="J185" s="428"/>
      <c r="K185" s="428"/>
      <c r="L185" s="428"/>
      <c r="M185" s="428"/>
      <c r="N185" s="428"/>
      <c r="O185" s="428"/>
      <c r="P185" s="429">
        <f>SUM(compras_mes5[[#This Row],[NETO GRAVADO]:[Otros / No Grav.]])</f>
        <v>498671.25</v>
      </c>
      <c r="Q185" s="430" t="str">
        <f>IFERROR(IF(compras_mes5[[#This Row],[CUIT]]="","-",VLOOKUP(compras_mes5[[#This Row],[CUIT]],Lista_CUIT[#All],3,0)),"CUIT NO CARGADO")</f>
        <v>CATERING</v>
      </c>
      <c r="R185" s="430">
        <f>IFERROR(IF(compras_mes5[[#This Row],[CUIT]]="","-",VLOOKUP(compras_mes5[[#This Row],[CUIT]],Lista_CUIT[#All],4,0)),"CUIT NO CARGADO")</f>
        <v>0</v>
      </c>
      <c r="S185" s="56" t="s">
        <v>1868</v>
      </c>
    </row>
    <row r="186" spans="2:19" s="56" customFormat="1" ht="18.600000000000001" customHeight="1" x14ac:dyDescent="0.3">
      <c r="B186" s="421">
        <v>45077</v>
      </c>
      <c r="C186" s="250">
        <v>1</v>
      </c>
      <c r="D186" s="423">
        <v>1</v>
      </c>
      <c r="E186" s="424">
        <v>607</v>
      </c>
      <c r="F186" s="425">
        <v>30715048066</v>
      </c>
      <c r="G186" s="426" t="str">
        <f>IFERROR(IF(compras_mes5[[#This Row],[CUIT]]="","-",VLOOKUP(compras_mes5[[#This Row],[CUIT]],Lista_CUIT[#All],2,0)),"CUIT NO CARGADO")</f>
        <v>ROLLS Y EMPANADAS SA</v>
      </c>
      <c r="H186" s="427">
        <v>452165</v>
      </c>
      <c r="I186" s="428">
        <f>IF(compras_mes5[[#This Row],[NETO GRAVADO]]="","",compras_mes5[[#This Row],[NETO GRAVADO]]*0.21)</f>
        <v>94954.65</v>
      </c>
      <c r="J186" s="428"/>
      <c r="K186" s="428"/>
      <c r="L186" s="428"/>
      <c r="M186" s="428"/>
      <c r="N186" s="428"/>
      <c r="O186" s="428"/>
      <c r="P186" s="429">
        <f>SUM(compras_mes5[[#This Row],[NETO GRAVADO]:[Otros / No Grav.]])</f>
        <v>547119.65</v>
      </c>
      <c r="Q186" s="430" t="str">
        <f>IFERROR(IF(compras_mes5[[#This Row],[CUIT]]="","-",VLOOKUP(compras_mes5[[#This Row],[CUIT]],Lista_CUIT[#All],3,0)),"CUIT NO CARGADO")</f>
        <v>CATERING</v>
      </c>
      <c r="R186" s="430">
        <f>IFERROR(IF(compras_mes5[[#This Row],[CUIT]]="","-",VLOOKUP(compras_mes5[[#This Row],[CUIT]],Lista_CUIT[#All],4,0)),"CUIT NO CARGADO")</f>
        <v>0</v>
      </c>
      <c r="S186" s="56" t="s">
        <v>1868</v>
      </c>
    </row>
    <row r="187" spans="2:19" s="56" customFormat="1" ht="18.600000000000001" customHeight="1" x14ac:dyDescent="0.3">
      <c r="B187" s="399">
        <v>45077</v>
      </c>
      <c r="C187" s="400">
        <v>1</v>
      </c>
      <c r="D187" s="401">
        <v>8</v>
      </c>
      <c r="E187" s="402">
        <v>953</v>
      </c>
      <c r="F187" s="403">
        <v>20294675826</v>
      </c>
      <c r="G187" s="404" t="str">
        <f>IFERROR(IF(compras_mes5[[#This Row],[CUIT]]="","-",VLOOKUP(compras_mes5[[#This Row],[CUIT]],Lista_CUIT[#All],2,0)),"CUIT NO CARGADO")</f>
        <v>ROJA ALEJANDRO RAUL</v>
      </c>
      <c r="H187" s="405">
        <v>5371.9</v>
      </c>
      <c r="I187" s="406">
        <f>IF(compras_mes5[[#This Row],[NETO GRAVADO]]="","",compras_mes5[[#This Row],[NETO GRAVADO]]*0.21)</f>
        <v>1128.0989999999999</v>
      </c>
      <c r="J187" s="406"/>
      <c r="K187" s="406"/>
      <c r="L187" s="406"/>
      <c r="M187" s="406"/>
      <c r="N187" s="406"/>
      <c r="O187" s="406"/>
      <c r="P187" s="407">
        <f>SUM(compras_mes5[[#This Row],[NETO GRAVADO]:[Otros / No Grav.]])</f>
        <v>6499.9989999999998</v>
      </c>
      <c r="Q187" s="408">
        <f>IFERROR(IF(compras_mes5[[#This Row],[CUIT]]="","-",VLOOKUP(compras_mes5[[#This Row],[CUIT]],Lista_CUIT[#All],3,0)),"CUIT NO CARGADO")</f>
        <v>0</v>
      </c>
      <c r="R187" s="408">
        <f>IFERROR(IF(compras_mes5[[#This Row],[CUIT]]="","-",VLOOKUP(compras_mes5[[#This Row],[CUIT]],Lista_CUIT[#All],4,0)),"CUIT NO CARGADO")</f>
        <v>0</v>
      </c>
    </row>
    <row r="188" spans="2:19" s="56" customFormat="1" ht="18.600000000000001" customHeight="1" x14ac:dyDescent="0.3">
      <c r="B188" s="421">
        <v>45077</v>
      </c>
      <c r="C188" s="250">
        <v>1</v>
      </c>
      <c r="D188" s="423">
        <v>5</v>
      </c>
      <c r="E188" s="424">
        <v>1276</v>
      </c>
      <c r="F188" s="425">
        <v>30707397256</v>
      </c>
      <c r="G188" s="426" t="str">
        <f>IFERROR(IF(compras_mes5[[#This Row],[CUIT]]="","-",VLOOKUP(compras_mes5[[#This Row],[CUIT]],Lista_CUIT[#All],2,0)),"CUIT NO CARGADO")</f>
        <v>GRAFICA Y FOTOGRABADOS LA PLAZA S.R.L.</v>
      </c>
      <c r="H188" s="427">
        <v>329630.40000000002</v>
      </c>
      <c r="I188" s="428">
        <f>IF(compras_mes5[[#This Row],[NETO GRAVADO]]="","",compras_mes5[[#This Row],[NETO GRAVADO]]*0.21)</f>
        <v>69222.384000000005</v>
      </c>
      <c r="J188" s="428"/>
      <c r="K188" s="428"/>
      <c r="L188" s="428"/>
      <c r="M188" s="428"/>
      <c r="N188" s="428"/>
      <c r="O188" s="428"/>
      <c r="P188" s="429">
        <f>SUM(compras_mes5[[#This Row],[NETO GRAVADO]:[Otros / No Grav.]])</f>
        <v>398852.78400000004</v>
      </c>
      <c r="Q188" s="430">
        <f>IFERROR(IF(compras_mes5[[#This Row],[CUIT]]="","-",VLOOKUP(compras_mes5[[#This Row],[CUIT]],Lista_CUIT[#All],3,0)),"CUIT NO CARGADO")</f>
        <v>0</v>
      </c>
      <c r="R188" s="430">
        <f>IFERROR(IF(compras_mes5[[#This Row],[CUIT]]="","-",VLOOKUP(compras_mes5[[#This Row],[CUIT]],Lista_CUIT[#All],4,0)),"CUIT NO CARGADO")</f>
        <v>0</v>
      </c>
    </row>
    <row r="189" spans="2:19" s="56" customFormat="1" ht="18.600000000000001" customHeight="1" x14ac:dyDescent="0.3">
      <c r="B189" s="399">
        <v>45077</v>
      </c>
      <c r="C189" s="400">
        <v>1</v>
      </c>
      <c r="D189" s="401">
        <v>7</v>
      </c>
      <c r="E189" s="402">
        <v>1344</v>
      </c>
      <c r="F189" s="403">
        <v>20134664518</v>
      </c>
      <c r="G189" s="404" t="str">
        <f>IFERROR(IF(compras_mes5[[#This Row],[CUIT]]="","-",VLOOKUP(compras_mes5[[#This Row],[CUIT]],Lista_CUIT[#All],2,0)),"CUIT NO CARGADO")</f>
        <v>HOKAMA SERGIO ENRIQUE</v>
      </c>
      <c r="H189" s="405">
        <v>8859.84</v>
      </c>
      <c r="I189" s="406">
        <f>IF(compras_mes5[[#This Row],[NETO GRAVADO]]="","",compras_mes5[[#This Row],[NETO GRAVADO]]*0.21)</f>
        <v>1860.5663999999999</v>
      </c>
      <c r="J189" s="406"/>
      <c r="K189" s="406"/>
      <c r="L189" s="406"/>
      <c r="M189" s="406"/>
      <c r="N189" s="406"/>
      <c r="O189" s="406"/>
      <c r="P189" s="407">
        <f>SUM(compras_mes5[[#This Row],[NETO GRAVADO]:[Otros / No Grav.]])</f>
        <v>10720.4064</v>
      </c>
      <c r="Q189" s="408" t="str">
        <f>IFERROR(IF(compras_mes5[[#This Row],[CUIT]]="","-",VLOOKUP(compras_mes5[[#This Row],[CUIT]],Lista_CUIT[#All],3,0)),"CUIT NO CARGADO")</f>
        <v>Gastos Varios</v>
      </c>
      <c r="R189" s="408" t="str">
        <f>IFERROR(IF(compras_mes5[[#This Row],[CUIT]]="","-",VLOOKUP(compras_mes5[[#This Row],[CUIT]],Lista_CUIT[#All],4,0)),"CUIT NO CARGADO")</f>
        <v>BUENOS AIRES</v>
      </c>
    </row>
    <row r="190" spans="2:19" ht="15" customHeight="1" x14ac:dyDescent="0.3">
      <c r="B190" s="399">
        <v>45077</v>
      </c>
      <c r="C190" s="400">
        <v>1</v>
      </c>
      <c r="D190" s="401">
        <v>34</v>
      </c>
      <c r="E190" s="402">
        <v>1447</v>
      </c>
      <c r="F190" s="403">
        <v>30520201048</v>
      </c>
      <c r="G190" s="404" t="str">
        <f>IFERROR(IF(compras_mes5[[#This Row],[CUIT]]="","-",VLOOKUP(compras_mes5[[#This Row],[CUIT]],Lista_CUIT[#All],2,0)),"CUIT NO CARGADO")</f>
        <v>ASENSIO E HIJO Y PULLEY SOCIEDAD DE RESP</v>
      </c>
      <c r="H190" s="405">
        <v>2995.42</v>
      </c>
      <c r="I190" s="406">
        <f>IF(compras_mes5[[#This Row],[NETO GRAVADO]]="","",compras_mes5[[#This Row],[NETO GRAVADO]]*0.21)</f>
        <v>629.03819999999996</v>
      </c>
      <c r="J190" s="406"/>
      <c r="K190" s="406"/>
      <c r="L190" s="406"/>
      <c r="M190" s="406"/>
      <c r="N190" s="406"/>
      <c r="O190" s="406">
        <v>375.52</v>
      </c>
      <c r="P190" s="407">
        <f>SUM(compras_mes5[[#This Row],[NETO GRAVADO]:[Otros / No Grav.]])</f>
        <v>3999.9782</v>
      </c>
      <c r="Q190" s="408">
        <f>IFERROR(IF(compras_mes5[[#This Row],[CUIT]]="","-",VLOOKUP(compras_mes5[[#This Row],[CUIT]],Lista_CUIT[#All],3,0)),"CUIT NO CARGADO")</f>
        <v>0</v>
      </c>
      <c r="R190" s="408">
        <f>IFERROR(IF(compras_mes5[[#This Row],[CUIT]]="","-",VLOOKUP(compras_mes5[[#This Row],[CUIT]],Lista_CUIT[#All],4,0)),"CUIT NO CARGADO")</f>
        <v>0</v>
      </c>
    </row>
    <row r="191" spans="2:19" ht="15" customHeight="1" x14ac:dyDescent="0.3">
      <c r="B191" s="399">
        <v>45077</v>
      </c>
      <c r="C191" s="400">
        <v>1</v>
      </c>
      <c r="D191" s="401">
        <v>2</v>
      </c>
      <c r="E191" s="402">
        <v>3353</v>
      </c>
      <c r="F191" s="403">
        <v>30629863571</v>
      </c>
      <c r="G191" s="404" t="str">
        <f>IFERROR(IF(compras_mes5[[#This Row],[CUIT]]="","-",VLOOKUP(compras_mes5[[#This Row],[CUIT]],Lista_CUIT[#All],2,0)),"CUIT NO CARGADO")</f>
        <v>TECNIMAR S R L</v>
      </c>
      <c r="H191" s="405">
        <v>151200</v>
      </c>
      <c r="I191" s="406">
        <f>IF(compras_mes5[[#This Row],[NETO GRAVADO]]="","",compras_mes5[[#This Row],[NETO GRAVADO]]*0.21)</f>
        <v>31752</v>
      </c>
      <c r="J191" s="406"/>
      <c r="K191" s="406"/>
      <c r="L191" s="406"/>
      <c r="M191" s="406"/>
      <c r="N191" s="406"/>
      <c r="O191" s="406"/>
      <c r="P191" s="407">
        <f>SUM(compras_mes5[[#This Row],[NETO GRAVADO]:[Otros / No Grav.]])</f>
        <v>182952</v>
      </c>
      <c r="Q191" s="408" t="str">
        <f>IFERROR(IF(compras_mes5[[#This Row],[CUIT]]="","-",VLOOKUP(compras_mes5[[#This Row],[CUIT]],Lista_CUIT[#All],3,0)),"CUIT NO CARGADO")</f>
        <v>LABORATORIO</v>
      </c>
      <c r="R191" s="408">
        <f>IFERROR(IF(compras_mes5[[#This Row],[CUIT]]="","-",VLOOKUP(compras_mes5[[#This Row],[CUIT]],Lista_CUIT[#All],4,0)),"CUIT NO CARGADO")</f>
        <v>0</v>
      </c>
    </row>
    <row r="192" spans="2:19" ht="15" customHeight="1" x14ac:dyDescent="0.3">
      <c r="B192" s="399">
        <v>45077</v>
      </c>
      <c r="C192" s="400">
        <v>1</v>
      </c>
      <c r="D192" s="401">
        <v>20</v>
      </c>
      <c r="E192" s="402">
        <v>8917</v>
      </c>
      <c r="F192" s="403">
        <v>30515800219</v>
      </c>
      <c r="G192" s="404" t="str">
        <f>IFERROR(IF(compras_mes5[[#This Row],[CUIT]]="","-",VLOOKUP(compras_mes5[[#This Row],[CUIT]],Lista_CUIT[#All],2,0)),"CUIT NO CARGADO")</f>
        <v>INCAT SRL</v>
      </c>
      <c r="H192" s="405">
        <v>816.17</v>
      </c>
      <c r="I192" s="406">
        <f>IF(compras_mes5[[#This Row],[NETO GRAVADO]]="","",compras_mes5[[#This Row],[NETO GRAVADO]]*0.21)</f>
        <v>171.39569999999998</v>
      </c>
      <c r="J192" s="406"/>
      <c r="K192" s="406"/>
      <c r="L192" s="406"/>
      <c r="M192" s="406"/>
      <c r="N192" s="406"/>
      <c r="O192" s="406">
        <v>12.44</v>
      </c>
      <c r="P192" s="407">
        <f>SUM(compras_mes5[[#This Row],[NETO GRAVADO]:[Otros / No Grav.]])</f>
        <v>1000.0056999999999</v>
      </c>
      <c r="Q192" s="408" t="str">
        <f>IFERROR(IF(compras_mes5[[#This Row],[CUIT]]="","-",VLOOKUP(compras_mes5[[#This Row],[CUIT]],Lista_CUIT[#All],3,0)),"CUIT NO CARGADO")</f>
        <v>Combustibe</v>
      </c>
      <c r="R192" s="408" t="str">
        <f>IFERROR(IF(compras_mes5[[#This Row],[CUIT]]="","-",VLOOKUP(compras_mes5[[#This Row],[CUIT]],Lista_CUIT[#All],4,0)),"CUIT NO CARGADO")</f>
        <v>CABA</v>
      </c>
    </row>
    <row r="193" spans="2:19" ht="23.4" customHeight="1" x14ac:dyDescent="0.3">
      <c r="B193" s="399">
        <v>45077</v>
      </c>
      <c r="C193" s="400">
        <v>1</v>
      </c>
      <c r="D193" s="401">
        <v>20</v>
      </c>
      <c r="E193" s="402">
        <v>8919</v>
      </c>
      <c r="F193" s="403">
        <v>30515800219</v>
      </c>
      <c r="G193" s="404" t="str">
        <f>IFERROR(IF(compras_mes5[[#This Row],[CUIT]]="","-",VLOOKUP(compras_mes5[[#This Row],[CUIT]],Lista_CUIT[#All],2,0)),"CUIT NO CARGADO")</f>
        <v>INCAT SRL</v>
      </c>
      <c r="H193" s="405">
        <v>489.69</v>
      </c>
      <c r="I193" s="406">
        <f>IF(compras_mes5[[#This Row],[NETO GRAVADO]]="","",compras_mes5[[#This Row],[NETO GRAVADO]]*0.21)</f>
        <v>102.83489999999999</v>
      </c>
      <c r="J193" s="406"/>
      <c r="K193" s="406"/>
      <c r="L193" s="406"/>
      <c r="M193" s="406"/>
      <c r="N193" s="406"/>
      <c r="O193" s="406">
        <v>7.48</v>
      </c>
      <c r="P193" s="407">
        <f>SUM(compras_mes5[[#This Row],[NETO GRAVADO]:[Otros / No Grav.]])</f>
        <v>600.00490000000002</v>
      </c>
      <c r="Q193" s="408" t="str">
        <f>IFERROR(IF(compras_mes5[[#This Row],[CUIT]]="","-",VLOOKUP(compras_mes5[[#This Row],[CUIT]],Lista_CUIT[#All],3,0)),"CUIT NO CARGADO")</f>
        <v>Combustibe</v>
      </c>
      <c r="R193" s="408" t="str">
        <f>IFERROR(IF(compras_mes5[[#This Row],[CUIT]]="","-",VLOOKUP(compras_mes5[[#This Row],[CUIT]],Lista_CUIT[#All],4,0)),"CUIT NO CARGADO")</f>
        <v>CABA</v>
      </c>
      <c r="S193" t="s">
        <v>1868</v>
      </c>
    </row>
    <row r="194" spans="2:19" ht="21.75" customHeight="1" x14ac:dyDescent="0.3">
      <c r="B194" s="399">
        <v>45077</v>
      </c>
      <c r="C194" s="400">
        <v>1</v>
      </c>
      <c r="D194" s="401">
        <v>12</v>
      </c>
      <c r="E194" s="402">
        <v>11954</v>
      </c>
      <c r="F194" s="403">
        <v>30517345039</v>
      </c>
      <c r="G194" s="404" t="str">
        <f>IFERROR(IF(compras_mes5[[#This Row],[CUIT]]="","-",VLOOKUP(compras_mes5[[#This Row],[CUIT]],Lista_CUIT[#All],2,0)),"CUIT NO CARGADO")</f>
        <v>QUIMICA OESTE S.A.</v>
      </c>
      <c r="H194" s="405">
        <v>25685.25</v>
      </c>
      <c r="I194" s="406">
        <f>IF(compras_mes5[[#This Row],[NETO GRAVADO]]="","",compras_mes5[[#This Row],[NETO GRAVADO]]*0.21)</f>
        <v>5393.9025000000001</v>
      </c>
      <c r="J194" s="406"/>
      <c r="K194" s="406"/>
      <c r="L194" s="406"/>
      <c r="M194" s="406"/>
      <c r="N194" s="406">
        <v>1541.12</v>
      </c>
      <c r="O194" s="406"/>
      <c r="P194" s="407">
        <f>SUM(compras_mes5[[#This Row],[NETO GRAVADO]:[Otros / No Grav.]])</f>
        <v>32620.272499999999</v>
      </c>
      <c r="Q194" s="408" t="str">
        <f>IFERROR(IF(compras_mes5[[#This Row],[CUIT]]="","-",VLOOKUP(compras_mes5[[#This Row],[CUIT]],Lista_CUIT[#All],3,0)),"CUIT NO CARGADO")</f>
        <v>Insumo</v>
      </c>
      <c r="R194" s="408">
        <f>IFERROR(IF(compras_mes5[[#This Row],[CUIT]]="","-",VLOOKUP(compras_mes5[[#This Row],[CUIT]],Lista_CUIT[#All],4,0)),"CUIT NO CARGADO")</f>
        <v>0</v>
      </c>
    </row>
    <row r="195" spans="2:19" x14ac:dyDescent="0.3">
      <c r="B195" s="399">
        <v>45077</v>
      </c>
      <c r="C195" s="400">
        <v>1</v>
      </c>
      <c r="D195" s="401">
        <v>6862</v>
      </c>
      <c r="E195" s="402">
        <v>21138</v>
      </c>
      <c r="F195" s="403">
        <v>30678774495</v>
      </c>
      <c r="G195" s="404" t="str">
        <f>IFERROR(IF(compras_mes5[[#This Row],[CUIT]]="","-",VLOOKUP(compras_mes5[[#This Row],[CUIT]],Lista_CUIT[#All],2,0)),"CUIT NO CARGADO")</f>
        <v>OPER. DE EST. DE SERV. SA</v>
      </c>
      <c r="H195" s="405">
        <v>7161.35</v>
      </c>
      <c r="I195" s="406">
        <f>IF(compras_mes5[[#This Row],[NETO GRAVADO]]="","",compras_mes5[[#This Row],[NETO GRAVADO]]*0.21)</f>
        <v>1503.8834999999999</v>
      </c>
      <c r="J195" s="406"/>
      <c r="K195" s="406"/>
      <c r="L195" s="406"/>
      <c r="M195" s="406"/>
      <c r="N195" s="406"/>
      <c r="O195" s="406">
        <v>1135.07</v>
      </c>
      <c r="P195" s="407">
        <f>SUM(compras_mes5[[#This Row],[NETO GRAVADO]:[Otros / No Grav.]])</f>
        <v>9800.3035</v>
      </c>
      <c r="Q195" s="408" t="str">
        <f>IFERROR(IF(compras_mes5[[#This Row],[CUIT]]="","-",VLOOKUP(compras_mes5[[#This Row],[CUIT]],Lista_CUIT[#All],3,0)),"CUIT NO CARGADO")</f>
        <v>Combustibe</v>
      </c>
      <c r="R195" s="408">
        <f>IFERROR(IF(compras_mes5[[#This Row],[CUIT]]="","-",VLOOKUP(compras_mes5[[#This Row],[CUIT]],Lista_CUIT[#All],4,0)),"CUIT NO CARGADO")</f>
        <v>0</v>
      </c>
    </row>
    <row r="196" spans="2:19" x14ac:dyDescent="0.3">
      <c r="B196" s="399">
        <v>45077</v>
      </c>
      <c r="C196" s="400">
        <v>1</v>
      </c>
      <c r="D196" s="401">
        <v>5</v>
      </c>
      <c r="E196" s="402">
        <v>47238</v>
      </c>
      <c r="F196" s="403">
        <v>30709932876</v>
      </c>
      <c r="G196" s="404" t="str">
        <f>IFERROR(IF(compras_mes5[[#This Row],[CUIT]]="","-",VLOOKUP(compras_mes5[[#This Row],[CUIT]],Lista_CUIT[#All],2,0)),"CUIT NO CARGADO")</f>
        <v>Mega Envases S.A.</v>
      </c>
      <c r="H196" s="405">
        <v>1240020</v>
      </c>
      <c r="I196" s="406">
        <f>IF(compras_mes5[[#This Row],[NETO GRAVADO]]="","",compras_mes5[[#This Row],[NETO GRAVADO]]*0.21)</f>
        <v>260404.19999999998</v>
      </c>
      <c r="J196" s="406"/>
      <c r="K196" s="406"/>
      <c r="L196" s="406"/>
      <c r="M196" s="406"/>
      <c r="N196" s="406">
        <v>74401.2</v>
      </c>
      <c r="O196" s="406"/>
      <c r="P196" s="407">
        <f>SUM(compras_mes5[[#This Row],[NETO GRAVADO]:[Otros / No Grav.]])</f>
        <v>1574825.4</v>
      </c>
      <c r="Q196" s="408">
        <f>IFERROR(IF(compras_mes5[[#This Row],[CUIT]]="","-",VLOOKUP(compras_mes5[[#This Row],[CUIT]],Lista_CUIT[#All],3,0)),"CUIT NO CARGADO")</f>
        <v>0</v>
      </c>
      <c r="R196" s="408">
        <f>IFERROR(IF(compras_mes5[[#This Row],[CUIT]]="","-",VLOOKUP(compras_mes5[[#This Row],[CUIT]],Lista_CUIT[#All],4,0)),"CUIT NO CARGADO")</f>
        <v>0</v>
      </c>
      <c r="S196" t="s">
        <v>1868</v>
      </c>
    </row>
    <row r="197" spans="2:19" x14ac:dyDescent="0.3">
      <c r="B197" s="421">
        <v>45077</v>
      </c>
      <c r="C197" s="250">
        <v>1</v>
      </c>
      <c r="D197" s="423">
        <v>2188</v>
      </c>
      <c r="E197" s="424">
        <v>91003</v>
      </c>
      <c r="F197" s="425">
        <v>30548083156</v>
      </c>
      <c r="G197" s="426" t="str">
        <f>IFERROR(IF(compras_mes5[[#This Row],[CUIT]]="","-",VLOOKUP(compras_mes5[[#This Row],[CUIT]],Lista_CUIT[#All],2,0)),"CUIT NO CARGADO")</f>
        <v>COTO CENTRO INTEGRAL DE COMERCIALIZACION SOCIEDAD ANONIMA</v>
      </c>
      <c r="H197" s="427">
        <v>12876.56</v>
      </c>
      <c r="I197" s="428">
        <v>2049.79</v>
      </c>
      <c r="J197" s="428"/>
      <c r="K197" s="428">
        <v>327.14</v>
      </c>
      <c r="L197" s="428"/>
      <c r="M197" s="428"/>
      <c r="N197" s="428"/>
      <c r="O197" s="428">
        <v>929.46</v>
      </c>
      <c r="P197" s="429">
        <f>SUM(compras_mes5[[#This Row],[NETO GRAVADO]:[Otros / No Grav.]])</f>
        <v>16182.949999999997</v>
      </c>
      <c r="Q197" s="430" t="str">
        <f>IFERROR(IF(compras_mes5[[#This Row],[CUIT]]="","-",VLOOKUP(compras_mes5[[#This Row],[CUIT]],Lista_CUIT[#All],3,0)),"CUIT NO CARGADO")</f>
        <v>GASTOS COMERCIALES</v>
      </c>
      <c r="R197" s="430">
        <f>IFERROR(IF(compras_mes5[[#This Row],[CUIT]]="","-",VLOOKUP(compras_mes5[[#This Row],[CUIT]],Lista_CUIT[#All],4,0)),"CUIT NO CARGADO")</f>
        <v>0</v>
      </c>
      <c r="S197" t="s">
        <v>1868</v>
      </c>
    </row>
    <row r="198" spans="2:19" x14ac:dyDescent="0.3">
      <c r="B198" s="421">
        <v>45077</v>
      </c>
      <c r="C198" s="250">
        <v>1</v>
      </c>
      <c r="D198" s="423">
        <v>2188</v>
      </c>
      <c r="E198" s="424">
        <v>91005</v>
      </c>
      <c r="F198" s="425">
        <v>30548083156</v>
      </c>
      <c r="G198" s="426" t="str">
        <f>IFERROR(IF(compras_mes5[[#This Row],[CUIT]]="","-",VLOOKUP(compras_mes5[[#This Row],[CUIT]],Lista_CUIT[#All],2,0)),"CUIT NO CARGADO")</f>
        <v>COTO CENTRO INTEGRAL DE COMERCIALIZACION SOCIEDAD ANONIMA</v>
      </c>
      <c r="H198" s="427">
        <v>14750.09</v>
      </c>
      <c r="I198" s="428">
        <f>IF(compras_mes5[[#This Row],[NETO GRAVADO]]="","",compras_mes5[[#This Row],[NETO GRAVADO]]*0.21)</f>
        <v>3097.5189</v>
      </c>
      <c r="J198" s="428"/>
      <c r="K198" s="428"/>
      <c r="L198" s="428"/>
      <c r="M198" s="428"/>
      <c r="N198" s="428"/>
      <c r="O198" s="428">
        <v>1327.51</v>
      </c>
      <c r="P198" s="429">
        <f>SUM(compras_mes5[[#This Row],[NETO GRAVADO]:[Otros / No Grav.]])</f>
        <v>19175.118899999998</v>
      </c>
      <c r="Q198" s="430" t="str">
        <f>IFERROR(IF(compras_mes5[[#This Row],[CUIT]]="","-",VLOOKUP(compras_mes5[[#This Row],[CUIT]],Lista_CUIT[#All],3,0)),"CUIT NO CARGADO")</f>
        <v>GASTOS COMERCIALES</v>
      </c>
      <c r="R198" s="430">
        <f>IFERROR(IF(compras_mes5[[#This Row],[CUIT]]="","-",VLOOKUP(compras_mes5[[#This Row],[CUIT]],Lista_CUIT[#All],4,0)),"CUIT NO CARGADO")</f>
        <v>0</v>
      </c>
      <c r="S198" t="s">
        <v>1868</v>
      </c>
    </row>
    <row r="199" spans="2:19" x14ac:dyDescent="0.3">
      <c r="B199" s="409" t="s">
        <v>103</v>
      </c>
      <c r="C199" s="409"/>
      <c r="D199" s="409"/>
      <c r="E199" s="409"/>
      <c r="F199" s="409"/>
      <c r="G199" s="410"/>
      <c r="H199" s="411">
        <f>SUBTOTAL(109,compras_mes5[NETO GRAVADO])</f>
        <v>16491415.579999998</v>
      </c>
      <c r="I199" s="411">
        <f>SUBTOTAL(109,compras_mes5[IVA 21 %])</f>
        <v>3427407.2339999997</v>
      </c>
      <c r="J199" s="411">
        <f>SUBTOTAL(109,compras_mes5[IVA 27%])</f>
        <v>7727.9199999999992</v>
      </c>
      <c r="K199" s="411">
        <f>SUBTOTAL(109,compras_mes5[IVA 10,5%])</f>
        <v>14889.710000000001</v>
      </c>
      <c r="L199" s="411">
        <f>SUBTOTAL(109,compras_mes5[PERC. IVA])</f>
        <v>5751.97</v>
      </c>
      <c r="M199" s="411">
        <f>SUBTOTAL(109,compras_mes5[PERC IIBB 
BS AS])</f>
        <v>19078.27</v>
      </c>
      <c r="N199" s="411">
        <f>SUBTOTAL(109,compras_mes5[PERC. IIBB CABA])</f>
        <v>285158.522</v>
      </c>
      <c r="O199" s="411">
        <f>SUBTOTAL(109,compras_mes5[Otros / No Grav.])</f>
        <v>57859.299999999996</v>
      </c>
      <c r="P199" s="411">
        <f>SUBTOTAL(109,compras_mes5[TOTAL])</f>
        <v>20309288.505999997</v>
      </c>
      <c r="Q199" s="409"/>
      <c r="R199" s="409"/>
    </row>
    <row r="200" spans="2:19" x14ac:dyDescent="0.3">
      <c r="B200" s="40"/>
      <c r="C200" s="41"/>
      <c r="D200" s="42"/>
      <c r="E200" s="43"/>
      <c r="F200" s="44"/>
      <c r="G200" s="131"/>
      <c r="H200" s="46"/>
      <c r="I200" s="47"/>
      <c r="J200" s="47"/>
      <c r="K200" s="47"/>
      <c r="L200" s="47"/>
      <c r="M200" s="47"/>
      <c r="N200" s="47"/>
      <c r="O200" s="47"/>
      <c r="P200" s="48"/>
      <c r="Q200" s="49"/>
      <c r="R200" s="49"/>
    </row>
    <row r="201" spans="2:19" ht="21" x14ac:dyDescent="0.3">
      <c r="D201" s="653" t="s">
        <v>15</v>
      </c>
      <c r="E201" s="653"/>
      <c r="F201" s="653"/>
      <c r="G201" s="653"/>
      <c r="H201" s="653"/>
      <c r="I201" s="653"/>
      <c r="J201" s="653"/>
      <c r="K201" s="653"/>
      <c r="L201" s="653"/>
    </row>
    <row r="202" spans="2:19" ht="22.5" customHeight="1" x14ac:dyDescent="0.3">
      <c r="D202" s="73" t="s">
        <v>0</v>
      </c>
      <c r="E202" s="74" t="s">
        <v>26</v>
      </c>
      <c r="F202" s="74" t="s">
        <v>16</v>
      </c>
      <c r="G202" s="74" t="s">
        <v>5</v>
      </c>
      <c r="H202" s="74" t="s">
        <v>17</v>
      </c>
      <c r="I202" s="74" t="s">
        <v>7</v>
      </c>
      <c r="J202" s="75" t="s">
        <v>18</v>
      </c>
      <c r="K202" s="75" t="s">
        <v>19</v>
      </c>
      <c r="L202" s="76" t="s">
        <v>20</v>
      </c>
      <c r="M202" s="444" t="s">
        <v>1867</v>
      </c>
    </row>
    <row r="203" spans="2:19" ht="14.25" customHeight="1" x14ac:dyDescent="0.3">
      <c r="D203" s="50">
        <v>45077</v>
      </c>
      <c r="E203" s="80">
        <v>230531</v>
      </c>
      <c r="F203" s="277" t="s">
        <v>115</v>
      </c>
      <c r="G203" s="81">
        <v>12750</v>
      </c>
      <c r="H203" s="81">
        <f>extracto_banco_mes5[[#This Row],[NETO]]*0.21</f>
        <v>2677.5</v>
      </c>
      <c r="I203" s="81"/>
      <c r="J203" s="81">
        <v>638.4</v>
      </c>
      <c r="K203" s="81">
        <v>319.2</v>
      </c>
      <c r="L203" s="81"/>
      <c r="M203" s="443">
        <f>extracto_banco_mes5[[#This Row],[PERC IVA]]+extracto_banco_mes5[[#This Row],[RET IIBB CABA]]+extracto_banco_mes5[[#This Row],[IVA 10,5%]]+extracto_banco_mes5[[#This Row],[IVA 21%]]+extracto_banco_mes5[[#This Row],[NETO]]</f>
        <v>16385.099999999999</v>
      </c>
    </row>
    <row r="204" spans="2:19" x14ac:dyDescent="0.3">
      <c r="D204" s="50">
        <v>45064</v>
      </c>
      <c r="E204" s="80">
        <v>15199708</v>
      </c>
      <c r="F204" s="277" t="s">
        <v>1598</v>
      </c>
      <c r="G204" s="81">
        <v>24995</v>
      </c>
      <c r="H204" s="81">
        <f>extracto_banco_mes5[[#This Row],[NETO]]*0.21</f>
        <v>5248.95</v>
      </c>
      <c r="I204" s="81"/>
      <c r="J204" s="81"/>
      <c r="K204" s="81">
        <v>749.85</v>
      </c>
      <c r="L204" s="81"/>
      <c r="M204" s="443">
        <f>extracto_banco_mes5[[#This Row],[PERC IVA]]+extracto_banco_mes5[[#This Row],[RET IIBB CABA]]+extracto_banco_mes5[[#This Row],[IVA 10,5%]]+extracto_banco_mes5[[#This Row],[IVA 21%]]+extracto_banco_mes5[[#This Row],[NETO]]</f>
        <v>30993.8</v>
      </c>
    </row>
    <row r="205" spans="2:19" x14ac:dyDescent="0.3">
      <c r="D205" s="50">
        <v>45075</v>
      </c>
      <c r="E205" s="80">
        <v>290523</v>
      </c>
      <c r="F205" s="277" t="s">
        <v>116</v>
      </c>
      <c r="G205" s="81">
        <v>1020.1999999999999</v>
      </c>
      <c r="H205" s="81">
        <f>extracto_banco_mes5[[#This Row],[NETO]]*0.21</f>
        <v>214.24199999999999</v>
      </c>
      <c r="I205" s="81"/>
      <c r="J205" s="81">
        <v>5692.6799999999994</v>
      </c>
      <c r="K205" s="81"/>
      <c r="L205" s="81"/>
      <c r="M205" s="443">
        <f>extracto_banco_mes5[[#This Row],[PERC IVA]]+extracto_banco_mes5[[#This Row],[RET IIBB CABA]]+extracto_banco_mes5[[#This Row],[IVA 10,5%]]+extracto_banco_mes5[[#This Row],[IVA 21%]]+extracto_banco_mes5[[#This Row],[NETO]]</f>
        <v>6927.1219999999994</v>
      </c>
    </row>
    <row r="206" spans="2:19" x14ac:dyDescent="0.3">
      <c r="D206" s="437">
        <v>45077</v>
      </c>
      <c r="E206" s="80">
        <v>320523</v>
      </c>
      <c r="F206" s="455" t="s">
        <v>1600</v>
      </c>
      <c r="G206" s="438">
        <v>850</v>
      </c>
      <c r="H206" s="438">
        <f>extracto_banco_mes5[[#This Row],[NETO]]*0.21</f>
        <v>178.5</v>
      </c>
      <c r="I206" s="438"/>
      <c r="J206" s="438"/>
      <c r="K206" s="438"/>
      <c r="L206" s="438"/>
      <c r="M206" s="443">
        <f>extracto_banco_mes5[[#This Row],[PERC IVA]]+extracto_banco_mes5[[#This Row],[RET IIBB CABA]]+extracto_banco_mes5[[#This Row],[IVA 10,5%]]+extracto_banco_mes5[[#This Row],[IVA 21%]]+extracto_banco_mes5[[#This Row],[NETO]]</f>
        <v>1028.5</v>
      </c>
    </row>
    <row r="207" spans="2:19" x14ac:dyDescent="0.3">
      <c r="D207" s="437">
        <v>45063</v>
      </c>
      <c r="E207" s="80">
        <v>170523</v>
      </c>
      <c r="F207" s="455" t="s">
        <v>118</v>
      </c>
      <c r="G207" s="438">
        <v>8814.2900000000009</v>
      </c>
      <c r="H207" s="438">
        <f>extracto_banco_mes5[[#This Row],[NETO]]*0.21</f>
        <v>1851.0009</v>
      </c>
      <c r="I207" s="438"/>
      <c r="J207" s="438">
        <v>525</v>
      </c>
      <c r="K207" s="438">
        <v>262.5</v>
      </c>
      <c r="L207" s="438"/>
      <c r="M207" s="443">
        <f>extracto_banco_mes5[[#This Row],[PERC IVA]]+extracto_banco_mes5[[#This Row],[RET IIBB CABA]]+extracto_banco_mes5[[#This Row],[IVA 10,5%]]+extracto_banco_mes5[[#This Row],[IVA 21%]]+extracto_banco_mes5[[#This Row],[NETO]]</f>
        <v>11452.7909</v>
      </c>
    </row>
    <row r="208" spans="2:19" x14ac:dyDescent="0.3">
      <c r="D208" s="437">
        <v>45077</v>
      </c>
      <c r="E208" s="80">
        <v>310523</v>
      </c>
      <c r="F208" s="455" t="s">
        <v>1874</v>
      </c>
      <c r="G208" s="438" t="s">
        <v>1875</v>
      </c>
      <c r="H208" s="438">
        <v>147</v>
      </c>
      <c r="I208" s="438"/>
      <c r="J208" s="438">
        <v>1037.75</v>
      </c>
      <c r="K208" s="438"/>
      <c r="L208" s="438"/>
      <c r="M208" s="443">
        <v>1729.2</v>
      </c>
    </row>
    <row r="209" spans="4:13" x14ac:dyDescent="0.3">
      <c r="D209" s="437">
        <v>45076</v>
      </c>
      <c r="E209" s="80">
        <v>302305</v>
      </c>
      <c r="F209" s="455" t="s">
        <v>1742</v>
      </c>
      <c r="G209" s="438">
        <v>404644.85710000002</v>
      </c>
      <c r="H209" s="438">
        <v>24926.9</v>
      </c>
      <c r="I209" s="438">
        <v>30024.26</v>
      </c>
      <c r="J209" s="438">
        <v>365310.32000000018</v>
      </c>
      <c r="K209" s="438">
        <v>6582.92</v>
      </c>
      <c r="L209" s="438"/>
      <c r="M209" s="443">
        <f>extracto_banco_mes5[[#This Row],[PERC IVA]]+extracto_banco_mes5[[#This Row],[RET IIBB CABA]]+extracto_banco_mes5[[#This Row],[IVA 10,5%]]+extracto_banco_mes5[[#This Row],[IVA 21%]]+extracto_banco_mes5[[#This Row],[NETO]]</f>
        <v>831489.25710000028</v>
      </c>
    </row>
    <row r="210" spans="4:13" x14ac:dyDescent="0.3">
      <c r="D210" s="439" t="s">
        <v>103</v>
      </c>
      <c r="E210" s="440"/>
      <c r="F210" s="440"/>
      <c r="G210" s="441">
        <f>SUBTOTAL(109,extracto_banco_mes5[NETO])</f>
        <v>453074.34710000001</v>
      </c>
      <c r="H210" s="441">
        <f>SUBTOTAL(109,extracto_banco_mes5[IVA 21%])</f>
        <v>35244.092900000003</v>
      </c>
      <c r="I210" s="441">
        <f>SUBTOTAL(109,extracto_banco_mes5[IVA 10,5%])</f>
        <v>30024.26</v>
      </c>
      <c r="J210" s="441">
        <f>SUBTOTAL(109,extracto_banco_mes5[RET IIBB CABA])</f>
        <v>373204.1500000002</v>
      </c>
      <c r="K210" s="441">
        <f>SUBTOTAL(109,extracto_banco_mes5[PERC IVA])</f>
        <v>7914.47</v>
      </c>
      <c r="L210" s="441">
        <f>SUBTOTAL(109,extracto_banco_mes5[PERC IIBB])</f>
        <v>0</v>
      </c>
      <c r="M210" s="442"/>
    </row>
    <row r="211" spans="4:13" x14ac:dyDescent="0.3">
      <c r="D211" s="439"/>
      <c r="E211" s="440"/>
      <c r="F211" s="440"/>
      <c r="G211" s="441"/>
      <c r="H211" s="441"/>
      <c r="I211" s="441"/>
      <c r="J211" s="441"/>
      <c r="K211" s="441"/>
      <c r="L211" s="441"/>
      <c r="M211" s="442"/>
    </row>
    <row r="212" spans="4:13" ht="21" x14ac:dyDescent="0.3">
      <c r="D212" s="653" t="s">
        <v>25</v>
      </c>
      <c r="E212" s="653"/>
      <c r="F212" s="653"/>
      <c r="G212" s="653"/>
      <c r="H212" s="653"/>
      <c r="I212" s="653"/>
      <c r="J212" s="653"/>
      <c r="K212" s="653"/>
    </row>
    <row r="213" spans="4:13" x14ac:dyDescent="0.3">
      <c r="D213" s="51" t="s">
        <v>0</v>
      </c>
      <c r="E213" s="51" t="s">
        <v>2</v>
      </c>
      <c r="F213" s="51" t="s">
        <v>74</v>
      </c>
      <c r="G213" s="51" t="s">
        <v>3</v>
      </c>
      <c r="H213" s="51" t="s">
        <v>4</v>
      </c>
      <c r="I213" s="52" t="s">
        <v>10</v>
      </c>
      <c r="J213" s="51" t="s">
        <v>13</v>
      </c>
      <c r="K213" s="51" t="s">
        <v>38</v>
      </c>
    </row>
    <row r="214" spans="4:13" x14ac:dyDescent="0.3">
      <c r="D214" s="50">
        <v>45047</v>
      </c>
      <c r="E214" s="42">
        <v>9</v>
      </c>
      <c r="F214" s="412">
        <v>1271</v>
      </c>
      <c r="G214" s="413">
        <v>27243890484</v>
      </c>
      <c r="H214" s="414" t="str">
        <f>IFERROR(IF(factura_c_mes5[[#This Row],[CUIT]]="","-",VLOOKUP(factura_c_mes5[[#This Row],[CUIT]],Lista_CUIT[#All],2,0)),"CUIT NO CARGADO")</f>
        <v>NINFA ESTELA CORREA</v>
      </c>
      <c r="I214" s="415">
        <v>2460.6799999999998</v>
      </c>
      <c r="J214" s="416" t="str">
        <f>IFERROR(IF(factura_c_mes5[[#This Row],[CUIT]]="","-",VLOOKUP(factura_c_mes5[[#This Row],[CUIT]],Lista_CUIT[#All],3,0)),"CUIT NO CARGADO")</f>
        <v>INSUMO</v>
      </c>
      <c r="K214" s="416">
        <f>IFERROR(IF(factura_c_mes5[[#This Row],[CUIT]]="","-",VLOOKUP(factura_c_mes5[[#This Row],[CUIT]],Lista_CUIT[#All],4,0)),"CUIT NO CARGADO")</f>
        <v>0</v>
      </c>
    </row>
    <row r="215" spans="4:13" x14ac:dyDescent="0.3">
      <c r="D215" s="50">
        <v>45047</v>
      </c>
      <c r="E215" s="42">
        <v>3</v>
      </c>
      <c r="F215" s="43">
        <v>355</v>
      </c>
      <c r="G215" s="44">
        <v>20173025557</v>
      </c>
      <c r="H215" s="53" t="str">
        <f>IFERROR(IF(factura_c_mes5[[#This Row],[CUIT]]="","-",VLOOKUP(factura_c_mes5[[#This Row],[CUIT]],Lista_CUIT[#All],2,0)),"CUIT NO CARGADO")</f>
        <v>MARAUDA HECTOR</v>
      </c>
      <c r="I215" s="81">
        <v>1200</v>
      </c>
      <c r="J215" s="54">
        <f>IFERROR(IF(factura_c_mes5[[#This Row],[CUIT]]="","-",VLOOKUP(factura_c_mes5[[#This Row],[CUIT]],Lista_CUIT[#All],3,0)),"CUIT NO CARGADO")</f>
        <v>0</v>
      </c>
      <c r="K215" s="54">
        <f>IFERROR(IF(factura_c_mes5[[#This Row],[CUIT]]="","-",VLOOKUP(factura_c_mes5[[#This Row],[CUIT]],Lista_CUIT[#All],4,0)),"CUIT NO CARGADO")</f>
        <v>0</v>
      </c>
    </row>
    <row r="216" spans="4:13" ht="18" customHeight="1" x14ac:dyDescent="0.3">
      <c r="D216" s="50">
        <v>45048</v>
      </c>
      <c r="E216" s="42">
        <v>3</v>
      </c>
      <c r="F216" s="412">
        <v>403</v>
      </c>
      <c r="G216" s="413">
        <v>20210551574</v>
      </c>
      <c r="H216" s="414" t="str">
        <f>IFERROR(IF(factura_c_mes5[[#This Row],[CUIT]]="","-",VLOOKUP(factura_c_mes5[[#This Row],[CUIT]],Lista_CUIT[#All],2,0)),"CUIT NO CARGADO")</f>
        <v>REUS JORGE DIEGO</v>
      </c>
      <c r="I216" s="415">
        <v>42000</v>
      </c>
      <c r="J216" s="416" t="str">
        <f>IFERROR(IF(factura_c_mes5[[#This Row],[CUIT]]="","-",VLOOKUP(factura_c_mes5[[#This Row],[CUIT]],Lista_CUIT[#All],3,0)),"CUIT NO CARGADO")</f>
        <v>HONORARIOS PROFESIONALES</v>
      </c>
      <c r="K216" s="416">
        <f>IFERROR(IF(factura_c_mes5[[#This Row],[CUIT]]="","-",VLOOKUP(factura_c_mes5[[#This Row],[CUIT]],Lista_CUIT[#All],4,0)),"CUIT NO CARGADO")</f>
        <v>0</v>
      </c>
    </row>
    <row r="217" spans="4:13" x14ac:dyDescent="0.3">
      <c r="D217" s="50">
        <v>45048</v>
      </c>
      <c r="E217" s="42">
        <v>3</v>
      </c>
      <c r="F217" s="412">
        <v>727</v>
      </c>
      <c r="G217" s="413">
        <v>20086277523</v>
      </c>
      <c r="H217" s="414" t="str">
        <f>IFERROR(IF(factura_c_mes5[[#This Row],[CUIT]]="","-",VLOOKUP(factura_c_mes5[[#This Row],[CUIT]],Lista_CUIT[#All],2,0)),"CUIT NO CARGADO")</f>
        <v>BOTINDARI JUAN CARLOS</v>
      </c>
      <c r="I217" s="415">
        <v>81000</v>
      </c>
      <c r="J217" s="416" t="str">
        <f>IFERROR(IF(factura_c_mes5[[#This Row],[CUIT]]="","-",VLOOKUP(factura_c_mes5[[#This Row],[CUIT]],Lista_CUIT[#All],3,0)),"CUIT NO CARGADO")</f>
        <v>HONORARIOS</v>
      </c>
      <c r="K217" s="416" t="str">
        <f>IFERROR(IF(factura_c_mes5[[#This Row],[CUIT]]="","-",VLOOKUP(factura_c_mes5[[#This Row],[CUIT]],Lista_CUIT[#All],4,0)),"CUIT NO CARGADO")</f>
        <v>CABA</v>
      </c>
    </row>
    <row r="218" spans="4:13" x14ac:dyDescent="0.3">
      <c r="D218" s="50">
        <v>45049</v>
      </c>
      <c r="E218" s="42">
        <v>3</v>
      </c>
      <c r="F218" s="412">
        <v>629</v>
      </c>
      <c r="G218" s="413">
        <v>27326035306</v>
      </c>
      <c r="H218" s="414" t="str">
        <f>IFERROR(IF(factura_c_mes5[[#This Row],[CUIT]]="","-",VLOOKUP(factura_c_mes5[[#This Row],[CUIT]],Lista_CUIT[#All],2,0)),"CUIT NO CARGADO")</f>
        <v>AUNE SOFIA ESMERALDA</v>
      </c>
      <c r="I218" s="415">
        <v>8997</v>
      </c>
      <c r="J218" s="416">
        <f>IFERROR(IF(factura_c_mes5[[#This Row],[CUIT]]="","-",VLOOKUP(factura_c_mes5[[#This Row],[CUIT]],Lista_CUIT[#All],3,0)),"CUIT NO CARGADO")</f>
        <v>0</v>
      </c>
      <c r="K218" s="416">
        <f>IFERROR(IF(factura_c_mes5[[#This Row],[CUIT]]="","-",VLOOKUP(factura_c_mes5[[#This Row],[CUIT]],Lista_CUIT[#All],4,0)),"CUIT NO CARGADO")</f>
        <v>0</v>
      </c>
    </row>
    <row r="219" spans="4:13" x14ac:dyDescent="0.3">
      <c r="D219" s="50">
        <v>45050</v>
      </c>
      <c r="E219" s="42">
        <v>8</v>
      </c>
      <c r="F219" s="412">
        <v>326</v>
      </c>
      <c r="G219" s="413">
        <v>27409592487</v>
      </c>
      <c r="H219" s="414" t="str">
        <f>IFERROR(IF(factura_c_mes5[[#This Row],[CUIT]]="","-",VLOOKUP(factura_c_mes5[[#This Row],[CUIT]],Lista_CUIT[#All],2,0)),"CUIT NO CARGADO")</f>
        <v>BAUDONE ANTONELLA AGOSTINA</v>
      </c>
      <c r="I219" s="415">
        <v>10500</v>
      </c>
      <c r="J219" s="416">
        <f>IFERROR(IF(factura_c_mes5[[#This Row],[CUIT]]="","-",VLOOKUP(factura_c_mes5[[#This Row],[CUIT]],Lista_CUIT[#All],3,0)),"CUIT NO CARGADO")</f>
        <v>0</v>
      </c>
      <c r="K219" s="416">
        <f>IFERROR(IF(factura_c_mes5[[#This Row],[CUIT]]="","-",VLOOKUP(factura_c_mes5[[#This Row],[CUIT]],Lista_CUIT[#All],4,0)),"CUIT NO CARGADO")</f>
        <v>0</v>
      </c>
    </row>
    <row r="220" spans="4:13" x14ac:dyDescent="0.3">
      <c r="D220" s="50">
        <v>45051</v>
      </c>
      <c r="E220" s="42">
        <v>2</v>
      </c>
      <c r="F220" s="412">
        <v>233</v>
      </c>
      <c r="G220" s="413">
        <v>23319210954</v>
      </c>
      <c r="H220" s="414" t="str">
        <f>IFERROR(IF(factura_c_mes5[[#This Row],[CUIT]]="","-",VLOOKUP(factura_c_mes5[[#This Row],[CUIT]],Lista_CUIT[#All],2,0)),"CUIT NO CARGADO")</f>
        <v>CAFFARATTI ROMINA PAOLA</v>
      </c>
      <c r="I220" s="415">
        <v>29190</v>
      </c>
      <c r="J220" s="416" t="str">
        <f>IFERROR(IF(factura_c_mes5[[#This Row],[CUIT]]="","-",VLOOKUP(factura_c_mes5[[#This Row],[CUIT]],Lista_CUIT[#All],3,0)),"CUIT NO CARGADO")</f>
        <v>HONORARIOS</v>
      </c>
      <c r="K220" s="416">
        <f>IFERROR(IF(factura_c_mes5[[#This Row],[CUIT]]="","-",VLOOKUP(factura_c_mes5[[#This Row],[CUIT]],Lista_CUIT[#All],4,0)),"CUIT NO CARGADO")</f>
        <v>0</v>
      </c>
    </row>
    <row r="221" spans="4:13" x14ac:dyDescent="0.3">
      <c r="D221" s="50">
        <v>45051</v>
      </c>
      <c r="E221" s="401">
        <v>2</v>
      </c>
      <c r="F221" s="412">
        <v>16</v>
      </c>
      <c r="G221" s="413">
        <v>20298547822</v>
      </c>
      <c r="H221" s="414" t="str">
        <f>IFERROR(IF(factura_c_mes5[[#This Row],[CUIT]]="","-",VLOOKUP(factura_c_mes5[[#This Row],[CUIT]],Lista_CUIT[#All],2,0)),"CUIT NO CARGADO")</f>
        <v>BORGES NELSON MAURICIO</v>
      </c>
      <c r="I221" s="415">
        <v>1500</v>
      </c>
      <c r="J221" s="416" t="str">
        <f>IFERROR(IF(factura_c_mes5[[#This Row],[CUIT]]="","-",VLOOKUP(factura_c_mes5[[#This Row],[CUIT]],Lista_CUIT[#All],3,0)),"CUIT NO CARGADO")</f>
        <v>Gastos Vehiculo</v>
      </c>
      <c r="K221" s="416">
        <f>IFERROR(IF(factura_c_mes5[[#This Row],[CUIT]]="","-",VLOOKUP(factura_c_mes5[[#This Row],[CUIT]],Lista_CUIT[#All],4,0)),"CUIT NO CARGADO")</f>
        <v>0</v>
      </c>
    </row>
    <row r="222" spans="4:13" x14ac:dyDescent="0.3">
      <c r="D222" s="50">
        <v>45054</v>
      </c>
      <c r="E222" s="42">
        <v>9</v>
      </c>
      <c r="F222" s="412">
        <v>3727975</v>
      </c>
      <c r="G222" s="413">
        <v>33715179119</v>
      </c>
      <c r="H222" s="414" t="str">
        <f>IFERROR(IF(factura_c_mes5[[#This Row],[CUIT]]="","-",VLOOKUP(factura_c_mes5[[#This Row],[CUIT]],Lista_CUIT[#All],2,0)),"CUIT NO CARGADO")</f>
        <v>FONDO DE COOPERACION TECNICA Y FINANCIERA - CECBA - SL Y T - LEY 23.412</v>
      </c>
      <c r="I222" s="415">
        <v>2565</v>
      </c>
      <c r="J222" s="416">
        <f>IFERROR(IF(factura_c_mes5[[#This Row],[CUIT]]="","-",VLOOKUP(factura_c_mes5[[#This Row],[CUIT]],Lista_CUIT[#All],3,0)),"CUIT NO CARGADO")</f>
        <v>0</v>
      </c>
      <c r="K222" s="416">
        <f>IFERROR(IF(factura_c_mes5[[#This Row],[CUIT]]="","-",VLOOKUP(factura_c_mes5[[#This Row],[CUIT]],Lista_CUIT[#All],4,0)),"CUIT NO CARGADO")</f>
        <v>0</v>
      </c>
    </row>
    <row r="223" spans="4:13" x14ac:dyDescent="0.3">
      <c r="D223" s="50">
        <v>45057</v>
      </c>
      <c r="E223" s="401">
        <v>33</v>
      </c>
      <c r="F223" s="412">
        <v>18805</v>
      </c>
      <c r="G223" s="413">
        <v>30707924906</v>
      </c>
      <c r="H223" s="414" t="str">
        <f>IFERROR(IF(factura_c_mes5[[#This Row],[CUIT]]="","-",VLOOKUP(factura_c_mes5[[#This Row],[CUIT]],Lista_CUIT[#All],2,0)),"CUIT NO CARGADO")</f>
        <v>BLUECAR SA</v>
      </c>
      <c r="I223" s="415">
        <v>922.52</v>
      </c>
      <c r="J223" s="416" t="str">
        <f>IFERROR(IF(factura_c_mes5[[#This Row],[CUIT]]="","-",VLOOKUP(factura_c_mes5[[#This Row],[CUIT]],Lista_CUIT[#All],3,0)),"CUIT NO CARGADO")</f>
        <v>INSUMO</v>
      </c>
      <c r="K223" s="416">
        <f>IFERROR(IF(factura_c_mes5[[#This Row],[CUIT]]="","-",VLOOKUP(factura_c_mes5[[#This Row],[CUIT]],Lista_CUIT[#All],4,0)),"CUIT NO CARGADO")</f>
        <v>0</v>
      </c>
    </row>
    <row r="224" spans="4:13" x14ac:dyDescent="0.3">
      <c r="D224" s="50">
        <v>45058</v>
      </c>
      <c r="E224" s="401">
        <v>1004</v>
      </c>
      <c r="F224" s="412">
        <v>32909</v>
      </c>
      <c r="G224" s="413">
        <v>30712289046</v>
      </c>
      <c r="H224" s="414" t="str">
        <f>IFERROR(IF(factura_c_mes5[[#This Row],[CUIT]]="","-",VLOOKUP(factura_c_mes5[[#This Row],[CUIT]],Lista_CUIT[#All],2,0)),"CUIT NO CARGADO")</f>
        <v>IMPIERI PIÑEIRO RIZZO Y ASOC SA</v>
      </c>
      <c r="I224" s="415">
        <v>699.99</v>
      </c>
      <c r="J224" s="416">
        <f>IFERROR(IF(factura_c_mes5[[#This Row],[CUIT]]="","-",VLOOKUP(factura_c_mes5[[#This Row],[CUIT]],Lista_CUIT[#All],3,0)),"CUIT NO CARGADO")</f>
        <v>0</v>
      </c>
      <c r="K224" s="416">
        <f>IFERROR(IF(factura_c_mes5[[#This Row],[CUIT]]="","-",VLOOKUP(factura_c_mes5[[#This Row],[CUIT]],Lista_CUIT[#All],4,0)),"CUIT NO CARGADO")</f>
        <v>0</v>
      </c>
    </row>
    <row r="225" spans="2:18" x14ac:dyDescent="0.3">
      <c r="D225" s="50">
        <v>45062</v>
      </c>
      <c r="E225" s="42">
        <v>2</v>
      </c>
      <c r="F225" s="412">
        <v>280</v>
      </c>
      <c r="G225" s="413">
        <v>20300814094</v>
      </c>
      <c r="H225" s="414" t="str">
        <f>IFERROR(IF(factura_c_mes5[[#This Row],[CUIT]]="","-",VLOOKUP(factura_c_mes5[[#This Row],[CUIT]],Lista_CUIT[#All],2,0)),"CUIT NO CARGADO")</f>
        <v>FARRAPEIRA OSCAR MAXIMO</v>
      </c>
      <c r="I225" s="415">
        <v>315404.75</v>
      </c>
      <c r="J225" s="416">
        <f>IFERROR(IF(factura_c_mes5[[#This Row],[CUIT]]="","-",VLOOKUP(factura_c_mes5[[#This Row],[CUIT]],Lista_CUIT[#All],3,0)),"CUIT NO CARGADO")</f>
        <v>0</v>
      </c>
      <c r="K225" s="416">
        <f>IFERROR(IF(factura_c_mes5[[#This Row],[CUIT]]="","-",VLOOKUP(factura_c_mes5[[#This Row],[CUIT]],Lista_CUIT[#All],4,0)),"CUIT NO CARGADO")</f>
        <v>0</v>
      </c>
    </row>
    <row r="226" spans="2:18" x14ac:dyDescent="0.3">
      <c r="D226" s="50">
        <v>45063</v>
      </c>
      <c r="E226" s="42">
        <v>1</v>
      </c>
      <c r="F226" s="412">
        <v>31</v>
      </c>
      <c r="G226" s="413">
        <v>30717504824</v>
      </c>
      <c r="H226" s="414" t="str">
        <f>IFERROR(IF(factura_c_mes5[[#This Row],[CUIT]]="","-",VLOOKUP(factura_c_mes5[[#This Row],[CUIT]],Lista_CUIT[#All],2,0)),"CUIT NO CARGADO")</f>
        <v>FIDEICOMISO MAMBA</v>
      </c>
      <c r="I226" s="415">
        <v>655200</v>
      </c>
      <c r="J226" s="416">
        <f>IFERROR(IF(factura_c_mes5[[#This Row],[CUIT]]="","-",VLOOKUP(factura_c_mes5[[#This Row],[CUIT]],Lista_CUIT[#All],3,0)),"CUIT NO CARGADO")</f>
        <v>0</v>
      </c>
      <c r="K226" s="416">
        <f>IFERROR(IF(factura_c_mes5[[#This Row],[CUIT]]="","-",VLOOKUP(factura_c_mes5[[#This Row],[CUIT]],Lista_CUIT[#All],4,0)),"CUIT NO CARGADO")</f>
        <v>0</v>
      </c>
    </row>
    <row r="227" spans="2:18" x14ac:dyDescent="0.3">
      <c r="D227" s="50">
        <v>45064</v>
      </c>
      <c r="E227" s="42">
        <v>3</v>
      </c>
      <c r="F227" s="412">
        <v>346</v>
      </c>
      <c r="G227" s="413">
        <v>20268898221</v>
      </c>
      <c r="H227" s="414" t="str">
        <f>IFERROR(IF(factura_c_mes5[[#This Row],[CUIT]]="","-",VLOOKUP(factura_c_mes5[[#This Row],[CUIT]],Lista_CUIT[#All],2,0)),"CUIT NO CARGADO")</f>
        <v>NAGEL DANIEL ALEJANDRO</v>
      </c>
      <c r="I227" s="415">
        <v>120000</v>
      </c>
      <c r="J227" s="416">
        <f>IFERROR(IF(factura_c_mes5[[#This Row],[CUIT]]="","-",VLOOKUP(factura_c_mes5[[#This Row],[CUIT]],Lista_CUIT[#All],3,0)),"CUIT NO CARGADO")</f>
        <v>0</v>
      </c>
      <c r="K227" s="416">
        <f>IFERROR(IF(factura_c_mes5[[#This Row],[CUIT]]="","-",VLOOKUP(factura_c_mes5[[#This Row],[CUIT]],Lista_CUIT[#All],4,0)),"CUIT NO CARGADO")</f>
        <v>0</v>
      </c>
    </row>
    <row r="228" spans="2:18" x14ac:dyDescent="0.3">
      <c r="D228" s="50">
        <v>45064</v>
      </c>
      <c r="E228" s="42">
        <v>1</v>
      </c>
      <c r="F228" s="412">
        <v>7</v>
      </c>
      <c r="G228" s="413">
        <v>30717223299</v>
      </c>
      <c r="H228" s="414" t="str">
        <f>IFERROR(IF(factura_c_mes5[[#This Row],[CUIT]]="","-",VLOOKUP(factura_c_mes5[[#This Row],[CUIT]],Lista_CUIT[#All],2,0)),"CUIT NO CARGADO")</f>
        <v>ASOCIACION CIVIL DE ESTETICA, PELUQUERIA Y MAQUILLAJE ACEPYM</v>
      </c>
      <c r="I228" s="415">
        <v>500000</v>
      </c>
      <c r="J228" s="416">
        <f>IFERROR(IF(factura_c_mes5[[#This Row],[CUIT]]="","-",VLOOKUP(factura_c_mes5[[#This Row],[CUIT]],Lista_CUIT[#All],3,0)),"CUIT NO CARGADO")</f>
        <v>0</v>
      </c>
      <c r="K228" s="416">
        <f>IFERROR(IF(factura_c_mes5[[#This Row],[CUIT]]="","-",VLOOKUP(factura_c_mes5[[#This Row],[CUIT]],Lista_CUIT[#All],4,0)),"CUIT NO CARGADO")</f>
        <v>0</v>
      </c>
    </row>
    <row r="229" spans="2:18" x14ac:dyDescent="0.3">
      <c r="B229" s="56"/>
      <c r="C229" s="56"/>
      <c r="D229" s="50">
        <v>45064</v>
      </c>
      <c r="E229" s="401">
        <v>2406</v>
      </c>
      <c r="F229" s="412">
        <v>187632</v>
      </c>
      <c r="G229" s="413">
        <v>30708574836</v>
      </c>
      <c r="H229" s="414" t="str">
        <f>IFERROR(IF(factura_c_mes5[[#This Row],[CUIT]]="","-",VLOOKUP(factura_c_mes5[[#This Row],[CUIT]],Lista_CUIT[#All],2,0)),"CUIT NO CARGADO")</f>
        <v>CORREO OFICIAL DE LA REPUBLICA ARGENTINA SOCIEDAD ANONIMA</v>
      </c>
      <c r="I229" s="415">
        <v>2300</v>
      </c>
      <c r="J229" s="416" t="str">
        <f>IFERROR(IF(factura_c_mes5[[#This Row],[CUIT]]="","-",VLOOKUP(factura_c_mes5[[#This Row],[CUIT]],Lista_CUIT[#All],3,0)),"CUIT NO CARGADO")</f>
        <v>MESAJERIA</v>
      </c>
      <c r="K229" s="416">
        <f>IFERROR(IF(factura_c_mes5[[#This Row],[CUIT]]="","-",VLOOKUP(factura_c_mes5[[#This Row],[CUIT]],Lista_CUIT[#All],4,0)),"CUIT NO CARGADO")</f>
        <v>0</v>
      </c>
      <c r="L229" s="56"/>
      <c r="M229" s="56"/>
      <c r="N229" s="56"/>
      <c r="O229" s="56"/>
      <c r="P229" s="56"/>
      <c r="Q229" s="56"/>
      <c r="R229" s="56"/>
    </row>
    <row r="230" spans="2:18" x14ac:dyDescent="0.3">
      <c r="D230" s="50">
        <v>45068</v>
      </c>
      <c r="E230" s="42">
        <v>18</v>
      </c>
      <c r="F230" s="412">
        <v>530993</v>
      </c>
      <c r="G230" s="413">
        <v>33709180849</v>
      </c>
      <c r="H230" s="414" t="str">
        <f>IFERROR(IF(factura_c_mes5[[#This Row],[CUIT]]="","-",VLOOKUP(factura_c_mes5[[#This Row],[CUIT]],Lista_CUIT[#All],2,0)),"CUIT NO CARGADO")</f>
        <v>PILISAR SOCIEDAD ANONIMA</v>
      </c>
      <c r="I230" s="415">
        <v>46999</v>
      </c>
      <c r="J230" s="416">
        <f>IFERROR(IF(factura_c_mes5[[#This Row],[CUIT]]="","-",VLOOKUP(factura_c_mes5[[#This Row],[CUIT]],Lista_CUIT[#All],3,0)),"CUIT NO CARGADO")</f>
        <v>0</v>
      </c>
      <c r="K230" s="416">
        <f>IFERROR(IF(factura_c_mes5[[#This Row],[CUIT]]="","-",VLOOKUP(factura_c_mes5[[#This Row],[CUIT]],Lista_CUIT[#All],4,0)),"CUIT NO CARGADO")</f>
        <v>0</v>
      </c>
    </row>
    <row r="231" spans="2:18" x14ac:dyDescent="0.3">
      <c r="D231" s="50">
        <v>45070</v>
      </c>
      <c r="E231" s="42">
        <v>1</v>
      </c>
      <c r="F231" s="43">
        <v>8</v>
      </c>
      <c r="G231" s="44">
        <v>30717223299</v>
      </c>
      <c r="H231" s="53" t="str">
        <f>IFERROR(IF(factura_c_mes5[[#This Row],[CUIT]]="","-",VLOOKUP(factura_c_mes5[[#This Row],[CUIT]],Lista_CUIT[#All],2,0)),"CUIT NO CARGADO")</f>
        <v>ASOCIACION CIVIL DE ESTETICA, PELUQUERIA Y MAQUILLAJE ACEPYM</v>
      </c>
      <c r="I231" s="81">
        <v>500000</v>
      </c>
      <c r="J231" s="54">
        <f>IFERROR(IF(factura_c_mes5[[#This Row],[CUIT]]="","-",VLOOKUP(factura_c_mes5[[#This Row],[CUIT]],Lista_CUIT[#All],3,0)),"CUIT NO CARGADO")</f>
        <v>0</v>
      </c>
      <c r="K231" s="54">
        <f>IFERROR(IF(factura_c_mes5[[#This Row],[CUIT]]="","-",VLOOKUP(factura_c_mes5[[#This Row],[CUIT]],Lista_CUIT[#All],4,0)),"CUIT NO CARGADO")</f>
        <v>0</v>
      </c>
    </row>
    <row r="232" spans="2:18" x14ac:dyDescent="0.3">
      <c r="D232" s="50">
        <v>45070</v>
      </c>
      <c r="E232" s="42">
        <v>8</v>
      </c>
      <c r="F232" s="43">
        <v>350</v>
      </c>
      <c r="G232" s="44">
        <v>27409592487</v>
      </c>
      <c r="H232" s="53" t="str">
        <f>IFERROR(IF(factura_c_mes5[[#This Row],[CUIT]]="","-",VLOOKUP(factura_c_mes5[[#This Row],[CUIT]],Lista_CUIT[#All],2,0)),"CUIT NO CARGADO")</f>
        <v>BAUDONE ANTONELLA AGOSTINA</v>
      </c>
      <c r="I232" s="81">
        <v>39000</v>
      </c>
      <c r="J232" s="54">
        <f>IFERROR(IF(factura_c_mes5[[#This Row],[CUIT]]="","-",VLOOKUP(factura_c_mes5[[#This Row],[CUIT]],Lista_CUIT[#All],3,0)),"CUIT NO CARGADO")</f>
        <v>0</v>
      </c>
      <c r="K232" s="54">
        <f>IFERROR(IF(factura_c_mes5[[#This Row],[CUIT]]="","-",VLOOKUP(factura_c_mes5[[#This Row],[CUIT]],Lista_CUIT[#All],4,0)),"CUIT NO CARGADO")</f>
        <v>0</v>
      </c>
    </row>
    <row r="233" spans="2:18" x14ac:dyDescent="0.3">
      <c r="D233" s="50">
        <v>45070</v>
      </c>
      <c r="E233" s="42">
        <v>33</v>
      </c>
      <c r="F233" s="412">
        <v>383350</v>
      </c>
      <c r="G233" s="413">
        <v>30628724497</v>
      </c>
      <c r="H233" s="414" t="str">
        <f>IFERROR(IF(factura_c_mes5[[#This Row],[CUIT]]="","-",VLOOKUP(factura_c_mes5[[#This Row],[CUIT]],Lista_CUIT[#All],2,0)),"CUIT NO CARGADO")</f>
        <v>HIDROAL  SA</v>
      </c>
      <c r="I233" s="415">
        <v>22499.25</v>
      </c>
      <c r="J233" s="416">
        <f>IFERROR(IF(factura_c_mes5[[#This Row],[CUIT]]="","-",VLOOKUP(factura_c_mes5[[#This Row],[CUIT]],Lista_CUIT[#All],3,0)),"CUIT NO CARGADO")</f>
        <v>0</v>
      </c>
      <c r="K233" s="416">
        <f>IFERROR(IF(factura_c_mes5[[#This Row],[CUIT]]="","-",VLOOKUP(factura_c_mes5[[#This Row],[CUIT]],Lista_CUIT[#All],4,0)),"CUIT NO CARGADO")</f>
        <v>0</v>
      </c>
    </row>
    <row r="234" spans="2:18" ht="17.25" customHeight="1" x14ac:dyDescent="0.3">
      <c r="D234" s="50">
        <v>45070</v>
      </c>
      <c r="E234" s="42">
        <v>33</v>
      </c>
      <c r="F234" s="412">
        <v>383352</v>
      </c>
      <c r="G234" s="413">
        <v>30628724497</v>
      </c>
      <c r="H234" s="414" t="str">
        <f>IFERROR(IF(factura_c_mes5[[#This Row],[CUIT]]="","-",VLOOKUP(factura_c_mes5[[#This Row],[CUIT]],Lista_CUIT[#All],2,0)),"CUIT NO CARGADO")</f>
        <v>HIDROAL  SA</v>
      </c>
      <c r="I234" s="415">
        <v>22499.25</v>
      </c>
      <c r="J234" s="416">
        <f>IFERROR(IF(factura_c_mes5[[#This Row],[CUIT]]="","-",VLOOKUP(factura_c_mes5[[#This Row],[CUIT]],Lista_CUIT[#All],3,0)),"CUIT NO CARGADO")</f>
        <v>0</v>
      </c>
      <c r="K234" s="416">
        <f>IFERROR(IF(factura_c_mes5[[#This Row],[CUIT]]="","-",VLOOKUP(factura_c_mes5[[#This Row],[CUIT]],Lista_CUIT[#All],4,0)),"CUIT NO CARGADO")</f>
        <v>0</v>
      </c>
    </row>
    <row r="235" spans="2:18" x14ac:dyDescent="0.3">
      <c r="D235" s="50">
        <v>45070</v>
      </c>
      <c r="E235" s="401">
        <v>33</v>
      </c>
      <c r="F235" s="412">
        <v>383340</v>
      </c>
      <c r="G235" s="413">
        <v>30628724497</v>
      </c>
      <c r="H235" s="414" t="str">
        <f>IFERROR(IF(factura_c_mes5[[#This Row],[CUIT]]="","-",VLOOKUP(factura_c_mes5[[#This Row],[CUIT]],Lista_CUIT[#All],2,0)),"CUIT NO CARGADO")</f>
        <v>HIDROAL  SA</v>
      </c>
      <c r="I235" s="415">
        <v>17999.25</v>
      </c>
      <c r="J235" s="416">
        <f>IFERROR(IF(factura_c_mes5[[#This Row],[CUIT]]="","-",VLOOKUP(factura_c_mes5[[#This Row],[CUIT]],Lista_CUIT[#All],3,0)),"CUIT NO CARGADO")</f>
        <v>0</v>
      </c>
      <c r="K235" s="416">
        <f>IFERROR(IF(factura_c_mes5[[#This Row],[CUIT]]="","-",VLOOKUP(factura_c_mes5[[#This Row],[CUIT]],Lista_CUIT[#All],4,0)),"CUIT NO CARGADO")</f>
        <v>0</v>
      </c>
    </row>
    <row r="236" spans="2:18" x14ac:dyDescent="0.3">
      <c r="D236" s="50">
        <v>45075</v>
      </c>
      <c r="E236" s="42">
        <v>5</v>
      </c>
      <c r="F236" s="43">
        <v>618</v>
      </c>
      <c r="G236" s="44">
        <v>23316519539</v>
      </c>
      <c r="H236" s="53" t="str">
        <f>IFERROR(IF(factura_c_mes5[[#This Row],[CUIT]]="","-",VLOOKUP(factura_c_mes5[[#This Row],[CUIT]],Lista_CUIT[#All],2,0)),"CUIT NO CARGADO")</f>
        <v>LOPEZ MARTIN ALEJANDRO</v>
      </c>
      <c r="I236" s="81">
        <v>7000</v>
      </c>
      <c r="J236" s="54">
        <f>IFERROR(IF(factura_c_mes5[[#This Row],[CUIT]]="","-",VLOOKUP(factura_c_mes5[[#This Row],[CUIT]],Lista_CUIT[#All],3,0)),"CUIT NO CARGADO")</f>
        <v>0</v>
      </c>
      <c r="K236" s="54">
        <f>IFERROR(IF(factura_c_mes5[[#This Row],[CUIT]]="","-",VLOOKUP(factura_c_mes5[[#This Row],[CUIT]],Lista_CUIT[#All],4,0)),"CUIT NO CARGADO")</f>
        <v>0</v>
      </c>
    </row>
    <row r="237" spans="2:18" x14ac:dyDescent="0.3">
      <c r="D237" s="50">
        <v>45075</v>
      </c>
      <c r="E237" s="401">
        <v>11</v>
      </c>
      <c r="F237" s="412">
        <v>66647</v>
      </c>
      <c r="G237" s="413">
        <v>30715537512</v>
      </c>
      <c r="H237" s="414" t="str">
        <f>IFERROR(IF(factura_c_mes5[[#This Row],[CUIT]]="","-",VLOOKUP(factura_c_mes5[[#This Row],[CUIT]],Lista_CUIT[#All],2,0)),"CUIT NO CARGADO")</f>
        <v>ESTACION DE SERVICIO ALCOVER SRL</v>
      </c>
      <c r="I237" s="415">
        <v>470</v>
      </c>
      <c r="J237" s="416" t="str">
        <f>IFERROR(IF(factura_c_mes5[[#This Row],[CUIT]]="","-",VLOOKUP(factura_c_mes5[[#This Row],[CUIT]],Lista_CUIT[#All],3,0)),"CUIT NO CARGADO")</f>
        <v>COMBUSTIBLE</v>
      </c>
      <c r="K237" s="416">
        <f>IFERROR(IF(factura_c_mes5[[#This Row],[CUIT]]="","-",VLOOKUP(factura_c_mes5[[#This Row],[CUIT]],Lista_CUIT[#All],4,0)),"CUIT NO CARGADO")</f>
        <v>0</v>
      </c>
    </row>
    <row r="238" spans="2:18" x14ac:dyDescent="0.3">
      <c r="D238" s="50">
        <v>45076</v>
      </c>
      <c r="E238" s="401">
        <v>2036</v>
      </c>
      <c r="F238" s="412">
        <v>939760</v>
      </c>
      <c r="G238" s="413">
        <v>30516186670</v>
      </c>
      <c r="H238" s="414" t="str">
        <f>IFERROR(IF(factura_c_mes5[[#This Row],[CUIT]]="","-",VLOOKUP(factura_c_mes5[[#This Row],[CUIT]],Lista_CUIT[#All],2,0)),"CUIT NO CARGADO")</f>
        <v>DEHEZA S.A.I.C.F. e I.</v>
      </c>
      <c r="I238" s="415">
        <v>599.88</v>
      </c>
      <c r="J238" s="416" t="str">
        <f>IFERROR(IF(factura_c_mes5[[#This Row],[CUIT]]="","-",VLOOKUP(factura_c_mes5[[#This Row],[CUIT]],Lista_CUIT[#All],3,0)),"CUIT NO CARGADO")</f>
        <v>COMBUSTIBLE</v>
      </c>
      <c r="K238" s="416" t="str">
        <f>IFERROR(IF(factura_c_mes5[[#This Row],[CUIT]]="","-",VLOOKUP(factura_c_mes5[[#This Row],[CUIT]],Lista_CUIT[#All],4,0)),"CUIT NO CARGADO")</f>
        <v>CABA</v>
      </c>
    </row>
    <row r="239" spans="2:18" x14ac:dyDescent="0.3">
      <c r="D239" s="417" t="s">
        <v>103</v>
      </c>
      <c r="E239" s="417"/>
      <c r="F239" s="417"/>
      <c r="G239" s="417"/>
      <c r="H239" s="418"/>
      <c r="I239" s="419">
        <f>SUBTOTAL(109,factura_c_mes5[TOTAL])</f>
        <v>2431006.5699999998</v>
      </c>
      <c r="J239" s="417"/>
      <c r="K239" s="417"/>
    </row>
    <row r="240" spans="2:18" x14ac:dyDescent="0.3">
      <c r="D240" s="417"/>
      <c r="E240" s="417"/>
      <c r="F240" s="417"/>
      <c r="G240" s="417"/>
      <c r="H240" s="418"/>
      <c r="I240" s="419"/>
      <c r="J240" s="417"/>
      <c r="K240" s="417"/>
    </row>
    <row r="241" spans="2:13" ht="25.8" x14ac:dyDescent="0.3">
      <c r="B241" s="661" t="s">
        <v>29</v>
      </c>
      <c r="C241" s="661"/>
      <c r="D241" s="661"/>
      <c r="E241" s="661"/>
      <c r="F241" s="661"/>
      <c r="G241" s="661"/>
      <c r="H241" s="661"/>
      <c r="I241" s="661"/>
      <c r="J241" s="661"/>
      <c r="K241" s="657">
        <f>N1</f>
        <v>45047</v>
      </c>
      <c r="L241" s="657"/>
      <c r="M241" s="657"/>
    </row>
    <row r="242" spans="2:13" ht="19.2" customHeight="1" x14ac:dyDescent="0.3"/>
    <row r="243" spans="2:13" ht="28.95" customHeight="1" x14ac:dyDescent="0.3">
      <c r="B243" s="654" t="s">
        <v>1729</v>
      </c>
      <c r="C243" s="654"/>
    </row>
    <row r="244" spans="2:13" ht="15.6" x14ac:dyDescent="0.3">
      <c r="B244" s="60" t="s">
        <v>0</v>
      </c>
      <c r="C244" s="61" t="s">
        <v>1</v>
      </c>
      <c r="D244" s="61" t="s">
        <v>21</v>
      </c>
      <c r="E244" s="61" t="s">
        <v>22</v>
      </c>
      <c r="F244" s="61" t="s">
        <v>3</v>
      </c>
      <c r="G244" s="61" t="s">
        <v>4</v>
      </c>
      <c r="H244" s="61" t="s">
        <v>23</v>
      </c>
      <c r="I244" s="61" t="s">
        <v>17</v>
      </c>
      <c r="J244" s="61" t="s">
        <v>7</v>
      </c>
      <c r="K244" s="61" t="s">
        <v>24</v>
      </c>
      <c r="L244" s="61" t="s">
        <v>10</v>
      </c>
      <c r="M244" s="62" t="s">
        <v>38</v>
      </c>
    </row>
    <row r="245" spans="2:13" x14ac:dyDescent="0.3">
      <c r="B245" s="40"/>
      <c r="C245" s="41"/>
      <c r="D245" s="42"/>
      <c r="E245" s="43"/>
      <c r="F245" s="44"/>
      <c r="G245" s="99" t="str">
        <f>IFERROR(IF(venta_a_mes5[[#This Row],[CUIT]]="","-",VLOOKUP(venta_a_mes5[[#This Row],[CUIT]],Lista_CUIT[#All],2,0)),"CUIT NO CARGADO")</f>
        <v>-</v>
      </c>
      <c r="H245" s="100"/>
      <c r="I245" s="101"/>
      <c r="J245" s="65"/>
      <c r="K245" s="65"/>
      <c r="L245" s="65">
        <f>SUM(venta_a_mes5[[#This Row],[IMPORTE NETO]:[EXENTO]])</f>
        <v>0</v>
      </c>
      <c r="M245" s="59"/>
    </row>
    <row r="246" spans="2:13" x14ac:dyDescent="0.3">
      <c r="B246" s="40"/>
      <c r="C246" s="41"/>
      <c r="D246" s="42"/>
      <c r="E246" s="43"/>
      <c r="F246" s="44"/>
      <c r="G246" s="99" t="str">
        <f>IFERROR(IF(venta_a_mes5[[#This Row],[CUIT]]="","-",VLOOKUP(venta_a_mes5[[#This Row],[CUIT]],Lista_CUIT[#All],2,0)),"CUIT NO CARGADO")</f>
        <v>-</v>
      </c>
      <c r="H246" s="100"/>
      <c r="I246" s="101"/>
      <c r="J246" s="65"/>
      <c r="K246" s="65"/>
      <c r="L246" s="65">
        <f>SUM(venta_a_mes5[[#This Row],[IMPORTE NETO]:[EXENTO]])</f>
        <v>0</v>
      </c>
      <c r="M246" s="59"/>
    </row>
    <row r="247" spans="2:13" x14ac:dyDescent="0.3">
      <c r="B247" s="40"/>
      <c r="C247" s="41"/>
      <c r="D247" s="42"/>
      <c r="E247" s="43"/>
      <c r="F247" s="44"/>
      <c r="G247" s="99" t="str">
        <f>IFERROR(IF(venta_a_mes5[[#This Row],[CUIT]]="","-",VLOOKUP(venta_a_mes5[[#This Row],[CUIT]],Lista_CUIT[#All],2,0)),"CUIT NO CARGADO")</f>
        <v>-</v>
      </c>
      <c r="H247" s="100"/>
      <c r="I247" s="101"/>
      <c r="J247" s="65"/>
      <c r="K247" s="65"/>
      <c r="L247" s="65">
        <f>SUM(venta_a_mes5[[#This Row],[IMPORTE NETO]:[EXENTO]])</f>
        <v>0</v>
      </c>
      <c r="M247" s="59"/>
    </row>
    <row r="248" spans="2:13" x14ac:dyDescent="0.3">
      <c r="B248" s="40"/>
      <c r="C248" s="41"/>
      <c r="D248" s="42"/>
      <c r="E248" s="43"/>
      <c r="F248" s="44"/>
      <c r="G248" s="99" t="str">
        <f>IFERROR(IF(venta_a_mes5[[#This Row],[CUIT]]="","-",VLOOKUP(venta_a_mes5[[#This Row],[CUIT]],Lista_CUIT[#All],2,0)),"CUIT NO CARGADO")</f>
        <v>-</v>
      </c>
      <c r="H248" s="100"/>
      <c r="I248" s="101"/>
      <c r="J248" s="65"/>
      <c r="K248" s="65"/>
      <c r="L248" s="65">
        <f>SUM(venta_a_mes5[[#This Row],[IMPORTE NETO]:[EXENTO]])</f>
        <v>0</v>
      </c>
      <c r="M248" s="59"/>
    </row>
    <row r="249" spans="2:13" x14ac:dyDescent="0.3">
      <c r="B249" s="40"/>
      <c r="C249" s="41"/>
      <c r="D249" s="42"/>
      <c r="E249" s="43"/>
      <c r="F249" s="44"/>
      <c r="G249" s="99" t="str">
        <f>IFERROR(IF(venta_a_mes5[[#This Row],[CUIT]]="","-",VLOOKUP(venta_a_mes5[[#This Row],[CUIT]],Lista_CUIT[#All],2,0)),"CUIT NO CARGADO")</f>
        <v>-</v>
      </c>
      <c r="H249" s="100"/>
      <c r="I249" s="101"/>
      <c r="J249" s="65"/>
      <c r="K249" s="65"/>
      <c r="L249" s="65">
        <f>SUM(venta_a_mes5[[#This Row],[IMPORTE NETO]:[EXENTO]])</f>
        <v>0</v>
      </c>
      <c r="M249" s="59"/>
    </row>
    <row r="250" spans="2:13" x14ac:dyDescent="0.3">
      <c r="B250" s="431" t="s">
        <v>103</v>
      </c>
      <c r="C250" s="432"/>
      <c r="D250" s="432"/>
      <c r="E250" s="432"/>
      <c r="F250" s="432"/>
      <c r="G250" s="432"/>
      <c r="H250" s="433">
        <f>SUBTOTAL(109,venta_a_mes5[IMPORTE NETO])</f>
        <v>0</v>
      </c>
      <c r="I250" s="434">
        <f>SUBTOTAL(109,venta_a_mes5[IVA 21%])</f>
        <v>0</v>
      </c>
      <c r="J250" s="435">
        <f>SUBTOTAL(109,venta_a_mes5[IVA 10,5%])</f>
        <v>0</v>
      </c>
      <c r="K250" s="435">
        <f>SUBTOTAL(109,venta_a_mes5[EXENTO])</f>
        <v>0</v>
      </c>
      <c r="L250" s="435">
        <f>SUBTOTAL(109,venta_a_mes5[TOTAL])</f>
        <v>0</v>
      </c>
      <c r="M250" s="436">
        <f>SUBTOTAL(103,venta_a_mes5[Provincia])</f>
        <v>0</v>
      </c>
    </row>
    <row r="253" spans="2:13" ht="21" x14ac:dyDescent="0.3">
      <c r="B253" s="654" t="s">
        <v>31</v>
      </c>
      <c r="C253" s="654"/>
    </row>
    <row r="254" spans="2:13" ht="15.6" x14ac:dyDescent="0.3">
      <c r="B254" s="60" t="s">
        <v>0</v>
      </c>
      <c r="C254" s="61" t="s">
        <v>1</v>
      </c>
      <c r="D254" s="61" t="s">
        <v>21</v>
      </c>
      <c r="E254" s="61" t="s">
        <v>22</v>
      </c>
      <c r="F254" s="61" t="s">
        <v>3</v>
      </c>
      <c r="G254" s="61" t="s">
        <v>4</v>
      </c>
      <c r="H254" s="61" t="s">
        <v>23</v>
      </c>
      <c r="I254" s="61" t="s">
        <v>17</v>
      </c>
      <c r="J254" s="61" t="s">
        <v>7</v>
      </c>
      <c r="K254" s="61" t="s">
        <v>24</v>
      </c>
      <c r="L254" s="61" t="s">
        <v>10</v>
      </c>
      <c r="M254" s="62" t="s">
        <v>38</v>
      </c>
    </row>
    <row r="255" spans="2:13" x14ac:dyDescent="0.3">
      <c r="B255" s="40"/>
      <c r="C255" s="41"/>
      <c r="D255" s="42"/>
      <c r="E255" s="43"/>
      <c r="F255" s="44"/>
      <c r="G255" s="1" t="str">
        <f>IFERROR(IF(ventas_b_mes5[[#This Row],[CUIT]]="","-",VLOOKUP(ventas_b_mes5[[#This Row],[CUIT]],Lista_CUIT[#All],2,0)),"CUIT NO CARGADO")</f>
        <v>-</v>
      </c>
      <c r="H255" s="64"/>
      <c r="I255" s="64"/>
      <c r="J255" s="64"/>
      <c r="K255" s="64"/>
      <c r="L255" s="64">
        <f>SUM(ventas_b_mes5[[#This Row],[IMPORTE NETO]:[EXENTO]])</f>
        <v>0</v>
      </c>
      <c r="M255" s="59"/>
    </row>
    <row r="256" spans="2:13" x14ac:dyDescent="0.3">
      <c r="B256" s="40"/>
      <c r="C256" s="41"/>
      <c r="D256" s="42"/>
      <c r="E256" s="43"/>
      <c r="F256" s="44"/>
      <c r="G256" s="1"/>
      <c r="H256" s="64"/>
      <c r="I256" s="64"/>
      <c r="J256" s="64"/>
      <c r="K256" s="64"/>
      <c r="L256" s="64">
        <f>SUM(ventas_b_mes5[[#This Row],[IMPORTE NETO]:[EXENTO]])</f>
        <v>0</v>
      </c>
      <c r="M256" s="59"/>
    </row>
    <row r="257" spans="2:13" x14ac:dyDescent="0.3">
      <c r="B257" s="40"/>
      <c r="C257" s="41"/>
      <c r="D257" s="42"/>
      <c r="E257" s="43"/>
      <c r="F257" s="44"/>
      <c r="G257" s="1"/>
      <c r="H257" s="64"/>
      <c r="I257" s="64"/>
      <c r="J257" s="64"/>
      <c r="K257" s="64"/>
      <c r="L257" s="64">
        <f>SUM(ventas_b_mes5[[#This Row],[IMPORTE NETO]:[EXENTO]])</f>
        <v>0</v>
      </c>
      <c r="M257" s="59"/>
    </row>
    <row r="258" spans="2:13" x14ac:dyDescent="0.3">
      <c r="B258" s="40"/>
      <c r="C258" s="41"/>
      <c r="D258" s="42"/>
      <c r="E258" s="43"/>
      <c r="F258" s="44"/>
      <c r="G258" s="1"/>
      <c r="H258" s="64"/>
      <c r="I258" s="64"/>
      <c r="J258" s="64"/>
      <c r="K258" s="64"/>
      <c r="L258" s="64">
        <f>SUM(ventas_b_mes5[[#This Row],[IMPORTE NETO]:[EXENTO]])</f>
        <v>0</v>
      </c>
      <c r="M258" s="59"/>
    </row>
    <row r="259" spans="2:13" x14ac:dyDescent="0.3">
      <c r="B259" s="40"/>
      <c r="C259" s="41"/>
      <c r="D259" s="42"/>
      <c r="E259" s="43"/>
      <c r="F259" s="44"/>
      <c r="G259" s="1"/>
      <c r="H259" s="64"/>
      <c r="I259" s="64"/>
      <c r="J259" s="64"/>
      <c r="K259" s="64"/>
      <c r="L259" s="64">
        <f>SUM(ventas_b_mes5[[#This Row],[IMPORTE NETO]:[EXENTO]])</f>
        <v>0</v>
      </c>
      <c r="M259" s="59"/>
    </row>
    <row r="260" spans="2:13" x14ac:dyDescent="0.3">
      <c r="B260" s="40"/>
      <c r="C260" s="41"/>
      <c r="D260" s="42"/>
      <c r="E260" s="43"/>
      <c r="F260" s="44"/>
      <c r="G260" s="1"/>
      <c r="H260" s="64"/>
      <c r="I260" s="64"/>
      <c r="J260" s="64"/>
      <c r="K260" s="64"/>
      <c r="L260" s="64">
        <f>SUM(ventas_b_mes5[[#This Row],[IMPORTE NETO]:[EXENTO]])</f>
        <v>0</v>
      </c>
      <c r="M260" s="59"/>
    </row>
    <row r="261" spans="2:13" x14ac:dyDescent="0.3">
      <c r="B261" s="66" t="s">
        <v>103</v>
      </c>
      <c r="C261" s="67"/>
      <c r="D261" s="67"/>
      <c r="E261" s="67"/>
      <c r="F261" s="67"/>
      <c r="G261" s="67"/>
      <c r="H261" s="77">
        <f>SUBTOTAL(109,ventas_b_mes5[IMPORTE NETO])</f>
        <v>0</v>
      </c>
      <c r="I261" s="77">
        <f>SUBTOTAL(109,ventas_b_mes5[IVA 21%])</f>
        <v>0</v>
      </c>
      <c r="J261" s="78">
        <f>SUBTOTAL(109,ventas_b_mes5[IVA 10,5%])</f>
        <v>0</v>
      </c>
      <c r="K261" s="78">
        <f>SUBTOTAL(109,ventas_b_mes5[EXENTO])</f>
        <v>0</v>
      </c>
      <c r="L261" s="78">
        <f>SUBTOTAL(109,ventas_b_mes5[TOTAL])</f>
        <v>0</v>
      </c>
      <c r="M261" s="68">
        <f>SUBTOTAL(103,ventas_b_mes5[Provincia])</f>
        <v>0</v>
      </c>
    </row>
    <row r="268" spans="2:13" ht="15" thickBot="1" x14ac:dyDescent="0.35"/>
    <row r="269" spans="2:13" ht="15" thickTop="1" x14ac:dyDescent="0.3">
      <c r="C269" s="651" t="s">
        <v>66</v>
      </c>
      <c r="D269" s="651"/>
      <c r="E269" s="651"/>
      <c r="F269" s="651"/>
      <c r="G269" s="651"/>
      <c r="H269" s="32"/>
      <c r="I269" s="32"/>
      <c r="J269" s="32"/>
    </row>
    <row r="270" spans="2:13" ht="15.6" x14ac:dyDescent="0.3">
      <c r="C270" s="114" t="s">
        <v>67</v>
      </c>
      <c r="D270" s="115" t="s">
        <v>68</v>
      </c>
      <c r="E270" s="115" t="s">
        <v>105</v>
      </c>
      <c r="F270" s="115" t="s">
        <v>3</v>
      </c>
      <c r="G270" s="115" t="s">
        <v>4</v>
      </c>
      <c r="H270" s="116" t="s">
        <v>69</v>
      </c>
      <c r="I270" s="116" t="s">
        <v>70</v>
      </c>
      <c r="J270" s="116" t="s">
        <v>71</v>
      </c>
      <c r="K270" s="116" t="s">
        <v>72</v>
      </c>
      <c r="L270" s="116" t="s">
        <v>73</v>
      </c>
    </row>
    <row r="271" spans="2:13" x14ac:dyDescent="0.3">
      <c r="C271" s="117"/>
      <c r="D271" s="118"/>
      <c r="E271" s="118"/>
      <c r="F271" s="119"/>
      <c r="G271" s="53" t="str">
        <f>IFERROR(IF(Retenciones_mes5[[#This Row],[CUIT]]="","-",VLOOKUP(Retenciones_mes5[[#This Row],[CUIT]],Lista_CUIT[#All],2,0)),"CUIT NO CARGADO")</f>
        <v>-</v>
      </c>
      <c r="H271" s="120"/>
      <c r="I271" s="120"/>
      <c r="J271" s="120"/>
      <c r="K271" s="120"/>
      <c r="L271" s="120"/>
    </row>
    <row r="272" spans="2:13" x14ac:dyDescent="0.3">
      <c r="C272" s="117"/>
      <c r="D272" s="118"/>
      <c r="E272" s="118"/>
      <c r="F272" s="119"/>
      <c r="G272" s="53" t="str">
        <f>IFERROR(IF(Retenciones_mes5[[#This Row],[CUIT]]="","-",VLOOKUP(Retenciones_mes5[[#This Row],[CUIT]],Lista_CUIT[#All],2,0)),"CUIT NO CARGADO")</f>
        <v>-</v>
      </c>
      <c r="H272" s="120"/>
      <c r="I272" s="120"/>
      <c r="J272" s="120"/>
      <c r="K272" s="120"/>
      <c r="L272" s="120"/>
    </row>
    <row r="273" spans="3:12" x14ac:dyDescent="0.3">
      <c r="C273" s="117"/>
      <c r="D273" s="118"/>
      <c r="E273" s="118"/>
      <c r="F273" s="119"/>
      <c r="G273" s="53" t="str">
        <f>IFERROR(IF(Retenciones_mes5[[#This Row],[CUIT]]="","-",VLOOKUP(Retenciones_mes5[[#This Row],[CUIT]],Lista_CUIT[#All],2,0)),"CUIT NO CARGADO")</f>
        <v>-</v>
      </c>
      <c r="H273" s="120"/>
      <c r="I273" s="120"/>
      <c r="J273" s="120"/>
      <c r="K273" s="120"/>
      <c r="L273" s="120"/>
    </row>
    <row r="274" spans="3:12" x14ac:dyDescent="0.3">
      <c r="C274" s="117"/>
      <c r="D274" s="118"/>
      <c r="E274" s="118"/>
      <c r="F274" s="119"/>
      <c r="G274" s="53" t="str">
        <f>IFERROR(IF(Retenciones_mes5[[#This Row],[CUIT]]="","-",VLOOKUP(Retenciones_mes5[[#This Row],[CUIT]],Lista_CUIT[#All],2,0)),"CUIT NO CARGADO")</f>
        <v>-</v>
      </c>
      <c r="H274" s="120"/>
      <c r="I274" s="120"/>
      <c r="J274" s="120"/>
      <c r="K274" s="120"/>
      <c r="L274" s="120"/>
    </row>
    <row r="275" spans="3:12" x14ac:dyDescent="0.3">
      <c r="D275" s="118"/>
      <c r="E275" s="118"/>
      <c r="G275" s="53" t="str">
        <f>IFERROR(IF(Retenciones_mes5[[#This Row],[CUIT]]="","-",VLOOKUP(Retenciones_mes5[[#This Row],[CUIT]],Lista_CUIT[#All],2,0)),"CUIT NO CARGADO")</f>
        <v>-</v>
      </c>
    </row>
    <row r="276" spans="3:12" x14ac:dyDescent="0.3">
      <c r="C276" s="33"/>
    </row>
  </sheetData>
  <mergeCells count="20">
    <mergeCell ref="P4:R4"/>
    <mergeCell ref="D201:L201"/>
    <mergeCell ref="B1:F1"/>
    <mergeCell ref="G1:M1"/>
    <mergeCell ref="N1:R1"/>
    <mergeCell ref="B3:E3"/>
    <mergeCell ref="G3:H3"/>
    <mergeCell ref="J3:K3"/>
    <mergeCell ref="M3:N3"/>
    <mergeCell ref="P3:R3"/>
    <mergeCell ref="C269:G269"/>
    <mergeCell ref="B4:E4"/>
    <mergeCell ref="G4:H4"/>
    <mergeCell ref="J4:K4"/>
    <mergeCell ref="M4:N4"/>
    <mergeCell ref="D212:K212"/>
    <mergeCell ref="B241:J241"/>
    <mergeCell ref="K241:M241"/>
    <mergeCell ref="B243:C243"/>
    <mergeCell ref="B253:C253"/>
  </mergeCells>
  <dataValidations count="12">
    <dataValidation type="custom" allowBlank="1" showInputMessage="1" showErrorMessage="1" sqref="H255:L260" xr:uid="{00000000-0002-0000-0500-000000000000}">
      <formula1>IF($C255=8,H255&lt;0,H255&gt;=0)</formula1>
    </dataValidation>
    <dataValidation type="custom" allowBlank="1" showInputMessage="1" showErrorMessage="1" sqref="L245:L246" xr:uid="{00000000-0002-0000-0500-000001000000}">
      <formula1>IF($C8=3,L8&lt;0,L8&gt;=0)</formula1>
    </dataValidation>
    <dataValidation type="whole" allowBlank="1" showInputMessage="1" showErrorMessage="1" sqref="C255:C260" xr:uid="{00000000-0002-0000-0500-000002000000}">
      <formula1>6</formula1>
      <formula2>8</formula2>
    </dataValidation>
    <dataValidation type="custom" allowBlank="1" showInputMessage="1" showErrorMessage="1" sqref="H245:K245 H247:K247 H249:K249" xr:uid="{00000000-0002-0000-0500-000003000000}">
      <formula1>IF($C245=3,H245&lt;0,H245&gt;=0)</formula1>
    </dataValidation>
    <dataValidation type="whole" allowBlank="1" showInputMessage="1" showErrorMessage="1" sqref="C245:C249 C8:C198 C200" xr:uid="{00000000-0002-0000-0500-000004000000}">
      <formula1>1</formula1>
      <formula2>3</formula2>
    </dataValidation>
    <dataValidation type="date" allowBlank="1" showInputMessage="1" showErrorMessage="1" sqref="D203:D209 B245:B249 D214:D238 B255:B260 B8:B198 B200" xr:uid="{00000000-0002-0000-0500-000005000000}">
      <formula1>40179</formula1>
      <formula2>TODAY()</formula2>
    </dataValidation>
    <dataValidation type="whole" allowBlank="1" showInputMessage="1" showErrorMessage="1" sqref="G214:G238 F245:F249 F255:F260 F8:F198" xr:uid="{00000000-0002-0000-0500-000006000000}">
      <formula1>20000000000</formula1>
      <formula2>33999999999</formula2>
    </dataValidation>
    <dataValidation type="whole" allowBlank="1" showInputMessage="1" showErrorMessage="1" sqref="F214:F238 E245:E249 E255:E260 E8:E198" xr:uid="{00000000-0002-0000-0500-000007000000}">
      <formula1>1</formula1>
      <formula2>99999999</formula2>
    </dataValidation>
    <dataValidation type="whole" allowBlank="1" showInputMessage="1" showErrorMessage="1" sqref="E214:E238 D245:D249 D255:D260 D8:D198" xr:uid="{00000000-0002-0000-0500-000008000000}">
      <formula1>1</formula1>
      <formula2>9999</formula2>
    </dataValidation>
    <dataValidation type="custom" allowBlank="1" showInputMessage="1" showErrorMessage="1" sqref="L247" xr:uid="{00000000-0002-0000-0500-000009000000}">
      <formula1>IF($C12=3,L12&lt;0,L12&gt;=0)</formula1>
    </dataValidation>
    <dataValidation type="custom" allowBlank="1" showInputMessage="1" showErrorMessage="1" sqref="L248:L249" xr:uid="{00000000-0002-0000-0500-00000A000000}">
      <formula1>IF($C127=3,L127&lt;0,L127&gt;=0)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8:O198" xr:uid="{00000000-0002-0000-0500-00000B000000}">
      <formula1>IF($C8=3,H8&lt;0,H8&gt;=0)</formula1>
    </dataValidation>
  </dataValidations>
  <pageMargins left="0.7" right="0.7" top="0.75" bottom="0.75" header="0.3" footer="0.3"/>
  <pageSetup paperSize="9" scale="43" fitToHeight="0" orientation="landscape" r:id="rId1"/>
  <ignoredErrors>
    <ignoredError sqref="H208:H209 M208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  <pageSetUpPr fitToPage="1"/>
  </sheetPr>
  <dimension ref="A1:Z253"/>
  <sheetViews>
    <sheetView showGridLines="0" topLeftCell="F175" zoomScale="80" zoomScaleNormal="80" workbookViewId="0">
      <selection activeCell="K182" sqref="K182:K183"/>
    </sheetView>
  </sheetViews>
  <sheetFormatPr baseColWidth="10" defaultColWidth="0" defaultRowHeight="14.4" x14ac:dyDescent="0.3"/>
  <cols>
    <col min="1" max="1" width="1.6640625" customWidth="1"/>
    <col min="2" max="2" width="15.6640625" customWidth="1"/>
    <col min="3" max="3" width="19.109375" customWidth="1"/>
    <col min="4" max="4" width="13.33203125" customWidth="1"/>
    <col min="5" max="5" width="18.109375" customWidth="1"/>
    <col min="6" max="6" width="23.33203125" customWidth="1"/>
    <col min="7" max="7" width="29.44140625" customWidth="1"/>
    <col min="8" max="8" width="20" customWidth="1"/>
    <col min="9" max="9" width="17.5546875" customWidth="1"/>
    <col min="10" max="10" width="15.5546875" customWidth="1"/>
    <col min="11" max="11" width="9.44140625" customWidth="1"/>
    <col min="12" max="12" width="13.6640625" customWidth="1"/>
    <col min="13" max="13" width="8.109375" customWidth="1"/>
    <col min="14" max="14" width="12.33203125" customWidth="1"/>
    <col min="15" max="15" width="10.44140625" customWidth="1"/>
    <col min="16" max="16" width="13.5546875" bestFit="1" customWidth="1"/>
    <col min="17" max="17" width="20.109375" bestFit="1" customWidth="1"/>
    <col min="18" max="18" width="15.6640625" bestFit="1" customWidth="1"/>
    <col min="19" max="19" width="14.554687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EDATE('Ene-23'!N1,5)</f>
        <v>45078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SUM(compras_mes6[[#Totals],[NETO GRAVADO]])+extracto_banco_mes6[[#Totals],[NETO]]</f>
        <v>20838999.220000025</v>
      </c>
      <c r="C4" s="659"/>
      <c r="D4" s="659"/>
      <c r="E4" s="659"/>
      <c r="F4" s="39"/>
      <c r="G4" s="660">
        <f>compras_mes6[[#Totals],[IVA 21 %]]+compras_mes6[[#Totals],[IVA 27%]]+compras_mes6[[#Totals],[IVA 10,5%]]+extracto_banco_mes6[[#Totals],[IVA 21%]]+extracto_banco_mes6[[#Totals],[IVA 10,5%]]</f>
        <v>4372976.7939000009</v>
      </c>
      <c r="H4" s="660"/>
      <c r="I4" s="39"/>
      <c r="J4" s="649">
        <f>venta_a_mes6[[#Totals],[IMPORTE NETO]]+ventas_b_mes6[[#Totals],[IMPORTE NETO]]</f>
        <v>0</v>
      </c>
      <c r="K4" s="649"/>
      <c r="L4" s="39"/>
      <c r="M4" s="649">
        <f>venta_a_mes6[[#Totals],[IVA 21%]]+venta_a_mes6[[#Totals],[IVA 10,5%]]+ventas_b_mes6[[#Totals],[IVA 21%]]+ventas_b_mes6[[#Totals],[IVA 10,5%]]</f>
        <v>0</v>
      </c>
      <c r="N4" s="649"/>
      <c r="O4" s="39"/>
      <c r="P4" s="662">
        <f>G4-M4</f>
        <v>4372976.7939000009</v>
      </c>
      <c r="Q4" s="663"/>
      <c r="R4" s="663"/>
    </row>
    <row r="5" spans="1:26" ht="20.25" customHeight="1" x14ac:dyDescent="0.3"/>
    <row r="7" spans="1:26" s="2" customFormat="1" x14ac:dyDescent="0.3">
      <c r="B7" s="40"/>
      <c r="C7" s="41"/>
      <c r="D7" s="42"/>
      <c r="E7" s="156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56">
        <v>45078</v>
      </c>
      <c r="C9" s="457">
        <v>1</v>
      </c>
      <c r="D9" s="458">
        <v>3</v>
      </c>
      <c r="E9" s="506">
        <v>49</v>
      </c>
      <c r="F9" s="459">
        <v>33715993509</v>
      </c>
      <c r="G9" s="460" t="str">
        <f>IFERROR(IF(compras_mes6[[#This Row],[CUIT]]="","-",VLOOKUP(compras_mes6[[#This Row],[CUIT]],Lista_CUIT[#All],2,0)),"CUIT NO CARGADO")</f>
        <v>+Q NATURAL S.A.</v>
      </c>
      <c r="H9" s="461">
        <v>3314.05</v>
      </c>
      <c r="I9" s="462">
        <f>IF(compras_mes6[[#This Row],[NETO GRAVADO]]="","",compras_mes6[[#This Row],[NETO GRAVADO]]*0.21)</f>
        <v>695.95050000000003</v>
      </c>
      <c r="J9" s="462"/>
      <c r="K9" s="462"/>
      <c r="L9" s="462"/>
      <c r="M9" s="462"/>
      <c r="N9" s="462"/>
      <c r="O9" s="462"/>
      <c r="P9" s="463">
        <f>SUM(compras_mes6[[#This Row],[NETO GRAVADO]:[Otros / No Grav.]])</f>
        <v>4010.0005000000001</v>
      </c>
      <c r="Q9" s="464">
        <f>IFERROR(IF(compras_mes6[[#This Row],[CUIT]]="","-",VLOOKUP(compras_mes6[[#This Row],[CUIT]],Lista_CUIT[#All],3,0)),"CUIT NO CARGADO")</f>
        <v>0</v>
      </c>
      <c r="R9" s="464">
        <f>IFERROR(IF(compras_mes6[[#This Row],[CUIT]]="","-",VLOOKUP(compras_mes6[[#This Row],[CUIT]],Lista_CUIT[#All],4,0)),"CUIT NO CARGADO")</f>
        <v>0</v>
      </c>
    </row>
    <row r="10" spans="1:26" x14ac:dyDescent="0.3">
      <c r="B10" s="456">
        <v>45078</v>
      </c>
      <c r="C10" s="457">
        <v>1</v>
      </c>
      <c r="D10" s="458">
        <v>1</v>
      </c>
      <c r="E10" s="506">
        <v>385</v>
      </c>
      <c r="F10" s="459">
        <v>20131206144</v>
      </c>
      <c r="G10" s="460" t="str">
        <f>IFERROR(IF(compras_mes6[[#This Row],[CUIT]]="","-",VLOOKUP(compras_mes6[[#This Row],[CUIT]],Lista_CUIT[#All],2,0)),"CUIT NO CARGADO")</f>
        <v>CHAMORRO MANUEL</v>
      </c>
      <c r="H10" s="461">
        <v>60000</v>
      </c>
      <c r="I10" s="462">
        <f>IF(compras_mes6[[#This Row],[NETO GRAVADO]]="","",compras_mes6[[#This Row],[NETO GRAVADO]]*0.21)</f>
        <v>12600</v>
      </c>
      <c r="J10" s="462"/>
      <c r="K10" s="462"/>
      <c r="L10" s="462"/>
      <c r="M10" s="462"/>
      <c r="N10" s="462"/>
      <c r="O10" s="462"/>
      <c r="P10" s="463">
        <f>SUM(compras_mes6[[#This Row],[NETO GRAVADO]:[Otros / No Grav.]])</f>
        <v>72600</v>
      </c>
      <c r="Q10" s="464" t="str">
        <f>IFERROR(IF(compras_mes6[[#This Row],[CUIT]]="","-",VLOOKUP(compras_mes6[[#This Row],[CUIT]],Lista_CUIT[#All],3,0)),"CUIT NO CARGADO")</f>
        <v>Alquiler</v>
      </c>
      <c r="R10" s="464">
        <f>IFERROR(IF(compras_mes6[[#This Row],[CUIT]]="","-",VLOOKUP(compras_mes6[[#This Row],[CUIT]],Lista_CUIT[#All],4,0)),"CUIT NO CARGADO")</f>
        <v>0</v>
      </c>
    </row>
    <row r="11" spans="1:26" x14ac:dyDescent="0.3">
      <c r="B11" s="456">
        <v>45078</v>
      </c>
      <c r="C11" s="457">
        <v>1</v>
      </c>
      <c r="D11" s="458">
        <v>6</v>
      </c>
      <c r="E11" s="506">
        <v>2609</v>
      </c>
      <c r="F11" s="459">
        <v>30574603788</v>
      </c>
      <c r="G11" s="460" t="str">
        <f>IFERROR(IF(compras_mes6[[#This Row],[CUIT]]="","-",VLOOKUP(compras_mes6[[#This Row],[CUIT]],Lista_CUIT[#All],2,0)),"CUIT NO CARGADO")</f>
        <v>CODAC SRL</v>
      </c>
      <c r="H11" s="461">
        <v>880528</v>
      </c>
      <c r="I11" s="462">
        <f>IF(compras_mes6[[#This Row],[NETO GRAVADO]]="","",compras_mes6[[#This Row],[NETO GRAVADO]]*0.21)</f>
        <v>184910.88</v>
      </c>
      <c r="J11" s="462"/>
      <c r="K11" s="462"/>
      <c r="L11" s="462"/>
      <c r="M11" s="462"/>
      <c r="N11" s="462"/>
      <c r="O11" s="462"/>
      <c r="P11" s="463">
        <f>SUM(compras_mes6[[#This Row],[NETO GRAVADO]:[Otros / No Grav.]])</f>
        <v>1065438.8799999999</v>
      </c>
      <c r="Q11" s="464" t="str">
        <f>IFERROR(IF(compras_mes6[[#This Row],[CUIT]]="","-",VLOOKUP(compras_mes6[[#This Row],[CUIT]],Lista_CUIT[#All],3,0)),"CUIT NO CARGADO")</f>
        <v>GASTOS COSMETICA</v>
      </c>
      <c r="R11" s="464" t="str">
        <f>IFERROR(IF(compras_mes6[[#This Row],[CUIT]]="","-",VLOOKUP(compras_mes6[[#This Row],[CUIT]],Lista_CUIT[#All],4,0)),"CUIT NO CARGADO")</f>
        <v>BUENOS AIRES</v>
      </c>
    </row>
    <row r="12" spans="1:26" x14ac:dyDescent="0.3">
      <c r="B12" s="456">
        <v>45078</v>
      </c>
      <c r="C12" s="457">
        <v>1</v>
      </c>
      <c r="D12" s="458">
        <v>6</v>
      </c>
      <c r="E12" s="506">
        <v>2611</v>
      </c>
      <c r="F12" s="459">
        <v>30574603788</v>
      </c>
      <c r="G12" s="460" t="str">
        <f>IFERROR(IF(compras_mes6[[#This Row],[CUIT]]="","-",VLOOKUP(compras_mes6[[#This Row],[CUIT]],Lista_CUIT[#All],2,0)),"CUIT NO CARGADO")</f>
        <v>CODAC SRL</v>
      </c>
      <c r="H12" s="461">
        <v>720299</v>
      </c>
      <c r="I12" s="462">
        <f>IF(compras_mes6[[#This Row],[NETO GRAVADO]]="","",compras_mes6[[#This Row],[NETO GRAVADO]]*0.21)</f>
        <v>151262.79</v>
      </c>
      <c r="J12" s="462"/>
      <c r="K12" s="462"/>
      <c r="L12" s="462"/>
      <c r="M12" s="462"/>
      <c r="N12" s="462"/>
      <c r="O12" s="462"/>
      <c r="P12" s="463">
        <f>SUM(compras_mes6[[#This Row],[NETO GRAVADO]:[Otros / No Grav.]])</f>
        <v>871561.79</v>
      </c>
      <c r="Q12" s="464" t="str">
        <f>IFERROR(IF(compras_mes6[[#This Row],[CUIT]]="","-",VLOOKUP(compras_mes6[[#This Row],[CUIT]],Lista_CUIT[#All],3,0)),"CUIT NO CARGADO")</f>
        <v>GASTOS COSMETICA</v>
      </c>
      <c r="R12" s="464" t="str">
        <f>IFERROR(IF(compras_mes6[[#This Row],[CUIT]]="","-",VLOOKUP(compras_mes6[[#This Row],[CUIT]],Lista_CUIT[#All],4,0)),"CUIT NO CARGADO")</f>
        <v>BUENOS AIRES</v>
      </c>
    </row>
    <row r="13" spans="1:26" x14ac:dyDescent="0.3">
      <c r="B13" s="486">
        <v>45078</v>
      </c>
      <c r="C13" s="250">
        <v>1</v>
      </c>
      <c r="D13" s="487">
        <v>1002</v>
      </c>
      <c r="E13" s="488">
        <v>8558</v>
      </c>
      <c r="F13" s="476">
        <v>30712289046</v>
      </c>
      <c r="G13" s="489" t="str">
        <f>IFERROR(IF(compras_mes6[[#This Row],[CUIT]]="","-",VLOOKUP(compras_mes6[[#This Row],[CUIT]],Lista_CUIT[#All],2,0)),"CUIT NO CARGADO")</f>
        <v>IMPIERI PIÑEIRO RIZZO Y ASOC SA</v>
      </c>
      <c r="H13" s="490">
        <v>2886.43</v>
      </c>
      <c r="I13" s="491">
        <f>IF(compras_mes6[[#This Row],[NETO GRAVADO]]="","",compras_mes6[[#This Row],[NETO GRAVADO]]*0.21)</f>
        <v>606.1502999999999</v>
      </c>
      <c r="J13" s="491"/>
      <c r="K13" s="491"/>
      <c r="L13" s="491"/>
      <c r="M13" s="491"/>
      <c r="N13" s="491"/>
      <c r="O13" s="491">
        <v>507.38</v>
      </c>
      <c r="P13" s="492">
        <f>SUM(compras_mes6[[#This Row],[NETO GRAVADO]:[Otros / No Grav.]])</f>
        <v>3999.9602999999997</v>
      </c>
      <c r="Q13" s="493">
        <f>IFERROR(IF(compras_mes6[[#This Row],[CUIT]]="","-",VLOOKUP(compras_mes6[[#This Row],[CUIT]],Lista_CUIT[#All],3,0)),"CUIT NO CARGADO")</f>
        <v>0</v>
      </c>
      <c r="R13" s="493">
        <f>IFERROR(IF(compras_mes6[[#This Row],[CUIT]]="","-",VLOOKUP(compras_mes6[[#This Row],[CUIT]],Lista_CUIT[#All],4,0)),"CUIT NO CARGADO")</f>
        <v>0</v>
      </c>
    </row>
    <row r="14" spans="1:26" x14ac:dyDescent="0.3">
      <c r="B14" s="456">
        <v>45078</v>
      </c>
      <c r="C14" s="457">
        <v>1</v>
      </c>
      <c r="D14" s="458">
        <v>20</v>
      </c>
      <c r="E14" s="506">
        <v>8940</v>
      </c>
      <c r="F14" s="459">
        <v>30515800219</v>
      </c>
      <c r="G14" s="460" t="str">
        <f>IFERROR(IF(compras_mes6[[#This Row],[CUIT]]="","-",VLOOKUP(compras_mes6[[#This Row],[CUIT]],Lista_CUIT[#All],2,0)),"CUIT NO CARGADO")</f>
        <v>INCAT SRL</v>
      </c>
      <c r="H14" s="461">
        <v>816.19</v>
      </c>
      <c r="I14" s="462">
        <f>IF(compras_mes6[[#This Row],[NETO GRAVADO]]="","",compras_mes6[[#This Row],[NETO GRAVADO]]*0.21)</f>
        <v>171.3999</v>
      </c>
      <c r="J14" s="462"/>
      <c r="K14" s="462"/>
      <c r="L14" s="462"/>
      <c r="M14" s="462"/>
      <c r="N14" s="462"/>
      <c r="O14" s="462">
        <v>12.44</v>
      </c>
      <c r="P14" s="463">
        <f>SUM(compras_mes6[[#This Row],[NETO GRAVADO]:[Otros / No Grav.]])</f>
        <v>1000.0299000000001</v>
      </c>
      <c r="Q14" s="464" t="str">
        <f>IFERROR(IF(compras_mes6[[#This Row],[CUIT]]="","-",VLOOKUP(compras_mes6[[#This Row],[CUIT]],Lista_CUIT[#All],3,0)),"CUIT NO CARGADO")</f>
        <v>Combustibe</v>
      </c>
      <c r="R14" s="464" t="str">
        <f>IFERROR(IF(compras_mes6[[#This Row],[CUIT]]="","-",VLOOKUP(compras_mes6[[#This Row],[CUIT]],Lista_CUIT[#All],4,0)),"CUIT NO CARGADO")</f>
        <v>CABA</v>
      </c>
    </row>
    <row r="15" spans="1:26" x14ac:dyDescent="0.3">
      <c r="B15" s="456">
        <v>45078</v>
      </c>
      <c r="C15" s="457">
        <v>1</v>
      </c>
      <c r="D15" s="458">
        <v>4</v>
      </c>
      <c r="E15" s="506">
        <v>20669</v>
      </c>
      <c r="F15" s="459">
        <v>30552433595</v>
      </c>
      <c r="G15" s="460" t="str">
        <f>IFERROR(IF(compras_mes6[[#This Row],[CUIT]]="","-",VLOOKUP(compras_mes6[[#This Row],[CUIT]],Lista_CUIT[#All],2,0)),"CUIT NO CARGADO")</f>
        <v>PIROPLAST SRL</v>
      </c>
      <c r="H15" s="461">
        <v>1062271.3500000001</v>
      </c>
      <c r="I15" s="462">
        <f>IF(compras_mes6[[#This Row],[NETO GRAVADO]]="","",compras_mes6[[#This Row],[NETO GRAVADO]]*0.21)</f>
        <v>223076.9835</v>
      </c>
      <c r="J15" s="462"/>
      <c r="K15" s="462"/>
      <c r="L15" s="462"/>
      <c r="M15" s="462"/>
      <c r="N15" s="462"/>
      <c r="O15" s="462"/>
      <c r="P15" s="463">
        <f>SUM(compras_mes6[[#This Row],[NETO GRAVADO]:[Otros / No Grav.]])</f>
        <v>1285348.3335000002</v>
      </c>
      <c r="Q15" s="464" t="str">
        <f>IFERROR(IF(compras_mes6[[#This Row],[CUIT]]="","-",VLOOKUP(compras_mes6[[#This Row],[CUIT]],Lista_CUIT[#All],3,0)),"CUIT NO CARGADO")</f>
        <v>Insumo</v>
      </c>
      <c r="R15" s="464">
        <f>IFERROR(IF(compras_mes6[[#This Row],[CUIT]]="","-",VLOOKUP(compras_mes6[[#This Row],[CUIT]],Lista_CUIT[#All],4,0)),"CUIT NO CARGADO")</f>
        <v>0</v>
      </c>
    </row>
    <row r="16" spans="1:26" x14ac:dyDescent="0.3">
      <c r="B16" s="456">
        <v>45079</v>
      </c>
      <c r="C16" s="457">
        <v>1</v>
      </c>
      <c r="D16" s="458">
        <v>1</v>
      </c>
      <c r="E16" s="506">
        <v>82</v>
      </c>
      <c r="F16" s="459">
        <v>30716010313</v>
      </c>
      <c r="G16" s="460" t="str">
        <f>IFERROR(IF(compras_mes6[[#This Row],[CUIT]]="","-",VLOOKUP(compras_mes6[[#This Row],[CUIT]],Lista_CUIT[#All],2,0)),"CUIT NO CARGADO")</f>
        <v>H UNO 1469 S.A.</v>
      </c>
      <c r="H16" s="461">
        <v>38400</v>
      </c>
      <c r="I16" s="462">
        <f>IF(compras_mes6[[#This Row],[NETO GRAVADO]]="","",compras_mes6[[#This Row],[NETO GRAVADO]]*0.21)</f>
        <v>8064</v>
      </c>
      <c r="J16" s="462"/>
      <c r="K16" s="462"/>
      <c r="L16" s="462"/>
      <c r="M16" s="462"/>
      <c r="N16" s="462"/>
      <c r="O16" s="462"/>
      <c r="P16" s="463">
        <f>SUM(compras_mes6[[#This Row],[NETO GRAVADO]:[Otros / No Grav.]])</f>
        <v>46464</v>
      </c>
      <c r="Q16" s="464" t="str">
        <f>IFERROR(IF(compras_mes6[[#This Row],[CUIT]]="","-",VLOOKUP(compras_mes6[[#This Row],[CUIT]],Lista_CUIT[#All],3,0)),"CUIT NO CARGADO")</f>
        <v>Alquiler</v>
      </c>
      <c r="R16" s="464">
        <f>IFERROR(IF(compras_mes6[[#This Row],[CUIT]]="","-",VLOOKUP(compras_mes6[[#This Row],[CUIT]],Lista_CUIT[#All],4,0)),"CUIT NO CARGADO")</f>
        <v>0</v>
      </c>
    </row>
    <row r="17" spans="2:18" x14ac:dyDescent="0.3">
      <c r="B17" s="486">
        <v>45079</v>
      </c>
      <c r="C17" s="250">
        <v>1</v>
      </c>
      <c r="D17" s="487">
        <v>2</v>
      </c>
      <c r="E17" s="488">
        <v>214</v>
      </c>
      <c r="F17" s="476">
        <v>27309896063</v>
      </c>
      <c r="G17" s="489" t="str">
        <f>IFERROR(IF(compras_mes6[[#This Row],[CUIT]]="","-",VLOOKUP(compras_mes6[[#This Row],[CUIT]],Lista_CUIT[#All],2,0)),"CUIT NO CARGADO")</f>
        <v>BATTELLINI MARIA SOLEDAD</v>
      </c>
      <c r="H17" s="490">
        <v>50000</v>
      </c>
      <c r="I17" s="491">
        <f>IF(compras_mes6[[#This Row],[NETO GRAVADO]]="","",compras_mes6[[#This Row],[NETO GRAVADO]]*0.21)</f>
        <v>10500</v>
      </c>
      <c r="J17" s="491"/>
      <c r="K17" s="491"/>
      <c r="L17" s="491"/>
      <c r="M17" s="491"/>
      <c r="N17" s="491"/>
      <c r="O17" s="491"/>
      <c r="P17" s="492">
        <f>SUM(compras_mes6[[#This Row],[NETO GRAVADO]:[Otros / No Grav.]])</f>
        <v>60500</v>
      </c>
      <c r="Q17" s="493">
        <f>IFERROR(IF(compras_mes6[[#This Row],[CUIT]]="","-",VLOOKUP(compras_mes6[[#This Row],[CUIT]],Lista_CUIT[#All],3,0)),"CUIT NO CARGADO")</f>
        <v>0</v>
      </c>
      <c r="R17" s="493">
        <f>IFERROR(IF(compras_mes6[[#This Row],[CUIT]]="","-",VLOOKUP(compras_mes6[[#This Row],[CUIT]],Lista_CUIT[#All],4,0)),"CUIT NO CARGADO")</f>
        <v>0</v>
      </c>
    </row>
    <row r="18" spans="2:18" x14ac:dyDescent="0.3">
      <c r="B18" s="456">
        <v>45079</v>
      </c>
      <c r="C18" s="457">
        <v>1</v>
      </c>
      <c r="D18" s="458">
        <v>566</v>
      </c>
      <c r="E18" s="506">
        <v>487</v>
      </c>
      <c r="F18" s="459">
        <v>30715621866</v>
      </c>
      <c r="G18" s="460" t="str">
        <f>IFERROR(IF(compras_mes6[[#This Row],[CUIT]]="","-",VLOOKUP(compras_mes6[[#This Row],[CUIT]],Lista_CUIT[#All],2,0)),"CUIT NO CARGADO")</f>
        <v>GMRA S. A.</v>
      </c>
      <c r="H18" s="461">
        <v>159503.31</v>
      </c>
      <c r="I18" s="462">
        <f>IF(compras_mes6[[#This Row],[NETO GRAVADO]]="","",compras_mes6[[#This Row],[NETO GRAVADO]]*0.21)</f>
        <v>33495.695099999997</v>
      </c>
      <c r="J18" s="462"/>
      <c r="K18" s="462"/>
      <c r="L18" s="462"/>
      <c r="M18" s="462"/>
      <c r="N18" s="462"/>
      <c r="O18" s="462"/>
      <c r="P18" s="463">
        <f>SUM(compras_mes6[[#This Row],[NETO GRAVADO]:[Otros / No Grav.]])</f>
        <v>192999.00510000001</v>
      </c>
      <c r="Q18" s="464">
        <f>IFERROR(IF(compras_mes6[[#This Row],[CUIT]]="","-",VLOOKUP(compras_mes6[[#This Row],[CUIT]],Lista_CUIT[#All],3,0)),"CUIT NO CARGADO")</f>
        <v>0</v>
      </c>
      <c r="R18" s="464">
        <f>IFERROR(IF(compras_mes6[[#This Row],[CUIT]]="","-",VLOOKUP(compras_mes6[[#This Row],[CUIT]],Lista_CUIT[#All],4,0)),"CUIT NO CARGADO")</f>
        <v>0</v>
      </c>
    </row>
    <row r="19" spans="2:18" x14ac:dyDescent="0.3">
      <c r="B19" s="456">
        <v>45079</v>
      </c>
      <c r="C19" s="457">
        <v>1</v>
      </c>
      <c r="D19" s="458">
        <v>20</v>
      </c>
      <c r="E19" s="506">
        <v>8960</v>
      </c>
      <c r="F19" s="459">
        <v>30515800219</v>
      </c>
      <c r="G19" s="460" t="str">
        <f>IFERROR(IF(compras_mes6[[#This Row],[CUIT]]="","-",VLOOKUP(compras_mes6[[#This Row],[CUIT]],Lista_CUIT[#All],2,0)),"CUIT NO CARGADO")</f>
        <v>INCAT SRL</v>
      </c>
      <c r="H19" s="461">
        <v>816.19</v>
      </c>
      <c r="I19" s="462">
        <f>IF(compras_mes6[[#This Row],[NETO GRAVADO]]="","",compras_mes6[[#This Row],[NETO GRAVADO]]*0.21)</f>
        <v>171.3999</v>
      </c>
      <c r="J19" s="462"/>
      <c r="K19" s="462"/>
      <c r="L19" s="462"/>
      <c r="M19" s="462"/>
      <c r="N19" s="462"/>
      <c r="O19" s="462">
        <v>12.44</v>
      </c>
      <c r="P19" s="463">
        <f>SUM(compras_mes6[[#This Row],[NETO GRAVADO]:[Otros / No Grav.]])</f>
        <v>1000.0299000000001</v>
      </c>
      <c r="Q19" s="464" t="str">
        <f>IFERROR(IF(compras_mes6[[#This Row],[CUIT]]="","-",VLOOKUP(compras_mes6[[#This Row],[CUIT]],Lista_CUIT[#All],3,0)),"CUIT NO CARGADO")</f>
        <v>Combustibe</v>
      </c>
      <c r="R19" s="464" t="str">
        <f>IFERROR(IF(compras_mes6[[#This Row],[CUIT]]="","-",VLOOKUP(compras_mes6[[#This Row],[CUIT]],Lista_CUIT[#All],4,0)),"CUIT NO CARGADO")</f>
        <v>CABA</v>
      </c>
    </row>
    <row r="20" spans="2:18" x14ac:dyDescent="0.3">
      <c r="B20" s="456">
        <v>45079</v>
      </c>
      <c r="C20" s="457">
        <v>1</v>
      </c>
      <c r="D20" s="458">
        <v>6852</v>
      </c>
      <c r="E20" s="506">
        <v>17313</v>
      </c>
      <c r="F20" s="459">
        <v>30678774495</v>
      </c>
      <c r="G20" s="460" t="str">
        <f>IFERROR(IF(compras_mes6[[#This Row],[CUIT]]="","-",VLOOKUP(compras_mes6[[#This Row],[CUIT]],Lista_CUIT[#All],2,0)),"CUIT NO CARGADO")</f>
        <v>OPER. DE EST. DE SERV. SA</v>
      </c>
      <c r="H20" s="461">
        <v>1457.17</v>
      </c>
      <c r="I20" s="462">
        <f>IF(compras_mes6[[#This Row],[NETO GRAVADO]]="","",compras_mes6[[#This Row],[NETO GRAVADO]]*0.21)</f>
        <v>306.00569999999999</v>
      </c>
      <c r="J20" s="462"/>
      <c r="K20" s="462"/>
      <c r="L20" s="462"/>
      <c r="M20" s="462"/>
      <c r="N20" s="462"/>
      <c r="O20" s="462">
        <v>236.86</v>
      </c>
      <c r="P20" s="463">
        <f>SUM(compras_mes6[[#This Row],[NETO GRAVADO]:[Otros / No Grav.]])</f>
        <v>2000.0356999999999</v>
      </c>
      <c r="Q20" s="464" t="str">
        <f>IFERROR(IF(compras_mes6[[#This Row],[CUIT]]="","-",VLOOKUP(compras_mes6[[#This Row],[CUIT]],Lista_CUIT[#All],3,0)),"CUIT NO CARGADO")</f>
        <v>Combustibe</v>
      </c>
      <c r="R20" s="464">
        <f>IFERROR(IF(compras_mes6[[#This Row],[CUIT]]="","-",VLOOKUP(compras_mes6[[#This Row],[CUIT]],Lista_CUIT[#All],4,0)),"CUIT NO CARGADO")</f>
        <v>0</v>
      </c>
    </row>
    <row r="21" spans="2:18" x14ac:dyDescent="0.3">
      <c r="B21" s="456">
        <v>45079</v>
      </c>
      <c r="C21" s="457">
        <v>1</v>
      </c>
      <c r="D21" s="458">
        <v>6</v>
      </c>
      <c r="E21" s="506">
        <v>23295</v>
      </c>
      <c r="F21" s="459">
        <v>33640878679</v>
      </c>
      <c r="G21" s="460" t="str">
        <f>IFERROR(IF(compras_mes6[[#This Row],[CUIT]]="","-",VLOOKUP(compras_mes6[[#This Row],[CUIT]],Lista_CUIT[#All],2,0)),"CUIT NO CARGADO")</f>
        <v>DHACAM S R L</v>
      </c>
      <c r="H21" s="461">
        <v>80325</v>
      </c>
      <c r="I21" s="462">
        <f>IF(compras_mes6[[#This Row],[NETO GRAVADO]]="","",compras_mes6[[#This Row],[NETO GRAVADO]]*0.21)</f>
        <v>16868.25</v>
      </c>
      <c r="J21" s="462"/>
      <c r="K21" s="462"/>
      <c r="L21" s="462"/>
      <c r="M21" s="462"/>
      <c r="N21" s="462"/>
      <c r="O21" s="462"/>
      <c r="P21" s="463">
        <f>SUM(compras_mes6[[#This Row],[NETO GRAVADO]:[Otros / No Grav.]])</f>
        <v>97193.25</v>
      </c>
      <c r="Q21" s="464">
        <f>IFERROR(IF(compras_mes6[[#This Row],[CUIT]]="","-",VLOOKUP(compras_mes6[[#This Row],[CUIT]],Lista_CUIT[#All],3,0)),"CUIT NO CARGADO")</f>
        <v>0</v>
      </c>
      <c r="R21" s="464">
        <f>IFERROR(IF(compras_mes6[[#This Row],[CUIT]]="","-",VLOOKUP(compras_mes6[[#This Row],[CUIT]],Lista_CUIT[#All],4,0)),"CUIT NO CARGADO")</f>
        <v>0</v>
      </c>
    </row>
    <row r="22" spans="2:18" x14ac:dyDescent="0.3">
      <c r="B22" s="486">
        <v>45079</v>
      </c>
      <c r="C22" s="250">
        <v>1</v>
      </c>
      <c r="D22" s="487">
        <v>5014</v>
      </c>
      <c r="E22" s="488">
        <v>430451</v>
      </c>
      <c r="F22" s="476">
        <v>30574876474</v>
      </c>
      <c r="G22" s="489" t="str">
        <f>IFERROR(IF(compras_mes6[[#This Row],[CUIT]]="","-",VLOOKUP(compras_mes6[[#This Row],[CUIT]],Lista_CUIT[#All],2,0)),"CUIT NO CARGADO")</f>
        <v>AUTOPISTAS URBANAS S A</v>
      </c>
      <c r="H22" s="490">
        <v>16894.8</v>
      </c>
      <c r="I22" s="491">
        <f>IF(compras_mes6[[#This Row],[NETO GRAVADO]]="","",compras_mes6[[#This Row],[NETO GRAVADO]]*0.21)</f>
        <v>3547.9079999999999</v>
      </c>
      <c r="J22" s="491"/>
      <c r="K22" s="491"/>
      <c r="L22" s="491"/>
      <c r="M22" s="491"/>
      <c r="N22" s="491">
        <v>506.83</v>
      </c>
      <c r="O22" s="491">
        <v>1689.35</v>
      </c>
      <c r="P22" s="492">
        <f>SUM(compras_mes6[[#This Row],[NETO GRAVADO]:[Otros / No Grav.]])</f>
        <v>22638.887999999999</v>
      </c>
      <c r="Q22" s="493">
        <f>IFERROR(IF(compras_mes6[[#This Row],[CUIT]]="","-",VLOOKUP(compras_mes6[[#This Row],[CUIT]],Lista_CUIT[#All],3,0)),"CUIT NO CARGADO")</f>
        <v>0</v>
      </c>
      <c r="R22" s="493">
        <f>IFERROR(IF(compras_mes6[[#This Row],[CUIT]]="","-",VLOOKUP(compras_mes6[[#This Row],[CUIT]],Lista_CUIT[#All],4,0)),"CUIT NO CARGADO")</f>
        <v>0</v>
      </c>
    </row>
    <row r="23" spans="2:18" x14ac:dyDescent="0.3">
      <c r="B23" s="486">
        <v>45079</v>
      </c>
      <c r="C23" s="250">
        <v>1</v>
      </c>
      <c r="D23" s="487">
        <v>629</v>
      </c>
      <c r="E23" s="488">
        <v>4218967</v>
      </c>
      <c r="F23" s="476">
        <v>30663498513</v>
      </c>
      <c r="G23" s="489" t="str">
        <f>IFERROR(IF(compras_mes6[[#This Row],[CUIT]]="","-",VLOOKUP(compras_mes6[[#This Row],[CUIT]],Lista_CUIT[#All],2,0)),"CUIT NO CARGADO")</f>
        <v>GRUPO CONCES. DEL OESTE SA</v>
      </c>
      <c r="H23" s="490">
        <v>1611.53</v>
      </c>
      <c r="I23" s="491">
        <f>IF(compras_mes6[[#This Row],[NETO GRAVADO]]="","",compras_mes6[[#This Row],[NETO GRAVADO]]*0.21)</f>
        <v>338.42129999999997</v>
      </c>
      <c r="J23" s="491"/>
      <c r="K23" s="491"/>
      <c r="L23" s="491"/>
      <c r="M23" s="491"/>
      <c r="N23" s="491"/>
      <c r="O23" s="491"/>
      <c r="P23" s="492">
        <f>SUM(compras_mes6[[#This Row],[NETO GRAVADO]:[Otros / No Grav.]])</f>
        <v>1949.9512999999999</v>
      </c>
      <c r="Q23" s="493">
        <f>IFERROR(IF(compras_mes6[[#This Row],[CUIT]]="","-",VLOOKUP(compras_mes6[[#This Row],[CUIT]],Lista_CUIT[#All],3,0)),"CUIT NO CARGADO")</f>
        <v>0</v>
      </c>
      <c r="R23" s="493">
        <f>IFERROR(IF(compras_mes6[[#This Row],[CUIT]]="","-",VLOOKUP(compras_mes6[[#This Row],[CUIT]],Lista_CUIT[#All],4,0)),"CUIT NO CARGADO")</f>
        <v>0</v>
      </c>
    </row>
    <row r="24" spans="2:18" x14ac:dyDescent="0.3">
      <c r="B24" s="486">
        <v>45079</v>
      </c>
      <c r="C24" s="250">
        <v>1</v>
      </c>
      <c r="D24" s="487">
        <v>711</v>
      </c>
      <c r="E24" s="488">
        <v>4373286</v>
      </c>
      <c r="F24" s="476">
        <v>30677237119</v>
      </c>
      <c r="G24" s="489" t="str">
        <f>IFERROR(IF(compras_mes6[[#This Row],[CUIT]]="","-",VLOOKUP(compras_mes6[[#This Row],[CUIT]],Lista_CUIT[#All],2,0)),"CUIT NO CARGADO")</f>
        <v>AUTOPISTAS DEL SOL S A</v>
      </c>
      <c r="H24" s="490">
        <v>1714.84</v>
      </c>
      <c r="I24" s="491">
        <f>IF(compras_mes6[[#This Row],[NETO GRAVADO]]="","",compras_mes6[[#This Row],[NETO GRAVADO]]*0.21)</f>
        <v>360.11639999999994</v>
      </c>
      <c r="J24" s="491"/>
      <c r="K24" s="491"/>
      <c r="L24" s="491"/>
      <c r="M24" s="491"/>
      <c r="N24" s="491"/>
      <c r="O24" s="491"/>
      <c r="P24" s="492">
        <f>SUM(compras_mes6[[#This Row],[NETO GRAVADO]:[Otros / No Grav.]])</f>
        <v>2074.9564</v>
      </c>
      <c r="Q24" s="493">
        <f>IFERROR(IF(compras_mes6[[#This Row],[CUIT]]="","-",VLOOKUP(compras_mes6[[#This Row],[CUIT]],Lista_CUIT[#All],3,0)),"CUIT NO CARGADO")</f>
        <v>0</v>
      </c>
      <c r="R24" s="493">
        <f>IFERROR(IF(compras_mes6[[#This Row],[CUIT]]="","-",VLOOKUP(compras_mes6[[#This Row],[CUIT]],Lista_CUIT[#All],4,0)),"CUIT NO CARGADO")</f>
        <v>0</v>
      </c>
    </row>
    <row r="25" spans="2:18" x14ac:dyDescent="0.3">
      <c r="B25" s="456">
        <v>45080</v>
      </c>
      <c r="C25" s="457">
        <v>1</v>
      </c>
      <c r="D25" s="458">
        <v>2199</v>
      </c>
      <c r="E25" s="506">
        <v>22387</v>
      </c>
      <c r="F25" s="459">
        <v>30548083156</v>
      </c>
      <c r="G25" s="460" t="str">
        <f>IFERROR(IF(compras_mes6[[#This Row],[CUIT]]="","-",VLOOKUP(compras_mes6[[#This Row],[CUIT]],Lista_CUIT[#All],2,0)),"CUIT NO CARGADO")</f>
        <v>COTO CENTRO INTEGRAL DE COMERCIALIZACION SOCIEDAD ANONIMA</v>
      </c>
      <c r="H25" s="461">
        <v>9407.1299999999992</v>
      </c>
      <c r="I25" s="462">
        <v>1412.11</v>
      </c>
      <c r="J25" s="462"/>
      <c r="K25" s="462">
        <v>281.7</v>
      </c>
      <c r="L25" s="462">
        <v>198.68</v>
      </c>
      <c r="M25" s="462"/>
      <c r="N25" s="462">
        <v>472.34</v>
      </c>
      <c r="O25" s="462"/>
      <c r="P25" s="463">
        <f>SUM(compras_mes6[[#This Row],[NETO GRAVADO]:[Otros / No Grav.]])</f>
        <v>11771.960000000001</v>
      </c>
      <c r="Q25" s="464" t="str">
        <f>IFERROR(IF(compras_mes6[[#This Row],[CUIT]]="","-",VLOOKUP(compras_mes6[[#This Row],[CUIT]],Lista_CUIT[#All],3,0)),"CUIT NO CARGADO")</f>
        <v>GASTOS COMERCIALES</v>
      </c>
      <c r="R25" s="464">
        <f>IFERROR(IF(compras_mes6[[#This Row],[CUIT]]="","-",VLOOKUP(compras_mes6[[#This Row],[CUIT]],Lista_CUIT[#All],4,0)),"CUIT NO CARGADO")</f>
        <v>0</v>
      </c>
    </row>
    <row r="26" spans="2:18" x14ac:dyDescent="0.3">
      <c r="B26" s="456">
        <v>45080</v>
      </c>
      <c r="C26" s="457">
        <v>1</v>
      </c>
      <c r="D26" s="458">
        <v>12</v>
      </c>
      <c r="E26" s="506">
        <v>25510</v>
      </c>
      <c r="F26" s="459">
        <v>30696131003</v>
      </c>
      <c r="G26" s="460" t="str">
        <f>IFERROR(IF(compras_mes6[[#This Row],[CUIT]]="","-",VLOOKUP(compras_mes6[[#This Row],[CUIT]],Lista_CUIT[#All],2,0)),"CUIT NO CARGADO")</f>
        <v>Petrolfe S.A.</v>
      </c>
      <c r="H26" s="461">
        <v>16576.57</v>
      </c>
      <c r="I26" s="462">
        <f>IF(compras_mes6[[#This Row],[NETO GRAVADO]]="","",compras_mes6[[#This Row],[NETO GRAVADO]]*0.21)</f>
        <v>3481.0796999999998</v>
      </c>
      <c r="J26" s="462"/>
      <c r="K26" s="462"/>
      <c r="L26" s="462"/>
      <c r="M26" s="462"/>
      <c r="N26" s="462"/>
      <c r="O26" s="462">
        <v>2681.89</v>
      </c>
      <c r="P26" s="463">
        <f>SUM(compras_mes6[[#This Row],[NETO GRAVADO]:[Otros / No Grav.]])</f>
        <v>22739.539699999998</v>
      </c>
      <c r="Q26" s="464" t="str">
        <f>IFERROR(IF(compras_mes6[[#This Row],[CUIT]]="","-",VLOOKUP(compras_mes6[[#This Row],[CUIT]],Lista_CUIT[#All],3,0)),"CUIT NO CARGADO")</f>
        <v>Combustible</v>
      </c>
      <c r="R26" s="464">
        <f>IFERROR(IF(compras_mes6[[#This Row],[CUIT]]="","-",VLOOKUP(compras_mes6[[#This Row],[CUIT]],Lista_CUIT[#All],4,0)),"CUIT NO CARGADO")</f>
        <v>0</v>
      </c>
    </row>
    <row r="27" spans="2:18" x14ac:dyDescent="0.3">
      <c r="B27" s="486">
        <v>45080</v>
      </c>
      <c r="C27" s="250">
        <v>1</v>
      </c>
      <c r="D27" s="487">
        <v>943</v>
      </c>
      <c r="E27" s="488">
        <v>1493897</v>
      </c>
      <c r="F27" s="476">
        <v>30639453975</v>
      </c>
      <c r="G27" s="489" t="str">
        <f>IFERROR(IF(compras_mes6[[#This Row],[CUIT]]="","-",VLOOKUP(compras_mes6[[#This Row],[CUIT]],Lista_CUIT[#All],2,0)),"CUIT NO CARGADO")</f>
        <v>TELEFONICA DE ARG S.A.</v>
      </c>
      <c r="H27" s="490">
        <v>22286.880000000001</v>
      </c>
      <c r="I27" s="491"/>
      <c r="J27" s="491">
        <v>6017.46</v>
      </c>
      <c r="K27" s="491"/>
      <c r="L27" s="491">
        <v>668.61</v>
      </c>
      <c r="M27" s="491"/>
      <c r="N27" s="491">
        <v>1337.21</v>
      </c>
      <c r="O27" s="491"/>
      <c r="P27" s="492">
        <f>SUM(compras_mes6[[#This Row],[NETO GRAVADO]:[Otros / No Grav.]])</f>
        <v>30310.16</v>
      </c>
      <c r="Q27" s="493" t="str">
        <f>IFERROR(IF(compras_mes6[[#This Row],[CUIT]]="","-",VLOOKUP(compras_mes6[[#This Row],[CUIT]],Lista_CUIT[#All],3,0)),"CUIT NO CARGADO")</f>
        <v>Servicios Gas, Luz, etc.</v>
      </c>
      <c r="R27" s="493">
        <f>IFERROR(IF(compras_mes6[[#This Row],[CUIT]]="","-",VLOOKUP(compras_mes6[[#This Row],[CUIT]],Lista_CUIT[#All],4,0)),"CUIT NO CARGADO")</f>
        <v>0</v>
      </c>
    </row>
    <row r="28" spans="2:18" x14ac:dyDescent="0.3">
      <c r="B28" s="456">
        <v>45081</v>
      </c>
      <c r="C28" s="457">
        <v>1</v>
      </c>
      <c r="D28" s="458">
        <v>7</v>
      </c>
      <c r="E28" s="506">
        <v>1373</v>
      </c>
      <c r="F28" s="459">
        <v>20134664518</v>
      </c>
      <c r="G28" s="460" t="str">
        <f>IFERROR(IF(compras_mes6[[#This Row],[CUIT]]="","-",VLOOKUP(compras_mes6[[#This Row],[CUIT]],Lista_CUIT[#All],2,0)),"CUIT NO CARGADO")</f>
        <v>HOKAMA SERGIO ENRIQUE</v>
      </c>
      <c r="H28" s="461">
        <v>3542.55</v>
      </c>
      <c r="I28" s="462">
        <f>IF(compras_mes6[[#This Row],[NETO GRAVADO]]="","",compras_mes6[[#This Row],[NETO GRAVADO]]*0.21)</f>
        <v>743.93550000000005</v>
      </c>
      <c r="J28" s="462"/>
      <c r="K28" s="462"/>
      <c r="L28" s="462"/>
      <c r="M28" s="462"/>
      <c r="N28" s="462"/>
      <c r="O28" s="462"/>
      <c r="P28" s="463">
        <f>SUM(compras_mes6[[#This Row],[NETO GRAVADO]:[Otros / No Grav.]])</f>
        <v>4286.4855000000007</v>
      </c>
      <c r="Q28" s="464" t="str">
        <f>IFERROR(IF(compras_mes6[[#This Row],[CUIT]]="","-",VLOOKUP(compras_mes6[[#This Row],[CUIT]],Lista_CUIT[#All],3,0)),"CUIT NO CARGADO")</f>
        <v>Gastos Varios</v>
      </c>
      <c r="R28" s="464" t="str">
        <f>IFERROR(IF(compras_mes6[[#This Row],[CUIT]]="","-",VLOOKUP(compras_mes6[[#This Row],[CUIT]],Lista_CUIT[#All],4,0)),"CUIT NO CARGADO")</f>
        <v>BUENOS AIRES</v>
      </c>
    </row>
    <row r="29" spans="2:18" x14ac:dyDescent="0.3">
      <c r="B29" s="486">
        <v>45082</v>
      </c>
      <c r="C29" s="250">
        <v>1</v>
      </c>
      <c r="D29" s="487">
        <v>33</v>
      </c>
      <c r="E29" s="488">
        <v>22</v>
      </c>
      <c r="F29" s="476">
        <v>30717434710</v>
      </c>
      <c r="G29" s="489" t="str">
        <f>IFERROR(IF(compras_mes6[[#This Row],[CUIT]]="","-",VLOOKUP(compras_mes6[[#This Row],[CUIT]],Lista_CUIT[#All],2,0)),"CUIT NO CARGADO")</f>
        <v>PICALI IMPORT S.R.L.</v>
      </c>
      <c r="H29" s="490">
        <v>281250</v>
      </c>
      <c r="I29" s="491">
        <f>IF(compras_mes6[[#This Row],[NETO GRAVADO]]="","",compras_mes6[[#This Row],[NETO GRAVADO]]*0.21)</f>
        <v>59062.5</v>
      </c>
      <c r="J29" s="491"/>
      <c r="K29" s="491"/>
      <c r="L29" s="491"/>
      <c r="M29" s="491"/>
      <c r="N29" s="491"/>
      <c r="O29" s="491"/>
      <c r="P29" s="492">
        <f>SUM(compras_mes6[[#This Row],[NETO GRAVADO]:[Otros / No Grav.]])</f>
        <v>340312.5</v>
      </c>
      <c r="Q29" s="493">
        <f>IFERROR(IF(compras_mes6[[#This Row],[CUIT]]="","-",VLOOKUP(compras_mes6[[#This Row],[CUIT]],Lista_CUIT[#All],3,0)),"CUIT NO CARGADO")</f>
        <v>0</v>
      </c>
      <c r="R29" s="493">
        <f>IFERROR(IF(compras_mes6[[#This Row],[CUIT]]="","-",VLOOKUP(compras_mes6[[#This Row],[CUIT]],Lista_CUIT[#All],4,0)),"CUIT NO CARGADO")</f>
        <v>0</v>
      </c>
    </row>
    <row r="30" spans="2:18" x14ac:dyDescent="0.3">
      <c r="B30" s="456">
        <v>45082</v>
      </c>
      <c r="C30" s="457">
        <v>1</v>
      </c>
      <c r="D30" s="458">
        <v>2</v>
      </c>
      <c r="E30" s="506">
        <v>131</v>
      </c>
      <c r="F30" s="459">
        <v>30717768511</v>
      </c>
      <c r="G30" s="460" t="str">
        <f>IFERROR(IF(compras_mes6[[#This Row],[CUIT]]="","-",VLOOKUP(compras_mes6[[#This Row],[CUIT]],Lista_CUIT[#All],2,0)),"CUIT NO CARGADO")</f>
        <v>DEALER S. CAP I SECC IV</v>
      </c>
      <c r="H30" s="461">
        <v>34380</v>
      </c>
      <c r="I30" s="462">
        <f>IF(compras_mes6[[#This Row],[NETO GRAVADO]]="","",compras_mes6[[#This Row],[NETO GRAVADO]]*0.21)</f>
        <v>7219.8</v>
      </c>
      <c r="J30" s="462"/>
      <c r="K30" s="462"/>
      <c r="L30" s="462"/>
      <c r="M30" s="462"/>
      <c r="N30" s="462"/>
      <c r="O30" s="462"/>
      <c r="P30" s="463">
        <f>SUM(compras_mes6[[#This Row],[NETO GRAVADO]:[Otros / No Grav.]])</f>
        <v>41599.800000000003</v>
      </c>
      <c r="Q30" s="464">
        <f>IFERROR(IF(compras_mes6[[#This Row],[CUIT]]="","-",VLOOKUP(compras_mes6[[#This Row],[CUIT]],Lista_CUIT[#All],3,0)),"CUIT NO CARGADO")</f>
        <v>0</v>
      </c>
      <c r="R30" s="464">
        <f>IFERROR(IF(compras_mes6[[#This Row],[CUIT]]="","-",VLOOKUP(compras_mes6[[#This Row],[CUIT]],Lista_CUIT[#All],4,0)),"CUIT NO CARGADO")</f>
        <v>0</v>
      </c>
    </row>
    <row r="31" spans="2:18" x14ac:dyDescent="0.3">
      <c r="B31" s="456">
        <v>45082</v>
      </c>
      <c r="C31" s="457">
        <v>1</v>
      </c>
      <c r="D31" s="458">
        <v>2</v>
      </c>
      <c r="E31" s="506">
        <v>3356</v>
      </c>
      <c r="F31" s="459">
        <v>30629863571</v>
      </c>
      <c r="G31" s="460" t="str">
        <f>IFERROR(IF(compras_mes6[[#This Row],[CUIT]]="","-",VLOOKUP(compras_mes6[[#This Row],[CUIT]],Lista_CUIT[#All],2,0)),"CUIT NO CARGADO")</f>
        <v>TECNIMAR S R L</v>
      </c>
      <c r="H31" s="461">
        <v>946645.62</v>
      </c>
      <c r="I31" s="462">
        <f>IF(compras_mes6[[#This Row],[NETO GRAVADO]]="","",compras_mes6[[#This Row],[NETO GRAVADO]]*0.21)</f>
        <v>198795.5802</v>
      </c>
      <c r="J31" s="462"/>
      <c r="K31" s="462"/>
      <c r="L31" s="462"/>
      <c r="M31" s="462"/>
      <c r="N31" s="462"/>
      <c r="O31" s="462"/>
      <c r="P31" s="463">
        <f>SUM(compras_mes6[[#This Row],[NETO GRAVADO]:[Otros / No Grav.]])</f>
        <v>1145441.2002000001</v>
      </c>
      <c r="Q31" s="464" t="str">
        <f>IFERROR(IF(compras_mes6[[#This Row],[CUIT]]="","-",VLOOKUP(compras_mes6[[#This Row],[CUIT]],Lista_CUIT[#All],3,0)),"CUIT NO CARGADO")</f>
        <v>LABORATORIO</v>
      </c>
      <c r="R31" s="464">
        <f>IFERROR(IF(compras_mes6[[#This Row],[CUIT]]="","-",VLOOKUP(compras_mes6[[#This Row],[CUIT]],Lista_CUIT[#All],4,0)),"CUIT NO CARGADO")</f>
        <v>0</v>
      </c>
    </row>
    <row r="32" spans="2:18" x14ac:dyDescent="0.3">
      <c r="B32" s="456">
        <v>45082</v>
      </c>
      <c r="C32" s="457">
        <v>1</v>
      </c>
      <c r="D32" s="458">
        <v>6</v>
      </c>
      <c r="E32" s="506">
        <v>3407</v>
      </c>
      <c r="F32" s="459">
        <v>20134664518</v>
      </c>
      <c r="G32" s="460" t="str">
        <f>IFERROR(IF(compras_mes6[[#This Row],[CUIT]]="","-",VLOOKUP(compras_mes6[[#This Row],[CUIT]],Lista_CUIT[#All],2,0)),"CUIT NO CARGADO")</f>
        <v>HOKAMA SERGIO ENRIQUE</v>
      </c>
      <c r="H32" s="461">
        <v>9808.68</v>
      </c>
      <c r="I32" s="462">
        <f>IF(compras_mes6[[#This Row],[NETO GRAVADO]]="","",compras_mes6[[#This Row],[NETO GRAVADO]]*0.21)</f>
        <v>2059.8227999999999</v>
      </c>
      <c r="J32" s="462"/>
      <c r="K32" s="462"/>
      <c r="L32" s="462"/>
      <c r="M32" s="462"/>
      <c r="N32" s="462"/>
      <c r="O32" s="462"/>
      <c r="P32" s="463">
        <f>SUM(compras_mes6[[#This Row],[NETO GRAVADO]:[Otros / No Grav.]])</f>
        <v>11868.5028</v>
      </c>
      <c r="Q32" s="464" t="str">
        <f>IFERROR(IF(compras_mes6[[#This Row],[CUIT]]="","-",VLOOKUP(compras_mes6[[#This Row],[CUIT]],Lista_CUIT[#All],3,0)),"CUIT NO CARGADO")</f>
        <v>Gastos Varios</v>
      </c>
      <c r="R32" s="464" t="str">
        <f>IFERROR(IF(compras_mes6[[#This Row],[CUIT]]="","-",VLOOKUP(compras_mes6[[#This Row],[CUIT]],Lista_CUIT[#All],4,0)),"CUIT NO CARGADO")</f>
        <v>BUENOS AIRES</v>
      </c>
    </row>
    <row r="33" spans="2:18" x14ac:dyDescent="0.3">
      <c r="B33" s="456">
        <v>45082</v>
      </c>
      <c r="C33" s="457">
        <v>1</v>
      </c>
      <c r="D33" s="458">
        <v>20</v>
      </c>
      <c r="E33" s="506">
        <v>8997</v>
      </c>
      <c r="F33" s="459">
        <v>30515800219</v>
      </c>
      <c r="G33" s="460" t="str">
        <f>IFERROR(IF(compras_mes6[[#This Row],[CUIT]]="","-",VLOOKUP(compras_mes6[[#This Row],[CUIT]],Lista_CUIT[#All],2,0)),"CUIT NO CARGADO")</f>
        <v>INCAT SRL</v>
      </c>
      <c r="H33" s="461">
        <v>253</v>
      </c>
      <c r="I33" s="462">
        <f>IF(compras_mes6[[#This Row],[NETO GRAVADO]]="","",compras_mes6[[#This Row],[NETO GRAVADO]]*0.21)</f>
        <v>53.129999999999995</v>
      </c>
      <c r="J33" s="462"/>
      <c r="K33" s="462"/>
      <c r="L33" s="462"/>
      <c r="M33" s="462"/>
      <c r="N33" s="462"/>
      <c r="O33" s="462">
        <v>3.86</v>
      </c>
      <c r="P33" s="463">
        <f>SUM(compras_mes6[[#This Row],[NETO GRAVADO]:[Otros / No Grav.]])</f>
        <v>309.99</v>
      </c>
      <c r="Q33" s="464" t="str">
        <f>IFERROR(IF(compras_mes6[[#This Row],[CUIT]]="","-",VLOOKUP(compras_mes6[[#This Row],[CUIT]],Lista_CUIT[#All],3,0)),"CUIT NO CARGADO")</f>
        <v>Combustibe</v>
      </c>
      <c r="R33" s="464" t="str">
        <f>IFERROR(IF(compras_mes6[[#This Row],[CUIT]]="","-",VLOOKUP(compras_mes6[[#This Row],[CUIT]],Lista_CUIT[#All],4,0)),"CUIT NO CARGADO")</f>
        <v>CABA</v>
      </c>
    </row>
    <row r="34" spans="2:18" x14ac:dyDescent="0.3">
      <c r="B34" s="456">
        <v>45082</v>
      </c>
      <c r="C34" s="457">
        <v>1</v>
      </c>
      <c r="D34" s="458">
        <v>20</v>
      </c>
      <c r="E34" s="506">
        <v>10684</v>
      </c>
      <c r="F34" s="459">
        <v>30698813659</v>
      </c>
      <c r="G34" s="460" t="str">
        <f>IFERROR(IF(compras_mes6[[#This Row],[CUIT]]="","-",VLOOKUP(compras_mes6[[#This Row],[CUIT]],Lista_CUIT[#All],2,0)),"CUIT NO CARGADO")</f>
        <v>PUENTE VANGUARDIA SOC ANONIMA</v>
      </c>
      <c r="H34" s="461">
        <v>2197.4299999999998</v>
      </c>
      <c r="I34" s="462">
        <f>IF(compras_mes6[[#This Row],[NETO GRAVADO]]="","",compras_mes6[[#This Row],[NETO GRAVADO]]*0.21)</f>
        <v>461.46029999999996</v>
      </c>
      <c r="J34" s="462"/>
      <c r="K34" s="462"/>
      <c r="L34" s="462"/>
      <c r="M34" s="462"/>
      <c r="N34" s="462"/>
      <c r="O34" s="462">
        <v>341.08</v>
      </c>
      <c r="P34" s="463">
        <f>SUM(compras_mes6[[#This Row],[NETO GRAVADO]:[Otros / No Grav.]])</f>
        <v>2999.9703</v>
      </c>
      <c r="Q34" s="464" t="str">
        <f>IFERROR(IF(compras_mes6[[#This Row],[CUIT]]="","-",VLOOKUP(compras_mes6[[#This Row],[CUIT]],Lista_CUIT[#All],3,0)),"CUIT NO CARGADO")</f>
        <v>COMBUSTIBLE</v>
      </c>
      <c r="R34" s="464" t="str">
        <f>IFERROR(IF(compras_mes6[[#This Row],[CUIT]]="","-",VLOOKUP(compras_mes6[[#This Row],[CUIT]],Lista_CUIT[#All],4,0)),"CUIT NO CARGADO")</f>
        <v>BUENOS AIRES</v>
      </c>
    </row>
    <row r="35" spans="2:18" x14ac:dyDescent="0.3">
      <c r="B35" s="456">
        <v>45082</v>
      </c>
      <c r="C35" s="457">
        <v>1</v>
      </c>
      <c r="D35" s="458">
        <v>10</v>
      </c>
      <c r="E35" s="506">
        <v>30296</v>
      </c>
      <c r="F35" s="459">
        <v>30681484635</v>
      </c>
      <c r="G35" s="460" t="str">
        <f>IFERROR(IF(compras_mes6[[#This Row],[CUIT]]="","-",VLOOKUP(compras_mes6[[#This Row],[CUIT]],Lista_CUIT[#All],2,0)),"CUIT NO CARGADO")</f>
        <v>IONIC S SOCIEDAD ANONIMA</v>
      </c>
      <c r="H35" s="461">
        <v>39818.74</v>
      </c>
      <c r="I35" s="462">
        <f>IF(compras_mes6[[#This Row],[NETO GRAVADO]]="","",compras_mes6[[#This Row],[NETO GRAVADO]]*0.21)</f>
        <v>8361.9353999999985</v>
      </c>
      <c r="J35" s="462"/>
      <c r="K35" s="462"/>
      <c r="L35" s="462"/>
      <c r="M35" s="462"/>
      <c r="N35" s="462"/>
      <c r="O35" s="462"/>
      <c r="P35" s="463">
        <f>SUM(compras_mes6[[#This Row],[NETO GRAVADO]:[Otros / No Grav.]])</f>
        <v>48180.675399999993</v>
      </c>
      <c r="Q35" s="464">
        <f>IFERROR(IF(compras_mes6[[#This Row],[CUIT]]="","-",VLOOKUP(compras_mes6[[#This Row],[CUIT]],Lista_CUIT[#All],3,0)),"CUIT NO CARGADO")</f>
        <v>0</v>
      </c>
      <c r="R35" s="464">
        <f>IFERROR(IF(compras_mes6[[#This Row],[CUIT]]="","-",VLOOKUP(compras_mes6[[#This Row],[CUIT]],Lista_CUIT[#All],4,0)),"CUIT NO CARGADO")</f>
        <v>0</v>
      </c>
    </row>
    <row r="36" spans="2:18" x14ac:dyDescent="0.3">
      <c r="B36" s="456">
        <v>45082</v>
      </c>
      <c r="C36" s="457">
        <v>1</v>
      </c>
      <c r="D36" s="458">
        <v>63</v>
      </c>
      <c r="E36" s="506">
        <v>2413829</v>
      </c>
      <c r="F36" s="459">
        <v>30640897267</v>
      </c>
      <c r="G36" s="460" t="str">
        <f>IFERROR(IF(compras_mes6[[#This Row],[CUIT]]="","-",VLOOKUP(compras_mes6[[#This Row],[CUIT]],Lista_CUIT[#All],2,0)),"CUIT NO CARGADO")</f>
        <v>TELECENTRO S.A.</v>
      </c>
      <c r="H36" s="461">
        <v>11623.8</v>
      </c>
      <c r="I36" s="462">
        <f>IF(compras_mes6[[#This Row],[NETO GRAVADO]]="","",compras_mes6[[#This Row],[NETO GRAVADO]]*0.21)</f>
        <v>2440.9979999999996</v>
      </c>
      <c r="J36" s="462"/>
      <c r="K36" s="462"/>
      <c r="L36" s="462">
        <v>348.71</v>
      </c>
      <c r="M36" s="462"/>
      <c r="N36" s="462">
        <v>697.43</v>
      </c>
      <c r="O36" s="462"/>
      <c r="P36" s="463">
        <f>SUM(compras_mes6[[#This Row],[NETO GRAVADO]:[Otros / No Grav.]])</f>
        <v>15110.937999999998</v>
      </c>
      <c r="Q36" s="464">
        <f>IFERROR(IF(compras_mes6[[#This Row],[CUIT]]="","-",VLOOKUP(compras_mes6[[#This Row],[CUIT]],Lista_CUIT[#All],3,0)),"CUIT NO CARGADO")</f>
        <v>0</v>
      </c>
      <c r="R36" s="464">
        <f>IFERROR(IF(compras_mes6[[#This Row],[CUIT]]="","-",VLOOKUP(compras_mes6[[#This Row],[CUIT]],Lista_CUIT[#All],4,0)),"CUIT NO CARGADO")</f>
        <v>0</v>
      </c>
    </row>
    <row r="37" spans="2:18" x14ac:dyDescent="0.3">
      <c r="B37" s="486">
        <v>45082</v>
      </c>
      <c r="C37" s="250">
        <v>1</v>
      </c>
      <c r="D37" s="487">
        <v>63</v>
      </c>
      <c r="E37" s="488">
        <v>2414514</v>
      </c>
      <c r="F37" s="476">
        <v>30640897267</v>
      </c>
      <c r="G37" s="489" t="str">
        <f>IFERROR(IF(compras_mes6[[#This Row],[CUIT]]="","-",VLOOKUP(compras_mes6[[#This Row],[CUIT]],Lista_CUIT[#All],2,0)),"CUIT NO CARGADO")</f>
        <v>TELECENTRO S.A.</v>
      </c>
      <c r="H37" s="490">
        <v>11623.8</v>
      </c>
      <c r="I37" s="491">
        <f>IF(compras_mes6[[#This Row],[NETO GRAVADO]]="","",compras_mes6[[#This Row],[NETO GRAVADO]]*0.21)</f>
        <v>2440.9979999999996</v>
      </c>
      <c r="J37" s="491"/>
      <c r="K37" s="491"/>
      <c r="L37" s="491">
        <v>348.71</v>
      </c>
      <c r="M37" s="491"/>
      <c r="N37" s="491">
        <v>697.43</v>
      </c>
      <c r="O37" s="491"/>
      <c r="P37" s="492">
        <f>SUM(compras_mes6[[#This Row],[NETO GRAVADO]:[Otros / No Grav.]])</f>
        <v>15110.937999999998</v>
      </c>
      <c r="Q37" s="493">
        <f>IFERROR(IF(compras_mes6[[#This Row],[CUIT]]="","-",VLOOKUP(compras_mes6[[#This Row],[CUIT]],Lista_CUIT[#All],3,0)),"CUIT NO CARGADO")</f>
        <v>0</v>
      </c>
      <c r="R37" s="493">
        <f>IFERROR(IF(compras_mes6[[#This Row],[CUIT]]="","-",VLOOKUP(compras_mes6[[#This Row],[CUIT]],Lista_CUIT[#All],4,0)),"CUIT NO CARGADO")</f>
        <v>0</v>
      </c>
    </row>
    <row r="38" spans="2:18" x14ac:dyDescent="0.3">
      <c r="B38" s="456">
        <v>45083</v>
      </c>
      <c r="C38" s="457">
        <v>1</v>
      </c>
      <c r="D38" s="458">
        <v>2</v>
      </c>
      <c r="E38" s="506">
        <v>6237</v>
      </c>
      <c r="F38" s="459">
        <v>33714677239</v>
      </c>
      <c r="G38" s="460" t="str">
        <f>IFERROR(IF(compras_mes6[[#This Row],[CUIT]]="","-",VLOOKUP(compras_mes6[[#This Row],[CUIT]],Lista_CUIT[#All],2,0)),"CUIT NO CARGADO")</f>
        <v xml:space="preserve">BOMBAS VAPORIZADORAS </v>
      </c>
      <c r="H38" s="461">
        <v>276650</v>
      </c>
      <c r="I38" s="462">
        <f>IF(compras_mes6[[#This Row],[NETO GRAVADO]]="","",compras_mes6[[#This Row],[NETO GRAVADO]]*0.21)</f>
        <v>58096.5</v>
      </c>
      <c r="J38" s="462"/>
      <c r="K38" s="462"/>
      <c r="L38" s="462"/>
      <c r="M38" s="462"/>
      <c r="N38" s="462"/>
      <c r="O38" s="462"/>
      <c r="P38" s="463">
        <f>SUM(compras_mes6[[#This Row],[NETO GRAVADO]:[Otros / No Grav.]])</f>
        <v>334746.5</v>
      </c>
      <c r="Q38" s="464" t="str">
        <f>IFERROR(IF(compras_mes6[[#This Row],[CUIT]]="","-",VLOOKUP(compras_mes6[[#This Row],[CUIT]],Lista_CUIT[#All],3,0)),"CUIT NO CARGADO")</f>
        <v>GASTOS VEHICULO</v>
      </c>
      <c r="R38" s="464">
        <f>IFERROR(IF(compras_mes6[[#This Row],[CUIT]]="","-",VLOOKUP(compras_mes6[[#This Row],[CUIT]],Lista_CUIT[#All],4,0)),"CUIT NO CARGADO")</f>
        <v>0</v>
      </c>
    </row>
    <row r="39" spans="2:18" x14ac:dyDescent="0.3">
      <c r="B39" s="456">
        <v>45083</v>
      </c>
      <c r="C39" s="457">
        <v>1</v>
      </c>
      <c r="D39" s="458">
        <v>3</v>
      </c>
      <c r="E39" s="506">
        <v>6508</v>
      </c>
      <c r="F39" s="459">
        <v>30708006420</v>
      </c>
      <c r="G39" s="460" t="str">
        <f>IFERROR(IF(compras_mes6[[#This Row],[CUIT]]="","-",VLOOKUP(compras_mes6[[#This Row],[CUIT]],Lista_CUIT[#All],2,0)),"CUIT NO CARGADO")</f>
        <v>MEDILEA S.A.</v>
      </c>
      <c r="H39" s="461">
        <v>300000</v>
      </c>
      <c r="I39" s="462">
        <f>IF(compras_mes6[[#This Row],[NETO GRAVADO]]="","",compras_mes6[[#This Row],[NETO GRAVADO]]*0.21)</f>
        <v>63000</v>
      </c>
      <c r="J39" s="462"/>
      <c r="K39" s="462"/>
      <c r="L39" s="462"/>
      <c r="M39" s="462"/>
      <c r="N39" s="462"/>
      <c r="O39" s="462"/>
      <c r="P39" s="463">
        <f>SUM(compras_mes6[[#This Row],[NETO GRAVADO]:[Otros / No Grav.]])</f>
        <v>363000</v>
      </c>
      <c r="Q39" s="464">
        <f>IFERROR(IF(compras_mes6[[#This Row],[CUIT]]="","-",VLOOKUP(compras_mes6[[#This Row],[CUIT]],Lista_CUIT[#All],3,0)),"CUIT NO CARGADO")</f>
        <v>0</v>
      </c>
      <c r="R39" s="464">
        <f>IFERROR(IF(compras_mes6[[#This Row],[CUIT]]="","-",VLOOKUP(compras_mes6[[#This Row],[CUIT]],Lista_CUIT[#All],4,0)),"CUIT NO CARGADO")</f>
        <v>0</v>
      </c>
    </row>
    <row r="40" spans="2:18" x14ac:dyDescent="0.3">
      <c r="B40" s="456">
        <v>45083</v>
      </c>
      <c r="C40" s="457">
        <v>1</v>
      </c>
      <c r="D40" s="458">
        <v>20</v>
      </c>
      <c r="E40" s="506">
        <v>9012</v>
      </c>
      <c r="F40" s="459">
        <v>30515800219</v>
      </c>
      <c r="G40" s="460" t="str">
        <f>IFERROR(IF(compras_mes6[[#This Row],[CUIT]]="","-",VLOOKUP(compras_mes6[[#This Row],[CUIT]],Lista_CUIT[#All],2,0)),"CUIT NO CARGADO")</f>
        <v>INCAT SRL</v>
      </c>
      <c r="H40" s="461">
        <v>816.19</v>
      </c>
      <c r="I40" s="462">
        <f>IF(compras_mes6[[#This Row],[NETO GRAVADO]]="","",compras_mes6[[#This Row],[NETO GRAVADO]]*0.21)</f>
        <v>171.3999</v>
      </c>
      <c r="J40" s="462"/>
      <c r="K40" s="462"/>
      <c r="L40" s="462"/>
      <c r="M40" s="462"/>
      <c r="N40" s="462"/>
      <c r="O40" s="462">
        <v>12.44</v>
      </c>
      <c r="P40" s="463">
        <f>SUM(compras_mes6[[#This Row],[NETO GRAVADO]:[Otros / No Grav.]])</f>
        <v>1000.0299000000001</v>
      </c>
      <c r="Q40" s="464" t="str">
        <f>IFERROR(IF(compras_mes6[[#This Row],[CUIT]]="","-",VLOOKUP(compras_mes6[[#This Row],[CUIT]],Lista_CUIT[#All],3,0)),"CUIT NO CARGADO")</f>
        <v>Combustibe</v>
      </c>
      <c r="R40" s="464" t="str">
        <f>IFERROR(IF(compras_mes6[[#This Row],[CUIT]]="","-",VLOOKUP(compras_mes6[[#This Row],[CUIT]],Lista_CUIT[#All],4,0)),"CUIT NO CARGADO")</f>
        <v>CABA</v>
      </c>
    </row>
    <row r="41" spans="2:18" x14ac:dyDescent="0.3">
      <c r="B41" s="456">
        <v>45083</v>
      </c>
      <c r="C41" s="457">
        <v>1</v>
      </c>
      <c r="D41" s="458">
        <v>2</v>
      </c>
      <c r="E41" s="506">
        <v>35236</v>
      </c>
      <c r="F41" s="459">
        <v>33714232199</v>
      </c>
      <c r="G41" s="460" t="str">
        <f>IFERROR(IF(compras_mes6[[#This Row],[CUIT]]="","-",VLOOKUP(compras_mes6[[#This Row],[CUIT]],Lista_CUIT[#All],2,0)),"CUIT NO CARGADO")</f>
        <v>NUAGE SYSTEMS S.A.</v>
      </c>
      <c r="H41" s="461">
        <v>36750</v>
      </c>
      <c r="I41" s="462">
        <f>IF(compras_mes6[[#This Row],[NETO GRAVADO]]="","",compras_mes6[[#This Row],[NETO GRAVADO]]*0.21)</f>
        <v>7717.5</v>
      </c>
      <c r="J41" s="462"/>
      <c r="K41" s="462"/>
      <c r="L41" s="462"/>
      <c r="M41" s="462"/>
      <c r="N41" s="462"/>
      <c r="O41" s="462"/>
      <c r="P41" s="463">
        <f>SUM(compras_mes6[[#This Row],[NETO GRAVADO]:[Otros / No Grav.]])</f>
        <v>44467.5</v>
      </c>
      <c r="Q41" s="464">
        <f>IFERROR(IF(compras_mes6[[#This Row],[CUIT]]="","-",VLOOKUP(compras_mes6[[#This Row],[CUIT]],Lista_CUIT[#All],3,0)),"CUIT NO CARGADO")</f>
        <v>0</v>
      </c>
      <c r="R41" s="464">
        <f>IFERROR(IF(compras_mes6[[#This Row],[CUIT]]="","-",VLOOKUP(compras_mes6[[#This Row],[CUIT]],Lista_CUIT[#All],4,0)),"CUIT NO CARGADO")</f>
        <v>0</v>
      </c>
    </row>
    <row r="42" spans="2:18" x14ac:dyDescent="0.3">
      <c r="B42" s="456">
        <v>45083</v>
      </c>
      <c r="C42" s="457">
        <v>1</v>
      </c>
      <c r="D42" s="458">
        <v>2188</v>
      </c>
      <c r="E42" s="506">
        <v>91444</v>
      </c>
      <c r="F42" s="459">
        <v>30548083156</v>
      </c>
      <c r="G42" s="460" t="str">
        <f>IFERROR(IF(compras_mes6[[#This Row],[CUIT]]="","-",VLOOKUP(compras_mes6[[#This Row],[CUIT]],Lista_CUIT[#All],2,0)),"CUIT NO CARGADO")</f>
        <v>COTO CENTRO INTEGRAL DE COMERCIALIZACION SOCIEDAD ANONIMA</v>
      </c>
      <c r="H42" s="461">
        <v>14112.66</v>
      </c>
      <c r="I42" s="462">
        <v>2054.7600000000002</v>
      </c>
      <c r="J42" s="462"/>
      <c r="K42" s="462">
        <v>454.46</v>
      </c>
      <c r="L42" s="462">
        <v>274.98</v>
      </c>
      <c r="M42" s="462"/>
      <c r="N42" s="462">
        <v>603.72</v>
      </c>
      <c r="O42" s="462">
        <v>74.2</v>
      </c>
      <c r="P42" s="463">
        <f>SUM(compras_mes6[[#This Row],[NETO GRAVADO]:[Otros / No Grav.]])</f>
        <v>17574.780000000002</v>
      </c>
      <c r="Q42" s="464" t="str">
        <f>IFERROR(IF(compras_mes6[[#This Row],[CUIT]]="","-",VLOOKUP(compras_mes6[[#This Row],[CUIT]],Lista_CUIT[#All],3,0)),"CUIT NO CARGADO")</f>
        <v>GASTOS COMERCIALES</v>
      </c>
      <c r="R42" s="464">
        <f>IFERROR(IF(compras_mes6[[#This Row],[CUIT]]="","-",VLOOKUP(compras_mes6[[#This Row],[CUIT]],Lista_CUIT[#All],4,0)),"CUIT NO CARGADO")</f>
        <v>0</v>
      </c>
    </row>
    <row r="43" spans="2:18" x14ac:dyDescent="0.3">
      <c r="B43" s="456">
        <v>45084</v>
      </c>
      <c r="C43" s="457">
        <v>1</v>
      </c>
      <c r="D43" s="458">
        <v>1</v>
      </c>
      <c r="E43" s="506">
        <v>136</v>
      </c>
      <c r="F43" s="459">
        <v>20077604627</v>
      </c>
      <c r="G43" s="460" t="str">
        <f>IFERROR(IF(compras_mes6[[#This Row],[CUIT]]="","-",VLOOKUP(compras_mes6[[#This Row],[CUIT]],Lista_CUIT[#All],2,0)),"CUIT NO CARGADO")</f>
        <v>OCAÑO ENRIQUE</v>
      </c>
      <c r="H43" s="461">
        <v>1398640.1</v>
      </c>
      <c r="I43" s="462">
        <f>IF(compras_mes6[[#This Row],[NETO GRAVADO]]="","",compras_mes6[[#This Row],[NETO GRAVADO]]*0.21)</f>
        <v>293714.42100000003</v>
      </c>
      <c r="J43" s="462"/>
      <c r="K43" s="462"/>
      <c r="L43" s="462"/>
      <c r="M43" s="462"/>
      <c r="N43" s="462"/>
      <c r="O43" s="462"/>
      <c r="P43" s="463">
        <f>SUM(compras_mes6[[#This Row],[NETO GRAVADO]:[Otros / No Grav.]])</f>
        <v>1692354.5210000002</v>
      </c>
      <c r="Q43" s="464">
        <f>IFERROR(IF(compras_mes6[[#This Row],[CUIT]]="","-",VLOOKUP(compras_mes6[[#This Row],[CUIT]],Lista_CUIT[#All],3,0)),"CUIT NO CARGADO")</f>
        <v>0</v>
      </c>
      <c r="R43" s="464">
        <f>IFERROR(IF(compras_mes6[[#This Row],[CUIT]]="","-",VLOOKUP(compras_mes6[[#This Row],[CUIT]],Lista_CUIT[#All],4,0)),"CUIT NO CARGADO")</f>
        <v>0</v>
      </c>
    </row>
    <row r="44" spans="2:18" x14ac:dyDescent="0.3">
      <c r="B44" s="456">
        <v>45084</v>
      </c>
      <c r="C44" s="457">
        <v>1</v>
      </c>
      <c r="D44" s="458">
        <v>1</v>
      </c>
      <c r="E44" s="506">
        <v>558</v>
      </c>
      <c r="F44" s="459">
        <v>30715889486</v>
      </c>
      <c r="G44" s="460" t="str">
        <f>IFERROR(IF(compras_mes6[[#This Row],[CUIT]]="","-",VLOOKUP(compras_mes6[[#This Row],[CUIT]],Lista_CUIT[#All],2,0)),"CUIT NO CARGADO")</f>
        <v>EXPOESTETICA</v>
      </c>
      <c r="H44" s="461">
        <v>244800</v>
      </c>
      <c r="I44" s="462">
        <f>IF(compras_mes6[[#This Row],[NETO GRAVADO]]="","",compras_mes6[[#This Row],[NETO GRAVADO]]*0.21)</f>
        <v>51408</v>
      </c>
      <c r="J44" s="462"/>
      <c r="K44" s="462"/>
      <c r="L44" s="462"/>
      <c r="M44" s="462"/>
      <c r="N44" s="462"/>
      <c r="O44" s="462"/>
      <c r="P44" s="463">
        <f>SUM(compras_mes6[[#This Row],[NETO GRAVADO]:[Otros / No Grav.]])</f>
        <v>296208</v>
      </c>
      <c r="Q44" s="464" t="str">
        <f>IFERROR(IF(compras_mes6[[#This Row],[CUIT]]="","-",VLOOKUP(compras_mes6[[#This Row],[CUIT]],Lista_CUIT[#All],3,0)),"CUIT NO CARGADO")</f>
        <v>Convencion</v>
      </c>
      <c r="R44" s="464" t="str">
        <f>IFERROR(IF(compras_mes6[[#This Row],[CUIT]]="","-",VLOOKUP(compras_mes6[[#This Row],[CUIT]],Lista_CUIT[#All],4,0)),"CUIT NO CARGADO")</f>
        <v>BUENOS AIRES</v>
      </c>
    </row>
    <row r="45" spans="2:18" x14ac:dyDescent="0.3">
      <c r="B45" s="456">
        <v>45084</v>
      </c>
      <c r="C45" s="457">
        <v>1</v>
      </c>
      <c r="D45" s="458">
        <v>1001</v>
      </c>
      <c r="E45" s="506">
        <v>1947</v>
      </c>
      <c r="F45" s="459">
        <v>30712289046</v>
      </c>
      <c r="G45" s="460" t="str">
        <f>IFERROR(IF(compras_mes6[[#This Row],[CUIT]]="","-",VLOOKUP(compras_mes6[[#This Row],[CUIT]],Lista_CUIT[#All],2,0)),"CUIT NO CARGADO")</f>
        <v>IMPIERI PIÑEIRO RIZZO Y ASOC SA</v>
      </c>
      <c r="H45" s="461">
        <v>2886.43</v>
      </c>
      <c r="I45" s="462">
        <f>IF(compras_mes6[[#This Row],[NETO GRAVADO]]="","",compras_mes6[[#This Row],[NETO GRAVADO]]*0.21)</f>
        <v>606.1502999999999</v>
      </c>
      <c r="J45" s="462"/>
      <c r="K45" s="462"/>
      <c r="L45" s="462"/>
      <c r="M45" s="462"/>
      <c r="N45" s="462"/>
      <c r="O45" s="462">
        <v>507.38</v>
      </c>
      <c r="P45" s="463">
        <f>SUM(compras_mes6[[#This Row],[NETO GRAVADO]:[Otros / No Grav.]])</f>
        <v>3999.9602999999997</v>
      </c>
      <c r="Q45" s="464">
        <f>IFERROR(IF(compras_mes6[[#This Row],[CUIT]]="","-",VLOOKUP(compras_mes6[[#This Row],[CUIT]],Lista_CUIT[#All],3,0)),"CUIT NO CARGADO")</f>
        <v>0</v>
      </c>
      <c r="R45" s="464">
        <f>IFERROR(IF(compras_mes6[[#This Row],[CUIT]]="","-",VLOOKUP(compras_mes6[[#This Row],[CUIT]],Lista_CUIT[#All],4,0)),"CUIT NO CARGADO")</f>
        <v>0</v>
      </c>
    </row>
    <row r="46" spans="2:18" x14ac:dyDescent="0.3">
      <c r="B46" s="456">
        <v>45084</v>
      </c>
      <c r="C46" s="457">
        <v>1</v>
      </c>
      <c r="D46" s="458">
        <v>7</v>
      </c>
      <c r="E46" s="506">
        <v>9205</v>
      </c>
      <c r="F46" s="459">
        <v>30708017759</v>
      </c>
      <c r="G46" s="460" t="str">
        <f>IFERROR(IF(compras_mes6[[#This Row],[CUIT]]="","-",VLOOKUP(compras_mes6[[#This Row],[CUIT]],Lista_CUIT[#All],2,0)),"CUIT NO CARGADO")</f>
        <v>NEW  HIGH PACK  SA</v>
      </c>
      <c r="H46" s="461">
        <v>510538</v>
      </c>
      <c r="I46" s="462">
        <f>IF(compras_mes6[[#This Row],[NETO GRAVADO]]="","",compras_mes6[[#This Row],[NETO GRAVADO]]*0.21)</f>
        <v>107212.98</v>
      </c>
      <c r="J46" s="462"/>
      <c r="K46" s="462"/>
      <c r="L46" s="462"/>
      <c r="M46" s="462"/>
      <c r="N46" s="462">
        <v>30632.28</v>
      </c>
      <c r="O46" s="462"/>
      <c r="P46" s="463">
        <f>SUM(compras_mes6[[#This Row],[NETO GRAVADO]:[Otros / No Grav.]])</f>
        <v>648383.26</v>
      </c>
      <c r="Q46" s="464">
        <f>IFERROR(IF(compras_mes6[[#This Row],[CUIT]]="","-",VLOOKUP(compras_mes6[[#This Row],[CUIT]],Lista_CUIT[#All],3,0)),"CUIT NO CARGADO")</f>
        <v>0</v>
      </c>
      <c r="R46" s="464">
        <f>IFERROR(IF(compras_mes6[[#This Row],[CUIT]]="","-",VLOOKUP(compras_mes6[[#This Row],[CUIT]],Lista_CUIT[#All],4,0)),"CUIT NO CARGADO")</f>
        <v>0</v>
      </c>
    </row>
    <row r="47" spans="2:18" x14ac:dyDescent="0.3">
      <c r="B47" s="456">
        <v>45084</v>
      </c>
      <c r="C47" s="457">
        <v>1</v>
      </c>
      <c r="D47" s="458">
        <v>7</v>
      </c>
      <c r="E47" s="506">
        <v>9206</v>
      </c>
      <c r="F47" s="459">
        <v>30708017759</v>
      </c>
      <c r="G47" s="460" t="str">
        <f>IFERROR(IF(compras_mes6[[#This Row],[CUIT]]="","-",VLOOKUP(compras_mes6[[#This Row],[CUIT]],Lista_CUIT[#All],2,0)),"CUIT NO CARGADO")</f>
        <v>NEW  HIGH PACK  SA</v>
      </c>
      <c r="H47" s="461">
        <v>503000</v>
      </c>
      <c r="I47" s="462">
        <f>IF(compras_mes6[[#This Row],[NETO GRAVADO]]="","",compras_mes6[[#This Row],[NETO GRAVADO]]*0.21)</f>
        <v>105630</v>
      </c>
      <c r="J47" s="462"/>
      <c r="K47" s="462"/>
      <c r="L47" s="462"/>
      <c r="M47" s="462"/>
      <c r="N47" s="462">
        <v>30180</v>
      </c>
      <c r="O47" s="462"/>
      <c r="P47" s="463">
        <f>SUM(compras_mes6[[#This Row],[NETO GRAVADO]:[Otros / No Grav.]])</f>
        <v>638810</v>
      </c>
      <c r="Q47" s="464">
        <f>IFERROR(IF(compras_mes6[[#This Row],[CUIT]]="","-",VLOOKUP(compras_mes6[[#This Row],[CUIT]],Lista_CUIT[#All],3,0)),"CUIT NO CARGADO")</f>
        <v>0</v>
      </c>
      <c r="R47" s="464">
        <f>IFERROR(IF(compras_mes6[[#This Row],[CUIT]]="","-",VLOOKUP(compras_mes6[[#This Row],[CUIT]],Lista_CUIT[#All],4,0)),"CUIT NO CARGADO")</f>
        <v>0</v>
      </c>
    </row>
    <row r="48" spans="2:18" x14ac:dyDescent="0.3">
      <c r="B48" s="456">
        <v>45084</v>
      </c>
      <c r="C48" s="457">
        <v>1</v>
      </c>
      <c r="D48" s="458">
        <v>6</v>
      </c>
      <c r="E48" s="506">
        <v>23084</v>
      </c>
      <c r="F48" s="459">
        <v>30641221771</v>
      </c>
      <c r="G48" s="460" t="str">
        <f>IFERROR(IF(compras_mes6[[#This Row],[CUIT]]="","-",VLOOKUP(compras_mes6[[#This Row],[CUIT]],Lista_CUIT[#All],2,0)),"CUIT NO CARGADO")</f>
        <v>FARMATRADE S R L</v>
      </c>
      <c r="H48" s="461">
        <v>919100</v>
      </c>
      <c r="I48" s="462">
        <f>IF(compras_mes6[[#This Row],[NETO GRAVADO]]="","",compras_mes6[[#This Row],[NETO GRAVADO]]*0.21)</f>
        <v>193011</v>
      </c>
      <c r="J48" s="462"/>
      <c r="K48" s="462"/>
      <c r="L48" s="462"/>
      <c r="M48" s="462"/>
      <c r="N48" s="462">
        <v>55146</v>
      </c>
      <c r="O48" s="462"/>
      <c r="P48" s="463">
        <f>SUM(compras_mes6[[#This Row],[NETO GRAVADO]:[Otros / No Grav.]])</f>
        <v>1167257</v>
      </c>
      <c r="Q48" s="464">
        <f>IFERROR(IF(compras_mes6[[#This Row],[CUIT]]="","-",VLOOKUP(compras_mes6[[#This Row],[CUIT]],Lista_CUIT[#All],3,0)),"CUIT NO CARGADO")</f>
        <v>0</v>
      </c>
      <c r="R48" s="464">
        <f>IFERROR(IF(compras_mes6[[#This Row],[CUIT]]="","-",VLOOKUP(compras_mes6[[#This Row],[CUIT]],Lista_CUIT[#All],4,0)),"CUIT NO CARGADO")</f>
        <v>0</v>
      </c>
    </row>
    <row r="49" spans="2:18" x14ac:dyDescent="0.3">
      <c r="B49" s="456">
        <v>45084</v>
      </c>
      <c r="C49" s="457">
        <v>1</v>
      </c>
      <c r="D49" s="458">
        <v>4</v>
      </c>
      <c r="E49" s="506">
        <v>39426</v>
      </c>
      <c r="F49" s="459">
        <v>30585948817</v>
      </c>
      <c r="G49" s="460" t="str">
        <f>IFERROR(IF(compras_mes6[[#This Row],[CUIT]]="","-",VLOOKUP(compras_mes6[[#This Row],[CUIT]],Lista_CUIT[#All],2,0)),"CUIT NO CARGADO")</f>
        <v xml:space="preserve">GLASCAR </v>
      </c>
      <c r="H49" s="461">
        <v>568332</v>
      </c>
      <c r="I49" s="462">
        <f>IF(compras_mes6[[#This Row],[NETO GRAVADO]]="","",compras_mes6[[#This Row],[NETO GRAVADO]]*0.21)</f>
        <v>119349.72</v>
      </c>
      <c r="J49" s="462"/>
      <c r="K49" s="462"/>
      <c r="L49" s="462"/>
      <c r="M49" s="462"/>
      <c r="N49" s="462">
        <v>34099.919999999998</v>
      </c>
      <c r="O49" s="462"/>
      <c r="P49" s="463">
        <f>SUM(compras_mes6[[#This Row],[NETO GRAVADO]:[Otros / No Grav.]])</f>
        <v>721781.64</v>
      </c>
      <c r="Q49" s="464">
        <f>IFERROR(IF(compras_mes6[[#This Row],[CUIT]]="","-",VLOOKUP(compras_mes6[[#This Row],[CUIT]],Lista_CUIT[#All],3,0)),"CUIT NO CARGADO")</f>
        <v>0</v>
      </c>
      <c r="R49" s="464">
        <f>IFERROR(IF(compras_mes6[[#This Row],[CUIT]]="","-",VLOOKUP(compras_mes6[[#This Row],[CUIT]],Lista_CUIT[#All],4,0)),"CUIT NO CARGADO")</f>
        <v>0</v>
      </c>
    </row>
    <row r="50" spans="2:18" x14ac:dyDescent="0.3">
      <c r="B50" s="456">
        <v>45084</v>
      </c>
      <c r="C50" s="457">
        <v>1</v>
      </c>
      <c r="D50" s="458">
        <v>13</v>
      </c>
      <c r="E50" s="506">
        <v>59245</v>
      </c>
      <c r="F50" s="459">
        <v>30707841105</v>
      </c>
      <c r="G50" s="460" t="str">
        <f>IFERROR(IF(compras_mes6[[#This Row],[CUIT]]="","-",VLOOKUP(compras_mes6[[#This Row],[CUIT]],Lista_CUIT[#All],2,0)),"CUIT NO CARGADO")</f>
        <v>PETRO ARG SRL</v>
      </c>
      <c r="H50" s="461">
        <v>5702.67</v>
      </c>
      <c r="I50" s="462">
        <f>IF(compras_mes6[[#This Row],[NETO GRAVADO]]="","",compras_mes6[[#This Row],[NETO GRAVADO]]*0.21)</f>
        <v>1197.5607</v>
      </c>
      <c r="J50" s="462"/>
      <c r="K50" s="462"/>
      <c r="L50" s="462"/>
      <c r="M50" s="462"/>
      <c r="N50" s="462"/>
      <c r="O50" s="462">
        <v>926.82</v>
      </c>
      <c r="P50" s="463">
        <f>SUM(compras_mes6[[#This Row],[NETO GRAVADO]:[Otros / No Grav.]])</f>
        <v>7827.0506999999998</v>
      </c>
      <c r="Q50" s="464" t="str">
        <f>IFERROR(IF(compras_mes6[[#This Row],[CUIT]]="","-",VLOOKUP(compras_mes6[[#This Row],[CUIT]],Lista_CUIT[#All],3,0)),"CUIT NO CARGADO")</f>
        <v>Combustible</v>
      </c>
      <c r="R50" s="464">
        <f>IFERROR(IF(compras_mes6[[#This Row],[CUIT]]="","-",VLOOKUP(compras_mes6[[#This Row],[CUIT]],Lista_CUIT[#All],4,0)),"CUIT NO CARGADO")</f>
        <v>0</v>
      </c>
    </row>
    <row r="51" spans="2:18" x14ac:dyDescent="0.3">
      <c r="B51" s="456">
        <v>45085</v>
      </c>
      <c r="C51" s="457">
        <v>1</v>
      </c>
      <c r="D51" s="458">
        <v>3</v>
      </c>
      <c r="E51" s="506">
        <v>50</v>
      </c>
      <c r="F51" s="459">
        <v>33715993509</v>
      </c>
      <c r="G51" s="460" t="str">
        <f>IFERROR(IF(compras_mes6[[#This Row],[CUIT]]="","-",VLOOKUP(compras_mes6[[#This Row],[CUIT]],Lista_CUIT[#All],2,0)),"CUIT NO CARGADO")</f>
        <v>+Q NATURAL S.A.</v>
      </c>
      <c r="H51" s="461">
        <v>2892.46</v>
      </c>
      <c r="I51" s="462">
        <f>IF(compras_mes6[[#This Row],[NETO GRAVADO]]="","",compras_mes6[[#This Row],[NETO GRAVADO]]*0.21)</f>
        <v>607.41660000000002</v>
      </c>
      <c r="J51" s="462"/>
      <c r="K51" s="462"/>
      <c r="L51" s="462"/>
      <c r="M51" s="462"/>
      <c r="N51" s="462"/>
      <c r="O51" s="462"/>
      <c r="P51" s="463">
        <f>SUM(compras_mes6[[#This Row],[NETO GRAVADO]:[Otros / No Grav.]])</f>
        <v>3499.8766000000001</v>
      </c>
      <c r="Q51" s="464">
        <f>IFERROR(IF(compras_mes6[[#This Row],[CUIT]]="","-",VLOOKUP(compras_mes6[[#This Row],[CUIT]],Lista_CUIT[#All],3,0)),"CUIT NO CARGADO")</f>
        <v>0</v>
      </c>
      <c r="R51" s="464">
        <f>IFERROR(IF(compras_mes6[[#This Row],[CUIT]]="","-",VLOOKUP(compras_mes6[[#This Row],[CUIT]],Lista_CUIT[#All],4,0)),"CUIT NO CARGADO")</f>
        <v>0</v>
      </c>
    </row>
    <row r="52" spans="2:18" x14ac:dyDescent="0.3">
      <c r="B52" s="486">
        <v>45085</v>
      </c>
      <c r="C52" s="250">
        <v>1</v>
      </c>
      <c r="D52" s="487">
        <v>7</v>
      </c>
      <c r="E52" s="488">
        <v>454</v>
      </c>
      <c r="F52" s="476">
        <v>20267256196</v>
      </c>
      <c r="G52" s="489" t="str">
        <f>IFERROR(IF(compras_mes6[[#This Row],[CUIT]]="","-",VLOOKUP(compras_mes6[[#This Row],[CUIT]],Lista_CUIT[#All],2,0)),"CUIT NO CARGADO")</f>
        <v>ALBINO ALEJANDRO</v>
      </c>
      <c r="H52" s="490">
        <v>5117.3</v>
      </c>
      <c r="I52" s="491">
        <f>IF(compras_mes6[[#This Row],[NETO GRAVADO]]="","",compras_mes6[[#This Row],[NETO GRAVADO]]*0.21)</f>
        <v>1074.633</v>
      </c>
      <c r="J52" s="491"/>
      <c r="K52" s="491"/>
      <c r="L52" s="491"/>
      <c r="M52" s="491"/>
      <c r="N52" s="491"/>
      <c r="O52" s="491"/>
      <c r="P52" s="492">
        <f>SUM(compras_mes6[[#This Row],[NETO GRAVADO]:[Otros / No Grav.]])</f>
        <v>6191.933</v>
      </c>
      <c r="Q52" s="493">
        <f>IFERROR(IF(compras_mes6[[#This Row],[CUIT]]="","-",VLOOKUP(compras_mes6[[#This Row],[CUIT]],Lista_CUIT[#All],3,0)),"CUIT NO CARGADO")</f>
        <v>0</v>
      </c>
      <c r="R52" s="493">
        <f>IFERROR(IF(compras_mes6[[#This Row],[CUIT]]="","-",VLOOKUP(compras_mes6[[#This Row],[CUIT]],Lista_CUIT[#All],4,0)),"CUIT NO CARGADO")</f>
        <v>0</v>
      </c>
    </row>
    <row r="53" spans="2:18" x14ac:dyDescent="0.3">
      <c r="B53" s="486">
        <v>45085</v>
      </c>
      <c r="C53" s="250">
        <v>1</v>
      </c>
      <c r="D53" s="487">
        <v>8</v>
      </c>
      <c r="E53" s="488">
        <v>2097</v>
      </c>
      <c r="F53" s="476">
        <v>30712210636</v>
      </c>
      <c r="G53" s="489" t="str">
        <f>IFERROR(IF(compras_mes6[[#This Row],[CUIT]]="","-",VLOOKUP(compras_mes6[[#This Row],[CUIT]],Lista_CUIT[#All],2,0)),"CUIT NO CARGADO")</f>
        <v>BARRERA RICARDO DARIO Y HUBY GANOZA JIMMY  SOCIEDAD DE HECHO</v>
      </c>
      <c r="H53" s="490">
        <v>3541.33</v>
      </c>
      <c r="I53" s="491">
        <f>IF(compras_mes6[[#This Row],[NETO GRAVADO]]="","",compras_mes6[[#This Row],[NETO GRAVADO]]*0.21)</f>
        <v>743.67930000000001</v>
      </c>
      <c r="J53" s="491"/>
      <c r="K53" s="491"/>
      <c r="L53" s="491"/>
      <c r="M53" s="491"/>
      <c r="N53" s="491"/>
      <c r="O53" s="491"/>
      <c r="P53" s="492">
        <f>SUM(compras_mes6[[#This Row],[NETO GRAVADO]:[Otros / No Grav.]])</f>
        <v>4285.0092999999997</v>
      </c>
      <c r="Q53" s="493">
        <f>IFERROR(IF(compras_mes6[[#This Row],[CUIT]]="","-",VLOOKUP(compras_mes6[[#This Row],[CUIT]],Lista_CUIT[#All],3,0)),"CUIT NO CARGADO")</f>
        <v>0</v>
      </c>
      <c r="R53" s="493">
        <f>IFERROR(IF(compras_mes6[[#This Row],[CUIT]]="","-",VLOOKUP(compras_mes6[[#This Row],[CUIT]],Lista_CUIT[#All],4,0)),"CUIT NO CARGADO")</f>
        <v>0</v>
      </c>
    </row>
    <row r="54" spans="2:18" x14ac:dyDescent="0.3">
      <c r="B54" s="456">
        <v>45085</v>
      </c>
      <c r="C54" s="457">
        <v>1</v>
      </c>
      <c r="D54" s="458">
        <v>2</v>
      </c>
      <c r="E54" s="506">
        <v>2618</v>
      </c>
      <c r="F54" s="459">
        <v>20240305128</v>
      </c>
      <c r="G54" s="460" t="str">
        <f>IFERROR(IF(compras_mes6[[#This Row],[CUIT]]="","-",VLOOKUP(compras_mes6[[#This Row],[CUIT]],Lista_CUIT[#All],2,0)),"CUIT NO CARGADO")</f>
        <v>Abraldes Diego Roberto</v>
      </c>
      <c r="H54" s="461">
        <v>8900</v>
      </c>
      <c r="I54" s="462">
        <f>IF(compras_mes6[[#This Row],[NETO GRAVADO]]="","",compras_mes6[[#This Row],[NETO GRAVADO]]*0.21)</f>
        <v>1869</v>
      </c>
      <c r="J54" s="462"/>
      <c r="K54" s="462"/>
      <c r="L54" s="462"/>
      <c r="M54" s="462"/>
      <c r="N54" s="462"/>
      <c r="O54" s="462"/>
      <c r="P54" s="463">
        <f>SUM(compras_mes6[[#This Row],[NETO GRAVADO]:[Otros / No Grav.]])</f>
        <v>10769</v>
      </c>
      <c r="Q54" s="464">
        <f>IFERROR(IF(compras_mes6[[#This Row],[CUIT]]="","-",VLOOKUP(compras_mes6[[#This Row],[CUIT]],Lista_CUIT[#All],3,0)),"CUIT NO CARGADO")</f>
        <v>0</v>
      </c>
      <c r="R54" s="464">
        <f>IFERROR(IF(compras_mes6[[#This Row],[CUIT]]="","-",VLOOKUP(compras_mes6[[#This Row],[CUIT]],Lista_CUIT[#All],4,0)),"CUIT NO CARGADO")</f>
        <v>0</v>
      </c>
    </row>
    <row r="55" spans="2:18" x14ac:dyDescent="0.3">
      <c r="B55" s="456">
        <v>45085</v>
      </c>
      <c r="C55" s="457">
        <v>1</v>
      </c>
      <c r="D55" s="458">
        <v>2</v>
      </c>
      <c r="E55" s="506">
        <v>3361</v>
      </c>
      <c r="F55" s="459">
        <v>30629863571</v>
      </c>
      <c r="G55" s="460" t="str">
        <f>IFERROR(IF(compras_mes6[[#This Row],[CUIT]]="","-",VLOOKUP(compras_mes6[[#This Row],[CUIT]],Lista_CUIT[#All],2,0)),"CUIT NO CARGADO")</f>
        <v>TECNIMAR S R L</v>
      </c>
      <c r="H55" s="461">
        <v>1066696.81</v>
      </c>
      <c r="I55" s="462">
        <f>IF(compras_mes6[[#This Row],[NETO GRAVADO]]="","",compras_mes6[[#This Row],[NETO GRAVADO]]*0.21)</f>
        <v>224006.33009999999</v>
      </c>
      <c r="J55" s="462"/>
      <c r="K55" s="462"/>
      <c r="L55" s="462"/>
      <c r="M55" s="462"/>
      <c r="N55" s="462"/>
      <c r="O55" s="462"/>
      <c r="P55" s="463">
        <f>SUM(compras_mes6[[#This Row],[NETO GRAVADO]:[Otros / No Grav.]])</f>
        <v>1290703.1401</v>
      </c>
      <c r="Q55" s="464" t="str">
        <f>IFERROR(IF(compras_mes6[[#This Row],[CUIT]]="","-",VLOOKUP(compras_mes6[[#This Row],[CUIT]],Lista_CUIT[#All],3,0)),"CUIT NO CARGADO")</f>
        <v>LABORATORIO</v>
      </c>
      <c r="R55" s="464">
        <f>IFERROR(IF(compras_mes6[[#This Row],[CUIT]]="","-",VLOOKUP(compras_mes6[[#This Row],[CUIT]],Lista_CUIT[#All],4,0)),"CUIT NO CARGADO")</f>
        <v>0</v>
      </c>
    </row>
    <row r="56" spans="2:18" x14ac:dyDescent="0.3">
      <c r="B56" s="456">
        <v>45085</v>
      </c>
      <c r="C56" s="457">
        <v>1</v>
      </c>
      <c r="D56" s="458">
        <v>3</v>
      </c>
      <c r="E56" s="506">
        <v>8896</v>
      </c>
      <c r="F56" s="459">
        <v>30679163317</v>
      </c>
      <c r="G56" s="460" t="str">
        <f>IFERROR(IF(compras_mes6[[#This Row],[CUIT]]="","-",VLOOKUP(compras_mes6[[#This Row],[CUIT]],Lista_CUIT[#All],2,0)),"CUIT NO CARGADO")</f>
        <v>RANKO S R L</v>
      </c>
      <c r="H56" s="461">
        <v>13510.91</v>
      </c>
      <c r="I56" s="462">
        <f>IF(compras_mes6[[#This Row],[NETO GRAVADO]]="","",compras_mes6[[#This Row],[NETO GRAVADO]]*0.21)</f>
        <v>2837.2910999999999</v>
      </c>
      <c r="J56" s="462"/>
      <c r="K56" s="462"/>
      <c r="L56" s="462"/>
      <c r="M56" s="462"/>
      <c r="N56" s="462"/>
      <c r="O56" s="462"/>
      <c r="P56" s="463">
        <f>SUM(compras_mes6[[#This Row],[NETO GRAVADO]:[Otros / No Grav.]])</f>
        <v>16348.2011</v>
      </c>
      <c r="Q56" s="464">
        <f>IFERROR(IF(compras_mes6[[#This Row],[CUIT]]="","-",VLOOKUP(compras_mes6[[#This Row],[CUIT]],Lista_CUIT[#All],3,0)),"CUIT NO CARGADO")</f>
        <v>0</v>
      </c>
      <c r="R56" s="464">
        <f>IFERROR(IF(compras_mes6[[#This Row],[CUIT]]="","-",VLOOKUP(compras_mes6[[#This Row],[CUIT]],Lista_CUIT[#All],4,0)),"CUIT NO CARGADO")</f>
        <v>0</v>
      </c>
    </row>
    <row r="57" spans="2:18" x14ac:dyDescent="0.3">
      <c r="B57" s="486">
        <v>45085</v>
      </c>
      <c r="C57" s="250">
        <v>1</v>
      </c>
      <c r="D57" s="487">
        <v>20</v>
      </c>
      <c r="E57" s="488">
        <v>9049</v>
      </c>
      <c r="F57" s="476">
        <v>30515800219</v>
      </c>
      <c r="G57" s="489" t="str">
        <f>IFERROR(IF(compras_mes6[[#This Row],[CUIT]]="","-",VLOOKUP(compras_mes6[[#This Row],[CUIT]],Lista_CUIT[#All],2,0)),"CUIT NO CARGADO")</f>
        <v>INCAT SRL</v>
      </c>
      <c r="H57" s="490">
        <v>8163.24</v>
      </c>
      <c r="I57" s="491">
        <f>IF(compras_mes6[[#This Row],[NETO GRAVADO]]="","",compras_mes6[[#This Row],[NETO GRAVADO]]*0.21)</f>
        <v>1714.2803999999999</v>
      </c>
      <c r="J57" s="491"/>
      <c r="K57" s="491"/>
      <c r="L57" s="491"/>
      <c r="M57" s="491"/>
      <c r="N57" s="491"/>
      <c r="O57" s="491">
        <v>124.47</v>
      </c>
      <c r="P57" s="492">
        <f>SUM(compras_mes6[[#This Row],[NETO GRAVADO]:[Otros / No Grav.]])</f>
        <v>10001.990399999999</v>
      </c>
      <c r="Q57" s="493" t="str">
        <f>IFERROR(IF(compras_mes6[[#This Row],[CUIT]]="","-",VLOOKUP(compras_mes6[[#This Row],[CUIT]],Lista_CUIT[#All],3,0)),"CUIT NO CARGADO")</f>
        <v>Combustibe</v>
      </c>
      <c r="R57" s="493" t="str">
        <f>IFERROR(IF(compras_mes6[[#This Row],[CUIT]]="","-",VLOOKUP(compras_mes6[[#This Row],[CUIT]],Lista_CUIT[#All],4,0)),"CUIT NO CARGADO")</f>
        <v>CABA</v>
      </c>
    </row>
    <row r="58" spans="2:18" x14ac:dyDescent="0.3">
      <c r="B58" s="456">
        <v>45085</v>
      </c>
      <c r="C58" s="457">
        <v>1</v>
      </c>
      <c r="D58" s="458">
        <v>20</v>
      </c>
      <c r="E58" s="506">
        <v>9050</v>
      </c>
      <c r="F58" s="459">
        <v>30515800219</v>
      </c>
      <c r="G58" s="460" t="str">
        <f>IFERROR(IF(compras_mes6[[#This Row],[CUIT]]="","-",VLOOKUP(compras_mes6[[#This Row],[CUIT]],Lista_CUIT[#All],2,0)),"CUIT NO CARGADO")</f>
        <v>INCAT SRL</v>
      </c>
      <c r="H58" s="461">
        <v>816.19</v>
      </c>
      <c r="I58" s="462">
        <f>IF(compras_mes6[[#This Row],[NETO GRAVADO]]="","",compras_mes6[[#This Row],[NETO GRAVADO]]*0.21)</f>
        <v>171.3999</v>
      </c>
      <c r="J58" s="462"/>
      <c r="K58" s="462"/>
      <c r="L58" s="462"/>
      <c r="M58" s="462"/>
      <c r="N58" s="462"/>
      <c r="O58" s="462">
        <v>12.44</v>
      </c>
      <c r="P58" s="463">
        <f>SUM(compras_mes6[[#This Row],[NETO GRAVADO]:[Otros / No Grav.]])</f>
        <v>1000.0299000000001</v>
      </c>
      <c r="Q58" s="464" t="str">
        <f>IFERROR(IF(compras_mes6[[#This Row],[CUIT]]="","-",VLOOKUP(compras_mes6[[#This Row],[CUIT]],Lista_CUIT[#All],3,0)),"CUIT NO CARGADO")</f>
        <v>Combustibe</v>
      </c>
      <c r="R58" s="464" t="str">
        <f>IFERROR(IF(compras_mes6[[#This Row],[CUIT]]="","-",VLOOKUP(compras_mes6[[#This Row],[CUIT]],Lista_CUIT[#All],4,0)),"CUIT NO CARGADO")</f>
        <v>CABA</v>
      </c>
    </row>
    <row r="59" spans="2:18" x14ac:dyDescent="0.3">
      <c r="B59" s="456">
        <v>45085</v>
      </c>
      <c r="C59" s="457">
        <v>1</v>
      </c>
      <c r="D59" s="458">
        <v>10</v>
      </c>
      <c r="E59" s="506">
        <v>10518</v>
      </c>
      <c r="F59" s="459">
        <v>30708157755</v>
      </c>
      <c r="G59" s="460" t="str">
        <f>IFERROR(IF(compras_mes6[[#This Row],[CUIT]]="","-",VLOOKUP(compras_mes6[[#This Row],[CUIT]],Lista_CUIT[#All],2,0)),"CUIT NO CARGADO")</f>
        <v>EXPOENVASE SRL</v>
      </c>
      <c r="H59" s="461">
        <v>60500</v>
      </c>
      <c r="I59" s="462">
        <f>IF(compras_mes6[[#This Row],[NETO GRAVADO]]="","",compras_mes6[[#This Row],[NETO GRAVADO]]*0.21)</f>
        <v>12705</v>
      </c>
      <c r="J59" s="462"/>
      <c r="K59" s="462"/>
      <c r="L59" s="462"/>
      <c r="M59" s="462"/>
      <c r="N59" s="462"/>
      <c r="O59" s="462"/>
      <c r="P59" s="463">
        <f>SUM(compras_mes6[[#This Row],[NETO GRAVADO]:[Otros / No Grav.]])</f>
        <v>73205</v>
      </c>
      <c r="Q59" s="464">
        <f>IFERROR(IF(compras_mes6[[#This Row],[CUIT]]="","-",VLOOKUP(compras_mes6[[#This Row],[CUIT]],Lista_CUIT[#All],3,0)),"CUIT NO CARGADO")</f>
        <v>0</v>
      </c>
      <c r="R59" s="464">
        <f>IFERROR(IF(compras_mes6[[#This Row],[CUIT]]="","-",VLOOKUP(compras_mes6[[#This Row],[CUIT]],Lista_CUIT[#All],4,0)),"CUIT NO CARGADO")</f>
        <v>0</v>
      </c>
    </row>
    <row r="60" spans="2:18" x14ac:dyDescent="0.3">
      <c r="B60" s="456">
        <v>45086</v>
      </c>
      <c r="C60" s="457">
        <v>1</v>
      </c>
      <c r="D60" s="458">
        <v>20</v>
      </c>
      <c r="E60" s="506">
        <v>9065</v>
      </c>
      <c r="F60" s="459">
        <v>30515800219</v>
      </c>
      <c r="G60" s="460" t="str">
        <f>IFERROR(IF(compras_mes6[[#This Row],[CUIT]]="","-",VLOOKUP(compras_mes6[[#This Row],[CUIT]],Lista_CUIT[#All],2,0)),"CUIT NO CARGADO")</f>
        <v>INCAT SRL</v>
      </c>
      <c r="H60" s="461">
        <v>816.19</v>
      </c>
      <c r="I60" s="462">
        <f>IF(compras_mes6[[#This Row],[NETO GRAVADO]]="","",compras_mes6[[#This Row],[NETO GRAVADO]]*0.21)</f>
        <v>171.3999</v>
      </c>
      <c r="J60" s="462"/>
      <c r="K60" s="462"/>
      <c r="L60" s="462"/>
      <c r="M60" s="462"/>
      <c r="N60" s="462"/>
      <c r="O60" s="462">
        <v>12.44</v>
      </c>
      <c r="P60" s="463">
        <f>SUM(compras_mes6[[#This Row],[NETO GRAVADO]:[Otros / No Grav.]])</f>
        <v>1000.0299000000001</v>
      </c>
      <c r="Q60" s="464" t="str">
        <f>IFERROR(IF(compras_mes6[[#This Row],[CUIT]]="","-",VLOOKUP(compras_mes6[[#This Row],[CUIT]],Lista_CUIT[#All],3,0)),"CUIT NO CARGADO")</f>
        <v>Combustibe</v>
      </c>
      <c r="R60" s="464" t="str">
        <f>IFERROR(IF(compras_mes6[[#This Row],[CUIT]]="","-",VLOOKUP(compras_mes6[[#This Row],[CUIT]],Lista_CUIT[#All],4,0)),"CUIT NO CARGADO")</f>
        <v>CABA</v>
      </c>
    </row>
    <row r="61" spans="2:18" x14ac:dyDescent="0.3">
      <c r="B61" s="456">
        <v>45086</v>
      </c>
      <c r="C61" s="457">
        <v>1</v>
      </c>
      <c r="D61" s="458">
        <v>20</v>
      </c>
      <c r="E61" s="506">
        <v>9069</v>
      </c>
      <c r="F61" s="459">
        <v>30515800219</v>
      </c>
      <c r="G61" s="460" t="str">
        <f>IFERROR(IF(compras_mes6[[#This Row],[CUIT]]="","-",VLOOKUP(compras_mes6[[#This Row],[CUIT]],Lista_CUIT[#All],2,0)),"CUIT NO CARGADO")</f>
        <v>INCAT SRL</v>
      </c>
      <c r="H61" s="461">
        <v>448.9</v>
      </c>
      <c r="I61" s="462">
        <f>IF(compras_mes6[[#This Row],[NETO GRAVADO]]="","",compras_mes6[[#This Row],[NETO GRAVADO]]*0.21)</f>
        <v>94.268999999999991</v>
      </c>
      <c r="J61" s="462"/>
      <c r="K61" s="462"/>
      <c r="L61" s="462"/>
      <c r="M61" s="462"/>
      <c r="N61" s="462"/>
      <c r="O61" s="462">
        <v>6.84</v>
      </c>
      <c r="P61" s="463">
        <f>SUM(compras_mes6[[#This Row],[NETO GRAVADO]:[Otros / No Grav.]])</f>
        <v>550.00900000000001</v>
      </c>
      <c r="Q61" s="464" t="str">
        <f>IFERROR(IF(compras_mes6[[#This Row],[CUIT]]="","-",VLOOKUP(compras_mes6[[#This Row],[CUIT]],Lista_CUIT[#All],3,0)),"CUIT NO CARGADO")</f>
        <v>Combustibe</v>
      </c>
      <c r="R61" s="464" t="str">
        <f>IFERROR(IF(compras_mes6[[#This Row],[CUIT]]="","-",VLOOKUP(compras_mes6[[#This Row],[CUIT]],Lista_CUIT[#All],4,0)),"CUIT NO CARGADO")</f>
        <v>CABA</v>
      </c>
    </row>
    <row r="62" spans="2:18" x14ac:dyDescent="0.3">
      <c r="B62" s="456">
        <v>45086</v>
      </c>
      <c r="C62" s="457">
        <v>1</v>
      </c>
      <c r="D62" s="458">
        <v>9</v>
      </c>
      <c r="E62" s="506">
        <v>12638</v>
      </c>
      <c r="F62" s="459">
        <v>30709609064</v>
      </c>
      <c r="G62" s="460" t="str">
        <f>IFERROR(IF(compras_mes6[[#This Row],[CUIT]]="","-",VLOOKUP(compras_mes6[[#This Row],[CUIT]],Lista_CUIT[#All],2,0)),"CUIT NO CARGADO")</f>
        <v>ITAL PAVON S.A.</v>
      </c>
      <c r="H62" s="461">
        <v>2934.84</v>
      </c>
      <c r="I62" s="462">
        <f>IF(compras_mes6[[#This Row],[NETO GRAVADO]]="","",compras_mes6[[#This Row],[NETO GRAVADO]]*0.21)</f>
        <v>616.31640000000004</v>
      </c>
      <c r="J62" s="462"/>
      <c r="K62" s="462"/>
      <c r="L62" s="462"/>
      <c r="M62" s="462"/>
      <c r="N62" s="462"/>
      <c r="O62" s="462">
        <v>448.91</v>
      </c>
      <c r="P62" s="463">
        <f>SUM(compras_mes6[[#This Row],[NETO GRAVADO]:[Otros / No Grav.]])</f>
        <v>4000.0664000000002</v>
      </c>
      <c r="Q62" s="464">
        <f>IFERROR(IF(compras_mes6[[#This Row],[CUIT]]="","-",VLOOKUP(compras_mes6[[#This Row],[CUIT]],Lista_CUIT[#All],3,0)),"CUIT NO CARGADO")</f>
        <v>0</v>
      </c>
      <c r="R62" s="464">
        <f>IFERROR(IF(compras_mes6[[#This Row],[CUIT]]="","-",VLOOKUP(compras_mes6[[#This Row],[CUIT]],Lista_CUIT[#All],4,0)),"CUIT NO CARGADO")</f>
        <v>0</v>
      </c>
    </row>
    <row r="63" spans="2:18" x14ac:dyDescent="0.3">
      <c r="B63" s="456">
        <v>45086</v>
      </c>
      <c r="C63" s="457">
        <v>1</v>
      </c>
      <c r="D63" s="458">
        <v>23</v>
      </c>
      <c r="E63" s="506">
        <v>13176</v>
      </c>
      <c r="F63" s="459">
        <v>30515800219</v>
      </c>
      <c r="G63" s="460" t="str">
        <f>IFERROR(IF(compras_mes6[[#This Row],[CUIT]]="","-",VLOOKUP(compras_mes6[[#This Row],[CUIT]],Lista_CUIT[#All],2,0)),"CUIT NO CARGADO")</f>
        <v>INCAT SRL</v>
      </c>
      <c r="H63" s="461">
        <v>5956.05</v>
      </c>
      <c r="I63" s="462">
        <f>IF(compras_mes6[[#This Row],[NETO GRAVADO]]="","",compras_mes6[[#This Row],[NETO GRAVADO]]*0.21)</f>
        <v>1250.7705000000001</v>
      </c>
      <c r="J63" s="462"/>
      <c r="K63" s="462"/>
      <c r="L63" s="462"/>
      <c r="M63" s="462"/>
      <c r="N63" s="462"/>
      <c r="O63" s="462">
        <v>1093.96</v>
      </c>
      <c r="P63" s="463">
        <f>SUM(compras_mes6[[#This Row],[NETO GRAVADO]:[Otros / No Grav.]])</f>
        <v>8300.7805000000008</v>
      </c>
      <c r="Q63" s="464" t="str">
        <f>IFERROR(IF(compras_mes6[[#This Row],[CUIT]]="","-",VLOOKUP(compras_mes6[[#This Row],[CUIT]],Lista_CUIT[#All],3,0)),"CUIT NO CARGADO")</f>
        <v>Combustibe</v>
      </c>
      <c r="R63" s="464" t="str">
        <f>IFERROR(IF(compras_mes6[[#This Row],[CUIT]]="","-",VLOOKUP(compras_mes6[[#This Row],[CUIT]],Lista_CUIT[#All],4,0)),"CUIT NO CARGADO")</f>
        <v>CABA</v>
      </c>
    </row>
    <row r="64" spans="2:18" x14ac:dyDescent="0.3">
      <c r="B64" s="456">
        <v>45086</v>
      </c>
      <c r="C64" s="457">
        <v>1</v>
      </c>
      <c r="D64" s="458">
        <v>6852</v>
      </c>
      <c r="E64" s="506">
        <v>17483</v>
      </c>
      <c r="F64" s="459">
        <v>30678774495</v>
      </c>
      <c r="G64" s="460" t="str">
        <f>IFERROR(IF(compras_mes6[[#This Row],[CUIT]]="","-",VLOOKUP(compras_mes6[[#This Row],[CUIT]],Lista_CUIT[#All],2,0)),"CUIT NO CARGADO")</f>
        <v>OPER. DE EST. DE SERV. SA</v>
      </c>
      <c r="H64" s="461">
        <v>1457.17</v>
      </c>
      <c r="I64" s="462">
        <f>IF(compras_mes6[[#This Row],[NETO GRAVADO]]="","",compras_mes6[[#This Row],[NETO GRAVADO]]*0.21)</f>
        <v>306.00569999999999</v>
      </c>
      <c r="J64" s="462"/>
      <c r="K64" s="462"/>
      <c r="L64" s="462"/>
      <c r="M64" s="462"/>
      <c r="N64" s="462"/>
      <c r="O64" s="462">
        <v>236.83</v>
      </c>
      <c r="P64" s="463">
        <f>SUM(compras_mes6[[#This Row],[NETO GRAVADO]:[Otros / No Grav.]])</f>
        <v>2000.0056999999999</v>
      </c>
      <c r="Q64" s="464" t="str">
        <f>IFERROR(IF(compras_mes6[[#This Row],[CUIT]]="","-",VLOOKUP(compras_mes6[[#This Row],[CUIT]],Lista_CUIT[#All],3,0)),"CUIT NO CARGADO")</f>
        <v>Combustibe</v>
      </c>
      <c r="R64" s="464">
        <f>IFERROR(IF(compras_mes6[[#This Row],[CUIT]]="","-",VLOOKUP(compras_mes6[[#This Row],[CUIT]],Lista_CUIT[#All],4,0)),"CUIT NO CARGADO")</f>
        <v>0</v>
      </c>
    </row>
    <row r="65" spans="2:18" x14ac:dyDescent="0.3">
      <c r="B65" s="456">
        <v>45086</v>
      </c>
      <c r="C65" s="457">
        <v>1</v>
      </c>
      <c r="D65" s="458">
        <v>4</v>
      </c>
      <c r="E65" s="506">
        <v>20789</v>
      </c>
      <c r="F65" s="459">
        <v>30552433595</v>
      </c>
      <c r="G65" s="460" t="str">
        <f>IFERROR(IF(compras_mes6[[#This Row],[CUIT]]="","-",VLOOKUP(compras_mes6[[#This Row],[CUIT]],Lista_CUIT[#All],2,0)),"CUIT NO CARGADO")</f>
        <v>PIROPLAST SRL</v>
      </c>
      <c r="H65" s="461">
        <v>48920.4</v>
      </c>
      <c r="I65" s="462">
        <f>IF(compras_mes6[[#This Row],[NETO GRAVADO]]="","",compras_mes6[[#This Row],[NETO GRAVADO]]*0.21)</f>
        <v>10273.284</v>
      </c>
      <c r="J65" s="462"/>
      <c r="K65" s="462"/>
      <c r="L65" s="462"/>
      <c r="M65" s="462"/>
      <c r="N65" s="462"/>
      <c r="O65" s="462"/>
      <c r="P65" s="463">
        <f>SUM(compras_mes6[[#This Row],[NETO GRAVADO]:[Otros / No Grav.]])</f>
        <v>59193.684000000001</v>
      </c>
      <c r="Q65" s="464" t="str">
        <f>IFERROR(IF(compras_mes6[[#This Row],[CUIT]]="","-",VLOOKUP(compras_mes6[[#This Row],[CUIT]],Lista_CUIT[#All],3,0)),"CUIT NO CARGADO")</f>
        <v>Insumo</v>
      </c>
      <c r="R65" s="464">
        <f>IFERROR(IF(compras_mes6[[#This Row],[CUIT]]="","-",VLOOKUP(compras_mes6[[#This Row],[CUIT]],Lista_CUIT[#All],4,0)),"CUIT NO CARGADO")</f>
        <v>0</v>
      </c>
    </row>
    <row r="66" spans="2:18" x14ac:dyDescent="0.3">
      <c r="B66" s="456">
        <v>45086</v>
      </c>
      <c r="C66" s="457">
        <v>1</v>
      </c>
      <c r="D66" s="458">
        <v>6</v>
      </c>
      <c r="E66" s="506">
        <v>23326</v>
      </c>
      <c r="F66" s="459">
        <v>33640878679</v>
      </c>
      <c r="G66" s="460" t="str">
        <f>IFERROR(IF(compras_mes6[[#This Row],[CUIT]]="","-",VLOOKUP(compras_mes6[[#This Row],[CUIT]],Lista_CUIT[#All],2,0)),"CUIT NO CARGADO")</f>
        <v>DHACAM S R L</v>
      </c>
      <c r="H66" s="461">
        <v>286650</v>
      </c>
      <c r="I66" s="462">
        <f>IF(compras_mes6[[#This Row],[NETO GRAVADO]]="","",compras_mes6[[#This Row],[NETO GRAVADO]]*0.21)</f>
        <v>60196.5</v>
      </c>
      <c r="J66" s="462"/>
      <c r="K66" s="462"/>
      <c r="L66" s="462"/>
      <c r="M66" s="462"/>
      <c r="N66" s="462"/>
      <c r="O66" s="462"/>
      <c r="P66" s="463">
        <f>SUM(compras_mes6[[#This Row],[NETO GRAVADO]:[Otros / No Grav.]])</f>
        <v>346846.5</v>
      </c>
      <c r="Q66" s="464">
        <f>IFERROR(IF(compras_mes6[[#This Row],[CUIT]]="","-",VLOOKUP(compras_mes6[[#This Row],[CUIT]],Lista_CUIT[#All],3,0)),"CUIT NO CARGADO")</f>
        <v>0</v>
      </c>
      <c r="R66" s="464">
        <f>IFERROR(IF(compras_mes6[[#This Row],[CUIT]]="","-",VLOOKUP(compras_mes6[[#This Row],[CUIT]],Lista_CUIT[#All],4,0)),"CUIT NO CARGADO")</f>
        <v>0</v>
      </c>
    </row>
    <row r="67" spans="2:18" x14ac:dyDescent="0.3">
      <c r="B67" s="486">
        <v>45086</v>
      </c>
      <c r="C67" s="250">
        <v>1</v>
      </c>
      <c r="D67" s="487">
        <v>948</v>
      </c>
      <c r="E67" s="488">
        <v>972680</v>
      </c>
      <c r="F67" s="476">
        <v>30639453975</v>
      </c>
      <c r="G67" s="489" t="str">
        <f>IFERROR(IF(compras_mes6[[#This Row],[CUIT]]="","-",VLOOKUP(compras_mes6[[#This Row],[CUIT]],Lista_CUIT[#All],2,0)),"CUIT NO CARGADO")</f>
        <v>TELEFONICA DE ARG S.A.</v>
      </c>
      <c r="H67" s="490">
        <v>6578.95</v>
      </c>
      <c r="I67" s="491"/>
      <c r="J67" s="491">
        <v>1776.32</v>
      </c>
      <c r="K67" s="491"/>
      <c r="L67" s="491">
        <v>197.37</v>
      </c>
      <c r="M67" s="491"/>
      <c r="N67" s="491">
        <v>394.74</v>
      </c>
      <c r="O67" s="491"/>
      <c r="P67" s="492">
        <f>SUM(compras_mes6[[#This Row],[NETO GRAVADO]:[Otros / No Grav.]])</f>
        <v>8947.380000000001</v>
      </c>
      <c r="Q67" s="493" t="str">
        <f>IFERROR(IF(compras_mes6[[#This Row],[CUIT]]="","-",VLOOKUP(compras_mes6[[#This Row],[CUIT]],Lista_CUIT[#All],3,0)),"CUIT NO CARGADO")</f>
        <v>Servicios Gas, Luz, etc.</v>
      </c>
      <c r="R67" s="493">
        <f>IFERROR(IF(compras_mes6[[#This Row],[CUIT]]="","-",VLOOKUP(compras_mes6[[#This Row],[CUIT]],Lista_CUIT[#All],4,0)),"CUIT NO CARGADO")</f>
        <v>0</v>
      </c>
    </row>
    <row r="68" spans="2:18" x14ac:dyDescent="0.3">
      <c r="B68" s="456">
        <v>45087</v>
      </c>
      <c r="C68" s="457">
        <v>1</v>
      </c>
      <c r="D68" s="458">
        <v>2199</v>
      </c>
      <c r="E68" s="506">
        <v>22498</v>
      </c>
      <c r="F68" s="459">
        <v>30548083156</v>
      </c>
      <c r="G68" s="460" t="str">
        <f>IFERROR(IF(compras_mes6[[#This Row],[CUIT]]="","-",VLOOKUP(compras_mes6[[#This Row],[CUIT]],Lista_CUIT[#All],2,0)),"CUIT NO CARGADO")</f>
        <v>COTO CENTRO INTEGRAL DE COMERCIALIZACION SOCIEDAD ANONIMA</v>
      </c>
      <c r="H68" s="461">
        <v>13971.89</v>
      </c>
      <c r="I68" s="462">
        <v>2419.83</v>
      </c>
      <c r="J68" s="462"/>
      <c r="K68" s="462">
        <v>257.14</v>
      </c>
      <c r="L68" s="462">
        <v>385.2</v>
      </c>
      <c r="M68" s="462"/>
      <c r="N68" s="462">
        <v>798.59</v>
      </c>
      <c r="O68" s="462"/>
      <c r="P68" s="463">
        <f>SUM(compras_mes6[[#This Row],[NETO GRAVADO]:[Otros / No Grav.]])</f>
        <v>17832.650000000001</v>
      </c>
      <c r="Q68" s="464" t="str">
        <f>IFERROR(IF(compras_mes6[[#This Row],[CUIT]]="","-",VLOOKUP(compras_mes6[[#This Row],[CUIT]],Lista_CUIT[#All],3,0)),"CUIT NO CARGADO")</f>
        <v>GASTOS COMERCIALES</v>
      </c>
      <c r="R68" s="464">
        <f>IFERROR(IF(compras_mes6[[#This Row],[CUIT]]="","-",VLOOKUP(compras_mes6[[#This Row],[CUIT]],Lista_CUIT[#All],4,0)),"CUIT NO CARGADO")</f>
        <v>0</v>
      </c>
    </row>
    <row r="69" spans="2:18" x14ac:dyDescent="0.3">
      <c r="B69" s="456">
        <v>45087</v>
      </c>
      <c r="C69" s="457">
        <v>1</v>
      </c>
      <c r="D69" s="458">
        <v>12</v>
      </c>
      <c r="E69" s="506">
        <v>26002</v>
      </c>
      <c r="F69" s="459">
        <v>30696131003</v>
      </c>
      <c r="G69" s="460" t="str">
        <f>IFERROR(IF(compras_mes6[[#This Row],[CUIT]]="","-",VLOOKUP(compras_mes6[[#This Row],[CUIT]],Lista_CUIT[#All],2,0)),"CUIT NO CARGADO")</f>
        <v>Petrolfe S.A.</v>
      </c>
      <c r="H69" s="461">
        <v>16427.189999999999</v>
      </c>
      <c r="I69" s="462">
        <f>IF(compras_mes6[[#This Row],[NETO GRAVADO]]="","",compras_mes6[[#This Row],[NETO GRAVADO]]*0.21)</f>
        <v>3449.7098999999994</v>
      </c>
      <c r="J69" s="462"/>
      <c r="K69" s="462"/>
      <c r="L69" s="462"/>
      <c r="M69" s="462"/>
      <c r="N69" s="462"/>
      <c r="O69" s="462">
        <v>3007.86</v>
      </c>
      <c r="P69" s="463">
        <f>SUM(compras_mes6[[#This Row],[NETO GRAVADO]:[Otros / No Grav.]])</f>
        <v>22884.759899999997</v>
      </c>
      <c r="Q69" s="464" t="str">
        <f>IFERROR(IF(compras_mes6[[#This Row],[CUIT]]="","-",VLOOKUP(compras_mes6[[#This Row],[CUIT]],Lista_CUIT[#All],3,0)),"CUIT NO CARGADO")</f>
        <v>Combustible</v>
      </c>
      <c r="R69" s="464">
        <f>IFERROR(IF(compras_mes6[[#This Row],[CUIT]]="","-",VLOOKUP(compras_mes6[[#This Row],[CUIT]],Lista_CUIT[#All],4,0)),"CUIT NO CARGADO")</f>
        <v>0</v>
      </c>
    </row>
    <row r="70" spans="2:18" x14ac:dyDescent="0.3">
      <c r="B70" s="486">
        <v>45087</v>
      </c>
      <c r="C70" s="250">
        <v>1</v>
      </c>
      <c r="D70" s="487">
        <v>6364</v>
      </c>
      <c r="E70" s="488">
        <v>7577066</v>
      </c>
      <c r="F70" s="476">
        <v>30639453738</v>
      </c>
      <c r="G70" s="489" t="str">
        <f>IFERROR(IF(compras_mes6[[#This Row],[CUIT]]="","-",VLOOKUP(compras_mes6[[#This Row],[CUIT]],Lista_CUIT[#All],2,0)),"CUIT NO CARGADO")</f>
        <v>TELECOM ARG SA</v>
      </c>
      <c r="H70" s="490">
        <v>63788.5</v>
      </c>
      <c r="I70" s="491">
        <v>13072.12</v>
      </c>
      <c r="J70" s="491">
        <v>415.89</v>
      </c>
      <c r="K70" s="491"/>
      <c r="L70" s="491"/>
      <c r="M70" s="491"/>
      <c r="N70" s="491">
        <v>3522.53</v>
      </c>
      <c r="O70" s="491">
        <v>2000.46</v>
      </c>
      <c r="P70" s="492">
        <f>SUM(compras_mes6[[#This Row],[NETO GRAVADO]:[Otros / No Grav.]])</f>
        <v>82799.5</v>
      </c>
      <c r="Q70" s="493" t="str">
        <f>IFERROR(IF(compras_mes6[[#This Row],[CUIT]]="","-",VLOOKUP(compras_mes6[[#This Row],[CUIT]],Lista_CUIT[#All],3,0)),"CUIT NO CARGADO")</f>
        <v>Servicios Gas, Luz, etc.</v>
      </c>
      <c r="R70" s="493">
        <f>IFERROR(IF(compras_mes6[[#This Row],[CUIT]]="","-",VLOOKUP(compras_mes6[[#This Row],[CUIT]],Lista_CUIT[#All],4,0)),"CUIT NO CARGADO")</f>
        <v>0</v>
      </c>
    </row>
    <row r="71" spans="2:18" x14ac:dyDescent="0.3">
      <c r="B71" s="486">
        <v>45087</v>
      </c>
      <c r="C71" s="250">
        <v>1</v>
      </c>
      <c r="D71" s="487">
        <v>6</v>
      </c>
      <c r="E71" s="488">
        <v>14257742</v>
      </c>
      <c r="F71" s="476">
        <v>30620177497</v>
      </c>
      <c r="G71" s="489" t="str">
        <f>IFERROR(IF(compras_mes6[[#This Row],[CUIT]]="","-",VLOOKUP(compras_mes6[[#This Row],[CUIT]],Lista_CUIT[#All],2,0)),"CUIT NO CARGADO")</f>
        <v>POSNET SRL</v>
      </c>
      <c r="H71" s="490">
        <v>4658.24</v>
      </c>
      <c r="I71" s="491">
        <f>IF(compras_mes6[[#This Row],[NETO GRAVADO]]="","",compras_mes6[[#This Row],[NETO GRAVADO]]*0.21)</f>
        <v>978.23039999999992</v>
      </c>
      <c r="J71" s="491"/>
      <c r="K71" s="491"/>
      <c r="L71" s="491"/>
      <c r="M71" s="491"/>
      <c r="N71" s="491">
        <v>419.24</v>
      </c>
      <c r="O71" s="491"/>
      <c r="P71" s="492">
        <f>SUM(compras_mes6[[#This Row],[NETO GRAVADO]:[Otros / No Grav.]])</f>
        <v>6055.7103999999999</v>
      </c>
      <c r="Q71" s="493" t="str">
        <f>IFERROR(IF(compras_mes6[[#This Row],[CUIT]]="","-",VLOOKUP(compras_mes6[[#This Row],[CUIT]],Lista_CUIT[#All],3,0)),"CUIT NO CARGADO")</f>
        <v>Servicios Gas, Luz, etc.</v>
      </c>
      <c r="R71" s="493">
        <f>IFERROR(IF(compras_mes6[[#This Row],[CUIT]]="","-",VLOOKUP(compras_mes6[[#This Row],[CUIT]],Lista_CUIT[#All],4,0)),"CUIT NO CARGADO")</f>
        <v>0</v>
      </c>
    </row>
    <row r="72" spans="2:18" x14ac:dyDescent="0.3">
      <c r="B72" s="486">
        <v>45087</v>
      </c>
      <c r="C72" s="250">
        <v>1</v>
      </c>
      <c r="D72" s="487">
        <v>6</v>
      </c>
      <c r="E72" s="488">
        <v>14257779</v>
      </c>
      <c r="F72" s="476">
        <v>30620177497</v>
      </c>
      <c r="G72" s="489" t="str">
        <f>IFERROR(IF(compras_mes6[[#This Row],[CUIT]]="","-",VLOOKUP(compras_mes6[[#This Row],[CUIT]],Lista_CUIT[#All],2,0)),"CUIT NO CARGADO")</f>
        <v>POSNET SRL</v>
      </c>
      <c r="H72" s="490">
        <v>4658.24</v>
      </c>
      <c r="I72" s="491">
        <f>IF(compras_mes6[[#This Row],[NETO GRAVADO]]="","",compras_mes6[[#This Row],[NETO GRAVADO]]*0.21)</f>
        <v>978.23039999999992</v>
      </c>
      <c r="J72" s="491"/>
      <c r="K72" s="491"/>
      <c r="L72" s="491"/>
      <c r="M72" s="491"/>
      <c r="N72" s="491">
        <v>419.24</v>
      </c>
      <c r="O72" s="491"/>
      <c r="P72" s="492">
        <f>SUM(compras_mes6[[#This Row],[NETO GRAVADO]:[Otros / No Grav.]])</f>
        <v>6055.7103999999999</v>
      </c>
      <c r="Q72" s="493" t="str">
        <f>IFERROR(IF(compras_mes6[[#This Row],[CUIT]]="","-",VLOOKUP(compras_mes6[[#This Row],[CUIT]],Lista_CUIT[#All],3,0)),"CUIT NO CARGADO")</f>
        <v>Servicios Gas, Luz, etc.</v>
      </c>
      <c r="R72" s="493">
        <f>IFERROR(IF(compras_mes6[[#This Row],[CUIT]]="","-",VLOOKUP(compras_mes6[[#This Row],[CUIT]],Lista_CUIT[#All],4,0)),"CUIT NO CARGADO")</f>
        <v>0</v>
      </c>
    </row>
    <row r="73" spans="2:18" x14ac:dyDescent="0.3">
      <c r="B73" s="486">
        <v>45087</v>
      </c>
      <c r="C73" s="250">
        <v>1</v>
      </c>
      <c r="D73" s="487">
        <v>6</v>
      </c>
      <c r="E73" s="488">
        <v>14277334</v>
      </c>
      <c r="F73" s="476">
        <v>30620177497</v>
      </c>
      <c r="G73" s="489" t="str">
        <f>IFERROR(IF(compras_mes6[[#This Row],[CUIT]]="","-",VLOOKUP(compras_mes6[[#This Row],[CUIT]],Lista_CUIT[#All],2,0)),"CUIT NO CARGADO")</f>
        <v>POSNET SRL</v>
      </c>
      <c r="H73" s="490">
        <v>13974.72</v>
      </c>
      <c r="I73" s="491">
        <f>IF(compras_mes6[[#This Row],[NETO GRAVADO]]="","",compras_mes6[[#This Row],[NETO GRAVADO]]*0.21)</f>
        <v>2934.6911999999998</v>
      </c>
      <c r="J73" s="491"/>
      <c r="K73" s="491"/>
      <c r="L73" s="491"/>
      <c r="M73" s="491"/>
      <c r="N73" s="491">
        <v>1257.72</v>
      </c>
      <c r="O73" s="491"/>
      <c r="P73" s="492">
        <f>SUM(compras_mes6[[#This Row],[NETO GRAVADO]:[Otros / No Grav.]])</f>
        <v>18167.1312</v>
      </c>
      <c r="Q73" s="493" t="str">
        <f>IFERROR(IF(compras_mes6[[#This Row],[CUIT]]="","-",VLOOKUP(compras_mes6[[#This Row],[CUIT]],Lista_CUIT[#All],3,0)),"CUIT NO CARGADO")</f>
        <v>Servicios Gas, Luz, etc.</v>
      </c>
      <c r="R73" s="493">
        <f>IFERROR(IF(compras_mes6[[#This Row],[CUIT]]="","-",VLOOKUP(compras_mes6[[#This Row],[CUIT]],Lista_CUIT[#All],4,0)),"CUIT NO CARGADO")</f>
        <v>0</v>
      </c>
    </row>
    <row r="74" spans="2:18" x14ac:dyDescent="0.3">
      <c r="B74" s="486">
        <v>45087</v>
      </c>
      <c r="C74" s="250">
        <v>1</v>
      </c>
      <c r="D74" s="487">
        <v>6</v>
      </c>
      <c r="E74" s="488">
        <v>14287350</v>
      </c>
      <c r="F74" s="476">
        <v>30620177497</v>
      </c>
      <c r="G74" s="489" t="str">
        <f>IFERROR(IF(compras_mes6[[#This Row],[CUIT]]="","-",VLOOKUP(compras_mes6[[#This Row],[CUIT]],Lista_CUIT[#All],2,0)),"CUIT NO CARGADO")</f>
        <v>POSNET SRL</v>
      </c>
      <c r="H74" s="490">
        <v>4658.24</v>
      </c>
      <c r="I74" s="491">
        <f>IF(compras_mes6[[#This Row],[NETO GRAVADO]]="","",compras_mes6[[#This Row],[NETO GRAVADO]]*0.21)</f>
        <v>978.23039999999992</v>
      </c>
      <c r="J74" s="491"/>
      <c r="K74" s="491"/>
      <c r="L74" s="491"/>
      <c r="M74" s="491"/>
      <c r="N74" s="491">
        <v>419.24</v>
      </c>
      <c r="O74" s="491"/>
      <c r="P74" s="492">
        <f>SUM(compras_mes6[[#This Row],[NETO GRAVADO]:[Otros / No Grav.]])</f>
        <v>6055.7103999999999</v>
      </c>
      <c r="Q74" s="493" t="str">
        <f>IFERROR(IF(compras_mes6[[#This Row],[CUIT]]="","-",VLOOKUP(compras_mes6[[#This Row],[CUIT]],Lista_CUIT[#All],3,0)),"CUIT NO CARGADO")</f>
        <v>Servicios Gas, Luz, etc.</v>
      </c>
      <c r="R74" s="493">
        <f>IFERROR(IF(compras_mes6[[#This Row],[CUIT]]="","-",VLOOKUP(compras_mes6[[#This Row],[CUIT]],Lista_CUIT[#All],4,0)),"CUIT NO CARGADO")</f>
        <v>0</v>
      </c>
    </row>
    <row r="75" spans="2:18" x14ac:dyDescent="0.3">
      <c r="B75" s="456">
        <v>45088</v>
      </c>
      <c r="C75" s="457">
        <v>1</v>
      </c>
      <c r="D75" s="458">
        <v>7864</v>
      </c>
      <c r="E75" s="506">
        <v>7716</v>
      </c>
      <c r="F75" s="459">
        <v>30678774495</v>
      </c>
      <c r="G75" s="460" t="str">
        <f>IFERROR(IF(compras_mes6[[#This Row],[CUIT]]="","-",VLOOKUP(compras_mes6[[#This Row],[CUIT]],Lista_CUIT[#All],2,0)),"CUIT NO CARGADO")</f>
        <v>OPER. DE EST. DE SERV. SA</v>
      </c>
      <c r="H75" s="461">
        <v>10242.91</v>
      </c>
      <c r="I75" s="462">
        <f>IF(compras_mes6[[#This Row],[NETO GRAVADO]]="","",compras_mes6[[#This Row],[NETO GRAVADO]]*0.21)</f>
        <v>2151.0110999999997</v>
      </c>
      <c r="J75" s="462"/>
      <c r="K75" s="462"/>
      <c r="L75" s="462"/>
      <c r="M75" s="462"/>
      <c r="N75" s="462"/>
      <c r="O75" s="462">
        <v>1611.08</v>
      </c>
      <c r="P75" s="463">
        <f>SUM(compras_mes6[[#This Row],[NETO GRAVADO]:[Otros / No Grav.]])</f>
        <v>14005.001099999999</v>
      </c>
      <c r="Q75" s="464" t="str">
        <f>IFERROR(IF(compras_mes6[[#This Row],[CUIT]]="","-",VLOOKUP(compras_mes6[[#This Row],[CUIT]],Lista_CUIT[#All],3,0)),"CUIT NO CARGADO")</f>
        <v>Combustibe</v>
      </c>
      <c r="R75" s="464">
        <f>IFERROR(IF(compras_mes6[[#This Row],[CUIT]]="","-",VLOOKUP(compras_mes6[[#This Row],[CUIT]],Lista_CUIT[#All],4,0)),"CUIT NO CARGADO")</f>
        <v>0</v>
      </c>
    </row>
    <row r="76" spans="2:18" x14ac:dyDescent="0.3">
      <c r="B76" s="456">
        <v>45089</v>
      </c>
      <c r="C76" s="457">
        <v>1</v>
      </c>
      <c r="D76" s="458">
        <v>1</v>
      </c>
      <c r="E76" s="506">
        <v>137</v>
      </c>
      <c r="F76" s="459">
        <v>20077604627</v>
      </c>
      <c r="G76" s="460" t="str">
        <f>IFERROR(IF(compras_mes6[[#This Row],[CUIT]]="","-",VLOOKUP(compras_mes6[[#This Row],[CUIT]],Lista_CUIT[#All],2,0)),"CUIT NO CARGADO")</f>
        <v>OCAÑO ENRIQUE</v>
      </c>
      <c r="H76" s="461">
        <v>612275.38</v>
      </c>
      <c r="I76" s="462">
        <f>IF(compras_mes6[[#This Row],[NETO GRAVADO]]="","",compras_mes6[[#This Row],[NETO GRAVADO]]*0.21)</f>
        <v>128577.82979999999</v>
      </c>
      <c r="J76" s="462"/>
      <c r="K76" s="462"/>
      <c r="L76" s="462"/>
      <c r="M76" s="462"/>
      <c r="N76" s="462"/>
      <c r="O76" s="462"/>
      <c r="P76" s="463">
        <f>SUM(compras_mes6[[#This Row],[NETO GRAVADO]:[Otros / No Grav.]])</f>
        <v>740853.20979999995</v>
      </c>
      <c r="Q76" s="464">
        <f>IFERROR(IF(compras_mes6[[#This Row],[CUIT]]="","-",VLOOKUP(compras_mes6[[#This Row],[CUIT]],Lista_CUIT[#All],3,0)),"CUIT NO CARGADO")</f>
        <v>0</v>
      </c>
      <c r="R76" s="464">
        <f>IFERROR(IF(compras_mes6[[#This Row],[CUIT]]="","-",VLOOKUP(compras_mes6[[#This Row],[CUIT]],Lista_CUIT[#All],4,0)),"CUIT NO CARGADO")</f>
        <v>0</v>
      </c>
    </row>
    <row r="77" spans="2:18" x14ac:dyDescent="0.3">
      <c r="B77" s="486">
        <v>45089</v>
      </c>
      <c r="C77" s="250">
        <v>1</v>
      </c>
      <c r="D77" s="487">
        <v>5</v>
      </c>
      <c r="E77" s="488">
        <v>509</v>
      </c>
      <c r="F77" s="476">
        <v>30716654105</v>
      </c>
      <c r="G77" s="489" t="str">
        <f>IFERROR(IF(compras_mes6[[#This Row],[CUIT]]="","-",VLOOKUP(compras_mes6[[#This Row],[CUIT]],Lista_CUIT[#All],2,0)),"CUIT NO CARGADO")</f>
        <v>CARNICA DEL NORTE S.R.L.</v>
      </c>
      <c r="H77" s="490">
        <v>5096.8599999999997</v>
      </c>
      <c r="I77" s="491"/>
      <c r="J77" s="491"/>
      <c r="K77" s="491">
        <v>535.16999999999996</v>
      </c>
      <c r="L77" s="491"/>
      <c r="M77" s="491"/>
      <c r="N77" s="491"/>
      <c r="O77" s="491"/>
      <c r="P77" s="492">
        <f>SUM(compras_mes6[[#This Row],[NETO GRAVADO]:[Otros / No Grav.]])</f>
        <v>5632.03</v>
      </c>
      <c r="Q77" s="493">
        <f>IFERROR(IF(compras_mes6[[#This Row],[CUIT]]="","-",VLOOKUP(compras_mes6[[#This Row],[CUIT]],Lista_CUIT[#All],3,0)),"CUIT NO CARGADO")</f>
        <v>0</v>
      </c>
      <c r="R77" s="493">
        <f>IFERROR(IF(compras_mes6[[#This Row],[CUIT]]="","-",VLOOKUP(compras_mes6[[#This Row],[CUIT]],Lista_CUIT[#All],4,0)),"CUIT NO CARGADO")</f>
        <v>0</v>
      </c>
    </row>
    <row r="78" spans="2:18" x14ac:dyDescent="0.3">
      <c r="B78" s="486">
        <v>45089</v>
      </c>
      <c r="C78" s="250">
        <v>1</v>
      </c>
      <c r="D78" s="487">
        <v>5</v>
      </c>
      <c r="E78" s="488">
        <v>510</v>
      </c>
      <c r="F78" s="476">
        <v>30716654105</v>
      </c>
      <c r="G78" s="489" t="str">
        <f>IFERROR(IF(compras_mes6[[#This Row],[CUIT]]="","-",VLOOKUP(compras_mes6[[#This Row],[CUIT]],Lista_CUIT[#All],2,0)),"CUIT NO CARGADO")</f>
        <v>CARNICA DEL NORTE S.R.L.</v>
      </c>
      <c r="H78" s="490">
        <v>9051.81</v>
      </c>
      <c r="I78" s="491"/>
      <c r="J78" s="491"/>
      <c r="K78" s="491">
        <v>950.44</v>
      </c>
      <c r="L78" s="491"/>
      <c r="M78" s="491"/>
      <c r="N78" s="491"/>
      <c r="O78" s="491"/>
      <c r="P78" s="492">
        <f>SUM(compras_mes6[[#This Row],[NETO GRAVADO]:[Otros / No Grav.]])</f>
        <v>10002.25</v>
      </c>
      <c r="Q78" s="493">
        <f>IFERROR(IF(compras_mes6[[#This Row],[CUIT]]="","-",VLOOKUP(compras_mes6[[#This Row],[CUIT]],Lista_CUIT[#All],3,0)),"CUIT NO CARGADO")</f>
        <v>0</v>
      </c>
      <c r="R78" s="493">
        <f>IFERROR(IF(compras_mes6[[#This Row],[CUIT]]="","-",VLOOKUP(compras_mes6[[#This Row],[CUIT]],Lista_CUIT[#All],4,0)),"CUIT NO CARGADO")</f>
        <v>0</v>
      </c>
    </row>
    <row r="79" spans="2:18" x14ac:dyDescent="0.3">
      <c r="B79" s="456">
        <v>45089</v>
      </c>
      <c r="C79" s="457">
        <v>1</v>
      </c>
      <c r="D79" s="458">
        <v>4</v>
      </c>
      <c r="E79" s="506">
        <v>2010</v>
      </c>
      <c r="F79" s="459">
        <v>30715946250</v>
      </c>
      <c r="G79" s="460" t="str">
        <f>IFERROR(IF(compras_mes6[[#This Row],[CUIT]]="","-",VLOOKUP(compras_mes6[[#This Row],[CUIT]],Lista_CUIT[#All],2,0)),"CUIT NO CARGADO")</f>
        <v>GLOBAL AESTHETICS PRODUCTS AND SERVICES SRL</v>
      </c>
      <c r="H79" s="461">
        <v>839360</v>
      </c>
      <c r="I79" s="462">
        <f>IF(compras_mes6[[#This Row],[NETO GRAVADO]]="","",compras_mes6[[#This Row],[NETO GRAVADO]]*0.21)</f>
        <v>176265.60000000001</v>
      </c>
      <c r="J79" s="462"/>
      <c r="K79" s="462"/>
      <c r="L79" s="462"/>
      <c r="M79" s="462"/>
      <c r="N79" s="462"/>
      <c r="O79" s="462"/>
      <c r="P79" s="463">
        <f>SUM(compras_mes6[[#This Row],[NETO GRAVADO]:[Otros / No Grav.]])</f>
        <v>1015625.6</v>
      </c>
      <c r="Q79" s="464" t="str">
        <f>IFERROR(IF(compras_mes6[[#This Row],[CUIT]]="","-",VLOOKUP(compras_mes6[[#This Row],[CUIT]],Lista_CUIT[#All],3,0)),"CUIT NO CARGADO")</f>
        <v>aparatos</v>
      </c>
      <c r="R79" s="464">
        <f>IFERROR(IF(compras_mes6[[#This Row],[CUIT]]="","-",VLOOKUP(compras_mes6[[#This Row],[CUIT]],Lista_CUIT[#All],4,0)),"CUIT NO CARGADO")</f>
        <v>0</v>
      </c>
    </row>
    <row r="80" spans="2:18" x14ac:dyDescent="0.3">
      <c r="B80" s="456">
        <v>45089</v>
      </c>
      <c r="C80" s="457">
        <v>1</v>
      </c>
      <c r="D80" s="458">
        <v>20</v>
      </c>
      <c r="E80" s="506">
        <v>9087</v>
      </c>
      <c r="F80" s="459">
        <v>30515800219</v>
      </c>
      <c r="G80" s="460" t="str">
        <f>IFERROR(IF(compras_mes6[[#This Row],[CUIT]]="","-",VLOOKUP(compras_mes6[[#This Row],[CUIT]],Lista_CUIT[#All],2,0)),"CUIT NO CARGADO")</f>
        <v>INCAT SRL</v>
      </c>
      <c r="H80" s="461">
        <v>816.17</v>
      </c>
      <c r="I80" s="462">
        <f>IF(compras_mes6[[#This Row],[NETO GRAVADO]]="","",compras_mes6[[#This Row],[NETO GRAVADO]]*0.21)</f>
        <v>171.39569999999998</v>
      </c>
      <c r="J80" s="462"/>
      <c r="K80" s="462"/>
      <c r="L80" s="462"/>
      <c r="M80" s="462"/>
      <c r="N80" s="462"/>
      <c r="O80" s="462">
        <v>12.44</v>
      </c>
      <c r="P80" s="463">
        <f>SUM(compras_mes6[[#This Row],[NETO GRAVADO]:[Otros / No Grav.]])</f>
        <v>1000.0056999999999</v>
      </c>
      <c r="Q80" s="464" t="str">
        <f>IFERROR(IF(compras_mes6[[#This Row],[CUIT]]="","-",VLOOKUP(compras_mes6[[#This Row],[CUIT]],Lista_CUIT[#All],3,0)),"CUIT NO CARGADO")</f>
        <v>Combustibe</v>
      </c>
      <c r="R80" s="464" t="str">
        <f>IFERROR(IF(compras_mes6[[#This Row],[CUIT]]="","-",VLOOKUP(compras_mes6[[#This Row],[CUIT]],Lista_CUIT[#All],4,0)),"CUIT NO CARGADO")</f>
        <v>CABA</v>
      </c>
    </row>
    <row r="81" spans="2:18" x14ac:dyDescent="0.3">
      <c r="B81" s="486">
        <v>45090</v>
      </c>
      <c r="C81" s="250">
        <v>1</v>
      </c>
      <c r="D81" s="487">
        <v>15</v>
      </c>
      <c r="E81" s="488">
        <v>322</v>
      </c>
      <c r="F81" s="476">
        <v>30716339757</v>
      </c>
      <c r="G81" s="489" t="str">
        <f>IFERROR(IF(compras_mes6[[#This Row],[CUIT]]="","-",VLOOKUP(compras_mes6[[#This Row],[CUIT]],Lista_CUIT[#All],2,0)),"CUIT NO CARGADO")</f>
        <v>PINTURERIAS EXPRESS SRL</v>
      </c>
      <c r="H81" s="490">
        <v>15304</v>
      </c>
      <c r="I81" s="491">
        <f>IF(compras_mes6[[#This Row],[NETO GRAVADO]]="","",compras_mes6[[#This Row],[NETO GRAVADO]]*0.21)</f>
        <v>3213.8399999999997</v>
      </c>
      <c r="J81" s="491"/>
      <c r="K81" s="491"/>
      <c r="L81" s="491"/>
      <c r="M81" s="491"/>
      <c r="N81" s="491"/>
      <c r="O81" s="491"/>
      <c r="P81" s="492">
        <f>SUM(compras_mes6[[#This Row],[NETO GRAVADO]:[Otros / No Grav.]])</f>
        <v>18517.84</v>
      </c>
      <c r="Q81" s="493">
        <f>IFERROR(IF(compras_mes6[[#This Row],[CUIT]]="","-",VLOOKUP(compras_mes6[[#This Row],[CUIT]],Lista_CUIT[#All],3,0)),"CUIT NO CARGADO")</f>
        <v>0</v>
      </c>
      <c r="R81" s="493">
        <f>IFERROR(IF(compras_mes6[[#This Row],[CUIT]]="","-",VLOOKUP(compras_mes6[[#This Row],[CUIT]],Lista_CUIT[#All],4,0)),"CUIT NO CARGADO")</f>
        <v>0</v>
      </c>
    </row>
    <row r="82" spans="2:18" x14ac:dyDescent="0.3">
      <c r="B82" s="456">
        <v>45090</v>
      </c>
      <c r="C82" s="457">
        <v>1</v>
      </c>
      <c r="D82" s="458">
        <v>5</v>
      </c>
      <c r="E82" s="506">
        <v>521</v>
      </c>
      <c r="F82" s="459">
        <v>30716654105</v>
      </c>
      <c r="G82" s="460" t="str">
        <f>IFERROR(IF(compras_mes6[[#This Row],[CUIT]]="","-",VLOOKUP(compras_mes6[[#This Row],[CUIT]],Lista_CUIT[#All],2,0)),"CUIT NO CARGADO")</f>
        <v>CARNICA DEL NORTE S.R.L.</v>
      </c>
      <c r="H82" s="461">
        <v>1848</v>
      </c>
      <c r="I82" s="462"/>
      <c r="J82" s="462"/>
      <c r="K82" s="462">
        <v>194.04</v>
      </c>
      <c r="L82" s="462"/>
      <c r="M82" s="462"/>
      <c r="N82" s="462"/>
      <c r="O82" s="462"/>
      <c r="P82" s="463">
        <f>SUM(compras_mes6[[#This Row],[NETO GRAVADO]:[Otros / No Grav.]])</f>
        <v>2042.04</v>
      </c>
      <c r="Q82" s="464">
        <f>IFERROR(IF(compras_mes6[[#This Row],[CUIT]]="","-",VLOOKUP(compras_mes6[[#This Row],[CUIT]],Lista_CUIT[#All],3,0)),"CUIT NO CARGADO")</f>
        <v>0</v>
      </c>
      <c r="R82" s="464">
        <f>IFERROR(IF(compras_mes6[[#This Row],[CUIT]]="","-",VLOOKUP(compras_mes6[[#This Row],[CUIT]],Lista_CUIT[#All],4,0)),"CUIT NO CARGADO")</f>
        <v>0</v>
      </c>
    </row>
    <row r="83" spans="2:18" x14ac:dyDescent="0.3">
      <c r="B83" s="456">
        <v>45090</v>
      </c>
      <c r="C83" s="457">
        <v>1</v>
      </c>
      <c r="D83" s="458">
        <v>7</v>
      </c>
      <c r="E83" s="506">
        <v>1410</v>
      </c>
      <c r="F83" s="459">
        <v>20134664518</v>
      </c>
      <c r="G83" s="460" t="str">
        <f>IFERROR(IF(compras_mes6[[#This Row],[CUIT]]="","-",VLOOKUP(compras_mes6[[#This Row],[CUIT]],Lista_CUIT[#All],2,0)),"CUIT NO CARGADO")</f>
        <v>HOKAMA SERGIO ENRIQUE</v>
      </c>
      <c r="H83" s="461">
        <v>11425.19</v>
      </c>
      <c r="I83" s="462">
        <f>IF(compras_mes6[[#This Row],[NETO GRAVADO]]="","",compras_mes6[[#This Row],[NETO GRAVADO]]*0.21)</f>
        <v>2399.2899000000002</v>
      </c>
      <c r="J83" s="462"/>
      <c r="K83" s="462"/>
      <c r="L83" s="462"/>
      <c r="M83" s="462"/>
      <c r="N83" s="462"/>
      <c r="O83" s="462"/>
      <c r="P83" s="463">
        <f>SUM(compras_mes6[[#This Row],[NETO GRAVADO]:[Otros / No Grav.]])</f>
        <v>13824.4799</v>
      </c>
      <c r="Q83" s="464" t="str">
        <f>IFERROR(IF(compras_mes6[[#This Row],[CUIT]]="","-",VLOOKUP(compras_mes6[[#This Row],[CUIT]],Lista_CUIT[#All],3,0)),"CUIT NO CARGADO")</f>
        <v>Gastos Varios</v>
      </c>
      <c r="R83" s="464" t="str">
        <f>IFERROR(IF(compras_mes6[[#This Row],[CUIT]]="","-",VLOOKUP(compras_mes6[[#This Row],[CUIT]],Lista_CUIT[#All],4,0)),"CUIT NO CARGADO")</f>
        <v>BUENOS AIRES</v>
      </c>
    </row>
    <row r="84" spans="2:18" x14ac:dyDescent="0.3">
      <c r="B84" s="486">
        <v>45090</v>
      </c>
      <c r="C84" s="250">
        <v>1</v>
      </c>
      <c r="D84" s="487">
        <v>6001</v>
      </c>
      <c r="E84" s="488">
        <v>1547</v>
      </c>
      <c r="F84" s="476">
        <v>30639453738</v>
      </c>
      <c r="G84" s="489" t="str">
        <f>IFERROR(IF(compras_mes6[[#This Row],[CUIT]]="","-",VLOOKUP(compras_mes6[[#This Row],[CUIT]],Lista_CUIT[#All],2,0)),"CUIT NO CARGADO")</f>
        <v>TELECOM ARG SA</v>
      </c>
      <c r="H84" s="490">
        <v>0.01</v>
      </c>
      <c r="I84" s="491"/>
      <c r="J84" s="491"/>
      <c r="K84" s="491"/>
      <c r="L84" s="491">
        <f>compras_mes6[[#This Row],[NETO GRAVADO]]*0.105</f>
        <v>1.0499999999999999E-3</v>
      </c>
      <c r="M84" s="491"/>
      <c r="N84" s="491"/>
      <c r="O84" s="491"/>
      <c r="P84" s="492">
        <f>SUM(compras_mes6[[#This Row],[NETO GRAVADO]:[Otros / No Grav.]])</f>
        <v>1.1050000000000001E-2</v>
      </c>
      <c r="Q84" s="493" t="str">
        <f>IFERROR(IF(compras_mes6[[#This Row],[CUIT]]="","-",VLOOKUP(compras_mes6[[#This Row],[CUIT]],Lista_CUIT[#All],3,0)),"CUIT NO CARGADO")</f>
        <v>Servicios Gas, Luz, etc.</v>
      </c>
      <c r="R84" s="493">
        <f>IFERROR(IF(compras_mes6[[#This Row],[CUIT]]="","-",VLOOKUP(compras_mes6[[#This Row],[CUIT]],Lista_CUIT[#All],4,0)),"CUIT NO CARGADO")</f>
        <v>0</v>
      </c>
    </row>
    <row r="85" spans="2:18" x14ac:dyDescent="0.3">
      <c r="B85" s="486">
        <v>45090</v>
      </c>
      <c r="C85" s="250">
        <v>1</v>
      </c>
      <c r="D85" s="487">
        <v>8</v>
      </c>
      <c r="E85" s="488">
        <v>2104</v>
      </c>
      <c r="F85" s="476">
        <v>30712210636</v>
      </c>
      <c r="G85" s="489" t="str">
        <f>IFERROR(IF(compras_mes6[[#This Row],[CUIT]]="","-",VLOOKUP(compras_mes6[[#This Row],[CUIT]],Lista_CUIT[#All],2,0)),"CUIT NO CARGADO")</f>
        <v>BARRERA RICARDO DARIO Y HUBY GANOZA JIMMY  SOCIEDAD DE HECHO</v>
      </c>
      <c r="H85" s="490">
        <v>7975.19</v>
      </c>
      <c r="I85" s="491">
        <f>IF(compras_mes6[[#This Row],[NETO GRAVADO]]="","",compras_mes6[[#This Row],[NETO GRAVADO]]*0.21)</f>
        <v>1674.7898999999998</v>
      </c>
      <c r="J85" s="491"/>
      <c r="K85" s="491"/>
      <c r="L85" s="491"/>
      <c r="M85" s="491"/>
      <c r="N85" s="491"/>
      <c r="O85" s="491"/>
      <c r="P85" s="492">
        <f>SUM(compras_mes6[[#This Row],[NETO GRAVADO]:[Otros / No Grav.]])</f>
        <v>9649.9798999999985</v>
      </c>
      <c r="Q85" s="493">
        <f>IFERROR(IF(compras_mes6[[#This Row],[CUIT]]="","-",VLOOKUP(compras_mes6[[#This Row],[CUIT]],Lista_CUIT[#All],3,0)),"CUIT NO CARGADO")</f>
        <v>0</v>
      </c>
      <c r="R85" s="493">
        <f>IFERROR(IF(compras_mes6[[#This Row],[CUIT]]="","-",VLOOKUP(compras_mes6[[#This Row],[CUIT]],Lista_CUIT[#All],4,0)),"CUIT NO CARGADO")</f>
        <v>0</v>
      </c>
    </row>
    <row r="86" spans="2:18" x14ac:dyDescent="0.3">
      <c r="B86" s="456">
        <v>45090</v>
      </c>
      <c r="C86" s="457">
        <v>1</v>
      </c>
      <c r="D86" s="458">
        <v>2</v>
      </c>
      <c r="E86" s="506">
        <v>3366</v>
      </c>
      <c r="F86" s="459">
        <v>30629863571</v>
      </c>
      <c r="G86" s="460" t="str">
        <f>IFERROR(IF(compras_mes6[[#This Row],[CUIT]]="","-",VLOOKUP(compras_mes6[[#This Row],[CUIT]],Lista_CUIT[#All],2,0)),"CUIT NO CARGADO")</f>
        <v>TECNIMAR S R L</v>
      </c>
      <c r="H86" s="461">
        <v>970216</v>
      </c>
      <c r="I86" s="462">
        <f>IF(compras_mes6[[#This Row],[NETO GRAVADO]]="","",compras_mes6[[#This Row],[NETO GRAVADO]]*0.21)</f>
        <v>203745.36</v>
      </c>
      <c r="J86" s="462"/>
      <c r="K86" s="462"/>
      <c r="L86" s="462"/>
      <c r="M86" s="462"/>
      <c r="N86" s="462"/>
      <c r="O86" s="462"/>
      <c r="P86" s="463">
        <f>SUM(compras_mes6[[#This Row],[NETO GRAVADO]:[Otros / No Grav.]])</f>
        <v>1173961.3599999999</v>
      </c>
      <c r="Q86" s="464" t="str">
        <f>IFERROR(IF(compras_mes6[[#This Row],[CUIT]]="","-",VLOOKUP(compras_mes6[[#This Row],[CUIT]],Lista_CUIT[#All],3,0)),"CUIT NO CARGADO")</f>
        <v>LABORATORIO</v>
      </c>
      <c r="R86" s="464">
        <f>IFERROR(IF(compras_mes6[[#This Row],[CUIT]]="","-",VLOOKUP(compras_mes6[[#This Row],[CUIT]],Lista_CUIT[#All],4,0)),"CUIT NO CARGADO")</f>
        <v>0</v>
      </c>
    </row>
    <row r="87" spans="2:18" x14ac:dyDescent="0.3">
      <c r="B87" s="456">
        <v>45090</v>
      </c>
      <c r="C87" s="457">
        <v>1</v>
      </c>
      <c r="D87" s="458">
        <v>7</v>
      </c>
      <c r="E87" s="506">
        <v>7697</v>
      </c>
      <c r="F87" s="459">
        <v>30715124919</v>
      </c>
      <c r="G87" s="460" t="str">
        <f>IFERROR(IF(compras_mes6[[#This Row],[CUIT]]="","-",VLOOKUP(compras_mes6[[#This Row],[CUIT]],Lista_CUIT[#All],2,0)),"CUIT NO CARGADO")</f>
        <v>CLEAN LAB SRL</v>
      </c>
      <c r="H87" s="461">
        <v>16934.98</v>
      </c>
      <c r="I87" s="462">
        <f>IF(compras_mes6[[#This Row],[NETO GRAVADO]]="","",compras_mes6[[#This Row],[NETO GRAVADO]]*0.21)</f>
        <v>3556.3457999999996</v>
      </c>
      <c r="J87" s="462"/>
      <c r="K87" s="462"/>
      <c r="L87" s="462"/>
      <c r="M87" s="462"/>
      <c r="N87" s="462"/>
      <c r="O87" s="462"/>
      <c r="P87" s="463">
        <f>SUM(compras_mes6[[#This Row],[NETO GRAVADO]:[Otros / No Grav.]])</f>
        <v>20491.325799999999</v>
      </c>
      <c r="Q87" s="464">
        <f>IFERROR(IF(compras_mes6[[#This Row],[CUIT]]="","-",VLOOKUP(compras_mes6[[#This Row],[CUIT]],Lista_CUIT[#All],3,0)),"CUIT NO CARGADO")</f>
        <v>0</v>
      </c>
      <c r="R87" s="464">
        <f>IFERROR(IF(compras_mes6[[#This Row],[CUIT]]="","-",VLOOKUP(compras_mes6[[#This Row],[CUIT]],Lista_CUIT[#All],4,0)),"CUIT NO CARGADO")</f>
        <v>0</v>
      </c>
    </row>
    <row r="88" spans="2:18" x14ac:dyDescent="0.3">
      <c r="B88" s="456">
        <v>45090</v>
      </c>
      <c r="C88" s="457">
        <v>1</v>
      </c>
      <c r="D88" s="458">
        <v>7</v>
      </c>
      <c r="E88" s="506">
        <v>7698</v>
      </c>
      <c r="F88" s="459">
        <v>30715124919</v>
      </c>
      <c r="G88" s="460" t="str">
        <f>IFERROR(IF(compras_mes6[[#This Row],[CUIT]]="","-",VLOOKUP(compras_mes6[[#This Row],[CUIT]],Lista_CUIT[#All],2,0)),"CUIT NO CARGADO")</f>
        <v>CLEAN LAB SRL</v>
      </c>
      <c r="H88" s="461">
        <v>13626.38</v>
      </c>
      <c r="I88" s="462">
        <f>IF(compras_mes6[[#This Row],[NETO GRAVADO]]="","",compras_mes6[[#This Row],[NETO GRAVADO]]*0.21)</f>
        <v>2861.5397999999996</v>
      </c>
      <c r="J88" s="462"/>
      <c r="K88" s="462"/>
      <c r="L88" s="462"/>
      <c r="M88" s="462"/>
      <c r="N88" s="462"/>
      <c r="O88" s="462"/>
      <c r="P88" s="463">
        <f>SUM(compras_mes6[[#This Row],[NETO GRAVADO]:[Otros / No Grav.]])</f>
        <v>16487.9198</v>
      </c>
      <c r="Q88" s="464">
        <f>IFERROR(IF(compras_mes6[[#This Row],[CUIT]]="","-",VLOOKUP(compras_mes6[[#This Row],[CUIT]],Lista_CUIT[#All],3,0)),"CUIT NO CARGADO")</f>
        <v>0</v>
      </c>
      <c r="R88" s="464">
        <f>IFERROR(IF(compras_mes6[[#This Row],[CUIT]]="","-",VLOOKUP(compras_mes6[[#This Row],[CUIT]],Lista_CUIT[#All],4,0)),"CUIT NO CARGADO")</f>
        <v>0</v>
      </c>
    </row>
    <row r="89" spans="2:18" x14ac:dyDescent="0.3">
      <c r="B89" s="456">
        <v>45090</v>
      </c>
      <c r="C89" s="457">
        <v>1</v>
      </c>
      <c r="D89" s="458">
        <v>7</v>
      </c>
      <c r="E89" s="506">
        <v>7699</v>
      </c>
      <c r="F89" s="459">
        <v>30715124919</v>
      </c>
      <c r="G89" s="460" t="str">
        <f>IFERROR(IF(compras_mes6[[#This Row],[CUIT]]="","-",VLOOKUP(compras_mes6[[#This Row],[CUIT]],Lista_CUIT[#All],2,0)),"CUIT NO CARGADO")</f>
        <v>CLEAN LAB SRL</v>
      </c>
      <c r="H89" s="461">
        <v>19048.38</v>
      </c>
      <c r="I89" s="462">
        <f>IF(compras_mes6[[#This Row],[NETO GRAVADO]]="","",compras_mes6[[#This Row],[NETO GRAVADO]]*0.21)</f>
        <v>4000.1597999999999</v>
      </c>
      <c r="J89" s="462"/>
      <c r="K89" s="462"/>
      <c r="L89" s="462"/>
      <c r="M89" s="462"/>
      <c r="N89" s="462"/>
      <c r="O89" s="462"/>
      <c r="P89" s="463">
        <f>SUM(compras_mes6[[#This Row],[NETO GRAVADO]:[Otros / No Grav.]])</f>
        <v>23048.539800000002</v>
      </c>
      <c r="Q89" s="464">
        <f>IFERROR(IF(compras_mes6[[#This Row],[CUIT]]="","-",VLOOKUP(compras_mes6[[#This Row],[CUIT]],Lista_CUIT[#All],3,0)),"CUIT NO CARGADO")</f>
        <v>0</v>
      </c>
      <c r="R89" s="464">
        <f>IFERROR(IF(compras_mes6[[#This Row],[CUIT]]="","-",VLOOKUP(compras_mes6[[#This Row],[CUIT]],Lista_CUIT[#All],4,0)),"CUIT NO CARGADO")</f>
        <v>0</v>
      </c>
    </row>
    <row r="90" spans="2:18" x14ac:dyDescent="0.3">
      <c r="B90" s="456">
        <v>45090</v>
      </c>
      <c r="C90" s="457">
        <v>1</v>
      </c>
      <c r="D90" s="458">
        <v>7</v>
      </c>
      <c r="E90" s="506">
        <v>7700</v>
      </c>
      <c r="F90" s="459">
        <v>30715124919</v>
      </c>
      <c r="G90" s="460" t="str">
        <f>IFERROR(IF(compras_mes6[[#This Row],[CUIT]]="","-",VLOOKUP(compras_mes6[[#This Row],[CUIT]],Lista_CUIT[#All],2,0)),"CUIT NO CARGADO")</f>
        <v>CLEAN LAB SRL</v>
      </c>
      <c r="H90" s="461">
        <v>11437.5</v>
      </c>
      <c r="I90" s="462">
        <f>IF(compras_mes6[[#This Row],[NETO GRAVADO]]="","",compras_mes6[[#This Row],[NETO GRAVADO]]*0.21)</f>
        <v>2401.875</v>
      </c>
      <c r="J90" s="462"/>
      <c r="K90" s="462"/>
      <c r="L90" s="462"/>
      <c r="M90" s="462"/>
      <c r="N90" s="462"/>
      <c r="O90" s="462"/>
      <c r="P90" s="463">
        <f>SUM(compras_mes6[[#This Row],[NETO GRAVADO]:[Otros / No Grav.]])</f>
        <v>13839.375</v>
      </c>
      <c r="Q90" s="464">
        <f>IFERROR(IF(compras_mes6[[#This Row],[CUIT]]="","-",VLOOKUP(compras_mes6[[#This Row],[CUIT]],Lista_CUIT[#All],3,0)),"CUIT NO CARGADO")</f>
        <v>0</v>
      </c>
      <c r="R90" s="464">
        <f>IFERROR(IF(compras_mes6[[#This Row],[CUIT]]="","-",VLOOKUP(compras_mes6[[#This Row],[CUIT]],Lista_CUIT[#All],4,0)),"CUIT NO CARGADO")</f>
        <v>0</v>
      </c>
    </row>
    <row r="91" spans="2:18" x14ac:dyDescent="0.3">
      <c r="B91" s="456">
        <v>45090</v>
      </c>
      <c r="C91" s="457">
        <v>1</v>
      </c>
      <c r="D91" s="458">
        <v>2</v>
      </c>
      <c r="E91" s="506">
        <v>7992</v>
      </c>
      <c r="F91" s="459">
        <v>30714284963</v>
      </c>
      <c r="G91" s="460" t="str">
        <f>IFERROR(IF(compras_mes6[[#This Row],[CUIT]]="","-",VLOOKUP(compras_mes6[[#This Row],[CUIT]],Lista_CUIT[#All],2,0)),"CUIT NO CARGADO")</f>
        <v>ENGYMAN SRL</v>
      </c>
      <c r="H91" s="461">
        <v>118400</v>
      </c>
      <c r="I91" s="462">
        <f>IF(compras_mes6[[#This Row],[NETO GRAVADO]]="","",compras_mes6[[#This Row],[NETO GRAVADO]]*0.21)</f>
        <v>24864</v>
      </c>
      <c r="J91" s="462"/>
      <c r="K91" s="462"/>
      <c r="L91" s="462"/>
      <c r="M91" s="462"/>
      <c r="N91" s="462"/>
      <c r="O91" s="462"/>
      <c r="P91" s="463">
        <f>SUM(compras_mes6[[#This Row],[NETO GRAVADO]:[Otros / No Grav.]])</f>
        <v>143264</v>
      </c>
      <c r="Q91" s="464">
        <f>IFERROR(IF(compras_mes6[[#This Row],[CUIT]]="","-",VLOOKUP(compras_mes6[[#This Row],[CUIT]],Lista_CUIT[#All],3,0)),"CUIT NO CARGADO")</f>
        <v>0</v>
      </c>
      <c r="R91" s="464">
        <f>IFERROR(IF(compras_mes6[[#This Row],[CUIT]]="","-",VLOOKUP(compras_mes6[[#This Row],[CUIT]],Lista_CUIT[#All],4,0)),"CUIT NO CARGADO")</f>
        <v>0</v>
      </c>
    </row>
    <row r="92" spans="2:18" x14ac:dyDescent="0.3">
      <c r="B92" s="456">
        <v>45090</v>
      </c>
      <c r="C92" s="457">
        <v>1</v>
      </c>
      <c r="D92" s="458">
        <v>40</v>
      </c>
      <c r="E92" s="506">
        <v>8515</v>
      </c>
      <c r="F92" s="459">
        <v>30710405413</v>
      </c>
      <c r="G92" s="460" t="str">
        <f>IFERROR(IF(compras_mes6[[#This Row],[CUIT]]="","-",VLOOKUP(compras_mes6[[#This Row],[CUIT]],Lista_CUIT[#All],2,0)),"CUIT NO CARGADO")</f>
        <v>AUTO EQUIPE S.A.</v>
      </c>
      <c r="H92" s="461">
        <v>381685.96</v>
      </c>
      <c r="I92" s="462">
        <f>IF(compras_mes6[[#This Row],[NETO GRAVADO]]="","",compras_mes6[[#This Row],[NETO GRAVADO]]*0.21)</f>
        <v>80154.051600000006</v>
      </c>
      <c r="J92" s="462"/>
      <c r="K92" s="462"/>
      <c r="L92" s="462"/>
      <c r="M92" s="462"/>
      <c r="N92" s="462"/>
      <c r="O92" s="462"/>
      <c r="P92" s="463">
        <f>SUM(compras_mes6[[#This Row],[NETO GRAVADO]:[Otros / No Grav.]])</f>
        <v>461840.01160000003</v>
      </c>
      <c r="Q92" s="464">
        <f>IFERROR(IF(compras_mes6[[#This Row],[CUIT]]="","-",VLOOKUP(compras_mes6[[#This Row],[CUIT]],Lista_CUIT[#All],3,0)),"CUIT NO CARGADO")</f>
        <v>0</v>
      </c>
      <c r="R92" s="464">
        <f>IFERROR(IF(compras_mes6[[#This Row],[CUIT]]="","-",VLOOKUP(compras_mes6[[#This Row],[CUIT]],Lista_CUIT[#All],4,0)),"CUIT NO CARGADO")</f>
        <v>0</v>
      </c>
    </row>
    <row r="93" spans="2:18" x14ac:dyDescent="0.3">
      <c r="B93" s="456">
        <v>45090</v>
      </c>
      <c r="C93" s="457">
        <v>1</v>
      </c>
      <c r="D93" s="458">
        <v>20</v>
      </c>
      <c r="E93" s="506">
        <v>9104</v>
      </c>
      <c r="F93" s="459">
        <v>30515800219</v>
      </c>
      <c r="G93" s="460" t="str">
        <f>IFERROR(IF(compras_mes6[[#This Row],[CUIT]]="","-",VLOOKUP(compras_mes6[[#This Row],[CUIT]],Lista_CUIT[#All],2,0)),"CUIT NO CARGADO")</f>
        <v>INCAT SRL</v>
      </c>
      <c r="H93" s="461">
        <v>816.17</v>
      </c>
      <c r="I93" s="462">
        <f>IF(compras_mes6[[#This Row],[NETO GRAVADO]]="","",compras_mes6[[#This Row],[NETO GRAVADO]]*0.21)</f>
        <v>171.39569999999998</v>
      </c>
      <c r="J93" s="462"/>
      <c r="K93" s="462"/>
      <c r="L93" s="462"/>
      <c r="M93" s="462"/>
      <c r="N93" s="462"/>
      <c r="O93" s="462">
        <v>12.44</v>
      </c>
      <c r="P93" s="463">
        <f>SUM(compras_mes6[[#This Row],[NETO GRAVADO]:[Otros / No Grav.]])</f>
        <v>1000.0056999999999</v>
      </c>
      <c r="Q93" s="464" t="str">
        <f>IFERROR(IF(compras_mes6[[#This Row],[CUIT]]="","-",VLOOKUP(compras_mes6[[#This Row],[CUIT]],Lista_CUIT[#All],3,0)),"CUIT NO CARGADO")</f>
        <v>Combustibe</v>
      </c>
      <c r="R93" s="464" t="str">
        <f>IFERROR(IF(compras_mes6[[#This Row],[CUIT]]="","-",VLOOKUP(compras_mes6[[#This Row],[CUIT]],Lista_CUIT[#All],4,0)),"CUIT NO CARGADO")</f>
        <v>CABA</v>
      </c>
    </row>
    <row r="94" spans="2:18" x14ac:dyDescent="0.3">
      <c r="B94" s="456">
        <v>45090</v>
      </c>
      <c r="C94" s="457">
        <v>1</v>
      </c>
      <c r="D94" s="458">
        <v>1676</v>
      </c>
      <c r="E94" s="506">
        <v>22734</v>
      </c>
      <c r="F94" s="459">
        <v>30589621499</v>
      </c>
      <c r="G94" s="460" t="str">
        <f>IFERROR(IF(compras_mes6[[#This Row],[CUIT]]="","-",VLOOKUP(compras_mes6[[#This Row],[CUIT]],Lista_CUIT[#All],2,0)),"CUIT NO CARGADO")</f>
        <v>MAKRO SA</v>
      </c>
      <c r="H94" s="461">
        <v>32350.59</v>
      </c>
      <c r="I94" s="462">
        <v>6709.96</v>
      </c>
      <c r="J94" s="462"/>
      <c r="K94" s="462">
        <v>41.83</v>
      </c>
      <c r="L94" s="462">
        <v>964.55</v>
      </c>
      <c r="M94" s="462"/>
      <c r="N94" s="462">
        <v>1941.04</v>
      </c>
      <c r="O94" s="462">
        <v>5.58</v>
      </c>
      <c r="P94" s="463">
        <f>SUM(compras_mes6[[#This Row],[NETO GRAVADO]:[Otros / No Grav.]])</f>
        <v>42013.55000000001</v>
      </c>
      <c r="Q94" s="464">
        <f>IFERROR(IF(compras_mes6[[#This Row],[CUIT]]="","-",VLOOKUP(compras_mes6[[#This Row],[CUIT]],Lista_CUIT[#All],3,0)),"CUIT NO CARGADO")</f>
        <v>0</v>
      </c>
      <c r="R94" s="464">
        <f>IFERROR(IF(compras_mes6[[#This Row],[CUIT]]="","-",VLOOKUP(compras_mes6[[#This Row],[CUIT]],Lista_CUIT[#All],4,0)),"CUIT NO CARGADO")</f>
        <v>0</v>
      </c>
    </row>
    <row r="95" spans="2:18" x14ac:dyDescent="0.3">
      <c r="B95" s="456">
        <v>45091</v>
      </c>
      <c r="C95" s="457">
        <v>1</v>
      </c>
      <c r="D95" s="458">
        <v>30</v>
      </c>
      <c r="E95" s="506">
        <v>502</v>
      </c>
      <c r="F95" s="459">
        <v>27293459172</v>
      </c>
      <c r="G95" s="460" t="str">
        <f>IFERROR(IF(compras_mes6[[#This Row],[CUIT]]="","-",VLOOKUP(compras_mes6[[#This Row],[CUIT]],Lista_CUIT[#All],2,0)),"CUIT NO CARGADO")</f>
        <v>DUFFY ESTEFANIA</v>
      </c>
      <c r="H95" s="461">
        <v>172500</v>
      </c>
      <c r="I95" s="462">
        <f>IF(compras_mes6[[#This Row],[NETO GRAVADO]]="","",compras_mes6[[#This Row],[NETO GRAVADO]]*0.21)</f>
        <v>36225</v>
      </c>
      <c r="J95" s="462"/>
      <c r="K95" s="462"/>
      <c r="L95" s="462"/>
      <c r="M95" s="462"/>
      <c r="N95" s="462"/>
      <c r="O95" s="462"/>
      <c r="P95" s="463">
        <f>SUM(compras_mes6[[#This Row],[NETO GRAVADO]:[Otros / No Grav.]])</f>
        <v>208725</v>
      </c>
      <c r="Q95" s="464">
        <f>IFERROR(IF(compras_mes6[[#This Row],[CUIT]]="","-",VLOOKUP(compras_mes6[[#This Row],[CUIT]],Lista_CUIT[#All],3,0)),"CUIT NO CARGADO")</f>
        <v>0</v>
      </c>
      <c r="R95" s="464">
        <f>IFERROR(IF(compras_mes6[[#This Row],[CUIT]]="","-",VLOOKUP(compras_mes6[[#This Row],[CUIT]],Lista_CUIT[#All],4,0)),"CUIT NO CARGADO")</f>
        <v>0</v>
      </c>
    </row>
    <row r="96" spans="2:18" x14ac:dyDescent="0.3">
      <c r="B96" s="456">
        <v>45091</v>
      </c>
      <c r="C96" s="457">
        <v>1</v>
      </c>
      <c r="D96" s="458">
        <v>6</v>
      </c>
      <c r="E96" s="506">
        <v>2630</v>
      </c>
      <c r="F96" s="459">
        <v>30574603788</v>
      </c>
      <c r="G96" s="460" t="str">
        <f>IFERROR(IF(compras_mes6[[#This Row],[CUIT]]="","-",VLOOKUP(compras_mes6[[#This Row],[CUIT]],Lista_CUIT[#All],2,0)),"CUIT NO CARGADO")</f>
        <v>CODAC SRL</v>
      </c>
      <c r="H96" s="461">
        <v>845100</v>
      </c>
      <c r="I96" s="462">
        <f>IF(compras_mes6[[#This Row],[NETO GRAVADO]]="","",compras_mes6[[#This Row],[NETO GRAVADO]]*0.21)</f>
        <v>177471</v>
      </c>
      <c r="J96" s="462"/>
      <c r="K96" s="462"/>
      <c r="L96" s="462"/>
      <c r="M96" s="462"/>
      <c r="N96" s="462"/>
      <c r="O96" s="462"/>
      <c r="P96" s="463">
        <f>SUM(compras_mes6[[#This Row],[NETO GRAVADO]:[Otros / No Grav.]])</f>
        <v>1022571</v>
      </c>
      <c r="Q96" s="464" t="str">
        <f>IFERROR(IF(compras_mes6[[#This Row],[CUIT]]="","-",VLOOKUP(compras_mes6[[#This Row],[CUIT]],Lista_CUIT[#All],3,0)),"CUIT NO CARGADO")</f>
        <v>GASTOS COSMETICA</v>
      </c>
      <c r="R96" s="464" t="str">
        <f>IFERROR(IF(compras_mes6[[#This Row],[CUIT]]="","-",VLOOKUP(compras_mes6[[#This Row],[CUIT]],Lista_CUIT[#All],4,0)),"CUIT NO CARGADO")</f>
        <v>BUENOS AIRES</v>
      </c>
    </row>
    <row r="97" spans="2:18" x14ac:dyDescent="0.3">
      <c r="B97" s="456">
        <v>45091</v>
      </c>
      <c r="C97" s="457">
        <v>1</v>
      </c>
      <c r="D97" s="458">
        <v>2</v>
      </c>
      <c r="E97" s="506">
        <v>5990</v>
      </c>
      <c r="F97" s="459">
        <v>23180288899</v>
      </c>
      <c r="G97" s="460" t="str">
        <f>IFERROR(IF(compras_mes6[[#This Row],[CUIT]]="","-",VLOOKUP(compras_mes6[[#This Row],[CUIT]],Lista_CUIT[#All],2,0)),"CUIT NO CARGADO")</f>
        <v>ROMERO EMILIO</v>
      </c>
      <c r="H97" s="461">
        <v>80000</v>
      </c>
      <c r="I97" s="462">
        <f>IF(compras_mes6[[#This Row],[NETO GRAVADO]]="","",compras_mes6[[#This Row],[NETO GRAVADO]]*0.21)</f>
        <v>16800</v>
      </c>
      <c r="J97" s="462"/>
      <c r="K97" s="462"/>
      <c r="L97" s="462"/>
      <c r="M97" s="462"/>
      <c r="N97" s="462"/>
      <c r="O97" s="462"/>
      <c r="P97" s="463">
        <f>SUM(compras_mes6[[#This Row],[NETO GRAVADO]:[Otros / No Grav.]])</f>
        <v>96800</v>
      </c>
      <c r="Q97" s="464">
        <f>IFERROR(IF(compras_mes6[[#This Row],[CUIT]]="","-",VLOOKUP(compras_mes6[[#This Row],[CUIT]],Lista_CUIT[#All],3,0)),"CUIT NO CARGADO")</f>
        <v>0</v>
      </c>
      <c r="R97" s="464">
        <f>IFERROR(IF(compras_mes6[[#This Row],[CUIT]]="","-",VLOOKUP(compras_mes6[[#This Row],[CUIT]],Lista_CUIT[#All],4,0)),"CUIT NO CARGADO")</f>
        <v>0</v>
      </c>
    </row>
    <row r="98" spans="2:18" x14ac:dyDescent="0.3">
      <c r="B98" s="456">
        <v>45091</v>
      </c>
      <c r="C98" s="457">
        <v>1</v>
      </c>
      <c r="D98" s="458">
        <v>2</v>
      </c>
      <c r="E98" s="506">
        <v>5991</v>
      </c>
      <c r="F98" s="459">
        <v>23180288899</v>
      </c>
      <c r="G98" s="460" t="str">
        <f>IFERROR(IF(compras_mes6[[#This Row],[CUIT]]="","-",VLOOKUP(compras_mes6[[#This Row],[CUIT]],Lista_CUIT[#All],2,0)),"CUIT NO CARGADO")</f>
        <v>ROMERO EMILIO</v>
      </c>
      <c r="H98" s="461">
        <v>80000</v>
      </c>
      <c r="I98" s="462">
        <f>IF(compras_mes6[[#This Row],[NETO GRAVADO]]="","",compras_mes6[[#This Row],[NETO GRAVADO]]*0.21)</f>
        <v>16800</v>
      </c>
      <c r="J98" s="462"/>
      <c r="K98" s="462"/>
      <c r="L98" s="462"/>
      <c r="M98" s="462"/>
      <c r="N98" s="462"/>
      <c r="O98" s="462"/>
      <c r="P98" s="463">
        <f>SUM(compras_mes6[[#This Row],[NETO GRAVADO]:[Otros / No Grav.]])</f>
        <v>96800</v>
      </c>
      <c r="Q98" s="464">
        <f>IFERROR(IF(compras_mes6[[#This Row],[CUIT]]="","-",VLOOKUP(compras_mes6[[#This Row],[CUIT]],Lista_CUIT[#All],3,0)),"CUIT NO CARGADO")</f>
        <v>0</v>
      </c>
      <c r="R98" s="464">
        <f>IFERROR(IF(compras_mes6[[#This Row],[CUIT]]="","-",VLOOKUP(compras_mes6[[#This Row],[CUIT]],Lista_CUIT[#All],4,0)),"CUIT NO CARGADO")</f>
        <v>0</v>
      </c>
    </row>
    <row r="99" spans="2:18" x14ac:dyDescent="0.3">
      <c r="B99" s="456">
        <v>45091</v>
      </c>
      <c r="C99" s="457">
        <v>1</v>
      </c>
      <c r="D99" s="458">
        <v>2</v>
      </c>
      <c r="E99" s="506">
        <v>5992</v>
      </c>
      <c r="F99" s="459">
        <v>23180288899</v>
      </c>
      <c r="G99" s="460" t="str">
        <f>IFERROR(IF(compras_mes6[[#This Row],[CUIT]]="","-",VLOOKUP(compras_mes6[[#This Row],[CUIT]],Lista_CUIT[#All],2,0)),"CUIT NO CARGADO")</f>
        <v>ROMERO EMILIO</v>
      </c>
      <c r="H99" s="461">
        <v>80000</v>
      </c>
      <c r="I99" s="462">
        <f>IF(compras_mes6[[#This Row],[NETO GRAVADO]]="","",compras_mes6[[#This Row],[NETO GRAVADO]]*0.21)</f>
        <v>16800</v>
      </c>
      <c r="J99" s="462"/>
      <c r="K99" s="462"/>
      <c r="L99" s="462"/>
      <c r="M99" s="462"/>
      <c r="N99" s="462"/>
      <c r="O99" s="462"/>
      <c r="P99" s="463">
        <f>SUM(compras_mes6[[#This Row],[NETO GRAVADO]:[Otros / No Grav.]])</f>
        <v>96800</v>
      </c>
      <c r="Q99" s="464">
        <f>IFERROR(IF(compras_mes6[[#This Row],[CUIT]]="","-",VLOOKUP(compras_mes6[[#This Row],[CUIT]],Lista_CUIT[#All],3,0)),"CUIT NO CARGADO")</f>
        <v>0</v>
      </c>
      <c r="R99" s="464">
        <f>IFERROR(IF(compras_mes6[[#This Row],[CUIT]]="","-",VLOOKUP(compras_mes6[[#This Row],[CUIT]],Lista_CUIT[#All],4,0)),"CUIT NO CARGADO")</f>
        <v>0</v>
      </c>
    </row>
    <row r="100" spans="2:18" x14ac:dyDescent="0.3">
      <c r="B100" s="456">
        <v>45091</v>
      </c>
      <c r="C100" s="457">
        <v>1</v>
      </c>
      <c r="D100" s="458">
        <v>20</v>
      </c>
      <c r="E100" s="506">
        <v>9124</v>
      </c>
      <c r="F100" s="459">
        <v>30515800219</v>
      </c>
      <c r="G100" s="460" t="str">
        <f>IFERROR(IF(compras_mes6[[#This Row],[CUIT]]="","-",VLOOKUP(compras_mes6[[#This Row],[CUIT]],Lista_CUIT[#All],2,0)),"CUIT NO CARGADO")</f>
        <v>INCAT SRL</v>
      </c>
      <c r="H100" s="461">
        <v>816.17</v>
      </c>
      <c r="I100" s="462">
        <f>IF(compras_mes6[[#This Row],[NETO GRAVADO]]="","",compras_mes6[[#This Row],[NETO GRAVADO]]*0.21)</f>
        <v>171.39569999999998</v>
      </c>
      <c r="J100" s="462"/>
      <c r="K100" s="462"/>
      <c r="L100" s="462"/>
      <c r="M100" s="462"/>
      <c r="N100" s="462"/>
      <c r="O100" s="462">
        <v>12.44</v>
      </c>
      <c r="P100" s="463">
        <f>SUM(compras_mes6[[#This Row],[NETO GRAVADO]:[Otros / No Grav.]])</f>
        <v>1000.0056999999999</v>
      </c>
      <c r="Q100" s="464" t="str">
        <f>IFERROR(IF(compras_mes6[[#This Row],[CUIT]]="","-",VLOOKUP(compras_mes6[[#This Row],[CUIT]],Lista_CUIT[#All],3,0)),"CUIT NO CARGADO")</f>
        <v>Combustibe</v>
      </c>
      <c r="R100" s="464" t="str">
        <f>IFERROR(IF(compras_mes6[[#This Row],[CUIT]]="","-",VLOOKUP(compras_mes6[[#This Row],[CUIT]],Lista_CUIT[#All],4,0)),"CUIT NO CARGADO")</f>
        <v>CABA</v>
      </c>
    </row>
    <row r="101" spans="2:18" x14ac:dyDescent="0.3">
      <c r="B101" s="456">
        <v>45091</v>
      </c>
      <c r="C101" s="457">
        <v>1</v>
      </c>
      <c r="D101" s="458">
        <v>39</v>
      </c>
      <c r="E101" s="506">
        <v>9995</v>
      </c>
      <c r="F101" s="459">
        <v>30637769002</v>
      </c>
      <c r="G101" s="460" t="str">
        <f>IFERROR(IF(compras_mes6[[#This Row],[CUIT]]="","-",VLOOKUP(compras_mes6[[#This Row],[CUIT]],Lista_CUIT[#All],2,0)),"CUIT NO CARGADO")</f>
        <v>ROCCA COMBUSTIBLES  S A</v>
      </c>
      <c r="H101" s="461">
        <v>2895.67</v>
      </c>
      <c r="I101" s="462">
        <f>IF(compras_mes6[[#This Row],[NETO GRAVADO]]="","",compras_mes6[[#This Row],[NETO GRAVADO]]*0.21)</f>
        <v>608.09069999999997</v>
      </c>
      <c r="J101" s="462"/>
      <c r="K101" s="462"/>
      <c r="L101" s="462"/>
      <c r="M101" s="462"/>
      <c r="N101" s="462"/>
      <c r="O101" s="462">
        <v>670</v>
      </c>
      <c r="P101" s="463">
        <f>SUM(compras_mes6[[#This Row],[NETO GRAVADO]:[Otros / No Grav.]])</f>
        <v>4173.7606999999998</v>
      </c>
      <c r="Q101" s="464">
        <f>IFERROR(IF(compras_mes6[[#This Row],[CUIT]]="","-",VLOOKUP(compras_mes6[[#This Row],[CUIT]],Lista_CUIT[#All],3,0)),"CUIT NO CARGADO")</f>
        <v>0</v>
      </c>
      <c r="R101" s="464">
        <f>IFERROR(IF(compras_mes6[[#This Row],[CUIT]]="","-",VLOOKUP(compras_mes6[[#This Row],[CUIT]],Lista_CUIT[#All],4,0)),"CUIT NO CARGADO")</f>
        <v>0</v>
      </c>
    </row>
    <row r="102" spans="2:18" x14ac:dyDescent="0.3">
      <c r="B102" s="456">
        <v>45092</v>
      </c>
      <c r="C102" s="457">
        <v>1</v>
      </c>
      <c r="D102" s="458">
        <v>5</v>
      </c>
      <c r="E102" s="506">
        <v>526</v>
      </c>
      <c r="F102" s="459">
        <v>30716654105</v>
      </c>
      <c r="G102" s="460" t="str">
        <f>IFERROR(IF(compras_mes6[[#This Row],[CUIT]]="","-",VLOOKUP(compras_mes6[[#This Row],[CUIT]],Lista_CUIT[#All],2,0)),"CUIT NO CARGADO")</f>
        <v>CARNICA DEL NORTE S.R.L.</v>
      </c>
      <c r="H102" s="461">
        <v>14984.52</v>
      </c>
      <c r="I102" s="462"/>
      <c r="J102" s="462"/>
      <c r="K102" s="462">
        <v>1573.37</v>
      </c>
      <c r="L102" s="462"/>
      <c r="M102" s="462"/>
      <c r="N102" s="462"/>
      <c r="O102" s="462"/>
      <c r="P102" s="463">
        <f>SUM(compras_mes6[[#This Row],[NETO GRAVADO]:[Otros / No Grav.]])</f>
        <v>16557.89</v>
      </c>
      <c r="Q102" s="464">
        <f>IFERROR(IF(compras_mes6[[#This Row],[CUIT]]="","-",VLOOKUP(compras_mes6[[#This Row],[CUIT]],Lista_CUIT[#All],3,0)),"CUIT NO CARGADO")</f>
        <v>0</v>
      </c>
      <c r="R102" s="464">
        <f>IFERROR(IF(compras_mes6[[#This Row],[CUIT]]="","-",VLOOKUP(compras_mes6[[#This Row],[CUIT]],Lista_CUIT[#All],4,0)),"CUIT NO CARGADO")</f>
        <v>0</v>
      </c>
    </row>
    <row r="103" spans="2:18" x14ac:dyDescent="0.3">
      <c r="B103" s="486">
        <v>45092</v>
      </c>
      <c r="C103" s="250">
        <v>1</v>
      </c>
      <c r="D103" s="487">
        <v>8</v>
      </c>
      <c r="E103" s="488">
        <v>2110</v>
      </c>
      <c r="F103" s="476">
        <v>30712210636</v>
      </c>
      <c r="G103" s="489" t="str">
        <f>IFERROR(IF(compras_mes6[[#This Row],[CUIT]]="","-",VLOOKUP(compras_mes6[[#This Row],[CUIT]],Lista_CUIT[#All],2,0)),"CUIT NO CARGADO")</f>
        <v>BARRERA RICARDO DARIO Y HUBY GANOZA JIMMY  SOCIEDAD DE HECHO</v>
      </c>
      <c r="H103" s="490">
        <v>6157</v>
      </c>
      <c r="I103" s="491">
        <f>IF(compras_mes6[[#This Row],[NETO GRAVADO]]="","",compras_mes6[[#This Row],[NETO GRAVADO]]*0.21)</f>
        <v>1292.97</v>
      </c>
      <c r="J103" s="491"/>
      <c r="K103" s="491"/>
      <c r="L103" s="491"/>
      <c r="M103" s="491"/>
      <c r="N103" s="491"/>
      <c r="O103" s="491"/>
      <c r="P103" s="492">
        <f>SUM(compras_mes6[[#This Row],[NETO GRAVADO]:[Otros / No Grav.]])</f>
        <v>7449.97</v>
      </c>
      <c r="Q103" s="493">
        <f>IFERROR(IF(compras_mes6[[#This Row],[CUIT]]="","-",VLOOKUP(compras_mes6[[#This Row],[CUIT]],Lista_CUIT[#All],3,0)),"CUIT NO CARGADO")</f>
        <v>0</v>
      </c>
      <c r="R103" s="493">
        <f>IFERROR(IF(compras_mes6[[#This Row],[CUIT]]="","-",VLOOKUP(compras_mes6[[#This Row],[CUIT]],Lista_CUIT[#All],4,0)),"CUIT NO CARGADO")</f>
        <v>0</v>
      </c>
    </row>
    <row r="104" spans="2:18" x14ac:dyDescent="0.3">
      <c r="B104" s="486">
        <v>45092</v>
      </c>
      <c r="C104" s="250">
        <v>1</v>
      </c>
      <c r="D104" s="487">
        <v>8</v>
      </c>
      <c r="E104" s="488">
        <v>2111</v>
      </c>
      <c r="F104" s="476">
        <v>30712210636</v>
      </c>
      <c r="G104" s="489" t="str">
        <f>IFERROR(IF(compras_mes6[[#This Row],[CUIT]]="","-",VLOOKUP(compras_mes6[[#This Row],[CUIT]],Lista_CUIT[#All],2,0)),"CUIT NO CARGADO")</f>
        <v>BARRERA RICARDO DARIO Y HUBY GANOZA JIMMY  SOCIEDAD DE HECHO</v>
      </c>
      <c r="H104" s="490">
        <v>6198.33</v>
      </c>
      <c r="I104" s="491">
        <f>IF(compras_mes6[[#This Row],[NETO GRAVADO]]="","",compras_mes6[[#This Row],[NETO GRAVADO]]*0.21)</f>
        <v>1301.6493</v>
      </c>
      <c r="J104" s="491"/>
      <c r="K104" s="491"/>
      <c r="L104" s="491"/>
      <c r="M104" s="491"/>
      <c r="N104" s="491"/>
      <c r="O104" s="491"/>
      <c r="P104" s="492">
        <f>SUM(compras_mes6[[#This Row],[NETO GRAVADO]:[Otros / No Grav.]])</f>
        <v>7499.9793</v>
      </c>
      <c r="Q104" s="493">
        <f>IFERROR(IF(compras_mes6[[#This Row],[CUIT]]="","-",VLOOKUP(compras_mes6[[#This Row],[CUIT]],Lista_CUIT[#All],3,0)),"CUIT NO CARGADO")</f>
        <v>0</v>
      </c>
      <c r="R104" s="493">
        <f>IFERROR(IF(compras_mes6[[#This Row],[CUIT]]="","-",VLOOKUP(compras_mes6[[#This Row],[CUIT]],Lista_CUIT[#All],4,0)),"CUIT NO CARGADO")</f>
        <v>0</v>
      </c>
    </row>
    <row r="105" spans="2:18" x14ac:dyDescent="0.3">
      <c r="B105" s="456">
        <v>45092</v>
      </c>
      <c r="C105" s="457">
        <v>1</v>
      </c>
      <c r="D105" s="458">
        <v>3</v>
      </c>
      <c r="E105" s="506">
        <v>2456</v>
      </c>
      <c r="F105" s="459">
        <v>30621927252</v>
      </c>
      <c r="G105" s="460" t="str">
        <f>IFERROR(IF(compras_mes6[[#This Row],[CUIT]]="","-",VLOOKUP(compras_mes6[[#This Row],[CUIT]],Lista_CUIT[#All],2,0)),"CUIT NO CARGADO")</f>
        <v>PERALBA SOCIEDAD ANONIMA</v>
      </c>
      <c r="H105" s="461">
        <v>175000</v>
      </c>
      <c r="I105" s="462">
        <f>IF(compras_mes6[[#This Row],[NETO GRAVADO]]="","",compras_mes6[[#This Row],[NETO GRAVADO]]*0.21)</f>
        <v>36750</v>
      </c>
      <c r="J105" s="462"/>
      <c r="K105" s="462"/>
      <c r="L105" s="462"/>
      <c r="M105" s="462"/>
      <c r="N105" s="462"/>
      <c r="O105" s="462"/>
      <c r="P105" s="463">
        <f>SUM(compras_mes6[[#This Row],[NETO GRAVADO]:[Otros / No Grav.]])</f>
        <v>211750</v>
      </c>
      <c r="Q105" s="464">
        <f>IFERROR(IF(compras_mes6[[#This Row],[CUIT]]="","-",VLOOKUP(compras_mes6[[#This Row],[CUIT]],Lista_CUIT[#All],3,0)),"CUIT NO CARGADO")</f>
        <v>0</v>
      </c>
      <c r="R105" s="464">
        <f>IFERROR(IF(compras_mes6[[#This Row],[CUIT]]="","-",VLOOKUP(compras_mes6[[#This Row],[CUIT]],Lista_CUIT[#All],4,0)),"CUIT NO CARGADO")</f>
        <v>0</v>
      </c>
    </row>
    <row r="106" spans="2:18" x14ac:dyDescent="0.3">
      <c r="B106" s="456">
        <v>45092</v>
      </c>
      <c r="C106" s="457">
        <v>1</v>
      </c>
      <c r="D106" s="458">
        <v>20</v>
      </c>
      <c r="E106" s="506">
        <v>9142</v>
      </c>
      <c r="F106" s="459">
        <v>30515800219</v>
      </c>
      <c r="G106" s="460" t="str">
        <f>IFERROR(IF(compras_mes6[[#This Row],[CUIT]]="","-",VLOOKUP(compras_mes6[[#This Row],[CUIT]],Lista_CUIT[#All],2,0)),"CUIT NO CARGADO")</f>
        <v>INCAT SRL</v>
      </c>
      <c r="H106" s="461">
        <v>816.19</v>
      </c>
      <c r="I106" s="462">
        <f>IF(compras_mes6[[#This Row],[NETO GRAVADO]]="","",compras_mes6[[#This Row],[NETO GRAVADO]]*0.21)</f>
        <v>171.3999</v>
      </c>
      <c r="J106" s="462"/>
      <c r="K106" s="462"/>
      <c r="L106" s="462"/>
      <c r="M106" s="462"/>
      <c r="N106" s="462"/>
      <c r="O106" s="462">
        <v>12.44</v>
      </c>
      <c r="P106" s="463">
        <f>SUM(compras_mes6[[#This Row],[NETO GRAVADO]:[Otros / No Grav.]])</f>
        <v>1000.0299000000001</v>
      </c>
      <c r="Q106" s="464" t="str">
        <f>IFERROR(IF(compras_mes6[[#This Row],[CUIT]]="","-",VLOOKUP(compras_mes6[[#This Row],[CUIT]],Lista_CUIT[#All],3,0)),"CUIT NO CARGADO")</f>
        <v>Combustibe</v>
      </c>
      <c r="R106" s="464" t="str">
        <f>IFERROR(IF(compras_mes6[[#This Row],[CUIT]]="","-",VLOOKUP(compras_mes6[[#This Row],[CUIT]],Lista_CUIT[#All],4,0)),"CUIT NO CARGADO")</f>
        <v>CABA</v>
      </c>
    </row>
    <row r="107" spans="2:18" x14ac:dyDescent="0.3">
      <c r="B107" s="486">
        <v>45092</v>
      </c>
      <c r="C107" s="250">
        <v>1</v>
      </c>
      <c r="D107" s="487">
        <v>4264</v>
      </c>
      <c r="E107" s="488">
        <v>2060925</v>
      </c>
      <c r="F107" s="476">
        <v>30639453738</v>
      </c>
      <c r="G107" s="489" t="str">
        <f>IFERROR(IF(compras_mes6[[#This Row],[CUIT]]="","-",VLOOKUP(compras_mes6[[#This Row],[CUIT]],Lista_CUIT[#All],2,0)),"CUIT NO CARGADO")</f>
        <v>TELECOM ARG SA</v>
      </c>
      <c r="H107" s="490">
        <v>15000</v>
      </c>
      <c r="I107" s="491">
        <f>IF(compras_mes6[[#This Row],[NETO GRAVADO]]="","",compras_mes6[[#This Row],[NETO GRAVADO]]*0.21)</f>
        <v>3150</v>
      </c>
      <c r="J107" s="491"/>
      <c r="K107" s="491"/>
      <c r="L107" s="491"/>
      <c r="M107" s="491"/>
      <c r="N107" s="491">
        <v>1350</v>
      </c>
      <c r="O107" s="491"/>
      <c r="P107" s="492">
        <f>SUM(compras_mes6[[#This Row],[NETO GRAVADO]:[Otros / No Grav.]])</f>
        <v>19500</v>
      </c>
      <c r="Q107" s="493" t="str">
        <f>IFERROR(IF(compras_mes6[[#This Row],[CUIT]]="","-",VLOOKUP(compras_mes6[[#This Row],[CUIT]],Lista_CUIT[#All],3,0)),"CUIT NO CARGADO")</f>
        <v>Servicios Gas, Luz, etc.</v>
      </c>
      <c r="R107" s="493">
        <f>IFERROR(IF(compras_mes6[[#This Row],[CUIT]]="","-",VLOOKUP(compras_mes6[[#This Row],[CUIT]],Lista_CUIT[#All],4,0)),"CUIT NO CARGADO")</f>
        <v>0</v>
      </c>
    </row>
    <row r="108" spans="2:18" x14ac:dyDescent="0.3">
      <c r="B108" s="486">
        <v>45092</v>
      </c>
      <c r="C108" s="250">
        <v>1</v>
      </c>
      <c r="D108" s="487">
        <v>4264</v>
      </c>
      <c r="E108" s="488">
        <v>2065063</v>
      </c>
      <c r="F108" s="476">
        <v>30639453738</v>
      </c>
      <c r="G108" s="489" t="str">
        <f>IFERROR(IF(compras_mes6[[#This Row],[CUIT]]="","-",VLOOKUP(compras_mes6[[#This Row],[CUIT]],Lista_CUIT[#All],2,0)),"CUIT NO CARGADO")</f>
        <v>TELECOM ARG SA</v>
      </c>
      <c r="H108" s="490">
        <v>11200</v>
      </c>
      <c r="I108" s="491">
        <f>IF(compras_mes6[[#This Row],[NETO GRAVADO]]="","",compras_mes6[[#This Row],[NETO GRAVADO]]*0.21)</f>
        <v>2352</v>
      </c>
      <c r="J108" s="491"/>
      <c r="K108" s="491"/>
      <c r="L108" s="491"/>
      <c r="M108" s="491"/>
      <c r="N108" s="491">
        <v>336</v>
      </c>
      <c r="O108" s="491"/>
      <c r="P108" s="492">
        <f>SUM(compras_mes6[[#This Row],[NETO GRAVADO]:[Otros / No Grav.]])</f>
        <v>13888</v>
      </c>
      <c r="Q108" s="493" t="str">
        <f>IFERROR(IF(compras_mes6[[#This Row],[CUIT]]="","-",VLOOKUP(compras_mes6[[#This Row],[CUIT]],Lista_CUIT[#All],3,0)),"CUIT NO CARGADO")</f>
        <v>Servicios Gas, Luz, etc.</v>
      </c>
      <c r="R108" s="493">
        <f>IFERROR(IF(compras_mes6[[#This Row],[CUIT]]="","-",VLOOKUP(compras_mes6[[#This Row],[CUIT]],Lista_CUIT[#All],4,0)),"CUIT NO CARGADO")</f>
        <v>0</v>
      </c>
    </row>
    <row r="109" spans="2:18" x14ac:dyDescent="0.3">
      <c r="B109" s="486">
        <v>45092</v>
      </c>
      <c r="C109" s="250">
        <v>1</v>
      </c>
      <c r="D109" s="487">
        <v>4264</v>
      </c>
      <c r="E109" s="488">
        <v>2112979</v>
      </c>
      <c r="F109" s="476">
        <v>30639453738</v>
      </c>
      <c r="G109" s="489" t="str">
        <f>IFERROR(IF(compras_mes6[[#This Row],[CUIT]]="","-",VLOOKUP(compras_mes6[[#This Row],[CUIT]],Lista_CUIT[#All],2,0)),"CUIT NO CARGADO")</f>
        <v>TELECOM ARG SA</v>
      </c>
      <c r="H109" s="490">
        <v>23550</v>
      </c>
      <c r="I109" s="491">
        <f>IF(compras_mes6[[#This Row],[NETO GRAVADO]]="","",compras_mes6[[#This Row],[NETO GRAVADO]]*0.21)</f>
        <v>4945.5</v>
      </c>
      <c r="J109" s="491"/>
      <c r="K109" s="491"/>
      <c r="L109" s="491"/>
      <c r="M109" s="491"/>
      <c r="N109" s="491">
        <v>2119.5</v>
      </c>
      <c r="O109" s="491"/>
      <c r="P109" s="492">
        <f>SUM(compras_mes6[[#This Row],[NETO GRAVADO]:[Otros / No Grav.]])</f>
        <v>30615</v>
      </c>
      <c r="Q109" s="493" t="str">
        <f>IFERROR(IF(compras_mes6[[#This Row],[CUIT]]="","-",VLOOKUP(compras_mes6[[#This Row],[CUIT]],Lista_CUIT[#All],3,0)),"CUIT NO CARGADO")</f>
        <v>Servicios Gas, Luz, etc.</v>
      </c>
      <c r="R109" s="493">
        <f>IFERROR(IF(compras_mes6[[#This Row],[CUIT]]="","-",VLOOKUP(compras_mes6[[#This Row],[CUIT]],Lista_CUIT[#All],4,0)),"CUIT NO CARGADO")</f>
        <v>0</v>
      </c>
    </row>
    <row r="110" spans="2:18" x14ac:dyDescent="0.3">
      <c r="B110" s="486">
        <v>45092</v>
      </c>
      <c r="C110" s="250">
        <v>1</v>
      </c>
      <c r="D110" s="487">
        <v>3034</v>
      </c>
      <c r="E110" s="488">
        <v>3915023</v>
      </c>
      <c r="F110" s="476">
        <v>30708574836</v>
      </c>
      <c r="G110" s="489" t="str">
        <f>IFERROR(IF(compras_mes6[[#This Row],[CUIT]]="","-",VLOOKUP(compras_mes6[[#This Row],[CUIT]],Lista_CUIT[#All],2,0)),"CUIT NO CARGADO")</f>
        <v>CORREO OFICIAL DE LA REPUBLICA ARGENTINA SOCIEDAD ANONIMA</v>
      </c>
      <c r="H110" s="490">
        <v>1361.13</v>
      </c>
      <c r="I110" s="491">
        <f>IF(compras_mes6[[#This Row],[NETO GRAVADO]]="","",compras_mes6[[#This Row],[NETO GRAVADO]]*0.21)</f>
        <v>285.83730000000003</v>
      </c>
      <c r="J110" s="491"/>
      <c r="K110" s="491"/>
      <c r="L110" s="491"/>
      <c r="M110" s="491"/>
      <c r="N110" s="491"/>
      <c r="O110" s="491"/>
      <c r="P110" s="492">
        <f>SUM(compras_mes6[[#This Row],[NETO GRAVADO]:[Otros / No Grav.]])</f>
        <v>1646.9673000000003</v>
      </c>
      <c r="Q110" s="493" t="str">
        <f>IFERROR(IF(compras_mes6[[#This Row],[CUIT]]="","-",VLOOKUP(compras_mes6[[#This Row],[CUIT]],Lista_CUIT[#All],3,0)),"CUIT NO CARGADO")</f>
        <v>MESAJERIA</v>
      </c>
      <c r="R110" s="493">
        <f>IFERROR(IF(compras_mes6[[#This Row],[CUIT]]="","-",VLOOKUP(compras_mes6[[#This Row],[CUIT]],Lista_CUIT[#All],4,0)),"CUIT NO CARGADO")</f>
        <v>0</v>
      </c>
    </row>
    <row r="111" spans="2:18" x14ac:dyDescent="0.3">
      <c r="B111" s="456">
        <v>45093</v>
      </c>
      <c r="C111" s="457">
        <v>2</v>
      </c>
      <c r="D111" s="458">
        <v>4</v>
      </c>
      <c r="E111" s="506">
        <v>1368</v>
      </c>
      <c r="F111" s="459">
        <v>30710688180</v>
      </c>
      <c r="G111" s="460" t="str">
        <f>IFERROR(IF(compras_mes6[[#This Row],[CUIT]]="","-",VLOOKUP(compras_mes6[[#This Row],[CUIT]],Lista_CUIT[#All],2,0)),"CUIT NO CARGADO")</f>
        <v>DALTOSUR S.R.L.</v>
      </c>
      <c r="H111" s="461">
        <v>41148.76</v>
      </c>
      <c r="I111" s="462">
        <f>IF(compras_mes6[[#This Row],[NETO GRAVADO]]="","",compras_mes6[[#This Row],[NETO GRAVADO]]*0.21)</f>
        <v>8641.2396000000008</v>
      </c>
      <c r="J111" s="462"/>
      <c r="K111" s="462"/>
      <c r="L111" s="462"/>
      <c r="M111" s="462"/>
      <c r="N111" s="462">
        <v>2468.9299999999998</v>
      </c>
      <c r="O111" s="462"/>
      <c r="P111" s="463">
        <f>SUM(compras_mes6[[#This Row],[NETO GRAVADO]:[Otros / No Grav.]])</f>
        <v>52258.929600000003</v>
      </c>
      <c r="Q111" s="464">
        <f>IFERROR(IF(compras_mes6[[#This Row],[CUIT]]="","-",VLOOKUP(compras_mes6[[#This Row],[CUIT]],Lista_CUIT[#All],3,0)),"CUIT NO CARGADO")</f>
        <v>0</v>
      </c>
      <c r="R111" s="464">
        <f>IFERROR(IF(compras_mes6[[#This Row],[CUIT]]="","-",VLOOKUP(compras_mes6[[#This Row],[CUIT]],Lista_CUIT[#All],4,0)),"CUIT NO CARGADO")</f>
        <v>0</v>
      </c>
    </row>
    <row r="112" spans="2:18" x14ac:dyDescent="0.3">
      <c r="B112" s="456">
        <v>45093</v>
      </c>
      <c r="C112" s="457">
        <v>1</v>
      </c>
      <c r="D112" s="458">
        <v>4</v>
      </c>
      <c r="E112" s="506">
        <v>2038</v>
      </c>
      <c r="F112" s="459">
        <v>30715946250</v>
      </c>
      <c r="G112" s="460" t="str">
        <f>IFERROR(IF(compras_mes6[[#This Row],[CUIT]]="","-",VLOOKUP(compras_mes6[[#This Row],[CUIT]],Lista_CUIT[#All],2,0)),"CUIT NO CARGADO")</f>
        <v>GLOBAL AESTHETICS PRODUCTS AND SERVICES SRL</v>
      </c>
      <c r="H112" s="461">
        <v>1160940.8</v>
      </c>
      <c r="I112" s="462">
        <f>IF(compras_mes6[[#This Row],[NETO GRAVADO]]="","",compras_mes6[[#This Row],[NETO GRAVADO]]*0.21)</f>
        <v>243797.568</v>
      </c>
      <c r="J112" s="462"/>
      <c r="K112" s="462"/>
      <c r="L112" s="462"/>
      <c r="M112" s="462"/>
      <c r="N112" s="462"/>
      <c r="O112" s="462"/>
      <c r="P112" s="463">
        <f>SUM(compras_mes6[[#This Row],[NETO GRAVADO]:[Otros / No Grav.]])</f>
        <v>1404738.368</v>
      </c>
      <c r="Q112" s="464" t="str">
        <f>IFERROR(IF(compras_mes6[[#This Row],[CUIT]]="","-",VLOOKUP(compras_mes6[[#This Row],[CUIT]],Lista_CUIT[#All],3,0)),"CUIT NO CARGADO")</f>
        <v>aparatos</v>
      </c>
      <c r="R112" s="464">
        <f>IFERROR(IF(compras_mes6[[#This Row],[CUIT]]="","-",VLOOKUP(compras_mes6[[#This Row],[CUIT]],Lista_CUIT[#All],4,0)),"CUIT NO CARGADO")</f>
        <v>0</v>
      </c>
    </row>
    <row r="113" spans="2:18" x14ac:dyDescent="0.3">
      <c r="B113" s="456">
        <v>45093</v>
      </c>
      <c r="C113" s="457">
        <v>1</v>
      </c>
      <c r="D113" s="458">
        <v>9</v>
      </c>
      <c r="E113" s="506">
        <v>6288</v>
      </c>
      <c r="F113" s="459">
        <v>30583747482</v>
      </c>
      <c r="G113" s="460" t="str">
        <f>IFERROR(IF(compras_mes6[[#This Row],[CUIT]]="","-",VLOOKUP(compras_mes6[[#This Row],[CUIT]],Lista_CUIT[#All],2,0)),"CUIT NO CARGADO")</f>
        <v>SUPER SEVICIOS OLIVOS SRL</v>
      </c>
      <c r="H113" s="461">
        <v>5391.85</v>
      </c>
      <c r="I113" s="462">
        <f>IF(compras_mes6[[#This Row],[NETO GRAVADO]]="","",compras_mes6[[#This Row],[NETO GRAVADO]]*0.21)</f>
        <v>1132.2885000000001</v>
      </c>
      <c r="J113" s="462"/>
      <c r="K113" s="462"/>
      <c r="L113" s="462"/>
      <c r="M113" s="462"/>
      <c r="N113" s="462"/>
      <c r="O113" s="462">
        <v>876.31</v>
      </c>
      <c r="P113" s="463">
        <f>SUM(compras_mes6[[#This Row],[NETO GRAVADO]:[Otros / No Grav.]])</f>
        <v>7400.4485000000004</v>
      </c>
      <c r="Q113" s="464" t="str">
        <f>IFERROR(IF(compras_mes6[[#This Row],[CUIT]]="","-",VLOOKUP(compras_mes6[[#This Row],[CUIT]],Lista_CUIT[#All],3,0)),"CUIT NO CARGADO")</f>
        <v>COMBUSTIBLE</v>
      </c>
      <c r="R113" s="464" t="str">
        <f>IFERROR(IF(compras_mes6[[#This Row],[CUIT]]="","-",VLOOKUP(compras_mes6[[#This Row],[CUIT]],Lista_CUIT[#All],4,0)),"CUIT NO CARGADO")</f>
        <v>BUENOS AIRES</v>
      </c>
    </row>
    <row r="114" spans="2:18" x14ac:dyDescent="0.3">
      <c r="B114" s="456">
        <v>45093</v>
      </c>
      <c r="C114" s="457">
        <v>1</v>
      </c>
      <c r="D114" s="458">
        <v>20</v>
      </c>
      <c r="E114" s="506">
        <v>9156</v>
      </c>
      <c r="F114" s="459">
        <v>30515800219</v>
      </c>
      <c r="G114" s="460" t="str">
        <f>IFERROR(IF(compras_mes6[[#This Row],[CUIT]]="","-",VLOOKUP(compras_mes6[[#This Row],[CUIT]],Lista_CUIT[#All],2,0)),"CUIT NO CARGADO")</f>
        <v>INCAT SRL</v>
      </c>
      <c r="H114" s="461">
        <v>816.17</v>
      </c>
      <c r="I114" s="462">
        <f>IF(compras_mes6[[#This Row],[NETO GRAVADO]]="","",compras_mes6[[#This Row],[NETO GRAVADO]]*0.21)</f>
        <v>171.39569999999998</v>
      </c>
      <c r="J114" s="462"/>
      <c r="K114" s="462"/>
      <c r="L114" s="462"/>
      <c r="M114" s="462"/>
      <c r="N114" s="462"/>
      <c r="O114" s="462">
        <v>12.44</v>
      </c>
      <c r="P114" s="463">
        <f>SUM(compras_mes6[[#This Row],[NETO GRAVADO]:[Otros / No Grav.]])</f>
        <v>1000.0056999999999</v>
      </c>
      <c r="Q114" s="464" t="str">
        <f>IFERROR(IF(compras_mes6[[#This Row],[CUIT]]="","-",VLOOKUP(compras_mes6[[#This Row],[CUIT]],Lista_CUIT[#All],3,0)),"CUIT NO CARGADO")</f>
        <v>Combustibe</v>
      </c>
      <c r="R114" s="464" t="str">
        <f>IFERROR(IF(compras_mes6[[#This Row],[CUIT]]="","-",VLOOKUP(compras_mes6[[#This Row],[CUIT]],Lista_CUIT[#All],4,0)),"CUIT NO CARGADO")</f>
        <v>CABA</v>
      </c>
    </row>
    <row r="115" spans="2:18" x14ac:dyDescent="0.3">
      <c r="B115" s="456">
        <v>45093</v>
      </c>
      <c r="C115" s="457">
        <v>1</v>
      </c>
      <c r="D115" s="458">
        <v>19</v>
      </c>
      <c r="E115" s="506">
        <v>12342</v>
      </c>
      <c r="F115" s="459">
        <v>30515800219</v>
      </c>
      <c r="G115" s="460" t="str">
        <f>IFERROR(IF(compras_mes6[[#This Row],[CUIT]]="","-",VLOOKUP(compras_mes6[[#This Row],[CUIT]],Lista_CUIT[#All],2,0)),"CUIT NO CARGADO")</f>
        <v>INCAT SRL</v>
      </c>
      <c r="H115" s="461">
        <v>1435.05</v>
      </c>
      <c r="I115" s="462">
        <f>IF(compras_mes6[[#This Row],[NETO GRAVADO]]="","",compras_mes6[[#This Row],[NETO GRAVADO]]*0.21)</f>
        <v>301.3605</v>
      </c>
      <c r="J115" s="462"/>
      <c r="K115" s="462"/>
      <c r="L115" s="462"/>
      <c r="M115" s="462"/>
      <c r="N115" s="462"/>
      <c r="O115" s="462">
        <v>263.58</v>
      </c>
      <c r="P115" s="463">
        <f>SUM(compras_mes6[[#This Row],[NETO GRAVADO]:[Otros / No Grav.]])</f>
        <v>1999.9904999999999</v>
      </c>
      <c r="Q115" s="464" t="str">
        <f>IFERROR(IF(compras_mes6[[#This Row],[CUIT]]="","-",VLOOKUP(compras_mes6[[#This Row],[CUIT]],Lista_CUIT[#All],3,0)),"CUIT NO CARGADO")</f>
        <v>Combustibe</v>
      </c>
      <c r="R115" s="464" t="str">
        <f>IFERROR(IF(compras_mes6[[#This Row],[CUIT]]="","-",VLOOKUP(compras_mes6[[#This Row],[CUIT]],Lista_CUIT[#All],4,0)),"CUIT NO CARGADO")</f>
        <v>CABA</v>
      </c>
    </row>
    <row r="116" spans="2:18" x14ac:dyDescent="0.3">
      <c r="B116" s="456">
        <v>45093</v>
      </c>
      <c r="C116" s="457">
        <v>1</v>
      </c>
      <c r="D116" s="458">
        <v>5</v>
      </c>
      <c r="E116" s="506">
        <v>62218</v>
      </c>
      <c r="F116" s="459">
        <v>30660981736</v>
      </c>
      <c r="G116" s="460" t="str">
        <f>IFERROR(IF(compras_mes6[[#This Row],[CUIT]]="","-",VLOOKUP(compras_mes6[[#This Row],[CUIT]],Lista_CUIT[#All],2,0)),"CUIT NO CARGADO")</f>
        <v>R A DURAN Y ASOC SRL</v>
      </c>
      <c r="H116" s="461">
        <v>38980</v>
      </c>
      <c r="I116" s="462">
        <f>IF(compras_mes6[[#This Row],[NETO GRAVADO]]="","",compras_mes6[[#This Row],[NETO GRAVADO]]*0.21)</f>
        <v>8185.7999999999993</v>
      </c>
      <c r="J116" s="462"/>
      <c r="K116" s="462"/>
      <c r="L116" s="462"/>
      <c r="M116" s="462"/>
      <c r="N116" s="462"/>
      <c r="O116" s="462">
        <v>8736</v>
      </c>
      <c r="P116" s="463">
        <f>SUM(compras_mes6[[#This Row],[NETO GRAVADO]:[Otros / No Grav.]])</f>
        <v>55901.8</v>
      </c>
      <c r="Q116" s="464">
        <f>IFERROR(IF(compras_mes6[[#This Row],[CUIT]]="","-",VLOOKUP(compras_mes6[[#This Row],[CUIT]],Lista_CUIT[#All],3,0)),"CUIT NO CARGADO")</f>
        <v>0</v>
      </c>
      <c r="R116" s="464">
        <f>IFERROR(IF(compras_mes6[[#This Row],[CUIT]]="","-",VLOOKUP(compras_mes6[[#This Row],[CUIT]],Lista_CUIT[#All],4,0)),"CUIT NO CARGADO")</f>
        <v>0</v>
      </c>
    </row>
    <row r="117" spans="2:18" x14ac:dyDescent="0.3">
      <c r="B117" s="456">
        <v>45093</v>
      </c>
      <c r="C117" s="457">
        <v>1</v>
      </c>
      <c r="D117" s="458">
        <v>2188</v>
      </c>
      <c r="E117" s="506">
        <v>92248</v>
      </c>
      <c r="F117" s="459">
        <v>30548083156</v>
      </c>
      <c r="G117" s="460" t="str">
        <f>IFERROR(IF(compras_mes6[[#This Row],[CUIT]]="","-",VLOOKUP(compras_mes6[[#This Row],[CUIT]],Lista_CUIT[#All],2,0)),"CUIT NO CARGADO")</f>
        <v>COTO CENTRO INTEGRAL DE COMERCIALIZACION SOCIEDAD ANONIMA</v>
      </c>
      <c r="H117" s="461">
        <v>14651.84</v>
      </c>
      <c r="I117" s="462">
        <v>2829.65</v>
      </c>
      <c r="J117" s="462"/>
      <c r="K117" s="462">
        <v>123.62</v>
      </c>
      <c r="L117" s="462">
        <v>422.22</v>
      </c>
      <c r="M117" s="462"/>
      <c r="N117" s="462">
        <v>879.11</v>
      </c>
      <c r="O117" s="462"/>
      <c r="P117" s="463">
        <f>SUM(compras_mes6[[#This Row],[NETO GRAVADO]:[Otros / No Grav.]])</f>
        <v>18906.440000000002</v>
      </c>
      <c r="Q117" s="464" t="str">
        <f>IFERROR(IF(compras_mes6[[#This Row],[CUIT]]="","-",VLOOKUP(compras_mes6[[#This Row],[CUIT]],Lista_CUIT[#All],3,0)),"CUIT NO CARGADO")</f>
        <v>GASTOS COMERCIALES</v>
      </c>
      <c r="R117" s="464">
        <f>IFERROR(IF(compras_mes6[[#This Row],[CUIT]]="","-",VLOOKUP(compras_mes6[[#This Row],[CUIT]],Lista_CUIT[#All],4,0)),"CUIT NO CARGADO")</f>
        <v>0</v>
      </c>
    </row>
    <row r="118" spans="2:18" x14ac:dyDescent="0.3">
      <c r="B118" s="456">
        <v>45094</v>
      </c>
      <c r="C118" s="457">
        <v>1</v>
      </c>
      <c r="D118" s="458">
        <v>7</v>
      </c>
      <c r="E118" s="506">
        <v>1428</v>
      </c>
      <c r="F118" s="459">
        <v>20134664518</v>
      </c>
      <c r="G118" s="460" t="str">
        <f>IFERROR(IF(compras_mes6[[#This Row],[CUIT]]="","-",VLOOKUP(compras_mes6[[#This Row],[CUIT]],Lista_CUIT[#All],2,0)),"CUIT NO CARGADO")</f>
        <v>HOKAMA SERGIO ENRIQUE</v>
      </c>
      <c r="H118" s="461">
        <v>6933.64</v>
      </c>
      <c r="I118" s="462">
        <f>IF(compras_mes6[[#This Row],[NETO GRAVADO]]="","",compras_mes6[[#This Row],[NETO GRAVADO]]*0.21)</f>
        <v>1456.0644</v>
      </c>
      <c r="J118" s="462"/>
      <c r="K118" s="462"/>
      <c r="L118" s="462"/>
      <c r="M118" s="462"/>
      <c r="N118" s="462"/>
      <c r="O118" s="462"/>
      <c r="P118" s="463">
        <f>SUM(compras_mes6[[#This Row],[NETO GRAVADO]:[Otros / No Grav.]])</f>
        <v>8389.7044000000005</v>
      </c>
      <c r="Q118" s="464" t="str">
        <f>IFERROR(IF(compras_mes6[[#This Row],[CUIT]]="","-",VLOOKUP(compras_mes6[[#This Row],[CUIT]],Lista_CUIT[#All],3,0)),"CUIT NO CARGADO")</f>
        <v>Gastos Varios</v>
      </c>
      <c r="R118" s="464" t="str">
        <f>IFERROR(IF(compras_mes6[[#This Row],[CUIT]]="","-",VLOOKUP(compras_mes6[[#This Row],[CUIT]],Lista_CUIT[#All],4,0)),"CUIT NO CARGADO")</f>
        <v>BUENOS AIRES</v>
      </c>
    </row>
    <row r="119" spans="2:18" x14ac:dyDescent="0.3">
      <c r="B119" s="456">
        <v>45094</v>
      </c>
      <c r="C119" s="457">
        <v>1</v>
      </c>
      <c r="D119" s="458">
        <v>20</v>
      </c>
      <c r="E119" s="506">
        <v>5146</v>
      </c>
      <c r="F119" s="459">
        <v>30701367193</v>
      </c>
      <c r="G119" s="460" t="str">
        <f>IFERROR(IF(compras_mes6[[#This Row],[CUIT]]="","-",VLOOKUP(compras_mes6[[#This Row],[CUIT]],Lista_CUIT[#All],2,0)),"CUIT NO CARGADO")</f>
        <v>ESTACION DE SERVICIO CUATRO BOCAS SRL</v>
      </c>
      <c r="H119" s="461">
        <v>7805.18</v>
      </c>
      <c r="I119" s="462">
        <f>IF(compras_mes6[[#This Row],[NETO GRAVADO]]="","",compras_mes6[[#This Row],[NETO GRAVADO]]*0.21)</f>
        <v>1639.0878</v>
      </c>
      <c r="J119" s="462"/>
      <c r="K119" s="462"/>
      <c r="L119" s="462"/>
      <c r="M119" s="462"/>
      <c r="N119" s="462"/>
      <c r="O119" s="462">
        <v>1058.1300000000001</v>
      </c>
      <c r="P119" s="463">
        <f>SUM(compras_mes6[[#This Row],[NETO GRAVADO]:[Otros / No Grav.]])</f>
        <v>10502.397799999999</v>
      </c>
      <c r="Q119" s="464" t="str">
        <f>IFERROR(IF(compras_mes6[[#This Row],[CUIT]]="","-",VLOOKUP(compras_mes6[[#This Row],[CUIT]],Lista_CUIT[#All],3,0)),"CUIT NO CARGADO")</f>
        <v>COMBUSTIBLE</v>
      </c>
      <c r="R119" s="464" t="str">
        <f>IFERROR(IF(compras_mes6[[#This Row],[CUIT]]="","-",VLOOKUP(compras_mes6[[#This Row],[CUIT]],Lista_CUIT[#All],4,0)),"CUIT NO CARGADO")</f>
        <v>CORRIENTES</v>
      </c>
    </row>
    <row r="120" spans="2:18" x14ac:dyDescent="0.3">
      <c r="B120" s="456">
        <v>45094</v>
      </c>
      <c r="C120" s="457">
        <v>1</v>
      </c>
      <c r="D120" s="458">
        <v>77</v>
      </c>
      <c r="E120" s="506">
        <v>12485</v>
      </c>
      <c r="F120" s="459">
        <v>30546995735</v>
      </c>
      <c r="G120" s="460" t="str">
        <f>IFERROR(IF(compras_mes6[[#This Row],[CUIT]]="","-",VLOOKUP(compras_mes6[[#This Row],[CUIT]],Lista_CUIT[#All],2,0)),"CUIT NO CARGADO")</f>
        <v>ORGANIZACION DELASOIE HERMANOS S A</v>
      </c>
      <c r="H120" s="461">
        <v>8884.83</v>
      </c>
      <c r="I120" s="462">
        <f>IF(compras_mes6[[#This Row],[NETO GRAVADO]]="","",compras_mes6[[#This Row],[NETO GRAVADO]]*0.21)</f>
        <v>1865.8143</v>
      </c>
      <c r="J120" s="462"/>
      <c r="K120" s="462"/>
      <c r="L120" s="462"/>
      <c r="M120" s="462"/>
      <c r="N120" s="462"/>
      <c r="O120" s="462">
        <v>1250.55</v>
      </c>
      <c r="P120" s="463">
        <f>SUM(compras_mes6[[#This Row],[NETO GRAVADO]:[Otros / No Grav.]])</f>
        <v>12001.194299999999</v>
      </c>
      <c r="Q120" s="464" t="str">
        <f>IFERROR(IF(compras_mes6[[#This Row],[CUIT]]="","-",VLOOKUP(compras_mes6[[#This Row],[CUIT]],Lista_CUIT[#All],3,0)),"CUIT NO CARGADO")</f>
        <v>Combustible</v>
      </c>
      <c r="R120" s="464">
        <f>IFERROR(IF(compras_mes6[[#This Row],[CUIT]]="","-",VLOOKUP(compras_mes6[[#This Row],[CUIT]],Lista_CUIT[#All],4,0)),"CUIT NO CARGADO")</f>
        <v>0</v>
      </c>
    </row>
    <row r="121" spans="2:18" x14ac:dyDescent="0.3">
      <c r="B121" s="456">
        <v>45094</v>
      </c>
      <c r="C121" s="457">
        <v>1</v>
      </c>
      <c r="D121" s="458">
        <v>12</v>
      </c>
      <c r="E121" s="506">
        <v>26545</v>
      </c>
      <c r="F121" s="459">
        <v>30696131003</v>
      </c>
      <c r="G121" s="460" t="str">
        <f>IFERROR(IF(compras_mes6[[#This Row],[CUIT]]="","-",VLOOKUP(compras_mes6[[#This Row],[CUIT]],Lista_CUIT[#All],2,0)),"CUIT NO CARGADO")</f>
        <v>Petrolfe S.A.</v>
      </c>
      <c r="H121" s="461">
        <v>24369.41</v>
      </c>
      <c r="I121" s="462">
        <f>IF(compras_mes6[[#This Row],[NETO GRAVADO]]="","",compras_mes6[[#This Row],[NETO GRAVADO]]*0.21)</f>
        <v>5117.5761000000002</v>
      </c>
      <c r="J121" s="462"/>
      <c r="K121" s="462"/>
      <c r="L121" s="462"/>
      <c r="M121" s="462"/>
      <c r="N121" s="462"/>
      <c r="O121" s="462">
        <v>3842.99</v>
      </c>
      <c r="P121" s="463">
        <f>SUM(compras_mes6[[#This Row],[NETO GRAVADO]:[Otros / No Grav.]])</f>
        <v>33329.9761</v>
      </c>
      <c r="Q121" s="464" t="str">
        <f>IFERROR(IF(compras_mes6[[#This Row],[CUIT]]="","-",VLOOKUP(compras_mes6[[#This Row],[CUIT]],Lista_CUIT[#All],3,0)),"CUIT NO CARGADO")</f>
        <v>Combustible</v>
      </c>
      <c r="R121" s="464">
        <f>IFERROR(IF(compras_mes6[[#This Row],[CUIT]]="","-",VLOOKUP(compras_mes6[[#This Row],[CUIT]],Lista_CUIT[#All],4,0)),"CUIT NO CARGADO")</f>
        <v>0</v>
      </c>
    </row>
    <row r="122" spans="2:18" x14ac:dyDescent="0.3">
      <c r="B122" s="486">
        <v>45094</v>
      </c>
      <c r="C122" s="250">
        <v>1</v>
      </c>
      <c r="D122" s="487">
        <v>629</v>
      </c>
      <c r="E122" s="488">
        <v>4257615</v>
      </c>
      <c r="F122" s="476">
        <v>30663498513</v>
      </c>
      <c r="G122" s="489" t="str">
        <f>IFERROR(IF(compras_mes6[[#This Row],[CUIT]]="","-",VLOOKUP(compras_mes6[[#This Row],[CUIT]],Lista_CUIT[#All],2,0)),"CUIT NO CARGADO")</f>
        <v>GRUPO CONCES. DEL OESTE SA</v>
      </c>
      <c r="H122" s="490">
        <v>2727.26</v>
      </c>
      <c r="I122" s="491">
        <f>IF(compras_mes6[[#This Row],[NETO GRAVADO]]="","",compras_mes6[[#This Row],[NETO GRAVADO]]*0.21)</f>
        <v>572.72460000000001</v>
      </c>
      <c r="J122" s="491"/>
      <c r="K122" s="491"/>
      <c r="L122" s="491"/>
      <c r="M122" s="491"/>
      <c r="N122" s="491"/>
      <c r="O122" s="491"/>
      <c r="P122" s="492">
        <f>SUM(compras_mes6[[#This Row],[NETO GRAVADO]:[Otros / No Grav.]])</f>
        <v>3299.9846000000002</v>
      </c>
      <c r="Q122" s="493">
        <f>IFERROR(IF(compras_mes6[[#This Row],[CUIT]]="","-",VLOOKUP(compras_mes6[[#This Row],[CUIT]],Lista_CUIT[#All],3,0)),"CUIT NO CARGADO")</f>
        <v>0</v>
      </c>
      <c r="R122" s="493">
        <f>IFERROR(IF(compras_mes6[[#This Row],[CUIT]]="","-",VLOOKUP(compras_mes6[[#This Row],[CUIT]],Lista_CUIT[#All],4,0)),"CUIT NO CARGADO")</f>
        <v>0</v>
      </c>
    </row>
    <row r="123" spans="2:18" x14ac:dyDescent="0.3">
      <c r="B123" s="486">
        <v>45094</v>
      </c>
      <c r="C123" s="250">
        <v>1</v>
      </c>
      <c r="D123" s="487">
        <v>711</v>
      </c>
      <c r="E123" s="488">
        <v>4429521</v>
      </c>
      <c r="F123" s="476">
        <v>30677237119</v>
      </c>
      <c r="G123" s="489" t="str">
        <f>IFERROR(IF(compras_mes6[[#This Row],[CUIT]]="","-",VLOOKUP(compras_mes6[[#This Row],[CUIT]],Lista_CUIT[#All],2,0)),"CUIT NO CARGADO")</f>
        <v>AUTOPISTAS DEL SOL S A</v>
      </c>
      <c r="H123" s="490">
        <v>2024.75</v>
      </c>
      <c r="I123" s="491">
        <f>IF(compras_mes6[[#This Row],[NETO GRAVADO]]="","",compras_mes6[[#This Row],[NETO GRAVADO]]*0.21)</f>
        <v>425.19749999999999</v>
      </c>
      <c r="J123" s="491"/>
      <c r="K123" s="491"/>
      <c r="L123" s="491"/>
      <c r="M123" s="491"/>
      <c r="N123" s="491"/>
      <c r="O123" s="491">
        <v>60.74</v>
      </c>
      <c r="P123" s="492">
        <f>SUM(compras_mes6[[#This Row],[NETO GRAVADO]:[Otros / No Grav.]])</f>
        <v>2510.6875</v>
      </c>
      <c r="Q123" s="493">
        <f>IFERROR(IF(compras_mes6[[#This Row],[CUIT]]="","-",VLOOKUP(compras_mes6[[#This Row],[CUIT]],Lista_CUIT[#All],3,0)),"CUIT NO CARGADO")</f>
        <v>0</v>
      </c>
      <c r="R123" s="493">
        <f>IFERROR(IF(compras_mes6[[#This Row],[CUIT]]="","-",VLOOKUP(compras_mes6[[#This Row],[CUIT]],Lista_CUIT[#All],4,0)),"CUIT NO CARGADO")</f>
        <v>0</v>
      </c>
    </row>
    <row r="124" spans="2:18" x14ac:dyDescent="0.3">
      <c r="B124" s="456">
        <v>45096</v>
      </c>
      <c r="C124" s="457">
        <v>1</v>
      </c>
      <c r="D124" s="458">
        <v>4</v>
      </c>
      <c r="E124" s="506">
        <v>2492</v>
      </c>
      <c r="F124" s="459">
        <v>30710449178</v>
      </c>
      <c r="G124" s="460" t="str">
        <f>IFERROR(IF(compras_mes6[[#This Row],[CUIT]]="","-",VLOOKUP(compras_mes6[[#This Row],[CUIT]],Lista_CUIT[#All],2,0)),"CUIT NO CARGADO")</f>
        <v>RODADOS ALVARO S.R.L.</v>
      </c>
      <c r="H124" s="461">
        <v>36099.19</v>
      </c>
      <c r="I124" s="462">
        <f>IF(compras_mes6[[#This Row],[NETO GRAVADO]]="","",compras_mes6[[#This Row],[NETO GRAVADO]]*0.21)</f>
        <v>7580.8299000000006</v>
      </c>
      <c r="J124" s="462"/>
      <c r="K124" s="462"/>
      <c r="L124" s="462"/>
      <c r="M124" s="462"/>
      <c r="N124" s="462"/>
      <c r="O124" s="462"/>
      <c r="P124" s="463">
        <f>SUM(compras_mes6[[#This Row],[NETO GRAVADO]:[Otros / No Grav.]])</f>
        <v>43680.019899999999</v>
      </c>
      <c r="Q124" s="464">
        <f>IFERROR(IF(compras_mes6[[#This Row],[CUIT]]="","-",VLOOKUP(compras_mes6[[#This Row],[CUIT]],Lista_CUIT[#All],3,0)),"CUIT NO CARGADO")</f>
        <v>0</v>
      </c>
      <c r="R124" s="464">
        <f>IFERROR(IF(compras_mes6[[#This Row],[CUIT]]="","-",VLOOKUP(compras_mes6[[#This Row],[CUIT]],Lista_CUIT[#All],4,0)),"CUIT NO CARGADO")</f>
        <v>0</v>
      </c>
    </row>
    <row r="125" spans="2:18" x14ac:dyDescent="0.3">
      <c r="B125" s="249">
        <v>45096</v>
      </c>
      <c r="C125" s="250">
        <v>1</v>
      </c>
      <c r="D125" s="251">
        <v>8</v>
      </c>
      <c r="E125" s="252">
        <v>16549</v>
      </c>
      <c r="F125" s="253">
        <v>30707963804</v>
      </c>
      <c r="G125" s="254" t="str">
        <f>IFERROR(IF(compras_mes6[[#This Row],[CUIT]]="","-",VLOOKUP(compras_mes6[[#This Row],[CUIT]],Lista_CUIT[#All],2,0)),"CUIT NO CARGADO")</f>
        <v>BELCOMSUR SA</v>
      </c>
      <c r="H125" s="255">
        <v>2220.7600000000002</v>
      </c>
      <c r="I125" s="256">
        <f>IF(compras_mes6[[#This Row],[NETO GRAVADO]]="","",compras_mes6[[#This Row],[NETO GRAVADO]]*0.21)</f>
        <v>466.3596</v>
      </c>
      <c r="J125" s="256"/>
      <c r="K125" s="256"/>
      <c r="L125" s="256"/>
      <c r="M125" s="256"/>
      <c r="N125" s="256"/>
      <c r="O125" s="256">
        <v>312.87</v>
      </c>
      <c r="P125" s="492">
        <f>SUM(compras_mes6[[#This Row],[NETO GRAVADO]:[Otros / No Grav.]])</f>
        <v>2999.9895999999999</v>
      </c>
      <c r="Q125" s="258">
        <f>IFERROR(IF(compras_mes6[[#This Row],[CUIT]]="","-",VLOOKUP(compras_mes6[[#This Row],[CUIT]],Lista_CUIT[#All],3,0)),"CUIT NO CARGADO")</f>
        <v>0</v>
      </c>
      <c r="R125" s="258">
        <f>IFERROR(IF(compras_mes6[[#This Row],[CUIT]]="","-",VLOOKUP(compras_mes6[[#This Row],[CUIT]],Lista_CUIT[#All],4,0)),"CUIT NO CARGADO")</f>
        <v>0</v>
      </c>
    </row>
    <row r="126" spans="2:18" x14ac:dyDescent="0.3">
      <c r="B126" s="456">
        <v>45096</v>
      </c>
      <c r="C126" s="457">
        <v>1</v>
      </c>
      <c r="D126" s="458">
        <v>6864</v>
      </c>
      <c r="E126" s="506">
        <v>17772</v>
      </c>
      <c r="F126" s="459">
        <v>30678774495</v>
      </c>
      <c r="G126" s="460" t="str">
        <f>IFERROR(IF(compras_mes6[[#This Row],[CUIT]]="","-",VLOOKUP(compras_mes6[[#This Row],[CUIT]],Lista_CUIT[#All],2,0)),"CUIT NO CARGADO")</f>
        <v>OPER. DE EST. DE SERV. SA</v>
      </c>
      <c r="H126" s="461">
        <v>7369.87</v>
      </c>
      <c r="I126" s="462">
        <f>IF(compras_mes6[[#This Row],[NETO GRAVADO]]="","",compras_mes6[[#This Row],[NETO GRAVADO]]*0.21)</f>
        <v>1547.6726999999998</v>
      </c>
      <c r="J126" s="462"/>
      <c r="K126" s="462"/>
      <c r="L126" s="462"/>
      <c r="M126" s="462"/>
      <c r="N126" s="462"/>
      <c r="O126" s="462">
        <v>1085.57</v>
      </c>
      <c r="P126" s="463">
        <f>SUM(compras_mes6[[#This Row],[NETO GRAVADO]:[Otros / No Grav.]])</f>
        <v>10003.1127</v>
      </c>
      <c r="Q126" s="464" t="str">
        <f>IFERROR(IF(compras_mes6[[#This Row],[CUIT]]="","-",VLOOKUP(compras_mes6[[#This Row],[CUIT]],Lista_CUIT[#All],3,0)),"CUIT NO CARGADO")</f>
        <v>Combustibe</v>
      </c>
      <c r="R126" s="464">
        <f>IFERROR(IF(compras_mes6[[#This Row],[CUIT]]="","-",VLOOKUP(compras_mes6[[#This Row],[CUIT]],Lista_CUIT[#All],4,0)),"CUIT NO CARGADO")</f>
        <v>0</v>
      </c>
    </row>
    <row r="127" spans="2:18" x14ac:dyDescent="0.3">
      <c r="B127" s="486">
        <v>45096</v>
      </c>
      <c r="C127" s="250">
        <v>1</v>
      </c>
      <c r="D127" s="487">
        <v>5014</v>
      </c>
      <c r="E127" s="488">
        <v>445426</v>
      </c>
      <c r="F127" s="476">
        <v>30574876474</v>
      </c>
      <c r="G127" s="489" t="str">
        <f>IFERROR(IF(compras_mes6[[#This Row],[CUIT]]="","-",VLOOKUP(compras_mes6[[#This Row],[CUIT]],Lista_CUIT[#All],2,0)),"CUIT NO CARGADO")</f>
        <v>AUTOPISTAS URBANAS S A</v>
      </c>
      <c r="H127" s="490">
        <v>31396.55</v>
      </c>
      <c r="I127" s="491">
        <f>IF(compras_mes6[[#This Row],[NETO GRAVADO]]="","",compras_mes6[[#This Row],[NETO GRAVADO]]*0.21)</f>
        <v>6593.2754999999997</v>
      </c>
      <c r="J127" s="491"/>
      <c r="K127" s="491"/>
      <c r="L127" s="491"/>
      <c r="M127" s="491"/>
      <c r="N127" s="491"/>
      <c r="O127" s="491">
        <v>4082.25</v>
      </c>
      <c r="P127" s="492">
        <f>SUM(compras_mes6[[#This Row],[NETO GRAVADO]:[Otros / No Grav.]])</f>
        <v>42072.075499999999</v>
      </c>
      <c r="Q127" s="493">
        <f>IFERROR(IF(compras_mes6[[#This Row],[CUIT]]="","-",VLOOKUP(compras_mes6[[#This Row],[CUIT]],Lista_CUIT[#All],3,0)),"CUIT NO CARGADO")</f>
        <v>0</v>
      </c>
      <c r="R127" s="493">
        <f>IFERROR(IF(compras_mes6[[#This Row],[CUIT]]="","-",VLOOKUP(compras_mes6[[#This Row],[CUIT]],Lista_CUIT[#All],4,0)),"CUIT NO CARGADO")</f>
        <v>0</v>
      </c>
    </row>
    <row r="128" spans="2:18" x14ac:dyDescent="0.3">
      <c r="B128" s="456">
        <v>45097</v>
      </c>
      <c r="C128" s="457">
        <v>1</v>
      </c>
      <c r="D128" s="458">
        <v>2</v>
      </c>
      <c r="E128" s="506">
        <v>155</v>
      </c>
      <c r="F128" s="459">
        <v>30717768511</v>
      </c>
      <c r="G128" s="460" t="str">
        <f>IFERROR(IF(compras_mes6[[#This Row],[CUIT]]="","-",VLOOKUP(compras_mes6[[#This Row],[CUIT]],Lista_CUIT[#All],2,0)),"CUIT NO CARGADO")</f>
        <v>DEALER S. CAP I SECC IV</v>
      </c>
      <c r="H128" s="461">
        <v>7089</v>
      </c>
      <c r="I128" s="462">
        <f>IF(compras_mes6[[#This Row],[NETO GRAVADO]]="","",compras_mes6[[#This Row],[NETO GRAVADO]]*0.21)</f>
        <v>1488.69</v>
      </c>
      <c r="J128" s="462"/>
      <c r="K128" s="462"/>
      <c r="L128" s="462"/>
      <c r="M128" s="462"/>
      <c r="N128" s="462"/>
      <c r="O128" s="462"/>
      <c r="P128" s="463">
        <f>SUM(compras_mes6[[#This Row],[NETO GRAVADO]:[Otros / No Grav.]])</f>
        <v>8577.69</v>
      </c>
      <c r="Q128" s="464">
        <f>IFERROR(IF(compras_mes6[[#This Row],[CUIT]]="","-",VLOOKUP(compras_mes6[[#This Row],[CUIT]],Lista_CUIT[#All],3,0)),"CUIT NO CARGADO")</f>
        <v>0</v>
      </c>
      <c r="R128" s="464">
        <f>IFERROR(IF(compras_mes6[[#This Row],[CUIT]]="","-",VLOOKUP(compras_mes6[[#This Row],[CUIT]],Lista_CUIT[#All],4,0)),"CUIT NO CARGADO")</f>
        <v>0</v>
      </c>
    </row>
    <row r="129" spans="2:18" x14ac:dyDescent="0.3">
      <c r="B129" s="456">
        <v>45097</v>
      </c>
      <c r="C129" s="457">
        <v>1</v>
      </c>
      <c r="D129" s="458">
        <v>23</v>
      </c>
      <c r="E129" s="506">
        <v>17095</v>
      </c>
      <c r="F129" s="459">
        <v>30669793754</v>
      </c>
      <c r="G129" s="460" t="str">
        <f>IFERROR(IF(compras_mes6[[#This Row],[CUIT]]="","-",VLOOKUP(compras_mes6[[#This Row],[CUIT]],Lista_CUIT[#All],2,0)),"CUIT NO CARGADO")</f>
        <v>VALLEJO ARCELUZ FERNANDO VALLEJO ARCELUZ MARTA J Y VALLEJO ARCELUZ MARIA CELINA</v>
      </c>
      <c r="H129" s="461">
        <v>3796.02</v>
      </c>
      <c r="I129" s="462">
        <f>IF(compras_mes6[[#This Row],[NETO GRAVADO]]="","",compras_mes6[[#This Row],[NETO GRAVADO]]*0.21)</f>
        <v>797.16419999999994</v>
      </c>
      <c r="J129" s="462"/>
      <c r="K129" s="462"/>
      <c r="L129" s="462"/>
      <c r="M129" s="462"/>
      <c r="N129" s="462"/>
      <c r="O129" s="462">
        <v>486.82</v>
      </c>
      <c r="P129" s="463">
        <f>SUM(compras_mes6[[#This Row],[NETO GRAVADO]:[Otros / No Grav.]])</f>
        <v>5080.0041999999994</v>
      </c>
      <c r="Q129" s="464">
        <f>IFERROR(IF(compras_mes6[[#This Row],[CUIT]]="","-",VLOOKUP(compras_mes6[[#This Row],[CUIT]],Lista_CUIT[#All],3,0)),"CUIT NO CARGADO")</f>
        <v>0</v>
      </c>
      <c r="R129" s="464">
        <f>IFERROR(IF(compras_mes6[[#This Row],[CUIT]]="","-",VLOOKUP(compras_mes6[[#This Row],[CUIT]],Lista_CUIT[#All],4,0)),"CUIT NO CARGADO")</f>
        <v>0</v>
      </c>
    </row>
    <row r="130" spans="2:18" x14ac:dyDescent="0.3">
      <c r="B130" s="456">
        <v>45097</v>
      </c>
      <c r="C130" s="457">
        <v>1</v>
      </c>
      <c r="D130" s="458">
        <v>21</v>
      </c>
      <c r="E130" s="506">
        <v>17350</v>
      </c>
      <c r="F130" s="459">
        <v>20130138005</v>
      </c>
      <c r="G130" s="460" t="str">
        <f>IFERROR(IF(compras_mes6[[#This Row],[CUIT]]="","-",VLOOKUP(compras_mes6[[#This Row],[CUIT]],Lista_CUIT[#All],2,0)),"CUIT NO CARGADO")</f>
        <v>SILVESTRI SERGIO ALBERTO</v>
      </c>
      <c r="H130" s="461">
        <v>7989.16</v>
      </c>
      <c r="I130" s="462">
        <f>IF(compras_mes6[[#This Row],[NETO GRAVADO]]="","",compras_mes6[[#This Row],[NETO GRAVADO]]*0.21)</f>
        <v>1677.7235999999998</v>
      </c>
      <c r="J130" s="462"/>
      <c r="K130" s="462"/>
      <c r="L130" s="462"/>
      <c r="M130" s="462"/>
      <c r="N130" s="462"/>
      <c r="O130" s="462">
        <v>1133.8399999999999</v>
      </c>
      <c r="P130" s="463">
        <f>SUM(compras_mes6[[#This Row],[NETO GRAVADO]:[Otros / No Grav.]])</f>
        <v>10800.723599999999</v>
      </c>
      <c r="Q130" s="464" t="str">
        <f>IFERROR(IF(compras_mes6[[#This Row],[CUIT]]="","-",VLOOKUP(compras_mes6[[#This Row],[CUIT]],Lista_CUIT[#All],3,0)),"CUIT NO CARGADO")</f>
        <v>COMBUSTIBLE</v>
      </c>
      <c r="R130" s="464" t="str">
        <f>IFERROR(IF(compras_mes6[[#This Row],[CUIT]]="","-",VLOOKUP(compras_mes6[[#This Row],[CUIT]],Lista_CUIT[#All],4,0)),"CUIT NO CARGADO")</f>
        <v>CABA</v>
      </c>
    </row>
    <row r="131" spans="2:18" x14ac:dyDescent="0.3">
      <c r="B131" s="456">
        <v>45098</v>
      </c>
      <c r="C131" s="457">
        <v>1</v>
      </c>
      <c r="D131" s="458">
        <v>1004</v>
      </c>
      <c r="E131" s="506">
        <v>9143</v>
      </c>
      <c r="F131" s="459">
        <v>30712289046</v>
      </c>
      <c r="G131" s="460" t="str">
        <f>IFERROR(IF(compras_mes6[[#This Row],[CUIT]]="","-",VLOOKUP(compras_mes6[[#This Row],[CUIT]],Lista_CUIT[#All],2,0)),"CUIT NO CARGADO")</f>
        <v>IMPIERI PIÑEIRO RIZZO Y ASOC SA</v>
      </c>
      <c r="H131" s="461">
        <v>2879.33</v>
      </c>
      <c r="I131" s="462">
        <f>IF(compras_mes6[[#This Row],[NETO GRAVADO]]="","",compras_mes6[[#This Row],[NETO GRAVADO]]*0.21)</f>
        <v>604.65929999999992</v>
      </c>
      <c r="J131" s="462"/>
      <c r="K131" s="462"/>
      <c r="L131" s="462"/>
      <c r="M131" s="462"/>
      <c r="N131" s="462"/>
      <c r="O131" s="462">
        <v>516.89</v>
      </c>
      <c r="P131" s="463">
        <f>SUM(compras_mes6[[#This Row],[NETO GRAVADO]:[Otros / No Grav.]])</f>
        <v>4000.8792999999996</v>
      </c>
      <c r="Q131" s="464">
        <f>IFERROR(IF(compras_mes6[[#This Row],[CUIT]]="","-",VLOOKUP(compras_mes6[[#This Row],[CUIT]],Lista_CUIT[#All],3,0)),"CUIT NO CARGADO")</f>
        <v>0</v>
      </c>
      <c r="R131" s="464">
        <f>IFERROR(IF(compras_mes6[[#This Row],[CUIT]]="","-",VLOOKUP(compras_mes6[[#This Row],[CUIT]],Lista_CUIT[#All],4,0)),"CUIT NO CARGADO")</f>
        <v>0</v>
      </c>
    </row>
    <row r="132" spans="2:18" x14ac:dyDescent="0.3">
      <c r="B132" s="456">
        <v>45098</v>
      </c>
      <c r="C132" s="457">
        <v>1</v>
      </c>
      <c r="D132" s="458">
        <v>19</v>
      </c>
      <c r="E132" s="506">
        <v>12436</v>
      </c>
      <c r="F132" s="459">
        <v>30515800219</v>
      </c>
      <c r="G132" s="460" t="str">
        <f>IFERROR(IF(compras_mes6[[#This Row],[CUIT]]="","-",VLOOKUP(compras_mes6[[#This Row],[CUIT]],Lista_CUIT[#All],2,0)),"CUIT NO CARGADO")</f>
        <v>INCAT SRL</v>
      </c>
      <c r="H132" s="461">
        <v>816.19</v>
      </c>
      <c r="I132" s="462">
        <f>IF(compras_mes6[[#This Row],[NETO GRAVADO]]="","",compras_mes6[[#This Row],[NETO GRAVADO]]*0.21)</f>
        <v>171.3999</v>
      </c>
      <c r="J132" s="462"/>
      <c r="K132" s="462"/>
      <c r="L132" s="462"/>
      <c r="M132" s="462"/>
      <c r="N132" s="462"/>
      <c r="O132" s="462">
        <v>12.44</v>
      </c>
      <c r="P132" s="463">
        <f>SUM(compras_mes6[[#This Row],[NETO GRAVADO]:[Otros / No Grav.]])</f>
        <v>1000.0299000000001</v>
      </c>
      <c r="Q132" s="464" t="str">
        <f>IFERROR(IF(compras_mes6[[#This Row],[CUIT]]="","-",VLOOKUP(compras_mes6[[#This Row],[CUIT]],Lista_CUIT[#All],3,0)),"CUIT NO CARGADO")</f>
        <v>Combustibe</v>
      </c>
      <c r="R132" s="464" t="str">
        <f>IFERROR(IF(compras_mes6[[#This Row],[CUIT]]="","-",VLOOKUP(compras_mes6[[#This Row],[CUIT]],Lista_CUIT[#All],4,0)),"CUIT NO CARGADO")</f>
        <v>CABA</v>
      </c>
    </row>
    <row r="133" spans="2:18" x14ac:dyDescent="0.3">
      <c r="B133" s="456">
        <v>45098</v>
      </c>
      <c r="C133" s="457">
        <v>1</v>
      </c>
      <c r="D133" s="458">
        <v>3</v>
      </c>
      <c r="E133" s="506">
        <v>39451</v>
      </c>
      <c r="F133" s="459">
        <v>30710018479</v>
      </c>
      <c r="G133" s="460" t="str">
        <f>IFERROR(IF(compras_mes6[[#This Row],[CUIT]]="","-",VLOOKUP(compras_mes6[[#This Row],[CUIT]],Lista_CUIT[#All],2,0)),"CUIT NO CARGADO")</f>
        <v>SCD DISTRIBUIDORA S.R.L.</v>
      </c>
      <c r="H133" s="461">
        <v>45771.7</v>
      </c>
      <c r="I133" s="462">
        <v>9198.35</v>
      </c>
      <c r="J133" s="462"/>
      <c r="K133" s="462">
        <v>206.86</v>
      </c>
      <c r="L133" s="462"/>
      <c r="M133" s="462"/>
      <c r="N133" s="462"/>
      <c r="O133" s="462"/>
      <c r="P133" s="463">
        <f>SUM(compras_mes6[[#This Row],[NETO GRAVADO]:[Otros / No Grav.]])</f>
        <v>55176.909999999996</v>
      </c>
      <c r="Q133" s="464">
        <f>IFERROR(IF(compras_mes6[[#This Row],[CUIT]]="","-",VLOOKUP(compras_mes6[[#This Row],[CUIT]],Lista_CUIT[#All],3,0)),"CUIT NO CARGADO")</f>
        <v>0</v>
      </c>
      <c r="R133" s="464">
        <f>IFERROR(IF(compras_mes6[[#This Row],[CUIT]]="","-",VLOOKUP(compras_mes6[[#This Row],[CUIT]],Lista_CUIT[#All],4,0)),"CUIT NO CARGADO")</f>
        <v>0</v>
      </c>
    </row>
    <row r="134" spans="2:18" x14ac:dyDescent="0.3">
      <c r="B134" s="456">
        <v>45098</v>
      </c>
      <c r="C134" s="457">
        <v>1</v>
      </c>
      <c r="D134" s="458">
        <v>5</v>
      </c>
      <c r="E134" s="506">
        <v>2797032</v>
      </c>
      <c r="F134" s="459">
        <v>30702652975</v>
      </c>
      <c r="G134" s="460" t="str">
        <f>IFERROR(IF(compras_mes6[[#This Row],[CUIT]]="","-",VLOOKUP(compras_mes6[[#This Row],[CUIT]],Lista_CUIT[#All],2,0)),"CUIT NO CARGADO")</f>
        <v>NSS SA</v>
      </c>
      <c r="H134" s="461">
        <v>6595.54</v>
      </c>
      <c r="I134" s="462">
        <f>IF(compras_mes6[[#This Row],[NETO GRAVADO]]="","",compras_mes6[[#This Row],[NETO GRAVADO]]*0.21)</f>
        <v>1385.0634</v>
      </c>
      <c r="J134" s="462"/>
      <c r="K134" s="462"/>
      <c r="L134" s="462"/>
      <c r="M134" s="462"/>
      <c r="N134" s="462">
        <v>395.73</v>
      </c>
      <c r="O134" s="462"/>
      <c r="P134" s="463">
        <f>SUM(compras_mes6[[#This Row],[NETO GRAVADO]:[Otros / No Grav.]])</f>
        <v>8376.3333999999995</v>
      </c>
      <c r="Q134" s="464" t="str">
        <f>IFERROR(IF(compras_mes6[[#This Row],[CUIT]]="","-",VLOOKUP(compras_mes6[[#This Row],[CUIT]],Lista_CUIT[#All],3,0)),"CUIT NO CARGADO")</f>
        <v>Servicios Gas, Luz, etc.</v>
      </c>
      <c r="R134" s="464">
        <f>IFERROR(IF(compras_mes6[[#This Row],[CUIT]]="","-",VLOOKUP(compras_mes6[[#This Row],[CUIT]],Lista_CUIT[#All],4,0)),"CUIT NO CARGADO")</f>
        <v>0</v>
      </c>
    </row>
    <row r="135" spans="2:18" x14ac:dyDescent="0.3">
      <c r="B135" s="486">
        <v>45098</v>
      </c>
      <c r="C135" s="250">
        <v>1</v>
      </c>
      <c r="D135" s="487">
        <v>113</v>
      </c>
      <c r="E135" s="488">
        <v>3223066</v>
      </c>
      <c r="F135" s="476">
        <v>30577207190</v>
      </c>
      <c r="G135" s="489" t="str">
        <f>IFERROR(IF(compras_mes6[[#This Row],[CUIT]]="","-",VLOOKUP(compras_mes6[[#This Row],[CUIT]],Lista_CUIT[#All],2,0)),"CUIT NO CARGADO")</f>
        <v>COORDINACION ECOLOGICA AREA METROPOLITANA SOCIEDAD DEL ESTADO</v>
      </c>
      <c r="H135" s="490">
        <v>1042.97</v>
      </c>
      <c r="I135" s="491">
        <f>IF(compras_mes6[[#This Row],[NETO GRAVADO]]="","",compras_mes6[[#This Row],[NETO GRAVADO]]*0.21)</f>
        <v>219.02369999999999</v>
      </c>
      <c r="J135" s="491"/>
      <c r="K135" s="491"/>
      <c r="L135" s="491"/>
      <c r="M135" s="491"/>
      <c r="N135" s="491"/>
      <c r="O135" s="491"/>
      <c r="P135" s="492">
        <f>SUM(compras_mes6[[#This Row],[NETO GRAVADO]:[Otros / No Grav.]])</f>
        <v>1261.9937</v>
      </c>
      <c r="Q135" s="493">
        <f>IFERROR(IF(compras_mes6[[#This Row],[CUIT]]="","-",VLOOKUP(compras_mes6[[#This Row],[CUIT]],Lista_CUIT[#All],3,0)),"CUIT NO CARGADO")</f>
        <v>0</v>
      </c>
      <c r="R135" s="493">
        <f>IFERROR(IF(compras_mes6[[#This Row],[CUIT]]="","-",VLOOKUP(compras_mes6[[#This Row],[CUIT]],Lista_CUIT[#All],4,0)),"CUIT NO CARGADO")</f>
        <v>0</v>
      </c>
    </row>
    <row r="136" spans="2:18" x14ac:dyDescent="0.3">
      <c r="B136" s="456">
        <v>45099</v>
      </c>
      <c r="C136" s="457">
        <v>1</v>
      </c>
      <c r="D136" s="458">
        <v>1</v>
      </c>
      <c r="E136" s="506">
        <v>628</v>
      </c>
      <c r="F136" s="459">
        <v>30715048066</v>
      </c>
      <c r="G136" s="460" t="str">
        <f>IFERROR(IF(compras_mes6[[#This Row],[CUIT]]="","-",VLOOKUP(compras_mes6[[#This Row],[CUIT]],Lista_CUIT[#All],2,0)),"CUIT NO CARGADO")</f>
        <v>ROLLS Y EMPANADAS SA</v>
      </c>
      <c r="H136" s="461">
        <v>372520</v>
      </c>
      <c r="I136" s="462">
        <f>IF(compras_mes6[[#This Row],[NETO GRAVADO]]="","",compras_mes6[[#This Row],[NETO GRAVADO]]*0.21)</f>
        <v>78229.2</v>
      </c>
      <c r="J136" s="462"/>
      <c r="K136" s="462"/>
      <c r="L136" s="462"/>
      <c r="M136" s="462"/>
      <c r="N136" s="462"/>
      <c r="O136" s="462"/>
      <c r="P136" s="463">
        <f>SUM(compras_mes6[[#This Row],[NETO GRAVADO]:[Otros / No Grav.]])</f>
        <v>450749.2</v>
      </c>
      <c r="Q136" s="464" t="str">
        <f>IFERROR(IF(compras_mes6[[#This Row],[CUIT]]="","-",VLOOKUP(compras_mes6[[#This Row],[CUIT]],Lista_CUIT[#All],3,0)),"CUIT NO CARGADO")</f>
        <v>CATERING</v>
      </c>
      <c r="R136" s="464">
        <f>IFERROR(IF(compras_mes6[[#This Row],[CUIT]]="","-",VLOOKUP(compras_mes6[[#This Row],[CUIT]],Lista_CUIT[#All],4,0)),"CUIT NO CARGADO")</f>
        <v>0</v>
      </c>
    </row>
    <row r="137" spans="2:18" x14ac:dyDescent="0.3">
      <c r="B137" s="456">
        <v>45099</v>
      </c>
      <c r="C137" s="457">
        <v>1</v>
      </c>
      <c r="D137" s="458">
        <v>1</v>
      </c>
      <c r="E137" s="506">
        <v>629</v>
      </c>
      <c r="F137" s="459">
        <v>30715048066</v>
      </c>
      <c r="G137" s="460" t="str">
        <f>IFERROR(IF(compras_mes6[[#This Row],[CUIT]]="","-",VLOOKUP(compras_mes6[[#This Row],[CUIT]],Lista_CUIT[#All],2,0)),"CUIT NO CARGADO")</f>
        <v>ROLLS Y EMPANADAS SA</v>
      </c>
      <c r="H137" s="461">
        <v>331270</v>
      </c>
      <c r="I137" s="462">
        <f>IF(compras_mes6[[#This Row],[NETO GRAVADO]]="","",compras_mes6[[#This Row],[NETO GRAVADO]]*0.21)</f>
        <v>69566.7</v>
      </c>
      <c r="J137" s="462"/>
      <c r="K137" s="462"/>
      <c r="L137" s="462"/>
      <c r="M137" s="462"/>
      <c r="N137" s="462"/>
      <c r="O137" s="462"/>
      <c r="P137" s="463">
        <f>SUM(compras_mes6[[#This Row],[NETO GRAVADO]:[Otros / No Grav.]])</f>
        <v>400836.7</v>
      </c>
      <c r="Q137" s="464" t="str">
        <f>IFERROR(IF(compras_mes6[[#This Row],[CUIT]]="","-",VLOOKUP(compras_mes6[[#This Row],[CUIT]],Lista_CUIT[#All],3,0)),"CUIT NO CARGADO")</f>
        <v>CATERING</v>
      </c>
      <c r="R137" s="464">
        <f>IFERROR(IF(compras_mes6[[#This Row],[CUIT]]="","-",VLOOKUP(compras_mes6[[#This Row],[CUIT]],Lista_CUIT[#All],4,0)),"CUIT NO CARGADO")</f>
        <v>0</v>
      </c>
    </row>
    <row r="138" spans="2:18" x14ac:dyDescent="0.3">
      <c r="B138" s="456">
        <v>45099</v>
      </c>
      <c r="C138" s="457">
        <v>1</v>
      </c>
      <c r="D138" s="458">
        <v>2</v>
      </c>
      <c r="E138" s="506">
        <v>3369</v>
      </c>
      <c r="F138" s="459">
        <v>30629863571</v>
      </c>
      <c r="G138" s="460" t="str">
        <f>IFERROR(IF(compras_mes6[[#This Row],[CUIT]]="","-",VLOOKUP(compras_mes6[[#This Row],[CUIT]],Lista_CUIT[#All],2,0)),"CUIT NO CARGADO")</f>
        <v>TECNIMAR S R L</v>
      </c>
      <c r="H138" s="461">
        <v>982630</v>
      </c>
      <c r="I138" s="462">
        <f>IF(compras_mes6[[#This Row],[NETO GRAVADO]]="","",compras_mes6[[#This Row],[NETO GRAVADO]]*0.21)</f>
        <v>206352.3</v>
      </c>
      <c r="J138" s="462"/>
      <c r="K138" s="462"/>
      <c r="L138" s="462"/>
      <c r="M138" s="462"/>
      <c r="N138" s="462"/>
      <c r="O138" s="462"/>
      <c r="P138" s="463">
        <f>SUM(compras_mes6[[#This Row],[NETO GRAVADO]:[Otros / No Grav.]])</f>
        <v>1188982.3</v>
      </c>
      <c r="Q138" s="464" t="str">
        <f>IFERROR(IF(compras_mes6[[#This Row],[CUIT]]="","-",VLOOKUP(compras_mes6[[#This Row],[CUIT]],Lista_CUIT[#All],3,0)),"CUIT NO CARGADO")</f>
        <v>LABORATORIO</v>
      </c>
      <c r="R138" s="464">
        <f>IFERROR(IF(compras_mes6[[#This Row],[CUIT]]="","-",VLOOKUP(compras_mes6[[#This Row],[CUIT]],Lista_CUIT[#All],4,0)),"CUIT NO CARGADO")</f>
        <v>0</v>
      </c>
    </row>
    <row r="139" spans="2:18" x14ac:dyDescent="0.3">
      <c r="B139" s="456">
        <v>45099</v>
      </c>
      <c r="C139" s="457">
        <v>1</v>
      </c>
      <c r="D139" s="458">
        <v>2</v>
      </c>
      <c r="E139" s="506">
        <v>3372</v>
      </c>
      <c r="F139" s="459">
        <v>30629863571</v>
      </c>
      <c r="G139" s="460" t="str">
        <f>IFERROR(IF(compras_mes6[[#This Row],[CUIT]]="","-",VLOOKUP(compras_mes6[[#This Row],[CUIT]],Lista_CUIT[#All],2,0)),"CUIT NO CARGADO")</f>
        <v>TECNIMAR S R L</v>
      </c>
      <c r="H139" s="461">
        <v>200549.19</v>
      </c>
      <c r="I139" s="462">
        <f>IF(compras_mes6[[#This Row],[NETO GRAVADO]]="","",compras_mes6[[#This Row],[NETO GRAVADO]]*0.21)</f>
        <v>42115.329899999997</v>
      </c>
      <c r="J139" s="462"/>
      <c r="K139" s="462"/>
      <c r="L139" s="462"/>
      <c r="M139" s="462"/>
      <c r="N139" s="462"/>
      <c r="O139" s="462"/>
      <c r="P139" s="463">
        <f>SUM(compras_mes6[[#This Row],[NETO GRAVADO]:[Otros / No Grav.]])</f>
        <v>242664.51990000001</v>
      </c>
      <c r="Q139" s="464" t="str">
        <f>IFERROR(IF(compras_mes6[[#This Row],[CUIT]]="","-",VLOOKUP(compras_mes6[[#This Row],[CUIT]],Lista_CUIT[#All],3,0)),"CUIT NO CARGADO")</f>
        <v>LABORATORIO</v>
      </c>
      <c r="R139" s="464">
        <f>IFERROR(IF(compras_mes6[[#This Row],[CUIT]]="","-",VLOOKUP(compras_mes6[[#This Row],[CUIT]],Lista_CUIT[#All],4,0)),"CUIT NO CARGADO")</f>
        <v>0</v>
      </c>
    </row>
    <row r="140" spans="2:18" x14ac:dyDescent="0.3">
      <c r="B140" s="477">
        <v>45100</v>
      </c>
      <c r="C140" s="250">
        <v>1</v>
      </c>
      <c r="D140" s="478">
        <v>8</v>
      </c>
      <c r="E140" s="479">
        <v>2128</v>
      </c>
      <c r="F140" s="480">
        <v>30712210636</v>
      </c>
      <c r="G140" s="481" t="str">
        <f>IFERROR(IF(compras_mes6[[#This Row],[CUIT]]="","-",VLOOKUP(compras_mes6[[#This Row],[CUIT]],Lista_CUIT[#All],2,0)),"CUIT NO CARGADO")</f>
        <v>BARRERA RICARDO DARIO Y HUBY GANOZA JIMMY  SOCIEDAD DE HECHO</v>
      </c>
      <c r="H140" s="482">
        <v>4545.43</v>
      </c>
      <c r="I140" s="483">
        <f>IF(compras_mes6[[#This Row],[NETO GRAVADO]]="","",compras_mes6[[#This Row],[NETO GRAVADO]]*0.21)</f>
        <v>954.5403</v>
      </c>
      <c r="J140" s="483"/>
      <c r="K140" s="483"/>
      <c r="L140" s="483"/>
      <c r="M140" s="483"/>
      <c r="N140" s="483"/>
      <c r="O140" s="483"/>
      <c r="P140" s="484">
        <f>SUM(compras_mes6[[#This Row],[NETO GRAVADO]:[Otros / No Grav.]])</f>
        <v>5499.9703</v>
      </c>
      <c r="Q140" s="485">
        <f>IFERROR(IF(compras_mes6[[#This Row],[CUIT]]="","-",VLOOKUP(compras_mes6[[#This Row],[CUIT]],Lista_CUIT[#All],3,0)),"CUIT NO CARGADO")</f>
        <v>0</v>
      </c>
      <c r="R140" s="485">
        <f>IFERROR(IF(compras_mes6[[#This Row],[CUIT]]="","-",VLOOKUP(compras_mes6[[#This Row],[CUIT]],Lista_CUIT[#All],4,0)),"CUIT NO CARGADO")</f>
        <v>0</v>
      </c>
    </row>
    <row r="141" spans="2:18" x14ac:dyDescent="0.3">
      <c r="B141" s="456">
        <v>45100</v>
      </c>
      <c r="C141" s="457">
        <v>1</v>
      </c>
      <c r="D141" s="458">
        <v>2</v>
      </c>
      <c r="E141" s="506">
        <v>3003</v>
      </c>
      <c r="F141" s="459">
        <v>33712020569</v>
      </c>
      <c r="G141" s="460" t="str">
        <f>IFERROR(IF(compras_mes6[[#This Row],[CUIT]]="","-",VLOOKUP(compras_mes6[[#This Row],[CUIT]],Lista_CUIT[#All],2,0)),"CUIT NO CARGADO")</f>
        <v>BELLASOMBRA DE DIEGO PARTICO Y BRUNO MUSANTE SOCIEDAD DE HECHO</v>
      </c>
      <c r="H141" s="461">
        <v>9008.2900000000009</v>
      </c>
      <c r="I141" s="462">
        <f>IF(compras_mes6[[#This Row],[NETO GRAVADO]]="","",compras_mes6[[#This Row],[NETO GRAVADO]]*0.21)</f>
        <v>1891.7409</v>
      </c>
      <c r="J141" s="462"/>
      <c r="K141" s="462"/>
      <c r="L141" s="462"/>
      <c r="M141" s="462"/>
      <c r="N141" s="462"/>
      <c r="O141" s="462"/>
      <c r="P141" s="463">
        <f>SUM(compras_mes6[[#This Row],[NETO GRAVADO]:[Otros / No Grav.]])</f>
        <v>10900.030900000002</v>
      </c>
      <c r="Q141" s="464">
        <f>IFERROR(IF(compras_mes6[[#This Row],[CUIT]]="","-",VLOOKUP(compras_mes6[[#This Row],[CUIT]],Lista_CUIT[#All],3,0)),"CUIT NO CARGADO")</f>
        <v>0</v>
      </c>
      <c r="R141" s="464">
        <f>IFERROR(IF(compras_mes6[[#This Row],[CUIT]]="","-",VLOOKUP(compras_mes6[[#This Row],[CUIT]],Lista_CUIT[#All],4,0)),"CUIT NO CARGADO")</f>
        <v>0</v>
      </c>
    </row>
    <row r="142" spans="2:18" x14ac:dyDescent="0.3">
      <c r="B142" s="456">
        <v>45100</v>
      </c>
      <c r="C142" s="457">
        <v>1</v>
      </c>
      <c r="D142" s="458">
        <v>6</v>
      </c>
      <c r="E142" s="506">
        <v>3452</v>
      </c>
      <c r="F142" s="459">
        <v>20134664518</v>
      </c>
      <c r="G142" s="460" t="str">
        <f>IFERROR(IF(compras_mes6[[#This Row],[CUIT]]="","-",VLOOKUP(compras_mes6[[#This Row],[CUIT]],Lista_CUIT[#All],2,0)),"CUIT NO CARGADO")</f>
        <v>HOKAMA SERGIO ENRIQUE</v>
      </c>
      <c r="H142" s="461">
        <v>11270.87</v>
      </c>
      <c r="I142" s="462">
        <f>IF(compras_mes6[[#This Row],[NETO GRAVADO]]="","",compras_mes6[[#This Row],[NETO GRAVADO]]*0.21)</f>
        <v>2366.8827000000001</v>
      </c>
      <c r="J142" s="462"/>
      <c r="K142" s="462"/>
      <c r="L142" s="462"/>
      <c r="M142" s="462"/>
      <c r="N142" s="462"/>
      <c r="O142" s="462"/>
      <c r="P142" s="463">
        <f>SUM(compras_mes6[[#This Row],[NETO GRAVADO]:[Otros / No Grav.]])</f>
        <v>13637.752700000001</v>
      </c>
      <c r="Q142" s="464" t="str">
        <f>IFERROR(IF(compras_mes6[[#This Row],[CUIT]]="","-",VLOOKUP(compras_mes6[[#This Row],[CUIT]],Lista_CUIT[#All],3,0)),"CUIT NO CARGADO")</f>
        <v>Gastos Varios</v>
      </c>
      <c r="R142" s="464" t="str">
        <f>IFERROR(IF(compras_mes6[[#This Row],[CUIT]]="","-",VLOOKUP(compras_mes6[[#This Row],[CUIT]],Lista_CUIT[#All],4,0)),"CUIT NO CARGADO")</f>
        <v>BUENOS AIRES</v>
      </c>
    </row>
    <row r="143" spans="2:18" x14ac:dyDescent="0.3">
      <c r="B143" s="456">
        <v>45100</v>
      </c>
      <c r="C143" s="457">
        <v>1</v>
      </c>
      <c r="D143" s="458">
        <v>20</v>
      </c>
      <c r="E143" s="506">
        <v>9228</v>
      </c>
      <c r="F143" s="459">
        <v>30515800219</v>
      </c>
      <c r="G143" s="460" t="str">
        <f>IFERROR(IF(compras_mes6[[#This Row],[CUIT]]="","-",VLOOKUP(compras_mes6[[#This Row],[CUIT]],Lista_CUIT[#All],2,0)),"CUIT NO CARGADO")</f>
        <v>INCAT SRL</v>
      </c>
      <c r="H143" s="461">
        <v>816.19</v>
      </c>
      <c r="I143" s="462">
        <f>IF(compras_mes6[[#This Row],[NETO GRAVADO]]="","",compras_mes6[[#This Row],[NETO GRAVADO]]*0.21)</f>
        <v>171.3999</v>
      </c>
      <c r="J143" s="462"/>
      <c r="K143" s="462"/>
      <c r="L143" s="462"/>
      <c r="M143" s="462"/>
      <c r="N143" s="462"/>
      <c r="O143" s="462">
        <v>12.44</v>
      </c>
      <c r="P143" s="463">
        <f>SUM(compras_mes6[[#This Row],[NETO GRAVADO]:[Otros / No Grav.]])</f>
        <v>1000.0299000000001</v>
      </c>
      <c r="Q143" s="464" t="str">
        <f>IFERROR(IF(compras_mes6[[#This Row],[CUIT]]="","-",VLOOKUP(compras_mes6[[#This Row],[CUIT]],Lista_CUIT[#All],3,0)),"CUIT NO CARGADO")</f>
        <v>Combustibe</v>
      </c>
      <c r="R143" s="464" t="str">
        <f>IFERROR(IF(compras_mes6[[#This Row],[CUIT]]="","-",VLOOKUP(compras_mes6[[#This Row],[CUIT]],Lista_CUIT[#All],4,0)),"CUIT NO CARGADO")</f>
        <v>CABA</v>
      </c>
    </row>
    <row r="144" spans="2:18" x14ac:dyDescent="0.3">
      <c r="B144" s="456">
        <v>45100</v>
      </c>
      <c r="C144" s="457">
        <v>1</v>
      </c>
      <c r="D144" s="458">
        <v>39</v>
      </c>
      <c r="E144" s="506">
        <v>10121</v>
      </c>
      <c r="F144" s="459">
        <v>30637769002</v>
      </c>
      <c r="G144" s="460" t="str">
        <f>IFERROR(IF(compras_mes6[[#This Row],[CUIT]]="","-",VLOOKUP(compras_mes6[[#This Row],[CUIT]],Lista_CUIT[#All],2,0)),"CUIT NO CARGADO")</f>
        <v>ROCCA COMBUSTIBLES  S A</v>
      </c>
      <c r="H144" s="461">
        <v>2168.35</v>
      </c>
      <c r="I144" s="462">
        <f>IF(compras_mes6[[#This Row],[NETO GRAVADO]]="","",compras_mes6[[#This Row],[NETO GRAVADO]]*0.21)</f>
        <v>455.35349999999994</v>
      </c>
      <c r="J144" s="462"/>
      <c r="K144" s="462"/>
      <c r="L144" s="462"/>
      <c r="M144" s="462"/>
      <c r="N144" s="462">
        <v>130.1</v>
      </c>
      <c r="O144" s="462">
        <v>376.3</v>
      </c>
      <c r="P144" s="463">
        <f>SUM(compras_mes6[[#This Row],[NETO GRAVADO]:[Otros / No Grav.]])</f>
        <v>3130.1034999999997</v>
      </c>
      <c r="Q144" s="464">
        <f>IFERROR(IF(compras_mes6[[#This Row],[CUIT]]="","-",VLOOKUP(compras_mes6[[#This Row],[CUIT]],Lista_CUIT[#All],3,0)),"CUIT NO CARGADO")</f>
        <v>0</v>
      </c>
      <c r="R144" s="464">
        <f>IFERROR(IF(compras_mes6[[#This Row],[CUIT]]="","-",VLOOKUP(compras_mes6[[#This Row],[CUIT]],Lista_CUIT[#All],4,0)),"CUIT NO CARGADO")</f>
        <v>0</v>
      </c>
    </row>
    <row r="145" spans="2:18" x14ac:dyDescent="0.3">
      <c r="B145" s="456">
        <v>45100</v>
      </c>
      <c r="C145" s="457">
        <v>1</v>
      </c>
      <c r="D145" s="458">
        <v>2036</v>
      </c>
      <c r="E145" s="506">
        <v>40104</v>
      </c>
      <c r="F145" s="459">
        <v>30516186670</v>
      </c>
      <c r="G145" s="460" t="str">
        <f>IFERROR(IF(compras_mes6[[#This Row],[CUIT]]="","-",VLOOKUP(compras_mes6[[#This Row],[CUIT]],Lista_CUIT[#All],2,0)),"CUIT NO CARGADO")</f>
        <v>DEHEZA S.A.I.C.F. e I.</v>
      </c>
      <c r="H145" s="461">
        <v>1173.98</v>
      </c>
      <c r="I145" s="462">
        <f>IF(compras_mes6[[#This Row],[NETO GRAVADO]]="","",compras_mes6[[#This Row],[NETO GRAVADO]]*0.21)</f>
        <v>246.53579999999999</v>
      </c>
      <c r="J145" s="462"/>
      <c r="K145" s="462"/>
      <c r="L145" s="462"/>
      <c r="M145" s="462"/>
      <c r="N145" s="462"/>
      <c r="O145" s="462">
        <v>210.75</v>
      </c>
      <c r="P145" s="463">
        <f>SUM(compras_mes6[[#This Row],[NETO GRAVADO]:[Otros / No Grav.]])</f>
        <v>1631.2658000000001</v>
      </c>
      <c r="Q145" s="464" t="str">
        <f>IFERROR(IF(compras_mes6[[#This Row],[CUIT]]="","-",VLOOKUP(compras_mes6[[#This Row],[CUIT]],Lista_CUIT[#All],3,0)),"CUIT NO CARGADO")</f>
        <v>COMBUSTIBLE</v>
      </c>
      <c r="R145" s="464" t="str">
        <f>IFERROR(IF(compras_mes6[[#This Row],[CUIT]]="","-",VLOOKUP(compras_mes6[[#This Row],[CUIT]],Lista_CUIT[#All],4,0)),"CUIT NO CARGADO")</f>
        <v>CABA</v>
      </c>
    </row>
    <row r="146" spans="2:18" x14ac:dyDescent="0.3">
      <c r="B146" s="456">
        <v>45100</v>
      </c>
      <c r="C146" s="457">
        <v>1</v>
      </c>
      <c r="D146" s="458">
        <v>2188</v>
      </c>
      <c r="E146" s="506">
        <v>92735</v>
      </c>
      <c r="F146" s="459">
        <v>30548083156</v>
      </c>
      <c r="G146" s="460" t="str">
        <f>IFERROR(IF(compras_mes6[[#This Row],[CUIT]]="","-",VLOOKUP(compras_mes6[[#This Row],[CUIT]],Lista_CUIT[#All],2,0)),"CUIT NO CARGADO")</f>
        <v>COTO CENTRO INTEGRAL DE COMERCIALIZACION SOCIEDAD ANONIMA</v>
      </c>
      <c r="H146" s="461">
        <v>15009.4</v>
      </c>
      <c r="I146" s="462">
        <v>2366.41</v>
      </c>
      <c r="J146" s="462"/>
      <c r="K146" s="462">
        <v>392.78</v>
      </c>
      <c r="L146" s="462">
        <v>338.25</v>
      </c>
      <c r="M146" s="462"/>
      <c r="N146" s="462">
        <v>806.31</v>
      </c>
      <c r="O146" s="462"/>
      <c r="P146" s="463">
        <f>SUM(compras_mes6[[#This Row],[NETO GRAVADO]:[Otros / No Grav.]])</f>
        <v>18913.149999999998</v>
      </c>
      <c r="Q146" s="464" t="str">
        <f>IFERROR(IF(compras_mes6[[#This Row],[CUIT]]="","-",VLOOKUP(compras_mes6[[#This Row],[CUIT]],Lista_CUIT[#All],3,0)),"CUIT NO CARGADO")</f>
        <v>GASTOS COMERCIALES</v>
      </c>
      <c r="R146" s="464">
        <f>IFERROR(IF(compras_mes6[[#This Row],[CUIT]]="","-",VLOOKUP(compras_mes6[[#This Row],[CUIT]],Lista_CUIT[#All],4,0)),"CUIT NO CARGADO")</f>
        <v>0</v>
      </c>
    </row>
    <row r="147" spans="2:18" x14ac:dyDescent="0.3">
      <c r="B147" s="456">
        <v>45101</v>
      </c>
      <c r="C147" s="457">
        <v>1</v>
      </c>
      <c r="D147" s="458">
        <v>4</v>
      </c>
      <c r="E147" s="506">
        <v>820</v>
      </c>
      <c r="F147" s="459">
        <v>23177130079</v>
      </c>
      <c r="G147" s="460" t="str">
        <f>IFERROR(IF(compras_mes6[[#This Row],[CUIT]]="","-",VLOOKUP(compras_mes6[[#This Row],[CUIT]],Lista_CUIT[#All],2,0)),"CUIT NO CARGADO")</f>
        <v>NATALI HUGO ARIEL</v>
      </c>
      <c r="H147" s="461">
        <v>6611.57</v>
      </c>
      <c r="I147" s="462">
        <f>IF(compras_mes6[[#This Row],[NETO GRAVADO]]="","",compras_mes6[[#This Row],[NETO GRAVADO]]*0.21)</f>
        <v>1388.4296999999999</v>
      </c>
      <c r="J147" s="462"/>
      <c r="K147" s="462"/>
      <c r="L147" s="462"/>
      <c r="M147" s="462"/>
      <c r="N147" s="462"/>
      <c r="O147" s="462"/>
      <c r="P147" s="463">
        <f>SUM(compras_mes6[[#This Row],[NETO GRAVADO]:[Otros / No Grav.]])</f>
        <v>7999.9996999999994</v>
      </c>
      <c r="Q147" s="464">
        <f>IFERROR(IF(compras_mes6[[#This Row],[CUIT]]="","-",VLOOKUP(compras_mes6[[#This Row],[CUIT]],Lista_CUIT[#All],3,0)),"CUIT NO CARGADO")</f>
        <v>0</v>
      </c>
      <c r="R147" s="464">
        <f>IFERROR(IF(compras_mes6[[#This Row],[CUIT]]="","-",VLOOKUP(compras_mes6[[#This Row],[CUIT]],Lista_CUIT[#All],4,0)),"CUIT NO CARGADO")</f>
        <v>0</v>
      </c>
    </row>
    <row r="148" spans="2:18" x14ac:dyDescent="0.3">
      <c r="B148" s="456">
        <v>45101</v>
      </c>
      <c r="C148" s="457">
        <v>1</v>
      </c>
      <c r="D148" s="458">
        <v>2199</v>
      </c>
      <c r="E148" s="506">
        <v>22743</v>
      </c>
      <c r="F148" s="459">
        <v>30548083156</v>
      </c>
      <c r="G148" s="460" t="str">
        <f>IFERROR(IF(compras_mes6[[#This Row],[CUIT]]="","-",VLOOKUP(compras_mes6[[#This Row],[CUIT]],Lista_CUIT[#All],2,0)),"CUIT NO CARGADO")</f>
        <v>COTO CENTRO INTEGRAL DE COMERCIALIZACION SOCIEDAD ANONIMA</v>
      </c>
      <c r="H148" s="461">
        <v>13239.87</v>
      </c>
      <c r="I148" s="462">
        <v>2249.27</v>
      </c>
      <c r="J148" s="462"/>
      <c r="K148" s="462">
        <v>265.55</v>
      </c>
      <c r="L148" s="462">
        <v>292.54000000000002</v>
      </c>
      <c r="M148" s="462"/>
      <c r="N148" s="462">
        <v>569.01</v>
      </c>
      <c r="O148" s="462"/>
      <c r="P148" s="463">
        <f>SUM(compras_mes6[[#This Row],[NETO GRAVADO]:[Otros / No Grav.]])</f>
        <v>16616.240000000002</v>
      </c>
      <c r="Q148" s="464" t="str">
        <f>IFERROR(IF(compras_mes6[[#This Row],[CUIT]]="","-",VLOOKUP(compras_mes6[[#This Row],[CUIT]],Lista_CUIT[#All],3,0)),"CUIT NO CARGADO")</f>
        <v>GASTOS COMERCIALES</v>
      </c>
      <c r="R148" s="464">
        <f>IFERROR(IF(compras_mes6[[#This Row],[CUIT]]="","-",VLOOKUP(compras_mes6[[#This Row],[CUIT]],Lista_CUIT[#All],4,0)),"CUIT NO CARGADO")</f>
        <v>0</v>
      </c>
    </row>
    <row r="149" spans="2:18" x14ac:dyDescent="0.3">
      <c r="B149" s="456">
        <v>45101</v>
      </c>
      <c r="C149" s="457">
        <v>1</v>
      </c>
      <c r="D149" s="458">
        <v>12</v>
      </c>
      <c r="E149" s="506">
        <v>26881</v>
      </c>
      <c r="F149" s="459">
        <v>30696131003</v>
      </c>
      <c r="G149" s="460" t="str">
        <f>IFERROR(IF(compras_mes6[[#This Row],[CUIT]]="","-",VLOOKUP(compras_mes6[[#This Row],[CUIT]],Lista_CUIT[#All],2,0)),"CUIT NO CARGADO")</f>
        <v>Petrolfe S.A.</v>
      </c>
      <c r="H149" s="461">
        <v>15994.67</v>
      </c>
      <c r="I149" s="462">
        <f>IF(compras_mes6[[#This Row],[NETO GRAVADO]]="","",compras_mes6[[#This Row],[NETO GRAVADO]]*0.21)</f>
        <v>3358.8806999999997</v>
      </c>
      <c r="J149" s="462"/>
      <c r="K149" s="462"/>
      <c r="L149" s="462"/>
      <c r="M149" s="462"/>
      <c r="N149" s="462"/>
      <c r="O149" s="462">
        <v>2747.59</v>
      </c>
      <c r="P149" s="463">
        <f>SUM(compras_mes6[[#This Row],[NETO GRAVADO]:[Otros / No Grav.]])</f>
        <v>22101.1407</v>
      </c>
      <c r="Q149" s="464" t="str">
        <f>IFERROR(IF(compras_mes6[[#This Row],[CUIT]]="","-",VLOOKUP(compras_mes6[[#This Row],[CUIT]],Lista_CUIT[#All],3,0)),"CUIT NO CARGADO")</f>
        <v>Combustible</v>
      </c>
      <c r="R149" s="464">
        <f>IFERROR(IF(compras_mes6[[#This Row],[CUIT]]="","-",VLOOKUP(compras_mes6[[#This Row],[CUIT]],Lista_CUIT[#All],4,0)),"CUIT NO CARGADO")</f>
        <v>0</v>
      </c>
    </row>
    <row r="150" spans="2:18" x14ac:dyDescent="0.3">
      <c r="B150" s="456">
        <v>45103</v>
      </c>
      <c r="C150" s="457">
        <v>1</v>
      </c>
      <c r="D150" s="458">
        <v>9</v>
      </c>
      <c r="E150" s="506">
        <v>6271</v>
      </c>
      <c r="F150" s="459">
        <v>30697262063</v>
      </c>
      <c r="G150" s="460" t="str">
        <f>IFERROR(IF(compras_mes6[[#This Row],[CUIT]]="","-",VLOOKUP(compras_mes6[[#This Row],[CUIT]],Lista_CUIT[#All],2,0)),"CUIT NO CARGADO")</f>
        <v>REPRESENTACIONES TECNOLOGICAS SA</v>
      </c>
      <c r="H150" s="461">
        <v>310669.68</v>
      </c>
      <c r="I150" s="462"/>
      <c r="J150" s="462"/>
      <c r="K150" s="462">
        <v>32620.32</v>
      </c>
      <c r="L150" s="462"/>
      <c r="M150" s="462"/>
      <c r="N150" s="462"/>
      <c r="O150" s="462"/>
      <c r="P150" s="463">
        <f>SUM(compras_mes6[[#This Row],[NETO GRAVADO]:[Otros / No Grav.]])</f>
        <v>343290</v>
      </c>
      <c r="Q150" s="464">
        <f>IFERROR(IF(compras_mes6[[#This Row],[CUIT]]="","-",VLOOKUP(compras_mes6[[#This Row],[CUIT]],Lista_CUIT[#All],3,0)),"CUIT NO CARGADO")</f>
        <v>0</v>
      </c>
      <c r="R150" s="464">
        <f>IFERROR(IF(compras_mes6[[#This Row],[CUIT]]="","-",VLOOKUP(compras_mes6[[#This Row],[CUIT]],Lista_CUIT[#All],4,0)),"CUIT NO CARGADO")</f>
        <v>0</v>
      </c>
    </row>
    <row r="151" spans="2:18" x14ac:dyDescent="0.3">
      <c r="B151" s="456">
        <v>45104</v>
      </c>
      <c r="C151" s="457">
        <v>1</v>
      </c>
      <c r="D151" s="458">
        <v>2</v>
      </c>
      <c r="E151" s="506">
        <v>462</v>
      </c>
      <c r="F151" s="459">
        <v>30716827166</v>
      </c>
      <c r="G151" s="460" t="str">
        <f>IFERROR(IF(compras_mes6[[#This Row],[CUIT]]="","-",VLOOKUP(compras_mes6[[#This Row],[CUIT]],Lista_CUIT[#All],2,0)),"CUIT NO CARGADO")</f>
        <v>LNB SOCIEDAD POR ACCIONES SIMPLIFICADA</v>
      </c>
      <c r="H151" s="461">
        <v>70000</v>
      </c>
      <c r="I151" s="462">
        <f>IF(compras_mes6[[#This Row],[NETO GRAVADO]]="","",compras_mes6[[#This Row],[NETO GRAVADO]]*0.21)</f>
        <v>14700</v>
      </c>
      <c r="J151" s="462"/>
      <c r="K151" s="462"/>
      <c r="L151" s="462"/>
      <c r="M151" s="462"/>
      <c r="N151" s="462"/>
      <c r="O151" s="462"/>
      <c r="P151" s="463">
        <f>SUM(compras_mes6[[#This Row],[NETO GRAVADO]:[Otros / No Grav.]])</f>
        <v>84700</v>
      </c>
      <c r="Q151" s="464">
        <f>IFERROR(IF(compras_mes6[[#This Row],[CUIT]]="","-",VLOOKUP(compras_mes6[[#This Row],[CUIT]],Lista_CUIT[#All],3,0)),"CUIT NO CARGADO")</f>
        <v>0</v>
      </c>
      <c r="R151" s="464">
        <f>IFERROR(IF(compras_mes6[[#This Row],[CUIT]]="","-",VLOOKUP(compras_mes6[[#This Row],[CUIT]],Lista_CUIT[#All],4,0)),"CUIT NO CARGADO")</f>
        <v>0</v>
      </c>
    </row>
    <row r="152" spans="2:18" x14ac:dyDescent="0.3">
      <c r="B152" s="456">
        <v>45104</v>
      </c>
      <c r="C152" s="457">
        <v>1</v>
      </c>
      <c r="D152" s="458">
        <v>10</v>
      </c>
      <c r="E152" s="506">
        <v>3607</v>
      </c>
      <c r="F152" s="459">
        <v>30710857322</v>
      </c>
      <c r="G152" s="460" t="str">
        <f>IFERROR(IF(compras_mes6[[#This Row],[CUIT]]="","-",VLOOKUP(compras_mes6[[#This Row],[CUIT]],Lista_CUIT[#All],2,0)),"CUIT NO CARGADO")</f>
        <v>AGEN S.A.</v>
      </c>
      <c r="H152" s="461">
        <v>76831.67</v>
      </c>
      <c r="I152" s="462"/>
      <c r="J152" s="462"/>
      <c r="K152" s="462">
        <v>8067.33</v>
      </c>
      <c r="L152" s="462"/>
      <c r="M152" s="462"/>
      <c r="N152" s="462"/>
      <c r="O152" s="462"/>
      <c r="P152" s="463">
        <f>SUM(compras_mes6[[#This Row],[NETO GRAVADO]:[Otros / No Grav.]])</f>
        <v>84899</v>
      </c>
      <c r="Q152" s="464">
        <f>IFERROR(IF(compras_mes6[[#This Row],[CUIT]]="","-",VLOOKUP(compras_mes6[[#This Row],[CUIT]],Lista_CUIT[#All],3,0)),"CUIT NO CARGADO")</f>
        <v>0</v>
      </c>
      <c r="R152" s="464">
        <f>IFERROR(IF(compras_mes6[[#This Row],[CUIT]]="","-",VLOOKUP(compras_mes6[[#This Row],[CUIT]],Lista_CUIT[#All],4,0)),"CUIT NO CARGADO")</f>
        <v>0</v>
      </c>
    </row>
    <row r="153" spans="2:18" x14ac:dyDescent="0.3">
      <c r="B153" s="486">
        <v>45104</v>
      </c>
      <c r="C153" s="494">
        <v>3</v>
      </c>
      <c r="D153" s="487">
        <v>5014</v>
      </c>
      <c r="E153" s="488">
        <v>6969</v>
      </c>
      <c r="F153" s="476">
        <v>30574876474</v>
      </c>
      <c r="G153" s="489" t="str">
        <f>IFERROR(IF(compras_mes6[[#This Row],[CUIT]]="","-",VLOOKUP(compras_mes6[[#This Row],[CUIT]],Lista_CUIT[#All],2,0)),"CUIT NO CARGADO")</f>
        <v>AUTOPISTAS URBANAS S A</v>
      </c>
      <c r="H153" s="490">
        <v>-615.22</v>
      </c>
      <c r="I153" s="491">
        <f>IF(compras_mes6[[#This Row],[NETO GRAVADO]]="","",compras_mes6[[#This Row],[NETO GRAVADO]]*0.21)</f>
        <v>-129.1962</v>
      </c>
      <c r="J153" s="491"/>
      <c r="K153" s="491"/>
      <c r="L153" s="491"/>
      <c r="M153" s="491"/>
      <c r="N153" s="491"/>
      <c r="O153" s="491"/>
      <c r="P153" s="492">
        <f>SUM(compras_mes6[[#This Row],[NETO GRAVADO]:[Otros / No Grav.]])</f>
        <v>-744.4162</v>
      </c>
      <c r="Q153" s="493">
        <f>IFERROR(IF(compras_mes6[[#This Row],[CUIT]]="","-",VLOOKUP(compras_mes6[[#This Row],[CUIT]],Lista_CUIT[#All],3,0)),"CUIT NO CARGADO")</f>
        <v>0</v>
      </c>
      <c r="R153" s="493">
        <f>IFERROR(IF(compras_mes6[[#This Row],[CUIT]]="","-",VLOOKUP(compras_mes6[[#This Row],[CUIT]],Lista_CUIT[#All],4,0)),"CUIT NO CARGADO")</f>
        <v>0</v>
      </c>
    </row>
    <row r="154" spans="2:18" s="56" customFormat="1" ht="18.600000000000001" customHeight="1" x14ac:dyDescent="0.3">
      <c r="B154" s="456">
        <v>45104</v>
      </c>
      <c r="C154" s="457">
        <v>1</v>
      </c>
      <c r="D154" s="458">
        <v>19</v>
      </c>
      <c r="E154" s="506">
        <v>12651</v>
      </c>
      <c r="F154" s="459">
        <v>30515800219</v>
      </c>
      <c r="G154" s="460" t="str">
        <f>IFERROR(IF(compras_mes6[[#This Row],[CUIT]]="","-",VLOOKUP(compras_mes6[[#This Row],[CUIT]],Lista_CUIT[#All],2,0)),"CUIT NO CARGADO")</f>
        <v>INCAT SRL</v>
      </c>
      <c r="H154" s="461">
        <v>816.19</v>
      </c>
      <c r="I154" s="462">
        <f>IF(compras_mes6[[#This Row],[NETO GRAVADO]]="","",compras_mes6[[#This Row],[NETO GRAVADO]]*0.21)</f>
        <v>171.3999</v>
      </c>
      <c r="J154" s="462"/>
      <c r="K154" s="462"/>
      <c r="L154" s="462"/>
      <c r="M154" s="462"/>
      <c r="N154" s="462"/>
      <c r="O154" s="462">
        <v>12.44</v>
      </c>
      <c r="P154" s="463">
        <f>SUM(compras_mes6[[#This Row],[NETO GRAVADO]:[Otros / No Grav.]])</f>
        <v>1000.0299000000001</v>
      </c>
      <c r="Q154" s="464" t="str">
        <f>IFERROR(IF(compras_mes6[[#This Row],[CUIT]]="","-",VLOOKUP(compras_mes6[[#This Row],[CUIT]],Lista_CUIT[#All],3,0)),"CUIT NO CARGADO")</f>
        <v>Combustibe</v>
      </c>
      <c r="R154" s="464" t="str">
        <f>IFERROR(IF(compras_mes6[[#This Row],[CUIT]]="","-",VLOOKUP(compras_mes6[[#This Row],[CUIT]],Lista_CUIT[#All],4,0)),"CUIT NO CARGADO")</f>
        <v>CABA</v>
      </c>
    </row>
    <row r="155" spans="2:18" x14ac:dyDescent="0.3">
      <c r="B155" s="486">
        <v>45104</v>
      </c>
      <c r="C155" s="250">
        <v>1</v>
      </c>
      <c r="D155" s="487">
        <v>700</v>
      </c>
      <c r="E155" s="488">
        <v>996311</v>
      </c>
      <c r="F155" s="476">
        <v>30715804812</v>
      </c>
      <c r="G155" s="489" t="str">
        <f>IFERROR(IF(compras_mes6[[#This Row],[CUIT]]="","-",VLOOKUP(compras_mes6[[#This Row],[CUIT]],Lista_CUIT[#All],2,0)),"CUIT NO CARGADO")</f>
        <v>CORREDORES VIALES SOCIEDAD ANONIMA</v>
      </c>
      <c r="H155" s="490">
        <v>1404.96</v>
      </c>
      <c r="I155" s="491">
        <f>IF(compras_mes6[[#This Row],[NETO GRAVADO]]="","",compras_mes6[[#This Row],[NETO GRAVADO]]*0.21)</f>
        <v>295.04160000000002</v>
      </c>
      <c r="J155" s="491"/>
      <c r="K155" s="491"/>
      <c r="L155" s="491"/>
      <c r="M155" s="491"/>
      <c r="N155" s="491"/>
      <c r="O155" s="491"/>
      <c r="P155" s="492">
        <f>SUM(compras_mes6[[#This Row],[NETO GRAVADO]:[Otros / No Grav.]])</f>
        <v>1700.0016000000001</v>
      </c>
      <c r="Q155" s="493">
        <f>IFERROR(IF(compras_mes6[[#This Row],[CUIT]]="","-",VLOOKUP(compras_mes6[[#This Row],[CUIT]],Lista_CUIT[#All],3,0)),"CUIT NO CARGADO")</f>
        <v>0</v>
      </c>
      <c r="R155" s="493">
        <f>IFERROR(IF(compras_mes6[[#This Row],[CUIT]]="","-",VLOOKUP(compras_mes6[[#This Row],[CUIT]],Lista_CUIT[#All],4,0)),"CUIT NO CARGADO")</f>
        <v>0</v>
      </c>
    </row>
    <row r="156" spans="2:18" x14ac:dyDescent="0.3">
      <c r="B156" s="456">
        <v>45105</v>
      </c>
      <c r="C156" s="457">
        <v>1</v>
      </c>
      <c r="D156" s="458">
        <v>2</v>
      </c>
      <c r="E156" s="506">
        <v>170</v>
      </c>
      <c r="F156" s="459">
        <v>30717768511</v>
      </c>
      <c r="G156" s="460" t="str">
        <f>IFERROR(IF(compras_mes6[[#This Row],[CUIT]]="","-",VLOOKUP(compras_mes6[[#This Row],[CUIT]],Lista_CUIT[#All],2,0)),"CUIT NO CARGADO")</f>
        <v>DEALER S. CAP I SECC IV</v>
      </c>
      <c r="H156" s="461">
        <v>33480</v>
      </c>
      <c r="I156" s="462">
        <f>IF(compras_mes6[[#This Row],[NETO GRAVADO]]="","",compras_mes6[[#This Row],[NETO GRAVADO]]*0.21)</f>
        <v>7030.8</v>
      </c>
      <c r="J156" s="462"/>
      <c r="K156" s="462"/>
      <c r="L156" s="462"/>
      <c r="M156" s="462"/>
      <c r="N156" s="462"/>
      <c r="O156" s="462"/>
      <c r="P156" s="463">
        <f>SUM(compras_mes6[[#This Row],[NETO GRAVADO]:[Otros / No Grav.]])</f>
        <v>40510.800000000003</v>
      </c>
      <c r="Q156" s="464">
        <f>IFERROR(IF(compras_mes6[[#This Row],[CUIT]]="","-",VLOOKUP(compras_mes6[[#This Row],[CUIT]],Lista_CUIT[#All],3,0)),"CUIT NO CARGADO")</f>
        <v>0</v>
      </c>
      <c r="R156" s="464">
        <f>IFERROR(IF(compras_mes6[[#This Row],[CUIT]]="","-",VLOOKUP(compras_mes6[[#This Row],[CUIT]],Lista_CUIT[#All],4,0)),"CUIT NO CARGADO")</f>
        <v>0</v>
      </c>
    </row>
    <row r="157" spans="2:18" ht="14.4" customHeight="1" x14ac:dyDescent="0.3">
      <c r="B157" s="486">
        <v>45105</v>
      </c>
      <c r="C157" s="250">
        <v>1</v>
      </c>
      <c r="D157" s="487">
        <v>2</v>
      </c>
      <c r="E157" s="488">
        <v>183</v>
      </c>
      <c r="F157" s="476">
        <v>30718018311</v>
      </c>
      <c r="G157" s="489" t="str">
        <f>IFERROR(IF(compras_mes6[[#This Row],[CUIT]]="","-",VLOOKUP(compras_mes6[[#This Row],[CUIT]],Lista_CUIT[#All],2,0)),"CUIT NO CARGADO")</f>
        <v>ANIMAL BROTHERS VENTA MAYORISTA Y MINORISTA DE ALIMENTOS BALANCEADOS DE SPADOTTO GABRIELA F. Y SPADO</v>
      </c>
      <c r="H157" s="490">
        <v>12768.6</v>
      </c>
      <c r="I157" s="491">
        <f>IF(compras_mes6[[#This Row],[NETO GRAVADO]]="","",compras_mes6[[#This Row],[NETO GRAVADO]]*0.21)</f>
        <v>2681.4059999999999</v>
      </c>
      <c r="J157" s="491"/>
      <c r="K157" s="491"/>
      <c r="L157" s="491"/>
      <c r="M157" s="491"/>
      <c r="N157" s="491"/>
      <c r="O157" s="491"/>
      <c r="P157" s="492">
        <f>SUM(compras_mes6[[#This Row],[NETO GRAVADO]:[Otros / No Grav.]])</f>
        <v>15450.006000000001</v>
      </c>
      <c r="Q157" s="493">
        <f>IFERROR(IF(compras_mes6[[#This Row],[CUIT]]="","-",VLOOKUP(compras_mes6[[#This Row],[CUIT]],Lista_CUIT[#All],3,0)),"CUIT NO CARGADO")</f>
        <v>0</v>
      </c>
      <c r="R157" s="493">
        <f>IFERROR(IF(compras_mes6[[#This Row],[CUIT]]="","-",VLOOKUP(compras_mes6[[#This Row],[CUIT]],Lista_CUIT[#All],4,0)),"CUIT NO CARGADO")</f>
        <v>0</v>
      </c>
    </row>
    <row r="158" spans="2:18" ht="20.25" customHeight="1" x14ac:dyDescent="0.3">
      <c r="B158" s="456">
        <v>45105</v>
      </c>
      <c r="C158" s="457">
        <v>1</v>
      </c>
      <c r="D158" s="458">
        <v>7</v>
      </c>
      <c r="E158" s="506">
        <v>1472</v>
      </c>
      <c r="F158" s="459">
        <v>20134664518</v>
      </c>
      <c r="G158" s="460" t="str">
        <f>IFERROR(IF(compras_mes6[[#This Row],[CUIT]]="","-",VLOOKUP(compras_mes6[[#This Row],[CUIT]],Lista_CUIT[#All],2,0)),"CUIT NO CARGADO")</f>
        <v>HOKAMA SERGIO ENRIQUE</v>
      </c>
      <c r="H158" s="461">
        <v>9199.11</v>
      </c>
      <c r="I158" s="462">
        <f>IF(compras_mes6[[#This Row],[NETO GRAVADO]]="","",compras_mes6[[#This Row],[NETO GRAVADO]]*0.21)</f>
        <v>1931.8131000000001</v>
      </c>
      <c r="J158" s="462"/>
      <c r="K158" s="462"/>
      <c r="L158" s="462"/>
      <c r="M158" s="462"/>
      <c r="N158" s="462"/>
      <c r="O158" s="462"/>
      <c r="P158" s="463">
        <f>SUM(compras_mes6[[#This Row],[NETO GRAVADO]:[Otros / No Grav.]])</f>
        <v>11130.9231</v>
      </c>
      <c r="Q158" s="464" t="str">
        <f>IFERROR(IF(compras_mes6[[#This Row],[CUIT]]="","-",VLOOKUP(compras_mes6[[#This Row],[CUIT]],Lista_CUIT[#All],3,0)),"CUIT NO CARGADO")</f>
        <v>Gastos Varios</v>
      </c>
      <c r="R158" s="464" t="str">
        <f>IFERROR(IF(compras_mes6[[#This Row],[CUIT]]="","-",VLOOKUP(compras_mes6[[#This Row],[CUIT]],Lista_CUIT[#All],4,0)),"CUIT NO CARGADO")</f>
        <v>BUENOS AIRES</v>
      </c>
    </row>
    <row r="159" spans="2:18" ht="17.25" customHeight="1" x14ac:dyDescent="0.3">
      <c r="B159" s="456">
        <v>45105</v>
      </c>
      <c r="C159" s="457">
        <v>1</v>
      </c>
      <c r="D159" s="458">
        <v>3</v>
      </c>
      <c r="E159" s="506">
        <v>1566</v>
      </c>
      <c r="F159" s="459">
        <v>33715693009</v>
      </c>
      <c r="G159" s="460" t="str">
        <f>IFERROR(IF(compras_mes6[[#This Row],[CUIT]]="","-",VLOOKUP(compras_mes6[[#This Row],[CUIT]],Lista_CUIT[#All],2,0)),"CUIT NO CARGADO")</f>
        <v>G.B.S. GLOBAL BUSINESS SUPPLY S.R.L.</v>
      </c>
      <c r="H159" s="461">
        <v>10813.57</v>
      </c>
      <c r="I159" s="462"/>
      <c r="J159" s="462"/>
      <c r="K159" s="462">
        <v>1135.42</v>
      </c>
      <c r="L159" s="462"/>
      <c r="M159" s="462"/>
      <c r="N159" s="462"/>
      <c r="O159" s="462"/>
      <c r="P159" s="463">
        <f>SUM(compras_mes6[[#This Row],[NETO GRAVADO]:[Otros / No Grav.]])</f>
        <v>11948.99</v>
      </c>
      <c r="Q159" s="464">
        <f>IFERROR(IF(compras_mes6[[#This Row],[CUIT]]="","-",VLOOKUP(compras_mes6[[#This Row],[CUIT]],Lista_CUIT[#All],3,0)),"CUIT NO CARGADO")</f>
        <v>0</v>
      </c>
      <c r="R159" s="464">
        <f>IFERROR(IF(compras_mes6[[#This Row],[CUIT]]="","-",VLOOKUP(compras_mes6[[#This Row],[CUIT]],Lista_CUIT[#All],4,0)),"CUIT NO CARGADO")</f>
        <v>0</v>
      </c>
    </row>
    <row r="160" spans="2:18" ht="14.4" customHeight="1" x14ac:dyDescent="0.3">
      <c r="B160" s="456">
        <v>45105</v>
      </c>
      <c r="C160" s="457">
        <v>1</v>
      </c>
      <c r="D160" s="458">
        <v>2</v>
      </c>
      <c r="E160" s="506">
        <v>3378</v>
      </c>
      <c r="F160" s="459">
        <v>30629863571</v>
      </c>
      <c r="G160" s="460" t="str">
        <f>IFERROR(IF(compras_mes6[[#This Row],[CUIT]]="","-",VLOOKUP(compras_mes6[[#This Row],[CUIT]],Lista_CUIT[#All],2,0)),"CUIT NO CARGADO")</f>
        <v>TECNIMAR S R L</v>
      </c>
      <c r="H160" s="461">
        <v>438792</v>
      </c>
      <c r="I160" s="462">
        <f>IF(compras_mes6[[#This Row],[NETO GRAVADO]]="","",compras_mes6[[#This Row],[NETO GRAVADO]]*0.21)</f>
        <v>92146.319999999992</v>
      </c>
      <c r="J160" s="462"/>
      <c r="K160" s="462"/>
      <c r="L160" s="462"/>
      <c r="M160" s="462"/>
      <c r="N160" s="462"/>
      <c r="O160" s="462"/>
      <c r="P160" s="463">
        <f>SUM(compras_mes6[[#This Row],[NETO GRAVADO]:[Otros / No Grav.]])</f>
        <v>530938.31999999995</v>
      </c>
      <c r="Q160" s="464" t="str">
        <f>IFERROR(IF(compras_mes6[[#This Row],[CUIT]]="","-",VLOOKUP(compras_mes6[[#This Row],[CUIT]],Lista_CUIT[#All],3,0)),"CUIT NO CARGADO")</f>
        <v>LABORATORIO</v>
      </c>
      <c r="R160" s="464">
        <f>IFERROR(IF(compras_mes6[[#This Row],[CUIT]]="","-",VLOOKUP(compras_mes6[[#This Row],[CUIT]],Lista_CUIT[#All],4,0)),"CUIT NO CARGADO")</f>
        <v>0</v>
      </c>
    </row>
    <row r="161" spans="2:18" ht="14.4" customHeight="1" x14ac:dyDescent="0.3">
      <c r="B161" s="456">
        <v>45105</v>
      </c>
      <c r="C161" s="457">
        <v>1</v>
      </c>
      <c r="D161" s="458">
        <v>19</v>
      </c>
      <c r="E161" s="506">
        <v>12692</v>
      </c>
      <c r="F161" s="459">
        <v>30515800219</v>
      </c>
      <c r="G161" s="460" t="str">
        <f>IFERROR(IF(compras_mes6[[#This Row],[CUIT]]="","-",VLOOKUP(compras_mes6[[#This Row],[CUIT]],Lista_CUIT[#All],2,0)),"CUIT NO CARGADO")</f>
        <v>INCAT SRL</v>
      </c>
      <c r="H161" s="461">
        <v>816.19</v>
      </c>
      <c r="I161" s="462">
        <f>IF(compras_mes6[[#This Row],[NETO GRAVADO]]="","",compras_mes6[[#This Row],[NETO GRAVADO]]*0.21)</f>
        <v>171.3999</v>
      </c>
      <c r="J161" s="462"/>
      <c r="K161" s="462"/>
      <c r="L161" s="462"/>
      <c r="M161" s="462"/>
      <c r="N161" s="462"/>
      <c r="O161" s="462">
        <v>12.44</v>
      </c>
      <c r="P161" s="463">
        <f>SUM(compras_mes6[[#This Row],[NETO GRAVADO]:[Otros / No Grav.]])</f>
        <v>1000.0299000000001</v>
      </c>
      <c r="Q161" s="464" t="str">
        <f>IFERROR(IF(compras_mes6[[#This Row],[CUIT]]="","-",VLOOKUP(compras_mes6[[#This Row],[CUIT]],Lista_CUIT[#All],3,0)),"CUIT NO CARGADO")</f>
        <v>Combustibe</v>
      </c>
      <c r="R161" s="464" t="str">
        <f>IFERROR(IF(compras_mes6[[#This Row],[CUIT]]="","-",VLOOKUP(compras_mes6[[#This Row],[CUIT]],Lista_CUIT[#All],4,0)),"CUIT NO CARGADO")</f>
        <v>CABA</v>
      </c>
    </row>
    <row r="162" spans="2:18" ht="15" customHeight="1" x14ac:dyDescent="0.3">
      <c r="B162" s="456">
        <v>45105</v>
      </c>
      <c r="C162" s="457">
        <v>1</v>
      </c>
      <c r="D162" s="458">
        <v>6850</v>
      </c>
      <c r="E162" s="506">
        <v>15512</v>
      </c>
      <c r="F162" s="459">
        <v>30678774495</v>
      </c>
      <c r="G162" s="460" t="str">
        <f>IFERROR(IF(compras_mes6[[#This Row],[CUIT]]="","-",VLOOKUP(compras_mes6[[#This Row],[CUIT]],Lista_CUIT[#All],2,0)),"CUIT NO CARGADO")</f>
        <v>OPER. DE EST. DE SERV. SA</v>
      </c>
      <c r="H162" s="461">
        <v>1468.26</v>
      </c>
      <c r="I162" s="462">
        <f>IF(compras_mes6[[#This Row],[NETO GRAVADO]]="","",compras_mes6[[#This Row],[NETO GRAVADO]]*0.21)</f>
        <v>308.33459999999997</v>
      </c>
      <c r="J162" s="462"/>
      <c r="K162" s="462"/>
      <c r="L162" s="462"/>
      <c r="M162" s="462"/>
      <c r="N162" s="462"/>
      <c r="O162" s="462">
        <v>223.41</v>
      </c>
      <c r="P162" s="463">
        <f>SUM(compras_mes6[[#This Row],[NETO GRAVADO]:[Otros / No Grav.]])</f>
        <v>2000.0046</v>
      </c>
      <c r="Q162" s="464" t="str">
        <f>IFERROR(IF(compras_mes6[[#This Row],[CUIT]]="","-",VLOOKUP(compras_mes6[[#This Row],[CUIT]],Lista_CUIT[#All],3,0)),"CUIT NO CARGADO")</f>
        <v>Combustibe</v>
      </c>
      <c r="R162" s="464">
        <f>IFERROR(IF(compras_mes6[[#This Row],[CUIT]]="","-",VLOOKUP(compras_mes6[[#This Row],[CUIT]],Lista_CUIT[#All],4,0)),"CUIT NO CARGADO")</f>
        <v>0</v>
      </c>
    </row>
    <row r="163" spans="2:18" ht="15" customHeight="1" x14ac:dyDescent="0.3">
      <c r="B163" s="456">
        <v>45105</v>
      </c>
      <c r="C163" s="457">
        <v>1</v>
      </c>
      <c r="D163" s="458">
        <v>2188</v>
      </c>
      <c r="E163" s="506">
        <v>93083</v>
      </c>
      <c r="F163" s="459">
        <v>30548083156</v>
      </c>
      <c r="G163" s="460" t="str">
        <f>IFERROR(IF(compras_mes6[[#This Row],[CUIT]]="","-",VLOOKUP(compras_mes6[[#This Row],[CUIT]],Lista_CUIT[#All],2,0)),"CUIT NO CARGADO")</f>
        <v>COTO CENTRO INTEGRAL DE COMERCIALIZACION SOCIEDAD ANONIMA</v>
      </c>
      <c r="H163" s="461">
        <v>21302.58</v>
      </c>
      <c r="I163" s="462">
        <v>2926</v>
      </c>
      <c r="J163" s="462"/>
      <c r="K163" s="462">
        <v>773.77</v>
      </c>
      <c r="L163" s="462">
        <v>310.22000000000003</v>
      </c>
      <c r="M163" s="462"/>
      <c r="N163" s="462">
        <v>751.8</v>
      </c>
      <c r="O163" s="462">
        <v>121.49</v>
      </c>
      <c r="P163" s="463">
        <f>SUM(compras_mes6[[#This Row],[NETO GRAVADO]:[Otros / No Grav.]])</f>
        <v>26185.860000000004</v>
      </c>
      <c r="Q163" s="464" t="str">
        <f>IFERROR(IF(compras_mes6[[#This Row],[CUIT]]="","-",VLOOKUP(compras_mes6[[#This Row],[CUIT]],Lista_CUIT[#All],3,0)),"CUIT NO CARGADO")</f>
        <v>GASTOS COMERCIALES</v>
      </c>
      <c r="R163" s="464">
        <f>IFERROR(IF(compras_mes6[[#This Row],[CUIT]]="","-",VLOOKUP(compras_mes6[[#This Row],[CUIT]],Lista_CUIT[#All],4,0)),"CUIT NO CARGADO")</f>
        <v>0</v>
      </c>
    </row>
    <row r="164" spans="2:18" ht="15" customHeight="1" x14ac:dyDescent="0.3">
      <c r="B164" s="456">
        <v>45106</v>
      </c>
      <c r="C164" s="457">
        <v>1</v>
      </c>
      <c r="D164" s="458">
        <v>2</v>
      </c>
      <c r="E164" s="506">
        <v>201</v>
      </c>
      <c r="F164" s="459">
        <v>27422248426</v>
      </c>
      <c r="G164" s="460" t="str">
        <f>IFERROR(IF(compras_mes6[[#This Row],[CUIT]]="","-",VLOOKUP(compras_mes6[[#This Row],[CUIT]],Lista_CUIT[#All],2,0)),"CUIT NO CARGADO")</f>
        <v>CARRERA VICTORIA</v>
      </c>
      <c r="H164" s="461">
        <v>37879.51</v>
      </c>
      <c r="I164" s="462">
        <f>IF(compras_mes6[[#This Row],[NETO GRAVADO]]="","",compras_mes6[[#This Row],[NETO GRAVADO]]*0.21)</f>
        <v>7954.6971000000003</v>
      </c>
      <c r="J164" s="462"/>
      <c r="K164" s="462"/>
      <c r="L164" s="462"/>
      <c r="M164" s="462"/>
      <c r="N164" s="462"/>
      <c r="O164" s="462"/>
      <c r="P164" s="463">
        <f>SUM(compras_mes6[[#This Row],[NETO GRAVADO]:[Otros / No Grav.]])</f>
        <v>45834.2071</v>
      </c>
      <c r="Q164" s="464">
        <f>IFERROR(IF(compras_mes6[[#This Row],[CUIT]]="","-",VLOOKUP(compras_mes6[[#This Row],[CUIT]],Lista_CUIT[#All],3,0)),"CUIT NO CARGADO")</f>
        <v>0</v>
      </c>
      <c r="R164" s="464">
        <f>IFERROR(IF(compras_mes6[[#This Row],[CUIT]]="","-",VLOOKUP(compras_mes6[[#This Row],[CUIT]],Lista_CUIT[#All],4,0)),"CUIT NO CARGADO")</f>
        <v>0</v>
      </c>
    </row>
    <row r="165" spans="2:18" ht="15" customHeight="1" x14ac:dyDescent="0.3">
      <c r="B165" s="456">
        <v>45106</v>
      </c>
      <c r="C165" s="457">
        <v>1</v>
      </c>
      <c r="D165" s="458">
        <v>3</v>
      </c>
      <c r="E165" s="506">
        <v>1899</v>
      </c>
      <c r="F165" s="459">
        <v>20106202274</v>
      </c>
      <c r="G165" s="460" t="str">
        <f>IFERROR(IF(compras_mes6[[#This Row],[CUIT]]="","-",VLOOKUP(compras_mes6[[#This Row],[CUIT]],Lista_CUIT[#All],2,0)),"CUIT NO CARGADO")</f>
        <v>CURTI OSVALDO JOSE</v>
      </c>
      <c r="H165" s="461">
        <v>17280</v>
      </c>
      <c r="I165" s="462">
        <f>IF(compras_mes6[[#This Row],[NETO GRAVADO]]="","",compras_mes6[[#This Row],[NETO GRAVADO]]*0.21)</f>
        <v>3628.7999999999997</v>
      </c>
      <c r="J165" s="462"/>
      <c r="K165" s="462"/>
      <c r="L165" s="462"/>
      <c r="M165" s="462"/>
      <c r="N165" s="462"/>
      <c r="O165" s="462"/>
      <c r="P165" s="463">
        <f>SUM(compras_mes6[[#This Row],[NETO GRAVADO]:[Otros / No Grav.]])</f>
        <v>20908.8</v>
      </c>
      <c r="Q165" s="464">
        <f>IFERROR(IF(compras_mes6[[#This Row],[CUIT]]="","-",VLOOKUP(compras_mes6[[#This Row],[CUIT]],Lista_CUIT[#All],3,0)),"CUIT NO CARGADO")</f>
        <v>0</v>
      </c>
      <c r="R165" s="464">
        <f>IFERROR(IF(compras_mes6[[#This Row],[CUIT]]="","-",VLOOKUP(compras_mes6[[#This Row],[CUIT]],Lista_CUIT[#All],4,0)),"CUIT NO CARGADO")</f>
        <v>0</v>
      </c>
    </row>
    <row r="166" spans="2:18" ht="15" customHeight="1" x14ac:dyDescent="0.3">
      <c r="B166" s="456">
        <v>45106</v>
      </c>
      <c r="C166" s="457">
        <v>1</v>
      </c>
      <c r="D166" s="458">
        <v>2</v>
      </c>
      <c r="E166" s="506">
        <v>3379</v>
      </c>
      <c r="F166" s="459">
        <v>30629863571</v>
      </c>
      <c r="G166" s="460" t="str">
        <f>IFERROR(IF(compras_mes6[[#This Row],[CUIT]]="","-",VLOOKUP(compras_mes6[[#This Row],[CUIT]],Lista_CUIT[#All],2,0)),"CUIT NO CARGADO")</f>
        <v>TECNIMAR S R L</v>
      </c>
      <c r="H166" s="461">
        <v>355248</v>
      </c>
      <c r="I166" s="462">
        <f>IF(compras_mes6[[#This Row],[NETO GRAVADO]]="","",compras_mes6[[#This Row],[NETO GRAVADO]]*0.21)</f>
        <v>74602.080000000002</v>
      </c>
      <c r="J166" s="462"/>
      <c r="K166" s="462"/>
      <c r="L166" s="462"/>
      <c r="M166" s="462"/>
      <c r="N166" s="462"/>
      <c r="O166" s="462"/>
      <c r="P166" s="463">
        <f>SUM(compras_mes6[[#This Row],[NETO GRAVADO]:[Otros / No Grav.]])</f>
        <v>429850.08</v>
      </c>
      <c r="Q166" s="464" t="str">
        <f>IFERROR(IF(compras_mes6[[#This Row],[CUIT]]="","-",VLOOKUP(compras_mes6[[#This Row],[CUIT]],Lista_CUIT[#All],3,0)),"CUIT NO CARGADO")</f>
        <v>LABORATORIO</v>
      </c>
      <c r="R166" s="464">
        <f>IFERROR(IF(compras_mes6[[#This Row],[CUIT]]="","-",VLOOKUP(compras_mes6[[#This Row],[CUIT]],Lista_CUIT[#All],4,0)),"CUIT NO CARGADO")</f>
        <v>0</v>
      </c>
    </row>
    <row r="167" spans="2:18" ht="23.4" customHeight="1" x14ac:dyDescent="0.3">
      <c r="B167" s="456">
        <v>45106</v>
      </c>
      <c r="C167" s="457">
        <v>1</v>
      </c>
      <c r="D167" s="458">
        <v>20</v>
      </c>
      <c r="E167" s="506">
        <v>9281</v>
      </c>
      <c r="F167" s="459">
        <v>30515800219</v>
      </c>
      <c r="G167" s="460" t="str">
        <f>IFERROR(IF(compras_mes6[[#This Row],[CUIT]]="","-",VLOOKUP(compras_mes6[[#This Row],[CUIT]],Lista_CUIT[#All],2,0)),"CUIT NO CARGADO")</f>
        <v>INCAT SRL</v>
      </c>
      <c r="H167" s="461">
        <v>816.76</v>
      </c>
      <c r="I167" s="462">
        <f>IF(compras_mes6[[#This Row],[NETO GRAVADO]]="","",compras_mes6[[#This Row],[NETO GRAVADO]]*0.21)</f>
        <v>171.5196</v>
      </c>
      <c r="J167" s="462"/>
      <c r="K167" s="462"/>
      <c r="L167" s="462"/>
      <c r="M167" s="462"/>
      <c r="N167" s="462"/>
      <c r="O167" s="462">
        <v>11.72</v>
      </c>
      <c r="P167" s="463">
        <f>SUM(compras_mes6[[#This Row],[NETO GRAVADO]:[Otros / No Grav.]])</f>
        <v>999.99959999999999</v>
      </c>
      <c r="Q167" s="464" t="str">
        <f>IFERROR(IF(compras_mes6[[#This Row],[CUIT]]="","-",VLOOKUP(compras_mes6[[#This Row],[CUIT]],Lista_CUIT[#All],3,0)),"CUIT NO CARGADO")</f>
        <v>Combustibe</v>
      </c>
      <c r="R167" s="464" t="str">
        <f>IFERROR(IF(compras_mes6[[#This Row],[CUIT]]="","-",VLOOKUP(compras_mes6[[#This Row],[CUIT]],Lista_CUIT[#All],4,0)),"CUIT NO CARGADO")</f>
        <v>CABA</v>
      </c>
    </row>
    <row r="168" spans="2:18" ht="18.75" customHeight="1" x14ac:dyDescent="0.3">
      <c r="B168" s="456">
        <v>45106</v>
      </c>
      <c r="C168" s="457">
        <v>1</v>
      </c>
      <c r="D168" s="458">
        <v>21</v>
      </c>
      <c r="E168" s="506">
        <v>31378</v>
      </c>
      <c r="F168" s="459">
        <v>30515800219</v>
      </c>
      <c r="G168" s="460" t="str">
        <f>IFERROR(IF(compras_mes6[[#This Row],[CUIT]]="","-",VLOOKUP(compras_mes6[[#This Row],[CUIT]],Lista_CUIT[#All],2,0)),"CUIT NO CARGADO")</f>
        <v>INCAT SRL</v>
      </c>
      <c r="H168" s="461">
        <v>6152.95</v>
      </c>
      <c r="I168" s="462">
        <f>IF(compras_mes6[[#This Row],[NETO GRAVADO]]="","",compras_mes6[[#This Row],[NETO GRAVADO]]*0.21)</f>
        <v>1292.1195</v>
      </c>
      <c r="J168" s="462"/>
      <c r="K168" s="462"/>
      <c r="L168" s="462"/>
      <c r="M168" s="462"/>
      <c r="N168" s="462"/>
      <c r="O168" s="462">
        <v>1056.97</v>
      </c>
      <c r="P168" s="463">
        <f>SUM(compras_mes6[[#This Row],[NETO GRAVADO]:[Otros / No Grav.]])</f>
        <v>8502.039499999999</v>
      </c>
      <c r="Q168" s="464" t="str">
        <f>IFERROR(IF(compras_mes6[[#This Row],[CUIT]]="","-",VLOOKUP(compras_mes6[[#This Row],[CUIT]],Lista_CUIT[#All],3,0)),"CUIT NO CARGADO")</f>
        <v>Combustibe</v>
      </c>
      <c r="R168" s="464" t="str">
        <f>IFERROR(IF(compras_mes6[[#This Row],[CUIT]]="","-",VLOOKUP(compras_mes6[[#This Row],[CUIT]],Lista_CUIT[#All],4,0)),"CUIT NO CARGADO")</f>
        <v>CABA</v>
      </c>
    </row>
    <row r="169" spans="2:18" x14ac:dyDescent="0.3">
      <c r="B169" s="456">
        <v>45106</v>
      </c>
      <c r="C169" s="457">
        <v>1</v>
      </c>
      <c r="D169" s="458">
        <v>11</v>
      </c>
      <c r="E169" s="506">
        <v>33691</v>
      </c>
      <c r="F169" s="459">
        <v>20359718765</v>
      </c>
      <c r="G169" s="460" t="str">
        <f>IFERROR(IF(compras_mes6[[#This Row],[CUIT]]="","-",VLOOKUP(compras_mes6[[#This Row],[CUIT]],Lista_CUIT[#All],2,0)),"CUIT NO CARGADO")</f>
        <v>FAIL ABRAHAM</v>
      </c>
      <c r="H169" s="461">
        <v>3166.52</v>
      </c>
      <c r="I169" s="462"/>
      <c r="J169" s="462"/>
      <c r="K169" s="462">
        <v>332.48</v>
      </c>
      <c r="L169" s="462"/>
      <c r="M169" s="462"/>
      <c r="N169" s="462"/>
      <c r="O169" s="462"/>
      <c r="P169" s="463">
        <f>SUM(compras_mes6[[#This Row],[NETO GRAVADO]:[Otros / No Grav.]])</f>
        <v>3499</v>
      </c>
      <c r="Q169" s="464">
        <f>IFERROR(IF(compras_mes6[[#This Row],[CUIT]]="","-",VLOOKUP(compras_mes6[[#This Row],[CUIT]],Lista_CUIT[#All],3,0)),"CUIT NO CARGADO")</f>
        <v>0</v>
      </c>
      <c r="R169" s="464">
        <f>IFERROR(IF(compras_mes6[[#This Row],[CUIT]]="","-",VLOOKUP(compras_mes6[[#This Row],[CUIT]],Lista_CUIT[#All],4,0)),"CUIT NO CARGADO")</f>
        <v>0</v>
      </c>
    </row>
    <row r="170" spans="2:18" x14ac:dyDescent="0.3">
      <c r="B170" s="456">
        <v>45106</v>
      </c>
      <c r="C170" s="457">
        <v>1</v>
      </c>
      <c r="D170" s="458">
        <v>27</v>
      </c>
      <c r="E170" s="506">
        <v>1384979</v>
      </c>
      <c r="F170" s="459">
        <v>30703088534</v>
      </c>
      <c r="G170" s="460" t="str">
        <f>IFERROR(IF(compras_mes6[[#This Row],[CUIT]]="","-",VLOOKUP(compras_mes6[[#This Row],[CUIT]],Lista_CUIT[#All],2,0)),"CUIT NO CARGADO")</f>
        <v>MERCADO LIBRE SRL</v>
      </c>
      <c r="H170" s="461">
        <v>309168.87</v>
      </c>
      <c r="I170" s="462">
        <f>IF(compras_mes6[[#This Row],[NETO GRAVADO]]="","",compras_mes6[[#This Row],[NETO GRAVADO]]*0.21)</f>
        <v>64925.462699999996</v>
      </c>
      <c r="J170" s="462"/>
      <c r="K170" s="462"/>
      <c r="L170" s="462"/>
      <c r="M170" s="462"/>
      <c r="N170" s="462">
        <v>18550.099999999999</v>
      </c>
      <c r="O170" s="462">
        <v>12366.73</v>
      </c>
      <c r="P170" s="463">
        <f>SUM(compras_mes6[[#This Row],[NETO GRAVADO]:[Otros / No Grav.]])</f>
        <v>405011.16269999993</v>
      </c>
      <c r="Q170" s="464" t="str">
        <f>IFERROR(IF(compras_mes6[[#This Row],[CUIT]]="","-",VLOOKUP(compras_mes6[[#This Row],[CUIT]],Lista_CUIT[#All],3,0)),"CUIT NO CARGADO")</f>
        <v>Gastos Varios</v>
      </c>
      <c r="R170" s="464" t="str">
        <f>IFERROR(IF(compras_mes6[[#This Row],[CUIT]]="","-",VLOOKUP(compras_mes6[[#This Row],[CUIT]],Lista_CUIT[#All],4,0)),"CUIT NO CARGADO")</f>
        <v>CABA</v>
      </c>
    </row>
    <row r="171" spans="2:18" x14ac:dyDescent="0.3">
      <c r="B171" s="456">
        <v>45107</v>
      </c>
      <c r="C171" s="457">
        <v>1</v>
      </c>
      <c r="D171" s="458">
        <v>20</v>
      </c>
      <c r="E171" s="506">
        <v>9290</v>
      </c>
      <c r="F171" s="459">
        <v>30515800219</v>
      </c>
      <c r="G171" s="460" t="str">
        <f>IFERROR(IF(compras_mes6[[#This Row],[CUIT]]="","-",VLOOKUP(compras_mes6[[#This Row],[CUIT]],Lista_CUIT[#All],2,0)),"CUIT NO CARGADO")</f>
        <v>INCAT SRL</v>
      </c>
      <c r="H171" s="461">
        <v>816.77</v>
      </c>
      <c r="I171" s="462">
        <f>IF(compras_mes6[[#This Row],[NETO GRAVADO]]="","",compras_mes6[[#This Row],[NETO GRAVADO]]*0.21)</f>
        <v>171.52169999999998</v>
      </c>
      <c r="J171" s="462"/>
      <c r="K171" s="462"/>
      <c r="L171" s="462"/>
      <c r="M171" s="462"/>
      <c r="N171" s="462"/>
      <c r="O171" s="462">
        <v>11.71</v>
      </c>
      <c r="P171" s="463">
        <f>SUM(compras_mes6[[#This Row],[NETO GRAVADO]:[Otros / No Grav.]])</f>
        <v>1000.0017</v>
      </c>
      <c r="Q171" s="464" t="str">
        <f>IFERROR(IF(compras_mes6[[#This Row],[CUIT]]="","-",VLOOKUP(compras_mes6[[#This Row],[CUIT]],Lista_CUIT[#All],3,0)),"CUIT NO CARGADO")</f>
        <v>Combustibe</v>
      </c>
      <c r="R171" s="464" t="str">
        <f>IFERROR(IF(compras_mes6[[#This Row],[CUIT]]="","-",VLOOKUP(compras_mes6[[#This Row],[CUIT]],Lista_CUIT[#All],4,0)),"CUIT NO CARGADO")</f>
        <v>CABA</v>
      </c>
    </row>
    <row r="172" spans="2:18" x14ac:dyDescent="0.3">
      <c r="B172" s="486">
        <v>45107</v>
      </c>
      <c r="C172" s="250">
        <v>1</v>
      </c>
      <c r="D172" s="487">
        <v>50</v>
      </c>
      <c r="E172" s="488">
        <v>3154016</v>
      </c>
      <c r="F172" s="476">
        <v>30714112836</v>
      </c>
      <c r="G172" s="489" t="str">
        <f>IFERROR(IF(compras_mes6[[#This Row],[CUIT]]="","-",VLOOKUP(compras_mes6[[#This Row],[CUIT]],Lista_CUIT[#All],2,0)),"CUIT NO CARGADO")</f>
        <v>AUTOPISTAS DE BS AS</v>
      </c>
      <c r="H172" s="490">
        <v>8425.6200000000008</v>
      </c>
      <c r="I172" s="491">
        <f>IF(compras_mes6[[#This Row],[NETO GRAVADO]]="","",compras_mes6[[#This Row],[NETO GRAVADO]]*0.21)</f>
        <v>1769.3802000000001</v>
      </c>
      <c r="J172" s="491"/>
      <c r="K172" s="491"/>
      <c r="L172" s="491"/>
      <c r="M172" s="491"/>
      <c r="N172" s="491"/>
      <c r="O172" s="491">
        <v>252.77</v>
      </c>
      <c r="P172" s="492">
        <f>SUM(compras_mes6[[#This Row],[NETO GRAVADO]:[Otros / No Grav.]])</f>
        <v>10447.770200000001</v>
      </c>
      <c r="Q172" s="493">
        <f>IFERROR(IF(compras_mes6[[#This Row],[CUIT]]="","-",VLOOKUP(compras_mes6[[#This Row],[CUIT]],Lista_CUIT[#All],3,0)),"CUIT NO CARGADO")</f>
        <v>0</v>
      </c>
      <c r="R172" s="493">
        <f>IFERROR(IF(compras_mes6[[#This Row],[CUIT]]="","-",VLOOKUP(compras_mes6[[#This Row],[CUIT]],Lista_CUIT[#All],4,0)),"CUIT NO CARGADO")</f>
        <v>0</v>
      </c>
    </row>
    <row r="173" spans="2:18" x14ac:dyDescent="0.3">
      <c r="B173" s="465" t="s">
        <v>103</v>
      </c>
      <c r="C173" s="465"/>
      <c r="D173" s="465"/>
      <c r="E173" s="465"/>
      <c r="F173" s="465"/>
      <c r="G173" s="466"/>
      <c r="H173" s="467">
        <f>SUBTOTAL(109,compras_mes6[NETO GRAVADO])</f>
        <v>20653794.580000024</v>
      </c>
      <c r="I173" s="467">
        <f>SUBTOTAL(109,compras_mes6[IVA 21 %])</f>
        <v>4234499.0495000007</v>
      </c>
      <c r="J173" s="467">
        <f>SUBTOTAL(109,compras_mes6[IVA 27%])</f>
        <v>8209.67</v>
      </c>
      <c r="K173" s="467">
        <f>SUBTOTAL(109,compras_mes6[IVA 10,5%])</f>
        <v>48206.28</v>
      </c>
      <c r="L173" s="467">
        <f>SUBTOTAL(109,compras_mes6[PERC. IVA])</f>
        <v>4750.0410499999998</v>
      </c>
      <c r="M173" s="467">
        <f>SUBTOTAL(109,compras_mes6[PERC IIBB 
BS AS])</f>
        <v>0</v>
      </c>
      <c r="N173" s="467">
        <f>SUBTOTAL(109,compras_mes6[PERC. IIBB CABA])</f>
        <v>191902.08999999994</v>
      </c>
      <c r="O173" s="467">
        <f>SUBTOTAL(109,compras_mes6[Otros / No Grav.])</f>
        <v>57434.950000000012</v>
      </c>
      <c r="P173" s="467">
        <f>SUBTOTAL(109,compras_mes6[TOTAL])</f>
        <v>25198796.660549998</v>
      </c>
      <c r="Q173" s="465"/>
      <c r="R173" s="465"/>
    </row>
    <row r="174" spans="2:18" x14ac:dyDescent="0.3">
      <c r="B174" s="40"/>
      <c r="C174" s="41"/>
      <c r="D174" s="42"/>
      <c r="E174" s="43"/>
      <c r="F174" s="44"/>
      <c r="G174" s="45"/>
      <c r="H174" s="46"/>
      <c r="I174" s="47"/>
      <c r="J174" s="47"/>
      <c r="K174" s="47"/>
      <c r="L174" s="47"/>
      <c r="M174" s="47"/>
      <c r="N174" s="47"/>
      <c r="O174" s="47"/>
      <c r="P174" s="48"/>
      <c r="Q174" s="49"/>
      <c r="R174" s="49"/>
    </row>
    <row r="175" spans="2:18" ht="21" x14ac:dyDescent="0.3">
      <c r="D175" s="653" t="s">
        <v>15</v>
      </c>
      <c r="E175" s="653"/>
      <c r="F175" s="653"/>
      <c r="G175" s="653"/>
      <c r="H175" s="653"/>
      <c r="I175" s="653"/>
      <c r="J175" s="653"/>
      <c r="K175" s="653"/>
      <c r="L175" s="653"/>
    </row>
    <row r="176" spans="2:18" ht="15.6" x14ac:dyDescent="0.3">
      <c r="D176" s="73" t="s">
        <v>0</v>
      </c>
      <c r="E176" s="74" t="s">
        <v>26</v>
      </c>
      <c r="F176" s="74" t="s">
        <v>16</v>
      </c>
      <c r="G176" s="74" t="s">
        <v>5</v>
      </c>
      <c r="H176" s="74" t="s">
        <v>17</v>
      </c>
      <c r="I176" s="74" t="s">
        <v>7</v>
      </c>
      <c r="J176" s="75" t="s">
        <v>18</v>
      </c>
      <c r="K176" s="75" t="s">
        <v>19</v>
      </c>
      <c r="L176" s="76" t="s">
        <v>20</v>
      </c>
    </row>
    <row r="177" spans="4:12" x14ac:dyDescent="0.3">
      <c r="D177" s="495">
        <v>45107</v>
      </c>
      <c r="E177" s="500">
        <v>300623</v>
      </c>
      <c r="F177" s="498" t="s">
        <v>115</v>
      </c>
      <c r="G177" s="496">
        <v>17647</v>
      </c>
      <c r="H177" s="496">
        <f>extracto_banco_mes6[[#This Row],[NETO]]*0.21</f>
        <v>3705.87</v>
      </c>
      <c r="I177" s="496"/>
      <c r="J177" s="496">
        <v>845.4</v>
      </c>
      <c r="K177" s="496">
        <v>422.7</v>
      </c>
      <c r="L177" s="496"/>
    </row>
    <row r="178" spans="4:12" x14ac:dyDescent="0.3">
      <c r="D178" s="495">
        <v>45106</v>
      </c>
      <c r="E178" s="500">
        <v>290623</v>
      </c>
      <c r="F178" s="498" t="s">
        <v>1911</v>
      </c>
      <c r="G178" s="496">
        <v>1400</v>
      </c>
      <c r="H178" s="496">
        <f>extracto_banco_mes6[[#This Row],[NETO]]*0.21</f>
        <v>294</v>
      </c>
      <c r="I178" s="496"/>
      <c r="J178" s="496">
        <v>1749.36</v>
      </c>
      <c r="K178" s="496"/>
      <c r="L178" s="496"/>
    </row>
    <row r="179" spans="4:12" x14ac:dyDescent="0.3">
      <c r="D179" s="495">
        <v>45107</v>
      </c>
      <c r="E179" s="500">
        <v>602330</v>
      </c>
      <c r="F179" s="498" t="s">
        <v>116</v>
      </c>
      <c r="G179" s="496">
        <v>792.5</v>
      </c>
      <c r="H179" s="496">
        <f>extracto_banco_mes6[[#This Row],[NETO]]*0.21</f>
        <v>166.42499999999998</v>
      </c>
      <c r="I179" s="496"/>
      <c r="J179" s="496">
        <v>4422.13</v>
      </c>
      <c r="K179" s="496"/>
      <c r="L179" s="496"/>
    </row>
    <row r="180" spans="4:12" x14ac:dyDescent="0.3">
      <c r="D180" s="495">
        <v>45106</v>
      </c>
      <c r="E180" s="500">
        <v>230629</v>
      </c>
      <c r="F180" s="498" t="s">
        <v>1600</v>
      </c>
      <c r="G180" s="496">
        <v>850</v>
      </c>
      <c r="H180" s="496">
        <f>extracto_banco_mes6[[#This Row],[NETO]]*0.21</f>
        <v>178.5</v>
      </c>
      <c r="I180" s="496"/>
      <c r="J180" s="496">
        <v>51.11</v>
      </c>
      <c r="K180" s="496"/>
      <c r="L180" s="496"/>
    </row>
    <row r="181" spans="4:12" x14ac:dyDescent="0.3">
      <c r="D181" s="495">
        <v>45107</v>
      </c>
      <c r="E181" s="500">
        <v>230630</v>
      </c>
      <c r="F181" s="498" t="s">
        <v>118</v>
      </c>
      <c r="G181" s="496">
        <v>8750</v>
      </c>
      <c r="H181" s="496">
        <f>extracto_banco_mes6[[#This Row],[NETO]]*0.21</f>
        <v>1837.5</v>
      </c>
      <c r="I181" s="496"/>
      <c r="J181" s="496">
        <v>525</v>
      </c>
      <c r="K181" s="496">
        <v>262.5</v>
      </c>
      <c r="L181" s="496"/>
    </row>
    <row r="182" spans="4:12" x14ac:dyDescent="0.3">
      <c r="D182" s="495">
        <v>45100</v>
      </c>
      <c r="E182" s="500">
        <v>15704552</v>
      </c>
      <c r="F182" s="498" t="s">
        <v>1912</v>
      </c>
      <c r="G182" s="496">
        <v>24995</v>
      </c>
      <c r="H182" s="496">
        <f>extracto_banco_mes6[[#This Row],[NETO]]*0.21</f>
        <v>5248.95</v>
      </c>
      <c r="I182" s="496"/>
      <c r="J182" s="496"/>
      <c r="K182" s="496">
        <v>749.85</v>
      </c>
      <c r="L182" s="496"/>
    </row>
    <row r="183" spans="4:12" x14ac:dyDescent="0.3">
      <c r="D183" s="495">
        <v>45107</v>
      </c>
      <c r="E183" s="500">
        <v>603023</v>
      </c>
      <c r="F183" s="498" t="s">
        <v>1742</v>
      </c>
      <c r="G183" s="496">
        <v>130770.14</v>
      </c>
      <c r="H183" s="496">
        <f>extracto_banco_mes6[[#This Row],[NETO]]*0.21</f>
        <v>27461.7294</v>
      </c>
      <c r="I183" s="496">
        <v>43168.82</v>
      </c>
      <c r="J183" s="496">
        <v>383492.2</v>
      </c>
      <c r="K183" s="496">
        <v>2478.52</v>
      </c>
      <c r="L183" s="496"/>
    </row>
    <row r="184" spans="4:12" x14ac:dyDescent="0.3">
      <c r="D184" s="495"/>
      <c r="E184" s="500"/>
      <c r="F184" s="498"/>
      <c r="G184" s="496"/>
      <c r="H184" s="496">
        <f>extracto_banco_mes6[[#This Row],[NETO]]*0.21</f>
        <v>0</v>
      </c>
      <c r="I184" s="496"/>
      <c r="J184" s="496"/>
      <c r="K184" s="496"/>
      <c r="L184" s="496"/>
    </row>
    <row r="185" spans="4:12" x14ac:dyDescent="0.3">
      <c r="D185" s="497" t="s">
        <v>103</v>
      </c>
      <c r="E185" s="498"/>
      <c r="F185" s="498"/>
      <c r="G185" s="499">
        <f>SUBTOTAL(109,extracto_banco_mes6[NETO])</f>
        <v>185204.64</v>
      </c>
      <c r="H185" s="499">
        <f>SUBTOTAL(109,extracto_banco_mes6[IVA 21%])</f>
        <v>38892.974399999999</v>
      </c>
      <c r="I185" s="499">
        <f>SUBTOTAL(109,extracto_banco_mes6[IVA 10,5%])</f>
        <v>43168.82</v>
      </c>
      <c r="J185" s="499">
        <f>SUBTOTAL(109,extracto_banco_mes6[RET IIBB CABA])</f>
        <v>391085.2</v>
      </c>
      <c r="K185" s="499">
        <f>SUBTOTAL(109,extracto_banco_mes6[PERC IVA])</f>
        <v>3913.57</v>
      </c>
      <c r="L185" s="499">
        <f>SUBTOTAL(109,extracto_banco_mes6[PERC IIBB])</f>
        <v>0</v>
      </c>
    </row>
    <row r="187" spans="4:12" ht="21" x14ac:dyDescent="0.3">
      <c r="D187" s="653" t="s">
        <v>25</v>
      </c>
      <c r="E187" s="653"/>
      <c r="F187" s="653"/>
      <c r="G187" s="653"/>
      <c r="H187" s="653"/>
      <c r="I187" s="653"/>
      <c r="J187" s="653"/>
      <c r="K187" s="653"/>
    </row>
    <row r="188" spans="4:12" x14ac:dyDescent="0.3">
      <c r="D188" s="51" t="s">
        <v>0</v>
      </c>
      <c r="E188" s="51" t="s">
        <v>2</v>
      </c>
      <c r="F188" s="51" t="s">
        <v>74</v>
      </c>
      <c r="G188" s="51" t="s">
        <v>3</v>
      </c>
      <c r="H188" s="51" t="s">
        <v>4</v>
      </c>
      <c r="I188" s="52" t="s">
        <v>10</v>
      </c>
      <c r="J188" s="51" t="s">
        <v>13</v>
      </c>
      <c r="K188" s="51" t="s">
        <v>38</v>
      </c>
    </row>
    <row r="189" spans="4:12" x14ac:dyDescent="0.3">
      <c r="D189" s="456">
        <v>45078</v>
      </c>
      <c r="E189" s="468">
        <v>3</v>
      </c>
      <c r="F189" s="468">
        <v>740</v>
      </c>
      <c r="G189" s="469">
        <v>20086277523</v>
      </c>
      <c r="H189" s="470" t="str">
        <f>IFERROR(IF(factura_c_mes6[[#This Row],[CUIT]]="","-",VLOOKUP(factura_c_mes6[[#This Row],[CUIT]],Lista_CUIT[#All],2,0)),"CUIT NO CARGADO")</f>
        <v>BOTINDARI JUAN CARLOS</v>
      </c>
      <c r="I189" s="471">
        <v>81000</v>
      </c>
      <c r="J189" s="472" t="str">
        <f>IFERROR(IF(factura_c_mes6[[#This Row],[CUIT]]="","-",VLOOKUP(factura_c_mes6[[#This Row],[CUIT]],Lista_CUIT[#All],3,0)),"CUIT NO CARGADO")</f>
        <v>HONORARIOS</v>
      </c>
      <c r="K189" s="472" t="str">
        <f>IFERROR(IF(factura_c_mes6[[#This Row],[CUIT]]="","-",VLOOKUP(factura_c_mes6[[#This Row],[CUIT]],Lista_CUIT[#All],4,0)),"CUIT NO CARGADO")</f>
        <v>CABA</v>
      </c>
    </row>
    <row r="190" spans="4:12" x14ac:dyDescent="0.3">
      <c r="D190" s="456">
        <v>45078</v>
      </c>
      <c r="E190" s="468">
        <v>3</v>
      </c>
      <c r="F190" s="468">
        <v>412</v>
      </c>
      <c r="G190" s="469">
        <v>20173025557</v>
      </c>
      <c r="H190" s="470" t="str">
        <f>IFERROR(IF(factura_c_mes6[[#This Row],[CUIT]]="","-",VLOOKUP(factura_c_mes6[[#This Row],[CUIT]],Lista_CUIT[#All],2,0)),"CUIT NO CARGADO")</f>
        <v>MARAUDA HECTOR</v>
      </c>
      <c r="I190" s="471">
        <v>1400</v>
      </c>
      <c r="J190" s="472">
        <f>IFERROR(IF(factura_c_mes6[[#This Row],[CUIT]]="","-",VLOOKUP(factura_c_mes6[[#This Row],[CUIT]],Lista_CUIT[#All],3,0)),"CUIT NO CARGADO")</f>
        <v>0</v>
      </c>
      <c r="K190" s="472">
        <f>IFERROR(IF(factura_c_mes6[[#This Row],[CUIT]]="","-",VLOOKUP(factura_c_mes6[[#This Row],[CUIT]],Lista_CUIT[#All],4,0)),"CUIT NO CARGADO")</f>
        <v>0</v>
      </c>
    </row>
    <row r="191" spans="4:12" x14ac:dyDescent="0.3">
      <c r="D191" s="456">
        <v>45079</v>
      </c>
      <c r="E191" s="468">
        <v>12</v>
      </c>
      <c r="F191" s="468">
        <v>25280</v>
      </c>
      <c r="G191" s="469">
        <v>30662624736</v>
      </c>
      <c r="H191" s="470" t="str">
        <f>IFERROR(IF(factura_c_mes6[[#This Row],[CUIT]]="","-",VLOOKUP(factura_c_mes6[[#This Row],[CUIT]],Lista_CUIT[#All],2,0)),"CUIT NO CARGADO")</f>
        <v>COMBUSTIBLES MORABITO HNOS SRL</v>
      </c>
      <c r="I191" s="471">
        <v>1000</v>
      </c>
      <c r="J191" s="472" t="str">
        <f>IFERROR(IF(factura_c_mes6[[#This Row],[CUIT]]="","-",VLOOKUP(factura_c_mes6[[#This Row],[CUIT]],Lista_CUIT[#All],3,0)),"CUIT NO CARGADO")</f>
        <v>COMBUSTIBLE</v>
      </c>
      <c r="K191" s="472" t="str">
        <f>IFERROR(IF(factura_c_mes6[[#This Row],[CUIT]]="","-",VLOOKUP(factura_c_mes6[[#This Row],[CUIT]],Lista_CUIT[#All],4,0)),"CUIT NO CARGADO")</f>
        <v>BUENOS AIRES</v>
      </c>
    </row>
    <row r="192" spans="4:12" ht="18" customHeight="1" x14ac:dyDescent="0.3">
      <c r="D192" s="456">
        <v>45082</v>
      </c>
      <c r="E192" s="468">
        <v>1</v>
      </c>
      <c r="F192" s="468">
        <v>32</v>
      </c>
      <c r="G192" s="469">
        <v>30717504824</v>
      </c>
      <c r="H192" s="470" t="str">
        <f>IFERROR(IF(factura_c_mes6[[#This Row],[CUIT]]="","-",VLOOKUP(factura_c_mes6[[#This Row],[CUIT]],Lista_CUIT[#All],2,0)),"CUIT NO CARGADO")</f>
        <v>FIDEICOMISO MAMBA</v>
      </c>
      <c r="I192" s="471">
        <v>704200</v>
      </c>
      <c r="J192" s="472">
        <f>IFERROR(IF(factura_c_mes6[[#This Row],[CUIT]]="","-",VLOOKUP(factura_c_mes6[[#This Row],[CUIT]],Lista_CUIT[#All],3,0)),"CUIT NO CARGADO")</f>
        <v>0</v>
      </c>
      <c r="K192" s="472">
        <f>IFERROR(IF(factura_c_mes6[[#This Row],[CUIT]]="","-",VLOOKUP(factura_c_mes6[[#This Row],[CUIT]],Lista_CUIT[#All],4,0)),"CUIT NO CARGADO")</f>
        <v>0</v>
      </c>
    </row>
    <row r="193" spans="4:11" x14ac:dyDescent="0.3">
      <c r="D193" s="456">
        <v>45082</v>
      </c>
      <c r="E193" s="468">
        <v>13</v>
      </c>
      <c r="F193" s="468">
        <v>103291</v>
      </c>
      <c r="G193" s="469">
        <v>30711439311</v>
      </c>
      <c r="H193" s="470" t="str">
        <f>IFERROR(IF(factura_c_mes6[[#This Row],[CUIT]]="","-",VLOOKUP(factura_c_mes6[[#This Row],[CUIT]],Lista_CUIT[#All],2,0)),"CUIT NO CARGADO")</f>
        <v>LA QUINTA ESTACION SRL</v>
      </c>
      <c r="I193" s="471">
        <v>780</v>
      </c>
      <c r="J193" s="472" t="str">
        <f>IFERROR(IF(factura_c_mes6[[#This Row],[CUIT]]="","-",VLOOKUP(factura_c_mes6[[#This Row],[CUIT]],Lista_CUIT[#All],3,0)),"CUIT NO CARGADO")</f>
        <v>GASTOS COMERCIALES</v>
      </c>
      <c r="K193" s="472">
        <f>IFERROR(IF(factura_c_mes6[[#This Row],[CUIT]]="","-",VLOOKUP(factura_c_mes6[[#This Row],[CUIT]],Lista_CUIT[#All],4,0)),"CUIT NO CARGADO")</f>
        <v>0</v>
      </c>
    </row>
    <row r="194" spans="4:11" x14ac:dyDescent="0.3">
      <c r="D194" s="456">
        <v>45083</v>
      </c>
      <c r="E194" s="468">
        <v>2</v>
      </c>
      <c r="F194" s="468">
        <v>239</v>
      </c>
      <c r="G194" s="469">
        <v>23319210954</v>
      </c>
      <c r="H194" s="470" t="str">
        <f>IFERROR(IF(factura_c_mes6[[#This Row],[CUIT]]="","-",VLOOKUP(factura_c_mes6[[#This Row],[CUIT]],Lista_CUIT[#All],2,0)),"CUIT NO CARGADO")</f>
        <v>CAFFARATTI ROMINA PAOLA</v>
      </c>
      <c r="I194" s="471">
        <v>29190</v>
      </c>
      <c r="J194" s="472" t="str">
        <f>IFERROR(IF(factura_c_mes6[[#This Row],[CUIT]]="","-",VLOOKUP(factura_c_mes6[[#This Row],[CUIT]],Lista_CUIT[#All],3,0)),"CUIT NO CARGADO")</f>
        <v>HONORARIOS</v>
      </c>
      <c r="K194" s="472">
        <f>IFERROR(IF(factura_c_mes6[[#This Row],[CUIT]]="","-",VLOOKUP(factura_c_mes6[[#This Row],[CUIT]],Lista_CUIT[#All],4,0)),"CUIT NO CARGADO")</f>
        <v>0</v>
      </c>
    </row>
    <row r="195" spans="4:11" ht="18" customHeight="1" x14ac:dyDescent="0.3">
      <c r="D195" s="456">
        <v>45084</v>
      </c>
      <c r="E195" s="468">
        <v>2</v>
      </c>
      <c r="F195" s="468">
        <v>25</v>
      </c>
      <c r="G195" s="469">
        <v>20231009524</v>
      </c>
      <c r="H195" s="470" t="str">
        <f>IFERROR(IF(factura_c_mes6[[#This Row],[CUIT]]="","-",VLOOKUP(factura_c_mes6[[#This Row],[CUIT]],Lista_CUIT[#All],2,0)),"CUIT NO CARGADO")</f>
        <v>RAMOS PATRICIO SEBASTIAN</v>
      </c>
      <c r="I195" s="471">
        <v>300000</v>
      </c>
      <c r="J195" s="472" t="str">
        <f>IFERROR(IF(factura_c_mes6[[#This Row],[CUIT]]="","-",VLOOKUP(factura_c_mes6[[#This Row],[CUIT]],Lista_CUIT[#All],3,0)),"CUIT NO CARGADO")</f>
        <v>Insumo</v>
      </c>
      <c r="K195" s="472" t="str">
        <f>IFERROR(IF(factura_c_mes6[[#This Row],[CUIT]]="","-",VLOOKUP(factura_c_mes6[[#This Row],[CUIT]],Lista_CUIT[#All],4,0)),"CUIT NO CARGADO")</f>
        <v>BUENOS AIRES</v>
      </c>
    </row>
    <row r="196" spans="4:11" x14ac:dyDescent="0.3">
      <c r="D196" s="456">
        <v>45085</v>
      </c>
      <c r="E196" s="468">
        <v>3</v>
      </c>
      <c r="F196" s="468">
        <v>410</v>
      </c>
      <c r="G196" s="469">
        <v>20210551574</v>
      </c>
      <c r="H196" s="470" t="str">
        <f>IFERROR(IF(factura_c_mes6[[#This Row],[CUIT]]="","-",VLOOKUP(factura_c_mes6[[#This Row],[CUIT]],Lista_CUIT[#All],2,0)),"CUIT NO CARGADO")</f>
        <v>REUS JORGE DIEGO</v>
      </c>
      <c r="I196" s="471">
        <v>50500</v>
      </c>
      <c r="J196" s="472" t="str">
        <f>IFERROR(IF(factura_c_mes6[[#This Row],[CUIT]]="","-",VLOOKUP(factura_c_mes6[[#This Row],[CUIT]],Lista_CUIT[#All],3,0)),"CUIT NO CARGADO")</f>
        <v>HONORARIOS PROFESIONALES</v>
      </c>
      <c r="K196" s="472">
        <f>IFERROR(IF(factura_c_mes6[[#This Row],[CUIT]]="","-",VLOOKUP(factura_c_mes6[[#This Row],[CUIT]],Lista_CUIT[#All],4,0)),"CUIT NO CARGADO")</f>
        <v>0</v>
      </c>
    </row>
    <row r="197" spans="4:11" ht="18" customHeight="1" x14ac:dyDescent="0.3">
      <c r="D197" s="456">
        <v>45086</v>
      </c>
      <c r="E197" s="468">
        <v>19</v>
      </c>
      <c r="F197" s="468">
        <v>77155</v>
      </c>
      <c r="G197" s="469">
        <v>30537781323</v>
      </c>
      <c r="H197" s="470" t="str">
        <f>IFERROR(IF(factura_c_mes6[[#This Row],[CUIT]]="","-",VLOOKUP(factura_c_mes6[[#This Row],[CUIT]],Lista_CUIT[#All],2,0)),"CUIT NO CARGADO")</f>
        <v>ESTACION DE SERVICIO NORTEÑA SRL</v>
      </c>
      <c r="I197" s="471">
        <v>450.61</v>
      </c>
      <c r="J197" s="472" t="str">
        <f>IFERROR(IF(factura_c_mes6[[#This Row],[CUIT]]="","-",VLOOKUP(factura_c_mes6[[#This Row],[CUIT]],Lista_CUIT[#All],3,0)),"CUIT NO CARGADO")</f>
        <v>COMBUSTIBLE</v>
      </c>
      <c r="K197" s="472" t="str">
        <f>IFERROR(IF(factura_c_mes6[[#This Row],[CUIT]]="","-",VLOOKUP(factura_c_mes6[[#This Row],[CUIT]],Lista_CUIT[#All],4,0)),"CUIT NO CARGADO")</f>
        <v>CABA</v>
      </c>
    </row>
    <row r="198" spans="4:11" x14ac:dyDescent="0.3">
      <c r="D198" s="456">
        <v>45090</v>
      </c>
      <c r="E198" s="468">
        <v>8</v>
      </c>
      <c r="F198" s="468">
        <v>353</v>
      </c>
      <c r="G198" s="469">
        <v>27409592487</v>
      </c>
      <c r="H198" s="470" t="str">
        <f>IFERROR(IF(factura_c_mes6[[#This Row],[CUIT]]="","-",VLOOKUP(factura_c_mes6[[#This Row],[CUIT]],Lista_CUIT[#All],2,0)),"CUIT NO CARGADO")</f>
        <v>BAUDONE ANTONELLA AGOSTINA</v>
      </c>
      <c r="I198" s="471">
        <v>10500</v>
      </c>
      <c r="J198" s="472">
        <f>IFERROR(IF(factura_c_mes6[[#This Row],[CUIT]]="","-",VLOOKUP(factura_c_mes6[[#This Row],[CUIT]],Lista_CUIT[#All],3,0)),"CUIT NO CARGADO")</f>
        <v>0</v>
      </c>
      <c r="K198" s="472">
        <f>IFERROR(IF(factura_c_mes6[[#This Row],[CUIT]]="","-",VLOOKUP(factura_c_mes6[[#This Row],[CUIT]],Lista_CUIT[#All],4,0)),"CUIT NO CARGADO")</f>
        <v>0</v>
      </c>
    </row>
    <row r="199" spans="4:11" x14ac:dyDescent="0.3">
      <c r="D199" s="456">
        <v>45090</v>
      </c>
      <c r="E199" s="468">
        <v>5</v>
      </c>
      <c r="F199" s="468">
        <v>624</v>
      </c>
      <c r="G199" s="469">
        <v>23316519539</v>
      </c>
      <c r="H199" s="470" t="str">
        <f>IFERROR(IF(factura_c_mes6[[#This Row],[CUIT]]="","-",VLOOKUP(factura_c_mes6[[#This Row],[CUIT]],Lista_CUIT[#All],2,0)),"CUIT NO CARGADO")</f>
        <v>LOPEZ MARTIN ALEJANDRO</v>
      </c>
      <c r="I199" s="471">
        <v>4000</v>
      </c>
      <c r="J199" s="472">
        <f>IFERROR(IF(factura_c_mes6[[#This Row],[CUIT]]="","-",VLOOKUP(factura_c_mes6[[#This Row],[CUIT]],Lista_CUIT[#All],3,0)),"CUIT NO CARGADO")</f>
        <v>0</v>
      </c>
      <c r="K199" s="472">
        <f>IFERROR(IF(factura_c_mes6[[#This Row],[CUIT]]="","-",VLOOKUP(factura_c_mes6[[#This Row],[CUIT]],Lista_CUIT[#All],4,0)),"CUIT NO CARGADO")</f>
        <v>0</v>
      </c>
    </row>
    <row r="200" spans="4:11" x14ac:dyDescent="0.3">
      <c r="D200" s="456">
        <v>45090</v>
      </c>
      <c r="E200" s="468">
        <v>5</v>
      </c>
      <c r="F200" s="468">
        <v>623</v>
      </c>
      <c r="G200" s="469">
        <v>23316519539</v>
      </c>
      <c r="H200" s="470" t="str">
        <f>IFERROR(IF(factura_c_mes6[[#This Row],[CUIT]]="","-",VLOOKUP(factura_c_mes6[[#This Row],[CUIT]],Lista_CUIT[#All],2,0)),"CUIT NO CARGADO")</f>
        <v>LOPEZ MARTIN ALEJANDRO</v>
      </c>
      <c r="I200" s="471">
        <v>4500</v>
      </c>
      <c r="J200" s="472">
        <f>IFERROR(IF(factura_c_mes6[[#This Row],[CUIT]]="","-",VLOOKUP(factura_c_mes6[[#This Row],[CUIT]],Lista_CUIT[#All],3,0)),"CUIT NO CARGADO")</f>
        <v>0</v>
      </c>
      <c r="K200" s="472">
        <f>IFERROR(IF(factura_c_mes6[[#This Row],[CUIT]]="","-",VLOOKUP(factura_c_mes6[[#This Row],[CUIT]],Lista_CUIT[#All],4,0)),"CUIT NO CARGADO")</f>
        <v>0</v>
      </c>
    </row>
    <row r="201" spans="4:11" x14ac:dyDescent="0.3">
      <c r="D201" s="456">
        <v>45098</v>
      </c>
      <c r="E201" s="468">
        <v>2036</v>
      </c>
      <c r="F201" s="468">
        <v>971840</v>
      </c>
      <c r="G201" s="469">
        <v>30516186670</v>
      </c>
      <c r="H201" s="470" t="str">
        <f>IFERROR(IF(factura_c_mes6[[#This Row],[CUIT]]="","-",VLOOKUP(factura_c_mes6[[#This Row],[CUIT]],Lista_CUIT[#All],2,0)),"CUIT NO CARGADO")</f>
        <v>DEHEZA S.A.I.C.F. e I.</v>
      </c>
      <c r="I201" s="471">
        <v>499.96</v>
      </c>
      <c r="J201" s="472" t="str">
        <f>IFERROR(IF(factura_c_mes6[[#This Row],[CUIT]]="","-",VLOOKUP(factura_c_mes6[[#This Row],[CUIT]],Lista_CUIT[#All],3,0)),"CUIT NO CARGADO")</f>
        <v>COMBUSTIBLE</v>
      </c>
      <c r="K201" s="472" t="str">
        <f>IFERROR(IF(factura_c_mes6[[#This Row],[CUIT]]="","-",VLOOKUP(factura_c_mes6[[#This Row],[CUIT]],Lista_CUIT[#All],4,0)),"CUIT NO CARGADO")</f>
        <v>CABA</v>
      </c>
    </row>
    <row r="202" spans="4:11" x14ac:dyDescent="0.3">
      <c r="D202" s="456">
        <v>45099</v>
      </c>
      <c r="E202" s="468">
        <v>8</v>
      </c>
      <c r="F202" s="468">
        <v>363</v>
      </c>
      <c r="G202" s="469">
        <v>27409592487</v>
      </c>
      <c r="H202" s="470" t="str">
        <f>IFERROR(IF(factura_c_mes6[[#This Row],[CUIT]]="","-",VLOOKUP(factura_c_mes6[[#This Row],[CUIT]],Lista_CUIT[#All],2,0)),"CUIT NO CARGADO")</f>
        <v>BAUDONE ANTONELLA AGOSTINA</v>
      </c>
      <c r="I202" s="471">
        <v>10000</v>
      </c>
      <c r="J202" s="472">
        <f>IFERROR(IF(factura_c_mes6[[#This Row],[CUIT]]="","-",VLOOKUP(factura_c_mes6[[#This Row],[CUIT]],Lista_CUIT[#All],3,0)),"CUIT NO CARGADO")</f>
        <v>0</v>
      </c>
      <c r="K202" s="472">
        <f>IFERROR(IF(factura_c_mes6[[#This Row],[CUIT]]="","-",VLOOKUP(factura_c_mes6[[#This Row],[CUIT]],Lista_CUIT[#All],4,0)),"CUIT NO CARGADO")</f>
        <v>0</v>
      </c>
    </row>
    <row r="203" spans="4:11" x14ac:dyDescent="0.3">
      <c r="D203" s="456">
        <v>45103</v>
      </c>
      <c r="E203" s="468">
        <v>2</v>
      </c>
      <c r="F203" s="468">
        <v>285</v>
      </c>
      <c r="G203" s="469">
        <v>20300814094</v>
      </c>
      <c r="H203" s="470" t="str">
        <f>IFERROR(IF(factura_c_mes6[[#This Row],[CUIT]]="","-",VLOOKUP(factura_c_mes6[[#This Row],[CUIT]],Lista_CUIT[#All],2,0)),"CUIT NO CARGADO")</f>
        <v>FARRAPEIRA OSCAR MAXIMO</v>
      </c>
      <c r="I203" s="471">
        <v>239300</v>
      </c>
      <c r="J203" s="472">
        <f>IFERROR(IF(factura_c_mes6[[#This Row],[CUIT]]="","-",VLOOKUP(factura_c_mes6[[#This Row],[CUIT]],Lista_CUIT[#All],3,0)),"CUIT NO CARGADO")</f>
        <v>0</v>
      </c>
      <c r="K203" s="472">
        <f>IFERROR(IF(factura_c_mes6[[#This Row],[CUIT]]="","-",VLOOKUP(factura_c_mes6[[#This Row],[CUIT]],Lista_CUIT[#All],4,0)),"CUIT NO CARGADO")</f>
        <v>0</v>
      </c>
    </row>
    <row r="204" spans="4:11" x14ac:dyDescent="0.3">
      <c r="D204" s="456">
        <v>45103</v>
      </c>
      <c r="E204" s="468">
        <v>31</v>
      </c>
      <c r="F204" s="468">
        <v>1371419</v>
      </c>
      <c r="G204" s="469">
        <v>30710114176</v>
      </c>
      <c r="H204" s="470" t="str">
        <f>IFERROR(IF(factura_c_mes6[[#This Row],[CUIT]]="","-",VLOOKUP(factura_c_mes6[[#This Row],[CUIT]],Lista_CUIT[#All],2,0)),"CUIT NO CARGADO")</f>
        <v>SYMONDS SA.</v>
      </c>
      <c r="I204" s="471">
        <v>216999</v>
      </c>
      <c r="J204" s="472" t="str">
        <f>IFERROR(IF(factura_c_mes6[[#This Row],[CUIT]]="","-",VLOOKUP(factura_c_mes6[[#This Row],[CUIT]],Lista_CUIT[#All],3,0)),"CUIT NO CARGADO")</f>
        <v xml:space="preserve">Gastos mantenimiento </v>
      </c>
      <c r="K204" s="472">
        <f>IFERROR(IF(factura_c_mes6[[#This Row],[CUIT]]="","-",VLOOKUP(factura_c_mes6[[#This Row],[CUIT]],Lista_CUIT[#All],4,0)),"CUIT NO CARGADO")</f>
        <v>0</v>
      </c>
    </row>
    <row r="205" spans="4:11" x14ac:dyDescent="0.3">
      <c r="D205" s="456">
        <v>45106</v>
      </c>
      <c r="E205" s="468">
        <v>8</v>
      </c>
      <c r="F205" s="468">
        <v>370</v>
      </c>
      <c r="G205" s="469">
        <v>27409592487</v>
      </c>
      <c r="H205" s="470" t="str">
        <f>IFERROR(IF(factura_c_mes6[[#This Row],[CUIT]]="","-",VLOOKUP(factura_c_mes6[[#This Row],[CUIT]],Lista_CUIT[#All],2,0)),"CUIT NO CARGADO")</f>
        <v>BAUDONE ANTONELLA AGOSTINA</v>
      </c>
      <c r="I205" s="471">
        <v>19000</v>
      </c>
      <c r="J205" s="472">
        <f>IFERROR(IF(factura_c_mes6[[#This Row],[CUIT]]="","-",VLOOKUP(factura_c_mes6[[#This Row],[CUIT]],Lista_CUIT[#All],3,0)),"CUIT NO CARGADO")</f>
        <v>0</v>
      </c>
      <c r="K205" s="472">
        <f>IFERROR(IF(factura_c_mes6[[#This Row],[CUIT]]="","-",VLOOKUP(factura_c_mes6[[#This Row],[CUIT]],Lista_CUIT[#All],4,0)),"CUIT NO CARGADO")</f>
        <v>0</v>
      </c>
    </row>
    <row r="206" spans="4:11" x14ac:dyDescent="0.3">
      <c r="D206" s="456">
        <v>45107</v>
      </c>
      <c r="E206" s="468">
        <v>4</v>
      </c>
      <c r="F206" s="468">
        <v>268</v>
      </c>
      <c r="G206" s="469">
        <v>23222942934</v>
      </c>
      <c r="H206" s="470" t="str">
        <f>IFERROR(IF(factura_c_mes6[[#This Row],[CUIT]]="","-",VLOOKUP(factura_c_mes6[[#This Row],[CUIT]],Lista_CUIT[#All],2,0)),"CUIT NO CARGADO")</f>
        <v>FIORI SILVIA LORENA</v>
      </c>
      <c r="I206" s="471">
        <v>43500</v>
      </c>
      <c r="J206" s="472">
        <f>IFERROR(IF(factura_c_mes6[[#This Row],[CUIT]]="","-",VLOOKUP(factura_c_mes6[[#This Row],[CUIT]],Lista_CUIT[#All],3,0)),"CUIT NO CARGADO")</f>
        <v>0</v>
      </c>
      <c r="K206" s="472">
        <f>IFERROR(IF(factura_c_mes6[[#This Row],[CUIT]]="","-",VLOOKUP(factura_c_mes6[[#This Row],[CUIT]],Lista_CUIT[#All],4,0)),"CUIT NO CARGADO")</f>
        <v>0</v>
      </c>
    </row>
    <row r="207" spans="4:11" x14ac:dyDescent="0.3">
      <c r="D207" s="50"/>
      <c r="E207" s="42"/>
      <c r="F207" s="43"/>
      <c r="G207" s="44"/>
      <c r="H207" s="53" t="str">
        <f>IFERROR(IF(factura_c_mes6[[#This Row],[CUIT]]="","-",VLOOKUP(factura_c_mes6[[#This Row],[CUIT]],Lista_CUIT[#All],2,0)),"CUIT NO CARGADO")</f>
        <v>-</v>
      </c>
      <c r="I207" s="81"/>
      <c r="J207" s="54" t="str">
        <f>IFERROR(IF(factura_c_mes6[[#This Row],[CUIT]]="","-",VLOOKUP(factura_c_mes6[[#This Row],[CUIT]],Lista_CUIT[#All],3,0)),"CUIT NO CARGADO")</f>
        <v>-</v>
      </c>
      <c r="K207" s="54" t="str">
        <f>IFERROR(IF(factura_c_mes6[[#This Row],[CUIT]]="","-",VLOOKUP(factura_c_mes6[[#This Row],[CUIT]],Lista_CUIT[#All],4,0)),"CUIT NO CARGADO")</f>
        <v>-</v>
      </c>
    </row>
    <row r="208" spans="4:11" ht="17.25" customHeight="1" x14ac:dyDescent="0.3">
      <c r="D208" s="473" t="s">
        <v>103</v>
      </c>
      <c r="E208" s="473"/>
      <c r="F208" s="473"/>
      <c r="G208" s="473"/>
      <c r="H208" s="474"/>
      <c r="I208" s="475">
        <f>SUBTOTAL(109,factura_c_mes6[TOTAL])</f>
        <v>1716819.57</v>
      </c>
      <c r="J208" s="473"/>
      <c r="K208" s="473"/>
    </row>
    <row r="209" spans="2:18" ht="31.5" customHeight="1" x14ac:dyDescent="0.3">
      <c r="B209" s="56"/>
      <c r="C209" s="56"/>
      <c r="L209" s="56"/>
      <c r="M209" s="56"/>
      <c r="N209" s="56"/>
      <c r="O209" s="56"/>
      <c r="P209" s="56"/>
      <c r="Q209" s="56"/>
      <c r="R209" s="56"/>
    </row>
    <row r="214" spans="2:18" ht="25.8" x14ac:dyDescent="0.3">
      <c r="B214" s="661" t="s">
        <v>29</v>
      </c>
      <c r="C214" s="661"/>
      <c r="D214" s="661"/>
      <c r="E214" s="661"/>
      <c r="F214" s="661"/>
      <c r="G214" s="661"/>
      <c r="H214" s="661"/>
      <c r="I214" s="661"/>
      <c r="J214" s="661"/>
      <c r="K214" s="657">
        <f>N1</f>
        <v>45078</v>
      </c>
      <c r="L214" s="657"/>
      <c r="M214" s="657"/>
    </row>
    <row r="216" spans="2:18" ht="21" x14ac:dyDescent="0.3">
      <c r="B216" s="654" t="s">
        <v>30</v>
      </c>
      <c r="C216" s="654"/>
    </row>
    <row r="217" spans="2:18" ht="31.2" x14ac:dyDescent="0.3">
      <c r="B217" s="60" t="s">
        <v>0</v>
      </c>
      <c r="C217" s="61" t="s">
        <v>1</v>
      </c>
      <c r="D217" s="61" t="s">
        <v>21</v>
      </c>
      <c r="E217" s="61" t="s">
        <v>22</v>
      </c>
      <c r="F217" s="61" t="s">
        <v>3</v>
      </c>
      <c r="G217" s="61" t="s">
        <v>4</v>
      </c>
      <c r="H217" s="61" t="s">
        <v>23</v>
      </c>
      <c r="I217" s="61" t="s">
        <v>17</v>
      </c>
      <c r="J217" s="61" t="s">
        <v>7</v>
      </c>
      <c r="K217" s="61" t="s">
        <v>24</v>
      </c>
      <c r="L217" s="61" t="s">
        <v>10</v>
      </c>
      <c r="M217" s="62" t="s">
        <v>38</v>
      </c>
    </row>
    <row r="218" spans="2:18" x14ac:dyDescent="0.3">
      <c r="B218" s="40"/>
      <c r="C218" s="41"/>
      <c r="D218" s="42"/>
      <c r="E218" s="43"/>
      <c r="F218" s="44"/>
      <c r="G218" s="99" t="str">
        <f>IFERROR(IF(venta_a_mes6[[#This Row],[CUIT]]="","-",VLOOKUP(venta_a_mes6[[#This Row],[CUIT]],Lista_CUIT[#All],2,0)),"CUIT NO CARGADO")</f>
        <v>-</v>
      </c>
      <c r="H218" s="100"/>
      <c r="I218" s="101">
        <f>venta_a_mes6[[#This Row],[IMPORTE NETO]]*0.21</f>
        <v>0</v>
      </c>
      <c r="J218" s="65"/>
      <c r="K218" s="65"/>
      <c r="L218" s="65">
        <f>SUM(venta_a_mes6[[#This Row],[IMPORTE NETO]:[EXENTO]])</f>
        <v>0</v>
      </c>
      <c r="M218" s="59"/>
    </row>
    <row r="219" spans="2:18" ht="19.2" customHeight="1" x14ac:dyDescent="0.3">
      <c r="B219" s="40"/>
      <c r="C219" s="41"/>
      <c r="D219" s="42"/>
      <c r="E219" s="43"/>
      <c r="F219" s="44"/>
      <c r="G219" s="99" t="str">
        <f>IFERROR(IF(venta_a_mes6[[#This Row],[CUIT]]="","-",VLOOKUP(venta_a_mes6[[#This Row],[CUIT]],Lista_CUIT[#All],2,0)),"CUIT NO CARGADO")</f>
        <v>-</v>
      </c>
      <c r="H219" s="100"/>
      <c r="I219" s="101">
        <f>venta_a_mes6[[#This Row],[IMPORTE NETO]]*0.21</f>
        <v>0</v>
      </c>
      <c r="J219" s="65"/>
      <c r="K219" s="65"/>
      <c r="L219" s="65">
        <f>SUM(venta_a_mes6[[#This Row],[IMPORTE NETO]:[EXENTO]])</f>
        <v>0</v>
      </c>
      <c r="M219" s="59"/>
    </row>
    <row r="220" spans="2:18" ht="18" customHeight="1" x14ac:dyDescent="0.3">
      <c r="B220" s="40"/>
      <c r="C220" s="41"/>
      <c r="D220" s="42"/>
      <c r="E220" s="43"/>
      <c r="F220" s="44"/>
      <c r="G220" s="99" t="str">
        <f>IFERROR(IF(venta_a_mes6[[#This Row],[CUIT]]="","-",VLOOKUP(venta_a_mes6[[#This Row],[CUIT]],Lista_CUIT[#All],2,0)),"CUIT NO CARGADO")</f>
        <v>-</v>
      </c>
      <c r="H220" s="100"/>
      <c r="I220" s="101">
        <f>venta_a_mes6[[#This Row],[IMPORTE NETO]]*0.21</f>
        <v>0</v>
      </c>
      <c r="J220" s="65"/>
      <c r="K220" s="65"/>
      <c r="L220" s="65">
        <f>SUM(venta_a_mes6[[#This Row],[IMPORTE NETO]:[EXENTO]])</f>
        <v>0</v>
      </c>
      <c r="M220" s="59"/>
    </row>
    <row r="221" spans="2:18" x14ac:dyDescent="0.3">
      <c r="B221" s="40"/>
      <c r="C221" s="41"/>
      <c r="D221" s="42"/>
      <c r="E221" s="43"/>
      <c r="F221" s="44"/>
      <c r="G221" s="99" t="str">
        <f>IFERROR(IF(venta_a_mes6[[#This Row],[CUIT]]="","-",VLOOKUP(venta_a_mes6[[#This Row],[CUIT]],Lista_CUIT[#All],2,0)),"CUIT NO CARGADO")</f>
        <v>-</v>
      </c>
      <c r="H221" s="100"/>
      <c r="I221" s="101">
        <f>venta_a_mes6[[#This Row],[IMPORTE NETO]]*0.21</f>
        <v>0</v>
      </c>
      <c r="J221" s="65"/>
      <c r="K221" s="65"/>
      <c r="L221" s="65">
        <f>SUM(venta_a_mes6[[#This Row],[IMPORTE NETO]:[EXENTO]])</f>
        <v>0</v>
      </c>
      <c r="M221" s="59"/>
    </row>
    <row r="222" spans="2:18" x14ac:dyDescent="0.3">
      <c r="B222" s="40"/>
      <c r="C222" s="41"/>
      <c r="D222" s="42"/>
      <c r="E222" s="43"/>
      <c r="F222" s="44"/>
      <c r="G222" s="99" t="str">
        <f>IFERROR(IF(venta_a_mes6[[#This Row],[CUIT]]="","-",VLOOKUP(venta_a_mes6[[#This Row],[CUIT]],Lista_CUIT[#All],2,0)),"CUIT NO CARGADO")</f>
        <v>-</v>
      </c>
      <c r="H222" s="100"/>
      <c r="I222" s="101">
        <f>venta_a_mes6[[#This Row],[IMPORTE NETO]]*0.21</f>
        <v>0</v>
      </c>
      <c r="J222" s="65"/>
      <c r="K222" s="65"/>
      <c r="L222" s="65">
        <f>SUM(venta_a_mes6[[#This Row],[IMPORTE NETO]:[EXENTO]])</f>
        <v>0</v>
      </c>
      <c r="M222" s="59"/>
    </row>
    <row r="223" spans="2:18" x14ac:dyDescent="0.3">
      <c r="B223" s="40"/>
      <c r="C223" s="41"/>
      <c r="D223" s="42"/>
      <c r="E223" s="43"/>
      <c r="F223" s="44"/>
      <c r="G223" s="99" t="str">
        <f>IFERROR(IF(venta_a_mes6[[#This Row],[CUIT]]="","-",VLOOKUP(venta_a_mes6[[#This Row],[CUIT]],Lista_CUIT[#All],2,0)),"CUIT NO CARGADO")</f>
        <v>-</v>
      </c>
      <c r="H223" s="100"/>
      <c r="I223" s="101">
        <f>venta_a_mes6[[#This Row],[IMPORTE NETO]]*0.21</f>
        <v>0</v>
      </c>
      <c r="J223" s="65"/>
      <c r="K223" s="65"/>
      <c r="L223" s="65">
        <f>SUM(venta_a_mes6[[#This Row],[IMPORTE NETO]:[EXENTO]])</f>
        <v>0</v>
      </c>
      <c r="M223" s="59"/>
    </row>
    <row r="224" spans="2:18" x14ac:dyDescent="0.3">
      <c r="B224" s="40"/>
      <c r="C224" s="41"/>
      <c r="D224" s="42"/>
      <c r="E224" s="43"/>
      <c r="F224" s="44"/>
      <c r="G224" s="99" t="str">
        <f>IFERROR(IF(venta_a_mes6[[#This Row],[CUIT]]="","-",VLOOKUP(venta_a_mes6[[#This Row],[CUIT]],Lista_CUIT[#All],2,0)),"CUIT NO CARGADO")</f>
        <v>-</v>
      </c>
      <c r="H224" s="100"/>
      <c r="I224" s="101">
        <f>venta_a_mes6[[#This Row],[IMPORTE NETO]]*0.21</f>
        <v>0</v>
      </c>
      <c r="J224" s="65"/>
      <c r="K224" s="65"/>
      <c r="L224" s="65">
        <f>SUM(venta_a_mes6[[#This Row],[IMPORTE NETO]:[EXENTO]])</f>
        <v>0</v>
      </c>
      <c r="M224" s="63"/>
    </row>
    <row r="225" spans="2:13" x14ac:dyDescent="0.3">
      <c r="B225" s="102"/>
      <c r="C225" s="103"/>
      <c r="D225" s="104"/>
      <c r="E225" s="105"/>
      <c r="F225" s="106"/>
      <c r="G225" s="99" t="str">
        <f>IFERROR(IF(venta_a_mes6[[#This Row],[CUIT]]="","-",VLOOKUP(venta_a_mes6[[#This Row],[CUIT]],Lista_CUIT[#All],2,0)),"CUIT NO CARGADO")</f>
        <v>-</v>
      </c>
      <c r="H225" s="107"/>
      <c r="I225" s="108">
        <f>venta_a_mes6[[#This Row],[IMPORTE NETO]]*0.21</f>
        <v>0</v>
      </c>
      <c r="J225" s="72"/>
      <c r="K225" s="72"/>
      <c r="L225" s="72">
        <f>SUM(venta_a_mes6[[#This Row],[IMPORTE NETO]:[EXENTO]])</f>
        <v>0</v>
      </c>
      <c r="M225" s="63"/>
    </row>
    <row r="226" spans="2:13" x14ac:dyDescent="0.3">
      <c r="B226" s="109"/>
      <c r="C226" s="110"/>
      <c r="D226" s="111"/>
      <c r="E226" s="112"/>
      <c r="F226" s="113"/>
      <c r="G226" s="99" t="str">
        <f>IFERROR(IF(venta_a_mes6[[#This Row],[CUIT]]="","-",VLOOKUP(venta_a_mes6[[#This Row],[CUIT]],Lista_CUIT[#All],2,0)),"CUIT NO CARGADO")</f>
        <v>-</v>
      </c>
      <c r="H226" s="100"/>
      <c r="I226" s="101">
        <f>venta_a_mes6[[#This Row],[IMPORTE NETO]]*0.21</f>
        <v>0</v>
      </c>
      <c r="J226" s="65"/>
      <c r="K226" s="65"/>
      <c r="L226" s="65">
        <f>SUM(venta_a_mes6[[#This Row],[IMPORTE NETO]:[EXENTO]])</f>
        <v>0</v>
      </c>
      <c r="M226" s="59"/>
    </row>
    <row r="227" spans="2:13" x14ac:dyDescent="0.3">
      <c r="B227" s="66" t="s">
        <v>103</v>
      </c>
      <c r="C227" s="67"/>
      <c r="D227" s="67"/>
      <c r="E227" s="67"/>
      <c r="F227" s="67"/>
      <c r="G227" s="67"/>
      <c r="H227" s="69">
        <f>SUBTOTAL(109,venta_a_mes6[IMPORTE NETO])</f>
        <v>0</v>
      </c>
      <c r="I227" s="70">
        <f>SUBTOTAL(109,venta_a_mes6[IVA 21%])</f>
        <v>0</v>
      </c>
      <c r="J227" s="71">
        <f>SUBTOTAL(109,venta_a_mes6[IVA 10,5%])</f>
        <v>0</v>
      </c>
      <c r="K227" s="71">
        <f>SUBTOTAL(109,venta_a_mes6[EXENTO])</f>
        <v>0</v>
      </c>
      <c r="L227" s="71">
        <f>SUBTOTAL(109,venta_a_mes6[TOTAL])</f>
        <v>0</v>
      </c>
      <c r="M227" s="68">
        <f>SUBTOTAL(103,venta_a_mes6[Provincia])</f>
        <v>0</v>
      </c>
    </row>
    <row r="230" spans="2:13" ht="21" x14ac:dyDescent="0.3">
      <c r="B230" s="654" t="s">
        <v>1913</v>
      </c>
      <c r="C230" s="654"/>
    </row>
    <row r="231" spans="2:13" ht="31.2" x14ac:dyDescent="0.3">
      <c r="B231" s="60" t="s">
        <v>0</v>
      </c>
      <c r="C231" s="61" t="s">
        <v>1</v>
      </c>
      <c r="D231" s="61" t="s">
        <v>21</v>
      </c>
      <c r="E231" s="61" t="s">
        <v>22</v>
      </c>
      <c r="F231" s="61" t="s">
        <v>3</v>
      </c>
      <c r="G231" s="61" t="s">
        <v>4</v>
      </c>
      <c r="H231" s="61" t="s">
        <v>23</v>
      </c>
      <c r="I231" s="61" t="s">
        <v>17</v>
      </c>
      <c r="J231" s="61" t="s">
        <v>7</v>
      </c>
      <c r="K231" s="61" t="s">
        <v>24</v>
      </c>
      <c r="L231" s="61" t="s">
        <v>10</v>
      </c>
      <c r="M231" s="62" t="s">
        <v>38</v>
      </c>
    </row>
    <row r="232" spans="2:13" x14ac:dyDescent="0.3">
      <c r="B232" s="40"/>
      <c r="C232" s="41"/>
      <c r="D232" s="42"/>
      <c r="E232" s="43"/>
      <c r="F232" s="44"/>
      <c r="G232" s="1"/>
      <c r="H232" s="64"/>
      <c r="I232" s="64"/>
      <c r="J232" s="64"/>
      <c r="K232" s="64"/>
      <c r="L232" s="64">
        <f>SUM(ventas_b_mes6[[#This Row],[IMPORTE NETO]:[EXENTO]])</f>
        <v>0</v>
      </c>
      <c r="M232" s="59"/>
    </row>
    <row r="233" spans="2:13" x14ac:dyDescent="0.3">
      <c r="B233" s="40"/>
      <c r="C233" s="41"/>
      <c r="D233" s="42"/>
      <c r="E233" s="43"/>
      <c r="F233" s="44"/>
      <c r="G233" s="1"/>
      <c r="H233" s="64"/>
      <c r="I233" s="64"/>
      <c r="J233" s="64"/>
      <c r="K233" s="64"/>
      <c r="L233" s="64">
        <f>SUM(ventas_b_mes6[[#This Row],[IMPORTE NETO]:[EXENTO]])</f>
        <v>0</v>
      </c>
      <c r="M233" s="59"/>
    </row>
    <row r="234" spans="2:13" x14ac:dyDescent="0.3">
      <c r="B234" s="40"/>
      <c r="C234" s="41"/>
      <c r="D234" s="42"/>
      <c r="E234" s="43"/>
      <c r="F234" s="44"/>
      <c r="G234" s="1"/>
      <c r="H234" s="64"/>
      <c r="I234" s="64"/>
      <c r="J234" s="64"/>
      <c r="K234" s="64"/>
      <c r="L234" s="64">
        <f>SUM(ventas_b_mes6[[#This Row],[IMPORTE NETO]:[EXENTO]])</f>
        <v>0</v>
      </c>
      <c r="M234" s="59"/>
    </row>
    <row r="235" spans="2:13" x14ac:dyDescent="0.3">
      <c r="B235" s="40"/>
      <c r="C235" s="41"/>
      <c r="D235" s="42"/>
      <c r="E235" s="43"/>
      <c r="F235" s="44"/>
      <c r="G235" s="1"/>
      <c r="H235" s="64"/>
      <c r="I235" s="64"/>
      <c r="J235" s="64"/>
      <c r="K235" s="64"/>
      <c r="L235" s="64">
        <f>SUM(ventas_b_mes6[[#This Row],[IMPORTE NETO]:[EXENTO]])</f>
        <v>0</v>
      </c>
      <c r="M235" s="59"/>
    </row>
    <row r="236" spans="2:13" x14ac:dyDescent="0.3">
      <c r="B236" s="40"/>
      <c r="C236" s="41"/>
      <c r="D236" s="42"/>
      <c r="E236" s="43"/>
      <c r="F236" s="44"/>
      <c r="G236" s="1"/>
      <c r="H236" s="64"/>
      <c r="I236" s="64"/>
      <c r="J236" s="64"/>
      <c r="K236" s="64"/>
      <c r="L236" s="64">
        <f>SUM(ventas_b_mes6[[#This Row],[IMPORTE NETO]:[EXENTO]])</f>
        <v>0</v>
      </c>
      <c r="M236" s="59"/>
    </row>
    <row r="237" spans="2:13" x14ac:dyDescent="0.3">
      <c r="B237" s="40"/>
      <c r="C237" s="41"/>
      <c r="D237" s="42"/>
      <c r="E237" s="43"/>
      <c r="F237" s="44"/>
      <c r="G237" s="1" t="str">
        <f>IFERROR(IF(ventas_b_mes6[[#This Row],[CUIT]]="","-",VLOOKUP(ventas_b_mes6[[#This Row],[CUIT]],Lista_CUIT[#All],2,0)),"CUIT NO CARGADO")</f>
        <v>-</v>
      </c>
      <c r="H237" s="64"/>
      <c r="I237" s="64"/>
      <c r="J237" s="64"/>
      <c r="K237" s="64"/>
      <c r="L237" s="64">
        <f>SUM(ventas_b_mes6[[#This Row],[IMPORTE NETO]:[EXENTO]])</f>
        <v>0</v>
      </c>
      <c r="M237" s="59"/>
    </row>
    <row r="238" spans="2:13" x14ac:dyDescent="0.3">
      <c r="B238" s="501" t="s">
        <v>103</v>
      </c>
      <c r="C238" s="502"/>
      <c r="D238" s="502"/>
      <c r="E238" s="502"/>
      <c r="F238" s="502"/>
      <c r="G238" s="502"/>
      <c r="H238" s="503">
        <f>SUBTOTAL(109,ventas_b_mes6[IMPORTE NETO])</f>
        <v>0</v>
      </c>
      <c r="I238" s="503">
        <f>SUBTOTAL(109,ventas_b_mes6[IVA 21%])</f>
        <v>0</v>
      </c>
      <c r="J238" s="504">
        <f>SUBTOTAL(109,ventas_b_mes6[IVA 10,5%])</f>
        <v>0</v>
      </c>
      <c r="K238" s="504">
        <f>SUBTOTAL(109,ventas_b_mes6[EXENTO])</f>
        <v>0</v>
      </c>
      <c r="L238" s="504">
        <f>SUBTOTAL(109,ventas_b_mes6[TOTAL])</f>
        <v>0</v>
      </c>
      <c r="M238" s="505">
        <f>SUBTOTAL(103,ventas_b_mes6[Provincia])</f>
        <v>0</v>
      </c>
    </row>
    <row r="245" spans="3:12" ht="15" thickBot="1" x14ac:dyDescent="0.35"/>
    <row r="246" spans="3:12" ht="15" thickTop="1" x14ac:dyDescent="0.3">
      <c r="C246" s="651" t="s">
        <v>66</v>
      </c>
      <c r="D246" s="651"/>
      <c r="E246" s="651"/>
      <c r="F246" s="651"/>
      <c r="G246" s="651"/>
      <c r="H246" s="32"/>
      <c r="I246" s="32"/>
      <c r="J246" s="32"/>
    </row>
    <row r="247" spans="3:12" ht="15.6" x14ac:dyDescent="0.3">
      <c r="C247" s="114" t="s">
        <v>67</v>
      </c>
      <c r="D247" s="115" t="s">
        <v>68</v>
      </c>
      <c r="E247" s="115" t="s">
        <v>105</v>
      </c>
      <c r="F247" s="115" t="s">
        <v>3</v>
      </c>
      <c r="G247" s="115" t="s">
        <v>4</v>
      </c>
      <c r="H247" s="116" t="s">
        <v>69</v>
      </c>
      <c r="I247" s="116" t="s">
        <v>70</v>
      </c>
      <c r="J247" s="116" t="s">
        <v>71</v>
      </c>
      <c r="K247" s="116" t="s">
        <v>72</v>
      </c>
      <c r="L247" s="116" t="s">
        <v>73</v>
      </c>
    </row>
    <row r="248" spans="3:12" x14ac:dyDescent="0.3">
      <c r="C248" s="117"/>
      <c r="D248" s="118"/>
      <c r="E248" s="118"/>
      <c r="F248" s="119"/>
      <c r="G248" s="53" t="str">
        <f>IFERROR(IF(Retenciones_mes6[[#This Row],[CUIT]]="","-",VLOOKUP(Retenciones_mes6[[#This Row],[CUIT]],Lista_CUIT[#All],2,0)),"CUIT NO CARGADO")</f>
        <v>-</v>
      </c>
      <c r="H248" s="120"/>
      <c r="I248" s="120"/>
      <c r="J248" s="120"/>
      <c r="K248" s="120"/>
      <c r="L248" s="120"/>
    </row>
    <row r="249" spans="3:12" x14ac:dyDescent="0.3">
      <c r="C249" s="117"/>
      <c r="D249" s="118"/>
      <c r="E249" s="118"/>
      <c r="F249" s="119"/>
      <c r="G249" s="53" t="str">
        <f>IFERROR(IF(Retenciones_mes6[[#This Row],[CUIT]]="","-",VLOOKUP(Retenciones_mes6[[#This Row],[CUIT]],Lista_CUIT[#All],2,0)),"CUIT NO CARGADO")</f>
        <v>-</v>
      </c>
      <c r="H249" s="120"/>
      <c r="I249" s="120"/>
      <c r="J249" s="120"/>
      <c r="K249" s="120"/>
      <c r="L249" s="120"/>
    </row>
    <row r="250" spans="3:12" x14ac:dyDescent="0.3">
      <c r="C250" s="117"/>
      <c r="D250" s="118"/>
      <c r="E250" s="118"/>
      <c r="F250" s="119"/>
      <c r="G250" s="53" t="str">
        <f>IFERROR(IF(Retenciones_mes6[[#This Row],[CUIT]]="","-",VLOOKUP(Retenciones_mes6[[#This Row],[CUIT]],Lista_CUIT[#All],2,0)),"CUIT NO CARGADO")</f>
        <v>-</v>
      </c>
      <c r="H250" s="120"/>
      <c r="I250" s="120"/>
      <c r="J250" s="120"/>
      <c r="K250" s="120"/>
      <c r="L250" s="120"/>
    </row>
    <row r="251" spans="3:12" x14ac:dyDescent="0.3">
      <c r="C251" s="117"/>
      <c r="D251" s="118"/>
      <c r="E251" s="118"/>
      <c r="F251" s="119"/>
      <c r="G251" s="53" t="str">
        <f>IFERROR(IF(Retenciones_mes6[[#This Row],[CUIT]]="","-",VLOOKUP(Retenciones_mes6[[#This Row],[CUIT]],Lista_CUIT[#All],2,0)),"CUIT NO CARGADO")</f>
        <v>-</v>
      </c>
      <c r="H251" s="120"/>
      <c r="I251" s="120"/>
      <c r="J251" s="120"/>
      <c r="K251" s="120"/>
      <c r="L251" s="120"/>
    </row>
    <row r="252" spans="3:12" x14ac:dyDescent="0.3">
      <c r="D252" s="118"/>
      <c r="E252" s="118"/>
      <c r="G252" s="53" t="str">
        <f>IFERROR(IF(Retenciones_mes6[[#This Row],[CUIT]]="","-",VLOOKUP(Retenciones_mes6[[#This Row],[CUIT]],Lista_CUIT[#All],2,0)),"CUIT NO CARGADO")</f>
        <v>-</v>
      </c>
    </row>
    <row r="253" spans="3:12" x14ac:dyDescent="0.3">
      <c r="C253" s="33"/>
    </row>
  </sheetData>
  <mergeCells count="20">
    <mergeCell ref="P4:R4"/>
    <mergeCell ref="D175:L175"/>
    <mergeCell ref="B1:F1"/>
    <mergeCell ref="G1:M1"/>
    <mergeCell ref="N1:R1"/>
    <mergeCell ref="B3:E3"/>
    <mergeCell ref="G3:H3"/>
    <mergeCell ref="J3:K3"/>
    <mergeCell ref="M3:N3"/>
    <mergeCell ref="P3:R3"/>
    <mergeCell ref="C246:G246"/>
    <mergeCell ref="B4:E4"/>
    <mergeCell ref="G4:H4"/>
    <mergeCell ref="J4:K4"/>
    <mergeCell ref="M4:N4"/>
    <mergeCell ref="D187:K187"/>
    <mergeCell ref="B214:J214"/>
    <mergeCell ref="K214:M214"/>
    <mergeCell ref="B216:C216"/>
    <mergeCell ref="B230:C230"/>
  </mergeCells>
  <dataValidations count="13">
    <dataValidation type="whole" allowBlank="1" showInputMessage="1" showErrorMessage="1" sqref="D218:D226 D232:D237 E189:E207 D9:D172" xr:uid="{00000000-0002-0000-0600-000000000000}">
      <formula1>1</formula1>
      <formula2>9999</formula2>
    </dataValidation>
    <dataValidation type="whole" allowBlank="1" showInputMessage="1" showErrorMessage="1" sqref="E218:E226 E232:E237 F189:F207 E9:E172" xr:uid="{00000000-0002-0000-0600-000001000000}">
      <formula1>1</formula1>
      <formula2>99999999</formula2>
    </dataValidation>
    <dataValidation type="whole" allowBlank="1" showInputMessage="1" showErrorMessage="1" sqref="F218:F226 F232:F237 G189:G207 F9:F172" xr:uid="{00000000-0002-0000-0600-000002000000}">
      <formula1>20000000000</formula1>
      <formula2>33999999999</formula2>
    </dataValidation>
    <dataValidation type="date" allowBlank="1" showInputMessage="1" showErrorMessage="1" sqref="B218:B226 B174 B232:B237 D189:D207 D177:D184 B9:B172" xr:uid="{00000000-0002-0000-0600-000003000000}">
      <formula1>40179</formula1>
      <formula2>TODAY()</formula2>
    </dataValidation>
    <dataValidation type="whole" allowBlank="1" showInputMessage="1" showErrorMessage="1" sqref="C174 C218:C226 C9:C172" xr:uid="{00000000-0002-0000-0600-000004000000}">
      <formula1>1</formula1>
      <formula2>3</formula2>
    </dataValidation>
    <dataValidation type="custom" allowBlank="1" showInputMessage="1" showErrorMessage="1" sqref="H218:K218 H220:K220 H222:K222 H224:K224" xr:uid="{00000000-0002-0000-0600-000005000000}">
      <formula1>IF($C218=3,H218&lt;0,H218&gt;=0)</formula1>
    </dataValidation>
    <dataValidation type="whole" allowBlank="1" showInputMessage="1" showErrorMessage="1" sqref="C232:C237" xr:uid="{00000000-0002-0000-0600-000006000000}">
      <formula1>6</formula1>
      <formula2>8</formula2>
    </dataValidation>
    <dataValidation type="custom" allowBlank="1" showInputMessage="1" showErrorMessage="1" sqref="L220:L222" xr:uid="{00000000-0002-0000-0600-000007000000}">
      <formula1>IF($C151=3,L151&lt;0,L151&gt;=0)</formula1>
    </dataValidation>
    <dataValidation type="custom" allowBlank="1" showInputMessage="1" showErrorMessage="1" sqref="L223:L224" xr:uid="{00000000-0002-0000-0600-000008000000}">
      <formula1>IF($C173=3,L173&lt;0,L173&gt;=0)</formula1>
    </dataValidation>
    <dataValidation type="custom" allowBlank="1" showInputMessage="1" showErrorMessage="1" sqref="H232:L237" xr:uid="{00000000-0002-0000-0600-000009000000}">
      <formula1>IF($C232=8,H232&lt;0,H232&gt;=0)</formula1>
    </dataValidation>
    <dataValidation type="custom" allowBlank="1" showInputMessage="1" showErrorMessage="1" sqref="L218" xr:uid="{00000000-0002-0000-0600-00000A000000}">
      <formula1>IF(#REF!=3,#REF!&lt;0,#REF!&gt;=0)</formula1>
    </dataValidation>
    <dataValidation type="custom" allowBlank="1" showInputMessage="1" showErrorMessage="1" sqref="L219" xr:uid="{00000000-0002-0000-0600-00000B000000}">
      <formula1>IF($C9=3,L9&lt;0,L9&gt;=0)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72" xr:uid="{00000000-0002-0000-0600-00000C000000}">
      <formula1>IF($C9=3,H9&lt;0,H9&gt;=0)</formula1>
    </dataValidation>
  </dataValidations>
  <pageMargins left="0.7" right="0.7" top="0.75" bottom="0.75" header="0.3" footer="0.3"/>
  <pageSetup paperSize="9" scale="47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246"/>
  <sheetViews>
    <sheetView showGridLines="0" topLeftCell="F175" zoomScale="80" zoomScaleNormal="80" workbookViewId="0">
      <selection activeCell="K182" activeCellId="1" sqref="K177 K182:K18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7.3320312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0.8867187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EDATE('Ene-23'!N1,6)</f>
        <v>45108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SUM(compras_mes7[[#Totals],[NETO GRAVADO]])+extracto_banco_mes7[[#Totals],[NETO]]</f>
        <v>25320846.736899998</v>
      </c>
      <c r="C4" s="659"/>
      <c r="D4" s="659"/>
      <c r="E4" s="659"/>
      <c r="F4" s="39"/>
      <c r="G4" s="660">
        <f>compras_mes7[[#Totals],[IVA 21 %]]+compras_mes7[[#Totals],[IVA 27%]]+compras_mes7[[#Totals],[IVA 10,5%]]+extracto_banco_mes7[[#Totals],[IVA 21%]]+extracto_banco_mes7[[#Totals],[IVA 10,5%]]</f>
        <v>5316039.5935999975</v>
      </c>
      <c r="H4" s="660"/>
      <c r="I4" s="39"/>
      <c r="J4" s="649"/>
      <c r="K4" s="649"/>
      <c r="L4" s="39"/>
      <c r="M4" s="649"/>
      <c r="N4" s="649"/>
      <c r="O4" s="39"/>
      <c r="P4" s="662">
        <f>G4-M4</f>
        <v>5316039.5935999975</v>
      </c>
      <c r="Q4" s="663"/>
      <c r="R4" s="663"/>
    </row>
    <row r="5" spans="1:26" ht="13.2" customHeight="1" x14ac:dyDescent="0.3">
      <c r="N5">
        <v>8775659.8000000007</v>
      </c>
    </row>
    <row r="6" spans="1:26" ht="10.95" customHeight="1" x14ac:dyDescent="0.3">
      <c r="E6" s="128"/>
    </row>
    <row r="7" spans="1:26" s="2" customFormat="1" ht="10.95" customHeight="1" x14ac:dyDescent="0.3">
      <c r="B7" s="40"/>
      <c r="C7" s="41"/>
      <c r="D7" s="42"/>
      <c r="E7" s="43"/>
      <c r="F7" s="44"/>
      <c r="G7" s="131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  <c r="T8" s="128"/>
    </row>
    <row r="9" spans="1:26" x14ac:dyDescent="0.3">
      <c r="B9" s="456">
        <v>45115</v>
      </c>
      <c r="C9" s="457">
        <v>1</v>
      </c>
      <c r="D9" s="458">
        <v>9</v>
      </c>
      <c r="E9" s="506">
        <v>9</v>
      </c>
      <c r="F9" s="459">
        <v>20134664518</v>
      </c>
      <c r="G9" s="460" t="str">
        <f>IFERROR(IF(compras_mes7[[#This Row],[CUIT]]="","-",VLOOKUP(compras_mes7[[#This Row],[CUIT]],Lista_CUIT[#All],2,0)),"CUIT NO CARGADO")</f>
        <v>HOKAMA SERGIO ENRIQUE</v>
      </c>
      <c r="H9" s="461">
        <v>10618.51</v>
      </c>
      <c r="I9" s="462">
        <f>IF(compras_mes7[[#This Row],[NETO GRAVADO]]="","",compras_mes7[[#This Row],[NETO GRAVADO]]*0.21)</f>
        <v>2229.8870999999999</v>
      </c>
      <c r="J9" s="462"/>
      <c r="K9" s="462"/>
      <c r="L9" s="462"/>
      <c r="M9" s="462"/>
      <c r="N9" s="462"/>
      <c r="O9" s="462"/>
      <c r="P9" s="463">
        <f>SUM(compras_mes7[[#This Row],[NETO GRAVADO]:[Otros / No Grav.]])</f>
        <v>12848.3971</v>
      </c>
      <c r="Q9" s="464" t="str">
        <f>IFERROR(IF(compras_mes7[[#This Row],[CUIT]]="","-",VLOOKUP(compras_mes7[[#This Row],[CUIT]],Lista_CUIT[#All],3,0)),"CUIT NO CARGADO")</f>
        <v>Gastos Varios</v>
      </c>
      <c r="R9" s="464" t="str">
        <f>IFERROR(IF(compras_mes7[[#This Row],[CUIT]]="","-",VLOOKUP(compras_mes7[[#This Row],[CUIT]],Lista_CUIT[#All],4,0)),"CUIT NO CARGADO")</f>
        <v>BUENOS AIRES</v>
      </c>
      <c r="T9" s="128"/>
    </row>
    <row r="10" spans="1:26" x14ac:dyDescent="0.3">
      <c r="B10" s="456">
        <v>45120</v>
      </c>
      <c r="C10" s="457">
        <v>1</v>
      </c>
      <c r="D10" s="458">
        <v>9</v>
      </c>
      <c r="E10" s="506">
        <v>21</v>
      </c>
      <c r="F10" s="459">
        <v>20134664518</v>
      </c>
      <c r="G10" s="460" t="str">
        <f>IFERROR(IF(compras_mes7[[#This Row],[CUIT]]="","-",VLOOKUP(compras_mes7[[#This Row],[CUIT]],Lista_CUIT[#All],2,0)),"CUIT NO CARGADO")</f>
        <v>HOKAMA SERGIO ENRIQUE</v>
      </c>
      <c r="H10" s="461">
        <v>15871.26</v>
      </c>
      <c r="I10" s="462">
        <f>IF(compras_mes7[[#This Row],[NETO GRAVADO]]="","",compras_mes7[[#This Row],[NETO GRAVADO]]*0.21)</f>
        <v>3332.9645999999998</v>
      </c>
      <c r="J10" s="462"/>
      <c r="K10" s="462"/>
      <c r="L10" s="462"/>
      <c r="M10" s="462"/>
      <c r="N10" s="462"/>
      <c r="O10" s="462"/>
      <c r="P10" s="463">
        <f>SUM(compras_mes7[[#This Row],[NETO GRAVADO]:[Otros / No Grav.]])</f>
        <v>19204.224600000001</v>
      </c>
      <c r="Q10" s="464" t="str">
        <f>IFERROR(IF(compras_mes7[[#This Row],[CUIT]]="","-",VLOOKUP(compras_mes7[[#This Row],[CUIT]],Lista_CUIT[#All],3,0)),"CUIT NO CARGADO")</f>
        <v>Gastos Varios</v>
      </c>
      <c r="R10" s="464" t="str">
        <f>IFERROR(IF(compras_mes7[[#This Row],[CUIT]]="","-",VLOOKUP(compras_mes7[[#This Row],[CUIT]],Lista_CUIT[#All],4,0)),"CUIT NO CARGADO")</f>
        <v>BUENOS AIRES</v>
      </c>
      <c r="T10" s="128"/>
    </row>
    <row r="11" spans="1:26" s="508" customFormat="1" x14ac:dyDescent="0.3">
      <c r="A11"/>
      <c r="B11" s="456">
        <v>45121</v>
      </c>
      <c r="C11" s="457">
        <v>1</v>
      </c>
      <c r="D11" s="458">
        <v>9</v>
      </c>
      <c r="E11" s="506">
        <v>26</v>
      </c>
      <c r="F11" s="459">
        <v>20134664518</v>
      </c>
      <c r="G11" s="460" t="str">
        <f>IFERROR(IF(compras_mes7[[#This Row],[CUIT]]="","-",VLOOKUP(compras_mes7[[#This Row],[CUIT]],Lista_CUIT[#All],2,0)),"CUIT NO CARGADO")</f>
        <v>HOKAMA SERGIO ENRIQUE</v>
      </c>
      <c r="H11" s="461">
        <v>7115.7</v>
      </c>
      <c r="I11" s="462">
        <f>IF(compras_mes7[[#This Row],[NETO GRAVADO]]="","",compras_mes7[[#This Row],[NETO GRAVADO]]*0.21)</f>
        <v>1494.2969999999998</v>
      </c>
      <c r="J11" s="462"/>
      <c r="K11" s="462"/>
      <c r="L11" s="462"/>
      <c r="M11" s="462"/>
      <c r="N11" s="462"/>
      <c r="O11" s="462"/>
      <c r="P11" s="463">
        <f>SUM(compras_mes7[[#This Row],[NETO GRAVADO]:[Otros / No Grav.]])</f>
        <v>8609.9969999999994</v>
      </c>
      <c r="Q11" s="464" t="str">
        <f>IFERROR(IF(compras_mes7[[#This Row],[CUIT]]="","-",VLOOKUP(compras_mes7[[#This Row],[CUIT]],Lista_CUIT[#All],3,0)),"CUIT NO CARGADO")</f>
        <v>Gastos Varios</v>
      </c>
      <c r="R11" s="464" t="str">
        <f>IFERROR(IF(compras_mes7[[#This Row],[CUIT]]="","-",VLOOKUP(compras_mes7[[#This Row],[CUIT]],Lista_CUIT[#All],4,0)),"CUIT NO CARGADO")</f>
        <v>BUENOS AIRES</v>
      </c>
      <c r="S11"/>
      <c r="T11" s="128"/>
    </row>
    <row r="12" spans="1:26" x14ac:dyDescent="0.3">
      <c r="B12" s="456">
        <v>45132</v>
      </c>
      <c r="C12" s="457">
        <v>1</v>
      </c>
      <c r="D12" s="458">
        <v>33</v>
      </c>
      <c r="E12" s="506">
        <v>26</v>
      </c>
      <c r="F12" s="459">
        <v>30717434710</v>
      </c>
      <c r="G12" s="460" t="str">
        <f>IFERROR(IF(compras_mes7[[#This Row],[CUIT]]="","-",VLOOKUP(compras_mes7[[#This Row],[CUIT]],Lista_CUIT[#All],2,0)),"CUIT NO CARGADO")</f>
        <v>PICALI IMPORT S.R.L.</v>
      </c>
      <c r="H12" s="461">
        <v>908000</v>
      </c>
      <c r="I12" s="462">
        <f>IF(compras_mes7[[#This Row],[NETO GRAVADO]]="","",compras_mes7[[#This Row],[NETO GRAVADO]]*0.21)</f>
        <v>190680</v>
      </c>
      <c r="J12" s="462"/>
      <c r="K12" s="462"/>
      <c r="L12" s="462"/>
      <c r="M12" s="462"/>
      <c r="N12" s="462"/>
      <c r="O12" s="462"/>
      <c r="P12" s="463">
        <f>SUM(compras_mes7[[#This Row],[NETO GRAVADO]:[Otros / No Grav.]])</f>
        <v>1098680</v>
      </c>
      <c r="Q12" s="464">
        <f>IFERROR(IF(compras_mes7[[#This Row],[CUIT]]="","-",VLOOKUP(compras_mes7[[#This Row],[CUIT]],Lista_CUIT[#All],3,0)),"CUIT NO CARGADO")</f>
        <v>0</v>
      </c>
      <c r="R12" s="464">
        <f>IFERROR(IF(compras_mes7[[#This Row],[CUIT]]="","-",VLOOKUP(compras_mes7[[#This Row],[CUIT]],Lista_CUIT[#All],4,0)),"CUIT NO CARGADO")</f>
        <v>0</v>
      </c>
      <c r="T12" s="128"/>
    </row>
    <row r="13" spans="1:26" x14ac:dyDescent="0.3">
      <c r="B13" s="456">
        <v>45126</v>
      </c>
      <c r="C13" s="457">
        <v>1</v>
      </c>
      <c r="D13" s="458">
        <v>9</v>
      </c>
      <c r="E13" s="506">
        <v>37</v>
      </c>
      <c r="F13" s="459">
        <v>20134664518</v>
      </c>
      <c r="G13" s="460" t="str">
        <f>IFERROR(IF(compras_mes7[[#This Row],[CUIT]]="","-",VLOOKUP(compras_mes7[[#This Row],[CUIT]],Lista_CUIT[#All],2,0)),"CUIT NO CARGADO")</f>
        <v>HOKAMA SERGIO ENRIQUE</v>
      </c>
      <c r="H13" s="461">
        <v>12572.01</v>
      </c>
      <c r="I13" s="462">
        <f>IF(compras_mes7[[#This Row],[NETO GRAVADO]]="","",compras_mes7[[#This Row],[NETO GRAVADO]]*0.21)</f>
        <v>2640.1221</v>
      </c>
      <c r="J13" s="462"/>
      <c r="K13" s="462"/>
      <c r="L13" s="462"/>
      <c r="M13" s="462"/>
      <c r="N13" s="462"/>
      <c r="O13" s="462"/>
      <c r="P13" s="463">
        <f>SUM(compras_mes7[[#This Row],[NETO GRAVADO]:[Otros / No Grav.]])</f>
        <v>15212.132100000001</v>
      </c>
      <c r="Q13" s="464" t="str">
        <f>IFERROR(IF(compras_mes7[[#This Row],[CUIT]]="","-",VLOOKUP(compras_mes7[[#This Row],[CUIT]],Lista_CUIT[#All],3,0)),"CUIT NO CARGADO")</f>
        <v>Gastos Varios</v>
      </c>
      <c r="R13" s="464" t="str">
        <f>IFERROR(IF(compras_mes7[[#This Row],[CUIT]]="","-",VLOOKUP(compras_mes7[[#This Row],[CUIT]],Lista_CUIT[#All],4,0)),"CUIT NO CARGADO")</f>
        <v>BUENOS AIRES</v>
      </c>
      <c r="T13" s="128"/>
    </row>
    <row r="14" spans="1:26" x14ac:dyDescent="0.3">
      <c r="B14" s="456">
        <v>45110</v>
      </c>
      <c r="C14" s="457">
        <v>1</v>
      </c>
      <c r="D14" s="458">
        <v>3</v>
      </c>
      <c r="E14" s="506">
        <v>51</v>
      </c>
      <c r="F14" s="459">
        <v>33715993509</v>
      </c>
      <c r="G14" s="460" t="str">
        <f>IFERROR(IF(compras_mes7[[#This Row],[CUIT]]="","-",VLOOKUP(compras_mes7[[#This Row],[CUIT]],Lista_CUIT[#All],2,0)),"CUIT NO CARGADO")</f>
        <v>+Q NATURAL S.A.</v>
      </c>
      <c r="H14" s="461">
        <v>2752.06</v>
      </c>
      <c r="I14" s="462">
        <f>IF(compras_mes7[[#This Row],[NETO GRAVADO]]="","",compras_mes7[[#This Row],[NETO GRAVADO]]*0.21)</f>
        <v>577.93259999999998</v>
      </c>
      <c r="J14" s="462"/>
      <c r="K14" s="462"/>
      <c r="L14" s="462"/>
      <c r="M14" s="462"/>
      <c r="N14" s="462"/>
      <c r="O14" s="462"/>
      <c r="P14" s="463">
        <f>SUM(compras_mes7[[#This Row],[NETO GRAVADO]:[Otros / No Grav.]])</f>
        <v>3329.9926</v>
      </c>
      <c r="Q14" s="464">
        <f>IFERROR(IF(compras_mes7[[#This Row],[CUIT]]="","-",VLOOKUP(compras_mes7[[#This Row],[CUIT]],Lista_CUIT[#All],3,0)),"CUIT NO CARGADO")</f>
        <v>0</v>
      </c>
      <c r="R14" s="464">
        <f>IFERROR(IF(compras_mes7[[#This Row],[CUIT]]="","-",VLOOKUP(compras_mes7[[#This Row],[CUIT]],Lista_CUIT[#All],4,0)),"CUIT NO CARGADO")</f>
        <v>0</v>
      </c>
      <c r="T14" s="128"/>
    </row>
    <row r="15" spans="1:26" x14ac:dyDescent="0.3">
      <c r="B15" s="456">
        <v>45128</v>
      </c>
      <c r="C15" s="457">
        <v>1</v>
      </c>
      <c r="D15" s="458">
        <v>3</v>
      </c>
      <c r="E15" s="506">
        <v>52</v>
      </c>
      <c r="F15" s="459">
        <v>33715993509</v>
      </c>
      <c r="G15" s="460" t="str">
        <f>IFERROR(IF(compras_mes7[[#This Row],[CUIT]]="","-",VLOOKUP(compras_mes7[[#This Row],[CUIT]],Lista_CUIT[#All],2,0)),"CUIT NO CARGADO")</f>
        <v>+Q NATURAL S.A.</v>
      </c>
      <c r="H15" s="461">
        <v>2239.67</v>
      </c>
      <c r="I15" s="462">
        <f>IF(compras_mes7[[#This Row],[NETO GRAVADO]]="","",compras_mes7[[#This Row],[NETO GRAVADO]]*0.21)</f>
        <v>470.33069999999998</v>
      </c>
      <c r="J15" s="462"/>
      <c r="K15" s="462"/>
      <c r="L15" s="462"/>
      <c r="M15" s="462"/>
      <c r="N15" s="462"/>
      <c r="O15" s="462"/>
      <c r="P15" s="463">
        <f>SUM(compras_mes7[[#This Row],[NETO GRAVADO]:[Otros / No Grav.]])</f>
        <v>2710.0007000000001</v>
      </c>
      <c r="Q15" s="464">
        <f>IFERROR(IF(compras_mes7[[#This Row],[CUIT]]="","-",VLOOKUP(compras_mes7[[#This Row],[CUIT]],Lista_CUIT[#All],3,0)),"CUIT NO CARGADO")</f>
        <v>0</v>
      </c>
      <c r="R15" s="464">
        <f>IFERROR(IF(compras_mes7[[#This Row],[CUIT]]="","-",VLOOKUP(compras_mes7[[#This Row],[CUIT]],Lista_CUIT[#All],4,0)),"CUIT NO CARGADO")</f>
        <v>0</v>
      </c>
      <c r="T15" s="128"/>
    </row>
    <row r="16" spans="1:26" x14ac:dyDescent="0.3">
      <c r="B16" s="456">
        <v>45131</v>
      </c>
      <c r="C16" s="457">
        <v>1</v>
      </c>
      <c r="D16" s="458">
        <v>9</v>
      </c>
      <c r="E16" s="506">
        <v>54</v>
      </c>
      <c r="F16" s="459">
        <v>20134664518</v>
      </c>
      <c r="G16" s="460" t="str">
        <f>IFERROR(IF(compras_mes7[[#This Row],[CUIT]]="","-",VLOOKUP(compras_mes7[[#This Row],[CUIT]],Lista_CUIT[#All],2,0)),"CUIT NO CARGADO")</f>
        <v>HOKAMA SERGIO ENRIQUE</v>
      </c>
      <c r="H16" s="461">
        <v>9343.83</v>
      </c>
      <c r="I16" s="462">
        <f>IF(compras_mes7[[#This Row],[NETO GRAVADO]]="","",compras_mes7[[#This Row],[NETO GRAVADO]]*0.21)</f>
        <v>1962.2042999999999</v>
      </c>
      <c r="J16" s="462"/>
      <c r="K16" s="462"/>
      <c r="L16" s="462"/>
      <c r="M16" s="462"/>
      <c r="N16" s="462"/>
      <c r="O16" s="462"/>
      <c r="P16" s="463">
        <f>SUM(compras_mes7[[#This Row],[NETO GRAVADO]:[Otros / No Grav.]])</f>
        <v>11306.034299999999</v>
      </c>
      <c r="Q16" s="464" t="str">
        <f>IFERROR(IF(compras_mes7[[#This Row],[CUIT]]="","-",VLOOKUP(compras_mes7[[#This Row],[CUIT]],Lista_CUIT[#All],3,0)),"CUIT NO CARGADO")</f>
        <v>Gastos Varios</v>
      </c>
      <c r="R16" s="464" t="str">
        <f>IFERROR(IF(compras_mes7[[#This Row],[CUIT]]="","-",VLOOKUP(compras_mes7[[#This Row],[CUIT]],Lista_CUIT[#All],4,0)),"CUIT NO CARGADO")</f>
        <v>BUENOS AIRES</v>
      </c>
      <c r="T16" s="128"/>
    </row>
    <row r="17" spans="1:20" x14ac:dyDescent="0.3">
      <c r="B17" s="456">
        <v>45128</v>
      </c>
      <c r="C17" s="457">
        <v>1</v>
      </c>
      <c r="D17" s="458">
        <v>5</v>
      </c>
      <c r="E17" s="506">
        <v>55</v>
      </c>
      <c r="F17" s="459">
        <v>20946785300</v>
      </c>
      <c r="G17" s="460" t="str">
        <f>IFERROR(IF(compras_mes7[[#This Row],[CUIT]]="","-",VLOOKUP(compras_mes7[[#This Row],[CUIT]],Lista_CUIT[#All],2,0)),"CUIT NO CARGADO")</f>
        <v>FLORES HUAYRA MICHAEL MARTIN</v>
      </c>
      <c r="H17" s="461">
        <v>259200</v>
      </c>
      <c r="I17" s="462">
        <f>IF(compras_mes7[[#This Row],[NETO GRAVADO]]="","",compras_mes7[[#This Row],[NETO GRAVADO]]*0.21)</f>
        <v>54432</v>
      </c>
      <c r="J17" s="462"/>
      <c r="K17" s="462"/>
      <c r="L17" s="462"/>
      <c r="M17" s="462"/>
      <c r="N17" s="462"/>
      <c r="O17" s="462"/>
      <c r="P17" s="463">
        <f>SUM(compras_mes7[[#This Row],[NETO GRAVADO]:[Otros / No Grav.]])</f>
        <v>313632</v>
      </c>
      <c r="Q17" s="464">
        <f>IFERROR(IF(compras_mes7[[#This Row],[CUIT]]="","-",VLOOKUP(compras_mes7[[#This Row],[CUIT]],Lista_CUIT[#All],3,0)),"CUIT NO CARGADO")</f>
        <v>0</v>
      </c>
      <c r="R17" s="464">
        <f>IFERROR(IF(compras_mes7[[#This Row],[CUIT]]="","-",VLOOKUP(compras_mes7[[#This Row],[CUIT]],Lista_CUIT[#All],4,0)),"CUIT NO CARGADO")</f>
        <v>0</v>
      </c>
      <c r="T17" s="128"/>
    </row>
    <row r="18" spans="1:20" x14ac:dyDescent="0.3">
      <c r="B18" s="509">
        <v>45118</v>
      </c>
      <c r="C18" s="511">
        <v>1</v>
      </c>
      <c r="D18" s="512">
        <v>1</v>
      </c>
      <c r="E18" s="513">
        <v>57</v>
      </c>
      <c r="F18" s="514">
        <v>30717305287</v>
      </c>
      <c r="G18" s="515" t="str">
        <f>IFERROR(IF(compras_mes7[[#This Row],[CUIT]]="","-",VLOOKUP(compras_mes7[[#This Row],[CUIT]],Lista_CUIT[#All],2,0)),"CUIT NO CARGADO")</f>
        <v>K.R. S. R. L.</v>
      </c>
      <c r="H18" s="516">
        <v>1050000</v>
      </c>
      <c r="I18" s="517">
        <f>IF(compras_mes7[[#This Row],[NETO GRAVADO]]="","",compras_mes7[[#This Row],[NETO GRAVADO]]*0.21)</f>
        <v>220500</v>
      </c>
      <c r="J18" s="517"/>
      <c r="K18" s="517"/>
      <c r="L18" s="517"/>
      <c r="M18" s="517"/>
      <c r="N18" s="517"/>
      <c r="O18" s="517"/>
      <c r="P18" s="518">
        <f>SUM(compras_mes7[[#This Row],[NETO GRAVADO]:[Otros / No Grav.]])</f>
        <v>1270500</v>
      </c>
      <c r="Q18" s="519">
        <f>IFERROR(IF(compras_mes7[[#This Row],[CUIT]]="","-",VLOOKUP(compras_mes7[[#This Row],[CUIT]],Lista_CUIT[#All],3,0)),"CUIT NO CARGADO")</f>
        <v>0</v>
      </c>
      <c r="R18" s="519">
        <f>IFERROR(IF(compras_mes7[[#This Row],[CUIT]]="","-",VLOOKUP(compras_mes7[[#This Row],[CUIT]],Lista_CUIT[#All],4,0)),"CUIT NO CARGADO")</f>
        <v>0</v>
      </c>
      <c r="T18" s="128"/>
    </row>
    <row r="19" spans="1:20" x14ac:dyDescent="0.3">
      <c r="B19" s="456">
        <v>45111</v>
      </c>
      <c r="C19" s="457">
        <v>1</v>
      </c>
      <c r="D19" s="458">
        <v>1</v>
      </c>
      <c r="E19" s="506">
        <v>85</v>
      </c>
      <c r="F19" s="459">
        <v>30716010313</v>
      </c>
      <c r="G19" s="460" t="str">
        <f>IFERROR(IF(compras_mes7[[#This Row],[CUIT]]="","-",VLOOKUP(compras_mes7[[#This Row],[CUIT]],Lista_CUIT[#All],2,0)),"CUIT NO CARGADO")</f>
        <v>H UNO 1469 S.A.</v>
      </c>
      <c r="H19" s="461">
        <v>38400</v>
      </c>
      <c r="I19" s="462">
        <f>IF(compras_mes7[[#This Row],[NETO GRAVADO]]="","",compras_mes7[[#This Row],[NETO GRAVADO]]*0.21)</f>
        <v>8064</v>
      </c>
      <c r="J19" s="462"/>
      <c r="K19" s="462"/>
      <c r="L19" s="462"/>
      <c r="M19" s="462"/>
      <c r="N19" s="462"/>
      <c r="O19" s="462"/>
      <c r="P19" s="463">
        <f>SUM(compras_mes7[[#This Row],[NETO GRAVADO]:[Otros / No Grav.]])</f>
        <v>46464</v>
      </c>
      <c r="Q19" s="464" t="str">
        <f>IFERROR(IF(compras_mes7[[#This Row],[CUIT]]="","-",VLOOKUP(compras_mes7[[#This Row],[CUIT]],Lista_CUIT[#All],3,0)),"CUIT NO CARGADO")</f>
        <v>Alquiler</v>
      </c>
      <c r="R19" s="464">
        <f>IFERROR(IF(compras_mes7[[#This Row],[CUIT]]="","-",VLOOKUP(compras_mes7[[#This Row],[CUIT]],Lista_CUIT[#All],4,0)),"CUIT NO CARGADO")</f>
        <v>0</v>
      </c>
      <c r="T19" s="128"/>
    </row>
    <row r="20" spans="1:20" s="508" customFormat="1" x14ac:dyDescent="0.3">
      <c r="A20"/>
      <c r="B20" s="456">
        <v>45124</v>
      </c>
      <c r="C20" s="457">
        <v>1</v>
      </c>
      <c r="D20" s="458">
        <v>1</v>
      </c>
      <c r="E20" s="506">
        <v>149</v>
      </c>
      <c r="F20" s="459">
        <v>20077604627</v>
      </c>
      <c r="G20" s="460" t="str">
        <f>IFERROR(IF(compras_mes7[[#This Row],[CUIT]]="","-",VLOOKUP(compras_mes7[[#This Row],[CUIT]],Lista_CUIT[#All],2,0)),"CUIT NO CARGADO")</f>
        <v>OCAÑO ENRIQUE</v>
      </c>
      <c r="H20" s="461">
        <v>872550</v>
      </c>
      <c r="I20" s="462">
        <f>IF(compras_mes7[[#This Row],[NETO GRAVADO]]="","",compras_mes7[[#This Row],[NETO GRAVADO]]*0.21)</f>
        <v>183235.5</v>
      </c>
      <c r="J20" s="462"/>
      <c r="K20" s="462"/>
      <c r="L20" s="462"/>
      <c r="M20" s="462"/>
      <c r="N20" s="462"/>
      <c r="O20" s="462"/>
      <c r="P20" s="463">
        <f>SUM(compras_mes7[[#This Row],[NETO GRAVADO]:[Otros / No Grav.]])</f>
        <v>1055785.5</v>
      </c>
      <c r="Q20" s="464">
        <f>IFERROR(IF(compras_mes7[[#This Row],[CUIT]]="","-",VLOOKUP(compras_mes7[[#This Row],[CUIT]],Lista_CUIT[#All],3,0)),"CUIT NO CARGADO")</f>
        <v>0</v>
      </c>
      <c r="R20" s="464">
        <f>IFERROR(IF(compras_mes7[[#This Row],[CUIT]]="","-",VLOOKUP(compras_mes7[[#This Row],[CUIT]],Lista_CUIT[#All],4,0)),"CUIT NO CARGADO")</f>
        <v>0</v>
      </c>
      <c r="S20"/>
      <c r="T20" s="128"/>
    </row>
    <row r="21" spans="1:20" x14ac:dyDescent="0.3">
      <c r="B21" s="456">
        <v>45126</v>
      </c>
      <c r="C21" s="457">
        <v>1</v>
      </c>
      <c r="D21" s="458">
        <v>1</v>
      </c>
      <c r="E21" s="506">
        <v>150</v>
      </c>
      <c r="F21" s="459">
        <v>20077604627</v>
      </c>
      <c r="G21" s="460" t="str">
        <f>IFERROR(IF(compras_mes7[[#This Row],[CUIT]]="","-",VLOOKUP(compras_mes7[[#This Row],[CUIT]],Lista_CUIT[#All],2,0)),"CUIT NO CARGADO")</f>
        <v>OCAÑO ENRIQUE</v>
      </c>
      <c r="H21" s="461">
        <v>241197.75</v>
      </c>
      <c r="I21" s="462">
        <f>IF(compras_mes7[[#This Row],[NETO GRAVADO]]="","",compras_mes7[[#This Row],[NETO GRAVADO]]*0.21)</f>
        <v>50651.527499999997</v>
      </c>
      <c r="J21" s="462"/>
      <c r="K21" s="462"/>
      <c r="L21" s="462"/>
      <c r="M21" s="462"/>
      <c r="N21" s="462"/>
      <c r="O21" s="462"/>
      <c r="P21" s="463">
        <f>SUM(compras_mes7[[#This Row],[NETO GRAVADO]:[Otros / No Grav.]])</f>
        <v>291849.27749999997</v>
      </c>
      <c r="Q21" s="464">
        <f>IFERROR(IF(compras_mes7[[#This Row],[CUIT]]="","-",VLOOKUP(compras_mes7[[#This Row],[CUIT]],Lista_CUIT[#All],3,0)),"CUIT NO CARGADO")</f>
        <v>0</v>
      </c>
      <c r="R21" s="464">
        <f>IFERROR(IF(compras_mes7[[#This Row],[CUIT]]="","-",VLOOKUP(compras_mes7[[#This Row],[CUIT]],Lista_CUIT[#All],4,0)),"CUIT NO CARGADO")</f>
        <v>0</v>
      </c>
      <c r="T21" s="128"/>
    </row>
    <row r="22" spans="1:20" x14ac:dyDescent="0.3">
      <c r="B22" s="456">
        <v>45124</v>
      </c>
      <c r="C22" s="457">
        <v>1</v>
      </c>
      <c r="D22" s="458">
        <v>4487</v>
      </c>
      <c r="E22" s="506">
        <v>152</v>
      </c>
      <c r="F22" s="459">
        <v>30685849751</v>
      </c>
      <c r="G22" s="460" t="str">
        <f>IFERROR(IF(compras_mes7[[#This Row],[CUIT]]="","-",VLOOKUP(compras_mes7[[#This Row],[CUIT]],Lista_CUIT[#All],2,0)),"CUIT NO CARGADO")</f>
        <v>DIA ARGENTINA S A</v>
      </c>
      <c r="H22" s="461">
        <v>461.48</v>
      </c>
      <c r="I22" s="462">
        <f>IF(compras_mes7[[#This Row],[NETO GRAVADO]]="","",compras_mes7[[#This Row],[NETO GRAVADO]]*0.21)</f>
        <v>96.910799999999995</v>
      </c>
      <c r="J22" s="462"/>
      <c r="K22" s="462"/>
      <c r="L22" s="462"/>
      <c r="M22" s="462"/>
      <c r="N22" s="462"/>
      <c r="O22" s="462"/>
      <c r="P22" s="463">
        <f>SUM(compras_mes7[[#This Row],[NETO GRAVADO]:[Otros / No Grav.]])</f>
        <v>558.39080000000001</v>
      </c>
      <c r="Q22" s="464">
        <f>IFERROR(IF(compras_mes7[[#This Row],[CUIT]]="","-",VLOOKUP(compras_mes7[[#This Row],[CUIT]],Lista_CUIT[#All],3,0)),"CUIT NO CARGADO")</f>
        <v>0</v>
      </c>
      <c r="R22" s="464">
        <f>IFERROR(IF(compras_mes7[[#This Row],[CUIT]]="","-",VLOOKUP(compras_mes7[[#This Row],[CUIT]],Lista_CUIT[#All],4,0)),"CUIT NO CARGADO")</f>
        <v>0</v>
      </c>
      <c r="T22" s="128"/>
    </row>
    <row r="23" spans="1:20" x14ac:dyDescent="0.3">
      <c r="B23" s="456">
        <v>45124</v>
      </c>
      <c r="C23" s="457">
        <v>1</v>
      </c>
      <c r="D23" s="458">
        <v>4487</v>
      </c>
      <c r="E23" s="506">
        <v>153</v>
      </c>
      <c r="F23" s="459">
        <v>30685849751</v>
      </c>
      <c r="G23" s="460" t="str">
        <f>IFERROR(IF(compras_mes7[[#This Row],[CUIT]]="","-",VLOOKUP(compras_mes7[[#This Row],[CUIT]],Lista_CUIT[#All],2,0)),"CUIT NO CARGADO")</f>
        <v>DIA ARGENTINA S A</v>
      </c>
      <c r="H23" s="461">
        <v>13749.85</v>
      </c>
      <c r="I23" s="462">
        <v>2699.64</v>
      </c>
      <c r="J23" s="462"/>
      <c r="K23" s="462">
        <v>93.91</v>
      </c>
      <c r="L23" s="462"/>
      <c r="M23" s="462"/>
      <c r="N23" s="462"/>
      <c r="O23" s="462"/>
      <c r="P23" s="463">
        <f>SUM(compras_mes7[[#This Row],[NETO GRAVADO]:[Otros / No Grav.]])</f>
        <v>16543.400000000001</v>
      </c>
      <c r="Q23" s="464">
        <f>IFERROR(IF(compras_mes7[[#This Row],[CUIT]]="","-",VLOOKUP(compras_mes7[[#This Row],[CUIT]],Lista_CUIT[#All],3,0)),"CUIT NO CARGADO")</f>
        <v>0</v>
      </c>
      <c r="R23" s="464">
        <f>IFERROR(IF(compras_mes7[[#This Row],[CUIT]]="","-",VLOOKUP(compras_mes7[[#This Row],[CUIT]],Lista_CUIT[#All],4,0)),"CUIT NO CARGADO")</f>
        <v>0</v>
      </c>
      <c r="T23" s="128"/>
    </row>
    <row r="24" spans="1:20" x14ac:dyDescent="0.3">
      <c r="B24" s="456">
        <v>45120</v>
      </c>
      <c r="C24" s="457">
        <v>1</v>
      </c>
      <c r="D24" s="458">
        <v>2</v>
      </c>
      <c r="E24" s="506">
        <v>192</v>
      </c>
      <c r="F24" s="459">
        <v>30717768511</v>
      </c>
      <c r="G24" s="460" t="str">
        <f>IFERROR(IF(compras_mes7[[#This Row],[CUIT]]="","-",VLOOKUP(compras_mes7[[#This Row],[CUIT]],Lista_CUIT[#All],2,0)),"CUIT NO CARGADO")</f>
        <v>DEALER S. CAP I SECC IV</v>
      </c>
      <c r="H24" s="461">
        <v>45718.05</v>
      </c>
      <c r="I24" s="462">
        <f>IF(compras_mes7[[#This Row],[NETO GRAVADO]]="","",compras_mes7[[#This Row],[NETO GRAVADO]]*0.21)</f>
        <v>9600.790500000001</v>
      </c>
      <c r="J24" s="462"/>
      <c r="K24" s="462"/>
      <c r="L24" s="462"/>
      <c r="M24" s="462"/>
      <c r="N24" s="462"/>
      <c r="O24" s="462"/>
      <c r="P24" s="463">
        <f>SUM(compras_mes7[[#This Row],[NETO GRAVADO]:[Otros / No Grav.]])</f>
        <v>55318.840500000006</v>
      </c>
      <c r="Q24" s="464">
        <f>IFERROR(IF(compras_mes7[[#This Row],[CUIT]]="","-",VLOOKUP(compras_mes7[[#This Row],[CUIT]],Lista_CUIT[#All],3,0)),"CUIT NO CARGADO")</f>
        <v>0</v>
      </c>
      <c r="R24" s="464">
        <f>IFERROR(IF(compras_mes7[[#This Row],[CUIT]]="","-",VLOOKUP(compras_mes7[[#This Row],[CUIT]],Lista_CUIT[#All],4,0)),"CUIT NO CARGADO")</f>
        <v>0</v>
      </c>
      <c r="T24" s="128"/>
    </row>
    <row r="25" spans="1:20" x14ac:dyDescent="0.3">
      <c r="B25" s="456">
        <v>45111</v>
      </c>
      <c r="C25" s="457">
        <v>1</v>
      </c>
      <c r="D25" s="458">
        <v>2</v>
      </c>
      <c r="E25" s="506">
        <v>218</v>
      </c>
      <c r="F25" s="459">
        <v>27309896063</v>
      </c>
      <c r="G25" s="460" t="str">
        <f>IFERROR(IF(compras_mes7[[#This Row],[CUIT]]="","-",VLOOKUP(compras_mes7[[#This Row],[CUIT]],Lista_CUIT[#All],2,0)),"CUIT NO CARGADO")</f>
        <v>BATTELLINI MARIA SOLEDAD</v>
      </c>
      <c r="H25" s="461">
        <v>50000</v>
      </c>
      <c r="I25" s="462">
        <f>IF(compras_mes7[[#This Row],[NETO GRAVADO]]="","",compras_mes7[[#This Row],[NETO GRAVADO]]*0.21)</f>
        <v>10500</v>
      </c>
      <c r="J25" s="462"/>
      <c r="K25" s="462"/>
      <c r="L25" s="462"/>
      <c r="M25" s="462"/>
      <c r="N25" s="462"/>
      <c r="O25" s="462"/>
      <c r="P25" s="463">
        <f>SUM(compras_mes7[[#This Row],[NETO GRAVADO]:[Otros / No Grav.]])</f>
        <v>60500</v>
      </c>
      <c r="Q25" s="464">
        <f>IFERROR(IF(compras_mes7[[#This Row],[CUIT]]="","-",VLOOKUP(compras_mes7[[#This Row],[CUIT]],Lista_CUIT[#All],3,0)),"CUIT NO CARGADO")</f>
        <v>0</v>
      </c>
      <c r="R25" s="464">
        <f>IFERROR(IF(compras_mes7[[#This Row],[CUIT]]="","-",VLOOKUP(compras_mes7[[#This Row],[CUIT]],Lista_CUIT[#All],4,0)),"CUIT NO CARGADO")</f>
        <v>0</v>
      </c>
      <c r="T25" s="128"/>
    </row>
    <row r="26" spans="1:20" x14ac:dyDescent="0.3">
      <c r="B26" s="456">
        <v>45108</v>
      </c>
      <c r="C26" s="457">
        <v>1</v>
      </c>
      <c r="D26" s="458">
        <v>1</v>
      </c>
      <c r="E26" s="506">
        <v>393</v>
      </c>
      <c r="F26" s="459">
        <v>20131206144</v>
      </c>
      <c r="G26" s="460" t="str">
        <f>IFERROR(IF(compras_mes7[[#This Row],[CUIT]]="","-",VLOOKUP(compras_mes7[[#This Row],[CUIT]],Lista_CUIT[#All],2,0)),"CUIT NO CARGADO")</f>
        <v>CHAMORRO MANUEL</v>
      </c>
      <c r="H26" s="461">
        <v>60000</v>
      </c>
      <c r="I26" s="462">
        <f>IF(compras_mes7[[#This Row],[NETO GRAVADO]]="","",compras_mes7[[#This Row],[NETO GRAVADO]]*0.21)</f>
        <v>12600</v>
      </c>
      <c r="J26" s="462"/>
      <c r="K26" s="462"/>
      <c r="L26" s="462"/>
      <c r="M26" s="462"/>
      <c r="N26" s="462"/>
      <c r="O26" s="462"/>
      <c r="P26" s="463">
        <f>SUM(compras_mes7[[#This Row],[NETO GRAVADO]:[Otros / No Grav.]])</f>
        <v>72600</v>
      </c>
      <c r="Q26" s="464" t="str">
        <f>IFERROR(IF(compras_mes7[[#This Row],[CUIT]]="","-",VLOOKUP(compras_mes7[[#This Row],[CUIT]],Lista_CUIT[#All],3,0)),"CUIT NO CARGADO")</f>
        <v>Alquiler</v>
      </c>
      <c r="R26" s="464">
        <f>IFERROR(IF(compras_mes7[[#This Row],[CUIT]]="","-",VLOOKUP(compras_mes7[[#This Row],[CUIT]],Lista_CUIT[#All],4,0)),"CUIT NO CARGADO")</f>
        <v>0</v>
      </c>
      <c r="T26" s="128"/>
    </row>
    <row r="27" spans="1:20" x14ac:dyDescent="0.3">
      <c r="B27" s="456">
        <v>45108</v>
      </c>
      <c r="C27" s="457">
        <v>1</v>
      </c>
      <c r="D27" s="458">
        <v>1</v>
      </c>
      <c r="E27" s="506">
        <v>583</v>
      </c>
      <c r="F27" s="459">
        <v>30715889486</v>
      </c>
      <c r="G27" s="460" t="str">
        <f>IFERROR(IF(compras_mes7[[#This Row],[CUIT]]="","-",VLOOKUP(compras_mes7[[#This Row],[CUIT]],Lista_CUIT[#All],2,0)),"CUIT NO CARGADO")</f>
        <v>EXPOESTETICA</v>
      </c>
      <c r="H27" s="461">
        <v>244800</v>
      </c>
      <c r="I27" s="462">
        <f>IF(compras_mes7[[#This Row],[NETO GRAVADO]]="","",compras_mes7[[#This Row],[NETO GRAVADO]]*0.21)</f>
        <v>51408</v>
      </c>
      <c r="J27" s="462"/>
      <c r="K27" s="462"/>
      <c r="L27" s="462"/>
      <c r="M27" s="462"/>
      <c r="N27" s="462"/>
      <c r="O27" s="462"/>
      <c r="P27" s="463">
        <f>SUM(compras_mes7[[#This Row],[NETO GRAVADO]:[Otros / No Grav.]])</f>
        <v>296208</v>
      </c>
      <c r="Q27" s="464" t="str">
        <f>IFERROR(IF(compras_mes7[[#This Row],[CUIT]]="","-",VLOOKUP(compras_mes7[[#This Row],[CUIT]],Lista_CUIT[#All],3,0)),"CUIT NO CARGADO")</f>
        <v>Convencion</v>
      </c>
      <c r="R27" s="464" t="str">
        <f>IFERROR(IF(compras_mes7[[#This Row],[CUIT]]="","-",VLOOKUP(compras_mes7[[#This Row],[CUIT]],Lista_CUIT[#All],4,0)),"CUIT NO CARGADO")</f>
        <v>BUENOS AIRES</v>
      </c>
      <c r="T27" s="128"/>
    </row>
    <row r="28" spans="1:20" x14ac:dyDescent="0.3">
      <c r="B28" s="486">
        <v>45138</v>
      </c>
      <c r="C28" s="494">
        <v>1</v>
      </c>
      <c r="D28" s="487">
        <v>1</v>
      </c>
      <c r="E28" s="488">
        <v>641</v>
      </c>
      <c r="F28" s="476">
        <v>30715048066</v>
      </c>
      <c r="G28" s="489" t="str">
        <f>IFERROR(IF(compras_mes7[[#This Row],[CUIT]]="","-",VLOOKUP(compras_mes7[[#This Row],[CUIT]],Lista_CUIT[#All],2,0)),"CUIT NO CARGADO")</f>
        <v>ROLLS Y EMPANADAS SA</v>
      </c>
      <c r="H28" s="490">
        <v>332130</v>
      </c>
      <c r="I28" s="491">
        <f>IF(compras_mes7[[#This Row],[NETO GRAVADO]]="","",compras_mes7[[#This Row],[NETO GRAVADO]]*0.21)</f>
        <v>69747.3</v>
      </c>
      <c r="J28" s="491"/>
      <c r="K28" s="491"/>
      <c r="L28" s="491"/>
      <c r="M28" s="491"/>
      <c r="N28" s="491"/>
      <c r="O28" s="491"/>
      <c r="P28" s="492">
        <f>SUM(compras_mes7[[#This Row],[NETO GRAVADO]:[Otros / No Grav.]])</f>
        <v>401877.3</v>
      </c>
      <c r="Q28" s="493" t="str">
        <f>IFERROR(IF(compras_mes7[[#This Row],[CUIT]]="","-",VLOOKUP(compras_mes7[[#This Row],[CUIT]],Lista_CUIT[#All],3,0)),"CUIT NO CARGADO")</f>
        <v>CATERING</v>
      </c>
      <c r="R28" s="493">
        <f>IFERROR(IF(compras_mes7[[#This Row],[CUIT]]="","-",VLOOKUP(compras_mes7[[#This Row],[CUIT]],Lista_CUIT[#All],4,0)),"CUIT NO CARGADO")</f>
        <v>0</v>
      </c>
      <c r="T28" s="128"/>
    </row>
    <row r="29" spans="1:20" x14ac:dyDescent="0.3">
      <c r="B29" s="486">
        <v>45138</v>
      </c>
      <c r="C29" s="494">
        <v>1</v>
      </c>
      <c r="D29" s="487">
        <v>1</v>
      </c>
      <c r="E29" s="488">
        <v>642</v>
      </c>
      <c r="F29" s="476">
        <v>30715048066</v>
      </c>
      <c r="G29" s="489" t="str">
        <f>IFERROR(IF(compras_mes7[[#This Row],[CUIT]]="","-",VLOOKUP(compras_mes7[[#This Row],[CUIT]],Lista_CUIT[#All],2,0)),"CUIT NO CARGADO")</f>
        <v>ROLLS Y EMPANADAS SA</v>
      </c>
      <c r="H29" s="490">
        <v>290940</v>
      </c>
      <c r="I29" s="491">
        <f>IF(compras_mes7[[#This Row],[NETO GRAVADO]]="","",compras_mes7[[#This Row],[NETO GRAVADO]]*0.21)</f>
        <v>61097.399999999994</v>
      </c>
      <c r="J29" s="491"/>
      <c r="K29" s="491"/>
      <c r="L29" s="491"/>
      <c r="M29" s="491"/>
      <c r="N29" s="491"/>
      <c r="O29" s="491"/>
      <c r="P29" s="492">
        <f>SUM(compras_mes7[[#This Row],[NETO GRAVADO]:[Otros / No Grav.]])</f>
        <v>352037.4</v>
      </c>
      <c r="Q29" s="493" t="str">
        <f>IFERROR(IF(compras_mes7[[#This Row],[CUIT]]="","-",VLOOKUP(compras_mes7[[#This Row],[CUIT]],Lista_CUIT[#All],3,0)),"CUIT NO CARGADO")</f>
        <v>CATERING</v>
      </c>
      <c r="R29" s="493">
        <f>IFERROR(IF(compras_mes7[[#This Row],[CUIT]]="","-",VLOOKUP(compras_mes7[[#This Row],[CUIT]],Lista_CUIT[#All],4,0)),"CUIT NO CARGADO")</f>
        <v>0</v>
      </c>
      <c r="T29" s="128"/>
    </row>
    <row r="30" spans="1:20" x14ac:dyDescent="0.3">
      <c r="B30" s="456">
        <v>45110</v>
      </c>
      <c r="C30" s="457">
        <v>1</v>
      </c>
      <c r="D30" s="458">
        <v>1</v>
      </c>
      <c r="E30" s="506">
        <v>742</v>
      </c>
      <c r="F30" s="459">
        <v>27276370575</v>
      </c>
      <c r="G30" s="460" t="str">
        <f>IFERROR(IF(compras_mes7[[#This Row],[CUIT]]="","-",VLOOKUP(compras_mes7[[#This Row],[CUIT]],Lista_CUIT[#All],2,0)),"CUIT NO CARGADO")</f>
        <v>MAMANI PAULA ANALIA</v>
      </c>
      <c r="H30" s="461">
        <v>20620.32</v>
      </c>
      <c r="I30" s="462">
        <f>IF(compras_mes7[[#This Row],[NETO GRAVADO]]="","",compras_mes7[[#This Row],[NETO GRAVADO]]*0.21)</f>
        <v>4330.2672000000002</v>
      </c>
      <c r="J30" s="462"/>
      <c r="K30" s="462"/>
      <c r="L30" s="462"/>
      <c r="M30" s="462"/>
      <c r="N30" s="462"/>
      <c r="O30" s="462"/>
      <c r="P30" s="463">
        <f>SUM(compras_mes7[[#This Row],[NETO GRAVADO]:[Otros / No Grav.]])</f>
        <v>24950.587200000002</v>
      </c>
      <c r="Q30" s="464">
        <f>IFERROR(IF(compras_mes7[[#This Row],[CUIT]]="","-",VLOOKUP(compras_mes7[[#This Row],[CUIT]],Lista_CUIT[#All],3,0)),"CUIT NO CARGADO")</f>
        <v>0</v>
      </c>
      <c r="R30" s="464">
        <f>IFERROR(IF(compras_mes7[[#This Row],[CUIT]]="","-",VLOOKUP(compras_mes7[[#This Row],[CUIT]],Lista_CUIT[#All],4,0)),"CUIT NO CARGADO")</f>
        <v>0</v>
      </c>
      <c r="T30" s="128"/>
    </row>
    <row r="31" spans="1:20" x14ac:dyDescent="0.3">
      <c r="B31" s="40">
        <v>45138</v>
      </c>
      <c r="C31" s="41">
        <v>1</v>
      </c>
      <c r="D31" s="42">
        <v>9</v>
      </c>
      <c r="E31" s="43">
        <v>791</v>
      </c>
      <c r="F31" s="44">
        <v>30710446047</v>
      </c>
      <c r="G31" s="45" t="str">
        <f>IFERROR(IF(compras_mes7[[#This Row],[CUIT]]="","-",VLOOKUP(compras_mes7[[#This Row],[CUIT]],Lista_CUIT[#All],2,0)),"CUIT NO CARGADO")</f>
        <v>ENSAMBLE GRAFICO S.H.</v>
      </c>
      <c r="H31" s="46">
        <v>221000</v>
      </c>
      <c r="I31" s="85">
        <f>IF(compras_mes7[[#This Row],[NETO GRAVADO]]="","",compras_mes7[[#This Row],[NETO GRAVADO]]*0.21)</f>
        <v>46410</v>
      </c>
      <c r="J31" s="507"/>
      <c r="K31" s="507"/>
      <c r="L31" s="507"/>
      <c r="M31" s="507"/>
      <c r="N31" s="507"/>
      <c r="O31" s="507"/>
      <c r="P31" s="48">
        <f>SUM(compras_mes7[[#This Row],[NETO GRAVADO]:[Otros / No Grav.]])</f>
        <v>267410</v>
      </c>
      <c r="Q31" s="49">
        <f>IFERROR(IF(compras_mes7[[#This Row],[CUIT]]="","-",VLOOKUP(compras_mes7[[#This Row],[CUIT]],Lista_CUIT[#All],3,0)),"CUIT NO CARGADO")</f>
        <v>0</v>
      </c>
      <c r="R31" s="49">
        <f>IFERROR(IF(compras_mes7[[#This Row],[CUIT]]="","-",VLOOKUP(compras_mes7[[#This Row],[CUIT]],Lista_CUIT[#All],4,0)),"CUIT NO CARGADO")</f>
        <v>0</v>
      </c>
      <c r="T31" s="128"/>
    </row>
    <row r="32" spans="1:20" x14ac:dyDescent="0.3">
      <c r="B32" s="456">
        <v>45119</v>
      </c>
      <c r="C32" s="457">
        <v>1</v>
      </c>
      <c r="D32" s="458">
        <v>5</v>
      </c>
      <c r="E32" s="506">
        <v>1260</v>
      </c>
      <c r="F32" s="459">
        <v>20956744750</v>
      </c>
      <c r="G32" s="460" t="str">
        <f>IFERROR(IF(compras_mes7[[#This Row],[CUIT]]="","-",VLOOKUP(compras_mes7[[#This Row],[CUIT]],Lista_CUIT[#All],2,0)),"CUIT NO CARGADO")</f>
        <v>GONZALEZ GALENO ALBERTO JOSE</v>
      </c>
      <c r="H32" s="461">
        <v>18115.7</v>
      </c>
      <c r="I32" s="462">
        <f>IF(compras_mes7[[#This Row],[NETO GRAVADO]]="","",compras_mes7[[#This Row],[NETO GRAVADO]]*0.21)</f>
        <v>3804.297</v>
      </c>
      <c r="J32" s="462"/>
      <c r="K32" s="462"/>
      <c r="L32" s="462"/>
      <c r="M32" s="462"/>
      <c r="N32" s="462"/>
      <c r="O32" s="462"/>
      <c r="P32" s="463">
        <f>SUM(compras_mes7[[#This Row],[NETO GRAVADO]:[Otros / No Grav.]])</f>
        <v>21919.996999999999</v>
      </c>
      <c r="Q32" s="464">
        <f>IFERROR(IF(compras_mes7[[#This Row],[CUIT]]="","-",VLOOKUP(compras_mes7[[#This Row],[CUIT]],Lista_CUIT[#All],3,0)),"CUIT NO CARGADO")</f>
        <v>0</v>
      </c>
      <c r="R32" s="464">
        <f>IFERROR(IF(compras_mes7[[#This Row],[CUIT]]="","-",VLOOKUP(compras_mes7[[#This Row],[CUIT]],Lista_CUIT[#All],4,0)),"CUIT NO CARGADO")</f>
        <v>0</v>
      </c>
      <c r="T32" s="128"/>
    </row>
    <row r="33" spans="2:20" x14ac:dyDescent="0.3">
      <c r="B33" s="456">
        <v>45116</v>
      </c>
      <c r="C33" s="457">
        <v>1</v>
      </c>
      <c r="D33" s="458">
        <v>7</v>
      </c>
      <c r="E33" s="506">
        <v>1514</v>
      </c>
      <c r="F33" s="459">
        <v>20134664518</v>
      </c>
      <c r="G33" s="460" t="str">
        <f>IFERROR(IF(compras_mes7[[#This Row],[CUIT]]="","-",VLOOKUP(compras_mes7[[#This Row],[CUIT]],Lista_CUIT[#All],2,0)),"CUIT NO CARGADO")</f>
        <v>HOKAMA SERGIO ENRIQUE</v>
      </c>
      <c r="H33" s="461">
        <v>2181.4</v>
      </c>
      <c r="I33" s="462">
        <f>IF(compras_mes7[[#This Row],[NETO GRAVADO]]="","",compras_mes7[[#This Row],[NETO GRAVADO]]*0.21)</f>
        <v>458.09399999999999</v>
      </c>
      <c r="J33" s="462"/>
      <c r="K33" s="462"/>
      <c r="L33" s="462"/>
      <c r="M33" s="462"/>
      <c r="N33" s="462"/>
      <c r="O33" s="462"/>
      <c r="P33" s="463">
        <f>SUM(compras_mes7[[#This Row],[NETO GRAVADO]:[Otros / No Grav.]])</f>
        <v>2639.4940000000001</v>
      </c>
      <c r="Q33" s="464" t="str">
        <f>IFERROR(IF(compras_mes7[[#This Row],[CUIT]]="","-",VLOOKUP(compras_mes7[[#This Row],[CUIT]],Lista_CUIT[#All],3,0)),"CUIT NO CARGADO")</f>
        <v>Gastos Varios</v>
      </c>
      <c r="R33" s="464" t="str">
        <f>IFERROR(IF(compras_mes7[[#This Row],[CUIT]]="","-",VLOOKUP(compras_mes7[[#This Row],[CUIT]],Lista_CUIT[#All],4,0)),"CUIT NO CARGADO")</f>
        <v>BUENOS AIRES</v>
      </c>
      <c r="T33" s="128"/>
    </row>
    <row r="34" spans="2:20" x14ac:dyDescent="0.3">
      <c r="B34" s="456">
        <v>45127</v>
      </c>
      <c r="C34" s="457">
        <v>1</v>
      </c>
      <c r="D34" s="458">
        <v>4</v>
      </c>
      <c r="E34" s="506">
        <v>1627</v>
      </c>
      <c r="F34" s="459">
        <v>20258711611</v>
      </c>
      <c r="G34" s="460" t="str">
        <f>IFERROR(IF(compras_mes7[[#This Row],[CUIT]]="","-",VLOOKUP(compras_mes7[[#This Row],[CUIT]],Lista_CUIT[#All],2,0)),"CUIT NO CARGADO")</f>
        <v>SORAIRE MIGUEL ALBERTO</v>
      </c>
      <c r="H34" s="461">
        <v>40859.01</v>
      </c>
      <c r="I34" s="462">
        <f>IF(compras_mes7[[#This Row],[NETO GRAVADO]]="","",compras_mes7[[#This Row],[NETO GRAVADO]]*0.21)</f>
        <v>8580.3921000000009</v>
      </c>
      <c r="J34" s="462"/>
      <c r="K34" s="462"/>
      <c r="L34" s="462"/>
      <c r="M34" s="462"/>
      <c r="N34" s="462"/>
      <c r="O34" s="462"/>
      <c r="P34" s="463">
        <f>SUM(compras_mes7[[#This Row],[NETO GRAVADO]:[Otros / No Grav.]])</f>
        <v>49439.402100000007</v>
      </c>
      <c r="Q34" s="464">
        <f>IFERROR(IF(compras_mes7[[#This Row],[CUIT]]="","-",VLOOKUP(compras_mes7[[#This Row],[CUIT]],Lista_CUIT[#All],3,0)),"CUIT NO CARGADO")</f>
        <v>0</v>
      </c>
      <c r="R34" s="464">
        <f>IFERROR(IF(compras_mes7[[#This Row],[CUIT]]="","-",VLOOKUP(compras_mes7[[#This Row],[CUIT]],Lista_CUIT[#All],4,0)),"CUIT NO CARGADO")</f>
        <v>0</v>
      </c>
      <c r="T34" s="128"/>
    </row>
    <row r="35" spans="2:20" x14ac:dyDescent="0.3">
      <c r="B35" s="456">
        <v>45124</v>
      </c>
      <c r="C35" s="457">
        <v>1</v>
      </c>
      <c r="D35" s="458">
        <v>10</v>
      </c>
      <c r="E35" s="506">
        <v>1713</v>
      </c>
      <c r="F35" s="459">
        <v>20259150249</v>
      </c>
      <c r="G35" s="460" t="str">
        <f>IFERROR(IF(compras_mes7[[#This Row],[CUIT]]="","-",VLOOKUP(compras_mes7[[#This Row],[CUIT]],Lista_CUIT[#All],2,0)),"CUIT NO CARGADO")</f>
        <v>BIANCHI CRISTIAN MAXIMILIANO</v>
      </c>
      <c r="H35" s="461">
        <v>39636.36</v>
      </c>
      <c r="I35" s="462">
        <f>IF(compras_mes7[[#This Row],[NETO GRAVADO]]="","",compras_mes7[[#This Row],[NETO GRAVADO]]*0.21)</f>
        <v>8323.6355999999996</v>
      </c>
      <c r="J35" s="462"/>
      <c r="K35" s="462"/>
      <c r="L35" s="462"/>
      <c r="M35" s="462"/>
      <c r="N35" s="462"/>
      <c r="O35" s="462"/>
      <c r="P35" s="463">
        <f>SUM(compras_mes7[[#This Row],[NETO GRAVADO]:[Otros / No Grav.]])</f>
        <v>47959.995600000002</v>
      </c>
      <c r="Q35" s="464">
        <f>IFERROR(IF(compras_mes7[[#This Row],[CUIT]]="","-",VLOOKUP(compras_mes7[[#This Row],[CUIT]],Lista_CUIT[#All],3,0)),"CUIT NO CARGADO")</f>
        <v>0</v>
      </c>
      <c r="R35" s="464">
        <f>IFERROR(IF(compras_mes7[[#This Row],[CUIT]]="","-",VLOOKUP(compras_mes7[[#This Row],[CUIT]],Lista_CUIT[#All],4,0)),"CUIT NO CARGADO")</f>
        <v>0</v>
      </c>
      <c r="T35" s="128"/>
    </row>
    <row r="36" spans="2:20" x14ac:dyDescent="0.3">
      <c r="B36" s="486">
        <v>45132</v>
      </c>
      <c r="C36" s="494">
        <v>1</v>
      </c>
      <c r="D36" s="487">
        <v>10</v>
      </c>
      <c r="E36" s="488">
        <v>1714</v>
      </c>
      <c r="F36" s="476">
        <v>30570046663</v>
      </c>
      <c r="G36" s="489" t="str">
        <f>IFERROR(IF(compras_mes7[[#This Row],[CUIT]]="","-",VLOOKUP(compras_mes7[[#This Row],[CUIT]],Lista_CUIT[#All],2,0)),"CUIT NO CARGADO")</f>
        <v>TRESEX S R L</v>
      </c>
      <c r="H36" s="490">
        <v>10509.64</v>
      </c>
      <c r="I36" s="491">
        <v>1697.7</v>
      </c>
      <c r="J36" s="491"/>
      <c r="K36" s="491">
        <v>254.66</v>
      </c>
      <c r="L36" s="491"/>
      <c r="M36" s="491"/>
      <c r="N36" s="491"/>
      <c r="O36" s="491"/>
      <c r="P36" s="518">
        <f>SUM(compras_mes7[[#This Row],[NETO GRAVADO]:[Otros / No Grav.]])</f>
        <v>12462</v>
      </c>
      <c r="Q36" s="493">
        <f>IFERROR(IF(compras_mes7[[#This Row],[CUIT]]="","-",VLOOKUP(compras_mes7[[#This Row],[CUIT]],Lista_CUIT[#All],3,0)),"CUIT NO CARGADO")</f>
        <v>0</v>
      </c>
      <c r="R36" s="493">
        <f>IFERROR(IF(compras_mes7[[#This Row],[CUIT]]="","-",VLOOKUP(compras_mes7[[#This Row],[CUIT]],Lista_CUIT[#All],4,0)),"CUIT NO CARGADO")</f>
        <v>0</v>
      </c>
      <c r="T36" s="128"/>
    </row>
    <row r="37" spans="2:20" x14ac:dyDescent="0.3">
      <c r="B37" s="456">
        <v>45124</v>
      </c>
      <c r="C37" s="457">
        <v>1</v>
      </c>
      <c r="D37" s="458">
        <v>4</v>
      </c>
      <c r="E37" s="506">
        <v>2066</v>
      </c>
      <c r="F37" s="459">
        <v>30715946250</v>
      </c>
      <c r="G37" s="460" t="str">
        <f>IFERROR(IF(compras_mes7[[#This Row],[CUIT]]="","-",VLOOKUP(compras_mes7[[#This Row],[CUIT]],Lista_CUIT[#All],2,0)),"CUIT NO CARGADO")</f>
        <v>GLOBAL AESTHETICS PRODUCTS AND SERVICES SRL</v>
      </c>
      <c r="H37" s="461">
        <v>500343.2</v>
      </c>
      <c r="I37" s="462">
        <f>IF(compras_mes7[[#This Row],[NETO GRAVADO]]="","",compras_mes7[[#This Row],[NETO GRAVADO]]*0.21)</f>
        <v>105072.072</v>
      </c>
      <c r="J37" s="462"/>
      <c r="K37" s="462"/>
      <c r="L37" s="462"/>
      <c r="M37" s="462"/>
      <c r="N37" s="462"/>
      <c r="O37" s="462"/>
      <c r="P37" s="463">
        <f>SUM(compras_mes7[[#This Row],[NETO GRAVADO]:[Otros / No Grav.]])</f>
        <v>605415.272</v>
      </c>
      <c r="Q37" s="464" t="str">
        <f>IFERROR(IF(compras_mes7[[#This Row],[CUIT]]="","-",VLOOKUP(compras_mes7[[#This Row],[CUIT]],Lista_CUIT[#All],3,0)),"CUIT NO CARGADO")</f>
        <v>aparatos</v>
      </c>
      <c r="R37" s="464">
        <f>IFERROR(IF(compras_mes7[[#This Row],[CUIT]]="","-",VLOOKUP(compras_mes7[[#This Row],[CUIT]],Lista_CUIT[#All],4,0)),"CUIT NO CARGADO")</f>
        <v>0</v>
      </c>
      <c r="T37" s="128"/>
    </row>
    <row r="38" spans="2:20" x14ac:dyDescent="0.3">
      <c r="B38" s="486">
        <v>45133</v>
      </c>
      <c r="C38" s="494">
        <v>1</v>
      </c>
      <c r="D38" s="487">
        <v>4</v>
      </c>
      <c r="E38" s="488">
        <v>2100</v>
      </c>
      <c r="F38" s="476">
        <v>30715946250</v>
      </c>
      <c r="G38" s="489" t="str">
        <f>IFERROR(IF(compras_mes7[[#This Row],[CUIT]]="","-",VLOOKUP(compras_mes7[[#This Row],[CUIT]],Lista_CUIT[#All],2,0)),"CUIT NO CARGADO")</f>
        <v>GLOBAL AESTHETICS PRODUCTS AND SERVICES SRL</v>
      </c>
      <c r="H38" s="490">
        <v>463776</v>
      </c>
      <c r="I38" s="491">
        <f>IF(compras_mes7[[#This Row],[NETO GRAVADO]]="","",compras_mes7[[#This Row],[NETO GRAVADO]]*0.21)</f>
        <v>97392.959999999992</v>
      </c>
      <c r="J38" s="491"/>
      <c r="K38" s="491"/>
      <c r="L38" s="491"/>
      <c r="M38" s="491"/>
      <c r="N38" s="491"/>
      <c r="O38" s="491"/>
      <c r="P38" s="463">
        <f>SUM(compras_mes7[[#This Row],[NETO GRAVADO]:[Otros / No Grav.]])</f>
        <v>561168.96</v>
      </c>
      <c r="Q38" s="493" t="str">
        <f>IFERROR(IF(compras_mes7[[#This Row],[CUIT]]="","-",VLOOKUP(compras_mes7[[#This Row],[CUIT]],Lista_CUIT[#All],3,0)),"CUIT NO CARGADO")</f>
        <v>aparatos</v>
      </c>
      <c r="R38" s="493">
        <f>IFERROR(IF(compras_mes7[[#This Row],[CUIT]]="","-",VLOOKUP(compras_mes7[[#This Row],[CUIT]],Lista_CUIT[#All],4,0)),"CUIT NO CARGADO")</f>
        <v>0</v>
      </c>
      <c r="T38" s="128"/>
    </row>
    <row r="39" spans="2:20" x14ac:dyDescent="0.3">
      <c r="B39" s="456">
        <v>45111</v>
      </c>
      <c r="C39" s="457">
        <v>1</v>
      </c>
      <c r="D39" s="458">
        <v>6</v>
      </c>
      <c r="E39" s="506">
        <v>2657</v>
      </c>
      <c r="F39" s="459">
        <v>30574603788</v>
      </c>
      <c r="G39" s="460" t="str">
        <f>IFERROR(IF(compras_mes7[[#This Row],[CUIT]]="","-",VLOOKUP(compras_mes7[[#This Row],[CUIT]],Lista_CUIT[#All],2,0)),"CUIT NO CARGADO")</f>
        <v>CODAC SRL</v>
      </c>
      <c r="H39" s="461">
        <v>276828</v>
      </c>
      <c r="I39" s="462">
        <f>IF(compras_mes7[[#This Row],[NETO GRAVADO]]="","",compras_mes7[[#This Row],[NETO GRAVADO]]*0.21)</f>
        <v>58133.88</v>
      </c>
      <c r="J39" s="462"/>
      <c r="K39" s="462"/>
      <c r="L39" s="462"/>
      <c r="M39" s="462"/>
      <c r="N39" s="462"/>
      <c r="O39" s="462"/>
      <c r="P39" s="463">
        <f>SUM(compras_mes7[[#This Row],[NETO GRAVADO]:[Otros / No Grav.]])</f>
        <v>334961.88</v>
      </c>
      <c r="Q39" s="464" t="str">
        <f>IFERROR(IF(compras_mes7[[#This Row],[CUIT]]="","-",VLOOKUP(compras_mes7[[#This Row],[CUIT]],Lista_CUIT[#All],3,0)),"CUIT NO CARGADO")</f>
        <v>GASTOS COSMETICA</v>
      </c>
      <c r="R39" s="464" t="str">
        <f>IFERROR(IF(compras_mes7[[#This Row],[CUIT]]="","-",VLOOKUP(compras_mes7[[#This Row],[CUIT]],Lista_CUIT[#All],4,0)),"CUIT NO CARGADO")</f>
        <v>BUENOS AIRES</v>
      </c>
      <c r="T39" s="128"/>
    </row>
    <row r="40" spans="2:20" x14ac:dyDescent="0.3">
      <c r="B40" s="456">
        <v>45113</v>
      </c>
      <c r="C40" s="457">
        <v>1</v>
      </c>
      <c r="D40" s="458">
        <v>6</v>
      </c>
      <c r="E40" s="506">
        <v>2662</v>
      </c>
      <c r="F40" s="459">
        <v>30574603788</v>
      </c>
      <c r="G40" s="460" t="str">
        <f>IFERROR(IF(compras_mes7[[#This Row],[CUIT]]="","-",VLOOKUP(compras_mes7[[#This Row],[CUIT]],Lista_CUIT[#All],2,0)),"CUIT NO CARGADO")</f>
        <v>CODAC SRL</v>
      </c>
      <c r="H40" s="461">
        <v>420325</v>
      </c>
      <c r="I40" s="462">
        <f>IF(compras_mes7[[#This Row],[NETO GRAVADO]]="","",compras_mes7[[#This Row],[NETO GRAVADO]]*0.21)</f>
        <v>88268.25</v>
      </c>
      <c r="J40" s="462"/>
      <c r="K40" s="462"/>
      <c r="L40" s="462"/>
      <c r="M40" s="462"/>
      <c r="N40" s="462"/>
      <c r="O40" s="462"/>
      <c r="P40" s="463">
        <f>SUM(compras_mes7[[#This Row],[NETO GRAVADO]:[Otros / No Grav.]])</f>
        <v>508593.25</v>
      </c>
      <c r="Q40" s="464" t="str">
        <f>IFERROR(IF(compras_mes7[[#This Row],[CUIT]]="","-",VLOOKUP(compras_mes7[[#This Row],[CUIT]],Lista_CUIT[#All],3,0)),"CUIT NO CARGADO")</f>
        <v>GASTOS COSMETICA</v>
      </c>
      <c r="R40" s="464" t="str">
        <f>IFERROR(IF(compras_mes7[[#This Row],[CUIT]]="","-",VLOOKUP(compras_mes7[[#This Row],[CUIT]],Lista_CUIT[#All],4,0)),"CUIT NO CARGADO")</f>
        <v>BUENOS AIRES</v>
      </c>
      <c r="T40" s="128"/>
    </row>
    <row r="41" spans="2:20" x14ac:dyDescent="0.3">
      <c r="B41" s="509">
        <v>45118</v>
      </c>
      <c r="C41" s="511">
        <v>1</v>
      </c>
      <c r="D41" s="512">
        <v>6</v>
      </c>
      <c r="E41" s="513">
        <v>2673</v>
      </c>
      <c r="F41" s="514">
        <v>30574603788</v>
      </c>
      <c r="G41" s="515" t="str">
        <f>IFERROR(IF(compras_mes7[[#This Row],[CUIT]]="","-",VLOOKUP(compras_mes7[[#This Row],[CUIT]],Lista_CUIT[#All],2,0)),"CUIT NO CARGADO")</f>
        <v>CODAC SRL</v>
      </c>
      <c r="H41" s="516">
        <v>219744</v>
      </c>
      <c r="I41" s="517">
        <f>IF(compras_mes7[[#This Row],[NETO GRAVADO]]="","",compras_mes7[[#This Row],[NETO GRAVADO]]*0.21)</f>
        <v>46146.239999999998</v>
      </c>
      <c r="J41" s="517"/>
      <c r="K41" s="517"/>
      <c r="L41" s="517"/>
      <c r="M41" s="517"/>
      <c r="N41" s="517"/>
      <c r="O41" s="517"/>
      <c r="P41" s="518">
        <f>SUM(compras_mes7[[#This Row],[NETO GRAVADO]:[Otros / No Grav.]])</f>
        <v>265890.24</v>
      </c>
      <c r="Q41" s="519" t="str">
        <f>IFERROR(IF(compras_mes7[[#This Row],[CUIT]]="","-",VLOOKUP(compras_mes7[[#This Row],[CUIT]],Lista_CUIT[#All],3,0)),"CUIT NO CARGADO")</f>
        <v>GASTOS COSMETICA</v>
      </c>
      <c r="R41" s="519" t="str">
        <f>IFERROR(IF(compras_mes7[[#This Row],[CUIT]]="","-",VLOOKUP(compras_mes7[[#This Row],[CUIT]],Lista_CUIT[#All],4,0)),"CUIT NO CARGADO")</f>
        <v>BUENOS AIRES</v>
      </c>
      <c r="T41" s="128"/>
    </row>
    <row r="42" spans="2:20" x14ac:dyDescent="0.3">
      <c r="B42" s="456">
        <v>45126</v>
      </c>
      <c r="C42" s="457">
        <v>1</v>
      </c>
      <c r="D42" s="458">
        <v>6</v>
      </c>
      <c r="E42" s="506">
        <v>2684</v>
      </c>
      <c r="F42" s="459">
        <v>30574603788</v>
      </c>
      <c r="G42" s="460" t="str">
        <f>IFERROR(IF(compras_mes7[[#This Row],[CUIT]]="","-",VLOOKUP(compras_mes7[[#This Row],[CUIT]],Lista_CUIT[#All],2,0)),"CUIT NO CARGADO")</f>
        <v>CODAC SRL</v>
      </c>
      <c r="H42" s="461">
        <v>274344</v>
      </c>
      <c r="I42" s="462">
        <f>IF(compras_mes7[[#This Row],[NETO GRAVADO]]="","",compras_mes7[[#This Row],[NETO GRAVADO]]*0.21)</f>
        <v>57612.24</v>
      </c>
      <c r="J42" s="462"/>
      <c r="K42" s="462"/>
      <c r="L42" s="462"/>
      <c r="M42" s="462"/>
      <c r="N42" s="462"/>
      <c r="O42" s="462"/>
      <c r="P42" s="463">
        <f>SUM(compras_mes7[[#This Row],[NETO GRAVADO]:[Otros / No Grav.]])</f>
        <v>331956.24</v>
      </c>
      <c r="Q42" s="464" t="str">
        <f>IFERROR(IF(compras_mes7[[#This Row],[CUIT]]="","-",VLOOKUP(compras_mes7[[#This Row],[CUIT]],Lista_CUIT[#All],3,0)),"CUIT NO CARGADO")</f>
        <v>GASTOS COSMETICA</v>
      </c>
      <c r="R42" s="464" t="str">
        <f>IFERROR(IF(compras_mes7[[#This Row],[CUIT]]="","-",VLOOKUP(compras_mes7[[#This Row],[CUIT]],Lista_CUIT[#All],4,0)),"CUIT NO CARGADO")</f>
        <v>BUENOS AIRES</v>
      </c>
      <c r="T42" s="128"/>
    </row>
    <row r="43" spans="2:20" x14ac:dyDescent="0.3">
      <c r="B43" s="456">
        <v>45115</v>
      </c>
      <c r="C43" s="457">
        <v>1</v>
      </c>
      <c r="D43" s="458">
        <v>6</v>
      </c>
      <c r="E43" s="506">
        <v>2851</v>
      </c>
      <c r="F43" s="459">
        <v>20214813301</v>
      </c>
      <c r="G43" s="460" t="str">
        <f>IFERROR(IF(compras_mes7[[#This Row],[CUIT]]="","-",VLOOKUP(compras_mes7[[#This Row],[CUIT]],Lista_CUIT[#All],2,0)),"CUIT NO CARGADO")</f>
        <v>ROSENBERG PEDRO ROBERTO</v>
      </c>
      <c r="H43" s="461">
        <v>8796.69</v>
      </c>
      <c r="I43" s="462">
        <f>IF(compras_mes7[[#This Row],[NETO GRAVADO]]="","",compras_mes7[[#This Row],[NETO GRAVADO]]*0.21)</f>
        <v>1847.3049000000001</v>
      </c>
      <c r="J43" s="462"/>
      <c r="K43" s="462"/>
      <c r="L43" s="462"/>
      <c r="M43" s="462"/>
      <c r="N43" s="462"/>
      <c r="O43" s="462"/>
      <c r="P43" s="463">
        <f>SUM(compras_mes7[[#This Row],[NETO GRAVADO]:[Otros / No Grav.]])</f>
        <v>10643.994900000002</v>
      </c>
      <c r="Q43" s="464">
        <f>IFERROR(IF(compras_mes7[[#This Row],[CUIT]]="","-",VLOOKUP(compras_mes7[[#This Row],[CUIT]],Lista_CUIT[#All],3,0)),"CUIT NO CARGADO")</f>
        <v>0</v>
      </c>
      <c r="R43" s="464">
        <f>IFERROR(IF(compras_mes7[[#This Row],[CUIT]]="","-",VLOOKUP(compras_mes7[[#This Row],[CUIT]],Lista_CUIT[#All],4,0)),"CUIT NO CARGADO")</f>
        <v>0</v>
      </c>
      <c r="T43" s="128"/>
    </row>
    <row r="44" spans="2:20" x14ac:dyDescent="0.3">
      <c r="B44" s="456">
        <v>45114</v>
      </c>
      <c r="C44" s="457">
        <v>1</v>
      </c>
      <c r="D44" s="458">
        <v>2</v>
      </c>
      <c r="E44" s="506">
        <v>3384</v>
      </c>
      <c r="F44" s="459">
        <v>30629863571</v>
      </c>
      <c r="G44" s="460" t="str">
        <f>IFERROR(IF(compras_mes7[[#This Row],[CUIT]]="","-",VLOOKUP(compras_mes7[[#This Row],[CUIT]],Lista_CUIT[#All],2,0)),"CUIT NO CARGADO")</f>
        <v>TECNIMAR S R L</v>
      </c>
      <c r="H44" s="461">
        <v>1400318.4</v>
      </c>
      <c r="I44" s="462">
        <f>IF(compras_mes7[[#This Row],[NETO GRAVADO]]="","",compras_mes7[[#This Row],[NETO GRAVADO]]*0.21)</f>
        <v>294066.86399999994</v>
      </c>
      <c r="J44" s="462"/>
      <c r="K44" s="462"/>
      <c r="L44" s="462"/>
      <c r="M44" s="462"/>
      <c r="N44" s="462"/>
      <c r="O44" s="462"/>
      <c r="P44" s="463">
        <f>SUM(compras_mes7[[#This Row],[NETO GRAVADO]:[Otros / No Grav.]])</f>
        <v>1694385.264</v>
      </c>
      <c r="Q44" s="464" t="str">
        <f>IFERROR(IF(compras_mes7[[#This Row],[CUIT]]="","-",VLOOKUP(compras_mes7[[#This Row],[CUIT]],Lista_CUIT[#All],3,0)),"CUIT NO CARGADO")</f>
        <v>LABORATORIO</v>
      </c>
      <c r="R44" s="464">
        <f>IFERROR(IF(compras_mes7[[#This Row],[CUIT]]="","-",VLOOKUP(compras_mes7[[#This Row],[CUIT]],Lista_CUIT[#All],4,0)),"CUIT NO CARGADO")</f>
        <v>0</v>
      </c>
      <c r="T44" s="128"/>
    </row>
    <row r="45" spans="2:20" x14ac:dyDescent="0.3">
      <c r="B45" s="456">
        <v>45117</v>
      </c>
      <c r="C45" s="457">
        <v>1</v>
      </c>
      <c r="D45" s="458">
        <v>2</v>
      </c>
      <c r="E45" s="506">
        <v>3385</v>
      </c>
      <c r="F45" s="459">
        <v>30629863571</v>
      </c>
      <c r="G45" s="460" t="str">
        <f>IFERROR(IF(compras_mes7[[#This Row],[CUIT]]="","-",VLOOKUP(compras_mes7[[#This Row],[CUIT]],Lista_CUIT[#All],2,0)),"CUIT NO CARGADO")</f>
        <v>TECNIMAR S R L</v>
      </c>
      <c r="H45" s="461">
        <v>563126.19999999995</v>
      </c>
      <c r="I45" s="462">
        <f>IF(compras_mes7[[#This Row],[NETO GRAVADO]]="","",compras_mes7[[#This Row],[NETO GRAVADO]]*0.21)</f>
        <v>118256.50199999998</v>
      </c>
      <c r="J45" s="462"/>
      <c r="K45" s="462"/>
      <c r="L45" s="462"/>
      <c r="M45" s="462"/>
      <c r="N45" s="462"/>
      <c r="O45" s="462"/>
      <c r="P45" s="463">
        <f>SUM(compras_mes7[[#This Row],[NETO GRAVADO]:[Otros / No Grav.]])</f>
        <v>681382.70199999993</v>
      </c>
      <c r="Q45" s="464" t="str">
        <f>IFERROR(IF(compras_mes7[[#This Row],[CUIT]]="","-",VLOOKUP(compras_mes7[[#This Row],[CUIT]],Lista_CUIT[#All],3,0)),"CUIT NO CARGADO")</f>
        <v>LABORATORIO</v>
      </c>
      <c r="R45" s="464">
        <f>IFERROR(IF(compras_mes7[[#This Row],[CUIT]]="","-",VLOOKUP(compras_mes7[[#This Row],[CUIT]],Lista_CUIT[#All],4,0)),"CUIT NO CARGADO")</f>
        <v>0</v>
      </c>
      <c r="T45" s="128"/>
    </row>
    <row r="46" spans="2:20" x14ac:dyDescent="0.3">
      <c r="B46" s="456">
        <v>45119</v>
      </c>
      <c r="C46" s="457">
        <v>1</v>
      </c>
      <c r="D46" s="458">
        <v>2</v>
      </c>
      <c r="E46" s="506">
        <v>3386</v>
      </c>
      <c r="F46" s="459">
        <v>30629863571</v>
      </c>
      <c r="G46" s="460" t="str">
        <f>IFERROR(IF(compras_mes7[[#This Row],[CUIT]]="","-",VLOOKUP(compras_mes7[[#This Row],[CUIT]],Lista_CUIT[#All],2,0)),"CUIT NO CARGADO")</f>
        <v>TECNIMAR S R L</v>
      </c>
      <c r="H46" s="461">
        <v>1462931.6</v>
      </c>
      <c r="I46" s="462">
        <f>IF(compras_mes7[[#This Row],[NETO GRAVADO]]="","",compras_mes7[[#This Row],[NETO GRAVADO]]*0.21)</f>
        <v>307215.636</v>
      </c>
      <c r="J46" s="462"/>
      <c r="K46" s="462"/>
      <c r="L46" s="462"/>
      <c r="M46" s="462"/>
      <c r="N46" s="462"/>
      <c r="O46" s="462"/>
      <c r="P46" s="463">
        <f>SUM(compras_mes7[[#This Row],[NETO GRAVADO]:[Otros / No Grav.]])</f>
        <v>1770147.236</v>
      </c>
      <c r="Q46" s="464" t="str">
        <f>IFERROR(IF(compras_mes7[[#This Row],[CUIT]]="","-",VLOOKUP(compras_mes7[[#This Row],[CUIT]],Lista_CUIT[#All],3,0)),"CUIT NO CARGADO")</f>
        <v>LABORATORIO</v>
      </c>
      <c r="R46" s="464">
        <f>IFERROR(IF(compras_mes7[[#This Row],[CUIT]]="","-",VLOOKUP(compras_mes7[[#This Row],[CUIT]],Lista_CUIT[#All],4,0)),"CUIT NO CARGADO")</f>
        <v>0</v>
      </c>
      <c r="T46" s="128"/>
    </row>
    <row r="47" spans="2:20" x14ac:dyDescent="0.3">
      <c r="B47" s="456">
        <v>45124</v>
      </c>
      <c r="C47" s="457">
        <v>1</v>
      </c>
      <c r="D47" s="458">
        <v>2</v>
      </c>
      <c r="E47" s="506">
        <v>3389</v>
      </c>
      <c r="F47" s="459">
        <v>30629863571</v>
      </c>
      <c r="G47" s="460" t="str">
        <f>IFERROR(IF(compras_mes7[[#This Row],[CUIT]]="","-",VLOOKUP(compras_mes7[[#This Row],[CUIT]],Lista_CUIT[#All],2,0)),"CUIT NO CARGADO")</f>
        <v>TECNIMAR S R L</v>
      </c>
      <c r="H47" s="461">
        <v>114240</v>
      </c>
      <c r="I47" s="462">
        <f>IF(compras_mes7[[#This Row],[NETO GRAVADO]]="","",compras_mes7[[#This Row],[NETO GRAVADO]]*0.21)</f>
        <v>23990.399999999998</v>
      </c>
      <c r="J47" s="462"/>
      <c r="K47" s="462"/>
      <c r="L47" s="462"/>
      <c r="M47" s="462"/>
      <c r="N47" s="462"/>
      <c r="O47" s="462"/>
      <c r="P47" s="463">
        <f>SUM(compras_mes7[[#This Row],[NETO GRAVADO]:[Otros / No Grav.]])</f>
        <v>138230.39999999999</v>
      </c>
      <c r="Q47" s="464" t="str">
        <f>IFERROR(IF(compras_mes7[[#This Row],[CUIT]]="","-",VLOOKUP(compras_mes7[[#This Row],[CUIT]],Lista_CUIT[#All],3,0)),"CUIT NO CARGADO")</f>
        <v>LABORATORIO</v>
      </c>
      <c r="R47" s="464">
        <f>IFERROR(IF(compras_mes7[[#This Row],[CUIT]]="","-",VLOOKUP(compras_mes7[[#This Row],[CUIT]],Lista_CUIT[#All],4,0)),"CUIT NO CARGADO")</f>
        <v>0</v>
      </c>
      <c r="T47" s="128"/>
    </row>
    <row r="48" spans="2:20" x14ac:dyDescent="0.3">
      <c r="B48" s="456">
        <v>45128</v>
      </c>
      <c r="C48" s="457">
        <v>1</v>
      </c>
      <c r="D48" s="458">
        <v>2</v>
      </c>
      <c r="E48" s="506">
        <v>3394</v>
      </c>
      <c r="F48" s="459">
        <v>30629863571</v>
      </c>
      <c r="G48" s="460" t="str">
        <f>IFERROR(IF(compras_mes7[[#This Row],[CUIT]]="","-",VLOOKUP(compras_mes7[[#This Row],[CUIT]],Lista_CUIT[#All],2,0)),"CUIT NO CARGADO")</f>
        <v>TECNIMAR S R L</v>
      </c>
      <c r="H48" s="461">
        <v>1376763.84</v>
      </c>
      <c r="I48" s="462">
        <f>IF(compras_mes7[[#This Row],[NETO GRAVADO]]="","",compras_mes7[[#This Row],[NETO GRAVADO]]*0.21)</f>
        <v>289120.40639999998</v>
      </c>
      <c r="J48" s="462"/>
      <c r="K48" s="462"/>
      <c r="L48" s="462"/>
      <c r="M48" s="462"/>
      <c r="N48" s="462"/>
      <c r="O48" s="462"/>
      <c r="P48" s="463">
        <f>SUM(compras_mes7[[#This Row],[NETO GRAVADO]:[Otros / No Grav.]])</f>
        <v>1665884.2464000001</v>
      </c>
      <c r="Q48" s="464" t="str">
        <f>IFERROR(IF(compras_mes7[[#This Row],[CUIT]]="","-",VLOOKUP(compras_mes7[[#This Row],[CUIT]],Lista_CUIT[#All],3,0)),"CUIT NO CARGADO")</f>
        <v>LABORATORIO</v>
      </c>
      <c r="R48" s="464">
        <f>IFERROR(IF(compras_mes7[[#This Row],[CUIT]]="","-",VLOOKUP(compras_mes7[[#This Row],[CUIT]],Lista_CUIT[#All],4,0)),"CUIT NO CARGADO")</f>
        <v>0</v>
      </c>
      <c r="T48" s="128"/>
    </row>
    <row r="49" spans="1:20" x14ac:dyDescent="0.3">
      <c r="B49" s="456">
        <v>45134</v>
      </c>
      <c r="C49" s="457">
        <v>1</v>
      </c>
      <c r="D49" s="458">
        <v>2</v>
      </c>
      <c r="E49" s="506">
        <v>3397</v>
      </c>
      <c r="F49" s="459">
        <v>30629863571</v>
      </c>
      <c r="G49" s="460" t="str">
        <f>IFERROR(IF(compras_mes7[[#This Row],[CUIT]]="","-",VLOOKUP(compras_mes7[[#This Row],[CUIT]],Lista_CUIT[#All],2,0)),"CUIT NO CARGADO")</f>
        <v>TECNIMAR S R L</v>
      </c>
      <c r="H49" s="461">
        <v>1115761.92</v>
      </c>
      <c r="I49" s="462">
        <f>IF(compras_mes7[[#This Row],[NETO GRAVADO]]="","",compras_mes7[[#This Row],[NETO GRAVADO]]*0.21)</f>
        <v>234310.00319999998</v>
      </c>
      <c r="J49" s="462"/>
      <c r="K49" s="462"/>
      <c r="L49" s="462"/>
      <c r="M49" s="462"/>
      <c r="N49" s="462"/>
      <c r="O49" s="462"/>
      <c r="P49" s="463">
        <f>SUM(compras_mes7[[#This Row],[NETO GRAVADO]:[Otros / No Grav.]])</f>
        <v>1350071.9231999998</v>
      </c>
      <c r="Q49" s="464" t="str">
        <f>IFERROR(IF(compras_mes7[[#This Row],[CUIT]]="","-",VLOOKUP(compras_mes7[[#This Row],[CUIT]],Lista_CUIT[#All],3,0)),"CUIT NO CARGADO")</f>
        <v>LABORATORIO</v>
      </c>
      <c r="R49" s="464">
        <f>IFERROR(IF(compras_mes7[[#This Row],[CUIT]]="","-",VLOOKUP(compras_mes7[[#This Row],[CUIT]],Lista_CUIT[#All],4,0)),"CUIT NO CARGADO")</f>
        <v>0</v>
      </c>
      <c r="T49" s="128"/>
    </row>
    <row r="50" spans="1:20" x14ac:dyDescent="0.3">
      <c r="B50" s="456">
        <v>45135</v>
      </c>
      <c r="C50" s="457">
        <v>1</v>
      </c>
      <c r="D50" s="458">
        <v>2</v>
      </c>
      <c r="E50" s="506">
        <v>3398</v>
      </c>
      <c r="F50" s="459">
        <v>30629863571</v>
      </c>
      <c r="G50" s="460" t="str">
        <f>IFERROR(IF(compras_mes7[[#This Row],[CUIT]]="","-",VLOOKUP(compras_mes7[[#This Row],[CUIT]],Lista_CUIT[#All],2,0)),"CUIT NO CARGADO")</f>
        <v>TECNIMAR S R L</v>
      </c>
      <c r="H50" s="461">
        <v>970080</v>
      </c>
      <c r="I50" s="462">
        <f>IF(compras_mes7[[#This Row],[NETO GRAVADO]]="","",compras_mes7[[#This Row],[NETO GRAVADO]]*0.21)</f>
        <v>203716.8</v>
      </c>
      <c r="J50" s="462"/>
      <c r="K50" s="462"/>
      <c r="L50" s="462"/>
      <c r="M50" s="462"/>
      <c r="N50" s="462"/>
      <c r="O50" s="462"/>
      <c r="P50" s="463">
        <f>SUM(compras_mes7[[#This Row],[NETO GRAVADO]:[Otros / No Grav.]])</f>
        <v>1173796.8</v>
      </c>
      <c r="Q50" s="464" t="str">
        <f>IFERROR(IF(compras_mes7[[#This Row],[CUIT]]="","-",VLOOKUP(compras_mes7[[#This Row],[CUIT]],Lista_CUIT[#All],3,0)),"CUIT NO CARGADO")</f>
        <v>LABORATORIO</v>
      </c>
      <c r="R50" s="464">
        <f>IFERROR(IF(compras_mes7[[#This Row],[CUIT]]="","-",VLOOKUP(compras_mes7[[#This Row],[CUIT]],Lista_CUIT[#All],4,0)),"CUIT NO CARGADO")</f>
        <v>0</v>
      </c>
      <c r="T50" s="128"/>
    </row>
    <row r="51" spans="1:20" x14ac:dyDescent="0.3">
      <c r="B51" s="456">
        <v>45110</v>
      </c>
      <c r="C51" s="457">
        <v>1</v>
      </c>
      <c r="D51" s="458">
        <v>3730</v>
      </c>
      <c r="E51" s="506">
        <v>3443</v>
      </c>
      <c r="F51" s="459">
        <v>30526874249</v>
      </c>
      <c r="G51" s="460" t="str">
        <f>IFERROR(IF(compras_mes7[[#This Row],[CUIT]]="","-",VLOOKUP(compras_mes7[[#This Row],[CUIT]],Lista_CUIT[#All],2,0)),"CUIT NO CARGADO")</f>
        <v>FRAVEGA S A C I E I</v>
      </c>
      <c r="H51" s="461">
        <v>266553.02</v>
      </c>
      <c r="I51" s="462">
        <f>IF(compras_mes7[[#This Row],[NETO GRAVADO]]="","",compras_mes7[[#This Row],[NETO GRAVADO]]*0.21)</f>
        <v>55976.1342</v>
      </c>
      <c r="J51" s="462"/>
      <c r="K51" s="462"/>
      <c r="L51" s="462"/>
      <c r="M51" s="462"/>
      <c r="N51" s="462"/>
      <c r="O51" s="462"/>
      <c r="P51" s="463">
        <f>SUM(compras_mes7[[#This Row],[NETO GRAVADO]:[Otros / No Grav.]])</f>
        <v>322529.15419999999</v>
      </c>
      <c r="Q51" s="464">
        <f>IFERROR(IF(compras_mes7[[#This Row],[CUIT]]="","-",VLOOKUP(compras_mes7[[#This Row],[CUIT]],Lista_CUIT[#All],3,0)),"CUIT NO CARGADO")</f>
        <v>0</v>
      </c>
      <c r="R51" s="464">
        <f>IFERROR(IF(compras_mes7[[#This Row],[CUIT]]="","-",VLOOKUP(compras_mes7[[#This Row],[CUIT]],Lista_CUIT[#All],4,0)),"CUIT NO CARGADO")</f>
        <v>0</v>
      </c>
      <c r="T51" s="128"/>
    </row>
    <row r="52" spans="1:20" x14ac:dyDescent="0.3">
      <c r="B52" s="456">
        <v>45112</v>
      </c>
      <c r="C52" s="457">
        <v>1</v>
      </c>
      <c r="D52" s="458">
        <v>6</v>
      </c>
      <c r="E52" s="506">
        <v>3478</v>
      </c>
      <c r="F52" s="459">
        <v>20134664518</v>
      </c>
      <c r="G52" s="460" t="str">
        <f>IFERROR(IF(compras_mes7[[#This Row],[CUIT]]="","-",VLOOKUP(compras_mes7[[#This Row],[CUIT]],Lista_CUIT[#All],2,0)),"CUIT NO CARGADO")</f>
        <v>HOKAMA SERGIO ENRIQUE</v>
      </c>
      <c r="H52" s="461">
        <v>10865</v>
      </c>
      <c r="I52" s="462">
        <f>IF(compras_mes7[[#This Row],[NETO GRAVADO]]="","",compras_mes7[[#This Row],[NETO GRAVADO]]*0.21)</f>
        <v>2281.65</v>
      </c>
      <c r="J52" s="462"/>
      <c r="K52" s="462"/>
      <c r="L52" s="462"/>
      <c r="M52" s="462"/>
      <c r="N52" s="462"/>
      <c r="O52" s="462"/>
      <c r="P52" s="463">
        <f>SUM(compras_mes7[[#This Row],[NETO GRAVADO]:[Otros / No Grav.]])</f>
        <v>13146.65</v>
      </c>
      <c r="Q52" s="464" t="str">
        <f>IFERROR(IF(compras_mes7[[#This Row],[CUIT]]="","-",VLOOKUP(compras_mes7[[#This Row],[CUIT]],Lista_CUIT[#All],3,0)),"CUIT NO CARGADO")</f>
        <v>Gastos Varios</v>
      </c>
      <c r="R52" s="464" t="str">
        <f>IFERROR(IF(compras_mes7[[#This Row],[CUIT]]="","-",VLOOKUP(compras_mes7[[#This Row],[CUIT]],Lista_CUIT[#All],4,0)),"CUIT NO CARGADO")</f>
        <v>BUENOS AIRES</v>
      </c>
      <c r="T52" s="128"/>
    </row>
    <row r="53" spans="1:20" x14ac:dyDescent="0.3">
      <c r="B53" s="456">
        <v>45117</v>
      </c>
      <c r="C53" s="457">
        <v>1</v>
      </c>
      <c r="D53" s="458">
        <v>3</v>
      </c>
      <c r="E53" s="506">
        <v>3510</v>
      </c>
      <c r="F53" s="459">
        <v>30714618977</v>
      </c>
      <c r="G53" s="460" t="str">
        <f>IFERROR(IF(compras_mes7[[#This Row],[CUIT]]="","-",VLOOKUP(compras_mes7[[#This Row],[CUIT]],Lista_CUIT[#All],2,0)),"CUIT NO CARGADO")</f>
        <v>DISTRIBUIDORA N.G. S.A.</v>
      </c>
      <c r="H53" s="461">
        <v>201120</v>
      </c>
      <c r="I53" s="462">
        <f>IF(compras_mes7[[#This Row],[NETO GRAVADO]]="","",compras_mes7[[#This Row],[NETO GRAVADO]]*0.21)</f>
        <v>42235.199999999997</v>
      </c>
      <c r="J53" s="462"/>
      <c r="K53" s="462"/>
      <c r="L53" s="462"/>
      <c r="M53" s="462"/>
      <c r="N53" s="462"/>
      <c r="O53" s="462"/>
      <c r="P53" s="463">
        <f>SUM(compras_mes7[[#This Row],[NETO GRAVADO]:[Otros / No Grav.]])</f>
        <v>243355.2</v>
      </c>
      <c r="Q53" s="464">
        <f>IFERROR(IF(compras_mes7[[#This Row],[CUIT]]="","-",VLOOKUP(compras_mes7[[#This Row],[CUIT]],Lista_CUIT[#All],3,0)),"CUIT NO CARGADO")</f>
        <v>0</v>
      </c>
      <c r="R53" s="464">
        <f>IFERROR(IF(compras_mes7[[#This Row],[CUIT]]="","-",VLOOKUP(compras_mes7[[#This Row],[CUIT]],Lista_CUIT[#All],4,0)),"CUIT NO CARGADO")</f>
        <v>0</v>
      </c>
      <c r="T53" s="128"/>
    </row>
    <row r="54" spans="1:20" x14ac:dyDescent="0.3">
      <c r="B54" s="456">
        <v>45117</v>
      </c>
      <c r="C54" s="457">
        <v>1</v>
      </c>
      <c r="D54" s="458">
        <v>3</v>
      </c>
      <c r="E54" s="506">
        <v>3513</v>
      </c>
      <c r="F54" s="459">
        <v>30714618977</v>
      </c>
      <c r="G54" s="460" t="str">
        <f>IFERROR(IF(compras_mes7[[#This Row],[CUIT]]="","-",VLOOKUP(compras_mes7[[#This Row],[CUIT]],Lista_CUIT[#All],2,0)),"CUIT NO CARGADO")</f>
        <v>DISTRIBUIDORA N.G. S.A.</v>
      </c>
      <c r="H54" s="461">
        <v>230000</v>
      </c>
      <c r="I54" s="462">
        <f>IF(compras_mes7[[#This Row],[NETO GRAVADO]]="","",compras_mes7[[#This Row],[NETO GRAVADO]]*0.21)</f>
        <v>48300</v>
      </c>
      <c r="J54" s="462"/>
      <c r="K54" s="462"/>
      <c r="L54" s="462"/>
      <c r="M54" s="462"/>
      <c r="N54" s="462"/>
      <c r="O54" s="462"/>
      <c r="P54" s="463">
        <f>SUM(compras_mes7[[#This Row],[NETO GRAVADO]:[Otros / No Grav.]])</f>
        <v>278300</v>
      </c>
      <c r="Q54" s="464">
        <f>IFERROR(IF(compras_mes7[[#This Row],[CUIT]]="","-",VLOOKUP(compras_mes7[[#This Row],[CUIT]],Lista_CUIT[#All],3,0)),"CUIT NO CARGADO")</f>
        <v>0</v>
      </c>
      <c r="R54" s="464">
        <f>IFERROR(IF(compras_mes7[[#This Row],[CUIT]]="","-",VLOOKUP(compras_mes7[[#This Row],[CUIT]],Lista_CUIT[#All],4,0)),"CUIT NO CARGADO")</f>
        <v>0</v>
      </c>
      <c r="T54" s="128"/>
    </row>
    <row r="55" spans="1:20" s="508" customFormat="1" x14ac:dyDescent="0.3">
      <c r="A55"/>
      <c r="B55" s="456">
        <v>45135</v>
      </c>
      <c r="C55" s="457">
        <v>1</v>
      </c>
      <c r="D55" s="458">
        <v>3</v>
      </c>
      <c r="E55" s="506">
        <v>3567</v>
      </c>
      <c r="F55" s="459">
        <v>30714618977</v>
      </c>
      <c r="G55" s="460" t="str">
        <f>IFERROR(IF(compras_mes7[[#This Row],[CUIT]]="","-",VLOOKUP(compras_mes7[[#This Row],[CUIT]],Lista_CUIT[#All],2,0)),"CUIT NO CARGADO")</f>
        <v>DISTRIBUIDORA N.G. S.A.</v>
      </c>
      <c r="H55" s="461">
        <v>350000</v>
      </c>
      <c r="I55" s="462">
        <f>IF(compras_mes7[[#This Row],[NETO GRAVADO]]="","",compras_mes7[[#This Row],[NETO GRAVADO]]*0.21)</f>
        <v>73500</v>
      </c>
      <c r="J55" s="462"/>
      <c r="K55" s="462"/>
      <c r="L55" s="462"/>
      <c r="M55" s="462"/>
      <c r="N55" s="462"/>
      <c r="O55" s="462"/>
      <c r="P55" s="463">
        <f>SUM(compras_mes7[[#This Row],[NETO GRAVADO]:[Otros / No Grav.]])</f>
        <v>423500</v>
      </c>
      <c r="Q55" s="464">
        <f>IFERROR(IF(compras_mes7[[#This Row],[CUIT]]="","-",VLOOKUP(compras_mes7[[#This Row],[CUIT]],Lista_CUIT[#All],3,0)),"CUIT NO CARGADO")</f>
        <v>0</v>
      </c>
      <c r="R55" s="464">
        <f>IFERROR(IF(compras_mes7[[#This Row],[CUIT]]="","-",VLOOKUP(compras_mes7[[#This Row],[CUIT]],Lista_CUIT[#All],4,0)),"CUIT NO CARGADO")</f>
        <v>0</v>
      </c>
      <c r="S55"/>
      <c r="T55" s="128"/>
    </row>
    <row r="56" spans="1:20" x14ac:dyDescent="0.3">
      <c r="B56" s="456">
        <v>45111</v>
      </c>
      <c r="C56" s="457">
        <v>1</v>
      </c>
      <c r="D56" s="458">
        <v>1</v>
      </c>
      <c r="E56" s="506">
        <v>3726</v>
      </c>
      <c r="F56" s="459">
        <v>30715501348</v>
      </c>
      <c r="G56" s="460" t="str">
        <f>IFERROR(IF(compras_mes7[[#This Row],[CUIT]]="","-",VLOOKUP(compras_mes7[[#This Row],[CUIT]],Lista_CUIT[#All],2,0)),"CUIT NO CARGADO")</f>
        <v>VANALEX PISCINAS S.R.L.</v>
      </c>
      <c r="H56" s="461">
        <v>5123.97</v>
      </c>
      <c r="I56" s="462">
        <f>IF(compras_mes7[[#This Row],[NETO GRAVADO]]="","",compras_mes7[[#This Row],[NETO GRAVADO]]*0.21)</f>
        <v>1076.0337</v>
      </c>
      <c r="J56" s="462"/>
      <c r="K56" s="462"/>
      <c r="L56" s="462"/>
      <c r="M56" s="462"/>
      <c r="N56" s="462"/>
      <c r="O56" s="462"/>
      <c r="P56" s="463">
        <f>SUM(compras_mes7[[#This Row],[NETO GRAVADO]:[Otros / No Grav.]])</f>
        <v>6200.0037000000002</v>
      </c>
      <c r="Q56" s="464">
        <f>IFERROR(IF(compras_mes7[[#This Row],[CUIT]]="","-",VLOOKUP(compras_mes7[[#This Row],[CUIT]],Lista_CUIT[#All],3,0)),"CUIT NO CARGADO")</f>
        <v>0</v>
      </c>
      <c r="R56" s="464">
        <f>IFERROR(IF(compras_mes7[[#This Row],[CUIT]]="","-",VLOOKUP(compras_mes7[[#This Row],[CUIT]],Lista_CUIT[#All],4,0)),"CUIT NO CARGADO")</f>
        <v>0</v>
      </c>
      <c r="T56" s="128"/>
    </row>
    <row r="57" spans="1:20" s="510" customFormat="1" x14ac:dyDescent="0.3">
      <c r="A57"/>
      <c r="B57" s="456">
        <v>45121</v>
      </c>
      <c r="C57" s="457">
        <v>1</v>
      </c>
      <c r="D57" s="458">
        <v>4</v>
      </c>
      <c r="E57" s="506">
        <v>3847</v>
      </c>
      <c r="F57" s="459">
        <v>30683553391</v>
      </c>
      <c r="G57" s="460" t="str">
        <f>IFERROR(IF(compras_mes7[[#This Row],[CUIT]]="","-",VLOOKUP(compras_mes7[[#This Row],[CUIT]],Lista_CUIT[#All],2,0)),"CUIT NO CARGADO")</f>
        <v>D ERAMO GUSTAVO Y D ERAMO PABLO SOC DE HECHO</v>
      </c>
      <c r="H57" s="461">
        <v>16033.06</v>
      </c>
      <c r="I57" s="462">
        <f>IF(compras_mes7[[#This Row],[NETO GRAVADO]]="","",compras_mes7[[#This Row],[NETO GRAVADO]]*0.21)</f>
        <v>3366.9425999999999</v>
      </c>
      <c r="J57" s="462"/>
      <c r="K57" s="462"/>
      <c r="L57" s="462"/>
      <c r="M57" s="462"/>
      <c r="N57" s="462"/>
      <c r="O57" s="462"/>
      <c r="P57" s="463">
        <f>SUM(compras_mes7[[#This Row],[NETO GRAVADO]:[Otros / No Grav.]])</f>
        <v>19400.0026</v>
      </c>
      <c r="Q57" s="464">
        <f>IFERROR(IF(compras_mes7[[#This Row],[CUIT]]="","-",VLOOKUP(compras_mes7[[#This Row],[CUIT]],Lista_CUIT[#All],3,0)),"CUIT NO CARGADO")</f>
        <v>0</v>
      </c>
      <c r="R57" s="464">
        <f>IFERROR(IF(compras_mes7[[#This Row],[CUIT]]="","-",VLOOKUP(compras_mes7[[#This Row],[CUIT]],Lista_CUIT[#All],4,0)),"CUIT NO CARGADO")</f>
        <v>0</v>
      </c>
      <c r="S57"/>
      <c r="T57" s="128"/>
    </row>
    <row r="58" spans="1:20" s="508" customFormat="1" x14ac:dyDescent="0.3">
      <c r="A58"/>
      <c r="B58" s="456">
        <v>45113</v>
      </c>
      <c r="C58" s="457">
        <v>1</v>
      </c>
      <c r="D58" s="458">
        <v>8289</v>
      </c>
      <c r="E58" s="506">
        <v>4269</v>
      </c>
      <c r="F58" s="459">
        <v>30590360763</v>
      </c>
      <c r="G58" s="460" t="str">
        <f>IFERROR(IF(compras_mes7[[#This Row],[CUIT]]="","-",VLOOKUP(compras_mes7[[#This Row],[CUIT]],Lista_CUIT[#All],2,0)),"CUIT NO CARGADO")</f>
        <v>CENCOSUD S.A</v>
      </c>
      <c r="H58" s="461">
        <v>15743.8</v>
      </c>
      <c r="I58" s="462">
        <f>IF(compras_mes7[[#This Row],[NETO GRAVADO]]="","",compras_mes7[[#This Row],[NETO GRAVADO]]*0.21)</f>
        <v>3306.1979999999999</v>
      </c>
      <c r="J58" s="462"/>
      <c r="K58" s="462"/>
      <c r="L58" s="462">
        <v>472.31</v>
      </c>
      <c r="M58" s="462"/>
      <c r="N58" s="462">
        <v>944.63</v>
      </c>
      <c r="O58" s="462"/>
      <c r="P58" s="463">
        <f>SUM(compras_mes7[[#This Row],[NETO GRAVADO]:[Otros / No Grav.]])</f>
        <v>20466.938000000002</v>
      </c>
      <c r="Q58" s="464" t="str">
        <f>IFERROR(IF(compras_mes7[[#This Row],[CUIT]]="","-",VLOOKUP(compras_mes7[[#This Row],[CUIT]],Lista_CUIT[#All],3,0)),"CUIT NO CARGADO")</f>
        <v>Gastos Varios</v>
      </c>
      <c r="R58" s="464">
        <f>IFERROR(IF(compras_mes7[[#This Row],[CUIT]]="","-",VLOOKUP(compras_mes7[[#This Row],[CUIT]],Lista_CUIT[#All],4,0)),"CUIT NO CARGADO")</f>
        <v>0</v>
      </c>
      <c r="S58"/>
      <c r="T58" s="128"/>
    </row>
    <row r="59" spans="1:20" s="508" customFormat="1" x14ac:dyDescent="0.3">
      <c r="A59"/>
      <c r="B59" s="89">
        <v>45120</v>
      </c>
      <c r="C59" s="90">
        <v>2</v>
      </c>
      <c r="D59" s="91">
        <v>4</v>
      </c>
      <c r="E59" s="92">
        <v>4460</v>
      </c>
      <c r="F59" s="93">
        <v>30585948817</v>
      </c>
      <c r="G59" s="94" t="str">
        <f>IFERROR(IF(compras_mes7[[#This Row],[CUIT]]="","-",VLOOKUP(compras_mes7[[#This Row],[CUIT]],Lista_CUIT[#All],2,0)),"CUIT NO CARGADO")</f>
        <v xml:space="preserve">GLASCAR </v>
      </c>
      <c r="H59" s="95">
        <v>48853.24</v>
      </c>
      <c r="I59" s="86">
        <f>IF(compras_mes7[[#This Row],[NETO GRAVADO]]="","",compras_mes7[[#This Row],[NETO GRAVADO]]*0.21)</f>
        <v>10259.180399999999</v>
      </c>
      <c r="J59" s="86"/>
      <c r="K59" s="86"/>
      <c r="L59" s="86"/>
      <c r="M59" s="86"/>
      <c r="N59" s="86"/>
      <c r="O59" s="86"/>
      <c r="P59" s="87">
        <f>SUM(compras_mes7[[#This Row],[NETO GRAVADO]:[Otros / No Grav.]])</f>
        <v>59112.420399999995</v>
      </c>
      <c r="Q59" s="88">
        <f>IFERROR(IF(compras_mes7[[#This Row],[CUIT]]="","-",VLOOKUP(compras_mes7[[#This Row],[CUIT]],Lista_CUIT[#All],3,0)),"CUIT NO CARGADO")</f>
        <v>0</v>
      </c>
      <c r="R59" s="88">
        <f>IFERROR(IF(compras_mes7[[#This Row],[CUIT]]="","-",VLOOKUP(compras_mes7[[#This Row],[CUIT]],Lista_CUIT[#All],4,0)),"CUIT NO CARGADO")</f>
        <v>0</v>
      </c>
      <c r="S59"/>
      <c r="T59" s="128"/>
    </row>
    <row r="60" spans="1:20" s="508" customFormat="1" x14ac:dyDescent="0.3">
      <c r="A60"/>
      <c r="B60" s="456">
        <v>45113</v>
      </c>
      <c r="C60" s="457">
        <v>1</v>
      </c>
      <c r="D60" s="458">
        <v>4</v>
      </c>
      <c r="E60" s="506">
        <v>4464</v>
      </c>
      <c r="F60" s="459">
        <v>20337162879</v>
      </c>
      <c r="G60" s="460" t="str">
        <f>IFERROR(IF(compras_mes7[[#This Row],[CUIT]]="","-",VLOOKUP(compras_mes7[[#This Row],[CUIT]],Lista_CUIT[#All],2,0)),"CUIT NO CARGADO")</f>
        <v>PELAEZ ESTEBAN CRUZ</v>
      </c>
      <c r="H60" s="461">
        <v>17568.47</v>
      </c>
      <c r="I60" s="462">
        <f>IF(compras_mes7[[#This Row],[NETO GRAVADO]]="","",compras_mes7[[#This Row],[NETO GRAVADO]]*0.21)</f>
        <v>3689.3787000000002</v>
      </c>
      <c r="J60" s="462"/>
      <c r="K60" s="462"/>
      <c r="L60" s="462"/>
      <c r="M60" s="462"/>
      <c r="N60" s="462"/>
      <c r="O60" s="462"/>
      <c r="P60" s="463">
        <f>SUM(compras_mes7[[#This Row],[NETO GRAVADO]:[Otros / No Grav.]])</f>
        <v>21257.848700000002</v>
      </c>
      <c r="Q60" s="464">
        <f>IFERROR(IF(compras_mes7[[#This Row],[CUIT]]="","-",VLOOKUP(compras_mes7[[#This Row],[CUIT]],Lista_CUIT[#All],3,0)),"CUIT NO CARGADO")</f>
        <v>0</v>
      </c>
      <c r="R60" s="464">
        <f>IFERROR(IF(compras_mes7[[#This Row],[CUIT]]="","-",VLOOKUP(compras_mes7[[#This Row],[CUIT]],Lista_CUIT[#All],4,0)),"CUIT NO CARGADO")</f>
        <v>0</v>
      </c>
      <c r="S60"/>
      <c r="T60" s="128"/>
    </row>
    <row r="61" spans="1:20" x14ac:dyDescent="0.3">
      <c r="B61" s="456">
        <v>45123</v>
      </c>
      <c r="C61" s="457">
        <v>1</v>
      </c>
      <c r="D61" s="458">
        <v>169</v>
      </c>
      <c r="E61" s="506">
        <v>4572</v>
      </c>
      <c r="F61" s="459">
        <v>30715621866</v>
      </c>
      <c r="G61" s="460" t="str">
        <f>IFERROR(IF(compras_mes7[[#This Row],[CUIT]]="","-",VLOOKUP(compras_mes7[[#This Row],[CUIT]],Lista_CUIT[#All],2,0)),"CUIT NO CARGADO")</f>
        <v>GMRA S. A.</v>
      </c>
      <c r="H61" s="461">
        <v>380164.48</v>
      </c>
      <c r="I61" s="462">
        <f>IF(compras_mes7[[#This Row],[NETO GRAVADO]]="","",compras_mes7[[#This Row],[NETO GRAVADO]]*0.21)</f>
        <v>79834.540799999988</v>
      </c>
      <c r="J61" s="462"/>
      <c r="K61" s="462"/>
      <c r="L61" s="462"/>
      <c r="M61" s="462"/>
      <c r="N61" s="462">
        <v>22809.87</v>
      </c>
      <c r="O61" s="462">
        <v>4752.0600000000004</v>
      </c>
      <c r="P61" s="463">
        <f>SUM(compras_mes7[[#This Row],[NETO GRAVADO]:[Otros / No Grav.]])</f>
        <v>487560.95079999993</v>
      </c>
      <c r="Q61" s="464">
        <f>IFERROR(IF(compras_mes7[[#This Row],[CUIT]]="","-",VLOOKUP(compras_mes7[[#This Row],[CUIT]],Lista_CUIT[#All],3,0)),"CUIT NO CARGADO")</f>
        <v>0</v>
      </c>
      <c r="R61" s="464">
        <f>IFERROR(IF(compras_mes7[[#This Row],[CUIT]]="","-",VLOOKUP(compras_mes7[[#This Row],[CUIT]],Lista_CUIT[#All],4,0)),"CUIT NO CARGADO")</f>
        <v>0</v>
      </c>
      <c r="T61" s="128"/>
    </row>
    <row r="62" spans="1:20" s="510" customFormat="1" x14ac:dyDescent="0.3">
      <c r="A62"/>
      <c r="B62" s="456">
        <v>45133</v>
      </c>
      <c r="C62" s="457">
        <v>1</v>
      </c>
      <c r="D62" s="458">
        <v>9</v>
      </c>
      <c r="E62" s="506">
        <v>4986</v>
      </c>
      <c r="F62" s="459">
        <v>30714863815</v>
      </c>
      <c r="G62" s="460" t="str">
        <f>IFERROR(IF(compras_mes7[[#This Row],[CUIT]]="","-",VLOOKUP(compras_mes7[[#This Row],[CUIT]],Lista_CUIT[#All],2,0)),"CUIT NO CARGADO")</f>
        <v>QUANTUM QUIMICA S.R.L.</v>
      </c>
      <c r="H62" s="461">
        <v>360739.57500000001</v>
      </c>
      <c r="I62" s="462">
        <f>IF(compras_mes7[[#This Row],[NETO GRAVADO]]="","",compras_mes7[[#This Row],[NETO GRAVADO]]*0.21)</f>
        <v>75755.310750000004</v>
      </c>
      <c r="J62" s="462"/>
      <c r="K62" s="462"/>
      <c r="L62" s="462"/>
      <c r="M62" s="462"/>
      <c r="N62" s="462"/>
      <c r="O62" s="462"/>
      <c r="P62" s="463">
        <f>SUM(compras_mes7[[#This Row],[NETO GRAVADO]:[Otros / No Grav.]])</f>
        <v>436494.88575000002</v>
      </c>
      <c r="Q62" s="464">
        <f>IFERROR(IF(compras_mes7[[#This Row],[CUIT]]="","-",VLOOKUP(compras_mes7[[#This Row],[CUIT]],Lista_CUIT[#All],3,0)),"CUIT NO CARGADO")</f>
        <v>0</v>
      </c>
      <c r="R62" s="464">
        <f>IFERROR(IF(compras_mes7[[#This Row],[CUIT]]="","-",VLOOKUP(compras_mes7[[#This Row],[CUIT]],Lista_CUIT[#All],4,0)),"CUIT NO CARGADO")</f>
        <v>0</v>
      </c>
      <c r="S62"/>
      <c r="T62" s="128"/>
    </row>
    <row r="63" spans="1:20" s="510" customFormat="1" x14ac:dyDescent="0.3">
      <c r="A63"/>
      <c r="B63" s="40">
        <v>45128</v>
      </c>
      <c r="C63" s="41">
        <v>2</v>
      </c>
      <c r="D63" s="42">
        <v>6</v>
      </c>
      <c r="E63" s="43">
        <v>5480</v>
      </c>
      <c r="F63" s="44">
        <v>30641221771</v>
      </c>
      <c r="G63" s="45" t="str">
        <f>IFERROR(IF(compras_mes7[[#This Row],[CUIT]]="","-",VLOOKUP(compras_mes7[[#This Row],[CUIT]],Lista_CUIT[#All],2,0)),"CUIT NO CARGADO")</f>
        <v>FARMATRADE S R L</v>
      </c>
      <c r="H63" s="46">
        <v>103447.34</v>
      </c>
      <c r="I63" s="85">
        <f>IF(compras_mes7[[#This Row],[NETO GRAVADO]]="","",compras_mes7[[#This Row],[NETO GRAVADO]]*0.21)</f>
        <v>21723.9414</v>
      </c>
      <c r="J63" s="85"/>
      <c r="K63" s="85"/>
      <c r="L63" s="85"/>
      <c r="M63" s="85"/>
      <c r="N63" s="85">
        <v>6206.84</v>
      </c>
      <c r="O63" s="85"/>
      <c r="P63" s="48">
        <f>SUM(compras_mes7[[#This Row],[NETO GRAVADO]:[Otros / No Grav.]])</f>
        <v>131378.1214</v>
      </c>
      <c r="Q63" s="49">
        <f>IFERROR(IF(compras_mes7[[#This Row],[CUIT]]="","-",VLOOKUP(compras_mes7[[#This Row],[CUIT]],Lista_CUIT[#All],3,0)),"CUIT NO CARGADO")</f>
        <v>0</v>
      </c>
      <c r="R63" s="49">
        <f>IFERROR(IF(compras_mes7[[#This Row],[CUIT]]="","-",VLOOKUP(compras_mes7[[#This Row],[CUIT]],Lista_CUIT[#All],4,0)),"CUIT NO CARGADO")</f>
        <v>0</v>
      </c>
      <c r="S63"/>
      <c r="T63" s="128"/>
    </row>
    <row r="64" spans="1:20" s="510" customFormat="1" x14ac:dyDescent="0.3">
      <c r="A64"/>
      <c r="B64" s="486">
        <v>45133</v>
      </c>
      <c r="C64" s="494">
        <v>2</v>
      </c>
      <c r="D64" s="487">
        <v>6</v>
      </c>
      <c r="E64" s="488">
        <v>5488</v>
      </c>
      <c r="F64" s="476">
        <v>30641221771</v>
      </c>
      <c r="G64" s="489" t="str">
        <f>IFERROR(IF(compras_mes7[[#This Row],[CUIT]]="","-",VLOOKUP(compras_mes7[[#This Row],[CUIT]],Lista_CUIT[#All],2,0)),"CUIT NO CARGADO")</f>
        <v>FARMATRADE S R L</v>
      </c>
      <c r="H64" s="490">
        <v>584.91</v>
      </c>
      <c r="I64" s="491">
        <v>122.83109999999999</v>
      </c>
      <c r="J64" s="491"/>
      <c r="K64" s="491"/>
      <c r="L64" s="491"/>
      <c r="M64" s="491"/>
      <c r="N64" s="491"/>
      <c r="O64" s="491">
        <v>35.090000000000003</v>
      </c>
      <c r="P64" s="492">
        <f>SUM(compras_mes7[[#This Row],[NETO GRAVADO]:[Otros / No Grav.]])</f>
        <v>742.83109999999999</v>
      </c>
      <c r="Q64" s="493">
        <f>IFERROR(IF(compras_mes7[[#This Row],[CUIT]]="","-",VLOOKUP(compras_mes7[[#This Row],[CUIT]],Lista_CUIT[#All],3,0)),"CUIT NO CARGADO")</f>
        <v>0</v>
      </c>
      <c r="R64" s="493">
        <f>IFERROR(IF(compras_mes7[[#This Row],[CUIT]]="","-",VLOOKUP(compras_mes7[[#This Row],[CUIT]],Lista_CUIT[#All],4,0)),"CUIT NO CARGADO")</f>
        <v>0</v>
      </c>
      <c r="S64"/>
      <c r="T64" s="128"/>
    </row>
    <row r="65" spans="1:20" s="510" customFormat="1" x14ac:dyDescent="0.3">
      <c r="A65"/>
      <c r="B65" s="456">
        <v>45119</v>
      </c>
      <c r="C65" s="457">
        <v>1</v>
      </c>
      <c r="D65" s="458">
        <v>2</v>
      </c>
      <c r="E65" s="506">
        <v>5682</v>
      </c>
      <c r="F65" s="459">
        <v>30709625833</v>
      </c>
      <c r="G65" s="460" t="str">
        <f>IFERROR(IF(compras_mes7[[#This Row],[CUIT]]="","-",VLOOKUP(compras_mes7[[#This Row],[CUIT]],Lista_CUIT[#All],2,0)),"CUIT NO CARGADO")</f>
        <v>IDENTIMAX SA</v>
      </c>
      <c r="H65" s="461">
        <v>19752.060000000001</v>
      </c>
      <c r="I65" s="462">
        <f>IF(compras_mes7[[#This Row],[NETO GRAVADO]]="","",compras_mes7[[#This Row],[NETO GRAVADO]]*0.21)</f>
        <v>4147.9326000000001</v>
      </c>
      <c r="J65" s="462"/>
      <c r="K65" s="462"/>
      <c r="L65" s="462"/>
      <c r="M65" s="462"/>
      <c r="N65" s="462"/>
      <c r="O65" s="462"/>
      <c r="P65" s="463">
        <f>SUM(compras_mes7[[#This Row],[NETO GRAVADO]:[Otros / No Grav.]])</f>
        <v>23899.992600000001</v>
      </c>
      <c r="Q65" s="464">
        <f>IFERROR(IF(compras_mes7[[#This Row],[CUIT]]="","-",VLOOKUP(compras_mes7[[#This Row],[CUIT]],Lista_CUIT[#All],3,0)),"CUIT NO CARGADO")</f>
        <v>0</v>
      </c>
      <c r="R65" s="464">
        <f>IFERROR(IF(compras_mes7[[#This Row],[CUIT]]="","-",VLOOKUP(compras_mes7[[#This Row],[CUIT]],Lista_CUIT[#All],4,0)),"CUIT NO CARGADO")</f>
        <v>0</v>
      </c>
      <c r="S65"/>
      <c r="T65" s="128"/>
    </row>
    <row r="66" spans="1:20" s="510" customFormat="1" x14ac:dyDescent="0.3">
      <c r="A66"/>
      <c r="B66" s="456">
        <v>45132</v>
      </c>
      <c r="C66" s="457">
        <v>1</v>
      </c>
      <c r="D66" s="458">
        <v>3</v>
      </c>
      <c r="E66" s="506">
        <v>5699</v>
      </c>
      <c r="F66" s="459">
        <v>20161447340</v>
      </c>
      <c r="G66" s="460" t="str">
        <f>IFERROR(IF(compras_mes7[[#This Row],[CUIT]]="","-",VLOOKUP(compras_mes7[[#This Row],[CUIT]],Lista_CUIT[#All],2,0)),"CUIT NO CARGADO")</f>
        <v>ARIAUDO SERGIO ESTEBAN</v>
      </c>
      <c r="H66" s="461">
        <v>110838.82</v>
      </c>
      <c r="I66" s="462"/>
      <c r="J66" s="462"/>
      <c r="K66" s="462">
        <v>11638.08</v>
      </c>
      <c r="L66" s="462"/>
      <c r="M66" s="462"/>
      <c r="N66" s="462"/>
      <c r="O66" s="462"/>
      <c r="P66" s="463">
        <f>SUM(compras_mes7[[#This Row],[NETO GRAVADO]:[Otros / No Grav.]])</f>
        <v>122476.90000000001</v>
      </c>
      <c r="Q66" s="464">
        <f>IFERROR(IF(compras_mes7[[#This Row],[CUIT]]="","-",VLOOKUP(compras_mes7[[#This Row],[CUIT]],Lista_CUIT[#All],3,0)),"CUIT NO CARGADO")</f>
        <v>0</v>
      </c>
      <c r="R66" s="464">
        <f>IFERROR(IF(compras_mes7[[#This Row],[CUIT]]="","-",VLOOKUP(compras_mes7[[#This Row],[CUIT]],Lista_CUIT[#All],4,0)),"CUIT NO CARGADO")</f>
        <v>0</v>
      </c>
      <c r="S66"/>
      <c r="T66" s="128"/>
    </row>
    <row r="67" spans="1:20" x14ac:dyDescent="0.3">
      <c r="B67" s="456">
        <v>45111</v>
      </c>
      <c r="C67" s="457">
        <v>1</v>
      </c>
      <c r="D67" s="458">
        <v>5</v>
      </c>
      <c r="E67" s="506">
        <v>5818</v>
      </c>
      <c r="F67" s="459">
        <v>30714381551</v>
      </c>
      <c r="G67" s="460" t="str">
        <f>IFERROR(IF(compras_mes7[[#This Row],[CUIT]]="","-",VLOOKUP(compras_mes7[[#This Row],[CUIT]],Lista_CUIT[#All],2,0)),"CUIT NO CARGADO")</f>
        <v>ECOEXIST S.R.L.</v>
      </c>
      <c r="H67" s="461">
        <v>168000</v>
      </c>
      <c r="I67" s="462">
        <f>IF(compras_mes7[[#This Row],[NETO GRAVADO]]="","",compras_mes7[[#This Row],[NETO GRAVADO]]*0.21)</f>
        <v>35280</v>
      </c>
      <c r="J67" s="462"/>
      <c r="K67" s="462"/>
      <c r="L67" s="462"/>
      <c r="M67" s="462"/>
      <c r="N67" s="462"/>
      <c r="O67" s="462"/>
      <c r="P67" s="463">
        <f>SUM(compras_mes7[[#This Row],[NETO GRAVADO]:[Otros / No Grav.]])</f>
        <v>203280</v>
      </c>
      <c r="Q67" s="464">
        <f>IFERROR(IF(compras_mes7[[#This Row],[CUIT]]="","-",VLOOKUP(compras_mes7[[#This Row],[CUIT]],Lista_CUIT[#All],3,0)),"CUIT NO CARGADO")</f>
        <v>0</v>
      </c>
      <c r="R67" s="464">
        <f>IFERROR(IF(compras_mes7[[#This Row],[CUIT]]="","-",VLOOKUP(compras_mes7[[#This Row],[CUIT]],Lista_CUIT[#All],4,0)),"CUIT NO CARGADO")</f>
        <v>0</v>
      </c>
      <c r="T67" s="128"/>
    </row>
    <row r="68" spans="1:20" x14ac:dyDescent="0.3">
      <c r="B68" s="456">
        <v>45138</v>
      </c>
      <c r="C68" s="457">
        <v>1</v>
      </c>
      <c r="D68" s="458">
        <v>5</v>
      </c>
      <c r="E68" s="506">
        <v>5922</v>
      </c>
      <c r="F68" s="459">
        <v>30714381551</v>
      </c>
      <c r="G68" s="460" t="str">
        <f>IFERROR(IF(compras_mes7[[#This Row],[CUIT]]="","-",VLOOKUP(compras_mes7[[#This Row],[CUIT]],Lista_CUIT[#All],2,0)),"CUIT NO CARGADO")</f>
        <v>ECOEXIST S.R.L.</v>
      </c>
      <c r="H68" s="461">
        <v>173600</v>
      </c>
      <c r="I68" s="462">
        <f>IF(compras_mes7[[#This Row],[NETO GRAVADO]]="","",compras_mes7[[#This Row],[NETO GRAVADO]]*0.21)</f>
        <v>36456</v>
      </c>
      <c r="J68" s="462"/>
      <c r="K68" s="462"/>
      <c r="L68" s="462"/>
      <c r="M68" s="462"/>
      <c r="N68" s="462"/>
      <c r="O68" s="462"/>
      <c r="P68" s="463">
        <f>SUM(compras_mes7[[#This Row],[NETO GRAVADO]:[Otros / No Grav.]])</f>
        <v>210056</v>
      </c>
      <c r="Q68" s="464">
        <f>IFERROR(IF(compras_mes7[[#This Row],[CUIT]]="","-",VLOOKUP(compras_mes7[[#This Row],[CUIT]],Lista_CUIT[#All],3,0)),"CUIT NO CARGADO")</f>
        <v>0</v>
      </c>
      <c r="R68" s="464">
        <f>IFERROR(IF(compras_mes7[[#This Row],[CUIT]]="","-",VLOOKUP(compras_mes7[[#This Row],[CUIT]],Lista_CUIT[#All],4,0)),"CUIT NO CARGADO")</f>
        <v>0</v>
      </c>
      <c r="T68" s="128"/>
    </row>
    <row r="69" spans="1:20" x14ac:dyDescent="0.3">
      <c r="B69" s="456">
        <v>45117</v>
      </c>
      <c r="C69" s="457">
        <v>1</v>
      </c>
      <c r="D69" s="458">
        <v>2</v>
      </c>
      <c r="E69" s="506">
        <v>6085</v>
      </c>
      <c r="F69" s="459">
        <v>23180288899</v>
      </c>
      <c r="G69" s="460" t="str">
        <f>IFERROR(IF(compras_mes7[[#This Row],[CUIT]]="","-",VLOOKUP(compras_mes7[[#This Row],[CUIT]],Lista_CUIT[#All],2,0)),"CUIT NO CARGADO")</f>
        <v>ROMERO EMILIO</v>
      </c>
      <c r="H69" s="461">
        <v>100000</v>
      </c>
      <c r="I69" s="462">
        <f>IF(compras_mes7[[#This Row],[NETO GRAVADO]]="","",compras_mes7[[#This Row],[NETO GRAVADO]]*0.21)</f>
        <v>21000</v>
      </c>
      <c r="J69" s="462"/>
      <c r="K69" s="462"/>
      <c r="L69" s="462"/>
      <c r="M69" s="462"/>
      <c r="N69" s="462"/>
      <c r="O69" s="462"/>
      <c r="P69" s="463">
        <f>SUM(compras_mes7[[#This Row],[NETO GRAVADO]:[Otros / No Grav.]])</f>
        <v>121000</v>
      </c>
      <c r="Q69" s="464">
        <f>IFERROR(IF(compras_mes7[[#This Row],[CUIT]]="","-",VLOOKUP(compras_mes7[[#This Row],[CUIT]],Lista_CUIT[#All],3,0)),"CUIT NO CARGADO")</f>
        <v>0</v>
      </c>
      <c r="R69" s="464">
        <f>IFERROR(IF(compras_mes7[[#This Row],[CUIT]]="","-",VLOOKUP(compras_mes7[[#This Row],[CUIT]],Lista_CUIT[#All],4,0)),"CUIT NO CARGADO")</f>
        <v>0</v>
      </c>
      <c r="T69" s="128"/>
    </row>
    <row r="70" spans="1:20" x14ac:dyDescent="0.3">
      <c r="B70" s="456">
        <v>45117</v>
      </c>
      <c r="C70" s="457">
        <v>1</v>
      </c>
      <c r="D70" s="458">
        <v>2</v>
      </c>
      <c r="E70" s="506">
        <v>6086</v>
      </c>
      <c r="F70" s="459">
        <v>23180288899</v>
      </c>
      <c r="G70" s="460" t="str">
        <f>IFERROR(IF(compras_mes7[[#This Row],[CUIT]]="","-",VLOOKUP(compras_mes7[[#This Row],[CUIT]],Lista_CUIT[#All],2,0)),"CUIT NO CARGADO")</f>
        <v>ROMERO EMILIO</v>
      </c>
      <c r="H70" s="461">
        <v>100000</v>
      </c>
      <c r="I70" s="462">
        <f>IF(compras_mes7[[#This Row],[NETO GRAVADO]]="","",compras_mes7[[#This Row],[NETO GRAVADO]]*0.21)</f>
        <v>21000</v>
      </c>
      <c r="J70" s="462"/>
      <c r="K70" s="462"/>
      <c r="L70" s="462"/>
      <c r="M70" s="462"/>
      <c r="N70" s="462"/>
      <c r="O70" s="462"/>
      <c r="P70" s="463">
        <f>SUM(compras_mes7[[#This Row],[NETO GRAVADO]:[Otros / No Grav.]])</f>
        <v>121000</v>
      </c>
      <c r="Q70" s="464">
        <f>IFERROR(IF(compras_mes7[[#This Row],[CUIT]]="","-",VLOOKUP(compras_mes7[[#This Row],[CUIT]],Lista_CUIT[#All],3,0)),"CUIT NO CARGADO")</f>
        <v>0</v>
      </c>
      <c r="R70" s="464">
        <f>IFERROR(IF(compras_mes7[[#This Row],[CUIT]]="","-",VLOOKUP(compras_mes7[[#This Row],[CUIT]],Lista_CUIT[#All],4,0)),"CUIT NO CARGADO")</f>
        <v>0</v>
      </c>
      <c r="T70" s="128"/>
    </row>
    <row r="71" spans="1:20" x14ac:dyDescent="0.3">
      <c r="B71" s="456">
        <v>45117</v>
      </c>
      <c r="C71" s="457">
        <v>1</v>
      </c>
      <c r="D71" s="458">
        <v>2</v>
      </c>
      <c r="E71" s="506">
        <v>6087</v>
      </c>
      <c r="F71" s="459">
        <v>23180288899</v>
      </c>
      <c r="G71" s="460" t="str">
        <f>IFERROR(IF(compras_mes7[[#This Row],[CUIT]]="","-",VLOOKUP(compras_mes7[[#This Row],[CUIT]],Lista_CUIT[#All],2,0)),"CUIT NO CARGADO")</f>
        <v>ROMERO EMILIO</v>
      </c>
      <c r="H71" s="461">
        <v>51840</v>
      </c>
      <c r="I71" s="462">
        <f>IF(compras_mes7[[#This Row],[NETO GRAVADO]]="","",compras_mes7[[#This Row],[NETO GRAVADO]]*0.21)</f>
        <v>10886.4</v>
      </c>
      <c r="J71" s="462"/>
      <c r="K71" s="462"/>
      <c r="L71" s="462"/>
      <c r="M71" s="462"/>
      <c r="N71" s="462"/>
      <c r="O71" s="462"/>
      <c r="P71" s="463">
        <f>SUM(compras_mes7[[#This Row],[NETO GRAVADO]:[Otros / No Grav.]])</f>
        <v>62726.400000000001</v>
      </c>
      <c r="Q71" s="464">
        <f>IFERROR(IF(compras_mes7[[#This Row],[CUIT]]="","-",VLOOKUP(compras_mes7[[#This Row],[CUIT]],Lista_CUIT[#All],3,0)),"CUIT NO CARGADO")</f>
        <v>0</v>
      </c>
      <c r="R71" s="464">
        <f>IFERROR(IF(compras_mes7[[#This Row],[CUIT]]="","-",VLOOKUP(compras_mes7[[#This Row],[CUIT]],Lista_CUIT[#All],4,0)),"CUIT NO CARGADO")</f>
        <v>0</v>
      </c>
      <c r="T71" s="128"/>
    </row>
    <row r="72" spans="1:20" x14ac:dyDescent="0.3">
      <c r="B72" s="456">
        <v>45112</v>
      </c>
      <c r="C72" s="457">
        <v>1</v>
      </c>
      <c r="D72" s="458">
        <v>2</v>
      </c>
      <c r="E72" s="506">
        <v>6385</v>
      </c>
      <c r="F72" s="459">
        <v>33714677239</v>
      </c>
      <c r="G72" s="460" t="str">
        <f>IFERROR(IF(compras_mes7[[#This Row],[CUIT]]="","-",VLOOKUP(compras_mes7[[#This Row],[CUIT]],Lista_CUIT[#All],2,0)),"CUIT NO CARGADO")</f>
        <v xml:space="preserve">BOMBAS VAPORIZADORAS </v>
      </c>
      <c r="H72" s="461">
        <v>297550</v>
      </c>
      <c r="I72" s="462">
        <f>IF(compras_mes7[[#This Row],[NETO GRAVADO]]="","",compras_mes7[[#This Row],[NETO GRAVADO]]*0.21)</f>
        <v>62485.5</v>
      </c>
      <c r="J72" s="462"/>
      <c r="K72" s="462"/>
      <c r="L72" s="462"/>
      <c r="M72" s="462"/>
      <c r="N72" s="462"/>
      <c r="O72" s="462"/>
      <c r="P72" s="463">
        <f>SUM(compras_mes7[[#This Row],[NETO GRAVADO]:[Otros / No Grav.]])</f>
        <v>360035.5</v>
      </c>
      <c r="Q72" s="464" t="str">
        <f>IFERROR(IF(compras_mes7[[#This Row],[CUIT]]="","-",VLOOKUP(compras_mes7[[#This Row],[CUIT]],Lista_CUIT[#All],3,0)),"CUIT NO CARGADO")</f>
        <v>GASTOS VEHICULO</v>
      </c>
      <c r="R72" s="464">
        <f>IFERROR(IF(compras_mes7[[#This Row],[CUIT]]="","-",VLOOKUP(compras_mes7[[#This Row],[CUIT]],Lista_CUIT[#All],4,0)),"CUIT NO CARGADO")</f>
        <v>0</v>
      </c>
      <c r="T72" s="128"/>
    </row>
    <row r="73" spans="1:20" x14ac:dyDescent="0.3">
      <c r="B73" s="456">
        <v>45128</v>
      </c>
      <c r="C73" s="457">
        <v>1</v>
      </c>
      <c r="D73" s="458">
        <v>3</v>
      </c>
      <c r="E73" s="506">
        <v>6565</v>
      </c>
      <c r="F73" s="459">
        <v>30708006420</v>
      </c>
      <c r="G73" s="460" t="str">
        <f>IFERROR(IF(compras_mes7[[#This Row],[CUIT]]="","-",VLOOKUP(compras_mes7[[#This Row],[CUIT]],Lista_CUIT[#All],2,0)),"CUIT NO CARGADO")</f>
        <v>MEDILEA S.A.</v>
      </c>
      <c r="H73" s="461">
        <v>440000</v>
      </c>
      <c r="I73" s="462">
        <f>IF(compras_mes7[[#This Row],[NETO GRAVADO]]="","",compras_mes7[[#This Row],[NETO GRAVADO]]*0.21)</f>
        <v>92400</v>
      </c>
      <c r="J73" s="462"/>
      <c r="K73" s="462"/>
      <c r="L73" s="462"/>
      <c r="M73" s="462"/>
      <c r="N73" s="462"/>
      <c r="O73" s="462"/>
      <c r="P73" s="463">
        <f>SUM(compras_mes7[[#This Row],[NETO GRAVADO]:[Otros / No Grav.]])</f>
        <v>532400</v>
      </c>
      <c r="Q73" s="464">
        <f>IFERROR(IF(compras_mes7[[#This Row],[CUIT]]="","-",VLOOKUP(compras_mes7[[#This Row],[CUIT]],Lista_CUIT[#All],3,0)),"CUIT NO CARGADO")</f>
        <v>0</v>
      </c>
      <c r="R73" s="464">
        <f>IFERROR(IF(compras_mes7[[#This Row],[CUIT]]="","-",VLOOKUP(compras_mes7[[#This Row],[CUIT]],Lista_CUIT[#All],4,0)),"CUIT NO CARGADO")</f>
        <v>0</v>
      </c>
      <c r="T73" s="128"/>
    </row>
    <row r="74" spans="1:20" x14ac:dyDescent="0.3">
      <c r="B74" s="456">
        <v>45108</v>
      </c>
      <c r="C74" s="457">
        <v>1</v>
      </c>
      <c r="D74" s="458">
        <v>24</v>
      </c>
      <c r="E74" s="506">
        <v>6965</v>
      </c>
      <c r="F74" s="459">
        <v>30675994915</v>
      </c>
      <c r="G74" s="460" t="str">
        <f>IFERROR(IF(compras_mes7[[#This Row],[CUIT]]="","-",VLOOKUP(compras_mes7[[#This Row],[CUIT]],Lista_CUIT[#All],2,0)),"CUIT NO CARGADO")</f>
        <v>LOMALI SA</v>
      </c>
      <c r="H74" s="461">
        <v>3625.45</v>
      </c>
      <c r="I74" s="462">
        <f>IF(compras_mes7[[#This Row],[NETO GRAVADO]]="","",compras_mes7[[#This Row],[NETO GRAVADO]]*0.21)</f>
        <v>761.34449999999993</v>
      </c>
      <c r="J74" s="462"/>
      <c r="K74" s="462"/>
      <c r="L74" s="462"/>
      <c r="M74" s="462"/>
      <c r="N74" s="462"/>
      <c r="O74" s="462">
        <v>615.21</v>
      </c>
      <c r="P74" s="463">
        <f>SUM(compras_mes7[[#This Row],[NETO GRAVADO]:[Otros / No Grav.]])</f>
        <v>5002.0045</v>
      </c>
      <c r="Q74" s="464">
        <f>IFERROR(IF(compras_mes7[[#This Row],[CUIT]]="","-",VLOOKUP(compras_mes7[[#This Row],[CUIT]],Lista_CUIT[#All],3,0)),"CUIT NO CARGADO")</f>
        <v>0</v>
      </c>
      <c r="R74" s="464">
        <f>IFERROR(IF(compras_mes7[[#This Row],[CUIT]]="","-",VLOOKUP(compras_mes7[[#This Row],[CUIT]],Lista_CUIT[#All],4,0)),"CUIT NO CARGADO")</f>
        <v>0</v>
      </c>
      <c r="T74" s="128"/>
    </row>
    <row r="75" spans="1:20" x14ac:dyDescent="0.3">
      <c r="B75" s="456">
        <v>45112</v>
      </c>
      <c r="C75" s="457">
        <v>1</v>
      </c>
      <c r="D75" s="458">
        <v>8</v>
      </c>
      <c r="E75" s="506">
        <v>7037</v>
      </c>
      <c r="F75" s="459">
        <v>30715303236</v>
      </c>
      <c r="G75" s="460" t="str">
        <f>IFERROR(IF(compras_mes7[[#This Row],[CUIT]]="","-",VLOOKUP(compras_mes7[[#This Row],[CUIT]],Lista_CUIT[#All],2,0)),"CUIT NO CARGADO")</f>
        <v>MUNDO PLASTIC SRL</v>
      </c>
      <c r="H75" s="461">
        <v>149328</v>
      </c>
      <c r="I75" s="462">
        <f>IF(compras_mes7[[#This Row],[NETO GRAVADO]]="","",compras_mes7[[#This Row],[NETO GRAVADO]]*0.21)</f>
        <v>31358.879999999997</v>
      </c>
      <c r="J75" s="462"/>
      <c r="K75" s="462"/>
      <c r="L75" s="462"/>
      <c r="M75" s="462"/>
      <c r="N75" s="462"/>
      <c r="O75" s="462"/>
      <c r="P75" s="463">
        <f>SUM(compras_mes7[[#This Row],[NETO GRAVADO]:[Otros / No Grav.]])</f>
        <v>180686.88</v>
      </c>
      <c r="Q75" s="464">
        <f>IFERROR(IF(compras_mes7[[#This Row],[CUIT]]="","-",VLOOKUP(compras_mes7[[#This Row],[CUIT]],Lista_CUIT[#All],3,0)),"CUIT NO CARGADO")</f>
        <v>0</v>
      </c>
      <c r="R75" s="464">
        <f>IFERROR(IF(compras_mes7[[#This Row],[CUIT]]="","-",VLOOKUP(compras_mes7[[#This Row],[CUIT]],Lista_CUIT[#All],4,0)),"CUIT NO CARGADO")</f>
        <v>0</v>
      </c>
      <c r="T75" s="128"/>
    </row>
    <row r="76" spans="1:20" s="508" customFormat="1" x14ac:dyDescent="0.3">
      <c r="A76"/>
      <c r="B76" s="477">
        <v>45138</v>
      </c>
      <c r="C76" s="494">
        <v>1</v>
      </c>
      <c r="D76" s="478">
        <v>13</v>
      </c>
      <c r="E76" s="479">
        <v>7320</v>
      </c>
      <c r="F76" s="480">
        <v>33662613199</v>
      </c>
      <c r="G76" s="481" t="str">
        <f>IFERROR(IF(compras_mes7[[#This Row],[CUIT]]="","-",VLOOKUP(compras_mes7[[#This Row],[CUIT]],Lista_CUIT[#All],2,0)),"CUIT NO CARGADO")</f>
        <v>D M H S A</v>
      </c>
      <c r="H76" s="482">
        <v>28115.71</v>
      </c>
      <c r="I76" s="483">
        <f>IF(compras_mes7[[#This Row],[NETO GRAVADO]]="","",compras_mes7[[#This Row],[NETO GRAVADO]]*0.21)</f>
        <v>5904.2990999999993</v>
      </c>
      <c r="J76" s="483"/>
      <c r="K76" s="483"/>
      <c r="L76" s="483"/>
      <c r="M76" s="483"/>
      <c r="N76" s="483"/>
      <c r="O76" s="483"/>
      <c r="P76" s="484">
        <f>SUM(compras_mes7[[#This Row],[NETO GRAVADO]:[Otros / No Grav.]])</f>
        <v>34020.009099999996</v>
      </c>
      <c r="Q76" s="485">
        <f>IFERROR(IF(compras_mes7[[#This Row],[CUIT]]="","-",VLOOKUP(compras_mes7[[#This Row],[CUIT]],Lista_CUIT[#All],3,0)),"CUIT NO CARGADO")</f>
        <v>0</v>
      </c>
      <c r="R76" s="485">
        <f>IFERROR(IF(compras_mes7[[#This Row],[CUIT]]="","-",VLOOKUP(compras_mes7[[#This Row],[CUIT]],Lista_CUIT[#All],4,0)),"CUIT NO CARGADO")</f>
        <v>0</v>
      </c>
      <c r="S76"/>
      <c r="T76" s="128"/>
    </row>
    <row r="77" spans="1:20" s="510" customFormat="1" x14ac:dyDescent="0.3">
      <c r="A77"/>
      <c r="B77" s="456">
        <v>45126</v>
      </c>
      <c r="C77" s="457">
        <v>1</v>
      </c>
      <c r="D77" s="458">
        <v>2</v>
      </c>
      <c r="E77" s="506">
        <v>8048</v>
      </c>
      <c r="F77" s="459">
        <v>30714284963</v>
      </c>
      <c r="G77" s="460" t="str">
        <f>IFERROR(IF(compras_mes7[[#This Row],[CUIT]]="","-",VLOOKUP(compras_mes7[[#This Row],[CUIT]],Lista_CUIT[#All],2,0)),"CUIT NO CARGADO")</f>
        <v>ENGYMAN SRL</v>
      </c>
      <c r="H77" s="461">
        <v>39615</v>
      </c>
      <c r="I77" s="462">
        <f>IF(compras_mes7[[#This Row],[NETO GRAVADO]]="","",compras_mes7[[#This Row],[NETO GRAVADO]]*0.21)</f>
        <v>8319.15</v>
      </c>
      <c r="J77" s="462"/>
      <c r="K77" s="462"/>
      <c r="L77" s="462"/>
      <c r="M77" s="462"/>
      <c r="N77" s="462"/>
      <c r="O77" s="462"/>
      <c r="P77" s="463">
        <f>SUM(compras_mes7[[#This Row],[NETO GRAVADO]:[Otros / No Grav.]])</f>
        <v>47934.15</v>
      </c>
      <c r="Q77" s="464">
        <f>IFERROR(IF(compras_mes7[[#This Row],[CUIT]]="","-",VLOOKUP(compras_mes7[[#This Row],[CUIT]],Lista_CUIT[#All],3,0)),"CUIT NO CARGADO")</f>
        <v>0</v>
      </c>
      <c r="R77" s="464">
        <f>IFERROR(IF(compras_mes7[[#This Row],[CUIT]]="","-",VLOOKUP(compras_mes7[[#This Row],[CUIT]],Lista_CUIT[#All],4,0)),"CUIT NO CARGADO")</f>
        <v>0</v>
      </c>
      <c r="S77"/>
      <c r="T77" s="128"/>
    </row>
    <row r="78" spans="1:20" s="510" customFormat="1" x14ac:dyDescent="0.3">
      <c r="A78"/>
      <c r="B78" s="456">
        <v>45114</v>
      </c>
      <c r="C78" s="457">
        <v>1</v>
      </c>
      <c r="D78" s="458">
        <v>7</v>
      </c>
      <c r="E78" s="506">
        <v>8097</v>
      </c>
      <c r="F78" s="459">
        <v>30715124919</v>
      </c>
      <c r="G78" s="460" t="str">
        <f>IFERROR(IF(compras_mes7[[#This Row],[CUIT]]="","-",VLOOKUP(compras_mes7[[#This Row],[CUIT]],Lista_CUIT[#All],2,0)),"CUIT NO CARGADO")</f>
        <v>CLEAN LAB SRL</v>
      </c>
      <c r="H78" s="461">
        <v>24903.4</v>
      </c>
      <c r="I78" s="462">
        <f>IF(compras_mes7[[#This Row],[NETO GRAVADO]]="","",compras_mes7[[#This Row],[NETO GRAVADO]]*0.21)</f>
        <v>5229.7139999999999</v>
      </c>
      <c r="J78" s="462"/>
      <c r="K78" s="462"/>
      <c r="L78" s="462"/>
      <c r="M78" s="462"/>
      <c r="N78" s="462"/>
      <c r="O78" s="462"/>
      <c r="P78" s="463">
        <f>SUM(compras_mes7[[#This Row],[NETO GRAVADO]:[Otros / No Grav.]])</f>
        <v>30133.114000000001</v>
      </c>
      <c r="Q78" s="464">
        <f>IFERROR(IF(compras_mes7[[#This Row],[CUIT]]="","-",VLOOKUP(compras_mes7[[#This Row],[CUIT]],Lista_CUIT[#All],3,0)),"CUIT NO CARGADO")</f>
        <v>0</v>
      </c>
      <c r="R78" s="464">
        <f>IFERROR(IF(compras_mes7[[#This Row],[CUIT]]="","-",VLOOKUP(compras_mes7[[#This Row],[CUIT]],Lista_CUIT[#All],4,0)),"CUIT NO CARGADO")</f>
        <v>0</v>
      </c>
      <c r="S78"/>
      <c r="T78" s="128"/>
    </row>
    <row r="79" spans="1:20" s="508" customFormat="1" x14ac:dyDescent="0.3">
      <c r="A79"/>
      <c r="B79" s="456">
        <v>45115</v>
      </c>
      <c r="C79" s="457">
        <v>1</v>
      </c>
      <c r="D79" s="458">
        <v>8</v>
      </c>
      <c r="E79" s="506">
        <v>8263</v>
      </c>
      <c r="F79" s="459">
        <v>30712450327</v>
      </c>
      <c r="G79" s="460" t="str">
        <f>IFERROR(IF(compras_mes7[[#This Row],[CUIT]]="","-",VLOOKUP(compras_mes7[[#This Row],[CUIT]],Lista_CUIT[#All],2,0)),"CUIT NO CARGADO")</f>
        <v>MANDOLA HERMANOS SA</v>
      </c>
      <c r="H79" s="461">
        <v>7370.42</v>
      </c>
      <c r="I79" s="462">
        <f>IF(compras_mes7[[#This Row],[NETO GRAVADO]]="","",compras_mes7[[#This Row],[NETO GRAVADO]]*0.21)</f>
        <v>1547.7882</v>
      </c>
      <c r="J79" s="462"/>
      <c r="K79" s="462"/>
      <c r="L79" s="462"/>
      <c r="M79" s="462"/>
      <c r="N79" s="462"/>
      <c r="O79" s="462">
        <v>981.58</v>
      </c>
      <c r="P79" s="463">
        <f>SUM(compras_mes7[[#This Row],[NETO GRAVADO]:[Otros / No Grav.]])</f>
        <v>9899.7882000000009</v>
      </c>
      <c r="Q79" s="464" t="str">
        <f>IFERROR(IF(compras_mes7[[#This Row],[CUIT]]="","-",VLOOKUP(compras_mes7[[#This Row],[CUIT]],Lista_CUIT[#All],3,0)),"CUIT NO CARGADO")</f>
        <v>COMBUSTIBLE</v>
      </c>
      <c r="R79" s="464">
        <f>IFERROR(IF(compras_mes7[[#This Row],[CUIT]]="","-",VLOOKUP(compras_mes7[[#This Row],[CUIT]],Lista_CUIT[#All],4,0)),"CUIT NO CARGADO")</f>
        <v>0</v>
      </c>
      <c r="S79"/>
      <c r="T79" s="128"/>
    </row>
    <row r="80" spans="1:20" x14ac:dyDescent="0.3">
      <c r="B80" s="456">
        <v>45132</v>
      </c>
      <c r="C80" s="457">
        <v>1</v>
      </c>
      <c r="D80" s="458">
        <v>7</v>
      </c>
      <c r="E80" s="506">
        <v>8465</v>
      </c>
      <c r="F80" s="459">
        <v>30715124919</v>
      </c>
      <c r="G80" s="460" t="str">
        <f>IFERROR(IF(compras_mes7[[#This Row],[CUIT]]="","-",VLOOKUP(compras_mes7[[#This Row],[CUIT]],Lista_CUIT[#All],2,0)),"CUIT NO CARGADO")</f>
        <v>CLEAN LAB SRL</v>
      </c>
      <c r="H80" s="461">
        <v>10725.18</v>
      </c>
      <c r="I80" s="462">
        <f>IF(compras_mes7[[#This Row],[NETO GRAVADO]]="","",compras_mes7[[#This Row],[NETO GRAVADO]]*0.21)</f>
        <v>2252.2878000000001</v>
      </c>
      <c r="J80" s="462"/>
      <c r="K80" s="462"/>
      <c r="L80" s="462"/>
      <c r="M80" s="462"/>
      <c r="N80" s="462"/>
      <c r="O80" s="462"/>
      <c r="P80" s="463">
        <f>SUM(compras_mes7[[#This Row],[NETO GRAVADO]:[Otros / No Grav.]])</f>
        <v>12977.4678</v>
      </c>
      <c r="Q80" s="464">
        <f>IFERROR(IF(compras_mes7[[#This Row],[CUIT]]="","-",VLOOKUP(compras_mes7[[#This Row],[CUIT]],Lista_CUIT[#All],3,0)),"CUIT NO CARGADO")</f>
        <v>0</v>
      </c>
      <c r="R80" s="464">
        <f>IFERROR(IF(compras_mes7[[#This Row],[CUIT]]="","-",VLOOKUP(compras_mes7[[#This Row],[CUIT]],Lista_CUIT[#All],4,0)),"CUIT NO CARGADO")</f>
        <v>0</v>
      </c>
      <c r="T80" s="128"/>
    </row>
    <row r="81" spans="1:20" x14ac:dyDescent="0.3">
      <c r="B81" s="456">
        <v>45132</v>
      </c>
      <c r="C81" s="457">
        <v>1</v>
      </c>
      <c r="D81" s="458">
        <v>7</v>
      </c>
      <c r="E81" s="506">
        <v>8466</v>
      </c>
      <c r="F81" s="459">
        <v>30715124919</v>
      </c>
      <c r="G81" s="460" t="str">
        <f>IFERROR(IF(compras_mes7[[#This Row],[CUIT]]="","-",VLOOKUP(compras_mes7[[#This Row],[CUIT]],Lista_CUIT[#All],2,0)),"CUIT NO CARGADO")</f>
        <v>CLEAN LAB SRL</v>
      </c>
      <c r="H81" s="461">
        <v>12884.74</v>
      </c>
      <c r="I81" s="462">
        <f>IF(compras_mes7[[#This Row],[NETO GRAVADO]]="","",compras_mes7[[#This Row],[NETO GRAVADO]]*0.21)</f>
        <v>2705.7954</v>
      </c>
      <c r="J81" s="462"/>
      <c r="K81" s="462"/>
      <c r="L81" s="462"/>
      <c r="M81" s="462"/>
      <c r="N81" s="462"/>
      <c r="O81" s="462"/>
      <c r="P81" s="463">
        <f>SUM(compras_mes7[[#This Row],[NETO GRAVADO]:[Otros / No Grav.]])</f>
        <v>15590.535400000001</v>
      </c>
      <c r="Q81" s="464">
        <f>IFERROR(IF(compras_mes7[[#This Row],[CUIT]]="","-",VLOOKUP(compras_mes7[[#This Row],[CUIT]],Lista_CUIT[#All],3,0)),"CUIT NO CARGADO")</f>
        <v>0</v>
      </c>
      <c r="R81" s="464">
        <f>IFERROR(IF(compras_mes7[[#This Row],[CUIT]]="","-",VLOOKUP(compras_mes7[[#This Row],[CUIT]],Lista_CUIT[#All],4,0)),"CUIT NO CARGADO")</f>
        <v>0</v>
      </c>
      <c r="T81" s="128"/>
    </row>
    <row r="82" spans="1:20" x14ac:dyDescent="0.3">
      <c r="B82" s="456">
        <v>45132</v>
      </c>
      <c r="C82" s="457">
        <v>1</v>
      </c>
      <c r="D82" s="458">
        <v>7</v>
      </c>
      <c r="E82" s="506">
        <v>8467</v>
      </c>
      <c r="F82" s="459">
        <v>30715124919</v>
      </c>
      <c r="G82" s="460" t="str">
        <f>IFERROR(IF(compras_mes7[[#This Row],[CUIT]]="","-",VLOOKUP(compras_mes7[[#This Row],[CUIT]],Lista_CUIT[#All],2,0)),"CUIT NO CARGADO")</f>
        <v>CLEAN LAB SRL</v>
      </c>
      <c r="H82" s="461">
        <v>21806.1</v>
      </c>
      <c r="I82" s="462">
        <f>IF(compras_mes7[[#This Row],[NETO GRAVADO]]="","",compras_mes7[[#This Row],[NETO GRAVADO]]*0.21)</f>
        <v>4579.2809999999999</v>
      </c>
      <c r="J82" s="462"/>
      <c r="K82" s="462"/>
      <c r="L82" s="462"/>
      <c r="M82" s="462"/>
      <c r="N82" s="462"/>
      <c r="O82" s="462"/>
      <c r="P82" s="463">
        <f>SUM(compras_mes7[[#This Row],[NETO GRAVADO]:[Otros / No Grav.]])</f>
        <v>26385.380999999998</v>
      </c>
      <c r="Q82" s="464">
        <f>IFERROR(IF(compras_mes7[[#This Row],[CUIT]]="","-",VLOOKUP(compras_mes7[[#This Row],[CUIT]],Lista_CUIT[#All],3,0)),"CUIT NO CARGADO")</f>
        <v>0</v>
      </c>
      <c r="R82" s="464">
        <f>IFERROR(IF(compras_mes7[[#This Row],[CUIT]]="","-",VLOOKUP(compras_mes7[[#This Row],[CUIT]],Lista_CUIT[#All],4,0)),"CUIT NO CARGADO")</f>
        <v>0</v>
      </c>
      <c r="T82" s="128"/>
    </row>
    <row r="83" spans="1:20" x14ac:dyDescent="0.3">
      <c r="B83" s="509">
        <v>45125</v>
      </c>
      <c r="C83" s="511">
        <v>1</v>
      </c>
      <c r="D83" s="512">
        <v>8</v>
      </c>
      <c r="E83" s="513">
        <v>8512</v>
      </c>
      <c r="F83" s="514">
        <v>30709600539</v>
      </c>
      <c r="G83" s="515" t="str">
        <f>IFERROR(IF(compras_mes7[[#This Row],[CUIT]]="","-",VLOOKUP(compras_mes7[[#This Row],[CUIT]],Lista_CUIT[#All],2,0)),"CUIT NO CARGADO")</f>
        <v>LUGARES URBANOS S.A.</v>
      </c>
      <c r="H83" s="516">
        <v>522000</v>
      </c>
      <c r="I83" s="517">
        <f>IF(compras_mes7[[#This Row],[NETO GRAVADO]]="","",compras_mes7[[#This Row],[NETO GRAVADO]]*0.21)</f>
        <v>109620</v>
      </c>
      <c r="J83" s="517"/>
      <c r="K83" s="517"/>
      <c r="L83" s="517"/>
      <c r="M83" s="517"/>
      <c r="N83" s="517"/>
      <c r="O83" s="517"/>
      <c r="P83" s="518">
        <f>SUM(compras_mes7[[#This Row],[NETO GRAVADO]:[Otros / No Grav.]])</f>
        <v>631620</v>
      </c>
      <c r="Q83" s="519">
        <f>IFERROR(IF(compras_mes7[[#This Row],[CUIT]]="","-",VLOOKUP(compras_mes7[[#This Row],[CUIT]],Lista_CUIT[#All],3,0)),"CUIT NO CARGADO")</f>
        <v>0</v>
      </c>
      <c r="R83" s="519">
        <f>IFERROR(IF(compras_mes7[[#This Row],[CUIT]]="","-",VLOOKUP(compras_mes7[[#This Row],[CUIT]],Lista_CUIT[#All],4,0)),"CUIT NO CARGADO")</f>
        <v>0</v>
      </c>
      <c r="T83" s="128"/>
    </row>
    <row r="84" spans="1:20" x14ac:dyDescent="0.3">
      <c r="B84" s="456">
        <v>45125</v>
      </c>
      <c r="C84" s="457">
        <v>1</v>
      </c>
      <c r="D84" s="458">
        <v>5</v>
      </c>
      <c r="E84" s="506">
        <v>8935</v>
      </c>
      <c r="F84" s="459">
        <v>30695506410</v>
      </c>
      <c r="G84" s="460" t="str">
        <f>IFERROR(IF(compras_mes7[[#This Row],[CUIT]]="","-",VLOOKUP(compras_mes7[[#This Row],[CUIT]],Lista_CUIT[#All],2,0)),"CUIT NO CARGADO")</f>
        <v>DROVER SA</v>
      </c>
      <c r="H84" s="461">
        <v>63980</v>
      </c>
      <c r="I84" s="462">
        <f>IF(compras_mes7[[#This Row],[NETO GRAVADO]]="","",compras_mes7[[#This Row],[NETO GRAVADO]]*0.21)</f>
        <v>13435.8</v>
      </c>
      <c r="J84" s="462"/>
      <c r="K84" s="462"/>
      <c r="L84" s="462"/>
      <c r="M84" s="462"/>
      <c r="N84" s="462"/>
      <c r="O84" s="462"/>
      <c r="P84" s="463">
        <f>SUM(compras_mes7[[#This Row],[NETO GRAVADO]:[Otros / No Grav.]])</f>
        <v>77415.8</v>
      </c>
      <c r="Q84" s="464">
        <f>IFERROR(IF(compras_mes7[[#This Row],[CUIT]]="","-",VLOOKUP(compras_mes7[[#This Row],[CUIT]],Lista_CUIT[#All],3,0)),"CUIT NO CARGADO")</f>
        <v>0</v>
      </c>
      <c r="R84" s="464">
        <f>IFERROR(IF(compras_mes7[[#This Row],[CUIT]]="","-",VLOOKUP(compras_mes7[[#This Row],[CUIT]],Lista_CUIT[#All],4,0)),"CUIT NO CARGADO")</f>
        <v>0</v>
      </c>
      <c r="T84" s="128"/>
    </row>
    <row r="85" spans="1:20" s="508" customFormat="1" x14ac:dyDescent="0.3">
      <c r="A85"/>
      <c r="B85" s="509">
        <v>45117</v>
      </c>
      <c r="C85" s="511">
        <v>1</v>
      </c>
      <c r="D85" s="512">
        <v>1002</v>
      </c>
      <c r="E85" s="513">
        <v>9255</v>
      </c>
      <c r="F85" s="514">
        <v>30712289046</v>
      </c>
      <c r="G85" s="515" t="str">
        <f>IFERROR(IF(compras_mes7[[#This Row],[CUIT]]="","-",VLOOKUP(compras_mes7[[#This Row],[CUIT]],Lista_CUIT[#All],2,0)),"CUIT NO CARGADO")</f>
        <v>IMPIERI PIÑEIRO RIZZO Y ASOC SA</v>
      </c>
      <c r="H85" s="516">
        <v>2927.29</v>
      </c>
      <c r="I85" s="517">
        <f>IF(compras_mes7[[#This Row],[NETO GRAVADO]]="","",compras_mes7[[#This Row],[NETO GRAVADO]]*0.21)</f>
        <v>614.73090000000002</v>
      </c>
      <c r="J85" s="517"/>
      <c r="K85" s="517"/>
      <c r="L85" s="517"/>
      <c r="M85" s="517"/>
      <c r="N85" s="517"/>
      <c r="O85" s="517">
        <v>457.98</v>
      </c>
      <c r="P85" s="492">
        <f>SUM(compras_mes7[[#This Row],[NETO GRAVADO]:[Otros / No Grav.]])</f>
        <v>4000.0009</v>
      </c>
      <c r="Q85" s="519">
        <f>IFERROR(IF(compras_mes7[[#This Row],[CUIT]]="","-",VLOOKUP(compras_mes7[[#This Row],[CUIT]],Lista_CUIT[#All],3,0)),"CUIT NO CARGADO")</f>
        <v>0</v>
      </c>
      <c r="R85" s="519">
        <f>IFERROR(IF(compras_mes7[[#This Row],[CUIT]]="","-",VLOOKUP(compras_mes7[[#This Row],[CUIT]],Lista_CUIT[#All],4,0)),"CUIT NO CARGADO")</f>
        <v>0</v>
      </c>
      <c r="S85"/>
      <c r="T85" s="128"/>
    </row>
    <row r="86" spans="1:20" x14ac:dyDescent="0.3">
      <c r="B86" s="456">
        <v>45112</v>
      </c>
      <c r="C86" s="457">
        <v>1</v>
      </c>
      <c r="D86" s="458">
        <v>20</v>
      </c>
      <c r="E86" s="506">
        <v>9335</v>
      </c>
      <c r="F86" s="459">
        <v>30515800219</v>
      </c>
      <c r="G86" s="460" t="str">
        <f>IFERROR(IF(compras_mes7[[#This Row],[CUIT]]="","-",VLOOKUP(compras_mes7[[#This Row],[CUIT]],Lista_CUIT[#All],2,0)),"CUIT NO CARGADO")</f>
        <v>INCAT SRL</v>
      </c>
      <c r="H86" s="461">
        <v>816.77</v>
      </c>
      <c r="I86" s="462">
        <f>IF(compras_mes7[[#This Row],[NETO GRAVADO]]="","",compras_mes7[[#This Row],[NETO GRAVADO]]*0.21)</f>
        <v>171.52169999999998</v>
      </c>
      <c r="J86" s="462"/>
      <c r="K86" s="462"/>
      <c r="L86" s="462"/>
      <c r="M86" s="462"/>
      <c r="N86" s="462"/>
      <c r="O86" s="462">
        <v>11.71</v>
      </c>
      <c r="P86" s="463">
        <f>SUM(compras_mes7[[#This Row],[NETO GRAVADO]:[Otros / No Grav.]])</f>
        <v>1000.0017</v>
      </c>
      <c r="Q86" s="464" t="str">
        <f>IFERROR(IF(compras_mes7[[#This Row],[CUIT]]="","-",VLOOKUP(compras_mes7[[#This Row],[CUIT]],Lista_CUIT[#All],3,0)),"CUIT NO CARGADO")</f>
        <v>Combustibe</v>
      </c>
      <c r="R86" s="464" t="str">
        <f>IFERROR(IF(compras_mes7[[#This Row],[CUIT]]="","-",VLOOKUP(compras_mes7[[#This Row],[CUIT]],Lista_CUIT[#All],4,0)),"CUIT NO CARGADO")</f>
        <v>CABA</v>
      </c>
      <c r="T86" s="128"/>
    </row>
    <row r="87" spans="1:20" s="508" customFormat="1" x14ac:dyDescent="0.3">
      <c r="A87"/>
      <c r="B87" s="456">
        <v>45113</v>
      </c>
      <c r="C87" s="457">
        <v>1</v>
      </c>
      <c r="D87" s="458">
        <v>20</v>
      </c>
      <c r="E87" s="506">
        <v>9344</v>
      </c>
      <c r="F87" s="459">
        <v>30515800219</v>
      </c>
      <c r="G87" s="460" t="str">
        <f>IFERROR(IF(compras_mes7[[#This Row],[CUIT]]="","-",VLOOKUP(compras_mes7[[#This Row],[CUIT]],Lista_CUIT[#All],2,0)),"CUIT NO CARGADO")</f>
        <v>INCAT SRL</v>
      </c>
      <c r="H87" s="461">
        <v>816.77</v>
      </c>
      <c r="I87" s="462">
        <f>IF(compras_mes7[[#This Row],[NETO GRAVADO]]="","",compras_mes7[[#This Row],[NETO GRAVADO]]*0.21)</f>
        <v>171.52169999999998</v>
      </c>
      <c r="J87" s="462"/>
      <c r="K87" s="462"/>
      <c r="L87" s="462"/>
      <c r="M87" s="462"/>
      <c r="N87" s="462"/>
      <c r="O87" s="462">
        <v>11.71</v>
      </c>
      <c r="P87" s="463">
        <f>SUM(compras_mes7[[#This Row],[NETO GRAVADO]:[Otros / No Grav.]])</f>
        <v>1000.0017</v>
      </c>
      <c r="Q87" s="464" t="str">
        <f>IFERROR(IF(compras_mes7[[#This Row],[CUIT]]="","-",VLOOKUP(compras_mes7[[#This Row],[CUIT]],Lista_CUIT[#All],3,0)),"CUIT NO CARGADO")</f>
        <v>Combustibe</v>
      </c>
      <c r="R87" s="464" t="str">
        <f>IFERROR(IF(compras_mes7[[#This Row],[CUIT]]="","-",VLOOKUP(compras_mes7[[#This Row],[CUIT]],Lista_CUIT[#All],4,0)),"CUIT NO CARGADO")</f>
        <v>CABA</v>
      </c>
      <c r="S87"/>
      <c r="T87" s="128"/>
    </row>
    <row r="88" spans="1:20" x14ac:dyDescent="0.3">
      <c r="B88" s="456">
        <v>45114</v>
      </c>
      <c r="C88" s="457">
        <v>1</v>
      </c>
      <c r="D88" s="458">
        <v>20</v>
      </c>
      <c r="E88" s="506">
        <v>9360</v>
      </c>
      <c r="F88" s="459">
        <v>30515800219</v>
      </c>
      <c r="G88" s="460" t="str">
        <f>IFERROR(IF(compras_mes7[[#This Row],[CUIT]]="","-",VLOOKUP(compras_mes7[[#This Row],[CUIT]],Lista_CUIT[#All],2,0)),"CUIT NO CARGADO")</f>
        <v>INCAT SRL</v>
      </c>
      <c r="H88" s="461">
        <v>816.77</v>
      </c>
      <c r="I88" s="462">
        <f>IF(compras_mes7[[#This Row],[NETO GRAVADO]]="","",compras_mes7[[#This Row],[NETO GRAVADO]]*0.21)</f>
        <v>171.52169999999998</v>
      </c>
      <c r="J88" s="462"/>
      <c r="K88" s="462"/>
      <c r="L88" s="462"/>
      <c r="M88" s="462"/>
      <c r="N88" s="462"/>
      <c r="O88" s="462">
        <v>11.71</v>
      </c>
      <c r="P88" s="463">
        <f>SUM(compras_mes7[[#This Row],[NETO GRAVADO]:[Otros / No Grav.]])</f>
        <v>1000.0017</v>
      </c>
      <c r="Q88" s="464" t="str">
        <f>IFERROR(IF(compras_mes7[[#This Row],[CUIT]]="","-",VLOOKUP(compras_mes7[[#This Row],[CUIT]],Lista_CUIT[#All],3,0)),"CUIT NO CARGADO")</f>
        <v>Combustibe</v>
      </c>
      <c r="R88" s="464" t="str">
        <f>IFERROR(IF(compras_mes7[[#This Row],[CUIT]]="","-",VLOOKUP(compras_mes7[[#This Row],[CUIT]],Lista_CUIT[#All],4,0)),"CUIT NO CARGADO")</f>
        <v>CABA</v>
      </c>
      <c r="T88" s="128"/>
    </row>
    <row r="89" spans="1:20" s="508" customFormat="1" x14ac:dyDescent="0.3">
      <c r="A89"/>
      <c r="B89" s="456">
        <v>45117</v>
      </c>
      <c r="C89" s="457">
        <v>1</v>
      </c>
      <c r="D89" s="458">
        <v>20</v>
      </c>
      <c r="E89" s="506">
        <v>9376</v>
      </c>
      <c r="F89" s="459">
        <v>30515800219</v>
      </c>
      <c r="G89" s="460" t="str">
        <f>IFERROR(IF(compras_mes7[[#This Row],[CUIT]]="","-",VLOOKUP(compras_mes7[[#This Row],[CUIT]],Lista_CUIT[#All],2,0)),"CUIT NO CARGADO")</f>
        <v>INCAT SRL</v>
      </c>
      <c r="H89" s="461">
        <v>816.76</v>
      </c>
      <c r="I89" s="462">
        <f>IF(compras_mes7[[#This Row],[NETO GRAVADO]]="","",compras_mes7[[#This Row],[NETO GRAVADO]]*0.21)</f>
        <v>171.5196</v>
      </c>
      <c r="J89" s="462"/>
      <c r="K89" s="462"/>
      <c r="L89" s="462"/>
      <c r="M89" s="462"/>
      <c r="N89" s="462"/>
      <c r="O89" s="462">
        <v>11.71</v>
      </c>
      <c r="P89" s="463">
        <f>SUM(compras_mes7[[#This Row],[NETO GRAVADO]:[Otros / No Grav.]])</f>
        <v>999.9896</v>
      </c>
      <c r="Q89" s="464" t="str">
        <f>IFERROR(IF(compras_mes7[[#This Row],[CUIT]]="","-",VLOOKUP(compras_mes7[[#This Row],[CUIT]],Lista_CUIT[#All],3,0)),"CUIT NO CARGADO")</f>
        <v>Combustibe</v>
      </c>
      <c r="R89" s="464" t="str">
        <f>IFERROR(IF(compras_mes7[[#This Row],[CUIT]]="","-",VLOOKUP(compras_mes7[[#This Row],[CUIT]],Lista_CUIT[#All],4,0)),"CUIT NO CARGADO")</f>
        <v>CABA</v>
      </c>
      <c r="S89"/>
      <c r="T89" s="128"/>
    </row>
    <row r="90" spans="1:20" x14ac:dyDescent="0.3">
      <c r="B90" s="456">
        <v>45118</v>
      </c>
      <c r="C90" s="457">
        <v>1</v>
      </c>
      <c r="D90" s="458">
        <v>20</v>
      </c>
      <c r="E90" s="506">
        <v>9391</v>
      </c>
      <c r="F90" s="459">
        <v>30515800219</v>
      </c>
      <c r="G90" s="460" t="str">
        <f>IFERROR(IF(compras_mes7[[#This Row],[CUIT]]="","-",VLOOKUP(compras_mes7[[#This Row],[CUIT]],Lista_CUIT[#All],2,0)),"CUIT NO CARGADO")</f>
        <v>INCAT SRL</v>
      </c>
      <c r="H90" s="461">
        <v>816.76</v>
      </c>
      <c r="I90" s="462">
        <f>IF(compras_mes7[[#This Row],[NETO GRAVADO]]="","",compras_mes7[[#This Row],[NETO GRAVADO]]*0.21)</f>
        <v>171.5196</v>
      </c>
      <c r="J90" s="462"/>
      <c r="K90" s="462"/>
      <c r="L90" s="462"/>
      <c r="M90" s="462"/>
      <c r="N90" s="462"/>
      <c r="O90" s="462">
        <v>11.71</v>
      </c>
      <c r="P90" s="463">
        <f>SUM(compras_mes7[[#This Row],[NETO GRAVADO]:[Otros / No Grav.]])</f>
        <v>999.9896</v>
      </c>
      <c r="Q90" s="464" t="str">
        <f>IFERROR(IF(compras_mes7[[#This Row],[CUIT]]="","-",VLOOKUP(compras_mes7[[#This Row],[CUIT]],Lista_CUIT[#All],3,0)),"CUIT NO CARGADO")</f>
        <v>Combustibe</v>
      </c>
      <c r="R90" s="464" t="str">
        <f>IFERROR(IF(compras_mes7[[#This Row],[CUIT]]="","-",VLOOKUP(compras_mes7[[#This Row],[CUIT]],Lista_CUIT[#All],4,0)),"CUIT NO CARGADO")</f>
        <v>CABA</v>
      </c>
      <c r="T90" s="128"/>
    </row>
    <row r="91" spans="1:20" x14ac:dyDescent="0.3">
      <c r="B91" s="456">
        <v>45119</v>
      </c>
      <c r="C91" s="457">
        <v>1</v>
      </c>
      <c r="D91" s="458">
        <v>20</v>
      </c>
      <c r="E91" s="506">
        <v>9404</v>
      </c>
      <c r="F91" s="459">
        <v>30515800219</v>
      </c>
      <c r="G91" s="460" t="str">
        <f>IFERROR(IF(compras_mes7[[#This Row],[CUIT]]="","-",VLOOKUP(compras_mes7[[#This Row],[CUIT]],Lista_CUIT[#All],2,0)),"CUIT NO CARGADO")</f>
        <v>INCAT SRL</v>
      </c>
      <c r="H91" s="461">
        <v>816.76</v>
      </c>
      <c r="I91" s="462">
        <f>IF(compras_mes7[[#This Row],[NETO GRAVADO]]="","",compras_mes7[[#This Row],[NETO GRAVADO]]*0.21)</f>
        <v>171.5196</v>
      </c>
      <c r="J91" s="462"/>
      <c r="K91" s="462"/>
      <c r="L91" s="462"/>
      <c r="M91" s="462"/>
      <c r="N91" s="462"/>
      <c r="O91" s="462">
        <v>11.71</v>
      </c>
      <c r="P91" s="463">
        <f>SUM(compras_mes7[[#This Row],[NETO GRAVADO]:[Otros / No Grav.]])</f>
        <v>999.9896</v>
      </c>
      <c r="Q91" s="464" t="str">
        <f>IFERROR(IF(compras_mes7[[#This Row],[CUIT]]="","-",VLOOKUP(compras_mes7[[#This Row],[CUIT]],Lista_CUIT[#All],3,0)),"CUIT NO CARGADO")</f>
        <v>Combustibe</v>
      </c>
      <c r="R91" s="464" t="str">
        <f>IFERROR(IF(compras_mes7[[#This Row],[CUIT]]="","-",VLOOKUP(compras_mes7[[#This Row],[CUIT]],Lista_CUIT[#All],4,0)),"CUIT NO CARGADO")</f>
        <v>CABA</v>
      </c>
      <c r="T91" s="128"/>
    </row>
    <row r="92" spans="1:20" x14ac:dyDescent="0.3">
      <c r="B92" s="456">
        <v>45121</v>
      </c>
      <c r="C92" s="457">
        <v>1</v>
      </c>
      <c r="D92" s="458">
        <v>20</v>
      </c>
      <c r="E92" s="506">
        <v>9429</v>
      </c>
      <c r="F92" s="459">
        <v>30515800219</v>
      </c>
      <c r="G92" s="460" t="str">
        <f>IFERROR(IF(compras_mes7[[#This Row],[CUIT]]="","-",VLOOKUP(compras_mes7[[#This Row],[CUIT]],Lista_CUIT[#All],2,0)),"CUIT NO CARGADO")</f>
        <v>INCAT SRL</v>
      </c>
      <c r="H92" s="461">
        <v>816.76</v>
      </c>
      <c r="I92" s="462">
        <f>IF(compras_mes7[[#This Row],[NETO GRAVADO]]="","",compras_mes7[[#This Row],[NETO GRAVADO]]*0.21)</f>
        <v>171.5196</v>
      </c>
      <c r="J92" s="462"/>
      <c r="K92" s="462"/>
      <c r="L92" s="462"/>
      <c r="M92" s="462"/>
      <c r="N92" s="462"/>
      <c r="O92" s="462">
        <v>11.71</v>
      </c>
      <c r="P92" s="463">
        <f>SUM(compras_mes7[[#This Row],[NETO GRAVADO]:[Otros / No Grav.]])</f>
        <v>999.9896</v>
      </c>
      <c r="Q92" s="464" t="str">
        <f>IFERROR(IF(compras_mes7[[#This Row],[CUIT]]="","-",VLOOKUP(compras_mes7[[#This Row],[CUIT]],Lista_CUIT[#All],3,0)),"CUIT NO CARGADO")</f>
        <v>Combustibe</v>
      </c>
      <c r="R92" s="464" t="str">
        <f>IFERROR(IF(compras_mes7[[#This Row],[CUIT]]="","-",VLOOKUP(compras_mes7[[#This Row],[CUIT]],Lista_CUIT[#All],4,0)),"CUIT NO CARGADO")</f>
        <v>CABA</v>
      </c>
      <c r="T92" s="128"/>
    </row>
    <row r="93" spans="1:20" s="508" customFormat="1" x14ac:dyDescent="0.3">
      <c r="A93"/>
      <c r="B93" s="456">
        <v>45111</v>
      </c>
      <c r="C93" s="457">
        <v>1</v>
      </c>
      <c r="D93" s="458">
        <v>1004</v>
      </c>
      <c r="E93" s="506">
        <v>9432</v>
      </c>
      <c r="F93" s="459">
        <v>30712289046</v>
      </c>
      <c r="G93" s="460" t="str">
        <f>IFERROR(IF(compras_mes7[[#This Row],[CUIT]]="","-",VLOOKUP(compras_mes7[[#This Row],[CUIT]],Lista_CUIT[#All],2,0)),"CUIT NO CARGADO")</f>
        <v>IMPIERI PIÑEIRO RIZZO Y ASOC SA</v>
      </c>
      <c r="H93" s="461">
        <v>6402.74</v>
      </c>
      <c r="I93" s="462">
        <f>IF(compras_mes7[[#This Row],[NETO GRAVADO]]="","",compras_mes7[[#This Row],[NETO GRAVADO]]*0.21)</f>
        <v>1344.5753999999999</v>
      </c>
      <c r="J93" s="462"/>
      <c r="K93" s="462"/>
      <c r="L93" s="462"/>
      <c r="M93" s="462"/>
      <c r="N93" s="462"/>
      <c r="O93" s="462">
        <v>1053.19</v>
      </c>
      <c r="P93" s="463">
        <f>SUM(compras_mes7[[#This Row],[NETO GRAVADO]:[Otros / No Grav.]])</f>
        <v>8800.5054</v>
      </c>
      <c r="Q93" s="464">
        <f>IFERROR(IF(compras_mes7[[#This Row],[CUIT]]="","-",VLOOKUP(compras_mes7[[#This Row],[CUIT]],Lista_CUIT[#All],3,0)),"CUIT NO CARGADO")</f>
        <v>0</v>
      </c>
      <c r="R93" s="464">
        <f>IFERROR(IF(compras_mes7[[#This Row],[CUIT]]="","-",VLOOKUP(compras_mes7[[#This Row],[CUIT]],Lista_CUIT[#All],4,0)),"CUIT NO CARGADO")</f>
        <v>0</v>
      </c>
      <c r="S93"/>
      <c r="T93" s="128"/>
    </row>
    <row r="94" spans="1:20" s="508" customFormat="1" x14ac:dyDescent="0.3">
      <c r="A94"/>
      <c r="B94" s="456">
        <v>45117</v>
      </c>
      <c r="C94" s="457">
        <v>1</v>
      </c>
      <c r="D94" s="458">
        <v>7</v>
      </c>
      <c r="E94" s="506">
        <v>9439</v>
      </c>
      <c r="F94" s="459">
        <v>30708017759</v>
      </c>
      <c r="G94" s="460" t="str">
        <f>IFERROR(IF(compras_mes7[[#This Row],[CUIT]]="","-",VLOOKUP(compras_mes7[[#This Row],[CUIT]],Lista_CUIT[#All],2,0)),"CUIT NO CARGADO")</f>
        <v>NEW  HIGH PACK  SA</v>
      </c>
      <c r="H94" s="461">
        <v>763000</v>
      </c>
      <c r="I94" s="462">
        <f>IF(compras_mes7[[#This Row],[NETO GRAVADO]]="","",compras_mes7[[#This Row],[NETO GRAVADO]]*0.21)</f>
        <v>160230</v>
      </c>
      <c r="J94" s="462"/>
      <c r="K94" s="462"/>
      <c r="L94" s="462"/>
      <c r="M94" s="462"/>
      <c r="N94" s="462">
        <v>45780</v>
      </c>
      <c r="O94" s="462"/>
      <c r="P94" s="463">
        <f>SUM(compras_mes7[[#This Row],[NETO GRAVADO]:[Otros / No Grav.]])</f>
        <v>969010</v>
      </c>
      <c r="Q94" s="464">
        <f>IFERROR(IF(compras_mes7[[#This Row],[CUIT]]="","-",VLOOKUP(compras_mes7[[#This Row],[CUIT]],Lista_CUIT[#All],3,0)),"CUIT NO CARGADO")</f>
        <v>0</v>
      </c>
      <c r="R94" s="464">
        <f>IFERROR(IF(compras_mes7[[#This Row],[CUIT]]="","-",VLOOKUP(compras_mes7[[#This Row],[CUIT]],Lista_CUIT[#All],4,0)),"CUIT NO CARGADO")</f>
        <v>0</v>
      </c>
      <c r="S94"/>
      <c r="T94" s="128"/>
    </row>
    <row r="95" spans="1:20" x14ac:dyDescent="0.3">
      <c r="B95" s="456">
        <v>45117</v>
      </c>
      <c r="C95" s="457">
        <v>1</v>
      </c>
      <c r="D95" s="458">
        <v>7</v>
      </c>
      <c r="E95" s="506">
        <v>9440</v>
      </c>
      <c r="F95" s="459">
        <v>30708017759</v>
      </c>
      <c r="G95" s="460" t="str">
        <f>IFERROR(IF(compras_mes7[[#This Row],[CUIT]]="","-",VLOOKUP(compras_mes7[[#This Row],[CUIT]],Lista_CUIT[#All],2,0)),"CUIT NO CARGADO")</f>
        <v>NEW  HIGH PACK  SA</v>
      </c>
      <c r="H95" s="461">
        <v>553140</v>
      </c>
      <c r="I95" s="462">
        <f>IF(compras_mes7[[#This Row],[NETO GRAVADO]]="","",compras_mes7[[#This Row],[NETO GRAVADO]]*0.21)</f>
        <v>116159.4</v>
      </c>
      <c r="J95" s="462"/>
      <c r="K95" s="462"/>
      <c r="L95" s="462"/>
      <c r="M95" s="462"/>
      <c r="N95" s="462">
        <v>33188.400000000001</v>
      </c>
      <c r="O95" s="462"/>
      <c r="P95" s="463">
        <f>SUM(compras_mes7[[#This Row],[NETO GRAVADO]:[Otros / No Grav.]])</f>
        <v>702487.8</v>
      </c>
      <c r="Q95" s="464">
        <f>IFERROR(IF(compras_mes7[[#This Row],[CUIT]]="","-",VLOOKUP(compras_mes7[[#This Row],[CUIT]],Lista_CUIT[#All],3,0)),"CUIT NO CARGADO")</f>
        <v>0</v>
      </c>
      <c r="R95" s="464">
        <f>IFERROR(IF(compras_mes7[[#This Row],[CUIT]]="","-",VLOOKUP(compras_mes7[[#This Row],[CUIT]],Lista_CUIT[#All],4,0)),"CUIT NO CARGADO")</f>
        <v>0</v>
      </c>
      <c r="T95" s="128"/>
    </row>
    <row r="96" spans="1:20" s="510" customFormat="1" x14ac:dyDescent="0.3">
      <c r="A96"/>
      <c r="B96" s="456">
        <v>45124</v>
      </c>
      <c r="C96" s="457">
        <v>1</v>
      </c>
      <c r="D96" s="458">
        <v>20</v>
      </c>
      <c r="E96" s="506">
        <v>9454</v>
      </c>
      <c r="F96" s="459">
        <v>30515800219</v>
      </c>
      <c r="G96" s="460" t="str">
        <f>IFERROR(IF(compras_mes7[[#This Row],[CUIT]]="","-",VLOOKUP(compras_mes7[[#This Row],[CUIT]],Lista_CUIT[#All],2,0)),"CUIT NO CARGADO")</f>
        <v>INCAT SRL</v>
      </c>
      <c r="H96" s="461">
        <v>816.76</v>
      </c>
      <c r="I96" s="462">
        <f>IF(compras_mes7[[#This Row],[NETO GRAVADO]]="","",compras_mes7[[#This Row],[NETO GRAVADO]]*0.21)</f>
        <v>171.5196</v>
      </c>
      <c r="J96" s="462"/>
      <c r="K96" s="462"/>
      <c r="L96" s="462"/>
      <c r="M96" s="462"/>
      <c r="N96" s="462"/>
      <c r="O96" s="462">
        <v>11.71</v>
      </c>
      <c r="P96" s="463">
        <f>SUM(compras_mes7[[#This Row],[NETO GRAVADO]:[Otros / No Grav.]])</f>
        <v>999.9896</v>
      </c>
      <c r="Q96" s="464" t="str">
        <f>IFERROR(IF(compras_mes7[[#This Row],[CUIT]]="","-",VLOOKUP(compras_mes7[[#This Row],[CUIT]],Lista_CUIT[#All],3,0)),"CUIT NO CARGADO")</f>
        <v>Combustibe</v>
      </c>
      <c r="R96" s="464" t="str">
        <f>IFERROR(IF(compras_mes7[[#This Row],[CUIT]]="","-",VLOOKUP(compras_mes7[[#This Row],[CUIT]],Lista_CUIT[#All],4,0)),"CUIT NO CARGADO")</f>
        <v>CABA</v>
      </c>
      <c r="S96"/>
      <c r="T96" s="128"/>
    </row>
    <row r="97" spans="1:20" s="510" customFormat="1" x14ac:dyDescent="0.3">
      <c r="A97"/>
      <c r="B97" s="456">
        <v>45125</v>
      </c>
      <c r="C97" s="457">
        <v>1</v>
      </c>
      <c r="D97" s="458">
        <v>20</v>
      </c>
      <c r="E97" s="506">
        <v>9466</v>
      </c>
      <c r="F97" s="459">
        <v>30515800219</v>
      </c>
      <c r="G97" s="460" t="str">
        <f>IFERROR(IF(compras_mes7[[#This Row],[CUIT]]="","-",VLOOKUP(compras_mes7[[#This Row],[CUIT]],Lista_CUIT[#All],2,0)),"CUIT NO CARGADO")</f>
        <v>INCAT SRL</v>
      </c>
      <c r="H97" s="461">
        <v>816.76</v>
      </c>
      <c r="I97" s="462">
        <f>IF(compras_mes7[[#This Row],[NETO GRAVADO]]="","",compras_mes7[[#This Row],[NETO GRAVADO]]*0.21)</f>
        <v>171.5196</v>
      </c>
      <c r="J97" s="462"/>
      <c r="K97" s="462"/>
      <c r="L97" s="462"/>
      <c r="M97" s="462"/>
      <c r="N97" s="462"/>
      <c r="O97" s="462">
        <v>11.71</v>
      </c>
      <c r="P97" s="463">
        <f>SUM(compras_mes7[[#This Row],[NETO GRAVADO]:[Otros / No Grav.]])</f>
        <v>999.9896</v>
      </c>
      <c r="Q97" s="464" t="str">
        <f>IFERROR(IF(compras_mes7[[#This Row],[CUIT]]="","-",VLOOKUP(compras_mes7[[#This Row],[CUIT]],Lista_CUIT[#All],3,0)),"CUIT NO CARGADO")</f>
        <v>Combustibe</v>
      </c>
      <c r="R97" s="464" t="str">
        <f>IFERROR(IF(compras_mes7[[#This Row],[CUIT]]="","-",VLOOKUP(compras_mes7[[#This Row],[CUIT]],Lista_CUIT[#All],4,0)),"CUIT NO CARGADO")</f>
        <v>CABA</v>
      </c>
      <c r="S97"/>
      <c r="T97" s="128"/>
    </row>
    <row r="98" spans="1:20" s="510" customFormat="1" x14ac:dyDescent="0.3">
      <c r="A98"/>
      <c r="B98" s="456">
        <v>45119</v>
      </c>
      <c r="C98" s="457">
        <v>1</v>
      </c>
      <c r="D98" s="458">
        <v>7</v>
      </c>
      <c r="E98" s="506">
        <v>9474</v>
      </c>
      <c r="F98" s="459">
        <v>30708017759</v>
      </c>
      <c r="G98" s="460" t="str">
        <f>IFERROR(IF(compras_mes7[[#This Row],[CUIT]]="","-",VLOOKUP(compras_mes7[[#This Row],[CUIT]],Lista_CUIT[#All],2,0)),"CUIT NO CARGADO")</f>
        <v>NEW  HIGH PACK  SA</v>
      </c>
      <c r="H98" s="461">
        <v>1145390.3999999999</v>
      </c>
      <c r="I98" s="462">
        <f>IF(compras_mes7[[#This Row],[NETO GRAVADO]]="","",compras_mes7[[#This Row],[NETO GRAVADO]]*0.21)</f>
        <v>240531.98399999997</v>
      </c>
      <c r="J98" s="462"/>
      <c r="K98" s="462"/>
      <c r="L98" s="462"/>
      <c r="M98" s="462"/>
      <c r="N98" s="462">
        <v>68723.42</v>
      </c>
      <c r="O98" s="462"/>
      <c r="P98" s="463">
        <f>SUM(compras_mes7[[#This Row],[NETO GRAVADO]:[Otros / No Grav.]])</f>
        <v>1454645.8039999998</v>
      </c>
      <c r="Q98" s="464">
        <f>IFERROR(IF(compras_mes7[[#This Row],[CUIT]]="","-",VLOOKUP(compras_mes7[[#This Row],[CUIT]],Lista_CUIT[#All],3,0)),"CUIT NO CARGADO")</f>
        <v>0</v>
      </c>
      <c r="R98" s="464">
        <f>IFERROR(IF(compras_mes7[[#This Row],[CUIT]]="","-",VLOOKUP(compras_mes7[[#This Row],[CUIT]],Lista_CUIT[#All],4,0)),"CUIT NO CARGADO")</f>
        <v>0</v>
      </c>
      <c r="S98"/>
      <c r="T98" s="128"/>
    </row>
    <row r="99" spans="1:20" s="508" customFormat="1" x14ac:dyDescent="0.3">
      <c r="A99"/>
      <c r="B99" s="486">
        <v>45135</v>
      </c>
      <c r="C99" s="494">
        <v>1</v>
      </c>
      <c r="D99" s="487">
        <v>1002</v>
      </c>
      <c r="E99" s="488">
        <v>9671</v>
      </c>
      <c r="F99" s="476">
        <v>30712289046</v>
      </c>
      <c r="G99" s="489" t="str">
        <f>IFERROR(IF(compras_mes7[[#This Row],[CUIT]]="","-",VLOOKUP(compras_mes7[[#This Row],[CUIT]],Lista_CUIT[#All],2,0)),"CUIT NO CARGADO")</f>
        <v>IMPIERI PIÑEIRO RIZZO Y ASOC SA</v>
      </c>
      <c r="H99" s="490">
        <v>3659.06</v>
      </c>
      <c r="I99" s="491">
        <f>IF(compras_mes7[[#This Row],[NETO GRAVADO]]="","",compras_mes7[[#This Row],[NETO GRAVADO]]*0.21)</f>
        <v>768.40260000000001</v>
      </c>
      <c r="J99" s="491"/>
      <c r="K99" s="491"/>
      <c r="L99" s="491"/>
      <c r="M99" s="491"/>
      <c r="N99" s="491"/>
      <c r="O99" s="491">
        <v>572.47</v>
      </c>
      <c r="P99" s="492">
        <f>SUM(compras_mes7[[#This Row],[NETO GRAVADO]:[Otros / No Grav.]])</f>
        <v>4999.9326000000001</v>
      </c>
      <c r="Q99" s="493">
        <f>IFERROR(IF(compras_mes7[[#This Row],[CUIT]]="","-",VLOOKUP(compras_mes7[[#This Row],[CUIT]],Lista_CUIT[#All],3,0)),"CUIT NO CARGADO")</f>
        <v>0</v>
      </c>
      <c r="R99" s="493">
        <f>IFERROR(IF(compras_mes7[[#This Row],[CUIT]]="","-",VLOOKUP(compras_mes7[[#This Row],[CUIT]],Lista_CUIT[#All],4,0)),"CUIT NO CARGADO")</f>
        <v>0</v>
      </c>
      <c r="S99"/>
      <c r="T99" s="128"/>
    </row>
    <row r="100" spans="1:20" x14ac:dyDescent="0.3">
      <c r="B100" s="456">
        <v>45133</v>
      </c>
      <c r="C100" s="457">
        <v>1</v>
      </c>
      <c r="D100" s="458">
        <v>6854</v>
      </c>
      <c r="E100" s="506">
        <v>10445</v>
      </c>
      <c r="F100" s="459">
        <v>30678774495</v>
      </c>
      <c r="G100" s="460" t="str">
        <f>IFERROR(IF(compras_mes7[[#This Row],[CUIT]]="","-",VLOOKUP(compras_mes7[[#This Row],[CUIT]],Lista_CUIT[#All],2,0)),"CUIT NO CARGADO")</f>
        <v>OPER. DE EST. DE SERV. SA</v>
      </c>
      <c r="H100" s="461">
        <v>1470.24</v>
      </c>
      <c r="I100" s="462">
        <f>IF(compras_mes7[[#This Row],[NETO GRAVADO]]="","",compras_mes7[[#This Row],[NETO GRAVADO]]*0.21)</f>
        <v>308.75040000000001</v>
      </c>
      <c r="J100" s="462"/>
      <c r="K100" s="462"/>
      <c r="L100" s="462"/>
      <c r="M100" s="462"/>
      <c r="N100" s="462"/>
      <c r="O100" s="462">
        <v>221.01</v>
      </c>
      <c r="P100" s="463">
        <f>SUM(compras_mes7[[#This Row],[NETO GRAVADO]:[Otros / No Grav.]])</f>
        <v>2000.0004000000001</v>
      </c>
      <c r="Q100" s="464" t="str">
        <f>IFERROR(IF(compras_mes7[[#This Row],[CUIT]]="","-",VLOOKUP(compras_mes7[[#This Row],[CUIT]],Lista_CUIT[#All],3,0)),"CUIT NO CARGADO")</f>
        <v>Combustibe</v>
      </c>
      <c r="R100" s="464">
        <f>IFERROR(IF(compras_mes7[[#This Row],[CUIT]]="","-",VLOOKUP(compras_mes7[[#This Row],[CUIT]],Lista_CUIT[#All],4,0)),"CUIT NO CARGADO")</f>
        <v>0</v>
      </c>
      <c r="T100" s="128"/>
    </row>
    <row r="101" spans="1:20" x14ac:dyDescent="0.3">
      <c r="B101" s="456">
        <v>45115</v>
      </c>
      <c r="C101" s="457">
        <v>1</v>
      </c>
      <c r="D101" s="458">
        <v>15</v>
      </c>
      <c r="E101" s="506">
        <v>10981</v>
      </c>
      <c r="F101" s="459">
        <v>30714120405</v>
      </c>
      <c r="G101" s="460" t="str">
        <f>IFERROR(IF(compras_mes7[[#This Row],[CUIT]]="","-",VLOOKUP(compras_mes7[[#This Row],[CUIT]],Lista_CUIT[#All],2,0)),"CUIT NO CARGADO")</f>
        <v>WITPEL S.R.L.</v>
      </c>
      <c r="H101" s="461">
        <v>18388.43</v>
      </c>
      <c r="I101" s="462">
        <f>IF(compras_mes7[[#This Row],[NETO GRAVADO]]="","",compras_mes7[[#This Row],[NETO GRAVADO]]*0.21)</f>
        <v>3861.5702999999999</v>
      </c>
      <c r="J101" s="462"/>
      <c r="K101" s="462"/>
      <c r="L101" s="462"/>
      <c r="M101" s="462"/>
      <c r="N101" s="462"/>
      <c r="O101" s="462"/>
      <c r="P101" s="463">
        <f>SUM(compras_mes7[[#This Row],[NETO GRAVADO]:[Otros / No Grav.]])</f>
        <v>22250.0003</v>
      </c>
      <c r="Q101" s="464">
        <f>IFERROR(IF(compras_mes7[[#This Row],[CUIT]]="","-",VLOOKUP(compras_mes7[[#This Row],[CUIT]],Lista_CUIT[#All],3,0)),"CUIT NO CARGADO")</f>
        <v>0</v>
      </c>
      <c r="R101" s="464">
        <f>IFERROR(IF(compras_mes7[[#This Row],[CUIT]]="","-",VLOOKUP(compras_mes7[[#This Row],[CUIT]],Lista_CUIT[#All],4,0)),"CUIT NO CARGADO")</f>
        <v>0</v>
      </c>
      <c r="T101" s="128"/>
    </row>
    <row r="102" spans="1:20" x14ac:dyDescent="0.3">
      <c r="B102" s="486">
        <v>45115</v>
      </c>
      <c r="C102" s="494">
        <v>1</v>
      </c>
      <c r="D102" s="487">
        <v>15</v>
      </c>
      <c r="E102" s="488">
        <v>10982</v>
      </c>
      <c r="F102" s="476">
        <v>30714120405</v>
      </c>
      <c r="G102" s="489" t="str">
        <f>IFERROR(IF(compras_mes7[[#This Row],[CUIT]]="","-",VLOOKUP(compras_mes7[[#This Row],[CUIT]],Lista_CUIT[#All],2,0)),"CUIT NO CARGADO")</f>
        <v>WITPEL S.R.L.</v>
      </c>
      <c r="H102" s="490">
        <v>18388.43</v>
      </c>
      <c r="I102" s="491">
        <f>IF(compras_mes7[[#This Row],[NETO GRAVADO]]="","",compras_mes7[[#This Row],[NETO GRAVADO]]*0.21)</f>
        <v>3861.5702999999999</v>
      </c>
      <c r="J102" s="491"/>
      <c r="K102" s="491"/>
      <c r="L102" s="491"/>
      <c r="M102" s="491"/>
      <c r="N102" s="491"/>
      <c r="O102" s="491"/>
      <c r="P102" s="492">
        <f>SUM(compras_mes7[[#This Row],[NETO GRAVADO]:[Otros / No Grav.]])</f>
        <v>22250.0003</v>
      </c>
      <c r="Q102" s="493">
        <f>IFERROR(IF(compras_mes7[[#This Row],[CUIT]]="","-",VLOOKUP(compras_mes7[[#This Row],[CUIT]],Lista_CUIT[#All],3,0)),"CUIT NO CARGADO")</f>
        <v>0</v>
      </c>
      <c r="R102" s="493">
        <f>IFERROR(IF(compras_mes7[[#This Row],[CUIT]]="","-",VLOOKUP(compras_mes7[[#This Row],[CUIT]],Lista_CUIT[#All],4,0)),"CUIT NO CARGADO")</f>
        <v>0</v>
      </c>
      <c r="T102" s="128"/>
    </row>
    <row r="103" spans="1:20" x14ac:dyDescent="0.3">
      <c r="B103" s="456">
        <v>45115</v>
      </c>
      <c r="C103" s="457">
        <v>1</v>
      </c>
      <c r="D103" s="458">
        <v>15</v>
      </c>
      <c r="E103" s="506">
        <v>10983</v>
      </c>
      <c r="F103" s="459">
        <v>30714120405</v>
      </c>
      <c r="G103" s="460" t="str">
        <f>IFERROR(IF(compras_mes7[[#This Row],[CUIT]]="","-",VLOOKUP(compras_mes7[[#This Row],[CUIT]],Lista_CUIT[#All],2,0)),"CUIT NO CARGADO")</f>
        <v>WITPEL S.R.L.</v>
      </c>
      <c r="H103" s="461">
        <v>18388.43</v>
      </c>
      <c r="I103" s="462">
        <f>IF(compras_mes7[[#This Row],[NETO GRAVADO]]="","",compras_mes7[[#This Row],[NETO GRAVADO]]*0.21)</f>
        <v>3861.5702999999999</v>
      </c>
      <c r="J103" s="462"/>
      <c r="K103" s="462"/>
      <c r="L103" s="462"/>
      <c r="M103" s="462"/>
      <c r="N103" s="462"/>
      <c r="O103" s="462"/>
      <c r="P103" s="463">
        <f>SUM(compras_mes7[[#This Row],[NETO GRAVADO]:[Otros / No Grav.]])</f>
        <v>22250.0003</v>
      </c>
      <c r="Q103" s="464">
        <f>IFERROR(IF(compras_mes7[[#This Row],[CUIT]]="","-",VLOOKUP(compras_mes7[[#This Row],[CUIT]],Lista_CUIT[#All],3,0)),"CUIT NO CARGADO")</f>
        <v>0</v>
      </c>
      <c r="R103" s="464">
        <f>IFERROR(IF(compras_mes7[[#This Row],[CUIT]]="","-",VLOOKUP(compras_mes7[[#This Row],[CUIT]],Lista_CUIT[#All],4,0)),"CUIT NO CARGADO")</f>
        <v>0</v>
      </c>
      <c r="T103" s="128"/>
    </row>
    <row r="104" spans="1:20" x14ac:dyDescent="0.3">
      <c r="B104" s="486">
        <v>45129</v>
      </c>
      <c r="C104" s="494">
        <v>1</v>
      </c>
      <c r="D104" s="487">
        <v>7154</v>
      </c>
      <c r="E104" s="488">
        <v>15086</v>
      </c>
      <c r="F104" s="476">
        <v>30678774495</v>
      </c>
      <c r="G104" s="489" t="str">
        <f>IFERROR(IF(compras_mes7[[#This Row],[CUIT]]="","-",VLOOKUP(compras_mes7[[#This Row],[CUIT]],Lista_CUIT[#All],2,0)),"CUIT NO CARGADO")</f>
        <v>OPER. DE EST. DE SERV. SA</v>
      </c>
      <c r="H104" s="490">
        <v>6037.16</v>
      </c>
      <c r="I104" s="491">
        <f>IF(compras_mes7[[#This Row],[NETO GRAVADO]]="","",compras_mes7[[#This Row],[NETO GRAVADO]]*0.21)</f>
        <v>1267.8036</v>
      </c>
      <c r="J104" s="491"/>
      <c r="K104" s="491"/>
      <c r="L104" s="491"/>
      <c r="M104" s="491"/>
      <c r="N104" s="491"/>
      <c r="O104" s="491">
        <v>895.53</v>
      </c>
      <c r="P104" s="492">
        <f>SUM(compras_mes7[[#This Row],[NETO GRAVADO]:[Otros / No Grav.]])</f>
        <v>8200.4935999999998</v>
      </c>
      <c r="Q104" s="493" t="str">
        <f>IFERROR(IF(compras_mes7[[#This Row],[CUIT]]="","-",VLOOKUP(compras_mes7[[#This Row],[CUIT]],Lista_CUIT[#All],3,0)),"CUIT NO CARGADO")</f>
        <v>Combustibe</v>
      </c>
      <c r="R104" s="493">
        <f>IFERROR(IF(compras_mes7[[#This Row],[CUIT]]="","-",VLOOKUP(compras_mes7[[#This Row],[CUIT]],Lista_CUIT[#All],4,0)),"CUIT NO CARGADO")</f>
        <v>0</v>
      </c>
      <c r="T104" s="128"/>
    </row>
    <row r="105" spans="1:20" x14ac:dyDescent="0.3">
      <c r="B105" s="456">
        <v>45110</v>
      </c>
      <c r="C105" s="457">
        <v>1</v>
      </c>
      <c r="D105" s="458">
        <v>6850</v>
      </c>
      <c r="E105" s="506">
        <v>15561</v>
      </c>
      <c r="F105" s="459">
        <v>30678774495</v>
      </c>
      <c r="G105" s="460" t="str">
        <f>IFERROR(IF(compras_mes7[[#This Row],[CUIT]]="","-",VLOOKUP(compras_mes7[[#This Row],[CUIT]],Lista_CUIT[#All],2,0)),"CUIT NO CARGADO")</f>
        <v>OPER. DE EST. DE SERV. SA</v>
      </c>
      <c r="H105" s="461">
        <v>5579.46</v>
      </c>
      <c r="I105" s="462">
        <f>IF(compras_mes7[[#This Row],[NETO GRAVADO]]="","",compras_mes7[[#This Row],[NETO GRAVADO]]*0.21)</f>
        <v>1171.6866</v>
      </c>
      <c r="J105" s="462"/>
      <c r="K105" s="462"/>
      <c r="L105" s="462"/>
      <c r="M105" s="462"/>
      <c r="N105" s="462"/>
      <c r="O105" s="462">
        <v>848.95</v>
      </c>
      <c r="P105" s="463">
        <f>SUM(compras_mes7[[#This Row],[NETO GRAVADO]:[Otros / No Grav.]])</f>
        <v>7600.0965999999999</v>
      </c>
      <c r="Q105" s="464" t="str">
        <f>IFERROR(IF(compras_mes7[[#This Row],[CUIT]]="","-",VLOOKUP(compras_mes7[[#This Row],[CUIT]],Lista_CUIT[#All],3,0)),"CUIT NO CARGADO")</f>
        <v>Combustibe</v>
      </c>
      <c r="R105" s="464">
        <f>IFERROR(IF(compras_mes7[[#This Row],[CUIT]]="","-",VLOOKUP(compras_mes7[[#This Row],[CUIT]],Lista_CUIT[#All],4,0)),"CUIT NO CARGADO")</f>
        <v>0</v>
      </c>
      <c r="T105" s="128"/>
    </row>
    <row r="106" spans="1:20" x14ac:dyDescent="0.3">
      <c r="B106" s="456">
        <v>45110</v>
      </c>
      <c r="C106" s="457">
        <v>1</v>
      </c>
      <c r="D106" s="458">
        <v>6850</v>
      </c>
      <c r="E106" s="506">
        <v>15581</v>
      </c>
      <c r="F106" s="459">
        <v>30678774495</v>
      </c>
      <c r="G106" s="460" t="str">
        <f>IFERROR(IF(compras_mes7[[#This Row],[CUIT]]="","-",VLOOKUP(compras_mes7[[#This Row],[CUIT]],Lista_CUIT[#All],2,0)),"CUIT NO CARGADO")</f>
        <v>OPER. DE EST. DE SERV. SA</v>
      </c>
      <c r="H106" s="461">
        <v>1468.26</v>
      </c>
      <c r="I106" s="462">
        <f>IF(compras_mes7[[#This Row],[NETO GRAVADO]]="","",compras_mes7[[#This Row],[NETO GRAVADO]]*0.21)</f>
        <v>308.33459999999997</v>
      </c>
      <c r="J106" s="462"/>
      <c r="K106" s="462"/>
      <c r="L106" s="462"/>
      <c r="M106" s="462"/>
      <c r="N106" s="462"/>
      <c r="O106" s="462">
        <v>223.41</v>
      </c>
      <c r="P106" s="463">
        <f>SUM(compras_mes7[[#This Row],[NETO GRAVADO]:[Otros / No Grav.]])</f>
        <v>2000.0046</v>
      </c>
      <c r="Q106" s="464" t="str">
        <f>IFERROR(IF(compras_mes7[[#This Row],[CUIT]]="","-",VLOOKUP(compras_mes7[[#This Row],[CUIT]],Lista_CUIT[#All],3,0)),"CUIT NO CARGADO")</f>
        <v>Combustibe</v>
      </c>
      <c r="R106" s="464">
        <f>IFERROR(IF(compras_mes7[[#This Row],[CUIT]]="","-",VLOOKUP(compras_mes7[[#This Row],[CUIT]],Lista_CUIT[#All],4,0)),"CUIT NO CARGADO")</f>
        <v>0</v>
      </c>
      <c r="T106" s="128"/>
    </row>
    <row r="107" spans="1:20" x14ac:dyDescent="0.3">
      <c r="B107" s="456">
        <v>45124</v>
      </c>
      <c r="C107" s="457">
        <v>1</v>
      </c>
      <c r="D107" s="458">
        <v>6</v>
      </c>
      <c r="E107" s="506">
        <v>16932</v>
      </c>
      <c r="F107" s="459">
        <v>30715819461</v>
      </c>
      <c r="G107" s="460" t="str">
        <f>IFERROR(IF(compras_mes7[[#This Row],[CUIT]]="","-",VLOOKUP(compras_mes7[[#This Row],[CUIT]],Lista_CUIT[#All],2,0)),"CUIT NO CARGADO")</f>
        <v>DISTRI AIRES S.R.L</v>
      </c>
      <c r="H107" s="461">
        <v>10424.790000000001</v>
      </c>
      <c r="I107" s="462">
        <f>IF(compras_mes7[[#This Row],[NETO GRAVADO]]="","",compras_mes7[[#This Row],[NETO GRAVADO]]*0.21)</f>
        <v>2189.2058999999999</v>
      </c>
      <c r="J107" s="462"/>
      <c r="K107" s="462"/>
      <c r="L107" s="462"/>
      <c r="M107" s="462"/>
      <c r="N107" s="462"/>
      <c r="O107" s="462"/>
      <c r="P107" s="463">
        <f>SUM(compras_mes7[[#This Row],[NETO GRAVADO]:[Otros / No Grav.]])</f>
        <v>12613.995900000002</v>
      </c>
      <c r="Q107" s="464">
        <f>IFERROR(IF(compras_mes7[[#This Row],[CUIT]]="","-",VLOOKUP(compras_mes7[[#This Row],[CUIT]],Lista_CUIT[#All],3,0)),"CUIT NO CARGADO")</f>
        <v>0</v>
      </c>
      <c r="R107" s="464">
        <f>IFERROR(IF(compras_mes7[[#This Row],[CUIT]]="","-",VLOOKUP(compras_mes7[[#This Row],[CUIT]],Lista_CUIT[#All],4,0)),"CUIT NO CARGADO")</f>
        <v>0</v>
      </c>
      <c r="T107" s="128"/>
    </row>
    <row r="108" spans="1:20" x14ac:dyDescent="0.3">
      <c r="B108" s="456">
        <v>45117</v>
      </c>
      <c r="C108" s="457">
        <v>1</v>
      </c>
      <c r="D108" s="458">
        <v>6852</v>
      </c>
      <c r="E108" s="506">
        <v>18092</v>
      </c>
      <c r="F108" s="459">
        <v>30678774495</v>
      </c>
      <c r="G108" s="460" t="str">
        <f>IFERROR(IF(compras_mes7[[#This Row],[CUIT]]="","-",VLOOKUP(compras_mes7[[#This Row],[CUIT]],Lista_CUIT[#All],2,0)),"CUIT NO CARGADO")</f>
        <v>OPER. DE EST. DE SERV. SA</v>
      </c>
      <c r="H108" s="461">
        <v>1476.19</v>
      </c>
      <c r="I108" s="462">
        <f>IF(compras_mes7[[#This Row],[NETO GRAVADO]]="","",compras_mes7[[#This Row],[NETO GRAVADO]]*0.21)</f>
        <v>309.99990000000003</v>
      </c>
      <c r="J108" s="462"/>
      <c r="K108" s="462"/>
      <c r="L108" s="462"/>
      <c r="M108" s="462"/>
      <c r="N108" s="462"/>
      <c r="O108" s="462">
        <v>213.81</v>
      </c>
      <c r="P108" s="463">
        <f>SUM(compras_mes7[[#This Row],[NETO GRAVADO]:[Otros / No Grav.]])</f>
        <v>1999.9999</v>
      </c>
      <c r="Q108" s="464" t="str">
        <f>IFERROR(IF(compras_mes7[[#This Row],[CUIT]]="","-",VLOOKUP(compras_mes7[[#This Row],[CUIT]],Lista_CUIT[#All],3,0)),"CUIT NO CARGADO")</f>
        <v>Combustibe</v>
      </c>
      <c r="R108" s="464">
        <f>IFERROR(IF(compras_mes7[[#This Row],[CUIT]]="","-",VLOOKUP(compras_mes7[[#This Row],[CUIT]],Lista_CUIT[#All],4,0)),"CUIT NO CARGADO")</f>
        <v>0</v>
      </c>
      <c r="T108" s="128"/>
    </row>
    <row r="109" spans="1:20" x14ac:dyDescent="0.3">
      <c r="B109" s="456">
        <v>45111</v>
      </c>
      <c r="C109" s="457">
        <v>1</v>
      </c>
      <c r="D109" s="458">
        <v>4</v>
      </c>
      <c r="E109" s="506">
        <v>19236</v>
      </c>
      <c r="F109" s="459">
        <v>30710688180</v>
      </c>
      <c r="G109" s="460" t="str">
        <f>IFERROR(IF(compras_mes7[[#This Row],[CUIT]]="","-",VLOOKUP(compras_mes7[[#This Row],[CUIT]],Lista_CUIT[#All],2,0)),"CUIT NO CARGADO")</f>
        <v>DALTOSUR S.R.L.</v>
      </c>
      <c r="H109" s="461">
        <v>333206.8</v>
      </c>
      <c r="I109" s="462">
        <f>IF(compras_mes7[[#This Row],[NETO GRAVADO]]="","",compras_mes7[[#This Row],[NETO GRAVADO]]*0.21)</f>
        <v>69973.428</v>
      </c>
      <c r="J109" s="462"/>
      <c r="K109" s="462"/>
      <c r="L109" s="462"/>
      <c r="M109" s="462"/>
      <c r="N109" s="462">
        <v>19992.407999999999</v>
      </c>
      <c r="O109" s="462"/>
      <c r="P109" s="463">
        <f>SUM(compras_mes7[[#This Row],[NETO GRAVADO]:[Otros / No Grav.]])</f>
        <v>423172.636</v>
      </c>
      <c r="Q109" s="464">
        <f>IFERROR(IF(compras_mes7[[#This Row],[CUIT]]="","-",VLOOKUP(compras_mes7[[#This Row],[CUIT]],Lista_CUIT[#All],3,0)),"CUIT NO CARGADO")</f>
        <v>0</v>
      </c>
      <c r="R109" s="464">
        <f>IFERROR(IF(compras_mes7[[#This Row],[CUIT]]="","-",VLOOKUP(compras_mes7[[#This Row],[CUIT]],Lista_CUIT[#All],4,0)),"CUIT NO CARGADO")</f>
        <v>0</v>
      </c>
      <c r="T109" s="128"/>
    </row>
    <row r="110" spans="1:20" s="508" customFormat="1" x14ac:dyDescent="0.3">
      <c r="A110"/>
      <c r="B110" s="456">
        <v>45126</v>
      </c>
      <c r="C110" s="457">
        <v>1</v>
      </c>
      <c r="D110" s="458">
        <v>5</v>
      </c>
      <c r="E110" s="506">
        <v>20198</v>
      </c>
      <c r="F110" s="459">
        <v>30616146447</v>
      </c>
      <c r="G110" s="460" t="str">
        <f>IFERROR(IF(compras_mes7[[#This Row],[CUIT]]="","-",VLOOKUP(compras_mes7[[#This Row],[CUIT]],Lista_CUIT[#All],2,0)),"CUIT NO CARGADO")</f>
        <v>EGEO SOCIEDAD DE RESPONSABILIDAD LIMITADA</v>
      </c>
      <c r="H110" s="461">
        <v>240000</v>
      </c>
      <c r="I110" s="462">
        <f>IF(compras_mes7[[#This Row],[NETO GRAVADO]]="","",compras_mes7[[#This Row],[NETO GRAVADO]]*0.21)</f>
        <v>50400</v>
      </c>
      <c r="J110" s="462"/>
      <c r="K110" s="462"/>
      <c r="L110" s="462"/>
      <c r="M110" s="462"/>
      <c r="N110" s="462"/>
      <c r="O110" s="462"/>
      <c r="P110" s="463">
        <f>SUM(compras_mes7[[#This Row],[NETO GRAVADO]:[Otros / No Grav.]])</f>
        <v>290400</v>
      </c>
      <c r="Q110" s="464">
        <f>IFERROR(IF(compras_mes7[[#This Row],[CUIT]]="","-",VLOOKUP(compras_mes7[[#This Row],[CUIT]],Lista_CUIT[#All],3,0)),"CUIT NO CARGADO")</f>
        <v>0</v>
      </c>
      <c r="R110" s="464">
        <f>IFERROR(IF(compras_mes7[[#This Row],[CUIT]]="","-",VLOOKUP(compras_mes7[[#This Row],[CUIT]],Lista_CUIT[#All],4,0)),"CUIT NO CARGADO")</f>
        <v>0</v>
      </c>
      <c r="S110"/>
      <c r="T110" s="128"/>
    </row>
    <row r="111" spans="1:20" s="510" customFormat="1" x14ac:dyDescent="0.3">
      <c r="A111"/>
      <c r="B111" s="456">
        <v>45128</v>
      </c>
      <c r="C111" s="457">
        <v>1</v>
      </c>
      <c r="D111" s="458">
        <v>5</v>
      </c>
      <c r="E111" s="506">
        <v>20210</v>
      </c>
      <c r="F111" s="459">
        <v>30616146447</v>
      </c>
      <c r="G111" s="460" t="str">
        <f>IFERROR(IF(compras_mes7[[#This Row],[CUIT]]="","-",VLOOKUP(compras_mes7[[#This Row],[CUIT]],Lista_CUIT[#All],2,0)),"CUIT NO CARGADO")</f>
        <v>EGEO SOCIEDAD DE RESPONSABILIDAD LIMITADA</v>
      </c>
      <c r="H111" s="461">
        <v>47500</v>
      </c>
      <c r="I111" s="462">
        <f>IF(compras_mes7[[#This Row],[NETO GRAVADO]]="","",compras_mes7[[#This Row],[NETO GRAVADO]]*0.21)</f>
        <v>9975</v>
      </c>
      <c r="J111" s="462"/>
      <c r="K111" s="462"/>
      <c r="L111" s="462"/>
      <c r="M111" s="462"/>
      <c r="N111" s="462"/>
      <c r="O111" s="462"/>
      <c r="P111" s="463">
        <f>SUM(compras_mes7[[#This Row],[NETO GRAVADO]:[Otros / No Grav.]])</f>
        <v>57475</v>
      </c>
      <c r="Q111" s="464">
        <f>IFERROR(IF(compras_mes7[[#This Row],[CUIT]]="","-",VLOOKUP(compras_mes7[[#This Row],[CUIT]],Lista_CUIT[#All],3,0)),"CUIT NO CARGADO")</f>
        <v>0</v>
      </c>
      <c r="R111" s="464">
        <f>IFERROR(IF(compras_mes7[[#This Row],[CUIT]]="","-",VLOOKUP(compras_mes7[[#This Row],[CUIT]],Lista_CUIT[#All],4,0)),"CUIT NO CARGADO")</f>
        <v>0</v>
      </c>
      <c r="S111"/>
      <c r="T111" s="128"/>
    </row>
    <row r="112" spans="1:20" x14ac:dyDescent="0.3">
      <c r="B112" s="456">
        <v>45127</v>
      </c>
      <c r="C112" s="457">
        <v>1</v>
      </c>
      <c r="D112" s="458">
        <v>1677</v>
      </c>
      <c r="E112" s="506">
        <v>20423</v>
      </c>
      <c r="F112" s="459">
        <v>30589621499</v>
      </c>
      <c r="G112" s="460" t="str">
        <f>IFERROR(IF(compras_mes7[[#This Row],[CUIT]]="","-",VLOOKUP(compras_mes7[[#This Row],[CUIT]],Lista_CUIT[#All],2,0)),"CUIT NO CARGADO")</f>
        <v>MAKRO SA</v>
      </c>
      <c r="H112" s="461">
        <v>44166.79</v>
      </c>
      <c r="I112" s="462">
        <v>8622.02</v>
      </c>
      <c r="J112" s="462"/>
      <c r="K112" s="462">
        <v>326.5</v>
      </c>
      <c r="L112" s="462">
        <f>1231.72+46.64</f>
        <v>1278.3600000000001</v>
      </c>
      <c r="M112" s="462"/>
      <c r="N112" s="462">
        <v>2650.01</v>
      </c>
      <c r="O112" s="462">
        <v>31.12</v>
      </c>
      <c r="P112" s="463">
        <f>SUM(compras_mes7[[#This Row],[NETO GRAVADO]:[Otros / No Grav.]])</f>
        <v>57074.8</v>
      </c>
      <c r="Q112" s="464">
        <f>IFERROR(IF(compras_mes7[[#This Row],[CUIT]]="","-",VLOOKUP(compras_mes7[[#This Row],[CUIT]],Lista_CUIT[#All],3,0)),"CUIT NO CARGADO")</f>
        <v>0</v>
      </c>
      <c r="R112" s="464">
        <f>IFERROR(IF(compras_mes7[[#This Row],[CUIT]]="","-",VLOOKUP(compras_mes7[[#This Row],[CUIT]],Lista_CUIT[#All],4,0)),"CUIT NO CARGADO")</f>
        <v>0</v>
      </c>
      <c r="T112" s="128"/>
    </row>
    <row r="113" spans="1:20" s="510" customFormat="1" x14ac:dyDescent="0.3">
      <c r="A113"/>
      <c r="B113" s="456">
        <v>45121</v>
      </c>
      <c r="C113" s="457">
        <v>1</v>
      </c>
      <c r="D113" s="458">
        <v>15</v>
      </c>
      <c r="E113" s="506">
        <v>20469</v>
      </c>
      <c r="F113" s="459">
        <v>30715239104</v>
      </c>
      <c r="G113" s="460" t="str">
        <f>IFERROR(IF(compras_mes7[[#This Row],[CUIT]]="","-",VLOOKUP(compras_mes7[[#This Row],[CUIT]],Lista_CUIT[#All],2,0)),"CUIT NO CARGADO")</f>
        <v>SASSON ALBERTO,SASSON MAURICIO ENRIQUE, SASSON EMILIA NADIA</v>
      </c>
      <c r="H113" s="461">
        <v>8008.26</v>
      </c>
      <c r="I113" s="462">
        <f>IF(compras_mes7[[#This Row],[NETO GRAVADO]]="","",compras_mes7[[#This Row],[NETO GRAVADO]]*0.21)</f>
        <v>1681.7346</v>
      </c>
      <c r="J113" s="462"/>
      <c r="K113" s="462"/>
      <c r="L113" s="462"/>
      <c r="M113" s="462"/>
      <c r="N113" s="462"/>
      <c r="O113" s="462"/>
      <c r="P113" s="463">
        <f>SUM(compras_mes7[[#This Row],[NETO GRAVADO]:[Otros / No Grav.]])</f>
        <v>9689.9946</v>
      </c>
      <c r="Q113" s="464">
        <f>IFERROR(IF(compras_mes7[[#This Row],[CUIT]]="","-",VLOOKUP(compras_mes7[[#This Row],[CUIT]],Lista_CUIT[#All],3,0)),"CUIT NO CARGADO")</f>
        <v>0</v>
      </c>
      <c r="R113" s="464">
        <f>IFERROR(IF(compras_mes7[[#This Row],[CUIT]]="","-",VLOOKUP(compras_mes7[[#This Row],[CUIT]],Lista_CUIT[#All],4,0)),"CUIT NO CARGADO")</f>
        <v>0</v>
      </c>
      <c r="S113"/>
      <c r="T113" s="128"/>
    </row>
    <row r="114" spans="1:20" s="510" customFormat="1" x14ac:dyDescent="0.3">
      <c r="A114"/>
      <c r="B114" s="456">
        <v>45132</v>
      </c>
      <c r="C114" s="41">
        <v>1</v>
      </c>
      <c r="D114" s="458">
        <v>18</v>
      </c>
      <c r="E114" s="506">
        <v>20803</v>
      </c>
      <c r="F114" s="459">
        <v>30515800219</v>
      </c>
      <c r="G114" s="460" t="str">
        <f>IFERROR(IF(compras_mes7[[#This Row],[CUIT]]="","-",VLOOKUP(compras_mes7[[#This Row],[CUIT]],Lista_CUIT[#All],2,0)),"CUIT NO CARGADO")</f>
        <v>INCAT SRL</v>
      </c>
      <c r="H114" s="461">
        <v>7165.57</v>
      </c>
      <c r="I114" s="462">
        <f>IF(compras_mes7[[#This Row],[NETO GRAVADO]]="","",compras_mes7[[#This Row],[NETO GRAVADO]]*0.21)</f>
        <v>1504.7696999999998</v>
      </c>
      <c r="J114" s="462"/>
      <c r="K114" s="462"/>
      <c r="L114" s="462"/>
      <c r="M114" s="462"/>
      <c r="N114" s="462"/>
      <c r="O114" s="462">
        <v>1216.3399999999999</v>
      </c>
      <c r="P114" s="463">
        <f>SUM(compras_mes7[[#This Row],[NETO GRAVADO]:[Otros / No Grav.]])</f>
        <v>9886.6797000000006</v>
      </c>
      <c r="Q114" s="464" t="str">
        <f>IFERROR(IF(compras_mes7[[#This Row],[CUIT]]="","-",VLOOKUP(compras_mes7[[#This Row],[CUIT]],Lista_CUIT[#All],3,0)),"CUIT NO CARGADO")</f>
        <v>Combustibe</v>
      </c>
      <c r="R114" s="464" t="str">
        <f>IFERROR(IF(compras_mes7[[#This Row],[CUIT]]="","-",VLOOKUP(compras_mes7[[#This Row],[CUIT]],Lista_CUIT[#All],4,0)),"CUIT NO CARGADO")</f>
        <v>CABA</v>
      </c>
      <c r="S114"/>
      <c r="T114" s="128"/>
    </row>
    <row r="115" spans="1:20" s="510" customFormat="1" x14ac:dyDescent="0.3">
      <c r="A115"/>
      <c r="B115" s="456">
        <v>45112</v>
      </c>
      <c r="C115" s="457">
        <v>1</v>
      </c>
      <c r="D115" s="458">
        <v>4</v>
      </c>
      <c r="E115" s="506">
        <v>21102</v>
      </c>
      <c r="F115" s="459">
        <v>30552433595</v>
      </c>
      <c r="G115" s="460" t="str">
        <f>IFERROR(IF(compras_mes7[[#This Row],[CUIT]]="","-",VLOOKUP(compras_mes7[[#This Row],[CUIT]],Lista_CUIT[#All],2,0)),"CUIT NO CARGADO")</f>
        <v>PIROPLAST SRL</v>
      </c>
      <c r="H115" s="461">
        <v>52099.199999999997</v>
      </c>
      <c r="I115" s="462">
        <f>IF(compras_mes7[[#This Row],[NETO GRAVADO]]="","",compras_mes7[[#This Row],[NETO GRAVADO]]*0.21)</f>
        <v>10940.831999999999</v>
      </c>
      <c r="J115" s="462"/>
      <c r="K115" s="462"/>
      <c r="L115" s="462"/>
      <c r="M115" s="462"/>
      <c r="N115" s="462"/>
      <c r="O115" s="462"/>
      <c r="P115" s="463">
        <f>SUM(compras_mes7[[#This Row],[NETO GRAVADO]:[Otros / No Grav.]])</f>
        <v>63040.031999999992</v>
      </c>
      <c r="Q115" s="464" t="str">
        <f>IFERROR(IF(compras_mes7[[#This Row],[CUIT]]="","-",VLOOKUP(compras_mes7[[#This Row],[CUIT]],Lista_CUIT[#All],3,0)),"CUIT NO CARGADO")</f>
        <v>Insumo</v>
      </c>
      <c r="R115" s="464">
        <f>IFERROR(IF(compras_mes7[[#This Row],[CUIT]]="","-",VLOOKUP(compras_mes7[[#This Row],[CUIT]],Lista_CUIT[#All],4,0)),"CUIT NO CARGADO")</f>
        <v>0</v>
      </c>
      <c r="S115"/>
      <c r="T115" s="128"/>
    </row>
    <row r="116" spans="1:20" x14ac:dyDescent="0.3">
      <c r="B116" s="456">
        <v>45114</v>
      </c>
      <c r="C116" s="457">
        <v>1</v>
      </c>
      <c r="D116" s="458">
        <v>6860</v>
      </c>
      <c r="E116" s="506">
        <v>21150</v>
      </c>
      <c r="F116" s="459">
        <v>30678774495</v>
      </c>
      <c r="G116" s="460" t="str">
        <f>IFERROR(IF(compras_mes7[[#This Row],[CUIT]]="","-",VLOOKUP(compras_mes7[[#This Row],[CUIT]],Lista_CUIT[#All],2,0)),"CUIT NO CARGADO")</f>
        <v>OPER. DE EST. DE SERV. SA</v>
      </c>
      <c r="H116" s="461">
        <v>7368.25</v>
      </c>
      <c r="I116" s="462">
        <f>IF(compras_mes7[[#This Row],[NETO GRAVADO]]="","",compras_mes7[[#This Row],[NETO GRAVADO]]*0.21)</f>
        <v>1547.3325</v>
      </c>
      <c r="J116" s="462"/>
      <c r="K116" s="462"/>
      <c r="L116" s="462"/>
      <c r="M116" s="462"/>
      <c r="N116" s="462"/>
      <c r="O116" s="462">
        <v>1085.33</v>
      </c>
      <c r="P116" s="463">
        <f>SUM(compras_mes7[[#This Row],[NETO GRAVADO]:[Otros / No Grav.]])</f>
        <v>10000.9125</v>
      </c>
      <c r="Q116" s="464" t="str">
        <f>IFERROR(IF(compras_mes7[[#This Row],[CUIT]]="","-",VLOOKUP(compras_mes7[[#This Row],[CUIT]],Lista_CUIT[#All],3,0)),"CUIT NO CARGADO")</f>
        <v>Combustibe</v>
      </c>
      <c r="R116" s="464">
        <f>IFERROR(IF(compras_mes7[[#This Row],[CUIT]]="","-",VLOOKUP(compras_mes7[[#This Row],[CUIT]],Lista_CUIT[#All],4,0)),"CUIT NO CARGADO")</f>
        <v>0</v>
      </c>
      <c r="T116" s="128"/>
    </row>
    <row r="117" spans="1:20" x14ac:dyDescent="0.3">
      <c r="B117" s="456">
        <v>45123</v>
      </c>
      <c r="C117" s="457">
        <v>1</v>
      </c>
      <c r="D117" s="458">
        <v>6860</v>
      </c>
      <c r="E117" s="506">
        <v>21368</v>
      </c>
      <c r="F117" s="459">
        <v>30678774495</v>
      </c>
      <c r="G117" s="460" t="str">
        <f>IFERROR(IF(compras_mes7[[#This Row],[CUIT]]="","-",VLOOKUP(compras_mes7[[#This Row],[CUIT]],Lista_CUIT[#All],2,0)),"CUIT NO CARGADO")</f>
        <v>OPER. DE EST. DE SERV. SA</v>
      </c>
      <c r="H117" s="461">
        <v>7852</v>
      </c>
      <c r="I117" s="462">
        <f>IF(compras_mes7[[#This Row],[NETO GRAVADO]]="","",compras_mes7[[#This Row],[NETO GRAVADO]]*0.21)</f>
        <v>1648.9199999999998</v>
      </c>
      <c r="J117" s="462"/>
      <c r="K117" s="462"/>
      <c r="L117" s="462"/>
      <c r="M117" s="462"/>
      <c r="N117" s="462"/>
      <c r="O117" s="462">
        <v>1100.97</v>
      </c>
      <c r="P117" s="463">
        <f>SUM(compras_mes7[[#This Row],[NETO GRAVADO]:[Otros / No Grav.]])</f>
        <v>10601.89</v>
      </c>
      <c r="Q117" s="464" t="str">
        <f>IFERROR(IF(compras_mes7[[#This Row],[CUIT]]="","-",VLOOKUP(compras_mes7[[#This Row],[CUIT]],Lista_CUIT[#All],3,0)),"CUIT NO CARGADO")</f>
        <v>Combustibe</v>
      </c>
      <c r="R117" s="464">
        <f>IFERROR(IF(compras_mes7[[#This Row],[CUIT]]="","-",VLOOKUP(compras_mes7[[#This Row],[CUIT]],Lista_CUIT[#All],4,0)),"CUIT NO CARGADO")</f>
        <v>0</v>
      </c>
      <c r="T117" s="128"/>
    </row>
    <row r="118" spans="1:20" s="508" customFormat="1" x14ac:dyDescent="0.3">
      <c r="A118"/>
      <c r="B118" s="456">
        <v>45110</v>
      </c>
      <c r="C118" s="457">
        <v>1</v>
      </c>
      <c r="D118" s="458">
        <v>11</v>
      </c>
      <c r="E118" s="506">
        <v>21732</v>
      </c>
      <c r="F118" s="459">
        <v>30696131003</v>
      </c>
      <c r="G118" s="460" t="str">
        <f>IFERROR(IF(compras_mes7[[#This Row],[CUIT]]="","-",VLOOKUP(compras_mes7[[#This Row],[CUIT]],Lista_CUIT[#All],2,0)),"CUIT NO CARGADO")</f>
        <v>Petrolfe S.A.</v>
      </c>
      <c r="H118" s="461">
        <v>1305.52</v>
      </c>
      <c r="I118" s="462">
        <f>IF(compras_mes7[[#This Row],[NETO GRAVADO]]="","",compras_mes7[[#This Row],[NETO GRAVADO]]*0.21)</f>
        <v>274.1592</v>
      </c>
      <c r="J118" s="462"/>
      <c r="K118" s="462"/>
      <c r="L118" s="462"/>
      <c r="M118" s="462"/>
      <c r="N118" s="462"/>
      <c r="O118" s="462">
        <v>224.26</v>
      </c>
      <c r="P118" s="463">
        <f>SUM(compras_mes7[[#This Row],[NETO GRAVADO]:[Otros / No Grav.]])</f>
        <v>1803.9392</v>
      </c>
      <c r="Q118" s="464" t="str">
        <f>IFERROR(IF(compras_mes7[[#This Row],[CUIT]]="","-",VLOOKUP(compras_mes7[[#This Row],[CUIT]],Lista_CUIT[#All],3,0)),"CUIT NO CARGADO")</f>
        <v>Combustible</v>
      </c>
      <c r="R118" s="464">
        <f>IFERROR(IF(compras_mes7[[#This Row],[CUIT]]="","-",VLOOKUP(compras_mes7[[#This Row],[CUIT]],Lista_CUIT[#All],4,0)),"CUIT NO CARGADO")</f>
        <v>0</v>
      </c>
      <c r="S118"/>
      <c r="T118" s="128"/>
    </row>
    <row r="119" spans="1:20" x14ac:dyDescent="0.3">
      <c r="B119" s="486">
        <v>45132</v>
      </c>
      <c r="C119" s="250">
        <v>1</v>
      </c>
      <c r="D119" s="487">
        <v>11</v>
      </c>
      <c r="E119" s="488">
        <v>22458</v>
      </c>
      <c r="F119" s="476">
        <v>30696131003</v>
      </c>
      <c r="G119" s="489" t="str">
        <f>IFERROR(IF(compras_mes7[[#This Row],[CUIT]]="","-",VLOOKUP(compras_mes7[[#This Row],[CUIT]],Lista_CUIT[#All],2,0)),"CUIT NO CARGADO")</f>
        <v>Petrolfe S.A.</v>
      </c>
      <c r="H119" s="490">
        <v>7083.86</v>
      </c>
      <c r="I119" s="491">
        <f>IF(compras_mes7[[#This Row],[NETO GRAVADO]]="","",compras_mes7[[#This Row],[NETO GRAVADO]]*0.21)</f>
        <v>1487.6106</v>
      </c>
      <c r="J119" s="491"/>
      <c r="K119" s="491"/>
      <c r="L119" s="491"/>
      <c r="M119" s="491"/>
      <c r="N119" s="491"/>
      <c r="O119" s="491">
        <v>657.83</v>
      </c>
      <c r="P119" s="492">
        <f>SUM(compras_mes7[[#This Row],[NETO GRAVADO]:[Otros / No Grav.]])</f>
        <v>9229.3006000000005</v>
      </c>
      <c r="Q119" s="493" t="str">
        <f>IFERROR(IF(compras_mes7[[#This Row],[CUIT]]="","-",VLOOKUP(compras_mes7[[#This Row],[CUIT]],Lista_CUIT[#All],3,0)),"CUIT NO CARGADO")</f>
        <v>Combustible</v>
      </c>
      <c r="R119" s="493">
        <f>IFERROR(IF(compras_mes7[[#This Row],[CUIT]]="","-",VLOOKUP(compras_mes7[[#This Row],[CUIT]],Lista_CUIT[#All],4,0)),"CUIT NO CARGADO")</f>
        <v>0</v>
      </c>
      <c r="T119" s="128"/>
    </row>
    <row r="120" spans="1:20" x14ac:dyDescent="0.3">
      <c r="B120" s="456">
        <v>45109</v>
      </c>
      <c r="C120" s="457">
        <v>1</v>
      </c>
      <c r="D120" s="458">
        <v>2199</v>
      </c>
      <c r="E120" s="506">
        <v>22887</v>
      </c>
      <c r="F120" s="459">
        <v>30548083156</v>
      </c>
      <c r="G120" s="460" t="str">
        <f>IFERROR(IF(compras_mes7[[#This Row],[CUIT]]="","-",VLOOKUP(compras_mes7[[#This Row],[CUIT]],Lista_CUIT[#All],2,0)),"CUIT NO CARGADO")</f>
        <v>COTO CENTRO INTEGRAL DE COMERCIALIZACION SOCIEDAD ANONIMA</v>
      </c>
      <c r="H120" s="461">
        <v>17919.16</v>
      </c>
      <c r="I120" s="462">
        <v>2482.08</v>
      </c>
      <c r="J120" s="462"/>
      <c r="K120" s="462">
        <v>640.47</v>
      </c>
      <c r="L120" s="462">
        <f>325.56+91.5</f>
        <v>417.06</v>
      </c>
      <c r="M120" s="462"/>
      <c r="N120" s="462">
        <v>790.06</v>
      </c>
      <c r="O120" s="462"/>
      <c r="P120" s="463">
        <f>SUM(compras_mes7[[#This Row],[NETO GRAVADO]:[Otros / No Grav.]])</f>
        <v>22248.83</v>
      </c>
      <c r="Q120" s="464" t="str">
        <f>IFERROR(IF(compras_mes7[[#This Row],[CUIT]]="","-",VLOOKUP(compras_mes7[[#This Row],[CUIT]],Lista_CUIT[#All],3,0)),"CUIT NO CARGADO")</f>
        <v>GASTOS COMERCIALES</v>
      </c>
      <c r="R120" s="464">
        <f>IFERROR(IF(compras_mes7[[#This Row],[CUIT]]="","-",VLOOKUP(compras_mes7[[#This Row],[CUIT]],Lista_CUIT[#All],4,0)),"CUIT NO CARGADO")</f>
        <v>0</v>
      </c>
    </row>
    <row r="121" spans="1:20" x14ac:dyDescent="0.3">
      <c r="B121" s="456">
        <v>45115</v>
      </c>
      <c r="C121" s="457">
        <v>1</v>
      </c>
      <c r="D121" s="458">
        <v>2199</v>
      </c>
      <c r="E121" s="506">
        <v>22983</v>
      </c>
      <c r="F121" s="459">
        <v>30548083156</v>
      </c>
      <c r="G121" s="460" t="str">
        <f>IFERROR(IF(compras_mes7[[#This Row],[CUIT]]="","-",VLOOKUP(compras_mes7[[#This Row],[CUIT]],Lista_CUIT[#All],2,0)),"CUIT NO CARGADO")</f>
        <v>COTO CENTRO INTEGRAL DE COMERCIALIZACION SOCIEDAD ANONIMA</v>
      </c>
      <c r="H121" s="461">
        <v>15737.54</v>
      </c>
      <c r="I121" s="462">
        <v>2432</v>
      </c>
      <c r="J121" s="462"/>
      <c r="K121" s="462">
        <v>436.44</v>
      </c>
      <c r="L121" s="462">
        <f>347.43+62.35</f>
        <v>409.78000000000003</v>
      </c>
      <c r="M121" s="462"/>
      <c r="N121" s="462">
        <v>808.72</v>
      </c>
      <c r="O121" s="462"/>
      <c r="P121" s="463">
        <f>SUM(compras_mes7[[#This Row],[NETO GRAVADO]:[Otros / No Grav.]])</f>
        <v>19824.48</v>
      </c>
      <c r="Q121" s="464" t="str">
        <f>IFERROR(IF(compras_mes7[[#This Row],[CUIT]]="","-",VLOOKUP(compras_mes7[[#This Row],[CUIT]],Lista_CUIT[#All],3,0)),"CUIT NO CARGADO")</f>
        <v>GASTOS COMERCIALES</v>
      </c>
      <c r="R121" s="464">
        <f>IFERROR(IF(compras_mes7[[#This Row],[CUIT]]="","-",VLOOKUP(compras_mes7[[#This Row],[CUIT]],Lista_CUIT[#All],4,0)),"CUIT NO CARGADO")</f>
        <v>0</v>
      </c>
    </row>
    <row r="122" spans="1:20" x14ac:dyDescent="0.3">
      <c r="B122" s="456">
        <v>45122</v>
      </c>
      <c r="C122" s="457">
        <v>1</v>
      </c>
      <c r="D122" s="458">
        <v>2199</v>
      </c>
      <c r="E122" s="506">
        <v>23103</v>
      </c>
      <c r="F122" s="459">
        <v>30548083156</v>
      </c>
      <c r="G122" s="460" t="str">
        <f>IFERROR(IF(compras_mes7[[#This Row],[CUIT]]="","-",VLOOKUP(compras_mes7[[#This Row],[CUIT]],Lista_CUIT[#All],2,0)),"CUIT NO CARGADO")</f>
        <v>COTO CENTRO INTEGRAL DE COMERCIALIZACION SOCIEDAD ANONIMA</v>
      </c>
      <c r="H122" s="461">
        <v>13642.27</v>
      </c>
      <c r="I122" s="462">
        <v>2582.9699999999998</v>
      </c>
      <c r="J122" s="462"/>
      <c r="K122" s="462">
        <v>140.94999999999999</v>
      </c>
      <c r="L122" s="462">
        <v>365.66</v>
      </c>
      <c r="M122" s="462"/>
      <c r="N122" s="462">
        <v>731.31</v>
      </c>
      <c r="O122" s="462"/>
      <c r="P122" s="463">
        <f>SUM(compras_mes7[[#This Row],[NETO GRAVADO]:[Otros / No Grav.]])</f>
        <v>17463.160000000003</v>
      </c>
      <c r="Q122" s="464" t="str">
        <f>IFERROR(IF(compras_mes7[[#This Row],[CUIT]]="","-",VLOOKUP(compras_mes7[[#This Row],[CUIT]],Lista_CUIT[#All],3,0)),"CUIT NO CARGADO")</f>
        <v>GASTOS COMERCIALES</v>
      </c>
      <c r="R122" s="464">
        <f>IFERROR(IF(compras_mes7[[#This Row],[CUIT]]="","-",VLOOKUP(compras_mes7[[#This Row],[CUIT]],Lista_CUIT[#All],4,0)),"CUIT NO CARGADO")</f>
        <v>0</v>
      </c>
    </row>
    <row r="123" spans="1:20" x14ac:dyDescent="0.3">
      <c r="B123" s="456">
        <v>45136</v>
      </c>
      <c r="C123" s="457">
        <v>1</v>
      </c>
      <c r="D123" s="458">
        <v>2199</v>
      </c>
      <c r="E123" s="506">
        <v>23331</v>
      </c>
      <c r="F123" s="459">
        <v>30548083156</v>
      </c>
      <c r="G123" s="460" t="str">
        <f>IFERROR(IF(compras_mes7[[#This Row],[CUIT]]="","-",VLOOKUP(compras_mes7[[#This Row],[CUIT]],Lista_CUIT[#All],2,0)),"CUIT NO CARGADO")</f>
        <v>COTO CENTRO INTEGRAL DE COMERCIALIZACION SOCIEDAD ANONIMA</v>
      </c>
      <c r="H123" s="461">
        <v>21192.69</v>
      </c>
      <c r="I123" s="462">
        <v>3417.31</v>
      </c>
      <c r="J123" s="462"/>
      <c r="K123" s="462">
        <v>516.58000000000004</v>
      </c>
      <c r="L123" s="462">
        <f>457.46+73.8</f>
        <v>531.26</v>
      </c>
      <c r="M123" s="462"/>
      <c r="N123" s="462">
        <v>896.47</v>
      </c>
      <c r="O123" s="462"/>
      <c r="P123" s="463">
        <f>SUM(compras_mes7[[#This Row],[NETO GRAVADO]:[Otros / No Grav.]])</f>
        <v>26554.31</v>
      </c>
      <c r="Q123" s="464" t="str">
        <f>IFERROR(IF(compras_mes7[[#This Row],[CUIT]]="","-",VLOOKUP(compras_mes7[[#This Row],[CUIT]],Lista_CUIT[#All],3,0)),"CUIT NO CARGADO")</f>
        <v>GASTOS COMERCIALES</v>
      </c>
      <c r="R123" s="464">
        <f>IFERROR(IF(compras_mes7[[#This Row],[CUIT]]="","-",VLOOKUP(compras_mes7[[#This Row],[CUIT]],Lista_CUIT[#All],4,0)),"CUIT NO CARGADO")</f>
        <v>0</v>
      </c>
    </row>
    <row r="124" spans="1:20" x14ac:dyDescent="0.3">
      <c r="B124" s="456">
        <v>45108</v>
      </c>
      <c r="C124" s="457">
        <v>1</v>
      </c>
      <c r="D124" s="458">
        <v>12</v>
      </c>
      <c r="E124" s="506">
        <v>27455</v>
      </c>
      <c r="F124" s="459">
        <v>30696131003</v>
      </c>
      <c r="G124" s="460" t="str">
        <f>IFERROR(IF(compras_mes7[[#This Row],[CUIT]]="","-",VLOOKUP(compras_mes7[[#This Row],[CUIT]],Lista_CUIT[#All],2,0)),"CUIT NO CARGADO")</f>
        <v>Petrolfe S.A.</v>
      </c>
      <c r="H124" s="461">
        <v>29397.33</v>
      </c>
      <c r="I124" s="462">
        <f>IF(compras_mes7[[#This Row],[NETO GRAVADO]]="","",compras_mes7[[#This Row],[NETO GRAVADO]]*0.21)</f>
        <v>6173.4393</v>
      </c>
      <c r="J124" s="462"/>
      <c r="K124" s="462"/>
      <c r="L124" s="462"/>
      <c r="M124" s="462"/>
      <c r="N124" s="462"/>
      <c r="O124" s="462">
        <v>4423.91</v>
      </c>
      <c r="P124" s="463">
        <f>SUM(compras_mes7[[#This Row],[NETO GRAVADO]:[Otros / No Grav.]])</f>
        <v>39994.679300000003</v>
      </c>
      <c r="Q124" s="464" t="str">
        <f>IFERROR(IF(compras_mes7[[#This Row],[CUIT]]="","-",VLOOKUP(compras_mes7[[#This Row],[CUIT]],Lista_CUIT[#All],3,0)),"CUIT NO CARGADO")</f>
        <v>Combustible</v>
      </c>
      <c r="R124" s="464">
        <f>IFERROR(IF(compras_mes7[[#This Row],[CUIT]]="","-",VLOOKUP(compras_mes7[[#This Row],[CUIT]],Lista_CUIT[#All],4,0)),"CUIT NO CARGADO")</f>
        <v>0</v>
      </c>
    </row>
    <row r="125" spans="1:20" x14ac:dyDescent="0.3">
      <c r="B125" s="456">
        <v>45115</v>
      </c>
      <c r="C125" s="457">
        <v>1</v>
      </c>
      <c r="D125" s="458">
        <v>12</v>
      </c>
      <c r="E125" s="506">
        <v>27917</v>
      </c>
      <c r="F125" s="459">
        <v>30696131003</v>
      </c>
      <c r="G125" s="460" t="str">
        <f>IFERROR(IF(compras_mes7[[#This Row],[CUIT]]="","-",VLOOKUP(compras_mes7[[#This Row],[CUIT]],Lista_CUIT[#All],2,0)),"CUIT NO CARGADO")</f>
        <v>Petrolfe S.A.</v>
      </c>
      <c r="H125" s="461">
        <v>29979.759999999998</v>
      </c>
      <c r="I125" s="462">
        <f>IF(compras_mes7[[#This Row],[NETO GRAVADO]]="","",compras_mes7[[#This Row],[NETO GRAVADO]]*0.21)</f>
        <v>6295.7495999999992</v>
      </c>
      <c r="J125" s="462"/>
      <c r="K125" s="462"/>
      <c r="L125" s="462"/>
      <c r="M125" s="462"/>
      <c r="N125" s="462"/>
      <c r="O125" s="462">
        <v>4873.57</v>
      </c>
      <c r="P125" s="463">
        <f>SUM(compras_mes7[[#This Row],[NETO GRAVADO]:[Otros / No Grav.]])</f>
        <v>41149.079599999997</v>
      </c>
      <c r="Q125" s="464" t="str">
        <f>IFERROR(IF(compras_mes7[[#This Row],[CUIT]]="","-",VLOOKUP(compras_mes7[[#This Row],[CUIT]],Lista_CUIT[#All],3,0)),"CUIT NO CARGADO")</f>
        <v>Combustible</v>
      </c>
      <c r="R125" s="464">
        <f>IFERROR(IF(compras_mes7[[#This Row],[CUIT]]="","-",VLOOKUP(compras_mes7[[#This Row],[CUIT]],Lista_CUIT[#All],4,0)),"CUIT NO CARGADO")</f>
        <v>0</v>
      </c>
    </row>
    <row r="126" spans="1:20" x14ac:dyDescent="0.3">
      <c r="B126" s="456">
        <v>45122</v>
      </c>
      <c r="C126" s="457">
        <v>1</v>
      </c>
      <c r="D126" s="458">
        <v>12</v>
      </c>
      <c r="E126" s="506">
        <v>28445</v>
      </c>
      <c r="F126" s="459">
        <v>30696131003</v>
      </c>
      <c r="G126" s="460" t="str">
        <f>IFERROR(IF(compras_mes7[[#This Row],[CUIT]]="","-",VLOOKUP(compras_mes7[[#This Row],[CUIT]],Lista_CUIT[#All],2,0)),"CUIT NO CARGADO")</f>
        <v>Petrolfe S.A.</v>
      </c>
      <c r="H126" s="461">
        <v>20071.05</v>
      </c>
      <c r="I126" s="462">
        <f>IF(compras_mes7[[#This Row],[NETO GRAVADO]]="","",compras_mes7[[#This Row],[NETO GRAVADO]]*0.21)</f>
        <v>4214.9204999999993</v>
      </c>
      <c r="J126" s="462"/>
      <c r="K126" s="462"/>
      <c r="L126" s="462"/>
      <c r="M126" s="462"/>
      <c r="N126" s="462"/>
      <c r="O126" s="462">
        <v>2698.86</v>
      </c>
      <c r="P126" s="463">
        <f>SUM(compras_mes7[[#This Row],[NETO GRAVADO]:[Otros / No Grav.]])</f>
        <v>26984.8305</v>
      </c>
      <c r="Q126" s="464" t="str">
        <f>IFERROR(IF(compras_mes7[[#This Row],[CUIT]]="","-",VLOOKUP(compras_mes7[[#This Row],[CUIT]],Lista_CUIT[#All],3,0)),"CUIT NO CARGADO")</f>
        <v>Combustible</v>
      </c>
      <c r="R126" s="464">
        <f>IFERROR(IF(compras_mes7[[#This Row],[CUIT]]="","-",VLOOKUP(compras_mes7[[#This Row],[CUIT]],Lista_CUIT[#All],4,0)),"CUIT NO CARGADO")</f>
        <v>0</v>
      </c>
    </row>
    <row r="127" spans="1:20" x14ac:dyDescent="0.3">
      <c r="B127" s="456">
        <v>45129</v>
      </c>
      <c r="C127" s="457">
        <v>1</v>
      </c>
      <c r="D127" s="458">
        <v>12</v>
      </c>
      <c r="E127" s="506">
        <v>29062</v>
      </c>
      <c r="F127" s="459">
        <v>30696131003</v>
      </c>
      <c r="G127" s="460" t="str">
        <f>IFERROR(IF(compras_mes7[[#This Row],[CUIT]]="","-",VLOOKUP(compras_mes7[[#This Row],[CUIT]],Lista_CUIT[#All],2,0)),"CUIT NO CARGADO")</f>
        <v>Petrolfe S.A.</v>
      </c>
      <c r="H127" s="461">
        <v>26288.84</v>
      </c>
      <c r="I127" s="462">
        <f>IF(compras_mes7[[#This Row],[NETO GRAVADO]]="","",compras_mes7[[#This Row],[NETO GRAVADO]]*0.21)</f>
        <v>5520.6563999999998</v>
      </c>
      <c r="J127" s="462"/>
      <c r="K127" s="462"/>
      <c r="L127" s="462"/>
      <c r="M127" s="462"/>
      <c r="N127" s="462"/>
      <c r="O127" s="462">
        <v>4272.29</v>
      </c>
      <c r="P127" s="463">
        <f>SUM(compras_mes7[[#This Row],[NETO GRAVADO]:[Otros / No Grav.]])</f>
        <v>36081.786399999997</v>
      </c>
      <c r="Q127" s="464" t="str">
        <f>IFERROR(IF(compras_mes7[[#This Row],[CUIT]]="","-",VLOOKUP(compras_mes7[[#This Row],[CUIT]],Lista_CUIT[#All],3,0)),"CUIT NO CARGADO")</f>
        <v>Combustible</v>
      </c>
      <c r="R127" s="464">
        <f>IFERROR(IF(compras_mes7[[#This Row],[CUIT]]="","-",VLOOKUP(compras_mes7[[#This Row],[CUIT]],Lista_CUIT[#All],4,0)),"CUIT NO CARGADO")</f>
        <v>0</v>
      </c>
    </row>
    <row r="128" spans="1:20" x14ac:dyDescent="0.3">
      <c r="B128" s="456">
        <v>45136</v>
      </c>
      <c r="C128" s="457">
        <v>1</v>
      </c>
      <c r="D128" s="458">
        <v>12</v>
      </c>
      <c r="E128" s="506">
        <v>29643</v>
      </c>
      <c r="F128" s="459">
        <v>30696131003</v>
      </c>
      <c r="G128" s="460" t="str">
        <f>IFERROR(IF(compras_mes7[[#This Row],[CUIT]]="","-",VLOOKUP(compras_mes7[[#This Row],[CUIT]],Lista_CUIT[#All],2,0)),"CUIT NO CARGADO")</f>
        <v>Petrolfe S.A.</v>
      </c>
      <c r="H128" s="461">
        <v>24832.9</v>
      </c>
      <c r="I128" s="462">
        <f>IF(compras_mes7[[#This Row],[NETO GRAVADO]]="","",compras_mes7[[#This Row],[NETO GRAVADO]]*0.21)</f>
        <v>5214.9090000000006</v>
      </c>
      <c r="J128" s="462"/>
      <c r="K128" s="462"/>
      <c r="L128" s="462"/>
      <c r="M128" s="462"/>
      <c r="N128" s="462"/>
      <c r="O128" s="462">
        <v>3651.9</v>
      </c>
      <c r="P128" s="463">
        <f>SUM(compras_mes7[[#This Row],[NETO GRAVADO]:[Otros / No Grav.]])</f>
        <v>33699.709000000003</v>
      </c>
      <c r="Q128" s="464" t="str">
        <f>IFERROR(IF(compras_mes7[[#This Row],[CUIT]]="","-",VLOOKUP(compras_mes7[[#This Row],[CUIT]],Lista_CUIT[#All],3,0)),"CUIT NO CARGADO")</f>
        <v>Combustible</v>
      </c>
      <c r="R128" s="464">
        <f>IFERROR(IF(compras_mes7[[#This Row],[CUIT]]="","-",VLOOKUP(compras_mes7[[#This Row],[CUIT]],Lista_CUIT[#All],4,0)),"CUIT NO CARGADO")</f>
        <v>0</v>
      </c>
    </row>
    <row r="129" spans="2:18" x14ac:dyDescent="0.3">
      <c r="B129" s="456">
        <v>45119</v>
      </c>
      <c r="C129" s="457">
        <v>1</v>
      </c>
      <c r="D129" s="458">
        <v>9</v>
      </c>
      <c r="E129" s="506">
        <v>34005</v>
      </c>
      <c r="F129" s="459">
        <v>33712445489</v>
      </c>
      <c r="G129" s="460" t="str">
        <f>IFERROR(IF(compras_mes7[[#This Row],[CUIT]]="","-",VLOOKUP(compras_mes7[[#This Row],[CUIT]],Lista_CUIT[#All],2,0)),"CUIT NO CARGADO")</f>
        <v>CORUSCANT  S. A.</v>
      </c>
      <c r="H129" s="461">
        <v>65948.759999999995</v>
      </c>
      <c r="I129" s="462">
        <f>IF(compras_mes7[[#This Row],[NETO GRAVADO]]="","",compras_mes7[[#This Row],[NETO GRAVADO]]*0.21)</f>
        <v>13849.239599999999</v>
      </c>
      <c r="J129" s="462"/>
      <c r="K129" s="462"/>
      <c r="L129" s="462"/>
      <c r="M129" s="462"/>
      <c r="N129" s="462"/>
      <c r="O129" s="462"/>
      <c r="P129" s="463">
        <f>SUM(compras_mes7[[#This Row],[NETO GRAVADO]:[Otros / No Grav.]])</f>
        <v>79797.999599999996</v>
      </c>
      <c r="Q129" s="464">
        <f>IFERROR(IF(compras_mes7[[#This Row],[CUIT]]="","-",VLOOKUP(compras_mes7[[#This Row],[CUIT]],Lista_CUIT[#All],3,0)),"CUIT NO CARGADO")</f>
        <v>0</v>
      </c>
      <c r="R129" s="464">
        <f>IFERROR(IF(compras_mes7[[#This Row],[CUIT]]="","-",VLOOKUP(compras_mes7[[#This Row],[CUIT]],Lista_CUIT[#All],4,0)),"CUIT NO CARGADO")</f>
        <v>0</v>
      </c>
    </row>
    <row r="130" spans="2:18" x14ac:dyDescent="0.3">
      <c r="B130" s="456">
        <v>45113</v>
      </c>
      <c r="C130" s="457">
        <v>1</v>
      </c>
      <c r="D130" s="458">
        <v>2</v>
      </c>
      <c r="E130" s="506">
        <v>35632</v>
      </c>
      <c r="F130" s="459">
        <v>33714232199</v>
      </c>
      <c r="G130" s="460" t="str">
        <f>IFERROR(IF(compras_mes7[[#This Row],[CUIT]]="","-",VLOOKUP(compras_mes7[[#This Row],[CUIT]],Lista_CUIT[#All],2,0)),"CUIT NO CARGADO")</f>
        <v>NUAGE SYSTEMS S.A.</v>
      </c>
      <c r="H130" s="461">
        <v>39690</v>
      </c>
      <c r="I130" s="462">
        <f>IF(compras_mes7[[#This Row],[NETO GRAVADO]]="","",compras_mes7[[#This Row],[NETO GRAVADO]]*0.21)</f>
        <v>8334.9</v>
      </c>
      <c r="J130" s="462"/>
      <c r="K130" s="462"/>
      <c r="L130" s="462"/>
      <c r="M130" s="462"/>
      <c r="N130" s="462"/>
      <c r="O130" s="462"/>
      <c r="P130" s="463">
        <f>SUM(compras_mes7[[#This Row],[NETO GRAVADO]:[Otros / No Grav.]])</f>
        <v>48024.9</v>
      </c>
      <c r="Q130" s="464">
        <f>IFERROR(IF(compras_mes7[[#This Row],[CUIT]]="","-",VLOOKUP(compras_mes7[[#This Row],[CUIT]],Lista_CUIT[#All],3,0)),"CUIT NO CARGADO")</f>
        <v>0</v>
      </c>
      <c r="R130" s="464">
        <f>IFERROR(IF(compras_mes7[[#This Row],[CUIT]]="","-",VLOOKUP(compras_mes7[[#This Row],[CUIT]],Lista_CUIT[#All],4,0)),"CUIT NO CARGADO")</f>
        <v>0</v>
      </c>
    </row>
    <row r="131" spans="2:18" x14ac:dyDescent="0.3">
      <c r="B131" s="456">
        <v>45121</v>
      </c>
      <c r="C131" s="457">
        <v>1</v>
      </c>
      <c r="D131" s="458">
        <v>2036</v>
      </c>
      <c r="E131" s="506">
        <v>41473</v>
      </c>
      <c r="F131" s="459">
        <v>30516186670</v>
      </c>
      <c r="G131" s="460" t="str">
        <f>IFERROR(IF(compras_mes7[[#This Row],[CUIT]]="","-",VLOOKUP(compras_mes7[[#This Row],[CUIT]],Lista_CUIT[#All],2,0)),"CUIT NO CARGADO")</f>
        <v>DEHEZA S.A.I.C.F. e I.</v>
      </c>
      <c r="H131" s="461">
        <v>601.52</v>
      </c>
      <c r="I131" s="462">
        <f>IF(compras_mes7[[#This Row],[NETO GRAVADO]]="","",compras_mes7[[#This Row],[NETO GRAVADO]]*0.21)</f>
        <v>126.3192</v>
      </c>
      <c r="J131" s="462"/>
      <c r="K131" s="462"/>
      <c r="L131" s="462"/>
      <c r="M131" s="462"/>
      <c r="N131" s="462"/>
      <c r="O131" s="462">
        <f>4.17+67.98</f>
        <v>72.150000000000006</v>
      </c>
      <c r="P131" s="463">
        <f>SUM(compras_mes7[[#This Row],[NETO GRAVADO]:[Otros / No Grav.]])</f>
        <v>799.98919999999998</v>
      </c>
      <c r="Q131" s="464" t="str">
        <f>IFERROR(IF(compras_mes7[[#This Row],[CUIT]]="","-",VLOOKUP(compras_mes7[[#This Row],[CUIT]],Lista_CUIT[#All],3,0)),"CUIT NO CARGADO")</f>
        <v>COMBUSTIBLE</v>
      </c>
      <c r="R131" s="464" t="str">
        <f>IFERROR(IF(compras_mes7[[#This Row],[CUIT]]="","-",VLOOKUP(compras_mes7[[#This Row],[CUIT]],Lista_CUIT[#All],4,0)),"CUIT NO CARGADO")</f>
        <v>CABA</v>
      </c>
    </row>
    <row r="132" spans="2:18" x14ac:dyDescent="0.3">
      <c r="B132" s="456">
        <v>45127</v>
      </c>
      <c r="C132" s="457">
        <v>1</v>
      </c>
      <c r="D132" s="458">
        <v>4</v>
      </c>
      <c r="E132" s="506">
        <v>43175</v>
      </c>
      <c r="F132" s="459">
        <v>30709863076</v>
      </c>
      <c r="G132" s="460" t="str">
        <f>IFERROR(IF(compras_mes7[[#This Row],[CUIT]]="","-",VLOOKUP(compras_mes7[[#This Row],[CUIT]],Lista_CUIT[#All],2,0)),"CUIT NO CARGADO")</f>
        <v>INDUSTRIAS PLASTICOS SALTA S.R.L.</v>
      </c>
      <c r="H132" s="461">
        <v>432000</v>
      </c>
      <c r="I132" s="462">
        <f>IF(compras_mes7[[#This Row],[NETO GRAVADO]]="","",compras_mes7[[#This Row],[NETO GRAVADO]]*0.21)</f>
        <v>90720</v>
      </c>
      <c r="J132" s="462"/>
      <c r="K132" s="462"/>
      <c r="L132" s="462"/>
      <c r="M132" s="462"/>
      <c r="N132" s="462"/>
      <c r="O132" s="462"/>
      <c r="P132" s="463">
        <f>SUM(compras_mes7[[#This Row],[NETO GRAVADO]:[Otros / No Grav.]])</f>
        <v>522720</v>
      </c>
      <c r="Q132" s="464">
        <f>IFERROR(IF(compras_mes7[[#This Row],[CUIT]]="","-",VLOOKUP(compras_mes7[[#This Row],[CUIT]],Lista_CUIT[#All],3,0)),"CUIT NO CARGADO")</f>
        <v>0</v>
      </c>
      <c r="R132" s="464">
        <f>IFERROR(IF(compras_mes7[[#This Row],[CUIT]]="","-",VLOOKUP(compras_mes7[[#This Row],[CUIT]],Lista_CUIT[#All],4,0)),"CUIT NO CARGADO")</f>
        <v>0</v>
      </c>
    </row>
    <row r="133" spans="2:18" x14ac:dyDescent="0.3">
      <c r="B133" s="456">
        <v>45133</v>
      </c>
      <c r="C133" s="457">
        <v>1</v>
      </c>
      <c r="D133" s="458">
        <v>56</v>
      </c>
      <c r="E133" s="506">
        <v>44471</v>
      </c>
      <c r="F133" s="459">
        <v>30587053221</v>
      </c>
      <c r="G133" s="460" t="str">
        <f>IFERROR(IF(compras_mes7[[#This Row],[CUIT]]="","-",VLOOKUP(compras_mes7[[#This Row],[CUIT]],Lista_CUIT[#All],2,0)),"CUIT NO CARGADO")</f>
        <v>PAPELERA CUMBRE S.A.</v>
      </c>
      <c r="H133" s="461">
        <v>65194.22</v>
      </c>
      <c r="I133" s="462">
        <f>IF(compras_mes7[[#This Row],[NETO GRAVADO]]="","",compras_mes7[[#This Row],[NETO GRAVADO]]*0.21)</f>
        <v>13690.7862</v>
      </c>
      <c r="J133" s="462"/>
      <c r="K133" s="462"/>
      <c r="L133" s="462"/>
      <c r="M133" s="462"/>
      <c r="N133" s="462"/>
      <c r="O133" s="462"/>
      <c r="P133" s="463">
        <f>SUM(compras_mes7[[#This Row],[NETO GRAVADO]:[Otros / No Grav.]])</f>
        <v>78885.006200000003</v>
      </c>
      <c r="Q133" s="464">
        <f>IFERROR(IF(compras_mes7[[#This Row],[CUIT]]="","-",VLOOKUP(compras_mes7[[#This Row],[CUIT]],Lista_CUIT[#All],3,0)),"CUIT NO CARGADO")</f>
        <v>0</v>
      </c>
      <c r="R133" s="464">
        <f>IFERROR(IF(compras_mes7[[#This Row],[CUIT]]="","-",VLOOKUP(compras_mes7[[#This Row],[CUIT]],Lista_CUIT[#All],4,0)),"CUIT NO CARGADO")</f>
        <v>0</v>
      </c>
    </row>
    <row r="134" spans="2:18" x14ac:dyDescent="0.3">
      <c r="B134" s="456">
        <v>45125</v>
      </c>
      <c r="C134" s="457">
        <v>1</v>
      </c>
      <c r="D134" s="458">
        <v>5</v>
      </c>
      <c r="E134" s="506">
        <v>48010</v>
      </c>
      <c r="F134" s="459">
        <v>30709932876</v>
      </c>
      <c r="G134" s="460" t="str">
        <f>IFERROR(IF(compras_mes7[[#This Row],[CUIT]]="","-",VLOOKUP(compras_mes7[[#This Row],[CUIT]],Lista_CUIT[#All],2,0)),"CUIT NO CARGADO")</f>
        <v>Mega Envases S.A.</v>
      </c>
      <c r="H134" s="461">
        <v>686340</v>
      </c>
      <c r="I134" s="462">
        <f>IF(compras_mes7[[#This Row],[NETO GRAVADO]]="","",compras_mes7[[#This Row],[NETO GRAVADO]]*0.21)</f>
        <v>144131.4</v>
      </c>
      <c r="J134" s="462"/>
      <c r="K134" s="462"/>
      <c r="L134" s="462"/>
      <c r="M134" s="462"/>
      <c r="N134" s="462">
        <v>41180.400000000001</v>
      </c>
      <c r="O134" s="462"/>
      <c r="P134" s="463">
        <f>SUM(compras_mes7[[#This Row],[NETO GRAVADO]:[Otros / No Grav.]])</f>
        <v>871651.8</v>
      </c>
      <c r="Q134" s="464">
        <f>IFERROR(IF(compras_mes7[[#This Row],[CUIT]]="","-",VLOOKUP(compras_mes7[[#This Row],[CUIT]],Lista_CUIT[#All],3,0)),"CUIT NO CARGADO")</f>
        <v>0</v>
      </c>
      <c r="R134" s="464">
        <f>IFERROR(IF(compras_mes7[[#This Row],[CUIT]]="","-",VLOOKUP(compras_mes7[[#This Row],[CUIT]],Lista_CUIT[#All],4,0)),"CUIT NO CARGADO")</f>
        <v>0</v>
      </c>
    </row>
    <row r="135" spans="2:18" x14ac:dyDescent="0.3">
      <c r="B135" s="456">
        <v>45117</v>
      </c>
      <c r="C135" s="457">
        <v>1</v>
      </c>
      <c r="D135" s="458">
        <v>301</v>
      </c>
      <c r="E135" s="506">
        <v>56171</v>
      </c>
      <c r="F135" s="459">
        <v>30686978350</v>
      </c>
      <c r="G135" s="460" t="str">
        <f>IFERROR(IF(compras_mes7[[#This Row],[CUIT]]="","-",VLOOKUP(compras_mes7[[#This Row],[CUIT]],Lista_CUIT[#All],2,0)),"CUIT NO CARGADO")</f>
        <v>SPEED BUSINESS S. A.</v>
      </c>
      <c r="H135" s="461">
        <v>3247.94</v>
      </c>
      <c r="I135" s="462">
        <f>IF(compras_mes7[[#This Row],[NETO GRAVADO]]="","",compras_mes7[[#This Row],[NETO GRAVADO]]*0.21)</f>
        <v>682.06740000000002</v>
      </c>
      <c r="J135" s="462"/>
      <c r="K135" s="462"/>
      <c r="L135" s="462"/>
      <c r="M135" s="462"/>
      <c r="N135" s="462"/>
      <c r="O135" s="462"/>
      <c r="P135" s="463">
        <f>SUM(compras_mes7[[#This Row],[NETO GRAVADO]:[Otros / No Grav.]])</f>
        <v>3930.0074</v>
      </c>
      <c r="Q135" s="464">
        <f>IFERROR(IF(compras_mes7[[#This Row],[CUIT]]="","-",VLOOKUP(compras_mes7[[#This Row],[CUIT]],Lista_CUIT[#All],3,0)),"CUIT NO CARGADO")</f>
        <v>0</v>
      </c>
      <c r="R135" s="464">
        <f>IFERROR(IF(compras_mes7[[#This Row],[CUIT]]="","-",VLOOKUP(compras_mes7[[#This Row],[CUIT]],Lista_CUIT[#All],4,0)),"CUIT NO CARGADO")</f>
        <v>0</v>
      </c>
    </row>
    <row r="136" spans="2:18" x14ac:dyDescent="0.3">
      <c r="B136" s="456">
        <v>45125</v>
      </c>
      <c r="C136" s="457">
        <v>1</v>
      </c>
      <c r="D136" s="458">
        <v>301</v>
      </c>
      <c r="E136" s="506">
        <v>56939</v>
      </c>
      <c r="F136" s="459">
        <v>30686978350</v>
      </c>
      <c r="G136" s="460" t="str">
        <f>IFERROR(IF(compras_mes7[[#This Row],[CUIT]]="","-",VLOOKUP(compras_mes7[[#This Row],[CUIT]],Lista_CUIT[#All],2,0)),"CUIT NO CARGADO")</f>
        <v>SPEED BUSINESS S. A.</v>
      </c>
      <c r="H136" s="461">
        <v>3247.94</v>
      </c>
      <c r="I136" s="462">
        <f>IF(compras_mes7[[#This Row],[NETO GRAVADO]]="","",compras_mes7[[#This Row],[NETO GRAVADO]]*0.21)</f>
        <v>682.06740000000002</v>
      </c>
      <c r="J136" s="462"/>
      <c r="K136" s="462"/>
      <c r="L136" s="462"/>
      <c r="M136" s="462"/>
      <c r="N136" s="462"/>
      <c r="O136" s="462"/>
      <c r="P136" s="463">
        <f>SUM(compras_mes7[[#This Row],[NETO GRAVADO]:[Otros / No Grav.]])</f>
        <v>3930.0074</v>
      </c>
      <c r="Q136" s="464">
        <f>IFERROR(IF(compras_mes7[[#This Row],[CUIT]]="","-",VLOOKUP(compras_mes7[[#This Row],[CUIT]],Lista_CUIT[#All],3,0)),"CUIT NO CARGADO")</f>
        <v>0</v>
      </c>
      <c r="R136" s="464">
        <f>IFERROR(IF(compras_mes7[[#This Row],[CUIT]]="","-",VLOOKUP(compras_mes7[[#This Row],[CUIT]],Lista_CUIT[#All],4,0)),"CUIT NO CARGADO")</f>
        <v>0</v>
      </c>
    </row>
    <row r="137" spans="2:18" x14ac:dyDescent="0.3">
      <c r="B137" s="456">
        <v>45114</v>
      </c>
      <c r="C137" s="457">
        <v>1</v>
      </c>
      <c r="D137" s="458">
        <v>5</v>
      </c>
      <c r="E137" s="506">
        <v>62784</v>
      </c>
      <c r="F137" s="459">
        <v>30660981736</v>
      </c>
      <c r="G137" s="460" t="str">
        <f>IFERROR(IF(compras_mes7[[#This Row],[CUIT]]="","-",VLOOKUP(compras_mes7[[#This Row],[CUIT]],Lista_CUIT[#All],2,0)),"CUIT NO CARGADO")</f>
        <v>R A DURAN Y ASOC SRL</v>
      </c>
      <c r="H137" s="461">
        <v>20470</v>
      </c>
      <c r="I137" s="462">
        <f>IF(compras_mes7[[#This Row],[NETO GRAVADO]]="","",compras_mes7[[#This Row],[NETO GRAVADO]]*0.21)</f>
        <v>4298.7</v>
      </c>
      <c r="J137" s="462"/>
      <c r="K137" s="462"/>
      <c r="L137" s="462"/>
      <c r="M137" s="462"/>
      <c r="N137" s="462"/>
      <c r="O137" s="462"/>
      <c r="P137" s="463">
        <f>SUM(compras_mes7[[#This Row],[NETO GRAVADO]:[Otros / No Grav.]])</f>
        <v>24768.7</v>
      </c>
      <c r="Q137" s="464">
        <f>IFERROR(IF(compras_mes7[[#This Row],[CUIT]]="","-",VLOOKUP(compras_mes7[[#This Row],[CUIT]],Lista_CUIT[#All],3,0)),"CUIT NO CARGADO")</f>
        <v>0</v>
      </c>
      <c r="R137" s="464">
        <f>IFERROR(IF(compras_mes7[[#This Row],[CUIT]]="","-",VLOOKUP(compras_mes7[[#This Row],[CUIT]],Lista_CUIT[#All],4,0)),"CUIT NO CARGADO")</f>
        <v>0</v>
      </c>
    </row>
    <row r="138" spans="2:18" x14ac:dyDescent="0.3">
      <c r="B138" s="456">
        <v>45112</v>
      </c>
      <c r="C138" s="457">
        <v>1</v>
      </c>
      <c r="D138" s="458">
        <v>2188</v>
      </c>
      <c r="E138" s="506">
        <v>93669</v>
      </c>
      <c r="F138" s="459">
        <v>30548083156</v>
      </c>
      <c r="G138" s="460" t="str">
        <f>IFERROR(IF(compras_mes7[[#This Row],[CUIT]]="","-",VLOOKUP(compras_mes7[[#This Row],[CUIT]],Lista_CUIT[#All],2,0)),"CUIT NO CARGADO")</f>
        <v>COTO CENTRO INTEGRAL DE COMERCIALIZACION SOCIEDAD ANONIMA</v>
      </c>
      <c r="H138" s="461">
        <v>22425.21</v>
      </c>
      <c r="I138" s="462">
        <v>3536.93</v>
      </c>
      <c r="J138" s="462"/>
      <c r="K138" s="462">
        <v>586.17999999999995</v>
      </c>
      <c r="L138" s="462">
        <f>505.28+83.74</f>
        <v>589.02</v>
      </c>
      <c r="M138" s="462"/>
      <c r="N138" s="462">
        <v>1060.5</v>
      </c>
      <c r="O138" s="462"/>
      <c r="P138" s="463">
        <f>SUM(compras_mes7[[#This Row],[NETO GRAVADO]:[Otros / No Grav.]])</f>
        <v>28197.84</v>
      </c>
      <c r="Q138" s="464" t="str">
        <f>IFERROR(IF(compras_mes7[[#This Row],[CUIT]]="","-",VLOOKUP(compras_mes7[[#This Row],[CUIT]],Lista_CUIT[#All],3,0)),"CUIT NO CARGADO")</f>
        <v>GASTOS COMERCIALES</v>
      </c>
      <c r="R138" s="464">
        <f>IFERROR(IF(compras_mes7[[#This Row],[CUIT]]="","-",VLOOKUP(compras_mes7[[#This Row],[CUIT]],Lista_CUIT[#All],4,0)),"CUIT NO CARGADO")</f>
        <v>0</v>
      </c>
    </row>
    <row r="139" spans="2:18" x14ac:dyDescent="0.3">
      <c r="B139" s="456">
        <v>45123</v>
      </c>
      <c r="C139" s="457">
        <v>1</v>
      </c>
      <c r="D139" s="458">
        <v>2188</v>
      </c>
      <c r="E139" s="506">
        <v>94529</v>
      </c>
      <c r="F139" s="459">
        <v>30548083156</v>
      </c>
      <c r="G139" s="460" t="str">
        <f>IFERROR(IF(compras_mes7[[#This Row],[CUIT]]="","-",VLOOKUP(compras_mes7[[#This Row],[CUIT]],Lista_CUIT[#All],2,0)),"CUIT NO CARGADO")</f>
        <v>COTO CENTRO INTEGRAL DE COMERCIALIZACION SOCIEDAD ANONIMA</v>
      </c>
      <c r="H139" s="461">
        <v>24523.599999999999</v>
      </c>
      <c r="I139" s="462">
        <v>3910.75</v>
      </c>
      <c r="J139" s="462"/>
      <c r="K139" s="462">
        <v>619.75</v>
      </c>
      <c r="L139" s="462">
        <f>449.2+88.51</f>
        <v>537.71</v>
      </c>
      <c r="M139" s="462"/>
      <c r="N139" s="462">
        <v>988.37</v>
      </c>
      <c r="O139" s="462"/>
      <c r="P139" s="463">
        <f>SUM(compras_mes7[[#This Row],[NETO GRAVADO]:[Otros / No Grav.]])</f>
        <v>30580.179999999997</v>
      </c>
      <c r="Q139" s="464" t="str">
        <f>IFERROR(IF(compras_mes7[[#This Row],[CUIT]]="","-",VLOOKUP(compras_mes7[[#This Row],[CUIT]],Lista_CUIT[#All],3,0)),"CUIT NO CARGADO")</f>
        <v>GASTOS COMERCIALES</v>
      </c>
      <c r="R139" s="464">
        <f>IFERROR(IF(compras_mes7[[#This Row],[CUIT]]="","-",VLOOKUP(compras_mes7[[#This Row],[CUIT]],Lista_CUIT[#All],4,0)),"CUIT NO CARGADO")</f>
        <v>0</v>
      </c>
    </row>
    <row r="140" spans="2:18" x14ac:dyDescent="0.3">
      <c r="B140" s="456">
        <v>45132</v>
      </c>
      <c r="C140" s="457">
        <v>1</v>
      </c>
      <c r="D140" s="458">
        <v>2188</v>
      </c>
      <c r="E140" s="506">
        <v>95177</v>
      </c>
      <c r="F140" s="459">
        <v>30548083156</v>
      </c>
      <c r="G140" s="460" t="str">
        <f>IFERROR(IF(compras_mes7[[#This Row],[CUIT]]="","-",VLOOKUP(compras_mes7[[#This Row],[CUIT]],Lista_CUIT[#All],2,0)),"CUIT NO CARGADO")</f>
        <v>COTO CENTRO INTEGRAL DE COMERCIALIZACION SOCIEDAD ANONIMA</v>
      </c>
      <c r="H140" s="461">
        <v>19128.37</v>
      </c>
      <c r="I140" s="462">
        <v>3756.21</v>
      </c>
      <c r="J140" s="462"/>
      <c r="K140" s="462">
        <v>130.37</v>
      </c>
      <c r="L140" s="462">
        <v>429.59</v>
      </c>
      <c r="M140" s="462"/>
      <c r="N140" s="462">
        <v>824.99</v>
      </c>
      <c r="O140" s="462"/>
      <c r="P140" s="463">
        <f>SUM(compras_mes7[[#This Row],[NETO GRAVADO]:[Otros / No Grav.]])</f>
        <v>24269.53</v>
      </c>
      <c r="Q140" s="464" t="str">
        <f>IFERROR(IF(compras_mes7[[#This Row],[CUIT]]="","-",VLOOKUP(compras_mes7[[#This Row],[CUIT]],Lista_CUIT[#All],3,0)),"CUIT NO CARGADO")</f>
        <v>GASTOS COMERCIALES</v>
      </c>
      <c r="R140" s="464">
        <f>IFERROR(IF(compras_mes7[[#This Row],[CUIT]]="","-",VLOOKUP(compras_mes7[[#This Row],[CUIT]],Lista_CUIT[#All],4,0)),"CUIT NO CARGADO")</f>
        <v>0</v>
      </c>
    </row>
    <row r="141" spans="2:18" x14ac:dyDescent="0.3">
      <c r="B141" s="456">
        <v>45120</v>
      </c>
      <c r="C141" s="457">
        <v>1</v>
      </c>
      <c r="D141" s="458">
        <v>2034</v>
      </c>
      <c r="E141" s="506">
        <v>104111</v>
      </c>
      <c r="F141" s="459">
        <v>30516186670</v>
      </c>
      <c r="G141" s="460" t="str">
        <f>IFERROR(IF(compras_mes7[[#This Row],[CUIT]]="","-",VLOOKUP(compras_mes7[[#This Row],[CUIT]],Lista_CUIT[#All],2,0)),"CUIT NO CARGADO")</f>
        <v>DEHEZA S.A.I.C.F. e I.</v>
      </c>
      <c r="H141" s="461">
        <v>6137.77</v>
      </c>
      <c r="I141" s="462">
        <f>IF(compras_mes7[[#This Row],[NETO GRAVADO]]="","",compras_mes7[[#This Row],[NETO GRAVADO]]*0.21)</f>
        <v>1288.9317000000001</v>
      </c>
      <c r="J141" s="462"/>
      <c r="K141" s="462"/>
      <c r="L141" s="462">
        <v>184.13</v>
      </c>
      <c r="M141" s="462"/>
      <c r="N141" s="462">
        <v>420.68</v>
      </c>
      <c r="O141" s="462">
        <f>823.07+50.43</f>
        <v>873.5</v>
      </c>
      <c r="P141" s="463">
        <f>SUM(compras_mes7[[#This Row],[NETO GRAVADO]:[Otros / No Grav.]])</f>
        <v>8905.0117000000009</v>
      </c>
      <c r="Q141" s="464" t="str">
        <f>IFERROR(IF(compras_mes7[[#This Row],[CUIT]]="","-",VLOOKUP(compras_mes7[[#This Row],[CUIT]],Lista_CUIT[#All],3,0)),"CUIT NO CARGADO")</f>
        <v>COMBUSTIBLE</v>
      </c>
      <c r="R141" s="464" t="str">
        <f>IFERROR(IF(compras_mes7[[#This Row],[CUIT]]="","-",VLOOKUP(compras_mes7[[#This Row],[CUIT]],Lista_CUIT[#All],4,0)),"CUIT NO CARGADO")</f>
        <v>CABA</v>
      </c>
    </row>
    <row r="142" spans="2:18" x14ac:dyDescent="0.3">
      <c r="B142" s="456">
        <v>45127</v>
      </c>
      <c r="C142" s="457">
        <v>1</v>
      </c>
      <c r="D142" s="458">
        <v>5</v>
      </c>
      <c r="E142" s="506">
        <v>113447</v>
      </c>
      <c r="F142" s="459">
        <v>30550106430</v>
      </c>
      <c r="G142" s="460" t="str">
        <f>IFERROR(IF(compras_mes7[[#This Row],[CUIT]]="","-",VLOOKUP(compras_mes7[[#This Row],[CUIT]],Lista_CUIT[#All],2,0)),"CUIT NO CARGADO")</f>
        <v>MAGEL S A</v>
      </c>
      <c r="H142" s="461">
        <v>947505</v>
      </c>
      <c r="I142" s="462">
        <f>IF(compras_mes7[[#This Row],[NETO GRAVADO]]="","",compras_mes7[[#This Row],[NETO GRAVADO]]*0.21)</f>
        <v>198976.05</v>
      </c>
      <c r="J142" s="462"/>
      <c r="K142" s="462"/>
      <c r="L142" s="462"/>
      <c r="M142" s="462">
        <v>9475.0499999999993</v>
      </c>
      <c r="N142" s="462">
        <v>56850.3</v>
      </c>
      <c r="O142" s="462"/>
      <c r="P142" s="463">
        <f>SUM(compras_mes7[[#This Row],[NETO GRAVADO]:[Otros / No Grav.]])</f>
        <v>1212806.4000000001</v>
      </c>
      <c r="Q142" s="464">
        <f>IFERROR(IF(compras_mes7[[#This Row],[CUIT]]="","-",VLOOKUP(compras_mes7[[#This Row],[CUIT]],Lista_CUIT[#All],3,0)),"CUIT NO CARGADO")</f>
        <v>0</v>
      </c>
      <c r="R142" s="464">
        <f>IFERROR(IF(compras_mes7[[#This Row],[CUIT]]="","-",VLOOKUP(compras_mes7[[#This Row],[CUIT]],Lista_CUIT[#All],4,0)),"CUIT NO CARGADO")</f>
        <v>0</v>
      </c>
    </row>
    <row r="143" spans="2:18" x14ac:dyDescent="0.3">
      <c r="B143" s="456">
        <v>45116</v>
      </c>
      <c r="C143" s="457">
        <v>1</v>
      </c>
      <c r="D143" s="458">
        <v>31</v>
      </c>
      <c r="E143" s="506">
        <v>191544</v>
      </c>
      <c r="F143" s="459">
        <v>30710114176</v>
      </c>
      <c r="G143" s="460" t="str">
        <f>IFERROR(IF(compras_mes7[[#This Row],[CUIT]]="","-",VLOOKUP(compras_mes7[[#This Row],[CUIT]],Lista_CUIT[#All],2,0)),"CUIT NO CARGADO")</f>
        <v>SYMONDS SA.</v>
      </c>
      <c r="H143" s="461">
        <v>196379.19</v>
      </c>
      <c r="I143" s="462"/>
      <c r="J143" s="462"/>
      <c r="K143" s="462">
        <v>20619.810000000001</v>
      </c>
      <c r="L143" s="462"/>
      <c r="M143" s="462"/>
      <c r="N143" s="462"/>
      <c r="O143" s="462"/>
      <c r="P143" s="463">
        <f>SUM(compras_mes7[[#This Row],[NETO GRAVADO]:[Otros / No Grav.]])</f>
        <v>216999</v>
      </c>
      <c r="Q143" s="464" t="str">
        <f>IFERROR(IF(compras_mes7[[#This Row],[CUIT]]="","-",VLOOKUP(compras_mes7[[#This Row],[CUIT]],Lista_CUIT[#All],3,0)),"CUIT NO CARGADO")</f>
        <v xml:space="preserve">Gastos mantenimiento </v>
      </c>
      <c r="R143" s="464">
        <f>IFERROR(IF(compras_mes7[[#This Row],[CUIT]]="","-",VLOOKUP(compras_mes7[[#This Row],[CUIT]],Lista_CUIT[#All],4,0)),"CUIT NO CARGADO")</f>
        <v>0</v>
      </c>
    </row>
    <row r="144" spans="2:18" x14ac:dyDescent="0.3">
      <c r="B144" s="486">
        <v>45110</v>
      </c>
      <c r="C144" s="494">
        <v>1</v>
      </c>
      <c r="D144" s="487">
        <v>5014</v>
      </c>
      <c r="E144" s="488">
        <v>446692</v>
      </c>
      <c r="F144" s="476">
        <v>30574876474</v>
      </c>
      <c r="G144" s="489" t="str">
        <f>IFERROR(IF(compras_mes7[[#This Row],[CUIT]]="","-",VLOOKUP(compras_mes7[[#This Row],[CUIT]],Lista_CUIT[#All],2,0)),"CUIT NO CARGADO")</f>
        <v>AUTOPISTAS URBANAS S A</v>
      </c>
      <c r="H144" s="490">
        <v>21752.47</v>
      </c>
      <c r="I144" s="491">
        <f>IF(compras_mes7[[#This Row],[NETO GRAVADO]]="","",compras_mes7[[#This Row],[NETO GRAVADO]]*0.21)</f>
        <v>4568.0186999999996</v>
      </c>
      <c r="J144" s="491"/>
      <c r="K144" s="491"/>
      <c r="L144" s="491"/>
      <c r="M144" s="491"/>
      <c r="N144" s="491">
        <v>2175.13</v>
      </c>
      <c r="O144" s="491">
        <v>652.54999999999995</v>
      </c>
      <c r="P144" s="492">
        <f>SUM(compras_mes7[[#This Row],[NETO GRAVADO]:[Otros / No Grav.]])</f>
        <v>29148.168700000002</v>
      </c>
      <c r="Q144" s="493">
        <f>IFERROR(IF(compras_mes7[[#This Row],[CUIT]]="","-",VLOOKUP(compras_mes7[[#This Row],[CUIT]],Lista_CUIT[#All],3,0)),"CUIT NO CARGADO")</f>
        <v>0</v>
      </c>
      <c r="R144" s="493">
        <f>IFERROR(IF(compras_mes7[[#This Row],[CUIT]]="","-",VLOOKUP(compras_mes7[[#This Row],[CUIT]],Lista_CUIT[#All],4,0)),"CUIT NO CARGADO")</f>
        <v>0</v>
      </c>
    </row>
    <row r="145" spans="1:20" x14ac:dyDescent="0.3">
      <c r="B145" s="486">
        <v>45126</v>
      </c>
      <c r="C145" s="494">
        <v>1</v>
      </c>
      <c r="D145" s="487">
        <v>5014</v>
      </c>
      <c r="E145" s="488">
        <v>455924</v>
      </c>
      <c r="F145" s="476">
        <v>30574876474</v>
      </c>
      <c r="G145" s="489" t="str">
        <f>IFERROR(IF(compras_mes7[[#This Row],[CUIT]]="","-",VLOOKUP(compras_mes7[[#This Row],[CUIT]],Lista_CUIT[#All],2,0)),"CUIT NO CARGADO")</f>
        <v>AUTOPISTAS URBANAS S A</v>
      </c>
      <c r="H145" s="490">
        <v>32958.050000000003</v>
      </c>
      <c r="I145" s="491">
        <f>IF(compras_mes7[[#This Row],[NETO GRAVADO]]="","",compras_mes7[[#This Row],[NETO GRAVADO]]*0.21)</f>
        <v>6921.1905000000006</v>
      </c>
      <c r="J145" s="491"/>
      <c r="K145" s="491"/>
      <c r="L145" s="491"/>
      <c r="M145" s="491"/>
      <c r="N145" s="491">
        <v>988.71</v>
      </c>
      <c r="O145" s="491">
        <v>3295.77</v>
      </c>
      <c r="P145" s="492">
        <f>SUM(compras_mes7[[#This Row],[NETO GRAVADO]:[Otros / No Grav.]])</f>
        <v>44163.720499999996</v>
      </c>
      <c r="Q145" s="493">
        <f>IFERROR(IF(compras_mes7[[#This Row],[CUIT]]="","-",VLOOKUP(compras_mes7[[#This Row],[CUIT]],Lista_CUIT[#All],3,0)),"CUIT NO CARGADO")</f>
        <v>0</v>
      </c>
      <c r="R145" s="493">
        <f>IFERROR(IF(compras_mes7[[#This Row],[CUIT]]="","-",VLOOKUP(compras_mes7[[#This Row],[CUIT]],Lista_CUIT[#All],4,0)),"CUIT NO CARGADO")</f>
        <v>0</v>
      </c>
    </row>
    <row r="146" spans="1:20" x14ac:dyDescent="0.3">
      <c r="B146" s="456">
        <v>45111</v>
      </c>
      <c r="C146" s="457">
        <v>1</v>
      </c>
      <c r="D146" s="458">
        <v>103</v>
      </c>
      <c r="E146" s="506">
        <v>615831</v>
      </c>
      <c r="F146" s="459">
        <v>30701307115</v>
      </c>
      <c r="G146" s="460" t="str">
        <f>IFERROR(IF(compras_mes7[[#This Row],[CUIT]]="","-",VLOOKUP(compras_mes7[[#This Row],[CUIT]],Lista_CUIT[#All],2,0)),"CUIT NO CARGADO")</f>
        <v>DESPEGAR COM AR SA</v>
      </c>
      <c r="H146" s="461">
        <v>59016.02</v>
      </c>
      <c r="I146" s="462">
        <v>1502.5059000000001</v>
      </c>
      <c r="J146" s="462"/>
      <c r="K146" s="462">
        <v>5445.4291499999999</v>
      </c>
      <c r="L146" s="462"/>
      <c r="M146" s="462"/>
      <c r="N146" s="462">
        <v>3944.8</v>
      </c>
      <c r="O146" s="462">
        <v>2990.99</v>
      </c>
      <c r="P146" s="463">
        <f>SUM(compras_mes7[[#This Row],[NETO GRAVADO]:[Otros / No Grav.]])</f>
        <v>72899.745049999998</v>
      </c>
      <c r="Q146" s="464">
        <f>IFERROR(IF(compras_mes7[[#This Row],[CUIT]]="","-",VLOOKUP(compras_mes7[[#This Row],[CUIT]],Lista_CUIT[#All],3,0)),"CUIT NO CARGADO")</f>
        <v>0</v>
      </c>
      <c r="R146" s="464">
        <f>IFERROR(IF(compras_mes7[[#This Row],[CUIT]]="","-",VLOOKUP(compras_mes7[[#This Row],[CUIT]],Lista_CUIT[#All],4,0)),"CUIT NO CARGADO")</f>
        <v>0</v>
      </c>
    </row>
    <row r="147" spans="1:20" x14ac:dyDescent="0.3">
      <c r="B147" s="509">
        <v>45116</v>
      </c>
      <c r="C147" s="511">
        <v>1</v>
      </c>
      <c r="D147" s="512">
        <v>948</v>
      </c>
      <c r="E147" s="513">
        <v>995100</v>
      </c>
      <c r="F147" s="514">
        <v>30639453975</v>
      </c>
      <c r="G147" s="515" t="str">
        <f>IFERROR(IF(compras_mes7[[#This Row],[CUIT]]="","-",VLOOKUP(compras_mes7[[#This Row],[CUIT]],Lista_CUIT[#All],2,0)),"CUIT NO CARGADO")</f>
        <v>TELEFONICA DE ARG S.A.</v>
      </c>
      <c r="H147" s="516">
        <v>6787.35</v>
      </c>
      <c r="I147" s="517"/>
      <c r="J147" s="517">
        <v>1832.58</v>
      </c>
      <c r="K147" s="517"/>
      <c r="L147" s="517">
        <v>203.62</v>
      </c>
      <c r="M147" s="517"/>
      <c r="N147" s="517"/>
      <c r="O147" s="517">
        <v>407.24</v>
      </c>
      <c r="P147" s="492">
        <f>SUM(compras_mes7[[#This Row],[NETO GRAVADO]:[Otros / No Grav.]])</f>
        <v>9230.7900000000009</v>
      </c>
      <c r="Q147" s="519" t="str">
        <f>IFERROR(IF(compras_mes7[[#This Row],[CUIT]]="","-",VLOOKUP(compras_mes7[[#This Row],[CUIT]],Lista_CUIT[#All],3,0)),"CUIT NO CARGADO")</f>
        <v>Servicios Gas, Luz, etc.</v>
      </c>
      <c r="R147" s="519">
        <f>IFERROR(IF(compras_mes7[[#This Row],[CUIT]]="","-",VLOOKUP(compras_mes7[[#This Row],[CUIT]],Lista_CUIT[#All],4,0)),"CUIT NO CARGADO")</f>
        <v>0</v>
      </c>
    </row>
    <row r="148" spans="1:20" x14ac:dyDescent="0.3">
      <c r="B148" s="486">
        <v>45128</v>
      </c>
      <c r="C148" s="494">
        <v>1</v>
      </c>
      <c r="D148" s="487">
        <v>700</v>
      </c>
      <c r="E148" s="488">
        <v>1038529</v>
      </c>
      <c r="F148" s="476">
        <v>30715804812</v>
      </c>
      <c r="G148" s="489" t="str">
        <f>IFERROR(IF(compras_mes7[[#This Row],[CUIT]]="","-",VLOOKUP(compras_mes7[[#This Row],[CUIT]],Lista_CUIT[#All],2,0)),"CUIT NO CARGADO")</f>
        <v>CORREDORES VIALES SOCIEDAD ANONIMA</v>
      </c>
      <c r="H148" s="490">
        <v>578.51</v>
      </c>
      <c r="I148" s="491">
        <f>IF(compras_mes7[[#This Row],[NETO GRAVADO]]="","",compras_mes7[[#This Row],[NETO GRAVADO]]*0.21)</f>
        <v>121.4871</v>
      </c>
      <c r="J148" s="491"/>
      <c r="K148" s="491"/>
      <c r="L148" s="491"/>
      <c r="M148" s="491"/>
      <c r="N148" s="491"/>
      <c r="O148" s="256"/>
      <c r="P148" s="463">
        <f>SUM(compras_mes7[[#This Row],[NETO GRAVADO]:[Otros / No Grav.]])</f>
        <v>699.99710000000005</v>
      </c>
      <c r="Q148" s="493">
        <f>IFERROR(IF(compras_mes7[[#This Row],[CUIT]]="","-",VLOOKUP(compras_mes7[[#This Row],[CUIT]],Lista_CUIT[#All],3,0)),"CUIT NO CARGADO")</f>
        <v>0</v>
      </c>
      <c r="R148" s="493">
        <f>IFERROR(IF(compras_mes7[[#This Row],[CUIT]]="","-",VLOOKUP(compras_mes7[[#This Row],[CUIT]],Lista_CUIT[#All],4,0)),"CUIT NO CARGADO")</f>
        <v>0</v>
      </c>
    </row>
    <row r="149" spans="1:20" x14ac:dyDescent="0.3">
      <c r="B149" s="456">
        <v>45136</v>
      </c>
      <c r="C149" s="457">
        <v>1</v>
      </c>
      <c r="D149" s="458">
        <v>27</v>
      </c>
      <c r="E149" s="506">
        <v>1492646</v>
      </c>
      <c r="F149" s="459">
        <v>30703088534</v>
      </c>
      <c r="G149" s="460" t="str">
        <f>IFERROR(IF(compras_mes7[[#This Row],[CUIT]]="","-",VLOOKUP(compras_mes7[[#This Row],[CUIT]],Lista_CUIT[#All],2,0)),"CUIT NO CARGADO")</f>
        <v>MERCADO LIBRE SRL</v>
      </c>
      <c r="H149" s="461">
        <v>353658.02</v>
      </c>
      <c r="I149" s="462">
        <f>IF(compras_mes7[[#This Row],[NETO GRAVADO]]="","",compras_mes7[[#This Row],[NETO GRAVADO]]*0.21)</f>
        <v>74268.184200000003</v>
      </c>
      <c r="J149" s="462"/>
      <c r="K149" s="462"/>
      <c r="L149" s="462"/>
      <c r="M149" s="462"/>
      <c r="N149" s="462"/>
      <c r="O149" s="462">
        <v>35365.69</v>
      </c>
      <c r="P149" s="463">
        <f>SUM(compras_mes7[[#This Row],[NETO GRAVADO]:[Otros / No Grav.]])</f>
        <v>463291.89420000004</v>
      </c>
      <c r="Q149" s="464" t="str">
        <f>IFERROR(IF(compras_mes7[[#This Row],[CUIT]]="","-",VLOOKUP(compras_mes7[[#This Row],[CUIT]],Lista_CUIT[#All],3,0)),"CUIT NO CARGADO")</f>
        <v>Gastos Varios</v>
      </c>
      <c r="R149" s="464" t="str">
        <f>IFERROR(IF(compras_mes7[[#This Row],[CUIT]]="","-",VLOOKUP(compras_mes7[[#This Row],[CUIT]],Lista_CUIT[#All],4,0)),"CUIT NO CARGADO")</f>
        <v>CABA</v>
      </c>
    </row>
    <row r="150" spans="1:20" x14ac:dyDescent="0.3">
      <c r="B150" s="509">
        <v>45110</v>
      </c>
      <c r="C150" s="494">
        <v>1</v>
      </c>
      <c r="D150" s="487">
        <v>943</v>
      </c>
      <c r="E150" s="488">
        <v>1526639</v>
      </c>
      <c r="F150" s="476">
        <v>30639453975</v>
      </c>
      <c r="G150" s="489" t="str">
        <f>IFERROR(IF(compras_mes7[[#This Row],[CUIT]]="","-",VLOOKUP(compras_mes7[[#This Row],[CUIT]],Lista_CUIT[#All],2,0)),"CUIT NO CARGADO")</f>
        <v>TELEFONICA DE ARG S.A.</v>
      </c>
      <c r="H150" s="490">
        <v>22993.56</v>
      </c>
      <c r="I150" s="491"/>
      <c r="J150" s="491">
        <v>6208.26</v>
      </c>
      <c r="K150" s="491"/>
      <c r="L150" s="491">
        <v>689.81</v>
      </c>
      <c r="M150" s="491"/>
      <c r="N150" s="491">
        <v>1379.61</v>
      </c>
      <c r="O150" s="491"/>
      <c r="P150" s="492">
        <f>SUM(compras_mes7[[#This Row],[NETO GRAVADO]:[Otros / No Grav.]])</f>
        <v>31271.24</v>
      </c>
      <c r="Q150" s="493" t="str">
        <f>IFERROR(IF(compras_mes7[[#This Row],[CUIT]]="","-",VLOOKUP(compras_mes7[[#This Row],[CUIT]],Lista_CUIT[#All],3,0)),"CUIT NO CARGADO")</f>
        <v>Servicios Gas, Luz, etc.</v>
      </c>
      <c r="R150" s="493">
        <f>IFERROR(IF(compras_mes7[[#This Row],[CUIT]]="","-",VLOOKUP(compras_mes7[[#This Row],[CUIT]],Lista_CUIT[#All],4,0)),"CUIT NO CARGADO")</f>
        <v>0</v>
      </c>
    </row>
    <row r="151" spans="1:20" s="56" customFormat="1" ht="18.600000000000001" customHeight="1" x14ac:dyDescent="0.3">
      <c r="B151" s="509">
        <v>45122</v>
      </c>
      <c r="C151" s="511">
        <v>1</v>
      </c>
      <c r="D151" s="512">
        <v>4264</v>
      </c>
      <c r="E151" s="513">
        <v>2249577</v>
      </c>
      <c r="F151" s="514">
        <v>30639453738</v>
      </c>
      <c r="G151" s="515" t="str">
        <f>IFERROR(IF(compras_mes7[[#This Row],[CUIT]]="","-",VLOOKUP(compras_mes7[[#This Row],[CUIT]],Lista_CUIT[#All],2,0)),"CUIT NO CARGADO")</f>
        <v>TELECOM ARG SA</v>
      </c>
      <c r="H151" s="516">
        <v>15000</v>
      </c>
      <c r="I151" s="517">
        <f>IF(compras_mes7[[#This Row],[NETO GRAVADO]]="","",compras_mes7[[#This Row],[NETO GRAVADO]]*0.21)</f>
        <v>3150</v>
      </c>
      <c r="J151" s="517"/>
      <c r="K151" s="517"/>
      <c r="L151" s="517"/>
      <c r="M151" s="517"/>
      <c r="N151" s="517">
        <v>1350</v>
      </c>
      <c r="O151" s="517"/>
      <c r="P151" s="492">
        <f>SUM(compras_mes7[[#This Row],[NETO GRAVADO]:[Otros / No Grav.]])</f>
        <v>19500</v>
      </c>
      <c r="Q151" s="519" t="str">
        <f>IFERROR(IF(compras_mes7[[#This Row],[CUIT]]="","-",VLOOKUP(compras_mes7[[#This Row],[CUIT]],Lista_CUIT[#All],3,0)),"CUIT NO CARGADO")</f>
        <v>Servicios Gas, Luz, etc.</v>
      </c>
      <c r="R151" s="519">
        <f>IFERROR(IF(compras_mes7[[#This Row],[CUIT]]="","-",VLOOKUP(compras_mes7[[#This Row],[CUIT]],Lista_CUIT[#All],4,0)),"CUIT NO CARGADO")</f>
        <v>0</v>
      </c>
    </row>
    <row r="152" spans="1:20" x14ac:dyDescent="0.3">
      <c r="B152" s="509">
        <v>45122</v>
      </c>
      <c r="C152" s="511">
        <v>1</v>
      </c>
      <c r="D152" s="512">
        <v>4264</v>
      </c>
      <c r="E152" s="513">
        <v>2254124</v>
      </c>
      <c r="F152" s="514">
        <v>30639453738</v>
      </c>
      <c r="G152" s="515" t="str">
        <f>IFERROR(IF(compras_mes7[[#This Row],[CUIT]]="","-",VLOOKUP(compras_mes7[[#This Row],[CUIT]],Lista_CUIT[#All],2,0)),"CUIT NO CARGADO")</f>
        <v>TELECOM ARG SA</v>
      </c>
      <c r="H152" s="516">
        <v>11200</v>
      </c>
      <c r="I152" s="517">
        <f>IF(compras_mes7[[#This Row],[NETO GRAVADO]]="","",compras_mes7[[#This Row],[NETO GRAVADO]]*0.21)</f>
        <v>2352</v>
      </c>
      <c r="J152" s="517"/>
      <c r="K152" s="517"/>
      <c r="L152" s="517"/>
      <c r="M152" s="517"/>
      <c r="N152" s="517">
        <v>336</v>
      </c>
      <c r="O152" s="517"/>
      <c r="P152" s="492">
        <f>SUM(compras_mes7[[#This Row],[NETO GRAVADO]:[Otros / No Grav.]])</f>
        <v>13888</v>
      </c>
      <c r="Q152" s="519" t="str">
        <f>IFERROR(IF(compras_mes7[[#This Row],[CUIT]]="","-",VLOOKUP(compras_mes7[[#This Row],[CUIT]],Lista_CUIT[#All],3,0)),"CUIT NO CARGADO")</f>
        <v>Servicios Gas, Luz, etc.</v>
      </c>
      <c r="R152" s="519">
        <f>IFERROR(IF(compras_mes7[[#This Row],[CUIT]]="","-",VLOOKUP(compras_mes7[[#This Row],[CUIT]],Lista_CUIT[#All],4,0)),"CUIT NO CARGADO")</f>
        <v>0</v>
      </c>
    </row>
    <row r="153" spans="1:20" x14ac:dyDescent="0.3">
      <c r="B153" s="509">
        <v>45122</v>
      </c>
      <c r="C153" s="511">
        <v>1</v>
      </c>
      <c r="D153" s="512">
        <v>4264</v>
      </c>
      <c r="E153" s="513">
        <v>2302878</v>
      </c>
      <c r="F153" s="514">
        <v>30639453738</v>
      </c>
      <c r="G153" s="515" t="str">
        <f>IFERROR(IF(compras_mes7[[#This Row],[CUIT]]="","-",VLOOKUP(compras_mes7[[#This Row],[CUIT]],Lista_CUIT[#All],2,0)),"CUIT NO CARGADO")</f>
        <v>TELECOM ARG SA</v>
      </c>
      <c r="H153" s="516">
        <v>23550</v>
      </c>
      <c r="I153" s="517">
        <f>IF(compras_mes7[[#This Row],[NETO GRAVADO]]="","",compras_mes7[[#This Row],[NETO GRAVADO]]*0.21)</f>
        <v>4945.5</v>
      </c>
      <c r="J153" s="517"/>
      <c r="K153" s="517"/>
      <c r="L153" s="517"/>
      <c r="M153" s="517"/>
      <c r="N153" s="517">
        <v>2119.5</v>
      </c>
      <c r="O153" s="517"/>
      <c r="P153" s="492">
        <f>SUM(compras_mes7[[#This Row],[NETO GRAVADO]:[Otros / No Grav.]])</f>
        <v>30615</v>
      </c>
      <c r="Q153" s="519" t="str">
        <f>IFERROR(IF(compras_mes7[[#This Row],[CUIT]]="","-",VLOOKUP(compras_mes7[[#This Row],[CUIT]],Lista_CUIT[#All],3,0)),"CUIT NO CARGADO")</f>
        <v>Servicios Gas, Luz, etc.</v>
      </c>
      <c r="R153" s="519">
        <f>IFERROR(IF(compras_mes7[[#This Row],[CUIT]]="","-",VLOOKUP(compras_mes7[[#This Row],[CUIT]],Lista_CUIT[#All],4,0)),"CUIT NO CARGADO")</f>
        <v>0</v>
      </c>
    </row>
    <row r="154" spans="1:20" x14ac:dyDescent="0.3">
      <c r="B154" s="456">
        <v>45113</v>
      </c>
      <c r="C154" s="457">
        <v>1</v>
      </c>
      <c r="D154" s="458">
        <v>63</v>
      </c>
      <c r="E154" s="506">
        <v>2451912</v>
      </c>
      <c r="F154" s="459">
        <v>30640897267</v>
      </c>
      <c r="G154" s="460" t="str">
        <f>IFERROR(IF(compras_mes7[[#This Row],[CUIT]]="","-",VLOOKUP(compras_mes7[[#This Row],[CUIT]],Lista_CUIT[#All],2,0)),"CUIT NO CARGADO")</f>
        <v>TELECENTRO S.A.</v>
      </c>
      <c r="H154" s="461">
        <v>11671.74</v>
      </c>
      <c r="I154" s="462">
        <f>IF(compras_mes7[[#This Row],[NETO GRAVADO]]="","",compras_mes7[[#This Row],[NETO GRAVADO]]*0.21)</f>
        <v>2451.0654</v>
      </c>
      <c r="J154" s="462"/>
      <c r="K154" s="462"/>
      <c r="L154" s="462">
        <v>350.15</v>
      </c>
      <c r="M154" s="462"/>
      <c r="N154" s="462">
        <v>700.3</v>
      </c>
      <c r="O154" s="462"/>
      <c r="P154" s="463">
        <f>SUM(compras_mes7[[#This Row],[NETO GRAVADO]:[Otros / No Grav.]])</f>
        <v>15173.255399999998</v>
      </c>
      <c r="Q154" s="464">
        <f>IFERROR(IF(compras_mes7[[#This Row],[CUIT]]="","-",VLOOKUP(compras_mes7[[#This Row],[CUIT]],Lista_CUIT[#All],3,0)),"CUIT NO CARGADO")</f>
        <v>0</v>
      </c>
      <c r="R154" s="464">
        <f>IFERROR(IF(compras_mes7[[#This Row],[CUIT]]="","-",VLOOKUP(compras_mes7[[#This Row],[CUIT]],Lista_CUIT[#All],4,0)),"CUIT NO CARGADO")</f>
        <v>0</v>
      </c>
    </row>
    <row r="155" spans="1:20" x14ac:dyDescent="0.3">
      <c r="B155" s="486">
        <v>45113</v>
      </c>
      <c r="C155" s="494">
        <v>1</v>
      </c>
      <c r="D155" s="487">
        <v>63</v>
      </c>
      <c r="E155" s="488">
        <v>2452608</v>
      </c>
      <c r="F155" s="476">
        <v>30640897267</v>
      </c>
      <c r="G155" s="489" t="str">
        <f>IFERROR(IF(compras_mes7[[#This Row],[CUIT]]="","-",VLOOKUP(compras_mes7[[#This Row],[CUIT]],Lista_CUIT[#All],2,0)),"CUIT NO CARGADO")</f>
        <v>TELECENTRO S.A.</v>
      </c>
      <c r="H155" s="490">
        <v>11671.74</v>
      </c>
      <c r="I155" s="491">
        <f>IF(compras_mes7[[#This Row],[NETO GRAVADO]]="","",compras_mes7[[#This Row],[NETO GRAVADO]]*0.21)</f>
        <v>2451.0654</v>
      </c>
      <c r="J155" s="491"/>
      <c r="K155" s="491"/>
      <c r="L155" s="491">
        <v>350.15</v>
      </c>
      <c r="M155" s="491"/>
      <c r="N155" s="491">
        <v>700.3</v>
      </c>
      <c r="O155" s="491"/>
      <c r="P155" s="492">
        <f>SUM(compras_mes7[[#This Row],[NETO GRAVADO]:[Otros / No Grav.]])</f>
        <v>15173.255399999998</v>
      </c>
      <c r="Q155" s="493">
        <f>IFERROR(IF(compras_mes7[[#This Row],[CUIT]]="","-",VLOOKUP(compras_mes7[[#This Row],[CUIT]],Lista_CUIT[#All],3,0)),"CUIT NO CARGADO")</f>
        <v>0</v>
      </c>
      <c r="R155" s="493">
        <f>IFERROR(IF(compras_mes7[[#This Row],[CUIT]]="","-",VLOOKUP(compras_mes7[[#This Row],[CUIT]],Lista_CUIT[#All],4,0)),"CUIT NO CARGADO")</f>
        <v>0</v>
      </c>
    </row>
    <row r="156" spans="1:20" x14ac:dyDescent="0.3">
      <c r="B156" s="486">
        <v>45128</v>
      </c>
      <c r="C156" s="494">
        <v>1</v>
      </c>
      <c r="D156" s="487">
        <v>5</v>
      </c>
      <c r="E156" s="488">
        <v>2818539</v>
      </c>
      <c r="F156" s="476">
        <v>30702652975</v>
      </c>
      <c r="G156" s="489" t="str">
        <f>IFERROR(IF(compras_mes7[[#This Row],[CUIT]]="","-",VLOOKUP(compras_mes7[[#This Row],[CUIT]],Lista_CUIT[#All],2,0)),"CUIT NO CARGADO")</f>
        <v>NSS SA</v>
      </c>
      <c r="H156" s="490">
        <v>8591.91</v>
      </c>
      <c r="I156" s="491">
        <f>IF(compras_mes7[[#This Row],[NETO GRAVADO]]="","",compras_mes7[[#This Row],[NETO GRAVADO]]*0.21)</f>
        <v>1804.3010999999999</v>
      </c>
      <c r="J156" s="491"/>
      <c r="K156" s="491"/>
      <c r="L156" s="491"/>
      <c r="M156" s="491"/>
      <c r="N156" s="491">
        <v>515.51</v>
      </c>
      <c r="O156" s="491"/>
      <c r="P156" s="492">
        <f>SUM(compras_mes7[[#This Row],[NETO GRAVADO]:[Otros / No Grav.]])</f>
        <v>10911.721100000001</v>
      </c>
      <c r="Q156" s="493" t="str">
        <f>IFERROR(IF(compras_mes7[[#This Row],[CUIT]]="","-",VLOOKUP(compras_mes7[[#This Row],[CUIT]],Lista_CUIT[#All],3,0)),"CUIT NO CARGADO")</f>
        <v>Servicios Gas, Luz, etc.</v>
      </c>
      <c r="R156" s="493">
        <f>IFERROR(IF(compras_mes7[[#This Row],[CUIT]]="","-",VLOOKUP(compras_mes7[[#This Row],[CUIT]],Lista_CUIT[#All],4,0)),"CUIT NO CARGADO")</f>
        <v>0</v>
      </c>
    </row>
    <row r="157" spans="1:20" s="508" customFormat="1" x14ac:dyDescent="0.3">
      <c r="A157"/>
      <c r="B157" s="486">
        <v>45138</v>
      </c>
      <c r="C157" s="494">
        <v>1</v>
      </c>
      <c r="D157" s="487">
        <v>50</v>
      </c>
      <c r="E157" s="488">
        <v>3193500</v>
      </c>
      <c r="F157" s="476">
        <v>30714112836</v>
      </c>
      <c r="G157" s="489" t="str">
        <f>IFERROR(IF(compras_mes7[[#This Row],[CUIT]]="","-",VLOOKUP(compras_mes7[[#This Row],[CUIT]],Lista_CUIT[#All],2,0)),"CUIT NO CARGADO")</f>
        <v>AUTOPISTAS DE BS AS</v>
      </c>
      <c r="H157" s="490">
        <v>6913.22</v>
      </c>
      <c r="I157" s="491">
        <f>IF(compras_mes7[[#This Row],[NETO GRAVADO]]="","",compras_mes7[[#This Row],[NETO GRAVADO]]*0.21)</f>
        <v>1451.7762</v>
      </c>
      <c r="J157" s="491"/>
      <c r="K157" s="491"/>
      <c r="L157" s="491">
        <v>207.4</v>
      </c>
      <c r="M157" s="491"/>
      <c r="N157" s="491"/>
      <c r="O157" s="491"/>
      <c r="P157" s="492">
        <f>SUM(compras_mes7[[#This Row],[NETO GRAVADO]:[Otros / No Grav.]])</f>
        <v>8572.3961999999992</v>
      </c>
      <c r="Q157" s="493">
        <f>IFERROR(IF(compras_mes7[[#This Row],[CUIT]]="","-",VLOOKUP(compras_mes7[[#This Row],[CUIT]],Lista_CUIT[#All],3,0)),"CUIT NO CARGADO")</f>
        <v>0</v>
      </c>
      <c r="R157" s="493">
        <f>IFERROR(IF(compras_mes7[[#This Row],[CUIT]]="","-",VLOOKUP(compras_mes7[[#This Row],[CUIT]],Lista_CUIT[#All],4,0)),"CUIT NO CARGADO")</f>
        <v>0</v>
      </c>
      <c r="S157"/>
      <c r="T157" s="128"/>
    </row>
    <row r="158" spans="1:20" s="508" customFormat="1" x14ac:dyDescent="0.3">
      <c r="A158"/>
      <c r="B158" s="486">
        <v>45126</v>
      </c>
      <c r="C158" s="494">
        <v>1</v>
      </c>
      <c r="D158" s="487">
        <v>113</v>
      </c>
      <c r="E158" s="488">
        <v>3256942</v>
      </c>
      <c r="F158" s="476">
        <v>30577207190</v>
      </c>
      <c r="G158" s="489" t="str">
        <f>IFERROR(IF(compras_mes7[[#This Row],[CUIT]]="","-",VLOOKUP(compras_mes7[[#This Row],[CUIT]],Lista_CUIT[#All],2,0)),"CUIT NO CARGADO")</f>
        <v>COORDINACION ECOLOGICA AREA METROPOLITANA SOCIEDAD DEL ESTADO</v>
      </c>
      <c r="H158" s="490">
        <v>2861.16</v>
      </c>
      <c r="I158" s="491">
        <f>IF(compras_mes7[[#This Row],[NETO GRAVADO]]="","",compras_mes7[[#This Row],[NETO GRAVADO]]*0.21)</f>
        <v>600.84359999999992</v>
      </c>
      <c r="J158" s="491"/>
      <c r="K158" s="491"/>
      <c r="L158" s="491">
        <v>85.83</v>
      </c>
      <c r="M158" s="491"/>
      <c r="N158" s="491"/>
      <c r="O158" s="491"/>
      <c r="P158" s="492">
        <f>SUM(compras_mes7[[#This Row],[NETO GRAVADO]:[Otros / No Grav.]])</f>
        <v>3547.8335999999999</v>
      </c>
      <c r="Q158" s="493">
        <f>IFERROR(IF(compras_mes7[[#This Row],[CUIT]]="","-",VLOOKUP(compras_mes7[[#This Row],[CUIT]],Lista_CUIT[#All],3,0)),"CUIT NO CARGADO")</f>
        <v>0</v>
      </c>
      <c r="R158" s="493">
        <f>IFERROR(IF(compras_mes7[[#This Row],[CUIT]]="","-",VLOOKUP(compras_mes7[[#This Row],[CUIT]],Lista_CUIT[#All],4,0)),"CUIT NO CARGADO")</f>
        <v>0</v>
      </c>
      <c r="S158"/>
      <c r="T158" s="128"/>
    </row>
    <row r="159" spans="1:20" s="508" customFormat="1" x14ac:dyDescent="0.3">
      <c r="A159"/>
      <c r="B159" s="509">
        <v>45125</v>
      </c>
      <c r="C159" s="511">
        <v>1</v>
      </c>
      <c r="D159" s="512">
        <v>3034</v>
      </c>
      <c r="E159" s="513">
        <v>4124486</v>
      </c>
      <c r="F159" s="514">
        <v>30708574836</v>
      </c>
      <c r="G159" s="515" t="str">
        <f>IFERROR(IF(compras_mes7[[#This Row],[CUIT]]="","-",VLOOKUP(compras_mes7[[#This Row],[CUIT]],Lista_CUIT[#All],2,0)),"CUIT NO CARGADO")</f>
        <v>CORREO OFICIAL DE LA REPUBLICA ARGENTINA SOCIEDAD ANONIMA</v>
      </c>
      <c r="H159" s="516">
        <v>1557.87</v>
      </c>
      <c r="I159" s="517">
        <f>IF(compras_mes7[[#This Row],[NETO GRAVADO]]="","",compras_mes7[[#This Row],[NETO GRAVADO]]*0.21)</f>
        <v>327.15269999999998</v>
      </c>
      <c r="J159" s="517"/>
      <c r="K159" s="517"/>
      <c r="L159" s="517"/>
      <c r="M159" s="517"/>
      <c r="N159" s="517"/>
      <c r="O159" s="517"/>
      <c r="P159" s="518">
        <f>SUM(compras_mes7[[#This Row],[NETO GRAVADO]:[Otros / No Grav.]])</f>
        <v>1885.0227</v>
      </c>
      <c r="Q159" s="519" t="str">
        <f>IFERROR(IF(compras_mes7[[#This Row],[CUIT]]="","-",VLOOKUP(compras_mes7[[#This Row],[CUIT]],Lista_CUIT[#All],3,0)),"CUIT NO CARGADO")</f>
        <v>MESAJERIA</v>
      </c>
      <c r="R159" s="519">
        <f>IFERROR(IF(compras_mes7[[#This Row],[CUIT]]="","-",VLOOKUP(compras_mes7[[#This Row],[CUIT]],Lista_CUIT[#All],4,0)),"CUIT NO CARGADO")</f>
        <v>0</v>
      </c>
      <c r="S159"/>
      <c r="T159" s="128"/>
    </row>
    <row r="160" spans="1:20" s="508" customFormat="1" x14ac:dyDescent="0.3">
      <c r="A160"/>
      <c r="B160" s="486">
        <v>45111</v>
      </c>
      <c r="C160" s="494">
        <v>1</v>
      </c>
      <c r="D160" s="487">
        <v>629</v>
      </c>
      <c r="E160" s="488">
        <v>4298649</v>
      </c>
      <c r="F160" s="476">
        <v>30663498513</v>
      </c>
      <c r="G160" s="489" t="str">
        <f>IFERROR(IF(compras_mes7[[#This Row],[CUIT]]="","-",VLOOKUP(compras_mes7[[#This Row],[CUIT]],Lista_CUIT[#All],2,0)),"CUIT NO CARGADO")</f>
        <v>GRUPO CONCES. DEL OESTE SA</v>
      </c>
      <c r="H160" s="490">
        <v>2603.29</v>
      </c>
      <c r="I160" s="491">
        <f>IF(compras_mes7[[#This Row],[NETO GRAVADO]]="","",compras_mes7[[#This Row],[NETO GRAVADO]]*0.21)</f>
        <v>546.69089999999994</v>
      </c>
      <c r="J160" s="491"/>
      <c r="K160" s="491"/>
      <c r="L160" s="491"/>
      <c r="M160" s="491"/>
      <c r="N160" s="491"/>
      <c r="O160" s="491"/>
      <c r="P160" s="492">
        <f>SUM(compras_mes7[[#This Row],[NETO GRAVADO]:[Otros / No Grav.]])</f>
        <v>3149.9809</v>
      </c>
      <c r="Q160" s="493">
        <f>IFERROR(IF(compras_mes7[[#This Row],[CUIT]]="","-",VLOOKUP(compras_mes7[[#This Row],[CUIT]],Lista_CUIT[#All],3,0)),"CUIT NO CARGADO")</f>
        <v>0</v>
      </c>
      <c r="R160" s="493">
        <f>IFERROR(IF(compras_mes7[[#This Row],[CUIT]]="","-",VLOOKUP(compras_mes7[[#This Row],[CUIT]],Lista_CUIT[#All],4,0)),"CUIT NO CARGADO")</f>
        <v>0</v>
      </c>
      <c r="S160"/>
      <c r="T160" s="128"/>
    </row>
    <row r="161" spans="1:20" s="508" customFormat="1" x14ac:dyDescent="0.3">
      <c r="A161"/>
      <c r="B161" s="509">
        <v>45125</v>
      </c>
      <c r="C161" s="511">
        <v>1</v>
      </c>
      <c r="D161" s="512">
        <v>629</v>
      </c>
      <c r="E161" s="513">
        <v>4337246</v>
      </c>
      <c r="F161" s="514">
        <v>30663498513</v>
      </c>
      <c r="G161" s="515" t="str">
        <f>IFERROR(IF(compras_mes7[[#This Row],[CUIT]]="","-",VLOOKUP(compras_mes7[[#This Row],[CUIT]],Lista_CUIT[#All],2,0)),"CUIT NO CARGADO")</f>
        <v>GRUPO CONCES. DEL OESTE SA</v>
      </c>
      <c r="H161" s="516">
        <v>2107.37</v>
      </c>
      <c r="I161" s="517">
        <f>IF(compras_mes7[[#This Row],[NETO GRAVADO]]="","",compras_mes7[[#This Row],[NETO GRAVADO]]*0.21)</f>
        <v>442.54769999999996</v>
      </c>
      <c r="J161" s="517"/>
      <c r="K161" s="517"/>
      <c r="L161" s="517"/>
      <c r="M161" s="517"/>
      <c r="N161" s="517"/>
      <c r="O161" s="517"/>
      <c r="P161" s="492">
        <f>SUM(compras_mes7[[#This Row],[NETO GRAVADO]:[Otros / No Grav.]])</f>
        <v>2549.9177</v>
      </c>
      <c r="Q161" s="519">
        <f>IFERROR(IF(compras_mes7[[#This Row],[CUIT]]="","-",VLOOKUP(compras_mes7[[#This Row],[CUIT]],Lista_CUIT[#All],3,0)),"CUIT NO CARGADO")</f>
        <v>0</v>
      </c>
      <c r="R161" s="519">
        <f>IFERROR(IF(compras_mes7[[#This Row],[CUIT]]="","-",VLOOKUP(compras_mes7[[#This Row],[CUIT]],Lista_CUIT[#All],4,0)),"CUIT NO CARGADO")</f>
        <v>0</v>
      </c>
      <c r="S161"/>
      <c r="T161" s="128"/>
    </row>
    <row r="162" spans="1:20" s="508" customFormat="1" x14ac:dyDescent="0.3">
      <c r="A162"/>
      <c r="B162" s="486">
        <v>45111</v>
      </c>
      <c r="C162" s="494">
        <v>1</v>
      </c>
      <c r="D162" s="487">
        <v>711</v>
      </c>
      <c r="E162" s="488">
        <v>4487832</v>
      </c>
      <c r="F162" s="476">
        <v>30677237119</v>
      </c>
      <c r="G162" s="489" t="str">
        <f>IFERROR(IF(compras_mes7[[#This Row],[CUIT]]="","-",VLOOKUP(compras_mes7[[#This Row],[CUIT]],Lista_CUIT[#All],2,0)),"CUIT NO CARGADO")</f>
        <v>AUTOPISTAS DEL SOL S A</v>
      </c>
      <c r="H162" s="490">
        <v>1735.49</v>
      </c>
      <c r="I162" s="491">
        <f>IF(compras_mes7[[#This Row],[NETO GRAVADO]]="","",compras_mes7[[#This Row],[NETO GRAVADO]]*0.21)</f>
        <v>364.4529</v>
      </c>
      <c r="J162" s="491"/>
      <c r="K162" s="491"/>
      <c r="L162" s="491"/>
      <c r="M162" s="491"/>
      <c r="N162" s="491"/>
      <c r="O162" s="491"/>
      <c r="P162" s="492">
        <f>SUM(compras_mes7[[#This Row],[NETO GRAVADO]:[Otros / No Grav.]])</f>
        <v>2099.9429</v>
      </c>
      <c r="Q162" s="493">
        <f>IFERROR(IF(compras_mes7[[#This Row],[CUIT]]="","-",VLOOKUP(compras_mes7[[#This Row],[CUIT]],Lista_CUIT[#All],3,0)),"CUIT NO CARGADO")</f>
        <v>0</v>
      </c>
      <c r="R162" s="493">
        <f>IFERROR(IF(compras_mes7[[#This Row],[CUIT]]="","-",VLOOKUP(compras_mes7[[#This Row],[CUIT]],Lista_CUIT[#All],4,0)),"CUIT NO CARGADO")</f>
        <v>0</v>
      </c>
      <c r="S162"/>
      <c r="T162" s="128"/>
    </row>
    <row r="163" spans="1:20" s="508" customFormat="1" x14ac:dyDescent="0.3">
      <c r="A163"/>
      <c r="B163" s="509">
        <v>45125</v>
      </c>
      <c r="C163" s="511">
        <v>1</v>
      </c>
      <c r="D163" s="512">
        <v>711</v>
      </c>
      <c r="E163" s="513">
        <v>4543918</v>
      </c>
      <c r="F163" s="514">
        <v>30677237119</v>
      </c>
      <c r="G163" s="515" t="str">
        <f>IFERROR(IF(compras_mes7[[#This Row],[CUIT]]="","-",VLOOKUP(compras_mes7[[#This Row],[CUIT]],Lista_CUIT[#All],2,0)),"CUIT NO CARGADO")</f>
        <v>AUTOPISTAS DEL SOL S A</v>
      </c>
      <c r="H163" s="516">
        <v>3099.13</v>
      </c>
      <c r="I163" s="517">
        <f>IF(compras_mes7[[#This Row],[NETO GRAVADO]]="","",compras_mes7[[#This Row],[NETO GRAVADO]]*0.21)</f>
        <v>650.81730000000005</v>
      </c>
      <c r="J163" s="517"/>
      <c r="K163" s="517"/>
      <c r="L163" s="517"/>
      <c r="M163" s="517"/>
      <c r="N163" s="517"/>
      <c r="O163" s="517">
        <v>92.97</v>
      </c>
      <c r="P163" s="492">
        <f>SUM(compras_mes7[[#This Row],[NETO GRAVADO]:[Otros / No Grav.]])</f>
        <v>3842.9173000000001</v>
      </c>
      <c r="Q163" s="519">
        <f>IFERROR(IF(compras_mes7[[#This Row],[CUIT]]="","-",VLOOKUP(compras_mes7[[#This Row],[CUIT]],Lista_CUIT[#All],3,0)),"CUIT NO CARGADO")</f>
        <v>0</v>
      </c>
      <c r="R163" s="519">
        <f>IFERROR(IF(compras_mes7[[#This Row],[CUIT]]="","-",VLOOKUP(compras_mes7[[#This Row],[CUIT]],Lista_CUIT[#All],4,0)),"CUIT NO CARGADO")</f>
        <v>0</v>
      </c>
      <c r="S163"/>
      <c r="T163" s="128"/>
    </row>
    <row r="164" spans="1:20" s="508" customFormat="1" x14ac:dyDescent="0.3">
      <c r="A164"/>
      <c r="B164" s="456">
        <v>45117</v>
      </c>
      <c r="C164" s="457">
        <v>1</v>
      </c>
      <c r="D164" s="458">
        <v>6364</v>
      </c>
      <c r="E164" s="506">
        <v>7662021</v>
      </c>
      <c r="F164" s="459">
        <v>30639453738</v>
      </c>
      <c r="G164" s="460" t="str">
        <f>IFERROR(IF(compras_mes7[[#This Row],[CUIT]]="","-",VLOOKUP(compras_mes7[[#This Row],[CUIT]],Lista_CUIT[#All],2,0)),"CUIT NO CARGADO")</f>
        <v>TELECOM ARG SA</v>
      </c>
      <c r="H164" s="461">
        <v>64456.160000000003</v>
      </c>
      <c r="I164" s="462">
        <v>13217.01</v>
      </c>
      <c r="J164" s="462">
        <v>409.86</v>
      </c>
      <c r="K164" s="462"/>
      <c r="L164" s="462">
        <v>1933.68</v>
      </c>
      <c r="M164" s="462"/>
      <c r="N164" s="462">
        <v>3509.5</v>
      </c>
      <c r="O164" s="462">
        <f>79.89+51.75</f>
        <v>131.63999999999999</v>
      </c>
      <c r="P164" s="463">
        <f>SUM(compras_mes7[[#This Row],[NETO GRAVADO]:[Otros / No Grav.]])</f>
        <v>83657.849999999991</v>
      </c>
      <c r="Q164" s="464" t="str">
        <f>IFERROR(IF(compras_mes7[[#This Row],[CUIT]]="","-",VLOOKUP(compras_mes7[[#This Row],[CUIT]],Lista_CUIT[#All],3,0)),"CUIT NO CARGADO")</f>
        <v>Servicios Gas, Luz, etc.</v>
      </c>
      <c r="R164" s="464">
        <f>IFERROR(IF(compras_mes7[[#This Row],[CUIT]]="","-",VLOOKUP(compras_mes7[[#This Row],[CUIT]],Lista_CUIT[#All],4,0)),"CUIT NO CARGADO")</f>
        <v>0</v>
      </c>
      <c r="S164"/>
      <c r="T164" s="128"/>
    </row>
    <row r="165" spans="1:20" s="508" customFormat="1" x14ac:dyDescent="0.3">
      <c r="A165"/>
      <c r="B165" s="509">
        <v>45117</v>
      </c>
      <c r="C165" s="511">
        <v>1</v>
      </c>
      <c r="D165" s="512">
        <v>6</v>
      </c>
      <c r="E165" s="513">
        <v>14420697</v>
      </c>
      <c r="F165" s="514">
        <v>30620177497</v>
      </c>
      <c r="G165" s="515" t="str">
        <f>IFERROR(IF(compras_mes7[[#This Row],[CUIT]]="","-",VLOOKUP(compras_mes7[[#This Row],[CUIT]],Lista_CUIT[#All],2,0)),"CUIT NO CARGADO")</f>
        <v>POSNET SRL</v>
      </c>
      <c r="H165" s="516">
        <v>5021.58</v>
      </c>
      <c r="I165" s="517">
        <f>IF(compras_mes7[[#This Row],[NETO GRAVADO]]="","",compras_mes7[[#This Row],[NETO GRAVADO]]*0.21)</f>
        <v>1054.5318</v>
      </c>
      <c r="J165" s="517"/>
      <c r="K165" s="517"/>
      <c r="L165" s="517"/>
      <c r="M165" s="517"/>
      <c r="N165" s="517">
        <v>451.94</v>
      </c>
      <c r="O165" s="517"/>
      <c r="P165" s="518">
        <f>SUM(compras_mes7[[#This Row],[NETO GRAVADO]:[Otros / No Grav.]])</f>
        <v>6528.0517999999993</v>
      </c>
      <c r="Q165" s="519" t="str">
        <f>IFERROR(IF(compras_mes7[[#This Row],[CUIT]]="","-",VLOOKUP(compras_mes7[[#This Row],[CUIT]],Lista_CUIT[#All],3,0)),"CUIT NO CARGADO")</f>
        <v>Servicios Gas, Luz, etc.</v>
      </c>
      <c r="R165" s="519">
        <f>IFERROR(IF(compras_mes7[[#This Row],[CUIT]]="","-",VLOOKUP(compras_mes7[[#This Row],[CUIT]],Lista_CUIT[#All],4,0)),"CUIT NO CARGADO")</f>
        <v>0</v>
      </c>
      <c r="S165"/>
      <c r="T165" s="128"/>
    </row>
    <row r="166" spans="1:20" s="508" customFormat="1" x14ac:dyDescent="0.3">
      <c r="A166"/>
      <c r="B166" s="509">
        <v>45117</v>
      </c>
      <c r="C166" s="511">
        <v>1</v>
      </c>
      <c r="D166" s="512">
        <v>6</v>
      </c>
      <c r="E166" s="513">
        <v>14420704</v>
      </c>
      <c r="F166" s="514">
        <v>30620177497</v>
      </c>
      <c r="G166" s="515" t="str">
        <f>IFERROR(IF(compras_mes7[[#This Row],[CUIT]]="","-",VLOOKUP(compras_mes7[[#This Row],[CUIT]],Lista_CUIT[#All],2,0)),"CUIT NO CARGADO")</f>
        <v>POSNET SRL</v>
      </c>
      <c r="H166" s="516">
        <v>5021.58</v>
      </c>
      <c r="I166" s="517">
        <f>IF(compras_mes7[[#This Row],[NETO GRAVADO]]="","",compras_mes7[[#This Row],[NETO GRAVADO]]*0.21)</f>
        <v>1054.5318</v>
      </c>
      <c r="J166" s="517"/>
      <c r="K166" s="517"/>
      <c r="L166" s="517"/>
      <c r="M166" s="517"/>
      <c r="N166" s="517">
        <v>451.94</v>
      </c>
      <c r="O166" s="517"/>
      <c r="P166" s="492">
        <f>SUM(compras_mes7[[#This Row],[NETO GRAVADO]:[Otros / No Grav.]])</f>
        <v>6528.0517999999993</v>
      </c>
      <c r="Q166" s="519" t="str">
        <f>IFERROR(IF(compras_mes7[[#This Row],[CUIT]]="","-",VLOOKUP(compras_mes7[[#This Row],[CUIT]],Lista_CUIT[#All],3,0)),"CUIT NO CARGADO")</f>
        <v>Servicios Gas, Luz, etc.</v>
      </c>
      <c r="R166" s="519">
        <f>IFERROR(IF(compras_mes7[[#This Row],[CUIT]]="","-",VLOOKUP(compras_mes7[[#This Row],[CUIT]],Lista_CUIT[#All],4,0)),"CUIT NO CARGADO")</f>
        <v>0</v>
      </c>
      <c r="S166"/>
      <c r="T166" s="128"/>
    </row>
    <row r="167" spans="1:20" s="508" customFormat="1" x14ac:dyDescent="0.3">
      <c r="A167"/>
      <c r="B167" s="509">
        <v>45117</v>
      </c>
      <c r="C167" s="511">
        <v>1</v>
      </c>
      <c r="D167" s="512">
        <v>6</v>
      </c>
      <c r="E167" s="513">
        <v>14420723</v>
      </c>
      <c r="F167" s="514">
        <v>30620177497</v>
      </c>
      <c r="G167" s="515" t="str">
        <f>IFERROR(IF(compras_mes7[[#This Row],[CUIT]]="","-",VLOOKUP(compras_mes7[[#This Row],[CUIT]],Lista_CUIT[#All],2,0)),"CUIT NO CARGADO")</f>
        <v>POSNET SRL</v>
      </c>
      <c r="H167" s="516">
        <v>5021.58</v>
      </c>
      <c r="I167" s="517">
        <f>IF(compras_mes7[[#This Row],[NETO GRAVADO]]="","",compras_mes7[[#This Row],[NETO GRAVADO]]*0.21)</f>
        <v>1054.5318</v>
      </c>
      <c r="J167" s="517"/>
      <c r="K167" s="517"/>
      <c r="L167" s="517"/>
      <c r="M167" s="517"/>
      <c r="N167" s="517">
        <v>451.94</v>
      </c>
      <c r="O167" s="517"/>
      <c r="P167" s="492">
        <f>SUM(compras_mes7[[#This Row],[NETO GRAVADO]:[Otros / No Grav.]])</f>
        <v>6528.0517999999993</v>
      </c>
      <c r="Q167" s="519" t="str">
        <f>IFERROR(IF(compras_mes7[[#This Row],[CUIT]]="","-",VLOOKUP(compras_mes7[[#This Row],[CUIT]],Lista_CUIT[#All],3,0)),"CUIT NO CARGADO")</f>
        <v>Servicios Gas, Luz, etc.</v>
      </c>
      <c r="R167" s="519">
        <f>IFERROR(IF(compras_mes7[[#This Row],[CUIT]]="","-",VLOOKUP(compras_mes7[[#This Row],[CUIT]],Lista_CUIT[#All],4,0)),"CUIT NO CARGADO")</f>
        <v>0</v>
      </c>
      <c r="S167"/>
      <c r="T167" s="128"/>
    </row>
    <row r="168" spans="1:20" s="508" customFormat="1" x14ac:dyDescent="0.3">
      <c r="A168"/>
      <c r="B168" s="509">
        <v>45117</v>
      </c>
      <c r="C168" s="511">
        <v>1</v>
      </c>
      <c r="D168" s="512">
        <v>6</v>
      </c>
      <c r="E168" s="513">
        <v>14420748</v>
      </c>
      <c r="F168" s="514">
        <v>30620177497</v>
      </c>
      <c r="G168" s="515" t="str">
        <f>IFERROR(IF(compras_mes7[[#This Row],[CUIT]]="","-",VLOOKUP(compras_mes7[[#This Row],[CUIT]],Lista_CUIT[#All],2,0)),"CUIT NO CARGADO")</f>
        <v>POSNET SRL</v>
      </c>
      <c r="H168" s="516">
        <v>15064.74</v>
      </c>
      <c r="I168" s="517">
        <f>IF(compras_mes7[[#This Row],[NETO GRAVADO]]="","",compras_mes7[[#This Row],[NETO GRAVADO]]*0.21)</f>
        <v>3163.5953999999997</v>
      </c>
      <c r="J168" s="517"/>
      <c r="K168" s="517"/>
      <c r="L168" s="517"/>
      <c r="M168" s="517"/>
      <c r="N168" s="517">
        <v>1355.82</v>
      </c>
      <c r="O168" s="517"/>
      <c r="P168" s="492">
        <f>SUM(compras_mes7[[#This Row],[NETO GRAVADO]:[Otros / No Grav.]])</f>
        <v>19584.1554</v>
      </c>
      <c r="Q168" s="519" t="str">
        <f>IFERROR(IF(compras_mes7[[#This Row],[CUIT]]="","-",VLOOKUP(compras_mes7[[#This Row],[CUIT]],Lista_CUIT[#All],3,0)),"CUIT NO CARGADO")</f>
        <v>Servicios Gas, Luz, etc.</v>
      </c>
      <c r="R168" s="519">
        <f>IFERROR(IF(compras_mes7[[#This Row],[CUIT]]="","-",VLOOKUP(compras_mes7[[#This Row],[CUIT]],Lista_CUIT[#All],4,0)),"CUIT NO CARGADO")</f>
        <v>0</v>
      </c>
      <c r="S168"/>
      <c r="T168" s="128"/>
    </row>
    <row r="169" spans="1:20" x14ac:dyDescent="0.3">
      <c r="B169" s="456"/>
      <c r="C169" s="457"/>
      <c r="D169" s="458"/>
      <c r="E169" s="506"/>
      <c r="F169" s="459"/>
      <c r="G169" s="460" t="str">
        <f>IFERROR(IF(compras_mes7[[#This Row],[CUIT]]="","-",VLOOKUP(compras_mes7[[#This Row],[CUIT]],Lista_CUIT[#All],2,0)),"CUIT NO CARGADO")</f>
        <v>-</v>
      </c>
      <c r="H169" s="461"/>
      <c r="I169" s="462" t="str">
        <f>IF(compras_mes7[[#This Row],[NETO GRAVADO]]="","",compras_mes7[[#This Row],[NETO GRAVADO]]*0.21)</f>
        <v/>
      </c>
      <c r="J169" s="462"/>
      <c r="K169" s="462"/>
      <c r="L169" s="462"/>
      <c r="M169" s="462"/>
      <c r="N169" s="462"/>
      <c r="O169" s="462"/>
      <c r="P169" s="463">
        <f>SUM(compras_mes7[[#This Row],[NETO GRAVADO]:[Otros / No Grav.]])</f>
        <v>0</v>
      </c>
      <c r="Q169" s="464" t="str">
        <f>IFERROR(IF(compras_mes7[[#This Row],[CUIT]]="","-",VLOOKUP(compras_mes7[[#This Row],[CUIT]],Lista_CUIT[#All],3,0)),"CUIT NO CARGADO")</f>
        <v>-</v>
      </c>
      <c r="R169" s="464" t="str">
        <f>IFERROR(IF(compras_mes7[[#This Row],[CUIT]]="","-",VLOOKUP(compras_mes7[[#This Row],[CUIT]],Lista_CUIT[#All],4,0)),"CUIT NO CARGADO")</f>
        <v>-</v>
      </c>
    </row>
    <row r="170" spans="1:20" x14ac:dyDescent="0.3">
      <c r="B170" s="96" t="s">
        <v>103</v>
      </c>
      <c r="C170" s="96"/>
      <c r="D170" s="96"/>
      <c r="E170" s="96"/>
      <c r="F170" s="96"/>
      <c r="G170" s="97"/>
      <c r="H170" s="98">
        <f>SUBTOTAL(109,compras_mes7[NETO GRAVADO])</f>
        <v>25086734.794999998</v>
      </c>
      <c r="I170" s="98">
        <f>SUBTOTAL(109,compras_mes7[IVA 21 %])</f>
        <v>5178743.5266499976</v>
      </c>
      <c r="J170" s="98">
        <f>SUBTOTAL(109,compras_mes7[IVA 27%])</f>
        <v>8450.7000000000007</v>
      </c>
      <c r="K170" s="98">
        <f>SUBTOTAL(109,compras_mes7[IVA 10,5%])</f>
        <v>41449.129150000008</v>
      </c>
      <c r="L170" s="98">
        <f>SUBTOTAL(109,compras_mes7[PERC. IVA])</f>
        <v>9035.5199999999986</v>
      </c>
      <c r="M170" s="98">
        <f>SUBTOTAL(109,compras_mes7[PERC IIBB 
BS AS])</f>
        <v>9475.0499999999993</v>
      </c>
      <c r="N170" s="98">
        <f>SUBTOTAL(109,compras_mes7[PERC. IIBB CABA])</f>
        <v>325278.37799999997</v>
      </c>
      <c r="O170" s="98">
        <f>SUBTOTAL(109,compras_mes7[Otros / No Grav.])</f>
        <v>79094.560000000012</v>
      </c>
      <c r="P170" s="98">
        <f>SUBTOTAL(109,compras_mes7[TOTAL])</f>
        <v>30738261.65879998</v>
      </c>
      <c r="Q170" s="96"/>
      <c r="R170" s="96"/>
    </row>
    <row r="171" spans="1:20" x14ac:dyDescent="0.3">
      <c r="B171" s="40"/>
      <c r="C171" s="41"/>
      <c r="D171" s="42"/>
      <c r="E171" s="43"/>
      <c r="F171" s="44"/>
      <c r="G171" s="45"/>
      <c r="H171" s="46"/>
      <c r="I171" s="47"/>
      <c r="J171" s="47"/>
      <c r="K171" s="47"/>
      <c r="L171" s="47"/>
      <c r="M171" s="47"/>
      <c r="N171" s="47"/>
      <c r="O171" s="47"/>
      <c r="P171" s="48"/>
      <c r="Q171" s="49"/>
      <c r="R171" s="49"/>
    </row>
    <row r="172" spans="1:20" x14ac:dyDescent="0.3">
      <c r="B172" s="40"/>
      <c r="C172" s="41"/>
      <c r="D172" s="42"/>
      <c r="E172" s="43"/>
      <c r="F172" s="44"/>
      <c r="G172" s="45"/>
      <c r="H172" s="46"/>
      <c r="I172" s="47"/>
      <c r="J172" s="47"/>
      <c r="K172" s="47"/>
      <c r="L172" s="47"/>
      <c r="M172" s="47"/>
      <c r="N172" s="47"/>
      <c r="O172" s="47"/>
      <c r="P172" s="48"/>
      <c r="Q172" s="49"/>
      <c r="R172" s="49"/>
    </row>
    <row r="173" spans="1:20" x14ac:dyDescent="0.3">
      <c r="B173" s="40"/>
      <c r="C173" s="41"/>
      <c r="D173" s="42"/>
      <c r="E173" s="43"/>
      <c r="F173" s="44"/>
      <c r="G173" s="45"/>
      <c r="H173" s="46"/>
      <c r="I173" s="47"/>
      <c r="J173" s="47"/>
      <c r="K173" s="47"/>
      <c r="L173" s="47"/>
      <c r="M173" s="47"/>
      <c r="N173" s="47"/>
      <c r="O173" s="47"/>
      <c r="P173" s="48"/>
      <c r="Q173" s="49"/>
      <c r="R173" s="49"/>
    </row>
    <row r="174" spans="1:20" x14ac:dyDescent="0.3">
      <c r="B174" s="40"/>
      <c r="C174" s="41"/>
      <c r="D174" s="42"/>
      <c r="E174" s="43"/>
      <c r="F174" s="44"/>
      <c r="G174" s="45"/>
      <c r="H174" s="46"/>
      <c r="I174" s="47"/>
      <c r="J174" s="47"/>
      <c r="K174" s="47"/>
      <c r="L174" s="47"/>
    </row>
    <row r="175" spans="1:20" ht="21" x14ac:dyDescent="0.3">
      <c r="D175" s="653" t="s">
        <v>15</v>
      </c>
      <c r="E175" s="653"/>
      <c r="F175" s="653"/>
      <c r="G175" s="653"/>
      <c r="H175" s="653"/>
      <c r="I175" s="653"/>
      <c r="J175" s="653"/>
      <c r="K175" s="653"/>
      <c r="L175" s="653"/>
    </row>
    <row r="176" spans="1:20" ht="15.6" x14ac:dyDescent="0.3">
      <c r="D176" s="73" t="s">
        <v>0</v>
      </c>
      <c r="E176" s="74" t="s">
        <v>26</v>
      </c>
      <c r="F176" s="74" t="s">
        <v>16</v>
      </c>
      <c r="G176" s="74" t="s">
        <v>5</v>
      </c>
      <c r="H176" s="74" t="s">
        <v>17</v>
      </c>
      <c r="I176" s="74" t="s">
        <v>7</v>
      </c>
      <c r="J176" s="75" t="s">
        <v>18</v>
      </c>
      <c r="K176" s="75" t="s">
        <v>19</v>
      </c>
      <c r="L176" s="76" t="s">
        <v>20</v>
      </c>
    </row>
    <row r="177" spans="4:12" x14ac:dyDescent="0.3">
      <c r="D177" s="50">
        <v>45134</v>
      </c>
      <c r="E177" s="270">
        <v>27202307</v>
      </c>
      <c r="F177" s="276" t="s">
        <v>1932</v>
      </c>
      <c r="G177" s="81">
        <v>7900.04</v>
      </c>
      <c r="H177" s="81">
        <f>extracto_banco_mes7[[#This Row],[NETO]]*0.21</f>
        <v>1659.0083999999999</v>
      </c>
      <c r="I177" s="81"/>
      <c r="J177" s="81">
        <v>7049.2699999999995</v>
      </c>
      <c r="K177" s="81">
        <v>67.28</v>
      </c>
      <c r="L177" s="81"/>
    </row>
    <row r="178" spans="4:12" x14ac:dyDescent="0.3">
      <c r="D178" s="50">
        <v>45135</v>
      </c>
      <c r="E178" s="270">
        <v>28072023</v>
      </c>
      <c r="F178" s="276" t="s">
        <v>1933</v>
      </c>
      <c r="G178" s="81">
        <v>1187.21</v>
      </c>
      <c r="H178" s="81">
        <f>extracto_banco_mes7[[#This Row],[NETO]]*0.21</f>
        <v>249.3141</v>
      </c>
      <c r="I178" s="81"/>
      <c r="J178" s="81">
        <v>4848.92</v>
      </c>
      <c r="K178" s="81"/>
      <c r="L178" s="81"/>
    </row>
    <row r="179" spans="4:12" x14ac:dyDescent="0.3">
      <c r="D179" s="50">
        <v>45138</v>
      </c>
      <c r="E179" s="270">
        <v>31202307</v>
      </c>
      <c r="F179" s="276" t="s">
        <v>1934</v>
      </c>
      <c r="G179" s="81">
        <v>17918.169999999998</v>
      </c>
      <c r="H179" s="81">
        <f>extracto_banco_mes7[[#This Row],[NETO]]*0.21</f>
        <v>3762.8156999999997</v>
      </c>
      <c r="I179" s="81"/>
      <c r="J179" s="81">
        <v>846</v>
      </c>
      <c r="K179" s="81">
        <v>495.04</v>
      </c>
      <c r="L179" s="81"/>
    </row>
    <row r="180" spans="4:12" x14ac:dyDescent="0.3">
      <c r="D180" s="50">
        <v>45138</v>
      </c>
      <c r="E180" s="270">
        <v>70312023</v>
      </c>
      <c r="F180" s="276" t="s">
        <v>1935</v>
      </c>
      <c r="G180" s="81">
        <v>9003.85</v>
      </c>
      <c r="H180" s="81">
        <f>extracto_banco_mes7[[#This Row],[NETO]]*0.21</f>
        <v>1890.8085000000001</v>
      </c>
      <c r="I180" s="81"/>
      <c r="J180" s="81">
        <v>525</v>
      </c>
      <c r="K180" s="81">
        <v>262.5</v>
      </c>
      <c r="L180" s="81"/>
    </row>
    <row r="181" spans="4:12" x14ac:dyDescent="0.3">
      <c r="D181" s="50">
        <v>45135</v>
      </c>
      <c r="E181" s="270">
        <v>28072320</v>
      </c>
      <c r="F181" s="276" t="s">
        <v>1936</v>
      </c>
      <c r="G181" s="81">
        <v>1209.5</v>
      </c>
      <c r="H181" s="81">
        <f>extracto_banco_mes7[[#This Row],[NETO]]*0.21</f>
        <v>253.995</v>
      </c>
      <c r="I181" s="81"/>
      <c r="J181" s="81">
        <v>6749.04</v>
      </c>
      <c r="K181" s="81"/>
      <c r="L181" s="81"/>
    </row>
    <row r="182" spans="4:12" x14ac:dyDescent="0.3">
      <c r="D182" s="50">
        <v>45138</v>
      </c>
      <c r="E182" s="270">
        <v>20230731</v>
      </c>
      <c r="F182" s="276" t="s">
        <v>1742</v>
      </c>
      <c r="G182" s="81">
        <v>171898.17189999999</v>
      </c>
      <c r="H182" s="81">
        <v>28564.076100000006</v>
      </c>
      <c r="I182" s="81">
        <v>45767.270000000004</v>
      </c>
      <c r="J182" s="81">
        <v>231660.48000000004</v>
      </c>
      <c r="K182" s="81">
        <v>2177.2599999999998</v>
      </c>
      <c r="L182" s="81"/>
    </row>
    <row r="183" spans="4:12" x14ac:dyDescent="0.3">
      <c r="D183" s="50">
        <v>45130</v>
      </c>
      <c r="E183" s="270">
        <v>16206910</v>
      </c>
      <c r="F183" s="276" t="s">
        <v>1937</v>
      </c>
      <c r="G183" s="81">
        <v>24995</v>
      </c>
      <c r="H183" s="81">
        <f>extracto_banco_mes7[[#This Row],[NETO]]*0.21</f>
        <v>5248.95</v>
      </c>
      <c r="I183" s="81"/>
      <c r="J183" s="81"/>
      <c r="K183" s="81">
        <v>749.85</v>
      </c>
      <c r="L183" s="81"/>
    </row>
    <row r="184" spans="4:12" x14ac:dyDescent="0.3">
      <c r="D184" s="82" t="s">
        <v>103</v>
      </c>
      <c r="E184" s="80"/>
      <c r="F184" s="80"/>
      <c r="G184" s="83">
        <f>SUBTOTAL(109,extracto_banco_mes7[NETO])</f>
        <v>234111.94189999998</v>
      </c>
      <c r="H184" s="83">
        <f>SUBTOTAL(109,extracto_banco_mes7[IVA 21%])</f>
        <v>41628.967799999999</v>
      </c>
      <c r="I184" s="83">
        <f>SUBTOTAL(109,extracto_banco_mes7[IVA 10,5%])</f>
        <v>45767.270000000004</v>
      </c>
      <c r="J184" s="83">
        <f>SUBTOTAL(109,extracto_banco_mes7[RET IIBB CABA])</f>
        <v>251678.71000000005</v>
      </c>
      <c r="K184" s="83">
        <f>SUBTOTAL(109,extracto_banco_mes7[PERC IVA])</f>
        <v>3751.93</v>
      </c>
      <c r="L184" s="83">
        <f>SUBTOTAL(109,extracto_banco_mes7[PERC IIBB])</f>
        <v>0</v>
      </c>
    </row>
    <row r="188" spans="4:12" ht="21" x14ac:dyDescent="0.3">
      <c r="D188" s="653" t="s">
        <v>25</v>
      </c>
      <c r="E188" s="653"/>
      <c r="F188" s="653"/>
      <c r="G188" s="653"/>
      <c r="H188" s="653"/>
      <c r="I188" s="653"/>
      <c r="J188" s="653"/>
      <c r="K188" s="653"/>
    </row>
    <row r="189" spans="4:12" x14ac:dyDescent="0.3">
      <c r="D189" s="51" t="s">
        <v>0</v>
      </c>
      <c r="E189" s="51" t="s">
        <v>2</v>
      </c>
      <c r="F189" s="51" t="s">
        <v>74</v>
      </c>
      <c r="G189" s="51" t="s">
        <v>3</v>
      </c>
      <c r="H189" s="51" t="s">
        <v>4</v>
      </c>
      <c r="I189" s="52" t="s">
        <v>10</v>
      </c>
      <c r="J189" s="51" t="s">
        <v>13</v>
      </c>
      <c r="K189" s="51" t="s">
        <v>38</v>
      </c>
    </row>
    <row r="190" spans="4:12" x14ac:dyDescent="0.3">
      <c r="D190" s="456">
        <v>45110</v>
      </c>
      <c r="E190" s="468">
        <v>3</v>
      </c>
      <c r="F190" s="468">
        <v>751</v>
      </c>
      <c r="G190" s="469">
        <v>20086277523</v>
      </c>
      <c r="H190" s="470" t="str">
        <f>IFERROR(IF(factura_c_mes7[[#This Row],[CUIT]]="","-",VLOOKUP(factura_c_mes7[[#This Row],[CUIT]],Lista_CUIT[#All],2,0)),"CUIT NO CARGADO")</f>
        <v>BOTINDARI JUAN CARLOS</v>
      </c>
      <c r="I190" s="471">
        <v>101250</v>
      </c>
      <c r="J190" s="472" t="str">
        <f>IFERROR(IF(factura_c_mes7[[#This Row],[CUIT]]="","-",VLOOKUP(factura_c_mes7[[#This Row],[CUIT]],Lista_CUIT[#All],3,0)),"CUIT NO CARGADO")</f>
        <v>HONORARIOS</v>
      </c>
      <c r="K190" s="472" t="str">
        <f>IFERROR(IF(factura_c_mes7[[#This Row],[CUIT]]="","-",VLOOKUP(factura_c_mes7[[#This Row],[CUIT]],Lista_CUIT[#All],4,0)),"CUIT NO CARGADO")</f>
        <v>CABA</v>
      </c>
    </row>
    <row r="191" spans="4:12" x14ac:dyDescent="0.3">
      <c r="D191" s="456">
        <v>45112</v>
      </c>
      <c r="E191" s="468">
        <v>8</v>
      </c>
      <c r="F191" s="468">
        <v>373</v>
      </c>
      <c r="G191" s="469">
        <v>27409592487</v>
      </c>
      <c r="H191" s="470" t="str">
        <f>IFERROR(IF(factura_c_mes7[[#This Row],[CUIT]]="","-",VLOOKUP(factura_c_mes7[[#This Row],[CUIT]],Lista_CUIT[#All],2,0)),"CUIT NO CARGADO")</f>
        <v>BAUDONE ANTONELLA AGOSTINA</v>
      </c>
      <c r="I191" s="471">
        <v>12500</v>
      </c>
      <c r="J191" s="472">
        <f>IFERROR(IF(factura_c_mes7[[#This Row],[CUIT]]="","-",VLOOKUP(factura_c_mes7[[#This Row],[CUIT]],Lista_CUIT[#All],3,0)),"CUIT NO CARGADO")</f>
        <v>0</v>
      </c>
      <c r="K191" s="472">
        <f>IFERROR(IF(factura_c_mes7[[#This Row],[CUIT]]="","-",VLOOKUP(factura_c_mes7[[#This Row],[CUIT]],Lista_CUIT[#All],4,0)),"CUIT NO CARGADO")</f>
        <v>0</v>
      </c>
    </row>
    <row r="192" spans="4:12" x14ac:dyDescent="0.3">
      <c r="D192" s="456">
        <v>45114</v>
      </c>
      <c r="E192" s="468">
        <v>2</v>
      </c>
      <c r="F192" s="468">
        <v>245</v>
      </c>
      <c r="G192" s="469">
        <v>23319210954</v>
      </c>
      <c r="H192" s="470" t="str">
        <f>IFERROR(IF(factura_c_mes7[[#This Row],[CUIT]]="","-",VLOOKUP(factura_c_mes7[[#This Row],[CUIT]],Lista_CUIT[#All],2,0)),"CUIT NO CARGADO")</f>
        <v>CAFFARATTI ROMINA PAOLA</v>
      </c>
      <c r="I192" s="471">
        <v>29190</v>
      </c>
      <c r="J192" s="472" t="str">
        <f>IFERROR(IF(factura_c_mes7[[#This Row],[CUIT]]="","-",VLOOKUP(factura_c_mes7[[#This Row],[CUIT]],Lista_CUIT[#All],3,0)),"CUIT NO CARGADO")</f>
        <v>HONORARIOS</v>
      </c>
      <c r="K192" s="472">
        <f>IFERROR(IF(factura_c_mes7[[#This Row],[CUIT]]="","-",VLOOKUP(factura_c_mes7[[#This Row],[CUIT]],Lista_CUIT[#All],4,0)),"CUIT NO CARGADO")</f>
        <v>0</v>
      </c>
    </row>
    <row r="193" spans="4:11" ht="25.95" customHeight="1" x14ac:dyDescent="0.3">
      <c r="D193" s="456">
        <v>45115</v>
      </c>
      <c r="E193" s="468">
        <v>1</v>
      </c>
      <c r="F193" s="468">
        <v>38</v>
      </c>
      <c r="G193" s="469">
        <v>30717504824</v>
      </c>
      <c r="H193" s="470" t="str">
        <f>IFERROR(IF(factura_c_mes7[[#This Row],[CUIT]]="","-",VLOOKUP(factura_c_mes7[[#This Row],[CUIT]],Lista_CUIT[#All],2,0)),"CUIT NO CARGADO")</f>
        <v>FIDEICOMISO MAMBA</v>
      </c>
      <c r="I193" s="471">
        <v>760200</v>
      </c>
      <c r="J193" s="472">
        <f>IFERROR(IF(factura_c_mes7[[#This Row],[CUIT]]="","-",VLOOKUP(factura_c_mes7[[#This Row],[CUIT]],Lista_CUIT[#All],3,0)),"CUIT NO CARGADO")</f>
        <v>0</v>
      </c>
      <c r="K193" s="472">
        <f>IFERROR(IF(factura_c_mes7[[#This Row],[CUIT]]="","-",VLOOKUP(factura_c_mes7[[#This Row],[CUIT]],Lista_CUIT[#All],4,0)),"CUIT NO CARGADO")</f>
        <v>0</v>
      </c>
    </row>
    <row r="194" spans="4:11" x14ac:dyDescent="0.3">
      <c r="D194" s="456">
        <v>45117</v>
      </c>
      <c r="E194" s="468">
        <v>3</v>
      </c>
      <c r="F194" s="468">
        <v>416</v>
      </c>
      <c r="G194" s="469">
        <v>20210551574</v>
      </c>
      <c r="H194" s="470" t="str">
        <f>IFERROR(IF(factura_c_mes7[[#This Row],[CUIT]]="","-",VLOOKUP(factura_c_mes7[[#This Row],[CUIT]],Lista_CUIT[#All],2,0)),"CUIT NO CARGADO")</f>
        <v>REUS JORGE DIEGO</v>
      </c>
      <c r="I194" s="471">
        <v>50500</v>
      </c>
      <c r="J194" s="472" t="str">
        <f>IFERROR(IF(factura_c_mes7[[#This Row],[CUIT]]="","-",VLOOKUP(factura_c_mes7[[#This Row],[CUIT]],Lista_CUIT[#All],3,0)),"CUIT NO CARGADO")</f>
        <v>HONORARIOS PROFESIONALES</v>
      </c>
      <c r="K194" s="472">
        <f>IFERROR(IF(factura_c_mes7[[#This Row],[CUIT]]="","-",VLOOKUP(factura_c_mes7[[#This Row],[CUIT]],Lista_CUIT[#All],4,0)),"CUIT NO CARGADO")</f>
        <v>0</v>
      </c>
    </row>
    <row r="195" spans="4:11" ht="17.25" customHeight="1" x14ac:dyDescent="0.3">
      <c r="D195" s="456">
        <v>45120</v>
      </c>
      <c r="E195" s="468">
        <v>8</v>
      </c>
      <c r="F195" s="468">
        <v>381</v>
      </c>
      <c r="G195" s="469">
        <v>27409592487</v>
      </c>
      <c r="H195" s="470" t="str">
        <f>IFERROR(IF(factura_c_mes7[[#This Row],[CUIT]]="","-",VLOOKUP(factura_c_mes7[[#This Row],[CUIT]],Lista_CUIT[#All],2,0)),"CUIT NO CARGADO")</f>
        <v>BAUDONE ANTONELLA AGOSTINA</v>
      </c>
      <c r="I195" s="471">
        <v>23000</v>
      </c>
      <c r="J195" s="472">
        <f>IFERROR(IF(factura_c_mes7[[#This Row],[CUIT]]="","-",VLOOKUP(factura_c_mes7[[#This Row],[CUIT]],Lista_CUIT[#All],3,0)),"CUIT NO CARGADO")</f>
        <v>0</v>
      </c>
      <c r="K195" s="472">
        <f>IFERROR(IF(factura_c_mes7[[#This Row],[CUIT]]="","-",VLOOKUP(factura_c_mes7[[#This Row],[CUIT]],Lista_CUIT[#All],4,0)),"CUIT NO CARGADO")</f>
        <v>0</v>
      </c>
    </row>
    <row r="196" spans="4:11" x14ac:dyDescent="0.3">
      <c r="D196" s="456">
        <v>45121</v>
      </c>
      <c r="E196" s="468">
        <v>2</v>
      </c>
      <c r="F196" s="468">
        <v>289</v>
      </c>
      <c r="G196" s="469">
        <v>20300814094</v>
      </c>
      <c r="H196" s="470" t="str">
        <f>IFERROR(IF(factura_c_mes7[[#This Row],[CUIT]]="","-",VLOOKUP(factura_c_mes7[[#This Row],[CUIT]],Lista_CUIT[#All],2,0)),"CUIT NO CARGADO")</f>
        <v>FARRAPEIRA OSCAR MAXIMO</v>
      </c>
      <c r="I196" s="471">
        <v>281676</v>
      </c>
      <c r="J196" s="472">
        <f>IFERROR(IF(factura_c_mes7[[#This Row],[CUIT]]="","-",VLOOKUP(factura_c_mes7[[#This Row],[CUIT]],Lista_CUIT[#All],3,0)),"CUIT NO CARGADO")</f>
        <v>0</v>
      </c>
      <c r="K196" s="472">
        <f>IFERROR(IF(factura_c_mes7[[#This Row],[CUIT]]="","-",VLOOKUP(factura_c_mes7[[#This Row],[CUIT]],Lista_CUIT[#All],4,0)),"CUIT NO CARGADO")</f>
        <v>0</v>
      </c>
    </row>
    <row r="197" spans="4:11" x14ac:dyDescent="0.3">
      <c r="D197" s="456">
        <v>45124</v>
      </c>
      <c r="E197" s="468">
        <v>3</v>
      </c>
      <c r="F197" s="468">
        <v>486</v>
      </c>
      <c r="G197" s="469">
        <v>20173025557</v>
      </c>
      <c r="H197" s="470" t="str">
        <f>IFERROR(IF(factura_c_mes7[[#This Row],[CUIT]]="","-",VLOOKUP(factura_c_mes7[[#This Row],[CUIT]],Lista_CUIT[#All],2,0)),"CUIT NO CARGADO")</f>
        <v>MARAUDA HECTOR</v>
      </c>
      <c r="I197" s="471">
        <v>1400</v>
      </c>
      <c r="J197" s="472">
        <f>IFERROR(IF(factura_c_mes7[[#This Row],[CUIT]]="","-",VLOOKUP(factura_c_mes7[[#This Row],[CUIT]],Lista_CUIT[#All],3,0)),"CUIT NO CARGADO")</f>
        <v>0</v>
      </c>
      <c r="K197" s="472">
        <f>IFERROR(IF(factura_c_mes7[[#This Row],[CUIT]]="","-",VLOOKUP(factura_c_mes7[[#This Row],[CUIT]],Lista_CUIT[#All],4,0)),"CUIT NO CARGADO")</f>
        <v>0</v>
      </c>
    </row>
    <row r="198" spans="4:11" x14ac:dyDescent="0.3">
      <c r="D198" s="456">
        <v>45126</v>
      </c>
      <c r="E198" s="468">
        <v>1</v>
      </c>
      <c r="F198" s="468">
        <v>3</v>
      </c>
      <c r="G198" s="469">
        <v>30717504824</v>
      </c>
      <c r="H198" s="470" t="str">
        <f>IFERROR(IF(factura_c_mes7[[#This Row],[CUIT]]="","-",VLOOKUP(factura_c_mes7[[#This Row],[CUIT]],Lista_CUIT[#All],2,0)),"CUIT NO CARGADO")</f>
        <v>FIDEICOMISO MAMBA</v>
      </c>
      <c r="I198" s="471">
        <v>-760200</v>
      </c>
      <c r="J198" s="472">
        <f>IFERROR(IF(factura_c_mes7[[#This Row],[CUIT]]="","-",VLOOKUP(factura_c_mes7[[#This Row],[CUIT]],Lista_CUIT[#All],3,0)),"CUIT NO CARGADO")</f>
        <v>0</v>
      </c>
      <c r="K198" s="472">
        <f>IFERROR(IF(factura_c_mes7[[#This Row],[CUIT]]="","-",VLOOKUP(factura_c_mes7[[#This Row],[CUIT]],Lista_CUIT[#All],4,0)),"CUIT NO CARGADO")</f>
        <v>0</v>
      </c>
    </row>
    <row r="199" spans="4:11" x14ac:dyDescent="0.3">
      <c r="D199" s="456">
        <v>45126</v>
      </c>
      <c r="E199" s="468">
        <v>1</v>
      </c>
      <c r="F199" s="468">
        <v>44</v>
      </c>
      <c r="G199" s="469">
        <v>30717504824</v>
      </c>
      <c r="H199" s="470" t="str">
        <f>IFERROR(IF(factura_c_mes7[[#This Row],[CUIT]]="","-",VLOOKUP(factura_c_mes7[[#This Row],[CUIT]],Lista_CUIT[#All],2,0)),"CUIT NO CARGADO")</f>
        <v>FIDEICOMISO MAMBA</v>
      </c>
      <c r="I199" s="471">
        <v>760200</v>
      </c>
      <c r="J199" s="472">
        <f>IFERROR(IF(factura_c_mes7[[#This Row],[CUIT]]="","-",VLOOKUP(factura_c_mes7[[#This Row],[CUIT]],Lista_CUIT[#All],3,0)),"CUIT NO CARGADO")</f>
        <v>0</v>
      </c>
      <c r="K199" s="472">
        <f>IFERROR(IF(factura_c_mes7[[#This Row],[CUIT]]="","-",VLOOKUP(factura_c_mes7[[#This Row],[CUIT]],Lista_CUIT[#All],4,0)),"CUIT NO CARGADO")</f>
        <v>0</v>
      </c>
    </row>
    <row r="200" spans="4:11" x14ac:dyDescent="0.3">
      <c r="D200" s="456">
        <v>45128</v>
      </c>
      <c r="E200" s="468">
        <v>2</v>
      </c>
      <c r="F200" s="468">
        <v>1258</v>
      </c>
      <c r="G200" s="469">
        <v>23277121859</v>
      </c>
      <c r="H200" s="470" t="str">
        <f>IFERROR(IF(factura_c_mes7[[#This Row],[CUIT]]="","-",VLOOKUP(factura_c_mes7[[#This Row],[CUIT]],Lista_CUIT[#All],2,0)),"CUIT NO CARGADO")</f>
        <v>BARCELONAMOTOS</v>
      </c>
      <c r="I200" s="471">
        <v>18580</v>
      </c>
      <c r="J200" s="472">
        <f>IFERROR(IF(factura_c_mes7[[#This Row],[CUIT]]="","-",VLOOKUP(factura_c_mes7[[#This Row],[CUIT]],Lista_CUIT[#All],3,0)),"CUIT NO CARGADO")</f>
        <v>0</v>
      </c>
      <c r="K200" s="472">
        <f>IFERROR(IF(factura_c_mes7[[#This Row],[CUIT]]="","-",VLOOKUP(factura_c_mes7[[#This Row],[CUIT]],Lista_CUIT[#All],4,0)),"CUIT NO CARGADO")</f>
        <v>0</v>
      </c>
    </row>
    <row r="201" spans="4:11" x14ac:dyDescent="0.3">
      <c r="D201" s="456">
        <v>45132</v>
      </c>
      <c r="E201" s="468">
        <v>2</v>
      </c>
      <c r="F201" s="468">
        <v>3661</v>
      </c>
      <c r="G201" s="469">
        <v>20136536320</v>
      </c>
      <c r="H201" s="470" t="str">
        <f>IFERROR(IF(factura_c_mes7[[#This Row],[CUIT]]="","-",VLOOKUP(factura_c_mes7[[#This Row],[CUIT]],Lista_CUIT[#All],2,0)),"CUIT NO CARGADO")</f>
        <v>FONTENLA ERNESTO MARIO</v>
      </c>
      <c r="I201" s="471">
        <v>950</v>
      </c>
      <c r="J201" s="472" t="str">
        <f>IFERROR(IF(factura_c_mes7[[#This Row],[CUIT]]="","-",VLOOKUP(factura_c_mes7[[#This Row],[CUIT]],Lista_CUIT[#All],3,0)),"CUIT NO CARGADO")</f>
        <v>INSUMO</v>
      </c>
      <c r="K201" s="472" t="str">
        <f>IFERROR(IF(factura_c_mes7[[#This Row],[CUIT]]="","-",VLOOKUP(factura_c_mes7[[#This Row],[CUIT]],Lista_CUIT[#All],4,0)),"CUIT NO CARGADO")</f>
        <v>CABA</v>
      </c>
    </row>
    <row r="202" spans="4:11" x14ac:dyDescent="0.3">
      <c r="D202" s="456">
        <v>45133</v>
      </c>
      <c r="E202" s="468">
        <v>1</v>
      </c>
      <c r="F202" s="468">
        <v>13</v>
      </c>
      <c r="G202" s="469">
        <v>20176922363</v>
      </c>
      <c r="H202" s="470" t="str">
        <f>IFERROR(IF(factura_c_mes7[[#This Row],[CUIT]]="","-",VLOOKUP(factura_c_mes7[[#This Row],[CUIT]],Lista_CUIT[#All],2,0)),"CUIT NO CARGADO")</f>
        <v>CASTILLO JUAN RAMON</v>
      </c>
      <c r="I202" s="471">
        <v>140000</v>
      </c>
      <c r="J202" s="472">
        <f>IFERROR(IF(factura_c_mes7[[#This Row],[CUIT]]="","-",VLOOKUP(factura_c_mes7[[#This Row],[CUIT]],Lista_CUIT[#All],3,0)),"CUIT NO CARGADO")</f>
        <v>0</v>
      </c>
      <c r="K202" s="472">
        <f>IFERROR(IF(factura_c_mes7[[#This Row],[CUIT]]="","-",VLOOKUP(factura_c_mes7[[#This Row],[CUIT]],Lista_CUIT[#All],4,0)),"CUIT NO CARGADO")</f>
        <v>0</v>
      </c>
    </row>
    <row r="203" spans="4:11" x14ac:dyDescent="0.3">
      <c r="D203" s="456">
        <v>45133</v>
      </c>
      <c r="E203" s="468">
        <v>1</v>
      </c>
      <c r="F203" s="468">
        <v>14</v>
      </c>
      <c r="G203" s="469">
        <v>20176922363</v>
      </c>
      <c r="H203" s="470" t="str">
        <f>IFERROR(IF(factura_c_mes7[[#This Row],[CUIT]]="","-",VLOOKUP(factura_c_mes7[[#This Row],[CUIT]],Lista_CUIT[#All],2,0)),"CUIT NO CARGADO")</f>
        <v>CASTILLO JUAN RAMON</v>
      </c>
      <c r="I203" s="471">
        <v>140000</v>
      </c>
      <c r="J203" s="472">
        <f>IFERROR(IF(factura_c_mes7[[#This Row],[CUIT]]="","-",VLOOKUP(factura_c_mes7[[#This Row],[CUIT]],Lista_CUIT[#All],3,0)),"CUIT NO CARGADO")</f>
        <v>0</v>
      </c>
      <c r="K203" s="472">
        <f>IFERROR(IF(factura_c_mes7[[#This Row],[CUIT]]="","-",VLOOKUP(factura_c_mes7[[#This Row],[CUIT]],Lista_CUIT[#All],4,0)),"CUIT NO CARGADO")</f>
        <v>0</v>
      </c>
    </row>
    <row r="204" spans="4:11" x14ac:dyDescent="0.3">
      <c r="D204" s="456">
        <v>45133</v>
      </c>
      <c r="E204" s="468">
        <v>1</v>
      </c>
      <c r="F204" s="468">
        <v>15</v>
      </c>
      <c r="G204" s="469">
        <v>20176922363</v>
      </c>
      <c r="H204" s="470" t="str">
        <f>IFERROR(IF(factura_c_mes7[[#This Row],[CUIT]]="","-",VLOOKUP(factura_c_mes7[[#This Row],[CUIT]],Lista_CUIT[#All],2,0)),"CUIT NO CARGADO")</f>
        <v>CASTILLO JUAN RAMON</v>
      </c>
      <c r="I204" s="471">
        <v>140000</v>
      </c>
      <c r="J204" s="472">
        <f>IFERROR(IF(factura_c_mes7[[#This Row],[CUIT]]="","-",VLOOKUP(factura_c_mes7[[#This Row],[CUIT]],Lista_CUIT[#All],3,0)),"CUIT NO CARGADO")</f>
        <v>0</v>
      </c>
      <c r="K204" s="472">
        <f>IFERROR(IF(factura_c_mes7[[#This Row],[CUIT]]="","-",VLOOKUP(factura_c_mes7[[#This Row],[CUIT]],Lista_CUIT[#All],4,0)),"CUIT NO CARGADO")</f>
        <v>0</v>
      </c>
    </row>
    <row r="205" spans="4:11" x14ac:dyDescent="0.3">
      <c r="D205" s="456">
        <v>45133</v>
      </c>
      <c r="E205" s="468">
        <v>1</v>
      </c>
      <c r="F205" s="468">
        <v>16</v>
      </c>
      <c r="G205" s="469">
        <v>20176922363</v>
      </c>
      <c r="H205" s="470" t="str">
        <f>IFERROR(IF(factura_c_mes7[[#This Row],[CUIT]]="","-",VLOOKUP(factura_c_mes7[[#This Row],[CUIT]],Lista_CUIT[#All],2,0)),"CUIT NO CARGADO")</f>
        <v>CASTILLO JUAN RAMON</v>
      </c>
      <c r="I205" s="471">
        <v>326000</v>
      </c>
      <c r="J205" s="472">
        <f>IFERROR(IF(factura_c_mes7[[#This Row],[CUIT]]="","-",VLOOKUP(factura_c_mes7[[#This Row],[CUIT]],Lista_CUIT[#All],3,0)),"CUIT NO CARGADO")</f>
        <v>0</v>
      </c>
      <c r="K205" s="472">
        <f>IFERROR(IF(factura_c_mes7[[#This Row],[CUIT]]="","-",VLOOKUP(factura_c_mes7[[#This Row],[CUIT]],Lista_CUIT[#All],4,0)),"CUIT NO CARGADO")</f>
        <v>0</v>
      </c>
    </row>
    <row r="206" spans="4:11" x14ac:dyDescent="0.3">
      <c r="D206" s="456">
        <v>45133</v>
      </c>
      <c r="E206" s="468">
        <v>1</v>
      </c>
      <c r="F206" s="468">
        <v>17</v>
      </c>
      <c r="G206" s="469">
        <v>20176922363</v>
      </c>
      <c r="H206" s="470" t="str">
        <f>IFERROR(IF(factura_c_mes7[[#This Row],[CUIT]]="","-",VLOOKUP(factura_c_mes7[[#This Row],[CUIT]],Lista_CUIT[#All],2,0)),"CUIT NO CARGADO")</f>
        <v>CASTILLO JUAN RAMON</v>
      </c>
      <c r="I206" s="471">
        <v>100000</v>
      </c>
      <c r="J206" s="472">
        <f>IFERROR(IF(factura_c_mes7[[#This Row],[CUIT]]="","-",VLOOKUP(factura_c_mes7[[#This Row],[CUIT]],Lista_CUIT[#All],3,0)),"CUIT NO CARGADO")</f>
        <v>0</v>
      </c>
      <c r="K206" s="472">
        <f>IFERROR(IF(factura_c_mes7[[#This Row],[CUIT]]="","-",VLOOKUP(factura_c_mes7[[#This Row],[CUIT]],Lista_CUIT[#All],4,0)),"CUIT NO CARGADO")</f>
        <v>0</v>
      </c>
    </row>
    <row r="207" spans="4:11" x14ac:dyDescent="0.3">
      <c r="D207" s="456">
        <v>45133</v>
      </c>
      <c r="E207" s="468">
        <v>1</v>
      </c>
      <c r="F207" s="468">
        <v>18</v>
      </c>
      <c r="G207" s="469">
        <v>20176922363</v>
      </c>
      <c r="H207" s="470" t="str">
        <f>IFERROR(IF(factura_c_mes7[[#This Row],[CUIT]]="","-",VLOOKUP(factura_c_mes7[[#This Row],[CUIT]],Lista_CUIT[#All],2,0)),"CUIT NO CARGADO")</f>
        <v>CASTILLO JUAN RAMON</v>
      </c>
      <c r="I207" s="471">
        <v>350000</v>
      </c>
      <c r="J207" s="472">
        <f>IFERROR(IF(factura_c_mes7[[#This Row],[CUIT]]="","-",VLOOKUP(factura_c_mes7[[#This Row],[CUIT]],Lista_CUIT[#All],3,0)),"CUIT NO CARGADO")</f>
        <v>0</v>
      </c>
      <c r="K207" s="472">
        <f>IFERROR(IF(factura_c_mes7[[#This Row],[CUIT]]="","-",VLOOKUP(factura_c_mes7[[#This Row],[CUIT]],Lista_CUIT[#All],4,0)),"CUIT NO CARGADO")</f>
        <v>0</v>
      </c>
    </row>
    <row r="208" spans="4:11" x14ac:dyDescent="0.3">
      <c r="D208" s="456">
        <v>45133</v>
      </c>
      <c r="E208" s="468">
        <v>2</v>
      </c>
      <c r="F208" s="468">
        <v>151</v>
      </c>
      <c r="G208" s="469">
        <v>27065444777</v>
      </c>
      <c r="H208" s="470" t="str">
        <f>IFERROR(IF(factura_c_mes7[[#This Row],[CUIT]]="","-",VLOOKUP(factura_c_mes7[[#This Row],[CUIT]],Lista_CUIT[#All],2,0)),"CUIT NO CARGADO")</f>
        <v>CARNEVALE MABEL HAYDEE</v>
      </c>
      <c r="I208" s="471">
        <v>35000</v>
      </c>
      <c r="J208" s="472">
        <f>IFERROR(IF(factura_c_mes7[[#This Row],[CUIT]]="","-",VLOOKUP(factura_c_mes7[[#This Row],[CUIT]],Lista_CUIT[#All],3,0)),"CUIT NO CARGADO")</f>
        <v>0</v>
      </c>
      <c r="K208" s="472">
        <f>IFERROR(IF(factura_c_mes7[[#This Row],[CUIT]]="","-",VLOOKUP(factura_c_mes7[[#This Row],[CUIT]],Lista_CUIT[#All],4,0)),"CUIT NO CARGADO")</f>
        <v>0</v>
      </c>
    </row>
    <row r="209" spans="2:18" x14ac:dyDescent="0.3">
      <c r="D209" s="456">
        <v>45133</v>
      </c>
      <c r="E209" s="468">
        <v>2</v>
      </c>
      <c r="F209" s="468">
        <v>246</v>
      </c>
      <c r="G209" s="469">
        <v>23319210954</v>
      </c>
      <c r="H209" s="470" t="str">
        <f>IFERROR(IF(factura_c_mes7[[#This Row],[CUIT]]="","-",VLOOKUP(factura_c_mes7[[#This Row],[CUIT]],Lista_CUIT[#All],2,0)),"CUIT NO CARGADO")</f>
        <v>CAFFARATTI ROMINA PAOLA</v>
      </c>
      <c r="I209" s="471">
        <v>4470</v>
      </c>
      <c r="J209" s="472" t="str">
        <f>IFERROR(IF(factura_c_mes7[[#This Row],[CUIT]]="","-",VLOOKUP(factura_c_mes7[[#This Row],[CUIT]],Lista_CUIT[#All],3,0)),"CUIT NO CARGADO")</f>
        <v>HONORARIOS</v>
      </c>
      <c r="K209" s="472">
        <f>IFERROR(IF(factura_c_mes7[[#This Row],[CUIT]]="","-",VLOOKUP(factura_c_mes7[[#This Row],[CUIT]],Lista_CUIT[#All],4,0)),"CUIT NO CARGADO")</f>
        <v>0</v>
      </c>
    </row>
    <row r="210" spans="2:18" x14ac:dyDescent="0.3">
      <c r="D210" s="456">
        <v>45133</v>
      </c>
      <c r="E210" s="468">
        <v>3</v>
      </c>
      <c r="F210" s="468">
        <v>2658</v>
      </c>
      <c r="G210" s="469">
        <v>20134116251</v>
      </c>
      <c r="H210" s="470" t="str">
        <f>IFERROR(IF(factura_c_mes7[[#This Row],[CUIT]]="","-",VLOOKUP(factura_c_mes7[[#This Row],[CUIT]],Lista_CUIT[#All],2,0)),"CUIT NO CARGADO")</f>
        <v>GUMA DANIEL</v>
      </c>
      <c r="I210" s="471">
        <v>12500</v>
      </c>
      <c r="J210" s="472">
        <f>IFERROR(IF(factura_c_mes7[[#This Row],[CUIT]]="","-",VLOOKUP(factura_c_mes7[[#This Row],[CUIT]],Lista_CUIT[#All],3,0)),"CUIT NO CARGADO")</f>
        <v>0</v>
      </c>
      <c r="K210" s="472">
        <f>IFERROR(IF(factura_c_mes7[[#This Row],[CUIT]]="","-",VLOOKUP(factura_c_mes7[[#This Row],[CUIT]],Lista_CUIT[#All],4,0)),"CUIT NO CARGADO")</f>
        <v>0</v>
      </c>
    </row>
    <row r="211" spans="2:18" x14ac:dyDescent="0.3">
      <c r="D211" s="456">
        <v>45135</v>
      </c>
      <c r="E211" s="468">
        <v>2</v>
      </c>
      <c r="F211" s="468">
        <v>594</v>
      </c>
      <c r="G211" s="469">
        <v>20400104094</v>
      </c>
      <c r="H211" s="470" t="str">
        <f>IFERROR(IF(factura_c_mes7[[#This Row],[CUIT]]="","-",VLOOKUP(factura_c_mes7[[#This Row],[CUIT]],Lista_CUIT[#All],2,0)),"CUIT NO CARGADO")</f>
        <v>BOTINDARI FEDERICO DANIEL</v>
      </c>
      <c r="I211" s="471">
        <v>290000</v>
      </c>
      <c r="J211" s="472">
        <f>IFERROR(IF(factura_c_mes7[[#This Row],[CUIT]]="","-",VLOOKUP(factura_c_mes7[[#This Row],[CUIT]],Lista_CUIT[#All],3,0)),"CUIT NO CARGADO")</f>
        <v>0</v>
      </c>
      <c r="K211" s="472">
        <f>IFERROR(IF(factura_c_mes7[[#This Row],[CUIT]]="","-",VLOOKUP(factura_c_mes7[[#This Row],[CUIT]],Lista_CUIT[#All],4,0)),"CUIT NO CARGADO")</f>
        <v>0</v>
      </c>
    </row>
    <row r="212" spans="2:18" x14ac:dyDescent="0.3">
      <c r="D212" s="456">
        <v>45138</v>
      </c>
      <c r="E212" s="468">
        <v>4</v>
      </c>
      <c r="F212" s="468">
        <v>275</v>
      </c>
      <c r="G212" s="469">
        <v>23222942934</v>
      </c>
      <c r="H212" s="470" t="str">
        <f>IFERROR(IF(factura_c_mes7[[#This Row],[CUIT]]="","-",VLOOKUP(factura_c_mes7[[#This Row],[CUIT]],Lista_CUIT[#All],2,0)),"CUIT NO CARGADO")</f>
        <v>FIORI SILVIA LORENA</v>
      </c>
      <c r="I212" s="471">
        <v>105300</v>
      </c>
      <c r="J212" s="472">
        <f>IFERROR(IF(factura_c_mes7[[#This Row],[CUIT]]="","-",VLOOKUP(factura_c_mes7[[#This Row],[CUIT]],Lista_CUIT[#All],3,0)),"CUIT NO CARGADO")</f>
        <v>0</v>
      </c>
      <c r="K212" s="472">
        <f>IFERROR(IF(factura_c_mes7[[#This Row],[CUIT]]="","-",VLOOKUP(factura_c_mes7[[#This Row],[CUIT]],Lista_CUIT[#All],4,0)),"CUIT NO CARGADO")</f>
        <v>0</v>
      </c>
    </row>
    <row r="213" spans="2:18" x14ac:dyDescent="0.3">
      <c r="D213" s="456"/>
      <c r="E213" s="42"/>
      <c r="F213" s="43"/>
      <c r="G213" s="44"/>
      <c r="H213" s="53" t="str">
        <f>IFERROR(IF(factura_c_mes7[[#This Row],[CUIT]]="","-",VLOOKUP(factura_c_mes7[[#This Row],[CUIT]],Lista_CUIT[#All],2,0)),"CUIT NO CARGADO")</f>
        <v>-</v>
      </c>
      <c r="I213" s="81"/>
      <c r="J213" s="54" t="str">
        <f>IFERROR(IF(factura_c_mes7[[#This Row],[CUIT]]="","-",VLOOKUP(factura_c_mes7[[#This Row],[CUIT]],Lista_CUIT[#All],3,0)),"CUIT NO CARGADO")</f>
        <v>-</v>
      </c>
      <c r="K213" s="54" t="str">
        <f>IFERROR(IF(factura_c_mes7[[#This Row],[CUIT]]="","-",VLOOKUP(factura_c_mes7[[#This Row],[CUIT]],Lista_CUIT[#All],4,0)),"CUIT NO CARGADO")</f>
        <v>-</v>
      </c>
    </row>
    <row r="214" spans="2:18" x14ac:dyDescent="0.3">
      <c r="D214" s="55" t="s">
        <v>103</v>
      </c>
      <c r="E214" s="55"/>
      <c r="F214" s="55"/>
      <c r="G214" s="55"/>
      <c r="H214" s="57"/>
      <c r="I214" s="58">
        <f>SUBTOTAL(109,factura_c_mes7[TOTAL])</f>
        <v>2922516</v>
      </c>
      <c r="J214" s="55"/>
      <c r="K214" s="55"/>
    </row>
    <row r="215" spans="2:18" x14ac:dyDescent="0.3">
      <c r="B215" s="56"/>
      <c r="C215" s="56"/>
      <c r="L215" s="56"/>
      <c r="M215" s="56"/>
      <c r="N215" s="56"/>
      <c r="O215" s="56"/>
      <c r="P215" s="56"/>
      <c r="Q215" s="56"/>
      <c r="R215" s="56"/>
    </row>
    <row r="220" spans="2:18" ht="25.8" x14ac:dyDescent="0.3">
      <c r="B220" s="661" t="s">
        <v>29</v>
      </c>
      <c r="C220" s="661"/>
      <c r="D220" s="661"/>
      <c r="E220" s="661"/>
      <c r="F220" s="661"/>
      <c r="G220" s="661"/>
      <c r="H220" s="661"/>
      <c r="I220" s="661"/>
      <c r="J220" s="661"/>
      <c r="K220" s="657">
        <f>N1</f>
        <v>45108</v>
      </c>
      <c r="L220" s="657"/>
      <c r="M220" s="657"/>
    </row>
    <row r="223" spans="2:18" ht="21" x14ac:dyDescent="0.3">
      <c r="B223" s="654" t="s">
        <v>1729</v>
      </c>
      <c r="C223" s="654"/>
    </row>
    <row r="224" spans="2:18" ht="15.6" x14ac:dyDescent="0.3">
      <c r="B224" s="60" t="s">
        <v>0</v>
      </c>
      <c r="C224" s="61" t="s">
        <v>1</v>
      </c>
      <c r="D224" s="61" t="s">
        <v>21</v>
      </c>
      <c r="E224" s="61" t="s">
        <v>22</v>
      </c>
      <c r="F224" s="61" t="s">
        <v>3</v>
      </c>
      <c r="G224" s="61" t="s">
        <v>4</v>
      </c>
      <c r="H224" s="61" t="s">
        <v>23</v>
      </c>
      <c r="I224" s="61" t="s">
        <v>17</v>
      </c>
      <c r="J224" s="61" t="s">
        <v>7</v>
      </c>
      <c r="K224" s="61" t="s">
        <v>24</v>
      </c>
      <c r="L224" s="61" t="s">
        <v>10</v>
      </c>
      <c r="M224" s="62" t="s">
        <v>38</v>
      </c>
    </row>
    <row r="225" spans="2:13" x14ac:dyDescent="0.3">
      <c r="B225" s="40"/>
      <c r="C225" s="41"/>
      <c r="D225" s="42"/>
      <c r="E225" s="43"/>
      <c r="F225" s="44"/>
      <c r="G225" s="1" t="str">
        <f>IFERROR(IF(ventas_b_mes7[[#This Row],[CUIT]]="","-",VLOOKUP(ventas_b_mes7[[#This Row],[CUIT]],Lista_CUIT[#All],2,0)),"CUIT NO CARGADO")</f>
        <v>-</v>
      </c>
      <c r="H225" s="64"/>
      <c r="I225" s="64"/>
      <c r="J225" s="64"/>
      <c r="K225" s="64"/>
      <c r="L225" s="64">
        <f>SUM(ventas_b_mes7[[#This Row],[IMPORTE NETO]:[EXENTO]])</f>
        <v>0</v>
      </c>
      <c r="M225" s="59"/>
    </row>
    <row r="226" spans="2:13" x14ac:dyDescent="0.3">
      <c r="B226" s="40"/>
      <c r="C226" s="41"/>
      <c r="D226" s="42"/>
      <c r="E226" s="43"/>
      <c r="F226" s="44"/>
      <c r="G226" s="1" t="str">
        <f>IFERROR(IF(ventas_b_mes7[[#This Row],[CUIT]]="","-",VLOOKUP(ventas_b_mes7[[#This Row],[CUIT]],Lista_CUIT[#All],2,0)),"CUIT NO CARGADO")</f>
        <v>-</v>
      </c>
      <c r="H226" s="64"/>
      <c r="I226" s="64"/>
      <c r="J226" s="64"/>
      <c r="K226" s="64"/>
      <c r="L226" s="64">
        <f>SUM(ventas_b_mes7[[#This Row],[IMPORTE NETO]:[EXENTO]])</f>
        <v>0</v>
      </c>
      <c r="M226" s="59"/>
    </row>
    <row r="227" spans="2:13" x14ac:dyDescent="0.3">
      <c r="B227" s="40"/>
      <c r="C227" s="41"/>
      <c r="D227" s="42"/>
      <c r="E227" s="43"/>
      <c r="F227" s="44"/>
      <c r="G227" s="1" t="str">
        <f>IFERROR(IF(ventas_b_mes7[[#This Row],[CUIT]]="","-",VLOOKUP(ventas_b_mes7[[#This Row],[CUIT]],Lista_CUIT[#All],2,0)),"CUIT NO CARGADO")</f>
        <v>-</v>
      </c>
      <c r="H227" s="64"/>
      <c r="I227" s="64"/>
      <c r="J227" s="64"/>
      <c r="K227" s="64"/>
      <c r="L227" s="64">
        <f>SUM(ventas_b_mes7[[#This Row],[IMPORTE NETO]:[EXENTO]])</f>
        <v>0</v>
      </c>
      <c r="M227" s="59"/>
    </row>
    <row r="228" spans="2:13" x14ac:dyDescent="0.3">
      <c r="B228" s="40"/>
      <c r="C228" s="41"/>
      <c r="D228" s="42"/>
      <c r="E228" s="43"/>
      <c r="F228" s="44"/>
      <c r="G228" s="1" t="str">
        <f>IFERROR(IF(ventas_b_mes7[[#This Row],[CUIT]]="","-",VLOOKUP(ventas_b_mes7[[#This Row],[CUIT]],Lista_CUIT[#All],2,0)),"CUIT NO CARGADO")</f>
        <v>-</v>
      </c>
      <c r="H228" s="64"/>
      <c r="I228" s="64"/>
      <c r="J228" s="64"/>
      <c r="K228" s="64"/>
      <c r="L228" s="64">
        <f>SUM(ventas_b_mes7[[#This Row],[IMPORTE NETO]:[EXENTO]])</f>
        <v>0</v>
      </c>
      <c r="M228" s="59"/>
    </row>
    <row r="229" spans="2:13" x14ac:dyDescent="0.3">
      <c r="B229" s="40"/>
      <c r="C229" s="41"/>
      <c r="D229" s="42"/>
      <c r="E229" s="43"/>
      <c r="F229" s="44"/>
      <c r="G229" s="1" t="str">
        <f>IFERROR(IF(ventas_b_mes7[[#This Row],[CUIT]]="","-",VLOOKUP(ventas_b_mes7[[#This Row],[CUIT]],Lista_CUIT[#All],2,0)),"CUIT NO CARGADO")</f>
        <v>-</v>
      </c>
      <c r="H229" s="64"/>
      <c r="I229" s="64"/>
      <c r="J229" s="64"/>
      <c r="K229" s="64"/>
      <c r="L229" s="64">
        <f>SUM(ventas_b_mes7[[#This Row],[IMPORTE NETO]:[EXENTO]])</f>
        <v>0</v>
      </c>
      <c r="M229" s="59"/>
    </row>
    <row r="230" spans="2:13" x14ac:dyDescent="0.3">
      <c r="B230" s="40"/>
      <c r="C230" s="41"/>
      <c r="D230" s="42"/>
      <c r="E230" s="43"/>
      <c r="F230" s="44"/>
      <c r="G230" s="1" t="str">
        <f>IFERROR(IF(ventas_b_mes7[[#This Row],[CUIT]]="","-",VLOOKUP(ventas_b_mes7[[#This Row],[CUIT]],Lista_CUIT[#All],2,0)),"CUIT NO CARGADO")</f>
        <v>-</v>
      </c>
      <c r="H230" s="64"/>
      <c r="I230" s="64"/>
      <c r="J230" s="64"/>
      <c r="K230" s="64"/>
      <c r="L230" s="64">
        <f>SUM(ventas_b_mes7[[#This Row],[IMPORTE NETO]:[EXENTO]])</f>
        <v>0</v>
      </c>
      <c r="M230" s="59"/>
    </row>
    <row r="231" spans="2:13" x14ac:dyDescent="0.3">
      <c r="B231" s="40"/>
      <c r="C231" s="41"/>
      <c r="D231" s="42"/>
      <c r="E231" s="43"/>
      <c r="F231" s="44"/>
      <c r="G231" s="1" t="str">
        <f>IFERROR(IF(ventas_b_mes7[[#This Row],[CUIT]]="","-",VLOOKUP(ventas_b_mes7[[#This Row],[CUIT]],Lista_CUIT[#All],2,0)),"CUIT NO CARGADO")</f>
        <v>-</v>
      </c>
      <c r="H231" s="64"/>
      <c r="I231" s="183"/>
      <c r="J231" s="184"/>
      <c r="K231" s="184"/>
      <c r="L231" s="184">
        <f>SUM(ventas_b_mes7[[#This Row],[IMPORTE NETO]:[EXENTO]])</f>
        <v>0</v>
      </c>
      <c r="M231" s="59"/>
    </row>
    <row r="232" spans="2:13" x14ac:dyDescent="0.3">
      <c r="B232" s="66" t="s">
        <v>103</v>
      </c>
      <c r="C232" s="67"/>
      <c r="D232" s="67"/>
      <c r="E232" s="67"/>
      <c r="F232" s="67"/>
      <c r="G232" s="67"/>
      <c r="H232" s="77">
        <f>SUBTOTAL(109,ventas_b_mes7[IMPORTE NETO])</f>
        <v>0</v>
      </c>
      <c r="I232" s="77">
        <f>SUBTOTAL(109,ventas_b_mes7[IVA 21%])</f>
        <v>0</v>
      </c>
      <c r="J232" s="78">
        <f>SUBTOTAL(109,ventas_b_mes7[IVA 10,5%])</f>
        <v>0</v>
      </c>
      <c r="K232" s="78">
        <f>SUBTOTAL(109,ventas_b_mes7[EXENTO])</f>
        <v>0</v>
      </c>
      <c r="L232" s="78">
        <f>SUBTOTAL(109,ventas_b_mes7[TOTAL])</f>
        <v>0</v>
      </c>
      <c r="M232" s="68">
        <f>SUBTOTAL(103,ventas_b_mes7[Provincia])</f>
        <v>0</v>
      </c>
    </row>
    <row r="238" spans="2:13" ht="15" thickBot="1" x14ac:dyDescent="0.35"/>
    <row r="239" spans="2:13" ht="15" thickTop="1" x14ac:dyDescent="0.3">
      <c r="C239" s="651" t="s">
        <v>66</v>
      </c>
      <c r="D239" s="651"/>
      <c r="E239" s="651"/>
      <c r="F239" s="651"/>
      <c r="G239" s="651"/>
      <c r="H239" s="32"/>
      <c r="I239" s="32"/>
      <c r="J239" s="32"/>
    </row>
    <row r="240" spans="2:13" ht="15.6" x14ac:dyDescent="0.3">
      <c r="C240" s="114" t="s">
        <v>67</v>
      </c>
      <c r="D240" s="115" t="s">
        <v>68</v>
      </c>
      <c r="E240" s="115" t="s">
        <v>105</v>
      </c>
      <c r="F240" s="115" t="s">
        <v>3</v>
      </c>
      <c r="G240" s="115" t="s">
        <v>4</v>
      </c>
      <c r="H240" s="116" t="s">
        <v>69</v>
      </c>
      <c r="I240" s="116" t="s">
        <v>70</v>
      </c>
      <c r="J240" s="116" t="s">
        <v>71</v>
      </c>
      <c r="K240" s="116" t="s">
        <v>72</v>
      </c>
      <c r="L240" s="116" t="s">
        <v>73</v>
      </c>
    </row>
    <row r="241" spans="3:12" x14ac:dyDescent="0.3">
      <c r="C241" s="117"/>
      <c r="D241" s="118"/>
      <c r="E241" s="118"/>
      <c r="F241" s="119"/>
      <c r="G241" s="53" t="str">
        <f>IFERROR(IF(Retenciones_mes7[[#This Row],[CUIT]]="","-",VLOOKUP(Retenciones_mes7[[#This Row],[CUIT]],Lista_CUIT[#All],2,0)),"CUIT NO CARGADO")</f>
        <v>-</v>
      </c>
      <c r="H241" s="120"/>
      <c r="I241" s="120"/>
      <c r="J241" s="120"/>
      <c r="K241" s="120"/>
      <c r="L241" s="120"/>
    </row>
    <row r="242" spans="3:12" x14ac:dyDescent="0.3">
      <c r="C242" s="117"/>
      <c r="D242" s="118"/>
      <c r="E242" s="118"/>
      <c r="F242" s="119"/>
      <c r="G242" s="53" t="str">
        <f>IFERROR(IF(Retenciones_mes7[[#This Row],[CUIT]]="","-",VLOOKUP(Retenciones_mes7[[#This Row],[CUIT]],Lista_CUIT[#All],2,0)),"CUIT NO CARGADO")</f>
        <v>-</v>
      </c>
      <c r="H242" s="120"/>
      <c r="I242" s="120"/>
      <c r="J242" s="120"/>
      <c r="K242" s="120"/>
      <c r="L242" s="120"/>
    </row>
    <row r="243" spans="3:12" x14ac:dyDescent="0.3">
      <c r="C243" s="117"/>
      <c r="D243" s="118"/>
      <c r="E243" s="118"/>
      <c r="F243" s="119"/>
      <c r="G243" s="53" t="str">
        <f>IFERROR(IF(Retenciones_mes7[[#This Row],[CUIT]]="","-",VLOOKUP(Retenciones_mes7[[#This Row],[CUIT]],Lista_CUIT[#All],2,0)),"CUIT NO CARGADO")</f>
        <v>-</v>
      </c>
      <c r="H243" s="120"/>
      <c r="I243" s="120"/>
      <c r="J243" s="120"/>
      <c r="K243" s="120"/>
      <c r="L243" s="120"/>
    </row>
    <row r="244" spans="3:12" x14ac:dyDescent="0.3">
      <c r="C244" s="117"/>
      <c r="D244" s="118"/>
      <c r="E244" s="118"/>
      <c r="F244" s="119"/>
      <c r="G244" s="53" t="str">
        <f>IFERROR(IF(Retenciones_mes7[[#This Row],[CUIT]]="","-",VLOOKUP(Retenciones_mes7[[#This Row],[CUIT]],Lista_CUIT[#All],2,0)),"CUIT NO CARGADO")</f>
        <v>-</v>
      </c>
      <c r="H244" s="120"/>
      <c r="I244" s="120"/>
      <c r="J244" s="120"/>
      <c r="K244" s="120"/>
      <c r="L244" s="120"/>
    </row>
    <row r="245" spans="3:12" x14ac:dyDescent="0.3">
      <c r="D245" s="118"/>
      <c r="E245" s="118"/>
      <c r="G245" s="53" t="str">
        <f>IFERROR(IF(Retenciones_mes7[[#This Row],[CUIT]]="","-",VLOOKUP(Retenciones_mes7[[#This Row],[CUIT]],Lista_CUIT[#All],2,0)),"CUIT NO CARGADO")</f>
        <v>-</v>
      </c>
    </row>
    <row r="246" spans="3:12" x14ac:dyDescent="0.3">
      <c r="C246" s="33"/>
    </row>
  </sheetData>
  <mergeCells count="19">
    <mergeCell ref="P4:R4"/>
    <mergeCell ref="D175:L175"/>
    <mergeCell ref="B1:F1"/>
    <mergeCell ref="G1:M1"/>
    <mergeCell ref="N1:R1"/>
    <mergeCell ref="B3:E3"/>
    <mergeCell ref="G3:H3"/>
    <mergeCell ref="J3:K3"/>
    <mergeCell ref="M3:N3"/>
    <mergeCell ref="P3:R3"/>
    <mergeCell ref="C239:G239"/>
    <mergeCell ref="B4:E4"/>
    <mergeCell ref="G4:H4"/>
    <mergeCell ref="J4:K4"/>
    <mergeCell ref="M4:N4"/>
    <mergeCell ref="D188:K188"/>
    <mergeCell ref="B220:J220"/>
    <mergeCell ref="K220:M220"/>
    <mergeCell ref="B223:C223"/>
  </mergeCells>
  <dataValidations count="8">
    <dataValidation type="whole" allowBlank="1" showInputMessage="1" showErrorMessage="1" sqref="D225:D231 E190:E213 D9:D169" xr:uid="{00000000-0002-0000-0700-000000000000}">
      <formula1>1</formula1>
      <formula2>9999</formula2>
    </dataValidation>
    <dataValidation type="whole" allowBlank="1" showInputMessage="1" showErrorMessage="1" sqref="E225:E231 F190:F213 E9:E169" xr:uid="{00000000-0002-0000-0700-000001000000}">
      <formula1>1</formula1>
      <formula2>99999999</formula2>
    </dataValidation>
    <dataValidation type="whole" allowBlank="1" showInputMessage="1" showErrorMessage="1" sqref="F225:F231 G190:G213 F9:F169" xr:uid="{00000000-0002-0000-0700-000002000000}">
      <formula1>20000000000</formula1>
      <formula2>33999999999</formula2>
    </dataValidation>
    <dataValidation type="date" allowBlank="1" showInputMessage="1" showErrorMessage="1" sqref="D177:D183 B171:B174 B225:B231 D190:D213 B9:B169" xr:uid="{00000000-0002-0000-0700-000003000000}">
      <formula1>40179</formula1>
      <formula2>TODAY()</formula2>
    </dataValidation>
    <dataValidation type="whole" allowBlank="1" showInputMessage="1" showErrorMessage="1" sqref="C171:C174 C9:C169" xr:uid="{00000000-0002-0000-0700-000004000000}">
      <formula1>1</formula1>
      <formula2>3</formula2>
    </dataValidation>
    <dataValidation type="whole" allowBlank="1" showInputMessage="1" showErrorMessage="1" sqref="C225:C231" xr:uid="{00000000-0002-0000-0700-000005000000}">
      <formula1>6</formula1>
      <formula2>8</formula2>
    </dataValidation>
    <dataValidation type="custom" allowBlank="1" showInputMessage="1" showErrorMessage="1" sqref="H225:L231" xr:uid="{00000000-0002-0000-0700-000006000000}">
      <formula1>IF($C225=8,H225&lt;0,H225&gt;=0)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69" xr:uid="{00000000-0002-0000-0700-000007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315"/>
  <sheetViews>
    <sheetView showGridLines="0" topLeftCell="F216" zoomScale="80" zoomScaleNormal="80" workbookViewId="0">
      <selection activeCell="K222" activeCellId="1" sqref="K218 K222:K225"/>
    </sheetView>
  </sheetViews>
  <sheetFormatPr baseColWidth="10" defaultColWidth="0" defaultRowHeight="14.4" x14ac:dyDescent="0.3"/>
  <cols>
    <col min="1" max="1" width="1.6640625" customWidth="1"/>
    <col min="2" max="2" width="13.5546875" customWidth="1"/>
    <col min="3" max="3" width="9.5546875" customWidth="1"/>
    <col min="4" max="4" width="13.33203125" customWidth="1"/>
    <col min="5" max="5" width="14.5546875" customWidth="1"/>
    <col min="6" max="6" width="23.109375" customWidth="1"/>
    <col min="7" max="8" width="20" customWidth="1"/>
    <col min="9" max="9" width="15.5546875" customWidth="1"/>
    <col min="10" max="10" width="17.88671875" customWidth="1"/>
    <col min="11" max="11" width="12.6640625" customWidth="1"/>
    <col min="12" max="12" width="10.88671875" customWidth="1"/>
    <col min="13" max="13" width="18.5546875" customWidth="1"/>
    <col min="14" max="14" width="11.33203125" customWidth="1"/>
    <col min="15" max="15" width="10.6640625" customWidth="1"/>
    <col min="16" max="16" width="19.33203125" customWidth="1"/>
    <col min="17" max="17" width="7.88671875" customWidth="1"/>
    <col min="18" max="18" width="5.6640625" customWidth="1"/>
    <col min="19" max="19" width="13.10937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EDATE('Ene-23'!N1,7)</f>
        <v>45139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SUM(compras_mes8[[#Totals],[NETO GRAVADO]])+extracto_banco_mes8[[#Totals],[NETO]]</f>
        <v>42688805.608557165</v>
      </c>
      <c r="C4" s="659"/>
      <c r="D4" s="659"/>
      <c r="E4" s="659"/>
      <c r="F4" s="39"/>
      <c r="G4" s="660">
        <f>compras_mes8[[#Totals],[IVA 21 %]]+compras_mes8[[#Totals],[IVA 27%]]+compras_mes8[[#Totals],[IVA 10,5%]]+extracto_banco_mes8[[#Totals],[IVA 21%]]+extracto_banco_mes8[[#Totals],[IVA 10,5%]]</f>
        <v>8857887.2158000022</v>
      </c>
      <c r="H4" s="660"/>
      <c r="I4" s="39"/>
      <c r="J4" s="649">
        <f>venta_a_mes8[[#Totals],[IMPORTE NETO]]+ventas_b_mes8[[#Totals],[IMPORTE NETO]]</f>
        <v>0</v>
      </c>
      <c r="K4" s="649"/>
      <c r="L4" s="39"/>
      <c r="M4" s="649">
        <f>venta_a_mes8[[#Totals],[IVA 21%]]+venta_a_mes8[[#Totals],[IVA 10,5%]]+ventas_b_mes8[[#Totals],[IVA 21%]]+ventas_b_mes8[[#Totals],[IVA 10,5%]]</f>
        <v>0</v>
      </c>
      <c r="N4" s="649"/>
      <c r="O4" s="39"/>
      <c r="P4" s="662">
        <f>G4-M4</f>
        <v>8857887.2158000022</v>
      </c>
      <c r="Q4" s="663"/>
      <c r="R4" s="663"/>
    </row>
    <row r="5" spans="1:26" ht="24" customHeight="1" x14ac:dyDescent="0.3">
      <c r="M5" s="525">
        <v>10109350.279999999</v>
      </c>
    </row>
    <row r="6" spans="1:26" ht="16.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56">
        <v>45139</v>
      </c>
      <c r="C9" s="457">
        <v>1</v>
      </c>
      <c r="D9" s="458">
        <v>2</v>
      </c>
      <c r="E9" s="506">
        <v>3401</v>
      </c>
      <c r="F9" s="459">
        <v>30629863571</v>
      </c>
      <c r="G9" s="460" t="str">
        <f>IFERROR(IF(compras_mes8[[#This Row],[CUIT]]="","-",VLOOKUP(compras_mes8[[#This Row],[CUIT]],Lista_CUIT[#All],2,0)),"CUIT NO CARGADO")</f>
        <v>TECNIMAR S R L</v>
      </c>
      <c r="H9" s="461">
        <v>992746.56</v>
      </c>
      <c r="I9" s="462">
        <f>IF(compras_mes8[[#This Row],[NETO GRAVADO]]="","",compras_mes8[[#This Row],[NETO GRAVADO]]*0.21)</f>
        <v>208476.7776</v>
      </c>
      <c r="J9" s="462"/>
      <c r="K9" s="462"/>
      <c r="L9" s="462"/>
      <c r="M9" s="462"/>
      <c r="N9" s="462"/>
      <c r="O9" s="462"/>
      <c r="P9" s="463">
        <f>SUM(compras_mes8[[#This Row],[NETO GRAVADO]:[Otros / No Grav.]])</f>
        <v>1201223.3376</v>
      </c>
      <c r="Q9" s="464" t="str">
        <f>IFERROR(IF(compras_mes8[[#This Row],[CUIT]]="","-",VLOOKUP(compras_mes8[[#This Row],[CUIT]],Lista_CUIT[#All],3,0)),"CUIT NO CARGADO")</f>
        <v>LABORATORIO</v>
      </c>
      <c r="R9" s="49">
        <f>IFERROR(IF(compras_mes8[[#This Row],[CUIT]]="","-",VLOOKUP(compras_mes8[[#This Row],[CUIT]],Lista_CUIT[#All],4,0)),"CUIT NO CARGADO")</f>
        <v>0</v>
      </c>
    </row>
    <row r="10" spans="1:26" x14ac:dyDescent="0.3">
      <c r="B10" s="456">
        <v>45139</v>
      </c>
      <c r="C10" s="457">
        <v>1</v>
      </c>
      <c r="D10" s="458">
        <v>11</v>
      </c>
      <c r="E10" s="506">
        <v>519</v>
      </c>
      <c r="F10" s="459">
        <v>30519167472</v>
      </c>
      <c r="G10" s="460" t="str">
        <f>IFERROR(IF(compras_mes8[[#This Row],[CUIT]]="","-",VLOOKUP(compras_mes8[[#This Row],[CUIT]],Lista_CUIT[#All],2,0)),"CUIT NO CARGADO")</f>
        <v>ABAD TEJIDOS SOCIEDAD ANONIMA COMERCIAL INDUSTRIAL FINANCIERA INMOBILIARIA</v>
      </c>
      <c r="H10" s="461">
        <v>17165.349999999999</v>
      </c>
      <c r="I10" s="462">
        <f>IF(compras_mes8[[#This Row],[NETO GRAVADO]]="","",compras_mes8[[#This Row],[NETO GRAVADO]]*0.21)</f>
        <v>3604.7234999999996</v>
      </c>
      <c r="J10" s="462"/>
      <c r="K10" s="462"/>
      <c r="L10" s="462"/>
      <c r="M10" s="462"/>
      <c r="N10" s="462">
        <v>1029.92</v>
      </c>
      <c r="O10" s="462"/>
      <c r="P10" s="463">
        <f>SUM(compras_mes8[[#This Row],[NETO GRAVADO]:[Otros / No Grav.]])</f>
        <v>21799.993499999997</v>
      </c>
      <c r="Q10" s="464">
        <f>IFERROR(IF(compras_mes8[[#This Row],[CUIT]]="","-",VLOOKUP(compras_mes8[[#This Row],[CUIT]],Lista_CUIT[#All],3,0)),"CUIT NO CARGADO")</f>
        <v>0</v>
      </c>
      <c r="R10" s="464">
        <f>IFERROR(IF(compras_mes8[[#This Row],[CUIT]]="","-",VLOOKUP(compras_mes8[[#This Row],[CUIT]],Lista_CUIT[#All],4,0)),"CUIT NO CARGADO")</f>
        <v>0</v>
      </c>
    </row>
    <row r="11" spans="1:26" x14ac:dyDescent="0.3">
      <c r="B11" s="456">
        <v>45139</v>
      </c>
      <c r="C11" s="457">
        <v>1</v>
      </c>
      <c r="D11" s="458">
        <v>1</v>
      </c>
      <c r="E11" s="506">
        <v>401</v>
      </c>
      <c r="F11" s="459">
        <v>20131206144</v>
      </c>
      <c r="G11" s="460" t="str">
        <f>IFERROR(IF(compras_mes8[[#This Row],[CUIT]]="","-",VLOOKUP(compras_mes8[[#This Row],[CUIT]],Lista_CUIT[#All],2,0)),"CUIT NO CARGADO")</f>
        <v>CHAMORRO MANUEL</v>
      </c>
      <c r="H11" s="461">
        <v>60000</v>
      </c>
      <c r="I11" s="462">
        <f>IF(compras_mes8[[#This Row],[NETO GRAVADO]]="","",compras_mes8[[#This Row],[NETO GRAVADO]]*0.21)</f>
        <v>12600</v>
      </c>
      <c r="J11" s="462"/>
      <c r="K11" s="462"/>
      <c r="L11" s="462"/>
      <c r="M11" s="462"/>
      <c r="N11" s="462"/>
      <c r="O11" s="462"/>
      <c r="P11" s="463">
        <f>SUM(compras_mes8[[#This Row],[NETO GRAVADO]:[Otros / No Grav.]])</f>
        <v>72600</v>
      </c>
      <c r="Q11" s="464" t="str">
        <f>IFERROR(IF(compras_mes8[[#This Row],[CUIT]]="","-",VLOOKUP(compras_mes8[[#This Row],[CUIT]],Lista_CUIT[#All],3,0)),"CUIT NO CARGADO")</f>
        <v>Alquiler</v>
      </c>
      <c r="R11" s="464">
        <f>IFERROR(IF(compras_mes8[[#This Row],[CUIT]]="","-",VLOOKUP(compras_mes8[[#This Row],[CUIT]],Lista_CUIT[#All],4,0)),"CUIT NO CARGADO")</f>
        <v>0</v>
      </c>
    </row>
    <row r="12" spans="1:26" x14ac:dyDescent="0.3">
      <c r="B12" s="486">
        <v>45139</v>
      </c>
      <c r="C12" s="250">
        <v>1</v>
      </c>
      <c r="D12" s="487">
        <v>3034</v>
      </c>
      <c r="E12" s="488">
        <v>4219076</v>
      </c>
      <c r="F12" s="476">
        <v>30708574836</v>
      </c>
      <c r="G12" s="489" t="str">
        <f>IFERROR(IF(compras_mes8[[#This Row],[CUIT]]="","-",VLOOKUP(compras_mes8[[#This Row],[CUIT]],Lista_CUIT[#All],2,0)),"CUIT NO CARGADO")</f>
        <v>CORREO OFICIAL DE LA REPUBLICA ARGENTINA SOCIEDAD ANONIMA</v>
      </c>
      <c r="H12" s="490">
        <v>1843.94</v>
      </c>
      <c r="I12" s="491">
        <f>IF(compras_mes8[[#This Row],[NETO GRAVADO]]="","",compras_mes8[[#This Row],[NETO GRAVADO]]*0.21)</f>
        <v>387.22739999999999</v>
      </c>
      <c r="J12" s="491"/>
      <c r="K12" s="491"/>
      <c r="L12" s="491"/>
      <c r="M12" s="491"/>
      <c r="N12" s="491"/>
      <c r="O12" s="491"/>
      <c r="P12" s="492">
        <f>SUM(compras_mes8[[#This Row],[NETO GRAVADO]:[Otros / No Grav.]])</f>
        <v>2231.1674000000003</v>
      </c>
      <c r="Q12" s="493" t="str">
        <f>IFERROR(IF(compras_mes8[[#This Row],[CUIT]]="","-",VLOOKUP(compras_mes8[[#This Row],[CUIT]],Lista_CUIT[#All],3,0)),"CUIT NO CARGADO")</f>
        <v>MESAJERIA</v>
      </c>
      <c r="R12" s="493">
        <f>IFERROR(IF(compras_mes8[[#This Row],[CUIT]]="","-",VLOOKUP(compras_mes8[[#This Row],[CUIT]],Lista_CUIT[#All],4,0)),"CUIT NO CARGADO")</f>
        <v>0</v>
      </c>
    </row>
    <row r="13" spans="1:26" x14ac:dyDescent="0.3">
      <c r="B13" s="456">
        <v>45139</v>
      </c>
      <c r="C13" s="457">
        <v>1</v>
      </c>
      <c r="D13" s="458">
        <v>2188</v>
      </c>
      <c r="E13" s="506">
        <v>95707</v>
      </c>
      <c r="F13" s="459">
        <v>30548083156</v>
      </c>
      <c r="G13" s="460" t="str">
        <f>IFERROR(IF(compras_mes8[[#This Row],[CUIT]]="","-",VLOOKUP(compras_mes8[[#This Row],[CUIT]],Lista_CUIT[#All],2,0)),"CUIT NO CARGADO")</f>
        <v>COTO CENTRO INTEGRAL DE COMERCIALIZACION SOCIEDAD ANONIMA</v>
      </c>
      <c r="H13" s="461">
        <v>15672.87</v>
      </c>
      <c r="I13" s="462">
        <v>2976.39</v>
      </c>
      <c r="J13" s="462"/>
      <c r="K13" s="462">
        <v>157.46</v>
      </c>
      <c r="L13" s="462"/>
      <c r="M13" s="462"/>
      <c r="N13" s="462"/>
      <c r="O13" s="462">
        <v>1349.65</v>
      </c>
      <c r="P13" s="463">
        <f>SUM(compras_mes8[[#This Row],[NETO GRAVADO]:[Otros / No Grav.]])</f>
        <v>20156.370000000003</v>
      </c>
      <c r="Q13" s="464" t="str">
        <f>IFERROR(IF(compras_mes8[[#This Row],[CUIT]]="","-",VLOOKUP(compras_mes8[[#This Row],[CUIT]],Lista_CUIT[#All],3,0)),"CUIT NO CARGADO")</f>
        <v>GASTOS COMERCIALES</v>
      </c>
      <c r="R13" s="464">
        <f>IFERROR(IF(compras_mes8[[#This Row],[CUIT]]="","-",VLOOKUP(compras_mes8[[#This Row],[CUIT]],Lista_CUIT[#All],4,0)),"CUIT NO CARGADO")</f>
        <v>0</v>
      </c>
    </row>
    <row r="14" spans="1:26" x14ac:dyDescent="0.3">
      <c r="B14" s="456">
        <v>45139</v>
      </c>
      <c r="C14" s="457">
        <v>1</v>
      </c>
      <c r="D14" s="458">
        <v>1</v>
      </c>
      <c r="E14" s="506">
        <v>607</v>
      </c>
      <c r="F14" s="459">
        <v>30715889486</v>
      </c>
      <c r="G14" s="460" t="str">
        <f>IFERROR(IF(compras_mes8[[#This Row],[CUIT]]="","-",VLOOKUP(compras_mes8[[#This Row],[CUIT]],Lista_CUIT[#All],2,0)),"CUIT NO CARGADO")</f>
        <v>EXPOESTETICA</v>
      </c>
      <c r="H14" s="461">
        <v>244800</v>
      </c>
      <c r="I14" s="462">
        <f>IF(compras_mes8[[#This Row],[NETO GRAVADO]]="","",compras_mes8[[#This Row],[NETO GRAVADO]]*0.21)</f>
        <v>51408</v>
      </c>
      <c r="J14" s="462"/>
      <c r="K14" s="462"/>
      <c r="L14" s="462"/>
      <c r="M14" s="462"/>
      <c r="N14" s="462"/>
      <c r="O14" s="462"/>
      <c r="P14" s="463">
        <f>SUM(compras_mes8[[#This Row],[NETO GRAVADO]:[Otros / No Grav.]])</f>
        <v>296208</v>
      </c>
      <c r="Q14" s="464" t="str">
        <f>IFERROR(IF(compras_mes8[[#This Row],[CUIT]]="","-",VLOOKUP(compras_mes8[[#This Row],[CUIT]],Lista_CUIT[#All],3,0)),"CUIT NO CARGADO")</f>
        <v>Convencion</v>
      </c>
      <c r="R14" s="464" t="str">
        <f>IFERROR(IF(compras_mes8[[#This Row],[CUIT]]="","-",VLOOKUP(compras_mes8[[#This Row],[CUIT]],Lista_CUIT[#All],4,0)),"CUIT NO CARGADO")</f>
        <v>BUENOS AIRES</v>
      </c>
    </row>
    <row r="15" spans="1:26" x14ac:dyDescent="0.3">
      <c r="B15" s="456">
        <v>45139</v>
      </c>
      <c r="C15" s="457">
        <v>1</v>
      </c>
      <c r="D15" s="458">
        <v>6</v>
      </c>
      <c r="E15" s="506">
        <v>2709</v>
      </c>
      <c r="F15" s="459">
        <v>30574603788</v>
      </c>
      <c r="G15" s="460" t="str">
        <f>IFERROR(IF(compras_mes8[[#This Row],[CUIT]]="","-",VLOOKUP(compras_mes8[[#This Row],[CUIT]],Lista_CUIT[#All],2,0)),"CUIT NO CARGADO")</f>
        <v>CODAC SRL</v>
      </c>
      <c r="H15" s="461">
        <v>407949</v>
      </c>
      <c r="I15" s="462">
        <f>IF(compras_mes8[[#This Row],[NETO GRAVADO]]="","",compras_mes8[[#This Row],[NETO GRAVADO]]*0.21)</f>
        <v>85669.29</v>
      </c>
      <c r="J15" s="462"/>
      <c r="K15" s="462"/>
      <c r="L15" s="462"/>
      <c r="M15" s="462"/>
      <c r="N15" s="462"/>
      <c r="O15" s="462"/>
      <c r="P15" s="463">
        <f>SUM(compras_mes8[[#This Row],[NETO GRAVADO]:[Otros / No Grav.]])</f>
        <v>493618.29</v>
      </c>
      <c r="Q15" s="464" t="str">
        <f>IFERROR(IF(compras_mes8[[#This Row],[CUIT]]="","-",VLOOKUP(compras_mes8[[#This Row],[CUIT]],Lista_CUIT[#All],3,0)),"CUIT NO CARGADO")</f>
        <v>GASTOS COSMETICA</v>
      </c>
      <c r="R15" s="464" t="str">
        <f>IFERROR(IF(compras_mes8[[#This Row],[CUIT]]="","-",VLOOKUP(compras_mes8[[#This Row],[CUIT]],Lista_CUIT[#All],4,0)),"CUIT NO CARGADO")</f>
        <v>BUENOS AIRES</v>
      </c>
    </row>
    <row r="16" spans="1:26" x14ac:dyDescent="0.3">
      <c r="B16" s="456">
        <v>45139</v>
      </c>
      <c r="C16" s="457">
        <v>1</v>
      </c>
      <c r="D16" s="458">
        <v>8</v>
      </c>
      <c r="E16" s="506">
        <v>14605</v>
      </c>
      <c r="F16" s="459">
        <v>30707059466</v>
      </c>
      <c r="G16" s="460" t="str">
        <f>IFERROR(IF(compras_mes8[[#This Row],[CUIT]]="","-",VLOOKUP(compras_mes8[[#This Row],[CUIT]],Lista_CUIT[#All],2,0)),"CUIT NO CARGADO")</f>
        <v>ESTACION SA</v>
      </c>
      <c r="H16" s="461">
        <v>7613.19</v>
      </c>
      <c r="I16" s="462">
        <f>IF(compras_mes8[[#This Row],[NETO GRAVADO]]="","",compras_mes8[[#This Row],[NETO GRAVADO]]*0.21)</f>
        <v>1598.7698999999998</v>
      </c>
      <c r="J16" s="462"/>
      <c r="K16" s="462"/>
      <c r="L16" s="462"/>
      <c r="M16" s="462"/>
      <c r="N16" s="462"/>
      <c r="O16" s="462">
        <v>1151.0899999999999</v>
      </c>
      <c r="P16" s="463">
        <f>SUM(compras_mes8[[#This Row],[NETO GRAVADO]:[Otros / No Grav.]])</f>
        <v>10363.0499</v>
      </c>
      <c r="Q16" s="464">
        <f>IFERROR(IF(compras_mes8[[#This Row],[CUIT]]="","-",VLOOKUP(compras_mes8[[#This Row],[CUIT]],Lista_CUIT[#All],3,0)),"CUIT NO CARGADO")</f>
        <v>0</v>
      </c>
      <c r="R16" s="464">
        <f>IFERROR(IF(compras_mes8[[#This Row],[CUIT]]="","-",VLOOKUP(compras_mes8[[#This Row],[CUIT]],Lista_CUIT[#All],4,0)),"CUIT NO CARGADO")</f>
        <v>0</v>
      </c>
    </row>
    <row r="17" spans="2:18" x14ac:dyDescent="0.3">
      <c r="B17" s="456">
        <v>45139</v>
      </c>
      <c r="C17" s="457">
        <v>1</v>
      </c>
      <c r="D17" s="458">
        <v>23</v>
      </c>
      <c r="E17" s="506">
        <v>15996</v>
      </c>
      <c r="F17" s="459">
        <v>30515800219</v>
      </c>
      <c r="G17" s="460" t="str">
        <f>IFERROR(IF(compras_mes8[[#This Row],[CUIT]]="","-",VLOOKUP(compras_mes8[[#This Row],[CUIT]],Lista_CUIT[#All],2,0)),"CUIT NO CARGADO")</f>
        <v>INCAT SRL</v>
      </c>
      <c r="H17" s="461">
        <v>1874.57</v>
      </c>
      <c r="I17" s="462">
        <f>IF(compras_mes8[[#This Row],[NETO GRAVADO]]="","",compras_mes8[[#This Row],[NETO GRAVADO]]*0.21)</f>
        <v>393.65969999999999</v>
      </c>
      <c r="J17" s="462"/>
      <c r="K17" s="462"/>
      <c r="L17" s="462"/>
      <c r="M17" s="462"/>
      <c r="N17" s="462"/>
      <c r="O17" s="462">
        <v>231.73</v>
      </c>
      <c r="P17" s="463">
        <f>SUM(compras_mes8[[#This Row],[NETO GRAVADO]:[Otros / No Grav.]])</f>
        <v>2499.9596999999999</v>
      </c>
      <c r="Q17" s="464" t="str">
        <f>IFERROR(IF(compras_mes8[[#This Row],[CUIT]]="","-",VLOOKUP(compras_mes8[[#This Row],[CUIT]],Lista_CUIT[#All],3,0)),"CUIT NO CARGADO")</f>
        <v>Combustibe</v>
      </c>
      <c r="R17" s="464" t="str">
        <f>IFERROR(IF(compras_mes8[[#This Row],[CUIT]]="","-",VLOOKUP(compras_mes8[[#This Row],[CUIT]],Lista_CUIT[#All],4,0)),"CUIT NO CARGADO")</f>
        <v>CABA</v>
      </c>
    </row>
    <row r="18" spans="2:18" x14ac:dyDescent="0.3">
      <c r="B18" s="456">
        <v>45139</v>
      </c>
      <c r="C18" s="457">
        <v>1</v>
      </c>
      <c r="D18" s="458">
        <v>16</v>
      </c>
      <c r="E18" s="506">
        <v>15015</v>
      </c>
      <c r="F18" s="459">
        <v>30707841105</v>
      </c>
      <c r="G18" s="460" t="str">
        <f>IFERROR(IF(compras_mes8[[#This Row],[CUIT]]="","-",VLOOKUP(compras_mes8[[#This Row],[CUIT]],Lista_CUIT[#All],2,0)),"CUIT NO CARGADO")</f>
        <v>PETRO ARG SRL</v>
      </c>
      <c r="H18" s="461">
        <v>3690.48</v>
      </c>
      <c r="I18" s="462">
        <f>IF(compras_mes8[[#This Row],[NETO GRAVADO]]="","",compras_mes8[[#This Row],[NETO GRAVADO]]*0.21)</f>
        <v>775.00080000000003</v>
      </c>
      <c r="J18" s="462"/>
      <c r="K18" s="462"/>
      <c r="L18" s="462"/>
      <c r="M18" s="462"/>
      <c r="N18" s="462"/>
      <c r="O18" s="462">
        <v>534.53</v>
      </c>
      <c r="P18" s="463">
        <f>SUM(compras_mes8[[#This Row],[NETO GRAVADO]:[Otros / No Grav.]])</f>
        <v>5000.0108</v>
      </c>
      <c r="Q18" s="464" t="str">
        <f>IFERROR(IF(compras_mes8[[#This Row],[CUIT]]="","-",VLOOKUP(compras_mes8[[#This Row],[CUIT]],Lista_CUIT[#All],3,0)),"CUIT NO CARGADO")</f>
        <v>Combustible</v>
      </c>
      <c r="R18" s="464">
        <f>IFERROR(IF(compras_mes8[[#This Row],[CUIT]]="","-",VLOOKUP(compras_mes8[[#This Row],[CUIT]],Lista_CUIT[#All],4,0)),"CUIT NO CARGADO")</f>
        <v>0</v>
      </c>
    </row>
    <row r="19" spans="2:18" x14ac:dyDescent="0.3">
      <c r="B19" s="456">
        <v>45140</v>
      </c>
      <c r="C19" s="457">
        <v>1</v>
      </c>
      <c r="D19" s="458">
        <v>1</v>
      </c>
      <c r="E19" s="506">
        <v>88</v>
      </c>
      <c r="F19" s="459">
        <v>30716010313</v>
      </c>
      <c r="G19" s="460" t="str">
        <f>IFERROR(IF(compras_mes8[[#This Row],[CUIT]]="","-",VLOOKUP(compras_mes8[[#This Row],[CUIT]],Lista_CUIT[#All],2,0)),"CUIT NO CARGADO")</f>
        <v>H UNO 1469 S.A.</v>
      </c>
      <c r="H19" s="461">
        <v>38400</v>
      </c>
      <c r="I19" s="462">
        <f>IF(compras_mes8[[#This Row],[NETO GRAVADO]]="","",compras_mes8[[#This Row],[NETO GRAVADO]]*0.21)</f>
        <v>8064</v>
      </c>
      <c r="J19" s="462"/>
      <c r="K19" s="462"/>
      <c r="L19" s="462"/>
      <c r="M19" s="462"/>
      <c r="N19" s="462"/>
      <c r="O19" s="462"/>
      <c r="P19" s="463">
        <f>SUM(compras_mes8[[#This Row],[NETO GRAVADO]:[Otros / No Grav.]])</f>
        <v>46464</v>
      </c>
      <c r="Q19" s="464" t="str">
        <f>IFERROR(IF(compras_mes8[[#This Row],[CUIT]]="","-",VLOOKUP(compras_mes8[[#This Row],[CUIT]],Lista_CUIT[#All],3,0)),"CUIT NO CARGADO")</f>
        <v>Alquiler</v>
      </c>
      <c r="R19" s="464">
        <f>IFERROR(IF(compras_mes8[[#This Row],[CUIT]]="","-",VLOOKUP(compras_mes8[[#This Row],[CUIT]],Lista_CUIT[#All],4,0)),"CUIT NO CARGADO")</f>
        <v>0</v>
      </c>
    </row>
    <row r="20" spans="2:18" x14ac:dyDescent="0.3">
      <c r="B20" s="486">
        <v>45140</v>
      </c>
      <c r="C20" s="250">
        <v>1</v>
      </c>
      <c r="D20" s="487">
        <v>3</v>
      </c>
      <c r="E20" s="488">
        <v>53</v>
      </c>
      <c r="F20" s="476">
        <v>33715993509</v>
      </c>
      <c r="G20" s="489" t="str">
        <f>IFERROR(IF(compras_mes8[[#This Row],[CUIT]]="","-",VLOOKUP(compras_mes8[[#This Row],[CUIT]],Lista_CUIT[#All],2,0)),"CUIT NO CARGADO")</f>
        <v>+Q NATURAL S.A.</v>
      </c>
      <c r="H20" s="490">
        <v>5925.62</v>
      </c>
      <c r="I20" s="491">
        <f>IF(compras_mes8[[#This Row],[NETO GRAVADO]]="","",compras_mes8[[#This Row],[NETO GRAVADO]]*0.21)</f>
        <v>1244.3801999999998</v>
      </c>
      <c r="J20" s="491"/>
      <c r="K20" s="491"/>
      <c r="L20" s="491"/>
      <c r="M20" s="491"/>
      <c r="N20" s="491"/>
      <c r="O20" s="491"/>
      <c r="P20" s="492">
        <f>SUM(compras_mes8[[#This Row],[NETO GRAVADO]:[Otros / No Grav.]])</f>
        <v>7170.0001999999995</v>
      </c>
      <c r="Q20" s="493">
        <f>IFERROR(IF(compras_mes8[[#This Row],[CUIT]]="","-",VLOOKUP(compras_mes8[[#This Row],[CUIT]],Lista_CUIT[#All],3,0)),"CUIT NO CARGADO")</f>
        <v>0</v>
      </c>
      <c r="R20" s="493">
        <f>IFERROR(IF(compras_mes8[[#This Row],[CUIT]]="","-",VLOOKUP(compras_mes8[[#This Row],[CUIT]],Lista_CUIT[#All],4,0)),"CUIT NO CARGADO")</f>
        <v>0</v>
      </c>
    </row>
    <row r="21" spans="2:18" x14ac:dyDescent="0.3">
      <c r="B21" s="456">
        <v>45141</v>
      </c>
      <c r="C21" s="457">
        <v>1</v>
      </c>
      <c r="D21" s="458">
        <v>3</v>
      </c>
      <c r="E21" s="506">
        <v>24453</v>
      </c>
      <c r="F21" s="459">
        <v>30712121781</v>
      </c>
      <c r="G21" s="460" t="str">
        <f>IFERROR(IF(compras_mes8[[#This Row],[CUIT]]="","-",VLOOKUP(compras_mes8[[#This Row],[CUIT]],Lista_CUIT[#All],2,0)),"CUIT NO CARGADO")</f>
        <v>SUTURA S.R.L.</v>
      </c>
      <c r="H21" s="461">
        <v>123408.36</v>
      </c>
      <c r="I21" s="462">
        <f>IF(compras_mes8[[#This Row],[NETO GRAVADO]]="","",compras_mes8[[#This Row],[NETO GRAVADO]]*0.21)</f>
        <v>25915.7556</v>
      </c>
      <c r="J21" s="462"/>
      <c r="K21" s="462"/>
      <c r="L21" s="462"/>
      <c r="M21" s="462"/>
      <c r="N21" s="462"/>
      <c r="O21" s="462"/>
      <c r="P21" s="463">
        <f>SUM(compras_mes8[[#This Row],[NETO GRAVADO]:[Otros / No Grav.]])</f>
        <v>149324.11559999999</v>
      </c>
      <c r="Q21" s="464">
        <f>IFERROR(IF(compras_mes8[[#This Row],[CUIT]]="","-",VLOOKUP(compras_mes8[[#This Row],[CUIT]],Lista_CUIT[#All],3,0)),"CUIT NO CARGADO")</f>
        <v>0</v>
      </c>
      <c r="R21" s="464">
        <f>IFERROR(IF(compras_mes8[[#This Row],[CUIT]]="","-",VLOOKUP(compras_mes8[[#This Row],[CUIT]],Lista_CUIT[#All],4,0)),"CUIT NO CARGADO")</f>
        <v>0</v>
      </c>
    </row>
    <row r="22" spans="2:18" x14ac:dyDescent="0.3">
      <c r="B22" s="456">
        <v>45141</v>
      </c>
      <c r="C22" s="457">
        <v>1</v>
      </c>
      <c r="D22" s="458">
        <v>2</v>
      </c>
      <c r="E22" s="506">
        <v>3402</v>
      </c>
      <c r="F22" s="459">
        <v>30629863571</v>
      </c>
      <c r="G22" s="460" t="str">
        <f>IFERROR(IF(compras_mes8[[#This Row],[CUIT]]="","-",VLOOKUP(compras_mes8[[#This Row],[CUIT]],Lista_CUIT[#All],2,0)),"CUIT NO CARGADO")</f>
        <v>TECNIMAR S R L</v>
      </c>
      <c r="H22" s="461">
        <v>789466.08</v>
      </c>
      <c r="I22" s="462">
        <f>IF(compras_mes8[[#This Row],[NETO GRAVADO]]="","",compras_mes8[[#This Row],[NETO GRAVADO]]*0.21)</f>
        <v>165787.8768</v>
      </c>
      <c r="J22" s="462"/>
      <c r="K22" s="462"/>
      <c r="L22" s="462"/>
      <c r="M22" s="462"/>
      <c r="N22" s="462"/>
      <c r="O22" s="462"/>
      <c r="P22" s="463">
        <f>SUM(compras_mes8[[#This Row],[NETO GRAVADO]:[Otros / No Grav.]])</f>
        <v>955253.95679999993</v>
      </c>
      <c r="Q22" s="464" t="str">
        <f>IFERROR(IF(compras_mes8[[#This Row],[CUIT]]="","-",VLOOKUP(compras_mes8[[#This Row],[CUIT]],Lista_CUIT[#All],3,0)),"CUIT NO CARGADO")</f>
        <v>LABORATORIO</v>
      </c>
      <c r="R22" s="464">
        <f>IFERROR(IF(compras_mes8[[#This Row],[CUIT]]="","-",VLOOKUP(compras_mes8[[#This Row],[CUIT]],Lista_CUIT[#All],4,0)),"CUIT NO CARGADO")</f>
        <v>0</v>
      </c>
    </row>
    <row r="23" spans="2:18" x14ac:dyDescent="0.3">
      <c r="B23" s="486">
        <v>45141</v>
      </c>
      <c r="C23" s="250">
        <v>1</v>
      </c>
      <c r="D23" s="487">
        <v>2</v>
      </c>
      <c r="E23" s="488">
        <v>223</v>
      </c>
      <c r="F23" s="476">
        <v>27309896063</v>
      </c>
      <c r="G23" s="489" t="str">
        <f>IFERROR(IF(compras_mes8[[#This Row],[CUIT]]="","-",VLOOKUP(compras_mes8[[#This Row],[CUIT]],Lista_CUIT[#All],2,0)),"CUIT NO CARGADO")</f>
        <v>BATTELLINI MARIA SOLEDAD</v>
      </c>
      <c r="H23" s="490">
        <v>50000</v>
      </c>
      <c r="I23" s="491">
        <f>IF(compras_mes8[[#This Row],[NETO GRAVADO]]="","",compras_mes8[[#This Row],[NETO GRAVADO]]*0.21)</f>
        <v>10500</v>
      </c>
      <c r="J23" s="491"/>
      <c r="K23" s="491"/>
      <c r="L23" s="491"/>
      <c r="M23" s="491"/>
      <c r="N23" s="491"/>
      <c r="O23" s="491"/>
      <c r="P23" s="492">
        <f>SUM(compras_mes8[[#This Row],[NETO GRAVADO]:[Otros / No Grav.]])</f>
        <v>60500</v>
      </c>
      <c r="Q23" s="493">
        <f>IFERROR(IF(compras_mes8[[#This Row],[CUIT]]="","-",VLOOKUP(compras_mes8[[#This Row],[CUIT]],Lista_CUIT[#All],3,0)),"CUIT NO CARGADO")</f>
        <v>0</v>
      </c>
      <c r="R23" s="493">
        <f>IFERROR(IF(compras_mes8[[#This Row],[CUIT]]="","-",VLOOKUP(compras_mes8[[#This Row],[CUIT]],Lista_CUIT[#All],4,0)),"CUIT NO CARGADO")</f>
        <v>0</v>
      </c>
    </row>
    <row r="24" spans="2:18" x14ac:dyDescent="0.3">
      <c r="B24" s="486">
        <v>45141</v>
      </c>
      <c r="C24" s="250">
        <v>1</v>
      </c>
      <c r="D24" s="487">
        <v>629</v>
      </c>
      <c r="E24" s="488">
        <v>4378341</v>
      </c>
      <c r="F24" s="476">
        <v>30663498513</v>
      </c>
      <c r="G24" s="489" t="str">
        <f>IFERROR(IF(compras_mes8[[#This Row],[CUIT]]="","-",VLOOKUP(compras_mes8[[#This Row],[CUIT]],Lista_CUIT[#All],2,0)),"CUIT NO CARGADO")</f>
        <v>GRUPO CONCES. DEL OESTE SA</v>
      </c>
      <c r="H24" s="490">
        <v>1942.11</v>
      </c>
      <c r="I24" s="491">
        <f>IF(compras_mes8[[#This Row],[NETO GRAVADO]]="","",compras_mes8[[#This Row],[NETO GRAVADO]]*0.21)</f>
        <v>407.84309999999994</v>
      </c>
      <c r="J24" s="491"/>
      <c r="K24" s="491"/>
      <c r="L24" s="491"/>
      <c r="M24" s="491"/>
      <c r="N24" s="491"/>
      <c r="O24" s="491"/>
      <c r="P24" s="492">
        <f>SUM(compras_mes8[[#This Row],[NETO GRAVADO]:[Otros / No Grav.]])</f>
        <v>2349.9530999999997</v>
      </c>
      <c r="Q24" s="493">
        <f>IFERROR(IF(compras_mes8[[#This Row],[CUIT]]="","-",VLOOKUP(compras_mes8[[#This Row],[CUIT]],Lista_CUIT[#All],3,0)),"CUIT NO CARGADO")</f>
        <v>0</v>
      </c>
      <c r="R24" s="493">
        <f>IFERROR(IF(compras_mes8[[#This Row],[CUIT]]="","-",VLOOKUP(compras_mes8[[#This Row],[CUIT]],Lista_CUIT[#All],4,0)),"CUIT NO CARGADO")</f>
        <v>0</v>
      </c>
    </row>
    <row r="25" spans="2:18" x14ac:dyDescent="0.3">
      <c r="B25" s="486">
        <v>45141</v>
      </c>
      <c r="C25" s="250">
        <v>1</v>
      </c>
      <c r="D25" s="487">
        <v>5014</v>
      </c>
      <c r="E25" s="488">
        <v>463602</v>
      </c>
      <c r="F25" s="476">
        <v>30574876474</v>
      </c>
      <c r="G25" s="489" t="str">
        <f>IFERROR(IF(compras_mes8[[#This Row],[CUIT]]="","-",VLOOKUP(compras_mes8[[#This Row],[CUIT]],Lista_CUIT[#All],2,0)),"CUIT NO CARGADO")</f>
        <v>AUTOPISTAS URBANAS S A</v>
      </c>
      <c r="H25" s="490">
        <v>16928.86</v>
      </c>
      <c r="I25" s="491">
        <f>IF(compras_mes8[[#This Row],[NETO GRAVADO]]="","",compras_mes8[[#This Row],[NETO GRAVADO]]*0.21)</f>
        <v>3555.0605999999998</v>
      </c>
      <c r="J25" s="491"/>
      <c r="K25" s="491"/>
      <c r="L25" s="491"/>
      <c r="M25" s="491"/>
      <c r="N25" s="491"/>
      <c r="O25" s="491">
        <f>507.85+1692.84</f>
        <v>2200.69</v>
      </c>
      <c r="P25" s="492">
        <f>SUM(compras_mes8[[#This Row],[NETO GRAVADO]:[Otros / No Grav.]])</f>
        <v>22684.6106</v>
      </c>
      <c r="Q25" s="493">
        <f>IFERROR(IF(compras_mes8[[#This Row],[CUIT]]="","-",VLOOKUP(compras_mes8[[#This Row],[CUIT]],Lista_CUIT[#All],3,0)),"CUIT NO CARGADO")</f>
        <v>0</v>
      </c>
      <c r="R25" s="493">
        <f>IFERROR(IF(compras_mes8[[#This Row],[CUIT]]="","-",VLOOKUP(compras_mes8[[#This Row],[CUIT]],Lista_CUIT[#All],4,0)),"CUIT NO CARGADO")</f>
        <v>0</v>
      </c>
    </row>
    <row r="26" spans="2:18" x14ac:dyDescent="0.3">
      <c r="B26" s="456">
        <v>45141</v>
      </c>
      <c r="C26" s="457">
        <v>1</v>
      </c>
      <c r="D26" s="458">
        <v>9178</v>
      </c>
      <c r="E26" s="506">
        <v>15342</v>
      </c>
      <c r="F26" s="459">
        <v>30678774495</v>
      </c>
      <c r="G26" s="460" t="str">
        <f>IFERROR(IF(compras_mes8[[#This Row],[CUIT]]="","-",VLOOKUP(compras_mes8[[#This Row],[CUIT]],Lista_CUIT[#All],2,0)),"CUIT NO CARGADO")</f>
        <v>OPER. DE EST. DE SERV. SA</v>
      </c>
      <c r="H26" s="461">
        <v>5875.36</v>
      </c>
      <c r="I26" s="462">
        <f>IF(compras_mes8[[#This Row],[NETO GRAVADO]]="","",compras_mes8[[#This Row],[NETO GRAVADO]]*0.21)</f>
        <v>1233.8255999999999</v>
      </c>
      <c r="J26" s="462"/>
      <c r="K26" s="462"/>
      <c r="L26" s="462"/>
      <c r="M26" s="462"/>
      <c r="N26" s="462"/>
      <c r="O26" s="462">
        <f>892.83+406.09</f>
        <v>1298.92</v>
      </c>
      <c r="P26" s="463">
        <f>SUM(compras_mes8[[#This Row],[NETO GRAVADO]:[Otros / No Grav.]])</f>
        <v>8408.105599999999</v>
      </c>
      <c r="Q26" s="464" t="str">
        <f>IFERROR(IF(compras_mes8[[#This Row],[CUIT]]="","-",VLOOKUP(compras_mes8[[#This Row],[CUIT]],Lista_CUIT[#All],3,0)),"CUIT NO CARGADO")</f>
        <v>Combustibe</v>
      </c>
      <c r="R26" s="464">
        <f>IFERROR(IF(compras_mes8[[#This Row],[CUIT]]="","-",VLOOKUP(compras_mes8[[#This Row],[CUIT]],Lista_CUIT[#All],4,0)),"CUIT NO CARGADO")</f>
        <v>0</v>
      </c>
    </row>
    <row r="27" spans="2:18" x14ac:dyDescent="0.3">
      <c r="B27" s="456">
        <v>45141</v>
      </c>
      <c r="C27" s="457">
        <v>1</v>
      </c>
      <c r="D27" s="458">
        <v>943</v>
      </c>
      <c r="E27" s="506">
        <v>1558979</v>
      </c>
      <c r="F27" s="459">
        <v>30639453975</v>
      </c>
      <c r="G27" s="460" t="str">
        <f>IFERROR(IF(compras_mes8[[#This Row],[CUIT]]="","-",VLOOKUP(compras_mes8[[#This Row],[CUIT]],Lista_CUIT[#All],2,0)),"CUIT NO CARGADO")</f>
        <v>TELEFONICA DE ARG S.A.</v>
      </c>
      <c r="H27" s="461">
        <v>24826.799999999999</v>
      </c>
      <c r="I27" s="462"/>
      <c r="J27" s="462">
        <v>6703.24</v>
      </c>
      <c r="K27" s="462"/>
      <c r="L27" s="462">
        <v>744.8</v>
      </c>
      <c r="M27" s="462"/>
      <c r="N27" s="462">
        <v>1489.61</v>
      </c>
      <c r="O27" s="462"/>
      <c r="P27" s="463">
        <f>SUM(compras_mes8[[#This Row],[NETO GRAVADO]:[Otros / No Grav.]])</f>
        <v>33764.449999999997</v>
      </c>
      <c r="Q27" s="464" t="str">
        <f>IFERROR(IF(compras_mes8[[#This Row],[CUIT]]="","-",VLOOKUP(compras_mes8[[#This Row],[CUIT]],Lista_CUIT[#All],3,0)),"CUIT NO CARGADO")</f>
        <v>Servicios Gas, Luz, etc.</v>
      </c>
      <c r="R27" s="464">
        <f>IFERROR(IF(compras_mes8[[#This Row],[CUIT]]="","-",VLOOKUP(compras_mes8[[#This Row],[CUIT]],Lista_CUIT[#All],4,0)),"CUIT NO CARGADO")</f>
        <v>0</v>
      </c>
    </row>
    <row r="28" spans="2:18" x14ac:dyDescent="0.3">
      <c r="B28" s="456">
        <v>45141</v>
      </c>
      <c r="C28" s="457">
        <v>1</v>
      </c>
      <c r="D28" s="458">
        <v>6</v>
      </c>
      <c r="E28" s="506">
        <v>2716</v>
      </c>
      <c r="F28" s="459">
        <v>30574603788</v>
      </c>
      <c r="G28" s="460" t="str">
        <f>IFERROR(IF(compras_mes8[[#This Row],[CUIT]]="","-",VLOOKUP(compras_mes8[[#This Row],[CUIT]],Lista_CUIT[#All],2,0)),"CUIT NO CARGADO")</f>
        <v>CODAC SRL</v>
      </c>
      <c r="H28" s="461">
        <v>629238</v>
      </c>
      <c r="I28" s="462">
        <f>IF(compras_mes8[[#This Row],[NETO GRAVADO]]="","",compras_mes8[[#This Row],[NETO GRAVADO]]*0.21)</f>
        <v>132139.97999999998</v>
      </c>
      <c r="J28" s="462"/>
      <c r="K28" s="462"/>
      <c r="L28" s="462"/>
      <c r="M28" s="462"/>
      <c r="N28" s="462"/>
      <c r="O28" s="462"/>
      <c r="P28" s="463">
        <f>SUM(compras_mes8[[#This Row],[NETO GRAVADO]:[Otros / No Grav.]])</f>
        <v>761377.98</v>
      </c>
      <c r="Q28" s="464" t="str">
        <f>IFERROR(IF(compras_mes8[[#This Row],[CUIT]]="","-",VLOOKUP(compras_mes8[[#This Row],[CUIT]],Lista_CUIT[#All],3,0)),"CUIT NO CARGADO")</f>
        <v>GASTOS COSMETICA</v>
      </c>
      <c r="R28" s="464" t="str">
        <f>IFERROR(IF(compras_mes8[[#This Row],[CUIT]]="","-",VLOOKUP(compras_mes8[[#This Row],[CUIT]],Lista_CUIT[#All],4,0)),"CUIT NO CARGADO")</f>
        <v>BUENOS AIRES</v>
      </c>
    </row>
    <row r="29" spans="2:18" x14ac:dyDescent="0.3">
      <c r="B29" s="486">
        <v>45141</v>
      </c>
      <c r="C29" s="250">
        <v>1</v>
      </c>
      <c r="D29" s="487">
        <v>711</v>
      </c>
      <c r="E29" s="488">
        <v>4602354</v>
      </c>
      <c r="F29" s="476">
        <v>30677237119</v>
      </c>
      <c r="G29" s="489" t="str">
        <f>IFERROR(IF(compras_mes8[[#This Row],[CUIT]]="","-",VLOOKUP(compras_mes8[[#This Row],[CUIT]],Lista_CUIT[#All],2,0)),"CUIT NO CARGADO")</f>
        <v>AUTOPISTAS DEL SOL S A</v>
      </c>
      <c r="H29" s="490">
        <v>2768.57</v>
      </c>
      <c r="I29" s="491">
        <f>IF(compras_mes8[[#This Row],[NETO GRAVADO]]="","",compras_mes8[[#This Row],[NETO GRAVADO]]*0.21)</f>
        <v>581.39970000000005</v>
      </c>
      <c r="J29" s="491"/>
      <c r="K29" s="491"/>
      <c r="L29" s="491"/>
      <c r="M29" s="491"/>
      <c r="N29" s="491"/>
      <c r="O29" s="491">
        <v>83.06</v>
      </c>
      <c r="P29" s="492">
        <f>SUM(compras_mes8[[#This Row],[NETO GRAVADO]:[Otros / No Grav.]])</f>
        <v>3433.0297</v>
      </c>
      <c r="Q29" s="493">
        <f>IFERROR(IF(compras_mes8[[#This Row],[CUIT]]="","-",VLOOKUP(compras_mes8[[#This Row],[CUIT]],Lista_CUIT[#All],3,0)),"CUIT NO CARGADO")</f>
        <v>0</v>
      </c>
      <c r="R29" s="493">
        <f>IFERROR(IF(compras_mes8[[#This Row],[CUIT]]="","-",VLOOKUP(compras_mes8[[#This Row],[CUIT]],Lista_CUIT[#All],4,0)),"CUIT NO CARGADO")</f>
        <v>0</v>
      </c>
    </row>
    <row r="30" spans="2:18" x14ac:dyDescent="0.3">
      <c r="B30" s="456">
        <v>45141</v>
      </c>
      <c r="C30" s="457">
        <v>1</v>
      </c>
      <c r="D30" s="458">
        <v>6</v>
      </c>
      <c r="E30" s="506">
        <v>20666</v>
      </c>
      <c r="F30" s="459">
        <v>30709459399</v>
      </c>
      <c r="G30" s="460" t="str">
        <f>IFERROR(IF(compras_mes8[[#This Row],[CUIT]]="","-",VLOOKUP(compras_mes8[[#This Row],[CUIT]],Lista_CUIT[#All],2,0)),"CUIT NO CARGADO")</f>
        <v>LA JUNIOR SRL</v>
      </c>
      <c r="H30" s="461">
        <v>92600</v>
      </c>
      <c r="I30" s="462">
        <f>IF(compras_mes8[[#This Row],[NETO GRAVADO]]="","",compras_mes8[[#This Row],[NETO GRAVADO]]*0.21)</f>
        <v>19446</v>
      </c>
      <c r="J30" s="462"/>
      <c r="K30" s="462"/>
      <c r="L30" s="462"/>
      <c r="M30" s="462"/>
      <c r="N30" s="462"/>
      <c r="O30" s="462"/>
      <c r="P30" s="463">
        <f>SUM(compras_mes8[[#This Row],[NETO GRAVADO]:[Otros / No Grav.]])</f>
        <v>112046</v>
      </c>
      <c r="Q30" s="464">
        <f>IFERROR(IF(compras_mes8[[#This Row],[CUIT]]="","-",VLOOKUP(compras_mes8[[#This Row],[CUIT]],Lista_CUIT[#All],3,0)),"CUIT NO CARGADO")</f>
        <v>0</v>
      </c>
      <c r="R30" s="464">
        <f>IFERROR(IF(compras_mes8[[#This Row],[CUIT]]="","-",VLOOKUP(compras_mes8[[#This Row],[CUIT]],Lista_CUIT[#All],4,0)),"CUIT NO CARGADO")</f>
        <v>0</v>
      </c>
    </row>
    <row r="31" spans="2:18" x14ac:dyDescent="0.3">
      <c r="B31" s="456">
        <v>45141</v>
      </c>
      <c r="C31" s="457">
        <v>1</v>
      </c>
      <c r="D31" s="458">
        <v>4</v>
      </c>
      <c r="E31" s="506">
        <v>4010</v>
      </c>
      <c r="F31" s="459">
        <v>30683553391</v>
      </c>
      <c r="G31" s="460" t="str">
        <f>IFERROR(IF(compras_mes8[[#This Row],[CUIT]]="","-",VLOOKUP(compras_mes8[[#This Row],[CUIT]],Lista_CUIT[#All],2,0)),"CUIT NO CARGADO")</f>
        <v>D ERAMO GUSTAVO Y D ERAMO PABLO SOC DE HECHO</v>
      </c>
      <c r="H31" s="461">
        <v>40578.519999999997</v>
      </c>
      <c r="I31" s="462">
        <f>IF(compras_mes8[[#This Row],[NETO GRAVADO]]="","",compras_mes8[[#This Row],[NETO GRAVADO]]*0.21)</f>
        <v>8521.4891999999982</v>
      </c>
      <c r="J31" s="462"/>
      <c r="K31" s="462"/>
      <c r="L31" s="462"/>
      <c r="M31" s="462"/>
      <c r="N31" s="462"/>
      <c r="O31" s="462"/>
      <c r="P31" s="463">
        <f>SUM(compras_mes8[[#This Row],[NETO GRAVADO]:[Otros / No Grav.]])</f>
        <v>49100.009199999993</v>
      </c>
      <c r="Q31" s="464">
        <f>IFERROR(IF(compras_mes8[[#This Row],[CUIT]]="","-",VLOOKUP(compras_mes8[[#This Row],[CUIT]],Lista_CUIT[#All],3,0)),"CUIT NO CARGADO")</f>
        <v>0</v>
      </c>
      <c r="R31" s="464">
        <f>IFERROR(IF(compras_mes8[[#This Row],[CUIT]]="","-",VLOOKUP(compras_mes8[[#This Row],[CUIT]],Lista_CUIT[#All],4,0)),"CUIT NO CARGADO")</f>
        <v>0</v>
      </c>
    </row>
    <row r="32" spans="2:18" x14ac:dyDescent="0.3">
      <c r="B32" s="456">
        <v>45142</v>
      </c>
      <c r="C32" s="457">
        <v>1</v>
      </c>
      <c r="D32" s="458">
        <v>212</v>
      </c>
      <c r="E32" s="506">
        <v>219</v>
      </c>
      <c r="F32" s="459">
        <v>30711463514</v>
      </c>
      <c r="G32" s="460" t="str">
        <f>IFERROR(IF(compras_mes8[[#This Row],[CUIT]]="","-",VLOOKUP(compras_mes8[[#This Row],[CUIT]],Lista_CUIT[#All],2,0)),"CUIT NO CARGADO")</f>
        <v>GLOBAL OIL S.R.L</v>
      </c>
      <c r="H32" s="461">
        <v>9850.42</v>
      </c>
      <c r="I32" s="462">
        <f>IF(compras_mes8[[#This Row],[NETO GRAVADO]]="","",compras_mes8[[#This Row],[NETO GRAVADO]]*0.21)</f>
        <v>2068.5882000000001</v>
      </c>
      <c r="J32" s="462"/>
      <c r="K32" s="462"/>
      <c r="L32" s="462"/>
      <c r="M32" s="462"/>
      <c r="N32" s="462"/>
      <c r="O32" s="462">
        <v>81.89</v>
      </c>
      <c r="P32" s="463">
        <f>SUM(compras_mes8[[#This Row],[NETO GRAVADO]:[Otros / No Grav.]])</f>
        <v>12000.8982</v>
      </c>
      <c r="Q32" s="464">
        <f>IFERROR(IF(compras_mes8[[#This Row],[CUIT]]="","-",VLOOKUP(compras_mes8[[#This Row],[CUIT]],Lista_CUIT[#All],3,0)),"CUIT NO CARGADO")</f>
        <v>0</v>
      </c>
      <c r="R32" s="464">
        <f>IFERROR(IF(compras_mes8[[#This Row],[CUIT]]="","-",VLOOKUP(compras_mes8[[#This Row],[CUIT]],Lista_CUIT[#All],4,0)),"CUIT NO CARGADO")</f>
        <v>0</v>
      </c>
    </row>
    <row r="33" spans="2:18" x14ac:dyDescent="0.3">
      <c r="B33" s="456">
        <v>45142</v>
      </c>
      <c r="C33" s="457">
        <v>1</v>
      </c>
      <c r="D33" s="458">
        <v>4</v>
      </c>
      <c r="E33" s="506">
        <v>3240</v>
      </c>
      <c r="F33" s="459">
        <v>30716583984</v>
      </c>
      <c r="G33" s="460" t="str">
        <f>IFERROR(IF(compras_mes8[[#This Row],[CUIT]]="","-",VLOOKUP(compras_mes8[[#This Row],[CUIT]],Lista_CUIT[#All],2,0)),"CUIT NO CARGADO")</f>
        <v>OURGRAPH SRL</v>
      </c>
      <c r="H33" s="461">
        <v>5759.51</v>
      </c>
      <c r="I33" s="462">
        <f>IF(compras_mes8[[#This Row],[NETO GRAVADO]]="","",compras_mes8[[#This Row],[NETO GRAVADO]]*0.21)</f>
        <v>1209.4971</v>
      </c>
      <c r="J33" s="462"/>
      <c r="K33" s="462"/>
      <c r="L33" s="462"/>
      <c r="M33" s="462"/>
      <c r="N33" s="462"/>
      <c r="O33" s="462"/>
      <c r="P33" s="463">
        <f>SUM(compras_mes8[[#This Row],[NETO GRAVADO]:[Otros / No Grav.]])</f>
        <v>6969.0071000000007</v>
      </c>
      <c r="Q33" s="464">
        <f>IFERROR(IF(compras_mes8[[#This Row],[CUIT]]="","-",VLOOKUP(compras_mes8[[#This Row],[CUIT]],Lista_CUIT[#All],3,0)),"CUIT NO CARGADO")</f>
        <v>0</v>
      </c>
      <c r="R33" s="464">
        <f>IFERROR(IF(compras_mes8[[#This Row],[CUIT]]="","-",VLOOKUP(compras_mes8[[#This Row],[CUIT]],Lista_CUIT[#All],4,0)),"CUIT NO CARGADO")</f>
        <v>0</v>
      </c>
    </row>
    <row r="34" spans="2:18" x14ac:dyDescent="0.3">
      <c r="B34" s="456">
        <v>45142</v>
      </c>
      <c r="C34" s="457">
        <v>1</v>
      </c>
      <c r="D34" s="458">
        <v>7320</v>
      </c>
      <c r="E34" s="506">
        <v>25557</v>
      </c>
      <c r="F34" s="459">
        <v>30678774495</v>
      </c>
      <c r="G34" s="460" t="str">
        <f>IFERROR(IF(compras_mes8[[#This Row],[CUIT]]="","-",VLOOKUP(compras_mes8[[#This Row],[CUIT]],Lista_CUIT[#All],2,0)),"CUIT NO CARGADO")</f>
        <v>OPER. DE EST. DE SERV. SA</v>
      </c>
      <c r="H34" s="461">
        <v>8810.2000000000007</v>
      </c>
      <c r="I34" s="462">
        <f>IF(compras_mes8[[#This Row],[NETO GRAVADO]]="","",compras_mes8[[#This Row],[NETO GRAVADO]]*0.21)</f>
        <v>1850.1420000000001</v>
      </c>
      <c r="J34" s="462"/>
      <c r="K34" s="462"/>
      <c r="L34" s="462"/>
      <c r="M34" s="462"/>
      <c r="N34" s="462"/>
      <c r="O34" s="462">
        <v>1140.26</v>
      </c>
      <c r="P34" s="463">
        <f>SUM(compras_mes8[[#This Row],[NETO GRAVADO]:[Otros / No Grav.]])</f>
        <v>11800.602000000001</v>
      </c>
      <c r="Q34" s="464" t="str">
        <f>IFERROR(IF(compras_mes8[[#This Row],[CUIT]]="","-",VLOOKUP(compras_mes8[[#This Row],[CUIT]],Lista_CUIT[#All],3,0)),"CUIT NO CARGADO")</f>
        <v>Combustibe</v>
      </c>
      <c r="R34" s="464">
        <f>IFERROR(IF(compras_mes8[[#This Row],[CUIT]]="","-",VLOOKUP(compras_mes8[[#This Row],[CUIT]],Lista_CUIT[#All],4,0)),"CUIT NO CARGADO")</f>
        <v>0</v>
      </c>
    </row>
    <row r="35" spans="2:18" x14ac:dyDescent="0.3">
      <c r="B35" s="456">
        <v>45142</v>
      </c>
      <c r="C35" s="457">
        <v>1</v>
      </c>
      <c r="D35" s="458">
        <v>7494</v>
      </c>
      <c r="E35" s="506">
        <v>23839</v>
      </c>
      <c r="F35" s="459">
        <v>30678774495</v>
      </c>
      <c r="G35" s="460" t="str">
        <f>IFERROR(IF(compras_mes8[[#This Row],[CUIT]]="","-",VLOOKUP(compras_mes8[[#This Row],[CUIT]],Lista_CUIT[#All],2,0)),"CUIT NO CARGADO")</f>
        <v>OPER. DE EST. DE SERV. SA</v>
      </c>
      <c r="H35" s="461">
        <v>10884.56</v>
      </c>
      <c r="I35" s="462">
        <f>IF(compras_mes8[[#This Row],[NETO GRAVADO]]="","",compras_mes8[[#This Row],[NETO GRAVADO]]*0.21)</f>
        <v>2285.7575999999999</v>
      </c>
      <c r="J35" s="462"/>
      <c r="K35" s="462"/>
      <c r="L35" s="462"/>
      <c r="M35" s="462"/>
      <c r="N35" s="462"/>
      <c r="O35" s="462">
        <v>1530.78</v>
      </c>
      <c r="P35" s="463">
        <f>SUM(compras_mes8[[#This Row],[NETO GRAVADO]:[Otros / No Grav.]])</f>
        <v>14701.097599999999</v>
      </c>
      <c r="Q35" s="464" t="str">
        <f>IFERROR(IF(compras_mes8[[#This Row],[CUIT]]="","-",VLOOKUP(compras_mes8[[#This Row],[CUIT]],Lista_CUIT[#All],3,0)),"CUIT NO CARGADO")</f>
        <v>Combustibe</v>
      </c>
      <c r="R35" s="464">
        <f>IFERROR(IF(compras_mes8[[#This Row],[CUIT]]="","-",VLOOKUP(compras_mes8[[#This Row],[CUIT]],Lista_CUIT[#All],4,0)),"CUIT NO CARGADO")</f>
        <v>0</v>
      </c>
    </row>
    <row r="36" spans="2:18" x14ac:dyDescent="0.3">
      <c r="B36" s="456">
        <v>45142</v>
      </c>
      <c r="C36" s="457">
        <v>1</v>
      </c>
      <c r="D36" s="458">
        <v>8</v>
      </c>
      <c r="E36" s="506">
        <v>7141</v>
      </c>
      <c r="F36" s="459">
        <v>30715303236</v>
      </c>
      <c r="G36" s="460" t="str">
        <f>IFERROR(IF(compras_mes8[[#This Row],[CUIT]]="","-",VLOOKUP(compras_mes8[[#This Row],[CUIT]],Lista_CUIT[#All],2,0)),"CUIT NO CARGADO")</f>
        <v>MUNDO PLASTIC SRL</v>
      </c>
      <c r="H36" s="461">
        <v>149328</v>
      </c>
      <c r="I36" s="462">
        <f>IF(compras_mes8[[#This Row],[NETO GRAVADO]]="","",compras_mes8[[#This Row],[NETO GRAVADO]]*0.21)</f>
        <v>31358.879999999997</v>
      </c>
      <c r="J36" s="462"/>
      <c r="K36" s="462"/>
      <c r="L36" s="462"/>
      <c r="M36" s="462"/>
      <c r="N36" s="462"/>
      <c r="O36" s="462"/>
      <c r="P36" s="463">
        <f>SUM(compras_mes8[[#This Row],[NETO GRAVADO]:[Otros / No Grav.]])</f>
        <v>180686.88</v>
      </c>
      <c r="Q36" s="464">
        <f>IFERROR(IF(compras_mes8[[#This Row],[CUIT]]="","-",VLOOKUP(compras_mes8[[#This Row],[CUIT]],Lista_CUIT[#All],3,0)),"CUIT NO CARGADO")</f>
        <v>0</v>
      </c>
      <c r="R36" s="464">
        <f>IFERROR(IF(compras_mes8[[#This Row],[CUIT]]="","-",VLOOKUP(compras_mes8[[#This Row],[CUIT]],Lista_CUIT[#All],4,0)),"CUIT NO CARGADO")</f>
        <v>0</v>
      </c>
    </row>
    <row r="37" spans="2:18" x14ac:dyDescent="0.3">
      <c r="B37" s="456">
        <v>45142</v>
      </c>
      <c r="C37" s="457">
        <v>1</v>
      </c>
      <c r="D37" s="458">
        <v>1</v>
      </c>
      <c r="E37" s="506">
        <v>153</v>
      </c>
      <c r="F37" s="459">
        <v>20077604627</v>
      </c>
      <c r="G37" s="460" t="str">
        <f>IFERROR(IF(compras_mes8[[#This Row],[CUIT]]="","-",VLOOKUP(compras_mes8[[#This Row],[CUIT]],Lista_CUIT[#All],2,0)),"CUIT NO CARGADO")</f>
        <v>OCAÑO ENRIQUE</v>
      </c>
      <c r="H37" s="461">
        <v>451152</v>
      </c>
      <c r="I37" s="462">
        <f>IF(compras_mes8[[#This Row],[NETO GRAVADO]]="","",compras_mes8[[#This Row],[NETO GRAVADO]]*0.21)</f>
        <v>94741.92</v>
      </c>
      <c r="J37" s="462"/>
      <c r="K37" s="462"/>
      <c r="L37" s="462"/>
      <c r="M37" s="462"/>
      <c r="N37" s="462"/>
      <c r="O37" s="462"/>
      <c r="P37" s="463">
        <f>SUM(compras_mes8[[#This Row],[NETO GRAVADO]:[Otros / No Grav.]])</f>
        <v>545893.92000000004</v>
      </c>
      <c r="Q37" s="464">
        <f>IFERROR(IF(compras_mes8[[#This Row],[CUIT]]="","-",VLOOKUP(compras_mes8[[#This Row],[CUIT]],Lista_CUIT[#All],3,0)),"CUIT NO CARGADO")</f>
        <v>0</v>
      </c>
      <c r="R37" s="464">
        <f>IFERROR(IF(compras_mes8[[#This Row],[CUIT]]="","-",VLOOKUP(compras_mes8[[#This Row],[CUIT]],Lista_CUIT[#All],4,0)),"CUIT NO CARGADO")</f>
        <v>0</v>
      </c>
    </row>
    <row r="38" spans="2:18" x14ac:dyDescent="0.3">
      <c r="B38" s="456">
        <v>45142</v>
      </c>
      <c r="C38" s="457">
        <v>1</v>
      </c>
      <c r="D38" s="458">
        <v>63</v>
      </c>
      <c r="E38" s="506">
        <v>2490206</v>
      </c>
      <c r="F38" s="459">
        <v>30640897267</v>
      </c>
      <c r="G38" s="460" t="str">
        <f>IFERROR(IF(compras_mes8[[#This Row],[CUIT]]="","-",VLOOKUP(compras_mes8[[#This Row],[CUIT]],Lista_CUIT[#All],2,0)),"CUIT NO CARGADO")</f>
        <v>TELECENTRO S.A.</v>
      </c>
      <c r="H38" s="461">
        <v>13430.41</v>
      </c>
      <c r="I38" s="462">
        <f>IF(compras_mes8[[#This Row],[NETO GRAVADO]]="","",compras_mes8[[#This Row],[NETO GRAVADO]]*0.21)</f>
        <v>2820.3860999999997</v>
      </c>
      <c r="J38" s="462"/>
      <c r="K38" s="462"/>
      <c r="L38" s="462">
        <v>402.91</v>
      </c>
      <c r="M38" s="462"/>
      <c r="N38" s="462">
        <v>805.82</v>
      </c>
      <c r="O38" s="462"/>
      <c r="P38" s="463">
        <f>SUM(compras_mes8[[#This Row],[NETO GRAVADO]:[Otros / No Grav.]])</f>
        <v>17459.526099999999</v>
      </c>
      <c r="Q38" s="464">
        <f>IFERROR(IF(compras_mes8[[#This Row],[CUIT]]="","-",VLOOKUP(compras_mes8[[#This Row],[CUIT]],Lista_CUIT[#All],3,0)),"CUIT NO CARGADO")</f>
        <v>0</v>
      </c>
      <c r="R38" s="464">
        <f>IFERROR(IF(compras_mes8[[#This Row],[CUIT]]="","-",VLOOKUP(compras_mes8[[#This Row],[CUIT]],Lista_CUIT[#All],4,0)),"CUIT NO CARGADO")</f>
        <v>0</v>
      </c>
    </row>
    <row r="39" spans="2:18" x14ac:dyDescent="0.3">
      <c r="B39" s="486">
        <v>45142</v>
      </c>
      <c r="C39" s="250">
        <v>1</v>
      </c>
      <c r="D39" s="487">
        <v>63</v>
      </c>
      <c r="E39" s="488">
        <v>2489495</v>
      </c>
      <c r="F39" s="476">
        <v>30640897267</v>
      </c>
      <c r="G39" s="489" t="str">
        <f>IFERROR(IF(compras_mes8[[#This Row],[CUIT]]="","-",VLOOKUP(compras_mes8[[#This Row],[CUIT]],Lista_CUIT[#All],2,0)),"CUIT NO CARGADO")</f>
        <v>TELECENTRO S.A.</v>
      </c>
      <c r="H39" s="490">
        <v>13430.41</v>
      </c>
      <c r="I39" s="491">
        <f>IF(compras_mes8[[#This Row],[NETO GRAVADO]]="","",compras_mes8[[#This Row],[NETO GRAVADO]]*0.21)</f>
        <v>2820.3860999999997</v>
      </c>
      <c r="J39" s="491"/>
      <c r="K39" s="491"/>
      <c r="L39" s="491">
        <v>402.91</v>
      </c>
      <c r="M39" s="491"/>
      <c r="N39" s="491">
        <v>805.82</v>
      </c>
      <c r="O39" s="491"/>
      <c r="P39" s="492">
        <f>SUM(compras_mes8[[#This Row],[NETO GRAVADO]:[Otros / No Grav.]])</f>
        <v>17459.526099999999</v>
      </c>
      <c r="Q39" s="493">
        <f>IFERROR(IF(compras_mes8[[#This Row],[CUIT]]="","-",VLOOKUP(compras_mes8[[#This Row],[CUIT]],Lista_CUIT[#All],3,0)),"CUIT NO CARGADO")</f>
        <v>0</v>
      </c>
      <c r="R39" s="493">
        <f>IFERROR(IF(compras_mes8[[#This Row],[CUIT]]="","-",VLOOKUP(compras_mes8[[#This Row],[CUIT]],Lista_CUIT[#All],4,0)),"CUIT NO CARGADO")</f>
        <v>0</v>
      </c>
    </row>
    <row r="40" spans="2:18" x14ac:dyDescent="0.3">
      <c r="B40" s="456">
        <v>45142</v>
      </c>
      <c r="C40" s="457">
        <v>1</v>
      </c>
      <c r="D40" s="458">
        <v>10</v>
      </c>
      <c r="E40" s="506">
        <v>40127</v>
      </c>
      <c r="F40" s="459">
        <v>30699342129</v>
      </c>
      <c r="G40" s="460" t="str">
        <f>IFERROR(IF(compras_mes8[[#This Row],[CUIT]]="","-",VLOOKUP(compras_mes8[[#This Row],[CUIT]],Lista_CUIT[#All],2,0)),"CUIT NO CARGADO")</f>
        <v>PLASTICOS BAN PLAST SRL</v>
      </c>
      <c r="H40" s="461">
        <v>202803.48</v>
      </c>
      <c r="I40" s="462">
        <f>IF(compras_mes8[[#This Row],[NETO GRAVADO]]="","",compras_mes8[[#This Row],[NETO GRAVADO]]*0.21)</f>
        <v>42588.730799999998</v>
      </c>
      <c r="J40" s="462"/>
      <c r="K40" s="462"/>
      <c r="L40" s="462"/>
      <c r="M40" s="462"/>
      <c r="N40" s="462"/>
      <c r="O40" s="462"/>
      <c r="P40" s="463">
        <f>SUM(compras_mes8[[#This Row],[NETO GRAVADO]:[Otros / No Grav.]])</f>
        <v>245392.2108</v>
      </c>
      <c r="Q40" s="464">
        <f>IFERROR(IF(compras_mes8[[#This Row],[CUIT]]="","-",VLOOKUP(compras_mes8[[#This Row],[CUIT]],Lista_CUIT[#All],3,0)),"CUIT NO CARGADO")</f>
        <v>0</v>
      </c>
      <c r="R40" s="464">
        <f>IFERROR(IF(compras_mes8[[#This Row],[CUIT]]="","-",VLOOKUP(compras_mes8[[#This Row],[CUIT]],Lista_CUIT[#All],4,0)),"CUIT NO CARGADO")</f>
        <v>0</v>
      </c>
    </row>
    <row r="41" spans="2:18" x14ac:dyDescent="0.3">
      <c r="B41" s="456">
        <v>45142</v>
      </c>
      <c r="C41" s="457">
        <v>1</v>
      </c>
      <c r="D41" s="458">
        <v>2</v>
      </c>
      <c r="E41" s="506">
        <v>36035</v>
      </c>
      <c r="F41" s="459">
        <v>33714232199</v>
      </c>
      <c r="G41" s="460" t="str">
        <f>IFERROR(IF(compras_mes8[[#This Row],[CUIT]]="","-",VLOOKUP(compras_mes8[[#This Row],[CUIT]],Lista_CUIT[#All],2,0)),"CUIT NO CARGADO")</f>
        <v>NUAGE SYSTEMS S.A.</v>
      </c>
      <c r="H41" s="461">
        <v>42483</v>
      </c>
      <c r="I41" s="462">
        <f>IF(compras_mes8[[#This Row],[NETO GRAVADO]]="","",compras_mes8[[#This Row],[NETO GRAVADO]]*0.21)</f>
        <v>8921.43</v>
      </c>
      <c r="J41" s="462"/>
      <c r="K41" s="462"/>
      <c r="L41" s="462"/>
      <c r="M41" s="462"/>
      <c r="N41" s="462"/>
      <c r="O41" s="462"/>
      <c r="P41" s="463">
        <f>SUM(compras_mes8[[#This Row],[NETO GRAVADO]:[Otros / No Grav.]])</f>
        <v>51404.43</v>
      </c>
      <c r="Q41" s="464">
        <f>IFERROR(IF(compras_mes8[[#This Row],[CUIT]]="","-",VLOOKUP(compras_mes8[[#This Row],[CUIT]],Lista_CUIT[#All],3,0)),"CUIT NO CARGADO")</f>
        <v>0</v>
      </c>
      <c r="R41" s="464">
        <f>IFERROR(IF(compras_mes8[[#This Row],[CUIT]]="","-",VLOOKUP(compras_mes8[[#This Row],[CUIT]],Lista_CUIT[#All],4,0)),"CUIT NO CARGADO")</f>
        <v>0</v>
      </c>
    </row>
    <row r="42" spans="2:18" x14ac:dyDescent="0.3">
      <c r="B42" s="456">
        <v>45142</v>
      </c>
      <c r="C42" s="457">
        <v>1</v>
      </c>
      <c r="D42" s="458">
        <v>6</v>
      </c>
      <c r="E42" s="506">
        <v>8753</v>
      </c>
      <c r="F42" s="459">
        <v>33710167309</v>
      </c>
      <c r="G42" s="460" t="str">
        <f>IFERROR(IF(compras_mes8[[#This Row],[CUIT]]="","-",VLOOKUP(compras_mes8[[#This Row],[CUIT]],Lista_CUIT[#All],2,0)),"CUIT NO CARGADO")</f>
        <v>MAT. ESCO SA</v>
      </c>
      <c r="H42" s="461">
        <v>32917.370000000003</v>
      </c>
      <c r="I42" s="462">
        <f>IF(compras_mes8[[#This Row],[NETO GRAVADO]]="","",compras_mes8[[#This Row],[NETO GRAVADO]]*0.21)</f>
        <v>6912.6477000000004</v>
      </c>
      <c r="J42" s="462"/>
      <c r="K42" s="462"/>
      <c r="L42" s="462"/>
      <c r="M42" s="462"/>
      <c r="N42" s="462"/>
      <c r="O42" s="462"/>
      <c r="P42" s="463">
        <f>SUM(compras_mes8[[#This Row],[NETO GRAVADO]:[Otros / No Grav.]])</f>
        <v>39830.017700000004</v>
      </c>
      <c r="Q42" s="464">
        <f>IFERROR(IF(compras_mes8[[#This Row],[CUIT]]="","-",VLOOKUP(compras_mes8[[#This Row],[CUIT]],Lista_CUIT[#All],3,0)),"CUIT NO CARGADO")</f>
        <v>0</v>
      </c>
      <c r="R42" s="464">
        <f>IFERROR(IF(compras_mes8[[#This Row],[CUIT]]="","-",VLOOKUP(compras_mes8[[#This Row],[CUIT]],Lista_CUIT[#All],4,0)),"CUIT NO CARGADO")</f>
        <v>0</v>
      </c>
    </row>
    <row r="43" spans="2:18" x14ac:dyDescent="0.3">
      <c r="B43" s="456">
        <v>45142</v>
      </c>
      <c r="C43" s="457">
        <v>1</v>
      </c>
      <c r="D43" s="458">
        <v>3</v>
      </c>
      <c r="E43" s="506">
        <v>35</v>
      </c>
      <c r="F43" s="459">
        <v>30716877260</v>
      </c>
      <c r="G43" s="460" t="str">
        <f>IFERROR(IF(compras_mes8[[#This Row],[CUIT]]="","-",VLOOKUP(compras_mes8[[#This Row],[CUIT]],Lista_CUIT[#All],2,0)),"CUIT NO CARGADO")</f>
        <v>TEXTIL MANZONE S. R. L.</v>
      </c>
      <c r="H43" s="461">
        <v>261500</v>
      </c>
      <c r="I43" s="462">
        <f>IF(compras_mes8[[#This Row],[NETO GRAVADO]]="","",compras_mes8[[#This Row],[NETO GRAVADO]]*0.21)</f>
        <v>54915</v>
      </c>
      <c r="J43" s="462"/>
      <c r="K43" s="462"/>
      <c r="L43" s="462"/>
      <c r="M43" s="462"/>
      <c r="N43" s="462"/>
      <c r="O43" s="462"/>
      <c r="P43" s="463">
        <f>SUM(compras_mes8[[#This Row],[NETO GRAVADO]:[Otros / No Grav.]])</f>
        <v>316415</v>
      </c>
      <c r="Q43" s="464">
        <f>IFERROR(IF(compras_mes8[[#This Row],[CUIT]]="","-",VLOOKUP(compras_mes8[[#This Row],[CUIT]],Lista_CUIT[#All],3,0)),"CUIT NO CARGADO")</f>
        <v>0</v>
      </c>
      <c r="R43" s="464">
        <f>IFERROR(IF(compras_mes8[[#This Row],[CUIT]]="","-",VLOOKUP(compras_mes8[[#This Row],[CUIT]],Lista_CUIT[#All],4,0)),"CUIT NO CARGADO")</f>
        <v>0</v>
      </c>
    </row>
    <row r="44" spans="2:18" x14ac:dyDescent="0.3">
      <c r="B44" s="456">
        <v>45142</v>
      </c>
      <c r="C44" s="457">
        <v>1</v>
      </c>
      <c r="D44" s="458">
        <v>119</v>
      </c>
      <c r="E44" s="506">
        <v>26771</v>
      </c>
      <c r="F44" s="459">
        <v>30671637689</v>
      </c>
      <c r="G44" s="460" t="str">
        <f>IFERROR(IF(compras_mes8[[#This Row],[CUIT]]="","-",VLOOKUP(compras_mes8[[#This Row],[CUIT]],Lista_CUIT[#All],2,0)),"CUIT NO CARGADO")</f>
        <v>GRUPO NORTE SRL</v>
      </c>
      <c r="H44" s="461">
        <v>5256.92</v>
      </c>
      <c r="I44" s="462">
        <f>IF(compras_mes8[[#This Row],[NETO GRAVADO]]="","",compras_mes8[[#This Row],[NETO GRAVADO]]*0.21)</f>
        <v>1103.9531999999999</v>
      </c>
      <c r="J44" s="462"/>
      <c r="K44" s="462"/>
      <c r="L44" s="462"/>
      <c r="M44" s="462"/>
      <c r="N44" s="462"/>
      <c r="O44" s="462">
        <v>41.95</v>
      </c>
      <c r="P44" s="463">
        <f>SUM(compras_mes8[[#This Row],[NETO GRAVADO]:[Otros / No Grav.]])</f>
        <v>6402.8231999999998</v>
      </c>
      <c r="Q44" s="464" t="str">
        <f>IFERROR(IF(compras_mes8[[#This Row],[CUIT]]="","-",VLOOKUP(compras_mes8[[#This Row],[CUIT]],Lista_CUIT[#All],3,0)),"CUIT NO CARGADO")</f>
        <v>COMBUSTIBLE</v>
      </c>
      <c r="R44" s="464">
        <f>IFERROR(IF(compras_mes8[[#This Row],[CUIT]]="","-",VLOOKUP(compras_mes8[[#This Row],[CUIT]],Lista_CUIT[#All],4,0)),"CUIT NO CARGADO")</f>
        <v>0</v>
      </c>
    </row>
    <row r="45" spans="2:18" x14ac:dyDescent="0.3">
      <c r="B45" s="456">
        <v>45143</v>
      </c>
      <c r="C45" s="457">
        <v>1</v>
      </c>
      <c r="D45" s="458">
        <v>8892</v>
      </c>
      <c r="E45" s="506">
        <v>11773</v>
      </c>
      <c r="F45" s="459">
        <v>30678774495</v>
      </c>
      <c r="G45" s="460" t="str">
        <f>IFERROR(IF(compras_mes8[[#This Row],[CUIT]]="","-",VLOOKUP(compras_mes8[[#This Row],[CUIT]],Lista_CUIT[#All],2,0)),"CUIT NO CARGADO")</f>
        <v>OPER. DE EST. DE SERV. SA</v>
      </c>
      <c r="H45" s="461">
        <v>5256.59</v>
      </c>
      <c r="I45" s="462">
        <f>IF(compras_mes8[[#This Row],[NETO GRAVADO]]="","",compras_mes8[[#This Row],[NETO GRAVADO]]*0.21)</f>
        <v>1103.8839</v>
      </c>
      <c r="J45" s="462"/>
      <c r="K45" s="462"/>
      <c r="L45" s="462"/>
      <c r="M45" s="462"/>
      <c r="N45" s="462"/>
      <c r="O45" s="462">
        <f>41.73+211.93</f>
        <v>253.66</v>
      </c>
      <c r="P45" s="463">
        <f>SUM(compras_mes8[[#This Row],[NETO GRAVADO]:[Otros / No Grav.]])</f>
        <v>6614.1338999999998</v>
      </c>
      <c r="Q45" s="464" t="str">
        <f>IFERROR(IF(compras_mes8[[#This Row],[CUIT]]="","-",VLOOKUP(compras_mes8[[#This Row],[CUIT]],Lista_CUIT[#All],3,0)),"CUIT NO CARGADO")</f>
        <v>Combustibe</v>
      </c>
      <c r="R45" s="464">
        <f>IFERROR(IF(compras_mes8[[#This Row],[CUIT]]="","-",VLOOKUP(compras_mes8[[#This Row],[CUIT]],Lista_CUIT[#All],4,0)),"CUIT NO CARGADO")</f>
        <v>0</v>
      </c>
    </row>
    <row r="46" spans="2:18" x14ac:dyDescent="0.3">
      <c r="B46" s="456">
        <v>45143</v>
      </c>
      <c r="C46" s="457">
        <v>1</v>
      </c>
      <c r="D46" s="458">
        <v>6860</v>
      </c>
      <c r="E46" s="506">
        <v>21872</v>
      </c>
      <c r="F46" s="459">
        <v>30678774495</v>
      </c>
      <c r="G46" s="460" t="str">
        <f>IFERROR(IF(compras_mes8[[#This Row],[CUIT]]="","-",VLOOKUP(compras_mes8[[#This Row],[CUIT]],Lista_CUIT[#All],2,0)),"CUIT NO CARGADO")</f>
        <v>OPER. DE EST. DE SERV. SA</v>
      </c>
      <c r="H46" s="461">
        <v>7935.11</v>
      </c>
      <c r="I46" s="462">
        <f>IF(compras_mes8[[#This Row],[NETO GRAVADO]]="","",compras_mes8[[#This Row],[NETO GRAVADO]]*0.21)</f>
        <v>1666.3730999999998</v>
      </c>
      <c r="J46" s="462"/>
      <c r="K46" s="462"/>
      <c r="L46" s="462"/>
      <c r="M46" s="462"/>
      <c r="N46" s="462"/>
      <c r="O46" s="462">
        <v>1099.92</v>
      </c>
      <c r="P46" s="463">
        <f>SUM(compras_mes8[[#This Row],[NETO GRAVADO]:[Otros / No Grav.]])</f>
        <v>10701.4031</v>
      </c>
      <c r="Q46" s="464" t="str">
        <f>IFERROR(IF(compras_mes8[[#This Row],[CUIT]]="","-",VLOOKUP(compras_mes8[[#This Row],[CUIT]],Lista_CUIT[#All],3,0)),"CUIT NO CARGADO")</f>
        <v>Combustibe</v>
      </c>
      <c r="R46" s="464">
        <f>IFERROR(IF(compras_mes8[[#This Row],[CUIT]]="","-",VLOOKUP(compras_mes8[[#This Row],[CUIT]],Lista_CUIT[#All],4,0)),"CUIT NO CARGADO")</f>
        <v>0</v>
      </c>
    </row>
    <row r="47" spans="2:18" x14ac:dyDescent="0.3">
      <c r="B47" s="456">
        <v>45143</v>
      </c>
      <c r="C47" s="457">
        <v>1</v>
      </c>
      <c r="D47" s="458">
        <v>9</v>
      </c>
      <c r="E47" s="506">
        <v>91</v>
      </c>
      <c r="F47" s="459">
        <v>20134664518</v>
      </c>
      <c r="G47" s="460" t="str">
        <f>IFERROR(IF(compras_mes8[[#This Row],[CUIT]]="","-",VLOOKUP(compras_mes8[[#This Row],[CUIT]],Lista_CUIT[#All],2,0)),"CUIT NO CARGADO")</f>
        <v>HOKAMA SERGIO ENRIQUE</v>
      </c>
      <c r="H47" s="461">
        <v>8930</v>
      </c>
      <c r="I47" s="462">
        <f>IF(compras_mes8[[#This Row],[NETO GRAVADO]]="","",compras_mes8[[#This Row],[NETO GRAVADO]]*0.21)</f>
        <v>1875.3</v>
      </c>
      <c r="J47" s="462"/>
      <c r="K47" s="462"/>
      <c r="L47" s="462"/>
      <c r="M47" s="462"/>
      <c r="N47" s="462"/>
      <c r="O47" s="462"/>
      <c r="P47" s="463">
        <f>SUM(compras_mes8[[#This Row],[NETO GRAVADO]:[Otros / No Grav.]])</f>
        <v>10805.3</v>
      </c>
      <c r="Q47" s="464" t="str">
        <f>IFERROR(IF(compras_mes8[[#This Row],[CUIT]]="","-",VLOOKUP(compras_mes8[[#This Row],[CUIT]],Lista_CUIT[#All],3,0)),"CUIT NO CARGADO")</f>
        <v>Gastos Varios</v>
      </c>
      <c r="R47" s="464" t="str">
        <f>IFERROR(IF(compras_mes8[[#This Row],[CUIT]]="","-",VLOOKUP(compras_mes8[[#This Row],[CUIT]],Lista_CUIT[#All],4,0)),"CUIT NO CARGADO")</f>
        <v>BUENOS AIRES</v>
      </c>
    </row>
    <row r="48" spans="2:18" x14ac:dyDescent="0.3">
      <c r="B48" s="456">
        <v>45143</v>
      </c>
      <c r="C48" s="457">
        <v>1</v>
      </c>
      <c r="D48" s="458">
        <v>12</v>
      </c>
      <c r="E48" s="506">
        <v>30176</v>
      </c>
      <c r="F48" s="459">
        <v>30696131003</v>
      </c>
      <c r="G48" s="460" t="str">
        <f>IFERROR(IF(compras_mes8[[#This Row],[CUIT]]="","-",VLOOKUP(compras_mes8[[#This Row],[CUIT]],Lista_CUIT[#All],2,0)),"CUIT NO CARGADO")</f>
        <v>Petrolfe S.A.</v>
      </c>
      <c r="H48" s="461">
        <v>37221.67</v>
      </c>
      <c r="I48" s="462">
        <f>IF(compras_mes8[[#This Row],[NETO GRAVADO]]="","",compras_mes8[[#This Row],[NETO GRAVADO]]*0.21)</f>
        <v>7816.5506999999998</v>
      </c>
      <c r="J48" s="462"/>
      <c r="K48" s="462"/>
      <c r="L48" s="462"/>
      <c r="M48" s="462"/>
      <c r="N48" s="462"/>
      <c r="O48" s="462">
        <v>5722.27</v>
      </c>
      <c r="P48" s="463">
        <f>SUM(compras_mes8[[#This Row],[NETO GRAVADO]:[Otros / No Grav.]])</f>
        <v>50760.490699999995</v>
      </c>
      <c r="Q48" s="464" t="str">
        <f>IFERROR(IF(compras_mes8[[#This Row],[CUIT]]="","-",VLOOKUP(compras_mes8[[#This Row],[CUIT]],Lista_CUIT[#All],3,0)),"CUIT NO CARGADO")</f>
        <v>Combustible</v>
      </c>
      <c r="R48" s="464">
        <f>IFERROR(IF(compras_mes8[[#This Row],[CUIT]]="","-",VLOOKUP(compras_mes8[[#This Row],[CUIT]],Lista_CUIT[#All],4,0)),"CUIT NO CARGADO")</f>
        <v>0</v>
      </c>
    </row>
    <row r="49" spans="2:18" x14ac:dyDescent="0.3">
      <c r="B49" s="456">
        <v>45145</v>
      </c>
      <c r="C49" s="457">
        <v>1</v>
      </c>
      <c r="D49" s="458">
        <v>4</v>
      </c>
      <c r="E49" s="506">
        <v>37015</v>
      </c>
      <c r="F49" s="459">
        <v>30532905555</v>
      </c>
      <c r="G49" s="460" t="str">
        <f>IFERROR(IF(compras_mes8[[#This Row],[CUIT]]="","-",VLOOKUP(compras_mes8[[#This Row],[CUIT]],Lista_CUIT[#All],2,0)),"CUIT NO CARGADO")</f>
        <v>UNTECO S.A.I.C. E I.</v>
      </c>
      <c r="H49" s="461">
        <v>164524.95000000001</v>
      </c>
      <c r="I49" s="462">
        <f>IF(compras_mes8[[#This Row],[NETO GRAVADO]]="","",compras_mes8[[#This Row],[NETO GRAVADO]]*0.21)</f>
        <v>34550.239500000003</v>
      </c>
      <c r="J49" s="462"/>
      <c r="K49" s="462"/>
      <c r="L49" s="462"/>
      <c r="M49" s="462"/>
      <c r="N49" s="462">
        <v>9871.5</v>
      </c>
      <c r="O49" s="462"/>
      <c r="P49" s="463">
        <f>SUM(compras_mes8[[#This Row],[NETO GRAVADO]:[Otros / No Grav.]])</f>
        <v>208946.68950000001</v>
      </c>
      <c r="Q49" s="464">
        <f>IFERROR(IF(compras_mes8[[#This Row],[CUIT]]="","-",VLOOKUP(compras_mes8[[#This Row],[CUIT]],Lista_CUIT[#All],3,0)),"CUIT NO CARGADO")</f>
        <v>0</v>
      </c>
      <c r="R49" s="464">
        <f>IFERROR(IF(compras_mes8[[#This Row],[CUIT]]="","-",VLOOKUP(compras_mes8[[#This Row],[CUIT]],Lista_CUIT[#All],4,0)),"CUIT NO CARGADO")</f>
        <v>0</v>
      </c>
    </row>
    <row r="50" spans="2:18" x14ac:dyDescent="0.3">
      <c r="B50" s="486">
        <v>45145</v>
      </c>
      <c r="C50" s="250">
        <v>1</v>
      </c>
      <c r="D50" s="487">
        <v>16</v>
      </c>
      <c r="E50" s="488">
        <v>84340</v>
      </c>
      <c r="F50" s="476">
        <v>30711050767</v>
      </c>
      <c r="G50" s="489" t="str">
        <f>IFERROR(IF(compras_mes8[[#This Row],[CUIT]]="","-",VLOOKUP(compras_mes8[[#This Row],[CUIT]],Lista_CUIT[#All],2,0)),"CUIT NO CARGADO")</f>
        <v>DIAMOND SYSTEM S.A.</v>
      </c>
      <c r="H50" s="490">
        <v>60632.58</v>
      </c>
      <c r="I50" s="491"/>
      <c r="J50" s="491"/>
      <c r="K50" s="491">
        <v>6366.42</v>
      </c>
      <c r="L50" s="491"/>
      <c r="M50" s="491"/>
      <c r="N50" s="491"/>
      <c r="O50" s="491"/>
      <c r="P50" s="492">
        <f>SUM(compras_mes8[[#This Row],[NETO GRAVADO]:[Otros / No Grav.]])</f>
        <v>66999</v>
      </c>
      <c r="Q50" s="493">
        <f>IFERROR(IF(compras_mes8[[#This Row],[CUIT]]="","-",VLOOKUP(compras_mes8[[#This Row],[CUIT]],Lista_CUIT[#All],3,0)),"CUIT NO CARGADO")</f>
        <v>0</v>
      </c>
      <c r="R50" s="493">
        <f>IFERROR(IF(compras_mes8[[#This Row],[CUIT]]="","-",VLOOKUP(compras_mes8[[#This Row],[CUIT]],Lista_CUIT[#All],4,0)),"CUIT NO CARGADO")</f>
        <v>0</v>
      </c>
    </row>
    <row r="51" spans="2:18" x14ac:dyDescent="0.3">
      <c r="B51" s="456">
        <v>45145</v>
      </c>
      <c r="C51" s="457">
        <v>1</v>
      </c>
      <c r="D51" s="458">
        <v>4</v>
      </c>
      <c r="E51" s="506">
        <v>2111</v>
      </c>
      <c r="F51" s="459">
        <v>30715946250</v>
      </c>
      <c r="G51" s="460" t="str">
        <f>IFERROR(IF(compras_mes8[[#This Row],[CUIT]]="","-",VLOOKUP(compras_mes8[[#This Row],[CUIT]],Lista_CUIT[#All],2,0)),"CUIT NO CARGADO")</f>
        <v>GLOBAL AESTHETICS PRODUCTS AND SERVICES SRL</v>
      </c>
      <c r="H51" s="461">
        <v>3404692</v>
      </c>
      <c r="I51" s="462">
        <f>IF(compras_mes8[[#This Row],[NETO GRAVADO]]="","",compras_mes8[[#This Row],[NETO GRAVADO]]*0.21)</f>
        <v>714985.32</v>
      </c>
      <c r="J51" s="462"/>
      <c r="K51" s="462"/>
      <c r="L51" s="462"/>
      <c r="M51" s="462"/>
      <c r="N51" s="462"/>
      <c r="O51" s="462"/>
      <c r="P51" s="463">
        <f>SUM(compras_mes8[[#This Row],[NETO GRAVADO]:[Otros / No Grav.]])</f>
        <v>4119677.32</v>
      </c>
      <c r="Q51" s="464" t="str">
        <f>IFERROR(IF(compras_mes8[[#This Row],[CUIT]]="","-",VLOOKUP(compras_mes8[[#This Row],[CUIT]],Lista_CUIT[#All],3,0)),"CUIT NO CARGADO")</f>
        <v>aparatos</v>
      </c>
      <c r="R51" s="464">
        <f>IFERROR(IF(compras_mes8[[#This Row],[CUIT]]="","-",VLOOKUP(compras_mes8[[#This Row],[CUIT]],Lista_CUIT[#All],4,0)),"CUIT NO CARGADO")</f>
        <v>0</v>
      </c>
    </row>
    <row r="52" spans="2:18" x14ac:dyDescent="0.3">
      <c r="B52" s="456">
        <v>45145</v>
      </c>
      <c r="C52" s="457">
        <v>1</v>
      </c>
      <c r="D52" s="458">
        <v>4</v>
      </c>
      <c r="E52" s="506">
        <v>2117</v>
      </c>
      <c r="F52" s="459">
        <v>30715946250</v>
      </c>
      <c r="G52" s="460" t="str">
        <f>IFERROR(IF(compras_mes8[[#This Row],[CUIT]]="","-",VLOOKUP(compras_mes8[[#This Row],[CUIT]],Lista_CUIT[#All],2,0)),"CUIT NO CARGADO")</f>
        <v>GLOBAL AESTHETICS PRODUCTS AND SERVICES SRL</v>
      </c>
      <c r="H52" s="461">
        <v>132659.5</v>
      </c>
      <c r="I52" s="462">
        <f>IF(compras_mes8[[#This Row],[NETO GRAVADO]]="","",compras_mes8[[#This Row],[NETO GRAVADO]]*0.21)</f>
        <v>27858.494999999999</v>
      </c>
      <c r="J52" s="462"/>
      <c r="K52" s="462"/>
      <c r="L52" s="462"/>
      <c r="M52" s="462"/>
      <c r="N52" s="462"/>
      <c r="O52" s="462"/>
      <c r="P52" s="463">
        <f>SUM(compras_mes8[[#This Row],[NETO GRAVADO]:[Otros / No Grav.]])</f>
        <v>160517.995</v>
      </c>
      <c r="Q52" s="464" t="str">
        <f>IFERROR(IF(compras_mes8[[#This Row],[CUIT]]="","-",VLOOKUP(compras_mes8[[#This Row],[CUIT]],Lista_CUIT[#All],3,0)),"CUIT NO CARGADO")</f>
        <v>aparatos</v>
      </c>
      <c r="R52" s="464">
        <f>IFERROR(IF(compras_mes8[[#This Row],[CUIT]]="","-",VLOOKUP(compras_mes8[[#This Row],[CUIT]],Lista_CUIT[#All],4,0)),"CUIT NO CARGADO")</f>
        <v>0</v>
      </c>
    </row>
    <row r="53" spans="2:18" x14ac:dyDescent="0.3">
      <c r="B53" s="456">
        <v>45145</v>
      </c>
      <c r="C53" s="457">
        <v>3</v>
      </c>
      <c r="D53" s="458">
        <v>4</v>
      </c>
      <c r="E53" s="506">
        <v>93</v>
      </c>
      <c r="F53" s="459">
        <v>30715946250</v>
      </c>
      <c r="G53" s="460" t="str">
        <f>IFERROR(IF(compras_mes8[[#This Row],[CUIT]]="","-",VLOOKUP(compras_mes8[[#This Row],[CUIT]],Lista_CUIT[#All],2,0)),"CUIT NO CARGADO")</f>
        <v>GLOBAL AESTHETICS PRODUCTS AND SERVICES SRL</v>
      </c>
      <c r="H53" s="461">
        <v>-442578</v>
      </c>
      <c r="I53" s="462">
        <f>IF(compras_mes8[[#This Row],[NETO GRAVADO]]="","",compras_mes8[[#This Row],[NETO GRAVADO]]*0.21)</f>
        <v>-92941.37999999999</v>
      </c>
      <c r="J53" s="462"/>
      <c r="K53" s="462"/>
      <c r="L53" s="462"/>
      <c r="M53" s="462"/>
      <c r="N53" s="462"/>
      <c r="O53" s="462"/>
      <c r="P53" s="463">
        <f>SUM(compras_mes8[[#This Row],[NETO GRAVADO]:[Otros / No Grav.]])</f>
        <v>-535519.38</v>
      </c>
      <c r="Q53" s="464" t="str">
        <f>IFERROR(IF(compras_mes8[[#This Row],[CUIT]]="","-",VLOOKUP(compras_mes8[[#This Row],[CUIT]],Lista_CUIT[#All],3,0)),"CUIT NO CARGADO")</f>
        <v>aparatos</v>
      </c>
      <c r="R53" s="464">
        <f>IFERROR(IF(compras_mes8[[#This Row],[CUIT]]="","-",VLOOKUP(compras_mes8[[#This Row],[CUIT]],Lista_CUIT[#All],4,0)),"CUIT NO CARGADO")</f>
        <v>0</v>
      </c>
    </row>
    <row r="54" spans="2:18" x14ac:dyDescent="0.3">
      <c r="B54" s="456">
        <v>45145</v>
      </c>
      <c r="C54" s="457">
        <v>1</v>
      </c>
      <c r="D54" s="458">
        <v>2</v>
      </c>
      <c r="E54" s="506">
        <v>3406</v>
      </c>
      <c r="F54" s="459">
        <v>30629863571</v>
      </c>
      <c r="G54" s="460" t="str">
        <f>IFERROR(IF(compras_mes8[[#This Row],[CUIT]]="","-",VLOOKUP(compras_mes8[[#This Row],[CUIT]],Lista_CUIT[#All],2,0)),"CUIT NO CARGADO")</f>
        <v>TECNIMAR S R L</v>
      </c>
      <c r="H54" s="461">
        <v>576614.38</v>
      </c>
      <c r="I54" s="462">
        <f>IF(compras_mes8[[#This Row],[NETO GRAVADO]]="","",compras_mes8[[#This Row],[NETO GRAVADO]]*0.21)</f>
        <v>121089.01979999999</v>
      </c>
      <c r="J54" s="462"/>
      <c r="K54" s="462"/>
      <c r="L54" s="462"/>
      <c r="M54" s="462"/>
      <c r="N54" s="462"/>
      <c r="O54" s="462"/>
      <c r="P54" s="463">
        <f>SUM(compras_mes8[[#This Row],[NETO GRAVADO]:[Otros / No Grav.]])</f>
        <v>697703.39980000001</v>
      </c>
      <c r="Q54" s="464" t="str">
        <f>IFERROR(IF(compras_mes8[[#This Row],[CUIT]]="","-",VLOOKUP(compras_mes8[[#This Row],[CUIT]],Lista_CUIT[#All],3,0)),"CUIT NO CARGADO")</f>
        <v>LABORATORIO</v>
      </c>
      <c r="R54" s="464">
        <f>IFERROR(IF(compras_mes8[[#This Row],[CUIT]]="","-",VLOOKUP(compras_mes8[[#This Row],[CUIT]],Lista_CUIT[#All],4,0)),"CUIT NO CARGADO")</f>
        <v>0</v>
      </c>
    </row>
    <row r="55" spans="2:18" x14ac:dyDescent="0.3">
      <c r="B55" s="456">
        <v>45146</v>
      </c>
      <c r="C55" s="457">
        <v>1</v>
      </c>
      <c r="D55" s="458">
        <v>10</v>
      </c>
      <c r="E55" s="506">
        <v>6418</v>
      </c>
      <c r="F55" s="459">
        <v>30714683663</v>
      </c>
      <c r="G55" s="460" t="str">
        <f>IFERROR(IF(compras_mes8[[#This Row],[CUIT]]="","-",VLOOKUP(compras_mes8[[#This Row],[CUIT]],Lista_CUIT[#All],2,0)),"CUIT NO CARGADO")</f>
        <v>BAMBU ARGENTINA S.A.</v>
      </c>
      <c r="H55" s="461">
        <v>338778</v>
      </c>
      <c r="I55" s="462">
        <f>IF(compras_mes8[[#This Row],[NETO GRAVADO]]="","",compras_mes8[[#This Row],[NETO GRAVADO]]*0.21)</f>
        <v>71143.37999999999</v>
      </c>
      <c r="J55" s="462"/>
      <c r="K55" s="462"/>
      <c r="L55" s="462"/>
      <c r="M55" s="462"/>
      <c r="N55" s="462"/>
      <c r="O55" s="462"/>
      <c r="P55" s="463">
        <f>SUM(compras_mes8[[#This Row],[NETO GRAVADO]:[Otros / No Grav.]])</f>
        <v>409921.38</v>
      </c>
      <c r="Q55" s="464">
        <f>IFERROR(IF(compras_mes8[[#This Row],[CUIT]]="","-",VLOOKUP(compras_mes8[[#This Row],[CUIT]],Lista_CUIT[#All],3,0)),"CUIT NO CARGADO")</f>
        <v>0</v>
      </c>
      <c r="R55" s="464">
        <f>IFERROR(IF(compras_mes8[[#This Row],[CUIT]]="","-",VLOOKUP(compras_mes8[[#This Row],[CUIT]],Lista_CUIT[#All],4,0)),"CUIT NO CARGADO")</f>
        <v>0</v>
      </c>
    </row>
    <row r="56" spans="2:18" x14ac:dyDescent="0.3">
      <c r="B56" s="486">
        <v>45146</v>
      </c>
      <c r="C56" s="250">
        <v>1</v>
      </c>
      <c r="D56" s="487">
        <v>11</v>
      </c>
      <c r="E56" s="488">
        <v>25</v>
      </c>
      <c r="F56" s="476">
        <v>30714911135</v>
      </c>
      <c r="G56" s="489" t="str">
        <f>IFERROR(IF(compras_mes8[[#This Row],[CUIT]]="","-",VLOOKUP(compras_mes8[[#This Row],[CUIT]],Lista_CUIT[#All],2,0)),"CUIT NO CARGADO")</f>
        <v>INDIGO TRADE S.A.</v>
      </c>
      <c r="H56" s="490">
        <v>58822.62</v>
      </c>
      <c r="I56" s="491"/>
      <c r="J56" s="491"/>
      <c r="K56" s="491">
        <v>6176.38</v>
      </c>
      <c r="L56" s="491"/>
      <c r="M56" s="491"/>
      <c r="N56" s="491"/>
      <c r="O56" s="491"/>
      <c r="P56" s="492">
        <f>SUM(compras_mes8[[#This Row],[NETO GRAVADO]:[Otros / No Grav.]])</f>
        <v>64999</v>
      </c>
      <c r="Q56" s="493">
        <f>IFERROR(IF(compras_mes8[[#This Row],[CUIT]]="","-",VLOOKUP(compras_mes8[[#This Row],[CUIT]],Lista_CUIT[#All],3,0)),"CUIT NO CARGADO")</f>
        <v>0</v>
      </c>
      <c r="R56" s="493">
        <f>IFERROR(IF(compras_mes8[[#This Row],[CUIT]]="","-",VLOOKUP(compras_mes8[[#This Row],[CUIT]],Lista_CUIT[#All],4,0)),"CUIT NO CARGADO")</f>
        <v>0</v>
      </c>
    </row>
    <row r="57" spans="2:18" x14ac:dyDescent="0.3">
      <c r="B57" s="486">
        <v>45146</v>
      </c>
      <c r="C57" s="250">
        <v>1</v>
      </c>
      <c r="D57" s="487">
        <v>7</v>
      </c>
      <c r="E57" s="488">
        <v>1634</v>
      </c>
      <c r="F57" s="476">
        <v>20134664518</v>
      </c>
      <c r="G57" s="489" t="str">
        <f>IFERROR(IF(compras_mes8[[#This Row],[CUIT]]="","-",VLOOKUP(compras_mes8[[#This Row],[CUIT]],Lista_CUIT[#All],2,0)),"CUIT NO CARGADO")</f>
        <v>HOKAMA SERGIO ENRIQUE</v>
      </c>
      <c r="H57" s="490">
        <v>6204.92</v>
      </c>
      <c r="I57" s="491">
        <f>IF(compras_mes8[[#This Row],[NETO GRAVADO]]="","",compras_mes8[[#This Row],[NETO GRAVADO]]*0.21)</f>
        <v>1303.0332000000001</v>
      </c>
      <c r="J57" s="491"/>
      <c r="K57" s="491"/>
      <c r="L57" s="491"/>
      <c r="M57" s="491"/>
      <c r="N57" s="491"/>
      <c r="O57" s="491"/>
      <c r="P57" s="492">
        <f>SUM(compras_mes8[[#This Row],[NETO GRAVADO]:[Otros / No Grav.]])</f>
        <v>7507.9531999999999</v>
      </c>
      <c r="Q57" s="493" t="str">
        <f>IFERROR(IF(compras_mes8[[#This Row],[CUIT]]="","-",VLOOKUP(compras_mes8[[#This Row],[CUIT]],Lista_CUIT[#All],3,0)),"CUIT NO CARGADO")</f>
        <v>Gastos Varios</v>
      </c>
      <c r="R57" s="493" t="str">
        <f>IFERROR(IF(compras_mes8[[#This Row],[CUIT]]="","-",VLOOKUP(compras_mes8[[#This Row],[CUIT]],Lista_CUIT[#All],4,0)),"CUIT NO CARGADO")</f>
        <v>BUENOS AIRES</v>
      </c>
    </row>
    <row r="58" spans="2:18" x14ac:dyDescent="0.3">
      <c r="B58" s="486">
        <v>45146</v>
      </c>
      <c r="C58" s="250">
        <v>1</v>
      </c>
      <c r="D58" s="487">
        <v>9</v>
      </c>
      <c r="E58" s="488">
        <v>34537</v>
      </c>
      <c r="F58" s="476">
        <v>33712445489</v>
      </c>
      <c r="G58" s="489" t="str">
        <f>IFERROR(IF(compras_mes8[[#This Row],[CUIT]]="","-",VLOOKUP(compras_mes8[[#This Row],[CUIT]],Lista_CUIT[#All],2,0)),"CUIT NO CARGADO")</f>
        <v>CORUSCANT  S. A.</v>
      </c>
      <c r="H58" s="490">
        <v>53222.31</v>
      </c>
      <c r="I58" s="491">
        <f>IF(compras_mes8[[#This Row],[NETO GRAVADO]]="","",compras_mes8[[#This Row],[NETO GRAVADO]]*0.21)</f>
        <v>11176.685099999999</v>
      </c>
      <c r="J58" s="491"/>
      <c r="K58" s="491"/>
      <c r="L58" s="491"/>
      <c r="M58" s="491"/>
      <c r="N58" s="491"/>
      <c r="O58" s="491"/>
      <c r="P58" s="492">
        <f>SUM(compras_mes8[[#This Row],[NETO GRAVADO]:[Otros / No Grav.]])</f>
        <v>64398.9951</v>
      </c>
      <c r="Q58" s="493">
        <f>IFERROR(IF(compras_mes8[[#This Row],[CUIT]]="","-",VLOOKUP(compras_mes8[[#This Row],[CUIT]],Lista_CUIT[#All],3,0)),"CUIT NO CARGADO")</f>
        <v>0</v>
      </c>
      <c r="R58" s="493">
        <f>IFERROR(IF(compras_mes8[[#This Row],[CUIT]]="","-",VLOOKUP(compras_mes8[[#This Row],[CUIT]],Lista_CUIT[#All],4,0)),"CUIT NO CARGADO")</f>
        <v>0</v>
      </c>
    </row>
    <row r="59" spans="2:18" x14ac:dyDescent="0.3">
      <c r="B59" s="456">
        <v>45146</v>
      </c>
      <c r="C59" s="457">
        <v>1</v>
      </c>
      <c r="D59" s="458">
        <v>3</v>
      </c>
      <c r="E59" s="506">
        <v>38</v>
      </c>
      <c r="F59" s="459">
        <v>30716877260</v>
      </c>
      <c r="G59" s="460" t="str">
        <f>IFERROR(IF(compras_mes8[[#This Row],[CUIT]]="","-",VLOOKUP(compras_mes8[[#This Row],[CUIT]],Lista_CUIT[#All],2,0)),"CUIT NO CARGADO")</f>
        <v>TEXTIL MANZONE S. R. L.</v>
      </c>
      <c r="H59" s="461">
        <v>55000</v>
      </c>
      <c r="I59" s="462">
        <f>IF(compras_mes8[[#This Row],[NETO GRAVADO]]="","",compras_mes8[[#This Row],[NETO GRAVADO]]*0.21)</f>
        <v>11550</v>
      </c>
      <c r="J59" s="462"/>
      <c r="K59" s="462"/>
      <c r="L59" s="462"/>
      <c r="M59" s="462"/>
      <c r="N59" s="462"/>
      <c r="O59" s="462"/>
      <c r="P59" s="463">
        <f>SUM(compras_mes8[[#This Row],[NETO GRAVADO]:[Otros / No Grav.]])</f>
        <v>66550</v>
      </c>
      <c r="Q59" s="464">
        <f>IFERROR(IF(compras_mes8[[#This Row],[CUIT]]="","-",VLOOKUP(compras_mes8[[#This Row],[CUIT]],Lista_CUIT[#All],3,0)),"CUIT NO CARGADO")</f>
        <v>0</v>
      </c>
      <c r="R59" s="464">
        <f>IFERROR(IF(compras_mes8[[#This Row],[CUIT]]="","-",VLOOKUP(compras_mes8[[#This Row],[CUIT]],Lista_CUIT[#All],4,0)),"CUIT NO CARGADO")</f>
        <v>0</v>
      </c>
    </row>
    <row r="60" spans="2:18" x14ac:dyDescent="0.3">
      <c r="B60" s="456">
        <v>45147</v>
      </c>
      <c r="C60" s="457">
        <v>1</v>
      </c>
      <c r="D60" s="458">
        <v>4</v>
      </c>
      <c r="E60" s="506">
        <v>277</v>
      </c>
      <c r="F60" s="459">
        <v>20104345221</v>
      </c>
      <c r="G60" s="460" t="str">
        <f>IFERROR(IF(compras_mes8[[#This Row],[CUIT]]="","-",VLOOKUP(compras_mes8[[#This Row],[CUIT]],Lista_CUIT[#All],2,0)),"CUIT NO CARGADO")</f>
        <v>ARAYA SERGIO ALEJANDRO</v>
      </c>
      <c r="H60" s="461">
        <v>3884.3</v>
      </c>
      <c r="I60" s="462">
        <f>IF(compras_mes8[[#This Row],[NETO GRAVADO]]="","",compras_mes8[[#This Row],[NETO GRAVADO]]*0.21)</f>
        <v>815.70299999999997</v>
      </c>
      <c r="J60" s="462"/>
      <c r="K60" s="462"/>
      <c r="L60" s="462"/>
      <c r="M60" s="462"/>
      <c r="N60" s="462"/>
      <c r="O60" s="462"/>
      <c r="P60" s="463">
        <f>SUM(compras_mes8[[#This Row],[NETO GRAVADO]:[Otros / No Grav.]])</f>
        <v>4700.0030000000006</v>
      </c>
      <c r="Q60" s="464">
        <f>IFERROR(IF(compras_mes8[[#This Row],[CUIT]]="","-",VLOOKUP(compras_mes8[[#This Row],[CUIT]],Lista_CUIT[#All],3,0)),"CUIT NO CARGADO")</f>
        <v>0</v>
      </c>
      <c r="R60" s="464">
        <f>IFERROR(IF(compras_mes8[[#This Row],[CUIT]]="","-",VLOOKUP(compras_mes8[[#This Row],[CUIT]],Lista_CUIT[#All],4,0)),"CUIT NO CARGADO")</f>
        <v>0</v>
      </c>
    </row>
    <row r="61" spans="2:18" x14ac:dyDescent="0.3">
      <c r="B61" s="456">
        <v>45147</v>
      </c>
      <c r="C61" s="457">
        <v>1</v>
      </c>
      <c r="D61" s="458">
        <v>10</v>
      </c>
      <c r="E61" s="506">
        <v>6419</v>
      </c>
      <c r="F61" s="459">
        <v>30714683663</v>
      </c>
      <c r="G61" s="460" t="str">
        <f>IFERROR(IF(compras_mes8[[#This Row],[CUIT]]="","-",VLOOKUP(compras_mes8[[#This Row],[CUIT]],Lista_CUIT[#All],2,0)),"CUIT NO CARGADO")</f>
        <v>BAMBU ARGENTINA S.A.</v>
      </c>
      <c r="H61" s="461">
        <v>77918.94</v>
      </c>
      <c r="I61" s="462">
        <f>IF(compras_mes8[[#This Row],[NETO GRAVADO]]="","",compras_mes8[[#This Row],[NETO GRAVADO]]*0.21)</f>
        <v>16362.9774</v>
      </c>
      <c r="J61" s="462"/>
      <c r="K61" s="462"/>
      <c r="L61" s="462"/>
      <c r="M61" s="462"/>
      <c r="N61" s="462"/>
      <c r="O61" s="462"/>
      <c r="P61" s="463">
        <f>SUM(compras_mes8[[#This Row],[NETO GRAVADO]:[Otros / No Grav.]])</f>
        <v>94281.917400000006</v>
      </c>
      <c r="Q61" s="464">
        <f>IFERROR(IF(compras_mes8[[#This Row],[CUIT]]="","-",VLOOKUP(compras_mes8[[#This Row],[CUIT]],Lista_CUIT[#All],3,0)),"CUIT NO CARGADO")</f>
        <v>0</v>
      </c>
      <c r="R61" s="464">
        <f>IFERROR(IF(compras_mes8[[#This Row],[CUIT]]="","-",VLOOKUP(compras_mes8[[#This Row],[CUIT]],Lista_CUIT[#All],4,0)),"CUIT NO CARGADO")</f>
        <v>0</v>
      </c>
    </row>
    <row r="62" spans="2:18" x14ac:dyDescent="0.3">
      <c r="B62" s="456">
        <v>45147</v>
      </c>
      <c r="C62" s="457">
        <v>1</v>
      </c>
      <c r="D62" s="458">
        <v>3</v>
      </c>
      <c r="E62" s="506">
        <v>1533</v>
      </c>
      <c r="F62" s="459">
        <v>30714389064</v>
      </c>
      <c r="G62" s="460" t="str">
        <f>IFERROR(IF(compras_mes8[[#This Row],[CUIT]]="","-",VLOOKUP(compras_mes8[[#This Row],[CUIT]],Lista_CUIT[#All],2,0)),"CUIT NO CARGADO")</f>
        <v>LATINLED SRL</v>
      </c>
      <c r="H62" s="461">
        <v>976500</v>
      </c>
      <c r="I62" s="462">
        <f>IF(compras_mes8[[#This Row],[NETO GRAVADO]]="","",compras_mes8[[#This Row],[NETO GRAVADO]]*0.21)</f>
        <v>205065</v>
      </c>
      <c r="J62" s="462"/>
      <c r="K62" s="462"/>
      <c r="L62" s="462"/>
      <c r="M62" s="462"/>
      <c r="N62" s="462"/>
      <c r="O62" s="462"/>
      <c r="P62" s="463">
        <f>SUM(compras_mes8[[#This Row],[NETO GRAVADO]:[Otros / No Grav.]])</f>
        <v>1181565</v>
      </c>
      <c r="Q62" s="464">
        <f>IFERROR(IF(compras_mes8[[#This Row],[CUIT]]="","-",VLOOKUP(compras_mes8[[#This Row],[CUIT]],Lista_CUIT[#All],3,0)),"CUIT NO CARGADO")</f>
        <v>0</v>
      </c>
      <c r="R62" s="464">
        <f>IFERROR(IF(compras_mes8[[#This Row],[CUIT]]="","-",VLOOKUP(compras_mes8[[#This Row],[CUIT]],Lista_CUIT[#All],4,0)),"CUIT NO CARGADO")</f>
        <v>0</v>
      </c>
    </row>
    <row r="63" spans="2:18" x14ac:dyDescent="0.3">
      <c r="B63" s="456">
        <v>45147</v>
      </c>
      <c r="C63" s="457">
        <v>1</v>
      </c>
      <c r="D63" s="458">
        <v>4</v>
      </c>
      <c r="E63" s="506">
        <v>21616</v>
      </c>
      <c r="F63" s="459">
        <v>30552433595</v>
      </c>
      <c r="G63" s="460" t="str">
        <f>IFERROR(IF(compras_mes8[[#This Row],[CUIT]]="","-",VLOOKUP(compras_mes8[[#This Row],[CUIT]],Lista_CUIT[#All],2,0)),"CUIT NO CARGADO")</f>
        <v>PIROPLAST SRL</v>
      </c>
      <c r="H63" s="461">
        <v>692291.25</v>
      </c>
      <c r="I63" s="462">
        <f>IF(compras_mes8[[#This Row],[NETO GRAVADO]]="","",compras_mes8[[#This Row],[NETO GRAVADO]]*0.21)</f>
        <v>145381.16250000001</v>
      </c>
      <c r="J63" s="462"/>
      <c r="K63" s="462"/>
      <c r="L63" s="462"/>
      <c r="M63" s="462"/>
      <c r="N63" s="462"/>
      <c r="O63" s="462"/>
      <c r="P63" s="463">
        <f>SUM(compras_mes8[[#This Row],[NETO GRAVADO]:[Otros / No Grav.]])</f>
        <v>837672.41249999998</v>
      </c>
      <c r="Q63" s="464" t="str">
        <f>IFERROR(IF(compras_mes8[[#This Row],[CUIT]]="","-",VLOOKUP(compras_mes8[[#This Row],[CUIT]],Lista_CUIT[#All],3,0)),"CUIT NO CARGADO")</f>
        <v>Insumo</v>
      </c>
      <c r="R63" s="464">
        <f>IFERROR(IF(compras_mes8[[#This Row],[CUIT]]="","-",VLOOKUP(compras_mes8[[#This Row],[CUIT]],Lista_CUIT[#All],4,0)),"CUIT NO CARGADO")</f>
        <v>0</v>
      </c>
    </row>
    <row r="64" spans="2:18" x14ac:dyDescent="0.3">
      <c r="B64" s="486">
        <v>45147</v>
      </c>
      <c r="C64" s="250">
        <v>1</v>
      </c>
      <c r="D64" s="487">
        <v>948</v>
      </c>
      <c r="E64" s="488">
        <v>1017263</v>
      </c>
      <c r="F64" s="476">
        <v>30639453975</v>
      </c>
      <c r="G64" s="489" t="str">
        <f>IFERROR(IF(compras_mes8[[#This Row],[CUIT]]="","-",VLOOKUP(compras_mes8[[#This Row],[CUIT]],Lista_CUIT[#All],2,0)),"CUIT NO CARGADO")</f>
        <v>TELEFONICA DE ARG S.A.</v>
      </c>
      <c r="H64" s="490">
        <v>7328.18</v>
      </c>
      <c r="I64" s="491"/>
      <c r="J64" s="491">
        <v>1978.61</v>
      </c>
      <c r="K64" s="491"/>
      <c r="L64" s="491">
        <v>219.85</v>
      </c>
      <c r="M64" s="491"/>
      <c r="N64" s="491">
        <v>439.69</v>
      </c>
      <c r="O64" s="491"/>
      <c r="P64" s="492">
        <f>SUM(compras_mes8[[#This Row],[NETO GRAVADO]:[Otros / No Grav.]])</f>
        <v>9966.3300000000017</v>
      </c>
      <c r="Q64" s="493" t="str">
        <f>IFERROR(IF(compras_mes8[[#This Row],[CUIT]]="","-",VLOOKUP(compras_mes8[[#This Row],[CUIT]],Lista_CUIT[#All],3,0)),"CUIT NO CARGADO")</f>
        <v>Servicios Gas, Luz, etc.</v>
      </c>
      <c r="R64" s="493">
        <f>IFERROR(IF(compras_mes8[[#This Row],[CUIT]]="","-",VLOOKUP(compras_mes8[[#This Row],[CUIT]],Lista_CUIT[#All],4,0)),"CUIT NO CARGADO")</f>
        <v>0</v>
      </c>
    </row>
    <row r="65" spans="2:18" x14ac:dyDescent="0.3">
      <c r="B65" s="456">
        <v>45147</v>
      </c>
      <c r="C65" s="457">
        <v>1</v>
      </c>
      <c r="D65" s="458">
        <v>301</v>
      </c>
      <c r="E65" s="506">
        <v>58837</v>
      </c>
      <c r="F65" s="459">
        <v>30686978350</v>
      </c>
      <c r="G65" s="460" t="str">
        <f>IFERROR(IF(compras_mes8[[#This Row],[CUIT]]="","-",VLOOKUP(compras_mes8[[#This Row],[CUIT]],Lista_CUIT[#All],2,0)),"CUIT NO CARGADO")</f>
        <v>SPEED BUSINESS S. A.</v>
      </c>
      <c r="H65" s="461">
        <v>8512.39</v>
      </c>
      <c r="I65" s="462">
        <f>IF(compras_mes8[[#This Row],[NETO GRAVADO]]="","",compras_mes8[[#This Row],[NETO GRAVADO]]*0.21)</f>
        <v>1787.6018999999999</v>
      </c>
      <c r="J65" s="462"/>
      <c r="K65" s="462"/>
      <c r="L65" s="462"/>
      <c r="M65" s="462"/>
      <c r="N65" s="462"/>
      <c r="O65" s="462"/>
      <c r="P65" s="463">
        <f>SUM(compras_mes8[[#This Row],[NETO GRAVADO]:[Otros / No Grav.]])</f>
        <v>10299.991899999999</v>
      </c>
      <c r="Q65" s="464">
        <f>IFERROR(IF(compras_mes8[[#This Row],[CUIT]]="","-",VLOOKUP(compras_mes8[[#This Row],[CUIT]],Lista_CUIT[#All],3,0)),"CUIT NO CARGADO")</f>
        <v>0</v>
      </c>
      <c r="R65" s="464">
        <f>IFERROR(IF(compras_mes8[[#This Row],[CUIT]]="","-",VLOOKUP(compras_mes8[[#This Row],[CUIT]],Lista_CUIT[#All],4,0)),"CUIT NO CARGADO")</f>
        <v>0</v>
      </c>
    </row>
    <row r="66" spans="2:18" x14ac:dyDescent="0.3">
      <c r="B66" s="456">
        <v>45147</v>
      </c>
      <c r="C66" s="457">
        <v>1</v>
      </c>
      <c r="D66" s="458">
        <v>23</v>
      </c>
      <c r="E66" s="506">
        <v>47930</v>
      </c>
      <c r="F66" s="459">
        <v>30594832783</v>
      </c>
      <c r="G66" s="460" t="str">
        <f>IFERROR(IF(compras_mes8[[#This Row],[CUIT]]="","-",VLOOKUP(compras_mes8[[#This Row],[CUIT]],Lista_CUIT[#All],2,0)),"CUIT NO CARGADO")</f>
        <v>CHICHIAN SA</v>
      </c>
      <c r="H66" s="461">
        <v>9934.4699999999993</v>
      </c>
      <c r="I66" s="462">
        <f>IF(compras_mes8[[#This Row],[NETO GRAVADO]]="","",compras_mes8[[#This Row],[NETO GRAVADO]]*0.21)</f>
        <v>2086.2386999999999</v>
      </c>
      <c r="J66" s="462"/>
      <c r="K66" s="462"/>
      <c r="L66" s="462"/>
      <c r="M66" s="462"/>
      <c r="N66" s="462"/>
      <c r="O66" s="462">
        <v>78.69</v>
      </c>
      <c r="P66" s="463">
        <f>SUM(compras_mes8[[#This Row],[NETO GRAVADO]:[Otros / No Grav.]])</f>
        <v>12099.3987</v>
      </c>
      <c r="Q66" s="464" t="str">
        <f>IFERROR(IF(compras_mes8[[#This Row],[CUIT]]="","-",VLOOKUP(compras_mes8[[#This Row],[CUIT]],Lista_CUIT[#All],3,0)),"CUIT NO CARGADO")</f>
        <v>COMBUSTIBLE</v>
      </c>
      <c r="R66" s="464">
        <f>IFERROR(IF(compras_mes8[[#This Row],[CUIT]]="","-",VLOOKUP(compras_mes8[[#This Row],[CUIT]],Lista_CUIT[#All],4,0)),"CUIT NO CARGADO")</f>
        <v>0</v>
      </c>
    </row>
    <row r="67" spans="2:18" x14ac:dyDescent="0.3">
      <c r="B67" s="486">
        <v>45148</v>
      </c>
      <c r="C67" s="250">
        <v>1</v>
      </c>
      <c r="D67" s="487">
        <v>6</v>
      </c>
      <c r="E67" s="488">
        <v>14576475</v>
      </c>
      <c r="F67" s="476">
        <v>30620177497</v>
      </c>
      <c r="G67" s="489" t="str">
        <f>IFERROR(IF(compras_mes8[[#This Row],[CUIT]]="","-",VLOOKUP(compras_mes8[[#This Row],[CUIT]],Lista_CUIT[#All],2,0)),"CUIT NO CARGADO")</f>
        <v>POSNET SRL</v>
      </c>
      <c r="H67" s="490">
        <v>15968.64</v>
      </c>
      <c r="I67" s="491">
        <f>IF(compras_mes8[[#This Row],[NETO GRAVADO]]="","",compras_mes8[[#This Row],[NETO GRAVADO]]*0.21)</f>
        <v>3353.4143999999997</v>
      </c>
      <c r="J67" s="491"/>
      <c r="K67" s="491"/>
      <c r="L67" s="491"/>
      <c r="M67" s="491"/>
      <c r="N67" s="491">
        <v>1437.18</v>
      </c>
      <c r="O67" s="491"/>
      <c r="P67" s="492">
        <f>SUM(compras_mes8[[#This Row],[NETO GRAVADO]:[Otros / No Grav.]])</f>
        <v>20759.234400000001</v>
      </c>
      <c r="Q67" s="493" t="str">
        <f>IFERROR(IF(compras_mes8[[#This Row],[CUIT]]="","-",VLOOKUP(compras_mes8[[#This Row],[CUIT]],Lista_CUIT[#All],3,0)),"CUIT NO CARGADO")</f>
        <v>Servicios Gas, Luz, etc.</v>
      </c>
      <c r="R67" s="493">
        <f>IFERROR(IF(compras_mes8[[#This Row],[CUIT]]="","-",VLOOKUP(compras_mes8[[#This Row],[CUIT]],Lista_CUIT[#All],4,0)),"CUIT NO CARGADO")</f>
        <v>0</v>
      </c>
    </row>
    <row r="68" spans="2:18" x14ac:dyDescent="0.3">
      <c r="B68" s="456">
        <v>45148</v>
      </c>
      <c r="C68" s="457">
        <v>1</v>
      </c>
      <c r="D68" s="458">
        <v>9</v>
      </c>
      <c r="E68" s="506">
        <v>103</v>
      </c>
      <c r="F68" s="459">
        <v>20134664518</v>
      </c>
      <c r="G68" s="460" t="str">
        <f>IFERROR(IF(compras_mes8[[#This Row],[CUIT]]="","-",VLOOKUP(compras_mes8[[#This Row],[CUIT]],Lista_CUIT[#All],2,0)),"CUIT NO CARGADO")</f>
        <v>HOKAMA SERGIO ENRIQUE</v>
      </c>
      <c r="H68" s="461">
        <v>11212.49</v>
      </c>
      <c r="I68" s="462">
        <f>IF(compras_mes8[[#This Row],[NETO GRAVADO]]="","",compras_mes8[[#This Row],[NETO GRAVADO]]*0.21)</f>
        <v>2354.6228999999998</v>
      </c>
      <c r="J68" s="462"/>
      <c r="K68" s="462"/>
      <c r="L68" s="462"/>
      <c r="M68" s="462"/>
      <c r="N68" s="462"/>
      <c r="O68" s="462"/>
      <c r="P68" s="463">
        <f>SUM(compras_mes8[[#This Row],[NETO GRAVADO]:[Otros / No Grav.]])</f>
        <v>13567.1129</v>
      </c>
      <c r="Q68" s="464" t="str">
        <f>IFERROR(IF(compras_mes8[[#This Row],[CUIT]]="","-",VLOOKUP(compras_mes8[[#This Row],[CUIT]],Lista_CUIT[#All],3,0)),"CUIT NO CARGADO")</f>
        <v>Gastos Varios</v>
      </c>
      <c r="R68" s="464" t="str">
        <f>IFERROR(IF(compras_mes8[[#This Row],[CUIT]]="","-",VLOOKUP(compras_mes8[[#This Row],[CUIT]],Lista_CUIT[#All],4,0)),"CUIT NO CARGADO")</f>
        <v>BUENOS AIRES</v>
      </c>
    </row>
    <row r="69" spans="2:18" x14ac:dyDescent="0.3">
      <c r="B69" s="456">
        <v>45148</v>
      </c>
      <c r="C69" s="457">
        <v>1</v>
      </c>
      <c r="D69" s="458">
        <v>6364</v>
      </c>
      <c r="E69" s="506">
        <v>7725929</v>
      </c>
      <c r="F69" s="459">
        <v>30639453738</v>
      </c>
      <c r="G69" s="460" t="str">
        <f>IFERROR(IF(compras_mes8[[#This Row],[CUIT]]="","-",VLOOKUP(compras_mes8[[#This Row],[CUIT]],Lista_CUIT[#All],2,0)),"CUIT NO CARGADO")</f>
        <v>TELECOM ARG SA</v>
      </c>
      <c r="H69" s="461">
        <v>73264.990000000005</v>
      </c>
      <c r="I69" s="462">
        <v>15064.31</v>
      </c>
      <c r="J69" s="462">
        <v>413.15</v>
      </c>
      <c r="K69" s="462"/>
      <c r="L69" s="462"/>
      <c r="M69" s="462">
        <v>2197.9499999999998</v>
      </c>
      <c r="N69" s="462">
        <v>4057.22</v>
      </c>
      <c r="O69" s="462">
        <f>6.46+80.53</f>
        <v>86.99</v>
      </c>
      <c r="P69" s="463">
        <f>SUM(compras_mes8[[#This Row],[NETO GRAVADO]:[Otros / No Grav.]])</f>
        <v>95084.61</v>
      </c>
      <c r="Q69" s="464" t="str">
        <f>IFERROR(IF(compras_mes8[[#This Row],[CUIT]]="","-",VLOOKUP(compras_mes8[[#This Row],[CUIT]],Lista_CUIT[#All],3,0)),"CUIT NO CARGADO")</f>
        <v>Servicios Gas, Luz, etc.</v>
      </c>
      <c r="R69" s="464">
        <f>IFERROR(IF(compras_mes8[[#This Row],[CUIT]]="","-",VLOOKUP(compras_mes8[[#This Row],[CUIT]],Lista_CUIT[#All],4,0)),"CUIT NO CARGADO")</f>
        <v>0</v>
      </c>
    </row>
    <row r="70" spans="2:18" x14ac:dyDescent="0.3">
      <c r="B70" s="456">
        <v>45148</v>
      </c>
      <c r="C70" s="457">
        <v>1</v>
      </c>
      <c r="D70" s="458">
        <v>7</v>
      </c>
      <c r="E70" s="506">
        <v>9752</v>
      </c>
      <c r="F70" s="459">
        <v>30708017759</v>
      </c>
      <c r="G70" s="460" t="str">
        <f>IFERROR(IF(compras_mes8[[#This Row],[CUIT]]="","-",VLOOKUP(compras_mes8[[#This Row],[CUIT]],Lista_CUIT[#All],2,0)),"CUIT NO CARGADO")</f>
        <v>NEW  HIGH PACK  SA</v>
      </c>
      <c r="H70" s="461">
        <v>1448568</v>
      </c>
      <c r="I70" s="462">
        <f>IF(compras_mes8[[#This Row],[NETO GRAVADO]]="","",compras_mes8[[#This Row],[NETO GRAVADO]]*0.21)</f>
        <v>304199.27999999997</v>
      </c>
      <c r="J70" s="462"/>
      <c r="K70" s="462"/>
      <c r="L70" s="462"/>
      <c r="M70" s="462"/>
      <c r="N70" s="462">
        <v>86914.08</v>
      </c>
      <c r="O70" s="462"/>
      <c r="P70" s="463">
        <f>SUM(compras_mes8[[#This Row],[NETO GRAVADO]:[Otros / No Grav.]])</f>
        <v>1839681.36</v>
      </c>
      <c r="Q70" s="464">
        <f>IFERROR(IF(compras_mes8[[#This Row],[CUIT]]="","-",VLOOKUP(compras_mes8[[#This Row],[CUIT]],Lista_CUIT[#All],3,0)),"CUIT NO CARGADO")</f>
        <v>0</v>
      </c>
      <c r="R70" s="464">
        <f>IFERROR(IF(compras_mes8[[#This Row],[CUIT]]="","-",VLOOKUP(compras_mes8[[#This Row],[CUIT]],Lista_CUIT[#All],4,0)),"CUIT NO CARGADO")</f>
        <v>0</v>
      </c>
    </row>
    <row r="71" spans="2:18" x14ac:dyDescent="0.3">
      <c r="B71" s="456">
        <v>45148</v>
      </c>
      <c r="C71" s="457">
        <v>1</v>
      </c>
      <c r="D71" s="458">
        <v>6</v>
      </c>
      <c r="E71" s="506">
        <v>105</v>
      </c>
      <c r="F71" s="459">
        <v>20337899790</v>
      </c>
      <c r="G71" s="460" t="str">
        <f>IFERROR(IF(compras_mes8[[#This Row],[CUIT]]="","-",VLOOKUP(compras_mes8[[#This Row],[CUIT]],Lista_CUIT[#All],2,0)),"CUIT NO CARGADO")</f>
        <v>MOLINA AGUIRRE ERIC LEANDRO</v>
      </c>
      <c r="H71" s="461">
        <v>20991.73</v>
      </c>
      <c r="I71" s="462">
        <f>IF(compras_mes8[[#This Row],[NETO GRAVADO]]="","",compras_mes8[[#This Row],[NETO GRAVADO]]*0.21)</f>
        <v>4408.2632999999996</v>
      </c>
      <c r="J71" s="462"/>
      <c r="K71" s="462"/>
      <c r="L71" s="462"/>
      <c r="M71" s="462"/>
      <c r="N71" s="462"/>
      <c r="O71" s="462"/>
      <c r="P71" s="463">
        <f>SUM(compras_mes8[[#This Row],[NETO GRAVADO]:[Otros / No Grav.]])</f>
        <v>25399.993299999998</v>
      </c>
      <c r="Q71" s="464">
        <f>IFERROR(IF(compras_mes8[[#This Row],[CUIT]]="","-",VLOOKUP(compras_mes8[[#This Row],[CUIT]],Lista_CUIT[#All],3,0)),"CUIT NO CARGADO")</f>
        <v>0</v>
      </c>
      <c r="R71" s="464">
        <f>IFERROR(IF(compras_mes8[[#This Row],[CUIT]]="","-",VLOOKUP(compras_mes8[[#This Row],[CUIT]],Lista_CUIT[#All],4,0)),"CUIT NO CARGADO")</f>
        <v>0</v>
      </c>
    </row>
    <row r="72" spans="2:18" x14ac:dyDescent="0.3">
      <c r="B72" s="456">
        <v>45148</v>
      </c>
      <c r="C72" s="457">
        <v>1</v>
      </c>
      <c r="D72" s="458">
        <v>117</v>
      </c>
      <c r="E72" s="506">
        <v>26232</v>
      </c>
      <c r="F72" s="459">
        <v>30710276273</v>
      </c>
      <c r="G72" s="460" t="str">
        <f>IFERROR(IF(compras_mes8[[#This Row],[CUIT]]="","-",VLOOKUP(compras_mes8[[#This Row],[CUIT]],Lista_CUIT[#All],2,0)),"CUIT NO CARGADO")</f>
        <v>SEDEX ARGENTINA SA</v>
      </c>
      <c r="H72" s="461">
        <v>3038.84</v>
      </c>
      <c r="I72" s="462">
        <f>IF(compras_mes8[[#This Row],[NETO GRAVADO]]="","",compras_mes8[[#This Row],[NETO GRAVADO]]*0.21)</f>
        <v>638.15639999999996</v>
      </c>
      <c r="J72" s="462"/>
      <c r="K72" s="462"/>
      <c r="L72" s="462"/>
      <c r="M72" s="462"/>
      <c r="N72" s="462"/>
      <c r="O72" s="462"/>
      <c r="P72" s="463">
        <f>SUM(compras_mes8[[#This Row],[NETO GRAVADO]:[Otros / No Grav.]])</f>
        <v>3676.9964</v>
      </c>
      <c r="Q72" s="464">
        <f>IFERROR(IF(compras_mes8[[#This Row],[CUIT]]="","-",VLOOKUP(compras_mes8[[#This Row],[CUIT]],Lista_CUIT[#All],3,0)),"CUIT NO CARGADO")</f>
        <v>0</v>
      </c>
      <c r="R72" s="464">
        <f>IFERROR(IF(compras_mes8[[#This Row],[CUIT]]="","-",VLOOKUP(compras_mes8[[#This Row],[CUIT]],Lista_CUIT[#All],4,0)),"CUIT NO CARGADO")</f>
        <v>0</v>
      </c>
    </row>
    <row r="73" spans="2:18" x14ac:dyDescent="0.3">
      <c r="B73" s="456">
        <v>45148</v>
      </c>
      <c r="C73" s="457">
        <v>1</v>
      </c>
      <c r="D73" s="458">
        <v>3</v>
      </c>
      <c r="E73" s="506">
        <v>208</v>
      </c>
      <c r="F73" s="459">
        <v>30717322815</v>
      </c>
      <c r="G73" s="460" t="str">
        <f>IFERROR(IF(compras_mes8[[#This Row],[CUIT]]="","-",VLOOKUP(compras_mes8[[#This Row],[CUIT]],Lista_CUIT[#All],2,0)),"CUIT NO CARGADO")</f>
        <v>CERRO LINDO S. A. S.</v>
      </c>
      <c r="H73" s="461">
        <v>8839.68</v>
      </c>
      <c r="I73" s="462">
        <f>IF(compras_mes8[[#This Row],[NETO GRAVADO]]="","",compras_mes8[[#This Row],[NETO GRAVADO]]*0.21)</f>
        <v>1856.3327999999999</v>
      </c>
      <c r="J73" s="462"/>
      <c r="K73" s="462"/>
      <c r="L73" s="462"/>
      <c r="M73" s="462"/>
      <c r="N73" s="462"/>
      <c r="O73" s="462"/>
      <c r="P73" s="463">
        <f>SUM(compras_mes8[[#This Row],[NETO GRAVADO]:[Otros / No Grav.]])</f>
        <v>10696.0128</v>
      </c>
      <c r="Q73" s="464">
        <f>IFERROR(IF(compras_mes8[[#This Row],[CUIT]]="","-",VLOOKUP(compras_mes8[[#This Row],[CUIT]],Lista_CUIT[#All],3,0)),"CUIT NO CARGADO")</f>
        <v>0</v>
      </c>
      <c r="R73" s="464">
        <f>IFERROR(IF(compras_mes8[[#This Row],[CUIT]]="","-",VLOOKUP(compras_mes8[[#This Row],[CUIT]],Lista_CUIT[#All],4,0)),"CUIT NO CARGADO")</f>
        <v>0</v>
      </c>
    </row>
    <row r="74" spans="2:18" x14ac:dyDescent="0.3">
      <c r="B74" s="456">
        <v>45148</v>
      </c>
      <c r="C74" s="457">
        <v>1</v>
      </c>
      <c r="D74" s="458">
        <v>4</v>
      </c>
      <c r="E74" s="506">
        <v>43387</v>
      </c>
      <c r="F74" s="459">
        <v>30709863076</v>
      </c>
      <c r="G74" s="460" t="str">
        <f>IFERROR(IF(compras_mes8[[#This Row],[CUIT]]="","-",VLOOKUP(compras_mes8[[#This Row],[CUIT]],Lista_CUIT[#All],2,0)),"CUIT NO CARGADO")</f>
        <v>INDUSTRIAS PLASTICOS SALTA S.R.L.</v>
      </c>
      <c r="H74" s="461">
        <v>1097641</v>
      </c>
      <c r="I74" s="462">
        <f>IF(compras_mes8[[#This Row],[NETO GRAVADO]]="","",compras_mes8[[#This Row],[NETO GRAVADO]]*0.21)</f>
        <v>230504.61</v>
      </c>
      <c r="J74" s="462"/>
      <c r="K74" s="462"/>
      <c r="L74" s="462"/>
      <c r="M74" s="462"/>
      <c r="N74" s="462"/>
      <c r="O74" s="462"/>
      <c r="P74" s="463">
        <f>SUM(compras_mes8[[#This Row],[NETO GRAVADO]:[Otros / No Grav.]])</f>
        <v>1328145.6099999999</v>
      </c>
      <c r="Q74" s="464">
        <f>IFERROR(IF(compras_mes8[[#This Row],[CUIT]]="","-",VLOOKUP(compras_mes8[[#This Row],[CUIT]],Lista_CUIT[#All],3,0)),"CUIT NO CARGADO")</f>
        <v>0</v>
      </c>
      <c r="R74" s="464">
        <f>IFERROR(IF(compras_mes8[[#This Row],[CUIT]]="","-",VLOOKUP(compras_mes8[[#This Row],[CUIT]],Lista_CUIT[#All],4,0)),"CUIT NO CARGADO")</f>
        <v>0</v>
      </c>
    </row>
    <row r="75" spans="2:18" x14ac:dyDescent="0.3">
      <c r="B75" s="486">
        <v>45148</v>
      </c>
      <c r="C75" s="250">
        <v>1</v>
      </c>
      <c r="D75" s="487">
        <v>6</v>
      </c>
      <c r="E75" s="488">
        <v>14562365</v>
      </c>
      <c r="F75" s="476">
        <v>30620177497</v>
      </c>
      <c r="G75" s="489" t="str">
        <f>IFERROR(IF(compras_mes8[[#This Row],[CUIT]]="","-",VLOOKUP(compras_mes8[[#This Row],[CUIT]],Lista_CUIT[#All],2,0)),"CUIT NO CARGADO")</f>
        <v>POSNET SRL</v>
      </c>
      <c r="H75" s="490">
        <v>5322.88</v>
      </c>
      <c r="I75" s="491">
        <f>IF(compras_mes8[[#This Row],[NETO GRAVADO]]="","",compras_mes8[[#This Row],[NETO GRAVADO]]*0.21)</f>
        <v>1117.8047999999999</v>
      </c>
      <c r="J75" s="491"/>
      <c r="K75" s="491"/>
      <c r="L75" s="491"/>
      <c r="M75" s="491"/>
      <c r="N75" s="491">
        <v>479.06</v>
      </c>
      <c r="O75" s="491"/>
      <c r="P75" s="492">
        <f>SUM(compras_mes8[[#This Row],[NETO GRAVADO]:[Otros / No Grav.]])</f>
        <v>6919.7448000000004</v>
      </c>
      <c r="Q75" s="493" t="str">
        <f>IFERROR(IF(compras_mes8[[#This Row],[CUIT]]="","-",VLOOKUP(compras_mes8[[#This Row],[CUIT]],Lista_CUIT[#All],3,0)),"CUIT NO CARGADO")</f>
        <v>Servicios Gas, Luz, etc.</v>
      </c>
      <c r="R75" s="493">
        <f>IFERROR(IF(compras_mes8[[#This Row],[CUIT]]="","-",VLOOKUP(compras_mes8[[#This Row],[CUIT]],Lista_CUIT[#All],4,0)),"CUIT NO CARGADO")</f>
        <v>0</v>
      </c>
    </row>
    <row r="76" spans="2:18" x14ac:dyDescent="0.3">
      <c r="B76" s="486">
        <v>45148</v>
      </c>
      <c r="C76" s="250">
        <v>1</v>
      </c>
      <c r="D76" s="487">
        <v>6</v>
      </c>
      <c r="E76" s="488">
        <v>14591108</v>
      </c>
      <c r="F76" s="476">
        <v>30620177497</v>
      </c>
      <c r="G76" s="489" t="str">
        <f>IFERROR(IF(compras_mes8[[#This Row],[CUIT]]="","-",VLOOKUP(compras_mes8[[#This Row],[CUIT]],Lista_CUIT[#All],2,0)),"CUIT NO CARGADO")</f>
        <v>POSNET SRL</v>
      </c>
      <c r="H76" s="490">
        <v>5322.88</v>
      </c>
      <c r="I76" s="491">
        <f>IF(compras_mes8[[#This Row],[NETO GRAVADO]]="","",compras_mes8[[#This Row],[NETO GRAVADO]]*0.21)</f>
        <v>1117.8047999999999</v>
      </c>
      <c r="J76" s="491"/>
      <c r="K76" s="491"/>
      <c r="L76" s="491"/>
      <c r="M76" s="491"/>
      <c r="N76" s="491">
        <v>479.06</v>
      </c>
      <c r="O76" s="491"/>
      <c r="P76" s="492">
        <f>SUM(compras_mes8[[#This Row],[NETO GRAVADO]:[Otros / No Grav.]])</f>
        <v>6919.7448000000004</v>
      </c>
      <c r="Q76" s="493" t="str">
        <f>IFERROR(IF(compras_mes8[[#This Row],[CUIT]]="","-",VLOOKUP(compras_mes8[[#This Row],[CUIT]],Lista_CUIT[#All],3,0)),"CUIT NO CARGADO")</f>
        <v>Servicios Gas, Luz, etc.</v>
      </c>
      <c r="R76" s="493">
        <f>IFERROR(IF(compras_mes8[[#This Row],[CUIT]]="","-",VLOOKUP(compras_mes8[[#This Row],[CUIT]],Lista_CUIT[#All],4,0)),"CUIT NO CARGADO")</f>
        <v>0</v>
      </c>
    </row>
    <row r="77" spans="2:18" x14ac:dyDescent="0.3">
      <c r="B77" s="486">
        <v>45148</v>
      </c>
      <c r="C77" s="250">
        <v>1</v>
      </c>
      <c r="D77" s="487">
        <v>6</v>
      </c>
      <c r="E77" s="488">
        <v>14576393</v>
      </c>
      <c r="F77" s="476">
        <v>30620177497</v>
      </c>
      <c r="G77" s="489" t="str">
        <f>IFERROR(IF(compras_mes8[[#This Row],[CUIT]]="","-",VLOOKUP(compras_mes8[[#This Row],[CUIT]],Lista_CUIT[#All],2,0)),"CUIT NO CARGADO")</f>
        <v>POSNET SRL</v>
      </c>
      <c r="H77" s="490">
        <v>5322.88</v>
      </c>
      <c r="I77" s="491">
        <f>IF(compras_mes8[[#This Row],[NETO GRAVADO]]="","",compras_mes8[[#This Row],[NETO GRAVADO]]*0.21)</f>
        <v>1117.8047999999999</v>
      </c>
      <c r="J77" s="491"/>
      <c r="K77" s="491"/>
      <c r="L77" s="491"/>
      <c r="M77" s="491"/>
      <c r="N77" s="491">
        <v>479.06</v>
      </c>
      <c r="O77" s="491"/>
      <c r="P77" s="492">
        <f>SUM(compras_mes8[[#This Row],[NETO GRAVADO]:[Otros / No Grav.]])</f>
        <v>6919.7448000000004</v>
      </c>
      <c r="Q77" s="493" t="str">
        <f>IFERROR(IF(compras_mes8[[#This Row],[CUIT]]="","-",VLOOKUP(compras_mes8[[#This Row],[CUIT]],Lista_CUIT[#All],3,0)),"CUIT NO CARGADO")</f>
        <v>Servicios Gas, Luz, etc.</v>
      </c>
      <c r="R77" s="493">
        <f>IFERROR(IF(compras_mes8[[#This Row],[CUIT]]="","-",VLOOKUP(compras_mes8[[#This Row],[CUIT]],Lista_CUIT[#All],4,0)),"CUIT NO CARGADO")</f>
        <v>0</v>
      </c>
    </row>
    <row r="78" spans="2:18" x14ac:dyDescent="0.3">
      <c r="B78" s="456">
        <v>45148</v>
      </c>
      <c r="C78" s="457">
        <v>1</v>
      </c>
      <c r="D78" s="458">
        <v>25</v>
      </c>
      <c r="E78" s="506">
        <v>56055</v>
      </c>
      <c r="F78" s="459">
        <v>30594832783</v>
      </c>
      <c r="G78" s="460" t="str">
        <f>IFERROR(IF(compras_mes8[[#This Row],[CUIT]]="","-",VLOOKUP(compras_mes8[[#This Row],[CUIT]],Lista_CUIT[#All],2,0)),"CUIT NO CARGADO")</f>
        <v>CHICHIAN SA</v>
      </c>
      <c r="H78" s="461">
        <v>10100</v>
      </c>
      <c r="I78" s="462">
        <f>IF(compras_mes8[[#This Row],[NETO GRAVADO]]="","",compras_mes8[[#This Row],[NETO GRAVADO]]*0.21)</f>
        <v>2121</v>
      </c>
      <c r="J78" s="462"/>
      <c r="K78" s="462"/>
      <c r="L78" s="462"/>
      <c r="M78" s="462"/>
      <c r="N78" s="462"/>
      <c r="O78" s="462">
        <v>80</v>
      </c>
      <c r="P78" s="463">
        <f>SUM(compras_mes8[[#This Row],[NETO GRAVADO]:[Otros / No Grav.]])</f>
        <v>12301</v>
      </c>
      <c r="Q78" s="464" t="str">
        <f>IFERROR(IF(compras_mes8[[#This Row],[CUIT]]="","-",VLOOKUP(compras_mes8[[#This Row],[CUIT]],Lista_CUIT[#All],3,0)),"CUIT NO CARGADO")</f>
        <v>COMBUSTIBLE</v>
      </c>
      <c r="R78" s="464">
        <f>IFERROR(IF(compras_mes8[[#This Row],[CUIT]]="","-",VLOOKUP(compras_mes8[[#This Row],[CUIT]],Lista_CUIT[#All],4,0)),"CUIT NO CARGADO")</f>
        <v>0</v>
      </c>
    </row>
    <row r="79" spans="2:18" x14ac:dyDescent="0.3">
      <c r="B79" s="456">
        <v>45148</v>
      </c>
      <c r="C79" s="457">
        <v>1</v>
      </c>
      <c r="D79" s="458">
        <v>98</v>
      </c>
      <c r="E79" s="506">
        <v>76</v>
      </c>
      <c r="F79" s="459">
        <v>30522581506</v>
      </c>
      <c r="G79" s="460" t="str">
        <f>IFERROR(IF(compras_mes8[[#This Row],[CUIT]]="","-",VLOOKUP(compras_mes8[[#This Row],[CUIT]],Lista_CUIT[#All],2,0)),"CUIT NO CARGADO")</f>
        <v>TRONADOR SA COMERCIAL</v>
      </c>
      <c r="H79" s="461">
        <v>3305.79</v>
      </c>
      <c r="I79" s="462">
        <f>IF(compras_mes8[[#This Row],[NETO GRAVADO]]="","",compras_mes8[[#This Row],[NETO GRAVADO]]*0.21)</f>
        <v>694.21589999999992</v>
      </c>
      <c r="J79" s="462"/>
      <c r="K79" s="462"/>
      <c r="L79" s="462"/>
      <c r="M79" s="462"/>
      <c r="N79" s="462"/>
      <c r="O79" s="462"/>
      <c r="P79" s="463">
        <f>SUM(compras_mes8[[#This Row],[NETO GRAVADO]:[Otros / No Grav.]])</f>
        <v>4000.0059000000001</v>
      </c>
      <c r="Q79" s="464" t="str">
        <f>IFERROR(IF(compras_mes8[[#This Row],[CUIT]]="","-",VLOOKUP(compras_mes8[[#This Row],[CUIT]],Lista_CUIT[#All],3,0)),"CUIT NO CARGADO")</f>
        <v>Otros</v>
      </c>
      <c r="R79" s="464">
        <f>IFERROR(IF(compras_mes8[[#This Row],[CUIT]]="","-",VLOOKUP(compras_mes8[[#This Row],[CUIT]],Lista_CUIT[#All],4,0)),"CUIT NO CARGADO")</f>
        <v>0</v>
      </c>
    </row>
    <row r="80" spans="2:18" x14ac:dyDescent="0.3">
      <c r="B80" s="456">
        <v>45149</v>
      </c>
      <c r="C80" s="457">
        <v>1</v>
      </c>
      <c r="D80" s="458">
        <v>2</v>
      </c>
      <c r="E80" s="506">
        <v>3411</v>
      </c>
      <c r="F80" s="459">
        <v>30629863571</v>
      </c>
      <c r="G80" s="460" t="str">
        <f>IFERROR(IF(compras_mes8[[#This Row],[CUIT]]="","-",VLOOKUP(compras_mes8[[#This Row],[CUIT]],Lista_CUIT[#All],2,0)),"CUIT NO CARGADO")</f>
        <v>TECNIMAR S R L</v>
      </c>
      <c r="H80" s="461">
        <v>726333.6</v>
      </c>
      <c r="I80" s="462">
        <f>IF(compras_mes8[[#This Row],[NETO GRAVADO]]="","",compras_mes8[[#This Row],[NETO GRAVADO]]*0.21)</f>
        <v>152530.05599999998</v>
      </c>
      <c r="J80" s="462"/>
      <c r="K80" s="462"/>
      <c r="L80" s="462"/>
      <c r="M80" s="462"/>
      <c r="N80" s="462"/>
      <c r="O80" s="462"/>
      <c r="P80" s="463">
        <f>SUM(compras_mes8[[#This Row],[NETO GRAVADO]:[Otros / No Grav.]])</f>
        <v>878863.65599999996</v>
      </c>
      <c r="Q80" s="464" t="str">
        <f>IFERROR(IF(compras_mes8[[#This Row],[CUIT]]="","-",VLOOKUP(compras_mes8[[#This Row],[CUIT]],Lista_CUIT[#All],3,0)),"CUIT NO CARGADO")</f>
        <v>LABORATORIO</v>
      </c>
      <c r="R80" s="464">
        <f>IFERROR(IF(compras_mes8[[#This Row],[CUIT]]="","-",VLOOKUP(compras_mes8[[#This Row],[CUIT]],Lista_CUIT[#All],4,0)),"CUIT NO CARGADO")</f>
        <v>0</v>
      </c>
    </row>
    <row r="81" spans="2:18" x14ac:dyDescent="0.3">
      <c r="B81" s="456">
        <v>45149</v>
      </c>
      <c r="C81" s="457">
        <v>1</v>
      </c>
      <c r="D81" s="458">
        <v>8898</v>
      </c>
      <c r="E81" s="506">
        <v>12337</v>
      </c>
      <c r="F81" s="459">
        <v>30678774495</v>
      </c>
      <c r="G81" s="460" t="str">
        <f>IFERROR(IF(compras_mes8[[#This Row],[CUIT]]="","-",VLOOKUP(compras_mes8[[#This Row],[CUIT]],Lista_CUIT[#All],2,0)),"CUIT NO CARGADO")</f>
        <v>OPER. DE EST. DE SERV. SA</v>
      </c>
      <c r="H81" s="461">
        <v>5832.31</v>
      </c>
      <c r="I81" s="462">
        <f>IF(compras_mes8[[#This Row],[NETO GRAVADO]]="","",compras_mes8[[#This Row],[NETO GRAVADO]]*0.21)</f>
        <v>1224.7851000000001</v>
      </c>
      <c r="J81" s="462"/>
      <c r="K81" s="462"/>
      <c r="L81" s="462"/>
      <c r="M81" s="462"/>
      <c r="N81" s="462"/>
      <c r="O81" s="462">
        <f>46.3+235.14</f>
        <v>281.44</v>
      </c>
      <c r="P81" s="463">
        <f>SUM(compras_mes8[[#This Row],[NETO GRAVADO]:[Otros / No Grav.]])</f>
        <v>7338.5351000000001</v>
      </c>
      <c r="Q81" s="464" t="str">
        <f>IFERROR(IF(compras_mes8[[#This Row],[CUIT]]="","-",VLOOKUP(compras_mes8[[#This Row],[CUIT]],Lista_CUIT[#All],3,0)),"CUIT NO CARGADO")</f>
        <v>Combustibe</v>
      </c>
      <c r="R81" s="464">
        <f>IFERROR(IF(compras_mes8[[#This Row],[CUIT]]="","-",VLOOKUP(compras_mes8[[#This Row],[CUIT]],Lista_CUIT[#All],4,0)),"CUIT NO CARGADO")</f>
        <v>0</v>
      </c>
    </row>
    <row r="82" spans="2:18" x14ac:dyDescent="0.3">
      <c r="B82" s="486">
        <v>45149</v>
      </c>
      <c r="C82" s="250">
        <v>1</v>
      </c>
      <c r="D82" s="487">
        <v>2</v>
      </c>
      <c r="E82" s="488">
        <v>412</v>
      </c>
      <c r="F82" s="476">
        <v>30717695026</v>
      </c>
      <c r="G82" s="489" t="str">
        <f>IFERROR(IF(compras_mes8[[#This Row],[CUIT]]="","-",VLOOKUP(compras_mes8[[#This Row],[CUIT]],Lista_CUIT[#All],2,0)),"CUIT NO CARGADO")</f>
        <v>PROYECTAMAR S.R.L.</v>
      </c>
      <c r="H82" s="490">
        <v>9082.64</v>
      </c>
      <c r="I82" s="491">
        <f>IF(compras_mes8[[#This Row],[NETO GRAVADO]]="","",compras_mes8[[#This Row],[NETO GRAVADO]]*0.21)</f>
        <v>1907.3543999999997</v>
      </c>
      <c r="J82" s="491"/>
      <c r="K82" s="491"/>
      <c r="L82" s="491"/>
      <c r="M82" s="491"/>
      <c r="N82" s="491"/>
      <c r="O82" s="491"/>
      <c r="P82" s="492">
        <f>SUM(compras_mes8[[#This Row],[NETO GRAVADO]:[Otros / No Grav.]])</f>
        <v>10989.9944</v>
      </c>
      <c r="Q82" s="493">
        <f>IFERROR(IF(compras_mes8[[#This Row],[CUIT]]="","-",VLOOKUP(compras_mes8[[#This Row],[CUIT]],Lista_CUIT[#All],3,0)),"CUIT NO CARGADO")</f>
        <v>0</v>
      </c>
      <c r="R82" s="493">
        <f>IFERROR(IF(compras_mes8[[#This Row],[CUIT]]="","-",VLOOKUP(compras_mes8[[#This Row],[CUIT]],Lista_CUIT[#All],4,0)),"CUIT NO CARGADO")</f>
        <v>0</v>
      </c>
    </row>
    <row r="83" spans="2:18" x14ac:dyDescent="0.3">
      <c r="B83" s="456">
        <v>45149</v>
      </c>
      <c r="C83" s="457">
        <v>1</v>
      </c>
      <c r="D83" s="458">
        <v>9</v>
      </c>
      <c r="E83" s="506">
        <v>793</v>
      </c>
      <c r="F83" s="459">
        <v>30710446047</v>
      </c>
      <c r="G83" s="460" t="str">
        <f>IFERROR(IF(compras_mes8[[#This Row],[CUIT]]="","-",VLOOKUP(compras_mes8[[#This Row],[CUIT]],Lista_CUIT[#All],2,0)),"CUIT NO CARGADO")</f>
        <v>ENSAMBLE GRAFICO S.H.</v>
      </c>
      <c r="H83" s="461">
        <v>360000</v>
      </c>
      <c r="I83" s="462">
        <f>IF(compras_mes8[[#This Row],[NETO GRAVADO]]="","",compras_mes8[[#This Row],[NETO GRAVADO]]*0.21)</f>
        <v>75600</v>
      </c>
      <c r="J83" s="462"/>
      <c r="K83" s="462"/>
      <c r="L83" s="462"/>
      <c r="M83" s="462"/>
      <c r="N83" s="462"/>
      <c r="O83" s="462"/>
      <c r="P83" s="463">
        <f>SUM(compras_mes8[[#This Row],[NETO GRAVADO]:[Otros / No Grav.]])</f>
        <v>435600</v>
      </c>
      <c r="Q83" s="464">
        <f>IFERROR(IF(compras_mes8[[#This Row],[CUIT]]="","-",VLOOKUP(compras_mes8[[#This Row],[CUIT]],Lista_CUIT[#All],3,0)),"CUIT NO CARGADO")</f>
        <v>0</v>
      </c>
      <c r="R83" s="464">
        <f>IFERROR(IF(compras_mes8[[#This Row],[CUIT]]="","-",VLOOKUP(compras_mes8[[#This Row],[CUIT]],Lista_CUIT[#All],4,0)),"CUIT NO CARGADO")</f>
        <v>0</v>
      </c>
    </row>
    <row r="84" spans="2:18" x14ac:dyDescent="0.3">
      <c r="B84" s="486">
        <v>45149</v>
      </c>
      <c r="C84" s="250">
        <v>1</v>
      </c>
      <c r="D84" s="487">
        <v>5743</v>
      </c>
      <c r="E84" s="488">
        <v>2286</v>
      </c>
      <c r="F84" s="476">
        <v>30639453738</v>
      </c>
      <c r="G84" s="489" t="str">
        <f>IFERROR(IF(compras_mes8[[#This Row],[CUIT]]="","-",VLOOKUP(compras_mes8[[#This Row],[CUIT]],Lista_CUIT[#All],2,0)),"CUIT NO CARGADO")</f>
        <v>TELECOM ARG SA</v>
      </c>
      <c r="H84" s="490">
        <v>0.01</v>
      </c>
      <c r="I84" s="491">
        <f>IF(compras_mes8[[#This Row],[NETO GRAVADO]]="","",compras_mes8[[#This Row],[NETO GRAVADO]]*0.21)</f>
        <v>2.0999999999999999E-3</v>
      </c>
      <c r="J84" s="491"/>
      <c r="K84" s="491"/>
      <c r="L84" s="491"/>
      <c r="M84" s="491"/>
      <c r="N84" s="491"/>
      <c r="O84" s="491"/>
      <c r="P84" s="492">
        <f>SUM(compras_mes8[[#This Row],[NETO GRAVADO]:[Otros / No Grav.]])</f>
        <v>1.21E-2</v>
      </c>
      <c r="Q84" s="493" t="str">
        <f>IFERROR(IF(compras_mes8[[#This Row],[CUIT]]="","-",VLOOKUP(compras_mes8[[#This Row],[CUIT]],Lista_CUIT[#All],3,0)),"CUIT NO CARGADO")</f>
        <v>Servicios Gas, Luz, etc.</v>
      </c>
      <c r="R84" s="493">
        <f>IFERROR(IF(compras_mes8[[#This Row],[CUIT]]="","-",VLOOKUP(compras_mes8[[#This Row],[CUIT]],Lista_CUIT[#All],4,0)),"CUIT NO CARGADO")</f>
        <v>0</v>
      </c>
    </row>
    <row r="85" spans="2:18" x14ac:dyDescent="0.3">
      <c r="B85" s="456">
        <v>45149</v>
      </c>
      <c r="C85" s="457">
        <v>1</v>
      </c>
      <c r="D85" s="458">
        <v>1</v>
      </c>
      <c r="E85" s="506">
        <v>141</v>
      </c>
      <c r="F85" s="459">
        <v>30717675408</v>
      </c>
      <c r="G85" s="460" t="str">
        <f>IFERROR(IF(compras_mes8[[#This Row],[CUIT]]="","-",VLOOKUP(compras_mes8[[#This Row],[CUIT]],Lista_CUIT[#All],2,0)),"CUIT NO CARGADO")</f>
        <v>CLUB HOUSE GROUP S.A.S.</v>
      </c>
      <c r="H85" s="461">
        <v>31900.86</v>
      </c>
      <c r="I85" s="462">
        <f>IF(compras_mes8[[#This Row],[NETO GRAVADO]]="","",compras_mes8[[#This Row],[NETO GRAVADO]]*0.21)</f>
        <v>6699.1805999999997</v>
      </c>
      <c r="J85" s="462"/>
      <c r="K85" s="462"/>
      <c r="L85" s="462"/>
      <c r="M85" s="462"/>
      <c r="N85" s="462"/>
      <c r="O85" s="462"/>
      <c r="P85" s="463">
        <f>SUM(compras_mes8[[#This Row],[NETO GRAVADO]:[Otros / No Grav.]])</f>
        <v>38600.0406</v>
      </c>
      <c r="Q85" s="464">
        <f>IFERROR(IF(compras_mes8[[#This Row],[CUIT]]="","-",VLOOKUP(compras_mes8[[#This Row],[CUIT]],Lista_CUIT[#All],3,0)),"CUIT NO CARGADO")</f>
        <v>0</v>
      </c>
      <c r="R85" s="464">
        <f>IFERROR(IF(compras_mes8[[#This Row],[CUIT]]="","-",VLOOKUP(compras_mes8[[#This Row],[CUIT]],Lista_CUIT[#All],4,0)),"CUIT NO CARGADO")</f>
        <v>0</v>
      </c>
    </row>
    <row r="86" spans="2:18" x14ac:dyDescent="0.3">
      <c r="B86" s="456">
        <v>45149</v>
      </c>
      <c r="C86" s="457">
        <v>1</v>
      </c>
      <c r="D86" s="458">
        <v>1</v>
      </c>
      <c r="E86" s="506">
        <v>142</v>
      </c>
      <c r="F86" s="459">
        <v>30717675408</v>
      </c>
      <c r="G86" s="460" t="str">
        <f>IFERROR(IF(compras_mes8[[#This Row],[CUIT]]="","-",VLOOKUP(compras_mes8[[#This Row],[CUIT]],Lista_CUIT[#All],2,0)),"CUIT NO CARGADO")</f>
        <v>CLUB HOUSE GROUP S.A.S.</v>
      </c>
      <c r="H86" s="461">
        <v>37190.080000000002</v>
      </c>
      <c r="I86" s="462">
        <f>IF(compras_mes8[[#This Row],[NETO GRAVADO]]="","",compras_mes8[[#This Row],[NETO GRAVADO]]*0.21)</f>
        <v>7809.9168</v>
      </c>
      <c r="J86" s="462"/>
      <c r="K86" s="462"/>
      <c r="L86" s="462"/>
      <c r="M86" s="462"/>
      <c r="N86" s="462"/>
      <c r="O86" s="462"/>
      <c r="P86" s="463">
        <f>SUM(compras_mes8[[#This Row],[NETO GRAVADO]:[Otros / No Grav.]])</f>
        <v>44999.996800000001</v>
      </c>
      <c r="Q86" s="464">
        <f>IFERROR(IF(compras_mes8[[#This Row],[CUIT]]="","-",VLOOKUP(compras_mes8[[#This Row],[CUIT]],Lista_CUIT[#All],3,0)),"CUIT NO CARGADO")</f>
        <v>0</v>
      </c>
      <c r="R86" s="464">
        <f>IFERROR(IF(compras_mes8[[#This Row],[CUIT]]="","-",VLOOKUP(compras_mes8[[#This Row],[CUIT]],Lista_CUIT[#All],4,0)),"CUIT NO CARGADO")</f>
        <v>0</v>
      </c>
    </row>
    <row r="87" spans="2:18" x14ac:dyDescent="0.3">
      <c r="B87" s="456">
        <v>45149</v>
      </c>
      <c r="C87" s="457">
        <v>1</v>
      </c>
      <c r="D87" s="458">
        <v>39</v>
      </c>
      <c r="E87" s="506">
        <v>11018</v>
      </c>
      <c r="F87" s="459">
        <v>30637769002</v>
      </c>
      <c r="G87" s="460" t="str">
        <f>IFERROR(IF(compras_mes8[[#This Row],[CUIT]]="","-",VLOOKUP(compras_mes8[[#This Row],[CUIT]],Lista_CUIT[#All],2,0)),"CUIT NO CARGADO")</f>
        <v>ROCCA COMBUSTIBLES  S A</v>
      </c>
      <c r="H87" s="461">
        <v>606.14</v>
      </c>
      <c r="I87" s="462">
        <f>IF(compras_mes8[[#This Row],[NETO GRAVADO]]="","",compras_mes8[[#This Row],[NETO GRAVADO]]*0.21)</f>
        <v>127.28939999999999</v>
      </c>
      <c r="J87" s="462"/>
      <c r="K87" s="462"/>
      <c r="L87" s="462"/>
      <c r="M87" s="462"/>
      <c r="N87" s="462"/>
      <c r="O87" s="462">
        <v>102.94</v>
      </c>
      <c r="P87" s="463">
        <f>SUM(compras_mes8[[#This Row],[NETO GRAVADO]:[Otros / No Grav.]])</f>
        <v>836.36940000000004</v>
      </c>
      <c r="Q87" s="464">
        <f>IFERROR(IF(compras_mes8[[#This Row],[CUIT]]="","-",VLOOKUP(compras_mes8[[#This Row],[CUIT]],Lista_CUIT[#All],3,0)),"CUIT NO CARGADO")</f>
        <v>0</v>
      </c>
      <c r="R87" s="464">
        <f>IFERROR(IF(compras_mes8[[#This Row],[CUIT]]="","-",VLOOKUP(compras_mes8[[#This Row],[CUIT]],Lista_CUIT[#All],4,0)),"CUIT NO CARGADO")</f>
        <v>0</v>
      </c>
    </row>
    <row r="88" spans="2:18" x14ac:dyDescent="0.3">
      <c r="B88" s="456">
        <v>45149</v>
      </c>
      <c r="C88" s="457">
        <v>1</v>
      </c>
      <c r="D88" s="458">
        <v>70</v>
      </c>
      <c r="E88" s="506">
        <v>92</v>
      </c>
      <c r="F88" s="459">
        <v>30522581506</v>
      </c>
      <c r="G88" s="460" t="str">
        <f>IFERROR(IF(compras_mes8[[#This Row],[CUIT]]="","-",VLOOKUP(compras_mes8[[#This Row],[CUIT]],Lista_CUIT[#All],2,0)),"CUIT NO CARGADO")</f>
        <v>TRONADOR SA COMERCIAL</v>
      </c>
      <c r="H88" s="461">
        <v>13719.01</v>
      </c>
      <c r="I88" s="462">
        <f>IF(compras_mes8[[#This Row],[NETO GRAVADO]]="","",compras_mes8[[#This Row],[NETO GRAVADO]]*0.21)</f>
        <v>2880.9920999999999</v>
      </c>
      <c r="J88" s="462"/>
      <c r="K88" s="462"/>
      <c r="L88" s="462"/>
      <c r="M88" s="462"/>
      <c r="N88" s="462"/>
      <c r="O88" s="462">
        <v>823.14</v>
      </c>
      <c r="P88" s="463">
        <f>SUM(compras_mes8[[#This Row],[NETO GRAVADO]:[Otros / No Grav.]])</f>
        <v>17423.142100000001</v>
      </c>
      <c r="Q88" s="464" t="str">
        <f>IFERROR(IF(compras_mes8[[#This Row],[CUIT]]="","-",VLOOKUP(compras_mes8[[#This Row],[CUIT]],Lista_CUIT[#All],3,0)),"CUIT NO CARGADO")</f>
        <v>Otros</v>
      </c>
      <c r="R88" s="464">
        <f>IFERROR(IF(compras_mes8[[#This Row],[CUIT]]="","-",VLOOKUP(compras_mes8[[#This Row],[CUIT]],Lista_CUIT[#All],4,0)),"CUIT NO CARGADO")</f>
        <v>0</v>
      </c>
    </row>
    <row r="89" spans="2:18" x14ac:dyDescent="0.3">
      <c r="B89" s="456">
        <v>45150</v>
      </c>
      <c r="C89" s="457">
        <v>1</v>
      </c>
      <c r="D89" s="458">
        <v>7160</v>
      </c>
      <c r="E89" s="506">
        <v>39852</v>
      </c>
      <c r="F89" s="459">
        <v>30678774495</v>
      </c>
      <c r="G89" s="460" t="str">
        <f>IFERROR(IF(compras_mes8[[#This Row],[CUIT]]="","-",VLOOKUP(compras_mes8[[#This Row],[CUIT]],Lista_CUIT[#All],2,0)),"CUIT NO CARGADO")</f>
        <v>OPER. DE EST. DE SERV. SA</v>
      </c>
      <c r="H89" s="461">
        <v>5227.38</v>
      </c>
      <c r="I89" s="462">
        <f>IF(compras_mes8[[#This Row],[NETO GRAVADO]]="","",compras_mes8[[#This Row],[NETO GRAVADO]]*0.21)</f>
        <v>1097.7498000000001</v>
      </c>
      <c r="J89" s="462"/>
      <c r="K89" s="462"/>
      <c r="L89" s="462"/>
      <c r="M89" s="462"/>
      <c r="N89" s="462"/>
      <c r="O89" s="462">
        <v>676.56</v>
      </c>
      <c r="P89" s="463">
        <f>SUM(compras_mes8[[#This Row],[NETO GRAVADO]:[Otros / No Grav.]])</f>
        <v>7001.6898000000001</v>
      </c>
      <c r="Q89" s="464" t="str">
        <f>IFERROR(IF(compras_mes8[[#This Row],[CUIT]]="","-",VLOOKUP(compras_mes8[[#This Row],[CUIT]],Lista_CUIT[#All],3,0)),"CUIT NO CARGADO")</f>
        <v>Combustibe</v>
      </c>
      <c r="R89" s="464">
        <f>IFERROR(IF(compras_mes8[[#This Row],[CUIT]]="","-",VLOOKUP(compras_mes8[[#This Row],[CUIT]],Lista_CUIT[#All],4,0)),"CUIT NO CARGADO")</f>
        <v>0</v>
      </c>
    </row>
    <row r="90" spans="2:18" x14ac:dyDescent="0.3">
      <c r="B90" s="456">
        <v>45150</v>
      </c>
      <c r="C90" s="457">
        <v>1</v>
      </c>
      <c r="D90" s="458">
        <v>847</v>
      </c>
      <c r="E90" s="506">
        <v>116</v>
      </c>
      <c r="F90" s="459">
        <v>30715621866</v>
      </c>
      <c r="G90" s="460" t="str">
        <f>IFERROR(IF(compras_mes8[[#This Row],[CUIT]]="","-",VLOOKUP(compras_mes8[[#This Row],[CUIT]],Lista_CUIT[#All],2,0)),"CUIT NO CARGADO")</f>
        <v>GMRA S. A.</v>
      </c>
      <c r="H90" s="461">
        <v>289255.37</v>
      </c>
      <c r="I90" s="462">
        <f>IF(compras_mes8[[#This Row],[NETO GRAVADO]]="","",compras_mes8[[#This Row],[NETO GRAVADO]]*0.21)</f>
        <v>60743.627699999997</v>
      </c>
      <c r="J90" s="462"/>
      <c r="K90" s="462"/>
      <c r="L90" s="462"/>
      <c r="M90" s="462"/>
      <c r="N90" s="462">
        <v>3615.69</v>
      </c>
      <c r="O90" s="462"/>
      <c r="P90" s="463">
        <f>SUM(compras_mes8[[#This Row],[NETO GRAVADO]:[Otros / No Grav.]])</f>
        <v>353614.68770000001</v>
      </c>
      <c r="Q90" s="464">
        <f>IFERROR(IF(compras_mes8[[#This Row],[CUIT]]="","-",VLOOKUP(compras_mes8[[#This Row],[CUIT]],Lista_CUIT[#All],3,0)),"CUIT NO CARGADO")</f>
        <v>0</v>
      </c>
      <c r="R90" s="464">
        <f>IFERROR(IF(compras_mes8[[#This Row],[CUIT]]="","-",VLOOKUP(compras_mes8[[#This Row],[CUIT]],Lista_CUIT[#All],4,0)),"CUIT NO CARGADO")</f>
        <v>0</v>
      </c>
    </row>
    <row r="91" spans="2:18" x14ac:dyDescent="0.3">
      <c r="B91" s="456">
        <v>45150</v>
      </c>
      <c r="C91" s="457">
        <v>1</v>
      </c>
      <c r="D91" s="458">
        <v>847</v>
      </c>
      <c r="E91" s="506">
        <v>117</v>
      </c>
      <c r="F91" s="459">
        <v>30715621866</v>
      </c>
      <c r="G91" s="460" t="str">
        <f>IFERROR(IF(compras_mes8[[#This Row],[CUIT]]="","-",VLOOKUP(compras_mes8[[#This Row],[CUIT]],Lista_CUIT[#All],2,0)),"CUIT NO CARGADO")</f>
        <v>GMRA S. A.</v>
      </c>
      <c r="H91" s="461">
        <v>1652.07</v>
      </c>
      <c r="I91" s="462">
        <f>IF(compras_mes8[[#This Row],[NETO GRAVADO]]="","",compras_mes8[[#This Row],[NETO GRAVADO]]*0.21)</f>
        <v>346.93469999999996</v>
      </c>
      <c r="J91" s="462"/>
      <c r="K91" s="462"/>
      <c r="L91" s="462"/>
      <c r="M91" s="462"/>
      <c r="N91" s="462"/>
      <c r="O91" s="462"/>
      <c r="P91" s="463">
        <f>SUM(compras_mes8[[#This Row],[NETO GRAVADO]:[Otros / No Grav.]])</f>
        <v>1999.0047</v>
      </c>
      <c r="Q91" s="464">
        <f>IFERROR(IF(compras_mes8[[#This Row],[CUIT]]="","-",VLOOKUP(compras_mes8[[#This Row],[CUIT]],Lista_CUIT[#All],3,0)),"CUIT NO CARGADO")</f>
        <v>0</v>
      </c>
      <c r="R91" s="464">
        <f>IFERROR(IF(compras_mes8[[#This Row],[CUIT]]="","-",VLOOKUP(compras_mes8[[#This Row],[CUIT]],Lista_CUIT[#All],4,0)),"CUIT NO CARGADO")</f>
        <v>0</v>
      </c>
    </row>
    <row r="92" spans="2:18" x14ac:dyDescent="0.3">
      <c r="B92" s="456">
        <v>45150</v>
      </c>
      <c r="C92" s="457">
        <v>1</v>
      </c>
      <c r="D92" s="458">
        <v>2199</v>
      </c>
      <c r="E92" s="506">
        <v>23576</v>
      </c>
      <c r="F92" s="459">
        <v>30548083156</v>
      </c>
      <c r="G92" s="460" t="str">
        <f>IFERROR(IF(compras_mes8[[#This Row],[CUIT]]="","-",VLOOKUP(compras_mes8[[#This Row],[CUIT]],Lista_CUIT[#All],2,0)),"CUIT NO CARGADO")</f>
        <v>COTO CENTRO INTEGRAL DE COMERCIALIZACION SOCIEDAD ANONIMA</v>
      </c>
      <c r="H92" s="461">
        <v>17448.63</v>
      </c>
      <c r="I92" s="462">
        <v>3057.09</v>
      </c>
      <c r="J92" s="462"/>
      <c r="K92" s="462">
        <v>303.56</v>
      </c>
      <c r="L92" s="462"/>
      <c r="M92" s="462"/>
      <c r="N92" s="462"/>
      <c r="O92" s="462">
        <v>1305.44</v>
      </c>
      <c r="P92" s="463">
        <f>SUM(compras_mes8[[#This Row],[NETO GRAVADO]:[Otros / No Grav.]])</f>
        <v>22114.720000000001</v>
      </c>
      <c r="Q92" s="464" t="str">
        <f>IFERROR(IF(compras_mes8[[#This Row],[CUIT]]="","-",VLOOKUP(compras_mes8[[#This Row],[CUIT]],Lista_CUIT[#All],3,0)),"CUIT NO CARGADO")</f>
        <v>GASTOS COMERCIALES</v>
      </c>
      <c r="R92" s="464">
        <f>IFERROR(IF(compras_mes8[[#This Row],[CUIT]]="","-",VLOOKUP(compras_mes8[[#This Row],[CUIT]],Lista_CUIT[#All],4,0)),"CUIT NO CARGADO")</f>
        <v>0</v>
      </c>
    </row>
    <row r="93" spans="2:18" x14ac:dyDescent="0.3">
      <c r="B93" s="456">
        <v>45150</v>
      </c>
      <c r="C93" s="457">
        <v>1</v>
      </c>
      <c r="D93" s="458">
        <v>12</v>
      </c>
      <c r="E93" s="506">
        <v>30715</v>
      </c>
      <c r="F93" s="459">
        <v>30696131003</v>
      </c>
      <c r="G93" s="460" t="str">
        <f>IFERROR(IF(compras_mes8[[#This Row],[CUIT]]="","-",VLOOKUP(compras_mes8[[#This Row],[CUIT]],Lista_CUIT[#All],2,0)),"CUIT NO CARGADO")</f>
        <v>Petrolfe S.A.</v>
      </c>
      <c r="H93" s="461">
        <v>27176.95</v>
      </c>
      <c r="I93" s="462">
        <f>IF(compras_mes8[[#This Row],[NETO GRAVADO]]="","",compras_mes8[[#This Row],[NETO GRAVADO]]*0.21)</f>
        <v>5707.1594999999998</v>
      </c>
      <c r="J93" s="462"/>
      <c r="K93" s="462"/>
      <c r="L93" s="462"/>
      <c r="M93" s="462"/>
      <c r="N93" s="462"/>
      <c r="O93" s="462">
        <v>4347.13</v>
      </c>
      <c r="P93" s="463">
        <f>SUM(compras_mes8[[#This Row],[NETO GRAVADO]:[Otros / No Grav.]])</f>
        <v>37231.239499999996</v>
      </c>
      <c r="Q93" s="464" t="str">
        <f>IFERROR(IF(compras_mes8[[#This Row],[CUIT]]="","-",VLOOKUP(compras_mes8[[#This Row],[CUIT]],Lista_CUIT[#All],3,0)),"CUIT NO CARGADO")</f>
        <v>Combustible</v>
      </c>
      <c r="R93" s="464">
        <f>IFERROR(IF(compras_mes8[[#This Row],[CUIT]]="","-",VLOOKUP(compras_mes8[[#This Row],[CUIT]],Lista_CUIT[#All],4,0)),"CUIT NO CARGADO")</f>
        <v>0</v>
      </c>
    </row>
    <row r="94" spans="2:18" x14ac:dyDescent="0.3">
      <c r="B94" s="456">
        <v>45150</v>
      </c>
      <c r="C94" s="457">
        <v>1</v>
      </c>
      <c r="D94" s="458">
        <v>14</v>
      </c>
      <c r="E94" s="506">
        <v>6190</v>
      </c>
      <c r="F94" s="459">
        <v>30710128584</v>
      </c>
      <c r="G94" s="460" t="str">
        <f>IFERROR(IF(compras_mes8[[#This Row],[CUIT]]="","-",VLOOKUP(compras_mes8[[#This Row],[CUIT]],Lista_CUIT[#All],2,0)),"CUIT NO CARGADO")</f>
        <v>JORGE PIRRI Y CUA SRL</v>
      </c>
      <c r="H94" s="461">
        <v>4185.4799999999996</v>
      </c>
      <c r="I94" s="462">
        <f>IF(compras_mes8[[#This Row],[NETO GRAVADO]]="","",compras_mes8[[#This Row],[NETO GRAVADO]]*0.21)</f>
        <v>878.95079999999984</v>
      </c>
      <c r="J94" s="462"/>
      <c r="K94" s="462"/>
      <c r="L94" s="462"/>
      <c r="M94" s="462"/>
      <c r="N94" s="462"/>
      <c r="O94" s="462">
        <v>77.78</v>
      </c>
      <c r="P94" s="463">
        <f>SUM(compras_mes8[[#This Row],[NETO GRAVADO]:[Otros / No Grav.]])</f>
        <v>5142.2107999999989</v>
      </c>
      <c r="Q94" s="464" t="str">
        <f>IFERROR(IF(compras_mes8[[#This Row],[CUIT]]="","-",VLOOKUP(compras_mes8[[#This Row],[CUIT]],Lista_CUIT[#All],3,0)),"CUIT NO CARGADO")</f>
        <v>COMBUSTIBLE</v>
      </c>
      <c r="R94" s="464" t="str">
        <f>IFERROR(IF(compras_mes8[[#This Row],[CUIT]]="","-",VLOOKUP(compras_mes8[[#This Row],[CUIT]],Lista_CUIT[#All],4,0)),"CUIT NO CARGADO")</f>
        <v>BUENOS AIRES</v>
      </c>
    </row>
    <row r="95" spans="2:18" x14ac:dyDescent="0.3">
      <c r="B95" s="456">
        <v>45150</v>
      </c>
      <c r="C95" s="457">
        <v>1</v>
      </c>
      <c r="D95" s="458">
        <v>119</v>
      </c>
      <c r="E95" s="506">
        <v>27113</v>
      </c>
      <c r="F95" s="459">
        <v>30671637689</v>
      </c>
      <c r="G95" s="460" t="str">
        <f>IFERROR(IF(compras_mes8[[#This Row],[CUIT]]="","-",VLOOKUP(compras_mes8[[#This Row],[CUIT]],Lista_CUIT[#All],2,0)),"CUIT NO CARGADO")</f>
        <v>GRUPO NORTE SRL</v>
      </c>
      <c r="H95" s="461">
        <v>8376.2000000000007</v>
      </c>
      <c r="I95" s="462">
        <f>IF(compras_mes8[[#This Row],[NETO GRAVADO]]="","",compras_mes8[[#This Row],[NETO GRAVADO]]*0.21)</f>
        <v>1759.0020000000002</v>
      </c>
      <c r="J95" s="462"/>
      <c r="K95" s="462"/>
      <c r="L95" s="462"/>
      <c r="M95" s="462"/>
      <c r="N95" s="462"/>
      <c r="O95" s="462">
        <v>66.84</v>
      </c>
      <c r="P95" s="463">
        <f>SUM(compras_mes8[[#This Row],[NETO GRAVADO]:[Otros / No Grav.]])</f>
        <v>10202.042000000001</v>
      </c>
      <c r="Q95" s="464" t="str">
        <f>IFERROR(IF(compras_mes8[[#This Row],[CUIT]]="","-",VLOOKUP(compras_mes8[[#This Row],[CUIT]],Lista_CUIT[#All],3,0)),"CUIT NO CARGADO")</f>
        <v>COMBUSTIBLE</v>
      </c>
      <c r="R95" s="464">
        <f>IFERROR(IF(compras_mes8[[#This Row],[CUIT]]="","-",VLOOKUP(compras_mes8[[#This Row],[CUIT]],Lista_CUIT[#All],4,0)),"CUIT NO CARGADO")</f>
        <v>0</v>
      </c>
    </row>
    <row r="96" spans="2:18" x14ac:dyDescent="0.3">
      <c r="B96" s="456">
        <v>45152</v>
      </c>
      <c r="C96" s="457">
        <v>1</v>
      </c>
      <c r="D96" s="458">
        <v>6854</v>
      </c>
      <c r="E96" s="506">
        <v>10748</v>
      </c>
      <c r="F96" s="459">
        <v>30678774495</v>
      </c>
      <c r="G96" s="460" t="str">
        <f>IFERROR(IF(compras_mes8[[#This Row],[CUIT]]="","-",VLOOKUP(compras_mes8[[#This Row],[CUIT]],Lista_CUIT[#All],2,0)),"CUIT NO CARGADO")</f>
        <v>OPER. DE EST. DE SERV. SA</v>
      </c>
      <c r="H96" s="461">
        <v>1108.5999999999999</v>
      </c>
      <c r="I96" s="462">
        <f>IF(compras_mes8[[#This Row],[NETO GRAVADO]]="","",compras_mes8[[#This Row],[NETO GRAVADO]]*0.21)</f>
        <v>232.80599999999998</v>
      </c>
      <c r="J96" s="462"/>
      <c r="K96" s="462"/>
      <c r="L96" s="462"/>
      <c r="M96" s="462"/>
      <c r="N96" s="462"/>
      <c r="O96" s="462">
        <v>158.6</v>
      </c>
      <c r="P96" s="463">
        <f>SUM(compras_mes8[[#This Row],[NETO GRAVADO]:[Otros / No Grav.]])</f>
        <v>1500.0059999999999</v>
      </c>
      <c r="Q96" s="464" t="str">
        <f>IFERROR(IF(compras_mes8[[#This Row],[CUIT]]="","-",VLOOKUP(compras_mes8[[#This Row],[CUIT]],Lista_CUIT[#All],3,0)),"CUIT NO CARGADO")</f>
        <v>Combustibe</v>
      </c>
      <c r="R96" s="464">
        <f>IFERROR(IF(compras_mes8[[#This Row],[CUIT]]="","-",VLOOKUP(compras_mes8[[#This Row],[CUIT]],Lista_CUIT[#All],4,0)),"CUIT NO CARGADO")</f>
        <v>0</v>
      </c>
    </row>
    <row r="97" spans="2:18" x14ac:dyDescent="0.3">
      <c r="B97" s="486">
        <v>45152</v>
      </c>
      <c r="C97" s="250">
        <v>1</v>
      </c>
      <c r="D97" s="487">
        <v>3034</v>
      </c>
      <c r="E97" s="488">
        <v>4309697</v>
      </c>
      <c r="F97" s="476">
        <v>30708574836</v>
      </c>
      <c r="G97" s="489" t="str">
        <f>IFERROR(IF(compras_mes8[[#This Row],[CUIT]]="","-",VLOOKUP(compras_mes8[[#This Row],[CUIT]],Lista_CUIT[#All],2,0)),"CUIT NO CARGADO")</f>
        <v>CORREO OFICIAL DE LA REPUBLICA ARGENTINA SOCIEDAD ANONIMA</v>
      </c>
      <c r="H97" s="490">
        <v>1570.05</v>
      </c>
      <c r="I97" s="491">
        <f>IF(compras_mes8[[#This Row],[NETO GRAVADO]]="","",compras_mes8[[#This Row],[NETO GRAVADO]]*0.21)</f>
        <v>329.71049999999997</v>
      </c>
      <c r="J97" s="491"/>
      <c r="K97" s="491"/>
      <c r="L97" s="491"/>
      <c r="M97" s="491"/>
      <c r="N97" s="491"/>
      <c r="O97" s="491"/>
      <c r="P97" s="492">
        <f>SUM(compras_mes8[[#This Row],[NETO GRAVADO]:[Otros / No Grav.]])</f>
        <v>1899.7604999999999</v>
      </c>
      <c r="Q97" s="493" t="str">
        <f>IFERROR(IF(compras_mes8[[#This Row],[CUIT]]="","-",VLOOKUP(compras_mes8[[#This Row],[CUIT]],Lista_CUIT[#All],3,0)),"CUIT NO CARGADO")</f>
        <v>MESAJERIA</v>
      </c>
      <c r="R97" s="493">
        <f>IFERROR(IF(compras_mes8[[#This Row],[CUIT]]="","-",VLOOKUP(compras_mes8[[#This Row],[CUIT]],Lista_CUIT[#All],4,0)),"CUIT NO CARGADO")</f>
        <v>0</v>
      </c>
    </row>
    <row r="98" spans="2:18" x14ac:dyDescent="0.3">
      <c r="B98" s="456">
        <v>45153</v>
      </c>
      <c r="C98" s="457">
        <v>1</v>
      </c>
      <c r="D98" s="458">
        <v>4</v>
      </c>
      <c r="E98" s="506">
        <v>43433</v>
      </c>
      <c r="F98" s="459">
        <v>30709863076</v>
      </c>
      <c r="G98" s="460" t="str">
        <f>IFERROR(IF(compras_mes8[[#This Row],[CUIT]]="","-",VLOOKUP(compras_mes8[[#This Row],[CUIT]],Lista_CUIT[#All],2,0)),"CUIT NO CARGADO")</f>
        <v>INDUSTRIAS PLASTICOS SALTA S.R.L.</v>
      </c>
      <c r="H98" s="461">
        <v>51421.49</v>
      </c>
      <c r="I98" s="462">
        <f>IF(compras_mes8[[#This Row],[NETO GRAVADO]]="","",compras_mes8[[#This Row],[NETO GRAVADO]]*0.21)</f>
        <v>10798.5129</v>
      </c>
      <c r="J98" s="462"/>
      <c r="K98" s="462"/>
      <c r="L98" s="462"/>
      <c r="M98" s="462"/>
      <c r="N98" s="462"/>
      <c r="O98" s="462"/>
      <c r="P98" s="463">
        <f>SUM(compras_mes8[[#This Row],[NETO GRAVADO]:[Otros / No Grav.]])</f>
        <v>62220.002899999999</v>
      </c>
      <c r="Q98" s="464">
        <f>IFERROR(IF(compras_mes8[[#This Row],[CUIT]]="","-",VLOOKUP(compras_mes8[[#This Row],[CUIT]],Lista_CUIT[#All],3,0)),"CUIT NO CARGADO")</f>
        <v>0</v>
      </c>
      <c r="R98" s="464">
        <f>IFERROR(IF(compras_mes8[[#This Row],[CUIT]]="","-",VLOOKUP(compras_mes8[[#This Row],[CUIT]],Lista_CUIT[#All],4,0)),"CUIT NO CARGADO")</f>
        <v>0</v>
      </c>
    </row>
    <row r="99" spans="2:18" x14ac:dyDescent="0.3">
      <c r="B99" s="456">
        <v>45153</v>
      </c>
      <c r="C99" s="457">
        <v>1</v>
      </c>
      <c r="D99" s="458">
        <v>2188</v>
      </c>
      <c r="E99" s="506">
        <v>96838</v>
      </c>
      <c r="F99" s="459">
        <v>30548083156</v>
      </c>
      <c r="G99" s="460" t="str">
        <f>IFERROR(IF(compras_mes8[[#This Row],[CUIT]]="","-",VLOOKUP(compras_mes8[[#This Row],[CUIT]],Lista_CUIT[#All],2,0)),"CUIT NO CARGADO")</f>
        <v>COTO CENTRO INTEGRAL DE COMERCIALIZACION SOCIEDAD ANONIMA</v>
      </c>
      <c r="H99" s="461">
        <v>13311.4</v>
      </c>
      <c r="I99" s="462">
        <v>1707.77</v>
      </c>
      <c r="J99" s="462"/>
      <c r="K99" s="462">
        <v>543.80999999999995</v>
      </c>
      <c r="L99" s="462"/>
      <c r="M99" s="462"/>
      <c r="N99" s="462"/>
      <c r="O99" s="462">
        <v>965.17</v>
      </c>
      <c r="P99" s="463">
        <f>SUM(compras_mes8[[#This Row],[NETO GRAVADO]:[Otros / No Grav.]])</f>
        <v>16528.149999999998</v>
      </c>
      <c r="Q99" s="464" t="str">
        <f>IFERROR(IF(compras_mes8[[#This Row],[CUIT]]="","-",VLOOKUP(compras_mes8[[#This Row],[CUIT]],Lista_CUIT[#All],3,0)),"CUIT NO CARGADO")</f>
        <v>GASTOS COMERCIALES</v>
      </c>
      <c r="R99" s="464">
        <f>IFERROR(IF(compras_mes8[[#This Row],[CUIT]]="","-",VLOOKUP(compras_mes8[[#This Row],[CUIT]],Lista_CUIT[#All],4,0)),"CUIT NO CARGADO")</f>
        <v>0</v>
      </c>
    </row>
    <row r="100" spans="2:18" x14ac:dyDescent="0.3">
      <c r="B100" s="456">
        <v>45153</v>
      </c>
      <c r="C100" s="457">
        <v>1</v>
      </c>
      <c r="D100" s="458">
        <v>5</v>
      </c>
      <c r="E100" s="506">
        <v>48552</v>
      </c>
      <c r="F100" s="459">
        <v>30709932876</v>
      </c>
      <c r="G100" s="460" t="str">
        <f>IFERROR(IF(compras_mes8[[#This Row],[CUIT]]="","-",VLOOKUP(compras_mes8[[#This Row],[CUIT]],Lista_CUIT[#All],2,0)),"CUIT NO CARGADO")</f>
        <v>Mega Envases S.A.</v>
      </c>
      <c r="H100" s="461">
        <v>1348695</v>
      </c>
      <c r="I100" s="462">
        <f>IF(compras_mes8[[#This Row],[NETO GRAVADO]]="","",compras_mes8[[#This Row],[NETO GRAVADO]]*0.21)</f>
        <v>283225.95</v>
      </c>
      <c r="J100" s="462"/>
      <c r="K100" s="462"/>
      <c r="L100" s="462"/>
      <c r="M100" s="462"/>
      <c r="N100" s="462">
        <v>80921.7</v>
      </c>
      <c r="O100" s="462"/>
      <c r="P100" s="463">
        <f>SUM(compras_mes8[[#This Row],[NETO GRAVADO]:[Otros / No Grav.]])</f>
        <v>1712842.65</v>
      </c>
      <c r="Q100" s="464">
        <f>IFERROR(IF(compras_mes8[[#This Row],[CUIT]]="","-",VLOOKUP(compras_mes8[[#This Row],[CUIT]],Lista_CUIT[#All],3,0)),"CUIT NO CARGADO")</f>
        <v>0</v>
      </c>
      <c r="R100" s="464">
        <f>IFERROR(IF(compras_mes8[[#This Row],[CUIT]]="","-",VLOOKUP(compras_mes8[[#This Row],[CUIT]],Lista_CUIT[#All],4,0)),"CUIT NO CARGADO")</f>
        <v>0</v>
      </c>
    </row>
    <row r="101" spans="2:18" x14ac:dyDescent="0.3">
      <c r="B101" s="456">
        <v>45153</v>
      </c>
      <c r="C101" s="457">
        <v>1</v>
      </c>
      <c r="D101" s="458">
        <v>1</v>
      </c>
      <c r="E101" s="506">
        <v>64</v>
      </c>
      <c r="F101" s="459">
        <v>30717305287</v>
      </c>
      <c r="G101" s="460" t="str">
        <f>IFERROR(IF(compras_mes8[[#This Row],[CUIT]]="","-",VLOOKUP(compras_mes8[[#This Row],[CUIT]],Lista_CUIT[#All],2,0)),"CUIT NO CARGADO")</f>
        <v>K.R. S. R. L.</v>
      </c>
      <c r="H101" s="461">
        <v>1050000</v>
      </c>
      <c r="I101" s="462">
        <f>IF(compras_mes8[[#This Row],[NETO GRAVADO]]="","",compras_mes8[[#This Row],[NETO GRAVADO]]*0.21)</f>
        <v>220500</v>
      </c>
      <c r="J101" s="462"/>
      <c r="K101" s="462"/>
      <c r="L101" s="462"/>
      <c r="M101" s="462"/>
      <c r="N101" s="462"/>
      <c r="O101" s="462"/>
      <c r="P101" s="463">
        <f>SUM(compras_mes8[[#This Row],[NETO GRAVADO]:[Otros / No Grav.]])</f>
        <v>1270500</v>
      </c>
      <c r="Q101" s="464">
        <f>IFERROR(IF(compras_mes8[[#This Row],[CUIT]]="","-",VLOOKUP(compras_mes8[[#This Row],[CUIT]],Lista_CUIT[#All],3,0)),"CUIT NO CARGADO")</f>
        <v>0</v>
      </c>
      <c r="R101" s="464">
        <f>IFERROR(IF(compras_mes8[[#This Row],[CUIT]]="","-",VLOOKUP(compras_mes8[[#This Row],[CUIT]],Lista_CUIT[#All],4,0)),"CUIT NO CARGADO")</f>
        <v>0</v>
      </c>
    </row>
    <row r="102" spans="2:18" x14ac:dyDescent="0.3">
      <c r="B102" s="456">
        <v>45153</v>
      </c>
      <c r="C102" s="457">
        <v>1</v>
      </c>
      <c r="D102" s="458">
        <v>1</v>
      </c>
      <c r="E102" s="506">
        <v>156</v>
      </c>
      <c r="F102" s="459">
        <v>20077604627</v>
      </c>
      <c r="G102" s="460" t="str">
        <f>IFERROR(IF(compras_mes8[[#This Row],[CUIT]]="","-",VLOOKUP(compras_mes8[[#This Row],[CUIT]],Lista_CUIT[#All],2,0)),"CUIT NO CARGADO")</f>
        <v>OCAÑO ENRIQUE</v>
      </c>
      <c r="H102" s="461">
        <v>1029552</v>
      </c>
      <c r="I102" s="462">
        <f>IF(compras_mes8[[#This Row],[NETO GRAVADO]]="","",compras_mes8[[#This Row],[NETO GRAVADO]]*0.21)</f>
        <v>216205.91999999998</v>
      </c>
      <c r="J102" s="462"/>
      <c r="K102" s="462"/>
      <c r="L102" s="462"/>
      <c r="M102" s="462"/>
      <c r="N102" s="462"/>
      <c r="O102" s="462"/>
      <c r="P102" s="463">
        <f>SUM(compras_mes8[[#This Row],[NETO GRAVADO]:[Otros / No Grav.]])</f>
        <v>1245757.92</v>
      </c>
      <c r="Q102" s="464">
        <f>IFERROR(IF(compras_mes8[[#This Row],[CUIT]]="","-",VLOOKUP(compras_mes8[[#This Row],[CUIT]],Lista_CUIT[#All],3,0)),"CUIT NO CARGADO")</f>
        <v>0</v>
      </c>
      <c r="R102" s="464">
        <f>IFERROR(IF(compras_mes8[[#This Row],[CUIT]]="","-",VLOOKUP(compras_mes8[[#This Row],[CUIT]],Lista_CUIT[#All],4,0)),"CUIT NO CARGADO")</f>
        <v>0</v>
      </c>
    </row>
    <row r="103" spans="2:18" x14ac:dyDescent="0.3">
      <c r="B103" s="456">
        <v>45153</v>
      </c>
      <c r="C103" s="457">
        <v>1</v>
      </c>
      <c r="D103" s="458">
        <v>1</v>
      </c>
      <c r="E103" s="506">
        <v>157</v>
      </c>
      <c r="F103" s="459">
        <v>20077604627</v>
      </c>
      <c r="G103" s="460" t="str">
        <f>IFERROR(IF(compras_mes8[[#This Row],[CUIT]]="","-",VLOOKUP(compras_mes8[[#This Row],[CUIT]],Lista_CUIT[#All],2,0)),"CUIT NO CARGADO")</f>
        <v>OCAÑO ENRIQUE</v>
      </c>
      <c r="H103" s="461">
        <v>844933.95</v>
      </c>
      <c r="I103" s="462">
        <f>IF(compras_mes8[[#This Row],[NETO GRAVADO]]="","",compras_mes8[[#This Row],[NETO GRAVADO]]*0.21)</f>
        <v>177436.12949999998</v>
      </c>
      <c r="J103" s="462"/>
      <c r="K103" s="462"/>
      <c r="L103" s="462"/>
      <c r="M103" s="462"/>
      <c r="N103" s="462"/>
      <c r="O103" s="462"/>
      <c r="P103" s="463">
        <f>SUM(compras_mes8[[#This Row],[NETO GRAVADO]:[Otros / No Grav.]])</f>
        <v>1022370.0795</v>
      </c>
      <c r="Q103" s="464">
        <f>IFERROR(IF(compras_mes8[[#This Row],[CUIT]]="","-",VLOOKUP(compras_mes8[[#This Row],[CUIT]],Lista_CUIT[#All],3,0)),"CUIT NO CARGADO")</f>
        <v>0</v>
      </c>
      <c r="R103" s="464">
        <f>IFERROR(IF(compras_mes8[[#This Row],[CUIT]]="","-",VLOOKUP(compras_mes8[[#This Row],[CUIT]],Lista_CUIT[#All],4,0)),"CUIT NO CARGADO")</f>
        <v>0</v>
      </c>
    </row>
    <row r="104" spans="2:18" x14ac:dyDescent="0.3">
      <c r="B104" s="456">
        <v>45153</v>
      </c>
      <c r="C104" s="457">
        <v>1</v>
      </c>
      <c r="D104" s="458">
        <v>1677</v>
      </c>
      <c r="E104" s="506">
        <v>22346</v>
      </c>
      <c r="F104" s="459">
        <v>30589621499</v>
      </c>
      <c r="G104" s="460" t="str">
        <f>IFERROR(IF(compras_mes8[[#This Row],[CUIT]]="","-",VLOOKUP(compras_mes8[[#This Row],[CUIT]],Lista_CUIT[#All],2,0)),"CUIT NO CARGADO")</f>
        <v>MAKRO SA</v>
      </c>
      <c r="H104" s="461">
        <v>15587.62</v>
      </c>
      <c r="I104" s="462">
        <f>IF(compras_mes8[[#This Row],[NETO GRAVADO]]="","",compras_mes8[[#This Row],[NETO GRAVADO]]*0.21)</f>
        <v>3273.4002</v>
      </c>
      <c r="J104" s="462"/>
      <c r="K104" s="462"/>
      <c r="L104" s="462">
        <v>467.63</v>
      </c>
      <c r="M104" s="462"/>
      <c r="N104" s="462">
        <v>935.26</v>
      </c>
      <c r="O104" s="462"/>
      <c r="P104" s="463">
        <f>SUM(compras_mes8[[#This Row],[NETO GRAVADO]:[Otros / No Grav.]])</f>
        <v>20263.910199999998</v>
      </c>
      <c r="Q104" s="464">
        <f>IFERROR(IF(compras_mes8[[#This Row],[CUIT]]="","-",VLOOKUP(compras_mes8[[#This Row],[CUIT]],Lista_CUIT[#All],3,0)),"CUIT NO CARGADO")</f>
        <v>0</v>
      </c>
      <c r="R104" s="464">
        <f>IFERROR(IF(compras_mes8[[#This Row],[CUIT]]="","-",VLOOKUP(compras_mes8[[#This Row],[CUIT]],Lista_CUIT[#All],4,0)),"CUIT NO CARGADO")</f>
        <v>0</v>
      </c>
    </row>
    <row r="105" spans="2:18" x14ac:dyDescent="0.3">
      <c r="B105" s="486">
        <v>45153</v>
      </c>
      <c r="C105" s="250">
        <v>1</v>
      </c>
      <c r="D105" s="487">
        <v>1677</v>
      </c>
      <c r="E105" s="488">
        <v>22347</v>
      </c>
      <c r="F105" s="476">
        <v>30589621499</v>
      </c>
      <c r="G105" s="489" t="str">
        <f>IFERROR(IF(compras_mes8[[#This Row],[CUIT]]="","-",VLOOKUP(compras_mes8[[#This Row],[CUIT]],Lista_CUIT[#All],2,0)),"CUIT NO CARGADO")</f>
        <v>MAKRO SA</v>
      </c>
      <c r="H105" s="490">
        <v>25.33</v>
      </c>
      <c r="I105" s="491">
        <f>IF(compras_mes8[[#This Row],[NETO GRAVADO]]="","",compras_mes8[[#This Row],[NETO GRAVADO]]*0.21)</f>
        <v>5.3192999999999993</v>
      </c>
      <c r="J105" s="491"/>
      <c r="K105" s="491"/>
      <c r="L105" s="491"/>
      <c r="M105" s="491"/>
      <c r="N105" s="491"/>
      <c r="O105" s="491"/>
      <c r="P105" s="492">
        <f>SUM(compras_mes8[[#This Row],[NETO GRAVADO]:[Otros / No Grav.]])</f>
        <v>30.649299999999997</v>
      </c>
      <c r="Q105" s="493">
        <f>IFERROR(IF(compras_mes8[[#This Row],[CUIT]]="","-",VLOOKUP(compras_mes8[[#This Row],[CUIT]],Lista_CUIT[#All],3,0)),"CUIT NO CARGADO")</f>
        <v>0</v>
      </c>
      <c r="R105" s="493">
        <f>IFERROR(IF(compras_mes8[[#This Row],[CUIT]]="","-",VLOOKUP(compras_mes8[[#This Row],[CUIT]],Lista_CUIT[#All],4,0)),"CUIT NO CARGADO")</f>
        <v>0</v>
      </c>
    </row>
    <row r="106" spans="2:18" x14ac:dyDescent="0.3">
      <c r="B106" s="486">
        <v>45153</v>
      </c>
      <c r="C106" s="250">
        <v>1</v>
      </c>
      <c r="D106" s="487">
        <v>4</v>
      </c>
      <c r="E106" s="488">
        <v>494</v>
      </c>
      <c r="F106" s="476">
        <v>30711722129</v>
      </c>
      <c r="G106" s="489" t="str">
        <f>IFERROR(IF(compras_mes8[[#This Row],[CUIT]]="","-",VLOOKUP(compras_mes8[[#This Row],[CUIT]],Lista_CUIT[#All],2,0)),"CUIT NO CARGADO")</f>
        <v>PLAMETEC S.A.</v>
      </c>
      <c r="H106" s="490">
        <v>779008.2</v>
      </c>
      <c r="I106" s="491">
        <f>IF(compras_mes8[[#This Row],[NETO GRAVADO]]="","",compras_mes8[[#This Row],[NETO GRAVADO]]*0.21)</f>
        <v>163591.72199999998</v>
      </c>
      <c r="J106" s="491"/>
      <c r="K106" s="491"/>
      <c r="L106" s="491"/>
      <c r="M106" s="491"/>
      <c r="N106" s="491"/>
      <c r="O106" s="491"/>
      <c r="P106" s="492">
        <f>SUM(compras_mes8[[#This Row],[NETO GRAVADO]:[Otros / No Grav.]])</f>
        <v>942599.9219999999</v>
      </c>
      <c r="Q106" s="493">
        <f>IFERROR(IF(compras_mes8[[#This Row],[CUIT]]="","-",VLOOKUP(compras_mes8[[#This Row],[CUIT]],Lista_CUIT[#All],3,0)),"CUIT NO CARGADO")</f>
        <v>0</v>
      </c>
      <c r="R106" s="493">
        <f>IFERROR(IF(compras_mes8[[#This Row],[CUIT]]="","-",VLOOKUP(compras_mes8[[#This Row],[CUIT]],Lista_CUIT[#All],4,0)),"CUIT NO CARGADO")</f>
        <v>0</v>
      </c>
    </row>
    <row r="107" spans="2:18" x14ac:dyDescent="0.3">
      <c r="B107" s="456">
        <v>45153</v>
      </c>
      <c r="C107" s="457">
        <v>1</v>
      </c>
      <c r="D107" s="458">
        <v>11</v>
      </c>
      <c r="E107" s="506">
        <v>74465</v>
      </c>
      <c r="F107" s="459">
        <v>30534051049</v>
      </c>
      <c r="G107" s="460" t="str">
        <f>IFERROR(IF(compras_mes8[[#This Row],[CUIT]]="","-",VLOOKUP(compras_mes8[[#This Row],[CUIT]],Lista_CUIT[#All],2,0)),"CUIT NO CARGADO")</f>
        <v>ELECTRO UNIVERSO - PLIN METAL S A</v>
      </c>
      <c r="H107" s="461">
        <v>2408.7199999999998</v>
      </c>
      <c r="I107" s="462">
        <f>IF(compras_mes8[[#This Row],[NETO GRAVADO]]="","",compras_mes8[[#This Row],[NETO GRAVADO]]*0.21)</f>
        <v>505.83119999999997</v>
      </c>
      <c r="J107" s="462"/>
      <c r="K107" s="462"/>
      <c r="L107" s="462"/>
      <c r="M107" s="462"/>
      <c r="N107" s="462"/>
      <c r="O107" s="462"/>
      <c r="P107" s="463">
        <f>SUM(compras_mes8[[#This Row],[NETO GRAVADO]:[Otros / No Grav.]])</f>
        <v>2914.5511999999999</v>
      </c>
      <c r="Q107" s="464">
        <f>IFERROR(IF(compras_mes8[[#This Row],[CUIT]]="","-",VLOOKUP(compras_mes8[[#This Row],[CUIT]],Lista_CUIT[#All],3,0)),"CUIT NO CARGADO")</f>
        <v>0</v>
      </c>
      <c r="R107" s="464">
        <f>IFERROR(IF(compras_mes8[[#This Row],[CUIT]]="","-",VLOOKUP(compras_mes8[[#This Row],[CUIT]],Lista_CUIT[#All],4,0)),"CUIT NO CARGADO")</f>
        <v>0</v>
      </c>
    </row>
    <row r="108" spans="2:18" x14ac:dyDescent="0.3">
      <c r="B108" s="486">
        <v>45153</v>
      </c>
      <c r="C108" s="250">
        <v>1</v>
      </c>
      <c r="D108" s="487">
        <v>7</v>
      </c>
      <c r="E108" s="488">
        <v>2560</v>
      </c>
      <c r="F108" s="476">
        <v>33711089859</v>
      </c>
      <c r="G108" s="489" t="str">
        <f>IFERROR(IF(compras_mes8[[#This Row],[CUIT]]="","-",VLOOKUP(compras_mes8[[#This Row],[CUIT]],Lista_CUIT[#All],2,0)),"CUIT NO CARGADO")</f>
        <v>SOLO POR MAYOR SRL</v>
      </c>
      <c r="H108" s="490">
        <v>22727.27</v>
      </c>
      <c r="I108" s="491">
        <f>IF(compras_mes8[[#This Row],[NETO GRAVADO]]="","",compras_mes8[[#This Row],[NETO GRAVADO]]*0.21)</f>
        <v>4772.7267000000002</v>
      </c>
      <c r="J108" s="491"/>
      <c r="K108" s="491"/>
      <c r="L108" s="491"/>
      <c r="M108" s="491"/>
      <c r="N108" s="491"/>
      <c r="O108" s="491"/>
      <c r="P108" s="492">
        <f>SUM(compras_mes8[[#This Row],[NETO GRAVADO]:[Otros / No Grav.]])</f>
        <v>27499.9967</v>
      </c>
      <c r="Q108" s="493">
        <f>IFERROR(IF(compras_mes8[[#This Row],[CUIT]]="","-",VLOOKUP(compras_mes8[[#This Row],[CUIT]],Lista_CUIT[#All],3,0)),"CUIT NO CARGADO")</f>
        <v>0</v>
      </c>
      <c r="R108" s="493">
        <f>IFERROR(IF(compras_mes8[[#This Row],[CUIT]]="","-",VLOOKUP(compras_mes8[[#This Row],[CUIT]],Lista_CUIT[#All],4,0)),"CUIT NO CARGADO")</f>
        <v>0</v>
      </c>
    </row>
    <row r="109" spans="2:18" x14ac:dyDescent="0.3">
      <c r="B109" s="486">
        <v>45153</v>
      </c>
      <c r="C109" s="250">
        <v>1</v>
      </c>
      <c r="D109" s="487">
        <v>7</v>
      </c>
      <c r="E109" s="488">
        <v>2559</v>
      </c>
      <c r="F109" s="476">
        <v>33711089859</v>
      </c>
      <c r="G109" s="489" t="str">
        <f>IFERROR(IF(compras_mes8[[#This Row],[CUIT]]="","-",VLOOKUP(compras_mes8[[#This Row],[CUIT]],Lista_CUIT[#All],2,0)),"CUIT NO CARGADO")</f>
        <v>SOLO POR MAYOR SRL</v>
      </c>
      <c r="H109" s="490">
        <v>22727.27</v>
      </c>
      <c r="I109" s="491">
        <f>IF(compras_mes8[[#This Row],[NETO GRAVADO]]="","",compras_mes8[[#This Row],[NETO GRAVADO]]*0.21)</f>
        <v>4772.7267000000002</v>
      </c>
      <c r="J109" s="491"/>
      <c r="K109" s="491"/>
      <c r="L109" s="491"/>
      <c r="M109" s="491"/>
      <c r="N109" s="491"/>
      <c r="O109" s="491"/>
      <c r="P109" s="492">
        <f>SUM(compras_mes8[[#This Row],[NETO GRAVADO]:[Otros / No Grav.]])</f>
        <v>27499.9967</v>
      </c>
      <c r="Q109" s="493">
        <f>IFERROR(IF(compras_mes8[[#This Row],[CUIT]]="","-",VLOOKUP(compras_mes8[[#This Row],[CUIT]],Lista_CUIT[#All],3,0)),"CUIT NO CARGADO")</f>
        <v>0</v>
      </c>
      <c r="R109" s="493">
        <f>IFERROR(IF(compras_mes8[[#This Row],[CUIT]]="","-",VLOOKUP(compras_mes8[[#This Row],[CUIT]],Lista_CUIT[#All],4,0)),"CUIT NO CARGADO")</f>
        <v>0</v>
      </c>
    </row>
    <row r="110" spans="2:18" x14ac:dyDescent="0.3">
      <c r="B110" s="486">
        <v>45153</v>
      </c>
      <c r="C110" s="250">
        <v>1</v>
      </c>
      <c r="D110" s="487">
        <v>7</v>
      </c>
      <c r="E110" s="488">
        <v>2561</v>
      </c>
      <c r="F110" s="476">
        <v>33711089859</v>
      </c>
      <c r="G110" s="489" t="str">
        <f>IFERROR(IF(compras_mes8[[#This Row],[CUIT]]="","-",VLOOKUP(compras_mes8[[#This Row],[CUIT]],Lista_CUIT[#All],2,0)),"CUIT NO CARGADO")</f>
        <v>SOLO POR MAYOR SRL</v>
      </c>
      <c r="H110" s="490">
        <v>22727.27</v>
      </c>
      <c r="I110" s="491">
        <f>IF(compras_mes8[[#This Row],[NETO GRAVADO]]="","",compras_mes8[[#This Row],[NETO GRAVADO]]*0.21)</f>
        <v>4772.7267000000002</v>
      </c>
      <c r="J110" s="491"/>
      <c r="K110" s="491"/>
      <c r="L110" s="491"/>
      <c r="M110" s="491"/>
      <c r="N110" s="491"/>
      <c r="O110" s="491"/>
      <c r="P110" s="492">
        <f>SUM(compras_mes8[[#This Row],[NETO GRAVADO]:[Otros / No Grav.]])</f>
        <v>27499.9967</v>
      </c>
      <c r="Q110" s="493">
        <f>IFERROR(IF(compras_mes8[[#This Row],[CUIT]]="","-",VLOOKUP(compras_mes8[[#This Row],[CUIT]],Lista_CUIT[#All],3,0)),"CUIT NO CARGADO")</f>
        <v>0</v>
      </c>
      <c r="R110" s="493">
        <f>IFERROR(IF(compras_mes8[[#This Row],[CUIT]]="","-",VLOOKUP(compras_mes8[[#This Row],[CUIT]],Lista_CUIT[#All],4,0)),"CUIT NO CARGADO")</f>
        <v>0</v>
      </c>
    </row>
    <row r="111" spans="2:18" x14ac:dyDescent="0.3">
      <c r="B111" s="456">
        <v>45153</v>
      </c>
      <c r="C111" s="457">
        <v>1</v>
      </c>
      <c r="D111" s="458">
        <v>3</v>
      </c>
      <c r="E111" s="506">
        <v>6583</v>
      </c>
      <c r="F111" s="459">
        <v>30708006420</v>
      </c>
      <c r="G111" s="460" t="str">
        <f>IFERROR(IF(compras_mes8[[#This Row],[CUIT]]="","-",VLOOKUP(compras_mes8[[#This Row],[CUIT]],Lista_CUIT[#All],2,0)),"CUIT NO CARGADO")</f>
        <v>MEDILEA S.A.</v>
      </c>
      <c r="H111" s="461">
        <v>525000</v>
      </c>
      <c r="I111" s="462">
        <f>IF(compras_mes8[[#This Row],[NETO GRAVADO]]="","",compras_mes8[[#This Row],[NETO GRAVADO]]*0.21)</f>
        <v>110250</v>
      </c>
      <c r="J111" s="462"/>
      <c r="K111" s="462"/>
      <c r="L111" s="462"/>
      <c r="M111" s="462"/>
      <c r="N111" s="462"/>
      <c r="O111" s="462"/>
      <c r="P111" s="463">
        <f>SUM(compras_mes8[[#This Row],[NETO GRAVADO]:[Otros / No Grav.]])</f>
        <v>635250</v>
      </c>
      <c r="Q111" s="464">
        <f>IFERROR(IF(compras_mes8[[#This Row],[CUIT]]="","-",VLOOKUP(compras_mes8[[#This Row],[CUIT]],Lista_CUIT[#All],3,0)),"CUIT NO CARGADO")</f>
        <v>0</v>
      </c>
      <c r="R111" s="464">
        <f>IFERROR(IF(compras_mes8[[#This Row],[CUIT]]="","-",VLOOKUP(compras_mes8[[#This Row],[CUIT]],Lista_CUIT[#All],4,0)),"CUIT NO CARGADO")</f>
        <v>0</v>
      </c>
    </row>
    <row r="112" spans="2:18" x14ac:dyDescent="0.3">
      <c r="B112" s="456">
        <v>45153</v>
      </c>
      <c r="C112" s="457">
        <v>1</v>
      </c>
      <c r="D112" s="458">
        <v>23</v>
      </c>
      <c r="E112" s="506">
        <v>17059</v>
      </c>
      <c r="F112" s="459">
        <v>30515800219</v>
      </c>
      <c r="G112" s="460" t="str">
        <f>IFERROR(IF(compras_mes8[[#This Row],[CUIT]]="","-",VLOOKUP(compras_mes8[[#This Row],[CUIT]],Lista_CUIT[#All],2,0)),"CUIT NO CARGADO")</f>
        <v>INCAT SRL</v>
      </c>
      <c r="H112" s="461">
        <v>5835</v>
      </c>
      <c r="I112" s="462">
        <f>IF(compras_mes8[[#This Row],[NETO GRAVADO]]="","",compras_mes8[[#This Row],[NETO GRAVADO]]*0.21)</f>
        <v>1225.3499999999999</v>
      </c>
      <c r="J112" s="462"/>
      <c r="K112" s="462"/>
      <c r="L112" s="462"/>
      <c r="M112" s="462"/>
      <c r="N112" s="462"/>
      <c r="O112" s="462">
        <v>942.17</v>
      </c>
      <c r="P112" s="463">
        <f>SUM(compras_mes8[[#This Row],[NETO GRAVADO]:[Otros / No Grav.]])</f>
        <v>8002.52</v>
      </c>
      <c r="Q112" s="464" t="str">
        <f>IFERROR(IF(compras_mes8[[#This Row],[CUIT]]="","-",VLOOKUP(compras_mes8[[#This Row],[CUIT]],Lista_CUIT[#All],3,0)),"CUIT NO CARGADO")</f>
        <v>Combustibe</v>
      </c>
      <c r="R112" s="464" t="str">
        <f>IFERROR(IF(compras_mes8[[#This Row],[CUIT]]="","-",VLOOKUP(compras_mes8[[#This Row],[CUIT]],Lista_CUIT[#All],4,0)),"CUIT NO CARGADO")</f>
        <v>CABA</v>
      </c>
    </row>
    <row r="113" spans="2:18" x14ac:dyDescent="0.3">
      <c r="B113" s="456">
        <v>45154</v>
      </c>
      <c r="C113" s="457">
        <v>1</v>
      </c>
      <c r="D113" s="458">
        <v>4775</v>
      </c>
      <c r="E113" s="506">
        <v>1071</v>
      </c>
      <c r="F113" s="459">
        <v>30685849751</v>
      </c>
      <c r="G113" s="460" t="str">
        <f>IFERROR(IF(compras_mes8[[#This Row],[CUIT]]="","-",VLOOKUP(compras_mes8[[#This Row],[CUIT]],Lista_CUIT[#All],2,0)),"CUIT NO CARGADO")</f>
        <v>DIA ARGENTINA S A</v>
      </c>
      <c r="H113" s="461">
        <v>4074.64</v>
      </c>
      <c r="I113" s="462">
        <v>776.24</v>
      </c>
      <c r="J113" s="462"/>
      <c r="K113" s="462">
        <v>39.72</v>
      </c>
      <c r="L113" s="462"/>
      <c r="M113" s="462"/>
      <c r="N113" s="462"/>
      <c r="O113" s="462"/>
      <c r="P113" s="463">
        <f>SUM(compras_mes8[[#This Row],[NETO GRAVADO]:[Otros / No Grav.]])</f>
        <v>4890.6000000000004</v>
      </c>
      <c r="Q113" s="464">
        <f>IFERROR(IF(compras_mes8[[#This Row],[CUIT]]="","-",VLOOKUP(compras_mes8[[#This Row],[CUIT]],Lista_CUIT[#All],3,0)),"CUIT NO CARGADO")</f>
        <v>0</v>
      </c>
      <c r="R113" s="464">
        <f>IFERROR(IF(compras_mes8[[#This Row],[CUIT]]="","-",VLOOKUP(compras_mes8[[#This Row],[CUIT]],Lista_CUIT[#All],4,0)),"CUIT NO CARGADO")</f>
        <v>0</v>
      </c>
    </row>
    <row r="114" spans="2:18" x14ac:dyDescent="0.3">
      <c r="B114" s="456">
        <v>45154</v>
      </c>
      <c r="C114" s="457">
        <v>1</v>
      </c>
      <c r="D114" s="458">
        <v>6852</v>
      </c>
      <c r="E114" s="506">
        <v>18906</v>
      </c>
      <c r="F114" s="459">
        <v>30678774495</v>
      </c>
      <c r="G114" s="460" t="str">
        <f>IFERROR(IF(compras_mes8[[#This Row],[CUIT]]="","-",VLOOKUP(compras_mes8[[#This Row],[CUIT]],Lista_CUIT[#All],2,0)),"CUIT NO CARGADO")</f>
        <v>OPER. DE EST. DE SERV. SA</v>
      </c>
      <c r="H114" s="461">
        <v>4511.54</v>
      </c>
      <c r="I114" s="462">
        <f>IF(compras_mes8[[#This Row],[NETO GRAVADO]]="","",compras_mes8[[#This Row],[NETO GRAVADO]]*0.21)</f>
        <v>947.4233999999999</v>
      </c>
      <c r="J114" s="462"/>
      <c r="K114" s="462"/>
      <c r="L114" s="462"/>
      <c r="M114" s="462"/>
      <c r="N114" s="462"/>
      <c r="O114" s="462">
        <v>645.45000000000005</v>
      </c>
      <c r="P114" s="463">
        <f>SUM(compras_mes8[[#This Row],[NETO GRAVADO]:[Otros / No Grav.]])</f>
        <v>6104.4133999999995</v>
      </c>
      <c r="Q114" s="464" t="str">
        <f>IFERROR(IF(compras_mes8[[#This Row],[CUIT]]="","-",VLOOKUP(compras_mes8[[#This Row],[CUIT]],Lista_CUIT[#All],3,0)),"CUIT NO CARGADO")</f>
        <v>Combustibe</v>
      </c>
      <c r="R114" s="464">
        <f>IFERROR(IF(compras_mes8[[#This Row],[CUIT]]="","-",VLOOKUP(compras_mes8[[#This Row],[CUIT]],Lista_CUIT[#All],4,0)),"CUIT NO CARGADO")</f>
        <v>0</v>
      </c>
    </row>
    <row r="115" spans="2:18" x14ac:dyDescent="0.3">
      <c r="B115" s="486">
        <v>45154</v>
      </c>
      <c r="C115" s="250">
        <v>1</v>
      </c>
      <c r="D115" s="487">
        <v>4</v>
      </c>
      <c r="E115" s="488">
        <v>8816</v>
      </c>
      <c r="F115" s="476">
        <v>30715401467</v>
      </c>
      <c r="G115" s="489" t="str">
        <f>IFERROR(IF(compras_mes8[[#This Row],[CUIT]]="","-",VLOOKUP(compras_mes8[[#This Row],[CUIT]],Lista_CUIT[#All],2,0)),"CUIT NO CARGADO")</f>
        <v>AWARE SOLUTIONS S.R.L.</v>
      </c>
      <c r="H115" s="490">
        <v>9870.39</v>
      </c>
      <c r="I115" s="491">
        <v>220.41</v>
      </c>
      <c r="J115" s="491"/>
      <c r="K115" s="491">
        <v>926.18</v>
      </c>
      <c r="L115" s="491"/>
      <c r="M115" s="491"/>
      <c r="N115" s="491"/>
      <c r="O115" s="491"/>
      <c r="P115" s="492">
        <f>SUM(compras_mes8[[#This Row],[NETO GRAVADO]:[Otros / No Grav.]])</f>
        <v>11016.98</v>
      </c>
      <c r="Q115" s="493">
        <f>IFERROR(IF(compras_mes8[[#This Row],[CUIT]]="","-",VLOOKUP(compras_mes8[[#This Row],[CUIT]],Lista_CUIT[#All],3,0)),"CUIT NO CARGADO")</f>
        <v>0</v>
      </c>
      <c r="R115" s="493">
        <f>IFERROR(IF(compras_mes8[[#This Row],[CUIT]]="","-",VLOOKUP(compras_mes8[[#This Row],[CUIT]],Lista_CUIT[#All],4,0)),"CUIT NO CARGADO")</f>
        <v>0</v>
      </c>
    </row>
    <row r="116" spans="2:18" x14ac:dyDescent="0.3">
      <c r="B116" s="456">
        <v>45154</v>
      </c>
      <c r="C116" s="457">
        <v>1</v>
      </c>
      <c r="D116" s="458">
        <v>7</v>
      </c>
      <c r="E116" s="506">
        <v>1667</v>
      </c>
      <c r="F116" s="459">
        <v>20134664518</v>
      </c>
      <c r="G116" s="460" t="str">
        <f>IFERROR(IF(compras_mes8[[#This Row],[CUIT]]="","-",VLOOKUP(compras_mes8[[#This Row],[CUIT]],Lista_CUIT[#All],2,0)),"CUIT NO CARGADO")</f>
        <v>HOKAMA SERGIO ENRIQUE</v>
      </c>
      <c r="H116" s="461">
        <v>12359.71</v>
      </c>
      <c r="I116" s="462">
        <f>IF(compras_mes8[[#This Row],[NETO GRAVADO]]="","",compras_mes8[[#This Row],[NETO GRAVADO]]*0.21)</f>
        <v>2595.5390999999995</v>
      </c>
      <c r="J116" s="462"/>
      <c r="K116" s="462"/>
      <c r="L116" s="462"/>
      <c r="M116" s="462"/>
      <c r="N116" s="462"/>
      <c r="O116" s="462"/>
      <c r="P116" s="463">
        <f>SUM(compras_mes8[[#This Row],[NETO GRAVADO]:[Otros / No Grav.]])</f>
        <v>14955.249099999999</v>
      </c>
      <c r="Q116" s="464" t="str">
        <f>IFERROR(IF(compras_mes8[[#This Row],[CUIT]]="","-",VLOOKUP(compras_mes8[[#This Row],[CUIT]],Lista_CUIT[#All],3,0)),"CUIT NO CARGADO")</f>
        <v>Gastos Varios</v>
      </c>
      <c r="R116" s="464" t="str">
        <f>IFERROR(IF(compras_mes8[[#This Row],[CUIT]]="","-",VLOOKUP(compras_mes8[[#This Row],[CUIT]],Lista_CUIT[#All],4,0)),"CUIT NO CARGADO")</f>
        <v>BUENOS AIRES</v>
      </c>
    </row>
    <row r="117" spans="2:18" x14ac:dyDescent="0.3">
      <c r="B117" s="486">
        <v>45154</v>
      </c>
      <c r="C117" s="250">
        <v>1</v>
      </c>
      <c r="D117" s="487">
        <v>4264</v>
      </c>
      <c r="E117" s="488">
        <v>2468976</v>
      </c>
      <c r="F117" s="476">
        <v>30639453738</v>
      </c>
      <c r="G117" s="489" t="str">
        <f>IFERROR(IF(compras_mes8[[#This Row],[CUIT]]="","-",VLOOKUP(compras_mes8[[#This Row],[CUIT]],Lista_CUIT[#All],2,0)),"CUIT NO CARGADO")</f>
        <v>TELECOM ARG SA</v>
      </c>
      <c r="H117" s="490">
        <v>28000</v>
      </c>
      <c r="I117" s="491">
        <f>IF(compras_mes8[[#This Row],[NETO GRAVADO]]="","",compras_mes8[[#This Row],[NETO GRAVADO]]*0.21)</f>
        <v>5880</v>
      </c>
      <c r="J117" s="491"/>
      <c r="K117" s="491"/>
      <c r="L117" s="491"/>
      <c r="M117" s="491"/>
      <c r="N117" s="491">
        <v>2520</v>
      </c>
      <c r="O117" s="491"/>
      <c r="P117" s="492">
        <f>SUM(compras_mes8[[#This Row],[NETO GRAVADO]:[Otros / No Grav.]])</f>
        <v>36400</v>
      </c>
      <c r="Q117" s="493" t="str">
        <f>IFERROR(IF(compras_mes8[[#This Row],[CUIT]]="","-",VLOOKUP(compras_mes8[[#This Row],[CUIT]],Lista_CUIT[#All],3,0)),"CUIT NO CARGADO")</f>
        <v>Servicios Gas, Luz, etc.</v>
      </c>
      <c r="R117" s="493">
        <f>IFERROR(IF(compras_mes8[[#This Row],[CUIT]]="","-",VLOOKUP(compras_mes8[[#This Row],[CUIT]],Lista_CUIT[#All],4,0)),"CUIT NO CARGADO")</f>
        <v>0</v>
      </c>
    </row>
    <row r="118" spans="2:18" x14ac:dyDescent="0.3">
      <c r="B118" s="486">
        <v>45154</v>
      </c>
      <c r="C118" s="250">
        <v>1</v>
      </c>
      <c r="D118" s="487">
        <v>4264</v>
      </c>
      <c r="E118" s="488">
        <v>2422365</v>
      </c>
      <c r="F118" s="476">
        <v>30639453738</v>
      </c>
      <c r="G118" s="489" t="str">
        <f>IFERROR(IF(compras_mes8[[#This Row],[CUIT]]="","-",VLOOKUP(compras_mes8[[#This Row],[CUIT]],Lista_CUIT[#All],2,0)),"CUIT NO CARGADO")</f>
        <v>TELECOM ARG SA</v>
      </c>
      <c r="H118" s="490">
        <v>13300</v>
      </c>
      <c r="I118" s="491">
        <f>IF(compras_mes8[[#This Row],[NETO GRAVADO]]="","",compras_mes8[[#This Row],[NETO GRAVADO]]*0.21)</f>
        <v>2793</v>
      </c>
      <c r="J118" s="491"/>
      <c r="K118" s="491"/>
      <c r="L118" s="491"/>
      <c r="M118" s="491"/>
      <c r="N118" s="491">
        <v>399</v>
      </c>
      <c r="O118" s="491"/>
      <c r="P118" s="492">
        <f>SUM(compras_mes8[[#This Row],[NETO GRAVADO]:[Otros / No Grav.]])</f>
        <v>16492</v>
      </c>
      <c r="Q118" s="493" t="str">
        <f>IFERROR(IF(compras_mes8[[#This Row],[CUIT]]="","-",VLOOKUP(compras_mes8[[#This Row],[CUIT]],Lista_CUIT[#All],3,0)),"CUIT NO CARGADO")</f>
        <v>Servicios Gas, Luz, etc.</v>
      </c>
      <c r="R118" s="493">
        <f>IFERROR(IF(compras_mes8[[#This Row],[CUIT]]="","-",VLOOKUP(compras_mes8[[#This Row],[CUIT]],Lista_CUIT[#All],4,0)),"CUIT NO CARGADO")</f>
        <v>0</v>
      </c>
    </row>
    <row r="119" spans="2:18" x14ac:dyDescent="0.3">
      <c r="B119" s="486">
        <v>45154</v>
      </c>
      <c r="C119" s="250">
        <v>1</v>
      </c>
      <c r="D119" s="487">
        <v>4264</v>
      </c>
      <c r="E119" s="488">
        <v>2418306</v>
      </c>
      <c r="F119" s="476">
        <v>30639453738</v>
      </c>
      <c r="G119" s="489" t="str">
        <f>IFERROR(IF(compras_mes8[[#This Row],[CUIT]]="","-",VLOOKUP(compras_mes8[[#This Row],[CUIT]],Lista_CUIT[#All],2,0)),"CUIT NO CARGADO")</f>
        <v>TELECOM ARG SA</v>
      </c>
      <c r="H119" s="490">
        <v>17850</v>
      </c>
      <c r="I119" s="491">
        <f>IF(compras_mes8[[#This Row],[NETO GRAVADO]]="","",compras_mes8[[#This Row],[NETO GRAVADO]]*0.21)</f>
        <v>3748.5</v>
      </c>
      <c r="J119" s="491"/>
      <c r="K119" s="491"/>
      <c r="L119" s="491"/>
      <c r="M119" s="491"/>
      <c r="N119" s="491">
        <v>1606.5</v>
      </c>
      <c r="O119" s="491"/>
      <c r="P119" s="492">
        <f>SUM(compras_mes8[[#This Row],[NETO GRAVADO]:[Otros / No Grav.]])</f>
        <v>23205</v>
      </c>
      <c r="Q119" s="493" t="str">
        <f>IFERROR(IF(compras_mes8[[#This Row],[CUIT]]="","-",VLOOKUP(compras_mes8[[#This Row],[CUIT]],Lista_CUIT[#All],3,0)),"CUIT NO CARGADO")</f>
        <v>Servicios Gas, Luz, etc.</v>
      </c>
      <c r="R119" s="493">
        <f>IFERROR(IF(compras_mes8[[#This Row],[CUIT]]="","-",VLOOKUP(compras_mes8[[#This Row],[CUIT]],Lista_CUIT[#All],4,0)),"CUIT NO CARGADO")</f>
        <v>0</v>
      </c>
    </row>
    <row r="120" spans="2:18" x14ac:dyDescent="0.3">
      <c r="B120" s="456">
        <v>45154</v>
      </c>
      <c r="C120" s="457">
        <v>1</v>
      </c>
      <c r="D120" s="458">
        <v>1678</v>
      </c>
      <c r="E120" s="506">
        <v>18856</v>
      </c>
      <c r="F120" s="459">
        <v>30589621499</v>
      </c>
      <c r="G120" s="460" t="str">
        <f>IFERROR(IF(compras_mes8[[#This Row],[CUIT]]="","-",VLOOKUP(compras_mes8[[#This Row],[CUIT]],Lista_CUIT[#All],2,0)),"CUIT NO CARGADO")</f>
        <v>MAKRO SA</v>
      </c>
      <c r="H120" s="461">
        <v>33598.629999999997</v>
      </c>
      <c r="I120" s="462">
        <f>IF(compras_mes8[[#This Row],[NETO GRAVADO]]="","",compras_mes8[[#This Row],[NETO GRAVADO]]*0.21)</f>
        <v>7055.7122999999992</v>
      </c>
      <c r="J120" s="462"/>
      <c r="K120" s="462"/>
      <c r="L120" s="462">
        <v>1007.96</v>
      </c>
      <c r="M120" s="462"/>
      <c r="N120" s="462">
        <v>2015.92</v>
      </c>
      <c r="O120" s="462"/>
      <c r="P120" s="463">
        <f>SUM(compras_mes8[[#This Row],[NETO GRAVADO]:[Otros / No Grav.]])</f>
        <v>43678.222299999994</v>
      </c>
      <c r="Q120" s="464">
        <f>IFERROR(IF(compras_mes8[[#This Row],[CUIT]]="","-",VLOOKUP(compras_mes8[[#This Row],[CUIT]],Lista_CUIT[#All],3,0)),"CUIT NO CARGADO")</f>
        <v>0</v>
      </c>
      <c r="R120" s="464">
        <f>IFERROR(IF(compras_mes8[[#This Row],[CUIT]]="","-",VLOOKUP(compras_mes8[[#This Row],[CUIT]],Lista_CUIT[#All],4,0)),"CUIT NO CARGADO")</f>
        <v>0</v>
      </c>
    </row>
    <row r="121" spans="2:18" x14ac:dyDescent="0.3">
      <c r="B121" s="456">
        <v>45154</v>
      </c>
      <c r="C121" s="457">
        <v>1</v>
      </c>
      <c r="D121" s="458">
        <v>6</v>
      </c>
      <c r="E121" s="506">
        <v>4365</v>
      </c>
      <c r="F121" s="459">
        <v>30603886360</v>
      </c>
      <c r="G121" s="460" t="str">
        <f>IFERROR(IF(compras_mes8[[#This Row],[CUIT]]="","-",VLOOKUP(compras_mes8[[#This Row],[CUIT]],Lista_CUIT[#All],2,0)),"CUIT NO CARGADO")</f>
        <v>IMAS SOCIEDAD DE RESPONSABILIDAD LIMITADA</v>
      </c>
      <c r="H121" s="461">
        <v>16143.8</v>
      </c>
      <c r="I121" s="462">
        <f>IF(compras_mes8[[#This Row],[NETO GRAVADO]]="","",compras_mes8[[#This Row],[NETO GRAVADO]]*0.21)</f>
        <v>3390.1979999999999</v>
      </c>
      <c r="J121" s="462"/>
      <c r="K121" s="462"/>
      <c r="L121" s="462"/>
      <c r="M121" s="462"/>
      <c r="N121" s="462"/>
      <c r="O121" s="462"/>
      <c r="P121" s="463">
        <f>SUM(compras_mes8[[#This Row],[NETO GRAVADO]:[Otros / No Grav.]])</f>
        <v>19533.998</v>
      </c>
      <c r="Q121" s="464">
        <f>IFERROR(IF(compras_mes8[[#This Row],[CUIT]]="","-",VLOOKUP(compras_mes8[[#This Row],[CUIT]],Lista_CUIT[#All],3,0)),"CUIT NO CARGADO")</f>
        <v>0</v>
      </c>
      <c r="R121" s="464">
        <f>IFERROR(IF(compras_mes8[[#This Row],[CUIT]]="","-",VLOOKUP(compras_mes8[[#This Row],[CUIT]],Lista_CUIT[#All],4,0)),"CUIT NO CARGADO")</f>
        <v>0</v>
      </c>
    </row>
    <row r="122" spans="2:18" x14ac:dyDescent="0.3">
      <c r="B122" s="456">
        <v>45155</v>
      </c>
      <c r="C122" s="457">
        <v>1</v>
      </c>
      <c r="D122" s="458">
        <v>1</v>
      </c>
      <c r="E122" s="506">
        <v>28</v>
      </c>
      <c r="F122" s="459">
        <v>27315291661</v>
      </c>
      <c r="G122" s="460" t="str">
        <f>IFERROR(IF(compras_mes8[[#This Row],[CUIT]]="","-",VLOOKUP(compras_mes8[[#This Row],[CUIT]],Lista_CUIT[#All],2,0)),"CUIT NO CARGADO")</f>
        <v>YAPURA ZAHIRA DE LOS ANGELES</v>
      </c>
      <c r="H122" s="461">
        <v>53553.71</v>
      </c>
      <c r="I122" s="462">
        <f>IF(compras_mes8[[#This Row],[NETO GRAVADO]]="","",compras_mes8[[#This Row],[NETO GRAVADO]]*0.21)</f>
        <v>11246.2791</v>
      </c>
      <c r="J122" s="462"/>
      <c r="K122" s="462"/>
      <c r="L122" s="462"/>
      <c r="M122" s="462"/>
      <c r="N122" s="462"/>
      <c r="O122" s="462"/>
      <c r="P122" s="463">
        <f>SUM(compras_mes8[[#This Row],[NETO GRAVADO]:[Otros / No Grav.]])</f>
        <v>64799.989099999999</v>
      </c>
      <c r="Q122" s="464">
        <f>IFERROR(IF(compras_mes8[[#This Row],[CUIT]]="","-",VLOOKUP(compras_mes8[[#This Row],[CUIT]],Lista_CUIT[#All],3,0)),"CUIT NO CARGADO")</f>
        <v>0</v>
      </c>
      <c r="R122" s="464">
        <f>IFERROR(IF(compras_mes8[[#This Row],[CUIT]]="","-",VLOOKUP(compras_mes8[[#This Row],[CUIT]],Lista_CUIT[#All],4,0)),"CUIT NO CARGADO")</f>
        <v>0</v>
      </c>
    </row>
    <row r="123" spans="2:18" x14ac:dyDescent="0.3">
      <c r="B123" s="486">
        <v>45155</v>
      </c>
      <c r="C123" s="250">
        <v>1</v>
      </c>
      <c r="D123" s="487">
        <v>629</v>
      </c>
      <c r="E123" s="488">
        <v>4418256</v>
      </c>
      <c r="F123" s="476">
        <v>30663498513</v>
      </c>
      <c r="G123" s="489" t="str">
        <f>IFERROR(IF(compras_mes8[[#This Row],[CUIT]]="","-",VLOOKUP(compras_mes8[[#This Row],[CUIT]],Lista_CUIT[#All],2,0)),"CUIT NO CARGADO")</f>
        <v>GRUPO CONCES. DEL OESTE SA</v>
      </c>
      <c r="H123" s="490">
        <v>5495.94</v>
      </c>
      <c r="I123" s="491">
        <f>IF(compras_mes8[[#This Row],[NETO GRAVADO]]="","",compras_mes8[[#This Row],[NETO GRAVADO]]*0.21)</f>
        <v>1154.1473999999998</v>
      </c>
      <c r="J123" s="491"/>
      <c r="K123" s="491"/>
      <c r="L123" s="491"/>
      <c r="M123" s="491"/>
      <c r="N123" s="491"/>
      <c r="O123" s="491"/>
      <c r="P123" s="492">
        <f>SUM(compras_mes8[[#This Row],[NETO GRAVADO]:[Otros / No Grav.]])</f>
        <v>6650.0873999999994</v>
      </c>
      <c r="Q123" s="493">
        <f>IFERROR(IF(compras_mes8[[#This Row],[CUIT]]="","-",VLOOKUP(compras_mes8[[#This Row],[CUIT]],Lista_CUIT[#All],3,0)),"CUIT NO CARGADO")</f>
        <v>0</v>
      </c>
      <c r="R123" s="493">
        <f>IFERROR(IF(compras_mes8[[#This Row],[CUIT]]="","-",VLOOKUP(compras_mes8[[#This Row],[CUIT]],Lista_CUIT[#All],4,0)),"CUIT NO CARGADO")</f>
        <v>0</v>
      </c>
    </row>
    <row r="124" spans="2:18" x14ac:dyDescent="0.3">
      <c r="B124" s="486">
        <v>45155</v>
      </c>
      <c r="C124" s="250">
        <v>1</v>
      </c>
      <c r="D124" s="487">
        <v>6850</v>
      </c>
      <c r="E124" s="488">
        <v>16328</v>
      </c>
      <c r="F124" s="476">
        <v>30678774495</v>
      </c>
      <c r="G124" s="489" t="str">
        <f>IFERROR(IF(compras_mes8[[#This Row],[CUIT]]="","-",VLOOKUP(compras_mes8[[#This Row],[CUIT]],Lista_CUIT[#All],2,0)),"CUIT NO CARGADO")</f>
        <v>OPER. DE EST. DE SERV. SA</v>
      </c>
      <c r="H124" s="490">
        <v>1479.01</v>
      </c>
      <c r="I124" s="491">
        <f>IF(compras_mes8[[#This Row],[NETO GRAVADO]]="","",compras_mes8[[#This Row],[NETO GRAVADO]]*0.21)</f>
        <v>310.59209999999996</v>
      </c>
      <c r="J124" s="491"/>
      <c r="K124" s="491"/>
      <c r="L124" s="491"/>
      <c r="M124" s="491"/>
      <c r="N124" s="491"/>
      <c r="O124" s="491">
        <v>211.6</v>
      </c>
      <c r="P124" s="492">
        <f>SUM(compras_mes8[[#This Row],[NETO GRAVADO]:[Otros / No Grav.]])</f>
        <v>2001.2021</v>
      </c>
      <c r="Q124" s="493" t="str">
        <f>IFERROR(IF(compras_mes8[[#This Row],[CUIT]]="","-",VLOOKUP(compras_mes8[[#This Row],[CUIT]],Lista_CUIT[#All],3,0)),"CUIT NO CARGADO")</f>
        <v>Combustibe</v>
      </c>
      <c r="R124" s="493">
        <f>IFERROR(IF(compras_mes8[[#This Row],[CUIT]]="","-",VLOOKUP(compras_mes8[[#This Row],[CUIT]],Lista_CUIT[#All],4,0)),"CUIT NO CARGADO")</f>
        <v>0</v>
      </c>
    </row>
    <row r="125" spans="2:18" x14ac:dyDescent="0.3">
      <c r="B125" s="456">
        <v>45155</v>
      </c>
      <c r="C125" s="457">
        <v>1</v>
      </c>
      <c r="D125" s="458">
        <v>4</v>
      </c>
      <c r="E125" s="506">
        <v>2806</v>
      </c>
      <c r="F125" s="459">
        <v>30708669306</v>
      </c>
      <c r="G125" s="460" t="str">
        <f>IFERROR(IF(compras_mes8[[#This Row],[CUIT]]="","-",VLOOKUP(compras_mes8[[#This Row],[CUIT]],Lista_CUIT[#All],2,0)),"CUIT NO CARGADO")</f>
        <v>MAYOLAS S.R.L.</v>
      </c>
      <c r="H125" s="461">
        <v>250000</v>
      </c>
      <c r="I125" s="462">
        <f>IF(compras_mes8[[#This Row],[NETO GRAVADO]]="","",compras_mes8[[#This Row],[NETO GRAVADO]]*0.21)</f>
        <v>52500</v>
      </c>
      <c r="J125" s="462"/>
      <c r="K125" s="462"/>
      <c r="L125" s="462"/>
      <c r="M125" s="462"/>
      <c r="N125" s="462"/>
      <c r="O125" s="462"/>
      <c r="P125" s="463">
        <f>SUM(compras_mes8[[#This Row],[NETO GRAVADO]:[Otros / No Grav.]])</f>
        <v>302500</v>
      </c>
      <c r="Q125" s="464">
        <f>IFERROR(IF(compras_mes8[[#This Row],[CUIT]]="","-",VLOOKUP(compras_mes8[[#This Row],[CUIT]],Lista_CUIT[#All],3,0)),"CUIT NO CARGADO")</f>
        <v>0</v>
      </c>
      <c r="R125" s="464">
        <f>IFERROR(IF(compras_mes8[[#This Row],[CUIT]]="","-",VLOOKUP(compras_mes8[[#This Row],[CUIT]],Lista_CUIT[#All],4,0)),"CUIT NO CARGADO")</f>
        <v>0</v>
      </c>
    </row>
    <row r="126" spans="2:18" x14ac:dyDescent="0.3">
      <c r="B126" s="486">
        <v>45155</v>
      </c>
      <c r="C126" s="250">
        <v>1</v>
      </c>
      <c r="D126" s="487">
        <v>2</v>
      </c>
      <c r="E126" s="488">
        <v>469</v>
      </c>
      <c r="F126" s="476">
        <v>30717695026</v>
      </c>
      <c r="G126" s="489" t="str">
        <f>IFERROR(IF(compras_mes8[[#This Row],[CUIT]]="","-",VLOOKUP(compras_mes8[[#This Row],[CUIT]],Lista_CUIT[#All],2,0)),"CUIT NO CARGADO")</f>
        <v>PROYECTAMAR S.R.L.</v>
      </c>
      <c r="H126" s="490">
        <v>10060.5</v>
      </c>
      <c r="I126" s="491">
        <f>IF(compras_mes8[[#This Row],[NETO GRAVADO]]="","",compras_mes8[[#This Row],[NETO GRAVADO]]*0.21)</f>
        <v>2112.7049999999999</v>
      </c>
      <c r="J126" s="491"/>
      <c r="K126" s="491"/>
      <c r="L126" s="491"/>
      <c r="M126" s="491"/>
      <c r="N126" s="491"/>
      <c r="O126" s="491"/>
      <c r="P126" s="492">
        <f>SUM(compras_mes8[[#This Row],[NETO GRAVADO]:[Otros / No Grav.]])</f>
        <v>12173.205</v>
      </c>
      <c r="Q126" s="493">
        <f>IFERROR(IF(compras_mes8[[#This Row],[CUIT]]="","-",VLOOKUP(compras_mes8[[#This Row],[CUIT]],Lista_CUIT[#All],3,0)),"CUIT NO CARGADO")</f>
        <v>0</v>
      </c>
      <c r="R126" s="493">
        <f>IFERROR(IF(compras_mes8[[#This Row],[CUIT]]="","-",VLOOKUP(compras_mes8[[#This Row],[CUIT]],Lista_CUIT[#All],4,0)),"CUIT NO CARGADO")</f>
        <v>0</v>
      </c>
    </row>
    <row r="127" spans="2:18" x14ac:dyDescent="0.3">
      <c r="B127" s="456">
        <v>45155</v>
      </c>
      <c r="C127" s="457">
        <v>1</v>
      </c>
      <c r="D127" s="458">
        <v>4</v>
      </c>
      <c r="E127" s="506">
        <v>43473</v>
      </c>
      <c r="F127" s="459">
        <v>30709863076</v>
      </c>
      <c r="G127" s="460" t="str">
        <f>IFERROR(IF(compras_mes8[[#This Row],[CUIT]]="","-",VLOOKUP(compras_mes8[[#This Row],[CUIT]],Lista_CUIT[#All],2,0)),"CUIT NO CARGADO")</f>
        <v>INDUSTRIAS PLASTICOS SALTA S.R.L.</v>
      </c>
      <c r="H127" s="461">
        <v>835770</v>
      </c>
      <c r="I127" s="462">
        <f>IF(compras_mes8[[#This Row],[NETO GRAVADO]]="","",compras_mes8[[#This Row],[NETO GRAVADO]]*0.21)</f>
        <v>175511.69999999998</v>
      </c>
      <c r="J127" s="462"/>
      <c r="K127" s="462"/>
      <c r="L127" s="462"/>
      <c r="M127" s="462"/>
      <c r="N127" s="462"/>
      <c r="O127" s="462"/>
      <c r="P127" s="463">
        <f>SUM(compras_mes8[[#This Row],[NETO GRAVADO]:[Otros / No Grav.]])</f>
        <v>1011281.7</v>
      </c>
      <c r="Q127" s="464">
        <f>IFERROR(IF(compras_mes8[[#This Row],[CUIT]]="","-",VLOOKUP(compras_mes8[[#This Row],[CUIT]],Lista_CUIT[#All],3,0)),"CUIT NO CARGADO")</f>
        <v>0</v>
      </c>
      <c r="R127" s="464">
        <f>IFERROR(IF(compras_mes8[[#This Row],[CUIT]]="","-",VLOOKUP(compras_mes8[[#This Row],[CUIT]],Lista_CUIT[#All],4,0)),"CUIT NO CARGADO")</f>
        <v>0</v>
      </c>
    </row>
    <row r="128" spans="2:18" x14ac:dyDescent="0.3">
      <c r="B128" s="456">
        <v>45155</v>
      </c>
      <c r="C128" s="457">
        <v>1</v>
      </c>
      <c r="D128" s="458">
        <v>4</v>
      </c>
      <c r="E128" s="506">
        <v>65</v>
      </c>
      <c r="F128" s="459">
        <v>27288615557</v>
      </c>
      <c r="G128" s="460" t="str">
        <f>IFERROR(IF(compras_mes8[[#This Row],[CUIT]]="","-",VLOOKUP(compras_mes8[[#This Row],[CUIT]],Lista_CUIT[#All],2,0)),"CUIT NO CARGADO")</f>
        <v>KAPRIELIAN SILVINA</v>
      </c>
      <c r="H128" s="461">
        <v>111800</v>
      </c>
      <c r="I128" s="462">
        <f>IF(compras_mes8[[#This Row],[NETO GRAVADO]]="","",compras_mes8[[#This Row],[NETO GRAVADO]]*0.21)</f>
        <v>23478</v>
      </c>
      <c r="J128" s="462"/>
      <c r="K128" s="462"/>
      <c r="L128" s="462"/>
      <c r="M128" s="462"/>
      <c r="N128" s="462"/>
      <c r="O128" s="462"/>
      <c r="P128" s="463">
        <f>SUM(compras_mes8[[#This Row],[NETO GRAVADO]:[Otros / No Grav.]])</f>
        <v>135278</v>
      </c>
      <c r="Q128" s="464">
        <f>IFERROR(IF(compras_mes8[[#This Row],[CUIT]]="","-",VLOOKUP(compras_mes8[[#This Row],[CUIT]],Lista_CUIT[#All],3,0)),"CUIT NO CARGADO")</f>
        <v>0</v>
      </c>
      <c r="R128" s="464">
        <f>IFERROR(IF(compras_mes8[[#This Row],[CUIT]]="","-",VLOOKUP(compras_mes8[[#This Row],[CUIT]],Lista_CUIT[#All],4,0)),"CUIT NO CARGADO")</f>
        <v>0</v>
      </c>
    </row>
    <row r="129" spans="2:18" x14ac:dyDescent="0.3">
      <c r="B129" s="456">
        <v>45155</v>
      </c>
      <c r="C129" s="457">
        <v>1</v>
      </c>
      <c r="D129" s="458">
        <v>9</v>
      </c>
      <c r="E129" s="506">
        <v>794</v>
      </c>
      <c r="F129" s="459">
        <v>30710446047</v>
      </c>
      <c r="G129" s="460" t="str">
        <f>IFERROR(IF(compras_mes8[[#This Row],[CUIT]]="","-",VLOOKUP(compras_mes8[[#This Row],[CUIT]],Lista_CUIT[#All],2,0)),"CUIT NO CARGADO")</f>
        <v>ENSAMBLE GRAFICO S.H.</v>
      </c>
      <c r="H129" s="461">
        <v>18750</v>
      </c>
      <c r="I129" s="462">
        <f>IF(compras_mes8[[#This Row],[NETO GRAVADO]]="","",compras_mes8[[#This Row],[NETO GRAVADO]]*0.21)</f>
        <v>3937.5</v>
      </c>
      <c r="J129" s="462"/>
      <c r="K129" s="462"/>
      <c r="L129" s="462"/>
      <c r="M129" s="462"/>
      <c r="N129" s="462"/>
      <c r="O129" s="462"/>
      <c r="P129" s="463">
        <f>SUM(compras_mes8[[#This Row],[NETO GRAVADO]:[Otros / No Grav.]])</f>
        <v>22687.5</v>
      </c>
      <c r="Q129" s="464">
        <f>IFERROR(IF(compras_mes8[[#This Row],[CUIT]]="","-",VLOOKUP(compras_mes8[[#This Row],[CUIT]],Lista_CUIT[#All],3,0)),"CUIT NO CARGADO")</f>
        <v>0</v>
      </c>
      <c r="R129" s="464">
        <f>IFERROR(IF(compras_mes8[[#This Row],[CUIT]]="","-",VLOOKUP(compras_mes8[[#This Row],[CUIT]],Lista_CUIT[#All],4,0)),"CUIT NO CARGADO")</f>
        <v>0</v>
      </c>
    </row>
    <row r="130" spans="2:18" x14ac:dyDescent="0.3">
      <c r="B130" s="456">
        <v>45155</v>
      </c>
      <c r="C130" s="457">
        <v>1</v>
      </c>
      <c r="D130" s="458">
        <v>11</v>
      </c>
      <c r="E130" s="506">
        <v>74509</v>
      </c>
      <c r="F130" s="459">
        <v>30534051049</v>
      </c>
      <c r="G130" s="460" t="str">
        <f>IFERROR(IF(compras_mes8[[#This Row],[CUIT]]="","-",VLOOKUP(compras_mes8[[#This Row],[CUIT]],Lista_CUIT[#All],2,0)),"CUIT NO CARGADO")</f>
        <v>ELECTRO UNIVERSO - PLIN METAL S A</v>
      </c>
      <c r="H130" s="461">
        <v>14593.55</v>
      </c>
      <c r="I130" s="462">
        <f>IF(compras_mes8[[#This Row],[NETO GRAVADO]]="","",compras_mes8[[#This Row],[NETO GRAVADO]]*0.21)</f>
        <v>3064.6454999999996</v>
      </c>
      <c r="J130" s="462"/>
      <c r="K130" s="462"/>
      <c r="L130" s="462"/>
      <c r="M130" s="462"/>
      <c r="N130" s="462"/>
      <c r="O130" s="462"/>
      <c r="P130" s="463">
        <f>SUM(compras_mes8[[#This Row],[NETO GRAVADO]:[Otros / No Grav.]])</f>
        <v>17658.195499999998</v>
      </c>
      <c r="Q130" s="464">
        <f>IFERROR(IF(compras_mes8[[#This Row],[CUIT]]="","-",VLOOKUP(compras_mes8[[#This Row],[CUIT]],Lista_CUIT[#All],3,0)),"CUIT NO CARGADO")</f>
        <v>0</v>
      </c>
      <c r="R130" s="464">
        <f>IFERROR(IF(compras_mes8[[#This Row],[CUIT]]="","-",VLOOKUP(compras_mes8[[#This Row],[CUIT]],Lista_CUIT[#All],4,0)),"CUIT NO CARGADO")</f>
        <v>0</v>
      </c>
    </row>
    <row r="131" spans="2:18" x14ac:dyDescent="0.3">
      <c r="B131" s="486">
        <v>45155</v>
      </c>
      <c r="C131" s="250">
        <v>1</v>
      </c>
      <c r="D131" s="487">
        <v>711</v>
      </c>
      <c r="E131" s="488">
        <v>4659664</v>
      </c>
      <c r="F131" s="476">
        <v>30677237119</v>
      </c>
      <c r="G131" s="489" t="str">
        <f>IFERROR(IF(compras_mes8[[#This Row],[CUIT]]="","-",VLOOKUP(compras_mes8[[#This Row],[CUIT]],Lista_CUIT[#All],2,0)),"CUIT NO CARGADO")</f>
        <v>AUTOPISTAS DEL SOL S A</v>
      </c>
      <c r="H131" s="490">
        <v>2314.09</v>
      </c>
      <c r="I131" s="491">
        <f>IF(compras_mes8[[#This Row],[NETO GRAVADO]]="","",compras_mes8[[#This Row],[NETO GRAVADO]]*0.21)</f>
        <v>485.95890000000003</v>
      </c>
      <c r="J131" s="491"/>
      <c r="K131" s="491"/>
      <c r="L131" s="491"/>
      <c r="M131" s="491"/>
      <c r="N131" s="491"/>
      <c r="O131" s="491">
        <v>69.42</v>
      </c>
      <c r="P131" s="492">
        <f>SUM(compras_mes8[[#This Row],[NETO GRAVADO]:[Otros / No Grav.]])</f>
        <v>2869.4689000000003</v>
      </c>
      <c r="Q131" s="493">
        <f>IFERROR(IF(compras_mes8[[#This Row],[CUIT]]="","-",VLOOKUP(compras_mes8[[#This Row],[CUIT]],Lista_CUIT[#All],3,0)),"CUIT NO CARGADO")</f>
        <v>0</v>
      </c>
      <c r="R131" s="493">
        <f>IFERROR(IF(compras_mes8[[#This Row],[CUIT]]="","-",VLOOKUP(compras_mes8[[#This Row],[CUIT]],Lista_CUIT[#All],4,0)),"CUIT NO CARGADO")</f>
        <v>0</v>
      </c>
    </row>
    <row r="132" spans="2:18" x14ac:dyDescent="0.3">
      <c r="B132" s="456">
        <v>45156</v>
      </c>
      <c r="C132" s="457">
        <v>1</v>
      </c>
      <c r="D132" s="458">
        <v>2</v>
      </c>
      <c r="E132" s="506">
        <v>3416</v>
      </c>
      <c r="F132" s="459">
        <v>30629863571</v>
      </c>
      <c r="G132" s="460" t="str">
        <f>IFERROR(IF(compras_mes8[[#This Row],[CUIT]]="","-",VLOOKUP(compras_mes8[[#This Row],[CUIT]],Lista_CUIT[#All],2,0)),"CUIT NO CARGADO")</f>
        <v>TECNIMAR S R L</v>
      </c>
      <c r="H132" s="461">
        <v>1215269.1499999999</v>
      </c>
      <c r="I132" s="462">
        <f>IF(compras_mes8[[#This Row],[NETO GRAVADO]]="","",compras_mes8[[#This Row],[NETO GRAVADO]]*0.21)</f>
        <v>255206.52149999997</v>
      </c>
      <c r="J132" s="462"/>
      <c r="K132" s="462"/>
      <c r="L132" s="462"/>
      <c r="M132" s="462"/>
      <c r="N132" s="462"/>
      <c r="O132" s="462"/>
      <c r="P132" s="463">
        <f>SUM(compras_mes8[[#This Row],[NETO GRAVADO]:[Otros / No Grav.]])</f>
        <v>1470475.6714999999</v>
      </c>
      <c r="Q132" s="464" t="str">
        <f>IFERROR(IF(compras_mes8[[#This Row],[CUIT]]="","-",VLOOKUP(compras_mes8[[#This Row],[CUIT]],Lista_CUIT[#All],3,0)),"CUIT NO CARGADO")</f>
        <v>LABORATORIO</v>
      </c>
      <c r="R132" s="464">
        <f>IFERROR(IF(compras_mes8[[#This Row],[CUIT]]="","-",VLOOKUP(compras_mes8[[#This Row],[CUIT]],Lista_CUIT[#All],4,0)),"CUIT NO CARGADO")</f>
        <v>0</v>
      </c>
    </row>
    <row r="133" spans="2:18" x14ac:dyDescent="0.3">
      <c r="B133" s="456">
        <v>45156</v>
      </c>
      <c r="C133" s="457">
        <v>1</v>
      </c>
      <c r="D133" s="458">
        <v>3</v>
      </c>
      <c r="E133" s="506">
        <v>2493</v>
      </c>
      <c r="F133" s="459">
        <v>30621927252</v>
      </c>
      <c r="G133" s="460" t="str">
        <f>IFERROR(IF(compras_mes8[[#This Row],[CUIT]]="","-",VLOOKUP(compras_mes8[[#This Row],[CUIT]],Lista_CUIT[#All],2,0)),"CUIT NO CARGADO")</f>
        <v>PERALBA SOCIEDAD ANONIMA</v>
      </c>
      <c r="H133" s="461">
        <v>632527.07999999996</v>
      </c>
      <c r="I133" s="462">
        <f>IF(compras_mes8[[#This Row],[NETO GRAVADO]]="","",compras_mes8[[#This Row],[NETO GRAVADO]]*0.21)</f>
        <v>132830.6868</v>
      </c>
      <c r="J133" s="462"/>
      <c r="K133" s="462"/>
      <c r="L133" s="462"/>
      <c r="M133" s="462"/>
      <c r="N133" s="462"/>
      <c r="O133" s="462"/>
      <c r="P133" s="463">
        <f>SUM(compras_mes8[[#This Row],[NETO GRAVADO]:[Otros / No Grav.]])</f>
        <v>765357.76679999998</v>
      </c>
      <c r="Q133" s="464">
        <f>IFERROR(IF(compras_mes8[[#This Row],[CUIT]]="","-",VLOOKUP(compras_mes8[[#This Row],[CUIT]],Lista_CUIT[#All],3,0)),"CUIT NO CARGADO")</f>
        <v>0</v>
      </c>
      <c r="R133" s="464">
        <f>IFERROR(IF(compras_mes8[[#This Row],[CUIT]]="","-",VLOOKUP(compras_mes8[[#This Row],[CUIT]],Lista_CUIT[#All],4,0)),"CUIT NO CARGADO")</f>
        <v>0</v>
      </c>
    </row>
    <row r="134" spans="2:18" x14ac:dyDescent="0.3">
      <c r="B134" s="456">
        <v>45156</v>
      </c>
      <c r="C134" s="457">
        <v>1</v>
      </c>
      <c r="D134" s="458">
        <v>203</v>
      </c>
      <c r="E134" s="506">
        <v>3974</v>
      </c>
      <c r="F134" s="459">
        <v>30678539712</v>
      </c>
      <c r="G134" s="460" t="str">
        <f>IFERROR(IF(compras_mes8[[#This Row],[CUIT]]="","-",VLOOKUP(compras_mes8[[#This Row],[CUIT]],Lista_CUIT[#All],2,0)),"CUIT NO CARGADO")</f>
        <v>CATEDRAL ALTA PATAGONIA SA</v>
      </c>
      <c r="H134" s="461">
        <v>421839.09</v>
      </c>
      <c r="I134" s="462">
        <v>1735.55</v>
      </c>
      <c r="J134" s="462"/>
      <c r="K134" s="462">
        <v>43425.36</v>
      </c>
      <c r="L134" s="462"/>
      <c r="M134" s="462"/>
      <c r="N134" s="462"/>
      <c r="O134" s="462"/>
      <c r="P134" s="463">
        <f>SUM(compras_mes8[[#This Row],[NETO GRAVADO]:[Otros / No Grav.]])</f>
        <v>467000</v>
      </c>
      <c r="Q134" s="464">
        <f>IFERROR(IF(compras_mes8[[#This Row],[CUIT]]="","-",VLOOKUP(compras_mes8[[#This Row],[CUIT]],Lista_CUIT[#All],3,0)),"CUIT NO CARGADO")</f>
        <v>0</v>
      </c>
      <c r="R134" s="464">
        <f>IFERROR(IF(compras_mes8[[#This Row],[CUIT]]="","-",VLOOKUP(compras_mes8[[#This Row],[CUIT]],Lista_CUIT[#All],4,0)),"CUIT NO CARGADO")</f>
        <v>0</v>
      </c>
    </row>
    <row r="135" spans="2:18" x14ac:dyDescent="0.3">
      <c r="B135" s="486">
        <v>45156</v>
      </c>
      <c r="C135" s="250">
        <v>1</v>
      </c>
      <c r="D135" s="487">
        <v>5014</v>
      </c>
      <c r="E135" s="488">
        <v>472432</v>
      </c>
      <c r="F135" s="476">
        <v>30574876474</v>
      </c>
      <c r="G135" s="489" t="str">
        <f>IFERROR(IF(compras_mes8[[#This Row],[CUIT]]="","-",VLOOKUP(compras_mes8[[#This Row],[CUIT]],Lista_CUIT[#All],2,0)),"CUIT NO CARGADO")</f>
        <v>AUTOPISTAS URBANAS S A</v>
      </c>
      <c r="H135" s="490">
        <v>28378.3</v>
      </c>
      <c r="I135" s="491">
        <f>IF(compras_mes8[[#This Row],[NETO GRAVADO]]="","",compras_mes8[[#This Row],[NETO GRAVADO]]*0.21)</f>
        <v>5959.4429999999993</v>
      </c>
      <c r="J135" s="491"/>
      <c r="K135" s="491"/>
      <c r="L135" s="491"/>
      <c r="M135" s="491"/>
      <c r="N135" s="491"/>
      <c r="O135" s="491">
        <f>851.32+2837.78</f>
        <v>3689.1000000000004</v>
      </c>
      <c r="P135" s="492">
        <f>SUM(compras_mes8[[#This Row],[NETO GRAVADO]:[Otros / No Grav.]])</f>
        <v>38026.843000000001</v>
      </c>
      <c r="Q135" s="493">
        <f>IFERROR(IF(compras_mes8[[#This Row],[CUIT]]="","-",VLOOKUP(compras_mes8[[#This Row],[CUIT]],Lista_CUIT[#All],3,0)),"CUIT NO CARGADO")</f>
        <v>0</v>
      </c>
      <c r="R135" s="493">
        <f>IFERROR(IF(compras_mes8[[#This Row],[CUIT]]="","-",VLOOKUP(compras_mes8[[#This Row],[CUIT]],Lista_CUIT[#All],4,0)),"CUIT NO CARGADO")</f>
        <v>0</v>
      </c>
    </row>
    <row r="136" spans="2:18" x14ac:dyDescent="0.3">
      <c r="B136" s="486">
        <v>45156</v>
      </c>
      <c r="C136" s="250">
        <v>1</v>
      </c>
      <c r="D136" s="487">
        <v>4</v>
      </c>
      <c r="E136" s="488">
        <v>2372</v>
      </c>
      <c r="F136" s="476">
        <v>27226413095</v>
      </c>
      <c r="G136" s="489" t="str">
        <f>IFERROR(IF(compras_mes8[[#This Row],[CUIT]]="","-",VLOOKUP(compras_mes8[[#This Row],[CUIT]],Lista_CUIT[#All],2,0)),"CUIT NO CARGADO")</f>
        <v>SANTILLAN LILIANA ITATI</v>
      </c>
      <c r="H136" s="490">
        <v>3793.97</v>
      </c>
      <c r="I136" s="491">
        <f>IF(compras_mes8[[#This Row],[NETO GRAVADO]]="","",compras_mes8[[#This Row],[NETO GRAVADO]]*0.21)</f>
        <v>796.73369999999989</v>
      </c>
      <c r="J136" s="491"/>
      <c r="K136" s="491"/>
      <c r="L136" s="491"/>
      <c r="M136" s="491"/>
      <c r="N136" s="491"/>
      <c r="O136" s="491"/>
      <c r="P136" s="492">
        <f>SUM(compras_mes8[[#This Row],[NETO GRAVADO]:[Otros / No Grav.]])</f>
        <v>4590.7037</v>
      </c>
      <c r="Q136" s="493">
        <f>IFERROR(IF(compras_mes8[[#This Row],[CUIT]]="","-",VLOOKUP(compras_mes8[[#This Row],[CUIT]],Lista_CUIT[#All],3,0)),"CUIT NO CARGADO")</f>
        <v>0</v>
      </c>
      <c r="R136" s="493">
        <f>IFERROR(IF(compras_mes8[[#This Row],[CUIT]]="","-",VLOOKUP(compras_mes8[[#This Row],[CUIT]],Lista_CUIT[#All],4,0)),"CUIT NO CARGADO")</f>
        <v>0</v>
      </c>
    </row>
    <row r="137" spans="2:18" x14ac:dyDescent="0.3">
      <c r="B137" s="456">
        <v>45156</v>
      </c>
      <c r="C137" s="457">
        <v>1</v>
      </c>
      <c r="D137" s="458">
        <v>3</v>
      </c>
      <c r="E137" s="506">
        <v>1901</v>
      </c>
      <c r="F137" s="459">
        <v>30715399896</v>
      </c>
      <c r="G137" s="460" t="str">
        <f>IFERROR(IF(compras_mes8[[#This Row],[CUIT]]="","-",VLOOKUP(compras_mes8[[#This Row],[CUIT]],Lista_CUIT[#All],2,0)),"CUIT NO CARGADO")</f>
        <v>CREANDO IMAGEN S.A.</v>
      </c>
      <c r="H137" s="461">
        <v>295830</v>
      </c>
      <c r="I137" s="462">
        <f>IF(compras_mes8[[#This Row],[NETO GRAVADO]]="","",compras_mes8[[#This Row],[NETO GRAVADO]]*0.21)</f>
        <v>62124.299999999996</v>
      </c>
      <c r="J137" s="462"/>
      <c r="K137" s="462"/>
      <c r="L137" s="462"/>
      <c r="M137" s="462"/>
      <c r="N137" s="462"/>
      <c r="O137" s="462"/>
      <c r="P137" s="463">
        <f>SUM(compras_mes8[[#This Row],[NETO GRAVADO]:[Otros / No Grav.]])</f>
        <v>357954.3</v>
      </c>
      <c r="Q137" s="464">
        <f>IFERROR(IF(compras_mes8[[#This Row],[CUIT]]="","-",VLOOKUP(compras_mes8[[#This Row],[CUIT]],Lista_CUIT[#All],3,0)),"CUIT NO CARGADO")</f>
        <v>0</v>
      </c>
      <c r="R137" s="464">
        <f>IFERROR(IF(compras_mes8[[#This Row],[CUIT]]="","-",VLOOKUP(compras_mes8[[#This Row],[CUIT]],Lista_CUIT[#All],4,0)),"CUIT NO CARGADO")</f>
        <v>0</v>
      </c>
    </row>
    <row r="138" spans="2:18" x14ac:dyDescent="0.3">
      <c r="B138" s="456">
        <v>45156</v>
      </c>
      <c r="C138" s="457">
        <v>1</v>
      </c>
      <c r="D138" s="458">
        <v>9</v>
      </c>
      <c r="E138" s="506">
        <v>795</v>
      </c>
      <c r="F138" s="459">
        <v>30710446047</v>
      </c>
      <c r="G138" s="460" t="str">
        <f>IFERROR(IF(compras_mes8[[#This Row],[CUIT]]="","-",VLOOKUP(compras_mes8[[#This Row],[CUIT]],Lista_CUIT[#All],2,0)),"CUIT NO CARGADO")</f>
        <v>ENSAMBLE GRAFICO S.H.</v>
      </c>
      <c r="H138" s="461">
        <v>764478</v>
      </c>
      <c r="I138" s="462">
        <f>IF(compras_mes8[[#This Row],[NETO GRAVADO]]="","",compras_mes8[[#This Row],[NETO GRAVADO]]*0.21)</f>
        <v>160540.38</v>
      </c>
      <c r="J138" s="462"/>
      <c r="K138" s="462"/>
      <c r="L138" s="462"/>
      <c r="M138" s="462"/>
      <c r="N138" s="462"/>
      <c r="O138" s="462"/>
      <c r="P138" s="463">
        <f>SUM(compras_mes8[[#This Row],[NETO GRAVADO]:[Otros / No Grav.]])</f>
        <v>925018.38</v>
      </c>
      <c r="Q138" s="464">
        <f>IFERROR(IF(compras_mes8[[#This Row],[CUIT]]="","-",VLOOKUP(compras_mes8[[#This Row],[CUIT]],Lista_CUIT[#All],3,0)),"CUIT NO CARGADO")</f>
        <v>0</v>
      </c>
      <c r="R138" s="464">
        <f>IFERROR(IF(compras_mes8[[#This Row],[CUIT]]="","-",VLOOKUP(compras_mes8[[#This Row],[CUIT]],Lista_CUIT[#All],4,0)),"CUIT NO CARGADO")</f>
        <v>0</v>
      </c>
    </row>
    <row r="139" spans="2:18" x14ac:dyDescent="0.3">
      <c r="B139" s="456">
        <v>45156</v>
      </c>
      <c r="C139" s="457">
        <v>1</v>
      </c>
      <c r="D139" s="458">
        <v>1</v>
      </c>
      <c r="E139" s="506">
        <v>1</v>
      </c>
      <c r="F139" s="459">
        <v>30718148207</v>
      </c>
      <c r="G139" s="460" t="str">
        <f>IFERROR(IF(compras_mes8[[#This Row],[CUIT]]="","-",VLOOKUP(compras_mes8[[#This Row],[CUIT]],Lista_CUIT[#All],2,0)),"CUIT NO CARGADO")</f>
        <v>VIPA INTERNATIONAL S.R.L.</v>
      </c>
      <c r="H139" s="461">
        <v>300000</v>
      </c>
      <c r="I139" s="462">
        <f>IF(compras_mes8[[#This Row],[NETO GRAVADO]]="","",compras_mes8[[#This Row],[NETO GRAVADO]]*0.21)</f>
        <v>63000</v>
      </c>
      <c r="J139" s="462"/>
      <c r="K139" s="462"/>
      <c r="L139" s="462"/>
      <c r="M139" s="462"/>
      <c r="N139" s="462"/>
      <c r="O139" s="462"/>
      <c r="P139" s="463">
        <f>SUM(compras_mes8[[#This Row],[NETO GRAVADO]:[Otros / No Grav.]])</f>
        <v>363000</v>
      </c>
      <c r="Q139" s="464">
        <f>IFERROR(IF(compras_mes8[[#This Row],[CUIT]]="","-",VLOOKUP(compras_mes8[[#This Row],[CUIT]],Lista_CUIT[#All],3,0)),"CUIT NO CARGADO")</f>
        <v>0</v>
      </c>
      <c r="R139" s="464">
        <f>IFERROR(IF(compras_mes8[[#This Row],[CUIT]]="","-",VLOOKUP(compras_mes8[[#This Row],[CUIT]],Lista_CUIT[#All],4,0)),"CUIT NO CARGADO")</f>
        <v>0</v>
      </c>
    </row>
    <row r="140" spans="2:18" x14ac:dyDescent="0.3">
      <c r="B140" s="456">
        <v>45156</v>
      </c>
      <c r="C140" s="457">
        <v>1</v>
      </c>
      <c r="D140" s="458">
        <v>1</v>
      </c>
      <c r="E140" s="506">
        <v>2</v>
      </c>
      <c r="F140" s="459">
        <v>30718148207</v>
      </c>
      <c r="G140" s="460" t="str">
        <f>IFERROR(IF(compras_mes8[[#This Row],[CUIT]]="","-",VLOOKUP(compras_mes8[[#This Row],[CUIT]],Lista_CUIT[#All],2,0)),"CUIT NO CARGADO")</f>
        <v>VIPA INTERNATIONAL S.R.L.</v>
      </c>
      <c r="H140" s="461">
        <v>515000</v>
      </c>
      <c r="I140" s="462">
        <f>IF(compras_mes8[[#This Row],[NETO GRAVADO]]="","",compras_mes8[[#This Row],[NETO GRAVADO]]*0.21)</f>
        <v>108150</v>
      </c>
      <c r="J140" s="462"/>
      <c r="K140" s="462"/>
      <c r="L140" s="462"/>
      <c r="M140" s="462"/>
      <c r="N140" s="462"/>
      <c r="O140" s="462"/>
      <c r="P140" s="463">
        <f>SUM(compras_mes8[[#This Row],[NETO GRAVADO]:[Otros / No Grav.]])</f>
        <v>623150</v>
      </c>
      <c r="Q140" s="464">
        <f>IFERROR(IF(compras_mes8[[#This Row],[CUIT]]="","-",VLOOKUP(compras_mes8[[#This Row],[CUIT]],Lista_CUIT[#All],3,0)),"CUIT NO CARGADO")</f>
        <v>0</v>
      </c>
      <c r="R140" s="464">
        <f>IFERROR(IF(compras_mes8[[#This Row],[CUIT]]="","-",VLOOKUP(compras_mes8[[#This Row],[CUIT]],Lista_CUIT[#All],4,0)),"CUIT NO CARGADO")</f>
        <v>0</v>
      </c>
    </row>
    <row r="141" spans="2:18" x14ac:dyDescent="0.3">
      <c r="B141" s="456">
        <v>45156</v>
      </c>
      <c r="C141" s="457">
        <v>1</v>
      </c>
      <c r="D141" s="458">
        <v>1</v>
      </c>
      <c r="E141" s="506">
        <v>3</v>
      </c>
      <c r="F141" s="459">
        <v>30718148207</v>
      </c>
      <c r="G141" s="460" t="str">
        <f>IFERROR(IF(compras_mes8[[#This Row],[CUIT]]="","-",VLOOKUP(compras_mes8[[#This Row],[CUIT]],Lista_CUIT[#All],2,0)),"CUIT NO CARGADO")</f>
        <v>VIPA INTERNATIONAL S.R.L.</v>
      </c>
      <c r="H141" s="461">
        <v>520000</v>
      </c>
      <c r="I141" s="462">
        <f>IF(compras_mes8[[#This Row],[NETO GRAVADO]]="","",compras_mes8[[#This Row],[NETO GRAVADO]]*0.21)</f>
        <v>109200</v>
      </c>
      <c r="J141" s="462"/>
      <c r="K141" s="462"/>
      <c r="L141" s="462"/>
      <c r="M141" s="462"/>
      <c r="N141" s="462"/>
      <c r="O141" s="462"/>
      <c r="P141" s="463">
        <f>SUM(compras_mes8[[#This Row],[NETO GRAVADO]:[Otros / No Grav.]])</f>
        <v>629200</v>
      </c>
      <c r="Q141" s="464">
        <f>IFERROR(IF(compras_mes8[[#This Row],[CUIT]]="","-",VLOOKUP(compras_mes8[[#This Row],[CUIT]],Lista_CUIT[#All],3,0)),"CUIT NO CARGADO")</f>
        <v>0</v>
      </c>
      <c r="R141" s="464">
        <f>IFERROR(IF(compras_mes8[[#This Row],[CUIT]]="","-",VLOOKUP(compras_mes8[[#This Row],[CUIT]],Lista_CUIT[#All],4,0)),"CUIT NO CARGADO")</f>
        <v>0</v>
      </c>
    </row>
    <row r="142" spans="2:18" x14ac:dyDescent="0.3">
      <c r="B142" s="456">
        <v>45156</v>
      </c>
      <c r="C142" s="457">
        <v>1</v>
      </c>
      <c r="D142" s="458">
        <v>11</v>
      </c>
      <c r="E142" s="506">
        <v>74542</v>
      </c>
      <c r="F142" s="459">
        <v>30534051049</v>
      </c>
      <c r="G142" s="460" t="str">
        <f>IFERROR(IF(compras_mes8[[#This Row],[CUIT]]="","-",VLOOKUP(compras_mes8[[#This Row],[CUIT]],Lista_CUIT[#All],2,0)),"CUIT NO CARGADO")</f>
        <v>ELECTRO UNIVERSO - PLIN METAL S A</v>
      </c>
      <c r="H142" s="461">
        <v>13473.62</v>
      </c>
      <c r="I142" s="462">
        <f>IF(compras_mes8[[#This Row],[NETO GRAVADO]]="","",compras_mes8[[#This Row],[NETO GRAVADO]]*0.21)</f>
        <v>2829.4602</v>
      </c>
      <c r="J142" s="462"/>
      <c r="K142" s="462"/>
      <c r="L142" s="462"/>
      <c r="M142" s="462"/>
      <c r="N142" s="462"/>
      <c r="O142" s="462"/>
      <c r="P142" s="463">
        <f>SUM(compras_mes8[[#This Row],[NETO GRAVADO]:[Otros / No Grav.]])</f>
        <v>16303.0802</v>
      </c>
      <c r="Q142" s="464">
        <f>IFERROR(IF(compras_mes8[[#This Row],[CUIT]]="","-",VLOOKUP(compras_mes8[[#This Row],[CUIT]],Lista_CUIT[#All],3,0)),"CUIT NO CARGADO")</f>
        <v>0</v>
      </c>
      <c r="R142" s="464">
        <f>IFERROR(IF(compras_mes8[[#This Row],[CUIT]]="","-",VLOOKUP(compras_mes8[[#This Row],[CUIT]],Lista_CUIT[#All],4,0)),"CUIT NO CARGADO")</f>
        <v>0</v>
      </c>
    </row>
    <row r="143" spans="2:18" x14ac:dyDescent="0.3">
      <c r="B143" s="486">
        <v>45157</v>
      </c>
      <c r="C143" s="250">
        <v>1</v>
      </c>
      <c r="D143" s="487">
        <v>6</v>
      </c>
      <c r="E143" s="488">
        <v>1056</v>
      </c>
      <c r="F143" s="476">
        <v>30716526832</v>
      </c>
      <c r="G143" s="489" t="str">
        <f>IFERROR(IF(compras_mes8[[#This Row],[CUIT]]="","-",VLOOKUP(compras_mes8[[#This Row],[CUIT]],Lista_CUIT[#All],2,0)),"CUIT NO CARGADO")</f>
        <v>IMKR INSUMOS</v>
      </c>
      <c r="H143" s="490">
        <v>20000</v>
      </c>
      <c r="I143" s="491">
        <f>IF(compras_mes8[[#This Row],[NETO GRAVADO]]="","",compras_mes8[[#This Row],[NETO GRAVADO]]*0.21)</f>
        <v>4200</v>
      </c>
      <c r="J143" s="491"/>
      <c r="K143" s="491"/>
      <c r="L143" s="491"/>
      <c r="M143" s="491"/>
      <c r="N143" s="491"/>
      <c r="O143" s="491"/>
      <c r="P143" s="492">
        <f>SUM(compras_mes8[[#This Row],[NETO GRAVADO]:[Otros / No Grav.]])</f>
        <v>24200</v>
      </c>
      <c r="Q143" s="493">
        <f>IFERROR(IF(compras_mes8[[#This Row],[CUIT]]="","-",VLOOKUP(compras_mes8[[#This Row],[CUIT]],Lista_CUIT[#All],3,0)),"CUIT NO CARGADO")</f>
        <v>0</v>
      </c>
      <c r="R143" s="493">
        <f>IFERROR(IF(compras_mes8[[#This Row],[CUIT]]="","-",VLOOKUP(compras_mes8[[#This Row],[CUIT]],Lista_CUIT[#All],4,0)),"CUIT NO CARGADO")</f>
        <v>0</v>
      </c>
    </row>
    <row r="144" spans="2:18" x14ac:dyDescent="0.3">
      <c r="B144" s="456">
        <v>45157</v>
      </c>
      <c r="C144" s="457">
        <v>1</v>
      </c>
      <c r="D144" s="458">
        <v>2199</v>
      </c>
      <c r="E144" s="506">
        <v>23702</v>
      </c>
      <c r="F144" s="459">
        <v>30548083156</v>
      </c>
      <c r="G144" s="460" t="str">
        <f>IFERROR(IF(compras_mes8[[#This Row],[CUIT]]="","-",VLOOKUP(compras_mes8[[#This Row],[CUIT]],Lista_CUIT[#All],2,0)),"CUIT NO CARGADO")</f>
        <v>COTO CENTRO INTEGRAL DE COMERCIALIZACION SOCIEDAD ANONIMA</v>
      </c>
      <c r="H144" s="461">
        <v>15674.7</v>
      </c>
      <c r="I144" s="462">
        <v>2616.1999999999998</v>
      </c>
      <c r="J144" s="462"/>
      <c r="K144" s="462">
        <v>337.74</v>
      </c>
      <c r="L144" s="462"/>
      <c r="M144" s="462"/>
      <c r="N144" s="462"/>
      <c r="O144" s="462">
        <v>1067.8399999999999</v>
      </c>
      <c r="P144" s="463">
        <f>SUM(compras_mes8[[#This Row],[NETO GRAVADO]:[Otros / No Grav.]])</f>
        <v>19696.480000000003</v>
      </c>
      <c r="Q144" s="464" t="str">
        <f>IFERROR(IF(compras_mes8[[#This Row],[CUIT]]="","-",VLOOKUP(compras_mes8[[#This Row],[CUIT]],Lista_CUIT[#All],3,0)),"CUIT NO CARGADO")</f>
        <v>GASTOS COMERCIALES</v>
      </c>
      <c r="R144" s="464">
        <f>IFERROR(IF(compras_mes8[[#This Row],[CUIT]]="","-",VLOOKUP(compras_mes8[[#This Row],[CUIT]],Lista_CUIT[#All],4,0)),"CUIT NO CARGADO")</f>
        <v>0</v>
      </c>
    </row>
    <row r="145" spans="2:18" x14ac:dyDescent="0.3">
      <c r="B145" s="456">
        <v>45157</v>
      </c>
      <c r="C145" s="457">
        <v>1</v>
      </c>
      <c r="D145" s="458">
        <v>7</v>
      </c>
      <c r="E145" s="506">
        <v>1686</v>
      </c>
      <c r="F145" s="459">
        <v>20134664518</v>
      </c>
      <c r="G145" s="460" t="str">
        <f>IFERROR(IF(compras_mes8[[#This Row],[CUIT]]="","-",VLOOKUP(compras_mes8[[#This Row],[CUIT]],Lista_CUIT[#All],2,0)),"CUIT NO CARGADO")</f>
        <v>HOKAMA SERGIO ENRIQUE</v>
      </c>
      <c r="H145" s="461">
        <v>3091.77</v>
      </c>
      <c r="I145" s="462">
        <f>IF(compras_mes8[[#This Row],[NETO GRAVADO]]="","",compras_mes8[[#This Row],[NETO GRAVADO]]*0.21)</f>
        <v>649.27170000000001</v>
      </c>
      <c r="J145" s="462"/>
      <c r="K145" s="462"/>
      <c r="L145" s="462"/>
      <c r="M145" s="462"/>
      <c r="N145" s="462"/>
      <c r="O145" s="462"/>
      <c r="P145" s="463">
        <f>SUM(compras_mes8[[#This Row],[NETO GRAVADO]:[Otros / No Grav.]])</f>
        <v>3741.0416999999998</v>
      </c>
      <c r="Q145" s="464" t="str">
        <f>IFERROR(IF(compras_mes8[[#This Row],[CUIT]]="","-",VLOOKUP(compras_mes8[[#This Row],[CUIT]],Lista_CUIT[#All],3,0)),"CUIT NO CARGADO")</f>
        <v>Gastos Varios</v>
      </c>
      <c r="R145" s="464" t="str">
        <f>IFERROR(IF(compras_mes8[[#This Row],[CUIT]]="","-",VLOOKUP(compras_mes8[[#This Row],[CUIT]],Lista_CUIT[#All],4,0)),"CUIT NO CARGADO")</f>
        <v>BUENOS AIRES</v>
      </c>
    </row>
    <row r="146" spans="2:18" x14ac:dyDescent="0.3">
      <c r="B146" s="456">
        <v>45157</v>
      </c>
      <c r="C146" s="457">
        <v>1</v>
      </c>
      <c r="D146" s="458">
        <v>12</v>
      </c>
      <c r="E146" s="506">
        <v>31147</v>
      </c>
      <c r="F146" s="459">
        <v>30696131003</v>
      </c>
      <c r="G146" s="460" t="str">
        <f>IFERROR(IF(compras_mes8[[#This Row],[CUIT]]="","-",VLOOKUP(compras_mes8[[#This Row],[CUIT]],Lista_CUIT[#All],2,0)),"CUIT NO CARGADO")</f>
        <v>Petrolfe S.A.</v>
      </c>
      <c r="H146" s="461">
        <v>38165.24</v>
      </c>
      <c r="I146" s="462">
        <f>IF(compras_mes8[[#This Row],[NETO GRAVADO]]="","",compras_mes8[[#This Row],[NETO GRAVADO]]*0.21)</f>
        <v>8014.7003999999997</v>
      </c>
      <c r="J146" s="462"/>
      <c r="K146" s="462"/>
      <c r="L146" s="462"/>
      <c r="M146" s="462"/>
      <c r="N146" s="462"/>
      <c r="O146" s="462">
        <v>5381.95</v>
      </c>
      <c r="P146" s="463">
        <f>SUM(compras_mes8[[#This Row],[NETO GRAVADO]:[Otros / No Grav.]])</f>
        <v>51561.890399999997</v>
      </c>
      <c r="Q146" s="464" t="str">
        <f>IFERROR(IF(compras_mes8[[#This Row],[CUIT]]="","-",VLOOKUP(compras_mes8[[#This Row],[CUIT]],Lista_CUIT[#All],3,0)),"CUIT NO CARGADO")</f>
        <v>Combustible</v>
      </c>
      <c r="R146" s="464">
        <f>IFERROR(IF(compras_mes8[[#This Row],[CUIT]]="","-",VLOOKUP(compras_mes8[[#This Row],[CUIT]],Lista_CUIT[#All],4,0)),"CUIT NO CARGADO")</f>
        <v>0</v>
      </c>
    </row>
    <row r="147" spans="2:18" x14ac:dyDescent="0.3">
      <c r="B147" s="456">
        <v>45158</v>
      </c>
      <c r="C147" s="457">
        <v>1</v>
      </c>
      <c r="D147" s="458">
        <v>4793</v>
      </c>
      <c r="E147" s="506">
        <v>567</v>
      </c>
      <c r="F147" s="459">
        <v>30685849751</v>
      </c>
      <c r="G147" s="460" t="str">
        <f>IFERROR(IF(compras_mes8[[#This Row],[CUIT]]="","-",VLOOKUP(compras_mes8[[#This Row],[CUIT]],Lista_CUIT[#All],2,0)),"CUIT NO CARGADO")</f>
        <v>DIA ARGENTINA S A</v>
      </c>
      <c r="H147" s="461">
        <v>2698.59</v>
      </c>
      <c r="I147" s="462">
        <v>337.73</v>
      </c>
      <c r="J147" s="462"/>
      <c r="K147" s="462">
        <v>114.59</v>
      </c>
      <c r="L147" s="462"/>
      <c r="M147" s="462"/>
      <c r="N147" s="462"/>
      <c r="O147" s="462"/>
      <c r="P147" s="463">
        <f>SUM(compras_mes8[[#This Row],[NETO GRAVADO]:[Otros / No Grav.]])</f>
        <v>3150.9100000000003</v>
      </c>
      <c r="Q147" s="464">
        <f>IFERROR(IF(compras_mes8[[#This Row],[CUIT]]="","-",VLOOKUP(compras_mes8[[#This Row],[CUIT]],Lista_CUIT[#All],3,0)),"CUIT NO CARGADO")</f>
        <v>0</v>
      </c>
      <c r="R147" s="464">
        <f>IFERROR(IF(compras_mes8[[#This Row],[CUIT]]="","-",VLOOKUP(compras_mes8[[#This Row],[CUIT]],Lista_CUIT[#All],4,0)),"CUIT NO CARGADO")</f>
        <v>0</v>
      </c>
    </row>
    <row r="148" spans="2:18" x14ac:dyDescent="0.3">
      <c r="B148" s="456">
        <v>45160</v>
      </c>
      <c r="C148" s="457">
        <v>1</v>
      </c>
      <c r="D148" s="458">
        <v>8</v>
      </c>
      <c r="E148" s="506">
        <v>241</v>
      </c>
      <c r="F148" s="459">
        <v>27245151522</v>
      </c>
      <c r="G148" s="460" t="str">
        <f>IFERROR(IF(compras_mes8[[#This Row],[CUIT]]="","-",VLOOKUP(compras_mes8[[#This Row],[CUIT]],Lista_CUIT[#All],2,0)),"CUIT NO CARGADO")</f>
        <v>VILLALBA MARCELA</v>
      </c>
      <c r="H148" s="461">
        <v>8760.7000000000007</v>
      </c>
      <c r="I148" s="462">
        <f>IF(compras_mes8[[#This Row],[NETO GRAVADO]]="","",compras_mes8[[#This Row],[NETO GRAVADO]]*0.21)</f>
        <v>1839.7470000000001</v>
      </c>
      <c r="J148" s="462"/>
      <c r="K148" s="462"/>
      <c r="L148" s="462"/>
      <c r="M148" s="462"/>
      <c r="N148" s="462"/>
      <c r="O148" s="462"/>
      <c r="P148" s="463">
        <f>SUM(compras_mes8[[#This Row],[NETO GRAVADO]:[Otros / No Grav.]])</f>
        <v>10600.447</v>
      </c>
      <c r="Q148" s="464">
        <f>IFERROR(IF(compras_mes8[[#This Row],[CUIT]]="","-",VLOOKUP(compras_mes8[[#This Row],[CUIT]],Lista_CUIT[#All],3,0)),"CUIT NO CARGADO")</f>
        <v>0</v>
      </c>
      <c r="R148" s="464">
        <f>IFERROR(IF(compras_mes8[[#This Row],[CUIT]]="","-",VLOOKUP(compras_mes8[[#This Row],[CUIT]],Lista_CUIT[#All],4,0)),"CUIT NO CARGADO")</f>
        <v>0</v>
      </c>
    </row>
    <row r="149" spans="2:18" x14ac:dyDescent="0.3">
      <c r="B149" s="486">
        <v>45160</v>
      </c>
      <c r="C149" s="250">
        <v>1</v>
      </c>
      <c r="D149" s="487">
        <v>5</v>
      </c>
      <c r="E149" s="488">
        <v>2840715</v>
      </c>
      <c r="F149" s="476">
        <v>30702652975</v>
      </c>
      <c r="G149" s="489" t="str">
        <f>IFERROR(IF(compras_mes8[[#This Row],[CUIT]]="","-",VLOOKUP(compras_mes8[[#This Row],[CUIT]],Lista_CUIT[#All],2,0)),"CUIT NO CARGADO")</f>
        <v>NSS SA</v>
      </c>
      <c r="H149" s="490">
        <v>8591.91</v>
      </c>
      <c r="I149" s="491">
        <f>IF(compras_mes8[[#This Row],[NETO GRAVADO]]="","",compras_mes8[[#This Row],[NETO GRAVADO]]*0.21)</f>
        <v>1804.3010999999999</v>
      </c>
      <c r="J149" s="491"/>
      <c r="K149" s="491"/>
      <c r="L149" s="491"/>
      <c r="M149" s="491"/>
      <c r="N149" s="491">
        <v>515.51</v>
      </c>
      <c r="O149" s="491"/>
      <c r="P149" s="492">
        <f>SUM(compras_mes8[[#This Row],[NETO GRAVADO]:[Otros / No Grav.]])</f>
        <v>10911.721100000001</v>
      </c>
      <c r="Q149" s="493" t="str">
        <f>IFERROR(IF(compras_mes8[[#This Row],[CUIT]]="","-",VLOOKUP(compras_mes8[[#This Row],[CUIT]],Lista_CUIT[#All],3,0)),"CUIT NO CARGADO")</f>
        <v>Servicios Gas, Luz, etc.</v>
      </c>
      <c r="R149" s="493">
        <f>IFERROR(IF(compras_mes8[[#This Row],[CUIT]]="","-",VLOOKUP(compras_mes8[[#This Row],[CUIT]],Lista_CUIT[#All],4,0)),"CUIT NO CARGADO")</f>
        <v>0</v>
      </c>
    </row>
    <row r="150" spans="2:18" x14ac:dyDescent="0.3">
      <c r="B150" s="456">
        <v>45160</v>
      </c>
      <c r="C150" s="457">
        <v>1</v>
      </c>
      <c r="D150" s="458">
        <v>2</v>
      </c>
      <c r="E150" s="506">
        <v>2694</v>
      </c>
      <c r="F150" s="459">
        <v>20240305128</v>
      </c>
      <c r="G150" s="460" t="str">
        <f>IFERROR(IF(compras_mes8[[#This Row],[CUIT]]="","-",VLOOKUP(compras_mes8[[#This Row],[CUIT]],Lista_CUIT[#All],2,0)),"CUIT NO CARGADO")</f>
        <v>Abraldes Diego Roberto</v>
      </c>
      <c r="H150" s="461">
        <v>28130</v>
      </c>
      <c r="I150" s="462">
        <f>IF(compras_mes8[[#This Row],[NETO GRAVADO]]="","",compras_mes8[[#This Row],[NETO GRAVADO]]*0.21)</f>
        <v>5907.3</v>
      </c>
      <c r="J150" s="462"/>
      <c r="K150" s="462"/>
      <c r="L150" s="462"/>
      <c r="M150" s="462"/>
      <c r="N150" s="462"/>
      <c r="O150" s="462"/>
      <c r="P150" s="463">
        <f>SUM(compras_mes8[[#This Row],[NETO GRAVADO]:[Otros / No Grav.]])</f>
        <v>34037.300000000003</v>
      </c>
      <c r="Q150" s="464">
        <f>IFERROR(IF(compras_mes8[[#This Row],[CUIT]]="","-",VLOOKUP(compras_mes8[[#This Row],[CUIT]],Lista_CUIT[#All],3,0)),"CUIT NO CARGADO")</f>
        <v>0</v>
      </c>
      <c r="R150" s="464">
        <f>IFERROR(IF(compras_mes8[[#This Row],[CUIT]]="","-",VLOOKUP(compras_mes8[[#This Row],[CUIT]],Lista_CUIT[#All],4,0)),"CUIT NO CARGADO")</f>
        <v>0</v>
      </c>
    </row>
    <row r="151" spans="2:18" x14ac:dyDescent="0.3">
      <c r="B151" s="456">
        <v>45160</v>
      </c>
      <c r="C151" s="457">
        <v>1</v>
      </c>
      <c r="D151" s="458">
        <v>2</v>
      </c>
      <c r="E151" s="506">
        <v>2693</v>
      </c>
      <c r="F151" s="459">
        <v>20240305128</v>
      </c>
      <c r="G151" s="460" t="str">
        <f>IFERROR(IF(compras_mes8[[#This Row],[CUIT]]="","-",VLOOKUP(compras_mes8[[#This Row],[CUIT]],Lista_CUIT[#All],2,0)),"CUIT NO CARGADO")</f>
        <v>Abraldes Diego Roberto</v>
      </c>
      <c r="H151" s="461">
        <v>104730</v>
      </c>
      <c r="I151" s="462">
        <f>IF(compras_mes8[[#This Row],[NETO GRAVADO]]="","",compras_mes8[[#This Row],[NETO GRAVADO]]*0.21)</f>
        <v>21993.3</v>
      </c>
      <c r="J151" s="462"/>
      <c r="K151" s="462"/>
      <c r="L151" s="462"/>
      <c r="M151" s="462"/>
      <c r="N151" s="462"/>
      <c r="O151" s="462"/>
      <c r="P151" s="463">
        <f>SUM(compras_mes8[[#This Row],[NETO GRAVADO]:[Otros / No Grav.]])</f>
        <v>126723.3</v>
      </c>
      <c r="Q151" s="464">
        <f>IFERROR(IF(compras_mes8[[#This Row],[CUIT]]="","-",VLOOKUP(compras_mes8[[#This Row],[CUIT]],Lista_CUIT[#All],3,0)),"CUIT NO CARGADO")</f>
        <v>0</v>
      </c>
      <c r="R151" s="464">
        <f>IFERROR(IF(compras_mes8[[#This Row],[CUIT]]="","-",VLOOKUP(compras_mes8[[#This Row],[CUIT]],Lista_CUIT[#All],4,0)),"CUIT NO CARGADO")</f>
        <v>0</v>
      </c>
    </row>
    <row r="152" spans="2:18" x14ac:dyDescent="0.3">
      <c r="B152" s="456">
        <v>45160</v>
      </c>
      <c r="C152" s="457">
        <v>1</v>
      </c>
      <c r="D152" s="458">
        <v>6</v>
      </c>
      <c r="E152" s="506">
        <v>2752</v>
      </c>
      <c r="F152" s="459">
        <v>30574603788</v>
      </c>
      <c r="G152" s="460" t="str">
        <f>IFERROR(IF(compras_mes8[[#This Row],[CUIT]]="","-",VLOOKUP(compras_mes8[[#This Row],[CUIT]],Lista_CUIT[#All],2,0)),"CUIT NO CARGADO")</f>
        <v>CODAC SRL</v>
      </c>
      <c r="H152" s="461">
        <v>2027260</v>
      </c>
      <c r="I152" s="462">
        <f>IF(compras_mes8[[#This Row],[NETO GRAVADO]]="","",compras_mes8[[#This Row],[NETO GRAVADO]]*0.21)</f>
        <v>425724.6</v>
      </c>
      <c r="J152" s="462"/>
      <c r="K152" s="462"/>
      <c r="L152" s="462"/>
      <c r="M152" s="462"/>
      <c r="N152" s="462"/>
      <c r="O152" s="462"/>
      <c r="P152" s="463">
        <f>SUM(compras_mes8[[#This Row],[NETO GRAVADO]:[Otros / No Grav.]])</f>
        <v>2452984.6</v>
      </c>
      <c r="Q152" s="464" t="str">
        <f>IFERROR(IF(compras_mes8[[#This Row],[CUIT]]="","-",VLOOKUP(compras_mes8[[#This Row],[CUIT]],Lista_CUIT[#All],3,0)),"CUIT NO CARGADO")</f>
        <v>GASTOS COSMETICA</v>
      </c>
      <c r="R152" s="464" t="str">
        <f>IFERROR(IF(compras_mes8[[#This Row],[CUIT]]="","-",VLOOKUP(compras_mes8[[#This Row],[CUIT]],Lista_CUIT[#All],4,0)),"CUIT NO CARGADO")</f>
        <v>BUENOS AIRES</v>
      </c>
    </row>
    <row r="153" spans="2:18" x14ac:dyDescent="0.3">
      <c r="B153" s="456">
        <v>45160</v>
      </c>
      <c r="C153" s="457">
        <v>1</v>
      </c>
      <c r="D153" s="458">
        <v>5</v>
      </c>
      <c r="E153" s="506">
        <v>32</v>
      </c>
      <c r="F153" s="459">
        <v>20236267688</v>
      </c>
      <c r="G153" s="460" t="str">
        <f>IFERROR(IF(compras_mes8[[#This Row],[CUIT]]="","-",VLOOKUP(compras_mes8[[#This Row],[CUIT]],Lista_CUIT[#All],2,0)),"CUIT NO CARGADO")</f>
        <v>BARTILOTTA ARIEL FERNANDO</v>
      </c>
      <c r="H153" s="461">
        <v>9090.91</v>
      </c>
      <c r="I153" s="462">
        <f>IF(compras_mes8[[#This Row],[NETO GRAVADO]]="","",compras_mes8[[#This Row],[NETO GRAVADO]]*0.21)</f>
        <v>1909.0910999999999</v>
      </c>
      <c r="J153" s="462"/>
      <c r="K153" s="462"/>
      <c r="L153" s="462"/>
      <c r="M153" s="462"/>
      <c r="N153" s="462"/>
      <c r="O153" s="462"/>
      <c r="P153" s="463">
        <f>SUM(compras_mes8[[#This Row],[NETO GRAVADO]:[Otros / No Grav.]])</f>
        <v>11000.001099999999</v>
      </c>
      <c r="Q153" s="464">
        <f>IFERROR(IF(compras_mes8[[#This Row],[CUIT]]="","-",VLOOKUP(compras_mes8[[#This Row],[CUIT]],Lista_CUIT[#All],3,0)),"CUIT NO CARGADO")</f>
        <v>0</v>
      </c>
      <c r="R153" s="464">
        <f>IFERROR(IF(compras_mes8[[#This Row],[CUIT]]="","-",VLOOKUP(compras_mes8[[#This Row],[CUIT]],Lista_CUIT[#All],4,0)),"CUIT NO CARGADO")</f>
        <v>0</v>
      </c>
    </row>
    <row r="154" spans="2:18" x14ac:dyDescent="0.3">
      <c r="B154" s="456">
        <v>45160</v>
      </c>
      <c r="C154" s="457">
        <v>1</v>
      </c>
      <c r="D154" s="458">
        <v>11</v>
      </c>
      <c r="E154" s="506">
        <v>74567</v>
      </c>
      <c r="F154" s="459">
        <v>30534051049</v>
      </c>
      <c r="G154" s="460" t="str">
        <f>IFERROR(IF(compras_mes8[[#This Row],[CUIT]]="","-",VLOOKUP(compras_mes8[[#This Row],[CUIT]],Lista_CUIT[#All],2,0)),"CUIT NO CARGADO")</f>
        <v>ELECTRO UNIVERSO - PLIN METAL S A</v>
      </c>
      <c r="H154" s="461">
        <v>1104.76</v>
      </c>
      <c r="I154" s="462">
        <f>IF(compras_mes8[[#This Row],[NETO GRAVADO]]="","",compras_mes8[[#This Row],[NETO GRAVADO]]*0.21)</f>
        <v>231.99959999999999</v>
      </c>
      <c r="J154" s="462"/>
      <c r="K154" s="462"/>
      <c r="L154" s="462"/>
      <c r="M154" s="462"/>
      <c r="N154" s="462"/>
      <c r="O154" s="462"/>
      <c r="P154" s="463">
        <f>SUM(compras_mes8[[#This Row],[NETO GRAVADO]:[Otros / No Grav.]])</f>
        <v>1336.7595999999999</v>
      </c>
      <c r="Q154" s="464">
        <f>IFERROR(IF(compras_mes8[[#This Row],[CUIT]]="","-",VLOOKUP(compras_mes8[[#This Row],[CUIT]],Lista_CUIT[#All],3,0)),"CUIT NO CARGADO")</f>
        <v>0</v>
      </c>
      <c r="R154" s="464">
        <f>IFERROR(IF(compras_mes8[[#This Row],[CUIT]]="","-",VLOOKUP(compras_mes8[[#This Row],[CUIT]],Lista_CUIT[#All],4,0)),"CUIT NO CARGADO")</f>
        <v>0</v>
      </c>
    </row>
    <row r="155" spans="2:18" x14ac:dyDescent="0.3">
      <c r="B155" s="456">
        <v>45160</v>
      </c>
      <c r="C155" s="457">
        <v>1</v>
      </c>
      <c r="D155" s="458">
        <v>11</v>
      </c>
      <c r="E155" s="506">
        <v>74571</v>
      </c>
      <c r="F155" s="459">
        <v>30534051049</v>
      </c>
      <c r="G155" s="460" t="str">
        <f>IFERROR(IF(compras_mes8[[#This Row],[CUIT]]="","-",VLOOKUP(compras_mes8[[#This Row],[CUIT]],Lista_CUIT[#All],2,0)),"CUIT NO CARGADO")</f>
        <v>ELECTRO UNIVERSO - PLIN METAL S A</v>
      </c>
      <c r="H155" s="461">
        <v>2020.81</v>
      </c>
      <c r="I155" s="462">
        <f>IF(compras_mes8[[#This Row],[NETO GRAVADO]]="","",compras_mes8[[#This Row],[NETO GRAVADO]]*0.21)</f>
        <v>424.37009999999998</v>
      </c>
      <c r="J155" s="462"/>
      <c r="K155" s="462"/>
      <c r="L155" s="462"/>
      <c r="M155" s="462"/>
      <c r="N155" s="462"/>
      <c r="O155" s="462"/>
      <c r="P155" s="463">
        <f>SUM(compras_mes8[[#This Row],[NETO GRAVADO]:[Otros / No Grav.]])</f>
        <v>2445.1801</v>
      </c>
      <c r="Q155" s="464">
        <f>IFERROR(IF(compras_mes8[[#This Row],[CUIT]]="","-",VLOOKUP(compras_mes8[[#This Row],[CUIT]],Lista_CUIT[#All],3,0)),"CUIT NO CARGADO")</f>
        <v>0</v>
      </c>
      <c r="R155" s="464">
        <f>IFERROR(IF(compras_mes8[[#This Row],[CUIT]]="","-",VLOOKUP(compras_mes8[[#This Row],[CUIT]],Lista_CUIT[#All],4,0)),"CUIT NO CARGADO")</f>
        <v>0</v>
      </c>
    </row>
    <row r="156" spans="2:18" x14ac:dyDescent="0.3">
      <c r="B156" s="486">
        <v>45160</v>
      </c>
      <c r="C156" s="250">
        <v>1</v>
      </c>
      <c r="D156" s="487">
        <v>113</v>
      </c>
      <c r="E156" s="488">
        <v>3290773</v>
      </c>
      <c r="F156" s="476">
        <v>30577207190</v>
      </c>
      <c r="G156" s="489" t="str">
        <f>IFERROR(IF(compras_mes8[[#This Row],[CUIT]]="","-",VLOOKUP(compras_mes8[[#This Row],[CUIT]],Lista_CUIT[#All],2,0)),"CUIT NO CARGADO")</f>
        <v>COORDINACION ECOLOGICA AREA METROPOLITANA SOCIEDAD DEL ESTADO</v>
      </c>
      <c r="H156" s="490">
        <v>1745.46</v>
      </c>
      <c r="I156" s="491">
        <f>IF(compras_mes8[[#This Row],[NETO GRAVADO]]="","",compras_mes8[[#This Row],[NETO GRAVADO]]*0.21)</f>
        <v>366.54660000000001</v>
      </c>
      <c r="J156" s="491"/>
      <c r="K156" s="491"/>
      <c r="L156" s="491"/>
      <c r="M156" s="491"/>
      <c r="N156" s="491"/>
      <c r="O156" s="491"/>
      <c r="P156" s="492">
        <f>SUM(compras_mes8[[#This Row],[NETO GRAVADO]:[Otros / No Grav.]])</f>
        <v>2112.0066000000002</v>
      </c>
      <c r="Q156" s="493">
        <f>IFERROR(IF(compras_mes8[[#This Row],[CUIT]]="","-",VLOOKUP(compras_mes8[[#This Row],[CUIT]],Lista_CUIT[#All],3,0)),"CUIT NO CARGADO")</f>
        <v>0</v>
      </c>
      <c r="R156" s="493">
        <f>IFERROR(IF(compras_mes8[[#This Row],[CUIT]]="","-",VLOOKUP(compras_mes8[[#This Row],[CUIT]],Lista_CUIT[#All],4,0)),"CUIT NO CARGADO")</f>
        <v>0</v>
      </c>
    </row>
    <row r="157" spans="2:18" x14ac:dyDescent="0.3">
      <c r="B157" s="456">
        <v>45160</v>
      </c>
      <c r="C157" s="457">
        <v>3</v>
      </c>
      <c r="D157" s="458">
        <v>2</v>
      </c>
      <c r="E157" s="506">
        <v>57</v>
      </c>
      <c r="F157" s="459">
        <v>20240305128</v>
      </c>
      <c r="G157" s="460" t="str">
        <f>IFERROR(IF(compras_mes8[[#This Row],[CUIT]]="","-",VLOOKUP(compras_mes8[[#This Row],[CUIT]],Lista_CUIT[#All],2,0)),"CUIT NO CARGADO")</f>
        <v>Abraldes Diego Roberto</v>
      </c>
      <c r="H157" s="461">
        <v>-104730</v>
      </c>
      <c r="I157" s="462">
        <f>IF(compras_mes8[[#This Row],[NETO GRAVADO]]="","",compras_mes8[[#This Row],[NETO GRAVADO]]*0.21)</f>
        <v>-21993.3</v>
      </c>
      <c r="J157" s="462"/>
      <c r="K157" s="462"/>
      <c r="L157" s="462"/>
      <c r="M157" s="462"/>
      <c r="N157" s="462"/>
      <c r="O157" s="462"/>
      <c r="P157" s="463">
        <f>SUM(compras_mes8[[#This Row],[NETO GRAVADO]:[Otros / No Grav.]])</f>
        <v>-126723.3</v>
      </c>
      <c r="Q157" s="464">
        <f>IFERROR(IF(compras_mes8[[#This Row],[CUIT]]="","-",VLOOKUP(compras_mes8[[#This Row],[CUIT]],Lista_CUIT[#All],3,0)),"CUIT NO CARGADO")</f>
        <v>0</v>
      </c>
      <c r="R157" s="464">
        <f>IFERROR(IF(compras_mes8[[#This Row],[CUIT]]="","-",VLOOKUP(compras_mes8[[#This Row],[CUIT]],Lista_CUIT[#All],4,0)),"CUIT NO CARGADO")</f>
        <v>0</v>
      </c>
    </row>
    <row r="158" spans="2:18" x14ac:dyDescent="0.3">
      <c r="B158" s="456">
        <v>45160</v>
      </c>
      <c r="C158" s="457">
        <v>3</v>
      </c>
      <c r="D158" s="458">
        <v>11</v>
      </c>
      <c r="E158" s="506">
        <v>24126</v>
      </c>
      <c r="F158" s="459">
        <v>30534051049</v>
      </c>
      <c r="G158" s="460" t="str">
        <f>IFERROR(IF(compras_mes8[[#This Row],[CUIT]]="","-",VLOOKUP(compras_mes8[[#This Row],[CUIT]],Lista_CUIT[#All],2,0)),"CUIT NO CARGADO")</f>
        <v>ELECTRO UNIVERSO - PLIN METAL S A</v>
      </c>
      <c r="H158" s="461">
        <v>-1104.76</v>
      </c>
      <c r="I158" s="462">
        <f>IF(compras_mes8[[#This Row],[NETO GRAVADO]]="","",compras_mes8[[#This Row],[NETO GRAVADO]]*0.21)</f>
        <v>-231.99959999999999</v>
      </c>
      <c r="J158" s="462"/>
      <c r="K158" s="462"/>
      <c r="L158" s="462"/>
      <c r="M158" s="462"/>
      <c r="N158" s="462"/>
      <c r="O158" s="462"/>
      <c r="P158" s="463">
        <f>SUM(compras_mes8[[#This Row],[NETO GRAVADO]:[Otros / No Grav.]])</f>
        <v>-1336.7595999999999</v>
      </c>
      <c r="Q158" s="464">
        <f>IFERROR(IF(compras_mes8[[#This Row],[CUIT]]="","-",VLOOKUP(compras_mes8[[#This Row],[CUIT]],Lista_CUIT[#All],3,0)),"CUIT NO CARGADO")</f>
        <v>0</v>
      </c>
      <c r="R158" s="464">
        <f>IFERROR(IF(compras_mes8[[#This Row],[CUIT]]="","-",VLOOKUP(compras_mes8[[#This Row],[CUIT]],Lista_CUIT[#All],4,0)),"CUIT NO CARGADO")</f>
        <v>0</v>
      </c>
    </row>
    <row r="159" spans="2:18" x14ac:dyDescent="0.3">
      <c r="B159" s="456">
        <v>45161</v>
      </c>
      <c r="C159" s="457">
        <v>1</v>
      </c>
      <c r="D159" s="458">
        <v>4</v>
      </c>
      <c r="E159" s="506">
        <v>8438</v>
      </c>
      <c r="F159" s="459">
        <v>20237825021</v>
      </c>
      <c r="G159" s="460" t="str">
        <f>IFERROR(IF(compras_mes8[[#This Row],[CUIT]]="","-",VLOOKUP(compras_mes8[[#This Row],[CUIT]],Lista_CUIT[#All],2,0)),"CUIT NO CARGADO")</f>
        <v>KASSAB SEBASTIAN EDUARDO</v>
      </c>
      <c r="H159" s="461">
        <v>7998.67</v>
      </c>
      <c r="I159" s="462">
        <f>IF(compras_mes8[[#This Row],[NETO GRAVADO]]="","",compras_mes8[[#This Row],[NETO GRAVADO]]*0.21)</f>
        <v>1679.7206999999999</v>
      </c>
      <c r="J159" s="462"/>
      <c r="K159" s="462"/>
      <c r="L159" s="462"/>
      <c r="M159" s="462"/>
      <c r="N159" s="462"/>
      <c r="O159" s="462"/>
      <c r="P159" s="463">
        <f>SUM(compras_mes8[[#This Row],[NETO GRAVADO]:[Otros / No Grav.]])</f>
        <v>9678.3906999999999</v>
      </c>
      <c r="Q159" s="464">
        <f>IFERROR(IF(compras_mes8[[#This Row],[CUIT]]="","-",VLOOKUP(compras_mes8[[#This Row],[CUIT]],Lista_CUIT[#All],3,0)),"CUIT NO CARGADO")</f>
        <v>0</v>
      </c>
      <c r="R159" s="464">
        <f>IFERROR(IF(compras_mes8[[#This Row],[CUIT]]="","-",VLOOKUP(compras_mes8[[#This Row],[CUIT]],Lista_CUIT[#All],4,0)),"CUIT NO CARGADO")</f>
        <v>0</v>
      </c>
    </row>
    <row r="160" spans="2:18" x14ac:dyDescent="0.3">
      <c r="B160" s="456">
        <v>45161</v>
      </c>
      <c r="C160" s="457">
        <v>1</v>
      </c>
      <c r="D160" s="458">
        <v>2</v>
      </c>
      <c r="E160" s="506">
        <v>247</v>
      </c>
      <c r="F160" s="459">
        <v>30717768511</v>
      </c>
      <c r="G160" s="460" t="str">
        <f>IFERROR(IF(compras_mes8[[#This Row],[CUIT]]="","-",VLOOKUP(compras_mes8[[#This Row],[CUIT]],Lista_CUIT[#All],2,0)),"CUIT NO CARGADO")</f>
        <v>DEALER S. CAP I SECC IV</v>
      </c>
      <c r="H160" s="461">
        <v>103027.5</v>
      </c>
      <c r="I160" s="462">
        <f>IF(compras_mes8[[#This Row],[NETO GRAVADO]]="","",compras_mes8[[#This Row],[NETO GRAVADO]]*0.21)</f>
        <v>21635.774999999998</v>
      </c>
      <c r="J160" s="462"/>
      <c r="K160" s="462"/>
      <c r="L160" s="462"/>
      <c r="M160" s="462"/>
      <c r="N160" s="462"/>
      <c r="O160" s="462"/>
      <c r="P160" s="463">
        <f>SUM(compras_mes8[[#This Row],[NETO GRAVADO]:[Otros / No Grav.]])</f>
        <v>124663.27499999999</v>
      </c>
      <c r="Q160" s="464">
        <f>IFERROR(IF(compras_mes8[[#This Row],[CUIT]]="","-",VLOOKUP(compras_mes8[[#This Row],[CUIT]],Lista_CUIT[#All],3,0)),"CUIT NO CARGADO")</f>
        <v>0</v>
      </c>
      <c r="R160" s="464">
        <f>IFERROR(IF(compras_mes8[[#This Row],[CUIT]]="","-",VLOOKUP(compras_mes8[[#This Row],[CUIT]],Lista_CUIT[#All],4,0)),"CUIT NO CARGADO")</f>
        <v>0</v>
      </c>
    </row>
    <row r="161" spans="2:18" x14ac:dyDescent="0.3">
      <c r="B161" s="456">
        <v>45161</v>
      </c>
      <c r="C161" s="457">
        <v>1</v>
      </c>
      <c r="D161" s="458">
        <v>2</v>
      </c>
      <c r="E161" s="506">
        <v>248</v>
      </c>
      <c r="F161" s="459">
        <v>30717768511</v>
      </c>
      <c r="G161" s="460" t="str">
        <f>IFERROR(IF(compras_mes8[[#This Row],[CUIT]]="","-",VLOOKUP(compras_mes8[[#This Row],[CUIT]],Lista_CUIT[#All],2,0)),"CUIT NO CARGADO")</f>
        <v>DEALER S. CAP I SECC IV</v>
      </c>
      <c r="H161" s="461">
        <v>4731</v>
      </c>
      <c r="I161" s="462">
        <f>IF(compras_mes8[[#This Row],[NETO GRAVADO]]="","",compras_mes8[[#This Row],[NETO GRAVADO]]*0.21)</f>
        <v>993.51</v>
      </c>
      <c r="J161" s="462"/>
      <c r="K161" s="462"/>
      <c r="L161" s="462"/>
      <c r="M161" s="462"/>
      <c r="N161" s="462"/>
      <c r="O161" s="462"/>
      <c r="P161" s="463">
        <f>SUM(compras_mes8[[#This Row],[NETO GRAVADO]:[Otros / No Grav.]])</f>
        <v>5724.51</v>
      </c>
      <c r="Q161" s="464">
        <f>IFERROR(IF(compras_mes8[[#This Row],[CUIT]]="","-",VLOOKUP(compras_mes8[[#This Row],[CUIT]],Lista_CUIT[#All],3,0)),"CUIT NO CARGADO")</f>
        <v>0</v>
      </c>
      <c r="R161" s="464">
        <f>IFERROR(IF(compras_mes8[[#This Row],[CUIT]]="","-",VLOOKUP(compras_mes8[[#This Row],[CUIT]],Lista_CUIT[#All],4,0)),"CUIT NO CARGADO")</f>
        <v>0</v>
      </c>
    </row>
    <row r="162" spans="2:18" x14ac:dyDescent="0.3">
      <c r="B162" s="456">
        <v>45161</v>
      </c>
      <c r="C162" s="457">
        <v>1</v>
      </c>
      <c r="D162" s="458">
        <v>2</v>
      </c>
      <c r="E162" s="506">
        <v>3421</v>
      </c>
      <c r="F162" s="459">
        <v>30629863571</v>
      </c>
      <c r="G162" s="460" t="str">
        <f>IFERROR(IF(compras_mes8[[#This Row],[CUIT]]="","-",VLOOKUP(compras_mes8[[#This Row],[CUIT]],Lista_CUIT[#All],2,0)),"CUIT NO CARGADO")</f>
        <v>TECNIMAR S R L</v>
      </c>
      <c r="H162" s="461">
        <v>2476498.2400000002</v>
      </c>
      <c r="I162" s="462">
        <f>IF(compras_mes8[[#This Row],[NETO GRAVADO]]="","",compras_mes8[[#This Row],[NETO GRAVADO]]*0.21)</f>
        <v>520064.63040000002</v>
      </c>
      <c r="J162" s="462"/>
      <c r="K162" s="462"/>
      <c r="L162" s="462"/>
      <c r="M162" s="462"/>
      <c r="N162" s="462"/>
      <c r="O162" s="462"/>
      <c r="P162" s="463">
        <f>SUM(compras_mes8[[#This Row],[NETO GRAVADO]:[Otros / No Grav.]])</f>
        <v>2996562.8704000004</v>
      </c>
      <c r="Q162" s="464" t="str">
        <f>IFERROR(IF(compras_mes8[[#This Row],[CUIT]]="","-",VLOOKUP(compras_mes8[[#This Row],[CUIT]],Lista_CUIT[#All],3,0)),"CUIT NO CARGADO")</f>
        <v>LABORATORIO</v>
      </c>
      <c r="R162" s="464">
        <f>IFERROR(IF(compras_mes8[[#This Row],[CUIT]]="","-",VLOOKUP(compras_mes8[[#This Row],[CUIT]],Lista_CUIT[#All],4,0)),"CUIT NO CARGADO")</f>
        <v>0</v>
      </c>
    </row>
    <row r="163" spans="2:18" x14ac:dyDescent="0.3">
      <c r="B163" s="456">
        <v>45161</v>
      </c>
      <c r="C163" s="457">
        <v>1</v>
      </c>
      <c r="D163" s="458">
        <v>2</v>
      </c>
      <c r="E163" s="506">
        <v>249</v>
      </c>
      <c r="F163" s="459">
        <v>30717768511</v>
      </c>
      <c r="G163" s="460" t="str">
        <f>IFERROR(IF(compras_mes8[[#This Row],[CUIT]]="","-",VLOOKUP(compras_mes8[[#This Row],[CUIT]],Lista_CUIT[#All],2,0)),"CUIT NO CARGADO")</f>
        <v>DEALER S. CAP I SECC IV</v>
      </c>
      <c r="H163" s="461">
        <v>68685</v>
      </c>
      <c r="I163" s="462">
        <f>IF(compras_mes8[[#This Row],[NETO GRAVADO]]="","",compras_mes8[[#This Row],[NETO GRAVADO]]*0.21)</f>
        <v>14423.85</v>
      </c>
      <c r="J163" s="462"/>
      <c r="K163" s="462"/>
      <c r="L163" s="462"/>
      <c r="M163" s="462"/>
      <c r="N163" s="462"/>
      <c r="O163" s="462"/>
      <c r="P163" s="463">
        <f>SUM(compras_mes8[[#This Row],[NETO GRAVADO]:[Otros / No Grav.]])</f>
        <v>83108.850000000006</v>
      </c>
      <c r="Q163" s="464">
        <f>IFERROR(IF(compras_mes8[[#This Row],[CUIT]]="","-",VLOOKUP(compras_mes8[[#This Row],[CUIT]],Lista_CUIT[#All],3,0)),"CUIT NO CARGADO")</f>
        <v>0</v>
      </c>
      <c r="R163" s="464">
        <f>IFERROR(IF(compras_mes8[[#This Row],[CUIT]]="","-",VLOOKUP(compras_mes8[[#This Row],[CUIT]],Lista_CUIT[#All],4,0)),"CUIT NO CARGADO")</f>
        <v>0</v>
      </c>
    </row>
    <row r="164" spans="2:18" x14ac:dyDescent="0.3">
      <c r="B164" s="456">
        <v>45161</v>
      </c>
      <c r="C164" s="457">
        <v>1</v>
      </c>
      <c r="D164" s="458">
        <v>6</v>
      </c>
      <c r="E164" s="506">
        <v>415</v>
      </c>
      <c r="F164" s="459">
        <v>27287475344</v>
      </c>
      <c r="G164" s="460" t="str">
        <f>IFERROR(IF(compras_mes8[[#This Row],[CUIT]]="","-",VLOOKUP(compras_mes8[[#This Row],[CUIT]],Lista_CUIT[#All],2,0)),"CUIT NO CARGADO")</f>
        <v>CESPEDES PEÑALOZA CARMEN CAROLINA</v>
      </c>
      <c r="H164" s="461">
        <v>24376.91</v>
      </c>
      <c r="I164" s="462">
        <f>IF(compras_mes8[[#This Row],[NETO GRAVADO]]="","",compras_mes8[[#This Row],[NETO GRAVADO]]*0.21)</f>
        <v>5119.1511</v>
      </c>
      <c r="J164" s="462"/>
      <c r="K164" s="462"/>
      <c r="L164" s="462"/>
      <c r="M164" s="462"/>
      <c r="N164" s="462"/>
      <c r="O164" s="462"/>
      <c r="P164" s="463">
        <f>SUM(compras_mes8[[#This Row],[NETO GRAVADO]:[Otros / No Grav.]])</f>
        <v>29496.061099999999</v>
      </c>
      <c r="Q164" s="464">
        <f>IFERROR(IF(compras_mes8[[#This Row],[CUIT]]="","-",VLOOKUP(compras_mes8[[#This Row],[CUIT]],Lista_CUIT[#All],3,0)),"CUIT NO CARGADO")</f>
        <v>0</v>
      </c>
      <c r="R164" s="464">
        <f>IFERROR(IF(compras_mes8[[#This Row],[CUIT]]="","-",VLOOKUP(compras_mes8[[#This Row],[CUIT]],Lista_CUIT[#All],4,0)),"CUIT NO CARGADO")</f>
        <v>0</v>
      </c>
    </row>
    <row r="165" spans="2:18" x14ac:dyDescent="0.3">
      <c r="B165" s="456">
        <v>45161</v>
      </c>
      <c r="C165" s="457">
        <v>1</v>
      </c>
      <c r="D165" s="458">
        <v>11</v>
      </c>
      <c r="E165" s="506">
        <v>74592</v>
      </c>
      <c r="F165" s="459">
        <v>30534051049</v>
      </c>
      <c r="G165" s="460" t="str">
        <f>IFERROR(IF(compras_mes8[[#This Row],[CUIT]]="","-",VLOOKUP(compras_mes8[[#This Row],[CUIT]],Lista_CUIT[#All],2,0)),"CUIT NO CARGADO")</f>
        <v>ELECTRO UNIVERSO - PLIN METAL S A</v>
      </c>
      <c r="H165" s="461">
        <v>91186.54</v>
      </c>
      <c r="I165" s="462">
        <f>IF(compras_mes8[[#This Row],[NETO GRAVADO]]="","",compras_mes8[[#This Row],[NETO GRAVADO]]*0.21)</f>
        <v>19149.1734</v>
      </c>
      <c r="J165" s="462"/>
      <c r="K165" s="462"/>
      <c r="L165" s="462"/>
      <c r="M165" s="462"/>
      <c r="N165" s="462"/>
      <c r="O165" s="462"/>
      <c r="P165" s="463">
        <f>SUM(compras_mes8[[#This Row],[NETO GRAVADO]:[Otros / No Grav.]])</f>
        <v>110335.71339999999</v>
      </c>
      <c r="Q165" s="464">
        <f>IFERROR(IF(compras_mes8[[#This Row],[CUIT]]="","-",VLOOKUP(compras_mes8[[#This Row],[CUIT]],Lista_CUIT[#All],3,0)),"CUIT NO CARGADO")</f>
        <v>0</v>
      </c>
      <c r="R165" s="464">
        <f>IFERROR(IF(compras_mes8[[#This Row],[CUIT]]="","-",VLOOKUP(compras_mes8[[#This Row],[CUIT]],Lista_CUIT[#All],4,0)),"CUIT NO CARGADO")</f>
        <v>0</v>
      </c>
    </row>
    <row r="166" spans="2:18" x14ac:dyDescent="0.3">
      <c r="B166" s="456">
        <v>45161</v>
      </c>
      <c r="C166" s="457">
        <v>1</v>
      </c>
      <c r="D166" s="458">
        <v>3</v>
      </c>
      <c r="E166" s="506">
        <v>56</v>
      </c>
      <c r="F166" s="459">
        <v>33715993509</v>
      </c>
      <c r="G166" s="460" t="str">
        <f>IFERROR(IF(compras_mes8[[#This Row],[CUIT]]="","-",VLOOKUP(compras_mes8[[#This Row],[CUIT]],Lista_CUIT[#All],2,0)),"CUIT NO CARGADO")</f>
        <v>+Q NATURAL S.A.</v>
      </c>
      <c r="H166" s="461">
        <v>5727.28</v>
      </c>
      <c r="I166" s="462">
        <f>IF(compras_mes8[[#This Row],[NETO GRAVADO]]="","",compras_mes8[[#This Row],[NETO GRAVADO]]*0.21)</f>
        <v>1202.7287999999999</v>
      </c>
      <c r="J166" s="462"/>
      <c r="K166" s="462"/>
      <c r="L166" s="462"/>
      <c r="M166" s="462"/>
      <c r="N166" s="462"/>
      <c r="O166" s="462"/>
      <c r="P166" s="463">
        <f>SUM(compras_mes8[[#This Row],[NETO GRAVADO]:[Otros / No Grav.]])</f>
        <v>6930.0087999999996</v>
      </c>
      <c r="Q166" s="464">
        <f>IFERROR(IF(compras_mes8[[#This Row],[CUIT]]="","-",VLOOKUP(compras_mes8[[#This Row],[CUIT]],Lista_CUIT[#All],3,0)),"CUIT NO CARGADO")</f>
        <v>0</v>
      </c>
      <c r="R166" s="464">
        <f>IFERROR(IF(compras_mes8[[#This Row],[CUIT]]="","-",VLOOKUP(compras_mes8[[#This Row],[CUIT]],Lista_CUIT[#All],4,0)),"CUIT NO CARGADO")</f>
        <v>0</v>
      </c>
    </row>
    <row r="167" spans="2:18" x14ac:dyDescent="0.3">
      <c r="B167" s="456">
        <v>45161</v>
      </c>
      <c r="C167" s="457">
        <v>1</v>
      </c>
      <c r="D167" s="458">
        <v>34</v>
      </c>
      <c r="E167" s="506">
        <v>8452</v>
      </c>
      <c r="F167" s="459">
        <v>30516863230</v>
      </c>
      <c r="G167" s="460" t="str">
        <f>IFERROR(IF(compras_mes8[[#This Row],[CUIT]]="","-",VLOOKUP(compras_mes8[[#This Row],[CUIT]],Lista_CUIT[#All],2,0)),"CUIT NO CARGADO")</f>
        <v>CHEMECO SOCIEDAD ANONIMA</v>
      </c>
      <c r="H167" s="461">
        <v>6519.69</v>
      </c>
      <c r="I167" s="462">
        <f>IF(compras_mes8[[#This Row],[NETO GRAVADO]]="","",compras_mes8[[#This Row],[NETO GRAVADO]]*0.21)</f>
        <v>1369.1348999999998</v>
      </c>
      <c r="J167" s="462"/>
      <c r="K167" s="462"/>
      <c r="L167" s="462"/>
      <c r="M167" s="462"/>
      <c r="N167" s="462">
        <v>195.59</v>
      </c>
      <c r="O167" s="462"/>
      <c r="P167" s="463">
        <f>SUM(compras_mes8[[#This Row],[NETO GRAVADO]:[Otros / No Grav.]])</f>
        <v>8084.4148999999998</v>
      </c>
      <c r="Q167" s="464">
        <f>IFERROR(IF(compras_mes8[[#This Row],[CUIT]]="","-",VLOOKUP(compras_mes8[[#This Row],[CUIT]],Lista_CUIT[#All],3,0)),"CUIT NO CARGADO")</f>
        <v>0</v>
      </c>
      <c r="R167" s="464">
        <f>IFERROR(IF(compras_mes8[[#This Row],[CUIT]]="","-",VLOOKUP(compras_mes8[[#This Row],[CUIT]],Lista_CUIT[#All],4,0)),"CUIT NO CARGADO")</f>
        <v>0</v>
      </c>
    </row>
    <row r="168" spans="2:18" x14ac:dyDescent="0.3">
      <c r="B168" s="486">
        <v>45161</v>
      </c>
      <c r="C168" s="250">
        <v>1</v>
      </c>
      <c r="D168" s="487">
        <v>34</v>
      </c>
      <c r="E168" s="488">
        <v>8451</v>
      </c>
      <c r="F168" s="476">
        <v>30516863230</v>
      </c>
      <c r="G168" s="489" t="str">
        <f>IFERROR(IF(compras_mes8[[#This Row],[CUIT]]="","-",VLOOKUP(compras_mes8[[#This Row],[CUIT]],Lista_CUIT[#All],2,0)),"CUIT NO CARGADO")</f>
        <v>CHEMECO SOCIEDAD ANONIMA</v>
      </c>
      <c r="H168" s="490">
        <v>13039.38</v>
      </c>
      <c r="I168" s="491">
        <f>IF(compras_mes8[[#This Row],[NETO GRAVADO]]="","",compras_mes8[[#This Row],[NETO GRAVADO]]*0.21)</f>
        <v>2738.2697999999996</v>
      </c>
      <c r="J168" s="491"/>
      <c r="K168" s="491"/>
      <c r="L168" s="491"/>
      <c r="M168" s="491"/>
      <c r="N168" s="491">
        <v>391.18</v>
      </c>
      <c r="O168" s="491"/>
      <c r="P168" s="492">
        <f>SUM(compras_mes8[[#This Row],[NETO GRAVADO]:[Otros / No Grav.]])</f>
        <v>16168.8298</v>
      </c>
      <c r="Q168" s="493">
        <f>IFERROR(IF(compras_mes8[[#This Row],[CUIT]]="","-",VLOOKUP(compras_mes8[[#This Row],[CUIT]],Lista_CUIT[#All],3,0)),"CUIT NO CARGADO")</f>
        <v>0</v>
      </c>
      <c r="R168" s="493">
        <f>IFERROR(IF(compras_mes8[[#This Row],[CUIT]]="","-",VLOOKUP(compras_mes8[[#This Row],[CUIT]],Lista_CUIT[#All],4,0)),"CUIT NO CARGADO")</f>
        <v>0</v>
      </c>
    </row>
    <row r="169" spans="2:18" x14ac:dyDescent="0.3">
      <c r="B169" s="456">
        <v>45161</v>
      </c>
      <c r="C169" s="457">
        <v>3</v>
      </c>
      <c r="D169" s="458">
        <v>2</v>
      </c>
      <c r="E169" s="506">
        <v>14</v>
      </c>
      <c r="F169" s="459">
        <v>30717768511</v>
      </c>
      <c r="G169" s="460" t="str">
        <f>IFERROR(IF(compras_mes8[[#This Row],[CUIT]]="","-",VLOOKUP(compras_mes8[[#This Row],[CUIT]],Lista_CUIT[#All],2,0)),"CUIT NO CARGADO")</f>
        <v>DEALER S. CAP I SECC IV</v>
      </c>
      <c r="H169" s="461">
        <v>-103027.5</v>
      </c>
      <c r="I169" s="462">
        <f>IF(compras_mes8[[#This Row],[NETO GRAVADO]]="","",compras_mes8[[#This Row],[NETO GRAVADO]]*0.21)</f>
        <v>-21635.774999999998</v>
      </c>
      <c r="J169" s="462"/>
      <c r="K169" s="462"/>
      <c r="L169" s="462"/>
      <c r="M169" s="462"/>
      <c r="N169" s="462"/>
      <c r="O169" s="462"/>
      <c r="P169" s="463">
        <f>SUM(compras_mes8[[#This Row],[NETO GRAVADO]:[Otros / No Grav.]])</f>
        <v>-124663.27499999999</v>
      </c>
      <c r="Q169" s="464">
        <f>IFERROR(IF(compras_mes8[[#This Row],[CUIT]]="","-",VLOOKUP(compras_mes8[[#This Row],[CUIT]],Lista_CUIT[#All],3,0)),"CUIT NO CARGADO")</f>
        <v>0</v>
      </c>
      <c r="R169" s="464">
        <f>IFERROR(IF(compras_mes8[[#This Row],[CUIT]]="","-",VLOOKUP(compras_mes8[[#This Row],[CUIT]],Lista_CUIT[#All],4,0)),"CUIT NO CARGADO")</f>
        <v>0</v>
      </c>
    </row>
    <row r="170" spans="2:18" x14ac:dyDescent="0.3">
      <c r="B170" s="456">
        <v>45161</v>
      </c>
      <c r="C170" s="457">
        <v>3</v>
      </c>
      <c r="D170" s="458">
        <v>11</v>
      </c>
      <c r="E170" s="506">
        <v>24133</v>
      </c>
      <c r="F170" s="459">
        <v>30534051049</v>
      </c>
      <c r="G170" s="460" t="str">
        <f>IFERROR(IF(compras_mes8[[#This Row],[CUIT]]="","-",VLOOKUP(compras_mes8[[#This Row],[CUIT]],Lista_CUIT[#All],2,0)),"CUIT NO CARGADO")</f>
        <v>ELECTRO UNIVERSO - PLIN METAL S A</v>
      </c>
      <c r="H170" s="461">
        <v>-5652.75</v>
      </c>
      <c r="I170" s="462">
        <f>IF(compras_mes8[[#This Row],[NETO GRAVADO]]="","",compras_mes8[[#This Row],[NETO GRAVADO]]*0.21)</f>
        <v>-1187.0774999999999</v>
      </c>
      <c r="J170" s="462"/>
      <c r="K170" s="462"/>
      <c r="L170" s="462"/>
      <c r="M170" s="462"/>
      <c r="N170" s="462"/>
      <c r="O170" s="462"/>
      <c r="P170" s="463">
        <f>SUM(compras_mes8[[#This Row],[NETO GRAVADO]:[Otros / No Grav.]])</f>
        <v>-6839.8274999999994</v>
      </c>
      <c r="Q170" s="464">
        <f>IFERROR(IF(compras_mes8[[#This Row],[CUIT]]="","-",VLOOKUP(compras_mes8[[#This Row],[CUIT]],Lista_CUIT[#All],3,0)),"CUIT NO CARGADO")</f>
        <v>0</v>
      </c>
      <c r="R170" s="464">
        <f>IFERROR(IF(compras_mes8[[#This Row],[CUIT]]="","-",VLOOKUP(compras_mes8[[#This Row],[CUIT]],Lista_CUIT[#All],4,0)),"CUIT NO CARGADO")</f>
        <v>0</v>
      </c>
    </row>
    <row r="171" spans="2:18" x14ac:dyDescent="0.3">
      <c r="B171" s="486">
        <v>45161</v>
      </c>
      <c r="C171" s="494">
        <v>3</v>
      </c>
      <c r="D171" s="487">
        <v>34</v>
      </c>
      <c r="E171" s="488">
        <v>134</v>
      </c>
      <c r="F171" s="476">
        <v>30516863230</v>
      </c>
      <c r="G171" s="489" t="str">
        <f>IFERROR(IF(compras_mes8[[#This Row],[CUIT]]="","-",VLOOKUP(compras_mes8[[#This Row],[CUIT]],Lista_CUIT[#All],2,0)),"CUIT NO CARGADO")</f>
        <v>CHEMECO SOCIEDAD ANONIMA</v>
      </c>
      <c r="H171" s="490">
        <v>-13039.38</v>
      </c>
      <c r="I171" s="491">
        <f>IF(compras_mes8[[#This Row],[NETO GRAVADO]]="","",compras_mes8[[#This Row],[NETO GRAVADO]]*0.21)</f>
        <v>-2738.2697999999996</v>
      </c>
      <c r="J171" s="491"/>
      <c r="K171" s="491"/>
      <c r="L171" s="491"/>
      <c r="M171" s="491"/>
      <c r="N171" s="491">
        <v>-391.18</v>
      </c>
      <c r="O171" s="491"/>
      <c r="P171" s="492">
        <f>SUM(compras_mes8[[#This Row],[NETO GRAVADO]:[Otros / No Grav.]])</f>
        <v>-16168.8298</v>
      </c>
      <c r="Q171" s="493">
        <f>IFERROR(IF(compras_mes8[[#This Row],[CUIT]]="","-",VLOOKUP(compras_mes8[[#This Row],[CUIT]],Lista_CUIT[#All],3,0)),"CUIT NO CARGADO")</f>
        <v>0</v>
      </c>
      <c r="R171" s="493">
        <f>IFERROR(IF(compras_mes8[[#This Row],[CUIT]]="","-",VLOOKUP(compras_mes8[[#This Row],[CUIT]],Lista_CUIT[#All],4,0)),"CUIT NO CARGADO")</f>
        <v>0</v>
      </c>
    </row>
    <row r="172" spans="2:18" x14ac:dyDescent="0.3">
      <c r="B172" s="486">
        <v>45162</v>
      </c>
      <c r="C172" s="250">
        <v>1</v>
      </c>
      <c r="D172" s="487">
        <v>6854</v>
      </c>
      <c r="E172" s="488">
        <v>10886</v>
      </c>
      <c r="F172" s="476">
        <v>30678774495</v>
      </c>
      <c r="G172" s="489" t="str">
        <f>IFERROR(IF(compras_mes8[[#This Row],[CUIT]]="","-",VLOOKUP(compras_mes8[[#This Row],[CUIT]],Lista_CUIT[#All],2,0)),"CUIT NO CARGADO")</f>
        <v>OPER. DE EST. DE SERV. SA</v>
      </c>
      <c r="H172" s="490">
        <v>1647.3</v>
      </c>
      <c r="I172" s="491">
        <f>IF(compras_mes8[[#This Row],[NETO GRAVADO]]="","",compras_mes8[[#This Row],[NETO GRAVADO]]*0.21)</f>
        <v>345.93299999999999</v>
      </c>
      <c r="J172" s="491"/>
      <c r="K172" s="491"/>
      <c r="L172" s="491"/>
      <c r="M172" s="491"/>
      <c r="N172" s="491"/>
      <c r="O172" s="491">
        <v>206.78</v>
      </c>
      <c r="P172" s="492">
        <f>SUM(compras_mes8[[#This Row],[NETO GRAVADO]:[Otros / No Grav.]])</f>
        <v>2200.0129999999999</v>
      </c>
      <c r="Q172" s="493" t="str">
        <f>IFERROR(IF(compras_mes8[[#This Row],[CUIT]]="","-",VLOOKUP(compras_mes8[[#This Row],[CUIT]],Lista_CUIT[#All],3,0)),"CUIT NO CARGADO")</f>
        <v>Combustibe</v>
      </c>
      <c r="R172" s="493">
        <f>IFERROR(IF(compras_mes8[[#This Row],[CUIT]]="","-",VLOOKUP(compras_mes8[[#This Row],[CUIT]],Lista_CUIT[#All],4,0)),"CUIT NO CARGADO")</f>
        <v>0</v>
      </c>
    </row>
    <row r="173" spans="2:18" x14ac:dyDescent="0.3">
      <c r="B173" s="456">
        <v>45162</v>
      </c>
      <c r="C173" s="457">
        <v>1</v>
      </c>
      <c r="D173" s="458">
        <v>39</v>
      </c>
      <c r="E173" s="506">
        <v>42558</v>
      </c>
      <c r="F173" s="459">
        <v>30710587619</v>
      </c>
      <c r="G173" s="460" t="str">
        <f>IFERROR(IF(compras_mes8[[#This Row],[CUIT]]="","-",VLOOKUP(compras_mes8[[#This Row],[CUIT]],Lista_CUIT[#All],2,0)),"CUIT NO CARGADO")</f>
        <v>BAZAR Y CIA. S.A.</v>
      </c>
      <c r="H173" s="461">
        <v>39582</v>
      </c>
      <c r="I173" s="462">
        <f>IF(compras_mes8[[#This Row],[NETO GRAVADO]]="","",compras_mes8[[#This Row],[NETO GRAVADO]]*0.21)</f>
        <v>8312.2199999999993</v>
      </c>
      <c r="J173" s="462"/>
      <c r="K173" s="462"/>
      <c r="L173" s="462"/>
      <c r="M173" s="462"/>
      <c r="N173" s="462">
        <v>2374.92</v>
      </c>
      <c r="O173" s="462"/>
      <c r="P173" s="463">
        <f>SUM(compras_mes8[[#This Row],[NETO GRAVADO]:[Otros / No Grav.]])</f>
        <v>50269.14</v>
      </c>
      <c r="Q173" s="464">
        <f>IFERROR(IF(compras_mes8[[#This Row],[CUIT]]="","-",VLOOKUP(compras_mes8[[#This Row],[CUIT]],Lista_CUIT[#All],3,0)),"CUIT NO CARGADO")</f>
        <v>0</v>
      </c>
      <c r="R173" s="464">
        <f>IFERROR(IF(compras_mes8[[#This Row],[CUIT]]="","-",VLOOKUP(compras_mes8[[#This Row],[CUIT]],Lista_CUIT[#All],4,0)),"CUIT NO CARGADO")</f>
        <v>0</v>
      </c>
    </row>
    <row r="174" spans="2:18" x14ac:dyDescent="0.3">
      <c r="B174" s="456">
        <v>45162</v>
      </c>
      <c r="C174" s="457">
        <v>1</v>
      </c>
      <c r="D174" s="458">
        <v>5184</v>
      </c>
      <c r="E174" s="506">
        <v>237</v>
      </c>
      <c r="F174" s="459">
        <v>30601502778</v>
      </c>
      <c r="G174" s="460" t="str">
        <f>IFERROR(IF(compras_mes8[[#This Row],[CUIT]]="","-",VLOOKUP(compras_mes8[[#This Row],[CUIT]],Lista_CUIT[#All],2,0)),"CUIT NO CARGADO")</f>
        <v>ANDESMAR CARGAS</v>
      </c>
      <c r="H174" s="461">
        <v>3712.3</v>
      </c>
      <c r="I174" s="462">
        <f>IF(compras_mes8[[#This Row],[NETO GRAVADO]]="","",compras_mes8[[#This Row],[NETO GRAVADO]]*0.21)</f>
        <v>779.58299999999997</v>
      </c>
      <c r="J174" s="462"/>
      <c r="K174" s="462"/>
      <c r="L174" s="462"/>
      <c r="M174" s="462"/>
      <c r="N174" s="462"/>
      <c r="O174" s="462"/>
      <c r="P174" s="463">
        <f>SUM(compras_mes8[[#This Row],[NETO GRAVADO]:[Otros / No Grav.]])</f>
        <v>4491.8829999999998</v>
      </c>
      <c r="Q174" s="464">
        <f>IFERROR(IF(compras_mes8[[#This Row],[CUIT]]="","-",VLOOKUP(compras_mes8[[#This Row],[CUIT]],Lista_CUIT[#All],3,0)),"CUIT NO CARGADO")</f>
        <v>0</v>
      </c>
      <c r="R174" s="464">
        <f>IFERROR(IF(compras_mes8[[#This Row],[CUIT]]="","-",VLOOKUP(compras_mes8[[#This Row],[CUIT]],Lista_CUIT[#All],4,0)),"CUIT NO CARGADO")</f>
        <v>0</v>
      </c>
    </row>
    <row r="175" spans="2:18" x14ac:dyDescent="0.3">
      <c r="B175" s="456">
        <v>45163</v>
      </c>
      <c r="C175" s="457">
        <v>1</v>
      </c>
      <c r="D175" s="458">
        <v>2</v>
      </c>
      <c r="E175" s="506">
        <v>3423</v>
      </c>
      <c r="F175" s="459">
        <v>30629863571</v>
      </c>
      <c r="G175" s="460" t="str">
        <f>IFERROR(IF(compras_mes8[[#This Row],[CUIT]]="","-",VLOOKUP(compras_mes8[[#This Row],[CUIT]],Lista_CUIT[#All],2,0)),"CUIT NO CARGADO")</f>
        <v>TECNIMAR S R L</v>
      </c>
      <c r="H175" s="461">
        <v>1157132.92</v>
      </c>
      <c r="I175" s="462">
        <f>IF(compras_mes8[[#This Row],[NETO GRAVADO]]="","",compras_mes8[[#This Row],[NETO GRAVADO]]*0.21)</f>
        <v>242997.91319999998</v>
      </c>
      <c r="J175" s="462"/>
      <c r="K175" s="462"/>
      <c r="L175" s="462"/>
      <c r="M175" s="462"/>
      <c r="N175" s="462"/>
      <c r="O175" s="462"/>
      <c r="P175" s="463">
        <f>SUM(compras_mes8[[#This Row],[NETO GRAVADO]:[Otros / No Grav.]])</f>
        <v>1400130.8332</v>
      </c>
      <c r="Q175" s="464" t="str">
        <f>IFERROR(IF(compras_mes8[[#This Row],[CUIT]]="","-",VLOOKUP(compras_mes8[[#This Row],[CUIT]],Lista_CUIT[#All],3,0)),"CUIT NO CARGADO")</f>
        <v>LABORATORIO</v>
      </c>
      <c r="R175" s="464">
        <f>IFERROR(IF(compras_mes8[[#This Row],[CUIT]]="","-",VLOOKUP(compras_mes8[[#This Row],[CUIT]],Lista_CUIT[#All],4,0)),"CUIT NO CARGADO")</f>
        <v>0</v>
      </c>
    </row>
    <row r="176" spans="2:18" x14ac:dyDescent="0.3">
      <c r="B176" s="486">
        <v>45163</v>
      </c>
      <c r="C176" s="250">
        <v>1</v>
      </c>
      <c r="D176" s="487">
        <v>700</v>
      </c>
      <c r="E176" s="488">
        <v>1081088</v>
      </c>
      <c r="F176" s="476">
        <v>30715804812</v>
      </c>
      <c r="G176" s="489" t="str">
        <f>IFERROR(IF(compras_mes8[[#This Row],[CUIT]]="","-",VLOOKUP(compras_mes8[[#This Row],[CUIT]],Lista_CUIT[#All],2,0)),"CUIT NO CARGADO")</f>
        <v>CORREDORES VIALES SOCIEDAD ANONIMA</v>
      </c>
      <c r="H176" s="490">
        <v>413.22</v>
      </c>
      <c r="I176" s="491">
        <f>IF(compras_mes8[[#This Row],[NETO GRAVADO]]="","",compras_mes8[[#This Row],[NETO GRAVADO]]*0.21)</f>
        <v>86.776200000000003</v>
      </c>
      <c r="J176" s="491"/>
      <c r="K176" s="491"/>
      <c r="L176" s="491"/>
      <c r="M176" s="491"/>
      <c r="N176" s="491"/>
      <c r="O176" s="491"/>
      <c r="P176" s="492">
        <f>SUM(compras_mes8[[#This Row],[NETO GRAVADO]:[Otros / No Grav.]])</f>
        <v>499.99620000000004</v>
      </c>
      <c r="Q176" s="493">
        <f>IFERROR(IF(compras_mes8[[#This Row],[CUIT]]="","-",VLOOKUP(compras_mes8[[#This Row],[CUIT]],Lista_CUIT[#All],3,0)),"CUIT NO CARGADO")</f>
        <v>0</v>
      </c>
      <c r="R176" s="493">
        <f>IFERROR(IF(compras_mes8[[#This Row],[CUIT]]="","-",VLOOKUP(compras_mes8[[#This Row],[CUIT]],Lista_CUIT[#All],4,0)),"CUIT NO CARGADO")</f>
        <v>0</v>
      </c>
    </row>
    <row r="177" spans="2:18" x14ac:dyDescent="0.3">
      <c r="B177" s="456">
        <v>45163</v>
      </c>
      <c r="C177" s="457">
        <v>1</v>
      </c>
      <c r="D177" s="458">
        <v>22</v>
      </c>
      <c r="E177" s="506">
        <v>29550</v>
      </c>
      <c r="F177" s="459">
        <v>30584529454</v>
      </c>
      <c r="G177" s="460" t="str">
        <f>IFERROR(IF(compras_mes8[[#This Row],[CUIT]]="","-",VLOOKUP(compras_mes8[[#This Row],[CUIT]],Lista_CUIT[#All],2,0)),"CUIT NO CARGADO")</f>
        <v>MALI Y CIA SA</v>
      </c>
      <c r="H177" s="461">
        <v>8830.7000000000007</v>
      </c>
      <c r="I177" s="462"/>
      <c r="J177" s="462">
        <v>2384.29</v>
      </c>
      <c r="K177" s="462"/>
      <c r="L177" s="462"/>
      <c r="M177" s="462"/>
      <c r="N177" s="462"/>
      <c r="O177" s="462"/>
      <c r="P177" s="463">
        <f>SUM(compras_mes8[[#This Row],[NETO GRAVADO]:[Otros / No Grav.]])</f>
        <v>11214.990000000002</v>
      </c>
      <c r="Q177" s="464">
        <f>IFERROR(IF(compras_mes8[[#This Row],[CUIT]]="","-",VLOOKUP(compras_mes8[[#This Row],[CUIT]],Lista_CUIT[#All],3,0)),"CUIT NO CARGADO")</f>
        <v>0</v>
      </c>
      <c r="R177" s="464">
        <f>IFERROR(IF(compras_mes8[[#This Row],[CUIT]]="","-",VLOOKUP(compras_mes8[[#This Row],[CUIT]],Lista_CUIT[#All],4,0)),"CUIT NO CARGADO")</f>
        <v>0</v>
      </c>
    </row>
    <row r="178" spans="2:18" x14ac:dyDescent="0.3">
      <c r="B178" s="456">
        <v>45163</v>
      </c>
      <c r="C178" s="457">
        <v>1</v>
      </c>
      <c r="D178" s="458">
        <v>1</v>
      </c>
      <c r="E178" s="506">
        <v>1062</v>
      </c>
      <c r="F178" s="459">
        <v>30716920344</v>
      </c>
      <c r="G178" s="460" t="str">
        <f>IFERROR(IF(compras_mes8[[#This Row],[CUIT]]="","-",VLOOKUP(compras_mes8[[#This Row],[CUIT]],Lista_CUIT[#All],2,0)),"CUIT NO CARGADO")</f>
        <v>FLORDEPAPELERA S.R.L.</v>
      </c>
      <c r="H178" s="461">
        <v>7900.16</v>
      </c>
      <c r="I178" s="462">
        <f>IF(compras_mes8[[#This Row],[NETO GRAVADO]]="","",compras_mes8[[#This Row],[NETO GRAVADO]]*0.21)</f>
        <v>1659.0336</v>
      </c>
      <c r="J178" s="462"/>
      <c r="K178" s="462"/>
      <c r="L178" s="462"/>
      <c r="M178" s="462"/>
      <c r="N178" s="462"/>
      <c r="O178" s="462"/>
      <c r="P178" s="463">
        <f>SUM(compras_mes8[[#This Row],[NETO GRAVADO]:[Otros / No Grav.]])</f>
        <v>9559.1936000000005</v>
      </c>
      <c r="Q178" s="464">
        <f>IFERROR(IF(compras_mes8[[#This Row],[CUIT]]="","-",VLOOKUP(compras_mes8[[#This Row],[CUIT]],Lista_CUIT[#All],3,0)),"CUIT NO CARGADO")</f>
        <v>0</v>
      </c>
      <c r="R178" s="464">
        <f>IFERROR(IF(compras_mes8[[#This Row],[CUIT]]="","-",VLOOKUP(compras_mes8[[#This Row],[CUIT]],Lista_CUIT[#All],4,0)),"CUIT NO CARGADO")</f>
        <v>0</v>
      </c>
    </row>
    <row r="179" spans="2:18" x14ac:dyDescent="0.3">
      <c r="B179" s="456">
        <v>45163</v>
      </c>
      <c r="C179" s="457">
        <v>1</v>
      </c>
      <c r="D179" s="458">
        <v>9</v>
      </c>
      <c r="E179" s="506">
        <v>798</v>
      </c>
      <c r="F179" s="459">
        <v>30710446047</v>
      </c>
      <c r="G179" s="460" t="str">
        <f>IFERROR(IF(compras_mes8[[#This Row],[CUIT]]="","-",VLOOKUP(compras_mes8[[#This Row],[CUIT]],Lista_CUIT[#All],2,0)),"CUIT NO CARGADO")</f>
        <v>ENSAMBLE GRAFICO S.H.</v>
      </c>
      <c r="H179" s="461">
        <v>390857</v>
      </c>
      <c r="I179" s="462">
        <f>IF(compras_mes8[[#This Row],[NETO GRAVADO]]="","",compras_mes8[[#This Row],[NETO GRAVADO]]*0.21)</f>
        <v>82079.97</v>
      </c>
      <c r="J179" s="462"/>
      <c r="K179" s="462"/>
      <c r="L179" s="462"/>
      <c r="M179" s="462"/>
      <c r="N179" s="462"/>
      <c r="O179" s="462"/>
      <c r="P179" s="463">
        <f>SUM(compras_mes8[[#This Row],[NETO GRAVADO]:[Otros / No Grav.]])</f>
        <v>472936.97</v>
      </c>
      <c r="Q179" s="464">
        <f>IFERROR(IF(compras_mes8[[#This Row],[CUIT]]="","-",VLOOKUP(compras_mes8[[#This Row],[CUIT]],Lista_CUIT[#All],3,0)),"CUIT NO CARGADO")</f>
        <v>0</v>
      </c>
      <c r="R179" s="464">
        <f>IFERROR(IF(compras_mes8[[#This Row],[CUIT]]="","-",VLOOKUP(compras_mes8[[#This Row],[CUIT]],Lista_CUIT[#All],4,0)),"CUIT NO CARGADO")</f>
        <v>0</v>
      </c>
    </row>
    <row r="180" spans="2:18" x14ac:dyDescent="0.3">
      <c r="B180" s="456">
        <v>45163</v>
      </c>
      <c r="C180" s="457">
        <v>1</v>
      </c>
      <c r="D180" s="458">
        <v>9</v>
      </c>
      <c r="E180" s="506">
        <v>797</v>
      </c>
      <c r="F180" s="459">
        <v>30710446047</v>
      </c>
      <c r="G180" s="460" t="str">
        <f>IFERROR(IF(compras_mes8[[#This Row],[CUIT]]="","-",VLOOKUP(compras_mes8[[#This Row],[CUIT]],Lista_CUIT[#All],2,0)),"CUIT NO CARGADO")</f>
        <v>ENSAMBLE GRAFICO S.H.</v>
      </c>
      <c r="H180" s="461">
        <v>764478</v>
      </c>
      <c r="I180" s="462">
        <f>IF(compras_mes8[[#This Row],[NETO GRAVADO]]="","",compras_mes8[[#This Row],[NETO GRAVADO]]*0.21)</f>
        <v>160540.38</v>
      </c>
      <c r="J180" s="462"/>
      <c r="K180" s="462"/>
      <c r="L180" s="462"/>
      <c r="M180" s="462"/>
      <c r="N180" s="462"/>
      <c r="O180" s="462"/>
      <c r="P180" s="463">
        <f>SUM(compras_mes8[[#This Row],[NETO GRAVADO]:[Otros / No Grav.]])</f>
        <v>925018.38</v>
      </c>
      <c r="Q180" s="464">
        <f>IFERROR(IF(compras_mes8[[#This Row],[CUIT]]="","-",VLOOKUP(compras_mes8[[#This Row],[CUIT]],Lista_CUIT[#All],3,0)),"CUIT NO CARGADO")</f>
        <v>0</v>
      </c>
      <c r="R180" s="464">
        <f>IFERROR(IF(compras_mes8[[#This Row],[CUIT]]="","-",VLOOKUP(compras_mes8[[#This Row],[CUIT]],Lista_CUIT[#All],4,0)),"CUIT NO CARGADO")</f>
        <v>0</v>
      </c>
    </row>
    <row r="181" spans="2:18" x14ac:dyDescent="0.3">
      <c r="B181" s="456">
        <v>45163</v>
      </c>
      <c r="C181" s="457">
        <v>1</v>
      </c>
      <c r="D181" s="458">
        <v>8</v>
      </c>
      <c r="E181" s="506">
        <v>15309</v>
      </c>
      <c r="F181" s="459">
        <v>30707059466</v>
      </c>
      <c r="G181" s="460" t="str">
        <f>IFERROR(IF(compras_mes8[[#This Row],[CUIT]]="","-",VLOOKUP(compras_mes8[[#This Row],[CUIT]],Lista_CUIT[#All],2,0)),"CUIT NO CARGADO")</f>
        <v>ESTACION SA</v>
      </c>
      <c r="H181" s="461">
        <v>9272.2900000000009</v>
      </c>
      <c r="I181" s="462">
        <f>IF(compras_mes8[[#This Row],[NETO GRAVADO]]="","",compras_mes8[[#This Row],[NETO GRAVADO]]*0.21)</f>
        <v>1947.1809000000001</v>
      </c>
      <c r="J181" s="462"/>
      <c r="K181" s="462"/>
      <c r="L181" s="462"/>
      <c r="M181" s="462"/>
      <c r="N181" s="462"/>
      <c r="O181" s="462">
        <v>945.38</v>
      </c>
      <c r="P181" s="463">
        <f>SUM(compras_mes8[[#This Row],[NETO GRAVADO]:[Otros / No Grav.]])</f>
        <v>12164.850899999999</v>
      </c>
      <c r="Q181" s="464">
        <f>IFERROR(IF(compras_mes8[[#This Row],[CUIT]]="","-",VLOOKUP(compras_mes8[[#This Row],[CUIT]],Lista_CUIT[#All],3,0)),"CUIT NO CARGADO")</f>
        <v>0</v>
      </c>
      <c r="R181" s="464">
        <f>IFERROR(IF(compras_mes8[[#This Row],[CUIT]]="","-",VLOOKUP(compras_mes8[[#This Row],[CUIT]],Lista_CUIT[#All],4,0)),"CUIT NO CARGADO")</f>
        <v>0</v>
      </c>
    </row>
    <row r="182" spans="2:18" x14ac:dyDescent="0.3">
      <c r="B182" s="456">
        <v>45163</v>
      </c>
      <c r="C182" s="457">
        <v>1</v>
      </c>
      <c r="D182" s="458">
        <v>23</v>
      </c>
      <c r="E182" s="506">
        <v>17817</v>
      </c>
      <c r="F182" s="459">
        <v>30515800219</v>
      </c>
      <c r="G182" s="460" t="str">
        <f>IFERROR(IF(compras_mes8[[#This Row],[CUIT]]="","-",VLOOKUP(compras_mes8[[#This Row],[CUIT]],Lista_CUIT[#All],2,0)),"CUIT NO CARGADO")</f>
        <v>INCAT SRL</v>
      </c>
      <c r="H182" s="461">
        <v>7399.47</v>
      </c>
      <c r="I182" s="462">
        <f>IF(compras_mes8[[#This Row],[NETO GRAVADO]]="","",compras_mes8[[#This Row],[NETO GRAVADO]]*0.21)</f>
        <v>1553.8887</v>
      </c>
      <c r="J182" s="462"/>
      <c r="K182" s="462"/>
      <c r="L182" s="462"/>
      <c r="M182" s="462"/>
      <c r="N182" s="462"/>
      <c r="O182" s="462">
        <v>1046.6300000000001</v>
      </c>
      <c r="P182" s="463">
        <f>SUM(compras_mes8[[#This Row],[NETO GRAVADO]:[Otros / No Grav.]])</f>
        <v>9999.9887000000017</v>
      </c>
      <c r="Q182" s="464" t="str">
        <f>IFERROR(IF(compras_mes8[[#This Row],[CUIT]]="","-",VLOOKUP(compras_mes8[[#This Row],[CUIT]],Lista_CUIT[#All],3,0)),"CUIT NO CARGADO")</f>
        <v>Combustibe</v>
      </c>
      <c r="R182" s="464" t="str">
        <f>IFERROR(IF(compras_mes8[[#This Row],[CUIT]]="","-",VLOOKUP(compras_mes8[[#This Row],[CUIT]],Lista_CUIT[#All],4,0)),"CUIT NO CARGADO")</f>
        <v>CABA</v>
      </c>
    </row>
    <row r="183" spans="2:18" x14ac:dyDescent="0.3">
      <c r="B183" s="456">
        <v>45164</v>
      </c>
      <c r="C183" s="457">
        <v>1</v>
      </c>
      <c r="D183" s="458">
        <v>2</v>
      </c>
      <c r="E183" s="506">
        <v>3425</v>
      </c>
      <c r="F183" s="459">
        <v>30629863571</v>
      </c>
      <c r="G183" s="460" t="str">
        <f>IFERROR(IF(compras_mes8[[#This Row],[CUIT]]="","-",VLOOKUP(compras_mes8[[#This Row],[CUIT]],Lista_CUIT[#All],2,0)),"CUIT NO CARGADO")</f>
        <v>TECNIMAR S R L</v>
      </c>
      <c r="H183" s="461">
        <v>1627200</v>
      </c>
      <c r="I183" s="462">
        <f>IF(compras_mes8[[#This Row],[NETO GRAVADO]]="","",compras_mes8[[#This Row],[NETO GRAVADO]]*0.21)</f>
        <v>341712</v>
      </c>
      <c r="J183" s="462"/>
      <c r="K183" s="462"/>
      <c r="L183" s="462"/>
      <c r="M183" s="462"/>
      <c r="N183" s="462"/>
      <c r="O183" s="462"/>
      <c r="P183" s="463">
        <f>SUM(compras_mes8[[#This Row],[NETO GRAVADO]:[Otros / No Grav.]])</f>
        <v>1968912</v>
      </c>
      <c r="Q183" s="464" t="str">
        <f>IFERROR(IF(compras_mes8[[#This Row],[CUIT]]="","-",VLOOKUP(compras_mes8[[#This Row],[CUIT]],Lista_CUIT[#All],3,0)),"CUIT NO CARGADO")</f>
        <v>LABORATORIO</v>
      </c>
      <c r="R183" s="464">
        <f>IFERROR(IF(compras_mes8[[#This Row],[CUIT]]="","-",VLOOKUP(compras_mes8[[#This Row],[CUIT]],Lista_CUIT[#All],4,0)),"CUIT NO CARGADO")</f>
        <v>0</v>
      </c>
    </row>
    <row r="184" spans="2:18" x14ac:dyDescent="0.3">
      <c r="B184" s="456">
        <v>45164</v>
      </c>
      <c r="C184" s="457">
        <v>1</v>
      </c>
      <c r="D184" s="458">
        <v>2199</v>
      </c>
      <c r="E184" s="506">
        <v>23835</v>
      </c>
      <c r="F184" s="459">
        <v>30548083156</v>
      </c>
      <c r="G184" s="460" t="str">
        <f>IFERROR(IF(compras_mes8[[#This Row],[CUIT]]="","-",VLOOKUP(compras_mes8[[#This Row],[CUIT]],Lista_CUIT[#All],2,0)),"CUIT NO CARGADO")</f>
        <v>COTO CENTRO INTEGRAL DE COMERCIALIZACION SOCIEDAD ANONIMA</v>
      </c>
      <c r="H184" s="461">
        <v>22767.06</v>
      </c>
      <c r="I184" s="462">
        <v>3806.73</v>
      </c>
      <c r="J184" s="462"/>
      <c r="K184" s="462">
        <v>487.17</v>
      </c>
      <c r="L184" s="462"/>
      <c r="M184" s="462"/>
      <c r="N184" s="462"/>
      <c r="O184" s="462">
        <v>1829.07</v>
      </c>
      <c r="P184" s="463">
        <f>SUM(compras_mes8[[#This Row],[NETO GRAVADO]:[Otros / No Grav.]])</f>
        <v>28890.03</v>
      </c>
      <c r="Q184" s="464" t="str">
        <f>IFERROR(IF(compras_mes8[[#This Row],[CUIT]]="","-",VLOOKUP(compras_mes8[[#This Row],[CUIT]],Lista_CUIT[#All],3,0)),"CUIT NO CARGADO")</f>
        <v>GASTOS COMERCIALES</v>
      </c>
      <c r="R184" s="464">
        <f>IFERROR(IF(compras_mes8[[#This Row],[CUIT]]="","-",VLOOKUP(compras_mes8[[#This Row],[CUIT]],Lista_CUIT[#All],4,0)),"CUIT NO CARGADO")</f>
        <v>0</v>
      </c>
    </row>
    <row r="185" spans="2:18" x14ac:dyDescent="0.3">
      <c r="B185" s="486">
        <v>45164</v>
      </c>
      <c r="C185" s="250">
        <v>1</v>
      </c>
      <c r="D185" s="487">
        <v>16</v>
      </c>
      <c r="E185" s="488">
        <v>4504</v>
      </c>
      <c r="F185" s="476">
        <v>30707862900</v>
      </c>
      <c r="G185" s="489" t="str">
        <f>IFERROR(IF(compras_mes8[[#This Row],[CUIT]]="","-",VLOOKUP(compras_mes8[[#This Row],[CUIT]],Lista_CUIT[#All],2,0)),"CUIT NO CARGADO")</f>
        <v>TINECRO S.A.</v>
      </c>
      <c r="H185" s="490">
        <v>25000</v>
      </c>
      <c r="I185" s="491">
        <f>IF(compras_mes8[[#This Row],[NETO GRAVADO]]="","",compras_mes8[[#This Row],[NETO GRAVADO]]*0.21)</f>
        <v>5250</v>
      </c>
      <c r="J185" s="491"/>
      <c r="K185" s="491"/>
      <c r="L185" s="491"/>
      <c r="M185" s="491"/>
      <c r="N185" s="491"/>
      <c r="O185" s="491"/>
      <c r="P185" s="492">
        <f>SUM(compras_mes8[[#This Row],[NETO GRAVADO]:[Otros / No Grav.]])</f>
        <v>30250</v>
      </c>
      <c r="Q185" s="493">
        <f>IFERROR(IF(compras_mes8[[#This Row],[CUIT]]="","-",VLOOKUP(compras_mes8[[#This Row],[CUIT]],Lista_CUIT[#All],3,0)),"CUIT NO CARGADO")</f>
        <v>0</v>
      </c>
      <c r="R185" s="493">
        <f>IFERROR(IF(compras_mes8[[#This Row],[CUIT]]="","-",VLOOKUP(compras_mes8[[#This Row],[CUIT]],Lista_CUIT[#All],4,0)),"CUIT NO CARGADO")</f>
        <v>0</v>
      </c>
    </row>
    <row r="186" spans="2:18" x14ac:dyDescent="0.3">
      <c r="B186" s="486">
        <v>45164</v>
      </c>
      <c r="C186" s="250">
        <v>1</v>
      </c>
      <c r="D186" s="487">
        <v>16</v>
      </c>
      <c r="E186" s="488">
        <v>4503</v>
      </c>
      <c r="F186" s="476">
        <v>30707862900</v>
      </c>
      <c r="G186" s="489" t="str">
        <f>IFERROR(IF(compras_mes8[[#This Row],[CUIT]]="","-",VLOOKUP(compras_mes8[[#This Row],[CUIT]],Lista_CUIT[#All],2,0)),"CUIT NO CARGADO")</f>
        <v>TINECRO S.A.</v>
      </c>
      <c r="H186" s="490">
        <v>25000</v>
      </c>
      <c r="I186" s="491">
        <f>IF(compras_mes8[[#This Row],[NETO GRAVADO]]="","",compras_mes8[[#This Row],[NETO GRAVADO]]*0.21)</f>
        <v>5250</v>
      </c>
      <c r="J186" s="491"/>
      <c r="K186" s="491"/>
      <c r="L186" s="491"/>
      <c r="M186" s="491"/>
      <c r="N186" s="491"/>
      <c r="O186" s="491"/>
      <c r="P186" s="492">
        <f>SUM(compras_mes8[[#This Row],[NETO GRAVADO]:[Otros / No Grav.]])</f>
        <v>30250</v>
      </c>
      <c r="Q186" s="493">
        <f>IFERROR(IF(compras_mes8[[#This Row],[CUIT]]="","-",VLOOKUP(compras_mes8[[#This Row],[CUIT]],Lista_CUIT[#All],3,0)),"CUIT NO CARGADO")</f>
        <v>0</v>
      </c>
      <c r="R186" s="493">
        <f>IFERROR(IF(compras_mes8[[#This Row],[CUIT]]="","-",VLOOKUP(compras_mes8[[#This Row],[CUIT]],Lista_CUIT[#All],4,0)),"CUIT NO CARGADO")</f>
        <v>0</v>
      </c>
    </row>
    <row r="187" spans="2:18" x14ac:dyDescent="0.3">
      <c r="B187" s="456">
        <v>45164</v>
      </c>
      <c r="C187" s="457">
        <v>1</v>
      </c>
      <c r="D187" s="458">
        <v>12</v>
      </c>
      <c r="E187" s="506">
        <v>31623</v>
      </c>
      <c r="F187" s="459">
        <v>30696131003</v>
      </c>
      <c r="G187" s="460" t="str">
        <f>IFERROR(IF(compras_mes8[[#This Row],[CUIT]]="","-",VLOOKUP(compras_mes8[[#This Row],[CUIT]],Lista_CUIT[#All],2,0)),"CUIT NO CARGADO")</f>
        <v>Petrolfe S.A.</v>
      </c>
      <c r="H187" s="461">
        <v>38365.71</v>
      </c>
      <c r="I187" s="462">
        <f>IF(compras_mes8[[#This Row],[NETO GRAVADO]]="","",compras_mes8[[#This Row],[NETO GRAVADO]]*0.21)</f>
        <v>8056.7990999999993</v>
      </c>
      <c r="J187" s="462"/>
      <c r="K187" s="462"/>
      <c r="L187" s="462"/>
      <c r="M187" s="462"/>
      <c r="N187" s="462"/>
      <c r="O187" s="462">
        <v>5026.5</v>
      </c>
      <c r="P187" s="463">
        <f>SUM(compras_mes8[[#This Row],[NETO GRAVADO]:[Otros / No Grav.]])</f>
        <v>51449.009099999996</v>
      </c>
      <c r="Q187" s="464" t="str">
        <f>IFERROR(IF(compras_mes8[[#This Row],[CUIT]]="","-",VLOOKUP(compras_mes8[[#This Row],[CUIT]],Lista_CUIT[#All],3,0)),"CUIT NO CARGADO")</f>
        <v>Combustible</v>
      </c>
      <c r="R187" s="464">
        <f>IFERROR(IF(compras_mes8[[#This Row],[CUIT]]="","-",VLOOKUP(compras_mes8[[#This Row],[CUIT]],Lista_CUIT[#All],4,0)),"CUIT NO CARGADO")</f>
        <v>0</v>
      </c>
    </row>
    <row r="188" spans="2:18" x14ac:dyDescent="0.3">
      <c r="B188" s="486">
        <v>45165</v>
      </c>
      <c r="C188" s="250">
        <v>1</v>
      </c>
      <c r="D188" s="487">
        <v>2188</v>
      </c>
      <c r="E188" s="488">
        <v>97758</v>
      </c>
      <c r="F188" s="476">
        <v>30548083156</v>
      </c>
      <c r="G188" s="489" t="str">
        <f>IFERROR(IF(compras_mes8[[#This Row],[CUIT]]="","-",VLOOKUP(compras_mes8[[#This Row],[CUIT]],Lista_CUIT[#All],2,0)),"CUIT NO CARGADO")</f>
        <v>COTO CENTRO INTEGRAL DE COMERCIALIZACION SOCIEDAD ANONIMA</v>
      </c>
      <c r="H188" s="490">
        <v>14324.65</v>
      </c>
      <c r="I188" s="491">
        <v>1982.39</v>
      </c>
      <c r="J188" s="491"/>
      <c r="K188" s="491">
        <v>512.89</v>
      </c>
      <c r="L188" s="491"/>
      <c r="M188" s="491"/>
      <c r="N188" s="491"/>
      <c r="O188" s="491">
        <v>1127.72</v>
      </c>
      <c r="P188" s="492">
        <f>SUM(compras_mes8[[#This Row],[NETO GRAVADO]:[Otros / No Grav.]])</f>
        <v>17947.650000000001</v>
      </c>
      <c r="Q188" s="493" t="str">
        <f>IFERROR(IF(compras_mes8[[#This Row],[CUIT]]="","-",VLOOKUP(compras_mes8[[#This Row],[CUIT]],Lista_CUIT[#All],3,0)),"CUIT NO CARGADO")</f>
        <v>GASTOS COMERCIALES</v>
      </c>
      <c r="R188" s="493">
        <f>IFERROR(IF(compras_mes8[[#This Row],[CUIT]]="","-",VLOOKUP(compras_mes8[[#This Row],[CUIT]],Lista_CUIT[#All],4,0)),"CUIT NO CARGADO")</f>
        <v>0</v>
      </c>
    </row>
    <row r="189" spans="2:18" ht="14.4" customHeight="1" x14ac:dyDescent="0.3">
      <c r="B189" s="456">
        <v>45166</v>
      </c>
      <c r="C189" s="457">
        <v>1</v>
      </c>
      <c r="D189" s="458">
        <v>1</v>
      </c>
      <c r="E189" s="506">
        <v>3951</v>
      </c>
      <c r="F189" s="459">
        <v>30715706551</v>
      </c>
      <c r="G189" s="460" t="str">
        <f>IFERROR(IF(compras_mes8[[#This Row],[CUIT]]="","-",VLOOKUP(compras_mes8[[#This Row],[CUIT]],Lista_CUIT[#All],2,0)),"CUIT NO CARGADO")</f>
        <v>FILET DE MERLUZA S.R.L.</v>
      </c>
      <c r="H189" s="461">
        <v>42800</v>
      </c>
      <c r="I189" s="462">
        <f>IF(compras_mes8[[#This Row],[NETO GRAVADO]]="","",compras_mes8[[#This Row],[NETO GRAVADO]]*0.21)</f>
        <v>8988</v>
      </c>
      <c r="J189" s="462"/>
      <c r="K189" s="462"/>
      <c r="L189" s="462"/>
      <c r="M189" s="462"/>
      <c r="N189" s="462"/>
      <c r="O189" s="462"/>
      <c r="P189" s="463">
        <f>SUM(compras_mes8[[#This Row],[NETO GRAVADO]:[Otros / No Grav.]])</f>
        <v>51788</v>
      </c>
      <c r="Q189" s="464">
        <f>IFERROR(IF(compras_mes8[[#This Row],[CUIT]]="","-",VLOOKUP(compras_mes8[[#This Row],[CUIT]],Lista_CUIT[#All],3,0)),"CUIT NO CARGADO")</f>
        <v>0</v>
      </c>
      <c r="R189" s="464">
        <f>IFERROR(IF(compras_mes8[[#This Row],[CUIT]]="","-",VLOOKUP(compras_mes8[[#This Row],[CUIT]],Lista_CUIT[#All],4,0)),"CUIT NO CARGADO")</f>
        <v>0</v>
      </c>
    </row>
    <row r="190" spans="2:18" ht="14.4" customHeight="1" x14ac:dyDescent="0.3">
      <c r="B190" s="456">
        <v>45166</v>
      </c>
      <c r="C190" s="457">
        <v>1</v>
      </c>
      <c r="D190" s="458">
        <v>22</v>
      </c>
      <c r="E190" s="506">
        <v>29567</v>
      </c>
      <c r="F190" s="459">
        <v>30584529454</v>
      </c>
      <c r="G190" s="460" t="str">
        <f>IFERROR(IF(compras_mes8[[#This Row],[CUIT]]="","-",VLOOKUP(compras_mes8[[#This Row],[CUIT]],Lista_CUIT[#All],2,0)),"CUIT NO CARGADO")</f>
        <v>MALI Y CIA SA</v>
      </c>
      <c r="H190" s="461">
        <v>7369.39</v>
      </c>
      <c r="I190" s="462"/>
      <c r="J190" s="462">
        <v>1989.73</v>
      </c>
      <c r="K190" s="462"/>
      <c r="L190" s="462"/>
      <c r="M190" s="462"/>
      <c r="N190" s="462"/>
      <c r="O190" s="462"/>
      <c r="P190" s="463">
        <f>SUM(compras_mes8[[#This Row],[NETO GRAVADO]:[Otros / No Grav.]])</f>
        <v>9359.1200000000008</v>
      </c>
      <c r="Q190" s="464">
        <f>IFERROR(IF(compras_mes8[[#This Row],[CUIT]]="","-",VLOOKUP(compras_mes8[[#This Row],[CUIT]],Lista_CUIT[#All],3,0)),"CUIT NO CARGADO")</f>
        <v>0</v>
      </c>
      <c r="R190" s="464">
        <f>IFERROR(IF(compras_mes8[[#This Row],[CUIT]]="","-",VLOOKUP(compras_mes8[[#This Row],[CUIT]],Lista_CUIT[#All],4,0)),"CUIT NO CARGADO")</f>
        <v>0</v>
      </c>
    </row>
    <row r="191" spans="2:18" ht="15" customHeight="1" x14ac:dyDescent="0.3">
      <c r="B191" s="456">
        <v>45166</v>
      </c>
      <c r="C191" s="457">
        <v>1</v>
      </c>
      <c r="D191" s="458">
        <v>6</v>
      </c>
      <c r="E191" s="506">
        <v>420</v>
      </c>
      <c r="F191" s="459">
        <v>27287475344</v>
      </c>
      <c r="G191" s="460" t="str">
        <f>IFERROR(IF(compras_mes8[[#This Row],[CUIT]]="","-",VLOOKUP(compras_mes8[[#This Row],[CUIT]],Lista_CUIT[#All],2,0)),"CUIT NO CARGADO")</f>
        <v>CESPEDES PEÑALOZA CARMEN CAROLINA</v>
      </c>
      <c r="H191" s="461">
        <v>19717.919999999998</v>
      </c>
      <c r="I191" s="462">
        <f>IF(compras_mes8[[#This Row],[NETO GRAVADO]]="","",compras_mes8[[#This Row],[NETO GRAVADO]]*0.21)</f>
        <v>4140.7631999999994</v>
      </c>
      <c r="J191" s="462"/>
      <c r="K191" s="462"/>
      <c r="L191" s="462"/>
      <c r="M191" s="462"/>
      <c r="N191" s="462"/>
      <c r="O191" s="462"/>
      <c r="P191" s="463">
        <f>SUM(compras_mes8[[#This Row],[NETO GRAVADO]:[Otros / No Grav.]])</f>
        <v>23858.683199999999</v>
      </c>
      <c r="Q191" s="464">
        <f>IFERROR(IF(compras_mes8[[#This Row],[CUIT]]="","-",VLOOKUP(compras_mes8[[#This Row],[CUIT]],Lista_CUIT[#All],3,0)),"CUIT NO CARGADO")</f>
        <v>0</v>
      </c>
      <c r="R191" s="464">
        <f>IFERROR(IF(compras_mes8[[#This Row],[CUIT]]="","-",VLOOKUP(compras_mes8[[#This Row],[CUIT]],Lista_CUIT[#All],4,0)),"CUIT NO CARGADO")</f>
        <v>0</v>
      </c>
    </row>
    <row r="192" spans="2:18" ht="15" customHeight="1" x14ac:dyDescent="0.3">
      <c r="B192" s="456">
        <v>45166</v>
      </c>
      <c r="C192" s="457">
        <v>1</v>
      </c>
      <c r="D192" s="458">
        <v>10</v>
      </c>
      <c r="E192" s="506">
        <v>4742</v>
      </c>
      <c r="F192" s="459">
        <v>20217646414</v>
      </c>
      <c r="G192" s="460" t="str">
        <f>IFERROR(IF(compras_mes8[[#This Row],[CUIT]]="","-",VLOOKUP(compras_mes8[[#This Row],[CUIT]],Lista_CUIT[#All],2,0)),"CUIT NO CARGADO")</f>
        <v>FARBER HERMAN</v>
      </c>
      <c r="H192" s="461">
        <v>864450</v>
      </c>
      <c r="I192" s="462">
        <f>IF(compras_mes8[[#This Row],[NETO GRAVADO]]="","",compras_mes8[[#This Row],[NETO GRAVADO]]*0.21)</f>
        <v>181534.5</v>
      </c>
      <c r="J192" s="462"/>
      <c r="K192" s="462"/>
      <c r="L192" s="462"/>
      <c r="M192" s="462"/>
      <c r="N192" s="462"/>
      <c r="O192" s="462"/>
      <c r="P192" s="463">
        <f>SUM(compras_mes8[[#This Row],[NETO GRAVADO]:[Otros / No Grav.]])</f>
        <v>1045984.5</v>
      </c>
      <c r="Q192" s="464">
        <f>IFERROR(IF(compras_mes8[[#This Row],[CUIT]]="","-",VLOOKUP(compras_mes8[[#This Row],[CUIT]],Lista_CUIT[#All],3,0)),"CUIT NO CARGADO")</f>
        <v>0</v>
      </c>
      <c r="R192" s="464">
        <f>IFERROR(IF(compras_mes8[[#This Row],[CUIT]]="","-",VLOOKUP(compras_mes8[[#This Row],[CUIT]],Lista_CUIT[#All],4,0)),"CUIT NO CARGADO")</f>
        <v>0</v>
      </c>
    </row>
    <row r="193" spans="2:19" ht="15" customHeight="1" x14ac:dyDescent="0.3">
      <c r="B193" s="486">
        <v>45166</v>
      </c>
      <c r="C193" s="250">
        <v>1</v>
      </c>
      <c r="D193" s="487">
        <v>16</v>
      </c>
      <c r="E193" s="488">
        <v>4510</v>
      </c>
      <c r="F193" s="476">
        <v>30707862900</v>
      </c>
      <c r="G193" s="489" t="str">
        <f>IFERROR(IF(compras_mes8[[#This Row],[CUIT]]="","-",VLOOKUP(compras_mes8[[#This Row],[CUIT]],Lista_CUIT[#All],2,0)),"CUIT NO CARGADO")</f>
        <v>TINECRO S.A.</v>
      </c>
      <c r="H193" s="490">
        <v>50000</v>
      </c>
      <c r="I193" s="491">
        <f>IF(compras_mes8[[#This Row],[NETO GRAVADO]]="","",compras_mes8[[#This Row],[NETO GRAVADO]]*0.21)</f>
        <v>10500</v>
      </c>
      <c r="J193" s="491"/>
      <c r="K193" s="491"/>
      <c r="L193" s="491"/>
      <c r="M193" s="491"/>
      <c r="N193" s="491"/>
      <c r="O193" s="491"/>
      <c r="P193" s="492">
        <f>SUM(compras_mes8[[#This Row],[NETO GRAVADO]:[Otros / No Grav.]])</f>
        <v>60500</v>
      </c>
      <c r="Q193" s="493">
        <f>IFERROR(IF(compras_mes8[[#This Row],[CUIT]]="","-",VLOOKUP(compras_mes8[[#This Row],[CUIT]],Lista_CUIT[#All],3,0)),"CUIT NO CARGADO")</f>
        <v>0</v>
      </c>
      <c r="R193" s="493">
        <f>IFERROR(IF(compras_mes8[[#This Row],[CUIT]]="","-",VLOOKUP(compras_mes8[[#This Row],[CUIT]],Lista_CUIT[#All],4,0)),"CUIT NO CARGADO")</f>
        <v>0</v>
      </c>
    </row>
    <row r="194" spans="2:19" ht="15" customHeight="1" x14ac:dyDescent="0.3">
      <c r="B194" s="486">
        <v>45167</v>
      </c>
      <c r="C194" s="250">
        <v>1</v>
      </c>
      <c r="D194" s="487">
        <v>27</v>
      </c>
      <c r="E194" s="488">
        <v>1602752</v>
      </c>
      <c r="F194" s="476">
        <v>30703088534</v>
      </c>
      <c r="G194" s="489" t="str">
        <f>IFERROR(IF(compras_mes8[[#This Row],[CUIT]]="","-",VLOOKUP(compras_mes8[[#This Row],[CUIT]],Lista_CUIT[#All],2,0)),"CUIT NO CARGADO")</f>
        <v>MERCADO LIBRE SRL</v>
      </c>
      <c r="H194" s="490">
        <v>372403.49</v>
      </c>
      <c r="I194" s="491">
        <f>IF(compras_mes8[[#This Row],[NETO GRAVADO]]="","",compras_mes8[[#This Row],[NETO GRAVADO]]*0.21)</f>
        <v>78204.732899999988</v>
      </c>
      <c r="J194" s="491"/>
      <c r="K194" s="491"/>
      <c r="L194" s="491"/>
      <c r="M194" s="491"/>
      <c r="N194" s="491"/>
      <c r="O194" s="491">
        <v>37240.28</v>
      </c>
      <c r="P194" s="492">
        <f>SUM(compras_mes8[[#This Row],[NETO GRAVADO]:[Otros / No Grav.]])</f>
        <v>487848.50289999996</v>
      </c>
      <c r="Q194" s="493" t="str">
        <f>IFERROR(IF(compras_mes8[[#This Row],[CUIT]]="","-",VLOOKUP(compras_mes8[[#This Row],[CUIT]],Lista_CUIT[#All],3,0)),"CUIT NO CARGADO")</f>
        <v>Gastos Varios</v>
      </c>
      <c r="R194" s="493" t="str">
        <f>IFERROR(IF(compras_mes8[[#This Row],[CUIT]]="","-",VLOOKUP(compras_mes8[[#This Row],[CUIT]],Lista_CUIT[#All],4,0)),"CUIT NO CARGADO")</f>
        <v>CABA</v>
      </c>
    </row>
    <row r="195" spans="2:19" ht="15" customHeight="1" x14ac:dyDescent="0.3">
      <c r="B195" s="486">
        <v>45167</v>
      </c>
      <c r="C195" s="250">
        <v>1</v>
      </c>
      <c r="D195" s="487">
        <v>1</v>
      </c>
      <c r="E195" s="488">
        <v>124</v>
      </c>
      <c r="F195" s="476">
        <v>30717640175</v>
      </c>
      <c r="G195" s="489" t="str">
        <f>IFERROR(IF(compras_mes8[[#This Row],[CUIT]]="","-",VLOOKUP(compras_mes8[[#This Row],[CUIT]],Lista_CUIT[#All],2,0)),"CUIT NO CARGADO")</f>
        <v>GRUPO DE REPUESTOS EL MELLIZO</v>
      </c>
      <c r="H195" s="490">
        <v>13142.14</v>
      </c>
      <c r="I195" s="491">
        <f>IF(compras_mes8[[#This Row],[NETO GRAVADO]]="","",compras_mes8[[#This Row],[NETO GRAVADO]]*0.21)</f>
        <v>2759.8493999999996</v>
      </c>
      <c r="J195" s="491"/>
      <c r="K195" s="491"/>
      <c r="L195" s="491"/>
      <c r="M195" s="491"/>
      <c r="N195" s="491"/>
      <c r="O195" s="491"/>
      <c r="P195" s="492">
        <f>SUM(compras_mes8[[#This Row],[NETO GRAVADO]:[Otros / No Grav.]])</f>
        <v>15901.989399999999</v>
      </c>
      <c r="Q195" s="493">
        <f>IFERROR(IF(compras_mes8[[#This Row],[CUIT]]="","-",VLOOKUP(compras_mes8[[#This Row],[CUIT]],Lista_CUIT[#All],3,0)),"CUIT NO CARGADO")</f>
        <v>0</v>
      </c>
      <c r="R195" s="493">
        <f>IFERROR(IF(compras_mes8[[#This Row],[CUIT]]="","-",VLOOKUP(compras_mes8[[#This Row],[CUIT]],Lista_CUIT[#All],4,0)),"CUIT NO CARGADO")</f>
        <v>0</v>
      </c>
    </row>
    <row r="196" spans="2:19" x14ac:dyDescent="0.3">
      <c r="B196" s="486">
        <v>45167</v>
      </c>
      <c r="C196" s="250">
        <v>1</v>
      </c>
      <c r="D196" s="487">
        <v>6850</v>
      </c>
      <c r="E196" s="488">
        <v>16618</v>
      </c>
      <c r="F196" s="476">
        <v>30678774495</v>
      </c>
      <c r="G196" s="489" t="str">
        <f>IFERROR(IF(compras_mes8[[#This Row],[CUIT]]="","-",VLOOKUP(compras_mes8[[#This Row],[CUIT]],Lista_CUIT[#All],2,0)),"CUIT NO CARGADO")</f>
        <v>OPER. DE EST. DE SERV. SA</v>
      </c>
      <c r="H196" s="490">
        <v>1871.92</v>
      </c>
      <c r="I196" s="491">
        <f>IF(compras_mes8[[#This Row],[NETO GRAVADO]]="","",compras_mes8[[#This Row],[NETO GRAVADO]]*0.21)</f>
        <v>393.10320000000002</v>
      </c>
      <c r="J196" s="491"/>
      <c r="K196" s="491"/>
      <c r="L196" s="491"/>
      <c r="M196" s="491"/>
      <c r="N196" s="491"/>
      <c r="O196" s="491">
        <v>234.98</v>
      </c>
      <c r="P196" s="492">
        <f>SUM(compras_mes8[[#This Row],[NETO GRAVADO]:[Otros / No Grav.]])</f>
        <v>2500.0032000000001</v>
      </c>
      <c r="Q196" s="493" t="str">
        <f>IFERROR(IF(compras_mes8[[#This Row],[CUIT]]="","-",VLOOKUP(compras_mes8[[#This Row],[CUIT]],Lista_CUIT[#All],3,0)),"CUIT NO CARGADO")</f>
        <v>Combustibe</v>
      </c>
      <c r="R196" s="493">
        <f>IFERROR(IF(compras_mes8[[#This Row],[CUIT]]="","-",VLOOKUP(compras_mes8[[#This Row],[CUIT]],Lista_CUIT[#All],4,0)),"CUIT NO CARGADO")</f>
        <v>0</v>
      </c>
    </row>
    <row r="197" spans="2:19" x14ac:dyDescent="0.3">
      <c r="B197" s="486">
        <v>45167</v>
      </c>
      <c r="C197" s="250">
        <v>1</v>
      </c>
      <c r="D197" s="487">
        <v>8</v>
      </c>
      <c r="E197" s="488">
        <v>8944</v>
      </c>
      <c r="F197" s="476">
        <v>30709600539</v>
      </c>
      <c r="G197" s="489" t="str">
        <f>IFERROR(IF(compras_mes8[[#This Row],[CUIT]]="","-",VLOOKUP(compras_mes8[[#This Row],[CUIT]],Lista_CUIT[#All],2,0)),"CUIT NO CARGADO")</f>
        <v>LUGARES URBANOS S.A.</v>
      </c>
      <c r="H197" s="490">
        <v>1171000</v>
      </c>
      <c r="I197" s="491">
        <f>IF(compras_mes8[[#This Row],[NETO GRAVADO]]="","",compras_mes8[[#This Row],[NETO GRAVADO]]*0.21)</f>
        <v>245910</v>
      </c>
      <c r="J197" s="491"/>
      <c r="K197" s="491"/>
      <c r="L197" s="491"/>
      <c r="M197" s="491"/>
      <c r="N197" s="491"/>
      <c r="O197" s="491"/>
      <c r="P197" s="492">
        <f>SUM(compras_mes8[[#This Row],[NETO GRAVADO]:[Otros / No Grav.]])</f>
        <v>1416910</v>
      </c>
      <c r="Q197" s="493">
        <f>IFERROR(IF(compras_mes8[[#This Row],[CUIT]]="","-",VLOOKUP(compras_mes8[[#This Row],[CUIT]],Lista_CUIT[#All],3,0)),"CUIT NO CARGADO")</f>
        <v>0</v>
      </c>
      <c r="R197" s="493">
        <f>IFERROR(IF(compras_mes8[[#This Row],[CUIT]]="","-",VLOOKUP(compras_mes8[[#This Row],[CUIT]],Lista_CUIT[#All],4,0)),"CUIT NO CARGADO")</f>
        <v>0</v>
      </c>
    </row>
    <row r="198" spans="2:19" x14ac:dyDescent="0.3">
      <c r="B198" s="456">
        <v>45168</v>
      </c>
      <c r="C198" s="457">
        <v>1</v>
      </c>
      <c r="D198" s="458">
        <v>2</v>
      </c>
      <c r="E198" s="506">
        <v>3427</v>
      </c>
      <c r="F198" s="459">
        <v>30629863571</v>
      </c>
      <c r="G198" s="460" t="str">
        <f>IFERROR(IF(compras_mes8[[#This Row],[CUIT]]="","-",VLOOKUP(compras_mes8[[#This Row],[CUIT]],Lista_CUIT[#All],2,0)),"CUIT NO CARGADO")</f>
        <v>TECNIMAR S R L</v>
      </c>
      <c r="H198" s="461">
        <v>2503894.5299999998</v>
      </c>
      <c r="I198" s="462">
        <f>IF(compras_mes8[[#This Row],[NETO GRAVADO]]="","",compras_mes8[[#This Row],[NETO GRAVADO]]*0.21)</f>
        <v>525817.85129999998</v>
      </c>
      <c r="J198" s="462"/>
      <c r="K198" s="462"/>
      <c r="L198" s="462"/>
      <c r="M198" s="462"/>
      <c r="N198" s="462"/>
      <c r="O198" s="462"/>
      <c r="P198" s="463">
        <f>SUM(compras_mes8[[#This Row],[NETO GRAVADO]:[Otros / No Grav.]])</f>
        <v>3029712.3812999995</v>
      </c>
      <c r="Q198" s="464" t="str">
        <f>IFERROR(IF(compras_mes8[[#This Row],[CUIT]]="","-",VLOOKUP(compras_mes8[[#This Row],[CUIT]],Lista_CUIT[#All],3,0)),"CUIT NO CARGADO")</f>
        <v>LABORATORIO</v>
      </c>
      <c r="R198" s="464">
        <f>IFERROR(IF(compras_mes8[[#This Row],[CUIT]]="","-",VLOOKUP(compras_mes8[[#This Row],[CUIT]],Lista_CUIT[#All],4,0)),"CUIT NO CARGADO")</f>
        <v>0</v>
      </c>
    </row>
    <row r="199" spans="2:19" x14ac:dyDescent="0.3">
      <c r="B199" s="486">
        <v>45168</v>
      </c>
      <c r="C199" s="250">
        <v>1</v>
      </c>
      <c r="D199" s="487">
        <v>8</v>
      </c>
      <c r="E199" s="488">
        <v>13</v>
      </c>
      <c r="F199" s="476">
        <v>20134664518</v>
      </c>
      <c r="G199" s="489" t="str">
        <f>IFERROR(IF(compras_mes8[[#This Row],[CUIT]]="","-",VLOOKUP(compras_mes8[[#This Row],[CUIT]],Lista_CUIT[#All],2,0)),"CUIT NO CARGADO")</f>
        <v>HOKAMA SERGIO ENRIQUE</v>
      </c>
      <c r="H199" s="490">
        <v>4447.1000000000004</v>
      </c>
      <c r="I199" s="491">
        <f>IF(compras_mes8[[#This Row],[NETO GRAVADO]]="","",compras_mes8[[#This Row],[NETO GRAVADO]]*0.21)</f>
        <v>933.89100000000008</v>
      </c>
      <c r="J199" s="491"/>
      <c r="K199" s="491"/>
      <c r="L199" s="491"/>
      <c r="M199" s="491"/>
      <c r="N199" s="491"/>
      <c r="O199" s="491"/>
      <c r="P199" s="492">
        <f>SUM(compras_mes8[[#This Row],[NETO GRAVADO]:[Otros / No Grav.]])</f>
        <v>5380.991</v>
      </c>
      <c r="Q199" s="493" t="str">
        <f>IFERROR(IF(compras_mes8[[#This Row],[CUIT]]="","-",VLOOKUP(compras_mes8[[#This Row],[CUIT]],Lista_CUIT[#All],3,0)),"CUIT NO CARGADO")</f>
        <v>Gastos Varios</v>
      </c>
      <c r="R199" s="493" t="str">
        <f>IFERROR(IF(compras_mes8[[#This Row],[CUIT]]="","-",VLOOKUP(compras_mes8[[#This Row],[CUIT]],Lista_CUIT[#All],4,0)),"CUIT NO CARGADO")</f>
        <v>BUENOS AIRES</v>
      </c>
    </row>
    <row r="200" spans="2:19" x14ac:dyDescent="0.3">
      <c r="B200" s="486">
        <v>45168</v>
      </c>
      <c r="C200" s="250">
        <v>1</v>
      </c>
      <c r="D200" s="487">
        <v>1677</v>
      </c>
      <c r="E200" s="488">
        <v>23653</v>
      </c>
      <c r="F200" s="476">
        <v>30589621499</v>
      </c>
      <c r="G200" s="489" t="str">
        <f>IFERROR(IF(compras_mes8[[#This Row],[CUIT]]="","-",VLOOKUP(compras_mes8[[#This Row],[CUIT]],Lista_CUIT[#All],2,0)),"CUIT NO CARGADO")</f>
        <v>MAKRO SA</v>
      </c>
      <c r="H200" s="490">
        <v>22850.92</v>
      </c>
      <c r="I200" s="491">
        <v>4673.2700000000004</v>
      </c>
      <c r="J200" s="491"/>
      <c r="K200" s="491">
        <v>62.71</v>
      </c>
      <c r="L200" s="491"/>
      <c r="M200" s="491"/>
      <c r="N200" s="491">
        <v>1371.06</v>
      </c>
      <c r="O200" s="491">
        <f>23.4+676.57</f>
        <v>699.97</v>
      </c>
      <c r="P200" s="492">
        <f>SUM(compras_mes8[[#This Row],[NETO GRAVADO]:[Otros / No Grav.]])</f>
        <v>29657.93</v>
      </c>
      <c r="Q200" s="493">
        <f>IFERROR(IF(compras_mes8[[#This Row],[CUIT]]="","-",VLOOKUP(compras_mes8[[#This Row],[CUIT]],Lista_CUIT[#All],3,0)),"CUIT NO CARGADO")</f>
        <v>0</v>
      </c>
      <c r="R200" s="493">
        <f>IFERROR(IF(compras_mes8[[#This Row],[CUIT]]="","-",VLOOKUP(compras_mes8[[#This Row],[CUIT]],Lista_CUIT[#All],4,0)),"CUIT NO CARGADO")</f>
        <v>0</v>
      </c>
    </row>
    <row r="201" spans="2:19" x14ac:dyDescent="0.3">
      <c r="B201" s="486">
        <v>45168</v>
      </c>
      <c r="C201" s="250">
        <v>1</v>
      </c>
      <c r="D201" s="487">
        <v>7</v>
      </c>
      <c r="E201" s="488">
        <v>61992</v>
      </c>
      <c r="F201" s="476">
        <v>30709424420</v>
      </c>
      <c r="G201" s="489" t="str">
        <f>IFERROR(IF(compras_mes8[[#This Row],[CUIT]]="","-",VLOOKUP(compras_mes8[[#This Row],[CUIT]],Lista_CUIT[#All],2,0)),"CUIT NO CARGADO")</f>
        <v>DISTRIBUIDORA DE BEBIDAS SRL</v>
      </c>
      <c r="H201" s="490">
        <v>16315.7</v>
      </c>
      <c r="I201" s="491">
        <f>IF(compras_mes8[[#This Row],[NETO GRAVADO]]="","",compras_mes8[[#This Row],[NETO GRAVADO]]*0.21)</f>
        <v>3426.297</v>
      </c>
      <c r="J201" s="491"/>
      <c r="K201" s="491"/>
      <c r="L201" s="491"/>
      <c r="M201" s="491"/>
      <c r="N201" s="491"/>
      <c r="O201" s="491"/>
      <c r="P201" s="492">
        <f>SUM(compras_mes8[[#This Row],[NETO GRAVADO]:[Otros / No Grav.]])</f>
        <v>19741.996999999999</v>
      </c>
      <c r="Q201" s="493">
        <f>IFERROR(IF(compras_mes8[[#This Row],[CUIT]]="","-",VLOOKUP(compras_mes8[[#This Row],[CUIT]],Lista_CUIT[#All],3,0)),"CUIT NO CARGADO")</f>
        <v>0</v>
      </c>
      <c r="R201" s="493">
        <f>IFERROR(IF(compras_mes8[[#This Row],[CUIT]]="","-",VLOOKUP(compras_mes8[[#This Row],[CUIT]],Lista_CUIT[#All],4,0)),"CUIT NO CARGADO")</f>
        <v>0</v>
      </c>
    </row>
    <row r="202" spans="2:19" x14ac:dyDescent="0.3">
      <c r="B202" s="456">
        <v>45168</v>
      </c>
      <c r="C202" s="457">
        <v>1</v>
      </c>
      <c r="D202" s="458">
        <v>4</v>
      </c>
      <c r="E202" s="506">
        <v>11374</v>
      </c>
      <c r="F202" s="459">
        <v>27293054350</v>
      </c>
      <c r="G202" s="460" t="str">
        <f>IFERROR(IF(compras_mes8[[#This Row],[CUIT]]="","-",VLOOKUP(compras_mes8[[#This Row],[CUIT]],Lista_CUIT[#All],2,0)),"CUIT NO CARGADO")</f>
        <v>GIANFRANCISCO XIMENA MARIEL</v>
      </c>
      <c r="H202" s="461">
        <v>90082.64</v>
      </c>
      <c r="I202" s="462">
        <f>IF(compras_mes8[[#This Row],[NETO GRAVADO]]="","",compras_mes8[[#This Row],[NETO GRAVADO]]*0.21)</f>
        <v>18917.3544</v>
      </c>
      <c r="J202" s="462"/>
      <c r="K202" s="462"/>
      <c r="L202" s="462"/>
      <c r="M202" s="462"/>
      <c r="N202" s="462"/>
      <c r="O202" s="462"/>
      <c r="P202" s="463">
        <f>SUM(compras_mes8[[#This Row],[NETO GRAVADO]:[Otros / No Grav.]])</f>
        <v>108999.9944</v>
      </c>
      <c r="Q202" s="464">
        <f>IFERROR(IF(compras_mes8[[#This Row],[CUIT]]="","-",VLOOKUP(compras_mes8[[#This Row],[CUIT]],Lista_CUIT[#All],3,0)),"CUIT NO CARGADO")</f>
        <v>0</v>
      </c>
      <c r="R202" s="464">
        <f>IFERROR(IF(compras_mes8[[#This Row],[CUIT]]="","-",VLOOKUP(compras_mes8[[#This Row],[CUIT]],Lista_CUIT[#All],4,0)),"CUIT NO CARGADO")</f>
        <v>0</v>
      </c>
    </row>
    <row r="203" spans="2:19" s="56" customFormat="1" ht="18.600000000000001" customHeight="1" x14ac:dyDescent="0.3">
      <c r="B203" s="456">
        <v>45168</v>
      </c>
      <c r="C203" s="457">
        <v>1</v>
      </c>
      <c r="D203" s="458">
        <v>1</v>
      </c>
      <c r="E203" s="506">
        <v>82</v>
      </c>
      <c r="F203" s="459">
        <v>30717934020</v>
      </c>
      <c r="G203" s="460" t="str">
        <f>IFERROR(IF(compras_mes8[[#This Row],[CUIT]]="","-",VLOOKUP(compras_mes8[[#This Row],[CUIT]],Lista_CUIT[#All],2,0)),"CUIT NO CARGADO")</f>
        <v>MILOSCAN SRL</v>
      </c>
      <c r="H203" s="461">
        <v>275000</v>
      </c>
      <c r="I203" s="462">
        <f>IF(compras_mes8[[#This Row],[NETO GRAVADO]]="","",compras_mes8[[#This Row],[NETO GRAVADO]]*0.21)</f>
        <v>57750</v>
      </c>
      <c r="J203" s="462"/>
      <c r="K203" s="462"/>
      <c r="L203" s="462"/>
      <c r="M203" s="462"/>
      <c r="N203" s="462"/>
      <c r="O203" s="462"/>
      <c r="P203" s="463">
        <f>SUM(compras_mes8[[#This Row],[NETO GRAVADO]:[Otros / No Grav.]])</f>
        <v>332750</v>
      </c>
      <c r="Q203" s="464">
        <f>IFERROR(IF(compras_mes8[[#This Row],[CUIT]]="","-",VLOOKUP(compras_mes8[[#This Row],[CUIT]],Lista_CUIT[#All],3,0)),"CUIT NO CARGADO")</f>
        <v>0</v>
      </c>
      <c r="R203" s="464">
        <f>IFERROR(IF(compras_mes8[[#This Row],[CUIT]]="","-",VLOOKUP(compras_mes8[[#This Row],[CUIT]],Lista_CUIT[#All],4,0)),"CUIT NO CARGADO")</f>
        <v>0</v>
      </c>
      <c r="S203" t="s">
        <v>1868</v>
      </c>
    </row>
    <row r="204" spans="2:19" x14ac:dyDescent="0.3">
      <c r="B204" s="456">
        <v>45168</v>
      </c>
      <c r="C204" s="457">
        <v>1</v>
      </c>
      <c r="D204" s="458">
        <v>8</v>
      </c>
      <c r="E204" s="506">
        <v>30</v>
      </c>
      <c r="F204" s="459">
        <v>20134664518</v>
      </c>
      <c r="G204" s="460" t="str">
        <f>IFERROR(IF(compras_mes8[[#This Row],[CUIT]]="","-",VLOOKUP(compras_mes8[[#This Row],[CUIT]],Lista_CUIT[#All],2,0)),"CUIT NO CARGADO")</f>
        <v>HOKAMA SERGIO ENRIQUE</v>
      </c>
      <c r="H204" s="461">
        <v>4447.1000000000004</v>
      </c>
      <c r="I204" s="462">
        <f>IF(compras_mes8[[#This Row],[NETO GRAVADO]]="","",compras_mes8[[#This Row],[NETO GRAVADO]]*0.21)</f>
        <v>933.89100000000008</v>
      </c>
      <c r="J204" s="462"/>
      <c r="K204" s="462"/>
      <c r="L204" s="462"/>
      <c r="M204" s="462"/>
      <c r="N204" s="462"/>
      <c r="O204" s="462"/>
      <c r="P204" s="463">
        <f>SUM(compras_mes8[[#This Row],[NETO GRAVADO]:[Otros / No Grav.]])</f>
        <v>5380.991</v>
      </c>
      <c r="Q204" s="464" t="str">
        <f>IFERROR(IF(compras_mes8[[#This Row],[CUIT]]="","-",VLOOKUP(compras_mes8[[#This Row],[CUIT]],Lista_CUIT[#All],3,0)),"CUIT NO CARGADO")</f>
        <v>Gastos Varios</v>
      </c>
      <c r="R204" s="464" t="str">
        <f>IFERROR(IF(compras_mes8[[#This Row],[CUIT]]="","-",VLOOKUP(compras_mes8[[#This Row],[CUIT]],Lista_CUIT[#All],4,0)),"CUIT NO CARGADO")</f>
        <v>BUENOS AIRES</v>
      </c>
      <c r="S204" t="s">
        <v>1868</v>
      </c>
    </row>
    <row r="205" spans="2:19" x14ac:dyDescent="0.3">
      <c r="B205" s="486">
        <v>45169</v>
      </c>
      <c r="C205" s="250">
        <v>1</v>
      </c>
      <c r="D205" s="487">
        <v>50</v>
      </c>
      <c r="E205" s="488">
        <v>3234054</v>
      </c>
      <c r="F205" s="476">
        <v>30714112836</v>
      </c>
      <c r="G205" s="489" t="str">
        <f>IFERROR(IF(compras_mes8[[#This Row],[CUIT]]="","-",VLOOKUP(compras_mes8[[#This Row],[CUIT]],Lista_CUIT[#All],2,0)),"CUIT NO CARGADO")</f>
        <v>AUTOPISTAS DE BS AS</v>
      </c>
      <c r="H205" s="490">
        <v>13731.41</v>
      </c>
      <c r="I205" s="491">
        <f>IF(compras_mes8[[#This Row],[NETO GRAVADO]]="","",compras_mes8[[#This Row],[NETO GRAVADO]]*0.21)</f>
        <v>2883.5960999999998</v>
      </c>
      <c r="J205" s="491"/>
      <c r="K205" s="491"/>
      <c r="L205" s="491">
        <v>411.94</v>
      </c>
      <c r="M205" s="491"/>
      <c r="N205" s="491"/>
      <c r="O205" s="491"/>
      <c r="P205" s="492">
        <f>SUM(compras_mes8[[#This Row],[NETO GRAVADO]:[Otros / No Grav.]])</f>
        <v>17026.946099999997</v>
      </c>
      <c r="Q205" s="493">
        <f>IFERROR(IF(compras_mes8[[#This Row],[CUIT]]="","-",VLOOKUP(compras_mes8[[#This Row],[CUIT]],Lista_CUIT[#All],3,0)),"CUIT NO CARGADO")</f>
        <v>0</v>
      </c>
      <c r="R205" s="493">
        <f>IFERROR(IF(compras_mes8[[#This Row],[CUIT]]="","-",VLOOKUP(compras_mes8[[#This Row],[CUIT]],Lista_CUIT[#All],4,0)),"CUIT NO CARGADO")</f>
        <v>0</v>
      </c>
      <c r="S205" t="s">
        <v>1868</v>
      </c>
    </row>
    <row r="206" spans="2:19" x14ac:dyDescent="0.3">
      <c r="B206" s="456">
        <v>45169</v>
      </c>
      <c r="C206" s="457">
        <v>1</v>
      </c>
      <c r="D206" s="458">
        <v>3</v>
      </c>
      <c r="E206" s="506">
        <v>6001</v>
      </c>
      <c r="F206" s="459">
        <v>30702209397</v>
      </c>
      <c r="G206" s="460" t="str">
        <f>IFERROR(IF(compras_mes8[[#This Row],[CUIT]]="","-",VLOOKUP(compras_mes8[[#This Row],[CUIT]],Lista_CUIT[#All],2,0)),"CUIT NO CARGADO")</f>
        <v>MILEX S A</v>
      </c>
      <c r="H206" s="461">
        <v>95867.77</v>
      </c>
      <c r="I206" s="462">
        <f>IF(compras_mes8[[#This Row],[NETO GRAVADO]]="","",compras_mes8[[#This Row],[NETO GRAVADO]]*0.21)</f>
        <v>20132.2317</v>
      </c>
      <c r="J206" s="462"/>
      <c r="K206" s="462"/>
      <c r="L206" s="462"/>
      <c r="M206" s="462"/>
      <c r="N206" s="462"/>
      <c r="O206" s="462"/>
      <c r="P206" s="463">
        <f>SUM(compras_mes8[[#This Row],[NETO GRAVADO]:[Otros / No Grav.]])</f>
        <v>116000.00170000001</v>
      </c>
      <c r="Q206" s="464">
        <f>IFERROR(IF(compras_mes8[[#This Row],[CUIT]]="","-",VLOOKUP(compras_mes8[[#This Row],[CUIT]],Lista_CUIT[#All],3,0)),"CUIT NO CARGADO")</f>
        <v>0</v>
      </c>
      <c r="R206" s="464">
        <f>IFERROR(IF(compras_mes8[[#This Row],[CUIT]]="","-",VLOOKUP(compras_mes8[[#This Row],[CUIT]],Lista_CUIT[#All],4,0)),"CUIT NO CARGADO")</f>
        <v>0</v>
      </c>
      <c r="S206" t="s">
        <v>1868</v>
      </c>
    </row>
    <row r="207" spans="2:19" x14ac:dyDescent="0.3">
      <c r="B207" s="456">
        <v>45169</v>
      </c>
      <c r="C207" s="457">
        <v>1</v>
      </c>
      <c r="D207" s="458">
        <v>4</v>
      </c>
      <c r="E207" s="506">
        <v>6364</v>
      </c>
      <c r="F207" s="459">
        <v>20328816807</v>
      </c>
      <c r="G207" s="460" t="str">
        <f>IFERROR(IF(compras_mes8[[#This Row],[CUIT]]="","-",VLOOKUP(compras_mes8[[#This Row],[CUIT]],Lista_CUIT[#All],2,0)),"CUIT NO CARGADO")</f>
        <v>LUPONE ALBANO SEBASTIAN</v>
      </c>
      <c r="H207" s="461">
        <v>98258.68</v>
      </c>
      <c r="I207" s="462">
        <f>IF(compras_mes8[[#This Row],[NETO GRAVADO]]="","",compras_mes8[[#This Row],[NETO GRAVADO]]*0.21)</f>
        <v>20634.322799999998</v>
      </c>
      <c r="J207" s="462"/>
      <c r="K207" s="462"/>
      <c r="L207" s="462"/>
      <c r="M207" s="462"/>
      <c r="N207" s="462"/>
      <c r="O207" s="462"/>
      <c r="P207" s="463">
        <f>SUM(compras_mes8[[#This Row],[NETO GRAVADO]:[Otros / No Grav.]])</f>
        <v>118893.00279999999</v>
      </c>
      <c r="Q207" s="464">
        <f>IFERROR(IF(compras_mes8[[#This Row],[CUIT]]="","-",VLOOKUP(compras_mes8[[#This Row],[CUIT]],Lista_CUIT[#All],3,0)),"CUIT NO CARGADO")</f>
        <v>0</v>
      </c>
      <c r="R207" s="464">
        <f>IFERROR(IF(compras_mes8[[#This Row],[CUIT]]="","-",VLOOKUP(compras_mes8[[#This Row],[CUIT]],Lista_CUIT[#All],4,0)),"CUIT NO CARGADO")</f>
        <v>0</v>
      </c>
      <c r="S207" t="s">
        <v>1868</v>
      </c>
    </row>
    <row r="208" spans="2:19" x14ac:dyDescent="0.3">
      <c r="B208" s="456">
        <v>45169</v>
      </c>
      <c r="C208" s="457">
        <v>1</v>
      </c>
      <c r="D208" s="458">
        <v>15</v>
      </c>
      <c r="E208" s="506">
        <v>16208</v>
      </c>
      <c r="F208" s="459">
        <v>33708907869</v>
      </c>
      <c r="G208" s="460" t="str">
        <f>IFERROR(IF(compras_mes8[[#This Row],[CUIT]]="","-",VLOOKUP(compras_mes8[[#This Row],[CUIT]],Lista_CUIT[#All],2,0)),"CUIT NO CARGADO")</f>
        <v>SERCAP INSUMOS SRL</v>
      </c>
      <c r="H208" s="461">
        <v>71900.83</v>
      </c>
      <c r="I208" s="462">
        <f>IF(compras_mes8[[#This Row],[NETO GRAVADO]]="","",compras_mes8[[#This Row],[NETO GRAVADO]]*0.21)</f>
        <v>15099.174300000001</v>
      </c>
      <c r="J208" s="462"/>
      <c r="K208" s="462"/>
      <c r="L208" s="462"/>
      <c r="M208" s="462"/>
      <c r="N208" s="462"/>
      <c r="O208" s="462"/>
      <c r="P208" s="463">
        <f>SUM(compras_mes8[[#This Row],[NETO GRAVADO]:[Otros / No Grav.]])</f>
        <v>87000.004300000001</v>
      </c>
      <c r="Q208" s="464">
        <f>IFERROR(IF(compras_mes8[[#This Row],[CUIT]]="","-",VLOOKUP(compras_mes8[[#This Row],[CUIT]],Lista_CUIT[#All],3,0)),"CUIT NO CARGADO")</f>
        <v>0</v>
      </c>
      <c r="R208" s="464">
        <f>IFERROR(IF(compras_mes8[[#This Row],[CUIT]]="","-",VLOOKUP(compras_mes8[[#This Row],[CUIT]],Lista_CUIT[#All],4,0)),"CUIT NO CARGADO")</f>
        <v>0</v>
      </c>
      <c r="S208" t="s">
        <v>1868</v>
      </c>
    </row>
    <row r="209" spans="2:18" x14ac:dyDescent="0.3">
      <c r="B209" s="456">
        <v>45169</v>
      </c>
      <c r="C209" s="457">
        <v>1</v>
      </c>
      <c r="D209" s="458">
        <v>5</v>
      </c>
      <c r="E209" s="506">
        <v>1711</v>
      </c>
      <c r="F209" s="459">
        <v>30711651779</v>
      </c>
      <c r="G209" s="460" t="str">
        <f>IFERROR(IF(compras_mes8[[#This Row],[CUIT]]="","-",VLOOKUP(compras_mes8[[#This Row],[CUIT]],Lista_CUIT[#All],2,0)),"CUIT NO CARGADO")</f>
        <v>INFOSOL BUENOS AIRES S.R.L.</v>
      </c>
      <c r="H209" s="461">
        <v>28139.67</v>
      </c>
      <c r="I209" s="462">
        <f>IF(compras_mes8[[#This Row],[NETO GRAVADO]]="","",compras_mes8[[#This Row],[NETO GRAVADO]]*0.21)</f>
        <v>5909.3306999999995</v>
      </c>
      <c r="J209" s="462"/>
      <c r="K209" s="462"/>
      <c r="L209" s="462"/>
      <c r="M209" s="462"/>
      <c r="N209" s="462"/>
      <c r="O209" s="462"/>
      <c r="P209" s="463">
        <f>SUM(compras_mes8[[#This Row],[NETO GRAVADO]:[Otros / No Grav.]])</f>
        <v>34049.000699999997</v>
      </c>
      <c r="Q209" s="464">
        <f>IFERROR(IF(compras_mes8[[#This Row],[CUIT]]="","-",VLOOKUP(compras_mes8[[#This Row],[CUIT]],Lista_CUIT[#All],3,0)),"CUIT NO CARGADO")</f>
        <v>0</v>
      </c>
      <c r="R209" s="464">
        <f>IFERROR(IF(compras_mes8[[#This Row],[CUIT]]="","-",VLOOKUP(compras_mes8[[#This Row],[CUIT]],Lista_CUIT[#All],4,0)),"CUIT NO CARGADO")</f>
        <v>0</v>
      </c>
    </row>
    <row r="210" spans="2:18" x14ac:dyDescent="0.3">
      <c r="B210" s="456"/>
      <c r="C210" s="457"/>
      <c r="D210" s="458"/>
      <c r="E210" s="506"/>
      <c r="F210" s="459"/>
      <c r="G210" s="460" t="str">
        <f>IFERROR(IF(compras_mes8[[#This Row],[CUIT]]="","-",VLOOKUP(compras_mes8[[#This Row],[CUIT]],Lista_CUIT[#All],2,0)),"CUIT NO CARGADO")</f>
        <v>-</v>
      </c>
      <c r="H210" s="461"/>
      <c r="I210" s="462" t="str">
        <f>IF(compras_mes8[[#This Row],[NETO GRAVADO]]="","",compras_mes8[[#This Row],[NETO GRAVADO]]*0.21)</f>
        <v/>
      </c>
      <c r="J210" s="462"/>
      <c r="K210" s="462"/>
      <c r="L210" s="462"/>
      <c r="M210" s="462"/>
      <c r="N210" s="462"/>
      <c r="O210" s="462"/>
      <c r="P210" s="463">
        <f>SUM(compras_mes8[[#This Row],[NETO GRAVADO]:[Otros / No Grav.]])</f>
        <v>0</v>
      </c>
      <c r="Q210" s="464" t="str">
        <f>IFERROR(IF(compras_mes8[[#This Row],[CUIT]]="","-",VLOOKUP(compras_mes8[[#This Row],[CUIT]],Lista_CUIT[#All],3,0)),"CUIT NO CARGADO")</f>
        <v>-</v>
      </c>
      <c r="R210" s="464" t="str">
        <f>IFERROR(IF(compras_mes8[[#This Row],[CUIT]]="","-",VLOOKUP(compras_mes8[[#This Row],[CUIT]],Lista_CUIT[#All],4,0)),"CUIT NO CARGADO")</f>
        <v>-</v>
      </c>
    </row>
    <row r="211" spans="2:18" x14ac:dyDescent="0.3">
      <c r="B211" s="96" t="s">
        <v>103</v>
      </c>
      <c r="C211" s="96"/>
      <c r="D211" s="96"/>
      <c r="E211" s="96"/>
      <c r="F211" s="96"/>
      <c r="G211" s="97"/>
      <c r="H211" s="98">
        <f>SUBTOTAL(109,compras_mes8[NETO GRAVADO])</f>
        <v>41921721.76000002</v>
      </c>
      <c r="I211" s="98">
        <f>SUBTOTAL(109,compras_mes8[IVA 21 %])</f>
        <v>8674177.9276000019</v>
      </c>
      <c r="J211" s="98">
        <f>SUBTOTAL(109,compras_mes8[IVA 27%])</f>
        <v>13469.02</v>
      </c>
      <c r="K211" s="98">
        <f>SUBTOTAL(109,compras_mes8[IVA 10,5%])</f>
        <v>59453.989999999991</v>
      </c>
      <c r="L211" s="98">
        <f>SUBTOTAL(109,compras_mes8[PERC. IVA])</f>
        <v>3658</v>
      </c>
      <c r="M211" s="98">
        <f>SUBTOTAL(109,compras_mes8[PERC IIBB 
BS AS])</f>
        <v>2197.9499999999998</v>
      </c>
      <c r="N211" s="98">
        <f>SUBTOTAL(109,compras_mes8[PERC. IIBB CABA])</f>
        <v>204759.17</v>
      </c>
      <c r="O211" s="98">
        <f>SUBTOTAL(109,compras_mes8[Otros / No Grav.])</f>
        <v>86135.959999999977</v>
      </c>
      <c r="P211" s="98">
        <f>SUBTOTAL(109,compras_mes8[TOTAL])</f>
        <v>50965573.777600005</v>
      </c>
      <c r="Q211" s="96"/>
      <c r="R211" s="96"/>
    </row>
    <row r="212" spans="2:18" x14ac:dyDescent="0.3">
      <c r="B212" s="40"/>
      <c r="C212" s="41"/>
      <c r="D212" s="42"/>
      <c r="E212" s="43"/>
      <c r="F212" s="44"/>
      <c r="G212" s="45"/>
      <c r="H212" s="46"/>
      <c r="I212" s="198"/>
      <c r="J212" s="47"/>
      <c r="K212" s="47"/>
      <c r="L212" s="47"/>
      <c r="M212" s="47"/>
      <c r="N212" s="47"/>
      <c r="O212" s="47"/>
      <c r="P212" s="48"/>
      <c r="Q212" s="49"/>
      <c r="R212" s="49"/>
    </row>
    <row r="213" spans="2:18" x14ac:dyDescent="0.3">
      <c r="B213" s="40"/>
      <c r="C213" s="41"/>
      <c r="D213" s="42"/>
      <c r="E213" s="43"/>
      <c r="F213" s="44"/>
      <c r="G213" s="45"/>
      <c r="H213" s="46"/>
      <c r="I213" s="47"/>
      <c r="J213" s="47"/>
      <c r="K213" s="47"/>
      <c r="L213" s="47"/>
      <c r="M213" s="47"/>
      <c r="N213" s="47"/>
      <c r="O213" s="47"/>
      <c r="P213" s="48"/>
      <c r="Q213" s="49"/>
      <c r="R213" s="49"/>
    </row>
    <row r="214" spans="2:18" x14ac:dyDescent="0.3">
      <c r="B214" s="40"/>
      <c r="C214" s="41"/>
      <c r="D214" s="42"/>
      <c r="E214" s="43"/>
      <c r="F214" s="44"/>
      <c r="G214" s="45"/>
      <c r="H214" s="46"/>
      <c r="I214" s="47"/>
      <c r="J214" s="47"/>
      <c r="K214" s="47"/>
      <c r="L214" s="47"/>
      <c r="M214" s="47"/>
      <c r="N214" s="47"/>
      <c r="O214" s="47"/>
      <c r="P214" s="48"/>
      <c r="Q214" s="49"/>
      <c r="R214" s="49"/>
    </row>
    <row r="215" spans="2:18" x14ac:dyDescent="0.3">
      <c r="B215" s="40"/>
      <c r="C215" s="41"/>
      <c r="D215" s="42"/>
      <c r="E215" s="43"/>
      <c r="F215" s="44"/>
      <c r="G215" s="45"/>
      <c r="H215" s="46"/>
      <c r="I215" s="47"/>
      <c r="J215" s="47"/>
      <c r="K215" s="47"/>
      <c r="L215" s="47"/>
    </row>
    <row r="216" spans="2:18" ht="21" x14ac:dyDescent="0.3">
      <c r="D216" s="653" t="s">
        <v>15</v>
      </c>
      <c r="E216" s="653"/>
      <c r="F216" s="653"/>
      <c r="G216" s="653"/>
      <c r="H216" s="653"/>
      <c r="I216" s="653"/>
      <c r="J216" s="653"/>
      <c r="K216" s="653"/>
      <c r="L216" s="653"/>
    </row>
    <row r="217" spans="2:18" ht="15.6" x14ac:dyDescent="0.3">
      <c r="D217" s="73" t="s">
        <v>0</v>
      </c>
      <c r="E217" s="74" t="s">
        <v>26</v>
      </c>
      <c r="F217" s="74" t="s">
        <v>16</v>
      </c>
      <c r="G217" s="74" t="s">
        <v>5</v>
      </c>
      <c r="H217" s="74" t="s">
        <v>17</v>
      </c>
      <c r="I217" s="74" t="s">
        <v>7</v>
      </c>
      <c r="J217" s="75" t="s">
        <v>18</v>
      </c>
      <c r="K217" s="75" t="s">
        <v>19</v>
      </c>
      <c r="L217" s="76" t="s">
        <v>20</v>
      </c>
      <c r="M217" s="524" t="s">
        <v>10</v>
      </c>
    </row>
    <row r="218" spans="2:18" x14ac:dyDescent="0.3">
      <c r="D218" s="50">
        <v>45169</v>
      </c>
      <c r="E218" s="80">
        <v>31802023</v>
      </c>
      <c r="F218" s="277" t="s">
        <v>1932</v>
      </c>
      <c r="G218" s="496">
        <v>50810.262857142858</v>
      </c>
      <c r="H218" s="81">
        <f>extracto_banco_mes8[[#This Row],[NETO]]*0.21</f>
        <v>10670.155199999999</v>
      </c>
      <c r="I218" s="81"/>
      <c r="J218" s="81">
        <v>17842.940000000002</v>
      </c>
      <c r="K218" s="496">
        <v>1309.94</v>
      </c>
      <c r="L218" s="81"/>
      <c r="M218" s="523">
        <f>extracto_banco_mes8[[#This Row],[PERC IVA]]+extracto_banco_mes8[[#This Row],[RET IIBB CABA]]+extracto_banco_mes8[[#This Row],[IVA 21%]]+extracto_banco_mes8[[#This Row],[NETO]]</f>
        <v>80633.298057142849</v>
      </c>
    </row>
    <row r="219" spans="2:18" x14ac:dyDescent="0.3">
      <c r="D219" s="50">
        <v>45169</v>
      </c>
      <c r="E219" s="80">
        <v>20233108</v>
      </c>
      <c r="F219" s="277" t="s">
        <v>1933</v>
      </c>
      <c r="G219" s="496">
        <v>3687.2599999999998</v>
      </c>
      <c r="H219" s="81">
        <f>extracto_banco_mes8[[#This Row],[NETO]]*0.21</f>
        <v>774.32459999999992</v>
      </c>
      <c r="I219" s="81"/>
      <c r="J219" s="81"/>
      <c r="K219" s="496"/>
      <c r="L219" s="81"/>
      <c r="M219" s="523">
        <f>extracto_banco_mes8[[#This Row],[PERC IVA]]+extracto_banco_mes8[[#This Row],[RET IIBB CABA]]+extracto_banco_mes8[[#This Row],[IVA 21%]]+extracto_banco_mes8[[#This Row],[NETO]]</f>
        <v>4461.5846000000001</v>
      </c>
    </row>
    <row r="220" spans="2:18" x14ac:dyDescent="0.3">
      <c r="D220" s="50">
        <v>45169</v>
      </c>
      <c r="E220" s="80">
        <v>23203108</v>
      </c>
      <c r="F220" s="277" t="s">
        <v>1934</v>
      </c>
      <c r="G220" s="496">
        <v>29147</v>
      </c>
      <c r="H220" s="81">
        <f>extracto_banco_mes8[[#This Row],[NETO]]*0.21</f>
        <v>6120.87</v>
      </c>
      <c r="I220" s="81"/>
      <c r="J220" s="81">
        <v>1859.04</v>
      </c>
      <c r="K220" s="496">
        <v>714.51</v>
      </c>
      <c r="L220" s="81"/>
      <c r="M220" s="523">
        <f>extracto_banco_mes8[[#This Row],[PERC IVA]]+extracto_banco_mes8[[#This Row],[RET IIBB CABA]]+extracto_banco_mes8[[#This Row],[IVA 21%]]+extracto_banco_mes8[[#This Row],[NETO]]</f>
        <v>37841.42</v>
      </c>
    </row>
    <row r="221" spans="2:18" x14ac:dyDescent="0.3">
      <c r="D221" s="50">
        <v>45169</v>
      </c>
      <c r="E221" s="80">
        <v>80202301</v>
      </c>
      <c r="F221" s="277" t="s">
        <v>1935</v>
      </c>
      <c r="G221" s="496">
        <v>9055</v>
      </c>
      <c r="H221" s="81">
        <f>extracto_banco_mes8[[#This Row],[NETO]]*0.21</f>
        <v>1901.55</v>
      </c>
      <c r="I221" s="81"/>
      <c r="J221" s="81">
        <v>525</v>
      </c>
      <c r="K221" s="496">
        <v>262.5</v>
      </c>
      <c r="L221" s="81"/>
      <c r="M221" s="523">
        <f>extracto_banco_mes8[[#This Row],[PERC IVA]]+extracto_banco_mes8[[#This Row],[RET IIBB CABA]]+extracto_banco_mes8[[#This Row],[IVA 21%]]+extracto_banco_mes8[[#This Row],[NETO]]</f>
        <v>11744.05</v>
      </c>
    </row>
    <row r="222" spans="2:18" x14ac:dyDescent="0.3">
      <c r="D222" s="50">
        <v>45169</v>
      </c>
      <c r="E222" s="80">
        <v>20230831</v>
      </c>
      <c r="F222" s="277" t="s">
        <v>1982</v>
      </c>
      <c r="G222" s="496">
        <v>638972.00569999998</v>
      </c>
      <c r="H222" s="81">
        <v>33581.461199999998</v>
      </c>
      <c r="I222" s="81">
        <v>50301.33</v>
      </c>
      <c r="J222" s="81">
        <v>480404.27000000014</v>
      </c>
      <c r="K222" s="496">
        <v>3594.2799999999993</v>
      </c>
      <c r="L222" s="81"/>
      <c r="M222" s="523">
        <f>extracto_banco_mes8[[#This Row],[PERC IVA]]+extracto_banco_mes8[[#This Row],[RET IIBB CABA]]+extracto_banco_mes8[[#This Row],[IVA 21%]]+extracto_banco_mes8[[#This Row],[NETO]]</f>
        <v>1156552.0169000002</v>
      </c>
    </row>
    <row r="223" spans="2:18" x14ac:dyDescent="0.3">
      <c r="D223" s="50">
        <v>45169</v>
      </c>
      <c r="E223" s="80">
        <v>20082310</v>
      </c>
      <c r="F223" s="277" t="s">
        <v>1983</v>
      </c>
      <c r="G223" s="496">
        <v>1102.3200000000002</v>
      </c>
      <c r="H223" s="81">
        <f>extracto_banco_mes8[[#This Row],[NETO]]*0.21</f>
        <v>231.48720000000003</v>
      </c>
      <c r="I223" s="81"/>
      <c r="J223" s="81">
        <v>6150.9299999999994</v>
      </c>
      <c r="K223" s="496"/>
      <c r="L223" s="81"/>
      <c r="M223" s="523">
        <f>extracto_banco_mes8[[#This Row],[PERC IVA]]+extracto_banco_mes8[[#This Row],[RET IIBB CABA]]+extracto_banco_mes8[[#This Row],[IVA 21%]]+extracto_banco_mes8[[#This Row],[NETO]]</f>
        <v>7484.7371999999996</v>
      </c>
    </row>
    <row r="224" spans="2:18" x14ac:dyDescent="0.3">
      <c r="D224" s="50">
        <v>45169</v>
      </c>
      <c r="E224" s="80">
        <v>20230800</v>
      </c>
      <c r="F224" s="277" t="s">
        <v>1984</v>
      </c>
      <c r="G224" s="496">
        <v>3810</v>
      </c>
      <c r="H224" s="81">
        <f>extracto_banco_mes8[[#This Row],[NETO]]*0.21</f>
        <v>800.1</v>
      </c>
      <c r="I224" s="81"/>
      <c r="J224" s="81">
        <v>69.930000000000007</v>
      </c>
      <c r="K224" s="496">
        <v>114.3</v>
      </c>
      <c r="L224" s="81"/>
      <c r="M224" s="523">
        <f>extracto_banco_mes8[[#This Row],[PERC IVA]]+extracto_banco_mes8[[#This Row],[RET IIBB CABA]]+extracto_banco_mes8[[#This Row],[IVA 21%]]+extracto_banco_mes8[[#This Row],[NETO]]</f>
        <v>4794.33</v>
      </c>
    </row>
    <row r="225" spans="4:13" x14ac:dyDescent="0.3">
      <c r="D225" s="50">
        <v>45169</v>
      </c>
      <c r="E225" s="80">
        <v>16707730</v>
      </c>
      <c r="F225" s="277" t="s">
        <v>1985</v>
      </c>
      <c r="G225" s="496">
        <v>30500</v>
      </c>
      <c r="H225" s="81">
        <f>extracto_banco_mes8[[#This Row],[NETO]]*0.21</f>
        <v>6405</v>
      </c>
      <c r="I225" s="81"/>
      <c r="J225" s="81"/>
      <c r="K225" s="496">
        <v>915</v>
      </c>
      <c r="L225" s="81"/>
      <c r="M225" s="523">
        <f>extracto_banco_mes8[[#This Row],[PERC IVA]]+extracto_banco_mes8[[#This Row],[RET IIBB CABA]]+extracto_banco_mes8[[#This Row],[IVA 21%]]+extracto_banco_mes8[[#This Row],[NETO]]</f>
        <v>37820</v>
      </c>
    </row>
    <row r="226" spans="4:13" x14ac:dyDescent="0.3">
      <c r="D226" s="50"/>
      <c r="E226" s="80"/>
      <c r="F226" s="80"/>
      <c r="G226" s="496"/>
      <c r="H226" s="81">
        <f>extracto_banco_mes8[[#This Row],[NETO]]*0.21</f>
        <v>0</v>
      </c>
      <c r="I226" s="81"/>
      <c r="J226" s="81"/>
      <c r="K226" s="496"/>
      <c r="L226" s="81"/>
      <c r="M226" s="523">
        <f>extracto_banco_mes8[[#This Row],[PERC IVA]]+extracto_banco_mes8[[#This Row],[RET IIBB CABA]]+extracto_banco_mes8[[#This Row],[IVA 21%]]+extracto_banco_mes8[[#This Row],[NETO]]</f>
        <v>0</v>
      </c>
    </row>
    <row r="227" spans="4:13" x14ac:dyDescent="0.3">
      <c r="D227" s="82" t="s">
        <v>103</v>
      </c>
      <c r="E227" s="80"/>
      <c r="F227" s="80"/>
      <c r="G227" s="83">
        <f>SUBTOTAL(109,extracto_banco_mes8[NETO])</f>
        <v>767083.84855714277</v>
      </c>
      <c r="H227" s="83">
        <f>SUBTOTAL(109,extracto_banco_mes8[IVA 21%])</f>
        <v>60484.948199999999</v>
      </c>
      <c r="I227" s="83">
        <f>SUBTOTAL(109,extracto_banco_mes8[IVA 10,5%])</f>
        <v>50301.33</v>
      </c>
      <c r="J227" s="83">
        <f>SUBTOTAL(109,extracto_banco_mes8[RET IIBB CABA])</f>
        <v>506852.1100000001</v>
      </c>
      <c r="K227" s="83">
        <f>SUBTOTAL(109,extracto_banco_mes8[PERC IVA])</f>
        <v>6910.53</v>
      </c>
      <c r="L227" s="83">
        <f>SUBTOTAL(109,extracto_banco_mes8[PERC IIBB])</f>
        <v>0</v>
      </c>
      <c r="M227" s="522"/>
    </row>
    <row r="231" spans="4:13" ht="21" x14ac:dyDescent="0.3">
      <c r="D231" s="653" t="s">
        <v>25</v>
      </c>
      <c r="E231" s="653"/>
      <c r="F231" s="653"/>
      <c r="G231" s="653"/>
      <c r="H231" s="653"/>
      <c r="I231" s="653"/>
      <c r="J231" s="653"/>
      <c r="K231" s="653"/>
    </row>
    <row r="232" spans="4:13" x14ac:dyDescent="0.3">
      <c r="D232" s="51" t="s">
        <v>0</v>
      </c>
      <c r="E232" s="51" t="s">
        <v>2</v>
      </c>
      <c r="F232" s="51" t="s">
        <v>74</v>
      </c>
      <c r="G232" s="51" t="s">
        <v>3</v>
      </c>
      <c r="H232" s="51" t="s">
        <v>4</v>
      </c>
      <c r="I232" s="52" t="s">
        <v>10</v>
      </c>
      <c r="J232" s="51" t="s">
        <v>13</v>
      </c>
      <c r="K232" s="51" t="s">
        <v>38</v>
      </c>
    </row>
    <row r="233" spans="4:13" x14ac:dyDescent="0.3">
      <c r="D233" s="145">
        <v>45140</v>
      </c>
      <c r="E233" s="42">
        <v>3</v>
      </c>
      <c r="F233" s="43">
        <v>760</v>
      </c>
      <c r="G233" s="44">
        <v>20086277523</v>
      </c>
      <c r="H233" s="53" t="str">
        <f>IFERROR(IF(factura_c_mes8[[#This Row],[CUIT]]="","-",VLOOKUP(factura_c_mes8[[#This Row],[CUIT]],Lista_CUIT[#All],2,0)),"CUIT NO CARGADO")</f>
        <v>BOTINDARI JUAN CARLOS</v>
      </c>
      <c r="I233" s="520">
        <v>101250</v>
      </c>
      <c r="J233" s="54" t="str">
        <f>IFERROR(IF(factura_c_mes8[[#This Row],[CUIT]]="","-",VLOOKUP(factura_c_mes8[[#This Row],[CUIT]],Lista_CUIT[#All],3,0)),"CUIT NO CARGADO")</f>
        <v>HONORARIOS</v>
      </c>
      <c r="K233" s="54" t="str">
        <f>IFERROR(IF(factura_c_mes8[[#This Row],[CUIT]]="","-",VLOOKUP(factura_c_mes8[[#This Row],[CUIT]],Lista_CUIT[#All],4,0)),"CUIT NO CARGADO")</f>
        <v>CABA</v>
      </c>
    </row>
    <row r="234" spans="4:13" x14ac:dyDescent="0.3">
      <c r="D234" s="145">
        <v>45145</v>
      </c>
      <c r="E234" s="42">
        <v>3</v>
      </c>
      <c r="F234" s="43">
        <v>424</v>
      </c>
      <c r="G234" s="44">
        <v>20210551574</v>
      </c>
      <c r="H234" s="470" t="str">
        <f>IFERROR(IF(factura_c_mes8[[#This Row],[CUIT]]="","-",VLOOKUP(factura_c_mes8[[#This Row],[CUIT]],Lista_CUIT[#All],2,0)),"CUIT NO CARGADO")</f>
        <v>REUS JORGE DIEGO</v>
      </c>
      <c r="I234" s="521">
        <v>50500</v>
      </c>
      <c r="J234" s="472" t="str">
        <f>IFERROR(IF(factura_c_mes8[[#This Row],[CUIT]]="","-",VLOOKUP(factura_c_mes8[[#This Row],[CUIT]],Lista_CUIT[#All],3,0)),"CUIT NO CARGADO")</f>
        <v>HONORARIOS PROFESIONALES</v>
      </c>
      <c r="K234" s="472">
        <f>IFERROR(IF(factura_c_mes8[[#This Row],[CUIT]]="","-",VLOOKUP(factura_c_mes8[[#This Row],[CUIT]],Lista_CUIT[#All],4,0)),"CUIT NO CARGADO")</f>
        <v>0</v>
      </c>
    </row>
    <row r="235" spans="4:13" x14ac:dyDescent="0.3">
      <c r="D235" s="145">
        <v>45145</v>
      </c>
      <c r="E235" s="42">
        <v>2</v>
      </c>
      <c r="F235" s="43">
        <v>293</v>
      </c>
      <c r="G235" s="44">
        <v>20300814094</v>
      </c>
      <c r="H235" s="470" t="str">
        <f>IFERROR(IF(factura_c_mes8[[#This Row],[CUIT]]="","-",VLOOKUP(factura_c_mes8[[#This Row],[CUIT]],Lista_CUIT[#All],2,0)),"CUIT NO CARGADO")</f>
        <v>FARRAPEIRA OSCAR MAXIMO</v>
      </c>
      <c r="I235" s="521">
        <v>242471.4</v>
      </c>
      <c r="J235" s="472">
        <f>IFERROR(IF(factura_c_mes8[[#This Row],[CUIT]]="","-",VLOOKUP(factura_c_mes8[[#This Row],[CUIT]],Lista_CUIT[#All],3,0)),"CUIT NO CARGADO")</f>
        <v>0</v>
      </c>
      <c r="K235" s="472">
        <f>IFERROR(IF(factura_c_mes8[[#This Row],[CUIT]]="","-",VLOOKUP(factura_c_mes8[[#This Row],[CUIT]],Lista_CUIT[#All],4,0)),"CUIT NO CARGADO")</f>
        <v>0</v>
      </c>
    </row>
    <row r="236" spans="4:13" x14ac:dyDescent="0.3">
      <c r="D236" s="145">
        <v>45145</v>
      </c>
      <c r="E236" s="42">
        <v>8</v>
      </c>
      <c r="F236" s="43">
        <v>393</v>
      </c>
      <c r="G236" s="44">
        <v>27409592487</v>
      </c>
      <c r="H236" s="470" t="str">
        <f>IFERROR(IF(factura_c_mes8[[#This Row],[CUIT]]="","-",VLOOKUP(factura_c_mes8[[#This Row],[CUIT]],Lista_CUIT[#All],2,0)),"CUIT NO CARGADO")</f>
        <v>BAUDONE ANTONELLA AGOSTINA</v>
      </c>
      <c r="I236" s="521">
        <v>75600</v>
      </c>
      <c r="J236" s="472">
        <f>IFERROR(IF(factura_c_mes8[[#This Row],[CUIT]]="","-",VLOOKUP(factura_c_mes8[[#This Row],[CUIT]],Lista_CUIT[#All],3,0)),"CUIT NO CARGADO")</f>
        <v>0</v>
      </c>
      <c r="K236" s="472">
        <f>IFERROR(IF(factura_c_mes8[[#This Row],[CUIT]]="","-",VLOOKUP(factura_c_mes8[[#This Row],[CUIT]],Lista_CUIT[#All],4,0)),"CUIT NO CARGADO")</f>
        <v>0</v>
      </c>
    </row>
    <row r="237" spans="4:13" x14ac:dyDescent="0.3">
      <c r="D237" s="647">
        <v>45145</v>
      </c>
      <c r="E237" s="42">
        <v>2</v>
      </c>
      <c r="F237" s="43">
        <v>323</v>
      </c>
      <c r="G237" s="44">
        <v>20372789507</v>
      </c>
      <c r="H237" s="53" t="str">
        <f>IFERROR(IF(factura_c_mes8[[#This Row],[CUIT]]="","-",VLOOKUP(factura_c_mes8[[#This Row],[CUIT]],Lista_CUIT[#All],2,0)),"CUIT NO CARGADO")</f>
        <v>NIEVA EZEQUIEL ERNESTO</v>
      </c>
      <c r="I237" s="520">
        <v>3400</v>
      </c>
      <c r="J237" s="54" t="str">
        <f>IFERROR(IF(factura_c_mes8[[#This Row],[CUIT]]="","-",VLOOKUP(factura_c_mes8[[#This Row],[CUIT]],Lista_CUIT[#All],3,0)),"CUIT NO CARGADO")</f>
        <v>INSUMO</v>
      </c>
      <c r="K237" s="54" t="str">
        <f>IFERROR(IF(factura_c_mes8[[#This Row],[CUIT]]="","-",VLOOKUP(factura_c_mes8[[#This Row],[CUIT]],Lista_CUIT[#All],4,0)),"CUIT NO CARGADO")</f>
        <v>BUENOS AIRES</v>
      </c>
    </row>
    <row r="238" spans="4:13" x14ac:dyDescent="0.3">
      <c r="D238" s="145">
        <v>45146</v>
      </c>
      <c r="E238" s="42">
        <v>8</v>
      </c>
      <c r="F238" s="43">
        <v>396</v>
      </c>
      <c r="G238" s="44">
        <v>27409592487</v>
      </c>
      <c r="H238" s="470" t="str">
        <f>IFERROR(IF(factura_c_mes8[[#This Row],[CUIT]]="","-",VLOOKUP(factura_c_mes8[[#This Row],[CUIT]],Lista_CUIT[#All],2,0)),"CUIT NO CARGADO")</f>
        <v>BAUDONE ANTONELLA AGOSTINA</v>
      </c>
      <c r="I238" s="521">
        <v>7650</v>
      </c>
      <c r="J238" s="472">
        <f>IFERROR(IF(factura_c_mes8[[#This Row],[CUIT]]="","-",VLOOKUP(factura_c_mes8[[#This Row],[CUIT]],Lista_CUIT[#All],3,0)),"CUIT NO CARGADO")</f>
        <v>0</v>
      </c>
      <c r="K238" s="472">
        <f>IFERROR(IF(factura_c_mes8[[#This Row],[CUIT]]="","-",VLOOKUP(factura_c_mes8[[#This Row],[CUIT]],Lista_CUIT[#All],4,0)),"CUIT NO CARGADO")</f>
        <v>0</v>
      </c>
    </row>
    <row r="239" spans="4:13" ht="22.5" customHeight="1" x14ac:dyDescent="0.3">
      <c r="D239" s="145">
        <v>45146</v>
      </c>
      <c r="E239" s="42">
        <v>8</v>
      </c>
      <c r="F239" s="43">
        <v>395</v>
      </c>
      <c r="G239" s="44">
        <v>27409592487</v>
      </c>
      <c r="H239" s="470" t="str">
        <f>IFERROR(IF(factura_c_mes8[[#This Row],[CUIT]]="","-",VLOOKUP(factura_c_mes8[[#This Row],[CUIT]],Lista_CUIT[#All],2,0)),"CUIT NO CARGADO")</f>
        <v>BAUDONE ANTONELLA AGOSTINA</v>
      </c>
      <c r="I239" s="521">
        <v>7000</v>
      </c>
      <c r="J239" s="472">
        <f>IFERROR(IF(factura_c_mes8[[#This Row],[CUIT]]="","-",VLOOKUP(factura_c_mes8[[#This Row],[CUIT]],Lista_CUIT[#All],3,0)),"CUIT NO CARGADO")</f>
        <v>0</v>
      </c>
      <c r="K239" s="472">
        <f>IFERROR(IF(factura_c_mes8[[#This Row],[CUIT]]="","-",VLOOKUP(factura_c_mes8[[#This Row],[CUIT]],Lista_CUIT[#All],4,0)),"CUIT NO CARGADO")</f>
        <v>0</v>
      </c>
    </row>
    <row r="240" spans="4:13" x14ac:dyDescent="0.3">
      <c r="D240" s="145">
        <v>45147</v>
      </c>
      <c r="E240" s="42">
        <v>2</v>
      </c>
      <c r="F240" s="43">
        <v>252</v>
      </c>
      <c r="G240" s="44">
        <v>23319210954</v>
      </c>
      <c r="H240" s="470" t="str">
        <f>IFERROR(IF(factura_c_mes8[[#This Row],[CUIT]]="","-",VLOOKUP(factura_c_mes8[[#This Row],[CUIT]],Lista_CUIT[#All],2,0)),"CUIT NO CARGADO")</f>
        <v>CAFFARATTI ROMINA PAOLA</v>
      </c>
      <c r="I240" s="521">
        <v>41160</v>
      </c>
      <c r="J240" s="472" t="str">
        <f>IFERROR(IF(factura_c_mes8[[#This Row],[CUIT]]="","-",VLOOKUP(factura_c_mes8[[#This Row],[CUIT]],Lista_CUIT[#All],3,0)),"CUIT NO CARGADO")</f>
        <v>HONORARIOS</v>
      </c>
      <c r="K240" s="472">
        <f>IFERROR(IF(factura_c_mes8[[#This Row],[CUIT]]="","-",VLOOKUP(factura_c_mes8[[#This Row],[CUIT]],Lista_CUIT[#All],4,0)),"CUIT NO CARGADO")</f>
        <v>0</v>
      </c>
    </row>
    <row r="241" spans="4:11" ht="18" customHeight="1" x14ac:dyDescent="0.3">
      <c r="D241" s="145">
        <v>45152</v>
      </c>
      <c r="E241" s="42">
        <v>9</v>
      </c>
      <c r="F241" s="43">
        <v>3883445</v>
      </c>
      <c r="G241" s="44">
        <v>33715179119</v>
      </c>
      <c r="H241" s="470" t="str">
        <f>IFERROR(IF(factura_c_mes8[[#This Row],[CUIT]]="","-",VLOOKUP(factura_c_mes8[[#This Row],[CUIT]],Lista_CUIT[#All],2,0)),"CUIT NO CARGADO")</f>
        <v>FONDO DE COOPERACION TECNICA Y FINANCIERA - CECBA - SL Y T - LEY 23.412</v>
      </c>
      <c r="I241" s="521">
        <v>855</v>
      </c>
      <c r="J241" s="472">
        <f>IFERROR(IF(factura_c_mes8[[#This Row],[CUIT]]="","-",VLOOKUP(factura_c_mes8[[#This Row],[CUIT]],Lista_CUIT[#All],3,0)),"CUIT NO CARGADO")</f>
        <v>0</v>
      </c>
      <c r="K241" s="472">
        <f>IFERROR(IF(factura_c_mes8[[#This Row],[CUIT]]="","-",VLOOKUP(factura_c_mes8[[#This Row],[CUIT]],Lista_CUIT[#All],4,0)),"CUIT NO CARGADO")</f>
        <v>0</v>
      </c>
    </row>
    <row r="242" spans="4:11" x14ac:dyDescent="0.3">
      <c r="D242" s="145">
        <v>45153</v>
      </c>
      <c r="E242" s="42">
        <v>3</v>
      </c>
      <c r="F242" s="43">
        <v>544</v>
      </c>
      <c r="G242" s="44">
        <v>20173025557</v>
      </c>
      <c r="H242" s="470" t="str">
        <f>IFERROR(IF(factura_c_mes8[[#This Row],[CUIT]]="","-",VLOOKUP(factura_c_mes8[[#This Row],[CUIT]],Lista_CUIT[#All],2,0)),"CUIT NO CARGADO")</f>
        <v>MARAUDA HECTOR</v>
      </c>
      <c r="I242" s="521">
        <v>1600</v>
      </c>
      <c r="J242" s="472">
        <f>IFERROR(IF(factura_c_mes8[[#This Row],[CUIT]]="","-",VLOOKUP(factura_c_mes8[[#This Row],[CUIT]],Lista_CUIT[#All],3,0)),"CUIT NO CARGADO")</f>
        <v>0</v>
      </c>
      <c r="K242" s="472">
        <f>IFERROR(IF(factura_c_mes8[[#This Row],[CUIT]]="","-",VLOOKUP(factura_c_mes8[[#This Row],[CUIT]],Lista_CUIT[#All],4,0)),"CUIT NO CARGADO")</f>
        <v>0</v>
      </c>
    </row>
    <row r="243" spans="4:11" x14ac:dyDescent="0.3">
      <c r="D243" s="145">
        <v>45153</v>
      </c>
      <c r="E243" s="42">
        <v>2</v>
      </c>
      <c r="F243" s="43">
        <v>3697</v>
      </c>
      <c r="G243" s="44">
        <v>20136536320</v>
      </c>
      <c r="H243" s="470" t="str">
        <f>IFERROR(IF(factura_c_mes8[[#This Row],[CUIT]]="","-",VLOOKUP(factura_c_mes8[[#This Row],[CUIT]],Lista_CUIT[#All],2,0)),"CUIT NO CARGADO")</f>
        <v>FONTENLA ERNESTO MARIO</v>
      </c>
      <c r="I243" s="521">
        <v>1300</v>
      </c>
      <c r="J243" s="472" t="str">
        <f>IFERROR(IF(factura_c_mes8[[#This Row],[CUIT]]="","-",VLOOKUP(factura_c_mes8[[#This Row],[CUIT]],Lista_CUIT[#All],3,0)),"CUIT NO CARGADO")</f>
        <v>INSUMO</v>
      </c>
      <c r="K243" s="472" t="str">
        <f>IFERROR(IF(factura_c_mes8[[#This Row],[CUIT]]="","-",VLOOKUP(factura_c_mes8[[#This Row],[CUIT]],Lista_CUIT[#All],4,0)),"CUIT NO CARGADO")</f>
        <v>CABA</v>
      </c>
    </row>
    <row r="244" spans="4:11" x14ac:dyDescent="0.3">
      <c r="D244" s="145">
        <v>45157</v>
      </c>
      <c r="E244" s="42">
        <v>2</v>
      </c>
      <c r="F244" s="43">
        <v>3698</v>
      </c>
      <c r="G244" s="44">
        <v>20136536320</v>
      </c>
      <c r="H244" s="470" t="str">
        <f>IFERROR(IF(factura_c_mes8[[#This Row],[CUIT]]="","-",VLOOKUP(factura_c_mes8[[#This Row],[CUIT]],Lista_CUIT[#All],2,0)),"CUIT NO CARGADO")</f>
        <v>FONTENLA ERNESTO MARIO</v>
      </c>
      <c r="I244" s="521">
        <v>2600</v>
      </c>
      <c r="J244" s="472" t="str">
        <f>IFERROR(IF(factura_c_mes8[[#This Row],[CUIT]]="","-",VLOOKUP(factura_c_mes8[[#This Row],[CUIT]],Lista_CUIT[#All],3,0)),"CUIT NO CARGADO")</f>
        <v>INSUMO</v>
      </c>
      <c r="K244" s="472" t="str">
        <f>IFERROR(IF(factura_c_mes8[[#This Row],[CUIT]]="","-",VLOOKUP(factura_c_mes8[[#This Row],[CUIT]],Lista_CUIT[#All],4,0)),"CUIT NO CARGADO")</f>
        <v>CABA</v>
      </c>
    </row>
    <row r="245" spans="4:11" x14ac:dyDescent="0.3">
      <c r="D245" s="145">
        <v>45160</v>
      </c>
      <c r="E245" s="42">
        <v>8</v>
      </c>
      <c r="F245" s="43">
        <v>414</v>
      </c>
      <c r="G245" s="44">
        <v>27409592487</v>
      </c>
      <c r="H245" s="470" t="str">
        <f>IFERROR(IF(factura_c_mes8[[#This Row],[CUIT]]="","-",VLOOKUP(factura_c_mes8[[#This Row],[CUIT]],Lista_CUIT[#All],2,0)),"CUIT NO CARGADO")</f>
        <v>BAUDONE ANTONELLA AGOSTINA</v>
      </c>
      <c r="I245" s="521">
        <v>302400</v>
      </c>
      <c r="J245" s="472">
        <f>IFERROR(IF(factura_c_mes8[[#This Row],[CUIT]]="","-",VLOOKUP(factura_c_mes8[[#This Row],[CUIT]],Lista_CUIT[#All],3,0)),"CUIT NO CARGADO")</f>
        <v>0</v>
      </c>
      <c r="K245" s="472">
        <f>IFERROR(IF(factura_c_mes8[[#This Row],[CUIT]]="","-",VLOOKUP(factura_c_mes8[[#This Row],[CUIT]],Lista_CUIT[#All],4,0)),"CUIT NO CARGADO")</f>
        <v>0</v>
      </c>
    </row>
    <row r="246" spans="4:11" x14ac:dyDescent="0.3">
      <c r="D246" s="145">
        <v>45160</v>
      </c>
      <c r="E246" s="42">
        <v>2</v>
      </c>
      <c r="F246" s="43">
        <v>105</v>
      </c>
      <c r="G246" s="44">
        <v>20177965279</v>
      </c>
      <c r="H246" s="470" t="str">
        <f>IFERROR(IF(factura_c_mes8[[#This Row],[CUIT]]="","-",VLOOKUP(factura_c_mes8[[#This Row],[CUIT]],Lista_CUIT[#All],2,0)),"CUIT NO CARGADO")</f>
        <v>BARUCCO NORBERTO MATIAS</v>
      </c>
      <c r="I246" s="521">
        <v>525000</v>
      </c>
      <c r="J246" s="472">
        <f>IFERROR(IF(factura_c_mes8[[#This Row],[CUIT]]="","-",VLOOKUP(factura_c_mes8[[#This Row],[CUIT]],Lista_CUIT[#All],3,0)),"CUIT NO CARGADO")</f>
        <v>0</v>
      </c>
      <c r="K246" s="472">
        <f>IFERROR(IF(factura_c_mes8[[#This Row],[CUIT]]="","-",VLOOKUP(factura_c_mes8[[#This Row],[CUIT]],Lista_CUIT[#All],4,0)),"CUIT NO CARGADO")</f>
        <v>0</v>
      </c>
    </row>
    <row r="247" spans="4:11" x14ac:dyDescent="0.3">
      <c r="D247" s="145">
        <v>45160</v>
      </c>
      <c r="E247" s="42">
        <v>2</v>
      </c>
      <c r="F247" s="43">
        <v>3701</v>
      </c>
      <c r="G247" s="44">
        <v>20136536320</v>
      </c>
      <c r="H247" s="470" t="str">
        <f>IFERROR(IF(factura_c_mes8[[#This Row],[CUIT]]="","-",VLOOKUP(factura_c_mes8[[#This Row],[CUIT]],Lista_CUIT[#All],2,0)),"CUIT NO CARGADO")</f>
        <v>FONTENLA ERNESTO MARIO</v>
      </c>
      <c r="I247" s="521">
        <v>680</v>
      </c>
      <c r="J247" s="472" t="str">
        <f>IFERROR(IF(factura_c_mes8[[#This Row],[CUIT]]="","-",VLOOKUP(factura_c_mes8[[#This Row],[CUIT]],Lista_CUIT[#All],3,0)),"CUIT NO CARGADO")</f>
        <v>INSUMO</v>
      </c>
      <c r="K247" s="472" t="str">
        <f>IFERROR(IF(factura_c_mes8[[#This Row],[CUIT]]="","-",VLOOKUP(factura_c_mes8[[#This Row],[CUIT]],Lista_CUIT[#All],4,0)),"CUIT NO CARGADO")</f>
        <v>CABA</v>
      </c>
    </row>
    <row r="248" spans="4:11" x14ac:dyDescent="0.3">
      <c r="D248" s="145">
        <v>45160</v>
      </c>
      <c r="E248" s="42">
        <v>2</v>
      </c>
      <c r="F248" s="43">
        <v>3700</v>
      </c>
      <c r="G248" s="44">
        <v>20136536320</v>
      </c>
      <c r="H248" s="470" t="str">
        <f>IFERROR(IF(factura_c_mes8[[#This Row],[CUIT]]="","-",VLOOKUP(factura_c_mes8[[#This Row],[CUIT]],Lista_CUIT[#All],2,0)),"CUIT NO CARGADO")</f>
        <v>FONTENLA ERNESTO MARIO</v>
      </c>
      <c r="I248" s="521">
        <v>1550</v>
      </c>
      <c r="J248" s="472" t="str">
        <f>IFERROR(IF(factura_c_mes8[[#This Row],[CUIT]]="","-",VLOOKUP(factura_c_mes8[[#This Row],[CUIT]],Lista_CUIT[#All],3,0)),"CUIT NO CARGADO")</f>
        <v>INSUMO</v>
      </c>
      <c r="K248" s="472" t="str">
        <f>IFERROR(IF(factura_c_mes8[[#This Row],[CUIT]]="","-",VLOOKUP(factura_c_mes8[[#This Row],[CUIT]],Lista_CUIT[#All],4,0)),"CUIT NO CARGADO")</f>
        <v>CABA</v>
      </c>
    </row>
    <row r="249" spans="4:11" x14ac:dyDescent="0.3">
      <c r="D249" s="145">
        <v>45161</v>
      </c>
      <c r="E249" s="42">
        <v>2</v>
      </c>
      <c r="F249" s="43">
        <v>578</v>
      </c>
      <c r="G249" s="44">
        <v>20285074712</v>
      </c>
      <c r="H249" s="470" t="str">
        <f>IFERROR(IF(factura_c_mes8[[#This Row],[CUIT]]="","-",VLOOKUP(factura_c_mes8[[#This Row],[CUIT]],Lista_CUIT[#All],2,0)),"CUIT NO CARGADO")</f>
        <v>CASASNOVAS JUAN PABLO</v>
      </c>
      <c r="I249" s="521">
        <v>50500</v>
      </c>
      <c r="J249" s="472">
        <f>IFERROR(IF(factura_c_mes8[[#This Row],[CUIT]]="","-",VLOOKUP(factura_c_mes8[[#This Row],[CUIT]],Lista_CUIT[#All],3,0)),"CUIT NO CARGADO")</f>
        <v>0</v>
      </c>
      <c r="K249" s="472">
        <f>IFERROR(IF(factura_c_mes8[[#This Row],[CUIT]]="","-",VLOOKUP(factura_c_mes8[[#This Row],[CUIT]],Lista_CUIT[#All],4,0)),"CUIT NO CARGADO")</f>
        <v>0</v>
      </c>
    </row>
    <row r="250" spans="4:11" x14ac:dyDescent="0.3">
      <c r="D250" s="145">
        <v>45161</v>
      </c>
      <c r="E250" s="42">
        <v>2</v>
      </c>
      <c r="F250" s="43">
        <v>3703</v>
      </c>
      <c r="G250" s="44">
        <v>20136536320</v>
      </c>
      <c r="H250" s="470" t="str">
        <f>IFERROR(IF(factura_c_mes8[[#This Row],[CUIT]]="","-",VLOOKUP(factura_c_mes8[[#This Row],[CUIT]],Lista_CUIT[#All],2,0)),"CUIT NO CARGADO")</f>
        <v>FONTENLA ERNESTO MARIO</v>
      </c>
      <c r="I250" s="521">
        <v>6200</v>
      </c>
      <c r="J250" s="472" t="str">
        <f>IFERROR(IF(factura_c_mes8[[#This Row],[CUIT]]="","-",VLOOKUP(factura_c_mes8[[#This Row],[CUIT]],Lista_CUIT[#All],3,0)),"CUIT NO CARGADO")</f>
        <v>INSUMO</v>
      </c>
      <c r="K250" s="472" t="str">
        <f>IFERROR(IF(factura_c_mes8[[#This Row],[CUIT]]="","-",VLOOKUP(factura_c_mes8[[#This Row],[CUIT]],Lista_CUIT[#All],4,0)),"CUIT NO CARGADO")</f>
        <v>CABA</v>
      </c>
    </row>
    <row r="251" spans="4:11" x14ac:dyDescent="0.3">
      <c r="D251" s="145">
        <v>45162</v>
      </c>
      <c r="E251" s="42">
        <v>8</v>
      </c>
      <c r="F251" s="43">
        <v>419</v>
      </c>
      <c r="G251" s="44">
        <v>27409592487</v>
      </c>
      <c r="H251" s="470" t="str">
        <f>IFERROR(IF(factura_c_mes8[[#This Row],[CUIT]]="","-",VLOOKUP(factura_c_mes8[[#This Row],[CUIT]],Lista_CUIT[#All],2,0)),"CUIT NO CARGADO")</f>
        <v>BAUDONE ANTONELLA AGOSTINA</v>
      </c>
      <c r="I251" s="521">
        <v>31500</v>
      </c>
      <c r="J251" s="472">
        <f>IFERROR(IF(factura_c_mes8[[#This Row],[CUIT]]="","-",VLOOKUP(factura_c_mes8[[#This Row],[CUIT]],Lista_CUIT[#All],3,0)),"CUIT NO CARGADO")</f>
        <v>0</v>
      </c>
      <c r="K251" s="472">
        <f>IFERROR(IF(factura_c_mes8[[#This Row],[CUIT]]="","-",VLOOKUP(factura_c_mes8[[#This Row],[CUIT]],Lista_CUIT[#All],4,0)),"CUIT NO CARGADO")</f>
        <v>0</v>
      </c>
    </row>
    <row r="252" spans="4:11" x14ac:dyDescent="0.3">
      <c r="D252" s="145">
        <v>45162</v>
      </c>
      <c r="E252" s="42">
        <v>9</v>
      </c>
      <c r="F252" s="43">
        <v>3899798</v>
      </c>
      <c r="G252" s="44">
        <v>33715179119</v>
      </c>
      <c r="H252" s="470" t="str">
        <f>IFERROR(IF(factura_c_mes8[[#This Row],[CUIT]]="","-",VLOOKUP(factura_c_mes8[[#This Row],[CUIT]],Lista_CUIT[#All],2,0)),"CUIT NO CARGADO")</f>
        <v>FONDO DE COOPERACION TECNICA Y FINANCIERA - CECBA - SL Y T - LEY 23.412</v>
      </c>
      <c r="I252" s="521">
        <v>855</v>
      </c>
      <c r="J252" s="472">
        <f>IFERROR(IF(factura_c_mes8[[#This Row],[CUIT]]="","-",VLOOKUP(factura_c_mes8[[#This Row],[CUIT]],Lista_CUIT[#All],3,0)),"CUIT NO CARGADO")</f>
        <v>0</v>
      </c>
      <c r="K252" s="472">
        <f>IFERROR(IF(factura_c_mes8[[#This Row],[CUIT]]="","-",VLOOKUP(factura_c_mes8[[#This Row],[CUIT]],Lista_CUIT[#All],4,0)),"CUIT NO CARGADO")</f>
        <v>0</v>
      </c>
    </row>
    <row r="253" spans="4:11" x14ac:dyDescent="0.3">
      <c r="D253" s="145">
        <v>45162</v>
      </c>
      <c r="E253" s="42">
        <v>2</v>
      </c>
      <c r="F253" s="43">
        <v>3706</v>
      </c>
      <c r="G253" s="44">
        <v>20136536320</v>
      </c>
      <c r="H253" s="470" t="str">
        <f>IFERROR(IF(factura_c_mes8[[#This Row],[CUIT]]="","-",VLOOKUP(factura_c_mes8[[#This Row],[CUIT]],Lista_CUIT[#All],2,0)),"CUIT NO CARGADO")</f>
        <v>FONTENLA ERNESTO MARIO</v>
      </c>
      <c r="I253" s="521">
        <v>1000</v>
      </c>
      <c r="J253" s="472" t="str">
        <f>IFERROR(IF(factura_c_mes8[[#This Row],[CUIT]]="","-",VLOOKUP(factura_c_mes8[[#This Row],[CUIT]],Lista_CUIT[#All],3,0)),"CUIT NO CARGADO")</f>
        <v>INSUMO</v>
      </c>
      <c r="K253" s="472" t="str">
        <f>IFERROR(IF(factura_c_mes8[[#This Row],[CUIT]]="","-",VLOOKUP(factura_c_mes8[[#This Row],[CUIT]],Lista_CUIT[#All],4,0)),"CUIT NO CARGADO")</f>
        <v>CABA</v>
      </c>
    </row>
    <row r="254" spans="4:11" x14ac:dyDescent="0.3">
      <c r="D254" s="145">
        <v>45162</v>
      </c>
      <c r="E254" s="42">
        <v>2</v>
      </c>
      <c r="F254" s="43">
        <v>3705</v>
      </c>
      <c r="G254" s="44">
        <v>20136536320</v>
      </c>
      <c r="H254" s="470" t="str">
        <f>IFERROR(IF(factura_c_mes8[[#This Row],[CUIT]]="","-",VLOOKUP(factura_c_mes8[[#This Row],[CUIT]],Lista_CUIT[#All],2,0)),"CUIT NO CARGADO")</f>
        <v>FONTENLA ERNESTO MARIO</v>
      </c>
      <c r="I254" s="521">
        <v>4980</v>
      </c>
      <c r="J254" s="472" t="str">
        <f>IFERROR(IF(factura_c_mes8[[#This Row],[CUIT]]="","-",VLOOKUP(factura_c_mes8[[#This Row],[CUIT]],Lista_CUIT[#All],3,0)),"CUIT NO CARGADO")</f>
        <v>INSUMO</v>
      </c>
      <c r="K254" s="472" t="str">
        <f>IFERROR(IF(factura_c_mes8[[#This Row],[CUIT]]="","-",VLOOKUP(factura_c_mes8[[#This Row],[CUIT]],Lista_CUIT[#All],4,0)),"CUIT NO CARGADO")</f>
        <v>CABA</v>
      </c>
    </row>
    <row r="255" spans="4:11" x14ac:dyDescent="0.3">
      <c r="D255" s="145">
        <v>45162</v>
      </c>
      <c r="E255" s="42">
        <v>2</v>
      </c>
      <c r="F255" s="43">
        <v>3711</v>
      </c>
      <c r="G255" s="44">
        <v>20136536320</v>
      </c>
      <c r="H255" s="470" t="str">
        <f>IFERROR(IF(factura_c_mes8[[#This Row],[CUIT]]="","-",VLOOKUP(factura_c_mes8[[#This Row],[CUIT]],Lista_CUIT[#All],2,0)),"CUIT NO CARGADO")</f>
        <v>FONTENLA ERNESTO MARIO</v>
      </c>
      <c r="I255" s="521">
        <v>3000</v>
      </c>
      <c r="J255" s="472" t="str">
        <f>IFERROR(IF(factura_c_mes8[[#This Row],[CUIT]]="","-",VLOOKUP(factura_c_mes8[[#This Row],[CUIT]],Lista_CUIT[#All],3,0)),"CUIT NO CARGADO")</f>
        <v>INSUMO</v>
      </c>
      <c r="K255" s="472" t="str">
        <f>IFERROR(IF(factura_c_mes8[[#This Row],[CUIT]]="","-",VLOOKUP(factura_c_mes8[[#This Row],[CUIT]],Lista_CUIT[#All],4,0)),"CUIT NO CARGADO")</f>
        <v>CABA</v>
      </c>
    </row>
    <row r="256" spans="4:11" x14ac:dyDescent="0.3">
      <c r="D256" s="145">
        <v>45162</v>
      </c>
      <c r="E256" s="42">
        <v>2</v>
      </c>
      <c r="F256" s="43">
        <v>3712</v>
      </c>
      <c r="G256" s="44">
        <v>20136536320</v>
      </c>
      <c r="H256" s="470" t="str">
        <f>IFERROR(IF(factura_c_mes8[[#This Row],[CUIT]]="","-",VLOOKUP(factura_c_mes8[[#This Row],[CUIT]],Lista_CUIT[#All],2,0)),"CUIT NO CARGADO")</f>
        <v>FONTENLA ERNESTO MARIO</v>
      </c>
      <c r="I256" s="521">
        <v>1400</v>
      </c>
      <c r="J256" s="472" t="str">
        <f>IFERROR(IF(factura_c_mes8[[#This Row],[CUIT]]="","-",VLOOKUP(factura_c_mes8[[#This Row],[CUIT]],Lista_CUIT[#All],3,0)),"CUIT NO CARGADO")</f>
        <v>INSUMO</v>
      </c>
      <c r="K256" s="472" t="str">
        <f>IFERROR(IF(factura_c_mes8[[#This Row],[CUIT]]="","-",VLOOKUP(factura_c_mes8[[#This Row],[CUIT]],Lista_CUIT[#All],4,0)),"CUIT NO CARGADO")</f>
        <v>CABA</v>
      </c>
    </row>
    <row r="257" spans="4:11" ht="25.95" customHeight="1" x14ac:dyDescent="0.3">
      <c r="D257" s="647">
        <v>45162</v>
      </c>
      <c r="E257" s="42">
        <v>15</v>
      </c>
      <c r="F257" s="43">
        <v>7066</v>
      </c>
      <c r="G257" s="44">
        <v>20164549837</v>
      </c>
      <c r="H257" s="53" t="str">
        <f>IFERROR(IF(factura_c_mes8[[#This Row],[CUIT]]="","-",VLOOKUP(factura_c_mes8[[#This Row],[CUIT]],Lista_CUIT[#All],2,0)),"CUIT NO CARGADO")</f>
        <v>MARCELO FABIAN MANAU</v>
      </c>
      <c r="I257" s="520">
        <v>6000</v>
      </c>
      <c r="J257" s="54">
        <f>IFERROR(IF(factura_c_mes8[[#This Row],[CUIT]]="","-",VLOOKUP(factura_c_mes8[[#This Row],[CUIT]],Lista_CUIT[#All],3,0)),"CUIT NO CARGADO")</f>
        <v>0</v>
      </c>
      <c r="K257" s="54">
        <f>IFERROR(IF(factura_c_mes8[[#This Row],[CUIT]]="","-",VLOOKUP(factura_c_mes8[[#This Row],[CUIT]],Lista_CUIT[#All],4,0)),"CUIT NO CARGADO")</f>
        <v>0</v>
      </c>
    </row>
    <row r="258" spans="4:11" x14ac:dyDescent="0.3">
      <c r="D258" s="145">
        <v>45163</v>
      </c>
      <c r="E258" s="42">
        <v>2</v>
      </c>
      <c r="F258" s="43">
        <v>3718</v>
      </c>
      <c r="G258" s="44">
        <v>20136536320</v>
      </c>
      <c r="H258" s="470" t="str">
        <f>IFERROR(IF(factura_c_mes8[[#This Row],[CUIT]]="","-",VLOOKUP(factura_c_mes8[[#This Row],[CUIT]],Lista_CUIT[#All],2,0)),"CUIT NO CARGADO")</f>
        <v>FONTENLA ERNESTO MARIO</v>
      </c>
      <c r="I258" s="521">
        <v>400</v>
      </c>
      <c r="J258" s="472" t="str">
        <f>IFERROR(IF(factura_c_mes8[[#This Row],[CUIT]]="","-",VLOOKUP(factura_c_mes8[[#This Row],[CUIT]],Lista_CUIT[#All],3,0)),"CUIT NO CARGADO")</f>
        <v>INSUMO</v>
      </c>
      <c r="K258" s="472" t="str">
        <f>IFERROR(IF(factura_c_mes8[[#This Row],[CUIT]]="","-",VLOOKUP(factura_c_mes8[[#This Row],[CUIT]],Lista_CUIT[#All],4,0)),"CUIT NO CARGADO")</f>
        <v>CABA</v>
      </c>
    </row>
    <row r="259" spans="4:11" ht="17.25" customHeight="1" x14ac:dyDescent="0.3">
      <c r="D259" s="145">
        <v>45163</v>
      </c>
      <c r="E259" s="42">
        <v>2</v>
      </c>
      <c r="F259" s="43">
        <v>3714</v>
      </c>
      <c r="G259" s="44">
        <v>20136536320</v>
      </c>
      <c r="H259" s="470" t="str">
        <f>IFERROR(IF(factura_c_mes8[[#This Row],[CUIT]]="","-",VLOOKUP(factura_c_mes8[[#This Row],[CUIT]],Lista_CUIT[#All],2,0)),"CUIT NO CARGADO")</f>
        <v>FONTENLA ERNESTO MARIO</v>
      </c>
      <c r="I259" s="521">
        <v>630</v>
      </c>
      <c r="J259" s="472" t="str">
        <f>IFERROR(IF(factura_c_mes8[[#This Row],[CUIT]]="","-",VLOOKUP(factura_c_mes8[[#This Row],[CUIT]],Lista_CUIT[#All],3,0)),"CUIT NO CARGADO")</f>
        <v>INSUMO</v>
      </c>
      <c r="K259" s="472" t="str">
        <f>IFERROR(IF(factura_c_mes8[[#This Row],[CUIT]]="","-",VLOOKUP(factura_c_mes8[[#This Row],[CUIT]],Lista_CUIT[#All],4,0)),"CUIT NO CARGADO")</f>
        <v>CABA</v>
      </c>
    </row>
    <row r="260" spans="4:11" ht="31.5" customHeight="1" x14ac:dyDescent="0.3">
      <c r="D260" s="647">
        <v>45163</v>
      </c>
      <c r="E260" s="42">
        <v>6</v>
      </c>
      <c r="F260" s="43">
        <v>15519</v>
      </c>
      <c r="G260" s="44">
        <v>27940267965</v>
      </c>
      <c r="H260" s="53" t="str">
        <f>IFERROR(IF(factura_c_mes8[[#This Row],[CUIT]]="","-",VLOOKUP(factura_c_mes8[[#This Row],[CUIT]],Lista_CUIT[#All],2,0)),"CUIT NO CARGADO")</f>
        <v xml:space="preserve">LIN QIN </v>
      </c>
      <c r="I260" s="520">
        <v>4500</v>
      </c>
      <c r="J260" s="54">
        <f>IFERROR(IF(factura_c_mes8[[#This Row],[CUIT]]="","-",VLOOKUP(factura_c_mes8[[#This Row],[CUIT]],Lista_CUIT[#All],3,0)),"CUIT NO CARGADO")</f>
        <v>0</v>
      </c>
      <c r="K260" s="54">
        <f>IFERROR(IF(factura_c_mes8[[#This Row],[CUIT]]="","-",VLOOKUP(factura_c_mes8[[#This Row],[CUIT]],Lista_CUIT[#All],4,0)),"CUIT NO CARGADO")</f>
        <v>0</v>
      </c>
    </row>
    <row r="261" spans="4:11" x14ac:dyDescent="0.3">
      <c r="D261" s="145">
        <v>45164</v>
      </c>
      <c r="E261" s="42">
        <v>2</v>
      </c>
      <c r="F261" s="43">
        <v>3721</v>
      </c>
      <c r="G261" s="44">
        <v>20136536320</v>
      </c>
      <c r="H261" s="470" t="str">
        <f>IFERROR(IF(factura_c_mes8[[#This Row],[CUIT]]="","-",VLOOKUP(factura_c_mes8[[#This Row],[CUIT]],Lista_CUIT[#All],2,0)),"CUIT NO CARGADO")</f>
        <v>FONTENLA ERNESTO MARIO</v>
      </c>
      <c r="I261" s="521">
        <v>1350</v>
      </c>
      <c r="J261" s="472" t="str">
        <f>IFERROR(IF(factura_c_mes8[[#This Row],[CUIT]]="","-",VLOOKUP(factura_c_mes8[[#This Row],[CUIT]],Lista_CUIT[#All],3,0)),"CUIT NO CARGADO")</f>
        <v>INSUMO</v>
      </c>
      <c r="K261" s="472" t="str">
        <f>IFERROR(IF(factura_c_mes8[[#This Row],[CUIT]]="","-",VLOOKUP(factura_c_mes8[[#This Row],[CUIT]],Lista_CUIT[#All],4,0)),"CUIT NO CARGADO")</f>
        <v>CABA</v>
      </c>
    </row>
    <row r="262" spans="4:11" x14ac:dyDescent="0.3">
      <c r="D262" s="647">
        <v>45164</v>
      </c>
      <c r="E262" s="42">
        <v>24</v>
      </c>
      <c r="F262" s="43">
        <v>4228</v>
      </c>
      <c r="G262" s="44">
        <v>30709972894</v>
      </c>
      <c r="H262" s="53" t="str">
        <f>IFERROR(IF(factura_c_mes8[[#This Row],[CUIT]]="","-",VLOOKUP(factura_c_mes8[[#This Row],[CUIT]],Lista_CUIT[#All],2,0)),"CUIT NO CARGADO")</f>
        <v>AIRES MODERNOS</v>
      </c>
      <c r="I262" s="520">
        <v>50000</v>
      </c>
      <c r="J262" s="54">
        <f>IFERROR(IF(factura_c_mes8[[#This Row],[CUIT]]="","-",VLOOKUP(factura_c_mes8[[#This Row],[CUIT]],Lista_CUIT[#All],3,0)),"CUIT NO CARGADO")</f>
        <v>0</v>
      </c>
      <c r="K262" s="54">
        <f>IFERROR(IF(factura_c_mes8[[#This Row],[CUIT]]="","-",VLOOKUP(factura_c_mes8[[#This Row],[CUIT]],Lista_CUIT[#All],4,0)),"CUIT NO CARGADO")</f>
        <v>0</v>
      </c>
    </row>
    <row r="263" spans="4:11" x14ac:dyDescent="0.3">
      <c r="D263" s="647">
        <v>45166</v>
      </c>
      <c r="E263" s="42">
        <v>2036</v>
      </c>
      <c r="F263" s="43">
        <v>1076563</v>
      </c>
      <c r="G263" s="44">
        <v>30516186670</v>
      </c>
      <c r="H263" s="53" t="str">
        <f>IFERROR(IF(factura_c_mes8[[#This Row],[CUIT]]="","-",VLOOKUP(factura_c_mes8[[#This Row],[CUIT]],Lista_CUIT[#All],2,0)),"CUIT NO CARGADO")</f>
        <v>DEHEZA S.A.I.C.F. e I.</v>
      </c>
      <c r="I263" s="520">
        <v>1199.97</v>
      </c>
      <c r="J263" s="54" t="str">
        <f>IFERROR(IF(factura_c_mes8[[#This Row],[CUIT]]="","-",VLOOKUP(factura_c_mes8[[#This Row],[CUIT]],Lista_CUIT[#All],3,0)),"CUIT NO CARGADO")</f>
        <v>COMBUSTIBLE</v>
      </c>
      <c r="K263" s="54" t="str">
        <f>IFERROR(IF(factura_c_mes8[[#This Row],[CUIT]]="","-",VLOOKUP(factura_c_mes8[[#This Row],[CUIT]],Lista_CUIT[#All],4,0)),"CUIT NO CARGADO")</f>
        <v>CABA</v>
      </c>
    </row>
    <row r="264" spans="4:11" x14ac:dyDescent="0.3">
      <c r="D264" s="647">
        <v>45166</v>
      </c>
      <c r="E264" s="42">
        <v>2056</v>
      </c>
      <c r="F264" s="43">
        <v>2883443</v>
      </c>
      <c r="G264" s="44">
        <v>30548083156</v>
      </c>
      <c r="H264" s="53" t="str">
        <f>IFERROR(IF(factura_c_mes8[[#This Row],[CUIT]]="","-",VLOOKUP(factura_c_mes8[[#This Row],[CUIT]],Lista_CUIT[#All],2,0)),"CUIT NO CARGADO")</f>
        <v>COTO CENTRO INTEGRAL DE COMERCIALIZACION SOCIEDAD ANONIMA</v>
      </c>
      <c r="I264" s="520">
        <v>1991.9</v>
      </c>
      <c r="J264" s="54" t="str">
        <f>IFERROR(IF(factura_c_mes8[[#This Row],[CUIT]]="","-",VLOOKUP(factura_c_mes8[[#This Row],[CUIT]],Lista_CUIT[#All],3,0)),"CUIT NO CARGADO")</f>
        <v>GASTOS COMERCIALES</v>
      </c>
      <c r="K264" s="54">
        <f>IFERROR(IF(factura_c_mes8[[#This Row],[CUIT]]="","-",VLOOKUP(factura_c_mes8[[#This Row],[CUIT]],Lista_CUIT[#All],4,0)),"CUIT NO CARGADO")</f>
        <v>0</v>
      </c>
    </row>
    <row r="265" spans="4:11" x14ac:dyDescent="0.3">
      <c r="D265" s="648">
        <v>45168</v>
      </c>
      <c r="E265" s="42">
        <v>2</v>
      </c>
      <c r="F265" s="43">
        <v>148</v>
      </c>
      <c r="G265" s="44">
        <v>20417104543</v>
      </c>
      <c r="H265" s="470" t="str">
        <f>IFERROR(IF(factura_c_mes8[[#This Row],[CUIT]]="","-",VLOOKUP(factura_c_mes8[[#This Row],[CUIT]],Lista_CUIT[#All],2,0)),"CUIT NO CARGADO")</f>
        <v>ROMITELLI JUAN IGNACIO</v>
      </c>
      <c r="I265" s="521">
        <v>30000</v>
      </c>
      <c r="J265" s="472">
        <f>IFERROR(IF(factura_c_mes8[[#This Row],[CUIT]]="","-",VLOOKUP(factura_c_mes8[[#This Row],[CUIT]],Lista_CUIT[#All],3,0)),"CUIT NO CARGADO")</f>
        <v>0</v>
      </c>
      <c r="K265" s="472">
        <f>IFERROR(IF(factura_c_mes8[[#This Row],[CUIT]]="","-",VLOOKUP(factura_c_mes8[[#This Row],[CUIT]],Lista_CUIT[#All],4,0)),"CUIT NO CARGADO")</f>
        <v>0</v>
      </c>
    </row>
    <row r="266" spans="4:11" x14ac:dyDescent="0.3">
      <c r="D266" s="648">
        <v>45168</v>
      </c>
      <c r="E266" s="42">
        <v>3</v>
      </c>
      <c r="F266" s="43">
        <v>44</v>
      </c>
      <c r="G266" s="44">
        <v>20279103190</v>
      </c>
      <c r="H266" s="470" t="str">
        <f>IFERROR(IF(factura_c_mes8[[#This Row],[CUIT]]="","-",VLOOKUP(factura_c_mes8[[#This Row],[CUIT]],Lista_CUIT[#All],2,0)),"CUIT NO CARGADO")</f>
        <v>TONDINI FERNANDO</v>
      </c>
      <c r="I266" s="521">
        <v>25000</v>
      </c>
      <c r="J266" s="472">
        <f>IFERROR(IF(factura_c_mes8[[#This Row],[CUIT]]="","-",VLOOKUP(factura_c_mes8[[#This Row],[CUIT]],Lista_CUIT[#All],3,0)),"CUIT NO CARGADO")</f>
        <v>0</v>
      </c>
      <c r="K266" s="472">
        <f>IFERROR(IF(factura_c_mes8[[#This Row],[CUIT]]="","-",VLOOKUP(factura_c_mes8[[#This Row],[CUIT]],Lista_CUIT[#All],4,0)),"CUIT NO CARGADO")</f>
        <v>0</v>
      </c>
    </row>
    <row r="267" spans="4:11" x14ac:dyDescent="0.3">
      <c r="D267" s="648">
        <v>45168</v>
      </c>
      <c r="E267" s="42">
        <v>2</v>
      </c>
      <c r="F267" s="43">
        <v>3725</v>
      </c>
      <c r="G267" s="44">
        <v>20136536320</v>
      </c>
      <c r="H267" s="470" t="str">
        <f>IFERROR(IF(factura_c_mes8[[#This Row],[CUIT]]="","-",VLOOKUP(factura_c_mes8[[#This Row],[CUIT]],Lista_CUIT[#All],2,0)),"CUIT NO CARGADO")</f>
        <v>FONTENLA ERNESTO MARIO</v>
      </c>
      <c r="I267" s="521">
        <v>660</v>
      </c>
      <c r="J267" s="472" t="str">
        <f>IFERROR(IF(factura_c_mes8[[#This Row],[CUIT]]="","-",VLOOKUP(factura_c_mes8[[#This Row],[CUIT]],Lista_CUIT[#All],3,0)),"CUIT NO CARGADO")</f>
        <v>INSUMO</v>
      </c>
      <c r="K267" s="472" t="str">
        <f>IFERROR(IF(factura_c_mes8[[#This Row],[CUIT]]="","-",VLOOKUP(factura_c_mes8[[#This Row],[CUIT]],Lista_CUIT[#All],4,0)),"CUIT NO CARGADO")</f>
        <v>CABA</v>
      </c>
    </row>
    <row r="268" spans="4:11" x14ac:dyDescent="0.3">
      <c r="D268" s="50">
        <v>45168</v>
      </c>
      <c r="E268" s="42">
        <v>6</v>
      </c>
      <c r="F268" s="43">
        <v>888</v>
      </c>
      <c r="G268" s="44">
        <v>23234730959</v>
      </c>
      <c r="H268" s="53" t="str">
        <f>IFERROR(IF(factura_c_mes8[[#This Row],[CUIT]]="","-",VLOOKUP(factura_c_mes8[[#This Row],[CUIT]],Lista_CUIT[#All],2,0)),"CUIT NO CARGADO")</f>
        <v xml:space="preserve">ENCENDIDO INDEPENDENCIA </v>
      </c>
      <c r="I268" s="520">
        <v>6000</v>
      </c>
      <c r="J268" s="54" t="str">
        <f>IFERROR(IF(factura_c_mes8[[#This Row],[CUIT]]="","-",VLOOKUP(factura_c_mes8[[#This Row],[CUIT]],Lista_CUIT[#All],3,0)),"CUIT NO CARGADO")</f>
        <v>SERVICIOS</v>
      </c>
      <c r="K268" s="54">
        <f>IFERROR(IF(factura_c_mes8[[#This Row],[CUIT]]="","-",VLOOKUP(factura_c_mes8[[#This Row],[CUIT]],Lista_CUIT[#All],4,0)),"CUIT NO CARGADO")</f>
        <v>0</v>
      </c>
    </row>
    <row r="269" spans="4:11" x14ac:dyDescent="0.3">
      <c r="D269" s="50">
        <v>45168</v>
      </c>
      <c r="E269" s="42">
        <v>6</v>
      </c>
      <c r="F269" s="43">
        <v>885</v>
      </c>
      <c r="G269" s="44">
        <v>23234730959</v>
      </c>
      <c r="H269" s="53" t="str">
        <f>IFERROR(IF(factura_c_mes8[[#This Row],[CUIT]]="","-",VLOOKUP(factura_c_mes8[[#This Row],[CUIT]],Lista_CUIT[#All],2,0)),"CUIT NO CARGADO")</f>
        <v xml:space="preserve">ENCENDIDO INDEPENDENCIA </v>
      </c>
      <c r="I269" s="520">
        <v>600</v>
      </c>
      <c r="J269" s="54" t="str">
        <f>IFERROR(IF(factura_c_mes8[[#This Row],[CUIT]]="","-",VLOOKUP(factura_c_mes8[[#This Row],[CUIT]],Lista_CUIT[#All],3,0)),"CUIT NO CARGADO")</f>
        <v>SERVICIOS</v>
      </c>
      <c r="K269" s="54">
        <f>IFERROR(IF(factura_c_mes8[[#This Row],[CUIT]]="","-",VLOOKUP(factura_c_mes8[[#This Row],[CUIT]],Lista_CUIT[#All],4,0)),"CUIT NO CARGADO")</f>
        <v>0</v>
      </c>
    </row>
    <row r="270" spans="4:11" x14ac:dyDescent="0.3">
      <c r="D270" s="648">
        <v>45169</v>
      </c>
      <c r="E270" s="42">
        <v>1</v>
      </c>
      <c r="F270" s="43">
        <v>21</v>
      </c>
      <c r="G270" s="44">
        <v>20176922363</v>
      </c>
      <c r="H270" s="470" t="str">
        <f>IFERROR(IF(factura_c_mes8[[#This Row],[CUIT]]="","-",VLOOKUP(factura_c_mes8[[#This Row],[CUIT]],Lista_CUIT[#All],2,0)),"CUIT NO CARGADO")</f>
        <v>CASTILLO JUAN RAMON</v>
      </c>
      <c r="I270" s="521">
        <v>289000</v>
      </c>
      <c r="J270" s="472">
        <f>IFERROR(IF(factura_c_mes8[[#This Row],[CUIT]]="","-",VLOOKUP(factura_c_mes8[[#This Row],[CUIT]],Lista_CUIT[#All],3,0)),"CUIT NO CARGADO")</f>
        <v>0</v>
      </c>
      <c r="K270" s="472">
        <f>IFERROR(IF(factura_c_mes8[[#This Row],[CUIT]]="","-",VLOOKUP(factura_c_mes8[[#This Row],[CUIT]],Lista_CUIT[#All],4,0)),"CUIT NO CARGADO")</f>
        <v>0</v>
      </c>
    </row>
    <row r="271" spans="4:11" x14ac:dyDescent="0.3">
      <c r="D271" s="648">
        <v>45169</v>
      </c>
      <c r="E271" s="42">
        <v>1</v>
      </c>
      <c r="F271" s="43">
        <v>22</v>
      </c>
      <c r="G271" s="44">
        <v>20176922363</v>
      </c>
      <c r="H271" s="470" t="str">
        <f>IFERROR(IF(factura_c_mes8[[#This Row],[CUIT]]="","-",VLOOKUP(factura_c_mes8[[#This Row],[CUIT]],Lista_CUIT[#All],2,0)),"CUIT NO CARGADO")</f>
        <v>CASTILLO JUAN RAMON</v>
      </c>
      <c r="I271" s="521">
        <v>150000</v>
      </c>
      <c r="J271" s="472">
        <f>IFERROR(IF(factura_c_mes8[[#This Row],[CUIT]]="","-",VLOOKUP(factura_c_mes8[[#This Row],[CUIT]],Lista_CUIT[#All],3,0)),"CUIT NO CARGADO")</f>
        <v>0</v>
      </c>
      <c r="K271" s="472">
        <f>IFERROR(IF(factura_c_mes8[[#This Row],[CUIT]]="","-",VLOOKUP(factura_c_mes8[[#This Row],[CUIT]],Lista_CUIT[#All],4,0)),"CUIT NO CARGADO")</f>
        <v>0</v>
      </c>
    </row>
    <row r="272" spans="4:11" x14ac:dyDescent="0.3">
      <c r="D272" s="648">
        <v>45169</v>
      </c>
      <c r="E272" s="42">
        <v>2</v>
      </c>
      <c r="F272" s="43">
        <v>3726</v>
      </c>
      <c r="G272" s="44">
        <v>20136536320</v>
      </c>
      <c r="H272" s="470" t="str">
        <f>IFERROR(IF(factura_c_mes8[[#This Row],[CUIT]]="","-",VLOOKUP(factura_c_mes8[[#This Row],[CUIT]],Lista_CUIT[#All],2,0)),"CUIT NO CARGADO")</f>
        <v>FONTENLA ERNESTO MARIO</v>
      </c>
      <c r="I272" s="521">
        <v>800</v>
      </c>
      <c r="J272" s="472" t="str">
        <f>IFERROR(IF(factura_c_mes8[[#This Row],[CUIT]]="","-",VLOOKUP(factura_c_mes8[[#This Row],[CUIT]],Lista_CUIT[#All],3,0)),"CUIT NO CARGADO")</f>
        <v>INSUMO</v>
      </c>
      <c r="K272" s="472" t="str">
        <f>IFERROR(IF(factura_c_mes8[[#This Row],[CUIT]]="","-",VLOOKUP(factura_c_mes8[[#This Row],[CUIT]],Lista_CUIT[#All],4,0)),"CUIT NO CARGADO")</f>
        <v>CABA</v>
      </c>
    </row>
    <row r="273" spans="2:18" x14ac:dyDescent="0.3">
      <c r="D273" s="50">
        <v>45169</v>
      </c>
      <c r="E273" s="42">
        <v>2</v>
      </c>
      <c r="F273" s="43">
        <v>3729</v>
      </c>
      <c r="G273" s="44">
        <v>20136536320</v>
      </c>
      <c r="H273" s="53" t="str">
        <f>IFERROR(IF(factura_c_mes8[[#This Row],[CUIT]]="","-",VLOOKUP(factura_c_mes8[[#This Row],[CUIT]],Lista_CUIT[#All],2,0)),"CUIT NO CARGADO")</f>
        <v>FONTENLA ERNESTO MARIO</v>
      </c>
      <c r="I273" s="520">
        <v>550</v>
      </c>
      <c r="J273" s="54" t="str">
        <f>IFERROR(IF(factura_c_mes8[[#This Row],[CUIT]]="","-",VLOOKUP(factura_c_mes8[[#This Row],[CUIT]],Lista_CUIT[#All],3,0)),"CUIT NO CARGADO")</f>
        <v>INSUMO</v>
      </c>
      <c r="K273" s="54" t="str">
        <f>IFERROR(IF(factura_c_mes8[[#This Row],[CUIT]]="","-",VLOOKUP(factura_c_mes8[[#This Row],[CUIT]],Lista_CUIT[#All],4,0)),"CUIT NO CARGADO")</f>
        <v>CABA</v>
      </c>
    </row>
    <row r="274" spans="2:18" x14ac:dyDescent="0.3">
      <c r="D274" s="55" t="s">
        <v>103</v>
      </c>
      <c r="E274" s="55"/>
      <c r="F274" s="55"/>
      <c r="G274" s="55"/>
      <c r="H274" s="57"/>
      <c r="I274" s="58">
        <f>SUBTOTAL(109,factura_c_mes8[TOTAL])</f>
        <v>2033133.2699999998</v>
      </c>
      <c r="J274" s="55"/>
      <c r="K274" s="55"/>
    </row>
    <row r="275" spans="2:18" x14ac:dyDescent="0.3">
      <c r="B275" s="56"/>
      <c r="C275" s="56"/>
      <c r="L275" s="56"/>
      <c r="M275" s="56"/>
      <c r="N275" s="56"/>
      <c r="O275" s="56"/>
      <c r="P275" s="56"/>
      <c r="Q275" s="56"/>
      <c r="R275" s="56"/>
    </row>
    <row r="276" spans="2:18" x14ac:dyDescent="0.3">
      <c r="H276" s="128"/>
    </row>
    <row r="280" spans="2:18" ht="25.8" x14ac:dyDescent="0.3">
      <c r="B280" s="661" t="s">
        <v>29</v>
      </c>
      <c r="C280" s="661"/>
      <c r="D280" s="661"/>
      <c r="E280" s="661"/>
      <c r="F280" s="661"/>
      <c r="G280" s="661"/>
      <c r="H280" s="661"/>
      <c r="I280" s="661"/>
      <c r="J280" s="661"/>
      <c r="K280" s="657">
        <f>N1</f>
        <v>45139</v>
      </c>
      <c r="L280" s="657"/>
      <c r="M280" s="657"/>
    </row>
    <row r="282" spans="2:18" ht="21" x14ac:dyDescent="0.3">
      <c r="B282" s="654" t="s">
        <v>1729</v>
      </c>
      <c r="C282" s="654"/>
    </row>
    <row r="283" spans="2:18" ht="15.6" x14ac:dyDescent="0.3">
      <c r="B283" s="60" t="s">
        <v>0</v>
      </c>
      <c r="C283" s="61" t="s">
        <v>1</v>
      </c>
      <c r="D283" s="61" t="s">
        <v>21</v>
      </c>
      <c r="E283" s="61" t="s">
        <v>22</v>
      </c>
      <c r="F283" s="61" t="s">
        <v>3</v>
      </c>
      <c r="G283" s="61" t="s">
        <v>4</v>
      </c>
      <c r="H283" s="61" t="s">
        <v>23</v>
      </c>
      <c r="I283" s="61" t="s">
        <v>17</v>
      </c>
      <c r="J283" s="61" t="s">
        <v>7</v>
      </c>
      <c r="K283" s="61" t="s">
        <v>24</v>
      </c>
      <c r="L283" s="61" t="s">
        <v>10</v>
      </c>
      <c r="M283" s="62" t="s">
        <v>38</v>
      </c>
    </row>
    <row r="284" spans="2:18" x14ac:dyDescent="0.3">
      <c r="B284" s="50"/>
      <c r="C284" s="41"/>
      <c r="D284" s="42"/>
      <c r="E284" s="43"/>
      <c r="F284" s="44"/>
      <c r="G284" s="99" t="str">
        <f>IFERROR(IF(venta_a_mes8[[#This Row],[CUIT]]="","-",VLOOKUP(venta_a_mes8[[#This Row],[CUIT]],Lista_CUIT[#All],2,0)),"CUIT NO CARGADO")</f>
        <v>-</v>
      </c>
      <c r="H284" s="100"/>
      <c r="I284" s="101"/>
      <c r="J284" s="65"/>
      <c r="K284" s="65"/>
      <c r="L284" s="65">
        <f>SUM(venta_a_mes8[[#This Row],[IMPORTE NETO]:[EXENTO]])</f>
        <v>0</v>
      </c>
      <c r="M284" s="59"/>
    </row>
    <row r="285" spans="2:18" x14ac:dyDescent="0.3">
      <c r="B285" s="50"/>
      <c r="C285" s="41"/>
      <c r="D285" s="42"/>
      <c r="E285" s="43"/>
      <c r="F285" s="44"/>
      <c r="G285" s="99" t="str">
        <f>IFERROR(IF(venta_a_mes8[[#This Row],[CUIT]]="","-",VLOOKUP(venta_a_mes8[[#This Row],[CUIT]],Lista_CUIT[#All],2,0)),"CUIT NO CARGADO")</f>
        <v>-</v>
      </c>
      <c r="H285" s="100"/>
      <c r="I285" s="101"/>
      <c r="J285" s="65"/>
      <c r="K285" s="65"/>
      <c r="L285" s="65">
        <f>SUM(venta_a_mes8[[#This Row],[IMPORTE NETO]:[EXENTO]])</f>
        <v>0</v>
      </c>
      <c r="M285" s="59"/>
    </row>
    <row r="286" spans="2:18" x14ac:dyDescent="0.3">
      <c r="B286" s="50"/>
      <c r="C286" s="41"/>
      <c r="D286" s="42"/>
      <c r="E286" s="43"/>
      <c r="F286" s="44"/>
      <c r="G286" s="99" t="str">
        <f>IFERROR(IF(venta_a_mes8[[#This Row],[CUIT]]="","-",VLOOKUP(venta_a_mes8[[#This Row],[CUIT]],Lista_CUIT[#All],2,0)),"CUIT NO CARGADO")</f>
        <v>-</v>
      </c>
      <c r="H286" s="100"/>
      <c r="I286" s="101"/>
      <c r="J286" s="65"/>
      <c r="K286" s="65"/>
      <c r="L286" s="65">
        <f>SUM(venta_a_mes8[[#This Row],[IMPORTE NETO]:[EXENTO]])</f>
        <v>0</v>
      </c>
      <c r="M286" s="59"/>
    </row>
    <row r="287" spans="2:18" x14ac:dyDescent="0.3">
      <c r="B287" s="102"/>
      <c r="C287" s="103"/>
      <c r="D287" s="104"/>
      <c r="E287" s="105"/>
      <c r="F287" s="106"/>
      <c r="G287" s="99" t="str">
        <f>IFERROR(IF(venta_a_mes8[[#This Row],[CUIT]]="","-",VLOOKUP(venta_a_mes8[[#This Row],[CUIT]],Lista_CUIT[#All],2,0)),"CUIT NO CARGADO")</f>
        <v>-</v>
      </c>
      <c r="H287" s="107"/>
      <c r="I287" s="108">
        <f>venta_a_mes8[[#This Row],[IMPORTE NETO]]*0.21</f>
        <v>0</v>
      </c>
      <c r="J287" s="72"/>
      <c r="K287" s="72"/>
      <c r="L287" s="72">
        <f>SUM(venta_a_mes8[[#This Row],[IMPORTE NETO]:[EXENTO]])</f>
        <v>0</v>
      </c>
      <c r="M287" s="63"/>
    </row>
    <row r="288" spans="2:18" x14ac:dyDescent="0.3">
      <c r="B288" s="109"/>
      <c r="C288" s="110"/>
      <c r="D288" s="111"/>
      <c r="E288" s="112"/>
      <c r="F288" s="113"/>
      <c r="G288" s="99" t="str">
        <f>IFERROR(IF(venta_a_mes8[[#This Row],[CUIT]]="","-",VLOOKUP(venta_a_mes8[[#This Row],[CUIT]],Lista_CUIT[#All],2,0)),"CUIT NO CARGADO")</f>
        <v>-</v>
      </c>
      <c r="H288" s="100"/>
      <c r="I288" s="101">
        <f>venta_a_mes8[[#This Row],[IMPORTE NETO]]*0.21</f>
        <v>0</v>
      </c>
      <c r="J288" s="65"/>
      <c r="K288" s="65"/>
      <c r="L288" s="65">
        <f>SUM(venta_a_mes8[[#This Row],[IMPORTE NETO]:[EXENTO]])</f>
        <v>0</v>
      </c>
      <c r="M288" s="59"/>
    </row>
    <row r="289" spans="2:13" x14ac:dyDescent="0.3">
      <c r="B289" s="66" t="s">
        <v>103</v>
      </c>
      <c r="C289" s="67"/>
      <c r="D289" s="67"/>
      <c r="E289" s="67"/>
      <c r="F289" s="67"/>
      <c r="G289" s="67"/>
      <c r="H289" s="69">
        <f>SUBTOTAL(109,venta_a_mes8[IMPORTE NETO])</f>
        <v>0</v>
      </c>
      <c r="I289" s="70">
        <f>SUBTOTAL(109,venta_a_mes8[IVA 21%])</f>
        <v>0</v>
      </c>
      <c r="J289" s="71">
        <f>SUBTOTAL(109,venta_a_mes8[IVA 10,5%])</f>
        <v>0</v>
      </c>
      <c r="K289" s="71">
        <f>SUBTOTAL(109,venta_a_mes8[EXENTO])</f>
        <v>0</v>
      </c>
      <c r="L289" s="71">
        <f>SUBTOTAL(109,venta_a_mes8[TOTAL])</f>
        <v>0</v>
      </c>
      <c r="M289" s="68">
        <f>SUBTOTAL(103,venta_a_mes8[Provincia])</f>
        <v>0</v>
      </c>
    </row>
    <row r="292" spans="2:13" ht="21" x14ac:dyDescent="0.3">
      <c r="B292" s="654" t="s">
        <v>31</v>
      </c>
      <c r="C292" s="654"/>
    </row>
    <row r="293" spans="2:13" ht="15.6" x14ac:dyDescent="0.3">
      <c r="B293" s="60" t="s">
        <v>0</v>
      </c>
      <c r="C293" s="61" t="s">
        <v>1</v>
      </c>
      <c r="D293" s="61" t="s">
        <v>21</v>
      </c>
      <c r="E293" s="61" t="s">
        <v>22</v>
      </c>
      <c r="F293" s="61" t="s">
        <v>3</v>
      </c>
      <c r="G293" s="61" t="s">
        <v>4</v>
      </c>
      <c r="H293" s="61" t="s">
        <v>23</v>
      </c>
      <c r="I293" s="61" t="s">
        <v>17</v>
      </c>
      <c r="J293" s="61" t="s">
        <v>7</v>
      </c>
      <c r="K293" s="61" t="s">
        <v>24</v>
      </c>
      <c r="L293" s="61" t="s">
        <v>10</v>
      </c>
      <c r="M293" s="62" t="s">
        <v>38</v>
      </c>
    </row>
    <row r="294" spans="2:13" x14ac:dyDescent="0.3">
      <c r="B294" s="40"/>
      <c r="C294" s="41"/>
      <c r="D294" s="42"/>
      <c r="E294" s="43"/>
      <c r="F294" s="44"/>
      <c r="G294" s="1" t="str">
        <f>IFERROR(IF(ventas_b_mes8[[#This Row],[CUIT]]="","-",VLOOKUP(ventas_b_mes8[[#This Row],[CUIT]],Lista_CUIT[#All],2,0)),"CUIT NO CARGADO")</f>
        <v>-</v>
      </c>
      <c r="H294" s="64"/>
      <c r="I294" s="64"/>
      <c r="J294" s="64"/>
      <c r="K294" s="64"/>
      <c r="L294" s="64">
        <f>SUM(ventas_b_mes8[[#This Row],[IMPORTE NETO]:[EXENTO]])</f>
        <v>0</v>
      </c>
      <c r="M294" s="59"/>
    </row>
    <row r="295" spans="2:13" x14ac:dyDescent="0.3">
      <c r="B295" s="40"/>
      <c r="C295" s="41"/>
      <c r="D295" s="42"/>
      <c r="E295" s="43"/>
      <c r="F295" s="44"/>
      <c r="G295" s="1"/>
      <c r="H295" s="64"/>
      <c r="I295" s="64"/>
      <c r="J295" s="64"/>
      <c r="K295" s="64"/>
      <c r="L295" s="64">
        <f>SUM(ventas_b_mes8[[#This Row],[IMPORTE NETO]:[EXENTO]])</f>
        <v>0</v>
      </c>
      <c r="M295" s="59"/>
    </row>
    <row r="296" spans="2:13" x14ac:dyDescent="0.3">
      <c r="B296" s="40"/>
      <c r="C296" s="41"/>
      <c r="D296" s="42"/>
      <c r="E296" s="43"/>
      <c r="F296" s="44"/>
      <c r="G296" s="1"/>
      <c r="H296" s="64"/>
      <c r="I296" s="64"/>
      <c r="J296" s="64"/>
      <c r="K296" s="64"/>
      <c r="L296" s="64">
        <f>SUM(ventas_b_mes8[[#This Row],[IMPORTE NETO]:[EXENTO]])</f>
        <v>0</v>
      </c>
      <c r="M296" s="59"/>
    </row>
    <row r="297" spans="2:13" x14ac:dyDescent="0.3">
      <c r="B297" s="40"/>
      <c r="C297" s="41"/>
      <c r="D297" s="42"/>
      <c r="E297" s="43"/>
      <c r="F297" s="44"/>
      <c r="G297" s="1"/>
      <c r="H297" s="64"/>
      <c r="I297" s="64"/>
      <c r="J297" s="64"/>
      <c r="K297" s="64"/>
      <c r="L297" s="64">
        <f>SUM(ventas_b_mes8[[#This Row],[IMPORTE NETO]:[EXENTO]])</f>
        <v>0</v>
      </c>
      <c r="M297" s="59"/>
    </row>
    <row r="298" spans="2:13" x14ac:dyDescent="0.3">
      <c r="B298" s="40"/>
      <c r="C298" s="41"/>
      <c r="D298" s="42"/>
      <c r="E298" s="43"/>
      <c r="F298" s="44"/>
      <c r="G298" s="1"/>
      <c r="H298" s="64"/>
      <c r="I298" s="64"/>
      <c r="J298" s="64"/>
      <c r="K298" s="64"/>
      <c r="L298" s="64">
        <f>SUM(ventas_b_mes8[[#This Row],[IMPORTE NETO]:[EXENTO]])</f>
        <v>0</v>
      </c>
      <c r="M298" s="59"/>
    </row>
    <row r="299" spans="2:13" x14ac:dyDescent="0.3">
      <c r="B299" s="40"/>
      <c r="C299" s="41"/>
      <c r="D299" s="42"/>
      <c r="E299" s="43"/>
      <c r="F299" s="44"/>
      <c r="G299" s="1"/>
      <c r="H299" s="64"/>
      <c r="I299" s="64"/>
      <c r="J299" s="64"/>
      <c r="K299" s="64"/>
      <c r="L299" s="64">
        <f>SUM(ventas_b_mes8[[#This Row],[IMPORTE NETO]:[EXENTO]])</f>
        <v>0</v>
      </c>
      <c r="M299" s="59"/>
    </row>
    <row r="300" spans="2:13" x14ac:dyDescent="0.3">
      <c r="B300" s="66" t="s">
        <v>103</v>
      </c>
      <c r="C300" s="67"/>
      <c r="D300" s="67"/>
      <c r="E300" s="67"/>
      <c r="F300" s="67"/>
      <c r="G300" s="67"/>
      <c r="H300" s="77">
        <f>SUBTOTAL(109,ventas_b_mes8[IMPORTE NETO])</f>
        <v>0</v>
      </c>
      <c r="I300" s="77">
        <f>SUBTOTAL(109,ventas_b_mes8[IVA 21%])</f>
        <v>0</v>
      </c>
      <c r="J300" s="78">
        <f>SUBTOTAL(109,ventas_b_mes8[IVA 10,5%])</f>
        <v>0</v>
      </c>
      <c r="K300" s="78">
        <f>SUBTOTAL(109,ventas_b_mes8[EXENTO])</f>
        <v>0</v>
      </c>
      <c r="L300" s="78">
        <f>SUBTOTAL(109,ventas_b_mes8[TOTAL])</f>
        <v>0</v>
      </c>
      <c r="M300" s="68">
        <f>SUBTOTAL(103,ventas_b_mes8[Provincia])</f>
        <v>0</v>
      </c>
    </row>
    <row r="307" spans="3:12" ht="15" thickBot="1" x14ac:dyDescent="0.35"/>
    <row r="308" spans="3:12" ht="15" thickTop="1" x14ac:dyDescent="0.3">
      <c r="C308" s="651" t="s">
        <v>66</v>
      </c>
      <c r="D308" s="651"/>
      <c r="E308" s="651"/>
      <c r="F308" s="651"/>
      <c r="G308" s="651"/>
      <c r="H308" s="32"/>
      <c r="I308" s="32"/>
      <c r="J308" s="32"/>
    </row>
    <row r="309" spans="3:12" ht="15.6" x14ac:dyDescent="0.3">
      <c r="C309" s="114" t="s">
        <v>67</v>
      </c>
      <c r="D309" s="115" t="s">
        <v>68</v>
      </c>
      <c r="E309" s="115" t="s">
        <v>105</v>
      </c>
      <c r="F309" s="115" t="s">
        <v>3</v>
      </c>
      <c r="G309" s="115" t="s">
        <v>4</v>
      </c>
      <c r="H309" s="116" t="s">
        <v>69</v>
      </c>
      <c r="I309" s="116" t="s">
        <v>70</v>
      </c>
      <c r="J309" s="116" t="s">
        <v>71</v>
      </c>
      <c r="K309" s="116" t="s">
        <v>72</v>
      </c>
      <c r="L309" s="116" t="s">
        <v>73</v>
      </c>
    </row>
    <row r="310" spans="3:12" x14ac:dyDescent="0.3">
      <c r="C310" s="117"/>
      <c r="D310" s="118"/>
      <c r="E310" s="118"/>
      <c r="F310" s="119"/>
      <c r="G310" s="53"/>
      <c r="H310" s="120"/>
      <c r="I310" s="120">
        <f>Retenciones_mes8[[#This Row],[Ganancias]]*0.21</f>
        <v>0</v>
      </c>
      <c r="J310" s="120"/>
      <c r="K310" s="120"/>
      <c r="L310" s="120"/>
    </row>
    <row r="311" spans="3:12" x14ac:dyDescent="0.3">
      <c r="C311" s="117"/>
      <c r="D311" s="118"/>
      <c r="E311" s="118"/>
      <c r="F311" s="119"/>
      <c r="G311" s="53" t="str">
        <f>IFERROR(IF(Retenciones_mes8[[#This Row],[CUIT]]="","-",VLOOKUP(Retenciones_mes8[[#This Row],[CUIT]],Lista_CUIT[#All],2,0)),"CUIT NO CARGADO")</f>
        <v>-</v>
      </c>
      <c r="H311" s="120"/>
      <c r="I311" s="120">
        <f>Retenciones_mes8[[#This Row],[Ganancias]]*0.21</f>
        <v>0</v>
      </c>
      <c r="J311" s="120"/>
      <c r="K311" s="120"/>
      <c r="L311" s="120"/>
    </row>
    <row r="312" spans="3:12" x14ac:dyDescent="0.3">
      <c r="C312" s="117"/>
      <c r="D312" s="118"/>
      <c r="E312" s="118"/>
      <c r="F312" s="119"/>
      <c r="G312" s="53" t="str">
        <f>IFERROR(IF(Retenciones_mes8[[#This Row],[CUIT]]="","-",VLOOKUP(Retenciones_mes8[[#This Row],[CUIT]],Lista_CUIT[#All],2,0)),"CUIT NO CARGADO")</f>
        <v>-</v>
      </c>
      <c r="H312" s="120"/>
      <c r="I312" s="120">
        <f>Retenciones_mes8[[#This Row],[Ganancias]]*0.21</f>
        <v>0</v>
      </c>
      <c r="J312" s="120"/>
      <c r="K312" s="120"/>
      <c r="L312" s="120"/>
    </row>
    <row r="313" spans="3:12" x14ac:dyDescent="0.3">
      <c r="C313" s="117"/>
      <c r="D313" s="118"/>
      <c r="E313" s="118"/>
      <c r="F313" s="119"/>
      <c r="G313" s="53" t="str">
        <f>IFERROR(IF(Retenciones_mes8[[#This Row],[CUIT]]="","-",VLOOKUP(Retenciones_mes8[[#This Row],[CUIT]],Lista_CUIT[#All],2,0)),"CUIT NO CARGADO")</f>
        <v>-</v>
      </c>
      <c r="H313" s="120"/>
      <c r="I313" s="120">
        <f>Retenciones_mes8[[#This Row],[Ganancias]]*0.21</f>
        <v>0</v>
      </c>
      <c r="J313" s="120"/>
      <c r="K313" s="120"/>
      <c r="L313" s="120"/>
    </row>
    <row r="314" spans="3:12" x14ac:dyDescent="0.3">
      <c r="D314" s="118"/>
      <c r="E314" s="118"/>
      <c r="G314" s="53" t="str">
        <f>IFERROR(IF(Retenciones_mes8[[#This Row],[CUIT]]="","-",VLOOKUP(Retenciones_mes8[[#This Row],[CUIT]],Lista_CUIT[#All],2,0)),"CUIT NO CARGADO")</f>
        <v>-</v>
      </c>
      <c r="I314" s="33">
        <f>Retenciones_mes8[[#This Row],[Ganancias]]*0.21</f>
        <v>0</v>
      </c>
    </row>
    <row r="315" spans="3:12" x14ac:dyDescent="0.3">
      <c r="C315" s="33"/>
    </row>
  </sheetData>
  <mergeCells count="20">
    <mergeCell ref="P4:R4"/>
    <mergeCell ref="D216:L216"/>
    <mergeCell ref="B1:F1"/>
    <mergeCell ref="G1:M1"/>
    <mergeCell ref="N1:R1"/>
    <mergeCell ref="B3:E3"/>
    <mergeCell ref="G3:H3"/>
    <mergeCell ref="J3:K3"/>
    <mergeCell ref="M3:N3"/>
    <mergeCell ref="P3:R3"/>
    <mergeCell ref="C308:G308"/>
    <mergeCell ref="B4:E4"/>
    <mergeCell ref="G4:H4"/>
    <mergeCell ref="J4:K4"/>
    <mergeCell ref="M4:N4"/>
    <mergeCell ref="D231:K231"/>
    <mergeCell ref="B280:J280"/>
    <mergeCell ref="K280:M280"/>
    <mergeCell ref="B282:C282"/>
    <mergeCell ref="B292:C292"/>
  </mergeCells>
  <dataValidations count="12">
    <dataValidation type="custom" allowBlank="1" showInputMessage="1" showErrorMessage="1" sqref="H294:L299" xr:uid="{00000000-0002-0000-0800-000000000000}">
      <formula1>IF($C294=8,H294&lt;0,H294&gt;=0)</formula1>
    </dataValidation>
    <dataValidation type="whole" allowBlank="1" showInputMessage="1" showErrorMessage="1" sqref="C294:C299" xr:uid="{00000000-0002-0000-0800-000001000000}">
      <formula1>6</formula1>
      <formula2>8</formula2>
    </dataValidation>
    <dataValidation type="custom" allowBlank="1" showInputMessage="1" showErrorMessage="1" sqref="H284:K284 H286:K286" xr:uid="{00000000-0002-0000-0800-000002000000}">
      <formula1>IF($C284=3,H284&lt;0,H284&gt;=0)</formula1>
    </dataValidation>
    <dataValidation type="whole" allowBlank="1" showInputMessage="1" showErrorMessage="1" sqref="C212:C215 C284:C288 C9:C210" xr:uid="{00000000-0002-0000-0800-000003000000}">
      <formula1>1</formula1>
      <formula2>3</formula2>
    </dataValidation>
    <dataValidation type="date" allowBlank="1" showInputMessage="1" showErrorMessage="1" sqref="D218:D226 D233:D273 B212:B215 B294:B299 B284:B288 B9:B210" xr:uid="{00000000-0002-0000-0800-000004000000}">
      <formula1>40179</formula1>
      <formula2>TODAY()</formula2>
    </dataValidation>
    <dataValidation type="whole" allowBlank="1" showInputMessage="1" showErrorMessage="1" sqref="F284:F288 F294:F299 G233:G273 F9:F210" xr:uid="{00000000-0002-0000-0800-000005000000}">
      <formula1>20000000000</formula1>
      <formula2>33999999999</formula2>
    </dataValidation>
    <dataValidation type="whole" allowBlank="1" showInputMessage="1" showErrorMessage="1" sqref="F233:F273 E294:E299 E284:E288 E9:E210" xr:uid="{00000000-0002-0000-0800-000006000000}">
      <formula1>1</formula1>
      <formula2>99999999</formula2>
    </dataValidation>
    <dataValidation type="whole" allowBlank="1" showInputMessage="1" showErrorMessage="1" sqref="E233:E273 D294:D299 D284:D288 D9:D210" xr:uid="{00000000-0002-0000-0800-000007000000}">
      <formula1>1</formula1>
      <formula2>9999</formula2>
    </dataValidation>
    <dataValidation type="custom" allowBlank="1" showInputMessage="1" showErrorMessage="1" sqref="L284" xr:uid="{00000000-0002-0000-0800-000008000000}">
      <formula1>IF($C9=3,L9&lt;0,L9&gt;=0)</formula1>
    </dataValidation>
    <dataValidation type="custom" allowBlank="1" showInputMessage="1" showErrorMessage="1" sqref="L285" xr:uid="{00000000-0002-0000-0800-000009000000}">
      <formula1>IF(#REF!=3,#REF!&lt;0,#REF!&gt;=0)</formula1>
    </dataValidation>
    <dataValidation type="custom" allowBlank="1" showInputMessage="1" showErrorMessage="1" sqref="L286" xr:uid="{00000000-0002-0000-0800-00000A000000}">
      <formula1>IF(#REF!=3,#REF!&lt;0,#REF!&gt;=0)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61:O190 H60:K60 M60:O60 H9:O59" xr:uid="{00000000-0002-0000-08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Z262"/>
  <sheetViews>
    <sheetView showGridLines="0" topLeftCell="F175" zoomScale="80" zoomScaleNormal="80" workbookViewId="0">
      <selection activeCell="H181" activeCellId="1" sqref="H177:H178 H181:H184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21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EDATE('Ene-23'!N1,8)</f>
        <v>45170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SUM(compras_mes9[[#Totals],[NETO GRAVADO]])+extracto_banco_mes9[[#Totals],[NETO]]</f>
        <v>39599270.070000015</v>
      </c>
      <c r="C4" s="659"/>
      <c r="D4" s="659"/>
      <c r="E4" s="659"/>
      <c r="F4" s="39"/>
      <c r="G4" s="660">
        <f>compras_mes9[[#Totals],[IVA 21 %]]+compras_mes9[[#Totals],[IVA 27%]]+compras_mes9[[#Totals],[IVA 10,5%]]+extracto_banco_mes9[[#Totals],[IVA 21%]]+extracto_banco_mes9[[#Totals],[IVA 10,5%]]</f>
        <v>8152038.4332999997</v>
      </c>
      <c r="H4" s="660"/>
      <c r="I4" s="39"/>
      <c r="J4" s="649">
        <f>venta_a_mes9[[#Totals],[IMPORTE NETO]]+ventas_b_mes9[[#Totals],[IMPORTE NETO]]</f>
        <v>0</v>
      </c>
      <c r="K4" s="649"/>
      <c r="L4" s="39"/>
      <c r="M4" s="649">
        <f>venta_a_mes9[[#Totals],[IVA 21%]]+venta_a_mes9[[#Totals],[IVA 10,5%]]+ventas_b_mes9[[#Totals],[IVA 21%]]+ventas_b_mes9[[#Totals],[IVA 10,5%]]</f>
        <v>0</v>
      </c>
      <c r="N4" s="649"/>
      <c r="O4" s="39"/>
      <c r="P4" s="662">
        <f>G4-M4</f>
        <v>8152038.4332999997</v>
      </c>
      <c r="Q4" s="663"/>
      <c r="R4" s="66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56">
        <v>45170</v>
      </c>
      <c r="C9" s="457">
        <v>1</v>
      </c>
      <c r="D9" s="458">
        <v>3</v>
      </c>
      <c r="E9" s="506">
        <v>82</v>
      </c>
      <c r="F9" s="459">
        <v>20120794338</v>
      </c>
      <c r="G9" s="460" t="str">
        <f>IFERROR(IF(compras_mes9[[#This Row],[CUIT]]="","-",VLOOKUP(compras_mes9[[#This Row],[CUIT]],Lista_CUIT[#All],2,0)),"CUIT NO CARGADO")</f>
        <v>AINSTEIN MARCELO</v>
      </c>
      <c r="H9" s="46">
        <v>280000</v>
      </c>
      <c r="I9" s="85">
        <f>IF(compras_mes9[[#This Row],[NETO GRAVADO]]="","",compras_mes9[[#This Row],[NETO GRAVADO]]*0.21)</f>
        <v>58800</v>
      </c>
      <c r="J9" s="462"/>
      <c r="K9" s="462"/>
      <c r="L9" s="462"/>
      <c r="M9" s="462"/>
      <c r="N9" s="462"/>
      <c r="O9" s="462"/>
      <c r="P9" s="463">
        <f>SUM(compras_mes9[[#This Row],[NETO GRAVADO]:[Otros / No Grav.]])</f>
        <v>338800</v>
      </c>
      <c r="Q9" s="464">
        <f>IFERROR(IF(compras_mes9[[#This Row],[CUIT]]="","-",VLOOKUP(compras_mes9[[#This Row],[CUIT]],Lista_CUIT[#All],3,0)),"CUIT NO CARGADO")</f>
        <v>0</v>
      </c>
      <c r="R9" s="464">
        <f>IFERROR(IF(compras_mes9[[#This Row],[CUIT]]="","-",VLOOKUP(compras_mes9[[#This Row],[CUIT]],Lista_CUIT[#All],4,0)),"CUIT NO CARGADO")</f>
        <v>0</v>
      </c>
    </row>
    <row r="10" spans="1:26" x14ac:dyDescent="0.3">
      <c r="B10" s="40">
        <v>45170</v>
      </c>
      <c r="C10" s="41">
        <v>1</v>
      </c>
      <c r="D10" s="42">
        <v>1</v>
      </c>
      <c r="E10" s="43">
        <v>409</v>
      </c>
      <c r="F10" s="44">
        <v>20131206144</v>
      </c>
      <c r="G10" s="45" t="str">
        <f>IFERROR(IF(compras_mes9[[#This Row],[CUIT]]="","-",VLOOKUP(compras_mes9[[#This Row],[CUIT]],Lista_CUIT[#All],2,0)),"CUIT NO CARGADO")</f>
        <v>CHAMORRO MANUEL</v>
      </c>
      <c r="H10" s="46">
        <v>60000</v>
      </c>
      <c r="I10" s="85">
        <f>IF(compras_mes9[[#This Row],[NETO GRAVADO]]="","",compras_mes9[[#This Row],[NETO GRAVADO]]*0.21)</f>
        <v>12600</v>
      </c>
      <c r="J10" s="85"/>
      <c r="K10" s="85"/>
      <c r="L10" s="85"/>
      <c r="M10" s="85"/>
      <c r="N10" s="85"/>
      <c r="O10" s="85"/>
      <c r="P10" s="48">
        <f>SUM(compras_mes9[[#This Row],[NETO GRAVADO]:[Otros / No Grav.]])</f>
        <v>72600</v>
      </c>
      <c r="Q10" s="49" t="str">
        <f>IFERROR(IF(compras_mes9[[#This Row],[CUIT]]="","-",VLOOKUP(compras_mes9[[#This Row],[CUIT]],Lista_CUIT[#All],3,0)),"CUIT NO CARGADO")</f>
        <v>Alquiler</v>
      </c>
      <c r="R10" s="49">
        <f>IFERROR(IF(compras_mes9[[#This Row],[CUIT]]="","-",VLOOKUP(compras_mes9[[#This Row],[CUIT]],Lista_CUIT[#All],4,0)),"CUIT NO CARGADO")</f>
        <v>0</v>
      </c>
    </row>
    <row r="11" spans="1:26" x14ac:dyDescent="0.3">
      <c r="B11" s="509">
        <v>45170</v>
      </c>
      <c r="C11" s="511">
        <v>1</v>
      </c>
      <c r="D11" s="512">
        <v>1</v>
      </c>
      <c r="E11" s="513">
        <v>868</v>
      </c>
      <c r="F11" s="514">
        <v>27276370575</v>
      </c>
      <c r="G11" s="515" t="str">
        <f>IFERROR(IF(compras_mes9[[#This Row],[CUIT]]="","-",VLOOKUP(compras_mes9[[#This Row],[CUIT]],Lista_CUIT[#All],2,0)),"CUIT NO CARGADO")</f>
        <v>MAMANI PAULA ANALIA</v>
      </c>
      <c r="H11" s="526">
        <v>5372.13</v>
      </c>
      <c r="I11" s="527">
        <f>IF(compras_mes9[[#This Row],[NETO GRAVADO]]="","",compras_mes9[[#This Row],[NETO GRAVADO]]*0.21)</f>
        <v>1128.1473000000001</v>
      </c>
      <c r="J11" s="528"/>
      <c r="K11" s="528"/>
      <c r="L11" s="528"/>
      <c r="M11" s="528"/>
      <c r="N11" s="528"/>
      <c r="O11" s="528"/>
      <c r="P11" s="529">
        <f>SUM(compras_mes9[[#This Row],[NETO GRAVADO]:[Otros / No Grav.]])</f>
        <v>6500.2772999999997</v>
      </c>
      <c r="Q11" s="519">
        <f>IFERROR(IF(compras_mes9[[#This Row],[CUIT]]="","-",VLOOKUP(compras_mes9[[#This Row],[CUIT]],Lista_CUIT[#All],3,0)),"CUIT NO CARGADO")</f>
        <v>0</v>
      </c>
      <c r="R11" s="519">
        <f>IFERROR(IF(compras_mes9[[#This Row],[CUIT]]="","-",VLOOKUP(compras_mes9[[#This Row],[CUIT]],Lista_CUIT[#All],4,0)),"CUIT NO CARGADO")</f>
        <v>0</v>
      </c>
    </row>
    <row r="12" spans="1:26" x14ac:dyDescent="0.3">
      <c r="B12" s="40">
        <v>45170</v>
      </c>
      <c r="C12" s="41">
        <v>1</v>
      </c>
      <c r="D12" s="42">
        <v>6</v>
      </c>
      <c r="E12" s="43">
        <v>2763</v>
      </c>
      <c r="F12" s="44">
        <v>30574603788</v>
      </c>
      <c r="G12" s="45" t="str">
        <f>IFERROR(IF(compras_mes9[[#This Row],[CUIT]]="","-",VLOOKUP(compras_mes9[[#This Row],[CUIT]],Lista_CUIT[#All],2,0)),"CUIT NO CARGADO")</f>
        <v>CODAC SRL</v>
      </c>
      <c r="H12" s="46">
        <v>2647035</v>
      </c>
      <c r="I12" s="85">
        <f>IF(compras_mes9[[#This Row],[NETO GRAVADO]]="","",compras_mes9[[#This Row],[NETO GRAVADO]]*0.21)</f>
        <v>555877.35</v>
      </c>
      <c r="J12" s="85"/>
      <c r="K12" s="85"/>
      <c r="L12" s="85"/>
      <c r="M12" s="85"/>
      <c r="N12" s="85"/>
      <c r="O12" s="85"/>
      <c r="P12" s="48">
        <f>SUM(compras_mes9[[#This Row],[NETO GRAVADO]:[Otros / No Grav.]])</f>
        <v>3202912.35</v>
      </c>
      <c r="Q12" s="49" t="str">
        <f>IFERROR(IF(compras_mes9[[#This Row],[CUIT]]="","-",VLOOKUP(compras_mes9[[#This Row],[CUIT]],Lista_CUIT[#All],3,0)),"CUIT NO CARGADO")</f>
        <v>GASTOS COSMETICA</v>
      </c>
      <c r="R12" s="49" t="str">
        <f>IFERROR(IF(compras_mes9[[#This Row],[CUIT]]="","-",VLOOKUP(compras_mes9[[#This Row],[CUIT]],Lista_CUIT[#All],4,0)),"CUIT NO CARGADO")</f>
        <v>BUENOS AIRES</v>
      </c>
    </row>
    <row r="13" spans="1:26" x14ac:dyDescent="0.3">
      <c r="B13" s="456">
        <v>45170</v>
      </c>
      <c r="C13" s="457">
        <v>1</v>
      </c>
      <c r="D13" s="458">
        <v>6900</v>
      </c>
      <c r="E13" s="506">
        <v>13476</v>
      </c>
      <c r="F13" s="459">
        <v>30678774495</v>
      </c>
      <c r="G13" s="460" t="str">
        <f>IFERROR(IF(compras_mes9[[#This Row],[CUIT]]="","-",VLOOKUP(compras_mes9[[#This Row],[CUIT]],Lista_CUIT[#All],2,0)),"CUIT NO CARGADO")</f>
        <v>OPER. DE EST. DE SERV. SA</v>
      </c>
      <c r="H13" s="46">
        <v>7440.36</v>
      </c>
      <c r="I13" s="85">
        <f>IF(compras_mes9[[#This Row],[NETO GRAVADO]]="","",compras_mes9[[#This Row],[NETO GRAVADO]]*0.21)</f>
        <v>1562.4756</v>
      </c>
      <c r="J13" s="462"/>
      <c r="K13" s="462"/>
      <c r="L13" s="462"/>
      <c r="M13" s="462"/>
      <c r="N13" s="462"/>
      <c r="O13" s="462">
        <v>997.56</v>
      </c>
      <c r="P13" s="463">
        <f>SUM(compras_mes9[[#This Row],[NETO GRAVADO]:[Otros / No Grav.]])</f>
        <v>10000.3956</v>
      </c>
      <c r="Q13" s="464" t="str">
        <f>IFERROR(IF(compras_mes9[[#This Row],[CUIT]]="","-",VLOOKUP(compras_mes9[[#This Row],[CUIT]],Lista_CUIT[#All],3,0)),"CUIT NO CARGADO")</f>
        <v>Combustibe</v>
      </c>
      <c r="R13" s="464">
        <f>IFERROR(IF(compras_mes9[[#This Row],[CUIT]]="","-",VLOOKUP(compras_mes9[[#This Row],[CUIT]],Lista_CUIT[#All],4,0)),"CUIT NO CARGADO")</f>
        <v>0</v>
      </c>
    </row>
    <row r="14" spans="1:26" x14ac:dyDescent="0.3">
      <c r="B14" s="456">
        <v>45170</v>
      </c>
      <c r="C14" s="457">
        <v>1</v>
      </c>
      <c r="D14" s="458">
        <v>4</v>
      </c>
      <c r="E14" s="506">
        <v>21906</v>
      </c>
      <c r="F14" s="459">
        <v>30552433595</v>
      </c>
      <c r="G14" s="460" t="str">
        <f>IFERROR(IF(compras_mes9[[#This Row],[CUIT]]="","-",VLOOKUP(compras_mes9[[#This Row],[CUIT]],Lista_CUIT[#All],2,0)),"CUIT NO CARGADO")</f>
        <v>PIROPLAST SRL</v>
      </c>
      <c r="H14" s="95">
        <v>829153.5</v>
      </c>
      <c r="I14" s="86">
        <f>IF(compras_mes9[[#This Row],[NETO GRAVADO]]="","",compras_mes9[[#This Row],[NETO GRAVADO]]*0.21)</f>
        <v>174122.23499999999</v>
      </c>
      <c r="J14" s="85"/>
      <c r="K14" s="85"/>
      <c r="L14" s="85"/>
      <c r="M14" s="85"/>
      <c r="N14" s="85"/>
      <c r="O14" s="85"/>
      <c r="P14" s="48">
        <f>SUM(compras_mes9[[#This Row],[NETO GRAVADO]:[Otros / No Grav.]])</f>
        <v>1003275.735</v>
      </c>
      <c r="Q14" s="464" t="str">
        <f>IFERROR(IF(compras_mes9[[#This Row],[CUIT]]="","-",VLOOKUP(compras_mes9[[#This Row],[CUIT]],Lista_CUIT[#All],3,0)),"CUIT NO CARGADO")</f>
        <v>Insumo</v>
      </c>
      <c r="R14" s="464">
        <f>IFERROR(IF(compras_mes9[[#This Row],[CUIT]]="","-",VLOOKUP(compras_mes9[[#This Row],[CUIT]],Lista_CUIT[#All],4,0)),"CUIT NO CARGADO")</f>
        <v>0</v>
      </c>
    </row>
    <row r="15" spans="1:26" x14ac:dyDescent="0.3">
      <c r="B15" s="456">
        <v>45171</v>
      </c>
      <c r="C15" s="457">
        <v>1</v>
      </c>
      <c r="D15" s="458">
        <v>2199</v>
      </c>
      <c r="E15" s="506">
        <v>23972</v>
      </c>
      <c r="F15" s="459">
        <v>30548083156</v>
      </c>
      <c r="G15" s="460" t="str">
        <f>IFERROR(IF(compras_mes9[[#This Row],[CUIT]]="","-",VLOOKUP(compras_mes9[[#This Row],[CUIT]],Lista_CUIT[#All],2,0)),"CUIT NO CARGADO")</f>
        <v>COTO CENTRO INTEGRAL DE COMERCIALIZACION SOCIEDAD ANONIMA</v>
      </c>
      <c r="H15" s="95">
        <v>48347.23</v>
      </c>
      <c r="I15" s="86">
        <v>9616.65</v>
      </c>
      <c r="J15" s="462"/>
      <c r="K15" s="462">
        <v>268.14</v>
      </c>
      <c r="L15" s="462">
        <v>1373.81</v>
      </c>
      <c r="M15" s="462"/>
      <c r="N15" s="462">
        <v>2755.27</v>
      </c>
      <c r="O15" s="462"/>
      <c r="P15" s="463">
        <f>SUM(compras_mes9[[#This Row],[NETO GRAVADO]:[Otros / No Grav.]])</f>
        <v>62361.1</v>
      </c>
      <c r="Q15" s="464" t="str">
        <f>IFERROR(IF(compras_mes9[[#This Row],[CUIT]]="","-",VLOOKUP(compras_mes9[[#This Row],[CUIT]],Lista_CUIT[#All],3,0)),"CUIT NO CARGADO")</f>
        <v>GASTOS COMERCIALES</v>
      </c>
      <c r="R15" s="464">
        <f>IFERROR(IF(compras_mes9[[#This Row],[CUIT]]="","-",VLOOKUP(compras_mes9[[#This Row],[CUIT]],Lista_CUIT[#All],4,0)),"CUIT NO CARGADO")</f>
        <v>0</v>
      </c>
    </row>
    <row r="16" spans="1:26" x14ac:dyDescent="0.3">
      <c r="B16" s="456">
        <v>45171</v>
      </c>
      <c r="C16" s="457">
        <v>1</v>
      </c>
      <c r="D16" s="458">
        <v>2199</v>
      </c>
      <c r="E16" s="506">
        <v>23973</v>
      </c>
      <c r="F16" s="459">
        <v>30548083156</v>
      </c>
      <c r="G16" s="460" t="str">
        <f>IFERROR(IF(compras_mes9[[#This Row],[CUIT]]="","-",VLOOKUP(compras_mes9[[#This Row],[CUIT]],Lista_CUIT[#All],2,0)),"CUIT NO CARGADO")</f>
        <v>COTO CENTRO INTEGRAL DE COMERCIALIZACION SOCIEDAD ANONIMA</v>
      </c>
      <c r="H16" s="46">
        <v>23318.12</v>
      </c>
      <c r="I16" s="85">
        <v>3944.59</v>
      </c>
      <c r="J16" s="462"/>
      <c r="K16" s="462">
        <v>476.11</v>
      </c>
      <c r="L16" s="462">
        <f>563.51+68.02</f>
        <v>631.53</v>
      </c>
      <c r="M16" s="462"/>
      <c r="N16" s="462">
        <v>1300.51</v>
      </c>
      <c r="O16" s="462"/>
      <c r="P16" s="463">
        <f>SUM(compras_mes9[[#This Row],[NETO GRAVADO]:[Otros / No Grav.]])</f>
        <v>29670.859999999997</v>
      </c>
      <c r="Q16" s="464" t="str">
        <f>IFERROR(IF(compras_mes9[[#This Row],[CUIT]]="","-",VLOOKUP(compras_mes9[[#This Row],[CUIT]],Lista_CUIT[#All],3,0)),"CUIT NO CARGADO")</f>
        <v>GASTOS COMERCIALES</v>
      </c>
      <c r="R16" s="464">
        <f>IFERROR(IF(compras_mes9[[#This Row],[CUIT]]="","-",VLOOKUP(compras_mes9[[#This Row],[CUIT]],Lista_CUIT[#All],4,0)),"CUIT NO CARGADO")</f>
        <v>0</v>
      </c>
    </row>
    <row r="17" spans="2:18" x14ac:dyDescent="0.3">
      <c r="B17" s="456">
        <v>45171</v>
      </c>
      <c r="C17" s="457">
        <v>1</v>
      </c>
      <c r="D17" s="458">
        <v>12</v>
      </c>
      <c r="E17" s="506">
        <v>32126</v>
      </c>
      <c r="F17" s="459">
        <v>30696131003</v>
      </c>
      <c r="G17" s="460" t="str">
        <f>IFERROR(IF(compras_mes9[[#This Row],[CUIT]]="","-",VLOOKUP(compras_mes9[[#This Row],[CUIT]],Lista_CUIT[#All],2,0)),"CUIT NO CARGADO")</f>
        <v>Petrolfe S.A.</v>
      </c>
      <c r="H17" s="95">
        <v>31570.81</v>
      </c>
      <c r="I17" s="86">
        <f>IF(compras_mes9[[#This Row],[NETO GRAVADO]]="","",compras_mes9[[#This Row],[NETO GRAVADO]]*0.21)</f>
        <v>6629.8701000000001</v>
      </c>
      <c r="J17" s="462"/>
      <c r="K17" s="462"/>
      <c r="L17" s="462"/>
      <c r="M17" s="462"/>
      <c r="N17" s="462"/>
      <c r="O17" s="462">
        <v>4342.0200000000004</v>
      </c>
      <c r="P17" s="463">
        <f>SUM(compras_mes9[[#This Row],[NETO GRAVADO]:[Otros / No Grav.]])</f>
        <v>42542.700100000002</v>
      </c>
      <c r="Q17" s="464" t="str">
        <f>IFERROR(IF(compras_mes9[[#This Row],[CUIT]]="","-",VLOOKUP(compras_mes9[[#This Row],[CUIT]],Lista_CUIT[#All],3,0)),"CUIT NO CARGADO")</f>
        <v>Combustible</v>
      </c>
      <c r="R17" s="464">
        <f>IFERROR(IF(compras_mes9[[#This Row],[CUIT]]="","-",VLOOKUP(compras_mes9[[#This Row],[CUIT]],Lista_CUIT[#All],4,0)),"CUIT NO CARGADO")</f>
        <v>0</v>
      </c>
    </row>
    <row r="18" spans="2:18" x14ac:dyDescent="0.3">
      <c r="B18" s="456">
        <v>45172</v>
      </c>
      <c r="C18" s="457">
        <v>1</v>
      </c>
      <c r="D18" s="458">
        <v>6860</v>
      </c>
      <c r="E18" s="506">
        <v>22567</v>
      </c>
      <c r="F18" s="459">
        <v>30678774495</v>
      </c>
      <c r="G18" s="460" t="str">
        <f>IFERROR(IF(compras_mes9[[#This Row],[CUIT]]="","-",VLOOKUP(compras_mes9[[#This Row],[CUIT]],Lista_CUIT[#All],2,0)),"CUIT NO CARGADO")</f>
        <v>OPER. DE EST. DE SERV. SA</v>
      </c>
      <c r="H18" s="95">
        <v>10316.81</v>
      </c>
      <c r="I18" s="86">
        <f>IF(compras_mes9[[#This Row],[NETO GRAVADO]]="","",compras_mes9[[#This Row],[NETO GRAVADO]]*0.21)</f>
        <v>2166.5300999999999</v>
      </c>
      <c r="J18" s="462"/>
      <c r="K18" s="462"/>
      <c r="L18" s="462"/>
      <c r="M18" s="462"/>
      <c r="N18" s="462"/>
      <c r="O18" s="462">
        <v>17.45</v>
      </c>
      <c r="P18" s="463">
        <f>SUM(compras_mes9[[#This Row],[NETO GRAVADO]:[Otros / No Grav.]])</f>
        <v>12500.7901</v>
      </c>
      <c r="Q18" s="464" t="str">
        <f>IFERROR(IF(compras_mes9[[#This Row],[CUIT]]="","-",VLOOKUP(compras_mes9[[#This Row],[CUIT]],Lista_CUIT[#All],3,0)),"CUIT NO CARGADO")</f>
        <v>Combustibe</v>
      </c>
      <c r="R18" s="464">
        <f>IFERROR(IF(compras_mes9[[#This Row],[CUIT]]="","-",VLOOKUP(compras_mes9[[#This Row],[CUIT]],Lista_CUIT[#All],4,0)),"CUIT NO CARGADO")</f>
        <v>0</v>
      </c>
    </row>
    <row r="19" spans="2:18" x14ac:dyDescent="0.3">
      <c r="B19" s="509">
        <v>45172</v>
      </c>
      <c r="C19" s="511">
        <v>1</v>
      </c>
      <c r="D19" s="512">
        <v>943</v>
      </c>
      <c r="E19" s="513">
        <v>1591005</v>
      </c>
      <c r="F19" s="514">
        <v>30639453975</v>
      </c>
      <c r="G19" s="515" t="str">
        <f>IFERROR(IF(compras_mes9[[#This Row],[CUIT]]="","-",VLOOKUP(compras_mes9[[#This Row],[CUIT]],Lista_CUIT[#All],2,0)),"CUIT NO CARGADO")</f>
        <v>TELEFONICA DE ARG S.A.</v>
      </c>
      <c r="H19" s="516">
        <v>27405.4</v>
      </c>
      <c r="I19" s="517"/>
      <c r="J19" s="517">
        <v>7399.46</v>
      </c>
      <c r="K19" s="517"/>
      <c r="L19" s="517">
        <v>822.16</v>
      </c>
      <c r="M19" s="517"/>
      <c r="N19" s="517">
        <v>1644.32</v>
      </c>
      <c r="O19" s="517"/>
      <c r="P19" s="518">
        <f>SUM(compras_mes9[[#This Row],[NETO GRAVADO]:[Otros / No Grav.]])</f>
        <v>37271.340000000004</v>
      </c>
      <c r="Q19" s="519" t="str">
        <f>IFERROR(IF(compras_mes9[[#This Row],[CUIT]]="","-",VLOOKUP(compras_mes9[[#This Row],[CUIT]],Lista_CUIT[#All],3,0)),"CUIT NO CARGADO")</f>
        <v>Servicios Gas, Luz, etc.</v>
      </c>
      <c r="R19" s="519">
        <f>IFERROR(IF(compras_mes9[[#This Row],[CUIT]]="","-",VLOOKUP(compras_mes9[[#This Row],[CUIT]],Lista_CUIT[#All],4,0)),"CUIT NO CARGADO")</f>
        <v>0</v>
      </c>
    </row>
    <row r="20" spans="2:18" x14ac:dyDescent="0.3">
      <c r="B20" s="509">
        <v>45172</v>
      </c>
      <c r="C20" s="511">
        <v>1</v>
      </c>
      <c r="D20" s="512">
        <v>629</v>
      </c>
      <c r="E20" s="513">
        <v>4459067</v>
      </c>
      <c r="F20" s="514">
        <v>30663498513</v>
      </c>
      <c r="G20" s="515" t="str">
        <f>IFERROR(IF(compras_mes9[[#This Row],[CUIT]]="","-",VLOOKUP(compras_mes9[[#This Row],[CUIT]],Lista_CUIT[#All],2,0)),"CUIT NO CARGADO")</f>
        <v>GRUPO CONCES. DEL OESTE SA</v>
      </c>
      <c r="H20" s="516">
        <v>5082.72</v>
      </c>
      <c r="I20" s="517">
        <f>IF(compras_mes9[[#This Row],[NETO GRAVADO]]="","",compras_mes9[[#This Row],[NETO GRAVADO]]*0.21)</f>
        <v>1067.3712</v>
      </c>
      <c r="J20" s="517"/>
      <c r="K20" s="517"/>
      <c r="L20" s="517"/>
      <c r="M20" s="517"/>
      <c r="N20" s="517"/>
      <c r="O20" s="517"/>
      <c r="P20" s="518">
        <f>SUM(compras_mes9[[#This Row],[NETO GRAVADO]:[Otros / No Grav.]])</f>
        <v>6150.0912000000008</v>
      </c>
      <c r="Q20" s="519">
        <f>IFERROR(IF(compras_mes9[[#This Row],[CUIT]]="","-",VLOOKUP(compras_mes9[[#This Row],[CUIT]],Lista_CUIT[#All],3,0)),"CUIT NO CARGADO")</f>
        <v>0</v>
      </c>
      <c r="R20" s="519">
        <f>IFERROR(IF(compras_mes9[[#This Row],[CUIT]]="","-",VLOOKUP(compras_mes9[[#This Row],[CUIT]],Lista_CUIT[#All],4,0)),"CUIT NO CARGADO")</f>
        <v>0</v>
      </c>
    </row>
    <row r="21" spans="2:18" x14ac:dyDescent="0.3">
      <c r="B21" s="509">
        <v>45172</v>
      </c>
      <c r="C21" s="511">
        <v>1</v>
      </c>
      <c r="D21" s="512">
        <v>711</v>
      </c>
      <c r="E21" s="513">
        <v>4718015</v>
      </c>
      <c r="F21" s="514">
        <v>30677237119</v>
      </c>
      <c r="G21" s="515" t="str">
        <f>IFERROR(IF(compras_mes9[[#This Row],[CUIT]]="","-",VLOOKUP(compras_mes9[[#This Row],[CUIT]],Lista_CUIT[#All],2,0)),"CUIT NO CARGADO")</f>
        <v>AUTOPISTAS DEL SOL S A</v>
      </c>
      <c r="H21" s="516">
        <v>2396.7399999999998</v>
      </c>
      <c r="I21" s="517">
        <f>IF(compras_mes9[[#This Row],[NETO GRAVADO]]="","",compras_mes9[[#This Row],[NETO GRAVADO]]*0.21)</f>
        <v>503.31539999999995</v>
      </c>
      <c r="J21" s="517"/>
      <c r="K21" s="517"/>
      <c r="L21" s="517"/>
      <c r="M21" s="517"/>
      <c r="N21" s="517"/>
      <c r="O21" s="517">
        <v>71.900000000000006</v>
      </c>
      <c r="P21" s="518">
        <f>SUM(compras_mes9[[#This Row],[NETO GRAVADO]:[Otros / No Grav.]])</f>
        <v>2971.9553999999998</v>
      </c>
      <c r="Q21" s="519">
        <f>IFERROR(IF(compras_mes9[[#This Row],[CUIT]]="","-",VLOOKUP(compras_mes9[[#This Row],[CUIT]],Lista_CUIT[#All],3,0)),"CUIT NO CARGADO")</f>
        <v>0</v>
      </c>
      <c r="R21" s="519">
        <f>IFERROR(IF(compras_mes9[[#This Row],[CUIT]]="","-",VLOOKUP(compras_mes9[[#This Row],[CUIT]],Lista_CUIT[#All],4,0)),"CUIT NO CARGADO")</f>
        <v>0</v>
      </c>
    </row>
    <row r="22" spans="2:18" x14ac:dyDescent="0.3">
      <c r="B22" s="509">
        <v>45173</v>
      </c>
      <c r="C22" s="511">
        <v>1</v>
      </c>
      <c r="D22" s="512">
        <v>1</v>
      </c>
      <c r="E22" s="513">
        <v>663</v>
      </c>
      <c r="F22" s="514">
        <v>30715048066</v>
      </c>
      <c r="G22" s="515" t="str">
        <f>IFERROR(IF(compras_mes9[[#This Row],[CUIT]]="","-",VLOOKUP(compras_mes9[[#This Row],[CUIT]],Lista_CUIT[#All],2,0)),"CUIT NO CARGADO")</f>
        <v>ROLLS Y EMPANADAS SA</v>
      </c>
      <c r="H22" s="516">
        <v>373710</v>
      </c>
      <c r="I22" s="517">
        <f>IF(compras_mes9[[#This Row],[NETO GRAVADO]]="","",compras_mes9[[#This Row],[NETO GRAVADO]]*0.21)</f>
        <v>78479.099999999991</v>
      </c>
      <c r="J22" s="517"/>
      <c r="K22" s="517"/>
      <c r="L22" s="517"/>
      <c r="M22" s="517"/>
      <c r="N22" s="517"/>
      <c r="O22" s="517"/>
      <c r="P22" s="518">
        <f>SUM(compras_mes9[[#This Row],[NETO GRAVADO]:[Otros / No Grav.]])</f>
        <v>452189.1</v>
      </c>
      <c r="Q22" s="519" t="str">
        <f>IFERROR(IF(compras_mes9[[#This Row],[CUIT]]="","-",VLOOKUP(compras_mes9[[#This Row],[CUIT]],Lista_CUIT[#All],3,0)),"CUIT NO CARGADO")</f>
        <v>CATERING</v>
      </c>
      <c r="R22" s="519">
        <f>IFERROR(IF(compras_mes9[[#This Row],[CUIT]]="","-",VLOOKUP(compras_mes9[[#This Row],[CUIT]],Lista_CUIT[#All],4,0)),"CUIT NO CARGADO")</f>
        <v>0</v>
      </c>
    </row>
    <row r="23" spans="2:18" x14ac:dyDescent="0.3">
      <c r="B23" s="509">
        <v>45173</v>
      </c>
      <c r="C23" s="511">
        <v>1</v>
      </c>
      <c r="D23" s="512">
        <v>1</v>
      </c>
      <c r="E23" s="513">
        <v>664</v>
      </c>
      <c r="F23" s="514">
        <v>30715048066</v>
      </c>
      <c r="G23" s="515" t="str">
        <f>IFERROR(IF(compras_mes9[[#This Row],[CUIT]]="","-",VLOOKUP(compras_mes9[[#This Row],[CUIT]],Lista_CUIT[#All],2,0)),"CUIT NO CARGADO")</f>
        <v>ROLLS Y EMPANADAS SA</v>
      </c>
      <c r="H23" s="516">
        <v>332220</v>
      </c>
      <c r="I23" s="517">
        <f>IF(compras_mes9[[#This Row],[NETO GRAVADO]]="","",compras_mes9[[#This Row],[NETO GRAVADO]]*0.21)</f>
        <v>69766.2</v>
      </c>
      <c r="J23" s="517"/>
      <c r="K23" s="517"/>
      <c r="L23" s="517"/>
      <c r="M23" s="517"/>
      <c r="N23" s="517"/>
      <c r="O23" s="517"/>
      <c r="P23" s="518">
        <f>SUM(compras_mes9[[#This Row],[NETO GRAVADO]:[Otros / No Grav.]])</f>
        <v>401986.2</v>
      </c>
      <c r="Q23" s="519" t="str">
        <f>IFERROR(IF(compras_mes9[[#This Row],[CUIT]]="","-",VLOOKUP(compras_mes9[[#This Row],[CUIT]],Lista_CUIT[#All],3,0)),"CUIT NO CARGADO")</f>
        <v>CATERING</v>
      </c>
      <c r="R23" s="519">
        <f>IFERROR(IF(compras_mes9[[#This Row],[CUIT]]="","-",VLOOKUP(compras_mes9[[#This Row],[CUIT]],Lista_CUIT[#All],4,0)),"CUIT NO CARGADO")</f>
        <v>0</v>
      </c>
    </row>
    <row r="24" spans="2:18" x14ac:dyDescent="0.3">
      <c r="B24" s="456">
        <v>45173</v>
      </c>
      <c r="C24" s="457">
        <v>1</v>
      </c>
      <c r="D24" s="458">
        <v>1</v>
      </c>
      <c r="E24" s="506">
        <v>2304</v>
      </c>
      <c r="F24" s="459">
        <v>27181689183</v>
      </c>
      <c r="G24" s="460" t="str">
        <f>IFERROR(IF(compras_mes9[[#This Row],[CUIT]]="","-",VLOOKUP(compras_mes9[[#This Row],[CUIT]],Lista_CUIT[#All],2,0)),"CUIT NO CARGADO")</f>
        <v>REPETTO MARIA FERNANDA</v>
      </c>
      <c r="H24" s="95">
        <v>430000</v>
      </c>
      <c r="I24" s="86">
        <f>IF(compras_mes9[[#This Row],[NETO GRAVADO]]="","",compras_mes9[[#This Row],[NETO GRAVADO]]*0.21)</f>
        <v>90300</v>
      </c>
      <c r="J24" s="85"/>
      <c r="K24" s="85"/>
      <c r="L24" s="85"/>
      <c r="M24" s="85"/>
      <c r="N24" s="85"/>
      <c r="O24" s="85"/>
      <c r="P24" s="48">
        <f>SUM(compras_mes9[[#This Row],[NETO GRAVADO]:[Otros / No Grav.]])</f>
        <v>520300</v>
      </c>
      <c r="Q24" s="464">
        <f>IFERROR(IF(compras_mes9[[#This Row],[CUIT]]="","-",VLOOKUP(compras_mes9[[#This Row],[CUIT]],Lista_CUIT[#All],3,0)),"CUIT NO CARGADO")</f>
        <v>0</v>
      </c>
      <c r="R24" s="464">
        <f>IFERROR(IF(compras_mes9[[#This Row],[CUIT]]="","-",VLOOKUP(compras_mes9[[#This Row],[CUIT]],Lista_CUIT[#All],4,0)),"CUIT NO CARGADO")</f>
        <v>0</v>
      </c>
    </row>
    <row r="25" spans="2:18" x14ac:dyDescent="0.3">
      <c r="B25" s="456">
        <v>45173</v>
      </c>
      <c r="C25" s="457">
        <v>1</v>
      </c>
      <c r="D25" s="458">
        <v>1</v>
      </c>
      <c r="E25" s="506">
        <v>3977</v>
      </c>
      <c r="F25" s="459">
        <v>30715706551</v>
      </c>
      <c r="G25" s="460" t="str">
        <f>IFERROR(IF(compras_mes9[[#This Row],[CUIT]]="","-",VLOOKUP(compras_mes9[[#This Row],[CUIT]],Lista_CUIT[#All],2,0)),"CUIT NO CARGADO")</f>
        <v>FILET DE MERLUZA S.R.L.</v>
      </c>
      <c r="H25" s="46">
        <v>209000</v>
      </c>
      <c r="I25" s="85">
        <f>IF(compras_mes9[[#This Row],[NETO GRAVADO]]="","",compras_mes9[[#This Row],[NETO GRAVADO]]*0.21)</f>
        <v>43890</v>
      </c>
      <c r="J25" s="462"/>
      <c r="K25" s="462"/>
      <c r="L25" s="462"/>
      <c r="M25" s="462"/>
      <c r="N25" s="462"/>
      <c r="O25" s="462"/>
      <c r="P25" s="463">
        <f>SUM(compras_mes9[[#This Row],[NETO GRAVADO]:[Otros / No Grav.]])</f>
        <v>252890</v>
      </c>
      <c r="Q25" s="464">
        <f>IFERROR(IF(compras_mes9[[#This Row],[CUIT]]="","-",VLOOKUP(compras_mes9[[#This Row],[CUIT]],Lista_CUIT[#All],3,0)),"CUIT NO CARGADO")</f>
        <v>0</v>
      </c>
      <c r="R25" s="464">
        <f>IFERROR(IF(compras_mes9[[#This Row],[CUIT]]="","-",VLOOKUP(compras_mes9[[#This Row],[CUIT]],Lista_CUIT[#All],4,0)),"CUIT NO CARGADO")</f>
        <v>0</v>
      </c>
    </row>
    <row r="26" spans="2:18" x14ac:dyDescent="0.3">
      <c r="B26" s="509">
        <v>45173</v>
      </c>
      <c r="C26" s="511">
        <v>1</v>
      </c>
      <c r="D26" s="512">
        <v>5</v>
      </c>
      <c r="E26" s="513">
        <v>4017</v>
      </c>
      <c r="F26" s="514">
        <v>20367393042</v>
      </c>
      <c r="G26" s="515" t="str">
        <f>IFERROR(IF(compras_mes9[[#This Row],[CUIT]]="","-",VLOOKUP(compras_mes9[[#This Row],[CUIT]],Lista_CUIT[#All],2,0)),"CUIT NO CARGADO")</f>
        <v>RITACCO RODRIGO</v>
      </c>
      <c r="H26" s="516">
        <v>32100</v>
      </c>
      <c r="I26" s="517">
        <f>IF(compras_mes9[[#This Row],[NETO GRAVADO]]="","",compras_mes9[[#This Row],[NETO GRAVADO]]*0.21)</f>
        <v>6741</v>
      </c>
      <c r="J26" s="517"/>
      <c r="K26" s="517"/>
      <c r="L26" s="517"/>
      <c r="M26" s="517"/>
      <c r="N26" s="517"/>
      <c r="O26" s="517"/>
      <c r="P26" s="518">
        <f>SUM(compras_mes9[[#This Row],[NETO GRAVADO]:[Otros / No Grav.]])</f>
        <v>38841</v>
      </c>
      <c r="Q26" s="519">
        <f>IFERROR(IF(compras_mes9[[#This Row],[CUIT]]="","-",VLOOKUP(compras_mes9[[#This Row],[CUIT]],Lista_CUIT[#All],3,0)),"CUIT NO CARGADO")</f>
        <v>0</v>
      </c>
      <c r="R26" s="519">
        <f>IFERROR(IF(compras_mes9[[#This Row],[CUIT]]="","-",VLOOKUP(compras_mes9[[#This Row],[CUIT]],Lista_CUIT[#All],4,0)),"CUIT NO CARGADO")</f>
        <v>0</v>
      </c>
    </row>
    <row r="27" spans="2:18" x14ac:dyDescent="0.3">
      <c r="B27" s="456">
        <v>45173</v>
      </c>
      <c r="C27" s="457">
        <v>1</v>
      </c>
      <c r="D27" s="458">
        <v>15</v>
      </c>
      <c r="E27" s="506">
        <v>22530</v>
      </c>
      <c r="F27" s="459">
        <v>30715239104</v>
      </c>
      <c r="G27" s="460" t="str">
        <f>IFERROR(IF(compras_mes9[[#This Row],[CUIT]]="","-",VLOOKUP(compras_mes9[[#This Row],[CUIT]],Lista_CUIT[#All],2,0)),"CUIT NO CARGADO")</f>
        <v>SASSON ALBERTO,SASSON MAURICIO ENRIQUE, SASSON EMILIA NADIA</v>
      </c>
      <c r="H27" s="95">
        <v>42975.21</v>
      </c>
      <c r="I27" s="86">
        <f>IF(compras_mes9[[#This Row],[NETO GRAVADO]]="","",compras_mes9[[#This Row],[NETO GRAVADO]]*0.21)</f>
        <v>9024.7940999999992</v>
      </c>
      <c r="J27" s="85"/>
      <c r="K27" s="85"/>
      <c r="L27" s="85"/>
      <c r="M27" s="85"/>
      <c r="N27" s="85"/>
      <c r="O27" s="85"/>
      <c r="P27" s="48">
        <f>SUM(compras_mes9[[#This Row],[NETO GRAVADO]:[Otros / No Grav.]])</f>
        <v>52000.004099999998</v>
      </c>
      <c r="Q27" s="464">
        <f>IFERROR(IF(compras_mes9[[#This Row],[CUIT]]="","-",VLOOKUP(compras_mes9[[#This Row],[CUIT]],Lista_CUIT[#All],3,0)),"CUIT NO CARGADO")</f>
        <v>0</v>
      </c>
      <c r="R27" s="464">
        <f>IFERROR(IF(compras_mes9[[#This Row],[CUIT]]="","-",VLOOKUP(compras_mes9[[#This Row],[CUIT]],Lista_CUIT[#All],4,0)),"CUIT NO CARGADO")</f>
        <v>0</v>
      </c>
    </row>
    <row r="28" spans="2:18" x14ac:dyDescent="0.3">
      <c r="B28" s="456">
        <v>45173</v>
      </c>
      <c r="C28" s="457">
        <v>1</v>
      </c>
      <c r="D28" s="458">
        <v>11</v>
      </c>
      <c r="E28" s="506">
        <v>74839</v>
      </c>
      <c r="F28" s="459">
        <v>30534051049</v>
      </c>
      <c r="G28" s="460" t="str">
        <f>IFERROR(IF(compras_mes9[[#This Row],[CUIT]]="","-",VLOOKUP(compras_mes9[[#This Row],[CUIT]],Lista_CUIT[#All],2,0)),"CUIT NO CARGADO")</f>
        <v>ELECTRO UNIVERSO - PLIN METAL S A</v>
      </c>
      <c r="H28" s="95">
        <v>838.48</v>
      </c>
      <c r="I28" s="86"/>
      <c r="J28" s="462"/>
      <c r="K28" s="462">
        <v>88.04</v>
      </c>
      <c r="L28" s="462"/>
      <c r="M28" s="462"/>
      <c r="N28" s="462"/>
      <c r="O28" s="462"/>
      <c r="P28" s="463">
        <f>SUM(compras_mes9[[#This Row],[NETO GRAVADO]:[Otros / No Grav.]])</f>
        <v>926.52</v>
      </c>
      <c r="Q28" s="464">
        <f>IFERROR(IF(compras_mes9[[#This Row],[CUIT]]="","-",VLOOKUP(compras_mes9[[#This Row],[CUIT]],Lista_CUIT[#All],3,0)),"CUIT NO CARGADO")</f>
        <v>0</v>
      </c>
      <c r="R28" s="464">
        <f>IFERROR(IF(compras_mes9[[#This Row],[CUIT]]="","-",VLOOKUP(compras_mes9[[#This Row],[CUIT]],Lista_CUIT[#All],4,0)),"CUIT NO CARGADO")</f>
        <v>0</v>
      </c>
    </row>
    <row r="29" spans="2:18" x14ac:dyDescent="0.3">
      <c r="B29" s="509">
        <v>45173</v>
      </c>
      <c r="C29" s="511">
        <v>1</v>
      </c>
      <c r="D29" s="512">
        <v>5014</v>
      </c>
      <c r="E29" s="513">
        <v>485550</v>
      </c>
      <c r="F29" s="514">
        <v>30574876474</v>
      </c>
      <c r="G29" s="515" t="str">
        <f>IFERROR(IF(compras_mes9[[#This Row],[CUIT]]="","-",VLOOKUP(compras_mes9[[#This Row],[CUIT]],Lista_CUIT[#All],2,0)),"CUIT NO CARGADO")</f>
        <v>AUTOPISTAS URBANAS S A</v>
      </c>
      <c r="H29" s="516">
        <v>25163.42</v>
      </c>
      <c r="I29" s="517">
        <f>IF(compras_mes9[[#This Row],[NETO GRAVADO]]="","",compras_mes9[[#This Row],[NETO GRAVADO]]*0.21)</f>
        <v>5284.3181999999997</v>
      </c>
      <c r="J29" s="517"/>
      <c r="K29" s="517"/>
      <c r="L29" s="517"/>
      <c r="M29" s="517">
        <v>754.88</v>
      </c>
      <c r="N29" s="517"/>
      <c r="O29" s="517">
        <v>2516.33</v>
      </c>
      <c r="P29" s="518">
        <f>SUM(compras_mes9[[#This Row],[NETO GRAVADO]:[Otros / No Grav.]])</f>
        <v>33718.948199999999</v>
      </c>
      <c r="Q29" s="519">
        <f>IFERROR(IF(compras_mes9[[#This Row],[CUIT]]="","-",VLOOKUP(compras_mes9[[#This Row],[CUIT]],Lista_CUIT[#All],3,0)),"CUIT NO CARGADO")</f>
        <v>0</v>
      </c>
      <c r="R29" s="519">
        <f>IFERROR(IF(compras_mes9[[#This Row],[CUIT]]="","-",VLOOKUP(compras_mes9[[#This Row],[CUIT]],Lista_CUIT[#All],4,0)),"CUIT NO CARGADO")</f>
        <v>0</v>
      </c>
    </row>
    <row r="30" spans="2:18" x14ac:dyDescent="0.3">
      <c r="B30" s="456">
        <v>45173</v>
      </c>
      <c r="C30" s="457">
        <v>1</v>
      </c>
      <c r="D30" s="458">
        <v>3</v>
      </c>
      <c r="E30" s="506">
        <v>2336</v>
      </c>
      <c r="F30" s="459">
        <v>20271814128</v>
      </c>
      <c r="G30" s="460" t="str">
        <f>IFERROR(IF(compras_mes9[[#This Row],[CUIT]]="","-",VLOOKUP(compras_mes9[[#This Row],[CUIT]],Lista_CUIT[#All],2,0)),"CUIT NO CARGADO")</f>
        <v>PAREJO LUCAS ARIEL ESTEBAN</v>
      </c>
      <c r="H30" s="461">
        <v>4049.57</v>
      </c>
      <c r="I30" s="462">
        <f>IF(compras_mes9[[#This Row],[NETO GRAVADO]]="","",compras_mes9[[#This Row],[NETO GRAVADO]]*0.21)</f>
        <v>850.40970000000004</v>
      </c>
      <c r="J30" s="462"/>
      <c r="K30" s="462"/>
      <c r="L30" s="462"/>
      <c r="M30" s="462"/>
      <c r="N30" s="462"/>
      <c r="O30" s="462"/>
      <c r="P30" s="463">
        <f>SUM(compras_mes9[[#This Row],[NETO GRAVADO]:[Otros / No Grav.]])</f>
        <v>4899.9796999999999</v>
      </c>
      <c r="Q30" s="464">
        <f>IFERROR(IF(compras_mes9[[#This Row],[CUIT]]="","-",VLOOKUP(compras_mes9[[#This Row],[CUIT]],Lista_CUIT[#All],3,0)),"CUIT NO CARGADO")</f>
        <v>0</v>
      </c>
      <c r="R30" s="464">
        <f>IFERROR(IF(compras_mes9[[#This Row],[CUIT]]="","-",VLOOKUP(compras_mes9[[#This Row],[CUIT]],Lista_CUIT[#All],4,0)),"CUIT NO CARGADO")</f>
        <v>0</v>
      </c>
    </row>
    <row r="31" spans="2:18" x14ac:dyDescent="0.3">
      <c r="B31" s="456">
        <v>45174</v>
      </c>
      <c r="C31" s="457">
        <v>1</v>
      </c>
      <c r="D31" s="458">
        <v>1</v>
      </c>
      <c r="E31" s="506">
        <v>54</v>
      </c>
      <c r="F31" s="459">
        <v>33716968109</v>
      </c>
      <c r="G31" s="460" t="str">
        <f>IFERROR(IF(compras_mes9[[#This Row],[CUIT]]="","-",VLOOKUP(compras_mes9[[#This Row],[CUIT]],Lista_CUIT[#All],2,0)),"CUIT NO CARGADO")</f>
        <v>SENSES PLUS S.R.L.</v>
      </c>
      <c r="H31" s="95">
        <v>65424.5</v>
      </c>
      <c r="I31" s="86">
        <f>IF(compras_mes9[[#This Row],[NETO GRAVADO]]="","",compras_mes9[[#This Row],[NETO GRAVADO]]*0.21)</f>
        <v>13739.144999999999</v>
      </c>
      <c r="J31" s="85"/>
      <c r="K31" s="85"/>
      <c r="L31" s="85"/>
      <c r="M31" s="85"/>
      <c r="N31" s="85"/>
      <c r="O31" s="85"/>
      <c r="P31" s="48">
        <f>SUM(compras_mes9[[#This Row],[NETO GRAVADO]:[Otros / No Grav.]])</f>
        <v>79163.645000000004</v>
      </c>
      <c r="Q31" s="464">
        <f>IFERROR(IF(compras_mes9[[#This Row],[CUIT]]="","-",VLOOKUP(compras_mes9[[#This Row],[CUIT]],Lista_CUIT[#All],3,0)),"CUIT NO CARGADO")</f>
        <v>0</v>
      </c>
      <c r="R31" s="464">
        <f>IFERROR(IF(compras_mes9[[#This Row],[CUIT]]="","-",VLOOKUP(compras_mes9[[#This Row],[CUIT]],Lista_CUIT[#All],4,0)),"CUIT NO CARGADO")</f>
        <v>0</v>
      </c>
    </row>
    <row r="32" spans="2:18" x14ac:dyDescent="0.3">
      <c r="B32" s="456">
        <v>45174</v>
      </c>
      <c r="C32" s="457">
        <v>1</v>
      </c>
      <c r="D32" s="458">
        <v>1</v>
      </c>
      <c r="E32" s="506">
        <v>91</v>
      </c>
      <c r="F32" s="459">
        <v>30716070313</v>
      </c>
      <c r="G32" s="460" t="str">
        <f>IFERROR(IF(compras_mes9[[#This Row],[CUIT]]="","-",VLOOKUP(compras_mes9[[#This Row],[CUIT]],Lista_CUIT[#All],2,0)),"CUIT NO CARGADO")</f>
        <v>H UNO 1469 SA</v>
      </c>
      <c r="H32" s="95">
        <v>38400</v>
      </c>
      <c r="I32" s="86">
        <f>IF(compras_mes9[[#This Row],[NETO GRAVADO]]="","",compras_mes9[[#This Row],[NETO GRAVADO]]*0.21)</f>
        <v>8064</v>
      </c>
      <c r="J32" s="462"/>
      <c r="K32" s="462"/>
      <c r="L32" s="462"/>
      <c r="M32" s="462"/>
      <c r="N32" s="462"/>
      <c r="O32" s="462"/>
      <c r="P32" s="463">
        <f>SUM(compras_mes9[[#This Row],[NETO GRAVADO]:[Otros / No Grav.]])</f>
        <v>46464</v>
      </c>
      <c r="Q32" s="464">
        <f>IFERROR(IF(compras_mes9[[#This Row],[CUIT]]="","-",VLOOKUP(compras_mes9[[#This Row],[CUIT]],Lista_CUIT[#All],3,0)),"CUIT NO CARGADO")</f>
        <v>0</v>
      </c>
      <c r="R32" s="464">
        <f>IFERROR(IF(compras_mes9[[#This Row],[CUIT]]="","-",VLOOKUP(compras_mes9[[#This Row],[CUIT]],Lista_CUIT[#All],4,0)),"CUIT NO CARGADO")</f>
        <v>0</v>
      </c>
    </row>
    <row r="33" spans="2:18" x14ac:dyDescent="0.3">
      <c r="B33" s="509">
        <v>45174</v>
      </c>
      <c r="C33" s="511">
        <v>1</v>
      </c>
      <c r="D33" s="512">
        <v>2</v>
      </c>
      <c r="E33" s="513">
        <v>225</v>
      </c>
      <c r="F33" s="514">
        <v>27309896063</v>
      </c>
      <c r="G33" s="515" t="str">
        <f>IFERROR(IF(compras_mes9[[#This Row],[CUIT]]="","-",VLOOKUP(compras_mes9[[#This Row],[CUIT]],Lista_CUIT[#All],2,0)),"CUIT NO CARGADO")</f>
        <v>BATTELLINI MARIA SOLEDAD</v>
      </c>
      <c r="H33" s="516">
        <v>250000</v>
      </c>
      <c r="I33" s="517">
        <f>IF(compras_mes9[[#This Row],[NETO GRAVADO]]="","",compras_mes9[[#This Row],[NETO GRAVADO]]*0.21)</f>
        <v>52500</v>
      </c>
      <c r="J33" s="517"/>
      <c r="K33" s="517"/>
      <c r="L33" s="517"/>
      <c r="M33" s="517"/>
      <c r="N33" s="517"/>
      <c r="O33" s="517"/>
      <c r="P33" s="518">
        <f>SUM(compras_mes9[[#This Row],[NETO GRAVADO]:[Otros / No Grav.]])</f>
        <v>302500</v>
      </c>
      <c r="Q33" s="519">
        <f>IFERROR(IF(compras_mes9[[#This Row],[CUIT]]="","-",VLOOKUP(compras_mes9[[#This Row],[CUIT]],Lista_CUIT[#All],3,0)),"CUIT NO CARGADO")</f>
        <v>0</v>
      </c>
      <c r="R33" s="519">
        <f>IFERROR(IF(compras_mes9[[#This Row],[CUIT]]="","-",VLOOKUP(compras_mes9[[#This Row],[CUIT]],Lista_CUIT[#All],4,0)),"CUIT NO CARGADO")</f>
        <v>0</v>
      </c>
    </row>
    <row r="34" spans="2:18" x14ac:dyDescent="0.3">
      <c r="B34" s="456">
        <v>45174</v>
      </c>
      <c r="C34" s="457">
        <v>1</v>
      </c>
      <c r="D34" s="458">
        <v>2</v>
      </c>
      <c r="E34" s="506">
        <v>3432</v>
      </c>
      <c r="F34" s="459">
        <v>30629863571</v>
      </c>
      <c r="G34" s="460" t="str">
        <f>IFERROR(IF(compras_mes9[[#This Row],[CUIT]]="","-",VLOOKUP(compras_mes9[[#This Row],[CUIT]],Lista_CUIT[#All],2,0)),"CUIT NO CARGADO")</f>
        <v>TECNIMAR S R L</v>
      </c>
      <c r="H34" s="95">
        <v>1122736.72</v>
      </c>
      <c r="I34" s="86">
        <f>IF(compras_mes9[[#This Row],[NETO GRAVADO]]="","",compras_mes9[[#This Row],[NETO GRAVADO]]*0.21)</f>
        <v>235774.71119999999</v>
      </c>
      <c r="J34" s="85"/>
      <c r="K34" s="85"/>
      <c r="L34" s="85"/>
      <c r="M34" s="85"/>
      <c r="N34" s="85"/>
      <c r="O34" s="85"/>
      <c r="P34" s="48">
        <f>SUM(compras_mes9[[#This Row],[NETO GRAVADO]:[Otros / No Grav.]])</f>
        <v>1358511.4312</v>
      </c>
      <c r="Q34" s="464" t="str">
        <f>IFERROR(IF(compras_mes9[[#This Row],[CUIT]]="","-",VLOOKUP(compras_mes9[[#This Row],[CUIT]],Lista_CUIT[#All],3,0)),"CUIT NO CARGADO")</f>
        <v>LABORATORIO</v>
      </c>
      <c r="R34" s="464">
        <f>IFERROR(IF(compras_mes9[[#This Row],[CUIT]]="","-",VLOOKUP(compras_mes9[[#This Row],[CUIT]],Lista_CUIT[#All],4,0)),"CUIT NO CARGADO")</f>
        <v>0</v>
      </c>
    </row>
    <row r="35" spans="2:18" x14ac:dyDescent="0.3">
      <c r="B35" s="456">
        <v>45174</v>
      </c>
      <c r="C35" s="457">
        <v>1</v>
      </c>
      <c r="D35" s="458">
        <v>23</v>
      </c>
      <c r="E35" s="506">
        <v>18652</v>
      </c>
      <c r="F35" s="459">
        <v>30515800219</v>
      </c>
      <c r="G35" s="460" t="str">
        <f>IFERROR(IF(compras_mes9[[#This Row],[CUIT]]="","-",VLOOKUP(compras_mes9[[#This Row],[CUIT]],Lista_CUIT[#All],2,0)),"CUIT NO CARGADO")</f>
        <v>INCAT SRL</v>
      </c>
      <c r="H35" s="95">
        <v>1903.08</v>
      </c>
      <c r="I35" s="86">
        <f>IF(compras_mes9[[#This Row],[NETO GRAVADO]]="","",compras_mes9[[#This Row],[NETO GRAVADO]]*0.21)</f>
        <v>399.64679999999998</v>
      </c>
      <c r="J35" s="462"/>
      <c r="K35" s="462"/>
      <c r="L35" s="462"/>
      <c r="M35" s="462"/>
      <c r="N35" s="462"/>
      <c r="O35" s="462">
        <v>197.12</v>
      </c>
      <c r="P35" s="463">
        <f>SUM(compras_mes9[[#This Row],[NETO GRAVADO]:[Otros / No Grav.]])</f>
        <v>2499.8467999999998</v>
      </c>
      <c r="Q35" s="464" t="str">
        <f>IFERROR(IF(compras_mes9[[#This Row],[CUIT]]="","-",VLOOKUP(compras_mes9[[#This Row],[CUIT]],Lista_CUIT[#All],3,0)),"CUIT NO CARGADO")</f>
        <v>Combustibe</v>
      </c>
      <c r="R35" s="464" t="str">
        <f>IFERROR(IF(compras_mes9[[#This Row],[CUIT]]="","-",VLOOKUP(compras_mes9[[#This Row],[CUIT]],Lista_CUIT[#All],4,0)),"CUIT NO CARGADO")</f>
        <v>CABA</v>
      </c>
    </row>
    <row r="36" spans="2:18" x14ac:dyDescent="0.3">
      <c r="B36" s="509">
        <v>45174</v>
      </c>
      <c r="C36" s="511">
        <v>1</v>
      </c>
      <c r="D36" s="512">
        <v>63</v>
      </c>
      <c r="E36" s="513">
        <v>2526999</v>
      </c>
      <c r="F36" s="514">
        <v>30640897267</v>
      </c>
      <c r="G36" s="515" t="str">
        <f>IFERROR(IF(compras_mes9[[#This Row],[CUIT]]="","-",VLOOKUP(compras_mes9[[#This Row],[CUIT]],Lista_CUIT[#All],2,0)),"CUIT NO CARGADO")</f>
        <v>TELECENTRO S.A.</v>
      </c>
      <c r="H36" s="516">
        <v>13430.41</v>
      </c>
      <c r="I36" s="517">
        <f>IF(compras_mes9[[#This Row],[NETO GRAVADO]]="","",compras_mes9[[#This Row],[NETO GRAVADO]]*0.21)</f>
        <v>2820.3860999999997</v>
      </c>
      <c r="J36" s="517"/>
      <c r="K36" s="517"/>
      <c r="L36" s="517">
        <v>402.91</v>
      </c>
      <c r="M36" s="517"/>
      <c r="N36" s="517">
        <v>805.82</v>
      </c>
      <c r="O36" s="517"/>
      <c r="P36" s="518">
        <f>SUM(compras_mes9[[#This Row],[NETO GRAVADO]:[Otros / No Grav.]])</f>
        <v>17459.526099999999</v>
      </c>
      <c r="Q36" s="519">
        <f>IFERROR(IF(compras_mes9[[#This Row],[CUIT]]="","-",VLOOKUP(compras_mes9[[#This Row],[CUIT]],Lista_CUIT[#All],3,0)),"CUIT NO CARGADO")</f>
        <v>0</v>
      </c>
      <c r="R36" s="519">
        <f>IFERROR(IF(compras_mes9[[#This Row],[CUIT]]="","-",VLOOKUP(compras_mes9[[#This Row],[CUIT]],Lista_CUIT[#All],4,0)),"CUIT NO CARGADO")</f>
        <v>0</v>
      </c>
    </row>
    <row r="37" spans="2:18" x14ac:dyDescent="0.3">
      <c r="B37" s="509">
        <v>45174</v>
      </c>
      <c r="C37" s="511">
        <v>1</v>
      </c>
      <c r="D37" s="512">
        <v>63</v>
      </c>
      <c r="E37" s="513">
        <v>2527709</v>
      </c>
      <c r="F37" s="514">
        <v>30640897267</v>
      </c>
      <c r="G37" s="515" t="str">
        <f>IFERROR(IF(compras_mes9[[#This Row],[CUIT]]="","-",VLOOKUP(compras_mes9[[#This Row],[CUIT]],Lista_CUIT[#All],2,0)),"CUIT NO CARGADO")</f>
        <v>TELECENTRO S.A.</v>
      </c>
      <c r="H37" s="516">
        <v>13430.41</v>
      </c>
      <c r="I37" s="517">
        <f>IF(compras_mes9[[#This Row],[NETO GRAVADO]]="","",compras_mes9[[#This Row],[NETO GRAVADO]]*0.21)</f>
        <v>2820.3860999999997</v>
      </c>
      <c r="J37" s="517"/>
      <c r="K37" s="517"/>
      <c r="L37" s="517">
        <v>402.91</v>
      </c>
      <c r="M37" s="517"/>
      <c r="N37" s="517">
        <v>805.82</v>
      </c>
      <c r="O37" s="517"/>
      <c r="P37" s="518">
        <f>SUM(compras_mes9[[#This Row],[NETO GRAVADO]:[Otros / No Grav.]])</f>
        <v>17459.526099999999</v>
      </c>
      <c r="Q37" s="519">
        <f>IFERROR(IF(compras_mes9[[#This Row],[CUIT]]="","-",VLOOKUP(compras_mes9[[#This Row],[CUIT]],Lista_CUIT[#All],3,0)),"CUIT NO CARGADO")</f>
        <v>0</v>
      </c>
      <c r="R37" s="519">
        <f>IFERROR(IF(compras_mes9[[#This Row],[CUIT]]="","-",VLOOKUP(compras_mes9[[#This Row],[CUIT]],Lista_CUIT[#All],4,0)),"CUIT NO CARGADO")</f>
        <v>0</v>
      </c>
    </row>
    <row r="38" spans="2:18" x14ac:dyDescent="0.3">
      <c r="B38" s="509">
        <v>45174</v>
      </c>
      <c r="C38" s="511">
        <v>1</v>
      </c>
      <c r="D38" s="512">
        <v>3034</v>
      </c>
      <c r="E38" s="513">
        <v>4443259</v>
      </c>
      <c r="F38" s="514">
        <v>30708574836</v>
      </c>
      <c r="G38" s="515" t="str">
        <f>IFERROR(IF(compras_mes9[[#This Row],[CUIT]]="","-",VLOOKUP(compras_mes9[[#This Row],[CUIT]],Lista_CUIT[#All],2,0)),"CUIT NO CARGADO")</f>
        <v>CORREO OFICIAL DE LA REPUBLICA ARGENTINA SOCIEDAD ANONIMA</v>
      </c>
      <c r="H38" s="516">
        <v>1491.28</v>
      </c>
      <c r="I38" s="517">
        <f>IF(compras_mes9[[#This Row],[NETO GRAVADO]]="","",compras_mes9[[#This Row],[NETO GRAVADO]]*0.21)</f>
        <v>313.16879999999998</v>
      </c>
      <c r="J38" s="517"/>
      <c r="K38" s="517"/>
      <c r="L38" s="517"/>
      <c r="M38" s="517"/>
      <c r="N38" s="517"/>
      <c r="O38" s="517"/>
      <c r="P38" s="518">
        <f>SUM(compras_mes9[[#This Row],[NETO GRAVADO]:[Otros / No Grav.]])</f>
        <v>1804.4487999999999</v>
      </c>
      <c r="Q38" s="519" t="str">
        <f>IFERROR(IF(compras_mes9[[#This Row],[CUIT]]="","-",VLOOKUP(compras_mes9[[#This Row],[CUIT]],Lista_CUIT[#All],3,0)),"CUIT NO CARGADO")</f>
        <v>MESAJERIA</v>
      </c>
      <c r="R38" s="519">
        <f>IFERROR(IF(compras_mes9[[#This Row],[CUIT]]="","-",VLOOKUP(compras_mes9[[#This Row],[CUIT]],Lista_CUIT[#All],4,0)),"CUIT NO CARGADO")</f>
        <v>0</v>
      </c>
    </row>
    <row r="39" spans="2:18" x14ac:dyDescent="0.3">
      <c r="B39" s="456">
        <v>45175</v>
      </c>
      <c r="C39" s="457">
        <v>1</v>
      </c>
      <c r="D39" s="458">
        <v>2</v>
      </c>
      <c r="E39" s="506">
        <v>3433</v>
      </c>
      <c r="F39" s="459">
        <v>30629863571</v>
      </c>
      <c r="G39" s="460" t="str">
        <f>IFERROR(IF(compras_mes9[[#This Row],[CUIT]]="","-",VLOOKUP(compras_mes9[[#This Row],[CUIT]],Lista_CUIT[#All],2,0)),"CUIT NO CARGADO")</f>
        <v>TECNIMAR S R L</v>
      </c>
      <c r="H39" s="95">
        <v>756735.8</v>
      </c>
      <c r="I39" s="86">
        <f>IF(compras_mes9[[#This Row],[NETO GRAVADO]]="","",compras_mes9[[#This Row],[NETO GRAVADO]]*0.21)</f>
        <v>158914.51800000001</v>
      </c>
      <c r="J39" s="85"/>
      <c r="K39" s="85"/>
      <c r="L39" s="85"/>
      <c r="M39" s="85"/>
      <c r="N39" s="85"/>
      <c r="O39" s="85"/>
      <c r="P39" s="48">
        <f>SUM(compras_mes9[[#This Row],[NETO GRAVADO]:[Otros / No Grav.]])</f>
        <v>915650.31800000009</v>
      </c>
      <c r="Q39" s="464" t="str">
        <f>IFERROR(IF(compras_mes9[[#This Row],[CUIT]]="","-",VLOOKUP(compras_mes9[[#This Row],[CUIT]],Lista_CUIT[#All],3,0)),"CUIT NO CARGADO")</f>
        <v>LABORATORIO</v>
      </c>
      <c r="R39" s="464">
        <f>IFERROR(IF(compras_mes9[[#This Row],[CUIT]]="","-",VLOOKUP(compras_mes9[[#This Row],[CUIT]],Lista_CUIT[#All],4,0)),"CUIT NO CARGADO")</f>
        <v>0</v>
      </c>
    </row>
    <row r="40" spans="2:18" x14ac:dyDescent="0.3">
      <c r="B40" s="456">
        <v>45175</v>
      </c>
      <c r="C40" s="457">
        <v>1</v>
      </c>
      <c r="D40" s="458">
        <v>3</v>
      </c>
      <c r="E40" s="506">
        <v>15527</v>
      </c>
      <c r="F40" s="459">
        <v>33707953549</v>
      </c>
      <c r="G40" s="460" t="str">
        <f>IFERROR(IF(compras_mes9[[#This Row],[CUIT]]="","-",VLOOKUP(compras_mes9[[#This Row],[CUIT]],Lista_CUIT[#All],2,0)),"CUIT NO CARGADO")</f>
        <v>TELESMART</v>
      </c>
      <c r="H40" s="46">
        <v>11232</v>
      </c>
      <c r="I40" s="85">
        <f>IF(compras_mes9[[#This Row],[NETO GRAVADO]]="","",compras_mes9[[#This Row],[NETO GRAVADO]]*0.21)</f>
        <v>2358.7199999999998</v>
      </c>
      <c r="J40" s="462"/>
      <c r="K40" s="462"/>
      <c r="L40" s="462"/>
      <c r="M40" s="462"/>
      <c r="N40" s="462"/>
      <c r="O40" s="462"/>
      <c r="P40" s="463">
        <f>SUM(compras_mes9[[#This Row],[NETO GRAVADO]:[Otros / No Grav.]])</f>
        <v>13590.72</v>
      </c>
      <c r="Q40" s="464">
        <f>IFERROR(IF(compras_mes9[[#This Row],[CUIT]]="","-",VLOOKUP(compras_mes9[[#This Row],[CUIT]],Lista_CUIT[#All],3,0)),"CUIT NO CARGADO")</f>
        <v>0</v>
      </c>
      <c r="R40" s="464">
        <f>IFERROR(IF(compras_mes9[[#This Row],[CUIT]]="","-",VLOOKUP(compras_mes9[[#This Row],[CUIT]],Lista_CUIT[#All],4,0)),"CUIT NO CARGADO")</f>
        <v>0</v>
      </c>
    </row>
    <row r="41" spans="2:18" x14ac:dyDescent="0.3">
      <c r="B41" s="456">
        <v>45175</v>
      </c>
      <c r="C41" s="457">
        <v>1</v>
      </c>
      <c r="D41" s="458">
        <v>2</v>
      </c>
      <c r="E41" s="506">
        <v>36402</v>
      </c>
      <c r="F41" s="459">
        <v>33714232199</v>
      </c>
      <c r="G41" s="460" t="str">
        <f>IFERROR(IF(compras_mes9[[#This Row],[CUIT]]="","-",VLOOKUP(compras_mes9[[#This Row],[CUIT]],Lista_CUIT[#All],2,0)),"CUIT NO CARGADO")</f>
        <v>NUAGE SYSTEMS S.A.</v>
      </c>
      <c r="H41" s="95">
        <v>53802</v>
      </c>
      <c r="I41" s="86">
        <f>IF(compras_mes9[[#This Row],[NETO GRAVADO]]="","",compras_mes9[[#This Row],[NETO GRAVADO]]*0.21)</f>
        <v>11298.42</v>
      </c>
      <c r="J41" s="85"/>
      <c r="K41" s="85"/>
      <c r="L41" s="85"/>
      <c r="M41" s="85"/>
      <c r="N41" s="85"/>
      <c r="O41" s="85"/>
      <c r="P41" s="48">
        <f>SUM(compras_mes9[[#This Row],[NETO GRAVADO]:[Otros / No Grav.]])</f>
        <v>65100.42</v>
      </c>
      <c r="Q41" s="464">
        <f>IFERROR(IF(compras_mes9[[#This Row],[CUIT]]="","-",VLOOKUP(compras_mes9[[#This Row],[CUIT]],Lista_CUIT[#All],3,0)),"CUIT NO CARGADO")</f>
        <v>0</v>
      </c>
      <c r="R41" s="464">
        <f>IFERROR(IF(compras_mes9[[#This Row],[CUIT]]="","-",VLOOKUP(compras_mes9[[#This Row],[CUIT]],Lista_CUIT[#All],4,0)),"CUIT NO CARGADO")</f>
        <v>0</v>
      </c>
    </row>
    <row r="42" spans="2:18" x14ac:dyDescent="0.3">
      <c r="B42" s="456">
        <v>45176</v>
      </c>
      <c r="C42" s="457">
        <v>1</v>
      </c>
      <c r="D42" s="458">
        <v>4484</v>
      </c>
      <c r="E42" s="506">
        <v>71</v>
      </c>
      <c r="F42" s="459">
        <v>30685849751</v>
      </c>
      <c r="G42" s="460" t="str">
        <f>IFERROR(IF(compras_mes9[[#This Row],[CUIT]]="","-",VLOOKUP(compras_mes9[[#This Row],[CUIT]],Lista_CUIT[#All],2,0)),"CUIT NO CARGADO")</f>
        <v>DIA ARGENTINA S A</v>
      </c>
      <c r="H42" s="46">
        <v>12146.2</v>
      </c>
      <c r="I42" s="85">
        <v>2212.5100000000002</v>
      </c>
      <c r="J42" s="462"/>
      <c r="K42" s="462">
        <v>85.31</v>
      </c>
      <c r="L42" s="462"/>
      <c r="M42" s="462"/>
      <c r="N42" s="462"/>
      <c r="O42" s="462"/>
      <c r="P42" s="463">
        <f>SUM(compras_mes9[[#This Row],[NETO GRAVADO]:[Otros / No Grav.]])</f>
        <v>14444.02</v>
      </c>
      <c r="Q42" s="464">
        <f>IFERROR(IF(compras_mes9[[#This Row],[CUIT]]="","-",VLOOKUP(compras_mes9[[#This Row],[CUIT]],Lista_CUIT[#All],3,0)),"CUIT NO CARGADO")</f>
        <v>0</v>
      </c>
      <c r="R42" s="464">
        <f>IFERROR(IF(compras_mes9[[#This Row],[CUIT]]="","-",VLOOKUP(compras_mes9[[#This Row],[CUIT]],Lista_CUIT[#All],4,0)),"CUIT NO CARGADO")</f>
        <v>0</v>
      </c>
    </row>
    <row r="43" spans="2:18" x14ac:dyDescent="0.3">
      <c r="B43" s="456">
        <v>45176</v>
      </c>
      <c r="C43" s="457">
        <v>1</v>
      </c>
      <c r="D43" s="458">
        <v>2</v>
      </c>
      <c r="E43" s="506">
        <v>273</v>
      </c>
      <c r="F43" s="459">
        <v>30717768511</v>
      </c>
      <c r="G43" s="460" t="str">
        <f>IFERROR(IF(compras_mes9[[#This Row],[CUIT]]="","-",VLOOKUP(compras_mes9[[#This Row],[CUIT]],Lista_CUIT[#All],2,0)),"CUIT NO CARGADO")</f>
        <v>DEALER S. CAP I SECC IV</v>
      </c>
      <c r="H43" s="95">
        <v>96620</v>
      </c>
      <c r="I43" s="86">
        <f>IF(compras_mes9[[#This Row],[NETO GRAVADO]]="","",compras_mes9[[#This Row],[NETO GRAVADO]]*0.21)</f>
        <v>20290.2</v>
      </c>
      <c r="J43" s="85"/>
      <c r="K43" s="85"/>
      <c r="L43" s="85"/>
      <c r="M43" s="85"/>
      <c r="N43" s="85"/>
      <c r="O43" s="85"/>
      <c r="P43" s="48">
        <f>SUM(compras_mes9[[#This Row],[NETO GRAVADO]:[Otros / No Grav.]])</f>
        <v>116910.2</v>
      </c>
      <c r="Q43" s="464">
        <f>IFERROR(IF(compras_mes9[[#This Row],[CUIT]]="","-",VLOOKUP(compras_mes9[[#This Row],[CUIT]],Lista_CUIT[#All],3,0)),"CUIT NO CARGADO")</f>
        <v>0</v>
      </c>
      <c r="R43" s="464">
        <f>IFERROR(IF(compras_mes9[[#This Row],[CUIT]]="","-",VLOOKUP(compras_mes9[[#This Row],[CUIT]],Lista_CUIT[#All],4,0)),"CUIT NO CARGADO")</f>
        <v>0</v>
      </c>
    </row>
    <row r="44" spans="2:18" x14ac:dyDescent="0.3">
      <c r="B44" s="456">
        <v>45176</v>
      </c>
      <c r="C44" s="457">
        <v>1</v>
      </c>
      <c r="D44" s="458">
        <v>2</v>
      </c>
      <c r="E44" s="506">
        <v>3435</v>
      </c>
      <c r="F44" s="459">
        <v>30629863571</v>
      </c>
      <c r="G44" s="460" t="str">
        <f>IFERROR(IF(compras_mes9[[#This Row],[CUIT]]="","-",VLOOKUP(compras_mes9[[#This Row],[CUIT]],Lista_CUIT[#All],2,0)),"CUIT NO CARGADO")</f>
        <v>TECNIMAR S R L</v>
      </c>
      <c r="H44" s="95">
        <v>955537.68</v>
      </c>
      <c r="I44" s="86">
        <f>IF(compras_mes9[[#This Row],[NETO GRAVADO]]="","",compras_mes9[[#This Row],[NETO GRAVADO]]*0.21)</f>
        <v>200662.91279999999</v>
      </c>
      <c r="J44" s="85"/>
      <c r="K44" s="85"/>
      <c r="L44" s="85"/>
      <c r="M44" s="85"/>
      <c r="N44" s="85"/>
      <c r="O44" s="85"/>
      <c r="P44" s="48">
        <f>SUM(compras_mes9[[#This Row],[NETO GRAVADO]:[Otros / No Grav.]])</f>
        <v>1156200.5928</v>
      </c>
      <c r="Q44" s="464" t="str">
        <f>IFERROR(IF(compras_mes9[[#This Row],[CUIT]]="","-",VLOOKUP(compras_mes9[[#This Row],[CUIT]],Lista_CUIT[#All],3,0)),"CUIT NO CARGADO")</f>
        <v>LABORATORIO</v>
      </c>
      <c r="R44" s="464">
        <f>IFERROR(IF(compras_mes9[[#This Row],[CUIT]]="","-",VLOOKUP(compras_mes9[[#This Row],[CUIT]],Lista_CUIT[#All],4,0)),"CUIT NO CARGADO")</f>
        <v>0</v>
      </c>
    </row>
    <row r="45" spans="2:18" x14ac:dyDescent="0.3">
      <c r="B45" s="509">
        <v>45176</v>
      </c>
      <c r="C45" s="511">
        <v>1</v>
      </c>
      <c r="D45" s="512">
        <v>700</v>
      </c>
      <c r="E45" s="513">
        <v>1124770</v>
      </c>
      <c r="F45" s="514">
        <v>30715804812</v>
      </c>
      <c r="G45" s="515" t="str">
        <f>IFERROR(IF(compras_mes9[[#This Row],[CUIT]]="","-",VLOOKUP(compras_mes9[[#This Row],[CUIT]],Lista_CUIT[#All],2,0)),"CUIT NO CARGADO")</f>
        <v>CORREDORES VIALES SOCIEDAD ANONIMA</v>
      </c>
      <c r="H45" s="516">
        <v>537.19000000000005</v>
      </c>
      <c r="I45" s="517">
        <f>IF(compras_mes9[[#This Row],[NETO GRAVADO]]="","",compras_mes9[[#This Row],[NETO GRAVADO]]*0.21)</f>
        <v>112.80990000000001</v>
      </c>
      <c r="J45" s="517"/>
      <c r="K45" s="517"/>
      <c r="L45" s="517"/>
      <c r="M45" s="517"/>
      <c r="N45" s="517"/>
      <c r="O45" s="517"/>
      <c r="P45" s="518">
        <f>SUM(compras_mes9[[#This Row],[NETO GRAVADO]:[Otros / No Grav.]])</f>
        <v>649.99990000000003</v>
      </c>
      <c r="Q45" s="519">
        <f>IFERROR(IF(compras_mes9[[#This Row],[CUIT]]="","-",VLOOKUP(compras_mes9[[#This Row],[CUIT]],Lista_CUIT[#All],3,0)),"CUIT NO CARGADO")</f>
        <v>0</v>
      </c>
      <c r="R45" s="519">
        <f>IFERROR(IF(compras_mes9[[#This Row],[CUIT]]="","-",VLOOKUP(compras_mes9[[#This Row],[CUIT]],Lista_CUIT[#All],4,0)),"CUIT NO CARGADO")</f>
        <v>0</v>
      </c>
    </row>
    <row r="46" spans="2:18" x14ac:dyDescent="0.3">
      <c r="B46" s="456">
        <v>45177</v>
      </c>
      <c r="C46" s="457">
        <v>1</v>
      </c>
      <c r="D46" s="458">
        <v>2</v>
      </c>
      <c r="E46" s="506">
        <v>228</v>
      </c>
      <c r="F46" s="459">
        <v>27422248426</v>
      </c>
      <c r="G46" s="460" t="str">
        <f>IFERROR(IF(compras_mes9[[#This Row],[CUIT]]="","-",VLOOKUP(compras_mes9[[#This Row],[CUIT]],Lista_CUIT[#All],2,0)),"CUIT NO CARGADO")</f>
        <v>CARRERA VICTORIA</v>
      </c>
      <c r="H46" s="46">
        <v>49087</v>
      </c>
      <c r="I46" s="85">
        <f>IF(compras_mes9[[#This Row],[NETO GRAVADO]]="","",compras_mes9[[#This Row],[NETO GRAVADO]]*0.21)</f>
        <v>10308.27</v>
      </c>
      <c r="J46" s="462"/>
      <c r="K46" s="462"/>
      <c r="L46" s="462"/>
      <c r="M46" s="462"/>
      <c r="N46" s="462"/>
      <c r="O46" s="462"/>
      <c r="P46" s="463">
        <f>SUM(compras_mes9[[#This Row],[NETO GRAVADO]:[Otros / No Grav.]])</f>
        <v>59395.270000000004</v>
      </c>
      <c r="Q46" s="464">
        <f>IFERROR(IF(compras_mes9[[#This Row],[CUIT]]="","-",VLOOKUP(compras_mes9[[#This Row],[CUIT]],Lista_CUIT[#All],3,0)),"CUIT NO CARGADO")</f>
        <v>0</v>
      </c>
      <c r="R46" s="464">
        <f>IFERROR(IF(compras_mes9[[#This Row],[CUIT]]="","-",VLOOKUP(compras_mes9[[#This Row],[CUIT]],Lista_CUIT[#All],4,0)),"CUIT NO CARGADO")</f>
        <v>0</v>
      </c>
    </row>
    <row r="47" spans="2:18" x14ac:dyDescent="0.3">
      <c r="B47" s="456">
        <v>45177</v>
      </c>
      <c r="C47" s="457">
        <v>1</v>
      </c>
      <c r="D47" s="458">
        <v>7</v>
      </c>
      <c r="E47" s="506">
        <v>1760</v>
      </c>
      <c r="F47" s="459">
        <v>20134664518</v>
      </c>
      <c r="G47" s="460" t="str">
        <f>IFERROR(IF(compras_mes9[[#This Row],[CUIT]]="","-",VLOOKUP(compras_mes9[[#This Row],[CUIT]],Lista_CUIT[#All],2,0)),"CUIT NO CARGADO")</f>
        <v>HOKAMA SERGIO ENRIQUE</v>
      </c>
      <c r="H47" s="95">
        <v>15292.15</v>
      </c>
      <c r="I47" s="86">
        <f>IF(compras_mes9[[#This Row],[NETO GRAVADO]]="","",compras_mes9[[#This Row],[NETO GRAVADO]]*0.21)</f>
        <v>3211.3514999999998</v>
      </c>
      <c r="J47" s="462"/>
      <c r="K47" s="462"/>
      <c r="L47" s="462"/>
      <c r="M47" s="462"/>
      <c r="N47" s="462"/>
      <c r="O47" s="462"/>
      <c r="P47" s="463">
        <f>SUM(compras_mes9[[#This Row],[NETO GRAVADO]:[Otros / No Grav.]])</f>
        <v>18503.501499999998</v>
      </c>
      <c r="Q47" s="464" t="str">
        <f>IFERROR(IF(compras_mes9[[#This Row],[CUIT]]="","-",VLOOKUP(compras_mes9[[#This Row],[CUIT]],Lista_CUIT[#All],3,0)),"CUIT NO CARGADO")</f>
        <v>Gastos Varios</v>
      </c>
      <c r="R47" s="464" t="str">
        <f>IFERROR(IF(compras_mes9[[#This Row],[CUIT]]="","-",VLOOKUP(compras_mes9[[#This Row],[CUIT]],Lista_CUIT[#All],4,0)),"CUIT NO CARGADO")</f>
        <v>BUENOS AIRES</v>
      </c>
    </row>
    <row r="48" spans="2:18" x14ac:dyDescent="0.3">
      <c r="B48" s="456">
        <v>45177</v>
      </c>
      <c r="C48" s="457">
        <v>1</v>
      </c>
      <c r="D48" s="458">
        <v>2</v>
      </c>
      <c r="E48" s="506">
        <v>3437</v>
      </c>
      <c r="F48" s="459">
        <v>30629863571</v>
      </c>
      <c r="G48" s="460" t="str">
        <f>IFERROR(IF(compras_mes9[[#This Row],[CUIT]]="","-",VLOOKUP(compras_mes9[[#This Row],[CUIT]],Lista_CUIT[#All],2,0)),"CUIT NO CARGADO")</f>
        <v>TECNIMAR S R L</v>
      </c>
      <c r="H48" s="95">
        <v>497420</v>
      </c>
      <c r="I48" s="86">
        <f>IF(compras_mes9[[#This Row],[NETO GRAVADO]]="","",compras_mes9[[#This Row],[NETO GRAVADO]]*0.21)</f>
        <v>104458.2</v>
      </c>
      <c r="J48" s="85"/>
      <c r="K48" s="85"/>
      <c r="L48" s="85"/>
      <c r="M48" s="85"/>
      <c r="N48" s="85"/>
      <c r="O48" s="85"/>
      <c r="P48" s="48">
        <f>SUM(compras_mes9[[#This Row],[NETO GRAVADO]:[Otros / No Grav.]])</f>
        <v>601878.19999999995</v>
      </c>
      <c r="Q48" s="464" t="str">
        <f>IFERROR(IF(compras_mes9[[#This Row],[CUIT]]="","-",VLOOKUP(compras_mes9[[#This Row],[CUIT]],Lista_CUIT[#All],3,0)),"CUIT NO CARGADO")</f>
        <v>LABORATORIO</v>
      </c>
      <c r="R48" s="464">
        <f>IFERROR(IF(compras_mes9[[#This Row],[CUIT]]="","-",VLOOKUP(compras_mes9[[#This Row],[CUIT]],Lista_CUIT[#All],4,0)),"CUIT NO CARGADO")</f>
        <v>0</v>
      </c>
    </row>
    <row r="49" spans="2:18" x14ac:dyDescent="0.3">
      <c r="B49" s="456">
        <v>45177</v>
      </c>
      <c r="C49" s="457">
        <v>1</v>
      </c>
      <c r="D49" s="458">
        <v>6850</v>
      </c>
      <c r="E49" s="506">
        <v>16855</v>
      </c>
      <c r="F49" s="459">
        <v>30678774495</v>
      </c>
      <c r="G49" s="460" t="str">
        <f>IFERROR(IF(compras_mes9[[#This Row],[CUIT]]="","-",VLOOKUP(compras_mes9[[#This Row],[CUIT]],Lista_CUIT[#All],2,0)),"CUIT NO CARGADO")</f>
        <v>OPER. DE EST. DE SERV. SA</v>
      </c>
      <c r="H49" s="95">
        <v>1871.92</v>
      </c>
      <c r="I49" s="86">
        <f>IF(compras_mes9[[#This Row],[NETO GRAVADO]]="","",compras_mes9[[#This Row],[NETO GRAVADO]]*0.21)</f>
        <v>393.10320000000002</v>
      </c>
      <c r="J49" s="462"/>
      <c r="K49" s="462"/>
      <c r="L49" s="462"/>
      <c r="M49" s="462"/>
      <c r="N49" s="462"/>
      <c r="O49" s="462">
        <v>234.98</v>
      </c>
      <c r="P49" s="463">
        <f>SUM(compras_mes9[[#This Row],[NETO GRAVADO]:[Otros / No Grav.]])</f>
        <v>2500.0032000000001</v>
      </c>
      <c r="Q49" s="464" t="str">
        <f>IFERROR(IF(compras_mes9[[#This Row],[CUIT]]="","-",VLOOKUP(compras_mes9[[#This Row],[CUIT]],Lista_CUIT[#All],3,0)),"CUIT NO CARGADO")</f>
        <v>Combustibe</v>
      </c>
      <c r="R49" s="464">
        <f>IFERROR(IF(compras_mes9[[#This Row],[CUIT]]="","-",VLOOKUP(compras_mes9[[#This Row],[CUIT]],Lista_CUIT[#All],4,0)),"CUIT NO CARGADO")</f>
        <v>0</v>
      </c>
    </row>
    <row r="50" spans="2:18" x14ac:dyDescent="0.3">
      <c r="B50" s="456">
        <v>45177</v>
      </c>
      <c r="C50" s="457">
        <v>1</v>
      </c>
      <c r="D50" s="458">
        <v>13</v>
      </c>
      <c r="E50" s="506">
        <v>66924</v>
      </c>
      <c r="F50" s="459">
        <v>30707841105</v>
      </c>
      <c r="G50" s="460" t="str">
        <f>IFERROR(IF(compras_mes9[[#This Row],[CUIT]]="","-",VLOOKUP(compras_mes9[[#This Row],[CUIT]],Lista_CUIT[#All],2,0)),"CUIT NO CARGADO")</f>
        <v>PETRO ARG SRL</v>
      </c>
      <c r="H50" s="95">
        <v>6483.7</v>
      </c>
      <c r="I50" s="86">
        <f>IF(compras_mes9[[#This Row],[NETO GRAVADO]]="","",compras_mes9[[#This Row],[NETO GRAVADO]]*0.21)</f>
        <v>1361.577</v>
      </c>
      <c r="J50" s="462"/>
      <c r="K50" s="462"/>
      <c r="L50" s="462"/>
      <c r="M50" s="462"/>
      <c r="N50" s="462"/>
      <c r="O50" s="462">
        <v>784.71</v>
      </c>
      <c r="P50" s="463">
        <f>SUM(compras_mes9[[#This Row],[NETO GRAVADO]:[Otros / No Grav.]])</f>
        <v>8629.987000000001</v>
      </c>
      <c r="Q50" s="464" t="str">
        <f>IFERROR(IF(compras_mes9[[#This Row],[CUIT]]="","-",VLOOKUP(compras_mes9[[#This Row],[CUIT]],Lista_CUIT[#All],3,0)),"CUIT NO CARGADO")</f>
        <v>Combustible</v>
      </c>
      <c r="R50" s="464">
        <f>IFERROR(IF(compras_mes9[[#This Row],[CUIT]]="","-",VLOOKUP(compras_mes9[[#This Row],[CUIT]],Lista_CUIT[#All],4,0)),"CUIT NO CARGADO")</f>
        <v>0</v>
      </c>
    </row>
    <row r="51" spans="2:18" x14ac:dyDescent="0.3">
      <c r="B51" s="456">
        <v>45177</v>
      </c>
      <c r="C51" s="457">
        <v>1</v>
      </c>
      <c r="D51" s="458">
        <v>10</v>
      </c>
      <c r="E51" s="506">
        <v>113278</v>
      </c>
      <c r="F51" s="459">
        <v>30711069360</v>
      </c>
      <c r="G51" s="460" t="str">
        <f>IFERROR(IF(compras_mes9[[#This Row],[CUIT]]="","-",VLOOKUP(compras_mes9[[#This Row],[CUIT]],Lista_CUIT[#All],2,0)),"CUIT NO CARGADO")</f>
        <v>BIDCOM SRL</v>
      </c>
      <c r="H51" s="95">
        <v>1247371.81</v>
      </c>
      <c r="I51" s="86">
        <v>6454.29</v>
      </c>
      <c r="J51" s="85"/>
      <c r="K51" s="85">
        <v>127746.9</v>
      </c>
      <c r="L51" s="85"/>
      <c r="M51" s="85"/>
      <c r="N51" s="85">
        <v>74842.31</v>
      </c>
      <c r="O51" s="85"/>
      <c r="P51" s="48">
        <f>SUM(compras_mes9[[#This Row],[NETO GRAVADO]:[Otros / No Grav.]])</f>
        <v>1456415.31</v>
      </c>
      <c r="Q51" s="464">
        <f>IFERROR(IF(compras_mes9[[#This Row],[CUIT]]="","-",VLOOKUP(compras_mes9[[#This Row],[CUIT]],Lista_CUIT[#All],3,0)),"CUIT NO CARGADO")</f>
        <v>0</v>
      </c>
      <c r="R51" s="464">
        <f>IFERROR(IF(compras_mes9[[#This Row],[CUIT]]="","-",VLOOKUP(compras_mes9[[#This Row],[CUIT]],Lista_CUIT[#All],4,0)),"CUIT NO CARGADO")</f>
        <v>0</v>
      </c>
    </row>
    <row r="52" spans="2:18" x14ac:dyDescent="0.3">
      <c r="B52" s="456">
        <v>45178</v>
      </c>
      <c r="C52" s="457">
        <v>1</v>
      </c>
      <c r="D52" s="458">
        <v>9</v>
      </c>
      <c r="E52" s="506">
        <v>181</v>
      </c>
      <c r="F52" s="459">
        <v>20134664518</v>
      </c>
      <c r="G52" s="460" t="str">
        <f>IFERROR(IF(compras_mes9[[#This Row],[CUIT]]="","-",VLOOKUP(compras_mes9[[#This Row],[CUIT]],Lista_CUIT[#All],2,0)),"CUIT NO CARGADO")</f>
        <v>HOKAMA SERGIO ENRIQUE</v>
      </c>
      <c r="H52" s="95">
        <v>6311.57</v>
      </c>
      <c r="I52" s="86">
        <f>IF(compras_mes9[[#This Row],[NETO GRAVADO]]="","",compras_mes9[[#This Row],[NETO GRAVADO]]*0.21)</f>
        <v>1325.4296999999999</v>
      </c>
      <c r="J52" s="462"/>
      <c r="K52" s="462"/>
      <c r="L52" s="462"/>
      <c r="M52" s="462"/>
      <c r="N52" s="462"/>
      <c r="O52" s="462"/>
      <c r="P52" s="463">
        <f>SUM(compras_mes9[[#This Row],[NETO GRAVADO]:[Otros / No Grav.]])</f>
        <v>7636.9996999999994</v>
      </c>
      <c r="Q52" s="464" t="str">
        <f>IFERROR(IF(compras_mes9[[#This Row],[CUIT]]="","-",VLOOKUP(compras_mes9[[#This Row],[CUIT]],Lista_CUIT[#All],3,0)),"CUIT NO CARGADO")</f>
        <v>Gastos Varios</v>
      </c>
      <c r="R52" s="464" t="str">
        <f>IFERROR(IF(compras_mes9[[#This Row],[CUIT]]="","-",VLOOKUP(compras_mes9[[#This Row],[CUIT]],Lista_CUIT[#All],4,0)),"CUIT NO CARGADO")</f>
        <v>BUENOS AIRES</v>
      </c>
    </row>
    <row r="53" spans="2:18" x14ac:dyDescent="0.3">
      <c r="B53" s="456">
        <v>45178</v>
      </c>
      <c r="C53" s="457">
        <v>1</v>
      </c>
      <c r="D53" s="458">
        <v>6</v>
      </c>
      <c r="E53" s="506">
        <v>4185</v>
      </c>
      <c r="F53" s="459">
        <v>30708482680</v>
      </c>
      <c r="G53" s="460" t="str">
        <f>IFERROR(IF(compras_mes9[[#This Row],[CUIT]]="","-",VLOOKUP(compras_mes9[[#This Row],[CUIT]],Lista_CUIT[#All],2,0)),"CUIT NO CARGADO")</f>
        <v>MIL RUEDAS SRL</v>
      </c>
      <c r="H53" s="46">
        <v>5041.32</v>
      </c>
      <c r="I53" s="85">
        <f>IF(compras_mes9[[#This Row],[NETO GRAVADO]]="","",compras_mes9[[#This Row],[NETO GRAVADO]]*0.21)</f>
        <v>1058.6771999999999</v>
      </c>
      <c r="J53" s="462"/>
      <c r="K53" s="462"/>
      <c r="L53" s="462"/>
      <c r="M53" s="462"/>
      <c r="N53" s="462"/>
      <c r="O53" s="462"/>
      <c r="P53" s="463">
        <f>SUM(compras_mes9[[#This Row],[NETO GRAVADO]:[Otros / No Grav.]])</f>
        <v>6099.9971999999998</v>
      </c>
      <c r="Q53" s="464">
        <f>IFERROR(IF(compras_mes9[[#This Row],[CUIT]]="","-",VLOOKUP(compras_mes9[[#This Row],[CUIT]],Lista_CUIT[#All],3,0)),"CUIT NO CARGADO")</f>
        <v>0</v>
      </c>
      <c r="R53" s="464">
        <f>IFERROR(IF(compras_mes9[[#This Row],[CUIT]]="","-",VLOOKUP(compras_mes9[[#This Row],[CUIT]],Lista_CUIT[#All],4,0)),"CUIT NO CARGADO")</f>
        <v>0</v>
      </c>
    </row>
    <row r="54" spans="2:18" x14ac:dyDescent="0.3">
      <c r="B54" s="456">
        <v>45178</v>
      </c>
      <c r="C54" s="457">
        <v>1</v>
      </c>
      <c r="D54" s="458">
        <v>2199</v>
      </c>
      <c r="E54" s="506">
        <v>24112</v>
      </c>
      <c r="F54" s="459">
        <v>30548083156</v>
      </c>
      <c r="G54" s="460" t="str">
        <f>IFERROR(IF(compras_mes9[[#This Row],[CUIT]]="","-",VLOOKUP(compras_mes9[[#This Row],[CUIT]],Lista_CUIT[#All],2,0)),"CUIT NO CARGADO")</f>
        <v>COTO CENTRO INTEGRAL DE COMERCIALIZACION SOCIEDAD ANONIMA</v>
      </c>
      <c r="H54" s="46">
        <v>21135.31</v>
      </c>
      <c r="I54" s="85">
        <v>3510.52</v>
      </c>
      <c r="J54" s="462"/>
      <c r="K54" s="462">
        <v>463.95</v>
      </c>
      <c r="L54" s="462">
        <f>501.5+66.28</f>
        <v>567.78</v>
      </c>
      <c r="M54" s="462"/>
      <c r="N54" s="462">
        <v>1017.43</v>
      </c>
      <c r="O54" s="462"/>
      <c r="P54" s="463">
        <f>SUM(compras_mes9[[#This Row],[NETO GRAVADO]:[Otros / No Grav.]])</f>
        <v>26694.99</v>
      </c>
      <c r="Q54" s="464" t="str">
        <f>IFERROR(IF(compras_mes9[[#This Row],[CUIT]]="","-",VLOOKUP(compras_mes9[[#This Row],[CUIT]],Lista_CUIT[#All],3,0)),"CUIT NO CARGADO")</f>
        <v>GASTOS COMERCIALES</v>
      </c>
      <c r="R54" s="464">
        <f>IFERROR(IF(compras_mes9[[#This Row],[CUIT]]="","-",VLOOKUP(compras_mes9[[#This Row],[CUIT]],Lista_CUIT[#All],4,0)),"CUIT NO CARGADO")</f>
        <v>0</v>
      </c>
    </row>
    <row r="55" spans="2:18" x14ac:dyDescent="0.3">
      <c r="B55" s="456">
        <v>45178</v>
      </c>
      <c r="C55" s="457">
        <v>1</v>
      </c>
      <c r="D55" s="458">
        <v>12</v>
      </c>
      <c r="E55" s="506">
        <v>32566</v>
      </c>
      <c r="F55" s="459">
        <v>30696131003</v>
      </c>
      <c r="G55" s="460" t="str">
        <f>IFERROR(IF(compras_mes9[[#This Row],[CUIT]]="","-",VLOOKUP(compras_mes9[[#This Row],[CUIT]],Lista_CUIT[#All],2,0)),"CUIT NO CARGADO")</f>
        <v>Petrolfe S.A.</v>
      </c>
      <c r="H55" s="46">
        <v>50055.92</v>
      </c>
      <c r="I55" s="85">
        <f>IF(compras_mes9[[#This Row],[NETO GRAVADO]]="","",compras_mes9[[#This Row],[NETO GRAVADO]]*0.21)</f>
        <v>10511.743199999999</v>
      </c>
      <c r="J55" s="462"/>
      <c r="K55" s="462"/>
      <c r="L55" s="462"/>
      <c r="M55" s="462"/>
      <c r="N55" s="462"/>
      <c r="O55" s="462">
        <v>7032.04</v>
      </c>
      <c r="P55" s="463">
        <f>SUM(compras_mes9[[#This Row],[NETO GRAVADO]:[Otros / No Grav.]])</f>
        <v>67599.703199999989</v>
      </c>
      <c r="Q55" s="464" t="str">
        <f>IFERROR(IF(compras_mes9[[#This Row],[CUIT]]="","-",VLOOKUP(compras_mes9[[#This Row],[CUIT]],Lista_CUIT[#All],3,0)),"CUIT NO CARGADO")</f>
        <v>Combustible</v>
      </c>
      <c r="R55" s="464">
        <f>IFERROR(IF(compras_mes9[[#This Row],[CUIT]]="","-",VLOOKUP(compras_mes9[[#This Row],[CUIT]],Lista_CUIT[#All],4,0)),"CUIT NO CARGADO")</f>
        <v>0</v>
      </c>
    </row>
    <row r="56" spans="2:18" x14ac:dyDescent="0.3">
      <c r="B56" s="456">
        <v>45178</v>
      </c>
      <c r="C56" s="457">
        <v>1</v>
      </c>
      <c r="D56" s="458">
        <v>13</v>
      </c>
      <c r="E56" s="506">
        <v>67024</v>
      </c>
      <c r="F56" s="459">
        <v>30707841105</v>
      </c>
      <c r="G56" s="460" t="str">
        <f>IFERROR(IF(compras_mes9[[#This Row],[CUIT]]="","-",VLOOKUP(compras_mes9[[#This Row],[CUIT]],Lista_CUIT[#All],2,0)),"CUIT NO CARGADO")</f>
        <v>PETRO ARG SRL</v>
      </c>
      <c r="H56" s="95">
        <v>3756.46</v>
      </c>
      <c r="I56" s="86">
        <f>IF(compras_mes9[[#This Row],[NETO GRAVADO]]="","",compras_mes9[[#This Row],[NETO GRAVADO]]*0.21)</f>
        <v>788.85659999999996</v>
      </c>
      <c r="J56" s="462"/>
      <c r="K56" s="462"/>
      <c r="L56" s="462"/>
      <c r="M56" s="462"/>
      <c r="N56" s="462"/>
      <c r="O56" s="462">
        <v>454.64</v>
      </c>
      <c r="P56" s="463">
        <f>SUM(compras_mes9[[#This Row],[NETO GRAVADO]:[Otros / No Grav.]])</f>
        <v>4999.9566000000004</v>
      </c>
      <c r="Q56" s="464" t="str">
        <f>IFERROR(IF(compras_mes9[[#This Row],[CUIT]]="","-",VLOOKUP(compras_mes9[[#This Row],[CUIT]],Lista_CUIT[#All],3,0)),"CUIT NO CARGADO")</f>
        <v>Combustible</v>
      </c>
      <c r="R56" s="464">
        <f>IFERROR(IF(compras_mes9[[#This Row],[CUIT]]="","-",VLOOKUP(compras_mes9[[#This Row],[CUIT]],Lista_CUIT[#All],4,0)),"CUIT NO CARGADO")</f>
        <v>0</v>
      </c>
    </row>
    <row r="57" spans="2:18" x14ac:dyDescent="0.3">
      <c r="B57" s="509">
        <v>45178</v>
      </c>
      <c r="C57" s="511">
        <v>1</v>
      </c>
      <c r="D57" s="512">
        <v>948</v>
      </c>
      <c r="E57" s="513">
        <v>1039209</v>
      </c>
      <c r="F57" s="514">
        <v>30639453975</v>
      </c>
      <c r="G57" s="515" t="str">
        <f>IFERROR(IF(compras_mes9[[#This Row],[CUIT]]="","-",VLOOKUP(compras_mes9[[#This Row],[CUIT]],Lista_CUIT[#All],2,0)),"CUIT NO CARGADO")</f>
        <v>TELEFONICA DE ARG S.A.</v>
      </c>
      <c r="H57" s="516">
        <v>8089.34</v>
      </c>
      <c r="I57" s="517"/>
      <c r="J57" s="517">
        <v>2184.12</v>
      </c>
      <c r="K57" s="517"/>
      <c r="L57" s="517">
        <v>242.68</v>
      </c>
      <c r="M57" s="517"/>
      <c r="N57" s="517">
        <v>485.36</v>
      </c>
      <c r="O57" s="517"/>
      <c r="P57" s="518">
        <f>SUM(compras_mes9[[#This Row],[NETO GRAVADO]:[Otros / No Grav.]])</f>
        <v>11001.5</v>
      </c>
      <c r="Q57" s="519" t="str">
        <f>IFERROR(IF(compras_mes9[[#This Row],[CUIT]]="","-",VLOOKUP(compras_mes9[[#This Row],[CUIT]],Lista_CUIT[#All],3,0)),"CUIT NO CARGADO")</f>
        <v>Servicios Gas, Luz, etc.</v>
      </c>
      <c r="R57" s="519">
        <f>IFERROR(IF(compras_mes9[[#This Row],[CUIT]]="","-",VLOOKUP(compras_mes9[[#This Row],[CUIT]],Lista_CUIT[#All],4,0)),"CUIT NO CARGADO")</f>
        <v>0</v>
      </c>
    </row>
    <row r="58" spans="2:18" x14ac:dyDescent="0.3">
      <c r="B58" s="456">
        <v>45179</v>
      </c>
      <c r="C58" s="457">
        <v>1</v>
      </c>
      <c r="D58" s="458">
        <v>8010</v>
      </c>
      <c r="E58" s="506">
        <v>28543</v>
      </c>
      <c r="F58" s="459">
        <v>30678774495</v>
      </c>
      <c r="G58" s="460" t="str">
        <f>IFERROR(IF(compras_mes9[[#This Row],[CUIT]]="","-",VLOOKUP(compras_mes9[[#This Row],[CUIT]],Lista_CUIT[#All],2,0)),"CUIT NO CARGADO")</f>
        <v>OPER. DE EST. DE SERV. SA</v>
      </c>
      <c r="H58" s="46">
        <v>14421.58</v>
      </c>
      <c r="I58" s="85">
        <f>IF(compras_mes9[[#This Row],[NETO GRAVADO]]="","",compras_mes9[[#This Row],[NETO GRAVADO]]*0.21)</f>
        <v>3028.5317999999997</v>
      </c>
      <c r="J58" s="462"/>
      <c r="K58" s="462"/>
      <c r="L58" s="462"/>
      <c r="M58" s="462"/>
      <c r="N58" s="462"/>
      <c r="O58" s="462">
        <v>1751.18</v>
      </c>
      <c r="P58" s="463">
        <f>SUM(compras_mes9[[#This Row],[NETO GRAVADO]:[Otros / No Grav.]])</f>
        <v>19201.291799999999</v>
      </c>
      <c r="Q58" s="464" t="str">
        <f>IFERROR(IF(compras_mes9[[#This Row],[CUIT]]="","-",VLOOKUP(compras_mes9[[#This Row],[CUIT]],Lista_CUIT[#All],3,0)),"CUIT NO CARGADO")</f>
        <v>Combustibe</v>
      </c>
      <c r="R58" s="464">
        <f>IFERROR(IF(compras_mes9[[#This Row],[CUIT]]="","-",VLOOKUP(compras_mes9[[#This Row],[CUIT]],Lista_CUIT[#All],4,0)),"CUIT NO CARGADO")</f>
        <v>0</v>
      </c>
    </row>
    <row r="59" spans="2:18" x14ac:dyDescent="0.3">
      <c r="B59" s="509">
        <v>45179</v>
      </c>
      <c r="C59" s="511">
        <v>1</v>
      </c>
      <c r="D59" s="512">
        <v>6</v>
      </c>
      <c r="E59" s="513">
        <v>14718332</v>
      </c>
      <c r="F59" s="514">
        <v>30620177497</v>
      </c>
      <c r="G59" s="515" t="str">
        <f>IFERROR(IF(compras_mes9[[#This Row],[CUIT]]="","-",VLOOKUP(compras_mes9[[#This Row],[CUIT]],Lista_CUIT[#All],2,0)),"CUIT NO CARGADO")</f>
        <v>POSNET SRL</v>
      </c>
      <c r="H59" s="516">
        <v>6919.74</v>
      </c>
      <c r="I59" s="517">
        <f>IF(compras_mes9[[#This Row],[NETO GRAVADO]]="","",compras_mes9[[#This Row],[NETO GRAVADO]]*0.21)</f>
        <v>1453.1453999999999</v>
      </c>
      <c r="J59" s="517"/>
      <c r="K59" s="517"/>
      <c r="L59" s="517"/>
      <c r="M59" s="517"/>
      <c r="N59" s="517">
        <v>622.77</v>
      </c>
      <c r="O59" s="517"/>
      <c r="P59" s="518">
        <f>SUM(compras_mes9[[#This Row],[NETO GRAVADO]:[Otros / No Grav.]])</f>
        <v>8995.6553999999996</v>
      </c>
      <c r="Q59" s="519" t="str">
        <f>IFERROR(IF(compras_mes9[[#This Row],[CUIT]]="","-",VLOOKUP(compras_mes9[[#This Row],[CUIT]],Lista_CUIT[#All],3,0)),"CUIT NO CARGADO")</f>
        <v>Servicios Gas, Luz, etc.</v>
      </c>
      <c r="R59" s="519">
        <f>IFERROR(IF(compras_mes9[[#This Row],[CUIT]]="","-",VLOOKUP(compras_mes9[[#This Row],[CUIT]],Lista_CUIT[#All],4,0)),"CUIT NO CARGADO")</f>
        <v>0</v>
      </c>
    </row>
    <row r="60" spans="2:18" x14ac:dyDescent="0.3">
      <c r="B60" s="509">
        <v>45179</v>
      </c>
      <c r="C60" s="511">
        <v>1</v>
      </c>
      <c r="D60" s="512">
        <v>6</v>
      </c>
      <c r="E60" s="513">
        <v>14726126</v>
      </c>
      <c r="F60" s="514">
        <v>30620177497</v>
      </c>
      <c r="G60" s="515" t="str">
        <f>IFERROR(IF(compras_mes9[[#This Row],[CUIT]]="","-",VLOOKUP(compras_mes9[[#This Row],[CUIT]],Lista_CUIT[#All],2,0)),"CUIT NO CARGADO")</f>
        <v>POSNET SRL</v>
      </c>
      <c r="H60" s="516">
        <v>6919.74</v>
      </c>
      <c r="I60" s="517">
        <f>IF(compras_mes9[[#This Row],[NETO GRAVADO]]="","",compras_mes9[[#This Row],[NETO GRAVADO]]*0.21)</f>
        <v>1453.1453999999999</v>
      </c>
      <c r="J60" s="517"/>
      <c r="K60" s="517"/>
      <c r="L60" s="517"/>
      <c r="M60" s="517"/>
      <c r="N60" s="517">
        <v>622.77</v>
      </c>
      <c r="O60" s="517"/>
      <c r="P60" s="518">
        <f>SUM(compras_mes9[[#This Row],[NETO GRAVADO]:[Otros / No Grav.]])</f>
        <v>8995.6553999999996</v>
      </c>
      <c r="Q60" s="519" t="str">
        <f>IFERROR(IF(compras_mes9[[#This Row],[CUIT]]="","-",VLOOKUP(compras_mes9[[#This Row],[CUIT]],Lista_CUIT[#All],3,0)),"CUIT NO CARGADO")</f>
        <v>Servicios Gas, Luz, etc.</v>
      </c>
      <c r="R60" s="519">
        <f>IFERROR(IF(compras_mes9[[#This Row],[CUIT]]="","-",VLOOKUP(compras_mes9[[#This Row],[CUIT]],Lista_CUIT[#All],4,0)),"CUIT NO CARGADO")</f>
        <v>0</v>
      </c>
    </row>
    <row r="61" spans="2:18" x14ac:dyDescent="0.3">
      <c r="B61" s="509">
        <v>45179</v>
      </c>
      <c r="C61" s="511">
        <v>1</v>
      </c>
      <c r="D61" s="512">
        <v>6</v>
      </c>
      <c r="E61" s="513">
        <v>14726362</v>
      </c>
      <c r="F61" s="514">
        <v>30620177497</v>
      </c>
      <c r="G61" s="515" t="str">
        <f>IFERROR(IF(compras_mes9[[#This Row],[CUIT]]="","-",VLOOKUP(compras_mes9[[#This Row],[CUIT]],Lista_CUIT[#All],2,0)),"CUIT NO CARGADO")</f>
        <v>POSNET SRL</v>
      </c>
      <c r="H61" s="516">
        <v>6919.74</v>
      </c>
      <c r="I61" s="517">
        <f>IF(compras_mes9[[#This Row],[NETO GRAVADO]]="","",compras_mes9[[#This Row],[NETO GRAVADO]]*0.21)</f>
        <v>1453.1453999999999</v>
      </c>
      <c r="J61" s="517"/>
      <c r="K61" s="517"/>
      <c r="L61" s="517"/>
      <c r="M61" s="517"/>
      <c r="N61" s="517">
        <v>622.77</v>
      </c>
      <c r="O61" s="517"/>
      <c r="P61" s="518">
        <f>SUM(compras_mes9[[#This Row],[NETO GRAVADO]:[Otros / No Grav.]])</f>
        <v>8995.6553999999996</v>
      </c>
      <c r="Q61" s="519" t="str">
        <f>IFERROR(IF(compras_mes9[[#This Row],[CUIT]]="","-",VLOOKUP(compras_mes9[[#This Row],[CUIT]],Lista_CUIT[#All],3,0)),"CUIT NO CARGADO")</f>
        <v>Servicios Gas, Luz, etc.</v>
      </c>
      <c r="R61" s="519">
        <f>IFERROR(IF(compras_mes9[[#This Row],[CUIT]]="","-",VLOOKUP(compras_mes9[[#This Row],[CUIT]],Lista_CUIT[#All],4,0)),"CUIT NO CARGADO")</f>
        <v>0</v>
      </c>
    </row>
    <row r="62" spans="2:18" x14ac:dyDescent="0.3">
      <c r="B62" s="509">
        <v>45179</v>
      </c>
      <c r="C62" s="511">
        <v>1</v>
      </c>
      <c r="D62" s="512">
        <v>6</v>
      </c>
      <c r="E62" s="513">
        <v>14735117</v>
      </c>
      <c r="F62" s="514">
        <v>30620177497</v>
      </c>
      <c r="G62" s="515" t="str">
        <f>IFERROR(IF(compras_mes9[[#This Row],[CUIT]]="","-",VLOOKUP(compras_mes9[[#This Row],[CUIT]],Lista_CUIT[#All],2,0)),"CUIT NO CARGADO")</f>
        <v>POSNET SRL</v>
      </c>
      <c r="H62" s="516">
        <v>20759.22</v>
      </c>
      <c r="I62" s="517">
        <f>IF(compras_mes9[[#This Row],[NETO GRAVADO]]="","",compras_mes9[[#This Row],[NETO GRAVADO]]*0.21)</f>
        <v>4359.4362000000001</v>
      </c>
      <c r="J62" s="517"/>
      <c r="K62" s="517"/>
      <c r="L62" s="517"/>
      <c r="M62" s="517"/>
      <c r="N62" s="517">
        <v>1868.33</v>
      </c>
      <c r="O62" s="517"/>
      <c r="P62" s="518">
        <f>SUM(compras_mes9[[#This Row],[NETO GRAVADO]:[Otros / No Grav.]])</f>
        <v>26986.986199999999</v>
      </c>
      <c r="Q62" s="519" t="str">
        <f>IFERROR(IF(compras_mes9[[#This Row],[CUIT]]="","-",VLOOKUP(compras_mes9[[#This Row],[CUIT]],Lista_CUIT[#All],3,0)),"CUIT NO CARGADO")</f>
        <v>Servicios Gas, Luz, etc.</v>
      </c>
      <c r="R62" s="519">
        <f>IFERROR(IF(compras_mes9[[#This Row],[CUIT]]="","-",VLOOKUP(compras_mes9[[#This Row],[CUIT]],Lista_CUIT[#All],4,0)),"CUIT NO CARGADO")</f>
        <v>0</v>
      </c>
    </row>
    <row r="63" spans="2:18" x14ac:dyDescent="0.3">
      <c r="B63" s="40">
        <v>45179</v>
      </c>
      <c r="C63" s="41">
        <v>1</v>
      </c>
      <c r="D63" s="42">
        <v>6364</v>
      </c>
      <c r="E63" s="43">
        <v>7790279</v>
      </c>
      <c r="F63" s="44">
        <v>30639453738</v>
      </c>
      <c r="G63" s="45" t="str">
        <f>IFERROR(IF(compras_mes9[[#This Row],[CUIT]]="","-",VLOOKUP(compras_mes9[[#This Row],[CUIT]],Lista_CUIT[#All],2,0)),"CUIT NO CARGADO")</f>
        <v>TELECOM ARG SA</v>
      </c>
      <c r="H63" s="46">
        <v>70678.34</v>
      </c>
      <c r="I63" s="85">
        <v>14522.82</v>
      </c>
      <c r="J63" s="85">
        <v>410.96</v>
      </c>
      <c r="K63" s="85"/>
      <c r="L63" s="85"/>
      <c r="M63" s="85"/>
      <c r="N63" s="85">
        <v>3896.02</v>
      </c>
      <c r="O63" s="85">
        <v>2207.1799999999998</v>
      </c>
      <c r="P63" s="48">
        <f>SUM(compras_mes9[[#This Row],[NETO GRAVADO]:[Otros / No Grav.]])</f>
        <v>91715.32</v>
      </c>
      <c r="Q63" s="49" t="str">
        <f>IFERROR(IF(compras_mes9[[#This Row],[CUIT]]="","-",VLOOKUP(compras_mes9[[#This Row],[CUIT]],Lista_CUIT[#All],3,0)),"CUIT NO CARGADO")</f>
        <v>Servicios Gas, Luz, etc.</v>
      </c>
      <c r="R63" s="49">
        <f>IFERROR(IF(compras_mes9[[#This Row],[CUIT]]="","-",VLOOKUP(compras_mes9[[#This Row],[CUIT]],Lista_CUIT[#All],4,0)),"CUIT NO CARGADO")</f>
        <v>0</v>
      </c>
    </row>
    <row r="64" spans="2:18" x14ac:dyDescent="0.3">
      <c r="B64" s="456">
        <v>45180</v>
      </c>
      <c r="C64" s="457">
        <v>1</v>
      </c>
      <c r="D64" s="458">
        <v>13</v>
      </c>
      <c r="E64" s="506">
        <v>1081</v>
      </c>
      <c r="F64" s="459">
        <v>30686272032</v>
      </c>
      <c r="G64" s="460" t="str">
        <f>IFERROR(IF(compras_mes9[[#This Row],[CUIT]]="","-",VLOOKUP(compras_mes9[[#This Row],[CUIT]],Lista_CUIT[#All],2,0)),"CUIT NO CARGADO")</f>
        <v>FERRETERIA TANDIL SRL</v>
      </c>
      <c r="H64" s="95">
        <v>9917.36</v>
      </c>
      <c r="I64" s="86">
        <f>IF(compras_mes9[[#This Row],[NETO GRAVADO]]="","",compras_mes9[[#This Row],[NETO GRAVADO]]*0.21)</f>
        <v>2082.6455999999998</v>
      </c>
      <c r="J64" s="462"/>
      <c r="K64" s="462"/>
      <c r="L64" s="462"/>
      <c r="M64" s="462"/>
      <c r="N64" s="462"/>
      <c r="O64" s="462"/>
      <c r="P64" s="463">
        <f>SUM(compras_mes9[[#This Row],[NETO GRAVADO]:[Otros / No Grav.]])</f>
        <v>12000.0056</v>
      </c>
      <c r="Q64" s="464">
        <f>IFERROR(IF(compras_mes9[[#This Row],[CUIT]]="","-",VLOOKUP(compras_mes9[[#This Row],[CUIT]],Lista_CUIT[#All],3,0)),"CUIT NO CARGADO")</f>
        <v>0</v>
      </c>
      <c r="R64" s="464">
        <f>IFERROR(IF(compras_mes9[[#This Row],[CUIT]]="","-",VLOOKUP(compras_mes9[[#This Row],[CUIT]],Lista_CUIT[#All],4,0)),"CUIT NO CARGADO")</f>
        <v>0</v>
      </c>
    </row>
    <row r="65" spans="2:18" x14ac:dyDescent="0.3">
      <c r="B65" s="456">
        <v>45180</v>
      </c>
      <c r="C65" s="457">
        <v>1</v>
      </c>
      <c r="D65" s="458">
        <v>3</v>
      </c>
      <c r="E65" s="506">
        <v>6612</v>
      </c>
      <c r="F65" s="459">
        <v>30708006420</v>
      </c>
      <c r="G65" s="460" t="str">
        <f>IFERROR(IF(compras_mes9[[#This Row],[CUIT]]="","-",VLOOKUP(compras_mes9[[#This Row],[CUIT]],Lista_CUIT[#All],2,0)),"CUIT NO CARGADO")</f>
        <v>MEDILEA S.A.</v>
      </c>
      <c r="H65" s="95">
        <v>472500</v>
      </c>
      <c r="I65" s="86">
        <f>IF(compras_mes9[[#This Row],[NETO GRAVADO]]="","",compras_mes9[[#This Row],[NETO GRAVADO]]*0.21)</f>
        <v>99225</v>
      </c>
      <c r="J65" s="85"/>
      <c r="K65" s="85"/>
      <c r="L65" s="85"/>
      <c r="M65" s="85"/>
      <c r="N65" s="85"/>
      <c r="O65" s="85"/>
      <c r="P65" s="48">
        <f>SUM(compras_mes9[[#This Row],[NETO GRAVADO]:[Otros / No Grav.]])</f>
        <v>571725</v>
      </c>
      <c r="Q65" s="464">
        <f>IFERROR(IF(compras_mes9[[#This Row],[CUIT]]="","-",VLOOKUP(compras_mes9[[#This Row],[CUIT]],Lista_CUIT[#All],3,0)),"CUIT NO CARGADO")</f>
        <v>0</v>
      </c>
      <c r="R65" s="464">
        <f>IFERROR(IF(compras_mes9[[#This Row],[CUIT]]="","-",VLOOKUP(compras_mes9[[#This Row],[CUIT]],Lista_CUIT[#All],4,0)),"CUIT NO CARGADO")</f>
        <v>0</v>
      </c>
    </row>
    <row r="66" spans="2:18" ht="15" customHeight="1" x14ac:dyDescent="0.3">
      <c r="B66" s="456">
        <v>45181</v>
      </c>
      <c r="C66" s="457">
        <v>1</v>
      </c>
      <c r="D66" s="458">
        <v>1</v>
      </c>
      <c r="E66" s="506">
        <v>4</v>
      </c>
      <c r="F66" s="459">
        <v>30718148207</v>
      </c>
      <c r="G66" s="460" t="str">
        <f>IFERROR(IF(compras_mes9[[#This Row],[CUIT]]="","-",VLOOKUP(compras_mes9[[#This Row],[CUIT]],Lista_CUIT[#All],2,0)),"CUIT NO CARGADO")</f>
        <v>VIPA INTERNATIONAL S.R.L.</v>
      </c>
      <c r="H66" s="95">
        <v>400000</v>
      </c>
      <c r="I66" s="86">
        <f>IF(compras_mes9[[#This Row],[NETO GRAVADO]]="","",compras_mes9[[#This Row],[NETO GRAVADO]]*0.21)</f>
        <v>84000</v>
      </c>
      <c r="J66" s="85"/>
      <c r="K66" s="85"/>
      <c r="L66" s="85"/>
      <c r="M66" s="85"/>
      <c r="N66" s="85"/>
      <c r="O66" s="85"/>
      <c r="P66" s="48">
        <f>SUM(compras_mes9[[#This Row],[NETO GRAVADO]:[Otros / No Grav.]])</f>
        <v>484000</v>
      </c>
      <c r="Q66" s="464">
        <f>IFERROR(IF(compras_mes9[[#This Row],[CUIT]]="","-",VLOOKUP(compras_mes9[[#This Row],[CUIT]],Lista_CUIT[#All],3,0)),"CUIT NO CARGADO")</f>
        <v>0</v>
      </c>
      <c r="R66" s="464">
        <f>IFERROR(IF(compras_mes9[[#This Row],[CUIT]]="","-",VLOOKUP(compras_mes9[[#This Row],[CUIT]],Lista_CUIT[#All],4,0)),"CUIT NO CARGADO")</f>
        <v>0</v>
      </c>
    </row>
    <row r="67" spans="2:18" ht="15" customHeight="1" x14ac:dyDescent="0.3">
      <c r="B67" s="456">
        <v>45181</v>
      </c>
      <c r="C67" s="457">
        <v>1</v>
      </c>
      <c r="D67" s="458">
        <v>2</v>
      </c>
      <c r="E67" s="506">
        <v>3444</v>
      </c>
      <c r="F67" s="459">
        <v>30629863571</v>
      </c>
      <c r="G67" s="460" t="str">
        <f>IFERROR(IF(compras_mes9[[#This Row],[CUIT]]="","-",VLOOKUP(compras_mes9[[#This Row],[CUIT]],Lista_CUIT[#All],2,0)),"CUIT NO CARGADO")</f>
        <v>TECNIMAR S R L</v>
      </c>
      <c r="H67" s="95">
        <v>680904</v>
      </c>
      <c r="I67" s="86">
        <f>IF(compras_mes9[[#This Row],[NETO GRAVADO]]="","",compras_mes9[[#This Row],[NETO GRAVADO]]*0.21)</f>
        <v>142989.84</v>
      </c>
      <c r="J67" s="85"/>
      <c r="K67" s="85"/>
      <c r="L67" s="85"/>
      <c r="M67" s="85"/>
      <c r="N67" s="85"/>
      <c r="O67" s="85"/>
      <c r="P67" s="48">
        <f>SUM(compras_mes9[[#This Row],[NETO GRAVADO]:[Otros / No Grav.]])</f>
        <v>823893.84</v>
      </c>
      <c r="Q67" s="464" t="str">
        <f>IFERROR(IF(compras_mes9[[#This Row],[CUIT]]="","-",VLOOKUP(compras_mes9[[#This Row],[CUIT]],Lista_CUIT[#All],3,0)),"CUIT NO CARGADO")</f>
        <v>LABORATORIO</v>
      </c>
      <c r="R67" s="464">
        <f>IFERROR(IF(compras_mes9[[#This Row],[CUIT]]="","-",VLOOKUP(compras_mes9[[#This Row],[CUIT]],Lista_CUIT[#All],4,0)),"CUIT NO CARGADO")</f>
        <v>0</v>
      </c>
    </row>
    <row r="68" spans="2:18" ht="15" customHeight="1" x14ac:dyDescent="0.3">
      <c r="B68" s="456">
        <v>45181</v>
      </c>
      <c r="C68" s="457">
        <v>1</v>
      </c>
      <c r="D68" s="458">
        <v>2</v>
      </c>
      <c r="E68" s="506">
        <v>6414</v>
      </c>
      <c r="F68" s="459">
        <v>23180288899</v>
      </c>
      <c r="G68" s="460" t="str">
        <f>IFERROR(IF(compras_mes9[[#This Row],[CUIT]]="","-",VLOOKUP(compras_mes9[[#This Row],[CUIT]],Lista_CUIT[#All],2,0)),"CUIT NO CARGADO")</f>
        <v>ROMERO EMILIO</v>
      </c>
      <c r="H68" s="95">
        <v>405000</v>
      </c>
      <c r="I68" s="86">
        <f>IF(compras_mes9[[#This Row],[NETO GRAVADO]]="","",compras_mes9[[#This Row],[NETO GRAVADO]]*0.21)</f>
        <v>85050</v>
      </c>
      <c r="J68" s="85"/>
      <c r="K68" s="85"/>
      <c r="L68" s="85">
        <v>12150</v>
      </c>
      <c r="M68" s="85"/>
      <c r="N68" s="85"/>
      <c r="O68" s="85"/>
      <c r="P68" s="48">
        <f>SUM(compras_mes9[[#This Row],[NETO GRAVADO]:[Otros / No Grav.]])</f>
        <v>502200</v>
      </c>
      <c r="Q68" s="464">
        <f>IFERROR(IF(compras_mes9[[#This Row],[CUIT]]="","-",VLOOKUP(compras_mes9[[#This Row],[CUIT]],Lista_CUIT[#All],3,0)),"CUIT NO CARGADO")</f>
        <v>0</v>
      </c>
      <c r="R68" s="464">
        <f>IFERROR(IF(compras_mes9[[#This Row],[CUIT]]="","-",VLOOKUP(compras_mes9[[#This Row],[CUIT]],Lista_CUIT[#All],4,0)),"CUIT NO CARGADO")</f>
        <v>0</v>
      </c>
    </row>
    <row r="69" spans="2:18" ht="15" customHeight="1" x14ac:dyDescent="0.3">
      <c r="B69" s="456">
        <v>45182</v>
      </c>
      <c r="C69" s="457">
        <v>1</v>
      </c>
      <c r="D69" s="458">
        <v>1</v>
      </c>
      <c r="E69" s="506">
        <v>5</v>
      </c>
      <c r="F69" s="459">
        <v>30718148207</v>
      </c>
      <c r="G69" s="460" t="str">
        <f>IFERROR(IF(compras_mes9[[#This Row],[CUIT]]="","-",VLOOKUP(compras_mes9[[#This Row],[CUIT]],Lista_CUIT[#All],2,0)),"CUIT NO CARGADO")</f>
        <v>VIPA INTERNATIONAL S.R.L.</v>
      </c>
      <c r="H69" s="95">
        <v>800000</v>
      </c>
      <c r="I69" s="86">
        <f>IF(compras_mes9[[#This Row],[NETO GRAVADO]]="","",compras_mes9[[#This Row],[NETO GRAVADO]]*0.21)</f>
        <v>168000</v>
      </c>
      <c r="J69" s="85"/>
      <c r="K69" s="85"/>
      <c r="L69" s="85"/>
      <c r="M69" s="85"/>
      <c r="N69" s="85"/>
      <c r="O69" s="85"/>
      <c r="P69" s="48">
        <f>SUM(compras_mes9[[#This Row],[NETO GRAVADO]:[Otros / No Grav.]])</f>
        <v>968000</v>
      </c>
      <c r="Q69" s="464">
        <f>IFERROR(IF(compras_mes9[[#This Row],[CUIT]]="","-",VLOOKUP(compras_mes9[[#This Row],[CUIT]],Lista_CUIT[#All],3,0)),"CUIT NO CARGADO")</f>
        <v>0</v>
      </c>
      <c r="R69" s="464">
        <f>IFERROR(IF(compras_mes9[[#This Row],[CUIT]]="","-",VLOOKUP(compras_mes9[[#This Row],[CUIT]],Lista_CUIT[#All],4,0)),"CUIT NO CARGADO")</f>
        <v>0</v>
      </c>
    </row>
    <row r="70" spans="2:18" ht="15" customHeight="1" x14ac:dyDescent="0.3">
      <c r="B70" s="456">
        <v>45182</v>
      </c>
      <c r="C70" s="457">
        <v>1</v>
      </c>
      <c r="D70" s="458">
        <v>6</v>
      </c>
      <c r="E70" s="506">
        <v>17</v>
      </c>
      <c r="F70" s="459">
        <v>20352164616</v>
      </c>
      <c r="G70" s="460" t="str">
        <f>IFERROR(IF(compras_mes9[[#This Row],[CUIT]]="","-",VLOOKUP(compras_mes9[[#This Row],[CUIT]],Lista_CUIT[#All],2,0)),"CUIT NO CARGADO")</f>
        <v>ZINOVEEV SDRAVCOV MAURO MAXIMI</v>
      </c>
      <c r="H70" s="95">
        <v>19982.150000000001</v>
      </c>
      <c r="I70" s="86">
        <f>IF(compras_mes9[[#This Row],[NETO GRAVADO]]="","",compras_mes9[[#This Row],[NETO GRAVADO]]*0.21)</f>
        <v>4196.2515000000003</v>
      </c>
      <c r="J70" s="85"/>
      <c r="K70" s="85"/>
      <c r="L70" s="85"/>
      <c r="M70" s="85"/>
      <c r="N70" s="85"/>
      <c r="O70" s="85"/>
      <c r="P70" s="48">
        <f>SUM(compras_mes9[[#This Row],[NETO GRAVADO]:[Otros / No Grav.]])</f>
        <v>24178.4015</v>
      </c>
      <c r="Q70" s="464">
        <f>IFERROR(IF(compras_mes9[[#This Row],[CUIT]]="","-",VLOOKUP(compras_mes9[[#This Row],[CUIT]],Lista_CUIT[#All],3,0)),"CUIT NO CARGADO")</f>
        <v>0</v>
      </c>
      <c r="R70" s="464">
        <f>IFERROR(IF(compras_mes9[[#This Row],[CUIT]]="","-",VLOOKUP(compras_mes9[[#This Row],[CUIT]],Lista_CUIT[#All],4,0)),"CUIT NO CARGADO")</f>
        <v>0</v>
      </c>
    </row>
    <row r="71" spans="2:18" ht="15" customHeight="1" x14ac:dyDescent="0.3">
      <c r="B71" s="456">
        <v>45182</v>
      </c>
      <c r="C71" s="457">
        <v>1</v>
      </c>
      <c r="D71" s="458">
        <v>17</v>
      </c>
      <c r="E71" s="506">
        <v>15556</v>
      </c>
      <c r="F71" s="459">
        <v>33700851279</v>
      </c>
      <c r="G71" s="460" t="str">
        <f>IFERROR(IF(compras_mes9[[#This Row],[CUIT]]="","-",VLOOKUP(compras_mes9[[#This Row],[CUIT]],Lista_CUIT[#All],2,0)),"CUIT NO CARGADO")</f>
        <v>DEVOTO STATION SA</v>
      </c>
      <c r="H71" s="46">
        <v>1148.0999999999999</v>
      </c>
      <c r="I71" s="85">
        <f>IF(compras_mes9[[#This Row],[NETO GRAVADO]]="","",compras_mes9[[#This Row],[NETO GRAVADO]]*0.21)</f>
        <v>241.10099999999997</v>
      </c>
      <c r="J71" s="462"/>
      <c r="K71" s="462"/>
      <c r="L71" s="462"/>
      <c r="M71" s="462"/>
      <c r="N71" s="462">
        <v>75.53</v>
      </c>
      <c r="O71" s="462">
        <v>110.8</v>
      </c>
      <c r="P71" s="463">
        <f>SUM(compras_mes9[[#This Row],[NETO GRAVADO]:[Otros / No Grav.]])</f>
        <v>1575.5309999999997</v>
      </c>
      <c r="Q71" s="464">
        <f>IFERROR(IF(compras_mes9[[#This Row],[CUIT]]="","-",VLOOKUP(compras_mes9[[#This Row],[CUIT]],Lista_CUIT[#All],3,0)),"CUIT NO CARGADO")</f>
        <v>0</v>
      </c>
      <c r="R71" s="464">
        <f>IFERROR(IF(compras_mes9[[#This Row],[CUIT]]="","-",VLOOKUP(compras_mes9[[#This Row],[CUIT]],Lista_CUIT[#All],4,0)),"CUIT NO CARGADO")</f>
        <v>0</v>
      </c>
    </row>
    <row r="72" spans="2:18" ht="15" customHeight="1" x14ac:dyDescent="0.3">
      <c r="B72" s="456">
        <v>45182</v>
      </c>
      <c r="C72" s="457">
        <v>1</v>
      </c>
      <c r="D72" s="458">
        <v>23</v>
      </c>
      <c r="E72" s="506">
        <v>19232</v>
      </c>
      <c r="F72" s="459">
        <v>30515800219</v>
      </c>
      <c r="G72" s="460" t="str">
        <f>IFERROR(IF(compras_mes9[[#This Row],[CUIT]]="","-",VLOOKUP(compras_mes9[[#This Row],[CUIT]],Lista_CUIT[#All],2,0)),"CUIT NO CARGADO")</f>
        <v>INCAT SRL</v>
      </c>
      <c r="H72" s="95">
        <v>7266.89</v>
      </c>
      <c r="I72" s="86">
        <f>IF(compras_mes9[[#This Row],[NETO GRAVADO]]="","",compras_mes9[[#This Row],[NETO GRAVADO]]*0.21)</f>
        <v>1526.0469000000001</v>
      </c>
      <c r="J72" s="462"/>
      <c r="K72" s="462"/>
      <c r="L72" s="462"/>
      <c r="M72" s="462"/>
      <c r="N72" s="462"/>
      <c r="O72" s="462">
        <v>1027.8800000000001</v>
      </c>
      <c r="P72" s="463">
        <f>SUM(compras_mes9[[#This Row],[NETO GRAVADO]:[Otros / No Grav.]])</f>
        <v>9820.8169000000016</v>
      </c>
      <c r="Q72" s="464" t="str">
        <f>IFERROR(IF(compras_mes9[[#This Row],[CUIT]]="","-",VLOOKUP(compras_mes9[[#This Row],[CUIT]],Lista_CUIT[#All],3,0)),"CUIT NO CARGADO")</f>
        <v>Combustibe</v>
      </c>
      <c r="R72" s="464" t="str">
        <f>IFERROR(IF(compras_mes9[[#This Row],[CUIT]]="","-",VLOOKUP(compras_mes9[[#This Row],[CUIT]],Lista_CUIT[#All],4,0)),"CUIT NO CARGADO")</f>
        <v>CABA</v>
      </c>
    </row>
    <row r="73" spans="2:18" ht="15" customHeight="1" x14ac:dyDescent="0.3">
      <c r="B73" s="456">
        <v>45182</v>
      </c>
      <c r="C73" s="457">
        <v>1</v>
      </c>
      <c r="D73" s="458">
        <v>2188</v>
      </c>
      <c r="E73" s="506">
        <v>99172</v>
      </c>
      <c r="F73" s="459">
        <v>30548083156</v>
      </c>
      <c r="G73" s="460" t="str">
        <f>IFERROR(IF(compras_mes9[[#This Row],[CUIT]]="","-",VLOOKUP(compras_mes9[[#This Row],[CUIT]],Lista_CUIT[#All],2,0)),"CUIT NO CARGADO")</f>
        <v>COTO CENTRO INTEGRAL DE COMERCIALIZACION SOCIEDAD ANONIMA</v>
      </c>
      <c r="H73" s="46">
        <v>19184.96</v>
      </c>
      <c r="I73" s="85">
        <v>2974.54</v>
      </c>
      <c r="J73" s="462"/>
      <c r="K73" s="462">
        <v>474.52</v>
      </c>
      <c r="L73" s="462">
        <v>444.63</v>
      </c>
      <c r="M73" s="462"/>
      <c r="N73" s="462">
        <v>1076.08</v>
      </c>
      <c r="O73" s="462"/>
      <c r="P73" s="463">
        <f>SUM(compras_mes9[[#This Row],[NETO GRAVADO]:[Otros / No Grav.]])</f>
        <v>24154.730000000003</v>
      </c>
      <c r="Q73" s="464" t="str">
        <f>IFERROR(IF(compras_mes9[[#This Row],[CUIT]]="","-",VLOOKUP(compras_mes9[[#This Row],[CUIT]],Lista_CUIT[#All],3,0)),"CUIT NO CARGADO")</f>
        <v>GASTOS COMERCIALES</v>
      </c>
      <c r="R73" s="464">
        <f>IFERROR(IF(compras_mes9[[#This Row],[CUIT]]="","-",VLOOKUP(compras_mes9[[#This Row],[CUIT]],Lista_CUIT[#All],4,0)),"CUIT NO CARGADO")</f>
        <v>0</v>
      </c>
    </row>
    <row r="74" spans="2:18" ht="15" customHeight="1" x14ac:dyDescent="0.3">
      <c r="B74" s="509">
        <v>45183</v>
      </c>
      <c r="C74" s="511">
        <v>1</v>
      </c>
      <c r="D74" s="512">
        <v>3</v>
      </c>
      <c r="E74" s="513">
        <v>1033</v>
      </c>
      <c r="F74" s="514">
        <v>30715168673</v>
      </c>
      <c r="G74" s="515" t="str">
        <f>IFERROR(IF(compras_mes9[[#This Row],[CUIT]]="","-",VLOOKUP(compras_mes9[[#This Row],[CUIT]],Lista_CUIT[#All],2,0)),"CUIT NO CARGADO")</f>
        <v>BL8 SOLUCIONES</v>
      </c>
      <c r="H74" s="516">
        <v>23711.33</v>
      </c>
      <c r="I74" s="517">
        <f>IF(compras_mes9[[#This Row],[NETO GRAVADO]]="","",compras_mes9[[#This Row],[NETO GRAVADO]]*0.21)</f>
        <v>4979.3793000000005</v>
      </c>
      <c r="J74" s="517"/>
      <c r="K74" s="517"/>
      <c r="L74" s="517"/>
      <c r="M74" s="517"/>
      <c r="N74" s="517"/>
      <c r="O74" s="517"/>
      <c r="P74" s="518">
        <f>SUM(compras_mes9[[#This Row],[NETO GRAVADO]:[Otros / No Grav.]])</f>
        <v>28690.709300000002</v>
      </c>
      <c r="Q74" s="519">
        <f>IFERROR(IF(compras_mes9[[#This Row],[CUIT]]="","-",VLOOKUP(compras_mes9[[#This Row],[CUIT]],Lista_CUIT[#All],3,0)),"CUIT NO CARGADO")</f>
        <v>0</v>
      </c>
      <c r="R74" s="519">
        <f>IFERROR(IF(compras_mes9[[#This Row],[CUIT]]="","-",VLOOKUP(compras_mes9[[#This Row],[CUIT]],Lista_CUIT[#All],4,0)),"CUIT NO CARGADO")</f>
        <v>0</v>
      </c>
    </row>
    <row r="75" spans="2:18" ht="15" customHeight="1" x14ac:dyDescent="0.3">
      <c r="B75" s="456">
        <v>45183</v>
      </c>
      <c r="C75" s="457">
        <v>1</v>
      </c>
      <c r="D75" s="458">
        <v>2</v>
      </c>
      <c r="E75" s="506">
        <v>2456</v>
      </c>
      <c r="F75" s="459">
        <v>30715811622</v>
      </c>
      <c r="G75" s="460" t="str">
        <f>IFERROR(IF(compras_mes9[[#This Row],[CUIT]]="","-",VLOOKUP(compras_mes9[[#This Row],[CUIT]],Lista_CUIT[#All],2,0)),"CUIT NO CARGADO")</f>
        <v>VTEC SRL</v>
      </c>
      <c r="H75" s="95">
        <v>199173.55</v>
      </c>
      <c r="I75" s="86">
        <f>IF(compras_mes9[[#This Row],[NETO GRAVADO]]="","",compras_mes9[[#This Row],[NETO GRAVADO]]*0.21)</f>
        <v>41826.445499999994</v>
      </c>
      <c r="J75" s="85"/>
      <c r="K75" s="85"/>
      <c r="L75" s="85"/>
      <c r="M75" s="85"/>
      <c r="N75" s="85"/>
      <c r="O75" s="85"/>
      <c r="P75" s="48">
        <f>SUM(compras_mes9[[#This Row],[NETO GRAVADO]:[Otros / No Grav.]])</f>
        <v>240999.99549999999</v>
      </c>
      <c r="Q75" s="464">
        <f>IFERROR(IF(compras_mes9[[#This Row],[CUIT]]="","-",VLOOKUP(compras_mes9[[#This Row],[CUIT]],Lista_CUIT[#All],3,0)),"CUIT NO CARGADO")</f>
        <v>0</v>
      </c>
      <c r="R75" s="464">
        <f>IFERROR(IF(compras_mes9[[#This Row],[CUIT]]="","-",VLOOKUP(compras_mes9[[#This Row],[CUIT]],Lista_CUIT[#All],4,0)),"CUIT NO CARGADO")</f>
        <v>0</v>
      </c>
    </row>
    <row r="76" spans="2:18" ht="15" customHeight="1" x14ac:dyDescent="0.3">
      <c r="B76" s="456">
        <v>45183</v>
      </c>
      <c r="C76" s="457">
        <v>1</v>
      </c>
      <c r="D76" s="458">
        <v>2</v>
      </c>
      <c r="E76" s="506">
        <v>3445</v>
      </c>
      <c r="F76" s="459">
        <v>30629863571</v>
      </c>
      <c r="G76" s="460" t="str">
        <f>IFERROR(IF(compras_mes9[[#This Row],[CUIT]]="","-",VLOOKUP(compras_mes9[[#This Row],[CUIT]],Lista_CUIT[#All],2,0)),"CUIT NO CARGADO")</f>
        <v>TECNIMAR S R L</v>
      </c>
      <c r="H76" s="95">
        <v>1675911.9</v>
      </c>
      <c r="I76" s="86">
        <f>IF(compras_mes9[[#This Row],[NETO GRAVADO]]="","",compras_mes9[[#This Row],[NETO GRAVADO]]*0.21)</f>
        <v>351941.49899999995</v>
      </c>
      <c r="J76" s="85"/>
      <c r="K76" s="85"/>
      <c r="L76" s="85"/>
      <c r="M76" s="85"/>
      <c r="N76" s="85"/>
      <c r="O76" s="85"/>
      <c r="P76" s="48">
        <f>SUM(compras_mes9[[#This Row],[NETO GRAVADO]:[Otros / No Grav.]])</f>
        <v>2027853.3989999997</v>
      </c>
      <c r="Q76" s="464" t="str">
        <f>IFERROR(IF(compras_mes9[[#This Row],[CUIT]]="","-",VLOOKUP(compras_mes9[[#This Row],[CUIT]],Lista_CUIT[#All],3,0)),"CUIT NO CARGADO")</f>
        <v>LABORATORIO</v>
      </c>
      <c r="R76" s="464">
        <f>IFERROR(IF(compras_mes9[[#This Row],[CUIT]]="","-",VLOOKUP(compras_mes9[[#This Row],[CUIT]],Lista_CUIT[#All],4,0)),"CUIT NO CARGADO")</f>
        <v>0</v>
      </c>
    </row>
    <row r="77" spans="2:18" ht="15" customHeight="1" x14ac:dyDescent="0.3">
      <c r="B77" s="456">
        <v>45184</v>
      </c>
      <c r="C77" s="457">
        <v>1</v>
      </c>
      <c r="D77" s="458">
        <v>5</v>
      </c>
      <c r="E77" s="506">
        <v>18</v>
      </c>
      <c r="F77" s="459">
        <v>20141232178</v>
      </c>
      <c r="G77" s="460" t="str">
        <f>IFERROR(IF(compras_mes9[[#This Row],[CUIT]]="","-",VLOOKUP(compras_mes9[[#This Row],[CUIT]],Lista_CUIT[#All],2,0)),"CUIT NO CARGADO")</f>
        <v>CAPPI HECTOR FELIX</v>
      </c>
      <c r="H77" s="95">
        <v>28347.11</v>
      </c>
      <c r="I77" s="86">
        <f>IF(compras_mes9[[#This Row],[NETO GRAVADO]]="","",compras_mes9[[#This Row],[NETO GRAVADO]]*0.21)</f>
        <v>5952.8931000000002</v>
      </c>
      <c r="J77" s="462"/>
      <c r="K77" s="462"/>
      <c r="L77" s="462"/>
      <c r="M77" s="462"/>
      <c r="N77" s="462"/>
      <c r="O77" s="462"/>
      <c r="P77" s="463">
        <f>SUM(compras_mes9[[#This Row],[NETO GRAVADO]:[Otros / No Grav.]])</f>
        <v>34300.003100000002</v>
      </c>
      <c r="Q77" s="464">
        <f>IFERROR(IF(compras_mes9[[#This Row],[CUIT]]="","-",VLOOKUP(compras_mes9[[#This Row],[CUIT]],Lista_CUIT[#All],3,0)),"CUIT NO CARGADO")</f>
        <v>0</v>
      </c>
      <c r="R77" s="464">
        <f>IFERROR(IF(compras_mes9[[#This Row],[CUIT]]="","-",VLOOKUP(compras_mes9[[#This Row],[CUIT]],Lista_CUIT[#All],4,0)),"CUIT NO CARGADO")</f>
        <v>0</v>
      </c>
    </row>
    <row r="78" spans="2:18" ht="15" customHeight="1" x14ac:dyDescent="0.3">
      <c r="B78" s="456">
        <v>45184</v>
      </c>
      <c r="C78" s="457">
        <v>1</v>
      </c>
      <c r="D78" s="458">
        <v>7</v>
      </c>
      <c r="E78" s="506">
        <v>1792</v>
      </c>
      <c r="F78" s="459">
        <v>20134664518</v>
      </c>
      <c r="G78" s="460" t="str">
        <f>IFERROR(IF(compras_mes9[[#This Row],[CUIT]]="","-",VLOOKUP(compras_mes9[[#This Row],[CUIT]],Lista_CUIT[#All],2,0)),"CUIT NO CARGADO")</f>
        <v>HOKAMA SERGIO ENRIQUE</v>
      </c>
      <c r="H78" s="46">
        <v>9786.7900000000009</v>
      </c>
      <c r="I78" s="85">
        <f>IF(compras_mes9[[#This Row],[NETO GRAVADO]]="","",compras_mes9[[#This Row],[NETO GRAVADO]]*0.21)</f>
        <v>2055.2258999999999</v>
      </c>
      <c r="J78" s="462"/>
      <c r="K78" s="462"/>
      <c r="L78" s="462"/>
      <c r="M78" s="462"/>
      <c r="N78" s="462"/>
      <c r="O78" s="462"/>
      <c r="P78" s="463">
        <f>SUM(compras_mes9[[#This Row],[NETO GRAVADO]:[Otros / No Grav.]])</f>
        <v>11842.0159</v>
      </c>
      <c r="Q78" s="464" t="str">
        <f>IFERROR(IF(compras_mes9[[#This Row],[CUIT]]="","-",VLOOKUP(compras_mes9[[#This Row],[CUIT]],Lista_CUIT[#All],3,0)),"CUIT NO CARGADO")</f>
        <v>Gastos Varios</v>
      </c>
      <c r="R78" s="464" t="str">
        <f>IFERROR(IF(compras_mes9[[#This Row],[CUIT]]="","-",VLOOKUP(compras_mes9[[#This Row],[CUIT]],Lista_CUIT[#All],4,0)),"CUIT NO CARGADO")</f>
        <v>BUENOS AIRES</v>
      </c>
    </row>
    <row r="79" spans="2:18" ht="15" customHeight="1" x14ac:dyDescent="0.3">
      <c r="B79" s="456">
        <v>45184</v>
      </c>
      <c r="C79" s="457">
        <v>1</v>
      </c>
      <c r="D79" s="458">
        <v>2</v>
      </c>
      <c r="E79" s="506">
        <v>3447</v>
      </c>
      <c r="F79" s="459">
        <v>30629863571</v>
      </c>
      <c r="G79" s="460" t="str">
        <f>IFERROR(IF(compras_mes9[[#This Row],[CUIT]]="","-",VLOOKUP(compras_mes9[[#This Row],[CUIT]],Lista_CUIT[#All],2,0)),"CUIT NO CARGADO")</f>
        <v>TECNIMAR S R L</v>
      </c>
      <c r="H79" s="95">
        <v>870692.55</v>
      </c>
      <c r="I79" s="86">
        <f>IF(compras_mes9[[#This Row],[NETO GRAVADO]]="","",compras_mes9[[#This Row],[NETO GRAVADO]]*0.21)</f>
        <v>182845.43549999999</v>
      </c>
      <c r="J79" s="85"/>
      <c r="K79" s="85"/>
      <c r="L79" s="85"/>
      <c r="M79" s="85"/>
      <c r="N79" s="85"/>
      <c r="O79" s="85"/>
      <c r="P79" s="48">
        <f>SUM(compras_mes9[[#This Row],[NETO GRAVADO]:[Otros / No Grav.]])</f>
        <v>1053537.9855</v>
      </c>
      <c r="Q79" s="464" t="str">
        <f>IFERROR(IF(compras_mes9[[#This Row],[CUIT]]="","-",VLOOKUP(compras_mes9[[#This Row],[CUIT]],Lista_CUIT[#All],3,0)),"CUIT NO CARGADO")</f>
        <v>LABORATORIO</v>
      </c>
      <c r="R79" s="464">
        <f>IFERROR(IF(compras_mes9[[#This Row],[CUIT]]="","-",VLOOKUP(compras_mes9[[#This Row],[CUIT]],Lista_CUIT[#All],4,0)),"CUIT NO CARGADO")</f>
        <v>0</v>
      </c>
    </row>
    <row r="80" spans="2:18" ht="15" customHeight="1" x14ac:dyDescent="0.3">
      <c r="B80" s="456">
        <v>45184</v>
      </c>
      <c r="C80" s="457">
        <v>1</v>
      </c>
      <c r="D80" s="458">
        <v>5</v>
      </c>
      <c r="E80" s="506">
        <v>6136</v>
      </c>
      <c r="F80" s="459">
        <v>30714381551</v>
      </c>
      <c r="G80" s="460" t="str">
        <f>IFERROR(IF(compras_mes9[[#This Row],[CUIT]]="","-",VLOOKUP(compras_mes9[[#This Row],[CUIT]],Lista_CUIT[#All],2,0)),"CUIT NO CARGADO")</f>
        <v>ECOEXIST S.R.L.</v>
      </c>
      <c r="H80" s="95">
        <v>256500</v>
      </c>
      <c r="I80" s="86">
        <f>IF(compras_mes9[[#This Row],[NETO GRAVADO]]="","",compras_mes9[[#This Row],[NETO GRAVADO]]*0.21)</f>
        <v>53865</v>
      </c>
      <c r="J80" s="85"/>
      <c r="K80" s="85"/>
      <c r="L80" s="85"/>
      <c r="M80" s="85"/>
      <c r="N80" s="85"/>
      <c r="O80" s="85"/>
      <c r="P80" s="48">
        <f>SUM(compras_mes9[[#This Row],[NETO GRAVADO]:[Otros / No Grav.]])</f>
        <v>310365</v>
      </c>
      <c r="Q80" s="464">
        <f>IFERROR(IF(compras_mes9[[#This Row],[CUIT]]="","-",VLOOKUP(compras_mes9[[#This Row],[CUIT]],Lista_CUIT[#All],3,0)),"CUIT NO CARGADO")</f>
        <v>0</v>
      </c>
      <c r="R80" s="464">
        <f>IFERROR(IF(compras_mes9[[#This Row],[CUIT]]="","-",VLOOKUP(compras_mes9[[#This Row],[CUIT]],Lista_CUIT[#All],4,0)),"CUIT NO CARGADO")</f>
        <v>0</v>
      </c>
    </row>
    <row r="81" spans="2:18" ht="15" customHeight="1" x14ac:dyDescent="0.3">
      <c r="B81" s="456">
        <v>45184</v>
      </c>
      <c r="C81" s="457">
        <v>1</v>
      </c>
      <c r="D81" s="458">
        <v>6</v>
      </c>
      <c r="E81" s="506">
        <v>9093</v>
      </c>
      <c r="F81" s="459">
        <v>30707603123</v>
      </c>
      <c r="G81" s="460" t="str">
        <f>IFERROR(IF(compras_mes9[[#This Row],[CUIT]]="","-",VLOOKUP(compras_mes9[[#This Row],[CUIT]],Lista_CUIT[#All],2,0)),"CUIT NO CARGADO")</f>
        <v>BI-ORIENT S.A.</v>
      </c>
      <c r="H81" s="95">
        <v>617000</v>
      </c>
      <c r="I81" s="86">
        <f>IF(compras_mes9[[#This Row],[NETO GRAVADO]]="","",compras_mes9[[#This Row],[NETO GRAVADO]]*0.21)</f>
        <v>129570</v>
      </c>
      <c r="J81" s="85"/>
      <c r="K81" s="85"/>
      <c r="L81" s="85"/>
      <c r="M81" s="85"/>
      <c r="N81" s="85"/>
      <c r="O81" s="85"/>
      <c r="P81" s="48">
        <f>SUM(compras_mes9[[#This Row],[NETO GRAVADO]:[Otros / No Grav.]])</f>
        <v>746570</v>
      </c>
      <c r="Q81" s="464">
        <f>IFERROR(IF(compras_mes9[[#This Row],[CUIT]]="","-",VLOOKUP(compras_mes9[[#This Row],[CUIT]],Lista_CUIT[#All],3,0)),"CUIT NO CARGADO")</f>
        <v>0</v>
      </c>
      <c r="R81" s="464">
        <f>IFERROR(IF(compras_mes9[[#This Row],[CUIT]]="","-",VLOOKUP(compras_mes9[[#This Row],[CUIT]],Lista_CUIT[#All],4,0)),"CUIT NO CARGADO")</f>
        <v>0</v>
      </c>
    </row>
    <row r="82" spans="2:18" ht="15" customHeight="1" x14ac:dyDescent="0.3">
      <c r="B82" s="509">
        <v>45184</v>
      </c>
      <c r="C82" s="511">
        <v>1</v>
      </c>
      <c r="D82" s="512">
        <v>11</v>
      </c>
      <c r="E82" s="513">
        <v>33468</v>
      </c>
      <c r="F82" s="514">
        <v>30640804463</v>
      </c>
      <c r="G82" s="515" t="str">
        <f>IFERROR(IF(compras_mes9[[#This Row],[CUIT]]="","-",VLOOKUP(compras_mes9[[#This Row],[CUIT]],Lista_CUIT[#All],2,0)),"CUIT NO CARGADO")</f>
        <v>NALE SA</v>
      </c>
      <c r="H82" s="516">
        <v>38979.370000000003</v>
      </c>
      <c r="I82" s="517">
        <f>IF(compras_mes9[[#This Row],[NETO GRAVADO]]="","",compras_mes9[[#This Row],[NETO GRAVADO]]*0.21)</f>
        <v>8185.6677</v>
      </c>
      <c r="J82" s="517"/>
      <c r="K82" s="517"/>
      <c r="L82" s="517"/>
      <c r="M82" s="517"/>
      <c r="N82" s="517">
        <v>2338.7600000000002</v>
      </c>
      <c r="O82" s="517"/>
      <c r="P82" s="518">
        <f>SUM(compras_mes9[[#This Row],[NETO GRAVADO]:[Otros / No Grav.]])</f>
        <v>49503.797700000003</v>
      </c>
      <c r="Q82" s="519">
        <f>IFERROR(IF(compras_mes9[[#This Row],[CUIT]]="","-",VLOOKUP(compras_mes9[[#This Row],[CUIT]],Lista_CUIT[#All],3,0)),"CUIT NO CARGADO")</f>
        <v>0</v>
      </c>
      <c r="R82" s="519">
        <f>IFERROR(IF(compras_mes9[[#This Row],[CUIT]]="","-",VLOOKUP(compras_mes9[[#This Row],[CUIT]],Lista_CUIT[#All],4,0)),"CUIT NO CARGADO")</f>
        <v>0</v>
      </c>
    </row>
    <row r="83" spans="2:18" ht="15" customHeight="1" x14ac:dyDescent="0.3">
      <c r="B83" s="456">
        <v>45184</v>
      </c>
      <c r="C83" s="457">
        <v>1</v>
      </c>
      <c r="D83" s="458">
        <v>5</v>
      </c>
      <c r="E83" s="506">
        <v>49107</v>
      </c>
      <c r="F83" s="459">
        <v>30709932876</v>
      </c>
      <c r="G83" s="460" t="str">
        <f>IFERROR(IF(compras_mes9[[#This Row],[CUIT]]="","-",VLOOKUP(compras_mes9[[#This Row],[CUIT]],Lista_CUIT[#All],2,0)),"CUIT NO CARGADO")</f>
        <v>Mega Envases S.A.</v>
      </c>
      <c r="H83" s="95">
        <v>2413332</v>
      </c>
      <c r="I83" s="86">
        <f>IF(compras_mes9[[#This Row],[NETO GRAVADO]]="","",compras_mes9[[#This Row],[NETO GRAVADO]]*0.21)</f>
        <v>506799.72</v>
      </c>
      <c r="J83" s="85"/>
      <c r="K83" s="85"/>
      <c r="L83" s="85"/>
      <c r="M83" s="85"/>
      <c r="N83" s="85">
        <v>144799.92000000001</v>
      </c>
      <c r="O83" s="85"/>
      <c r="P83" s="48">
        <f>SUM(compras_mes9[[#This Row],[NETO GRAVADO]:[Otros / No Grav.]])</f>
        <v>3064931.6399999997</v>
      </c>
      <c r="Q83" s="464">
        <f>IFERROR(IF(compras_mes9[[#This Row],[CUIT]]="","-",VLOOKUP(compras_mes9[[#This Row],[CUIT]],Lista_CUIT[#All],3,0)),"CUIT NO CARGADO")</f>
        <v>0</v>
      </c>
      <c r="R83" s="464">
        <f>IFERROR(IF(compras_mes9[[#This Row],[CUIT]]="","-",VLOOKUP(compras_mes9[[#This Row],[CUIT]],Lista_CUIT[#All],4,0)),"CUIT NO CARGADO")</f>
        <v>0</v>
      </c>
    </row>
    <row r="84" spans="2:18" ht="15" customHeight="1" x14ac:dyDescent="0.3">
      <c r="B84" s="456">
        <v>45185</v>
      </c>
      <c r="C84" s="457">
        <v>1</v>
      </c>
      <c r="D84" s="458">
        <v>29</v>
      </c>
      <c r="E84" s="506">
        <v>2026</v>
      </c>
      <c r="F84" s="459">
        <v>30656753591</v>
      </c>
      <c r="G84" s="460" t="str">
        <f>IFERROR(IF(compras_mes9[[#This Row],[CUIT]]="","-",VLOOKUP(compras_mes9[[#This Row],[CUIT]],Lista_CUIT[#All],2,0)),"CUIT NO CARGADO")</f>
        <v>FRIGORIFICO COSTANZO SA</v>
      </c>
      <c r="H84" s="95">
        <v>38915.72</v>
      </c>
      <c r="I84" s="86">
        <v>1432.91</v>
      </c>
      <c r="J84" s="462"/>
      <c r="K84" s="462">
        <v>3369.7</v>
      </c>
      <c r="L84" s="462"/>
      <c r="M84" s="462"/>
      <c r="N84" s="462"/>
      <c r="O84" s="462"/>
      <c r="P84" s="463">
        <f>SUM(compras_mes9[[#This Row],[NETO GRAVADO]:[Otros / No Grav.]])</f>
        <v>43718.33</v>
      </c>
      <c r="Q84" s="464">
        <f>IFERROR(IF(compras_mes9[[#This Row],[CUIT]]="","-",VLOOKUP(compras_mes9[[#This Row],[CUIT]],Lista_CUIT[#All],3,0)),"CUIT NO CARGADO")</f>
        <v>0</v>
      </c>
      <c r="R84" s="464">
        <f>IFERROR(IF(compras_mes9[[#This Row],[CUIT]]="","-",VLOOKUP(compras_mes9[[#This Row],[CUIT]],Lista_CUIT[#All],4,0)),"CUIT NO CARGADO")</f>
        <v>0</v>
      </c>
    </row>
    <row r="85" spans="2:18" ht="15" customHeight="1" x14ac:dyDescent="0.3">
      <c r="B85" s="456">
        <v>45185</v>
      </c>
      <c r="C85" s="457">
        <v>1</v>
      </c>
      <c r="D85" s="458">
        <v>12</v>
      </c>
      <c r="E85" s="506">
        <v>33070</v>
      </c>
      <c r="F85" s="459">
        <v>30696131003</v>
      </c>
      <c r="G85" s="460" t="str">
        <f>IFERROR(IF(compras_mes9[[#This Row],[CUIT]]="","-",VLOOKUP(compras_mes9[[#This Row],[CUIT]],Lista_CUIT[#All],2,0)),"CUIT NO CARGADO")</f>
        <v>Petrolfe S.A.</v>
      </c>
      <c r="H85" s="46">
        <v>37871.699999999997</v>
      </c>
      <c r="I85" s="85">
        <f>IF(compras_mes9[[#This Row],[NETO GRAVADO]]="","",compras_mes9[[#This Row],[NETO GRAVADO]]*0.21)</f>
        <v>7953.0569999999989</v>
      </c>
      <c r="J85" s="462"/>
      <c r="K85" s="462"/>
      <c r="L85" s="462"/>
      <c r="M85" s="462"/>
      <c r="N85" s="462"/>
      <c r="O85" s="462">
        <v>4947.6899999999996</v>
      </c>
      <c r="P85" s="463">
        <f>SUM(compras_mes9[[#This Row],[NETO GRAVADO]:[Otros / No Grav.]])</f>
        <v>50772.447</v>
      </c>
      <c r="Q85" s="464" t="str">
        <f>IFERROR(IF(compras_mes9[[#This Row],[CUIT]]="","-",VLOOKUP(compras_mes9[[#This Row],[CUIT]],Lista_CUIT[#All],3,0)),"CUIT NO CARGADO")</f>
        <v>Combustible</v>
      </c>
      <c r="R85" s="464">
        <f>IFERROR(IF(compras_mes9[[#This Row],[CUIT]]="","-",VLOOKUP(compras_mes9[[#This Row],[CUIT]],Lista_CUIT[#All],4,0)),"CUIT NO CARGADO")</f>
        <v>0</v>
      </c>
    </row>
    <row r="86" spans="2:18" ht="15" customHeight="1" x14ac:dyDescent="0.3">
      <c r="B86" s="509">
        <v>45185</v>
      </c>
      <c r="C86" s="511">
        <v>1</v>
      </c>
      <c r="D86" s="512">
        <v>4264</v>
      </c>
      <c r="E86" s="513">
        <v>2582987</v>
      </c>
      <c r="F86" s="514">
        <v>30639453738</v>
      </c>
      <c r="G86" s="515" t="str">
        <f>IFERROR(IF(compras_mes9[[#This Row],[CUIT]]="","-",VLOOKUP(compras_mes9[[#This Row],[CUIT]],Lista_CUIT[#All],2,0)),"CUIT NO CARGADO")</f>
        <v>TELECOM ARG SA</v>
      </c>
      <c r="H86" s="516">
        <v>17850</v>
      </c>
      <c r="I86" s="517">
        <f>IF(compras_mes9[[#This Row],[NETO GRAVADO]]="","",compras_mes9[[#This Row],[NETO GRAVADO]]*0.21)</f>
        <v>3748.5</v>
      </c>
      <c r="J86" s="517"/>
      <c r="K86" s="517"/>
      <c r="L86" s="517"/>
      <c r="M86" s="517"/>
      <c r="N86" s="517">
        <v>1606.5</v>
      </c>
      <c r="O86" s="517"/>
      <c r="P86" s="518">
        <f>SUM(compras_mes9[[#This Row],[NETO GRAVADO]:[Otros / No Grav.]])</f>
        <v>23205</v>
      </c>
      <c r="Q86" s="519" t="str">
        <f>IFERROR(IF(compras_mes9[[#This Row],[CUIT]]="","-",VLOOKUP(compras_mes9[[#This Row],[CUIT]],Lista_CUIT[#All],3,0)),"CUIT NO CARGADO")</f>
        <v>Servicios Gas, Luz, etc.</v>
      </c>
      <c r="R86" s="519">
        <f>IFERROR(IF(compras_mes9[[#This Row],[CUIT]]="","-",VLOOKUP(compras_mes9[[#This Row],[CUIT]],Lista_CUIT[#All],4,0)),"CUIT NO CARGADO")</f>
        <v>0</v>
      </c>
    </row>
    <row r="87" spans="2:18" ht="15" customHeight="1" x14ac:dyDescent="0.3">
      <c r="B87" s="509">
        <v>45185</v>
      </c>
      <c r="C87" s="511">
        <v>1</v>
      </c>
      <c r="D87" s="512">
        <v>4264</v>
      </c>
      <c r="E87" s="513">
        <v>2586231</v>
      </c>
      <c r="F87" s="514">
        <v>30639453738</v>
      </c>
      <c r="G87" s="515" t="str">
        <f>IFERROR(IF(compras_mes9[[#This Row],[CUIT]]="","-",VLOOKUP(compras_mes9[[#This Row],[CUIT]],Lista_CUIT[#All],2,0)),"CUIT NO CARGADO")</f>
        <v>TELECOM ARG SA</v>
      </c>
      <c r="H87" s="516">
        <v>13300</v>
      </c>
      <c r="I87" s="517">
        <f>IF(compras_mes9[[#This Row],[NETO GRAVADO]]="","",compras_mes9[[#This Row],[NETO GRAVADO]]*0.21)</f>
        <v>2793</v>
      </c>
      <c r="J87" s="517"/>
      <c r="K87" s="517"/>
      <c r="L87" s="517"/>
      <c r="M87" s="517"/>
      <c r="N87" s="517">
        <v>399</v>
      </c>
      <c r="O87" s="517"/>
      <c r="P87" s="518">
        <f>SUM(compras_mes9[[#This Row],[NETO GRAVADO]:[Otros / No Grav.]])</f>
        <v>16492</v>
      </c>
      <c r="Q87" s="519" t="str">
        <f>IFERROR(IF(compras_mes9[[#This Row],[CUIT]]="","-",VLOOKUP(compras_mes9[[#This Row],[CUIT]],Lista_CUIT[#All],3,0)),"CUIT NO CARGADO")</f>
        <v>Servicios Gas, Luz, etc.</v>
      </c>
      <c r="R87" s="519">
        <f>IFERROR(IF(compras_mes9[[#This Row],[CUIT]]="","-",VLOOKUP(compras_mes9[[#This Row],[CUIT]],Lista_CUIT[#All],4,0)),"CUIT NO CARGADO")</f>
        <v>0</v>
      </c>
    </row>
    <row r="88" spans="2:18" ht="15" customHeight="1" x14ac:dyDescent="0.3">
      <c r="B88" s="509">
        <v>45185</v>
      </c>
      <c r="C88" s="511">
        <v>1</v>
      </c>
      <c r="D88" s="512">
        <v>4264</v>
      </c>
      <c r="E88" s="513">
        <v>2634163</v>
      </c>
      <c r="F88" s="514">
        <v>30639453738</v>
      </c>
      <c r="G88" s="515" t="str">
        <f>IFERROR(IF(compras_mes9[[#This Row],[CUIT]]="","-",VLOOKUP(compras_mes9[[#This Row],[CUIT]],Lista_CUIT[#All],2,0)),"CUIT NO CARGADO")</f>
        <v>TELECOM ARG SA</v>
      </c>
      <c r="H88" s="516">
        <v>28000</v>
      </c>
      <c r="I88" s="517">
        <f>IF(compras_mes9[[#This Row],[NETO GRAVADO]]="","",compras_mes9[[#This Row],[NETO GRAVADO]]*0.21)</f>
        <v>5880</v>
      </c>
      <c r="J88" s="517"/>
      <c r="K88" s="517"/>
      <c r="L88" s="517"/>
      <c r="M88" s="517"/>
      <c r="N88" s="517">
        <v>2520</v>
      </c>
      <c r="O88" s="517"/>
      <c r="P88" s="518">
        <f>SUM(compras_mes9[[#This Row],[NETO GRAVADO]:[Otros / No Grav.]])</f>
        <v>36400</v>
      </c>
      <c r="Q88" s="519" t="str">
        <f>IFERROR(IF(compras_mes9[[#This Row],[CUIT]]="","-",VLOOKUP(compras_mes9[[#This Row],[CUIT]],Lista_CUIT[#All],3,0)),"CUIT NO CARGADO")</f>
        <v>Servicios Gas, Luz, etc.</v>
      </c>
      <c r="R88" s="519">
        <f>IFERROR(IF(compras_mes9[[#This Row],[CUIT]]="","-",VLOOKUP(compras_mes9[[#This Row],[CUIT]],Lista_CUIT[#All],4,0)),"CUIT NO CARGADO")</f>
        <v>0</v>
      </c>
    </row>
    <row r="89" spans="2:18" ht="15" customHeight="1" x14ac:dyDescent="0.3">
      <c r="B89" s="456">
        <v>45186</v>
      </c>
      <c r="C89" s="457">
        <v>1</v>
      </c>
      <c r="D89" s="458">
        <v>12</v>
      </c>
      <c r="E89" s="506">
        <v>11070</v>
      </c>
      <c r="F89" s="459">
        <v>30714527300</v>
      </c>
      <c r="G89" s="460" t="str">
        <f>IFERROR(IF(compras_mes9[[#This Row],[CUIT]]="","-",VLOOKUP(compras_mes9[[#This Row],[CUIT]],Lista_CUIT[#All],2,0)),"CUIT NO CARGADO")</f>
        <v>BUDAS KINGDOM SRL</v>
      </c>
      <c r="H89" s="95">
        <v>7533.03</v>
      </c>
      <c r="I89" s="86">
        <f>IF(compras_mes9[[#This Row],[NETO GRAVADO]]="","",compras_mes9[[#This Row],[NETO GRAVADO]]*0.21)</f>
        <v>1581.9362999999998</v>
      </c>
      <c r="J89" s="462"/>
      <c r="K89" s="462"/>
      <c r="L89" s="462"/>
      <c r="M89" s="462"/>
      <c r="N89" s="462"/>
      <c r="O89" s="462">
        <v>885.14</v>
      </c>
      <c r="P89" s="463">
        <f>SUM(compras_mes9[[#This Row],[NETO GRAVADO]:[Otros / No Grav.]])</f>
        <v>10000.106299999999</v>
      </c>
      <c r="Q89" s="464" t="str">
        <f>IFERROR(IF(compras_mes9[[#This Row],[CUIT]]="","-",VLOOKUP(compras_mes9[[#This Row],[CUIT]],Lista_CUIT[#All],3,0)),"CUIT NO CARGADO")</f>
        <v>COMBUSTIBLE</v>
      </c>
      <c r="R89" s="464">
        <f>IFERROR(IF(compras_mes9[[#This Row],[CUIT]]="","-",VLOOKUP(compras_mes9[[#This Row],[CUIT]],Lista_CUIT[#All],4,0)),"CUIT NO CARGADO")</f>
        <v>0</v>
      </c>
    </row>
    <row r="90" spans="2:18" ht="15" customHeight="1" x14ac:dyDescent="0.3">
      <c r="B90" s="456">
        <v>45187</v>
      </c>
      <c r="C90" s="457">
        <v>1</v>
      </c>
      <c r="D90" s="458">
        <v>1001</v>
      </c>
      <c r="E90" s="506">
        <v>2891</v>
      </c>
      <c r="F90" s="459">
        <v>30712289046</v>
      </c>
      <c r="G90" s="460" t="str">
        <f>IFERROR(IF(compras_mes9[[#This Row],[CUIT]]="","-",VLOOKUP(compras_mes9[[#This Row],[CUIT]],Lista_CUIT[#All],2,0)),"CUIT NO CARGADO")</f>
        <v>IMPIERI PIÑEIRO RIZZO Y ASOC SA</v>
      </c>
      <c r="H90" s="95">
        <v>1863.72</v>
      </c>
      <c r="I90" s="86">
        <f>IF(compras_mes9[[#This Row],[NETO GRAVADO]]="","",compras_mes9[[#This Row],[NETO GRAVADO]]*0.21)</f>
        <v>391.38119999999998</v>
      </c>
      <c r="J90" s="462"/>
      <c r="K90" s="462"/>
      <c r="L90" s="462"/>
      <c r="M90" s="462"/>
      <c r="N90" s="462"/>
      <c r="O90" s="462">
        <v>244.9</v>
      </c>
      <c r="P90" s="463">
        <f>SUM(compras_mes9[[#This Row],[NETO GRAVADO]:[Otros / No Grav.]])</f>
        <v>2500.0012000000002</v>
      </c>
      <c r="Q90" s="464">
        <f>IFERROR(IF(compras_mes9[[#This Row],[CUIT]]="","-",VLOOKUP(compras_mes9[[#This Row],[CUIT]],Lista_CUIT[#All],3,0)),"CUIT NO CARGADO")</f>
        <v>0</v>
      </c>
      <c r="R90" s="464">
        <f>IFERROR(IF(compras_mes9[[#This Row],[CUIT]]="","-",VLOOKUP(compras_mes9[[#This Row],[CUIT]],Lista_CUIT[#All],4,0)),"CUIT NO CARGADO")</f>
        <v>0</v>
      </c>
    </row>
    <row r="91" spans="2:18" ht="15" customHeight="1" x14ac:dyDescent="0.3">
      <c r="B91" s="456">
        <v>45187</v>
      </c>
      <c r="C91" s="457">
        <v>1</v>
      </c>
      <c r="D91" s="458">
        <v>28</v>
      </c>
      <c r="E91" s="506">
        <v>4618</v>
      </c>
      <c r="F91" s="459">
        <v>30707838260</v>
      </c>
      <c r="G91" s="460" t="str">
        <f>IFERROR(IF(compras_mes9[[#This Row],[CUIT]]="","-",VLOOKUP(compras_mes9[[#This Row],[CUIT]],Lista_CUIT[#All],2,0)),"CUIT NO CARGADO")</f>
        <v>EL INSUMO S.R.L.</v>
      </c>
      <c r="H91" s="95">
        <v>1007149.32</v>
      </c>
      <c r="I91" s="86"/>
      <c r="J91" s="85"/>
      <c r="K91" s="85">
        <v>105750.68</v>
      </c>
      <c r="L91" s="85"/>
      <c r="M91" s="85"/>
      <c r="N91" s="85">
        <v>60428.959999999999</v>
      </c>
      <c r="O91" s="85"/>
      <c r="P91" s="48">
        <f>SUM(compras_mes9[[#This Row],[NETO GRAVADO]:[Otros / No Grav.]])</f>
        <v>1173328.96</v>
      </c>
      <c r="Q91" s="464">
        <f>IFERROR(IF(compras_mes9[[#This Row],[CUIT]]="","-",VLOOKUP(compras_mes9[[#This Row],[CUIT]],Lista_CUIT[#All],3,0)),"CUIT NO CARGADO")</f>
        <v>0</v>
      </c>
      <c r="R91" s="464">
        <f>IFERROR(IF(compras_mes9[[#This Row],[CUIT]]="","-",VLOOKUP(compras_mes9[[#This Row],[CUIT]],Lista_CUIT[#All],4,0)),"CUIT NO CARGADO")</f>
        <v>0</v>
      </c>
    </row>
    <row r="92" spans="2:18" ht="15" customHeight="1" x14ac:dyDescent="0.3">
      <c r="B92" s="509">
        <v>45187</v>
      </c>
      <c r="C92" s="511">
        <v>1</v>
      </c>
      <c r="D92" s="512">
        <v>5014</v>
      </c>
      <c r="E92" s="513">
        <v>489355</v>
      </c>
      <c r="F92" s="514">
        <v>30574876474</v>
      </c>
      <c r="G92" s="515" t="str">
        <f>IFERROR(IF(compras_mes9[[#This Row],[CUIT]]="","-",VLOOKUP(compras_mes9[[#This Row],[CUIT]],Lista_CUIT[#All],2,0)),"CUIT NO CARGADO")</f>
        <v>AUTOPISTAS URBANAS S A</v>
      </c>
      <c r="H92" s="516">
        <v>26345.29</v>
      </c>
      <c r="I92" s="517">
        <f>IF(compras_mes9[[#This Row],[NETO GRAVADO]]="","",compras_mes9[[#This Row],[NETO GRAVADO]]*0.21)</f>
        <v>5532.5109000000002</v>
      </c>
      <c r="J92" s="517"/>
      <c r="K92" s="517"/>
      <c r="L92" s="517">
        <v>790.34</v>
      </c>
      <c r="M92" s="517"/>
      <c r="N92" s="517"/>
      <c r="O92" s="517">
        <v>2634.47</v>
      </c>
      <c r="P92" s="518">
        <f>SUM(compras_mes9[[#This Row],[NETO GRAVADO]:[Otros / No Grav.]])</f>
        <v>35302.6109</v>
      </c>
      <c r="Q92" s="519">
        <f>IFERROR(IF(compras_mes9[[#This Row],[CUIT]]="","-",VLOOKUP(compras_mes9[[#This Row],[CUIT]],Lista_CUIT[#All],3,0)),"CUIT NO CARGADO")</f>
        <v>0</v>
      </c>
      <c r="R92" s="519">
        <f>IFERROR(IF(compras_mes9[[#This Row],[CUIT]]="","-",VLOOKUP(compras_mes9[[#This Row],[CUIT]],Lista_CUIT[#All],4,0)),"CUIT NO CARGADO")</f>
        <v>0</v>
      </c>
    </row>
    <row r="93" spans="2:18" ht="15" customHeight="1" x14ac:dyDescent="0.3">
      <c r="B93" s="509">
        <v>45187</v>
      </c>
      <c r="C93" s="511">
        <v>1</v>
      </c>
      <c r="D93" s="512">
        <v>629</v>
      </c>
      <c r="E93" s="513">
        <v>4498573</v>
      </c>
      <c r="F93" s="514">
        <v>30663498513</v>
      </c>
      <c r="G93" s="515" t="str">
        <f>IFERROR(IF(compras_mes9[[#This Row],[CUIT]]="","-",VLOOKUP(compras_mes9[[#This Row],[CUIT]],Lista_CUIT[#All],2,0)),"CUIT NO CARGADO")</f>
        <v>GRUPO CONCES. DEL OESTE SA</v>
      </c>
      <c r="H93" s="516">
        <v>3719.05</v>
      </c>
      <c r="I93" s="517">
        <f>IF(compras_mes9[[#This Row],[NETO GRAVADO]]="","",compras_mes9[[#This Row],[NETO GRAVADO]]*0.21)</f>
        <v>781.00049999999999</v>
      </c>
      <c r="J93" s="517"/>
      <c r="K93" s="517"/>
      <c r="L93" s="517"/>
      <c r="M93" s="517"/>
      <c r="N93" s="517"/>
      <c r="O93" s="517"/>
      <c r="P93" s="518">
        <f>SUM(compras_mes9[[#This Row],[NETO GRAVADO]:[Otros / No Grav.]])</f>
        <v>4500.0505000000003</v>
      </c>
      <c r="Q93" s="519">
        <f>IFERROR(IF(compras_mes9[[#This Row],[CUIT]]="","-",VLOOKUP(compras_mes9[[#This Row],[CUIT]],Lista_CUIT[#All],3,0)),"CUIT NO CARGADO")</f>
        <v>0</v>
      </c>
      <c r="R93" s="519">
        <f>IFERROR(IF(compras_mes9[[#This Row],[CUIT]]="","-",VLOOKUP(compras_mes9[[#This Row],[CUIT]],Lista_CUIT[#All],4,0)),"CUIT NO CARGADO")</f>
        <v>0</v>
      </c>
    </row>
    <row r="94" spans="2:18" ht="15" customHeight="1" x14ac:dyDescent="0.3">
      <c r="B94" s="509">
        <v>45187</v>
      </c>
      <c r="C94" s="511">
        <v>1</v>
      </c>
      <c r="D94" s="512">
        <v>711</v>
      </c>
      <c r="E94" s="513">
        <v>4775141</v>
      </c>
      <c r="F94" s="514">
        <v>30677237119</v>
      </c>
      <c r="G94" s="515" t="str">
        <f>IFERROR(IF(compras_mes9[[#This Row],[CUIT]]="","-",VLOOKUP(compras_mes9[[#This Row],[CUIT]],Lista_CUIT[#All],2,0)),"CUIT NO CARGADO")</f>
        <v>AUTOPISTAS DEL SOL S A</v>
      </c>
      <c r="H94" s="516">
        <v>3946.33</v>
      </c>
      <c r="I94" s="517">
        <f>IF(compras_mes9[[#This Row],[NETO GRAVADO]]="","",compras_mes9[[#This Row],[NETO GRAVADO]]*0.21)</f>
        <v>828.72929999999997</v>
      </c>
      <c r="J94" s="517"/>
      <c r="K94" s="517"/>
      <c r="L94" s="517"/>
      <c r="M94" s="517"/>
      <c r="N94" s="517"/>
      <c r="O94" s="517">
        <v>118.39</v>
      </c>
      <c r="P94" s="518">
        <f>SUM(compras_mes9[[#This Row],[NETO GRAVADO]:[Otros / No Grav.]])</f>
        <v>4893.4493000000002</v>
      </c>
      <c r="Q94" s="519">
        <f>IFERROR(IF(compras_mes9[[#This Row],[CUIT]]="","-",VLOOKUP(compras_mes9[[#This Row],[CUIT]],Lista_CUIT[#All],3,0)),"CUIT NO CARGADO")</f>
        <v>0</v>
      </c>
      <c r="R94" s="519">
        <f>IFERROR(IF(compras_mes9[[#This Row],[CUIT]]="","-",VLOOKUP(compras_mes9[[#This Row],[CUIT]],Lista_CUIT[#All],4,0)),"CUIT NO CARGADO")</f>
        <v>0</v>
      </c>
    </row>
    <row r="95" spans="2:18" ht="15" customHeight="1" x14ac:dyDescent="0.3">
      <c r="B95" s="456">
        <v>45188</v>
      </c>
      <c r="C95" s="457">
        <v>1</v>
      </c>
      <c r="D95" s="458">
        <v>4</v>
      </c>
      <c r="E95" s="506">
        <v>1717</v>
      </c>
      <c r="F95" s="459">
        <v>20258711611</v>
      </c>
      <c r="G95" s="460" t="str">
        <f>IFERROR(IF(compras_mes9[[#This Row],[CUIT]]="","-",VLOOKUP(compras_mes9[[#This Row],[CUIT]],Lista_CUIT[#All],2,0)),"CUIT NO CARGADO")</f>
        <v>SORAIRE MIGUEL ALBERTO</v>
      </c>
      <c r="H95" s="95">
        <v>158338.84</v>
      </c>
      <c r="I95" s="86">
        <f>IF(compras_mes9[[#This Row],[NETO GRAVADO]]="","",compras_mes9[[#This Row],[NETO GRAVADO]]*0.21)</f>
        <v>33251.1564</v>
      </c>
      <c r="J95" s="462"/>
      <c r="K95" s="462"/>
      <c r="L95" s="462"/>
      <c r="M95" s="462"/>
      <c r="N95" s="462"/>
      <c r="O95" s="462"/>
      <c r="P95" s="463">
        <f>SUM(compras_mes9[[#This Row],[NETO GRAVADO]:[Otros / No Grav.]])</f>
        <v>191589.9964</v>
      </c>
      <c r="Q95" s="464">
        <f>IFERROR(IF(compras_mes9[[#This Row],[CUIT]]="","-",VLOOKUP(compras_mes9[[#This Row],[CUIT]],Lista_CUIT[#All],3,0)),"CUIT NO CARGADO")</f>
        <v>0</v>
      </c>
      <c r="R95" s="464">
        <f>IFERROR(IF(compras_mes9[[#This Row],[CUIT]]="","-",VLOOKUP(compras_mes9[[#This Row],[CUIT]],Lista_CUIT[#All],4,0)),"CUIT NO CARGADO")</f>
        <v>0</v>
      </c>
    </row>
    <row r="96" spans="2:18" ht="15" customHeight="1" x14ac:dyDescent="0.3">
      <c r="B96" s="509">
        <v>45188</v>
      </c>
      <c r="C96" s="511">
        <v>1</v>
      </c>
      <c r="D96" s="512">
        <v>6</v>
      </c>
      <c r="E96" s="513">
        <v>2113</v>
      </c>
      <c r="F96" s="514">
        <v>30707591168</v>
      </c>
      <c r="G96" s="515" t="str">
        <f>IFERROR(IF(compras_mes9[[#This Row],[CUIT]]="","-",VLOOKUP(compras_mes9[[#This Row],[CUIT]],Lista_CUIT[#All],2,0)),"CUIT NO CARGADO")</f>
        <v>VICDA ARGENTINA SRL</v>
      </c>
      <c r="H96" s="516">
        <f>8.8*370</f>
        <v>3256.0000000000005</v>
      </c>
      <c r="I96" s="517">
        <f>IF(compras_mes9[[#This Row],[NETO GRAVADO]]="","",compras_mes9[[#This Row],[NETO GRAVADO]]*0.21)</f>
        <v>683.7600000000001</v>
      </c>
      <c r="J96" s="517"/>
      <c r="K96" s="517"/>
      <c r="L96" s="517"/>
      <c r="M96" s="517"/>
      <c r="N96" s="517"/>
      <c r="O96" s="517"/>
      <c r="P96" s="518">
        <f>SUM(compras_mes9[[#This Row],[NETO GRAVADO]:[Otros / No Grav.]])</f>
        <v>3939.7600000000007</v>
      </c>
      <c r="Q96" s="519">
        <f>IFERROR(IF(compras_mes9[[#This Row],[CUIT]]="","-",VLOOKUP(compras_mes9[[#This Row],[CUIT]],Lista_CUIT[#All],3,0)),"CUIT NO CARGADO")</f>
        <v>0</v>
      </c>
      <c r="R96" s="519">
        <f>IFERROR(IF(compras_mes9[[#This Row],[CUIT]]="","-",VLOOKUP(compras_mes9[[#This Row],[CUIT]],Lista_CUIT[#All],4,0)),"CUIT NO CARGADO")</f>
        <v>0</v>
      </c>
    </row>
    <row r="97" spans="2:18" ht="15" customHeight="1" x14ac:dyDescent="0.3">
      <c r="B97" s="456">
        <v>45188</v>
      </c>
      <c r="C97" s="457">
        <v>1</v>
      </c>
      <c r="D97" s="458">
        <v>1678</v>
      </c>
      <c r="E97" s="506">
        <v>21214</v>
      </c>
      <c r="F97" s="459">
        <v>30589621499</v>
      </c>
      <c r="G97" s="460" t="str">
        <f>IFERROR(IF(compras_mes9[[#This Row],[CUIT]]="","-",VLOOKUP(compras_mes9[[#This Row],[CUIT]],Lista_CUIT[#All],2,0)),"CUIT NO CARGADO")</f>
        <v>MAKRO SA</v>
      </c>
      <c r="H97" s="46">
        <v>19963.64</v>
      </c>
      <c r="I97" s="85">
        <f>IF(compras_mes9[[#This Row],[NETO GRAVADO]]="","",compras_mes9[[#This Row],[NETO GRAVADO]]*0.21)</f>
        <v>4192.3643999999995</v>
      </c>
      <c r="J97" s="462"/>
      <c r="K97" s="462"/>
      <c r="L97" s="462">
        <v>598.91</v>
      </c>
      <c r="M97" s="462"/>
      <c r="N97" s="462">
        <v>1197.82</v>
      </c>
      <c r="O97" s="462"/>
      <c r="P97" s="463">
        <f>SUM(compras_mes9[[#This Row],[NETO GRAVADO]:[Otros / No Grav.]])</f>
        <v>25952.734399999998</v>
      </c>
      <c r="Q97" s="464">
        <f>IFERROR(IF(compras_mes9[[#This Row],[CUIT]]="","-",VLOOKUP(compras_mes9[[#This Row],[CUIT]],Lista_CUIT[#All],3,0)),"CUIT NO CARGADO")</f>
        <v>0</v>
      </c>
      <c r="R97" s="464">
        <f>IFERROR(IF(compras_mes9[[#This Row],[CUIT]]="","-",VLOOKUP(compras_mes9[[#This Row],[CUIT]],Lista_CUIT[#All],4,0)),"CUIT NO CARGADO")</f>
        <v>0</v>
      </c>
    </row>
    <row r="98" spans="2:18" ht="15" customHeight="1" x14ac:dyDescent="0.3">
      <c r="B98" s="509">
        <v>45188</v>
      </c>
      <c r="C98" s="511">
        <v>1</v>
      </c>
      <c r="D98" s="512">
        <v>2</v>
      </c>
      <c r="E98" s="513">
        <v>28425</v>
      </c>
      <c r="F98" s="514">
        <v>30714930490</v>
      </c>
      <c r="G98" s="515" t="str">
        <f>IFERROR(IF(compras_mes9[[#This Row],[CUIT]]="","-",VLOOKUP(compras_mes9[[#This Row],[CUIT]],Lista_CUIT[#All],2,0)),"CUIT NO CARGADO")</f>
        <v>APPLUS SANTA MARIA DEL BUEN AYRE SA</v>
      </c>
      <c r="H98" s="516">
        <v>6833.14</v>
      </c>
      <c r="I98" s="517">
        <f>IF(compras_mes9[[#This Row],[NETO GRAVADO]]="","",compras_mes9[[#This Row],[NETO GRAVADO]]*0.21)</f>
        <v>1434.9594</v>
      </c>
      <c r="J98" s="517"/>
      <c r="K98" s="517"/>
      <c r="L98" s="517"/>
      <c r="M98" s="517"/>
      <c r="N98" s="517"/>
      <c r="O98" s="517"/>
      <c r="P98" s="518">
        <f>SUM(compras_mes9[[#This Row],[NETO GRAVADO]:[Otros / No Grav.]])</f>
        <v>8268.099400000001</v>
      </c>
      <c r="Q98" s="519" t="str">
        <f>IFERROR(IF(compras_mes9[[#This Row],[CUIT]]="","-",VLOOKUP(compras_mes9[[#This Row],[CUIT]],Lista_CUIT[#All],3,0)),"CUIT NO CARGADO")</f>
        <v>Gastos Vehiculo</v>
      </c>
      <c r="R98" s="519">
        <f>IFERROR(IF(compras_mes9[[#This Row],[CUIT]]="","-",VLOOKUP(compras_mes9[[#This Row],[CUIT]],Lista_CUIT[#All],4,0)),"CUIT NO CARGADO")</f>
        <v>0</v>
      </c>
    </row>
    <row r="99" spans="2:18" ht="15" customHeight="1" x14ac:dyDescent="0.3">
      <c r="B99" s="509">
        <v>45188</v>
      </c>
      <c r="C99" s="511">
        <v>1</v>
      </c>
      <c r="D99" s="512">
        <v>3</v>
      </c>
      <c r="E99" s="513">
        <v>43907</v>
      </c>
      <c r="F99" s="514">
        <v>30714930490</v>
      </c>
      <c r="G99" s="515" t="str">
        <f>IFERROR(IF(compras_mes9[[#This Row],[CUIT]]="","-",VLOOKUP(compras_mes9[[#This Row],[CUIT]],Lista_CUIT[#All],2,0)),"CUIT NO CARGADO")</f>
        <v>APPLUS SANTA MARIA DEL BUEN AYRE SA</v>
      </c>
      <c r="H99" s="516">
        <v>6833.14</v>
      </c>
      <c r="I99" s="517">
        <f>IF(compras_mes9[[#This Row],[NETO GRAVADO]]="","",compras_mes9[[#This Row],[NETO GRAVADO]]*0.21)</f>
        <v>1434.9594</v>
      </c>
      <c r="J99" s="517"/>
      <c r="K99" s="517"/>
      <c r="L99" s="517"/>
      <c r="M99" s="517"/>
      <c r="N99" s="517"/>
      <c r="O99" s="517"/>
      <c r="P99" s="518">
        <f>SUM(compras_mes9[[#This Row],[NETO GRAVADO]:[Otros / No Grav.]])</f>
        <v>8268.099400000001</v>
      </c>
      <c r="Q99" s="519" t="str">
        <f>IFERROR(IF(compras_mes9[[#This Row],[CUIT]]="","-",VLOOKUP(compras_mes9[[#This Row],[CUIT]],Lista_CUIT[#All],3,0)),"CUIT NO CARGADO")</f>
        <v>Gastos Vehiculo</v>
      </c>
      <c r="R99" s="519">
        <f>IFERROR(IF(compras_mes9[[#This Row],[CUIT]]="","-",VLOOKUP(compras_mes9[[#This Row],[CUIT]],Lista_CUIT[#All],4,0)),"CUIT NO CARGADO")</f>
        <v>0</v>
      </c>
    </row>
    <row r="100" spans="2:18" ht="15" customHeight="1" x14ac:dyDescent="0.3">
      <c r="B100" s="509">
        <v>45188</v>
      </c>
      <c r="C100" s="511">
        <v>1</v>
      </c>
      <c r="D100" s="512">
        <v>3</v>
      </c>
      <c r="E100" s="513">
        <v>43908</v>
      </c>
      <c r="F100" s="514">
        <v>30714930490</v>
      </c>
      <c r="G100" s="515" t="str">
        <f>IFERROR(IF(compras_mes9[[#This Row],[CUIT]]="","-",VLOOKUP(compras_mes9[[#This Row],[CUIT]],Lista_CUIT[#All],2,0)),"CUIT NO CARGADO")</f>
        <v>APPLUS SANTA MARIA DEL BUEN AYRE SA</v>
      </c>
      <c r="H100" s="516">
        <v>6833.14</v>
      </c>
      <c r="I100" s="517">
        <f>IF(compras_mes9[[#This Row],[NETO GRAVADO]]="","",compras_mes9[[#This Row],[NETO GRAVADO]]*0.21)</f>
        <v>1434.9594</v>
      </c>
      <c r="J100" s="517"/>
      <c r="K100" s="517"/>
      <c r="L100" s="517"/>
      <c r="M100" s="517"/>
      <c r="N100" s="517"/>
      <c r="O100" s="517"/>
      <c r="P100" s="518">
        <f>SUM(compras_mes9[[#This Row],[NETO GRAVADO]:[Otros / No Grav.]])</f>
        <v>8268.099400000001</v>
      </c>
      <c r="Q100" s="519" t="str">
        <f>IFERROR(IF(compras_mes9[[#This Row],[CUIT]]="","-",VLOOKUP(compras_mes9[[#This Row],[CUIT]],Lista_CUIT[#All],3,0)),"CUIT NO CARGADO")</f>
        <v>Gastos Vehiculo</v>
      </c>
      <c r="R100" s="519">
        <f>IFERROR(IF(compras_mes9[[#This Row],[CUIT]]="","-",VLOOKUP(compras_mes9[[#This Row],[CUIT]],Lista_CUIT[#All],4,0)),"CUIT NO CARGADO")</f>
        <v>0</v>
      </c>
    </row>
    <row r="101" spans="2:18" ht="15" customHeight="1" x14ac:dyDescent="0.3">
      <c r="B101" s="509">
        <v>45188</v>
      </c>
      <c r="C101" s="511">
        <v>1</v>
      </c>
      <c r="D101" s="512">
        <v>3</v>
      </c>
      <c r="E101" s="513">
        <v>285512</v>
      </c>
      <c r="F101" s="514">
        <v>30709131865</v>
      </c>
      <c r="G101" s="515" t="str">
        <f>IFERROR(IF(compras_mes9[[#This Row],[CUIT]]="","-",VLOOKUP(compras_mes9[[#This Row],[CUIT]],Lista_CUIT[#All],2,0)),"CUIT NO CARGADO")</f>
        <v>EMPRENDIMIENTOS SATELITALES SA</v>
      </c>
      <c r="H101" s="516">
        <v>849.5</v>
      </c>
      <c r="I101" s="517">
        <f>IF(compras_mes9[[#This Row],[NETO GRAVADO]]="","",compras_mes9[[#This Row],[NETO GRAVADO]]*0.21)</f>
        <v>178.39499999999998</v>
      </c>
      <c r="J101" s="517"/>
      <c r="K101" s="517"/>
      <c r="L101" s="517"/>
      <c r="M101" s="517"/>
      <c r="N101" s="517"/>
      <c r="O101" s="517"/>
      <c r="P101" s="518">
        <f>SUM(compras_mes9[[#This Row],[NETO GRAVADO]:[Otros / No Grav.]])</f>
        <v>1027.895</v>
      </c>
      <c r="Q101" s="519">
        <f>IFERROR(IF(compras_mes9[[#This Row],[CUIT]]="","-",VLOOKUP(compras_mes9[[#This Row],[CUIT]],Lista_CUIT[#All],3,0)),"CUIT NO CARGADO")</f>
        <v>0</v>
      </c>
      <c r="R101" s="519">
        <f>IFERROR(IF(compras_mes9[[#This Row],[CUIT]]="","-",VLOOKUP(compras_mes9[[#This Row],[CUIT]],Lista_CUIT[#All],4,0)),"CUIT NO CARGADO")</f>
        <v>0</v>
      </c>
    </row>
    <row r="102" spans="2:18" ht="15" customHeight="1" x14ac:dyDescent="0.3">
      <c r="B102" s="509">
        <v>45188</v>
      </c>
      <c r="C102" s="511">
        <v>1</v>
      </c>
      <c r="D102" s="512">
        <v>3</v>
      </c>
      <c r="E102" s="513">
        <v>285513</v>
      </c>
      <c r="F102" s="514">
        <v>30709131865</v>
      </c>
      <c r="G102" s="515" t="str">
        <f>IFERROR(IF(compras_mes9[[#This Row],[CUIT]]="","-",VLOOKUP(compras_mes9[[#This Row],[CUIT]],Lista_CUIT[#All],2,0)),"CUIT NO CARGADO")</f>
        <v>EMPRENDIMIENTOS SATELITALES SA</v>
      </c>
      <c r="H102" s="516">
        <v>849.5</v>
      </c>
      <c r="I102" s="517">
        <f>IF(compras_mes9[[#This Row],[NETO GRAVADO]]="","",compras_mes9[[#This Row],[NETO GRAVADO]]*0.21)</f>
        <v>178.39499999999998</v>
      </c>
      <c r="J102" s="517"/>
      <c r="K102" s="517"/>
      <c r="L102" s="517"/>
      <c r="M102" s="517"/>
      <c r="N102" s="517"/>
      <c r="O102" s="517"/>
      <c r="P102" s="518">
        <f>SUM(compras_mes9[[#This Row],[NETO GRAVADO]:[Otros / No Grav.]])</f>
        <v>1027.895</v>
      </c>
      <c r="Q102" s="519">
        <f>IFERROR(IF(compras_mes9[[#This Row],[CUIT]]="","-",VLOOKUP(compras_mes9[[#This Row],[CUIT]],Lista_CUIT[#All],3,0)),"CUIT NO CARGADO")</f>
        <v>0</v>
      </c>
      <c r="R102" s="519">
        <f>IFERROR(IF(compras_mes9[[#This Row],[CUIT]]="","-",VLOOKUP(compras_mes9[[#This Row],[CUIT]],Lista_CUIT[#All],4,0)),"CUIT NO CARGADO")</f>
        <v>0</v>
      </c>
    </row>
    <row r="103" spans="2:18" ht="15" customHeight="1" x14ac:dyDescent="0.3">
      <c r="B103" s="509">
        <v>45188</v>
      </c>
      <c r="C103" s="511">
        <v>1</v>
      </c>
      <c r="D103" s="512">
        <v>3</v>
      </c>
      <c r="E103" s="513">
        <v>285535</v>
      </c>
      <c r="F103" s="514">
        <v>30709131865</v>
      </c>
      <c r="G103" s="515" t="str">
        <f>IFERROR(IF(compras_mes9[[#This Row],[CUIT]]="","-",VLOOKUP(compras_mes9[[#This Row],[CUIT]],Lista_CUIT[#All],2,0)),"CUIT NO CARGADO")</f>
        <v>EMPRENDIMIENTOS SATELITALES SA</v>
      </c>
      <c r="H103" s="516">
        <v>849.5</v>
      </c>
      <c r="I103" s="517">
        <f>IF(compras_mes9[[#This Row],[NETO GRAVADO]]="","",compras_mes9[[#This Row],[NETO GRAVADO]]*0.21)</f>
        <v>178.39499999999998</v>
      </c>
      <c r="J103" s="517"/>
      <c r="K103" s="517"/>
      <c r="L103" s="517"/>
      <c r="M103" s="517"/>
      <c r="N103" s="517"/>
      <c r="O103" s="517"/>
      <c r="P103" s="518">
        <f>SUM(compras_mes9[[#This Row],[NETO GRAVADO]:[Otros / No Grav.]])</f>
        <v>1027.895</v>
      </c>
      <c r="Q103" s="519">
        <f>IFERROR(IF(compras_mes9[[#This Row],[CUIT]]="","-",VLOOKUP(compras_mes9[[#This Row],[CUIT]],Lista_CUIT[#All],3,0)),"CUIT NO CARGADO")</f>
        <v>0</v>
      </c>
      <c r="R103" s="519">
        <f>IFERROR(IF(compras_mes9[[#This Row],[CUIT]]="","-",VLOOKUP(compras_mes9[[#This Row],[CUIT]],Lista_CUIT[#All],4,0)),"CUIT NO CARGADO")</f>
        <v>0</v>
      </c>
    </row>
    <row r="104" spans="2:18" ht="15" customHeight="1" x14ac:dyDescent="0.3">
      <c r="B104" s="509">
        <v>45188</v>
      </c>
      <c r="C104" s="511">
        <v>1</v>
      </c>
      <c r="D104" s="512">
        <v>113</v>
      </c>
      <c r="E104" s="513">
        <v>3325489</v>
      </c>
      <c r="F104" s="514">
        <v>30577207190</v>
      </c>
      <c r="G104" s="515" t="str">
        <f>IFERROR(IF(compras_mes9[[#This Row],[CUIT]]="","-",VLOOKUP(compras_mes9[[#This Row],[CUIT]],Lista_CUIT[#All],2,0)),"CUIT NO CARGADO")</f>
        <v>COORDINACION ECOLOGICA AREA METROPOLITANA SOCIEDAD DEL ESTADO</v>
      </c>
      <c r="H104" s="516">
        <v>1322.31</v>
      </c>
      <c r="I104" s="517">
        <f>IF(compras_mes9[[#This Row],[NETO GRAVADO]]="","",compras_mes9[[#This Row],[NETO GRAVADO]]*0.21)</f>
        <v>277.68509999999998</v>
      </c>
      <c r="J104" s="517"/>
      <c r="K104" s="517"/>
      <c r="L104" s="517"/>
      <c r="M104" s="517"/>
      <c r="N104" s="517"/>
      <c r="O104" s="517"/>
      <c r="P104" s="518">
        <f>SUM(compras_mes9[[#This Row],[NETO GRAVADO]:[Otros / No Grav.]])</f>
        <v>1599.9950999999999</v>
      </c>
      <c r="Q104" s="519">
        <f>IFERROR(IF(compras_mes9[[#This Row],[CUIT]]="","-",VLOOKUP(compras_mes9[[#This Row],[CUIT]],Lista_CUIT[#All],3,0)),"CUIT NO CARGADO")</f>
        <v>0</v>
      </c>
      <c r="R104" s="519">
        <f>IFERROR(IF(compras_mes9[[#This Row],[CUIT]]="","-",VLOOKUP(compras_mes9[[#This Row],[CUIT]],Lista_CUIT[#All],4,0)),"CUIT NO CARGADO")</f>
        <v>0</v>
      </c>
    </row>
    <row r="105" spans="2:18" ht="15" customHeight="1" x14ac:dyDescent="0.3">
      <c r="B105" s="456">
        <v>45189</v>
      </c>
      <c r="C105" s="457">
        <v>1</v>
      </c>
      <c r="D105" s="458">
        <v>9</v>
      </c>
      <c r="E105" s="506">
        <v>209</v>
      </c>
      <c r="F105" s="459">
        <v>20134664518</v>
      </c>
      <c r="G105" s="460" t="str">
        <f>IFERROR(IF(compras_mes9[[#This Row],[CUIT]]="","-",VLOOKUP(compras_mes9[[#This Row],[CUIT]],Lista_CUIT[#All],2,0)),"CUIT NO CARGADO")</f>
        <v>HOKAMA SERGIO ENRIQUE</v>
      </c>
      <c r="H105" s="46">
        <v>12942.55</v>
      </c>
      <c r="I105" s="85">
        <f>IF(compras_mes9[[#This Row],[NETO GRAVADO]]="","",compras_mes9[[#This Row],[NETO GRAVADO]]*0.21)</f>
        <v>2717.9354999999996</v>
      </c>
      <c r="J105" s="462"/>
      <c r="K105" s="462"/>
      <c r="L105" s="462"/>
      <c r="M105" s="462"/>
      <c r="N105" s="462"/>
      <c r="O105" s="462"/>
      <c r="P105" s="463">
        <f>SUM(compras_mes9[[#This Row],[NETO GRAVADO]:[Otros / No Grav.]])</f>
        <v>15660.485499999999</v>
      </c>
      <c r="Q105" s="464" t="str">
        <f>IFERROR(IF(compras_mes9[[#This Row],[CUIT]]="","-",VLOOKUP(compras_mes9[[#This Row],[CUIT]],Lista_CUIT[#All],3,0)),"CUIT NO CARGADO")</f>
        <v>Gastos Varios</v>
      </c>
      <c r="R105" s="464" t="str">
        <f>IFERROR(IF(compras_mes9[[#This Row],[CUIT]]="","-",VLOOKUP(compras_mes9[[#This Row],[CUIT]],Lista_CUIT[#All],4,0)),"CUIT NO CARGADO")</f>
        <v>BUENOS AIRES</v>
      </c>
    </row>
    <row r="106" spans="2:18" ht="15" customHeight="1" x14ac:dyDescent="0.3">
      <c r="B106" s="456">
        <v>45189</v>
      </c>
      <c r="C106" s="457">
        <v>1</v>
      </c>
      <c r="D106" s="458">
        <v>3</v>
      </c>
      <c r="E106" s="506">
        <v>1602</v>
      </c>
      <c r="F106" s="459">
        <v>30714389064</v>
      </c>
      <c r="G106" s="460" t="str">
        <f>IFERROR(IF(compras_mes9[[#This Row],[CUIT]]="","-",VLOOKUP(compras_mes9[[#This Row],[CUIT]],Lista_CUIT[#All],2,0)),"CUIT NO CARGADO")</f>
        <v>LATINLED SRL</v>
      </c>
      <c r="H106" s="95">
        <v>392500</v>
      </c>
      <c r="I106" s="86">
        <f>IF(compras_mes9[[#This Row],[NETO GRAVADO]]="","",compras_mes9[[#This Row],[NETO GRAVADO]]*0.21)</f>
        <v>82425</v>
      </c>
      <c r="J106" s="85"/>
      <c r="K106" s="85"/>
      <c r="L106" s="85"/>
      <c r="M106" s="85"/>
      <c r="N106" s="85"/>
      <c r="O106" s="85"/>
      <c r="P106" s="48">
        <f>SUM(compras_mes9[[#This Row],[NETO GRAVADO]:[Otros / No Grav.]])</f>
        <v>474925</v>
      </c>
      <c r="Q106" s="464">
        <f>IFERROR(IF(compras_mes9[[#This Row],[CUIT]]="","-",VLOOKUP(compras_mes9[[#This Row],[CUIT]],Lista_CUIT[#All],3,0)),"CUIT NO CARGADO")</f>
        <v>0</v>
      </c>
      <c r="R106" s="464">
        <f>IFERROR(IF(compras_mes9[[#This Row],[CUIT]]="","-",VLOOKUP(compras_mes9[[#This Row],[CUIT]],Lista_CUIT[#All],4,0)),"CUIT NO CARGADO")</f>
        <v>0</v>
      </c>
    </row>
    <row r="107" spans="2:18" ht="15" customHeight="1" x14ac:dyDescent="0.3">
      <c r="B107" s="456">
        <v>45189</v>
      </c>
      <c r="C107" s="457">
        <v>1</v>
      </c>
      <c r="D107" s="458">
        <v>10</v>
      </c>
      <c r="E107" s="506">
        <v>6492</v>
      </c>
      <c r="F107" s="459">
        <v>30714683663</v>
      </c>
      <c r="G107" s="460" t="str">
        <f>IFERROR(IF(compras_mes9[[#This Row],[CUIT]]="","-",VLOOKUP(compras_mes9[[#This Row],[CUIT]],Lista_CUIT[#All],2,0)),"CUIT NO CARGADO")</f>
        <v>BAMBU ARGENTINA S.A.</v>
      </c>
      <c r="H107" s="95">
        <v>172705.5</v>
      </c>
      <c r="I107" s="86">
        <f>IF(compras_mes9[[#This Row],[NETO GRAVADO]]="","",compras_mes9[[#This Row],[NETO GRAVADO]]*0.21)</f>
        <v>36268.154999999999</v>
      </c>
      <c r="J107" s="85"/>
      <c r="K107" s="85"/>
      <c r="L107" s="85"/>
      <c r="M107" s="85"/>
      <c r="N107" s="85"/>
      <c r="O107" s="85"/>
      <c r="P107" s="48">
        <f>SUM(compras_mes9[[#This Row],[NETO GRAVADO]:[Otros / No Grav.]])</f>
        <v>208973.655</v>
      </c>
      <c r="Q107" s="464">
        <f>IFERROR(IF(compras_mes9[[#This Row],[CUIT]]="","-",VLOOKUP(compras_mes9[[#This Row],[CUIT]],Lista_CUIT[#All],3,0)),"CUIT NO CARGADO")</f>
        <v>0</v>
      </c>
      <c r="R107" s="464">
        <f>IFERROR(IF(compras_mes9[[#This Row],[CUIT]]="","-",VLOOKUP(compras_mes9[[#This Row],[CUIT]],Lista_CUIT[#All],4,0)),"CUIT NO CARGADO")</f>
        <v>0</v>
      </c>
    </row>
    <row r="108" spans="2:18" ht="15" customHeight="1" x14ac:dyDescent="0.3">
      <c r="B108" s="456">
        <v>45189</v>
      </c>
      <c r="C108" s="457">
        <v>1</v>
      </c>
      <c r="D108" s="458">
        <v>7</v>
      </c>
      <c r="E108" s="506">
        <v>10082</v>
      </c>
      <c r="F108" s="459">
        <v>30708017759</v>
      </c>
      <c r="G108" s="460" t="str">
        <f>IFERROR(IF(compras_mes9[[#This Row],[CUIT]]="","-",VLOOKUP(compras_mes9[[#This Row],[CUIT]],Lista_CUIT[#All],2,0)),"CUIT NO CARGADO")</f>
        <v>NEW  HIGH PACK  SA</v>
      </c>
      <c r="H108" s="95">
        <v>785820</v>
      </c>
      <c r="I108" s="86">
        <f>IF(compras_mes9[[#This Row],[NETO GRAVADO]]="","",compras_mes9[[#This Row],[NETO GRAVADO]]*0.21)</f>
        <v>165022.19999999998</v>
      </c>
      <c r="J108" s="85"/>
      <c r="K108" s="85"/>
      <c r="L108" s="85"/>
      <c r="M108" s="85"/>
      <c r="N108" s="85">
        <v>47149.2</v>
      </c>
      <c r="O108" s="85"/>
      <c r="P108" s="48">
        <f>SUM(compras_mes9[[#This Row],[NETO GRAVADO]:[Otros / No Grav.]])</f>
        <v>997991.39999999991</v>
      </c>
      <c r="Q108" s="464">
        <f>IFERROR(IF(compras_mes9[[#This Row],[CUIT]]="","-",VLOOKUP(compras_mes9[[#This Row],[CUIT]],Lista_CUIT[#All],3,0)),"CUIT NO CARGADO")</f>
        <v>0</v>
      </c>
      <c r="R108" s="464">
        <f>IFERROR(IF(compras_mes9[[#This Row],[CUIT]]="","-",VLOOKUP(compras_mes9[[#This Row],[CUIT]],Lista_CUIT[#All],4,0)),"CUIT NO CARGADO")</f>
        <v>0</v>
      </c>
    </row>
    <row r="109" spans="2:18" ht="15" customHeight="1" x14ac:dyDescent="0.3">
      <c r="B109" s="456">
        <v>45189</v>
      </c>
      <c r="C109" s="457">
        <v>1</v>
      </c>
      <c r="D109" s="458">
        <v>2188</v>
      </c>
      <c r="E109" s="506">
        <v>99756</v>
      </c>
      <c r="F109" s="459">
        <v>30548083156</v>
      </c>
      <c r="G109" s="460" t="str">
        <f>IFERROR(IF(compras_mes9[[#This Row],[CUIT]]="","-",VLOOKUP(compras_mes9[[#This Row],[CUIT]],Lista_CUIT[#All],2,0)),"CUIT NO CARGADO")</f>
        <v>COTO CENTRO INTEGRAL DE COMERCIALIZACION SOCIEDAD ANONIMA</v>
      </c>
      <c r="H109" s="46">
        <v>15324.76</v>
      </c>
      <c r="I109" s="85">
        <v>2191.64</v>
      </c>
      <c r="J109" s="462"/>
      <c r="K109" s="462">
        <v>432.99</v>
      </c>
      <c r="L109" s="462">
        <f>326.42+66.66</f>
        <v>393.08000000000004</v>
      </c>
      <c r="M109" s="462"/>
      <c r="N109" s="462">
        <v>738.18</v>
      </c>
      <c r="O109" s="462"/>
      <c r="P109" s="463">
        <f>SUM(compras_mes9[[#This Row],[NETO GRAVADO]:[Otros / No Grav.]])</f>
        <v>19080.650000000005</v>
      </c>
      <c r="Q109" s="464" t="str">
        <f>IFERROR(IF(compras_mes9[[#This Row],[CUIT]]="","-",VLOOKUP(compras_mes9[[#This Row],[CUIT]],Lista_CUIT[#All],3,0)),"CUIT NO CARGADO")</f>
        <v>GASTOS COMERCIALES</v>
      </c>
      <c r="R109" s="464">
        <f>IFERROR(IF(compras_mes9[[#This Row],[CUIT]]="","-",VLOOKUP(compras_mes9[[#This Row],[CUIT]],Lista_CUIT[#All],4,0)),"CUIT NO CARGADO")</f>
        <v>0</v>
      </c>
    </row>
    <row r="110" spans="2:18" ht="15" customHeight="1" x14ac:dyDescent="0.3">
      <c r="B110" s="509">
        <v>45189</v>
      </c>
      <c r="C110" s="511">
        <v>1</v>
      </c>
      <c r="D110" s="512">
        <v>3034</v>
      </c>
      <c r="E110" s="513">
        <v>4545549</v>
      </c>
      <c r="F110" s="514">
        <v>30708574836</v>
      </c>
      <c r="G110" s="515" t="str">
        <f>IFERROR(IF(compras_mes9[[#This Row],[CUIT]]="","-",VLOOKUP(compras_mes9[[#This Row],[CUIT]],Lista_CUIT[#All],2,0)),"CUIT NO CARGADO")</f>
        <v>CORREO OFICIAL DE LA REPUBLICA ARGENTINA SOCIEDAD ANONIMA</v>
      </c>
      <c r="H110" s="516">
        <v>1531.81</v>
      </c>
      <c r="I110" s="517">
        <f>IF(compras_mes9[[#This Row],[NETO GRAVADO]]="","",compras_mes9[[#This Row],[NETO GRAVADO]]*0.21)</f>
        <v>321.68009999999998</v>
      </c>
      <c r="J110" s="517"/>
      <c r="K110" s="517"/>
      <c r="L110" s="517"/>
      <c r="M110" s="517"/>
      <c r="N110" s="517"/>
      <c r="O110" s="517"/>
      <c r="P110" s="518">
        <f>SUM(compras_mes9[[#This Row],[NETO GRAVADO]:[Otros / No Grav.]])</f>
        <v>1853.4901</v>
      </c>
      <c r="Q110" s="519" t="str">
        <f>IFERROR(IF(compras_mes9[[#This Row],[CUIT]]="","-",VLOOKUP(compras_mes9[[#This Row],[CUIT]],Lista_CUIT[#All],3,0)),"CUIT NO CARGADO")</f>
        <v>MESAJERIA</v>
      </c>
      <c r="R110" s="519">
        <f>IFERROR(IF(compras_mes9[[#This Row],[CUIT]]="","-",VLOOKUP(compras_mes9[[#This Row],[CUIT]],Lista_CUIT[#All],4,0)),"CUIT NO CARGADO")</f>
        <v>0</v>
      </c>
    </row>
    <row r="111" spans="2:18" ht="15" customHeight="1" x14ac:dyDescent="0.3">
      <c r="B111" s="509">
        <v>45190</v>
      </c>
      <c r="C111" s="511">
        <v>1</v>
      </c>
      <c r="D111" s="512">
        <v>2</v>
      </c>
      <c r="E111" s="513">
        <v>3452</v>
      </c>
      <c r="F111" s="514">
        <v>30629863571</v>
      </c>
      <c r="G111" s="515" t="str">
        <f>IFERROR(IF(compras_mes9[[#This Row],[CUIT]]="","-",VLOOKUP(compras_mes9[[#This Row],[CUIT]],Lista_CUIT[#All],2,0)),"CUIT NO CARGADO")</f>
        <v>TECNIMAR S R L</v>
      </c>
      <c r="H111" s="516">
        <v>2636205.54</v>
      </c>
      <c r="I111" s="517">
        <f>IF(compras_mes9[[#This Row],[NETO GRAVADO]]="","",compras_mes9[[#This Row],[NETO GRAVADO]]*0.21)</f>
        <v>553603.16339999996</v>
      </c>
      <c r="J111" s="517"/>
      <c r="K111" s="517"/>
      <c r="L111" s="517"/>
      <c r="M111" s="517"/>
      <c r="N111" s="517"/>
      <c r="O111" s="517"/>
      <c r="P111" s="518">
        <f>SUM(compras_mes9[[#This Row],[NETO GRAVADO]:[Otros / No Grav.]])</f>
        <v>3189808.7034</v>
      </c>
      <c r="Q111" s="519" t="str">
        <f>IFERROR(IF(compras_mes9[[#This Row],[CUIT]]="","-",VLOOKUP(compras_mes9[[#This Row],[CUIT]],Lista_CUIT[#All],3,0)),"CUIT NO CARGADO")</f>
        <v>LABORATORIO</v>
      </c>
      <c r="R111" s="519">
        <f>IFERROR(IF(compras_mes9[[#This Row],[CUIT]]="","-",VLOOKUP(compras_mes9[[#This Row],[CUIT]],Lista_CUIT[#All],4,0)),"CUIT NO CARGADO")</f>
        <v>0</v>
      </c>
    </row>
    <row r="112" spans="2:18" ht="15" customHeight="1" x14ac:dyDescent="0.3">
      <c r="B112" s="456">
        <v>45190</v>
      </c>
      <c r="C112" s="457">
        <v>1</v>
      </c>
      <c r="D112" s="458">
        <v>1678</v>
      </c>
      <c r="E112" s="506">
        <v>21408</v>
      </c>
      <c r="F112" s="459">
        <v>30589621499</v>
      </c>
      <c r="G112" s="460" t="str">
        <f>IFERROR(IF(compras_mes9[[#This Row],[CUIT]]="","-",VLOOKUP(compras_mes9[[#This Row],[CUIT]],Lista_CUIT[#All],2,0)),"CUIT NO CARGADO")</f>
        <v>MAKRO SA</v>
      </c>
      <c r="H112" s="46">
        <v>6289.03</v>
      </c>
      <c r="I112" s="85">
        <f>IF(compras_mes9[[#This Row],[NETO GRAVADO]]="","",compras_mes9[[#This Row],[NETO GRAVADO]]*0.21)</f>
        <v>1320.6962999999998</v>
      </c>
      <c r="J112" s="462"/>
      <c r="K112" s="462"/>
      <c r="L112" s="462">
        <v>188.67</v>
      </c>
      <c r="M112" s="462"/>
      <c r="N112" s="462">
        <v>377.34</v>
      </c>
      <c r="O112" s="462"/>
      <c r="P112" s="463">
        <f>SUM(compras_mes9[[#This Row],[NETO GRAVADO]:[Otros / No Grav.]])</f>
        <v>8175.7362999999996</v>
      </c>
      <c r="Q112" s="464">
        <f>IFERROR(IF(compras_mes9[[#This Row],[CUIT]]="","-",VLOOKUP(compras_mes9[[#This Row],[CUIT]],Lista_CUIT[#All],3,0)),"CUIT NO CARGADO")</f>
        <v>0</v>
      </c>
      <c r="R112" s="464">
        <f>IFERROR(IF(compras_mes9[[#This Row],[CUIT]]="","-",VLOOKUP(compras_mes9[[#This Row],[CUIT]],Lista_CUIT[#All],4,0)),"CUIT NO CARGADO")</f>
        <v>0</v>
      </c>
    </row>
    <row r="113" spans="2:18" ht="15" customHeight="1" x14ac:dyDescent="0.3">
      <c r="B113" s="456">
        <v>45190</v>
      </c>
      <c r="C113" s="457">
        <v>1</v>
      </c>
      <c r="D113" s="458">
        <v>11</v>
      </c>
      <c r="E113" s="506">
        <v>75132</v>
      </c>
      <c r="F113" s="459">
        <v>30534051049</v>
      </c>
      <c r="G113" s="460" t="str">
        <f>IFERROR(IF(compras_mes9[[#This Row],[CUIT]]="","-",VLOOKUP(compras_mes9[[#This Row],[CUIT]],Lista_CUIT[#All],2,0)),"CUIT NO CARGADO")</f>
        <v>ELECTRO UNIVERSO - PLIN METAL S A</v>
      </c>
      <c r="H113" s="46">
        <v>4553</v>
      </c>
      <c r="I113" s="85">
        <v>603.96</v>
      </c>
      <c r="J113" s="462"/>
      <c r="K113" s="462">
        <v>176.08</v>
      </c>
      <c r="L113" s="462"/>
      <c r="M113" s="462"/>
      <c r="N113" s="462"/>
      <c r="O113" s="462"/>
      <c r="P113" s="463">
        <f>SUM(compras_mes9[[#This Row],[NETO GRAVADO]:[Otros / No Grav.]])</f>
        <v>5333.04</v>
      </c>
      <c r="Q113" s="464">
        <f>IFERROR(IF(compras_mes9[[#This Row],[CUIT]]="","-",VLOOKUP(compras_mes9[[#This Row],[CUIT]],Lista_CUIT[#All],3,0)),"CUIT NO CARGADO")</f>
        <v>0</v>
      </c>
      <c r="R113" s="464">
        <f>IFERROR(IF(compras_mes9[[#This Row],[CUIT]]="","-",VLOOKUP(compras_mes9[[#This Row],[CUIT]],Lista_CUIT[#All],4,0)),"CUIT NO CARGADO")</f>
        <v>0</v>
      </c>
    </row>
    <row r="114" spans="2:18" ht="15" customHeight="1" x14ac:dyDescent="0.3">
      <c r="B114" s="456">
        <v>45190</v>
      </c>
      <c r="C114" s="457">
        <v>1</v>
      </c>
      <c r="D114" s="458">
        <v>11</v>
      </c>
      <c r="E114" s="506">
        <v>75133</v>
      </c>
      <c r="F114" s="459">
        <v>30534051049</v>
      </c>
      <c r="G114" s="460" t="str">
        <f>IFERROR(IF(compras_mes9[[#This Row],[CUIT]]="","-",VLOOKUP(compras_mes9[[#This Row],[CUIT]],Lista_CUIT[#All],2,0)),"CUIT NO CARGADO")</f>
        <v>ELECTRO UNIVERSO - PLIN METAL S A</v>
      </c>
      <c r="H114" s="95">
        <v>1676.98</v>
      </c>
      <c r="I114" s="86"/>
      <c r="J114" s="462"/>
      <c r="K114" s="462">
        <v>176.08</v>
      </c>
      <c r="L114" s="462"/>
      <c r="M114" s="462"/>
      <c r="N114" s="462"/>
      <c r="O114" s="462"/>
      <c r="P114" s="463">
        <f>SUM(compras_mes9[[#This Row],[NETO GRAVADO]:[Otros / No Grav.]])</f>
        <v>1853.06</v>
      </c>
      <c r="Q114" s="464">
        <f>IFERROR(IF(compras_mes9[[#This Row],[CUIT]]="","-",VLOOKUP(compras_mes9[[#This Row],[CUIT]],Lista_CUIT[#All],3,0)),"CUIT NO CARGADO")</f>
        <v>0</v>
      </c>
      <c r="R114" s="464">
        <f>IFERROR(IF(compras_mes9[[#This Row],[CUIT]]="","-",VLOOKUP(compras_mes9[[#This Row],[CUIT]],Lista_CUIT[#All],4,0)),"CUIT NO CARGADO")</f>
        <v>0</v>
      </c>
    </row>
    <row r="115" spans="2:18" ht="15" customHeight="1" x14ac:dyDescent="0.3">
      <c r="B115" s="509">
        <v>45190</v>
      </c>
      <c r="C115" s="511">
        <v>1</v>
      </c>
      <c r="D115" s="512">
        <v>5</v>
      </c>
      <c r="E115" s="513">
        <v>2863442</v>
      </c>
      <c r="F115" s="514">
        <v>30702652975</v>
      </c>
      <c r="G115" s="515" t="str">
        <f>IFERROR(IF(compras_mes9[[#This Row],[CUIT]]="","-",VLOOKUP(compras_mes9[[#This Row],[CUIT]],Lista_CUIT[#All],2,0)),"CUIT NO CARGADO")</f>
        <v>NSS SA</v>
      </c>
      <c r="H115" s="516">
        <v>11495.71</v>
      </c>
      <c r="I115" s="517">
        <f>IF(compras_mes9[[#This Row],[NETO GRAVADO]]="","",compras_mes9[[#This Row],[NETO GRAVADO]]*0.21)</f>
        <v>2414.0990999999999</v>
      </c>
      <c r="J115" s="517"/>
      <c r="K115" s="517"/>
      <c r="L115" s="517"/>
      <c r="M115" s="517"/>
      <c r="N115" s="517">
        <v>689.74</v>
      </c>
      <c r="O115" s="517"/>
      <c r="P115" s="518">
        <f>SUM(compras_mes9[[#This Row],[NETO GRAVADO]:[Otros / No Grav.]])</f>
        <v>14599.549099999998</v>
      </c>
      <c r="Q115" s="519" t="str">
        <f>IFERROR(IF(compras_mes9[[#This Row],[CUIT]]="","-",VLOOKUP(compras_mes9[[#This Row],[CUIT]],Lista_CUIT[#All],3,0)),"CUIT NO CARGADO")</f>
        <v>Servicios Gas, Luz, etc.</v>
      </c>
      <c r="R115" s="519">
        <f>IFERROR(IF(compras_mes9[[#This Row],[CUIT]]="","-",VLOOKUP(compras_mes9[[#This Row],[CUIT]],Lista_CUIT[#All],4,0)),"CUIT NO CARGADO")</f>
        <v>0</v>
      </c>
    </row>
    <row r="116" spans="2:18" ht="15" customHeight="1" x14ac:dyDescent="0.3">
      <c r="B116" s="456">
        <v>45190</v>
      </c>
      <c r="C116" s="457">
        <v>1</v>
      </c>
      <c r="D116" s="458">
        <v>13</v>
      </c>
      <c r="E116" s="506">
        <v>68063</v>
      </c>
      <c r="F116" s="459">
        <v>30707841105</v>
      </c>
      <c r="G116" s="460" t="str">
        <f>IFERROR(IF(compras_mes9[[#This Row],[CUIT]]="","-",VLOOKUP(compras_mes9[[#This Row],[CUIT]],Lista_CUIT[#All],2,0)),"CUIT NO CARGADO")</f>
        <v>PETRO ARG SRL</v>
      </c>
      <c r="H116" s="461">
        <v>6914.33</v>
      </c>
      <c r="I116" s="462">
        <f>IF(compras_mes9[[#This Row],[NETO GRAVADO]]="","",compras_mes9[[#This Row],[NETO GRAVADO]]*0.21)</f>
        <v>1452.0092999999999</v>
      </c>
      <c r="J116" s="462"/>
      <c r="K116" s="462"/>
      <c r="L116" s="462"/>
      <c r="M116" s="462"/>
      <c r="N116" s="462"/>
      <c r="O116" s="462">
        <v>836.83</v>
      </c>
      <c r="P116" s="463">
        <f>SUM(compras_mes9[[#This Row],[NETO GRAVADO]:[Otros / No Grav.]])</f>
        <v>9203.1692999999996</v>
      </c>
      <c r="Q116" s="464" t="str">
        <f>IFERROR(IF(compras_mes9[[#This Row],[CUIT]]="","-",VLOOKUP(compras_mes9[[#This Row],[CUIT]],Lista_CUIT[#All],3,0)),"CUIT NO CARGADO")</f>
        <v>Combustible</v>
      </c>
      <c r="R116" s="464">
        <f>IFERROR(IF(compras_mes9[[#This Row],[CUIT]]="","-",VLOOKUP(compras_mes9[[#This Row],[CUIT]],Lista_CUIT[#All],4,0)),"CUIT NO CARGADO")</f>
        <v>0</v>
      </c>
    </row>
    <row r="117" spans="2:18" ht="15" customHeight="1" x14ac:dyDescent="0.3">
      <c r="B117" s="456">
        <v>45191</v>
      </c>
      <c r="C117" s="457">
        <v>1</v>
      </c>
      <c r="D117" s="458">
        <v>6</v>
      </c>
      <c r="E117" s="506">
        <v>2799</v>
      </c>
      <c r="F117" s="459">
        <v>30574603788</v>
      </c>
      <c r="G117" s="460" t="str">
        <f>IFERROR(IF(compras_mes9[[#This Row],[CUIT]]="","-",VLOOKUP(compras_mes9[[#This Row],[CUIT]],Lista_CUIT[#All],2,0)),"CUIT NO CARGADO")</f>
        <v>CODAC SRL</v>
      </c>
      <c r="H117" s="95">
        <v>2362905</v>
      </c>
      <c r="I117" s="86">
        <f>IF(compras_mes9[[#This Row],[NETO GRAVADO]]="","",compras_mes9[[#This Row],[NETO GRAVADO]]*0.21)</f>
        <v>496210.05</v>
      </c>
      <c r="J117" s="85"/>
      <c r="K117" s="85"/>
      <c r="L117" s="85"/>
      <c r="M117" s="85"/>
      <c r="N117" s="85"/>
      <c r="O117" s="85"/>
      <c r="P117" s="48">
        <f>SUM(compras_mes9[[#This Row],[NETO GRAVADO]:[Otros / No Grav.]])</f>
        <v>2859115.05</v>
      </c>
      <c r="Q117" s="464" t="str">
        <f>IFERROR(IF(compras_mes9[[#This Row],[CUIT]]="","-",VLOOKUP(compras_mes9[[#This Row],[CUIT]],Lista_CUIT[#All],3,0)),"CUIT NO CARGADO")</f>
        <v>GASTOS COSMETICA</v>
      </c>
      <c r="R117" s="464" t="str">
        <f>IFERROR(IF(compras_mes9[[#This Row],[CUIT]]="","-",VLOOKUP(compras_mes9[[#This Row],[CUIT]],Lista_CUIT[#All],4,0)),"CUIT NO CARGADO")</f>
        <v>BUENOS AIRES</v>
      </c>
    </row>
    <row r="118" spans="2:18" ht="15" customHeight="1" x14ac:dyDescent="0.3">
      <c r="B118" s="456">
        <v>45191</v>
      </c>
      <c r="C118" s="457">
        <v>1</v>
      </c>
      <c r="D118" s="458">
        <v>7</v>
      </c>
      <c r="E118" s="506">
        <v>9695</v>
      </c>
      <c r="F118" s="459">
        <v>30715124919</v>
      </c>
      <c r="G118" s="460" t="str">
        <f>IFERROR(IF(compras_mes9[[#This Row],[CUIT]]="","-",VLOOKUP(compras_mes9[[#This Row],[CUIT]],Lista_CUIT[#All],2,0)),"CUIT NO CARGADO")</f>
        <v>CLEAN LAB SRL</v>
      </c>
      <c r="H118" s="95">
        <v>35884.980000000003</v>
      </c>
      <c r="I118" s="86">
        <f>IF(compras_mes9[[#This Row],[NETO GRAVADO]]="","",compras_mes9[[#This Row],[NETO GRAVADO]]*0.21)</f>
        <v>7535.8458000000001</v>
      </c>
      <c r="J118" s="85"/>
      <c r="K118" s="85"/>
      <c r="L118" s="85"/>
      <c r="M118" s="85"/>
      <c r="N118" s="85"/>
      <c r="O118" s="85"/>
      <c r="P118" s="48">
        <f>SUM(compras_mes9[[#This Row],[NETO GRAVADO]:[Otros / No Grav.]])</f>
        <v>43420.825800000006</v>
      </c>
      <c r="Q118" s="464">
        <f>IFERROR(IF(compras_mes9[[#This Row],[CUIT]]="","-",VLOOKUP(compras_mes9[[#This Row],[CUIT]],Lista_CUIT[#All],3,0)),"CUIT NO CARGADO")</f>
        <v>0</v>
      </c>
      <c r="R118" s="464">
        <f>IFERROR(IF(compras_mes9[[#This Row],[CUIT]]="","-",VLOOKUP(compras_mes9[[#This Row],[CUIT]],Lista_CUIT[#All],4,0)),"CUIT NO CARGADO")</f>
        <v>0</v>
      </c>
    </row>
    <row r="119" spans="2:18" ht="15" customHeight="1" x14ac:dyDescent="0.3">
      <c r="B119" s="456">
        <v>45191</v>
      </c>
      <c r="C119" s="457">
        <v>1</v>
      </c>
      <c r="D119" s="458">
        <v>23</v>
      </c>
      <c r="E119" s="506">
        <v>19948</v>
      </c>
      <c r="F119" s="459">
        <v>30515800219</v>
      </c>
      <c r="G119" s="460" t="str">
        <f>IFERROR(IF(compras_mes9[[#This Row],[CUIT]]="","-",VLOOKUP(compras_mes9[[#This Row],[CUIT]],Lista_CUIT[#All],2,0)),"CUIT NO CARGADO")</f>
        <v>INCAT SRL</v>
      </c>
      <c r="H119" s="95">
        <v>7612.82</v>
      </c>
      <c r="I119" s="86">
        <f>IF(compras_mes9[[#This Row],[NETO GRAVADO]]="","",compras_mes9[[#This Row],[NETO GRAVADO]]*0.21)</f>
        <v>1598.6922</v>
      </c>
      <c r="J119" s="462"/>
      <c r="K119" s="462"/>
      <c r="L119" s="462"/>
      <c r="M119" s="462"/>
      <c r="N119" s="462"/>
      <c r="O119" s="462">
        <v>788.52</v>
      </c>
      <c r="P119" s="463">
        <f>SUM(compras_mes9[[#This Row],[NETO GRAVADO]:[Otros / No Grav.]])</f>
        <v>10000.0322</v>
      </c>
      <c r="Q119" s="464" t="str">
        <f>IFERROR(IF(compras_mes9[[#This Row],[CUIT]]="","-",VLOOKUP(compras_mes9[[#This Row],[CUIT]],Lista_CUIT[#All],3,0)),"CUIT NO CARGADO")</f>
        <v>Combustibe</v>
      </c>
      <c r="R119" s="464" t="str">
        <f>IFERROR(IF(compras_mes9[[#This Row],[CUIT]]="","-",VLOOKUP(compras_mes9[[#This Row],[CUIT]],Lista_CUIT[#All],4,0)),"CUIT NO CARGADO")</f>
        <v>CABA</v>
      </c>
    </row>
    <row r="120" spans="2:18" ht="15" customHeight="1" x14ac:dyDescent="0.3">
      <c r="B120" s="456">
        <v>45191</v>
      </c>
      <c r="C120" s="457">
        <v>1</v>
      </c>
      <c r="D120" s="458">
        <v>6</v>
      </c>
      <c r="E120" s="506">
        <v>23904</v>
      </c>
      <c r="F120" s="459">
        <v>33640878679</v>
      </c>
      <c r="G120" s="460" t="str">
        <f>IFERROR(IF(compras_mes9[[#This Row],[CUIT]]="","-",VLOOKUP(compras_mes9[[#This Row],[CUIT]],Lista_CUIT[#All],2,0)),"CUIT NO CARGADO")</f>
        <v>DHACAM S R L</v>
      </c>
      <c r="H120" s="95">
        <v>101460</v>
      </c>
      <c r="I120" s="86">
        <f>IF(compras_mes9[[#This Row],[NETO GRAVADO]]="","",compras_mes9[[#This Row],[NETO GRAVADO]]*0.21)</f>
        <v>21306.6</v>
      </c>
      <c r="J120" s="85"/>
      <c r="K120" s="85"/>
      <c r="L120" s="85"/>
      <c r="M120" s="85"/>
      <c r="N120" s="85"/>
      <c r="O120" s="85"/>
      <c r="P120" s="48">
        <f>SUM(compras_mes9[[#This Row],[NETO GRAVADO]:[Otros / No Grav.]])</f>
        <v>122766.6</v>
      </c>
      <c r="Q120" s="464">
        <f>IFERROR(IF(compras_mes9[[#This Row],[CUIT]]="","-",VLOOKUP(compras_mes9[[#This Row],[CUIT]],Lista_CUIT[#All],3,0)),"CUIT NO CARGADO")</f>
        <v>0</v>
      </c>
      <c r="R120" s="464">
        <f>IFERROR(IF(compras_mes9[[#This Row],[CUIT]]="","-",VLOOKUP(compras_mes9[[#This Row],[CUIT]],Lista_CUIT[#All],4,0)),"CUIT NO CARGADO")</f>
        <v>0</v>
      </c>
    </row>
    <row r="121" spans="2:18" ht="15" customHeight="1" x14ac:dyDescent="0.3">
      <c r="B121" s="509">
        <v>45191</v>
      </c>
      <c r="C121" s="511">
        <v>1</v>
      </c>
      <c r="D121" s="512">
        <v>700</v>
      </c>
      <c r="E121" s="513">
        <v>1156992</v>
      </c>
      <c r="F121" s="514">
        <v>30715804812</v>
      </c>
      <c r="G121" s="515" t="str">
        <f>IFERROR(IF(compras_mes9[[#This Row],[CUIT]]="","-",VLOOKUP(compras_mes9[[#This Row],[CUIT]],Lista_CUIT[#All],2,0)),"CUIT NO CARGADO")</f>
        <v>CORREDORES VIALES SOCIEDAD ANONIMA</v>
      </c>
      <c r="H121" s="516">
        <v>247.93</v>
      </c>
      <c r="I121" s="517">
        <f>IF(compras_mes9[[#This Row],[NETO GRAVADO]]="","",compras_mes9[[#This Row],[NETO GRAVADO]]*0.21)</f>
        <v>52.065300000000001</v>
      </c>
      <c r="J121" s="517"/>
      <c r="K121" s="517"/>
      <c r="L121" s="517"/>
      <c r="M121" s="517"/>
      <c r="N121" s="517"/>
      <c r="O121" s="517"/>
      <c r="P121" s="518">
        <f>SUM(compras_mes9[[#This Row],[NETO GRAVADO]:[Otros / No Grav.]])</f>
        <v>299.99529999999999</v>
      </c>
      <c r="Q121" s="519">
        <f>IFERROR(IF(compras_mes9[[#This Row],[CUIT]]="","-",VLOOKUP(compras_mes9[[#This Row],[CUIT]],Lista_CUIT[#All],3,0)),"CUIT NO CARGADO")</f>
        <v>0</v>
      </c>
      <c r="R121" s="519">
        <f>IFERROR(IF(compras_mes9[[#This Row],[CUIT]]="","-",VLOOKUP(compras_mes9[[#This Row],[CUIT]],Lista_CUIT[#All],4,0)),"CUIT NO CARGADO")</f>
        <v>0</v>
      </c>
    </row>
    <row r="122" spans="2:18" ht="15" customHeight="1" x14ac:dyDescent="0.3">
      <c r="B122" s="456">
        <v>45192</v>
      </c>
      <c r="C122" s="457">
        <v>1</v>
      </c>
      <c r="D122" s="458">
        <v>9</v>
      </c>
      <c r="E122" s="506">
        <v>9391</v>
      </c>
      <c r="F122" s="459">
        <v>30710184816</v>
      </c>
      <c r="G122" s="460" t="str">
        <f>IFERROR(IF(compras_mes9[[#This Row],[CUIT]]="","-",VLOOKUP(compras_mes9[[#This Row],[CUIT]],Lista_CUIT[#All],2,0)),"CUIT NO CARGADO")</f>
        <v>INSUMOS SERVICOMP SA</v>
      </c>
      <c r="H122" s="95">
        <v>33907.440000000002</v>
      </c>
      <c r="I122" s="86">
        <f>IF(compras_mes9[[#This Row],[NETO GRAVADO]]="","",compras_mes9[[#This Row],[NETO GRAVADO]]*0.21)</f>
        <v>7120.5623999999998</v>
      </c>
      <c r="J122" s="85"/>
      <c r="K122" s="85"/>
      <c r="L122" s="85"/>
      <c r="M122" s="85"/>
      <c r="N122" s="85"/>
      <c r="O122" s="85"/>
      <c r="P122" s="48">
        <f>SUM(compras_mes9[[#This Row],[NETO GRAVADO]:[Otros / No Grav.]])</f>
        <v>41028.002400000005</v>
      </c>
      <c r="Q122" s="464">
        <f>IFERROR(IF(compras_mes9[[#This Row],[CUIT]]="","-",VLOOKUP(compras_mes9[[#This Row],[CUIT]],Lista_CUIT[#All],3,0)),"CUIT NO CARGADO")</f>
        <v>0</v>
      </c>
      <c r="R122" s="464">
        <f>IFERROR(IF(compras_mes9[[#This Row],[CUIT]]="","-",VLOOKUP(compras_mes9[[#This Row],[CUIT]],Lista_CUIT[#All],4,0)),"CUIT NO CARGADO")</f>
        <v>0</v>
      </c>
    </row>
    <row r="123" spans="2:18" ht="15" customHeight="1" x14ac:dyDescent="0.3">
      <c r="B123" s="456">
        <v>45192</v>
      </c>
      <c r="C123" s="457">
        <v>1</v>
      </c>
      <c r="D123" s="458">
        <v>12</v>
      </c>
      <c r="E123" s="506">
        <v>33581</v>
      </c>
      <c r="F123" s="459">
        <v>30696131003</v>
      </c>
      <c r="G123" s="460" t="str">
        <f>IFERROR(IF(compras_mes9[[#This Row],[CUIT]]="","-",VLOOKUP(compras_mes9[[#This Row],[CUIT]],Lista_CUIT[#All],2,0)),"CUIT NO CARGADO")</f>
        <v>Petrolfe S.A.</v>
      </c>
      <c r="H123" s="95">
        <v>36010.82</v>
      </c>
      <c r="I123" s="86">
        <f>IF(compras_mes9[[#This Row],[NETO GRAVADO]]="","",compras_mes9[[#This Row],[NETO GRAVADO]]*0.21)</f>
        <v>7562.2721999999994</v>
      </c>
      <c r="J123" s="462"/>
      <c r="K123" s="462"/>
      <c r="L123" s="462"/>
      <c r="M123" s="462"/>
      <c r="N123" s="462"/>
      <c r="O123" s="462">
        <v>4037.53</v>
      </c>
      <c r="P123" s="463">
        <f>SUM(compras_mes9[[#This Row],[NETO GRAVADO]:[Otros / No Grav.]])</f>
        <v>47610.622199999998</v>
      </c>
      <c r="Q123" s="464" t="str">
        <f>IFERROR(IF(compras_mes9[[#This Row],[CUIT]]="","-",VLOOKUP(compras_mes9[[#This Row],[CUIT]],Lista_CUIT[#All],3,0)),"CUIT NO CARGADO")</f>
        <v>Combustible</v>
      </c>
      <c r="R123" s="464">
        <f>IFERROR(IF(compras_mes9[[#This Row],[CUIT]]="","-",VLOOKUP(compras_mes9[[#This Row],[CUIT]],Lista_CUIT[#All],4,0)),"CUIT NO CARGADO")</f>
        <v>0</v>
      </c>
    </row>
    <row r="124" spans="2:18" ht="15" customHeight="1" x14ac:dyDescent="0.3">
      <c r="B124" s="89">
        <v>45193</v>
      </c>
      <c r="C124" s="90">
        <v>1</v>
      </c>
      <c r="D124" s="91">
        <v>2199</v>
      </c>
      <c r="E124" s="92">
        <v>24384</v>
      </c>
      <c r="F124" s="93">
        <v>30548083156</v>
      </c>
      <c r="G124" s="94" t="str">
        <f>IFERROR(IF(compras_mes9[[#This Row],[CUIT]]="","-",VLOOKUP(compras_mes9[[#This Row],[CUIT]],Lista_CUIT[#All],2,0)),"CUIT NO CARGADO")</f>
        <v>COTO CENTRO INTEGRAL DE COMERCIALIZACION SOCIEDAD ANONIMA</v>
      </c>
      <c r="H124" s="95">
        <v>23664.36</v>
      </c>
      <c r="I124" s="86">
        <v>3268.59</v>
      </c>
      <c r="J124" s="86"/>
      <c r="K124" s="86">
        <v>850.46</v>
      </c>
      <c r="L124" s="86">
        <f>455.92+121.49</f>
        <v>577.41</v>
      </c>
      <c r="M124" s="86"/>
      <c r="N124" s="86">
        <v>984.2</v>
      </c>
      <c r="O124" s="86"/>
      <c r="P124" s="87">
        <f>SUM(compras_mes9[[#This Row],[NETO GRAVADO]:[Otros / No Grav.]])</f>
        <v>29345.02</v>
      </c>
      <c r="Q124" s="88" t="str">
        <f>IFERROR(IF(compras_mes9[[#This Row],[CUIT]]="","-",VLOOKUP(compras_mes9[[#This Row],[CUIT]],Lista_CUIT[#All],3,0)),"CUIT NO CARGADO")</f>
        <v>GASTOS COMERCIALES</v>
      </c>
      <c r="R124" s="88">
        <f>IFERROR(IF(compras_mes9[[#This Row],[CUIT]]="","-",VLOOKUP(compras_mes9[[#This Row],[CUIT]],Lista_CUIT[#All],4,0)),"CUIT NO CARGADO")</f>
        <v>0</v>
      </c>
    </row>
    <row r="125" spans="2:18" ht="15" customHeight="1" x14ac:dyDescent="0.3">
      <c r="B125" s="456">
        <v>45194</v>
      </c>
      <c r="C125" s="457">
        <v>1</v>
      </c>
      <c r="D125" s="458">
        <v>4</v>
      </c>
      <c r="E125" s="506">
        <v>1363</v>
      </c>
      <c r="F125" s="459">
        <v>20244059369</v>
      </c>
      <c r="G125" s="460" t="str">
        <f>IFERROR(IF(compras_mes9[[#This Row],[CUIT]]="","-",VLOOKUP(compras_mes9[[#This Row],[CUIT]],Lista_CUIT[#All],2,0)),"CUIT NO CARGADO")</f>
        <v>ANILE PABLO ADOLFO</v>
      </c>
      <c r="H125" s="95">
        <v>1322.31</v>
      </c>
      <c r="I125" s="86">
        <f>IF(compras_mes9[[#This Row],[NETO GRAVADO]]="","",compras_mes9[[#This Row],[NETO GRAVADO]]*0.21)</f>
        <v>277.68509999999998</v>
      </c>
      <c r="J125" s="462"/>
      <c r="K125" s="462"/>
      <c r="L125" s="462"/>
      <c r="M125" s="462"/>
      <c r="N125" s="462"/>
      <c r="O125" s="462"/>
      <c r="P125" s="463">
        <f>SUM(compras_mes9[[#This Row],[NETO GRAVADO]:[Otros / No Grav.]])</f>
        <v>1599.9950999999999</v>
      </c>
      <c r="Q125" s="464">
        <f>IFERROR(IF(compras_mes9[[#This Row],[CUIT]]="","-",VLOOKUP(compras_mes9[[#This Row],[CUIT]],Lista_CUIT[#All],3,0)),"CUIT NO CARGADO")</f>
        <v>0</v>
      </c>
      <c r="R125" s="464">
        <f>IFERROR(IF(compras_mes9[[#This Row],[CUIT]]="","-",VLOOKUP(compras_mes9[[#This Row],[CUIT]],Lista_CUIT[#All],4,0)),"CUIT NO CARGADO")</f>
        <v>0</v>
      </c>
    </row>
    <row r="126" spans="2:18" ht="15" customHeight="1" x14ac:dyDescent="0.3">
      <c r="B126" s="456">
        <v>45194</v>
      </c>
      <c r="C126" s="457">
        <v>1</v>
      </c>
      <c r="D126" s="458">
        <v>2</v>
      </c>
      <c r="E126" s="506">
        <v>3453</v>
      </c>
      <c r="F126" s="459">
        <v>30629863571</v>
      </c>
      <c r="G126" s="460" t="str">
        <f>IFERROR(IF(compras_mes9[[#This Row],[CUIT]]="","-",VLOOKUP(compras_mes9[[#This Row],[CUIT]],Lista_CUIT[#All],2,0)),"CUIT NO CARGADO")</f>
        <v>TECNIMAR S R L</v>
      </c>
      <c r="H126" s="95">
        <v>1095740.44</v>
      </c>
      <c r="I126" s="86">
        <f>IF(compras_mes9[[#This Row],[NETO GRAVADO]]="","",compras_mes9[[#This Row],[NETO GRAVADO]]*0.21)</f>
        <v>230105.49239999999</v>
      </c>
      <c r="J126" s="85"/>
      <c r="K126" s="85"/>
      <c r="L126" s="85"/>
      <c r="M126" s="85"/>
      <c r="N126" s="85"/>
      <c r="O126" s="85"/>
      <c r="P126" s="48">
        <f>SUM(compras_mes9[[#This Row],[NETO GRAVADO]:[Otros / No Grav.]])</f>
        <v>1325845.9323999998</v>
      </c>
      <c r="Q126" s="464" t="str">
        <f>IFERROR(IF(compras_mes9[[#This Row],[CUIT]]="","-",VLOOKUP(compras_mes9[[#This Row],[CUIT]],Lista_CUIT[#All],3,0)),"CUIT NO CARGADO")</f>
        <v>LABORATORIO</v>
      </c>
      <c r="R126" s="464">
        <f>IFERROR(IF(compras_mes9[[#This Row],[CUIT]]="","-",VLOOKUP(compras_mes9[[#This Row],[CUIT]],Lista_CUIT[#All],4,0)),"CUIT NO CARGADO")</f>
        <v>0</v>
      </c>
    </row>
    <row r="127" spans="2:18" ht="15" customHeight="1" x14ac:dyDescent="0.3">
      <c r="B127" s="509">
        <v>45194</v>
      </c>
      <c r="C127" s="511">
        <v>1</v>
      </c>
      <c r="D127" s="512">
        <v>5</v>
      </c>
      <c r="E127" s="513">
        <v>4094</v>
      </c>
      <c r="F127" s="514">
        <v>20367393042</v>
      </c>
      <c r="G127" s="515" t="str">
        <f>IFERROR(IF(compras_mes9[[#This Row],[CUIT]]="","-",VLOOKUP(compras_mes9[[#This Row],[CUIT]],Lista_CUIT[#All],2,0)),"CUIT NO CARGADO")</f>
        <v>RITACCO RODRIGO</v>
      </c>
      <c r="H127" s="516">
        <v>125619.84</v>
      </c>
      <c r="I127" s="517">
        <f>IF(compras_mes9[[#This Row],[NETO GRAVADO]]="","",compras_mes9[[#This Row],[NETO GRAVADO]]*0.21)</f>
        <v>26380.166399999998</v>
      </c>
      <c r="J127" s="517"/>
      <c r="K127" s="517"/>
      <c r="L127" s="517"/>
      <c r="M127" s="517"/>
      <c r="N127" s="517"/>
      <c r="O127" s="517"/>
      <c r="P127" s="518">
        <f>SUM(compras_mes9[[#This Row],[NETO GRAVADO]:[Otros / No Grav.]])</f>
        <v>152000.00639999998</v>
      </c>
      <c r="Q127" s="519">
        <f>IFERROR(IF(compras_mes9[[#This Row],[CUIT]]="","-",VLOOKUP(compras_mes9[[#This Row],[CUIT]],Lista_CUIT[#All],3,0)),"CUIT NO CARGADO")</f>
        <v>0</v>
      </c>
      <c r="R127" s="519">
        <f>IFERROR(IF(compras_mes9[[#This Row],[CUIT]]="","-",VLOOKUP(compras_mes9[[#This Row],[CUIT]],Lista_CUIT[#All],4,0)),"CUIT NO CARGADO")</f>
        <v>0</v>
      </c>
    </row>
    <row r="128" spans="2:18" ht="15" customHeight="1" x14ac:dyDescent="0.3">
      <c r="B128" s="456">
        <v>45194</v>
      </c>
      <c r="C128" s="457">
        <v>1</v>
      </c>
      <c r="D128" s="458">
        <v>2</v>
      </c>
      <c r="E128" s="506">
        <v>6747</v>
      </c>
      <c r="F128" s="459">
        <v>33714677239</v>
      </c>
      <c r="G128" s="460" t="str">
        <f>IFERROR(IF(compras_mes9[[#This Row],[CUIT]]="","-",VLOOKUP(compras_mes9[[#This Row],[CUIT]],Lista_CUIT[#All],2,0)),"CUIT NO CARGADO")</f>
        <v xml:space="preserve">BOMBAS VAPORIZADORAS </v>
      </c>
      <c r="H128" s="95">
        <v>493425</v>
      </c>
      <c r="I128" s="86">
        <f>IF(compras_mes9[[#This Row],[NETO GRAVADO]]="","",compras_mes9[[#This Row],[NETO GRAVADO]]*0.21)</f>
        <v>103619.25</v>
      </c>
      <c r="J128" s="85"/>
      <c r="K128" s="85"/>
      <c r="L128" s="85"/>
      <c r="M128" s="85"/>
      <c r="N128" s="85"/>
      <c r="O128" s="85"/>
      <c r="P128" s="48">
        <f>SUM(compras_mes9[[#This Row],[NETO GRAVADO]:[Otros / No Grav.]])</f>
        <v>597044.25</v>
      </c>
      <c r="Q128" s="464" t="str">
        <f>IFERROR(IF(compras_mes9[[#This Row],[CUIT]]="","-",VLOOKUP(compras_mes9[[#This Row],[CUIT]],Lista_CUIT[#All],3,0)),"CUIT NO CARGADO")</f>
        <v>GASTOS VEHICULO</v>
      </c>
      <c r="R128" s="464">
        <f>IFERROR(IF(compras_mes9[[#This Row],[CUIT]]="","-",VLOOKUP(compras_mes9[[#This Row],[CUIT]],Lista_CUIT[#All],4,0)),"CUIT NO CARGADO")</f>
        <v>0</v>
      </c>
    </row>
    <row r="129" spans="2:18" ht="15" customHeight="1" x14ac:dyDescent="0.3">
      <c r="B129" s="456">
        <v>45195</v>
      </c>
      <c r="C129" s="457">
        <v>1</v>
      </c>
      <c r="D129" s="458">
        <v>4</v>
      </c>
      <c r="E129" s="506">
        <v>2182</v>
      </c>
      <c r="F129" s="459">
        <v>30715946250</v>
      </c>
      <c r="G129" s="460" t="str">
        <f>IFERROR(IF(compras_mes9[[#This Row],[CUIT]]="","-",VLOOKUP(compras_mes9[[#This Row],[CUIT]],Lista_CUIT[#All],2,0)),"CUIT NO CARGADO")</f>
        <v>GLOBAL AESTHETICS PRODUCTS AND SERVICES SRL</v>
      </c>
      <c r="H129" s="95">
        <v>2084033.4</v>
      </c>
      <c r="I129" s="86">
        <f>IF(compras_mes9[[#This Row],[NETO GRAVADO]]="","",compras_mes9[[#This Row],[NETO GRAVADO]]*0.21)</f>
        <v>437647.01399999997</v>
      </c>
      <c r="J129" s="85"/>
      <c r="K129" s="85"/>
      <c r="L129" s="85"/>
      <c r="M129" s="85"/>
      <c r="N129" s="85"/>
      <c r="O129" s="85"/>
      <c r="P129" s="48">
        <f>SUM(compras_mes9[[#This Row],[NETO GRAVADO]:[Otros / No Grav.]])</f>
        <v>2521680.4139999999</v>
      </c>
      <c r="Q129" s="464" t="str">
        <f>IFERROR(IF(compras_mes9[[#This Row],[CUIT]]="","-",VLOOKUP(compras_mes9[[#This Row],[CUIT]],Lista_CUIT[#All],3,0)),"CUIT NO CARGADO")</f>
        <v>aparatos</v>
      </c>
      <c r="R129" s="464">
        <f>IFERROR(IF(compras_mes9[[#This Row],[CUIT]]="","-",VLOOKUP(compras_mes9[[#This Row],[CUIT]],Lista_CUIT[#All],4,0)),"CUIT NO CARGADO")</f>
        <v>0</v>
      </c>
    </row>
    <row r="130" spans="2:18" ht="15" customHeight="1" x14ac:dyDescent="0.3">
      <c r="B130" s="456">
        <v>45195</v>
      </c>
      <c r="C130" s="457">
        <v>1</v>
      </c>
      <c r="D130" s="458">
        <v>2</v>
      </c>
      <c r="E130" s="506">
        <v>3454</v>
      </c>
      <c r="F130" s="459">
        <v>30629863571</v>
      </c>
      <c r="G130" s="460" t="str">
        <f>IFERROR(IF(compras_mes9[[#This Row],[CUIT]]="","-",VLOOKUP(compras_mes9[[#This Row],[CUIT]],Lista_CUIT[#All],2,0)),"CUIT NO CARGADO")</f>
        <v>TECNIMAR S R L</v>
      </c>
      <c r="H130" s="95">
        <v>2645847.12</v>
      </c>
      <c r="I130" s="86">
        <f>IF(compras_mes9[[#This Row],[NETO GRAVADO]]="","",compras_mes9[[#This Row],[NETO GRAVADO]]*0.21)</f>
        <v>555627.89520000003</v>
      </c>
      <c r="J130" s="85"/>
      <c r="K130" s="85"/>
      <c r="L130" s="85"/>
      <c r="M130" s="85"/>
      <c r="N130" s="85"/>
      <c r="O130" s="85"/>
      <c r="P130" s="48">
        <f>SUM(compras_mes9[[#This Row],[NETO GRAVADO]:[Otros / No Grav.]])</f>
        <v>3201475.0152000003</v>
      </c>
      <c r="Q130" s="464" t="str">
        <f>IFERROR(IF(compras_mes9[[#This Row],[CUIT]]="","-",VLOOKUP(compras_mes9[[#This Row],[CUIT]],Lista_CUIT[#All],3,0)),"CUIT NO CARGADO")</f>
        <v>LABORATORIO</v>
      </c>
      <c r="R130" s="464">
        <f>IFERROR(IF(compras_mes9[[#This Row],[CUIT]]="","-",VLOOKUP(compras_mes9[[#This Row],[CUIT]],Lista_CUIT[#All],4,0)),"CUIT NO CARGADO")</f>
        <v>0</v>
      </c>
    </row>
    <row r="131" spans="2:18" ht="15" customHeight="1" x14ac:dyDescent="0.3">
      <c r="B131" s="509">
        <v>45195</v>
      </c>
      <c r="C131" s="511">
        <v>1</v>
      </c>
      <c r="D131" s="512">
        <v>13</v>
      </c>
      <c r="E131" s="513">
        <v>6735</v>
      </c>
      <c r="F131" s="514">
        <v>30710184816</v>
      </c>
      <c r="G131" s="515" t="str">
        <f>IFERROR(IF(compras_mes9[[#This Row],[CUIT]]="","-",VLOOKUP(compras_mes9[[#This Row],[CUIT]],Lista_CUIT[#All],2,0)),"CUIT NO CARGADO")</f>
        <v>INSUMOS SERVICOMP SA</v>
      </c>
      <c r="H131" s="516">
        <v>44795.040000000001</v>
      </c>
      <c r="I131" s="517">
        <f>IF(compras_mes9[[#This Row],[NETO GRAVADO]]="","",compras_mes9[[#This Row],[NETO GRAVADO]]*0.21)</f>
        <v>9406.9583999999995</v>
      </c>
      <c r="J131" s="517"/>
      <c r="K131" s="517"/>
      <c r="L131" s="517"/>
      <c r="M131" s="517"/>
      <c r="N131" s="517"/>
      <c r="O131" s="517"/>
      <c r="P131" s="518">
        <f>SUM(compras_mes9[[#This Row],[NETO GRAVADO]:[Otros / No Grav.]])</f>
        <v>54201.998399999997</v>
      </c>
      <c r="Q131" s="519">
        <f>IFERROR(IF(compras_mes9[[#This Row],[CUIT]]="","-",VLOOKUP(compras_mes9[[#This Row],[CUIT]],Lista_CUIT[#All],3,0)),"CUIT NO CARGADO")</f>
        <v>0</v>
      </c>
      <c r="R131" s="519">
        <f>IFERROR(IF(compras_mes9[[#This Row],[CUIT]]="","-",VLOOKUP(compras_mes9[[#This Row],[CUIT]],Lista_CUIT[#All],4,0)),"CUIT NO CARGADO")</f>
        <v>0</v>
      </c>
    </row>
    <row r="132" spans="2:18" ht="15" customHeight="1" x14ac:dyDescent="0.3">
      <c r="B132" s="456">
        <v>45195</v>
      </c>
      <c r="C132" s="457">
        <v>1</v>
      </c>
      <c r="D132" s="458">
        <v>2</v>
      </c>
      <c r="E132" s="506">
        <v>8137</v>
      </c>
      <c r="F132" s="459">
        <v>30714284963</v>
      </c>
      <c r="G132" s="460" t="str">
        <f>IFERROR(IF(compras_mes9[[#This Row],[CUIT]]="","-",VLOOKUP(compras_mes9[[#This Row],[CUIT]],Lista_CUIT[#All],2,0)),"CUIT NO CARGADO")</f>
        <v>ENGYMAN SRL</v>
      </c>
      <c r="H132" s="95">
        <v>222508</v>
      </c>
      <c r="I132" s="86">
        <f>IF(compras_mes9[[#This Row],[NETO GRAVADO]]="","",compras_mes9[[#This Row],[NETO GRAVADO]]*0.21)</f>
        <v>46726.68</v>
      </c>
      <c r="J132" s="85"/>
      <c r="K132" s="85"/>
      <c r="L132" s="85"/>
      <c r="M132" s="85"/>
      <c r="N132" s="85"/>
      <c r="O132" s="85"/>
      <c r="P132" s="48">
        <f>SUM(compras_mes9[[#This Row],[NETO GRAVADO]:[Otros / No Grav.]])</f>
        <v>269234.68</v>
      </c>
      <c r="Q132" s="464">
        <f>IFERROR(IF(compras_mes9[[#This Row],[CUIT]]="","-",VLOOKUP(compras_mes9[[#This Row],[CUIT]],Lista_CUIT[#All],3,0)),"CUIT NO CARGADO")</f>
        <v>0</v>
      </c>
      <c r="R132" s="464">
        <f>IFERROR(IF(compras_mes9[[#This Row],[CUIT]]="","-",VLOOKUP(compras_mes9[[#This Row],[CUIT]],Lista_CUIT[#All],4,0)),"CUIT NO CARGADO")</f>
        <v>0</v>
      </c>
    </row>
    <row r="133" spans="2:18" ht="15" customHeight="1" x14ac:dyDescent="0.3">
      <c r="B133" s="456">
        <v>45195</v>
      </c>
      <c r="C133" s="457">
        <v>1</v>
      </c>
      <c r="D133" s="458">
        <v>4</v>
      </c>
      <c r="E133" s="506">
        <v>40885</v>
      </c>
      <c r="F133" s="459">
        <v>30585948817</v>
      </c>
      <c r="G133" s="460" t="str">
        <f>IFERROR(IF(compras_mes9[[#This Row],[CUIT]]="","-",VLOOKUP(compras_mes9[[#This Row],[CUIT]],Lista_CUIT[#All],2,0)),"CUIT NO CARGADO")</f>
        <v xml:space="preserve">GLASCAR </v>
      </c>
      <c r="H133" s="95">
        <v>1904709.37</v>
      </c>
      <c r="I133" s="86">
        <f>IF(compras_mes9[[#This Row],[NETO GRAVADO]]="","",compras_mes9[[#This Row],[NETO GRAVADO]]*0.21)</f>
        <v>399988.96770000004</v>
      </c>
      <c r="J133" s="85"/>
      <c r="K133" s="85"/>
      <c r="L133" s="85"/>
      <c r="M133" s="85"/>
      <c r="N133" s="85">
        <v>114282.56</v>
      </c>
      <c r="O133" s="85"/>
      <c r="P133" s="48">
        <f>SUM(compras_mes9[[#This Row],[NETO GRAVADO]:[Otros / No Grav.]])</f>
        <v>2418980.8977000001</v>
      </c>
      <c r="Q133" s="464">
        <f>IFERROR(IF(compras_mes9[[#This Row],[CUIT]]="","-",VLOOKUP(compras_mes9[[#This Row],[CUIT]],Lista_CUIT[#All],3,0)),"CUIT NO CARGADO")</f>
        <v>0</v>
      </c>
      <c r="R133" s="464">
        <f>IFERROR(IF(compras_mes9[[#This Row],[CUIT]]="","-",VLOOKUP(compras_mes9[[#This Row],[CUIT]],Lista_CUIT[#All],4,0)),"CUIT NO CARGADO")</f>
        <v>0</v>
      </c>
    </row>
    <row r="134" spans="2:18" ht="15" customHeight="1" x14ac:dyDescent="0.3">
      <c r="B134" s="456">
        <v>45195</v>
      </c>
      <c r="C134" s="457">
        <v>1</v>
      </c>
      <c r="D134" s="458">
        <v>24</v>
      </c>
      <c r="E134" s="506">
        <v>57975</v>
      </c>
      <c r="F134" s="459">
        <v>30707838260</v>
      </c>
      <c r="G134" s="460" t="str">
        <f>IFERROR(IF(compras_mes9[[#This Row],[CUIT]]="","-",VLOOKUP(compras_mes9[[#This Row],[CUIT]],Lista_CUIT[#All],2,0)),"CUIT NO CARGADO")</f>
        <v>EL INSUMO S.R.L.</v>
      </c>
      <c r="H134" s="95">
        <v>21859.5</v>
      </c>
      <c r="I134" s="86">
        <f>IF(compras_mes9[[#This Row],[NETO GRAVADO]]="","",compras_mes9[[#This Row],[NETO GRAVADO]]*0.21)</f>
        <v>4590.4949999999999</v>
      </c>
      <c r="J134" s="85"/>
      <c r="K134" s="85"/>
      <c r="L134" s="85"/>
      <c r="M134" s="85"/>
      <c r="N134" s="85">
        <v>1311.52</v>
      </c>
      <c r="O134" s="85"/>
      <c r="P134" s="48">
        <f>SUM(compras_mes9[[#This Row],[NETO GRAVADO]:[Otros / No Grav.]])</f>
        <v>27761.514999999999</v>
      </c>
      <c r="Q134" s="464">
        <f>IFERROR(IF(compras_mes9[[#This Row],[CUIT]]="","-",VLOOKUP(compras_mes9[[#This Row],[CUIT]],Lista_CUIT[#All],3,0)),"CUIT NO CARGADO")</f>
        <v>0</v>
      </c>
      <c r="R134" s="464">
        <f>IFERROR(IF(compras_mes9[[#This Row],[CUIT]]="","-",VLOOKUP(compras_mes9[[#This Row],[CUIT]],Lista_CUIT[#All],4,0)),"CUIT NO CARGADO")</f>
        <v>0</v>
      </c>
    </row>
    <row r="135" spans="2:18" ht="15" customHeight="1" x14ac:dyDescent="0.3">
      <c r="B135" s="456">
        <v>45195</v>
      </c>
      <c r="C135" s="457">
        <v>1</v>
      </c>
      <c r="D135" s="458">
        <v>24</v>
      </c>
      <c r="E135" s="506">
        <v>58007</v>
      </c>
      <c r="F135" s="459">
        <v>30707838260</v>
      </c>
      <c r="G135" s="460" t="str">
        <f>IFERROR(IF(compras_mes9[[#This Row],[CUIT]]="","-",VLOOKUP(compras_mes9[[#This Row],[CUIT]],Lista_CUIT[#All],2,0)),"CUIT NO CARGADO")</f>
        <v>EL INSUMO S.R.L.</v>
      </c>
      <c r="H135" s="95">
        <v>118983.47</v>
      </c>
      <c r="I135" s="86">
        <f>IF(compras_mes9[[#This Row],[NETO GRAVADO]]="","",compras_mes9[[#This Row],[NETO GRAVADO]]*0.21)</f>
        <v>24986.528699999999</v>
      </c>
      <c r="J135" s="85"/>
      <c r="K135" s="85"/>
      <c r="L135" s="85"/>
      <c r="M135" s="85"/>
      <c r="N135" s="85">
        <v>7139</v>
      </c>
      <c r="O135" s="85"/>
      <c r="P135" s="48">
        <f>SUM(compras_mes9[[#This Row],[NETO GRAVADO]:[Otros / No Grav.]])</f>
        <v>151108.9987</v>
      </c>
      <c r="Q135" s="464">
        <f>IFERROR(IF(compras_mes9[[#This Row],[CUIT]]="","-",VLOOKUP(compras_mes9[[#This Row],[CUIT]],Lista_CUIT[#All],3,0)),"CUIT NO CARGADO")</f>
        <v>0</v>
      </c>
      <c r="R135" s="464">
        <f>IFERROR(IF(compras_mes9[[#This Row],[CUIT]]="","-",VLOOKUP(compras_mes9[[#This Row],[CUIT]],Lista_CUIT[#All],4,0)),"CUIT NO CARGADO")</f>
        <v>0</v>
      </c>
    </row>
    <row r="136" spans="2:18" ht="15" customHeight="1" x14ac:dyDescent="0.3">
      <c r="B136" s="509">
        <v>45195</v>
      </c>
      <c r="C136" s="511">
        <v>1</v>
      </c>
      <c r="D136" s="512">
        <v>1000</v>
      </c>
      <c r="E136" s="513">
        <v>144065</v>
      </c>
      <c r="F136" s="514">
        <v>30715123483</v>
      </c>
      <c r="G136" s="515" t="str">
        <f>IFERROR(IF(compras_mes9[[#This Row],[CUIT]]="","-",VLOOKUP(compras_mes9[[#This Row],[CUIT]],Lista_CUIT[#All],2,0)),"CUIT NO CARGADO")</f>
        <v>ITPROUSER S.A.</v>
      </c>
      <c r="H136" s="516">
        <v>12433.88</v>
      </c>
      <c r="I136" s="517">
        <f>IF(compras_mes9[[#This Row],[NETO GRAVADO]]="","",compras_mes9[[#This Row],[NETO GRAVADO]]*0.21)</f>
        <v>2611.1147999999998</v>
      </c>
      <c r="J136" s="517"/>
      <c r="K136" s="517"/>
      <c r="L136" s="517"/>
      <c r="M136" s="517"/>
      <c r="N136" s="517">
        <v>746.03</v>
      </c>
      <c r="O136" s="517"/>
      <c r="P136" s="518">
        <f>SUM(compras_mes9[[#This Row],[NETO GRAVADO]:[Otros / No Grav.]])</f>
        <v>15791.024799999999</v>
      </c>
      <c r="Q136" s="519">
        <f>IFERROR(IF(compras_mes9[[#This Row],[CUIT]]="","-",VLOOKUP(compras_mes9[[#This Row],[CUIT]],Lista_CUIT[#All],3,0)),"CUIT NO CARGADO")</f>
        <v>0</v>
      </c>
      <c r="R136" s="519">
        <f>IFERROR(IF(compras_mes9[[#This Row],[CUIT]]="","-",VLOOKUP(compras_mes9[[#This Row],[CUIT]],Lista_CUIT[#All],4,0)),"CUIT NO CARGADO")</f>
        <v>0</v>
      </c>
    </row>
    <row r="137" spans="2:18" ht="15" customHeight="1" x14ac:dyDescent="0.3">
      <c r="B137" s="456">
        <v>45196</v>
      </c>
      <c r="C137" s="457">
        <v>1</v>
      </c>
      <c r="D137" s="458">
        <v>1</v>
      </c>
      <c r="E137" s="506">
        <v>6</v>
      </c>
      <c r="F137" s="459">
        <v>30718148207</v>
      </c>
      <c r="G137" s="460" t="str">
        <f>IFERROR(IF(compras_mes9[[#This Row],[CUIT]]="","-",VLOOKUP(compras_mes9[[#This Row],[CUIT]],Lista_CUIT[#All],2,0)),"CUIT NO CARGADO")</f>
        <v>VIPA INTERNATIONAL S.R.L.</v>
      </c>
      <c r="H137" s="95">
        <v>600000</v>
      </c>
      <c r="I137" s="86">
        <f>IF(compras_mes9[[#This Row],[NETO GRAVADO]]="","",compras_mes9[[#This Row],[NETO GRAVADO]]*0.21)</f>
        <v>126000</v>
      </c>
      <c r="J137" s="462"/>
      <c r="K137" s="462"/>
      <c r="L137" s="462"/>
      <c r="M137" s="462"/>
      <c r="N137" s="462"/>
      <c r="O137" s="462"/>
      <c r="P137" s="463">
        <f>SUM(compras_mes9[[#This Row],[NETO GRAVADO]:[Otros / No Grav.]])</f>
        <v>726000</v>
      </c>
      <c r="Q137" s="464">
        <f>IFERROR(IF(compras_mes9[[#This Row],[CUIT]]="","-",VLOOKUP(compras_mes9[[#This Row],[CUIT]],Lista_CUIT[#All],3,0)),"CUIT NO CARGADO")</f>
        <v>0</v>
      </c>
      <c r="R137" s="464">
        <f>IFERROR(IF(compras_mes9[[#This Row],[CUIT]]="","-",VLOOKUP(compras_mes9[[#This Row],[CUIT]],Lista_CUIT[#All],4,0)),"CUIT NO CARGADO")</f>
        <v>0</v>
      </c>
    </row>
    <row r="138" spans="2:18" ht="15" customHeight="1" x14ac:dyDescent="0.3">
      <c r="B138" s="456">
        <v>45196</v>
      </c>
      <c r="C138" s="457">
        <v>1</v>
      </c>
      <c r="D138" s="458">
        <v>6</v>
      </c>
      <c r="E138" s="506">
        <v>49</v>
      </c>
      <c r="F138" s="459">
        <v>23234730959</v>
      </c>
      <c r="G138" s="460" t="str">
        <f>IFERROR(IF(compras_mes9[[#This Row],[CUIT]]="","-",VLOOKUP(compras_mes9[[#This Row],[CUIT]],Lista_CUIT[#All],2,0)),"CUIT NO CARGADO")</f>
        <v xml:space="preserve">ENCENDIDO INDEPENDENCIA </v>
      </c>
      <c r="H138" s="46">
        <v>5702.48</v>
      </c>
      <c r="I138" s="85">
        <f>IF(compras_mes9[[#This Row],[NETO GRAVADO]]="","",compras_mes9[[#This Row],[NETO GRAVADO]]*0.21)</f>
        <v>1197.5207999999998</v>
      </c>
      <c r="J138" s="462"/>
      <c r="K138" s="462"/>
      <c r="L138" s="462"/>
      <c r="M138" s="462"/>
      <c r="N138" s="462"/>
      <c r="O138" s="462"/>
      <c r="P138" s="463">
        <f>SUM(compras_mes9[[#This Row],[NETO GRAVADO]:[Otros / No Grav.]])</f>
        <v>6900.0007999999998</v>
      </c>
      <c r="Q138" s="464" t="str">
        <f>IFERROR(IF(compras_mes9[[#This Row],[CUIT]]="","-",VLOOKUP(compras_mes9[[#This Row],[CUIT]],Lista_CUIT[#All],3,0)),"CUIT NO CARGADO")</f>
        <v>SERVICIOS</v>
      </c>
      <c r="R138" s="464">
        <f>IFERROR(IF(compras_mes9[[#This Row],[CUIT]]="","-",VLOOKUP(compras_mes9[[#This Row],[CUIT]],Lista_CUIT[#All],4,0)),"CUIT NO CARGADO")</f>
        <v>0</v>
      </c>
    </row>
    <row r="139" spans="2:18" ht="15" customHeight="1" x14ac:dyDescent="0.3">
      <c r="B139" s="509">
        <v>45196</v>
      </c>
      <c r="C139" s="511">
        <v>3</v>
      </c>
      <c r="D139" s="512">
        <v>12</v>
      </c>
      <c r="E139" s="513">
        <v>270</v>
      </c>
      <c r="F139" s="514">
        <v>30710338554</v>
      </c>
      <c r="G139" s="515" t="str">
        <f>IFERROR(IF(compras_mes9[[#This Row],[CUIT]]="","-",VLOOKUP(compras_mes9[[#This Row],[CUIT]],Lista_CUIT[#All],2,0)),"CUIT NO CARGADO")</f>
        <v>SECURITY NOW SA</v>
      </c>
      <c r="H139" s="516">
        <v>-1688.05</v>
      </c>
      <c r="I139" s="517">
        <f>IF(compras_mes9[[#This Row],[NETO GRAVADO]]="","",compras_mes9[[#This Row],[NETO GRAVADO]]*0.21)</f>
        <v>-354.4905</v>
      </c>
      <c r="J139" s="517"/>
      <c r="K139" s="517"/>
      <c r="L139" s="517"/>
      <c r="M139" s="517"/>
      <c r="N139" s="517"/>
      <c r="O139" s="517"/>
      <c r="P139" s="518">
        <f>SUM(compras_mes9[[#This Row],[NETO GRAVADO]:[Otros / No Grav.]])</f>
        <v>-2042.5405000000001</v>
      </c>
      <c r="Q139" s="519">
        <f>IFERROR(IF(compras_mes9[[#This Row],[CUIT]]="","-",VLOOKUP(compras_mes9[[#This Row],[CUIT]],Lista_CUIT[#All],3,0)),"CUIT NO CARGADO")</f>
        <v>0</v>
      </c>
      <c r="R139" s="519">
        <f>IFERROR(IF(compras_mes9[[#This Row],[CUIT]]="","-",VLOOKUP(compras_mes9[[#This Row],[CUIT]],Lista_CUIT[#All],4,0)),"CUIT NO CARGADO")</f>
        <v>0</v>
      </c>
    </row>
    <row r="140" spans="2:18" ht="15" customHeight="1" x14ac:dyDescent="0.3">
      <c r="B140" s="456">
        <v>45196</v>
      </c>
      <c r="C140" s="457">
        <v>1</v>
      </c>
      <c r="D140" s="458">
        <v>7</v>
      </c>
      <c r="E140" s="506">
        <v>1825</v>
      </c>
      <c r="F140" s="459">
        <v>20134664518</v>
      </c>
      <c r="G140" s="460" t="str">
        <f>IFERROR(IF(compras_mes9[[#This Row],[CUIT]]="","-",VLOOKUP(compras_mes9[[#This Row],[CUIT]],Lista_CUIT[#All],2,0)),"CUIT NO CARGADO")</f>
        <v>HOKAMA SERGIO ENRIQUE</v>
      </c>
      <c r="H140" s="46">
        <v>19447.72</v>
      </c>
      <c r="I140" s="85">
        <f>IF(compras_mes9[[#This Row],[NETO GRAVADO]]="","",compras_mes9[[#This Row],[NETO GRAVADO]]*0.21)</f>
        <v>4084.0212000000001</v>
      </c>
      <c r="J140" s="462"/>
      <c r="K140" s="462"/>
      <c r="L140" s="462"/>
      <c r="M140" s="462"/>
      <c r="N140" s="462"/>
      <c r="O140" s="462"/>
      <c r="P140" s="463">
        <f>SUM(compras_mes9[[#This Row],[NETO GRAVADO]:[Otros / No Grav.]])</f>
        <v>23531.7412</v>
      </c>
      <c r="Q140" s="464" t="str">
        <f>IFERROR(IF(compras_mes9[[#This Row],[CUIT]]="","-",VLOOKUP(compras_mes9[[#This Row],[CUIT]],Lista_CUIT[#All],3,0)),"CUIT NO CARGADO")</f>
        <v>Gastos Varios</v>
      </c>
      <c r="R140" s="464" t="str">
        <f>IFERROR(IF(compras_mes9[[#This Row],[CUIT]]="","-",VLOOKUP(compras_mes9[[#This Row],[CUIT]],Lista_CUIT[#All],4,0)),"CUIT NO CARGADO")</f>
        <v>BUENOS AIRES</v>
      </c>
    </row>
    <row r="141" spans="2:18" ht="15" customHeight="1" x14ac:dyDescent="0.3">
      <c r="B141" s="456">
        <v>45196</v>
      </c>
      <c r="C141" s="457">
        <v>1</v>
      </c>
      <c r="D141" s="458">
        <v>12</v>
      </c>
      <c r="E141" s="506">
        <v>1913</v>
      </c>
      <c r="F141" s="459">
        <v>30710338554</v>
      </c>
      <c r="G141" s="460" t="str">
        <f>IFERROR(IF(compras_mes9[[#This Row],[CUIT]]="","-",VLOOKUP(compras_mes9[[#This Row],[CUIT]],Lista_CUIT[#All],2,0)),"CUIT NO CARGADO")</f>
        <v>SECURITY NOW SA</v>
      </c>
      <c r="H141" s="95">
        <v>34042.35</v>
      </c>
      <c r="I141" s="86"/>
      <c r="J141" s="85"/>
      <c r="K141" s="85">
        <v>3574.45</v>
      </c>
      <c r="L141" s="85"/>
      <c r="M141" s="85"/>
      <c r="N141" s="85">
        <v>2042.54</v>
      </c>
      <c r="O141" s="85"/>
      <c r="P141" s="48">
        <f>SUM(compras_mes9[[#This Row],[NETO GRAVADO]:[Otros / No Grav.]])</f>
        <v>39659.339999999997</v>
      </c>
      <c r="Q141" s="464">
        <f>IFERROR(IF(compras_mes9[[#This Row],[CUIT]]="","-",VLOOKUP(compras_mes9[[#This Row],[CUIT]],Lista_CUIT[#All],3,0)),"CUIT NO CARGADO")</f>
        <v>0</v>
      </c>
      <c r="R141" s="464">
        <f>IFERROR(IF(compras_mes9[[#This Row],[CUIT]]="","-",VLOOKUP(compras_mes9[[#This Row],[CUIT]],Lista_CUIT[#All],4,0)),"CUIT NO CARGADO")</f>
        <v>0</v>
      </c>
    </row>
    <row r="142" spans="2:18" ht="15" customHeight="1" x14ac:dyDescent="0.3">
      <c r="B142" s="456">
        <v>45196</v>
      </c>
      <c r="C142" s="457">
        <v>1</v>
      </c>
      <c r="D142" s="458">
        <v>2</v>
      </c>
      <c r="E142" s="506">
        <v>3457</v>
      </c>
      <c r="F142" s="459">
        <v>30629863571</v>
      </c>
      <c r="G142" s="460" t="str">
        <f>IFERROR(IF(compras_mes9[[#This Row],[CUIT]]="","-",VLOOKUP(compras_mes9[[#This Row],[CUIT]],Lista_CUIT[#All],2,0)),"CUIT NO CARGADO")</f>
        <v>TECNIMAR S R L</v>
      </c>
      <c r="H142" s="95">
        <v>393163.68</v>
      </c>
      <c r="I142" s="86">
        <f>IF(compras_mes9[[#This Row],[NETO GRAVADO]]="","",compras_mes9[[#This Row],[NETO GRAVADO]]*0.21)</f>
        <v>82564.372799999997</v>
      </c>
      <c r="J142" s="85"/>
      <c r="K142" s="85"/>
      <c r="L142" s="85"/>
      <c r="M142" s="85"/>
      <c r="N142" s="85"/>
      <c r="O142" s="85"/>
      <c r="P142" s="48">
        <f>SUM(compras_mes9[[#This Row],[NETO GRAVADO]:[Otros / No Grav.]])</f>
        <v>475728.0528</v>
      </c>
      <c r="Q142" s="464" t="str">
        <f>IFERROR(IF(compras_mes9[[#This Row],[CUIT]]="","-",VLOOKUP(compras_mes9[[#This Row],[CUIT]],Lista_CUIT[#All],3,0)),"CUIT NO CARGADO")</f>
        <v>LABORATORIO</v>
      </c>
      <c r="R142" s="464">
        <f>IFERROR(IF(compras_mes9[[#This Row],[CUIT]]="","-",VLOOKUP(compras_mes9[[#This Row],[CUIT]],Lista_CUIT[#All],4,0)),"CUIT NO CARGADO")</f>
        <v>0</v>
      </c>
    </row>
    <row r="143" spans="2:18" ht="15" customHeight="1" x14ac:dyDescent="0.3">
      <c r="B143" s="509">
        <v>45196</v>
      </c>
      <c r="C143" s="511">
        <v>1</v>
      </c>
      <c r="D143" s="512">
        <v>7</v>
      </c>
      <c r="E143" s="513">
        <v>83225</v>
      </c>
      <c r="F143" s="514">
        <v>30708395443</v>
      </c>
      <c r="G143" s="515" t="str">
        <f>IFERROR(IF(compras_mes9[[#This Row],[CUIT]]="","-",VLOOKUP(compras_mes9[[#This Row],[CUIT]],Lista_CUIT[#All],2,0)),"CUIT NO CARGADO")</f>
        <v>SUPERFOTO S R L</v>
      </c>
      <c r="H143" s="516">
        <v>21982.639999999999</v>
      </c>
      <c r="I143" s="517">
        <f>IF(compras_mes9[[#This Row],[NETO GRAVADO]]="","",compras_mes9[[#This Row],[NETO GRAVADO]]*0.21)</f>
        <v>4616.3543999999993</v>
      </c>
      <c r="J143" s="517"/>
      <c r="K143" s="517"/>
      <c r="L143" s="517"/>
      <c r="M143" s="517"/>
      <c r="N143" s="517"/>
      <c r="O143" s="517"/>
      <c r="P143" s="518">
        <f>SUM(compras_mes9[[#This Row],[NETO GRAVADO]:[Otros / No Grav.]])</f>
        <v>26598.9944</v>
      </c>
      <c r="Q143" s="519">
        <f>IFERROR(IF(compras_mes9[[#This Row],[CUIT]]="","-",VLOOKUP(compras_mes9[[#This Row],[CUIT]],Lista_CUIT[#All],3,0)),"CUIT NO CARGADO")</f>
        <v>0</v>
      </c>
      <c r="R143" s="519">
        <f>IFERROR(IF(compras_mes9[[#This Row],[CUIT]]="","-",VLOOKUP(compras_mes9[[#This Row],[CUIT]],Lista_CUIT[#All],4,0)),"CUIT NO CARGADO")</f>
        <v>0</v>
      </c>
    </row>
    <row r="144" spans="2:18" ht="15" customHeight="1" x14ac:dyDescent="0.3">
      <c r="B144" s="509">
        <v>45197</v>
      </c>
      <c r="C144" s="511">
        <v>1</v>
      </c>
      <c r="D144" s="512">
        <v>2</v>
      </c>
      <c r="E144" s="513">
        <v>369</v>
      </c>
      <c r="F144" s="514">
        <v>20247737414</v>
      </c>
      <c r="G144" s="515" t="str">
        <f>IFERROR(IF(compras_mes9[[#This Row],[CUIT]]="","-",VLOOKUP(compras_mes9[[#This Row],[CUIT]],Lista_CUIT[#All],2,0)),"CUIT NO CARGADO")</f>
        <v>GRUA DIEGO PABLO</v>
      </c>
      <c r="H144" s="516">
        <v>14727.2</v>
      </c>
      <c r="I144" s="517">
        <f>IF(compras_mes9[[#This Row],[NETO GRAVADO]]="","",compras_mes9[[#This Row],[NETO GRAVADO]]*0.21)</f>
        <v>3092.712</v>
      </c>
      <c r="J144" s="517"/>
      <c r="K144" s="517"/>
      <c r="L144" s="517"/>
      <c r="M144" s="517"/>
      <c r="N144" s="517"/>
      <c r="O144" s="517"/>
      <c r="P144" s="518">
        <f>SUM(compras_mes9[[#This Row],[NETO GRAVADO]:[Otros / No Grav.]])</f>
        <v>17819.912</v>
      </c>
      <c r="Q144" s="519">
        <f>IFERROR(IF(compras_mes9[[#This Row],[CUIT]]="","-",VLOOKUP(compras_mes9[[#This Row],[CUIT]],Lista_CUIT[#All],3,0)),"CUIT NO CARGADO")</f>
        <v>0</v>
      </c>
      <c r="R144" s="519">
        <f>IFERROR(IF(compras_mes9[[#This Row],[CUIT]]="","-",VLOOKUP(compras_mes9[[#This Row],[CUIT]],Lista_CUIT[#All],4,0)),"CUIT NO CARGADO")</f>
        <v>0</v>
      </c>
    </row>
    <row r="145" spans="2:18" ht="15" customHeight="1" x14ac:dyDescent="0.3">
      <c r="B145" s="40">
        <v>45197</v>
      </c>
      <c r="C145" s="41">
        <v>1</v>
      </c>
      <c r="D145" s="42">
        <v>3</v>
      </c>
      <c r="E145" s="43">
        <v>1055</v>
      </c>
      <c r="F145" s="44">
        <v>20250382910</v>
      </c>
      <c r="G145" s="45" t="str">
        <f>IFERROR(IF(compras_mes9[[#This Row],[CUIT]]="","-",VLOOKUP(compras_mes9[[#This Row],[CUIT]],Lista_CUIT[#All],2,0)),"CUIT NO CARGADO")</f>
        <v>BIANCHI HECTOR HERNAN</v>
      </c>
      <c r="H145" s="95">
        <v>11743.83</v>
      </c>
      <c r="I145" s="86">
        <f>IF(compras_mes9[[#This Row],[NETO GRAVADO]]="","",compras_mes9[[#This Row],[NETO GRAVADO]]*0.21)</f>
        <v>2466.2042999999999</v>
      </c>
      <c r="J145" s="85"/>
      <c r="K145" s="85"/>
      <c r="L145" s="85"/>
      <c r="M145" s="85"/>
      <c r="N145" s="85"/>
      <c r="O145" s="85"/>
      <c r="P145" s="48">
        <f>SUM(compras_mes9[[#This Row],[NETO GRAVADO]:[Otros / No Grav.]])</f>
        <v>14210.034299999999</v>
      </c>
      <c r="Q145" s="49">
        <f>IFERROR(IF(compras_mes9[[#This Row],[CUIT]]="","-",VLOOKUP(compras_mes9[[#This Row],[CUIT]],Lista_CUIT[#All],3,0)),"CUIT NO CARGADO")</f>
        <v>0</v>
      </c>
      <c r="R145" s="49">
        <f>IFERROR(IF(compras_mes9[[#This Row],[CUIT]]="","-",VLOOKUP(compras_mes9[[#This Row],[CUIT]],Lista_CUIT[#All],4,0)),"CUIT NO CARGADO")</f>
        <v>0</v>
      </c>
    </row>
    <row r="146" spans="2:18" ht="15" customHeight="1" x14ac:dyDescent="0.3">
      <c r="B146" s="456">
        <v>45197</v>
      </c>
      <c r="C146" s="457">
        <v>1</v>
      </c>
      <c r="D146" s="458">
        <v>5</v>
      </c>
      <c r="E146" s="506">
        <v>5644</v>
      </c>
      <c r="F146" s="459">
        <v>30711725608</v>
      </c>
      <c r="G146" s="460" t="str">
        <f>IFERROR(IF(compras_mes9[[#This Row],[CUIT]]="","-",VLOOKUP(compras_mes9[[#This Row],[CUIT]],Lista_CUIT[#All],2,0)),"CUIT NO CARGADO")</f>
        <v>LA IMPRENTA YA SA</v>
      </c>
      <c r="H146" s="95">
        <v>266000</v>
      </c>
      <c r="I146" s="86">
        <f>IF(compras_mes9[[#This Row],[NETO GRAVADO]]="","",compras_mes9[[#This Row],[NETO GRAVADO]]*0.21)</f>
        <v>55860</v>
      </c>
      <c r="J146" s="85"/>
      <c r="K146" s="85"/>
      <c r="L146" s="85"/>
      <c r="M146" s="85"/>
      <c r="N146" s="85"/>
      <c r="O146" s="85"/>
      <c r="P146" s="48">
        <f>SUM(compras_mes9[[#This Row],[NETO GRAVADO]:[Otros / No Grav.]])</f>
        <v>321860</v>
      </c>
      <c r="Q146" s="464">
        <f>IFERROR(IF(compras_mes9[[#This Row],[CUIT]]="","-",VLOOKUP(compras_mes9[[#This Row],[CUIT]],Lista_CUIT[#All],3,0)),"CUIT NO CARGADO")</f>
        <v>0</v>
      </c>
      <c r="R146" s="464">
        <f>IFERROR(IF(compras_mes9[[#This Row],[CUIT]]="","-",VLOOKUP(compras_mes9[[#This Row],[CUIT]],Lista_CUIT[#All],4,0)),"CUIT NO CARGADO")</f>
        <v>0</v>
      </c>
    </row>
    <row r="147" spans="2:18" ht="15" customHeight="1" x14ac:dyDescent="0.3">
      <c r="B147" s="456">
        <v>45197</v>
      </c>
      <c r="C147" s="457">
        <v>1</v>
      </c>
      <c r="D147" s="458">
        <v>5</v>
      </c>
      <c r="E147" s="506">
        <v>5646</v>
      </c>
      <c r="F147" s="459">
        <v>30711725608</v>
      </c>
      <c r="G147" s="460" t="str">
        <f>IFERROR(IF(compras_mes9[[#This Row],[CUIT]]="","-",VLOOKUP(compras_mes9[[#This Row],[CUIT]],Lista_CUIT[#All],2,0)),"CUIT NO CARGADO")</f>
        <v>LA IMPRENTA YA SA</v>
      </c>
      <c r="H147" s="95">
        <v>160000</v>
      </c>
      <c r="I147" s="86">
        <f>IF(compras_mes9[[#This Row],[NETO GRAVADO]]="","",compras_mes9[[#This Row],[NETO GRAVADO]]*0.21)</f>
        <v>33600</v>
      </c>
      <c r="J147" s="85"/>
      <c r="K147" s="85"/>
      <c r="L147" s="85"/>
      <c r="M147" s="85"/>
      <c r="N147" s="85"/>
      <c r="O147" s="85"/>
      <c r="P147" s="48">
        <f>SUM(compras_mes9[[#This Row],[NETO GRAVADO]:[Otros / No Grav.]])</f>
        <v>193600</v>
      </c>
      <c r="Q147" s="464">
        <f>IFERROR(IF(compras_mes9[[#This Row],[CUIT]]="","-",VLOOKUP(compras_mes9[[#This Row],[CUIT]],Lista_CUIT[#All],3,0)),"CUIT NO CARGADO")</f>
        <v>0</v>
      </c>
      <c r="R147" s="464">
        <f>IFERROR(IF(compras_mes9[[#This Row],[CUIT]]="","-",VLOOKUP(compras_mes9[[#This Row],[CUIT]],Lista_CUIT[#All],4,0)),"CUIT NO CARGADO")</f>
        <v>0</v>
      </c>
    </row>
    <row r="148" spans="2:18" ht="15" customHeight="1" x14ac:dyDescent="0.3">
      <c r="B148" s="456">
        <v>45197</v>
      </c>
      <c r="C148" s="457">
        <v>1</v>
      </c>
      <c r="D148" s="458">
        <v>6850</v>
      </c>
      <c r="E148" s="506">
        <v>17287</v>
      </c>
      <c r="F148" s="459">
        <v>30678774495</v>
      </c>
      <c r="G148" s="460" t="str">
        <f>IFERROR(IF(compras_mes9[[#This Row],[CUIT]]="","-",VLOOKUP(compras_mes9[[#This Row],[CUIT]],Lista_CUIT[#All],2,0)),"CUIT NO CARGADO")</f>
        <v>OPER. DE EST. DE SERV. SA</v>
      </c>
      <c r="H148" s="95">
        <v>1878.25</v>
      </c>
      <c r="I148" s="86">
        <f>IF(compras_mes9[[#This Row],[NETO GRAVADO]]="","",compras_mes9[[#This Row],[NETO GRAVADO]]*0.21)</f>
        <v>394.4325</v>
      </c>
      <c r="J148" s="462"/>
      <c r="K148" s="462"/>
      <c r="L148" s="462"/>
      <c r="M148" s="462"/>
      <c r="N148" s="462"/>
      <c r="O148" s="462">
        <v>227.32</v>
      </c>
      <c r="P148" s="463">
        <f>SUM(compras_mes9[[#This Row],[NETO GRAVADO]:[Otros / No Grav.]])</f>
        <v>2500.0025000000001</v>
      </c>
      <c r="Q148" s="464" t="str">
        <f>IFERROR(IF(compras_mes9[[#This Row],[CUIT]]="","-",VLOOKUP(compras_mes9[[#This Row],[CUIT]],Lista_CUIT[#All],3,0)),"CUIT NO CARGADO")</f>
        <v>Combustibe</v>
      </c>
      <c r="R148" s="464">
        <f>IFERROR(IF(compras_mes9[[#This Row],[CUIT]]="","-",VLOOKUP(compras_mes9[[#This Row],[CUIT]],Lista_CUIT[#All],4,0)),"CUIT NO CARGADO")</f>
        <v>0</v>
      </c>
    </row>
    <row r="149" spans="2:18" ht="15" customHeight="1" x14ac:dyDescent="0.3">
      <c r="B149" s="509">
        <v>45197</v>
      </c>
      <c r="C149" s="511">
        <v>1</v>
      </c>
      <c r="D149" s="512">
        <v>6850</v>
      </c>
      <c r="E149" s="513">
        <v>17304</v>
      </c>
      <c r="F149" s="514">
        <v>30678774495</v>
      </c>
      <c r="G149" s="515" t="str">
        <f>IFERROR(IF(compras_mes9[[#This Row],[CUIT]]="","-",VLOOKUP(compras_mes9[[#This Row],[CUIT]],Lista_CUIT[#All],2,0)),"CUIT NO CARGADO")</f>
        <v>OPER. DE EST. DE SERV. SA</v>
      </c>
      <c r="H149" s="526">
        <v>7290.01</v>
      </c>
      <c r="I149" s="527">
        <f>IF(compras_mes9[[#This Row],[NETO GRAVADO]]="","",compras_mes9[[#This Row],[NETO GRAVADO]]*0.21)</f>
        <v>1530.9021</v>
      </c>
      <c r="J149" s="528"/>
      <c r="K149" s="528"/>
      <c r="L149" s="528"/>
      <c r="M149" s="528"/>
      <c r="N149" s="528"/>
      <c r="O149" s="528">
        <v>882.3</v>
      </c>
      <c r="P149" s="529">
        <f>SUM(compras_mes9[[#This Row],[NETO GRAVADO]:[Otros / No Grav.]])</f>
        <v>9703.2120999999988</v>
      </c>
      <c r="Q149" s="519" t="str">
        <f>IFERROR(IF(compras_mes9[[#This Row],[CUIT]]="","-",VLOOKUP(compras_mes9[[#This Row],[CUIT]],Lista_CUIT[#All],3,0)),"CUIT NO CARGADO")</f>
        <v>Combustibe</v>
      </c>
      <c r="R149" s="519">
        <f>IFERROR(IF(compras_mes9[[#This Row],[CUIT]]="","-",VLOOKUP(compras_mes9[[#This Row],[CUIT]],Lista_CUIT[#All],4,0)),"CUIT NO CARGADO")</f>
        <v>0</v>
      </c>
    </row>
    <row r="150" spans="2:18" ht="15" customHeight="1" x14ac:dyDescent="0.3">
      <c r="B150" s="456">
        <v>45197</v>
      </c>
      <c r="C150" s="457">
        <v>1</v>
      </c>
      <c r="D150" s="458">
        <v>10</v>
      </c>
      <c r="E150" s="506">
        <v>31741</v>
      </c>
      <c r="F150" s="459">
        <v>30681484635</v>
      </c>
      <c r="G150" s="460" t="str">
        <f>IFERROR(IF(compras_mes9[[#This Row],[CUIT]]="","-",VLOOKUP(compras_mes9[[#This Row],[CUIT]],Lista_CUIT[#All],2,0)),"CUIT NO CARGADO")</f>
        <v>IONIC S SOCIEDAD ANONIMA</v>
      </c>
      <c r="H150" s="95">
        <v>32161.35</v>
      </c>
      <c r="I150" s="86">
        <f>IF(compras_mes9[[#This Row],[NETO GRAVADO]]="","",compras_mes9[[#This Row],[NETO GRAVADO]]*0.21)</f>
        <v>6753.883499999999</v>
      </c>
      <c r="J150" s="85"/>
      <c r="K150" s="85"/>
      <c r="L150" s="85"/>
      <c r="M150" s="85"/>
      <c r="N150" s="85"/>
      <c r="O150" s="85"/>
      <c r="P150" s="48">
        <f>SUM(compras_mes9[[#This Row],[NETO GRAVADO]:[Otros / No Grav.]])</f>
        <v>38915.233499999995</v>
      </c>
      <c r="Q150" s="464">
        <f>IFERROR(IF(compras_mes9[[#This Row],[CUIT]]="","-",VLOOKUP(compras_mes9[[#This Row],[CUIT]],Lista_CUIT[#All],3,0)),"CUIT NO CARGADO")</f>
        <v>0</v>
      </c>
      <c r="R150" s="464">
        <f>IFERROR(IF(compras_mes9[[#This Row],[CUIT]]="","-",VLOOKUP(compras_mes9[[#This Row],[CUIT]],Lista_CUIT[#All],4,0)),"CUIT NO CARGADO")</f>
        <v>0</v>
      </c>
    </row>
    <row r="151" spans="2:18" ht="15" customHeight="1" x14ac:dyDescent="0.3">
      <c r="B151" s="456">
        <v>45197</v>
      </c>
      <c r="C151" s="457">
        <v>1</v>
      </c>
      <c r="D151" s="458">
        <v>11</v>
      </c>
      <c r="E151" s="506">
        <v>75277</v>
      </c>
      <c r="F151" s="459">
        <v>30534051049</v>
      </c>
      <c r="G151" s="460" t="str">
        <f>IFERROR(IF(compras_mes9[[#This Row],[CUIT]]="","-",VLOOKUP(compras_mes9[[#This Row],[CUIT]],Lista_CUIT[#All],2,0)),"CUIT NO CARGADO")</f>
        <v>ELECTRO UNIVERSO - PLIN METAL S A</v>
      </c>
      <c r="H151" s="46">
        <v>31241.87</v>
      </c>
      <c r="I151" s="85">
        <f>IF(compras_mes9[[#This Row],[NETO GRAVADO]]="","",compras_mes9[[#This Row],[NETO GRAVADO]]*0.21)</f>
        <v>6560.7927</v>
      </c>
      <c r="J151" s="462"/>
      <c r="K151" s="462"/>
      <c r="L151" s="462"/>
      <c r="M151" s="462"/>
      <c r="N151" s="462"/>
      <c r="O151" s="462"/>
      <c r="P151" s="463">
        <f>SUM(compras_mes9[[#This Row],[NETO GRAVADO]:[Otros / No Grav.]])</f>
        <v>37802.662700000001</v>
      </c>
      <c r="Q151" s="464">
        <f>IFERROR(IF(compras_mes9[[#This Row],[CUIT]]="","-",VLOOKUP(compras_mes9[[#This Row],[CUIT]],Lista_CUIT[#All],3,0)),"CUIT NO CARGADO")</f>
        <v>0</v>
      </c>
      <c r="R151" s="464">
        <f>IFERROR(IF(compras_mes9[[#This Row],[CUIT]]="","-",VLOOKUP(compras_mes9[[#This Row],[CUIT]],Lista_CUIT[#All],4,0)),"CUIT NO CARGADO")</f>
        <v>0</v>
      </c>
    </row>
    <row r="152" spans="2:18" ht="15" customHeight="1" x14ac:dyDescent="0.3">
      <c r="B152" s="456">
        <v>45197</v>
      </c>
      <c r="C152" s="457">
        <v>1</v>
      </c>
      <c r="D152" s="458">
        <v>11</v>
      </c>
      <c r="E152" s="506">
        <v>75287</v>
      </c>
      <c r="F152" s="459">
        <v>30534051049</v>
      </c>
      <c r="G152" s="460" t="str">
        <f>IFERROR(IF(compras_mes9[[#This Row],[CUIT]]="","-",VLOOKUP(compras_mes9[[#This Row],[CUIT]],Lista_CUIT[#All],2,0)),"CUIT NO CARGADO")</f>
        <v>ELECTRO UNIVERSO - PLIN METAL S A</v>
      </c>
      <c r="H152" s="46">
        <v>18930.939999999999</v>
      </c>
      <c r="I152" s="85">
        <f>IF(compras_mes9[[#This Row],[NETO GRAVADO]]="","",compras_mes9[[#This Row],[NETO GRAVADO]]*0.21)</f>
        <v>3975.4973999999997</v>
      </c>
      <c r="J152" s="462"/>
      <c r="K152" s="462"/>
      <c r="L152" s="462"/>
      <c r="M152" s="462"/>
      <c r="N152" s="462"/>
      <c r="O152" s="462"/>
      <c r="P152" s="463">
        <f>SUM(compras_mes9[[#This Row],[NETO GRAVADO]:[Otros / No Grav.]])</f>
        <v>22906.437399999999</v>
      </c>
      <c r="Q152" s="464">
        <f>IFERROR(IF(compras_mes9[[#This Row],[CUIT]]="","-",VLOOKUP(compras_mes9[[#This Row],[CUIT]],Lista_CUIT[#All],3,0)),"CUIT NO CARGADO")</f>
        <v>0</v>
      </c>
      <c r="R152" s="464">
        <f>IFERROR(IF(compras_mes9[[#This Row],[CUIT]]="","-",VLOOKUP(compras_mes9[[#This Row],[CUIT]],Lista_CUIT[#All],4,0)),"CUIT NO CARGADO")</f>
        <v>0</v>
      </c>
    </row>
    <row r="153" spans="2:18" ht="15" customHeight="1" x14ac:dyDescent="0.3">
      <c r="B153" s="509">
        <v>45198</v>
      </c>
      <c r="C153" s="511">
        <v>3</v>
      </c>
      <c r="D153" s="512">
        <v>9</v>
      </c>
      <c r="E153" s="513">
        <v>626</v>
      </c>
      <c r="F153" s="514">
        <v>30710184816</v>
      </c>
      <c r="G153" s="515" t="str">
        <f>IFERROR(IF(compras_mes9[[#This Row],[CUIT]]="","-",VLOOKUP(compras_mes9[[#This Row],[CUIT]],Lista_CUIT[#All],2,0)),"CUIT NO CARGADO")</f>
        <v>INSUMOS SERVICOMP SA</v>
      </c>
      <c r="H153" s="516">
        <v>-33907.440000000002</v>
      </c>
      <c r="I153" s="517">
        <f>IF(compras_mes9[[#This Row],[NETO GRAVADO]]="","",compras_mes9[[#This Row],[NETO GRAVADO]]*0.21)</f>
        <v>-7120.5623999999998</v>
      </c>
      <c r="J153" s="517"/>
      <c r="K153" s="517"/>
      <c r="L153" s="517"/>
      <c r="M153" s="517"/>
      <c r="N153" s="517"/>
      <c r="O153" s="517"/>
      <c r="P153" s="518">
        <f>SUM(compras_mes9[[#This Row],[NETO GRAVADO]:[Otros / No Grav.]])</f>
        <v>-41028.002400000005</v>
      </c>
      <c r="Q153" s="519">
        <f>IFERROR(IF(compras_mes9[[#This Row],[CUIT]]="","-",VLOOKUP(compras_mes9[[#This Row],[CUIT]],Lista_CUIT[#All],3,0)),"CUIT NO CARGADO")</f>
        <v>0</v>
      </c>
      <c r="R153" s="519">
        <f>IFERROR(IF(compras_mes9[[#This Row],[CUIT]]="","-",VLOOKUP(compras_mes9[[#This Row],[CUIT]],Lista_CUIT[#All],4,0)),"CUIT NO CARGADO")</f>
        <v>0</v>
      </c>
    </row>
    <row r="154" spans="2:18" ht="15" customHeight="1" x14ac:dyDescent="0.3">
      <c r="B154" s="456">
        <v>45198</v>
      </c>
      <c r="C154" s="457">
        <v>1</v>
      </c>
      <c r="D154" s="458">
        <v>2</v>
      </c>
      <c r="E154" s="506">
        <v>1477</v>
      </c>
      <c r="F154" s="459">
        <v>20109830810</v>
      </c>
      <c r="G154" s="460" t="str">
        <f>IFERROR(IF(compras_mes9[[#This Row],[CUIT]]="","-",VLOOKUP(compras_mes9[[#This Row],[CUIT]],Lista_CUIT[#All],2,0)),"CUIT NO CARGADO")</f>
        <v>HIK SECURITY</v>
      </c>
      <c r="H154" s="95">
        <v>4793.38</v>
      </c>
      <c r="I154" s="86">
        <f>IF(compras_mes9[[#This Row],[NETO GRAVADO]]="","",compras_mes9[[#This Row],[NETO GRAVADO]]*0.21)</f>
        <v>1006.6098</v>
      </c>
      <c r="J154" s="462"/>
      <c r="K154" s="462"/>
      <c r="L154" s="462"/>
      <c r="M154" s="462"/>
      <c r="N154" s="462"/>
      <c r="O154" s="462"/>
      <c r="P154" s="463">
        <f>SUM(compras_mes9[[#This Row],[NETO GRAVADO]:[Otros / No Grav.]])</f>
        <v>5799.9898000000003</v>
      </c>
      <c r="Q154" s="464">
        <f>IFERROR(IF(compras_mes9[[#This Row],[CUIT]]="","-",VLOOKUP(compras_mes9[[#This Row],[CUIT]],Lista_CUIT[#All],3,0)),"CUIT NO CARGADO")</f>
        <v>0</v>
      </c>
      <c r="R154" s="464">
        <f>IFERROR(IF(compras_mes9[[#This Row],[CUIT]]="","-",VLOOKUP(compras_mes9[[#This Row],[CUIT]],Lista_CUIT[#All],4,0)),"CUIT NO CARGADO")</f>
        <v>0</v>
      </c>
    </row>
    <row r="155" spans="2:18" ht="15" customHeight="1" x14ac:dyDescent="0.3">
      <c r="B155" s="456">
        <v>45198</v>
      </c>
      <c r="C155" s="457">
        <v>1</v>
      </c>
      <c r="D155" s="458">
        <v>5</v>
      </c>
      <c r="E155" s="506">
        <v>3213</v>
      </c>
      <c r="F155" s="459">
        <v>30708558792</v>
      </c>
      <c r="G155" s="460" t="str">
        <f>IFERROR(IF(compras_mes9[[#This Row],[CUIT]]="","-",VLOOKUP(compras_mes9[[#This Row],[CUIT]],Lista_CUIT[#All],2,0)),"CUIT NO CARGADO")</f>
        <v>MYL TRANSFORMADORES S.A</v>
      </c>
      <c r="H155" s="95">
        <v>1983.47</v>
      </c>
      <c r="I155" s="86">
        <f>IF(compras_mes9[[#This Row],[NETO GRAVADO]]="","",compras_mes9[[#This Row],[NETO GRAVADO]]*0.21)</f>
        <v>416.52870000000001</v>
      </c>
      <c r="J155" s="462"/>
      <c r="K155" s="462"/>
      <c r="L155" s="462"/>
      <c r="M155" s="462"/>
      <c r="N155" s="462"/>
      <c r="O155" s="462"/>
      <c r="P155" s="463">
        <f>SUM(compras_mes9[[#This Row],[NETO GRAVADO]:[Otros / No Grav.]])</f>
        <v>2399.9987000000001</v>
      </c>
      <c r="Q155" s="464">
        <f>IFERROR(IF(compras_mes9[[#This Row],[CUIT]]="","-",VLOOKUP(compras_mes9[[#This Row],[CUIT]],Lista_CUIT[#All],3,0)),"CUIT NO CARGADO")</f>
        <v>0</v>
      </c>
      <c r="R155" s="464">
        <f>IFERROR(IF(compras_mes9[[#This Row],[CUIT]]="","-",VLOOKUP(compras_mes9[[#This Row],[CUIT]],Lista_CUIT[#All],4,0)),"CUIT NO CARGADO")</f>
        <v>0</v>
      </c>
    </row>
    <row r="156" spans="2:18" ht="15" customHeight="1" x14ac:dyDescent="0.3">
      <c r="B156" s="456">
        <v>45198</v>
      </c>
      <c r="C156" s="457">
        <v>1</v>
      </c>
      <c r="D156" s="458">
        <v>7776</v>
      </c>
      <c r="E156" s="506">
        <v>14152</v>
      </c>
      <c r="F156" s="459">
        <v>30678774495</v>
      </c>
      <c r="G156" s="460" t="str">
        <f>IFERROR(IF(compras_mes9[[#This Row],[CUIT]]="","-",VLOOKUP(compras_mes9[[#This Row],[CUIT]],Lista_CUIT[#All],2,0)),"CUIT NO CARGADO")</f>
        <v>OPER. DE EST. DE SERV. SA</v>
      </c>
      <c r="H156" s="46">
        <v>12226.6</v>
      </c>
      <c r="I156" s="85">
        <f>IF(compras_mes9[[#This Row],[NETO GRAVADO]]="","",compras_mes9[[#This Row],[NETO GRAVADO]]*0.21)</f>
        <v>2567.5859999999998</v>
      </c>
      <c r="J156" s="462"/>
      <c r="K156" s="462"/>
      <c r="L156" s="462"/>
      <c r="M156" s="462"/>
      <c r="N156" s="462"/>
      <c r="O156" s="462">
        <v>1507.52</v>
      </c>
      <c r="P156" s="463">
        <f>SUM(compras_mes9[[#This Row],[NETO GRAVADO]:[Otros / No Grav.]])</f>
        <v>16301.706</v>
      </c>
      <c r="Q156" s="464" t="str">
        <f>IFERROR(IF(compras_mes9[[#This Row],[CUIT]]="","-",VLOOKUP(compras_mes9[[#This Row],[CUIT]],Lista_CUIT[#All],3,0)),"CUIT NO CARGADO")</f>
        <v>Combustibe</v>
      </c>
      <c r="R156" s="464">
        <f>IFERROR(IF(compras_mes9[[#This Row],[CUIT]]="","-",VLOOKUP(compras_mes9[[#This Row],[CUIT]],Lista_CUIT[#All],4,0)),"CUIT NO CARGADO")</f>
        <v>0</v>
      </c>
    </row>
    <row r="157" spans="2:18" ht="15" customHeight="1" x14ac:dyDescent="0.3">
      <c r="B157" s="509">
        <v>45198</v>
      </c>
      <c r="C157" s="511">
        <v>3</v>
      </c>
      <c r="D157" s="512">
        <v>11</v>
      </c>
      <c r="E157" s="513">
        <v>24364</v>
      </c>
      <c r="F157" s="514">
        <v>30534051049</v>
      </c>
      <c r="G157" s="515" t="str">
        <f>IFERROR(IF(compras_mes9[[#This Row],[CUIT]]="","-",VLOOKUP(compras_mes9[[#This Row],[CUIT]],Lista_CUIT[#All],2,0)),"CUIT NO CARGADO")</f>
        <v>ELECTRO UNIVERSO - PLIN METAL S A</v>
      </c>
      <c r="H157" s="516">
        <v>-8357.16</v>
      </c>
      <c r="I157" s="517">
        <f>IF(compras_mes9[[#This Row],[NETO GRAVADO]]="","",compras_mes9[[#This Row],[NETO GRAVADO]]*0.21)</f>
        <v>-1755.0036</v>
      </c>
      <c r="J157" s="517"/>
      <c r="K157" s="517"/>
      <c r="L157" s="517"/>
      <c r="M157" s="517"/>
      <c r="N157" s="517"/>
      <c r="O157" s="517"/>
      <c r="P157" s="518">
        <f>SUM(compras_mes9[[#This Row],[NETO GRAVADO]:[Otros / No Grav.]])</f>
        <v>-10112.1636</v>
      </c>
      <c r="Q157" s="519">
        <f>IFERROR(IF(compras_mes9[[#This Row],[CUIT]]="","-",VLOOKUP(compras_mes9[[#This Row],[CUIT]],Lista_CUIT[#All],3,0)),"CUIT NO CARGADO")</f>
        <v>0</v>
      </c>
      <c r="R157" s="519">
        <f>IFERROR(IF(compras_mes9[[#This Row],[CUIT]]="","-",VLOOKUP(compras_mes9[[#This Row],[CUIT]],Lista_CUIT[#All],4,0)),"CUIT NO CARGADO")</f>
        <v>0</v>
      </c>
    </row>
    <row r="158" spans="2:18" ht="15" customHeight="1" x14ac:dyDescent="0.3">
      <c r="B158" s="456">
        <v>45198</v>
      </c>
      <c r="C158" s="457">
        <v>1</v>
      </c>
      <c r="D158" s="458">
        <v>60</v>
      </c>
      <c r="E158" s="506">
        <v>60471</v>
      </c>
      <c r="F158" s="459">
        <v>30517345039</v>
      </c>
      <c r="G158" s="460" t="str">
        <f>IFERROR(IF(compras_mes9[[#This Row],[CUIT]]="","-",VLOOKUP(compras_mes9[[#This Row],[CUIT]],Lista_CUIT[#All],2,0)),"CUIT NO CARGADO")</f>
        <v>QUIMICA OESTE S.A.</v>
      </c>
      <c r="H158" s="46">
        <v>370068.75</v>
      </c>
      <c r="I158" s="85">
        <v>77716.27</v>
      </c>
      <c r="J158" s="462"/>
      <c r="K158" s="462"/>
      <c r="L158" s="462"/>
      <c r="M158" s="462"/>
      <c r="N158" s="462">
        <v>22204.13</v>
      </c>
      <c r="O158" s="462"/>
      <c r="P158" s="463">
        <f>SUM(compras_mes9[[#This Row],[NETO GRAVADO]:[Otros / No Grav.]])</f>
        <v>469989.15</v>
      </c>
      <c r="Q158" s="464" t="str">
        <f>IFERROR(IF(compras_mes9[[#This Row],[CUIT]]="","-",VLOOKUP(compras_mes9[[#This Row],[CUIT]],Lista_CUIT[#All],3,0)),"CUIT NO CARGADO")</f>
        <v>Insumo</v>
      </c>
      <c r="R158" s="464">
        <f>IFERROR(IF(compras_mes9[[#This Row],[CUIT]]="","-",VLOOKUP(compras_mes9[[#This Row],[CUIT]],Lista_CUIT[#All],4,0)),"CUIT NO CARGADO")</f>
        <v>0</v>
      </c>
    </row>
    <row r="159" spans="2:18" x14ac:dyDescent="0.3">
      <c r="B159" s="509">
        <v>45198</v>
      </c>
      <c r="C159" s="511">
        <v>1</v>
      </c>
      <c r="D159" s="512">
        <v>11</v>
      </c>
      <c r="E159" s="513">
        <v>75297</v>
      </c>
      <c r="F159" s="514">
        <v>30534051049</v>
      </c>
      <c r="G159" s="515" t="str">
        <f>IFERROR(IF(compras_mes9[[#This Row],[CUIT]]="","-",VLOOKUP(compras_mes9[[#This Row],[CUIT]],Lista_CUIT[#All],2,0)),"CUIT NO CARGADO")</f>
        <v>ELECTRO UNIVERSO - PLIN METAL S A</v>
      </c>
      <c r="H159" s="526">
        <v>5483.1</v>
      </c>
      <c r="I159" s="527">
        <f>IF(compras_mes9[[#This Row],[NETO GRAVADO]]="","",compras_mes9[[#This Row],[NETO GRAVADO]]*0.21)</f>
        <v>1151.451</v>
      </c>
      <c r="J159" s="528"/>
      <c r="K159" s="528"/>
      <c r="L159" s="528"/>
      <c r="M159" s="528"/>
      <c r="N159" s="528"/>
      <c r="O159" s="528"/>
      <c r="P159" s="529">
        <f>SUM(compras_mes9[[#This Row],[NETO GRAVADO]:[Otros / No Grav.]])</f>
        <v>6634.5510000000004</v>
      </c>
      <c r="Q159" s="519">
        <f>IFERROR(IF(compras_mes9[[#This Row],[CUIT]]="","-",VLOOKUP(compras_mes9[[#This Row],[CUIT]],Lista_CUIT[#All],3,0)),"CUIT NO CARGADO")</f>
        <v>0</v>
      </c>
      <c r="R159" s="519">
        <f>IFERROR(IF(compras_mes9[[#This Row],[CUIT]]="","-",VLOOKUP(compras_mes9[[#This Row],[CUIT]],Lista_CUIT[#All],4,0)),"CUIT NO CARGADO")</f>
        <v>0</v>
      </c>
    </row>
    <row r="160" spans="2:18" x14ac:dyDescent="0.3">
      <c r="B160" s="509">
        <v>45198</v>
      </c>
      <c r="C160" s="511">
        <v>1</v>
      </c>
      <c r="D160" s="512">
        <v>2188</v>
      </c>
      <c r="E160" s="513">
        <v>100457</v>
      </c>
      <c r="F160" s="514">
        <v>30548083156</v>
      </c>
      <c r="G160" s="515" t="str">
        <f>IFERROR(IF(compras_mes9[[#This Row],[CUIT]]="","-",VLOOKUP(compras_mes9[[#This Row],[CUIT]],Lista_CUIT[#All],2,0)),"CUIT NO CARGADO")</f>
        <v>COTO CENTRO INTEGRAL DE COMERCIALIZACION SOCIEDAD ANONIMA</v>
      </c>
      <c r="H160" s="526">
        <v>23823.94</v>
      </c>
      <c r="I160" s="527">
        <v>4292.7299999999996</v>
      </c>
      <c r="J160" s="528"/>
      <c r="K160" s="528">
        <v>355.15</v>
      </c>
      <c r="L160" s="528"/>
      <c r="M160" s="528"/>
      <c r="N160" s="528"/>
      <c r="O160" s="528">
        <f>1934.15+491.99</f>
        <v>2426.1400000000003</v>
      </c>
      <c r="P160" s="529">
        <f>SUM(compras_mes9[[#This Row],[NETO GRAVADO]:[Otros / No Grav.]])</f>
        <v>30897.96</v>
      </c>
      <c r="Q160" s="519" t="str">
        <f>IFERROR(IF(compras_mes9[[#This Row],[CUIT]]="","-",VLOOKUP(compras_mes9[[#This Row],[CUIT]],Lista_CUIT[#All],3,0)),"CUIT NO CARGADO")</f>
        <v>GASTOS COMERCIALES</v>
      </c>
      <c r="R160" s="519">
        <f>IFERROR(IF(compras_mes9[[#This Row],[CUIT]]="","-",VLOOKUP(compras_mes9[[#This Row],[CUIT]],Lista_CUIT[#All],4,0)),"CUIT NO CARGADO")</f>
        <v>0</v>
      </c>
    </row>
    <row r="161" spans="2:18" x14ac:dyDescent="0.3">
      <c r="B161" s="89">
        <v>45198</v>
      </c>
      <c r="C161" s="90">
        <v>1</v>
      </c>
      <c r="D161" s="91">
        <v>1</v>
      </c>
      <c r="E161" s="92">
        <v>416894</v>
      </c>
      <c r="F161" s="93">
        <v>30534051049</v>
      </c>
      <c r="G161" s="94" t="str">
        <f>IFERROR(IF(compras_mes9[[#This Row],[CUIT]]="","-",VLOOKUP(compras_mes9[[#This Row],[CUIT]],Lista_CUIT[#All],2,0)),"CUIT NO CARGADO")</f>
        <v>ELECTRO UNIVERSO - PLIN METAL S A</v>
      </c>
      <c r="H161" s="95">
        <v>7800.02</v>
      </c>
      <c r="I161" s="86">
        <f>IF(compras_mes9[[#This Row],[NETO GRAVADO]]="","",compras_mes9[[#This Row],[NETO GRAVADO]]*0.21)</f>
        <v>1638.0042000000001</v>
      </c>
      <c r="J161" s="86"/>
      <c r="K161" s="86"/>
      <c r="L161" s="86"/>
      <c r="M161" s="86"/>
      <c r="N161" s="86"/>
      <c r="O161" s="86"/>
      <c r="P161" s="87">
        <f>SUM(compras_mes9[[#This Row],[NETO GRAVADO]:[Otros / No Grav.]])</f>
        <v>9438.0241999999998</v>
      </c>
      <c r="Q161" s="88">
        <f>IFERROR(IF(compras_mes9[[#This Row],[CUIT]]="","-",VLOOKUP(compras_mes9[[#This Row],[CUIT]],Lista_CUIT[#All],3,0)),"CUIT NO CARGADO")</f>
        <v>0</v>
      </c>
      <c r="R161" s="88">
        <f>IFERROR(IF(compras_mes9[[#This Row],[CUIT]]="","-",VLOOKUP(compras_mes9[[#This Row],[CUIT]],Lista_CUIT[#All],4,0)),"CUIT NO CARGADO")</f>
        <v>0</v>
      </c>
    </row>
    <row r="162" spans="2:18" x14ac:dyDescent="0.3">
      <c r="B162" s="509">
        <v>45198</v>
      </c>
      <c r="C162" s="511">
        <v>1</v>
      </c>
      <c r="D162" s="512">
        <v>27</v>
      </c>
      <c r="E162" s="513">
        <v>1698949</v>
      </c>
      <c r="F162" s="514">
        <v>30703088534</v>
      </c>
      <c r="G162" s="515" t="str">
        <f>IFERROR(IF(compras_mes9[[#This Row],[CUIT]]="","-",VLOOKUP(compras_mes9[[#This Row],[CUIT]],Lista_CUIT[#All],2,0)),"CUIT NO CARGADO")</f>
        <v>MERCADO LIBRE SRL</v>
      </c>
      <c r="H162" s="526">
        <v>497614.48</v>
      </c>
      <c r="I162" s="527">
        <f>IF(compras_mes9[[#This Row],[NETO GRAVADO]]="","",compras_mes9[[#This Row],[NETO GRAVADO]]*0.21)</f>
        <v>104499.04079999999</v>
      </c>
      <c r="J162" s="528"/>
      <c r="K162" s="528"/>
      <c r="L162" s="528"/>
      <c r="M162" s="528"/>
      <c r="N162" s="528"/>
      <c r="O162" s="528">
        <v>49761.4</v>
      </c>
      <c r="P162" s="529">
        <f>SUM(compras_mes9[[#This Row],[NETO GRAVADO]:[Otros / No Grav.]])</f>
        <v>651874.92079999996</v>
      </c>
      <c r="Q162" s="519" t="str">
        <f>IFERROR(IF(compras_mes9[[#This Row],[CUIT]]="","-",VLOOKUP(compras_mes9[[#This Row],[CUIT]],Lista_CUIT[#All],3,0)),"CUIT NO CARGADO")</f>
        <v>Gastos Varios</v>
      </c>
      <c r="R162" s="519" t="str">
        <f>IFERROR(IF(compras_mes9[[#This Row],[CUIT]]="","-",VLOOKUP(compras_mes9[[#This Row],[CUIT]],Lista_CUIT[#All],4,0)),"CUIT NO CARGADO")</f>
        <v>CABA</v>
      </c>
    </row>
    <row r="163" spans="2:18" x14ac:dyDescent="0.3">
      <c r="B163" s="456">
        <v>45198</v>
      </c>
      <c r="C163" s="457">
        <v>1</v>
      </c>
      <c r="D163" s="458">
        <v>11</v>
      </c>
      <c r="E163" s="506">
        <v>75311</v>
      </c>
      <c r="F163" s="459">
        <v>30534051049</v>
      </c>
      <c r="G163" s="460" t="str">
        <f>IFERROR(IF(compras_mes9[[#This Row],[CUIT]]="","-",VLOOKUP(compras_mes9[[#This Row],[CUIT]],Lista_CUIT[#All],2,0)),"CUIT NO CARGADO")</f>
        <v>ELECTRO UNIVERSO - PLIN METAL S A</v>
      </c>
      <c r="H163" s="461">
        <v>7800.02</v>
      </c>
      <c r="I163" s="462">
        <f>IF(compras_mes9[[#This Row],[NETO GRAVADO]]="","",compras_mes9[[#This Row],[NETO GRAVADO]]*0.21)</f>
        <v>1638.0042000000001</v>
      </c>
      <c r="J163" s="462"/>
      <c r="K163" s="462"/>
      <c r="L163" s="462"/>
      <c r="M163" s="462"/>
      <c r="N163" s="462"/>
      <c r="O163" s="462"/>
      <c r="P163" s="463">
        <f>SUM(compras_mes9[[#This Row],[NETO GRAVADO]:[Otros / No Grav.]])</f>
        <v>9438.0241999999998</v>
      </c>
      <c r="Q163" s="464">
        <f>IFERROR(IF(compras_mes9[[#This Row],[CUIT]]="","-",VLOOKUP(compras_mes9[[#This Row],[CUIT]],Lista_CUIT[#All],3,0)),"CUIT NO CARGADO")</f>
        <v>0</v>
      </c>
      <c r="R163" s="464">
        <f>IFERROR(IF(compras_mes9[[#This Row],[CUIT]]="","-",VLOOKUP(compras_mes9[[#This Row],[CUIT]],Lista_CUIT[#All],4,0)),"CUIT NO CARGADO")</f>
        <v>0</v>
      </c>
    </row>
    <row r="164" spans="2:18" x14ac:dyDescent="0.3">
      <c r="B164" s="509">
        <v>45199</v>
      </c>
      <c r="C164" s="511">
        <v>1</v>
      </c>
      <c r="D164" s="512">
        <v>13560</v>
      </c>
      <c r="E164" s="513">
        <v>1007</v>
      </c>
      <c r="F164" s="514">
        <v>30590360763</v>
      </c>
      <c r="G164" s="515" t="str">
        <f>IFERROR(IF(compras_mes9[[#This Row],[CUIT]]="","-",VLOOKUP(compras_mes9[[#This Row],[CUIT]],Lista_CUIT[#All],2,0)),"CUIT NO CARGADO")</f>
        <v>CENCOSUD S.A</v>
      </c>
      <c r="H164" s="516">
        <v>30032.97</v>
      </c>
      <c r="I164" s="517">
        <v>5331.71</v>
      </c>
      <c r="J164" s="517"/>
      <c r="K164" s="517">
        <v>487.6</v>
      </c>
      <c r="L164" s="517">
        <v>839.18</v>
      </c>
      <c r="M164" s="517"/>
      <c r="N164" s="517">
        <v>1801.98</v>
      </c>
      <c r="O164" s="517">
        <v>31.12</v>
      </c>
      <c r="P164" s="518">
        <f>SUM(compras_mes9[[#This Row],[NETO GRAVADO]:[Otros / No Grav.]])</f>
        <v>38524.560000000005</v>
      </c>
      <c r="Q164" s="519" t="str">
        <f>IFERROR(IF(compras_mes9[[#This Row],[CUIT]]="","-",VLOOKUP(compras_mes9[[#This Row],[CUIT]],Lista_CUIT[#All],3,0)),"CUIT NO CARGADO")</f>
        <v>Gastos Varios</v>
      </c>
      <c r="R164" s="519">
        <f>IFERROR(IF(compras_mes9[[#This Row],[CUIT]]="","-",VLOOKUP(compras_mes9[[#This Row],[CUIT]],Lista_CUIT[#All],4,0)),"CUIT NO CARGADO")</f>
        <v>0</v>
      </c>
    </row>
    <row r="165" spans="2:18" x14ac:dyDescent="0.3">
      <c r="B165" s="456">
        <v>45199</v>
      </c>
      <c r="C165" s="457">
        <v>1</v>
      </c>
      <c r="D165" s="458">
        <v>12</v>
      </c>
      <c r="E165" s="506">
        <v>9506</v>
      </c>
      <c r="F165" s="459">
        <v>30653466931</v>
      </c>
      <c r="G165" s="460" t="str">
        <f>IFERROR(IF(compras_mes9[[#This Row],[CUIT]]="","-",VLOOKUP(compras_mes9[[#This Row],[CUIT]],Lista_CUIT[#All],2,0)),"CUIT NO CARGADO")</f>
        <v>GNC ESCOBAR SA</v>
      </c>
      <c r="H165" s="46">
        <v>11865.96</v>
      </c>
      <c r="I165" s="85">
        <f>IF(compras_mes9[[#This Row],[NETO GRAVADO]]="","",compras_mes9[[#This Row],[NETO GRAVADO]]*0.21)</f>
        <v>2491.8515999999995</v>
      </c>
      <c r="J165" s="462"/>
      <c r="K165" s="462"/>
      <c r="L165" s="462"/>
      <c r="M165" s="462"/>
      <c r="N165" s="462"/>
      <c r="O165" s="462">
        <v>1441.23</v>
      </c>
      <c r="P165" s="463">
        <f>SUM(compras_mes9[[#This Row],[NETO GRAVADO]:[Otros / No Grav.]])</f>
        <v>15799.041599999999</v>
      </c>
      <c r="Q165" s="464" t="str">
        <f>IFERROR(IF(compras_mes9[[#This Row],[CUIT]]="","-",VLOOKUP(compras_mes9[[#This Row],[CUIT]],Lista_CUIT[#All],3,0)),"CUIT NO CARGADO")</f>
        <v>COMBUSTIBLE</v>
      </c>
      <c r="R165" s="464">
        <f>IFERROR(IF(compras_mes9[[#This Row],[CUIT]]="","-",VLOOKUP(compras_mes9[[#This Row],[CUIT]],Lista_CUIT[#All],4,0)),"CUIT NO CARGADO")</f>
        <v>0</v>
      </c>
    </row>
    <row r="166" spans="2:18" x14ac:dyDescent="0.3">
      <c r="B166" s="456">
        <v>45199</v>
      </c>
      <c r="C166" s="457">
        <v>1</v>
      </c>
      <c r="D166" s="458">
        <v>6860</v>
      </c>
      <c r="E166" s="506">
        <v>23265</v>
      </c>
      <c r="F166" s="459">
        <v>30678774495</v>
      </c>
      <c r="G166" s="460" t="str">
        <f>IFERROR(IF(compras_mes9[[#This Row],[CUIT]]="","-",VLOOKUP(compras_mes9[[#This Row],[CUIT]],Lista_CUIT[#All],2,0)),"CUIT NO CARGADO")</f>
        <v>OPER. DE EST. DE SERV. SA</v>
      </c>
      <c r="H166" s="95">
        <v>9041.1200000000008</v>
      </c>
      <c r="I166" s="86">
        <f>IF(compras_mes9[[#This Row],[NETO GRAVADO]]="","",compras_mes9[[#This Row],[NETO GRAVADO]]*0.21)</f>
        <v>1898.6352000000002</v>
      </c>
      <c r="J166" s="462"/>
      <c r="K166" s="462"/>
      <c r="L166" s="462"/>
      <c r="M166" s="462"/>
      <c r="N166" s="462"/>
      <c r="O166" s="462">
        <v>1060.26</v>
      </c>
      <c r="P166" s="463">
        <f>SUM(compras_mes9[[#This Row],[NETO GRAVADO]:[Otros / No Grav.]])</f>
        <v>12000.015200000002</v>
      </c>
      <c r="Q166" s="464" t="str">
        <f>IFERROR(IF(compras_mes9[[#This Row],[CUIT]]="","-",VLOOKUP(compras_mes9[[#This Row],[CUIT]],Lista_CUIT[#All],3,0)),"CUIT NO CARGADO")</f>
        <v>Combustibe</v>
      </c>
      <c r="R166" s="464">
        <f>IFERROR(IF(compras_mes9[[#This Row],[CUIT]]="","-",VLOOKUP(compras_mes9[[#This Row],[CUIT]],Lista_CUIT[#All],4,0)),"CUIT NO CARGADO")</f>
        <v>0</v>
      </c>
    </row>
    <row r="167" spans="2:18" x14ac:dyDescent="0.3">
      <c r="B167" s="456">
        <v>45199</v>
      </c>
      <c r="C167" s="457">
        <v>1</v>
      </c>
      <c r="D167" s="458">
        <v>12</v>
      </c>
      <c r="E167" s="506">
        <v>34143</v>
      </c>
      <c r="F167" s="459">
        <v>30696131003</v>
      </c>
      <c r="G167" s="460" t="str">
        <f>IFERROR(IF(compras_mes9[[#This Row],[CUIT]]="","-",VLOOKUP(compras_mes9[[#This Row],[CUIT]],Lista_CUIT[#All],2,0)),"CUIT NO CARGADO")</f>
        <v>Petrolfe S.A.</v>
      </c>
      <c r="H167" s="46">
        <v>40553.56</v>
      </c>
      <c r="I167" s="85">
        <f>IF(compras_mes9[[#This Row],[NETO GRAVADO]]="","",compras_mes9[[#This Row],[NETO GRAVADO]]*0.21)</f>
        <v>8516.2475999999988</v>
      </c>
      <c r="J167" s="462"/>
      <c r="K167" s="462"/>
      <c r="L167" s="462"/>
      <c r="M167" s="462"/>
      <c r="N167" s="462"/>
      <c r="O167" s="462">
        <v>4863.2</v>
      </c>
      <c r="P167" s="463">
        <f>SUM(compras_mes9[[#This Row],[NETO GRAVADO]:[Otros / No Grav.]])</f>
        <v>53933.007599999997</v>
      </c>
      <c r="Q167" s="464" t="str">
        <f>IFERROR(IF(compras_mes9[[#This Row],[CUIT]]="","-",VLOOKUP(compras_mes9[[#This Row],[CUIT]],Lista_CUIT[#All],3,0)),"CUIT NO CARGADO")</f>
        <v>Combustible</v>
      </c>
      <c r="R167" s="464">
        <f>IFERROR(IF(compras_mes9[[#This Row],[CUIT]]="","-",VLOOKUP(compras_mes9[[#This Row],[CUIT]],Lista_CUIT[#All],4,0)),"CUIT NO CARGADO")</f>
        <v>0</v>
      </c>
    </row>
    <row r="168" spans="2:18" x14ac:dyDescent="0.3">
      <c r="B168" s="509">
        <v>45199</v>
      </c>
      <c r="C168" s="511">
        <v>1</v>
      </c>
      <c r="D168" s="512">
        <v>50</v>
      </c>
      <c r="E168" s="513">
        <v>3273906</v>
      </c>
      <c r="F168" s="514">
        <v>30714112836</v>
      </c>
      <c r="G168" s="515" t="str">
        <f>IFERROR(IF(compras_mes9[[#This Row],[CUIT]]="","-",VLOOKUP(compras_mes9[[#This Row],[CUIT]],Lista_CUIT[#All],2,0)),"CUIT NO CARGADO")</f>
        <v>AUTOPISTAS DE BS AS</v>
      </c>
      <c r="H168" s="516">
        <v>13896.7</v>
      </c>
      <c r="I168" s="517">
        <f>IF(compras_mes9[[#This Row],[NETO GRAVADO]]="","",compras_mes9[[#This Row],[NETO GRAVADO]]*0.21)</f>
        <v>2918.3070000000002</v>
      </c>
      <c r="J168" s="517"/>
      <c r="K168" s="517"/>
      <c r="L168" s="517">
        <v>416.9</v>
      </c>
      <c r="M168" s="517"/>
      <c r="N168" s="517"/>
      <c r="O168" s="517"/>
      <c r="P168" s="518">
        <f>SUM(compras_mes9[[#This Row],[NETO GRAVADO]:[Otros / No Grav.]])</f>
        <v>17231.907000000003</v>
      </c>
      <c r="Q168" s="519">
        <f>IFERROR(IF(compras_mes9[[#This Row],[CUIT]]="","-",VLOOKUP(compras_mes9[[#This Row],[CUIT]],Lista_CUIT[#All],3,0)),"CUIT NO CARGADO")</f>
        <v>0</v>
      </c>
      <c r="R168" s="519">
        <f>IFERROR(IF(compras_mes9[[#This Row],[CUIT]]="","-",VLOOKUP(compras_mes9[[#This Row],[CUIT]],Lista_CUIT[#All],4,0)),"CUIT NO CARGADO")</f>
        <v>0</v>
      </c>
    </row>
    <row r="169" spans="2:18" s="56" customFormat="1" ht="18.600000000000001" customHeight="1" x14ac:dyDescent="0.3">
      <c r="B169" s="89"/>
      <c r="C169" s="90"/>
      <c r="D169" s="91"/>
      <c r="E169" s="92"/>
      <c r="F169" s="93"/>
      <c r="G169" s="94" t="str">
        <f>IFERROR(IF(compras_mes9[[#This Row],[CUIT]]="","-",VLOOKUP(compras_mes9[[#This Row],[CUIT]],Lista_CUIT[#All],2,0)),"CUIT NO CARGADO")</f>
        <v>-</v>
      </c>
      <c r="H169" s="95"/>
      <c r="I169" s="86" t="str">
        <f>IF(compras_mes9[[#This Row],[NETO GRAVADO]]="","",compras_mes9[[#This Row],[NETO GRAVADO]]*0.21)</f>
        <v/>
      </c>
      <c r="J169" s="86"/>
      <c r="K169" s="86"/>
      <c r="L169" s="86"/>
      <c r="M169" s="86"/>
      <c r="N169" s="86"/>
      <c r="O169" s="86"/>
      <c r="P169" s="87">
        <f>SUM(compras_mes9[[#This Row],[NETO GRAVADO]:[Otros / No Grav.]])</f>
        <v>0</v>
      </c>
      <c r="Q169" s="88" t="str">
        <f>IFERROR(IF(compras_mes9[[#This Row],[CUIT]]="","-",VLOOKUP(compras_mes9[[#This Row],[CUIT]],Lista_CUIT[#All],3,0)),"CUIT NO CARGADO")</f>
        <v>-</v>
      </c>
      <c r="R169" s="88" t="str">
        <f>IFERROR(IF(compras_mes9[[#This Row],[CUIT]]="","-",VLOOKUP(compras_mes9[[#This Row],[CUIT]],Lista_CUIT[#All],4,0)),"CUIT NO CARGADO")</f>
        <v>-</v>
      </c>
    </row>
    <row r="170" spans="2:18" x14ac:dyDescent="0.3">
      <c r="B170" s="96" t="s">
        <v>103</v>
      </c>
      <c r="C170" s="96"/>
      <c r="D170" s="96"/>
      <c r="E170" s="96"/>
      <c r="F170" s="96"/>
      <c r="G170" s="97"/>
      <c r="H170" s="98">
        <f>SUBTOTAL(109,compras_mes9[NETO GRAVADO])</f>
        <v>39233492.230000012</v>
      </c>
      <c r="I170" s="98">
        <f>SUBTOTAL(109,compras_mes9[IVA 21 %])</f>
        <v>7741275.9568999996</v>
      </c>
      <c r="J170" s="98">
        <f>SUBTOTAL(109,compras_mes9[IVA 27%])</f>
        <v>9994.5399999999991</v>
      </c>
      <c r="K170" s="98">
        <f>SUBTOTAL(109,compras_mes9[IVA 10,5%])</f>
        <v>244776.15999999997</v>
      </c>
      <c r="L170" s="98">
        <f>SUBTOTAL(109,compras_mes9[PERC. IVA])</f>
        <v>20842.900000000001</v>
      </c>
      <c r="M170" s="98">
        <f>SUBTOTAL(109,compras_mes9[PERC IIBB 
BS AS])</f>
        <v>754.88</v>
      </c>
      <c r="N170" s="98">
        <f>SUBTOTAL(109,compras_mes9[PERC. IIBB CABA])</f>
        <v>505198.49000000011</v>
      </c>
      <c r="O170" s="98">
        <f>SUBTOTAL(109,compras_mes9[Otros / No Grav.])</f>
        <v>98439.749999999985</v>
      </c>
      <c r="P170" s="98">
        <f>SUBTOTAL(109,compras_mes9[TOTAL])</f>
        <v>47854774.906899981</v>
      </c>
      <c r="Q170" s="96"/>
      <c r="R170" s="96"/>
    </row>
    <row r="171" spans="2:18" x14ac:dyDescent="0.3">
      <c r="B171" s="40"/>
      <c r="C171" s="41"/>
      <c r="D171" s="42"/>
      <c r="E171" s="43"/>
      <c r="F171" s="44"/>
      <c r="G171" s="45"/>
      <c r="H171" s="46"/>
      <c r="I171" s="47"/>
      <c r="J171" s="47"/>
      <c r="K171" s="47"/>
      <c r="L171" s="47"/>
      <c r="M171" s="47"/>
      <c r="N171" s="47"/>
      <c r="O171" s="47"/>
      <c r="P171" s="48"/>
      <c r="Q171" s="49"/>
      <c r="R171" s="49"/>
    </row>
    <row r="172" spans="2:18" x14ac:dyDescent="0.3">
      <c r="B172" s="40"/>
      <c r="C172" s="41"/>
      <c r="D172" s="42"/>
      <c r="E172" s="43"/>
      <c r="F172" s="44"/>
      <c r="G172" s="45"/>
      <c r="H172" s="46"/>
      <c r="I172" s="47"/>
      <c r="J172" s="47"/>
      <c r="K172" s="47"/>
      <c r="L172" s="47"/>
      <c r="M172" s="47"/>
      <c r="N172" s="47"/>
      <c r="O172" s="47"/>
      <c r="P172" s="48"/>
      <c r="Q172" s="49"/>
      <c r="R172" s="49"/>
    </row>
    <row r="173" spans="2:18" ht="14.4" customHeight="1" x14ac:dyDescent="0.3">
      <c r="B173" s="40"/>
      <c r="C173" s="41"/>
      <c r="D173" s="42"/>
      <c r="E173" s="43"/>
      <c r="F173" s="44"/>
      <c r="G173" s="45"/>
      <c r="H173" s="46"/>
      <c r="I173" s="47"/>
      <c r="J173" s="47"/>
      <c r="K173" s="47"/>
      <c r="L173" s="47"/>
      <c r="M173" s="47"/>
      <c r="N173" s="47"/>
      <c r="O173" s="47"/>
      <c r="P173" s="48"/>
      <c r="Q173" s="49"/>
      <c r="R173" s="49"/>
    </row>
    <row r="174" spans="2:18" ht="22.95" customHeight="1" x14ac:dyDescent="0.3">
      <c r="B174" s="40"/>
      <c r="C174" s="41"/>
      <c r="D174" s="42"/>
      <c r="E174" s="43"/>
      <c r="F174" s="44"/>
      <c r="G174" s="45"/>
      <c r="H174" s="46"/>
      <c r="I174" s="47"/>
      <c r="J174" s="47"/>
      <c r="K174" s="47"/>
      <c r="L174" s="47"/>
    </row>
    <row r="175" spans="2:18" ht="21" x14ac:dyDescent="0.3">
      <c r="D175" s="653" t="s">
        <v>15</v>
      </c>
      <c r="E175" s="653"/>
      <c r="F175" s="653"/>
      <c r="G175" s="653"/>
      <c r="H175" s="653"/>
      <c r="I175" s="653"/>
      <c r="J175" s="653"/>
      <c r="K175" s="653"/>
      <c r="L175" s="653"/>
    </row>
    <row r="176" spans="2:18" ht="14.4" customHeight="1" x14ac:dyDescent="0.3">
      <c r="D176" s="73" t="s">
        <v>0</v>
      </c>
      <c r="E176" s="74" t="s">
        <v>26</v>
      </c>
      <c r="F176" s="74" t="s">
        <v>16</v>
      </c>
      <c r="G176" s="74" t="s">
        <v>5</v>
      </c>
      <c r="H176" s="74" t="s">
        <v>17</v>
      </c>
      <c r="I176" s="74" t="s">
        <v>7</v>
      </c>
      <c r="J176" s="75" t="s">
        <v>18</v>
      </c>
      <c r="K176" s="75" t="s">
        <v>19</v>
      </c>
      <c r="L176" s="76" t="s">
        <v>20</v>
      </c>
    </row>
    <row r="177" spans="4:12" ht="14.4" customHeight="1" x14ac:dyDescent="0.3">
      <c r="D177" s="50">
        <v>45199</v>
      </c>
      <c r="E177" s="80"/>
      <c r="F177" s="531" t="s">
        <v>2022</v>
      </c>
      <c r="G177" s="530">
        <v>74966.679999999993</v>
      </c>
      <c r="H177" s="530">
        <v>15743.002800000002</v>
      </c>
      <c r="I177" s="530">
        <v>0</v>
      </c>
      <c r="J177" s="530">
        <v>24363.739999999998</v>
      </c>
      <c r="K177" s="81"/>
      <c r="L177" s="81"/>
    </row>
    <row r="178" spans="4:12" ht="15" customHeight="1" x14ac:dyDescent="0.3">
      <c r="D178" s="50">
        <v>45199</v>
      </c>
      <c r="E178" s="80"/>
      <c r="F178" s="531" t="s">
        <v>1933</v>
      </c>
      <c r="G178" s="530">
        <v>3997.22</v>
      </c>
      <c r="H178" s="530">
        <v>839.41619999999989</v>
      </c>
      <c r="I178" s="530">
        <v>0</v>
      </c>
      <c r="J178" s="530">
        <v>0</v>
      </c>
      <c r="K178" s="81"/>
      <c r="L178" s="81"/>
    </row>
    <row r="179" spans="4:12" ht="15" customHeight="1" x14ac:dyDescent="0.3">
      <c r="D179" s="50">
        <v>45199</v>
      </c>
      <c r="E179" s="80"/>
      <c r="F179" s="531" t="s">
        <v>2023</v>
      </c>
      <c r="G179" s="530">
        <v>22628.09</v>
      </c>
      <c r="H179" s="530">
        <v>4751.8988999999992</v>
      </c>
      <c r="I179" s="530">
        <v>0</v>
      </c>
      <c r="J179" s="530">
        <v>1259.47</v>
      </c>
      <c r="K179" s="81"/>
      <c r="L179" s="81"/>
    </row>
    <row r="180" spans="4:12" ht="15" customHeight="1" x14ac:dyDescent="0.3">
      <c r="D180" s="50">
        <v>45199</v>
      </c>
      <c r="E180" s="80"/>
      <c r="F180" s="531" t="s">
        <v>2024</v>
      </c>
      <c r="G180" s="530">
        <v>13169</v>
      </c>
      <c r="H180" s="530">
        <v>2765.49</v>
      </c>
      <c r="I180" s="530">
        <v>0</v>
      </c>
      <c r="J180" s="530">
        <v>787.5</v>
      </c>
      <c r="K180" s="81"/>
      <c r="L180" s="81"/>
    </row>
    <row r="181" spans="4:12" ht="15" customHeight="1" x14ac:dyDescent="0.3">
      <c r="D181" s="50">
        <v>45199</v>
      </c>
      <c r="E181" s="80"/>
      <c r="F181" s="531" t="s">
        <v>2025</v>
      </c>
      <c r="G181" s="530">
        <v>211857.01000000007</v>
      </c>
      <c r="H181" s="530">
        <v>44489.972099999992</v>
      </c>
      <c r="I181" s="530">
        <v>79178.429999999993</v>
      </c>
      <c r="J181" s="530">
        <v>626921.46000000008</v>
      </c>
      <c r="K181" s="81"/>
      <c r="L181" s="81"/>
    </row>
    <row r="182" spans="4:12" ht="15" customHeight="1" x14ac:dyDescent="0.3">
      <c r="D182" s="50">
        <v>45199</v>
      </c>
      <c r="E182" s="80"/>
      <c r="F182" s="531" t="s">
        <v>2026</v>
      </c>
      <c r="G182" s="530">
        <v>36600</v>
      </c>
      <c r="H182" s="530">
        <v>7686</v>
      </c>
      <c r="I182" s="530">
        <v>0</v>
      </c>
      <c r="J182" s="530">
        <v>0</v>
      </c>
      <c r="K182" s="81"/>
      <c r="L182" s="81"/>
    </row>
    <row r="183" spans="4:12" ht="15" customHeight="1" x14ac:dyDescent="0.3">
      <c r="D183" s="50">
        <v>45199</v>
      </c>
      <c r="E183" s="80"/>
      <c r="F183" s="532" t="s">
        <v>2027</v>
      </c>
      <c r="G183" s="530">
        <v>1709.8399999999997</v>
      </c>
      <c r="H183" s="530">
        <v>359.06640000000004</v>
      </c>
      <c r="I183" s="530">
        <v>0</v>
      </c>
      <c r="J183" s="530">
        <v>9540.9100000000017</v>
      </c>
      <c r="K183" s="81"/>
      <c r="L183" s="81"/>
    </row>
    <row r="184" spans="4:12" ht="15" customHeight="1" x14ac:dyDescent="0.3">
      <c r="D184" s="50">
        <v>45199</v>
      </c>
      <c r="E184" s="80"/>
      <c r="F184" s="532" t="s">
        <v>2028</v>
      </c>
      <c r="G184" s="530">
        <v>850</v>
      </c>
      <c r="H184" s="530">
        <v>178.5</v>
      </c>
      <c r="I184" s="530">
        <v>0</v>
      </c>
      <c r="J184" s="530"/>
      <c r="K184" s="81"/>
      <c r="L184" s="81"/>
    </row>
    <row r="185" spans="4:12" ht="15" customHeight="1" x14ac:dyDescent="0.3">
      <c r="D185" s="50"/>
      <c r="E185" s="79"/>
      <c r="F185" s="80"/>
      <c r="G185" s="81"/>
      <c r="H185" s="81"/>
      <c r="I185" s="81"/>
      <c r="J185" s="81"/>
      <c r="K185" s="81"/>
      <c r="L185" s="81"/>
    </row>
    <row r="186" spans="4:12" ht="15" customHeight="1" x14ac:dyDescent="0.3">
      <c r="D186" s="82" t="s">
        <v>103</v>
      </c>
      <c r="E186" s="80"/>
      <c r="F186" s="80"/>
      <c r="G186" s="83">
        <f>SUBTOTAL(109,extracto_banco_mes9[NETO])</f>
        <v>365777.84000000008</v>
      </c>
      <c r="H186" s="83">
        <f>SUBTOTAL(109,extracto_banco_mes9[IVA 21%])</f>
        <v>76813.346399999995</v>
      </c>
      <c r="I186" s="83">
        <f>SUBTOTAL(109,extracto_banco_mes9[IVA 10,5%])</f>
        <v>79178.429999999993</v>
      </c>
      <c r="J186" s="83">
        <f>SUBTOTAL(109,extracto_banco_mes9[RET IIBB CABA])</f>
        <v>662873.08000000007</v>
      </c>
      <c r="K186" s="83">
        <f>SUBTOTAL(109,extracto_banco_mes9[PERC IVA])</f>
        <v>0</v>
      </c>
      <c r="L186" s="83">
        <f>SUBTOTAL(109,extracto_banco_mes9[PERC IIBB])</f>
        <v>0</v>
      </c>
    </row>
    <row r="187" spans="4:12" ht="15" customHeight="1" x14ac:dyDescent="0.3"/>
    <row r="188" spans="4:12" ht="15" customHeight="1" x14ac:dyDescent="0.3"/>
    <row r="189" spans="4:12" ht="23.4" customHeight="1" x14ac:dyDescent="0.3"/>
    <row r="190" spans="4:12" ht="21" x14ac:dyDescent="0.3">
      <c r="D190" s="653" t="s">
        <v>25</v>
      </c>
      <c r="E190" s="653"/>
      <c r="F190" s="653"/>
      <c r="G190" s="653"/>
      <c r="H190" s="653"/>
      <c r="I190" s="653"/>
      <c r="J190" s="653"/>
      <c r="K190" s="653"/>
    </row>
    <row r="191" spans="4:12" x14ac:dyDescent="0.3">
      <c r="D191" s="51" t="s">
        <v>0</v>
      </c>
      <c r="E191" s="51" t="s">
        <v>2</v>
      </c>
      <c r="F191" s="51" t="s">
        <v>74</v>
      </c>
      <c r="G191" s="51" t="s">
        <v>3</v>
      </c>
      <c r="H191" s="51" t="s">
        <v>4</v>
      </c>
      <c r="I191" s="52" t="s">
        <v>10</v>
      </c>
      <c r="J191" s="51" t="s">
        <v>13</v>
      </c>
      <c r="K191" s="51" t="s">
        <v>38</v>
      </c>
    </row>
    <row r="192" spans="4:12" x14ac:dyDescent="0.3">
      <c r="D192" s="50">
        <v>45173</v>
      </c>
      <c r="E192" s="149">
        <v>2</v>
      </c>
      <c r="F192" s="149">
        <v>3730</v>
      </c>
      <c r="G192" s="119">
        <v>20136536320</v>
      </c>
      <c r="H192" s="53" t="str">
        <f>IFERROR(IF(factura_c_mes9[[#This Row],[CUIT]]="","-",VLOOKUP(factura_c_mes9[[#This Row],[CUIT]],Lista_CUIT[#All],2,0)),"CUIT NO CARGADO")</f>
        <v>FONTENLA ERNESTO MARIO</v>
      </c>
      <c r="I192" s="269">
        <v>480</v>
      </c>
      <c r="J192" s="54" t="str">
        <f>IFERROR(IF(factura_c_mes9[[#This Row],[CUIT]]="","-",VLOOKUP(factura_c_mes9[[#This Row],[CUIT]],Lista_CUIT[#All],3,0)),"CUIT NO CARGADO")</f>
        <v>INSUMO</v>
      </c>
      <c r="K192" s="54" t="str">
        <f>IFERROR(IF(factura_c_mes9[[#This Row],[CUIT]]="","-",VLOOKUP(factura_c_mes9[[#This Row],[CUIT]],Lista_CUIT[#All],4,0)),"CUIT NO CARGADO")</f>
        <v>CABA</v>
      </c>
    </row>
    <row r="193" spans="4:11" x14ac:dyDescent="0.3">
      <c r="D193" s="50">
        <v>45173</v>
      </c>
      <c r="E193" s="149">
        <v>3</v>
      </c>
      <c r="F193" s="149">
        <v>770</v>
      </c>
      <c r="G193" s="119">
        <v>20086277523</v>
      </c>
      <c r="H193" s="53" t="str">
        <f>IFERROR(IF(factura_c_mes9[[#This Row],[CUIT]]="","-",VLOOKUP(factura_c_mes9[[#This Row],[CUIT]],Lista_CUIT[#All],2,0)),"CUIT NO CARGADO")</f>
        <v>BOTINDARI JUAN CARLOS</v>
      </c>
      <c r="I193" s="269">
        <v>115000</v>
      </c>
      <c r="J193" s="54" t="str">
        <f>IFERROR(IF(factura_c_mes9[[#This Row],[CUIT]]="","-",VLOOKUP(factura_c_mes9[[#This Row],[CUIT]],Lista_CUIT[#All],3,0)),"CUIT NO CARGADO")</f>
        <v>HONORARIOS</v>
      </c>
      <c r="K193" s="54" t="str">
        <f>IFERROR(IF(factura_c_mes9[[#This Row],[CUIT]]="","-",VLOOKUP(factura_c_mes9[[#This Row],[CUIT]],Lista_CUIT[#All],4,0)),"CUIT NO CARGADO")</f>
        <v>CABA</v>
      </c>
    </row>
    <row r="194" spans="4:11" x14ac:dyDescent="0.3">
      <c r="D194" s="50">
        <v>45174</v>
      </c>
      <c r="E194" s="149">
        <v>2</v>
      </c>
      <c r="F194" s="149">
        <v>298</v>
      </c>
      <c r="G194" s="119">
        <v>20300814094</v>
      </c>
      <c r="H194" s="53" t="str">
        <f>IFERROR(IF(factura_c_mes9[[#This Row],[CUIT]]="","-",VLOOKUP(factura_c_mes9[[#This Row],[CUIT]],Lista_CUIT[#All],2,0)),"CUIT NO CARGADO")</f>
        <v>FARRAPEIRA OSCAR MAXIMO</v>
      </c>
      <c r="I194" s="269">
        <v>655700</v>
      </c>
      <c r="J194" s="54">
        <f>IFERROR(IF(factura_c_mes9[[#This Row],[CUIT]]="","-",VLOOKUP(factura_c_mes9[[#This Row],[CUIT]],Lista_CUIT[#All],3,0)),"CUIT NO CARGADO")</f>
        <v>0</v>
      </c>
      <c r="K194" s="54">
        <f>IFERROR(IF(factura_c_mes9[[#This Row],[CUIT]]="","-",VLOOKUP(factura_c_mes9[[#This Row],[CUIT]],Lista_CUIT[#All],4,0)),"CUIT NO CARGADO")</f>
        <v>0</v>
      </c>
    </row>
    <row r="195" spans="4:11" x14ac:dyDescent="0.3">
      <c r="D195" s="50">
        <v>45175</v>
      </c>
      <c r="E195" s="149">
        <v>2</v>
      </c>
      <c r="F195" s="149">
        <v>257</v>
      </c>
      <c r="G195" s="119">
        <v>23319210954</v>
      </c>
      <c r="H195" s="53" t="str">
        <f>IFERROR(IF(factura_c_mes9[[#This Row],[CUIT]]="","-",VLOOKUP(factura_c_mes9[[#This Row],[CUIT]],Lista_CUIT[#All],2,0)),"CUIT NO CARGADO")</f>
        <v>CAFFARATTI ROMINA PAOLA</v>
      </c>
      <c r="I195" s="269">
        <v>57545</v>
      </c>
      <c r="J195" s="54" t="str">
        <f>IFERROR(IF(factura_c_mes9[[#This Row],[CUIT]]="","-",VLOOKUP(factura_c_mes9[[#This Row],[CUIT]],Lista_CUIT[#All],3,0)),"CUIT NO CARGADO")</f>
        <v>HONORARIOS</v>
      </c>
      <c r="K195" s="54">
        <f>IFERROR(IF(factura_c_mes9[[#This Row],[CUIT]]="","-",VLOOKUP(factura_c_mes9[[#This Row],[CUIT]],Lista_CUIT[#All],4,0)),"CUIT NO CARGADO")</f>
        <v>0</v>
      </c>
    </row>
    <row r="196" spans="4:11" x14ac:dyDescent="0.3">
      <c r="D196" s="50">
        <v>45177</v>
      </c>
      <c r="E196" s="149">
        <v>3</v>
      </c>
      <c r="F196" s="149">
        <v>430</v>
      </c>
      <c r="G196" s="119">
        <v>20210551574</v>
      </c>
      <c r="H196" s="53" t="str">
        <f>IFERROR(IF(factura_c_mes9[[#This Row],[CUIT]]="","-",VLOOKUP(factura_c_mes9[[#This Row],[CUIT]],Lista_CUIT[#All],2,0)),"CUIT NO CARGADO")</f>
        <v>REUS JORGE DIEGO</v>
      </c>
      <c r="I196" s="269">
        <v>60500</v>
      </c>
      <c r="J196" s="54" t="str">
        <f>IFERROR(IF(factura_c_mes9[[#This Row],[CUIT]]="","-",VLOOKUP(factura_c_mes9[[#This Row],[CUIT]],Lista_CUIT[#All],3,0)),"CUIT NO CARGADO")</f>
        <v>HONORARIOS PROFESIONALES</v>
      </c>
      <c r="K196" s="54">
        <f>IFERROR(IF(factura_c_mes9[[#This Row],[CUIT]]="","-",VLOOKUP(factura_c_mes9[[#This Row],[CUIT]],Lista_CUIT[#All],4,0)),"CUIT NO CARGADO")</f>
        <v>0</v>
      </c>
    </row>
    <row r="197" spans="4:11" x14ac:dyDescent="0.3">
      <c r="D197" s="50">
        <v>45177</v>
      </c>
      <c r="E197" s="149">
        <v>2</v>
      </c>
      <c r="F197" s="149">
        <v>299</v>
      </c>
      <c r="G197" s="119">
        <v>20300814094</v>
      </c>
      <c r="H197" s="53" t="str">
        <f>IFERROR(IF(factura_c_mes9[[#This Row],[CUIT]]="","-",VLOOKUP(factura_c_mes9[[#This Row],[CUIT]],Lista_CUIT[#All],2,0)),"CUIT NO CARGADO")</f>
        <v>FARRAPEIRA OSCAR MAXIMO</v>
      </c>
      <c r="I197" s="269">
        <v>94500</v>
      </c>
      <c r="J197" s="54">
        <f>IFERROR(IF(factura_c_mes9[[#This Row],[CUIT]]="","-",VLOOKUP(factura_c_mes9[[#This Row],[CUIT]],Lista_CUIT[#All],3,0)),"CUIT NO CARGADO")</f>
        <v>0</v>
      </c>
      <c r="K197" s="54">
        <f>IFERROR(IF(factura_c_mes9[[#This Row],[CUIT]]="","-",VLOOKUP(factura_c_mes9[[#This Row],[CUIT]],Lista_CUIT[#All],4,0)),"CUIT NO CARGADO")</f>
        <v>0</v>
      </c>
    </row>
    <row r="198" spans="4:11" x14ac:dyDescent="0.3">
      <c r="D198" s="50">
        <v>45178</v>
      </c>
      <c r="E198" s="149">
        <v>2</v>
      </c>
      <c r="F198" s="149">
        <v>3741</v>
      </c>
      <c r="G198" s="119">
        <v>20136536320</v>
      </c>
      <c r="H198" s="53" t="str">
        <f>IFERROR(IF(factura_c_mes9[[#This Row],[CUIT]]="","-",VLOOKUP(factura_c_mes9[[#This Row],[CUIT]],Lista_CUIT[#All],2,0)),"CUIT NO CARGADO")</f>
        <v>FONTENLA ERNESTO MARIO</v>
      </c>
      <c r="I198" s="269">
        <v>14640</v>
      </c>
      <c r="J198" s="54" t="str">
        <f>IFERROR(IF(factura_c_mes9[[#This Row],[CUIT]]="","-",VLOOKUP(factura_c_mes9[[#This Row],[CUIT]],Lista_CUIT[#All],3,0)),"CUIT NO CARGADO")</f>
        <v>INSUMO</v>
      </c>
      <c r="K198" s="54" t="str">
        <f>IFERROR(IF(factura_c_mes9[[#This Row],[CUIT]]="","-",VLOOKUP(factura_c_mes9[[#This Row],[CUIT]],Lista_CUIT[#All],4,0)),"CUIT NO CARGADO")</f>
        <v>CABA</v>
      </c>
    </row>
    <row r="199" spans="4:11" x14ac:dyDescent="0.3">
      <c r="D199" s="50">
        <v>45180</v>
      </c>
      <c r="E199" s="149">
        <v>8</v>
      </c>
      <c r="F199" s="149">
        <v>434</v>
      </c>
      <c r="G199" s="119">
        <v>27409592487</v>
      </c>
      <c r="H199" s="53" t="str">
        <f>IFERROR(IF(factura_c_mes9[[#This Row],[CUIT]]="","-",VLOOKUP(factura_c_mes9[[#This Row],[CUIT]],Lista_CUIT[#All],2,0)),"CUIT NO CARGADO")</f>
        <v>BAUDONE ANTONELLA AGOSTINA</v>
      </c>
      <c r="I199" s="269">
        <v>29120</v>
      </c>
      <c r="J199" s="54">
        <f>IFERROR(IF(factura_c_mes9[[#This Row],[CUIT]]="","-",VLOOKUP(factura_c_mes9[[#This Row],[CUIT]],Lista_CUIT[#All],3,0)),"CUIT NO CARGADO")</f>
        <v>0</v>
      </c>
      <c r="K199" s="54">
        <f>IFERROR(IF(factura_c_mes9[[#This Row],[CUIT]]="","-",VLOOKUP(factura_c_mes9[[#This Row],[CUIT]],Lista_CUIT[#All],4,0)),"CUIT NO CARGADO")</f>
        <v>0</v>
      </c>
    </row>
    <row r="200" spans="4:11" x14ac:dyDescent="0.3">
      <c r="D200" s="50">
        <v>45181</v>
      </c>
      <c r="E200" s="149">
        <v>2</v>
      </c>
      <c r="F200" s="149">
        <v>3743</v>
      </c>
      <c r="G200" s="119">
        <v>20136536320</v>
      </c>
      <c r="H200" s="53" t="str">
        <f>IFERROR(IF(factura_c_mes9[[#This Row],[CUIT]]="","-",VLOOKUP(factura_c_mes9[[#This Row],[CUIT]],Lista_CUIT[#All],2,0)),"CUIT NO CARGADO")</f>
        <v>FONTENLA ERNESTO MARIO</v>
      </c>
      <c r="I200" s="269">
        <v>1470</v>
      </c>
      <c r="J200" s="54" t="str">
        <f>IFERROR(IF(factura_c_mes9[[#This Row],[CUIT]]="","-",VLOOKUP(factura_c_mes9[[#This Row],[CUIT]],Lista_CUIT[#All],3,0)),"CUIT NO CARGADO")</f>
        <v>INSUMO</v>
      </c>
      <c r="K200" s="54" t="str">
        <f>IFERROR(IF(factura_c_mes9[[#This Row],[CUIT]]="","-",VLOOKUP(factura_c_mes9[[#This Row],[CUIT]],Lista_CUIT[#All],4,0)),"CUIT NO CARGADO")</f>
        <v>CABA</v>
      </c>
    </row>
    <row r="201" spans="4:11" x14ac:dyDescent="0.3">
      <c r="D201" s="50">
        <v>45184</v>
      </c>
      <c r="E201" s="149">
        <v>2</v>
      </c>
      <c r="F201" s="149">
        <v>3751</v>
      </c>
      <c r="G201" s="119">
        <v>20136536320</v>
      </c>
      <c r="H201" s="53" t="str">
        <f>IFERROR(IF(factura_c_mes9[[#This Row],[CUIT]]="","-",VLOOKUP(factura_c_mes9[[#This Row],[CUIT]],Lista_CUIT[#All],2,0)),"CUIT NO CARGADO")</f>
        <v>FONTENLA ERNESTO MARIO</v>
      </c>
      <c r="I201" s="269">
        <v>6600</v>
      </c>
      <c r="J201" s="54" t="str">
        <f>IFERROR(IF(factura_c_mes9[[#This Row],[CUIT]]="","-",VLOOKUP(factura_c_mes9[[#This Row],[CUIT]],Lista_CUIT[#All],3,0)),"CUIT NO CARGADO")</f>
        <v>INSUMO</v>
      </c>
      <c r="K201" s="54" t="str">
        <f>IFERROR(IF(factura_c_mes9[[#This Row],[CUIT]]="","-",VLOOKUP(factura_c_mes9[[#This Row],[CUIT]],Lista_CUIT[#All],4,0)),"CUIT NO CARGADO")</f>
        <v>CABA</v>
      </c>
    </row>
    <row r="202" spans="4:11" x14ac:dyDescent="0.3">
      <c r="D202" s="50">
        <v>45186</v>
      </c>
      <c r="E202" s="149">
        <v>3</v>
      </c>
      <c r="F202" s="149">
        <v>605</v>
      </c>
      <c r="G202" s="119">
        <v>20173025557</v>
      </c>
      <c r="H202" s="53" t="str">
        <f>IFERROR(IF(factura_c_mes9[[#This Row],[CUIT]]="","-",VLOOKUP(factura_c_mes9[[#This Row],[CUIT]],Lista_CUIT[#All],2,0)),"CUIT NO CARGADO")</f>
        <v>MARAUDA HECTOR</v>
      </c>
      <c r="I202" s="269">
        <v>2000</v>
      </c>
      <c r="J202" s="54">
        <f>IFERROR(IF(factura_c_mes9[[#This Row],[CUIT]]="","-",VLOOKUP(factura_c_mes9[[#This Row],[CUIT]],Lista_CUIT[#All],3,0)),"CUIT NO CARGADO")</f>
        <v>0</v>
      </c>
      <c r="K202" s="54">
        <f>IFERROR(IF(factura_c_mes9[[#This Row],[CUIT]]="","-",VLOOKUP(factura_c_mes9[[#This Row],[CUIT]],Lista_CUIT[#All],4,0)),"CUIT NO CARGADO")</f>
        <v>0</v>
      </c>
    </row>
    <row r="203" spans="4:11" x14ac:dyDescent="0.3">
      <c r="D203" s="50">
        <v>45188</v>
      </c>
      <c r="E203" s="149">
        <v>2</v>
      </c>
      <c r="F203" s="149">
        <v>3753</v>
      </c>
      <c r="G203" s="119">
        <v>20136536320</v>
      </c>
      <c r="H203" s="53" t="str">
        <f>IFERROR(IF(factura_c_mes9[[#This Row],[CUIT]]="","-",VLOOKUP(factura_c_mes9[[#This Row],[CUIT]],Lista_CUIT[#All],2,0)),"CUIT NO CARGADO")</f>
        <v>FONTENLA ERNESTO MARIO</v>
      </c>
      <c r="I203" s="269">
        <v>2250</v>
      </c>
      <c r="J203" s="54" t="str">
        <f>IFERROR(IF(factura_c_mes9[[#This Row],[CUIT]]="","-",VLOOKUP(factura_c_mes9[[#This Row],[CUIT]],Lista_CUIT[#All],3,0)),"CUIT NO CARGADO")</f>
        <v>INSUMO</v>
      </c>
      <c r="K203" s="54" t="str">
        <f>IFERROR(IF(factura_c_mes9[[#This Row],[CUIT]]="","-",VLOOKUP(factura_c_mes9[[#This Row],[CUIT]],Lista_CUIT[#All],4,0)),"CUIT NO CARGADO")</f>
        <v>CABA</v>
      </c>
    </row>
    <row r="204" spans="4:11" x14ac:dyDescent="0.3">
      <c r="D204" s="50">
        <v>45189</v>
      </c>
      <c r="E204" s="149">
        <v>2</v>
      </c>
      <c r="F204" s="149">
        <v>3756</v>
      </c>
      <c r="G204" s="119">
        <v>20136536320</v>
      </c>
      <c r="H204" s="53" t="str">
        <f>IFERROR(IF(factura_c_mes9[[#This Row],[CUIT]]="","-",VLOOKUP(factura_c_mes9[[#This Row],[CUIT]],Lista_CUIT[#All],2,0)),"CUIT NO CARGADO")</f>
        <v>FONTENLA ERNESTO MARIO</v>
      </c>
      <c r="I204" s="269">
        <v>900</v>
      </c>
      <c r="J204" s="54" t="str">
        <f>IFERROR(IF(factura_c_mes9[[#This Row],[CUIT]]="","-",VLOOKUP(factura_c_mes9[[#This Row],[CUIT]],Lista_CUIT[#All],3,0)),"CUIT NO CARGADO")</f>
        <v>INSUMO</v>
      </c>
      <c r="K204" s="54" t="str">
        <f>IFERROR(IF(factura_c_mes9[[#This Row],[CUIT]]="","-",VLOOKUP(factura_c_mes9[[#This Row],[CUIT]],Lista_CUIT[#All],4,0)),"CUIT NO CARGADO")</f>
        <v>CABA</v>
      </c>
    </row>
    <row r="205" spans="4:11" x14ac:dyDescent="0.3">
      <c r="D205" s="50">
        <v>45191</v>
      </c>
      <c r="E205" s="149">
        <v>8</v>
      </c>
      <c r="F205" s="149">
        <v>448</v>
      </c>
      <c r="G205" s="119">
        <v>27409592487</v>
      </c>
      <c r="H205" s="53" t="str">
        <f>IFERROR(IF(factura_c_mes9[[#This Row],[CUIT]]="","-",VLOOKUP(factura_c_mes9[[#This Row],[CUIT]],Lista_CUIT[#All],2,0)),"CUIT NO CARGADO")</f>
        <v>BAUDONE ANTONELLA AGOSTINA</v>
      </c>
      <c r="I205" s="269">
        <v>42000</v>
      </c>
      <c r="J205" s="54">
        <f>IFERROR(IF(factura_c_mes9[[#This Row],[CUIT]]="","-",VLOOKUP(factura_c_mes9[[#This Row],[CUIT]],Lista_CUIT[#All],3,0)),"CUIT NO CARGADO")</f>
        <v>0</v>
      </c>
      <c r="K205" s="54">
        <f>IFERROR(IF(factura_c_mes9[[#This Row],[CUIT]]="","-",VLOOKUP(factura_c_mes9[[#This Row],[CUIT]],Lista_CUIT[#All],4,0)),"CUIT NO CARGADO")</f>
        <v>0</v>
      </c>
    </row>
    <row r="206" spans="4:11" x14ac:dyDescent="0.3">
      <c r="D206" s="50">
        <v>45192</v>
      </c>
      <c r="E206" s="149">
        <v>2</v>
      </c>
      <c r="F206" s="149">
        <v>3764</v>
      </c>
      <c r="G206" s="119">
        <v>20136536320</v>
      </c>
      <c r="H206" s="53" t="str">
        <f>IFERROR(IF(factura_c_mes9[[#This Row],[CUIT]]="","-",VLOOKUP(factura_c_mes9[[#This Row],[CUIT]],Lista_CUIT[#All],2,0)),"CUIT NO CARGADO")</f>
        <v>FONTENLA ERNESTO MARIO</v>
      </c>
      <c r="I206" s="269">
        <v>8000</v>
      </c>
      <c r="J206" s="54" t="str">
        <f>IFERROR(IF(factura_c_mes9[[#This Row],[CUIT]]="","-",VLOOKUP(factura_c_mes9[[#This Row],[CUIT]],Lista_CUIT[#All],3,0)),"CUIT NO CARGADO")</f>
        <v>INSUMO</v>
      </c>
      <c r="K206" s="54" t="str">
        <f>IFERROR(IF(factura_c_mes9[[#This Row],[CUIT]]="","-",VLOOKUP(factura_c_mes9[[#This Row],[CUIT]],Lista_CUIT[#All],4,0)),"CUIT NO CARGADO")</f>
        <v>CABA</v>
      </c>
    </row>
    <row r="207" spans="4:11" x14ac:dyDescent="0.3">
      <c r="D207" s="50">
        <v>45194</v>
      </c>
      <c r="E207" s="149">
        <v>1</v>
      </c>
      <c r="F207" s="149">
        <v>141</v>
      </c>
      <c r="G207" s="119">
        <v>20231009524</v>
      </c>
      <c r="H207" s="53" t="str">
        <f>IFERROR(IF(factura_c_mes9[[#This Row],[CUIT]]="","-",VLOOKUP(factura_c_mes9[[#This Row],[CUIT]],Lista_CUIT[#All],2,0)),"CUIT NO CARGADO")</f>
        <v>RAMOS PATRICIO SEBASTIAN</v>
      </c>
      <c r="I207" s="269">
        <v>600000</v>
      </c>
      <c r="J207" s="54" t="str">
        <f>IFERROR(IF(factura_c_mes9[[#This Row],[CUIT]]="","-",VLOOKUP(factura_c_mes9[[#This Row],[CUIT]],Lista_CUIT[#All],3,0)),"CUIT NO CARGADO")</f>
        <v>Insumo</v>
      </c>
      <c r="K207" s="54" t="str">
        <f>IFERROR(IF(factura_c_mes9[[#This Row],[CUIT]]="","-",VLOOKUP(factura_c_mes9[[#This Row],[CUIT]],Lista_CUIT[#All],4,0)),"CUIT NO CARGADO")</f>
        <v>BUENOS AIRES</v>
      </c>
    </row>
    <row r="208" spans="4:11" x14ac:dyDescent="0.3">
      <c r="D208" s="50">
        <v>45195</v>
      </c>
      <c r="E208" s="149">
        <v>1</v>
      </c>
      <c r="F208" s="149">
        <v>951</v>
      </c>
      <c r="G208" s="119">
        <v>20298547822</v>
      </c>
      <c r="H208" s="53" t="str">
        <f>IFERROR(IF(factura_c_mes9[[#This Row],[CUIT]]="","-",VLOOKUP(factura_c_mes9[[#This Row],[CUIT]],Lista_CUIT[#All],2,0)),"CUIT NO CARGADO")</f>
        <v>BORGES NELSON MAURICIO</v>
      </c>
      <c r="I208" s="269">
        <v>55000</v>
      </c>
      <c r="J208" s="54" t="str">
        <f>IFERROR(IF(factura_c_mes9[[#This Row],[CUIT]]="","-",VLOOKUP(factura_c_mes9[[#This Row],[CUIT]],Lista_CUIT[#All],3,0)),"CUIT NO CARGADO")</f>
        <v>Gastos Vehiculo</v>
      </c>
      <c r="K208" s="54">
        <f>IFERROR(IF(factura_c_mes9[[#This Row],[CUIT]]="","-",VLOOKUP(factura_c_mes9[[#This Row],[CUIT]],Lista_CUIT[#All],4,0)),"CUIT NO CARGADO")</f>
        <v>0</v>
      </c>
    </row>
    <row r="209" spans="2:18" x14ac:dyDescent="0.3">
      <c r="D209" s="50">
        <v>45195</v>
      </c>
      <c r="E209" s="149">
        <v>1</v>
      </c>
      <c r="F209" s="149">
        <v>25</v>
      </c>
      <c r="G209" s="119">
        <v>20176922363</v>
      </c>
      <c r="H209" s="53" t="str">
        <f>IFERROR(IF(factura_c_mes9[[#This Row],[CUIT]]="","-",VLOOKUP(factura_c_mes9[[#This Row],[CUIT]],Lista_CUIT[#All],2,0)),"CUIT NO CARGADO")</f>
        <v>CASTILLO JUAN RAMON</v>
      </c>
      <c r="I209" s="269">
        <v>180000</v>
      </c>
      <c r="J209" s="54">
        <f>IFERROR(IF(factura_c_mes9[[#This Row],[CUIT]]="","-",VLOOKUP(factura_c_mes9[[#This Row],[CUIT]],Lista_CUIT[#All],3,0)),"CUIT NO CARGADO")</f>
        <v>0</v>
      </c>
      <c r="K209" s="54">
        <f>IFERROR(IF(factura_c_mes9[[#This Row],[CUIT]]="","-",VLOOKUP(factura_c_mes9[[#This Row],[CUIT]],Lista_CUIT[#All],4,0)),"CUIT NO CARGADO")</f>
        <v>0</v>
      </c>
    </row>
    <row r="210" spans="2:18" x14ac:dyDescent="0.3">
      <c r="D210" s="50">
        <v>45195</v>
      </c>
      <c r="E210" s="149">
        <v>1</v>
      </c>
      <c r="F210" s="149">
        <v>24</v>
      </c>
      <c r="G210" s="119">
        <v>20176922363</v>
      </c>
      <c r="H210" s="53" t="str">
        <f>IFERROR(IF(factura_c_mes9[[#This Row],[CUIT]]="","-",VLOOKUP(factura_c_mes9[[#This Row],[CUIT]],Lista_CUIT[#All],2,0)),"CUIT NO CARGADO")</f>
        <v>CASTILLO JUAN RAMON</v>
      </c>
      <c r="I210" s="269">
        <v>323000</v>
      </c>
      <c r="J210" s="54">
        <f>IFERROR(IF(factura_c_mes9[[#This Row],[CUIT]]="","-",VLOOKUP(factura_c_mes9[[#This Row],[CUIT]],Lista_CUIT[#All],3,0)),"CUIT NO CARGADO")</f>
        <v>0</v>
      </c>
      <c r="K210" s="54">
        <f>IFERROR(IF(factura_c_mes9[[#This Row],[CUIT]]="","-",VLOOKUP(factura_c_mes9[[#This Row],[CUIT]],Lista_CUIT[#All],4,0)),"CUIT NO CARGADO")</f>
        <v>0</v>
      </c>
    </row>
    <row r="211" spans="2:18" x14ac:dyDescent="0.3">
      <c r="D211" s="50">
        <v>45196</v>
      </c>
      <c r="E211" s="149">
        <v>2</v>
      </c>
      <c r="F211" s="149">
        <v>3768</v>
      </c>
      <c r="G211" s="119">
        <v>20136536320</v>
      </c>
      <c r="H211" s="53" t="str">
        <f>IFERROR(IF(factura_c_mes9[[#This Row],[CUIT]]="","-",VLOOKUP(factura_c_mes9[[#This Row],[CUIT]],Lista_CUIT[#All],2,0)),"CUIT NO CARGADO")</f>
        <v>FONTENLA ERNESTO MARIO</v>
      </c>
      <c r="I211" s="269">
        <v>1500</v>
      </c>
      <c r="J211" s="54" t="str">
        <f>IFERROR(IF(factura_c_mes9[[#This Row],[CUIT]]="","-",VLOOKUP(factura_c_mes9[[#This Row],[CUIT]],Lista_CUIT[#All],3,0)),"CUIT NO CARGADO")</f>
        <v>INSUMO</v>
      </c>
      <c r="K211" s="54" t="str">
        <f>IFERROR(IF(factura_c_mes9[[#This Row],[CUIT]]="","-",VLOOKUP(factura_c_mes9[[#This Row],[CUIT]],Lista_CUIT[#All],4,0)),"CUIT NO CARGADO")</f>
        <v>CABA</v>
      </c>
    </row>
    <row r="212" spans="2:18" x14ac:dyDescent="0.3">
      <c r="D212" s="50">
        <v>45196</v>
      </c>
      <c r="E212" s="468">
        <v>2</v>
      </c>
      <c r="F212" s="468">
        <v>3769</v>
      </c>
      <c r="G212" s="119">
        <v>20136536320</v>
      </c>
      <c r="H212" s="470" t="str">
        <f>IFERROR(IF(factura_c_mes9[[#This Row],[CUIT]]="","-",VLOOKUP(factura_c_mes9[[#This Row],[CUIT]],Lista_CUIT[#All],2,0)),"CUIT NO CARGADO")</f>
        <v>FONTENLA ERNESTO MARIO</v>
      </c>
      <c r="I212" s="471">
        <v>600</v>
      </c>
      <c r="J212" s="472" t="str">
        <f>IFERROR(IF(factura_c_mes9[[#This Row],[CUIT]]="","-",VLOOKUP(factura_c_mes9[[#This Row],[CUIT]],Lista_CUIT[#All],3,0)),"CUIT NO CARGADO")</f>
        <v>INSUMO</v>
      </c>
      <c r="K212" s="472" t="str">
        <f>IFERROR(IF(factura_c_mes9[[#This Row],[CUIT]]="","-",VLOOKUP(factura_c_mes9[[#This Row],[CUIT]],Lista_CUIT[#All],4,0)),"CUIT NO CARGADO")</f>
        <v>CABA</v>
      </c>
    </row>
    <row r="213" spans="2:18" x14ac:dyDescent="0.3">
      <c r="D213" s="50">
        <v>45197</v>
      </c>
      <c r="E213" s="149">
        <v>2</v>
      </c>
      <c r="F213" s="149">
        <v>3376</v>
      </c>
      <c r="G213" s="119">
        <v>20136536320</v>
      </c>
      <c r="H213" s="53" t="str">
        <f>IFERROR(IF(factura_c_mes9[[#This Row],[CUIT]]="","-",VLOOKUP(factura_c_mes9[[#This Row],[CUIT]],Lista_CUIT[#All],2,0)),"CUIT NO CARGADO")</f>
        <v>FONTENLA ERNESTO MARIO</v>
      </c>
      <c r="I213" s="269">
        <v>320</v>
      </c>
      <c r="J213" s="54" t="str">
        <f>IFERROR(IF(factura_c_mes9[[#This Row],[CUIT]]="","-",VLOOKUP(factura_c_mes9[[#This Row],[CUIT]],Lista_CUIT[#All],3,0)),"CUIT NO CARGADO")</f>
        <v>INSUMO</v>
      </c>
      <c r="K213" s="54" t="str">
        <f>IFERROR(IF(factura_c_mes9[[#This Row],[CUIT]]="","-",VLOOKUP(factura_c_mes9[[#This Row],[CUIT]],Lista_CUIT[#All],4,0)),"CUIT NO CARGADO")</f>
        <v>CABA</v>
      </c>
    </row>
    <row r="214" spans="2:18" x14ac:dyDescent="0.3">
      <c r="D214" s="468"/>
      <c r="E214" s="468"/>
      <c r="F214" s="468"/>
      <c r="G214" s="469"/>
      <c r="H214" s="470" t="str">
        <f>IFERROR(IF(factura_c_mes9[[#This Row],[CUIT]]="","-",VLOOKUP(factura_c_mes9[[#This Row],[CUIT]],Lista_CUIT[#All],2,0)),"CUIT NO CARGADO")</f>
        <v>-</v>
      </c>
      <c r="I214" s="471"/>
      <c r="J214" s="472" t="str">
        <f>IFERROR(IF(factura_c_mes9[[#This Row],[CUIT]]="","-",VLOOKUP(factura_c_mes9[[#This Row],[CUIT]],Lista_CUIT[#All],3,0)),"CUIT NO CARGADO")</f>
        <v>-</v>
      </c>
      <c r="K214" s="472" t="str">
        <f>IFERROR(IF(factura_c_mes9[[#This Row],[CUIT]]="","-",VLOOKUP(factura_c_mes9[[#This Row],[CUIT]],Lista_CUIT[#All],4,0)),"CUIT NO CARGADO")</f>
        <v>-</v>
      </c>
    </row>
    <row r="215" spans="2:18" x14ac:dyDescent="0.3">
      <c r="D215" s="468"/>
      <c r="E215" s="468"/>
      <c r="F215" s="468"/>
      <c r="G215" s="469"/>
      <c r="H215" s="470" t="str">
        <f>IFERROR(IF(factura_c_mes9[[#This Row],[CUIT]]="","-",VLOOKUP(factura_c_mes9[[#This Row],[CUIT]],Lista_CUIT[#All],2,0)),"CUIT NO CARGADO")</f>
        <v>-</v>
      </c>
      <c r="I215" s="471"/>
      <c r="J215" s="472" t="str">
        <f>IFERROR(IF(factura_c_mes9[[#This Row],[CUIT]]="","-",VLOOKUP(factura_c_mes9[[#This Row],[CUIT]],Lista_CUIT[#All],3,0)),"CUIT NO CARGADO")</f>
        <v>-</v>
      </c>
      <c r="K215" s="472" t="str">
        <f>IFERROR(IF(factura_c_mes9[[#This Row],[CUIT]]="","-",VLOOKUP(factura_c_mes9[[#This Row],[CUIT]],Lista_CUIT[#All],4,0)),"CUIT NO CARGADO")</f>
        <v>-</v>
      </c>
    </row>
    <row r="216" spans="2:18" x14ac:dyDescent="0.3">
      <c r="D216" s="50"/>
      <c r="E216" s="149"/>
      <c r="F216" s="149"/>
      <c r="G216" s="119"/>
      <c r="H216" s="53" t="str">
        <f>IFERROR(IF(factura_c_mes9[[#This Row],[CUIT]]="","-",VLOOKUP(factura_c_mes9[[#This Row],[CUIT]],Lista_CUIT[#All],2,0)),"CUIT NO CARGADO")</f>
        <v>-</v>
      </c>
      <c r="I216" s="269"/>
      <c r="J216" s="54" t="str">
        <f>IFERROR(IF(factura_c_mes9[[#This Row],[CUIT]]="","-",VLOOKUP(factura_c_mes9[[#This Row],[CUIT]],Lista_CUIT[#All],3,0)),"CUIT NO CARGADO")</f>
        <v>-</v>
      </c>
      <c r="K216" s="54" t="str">
        <f>IFERROR(IF(factura_c_mes9[[#This Row],[CUIT]]="","-",VLOOKUP(factura_c_mes9[[#This Row],[CUIT]],Lista_CUIT[#All],4,0)),"CUIT NO CARGADO")</f>
        <v>-</v>
      </c>
    </row>
    <row r="217" spans="2:18" s="56" customFormat="1" ht="18.600000000000001" customHeight="1" x14ac:dyDescent="0.3">
      <c r="B217"/>
      <c r="C217"/>
      <c r="D217" s="473" t="s">
        <v>103</v>
      </c>
      <c r="E217" s="473"/>
      <c r="F217" s="473"/>
      <c r="G217" s="473"/>
      <c r="H217" s="474"/>
      <c r="I217" s="475">
        <f>SUBTOTAL(109,factura_c_mes9[TOTAL])</f>
        <v>2251125</v>
      </c>
      <c r="J217" s="473"/>
      <c r="K217" s="473"/>
      <c r="L217"/>
      <c r="M217"/>
      <c r="N217"/>
      <c r="O217"/>
      <c r="P217"/>
      <c r="Q217"/>
      <c r="R217"/>
    </row>
    <row r="218" spans="2:18" ht="15" customHeight="1" x14ac:dyDescent="0.3">
      <c r="B218" s="56"/>
      <c r="C218" s="56"/>
      <c r="L218" s="56"/>
      <c r="M218" s="56"/>
      <c r="N218" s="56"/>
      <c r="O218" s="56"/>
      <c r="P218" s="56"/>
      <c r="Q218" s="56"/>
      <c r="R218" s="56"/>
    </row>
    <row r="223" spans="2:18" ht="25.8" x14ac:dyDescent="0.3">
      <c r="B223" s="661" t="s">
        <v>29</v>
      </c>
      <c r="C223" s="661"/>
      <c r="D223" s="661"/>
      <c r="E223" s="661"/>
      <c r="F223" s="661"/>
      <c r="G223" s="661"/>
      <c r="H223" s="661"/>
      <c r="I223" s="661"/>
      <c r="J223" s="661"/>
      <c r="K223" s="657">
        <f>N1</f>
        <v>45170</v>
      </c>
      <c r="L223" s="657"/>
      <c r="M223" s="657"/>
    </row>
    <row r="224" spans="2:18" ht="22.5" customHeight="1" x14ac:dyDescent="0.3"/>
    <row r="225" spans="2:13" ht="21" x14ac:dyDescent="0.3">
      <c r="B225" s="654" t="s">
        <v>30</v>
      </c>
      <c r="C225" s="654"/>
    </row>
    <row r="226" spans="2:13" ht="18" customHeight="1" x14ac:dyDescent="0.3">
      <c r="B226" s="60" t="s">
        <v>0</v>
      </c>
      <c r="C226" s="61" t="s">
        <v>1</v>
      </c>
      <c r="D226" s="61" t="s">
        <v>21</v>
      </c>
      <c r="E226" s="61" t="s">
        <v>22</v>
      </c>
      <c r="F226" s="61" t="s">
        <v>3</v>
      </c>
      <c r="G226" s="61" t="s">
        <v>4</v>
      </c>
      <c r="H226" s="61" t="s">
        <v>23</v>
      </c>
      <c r="I226" s="61" t="s">
        <v>17</v>
      </c>
      <c r="J226" s="61" t="s">
        <v>7</v>
      </c>
      <c r="K226" s="61" t="s">
        <v>24</v>
      </c>
      <c r="L226" s="61" t="s">
        <v>10</v>
      </c>
      <c r="M226" s="62" t="s">
        <v>38</v>
      </c>
    </row>
    <row r="227" spans="2:13" x14ac:dyDescent="0.3">
      <c r="B227" s="40"/>
      <c r="C227" s="41"/>
      <c r="D227" s="42"/>
      <c r="E227" s="43"/>
      <c r="F227" s="44"/>
      <c r="G227" s="99" t="str">
        <f>IFERROR(IF(venta_a_mes9[[#This Row],[CUIT]]="","-",VLOOKUP(venta_a_mes9[[#This Row],[CUIT]],Lista_CUIT[#All],2,0)),"CUIT NO CARGADO")</f>
        <v>-</v>
      </c>
      <c r="H227" s="100"/>
      <c r="I227" s="101">
        <f>venta_a_mes9[[#This Row],[IMPORTE NETO]]*0.21</f>
        <v>0</v>
      </c>
      <c r="J227" s="65"/>
      <c r="K227" s="65"/>
      <c r="L227" s="65">
        <f>SUM(venta_a_mes9[[#This Row],[IMPORTE NETO]:[EXENTO]])</f>
        <v>0</v>
      </c>
      <c r="M227" s="59"/>
    </row>
    <row r="228" spans="2:13" x14ac:dyDescent="0.3">
      <c r="B228" s="40"/>
      <c r="C228" s="41"/>
      <c r="D228" s="42"/>
      <c r="E228" s="43"/>
      <c r="F228" s="44"/>
      <c r="G228" s="99" t="str">
        <f>IFERROR(IF(venta_a_mes9[[#This Row],[CUIT]]="","-",VLOOKUP(venta_a_mes9[[#This Row],[CUIT]],Lista_CUIT[#All],2,0)),"CUIT NO CARGADO")</f>
        <v>-</v>
      </c>
      <c r="H228" s="100"/>
      <c r="I228" s="101">
        <f>venta_a_mes9[[#This Row],[IMPORTE NETO]]*0.21</f>
        <v>0</v>
      </c>
      <c r="J228" s="65"/>
      <c r="K228" s="65"/>
      <c r="L228" s="65">
        <f>SUM(venta_a_mes9[[#This Row],[IMPORTE NETO]:[EXENTO]])</f>
        <v>0</v>
      </c>
      <c r="M228" s="59"/>
    </row>
    <row r="229" spans="2:13" x14ac:dyDescent="0.3">
      <c r="B229" s="40"/>
      <c r="C229" s="41"/>
      <c r="D229" s="42"/>
      <c r="E229" s="43"/>
      <c r="F229" s="44"/>
      <c r="G229" s="99" t="str">
        <f>IFERROR(IF(venta_a_mes9[[#This Row],[CUIT]]="","-",VLOOKUP(venta_a_mes9[[#This Row],[CUIT]],Lista_CUIT[#All],2,0)),"CUIT NO CARGADO")</f>
        <v>-</v>
      </c>
      <c r="H229" s="100"/>
      <c r="I229" s="101">
        <f>venta_a_mes9[[#This Row],[IMPORTE NETO]]*0.21</f>
        <v>0</v>
      </c>
      <c r="J229" s="65"/>
      <c r="K229" s="65"/>
      <c r="L229" s="65">
        <f>SUM(venta_a_mes9[[#This Row],[IMPORTE NETO]:[EXENTO]])</f>
        <v>0</v>
      </c>
      <c r="M229" s="59"/>
    </row>
    <row r="230" spans="2:13" x14ac:dyDescent="0.3">
      <c r="B230" s="40"/>
      <c r="C230" s="41"/>
      <c r="D230" s="42"/>
      <c r="E230" s="43"/>
      <c r="F230" s="44"/>
      <c r="G230" s="99" t="str">
        <f>IFERROR(IF(venta_a_mes9[[#This Row],[CUIT]]="","-",VLOOKUP(venta_a_mes9[[#This Row],[CUIT]],Lista_CUIT[#All],2,0)),"CUIT NO CARGADO")</f>
        <v>-</v>
      </c>
      <c r="H230" s="100"/>
      <c r="I230" s="101">
        <f>venta_a_mes9[[#This Row],[IMPORTE NETO]]*0.21</f>
        <v>0</v>
      </c>
      <c r="J230" s="65"/>
      <c r="K230" s="65"/>
      <c r="L230" s="65">
        <f>SUM(venta_a_mes9[[#This Row],[IMPORTE NETO]:[EXENTO]])</f>
        <v>0</v>
      </c>
      <c r="M230" s="59"/>
    </row>
    <row r="231" spans="2:13" x14ac:dyDescent="0.3">
      <c r="B231" s="40"/>
      <c r="C231" s="41"/>
      <c r="D231" s="42"/>
      <c r="E231" s="43"/>
      <c r="F231" s="44"/>
      <c r="G231" s="99" t="str">
        <f>IFERROR(IF(venta_a_mes9[[#This Row],[CUIT]]="","-",VLOOKUP(venta_a_mes9[[#This Row],[CUIT]],Lista_CUIT[#All],2,0)),"CUIT NO CARGADO")</f>
        <v>-</v>
      </c>
      <c r="H231" s="100"/>
      <c r="I231" s="101">
        <f>venta_a_mes9[[#This Row],[IMPORTE NETO]]*0.21</f>
        <v>0</v>
      </c>
      <c r="J231" s="65"/>
      <c r="K231" s="65"/>
      <c r="L231" s="65">
        <f>SUM(venta_a_mes9[[#This Row],[IMPORTE NETO]:[EXENTO]])</f>
        <v>0</v>
      </c>
      <c r="M231" s="59"/>
    </row>
    <row r="232" spans="2:13" x14ac:dyDescent="0.3">
      <c r="B232" s="40"/>
      <c r="C232" s="41"/>
      <c r="D232" s="42"/>
      <c r="E232" s="43"/>
      <c r="F232" s="44"/>
      <c r="G232" s="99" t="str">
        <f>IFERROR(IF(venta_a_mes9[[#This Row],[CUIT]]="","-",VLOOKUP(venta_a_mes9[[#This Row],[CUIT]],Lista_CUIT[#All],2,0)),"CUIT NO CARGADO")</f>
        <v>-</v>
      </c>
      <c r="H232" s="100"/>
      <c r="I232" s="101">
        <f>venta_a_mes9[[#This Row],[IMPORTE NETO]]*0.21</f>
        <v>0</v>
      </c>
      <c r="J232" s="65"/>
      <c r="K232" s="65"/>
      <c r="L232" s="65">
        <f>SUM(venta_a_mes9[[#This Row],[IMPORTE NETO]:[EXENTO]])</f>
        <v>0</v>
      </c>
      <c r="M232" s="59"/>
    </row>
    <row r="233" spans="2:13" x14ac:dyDescent="0.3">
      <c r="B233" s="40"/>
      <c r="C233" s="41"/>
      <c r="D233" s="42"/>
      <c r="E233" s="43"/>
      <c r="F233" s="44"/>
      <c r="G233" s="99" t="str">
        <f>IFERROR(IF(venta_a_mes9[[#This Row],[CUIT]]="","-",VLOOKUP(venta_a_mes9[[#This Row],[CUIT]],Lista_CUIT[#All],2,0)),"CUIT NO CARGADO")</f>
        <v>-</v>
      </c>
      <c r="H233" s="100"/>
      <c r="I233" s="101">
        <f>venta_a_mes9[[#This Row],[IMPORTE NETO]]*0.21</f>
        <v>0</v>
      </c>
      <c r="J233" s="65"/>
      <c r="K233" s="65"/>
      <c r="L233" s="65">
        <f>SUM(venta_a_mes9[[#This Row],[IMPORTE NETO]:[EXENTO]])</f>
        <v>0</v>
      </c>
      <c r="M233" s="63"/>
    </row>
    <row r="234" spans="2:13" x14ac:dyDescent="0.3">
      <c r="B234" s="102"/>
      <c r="C234" s="103"/>
      <c r="D234" s="104"/>
      <c r="E234" s="105"/>
      <c r="F234" s="106"/>
      <c r="G234" s="99" t="str">
        <f>IFERROR(IF(venta_a_mes9[[#This Row],[CUIT]]="","-",VLOOKUP(venta_a_mes9[[#This Row],[CUIT]],Lista_CUIT[#All],2,0)),"CUIT NO CARGADO")</f>
        <v>-</v>
      </c>
      <c r="H234" s="107"/>
      <c r="I234" s="108">
        <f>venta_a_mes9[[#This Row],[IMPORTE NETO]]*0.21</f>
        <v>0</v>
      </c>
      <c r="J234" s="72"/>
      <c r="K234" s="72"/>
      <c r="L234" s="72">
        <f>SUM(venta_a_mes9[[#This Row],[IMPORTE NETO]:[EXENTO]])</f>
        <v>0</v>
      </c>
      <c r="M234" s="63"/>
    </row>
    <row r="235" spans="2:13" x14ac:dyDescent="0.3">
      <c r="B235" s="109"/>
      <c r="C235" s="110"/>
      <c r="D235" s="111"/>
      <c r="E235" s="112"/>
      <c r="F235" s="113"/>
      <c r="G235" s="99" t="str">
        <f>IFERROR(IF(venta_a_mes9[[#This Row],[CUIT]]="","-",VLOOKUP(venta_a_mes9[[#This Row],[CUIT]],Lista_CUIT[#All],2,0)),"CUIT NO CARGADO")</f>
        <v>-</v>
      </c>
      <c r="H235" s="100"/>
      <c r="I235" s="101">
        <f>venta_a_mes9[[#This Row],[IMPORTE NETO]]*0.21</f>
        <v>0</v>
      </c>
      <c r="J235" s="65"/>
      <c r="K235" s="65"/>
      <c r="L235" s="65">
        <f>SUM(venta_a_mes9[[#This Row],[IMPORTE NETO]:[EXENTO]])</f>
        <v>0</v>
      </c>
      <c r="M235" s="59"/>
    </row>
    <row r="236" spans="2:13" ht="25.95" customHeight="1" x14ac:dyDescent="0.3">
      <c r="B236" s="66" t="s">
        <v>103</v>
      </c>
      <c r="C236" s="67"/>
      <c r="D236" s="67"/>
      <c r="E236" s="67"/>
      <c r="F236" s="67"/>
      <c r="G236" s="67"/>
      <c r="H236" s="69">
        <f>SUBTOTAL(109,venta_a_mes9[IMPORTE NETO])</f>
        <v>0</v>
      </c>
      <c r="I236" s="70">
        <f>SUBTOTAL(109,venta_a_mes9[IVA 21%])</f>
        <v>0</v>
      </c>
      <c r="J236" s="71">
        <f>SUBTOTAL(109,venta_a_mes9[IVA 10,5%])</f>
        <v>0</v>
      </c>
      <c r="K236" s="71">
        <f>SUBTOTAL(109,venta_a_mes9[EXENTO])</f>
        <v>0</v>
      </c>
      <c r="L236" s="71">
        <f>SUBTOTAL(109,venta_a_mes9[TOTAL])</f>
        <v>0</v>
      </c>
      <c r="M236" s="68">
        <f>SUBTOTAL(103,venta_a_mes9[Provincia])</f>
        <v>0</v>
      </c>
    </row>
    <row r="238" spans="2:13" ht="17.25" customHeight="1" x14ac:dyDescent="0.3"/>
    <row r="239" spans="2:13" ht="31.5" customHeight="1" x14ac:dyDescent="0.3">
      <c r="B239" s="654" t="s">
        <v>31</v>
      </c>
      <c r="C239" s="654"/>
    </row>
    <row r="240" spans="2:13" ht="15.6" x14ac:dyDescent="0.3">
      <c r="B240" s="60" t="s">
        <v>0</v>
      </c>
      <c r="C240" s="61" t="s">
        <v>1</v>
      </c>
      <c r="D240" s="61" t="s">
        <v>21</v>
      </c>
      <c r="E240" s="61" t="s">
        <v>22</v>
      </c>
      <c r="F240" s="61" t="s">
        <v>3</v>
      </c>
      <c r="G240" s="61" t="s">
        <v>4</v>
      </c>
      <c r="H240" s="61" t="s">
        <v>23</v>
      </c>
      <c r="I240" s="61" t="s">
        <v>17</v>
      </c>
      <c r="J240" s="61" t="s">
        <v>7</v>
      </c>
      <c r="K240" s="61" t="s">
        <v>24</v>
      </c>
      <c r="L240" s="61" t="s">
        <v>10</v>
      </c>
      <c r="M240" s="62" t="s">
        <v>38</v>
      </c>
    </row>
    <row r="241" spans="2:13" x14ac:dyDescent="0.3">
      <c r="B241" s="40"/>
      <c r="C241" s="41"/>
      <c r="D241" s="42"/>
      <c r="E241" s="43"/>
      <c r="F241" s="44"/>
      <c r="G241" s="1" t="str">
        <f>IFERROR(IF(ventas_b_mes9[[#This Row],[CUIT]]="","-",VLOOKUP(ventas_b_mes9[[#This Row],[CUIT]],Lista_CUIT[#All],2,0)),"CUIT NO CARGADO")</f>
        <v>-</v>
      </c>
      <c r="H241" s="64"/>
      <c r="I241" s="64"/>
      <c r="J241" s="64"/>
      <c r="K241" s="64"/>
      <c r="L241" s="64">
        <f>SUM(ventas_b_mes9[[#This Row],[IMPORTE NETO]:[EXENTO]])</f>
        <v>0</v>
      </c>
      <c r="M241" s="59"/>
    </row>
    <row r="242" spans="2:13" x14ac:dyDescent="0.3">
      <c r="B242" s="40"/>
      <c r="C242" s="41"/>
      <c r="D242" s="42"/>
      <c r="E242" s="43"/>
      <c r="F242" s="44"/>
      <c r="G242" s="1"/>
      <c r="H242" s="64"/>
      <c r="I242" s="64"/>
      <c r="J242" s="64"/>
      <c r="K242" s="64"/>
      <c r="L242" s="64">
        <f>SUM(ventas_b_mes9[[#This Row],[IMPORTE NETO]:[EXENTO]])</f>
        <v>0</v>
      </c>
      <c r="M242" s="59"/>
    </row>
    <row r="243" spans="2:13" x14ac:dyDescent="0.3">
      <c r="B243" s="40"/>
      <c r="C243" s="41"/>
      <c r="D243" s="42"/>
      <c r="E243" s="43"/>
      <c r="F243" s="44"/>
      <c r="G243" s="1"/>
      <c r="H243" s="64"/>
      <c r="I243" s="64"/>
      <c r="J243" s="64"/>
      <c r="K243" s="64"/>
      <c r="L243" s="64">
        <f>SUM(ventas_b_mes9[[#This Row],[IMPORTE NETO]:[EXENTO]])</f>
        <v>0</v>
      </c>
      <c r="M243" s="59"/>
    </row>
    <row r="244" spans="2:13" x14ac:dyDescent="0.3">
      <c r="B244" s="40"/>
      <c r="C244" s="41"/>
      <c r="D244" s="42"/>
      <c r="E244" s="43"/>
      <c r="F244" s="44"/>
      <c r="G244" s="1"/>
      <c r="H244" s="64"/>
      <c r="I244" s="64"/>
      <c r="J244" s="64"/>
      <c r="K244" s="64"/>
      <c r="L244" s="64">
        <f>SUM(ventas_b_mes9[[#This Row],[IMPORTE NETO]:[EXENTO]])</f>
        <v>0</v>
      </c>
      <c r="M244" s="59"/>
    </row>
    <row r="245" spans="2:13" x14ac:dyDescent="0.3">
      <c r="B245" s="40"/>
      <c r="C245" s="41"/>
      <c r="D245" s="42"/>
      <c r="E245" s="43"/>
      <c r="F245" s="44"/>
      <c r="G245" s="1"/>
      <c r="H245" s="64"/>
      <c r="I245" s="64"/>
      <c r="J245" s="64"/>
      <c r="K245" s="64"/>
      <c r="L245" s="64">
        <f>SUM(ventas_b_mes9[[#This Row],[IMPORTE NETO]:[EXENTO]])</f>
        <v>0</v>
      </c>
      <c r="M245" s="59"/>
    </row>
    <row r="246" spans="2:13" x14ac:dyDescent="0.3">
      <c r="B246" s="40"/>
      <c r="C246" s="41"/>
      <c r="D246" s="42"/>
      <c r="E246" s="43"/>
      <c r="F246" s="44"/>
      <c r="G246" s="1"/>
      <c r="H246" s="64"/>
      <c r="I246" s="64"/>
      <c r="J246" s="64"/>
      <c r="K246" s="64"/>
      <c r="L246" s="64">
        <f>SUM(ventas_b_mes9[[#This Row],[IMPORTE NETO]:[EXENTO]])</f>
        <v>0</v>
      </c>
      <c r="M246" s="59"/>
    </row>
    <row r="247" spans="2:13" x14ac:dyDescent="0.3">
      <c r="B247" s="66" t="s">
        <v>103</v>
      </c>
      <c r="C247" s="67"/>
      <c r="D247" s="67"/>
      <c r="E247" s="67"/>
      <c r="F247" s="67"/>
      <c r="G247" s="67"/>
      <c r="H247" s="77">
        <f>SUBTOTAL(109,ventas_b_mes9[IMPORTE NETO])</f>
        <v>0</v>
      </c>
      <c r="I247" s="77">
        <f>SUBTOTAL(109,ventas_b_mes9[IVA 21%])</f>
        <v>0</v>
      </c>
      <c r="J247" s="78">
        <f>SUBTOTAL(109,ventas_b_mes9[IVA 10,5%])</f>
        <v>0</v>
      </c>
      <c r="K247" s="78">
        <f>SUBTOTAL(109,ventas_b_mes9[EXENTO])</f>
        <v>0</v>
      </c>
      <c r="L247" s="78">
        <f>SUBTOTAL(109,ventas_b_mes9[TOTAL])</f>
        <v>0</v>
      </c>
      <c r="M247" s="68">
        <f>SUBTOTAL(103,ventas_b_mes9[Provincia])</f>
        <v>0</v>
      </c>
    </row>
    <row r="249" spans="2:13" ht="19.2" customHeight="1" x14ac:dyDescent="0.3"/>
    <row r="250" spans="2:13" ht="28.95" customHeight="1" x14ac:dyDescent="0.3"/>
    <row r="254" spans="2:13" ht="15" thickBot="1" x14ac:dyDescent="0.35"/>
    <row r="255" spans="2:13" ht="15" thickTop="1" x14ac:dyDescent="0.3">
      <c r="C255" s="651" t="s">
        <v>66</v>
      </c>
      <c r="D255" s="651"/>
      <c r="E255" s="651"/>
      <c r="F255" s="651"/>
      <c r="G255" s="651"/>
      <c r="H255" s="32"/>
      <c r="I255" s="32"/>
      <c r="J255" s="32"/>
    </row>
    <row r="256" spans="2:13" ht="15.6" x14ac:dyDescent="0.3">
      <c r="C256" s="114" t="s">
        <v>67</v>
      </c>
      <c r="D256" s="115" t="s">
        <v>68</v>
      </c>
      <c r="E256" s="115" t="s">
        <v>105</v>
      </c>
      <c r="F256" s="115" t="s">
        <v>3</v>
      </c>
      <c r="G256" s="115" t="s">
        <v>4</v>
      </c>
      <c r="H256" s="116" t="s">
        <v>69</v>
      </c>
      <c r="I256" s="116" t="s">
        <v>70</v>
      </c>
      <c r="J256" s="116" t="s">
        <v>71</v>
      </c>
      <c r="K256" s="116" t="s">
        <v>72</v>
      </c>
      <c r="L256" s="116" t="s">
        <v>73</v>
      </c>
    </row>
    <row r="257" spans="3:12" x14ac:dyDescent="0.3">
      <c r="C257" s="117"/>
      <c r="D257" s="118"/>
      <c r="E257" s="118"/>
      <c r="F257" s="119"/>
      <c r="G257" s="53" t="str">
        <f>IFERROR(IF(Retenciones_mes9[[#This Row],[CUIT]]="","-",VLOOKUP(Retenciones_mes9[[#This Row],[CUIT]],Lista_CUIT[#All],2,0)),"CUIT NO CARGADO")</f>
        <v>-</v>
      </c>
      <c r="H257" s="120"/>
      <c r="I257" s="120"/>
      <c r="J257" s="120"/>
      <c r="K257" s="120"/>
      <c r="L257" s="120"/>
    </row>
    <row r="258" spans="3:12" x14ac:dyDescent="0.3">
      <c r="C258" s="117"/>
      <c r="D258" s="118"/>
      <c r="E258" s="118"/>
      <c r="F258" s="119"/>
      <c r="G258" s="53" t="str">
        <f>IFERROR(IF(Retenciones_mes9[[#This Row],[CUIT]]="","-",VLOOKUP(Retenciones_mes9[[#This Row],[CUIT]],Lista_CUIT[#All],2,0)),"CUIT NO CARGADO")</f>
        <v>-</v>
      </c>
      <c r="H258" s="120"/>
      <c r="I258" s="120"/>
      <c r="J258" s="120"/>
      <c r="K258" s="120"/>
      <c r="L258" s="120"/>
    </row>
    <row r="259" spans="3:12" x14ac:dyDescent="0.3">
      <c r="C259" s="117"/>
      <c r="D259" s="118"/>
      <c r="E259" s="118"/>
      <c r="F259" s="119"/>
      <c r="G259" s="53" t="str">
        <f>IFERROR(IF(Retenciones_mes9[[#This Row],[CUIT]]="","-",VLOOKUP(Retenciones_mes9[[#This Row],[CUIT]],Lista_CUIT[#All],2,0)),"CUIT NO CARGADO")</f>
        <v>-</v>
      </c>
      <c r="H259" s="120"/>
      <c r="I259" s="120"/>
      <c r="J259" s="120"/>
      <c r="K259" s="120"/>
      <c r="L259" s="120"/>
    </row>
    <row r="260" spans="3:12" x14ac:dyDescent="0.3">
      <c r="C260" s="117"/>
      <c r="D260" s="118"/>
      <c r="E260" s="118"/>
      <c r="F260" s="119"/>
      <c r="G260" s="53" t="str">
        <f>IFERROR(IF(Retenciones_mes9[[#This Row],[CUIT]]="","-",VLOOKUP(Retenciones_mes9[[#This Row],[CUIT]],Lista_CUIT[#All],2,0)),"CUIT NO CARGADO")</f>
        <v>-</v>
      </c>
      <c r="H260" s="120"/>
      <c r="I260" s="120"/>
      <c r="J260" s="120"/>
      <c r="K260" s="120"/>
      <c r="L260" s="120"/>
    </row>
    <row r="261" spans="3:12" x14ac:dyDescent="0.3">
      <c r="D261" s="118"/>
      <c r="E261" s="118"/>
      <c r="G261" s="53" t="str">
        <f>IFERROR(IF(Retenciones_mes9[[#This Row],[CUIT]]="","-",VLOOKUP(Retenciones_mes9[[#This Row],[CUIT]],Lista_CUIT[#All],2,0)),"CUIT NO CARGADO")</f>
        <v>-</v>
      </c>
    </row>
    <row r="262" spans="3:12" x14ac:dyDescent="0.3">
      <c r="C262" s="33"/>
    </row>
  </sheetData>
  <mergeCells count="20">
    <mergeCell ref="P4:R4"/>
    <mergeCell ref="D175:L175"/>
    <mergeCell ref="B1:F1"/>
    <mergeCell ref="G1:M1"/>
    <mergeCell ref="N1:R1"/>
    <mergeCell ref="B3:E3"/>
    <mergeCell ref="G3:H3"/>
    <mergeCell ref="J3:K3"/>
    <mergeCell ref="M3:N3"/>
    <mergeCell ref="P3:R3"/>
    <mergeCell ref="C255:G255"/>
    <mergeCell ref="B4:E4"/>
    <mergeCell ref="G4:H4"/>
    <mergeCell ref="J4:K4"/>
    <mergeCell ref="M4:N4"/>
    <mergeCell ref="D190:K190"/>
    <mergeCell ref="B223:J223"/>
    <mergeCell ref="K223:M223"/>
    <mergeCell ref="B225:C225"/>
    <mergeCell ref="B239:C239"/>
  </mergeCells>
  <phoneticPr fontId="38" type="noConversion"/>
  <dataValidations count="14">
    <dataValidation type="custom" allowBlank="1" showInputMessage="1" showErrorMessage="1" sqref="H241:L246" xr:uid="{00000000-0002-0000-0900-000000000000}">
      <formula1>IF($C241=8,H241&lt;0,H241&gt;=0)</formula1>
    </dataValidation>
    <dataValidation type="custom" allowBlank="1" showInputMessage="1" showErrorMessage="1" sqref="L232:L233" xr:uid="{00000000-0002-0000-0900-000001000000}">
      <formula1>IF($C170=3,L170&lt;0,L170&gt;=0)</formula1>
    </dataValidation>
    <dataValidation type="custom" allowBlank="1" showInputMessage="1" showErrorMessage="1" sqref="L227:L228" xr:uid="{00000000-0002-0000-0900-000002000000}">
      <formula1>IF($C9=3,L9&lt;0,L9&gt;=0)</formula1>
    </dataValidation>
    <dataValidation type="whole" allowBlank="1" showInputMessage="1" showErrorMessage="1" sqref="C241:C246" xr:uid="{00000000-0002-0000-0900-000003000000}">
      <formula1>6</formula1>
      <formula2>8</formula2>
    </dataValidation>
    <dataValidation type="custom" allowBlank="1" showInputMessage="1" showErrorMessage="1" sqref="H227:K227 H229:K229 H231:K231 H233:K233" xr:uid="{00000000-0002-0000-0900-000004000000}">
      <formula1>IF($C227=3,H227&lt;0,H227&gt;=0)</formula1>
    </dataValidation>
    <dataValidation type="whole" allowBlank="1" showInputMessage="1" showErrorMessage="1" sqref="C227:C235 C171:C174 C9:C169" xr:uid="{00000000-0002-0000-0900-000005000000}">
      <formula1>1</formula1>
      <formula2>3</formula2>
    </dataValidation>
    <dataValidation type="date" allowBlank="1" showInputMessage="1" showErrorMessage="1" sqref="B9:B169 B227:B235 D192:D216 B171:B174 B241:B246 D177:D185" xr:uid="{00000000-0002-0000-0900-000006000000}">
      <formula1>40179</formula1>
      <formula2>TODAY()</formula2>
    </dataValidation>
    <dataValidation type="whole" allowBlank="1" showInputMessage="1" showErrorMessage="1" sqref="F241:F246 F227:F235 G192:G216 F9:F169" xr:uid="{00000000-0002-0000-0900-000007000000}">
      <formula1>20000000000</formula1>
      <formula2>33999999999</formula2>
    </dataValidation>
    <dataValidation type="whole" allowBlank="1" showInputMessage="1" showErrorMessage="1" sqref="F192:F216 E227:E235 E241:E246 E9:E169" xr:uid="{00000000-0002-0000-0900-000008000000}">
      <formula1>1</formula1>
      <formula2>99999999</formula2>
    </dataValidation>
    <dataValidation type="whole" allowBlank="1" showInputMessage="1" showErrorMessage="1" sqref="E192:E216 D227:D235 D241:D246 D9:D169" xr:uid="{00000000-0002-0000-0900-000009000000}">
      <formula1>1</formula1>
      <formula2>9999</formula2>
    </dataValidation>
    <dataValidation type="custom" allowBlank="1" showInputMessage="1" showErrorMessage="1" sqref="L229" xr:uid="{00000000-0002-0000-0900-00000A000000}">
      <formula1>IF($C66=3,L66&lt;0,L66&gt;=0)</formula1>
    </dataValidation>
    <dataValidation type="custom" allowBlank="1" showInputMessage="1" showErrorMessage="1" sqref="L230" xr:uid="{00000000-0002-0000-0900-00000B000000}">
      <formula1>IF($C159=3,L159&lt;0,L159&gt;=0)</formula1>
    </dataValidation>
    <dataValidation type="custom" allowBlank="1" showInputMessage="1" showErrorMessage="1" sqref="L231" xr:uid="{00000000-0002-0000-0900-00000C000000}">
      <formula1>IF($C168=3,L168&lt;0,L168&gt;=0)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69" xr:uid="{00000000-0002-0000-0900-00000D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296"/>
  <sheetViews>
    <sheetView showGridLines="0" topLeftCell="F190" zoomScale="80" zoomScaleNormal="80" workbookViewId="0">
      <selection activeCell="K193" sqref="K193:K198"/>
    </sheetView>
  </sheetViews>
  <sheetFormatPr baseColWidth="10" defaultColWidth="0" defaultRowHeight="14.4" x14ac:dyDescent="0.3"/>
  <cols>
    <col min="1" max="1" width="1.6640625" customWidth="1"/>
    <col min="2" max="2" width="10.5546875" customWidth="1"/>
    <col min="3" max="3" width="9.5546875" customWidth="1"/>
    <col min="4" max="4" width="13.33203125" customWidth="1"/>
    <col min="5" max="5" width="17.109375" bestFit="1" customWidth="1"/>
    <col min="6" max="6" width="19.332031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4.88671875" customWidth="1"/>
    <col min="14" max="14" width="15" customWidth="1"/>
    <col min="15" max="15" width="18.5546875" customWidth="1"/>
    <col min="16" max="16" width="17.109375" customWidth="1"/>
    <col min="17" max="17" width="20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EDATE('Ene-23'!N1,9)</f>
        <v>45200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SUM(compras_mes10[[#Totals],[NETO GRAVADO]])+extracto_banco_mes10[[#Totals],[NETO]]</f>
        <v>35501423.921904758</v>
      </c>
      <c r="C4" s="659"/>
      <c r="D4" s="659"/>
      <c r="E4" s="659"/>
      <c r="F4" s="39"/>
      <c r="G4" s="660">
        <f>compras_mes10[[#Totals],[IVA 21 %]]+compras_mes10[[#Totals],[IVA 27%]]+compras_mes10[[#Totals],[IVA 10,5%]]+extracto_banco_mes10[[#Totals],[IVA 21%]]+extracto_banco_mes10[[#Totals],[IVA 10,5%]]</f>
        <v>7584835.4339000033</v>
      </c>
      <c r="H4" s="660"/>
      <c r="I4" s="39"/>
      <c r="J4" s="649">
        <f>venta_a_mes10[[#Totals],[IMPORTE NETO]]+ventas_b_mes10[[#Totals],[IMPORTE NETO]]</f>
        <v>7036485.1793500008</v>
      </c>
      <c r="K4" s="649"/>
      <c r="L4" s="39"/>
      <c r="M4" s="649">
        <f>venta_a_mes10[[#Totals],[IVA 21%]]+venta_a_mes10[[#Totals],[IVA 10,5%]]+ventas_b_mes10[[#Totals],[IVA 21%]]+ventas_b_mes10[[#Totals],[IVA 10,5%]]</f>
        <v>0</v>
      </c>
      <c r="N4" s="649"/>
      <c r="O4" s="39"/>
      <c r="P4" s="662">
        <f>G4-M4</f>
        <v>7584835.4339000033</v>
      </c>
      <c r="Q4" s="663"/>
      <c r="R4" s="663"/>
    </row>
    <row r="5" spans="1:26" ht="13.5" customHeight="1" x14ac:dyDescent="0.3"/>
    <row r="6" spans="1:26" ht="12.7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240">
        <v>45201</v>
      </c>
      <c r="C9" s="241">
        <v>1</v>
      </c>
      <c r="D9" s="242">
        <v>3</v>
      </c>
      <c r="E9" s="243">
        <v>1941</v>
      </c>
      <c r="F9" s="244">
        <v>30715399896</v>
      </c>
      <c r="G9" s="245" t="str">
        <f>IFERROR(IF(compras_mes10[[#This Row],[CUIT]]="","-",VLOOKUP(compras_mes10[[#This Row],[CUIT]],Lista_CUIT[#All],2,0)),"CUIT NO CARGADO")</f>
        <v>CREANDO IMAGEN S.A.</v>
      </c>
      <c r="H9" s="554">
        <v>207040</v>
      </c>
      <c r="I9" s="246">
        <f>IF(compras_mes10[[#This Row],[NETO GRAVADO]]="","",compras_mes10[[#This Row],[NETO GRAVADO]]*0.21)</f>
        <v>43478.400000000001</v>
      </c>
      <c r="J9" s="246"/>
      <c r="K9" s="246"/>
      <c r="L9" s="246"/>
      <c r="M9" s="246"/>
      <c r="N9" s="246"/>
      <c r="O9" s="246"/>
      <c r="P9" s="247">
        <f>SUM(compras_mes10[[#This Row],[NETO GRAVADO]:[Otros / No Grav.]])</f>
        <v>250518.39999999999</v>
      </c>
      <c r="Q9" s="248">
        <f>IFERROR(IF(compras_mes10[[#This Row],[CUIT]]="","-",VLOOKUP(compras_mes10[[#This Row],[CUIT]],Lista_CUIT[#All],3,0)),"CUIT NO CARGADO")</f>
        <v>0</v>
      </c>
      <c r="R9" s="248">
        <f>IFERROR(IF(compras_mes10[[#This Row],[CUIT]]="","-",VLOOKUP(compras_mes10[[#This Row],[CUIT]],Lista_CUIT[#All],4,0)),"CUIT NO CARGADO")</f>
        <v>0</v>
      </c>
    </row>
    <row r="10" spans="1:26" x14ac:dyDescent="0.3">
      <c r="B10" s="538">
        <v>45201</v>
      </c>
      <c r="C10" s="539">
        <v>1</v>
      </c>
      <c r="D10" s="540">
        <v>6</v>
      </c>
      <c r="E10" s="541">
        <v>2810</v>
      </c>
      <c r="F10" s="542">
        <v>30574603788</v>
      </c>
      <c r="G10" s="543" t="str">
        <f>IFERROR(IF(compras_mes10[[#This Row],[CUIT]]="","-",VLOOKUP(compras_mes10[[#This Row],[CUIT]],Lista_CUIT[#All],2,0)),"CUIT NO CARGADO")</f>
        <v>CODAC SRL</v>
      </c>
      <c r="H10" s="548">
        <v>372155</v>
      </c>
      <c r="I10" s="545">
        <f>IF(compras_mes10[[#This Row],[NETO GRAVADO]]="","",compras_mes10[[#This Row],[NETO GRAVADO]]*0.21)</f>
        <v>78152.55</v>
      </c>
      <c r="J10" s="528"/>
      <c r="K10" s="528"/>
      <c r="L10" s="528"/>
      <c r="M10" s="528"/>
      <c r="N10" s="528"/>
      <c r="O10" s="528"/>
      <c r="P10" s="546">
        <f>SUM(compras_mes10[[#This Row],[NETO GRAVADO]:[Otros / No Grav.]])</f>
        <v>450307.55</v>
      </c>
      <c r="Q10" s="547" t="str">
        <f>IFERROR(IF(compras_mes10[[#This Row],[CUIT]]="","-",VLOOKUP(compras_mes10[[#This Row],[CUIT]],Lista_CUIT[#All],3,0)),"CUIT NO CARGADO")</f>
        <v>GASTOS COSMETICA</v>
      </c>
      <c r="R10" s="547" t="str">
        <f>IFERROR(IF(compras_mes10[[#This Row],[CUIT]]="","-",VLOOKUP(compras_mes10[[#This Row],[CUIT]],Lista_CUIT[#All],4,0)),"CUIT NO CARGADO")</f>
        <v>BUENOS AIRES</v>
      </c>
    </row>
    <row r="11" spans="1:26" x14ac:dyDescent="0.3">
      <c r="B11" s="538">
        <v>45201</v>
      </c>
      <c r="C11" s="539">
        <v>1</v>
      </c>
      <c r="D11" s="540">
        <v>6</v>
      </c>
      <c r="E11" s="541">
        <v>26317</v>
      </c>
      <c r="F11" s="542">
        <v>30710492626</v>
      </c>
      <c r="G11" s="543" t="str">
        <f>IFERROR(IF(compras_mes10[[#This Row],[CUIT]]="","-",VLOOKUP(compras_mes10[[#This Row],[CUIT]],Lista_CUIT[#All],2,0)),"CUIT NO CARGADO")</f>
        <v>ELECTRO SERVICE M&amp;E SRL.</v>
      </c>
      <c r="H11" s="548">
        <v>12342.53</v>
      </c>
      <c r="I11" s="545">
        <f>IF(compras_mes10[[#This Row],[NETO GRAVADO]]="","",compras_mes10[[#This Row],[NETO GRAVADO]]*0.21)</f>
        <v>2591.9313000000002</v>
      </c>
      <c r="J11" s="528"/>
      <c r="K11" s="528"/>
      <c r="L11" s="528"/>
      <c r="M11" s="528"/>
      <c r="N11" s="528"/>
      <c r="O11" s="528"/>
      <c r="P11" s="546">
        <f>SUM(compras_mes10[[#This Row],[NETO GRAVADO]:[Otros / No Grav.]])</f>
        <v>14934.461300000001</v>
      </c>
      <c r="Q11" s="547">
        <f>IFERROR(IF(compras_mes10[[#This Row],[CUIT]]="","-",VLOOKUP(compras_mes10[[#This Row],[CUIT]],Lista_CUIT[#All],3,0)),"CUIT NO CARGADO")</f>
        <v>0</v>
      </c>
      <c r="R11" s="547">
        <f>IFERROR(IF(compras_mes10[[#This Row],[CUIT]]="","-",VLOOKUP(compras_mes10[[#This Row],[CUIT]],Lista_CUIT[#All],4,0)),"CUIT NO CARGADO")</f>
        <v>0</v>
      </c>
    </row>
    <row r="12" spans="1:26" x14ac:dyDescent="0.3">
      <c r="B12" s="240">
        <v>45201</v>
      </c>
      <c r="C12" s="241">
        <v>1</v>
      </c>
      <c r="D12" s="242">
        <v>6</v>
      </c>
      <c r="E12" s="243">
        <v>2811</v>
      </c>
      <c r="F12" s="244">
        <v>30574603788</v>
      </c>
      <c r="G12" s="245" t="str">
        <f>IFERROR(IF(compras_mes10[[#This Row],[CUIT]]="","-",VLOOKUP(compras_mes10[[#This Row],[CUIT]],Lista_CUIT[#All],2,0)),"CUIT NO CARGADO")</f>
        <v>CODAC SRL</v>
      </c>
      <c r="H12" s="46">
        <v>571755</v>
      </c>
      <c r="I12" s="246">
        <f>IF(compras_mes10[[#This Row],[NETO GRAVADO]]="","",compras_mes10[[#This Row],[NETO GRAVADO]]*0.21)</f>
        <v>120068.54999999999</v>
      </c>
      <c r="J12" s="85"/>
      <c r="K12" s="85"/>
      <c r="L12" s="85"/>
      <c r="M12" s="85"/>
      <c r="N12" s="85"/>
      <c r="O12" s="85"/>
      <c r="P12" s="247">
        <f>SUM(compras_mes10[[#This Row],[NETO GRAVADO]:[Otros / No Grav.]])</f>
        <v>691823.55</v>
      </c>
      <c r="Q12" s="248" t="str">
        <f>IFERROR(IF(compras_mes10[[#This Row],[CUIT]]="","-",VLOOKUP(compras_mes10[[#This Row],[CUIT]],Lista_CUIT[#All],3,0)),"CUIT NO CARGADO")</f>
        <v>GASTOS COSMETICA</v>
      </c>
      <c r="R12" s="248" t="str">
        <f>IFERROR(IF(compras_mes10[[#This Row],[CUIT]]="","-",VLOOKUP(compras_mes10[[#This Row],[CUIT]],Lista_CUIT[#All],4,0)),"CUIT NO CARGADO")</f>
        <v>BUENOS AIRES</v>
      </c>
    </row>
    <row r="13" spans="1:26" x14ac:dyDescent="0.3">
      <c r="B13" s="538">
        <v>45201</v>
      </c>
      <c r="C13" s="539">
        <v>1</v>
      </c>
      <c r="D13" s="540">
        <v>4</v>
      </c>
      <c r="E13" s="541">
        <v>40592</v>
      </c>
      <c r="F13" s="542">
        <v>30710102550</v>
      </c>
      <c r="G13" s="543" t="str">
        <f>IFERROR(IF(compras_mes10[[#This Row],[CUIT]]="","-",VLOOKUP(compras_mes10[[#This Row],[CUIT]],Lista_CUIT[#All],2,0)),"CUIT NO CARGADO")</f>
        <v>GONGZHU TECH DEVELOPMENT</v>
      </c>
      <c r="H13" s="548">
        <v>24161.1</v>
      </c>
      <c r="I13" s="545">
        <f>IF(compras_mes10[[#This Row],[NETO GRAVADO]]="","",compras_mes10[[#This Row],[NETO GRAVADO]]*0.21)</f>
        <v>5073.8309999999992</v>
      </c>
      <c r="J13" s="528"/>
      <c r="K13" s="528"/>
      <c r="L13" s="528"/>
      <c r="M13" s="528"/>
      <c r="N13" s="528">
        <v>1449.67</v>
      </c>
      <c r="O13" s="528"/>
      <c r="P13" s="546">
        <f>SUM(compras_mes10[[#This Row],[NETO GRAVADO]:[Otros / No Grav.]])</f>
        <v>30684.600999999995</v>
      </c>
      <c r="Q13" s="547">
        <f>IFERROR(IF(compras_mes10[[#This Row],[CUIT]]="","-",VLOOKUP(compras_mes10[[#This Row],[CUIT]],Lista_CUIT[#All],3,0)),"CUIT NO CARGADO")</f>
        <v>0</v>
      </c>
      <c r="R13" s="547">
        <f>IFERROR(IF(compras_mes10[[#This Row],[CUIT]]="","-",VLOOKUP(compras_mes10[[#This Row],[CUIT]],Lista_CUIT[#All],4,0)),"CUIT NO CARGADO")</f>
        <v>0</v>
      </c>
    </row>
    <row r="14" spans="1:26" x14ac:dyDescent="0.3">
      <c r="B14" s="240">
        <v>45201</v>
      </c>
      <c r="C14" s="241">
        <v>1</v>
      </c>
      <c r="D14" s="242">
        <v>2</v>
      </c>
      <c r="E14" s="243">
        <v>2287</v>
      </c>
      <c r="F14" s="244">
        <v>27329934328</v>
      </c>
      <c r="G14" s="245" t="str">
        <f>IFERROR(IF(compras_mes10[[#This Row],[CUIT]]="","-",VLOOKUP(compras_mes10[[#This Row],[CUIT]],Lista_CUIT[#All],2,0)),"CUIT NO CARGADO")</f>
        <v>BORZACCHINI NOELIA VERONICA</v>
      </c>
      <c r="H14" s="46">
        <v>63400</v>
      </c>
      <c r="I14" s="246">
        <f>IF(compras_mes10[[#This Row],[NETO GRAVADO]]="","",compras_mes10[[#This Row],[NETO GRAVADO]]*0.21)</f>
        <v>13314</v>
      </c>
      <c r="J14" s="85"/>
      <c r="K14" s="85"/>
      <c r="L14" s="85"/>
      <c r="M14" s="85"/>
      <c r="N14" s="85"/>
      <c r="O14" s="85"/>
      <c r="P14" s="247">
        <f>SUM(compras_mes10[[#This Row],[NETO GRAVADO]:[Otros / No Grav.]])</f>
        <v>76714</v>
      </c>
      <c r="Q14" s="248">
        <f>IFERROR(IF(compras_mes10[[#This Row],[CUIT]]="","-",VLOOKUP(compras_mes10[[#This Row],[CUIT]],Lista_CUIT[#All],3,0)),"CUIT NO CARGADO")</f>
        <v>0</v>
      </c>
      <c r="R14" s="248">
        <f>IFERROR(IF(compras_mes10[[#This Row],[CUIT]]="","-",VLOOKUP(compras_mes10[[#This Row],[CUIT]],Lista_CUIT[#All],4,0)),"CUIT NO CARGADO")</f>
        <v>0</v>
      </c>
    </row>
    <row r="15" spans="1:26" x14ac:dyDescent="0.3">
      <c r="B15" s="240">
        <v>45201</v>
      </c>
      <c r="C15" s="241">
        <v>1</v>
      </c>
      <c r="D15" s="242">
        <v>1</v>
      </c>
      <c r="E15" s="243">
        <v>425</v>
      </c>
      <c r="F15" s="244">
        <v>20131206144</v>
      </c>
      <c r="G15" s="94" t="str">
        <f>IFERROR(IF(compras_mes10[[#This Row],[CUIT]]="","-",VLOOKUP(compras_mes10[[#This Row],[CUIT]],Lista_CUIT[#All],2,0)),"CUIT NO CARGADO")</f>
        <v>CHAMORRO MANUEL</v>
      </c>
      <c r="H15" s="46">
        <v>90000</v>
      </c>
      <c r="I15" s="246">
        <f>IF(compras_mes10[[#This Row],[NETO GRAVADO]]="","",compras_mes10[[#This Row],[NETO GRAVADO]]*0.21)</f>
        <v>18900</v>
      </c>
      <c r="J15" s="85"/>
      <c r="K15" s="85"/>
      <c r="L15" s="85"/>
      <c r="M15" s="85"/>
      <c r="N15" s="85"/>
      <c r="O15" s="85"/>
      <c r="P15" s="87">
        <f>SUM(compras_mes10[[#This Row],[NETO GRAVADO]:[Otros / No Grav.]])</f>
        <v>108900</v>
      </c>
      <c r="Q15" s="88" t="str">
        <f>IFERROR(IF(compras_mes10[[#This Row],[CUIT]]="","-",VLOOKUP(compras_mes10[[#This Row],[CUIT]],Lista_CUIT[#All],3,0)),"CUIT NO CARGADO")</f>
        <v>Alquiler</v>
      </c>
      <c r="R15" s="88">
        <f>IFERROR(IF(compras_mes10[[#This Row],[CUIT]]="","-",VLOOKUP(compras_mes10[[#This Row],[CUIT]],Lista_CUIT[#All],4,0)),"CUIT NO CARGADO")</f>
        <v>0</v>
      </c>
    </row>
    <row r="16" spans="1:26" s="56" customFormat="1" ht="14.25" customHeight="1" x14ac:dyDescent="0.3">
      <c r="B16" s="240">
        <v>45201</v>
      </c>
      <c r="C16" s="241">
        <v>1</v>
      </c>
      <c r="D16" s="242">
        <v>2</v>
      </c>
      <c r="E16" s="243">
        <v>3458</v>
      </c>
      <c r="F16" s="244">
        <v>30629863571</v>
      </c>
      <c r="G16" s="245" t="str">
        <f>IFERROR(IF(compras_mes10[[#This Row],[CUIT]]="","-",VLOOKUP(compras_mes10[[#This Row],[CUIT]],Lista_CUIT[#All],2,0)),"CUIT NO CARGADO")</f>
        <v>TECNIMAR S R L</v>
      </c>
      <c r="H16" s="46">
        <v>947796</v>
      </c>
      <c r="I16" s="246">
        <f>IF(compras_mes10[[#This Row],[NETO GRAVADO]]="","",compras_mes10[[#This Row],[NETO GRAVADO]]*0.21)</f>
        <v>199037.16</v>
      </c>
      <c r="J16" s="85"/>
      <c r="K16" s="85"/>
      <c r="L16" s="85"/>
      <c r="M16" s="85"/>
      <c r="N16" s="85"/>
      <c r="O16" s="85"/>
      <c r="P16" s="247">
        <f>SUM(compras_mes10[[#This Row],[NETO GRAVADO]:[Otros / No Grav.]])</f>
        <v>1146833.1599999999</v>
      </c>
      <c r="Q16" s="248" t="str">
        <f>IFERROR(IF(compras_mes10[[#This Row],[CUIT]]="","-",VLOOKUP(compras_mes10[[#This Row],[CUIT]],Lista_CUIT[#All],3,0)),"CUIT NO CARGADO")</f>
        <v>LABORATORIO</v>
      </c>
      <c r="R16" s="248">
        <f>IFERROR(IF(compras_mes10[[#This Row],[CUIT]]="","-",VLOOKUP(compras_mes10[[#This Row],[CUIT]],Lista_CUIT[#All],4,0)),"CUIT NO CARGADO")</f>
        <v>0</v>
      </c>
    </row>
    <row r="17" spans="2:18" x14ac:dyDescent="0.3">
      <c r="B17" s="240">
        <v>45201</v>
      </c>
      <c r="C17" s="241">
        <v>1</v>
      </c>
      <c r="D17" s="242">
        <v>22</v>
      </c>
      <c r="E17" s="243">
        <v>29763</v>
      </c>
      <c r="F17" s="244">
        <v>30584529454</v>
      </c>
      <c r="G17" s="245" t="str">
        <f>IFERROR(IF(compras_mes10[[#This Row],[CUIT]]="","-",VLOOKUP(compras_mes10[[#This Row],[CUIT]],Lista_CUIT[#All],2,0)),"CUIT NO CARGADO")</f>
        <v>MALI Y CIA SA</v>
      </c>
      <c r="H17" s="46">
        <v>7754.86</v>
      </c>
      <c r="I17" s="246"/>
      <c r="J17" s="85">
        <f>compras_mes10[[#This Row],[NETO GRAVADO]]*0.27</f>
        <v>2093.8121999999998</v>
      </c>
      <c r="K17" s="85"/>
      <c r="L17" s="85"/>
      <c r="M17" s="85"/>
      <c r="N17" s="85">
        <v>465.29</v>
      </c>
      <c r="O17" s="85"/>
      <c r="P17" s="247">
        <f>SUM(compras_mes10[[#This Row],[NETO GRAVADO]:[Otros / No Grav.]])</f>
        <v>10313.9622</v>
      </c>
      <c r="Q17" s="248">
        <f>IFERROR(IF(compras_mes10[[#This Row],[CUIT]]="","-",VLOOKUP(compras_mes10[[#This Row],[CUIT]],Lista_CUIT[#All],3,0)),"CUIT NO CARGADO")</f>
        <v>0</v>
      </c>
      <c r="R17" s="248">
        <f>IFERROR(IF(compras_mes10[[#This Row],[CUIT]]="","-",VLOOKUP(compras_mes10[[#This Row],[CUIT]],Lista_CUIT[#All],4,0)),"CUIT NO CARGADO")</f>
        <v>0</v>
      </c>
    </row>
    <row r="18" spans="2:18" x14ac:dyDescent="0.3">
      <c r="B18" s="538">
        <v>45201</v>
      </c>
      <c r="C18" s="539">
        <v>3</v>
      </c>
      <c r="D18" s="540">
        <v>6</v>
      </c>
      <c r="E18" s="541">
        <v>398</v>
      </c>
      <c r="F18" s="542">
        <v>30574603788</v>
      </c>
      <c r="G18" s="543" t="str">
        <f>IFERROR(IF(compras_mes10[[#This Row],[CUIT]]="","-",VLOOKUP(compras_mes10[[#This Row],[CUIT]],Lista_CUIT[#All],2,0)),"CUIT NO CARGADO")</f>
        <v>CODAC SRL</v>
      </c>
      <c r="H18" s="548">
        <v>-372155</v>
      </c>
      <c r="I18" s="545">
        <f>IF(compras_mes10[[#This Row],[NETO GRAVADO]]="","",compras_mes10[[#This Row],[NETO GRAVADO]]*0.21)</f>
        <v>-78152.55</v>
      </c>
      <c r="J18" s="528"/>
      <c r="K18" s="528"/>
      <c r="L18" s="528"/>
      <c r="M18" s="528"/>
      <c r="N18" s="528"/>
      <c r="O18" s="528"/>
      <c r="P18" s="546">
        <f>SUM(compras_mes10[[#This Row],[NETO GRAVADO]:[Otros / No Grav.]])</f>
        <v>-450307.55</v>
      </c>
      <c r="Q18" s="547" t="str">
        <f>IFERROR(IF(compras_mes10[[#This Row],[CUIT]]="","-",VLOOKUP(compras_mes10[[#This Row],[CUIT]],Lista_CUIT[#All],3,0)),"CUIT NO CARGADO")</f>
        <v>GASTOS COSMETICA</v>
      </c>
      <c r="R18" s="547" t="str">
        <f>IFERROR(IF(compras_mes10[[#This Row],[CUIT]]="","-",VLOOKUP(compras_mes10[[#This Row],[CUIT]],Lista_CUIT[#All],4,0)),"CUIT NO CARGADO")</f>
        <v>BUENOS AIRES</v>
      </c>
    </row>
    <row r="19" spans="2:18" x14ac:dyDescent="0.3">
      <c r="B19" s="240">
        <v>45202</v>
      </c>
      <c r="C19" s="241">
        <v>1</v>
      </c>
      <c r="D19" s="242">
        <v>7</v>
      </c>
      <c r="E19" s="243">
        <v>27954</v>
      </c>
      <c r="F19" s="244">
        <v>30711399093</v>
      </c>
      <c r="G19" s="245" t="str">
        <f>IFERROR(IF(compras_mes10[[#This Row],[CUIT]]="","-",VLOOKUP(compras_mes10[[#This Row],[CUIT]],Lista_CUIT[#All],2,0)),"CUIT NO CARGADO")</f>
        <v>POLGRAF SOCIEDAD DE HECHO DE HOMOLA CHRISTIAN HERNAN Y HOMOLA MARCELO JULIO</v>
      </c>
      <c r="H19" s="46">
        <v>8305.7900000000009</v>
      </c>
      <c r="I19" s="246">
        <f>IF(compras_mes10[[#This Row],[NETO GRAVADO]]="","",compras_mes10[[#This Row],[NETO GRAVADO]]*0.21)</f>
        <v>1744.2159000000001</v>
      </c>
      <c r="J19" s="85"/>
      <c r="K19" s="85"/>
      <c r="L19" s="85"/>
      <c r="M19" s="85"/>
      <c r="N19" s="85"/>
      <c r="O19" s="85"/>
      <c r="P19" s="247">
        <f>SUM(compras_mes10[[#This Row],[NETO GRAVADO]:[Otros / No Grav.]])</f>
        <v>10050.0059</v>
      </c>
      <c r="Q19" s="248">
        <f>IFERROR(IF(compras_mes10[[#This Row],[CUIT]]="","-",VLOOKUP(compras_mes10[[#This Row],[CUIT]],Lista_CUIT[#All],3,0)),"CUIT NO CARGADO")</f>
        <v>0</v>
      </c>
      <c r="R19" s="248">
        <f>IFERROR(IF(compras_mes10[[#This Row],[CUIT]]="","-",VLOOKUP(compras_mes10[[#This Row],[CUIT]],Lista_CUIT[#All],4,0)),"CUIT NO CARGADO")</f>
        <v>0</v>
      </c>
    </row>
    <row r="20" spans="2:18" ht="14.4" customHeight="1" x14ac:dyDescent="0.3">
      <c r="B20" s="240">
        <v>45202</v>
      </c>
      <c r="C20" s="241">
        <v>1</v>
      </c>
      <c r="D20" s="242">
        <v>11</v>
      </c>
      <c r="E20" s="243">
        <v>75360</v>
      </c>
      <c r="F20" s="244">
        <v>30534051049</v>
      </c>
      <c r="G20" s="245" t="str">
        <f>IFERROR(IF(compras_mes10[[#This Row],[CUIT]]="","-",VLOOKUP(compras_mes10[[#This Row],[CUIT]],Lista_CUIT[#All],2,0)),"CUIT NO CARGADO")</f>
        <v>ELECTRO UNIVERSO - PLIN METAL S A</v>
      </c>
      <c r="H20" s="46">
        <v>8211.14</v>
      </c>
      <c r="I20" s="246">
        <f>IF(compras_mes10[[#This Row],[NETO GRAVADO]]="","",compras_mes10[[#This Row],[NETO GRAVADO]]*0.21)</f>
        <v>1724.3393999999998</v>
      </c>
      <c r="J20" s="85"/>
      <c r="K20" s="85"/>
      <c r="L20" s="85"/>
      <c r="M20" s="85"/>
      <c r="N20" s="85"/>
      <c r="O20" s="85"/>
      <c r="P20" s="247">
        <f>SUM(compras_mes10[[#This Row],[NETO GRAVADO]:[Otros / No Grav.]])</f>
        <v>9935.4794000000002</v>
      </c>
      <c r="Q20" s="248">
        <f>IFERROR(IF(compras_mes10[[#This Row],[CUIT]]="","-",VLOOKUP(compras_mes10[[#This Row],[CUIT]],Lista_CUIT[#All],3,0)),"CUIT NO CARGADO")</f>
        <v>0</v>
      </c>
      <c r="R20" s="248">
        <f>IFERROR(IF(compras_mes10[[#This Row],[CUIT]]="","-",VLOOKUP(compras_mes10[[#This Row],[CUIT]],Lista_CUIT[#All],4,0)),"CUIT NO CARGADO")</f>
        <v>0</v>
      </c>
    </row>
    <row r="21" spans="2:18" ht="14.25" customHeight="1" x14ac:dyDescent="0.3">
      <c r="B21" s="538">
        <v>45202</v>
      </c>
      <c r="C21" s="539">
        <v>1</v>
      </c>
      <c r="D21" s="540">
        <v>5014</v>
      </c>
      <c r="E21" s="541">
        <v>497967</v>
      </c>
      <c r="F21" s="542">
        <v>30574876474</v>
      </c>
      <c r="G21" s="543" t="str">
        <f>IFERROR(IF(compras_mes10[[#This Row],[CUIT]]="","-",VLOOKUP(compras_mes10[[#This Row],[CUIT]],Lista_CUIT[#All],2,0)),"CUIT NO CARGADO")</f>
        <v>AUTOPISTAS URBANAS S A</v>
      </c>
      <c r="H21" s="548">
        <v>22037.040000000001</v>
      </c>
      <c r="I21" s="545">
        <f>IF(compras_mes10[[#This Row],[NETO GRAVADO]]="","",compras_mes10[[#This Row],[NETO GRAVADO]]*0.21)</f>
        <v>4627.7784000000001</v>
      </c>
      <c r="J21" s="528"/>
      <c r="K21" s="528"/>
      <c r="L21" s="528"/>
      <c r="M21" s="528">
        <v>661.09</v>
      </c>
      <c r="N21" s="528"/>
      <c r="O21" s="528">
        <v>2203.6799999999998</v>
      </c>
      <c r="P21" s="546">
        <f>SUM(compras_mes10[[#This Row],[NETO GRAVADO]:[Otros / No Grav.]])</f>
        <v>29529.588400000001</v>
      </c>
      <c r="Q21" s="547">
        <f>IFERROR(IF(compras_mes10[[#This Row],[CUIT]]="","-",VLOOKUP(compras_mes10[[#This Row],[CUIT]],Lista_CUIT[#All],3,0)),"CUIT NO CARGADO")</f>
        <v>0</v>
      </c>
      <c r="R21" s="547">
        <f>IFERROR(IF(compras_mes10[[#This Row],[CUIT]]="","-",VLOOKUP(compras_mes10[[#This Row],[CUIT]],Lista_CUIT[#All],4,0)),"CUIT NO CARGADO")</f>
        <v>0</v>
      </c>
    </row>
    <row r="22" spans="2:18" ht="13.5" customHeight="1" x14ac:dyDescent="0.3">
      <c r="B22" s="240">
        <v>45202</v>
      </c>
      <c r="C22" s="241">
        <v>1</v>
      </c>
      <c r="D22" s="242">
        <v>9</v>
      </c>
      <c r="E22" s="243">
        <v>246</v>
      </c>
      <c r="F22" s="244">
        <v>20134664518</v>
      </c>
      <c r="G22" s="245" t="str">
        <f>IFERROR(IF(compras_mes10[[#This Row],[CUIT]]="","-",VLOOKUP(compras_mes10[[#This Row],[CUIT]],Lista_CUIT[#All],2,0)),"CUIT NO CARGADO")</f>
        <v>HOKAMA SERGIO ENRIQUE</v>
      </c>
      <c r="H22" s="46">
        <v>18839.349999999999</v>
      </c>
      <c r="I22" s="246">
        <f>IF(compras_mes10[[#This Row],[NETO GRAVADO]]="","",compras_mes10[[#This Row],[NETO GRAVADO]]*0.21)</f>
        <v>3956.2634999999996</v>
      </c>
      <c r="J22" s="85"/>
      <c r="K22" s="85"/>
      <c r="L22" s="85"/>
      <c r="M22" s="85"/>
      <c r="N22" s="85"/>
      <c r="O22" s="85"/>
      <c r="P22" s="247">
        <f>SUM(compras_mes10[[#This Row],[NETO GRAVADO]:[Otros / No Grav.]])</f>
        <v>22795.613499999999</v>
      </c>
      <c r="Q22" s="248" t="str">
        <f>IFERROR(IF(compras_mes10[[#This Row],[CUIT]]="","-",VLOOKUP(compras_mes10[[#This Row],[CUIT]],Lista_CUIT[#All],3,0)),"CUIT NO CARGADO")</f>
        <v>Gastos Varios</v>
      </c>
      <c r="R22" s="248" t="str">
        <f>IFERROR(IF(compras_mes10[[#This Row],[CUIT]]="","-",VLOOKUP(compras_mes10[[#This Row],[CUIT]],Lista_CUIT[#All],4,0)),"CUIT NO CARGADO")</f>
        <v>BUENOS AIRES</v>
      </c>
    </row>
    <row r="23" spans="2:18" ht="14.4" customHeight="1" x14ac:dyDescent="0.3">
      <c r="B23" s="538">
        <v>45202</v>
      </c>
      <c r="C23" s="539">
        <v>1</v>
      </c>
      <c r="D23" s="540">
        <v>711</v>
      </c>
      <c r="E23" s="541">
        <v>4833505</v>
      </c>
      <c r="F23" s="542">
        <v>30677237119</v>
      </c>
      <c r="G23" s="543" t="str">
        <f>IFERROR(IF(compras_mes10[[#This Row],[CUIT]]="","-",VLOOKUP(compras_mes10[[#This Row],[CUIT]],Lista_CUIT[#All],2,0)),"CUIT NO CARGADO")</f>
        <v>AUTOPISTAS DEL SOL S A</v>
      </c>
      <c r="H23" s="548">
        <v>4173.6099999999997</v>
      </c>
      <c r="I23" s="545">
        <v>876.39</v>
      </c>
      <c r="J23" s="528"/>
      <c r="K23" s="528"/>
      <c r="L23" s="528"/>
      <c r="M23" s="528"/>
      <c r="N23" s="528"/>
      <c r="O23" s="528">
        <v>125.21</v>
      </c>
      <c r="P23" s="546">
        <f>SUM(compras_mes10[[#This Row],[NETO GRAVADO]:[Otros / No Grav.]])</f>
        <v>5175.21</v>
      </c>
      <c r="Q23" s="547">
        <f>IFERROR(IF(compras_mes10[[#This Row],[CUIT]]="","-",VLOOKUP(compras_mes10[[#This Row],[CUIT]],Lista_CUIT[#All],3,0)),"CUIT NO CARGADO")</f>
        <v>0</v>
      </c>
      <c r="R23" s="547">
        <f>IFERROR(IF(compras_mes10[[#This Row],[CUIT]]="","-",VLOOKUP(compras_mes10[[#This Row],[CUIT]],Lista_CUIT[#All],4,0)),"CUIT NO CARGADO")</f>
        <v>0</v>
      </c>
    </row>
    <row r="24" spans="2:18" ht="15" customHeight="1" x14ac:dyDescent="0.3">
      <c r="B24" s="538">
        <v>45202</v>
      </c>
      <c r="C24" s="539">
        <v>1</v>
      </c>
      <c r="D24" s="540">
        <v>629</v>
      </c>
      <c r="E24" s="541">
        <v>4539552</v>
      </c>
      <c r="F24" s="542">
        <v>30663498513</v>
      </c>
      <c r="G24" s="543" t="str">
        <f>IFERROR(IF(compras_mes10[[#This Row],[CUIT]]="","-",VLOOKUP(compras_mes10[[#This Row],[CUIT]],Lista_CUIT[#All],2,0)),"CUIT NO CARGADO")</f>
        <v>GRUPO CONCES. DEL OESTE SA</v>
      </c>
      <c r="H24" s="544">
        <v>4628.16</v>
      </c>
      <c r="I24" s="545">
        <f>IF(compras_mes10[[#This Row],[NETO GRAVADO]]="","",compras_mes10[[#This Row],[NETO GRAVADO]]*0.21)</f>
        <v>971.91359999999997</v>
      </c>
      <c r="J24" s="545"/>
      <c r="K24" s="545"/>
      <c r="L24" s="545"/>
      <c r="M24" s="545"/>
      <c r="N24" s="545"/>
      <c r="O24" s="545"/>
      <c r="P24" s="546">
        <f>SUM(compras_mes10[[#This Row],[NETO GRAVADO]:[Otros / No Grav.]])</f>
        <v>5600.0735999999997</v>
      </c>
      <c r="Q24" s="547">
        <f>IFERROR(IF(compras_mes10[[#This Row],[CUIT]]="","-",VLOOKUP(compras_mes10[[#This Row],[CUIT]],Lista_CUIT[#All],3,0)),"CUIT NO CARGADO")</f>
        <v>0</v>
      </c>
      <c r="R24" s="547">
        <f>IFERROR(IF(compras_mes10[[#This Row],[CUIT]]="","-",VLOOKUP(compras_mes10[[#This Row],[CUIT]],Lista_CUIT[#All],4,0)),"CUIT NO CARGADO")</f>
        <v>0</v>
      </c>
    </row>
    <row r="25" spans="2:18" ht="15" customHeight="1" x14ac:dyDescent="0.3">
      <c r="B25" s="538">
        <v>45202</v>
      </c>
      <c r="C25" s="539">
        <v>1</v>
      </c>
      <c r="D25" s="540">
        <v>943</v>
      </c>
      <c r="E25" s="541">
        <v>1622682</v>
      </c>
      <c r="F25" s="542">
        <v>30639453975</v>
      </c>
      <c r="G25" s="543" t="str">
        <f>IFERROR(IF(compras_mes10[[#This Row],[CUIT]]="","-",VLOOKUP(compras_mes10[[#This Row],[CUIT]],Lista_CUIT[#All],2,0)),"CUIT NO CARGADO")</f>
        <v>TELEFONICA DE ARG S.A.</v>
      </c>
      <c r="H25" s="548">
        <v>29786.560000000001</v>
      </c>
      <c r="I25" s="528"/>
      <c r="J25" s="528">
        <v>8042.37</v>
      </c>
      <c r="K25" s="528"/>
      <c r="L25" s="528">
        <v>893.6</v>
      </c>
      <c r="M25" s="528"/>
      <c r="N25" s="528">
        <v>1787.19</v>
      </c>
      <c r="O25" s="528"/>
      <c r="P25" s="546">
        <f>SUM(compras_mes10[[#This Row],[NETO GRAVADO]:[Otros / No Grav.]])</f>
        <v>40509.72</v>
      </c>
      <c r="Q25" s="547" t="str">
        <f>IFERROR(IF(compras_mes10[[#This Row],[CUIT]]="","-",VLOOKUP(compras_mes10[[#This Row],[CUIT]],Lista_CUIT[#All],3,0)),"CUIT NO CARGADO")</f>
        <v>Servicios Gas, Luz, etc.</v>
      </c>
      <c r="R25" s="547">
        <f>IFERROR(IF(compras_mes10[[#This Row],[CUIT]]="","-",VLOOKUP(compras_mes10[[#This Row],[CUIT]],Lista_CUIT[#All],4,0)),"CUIT NO CARGADO")</f>
        <v>0</v>
      </c>
    </row>
    <row r="26" spans="2:18" ht="15" customHeight="1" x14ac:dyDescent="0.3">
      <c r="B26" s="240">
        <v>45202</v>
      </c>
      <c r="C26" s="241">
        <v>1</v>
      </c>
      <c r="D26" s="242">
        <v>2</v>
      </c>
      <c r="E26" s="243">
        <v>2041</v>
      </c>
      <c r="F26" s="244">
        <v>20184094526</v>
      </c>
      <c r="G26" s="245" t="str">
        <f>IFERROR(IF(compras_mes10[[#This Row],[CUIT]]="","-",VLOOKUP(compras_mes10[[#This Row],[CUIT]],Lista_CUIT[#All],2,0)),"CUIT NO CARGADO")</f>
        <v>DI BLASIO CARLOS DANIEL</v>
      </c>
      <c r="H26" s="46">
        <v>45000</v>
      </c>
      <c r="I26" s="246">
        <f>IF(compras_mes10[[#This Row],[NETO GRAVADO]]="","",compras_mes10[[#This Row],[NETO GRAVADO]]*0.21)</f>
        <v>9450</v>
      </c>
      <c r="J26" s="85"/>
      <c r="K26" s="85"/>
      <c r="L26" s="85"/>
      <c r="M26" s="85"/>
      <c r="N26" s="85"/>
      <c r="O26" s="85"/>
      <c r="P26" s="247">
        <f>SUM(compras_mes10[[#This Row],[NETO GRAVADO]:[Otros / No Grav.]])</f>
        <v>54450</v>
      </c>
      <c r="Q26" s="248">
        <f>IFERROR(IF(compras_mes10[[#This Row],[CUIT]]="","-",VLOOKUP(compras_mes10[[#This Row],[CUIT]],Lista_CUIT[#All],3,0)),"CUIT NO CARGADO")</f>
        <v>0</v>
      </c>
      <c r="R26" s="248">
        <f>IFERROR(IF(compras_mes10[[#This Row],[CUIT]]="","-",VLOOKUP(compras_mes10[[#This Row],[CUIT]],Lista_CUIT[#All],4,0)),"CUIT NO CARGADO")</f>
        <v>0</v>
      </c>
    </row>
    <row r="27" spans="2:18" ht="15" customHeight="1" x14ac:dyDescent="0.3">
      <c r="B27" s="538">
        <v>45202</v>
      </c>
      <c r="C27" s="539">
        <v>1</v>
      </c>
      <c r="D27" s="540">
        <v>2</v>
      </c>
      <c r="E27" s="541">
        <v>3464</v>
      </c>
      <c r="F27" s="542">
        <v>30629863571</v>
      </c>
      <c r="G27" s="543" t="str">
        <f>IFERROR(IF(compras_mes10[[#This Row],[CUIT]]="","-",VLOOKUP(compras_mes10[[#This Row],[CUIT]],Lista_CUIT[#All],2,0)),"CUIT NO CARGADO")</f>
        <v>TECNIMAR S R L</v>
      </c>
      <c r="H27" s="548">
        <v>2205030.48</v>
      </c>
      <c r="I27" s="545">
        <f>IF(compras_mes10[[#This Row],[NETO GRAVADO]]="","",compras_mes10[[#This Row],[NETO GRAVADO]]*0.21)</f>
        <v>463056.4008</v>
      </c>
      <c r="J27" s="528"/>
      <c r="K27" s="528"/>
      <c r="L27" s="528"/>
      <c r="M27" s="528"/>
      <c r="N27" s="528"/>
      <c r="O27" s="528"/>
      <c r="P27" s="546">
        <f>SUM(compras_mes10[[#This Row],[NETO GRAVADO]:[Otros / No Grav.]])</f>
        <v>2668086.8807999999</v>
      </c>
      <c r="Q27" s="547" t="str">
        <f>IFERROR(IF(compras_mes10[[#This Row],[CUIT]]="","-",VLOOKUP(compras_mes10[[#This Row],[CUIT]],Lista_CUIT[#All],3,0)),"CUIT NO CARGADO")</f>
        <v>LABORATORIO</v>
      </c>
      <c r="R27" s="547">
        <f>IFERROR(IF(compras_mes10[[#This Row],[CUIT]]="","-",VLOOKUP(compras_mes10[[#This Row],[CUIT]],Lista_CUIT[#All],4,0)),"CUIT NO CARGADO")</f>
        <v>0</v>
      </c>
    </row>
    <row r="28" spans="2:18" ht="15" customHeight="1" x14ac:dyDescent="0.3">
      <c r="B28" s="240">
        <v>45203</v>
      </c>
      <c r="C28" s="241">
        <v>1</v>
      </c>
      <c r="D28" s="242">
        <v>7</v>
      </c>
      <c r="E28" s="243">
        <v>9964</v>
      </c>
      <c r="F28" s="244">
        <v>30715124919</v>
      </c>
      <c r="G28" s="45" t="str">
        <f>IFERROR(IF(compras_mes10[[#This Row],[CUIT]]="","-",VLOOKUP(compras_mes10[[#This Row],[CUIT]],Lista_CUIT[#All],2,0)),"CUIT NO CARGADO")</f>
        <v>CLEAN LAB SRL</v>
      </c>
      <c r="H28" s="46">
        <v>10228.14</v>
      </c>
      <c r="I28" s="246">
        <f>IF(compras_mes10[[#This Row],[NETO GRAVADO]]="","",compras_mes10[[#This Row],[NETO GRAVADO]]*0.21)</f>
        <v>2147.9094</v>
      </c>
      <c r="J28" s="85"/>
      <c r="K28" s="85"/>
      <c r="L28" s="85"/>
      <c r="M28" s="85"/>
      <c r="N28" s="85"/>
      <c r="O28" s="85"/>
      <c r="P28" s="48">
        <f>SUM(compras_mes10[[#This Row],[NETO GRAVADO]:[Otros / No Grav.]])</f>
        <v>12376.0494</v>
      </c>
      <c r="Q28" s="49">
        <f>IFERROR(IF(compras_mes10[[#This Row],[CUIT]]="","-",VLOOKUP(compras_mes10[[#This Row],[CUIT]],Lista_CUIT[#All],3,0)),"CUIT NO CARGADO")</f>
        <v>0</v>
      </c>
      <c r="R28" s="49">
        <f>IFERROR(IF(compras_mes10[[#This Row],[CUIT]]="","-",VLOOKUP(compras_mes10[[#This Row],[CUIT]],Lista_CUIT[#All],4,0)),"CUIT NO CARGADO")</f>
        <v>0</v>
      </c>
    </row>
    <row r="29" spans="2:18" ht="15.75" customHeight="1" x14ac:dyDescent="0.3">
      <c r="B29" s="240">
        <v>45203</v>
      </c>
      <c r="C29" s="241">
        <v>1</v>
      </c>
      <c r="D29" s="242">
        <v>7</v>
      </c>
      <c r="E29" s="243">
        <v>9965</v>
      </c>
      <c r="F29" s="244">
        <v>30715124919</v>
      </c>
      <c r="G29" s="245" t="str">
        <f>IFERROR(IF(compras_mes10[[#This Row],[CUIT]]="","-",VLOOKUP(compras_mes10[[#This Row],[CUIT]],Lista_CUIT[#All],2,0)),"CUIT NO CARGADO")</f>
        <v>CLEAN LAB SRL</v>
      </c>
      <c r="H29" s="46">
        <v>40130.97</v>
      </c>
      <c r="I29" s="246">
        <f>IF(compras_mes10[[#This Row],[NETO GRAVADO]]="","",compras_mes10[[#This Row],[NETO GRAVADO]]*0.21)</f>
        <v>8427.5036999999993</v>
      </c>
      <c r="J29" s="85"/>
      <c r="K29" s="85"/>
      <c r="L29" s="85"/>
      <c r="M29" s="85"/>
      <c r="N29" s="85"/>
      <c r="O29" s="85"/>
      <c r="P29" s="247">
        <f>SUM(compras_mes10[[#This Row],[NETO GRAVADO]:[Otros / No Grav.]])</f>
        <v>48558.473700000002</v>
      </c>
      <c r="Q29" s="248">
        <f>IFERROR(IF(compras_mes10[[#This Row],[CUIT]]="","-",VLOOKUP(compras_mes10[[#This Row],[CUIT]],Lista_CUIT[#All],3,0)),"CUIT NO CARGADO")</f>
        <v>0</v>
      </c>
      <c r="R29" s="248">
        <f>IFERROR(IF(compras_mes10[[#This Row],[CUIT]]="","-",VLOOKUP(compras_mes10[[#This Row],[CUIT]],Lista_CUIT[#All],4,0)),"CUIT NO CARGADO")</f>
        <v>0</v>
      </c>
    </row>
    <row r="30" spans="2:18" ht="15" customHeight="1" x14ac:dyDescent="0.3">
      <c r="B30" s="240">
        <v>45203</v>
      </c>
      <c r="C30" s="241">
        <v>1</v>
      </c>
      <c r="D30" s="242">
        <v>7</v>
      </c>
      <c r="E30" s="243">
        <v>9966</v>
      </c>
      <c r="F30" s="244">
        <v>30715124919</v>
      </c>
      <c r="G30" s="245" t="str">
        <f>IFERROR(IF(compras_mes10[[#This Row],[CUIT]]="","-",VLOOKUP(compras_mes10[[#This Row],[CUIT]],Lista_CUIT[#All],2,0)),"CUIT NO CARGADO")</f>
        <v>CLEAN LAB SRL</v>
      </c>
      <c r="H30" s="46">
        <v>10228.14</v>
      </c>
      <c r="I30" s="246">
        <f>IF(compras_mes10[[#This Row],[NETO GRAVADO]]="","",compras_mes10[[#This Row],[NETO GRAVADO]]*0.21)</f>
        <v>2147.9094</v>
      </c>
      <c r="J30" s="85"/>
      <c r="K30" s="85"/>
      <c r="L30" s="85"/>
      <c r="M30" s="85"/>
      <c r="N30" s="85"/>
      <c r="O30" s="85"/>
      <c r="P30" s="247">
        <f>SUM(compras_mes10[[#This Row],[NETO GRAVADO]:[Otros / No Grav.]])</f>
        <v>12376.0494</v>
      </c>
      <c r="Q30" s="248">
        <f>IFERROR(IF(compras_mes10[[#This Row],[CUIT]]="","-",VLOOKUP(compras_mes10[[#This Row],[CUIT]],Lista_CUIT[#All],3,0)),"CUIT NO CARGADO")</f>
        <v>0</v>
      </c>
      <c r="R30" s="248">
        <f>IFERROR(IF(compras_mes10[[#This Row],[CUIT]]="","-",VLOOKUP(compras_mes10[[#This Row],[CUIT]],Lista_CUIT[#All],4,0)),"CUIT NO CARGADO")</f>
        <v>0</v>
      </c>
    </row>
    <row r="31" spans="2:18" x14ac:dyDescent="0.3">
      <c r="B31" s="240">
        <v>45203</v>
      </c>
      <c r="C31" s="241">
        <v>1</v>
      </c>
      <c r="D31" s="242">
        <v>3</v>
      </c>
      <c r="E31" s="243">
        <v>16254</v>
      </c>
      <c r="F31" s="244">
        <v>33707953549</v>
      </c>
      <c r="G31" s="245" t="str">
        <f>IFERROR(IF(compras_mes10[[#This Row],[CUIT]]="","-",VLOOKUP(compras_mes10[[#This Row],[CUIT]],Lista_CUIT[#All],2,0)),"CUIT NO CARGADO")</f>
        <v>TELESMART</v>
      </c>
      <c r="H31" s="46">
        <v>8816</v>
      </c>
      <c r="I31" s="246">
        <f>IF(compras_mes10[[#This Row],[NETO GRAVADO]]="","",compras_mes10[[#This Row],[NETO GRAVADO]]*0.21)</f>
        <v>1851.36</v>
      </c>
      <c r="J31" s="85"/>
      <c r="K31" s="85"/>
      <c r="L31" s="85"/>
      <c r="M31" s="85"/>
      <c r="N31" s="85"/>
      <c r="O31" s="85"/>
      <c r="P31" s="247">
        <f>SUM(compras_mes10[[#This Row],[NETO GRAVADO]:[Otros / No Grav.]])</f>
        <v>10667.36</v>
      </c>
      <c r="Q31" s="248">
        <f>IFERROR(IF(compras_mes10[[#This Row],[CUIT]]="","-",VLOOKUP(compras_mes10[[#This Row],[CUIT]],Lista_CUIT[#All],3,0)),"CUIT NO CARGADO")</f>
        <v>0</v>
      </c>
      <c r="R31" s="248">
        <f>IFERROR(IF(compras_mes10[[#This Row],[CUIT]]="","-",VLOOKUP(compras_mes10[[#This Row],[CUIT]],Lista_CUIT[#All],4,0)),"CUIT NO CARGADO")</f>
        <v>0</v>
      </c>
    </row>
    <row r="32" spans="2:18" x14ac:dyDescent="0.3">
      <c r="B32" s="538">
        <v>45203</v>
      </c>
      <c r="C32" s="539">
        <v>1</v>
      </c>
      <c r="D32" s="540">
        <v>29</v>
      </c>
      <c r="E32" s="541">
        <v>506</v>
      </c>
      <c r="F32" s="542">
        <v>30708046023</v>
      </c>
      <c r="G32" s="543" t="str">
        <f>IFERROR(IF(compras_mes10[[#This Row],[CUIT]]="","-",VLOOKUP(compras_mes10[[#This Row],[CUIT]],Lista_CUIT[#All],2,0)),"CUIT NO CARGADO")</f>
        <v>SPORTS &amp;  ADVENTURE   SA</v>
      </c>
      <c r="H32" s="548">
        <v>90371.9</v>
      </c>
      <c r="I32" s="545">
        <f>IF(compras_mes10[[#This Row],[NETO GRAVADO]]="","",compras_mes10[[#This Row],[NETO GRAVADO]]*0.21)</f>
        <v>18978.098999999998</v>
      </c>
      <c r="J32" s="528"/>
      <c r="K32" s="528"/>
      <c r="L32" s="528"/>
      <c r="M32" s="528"/>
      <c r="N32" s="528"/>
      <c r="O32" s="528"/>
      <c r="P32" s="546">
        <f>SUM(compras_mes10[[#This Row],[NETO GRAVADO]:[Otros / No Grav.]])</f>
        <v>109349.999</v>
      </c>
      <c r="Q32" s="547">
        <f>IFERROR(IF(compras_mes10[[#This Row],[CUIT]]="","-",VLOOKUP(compras_mes10[[#This Row],[CUIT]],Lista_CUIT[#All],3,0)),"CUIT NO CARGADO")</f>
        <v>0</v>
      </c>
      <c r="R32" s="547">
        <f>IFERROR(IF(compras_mes10[[#This Row],[CUIT]]="","-",VLOOKUP(compras_mes10[[#This Row],[CUIT]],Lista_CUIT[#All],4,0)),"CUIT NO CARGADO")</f>
        <v>0</v>
      </c>
    </row>
    <row r="33" spans="1:18" x14ac:dyDescent="0.3">
      <c r="B33" s="240">
        <v>45203</v>
      </c>
      <c r="C33" s="241">
        <v>1</v>
      </c>
      <c r="D33" s="242">
        <v>6850</v>
      </c>
      <c r="E33" s="243">
        <v>17428</v>
      </c>
      <c r="F33" s="244">
        <v>30678774495</v>
      </c>
      <c r="G33" s="245" t="str">
        <f>IFERROR(IF(compras_mes10[[#This Row],[CUIT]]="","-",VLOOKUP(compras_mes10[[#This Row],[CUIT]],Lista_CUIT[#All],2,0)),"CUIT NO CARGADO")</f>
        <v>OPER. DE EST. DE SERV. SA</v>
      </c>
      <c r="H33" s="46">
        <v>1878.25</v>
      </c>
      <c r="I33" s="246">
        <f>IF(compras_mes10[[#This Row],[NETO GRAVADO]]="","",compras_mes10[[#This Row],[NETO GRAVADO]]*0.21)</f>
        <v>394.4325</v>
      </c>
      <c r="J33" s="85"/>
      <c r="K33" s="85"/>
      <c r="L33" s="85"/>
      <c r="M33" s="85"/>
      <c r="N33" s="85"/>
      <c r="O33" s="85">
        <v>227.32</v>
      </c>
      <c r="P33" s="247">
        <f>SUM(compras_mes10[[#This Row],[NETO GRAVADO]:[Otros / No Grav.]])</f>
        <v>2500.0025000000001</v>
      </c>
      <c r="Q33" s="248" t="str">
        <f>IFERROR(IF(compras_mes10[[#This Row],[CUIT]]="","-",VLOOKUP(compras_mes10[[#This Row],[CUIT]],Lista_CUIT[#All],3,0)),"CUIT NO CARGADO")</f>
        <v>Combustibe</v>
      </c>
      <c r="R33" s="248">
        <f>IFERROR(IF(compras_mes10[[#This Row],[CUIT]]="","-",VLOOKUP(compras_mes10[[#This Row],[CUIT]],Lista_CUIT[#All],4,0)),"CUIT NO CARGADO")</f>
        <v>0</v>
      </c>
    </row>
    <row r="34" spans="1:18" x14ac:dyDescent="0.3">
      <c r="B34" s="240">
        <v>45203</v>
      </c>
      <c r="C34" s="241">
        <v>1</v>
      </c>
      <c r="D34" s="242">
        <v>3</v>
      </c>
      <c r="E34" s="243">
        <v>1948</v>
      </c>
      <c r="F34" s="244">
        <v>30715399896</v>
      </c>
      <c r="G34" s="245" t="str">
        <f>IFERROR(IF(compras_mes10[[#This Row],[CUIT]]="","-",VLOOKUP(compras_mes10[[#This Row],[CUIT]],Lista_CUIT[#All],2,0)),"CUIT NO CARGADO")</f>
        <v>CREANDO IMAGEN S.A.</v>
      </c>
      <c r="H34" s="46">
        <v>257789</v>
      </c>
      <c r="I34" s="246">
        <f>IF(compras_mes10[[#This Row],[NETO GRAVADO]]="","",compras_mes10[[#This Row],[NETO GRAVADO]]*0.21)</f>
        <v>54135.689999999995</v>
      </c>
      <c r="J34" s="85"/>
      <c r="K34" s="85"/>
      <c r="L34" s="85"/>
      <c r="M34" s="85"/>
      <c r="N34" s="85"/>
      <c r="O34" s="85"/>
      <c r="P34" s="247">
        <f>SUM(compras_mes10[[#This Row],[NETO GRAVADO]:[Otros / No Grav.]])</f>
        <v>311924.69</v>
      </c>
      <c r="Q34" s="248">
        <f>IFERROR(IF(compras_mes10[[#This Row],[CUIT]]="","-",VLOOKUP(compras_mes10[[#This Row],[CUIT]],Lista_CUIT[#All],3,0)),"CUIT NO CARGADO")</f>
        <v>0</v>
      </c>
      <c r="R34" s="248">
        <f>IFERROR(IF(compras_mes10[[#This Row],[CUIT]]="","-",VLOOKUP(compras_mes10[[#This Row],[CUIT]],Lista_CUIT[#All],4,0)),"CUIT NO CARGADO")</f>
        <v>0</v>
      </c>
    </row>
    <row r="35" spans="1:18" x14ac:dyDescent="0.3">
      <c r="B35" s="538">
        <v>45203</v>
      </c>
      <c r="C35" s="539">
        <v>1</v>
      </c>
      <c r="D35" s="540">
        <v>63</v>
      </c>
      <c r="E35" s="541">
        <v>2564303</v>
      </c>
      <c r="F35" s="542">
        <v>30640897267</v>
      </c>
      <c r="G35" s="543" t="str">
        <f>IFERROR(IF(compras_mes10[[#This Row],[CUIT]]="","-",VLOOKUP(compras_mes10[[#This Row],[CUIT]],Lista_CUIT[#All],2,0)),"CUIT NO CARGADO")</f>
        <v>TELECENTRO S.A.</v>
      </c>
      <c r="H35" s="548">
        <v>15960.41</v>
      </c>
      <c r="I35" s="545">
        <f>IF(compras_mes10[[#This Row],[NETO GRAVADO]]="","",compras_mes10[[#This Row],[NETO GRAVADO]]*0.21)</f>
        <v>3351.6860999999999</v>
      </c>
      <c r="J35" s="528"/>
      <c r="K35" s="528"/>
      <c r="L35" s="528">
        <v>478.81</v>
      </c>
      <c r="M35" s="528"/>
      <c r="N35" s="528">
        <v>957.62</v>
      </c>
      <c r="O35" s="528"/>
      <c r="P35" s="546">
        <f>SUM(compras_mes10[[#This Row],[NETO GRAVADO]:[Otros / No Grav.]])</f>
        <v>20748.526099999999</v>
      </c>
      <c r="Q35" s="547">
        <f>IFERROR(IF(compras_mes10[[#This Row],[CUIT]]="","-",VLOOKUP(compras_mes10[[#This Row],[CUIT]],Lista_CUIT[#All],3,0)),"CUIT NO CARGADO")</f>
        <v>0</v>
      </c>
      <c r="R35" s="547">
        <f>IFERROR(IF(compras_mes10[[#This Row],[CUIT]]="","-",VLOOKUP(compras_mes10[[#This Row],[CUIT]],Lista_CUIT[#All],4,0)),"CUIT NO CARGADO")</f>
        <v>0</v>
      </c>
    </row>
    <row r="36" spans="1:18" s="56" customFormat="1" ht="15" customHeight="1" x14ac:dyDescent="0.3">
      <c r="B36" s="538">
        <v>45203</v>
      </c>
      <c r="C36" s="539">
        <v>1</v>
      </c>
      <c r="D36" s="540">
        <v>63</v>
      </c>
      <c r="E36" s="541">
        <v>2565012</v>
      </c>
      <c r="F36" s="542">
        <v>30640897267</v>
      </c>
      <c r="G36" s="543" t="str">
        <f>IFERROR(IF(compras_mes10[[#This Row],[CUIT]]="","-",VLOOKUP(compras_mes10[[#This Row],[CUIT]],Lista_CUIT[#All],2,0)),"CUIT NO CARGADO")</f>
        <v>TELECENTRO S.A.</v>
      </c>
      <c r="H36" s="548">
        <v>15960.41</v>
      </c>
      <c r="I36" s="545">
        <f>IF(compras_mes10[[#This Row],[NETO GRAVADO]]="","",compras_mes10[[#This Row],[NETO GRAVADO]]*0.21)</f>
        <v>3351.6860999999999</v>
      </c>
      <c r="J36" s="528"/>
      <c r="K36" s="528"/>
      <c r="L36" s="528">
        <v>478.81</v>
      </c>
      <c r="M36" s="528"/>
      <c r="N36" s="528">
        <v>957.62</v>
      </c>
      <c r="O36" s="528"/>
      <c r="P36" s="546">
        <f>SUM(compras_mes10[[#This Row],[NETO GRAVADO]:[Otros / No Grav.]])</f>
        <v>20748.526099999999</v>
      </c>
      <c r="Q36" s="547">
        <f>IFERROR(IF(compras_mes10[[#This Row],[CUIT]]="","-",VLOOKUP(compras_mes10[[#This Row],[CUIT]],Lista_CUIT[#All],3,0)),"CUIT NO CARGADO")</f>
        <v>0</v>
      </c>
      <c r="R36" s="547">
        <f>IFERROR(IF(compras_mes10[[#This Row],[CUIT]]="","-",VLOOKUP(compras_mes10[[#This Row],[CUIT]],Lista_CUIT[#All],4,0)),"CUIT NO CARGADO")</f>
        <v>0</v>
      </c>
    </row>
    <row r="37" spans="1:18" x14ac:dyDescent="0.3">
      <c r="B37" s="538">
        <v>45203</v>
      </c>
      <c r="C37" s="539">
        <v>1</v>
      </c>
      <c r="D37" s="540">
        <v>2</v>
      </c>
      <c r="E37" s="541">
        <v>232</v>
      </c>
      <c r="F37" s="542">
        <v>27309896063</v>
      </c>
      <c r="G37" s="543" t="str">
        <f>IFERROR(IF(compras_mes10[[#This Row],[CUIT]]="","-",VLOOKUP(compras_mes10[[#This Row],[CUIT]],Lista_CUIT[#All],2,0)),"CUIT NO CARGADO")</f>
        <v>BATTELLINI MARIA SOLEDAD</v>
      </c>
      <c r="H37" s="548">
        <v>250000</v>
      </c>
      <c r="I37" s="545">
        <f>IF(compras_mes10[[#This Row],[NETO GRAVADO]]="","",compras_mes10[[#This Row],[NETO GRAVADO]]*0.21)</f>
        <v>52500</v>
      </c>
      <c r="J37" s="528"/>
      <c r="K37" s="528"/>
      <c r="L37" s="528"/>
      <c r="M37" s="528"/>
      <c r="N37" s="528"/>
      <c r="O37" s="528"/>
      <c r="P37" s="546">
        <f>SUM(compras_mes10[[#This Row],[NETO GRAVADO]:[Otros / No Grav.]])</f>
        <v>302500</v>
      </c>
      <c r="Q37" s="547">
        <f>IFERROR(IF(compras_mes10[[#This Row],[CUIT]]="","-",VLOOKUP(compras_mes10[[#This Row],[CUIT]],Lista_CUIT[#All],3,0)),"CUIT NO CARGADO")</f>
        <v>0</v>
      </c>
      <c r="R37" s="547">
        <f>IFERROR(IF(compras_mes10[[#This Row],[CUIT]]="","-",VLOOKUP(compras_mes10[[#This Row],[CUIT]],Lista_CUIT[#All],4,0)),"CUIT NO CARGADO")</f>
        <v>0</v>
      </c>
    </row>
    <row r="38" spans="1:18" x14ac:dyDescent="0.3">
      <c r="B38" s="240">
        <v>45203</v>
      </c>
      <c r="C38" s="241">
        <v>1</v>
      </c>
      <c r="D38" s="242">
        <v>3</v>
      </c>
      <c r="E38" s="243">
        <v>974</v>
      </c>
      <c r="F38" s="244">
        <v>23142556499</v>
      </c>
      <c r="G38" s="245" t="str">
        <f>IFERROR(IF(compras_mes10[[#This Row],[CUIT]]="","-",VLOOKUP(compras_mes10[[#This Row],[CUIT]],Lista_CUIT[#All],2,0)),"CUIT NO CARGADO")</f>
        <v>URRUTIA DANIEL ALBERTO</v>
      </c>
      <c r="H38" s="46">
        <v>5785.14</v>
      </c>
      <c r="I38" s="246">
        <f>IF(compras_mes10[[#This Row],[NETO GRAVADO]]="","",compras_mes10[[#This Row],[NETO GRAVADO]]*0.21)</f>
        <v>1214.8794</v>
      </c>
      <c r="J38" s="85"/>
      <c r="K38" s="85"/>
      <c r="L38" s="85"/>
      <c r="M38" s="85"/>
      <c r="N38" s="85"/>
      <c r="O38" s="85"/>
      <c r="P38" s="247">
        <f>SUM(compras_mes10[[#This Row],[NETO GRAVADO]:[Otros / No Grav.]])</f>
        <v>7000.0194000000001</v>
      </c>
      <c r="Q38" s="248">
        <f>IFERROR(IF(compras_mes10[[#This Row],[CUIT]]="","-",VLOOKUP(compras_mes10[[#This Row],[CUIT]],Lista_CUIT[#All],3,0)),"CUIT NO CARGADO")</f>
        <v>0</v>
      </c>
      <c r="R38" s="248">
        <f>IFERROR(IF(compras_mes10[[#This Row],[CUIT]]="","-",VLOOKUP(compras_mes10[[#This Row],[CUIT]],Lista_CUIT[#All],4,0)),"CUIT NO CARGADO")</f>
        <v>0</v>
      </c>
    </row>
    <row r="39" spans="1:18" x14ac:dyDescent="0.3">
      <c r="B39" s="538">
        <v>45203</v>
      </c>
      <c r="C39" s="539">
        <v>1</v>
      </c>
      <c r="D39" s="540">
        <v>1</v>
      </c>
      <c r="E39" s="541">
        <v>427</v>
      </c>
      <c r="F39" s="542">
        <v>20131206144</v>
      </c>
      <c r="G39" s="549" t="str">
        <f>IFERROR(IF(compras_mes10[[#This Row],[CUIT]]="","-",VLOOKUP(compras_mes10[[#This Row],[CUIT]],Lista_CUIT[#All],2,0)),"CUIT NO CARGADO")</f>
        <v>CHAMORRO MANUEL</v>
      </c>
      <c r="H39" s="526">
        <v>300000</v>
      </c>
      <c r="I39" s="545">
        <f>IF(compras_mes10[[#This Row],[NETO GRAVADO]]="","",compras_mes10[[#This Row],[NETO GRAVADO]]*0.21)</f>
        <v>63000</v>
      </c>
      <c r="J39" s="528"/>
      <c r="K39" s="528"/>
      <c r="L39" s="528"/>
      <c r="M39" s="528"/>
      <c r="N39" s="528"/>
      <c r="O39" s="528"/>
      <c r="P39" s="550">
        <f>SUM(compras_mes10[[#This Row],[NETO GRAVADO]:[Otros / No Grav.]])</f>
        <v>363000</v>
      </c>
      <c r="Q39" s="551" t="str">
        <f>IFERROR(IF(compras_mes10[[#This Row],[CUIT]]="","-",VLOOKUP(compras_mes10[[#This Row],[CUIT]],Lista_CUIT[#All],3,0)),"CUIT NO CARGADO")</f>
        <v>Alquiler</v>
      </c>
      <c r="R39" s="551">
        <f>IFERROR(IF(compras_mes10[[#This Row],[CUIT]]="","-",VLOOKUP(compras_mes10[[#This Row],[CUIT]],Lista_CUIT[#All],4,0)),"CUIT NO CARGADO")</f>
        <v>0</v>
      </c>
    </row>
    <row r="40" spans="1:18" x14ac:dyDescent="0.3">
      <c r="B40" s="240">
        <v>45203</v>
      </c>
      <c r="C40" s="241">
        <v>1</v>
      </c>
      <c r="D40" s="242">
        <v>2</v>
      </c>
      <c r="E40" s="243">
        <v>2293</v>
      </c>
      <c r="F40" s="244">
        <v>27329934328</v>
      </c>
      <c r="G40" s="245" t="str">
        <f>IFERROR(IF(compras_mes10[[#This Row],[CUIT]]="","-",VLOOKUP(compras_mes10[[#This Row],[CUIT]],Lista_CUIT[#All],2,0)),"CUIT NO CARGADO")</f>
        <v>BORZACCHINI NOELIA VERONICA</v>
      </c>
      <c r="H40" s="46">
        <v>23760</v>
      </c>
      <c r="I40" s="246">
        <f>IF(compras_mes10[[#This Row],[NETO GRAVADO]]="","",compras_mes10[[#This Row],[NETO GRAVADO]]*0.21)</f>
        <v>4989.5999999999995</v>
      </c>
      <c r="J40" s="85"/>
      <c r="K40" s="85"/>
      <c r="L40" s="85"/>
      <c r="M40" s="85"/>
      <c r="N40" s="85"/>
      <c r="O40" s="85"/>
      <c r="P40" s="247">
        <f>SUM(compras_mes10[[#This Row],[NETO GRAVADO]:[Otros / No Grav.]])</f>
        <v>28749.599999999999</v>
      </c>
      <c r="Q40" s="248">
        <f>IFERROR(IF(compras_mes10[[#This Row],[CUIT]]="","-",VLOOKUP(compras_mes10[[#This Row],[CUIT]],Lista_CUIT[#All],3,0)),"CUIT NO CARGADO")</f>
        <v>0</v>
      </c>
      <c r="R40" s="248">
        <f>IFERROR(IF(compras_mes10[[#This Row],[CUIT]]="","-",VLOOKUP(compras_mes10[[#This Row],[CUIT]],Lista_CUIT[#All],4,0)),"CUIT NO CARGADO")</f>
        <v>0</v>
      </c>
    </row>
    <row r="41" spans="1:18" x14ac:dyDescent="0.3">
      <c r="B41" s="538">
        <v>45203</v>
      </c>
      <c r="C41" s="539">
        <v>3</v>
      </c>
      <c r="D41" s="540">
        <v>1</v>
      </c>
      <c r="E41" s="541">
        <v>12</v>
      </c>
      <c r="F41" s="542">
        <v>20131206144</v>
      </c>
      <c r="G41" s="543" t="str">
        <f>IFERROR(IF(compras_mes10[[#This Row],[CUIT]]="","-",VLOOKUP(compras_mes10[[#This Row],[CUIT]],Lista_CUIT[#All],2,0)),"CUIT NO CARGADO")</f>
        <v>CHAMORRO MANUEL</v>
      </c>
      <c r="H41" s="548">
        <v>-90000</v>
      </c>
      <c r="I41" s="545">
        <f>IF(compras_mes10[[#This Row],[NETO GRAVADO]]="","",compras_mes10[[#This Row],[NETO GRAVADO]]*0.21)</f>
        <v>-18900</v>
      </c>
      <c r="J41" s="528"/>
      <c r="K41" s="528"/>
      <c r="L41" s="528"/>
      <c r="M41" s="528"/>
      <c r="N41" s="528"/>
      <c r="O41" s="528"/>
      <c r="P41" s="546">
        <f>SUM(compras_mes10[[#This Row],[NETO GRAVADO]:[Otros / No Grav.]])</f>
        <v>-108900</v>
      </c>
      <c r="Q41" s="547" t="str">
        <f>IFERROR(IF(compras_mes10[[#This Row],[CUIT]]="","-",VLOOKUP(compras_mes10[[#This Row],[CUIT]],Lista_CUIT[#All],3,0)),"CUIT NO CARGADO")</f>
        <v>Alquiler</v>
      </c>
      <c r="R41" s="547">
        <f>IFERROR(IF(compras_mes10[[#This Row],[CUIT]]="","-",VLOOKUP(compras_mes10[[#This Row],[CUIT]],Lista_CUIT[#All],4,0)),"CUIT NO CARGADO")</f>
        <v>0</v>
      </c>
    </row>
    <row r="42" spans="1:18" x14ac:dyDescent="0.3">
      <c r="B42" s="240">
        <v>45204</v>
      </c>
      <c r="C42" s="241">
        <v>1</v>
      </c>
      <c r="D42" s="242">
        <v>2</v>
      </c>
      <c r="E42" s="243">
        <v>313</v>
      </c>
      <c r="F42" s="244">
        <v>30717768511</v>
      </c>
      <c r="G42" s="45" t="str">
        <f>IFERROR(IF(compras_mes10[[#This Row],[CUIT]]="","-",VLOOKUP(compras_mes10[[#This Row],[CUIT]],Lista_CUIT[#All],2,0)),"CUIT NO CARGADO")</f>
        <v>DEALER S. CAP I SECC IV</v>
      </c>
      <c r="H42" s="46">
        <v>108573.28</v>
      </c>
      <c r="I42" s="246">
        <f>IF(compras_mes10[[#This Row],[NETO GRAVADO]]="","",compras_mes10[[#This Row],[NETO GRAVADO]]*0.21)</f>
        <v>22800.388800000001</v>
      </c>
      <c r="J42" s="85"/>
      <c r="K42" s="85"/>
      <c r="L42" s="85"/>
      <c r="M42" s="85"/>
      <c r="N42" s="85"/>
      <c r="O42" s="85"/>
      <c r="P42" s="48">
        <f>SUM(compras_mes10[[#This Row],[NETO GRAVADO]:[Otros / No Grav.]])</f>
        <v>131373.66879999998</v>
      </c>
      <c r="Q42" s="49">
        <f>IFERROR(IF(compras_mes10[[#This Row],[CUIT]]="","-",VLOOKUP(compras_mes10[[#This Row],[CUIT]],Lista_CUIT[#All],3,0)),"CUIT NO CARGADO")</f>
        <v>0</v>
      </c>
      <c r="R42" s="49">
        <f>IFERROR(IF(compras_mes10[[#This Row],[CUIT]]="","-",VLOOKUP(compras_mes10[[#This Row],[CUIT]],Lista_CUIT[#All],4,0)),"CUIT NO CARGADO")</f>
        <v>0</v>
      </c>
    </row>
    <row r="43" spans="1:18" ht="15" customHeight="1" x14ac:dyDescent="0.3">
      <c r="B43" s="240">
        <v>45204</v>
      </c>
      <c r="C43" s="241">
        <v>1</v>
      </c>
      <c r="D43" s="242">
        <v>2</v>
      </c>
      <c r="E43" s="243">
        <v>36790</v>
      </c>
      <c r="F43" s="244">
        <v>33714232199</v>
      </c>
      <c r="G43" s="245" t="str">
        <f>IFERROR(IF(compras_mes10[[#This Row],[CUIT]]="","-",VLOOKUP(compras_mes10[[#This Row],[CUIT]],Lista_CUIT[#All],2,0)),"CUIT NO CARGADO")</f>
        <v>NUAGE SYSTEMS S.A.</v>
      </c>
      <c r="H43" s="46">
        <v>53802</v>
      </c>
      <c r="I43" s="246">
        <f>IF(compras_mes10[[#This Row],[NETO GRAVADO]]="","",compras_mes10[[#This Row],[NETO GRAVADO]]*0.21)</f>
        <v>11298.42</v>
      </c>
      <c r="J43" s="85"/>
      <c r="K43" s="85"/>
      <c r="L43" s="85"/>
      <c r="M43" s="85"/>
      <c r="N43" s="85"/>
      <c r="O43" s="85"/>
      <c r="P43" s="247">
        <f>SUM(compras_mes10[[#This Row],[NETO GRAVADO]:[Otros / No Grav.]])</f>
        <v>65100.42</v>
      </c>
      <c r="Q43" s="248">
        <f>IFERROR(IF(compras_mes10[[#This Row],[CUIT]]="","-",VLOOKUP(compras_mes10[[#This Row],[CUIT]],Lista_CUIT[#All],3,0)),"CUIT NO CARGADO")</f>
        <v>0</v>
      </c>
      <c r="R43" s="248">
        <f>IFERROR(IF(compras_mes10[[#This Row],[CUIT]]="","-",VLOOKUP(compras_mes10[[#This Row],[CUIT]],Lista_CUIT[#All],4,0)),"CUIT NO CARGADO")</f>
        <v>0</v>
      </c>
    </row>
    <row r="44" spans="1:18" x14ac:dyDescent="0.3">
      <c r="B44" s="240">
        <v>45204</v>
      </c>
      <c r="C44" s="241">
        <v>1</v>
      </c>
      <c r="D44" s="242">
        <v>2</v>
      </c>
      <c r="E44" s="243">
        <v>14846</v>
      </c>
      <c r="F44" s="244">
        <v>30715094319</v>
      </c>
      <c r="G44" s="245" t="str">
        <f>IFERROR(IF(compras_mes10[[#This Row],[CUIT]]="","-",VLOOKUP(compras_mes10[[#This Row],[CUIT]],Lista_CUIT[#All],2,0)),"CUIT NO CARGADO")</f>
        <v>LA COBACHA INSUMOS S.R.L.</v>
      </c>
      <c r="H44" s="46">
        <v>195033.06</v>
      </c>
      <c r="I44" s="246">
        <f>IF(compras_mes10[[#This Row],[NETO GRAVADO]]="","",compras_mes10[[#This Row],[NETO GRAVADO]]*0.21)</f>
        <v>40956.942599999995</v>
      </c>
      <c r="J44" s="85"/>
      <c r="K44" s="85"/>
      <c r="L44" s="85"/>
      <c r="M44" s="85"/>
      <c r="N44" s="85"/>
      <c r="O44" s="85"/>
      <c r="P44" s="247">
        <f>SUM(compras_mes10[[#This Row],[NETO GRAVADO]:[Otros / No Grav.]])</f>
        <v>235990.00260000001</v>
      </c>
      <c r="Q44" s="248">
        <f>IFERROR(IF(compras_mes10[[#This Row],[CUIT]]="","-",VLOOKUP(compras_mes10[[#This Row],[CUIT]],Lista_CUIT[#All],3,0)),"CUIT NO CARGADO")</f>
        <v>0</v>
      </c>
      <c r="R44" s="248">
        <f>IFERROR(IF(compras_mes10[[#This Row],[CUIT]]="","-",VLOOKUP(compras_mes10[[#This Row],[CUIT]],Lista_CUIT[#All],4,0)),"CUIT NO CARGADO")</f>
        <v>0</v>
      </c>
    </row>
    <row r="45" spans="1:18" ht="16.5" customHeight="1" x14ac:dyDescent="0.3">
      <c r="B45" s="538">
        <v>45204</v>
      </c>
      <c r="C45" s="539">
        <v>1</v>
      </c>
      <c r="D45" s="540">
        <v>1</v>
      </c>
      <c r="E45" s="541">
        <v>682</v>
      </c>
      <c r="F45" s="542">
        <v>30715048066</v>
      </c>
      <c r="G45" s="543" t="str">
        <f>IFERROR(IF(compras_mes10[[#This Row],[CUIT]]="","-",VLOOKUP(compras_mes10[[#This Row],[CUIT]],Lista_CUIT[#All],2,0)),"CUIT NO CARGADO")</f>
        <v>ROLLS Y EMPANADAS SA</v>
      </c>
      <c r="H45" s="548">
        <v>484640</v>
      </c>
      <c r="I45" s="545">
        <f>IF(compras_mes10[[#This Row],[NETO GRAVADO]]="","",compras_mes10[[#This Row],[NETO GRAVADO]]*0.21)</f>
        <v>101774.39999999999</v>
      </c>
      <c r="J45" s="528"/>
      <c r="K45" s="528"/>
      <c r="L45" s="528"/>
      <c r="M45" s="528"/>
      <c r="N45" s="528"/>
      <c r="O45" s="528"/>
      <c r="P45" s="546">
        <f>SUM(compras_mes10[[#This Row],[NETO GRAVADO]:[Otros / No Grav.]])</f>
        <v>586414.4</v>
      </c>
      <c r="Q45" s="547" t="str">
        <f>IFERROR(IF(compras_mes10[[#This Row],[CUIT]]="","-",VLOOKUP(compras_mes10[[#This Row],[CUIT]],Lista_CUIT[#All],3,0)),"CUIT NO CARGADO")</f>
        <v>CATERING</v>
      </c>
      <c r="R45" s="547">
        <f>IFERROR(IF(compras_mes10[[#This Row],[CUIT]]="","-",VLOOKUP(compras_mes10[[#This Row],[CUIT]],Lista_CUIT[#All],4,0)),"CUIT NO CARGADO")</f>
        <v>0</v>
      </c>
    </row>
    <row r="46" spans="1:18" x14ac:dyDescent="0.3">
      <c r="B46" s="538">
        <v>45204</v>
      </c>
      <c r="C46" s="539">
        <v>1</v>
      </c>
      <c r="D46" s="540">
        <v>1</v>
      </c>
      <c r="E46" s="541">
        <v>683</v>
      </c>
      <c r="F46" s="542">
        <v>30715048066</v>
      </c>
      <c r="G46" s="543" t="str">
        <f>IFERROR(IF(compras_mes10[[#This Row],[CUIT]]="","-",VLOOKUP(compras_mes10[[#This Row],[CUIT]],Lista_CUIT[#All],2,0)),"CUIT NO CARGADO")</f>
        <v>ROLLS Y EMPANADAS SA</v>
      </c>
      <c r="H46" s="548">
        <v>425410</v>
      </c>
      <c r="I46" s="545">
        <f>IF(compras_mes10[[#This Row],[NETO GRAVADO]]="","",compras_mes10[[#This Row],[NETO GRAVADO]]*0.21)</f>
        <v>89336.099999999991</v>
      </c>
      <c r="J46" s="528"/>
      <c r="K46" s="528"/>
      <c r="L46" s="528"/>
      <c r="M46" s="528"/>
      <c r="N46" s="528"/>
      <c r="O46" s="528"/>
      <c r="P46" s="546">
        <f>SUM(compras_mes10[[#This Row],[NETO GRAVADO]:[Otros / No Grav.]])</f>
        <v>514746.1</v>
      </c>
      <c r="Q46" s="547" t="str">
        <f>IFERROR(IF(compras_mes10[[#This Row],[CUIT]]="","-",VLOOKUP(compras_mes10[[#This Row],[CUIT]],Lista_CUIT[#All],3,0)),"CUIT NO CARGADO")</f>
        <v>CATERING</v>
      </c>
      <c r="R46" s="547">
        <f>IFERROR(IF(compras_mes10[[#This Row],[CUIT]]="","-",VLOOKUP(compras_mes10[[#This Row],[CUIT]],Lista_CUIT[#All],4,0)),"CUIT NO CARGADO")</f>
        <v>0</v>
      </c>
    </row>
    <row r="47" spans="1:18" x14ac:dyDescent="0.3">
      <c r="B47" s="538">
        <v>45204</v>
      </c>
      <c r="C47" s="539">
        <v>1</v>
      </c>
      <c r="D47" s="540">
        <v>2</v>
      </c>
      <c r="E47" s="541">
        <v>3465</v>
      </c>
      <c r="F47" s="542">
        <v>30629863571</v>
      </c>
      <c r="G47" s="543" t="str">
        <f>IFERROR(IF(compras_mes10[[#This Row],[CUIT]]="","-",VLOOKUP(compras_mes10[[#This Row],[CUIT]],Lista_CUIT[#All],2,0)),"CUIT NO CARGADO")</f>
        <v>TECNIMAR S R L</v>
      </c>
      <c r="H47" s="548">
        <v>293819.14</v>
      </c>
      <c r="I47" s="545">
        <f>IF(compras_mes10[[#This Row],[NETO GRAVADO]]="","",compras_mes10[[#This Row],[NETO GRAVADO]]*0.21)</f>
        <v>61702.019399999997</v>
      </c>
      <c r="J47" s="528"/>
      <c r="K47" s="528"/>
      <c r="L47" s="528"/>
      <c r="M47" s="528"/>
      <c r="N47" s="528"/>
      <c r="O47" s="528"/>
      <c r="P47" s="546">
        <f>SUM(compras_mes10[[#This Row],[NETO GRAVADO]:[Otros / No Grav.]])</f>
        <v>355521.1594</v>
      </c>
      <c r="Q47" s="547" t="str">
        <f>IFERROR(IF(compras_mes10[[#This Row],[CUIT]]="","-",VLOOKUP(compras_mes10[[#This Row],[CUIT]],Lista_CUIT[#All],3,0)),"CUIT NO CARGADO")</f>
        <v>LABORATORIO</v>
      </c>
      <c r="R47" s="547">
        <f>IFERROR(IF(compras_mes10[[#This Row],[CUIT]]="","-",VLOOKUP(compras_mes10[[#This Row],[CUIT]],Lista_CUIT[#All],4,0)),"CUIT NO CARGADO")</f>
        <v>0</v>
      </c>
    </row>
    <row r="48" spans="1:18" s="127" customFormat="1" x14ac:dyDescent="0.3">
      <c r="A48" s="128"/>
      <c r="B48" s="240">
        <v>45204</v>
      </c>
      <c r="C48" s="241">
        <v>1</v>
      </c>
      <c r="D48" s="242">
        <v>1</v>
      </c>
      <c r="E48" s="243">
        <v>60</v>
      </c>
      <c r="F48" s="244">
        <v>33716968109</v>
      </c>
      <c r="G48" s="245" t="str">
        <f>IFERROR(IF(compras_mes10[[#This Row],[CUIT]]="","-",VLOOKUP(compras_mes10[[#This Row],[CUIT]],Lista_CUIT[#All],2,0)),"CUIT NO CARGADO")</f>
        <v>SENSES PLUS S.R.L.</v>
      </c>
      <c r="H48" s="46">
        <v>32712.240000000002</v>
      </c>
      <c r="I48" s="246">
        <f>IF(compras_mes10[[#This Row],[NETO GRAVADO]]="","",compras_mes10[[#This Row],[NETO GRAVADO]]*0.21)</f>
        <v>6869.5704000000005</v>
      </c>
      <c r="J48" s="85"/>
      <c r="K48" s="85"/>
      <c r="L48" s="85"/>
      <c r="M48" s="85"/>
      <c r="N48" s="85"/>
      <c r="O48" s="85"/>
      <c r="P48" s="247">
        <f>SUM(compras_mes10[[#This Row],[NETO GRAVADO]:[Otros / No Grav.]])</f>
        <v>39581.810400000002</v>
      </c>
      <c r="Q48" s="248">
        <f>IFERROR(IF(compras_mes10[[#This Row],[CUIT]]="","-",VLOOKUP(compras_mes10[[#This Row],[CUIT]],Lista_CUIT[#All],3,0)),"CUIT NO CARGADO")</f>
        <v>0</v>
      </c>
      <c r="R48" s="248">
        <f>IFERROR(IF(compras_mes10[[#This Row],[CUIT]]="","-",VLOOKUP(compras_mes10[[#This Row],[CUIT]],Lista_CUIT[#All],4,0)),"CUIT NO CARGADO")</f>
        <v>0</v>
      </c>
    </row>
    <row r="49" spans="1:18" s="127" customFormat="1" x14ac:dyDescent="0.3">
      <c r="A49" s="128"/>
      <c r="B49" s="240">
        <v>45205</v>
      </c>
      <c r="C49" s="241">
        <v>1</v>
      </c>
      <c r="D49" s="242">
        <v>6</v>
      </c>
      <c r="E49" s="243">
        <v>24003</v>
      </c>
      <c r="F49" s="244">
        <v>33640878679</v>
      </c>
      <c r="G49" s="245" t="str">
        <f>IFERROR(IF(compras_mes10[[#This Row],[CUIT]]="","-",VLOOKUP(compras_mes10[[#This Row],[CUIT]],Lista_CUIT[#All],2,0)),"CUIT NO CARGADO")</f>
        <v>DHACAM S R L</v>
      </c>
      <c r="H49" s="46">
        <v>230500</v>
      </c>
      <c r="I49" s="246">
        <f>IF(compras_mes10[[#This Row],[NETO GRAVADO]]="","",compras_mes10[[#This Row],[NETO GRAVADO]]*0.21)</f>
        <v>48405</v>
      </c>
      <c r="J49" s="85"/>
      <c r="K49" s="85"/>
      <c r="L49" s="85"/>
      <c r="M49" s="85"/>
      <c r="N49" s="85"/>
      <c r="O49" s="85"/>
      <c r="P49" s="247">
        <f>SUM(compras_mes10[[#This Row],[NETO GRAVADO]:[Otros / No Grav.]])</f>
        <v>278905</v>
      </c>
      <c r="Q49" s="248">
        <f>IFERROR(IF(compras_mes10[[#This Row],[CUIT]]="","-",VLOOKUP(compras_mes10[[#This Row],[CUIT]],Lista_CUIT[#All],3,0)),"CUIT NO CARGADO")</f>
        <v>0</v>
      </c>
      <c r="R49" s="248">
        <f>IFERROR(IF(compras_mes10[[#This Row],[CUIT]]="","-",VLOOKUP(compras_mes10[[#This Row],[CUIT]],Lista_CUIT[#All],4,0)),"CUIT NO CARGADO")</f>
        <v>0</v>
      </c>
    </row>
    <row r="50" spans="1:18" s="128" customFormat="1" x14ac:dyDescent="0.3">
      <c r="B50" s="240">
        <v>45205</v>
      </c>
      <c r="C50" s="241">
        <v>1</v>
      </c>
      <c r="D50" s="242">
        <v>2188</v>
      </c>
      <c r="E50" s="243">
        <v>101037</v>
      </c>
      <c r="F50" s="244">
        <v>30548083156</v>
      </c>
      <c r="G50" s="245" t="str">
        <f>IFERROR(IF(compras_mes10[[#This Row],[CUIT]]="","-",VLOOKUP(compras_mes10[[#This Row],[CUIT]],Lista_CUIT[#All],2,0)),"CUIT NO CARGADO")</f>
        <v>COTO CENTRO INTEGRAL DE COMERCIALIZACION SOCIEDAD ANONIMA</v>
      </c>
      <c r="H50" s="46">
        <v>22737.66</v>
      </c>
      <c r="I50" s="246">
        <v>3638.03</v>
      </c>
      <c r="J50" s="85"/>
      <c r="K50" s="85">
        <v>468.09</v>
      </c>
      <c r="L50" s="85">
        <v>615.26</v>
      </c>
      <c r="M50" s="85"/>
      <c r="N50" s="85">
        <v>1187.6199999999999</v>
      </c>
      <c r="O50" s="85"/>
      <c r="P50" s="247">
        <f>SUM(compras_mes10[[#This Row],[NETO GRAVADO]:[Otros / No Grav.]])</f>
        <v>28646.659999999996</v>
      </c>
      <c r="Q50" s="248" t="str">
        <f>IFERROR(IF(compras_mes10[[#This Row],[CUIT]]="","-",VLOOKUP(compras_mes10[[#This Row],[CUIT]],Lista_CUIT[#All],3,0)),"CUIT NO CARGADO")</f>
        <v>GASTOS COMERCIALES</v>
      </c>
      <c r="R50" s="248">
        <f>IFERROR(IF(compras_mes10[[#This Row],[CUIT]]="","-",VLOOKUP(compras_mes10[[#This Row],[CUIT]],Lista_CUIT[#All],4,0)),"CUIT NO CARGADO")</f>
        <v>0</v>
      </c>
    </row>
    <row r="51" spans="1:18" x14ac:dyDescent="0.3">
      <c r="A51" s="128"/>
      <c r="B51" s="240">
        <v>45205</v>
      </c>
      <c r="C51" s="241">
        <v>1</v>
      </c>
      <c r="D51" s="242">
        <v>359</v>
      </c>
      <c r="E51" s="243">
        <v>17557</v>
      </c>
      <c r="F51" s="244">
        <v>30646512952</v>
      </c>
      <c r="G51" s="245" t="str">
        <f>IFERROR(IF(compras_mes10[[#This Row],[CUIT]]="","-",VLOOKUP(compras_mes10[[#This Row],[CUIT]],Lista_CUIT[#All],2,0)),"CUIT NO CARGADO")</f>
        <v xml:space="preserve">PINTURERIA REX </v>
      </c>
      <c r="H51" s="46">
        <v>29658.03</v>
      </c>
      <c r="I51" s="246">
        <f>IF(compras_mes10[[#This Row],[NETO GRAVADO]]="","",compras_mes10[[#This Row],[NETO GRAVADO]]*0.21)</f>
        <v>6228.1862999999994</v>
      </c>
      <c r="J51" s="85"/>
      <c r="K51" s="85"/>
      <c r="L51" s="85"/>
      <c r="M51" s="85"/>
      <c r="N51" s="85">
        <v>1779.48</v>
      </c>
      <c r="O51" s="85"/>
      <c r="P51" s="247">
        <f>SUM(compras_mes10[[#This Row],[NETO GRAVADO]:[Otros / No Grav.]])</f>
        <v>37665.696300000003</v>
      </c>
      <c r="Q51" s="248">
        <f>IFERROR(IF(compras_mes10[[#This Row],[CUIT]]="","-",VLOOKUP(compras_mes10[[#This Row],[CUIT]],Lista_CUIT[#All],3,0)),"CUIT NO CARGADO")</f>
        <v>0</v>
      </c>
      <c r="R51" s="248">
        <f>IFERROR(IF(compras_mes10[[#This Row],[CUIT]]="","-",VLOOKUP(compras_mes10[[#This Row],[CUIT]],Lista_CUIT[#All],4,0)),"CUIT NO CARGADO")</f>
        <v>0</v>
      </c>
    </row>
    <row r="52" spans="1:18" x14ac:dyDescent="0.3">
      <c r="A52" s="128"/>
      <c r="B52" s="240">
        <v>45205</v>
      </c>
      <c r="C52" s="241">
        <v>1</v>
      </c>
      <c r="D52" s="242">
        <v>1</v>
      </c>
      <c r="E52" s="243">
        <v>94</v>
      </c>
      <c r="F52" s="244">
        <v>30716010313</v>
      </c>
      <c r="G52" s="245" t="str">
        <f>IFERROR(IF(compras_mes10[[#This Row],[CUIT]]="","-",VLOOKUP(compras_mes10[[#This Row],[CUIT]],Lista_CUIT[#All],2,0)),"CUIT NO CARGADO")</f>
        <v>H UNO 1469 S.A.</v>
      </c>
      <c r="H52" s="46">
        <v>46000</v>
      </c>
      <c r="I52" s="246">
        <f>IF(compras_mes10[[#This Row],[NETO GRAVADO]]="","",compras_mes10[[#This Row],[NETO GRAVADO]]*0.21)</f>
        <v>9660</v>
      </c>
      <c r="J52" s="85"/>
      <c r="K52" s="85"/>
      <c r="L52" s="85"/>
      <c r="M52" s="85"/>
      <c r="N52" s="85"/>
      <c r="O52" s="85"/>
      <c r="P52" s="247">
        <f>SUM(compras_mes10[[#This Row],[NETO GRAVADO]:[Otros / No Grav.]])</f>
        <v>55660</v>
      </c>
      <c r="Q52" s="248" t="str">
        <f>IFERROR(IF(compras_mes10[[#This Row],[CUIT]]="","-",VLOOKUP(compras_mes10[[#This Row],[CUIT]],Lista_CUIT[#All],3,0)),"CUIT NO CARGADO")</f>
        <v>Alquiler</v>
      </c>
      <c r="R52" s="248">
        <f>IFERROR(IF(compras_mes10[[#This Row],[CUIT]]="","-",VLOOKUP(compras_mes10[[#This Row],[CUIT]],Lista_CUIT[#All],4,0)),"CUIT NO CARGADO")</f>
        <v>0</v>
      </c>
    </row>
    <row r="53" spans="1:18" x14ac:dyDescent="0.3">
      <c r="A53" s="128"/>
      <c r="B53" s="240">
        <v>45205</v>
      </c>
      <c r="C53" s="241">
        <v>1</v>
      </c>
      <c r="D53" s="242">
        <v>2</v>
      </c>
      <c r="E53" s="243">
        <v>1646</v>
      </c>
      <c r="F53" s="244">
        <v>30717065359</v>
      </c>
      <c r="G53" s="245" t="str">
        <f>IFERROR(IF(compras_mes10[[#This Row],[CUIT]]="","-",VLOOKUP(compras_mes10[[#This Row],[CUIT]],Lista_CUIT[#All],2,0)),"CUIT NO CARGADO")</f>
        <v>HERNANDEZ Y COSTA SOC. LEY 19550 CAP I SECC IV</v>
      </c>
      <c r="H53" s="46">
        <v>2396.67</v>
      </c>
      <c r="I53" s="246">
        <f>IF(compras_mes10[[#This Row],[NETO GRAVADO]]="","",compras_mes10[[#This Row],[NETO GRAVADO]]*0.21)</f>
        <v>503.30070000000001</v>
      </c>
      <c r="J53" s="85"/>
      <c r="K53" s="85"/>
      <c r="L53" s="85"/>
      <c r="M53" s="85"/>
      <c r="N53" s="85"/>
      <c r="O53" s="85"/>
      <c r="P53" s="247">
        <f>SUM(compras_mes10[[#This Row],[NETO GRAVADO]:[Otros / No Grav.]])</f>
        <v>2899.9706999999999</v>
      </c>
      <c r="Q53" s="248">
        <f>IFERROR(IF(compras_mes10[[#This Row],[CUIT]]="","-",VLOOKUP(compras_mes10[[#This Row],[CUIT]],Lista_CUIT[#All],3,0)),"CUIT NO CARGADO")</f>
        <v>0</v>
      </c>
      <c r="R53" s="248">
        <f>IFERROR(IF(compras_mes10[[#This Row],[CUIT]]="","-",VLOOKUP(compras_mes10[[#This Row],[CUIT]],Lista_CUIT[#All],4,0)),"CUIT NO CARGADO")</f>
        <v>0</v>
      </c>
    </row>
    <row r="54" spans="1:18" x14ac:dyDescent="0.3">
      <c r="A54" s="128"/>
      <c r="B54" s="240">
        <v>45205</v>
      </c>
      <c r="C54" s="241">
        <v>1</v>
      </c>
      <c r="D54" s="242">
        <v>2</v>
      </c>
      <c r="E54" s="243">
        <v>3468</v>
      </c>
      <c r="F54" s="244">
        <v>30629863571</v>
      </c>
      <c r="G54" s="245" t="str">
        <f>IFERROR(IF(compras_mes10[[#This Row],[CUIT]]="","-",VLOOKUP(compras_mes10[[#This Row],[CUIT]],Lista_CUIT[#All],2,0)),"CUIT NO CARGADO")</f>
        <v>TECNIMAR S R L</v>
      </c>
      <c r="H54" s="46">
        <v>1019359.43</v>
      </c>
      <c r="I54" s="246">
        <f>IF(compras_mes10[[#This Row],[NETO GRAVADO]]="","",compras_mes10[[#This Row],[NETO GRAVADO]]*0.21)</f>
        <v>214065.4803</v>
      </c>
      <c r="J54" s="85"/>
      <c r="K54" s="85"/>
      <c r="L54" s="85"/>
      <c r="M54" s="85"/>
      <c r="N54" s="85"/>
      <c r="O54" s="85"/>
      <c r="P54" s="247">
        <f>SUM(compras_mes10[[#This Row],[NETO GRAVADO]:[Otros / No Grav.]])</f>
        <v>1233424.9103000001</v>
      </c>
      <c r="Q54" s="248" t="str">
        <f>IFERROR(IF(compras_mes10[[#This Row],[CUIT]]="","-",VLOOKUP(compras_mes10[[#This Row],[CUIT]],Lista_CUIT[#All],3,0)),"CUIT NO CARGADO")</f>
        <v>LABORATORIO</v>
      </c>
      <c r="R54" s="248">
        <f>IFERROR(IF(compras_mes10[[#This Row],[CUIT]]="","-",VLOOKUP(compras_mes10[[#This Row],[CUIT]],Lista_CUIT[#All],4,0)),"CUIT NO CARGADO")</f>
        <v>0</v>
      </c>
    </row>
    <row r="55" spans="1:18" ht="15" customHeight="1" x14ac:dyDescent="0.3">
      <c r="A55" s="128"/>
      <c r="B55" s="240">
        <v>45205</v>
      </c>
      <c r="C55" s="241">
        <v>1</v>
      </c>
      <c r="D55" s="242">
        <v>2</v>
      </c>
      <c r="E55" s="243">
        <v>3469</v>
      </c>
      <c r="F55" s="244">
        <v>30629863571</v>
      </c>
      <c r="G55" s="245" t="str">
        <f>IFERROR(IF(compras_mes10[[#This Row],[CUIT]]="","-",VLOOKUP(compras_mes10[[#This Row],[CUIT]],Lista_CUIT[#All],2,0)),"CUIT NO CARGADO")</f>
        <v>TECNIMAR S R L</v>
      </c>
      <c r="H55" s="46">
        <v>1156151.76</v>
      </c>
      <c r="I55" s="246">
        <f>IF(compras_mes10[[#This Row],[NETO GRAVADO]]="","",compras_mes10[[#This Row],[NETO GRAVADO]]*0.21)</f>
        <v>242791.86960000001</v>
      </c>
      <c r="J55" s="85"/>
      <c r="K55" s="85"/>
      <c r="L55" s="85"/>
      <c r="M55" s="85"/>
      <c r="N55" s="85"/>
      <c r="O55" s="85"/>
      <c r="P55" s="247">
        <f>SUM(compras_mes10[[#This Row],[NETO GRAVADO]:[Otros / No Grav.]])</f>
        <v>1398943.6296000001</v>
      </c>
      <c r="Q55" s="248" t="str">
        <f>IFERROR(IF(compras_mes10[[#This Row],[CUIT]]="","-",VLOOKUP(compras_mes10[[#This Row],[CUIT]],Lista_CUIT[#All],3,0)),"CUIT NO CARGADO")</f>
        <v>LABORATORIO</v>
      </c>
      <c r="R55" s="248">
        <f>IFERROR(IF(compras_mes10[[#This Row],[CUIT]]="","-",VLOOKUP(compras_mes10[[#This Row],[CUIT]],Lista_CUIT[#All],4,0)),"CUIT NO CARGADO")</f>
        <v>0</v>
      </c>
    </row>
    <row r="56" spans="1:18" s="127" customFormat="1" x14ac:dyDescent="0.3">
      <c r="A56" s="128"/>
      <c r="B56" s="240">
        <v>45205</v>
      </c>
      <c r="C56" s="241">
        <v>1</v>
      </c>
      <c r="D56" s="242">
        <v>22</v>
      </c>
      <c r="E56" s="243">
        <v>29778</v>
      </c>
      <c r="F56" s="244">
        <v>30584529454</v>
      </c>
      <c r="G56" s="245" t="str">
        <f>IFERROR(IF(compras_mes10[[#This Row],[CUIT]]="","-",VLOOKUP(compras_mes10[[#This Row],[CUIT]],Lista_CUIT[#All],2,0)),"CUIT NO CARGADO")</f>
        <v>MALI Y CIA SA</v>
      </c>
      <c r="H56" s="46">
        <v>17836.2</v>
      </c>
      <c r="I56" s="246"/>
      <c r="J56" s="85">
        <f>compras_mes10[[#This Row],[NETO GRAVADO]]*0.27</f>
        <v>4815.7740000000003</v>
      </c>
      <c r="K56" s="85"/>
      <c r="L56" s="85"/>
      <c r="M56" s="85"/>
      <c r="N56" s="85">
        <v>1070.17</v>
      </c>
      <c r="O56" s="85"/>
      <c r="P56" s="247">
        <f>SUM(compras_mes10[[#This Row],[NETO GRAVADO]:[Otros / No Grav.]])</f>
        <v>23722.144</v>
      </c>
      <c r="Q56" s="248">
        <f>IFERROR(IF(compras_mes10[[#This Row],[CUIT]]="","-",VLOOKUP(compras_mes10[[#This Row],[CUIT]],Lista_CUIT[#All],3,0)),"CUIT NO CARGADO")</f>
        <v>0</v>
      </c>
      <c r="R56" s="248">
        <f>IFERROR(IF(compras_mes10[[#This Row],[CUIT]]="","-",VLOOKUP(compras_mes10[[#This Row],[CUIT]],Lista_CUIT[#All],4,0)),"CUIT NO CARGADO")</f>
        <v>0</v>
      </c>
    </row>
    <row r="57" spans="1:18" ht="15.75" customHeight="1" x14ac:dyDescent="0.3">
      <c r="A57" s="128"/>
      <c r="B57" s="538">
        <v>45205</v>
      </c>
      <c r="C57" s="539">
        <v>3</v>
      </c>
      <c r="D57" s="540">
        <v>359</v>
      </c>
      <c r="E57" s="541">
        <v>3865</v>
      </c>
      <c r="F57" s="542">
        <v>30646512952</v>
      </c>
      <c r="G57" s="543" t="str">
        <f>IFERROR(IF(compras_mes10[[#This Row],[CUIT]]="","-",VLOOKUP(compras_mes10[[#This Row],[CUIT]],Lista_CUIT[#All],2,0)),"CUIT NO CARGADO")</f>
        <v xml:space="preserve">PINTURERIA REX </v>
      </c>
      <c r="H57" s="548">
        <v>-7414.51</v>
      </c>
      <c r="I57" s="545">
        <f>IF(compras_mes10[[#This Row],[NETO GRAVADO]]="","",compras_mes10[[#This Row],[NETO GRAVADO]]*0.21)</f>
        <v>-1557.0471</v>
      </c>
      <c r="J57" s="528"/>
      <c r="K57" s="528"/>
      <c r="L57" s="528"/>
      <c r="M57" s="528"/>
      <c r="N57" s="528"/>
      <c r="O57" s="528"/>
      <c r="P57" s="546">
        <f>SUM(compras_mes10[[#This Row],[NETO GRAVADO]:[Otros / No Grav.]])</f>
        <v>-8971.5571</v>
      </c>
      <c r="Q57" s="547">
        <f>IFERROR(IF(compras_mes10[[#This Row],[CUIT]]="","-",VLOOKUP(compras_mes10[[#This Row],[CUIT]],Lista_CUIT[#All],3,0)),"CUIT NO CARGADO")</f>
        <v>0</v>
      </c>
      <c r="R57" s="547">
        <f>IFERROR(IF(compras_mes10[[#This Row],[CUIT]]="","-",VLOOKUP(compras_mes10[[#This Row],[CUIT]],Lista_CUIT[#All],4,0)),"CUIT NO CARGADO")</f>
        <v>0</v>
      </c>
    </row>
    <row r="58" spans="1:18" ht="15.75" customHeight="1" x14ac:dyDescent="0.3">
      <c r="A58" s="128"/>
      <c r="B58" s="240">
        <v>45205</v>
      </c>
      <c r="C58" s="241">
        <v>1</v>
      </c>
      <c r="D58" s="242">
        <v>5</v>
      </c>
      <c r="E58" s="243">
        <v>5861</v>
      </c>
      <c r="F58" s="244">
        <v>30710043562</v>
      </c>
      <c r="G58" s="245" t="str">
        <f>IFERROR(IF(compras_mes10[[#This Row],[CUIT]]="","-",VLOOKUP(compras_mes10[[#This Row],[CUIT]],Lista_CUIT[#All],2,0)),"CUIT NO CARGADO")</f>
        <v>SARMIENTO 820 FASE 3 S.A.</v>
      </c>
      <c r="H58" s="46">
        <v>44049.59</v>
      </c>
      <c r="I58" s="246">
        <f>IF(compras_mes10[[#This Row],[NETO GRAVADO]]="","",compras_mes10[[#This Row],[NETO GRAVADO]]*0.21)</f>
        <v>9250.4138999999996</v>
      </c>
      <c r="J58" s="85"/>
      <c r="K58" s="85"/>
      <c r="L58" s="85"/>
      <c r="M58" s="85"/>
      <c r="N58" s="85"/>
      <c r="O58" s="85"/>
      <c r="P58" s="247">
        <f>SUM(compras_mes10[[#This Row],[NETO GRAVADO]:[Otros / No Grav.]])</f>
        <v>53300.003899999996</v>
      </c>
      <c r="Q58" s="248">
        <f>IFERROR(IF(compras_mes10[[#This Row],[CUIT]]="","-",VLOOKUP(compras_mes10[[#This Row],[CUIT]],Lista_CUIT[#All],3,0)),"CUIT NO CARGADO")</f>
        <v>0</v>
      </c>
      <c r="R58" s="248">
        <f>IFERROR(IF(compras_mes10[[#This Row],[CUIT]]="","-",VLOOKUP(compras_mes10[[#This Row],[CUIT]],Lista_CUIT[#All],4,0)),"CUIT NO CARGADO")</f>
        <v>0</v>
      </c>
    </row>
    <row r="59" spans="1:18" s="128" customFormat="1" x14ac:dyDescent="0.3">
      <c r="B59" s="240">
        <v>45206</v>
      </c>
      <c r="C59" s="241">
        <v>1</v>
      </c>
      <c r="D59" s="242">
        <v>4</v>
      </c>
      <c r="E59" s="243">
        <v>23955</v>
      </c>
      <c r="F59" s="244">
        <v>23059002414</v>
      </c>
      <c r="G59" s="245" t="str">
        <f>IFERROR(IF(compras_mes10[[#This Row],[CUIT]]="","-",VLOOKUP(compras_mes10[[#This Row],[CUIT]],Lista_CUIT[#All],2,0)),"CUIT NO CARGADO")</f>
        <v>AGUILAR DIANA ANGELA</v>
      </c>
      <c r="H59" s="46">
        <v>16933.740000000002</v>
      </c>
      <c r="I59" s="246">
        <f>IF(compras_mes10[[#This Row],[NETO GRAVADO]]="","",compras_mes10[[#This Row],[NETO GRAVADO]]*0.21)</f>
        <v>3556.0854000000004</v>
      </c>
      <c r="J59" s="85"/>
      <c r="K59" s="85"/>
      <c r="L59" s="85"/>
      <c r="M59" s="85"/>
      <c r="N59" s="85"/>
      <c r="O59" s="85"/>
      <c r="P59" s="247">
        <f>SUM(compras_mes10[[#This Row],[NETO GRAVADO]:[Otros / No Grav.]])</f>
        <v>20489.825400000002</v>
      </c>
      <c r="Q59" s="248">
        <f>IFERROR(IF(compras_mes10[[#This Row],[CUIT]]="","-",VLOOKUP(compras_mes10[[#This Row],[CUIT]],Lista_CUIT[#All],3,0)),"CUIT NO CARGADO")</f>
        <v>0</v>
      </c>
      <c r="R59" s="248">
        <f>IFERROR(IF(compras_mes10[[#This Row],[CUIT]]="","-",VLOOKUP(compras_mes10[[#This Row],[CUIT]],Lista_CUIT[#All],4,0)),"CUIT NO CARGADO")</f>
        <v>0</v>
      </c>
    </row>
    <row r="60" spans="1:18" s="128" customFormat="1" x14ac:dyDescent="0.3">
      <c r="B60" s="240">
        <v>45206</v>
      </c>
      <c r="C60" s="241">
        <v>1</v>
      </c>
      <c r="D60" s="242">
        <v>6860</v>
      </c>
      <c r="E60" s="243">
        <v>23440</v>
      </c>
      <c r="F60" s="244">
        <v>30678774495</v>
      </c>
      <c r="G60" s="245" t="str">
        <f>IFERROR(IF(compras_mes10[[#This Row],[CUIT]]="","-",VLOOKUP(compras_mes10[[#This Row],[CUIT]],Lista_CUIT[#All],2,0)),"CUIT NO CARGADO")</f>
        <v>OPER. DE EST. DE SERV. SA</v>
      </c>
      <c r="H60" s="46">
        <v>9042.09</v>
      </c>
      <c r="I60" s="246">
        <f>IF(compras_mes10[[#This Row],[NETO GRAVADO]]="","",compras_mes10[[#This Row],[NETO GRAVADO]]*0.21)</f>
        <v>1898.8389</v>
      </c>
      <c r="J60" s="85"/>
      <c r="K60" s="85"/>
      <c r="L60" s="85"/>
      <c r="M60" s="85"/>
      <c r="N60" s="85"/>
      <c r="O60" s="85">
        <v>1060.3699999999999</v>
      </c>
      <c r="P60" s="247">
        <f>SUM(compras_mes10[[#This Row],[NETO GRAVADO]:[Otros / No Grav.]])</f>
        <v>12001.298900000002</v>
      </c>
      <c r="Q60" s="248" t="str">
        <f>IFERROR(IF(compras_mes10[[#This Row],[CUIT]]="","-",VLOOKUP(compras_mes10[[#This Row],[CUIT]],Lista_CUIT[#All],3,0)),"CUIT NO CARGADO")</f>
        <v>Combustibe</v>
      </c>
      <c r="R60" s="248">
        <f>IFERROR(IF(compras_mes10[[#This Row],[CUIT]]="","-",VLOOKUP(compras_mes10[[#This Row],[CUIT]],Lista_CUIT[#All],4,0)),"CUIT NO CARGADO")</f>
        <v>0</v>
      </c>
    </row>
    <row r="61" spans="1:18" s="128" customFormat="1" x14ac:dyDescent="0.3">
      <c r="B61" s="240">
        <v>45206</v>
      </c>
      <c r="C61" s="241">
        <v>1</v>
      </c>
      <c r="D61" s="242">
        <v>3</v>
      </c>
      <c r="E61" s="243">
        <v>439</v>
      </c>
      <c r="F61" s="244">
        <v>30717026361</v>
      </c>
      <c r="G61" s="245" t="str">
        <f>IFERROR(IF(compras_mes10[[#This Row],[CUIT]]="","-",VLOOKUP(compras_mes10[[#This Row],[CUIT]],Lista_CUIT[#All],2,0)),"CUIT NO CARGADO")</f>
        <v>ELECTRO VOLTAJE 2021</v>
      </c>
      <c r="H61" s="46">
        <v>17272.73</v>
      </c>
      <c r="I61" s="246">
        <f>IF(compras_mes10[[#This Row],[NETO GRAVADO]]="","",compras_mes10[[#This Row],[NETO GRAVADO]]*0.21)</f>
        <v>3627.2732999999998</v>
      </c>
      <c r="J61" s="85"/>
      <c r="K61" s="85"/>
      <c r="L61" s="85"/>
      <c r="M61" s="85"/>
      <c r="N61" s="85"/>
      <c r="O61" s="85"/>
      <c r="P61" s="247">
        <f>SUM(compras_mes10[[#This Row],[NETO GRAVADO]:[Otros / No Grav.]])</f>
        <v>20900.0033</v>
      </c>
      <c r="Q61" s="248">
        <f>IFERROR(IF(compras_mes10[[#This Row],[CUIT]]="","-",VLOOKUP(compras_mes10[[#This Row],[CUIT]],Lista_CUIT[#All],3,0)),"CUIT NO CARGADO")</f>
        <v>0</v>
      </c>
      <c r="R61" s="248">
        <f>IFERROR(IF(compras_mes10[[#This Row],[CUIT]]="","-",VLOOKUP(compras_mes10[[#This Row],[CUIT]],Lista_CUIT[#All],4,0)),"CUIT NO CARGADO")</f>
        <v>0</v>
      </c>
    </row>
    <row r="62" spans="1:18" x14ac:dyDescent="0.3">
      <c r="A62" s="128"/>
      <c r="B62" s="240">
        <v>45206</v>
      </c>
      <c r="C62" s="241">
        <v>1</v>
      </c>
      <c r="D62" s="242">
        <v>2199</v>
      </c>
      <c r="E62" s="243">
        <v>24601</v>
      </c>
      <c r="F62" s="244">
        <v>30548083156</v>
      </c>
      <c r="G62" s="245" t="str">
        <f>IFERROR(IF(compras_mes10[[#This Row],[CUIT]]="","-",VLOOKUP(compras_mes10[[#This Row],[CUIT]],Lista_CUIT[#All],2,0)),"CUIT NO CARGADO")</f>
        <v>COTO CENTRO INTEGRAL DE COMERCIALIZACION SOCIEDAD ANONIMA</v>
      </c>
      <c r="H62" s="46">
        <v>33580.06</v>
      </c>
      <c r="I62" s="246">
        <v>5098.16</v>
      </c>
      <c r="J62" s="85"/>
      <c r="K62" s="85">
        <v>976.83</v>
      </c>
      <c r="L62" s="85">
        <v>856.59999999999991</v>
      </c>
      <c r="M62" s="85"/>
      <c r="N62" s="85">
        <v>1366.91</v>
      </c>
      <c r="O62" s="85"/>
      <c r="P62" s="247">
        <f>SUM(compras_mes10[[#This Row],[NETO GRAVADO]:[Otros / No Grav.]])</f>
        <v>41878.560000000005</v>
      </c>
      <c r="Q62" s="248" t="str">
        <f>IFERROR(IF(compras_mes10[[#This Row],[CUIT]]="","-",VLOOKUP(compras_mes10[[#This Row],[CUIT]],Lista_CUIT[#All],3,0)),"CUIT NO CARGADO")</f>
        <v>GASTOS COMERCIALES</v>
      </c>
      <c r="R62" s="248">
        <f>IFERROR(IF(compras_mes10[[#This Row],[CUIT]]="","-",VLOOKUP(compras_mes10[[#This Row],[CUIT]],Lista_CUIT[#All],4,0)),"CUIT NO CARGADO")</f>
        <v>0</v>
      </c>
    </row>
    <row r="63" spans="1:18" x14ac:dyDescent="0.3">
      <c r="A63" s="128"/>
      <c r="B63" s="240">
        <v>45206</v>
      </c>
      <c r="C63" s="241">
        <v>1</v>
      </c>
      <c r="D63" s="242">
        <v>12</v>
      </c>
      <c r="E63" s="243">
        <v>34619</v>
      </c>
      <c r="F63" s="244">
        <v>30696131003</v>
      </c>
      <c r="G63" s="245" t="str">
        <f>IFERROR(IF(compras_mes10[[#This Row],[CUIT]]="","-",VLOOKUP(compras_mes10[[#This Row],[CUIT]],Lista_CUIT[#All],2,0)),"CUIT NO CARGADO")</f>
        <v>Petrolfe S.A.</v>
      </c>
      <c r="H63" s="46">
        <v>49150.21</v>
      </c>
      <c r="I63" s="246">
        <f>IF(compras_mes10[[#This Row],[NETO GRAVADO]]="","",compras_mes10[[#This Row],[NETO GRAVADO]]*0.21)</f>
        <v>10321.544099999999</v>
      </c>
      <c r="J63" s="85"/>
      <c r="K63" s="85"/>
      <c r="L63" s="85"/>
      <c r="M63" s="85"/>
      <c r="N63" s="85"/>
      <c r="O63" s="85">
        <v>5714.62</v>
      </c>
      <c r="P63" s="247">
        <f>SUM(compras_mes10[[#This Row],[NETO GRAVADO]:[Otros / No Grav.]])</f>
        <v>65186.374100000001</v>
      </c>
      <c r="Q63" s="248" t="str">
        <f>IFERROR(IF(compras_mes10[[#This Row],[CUIT]]="","-",VLOOKUP(compras_mes10[[#This Row],[CUIT]],Lista_CUIT[#All],3,0)),"CUIT NO CARGADO")</f>
        <v>Combustible</v>
      </c>
      <c r="R63" s="248">
        <f>IFERROR(IF(compras_mes10[[#This Row],[CUIT]]="","-",VLOOKUP(compras_mes10[[#This Row],[CUIT]],Lista_CUIT[#All],4,0)),"CUIT NO CARGADO")</f>
        <v>0</v>
      </c>
    </row>
    <row r="64" spans="1:18" x14ac:dyDescent="0.3">
      <c r="A64" s="128"/>
      <c r="B64" s="240">
        <v>45207</v>
      </c>
      <c r="C64" s="241">
        <v>1</v>
      </c>
      <c r="D64" s="242">
        <v>6854</v>
      </c>
      <c r="E64" s="243">
        <v>11472</v>
      </c>
      <c r="F64" s="244">
        <v>30678774495</v>
      </c>
      <c r="G64" s="245" t="str">
        <f>IFERROR(IF(compras_mes10[[#This Row],[CUIT]]="","-",VLOOKUP(compras_mes10[[#This Row],[CUIT]],Lista_CUIT[#All],2,0)),"CUIT NO CARGADO")</f>
        <v>OPER. DE EST. DE SERV. SA</v>
      </c>
      <c r="H64" s="46">
        <v>1917.87</v>
      </c>
      <c r="I64" s="246">
        <f>IF(compras_mes10[[#This Row],[NETO GRAVADO]]="","",compras_mes10[[#This Row],[NETO GRAVADO]]*0.21)</f>
        <v>402.75269999999995</v>
      </c>
      <c r="J64" s="85"/>
      <c r="K64" s="85"/>
      <c r="L64" s="85"/>
      <c r="M64" s="85"/>
      <c r="N64" s="85"/>
      <c r="O64" s="85"/>
      <c r="P64" s="247">
        <f>SUM(compras_mes10[[#This Row],[NETO GRAVADO]:[Otros / No Grav.]])</f>
        <v>2320.6226999999999</v>
      </c>
      <c r="Q64" s="248" t="str">
        <f>IFERROR(IF(compras_mes10[[#This Row],[CUIT]]="","-",VLOOKUP(compras_mes10[[#This Row],[CUIT]],Lista_CUIT[#All],3,0)),"CUIT NO CARGADO")</f>
        <v>Combustibe</v>
      </c>
      <c r="R64" s="248">
        <f>IFERROR(IF(compras_mes10[[#This Row],[CUIT]]="","-",VLOOKUP(compras_mes10[[#This Row],[CUIT]],Lista_CUIT[#All],4,0)),"CUIT NO CARGADO")</f>
        <v>0</v>
      </c>
    </row>
    <row r="65" spans="1:18" x14ac:dyDescent="0.3">
      <c r="A65" s="128"/>
      <c r="B65" s="240">
        <v>45207</v>
      </c>
      <c r="C65" s="241">
        <v>1</v>
      </c>
      <c r="D65" s="242">
        <v>13</v>
      </c>
      <c r="E65" s="243">
        <v>69310</v>
      </c>
      <c r="F65" s="244">
        <v>30707841105</v>
      </c>
      <c r="G65" s="245" t="str">
        <f>IFERROR(IF(compras_mes10[[#This Row],[CUIT]]="","-",VLOOKUP(compras_mes10[[#This Row],[CUIT]],Lista_CUIT[#All],2,0)),"CUIT NO CARGADO")</f>
        <v>PETRO ARG SRL</v>
      </c>
      <c r="H65" s="46">
        <v>2301.5100000000002</v>
      </c>
      <c r="I65" s="246">
        <f>IF(compras_mes10[[#This Row],[NETO GRAVADO]]="","",compras_mes10[[#This Row],[NETO GRAVADO]]*0.21)</f>
        <v>483.31710000000004</v>
      </c>
      <c r="J65" s="85"/>
      <c r="K65" s="85"/>
      <c r="L65" s="85"/>
      <c r="M65" s="85"/>
      <c r="N65" s="85"/>
      <c r="O65" s="85">
        <v>215.28</v>
      </c>
      <c r="P65" s="247">
        <f>SUM(compras_mes10[[#This Row],[NETO GRAVADO]:[Otros / No Grav.]])</f>
        <v>3000.1071000000006</v>
      </c>
      <c r="Q65" s="248" t="str">
        <f>IFERROR(IF(compras_mes10[[#This Row],[CUIT]]="","-",VLOOKUP(compras_mes10[[#This Row],[CUIT]],Lista_CUIT[#All],3,0)),"CUIT NO CARGADO")</f>
        <v>Combustible</v>
      </c>
      <c r="R65" s="248">
        <f>IFERROR(IF(compras_mes10[[#This Row],[CUIT]]="","-",VLOOKUP(compras_mes10[[#This Row],[CUIT]],Lista_CUIT[#All],4,0)),"CUIT NO CARGADO")</f>
        <v>0</v>
      </c>
    </row>
    <row r="66" spans="1:18" x14ac:dyDescent="0.3">
      <c r="A66" s="128"/>
      <c r="B66" s="240">
        <v>45208</v>
      </c>
      <c r="C66" s="241">
        <v>1</v>
      </c>
      <c r="D66" s="242">
        <v>1313</v>
      </c>
      <c r="E66" s="243">
        <v>1019</v>
      </c>
      <c r="F66" s="244">
        <v>30639057999</v>
      </c>
      <c r="G66" s="245" t="str">
        <f>IFERROR(IF(compras_mes10[[#This Row],[CUIT]]="","-",VLOOKUP(compras_mes10[[#This Row],[CUIT]],Lista_CUIT[#All],2,0)),"CUIT NO CARGADO")</f>
        <v>LA OPTICA S.A.</v>
      </c>
      <c r="H66" s="46">
        <v>143471.07999999999</v>
      </c>
      <c r="I66" s="246">
        <f>IF(compras_mes10[[#This Row],[NETO GRAVADO]]="","",compras_mes10[[#This Row],[NETO GRAVADO]]*0.21)</f>
        <v>30128.926799999997</v>
      </c>
      <c r="J66" s="85"/>
      <c r="K66" s="85"/>
      <c r="L66" s="85"/>
      <c r="M66" s="85"/>
      <c r="N66" s="85"/>
      <c r="O66" s="85"/>
      <c r="P66" s="247">
        <f>SUM(compras_mes10[[#This Row],[NETO GRAVADO]:[Otros / No Grav.]])</f>
        <v>173600.00679999997</v>
      </c>
      <c r="Q66" s="248">
        <f>IFERROR(IF(compras_mes10[[#This Row],[CUIT]]="","-",VLOOKUP(compras_mes10[[#This Row],[CUIT]],Lista_CUIT[#All],3,0)),"CUIT NO CARGADO")</f>
        <v>0</v>
      </c>
      <c r="R66" s="248">
        <f>IFERROR(IF(compras_mes10[[#This Row],[CUIT]]="","-",VLOOKUP(compras_mes10[[#This Row],[CUIT]],Lista_CUIT[#All],4,0)),"CUIT NO CARGADO")</f>
        <v>0</v>
      </c>
    </row>
    <row r="67" spans="1:18" x14ac:dyDescent="0.3">
      <c r="A67" s="128"/>
      <c r="B67" s="240">
        <v>45208</v>
      </c>
      <c r="C67" s="241">
        <v>1</v>
      </c>
      <c r="D67" s="242">
        <v>4</v>
      </c>
      <c r="E67" s="243">
        <v>1017</v>
      </c>
      <c r="F67" s="244">
        <v>30715515144</v>
      </c>
      <c r="G67" s="245" t="str">
        <f>IFERROR(IF(compras_mes10[[#This Row],[CUIT]]="","-",VLOOKUP(compras_mes10[[#This Row],[CUIT]],Lista_CUIT[#All],2,0)),"CUIT NO CARGADO")</f>
        <v>CLUSTER ARGENTINA S.R.L.</v>
      </c>
      <c r="H67" s="46">
        <v>70247.11</v>
      </c>
      <c r="I67" s="246">
        <f>IF(compras_mes10[[#This Row],[NETO GRAVADO]]="","",compras_mes10[[#This Row],[NETO GRAVADO]]*0.21)</f>
        <v>14751.893099999999</v>
      </c>
      <c r="J67" s="85"/>
      <c r="K67" s="85"/>
      <c r="L67" s="85"/>
      <c r="M67" s="85"/>
      <c r="N67" s="85"/>
      <c r="O67" s="85"/>
      <c r="P67" s="247">
        <f>SUM(compras_mes10[[#This Row],[NETO GRAVADO]:[Otros / No Grav.]])</f>
        <v>84999.003100000002</v>
      </c>
      <c r="Q67" s="248">
        <f>IFERROR(IF(compras_mes10[[#This Row],[CUIT]]="","-",VLOOKUP(compras_mes10[[#This Row],[CUIT]],Lista_CUIT[#All],3,0)),"CUIT NO CARGADO")</f>
        <v>0</v>
      </c>
      <c r="R67" s="248">
        <f>IFERROR(IF(compras_mes10[[#This Row],[CUIT]]="","-",VLOOKUP(compras_mes10[[#This Row],[CUIT]],Lista_CUIT[#All],4,0)),"CUIT NO CARGADO")</f>
        <v>0</v>
      </c>
    </row>
    <row r="68" spans="1:18" ht="15.75" customHeight="1" x14ac:dyDescent="0.3">
      <c r="A68" s="128"/>
      <c r="B68" s="538">
        <v>45208</v>
      </c>
      <c r="C68" s="539">
        <v>1</v>
      </c>
      <c r="D68" s="540">
        <v>7</v>
      </c>
      <c r="E68" s="541">
        <v>2964</v>
      </c>
      <c r="F68" s="542">
        <v>20263592167</v>
      </c>
      <c r="G68" s="543" t="str">
        <f>IFERROR(IF(compras_mes10[[#This Row],[CUIT]]="","-",VLOOKUP(compras_mes10[[#This Row],[CUIT]],Lista_CUIT[#All],2,0)),"CUIT NO CARGADO")</f>
        <v>ORTIZ SEBASTIAN GERARDO</v>
      </c>
      <c r="H68" s="548">
        <v>5493.08</v>
      </c>
      <c r="I68" s="545">
        <f>IF(compras_mes10[[#This Row],[NETO GRAVADO]]="","",compras_mes10[[#This Row],[NETO GRAVADO]]*0.21)</f>
        <v>1153.5467999999998</v>
      </c>
      <c r="J68" s="528"/>
      <c r="K68" s="528"/>
      <c r="L68" s="528"/>
      <c r="M68" s="528"/>
      <c r="N68" s="528"/>
      <c r="O68" s="528"/>
      <c r="P68" s="546">
        <f>SUM(compras_mes10[[#This Row],[NETO GRAVADO]:[Otros / No Grav.]])</f>
        <v>6646.6268</v>
      </c>
      <c r="Q68" s="547">
        <f>IFERROR(IF(compras_mes10[[#This Row],[CUIT]]="","-",VLOOKUP(compras_mes10[[#This Row],[CUIT]],Lista_CUIT[#All],3,0)),"CUIT NO CARGADO")</f>
        <v>0</v>
      </c>
      <c r="R68" s="547">
        <f>IFERROR(IF(compras_mes10[[#This Row],[CUIT]]="","-",VLOOKUP(compras_mes10[[#This Row],[CUIT]],Lista_CUIT[#All],4,0)),"CUIT NO CARGADO")</f>
        <v>0</v>
      </c>
    </row>
    <row r="69" spans="1:18" ht="15.75" customHeight="1" x14ac:dyDescent="0.3">
      <c r="A69" s="128"/>
      <c r="B69" s="538">
        <v>45208</v>
      </c>
      <c r="C69" s="539">
        <v>1</v>
      </c>
      <c r="D69" s="540">
        <v>948</v>
      </c>
      <c r="E69" s="541">
        <v>1060958</v>
      </c>
      <c r="F69" s="542">
        <v>30639453975</v>
      </c>
      <c r="G69" s="543" t="str">
        <f>IFERROR(IF(compras_mes10[[#This Row],[CUIT]]="","-",VLOOKUP(compras_mes10[[#This Row],[CUIT]],Lista_CUIT[#All],2,0)),"CUIT NO CARGADO")</f>
        <v>TELEFONICA DE ARG S.A.</v>
      </c>
      <c r="H69" s="548">
        <v>8791.41</v>
      </c>
      <c r="I69" s="545"/>
      <c r="J69" s="545">
        <v>2373.6799999999998</v>
      </c>
      <c r="K69" s="545"/>
      <c r="L69" s="545">
        <v>263.74</v>
      </c>
      <c r="M69" s="545"/>
      <c r="N69" s="545">
        <v>527.48</v>
      </c>
      <c r="O69" s="545"/>
      <c r="P69" s="546">
        <f>SUM(compras_mes10[[#This Row],[NETO GRAVADO]:[Otros / No Grav.]])</f>
        <v>11956.31</v>
      </c>
      <c r="Q69" s="547" t="str">
        <f>IFERROR(IF(compras_mes10[[#This Row],[CUIT]]="","-",VLOOKUP(compras_mes10[[#This Row],[CUIT]],Lista_CUIT[#All],3,0)),"CUIT NO CARGADO")</f>
        <v>Servicios Gas, Luz, etc.</v>
      </c>
      <c r="R69" s="547">
        <f>IFERROR(IF(compras_mes10[[#This Row],[CUIT]]="","-",VLOOKUP(compras_mes10[[#This Row],[CUIT]],Lista_CUIT[#All],4,0)),"CUIT NO CARGADO")</f>
        <v>0</v>
      </c>
    </row>
    <row r="70" spans="1:18" x14ac:dyDescent="0.3">
      <c r="A70" s="128"/>
      <c r="B70" s="538">
        <v>45209</v>
      </c>
      <c r="C70" s="539">
        <v>1</v>
      </c>
      <c r="D70" s="540">
        <v>6</v>
      </c>
      <c r="E70" s="541">
        <v>14890964</v>
      </c>
      <c r="F70" s="542">
        <v>30620177497</v>
      </c>
      <c r="G70" s="543" t="str">
        <f>IFERROR(IF(compras_mes10[[#This Row],[CUIT]]="","-",VLOOKUP(compras_mes10[[#This Row],[CUIT]],Lista_CUIT[#All],2,0)),"CUIT NO CARGADO")</f>
        <v>POSNET SRL</v>
      </c>
      <c r="H70" s="548">
        <v>23333.37</v>
      </c>
      <c r="I70" s="545">
        <f>IF(compras_mes10[[#This Row],[NETO GRAVADO]]="","",compras_mes10[[#This Row],[NETO GRAVADO]]*0.21)</f>
        <v>4900.0076999999992</v>
      </c>
      <c r="J70" s="528"/>
      <c r="K70" s="528"/>
      <c r="L70" s="528"/>
      <c r="M70" s="528">
        <v>2100</v>
      </c>
      <c r="N70" s="528"/>
      <c r="O70" s="528"/>
      <c r="P70" s="546">
        <f>SUM(compras_mes10[[#This Row],[NETO GRAVADO]:[Otros / No Grav.]])</f>
        <v>30333.377699999997</v>
      </c>
      <c r="Q70" s="547" t="str">
        <f>IFERROR(IF(compras_mes10[[#This Row],[CUIT]]="","-",VLOOKUP(compras_mes10[[#This Row],[CUIT]],Lista_CUIT[#All],3,0)),"CUIT NO CARGADO")</f>
        <v>Servicios Gas, Luz, etc.</v>
      </c>
      <c r="R70" s="547">
        <f>IFERROR(IF(compras_mes10[[#This Row],[CUIT]]="","-",VLOOKUP(compras_mes10[[#This Row],[CUIT]],Lista_CUIT[#All],4,0)),"CUIT NO CARGADO")</f>
        <v>0</v>
      </c>
    </row>
    <row r="71" spans="1:18" x14ac:dyDescent="0.3">
      <c r="A71" s="128"/>
      <c r="B71" s="538">
        <v>45209</v>
      </c>
      <c r="C71" s="539">
        <v>1</v>
      </c>
      <c r="D71" s="540">
        <v>6</v>
      </c>
      <c r="E71" s="541">
        <v>14871449</v>
      </c>
      <c r="F71" s="542">
        <v>30620177497</v>
      </c>
      <c r="G71" s="543" t="str">
        <f>IFERROR(IF(compras_mes10[[#This Row],[CUIT]]="","-",VLOOKUP(compras_mes10[[#This Row],[CUIT]],Lista_CUIT[#All],2,0)),"CUIT NO CARGADO")</f>
        <v>POSNET SRL</v>
      </c>
      <c r="H71" s="548">
        <v>7777.79</v>
      </c>
      <c r="I71" s="545">
        <f>IF(compras_mes10[[#This Row],[NETO GRAVADO]]="","",compras_mes10[[#This Row],[NETO GRAVADO]]*0.21)</f>
        <v>1633.3359</v>
      </c>
      <c r="J71" s="528"/>
      <c r="K71" s="528"/>
      <c r="L71" s="528"/>
      <c r="M71" s="528">
        <v>700</v>
      </c>
      <c r="N71" s="528"/>
      <c r="O71" s="528"/>
      <c r="P71" s="546">
        <f>SUM(compras_mes10[[#This Row],[NETO GRAVADO]:[Otros / No Grav.]])</f>
        <v>10111.125899999999</v>
      </c>
      <c r="Q71" s="547" t="str">
        <f>IFERROR(IF(compras_mes10[[#This Row],[CUIT]]="","-",VLOOKUP(compras_mes10[[#This Row],[CUIT]],Lista_CUIT[#All],3,0)),"CUIT NO CARGADO")</f>
        <v>Servicios Gas, Luz, etc.</v>
      </c>
      <c r="R71" s="547">
        <f>IFERROR(IF(compras_mes10[[#This Row],[CUIT]]="","-",VLOOKUP(compras_mes10[[#This Row],[CUIT]],Lista_CUIT[#All],4,0)),"CUIT NO CARGADO")</f>
        <v>0</v>
      </c>
    </row>
    <row r="72" spans="1:18" x14ac:dyDescent="0.3">
      <c r="A72" s="128"/>
      <c r="B72" s="538">
        <v>45209</v>
      </c>
      <c r="C72" s="539">
        <v>1</v>
      </c>
      <c r="D72" s="540">
        <v>6</v>
      </c>
      <c r="E72" s="541">
        <v>14878610</v>
      </c>
      <c r="F72" s="542">
        <v>30620177497</v>
      </c>
      <c r="G72" s="543" t="str">
        <f>IFERROR(IF(compras_mes10[[#This Row],[CUIT]]="","-",VLOOKUP(compras_mes10[[#This Row],[CUIT]],Lista_CUIT[#All],2,0)),"CUIT NO CARGADO")</f>
        <v>POSNET SRL</v>
      </c>
      <c r="H72" s="548">
        <v>7777.79</v>
      </c>
      <c r="I72" s="545">
        <f>IF(compras_mes10[[#This Row],[NETO GRAVADO]]="","",compras_mes10[[#This Row],[NETO GRAVADO]]*0.21)</f>
        <v>1633.3359</v>
      </c>
      <c r="J72" s="528"/>
      <c r="K72" s="528"/>
      <c r="L72" s="528"/>
      <c r="M72" s="528">
        <v>700</v>
      </c>
      <c r="N72" s="528"/>
      <c r="O72" s="528"/>
      <c r="P72" s="546">
        <f>SUM(compras_mes10[[#This Row],[NETO GRAVADO]:[Otros / No Grav.]])</f>
        <v>10111.125899999999</v>
      </c>
      <c r="Q72" s="547" t="str">
        <f>IFERROR(IF(compras_mes10[[#This Row],[CUIT]]="","-",VLOOKUP(compras_mes10[[#This Row],[CUIT]],Lista_CUIT[#All],3,0)),"CUIT NO CARGADO")</f>
        <v>Servicios Gas, Luz, etc.</v>
      </c>
      <c r="R72" s="547">
        <f>IFERROR(IF(compras_mes10[[#This Row],[CUIT]]="","-",VLOOKUP(compras_mes10[[#This Row],[CUIT]],Lista_CUIT[#All],4,0)),"CUIT NO CARGADO")</f>
        <v>0</v>
      </c>
    </row>
    <row r="73" spans="1:18" x14ac:dyDescent="0.3">
      <c r="A73" s="128"/>
      <c r="B73" s="538">
        <v>45209</v>
      </c>
      <c r="C73" s="539">
        <v>1</v>
      </c>
      <c r="D73" s="540">
        <v>6</v>
      </c>
      <c r="E73" s="541">
        <v>14878614</v>
      </c>
      <c r="F73" s="542">
        <v>30620177497</v>
      </c>
      <c r="G73" s="543" t="str">
        <f>IFERROR(IF(compras_mes10[[#This Row],[CUIT]]="","-",VLOOKUP(compras_mes10[[#This Row],[CUIT]],Lista_CUIT[#All],2,0)),"CUIT NO CARGADO")</f>
        <v>POSNET SRL</v>
      </c>
      <c r="H73" s="548">
        <v>7777.79</v>
      </c>
      <c r="I73" s="545">
        <f>IF(compras_mes10[[#This Row],[NETO GRAVADO]]="","",compras_mes10[[#This Row],[NETO GRAVADO]]*0.21)</f>
        <v>1633.3359</v>
      </c>
      <c r="J73" s="528"/>
      <c r="K73" s="528"/>
      <c r="L73" s="528"/>
      <c r="M73" s="528">
        <v>700</v>
      </c>
      <c r="N73" s="528"/>
      <c r="O73" s="528"/>
      <c r="P73" s="546">
        <f>SUM(compras_mes10[[#This Row],[NETO GRAVADO]:[Otros / No Grav.]])</f>
        <v>10111.125899999999</v>
      </c>
      <c r="Q73" s="547" t="str">
        <f>IFERROR(IF(compras_mes10[[#This Row],[CUIT]]="","-",VLOOKUP(compras_mes10[[#This Row],[CUIT]],Lista_CUIT[#All],3,0)),"CUIT NO CARGADO")</f>
        <v>Servicios Gas, Luz, etc.</v>
      </c>
      <c r="R73" s="547">
        <f>IFERROR(IF(compras_mes10[[#This Row],[CUIT]]="","-",VLOOKUP(compras_mes10[[#This Row],[CUIT]],Lista_CUIT[#All],4,0)),"CUIT NO CARGADO")</f>
        <v>0</v>
      </c>
    </row>
    <row r="74" spans="1:18" x14ac:dyDescent="0.3">
      <c r="A74" s="128"/>
      <c r="B74" s="240">
        <v>45209</v>
      </c>
      <c r="C74" s="241">
        <v>1</v>
      </c>
      <c r="D74" s="242">
        <v>4</v>
      </c>
      <c r="E74" s="243">
        <v>44034</v>
      </c>
      <c r="F74" s="244">
        <v>30709863076</v>
      </c>
      <c r="G74" s="245" t="str">
        <f>IFERROR(IF(compras_mes10[[#This Row],[CUIT]]="","-",VLOOKUP(compras_mes10[[#This Row],[CUIT]],Lista_CUIT[#All],2,0)),"CUIT NO CARGADO")</f>
        <v>INDUSTRIAS PLASTICOS SALTA S.R.L.</v>
      </c>
      <c r="H74" s="46">
        <v>351000</v>
      </c>
      <c r="I74" s="246">
        <f>IF(compras_mes10[[#This Row],[NETO GRAVADO]]="","",compras_mes10[[#This Row],[NETO GRAVADO]]*0.21)</f>
        <v>73710</v>
      </c>
      <c r="J74" s="85"/>
      <c r="K74" s="85"/>
      <c r="L74" s="85"/>
      <c r="M74" s="85"/>
      <c r="N74" s="85"/>
      <c r="O74" s="85"/>
      <c r="P74" s="247">
        <f>SUM(compras_mes10[[#This Row],[NETO GRAVADO]:[Otros / No Grav.]])</f>
        <v>424710</v>
      </c>
      <c r="Q74" s="248">
        <f>IFERROR(IF(compras_mes10[[#This Row],[CUIT]]="","-",VLOOKUP(compras_mes10[[#This Row],[CUIT]],Lista_CUIT[#All],3,0)),"CUIT NO CARGADO")</f>
        <v>0</v>
      </c>
      <c r="R74" s="248">
        <f>IFERROR(IF(compras_mes10[[#This Row],[CUIT]]="","-",VLOOKUP(compras_mes10[[#This Row],[CUIT]],Lista_CUIT[#All],4,0)),"CUIT NO CARGADO")</f>
        <v>0</v>
      </c>
    </row>
    <row r="75" spans="1:18" x14ac:dyDescent="0.3">
      <c r="A75" s="128"/>
      <c r="B75" s="240">
        <v>45209</v>
      </c>
      <c r="C75" s="241">
        <v>1</v>
      </c>
      <c r="D75" s="242">
        <v>6850</v>
      </c>
      <c r="E75" s="243">
        <v>17571</v>
      </c>
      <c r="F75" s="244">
        <v>30678774495</v>
      </c>
      <c r="G75" s="245" t="str">
        <f>IFERROR(IF(compras_mes10[[#This Row],[CUIT]]="","-",VLOOKUP(compras_mes10[[#This Row],[CUIT]],Lista_CUIT[#All],2,0)),"CUIT NO CARGADO")</f>
        <v>OPER. DE EST. DE SERV. SA</v>
      </c>
      <c r="H75" s="46">
        <v>2255.31</v>
      </c>
      <c r="I75" s="246">
        <f>IF(compras_mes10[[#This Row],[NETO GRAVADO]]="","",compras_mes10[[#This Row],[NETO GRAVADO]]*0.21)</f>
        <v>473.61509999999998</v>
      </c>
      <c r="J75" s="85"/>
      <c r="K75" s="85"/>
      <c r="L75" s="85"/>
      <c r="M75" s="85"/>
      <c r="N75" s="85"/>
      <c r="O75" s="85">
        <v>272.95999999999998</v>
      </c>
      <c r="P75" s="247">
        <f>SUM(compras_mes10[[#This Row],[NETO GRAVADO]:[Otros / No Grav.]])</f>
        <v>3001.8851</v>
      </c>
      <c r="Q75" s="248" t="str">
        <f>IFERROR(IF(compras_mes10[[#This Row],[CUIT]]="","-",VLOOKUP(compras_mes10[[#This Row],[CUIT]],Lista_CUIT[#All],3,0)),"CUIT NO CARGADO")</f>
        <v>Combustibe</v>
      </c>
      <c r="R75" s="248">
        <f>IFERROR(IF(compras_mes10[[#This Row],[CUIT]]="","-",VLOOKUP(compras_mes10[[#This Row],[CUIT]],Lista_CUIT[#All],4,0)),"CUIT NO CARGADO")</f>
        <v>0</v>
      </c>
    </row>
    <row r="76" spans="1:18" x14ac:dyDescent="0.3">
      <c r="A76" s="128"/>
      <c r="B76" s="240">
        <v>45209</v>
      </c>
      <c r="C76" s="241">
        <v>1</v>
      </c>
      <c r="D76" s="242">
        <v>15</v>
      </c>
      <c r="E76" s="243">
        <v>3902</v>
      </c>
      <c r="F76" s="244">
        <v>30691617773</v>
      </c>
      <c r="G76" s="245" t="str">
        <f>IFERROR(IF(compras_mes10[[#This Row],[CUIT]]="","-",VLOOKUP(compras_mes10[[#This Row],[CUIT]],Lista_CUIT[#All],2,0)),"CUIT NO CARGADO")</f>
        <v>NOVACHEM S R L</v>
      </c>
      <c r="H76" s="46">
        <v>1670677.2000000002</v>
      </c>
      <c r="I76" s="246">
        <f>IF(compras_mes10[[#This Row],[NETO GRAVADO]]="","",compras_mes10[[#This Row],[NETO GRAVADO]]*0.21)</f>
        <v>350842.212</v>
      </c>
      <c r="J76" s="246"/>
      <c r="K76" s="246"/>
      <c r="L76" s="246"/>
      <c r="M76" s="246"/>
      <c r="N76" s="246"/>
      <c r="O76" s="246"/>
      <c r="P76" s="247">
        <f>SUM(compras_mes10[[#This Row],[NETO GRAVADO]:[Otros / No Grav.]])</f>
        <v>2021519.4120000002</v>
      </c>
      <c r="Q76" s="248">
        <f>IFERROR(IF(compras_mes10[[#This Row],[CUIT]]="","-",VLOOKUP(compras_mes10[[#This Row],[CUIT]],Lista_CUIT[#All],3,0)),"CUIT NO CARGADO")</f>
        <v>0</v>
      </c>
      <c r="R76" s="248">
        <f>IFERROR(IF(compras_mes10[[#This Row],[CUIT]]="","-",VLOOKUP(compras_mes10[[#This Row],[CUIT]],Lista_CUIT[#All],4,0)),"CUIT NO CARGADO")</f>
        <v>0</v>
      </c>
    </row>
    <row r="77" spans="1:18" x14ac:dyDescent="0.3">
      <c r="A77" s="128"/>
      <c r="B77" s="538">
        <v>45209</v>
      </c>
      <c r="C77" s="539">
        <v>1</v>
      </c>
      <c r="D77" s="540">
        <v>6364</v>
      </c>
      <c r="E77" s="541">
        <v>7854645</v>
      </c>
      <c r="F77" s="542">
        <v>30639453738</v>
      </c>
      <c r="G77" s="543" t="str">
        <f>IFERROR(IF(compras_mes10[[#This Row],[CUIT]]="","-",VLOOKUP(compras_mes10[[#This Row],[CUIT]],Lista_CUIT[#All],2,0)),"CUIT NO CARGADO")</f>
        <v>TELECOM ARG SA</v>
      </c>
      <c r="H77" s="548">
        <v>80954.11</v>
      </c>
      <c r="I77" s="545">
        <v>16681.580000000002</v>
      </c>
      <c r="J77" s="528">
        <v>409.86</v>
      </c>
      <c r="K77" s="528"/>
      <c r="L77" s="528"/>
      <c r="M77" s="528">
        <v>2428.62</v>
      </c>
      <c r="N77" s="528">
        <v>4463.55</v>
      </c>
      <c r="O77" s="528">
        <v>87.28</v>
      </c>
      <c r="P77" s="546">
        <f>SUM(compras_mes10[[#This Row],[NETO GRAVADO]:[Otros / No Grav.]])</f>
        <v>105025</v>
      </c>
      <c r="Q77" s="547" t="str">
        <f>IFERROR(IF(compras_mes10[[#This Row],[CUIT]]="","-",VLOOKUP(compras_mes10[[#This Row],[CUIT]],Lista_CUIT[#All],3,0)),"CUIT NO CARGADO")</f>
        <v>Servicios Gas, Luz, etc.</v>
      </c>
      <c r="R77" s="547">
        <f>IFERROR(IF(compras_mes10[[#This Row],[CUIT]]="","-",VLOOKUP(compras_mes10[[#This Row],[CUIT]],Lista_CUIT[#All],4,0)),"CUIT NO CARGADO")</f>
        <v>0</v>
      </c>
    </row>
    <row r="78" spans="1:18" x14ac:dyDescent="0.3">
      <c r="A78" s="128"/>
      <c r="B78" s="240">
        <v>45209</v>
      </c>
      <c r="C78" s="241">
        <v>1</v>
      </c>
      <c r="D78" s="242">
        <v>2</v>
      </c>
      <c r="E78" s="243">
        <v>8160</v>
      </c>
      <c r="F78" s="244">
        <v>30714284963</v>
      </c>
      <c r="G78" s="245" t="str">
        <f>IFERROR(IF(compras_mes10[[#This Row],[CUIT]]="","-",VLOOKUP(compras_mes10[[#This Row],[CUIT]],Lista_CUIT[#All],2,0)),"CUIT NO CARGADO")</f>
        <v>ENGYMAN SRL</v>
      </c>
      <c r="H78" s="46">
        <v>73865</v>
      </c>
      <c r="I78" s="246">
        <f>IF(compras_mes10[[#This Row],[NETO GRAVADO]]="","",compras_mes10[[#This Row],[NETO GRAVADO]]*0.21)</f>
        <v>15511.65</v>
      </c>
      <c r="J78" s="85"/>
      <c r="K78" s="85"/>
      <c r="L78" s="85"/>
      <c r="M78" s="85"/>
      <c r="N78" s="85"/>
      <c r="O78" s="85"/>
      <c r="P78" s="247">
        <f>SUM(compras_mes10[[#This Row],[NETO GRAVADO]:[Otros / No Grav.]])</f>
        <v>89376.65</v>
      </c>
      <c r="Q78" s="248">
        <f>IFERROR(IF(compras_mes10[[#This Row],[CUIT]]="","-",VLOOKUP(compras_mes10[[#This Row],[CUIT]],Lista_CUIT[#All],3,0)),"CUIT NO CARGADO")</f>
        <v>0</v>
      </c>
      <c r="R78" s="248">
        <f>IFERROR(IF(compras_mes10[[#This Row],[CUIT]]="","-",VLOOKUP(compras_mes10[[#This Row],[CUIT]],Lista_CUIT[#All],4,0)),"CUIT NO CARGADO")</f>
        <v>0</v>
      </c>
    </row>
    <row r="79" spans="1:18" x14ac:dyDescent="0.3">
      <c r="A79" s="128"/>
      <c r="B79" s="240">
        <v>45209</v>
      </c>
      <c r="C79" s="241">
        <v>1</v>
      </c>
      <c r="D79" s="242">
        <v>2</v>
      </c>
      <c r="E79" s="243">
        <v>3470</v>
      </c>
      <c r="F79" s="244">
        <v>30629863571</v>
      </c>
      <c r="G79" s="245" t="str">
        <f>IFERROR(IF(compras_mes10[[#This Row],[CUIT]]="","-",VLOOKUP(compras_mes10[[#This Row],[CUIT]],Lista_CUIT[#All],2,0)),"CUIT NO CARGADO")</f>
        <v>TECNIMAR S R L</v>
      </c>
      <c r="H79" s="46">
        <v>999795.52</v>
      </c>
      <c r="I79" s="246">
        <f>IF(compras_mes10[[#This Row],[NETO GRAVADO]]="","",compras_mes10[[#This Row],[NETO GRAVADO]]*0.21)</f>
        <v>209957.05919999999</v>
      </c>
      <c r="J79" s="85"/>
      <c r="K79" s="85"/>
      <c r="L79" s="85"/>
      <c r="M79" s="85"/>
      <c r="N79" s="85"/>
      <c r="O79" s="85"/>
      <c r="P79" s="247">
        <f>SUM(compras_mes10[[#This Row],[NETO GRAVADO]:[Otros / No Grav.]])</f>
        <v>1209752.5792</v>
      </c>
      <c r="Q79" s="248" t="str">
        <f>IFERROR(IF(compras_mes10[[#This Row],[CUIT]]="","-",VLOOKUP(compras_mes10[[#This Row],[CUIT]],Lista_CUIT[#All],3,0)),"CUIT NO CARGADO")</f>
        <v>LABORATORIO</v>
      </c>
      <c r="R79" s="248">
        <f>IFERROR(IF(compras_mes10[[#This Row],[CUIT]]="","-",VLOOKUP(compras_mes10[[#This Row],[CUIT]],Lista_CUIT[#All],4,0)),"CUIT NO CARGADO")</f>
        <v>0</v>
      </c>
    </row>
    <row r="80" spans="1:18" x14ac:dyDescent="0.3">
      <c r="A80" s="128"/>
      <c r="B80" s="240">
        <v>45209</v>
      </c>
      <c r="C80" s="241">
        <v>1</v>
      </c>
      <c r="D80" s="242">
        <v>16</v>
      </c>
      <c r="E80" s="243">
        <v>17639</v>
      </c>
      <c r="F80" s="244">
        <v>30707841105</v>
      </c>
      <c r="G80" s="245" t="str">
        <f>IFERROR(IF(compras_mes10[[#This Row],[CUIT]]="","-",VLOOKUP(compras_mes10[[#This Row],[CUIT]],Lista_CUIT[#All],2,0)),"CUIT NO CARGADO")</f>
        <v>PETRO ARG SRL</v>
      </c>
      <c r="H80" s="46">
        <v>7513.32</v>
      </c>
      <c r="I80" s="246">
        <f>IF(compras_mes10[[#This Row],[NETO GRAVADO]]="","",compras_mes10[[#This Row],[NETO GRAVADO]]*0.21)</f>
        <v>1577.7972</v>
      </c>
      <c r="J80" s="85"/>
      <c r="K80" s="85"/>
      <c r="L80" s="85"/>
      <c r="M80" s="85"/>
      <c r="N80" s="85"/>
      <c r="O80" s="85">
        <v>909.33</v>
      </c>
      <c r="P80" s="247">
        <f>SUM(compras_mes10[[#This Row],[NETO GRAVADO]:[Otros / No Grav.]])</f>
        <v>10000.447200000001</v>
      </c>
      <c r="Q80" s="248" t="str">
        <f>IFERROR(IF(compras_mes10[[#This Row],[CUIT]]="","-",VLOOKUP(compras_mes10[[#This Row],[CUIT]],Lista_CUIT[#All],3,0)),"CUIT NO CARGADO")</f>
        <v>Combustible</v>
      </c>
      <c r="R80" s="248">
        <f>IFERROR(IF(compras_mes10[[#This Row],[CUIT]]="","-",VLOOKUP(compras_mes10[[#This Row],[CUIT]],Lista_CUIT[#All],4,0)),"CUIT NO CARGADO")</f>
        <v>0</v>
      </c>
    </row>
    <row r="81" spans="1:18" s="128" customFormat="1" x14ac:dyDescent="0.3">
      <c r="B81" s="240">
        <v>45210</v>
      </c>
      <c r="C81" s="241">
        <v>1</v>
      </c>
      <c r="D81" s="242">
        <v>7</v>
      </c>
      <c r="E81" s="243">
        <v>1875</v>
      </c>
      <c r="F81" s="244">
        <v>20134664518</v>
      </c>
      <c r="G81" s="245" t="str">
        <f>IFERROR(IF(compras_mes10[[#This Row],[CUIT]]="","-",VLOOKUP(compras_mes10[[#This Row],[CUIT]],Lista_CUIT[#All],2,0)),"CUIT NO CARGADO")</f>
        <v>HOKAMA SERGIO ENRIQUE</v>
      </c>
      <c r="H81" s="46">
        <v>17132.55</v>
      </c>
      <c r="I81" s="246">
        <f>IF(compras_mes10[[#This Row],[NETO GRAVADO]]="","",compras_mes10[[#This Row],[NETO GRAVADO]]*0.21)</f>
        <v>3597.8354999999997</v>
      </c>
      <c r="J81" s="246"/>
      <c r="K81" s="246"/>
      <c r="L81" s="246"/>
      <c r="M81" s="246"/>
      <c r="N81" s="246"/>
      <c r="O81" s="246"/>
      <c r="P81" s="247">
        <f>SUM(compras_mes10[[#This Row],[NETO GRAVADO]:[Otros / No Grav.]])</f>
        <v>20730.3855</v>
      </c>
      <c r="Q81" s="248" t="str">
        <f>IFERROR(IF(compras_mes10[[#This Row],[CUIT]]="","-",VLOOKUP(compras_mes10[[#This Row],[CUIT]],Lista_CUIT[#All],3,0)),"CUIT NO CARGADO")</f>
        <v>Gastos Varios</v>
      </c>
      <c r="R81" s="248" t="str">
        <f>IFERROR(IF(compras_mes10[[#This Row],[CUIT]]="","-",VLOOKUP(compras_mes10[[#This Row],[CUIT]],Lista_CUIT[#All],4,0)),"CUIT NO CARGADO")</f>
        <v>BUENOS AIRES</v>
      </c>
    </row>
    <row r="82" spans="1:18" s="127" customFormat="1" x14ac:dyDescent="0.3">
      <c r="A82" s="128"/>
      <c r="B82" s="240">
        <v>45210</v>
      </c>
      <c r="C82" s="241">
        <v>1</v>
      </c>
      <c r="D82" s="242">
        <v>5</v>
      </c>
      <c r="E82" s="243">
        <v>116362</v>
      </c>
      <c r="F82" s="244">
        <v>30550106430</v>
      </c>
      <c r="G82" s="245" t="str">
        <f>IFERROR(IF(compras_mes10[[#This Row],[CUIT]]="","-",VLOOKUP(compras_mes10[[#This Row],[CUIT]],Lista_CUIT[#All],2,0)),"CUIT NO CARGADO")</f>
        <v>MAGEL S A</v>
      </c>
      <c r="H82" s="46">
        <v>891820</v>
      </c>
      <c r="I82" s="246">
        <f>IF(compras_mes10[[#This Row],[NETO GRAVADO]]="","",compras_mes10[[#This Row],[NETO GRAVADO]]*0.21)</f>
        <v>187282.19999999998</v>
      </c>
      <c r="J82" s="85"/>
      <c r="K82" s="85"/>
      <c r="L82" s="85"/>
      <c r="M82" s="85">
        <v>8918.2000000000007</v>
      </c>
      <c r="N82" s="85">
        <v>53509.2</v>
      </c>
      <c r="O82" s="85"/>
      <c r="P82" s="247">
        <f>SUM(compras_mes10[[#This Row],[NETO GRAVADO]:[Otros / No Grav.]])</f>
        <v>1141529.5999999999</v>
      </c>
      <c r="Q82" s="248">
        <f>IFERROR(IF(compras_mes10[[#This Row],[CUIT]]="","-",VLOOKUP(compras_mes10[[#This Row],[CUIT]],Lista_CUIT[#All],3,0)),"CUIT NO CARGADO")</f>
        <v>0</v>
      </c>
      <c r="R82" s="248">
        <f>IFERROR(IF(compras_mes10[[#This Row],[CUIT]]="","-",VLOOKUP(compras_mes10[[#This Row],[CUIT]],Lista_CUIT[#All],4,0)),"CUIT NO CARGADO")</f>
        <v>0</v>
      </c>
    </row>
    <row r="83" spans="1:18" x14ac:dyDescent="0.3">
      <c r="A83" s="128"/>
      <c r="B83" s="240">
        <v>45210</v>
      </c>
      <c r="C83" s="241">
        <v>1</v>
      </c>
      <c r="D83" s="242">
        <v>1677</v>
      </c>
      <c r="E83" s="243">
        <v>27324</v>
      </c>
      <c r="F83" s="244">
        <v>30589621499</v>
      </c>
      <c r="G83" s="245" t="str">
        <f>IFERROR(IF(compras_mes10[[#This Row],[CUIT]]="","-",VLOOKUP(compras_mes10[[#This Row],[CUIT]],Lista_CUIT[#All],2,0)),"CUIT NO CARGADO")</f>
        <v>MAKRO SA</v>
      </c>
      <c r="H83" s="46">
        <v>39336.75</v>
      </c>
      <c r="I83" s="246">
        <v>7935.91</v>
      </c>
      <c r="J83" s="85"/>
      <c r="K83" s="85">
        <v>162.4</v>
      </c>
      <c r="L83" s="85">
        <v>1156.9000000000001</v>
      </c>
      <c r="M83" s="85"/>
      <c r="N83" s="85">
        <v>2320.21</v>
      </c>
      <c r="O83" s="85"/>
      <c r="P83" s="247">
        <f>SUM(compras_mes10[[#This Row],[NETO GRAVADO]:[Otros / No Grav.]])</f>
        <v>50912.170000000006</v>
      </c>
      <c r="Q83" s="248">
        <f>IFERROR(IF(compras_mes10[[#This Row],[CUIT]]="","-",VLOOKUP(compras_mes10[[#This Row],[CUIT]],Lista_CUIT[#All],3,0)),"CUIT NO CARGADO")</f>
        <v>0</v>
      </c>
      <c r="R83" s="248">
        <f>IFERROR(IF(compras_mes10[[#This Row],[CUIT]]="","-",VLOOKUP(compras_mes10[[#This Row],[CUIT]],Lista_CUIT[#All],4,0)),"CUIT NO CARGADO")</f>
        <v>0</v>
      </c>
    </row>
    <row r="84" spans="1:18" s="128" customFormat="1" ht="13.2" customHeight="1" x14ac:dyDescent="0.3">
      <c r="B84" s="240">
        <v>45210</v>
      </c>
      <c r="C84" s="241">
        <v>1</v>
      </c>
      <c r="D84" s="242">
        <v>6</v>
      </c>
      <c r="E84" s="243">
        <v>88</v>
      </c>
      <c r="F84" s="244">
        <v>30712312447</v>
      </c>
      <c r="G84" s="245" t="str">
        <f>IFERROR(IF(compras_mes10[[#This Row],[CUIT]]="","-",VLOOKUP(compras_mes10[[#This Row],[CUIT]],Lista_CUIT[#All],2,0)),"CUIT NO CARGADO")</f>
        <v>GECEDATA SRL</v>
      </c>
      <c r="H84" s="46">
        <v>24785.119999999999</v>
      </c>
      <c r="I84" s="246">
        <f>IF(compras_mes10[[#This Row],[NETO GRAVADO]]="","",compras_mes10[[#This Row],[NETO GRAVADO]]*0.21)</f>
        <v>5204.8751999999995</v>
      </c>
      <c r="J84" s="85"/>
      <c r="K84" s="85"/>
      <c r="L84" s="85"/>
      <c r="M84" s="85"/>
      <c r="N84" s="85"/>
      <c r="O84" s="85"/>
      <c r="P84" s="247">
        <f>SUM(compras_mes10[[#This Row],[NETO GRAVADO]:[Otros / No Grav.]])</f>
        <v>29989.995199999998</v>
      </c>
      <c r="Q84" s="248">
        <f>IFERROR(IF(compras_mes10[[#This Row],[CUIT]]="","-",VLOOKUP(compras_mes10[[#This Row],[CUIT]],Lista_CUIT[#All],3,0)),"CUIT NO CARGADO")</f>
        <v>0</v>
      </c>
      <c r="R84" s="248">
        <f>IFERROR(IF(compras_mes10[[#This Row],[CUIT]]="","-",VLOOKUP(compras_mes10[[#This Row],[CUIT]],Lista_CUIT[#All],4,0)),"CUIT NO CARGADO")</f>
        <v>0</v>
      </c>
    </row>
    <row r="85" spans="1:18" x14ac:dyDescent="0.3">
      <c r="A85" s="128"/>
      <c r="B85" s="240">
        <v>45210</v>
      </c>
      <c r="C85" s="241">
        <v>1</v>
      </c>
      <c r="D85" s="242">
        <v>5</v>
      </c>
      <c r="E85" s="243">
        <v>31107</v>
      </c>
      <c r="F85" s="244">
        <v>20316849823</v>
      </c>
      <c r="G85" s="245" t="str">
        <f>IFERROR(IF(compras_mes10[[#This Row],[CUIT]]="","-",VLOOKUP(compras_mes10[[#This Row],[CUIT]],Lista_CUIT[#All],2,0)),"CUIT NO CARGADO")</f>
        <v>SPENA FERNANDO ARIEL</v>
      </c>
      <c r="H85" s="46">
        <v>24262.93</v>
      </c>
      <c r="I85" s="246">
        <f>IF(compras_mes10[[#This Row],[NETO GRAVADO]]="","",compras_mes10[[#This Row],[NETO GRAVADO]]*0.21)</f>
        <v>5095.2152999999998</v>
      </c>
      <c r="J85" s="85"/>
      <c r="K85" s="85"/>
      <c r="L85" s="85"/>
      <c r="M85" s="85"/>
      <c r="N85" s="85"/>
      <c r="O85" s="85"/>
      <c r="P85" s="247">
        <f>SUM(compras_mes10[[#This Row],[NETO GRAVADO]:[Otros / No Grav.]])</f>
        <v>29358.1453</v>
      </c>
      <c r="Q85" s="248">
        <f>IFERROR(IF(compras_mes10[[#This Row],[CUIT]]="","-",VLOOKUP(compras_mes10[[#This Row],[CUIT]],Lista_CUIT[#All],3,0)),"CUIT NO CARGADO")</f>
        <v>0</v>
      </c>
      <c r="R85" s="248">
        <f>IFERROR(IF(compras_mes10[[#This Row],[CUIT]]="","-",VLOOKUP(compras_mes10[[#This Row],[CUIT]],Lista_CUIT[#All],4,0)),"CUIT NO CARGADO")</f>
        <v>0</v>
      </c>
    </row>
    <row r="86" spans="1:18" x14ac:dyDescent="0.3">
      <c r="A86" s="128"/>
      <c r="B86" s="240">
        <v>45210</v>
      </c>
      <c r="C86" s="241">
        <v>1</v>
      </c>
      <c r="D86" s="242">
        <v>5</v>
      </c>
      <c r="E86" s="243">
        <v>31108</v>
      </c>
      <c r="F86" s="244">
        <v>20316849823</v>
      </c>
      <c r="G86" s="245" t="str">
        <f>IFERROR(IF(compras_mes10[[#This Row],[CUIT]]="","-",VLOOKUP(compras_mes10[[#This Row],[CUIT]],Lista_CUIT[#All],2,0)),"CUIT NO CARGADO")</f>
        <v>SPENA FERNANDO ARIEL</v>
      </c>
      <c r="H86" s="46">
        <v>24262.93</v>
      </c>
      <c r="I86" s="246">
        <f>IF(compras_mes10[[#This Row],[NETO GRAVADO]]="","",compras_mes10[[#This Row],[NETO GRAVADO]]*0.21)</f>
        <v>5095.2152999999998</v>
      </c>
      <c r="J86" s="85"/>
      <c r="K86" s="85"/>
      <c r="L86" s="85"/>
      <c r="M86" s="85"/>
      <c r="N86" s="85"/>
      <c r="O86" s="85"/>
      <c r="P86" s="247">
        <f>SUM(compras_mes10[[#This Row],[NETO GRAVADO]:[Otros / No Grav.]])</f>
        <v>29358.1453</v>
      </c>
      <c r="Q86" s="248">
        <f>IFERROR(IF(compras_mes10[[#This Row],[CUIT]]="","-",VLOOKUP(compras_mes10[[#This Row],[CUIT]],Lista_CUIT[#All],3,0)),"CUIT NO CARGADO")</f>
        <v>0</v>
      </c>
      <c r="R86" s="248">
        <f>IFERROR(IF(compras_mes10[[#This Row],[CUIT]]="","-",VLOOKUP(compras_mes10[[#This Row],[CUIT]],Lista_CUIT[#All],4,0)),"CUIT NO CARGADO")</f>
        <v>0</v>
      </c>
    </row>
    <row r="87" spans="1:18" x14ac:dyDescent="0.3">
      <c r="A87" s="128"/>
      <c r="B87" s="240">
        <v>45210</v>
      </c>
      <c r="C87" s="241">
        <v>1</v>
      </c>
      <c r="D87" s="242">
        <v>5</v>
      </c>
      <c r="E87" s="243">
        <v>31109</v>
      </c>
      <c r="F87" s="244">
        <v>20316849823</v>
      </c>
      <c r="G87" s="245" t="str">
        <f>IFERROR(IF(compras_mes10[[#This Row],[CUIT]]="","-",VLOOKUP(compras_mes10[[#This Row],[CUIT]],Lista_CUIT[#All],2,0)),"CUIT NO CARGADO")</f>
        <v>SPENA FERNANDO ARIEL</v>
      </c>
      <c r="H87" s="46">
        <v>24262.93</v>
      </c>
      <c r="I87" s="246">
        <f>IF(compras_mes10[[#This Row],[NETO GRAVADO]]="","",compras_mes10[[#This Row],[NETO GRAVADO]]*0.21)</f>
        <v>5095.2152999999998</v>
      </c>
      <c r="J87" s="85"/>
      <c r="K87" s="85"/>
      <c r="L87" s="85"/>
      <c r="M87" s="85"/>
      <c r="N87" s="85"/>
      <c r="O87" s="85"/>
      <c r="P87" s="247">
        <f>SUM(compras_mes10[[#This Row],[NETO GRAVADO]:[Otros / No Grav.]])</f>
        <v>29358.1453</v>
      </c>
      <c r="Q87" s="248">
        <f>IFERROR(IF(compras_mes10[[#This Row],[CUIT]]="","-",VLOOKUP(compras_mes10[[#This Row],[CUIT]],Lista_CUIT[#All],3,0)),"CUIT NO CARGADO")</f>
        <v>0</v>
      </c>
      <c r="R87" s="248">
        <f>IFERROR(IF(compras_mes10[[#This Row],[CUIT]]="","-",VLOOKUP(compras_mes10[[#This Row],[CUIT]],Lista_CUIT[#All],4,0)),"CUIT NO CARGADO")</f>
        <v>0</v>
      </c>
    </row>
    <row r="88" spans="1:18" x14ac:dyDescent="0.3">
      <c r="A88" s="128"/>
      <c r="B88" s="240">
        <v>45210</v>
      </c>
      <c r="C88" s="241">
        <v>1</v>
      </c>
      <c r="D88" s="242">
        <v>5</v>
      </c>
      <c r="E88" s="243">
        <v>806</v>
      </c>
      <c r="F88" s="244">
        <v>30715961373</v>
      </c>
      <c r="G88" s="245" t="str">
        <f>IFERROR(IF(compras_mes10[[#This Row],[CUIT]]="","-",VLOOKUP(compras_mes10[[#This Row],[CUIT]],Lista_CUIT[#All],2,0)),"CUIT NO CARGADO")</f>
        <v>IDEAS Y DISEÑOS SRL</v>
      </c>
      <c r="H88" s="46">
        <v>20743.810000000001</v>
      </c>
      <c r="I88" s="246">
        <f>IF(compras_mes10[[#This Row],[NETO GRAVADO]]="","",compras_mes10[[#This Row],[NETO GRAVADO]]*0.21)</f>
        <v>4356.2001</v>
      </c>
      <c r="J88" s="85"/>
      <c r="K88" s="85"/>
      <c r="L88" s="85"/>
      <c r="M88" s="85"/>
      <c r="N88" s="85"/>
      <c r="O88" s="85"/>
      <c r="P88" s="247">
        <f>SUM(compras_mes10[[#This Row],[NETO GRAVADO]:[Otros / No Grav.]])</f>
        <v>25100.0101</v>
      </c>
      <c r="Q88" s="248">
        <f>IFERROR(IF(compras_mes10[[#This Row],[CUIT]]="","-",VLOOKUP(compras_mes10[[#This Row],[CUIT]],Lista_CUIT[#All],3,0)),"CUIT NO CARGADO")</f>
        <v>0</v>
      </c>
      <c r="R88" s="248">
        <f>IFERROR(IF(compras_mes10[[#This Row],[CUIT]]="","-",VLOOKUP(compras_mes10[[#This Row],[CUIT]],Lista_CUIT[#All],4,0)),"CUIT NO CARGADO")</f>
        <v>0</v>
      </c>
    </row>
    <row r="89" spans="1:18" x14ac:dyDescent="0.3">
      <c r="A89" s="128"/>
      <c r="B89" s="240">
        <v>45210</v>
      </c>
      <c r="C89" s="241">
        <v>3</v>
      </c>
      <c r="D89" s="242">
        <v>5</v>
      </c>
      <c r="E89" s="243">
        <v>9991</v>
      </c>
      <c r="F89" s="244">
        <v>30550106430</v>
      </c>
      <c r="G89" s="245" t="str">
        <f>IFERROR(IF(compras_mes10[[#This Row],[CUIT]]="","-",VLOOKUP(compras_mes10[[#This Row],[CUIT]],Lista_CUIT[#All],2,0)),"CUIT NO CARGADO")</f>
        <v>MAGEL S A</v>
      </c>
      <c r="H89" s="46">
        <v>-21199</v>
      </c>
      <c r="I89" s="246">
        <f>IF(compras_mes10[[#This Row],[NETO GRAVADO]]="","",compras_mes10[[#This Row],[NETO GRAVADO]]*0.21)</f>
        <v>-4451.79</v>
      </c>
      <c r="J89" s="85"/>
      <c r="K89" s="85"/>
      <c r="L89" s="85"/>
      <c r="M89" s="85">
        <v>-211.99</v>
      </c>
      <c r="N89" s="85">
        <v>-1271.94</v>
      </c>
      <c r="O89" s="85"/>
      <c r="P89" s="247">
        <f>SUM(compras_mes10[[#This Row],[NETO GRAVADO]:[Otros / No Grav.]])</f>
        <v>-27134.720000000001</v>
      </c>
      <c r="Q89" s="248">
        <f>IFERROR(IF(compras_mes10[[#This Row],[CUIT]]="","-",VLOOKUP(compras_mes10[[#This Row],[CUIT]],Lista_CUIT[#All],3,0)),"CUIT NO CARGADO")</f>
        <v>0</v>
      </c>
      <c r="R89" s="248">
        <f>IFERROR(IF(compras_mes10[[#This Row],[CUIT]]="","-",VLOOKUP(compras_mes10[[#This Row],[CUIT]],Lista_CUIT[#All],4,0)),"CUIT NO CARGADO")</f>
        <v>0</v>
      </c>
    </row>
    <row r="90" spans="1:18" x14ac:dyDescent="0.3">
      <c r="A90" s="128"/>
      <c r="B90" s="240">
        <v>45212</v>
      </c>
      <c r="C90" s="241">
        <v>1</v>
      </c>
      <c r="D90" s="242">
        <v>3</v>
      </c>
      <c r="E90" s="243">
        <v>983</v>
      </c>
      <c r="F90" s="244">
        <v>23142556499</v>
      </c>
      <c r="G90" s="245" t="str">
        <f>IFERROR(IF(compras_mes10[[#This Row],[CUIT]]="","-",VLOOKUP(compras_mes10[[#This Row],[CUIT]],Lista_CUIT[#All],2,0)),"CUIT NO CARGADO")</f>
        <v>URRUTIA DANIEL ALBERTO</v>
      </c>
      <c r="H90" s="46">
        <v>22686</v>
      </c>
      <c r="I90" s="246">
        <f>IF(compras_mes10[[#This Row],[NETO GRAVADO]]="","",compras_mes10[[#This Row],[NETO GRAVADO]]*0.21)</f>
        <v>4764.0599999999995</v>
      </c>
      <c r="J90" s="85"/>
      <c r="K90" s="85"/>
      <c r="L90" s="85"/>
      <c r="M90" s="85"/>
      <c r="N90" s="85"/>
      <c r="O90" s="85"/>
      <c r="P90" s="247">
        <f>SUM(compras_mes10[[#This Row],[NETO GRAVADO]:[Otros / No Grav.]])</f>
        <v>27450.059999999998</v>
      </c>
      <c r="Q90" s="248">
        <f>IFERROR(IF(compras_mes10[[#This Row],[CUIT]]="","-",VLOOKUP(compras_mes10[[#This Row],[CUIT]],Lista_CUIT[#All],3,0)),"CUIT NO CARGADO")</f>
        <v>0</v>
      </c>
      <c r="R90" s="248">
        <f>IFERROR(IF(compras_mes10[[#This Row],[CUIT]]="","-",VLOOKUP(compras_mes10[[#This Row],[CUIT]],Lista_CUIT[#All],4,0)),"CUIT NO CARGADO")</f>
        <v>0</v>
      </c>
    </row>
    <row r="91" spans="1:18" x14ac:dyDescent="0.3">
      <c r="A91" s="128"/>
      <c r="B91" s="240">
        <v>45213</v>
      </c>
      <c r="C91" s="241">
        <v>1</v>
      </c>
      <c r="D91" s="242">
        <v>7</v>
      </c>
      <c r="E91" s="243">
        <v>1889</v>
      </c>
      <c r="F91" s="244">
        <v>20134664518</v>
      </c>
      <c r="G91" s="245" t="str">
        <f>IFERROR(IF(compras_mes10[[#This Row],[CUIT]]="","-",VLOOKUP(compras_mes10[[#This Row],[CUIT]],Lista_CUIT[#All],2,0)),"CUIT NO CARGADO")</f>
        <v>HOKAMA SERGIO ENRIQUE</v>
      </c>
      <c r="H91" s="46">
        <v>16940.48</v>
      </c>
      <c r="I91" s="246">
        <f>IF(compras_mes10[[#This Row],[NETO GRAVADO]]="","",compras_mes10[[#This Row],[NETO GRAVADO]]*0.21)</f>
        <v>3557.5007999999998</v>
      </c>
      <c r="J91" s="85"/>
      <c r="K91" s="85"/>
      <c r="L91" s="85"/>
      <c r="M91" s="85"/>
      <c r="N91" s="85"/>
      <c r="O91" s="85"/>
      <c r="P91" s="247">
        <f>SUM(compras_mes10[[#This Row],[NETO GRAVADO]:[Otros / No Grav.]])</f>
        <v>20497.980799999998</v>
      </c>
      <c r="Q91" s="248" t="str">
        <f>IFERROR(IF(compras_mes10[[#This Row],[CUIT]]="","-",VLOOKUP(compras_mes10[[#This Row],[CUIT]],Lista_CUIT[#All],3,0)),"CUIT NO CARGADO")</f>
        <v>Gastos Varios</v>
      </c>
      <c r="R91" s="248" t="str">
        <f>IFERROR(IF(compras_mes10[[#This Row],[CUIT]]="","-",VLOOKUP(compras_mes10[[#This Row],[CUIT]],Lista_CUIT[#All],4,0)),"CUIT NO CARGADO")</f>
        <v>BUENOS AIRES</v>
      </c>
    </row>
    <row r="92" spans="1:18" x14ac:dyDescent="0.3">
      <c r="A92" s="128"/>
      <c r="B92" s="240">
        <v>45213</v>
      </c>
      <c r="C92" s="241">
        <v>1</v>
      </c>
      <c r="D92" s="242">
        <v>7</v>
      </c>
      <c r="E92" s="243">
        <v>1890</v>
      </c>
      <c r="F92" s="244">
        <v>20134664518</v>
      </c>
      <c r="G92" s="245" t="str">
        <f>IFERROR(IF(compras_mes10[[#This Row],[CUIT]]="","-",VLOOKUP(compras_mes10[[#This Row],[CUIT]],Lista_CUIT[#All],2,0)),"CUIT NO CARGADO")</f>
        <v>HOKAMA SERGIO ENRIQUE</v>
      </c>
      <c r="H92" s="46">
        <v>4756.1899999999996</v>
      </c>
      <c r="I92" s="246">
        <f>IF(compras_mes10[[#This Row],[NETO GRAVADO]]="","",compras_mes10[[#This Row],[NETO GRAVADO]]*0.21)</f>
        <v>998.79989999999987</v>
      </c>
      <c r="J92" s="85"/>
      <c r="K92" s="85"/>
      <c r="L92" s="85"/>
      <c r="M92" s="85"/>
      <c r="N92" s="85"/>
      <c r="O92" s="85"/>
      <c r="P92" s="247">
        <f>SUM(compras_mes10[[#This Row],[NETO GRAVADO]:[Otros / No Grav.]])</f>
        <v>5754.9898999999996</v>
      </c>
      <c r="Q92" s="248" t="str">
        <f>IFERROR(IF(compras_mes10[[#This Row],[CUIT]]="","-",VLOOKUP(compras_mes10[[#This Row],[CUIT]],Lista_CUIT[#All],3,0)),"CUIT NO CARGADO")</f>
        <v>Gastos Varios</v>
      </c>
      <c r="R92" s="248" t="str">
        <f>IFERROR(IF(compras_mes10[[#This Row],[CUIT]]="","-",VLOOKUP(compras_mes10[[#This Row],[CUIT]],Lista_CUIT[#All],4,0)),"CUIT NO CARGADO")</f>
        <v>BUENOS AIRES</v>
      </c>
    </row>
    <row r="93" spans="1:18" x14ac:dyDescent="0.3">
      <c r="A93" s="128"/>
      <c r="B93" s="538">
        <v>45213</v>
      </c>
      <c r="C93" s="539">
        <v>1</v>
      </c>
      <c r="D93" s="540">
        <v>4264</v>
      </c>
      <c r="E93" s="541">
        <v>2795690</v>
      </c>
      <c r="F93" s="542">
        <v>30639453738</v>
      </c>
      <c r="G93" s="543" t="str">
        <f>IFERROR(IF(compras_mes10[[#This Row],[CUIT]]="","-",VLOOKUP(compras_mes10[[#This Row],[CUIT]],Lista_CUIT[#All],2,0)),"CUIT NO CARGADO")</f>
        <v>TELECOM ARG SA</v>
      </c>
      <c r="H93" s="544">
        <v>32200</v>
      </c>
      <c r="I93" s="545">
        <f>IF(compras_mes10[[#This Row],[NETO GRAVADO]]="","",compras_mes10[[#This Row],[NETO GRAVADO]]*0.21)</f>
        <v>6762</v>
      </c>
      <c r="J93" s="545"/>
      <c r="K93" s="545"/>
      <c r="L93" s="545"/>
      <c r="M93" s="545"/>
      <c r="N93" s="545">
        <v>2898</v>
      </c>
      <c r="O93" s="545"/>
      <c r="P93" s="546">
        <f>SUM(compras_mes10[[#This Row],[NETO GRAVADO]:[Otros / No Grav.]])</f>
        <v>41860</v>
      </c>
      <c r="Q93" s="547" t="str">
        <f>IFERROR(IF(compras_mes10[[#This Row],[CUIT]]="","-",VLOOKUP(compras_mes10[[#This Row],[CUIT]],Lista_CUIT[#All],3,0)),"CUIT NO CARGADO")</f>
        <v>Servicios Gas, Luz, etc.</v>
      </c>
      <c r="R93" s="547">
        <f>IFERROR(IF(compras_mes10[[#This Row],[CUIT]]="","-",VLOOKUP(compras_mes10[[#This Row],[CUIT]],Lista_CUIT[#All],4,0)),"CUIT NO CARGADO")</f>
        <v>0</v>
      </c>
    </row>
    <row r="94" spans="1:18" x14ac:dyDescent="0.3">
      <c r="A94" s="128"/>
      <c r="B94" s="538">
        <v>45213</v>
      </c>
      <c r="C94" s="539">
        <v>1</v>
      </c>
      <c r="D94" s="540">
        <v>4264</v>
      </c>
      <c r="E94" s="541">
        <v>2745872</v>
      </c>
      <c r="F94" s="542">
        <v>30639453738</v>
      </c>
      <c r="G94" s="543" t="str">
        <f>IFERROR(IF(compras_mes10[[#This Row],[CUIT]]="","-",VLOOKUP(compras_mes10[[#This Row],[CUIT]],Lista_CUIT[#All],2,0)),"CUIT NO CARGADO")</f>
        <v>TELECOM ARG SA</v>
      </c>
      <c r="H94" s="548">
        <v>20500</v>
      </c>
      <c r="I94" s="545">
        <f>IF(compras_mes10[[#This Row],[NETO GRAVADO]]="","",compras_mes10[[#This Row],[NETO GRAVADO]]*0.21)</f>
        <v>4305</v>
      </c>
      <c r="J94" s="528"/>
      <c r="K94" s="528"/>
      <c r="L94" s="528"/>
      <c r="M94" s="528"/>
      <c r="N94" s="528">
        <v>1845</v>
      </c>
      <c r="O94" s="528"/>
      <c r="P94" s="546">
        <f>SUM(compras_mes10[[#This Row],[NETO GRAVADO]:[Otros / No Grav.]])</f>
        <v>26650</v>
      </c>
      <c r="Q94" s="547" t="str">
        <f>IFERROR(IF(compras_mes10[[#This Row],[CUIT]]="","-",VLOOKUP(compras_mes10[[#This Row],[CUIT]],Lista_CUIT[#All],3,0)),"CUIT NO CARGADO")</f>
        <v>Servicios Gas, Luz, etc.</v>
      </c>
      <c r="R94" s="547">
        <f>IFERROR(IF(compras_mes10[[#This Row],[CUIT]]="","-",VLOOKUP(compras_mes10[[#This Row],[CUIT]],Lista_CUIT[#All],4,0)),"CUIT NO CARGADO")</f>
        <v>0</v>
      </c>
    </row>
    <row r="95" spans="1:18" x14ac:dyDescent="0.3">
      <c r="A95" s="128"/>
      <c r="B95" s="538">
        <v>45213</v>
      </c>
      <c r="C95" s="539">
        <v>1</v>
      </c>
      <c r="D95" s="540">
        <v>4264</v>
      </c>
      <c r="E95" s="541">
        <v>2750563</v>
      </c>
      <c r="F95" s="542">
        <v>30639453738</v>
      </c>
      <c r="G95" s="543" t="str">
        <f>IFERROR(IF(compras_mes10[[#This Row],[CUIT]]="","-",VLOOKUP(compras_mes10[[#This Row],[CUIT]],Lista_CUIT[#All],2,0)),"CUIT NO CARGADO")</f>
        <v>TELECOM ARG SA</v>
      </c>
      <c r="H95" s="548">
        <v>15250</v>
      </c>
      <c r="I95" s="545">
        <f>IF(compras_mes10[[#This Row],[NETO GRAVADO]]="","",compras_mes10[[#This Row],[NETO GRAVADO]]*0.21)</f>
        <v>3202.5</v>
      </c>
      <c r="J95" s="545"/>
      <c r="K95" s="545"/>
      <c r="L95" s="545"/>
      <c r="M95" s="545"/>
      <c r="N95" s="545">
        <v>457.5</v>
      </c>
      <c r="O95" s="545"/>
      <c r="P95" s="546">
        <f>SUM(compras_mes10[[#This Row],[NETO GRAVADO]:[Otros / No Grav.]])</f>
        <v>18910</v>
      </c>
      <c r="Q95" s="547" t="str">
        <f>IFERROR(IF(compras_mes10[[#This Row],[CUIT]]="","-",VLOOKUP(compras_mes10[[#This Row],[CUIT]],Lista_CUIT[#All],3,0)),"CUIT NO CARGADO")</f>
        <v>Servicios Gas, Luz, etc.</v>
      </c>
      <c r="R95" s="547">
        <f>IFERROR(IF(compras_mes10[[#This Row],[CUIT]]="","-",VLOOKUP(compras_mes10[[#This Row],[CUIT]],Lista_CUIT[#All],4,0)),"CUIT NO CARGADO")</f>
        <v>0</v>
      </c>
    </row>
    <row r="96" spans="1:18" x14ac:dyDescent="0.3">
      <c r="A96" s="128"/>
      <c r="B96" s="538">
        <v>45213</v>
      </c>
      <c r="C96" s="539">
        <v>1</v>
      </c>
      <c r="D96" s="540">
        <v>12</v>
      </c>
      <c r="E96" s="541">
        <v>35031</v>
      </c>
      <c r="F96" s="542">
        <v>30696131003</v>
      </c>
      <c r="G96" s="543" t="str">
        <f>IFERROR(IF(compras_mes10[[#This Row],[CUIT]]="","-",VLOOKUP(compras_mes10[[#This Row],[CUIT]],Lista_CUIT[#All],2,0)),"CUIT NO CARGADO")</f>
        <v>Petrolfe S.A.</v>
      </c>
      <c r="H96" s="548">
        <v>48183.76</v>
      </c>
      <c r="I96" s="545">
        <f>IF(compras_mes10[[#This Row],[NETO GRAVADO]]="","",compras_mes10[[#This Row],[NETO GRAVADO]]*0.21)</f>
        <v>10118.589599999999</v>
      </c>
      <c r="J96" s="528"/>
      <c r="K96" s="528"/>
      <c r="L96" s="528"/>
      <c r="M96" s="528"/>
      <c r="N96" s="528"/>
      <c r="O96" s="528">
        <v>5561.03</v>
      </c>
      <c r="P96" s="546">
        <f>SUM(compras_mes10[[#This Row],[NETO GRAVADO]:[Otros / No Grav.]])</f>
        <v>63863.3796</v>
      </c>
      <c r="Q96" s="547" t="str">
        <f>IFERROR(IF(compras_mes10[[#This Row],[CUIT]]="","-",VLOOKUP(compras_mes10[[#This Row],[CUIT]],Lista_CUIT[#All],3,0)),"CUIT NO CARGADO")</f>
        <v>Combustible</v>
      </c>
      <c r="R96" s="547">
        <f>IFERROR(IF(compras_mes10[[#This Row],[CUIT]]="","-",VLOOKUP(compras_mes10[[#This Row],[CUIT]],Lista_CUIT[#All],4,0)),"CUIT NO CARGADO")</f>
        <v>0</v>
      </c>
    </row>
    <row r="97" spans="1:18" x14ac:dyDescent="0.3">
      <c r="A97" s="128"/>
      <c r="B97" s="240">
        <v>45215</v>
      </c>
      <c r="C97" s="241">
        <v>1</v>
      </c>
      <c r="D97" s="242">
        <v>2199</v>
      </c>
      <c r="E97" s="243">
        <v>24778</v>
      </c>
      <c r="F97" s="244">
        <v>30548083156</v>
      </c>
      <c r="G97" s="245" t="str">
        <f>IFERROR(IF(compras_mes10[[#This Row],[CUIT]]="","-",VLOOKUP(compras_mes10[[#This Row],[CUIT]],Lista_CUIT[#All],2,0)),"CUIT NO CARGADO")</f>
        <v>COTO CENTRO INTEGRAL DE COMERCIALIZACION SOCIEDAD ANONIMA</v>
      </c>
      <c r="H97" s="46">
        <v>19899.900000000001</v>
      </c>
      <c r="I97" s="246">
        <v>2162.08</v>
      </c>
      <c r="J97" s="85"/>
      <c r="K97" s="85">
        <v>1008.45</v>
      </c>
      <c r="L97" s="85">
        <v>512.91</v>
      </c>
      <c r="M97" s="85"/>
      <c r="N97" s="85">
        <v>900.33</v>
      </c>
      <c r="O97" s="85"/>
      <c r="P97" s="247">
        <f>SUM(compras_mes10[[#This Row],[NETO GRAVADO]:[Otros / No Grav.]])</f>
        <v>24483.670000000006</v>
      </c>
      <c r="Q97" s="248" t="str">
        <f>IFERROR(IF(compras_mes10[[#This Row],[CUIT]]="","-",VLOOKUP(compras_mes10[[#This Row],[CUIT]],Lista_CUIT[#All],3,0)),"CUIT NO CARGADO")</f>
        <v>GASTOS COMERCIALES</v>
      </c>
      <c r="R97" s="248">
        <f>IFERROR(IF(compras_mes10[[#This Row],[CUIT]]="","-",VLOOKUP(compras_mes10[[#This Row],[CUIT]],Lista_CUIT[#All],4,0)),"CUIT NO CARGADO")</f>
        <v>0</v>
      </c>
    </row>
    <row r="98" spans="1:18" s="128" customFormat="1" x14ac:dyDescent="0.3">
      <c r="B98" s="538">
        <v>45216</v>
      </c>
      <c r="C98" s="539">
        <v>1</v>
      </c>
      <c r="D98" s="540">
        <v>2</v>
      </c>
      <c r="E98" s="541">
        <v>3191</v>
      </c>
      <c r="F98" s="542">
        <v>30717074781</v>
      </c>
      <c r="G98" s="543" t="str">
        <f>IFERROR(IF(compras_mes10[[#This Row],[CUIT]]="","-",VLOOKUP(compras_mes10[[#This Row],[CUIT]],Lista_CUIT[#All],2,0)),"CUIT NO CARGADO")</f>
        <v>AGUGAS SA</v>
      </c>
      <c r="H98" s="548">
        <v>12354.42</v>
      </c>
      <c r="I98" s="545">
        <f>IF(compras_mes10[[#This Row],[NETO GRAVADO]]="","",compras_mes10[[#This Row],[NETO GRAVADO]]*0.21)</f>
        <v>2594.4281999999998</v>
      </c>
      <c r="J98" s="528"/>
      <c r="K98" s="528"/>
      <c r="L98" s="528"/>
      <c r="M98" s="528"/>
      <c r="N98" s="528"/>
      <c r="O98" s="528"/>
      <c r="P98" s="546">
        <f>SUM(compras_mes10[[#This Row],[NETO GRAVADO]:[Otros / No Grav.]])</f>
        <v>14948.8482</v>
      </c>
      <c r="Q98" s="547">
        <f>IFERROR(IF(compras_mes10[[#This Row],[CUIT]]="","-",VLOOKUP(compras_mes10[[#This Row],[CUIT]],Lista_CUIT[#All],3,0)),"CUIT NO CARGADO")</f>
        <v>0</v>
      </c>
      <c r="R98" s="547">
        <f>IFERROR(IF(compras_mes10[[#This Row],[CUIT]]="","-",VLOOKUP(compras_mes10[[#This Row],[CUIT]],Lista_CUIT[#All],4,0)),"CUIT NO CARGADO")</f>
        <v>0</v>
      </c>
    </row>
    <row r="99" spans="1:18" x14ac:dyDescent="0.3">
      <c r="A99" s="128"/>
      <c r="B99" s="240">
        <v>45216</v>
      </c>
      <c r="C99" s="241">
        <v>1</v>
      </c>
      <c r="D99" s="242">
        <v>5</v>
      </c>
      <c r="E99" s="243">
        <v>22356</v>
      </c>
      <c r="F99" s="244">
        <v>30708041722</v>
      </c>
      <c r="G99" s="245" t="str">
        <f>IFERROR(IF(compras_mes10[[#This Row],[CUIT]]="","-",VLOOKUP(compras_mes10[[#This Row],[CUIT]],Lista_CUIT[#All],2,0)),"CUIT NO CARGADO")</f>
        <v>QUETZAL QUIMICA S R L</v>
      </c>
      <c r="H99" s="46">
        <v>529975</v>
      </c>
      <c r="I99" s="246">
        <f>IF(compras_mes10[[#This Row],[NETO GRAVADO]]="","",compras_mes10[[#This Row],[NETO GRAVADO]]*0.21)</f>
        <v>111294.75</v>
      </c>
      <c r="J99" s="85"/>
      <c r="K99" s="85"/>
      <c r="L99" s="85"/>
      <c r="M99" s="85"/>
      <c r="N99" s="85"/>
      <c r="O99" s="85"/>
      <c r="P99" s="247">
        <f>SUM(compras_mes10[[#This Row],[NETO GRAVADO]:[Otros / No Grav.]])</f>
        <v>641269.75</v>
      </c>
      <c r="Q99" s="248">
        <f>IFERROR(IF(compras_mes10[[#This Row],[CUIT]]="","-",VLOOKUP(compras_mes10[[#This Row],[CUIT]],Lista_CUIT[#All],3,0)),"CUIT NO CARGADO")</f>
        <v>0</v>
      </c>
      <c r="R99" s="248">
        <f>IFERROR(IF(compras_mes10[[#This Row],[CUIT]]="","-",VLOOKUP(compras_mes10[[#This Row],[CUIT]],Lista_CUIT[#All],4,0)),"CUIT NO CARGADO")</f>
        <v>0</v>
      </c>
    </row>
    <row r="100" spans="1:18" x14ac:dyDescent="0.3">
      <c r="A100" s="128"/>
      <c r="B100" s="240">
        <v>45216</v>
      </c>
      <c r="C100" s="241">
        <v>1</v>
      </c>
      <c r="D100" s="242">
        <v>6</v>
      </c>
      <c r="E100" s="243">
        <v>2834</v>
      </c>
      <c r="F100" s="244">
        <v>30574603788</v>
      </c>
      <c r="G100" s="245" t="str">
        <f>IFERROR(IF(compras_mes10[[#This Row],[CUIT]]="","-",VLOOKUP(compras_mes10[[#This Row],[CUIT]],Lista_CUIT[#All],2,0)),"CUIT NO CARGADO")</f>
        <v>CODAC SRL</v>
      </c>
      <c r="H100" s="46">
        <v>1671285</v>
      </c>
      <c r="I100" s="246">
        <f>IF(compras_mes10[[#This Row],[NETO GRAVADO]]="","",compras_mes10[[#This Row],[NETO GRAVADO]]*0.21)</f>
        <v>350969.85</v>
      </c>
      <c r="J100" s="85"/>
      <c r="K100" s="85"/>
      <c r="L100" s="85"/>
      <c r="M100" s="85"/>
      <c r="N100" s="85"/>
      <c r="O100" s="85"/>
      <c r="P100" s="247">
        <f>SUM(compras_mes10[[#This Row],[NETO GRAVADO]:[Otros / No Grav.]])</f>
        <v>2022254.85</v>
      </c>
      <c r="Q100" s="248" t="str">
        <f>IFERROR(IF(compras_mes10[[#This Row],[CUIT]]="","-",VLOOKUP(compras_mes10[[#This Row],[CUIT]],Lista_CUIT[#All],3,0)),"CUIT NO CARGADO")</f>
        <v>GASTOS COSMETICA</v>
      </c>
      <c r="R100" s="248" t="str">
        <f>IFERROR(IF(compras_mes10[[#This Row],[CUIT]]="","-",VLOOKUP(compras_mes10[[#This Row],[CUIT]],Lista_CUIT[#All],4,0)),"CUIT NO CARGADO")</f>
        <v>BUENOS AIRES</v>
      </c>
    </row>
    <row r="101" spans="1:18" x14ac:dyDescent="0.3">
      <c r="A101" s="128"/>
      <c r="B101" s="240">
        <v>45216</v>
      </c>
      <c r="C101" s="241">
        <v>1</v>
      </c>
      <c r="D101" s="242">
        <v>6</v>
      </c>
      <c r="E101" s="243">
        <v>2835</v>
      </c>
      <c r="F101" s="244">
        <v>30574603788</v>
      </c>
      <c r="G101" s="245" t="str">
        <f>IFERROR(IF(compras_mes10[[#This Row],[CUIT]]="","-",VLOOKUP(compras_mes10[[#This Row],[CUIT]],Lista_CUIT[#All],2,0)),"CUIT NO CARGADO")</f>
        <v>CODAC SRL</v>
      </c>
      <c r="H101" s="46">
        <v>571010</v>
      </c>
      <c r="I101" s="246">
        <f>IF(compras_mes10[[#This Row],[NETO GRAVADO]]="","",compras_mes10[[#This Row],[NETO GRAVADO]]*0.21)</f>
        <v>119912.09999999999</v>
      </c>
      <c r="J101" s="85"/>
      <c r="K101" s="85"/>
      <c r="L101" s="85"/>
      <c r="M101" s="85"/>
      <c r="N101" s="85"/>
      <c r="O101" s="85"/>
      <c r="P101" s="247">
        <f>SUM(compras_mes10[[#This Row],[NETO GRAVADO]:[Otros / No Grav.]])</f>
        <v>690922.1</v>
      </c>
      <c r="Q101" s="248" t="str">
        <f>IFERROR(IF(compras_mes10[[#This Row],[CUIT]]="","-",VLOOKUP(compras_mes10[[#This Row],[CUIT]],Lista_CUIT[#All],3,0)),"CUIT NO CARGADO")</f>
        <v>GASTOS COSMETICA</v>
      </c>
      <c r="R101" s="248" t="str">
        <f>IFERROR(IF(compras_mes10[[#This Row],[CUIT]]="","-",VLOOKUP(compras_mes10[[#This Row],[CUIT]],Lista_CUIT[#All],4,0)),"CUIT NO CARGADO")</f>
        <v>BUENOS AIRES</v>
      </c>
    </row>
    <row r="102" spans="1:18" x14ac:dyDescent="0.3">
      <c r="A102" s="128"/>
      <c r="B102" s="240">
        <v>45216</v>
      </c>
      <c r="C102" s="241">
        <v>1</v>
      </c>
      <c r="D102" s="242">
        <v>4</v>
      </c>
      <c r="E102" s="243">
        <v>44078</v>
      </c>
      <c r="F102" s="244">
        <v>30709863076</v>
      </c>
      <c r="G102" s="245" t="str">
        <f>IFERROR(IF(compras_mes10[[#This Row],[CUIT]]="","-",VLOOKUP(compras_mes10[[#This Row],[CUIT]],Lista_CUIT[#All],2,0)),"CUIT NO CARGADO")</f>
        <v>INDUSTRIAS PLASTICOS SALTA S.R.L.</v>
      </c>
      <c r="H102" s="46">
        <v>1012581</v>
      </c>
      <c r="I102" s="246">
        <f>IF(compras_mes10[[#This Row],[NETO GRAVADO]]="","",compras_mes10[[#This Row],[NETO GRAVADO]]*0.21)</f>
        <v>212642.00999999998</v>
      </c>
      <c r="J102" s="85"/>
      <c r="K102" s="85"/>
      <c r="L102" s="85"/>
      <c r="M102" s="85"/>
      <c r="N102" s="85"/>
      <c r="O102" s="85"/>
      <c r="P102" s="247">
        <f>SUM(compras_mes10[[#This Row],[NETO GRAVADO]:[Otros / No Grav.]])</f>
        <v>1225223.01</v>
      </c>
      <c r="Q102" s="248">
        <f>IFERROR(IF(compras_mes10[[#This Row],[CUIT]]="","-",VLOOKUP(compras_mes10[[#This Row],[CUIT]],Lista_CUIT[#All],3,0)),"CUIT NO CARGADO")</f>
        <v>0</v>
      </c>
      <c r="R102" s="248">
        <f>IFERROR(IF(compras_mes10[[#This Row],[CUIT]]="","-",VLOOKUP(compras_mes10[[#This Row],[CUIT]],Lista_CUIT[#All],4,0)),"CUIT NO CARGADO")</f>
        <v>0</v>
      </c>
    </row>
    <row r="103" spans="1:18" x14ac:dyDescent="0.3">
      <c r="A103" s="128"/>
      <c r="B103" s="538">
        <v>45216</v>
      </c>
      <c r="C103" s="539">
        <v>1</v>
      </c>
      <c r="D103" s="540">
        <v>629</v>
      </c>
      <c r="E103" s="541">
        <v>4579186</v>
      </c>
      <c r="F103" s="542">
        <v>30663498513</v>
      </c>
      <c r="G103" s="543" t="str">
        <f>IFERROR(IF(compras_mes10[[#This Row],[CUIT]]="","-",VLOOKUP(compras_mes10[[#This Row],[CUIT]],Lista_CUIT[#All],2,0)),"CUIT NO CARGADO")</f>
        <v>GRUPO CONCES. DEL OESTE SA</v>
      </c>
      <c r="H103" s="548">
        <v>4214.93</v>
      </c>
      <c r="I103" s="545">
        <f>IF(compras_mes10[[#This Row],[NETO GRAVADO]]="","",compras_mes10[[#This Row],[NETO GRAVADO]]*0.21)</f>
        <v>885.13530000000003</v>
      </c>
      <c r="J103" s="528"/>
      <c r="K103" s="528"/>
      <c r="L103" s="528"/>
      <c r="M103" s="528"/>
      <c r="N103" s="528"/>
      <c r="O103" s="528"/>
      <c r="P103" s="546">
        <f>SUM(compras_mes10[[#This Row],[NETO GRAVADO]:[Otros / No Grav.]])</f>
        <v>5100.0653000000002</v>
      </c>
      <c r="Q103" s="547">
        <f>IFERROR(IF(compras_mes10[[#This Row],[CUIT]]="","-",VLOOKUP(compras_mes10[[#This Row],[CUIT]],Lista_CUIT[#All],3,0)),"CUIT NO CARGADO")</f>
        <v>0</v>
      </c>
      <c r="R103" s="547">
        <f>IFERROR(IF(compras_mes10[[#This Row],[CUIT]]="","-",VLOOKUP(compras_mes10[[#This Row],[CUIT]],Lista_CUIT[#All],4,0)),"CUIT NO CARGADO")</f>
        <v>0</v>
      </c>
    </row>
    <row r="104" spans="1:18" x14ac:dyDescent="0.3">
      <c r="A104" s="128"/>
      <c r="B104" s="538">
        <v>45216</v>
      </c>
      <c r="C104" s="539">
        <v>1</v>
      </c>
      <c r="D104" s="540">
        <v>711</v>
      </c>
      <c r="E104" s="541">
        <v>4890857</v>
      </c>
      <c r="F104" s="542">
        <v>30677237119</v>
      </c>
      <c r="G104" s="543" t="str">
        <f>IFERROR(IF(compras_mes10[[#This Row],[CUIT]]="","-",VLOOKUP(compras_mes10[[#This Row],[CUIT]],Lista_CUIT[#All],2,0)),"CUIT NO CARGADO")</f>
        <v>AUTOPISTAS DEL SOL S A</v>
      </c>
      <c r="H104" s="548">
        <v>2727.31</v>
      </c>
      <c r="I104" s="545">
        <f>IF(compras_mes10[[#This Row],[NETO GRAVADO]]="","",compras_mes10[[#This Row],[NETO GRAVADO]]*0.21)</f>
        <v>572.73509999999999</v>
      </c>
      <c r="J104" s="528"/>
      <c r="K104" s="528"/>
      <c r="L104" s="528"/>
      <c r="M104" s="528"/>
      <c r="N104" s="528"/>
      <c r="O104" s="528">
        <v>81.819999999999993</v>
      </c>
      <c r="P104" s="546">
        <f>SUM(compras_mes10[[#This Row],[NETO GRAVADO]:[Otros / No Grav.]])</f>
        <v>3381.8651</v>
      </c>
      <c r="Q104" s="547">
        <f>IFERROR(IF(compras_mes10[[#This Row],[CUIT]]="","-",VLOOKUP(compras_mes10[[#This Row],[CUIT]],Lista_CUIT[#All],3,0)),"CUIT NO CARGADO")</f>
        <v>0</v>
      </c>
      <c r="R104" s="547">
        <f>IFERROR(IF(compras_mes10[[#This Row],[CUIT]]="","-",VLOOKUP(compras_mes10[[#This Row],[CUIT]],Lista_CUIT[#All],4,0)),"CUIT NO CARGADO")</f>
        <v>0</v>
      </c>
    </row>
    <row r="105" spans="1:18" x14ac:dyDescent="0.3">
      <c r="A105" s="128"/>
      <c r="B105" s="240">
        <v>45216</v>
      </c>
      <c r="C105" s="241">
        <v>1</v>
      </c>
      <c r="D105" s="242">
        <v>3</v>
      </c>
      <c r="E105" s="243">
        <v>6648</v>
      </c>
      <c r="F105" s="244">
        <v>30708006420</v>
      </c>
      <c r="G105" s="94" t="str">
        <f>IFERROR(IF(compras_mes10[[#This Row],[CUIT]]="","-",VLOOKUP(compras_mes10[[#This Row],[CUIT]],Lista_CUIT[#All],2,0)),"CUIT NO CARGADO")</f>
        <v>MEDILEA S.A.</v>
      </c>
      <c r="H105" s="95">
        <v>3376900</v>
      </c>
      <c r="I105" s="246">
        <f>IF(compras_mes10[[#This Row],[NETO GRAVADO]]="","",compras_mes10[[#This Row],[NETO GRAVADO]]*0.21)</f>
        <v>709149</v>
      </c>
      <c r="J105" s="85"/>
      <c r="K105" s="85"/>
      <c r="L105" s="85"/>
      <c r="M105" s="85"/>
      <c r="N105" s="85"/>
      <c r="O105" s="85"/>
      <c r="P105" s="87">
        <f>SUM(compras_mes10[[#This Row],[NETO GRAVADO]:[Otros / No Grav.]])</f>
        <v>4086049</v>
      </c>
      <c r="Q105" s="88">
        <f>IFERROR(IF(compras_mes10[[#This Row],[CUIT]]="","-",VLOOKUP(compras_mes10[[#This Row],[CUIT]],Lista_CUIT[#All],3,0)),"CUIT NO CARGADO")</f>
        <v>0</v>
      </c>
      <c r="R105" s="88">
        <f>IFERROR(IF(compras_mes10[[#This Row],[CUIT]]="","-",VLOOKUP(compras_mes10[[#This Row],[CUIT]],Lista_CUIT[#All],4,0)),"CUIT NO CARGADO")</f>
        <v>0</v>
      </c>
    </row>
    <row r="106" spans="1:18" x14ac:dyDescent="0.3">
      <c r="A106" s="128"/>
      <c r="B106" s="538">
        <v>45217</v>
      </c>
      <c r="C106" s="539">
        <v>1</v>
      </c>
      <c r="D106" s="540">
        <v>6978</v>
      </c>
      <c r="E106" s="541">
        <v>17515</v>
      </c>
      <c r="F106" s="542">
        <v>30678774495</v>
      </c>
      <c r="G106" s="543" t="str">
        <f>IFERROR(IF(compras_mes10[[#This Row],[CUIT]]="","-",VLOOKUP(compras_mes10[[#This Row],[CUIT]],Lista_CUIT[#All],2,0)),"CUIT NO CARGADO")</f>
        <v>OPER. DE EST. DE SERV. SA</v>
      </c>
      <c r="H106" s="548">
        <v>8871.7800000000007</v>
      </c>
      <c r="I106" s="545">
        <f>IF(compras_mes10[[#This Row],[NETO GRAVADO]]="","",compras_mes10[[#This Row],[NETO GRAVADO]]*0.21)</f>
        <v>1863.0738000000001</v>
      </c>
      <c r="J106" s="528"/>
      <c r="K106" s="528"/>
      <c r="L106" s="528"/>
      <c r="M106" s="528">
        <v>604.84</v>
      </c>
      <c r="N106" s="528"/>
      <c r="O106" s="528">
        <v>1208.8599999999999</v>
      </c>
      <c r="P106" s="546">
        <f>SUM(compras_mes10[[#This Row],[NETO GRAVADO]:[Otros / No Grav.]])</f>
        <v>12548.553800000002</v>
      </c>
      <c r="Q106" s="547" t="str">
        <f>IFERROR(IF(compras_mes10[[#This Row],[CUIT]]="","-",VLOOKUP(compras_mes10[[#This Row],[CUIT]],Lista_CUIT[#All],3,0)),"CUIT NO CARGADO")</f>
        <v>Combustibe</v>
      </c>
      <c r="R106" s="547">
        <f>IFERROR(IF(compras_mes10[[#This Row],[CUIT]]="","-",VLOOKUP(compras_mes10[[#This Row],[CUIT]],Lista_CUIT[#All],4,0)),"CUIT NO CARGADO")</f>
        <v>0</v>
      </c>
    </row>
    <row r="107" spans="1:18" x14ac:dyDescent="0.3">
      <c r="A107" s="128"/>
      <c r="B107" s="240">
        <v>45217</v>
      </c>
      <c r="C107" s="241">
        <v>1</v>
      </c>
      <c r="D107" s="242">
        <v>5</v>
      </c>
      <c r="E107" s="243">
        <v>376</v>
      </c>
      <c r="F107" s="244">
        <v>30643993089</v>
      </c>
      <c r="G107" s="245" t="str">
        <f>IFERROR(IF(compras_mes10[[#This Row],[CUIT]]="","-",VLOOKUP(compras_mes10[[#This Row],[CUIT]],Lista_CUIT[#All],2,0)),"CUIT NO CARGADO")</f>
        <v>CORNEALENT PANAMERICANA SA</v>
      </c>
      <c r="H107" s="46">
        <v>24793.39</v>
      </c>
      <c r="I107" s="246">
        <f>IF(compras_mes10[[#This Row],[NETO GRAVADO]]="","",compras_mes10[[#This Row],[NETO GRAVADO]]*0.21)</f>
        <v>5206.6118999999999</v>
      </c>
      <c r="J107" s="246"/>
      <c r="K107" s="246"/>
      <c r="L107" s="246"/>
      <c r="M107" s="246"/>
      <c r="N107" s="246"/>
      <c r="O107" s="246"/>
      <c r="P107" s="247">
        <f>SUM(compras_mes10[[#This Row],[NETO GRAVADO]:[Otros / No Grav.]])</f>
        <v>30000.001899999999</v>
      </c>
      <c r="Q107" s="248">
        <f>IFERROR(IF(compras_mes10[[#This Row],[CUIT]]="","-",VLOOKUP(compras_mes10[[#This Row],[CUIT]],Lista_CUIT[#All],3,0)),"CUIT NO CARGADO")</f>
        <v>0</v>
      </c>
      <c r="R107" s="248">
        <f>IFERROR(IF(compras_mes10[[#This Row],[CUIT]]="","-",VLOOKUP(compras_mes10[[#This Row],[CUIT]],Lista_CUIT[#All],4,0)),"CUIT NO CARGADO")</f>
        <v>0</v>
      </c>
    </row>
    <row r="108" spans="1:18" x14ac:dyDescent="0.3">
      <c r="A108" s="128"/>
      <c r="B108" s="240">
        <v>45217</v>
      </c>
      <c r="C108" s="241">
        <v>1</v>
      </c>
      <c r="D108" s="242">
        <v>2</v>
      </c>
      <c r="E108" s="243">
        <v>6841</v>
      </c>
      <c r="F108" s="244">
        <v>33714677239</v>
      </c>
      <c r="G108" s="245" t="str">
        <f>IFERROR(IF(compras_mes10[[#This Row],[CUIT]]="","-",VLOOKUP(compras_mes10[[#This Row],[CUIT]],Lista_CUIT[#All],2,0)),"CUIT NO CARGADO")</f>
        <v xml:space="preserve">BOMBAS VAPORIZADORAS </v>
      </c>
      <c r="H108" s="46">
        <v>511700</v>
      </c>
      <c r="I108" s="246">
        <f>IF(compras_mes10[[#This Row],[NETO GRAVADO]]="","",compras_mes10[[#This Row],[NETO GRAVADO]]*0.21)</f>
        <v>107457</v>
      </c>
      <c r="J108" s="246"/>
      <c r="K108" s="246"/>
      <c r="L108" s="246"/>
      <c r="M108" s="246"/>
      <c r="N108" s="246"/>
      <c r="O108" s="246"/>
      <c r="P108" s="247">
        <f>SUM(compras_mes10[[#This Row],[NETO GRAVADO]:[Otros / No Grav.]])</f>
        <v>619157</v>
      </c>
      <c r="Q108" s="248" t="str">
        <f>IFERROR(IF(compras_mes10[[#This Row],[CUIT]]="","-",VLOOKUP(compras_mes10[[#This Row],[CUIT]],Lista_CUIT[#All],3,0)),"CUIT NO CARGADO")</f>
        <v>GASTOS VEHICULO</v>
      </c>
      <c r="R108" s="248">
        <f>IFERROR(IF(compras_mes10[[#This Row],[CUIT]]="","-",VLOOKUP(compras_mes10[[#This Row],[CUIT]],Lista_CUIT[#All],4,0)),"CUIT NO CARGADO")</f>
        <v>0</v>
      </c>
    </row>
    <row r="109" spans="1:18" x14ac:dyDescent="0.3">
      <c r="A109" s="128"/>
      <c r="B109" s="538">
        <v>45217</v>
      </c>
      <c r="C109" s="539">
        <v>1</v>
      </c>
      <c r="D109" s="540">
        <v>5</v>
      </c>
      <c r="E109" s="541">
        <v>377</v>
      </c>
      <c r="F109" s="542">
        <v>30643993089</v>
      </c>
      <c r="G109" s="543" t="str">
        <f>IFERROR(IF(compras_mes10[[#This Row],[CUIT]]="","-",VLOOKUP(compras_mes10[[#This Row],[CUIT]],Lista_CUIT[#All],2,0)),"CUIT NO CARGADO")</f>
        <v>CORNEALENT PANAMERICANA SA</v>
      </c>
      <c r="H109" s="548">
        <v>5619.83</v>
      </c>
      <c r="I109" s="545">
        <f>IF(compras_mes10[[#This Row],[NETO GRAVADO]]="","",compras_mes10[[#This Row],[NETO GRAVADO]]*0.21)</f>
        <v>1180.1642999999999</v>
      </c>
      <c r="J109" s="528"/>
      <c r="K109" s="528"/>
      <c r="L109" s="528"/>
      <c r="M109" s="528"/>
      <c r="N109" s="528"/>
      <c r="O109" s="528"/>
      <c r="P109" s="546">
        <f>SUM(compras_mes10[[#This Row],[NETO GRAVADO]:[Otros / No Grav.]])</f>
        <v>6799.9943000000003</v>
      </c>
      <c r="Q109" s="547">
        <f>IFERROR(IF(compras_mes10[[#This Row],[CUIT]]="","-",VLOOKUP(compras_mes10[[#This Row],[CUIT]],Lista_CUIT[#All],3,0)),"CUIT NO CARGADO")</f>
        <v>0</v>
      </c>
      <c r="R109" s="547">
        <f>IFERROR(IF(compras_mes10[[#This Row],[CUIT]]="","-",VLOOKUP(compras_mes10[[#This Row],[CUIT]],Lista_CUIT[#All],4,0)),"CUIT NO CARGADO")</f>
        <v>0</v>
      </c>
    </row>
    <row r="110" spans="1:18" x14ac:dyDescent="0.3">
      <c r="A110" s="128"/>
      <c r="B110" s="240">
        <v>45217</v>
      </c>
      <c r="C110" s="241">
        <v>1</v>
      </c>
      <c r="D110" s="242">
        <v>7</v>
      </c>
      <c r="E110" s="243">
        <v>20285</v>
      </c>
      <c r="F110" s="244">
        <v>30624066827</v>
      </c>
      <c r="G110" s="245" t="str">
        <f>IFERROR(IF(compras_mes10[[#This Row],[CUIT]]="","-",VLOOKUP(compras_mes10[[#This Row],[CUIT]],Lista_CUIT[#All],2,0)),"CUIT NO CARGADO")</f>
        <v>HECTOR HALABE Y OTROS</v>
      </c>
      <c r="H110" s="46">
        <v>37606.68</v>
      </c>
      <c r="I110" s="246">
        <f>IF(compras_mes10[[#This Row],[NETO GRAVADO]]="","",compras_mes10[[#This Row],[NETO GRAVADO]]*0.21)</f>
        <v>7897.4027999999998</v>
      </c>
      <c r="J110" s="246"/>
      <c r="K110" s="246"/>
      <c r="L110" s="246"/>
      <c r="M110" s="246"/>
      <c r="N110" s="246"/>
      <c r="O110" s="246"/>
      <c r="P110" s="247">
        <f>SUM(compras_mes10[[#This Row],[NETO GRAVADO]:[Otros / No Grav.]])</f>
        <v>45504.082800000004</v>
      </c>
      <c r="Q110" s="248">
        <f>IFERROR(IF(compras_mes10[[#This Row],[CUIT]]="","-",VLOOKUP(compras_mes10[[#This Row],[CUIT]],Lista_CUIT[#All],3,0)),"CUIT NO CARGADO")</f>
        <v>0</v>
      </c>
      <c r="R110" s="248">
        <f>IFERROR(IF(compras_mes10[[#This Row],[CUIT]]="","-",VLOOKUP(compras_mes10[[#This Row],[CUIT]],Lista_CUIT[#All],4,0)),"CUIT NO CARGADO")</f>
        <v>0</v>
      </c>
    </row>
    <row r="111" spans="1:18" x14ac:dyDescent="0.3">
      <c r="A111" s="128"/>
      <c r="B111" s="240">
        <v>45217</v>
      </c>
      <c r="C111" s="241">
        <v>1</v>
      </c>
      <c r="D111" s="242">
        <v>2188</v>
      </c>
      <c r="E111" s="243">
        <v>101962</v>
      </c>
      <c r="F111" s="244">
        <v>30548083156</v>
      </c>
      <c r="G111" s="45" t="str">
        <f>IFERROR(IF(compras_mes10[[#This Row],[CUIT]]="","-",VLOOKUP(compras_mes10[[#This Row],[CUIT]],Lista_CUIT[#All],2,0)),"CUIT NO CARGADO")</f>
        <v>COTO CENTRO INTEGRAL DE COMERCIALIZACION SOCIEDAD ANONIMA</v>
      </c>
      <c r="H111" s="46">
        <v>22538.57</v>
      </c>
      <c r="I111" s="246">
        <v>3829.18</v>
      </c>
      <c r="J111" s="85"/>
      <c r="K111" s="85">
        <v>291.45</v>
      </c>
      <c r="L111" s="85">
        <v>592.89</v>
      </c>
      <c r="M111" s="85"/>
      <c r="N111" s="85">
        <v>1007.84</v>
      </c>
      <c r="O111" s="85"/>
      <c r="P111" s="48">
        <f>SUM(compras_mes10[[#This Row],[NETO GRAVADO]:[Otros / No Grav.]])</f>
        <v>28259.93</v>
      </c>
      <c r="Q111" s="49" t="str">
        <f>IFERROR(IF(compras_mes10[[#This Row],[CUIT]]="","-",VLOOKUP(compras_mes10[[#This Row],[CUIT]],Lista_CUIT[#All],3,0)),"CUIT NO CARGADO")</f>
        <v>GASTOS COMERCIALES</v>
      </c>
      <c r="R111" s="49">
        <f>IFERROR(IF(compras_mes10[[#This Row],[CUIT]]="","-",VLOOKUP(compras_mes10[[#This Row],[CUIT]],Lista_CUIT[#All],4,0)),"CUIT NO CARGADO")</f>
        <v>0</v>
      </c>
    </row>
    <row r="112" spans="1:18" x14ac:dyDescent="0.3">
      <c r="A112" s="128"/>
      <c r="B112" s="538">
        <v>45217</v>
      </c>
      <c r="C112" s="539">
        <v>1</v>
      </c>
      <c r="D112" s="540">
        <v>5014</v>
      </c>
      <c r="E112" s="541">
        <v>506934</v>
      </c>
      <c r="F112" s="542">
        <v>30574876474</v>
      </c>
      <c r="G112" s="543" t="str">
        <f>IFERROR(IF(compras_mes10[[#This Row],[CUIT]]="","-",VLOOKUP(compras_mes10[[#This Row],[CUIT]],Lista_CUIT[#All],2,0)),"CUIT NO CARGADO")</f>
        <v>AUTOPISTAS URBANAS S A</v>
      </c>
      <c r="H112" s="548">
        <v>21372.78</v>
      </c>
      <c r="I112" s="545">
        <f>IF(compras_mes10[[#This Row],[NETO GRAVADO]]="","",compras_mes10[[#This Row],[NETO GRAVADO]]*0.21)</f>
        <v>4488.2837999999992</v>
      </c>
      <c r="J112" s="528"/>
      <c r="K112" s="528"/>
      <c r="L112" s="528"/>
      <c r="M112" s="528">
        <v>641.16999999999996</v>
      </c>
      <c r="N112" s="528"/>
      <c r="O112" s="528">
        <v>2137.2399999999998</v>
      </c>
      <c r="P112" s="546">
        <f>SUM(compras_mes10[[#This Row],[NETO GRAVADO]:[Otros / No Grav.]])</f>
        <v>28639.473799999992</v>
      </c>
      <c r="Q112" s="547">
        <f>IFERROR(IF(compras_mes10[[#This Row],[CUIT]]="","-",VLOOKUP(compras_mes10[[#This Row],[CUIT]],Lista_CUIT[#All],3,0)),"CUIT NO CARGADO")</f>
        <v>0</v>
      </c>
      <c r="R112" s="547">
        <f>IFERROR(IF(compras_mes10[[#This Row],[CUIT]]="","-",VLOOKUP(compras_mes10[[#This Row],[CUIT]],Lista_CUIT[#All],4,0)),"CUIT NO CARGADO")</f>
        <v>0</v>
      </c>
    </row>
    <row r="113" spans="1:18" x14ac:dyDescent="0.3">
      <c r="A113" s="128"/>
      <c r="B113" s="538">
        <v>45218</v>
      </c>
      <c r="C113" s="539">
        <v>1</v>
      </c>
      <c r="D113" s="540">
        <v>5</v>
      </c>
      <c r="E113" s="541">
        <v>29683</v>
      </c>
      <c r="F113" s="542">
        <v>30715060546</v>
      </c>
      <c r="G113" s="543" t="str">
        <f>IFERROR(IF(compras_mes10[[#This Row],[CUIT]]="","-",VLOOKUP(compras_mes10[[#This Row],[CUIT]],Lista_CUIT[#All],2,0)),"CUIT NO CARGADO")</f>
        <v>CENTRALFER SA</v>
      </c>
      <c r="H113" s="548">
        <v>1487.6</v>
      </c>
      <c r="I113" s="545">
        <f>IF(compras_mes10[[#This Row],[NETO GRAVADO]]="","",compras_mes10[[#This Row],[NETO GRAVADO]]*0.21)</f>
        <v>312.39599999999996</v>
      </c>
      <c r="J113" s="528"/>
      <c r="K113" s="528"/>
      <c r="L113" s="528"/>
      <c r="M113" s="528"/>
      <c r="N113" s="528"/>
      <c r="O113" s="528"/>
      <c r="P113" s="546">
        <f>SUM(compras_mes10[[#This Row],[NETO GRAVADO]:[Otros / No Grav.]])</f>
        <v>1799.9959999999999</v>
      </c>
      <c r="Q113" s="547">
        <f>IFERROR(IF(compras_mes10[[#This Row],[CUIT]]="","-",VLOOKUP(compras_mes10[[#This Row],[CUIT]],Lista_CUIT[#All],3,0)),"CUIT NO CARGADO")</f>
        <v>0</v>
      </c>
      <c r="R113" s="547">
        <f>IFERROR(IF(compras_mes10[[#This Row],[CUIT]]="","-",VLOOKUP(compras_mes10[[#This Row],[CUIT]],Lista_CUIT[#All],4,0)),"CUIT NO CARGADO")</f>
        <v>0</v>
      </c>
    </row>
    <row r="114" spans="1:18" x14ac:dyDescent="0.3">
      <c r="A114" s="128"/>
      <c r="B114" s="240">
        <v>45218</v>
      </c>
      <c r="C114" s="241">
        <v>1</v>
      </c>
      <c r="D114" s="242">
        <v>3331</v>
      </c>
      <c r="E114" s="243">
        <v>10379</v>
      </c>
      <c r="F114" s="244">
        <v>30526874249</v>
      </c>
      <c r="G114" s="245" t="str">
        <f>IFERROR(IF(compras_mes10[[#This Row],[CUIT]]="","-",VLOOKUP(compras_mes10[[#This Row],[CUIT]],Lista_CUIT[#All],2,0)),"CUIT NO CARGADO")</f>
        <v>FRAVEGA S A C I E I</v>
      </c>
      <c r="H114" s="46">
        <v>68428.100000000006</v>
      </c>
      <c r="I114" s="246">
        <f>IF(compras_mes10[[#This Row],[NETO GRAVADO]]="","",compras_mes10[[#This Row],[NETO GRAVADO]]*0.21)</f>
        <v>14369.901</v>
      </c>
      <c r="J114" s="85"/>
      <c r="K114" s="85"/>
      <c r="L114" s="85"/>
      <c r="M114" s="85"/>
      <c r="N114" s="85"/>
      <c r="O114" s="85"/>
      <c r="P114" s="247">
        <f>SUM(compras_mes10[[#This Row],[NETO GRAVADO]:[Otros / No Grav.]])</f>
        <v>82798.001000000004</v>
      </c>
      <c r="Q114" s="248">
        <f>IFERROR(IF(compras_mes10[[#This Row],[CUIT]]="","-",VLOOKUP(compras_mes10[[#This Row],[CUIT]],Lista_CUIT[#All],3,0)),"CUIT NO CARGADO")</f>
        <v>0</v>
      </c>
      <c r="R114" s="248">
        <f>IFERROR(IF(compras_mes10[[#This Row],[CUIT]]="","-",VLOOKUP(compras_mes10[[#This Row],[CUIT]],Lista_CUIT[#All],4,0)),"CUIT NO CARGADO")</f>
        <v>0</v>
      </c>
    </row>
    <row r="115" spans="1:18" x14ac:dyDescent="0.3">
      <c r="A115" s="128"/>
      <c r="B115" s="240">
        <v>45218</v>
      </c>
      <c r="C115" s="241">
        <v>1</v>
      </c>
      <c r="D115" s="242">
        <v>3</v>
      </c>
      <c r="E115" s="243">
        <v>62</v>
      </c>
      <c r="F115" s="244">
        <v>33715993509</v>
      </c>
      <c r="G115" s="245" t="str">
        <f>IFERROR(IF(compras_mes10[[#This Row],[CUIT]]="","-",VLOOKUP(compras_mes10[[#This Row],[CUIT]],Lista_CUIT[#All],2,0)),"CUIT NO CARGADO")</f>
        <v>+Q NATURAL S.A.</v>
      </c>
      <c r="H115" s="46">
        <v>2975.21</v>
      </c>
      <c r="I115" s="246">
        <f>IF(compras_mes10[[#This Row],[NETO GRAVADO]]="","",compras_mes10[[#This Row],[NETO GRAVADO]]*0.21)</f>
        <v>624.79409999999996</v>
      </c>
      <c r="J115" s="85"/>
      <c r="K115" s="85"/>
      <c r="L115" s="85"/>
      <c r="M115" s="85"/>
      <c r="N115" s="85"/>
      <c r="O115" s="85"/>
      <c r="P115" s="247">
        <f>SUM(compras_mes10[[#This Row],[NETO GRAVADO]:[Otros / No Grav.]])</f>
        <v>3600.0041000000001</v>
      </c>
      <c r="Q115" s="248">
        <f>IFERROR(IF(compras_mes10[[#This Row],[CUIT]]="","-",VLOOKUP(compras_mes10[[#This Row],[CUIT]],Lista_CUIT[#All],3,0)),"CUIT NO CARGADO")</f>
        <v>0</v>
      </c>
      <c r="R115" s="248">
        <f>IFERROR(IF(compras_mes10[[#This Row],[CUIT]]="","-",VLOOKUP(compras_mes10[[#This Row],[CUIT]],Lista_CUIT[#All],4,0)),"CUIT NO CARGADO")</f>
        <v>0</v>
      </c>
    </row>
    <row r="116" spans="1:18" x14ac:dyDescent="0.3">
      <c r="A116" s="128"/>
      <c r="B116" s="240">
        <v>45218</v>
      </c>
      <c r="C116" s="241">
        <v>1</v>
      </c>
      <c r="D116" s="242">
        <v>6862</v>
      </c>
      <c r="E116" s="243">
        <v>25183</v>
      </c>
      <c r="F116" s="244">
        <v>30678774495</v>
      </c>
      <c r="G116" s="245" t="str">
        <f>IFERROR(IF(compras_mes10[[#This Row],[CUIT]]="","-",VLOOKUP(compras_mes10[[#This Row],[CUIT]],Lista_CUIT[#All],2,0)),"CUIT NO CARGADO")</f>
        <v>OPER. DE EST. DE SERV. SA</v>
      </c>
      <c r="H116" s="46">
        <v>8590.27</v>
      </c>
      <c r="I116" s="246">
        <f>IF(compras_mes10[[#This Row],[NETO GRAVADO]]="","",compras_mes10[[#This Row],[NETO GRAVADO]]*0.21)</f>
        <v>1803.9567</v>
      </c>
      <c r="J116" s="85"/>
      <c r="K116" s="85"/>
      <c r="L116" s="85"/>
      <c r="M116" s="85"/>
      <c r="N116" s="85"/>
      <c r="O116" s="85">
        <v>1007.38</v>
      </c>
      <c r="P116" s="247">
        <f>SUM(compras_mes10[[#This Row],[NETO GRAVADO]:[Otros / No Grav.]])</f>
        <v>11401.6067</v>
      </c>
      <c r="Q116" s="248" t="str">
        <f>IFERROR(IF(compras_mes10[[#This Row],[CUIT]]="","-",VLOOKUP(compras_mes10[[#This Row],[CUIT]],Lista_CUIT[#All],3,0)),"CUIT NO CARGADO")</f>
        <v>Combustibe</v>
      </c>
      <c r="R116" s="248">
        <f>IFERROR(IF(compras_mes10[[#This Row],[CUIT]]="","-",VLOOKUP(compras_mes10[[#This Row],[CUIT]],Lista_CUIT[#All],4,0)),"CUIT NO CARGADO")</f>
        <v>0</v>
      </c>
    </row>
    <row r="117" spans="1:18" x14ac:dyDescent="0.3">
      <c r="A117" s="128"/>
      <c r="B117" s="538">
        <v>45218</v>
      </c>
      <c r="C117" s="539">
        <v>1</v>
      </c>
      <c r="D117" s="540">
        <v>113</v>
      </c>
      <c r="E117" s="541">
        <v>3359735</v>
      </c>
      <c r="F117" s="542">
        <v>30577207190</v>
      </c>
      <c r="G117" s="543" t="str">
        <f>IFERROR(IF(compras_mes10[[#This Row],[CUIT]]="","-",VLOOKUP(compras_mes10[[#This Row],[CUIT]],Lista_CUIT[#All],2,0)),"CUIT NO CARGADO")</f>
        <v>COORDINACION ECOLOGICA AREA METROPOLITANA SOCIEDAD DEL ESTADO</v>
      </c>
      <c r="H117" s="548">
        <v>2323.9699999999998</v>
      </c>
      <c r="I117" s="545">
        <f>IF(compras_mes10[[#This Row],[NETO GRAVADO]]="","",compras_mes10[[#This Row],[NETO GRAVADO]]*0.21)</f>
        <v>488.03369999999995</v>
      </c>
      <c r="J117" s="528"/>
      <c r="K117" s="528"/>
      <c r="L117" s="528">
        <v>69.72</v>
      </c>
      <c r="M117" s="528"/>
      <c r="N117" s="528"/>
      <c r="O117" s="528"/>
      <c r="P117" s="546">
        <f>SUM(compras_mes10[[#This Row],[NETO GRAVADO]:[Otros / No Grav.]])</f>
        <v>2881.7236999999996</v>
      </c>
      <c r="Q117" s="547">
        <f>IFERROR(IF(compras_mes10[[#This Row],[CUIT]]="","-",VLOOKUP(compras_mes10[[#This Row],[CUIT]],Lista_CUIT[#All],3,0)),"CUIT NO CARGADO")</f>
        <v>0</v>
      </c>
      <c r="R117" s="547">
        <f>IFERROR(IF(compras_mes10[[#This Row],[CUIT]]="","-",VLOOKUP(compras_mes10[[#This Row],[CUIT]],Lista_CUIT[#All],4,0)),"CUIT NO CARGADO")</f>
        <v>0</v>
      </c>
    </row>
    <row r="118" spans="1:18" x14ac:dyDescent="0.3">
      <c r="A118" s="128"/>
      <c r="B118" s="538">
        <v>45218</v>
      </c>
      <c r="C118" s="539">
        <v>1</v>
      </c>
      <c r="D118" s="540">
        <v>4</v>
      </c>
      <c r="E118" s="541">
        <v>3176</v>
      </c>
      <c r="F118" s="542">
        <v>27247017491</v>
      </c>
      <c r="G118" s="543" t="str">
        <f>IFERROR(IF(compras_mes10[[#This Row],[CUIT]]="","-",VLOOKUP(compras_mes10[[#This Row],[CUIT]],Lista_CUIT[#All],2,0)),"CUIT NO CARGADO")</f>
        <v>GONZALEZ PATRICIA NOEMI</v>
      </c>
      <c r="H118" s="548">
        <v>1570.24</v>
      </c>
      <c r="I118" s="545">
        <f>IF(compras_mes10[[#This Row],[NETO GRAVADO]]="","",compras_mes10[[#This Row],[NETO GRAVADO]]*0.21)</f>
        <v>329.75040000000001</v>
      </c>
      <c r="J118" s="528"/>
      <c r="K118" s="528"/>
      <c r="L118" s="528"/>
      <c r="M118" s="528"/>
      <c r="N118" s="528"/>
      <c r="O118" s="528"/>
      <c r="P118" s="546">
        <f>SUM(compras_mes10[[#This Row],[NETO GRAVADO]:[Otros / No Grav.]])</f>
        <v>1899.9904000000001</v>
      </c>
      <c r="Q118" s="547">
        <f>IFERROR(IF(compras_mes10[[#This Row],[CUIT]]="","-",VLOOKUP(compras_mes10[[#This Row],[CUIT]],Lista_CUIT[#All],3,0)),"CUIT NO CARGADO")</f>
        <v>0</v>
      </c>
      <c r="R118" s="547">
        <f>IFERROR(IF(compras_mes10[[#This Row],[CUIT]]="","-",VLOOKUP(compras_mes10[[#This Row],[CUIT]],Lista_CUIT[#All],4,0)),"CUIT NO CARGADO")</f>
        <v>0</v>
      </c>
    </row>
    <row r="119" spans="1:18" x14ac:dyDescent="0.3">
      <c r="A119" s="128"/>
      <c r="B119" s="240">
        <v>45218</v>
      </c>
      <c r="C119" s="241">
        <v>1</v>
      </c>
      <c r="D119" s="242">
        <v>2</v>
      </c>
      <c r="E119" s="243">
        <v>697</v>
      </c>
      <c r="F119" s="244">
        <v>20103069832</v>
      </c>
      <c r="G119" s="245" t="str">
        <f>IFERROR(IF(compras_mes10[[#This Row],[CUIT]]="","-",VLOOKUP(compras_mes10[[#This Row],[CUIT]],Lista_CUIT[#All],2,0)),"CUIT NO CARGADO")</f>
        <v>DE LUCA HECTOR RAFAEL FRANCI</v>
      </c>
      <c r="H119" s="46">
        <v>1302000</v>
      </c>
      <c r="I119" s="246">
        <f>IF(compras_mes10[[#This Row],[NETO GRAVADO]]="","",compras_mes10[[#This Row],[NETO GRAVADO]]*0.21)</f>
        <v>273420</v>
      </c>
      <c r="J119" s="85"/>
      <c r="K119" s="85"/>
      <c r="L119" s="85"/>
      <c r="M119" s="85"/>
      <c r="N119" s="85"/>
      <c r="O119" s="85"/>
      <c r="P119" s="247">
        <f>SUM(compras_mes10[[#This Row],[NETO GRAVADO]:[Otros / No Grav.]])</f>
        <v>1575420</v>
      </c>
      <c r="Q119" s="248">
        <f>IFERROR(IF(compras_mes10[[#This Row],[CUIT]]="","-",VLOOKUP(compras_mes10[[#This Row],[CUIT]],Lista_CUIT[#All],3,0)),"CUIT NO CARGADO")</f>
        <v>0</v>
      </c>
      <c r="R119" s="248">
        <f>IFERROR(IF(compras_mes10[[#This Row],[CUIT]]="","-",VLOOKUP(compras_mes10[[#This Row],[CUIT]],Lista_CUIT[#All],4,0)),"CUIT NO CARGADO")</f>
        <v>0</v>
      </c>
    </row>
    <row r="120" spans="1:18" x14ac:dyDescent="0.3">
      <c r="A120" s="128"/>
      <c r="B120" s="240">
        <v>45218</v>
      </c>
      <c r="C120" s="241">
        <v>1</v>
      </c>
      <c r="D120" s="242">
        <v>2</v>
      </c>
      <c r="E120" s="243">
        <v>2751</v>
      </c>
      <c r="F120" s="244">
        <v>20240305128</v>
      </c>
      <c r="G120" s="245" t="str">
        <f>IFERROR(IF(compras_mes10[[#This Row],[CUIT]]="","-",VLOOKUP(compras_mes10[[#This Row],[CUIT]],Lista_CUIT[#All],2,0)),"CUIT NO CARGADO")</f>
        <v>Abraldes Diego Roberto</v>
      </c>
      <c r="H120" s="46">
        <v>24200</v>
      </c>
      <c r="I120" s="246">
        <f>IF(compras_mes10[[#This Row],[NETO GRAVADO]]="","",compras_mes10[[#This Row],[NETO GRAVADO]]*0.21)</f>
        <v>5082</v>
      </c>
      <c r="J120" s="85"/>
      <c r="K120" s="85"/>
      <c r="L120" s="85"/>
      <c r="M120" s="85"/>
      <c r="N120" s="85"/>
      <c r="O120" s="85"/>
      <c r="P120" s="247">
        <f>SUM(compras_mes10[[#This Row],[NETO GRAVADO]:[Otros / No Grav.]])</f>
        <v>29282</v>
      </c>
      <c r="Q120" s="248">
        <f>IFERROR(IF(compras_mes10[[#This Row],[CUIT]]="","-",VLOOKUP(compras_mes10[[#This Row],[CUIT]],Lista_CUIT[#All],3,0)),"CUIT NO CARGADO")</f>
        <v>0</v>
      </c>
      <c r="R120" s="248">
        <f>IFERROR(IF(compras_mes10[[#This Row],[CUIT]]="","-",VLOOKUP(compras_mes10[[#This Row],[CUIT]],Lista_CUIT[#All],4,0)),"CUIT NO CARGADO")</f>
        <v>0</v>
      </c>
    </row>
    <row r="121" spans="1:18" x14ac:dyDescent="0.3">
      <c r="A121" s="128"/>
      <c r="B121" s="240">
        <v>45219</v>
      </c>
      <c r="C121" s="241">
        <v>1</v>
      </c>
      <c r="D121" s="242">
        <v>13</v>
      </c>
      <c r="E121" s="243">
        <v>9988</v>
      </c>
      <c r="F121" s="244">
        <v>20172002448</v>
      </c>
      <c r="G121" s="245" t="str">
        <f>IFERROR(IF(compras_mes10[[#This Row],[CUIT]]="","-",VLOOKUP(compras_mes10[[#This Row],[CUIT]],Lista_CUIT[#All],2,0)),"CUIT NO CARGADO")</f>
        <v>ALVAREZ MIGUEL ANGEL</v>
      </c>
      <c r="H121" s="46">
        <v>14878.36</v>
      </c>
      <c r="I121" s="246">
        <f>IF(compras_mes10[[#This Row],[NETO GRAVADO]]="","",compras_mes10[[#This Row],[NETO GRAVADO]]*0.21)</f>
        <v>3124.4556000000002</v>
      </c>
      <c r="J121" s="85"/>
      <c r="K121" s="85"/>
      <c r="L121" s="85"/>
      <c r="M121" s="85"/>
      <c r="N121" s="85"/>
      <c r="O121" s="85"/>
      <c r="P121" s="247">
        <f>SUM(compras_mes10[[#This Row],[NETO GRAVADO]:[Otros / No Grav.]])</f>
        <v>18002.815600000002</v>
      </c>
      <c r="Q121" s="248">
        <f>IFERROR(IF(compras_mes10[[#This Row],[CUIT]]="","-",VLOOKUP(compras_mes10[[#This Row],[CUIT]],Lista_CUIT[#All],3,0)),"CUIT NO CARGADO")</f>
        <v>0</v>
      </c>
      <c r="R121" s="248">
        <f>IFERROR(IF(compras_mes10[[#This Row],[CUIT]]="","-",VLOOKUP(compras_mes10[[#This Row],[CUIT]],Lista_CUIT[#All],4,0)),"CUIT NO CARGADO")</f>
        <v>0</v>
      </c>
    </row>
    <row r="122" spans="1:18" x14ac:dyDescent="0.3">
      <c r="A122" s="128"/>
      <c r="B122" s="240">
        <v>45219</v>
      </c>
      <c r="C122" s="241">
        <v>1</v>
      </c>
      <c r="D122" s="242">
        <v>34</v>
      </c>
      <c r="E122" s="243">
        <v>1959</v>
      </c>
      <c r="F122" s="244">
        <v>20287430974</v>
      </c>
      <c r="G122" s="245" t="str">
        <f>IFERROR(IF(compras_mes10[[#This Row],[CUIT]]="","-",VLOOKUP(compras_mes10[[#This Row],[CUIT]],Lista_CUIT[#All],2,0)),"CUIT NO CARGADO")</f>
        <v>GOMEZ JOSE MARIA</v>
      </c>
      <c r="H122" s="46">
        <v>28264.46</v>
      </c>
      <c r="I122" s="246">
        <f>IF(compras_mes10[[#This Row],[NETO GRAVADO]]="","",compras_mes10[[#This Row],[NETO GRAVADO]]*0.21)</f>
        <v>5935.5365999999995</v>
      </c>
      <c r="J122" s="85"/>
      <c r="K122" s="85"/>
      <c r="L122" s="85"/>
      <c r="M122" s="85"/>
      <c r="N122" s="85"/>
      <c r="O122" s="85"/>
      <c r="P122" s="247">
        <f>SUM(compras_mes10[[#This Row],[NETO GRAVADO]:[Otros / No Grav.]])</f>
        <v>34199.996599999999</v>
      </c>
      <c r="Q122" s="248">
        <f>IFERROR(IF(compras_mes10[[#This Row],[CUIT]]="","-",VLOOKUP(compras_mes10[[#This Row],[CUIT]],Lista_CUIT[#All],3,0)),"CUIT NO CARGADO")</f>
        <v>0</v>
      </c>
      <c r="R122" s="248">
        <f>IFERROR(IF(compras_mes10[[#This Row],[CUIT]]="","-",VLOOKUP(compras_mes10[[#This Row],[CUIT]],Lista_CUIT[#All],4,0)),"CUIT NO CARGADO")</f>
        <v>0</v>
      </c>
    </row>
    <row r="123" spans="1:18" x14ac:dyDescent="0.3">
      <c r="A123" s="128"/>
      <c r="B123" s="240">
        <v>45219</v>
      </c>
      <c r="C123" s="241">
        <v>1</v>
      </c>
      <c r="D123" s="242">
        <v>2</v>
      </c>
      <c r="E123" s="243">
        <v>3476</v>
      </c>
      <c r="F123" s="244">
        <v>30629863571</v>
      </c>
      <c r="G123" s="245" t="str">
        <f>IFERROR(IF(compras_mes10[[#This Row],[CUIT]]="","-",VLOOKUP(compras_mes10[[#This Row],[CUIT]],Lista_CUIT[#All],2,0)),"CUIT NO CARGADO")</f>
        <v>TECNIMAR S R L</v>
      </c>
      <c r="H123" s="46">
        <v>377290</v>
      </c>
      <c r="I123" s="246">
        <f>IF(compras_mes10[[#This Row],[NETO GRAVADO]]="","",compras_mes10[[#This Row],[NETO GRAVADO]]*0.21)</f>
        <v>79230.899999999994</v>
      </c>
      <c r="J123" s="85"/>
      <c r="K123" s="85"/>
      <c r="L123" s="85"/>
      <c r="M123" s="85"/>
      <c r="N123" s="85"/>
      <c r="O123" s="85"/>
      <c r="P123" s="247">
        <f>SUM(compras_mes10[[#This Row],[NETO GRAVADO]:[Otros / No Grav.]])</f>
        <v>456520.9</v>
      </c>
      <c r="Q123" s="248" t="str">
        <f>IFERROR(IF(compras_mes10[[#This Row],[CUIT]]="","-",VLOOKUP(compras_mes10[[#This Row],[CUIT]],Lista_CUIT[#All],3,0)),"CUIT NO CARGADO")</f>
        <v>LABORATORIO</v>
      </c>
      <c r="R123" s="248">
        <f>IFERROR(IF(compras_mes10[[#This Row],[CUIT]]="","-",VLOOKUP(compras_mes10[[#This Row],[CUIT]],Lista_CUIT[#All],4,0)),"CUIT NO CARGADO")</f>
        <v>0</v>
      </c>
    </row>
    <row r="124" spans="1:18" x14ac:dyDescent="0.3">
      <c r="A124" s="128"/>
      <c r="B124" s="538">
        <v>45219</v>
      </c>
      <c r="C124" s="539">
        <v>3</v>
      </c>
      <c r="D124" s="540">
        <v>7</v>
      </c>
      <c r="E124" s="541">
        <v>29</v>
      </c>
      <c r="F124" s="542">
        <v>20263592167</v>
      </c>
      <c r="G124" s="543" t="str">
        <f>IFERROR(IF(compras_mes10[[#This Row],[CUIT]]="","-",VLOOKUP(compras_mes10[[#This Row],[CUIT]],Lista_CUIT[#All],2,0)),"CUIT NO CARGADO")</f>
        <v>ORTIZ SEBASTIAN GERARDO</v>
      </c>
      <c r="H124" s="548">
        <v>-5493.08</v>
      </c>
      <c r="I124" s="545">
        <f>IF(compras_mes10[[#This Row],[NETO GRAVADO]]="","",compras_mes10[[#This Row],[NETO GRAVADO]]*0.21)</f>
        <v>-1153.5467999999998</v>
      </c>
      <c r="J124" s="528"/>
      <c r="K124" s="528"/>
      <c r="L124" s="528"/>
      <c r="M124" s="528"/>
      <c r="N124" s="528"/>
      <c r="O124" s="528"/>
      <c r="P124" s="546">
        <f>SUM(compras_mes10[[#This Row],[NETO GRAVADO]:[Otros / No Grav.]])</f>
        <v>-6646.6268</v>
      </c>
      <c r="Q124" s="547">
        <f>IFERROR(IF(compras_mes10[[#This Row],[CUIT]]="","-",VLOOKUP(compras_mes10[[#This Row],[CUIT]],Lista_CUIT[#All],3,0)),"CUIT NO CARGADO")</f>
        <v>0</v>
      </c>
      <c r="R124" s="547">
        <f>IFERROR(IF(compras_mes10[[#This Row],[CUIT]]="","-",VLOOKUP(compras_mes10[[#This Row],[CUIT]],Lista_CUIT[#All],4,0)),"CUIT NO CARGADO")</f>
        <v>0</v>
      </c>
    </row>
    <row r="125" spans="1:18" x14ac:dyDescent="0.3">
      <c r="A125" s="128"/>
      <c r="B125" s="240">
        <v>45220</v>
      </c>
      <c r="C125" s="241">
        <v>1</v>
      </c>
      <c r="D125" s="242">
        <v>9</v>
      </c>
      <c r="E125" s="243">
        <v>313</v>
      </c>
      <c r="F125" s="244">
        <v>20134664518</v>
      </c>
      <c r="G125" s="245" t="str">
        <f>IFERROR(IF(compras_mes10[[#This Row],[CUIT]]="","-",VLOOKUP(compras_mes10[[#This Row],[CUIT]],Lista_CUIT[#All],2,0)),"CUIT NO CARGADO")</f>
        <v>HOKAMA SERGIO ENRIQUE</v>
      </c>
      <c r="H125" s="46">
        <v>19883.099999999999</v>
      </c>
      <c r="I125" s="246">
        <f>IF(compras_mes10[[#This Row],[NETO GRAVADO]]="","",compras_mes10[[#This Row],[NETO GRAVADO]]*0.21)</f>
        <v>4175.4509999999991</v>
      </c>
      <c r="J125" s="85"/>
      <c r="K125" s="85"/>
      <c r="L125" s="85"/>
      <c r="M125" s="85"/>
      <c r="N125" s="85"/>
      <c r="O125" s="85"/>
      <c r="P125" s="247">
        <f>SUM(compras_mes10[[#This Row],[NETO GRAVADO]:[Otros / No Grav.]])</f>
        <v>24058.550999999999</v>
      </c>
      <c r="Q125" s="248" t="str">
        <f>IFERROR(IF(compras_mes10[[#This Row],[CUIT]]="","-",VLOOKUP(compras_mes10[[#This Row],[CUIT]],Lista_CUIT[#All],3,0)),"CUIT NO CARGADO")</f>
        <v>Gastos Varios</v>
      </c>
      <c r="R125" s="248" t="str">
        <f>IFERROR(IF(compras_mes10[[#This Row],[CUIT]]="","-",VLOOKUP(compras_mes10[[#This Row],[CUIT]],Lista_CUIT[#All],4,0)),"CUIT NO CARGADO")</f>
        <v>BUENOS AIRES</v>
      </c>
    </row>
    <row r="126" spans="1:18" x14ac:dyDescent="0.3">
      <c r="A126" s="128"/>
      <c r="B126" s="240">
        <v>45220</v>
      </c>
      <c r="C126" s="241">
        <v>1</v>
      </c>
      <c r="D126" s="242">
        <v>4</v>
      </c>
      <c r="E126" s="243">
        <v>352</v>
      </c>
      <c r="F126" s="244">
        <v>23329455319</v>
      </c>
      <c r="G126" s="245" t="str">
        <f>IFERROR(IF(compras_mes10[[#This Row],[CUIT]]="","-",VLOOKUP(compras_mes10[[#This Row],[CUIT]],Lista_CUIT[#All],2,0)),"CUIT NO CARGADO")</f>
        <v>REPETTO RAMIRO ANDRES</v>
      </c>
      <c r="H126" s="46">
        <v>11322.31</v>
      </c>
      <c r="I126" s="246">
        <f>IF(compras_mes10[[#This Row],[NETO GRAVADO]]="","",compras_mes10[[#This Row],[NETO GRAVADO]]*0.21)</f>
        <v>2377.6850999999997</v>
      </c>
      <c r="J126" s="85"/>
      <c r="K126" s="85"/>
      <c r="L126" s="85"/>
      <c r="M126" s="85"/>
      <c r="N126" s="85"/>
      <c r="O126" s="85"/>
      <c r="P126" s="247">
        <f>SUM(compras_mes10[[#This Row],[NETO GRAVADO]:[Otros / No Grav.]])</f>
        <v>13699.9951</v>
      </c>
      <c r="Q126" s="248">
        <f>IFERROR(IF(compras_mes10[[#This Row],[CUIT]]="","-",VLOOKUP(compras_mes10[[#This Row],[CUIT]],Lista_CUIT[#All],3,0)),"CUIT NO CARGADO")</f>
        <v>0</v>
      </c>
      <c r="R126" s="248">
        <f>IFERROR(IF(compras_mes10[[#This Row],[CUIT]]="","-",VLOOKUP(compras_mes10[[#This Row],[CUIT]],Lista_CUIT[#All],4,0)),"CUIT NO CARGADO")</f>
        <v>0</v>
      </c>
    </row>
    <row r="127" spans="1:18" x14ac:dyDescent="0.3">
      <c r="A127" s="128"/>
      <c r="B127" s="240">
        <v>45220</v>
      </c>
      <c r="C127" s="241">
        <v>1</v>
      </c>
      <c r="D127" s="242">
        <v>12</v>
      </c>
      <c r="E127" s="243">
        <v>35449</v>
      </c>
      <c r="F127" s="244">
        <v>30696131003</v>
      </c>
      <c r="G127" s="245" t="str">
        <f>IFERROR(IF(compras_mes10[[#This Row],[CUIT]]="","-",VLOOKUP(compras_mes10[[#This Row],[CUIT]],Lista_CUIT[#All],2,0)),"CUIT NO CARGADO")</f>
        <v>Petrolfe S.A.</v>
      </c>
      <c r="H127" s="46">
        <v>38783.620000000003</v>
      </c>
      <c r="I127" s="246">
        <f>IF(compras_mes10[[#This Row],[NETO GRAVADO]]="","",compras_mes10[[#This Row],[NETO GRAVADO]]*0.21)</f>
        <v>8144.5601999999999</v>
      </c>
      <c r="J127" s="85"/>
      <c r="K127" s="85"/>
      <c r="L127" s="85"/>
      <c r="M127" s="85"/>
      <c r="N127" s="85"/>
      <c r="O127" s="85">
        <v>5284.61</v>
      </c>
      <c r="P127" s="247">
        <f>SUM(compras_mes10[[#This Row],[NETO GRAVADO]:[Otros / No Grav.]])</f>
        <v>52212.790200000003</v>
      </c>
      <c r="Q127" s="248" t="str">
        <f>IFERROR(IF(compras_mes10[[#This Row],[CUIT]]="","-",VLOOKUP(compras_mes10[[#This Row],[CUIT]],Lista_CUIT[#All],3,0)),"CUIT NO CARGADO")</f>
        <v>Combustible</v>
      </c>
      <c r="R127" s="248">
        <f>IFERROR(IF(compras_mes10[[#This Row],[CUIT]]="","-",VLOOKUP(compras_mes10[[#This Row],[CUIT]],Lista_CUIT[#All],4,0)),"CUIT NO CARGADO")</f>
        <v>0</v>
      </c>
    </row>
    <row r="128" spans="1:18" x14ac:dyDescent="0.3">
      <c r="A128" s="128"/>
      <c r="B128" s="538">
        <v>45220</v>
      </c>
      <c r="C128" s="539">
        <v>1</v>
      </c>
      <c r="D128" s="540">
        <v>13</v>
      </c>
      <c r="E128" s="541">
        <v>70290</v>
      </c>
      <c r="F128" s="542">
        <v>30707841105</v>
      </c>
      <c r="G128" s="543" t="str">
        <f>IFERROR(IF(compras_mes10[[#This Row],[CUIT]]="","-",VLOOKUP(compras_mes10[[#This Row],[CUIT]],Lista_CUIT[#All],2,0)),"CUIT NO CARGADO")</f>
        <v>PETRO ARG SRL</v>
      </c>
      <c r="H128" s="548">
        <v>7066</v>
      </c>
      <c r="I128" s="545">
        <f>IF(compras_mes10[[#This Row],[NETO GRAVADO]]="","",compras_mes10[[#This Row],[NETO GRAVADO]]*0.21)</f>
        <v>1483.86</v>
      </c>
      <c r="J128" s="528"/>
      <c r="K128" s="528"/>
      <c r="L128" s="528"/>
      <c r="M128" s="528"/>
      <c r="N128" s="528"/>
      <c r="O128" s="528">
        <v>855.19</v>
      </c>
      <c r="P128" s="546">
        <f>SUM(compras_mes10[[#This Row],[NETO GRAVADO]:[Otros / No Grav.]])</f>
        <v>9405.0500000000011</v>
      </c>
      <c r="Q128" s="547" t="str">
        <f>IFERROR(IF(compras_mes10[[#This Row],[CUIT]]="","-",VLOOKUP(compras_mes10[[#This Row],[CUIT]],Lista_CUIT[#All],3,0)),"CUIT NO CARGADO")</f>
        <v>Combustible</v>
      </c>
      <c r="R128" s="547">
        <f>IFERROR(IF(compras_mes10[[#This Row],[CUIT]]="","-",VLOOKUP(compras_mes10[[#This Row],[CUIT]],Lista_CUIT[#All],4,0)),"CUIT NO CARGADO")</f>
        <v>0</v>
      </c>
    </row>
    <row r="129" spans="1:18" x14ac:dyDescent="0.3">
      <c r="A129" s="128"/>
      <c r="B129" s="240">
        <v>45221</v>
      </c>
      <c r="C129" s="241">
        <v>1</v>
      </c>
      <c r="D129" s="242">
        <v>6852</v>
      </c>
      <c r="E129" s="243">
        <v>19831</v>
      </c>
      <c r="F129" s="244">
        <v>30678774495</v>
      </c>
      <c r="G129" s="245" t="str">
        <f>IFERROR(IF(compras_mes10[[#This Row],[CUIT]]="","-",VLOOKUP(compras_mes10[[#This Row],[CUIT]],Lista_CUIT[#All],2,0)),"CUIT NO CARGADO")</f>
        <v>OPER. DE EST. DE SERV. SA</v>
      </c>
      <c r="H129" s="46">
        <v>2246.31</v>
      </c>
      <c r="I129" s="246">
        <f>IF(compras_mes10[[#This Row],[NETO GRAVADO]]="","",compras_mes10[[#This Row],[NETO GRAVADO]]*0.21)</f>
        <v>471.7251</v>
      </c>
      <c r="J129" s="85"/>
      <c r="K129" s="85"/>
      <c r="L129" s="85"/>
      <c r="M129" s="85"/>
      <c r="N129" s="85"/>
      <c r="O129" s="85">
        <v>281.97000000000003</v>
      </c>
      <c r="P129" s="247">
        <f>SUM(compras_mes10[[#This Row],[NETO GRAVADO]:[Otros / No Grav.]])</f>
        <v>3000.0051000000003</v>
      </c>
      <c r="Q129" s="248" t="str">
        <f>IFERROR(IF(compras_mes10[[#This Row],[CUIT]]="","-",VLOOKUP(compras_mes10[[#This Row],[CUIT]],Lista_CUIT[#All],3,0)),"CUIT NO CARGADO")</f>
        <v>Combustibe</v>
      </c>
      <c r="R129" s="248">
        <f>IFERROR(IF(compras_mes10[[#This Row],[CUIT]]="","-",VLOOKUP(compras_mes10[[#This Row],[CUIT]],Lista_CUIT[#All],4,0)),"CUIT NO CARGADO")</f>
        <v>0</v>
      </c>
    </row>
    <row r="130" spans="1:18" x14ac:dyDescent="0.3">
      <c r="A130" s="128"/>
      <c r="B130" s="240">
        <v>45222</v>
      </c>
      <c r="C130" s="241">
        <v>1</v>
      </c>
      <c r="D130" s="242">
        <v>2188</v>
      </c>
      <c r="E130" s="243">
        <v>102427</v>
      </c>
      <c r="F130" s="244">
        <v>30548083156</v>
      </c>
      <c r="G130" s="245" t="str">
        <f>IFERROR(IF(compras_mes10[[#This Row],[CUIT]]="","-",VLOOKUP(compras_mes10[[#This Row],[CUIT]],Lista_CUIT[#All],2,0)),"CUIT NO CARGADO")</f>
        <v>COTO CENTRO INTEGRAL DE COMERCIALIZACION SOCIEDAD ANONIMA</v>
      </c>
      <c r="H130" s="46">
        <v>6571.24</v>
      </c>
      <c r="I130" s="246">
        <v>1239.0899999999999</v>
      </c>
      <c r="J130" s="85"/>
      <c r="K130" s="85">
        <v>70.44</v>
      </c>
      <c r="L130" s="85">
        <v>177.01</v>
      </c>
      <c r="M130" s="85"/>
      <c r="N130" s="85">
        <v>394.27</v>
      </c>
      <c r="O130" s="85"/>
      <c r="P130" s="247">
        <f>SUM(compras_mes10[[#This Row],[NETO GRAVADO]:[Otros / No Grav.]])</f>
        <v>8452.0499999999993</v>
      </c>
      <c r="Q130" s="248" t="str">
        <f>IFERROR(IF(compras_mes10[[#This Row],[CUIT]]="","-",VLOOKUP(compras_mes10[[#This Row],[CUIT]],Lista_CUIT[#All],3,0)),"CUIT NO CARGADO")</f>
        <v>GASTOS COMERCIALES</v>
      </c>
      <c r="R130" s="248">
        <f>IFERROR(IF(compras_mes10[[#This Row],[CUIT]]="","-",VLOOKUP(compras_mes10[[#This Row],[CUIT]],Lista_CUIT[#All],4,0)),"CUIT NO CARGADO")</f>
        <v>0</v>
      </c>
    </row>
    <row r="131" spans="1:18" x14ac:dyDescent="0.3">
      <c r="A131" s="128"/>
      <c r="B131" s="538">
        <v>45222</v>
      </c>
      <c r="C131" s="539">
        <v>1</v>
      </c>
      <c r="D131" s="540">
        <v>6978</v>
      </c>
      <c r="E131" s="541">
        <v>17623</v>
      </c>
      <c r="F131" s="542">
        <v>30678774495</v>
      </c>
      <c r="G131" s="543" t="str">
        <f>IFERROR(IF(compras_mes10[[#This Row],[CUIT]]="","-",VLOOKUP(compras_mes10[[#This Row],[CUIT]],Lista_CUIT[#All],2,0)),"CUIT NO CARGADO")</f>
        <v>OPER. DE EST. DE SERV. SA</v>
      </c>
      <c r="H131" s="548">
        <v>7276.38</v>
      </c>
      <c r="I131" s="545">
        <f>IF(compras_mes10[[#This Row],[NETO GRAVADO]]="","",compras_mes10[[#This Row],[NETO GRAVADO]]*0.21)</f>
        <v>1528.0398</v>
      </c>
      <c r="J131" s="528"/>
      <c r="K131" s="528"/>
      <c r="L131" s="528"/>
      <c r="M131" s="528">
        <v>496.26</v>
      </c>
      <c r="N131" s="528"/>
      <c r="O131" s="528">
        <v>994.58</v>
      </c>
      <c r="P131" s="546">
        <f>SUM(compras_mes10[[#This Row],[NETO GRAVADO]:[Otros / No Grav.]])</f>
        <v>10295.2598</v>
      </c>
      <c r="Q131" s="547" t="str">
        <f>IFERROR(IF(compras_mes10[[#This Row],[CUIT]]="","-",VLOOKUP(compras_mes10[[#This Row],[CUIT]],Lista_CUIT[#All],3,0)),"CUIT NO CARGADO")</f>
        <v>Combustibe</v>
      </c>
      <c r="R131" s="547">
        <f>IFERROR(IF(compras_mes10[[#This Row],[CUIT]]="","-",VLOOKUP(compras_mes10[[#This Row],[CUIT]],Lista_CUIT[#All],4,0)),"CUIT NO CARGADO")</f>
        <v>0</v>
      </c>
    </row>
    <row r="132" spans="1:18" x14ac:dyDescent="0.3">
      <c r="B132" s="240">
        <v>45222</v>
      </c>
      <c r="C132" s="241">
        <v>1</v>
      </c>
      <c r="D132" s="242">
        <v>5</v>
      </c>
      <c r="E132" s="243">
        <v>6287</v>
      </c>
      <c r="F132" s="244">
        <v>30714381551</v>
      </c>
      <c r="G132" s="245" t="str">
        <f>IFERROR(IF(compras_mes10[[#This Row],[CUIT]]="","-",VLOOKUP(compras_mes10[[#This Row],[CUIT]],Lista_CUIT[#All],2,0)),"CUIT NO CARGADO")</f>
        <v>ECOEXIST S.R.L.</v>
      </c>
      <c r="H132" s="46">
        <v>998500</v>
      </c>
      <c r="I132" s="246">
        <f>IF(compras_mes10[[#This Row],[NETO GRAVADO]]="","",compras_mes10[[#This Row],[NETO GRAVADO]]*0.21)</f>
        <v>209685</v>
      </c>
      <c r="J132" s="85"/>
      <c r="K132" s="85"/>
      <c r="L132" s="85"/>
      <c r="M132" s="85"/>
      <c r="N132" s="85"/>
      <c r="O132" s="85"/>
      <c r="P132" s="247">
        <f>SUM(compras_mes10[[#This Row],[NETO GRAVADO]:[Otros / No Grav.]])</f>
        <v>1208185</v>
      </c>
      <c r="Q132" s="248">
        <f>IFERROR(IF(compras_mes10[[#This Row],[CUIT]]="","-",VLOOKUP(compras_mes10[[#This Row],[CUIT]],Lista_CUIT[#All],3,0)),"CUIT NO CARGADO")</f>
        <v>0</v>
      </c>
      <c r="R132" s="248">
        <f>IFERROR(IF(compras_mes10[[#This Row],[CUIT]]="","-",VLOOKUP(compras_mes10[[#This Row],[CUIT]],Lista_CUIT[#All],4,0)),"CUIT NO CARGADO")</f>
        <v>0</v>
      </c>
    </row>
    <row r="133" spans="1:18" x14ac:dyDescent="0.3">
      <c r="B133" s="240">
        <v>45222</v>
      </c>
      <c r="C133" s="241">
        <v>1</v>
      </c>
      <c r="D133" s="242">
        <v>1</v>
      </c>
      <c r="E133" s="243">
        <v>136</v>
      </c>
      <c r="F133" s="244">
        <v>30717934020</v>
      </c>
      <c r="G133" s="245" t="str">
        <f>IFERROR(IF(compras_mes10[[#This Row],[CUIT]]="","-",VLOOKUP(compras_mes10[[#This Row],[CUIT]],Lista_CUIT[#All],2,0)),"CUIT NO CARGADO")</f>
        <v>MILOSCAN SRL</v>
      </c>
      <c r="H133" s="46">
        <v>243500</v>
      </c>
      <c r="I133" s="246">
        <f>IF(compras_mes10[[#This Row],[NETO GRAVADO]]="","",compras_mes10[[#This Row],[NETO GRAVADO]]*0.21)</f>
        <v>51135</v>
      </c>
      <c r="J133" s="85"/>
      <c r="K133" s="85"/>
      <c r="L133" s="85"/>
      <c r="M133" s="85"/>
      <c r="N133" s="85"/>
      <c r="O133" s="85"/>
      <c r="P133" s="247">
        <f>SUM(compras_mes10[[#This Row],[NETO GRAVADO]:[Otros / No Grav.]])</f>
        <v>294635</v>
      </c>
      <c r="Q133" s="248">
        <f>IFERROR(IF(compras_mes10[[#This Row],[CUIT]]="","-",VLOOKUP(compras_mes10[[#This Row],[CUIT]],Lista_CUIT[#All],3,0)),"CUIT NO CARGADO")</f>
        <v>0</v>
      </c>
      <c r="R133" s="248">
        <f>IFERROR(IF(compras_mes10[[#This Row],[CUIT]]="","-",VLOOKUP(compras_mes10[[#This Row],[CUIT]],Lista_CUIT[#All],4,0)),"CUIT NO CARGADO")</f>
        <v>0</v>
      </c>
    </row>
    <row r="134" spans="1:18" x14ac:dyDescent="0.3">
      <c r="B134" s="240">
        <v>45222</v>
      </c>
      <c r="C134" s="241">
        <v>1</v>
      </c>
      <c r="D134" s="242">
        <v>1</v>
      </c>
      <c r="E134" s="243">
        <v>816</v>
      </c>
      <c r="F134" s="244">
        <v>30716611821</v>
      </c>
      <c r="G134" s="245" t="str">
        <f>IFERROR(IF(compras_mes10[[#This Row],[CUIT]]="","-",VLOOKUP(compras_mes10[[#This Row],[CUIT]],Lista_CUIT[#All],2,0)),"CUIT NO CARGADO")</f>
        <v>ENTELANDO IDEAS S.R.L.</v>
      </c>
      <c r="H134" s="46">
        <v>140000</v>
      </c>
      <c r="I134" s="246">
        <f>IF(compras_mes10[[#This Row],[NETO GRAVADO]]="","",compras_mes10[[#This Row],[NETO GRAVADO]]*0.21)</f>
        <v>29400</v>
      </c>
      <c r="J134" s="85"/>
      <c r="K134" s="85"/>
      <c r="L134" s="85"/>
      <c r="M134" s="85"/>
      <c r="N134" s="85"/>
      <c r="O134" s="85"/>
      <c r="P134" s="247">
        <f>SUM(compras_mes10[[#This Row],[NETO GRAVADO]:[Otros / No Grav.]])</f>
        <v>169400</v>
      </c>
      <c r="Q134" s="248">
        <f>IFERROR(IF(compras_mes10[[#This Row],[CUIT]]="","-",VLOOKUP(compras_mes10[[#This Row],[CUIT]],Lista_CUIT[#All],3,0)),"CUIT NO CARGADO")</f>
        <v>0</v>
      </c>
      <c r="R134" s="248">
        <f>IFERROR(IF(compras_mes10[[#This Row],[CUIT]]="","-",VLOOKUP(compras_mes10[[#This Row],[CUIT]],Lista_CUIT[#All],4,0)),"CUIT NO CARGADO")</f>
        <v>0</v>
      </c>
    </row>
    <row r="135" spans="1:18" x14ac:dyDescent="0.3">
      <c r="B135" s="240">
        <v>45222</v>
      </c>
      <c r="C135" s="241">
        <v>1</v>
      </c>
      <c r="D135" s="242">
        <v>2</v>
      </c>
      <c r="E135" s="243">
        <v>3477</v>
      </c>
      <c r="F135" s="244">
        <v>30629863571</v>
      </c>
      <c r="G135" s="245" t="str">
        <f>IFERROR(IF(compras_mes10[[#This Row],[CUIT]]="","-",VLOOKUP(compras_mes10[[#This Row],[CUIT]],Lista_CUIT[#All],2,0)),"CUIT NO CARGADO")</f>
        <v>TECNIMAR S R L</v>
      </c>
      <c r="H135" s="46">
        <v>1149596</v>
      </c>
      <c r="I135" s="246">
        <f>IF(compras_mes10[[#This Row],[NETO GRAVADO]]="","",compras_mes10[[#This Row],[NETO GRAVADO]]*0.21)</f>
        <v>241415.16</v>
      </c>
      <c r="J135" s="246"/>
      <c r="K135" s="246"/>
      <c r="L135" s="246"/>
      <c r="M135" s="246"/>
      <c r="N135" s="246"/>
      <c r="O135" s="246"/>
      <c r="P135" s="247">
        <f>SUM(compras_mes10[[#This Row],[NETO GRAVADO]:[Otros / No Grav.]])</f>
        <v>1391011.16</v>
      </c>
      <c r="Q135" s="248" t="str">
        <f>IFERROR(IF(compras_mes10[[#This Row],[CUIT]]="","-",VLOOKUP(compras_mes10[[#This Row],[CUIT]],Lista_CUIT[#All],3,0)),"CUIT NO CARGADO")</f>
        <v>LABORATORIO</v>
      </c>
      <c r="R135" s="248">
        <f>IFERROR(IF(compras_mes10[[#This Row],[CUIT]]="","-",VLOOKUP(compras_mes10[[#This Row],[CUIT]],Lista_CUIT[#All],4,0)),"CUIT NO CARGADO")</f>
        <v>0</v>
      </c>
    </row>
    <row r="136" spans="1:18" x14ac:dyDescent="0.3">
      <c r="B136" s="240">
        <v>45222</v>
      </c>
      <c r="C136" s="241">
        <v>1</v>
      </c>
      <c r="D136" s="242">
        <v>12</v>
      </c>
      <c r="E136" s="243">
        <v>35540</v>
      </c>
      <c r="F136" s="244">
        <v>30696131003</v>
      </c>
      <c r="G136" s="245" t="str">
        <f>IFERROR(IF(compras_mes10[[#This Row],[CUIT]]="","-",VLOOKUP(compras_mes10[[#This Row],[CUIT]],Lista_CUIT[#All],2,0)),"CUIT NO CARGADO")</f>
        <v>Petrolfe S.A.</v>
      </c>
      <c r="H136" s="46">
        <v>1213.58</v>
      </c>
      <c r="I136" s="246">
        <f>IF(compras_mes10[[#This Row],[NETO GRAVADO]]="","",compras_mes10[[#This Row],[NETO GRAVADO]]*0.21)</f>
        <v>254.85179999999997</v>
      </c>
      <c r="J136" s="85"/>
      <c r="K136" s="85"/>
      <c r="L136" s="85"/>
      <c r="M136" s="85"/>
      <c r="N136" s="85"/>
      <c r="O136" s="85">
        <v>159.82</v>
      </c>
      <c r="P136" s="247">
        <f>SUM(compras_mes10[[#This Row],[NETO GRAVADO]:[Otros / No Grav.]])</f>
        <v>1628.2517999999998</v>
      </c>
      <c r="Q136" s="248" t="str">
        <f>IFERROR(IF(compras_mes10[[#This Row],[CUIT]]="","-",VLOOKUP(compras_mes10[[#This Row],[CUIT]],Lista_CUIT[#All],3,0)),"CUIT NO CARGADO")</f>
        <v>Combustible</v>
      </c>
      <c r="R136" s="248">
        <f>IFERROR(IF(compras_mes10[[#This Row],[CUIT]]="","-",VLOOKUP(compras_mes10[[#This Row],[CUIT]],Lista_CUIT[#All],4,0)),"CUIT NO CARGADO")</f>
        <v>0</v>
      </c>
    </row>
    <row r="137" spans="1:18" x14ac:dyDescent="0.3">
      <c r="B137" s="538">
        <v>45223</v>
      </c>
      <c r="C137" s="539">
        <v>1</v>
      </c>
      <c r="D137" s="540">
        <v>185</v>
      </c>
      <c r="E137" s="541">
        <v>5334</v>
      </c>
      <c r="F137" s="542">
        <v>30639057999</v>
      </c>
      <c r="G137" s="543" t="str">
        <f>IFERROR(IF(compras_mes10[[#This Row],[CUIT]]="","-",VLOOKUP(compras_mes10[[#This Row],[CUIT]],Lista_CUIT[#All],2,0)),"CUIT NO CARGADO")</f>
        <v>LA OPTICA S.A.</v>
      </c>
      <c r="H137" s="548">
        <v>0</v>
      </c>
      <c r="I137" s="545">
        <f>IF(compras_mes10[[#This Row],[NETO GRAVADO]]="","",compras_mes10[[#This Row],[NETO GRAVADO]]*0.21)</f>
        <v>0</v>
      </c>
      <c r="J137" s="528"/>
      <c r="K137" s="528"/>
      <c r="L137" s="528"/>
      <c r="M137" s="528"/>
      <c r="N137" s="528"/>
      <c r="O137" s="528">
        <v>8608.26</v>
      </c>
      <c r="P137" s="546">
        <f>SUM(compras_mes10[[#This Row],[NETO GRAVADO]:[Otros / No Grav.]])</f>
        <v>8608.26</v>
      </c>
      <c r="Q137" s="547">
        <f>IFERROR(IF(compras_mes10[[#This Row],[CUIT]]="","-",VLOOKUP(compras_mes10[[#This Row],[CUIT]],Lista_CUIT[#All],3,0)),"CUIT NO CARGADO")</f>
        <v>0</v>
      </c>
      <c r="R137" s="547">
        <f>IFERROR(IF(compras_mes10[[#This Row],[CUIT]]="","-",VLOOKUP(compras_mes10[[#This Row],[CUIT]],Lista_CUIT[#All],4,0)),"CUIT NO CARGADO")</f>
        <v>0</v>
      </c>
    </row>
    <row r="138" spans="1:18" x14ac:dyDescent="0.3">
      <c r="B138" s="240">
        <v>45223</v>
      </c>
      <c r="C138" s="241">
        <v>1</v>
      </c>
      <c r="D138" s="242">
        <v>4</v>
      </c>
      <c r="E138" s="243">
        <v>8376</v>
      </c>
      <c r="F138" s="244">
        <v>20328816807</v>
      </c>
      <c r="G138" s="245" t="str">
        <f>IFERROR(IF(compras_mes10[[#This Row],[CUIT]]="","-",VLOOKUP(compras_mes10[[#This Row],[CUIT]],Lista_CUIT[#All],2,0)),"CUIT NO CARGADO")</f>
        <v>LUPONE ALBANO SEBASTIAN</v>
      </c>
      <c r="H138" s="46">
        <v>47074.38</v>
      </c>
      <c r="I138" s="246">
        <f>IF(compras_mes10[[#This Row],[NETO GRAVADO]]="","",compras_mes10[[#This Row],[NETO GRAVADO]]*0.21)</f>
        <v>9885.6197999999986</v>
      </c>
      <c r="J138" s="85"/>
      <c r="K138" s="85"/>
      <c r="L138" s="85"/>
      <c r="M138" s="85"/>
      <c r="N138" s="85"/>
      <c r="O138" s="85"/>
      <c r="P138" s="247">
        <f>SUM(compras_mes10[[#This Row],[NETO GRAVADO]:[Otros / No Grav.]])</f>
        <v>56959.999799999998</v>
      </c>
      <c r="Q138" s="248">
        <f>IFERROR(IF(compras_mes10[[#This Row],[CUIT]]="","-",VLOOKUP(compras_mes10[[#This Row],[CUIT]],Lista_CUIT[#All],3,0)),"CUIT NO CARGADO")</f>
        <v>0</v>
      </c>
      <c r="R138" s="248">
        <f>IFERROR(IF(compras_mes10[[#This Row],[CUIT]]="","-",VLOOKUP(compras_mes10[[#This Row],[CUIT]],Lista_CUIT[#All],4,0)),"CUIT NO CARGADO")</f>
        <v>0</v>
      </c>
    </row>
    <row r="139" spans="1:18" x14ac:dyDescent="0.3">
      <c r="B139" s="240">
        <v>45223</v>
      </c>
      <c r="C139" s="241">
        <v>1</v>
      </c>
      <c r="D139" s="242">
        <v>2</v>
      </c>
      <c r="E139" s="243">
        <v>3480</v>
      </c>
      <c r="F139" s="244">
        <v>30629863571</v>
      </c>
      <c r="G139" s="245" t="str">
        <f>IFERROR(IF(compras_mes10[[#This Row],[CUIT]]="","-",VLOOKUP(compras_mes10[[#This Row],[CUIT]],Lista_CUIT[#All],2,0)),"CUIT NO CARGADO")</f>
        <v>TECNIMAR S R L</v>
      </c>
      <c r="H139" s="46">
        <v>867819</v>
      </c>
      <c r="I139" s="246">
        <f>IF(compras_mes10[[#This Row],[NETO GRAVADO]]="","",compras_mes10[[#This Row],[NETO GRAVADO]]*0.21)</f>
        <v>182241.99</v>
      </c>
      <c r="J139" s="85"/>
      <c r="K139" s="85"/>
      <c r="L139" s="85"/>
      <c r="M139" s="85"/>
      <c r="N139" s="85"/>
      <c r="O139" s="85"/>
      <c r="P139" s="247">
        <f>SUM(compras_mes10[[#This Row],[NETO GRAVADO]:[Otros / No Grav.]])</f>
        <v>1050060.99</v>
      </c>
      <c r="Q139" s="248" t="str">
        <f>IFERROR(IF(compras_mes10[[#This Row],[CUIT]]="","-",VLOOKUP(compras_mes10[[#This Row],[CUIT]],Lista_CUIT[#All],3,0)),"CUIT NO CARGADO")</f>
        <v>LABORATORIO</v>
      </c>
      <c r="R139" s="248">
        <f>IFERROR(IF(compras_mes10[[#This Row],[CUIT]]="","-",VLOOKUP(compras_mes10[[#This Row],[CUIT]],Lista_CUIT[#All],4,0)),"CUIT NO CARGADO")</f>
        <v>0</v>
      </c>
    </row>
    <row r="140" spans="1:18" x14ac:dyDescent="0.3">
      <c r="B140" s="240">
        <v>45223</v>
      </c>
      <c r="C140" s="241">
        <v>1</v>
      </c>
      <c r="D140" s="242">
        <v>6330</v>
      </c>
      <c r="E140" s="243">
        <v>273</v>
      </c>
      <c r="F140" s="244">
        <v>30638485733</v>
      </c>
      <c r="G140" s="245" t="str">
        <f>IFERROR(IF(compras_mes10[[#This Row],[CUIT]]="","-",VLOOKUP(compras_mes10[[#This Row],[CUIT]],Lista_CUIT[#All],2,0)),"CUIT NO CARGADO")</f>
        <v>DABRA SOCIEDAD ANONIMA</v>
      </c>
      <c r="H140" s="46">
        <v>26824.81</v>
      </c>
      <c r="I140" s="246">
        <f>IF(compras_mes10[[#This Row],[NETO GRAVADO]]="","",compras_mes10[[#This Row],[NETO GRAVADO]]*0.21)</f>
        <v>5633.2101000000002</v>
      </c>
      <c r="J140" s="85"/>
      <c r="K140" s="85"/>
      <c r="L140" s="85"/>
      <c r="M140" s="85">
        <v>1609.49</v>
      </c>
      <c r="N140" s="85"/>
      <c r="O140" s="85"/>
      <c r="P140" s="247">
        <f>SUM(compras_mes10[[#This Row],[NETO GRAVADO]:[Otros / No Grav.]])</f>
        <v>34067.5101</v>
      </c>
      <c r="Q140" s="248">
        <f>IFERROR(IF(compras_mes10[[#This Row],[CUIT]]="","-",VLOOKUP(compras_mes10[[#This Row],[CUIT]],Lista_CUIT[#All],3,0)),"CUIT NO CARGADO")</f>
        <v>0</v>
      </c>
      <c r="R140" s="248">
        <f>IFERROR(IF(compras_mes10[[#This Row],[CUIT]]="","-",VLOOKUP(compras_mes10[[#This Row],[CUIT]],Lista_CUIT[#All],4,0)),"CUIT NO CARGADO")</f>
        <v>0</v>
      </c>
    </row>
    <row r="141" spans="1:18" x14ac:dyDescent="0.3">
      <c r="B141" s="240">
        <v>45224</v>
      </c>
      <c r="C141" s="241">
        <v>1</v>
      </c>
      <c r="D141" s="242">
        <v>30</v>
      </c>
      <c r="E141" s="243">
        <v>10234</v>
      </c>
      <c r="F141" s="244">
        <v>23366871349</v>
      </c>
      <c r="G141" s="245" t="str">
        <f>IFERROR(IF(compras_mes10[[#This Row],[CUIT]]="","-",VLOOKUP(compras_mes10[[#This Row],[CUIT]],Lista_CUIT[#All],2,0)),"CUIT NO CARGADO")</f>
        <v>STENDEL JULIAN RODOLFO</v>
      </c>
      <c r="H141" s="46">
        <v>16105.79</v>
      </c>
      <c r="I141" s="246">
        <f>IF(compras_mes10[[#This Row],[NETO GRAVADO]]="","",compras_mes10[[#This Row],[NETO GRAVADO]]*0.21)</f>
        <v>3382.2159000000001</v>
      </c>
      <c r="J141" s="85"/>
      <c r="K141" s="85"/>
      <c r="L141" s="85"/>
      <c r="M141" s="85"/>
      <c r="N141" s="85"/>
      <c r="O141" s="85"/>
      <c r="P141" s="247">
        <f>SUM(compras_mes10[[#This Row],[NETO GRAVADO]:[Otros / No Grav.]])</f>
        <v>19488.0059</v>
      </c>
      <c r="Q141" s="248">
        <f>IFERROR(IF(compras_mes10[[#This Row],[CUIT]]="","-",VLOOKUP(compras_mes10[[#This Row],[CUIT]],Lista_CUIT[#All],3,0)),"CUIT NO CARGADO")</f>
        <v>0</v>
      </c>
      <c r="R141" s="248">
        <f>IFERROR(IF(compras_mes10[[#This Row],[CUIT]]="","-",VLOOKUP(compras_mes10[[#This Row],[CUIT]],Lista_CUIT[#All],4,0)),"CUIT NO CARGADO")</f>
        <v>0</v>
      </c>
    </row>
    <row r="142" spans="1:18" x14ac:dyDescent="0.3">
      <c r="B142" s="240">
        <v>45224</v>
      </c>
      <c r="C142" s="241">
        <v>1</v>
      </c>
      <c r="D142" s="242">
        <v>4</v>
      </c>
      <c r="E142" s="243">
        <v>44185</v>
      </c>
      <c r="F142" s="244">
        <v>30709863076</v>
      </c>
      <c r="G142" s="245" t="str">
        <f>IFERROR(IF(compras_mes10[[#This Row],[CUIT]]="","-",VLOOKUP(compras_mes10[[#This Row],[CUIT]],Lista_CUIT[#All],2,0)),"CUIT NO CARGADO")</f>
        <v>INDUSTRIAS PLASTICOS SALTA S.R.L.</v>
      </c>
      <c r="H142" s="46">
        <v>173160</v>
      </c>
      <c r="I142" s="246">
        <f>IF(compras_mes10[[#This Row],[NETO GRAVADO]]="","",compras_mes10[[#This Row],[NETO GRAVADO]]*0.21)</f>
        <v>36363.599999999999</v>
      </c>
      <c r="J142" s="85"/>
      <c r="K142" s="85"/>
      <c r="L142" s="85"/>
      <c r="M142" s="85"/>
      <c r="N142" s="85"/>
      <c r="O142" s="85"/>
      <c r="P142" s="247">
        <f>SUM(compras_mes10[[#This Row],[NETO GRAVADO]:[Otros / No Grav.]])</f>
        <v>209523.6</v>
      </c>
      <c r="Q142" s="248">
        <f>IFERROR(IF(compras_mes10[[#This Row],[CUIT]]="","-",VLOOKUP(compras_mes10[[#This Row],[CUIT]],Lista_CUIT[#All],3,0)),"CUIT NO CARGADO")</f>
        <v>0</v>
      </c>
      <c r="R142" s="248">
        <f>IFERROR(IF(compras_mes10[[#This Row],[CUIT]]="","-",VLOOKUP(compras_mes10[[#This Row],[CUIT]],Lista_CUIT[#All],4,0)),"CUIT NO CARGADO")</f>
        <v>0</v>
      </c>
    </row>
    <row r="143" spans="1:18" x14ac:dyDescent="0.3">
      <c r="A143" s="128"/>
      <c r="B143" s="538">
        <v>45224</v>
      </c>
      <c r="C143" s="539">
        <v>1</v>
      </c>
      <c r="D143" s="540">
        <v>19</v>
      </c>
      <c r="E143" s="541">
        <v>92945</v>
      </c>
      <c r="F143" s="542">
        <v>30506726669</v>
      </c>
      <c r="G143" s="543" t="str">
        <f>IFERROR(IF(compras_mes10[[#This Row],[CUIT]]="","-",VLOOKUP(compras_mes10[[#This Row],[CUIT]],Lista_CUIT[#All],2,0)),"CUIT NO CARGADO")</f>
        <v>MURCHISON S A ESTIBAJES Y CARGAS INDUSTRIAL Y COMERCIAL</v>
      </c>
      <c r="H143" s="548">
        <v>51200</v>
      </c>
      <c r="I143" s="545">
        <f>IF(compras_mes10[[#This Row],[NETO GRAVADO]]="","",compras_mes10[[#This Row],[NETO GRAVADO]]*0.21)</f>
        <v>10752</v>
      </c>
      <c r="J143" s="528"/>
      <c r="K143" s="528"/>
      <c r="L143" s="528"/>
      <c r="M143" s="528"/>
      <c r="N143" s="528">
        <v>4608</v>
      </c>
      <c r="O143" s="528"/>
      <c r="P143" s="546">
        <f>SUM(compras_mes10[[#This Row],[NETO GRAVADO]:[Otros / No Grav.]])</f>
        <v>66560</v>
      </c>
      <c r="Q143" s="547">
        <f>IFERROR(IF(compras_mes10[[#This Row],[CUIT]]="","-",VLOOKUP(compras_mes10[[#This Row],[CUIT]],Lista_CUIT[#All],3,0)),"CUIT NO CARGADO")</f>
        <v>0</v>
      </c>
      <c r="R143" s="547">
        <f>IFERROR(IF(compras_mes10[[#This Row],[CUIT]]="","-",VLOOKUP(compras_mes10[[#This Row],[CUIT]],Lista_CUIT[#All],4,0)),"CUIT NO CARGADO")</f>
        <v>0</v>
      </c>
    </row>
    <row r="144" spans="1:18" s="127" customFormat="1" x14ac:dyDescent="0.3">
      <c r="A144" s="128"/>
      <c r="B144" s="538">
        <v>45224</v>
      </c>
      <c r="C144" s="539">
        <v>1</v>
      </c>
      <c r="D144" s="540">
        <v>27</v>
      </c>
      <c r="E144" s="541">
        <v>52</v>
      </c>
      <c r="F144" s="542">
        <v>30715888951</v>
      </c>
      <c r="G144" s="552" t="str">
        <f>IFERROR(IF(compras_mes10[[#This Row],[CUIT]]="","-",VLOOKUP(compras_mes10[[#This Row],[CUIT]],Lista_CUIT[#All],2,0)),"CUIT NO CARGADO")</f>
        <v>MAKE YOU SRL</v>
      </c>
      <c r="H144" s="548">
        <v>9379.34</v>
      </c>
      <c r="I144" s="545">
        <f>IF(compras_mes10[[#This Row],[NETO GRAVADO]]="","",compras_mes10[[#This Row],[NETO GRAVADO]]*0.21)</f>
        <v>1969.6614</v>
      </c>
      <c r="J144" s="528"/>
      <c r="K144" s="528"/>
      <c r="L144" s="528"/>
      <c r="M144" s="528"/>
      <c r="N144" s="528"/>
      <c r="O144" s="528"/>
      <c r="P144" s="529">
        <f>SUM(compras_mes10[[#This Row],[NETO GRAVADO]:[Otros / No Grav.]])</f>
        <v>11349.001400000001</v>
      </c>
      <c r="Q144" s="553">
        <f>IFERROR(IF(compras_mes10[[#This Row],[CUIT]]="","-",VLOOKUP(compras_mes10[[#This Row],[CUIT]],Lista_CUIT[#All],3,0)),"CUIT NO CARGADO")</f>
        <v>0</v>
      </c>
      <c r="R144" s="553">
        <f>IFERROR(IF(compras_mes10[[#This Row],[CUIT]]="","-",VLOOKUP(compras_mes10[[#This Row],[CUIT]],Lista_CUIT[#All],4,0)),"CUIT NO CARGADO")</f>
        <v>0</v>
      </c>
    </row>
    <row r="145" spans="1:18" s="128" customFormat="1" x14ac:dyDescent="0.3">
      <c r="B145" s="240">
        <v>45224</v>
      </c>
      <c r="C145" s="241">
        <v>1</v>
      </c>
      <c r="D145" s="242">
        <v>2</v>
      </c>
      <c r="E145" s="243">
        <v>3481</v>
      </c>
      <c r="F145" s="244">
        <v>30629863571</v>
      </c>
      <c r="G145" s="245" t="str">
        <f>IFERROR(IF(compras_mes10[[#This Row],[CUIT]]="","-",VLOOKUP(compras_mes10[[#This Row],[CUIT]],Lista_CUIT[#All],2,0)),"CUIT NO CARGADO")</f>
        <v>TECNIMAR S R L</v>
      </c>
      <c r="H145" s="46">
        <v>985824</v>
      </c>
      <c r="I145" s="246">
        <f>IF(compras_mes10[[#This Row],[NETO GRAVADO]]="","",compras_mes10[[#This Row],[NETO GRAVADO]]*0.21)</f>
        <v>207023.03999999998</v>
      </c>
      <c r="J145" s="85"/>
      <c r="K145" s="85"/>
      <c r="L145" s="85"/>
      <c r="M145" s="85"/>
      <c r="N145" s="85"/>
      <c r="O145" s="85"/>
      <c r="P145" s="247">
        <f>SUM(compras_mes10[[#This Row],[NETO GRAVADO]:[Otros / No Grav.]])</f>
        <v>1192847.04</v>
      </c>
      <c r="Q145" s="248" t="str">
        <f>IFERROR(IF(compras_mes10[[#This Row],[CUIT]]="","-",VLOOKUP(compras_mes10[[#This Row],[CUIT]],Lista_CUIT[#All],3,0)),"CUIT NO CARGADO")</f>
        <v>LABORATORIO</v>
      </c>
      <c r="R145" s="248">
        <f>IFERROR(IF(compras_mes10[[#This Row],[CUIT]]="","-",VLOOKUP(compras_mes10[[#This Row],[CUIT]],Lista_CUIT[#All],4,0)),"CUIT NO CARGADO")</f>
        <v>0</v>
      </c>
    </row>
    <row r="146" spans="1:18" x14ac:dyDescent="0.3">
      <c r="A146" s="128"/>
      <c r="B146" s="240">
        <v>45225</v>
      </c>
      <c r="C146" s="241">
        <v>1</v>
      </c>
      <c r="D146" s="242">
        <v>6</v>
      </c>
      <c r="E146" s="243">
        <v>24101</v>
      </c>
      <c r="F146" s="244">
        <v>33640878679</v>
      </c>
      <c r="G146" s="245" t="str">
        <f>IFERROR(IF(compras_mes10[[#This Row],[CUIT]]="","-",VLOOKUP(compras_mes10[[#This Row],[CUIT]],Lista_CUIT[#All],2,0)),"CUIT NO CARGADO")</f>
        <v>DHACAM S R L</v>
      </c>
      <c r="H146" s="46">
        <v>255090</v>
      </c>
      <c r="I146" s="246">
        <f>IF(compras_mes10[[#This Row],[NETO GRAVADO]]="","",compras_mes10[[#This Row],[NETO GRAVADO]]*0.21)</f>
        <v>53568.9</v>
      </c>
      <c r="J146" s="246"/>
      <c r="K146" s="246"/>
      <c r="L146" s="246"/>
      <c r="M146" s="246"/>
      <c r="N146" s="246"/>
      <c r="O146" s="246"/>
      <c r="P146" s="247">
        <f>SUM(compras_mes10[[#This Row],[NETO GRAVADO]:[Otros / No Grav.]])</f>
        <v>308658.90000000002</v>
      </c>
      <c r="Q146" s="248">
        <f>IFERROR(IF(compras_mes10[[#This Row],[CUIT]]="","-",VLOOKUP(compras_mes10[[#This Row],[CUIT]],Lista_CUIT[#All],3,0)),"CUIT NO CARGADO")</f>
        <v>0</v>
      </c>
      <c r="R146" s="248">
        <f>IFERROR(IF(compras_mes10[[#This Row],[CUIT]]="","-",VLOOKUP(compras_mes10[[#This Row],[CUIT]],Lista_CUIT[#All],4,0)),"CUIT NO CARGADO")</f>
        <v>0</v>
      </c>
    </row>
    <row r="147" spans="1:18" s="127" customFormat="1" x14ac:dyDescent="0.3">
      <c r="A147" s="128"/>
      <c r="B147" s="538">
        <v>45225</v>
      </c>
      <c r="C147" s="539">
        <v>1</v>
      </c>
      <c r="D147" s="540">
        <v>24</v>
      </c>
      <c r="E147" s="541">
        <v>61024</v>
      </c>
      <c r="F147" s="542">
        <v>30707838260</v>
      </c>
      <c r="G147" s="543" t="str">
        <f>IFERROR(IF(compras_mes10[[#This Row],[CUIT]]="","-",VLOOKUP(compras_mes10[[#This Row],[CUIT]],Lista_CUIT[#All],2,0)),"CUIT NO CARGADO")</f>
        <v>EL INSUMO S.R.L.</v>
      </c>
      <c r="H147" s="544">
        <v>75991.740000000005</v>
      </c>
      <c r="I147" s="545">
        <f>IF(compras_mes10[[#This Row],[NETO GRAVADO]]="","",compras_mes10[[#This Row],[NETO GRAVADO]]*0.21)</f>
        <v>15958.2654</v>
      </c>
      <c r="J147" s="545"/>
      <c r="K147" s="545"/>
      <c r="L147" s="545"/>
      <c r="M147" s="545"/>
      <c r="N147" s="545">
        <v>4559.5</v>
      </c>
      <c r="O147" s="545"/>
      <c r="P147" s="546">
        <f>SUM(compras_mes10[[#This Row],[NETO GRAVADO]:[Otros / No Grav.]])</f>
        <v>96509.505400000009</v>
      </c>
      <c r="Q147" s="547">
        <f>IFERROR(IF(compras_mes10[[#This Row],[CUIT]]="","-",VLOOKUP(compras_mes10[[#This Row],[CUIT]],Lista_CUIT[#All],3,0)),"CUIT NO CARGADO")</f>
        <v>0</v>
      </c>
      <c r="R147" s="547">
        <f>IFERROR(IF(compras_mes10[[#This Row],[CUIT]]="","-",VLOOKUP(compras_mes10[[#This Row],[CUIT]],Lista_CUIT[#All],4,0)),"CUIT NO CARGADO")</f>
        <v>0</v>
      </c>
    </row>
    <row r="148" spans="1:18" x14ac:dyDescent="0.3">
      <c r="A148" s="128"/>
      <c r="B148" s="240">
        <v>45225</v>
      </c>
      <c r="C148" s="241">
        <v>1</v>
      </c>
      <c r="D148" s="242">
        <v>7</v>
      </c>
      <c r="E148" s="243">
        <v>1930</v>
      </c>
      <c r="F148" s="244">
        <v>20134664518</v>
      </c>
      <c r="G148" s="245" t="str">
        <f>IFERROR(IF(compras_mes10[[#This Row],[CUIT]]="","-",VLOOKUP(compras_mes10[[#This Row],[CUIT]],Lista_CUIT[#All],2,0)),"CUIT NO CARGADO")</f>
        <v>HOKAMA SERGIO ENRIQUE</v>
      </c>
      <c r="H148" s="554">
        <v>17789.12</v>
      </c>
      <c r="I148" s="246">
        <f>IF(compras_mes10[[#This Row],[NETO GRAVADO]]="","",compras_mes10[[#This Row],[NETO GRAVADO]]*0.21)</f>
        <v>3735.7151999999996</v>
      </c>
      <c r="J148" s="246"/>
      <c r="K148" s="246"/>
      <c r="L148" s="246"/>
      <c r="M148" s="246"/>
      <c r="N148" s="246"/>
      <c r="O148" s="246"/>
      <c r="P148" s="247">
        <f>SUM(compras_mes10[[#This Row],[NETO GRAVADO]:[Otros / No Grav.]])</f>
        <v>21524.835199999998</v>
      </c>
      <c r="Q148" s="248" t="str">
        <f>IFERROR(IF(compras_mes10[[#This Row],[CUIT]]="","-",VLOOKUP(compras_mes10[[#This Row],[CUIT]],Lista_CUIT[#All],3,0)),"CUIT NO CARGADO")</f>
        <v>Gastos Varios</v>
      </c>
      <c r="R148" s="248" t="str">
        <f>IFERROR(IF(compras_mes10[[#This Row],[CUIT]]="","-",VLOOKUP(compras_mes10[[#This Row],[CUIT]],Lista_CUIT[#All],4,0)),"CUIT NO CARGADO")</f>
        <v>BUENOS AIRES</v>
      </c>
    </row>
    <row r="149" spans="1:18" x14ac:dyDescent="0.3">
      <c r="A149" s="128"/>
      <c r="B149" s="240">
        <v>45225</v>
      </c>
      <c r="C149" s="241">
        <v>1</v>
      </c>
      <c r="D149" s="242">
        <v>5</v>
      </c>
      <c r="E149" s="243">
        <v>2886110</v>
      </c>
      <c r="F149" s="244">
        <v>30702652975</v>
      </c>
      <c r="G149" s="245" t="str">
        <f>IFERROR(IF(compras_mes10[[#This Row],[CUIT]]="","-",VLOOKUP(compras_mes10[[#This Row],[CUIT]],Lista_CUIT[#All],2,0)),"CUIT NO CARGADO")</f>
        <v>NSS SA</v>
      </c>
      <c r="H149" s="46">
        <v>13622.26</v>
      </c>
      <c r="I149" s="246">
        <f>IF(compras_mes10[[#This Row],[NETO GRAVADO]]="","",compras_mes10[[#This Row],[NETO GRAVADO]]*0.21)</f>
        <v>2860.6745999999998</v>
      </c>
      <c r="J149" s="85"/>
      <c r="K149" s="85"/>
      <c r="L149" s="85"/>
      <c r="M149" s="85"/>
      <c r="N149" s="85">
        <v>817.34</v>
      </c>
      <c r="O149" s="85"/>
      <c r="P149" s="247">
        <f>SUM(compras_mes10[[#This Row],[NETO GRAVADO]:[Otros / No Grav.]])</f>
        <v>17300.274600000001</v>
      </c>
      <c r="Q149" s="248" t="str">
        <f>IFERROR(IF(compras_mes10[[#This Row],[CUIT]]="","-",VLOOKUP(compras_mes10[[#This Row],[CUIT]],Lista_CUIT[#All],3,0)),"CUIT NO CARGADO")</f>
        <v>Servicios Gas, Luz, etc.</v>
      </c>
      <c r="R149" s="248">
        <f>IFERROR(IF(compras_mes10[[#This Row],[CUIT]]="","-",VLOOKUP(compras_mes10[[#This Row],[CUIT]],Lista_CUIT[#All],4,0)),"CUIT NO CARGADO")</f>
        <v>0</v>
      </c>
    </row>
    <row r="150" spans="1:18" s="127" customFormat="1" x14ac:dyDescent="0.3">
      <c r="A150" s="128"/>
      <c r="B150" s="240">
        <v>45225</v>
      </c>
      <c r="C150" s="241">
        <v>1</v>
      </c>
      <c r="D150" s="242">
        <v>4</v>
      </c>
      <c r="E150" s="243">
        <v>7243</v>
      </c>
      <c r="F150" s="244">
        <v>30710259883</v>
      </c>
      <c r="G150" s="245" t="str">
        <f>IFERROR(IF(compras_mes10[[#This Row],[CUIT]]="","-",VLOOKUP(compras_mes10[[#This Row],[CUIT]],Lista_CUIT[#All],2,0)),"CUIT NO CARGADO")</f>
        <v>PARTES DE NOTEBOOKS S.A.</v>
      </c>
      <c r="H150" s="46">
        <v>23859.11</v>
      </c>
      <c r="I150" s="246">
        <f>IF(compras_mes10[[#This Row],[NETO GRAVADO]]="","",compras_mes10[[#This Row],[NETO GRAVADO]]*0.21)</f>
        <v>5010.4130999999998</v>
      </c>
      <c r="J150" s="85"/>
      <c r="K150" s="85"/>
      <c r="L150" s="85"/>
      <c r="M150" s="85"/>
      <c r="N150" s="85"/>
      <c r="O150" s="85"/>
      <c r="P150" s="247">
        <f>SUM(compras_mes10[[#This Row],[NETO GRAVADO]:[Otros / No Grav.]])</f>
        <v>28869.523099999999</v>
      </c>
      <c r="Q150" s="248">
        <f>IFERROR(IF(compras_mes10[[#This Row],[CUIT]]="","-",VLOOKUP(compras_mes10[[#This Row],[CUIT]],Lista_CUIT[#All],3,0)),"CUIT NO CARGADO")</f>
        <v>0</v>
      </c>
      <c r="R150" s="248">
        <f>IFERROR(IF(compras_mes10[[#This Row],[CUIT]]="","-",VLOOKUP(compras_mes10[[#This Row],[CUIT]],Lista_CUIT[#All],4,0)),"CUIT NO CARGADO")</f>
        <v>0</v>
      </c>
    </row>
    <row r="151" spans="1:18" x14ac:dyDescent="0.3">
      <c r="A151" s="128"/>
      <c r="B151" s="240">
        <v>45225</v>
      </c>
      <c r="C151" s="241">
        <v>1</v>
      </c>
      <c r="D151" s="242">
        <v>6</v>
      </c>
      <c r="E151" s="243">
        <v>2853</v>
      </c>
      <c r="F151" s="244">
        <v>30574603788</v>
      </c>
      <c r="G151" s="245" t="str">
        <f>IFERROR(IF(compras_mes10[[#This Row],[CUIT]]="","-",VLOOKUP(compras_mes10[[#This Row],[CUIT]],Lista_CUIT[#All],2,0)),"CUIT NO CARGADO")</f>
        <v>CODAC SRL</v>
      </c>
      <c r="H151" s="46">
        <v>1412850</v>
      </c>
      <c r="I151" s="246">
        <f>IF(compras_mes10[[#This Row],[NETO GRAVADO]]="","",compras_mes10[[#This Row],[NETO GRAVADO]]*0.21)</f>
        <v>296698.5</v>
      </c>
      <c r="J151" s="85"/>
      <c r="K151" s="85"/>
      <c r="L151" s="85"/>
      <c r="M151" s="85"/>
      <c r="N151" s="85"/>
      <c r="O151" s="85"/>
      <c r="P151" s="247">
        <f>SUM(compras_mes10[[#This Row],[NETO GRAVADO]:[Otros / No Grav.]])</f>
        <v>1709548.5</v>
      </c>
      <c r="Q151" s="248" t="str">
        <f>IFERROR(IF(compras_mes10[[#This Row],[CUIT]]="","-",VLOOKUP(compras_mes10[[#This Row],[CUIT]],Lista_CUIT[#All],3,0)),"CUIT NO CARGADO")</f>
        <v>GASTOS COSMETICA</v>
      </c>
      <c r="R151" s="248" t="str">
        <f>IFERROR(IF(compras_mes10[[#This Row],[CUIT]]="","-",VLOOKUP(compras_mes10[[#This Row],[CUIT]],Lista_CUIT[#All],4,0)),"CUIT NO CARGADO")</f>
        <v>BUENOS AIRES</v>
      </c>
    </row>
    <row r="152" spans="1:18" x14ac:dyDescent="0.3">
      <c r="B152" s="538">
        <v>45225</v>
      </c>
      <c r="C152" s="539">
        <v>1</v>
      </c>
      <c r="D152" s="540">
        <v>6</v>
      </c>
      <c r="E152" s="541">
        <v>2275</v>
      </c>
      <c r="F152" s="542">
        <v>20231251821</v>
      </c>
      <c r="G152" s="543" t="str">
        <f>IFERROR(IF(compras_mes10[[#This Row],[CUIT]]="","-",VLOOKUP(compras_mes10[[#This Row],[CUIT]],Lista_CUIT[#All],2,0)),"CUIT NO CARGADO")</f>
        <v>PASTORINO CANE FRANCISCO JAVIER</v>
      </c>
      <c r="H152" s="548">
        <v>76884.3</v>
      </c>
      <c r="I152" s="545">
        <f>IF(compras_mes10[[#This Row],[NETO GRAVADO]]="","",compras_mes10[[#This Row],[NETO GRAVADO]]*0.21)</f>
        <v>16145.703</v>
      </c>
      <c r="J152" s="528"/>
      <c r="K152" s="528"/>
      <c r="L152" s="528"/>
      <c r="M152" s="528"/>
      <c r="N152" s="528"/>
      <c r="O152" s="528"/>
      <c r="P152" s="546">
        <f>SUM(compras_mes10[[#This Row],[NETO GRAVADO]:[Otros / No Grav.]])</f>
        <v>93030.002999999997</v>
      </c>
      <c r="Q152" s="547">
        <f>IFERROR(IF(compras_mes10[[#This Row],[CUIT]]="","-",VLOOKUP(compras_mes10[[#This Row],[CUIT]],Lista_CUIT[#All],3,0)),"CUIT NO CARGADO")</f>
        <v>0</v>
      </c>
      <c r="R152" s="547">
        <f>IFERROR(IF(compras_mes10[[#This Row],[CUIT]]="","-",VLOOKUP(compras_mes10[[#This Row],[CUIT]],Lista_CUIT[#All],4,0)),"CUIT NO CARGADO")</f>
        <v>0</v>
      </c>
    </row>
    <row r="153" spans="1:18" x14ac:dyDescent="0.3">
      <c r="B153" s="538">
        <v>45225</v>
      </c>
      <c r="C153" s="539">
        <v>1</v>
      </c>
      <c r="D153" s="540">
        <v>6916</v>
      </c>
      <c r="E153" s="541">
        <v>30603</v>
      </c>
      <c r="F153" s="542">
        <v>30678774495</v>
      </c>
      <c r="G153" s="543" t="str">
        <f>IFERROR(IF(compras_mes10[[#This Row],[CUIT]]="","-",VLOOKUP(compras_mes10[[#This Row],[CUIT]],Lista_CUIT[#All],2,0)),"CUIT NO CARGADO")</f>
        <v>OPER. DE EST. DE SERV. SA</v>
      </c>
      <c r="H153" s="548">
        <v>2248.4499999999998</v>
      </c>
      <c r="I153" s="545">
        <f>IF(compras_mes10[[#This Row],[NETO GRAVADO]]="","",compras_mes10[[#This Row],[NETO GRAVADO]]*0.21)</f>
        <v>472.17449999999997</v>
      </c>
      <c r="J153" s="528"/>
      <c r="K153" s="528"/>
      <c r="L153" s="528"/>
      <c r="M153" s="528"/>
      <c r="N153" s="528">
        <v>279.39</v>
      </c>
      <c r="O153" s="528"/>
      <c r="P153" s="546">
        <f>SUM(compras_mes10[[#This Row],[NETO GRAVADO]:[Otros / No Grav.]])</f>
        <v>3000.0144999999998</v>
      </c>
      <c r="Q153" s="547" t="str">
        <f>IFERROR(IF(compras_mes10[[#This Row],[CUIT]]="","-",VLOOKUP(compras_mes10[[#This Row],[CUIT]],Lista_CUIT[#All],3,0)),"CUIT NO CARGADO")</f>
        <v>Combustibe</v>
      </c>
      <c r="R153" s="547">
        <f>IFERROR(IF(compras_mes10[[#This Row],[CUIT]]="","-",VLOOKUP(compras_mes10[[#This Row],[CUIT]],Lista_CUIT[#All],4,0)),"CUIT NO CARGADO")</f>
        <v>0</v>
      </c>
    </row>
    <row r="154" spans="1:18" x14ac:dyDescent="0.3">
      <c r="B154" s="538">
        <v>45225</v>
      </c>
      <c r="C154" s="539">
        <v>1</v>
      </c>
      <c r="D154" s="540">
        <v>2</v>
      </c>
      <c r="E154" s="541">
        <v>19</v>
      </c>
      <c r="F154" s="542">
        <v>27236451262</v>
      </c>
      <c r="G154" s="543" t="str">
        <f>IFERROR(IF(compras_mes10[[#This Row],[CUIT]]="","-",VLOOKUP(compras_mes10[[#This Row],[CUIT]],Lista_CUIT[#All],2,0)),"CUIT NO CARGADO")</f>
        <v>DIEZ CAROLINA BEATRIZ</v>
      </c>
      <c r="H154" s="548">
        <v>15796.67</v>
      </c>
      <c r="I154" s="545">
        <f>IF(compras_mes10[[#This Row],[NETO GRAVADO]]="","",compras_mes10[[#This Row],[NETO GRAVADO]]*0.21)</f>
        <v>3317.3006999999998</v>
      </c>
      <c r="J154" s="528"/>
      <c r="K154" s="528"/>
      <c r="L154" s="528"/>
      <c r="M154" s="528"/>
      <c r="N154" s="528"/>
      <c r="O154" s="528"/>
      <c r="P154" s="546">
        <f>SUM(compras_mes10[[#This Row],[NETO GRAVADO]:[Otros / No Grav.]])</f>
        <v>19113.970699999998</v>
      </c>
      <c r="Q154" s="547">
        <f>IFERROR(IF(compras_mes10[[#This Row],[CUIT]]="","-",VLOOKUP(compras_mes10[[#This Row],[CUIT]],Lista_CUIT[#All],3,0)),"CUIT NO CARGADO")</f>
        <v>0</v>
      </c>
      <c r="R154" s="547">
        <f>IFERROR(IF(compras_mes10[[#This Row],[CUIT]]="","-",VLOOKUP(compras_mes10[[#This Row],[CUIT]],Lista_CUIT[#All],4,0)),"CUIT NO CARGADO")</f>
        <v>0</v>
      </c>
    </row>
    <row r="155" spans="1:18" x14ac:dyDescent="0.3">
      <c r="B155" s="240">
        <v>45225</v>
      </c>
      <c r="C155" s="241">
        <v>1</v>
      </c>
      <c r="D155" s="242">
        <v>19</v>
      </c>
      <c r="E155" s="243">
        <v>13475</v>
      </c>
      <c r="F155" s="244">
        <v>30515800219</v>
      </c>
      <c r="G155" s="245" t="str">
        <f>IFERROR(IF(compras_mes10[[#This Row],[CUIT]]="","-",VLOOKUP(compras_mes10[[#This Row],[CUIT]],Lista_CUIT[#All],2,0)),"CUIT NO CARGADO")</f>
        <v>INCAT SRL</v>
      </c>
      <c r="H155" s="46">
        <v>2227.7399999999998</v>
      </c>
      <c r="I155" s="246">
        <f>IF(compras_mes10[[#This Row],[NETO GRAVADO]]="","",compras_mes10[[#This Row],[NETO GRAVADO]]*0.21)</f>
        <v>467.82539999999995</v>
      </c>
      <c r="J155" s="85"/>
      <c r="K155" s="85"/>
      <c r="L155" s="85"/>
      <c r="M155" s="85"/>
      <c r="N155" s="85"/>
      <c r="O155" s="85">
        <v>304.5</v>
      </c>
      <c r="P155" s="247">
        <f>SUM(compras_mes10[[#This Row],[NETO GRAVADO]:[Otros / No Grav.]])</f>
        <v>3000.0653999999995</v>
      </c>
      <c r="Q155" s="248" t="str">
        <f>IFERROR(IF(compras_mes10[[#This Row],[CUIT]]="","-",VLOOKUP(compras_mes10[[#This Row],[CUIT]],Lista_CUIT[#All],3,0)),"CUIT NO CARGADO")</f>
        <v>Combustibe</v>
      </c>
      <c r="R155" s="248" t="str">
        <f>IFERROR(IF(compras_mes10[[#This Row],[CUIT]]="","-",VLOOKUP(compras_mes10[[#This Row],[CUIT]],Lista_CUIT[#All],4,0)),"CUIT NO CARGADO")</f>
        <v>CABA</v>
      </c>
    </row>
    <row r="156" spans="1:18" x14ac:dyDescent="0.3">
      <c r="B156" s="240">
        <v>45226</v>
      </c>
      <c r="C156" s="241">
        <v>1</v>
      </c>
      <c r="D156" s="242">
        <v>30</v>
      </c>
      <c r="E156" s="243">
        <v>553</v>
      </c>
      <c r="F156" s="244">
        <v>27293459172</v>
      </c>
      <c r="G156" s="245" t="str">
        <f>IFERROR(IF(compras_mes10[[#This Row],[CUIT]]="","-",VLOOKUP(compras_mes10[[#This Row],[CUIT]],Lista_CUIT[#All],2,0)),"CUIT NO CARGADO")</f>
        <v>DUFFY ESTEFANIA</v>
      </c>
      <c r="H156" s="46">
        <v>225000</v>
      </c>
      <c r="I156" s="246">
        <f>IF(compras_mes10[[#This Row],[NETO GRAVADO]]="","",compras_mes10[[#This Row],[NETO GRAVADO]]*0.21)</f>
        <v>47250</v>
      </c>
      <c r="J156" s="246"/>
      <c r="K156" s="246"/>
      <c r="L156" s="246"/>
      <c r="M156" s="246"/>
      <c r="N156" s="246"/>
      <c r="O156" s="246"/>
      <c r="P156" s="247">
        <f>SUM(compras_mes10[[#This Row],[NETO GRAVADO]:[Otros / No Grav.]])</f>
        <v>272250</v>
      </c>
      <c r="Q156" s="248">
        <f>IFERROR(IF(compras_mes10[[#This Row],[CUIT]]="","-",VLOOKUP(compras_mes10[[#This Row],[CUIT]],Lista_CUIT[#All],3,0)),"CUIT NO CARGADO")</f>
        <v>0</v>
      </c>
      <c r="R156" s="248">
        <f>IFERROR(IF(compras_mes10[[#This Row],[CUIT]]="","-",VLOOKUP(compras_mes10[[#This Row],[CUIT]],Lista_CUIT[#All],4,0)),"CUIT NO CARGADO")</f>
        <v>0</v>
      </c>
    </row>
    <row r="157" spans="1:18" s="128" customFormat="1" x14ac:dyDescent="0.3">
      <c r="B157" s="538">
        <v>45226</v>
      </c>
      <c r="C157" s="539">
        <v>3</v>
      </c>
      <c r="D157" s="540">
        <v>6</v>
      </c>
      <c r="E157" s="541">
        <v>116</v>
      </c>
      <c r="F157" s="542">
        <v>20231251821</v>
      </c>
      <c r="G157" s="543" t="str">
        <f>IFERROR(IF(compras_mes10[[#This Row],[CUIT]]="","-",VLOOKUP(compras_mes10[[#This Row],[CUIT]],Lista_CUIT[#All],2,0)),"CUIT NO CARGADO")</f>
        <v>PASTORINO CANE FRANCISCO JAVIER</v>
      </c>
      <c r="H157" s="548">
        <v>-48677.69</v>
      </c>
      <c r="I157" s="545">
        <f>IF(compras_mes10[[#This Row],[NETO GRAVADO]]="","",compras_mes10[[#This Row],[NETO GRAVADO]]*0.21)</f>
        <v>-10222.314899999999</v>
      </c>
      <c r="J157" s="528"/>
      <c r="K157" s="528"/>
      <c r="L157" s="528"/>
      <c r="M157" s="528"/>
      <c r="N157" s="528"/>
      <c r="O157" s="528"/>
      <c r="P157" s="546">
        <f>SUM(compras_mes10[[#This Row],[NETO GRAVADO]:[Otros / No Grav.]])</f>
        <v>-58900.0049</v>
      </c>
      <c r="Q157" s="547">
        <f>IFERROR(IF(compras_mes10[[#This Row],[CUIT]]="","-",VLOOKUP(compras_mes10[[#This Row],[CUIT]],Lista_CUIT[#All],3,0)),"CUIT NO CARGADO")</f>
        <v>0</v>
      </c>
      <c r="R157" s="547">
        <f>IFERROR(IF(compras_mes10[[#This Row],[CUIT]]="","-",VLOOKUP(compras_mes10[[#This Row],[CUIT]],Lista_CUIT[#All],4,0)),"CUIT NO CARGADO")</f>
        <v>0</v>
      </c>
    </row>
    <row r="158" spans="1:18" x14ac:dyDescent="0.3">
      <c r="B158" s="240">
        <v>45226</v>
      </c>
      <c r="C158" s="241">
        <v>1</v>
      </c>
      <c r="D158" s="242">
        <v>32</v>
      </c>
      <c r="E158" s="243">
        <v>1931</v>
      </c>
      <c r="F158" s="244">
        <v>30696106068</v>
      </c>
      <c r="G158" s="245" t="str">
        <f>IFERROR(IF(compras_mes10[[#This Row],[CUIT]]="","-",VLOOKUP(compras_mes10[[#This Row],[CUIT]],Lista_CUIT[#All],2,0)),"CUIT NO CARGADO")</f>
        <v>PINTURERIAS LIBERATO SRL</v>
      </c>
      <c r="H158" s="46">
        <v>9990</v>
      </c>
      <c r="I158" s="246">
        <f>IF(compras_mes10[[#This Row],[NETO GRAVADO]]="","",compras_mes10[[#This Row],[NETO GRAVADO]]*0.21)</f>
        <v>2097.9</v>
      </c>
      <c r="J158" s="85"/>
      <c r="K158" s="85"/>
      <c r="L158" s="85"/>
      <c r="M158" s="85"/>
      <c r="N158" s="85"/>
      <c r="O158" s="85"/>
      <c r="P158" s="247">
        <f>SUM(compras_mes10[[#This Row],[NETO GRAVADO]:[Otros / No Grav.]])</f>
        <v>12087.9</v>
      </c>
      <c r="Q158" s="248">
        <f>IFERROR(IF(compras_mes10[[#This Row],[CUIT]]="","-",VLOOKUP(compras_mes10[[#This Row],[CUIT]],Lista_CUIT[#All],3,0)),"CUIT NO CARGADO")</f>
        <v>0</v>
      </c>
      <c r="R158" s="248">
        <f>IFERROR(IF(compras_mes10[[#This Row],[CUIT]]="","-",VLOOKUP(compras_mes10[[#This Row],[CUIT]],Lista_CUIT[#All],4,0)),"CUIT NO CARGADO")</f>
        <v>0</v>
      </c>
    </row>
    <row r="159" spans="1:18" x14ac:dyDescent="0.3">
      <c r="B159" s="538">
        <v>45226</v>
      </c>
      <c r="C159" s="539">
        <v>1</v>
      </c>
      <c r="D159" s="540">
        <v>8</v>
      </c>
      <c r="E159" s="541">
        <v>17137</v>
      </c>
      <c r="F159" s="542">
        <v>30707059466</v>
      </c>
      <c r="G159" s="543" t="str">
        <f>IFERROR(IF(compras_mes10[[#This Row],[CUIT]]="","-",VLOOKUP(compras_mes10[[#This Row],[CUIT]],Lista_CUIT[#All],2,0)),"CUIT NO CARGADO")</f>
        <v>ESTACION SA</v>
      </c>
      <c r="H159" s="548">
        <v>3850.48</v>
      </c>
      <c r="I159" s="545">
        <f>IF(compras_mes10[[#This Row],[NETO GRAVADO]]="","",compras_mes10[[#This Row],[NETO GRAVADO]]*0.21)</f>
        <v>808.60079999999994</v>
      </c>
      <c r="J159" s="528"/>
      <c r="K159" s="528"/>
      <c r="L159" s="528"/>
      <c r="M159" s="528"/>
      <c r="N159" s="528"/>
      <c r="O159" s="528">
        <v>360.29</v>
      </c>
      <c r="P159" s="546">
        <f>SUM(compras_mes10[[#This Row],[NETO GRAVADO]:[Otros / No Grav.]])</f>
        <v>5019.3707999999997</v>
      </c>
      <c r="Q159" s="547">
        <f>IFERROR(IF(compras_mes10[[#This Row],[CUIT]]="","-",VLOOKUP(compras_mes10[[#This Row],[CUIT]],Lista_CUIT[#All],3,0)),"CUIT NO CARGADO")</f>
        <v>0</v>
      </c>
      <c r="R159" s="547">
        <f>IFERROR(IF(compras_mes10[[#This Row],[CUIT]]="","-",VLOOKUP(compras_mes10[[#This Row],[CUIT]],Lista_CUIT[#All],4,0)),"CUIT NO CARGADO")</f>
        <v>0</v>
      </c>
    </row>
    <row r="160" spans="1:18" s="128" customFormat="1" x14ac:dyDescent="0.3">
      <c r="B160" s="240">
        <v>45227</v>
      </c>
      <c r="C160" s="241">
        <v>1</v>
      </c>
      <c r="D160" s="242">
        <v>2199</v>
      </c>
      <c r="E160" s="243">
        <v>25015</v>
      </c>
      <c r="F160" s="244">
        <v>30548083156</v>
      </c>
      <c r="G160" s="245" t="str">
        <f>IFERROR(IF(compras_mes10[[#This Row],[CUIT]]="","-",VLOOKUP(compras_mes10[[#This Row],[CUIT]],Lista_CUIT[#All],2,0)),"CUIT NO CARGADO")</f>
        <v>COTO CENTRO INTEGRAL DE COMERCIALIZACION SOCIEDAD ANONIMA</v>
      </c>
      <c r="H160" s="46">
        <v>13151.14</v>
      </c>
      <c r="I160" s="246">
        <v>1614.26</v>
      </c>
      <c r="J160" s="85"/>
      <c r="K160" s="85">
        <v>573.74</v>
      </c>
      <c r="L160" s="85">
        <v>312.57</v>
      </c>
      <c r="M160" s="85"/>
      <c r="N160" s="85">
        <v>674.35</v>
      </c>
      <c r="O160" s="85"/>
      <c r="P160" s="247">
        <f>SUM(compras_mes10[[#This Row],[NETO GRAVADO]:[Otros / No Grav.]])</f>
        <v>16326.06</v>
      </c>
      <c r="Q160" s="248" t="str">
        <f>IFERROR(IF(compras_mes10[[#This Row],[CUIT]]="","-",VLOOKUP(compras_mes10[[#This Row],[CUIT]],Lista_CUIT[#All],3,0)),"CUIT NO CARGADO")</f>
        <v>GASTOS COMERCIALES</v>
      </c>
      <c r="R160" s="248">
        <f>IFERROR(IF(compras_mes10[[#This Row],[CUIT]]="","-",VLOOKUP(compras_mes10[[#This Row],[CUIT]],Lista_CUIT[#All],4,0)),"CUIT NO CARGADO")</f>
        <v>0</v>
      </c>
    </row>
    <row r="161" spans="1:18" x14ac:dyDescent="0.3">
      <c r="B161" s="240">
        <v>45227</v>
      </c>
      <c r="C161" s="241">
        <v>1</v>
      </c>
      <c r="D161" s="242">
        <v>11029</v>
      </c>
      <c r="E161" s="243">
        <v>895</v>
      </c>
      <c r="F161" s="244">
        <v>30590360763</v>
      </c>
      <c r="G161" s="245" t="str">
        <f>IFERROR(IF(compras_mes10[[#This Row],[CUIT]]="","-",VLOOKUP(compras_mes10[[#This Row],[CUIT]],Lista_CUIT[#All],2,0)),"CUIT NO CARGADO")</f>
        <v>CENCOSUD S.A</v>
      </c>
      <c r="H161" s="46">
        <v>7850.4</v>
      </c>
      <c r="I161" s="246">
        <f>IF(compras_mes10[[#This Row],[NETO GRAVADO]]="","",compras_mes10[[#This Row],[NETO GRAVADO]]*0.21)</f>
        <v>1648.5839999999998</v>
      </c>
      <c r="J161" s="85"/>
      <c r="K161" s="85"/>
      <c r="L161" s="85">
        <v>235.51</v>
      </c>
      <c r="M161" s="85"/>
      <c r="N161" s="85">
        <v>471.02</v>
      </c>
      <c r="O161" s="85"/>
      <c r="P161" s="247">
        <f>SUM(compras_mes10[[#This Row],[NETO GRAVADO]:[Otros / No Grav.]])</f>
        <v>10205.514000000001</v>
      </c>
      <c r="Q161" s="248" t="str">
        <f>IFERROR(IF(compras_mes10[[#This Row],[CUIT]]="","-",VLOOKUP(compras_mes10[[#This Row],[CUIT]],Lista_CUIT[#All],3,0)),"CUIT NO CARGADO")</f>
        <v>Gastos Varios</v>
      </c>
      <c r="R161" s="248">
        <f>IFERROR(IF(compras_mes10[[#This Row],[CUIT]]="","-",VLOOKUP(compras_mes10[[#This Row],[CUIT]],Lista_CUIT[#All],4,0)),"CUIT NO CARGADO")</f>
        <v>0</v>
      </c>
    </row>
    <row r="162" spans="1:18" x14ac:dyDescent="0.3">
      <c r="B162" s="240">
        <v>45227</v>
      </c>
      <c r="C162" s="241">
        <v>1</v>
      </c>
      <c r="D162" s="242">
        <v>12</v>
      </c>
      <c r="E162" s="243">
        <v>35992</v>
      </c>
      <c r="F162" s="244">
        <v>30696131003</v>
      </c>
      <c r="G162" s="245" t="str">
        <f>IFERROR(IF(compras_mes10[[#This Row],[CUIT]]="","-",VLOOKUP(compras_mes10[[#This Row],[CUIT]],Lista_CUIT[#All],2,0)),"CUIT NO CARGADO")</f>
        <v>Petrolfe S.A.</v>
      </c>
      <c r="H162" s="46">
        <v>30058.17</v>
      </c>
      <c r="I162" s="246">
        <f>IF(compras_mes10[[#This Row],[NETO GRAVADO]]="","",compras_mes10[[#This Row],[NETO GRAVADO]]*0.21)</f>
        <v>6312.2156999999997</v>
      </c>
      <c r="J162" s="85"/>
      <c r="K162" s="85"/>
      <c r="L162" s="85"/>
      <c r="M162" s="85"/>
      <c r="N162" s="85"/>
      <c r="O162" s="85">
        <v>3954.41</v>
      </c>
      <c r="P162" s="247">
        <f>SUM(compras_mes10[[#This Row],[NETO GRAVADO]:[Otros / No Grav.]])</f>
        <v>40324.795700000002</v>
      </c>
      <c r="Q162" s="248" t="str">
        <f>IFERROR(IF(compras_mes10[[#This Row],[CUIT]]="","-",VLOOKUP(compras_mes10[[#This Row],[CUIT]],Lista_CUIT[#All],3,0)),"CUIT NO CARGADO")</f>
        <v>Combustible</v>
      </c>
      <c r="R162" s="248">
        <f>IFERROR(IF(compras_mes10[[#This Row],[CUIT]]="","-",VLOOKUP(compras_mes10[[#This Row],[CUIT]],Lista_CUIT[#All],4,0)),"CUIT NO CARGADO")</f>
        <v>0</v>
      </c>
    </row>
    <row r="163" spans="1:18" x14ac:dyDescent="0.3">
      <c r="B163" s="240">
        <v>45227</v>
      </c>
      <c r="C163" s="241">
        <v>1</v>
      </c>
      <c r="D163" s="242">
        <v>9</v>
      </c>
      <c r="E163" s="243">
        <v>21113</v>
      </c>
      <c r="F163" s="244">
        <v>33519459529</v>
      </c>
      <c r="G163" s="245" t="str">
        <f>IFERROR(IF(compras_mes10[[#This Row],[CUIT]]="","-",VLOOKUP(compras_mes10[[#This Row],[CUIT]],Lista_CUIT[#All],2,0)),"CUIT NO CARGADO")</f>
        <v>PARQUE AYERZA SCA</v>
      </c>
      <c r="H163" s="46">
        <v>5297.88</v>
      </c>
      <c r="I163" s="246">
        <f>IF(compras_mes10[[#This Row],[NETO GRAVADO]]="","",compras_mes10[[#This Row],[NETO GRAVADO]]*0.21)</f>
        <v>1112.5547999999999</v>
      </c>
      <c r="J163" s="85"/>
      <c r="K163" s="85"/>
      <c r="L163" s="85"/>
      <c r="M163" s="85"/>
      <c r="N163" s="85"/>
      <c r="O163" s="85">
        <v>589.54</v>
      </c>
      <c r="P163" s="247">
        <f>SUM(compras_mes10[[#This Row],[NETO GRAVADO]:[Otros / No Grav.]])</f>
        <v>6999.9748</v>
      </c>
      <c r="Q163" s="248">
        <f>IFERROR(IF(compras_mes10[[#This Row],[CUIT]]="","-",VLOOKUP(compras_mes10[[#This Row],[CUIT]],Lista_CUIT[#All],3,0)),"CUIT NO CARGADO")</f>
        <v>0</v>
      </c>
      <c r="R163" s="248">
        <f>IFERROR(IF(compras_mes10[[#This Row],[CUIT]]="","-",VLOOKUP(compras_mes10[[#This Row],[CUIT]],Lista_CUIT[#All],4,0)),"CUIT NO CARGADO")</f>
        <v>0</v>
      </c>
    </row>
    <row r="164" spans="1:18" x14ac:dyDescent="0.3">
      <c r="B164" s="538">
        <v>45228</v>
      </c>
      <c r="C164" s="539">
        <v>1</v>
      </c>
      <c r="D164" s="540">
        <v>27</v>
      </c>
      <c r="E164" s="541">
        <v>1796165</v>
      </c>
      <c r="F164" s="542">
        <v>30703088534</v>
      </c>
      <c r="G164" s="543" t="str">
        <f>IFERROR(IF(compras_mes10[[#This Row],[CUIT]]="","-",VLOOKUP(compras_mes10[[#This Row],[CUIT]],Lista_CUIT[#All],2,0)),"CUIT NO CARGADO")</f>
        <v>MERCADO LIBRE SRL</v>
      </c>
      <c r="H164" s="548">
        <v>405952.17</v>
      </c>
      <c r="I164" s="545">
        <f>IF(compras_mes10[[#This Row],[NETO GRAVADO]]="","",compras_mes10[[#This Row],[NETO GRAVADO]]*0.21)</f>
        <v>85249.955699999991</v>
      </c>
      <c r="J164" s="528"/>
      <c r="K164" s="528"/>
      <c r="L164" s="528"/>
      <c r="M164" s="528"/>
      <c r="N164" s="528"/>
      <c r="O164" s="528">
        <v>40595.21</v>
      </c>
      <c r="P164" s="546">
        <f>SUM(compras_mes10[[#This Row],[NETO GRAVADO]:[Otros / No Grav.]])</f>
        <v>531797.33569999994</v>
      </c>
      <c r="Q164" s="547" t="str">
        <f>IFERROR(IF(compras_mes10[[#This Row],[CUIT]]="","-",VLOOKUP(compras_mes10[[#This Row],[CUIT]],Lista_CUIT[#All],3,0)),"CUIT NO CARGADO")</f>
        <v>Gastos Varios</v>
      </c>
      <c r="R164" s="547" t="str">
        <f>IFERROR(IF(compras_mes10[[#This Row],[CUIT]]="","-",VLOOKUP(compras_mes10[[#This Row],[CUIT]],Lista_CUIT[#All],4,0)),"CUIT NO CARGADO")</f>
        <v>CABA</v>
      </c>
    </row>
    <row r="165" spans="1:18" x14ac:dyDescent="0.3">
      <c r="B165" s="240">
        <v>45229</v>
      </c>
      <c r="C165" s="241">
        <v>1</v>
      </c>
      <c r="D165" s="242">
        <v>5</v>
      </c>
      <c r="E165" s="243">
        <v>20579</v>
      </c>
      <c r="F165" s="244">
        <v>30616146447</v>
      </c>
      <c r="G165" s="245" t="str">
        <f>IFERROR(IF(compras_mes10[[#This Row],[CUIT]]="","-",VLOOKUP(compras_mes10[[#This Row],[CUIT]],Lista_CUIT[#All],2,0)),"CUIT NO CARGADO")</f>
        <v>EGEO SOCIEDAD DE RESPONSABILIDAD LIMITADA</v>
      </c>
      <c r="H165" s="46">
        <v>144000</v>
      </c>
      <c r="I165" s="246">
        <f>IF(compras_mes10[[#This Row],[NETO GRAVADO]]="","",compras_mes10[[#This Row],[NETO GRAVADO]]*0.21)</f>
        <v>30240</v>
      </c>
      <c r="J165" s="85"/>
      <c r="K165" s="85"/>
      <c r="L165" s="85"/>
      <c r="M165" s="85"/>
      <c r="N165" s="85"/>
      <c r="O165" s="85"/>
      <c r="P165" s="247">
        <f>SUM(compras_mes10[[#This Row],[NETO GRAVADO]:[Otros / No Grav.]])</f>
        <v>174240</v>
      </c>
      <c r="Q165" s="248">
        <f>IFERROR(IF(compras_mes10[[#This Row],[CUIT]]="","-",VLOOKUP(compras_mes10[[#This Row],[CUIT]],Lista_CUIT[#All],3,0)),"CUIT NO CARGADO")</f>
        <v>0</v>
      </c>
      <c r="R165" s="248">
        <f>IFERROR(IF(compras_mes10[[#This Row],[CUIT]]="","-",VLOOKUP(compras_mes10[[#This Row],[CUIT]],Lista_CUIT[#All],4,0)),"CUIT NO CARGADO")</f>
        <v>0</v>
      </c>
    </row>
    <row r="166" spans="1:18" x14ac:dyDescent="0.3">
      <c r="B166" s="240">
        <v>45229</v>
      </c>
      <c r="C166" s="241">
        <v>1</v>
      </c>
      <c r="D166" s="242">
        <v>1</v>
      </c>
      <c r="E166" s="243">
        <v>2717</v>
      </c>
      <c r="F166" s="244">
        <v>30716154102</v>
      </c>
      <c r="G166" s="245" t="str">
        <f>IFERROR(IF(compras_mes10[[#This Row],[CUIT]]="","-",VLOOKUP(compras_mes10[[#This Row],[CUIT]],Lista_CUIT[#All],2,0)),"CUIT NO CARGADO")</f>
        <v>IDZONE SRL</v>
      </c>
      <c r="H166" s="46">
        <v>183663.75</v>
      </c>
      <c r="I166" s="246">
        <f>IF(compras_mes10[[#This Row],[NETO GRAVADO]]="","",compras_mes10[[#This Row],[NETO GRAVADO]]*0.21)</f>
        <v>38569.387499999997</v>
      </c>
      <c r="J166" s="85"/>
      <c r="K166" s="85"/>
      <c r="L166" s="85"/>
      <c r="M166" s="85"/>
      <c r="N166" s="85"/>
      <c r="O166" s="85"/>
      <c r="P166" s="247">
        <f>SUM(compras_mes10[[#This Row],[NETO GRAVADO]:[Otros / No Grav.]])</f>
        <v>222233.13750000001</v>
      </c>
      <c r="Q166" s="248">
        <f>IFERROR(IF(compras_mes10[[#This Row],[CUIT]]="","-",VLOOKUP(compras_mes10[[#This Row],[CUIT]],Lista_CUIT[#All],3,0)),"CUIT NO CARGADO")</f>
        <v>0</v>
      </c>
      <c r="R166" s="248">
        <f>IFERROR(IF(compras_mes10[[#This Row],[CUIT]]="","-",VLOOKUP(compras_mes10[[#This Row],[CUIT]],Lista_CUIT[#All],4,0)),"CUIT NO CARGADO")</f>
        <v>0</v>
      </c>
    </row>
    <row r="167" spans="1:18" x14ac:dyDescent="0.3">
      <c r="B167" s="538">
        <v>45229</v>
      </c>
      <c r="C167" s="539">
        <v>1</v>
      </c>
      <c r="D167" s="540">
        <v>4</v>
      </c>
      <c r="E167" s="541">
        <v>2230</v>
      </c>
      <c r="F167" s="542">
        <v>30715946250</v>
      </c>
      <c r="G167" s="543" t="str">
        <f>IFERROR(IF(compras_mes10[[#This Row],[CUIT]]="","-",VLOOKUP(compras_mes10[[#This Row],[CUIT]],Lista_CUIT[#All],2,0)),"CUIT NO CARGADO")</f>
        <v>GLOBAL AESTHETICS PRODUCTS AND SERVICES SRL</v>
      </c>
      <c r="H167" s="548">
        <v>116718.6</v>
      </c>
      <c r="I167" s="545">
        <f>IF(compras_mes10[[#This Row],[NETO GRAVADO]]="","",compras_mes10[[#This Row],[NETO GRAVADO]]*0.21)</f>
        <v>24510.905999999999</v>
      </c>
      <c r="J167" s="528"/>
      <c r="K167" s="528"/>
      <c r="L167" s="528"/>
      <c r="M167" s="528"/>
      <c r="N167" s="528"/>
      <c r="O167" s="528"/>
      <c r="P167" s="546">
        <f>SUM(compras_mes10[[#This Row],[NETO GRAVADO]:[Otros / No Grav.]])</f>
        <v>141229.50599999999</v>
      </c>
      <c r="Q167" s="547" t="str">
        <f>IFERROR(IF(compras_mes10[[#This Row],[CUIT]]="","-",VLOOKUP(compras_mes10[[#This Row],[CUIT]],Lista_CUIT[#All],3,0)),"CUIT NO CARGADO")</f>
        <v>aparatos</v>
      </c>
      <c r="R167" s="547">
        <f>IFERROR(IF(compras_mes10[[#This Row],[CUIT]]="","-",VLOOKUP(compras_mes10[[#This Row],[CUIT]],Lista_CUIT[#All],4,0)),"CUIT NO CARGADO")</f>
        <v>0</v>
      </c>
    </row>
    <row r="168" spans="1:18" x14ac:dyDescent="0.3">
      <c r="B168" s="538">
        <v>45229</v>
      </c>
      <c r="C168" s="539">
        <v>1</v>
      </c>
      <c r="D168" s="540">
        <v>4</v>
      </c>
      <c r="E168" s="541">
        <v>2231</v>
      </c>
      <c r="F168" s="542">
        <v>30715946250</v>
      </c>
      <c r="G168" s="543" t="str">
        <f>IFERROR(IF(compras_mes10[[#This Row],[CUIT]]="","-",VLOOKUP(compras_mes10[[#This Row],[CUIT]],Lista_CUIT[#All],2,0)),"CUIT NO CARGADO")</f>
        <v>GLOBAL AESTHETICS PRODUCTS AND SERVICES SRL</v>
      </c>
      <c r="H168" s="548">
        <v>1148727.3999999999</v>
      </c>
      <c r="I168" s="545">
        <f>IF(compras_mes10[[#This Row],[NETO GRAVADO]]="","",compras_mes10[[#This Row],[NETO GRAVADO]]*0.21)</f>
        <v>241232.75399999996</v>
      </c>
      <c r="J168" s="528"/>
      <c r="K168" s="528"/>
      <c r="L168" s="528"/>
      <c r="M168" s="528"/>
      <c r="N168" s="528"/>
      <c r="O168" s="528"/>
      <c r="P168" s="546">
        <f>SUM(compras_mes10[[#This Row],[NETO GRAVADO]:[Otros / No Grav.]])</f>
        <v>1389960.1539999999</v>
      </c>
      <c r="Q168" s="547" t="str">
        <f>IFERROR(IF(compras_mes10[[#This Row],[CUIT]]="","-",VLOOKUP(compras_mes10[[#This Row],[CUIT]],Lista_CUIT[#All],3,0)),"CUIT NO CARGADO")</f>
        <v>aparatos</v>
      </c>
      <c r="R168" s="547">
        <f>IFERROR(IF(compras_mes10[[#This Row],[CUIT]]="","-",VLOOKUP(compras_mes10[[#This Row],[CUIT]],Lista_CUIT[#All],4,0)),"CUIT NO CARGADO")</f>
        <v>0</v>
      </c>
    </row>
    <row r="169" spans="1:18" x14ac:dyDescent="0.3">
      <c r="B169" s="240">
        <v>45229</v>
      </c>
      <c r="C169" s="241">
        <v>1</v>
      </c>
      <c r="D169" s="242">
        <v>2</v>
      </c>
      <c r="E169" s="243">
        <v>14166</v>
      </c>
      <c r="F169" s="244">
        <v>20373457796</v>
      </c>
      <c r="G169" s="245" t="str">
        <f>IFERROR(IF(compras_mes10[[#This Row],[CUIT]]="","-",VLOOKUP(compras_mes10[[#This Row],[CUIT]],Lista_CUIT[#All],2,0)),"CUIT NO CARGADO")</f>
        <v>ONETO TOMAS AUGUSTO</v>
      </c>
      <c r="H169" s="46">
        <v>92285.119999999995</v>
      </c>
      <c r="I169" s="246">
        <f>IF(compras_mes10[[#This Row],[NETO GRAVADO]]="","",compras_mes10[[#This Row],[NETO GRAVADO]]*0.21)</f>
        <v>19379.875199999999</v>
      </c>
      <c r="J169" s="85"/>
      <c r="K169" s="85"/>
      <c r="L169" s="85"/>
      <c r="M169" s="85"/>
      <c r="N169" s="85"/>
      <c r="O169" s="85"/>
      <c r="P169" s="247">
        <f>SUM(compras_mes10[[#This Row],[NETO GRAVADO]:[Otros / No Grav.]])</f>
        <v>111664.99519999999</v>
      </c>
      <c r="Q169" s="248">
        <f>IFERROR(IF(compras_mes10[[#This Row],[CUIT]]="","-",VLOOKUP(compras_mes10[[#This Row],[CUIT]],Lista_CUIT[#All],3,0)),"CUIT NO CARGADO")</f>
        <v>0</v>
      </c>
      <c r="R169" s="248">
        <f>IFERROR(IF(compras_mes10[[#This Row],[CUIT]]="","-",VLOOKUP(compras_mes10[[#This Row],[CUIT]],Lista_CUIT[#All],4,0)),"CUIT NO CARGADO")</f>
        <v>0</v>
      </c>
    </row>
    <row r="170" spans="1:18" x14ac:dyDescent="0.3">
      <c r="B170" s="538">
        <v>45229</v>
      </c>
      <c r="C170" s="539">
        <v>1</v>
      </c>
      <c r="D170" s="540">
        <v>6850</v>
      </c>
      <c r="E170" s="541">
        <v>17919</v>
      </c>
      <c r="F170" s="542">
        <v>30678774495</v>
      </c>
      <c r="G170" s="543" t="str">
        <f>IFERROR(IF(compras_mes10[[#This Row],[CUIT]]="","-",VLOOKUP(compras_mes10[[#This Row],[CUIT]],Lista_CUIT[#All],2,0)),"CUIT NO CARGADO")</f>
        <v>OPER. DE EST. DE SERV. SA</v>
      </c>
      <c r="H170" s="548">
        <v>6228.23</v>
      </c>
      <c r="I170" s="545">
        <f>IF(compras_mes10[[#This Row],[NETO GRAVADO]]="","",compras_mes10[[#This Row],[NETO GRAVADO]]*0.21)</f>
        <v>1307.9282999999998</v>
      </c>
      <c r="J170" s="528"/>
      <c r="K170" s="528"/>
      <c r="L170" s="528"/>
      <c r="M170" s="528"/>
      <c r="N170" s="528"/>
      <c r="O170" s="528">
        <v>757.14</v>
      </c>
      <c r="P170" s="546">
        <f>SUM(compras_mes10[[#This Row],[NETO GRAVADO]:[Otros / No Grav.]])</f>
        <v>8293.2982999999986</v>
      </c>
      <c r="Q170" s="547" t="str">
        <f>IFERROR(IF(compras_mes10[[#This Row],[CUIT]]="","-",VLOOKUP(compras_mes10[[#This Row],[CUIT]],Lista_CUIT[#All],3,0)),"CUIT NO CARGADO")</f>
        <v>Combustibe</v>
      </c>
      <c r="R170" s="547">
        <f>IFERROR(IF(compras_mes10[[#This Row],[CUIT]]="","-",VLOOKUP(compras_mes10[[#This Row],[CUIT]],Lista_CUIT[#All],4,0)),"CUIT NO CARGADO")</f>
        <v>0</v>
      </c>
    </row>
    <row r="171" spans="1:18" x14ac:dyDescent="0.3">
      <c r="B171" s="240">
        <v>45229</v>
      </c>
      <c r="C171" s="241">
        <v>1</v>
      </c>
      <c r="D171" s="242">
        <v>2</v>
      </c>
      <c r="E171" s="243">
        <v>3487</v>
      </c>
      <c r="F171" s="244">
        <v>30629863571</v>
      </c>
      <c r="G171" s="245" t="str">
        <f>IFERROR(IF(compras_mes10[[#This Row],[CUIT]]="","-",VLOOKUP(compras_mes10[[#This Row],[CUIT]],Lista_CUIT[#All],2,0)),"CUIT NO CARGADO")</f>
        <v>TECNIMAR S R L</v>
      </c>
      <c r="H171" s="46">
        <v>1422372</v>
      </c>
      <c r="I171" s="246">
        <f>IF(compras_mes10[[#This Row],[NETO GRAVADO]]="","",compras_mes10[[#This Row],[NETO GRAVADO]]*0.21)</f>
        <v>298698.12</v>
      </c>
      <c r="J171" s="85"/>
      <c r="K171" s="85"/>
      <c r="L171" s="85"/>
      <c r="M171" s="85"/>
      <c r="N171" s="85"/>
      <c r="O171" s="85"/>
      <c r="P171" s="247">
        <f>SUM(compras_mes10[[#This Row],[NETO GRAVADO]:[Otros / No Grav.]])</f>
        <v>1721070.12</v>
      </c>
      <c r="Q171" s="248" t="str">
        <f>IFERROR(IF(compras_mes10[[#This Row],[CUIT]]="","-",VLOOKUP(compras_mes10[[#This Row],[CUIT]],Lista_CUIT[#All],3,0)),"CUIT NO CARGADO")</f>
        <v>LABORATORIO</v>
      </c>
      <c r="R171" s="248">
        <f>IFERROR(IF(compras_mes10[[#This Row],[CUIT]]="","-",VLOOKUP(compras_mes10[[#This Row],[CUIT]],Lista_CUIT[#All],4,0)),"CUIT NO CARGADO")</f>
        <v>0</v>
      </c>
    </row>
    <row r="172" spans="1:18" x14ac:dyDescent="0.3">
      <c r="B172" s="240">
        <v>45230</v>
      </c>
      <c r="C172" s="241">
        <v>1</v>
      </c>
      <c r="D172" s="242">
        <v>8</v>
      </c>
      <c r="E172" s="243">
        <v>3988</v>
      </c>
      <c r="F172" s="244">
        <v>30709487147</v>
      </c>
      <c r="G172" s="245" t="str">
        <f>IFERROR(IF(compras_mes10[[#This Row],[CUIT]]="","-",VLOOKUP(compras_mes10[[#This Row],[CUIT]],Lista_CUIT[#All],2,0)),"CUIT NO CARGADO")</f>
        <v>GRUPO TAM  SRL</v>
      </c>
      <c r="H172" s="46">
        <v>44129.65</v>
      </c>
      <c r="I172" s="246">
        <f>IF(compras_mes10[[#This Row],[NETO GRAVADO]]="","",compras_mes10[[#This Row],[NETO GRAVADO]]*0.21)</f>
        <v>9267.2265000000007</v>
      </c>
      <c r="J172" s="85"/>
      <c r="K172" s="85"/>
      <c r="L172" s="85"/>
      <c r="M172" s="85"/>
      <c r="N172" s="85"/>
      <c r="O172" s="85"/>
      <c r="P172" s="247">
        <f>SUM(compras_mes10[[#This Row],[NETO GRAVADO]:[Otros / No Grav.]])</f>
        <v>53396.876499999998</v>
      </c>
      <c r="Q172" s="248">
        <f>IFERROR(IF(compras_mes10[[#This Row],[CUIT]]="","-",VLOOKUP(compras_mes10[[#This Row],[CUIT]],Lista_CUIT[#All],3,0)),"CUIT NO CARGADO")</f>
        <v>0</v>
      </c>
      <c r="R172" s="248">
        <f>IFERROR(IF(compras_mes10[[#This Row],[CUIT]]="","-",VLOOKUP(compras_mes10[[#This Row],[CUIT]],Lista_CUIT[#All],4,0)),"CUIT NO CARGADO")</f>
        <v>0</v>
      </c>
    </row>
    <row r="173" spans="1:18" x14ac:dyDescent="0.3">
      <c r="A173" s="128"/>
      <c r="B173" s="538">
        <v>45230</v>
      </c>
      <c r="C173" s="539">
        <v>1</v>
      </c>
      <c r="D173" s="540">
        <v>50</v>
      </c>
      <c r="E173" s="541">
        <v>3314726</v>
      </c>
      <c r="F173" s="542">
        <v>30714112836</v>
      </c>
      <c r="G173" s="543" t="str">
        <f>IFERROR(IF(compras_mes10[[#This Row],[CUIT]]="","-",VLOOKUP(compras_mes10[[#This Row],[CUIT]],Lista_CUIT[#All],2,0)),"CUIT NO CARGADO")</f>
        <v>AUTOPISTAS DE BS AS</v>
      </c>
      <c r="H173" s="548">
        <v>12739.67</v>
      </c>
      <c r="I173" s="545">
        <f>IF(compras_mes10[[#This Row],[NETO GRAVADO]]="","",compras_mes10[[#This Row],[NETO GRAVADO]]*0.21)</f>
        <v>2675.3307</v>
      </c>
      <c r="J173" s="528"/>
      <c r="K173" s="528"/>
      <c r="L173" s="528">
        <v>382.19</v>
      </c>
      <c r="M173" s="528"/>
      <c r="N173" s="528"/>
      <c r="O173" s="528"/>
      <c r="P173" s="546">
        <f>SUM(compras_mes10[[#This Row],[NETO GRAVADO]:[Otros / No Grav.]])</f>
        <v>15797.190700000001</v>
      </c>
      <c r="Q173" s="547">
        <f>IFERROR(IF(compras_mes10[[#This Row],[CUIT]]="","-",VLOOKUP(compras_mes10[[#This Row],[CUIT]],Lista_CUIT[#All],3,0)),"CUIT NO CARGADO")</f>
        <v>0</v>
      </c>
      <c r="R173" s="547">
        <f>IFERROR(IF(compras_mes10[[#This Row],[CUIT]]="","-",VLOOKUP(compras_mes10[[#This Row],[CUIT]],Lista_CUIT[#All],4,0)),"CUIT NO CARGADO")</f>
        <v>0</v>
      </c>
    </row>
    <row r="174" spans="1:18" x14ac:dyDescent="0.3">
      <c r="A174" s="128"/>
      <c r="B174" s="538">
        <v>45230</v>
      </c>
      <c r="C174" s="539">
        <v>1</v>
      </c>
      <c r="D174" s="540">
        <v>1</v>
      </c>
      <c r="E174" s="541">
        <v>145</v>
      </c>
      <c r="F174" s="542">
        <v>30717934020</v>
      </c>
      <c r="G174" s="543" t="str">
        <f>IFERROR(IF(compras_mes10[[#This Row],[CUIT]]="","-",VLOOKUP(compras_mes10[[#This Row],[CUIT]],Lista_CUIT[#All],2,0)),"CUIT NO CARGADO")</f>
        <v>MILOSCAN SRL</v>
      </c>
      <c r="H174" s="548">
        <v>156000</v>
      </c>
      <c r="I174" s="545">
        <f>IF(compras_mes10[[#This Row],[NETO GRAVADO]]="","",compras_mes10[[#This Row],[NETO GRAVADO]]*0.21)</f>
        <v>32760</v>
      </c>
      <c r="J174" s="528"/>
      <c r="K174" s="528"/>
      <c r="L174" s="528"/>
      <c r="M174" s="528"/>
      <c r="N174" s="528"/>
      <c r="O174" s="528"/>
      <c r="P174" s="546">
        <f>SUM(compras_mes10[[#This Row],[NETO GRAVADO]:[Otros / No Grav.]])</f>
        <v>188760</v>
      </c>
      <c r="Q174" s="547">
        <f>IFERROR(IF(compras_mes10[[#This Row],[CUIT]]="","-",VLOOKUP(compras_mes10[[#This Row],[CUIT]],Lista_CUIT[#All],3,0)),"CUIT NO CARGADO")</f>
        <v>0</v>
      </c>
      <c r="R174" s="547">
        <f>IFERROR(IF(compras_mes10[[#This Row],[CUIT]]="","-",VLOOKUP(compras_mes10[[#This Row],[CUIT]],Lista_CUIT[#All],4,0)),"CUIT NO CARGADO")</f>
        <v>0</v>
      </c>
    </row>
    <row r="175" spans="1:18" s="127" customFormat="1" x14ac:dyDescent="0.3">
      <c r="A175" s="128"/>
      <c r="B175" s="240">
        <v>45230</v>
      </c>
      <c r="C175" s="241">
        <v>1</v>
      </c>
      <c r="D175" s="242">
        <v>1</v>
      </c>
      <c r="E175" s="243">
        <v>144</v>
      </c>
      <c r="F175" s="244">
        <v>30717934020</v>
      </c>
      <c r="G175" s="245" t="str">
        <f>IFERROR(IF(compras_mes10[[#This Row],[CUIT]]="","-",VLOOKUP(compras_mes10[[#This Row],[CUIT]],Lista_CUIT[#All],2,0)),"CUIT NO CARGADO")</f>
        <v>MILOSCAN SRL</v>
      </c>
      <c r="H175" s="46">
        <v>370000</v>
      </c>
      <c r="I175" s="246">
        <f>IF(compras_mes10[[#This Row],[NETO GRAVADO]]="","",compras_mes10[[#This Row],[NETO GRAVADO]]*0.21)</f>
        <v>77700</v>
      </c>
      <c r="J175" s="85"/>
      <c r="K175" s="85"/>
      <c r="L175" s="85"/>
      <c r="M175" s="85"/>
      <c r="N175" s="85"/>
      <c r="O175" s="85"/>
      <c r="P175" s="247">
        <f>SUM(compras_mes10[[#This Row],[NETO GRAVADO]:[Otros / No Grav.]])</f>
        <v>447700</v>
      </c>
      <c r="Q175" s="248">
        <f>IFERROR(IF(compras_mes10[[#This Row],[CUIT]]="","-",VLOOKUP(compras_mes10[[#This Row],[CUIT]],Lista_CUIT[#All],3,0)),"CUIT NO CARGADO")</f>
        <v>0</v>
      </c>
      <c r="R175" s="248">
        <f>IFERROR(IF(compras_mes10[[#This Row],[CUIT]]="","-",VLOOKUP(compras_mes10[[#This Row],[CUIT]],Lista_CUIT[#All],4,0)),"CUIT NO CARGADO")</f>
        <v>0</v>
      </c>
    </row>
    <row r="176" spans="1:18" x14ac:dyDescent="0.3">
      <c r="A176" s="128"/>
      <c r="B176" s="240">
        <v>45230</v>
      </c>
      <c r="C176" s="241">
        <v>1</v>
      </c>
      <c r="D176" s="242">
        <v>5</v>
      </c>
      <c r="E176" s="243">
        <v>404</v>
      </c>
      <c r="F176" s="244">
        <v>27292465063</v>
      </c>
      <c r="G176" s="245" t="str">
        <f>IFERROR(IF(compras_mes10[[#This Row],[CUIT]]="","-",VLOOKUP(compras_mes10[[#This Row],[CUIT]],Lista_CUIT[#All],2,0)),"CUIT NO CARGADO")</f>
        <v>HADDAD MARIA EUGENIA</v>
      </c>
      <c r="H176" s="46">
        <v>9256.19</v>
      </c>
      <c r="I176" s="246">
        <f>IF(compras_mes10[[#This Row],[NETO GRAVADO]]="","",compras_mes10[[#This Row],[NETO GRAVADO]]*0.21)</f>
        <v>1943.7999</v>
      </c>
      <c r="J176" s="85"/>
      <c r="K176" s="85"/>
      <c r="L176" s="85"/>
      <c r="M176" s="85"/>
      <c r="N176" s="85"/>
      <c r="O176" s="85"/>
      <c r="P176" s="247">
        <f>SUM(compras_mes10[[#This Row],[NETO GRAVADO]:[Otros / No Grav.]])</f>
        <v>11199.9899</v>
      </c>
      <c r="Q176" s="248">
        <f>IFERROR(IF(compras_mes10[[#This Row],[CUIT]]="","-",VLOOKUP(compras_mes10[[#This Row],[CUIT]],Lista_CUIT[#All],3,0)),"CUIT NO CARGADO")</f>
        <v>0</v>
      </c>
      <c r="R176" s="248">
        <f>IFERROR(IF(compras_mes10[[#This Row],[CUIT]]="","-",VLOOKUP(compras_mes10[[#This Row],[CUIT]],Lista_CUIT[#All],4,0)),"CUIT NO CARGADO")</f>
        <v>0</v>
      </c>
    </row>
    <row r="177" spans="1:18" x14ac:dyDescent="0.3">
      <c r="A177" s="128"/>
      <c r="B177" s="240">
        <v>45230</v>
      </c>
      <c r="C177" s="241">
        <v>1</v>
      </c>
      <c r="D177" s="242">
        <v>2</v>
      </c>
      <c r="E177" s="243">
        <v>8192</v>
      </c>
      <c r="F177" s="244">
        <v>30714284963</v>
      </c>
      <c r="G177" s="245" t="str">
        <f>IFERROR(IF(compras_mes10[[#This Row],[CUIT]]="","-",VLOOKUP(compras_mes10[[#This Row],[CUIT]],Lista_CUIT[#All],2,0)),"CUIT NO CARGADO")</f>
        <v>ENGYMAN SRL</v>
      </c>
      <c r="H177" s="46">
        <v>73865</v>
      </c>
      <c r="I177" s="246">
        <f>IF(compras_mes10[[#This Row],[NETO GRAVADO]]="","",compras_mes10[[#This Row],[NETO GRAVADO]]*0.21)</f>
        <v>15511.65</v>
      </c>
      <c r="J177" s="85"/>
      <c r="K177" s="85"/>
      <c r="L177" s="85"/>
      <c r="M177" s="85"/>
      <c r="N177" s="85"/>
      <c r="O177" s="85"/>
      <c r="P177" s="247">
        <f>SUM(compras_mes10[[#This Row],[NETO GRAVADO]:[Otros / No Grav.]])</f>
        <v>89376.65</v>
      </c>
      <c r="Q177" s="248">
        <f>IFERROR(IF(compras_mes10[[#This Row],[CUIT]]="","-",VLOOKUP(compras_mes10[[#This Row],[CUIT]],Lista_CUIT[#All],3,0)),"CUIT NO CARGADO")</f>
        <v>0</v>
      </c>
      <c r="R177" s="248">
        <f>IFERROR(IF(compras_mes10[[#This Row],[CUIT]]="","-",VLOOKUP(compras_mes10[[#This Row],[CUIT]],Lista_CUIT[#All],4,0)),"CUIT NO CARGADO")</f>
        <v>0</v>
      </c>
    </row>
    <row r="178" spans="1:18" x14ac:dyDescent="0.3">
      <c r="A178" s="128"/>
      <c r="B178" s="240">
        <v>45230</v>
      </c>
      <c r="C178" s="241">
        <v>1</v>
      </c>
      <c r="D178" s="242">
        <v>2</v>
      </c>
      <c r="E178" s="243">
        <v>3490</v>
      </c>
      <c r="F178" s="244">
        <v>30629863571</v>
      </c>
      <c r="G178" s="245" t="str">
        <f>IFERROR(IF(compras_mes10[[#This Row],[CUIT]]="","-",VLOOKUP(compras_mes10[[#This Row],[CUIT]],Lista_CUIT[#All],2,0)),"CUIT NO CARGADO")</f>
        <v>TECNIMAR S R L</v>
      </c>
      <c r="H178" s="46">
        <v>267927</v>
      </c>
      <c r="I178" s="246">
        <f>IF(compras_mes10[[#This Row],[NETO GRAVADO]]="","",compras_mes10[[#This Row],[NETO GRAVADO]]*0.21)</f>
        <v>56264.67</v>
      </c>
      <c r="J178" s="85"/>
      <c r="K178" s="85"/>
      <c r="L178" s="85"/>
      <c r="M178" s="85"/>
      <c r="N178" s="85"/>
      <c r="O178" s="85"/>
      <c r="P178" s="247">
        <f>SUM(compras_mes10[[#This Row],[NETO GRAVADO]:[Otros / No Grav.]])</f>
        <v>324191.67</v>
      </c>
      <c r="Q178" s="248" t="str">
        <f>IFERROR(IF(compras_mes10[[#This Row],[CUIT]]="","-",VLOOKUP(compras_mes10[[#This Row],[CUIT]],Lista_CUIT[#All],3,0)),"CUIT NO CARGADO")</f>
        <v>LABORATORIO</v>
      </c>
      <c r="R178" s="248">
        <f>IFERROR(IF(compras_mes10[[#This Row],[CUIT]]="","-",VLOOKUP(compras_mes10[[#This Row],[CUIT]],Lista_CUIT[#All],4,0)),"CUIT NO CARGADO")</f>
        <v>0</v>
      </c>
    </row>
    <row r="179" spans="1:18" x14ac:dyDescent="0.3">
      <c r="A179" s="128"/>
      <c r="B179" s="538">
        <v>45230</v>
      </c>
      <c r="C179" s="539">
        <v>3</v>
      </c>
      <c r="D179" s="540">
        <v>1</v>
      </c>
      <c r="E179" s="541">
        <v>8</v>
      </c>
      <c r="F179" s="542">
        <v>30717934020</v>
      </c>
      <c r="G179" s="543" t="str">
        <f>IFERROR(IF(compras_mes10[[#This Row],[CUIT]]="","-",VLOOKUP(compras_mes10[[#This Row],[CUIT]],Lista_CUIT[#All],2,0)),"CUIT NO CARGADO")</f>
        <v>MILOSCAN SRL</v>
      </c>
      <c r="H179" s="548">
        <v>-156000</v>
      </c>
      <c r="I179" s="545">
        <f>IF(compras_mes10[[#This Row],[NETO GRAVADO]]="","",compras_mes10[[#This Row],[NETO GRAVADO]]*0.21)</f>
        <v>-32760</v>
      </c>
      <c r="J179" s="528"/>
      <c r="K179" s="528"/>
      <c r="L179" s="528"/>
      <c r="M179" s="528"/>
      <c r="N179" s="528"/>
      <c r="O179" s="528"/>
      <c r="P179" s="546">
        <f>SUM(compras_mes10[[#This Row],[NETO GRAVADO]:[Otros / No Grav.]])</f>
        <v>-188760</v>
      </c>
      <c r="Q179" s="547">
        <f>IFERROR(IF(compras_mes10[[#This Row],[CUIT]]="","-",VLOOKUP(compras_mes10[[#This Row],[CUIT]],Lista_CUIT[#All],3,0)),"CUIT NO CARGADO")</f>
        <v>0</v>
      </c>
      <c r="R179" s="547">
        <f>IFERROR(IF(compras_mes10[[#This Row],[CUIT]]="","-",VLOOKUP(compras_mes10[[#This Row],[CUIT]],Lista_CUIT[#All],4,0)),"CUIT NO CARGADO")</f>
        <v>0</v>
      </c>
    </row>
    <row r="180" spans="1:18" x14ac:dyDescent="0.3">
      <c r="A180" s="128"/>
      <c r="B180" s="240">
        <v>45209</v>
      </c>
      <c r="C180" s="241">
        <v>1</v>
      </c>
      <c r="D180" s="242">
        <v>9</v>
      </c>
      <c r="E180" s="243">
        <v>14639</v>
      </c>
      <c r="F180" s="244">
        <v>30707059466</v>
      </c>
      <c r="G180" s="245" t="str">
        <f>IFERROR(IF(compras_mes10[[#This Row],[CUIT]]="","-",VLOOKUP(compras_mes10[[#This Row],[CUIT]],Lista_CUIT[#All],2,0)),"CUIT NO CARGADO")</f>
        <v>ESTACION SA</v>
      </c>
      <c r="H180" s="46">
        <v>8280.24</v>
      </c>
      <c r="I180" s="246">
        <f>IF(compras_mes10[[#This Row],[NETO GRAVADO]]="","",compras_mes10[[#This Row],[NETO GRAVADO]]*0.21)</f>
        <v>1738.8503999999998</v>
      </c>
      <c r="J180" s="85"/>
      <c r="K180" s="85"/>
      <c r="L180" s="85"/>
      <c r="M180" s="85"/>
      <c r="N180" s="85"/>
      <c r="O180" s="85">
        <v>983.14</v>
      </c>
      <c r="P180" s="247">
        <f>SUM(compras_mes10[[#This Row],[NETO GRAVADO]:[Otros / No Grav.]])</f>
        <v>11002.230399999999</v>
      </c>
      <c r="Q180" s="248">
        <f>IFERROR(IF(compras_mes10[[#This Row],[CUIT]]="","-",VLOOKUP(compras_mes10[[#This Row],[CUIT]],Lista_CUIT[#All],3,0)),"CUIT NO CARGADO")</f>
        <v>0</v>
      </c>
      <c r="R180" s="248">
        <f>IFERROR(IF(compras_mes10[[#This Row],[CUIT]]="","-",VLOOKUP(compras_mes10[[#This Row],[CUIT]],Lista_CUIT[#All],4,0)),"CUIT NO CARGADO")</f>
        <v>0</v>
      </c>
    </row>
    <row r="181" spans="1:18" x14ac:dyDescent="0.3">
      <c r="B181" s="240"/>
      <c r="C181" s="241"/>
      <c r="D181" s="242"/>
      <c r="E181" s="243"/>
      <c r="F181" s="244"/>
      <c r="G181" s="45" t="str">
        <f>IFERROR(IF(compras_mes10[[#This Row],[CUIT]]="","-",VLOOKUP(compras_mes10[[#This Row],[CUIT]],Lista_CUIT[#All],2,0)),"CUIT NO CARGADO")</f>
        <v>-</v>
      </c>
      <c r="H181" s="46"/>
      <c r="I181" s="246" t="str">
        <f>IF(compras_mes10[[#This Row],[NETO GRAVADO]]="","",compras_mes10[[#This Row],[NETO GRAVADO]]*0.21)</f>
        <v/>
      </c>
      <c r="J181" s="85"/>
      <c r="K181" s="85"/>
      <c r="L181" s="85"/>
      <c r="M181" s="85"/>
      <c r="N181" s="85"/>
      <c r="O181" s="85"/>
      <c r="P181" s="48">
        <f>SUM(compras_mes10[[#This Row],[NETO GRAVADO]:[Otros / No Grav.]])</f>
        <v>0</v>
      </c>
      <c r="Q181" s="49" t="str">
        <f>IFERROR(IF(compras_mes10[[#This Row],[CUIT]]="","-",VLOOKUP(compras_mes10[[#This Row],[CUIT]],Lista_CUIT[#All],3,0)),"CUIT NO CARGADO")</f>
        <v>-</v>
      </c>
      <c r="R181" s="49" t="str">
        <f>IFERROR(IF(compras_mes10[[#This Row],[CUIT]]="","-",VLOOKUP(compras_mes10[[#This Row],[CUIT]],Lista_CUIT[#All],4,0)),"CUIT NO CARGADO")</f>
        <v>-</v>
      </c>
    </row>
    <row r="182" spans="1:18" x14ac:dyDescent="0.3">
      <c r="B182" s="240"/>
      <c r="C182" s="241"/>
      <c r="D182" s="242"/>
      <c r="E182" s="243"/>
      <c r="F182" s="244"/>
      <c r="G182" s="245" t="str">
        <f>IFERROR(IF(compras_mes10[[#This Row],[CUIT]]="","-",VLOOKUP(compras_mes10[[#This Row],[CUIT]],Lista_CUIT[#All],2,0)),"CUIT NO CARGADO")</f>
        <v>-</v>
      </c>
      <c r="H182" s="46"/>
      <c r="I182" s="246" t="str">
        <f>IF(compras_mes10[[#This Row],[NETO GRAVADO]]="","",compras_mes10[[#This Row],[NETO GRAVADO]]*0.21)</f>
        <v/>
      </c>
      <c r="J182" s="85"/>
      <c r="K182" s="85"/>
      <c r="L182" s="85"/>
      <c r="M182" s="85"/>
      <c r="N182" s="85"/>
      <c r="O182" s="85"/>
      <c r="P182" s="247">
        <f>SUM(compras_mes10[[#This Row],[NETO GRAVADO]:[Otros / No Grav.]])</f>
        <v>0</v>
      </c>
      <c r="Q182" s="248" t="str">
        <f>IFERROR(IF(compras_mes10[[#This Row],[CUIT]]="","-",VLOOKUP(compras_mes10[[#This Row],[CUIT]],Lista_CUIT[#All],3,0)),"CUIT NO CARGADO")</f>
        <v>-</v>
      </c>
      <c r="R182" s="248" t="str">
        <f>IFERROR(IF(compras_mes10[[#This Row],[CUIT]]="","-",VLOOKUP(compras_mes10[[#This Row],[CUIT]],Lista_CUIT[#All],4,0)),"CUIT NO CARGADO")</f>
        <v>-</v>
      </c>
    </row>
    <row r="183" spans="1:18" x14ac:dyDescent="0.3">
      <c r="B183" s="240"/>
      <c r="C183" s="241"/>
      <c r="D183" s="242"/>
      <c r="E183" s="243"/>
      <c r="F183" s="244"/>
      <c r="G183" s="245" t="str">
        <f>IFERROR(IF(compras_mes10[[#This Row],[CUIT]]="","-",VLOOKUP(compras_mes10[[#This Row],[CUIT]],Lista_CUIT[#All],2,0)),"CUIT NO CARGADO")</f>
        <v>-</v>
      </c>
      <c r="H183" s="46"/>
      <c r="I183" s="246" t="str">
        <f>IF(compras_mes10[[#This Row],[NETO GRAVADO]]="","",compras_mes10[[#This Row],[NETO GRAVADO]]*0.21)</f>
        <v/>
      </c>
      <c r="J183" s="85"/>
      <c r="K183" s="85"/>
      <c r="L183" s="85"/>
      <c r="M183" s="85"/>
      <c r="N183" s="85"/>
      <c r="O183" s="85"/>
      <c r="P183" s="247">
        <f>SUM(compras_mes10[[#This Row],[NETO GRAVADO]:[Otros / No Grav.]])</f>
        <v>0</v>
      </c>
      <c r="Q183" s="248" t="str">
        <f>IFERROR(IF(compras_mes10[[#This Row],[CUIT]]="","-",VLOOKUP(compras_mes10[[#This Row],[CUIT]],Lista_CUIT[#All],3,0)),"CUIT NO CARGADO")</f>
        <v>-</v>
      </c>
      <c r="R183" s="248" t="str">
        <f>IFERROR(IF(compras_mes10[[#This Row],[CUIT]]="","-",VLOOKUP(compras_mes10[[#This Row],[CUIT]],Lista_CUIT[#All],4,0)),"CUIT NO CARGADO")</f>
        <v>-</v>
      </c>
    </row>
    <row r="184" spans="1:18" x14ac:dyDescent="0.3">
      <c r="B184" s="240"/>
      <c r="C184" s="241"/>
      <c r="D184" s="242"/>
      <c r="E184" s="243"/>
      <c r="F184" s="244"/>
      <c r="G184" s="245" t="str">
        <f>IFERROR(IF(compras_mes10[[#This Row],[CUIT]]="","-",VLOOKUP(compras_mes10[[#This Row],[CUIT]],Lista_CUIT[#All],2,0)),"CUIT NO CARGADO")</f>
        <v>-</v>
      </c>
      <c r="H184" s="46"/>
      <c r="I184" s="246" t="str">
        <f>IF(compras_mes10[[#This Row],[NETO GRAVADO]]="","",compras_mes10[[#This Row],[NETO GRAVADO]]*0.21)</f>
        <v/>
      </c>
      <c r="J184" s="85"/>
      <c r="K184" s="85"/>
      <c r="L184" s="85"/>
      <c r="M184" s="85"/>
      <c r="N184" s="85"/>
      <c r="O184" s="85"/>
      <c r="P184" s="247">
        <f>SUM(compras_mes10[[#This Row],[NETO GRAVADO]:[Otros / No Grav.]])</f>
        <v>0</v>
      </c>
      <c r="Q184" s="248" t="str">
        <f>IFERROR(IF(compras_mes10[[#This Row],[CUIT]]="","-",VLOOKUP(compras_mes10[[#This Row],[CUIT]],Lista_CUIT[#All],3,0)),"CUIT NO CARGADO")</f>
        <v>-</v>
      </c>
      <c r="R184" s="248" t="str">
        <f>IFERROR(IF(compras_mes10[[#This Row],[CUIT]]="","-",VLOOKUP(compras_mes10[[#This Row],[CUIT]],Lista_CUIT[#All],4,0)),"CUIT NO CARGADO")</f>
        <v>-</v>
      </c>
    </row>
    <row r="185" spans="1:18" x14ac:dyDescent="0.3">
      <c r="B185" s="240"/>
      <c r="C185" s="241"/>
      <c r="D185" s="242"/>
      <c r="E185" s="243"/>
      <c r="F185" s="244"/>
      <c r="G185" s="245" t="str">
        <f>IFERROR(IF(compras_mes10[[#This Row],[CUIT]]="","-",VLOOKUP(compras_mes10[[#This Row],[CUIT]],Lista_CUIT[#All],2,0)),"CUIT NO CARGADO")</f>
        <v>-</v>
      </c>
      <c r="H185" s="46"/>
      <c r="I185" s="246" t="str">
        <f>IF(compras_mes10[[#This Row],[NETO GRAVADO]]="","",compras_mes10[[#This Row],[NETO GRAVADO]]*0.21)</f>
        <v/>
      </c>
      <c r="J185" s="85"/>
      <c r="K185" s="85"/>
      <c r="L185" s="85"/>
      <c r="M185" s="85"/>
      <c r="N185" s="85"/>
      <c r="O185" s="85"/>
      <c r="P185" s="247">
        <f>SUM(compras_mes10[[#This Row],[NETO GRAVADO]:[Otros / No Grav.]])</f>
        <v>0</v>
      </c>
      <c r="Q185" s="248" t="str">
        <f>IFERROR(IF(compras_mes10[[#This Row],[CUIT]]="","-",VLOOKUP(compras_mes10[[#This Row],[CUIT]],Lista_CUIT[#All],3,0)),"CUIT NO CARGADO")</f>
        <v>-</v>
      </c>
      <c r="R185" s="248" t="str">
        <f>IFERROR(IF(compras_mes10[[#This Row],[CUIT]]="","-",VLOOKUP(compras_mes10[[#This Row],[CUIT]],Lista_CUIT[#All],4,0)),"CUIT NO CARGADO")</f>
        <v>-</v>
      </c>
    </row>
    <row r="186" spans="1:18" x14ac:dyDescent="0.3">
      <c r="B186" s="555" t="s">
        <v>103</v>
      </c>
      <c r="C186" s="555"/>
      <c r="D186" s="555"/>
      <c r="E186" s="555"/>
      <c r="F186" s="555"/>
      <c r="G186" s="556"/>
      <c r="H186" s="557">
        <f>SUBTOTAL(109,compras_mes10[NETO GRAVADO])</f>
        <v>35075623.439999998</v>
      </c>
      <c r="I186" s="557">
        <f>SUBTOTAL(109,compras_mes10[IVA 21 %])</f>
        <v>7344462.0677000023</v>
      </c>
      <c r="J186" s="557">
        <f>SUBTOTAL(109,compras_mes10[IVA 27%])</f>
        <v>17735.496200000001</v>
      </c>
      <c r="K186" s="557">
        <f>SUBTOTAL(109,compras_mes10[IVA 10,5%])</f>
        <v>3551.4000000000005</v>
      </c>
      <c r="L186" s="557">
        <f>SUBTOTAL(109,compras_mes10[PERC. IVA])</f>
        <v>7026.5199999999995</v>
      </c>
      <c r="M186" s="557">
        <f>SUBTOTAL(109,compras_mes10[PERC IIBB 
BS AS])</f>
        <v>19347.679999999997</v>
      </c>
      <c r="N186" s="557">
        <f>SUBTOTAL(109,compras_mes10[PERC. IIBB CABA])</f>
        <v>89482.61</v>
      </c>
      <c r="O186" s="557">
        <f>SUBTOTAL(109,compras_mes10[Otros / No Grav.])</f>
        <v>84541.040000000008</v>
      </c>
      <c r="P186" s="557">
        <f>SUBTOTAL(109,compras_mes10[TOTAL])</f>
        <v>42641770.253900006</v>
      </c>
      <c r="Q186" s="555"/>
      <c r="R186" s="555"/>
    </row>
    <row r="187" spans="1:18" x14ac:dyDescent="0.3">
      <c r="B187" s="40"/>
      <c r="C187" s="41"/>
      <c r="D187" s="42"/>
      <c r="E187" s="43"/>
      <c r="F187" s="44"/>
      <c r="G187" s="45"/>
      <c r="H187" s="46"/>
      <c r="I187" s="47"/>
      <c r="J187" s="47"/>
      <c r="K187" s="47"/>
      <c r="L187" s="47"/>
      <c r="M187" s="47"/>
      <c r="N187" s="47"/>
      <c r="O187" s="47"/>
      <c r="P187" s="48"/>
      <c r="Q187" s="49"/>
      <c r="R187" s="49"/>
    </row>
    <row r="188" spans="1:18" x14ac:dyDescent="0.3">
      <c r="B188" s="40"/>
      <c r="C188" s="41"/>
      <c r="D188" s="42"/>
      <c r="E188" s="43"/>
      <c r="F188" s="44"/>
      <c r="G188" s="45"/>
      <c r="H188" s="46"/>
      <c r="I188" s="47"/>
      <c r="J188" s="47"/>
      <c r="K188" s="47"/>
      <c r="L188" s="47"/>
      <c r="M188" s="47"/>
      <c r="N188" s="47"/>
      <c r="O188" s="47"/>
      <c r="P188" s="48"/>
      <c r="Q188" s="49"/>
      <c r="R188" s="49"/>
    </row>
    <row r="189" spans="1:18" x14ac:dyDescent="0.3">
      <c r="B189" s="40"/>
      <c r="C189" s="41"/>
      <c r="D189" s="42"/>
      <c r="E189" s="43"/>
      <c r="F189" s="44"/>
      <c r="G189" s="45"/>
      <c r="H189" s="46"/>
      <c r="I189" s="47"/>
      <c r="J189" s="47"/>
      <c r="K189" s="47"/>
      <c r="L189" s="47"/>
      <c r="M189" s="47"/>
      <c r="N189" s="47"/>
      <c r="O189" s="47"/>
      <c r="P189" s="48"/>
      <c r="Q189" s="49"/>
      <c r="R189" s="49"/>
    </row>
    <row r="190" spans="1:18" x14ac:dyDescent="0.3">
      <c r="B190" s="40"/>
      <c r="C190" s="41"/>
      <c r="D190" s="42"/>
      <c r="E190" s="43"/>
      <c r="F190" s="44"/>
      <c r="G190" s="45"/>
      <c r="H190" s="46"/>
      <c r="I190" s="47"/>
      <c r="J190" s="47"/>
      <c r="K190" s="47"/>
      <c r="L190" s="47"/>
    </row>
    <row r="191" spans="1:18" ht="21" x14ac:dyDescent="0.3">
      <c r="D191" s="653" t="s">
        <v>15</v>
      </c>
      <c r="E191" s="653"/>
      <c r="F191" s="653"/>
      <c r="G191" s="653"/>
      <c r="H191" s="653"/>
      <c r="I191" s="653"/>
      <c r="J191" s="653"/>
      <c r="K191" s="653"/>
      <c r="L191" s="653"/>
    </row>
    <row r="192" spans="1:18" ht="15.6" x14ac:dyDescent="0.3">
      <c r="D192" s="73" t="s">
        <v>0</v>
      </c>
      <c r="E192" s="74" t="s">
        <v>26</v>
      </c>
      <c r="F192" s="74" t="s">
        <v>16</v>
      </c>
      <c r="G192" s="74" t="s">
        <v>5</v>
      </c>
      <c r="H192" s="74" t="s">
        <v>17</v>
      </c>
      <c r="I192" s="74" t="s">
        <v>7</v>
      </c>
      <c r="J192" s="75" t="s">
        <v>18</v>
      </c>
      <c r="K192" s="75" t="s">
        <v>19</v>
      </c>
      <c r="L192" s="76" t="s">
        <v>20</v>
      </c>
      <c r="M192" s="560" t="s">
        <v>10</v>
      </c>
    </row>
    <row r="193" spans="4:13" x14ac:dyDescent="0.3">
      <c r="D193" s="50">
        <v>45230</v>
      </c>
      <c r="E193" s="80"/>
      <c r="F193" s="80" t="s">
        <v>2055</v>
      </c>
      <c r="G193" s="81">
        <f>extracto_banco_mes10[[#This Row],[IVA 21%]]*100/21</f>
        <v>33486.761904761901</v>
      </c>
      <c r="H193" s="81">
        <v>7032.2199999999993</v>
      </c>
      <c r="I193" s="81"/>
      <c r="J193" s="81">
        <v>22167.46</v>
      </c>
      <c r="K193" s="81">
        <v>866.43999999999994</v>
      </c>
      <c r="L193" s="81"/>
      <c r="M193" s="559">
        <f>SUM(extracto_banco_mes10[[#This Row],[NETO]:[PERC IIBB]])</f>
        <v>63552.881904761904</v>
      </c>
    </row>
    <row r="194" spans="4:13" x14ac:dyDescent="0.3">
      <c r="D194" s="50">
        <v>45230</v>
      </c>
      <c r="E194" s="79"/>
      <c r="F194" s="80" t="s">
        <v>1933</v>
      </c>
      <c r="G194" s="81">
        <v>3453.7200000000003</v>
      </c>
      <c r="H194" s="81">
        <v>725.29000000000008</v>
      </c>
      <c r="I194" s="81"/>
      <c r="J194" s="81"/>
      <c r="K194" s="81"/>
      <c r="L194" s="81"/>
      <c r="M194" s="559">
        <f>SUM(extracto_banco_mes10[[#This Row],[NETO]:[PERC IIBB]])</f>
        <v>4179.01</v>
      </c>
    </row>
    <row r="195" spans="4:13" x14ac:dyDescent="0.3">
      <c r="D195" s="50">
        <v>45230</v>
      </c>
      <c r="E195" s="134"/>
      <c r="F195" s="80" t="s">
        <v>116</v>
      </c>
      <c r="G195" s="135">
        <f>extracto_banco_mes10[[#This Row],[IVA 21%]]*100/21</f>
        <v>1791.3809523809527</v>
      </c>
      <c r="H195" s="135">
        <v>376.19000000000005</v>
      </c>
      <c r="I195" s="135"/>
      <c r="J195" s="135">
        <v>9996.23</v>
      </c>
      <c r="K195" s="135"/>
      <c r="L195" s="135"/>
      <c r="M195" s="559">
        <f>SUM(extracto_banco_mes10[[#This Row],[NETO]:[PERC IIBB]])</f>
        <v>12163.800952380952</v>
      </c>
    </row>
    <row r="196" spans="4:13" x14ac:dyDescent="0.3">
      <c r="D196" s="50">
        <v>45230</v>
      </c>
      <c r="E196" s="134"/>
      <c r="F196" s="80" t="s">
        <v>2056</v>
      </c>
      <c r="G196" s="135">
        <f>extracto_banco_mes10[[#This Row],[IVA 21%]]*100/21</f>
        <v>36600</v>
      </c>
      <c r="H196" s="135">
        <v>7686</v>
      </c>
      <c r="I196" s="135"/>
      <c r="J196" s="135"/>
      <c r="K196" s="135">
        <v>1098</v>
      </c>
      <c r="L196" s="135"/>
      <c r="M196" s="559">
        <f>SUM(extracto_banco_mes10[[#This Row],[NETO]:[PERC IIBB]])</f>
        <v>45384</v>
      </c>
    </row>
    <row r="197" spans="4:13" x14ac:dyDescent="0.3">
      <c r="D197" s="50">
        <v>45230</v>
      </c>
      <c r="E197" s="134"/>
      <c r="F197" s="80" t="s">
        <v>117</v>
      </c>
      <c r="G197" s="135">
        <f>extracto_banco_mes10[[#This Row],[IVA 21%]]*100/21</f>
        <v>312864.14285714296</v>
      </c>
      <c r="H197" s="135">
        <v>65701.470000000016</v>
      </c>
      <c r="I197" s="135">
        <v>129668.36000000002</v>
      </c>
      <c r="J197" s="135">
        <v>950559.22999999975</v>
      </c>
      <c r="K197" s="135">
        <v>28629.249999999993</v>
      </c>
      <c r="L197" s="135"/>
      <c r="M197" s="559">
        <f>SUM(extracto_banco_mes10[[#This Row],[NETO]:[PERC IIBB]])</f>
        <v>1487422.4528571428</v>
      </c>
    </row>
    <row r="198" spans="4:13" x14ac:dyDescent="0.3">
      <c r="D198" s="50">
        <v>45230</v>
      </c>
      <c r="E198" s="134"/>
      <c r="F198" s="80" t="s">
        <v>2057</v>
      </c>
      <c r="G198" s="135">
        <f>extracto_banco_mes10[[#This Row],[IVA 21%]]*100/21</f>
        <v>8702</v>
      </c>
      <c r="H198" s="135">
        <v>1827.42</v>
      </c>
      <c r="I198" s="135"/>
      <c r="J198" s="135"/>
      <c r="K198" s="135">
        <v>261.06</v>
      </c>
      <c r="L198" s="135"/>
      <c r="M198" s="559">
        <f>SUM(extracto_banco_mes10[[#This Row],[NETO]:[PERC IIBB]])</f>
        <v>10790.48</v>
      </c>
    </row>
    <row r="199" spans="4:13" x14ac:dyDescent="0.3">
      <c r="D199" s="50">
        <v>45230</v>
      </c>
      <c r="E199" s="536"/>
      <c r="F199" s="534" t="s">
        <v>115</v>
      </c>
      <c r="G199" s="537">
        <f>extracto_banco_mes10[[#This Row],[IVA 21%]]*100/21</f>
        <v>14111.238095238092</v>
      </c>
      <c r="H199" s="537">
        <v>2963.3599999999997</v>
      </c>
      <c r="I199" s="537"/>
      <c r="J199" s="537"/>
      <c r="K199" s="537">
        <v>289.72000000000003</v>
      </c>
      <c r="L199" s="537"/>
      <c r="M199" s="559">
        <f>SUM(extracto_banco_mes10[[#This Row],[NETO]:[PERC IIBB]])</f>
        <v>17364.318095238094</v>
      </c>
    </row>
    <row r="200" spans="4:13" x14ac:dyDescent="0.3">
      <c r="D200" s="50">
        <v>45230</v>
      </c>
      <c r="E200" s="79"/>
      <c r="F200" s="80" t="s">
        <v>118</v>
      </c>
      <c r="G200" s="81">
        <f>extracto_banco_mes10[[#This Row],[IVA 21%]]*100/21</f>
        <v>13291.238095238095</v>
      </c>
      <c r="H200" s="81">
        <v>2791.16</v>
      </c>
      <c r="I200" s="81"/>
      <c r="J200" s="81">
        <v>787.5</v>
      </c>
      <c r="K200" s="81">
        <v>393.75</v>
      </c>
      <c r="L200" s="81"/>
      <c r="M200" s="559">
        <f>SUM(extracto_banco_mes10[[#This Row],[NETO]:[PERC IIBB]])</f>
        <v>17263.648095238095</v>
      </c>
    </row>
    <row r="201" spans="4:13" x14ac:dyDescent="0.3">
      <c r="D201" s="50">
        <v>45230</v>
      </c>
      <c r="E201" s="536"/>
      <c r="F201" s="534" t="s">
        <v>2058</v>
      </c>
      <c r="G201" s="537">
        <f>extracto_banco_mes10[[#This Row],[IVA 21%]]*100/21</f>
        <v>1500</v>
      </c>
      <c r="H201" s="537">
        <v>315</v>
      </c>
      <c r="I201" s="537"/>
      <c r="J201" s="537"/>
      <c r="K201" s="537"/>
      <c r="L201" s="537"/>
      <c r="M201" s="559">
        <f>SUM(extracto_banco_mes10[[#This Row],[NETO]:[PERC IIBB]])</f>
        <v>1815</v>
      </c>
    </row>
    <row r="202" spans="4:13" x14ac:dyDescent="0.3">
      <c r="D202" s="533" t="s">
        <v>103</v>
      </c>
      <c r="E202" s="534"/>
      <c r="F202" s="534"/>
      <c r="G202" s="535">
        <f>SUBTOTAL(109,extracto_banco_mes10[NETO])</f>
        <v>425800.48190476204</v>
      </c>
      <c r="H202" s="535">
        <f>SUBTOTAL(109,extracto_banco_mes10[IVA 21%])</f>
        <v>89418.110000000015</v>
      </c>
      <c r="I202" s="535">
        <f>SUBTOTAL(109,extracto_banco_mes10[IVA 10,5%])</f>
        <v>129668.36000000002</v>
      </c>
      <c r="J202" s="535">
        <f>SUBTOTAL(109,extracto_banco_mes10[RET IIBB CABA])</f>
        <v>983510.41999999969</v>
      </c>
      <c r="K202" s="535">
        <f>SUBTOTAL(109,extracto_banco_mes10[PERC IVA])</f>
        <v>31538.219999999994</v>
      </c>
      <c r="L202" s="535">
        <f>SUBTOTAL(109,extracto_banco_mes10[PERC IIBB])</f>
        <v>0</v>
      </c>
      <c r="M202" s="558"/>
    </row>
    <row r="206" spans="4:13" ht="21" x14ac:dyDescent="0.3">
      <c r="D206" s="653" t="s">
        <v>25</v>
      </c>
      <c r="E206" s="653"/>
      <c r="F206" s="653"/>
      <c r="G206" s="653"/>
      <c r="H206" s="653"/>
      <c r="I206" s="653"/>
      <c r="J206" s="653"/>
      <c r="K206" s="653"/>
    </row>
    <row r="207" spans="4:13" x14ac:dyDescent="0.3">
      <c r="D207" s="51" t="s">
        <v>0</v>
      </c>
      <c r="E207" s="51" t="s">
        <v>2</v>
      </c>
      <c r="F207" s="51" t="s">
        <v>74</v>
      </c>
      <c r="G207" s="51" t="s">
        <v>3</v>
      </c>
      <c r="H207" s="51" t="s">
        <v>4</v>
      </c>
      <c r="I207" s="52" t="s">
        <v>10</v>
      </c>
      <c r="J207" s="51" t="s">
        <v>13</v>
      </c>
      <c r="K207" s="51" t="s">
        <v>38</v>
      </c>
    </row>
    <row r="208" spans="4:13" x14ac:dyDescent="0.3">
      <c r="D208" s="50">
        <v>45201</v>
      </c>
      <c r="E208" s="42">
        <v>4</v>
      </c>
      <c r="F208" s="43">
        <v>759</v>
      </c>
      <c r="G208" s="44">
        <v>23242717589</v>
      </c>
      <c r="H208" s="124" t="str">
        <f>IFERROR(IF(factura_c_mes10[[#This Row],[CUIT]]="","-",VLOOKUP(factura_c_mes10[[#This Row],[CUIT]],Lista_CUIT[#All],2,0)),"CUIT NO CARGADO")</f>
        <v>PANIZO DIEGO SEBASTIAN</v>
      </c>
      <c r="I208" s="125">
        <v>2610</v>
      </c>
      <c r="J208" s="126">
        <f>IFERROR(IF(factura_c_mes10[[#This Row],[CUIT]]="","-",VLOOKUP(factura_c_mes10[[#This Row],[CUIT]],Lista_CUIT[#All],3,0)),"CUIT NO CARGADO")</f>
        <v>0</v>
      </c>
      <c r="K208" s="126">
        <f>IFERROR(IF(factura_c_mes10[[#This Row],[CUIT]]="","-",VLOOKUP(factura_c_mes10[[#This Row],[CUIT]],Lista_CUIT[#All],4,0)),"CUIT NO CARGADO")</f>
        <v>0</v>
      </c>
    </row>
    <row r="209" spans="4:11" x14ac:dyDescent="0.3">
      <c r="D209" s="50">
        <v>45201</v>
      </c>
      <c r="E209" s="42">
        <v>3</v>
      </c>
      <c r="F209" s="43">
        <v>779</v>
      </c>
      <c r="G209" s="44">
        <v>20086277523</v>
      </c>
      <c r="H209" s="124" t="str">
        <f>IFERROR(IF(factura_c_mes10[[#This Row],[CUIT]]="","-",VLOOKUP(factura_c_mes10[[#This Row],[CUIT]],Lista_CUIT[#All],2,0)),"CUIT NO CARGADO")</f>
        <v>BOTINDARI JUAN CARLOS</v>
      </c>
      <c r="I209" s="125">
        <v>115000</v>
      </c>
      <c r="J209" s="126" t="str">
        <f>IFERROR(IF(factura_c_mes10[[#This Row],[CUIT]]="","-",VLOOKUP(factura_c_mes10[[#This Row],[CUIT]],Lista_CUIT[#All],3,0)),"CUIT NO CARGADO")</f>
        <v>HONORARIOS</v>
      </c>
      <c r="K209" s="126" t="str">
        <f>IFERROR(IF(factura_c_mes10[[#This Row],[CUIT]]="","-",VLOOKUP(factura_c_mes10[[#This Row],[CUIT]],Lista_CUIT[#All],4,0)),"CUIT NO CARGADO")</f>
        <v>CABA</v>
      </c>
    </row>
    <row r="210" spans="4:11" x14ac:dyDescent="0.3">
      <c r="D210" s="50">
        <v>45202</v>
      </c>
      <c r="E210" s="42">
        <v>2</v>
      </c>
      <c r="F210" s="43">
        <v>19</v>
      </c>
      <c r="G210" s="44">
        <v>20149278290</v>
      </c>
      <c r="H210" s="124" t="str">
        <f>IFERROR(IF(factura_c_mes10[[#This Row],[CUIT]]="","-",VLOOKUP(factura_c_mes10[[#This Row],[CUIT]],Lista_CUIT[#All],2,0)),"CUIT NO CARGADO")</f>
        <v>CAVA BERNARDO</v>
      </c>
      <c r="I210" s="125">
        <v>22890</v>
      </c>
      <c r="J210" s="126">
        <f>IFERROR(IF(factura_c_mes10[[#This Row],[CUIT]]="","-",VLOOKUP(factura_c_mes10[[#This Row],[CUIT]],Lista_CUIT[#All],3,0)),"CUIT NO CARGADO")</f>
        <v>0</v>
      </c>
      <c r="K210" s="126">
        <f>IFERROR(IF(factura_c_mes10[[#This Row],[CUIT]]="","-",VLOOKUP(factura_c_mes10[[#This Row],[CUIT]],Lista_CUIT[#All],4,0)),"CUIT NO CARGADO")</f>
        <v>0</v>
      </c>
    </row>
    <row r="211" spans="4:11" x14ac:dyDescent="0.3">
      <c r="D211" s="50">
        <v>45203</v>
      </c>
      <c r="E211" s="42">
        <v>2</v>
      </c>
      <c r="F211" s="43">
        <v>3784</v>
      </c>
      <c r="G211" s="44">
        <v>20136536320</v>
      </c>
      <c r="H211" s="124" t="str">
        <f>IFERROR(IF(factura_c_mes10[[#This Row],[CUIT]]="","-",VLOOKUP(factura_c_mes10[[#This Row],[CUIT]],Lista_CUIT[#All],2,0)),"CUIT NO CARGADO")</f>
        <v>FONTENLA ERNESTO MARIO</v>
      </c>
      <c r="I211" s="125">
        <v>3200</v>
      </c>
      <c r="J211" s="126" t="str">
        <f>IFERROR(IF(factura_c_mes10[[#This Row],[CUIT]]="","-",VLOOKUP(factura_c_mes10[[#This Row],[CUIT]],Lista_CUIT[#All],3,0)),"CUIT NO CARGADO")</f>
        <v>INSUMO</v>
      </c>
      <c r="K211" s="126" t="str">
        <f>IFERROR(IF(factura_c_mes10[[#This Row],[CUIT]]="","-",VLOOKUP(factura_c_mes10[[#This Row],[CUIT]],Lista_CUIT[#All],4,0)),"CUIT NO CARGADO")</f>
        <v>CABA</v>
      </c>
    </row>
    <row r="212" spans="4:11" x14ac:dyDescent="0.3">
      <c r="D212" s="50">
        <v>45203</v>
      </c>
      <c r="E212" s="42">
        <v>2</v>
      </c>
      <c r="F212" s="43">
        <v>3785</v>
      </c>
      <c r="G212" s="44">
        <v>20136536320</v>
      </c>
      <c r="H212" s="124" t="str">
        <f>IFERROR(IF(factura_c_mes10[[#This Row],[CUIT]]="","-",VLOOKUP(factura_c_mes10[[#This Row],[CUIT]],Lista_CUIT[#All],2,0)),"CUIT NO CARGADO")</f>
        <v>FONTENLA ERNESTO MARIO</v>
      </c>
      <c r="I212" s="125">
        <v>480</v>
      </c>
      <c r="J212" s="126" t="str">
        <f>IFERROR(IF(factura_c_mes10[[#This Row],[CUIT]]="","-",VLOOKUP(factura_c_mes10[[#This Row],[CUIT]],Lista_CUIT[#All],3,0)),"CUIT NO CARGADO")</f>
        <v>INSUMO</v>
      </c>
      <c r="K212" s="126" t="str">
        <f>IFERROR(IF(factura_c_mes10[[#This Row],[CUIT]]="","-",VLOOKUP(factura_c_mes10[[#This Row],[CUIT]],Lista_CUIT[#All],4,0)),"CUIT NO CARGADO")</f>
        <v>CABA</v>
      </c>
    </row>
    <row r="213" spans="4:11" x14ac:dyDescent="0.3">
      <c r="D213" s="50">
        <v>45205</v>
      </c>
      <c r="E213" s="42">
        <v>2</v>
      </c>
      <c r="F213" s="43">
        <v>260</v>
      </c>
      <c r="G213" s="44">
        <v>23319210954</v>
      </c>
      <c r="H213" s="124" t="str">
        <f>IFERROR(IF(factura_c_mes10[[#This Row],[CUIT]]="","-",VLOOKUP(factura_c_mes10[[#This Row],[CUIT]],Lista_CUIT[#All],2,0)),"CUIT NO CARGADO")</f>
        <v>CAFFARATTI ROMINA PAOLA</v>
      </c>
      <c r="I213" s="125">
        <v>42465</v>
      </c>
      <c r="J213" s="126" t="str">
        <f>IFERROR(IF(factura_c_mes10[[#This Row],[CUIT]]="","-",VLOOKUP(factura_c_mes10[[#This Row],[CUIT]],Lista_CUIT[#All],3,0)),"CUIT NO CARGADO")</f>
        <v>HONORARIOS</v>
      </c>
      <c r="K213" s="126">
        <f>IFERROR(IF(factura_c_mes10[[#This Row],[CUIT]]="","-",VLOOKUP(factura_c_mes10[[#This Row],[CUIT]],Lista_CUIT[#All],4,0)),"CUIT NO CARGADO")</f>
        <v>0</v>
      </c>
    </row>
    <row r="214" spans="4:11" x14ac:dyDescent="0.3">
      <c r="D214" s="50">
        <v>45205</v>
      </c>
      <c r="E214" s="42">
        <v>2</v>
      </c>
      <c r="F214" s="43">
        <v>3787</v>
      </c>
      <c r="G214" s="44">
        <v>20136536320</v>
      </c>
      <c r="H214" s="124" t="str">
        <f>IFERROR(IF(factura_c_mes10[[#This Row],[CUIT]]="","-",VLOOKUP(factura_c_mes10[[#This Row],[CUIT]],Lista_CUIT[#All],2,0)),"CUIT NO CARGADO")</f>
        <v>FONTENLA ERNESTO MARIO</v>
      </c>
      <c r="I214" s="125">
        <v>360</v>
      </c>
      <c r="J214" s="126" t="str">
        <f>IFERROR(IF(factura_c_mes10[[#This Row],[CUIT]]="","-",VLOOKUP(factura_c_mes10[[#This Row],[CUIT]],Lista_CUIT[#All],3,0)),"CUIT NO CARGADO")</f>
        <v>INSUMO</v>
      </c>
      <c r="K214" s="126" t="str">
        <f>IFERROR(IF(factura_c_mes10[[#This Row],[CUIT]]="","-",VLOOKUP(factura_c_mes10[[#This Row],[CUIT]],Lista_CUIT[#All],4,0)),"CUIT NO CARGADO")</f>
        <v>CABA</v>
      </c>
    </row>
    <row r="215" spans="4:11" x14ac:dyDescent="0.3">
      <c r="D215" s="50">
        <v>45205</v>
      </c>
      <c r="E215" s="42">
        <v>2</v>
      </c>
      <c r="F215" s="43">
        <v>3788</v>
      </c>
      <c r="G215" s="44">
        <v>20136536320</v>
      </c>
      <c r="H215" s="124" t="str">
        <f>IFERROR(IF(factura_c_mes10[[#This Row],[CUIT]]="","-",VLOOKUP(factura_c_mes10[[#This Row],[CUIT]],Lista_CUIT[#All],2,0)),"CUIT NO CARGADO")</f>
        <v>FONTENLA ERNESTO MARIO</v>
      </c>
      <c r="I215" s="125">
        <v>1400</v>
      </c>
      <c r="J215" s="126" t="str">
        <f>IFERROR(IF(factura_c_mes10[[#This Row],[CUIT]]="","-",VLOOKUP(factura_c_mes10[[#This Row],[CUIT]],Lista_CUIT[#All],3,0)),"CUIT NO CARGADO")</f>
        <v>INSUMO</v>
      </c>
      <c r="K215" s="126" t="str">
        <f>IFERROR(IF(factura_c_mes10[[#This Row],[CUIT]]="","-",VLOOKUP(factura_c_mes10[[#This Row],[CUIT]],Lista_CUIT[#All],4,0)),"CUIT NO CARGADO")</f>
        <v>CABA</v>
      </c>
    </row>
    <row r="216" spans="4:11" x14ac:dyDescent="0.3">
      <c r="D216" s="50">
        <v>45206</v>
      </c>
      <c r="E216" s="42">
        <v>7</v>
      </c>
      <c r="F216" s="43">
        <v>339217</v>
      </c>
      <c r="G216" s="44">
        <v>20259150249</v>
      </c>
      <c r="H216" s="124" t="str">
        <f>IFERROR(IF(factura_c_mes10[[#This Row],[CUIT]]="","-",VLOOKUP(factura_c_mes10[[#This Row],[CUIT]],Lista_CUIT[#All],2,0)),"CUIT NO CARGADO")</f>
        <v>BIANCHI CRISTIAN MAXIMILIANO</v>
      </c>
      <c r="I216" s="125">
        <v>29751</v>
      </c>
      <c r="J216" s="126">
        <f>IFERROR(IF(factura_c_mes10[[#This Row],[CUIT]]="","-",VLOOKUP(factura_c_mes10[[#This Row],[CUIT]],Lista_CUIT[#All],3,0)),"CUIT NO CARGADO")</f>
        <v>0</v>
      </c>
      <c r="K216" s="126">
        <f>IFERROR(IF(factura_c_mes10[[#This Row],[CUIT]]="","-",VLOOKUP(factura_c_mes10[[#This Row],[CUIT]],Lista_CUIT[#All],4,0)),"CUIT NO CARGADO")</f>
        <v>0</v>
      </c>
    </row>
    <row r="217" spans="4:11" x14ac:dyDescent="0.3">
      <c r="D217" s="50">
        <v>45208</v>
      </c>
      <c r="E217" s="42">
        <v>3</v>
      </c>
      <c r="F217" s="43">
        <v>436</v>
      </c>
      <c r="G217" s="44">
        <v>20210551574</v>
      </c>
      <c r="H217" s="124" t="str">
        <f>IFERROR(IF(factura_c_mes10[[#This Row],[CUIT]]="","-",VLOOKUP(factura_c_mes10[[#This Row],[CUIT]],Lista_CUIT[#All],2,0)),"CUIT NO CARGADO")</f>
        <v>REUS JORGE DIEGO</v>
      </c>
      <c r="I217" s="125">
        <v>60500</v>
      </c>
      <c r="J217" s="126" t="str">
        <f>IFERROR(IF(factura_c_mes10[[#This Row],[CUIT]]="","-",VLOOKUP(factura_c_mes10[[#This Row],[CUIT]],Lista_CUIT[#All],3,0)),"CUIT NO CARGADO")</f>
        <v>HONORARIOS PROFESIONALES</v>
      </c>
      <c r="K217" s="126">
        <f>IFERROR(IF(factura_c_mes10[[#This Row],[CUIT]]="","-",VLOOKUP(factura_c_mes10[[#This Row],[CUIT]],Lista_CUIT[#All],4,0)),"CUIT NO CARGADO")</f>
        <v>0</v>
      </c>
    </row>
    <row r="218" spans="4:11" x14ac:dyDescent="0.3">
      <c r="D218" s="50">
        <v>45211</v>
      </c>
      <c r="E218" s="42">
        <v>2</v>
      </c>
      <c r="F218" s="43">
        <v>3790</v>
      </c>
      <c r="G218" s="44">
        <v>20136536320</v>
      </c>
      <c r="H218" s="124" t="str">
        <f>IFERROR(IF(factura_c_mes10[[#This Row],[CUIT]]="","-",VLOOKUP(factura_c_mes10[[#This Row],[CUIT]],Lista_CUIT[#All],2,0)),"CUIT NO CARGADO")</f>
        <v>FONTENLA ERNESTO MARIO</v>
      </c>
      <c r="I218" s="125">
        <v>880</v>
      </c>
      <c r="J218" s="126" t="str">
        <f>IFERROR(IF(factura_c_mes10[[#This Row],[CUIT]]="","-",VLOOKUP(factura_c_mes10[[#This Row],[CUIT]],Lista_CUIT[#All],3,0)),"CUIT NO CARGADO")</f>
        <v>INSUMO</v>
      </c>
      <c r="K218" s="126" t="str">
        <f>IFERROR(IF(factura_c_mes10[[#This Row],[CUIT]]="","-",VLOOKUP(factura_c_mes10[[#This Row],[CUIT]],Lista_CUIT[#All],4,0)),"CUIT NO CARGADO")</f>
        <v>CABA</v>
      </c>
    </row>
    <row r="219" spans="4:11" x14ac:dyDescent="0.3">
      <c r="D219" s="50">
        <v>45213</v>
      </c>
      <c r="E219" s="42">
        <v>2</v>
      </c>
      <c r="F219" s="43">
        <v>3793</v>
      </c>
      <c r="G219" s="44">
        <v>20136536320</v>
      </c>
      <c r="H219" s="53" t="str">
        <f>IFERROR(IF(factura_c_mes10[[#This Row],[CUIT]]="","-",VLOOKUP(factura_c_mes10[[#This Row],[CUIT]],Lista_CUIT[#All],2,0)),"CUIT NO CARGADO")</f>
        <v>FONTENLA ERNESTO MARIO</v>
      </c>
      <c r="I219" s="81">
        <v>1850</v>
      </c>
      <c r="J219" s="54" t="str">
        <f>IFERROR(IF(factura_c_mes10[[#This Row],[CUIT]]="","-",VLOOKUP(factura_c_mes10[[#This Row],[CUIT]],Lista_CUIT[#All],3,0)),"CUIT NO CARGADO")</f>
        <v>INSUMO</v>
      </c>
      <c r="K219" s="54" t="str">
        <f>IFERROR(IF(factura_c_mes10[[#This Row],[CUIT]]="","-",VLOOKUP(factura_c_mes10[[#This Row],[CUIT]],Lista_CUIT[#All],4,0)),"CUIT NO CARGADO")</f>
        <v>CABA</v>
      </c>
    </row>
    <row r="220" spans="4:11" x14ac:dyDescent="0.3">
      <c r="D220" s="50">
        <v>45215</v>
      </c>
      <c r="E220" s="42">
        <v>3</v>
      </c>
      <c r="F220" s="43">
        <v>664</v>
      </c>
      <c r="G220" s="44">
        <v>20173025557</v>
      </c>
      <c r="H220" s="124" t="str">
        <f>IFERROR(IF(factura_c_mes10[[#This Row],[CUIT]]="","-",VLOOKUP(factura_c_mes10[[#This Row],[CUIT]],Lista_CUIT[#All],2,0)),"CUIT NO CARGADO")</f>
        <v>MARAUDA HECTOR</v>
      </c>
      <c r="I220" s="125">
        <v>2000</v>
      </c>
      <c r="J220" s="126">
        <f>IFERROR(IF(factura_c_mes10[[#This Row],[CUIT]]="","-",VLOOKUP(factura_c_mes10[[#This Row],[CUIT]],Lista_CUIT[#All],3,0)),"CUIT NO CARGADO")</f>
        <v>0</v>
      </c>
      <c r="K220" s="126">
        <f>IFERROR(IF(factura_c_mes10[[#This Row],[CUIT]]="","-",VLOOKUP(factura_c_mes10[[#This Row],[CUIT]],Lista_CUIT[#All],4,0)),"CUIT NO CARGADO")</f>
        <v>0</v>
      </c>
    </row>
    <row r="221" spans="4:11" x14ac:dyDescent="0.3">
      <c r="D221" s="50">
        <v>45216</v>
      </c>
      <c r="E221" s="42">
        <v>8</v>
      </c>
      <c r="F221" s="43">
        <v>472</v>
      </c>
      <c r="G221" s="44">
        <v>27409592487</v>
      </c>
      <c r="H221" s="53" t="str">
        <f>IFERROR(IF(factura_c_mes10[[#This Row],[CUIT]]="","-",VLOOKUP(factura_c_mes10[[#This Row],[CUIT]],Lista_CUIT[#All],2,0)),"CUIT NO CARGADO")</f>
        <v>BAUDONE ANTONELLA AGOSTINA</v>
      </c>
      <c r="I221" s="81">
        <v>48160</v>
      </c>
      <c r="J221" s="54">
        <f>IFERROR(IF(factura_c_mes10[[#This Row],[CUIT]]="","-",VLOOKUP(factura_c_mes10[[#This Row],[CUIT]],Lista_CUIT[#All],3,0)),"CUIT NO CARGADO")</f>
        <v>0</v>
      </c>
      <c r="K221" s="54">
        <f>IFERROR(IF(factura_c_mes10[[#This Row],[CUIT]]="","-",VLOOKUP(factura_c_mes10[[#This Row],[CUIT]],Lista_CUIT[#All],4,0)),"CUIT NO CARGADO")</f>
        <v>0</v>
      </c>
    </row>
    <row r="222" spans="4:11" x14ac:dyDescent="0.3">
      <c r="D222" s="50">
        <v>45216</v>
      </c>
      <c r="E222" s="42">
        <v>2</v>
      </c>
      <c r="F222" s="43">
        <v>3804</v>
      </c>
      <c r="G222" s="44">
        <v>20136536320</v>
      </c>
      <c r="H222" s="124" t="str">
        <f>IFERROR(IF(factura_c_mes10[[#This Row],[CUIT]]="","-",VLOOKUP(factura_c_mes10[[#This Row],[CUIT]],Lista_CUIT[#All],2,0)),"CUIT NO CARGADO")</f>
        <v>FONTENLA ERNESTO MARIO</v>
      </c>
      <c r="I222" s="125">
        <v>1725</v>
      </c>
      <c r="J222" s="126" t="str">
        <f>IFERROR(IF(factura_c_mes10[[#This Row],[CUIT]]="","-",VLOOKUP(factura_c_mes10[[#This Row],[CUIT]],Lista_CUIT[#All],3,0)),"CUIT NO CARGADO")</f>
        <v>INSUMO</v>
      </c>
      <c r="K222" s="126" t="str">
        <f>IFERROR(IF(factura_c_mes10[[#This Row],[CUIT]]="","-",VLOOKUP(factura_c_mes10[[#This Row],[CUIT]],Lista_CUIT[#All],4,0)),"CUIT NO CARGADO")</f>
        <v>CABA</v>
      </c>
    </row>
    <row r="223" spans="4:11" x14ac:dyDescent="0.3">
      <c r="D223" s="50">
        <v>45223</v>
      </c>
      <c r="E223" s="42">
        <v>8</v>
      </c>
      <c r="F223" s="43">
        <v>478</v>
      </c>
      <c r="G223" s="44">
        <v>27409592487</v>
      </c>
      <c r="H223" s="124" t="str">
        <f>IFERROR(IF(factura_c_mes10[[#This Row],[CUIT]]="","-",VLOOKUP(factura_c_mes10[[#This Row],[CUIT]],Lista_CUIT[#All],2,0)),"CUIT NO CARGADO")</f>
        <v>BAUDONE ANTONELLA AGOSTINA</v>
      </c>
      <c r="I223" s="125">
        <v>21280</v>
      </c>
      <c r="J223" s="126">
        <f>IFERROR(IF(factura_c_mes10[[#This Row],[CUIT]]="","-",VLOOKUP(factura_c_mes10[[#This Row],[CUIT]],Lista_CUIT[#All],3,0)),"CUIT NO CARGADO")</f>
        <v>0</v>
      </c>
      <c r="K223" s="126">
        <f>IFERROR(IF(factura_c_mes10[[#This Row],[CUIT]]="","-",VLOOKUP(factura_c_mes10[[#This Row],[CUIT]],Lista_CUIT[#All],4,0)),"CUIT NO CARGADO")</f>
        <v>0</v>
      </c>
    </row>
    <row r="224" spans="4:11" x14ac:dyDescent="0.3">
      <c r="D224" s="50">
        <v>45223</v>
      </c>
      <c r="E224" s="42">
        <v>8</v>
      </c>
      <c r="F224" s="43">
        <v>479</v>
      </c>
      <c r="G224" s="44">
        <v>27409592487</v>
      </c>
      <c r="H224" s="124" t="str">
        <f>IFERROR(IF(factura_c_mes10[[#This Row],[CUIT]]="","-",VLOOKUP(factura_c_mes10[[#This Row],[CUIT]],Lista_CUIT[#All],2,0)),"CUIT NO CARGADO")</f>
        <v>BAUDONE ANTONELLA AGOSTINA</v>
      </c>
      <c r="I224" s="125">
        <v>22400</v>
      </c>
      <c r="J224" s="126">
        <f>IFERROR(IF(factura_c_mes10[[#This Row],[CUIT]]="","-",VLOOKUP(factura_c_mes10[[#This Row],[CUIT]],Lista_CUIT[#All],3,0)),"CUIT NO CARGADO")</f>
        <v>0</v>
      </c>
      <c r="K224" s="126">
        <f>IFERROR(IF(factura_c_mes10[[#This Row],[CUIT]]="","-",VLOOKUP(factura_c_mes10[[#This Row],[CUIT]],Lista_CUIT[#All],4,0)),"CUIT NO CARGADO")</f>
        <v>0</v>
      </c>
    </row>
    <row r="225" spans="2:18" x14ac:dyDescent="0.3">
      <c r="D225" s="50">
        <v>45224</v>
      </c>
      <c r="E225" s="42">
        <v>2</v>
      </c>
      <c r="F225" s="43">
        <v>21</v>
      </c>
      <c r="G225" s="44">
        <v>20149278290</v>
      </c>
      <c r="H225" s="53" t="str">
        <f>IFERROR(IF(factura_c_mes10[[#This Row],[CUIT]]="","-",VLOOKUP(factura_c_mes10[[#This Row],[CUIT]],Lista_CUIT[#All],2,0)),"CUIT NO CARGADO")</f>
        <v>CAVA BERNARDO</v>
      </c>
      <c r="I225" s="81">
        <v>25288</v>
      </c>
      <c r="J225" s="54">
        <f>IFERROR(IF(factura_c_mes10[[#This Row],[CUIT]]="","-",VLOOKUP(factura_c_mes10[[#This Row],[CUIT]],Lista_CUIT[#All],3,0)),"CUIT NO CARGADO")</f>
        <v>0</v>
      </c>
      <c r="K225" s="54">
        <f>IFERROR(IF(factura_c_mes10[[#This Row],[CUIT]]="","-",VLOOKUP(factura_c_mes10[[#This Row],[CUIT]],Lista_CUIT[#All],4,0)),"CUIT NO CARGADO")</f>
        <v>0</v>
      </c>
    </row>
    <row r="226" spans="2:18" x14ac:dyDescent="0.3">
      <c r="D226" s="50">
        <v>45225</v>
      </c>
      <c r="E226" s="42">
        <v>2</v>
      </c>
      <c r="F226" s="43">
        <v>3817</v>
      </c>
      <c r="G226" s="44">
        <v>20136536320</v>
      </c>
      <c r="H226" s="53" t="str">
        <f>IFERROR(IF(factura_c_mes10[[#This Row],[CUIT]]="","-",VLOOKUP(factura_c_mes10[[#This Row],[CUIT]],Lista_CUIT[#All],2,0)),"CUIT NO CARGADO")</f>
        <v>FONTENLA ERNESTO MARIO</v>
      </c>
      <c r="I226" s="81">
        <v>1400</v>
      </c>
      <c r="J226" s="54" t="str">
        <f>IFERROR(IF(factura_c_mes10[[#This Row],[CUIT]]="","-",VLOOKUP(factura_c_mes10[[#This Row],[CUIT]],Lista_CUIT[#All],3,0)),"CUIT NO CARGADO")</f>
        <v>INSUMO</v>
      </c>
      <c r="K226" s="54" t="str">
        <f>IFERROR(IF(factura_c_mes10[[#This Row],[CUIT]]="","-",VLOOKUP(factura_c_mes10[[#This Row],[CUIT]],Lista_CUIT[#All],4,0)),"CUIT NO CARGADO")</f>
        <v>CABA</v>
      </c>
    </row>
    <row r="227" spans="2:18" x14ac:dyDescent="0.3">
      <c r="D227" s="50">
        <v>45226</v>
      </c>
      <c r="E227" s="42">
        <v>1</v>
      </c>
      <c r="F227" s="43">
        <v>27</v>
      </c>
      <c r="G227" s="44">
        <v>20176922363</v>
      </c>
      <c r="H227" s="124" t="str">
        <f>IFERROR(IF(factura_c_mes10[[#This Row],[CUIT]]="","-",VLOOKUP(factura_c_mes10[[#This Row],[CUIT]],Lista_CUIT[#All],2,0)),"CUIT NO CARGADO")</f>
        <v>CASTILLO JUAN RAMON</v>
      </c>
      <c r="I227" s="125">
        <v>418000</v>
      </c>
      <c r="J227" s="126">
        <f>IFERROR(IF(factura_c_mes10[[#This Row],[CUIT]]="","-",VLOOKUP(factura_c_mes10[[#This Row],[CUIT]],Lista_CUIT[#All],3,0)),"CUIT NO CARGADO")</f>
        <v>0</v>
      </c>
      <c r="K227" s="126">
        <f>IFERROR(IF(factura_c_mes10[[#This Row],[CUIT]]="","-",VLOOKUP(factura_c_mes10[[#This Row],[CUIT]],Lista_CUIT[#All],4,0)),"CUIT NO CARGADO")</f>
        <v>0</v>
      </c>
    </row>
    <row r="228" spans="2:18" x14ac:dyDescent="0.3">
      <c r="D228" s="50">
        <v>45226</v>
      </c>
      <c r="E228" s="42">
        <v>1</v>
      </c>
      <c r="F228" s="43">
        <v>28</v>
      </c>
      <c r="G228" s="44">
        <v>20176922363</v>
      </c>
      <c r="H228" s="124" t="str">
        <f>IFERROR(IF(factura_c_mes10[[#This Row],[CUIT]]="","-",VLOOKUP(factura_c_mes10[[#This Row],[CUIT]],Lista_CUIT[#All],2,0)),"CUIT NO CARGADO")</f>
        <v>CASTILLO JUAN RAMON</v>
      </c>
      <c r="I228" s="125">
        <v>200000</v>
      </c>
      <c r="J228" s="126">
        <f>IFERROR(IF(factura_c_mes10[[#This Row],[CUIT]]="","-",VLOOKUP(factura_c_mes10[[#This Row],[CUIT]],Lista_CUIT[#All],3,0)),"CUIT NO CARGADO")</f>
        <v>0</v>
      </c>
      <c r="K228" s="126">
        <f>IFERROR(IF(factura_c_mes10[[#This Row],[CUIT]]="","-",VLOOKUP(factura_c_mes10[[#This Row],[CUIT]],Lista_CUIT[#All],4,0)),"CUIT NO CARGADO")</f>
        <v>0</v>
      </c>
    </row>
    <row r="229" spans="2:18" x14ac:dyDescent="0.3">
      <c r="D229" s="50"/>
      <c r="E229" s="42"/>
      <c r="F229" s="43"/>
      <c r="G229" s="44"/>
      <c r="H229" s="124" t="str">
        <f>IFERROR(IF(factura_c_mes10[[#This Row],[CUIT]]="","-",VLOOKUP(factura_c_mes10[[#This Row],[CUIT]],Lista_CUIT[#All],2,0)),"CUIT NO CARGADO")</f>
        <v>-</v>
      </c>
      <c r="I229" s="125"/>
      <c r="J229" s="126" t="str">
        <f>IFERROR(IF(factura_c_mes10[[#This Row],[CUIT]]="","-",VLOOKUP(factura_c_mes10[[#This Row],[CUIT]],Lista_CUIT[#All],3,0)),"CUIT NO CARGADO")</f>
        <v>-</v>
      </c>
      <c r="K229" s="126" t="str">
        <f>IFERROR(IF(factura_c_mes10[[#This Row],[CUIT]]="","-",VLOOKUP(factura_c_mes10[[#This Row],[CUIT]],Lista_CUIT[#All],4,0)),"CUIT NO CARGADO")</f>
        <v>-</v>
      </c>
    </row>
    <row r="230" spans="2:18" x14ac:dyDescent="0.3">
      <c r="D230" s="50"/>
      <c r="E230" s="42"/>
      <c r="F230" s="43"/>
      <c r="G230" s="44"/>
      <c r="H230" s="124" t="str">
        <f>IFERROR(IF(factura_c_mes10[[#This Row],[CUIT]]="","-",VLOOKUP(factura_c_mes10[[#This Row],[CUIT]],Lista_CUIT[#All],2,0)),"CUIT NO CARGADO")</f>
        <v>-</v>
      </c>
      <c r="I230" s="125"/>
      <c r="J230" s="126" t="str">
        <f>IFERROR(IF(factura_c_mes10[[#This Row],[CUIT]]="","-",VLOOKUP(factura_c_mes10[[#This Row],[CUIT]],Lista_CUIT[#All],3,0)),"CUIT NO CARGADO")</f>
        <v>-</v>
      </c>
      <c r="K230" s="126" t="str">
        <f>IFERROR(IF(factura_c_mes10[[#This Row],[CUIT]]="","-",VLOOKUP(factura_c_mes10[[#This Row],[CUIT]],Lista_CUIT[#All],4,0)),"CUIT NO CARGADO")</f>
        <v>-</v>
      </c>
    </row>
    <row r="231" spans="2:18" x14ac:dyDescent="0.3">
      <c r="D231" s="55" t="s">
        <v>103</v>
      </c>
      <c r="E231" s="55"/>
      <c r="F231" s="55"/>
      <c r="G231" s="55"/>
      <c r="H231" s="57"/>
      <c r="I231" s="58">
        <f>SUBTOTAL(109,factura_c_mes10[TOTAL])</f>
        <v>1021639</v>
      </c>
      <c r="J231" s="55"/>
      <c r="K231" s="55"/>
    </row>
    <row r="232" spans="2:18" x14ac:dyDescent="0.3">
      <c r="B232" s="56"/>
      <c r="C232" s="56"/>
      <c r="L232" s="56"/>
      <c r="M232" s="56"/>
      <c r="N232" s="56"/>
      <c r="O232" s="56"/>
      <c r="P232" s="56"/>
      <c r="Q232" s="56"/>
      <c r="R232" s="56"/>
    </row>
    <row r="237" spans="2:18" ht="25.8" x14ac:dyDescent="0.3">
      <c r="B237" s="661" t="s">
        <v>29</v>
      </c>
      <c r="C237" s="661"/>
      <c r="D237" s="661"/>
      <c r="E237" s="661"/>
      <c r="F237" s="661"/>
      <c r="G237" s="661"/>
      <c r="H237" s="661"/>
      <c r="I237" s="661"/>
      <c r="J237" s="661"/>
      <c r="K237" s="657">
        <f>N1</f>
        <v>45200</v>
      </c>
      <c r="L237" s="657"/>
      <c r="M237" s="657"/>
    </row>
    <row r="239" spans="2:18" ht="21" x14ac:dyDescent="0.3">
      <c r="B239" s="654" t="s">
        <v>30</v>
      </c>
      <c r="C239" s="654"/>
    </row>
    <row r="240" spans="2:18" ht="15.6" x14ac:dyDescent="0.3">
      <c r="B240" s="60" t="s">
        <v>0</v>
      </c>
      <c r="C240" s="61" t="s">
        <v>1</v>
      </c>
      <c r="D240" s="61" t="s">
        <v>21</v>
      </c>
      <c r="E240" s="61" t="s">
        <v>22</v>
      </c>
      <c r="F240" s="61" t="s">
        <v>3</v>
      </c>
      <c r="G240" s="61" t="s">
        <v>4</v>
      </c>
      <c r="H240" s="61" t="s">
        <v>23</v>
      </c>
      <c r="I240" s="61" t="s">
        <v>17</v>
      </c>
      <c r="J240" s="61" t="s">
        <v>7</v>
      </c>
      <c r="K240" s="61" t="s">
        <v>24</v>
      </c>
      <c r="L240" s="61" t="s">
        <v>10</v>
      </c>
      <c r="M240" s="62" t="s">
        <v>38</v>
      </c>
    </row>
    <row r="241" spans="2:13" x14ac:dyDescent="0.3">
      <c r="B241" s="40"/>
      <c r="C241" s="41"/>
      <c r="D241" s="42"/>
      <c r="E241" s="43"/>
      <c r="F241" s="44"/>
      <c r="G241" s="99" t="str">
        <f>IFERROR(IF(venta_a_mes10[[#This Row],[CUIT]]="","-",VLOOKUP(venta_a_mes10[[#This Row],[CUIT]],Lista_CUIT[#All],2,0)),"CUIT NO CARGADO")</f>
        <v>-</v>
      </c>
      <c r="H241" s="100"/>
      <c r="I241" s="101">
        <f>venta_a_mes10[[#This Row],[IMPORTE NETO]]*0.21</f>
        <v>0</v>
      </c>
      <c r="J241" s="65"/>
      <c r="K241" s="65"/>
      <c r="L241" s="65">
        <f>SUM(venta_a_mes10[[#This Row],[IMPORTE NETO]:[EXENTO]])</f>
        <v>0</v>
      </c>
      <c r="M241" s="59"/>
    </row>
    <row r="242" spans="2:13" x14ac:dyDescent="0.3">
      <c r="B242" s="40"/>
      <c r="C242" s="41"/>
      <c r="D242" s="42"/>
      <c r="E242" s="43"/>
      <c r="F242" s="44"/>
      <c r="G242" s="99" t="str">
        <f>IFERROR(IF(venta_a_mes10[[#This Row],[CUIT]]="","-",VLOOKUP(venta_a_mes10[[#This Row],[CUIT]],Lista_CUIT[#All],2,0)),"CUIT NO CARGADO")</f>
        <v>-</v>
      </c>
      <c r="H242" s="100"/>
      <c r="I242" s="101">
        <f>venta_a_mes10[[#This Row],[IMPORTE NETO]]*0.21</f>
        <v>0</v>
      </c>
      <c r="J242" s="65"/>
      <c r="K242" s="65"/>
      <c r="L242" s="65">
        <f>SUM(venta_a_mes10[[#This Row],[IMPORTE NETO]:[EXENTO]])</f>
        <v>0</v>
      </c>
      <c r="M242" s="59"/>
    </row>
    <row r="243" spans="2:13" x14ac:dyDescent="0.3">
      <c r="B243" s="40"/>
      <c r="C243" s="41"/>
      <c r="D243" s="42"/>
      <c r="E243" s="43"/>
      <c r="F243" s="44"/>
      <c r="G243" s="99" t="str">
        <f>IFERROR(IF(venta_a_mes10[[#This Row],[CUIT]]="","-",VLOOKUP(venta_a_mes10[[#This Row],[CUIT]],Lista_CUIT[#All],2,0)),"CUIT NO CARGADO")</f>
        <v>-</v>
      </c>
      <c r="H243" s="100"/>
      <c r="I243" s="101">
        <f>venta_a_mes10[[#This Row],[IMPORTE NETO]]*0.21</f>
        <v>0</v>
      </c>
      <c r="J243" s="65"/>
      <c r="K243" s="65"/>
      <c r="L243" s="65">
        <f>SUM(venta_a_mes10[[#This Row],[IMPORTE NETO]:[EXENTO]])</f>
        <v>0</v>
      </c>
      <c r="M243" s="59"/>
    </row>
    <row r="244" spans="2:13" x14ac:dyDescent="0.3">
      <c r="B244" s="40"/>
      <c r="C244" s="41"/>
      <c r="D244" s="42"/>
      <c r="E244" s="43"/>
      <c r="F244" s="44"/>
      <c r="G244" s="99" t="str">
        <f>IFERROR(IF(venta_a_mes10[[#This Row],[CUIT]]="","-",VLOOKUP(venta_a_mes10[[#This Row],[CUIT]],Lista_CUIT[#All],2,0)),"CUIT NO CARGADO")</f>
        <v>-</v>
      </c>
      <c r="H244" s="100"/>
      <c r="I244" s="101">
        <f>venta_a_mes10[[#This Row],[IMPORTE NETO]]*0.21</f>
        <v>0</v>
      </c>
      <c r="J244" s="65"/>
      <c r="K244" s="65"/>
      <c r="L244" s="65">
        <f>SUM(venta_a_mes10[[#This Row],[IMPORTE NETO]:[EXENTO]])</f>
        <v>0</v>
      </c>
      <c r="M244" s="59"/>
    </row>
    <row r="245" spans="2:13" x14ac:dyDescent="0.3">
      <c r="B245" s="40"/>
      <c r="C245" s="41"/>
      <c r="D245" s="42"/>
      <c r="E245" s="43"/>
      <c r="F245" s="44"/>
      <c r="G245" s="99" t="str">
        <f>IFERROR(IF(venta_a_mes10[[#This Row],[CUIT]]="","-",VLOOKUP(venta_a_mes10[[#This Row],[CUIT]],Lista_CUIT[#All],2,0)),"CUIT NO CARGADO")</f>
        <v>-</v>
      </c>
      <c r="H245" s="100"/>
      <c r="I245" s="101">
        <f>venta_a_mes10[[#This Row],[IMPORTE NETO]]*0.21</f>
        <v>0</v>
      </c>
      <c r="J245" s="65"/>
      <c r="K245" s="65"/>
      <c r="L245" s="65">
        <f>SUM(venta_a_mes10[[#This Row],[IMPORTE NETO]:[EXENTO]])</f>
        <v>0</v>
      </c>
      <c r="M245" s="59"/>
    </row>
    <row r="246" spans="2:13" x14ac:dyDescent="0.3">
      <c r="B246" s="40"/>
      <c r="C246" s="41"/>
      <c r="D246" s="42"/>
      <c r="E246" s="43"/>
      <c r="F246" s="44"/>
      <c r="G246" s="99" t="str">
        <f>IFERROR(IF(venta_a_mes10[[#This Row],[CUIT]]="","-",VLOOKUP(venta_a_mes10[[#This Row],[CUIT]],Lista_CUIT[#All],2,0)),"CUIT NO CARGADO")</f>
        <v>-</v>
      </c>
      <c r="H246" s="100"/>
      <c r="I246" s="101">
        <f>venta_a_mes10[[#This Row],[IMPORTE NETO]]*0.21</f>
        <v>0</v>
      </c>
      <c r="J246" s="65"/>
      <c r="K246" s="65"/>
      <c r="L246" s="65">
        <f>SUM(venta_a_mes10[[#This Row],[IMPORTE NETO]:[EXENTO]])</f>
        <v>0</v>
      </c>
      <c r="M246" s="59"/>
    </row>
    <row r="247" spans="2:13" x14ac:dyDescent="0.3">
      <c r="B247" s="40"/>
      <c r="C247" s="41"/>
      <c r="D247" s="42"/>
      <c r="E247" s="43"/>
      <c r="F247" s="44"/>
      <c r="G247" s="99" t="str">
        <f>IFERROR(IF(venta_a_mes10[[#This Row],[CUIT]]="","-",VLOOKUP(venta_a_mes10[[#This Row],[CUIT]],Lista_CUIT[#All],2,0)),"CUIT NO CARGADO")</f>
        <v>-</v>
      </c>
      <c r="H247" s="100"/>
      <c r="I247" s="101">
        <f>venta_a_mes10[[#This Row],[IMPORTE NETO]]*0.21</f>
        <v>0</v>
      </c>
      <c r="J247" s="65"/>
      <c r="K247" s="65"/>
      <c r="L247" s="65">
        <f>SUM(venta_a_mes10[[#This Row],[IMPORTE NETO]:[EXENTO]])</f>
        <v>0</v>
      </c>
      <c r="M247" s="63"/>
    </row>
    <row r="248" spans="2:13" x14ac:dyDescent="0.3">
      <c r="B248" s="102"/>
      <c r="C248" s="103"/>
      <c r="D248" s="104"/>
      <c r="E248" s="105"/>
      <c r="F248" s="106"/>
      <c r="G248" s="99" t="str">
        <f>IFERROR(IF(venta_a_mes10[[#This Row],[CUIT]]="","-",VLOOKUP(venta_a_mes10[[#This Row],[CUIT]],Lista_CUIT[#All],2,0)),"CUIT NO CARGADO")</f>
        <v>-</v>
      </c>
      <c r="H248" s="107"/>
      <c r="I248" s="108">
        <f>venta_a_mes10[[#This Row],[IMPORTE NETO]]*0.21</f>
        <v>0</v>
      </c>
      <c r="J248" s="72"/>
      <c r="K248" s="72"/>
      <c r="L248" s="72">
        <f>SUM(venta_a_mes10[[#This Row],[IMPORTE NETO]:[EXENTO]])</f>
        <v>0</v>
      </c>
      <c r="M248" s="63"/>
    </row>
    <row r="249" spans="2:13" x14ac:dyDescent="0.3">
      <c r="B249" s="109"/>
      <c r="C249" s="110"/>
      <c r="D249" s="111"/>
      <c r="E249" s="112"/>
      <c r="F249" s="113"/>
      <c r="G249" s="99" t="str">
        <f>IFERROR(IF(venta_a_mes10[[#This Row],[CUIT]]="","-",VLOOKUP(venta_a_mes10[[#This Row],[CUIT]],Lista_CUIT[#All],2,0)),"CUIT NO CARGADO")</f>
        <v>-</v>
      </c>
      <c r="H249" s="100"/>
      <c r="I249" s="101">
        <f>venta_a_mes10[[#This Row],[IMPORTE NETO]]*0.21</f>
        <v>0</v>
      </c>
      <c r="J249" s="65"/>
      <c r="K249" s="65"/>
      <c r="L249" s="65">
        <f>SUM(venta_a_mes10[[#This Row],[IMPORTE NETO]:[EXENTO]])</f>
        <v>0</v>
      </c>
      <c r="M249" s="59"/>
    </row>
    <row r="250" spans="2:13" x14ac:dyDescent="0.3">
      <c r="B250" s="66" t="s">
        <v>103</v>
      </c>
      <c r="C250" s="67"/>
      <c r="D250" s="67"/>
      <c r="E250" s="67"/>
      <c r="F250" s="67"/>
      <c r="G250" s="67"/>
      <c r="H250" s="69">
        <f>SUBTOTAL(109,venta_a_mes10[IMPORTE NETO])</f>
        <v>0</v>
      </c>
      <c r="I250" s="70">
        <f>SUBTOTAL(109,venta_a_mes10[IVA 21%])</f>
        <v>0</v>
      </c>
      <c r="J250" s="71">
        <f>SUBTOTAL(109,venta_a_mes10[IVA 10,5%])</f>
        <v>0</v>
      </c>
      <c r="K250" s="71">
        <f>SUBTOTAL(109,venta_a_mes10[EXENTO])</f>
        <v>0</v>
      </c>
      <c r="L250" s="71">
        <f>SUBTOTAL(109,venta_a_mes10[TOTAL])</f>
        <v>0</v>
      </c>
      <c r="M250" s="68">
        <f>SUBTOTAL(103,venta_a_mes10[Provincia])</f>
        <v>0</v>
      </c>
    </row>
    <row r="253" spans="2:13" ht="21" x14ac:dyDescent="0.3">
      <c r="B253" s="654" t="s">
        <v>2068</v>
      </c>
      <c r="C253" s="654"/>
      <c r="G253" t="s">
        <v>2070</v>
      </c>
    </row>
    <row r="254" spans="2:13" ht="15.6" x14ac:dyDescent="0.3">
      <c r="B254" s="60" t="s">
        <v>0</v>
      </c>
      <c r="C254" s="61" t="s">
        <v>1</v>
      </c>
      <c r="D254" s="61" t="s">
        <v>21</v>
      </c>
      <c r="E254" s="61" t="s">
        <v>22</v>
      </c>
      <c r="F254" s="61" t="s">
        <v>3</v>
      </c>
      <c r="G254" s="61" t="s">
        <v>4</v>
      </c>
      <c r="H254" s="61" t="s">
        <v>23</v>
      </c>
      <c r="I254" s="61" t="s">
        <v>17</v>
      </c>
      <c r="J254" s="61" t="s">
        <v>7</v>
      </c>
      <c r="K254" s="61" t="s">
        <v>24</v>
      </c>
      <c r="L254" s="61" t="s">
        <v>10</v>
      </c>
      <c r="M254" s="62" t="s">
        <v>38</v>
      </c>
    </row>
    <row r="255" spans="2:13" x14ac:dyDescent="0.3">
      <c r="B255" s="40">
        <v>45205</v>
      </c>
      <c r="C255" s="41"/>
      <c r="D255" s="42">
        <v>2</v>
      </c>
      <c r="E255" s="43">
        <v>1513</v>
      </c>
      <c r="F255" s="44">
        <v>27220620587</v>
      </c>
      <c r="G255" s="1" t="str">
        <f>IFERROR(IF(ventas_b_mes10[[#This Row],[CUIT]]="","-",VLOOKUP(ventas_b_mes10[[#This Row],[CUIT]],Lista_CUIT[#All],2,0)),"CUIT NO CARGADO")</f>
        <v>SILVINA ZANON</v>
      </c>
      <c r="H255" s="64">
        <v>339648.7844</v>
      </c>
      <c r="I255" s="64"/>
      <c r="J255" s="64"/>
      <c r="K255" s="64"/>
      <c r="L255" s="64"/>
      <c r="M255" s="59"/>
    </row>
    <row r="256" spans="2:13" x14ac:dyDescent="0.3">
      <c r="B256" s="40">
        <v>45205</v>
      </c>
      <c r="C256" s="41"/>
      <c r="D256" s="42">
        <v>2</v>
      </c>
      <c r="E256" s="43">
        <v>1514</v>
      </c>
      <c r="F256" s="44">
        <v>27220620587</v>
      </c>
      <c r="G256" s="1" t="str">
        <f>IFERROR(IF(ventas_b_mes10[[#This Row],[CUIT]]="","-",VLOOKUP(ventas_b_mes10[[#This Row],[CUIT]],Lista_CUIT[#All],2,0)),"CUIT NO CARGADO")</f>
        <v>SILVINA ZANON</v>
      </c>
      <c r="H256" s="64">
        <v>322578.41230000003</v>
      </c>
      <c r="I256" s="64"/>
      <c r="J256" s="64"/>
      <c r="K256" s="64"/>
      <c r="L256" s="64"/>
      <c r="M256" s="59"/>
    </row>
    <row r="257" spans="2:13" x14ac:dyDescent="0.3">
      <c r="B257" s="561">
        <v>45205</v>
      </c>
      <c r="C257" s="562"/>
      <c r="D257" s="563">
        <v>2</v>
      </c>
      <c r="E257" s="564">
        <v>1515</v>
      </c>
      <c r="F257" s="44">
        <v>27220620587</v>
      </c>
      <c r="G257" s="566" t="str">
        <f>IFERROR(IF(ventas_b_mes10[[#This Row],[CUIT]]="","-",VLOOKUP(ventas_b_mes10[[#This Row],[CUIT]],Lista_CUIT[#All],2,0)),"CUIT NO CARGADO")</f>
        <v>SILVINA ZANON</v>
      </c>
      <c r="H257" s="567">
        <v>40568.221400000002</v>
      </c>
      <c r="I257" s="568"/>
      <c r="J257" s="569"/>
      <c r="K257" s="569"/>
      <c r="L257" s="569"/>
      <c r="M257" s="570"/>
    </row>
    <row r="258" spans="2:13" x14ac:dyDescent="0.3">
      <c r="B258" s="561">
        <v>45205</v>
      </c>
      <c r="C258" s="562"/>
      <c r="D258" s="563">
        <v>2</v>
      </c>
      <c r="E258" s="564">
        <v>1516</v>
      </c>
      <c r="F258" s="44">
        <v>27220620587</v>
      </c>
      <c r="G258" s="566" t="str">
        <f>IFERROR(IF(ventas_b_mes10[[#This Row],[CUIT]]="","-",VLOOKUP(ventas_b_mes10[[#This Row],[CUIT]],Lista_CUIT[#All],2,0)),"CUIT NO CARGADO")</f>
        <v>SILVINA ZANON</v>
      </c>
      <c r="H258" s="567">
        <v>201652.89840000001</v>
      </c>
      <c r="I258" s="568"/>
      <c r="J258" s="569"/>
      <c r="K258" s="569"/>
      <c r="L258" s="569"/>
      <c r="M258" s="570"/>
    </row>
    <row r="259" spans="2:13" x14ac:dyDescent="0.3">
      <c r="B259" s="561">
        <v>45205</v>
      </c>
      <c r="C259" s="562"/>
      <c r="D259" s="563">
        <v>2</v>
      </c>
      <c r="E259" s="564">
        <v>1517</v>
      </c>
      <c r="F259" s="44">
        <v>27220620587</v>
      </c>
      <c r="G259" s="566" t="str">
        <f>IFERROR(IF(ventas_b_mes10[[#This Row],[CUIT]]="","-",VLOOKUP(ventas_b_mes10[[#This Row],[CUIT]],Lista_CUIT[#All],2,0)),"CUIT NO CARGADO")</f>
        <v>SILVINA ZANON</v>
      </c>
      <c r="H259" s="567">
        <v>103500</v>
      </c>
      <c r="I259" s="568"/>
      <c r="J259" s="569"/>
      <c r="K259" s="569"/>
      <c r="L259" s="569"/>
      <c r="M259" s="570"/>
    </row>
    <row r="260" spans="2:13" x14ac:dyDescent="0.3">
      <c r="B260" s="581">
        <v>45218</v>
      </c>
      <c r="C260" s="582"/>
      <c r="D260" s="583">
        <v>2</v>
      </c>
      <c r="E260" s="584">
        <v>1542</v>
      </c>
      <c r="F260" s="585"/>
      <c r="G260" s="586" t="s">
        <v>2069</v>
      </c>
      <c r="H260" s="587">
        <v>234686.01490000001</v>
      </c>
      <c r="I260" s="568"/>
      <c r="J260" s="569"/>
      <c r="K260" s="569"/>
      <c r="L260" s="569"/>
      <c r="M260" s="570"/>
    </row>
    <row r="261" spans="2:13" x14ac:dyDescent="0.3">
      <c r="B261" s="581">
        <v>45218</v>
      </c>
      <c r="C261" s="582"/>
      <c r="D261" s="583">
        <v>2</v>
      </c>
      <c r="E261" s="584">
        <v>1543</v>
      </c>
      <c r="F261" s="585"/>
      <c r="G261" s="586" t="s">
        <v>2069</v>
      </c>
      <c r="H261" s="587">
        <v>203874.32835</v>
      </c>
      <c r="I261" s="568"/>
      <c r="J261" s="569"/>
      <c r="K261" s="569"/>
      <c r="L261" s="569"/>
      <c r="M261" s="570"/>
    </row>
    <row r="262" spans="2:13" x14ac:dyDescent="0.3">
      <c r="B262" s="581">
        <v>45218</v>
      </c>
      <c r="C262" s="582"/>
      <c r="D262" s="583">
        <v>2</v>
      </c>
      <c r="E262" s="584">
        <v>1544</v>
      </c>
      <c r="F262" s="585"/>
      <c r="G262" s="586" t="s">
        <v>2069</v>
      </c>
      <c r="H262" s="587">
        <v>176462.66899999999</v>
      </c>
      <c r="I262" s="568"/>
      <c r="J262" s="569"/>
      <c r="K262" s="569"/>
      <c r="L262" s="569"/>
      <c r="M262" s="570"/>
    </row>
    <row r="263" spans="2:13" x14ac:dyDescent="0.3">
      <c r="B263" s="581">
        <v>45218</v>
      </c>
      <c r="C263" s="582"/>
      <c r="D263" s="583">
        <v>2</v>
      </c>
      <c r="E263" s="584">
        <v>1545</v>
      </c>
      <c r="F263" s="585"/>
      <c r="G263" s="586" t="s">
        <v>2069</v>
      </c>
      <c r="H263" s="587">
        <v>165280.81784999999</v>
      </c>
      <c r="I263" s="568"/>
      <c r="J263" s="569"/>
      <c r="K263" s="569"/>
      <c r="L263" s="569"/>
      <c r="M263" s="570"/>
    </row>
    <row r="264" spans="2:13" x14ac:dyDescent="0.3">
      <c r="B264" s="581">
        <v>45218</v>
      </c>
      <c r="C264" s="582"/>
      <c r="D264" s="583">
        <v>2</v>
      </c>
      <c r="E264" s="584">
        <v>1546</v>
      </c>
      <c r="F264" s="585"/>
      <c r="G264" s="586" t="s">
        <v>2069</v>
      </c>
      <c r="H264" s="587">
        <v>241669.65995</v>
      </c>
      <c r="I264" s="568"/>
      <c r="J264" s="569"/>
      <c r="K264" s="569"/>
      <c r="L264" s="569"/>
      <c r="M264" s="570"/>
    </row>
    <row r="265" spans="2:13" x14ac:dyDescent="0.3">
      <c r="B265" s="581">
        <v>45218</v>
      </c>
      <c r="C265" s="582"/>
      <c r="D265" s="583">
        <v>2</v>
      </c>
      <c r="E265" s="584">
        <v>1547</v>
      </c>
      <c r="F265" s="585"/>
      <c r="G265" s="586" t="s">
        <v>2069</v>
      </c>
      <c r="H265" s="587">
        <v>256283.04439999998</v>
      </c>
      <c r="I265" s="568"/>
      <c r="J265" s="569"/>
      <c r="K265" s="569"/>
      <c r="L265" s="569"/>
      <c r="M265" s="570"/>
    </row>
    <row r="266" spans="2:13" x14ac:dyDescent="0.3">
      <c r="B266" s="581">
        <v>45218</v>
      </c>
      <c r="C266" s="582"/>
      <c r="D266" s="583">
        <v>2</v>
      </c>
      <c r="E266" s="584">
        <v>1548</v>
      </c>
      <c r="F266" s="585"/>
      <c r="G266" s="586" t="s">
        <v>2069</v>
      </c>
      <c r="H266" s="587">
        <v>308477.8333</v>
      </c>
      <c r="I266" s="568"/>
      <c r="J266" s="569"/>
      <c r="K266" s="569"/>
      <c r="L266" s="569"/>
      <c r="M266" s="570"/>
    </row>
    <row r="267" spans="2:13" x14ac:dyDescent="0.3">
      <c r="B267" s="581">
        <v>45218</v>
      </c>
      <c r="C267" s="582"/>
      <c r="D267" s="583">
        <v>2</v>
      </c>
      <c r="E267" s="584">
        <v>1549</v>
      </c>
      <c r="F267" s="585"/>
      <c r="G267" s="586" t="s">
        <v>2069</v>
      </c>
      <c r="H267" s="587">
        <v>320684.29060000001</v>
      </c>
      <c r="I267" s="568"/>
      <c r="J267" s="569"/>
      <c r="K267" s="569"/>
      <c r="L267" s="569"/>
      <c r="M267" s="570"/>
    </row>
    <row r="268" spans="2:13" x14ac:dyDescent="0.3">
      <c r="B268" s="581">
        <v>45218</v>
      </c>
      <c r="C268" s="582"/>
      <c r="D268" s="583">
        <v>2</v>
      </c>
      <c r="E268" s="584">
        <v>1550</v>
      </c>
      <c r="F268" s="585"/>
      <c r="G268" s="586" t="s">
        <v>2069</v>
      </c>
      <c r="H268" s="587">
        <v>73899.640899999999</v>
      </c>
      <c r="I268" s="568"/>
      <c r="J268" s="569"/>
      <c r="K268" s="569"/>
      <c r="L268" s="569"/>
      <c r="M268" s="570"/>
    </row>
    <row r="269" spans="2:13" x14ac:dyDescent="0.3">
      <c r="B269" s="581">
        <v>45218</v>
      </c>
      <c r="C269" s="582"/>
      <c r="D269" s="583">
        <v>2</v>
      </c>
      <c r="E269" s="584">
        <v>1551</v>
      </c>
      <c r="F269" s="585"/>
      <c r="G269" s="586" t="s">
        <v>2069</v>
      </c>
      <c r="H269" s="587">
        <v>250143.19265000001</v>
      </c>
      <c r="I269" s="568"/>
      <c r="J269" s="569"/>
      <c r="K269" s="569"/>
      <c r="L269" s="569"/>
      <c r="M269" s="570"/>
    </row>
    <row r="270" spans="2:13" x14ac:dyDescent="0.3">
      <c r="B270" s="581">
        <v>45218</v>
      </c>
      <c r="C270" s="582"/>
      <c r="D270" s="583">
        <v>2</v>
      </c>
      <c r="E270" s="584">
        <v>1552</v>
      </c>
      <c r="F270" s="585"/>
      <c r="G270" s="586" t="s">
        <v>2069</v>
      </c>
      <c r="H270" s="587">
        <v>123681.43535</v>
      </c>
      <c r="I270" s="568"/>
      <c r="J270" s="569"/>
      <c r="K270" s="569"/>
      <c r="L270" s="569"/>
      <c r="M270" s="570"/>
    </row>
    <row r="271" spans="2:13" x14ac:dyDescent="0.3">
      <c r="B271" s="581">
        <v>45218</v>
      </c>
      <c r="C271" s="582"/>
      <c r="D271" s="583">
        <v>2</v>
      </c>
      <c r="E271" s="584">
        <v>1553</v>
      </c>
      <c r="F271" s="585"/>
      <c r="G271" s="586" t="s">
        <v>2069</v>
      </c>
      <c r="H271" s="587">
        <v>216299.35464999999</v>
      </c>
      <c r="I271" s="568"/>
      <c r="J271" s="569"/>
      <c r="K271" s="569"/>
      <c r="L271" s="569"/>
      <c r="M271" s="570"/>
    </row>
    <row r="272" spans="2:13" x14ac:dyDescent="0.3">
      <c r="B272" s="581">
        <v>45218</v>
      </c>
      <c r="C272" s="582"/>
      <c r="D272" s="583">
        <v>2</v>
      </c>
      <c r="E272" s="584">
        <v>1554</v>
      </c>
      <c r="F272" s="585"/>
      <c r="G272" s="586" t="s">
        <v>2069</v>
      </c>
      <c r="H272" s="587">
        <v>57089.126300000004</v>
      </c>
      <c r="I272" s="568"/>
      <c r="J272" s="569"/>
      <c r="K272" s="569"/>
      <c r="L272" s="569"/>
      <c r="M272" s="570"/>
    </row>
    <row r="273" spans="2:13" x14ac:dyDescent="0.3">
      <c r="B273" s="581">
        <v>45218</v>
      </c>
      <c r="C273" s="582"/>
      <c r="D273" s="583">
        <v>2</v>
      </c>
      <c r="E273" s="584">
        <v>1555</v>
      </c>
      <c r="F273" s="585"/>
      <c r="G273" s="586" t="s">
        <v>2069</v>
      </c>
      <c r="H273" s="587">
        <v>26753.978650000001</v>
      </c>
      <c r="I273" s="568"/>
      <c r="J273" s="569"/>
      <c r="K273" s="569"/>
      <c r="L273" s="569"/>
      <c r="M273" s="570"/>
    </row>
    <row r="274" spans="2:13" x14ac:dyDescent="0.3">
      <c r="B274" s="581">
        <v>45218</v>
      </c>
      <c r="C274" s="582"/>
      <c r="D274" s="583">
        <v>2</v>
      </c>
      <c r="E274" s="584">
        <v>1556</v>
      </c>
      <c r="F274" s="585"/>
      <c r="G274" s="586" t="s">
        <v>2069</v>
      </c>
      <c r="H274" s="587">
        <v>36549.122800000005</v>
      </c>
      <c r="I274" s="568"/>
      <c r="J274" s="569"/>
      <c r="K274" s="569"/>
      <c r="L274" s="569"/>
      <c r="M274" s="570"/>
    </row>
    <row r="275" spans="2:13" x14ac:dyDescent="0.3">
      <c r="B275" s="561">
        <v>45225</v>
      </c>
      <c r="C275" s="562"/>
      <c r="D275" s="563">
        <v>2</v>
      </c>
      <c r="E275" s="564">
        <v>1557</v>
      </c>
      <c r="F275" s="565">
        <v>27220620587</v>
      </c>
      <c r="G275" s="566" t="str">
        <f>IFERROR(IF(ventas_b_mes10[[#This Row],[CUIT]]="","-",VLOOKUP(ventas_b_mes10[[#This Row],[CUIT]],Lista_CUIT[#All],2,0)),"CUIT NO CARGADO")</f>
        <v>SILVINA ZANON</v>
      </c>
      <c r="H275" s="567">
        <v>16150.802600000001</v>
      </c>
      <c r="I275" s="568"/>
      <c r="J275" s="569"/>
      <c r="K275" s="569"/>
      <c r="L275" s="569"/>
      <c r="M275" s="570"/>
    </row>
    <row r="276" spans="2:13" x14ac:dyDescent="0.3">
      <c r="B276" s="561">
        <v>45230</v>
      </c>
      <c r="C276" s="562"/>
      <c r="D276" s="563">
        <v>2</v>
      </c>
      <c r="E276" s="564">
        <v>1558</v>
      </c>
      <c r="F276" s="565">
        <v>27220620587</v>
      </c>
      <c r="G276" s="566" t="str">
        <f>IFERROR(IF(ventas_b_mes10[[#This Row],[CUIT]]="","-",VLOOKUP(ventas_b_mes10[[#This Row],[CUIT]],Lista_CUIT[#All],2,0)),"CUIT NO CARGADO")</f>
        <v>SILVINA ZANON</v>
      </c>
      <c r="H276" s="567">
        <v>412059.50390000001</v>
      </c>
      <c r="I276" s="568"/>
      <c r="J276" s="569"/>
      <c r="K276" s="569"/>
      <c r="L276" s="569"/>
      <c r="M276" s="570"/>
    </row>
    <row r="277" spans="2:13" ht="22.5" customHeight="1" x14ac:dyDescent="0.3">
      <c r="B277" s="40">
        <v>45230</v>
      </c>
      <c r="C277" s="41"/>
      <c r="D277" s="42">
        <v>2</v>
      </c>
      <c r="E277" s="43">
        <v>1559</v>
      </c>
      <c r="F277" s="44">
        <v>27220620587</v>
      </c>
      <c r="G277" s="1" t="str">
        <f>IFERROR(IF(ventas_b_mes10[[#This Row],[CUIT]]="","-",VLOOKUP(ventas_b_mes10[[#This Row],[CUIT]],Lista_CUIT[#All],2,0)),"CUIT NO CARGADO")</f>
        <v>SILVINA ZANON</v>
      </c>
      <c r="H277" s="64">
        <v>753012.3125</v>
      </c>
      <c r="I277" s="64"/>
      <c r="J277" s="64"/>
      <c r="K277" s="64"/>
      <c r="L277" s="64"/>
      <c r="M277" s="59"/>
    </row>
    <row r="278" spans="2:13" x14ac:dyDescent="0.3">
      <c r="B278" s="40">
        <v>45230</v>
      </c>
      <c r="C278" s="41"/>
      <c r="D278" s="42">
        <v>2</v>
      </c>
      <c r="E278" s="43">
        <v>1560</v>
      </c>
      <c r="F278" s="44">
        <v>27220620587</v>
      </c>
      <c r="G278" s="1" t="str">
        <f>IFERROR(IF(ventas_b_mes10[[#This Row],[CUIT]]="","-",VLOOKUP(ventas_b_mes10[[#This Row],[CUIT]],Lista_CUIT[#All],2,0)),"CUIT NO CARGADO")</f>
        <v>SILVINA ZANON</v>
      </c>
      <c r="H278" s="64">
        <v>487258.03370000003</v>
      </c>
      <c r="I278" s="64"/>
      <c r="J278" s="64"/>
      <c r="K278" s="64"/>
      <c r="L278" s="64"/>
      <c r="M278" s="59"/>
    </row>
    <row r="279" spans="2:13" x14ac:dyDescent="0.3">
      <c r="B279" s="40">
        <v>45230</v>
      </c>
      <c r="C279" s="41"/>
      <c r="D279" s="42">
        <v>2</v>
      </c>
      <c r="E279" s="43">
        <v>1561</v>
      </c>
      <c r="F279" s="44">
        <v>27220620587</v>
      </c>
      <c r="G279" s="1" t="str">
        <f>IFERROR(IF(ventas_b_mes10[[#This Row],[CUIT]]="","-",VLOOKUP(ventas_b_mes10[[#This Row],[CUIT]],Lista_CUIT[#All],2,0)),"CUIT NO CARGADO")</f>
        <v>SILVINA ZANON</v>
      </c>
      <c r="H279" s="64">
        <v>449551.76360000001</v>
      </c>
      <c r="I279" s="64"/>
      <c r="J279" s="64"/>
      <c r="K279" s="64"/>
      <c r="L279" s="64"/>
      <c r="M279" s="59"/>
    </row>
    <row r="280" spans="2:13" x14ac:dyDescent="0.3">
      <c r="B280" s="40">
        <v>45230</v>
      </c>
      <c r="C280" s="41"/>
      <c r="D280" s="42">
        <v>2</v>
      </c>
      <c r="E280" s="43">
        <v>1562</v>
      </c>
      <c r="F280" s="44">
        <v>27220620587</v>
      </c>
      <c r="G280" s="1" t="str">
        <f>IFERROR(IF(ventas_b_mes10[[#This Row],[CUIT]]="","-",VLOOKUP(ventas_b_mes10[[#This Row],[CUIT]],Lista_CUIT[#All],2,0)),"CUIT NO CARGADO")</f>
        <v>SILVINA ZANON</v>
      </c>
      <c r="H280" s="64">
        <v>424516.55070000002</v>
      </c>
      <c r="I280" s="64"/>
      <c r="J280" s="64"/>
      <c r="K280" s="64"/>
      <c r="L280" s="64"/>
      <c r="M280" s="59"/>
    </row>
    <row r="281" spans="2:13" x14ac:dyDescent="0.3">
      <c r="B281" s="571">
        <v>45230</v>
      </c>
      <c r="C281" s="572"/>
      <c r="D281" s="573">
        <v>2</v>
      </c>
      <c r="E281" s="574">
        <v>1563</v>
      </c>
      <c r="F281" s="575">
        <v>27220620587</v>
      </c>
      <c r="G281" s="576" t="str">
        <f>IFERROR(IF(ventas_b_mes10[[#This Row],[CUIT]]="","-",VLOOKUP(ventas_b_mes10[[#This Row],[CUIT]],Lista_CUIT[#All],2,0)),"CUIT NO CARGADO")</f>
        <v>SILVINA ZANON</v>
      </c>
      <c r="H281" s="577">
        <v>589746.201</v>
      </c>
      <c r="I281" s="578"/>
      <c r="J281" s="579"/>
      <c r="K281" s="579"/>
      <c r="L281" s="579"/>
      <c r="M281" s="580"/>
    </row>
    <row r="282" spans="2:13" x14ac:dyDescent="0.3">
      <c r="B282" s="571">
        <v>45230</v>
      </c>
      <c r="C282" s="572"/>
      <c r="D282" s="573">
        <v>2</v>
      </c>
      <c r="E282" s="574">
        <v>1564</v>
      </c>
      <c r="F282" s="575">
        <v>27220620587</v>
      </c>
      <c r="G282" s="576" t="str">
        <f>IFERROR(IF(ventas_b_mes10[[#This Row],[CUIT]]="","-",VLOOKUP(ventas_b_mes10[[#This Row],[CUIT]],Lista_CUIT[#All],2,0)),"CUIT NO CARGADO")</f>
        <v>SILVINA ZANON</v>
      </c>
      <c r="H282" s="577">
        <v>204407.18520000001</v>
      </c>
      <c r="I282" s="578"/>
      <c r="J282" s="579"/>
      <c r="K282" s="579"/>
      <c r="L282" s="579"/>
      <c r="M282" s="580"/>
    </row>
    <row r="283" spans="2:13" x14ac:dyDescent="0.3">
      <c r="B283" s="571"/>
      <c r="C283" s="572"/>
      <c r="D283" s="573"/>
      <c r="E283" s="574"/>
      <c r="F283" s="575"/>
      <c r="G283" s="576" t="str">
        <f>IFERROR(IF(ventas_b_mes10[[#This Row],[CUIT]]="","-",VLOOKUP(ventas_b_mes10[[#This Row],[CUIT]],Lista_CUIT[#All],2,0)),"CUIT NO CARGADO")</f>
        <v>-</v>
      </c>
      <c r="H283" s="577">
        <f>ventas_b_mes10[[#This Row],[TOTAL]]/1.21</f>
        <v>0</v>
      </c>
      <c r="I283" s="578">
        <f>ventas_b_mes10[[#This Row],[IMPORTE NETO]]*0.21</f>
        <v>0</v>
      </c>
      <c r="J283" s="579"/>
      <c r="K283" s="579"/>
      <c r="L283" s="579"/>
      <c r="M283" s="580"/>
    </row>
    <row r="284" spans="2:13" x14ac:dyDescent="0.3">
      <c r="B284" s="571"/>
      <c r="C284" s="572"/>
      <c r="D284" s="573"/>
      <c r="E284" s="574"/>
      <c r="F284" s="575"/>
      <c r="G284" s="576" t="str">
        <f>IFERROR(IF(ventas_b_mes10[[#This Row],[CUIT]]="","-",VLOOKUP(ventas_b_mes10[[#This Row],[CUIT]],Lista_CUIT[#All],2,0)),"CUIT NO CARGADO")</f>
        <v>-</v>
      </c>
      <c r="H284" s="577">
        <f>ventas_b_mes10[[#This Row],[TOTAL]]/1.21</f>
        <v>0</v>
      </c>
      <c r="I284" s="578">
        <f>ventas_b_mes10[[#This Row],[IMPORTE NETO]]*0.21</f>
        <v>0</v>
      </c>
      <c r="J284" s="579"/>
      <c r="K284" s="579"/>
      <c r="L284" s="579"/>
      <c r="M284" s="580"/>
    </row>
    <row r="285" spans="2:13" x14ac:dyDescent="0.3">
      <c r="B285" s="571"/>
      <c r="C285" s="572"/>
      <c r="D285" s="573"/>
      <c r="E285" s="574"/>
      <c r="F285" s="575"/>
      <c r="G285" s="576" t="str">
        <f>IFERROR(IF(ventas_b_mes10[[#This Row],[CUIT]]="","-",VLOOKUP(ventas_b_mes10[[#This Row],[CUIT]],Lista_CUIT[#All],2,0)),"CUIT NO CARGADO")</f>
        <v>-</v>
      </c>
      <c r="H285" s="577">
        <f>ventas_b_mes10[[#This Row],[TOTAL]]/1.21</f>
        <v>0</v>
      </c>
      <c r="I285" s="578">
        <f>ventas_b_mes10[[#This Row],[IMPORTE NETO]]*0.21</f>
        <v>0</v>
      </c>
      <c r="J285" s="579"/>
      <c r="K285" s="579"/>
      <c r="L285" s="579"/>
      <c r="M285" s="580"/>
    </row>
    <row r="286" spans="2:13" x14ac:dyDescent="0.3">
      <c r="B286" s="571"/>
      <c r="C286" s="572"/>
      <c r="D286" s="573"/>
      <c r="E286" s="574"/>
      <c r="F286" s="575"/>
      <c r="G286" s="576" t="str">
        <f>IFERROR(IF(ventas_b_mes10[[#This Row],[CUIT]]="","-",VLOOKUP(ventas_b_mes10[[#This Row],[CUIT]],Lista_CUIT[#All],2,0)),"CUIT NO CARGADO")</f>
        <v>-</v>
      </c>
      <c r="H286" s="577">
        <f>ventas_b_mes10[[#This Row],[TOTAL]]/1.21</f>
        <v>0</v>
      </c>
      <c r="I286" s="578">
        <f>ventas_b_mes10[[#This Row],[IMPORTE NETO]]*0.21</f>
        <v>0</v>
      </c>
      <c r="J286" s="579"/>
      <c r="K286" s="579"/>
      <c r="L286" s="579"/>
      <c r="M286" s="580"/>
    </row>
    <row r="287" spans="2:13" x14ac:dyDescent="0.3">
      <c r="B287" s="571"/>
      <c r="C287" s="572"/>
      <c r="D287" s="573"/>
      <c r="E287" s="574"/>
      <c r="F287" s="575"/>
      <c r="G287" s="576" t="str">
        <f>IFERROR(IF(ventas_b_mes10[[#This Row],[CUIT]]="","-",VLOOKUP(ventas_b_mes10[[#This Row],[CUIT]],Lista_CUIT[#All],2,0)),"CUIT NO CARGADO")</f>
        <v>-</v>
      </c>
      <c r="H287" s="577">
        <f>ventas_b_mes10[[#This Row],[TOTAL]]/1.21</f>
        <v>0</v>
      </c>
      <c r="I287" s="578">
        <f>ventas_b_mes10[[#This Row],[IMPORTE NETO]]*0.21</f>
        <v>0</v>
      </c>
      <c r="J287" s="579"/>
      <c r="K287" s="579"/>
      <c r="L287" s="579"/>
      <c r="M287" s="580"/>
    </row>
    <row r="288" spans="2:13" ht="15" thickBot="1" x14ac:dyDescent="0.35">
      <c r="B288" s="66" t="s">
        <v>103</v>
      </c>
      <c r="C288" s="67"/>
      <c r="D288" s="67"/>
      <c r="E288" s="67"/>
      <c r="F288" s="67"/>
      <c r="G288" s="67"/>
      <c r="H288" s="77">
        <f>SUBTOTAL(109,ventas_b_mes10[IMPORTE NETO])</f>
        <v>7036485.1793500008</v>
      </c>
      <c r="I288" s="77">
        <f>SUBTOTAL(109,ventas_b_mes10[IVA 21%])</f>
        <v>0</v>
      </c>
      <c r="J288" s="78">
        <f>SUBTOTAL(109,ventas_b_mes10[IVA 10,5%])</f>
        <v>0</v>
      </c>
      <c r="K288" s="78">
        <f>SUBTOTAL(109,ventas_b_mes10[EXENTO])</f>
        <v>0</v>
      </c>
      <c r="L288" s="78">
        <f>SUBTOTAL(109,ventas_b_mes10[TOTAL])</f>
        <v>0</v>
      </c>
      <c r="M288" s="68">
        <f>SUBTOTAL(103,ventas_b_mes10[Provincia])</f>
        <v>0</v>
      </c>
    </row>
    <row r="289" spans="3:12" ht="15" thickTop="1" x14ac:dyDescent="0.3">
      <c r="C289" s="651" t="s">
        <v>66</v>
      </c>
      <c r="D289" s="651"/>
      <c r="E289" s="651"/>
      <c r="F289" s="651"/>
      <c r="G289" s="651"/>
      <c r="H289" s="32"/>
      <c r="I289" s="32"/>
      <c r="J289" s="32"/>
    </row>
    <row r="290" spans="3:12" ht="15.6" x14ac:dyDescent="0.3">
      <c r="C290" s="114" t="s">
        <v>67</v>
      </c>
      <c r="D290" s="115" t="s">
        <v>68</v>
      </c>
      <c r="E290" s="115" t="s">
        <v>105</v>
      </c>
      <c r="F290" s="115" t="s">
        <v>3</v>
      </c>
      <c r="G290" s="115" t="s">
        <v>4</v>
      </c>
      <c r="H290" s="116" t="s">
        <v>69</v>
      </c>
      <c r="I290" s="116" t="s">
        <v>70</v>
      </c>
      <c r="J290" s="116" t="s">
        <v>71</v>
      </c>
      <c r="K290" s="116" t="s">
        <v>72</v>
      </c>
      <c r="L290" s="116" t="s">
        <v>73</v>
      </c>
    </row>
    <row r="291" spans="3:12" x14ac:dyDescent="0.3">
      <c r="C291" s="117"/>
      <c r="D291" s="118"/>
      <c r="E291" s="118"/>
      <c r="F291" s="119"/>
      <c r="G291" s="53" t="str">
        <f>IFERROR(IF(Retenciones_mes10[[#This Row],[CUIT]]="","-",VLOOKUP(Retenciones_mes10[[#This Row],[CUIT]],Lista_CUIT[#All],2,0)),"CUIT NO CARGADO")</f>
        <v>-</v>
      </c>
      <c r="H291" s="120"/>
      <c r="I291" s="120"/>
      <c r="J291" s="120"/>
      <c r="K291" s="120"/>
      <c r="L291" s="120"/>
    </row>
    <row r="292" spans="3:12" x14ac:dyDescent="0.3">
      <c r="C292" s="117"/>
      <c r="D292" s="118"/>
      <c r="E292" s="118"/>
      <c r="F292" s="119"/>
      <c r="G292" s="53" t="str">
        <f>IFERROR(IF(Retenciones_mes10[[#This Row],[CUIT]]="","-",VLOOKUP(Retenciones_mes10[[#This Row],[CUIT]],Lista_CUIT[#All],2,0)),"CUIT NO CARGADO")</f>
        <v>-</v>
      </c>
      <c r="H292" s="120"/>
      <c r="I292" s="120"/>
      <c r="J292" s="120"/>
      <c r="K292" s="120"/>
      <c r="L292" s="120"/>
    </row>
    <row r="293" spans="3:12" x14ac:dyDescent="0.3">
      <c r="C293" s="117"/>
      <c r="D293" s="118"/>
      <c r="E293" s="118"/>
      <c r="F293" s="119"/>
      <c r="G293" s="53" t="str">
        <f>IFERROR(IF(Retenciones_mes10[[#This Row],[CUIT]]="","-",VLOOKUP(Retenciones_mes10[[#This Row],[CUIT]],Lista_CUIT[#All],2,0)),"CUIT NO CARGADO")</f>
        <v>-</v>
      </c>
      <c r="H293" s="120"/>
      <c r="I293" s="120"/>
      <c r="J293" s="120"/>
      <c r="K293" s="120"/>
      <c r="L293" s="120"/>
    </row>
    <row r="294" spans="3:12" x14ac:dyDescent="0.3">
      <c r="C294" s="117"/>
      <c r="D294" s="118"/>
      <c r="E294" s="118"/>
      <c r="F294" s="119"/>
      <c r="G294" s="53" t="str">
        <f>IFERROR(IF(Retenciones_mes10[[#This Row],[CUIT]]="","-",VLOOKUP(Retenciones_mes10[[#This Row],[CUIT]],Lista_CUIT[#All],2,0)),"CUIT NO CARGADO")</f>
        <v>-</v>
      </c>
      <c r="H294" s="120"/>
      <c r="I294" s="120"/>
      <c r="J294" s="120"/>
      <c r="K294" s="120"/>
      <c r="L294" s="120"/>
    </row>
    <row r="295" spans="3:12" x14ac:dyDescent="0.3">
      <c r="D295" s="118"/>
      <c r="E295" s="118"/>
      <c r="G295" s="53" t="str">
        <f>IFERROR(IF(Retenciones_mes10[[#This Row],[CUIT]]="","-",VLOOKUP(Retenciones_mes10[[#This Row],[CUIT]],Lista_CUIT[#All],2,0)),"CUIT NO CARGADO")</f>
        <v>-</v>
      </c>
    </row>
    <row r="296" spans="3:12" x14ac:dyDescent="0.3">
      <c r="C296" s="33"/>
    </row>
  </sheetData>
  <mergeCells count="20">
    <mergeCell ref="P4:R4"/>
    <mergeCell ref="D191:L191"/>
    <mergeCell ref="B1:F1"/>
    <mergeCell ref="G1:M1"/>
    <mergeCell ref="N1:R1"/>
    <mergeCell ref="B3:E3"/>
    <mergeCell ref="G3:H3"/>
    <mergeCell ref="J3:K3"/>
    <mergeCell ref="M3:N3"/>
    <mergeCell ref="P3:R3"/>
    <mergeCell ref="C289:G289"/>
    <mergeCell ref="B4:E4"/>
    <mergeCell ref="G4:H4"/>
    <mergeCell ref="J4:K4"/>
    <mergeCell ref="M4:N4"/>
    <mergeCell ref="D206:K206"/>
    <mergeCell ref="B237:J237"/>
    <mergeCell ref="K237:M237"/>
    <mergeCell ref="B239:C239"/>
    <mergeCell ref="B253:C253"/>
  </mergeCells>
  <dataValidations count="12">
    <dataValidation type="custom" allowBlank="1" showInputMessage="1" showErrorMessage="1" sqref="L246:L247" xr:uid="{00000000-0002-0000-0A00-000000000000}">
      <formula1>IF($C186=3,L186&lt;0,L186&gt;=0)</formula1>
    </dataValidation>
    <dataValidation type="custom" allowBlank="1" showInputMessage="1" showErrorMessage="1" sqref="L243:L245" xr:uid="{00000000-0002-0000-0A00-000001000000}">
      <formula1>IF($C13=3,L13&lt;0,L13&gt;=0)</formula1>
    </dataValidation>
    <dataValidation type="custom" allowBlank="1" showInputMessage="1" showErrorMessage="1" sqref="L241:L242" xr:uid="{00000000-0002-0000-0A00-000002000000}">
      <formula1>IF($C9=3,L9&lt;0,L9&gt;=0)</formula1>
    </dataValidation>
    <dataValidation type="custom" allowBlank="1" showInputMessage="1" showErrorMessage="1" sqref="H241:K241 H243:K243 H245:K245 H247:K247" xr:uid="{00000000-0002-0000-0A00-000003000000}">
      <formula1>IF($C241=3,H241&lt;0,H241&gt;=0)</formula1>
    </dataValidation>
    <dataValidation type="whole" allowBlank="1" showInputMessage="1" showErrorMessage="1" sqref="C187:C190 C241:C249 C9:C185" xr:uid="{00000000-0002-0000-0A00-000004000000}">
      <formula1>1</formula1>
      <formula2>3</formula2>
    </dataValidation>
    <dataValidation type="date" allowBlank="1" showInputMessage="1" showErrorMessage="1" sqref="B9:B185 B241:B249 B187:B190 D208:D230 D193:D201 B255:B287" xr:uid="{00000000-0002-0000-0A00-000005000000}">
      <formula1>40179</formula1>
      <formula2>TODAY()</formula2>
    </dataValidation>
    <dataValidation type="whole" allowBlank="1" showInputMessage="1" showErrorMessage="1" sqref="F241:F249 G208:G230 F9:F185 F255:F287" xr:uid="{00000000-0002-0000-0A00-000006000000}">
      <formula1>20000000000</formula1>
      <formula2>33999999999</formula2>
    </dataValidation>
    <dataValidation type="whole" allowBlank="1" showInputMessage="1" showErrorMessage="1" sqref="E241:E249 F208:F230 E9:E185 E255:E287" xr:uid="{00000000-0002-0000-0A00-000007000000}">
      <formula1>1</formula1>
      <formula2>99999999</formula2>
    </dataValidation>
    <dataValidation type="whole" allowBlank="1" showInputMessage="1" showErrorMessage="1" sqref="D241:D249 E208:E230 D9:D185 D255:D287" xr:uid="{00000000-0002-0000-0A00-000008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5" xr:uid="{00000000-0002-0000-0A00-000009000000}">
      <formula1>IF($C9=3,H9&lt;0,H9&gt;=0)</formula1>
    </dataValidation>
    <dataValidation type="whole" allowBlank="1" showInputMessage="1" showErrorMessage="1" sqref="C255:C287" xr:uid="{00000000-0002-0000-0A00-00000A000000}">
      <formula1>6</formula1>
      <formula2>8</formula2>
    </dataValidation>
    <dataValidation type="custom" allowBlank="1" showInputMessage="1" showErrorMessage="1" sqref="H255:L287" xr:uid="{00000000-0002-0000-0A00-00000B000000}">
      <formula1>IF($C255=8,H255&lt;0,H255&gt;=0)</formula1>
    </dataValidation>
  </dataValidations>
  <pageMargins left="0.7" right="0.7" top="0.75" bottom="0.75" header="0.3" footer="0.3"/>
  <pageSetup paperSize="9" orientation="portrait" r:id="rId1"/>
  <ignoredErrors>
    <ignoredError sqref="H255:I282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3026"/>
  <sheetViews>
    <sheetView showGridLines="0" zoomScale="80" zoomScaleNormal="80" workbookViewId="0">
      <selection activeCell="G8" sqref="G8"/>
    </sheetView>
  </sheetViews>
  <sheetFormatPr baseColWidth="10" defaultColWidth="0" defaultRowHeight="14.4" x14ac:dyDescent="0.3"/>
  <cols>
    <col min="1" max="1" width="1.6640625" customWidth="1"/>
    <col min="2" max="2" width="16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31" customWidth="1"/>
    <col min="8" max="8" width="24.109375" customWidth="1"/>
    <col min="9" max="9" width="14.88671875" customWidth="1"/>
    <col min="10" max="10" width="17.88671875" customWidth="1"/>
    <col min="11" max="11" width="12" customWidth="1"/>
    <col min="12" max="12" width="15" customWidth="1"/>
    <col min="13" max="13" width="21.5546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5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65" t="str">
        <f>'Ene-23'!G1:M1</f>
        <v>EUROARGENTINA</v>
      </c>
      <c r="H1" s="665"/>
      <c r="I1" s="665"/>
      <c r="J1" s="665"/>
      <c r="K1" s="665"/>
      <c r="L1" s="665"/>
      <c r="M1" s="665"/>
      <c r="N1" s="652">
        <f>EDATE('Ene-23'!N1,10)</f>
        <v>45231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SUM(compras_mes11[[#Totals],[NETO GRAVADO]])+extracto_banco_mes11[[#Totals],[NETO]]</f>
        <v>8407667.8581250012</v>
      </c>
      <c r="C4" s="659"/>
      <c r="D4" s="659"/>
      <c r="E4" s="659"/>
      <c r="F4" s="39"/>
      <c r="G4" s="660">
        <f>compras_mes11[[#Totals],[IVA 21 %]]+compras_mes11[[#Totals],[IVA 27%]]+compras_mes11[[#Totals],[IVA 10,5%]]+extracto_banco_mes11[[#Totals],[IVA 21%]]+extracto_banco_mes11[[#Totals],[IVA 10,5%]]</f>
        <v>1757560.1974062501</v>
      </c>
      <c r="H4" s="660"/>
      <c r="I4" s="39"/>
      <c r="J4" s="649">
        <f>venta_a_mes11[[#Totals],[IMPORTE NETO]]+ventas_b_mes11[[#Totals],[IMPORTE NETO]]</f>
        <v>0</v>
      </c>
      <c r="K4" s="649"/>
      <c r="L4" s="39"/>
      <c r="M4" s="649">
        <f>venta_a_mes11[[#Totals],[IVA 21%]]+venta_a_mes11[[#Totals],[IVA 10,5%]]+ventas_b_mes11[[#Totals],[IVA 21%]]+ventas_b_mes11[[#Totals],[IVA 10,5%]]</f>
        <v>0</v>
      </c>
      <c r="N4" s="649"/>
      <c r="O4" s="39"/>
      <c r="P4" s="662">
        <f>G4-M4</f>
        <v>1757560.1974062501</v>
      </c>
      <c r="Q4" s="663"/>
      <c r="R4" s="663"/>
    </row>
    <row r="5" spans="1:26" ht="8.25" customHeight="1" x14ac:dyDescent="0.3"/>
    <row r="6" spans="1:26" ht="20.25" customHeight="1" x14ac:dyDescent="0.3">
      <c r="G6" s="128"/>
      <c r="H6" s="128"/>
      <c r="I6" s="128"/>
    </row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36">
        <v>44835</v>
      </c>
      <c r="C9" s="137">
        <v>3</v>
      </c>
      <c r="D9" s="138">
        <v>5</v>
      </c>
      <c r="E9" s="139">
        <v>16</v>
      </c>
      <c r="F9" s="140">
        <v>20367393042</v>
      </c>
      <c r="G9" s="141" t="str">
        <f>IFERROR(IF(compras_mes11[[#This Row],[CUIT]]="","-",VLOOKUP(compras_mes11[[#This Row],[CUIT]],Lista_CUIT[#All],2,0)),"CUIT NO CARGADO")</f>
        <v>RITACCO RODRIGO</v>
      </c>
      <c r="H9" s="147">
        <v>-48743.8</v>
      </c>
      <c r="I9" s="142">
        <f>IF(compras_mes11[[#This Row],[NETO GRAVADO]]="","",compras_mes11[[#This Row],[NETO GRAVADO]]*0.21)</f>
        <v>-10236.198</v>
      </c>
      <c r="J9" s="142"/>
      <c r="K9" s="142"/>
      <c r="L9" s="142"/>
      <c r="M9" s="142"/>
      <c r="N9" s="142"/>
      <c r="O9" s="142"/>
      <c r="P9" s="143">
        <f>SUM(compras_mes11[[#This Row],[NETO GRAVADO]:[Otros / No Grav.]])</f>
        <v>-58979.998000000007</v>
      </c>
      <c r="Q9" s="144">
        <f>IFERROR(IF(compras_mes11[[#This Row],[CUIT]]="","-",VLOOKUP(compras_mes11[[#This Row],[CUIT]],Lista_CUIT[#All],3,0)),"CUIT NO CARGADO")</f>
        <v>0</v>
      </c>
      <c r="R9" s="144">
        <f>IFERROR(IF(compras_mes11[[#This Row],[CUIT]]="","-",VLOOKUP(compras_mes11[[#This Row],[CUIT]],Lista_CUIT[#All],4,0)),"CUIT NO CARGADO")</f>
        <v>0</v>
      </c>
    </row>
    <row r="10" spans="1:26" x14ac:dyDescent="0.3">
      <c r="B10" s="89">
        <v>44835</v>
      </c>
      <c r="C10" s="41">
        <v>1</v>
      </c>
      <c r="D10" s="91">
        <v>591</v>
      </c>
      <c r="E10" s="92">
        <v>1219</v>
      </c>
      <c r="F10" s="93">
        <v>30590360763</v>
      </c>
      <c r="G10" s="94" t="str">
        <f>IFERROR(IF(compras_mes11[[#This Row],[CUIT]]="","-",VLOOKUP(compras_mes11[[#This Row],[CUIT]],Lista_CUIT[#All],2,0)),"CUIT NO CARGADO")</f>
        <v>CENCOSUD S.A</v>
      </c>
      <c r="H10" s="150">
        <v>1789.26</v>
      </c>
      <c r="I10" s="86">
        <f>IF(compras_mes11[[#This Row],[NETO GRAVADO]]="","",compras_mes11[[#This Row],[NETO GRAVADO]]*0.21)</f>
        <v>375.74459999999999</v>
      </c>
      <c r="J10" s="86"/>
      <c r="K10" s="86"/>
      <c r="L10" s="86"/>
      <c r="M10" s="86"/>
      <c r="N10" s="86"/>
      <c r="O10" s="86"/>
      <c r="P10" s="87">
        <f>SUM(compras_mes11[[#This Row],[NETO GRAVADO]:[Otros / No Grav.]])</f>
        <v>2165.0046000000002</v>
      </c>
      <c r="Q10" s="88" t="str">
        <f>IFERROR(IF(compras_mes11[[#This Row],[CUIT]]="","-",VLOOKUP(compras_mes11[[#This Row],[CUIT]],Lista_CUIT[#All],3,0)),"CUIT NO CARGADO")</f>
        <v>Gastos Varios</v>
      </c>
      <c r="R10" s="88">
        <f>IFERROR(IF(compras_mes11[[#This Row],[CUIT]]="","-",VLOOKUP(compras_mes11[[#This Row],[CUIT]],Lista_CUIT[#All],4,0)),"CUIT NO CARGADO")</f>
        <v>0</v>
      </c>
    </row>
    <row r="11" spans="1:26" x14ac:dyDescent="0.3">
      <c r="B11" s="89">
        <v>44835</v>
      </c>
      <c r="C11" s="41">
        <v>1</v>
      </c>
      <c r="D11" s="91">
        <v>5</v>
      </c>
      <c r="E11" s="92">
        <v>2518</v>
      </c>
      <c r="F11" s="93">
        <v>20367393042</v>
      </c>
      <c r="G11" s="94" t="str">
        <f>IFERROR(IF(compras_mes11[[#This Row],[CUIT]]="","-",VLOOKUP(compras_mes11[[#This Row],[CUIT]],Lista_CUIT[#All],2,0)),"CUIT NO CARGADO")</f>
        <v>RITACCO RODRIGO</v>
      </c>
      <c r="H11" s="146">
        <v>48743.8</v>
      </c>
      <c r="I11" s="86">
        <f>IF(compras_mes11[[#This Row],[NETO GRAVADO]]="","",compras_mes11[[#This Row],[NETO GRAVADO]]*0.21)</f>
        <v>10236.198</v>
      </c>
      <c r="J11" s="86"/>
      <c r="K11" s="86"/>
      <c r="L11" s="86"/>
      <c r="M11" s="86"/>
      <c r="N11" s="86"/>
      <c r="O11" s="86"/>
      <c r="P11" s="87">
        <f>SUM(compras_mes11[[#This Row],[NETO GRAVADO]:[Otros / No Grav.]])</f>
        <v>58979.998000000007</v>
      </c>
      <c r="Q11" s="88">
        <f>IFERROR(IF(compras_mes11[[#This Row],[CUIT]]="","-",VLOOKUP(compras_mes11[[#This Row],[CUIT]],Lista_CUIT[#All],3,0)),"CUIT NO CARGADO")</f>
        <v>0</v>
      </c>
      <c r="R11" s="88">
        <f>IFERROR(IF(compras_mes11[[#This Row],[CUIT]]="","-",VLOOKUP(compras_mes11[[#This Row],[CUIT]],Lista_CUIT[#All],4,0)),"CUIT NO CARGADO")</f>
        <v>0</v>
      </c>
    </row>
    <row r="12" spans="1:26" x14ac:dyDescent="0.3">
      <c r="B12" s="40">
        <v>44835</v>
      </c>
      <c r="C12" s="41">
        <v>1</v>
      </c>
      <c r="D12" s="42">
        <v>2199</v>
      </c>
      <c r="E12" s="43">
        <v>18199</v>
      </c>
      <c r="F12" s="44">
        <v>30548083156</v>
      </c>
      <c r="G12" s="45" t="str">
        <f>IFERROR(IF(compras_mes11[[#This Row],[CUIT]]="","-",VLOOKUP(compras_mes11[[#This Row],[CUIT]],Lista_CUIT[#All],2,0)),"CUIT NO CARGADO")</f>
        <v>COTO CENTRO INTEGRAL DE COMERCIALIZACION SOCIEDAD ANONIMA</v>
      </c>
      <c r="H12" s="152">
        <v>5509.55</v>
      </c>
      <c r="I12" s="85">
        <v>435.57</v>
      </c>
      <c r="J12" s="85"/>
      <c r="K12" s="85">
        <v>360.72</v>
      </c>
      <c r="L12" s="85">
        <v>62.22</v>
      </c>
      <c r="M12" s="85"/>
      <c r="N12" s="85">
        <v>293.83</v>
      </c>
      <c r="O12" s="85"/>
      <c r="P12" s="48">
        <f>SUM(compras_mes11[[#This Row],[NETO GRAVADO]:[Otros / No Grav.]])</f>
        <v>6661.89</v>
      </c>
      <c r="Q12" s="49" t="str">
        <f>IFERROR(IF(compras_mes11[[#This Row],[CUIT]]="","-",VLOOKUP(compras_mes11[[#This Row],[CUIT]],Lista_CUIT[#All],3,0)),"CUIT NO CARGADO")</f>
        <v>GASTOS COMERCIALES</v>
      </c>
      <c r="R12" s="49">
        <f>IFERROR(IF(compras_mes11[[#This Row],[CUIT]]="","-",VLOOKUP(compras_mes11[[#This Row],[CUIT]],Lista_CUIT[#All],4,0)),"CUIT NO CARGADO")</f>
        <v>0</v>
      </c>
    </row>
    <row r="13" spans="1:26" x14ac:dyDescent="0.3">
      <c r="B13" s="40">
        <v>44836</v>
      </c>
      <c r="C13" s="41">
        <v>1</v>
      </c>
      <c r="D13" s="42">
        <v>1</v>
      </c>
      <c r="E13" s="43">
        <v>306</v>
      </c>
      <c r="F13" s="44">
        <v>20131206144</v>
      </c>
      <c r="G13" s="45" t="str">
        <f>IFERROR(IF(compras_mes11[[#This Row],[CUIT]]="","-",VLOOKUP(compras_mes11[[#This Row],[CUIT]],Lista_CUIT[#All],2,0)),"CUIT NO CARGADO")</f>
        <v>CHAMORRO MANUEL</v>
      </c>
      <c r="H13" s="146">
        <v>60000</v>
      </c>
      <c r="I13" s="85">
        <f>IF(compras_mes11[[#This Row],[NETO GRAVADO]]="","",compras_mes11[[#This Row],[NETO GRAVADO]]*0.21)</f>
        <v>12600</v>
      </c>
      <c r="J13" s="85"/>
      <c r="K13" s="85"/>
      <c r="L13" s="85"/>
      <c r="M13" s="85"/>
      <c r="N13" s="85"/>
      <c r="O13" s="85"/>
      <c r="P13" s="48">
        <f>SUM(compras_mes11[[#This Row],[NETO GRAVADO]:[Otros / No Grav.]])</f>
        <v>72600</v>
      </c>
      <c r="Q13" s="49" t="str">
        <f>IFERROR(IF(compras_mes11[[#This Row],[CUIT]]="","-",VLOOKUP(compras_mes11[[#This Row],[CUIT]],Lista_CUIT[#All],3,0)),"CUIT NO CARGADO")</f>
        <v>Alquiler</v>
      </c>
      <c r="R13" s="49">
        <f>IFERROR(IF(compras_mes11[[#This Row],[CUIT]]="","-",VLOOKUP(compras_mes11[[#This Row],[CUIT]],Lista_CUIT[#All],4,0)),"CUIT NO CARGADO")</f>
        <v>0</v>
      </c>
    </row>
    <row r="14" spans="1:26" x14ac:dyDescent="0.3">
      <c r="B14" s="40">
        <v>44836</v>
      </c>
      <c r="C14" s="41">
        <v>1</v>
      </c>
      <c r="D14" s="42">
        <v>9367</v>
      </c>
      <c r="E14" s="43">
        <v>3477</v>
      </c>
      <c r="F14" s="44">
        <v>30590360763</v>
      </c>
      <c r="G14" s="45" t="str">
        <f>IFERROR(IF(compras_mes11[[#This Row],[CUIT]]="","-",VLOOKUP(compras_mes11[[#This Row],[CUIT]],Lista_CUIT[#All],2,0)),"CUIT NO CARGADO")</f>
        <v>CENCOSUD S.A</v>
      </c>
      <c r="H14" s="146">
        <v>512.4</v>
      </c>
      <c r="I14" s="85">
        <f>IF(compras_mes11[[#This Row],[NETO GRAVADO]]="","",compras_mes11[[#This Row],[NETO GRAVADO]]*0.21)</f>
        <v>107.60399999999998</v>
      </c>
      <c r="J14" s="85"/>
      <c r="K14" s="85"/>
      <c r="L14" s="85"/>
      <c r="M14" s="85"/>
      <c r="N14" s="85"/>
      <c r="O14" s="85"/>
      <c r="P14" s="48">
        <f>SUM(compras_mes11[[#This Row],[NETO GRAVADO]:[Otros / No Grav.]])</f>
        <v>620.00399999999991</v>
      </c>
      <c r="Q14" s="49" t="str">
        <f>IFERROR(IF(compras_mes11[[#This Row],[CUIT]]="","-",VLOOKUP(compras_mes11[[#This Row],[CUIT]],Lista_CUIT[#All],3,0)),"CUIT NO CARGADO")</f>
        <v>Gastos Varios</v>
      </c>
      <c r="R14" s="49">
        <f>IFERROR(IF(compras_mes11[[#This Row],[CUIT]]="","-",VLOOKUP(compras_mes11[[#This Row],[CUIT]],Lista_CUIT[#All],4,0)),"CUIT NO CARGADO")</f>
        <v>0</v>
      </c>
    </row>
    <row r="15" spans="1:26" x14ac:dyDescent="0.3">
      <c r="B15" s="40">
        <v>44836</v>
      </c>
      <c r="C15" s="41">
        <v>1</v>
      </c>
      <c r="D15" s="42">
        <v>50</v>
      </c>
      <c r="E15" s="43">
        <v>2776870</v>
      </c>
      <c r="F15" s="44">
        <v>30714112836</v>
      </c>
      <c r="G15" s="45" t="str">
        <f>IFERROR(IF(compras_mes11[[#This Row],[CUIT]]="","-",VLOOKUP(compras_mes11[[#This Row],[CUIT]],Lista_CUIT[#All],2,0)),"CUIT NO CARGADO")</f>
        <v>AUTOPISTAS DE BS AS</v>
      </c>
      <c r="H15" s="146">
        <v>400.83</v>
      </c>
      <c r="I15" s="85">
        <f>IF(compras_mes11[[#This Row],[NETO GRAVADO]]="","",compras_mes11[[#This Row],[NETO GRAVADO]]*0.21)</f>
        <v>84.174299999999988</v>
      </c>
      <c r="J15" s="85"/>
      <c r="K15" s="85"/>
      <c r="L15" s="85"/>
      <c r="M15" s="85"/>
      <c r="N15" s="85"/>
      <c r="O15" s="85"/>
      <c r="P15" s="48">
        <f>SUM(compras_mes11[[#This Row],[NETO GRAVADO]:[Otros / No Grav.]])</f>
        <v>485.00429999999994</v>
      </c>
      <c r="Q15" s="49">
        <f>IFERROR(IF(compras_mes11[[#This Row],[CUIT]]="","-",VLOOKUP(compras_mes11[[#This Row],[CUIT]],Lista_CUIT[#All],3,0)),"CUIT NO CARGADO")</f>
        <v>0</v>
      </c>
      <c r="R15" s="49">
        <f>IFERROR(IF(compras_mes11[[#This Row],[CUIT]]="","-",VLOOKUP(compras_mes11[[#This Row],[CUIT]],Lista_CUIT[#All],4,0)),"CUIT NO CARGADO")</f>
        <v>0</v>
      </c>
    </row>
    <row r="16" spans="1:26" x14ac:dyDescent="0.3">
      <c r="B16" s="40">
        <v>44837</v>
      </c>
      <c r="C16" s="41">
        <v>1</v>
      </c>
      <c r="D16" s="42">
        <v>4</v>
      </c>
      <c r="E16" s="43">
        <v>12</v>
      </c>
      <c r="F16" s="44">
        <v>30717535649</v>
      </c>
      <c r="G16" s="45" t="str">
        <f>IFERROR(IF(compras_mes11[[#This Row],[CUIT]]="","-",VLOOKUP(compras_mes11[[#This Row],[CUIT]],Lista_CUIT[#All],2,0)),"CUIT NO CARGADO")</f>
        <v>NIMUR RSL</v>
      </c>
      <c r="H16" s="152">
        <v>3198.4</v>
      </c>
      <c r="I16" s="85">
        <f>IF(compras_mes11[[#This Row],[NETO GRAVADO]]="","",compras_mes11[[#This Row],[NETO GRAVADO]]*0.21)</f>
        <v>671.66399999999999</v>
      </c>
      <c r="J16" s="85"/>
      <c r="K16" s="85"/>
      <c r="L16" s="85"/>
      <c r="M16" s="85"/>
      <c r="N16" s="85"/>
      <c r="O16" s="85">
        <v>730.47</v>
      </c>
      <c r="P16" s="48">
        <f>SUM(compras_mes11[[#This Row],[NETO GRAVADO]:[Otros / No Grav.]])</f>
        <v>4600.5340000000006</v>
      </c>
      <c r="Q16" s="49">
        <f>IFERROR(IF(compras_mes11[[#This Row],[CUIT]]="","-",VLOOKUP(compras_mes11[[#This Row],[CUIT]],Lista_CUIT[#All],3,0)),"CUIT NO CARGADO")</f>
        <v>0</v>
      </c>
      <c r="R16" s="49">
        <f>IFERROR(IF(compras_mes11[[#This Row],[CUIT]]="","-",VLOOKUP(compras_mes11[[#This Row],[CUIT]],Lista_CUIT[#All],4,0)),"CUIT NO CARGADO")</f>
        <v>0</v>
      </c>
    </row>
    <row r="17" spans="2:18" x14ac:dyDescent="0.3">
      <c r="B17" s="136">
        <v>44837</v>
      </c>
      <c r="C17" s="41">
        <v>1</v>
      </c>
      <c r="D17" s="138">
        <v>4</v>
      </c>
      <c r="E17" s="139">
        <v>166</v>
      </c>
      <c r="F17" s="140">
        <v>20334579019</v>
      </c>
      <c r="G17" s="141" t="str">
        <f>IFERROR(IF(compras_mes11[[#This Row],[CUIT]]="","-",VLOOKUP(compras_mes11[[#This Row],[CUIT]],Lista_CUIT[#All],2,0)),"CUIT NO CARGADO")</f>
        <v>QUINTEROS EMANUEL</v>
      </c>
      <c r="H17" s="146">
        <v>97540</v>
      </c>
      <c r="I17" s="142">
        <f>IF(compras_mes11[[#This Row],[NETO GRAVADO]]="","",compras_mes11[[#This Row],[NETO GRAVADO]]*0.21)</f>
        <v>20483.399999999998</v>
      </c>
      <c r="J17" s="142"/>
      <c r="K17" s="142"/>
      <c r="L17" s="142"/>
      <c r="M17" s="142"/>
      <c r="N17" s="142"/>
      <c r="O17" s="142"/>
      <c r="P17" s="143">
        <f>SUM(compras_mes11[[#This Row],[NETO GRAVADO]:[Otros / No Grav.]])</f>
        <v>118023.4</v>
      </c>
      <c r="Q17" s="144">
        <f>IFERROR(IF(compras_mes11[[#This Row],[CUIT]]="","-",VLOOKUP(compras_mes11[[#This Row],[CUIT]],Lista_CUIT[#All],3,0)),"CUIT NO CARGADO")</f>
        <v>0</v>
      </c>
      <c r="R17" s="144">
        <f>IFERROR(IF(compras_mes11[[#This Row],[CUIT]]="","-",VLOOKUP(compras_mes11[[#This Row],[CUIT]],Lista_CUIT[#All],4,0)),"CUIT NO CARGADO")</f>
        <v>0</v>
      </c>
    </row>
    <row r="18" spans="2:18" x14ac:dyDescent="0.3">
      <c r="B18" s="153">
        <v>44837</v>
      </c>
      <c r="C18" s="154">
        <v>1</v>
      </c>
      <c r="D18" s="155">
        <v>12</v>
      </c>
      <c r="E18" s="156">
        <v>9951</v>
      </c>
      <c r="F18" s="157" t="s">
        <v>119</v>
      </c>
      <c r="G18" s="131" t="str">
        <f>IFERROR(IF(compras_mes11[[#This Row],[CUIT]]="","-",VLOOKUP(compras_mes11[[#This Row],[CUIT]],Lista_CUIT[#All],2,0)),"CUIT NO CARGADO")</f>
        <v>CUIT NO CARGADO</v>
      </c>
      <c r="H18" s="159">
        <v>17396.09</v>
      </c>
      <c r="I18" s="130">
        <f>IF(compras_mes11[[#This Row],[NETO GRAVADO]]="","",compras_mes11[[#This Row],[NETO GRAVADO]]*0.21)</f>
        <v>3653.1788999999999</v>
      </c>
      <c r="J18" s="130"/>
      <c r="K18" s="130"/>
      <c r="L18" s="130"/>
      <c r="M18" s="130"/>
      <c r="N18" s="130"/>
      <c r="O18" s="130">
        <v>4436.42</v>
      </c>
      <c r="P18" s="132">
        <f>SUM(compras_mes11[[#This Row],[NETO GRAVADO]:[Otros / No Grav.]])</f>
        <v>25485.688900000001</v>
      </c>
      <c r="Q18" s="133" t="str">
        <f>IFERROR(IF(compras_mes11[[#This Row],[CUIT]]="","-",VLOOKUP(compras_mes11[[#This Row],[CUIT]],Lista_CUIT[#All],3,0)),"CUIT NO CARGADO")</f>
        <v>CUIT NO CARGADO</v>
      </c>
      <c r="R18" s="133" t="str">
        <f>IFERROR(IF(compras_mes11[[#This Row],[CUIT]]="","-",VLOOKUP(compras_mes11[[#This Row],[CUIT]],Lista_CUIT[#All],4,0)),"CUIT NO CARGADO")</f>
        <v>CUIT NO CARGADO</v>
      </c>
    </row>
    <row r="19" spans="2:18" ht="14.4" customHeight="1" x14ac:dyDescent="0.3">
      <c r="B19" s="153">
        <v>44837</v>
      </c>
      <c r="C19" s="154">
        <v>1</v>
      </c>
      <c r="D19" s="155">
        <v>1</v>
      </c>
      <c r="E19" s="156">
        <v>16189</v>
      </c>
      <c r="F19" s="157">
        <v>20173025557</v>
      </c>
      <c r="G19" s="131" t="str">
        <f>IFERROR(IF(compras_mes11[[#This Row],[CUIT]]="","-",VLOOKUP(compras_mes11[[#This Row],[CUIT]],Lista_CUIT[#All],2,0)),"CUIT NO CARGADO")</f>
        <v>MARAUDA HECTOR</v>
      </c>
      <c r="H19" s="159">
        <v>661.16</v>
      </c>
      <c r="I19" s="130">
        <f>IF(compras_mes11[[#This Row],[NETO GRAVADO]]="","",compras_mes11[[#This Row],[NETO GRAVADO]]*0.21)</f>
        <v>138.84359999999998</v>
      </c>
      <c r="J19" s="130"/>
      <c r="K19" s="130"/>
      <c r="L19" s="130"/>
      <c r="M19" s="130"/>
      <c r="N19" s="130"/>
      <c r="O19" s="130"/>
      <c r="P19" s="132">
        <f>SUM(compras_mes11[[#This Row],[NETO GRAVADO]:[Otros / No Grav.]])</f>
        <v>800.00360000000001</v>
      </c>
      <c r="Q19" s="133">
        <f>IFERROR(IF(compras_mes11[[#This Row],[CUIT]]="","-",VLOOKUP(compras_mes11[[#This Row],[CUIT]],Lista_CUIT[#All],3,0)),"CUIT NO CARGADO")</f>
        <v>0</v>
      </c>
      <c r="R19" s="133">
        <f>IFERROR(IF(compras_mes11[[#This Row],[CUIT]]="","-",VLOOKUP(compras_mes11[[#This Row],[CUIT]],Lista_CUIT[#All],4,0)),"CUIT NO CARGADO")</f>
        <v>0</v>
      </c>
    </row>
    <row r="20" spans="2:18" x14ac:dyDescent="0.3">
      <c r="B20" s="153">
        <v>44837</v>
      </c>
      <c r="C20" s="154">
        <v>1</v>
      </c>
      <c r="D20" s="155">
        <v>4</v>
      </c>
      <c r="E20" s="156">
        <v>51280</v>
      </c>
      <c r="F20" s="157">
        <v>30713628804</v>
      </c>
      <c r="G20" s="131" t="str">
        <f>IFERROR(IF(compras_mes11[[#This Row],[CUIT]]="","-",VLOOKUP(compras_mes11[[#This Row],[CUIT]],Lista_CUIT[#All],2,0)),"CUIT NO CARGADO")</f>
        <v>GNC AU VILLA MARIA SRL</v>
      </c>
      <c r="H20" s="159">
        <v>6831.82</v>
      </c>
      <c r="I20" s="130">
        <f>IF(compras_mes11[[#This Row],[NETO GRAVADO]]="","",compras_mes11[[#This Row],[NETO GRAVADO]]*0.21)</f>
        <v>1434.6822</v>
      </c>
      <c r="J20" s="130"/>
      <c r="K20" s="130"/>
      <c r="L20" s="130"/>
      <c r="M20" s="130"/>
      <c r="N20" s="130"/>
      <c r="O20" s="130">
        <v>1534.18</v>
      </c>
      <c r="P20" s="132">
        <f>SUM(compras_mes11[[#This Row],[NETO GRAVADO]:[Otros / No Grav.]])</f>
        <v>9800.6821999999993</v>
      </c>
      <c r="Q20" s="133">
        <f>IFERROR(IF(compras_mes11[[#This Row],[CUIT]]="","-",VLOOKUP(compras_mes11[[#This Row],[CUIT]],Lista_CUIT[#All],3,0)),"CUIT NO CARGADO")</f>
        <v>0</v>
      </c>
      <c r="R20" s="133">
        <f>IFERROR(IF(compras_mes11[[#This Row],[CUIT]]="","-",VLOOKUP(compras_mes11[[#This Row],[CUIT]],Lista_CUIT[#All],4,0)),"CUIT NO CARGADO")</f>
        <v>0</v>
      </c>
    </row>
    <row r="21" spans="2:18" ht="25.95" customHeight="1" x14ac:dyDescent="0.3">
      <c r="B21" s="160">
        <v>44837</v>
      </c>
      <c r="C21" s="154">
        <v>1</v>
      </c>
      <c r="D21" s="161">
        <v>943</v>
      </c>
      <c r="E21" s="162">
        <v>1212608</v>
      </c>
      <c r="F21" s="163">
        <v>30639453975</v>
      </c>
      <c r="G21" s="164" t="str">
        <f>IFERROR(IF(compras_mes11[[#This Row],[CUIT]]="","-",VLOOKUP(compras_mes11[[#This Row],[CUIT]],Lista_CUIT[#All],2,0)),"CUIT NO CARGADO")</f>
        <v>TELEFONICA DE ARG S.A.</v>
      </c>
      <c r="H21" s="159">
        <v>12128</v>
      </c>
      <c r="I21" s="158">
        <v>3274.56</v>
      </c>
      <c r="J21" s="158"/>
      <c r="K21" s="158"/>
      <c r="L21" s="167">
        <v>363.83999633789102</v>
      </c>
      <c r="M21" s="158"/>
      <c r="N21" s="167">
        <v>727.67999267578102</v>
      </c>
      <c r="O21" s="158"/>
      <c r="P21" s="165">
        <f>SUM(compras_mes11[[#This Row],[NETO GRAVADO]:[Otros / No Grav.]])</f>
        <v>16494.07998901367</v>
      </c>
      <c r="Q21" s="166" t="str">
        <f>IFERROR(IF(compras_mes11[[#This Row],[CUIT]]="","-",VLOOKUP(compras_mes11[[#This Row],[CUIT]],Lista_CUIT[#All],3,0)),"CUIT NO CARGADO")</f>
        <v>Servicios Gas, Luz, etc.</v>
      </c>
      <c r="R21" s="166">
        <f>IFERROR(IF(compras_mes11[[#This Row],[CUIT]]="","-",VLOOKUP(compras_mes11[[#This Row],[CUIT]],Lista_CUIT[#All],4,0)),"CUIT NO CARGADO")</f>
        <v>0</v>
      </c>
    </row>
    <row r="22" spans="2:18" ht="14.4" customHeight="1" x14ac:dyDescent="0.3">
      <c r="B22" s="136">
        <v>44837</v>
      </c>
      <c r="C22" s="41">
        <v>1</v>
      </c>
      <c r="D22" s="138">
        <v>711</v>
      </c>
      <c r="E22" s="139">
        <v>3463960</v>
      </c>
      <c r="F22" s="140">
        <v>30677237119</v>
      </c>
      <c r="G22" s="141" t="str">
        <f>IFERROR(IF(compras_mes11[[#This Row],[CUIT]]="","-",VLOOKUP(compras_mes11[[#This Row],[CUIT]],Lista_CUIT[#All],2,0)),"CUIT NO CARGADO")</f>
        <v>AUTOPISTAS DEL SOL S A</v>
      </c>
      <c r="H22" s="146">
        <v>2314.0500000000002</v>
      </c>
      <c r="I22" s="142">
        <f>IF(compras_mes11[[#This Row],[NETO GRAVADO]]="","",compras_mes11[[#This Row],[NETO GRAVADO]]*0.21)</f>
        <v>485.95050000000003</v>
      </c>
      <c r="J22" s="142"/>
      <c r="K22" s="142"/>
      <c r="L22" s="142"/>
      <c r="M22" s="142"/>
      <c r="N22" s="142"/>
      <c r="O22" s="142"/>
      <c r="P22" s="143">
        <f>SUM(compras_mes11[[#This Row],[NETO GRAVADO]:[Otros / No Grav.]])</f>
        <v>2800.0005000000001</v>
      </c>
      <c r="Q22" s="144">
        <f>IFERROR(IF(compras_mes11[[#This Row],[CUIT]]="","-",VLOOKUP(compras_mes11[[#This Row],[CUIT]],Lista_CUIT[#All],3,0)),"CUIT NO CARGADO")</f>
        <v>0</v>
      </c>
      <c r="R22" s="144">
        <f>IFERROR(IF(compras_mes11[[#This Row],[CUIT]]="","-",VLOOKUP(compras_mes11[[#This Row],[CUIT]],Lista_CUIT[#All],4,0)),"CUIT NO CARGADO")</f>
        <v>0</v>
      </c>
    </row>
    <row r="23" spans="2:18" ht="15" customHeight="1" x14ac:dyDescent="0.3">
      <c r="B23" s="89">
        <v>44837</v>
      </c>
      <c r="C23" s="41">
        <v>1</v>
      </c>
      <c r="D23" s="91">
        <v>629</v>
      </c>
      <c r="E23" s="92">
        <v>3590821</v>
      </c>
      <c r="F23" s="93">
        <v>30663498513</v>
      </c>
      <c r="G23" s="94" t="str">
        <f>IFERROR(IF(compras_mes11[[#This Row],[CUIT]]="","-",VLOOKUP(compras_mes11[[#This Row],[CUIT]],Lista_CUIT[#All],2,0)),"CUIT NO CARGADO")</f>
        <v>GRUPO CONCES. DEL OESTE SA</v>
      </c>
      <c r="H23" s="146">
        <v>1751.23</v>
      </c>
      <c r="I23" s="86">
        <f>IF(compras_mes11[[#This Row],[NETO GRAVADO]]="","",compras_mes11[[#This Row],[NETO GRAVADO]]*0.21)</f>
        <v>367.75829999999996</v>
      </c>
      <c r="J23" s="86"/>
      <c r="K23" s="86"/>
      <c r="L23" s="86"/>
      <c r="M23" s="86"/>
      <c r="N23" s="86"/>
      <c r="O23" s="86"/>
      <c r="P23" s="87">
        <f>SUM(compras_mes11[[#This Row],[NETO GRAVADO]:[Otros / No Grav.]])</f>
        <v>2118.9883</v>
      </c>
      <c r="Q23" s="88">
        <f>IFERROR(IF(compras_mes11[[#This Row],[CUIT]]="","-",VLOOKUP(compras_mes11[[#This Row],[CUIT]],Lista_CUIT[#All],3,0)),"CUIT NO CARGADO")</f>
        <v>0</v>
      </c>
      <c r="R23" s="88">
        <f>IFERROR(IF(compras_mes11[[#This Row],[CUIT]]="","-",VLOOKUP(compras_mes11[[#This Row],[CUIT]],Lista_CUIT[#All],4,0)),"CUIT NO CARGADO")</f>
        <v>0</v>
      </c>
    </row>
    <row r="24" spans="2:18" ht="15" customHeight="1" x14ac:dyDescent="0.3">
      <c r="B24" s="136">
        <v>44838</v>
      </c>
      <c r="C24" s="41">
        <v>1</v>
      </c>
      <c r="D24" s="138">
        <v>1</v>
      </c>
      <c r="E24" s="139">
        <v>53</v>
      </c>
      <c r="F24" s="140">
        <v>30716010313</v>
      </c>
      <c r="G24" s="141" t="str">
        <f>IFERROR(IF(compras_mes11[[#This Row],[CUIT]]="","-",VLOOKUP(compras_mes11[[#This Row],[CUIT]],Lista_CUIT[#All],2,0)),"CUIT NO CARGADO")</f>
        <v>H UNO 1469 S.A.</v>
      </c>
      <c r="H24" s="146">
        <v>38400</v>
      </c>
      <c r="I24" s="142">
        <f>IF(compras_mes11[[#This Row],[NETO GRAVADO]]="","",compras_mes11[[#This Row],[NETO GRAVADO]]*0.21)</f>
        <v>8064</v>
      </c>
      <c r="J24" s="142"/>
      <c r="K24" s="142"/>
      <c r="L24" s="142"/>
      <c r="M24" s="142"/>
      <c r="N24" s="142"/>
      <c r="O24" s="142"/>
      <c r="P24" s="143">
        <f>SUM(compras_mes11[[#This Row],[NETO GRAVADO]:[Otros / No Grav.]])</f>
        <v>46464</v>
      </c>
      <c r="Q24" s="144" t="str">
        <f>IFERROR(IF(compras_mes11[[#This Row],[CUIT]]="","-",VLOOKUP(compras_mes11[[#This Row],[CUIT]],Lista_CUIT[#All],3,0)),"CUIT NO CARGADO")</f>
        <v>Alquiler</v>
      </c>
      <c r="R24" s="144">
        <f>IFERROR(IF(compras_mes11[[#This Row],[CUIT]]="","-",VLOOKUP(compras_mes11[[#This Row],[CUIT]],Lista_CUIT[#All],4,0)),"CUIT NO CARGADO")</f>
        <v>0</v>
      </c>
    </row>
    <row r="25" spans="2:18" ht="15" customHeight="1" x14ac:dyDescent="0.3">
      <c r="B25" s="153">
        <v>44838</v>
      </c>
      <c r="C25" s="154">
        <v>1</v>
      </c>
      <c r="D25" s="155">
        <v>1</v>
      </c>
      <c r="E25" s="156">
        <v>87</v>
      </c>
      <c r="F25" s="157" t="s">
        <v>120</v>
      </c>
      <c r="G25" s="131" t="str">
        <f>IFERROR(IF(compras_mes11[[#This Row],[CUIT]]="","-",VLOOKUP(compras_mes11[[#This Row],[CUIT]],Lista_CUIT[#All],2,0)),"CUIT NO CARGADO")</f>
        <v>CUIT NO CARGADO</v>
      </c>
      <c r="H25" s="159">
        <v>243100.828125</v>
      </c>
      <c r="I25" s="130">
        <f>IF(compras_mes11[[#This Row],[NETO GRAVADO]]="","",compras_mes11[[#This Row],[NETO GRAVADO]]*0.21)</f>
        <v>51051.173906249998</v>
      </c>
      <c r="J25" s="130"/>
      <c r="K25" s="130"/>
      <c r="L25" s="130"/>
      <c r="M25" s="130"/>
      <c r="N25" s="130"/>
      <c r="O25" s="130"/>
      <c r="P25" s="132">
        <f>SUM(compras_mes11[[#This Row],[NETO GRAVADO]:[Otros / No Grav.]])</f>
        <v>294152.00203124998</v>
      </c>
      <c r="Q25" s="133" t="str">
        <f>IFERROR(IF(compras_mes11[[#This Row],[CUIT]]="","-",VLOOKUP(compras_mes11[[#This Row],[CUIT]],Lista_CUIT[#All],3,0)),"CUIT NO CARGADO")</f>
        <v>CUIT NO CARGADO</v>
      </c>
      <c r="R25" s="133" t="str">
        <f>IFERROR(IF(compras_mes11[[#This Row],[CUIT]]="","-",VLOOKUP(compras_mes11[[#This Row],[CUIT]],Lista_CUIT[#All],4,0)),"CUIT NO CARGADO")</f>
        <v>CUIT NO CARGADO</v>
      </c>
    </row>
    <row r="26" spans="2:18" ht="15" customHeight="1" x14ac:dyDescent="0.3">
      <c r="B26" s="136">
        <v>44838</v>
      </c>
      <c r="C26" s="41">
        <v>1</v>
      </c>
      <c r="D26" s="138">
        <v>2</v>
      </c>
      <c r="E26" s="139">
        <v>179</v>
      </c>
      <c r="F26" s="140">
        <v>27309896063</v>
      </c>
      <c r="G26" s="141" t="str">
        <f>IFERROR(IF(compras_mes11[[#This Row],[CUIT]]="","-",VLOOKUP(compras_mes11[[#This Row],[CUIT]],Lista_CUIT[#All],2,0)),"CUIT NO CARGADO")</f>
        <v>BATTELLINI MARIA SOLEDAD</v>
      </c>
      <c r="H26" s="146">
        <v>35000</v>
      </c>
      <c r="I26" s="142">
        <f>IF(compras_mes11[[#This Row],[NETO GRAVADO]]="","",compras_mes11[[#This Row],[NETO GRAVADO]]*0.21)</f>
        <v>7350</v>
      </c>
      <c r="J26" s="142"/>
      <c r="K26" s="142"/>
      <c r="L26" s="142"/>
      <c r="M26" s="142"/>
      <c r="N26" s="142"/>
      <c r="O26" s="142"/>
      <c r="P26" s="143">
        <f>SUM(compras_mes11[[#This Row],[NETO GRAVADO]:[Otros / No Grav.]])</f>
        <v>42350</v>
      </c>
      <c r="Q26" s="144">
        <f>IFERROR(IF(compras_mes11[[#This Row],[CUIT]]="","-",VLOOKUP(compras_mes11[[#This Row],[CUIT]],Lista_CUIT[#All],3,0)),"CUIT NO CARGADO")</f>
        <v>0</v>
      </c>
      <c r="R26" s="144">
        <f>IFERROR(IF(compras_mes11[[#This Row],[CUIT]]="","-",VLOOKUP(compras_mes11[[#This Row],[CUIT]],Lista_CUIT[#All],4,0)),"CUIT NO CARGADO")</f>
        <v>0</v>
      </c>
    </row>
    <row r="27" spans="2:18" ht="15" customHeight="1" x14ac:dyDescent="0.3">
      <c r="B27" s="136">
        <v>44838</v>
      </c>
      <c r="C27" s="41">
        <v>1</v>
      </c>
      <c r="D27" s="138">
        <v>7</v>
      </c>
      <c r="E27" s="139">
        <v>3092</v>
      </c>
      <c r="F27" s="140">
        <v>30715124919</v>
      </c>
      <c r="G27" s="141" t="str">
        <f>IFERROR(IF(compras_mes11[[#This Row],[CUIT]]="","-",VLOOKUP(compras_mes11[[#This Row],[CUIT]],Lista_CUIT[#All],2,0)),"CUIT NO CARGADO")</f>
        <v>CLEAN LAB SRL</v>
      </c>
      <c r="H27" s="146">
        <v>14469.07</v>
      </c>
      <c r="I27" s="142">
        <f>IF(compras_mes11[[#This Row],[NETO GRAVADO]]="","",compras_mes11[[#This Row],[NETO GRAVADO]]*0.21)</f>
        <v>3038.5047</v>
      </c>
      <c r="J27" s="142"/>
      <c r="K27" s="142"/>
      <c r="L27" s="142"/>
      <c r="M27" s="142"/>
      <c r="N27" s="142"/>
      <c r="O27" s="142"/>
      <c r="P27" s="143">
        <f>SUM(compras_mes11[[#This Row],[NETO GRAVADO]:[Otros / No Grav.]])</f>
        <v>17507.574700000001</v>
      </c>
      <c r="Q27" s="144">
        <f>IFERROR(IF(compras_mes11[[#This Row],[CUIT]]="","-",VLOOKUP(compras_mes11[[#This Row],[CUIT]],Lista_CUIT[#All],3,0)),"CUIT NO CARGADO")</f>
        <v>0</v>
      </c>
      <c r="R27" s="144">
        <f>IFERROR(IF(compras_mes11[[#This Row],[CUIT]]="","-",VLOOKUP(compras_mes11[[#This Row],[CUIT]],Lista_CUIT[#All],4,0)),"CUIT NO CARGADO")</f>
        <v>0</v>
      </c>
    </row>
    <row r="28" spans="2:18" x14ac:dyDescent="0.3">
      <c r="B28" s="136">
        <v>44838</v>
      </c>
      <c r="C28" s="41">
        <v>1</v>
      </c>
      <c r="D28" s="138">
        <v>2</v>
      </c>
      <c r="E28" s="139">
        <v>3162</v>
      </c>
      <c r="F28" s="140">
        <v>30629863571</v>
      </c>
      <c r="G28" s="141" t="str">
        <f>IFERROR(IF(compras_mes11[[#This Row],[CUIT]]="","-",VLOOKUP(compras_mes11[[#This Row],[CUIT]],Lista_CUIT[#All],2,0)),"CUIT NO CARGADO")</f>
        <v>TECNIMAR S R L</v>
      </c>
      <c r="H28" s="146">
        <v>532526</v>
      </c>
      <c r="I28" s="142">
        <f>IF(compras_mes11[[#This Row],[NETO GRAVADO]]="","",compras_mes11[[#This Row],[NETO GRAVADO]]*0.21)</f>
        <v>111830.45999999999</v>
      </c>
      <c r="J28" s="142"/>
      <c r="K28" s="142"/>
      <c r="L28" s="142"/>
      <c r="M28" s="142"/>
      <c r="N28" s="142"/>
      <c r="O28" s="142"/>
      <c r="P28" s="143">
        <f>SUM(compras_mes11[[#This Row],[NETO GRAVADO]:[Otros / No Grav.]])</f>
        <v>644356.46</v>
      </c>
      <c r="Q28" s="144" t="str">
        <f>IFERROR(IF(compras_mes11[[#This Row],[CUIT]]="","-",VLOOKUP(compras_mes11[[#This Row],[CUIT]],Lista_CUIT[#All],3,0)),"CUIT NO CARGADO")</f>
        <v>LABORATORIO</v>
      </c>
      <c r="R28" s="144">
        <f>IFERROR(IF(compras_mes11[[#This Row],[CUIT]]="","-",VLOOKUP(compras_mes11[[#This Row],[CUIT]],Lista_CUIT[#All],4,0)),"CUIT NO CARGADO")</f>
        <v>0</v>
      </c>
    </row>
    <row r="29" spans="2:18" x14ac:dyDescent="0.3">
      <c r="B29" s="136">
        <v>44838</v>
      </c>
      <c r="C29" s="41">
        <v>1</v>
      </c>
      <c r="D29" s="138">
        <v>5014</v>
      </c>
      <c r="E29" s="139">
        <v>303169</v>
      </c>
      <c r="F29" s="140">
        <v>30574876474</v>
      </c>
      <c r="G29" s="141" t="str">
        <f>IFERROR(IF(compras_mes11[[#This Row],[CUIT]]="","-",VLOOKUP(compras_mes11[[#This Row],[CUIT]],Lista_CUIT[#All],2,0)),"CUIT NO CARGADO")</f>
        <v>AUTOPISTAS URBANAS S A</v>
      </c>
      <c r="H29" s="146">
        <v>11073.42</v>
      </c>
      <c r="I29" s="142">
        <f>IF(compras_mes11[[#This Row],[NETO GRAVADO]]="","",compras_mes11[[#This Row],[NETO GRAVADO]]*0.21)</f>
        <v>2325.4182000000001</v>
      </c>
      <c r="J29" s="142"/>
      <c r="K29" s="142"/>
      <c r="L29" s="142"/>
      <c r="M29" s="142"/>
      <c r="N29" s="142"/>
      <c r="O29" s="142"/>
      <c r="P29" s="143">
        <f>SUM(compras_mes11[[#This Row],[NETO GRAVADO]:[Otros / No Grav.]])</f>
        <v>13398.8382</v>
      </c>
      <c r="Q29" s="144">
        <f>IFERROR(IF(compras_mes11[[#This Row],[CUIT]]="","-",VLOOKUP(compras_mes11[[#This Row],[CUIT]],Lista_CUIT[#All],3,0)),"CUIT NO CARGADO")</f>
        <v>0</v>
      </c>
      <c r="R29" s="144">
        <f>IFERROR(IF(compras_mes11[[#This Row],[CUIT]]="","-",VLOOKUP(compras_mes11[[#This Row],[CUIT]],Lista_CUIT[#All],4,0)),"CUIT NO CARGADO")</f>
        <v>0</v>
      </c>
    </row>
    <row r="30" spans="2:18" x14ac:dyDescent="0.3">
      <c r="B30" s="136">
        <v>44838</v>
      </c>
      <c r="C30" s="41">
        <v>1</v>
      </c>
      <c r="D30" s="138">
        <v>63</v>
      </c>
      <c r="E30" s="139">
        <v>2109896</v>
      </c>
      <c r="F30" s="140">
        <v>30640897267</v>
      </c>
      <c r="G30" s="141" t="str">
        <f>IFERROR(IF(compras_mes11[[#This Row],[CUIT]]="","-",VLOOKUP(compras_mes11[[#This Row],[CUIT]],Lista_CUIT[#All],2,0)),"CUIT NO CARGADO")</f>
        <v>TELECENTRO S.A.</v>
      </c>
      <c r="H30" s="146">
        <v>6714.34</v>
      </c>
      <c r="I30" s="142">
        <f>IF(compras_mes11[[#This Row],[NETO GRAVADO]]="","",compras_mes11[[#This Row],[NETO GRAVADO]]*0.21)</f>
        <v>1410.0113999999999</v>
      </c>
      <c r="J30" s="142"/>
      <c r="K30" s="142"/>
      <c r="L30" s="142"/>
      <c r="M30" s="142"/>
      <c r="N30" s="142"/>
      <c r="O30" s="142"/>
      <c r="P30" s="143">
        <f>SUM(compras_mes11[[#This Row],[NETO GRAVADO]:[Otros / No Grav.]])</f>
        <v>8124.3513999999996</v>
      </c>
      <c r="Q30" s="144">
        <f>IFERROR(IF(compras_mes11[[#This Row],[CUIT]]="","-",VLOOKUP(compras_mes11[[#This Row],[CUIT]],Lista_CUIT[#All],3,0)),"CUIT NO CARGADO")</f>
        <v>0</v>
      </c>
      <c r="R30" s="144">
        <f>IFERROR(IF(compras_mes11[[#This Row],[CUIT]]="","-",VLOOKUP(compras_mes11[[#This Row],[CUIT]],Lista_CUIT[#All],4,0)),"CUIT NO CARGADO")</f>
        <v>0</v>
      </c>
    </row>
    <row r="31" spans="2:18" x14ac:dyDescent="0.3">
      <c r="B31" s="136">
        <v>44838</v>
      </c>
      <c r="C31" s="41">
        <v>1</v>
      </c>
      <c r="D31" s="138">
        <v>63</v>
      </c>
      <c r="E31" s="139">
        <v>2110533</v>
      </c>
      <c r="F31" s="140">
        <v>30640897267</v>
      </c>
      <c r="G31" s="141" t="str">
        <f>IFERROR(IF(compras_mes11[[#This Row],[CUIT]]="","-",VLOOKUP(compras_mes11[[#This Row],[CUIT]],Lista_CUIT[#All],2,0)),"CUIT NO CARGADO")</f>
        <v>TELECENTRO S.A.</v>
      </c>
      <c r="H31" s="146">
        <v>6714.34</v>
      </c>
      <c r="I31" s="142">
        <f>IF(compras_mes11[[#This Row],[NETO GRAVADO]]="","",compras_mes11[[#This Row],[NETO GRAVADO]]*0.21)</f>
        <v>1410.0113999999999</v>
      </c>
      <c r="J31" s="142"/>
      <c r="K31" s="142"/>
      <c r="L31" s="142"/>
      <c r="M31" s="142"/>
      <c r="N31" s="142"/>
      <c r="O31" s="142"/>
      <c r="P31" s="143">
        <f>SUM(compras_mes11[[#This Row],[NETO GRAVADO]:[Otros / No Grav.]])</f>
        <v>8124.3513999999996</v>
      </c>
      <c r="Q31" s="144">
        <f>IFERROR(IF(compras_mes11[[#This Row],[CUIT]]="","-",VLOOKUP(compras_mes11[[#This Row],[CUIT]],Lista_CUIT[#All],3,0)),"CUIT NO CARGADO")</f>
        <v>0</v>
      </c>
      <c r="R31" s="144">
        <f>IFERROR(IF(compras_mes11[[#This Row],[CUIT]]="","-",VLOOKUP(compras_mes11[[#This Row],[CUIT]],Lista_CUIT[#All],4,0)),"CUIT NO CARGADO")</f>
        <v>0</v>
      </c>
    </row>
    <row r="32" spans="2:18" x14ac:dyDescent="0.3">
      <c r="B32" s="136">
        <v>44838</v>
      </c>
      <c r="C32" s="41">
        <v>1</v>
      </c>
      <c r="D32" s="138">
        <v>3034</v>
      </c>
      <c r="E32" s="139">
        <v>2515271</v>
      </c>
      <c r="F32" s="140">
        <v>30708574836</v>
      </c>
      <c r="G32" s="141" t="str">
        <f>IFERROR(IF(compras_mes11[[#This Row],[CUIT]]="","-",VLOOKUP(compras_mes11[[#This Row],[CUIT]],Lista_CUIT[#All],2,0)),"CUIT NO CARGADO")</f>
        <v>CORREO OFICIAL DE LA REPUBLICA ARGENTINA SOCIEDAD ANONIMA</v>
      </c>
      <c r="H32" s="146">
        <v>679.8</v>
      </c>
      <c r="I32" s="142">
        <f>IF(compras_mes11[[#This Row],[NETO GRAVADO]]="","",compras_mes11[[#This Row],[NETO GRAVADO]]*0.21)</f>
        <v>142.75799999999998</v>
      </c>
      <c r="J32" s="142"/>
      <c r="K32" s="142"/>
      <c r="L32" s="142"/>
      <c r="M32" s="142"/>
      <c r="N32" s="142"/>
      <c r="O32" s="142"/>
      <c r="P32" s="143">
        <f>SUM(compras_mes11[[#This Row],[NETO GRAVADO]:[Otros / No Grav.]])</f>
        <v>822.55799999999999</v>
      </c>
      <c r="Q32" s="144" t="str">
        <f>IFERROR(IF(compras_mes11[[#This Row],[CUIT]]="","-",VLOOKUP(compras_mes11[[#This Row],[CUIT]],Lista_CUIT[#All],3,0)),"CUIT NO CARGADO")</f>
        <v>MESAJERIA</v>
      </c>
      <c r="R32" s="144">
        <f>IFERROR(IF(compras_mes11[[#This Row],[CUIT]]="","-",VLOOKUP(compras_mes11[[#This Row],[CUIT]],Lista_CUIT[#All],4,0)),"CUIT NO CARGADO")</f>
        <v>0</v>
      </c>
    </row>
    <row r="33" spans="2:18" x14ac:dyDescent="0.3">
      <c r="B33" s="40">
        <v>44839</v>
      </c>
      <c r="C33" s="41">
        <v>1</v>
      </c>
      <c r="D33" s="42">
        <v>6</v>
      </c>
      <c r="E33" s="43">
        <v>2694</v>
      </c>
      <c r="F33" s="44">
        <v>20134664518</v>
      </c>
      <c r="G33" s="45" t="str">
        <f>IFERROR(IF(compras_mes11[[#This Row],[CUIT]]="","-",VLOOKUP(compras_mes11[[#This Row],[CUIT]],Lista_CUIT[#All],2,0)),"CUIT NO CARGADO")</f>
        <v>HOKAMA SERGIO ENRIQUE</v>
      </c>
      <c r="H33" s="152">
        <v>6270.25</v>
      </c>
      <c r="I33" s="85">
        <f>IF(compras_mes11[[#This Row],[NETO GRAVADO]]="","",compras_mes11[[#This Row],[NETO GRAVADO]]*0.21)</f>
        <v>1316.7525000000001</v>
      </c>
      <c r="J33" s="85"/>
      <c r="K33" s="85"/>
      <c r="L33" s="85"/>
      <c r="M33" s="85"/>
      <c r="N33" s="85"/>
      <c r="O33" s="85"/>
      <c r="P33" s="48">
        <f>SUM(compras_mes11[[#This Row],[NETO GRAVADO]:[Otros / No Grav.]])</f>
        <v>7587.0025000000005</v>
      </c>
      <c r="Q33" s="49" t="str">
        <f>IFERROR(IF(compras_mes11[[#This Row],[CUIT]]="","-",VLOOKUP(compras_mes11[[#This Row],[CUIT]],Lista_CUIT[#All],3,0)),"CUIT NO CARGADO")</f>
        <v>Gastos Varios</v>
      </c>
      <c r="R33" s="49" t="str">
        <f>IFERROR(IF(compras_mes11[[#This Row],[CUIT]]="","-",VLOOKUP(compras_mes11[[#This Row],[CUIT]],Lista_CUIT[#All],4,0)),"CUIT NO CARGADO")</f>
        <v>BUENOS AIRES</v>
      </c>
    </row>
    <row r="34" spans="2:18" s="56" customFormat="1" ht="18.600000000000001" customHeight="1" x14ac:dyDescent="0.3">
      <c r="B34" s="136">
        <v>44839</v>
      </c>
      <c r="C34" s="41">
        <v>1</v>
      </c>
      <c r="D34" s="138">
        <v>2</v>
      </c>
      <c r="E34" s="139">
        <v>32099</v>
      </c>
      <c r="F34" s="140">
        <v>33714232199</v>
      </c>
      <c r="G34" s="141" t="str">
        <f>IFERROR(IF(compras_mes11[[#This Row],[CUIT]]="","-",VLOOKUP(compras_mes11[[#This Row],[CUIT]],Lista_CUIT[#All],2,0)),"CUIT NO CARGADO")</f>
        <v>NUAGE SYSTEMS S.A.</v>
      </c>
      <c r="H34" s="146">
        <v>22638</v>
      </c>
      <c r="I34" s="142">
        <f>IF(compras_mes11[[#This Row],[NETO GRAVADO]]="","",compras_mes11[[#This Row],[NETO GRAVADO]]*0.21)</f>
        <v>4753.9799999999996</v>
      </c>
      <c r="J34" s="142"/>
      <c r="K34" s="142"/>
      <c r="L34" s="142"/>
      <c r="M34" s="142"/>
      <c r="N34" s="142"/>
      <c r="O34" s="142"/>
      <c r="P34" s="143">
        <f>SUM(compras_mes11[[#This Row],[NETO GRAVADO]:[Otros / No Grav.]])</f>
        <v>27391.98</v>
      </c>
      <c r="Q34" s="144">
        <f>IFERROR(IF(compras_mes11[[#This Row],[CUIT]]="","-",VLOOKUP(compras_mes11[[#This Row],[CUIT]],Lista_CUIT[#All],3,0)),"CUIT NO CARGADO")</f>
        <v>0</v>
      </c>
      <c r="R34" s="144">
        <f>IFERROR(IF(compras_mes11[[#This Row],[CUIT]]="","-",VLOOKUP(compras_mes11[[#This Row],[CUIT]],Lista_CUIT[#All],4,0)),"CUIT NO CARGADO")</f>
        <v>0</v>
      </c>
    </row>
    <row r="35" spans="2:18" x14ac:dyDescent="0.3">
      <c r="B35" s="136">
        <v>44839</v>
      </c>
      <c r="C35" s="41">
        <v>1</v>
      </c>
      <c r="D35" s="138">
        <v>24</v>
      </c>
      <c r="E35" s="139">
        <v>40924</v>
      </c>
      <c r="F35" s="140">
        <v>30707838260</v>
      </c>
      <c r="G35" s="141" t="str">
        <f>IFERROR(IF(compras_mes11[[#This Row],[CUIT]]="","-",VLOOKUP(compras_mes11[[#This Row],[CUIT]],Lista_CUIT[#All],2,0)),"CUIT NO CARGADO")</f>
        <v>EL INSUMO S.R.L.</v>
      </c>
      <c r="H35" s="146">
        <v>30479.34</v>
      </c>
      <c r="I35" s="142">
        <f>IF(compras_mes11[[#This Row],[NETO GRAVADO]]="","",compras_mes11[[#This Row],[NETO GRAVADO]]*0.21)</f>
        <v>6400.6614</v>
      </c>
      <c r="J35" s="142"/>
      <c r="K35" s="142"/>
      <c r="L35" s="142"/>
      <c r="M35" s="142"/>
      <c r="N35" s="142"/>
      <c r="O35" s="142"/>
      <c r="P35" s="143">
        <f>SUM(compras_mes11[[#This Row],[NETO GRAVADO]:[Otros / No Grav.]])</f>
        <v>36880.001400000001</v>
      </c>
      <c r="Q35" s="144">
        <f>IFERROR(IF(compras_mes11[[#This Row],[CUIT]]="","-",VLOOKUP(compras_mes11[[#This Row],[CUIT]],Lista_CUIT[#All],3,0)),"CUIT NO CARGADO")</f>
        <v>0</v>
      </c>
      <c r="R35" s="144">
        <f>IFERROR(IF(compras_mes11[[#This Row],[CUIT]]="","-",VLOOKUP(compras_mes11[[#This Row],[CUIT]],Lista_CUIT[#All],4,0)),"CUIT NO CARGADO")</f>
        <v>0</v>
      </c>
    </row>
    <row r="36" spans="2:18" x14ac:dyDescent="0.3">
      <c r="B36" s="136">
        <v>44840</v>
      </c>
      <c r="C36" s="41">
        <v>1</v>
      </c>
      <c r="D36" s="138">
        <v>3</v>
      </c>
      <c r="E36" s="139">
        <v>655</v>
      </c>
      <c r="F36" s="140">
        <v>30715893963</v>
      </c>
      <c r="G36" s="141" t="str">
        <f>IFERROR(IF(compras_mes11[[#This Row],[CUIT]]="","-",VLOOKUP(compras_mes11[[#This Row],[CUIT]],Lista_CUIT[#All],2,0)),"CUIT NO CARGADO")</f>
        <v>Margot Brand SRL</v>
      </c>
      <c r="H36" s="146">
        <v>8677.68</v>
      </c>
      <c r="I36" s="142">
        <f>IF(compras_mes11[[#This Row],[NETO GRAVADO]]="","",compras_mes11[[#This Row],[NETO GRAVADO]]*0.21)</f>
        <v>1822.3127999999999</v>
      </c>
      <c r="J36" s="142"/>
      <c r="K36" s="142"/>
      <c r="L36" s="142"/>
      <c r="M36" s="142"/>
      <c r="N36" s="142"/>
      <c r="O36" s="142"/>
      <c r="P36" s="143">
        <f>SUM(compras_mes11[[#This Row],[NETO GRAVADO]:[Otros / No Grav.]])</f>
        <v>10499.9928</v>
      </c>
      <c r="Q36" s="144">
        <f>IFERROR(IF(compras_mes11[[#This Row],[CUIT]]="","-",VLOOKUP(compras_mes11[[#This Row],[CUIT]],Lista_CUIT[#All],3,0)),"CUIT NO CARGADO")</f>
        <v>0</v>
      </c>
      <c r="R36" s="144">
        <f>IFERROR(IF(compras_mes11[[#This Row],[CUIT]]="","-",VLOOKUP(compras_mes11[[#This Row],[CUIT]],Lista_CUIT[#All],4,0)),"CUIT NO CARGADO")</f>
        <v>0</v>
      </c>
    </row>
    <row r="37" spans="2:18" x14ac:dyDescent="0.3">
      <c r="B37" s="136">
        <v>44840</v>
      </c>
      <c r="C37" s="41">
        <v>1</v>
      </c>
      <c r="D37" s="138">
        <v>6</v>
      </c>
      <c r="E37" s="139">
        <v>2257</v>
      </c>
      <c r="F37" s="140">
        <v>30574603788</v>
      </c>
      <c r="G37" s="141" t="str">
        <f>IFERROR(IF(compras_mes11[[#This Row],[CUIT]]="","-",VLOOKUP(compras_mes11[[#This Row],[CUIT]],Lista_CUIT[#All],2,0)),"CUIT NO CARGADO")</f>
        <v>CODAC SRL</v>
      </c>
      <c r="H37" s="146">
        <v>269412</v>
      </c>
      <c r="I37" s="142">
        <f>IF(compras_mes11[[#This Row],[NETO GRAVADO]]="","",compras_mes11[[#This Row],[NETO GRAVADO]]*0.21)</f>
        <v>56576.52</v>
      </c>
      <c r="J37" s="142"/>
      <c r="K37" s="142"/>
      <c r="L37" s="142"/>
      <c r="M37" s="142"/>
      <c r="N37" s="142"/>
      <c r="O37" s="142"/>
      <c r="P37" s="143">
        <f>SUM(compras_mes11[[#This Row],[NETO GRAVADO]:[Otros / No Grav.]])</f>
        <v>325988.52</v>
      </c>
      <c r="Q37" s="144" t="str">
        <f>IFERROR(IF(compras_mes11[[#This Row],[CUIT]]="","-",VLOOKUP(compras_mes11[[#This Row],[CUIT]],Lista_CUIT[#All],3,0)),"CUIT NO CARGADO")</f>
        <v>GASTOS COSMETICA</v>
      </c>
      <c r="R37" s="144" t="str">
        <f>IFERROR(IF(compras_mes11[[#This Row],[CUIT]]="","-",VLOOKUP(compras_mes11[[#This Row],[CUIT]],Lista_CUIT[#All],4,0)),"CUIT NO CARGADO")</f>
        <v>BUENOS AIRES</v>
      </c>
    </row>
    <row r="38" spans="2:18" x14ac:dyDescent="0.3">
      <c r="B38" s="136">
        <v>44840</v>
      </c>
      <c r="C38" s="41">
        <v>1</v>
      </c>
      <c r="D38" s="138">
        <v>4</v>
      </c>
      <c r="E38" s="139">
        <v>4092</v>
      </c>
      <c r="F38" s="140">
        <v>30715280422</v>
      </c>
      <c r="G38" s="141" t="str">
        <f>IFERROR(IF(compras_mes11[[#This Row],[CUIT]]="","-",VLOOKUP(compras_mes11[[#This Row],[CUIT]],Lista_CUIT[#All],2,0)),"CUIT NO CARGADO")</f>
        <v>ROTECH S.R.L</v>
      </c>
      <c r="H38" s="146">
        <v>3548.8</v>
      </c>
      <c r="I38" s="142">
        <f>IF(compras_mes11[[#This Row],[NETO GRAVADO]]="","",compras_mes11[[#This Row],[NETO GRAVADO]]*0.21)</f>
        <v>745.24800000000005</v>
      </c>
      <c r="J38" s="142"/>
      <c r="K38" s="142"/>
      <c r="L38" s="142"/>
      <c r="M38" s="142"/>
      <c r="N38" s="142"/>
      <c r="O38" s="142"/>
      <c r="P38" s="143">
        <f>SUM(compras_mes11[[#This Row],[NETO GRAVADO]:[Otros / No Grav.]])</f>
        <v>4294.0480000000007</v>
      </c>
      <c r="Q38" s="144">
        <f>IFERROR(IF(compras_mes11[[#This Row],[CUIT]]="","-",VLOOKUP(compras_mes11[[#This Row],[CUIT]],Lista_CUIT[#All],3,0)),"CUIT NO CARGADO")</f>
        <v>0</v>
      </c>
      <c r="R38" s="144">
        <f>IFERROR(IF(compras_mes11[[#This Row],[CUIT]]="","-",VLOOKUP(compras_mes11[[#This Row],[CUIT]],Lista_CUIT[#All],4,0)),"CUIT NO CARGADO")</f>
        <v>0</v>
      </c>
    </row>
    <row r="39" spans="2:18" x14ac:dyDescent="0.3">
      <c r="B39" s="40">
        <v>44841</v>
      </c>
      <c r="C39" s="41">
        <v>1</v>
      </c>
      <c r="D39" s="42">
        <v>1</v>
      </c>
      <c r="E39" s="43">
        <v>113</v>
      </c>
      <c r="F39" s="44">
        <v>27172427400</v>
      </c>
      <c r="G39" s="45" t="str">
        <f>IFERROR(IF(compras_mes11[[#This Row],[CUIT]]="","-",VLOOKUP(compras_mes11[[#This Row],[CUIT]],Lista_CUIT[#All],2,0)),"CUIT NO CARGADO")</f>
        <v>SERAFINO ROSA LILIANA</v>
      </c>
      <c r="H39" s="152">
        <v>2644.62</v>
      </c>
      <c r="I39" s="85">
        <f>IF(compras_mes11[[#This Row],[NETO GRAVADO]]="","",compras_mes11[[#This Row],[NETO GRAVADO]]*0.21)</f>
        <v>555.37019999999995</v>
      </c>
      <c r="J39" s="85"/>
      <c r="K39" s="85"/>
      <c r="L39" s="85"/>
      <c r="M39" s="85"/>
      <c r="N39" s="85"/>
      <c r="O39" s="85"/>
      <c r="P39" s="48">
        <f>SUM(compras_mes11[[#This Row],[NETO GRAVADO]:[Otros / No Grav.]])</f>
        <v>3199.9901999999997</v>
      </c>
      <c r="Q39" s="49">
        <f>IFERROR(IF(compras_mes11[[#This Row],[CUIT]]="","-",VLOOKUP(compras_mes11[[#This Row],[CUIT]],Lista_CUIT[#All],3,0)),"CUIT NO CARGADO")</f>
        <v>0</v>
      </c>
      <c r="R39" s="49">
        <f>IFERROR(IF(compras_mes11[[#This Row],[CUIT]]="","-",VLOOKUP(compras_mes11[[#This Row],[CUIT]],Lista_CUIT[#All],4,0)),"CUIT NO CARGADO")</f>
        <v>0</v>
      </c>
    </row>
    <row r="40" spans="2:18" x14ac:dyDescent="0.3">
      <c r="B40" s="153">
        <v>44841</v>
      </c>
      <c r="C40" s="154">
        <v>1</v>
      </c>
      <c r="D40" s="155">
        <v>25</v>
      </c>
      <c r="E40" s="156">
        <v>3608</v>
      </c>
      <c r="F40" s="157">
        <v>30695243673</v>
      </c>
      <c r="G40" s="131" t="str">
        <f>IFERROR(IF(compras_mes11[[#This Row],[CUIT]]="","-",VLOOKUP(compras_mes11[[#This Row],[CUIT]],Lista_CUIT[#All],2,0)),"CUIT NO CARGADO")</f>
        <v>YAPAY SRL</v>
      </c>
      <c r="H40" s="159">
        <v>587.17999999999995</v>
      </c>
      <c r="I40" s="130">
        <f>IF(compras_mes11[[#This Row],[NETO GRAVADO]]="","",compras_mes11[[#This Row],[NETO GRAVADO]]*0.21)</f>
        <v>123.30779999999999</v>
      </c>
      <c r="J40" s="130"/>
      <c r="K40" s="130"/>
      <c r="L40" s="130"/>
      <c r="M40" s="130"/>
      <c r="N40" s="130"/>
      <c r="O40" s="130">
        <v>124.74</v>
      </c>
      <c r="P40" s="132">
        <f>SUM(compras_mes11[[#This Row],[NETO GRAVADO]:[Otros / No Grav.]])</f>
        <v>835.22779999999989</v>
      </c>
      <c r="Q40" s="133">
        <f>IFERROR(IF(compras_mes11[[#This Row],[CUIT]]="","-",VLOOKUP(compras_mes11[[#This Row],[CUIT]],Lista_CUIT[#All],3,0)),"CUIT NO CARGADO")</f>
        <v>0</v>
      </c>
      <c r="R40" s="133">
        <f>IFERROR(IF(compras_mes11[[#This Row],[CUIT]]="","-",VLOOKUP(compras_mes11[[#This Row],[CUIT]],Lista_CUIT[#All],4,0)),"CUIT NO CARGADO")</f>
        <v>0</v>
      </c>
    </row>
    <row r="41" spans="2:18" ht="22.5" customHeight="1" x14ac:dyDescent="0.3">
      <c r="B41" s="153">
        <v>44841</v>
      </c>
      <c r="C41" s="154">
        <v>1</v>
      </c>
      <c r="D41" s="155">
        <v>25</v>
      </c>
      <c r="E41" s="156">
        <v>3609</v>
      </c>
      <c r="F41" s="157">
        <v>30695243673</v>
      </c>
      <c r="G41" s="131" t="str">
        <f>IFERROR(IF(compras_mes11[[#This Row],[CUIT]]="","-",VLOOKUP(compras_mes11[[#This Row],[CUIT]],Lista_CUIT[#All],2,0)),"CUIT NO CARGADO")</f>
        <v>YAPAY SRL</v>
      </c>
      <c r="H41" s="159">
        <v>3559.79</v>
      </c>
      <c r="I41" s="130">
        <f>IF(compras_mes11[[#This Row],[NETO GRAVADO]]="","",compras_mes11[[#This Row],[NETO GRAVADO]]*0.21)</f>
        <v>747.55589999999995</v>
      </c>
      <c r="J41" s="130"/>
      <c r="K41" s="130"/>
      <c r="L41" s="130"/>
      <c r="M41" s="130"/>
      <c r="N41" s="130"/>
      <c r="O41" s="130">
        <v>756.24</v>
      </c>
      <c r="P41" s="132">
        <f>SUM(compras_mes11[[#This Row],[NETO GRAVADO]:[Otros / No Grav.]])</f>
        <v>5063.5859</v>
      </c>
      <c r="Q41" s="133">
        <f>IFERROR(IF(compras_mes11[[#This Row],[CUIT]]="","-",VLOOKUP(compras_mes11[[#This Row],[CUIT]],Lista_CUIT[#All],3,0)),"CUIT NO CARGADO")</f>
        <v>0</v>
      </c>
      <c r="R41" s="133">
        <f>IFERROR(IF(compras_mes11[[#This Row],[CUIT]]="","-",VLOOKUP(compras_mes11[[#This Row],[CUIT]],Lista_CUIT[#All],4,0)),"CUIT NO CARGADO")</f>
        <v>0</v>
      </c>
    </row>
    <row r="42" spans="2:18" x14ac:dyDescent="0.3">
      <c r="B42" s="40">
        <v>44841</v>
      </c>
      <c r="C42" s="41">
        <v>1</v>
      </c>
      <c r="D42" s="42">
        <v>1677</v>
      </c>
      <c r="E42" s="43">
        <v>8678</v>
      </c>
      <c r="F42" s="44">
        <v>30589621499</v>
      </c>
      <c r="G42" s="45" t="str">
        <f>IFERROR(IF(compras_mes11[[#This Row],[CUIT]]="","-",VLOOKUP(compras_mes11[[#This Row],[CUIT]],Lista_CUIT[#All],2,0)),"CUIT NO CARGADO")</f>
        <v>MAKRO SA</v>
      </c>
      <c r="H42" s="152">
        <v>12257.27</v>
      </c>
      <c r="I42" s="85">
        <f>IF(compras_mes11[[#This Row],[NETO GRAVADO]]="","",compras_mes11[[#This Row],[NETO GRAVADO]]*0.21)</f>
        <v>2574.0266999999999</v>
      </c>
      <c r="J42" s="85"/>
      <c r="K42" s="85"/>
      <c r="L42" s="85">
        <v>367.72</v>
      </c>
      <c r="M42" s="85"/>
      <c r="N42" s="85">
        <v>735.44</v>
      </c>
      <c r="O42" s="85">
        <v>79.959999999999994</v>
      </c>
      <c r="P42" s="48">
        <f>SUM(compras_mes11[[#This Row],[NETO GRAVADO]:[Otros / No Grav.]])</f>
        <v>16014.4167</v>
      </c>
      <c r="Q42" s="49">
        <f>IFERROR(IF(compras_mes11[[#This Row],[CUIT]]="","-",VLOOKUP(compras_mes11[[#This Row],[CUIT]],Lista_CUIT[#All],3,0)),"CUIT NO CARGADO")</f>
        <v>0</v>
      </c>
      <c r="R42" s="49">
        <f>IFERROR(IF(compras_mes11[[#This Row],[CUIT]]="","-",VLOOKUP(compras_mes11[[#This Row],[CUIT]],Lista_CUIT[#All],4,0)),"CUIT NO CARGADO")</f>
        <v>0</v>
      </c>
    </row>
    <row r="43" spans="2:18" ht="18" customHeight="1" x14ac:dyDescent="0.3">
      <c r="B43" s="136">
        <v>44842</v>
      </c>
      <c r="C43" s="41">
        <v>1</v>
      </c>
      <c r="D43" s="138">
        <v>6860</v>
      </c>
      <c r="E43" s="139">
        <v>14251</v>
      </c>
      <c r="F43" s="140">
        <v>30678774495</v>
      </c>
      <c r="G43" s="141" t="str">
        <f>IFERROR(IF(compras_mes11[[#This Row],[CUIT]]="","-",VLOOKUP(compras_mes11[[#This Row],[CUIT]],Lista_CUIT[#All],2,0)),"CUIT NO CARGADO")</f>
        <v>OPER. DE EST. DE SERV. SA</v>
      </c>
      <c r="H43" s="146">
        <v>4692.41</v>
      </c>
      <c r="I43" s="142">
        <f>IF(compras_mes11[[#This Row],[NETO GRAVADO]]="","",compras_mes11[[#This Row],[NETO GRAVADO]]*0.21)</f>
        <v>985.40609999999992</v>
      </c>
      <c r="J43" s="142"/>
      <c r="K43" s="142"/>
      <c r="L43" s="142"/>
      <c r="M43" s="142"/>
      <c r="N43" s="142"/>
      <c r="O43" s="142">
        <v>1122.19</v>
      </c>
      <c r="P43" s="143">
        <f>SUM(compras_mes11[[#This Row],[NETO GRAVADO]:[Otros / No Grav.]])</f>
        <v>6800.0061000000005</v>
      </c>
      <c r="Q43" s="144" t="str">
        <f>IFERROR(IF(compras_mes11[[#This Row],[CUIT]]="","-",VLOOKUP(compras_mes11[[#This Row],[CUIT]],Lista_CUIT[#All],3,0)),"CUIT NO CARGADO")</f>
        <v>Combustibe</v>
      </c>
      <c r="R43" s="144">
        <f>IFERROR(IF(compras_mes11[[#This Row],[CUIT]]="","-",VLOOKUP(compras_mes11[[#This Row],[CUIT]],Lista_CUIT[#All],4,0)),"CUIT NO CARGADO")</f>
        <v>0</v>
      </c>
    </row>
    <row r="44" spans="2:18" x14ac:dyDescent="0.3">
      <c r="B44" s="136">
        <v>44843</v>
      </c>
      <c r="C44" s="41">
        <v>1</v>
      </c>
      <c r="D44" s="138">
        <v>948</v>
      </c>
      <c r="E44" s="139">
        <v>778159</v>
      </c>
      <c r="F44" s="140">
        <v>30639453975</v>
      </c>
      <c r="G44" s="141" t="str">
        <f>IFERROR(IF(compras_mes11[[#This Row],[CUIT]]="","-",VLOOKUP(compras_mes11[[#This Row],[CUIT]],Lista_CUIT[#All],2,0)),"CUIT NO CARGADO")</f>
        <v>TELEFONICA DE ARG S.A.</v>
      </c>
      <c r="H44" s="146">
        <v>3581</v>
      </c>
      <c r="I44" s="142"/>
      <c r="J44" s="142">
        <v>966.87</v>
      </c>
      <c r="K44" s="142"/>
      <c r="L44" s="142"/>
      <c r="M44" s="142"/>
      <c r="N44" s="142"/>
      <c r="O44" s="142"/>
      <c r="P44" s="143">
        <f>SUM(compras_mes11[[#This Row],[NETO GRAVADO]:[Otros / No Grav.]])</f>
        <v>4547.87</v>
      </c>
      <c r="Q44" s="144" t="str">
        <f>IFERROR(IF(compras_mes11[[#This Row],[CUIT]]="","-",VLOOKUP(compras_mes11[[#This Row],[CUIT]],Lista_CUIT[#All],3,0)),"CUIT NO CARGADO")</f>
        <v>Servicios Gas, Luz, etc.</v>
      </c>
      <c r="R44" s="144">
        <f>IFERROR(IF(compras_mes11[[#This Row],[CUIT]]="","-",VLOOKUP(compras_mes11[[#This Row],[CUIT]],Lista_CUIT[#All],4,0)),"CUIT NO CARGADO")</f>
        <v>0</v>
      </c>
    </row>
    <row r="45" spans="2:18" x14ac:dyDescent="0.3">
      <c r="B45" s="153">
        <v>44844</v>
      </c>
      <c r="C45" s="154">
        <v>1</v>
      </c>
      <c r="D45" s="155">
        <v>4793</v>
      </c>
      <c r="E45" s="156">
        <v>53</v>
      </c>
      <c r="F45" s="157">
        <v>30685849751</v>
      </c>
      <c r="G45" s="141" t="str">
        <f>IFERROR(IF(compras_mes11[[#This Row],[CUIT]]="","-",VLOOKUP(compras_mes11[[#This Row],[CUIT]],Lista_CUIT[#All],2,0)),"CUIT NO CARGADO")</f>
        <v>DIA ARGENTINA S A</v>
      </c>
      <c r="H45" s="159">
        <v>10772.36</v>
      </c>
      <c r="I45" s="130">
        <v>2017.53</v>
      </c>
      <c r="J45" s="130"/>
      <c r="K45" s="130">
        <v>91.04</v>
      </c>
      <c r="L45" s="130"/>
      <c r="M45" s="130"/>
      <c r="N45" s="130"/>
      <c r="O45" s="130"/>
      <c r="P45" s="132">
        <f>SUM(compras_mes11[[#This Row],[NETO GRAVADO]:[Otros / No Grav.]])</f>
        <v>12880.930000000002</v>
      </c>
      <c r="Q45" s="133">
        <f>IFERROR(IF(compras_mes11[[#This Row],[CUIT]]="","-",VLOOKUP(compras_mes11[[#This Row],[CUIT]],Lista_CUIT[#All],3,0)),"CUIT NO CARGADO")</f>
        <v>0</v>
      </c>
      <c r="R45" s="133">
        <f>IFERROR(IF(compras_mes11[[#This Row],[CUIT]]="","-",VLOOKUP(compras_mes11[[#This Row],[CUIT]],Lista_CUIT[#All],4,0)),"CUIT NO CARGADO")</f>
        <v>0</v>
      </c>
    </row>
    <row r="46" spans="2:18" x14ac:dyDescent="0.3">
      <c r="B46" s="160">
        <v>44844</v>
      </c>
      <c r="C46" s="154">
        <v>1</v>
      </c>
      <c r="D46" s="161">
        <v>6364</v>
      </c>
      <c r="E46" s="162">
        <v>6864448</v>
      </c>
      <c r="F46" s="163">
        <v>30639453738</v>
      </c>
      <c r="G46" s="164" t="str">
        <f>IFERROR(IF(compras_mes11[[#This Row],[CUIT]]="","-",VLOOKUP(compras_mes11[[#This Row],[CUIT]],Lista_CUIT[#All],2,0)),"CUIT NO CARGADO")</f>
        <v>TELECOM ARG SA</v>
      </c>
      <c r="H46" s="159">
        <v>51168.85</v>
      </c>
      <c r="I46" s="158">
        <v>10352.24</v>
      </c>
      <c r="J46" s="158">
        <v>505.57</v>
      </c>
      <c r="K46" s="158"/>
      <c r="L46" s="158">
        <v>1535.06</v>
      </c>
      <c r="M46" s="158"/>
      <c r="N46" s="158">
        <v>2818.4</v>
      </c>
      <c r="O46" s="158">
        <v>131.16999999999999</v>
      </c>
      <c r="P46" s="165">
        <f>SUM(compras_mes11[[#This Row],[NETO GRAVADO]:[Otros / No Grav.]])</f>
        <v>66511.289999999994</v>
      </c>
      <c r="Q46" s="166" t="str">
        <f>IFERROR(IF(compras_mes11[[#This Row],[CUIT]]="","-",VLOOKUP(compras_mes11[[#This Row],[CUIT]],Lista_CUIT[#All],3,0)),"CUIT NO CARGADO")</f>
        <v>Servicios Gas, Luz, etc.</v>
      </c>
      <c r="R46" s="166">
        <f>IFERROR(IF(compras_mes11[[#This Row],[CUIT]]="","-",VLOOKUP(compras_mes11[[#This Row],[CUIT]],Lista_CUIT[#All],4,0)),"CUIT NO CARGADO")</f>
        <v>0</v>
      </c>
    </row>
    <row r="47" spans="2:18" x14ac:dyDescent="0.3">
      <c r="B47" s="136">
        <v>44844</v>
      </c>
      <c r="C47" s="41">
        <v>1</v>
      </c>
      <c r="D47" s="138">
        <v>6</v>
      </c>
      <c r="E47" s="139">
        <v>12964867</v>
      </c>
      <c r="F47" s="140">
        <v>30620177497</v>
      </c>
      <c r="G47" s="141" t="str">
        <f>IFERROR(IF(compras_mes11[[#This Row],[CUIT]]="","-",VLOOKUP(compras_mes11[[#This Row],[CUIT]],Lista_CUIT[#All],2,0)),"CUIT NO CARGADO")</f>
        <v>POSNET SRL</v>
      </c>
      <c r="H47" s="146">
        <v>2824</v>
      </c>
      <c r="I47" s="142">
        <f>IF(compras_mes11[[#This Row],[NETO GRAVADO]]="","",compras_mes11[[#This Row],[NETO GRAVADO]]*0.21)</f>
        <v>593.04</v>
      </c>
      <c r="J47" s="142"/>
      <c r="K47" s="142"/>
      <c r="L47" s="142"/>
      <c r="M47" s="142"/>
      <c r="N47" s="142"/>
      <c r="O47" s="142"/>
      <c r="P47" s="143">
        <f>SUM(compras_mes11[[#This Row],[NETO GRAVADO]:[Otros / No Grav.]])</f>
        <v>3417.04</v>
      </c>
      <c r="Q47" s="144" t="str">
        <f>IFERROR(IF(compras_mes11[[#This Row],[CUIT]]="","-",VLOOKUP(compras_mes11[[#This Row],[CUIT]],Lista_CUIT[#All],3,0)),"CUIT NO CARGADO")</f>
        <v>Servicios Gas, Luz, etc.</v>
      </c>
      <c r="R47" s="144">
        <f>IFERROR(IF(compras_mes11[[#This Row],[CUIT]]="","-",VLOOKUP(compras_mes11[[#This Row],[CUIT]],Lista_CUIT[#All],4,0)),"CUIT NO CARGADO")</f>
        <v>0</v>
      </c>
    </row>
    <row r="48" spans="2:18" x14ac:dyDescent="0.3">
      <c r="B48" s="136">
        <v>44844</v>
      </c>
      <c r="C48" s="41">
        <v>1</v>
      </c>
      <c r="D48" s="138">
        <v>6</v>
      </c>
      <c r="E48" s="139">
        <v>12971908</v>
      </c>
      <c r="F48" s="140">
        <v>30620177497</v>
      </c>
      <c r="G48" s="141" t="str">
        <f>IFERROR(IF(compras_mes11[[#This Row],[CUIT]]="","-",VLOOKUP(compras_mes11[[#This Row],[CUIT]],Lista_CUIT[#All],2,0)),"CUIT NO CARGADO")</f>
        <v>POSNET SRL</v>
      </c>
      <c r="H48" s="146">
        <v>2824</v>
      </c>
      <c r="I48" s="142">
        <f>IF(compras_mes11[[#This Row],[NETO GRAVADO]]="","",compras_mes11[[#This Row],[NETO GRAVADO]]*0.21)</f>
        <v>593.04</v>
      </c>
      <c r="J48" s="142"/>
      <c r="K48" s="142"/>
      <c r="L48" s="142"/>
      <c r="M48" s="142"/>
      <c r="N48" s="142"/>
      <c r="O48" s="142"/>
      <c r="P48" s="143">
        <f>SUM(compras_mes11[[#This Row],[NETO GRAVADO]:[Otros / No Grav.]])</f>
        <v>3417.04</v>
      </c>
      <c r="Q48" s="144" t="str">
        <f>IFERROR(IF(compras_mes11[[#This Row],[CUIT]]="","-",VLOOKUP(compras_mes11[[#This Row],[CUIT]],Lista_CUIT[#All],3,0)),"CUIT NO CARGADO")</f>
        <v>Servicios Gas, Luz, etc.</v>
      </c>
      <c r="R48" s="144">
        <f>IFERROR(IF(compras_mes11[[#This Row],[CUIT]]="","-",VLOOKUP(compras_mes11[[#This Row],[CUIT]],Lista_CUIT[#All],4,0)),"CUIT NO CARGADO")</f>
        <v>0</v>
      </c>
    </row>
    <row r="49" spans="2:18" x14ac:dyDescent="0.3">
      <c r="B49" s="136">
        <v>44844</v>
      </c>
      <c r="C49" s="41">
        <v>1</v>
      </c>
      <c r="D49" s="138">
        <v>6</v>
      </c>
      <c r="E49" s="139">
        <v>12972173</v>
      </c>
      <c r="F49" s="140">
        <v>30620177497</v>
      </c>
      <c r="G49" s="141" t="str">
        <f>IFERROR(IF(compras_mes11[[#This Row],[CUIT]]="","-",VLOOKUP(compras_mes11[[#This Row],[CUIT]],Lista_CUIT[#All],2,0)),"CUIT NO CARGADO")</f>
        <v>POSNET SRL</v>
      </c>
      <c r="H49" s="146">
        <v>2824</v>
      </c>
      <c r="I49" s="142">
        <f>IF(compras_mes11[[#This Row],[NETO GRAVADO]]="","",compras_mes11[[#This Row],[NETO GRAVADO]]*0.21)</f>
        <v>593.04</v>
      </c>
      <c r="J49" s="142"/>
      <c r="K49" s="142"/>
      <c r="L49" s="142"/>
      <c r="M49" s="142"/>
      <c r="N49" s="142"/>
      <c r="O49" s="142"/>
      <c r="P49" s="143">
        <f>SUM(compras_mes11[[#This Row],[NETO GRAVADO]:[Otros / No Grav.]])</f>
        <v>3417.04</v>
      </c>
      <c r="Q49" s="144" t="str">
        <f>IFERROR(IF(compras_mes11[[#This Row],[CUIT]]="","-",VLOOKUP(compras_mes11[[#This Row],[CUIT]],Lista_CUIT[#All],3,0)),"CUIT NO CARGADO")</f>
        <v>Servicios Gas, Luz, etc.</v>
      </c>
      <c r="R49" s="144">
        <f>IFERROR(IF(compras_mes11[[#This Row],[CUIT]]="","-",VLOOKUP(compras_mes11[[#This Row],[CUIT]],Lista_CUIT[#All],4,0)),"CUIT NO CARGADO")</f>
        <v>0</v>
      </c>
    </row>
    <row r="50" spans="2:18" x14ac:dyDescent="0.3">
      <c r="B50" s="136">
        <v>44844</v>
      </c>
      <c r="C50" s="41">
        <v>1</v>
      </c>
      <c r="D50" s="138">
        <v>6</v>
      </c>
      <c r="E50" s="139">
        <v>12985916</v>
      </c>
      <c r="F50" s="140">
        <v>30620177497</v>
      </c>
      <c r="G50" s="141" t="str">
        <f>IFERROR(IF(compras_mes11[[#This Row],[CUIT]]="","-",VLOOKUP(compras_mes11[[#This Row],[CUIT]],Lista_CUIT[#All],2,0)),"CUIT NO CARGADO")</f>
        <v>POSNET SRL</v>
      </c>
      <c r="H50" s="146">
        <v>8472</v>
      </c>
      <c r="I50" s="142">
        <f>IF(compras_mes11[[#This Row],[NETO GRAVADO]]="","",compras_mes11[[#This Row],[NETO GRAVADO]]*0.21)</f>
        <v>1779.12</v>
      </c>
      <c r="J50" s="142"/>
      <c r="K50" s="142"/>
      <c r="L50" s="142"/>
      <c r="M50" s="142"/>
      <c r="N50" s="142"/>
      <c r="O50" s="142"/>
      <c r="P50" s="143">
        <f>SUM(compras_mes11[[#This Row],[NETO GRAVADO]:[Otros / No Grav.]])</f>
        <v>10251.119999999999</v>
      </c>
      <c r="Q50" s="144" t="str">
        <f>IFERROR(IF(compras_mes11[[#This Row],[CUIT]]="","-",VLOOKUP(compras_mes11[[#This Row],[CUIT]],Lista_CUIT[#All],3,0)),"CUIT NO CARGADO")</f>
        <v>Servicios Gas, Luz, etc.</v>
      </c>
      <c r="R50" s="144">
        <f>IFERROR(IF(compras_mes11[[#This Row],[CUIT]]="","-",VLOOKUP(compras_mes11[[#This Row],[CUIT]],Lista_CUIT[#All],4,0)),"CUIT NO CARGADO")</f>
        <v>0</v>
      </c>
    </row>
    <row r="51" spans="2:18" x14ac:dyDescent="0.3">
      <c r="B51" s="136">
        <v>44845</v>
      </c>
      <c r="C51" s="41">
        <v>1</v>
      </c>
      <c r="D51" s="138">
        <v>1</v>
      </c>
      <c r="E51" s="139">
        <v>88</v>
      </c>
      <c r="F51" s="140">
        <v>20077604627</v>
      </c>
      <c r="G51" s="141" t="str">
        <f>IFERROR(IF(compras_mes11[[#This Row],[CUIT]]="","-",VLOOKUP(compras_mes11[[#This Row],[CUIT]],Lista_CUIT[#All],2,0)),"CUIT NO CARGADO")</f>
        <v>OCAÑO ENRIQUE</v>
      </c>
      <c r="H51" s="146">
        <v>133536</v>
      </c>
      <c r="I51" s="142">
        <f>IF(compras_mes11[[#This Row],[NETO GRAVADO]]="","",compras_mes11[[#This Row],[NETO GRAVADO]]*0.21)</f>
        <v>28042.559999999998</v>
      </c>
      <c r="J51" s="142"/>
      <c r="K51" s="142"/>
      <c r="L51" s="142"/>
      <c r="M51" s="142"/>
      <c r="N51" s="142"/>
      <c r="O51" s="142"/>
      <c r="P51" s="143">
        <f>SUM(compras_mes11[[#This Row],[NETO GRAVADO]:[Otros / No Grav.]])</f>
        <v>161578.56</v>
      </c>
      <c r="Q51" s="144">
        <f>IFERROR(IF(compras_mes11[[#This Row],[CUIT]]="","-",VLOOKUP(compras_mes11[[#This Row],[CUIT]],Lista_CUIT[#All],3,0)),"CUIT NO CARGADO")</f>
        <v>0</v>
      </c>
      <c r="R51" s="144">
        <f>IFERROR(IF(compras_mes11[[#This Row],[CUIT]]="","-",VLOOKUP(compras_mes11[[#This Row],[CUIT]],Lista_CUIT[#All],4,0)),"CUIT NO CARGADO")</f>
        <v>0</v>
      </c>
    </row>
    <row r="52" spans="2:18" x14ac:dyDescent="0.3">
      <c r="B52" s="136">
        <v>44845</v>
      </c>
      <c r="C52" s="41">
        <v>1</v>
      </c>
      <c r="D52" s="138">
        <v>1</v>
      </c>
      <c r="E52" s="139">
        <v>2727</v>
      </c>
      <c r="F52" s="140">
        <v>30715385216</v>
      </c>
      <c r="G52" s="141" t="str">
        <f>IFERROR(IF(compras_mes11[[#This Row],[CUIT]]="","-",VLOOKUP(compras_mes11[[#This Row],[CUIT]],Lista_CUIT[#All],2,0)),"CUIT NO CARGADO")</f>
        <v>VENTAS ONLINE QUILMES S.R.L.</v>
      </c>
      <c r="H52" s="146">
        <v>22313.22</v>
      </c>
      <c r="I52" s="142">
        <f>IF(compras_mes11[[#This Row],[NETO GRAVADO]]="","",compras_mes11[[#This Row],[NETO GRAVADO]]*0.21)</f>
        <v>4685.7762000000002</v>
      </c>
      <c r="J52" s="142"/>
      <c r="K52" s="142"/>
      <c r="L52" s="142"/>
      <c r="M52" s="142"/>
      <c r="N52" s="142"/>
      <c r="O52" s="142"/>
      <c r="P52" s="143">
        <f>SUM(compras_mes11[[#This Row],[NETO GRAVADO]:[Otros / No Grav.]])</f>
        <v>26998.996200000001</v>
      </c>
      <c r="Q52" s="144">
        <f>IFERROR(IF(compras_mes11[[#This Row],[CUIT]]="","-",VLOOKUP(compras_mes11[[#This Row],[CUIT]],Lista_CUIT[#All],3,0)),"CUIT NO CARGADO")</f>
        <v>0</v>
      </c>
      <c r="R52" s="144">
        <f>IFERROR(IF(compras_mes11[[#This Row],[CUIT]]="","-",VLOOKUP(compras_mes11[[#This Row],[CUIT]],Lista_CUIT[#All],4,0)),"CUIT NO CARGADO")</f>
        <v>0</v>
      </c>
    </row>
    <row r="53" spans="2:18" ht="25.95" customHeight="1" x14ac:dyDescent="0.3">
      <c r="B53" s="136">
        <v>44845</v>
      </c>
      <c r="C53" s="41">
        <v>1</v>
      </c>
      <c r="D53" s="138">
        <v>2</v>
      </c>
      <c r="E53" s="139">
        <v>3164</v>
      </c>
      <c r="F53" s="140">
        <v>30629863571</v>
      </c>
      <c r="G53" s="141" t="str">
        <f>IFERROR(IF(compras_mes11[[#This Row],[CUIT]]="","-",VLOOKUP(compras_mes11[[#This Row],[CUIT]],Lista_CUIT[#All],2,0)),"CUIT NO CARGADO")</f>
        <v>TECNIMAR S R L</v>
      </c>
      <c r="H53" s="146">
        <v>193590</v>
      </c>
      <c r="I53" s="142">
        <f>IF(compras_mes11[[#This Row],[NETO GRAVADO]]="","",compras_mes11[[#This Row],[NETO GRAVADO]]*0.21)</f>
        <v>40653.9</v>
      </c>
      <c r="J53" s="142"/>
      <c r="K53" s="142"/>
      <c r="L53" s="142"/>
      <c r="M53" s="142"/>
      <c r="N53" s="142"/>
      <c r="O53" s="142"/>
      <c r="P53" s="143">
        <f>SUM(compras_mes11[[#This Row],[NETO GRAVADO]:[Otros / No Grav.]])</f>
        <v>234243.9</v>
      </c>
      <c r="Q53" s="144" t="str">
        <f>IFERROR(IF(compras_mes11[[#This Row],[CUIT]]="","-",VLOOKUP(compras_mes11[[#This Row],[CUIT]],Lista_CUIT[#All],3,0)),"CUIT NO CARGADO")</f>
        <v>LABORATORIO</v>
      </c>
      <c r="R53" s="144">
        <f>IFERROR(IF(compras_mes11[[#This Row],[CUIT]]="","-",VLOOKUP(compras_mes11[[#This Row],[CUIT]],Lista_CUIT[#All],4,0)),"CUIT NO CARGADO")</f>
        <v>0</v>
      </c>
    </row>
    <row r="54" spans="2:18" ht="17.25" customHeight="1" x14ac:dyDescent="0.3">
      <c r="B54" s="153">
        <v>44845</v>
      </c>
      <c r="C54" s="154">
        <v>1</v>
      </c>
      <c r="D54" s="155">
        <v>12</v>
      </c>
      <c r="E54" s="156">
        <v>10255</v>
      </c>
      <c r="F54" s="157" t="s">
        <v>119</v>
      </c>
      <c r="G54" s="131" t="str">
        <f>IFERROR(IF(compras_mes11[[#This Row],[CUIT]]="","-",VLOOKUP(compras_mes11[[#This Row],[CUIT]],Lista_CUIT[#All],2,0)),"CUIT NO CARGADO")</f>
        <v>CUIT NO CARGADO</v>
      </c>
      <c r="H54" s="159">
        <v>24484.98</v>
      </c>
      <c r="I54" s="130">
        <f>IF(compras_mes11[[#This Row],[NETO GRAVADO]]="","",compras_mes11[[#This Row],[NETO GRAVADO]]*0.21)</f>
        <v>5141.8458000000001</v>
      </c>
      <c r="J54" s="130"/>
      <c r="K54" s="130"/>
      <c r="L54" s="130"/>
      <c r="M54" s="130"/>
      <c r="N54" s="130"/>
      <c r="O54" s="130">
        <v>6297.78</v>
      </c>
      <c r="P54" s="132">
        <f>SUM(compras_mes11[[#This Row],[NETO GRAVADO]:[Otros / No Grav.]])</f>
        <v>35924.605799999998</v>
      </c>
      <c r="Q54" s="133" t="str">
        <f>IFERROR(IF(compras_mes11[[#This Row],[CUIT]]="","-",VLOOKUP(compras_mes11[[#This Row],[CUIT]],Lista_CUIT[#All],3,0)),"CUIT NO CARGADO")</f>
        <v>CUIT NO CARGADO</v>
      </c>
      <c r="R54" s="133" t="str">
        <f>IFERROR(IF(compras_mes11[[#This Row],[CUIT]]="","-",VLOOKUP(compras_mes11[[#This Row],[CUIT]],Lista_CUIT[#All],4,0)),"CUIT NO CARGADO")</f>
        <v>CUIT NO CARGADO</v>
      </c>
    </row>
    <row r="55" spans="2:18" ht="31.5" customHeight="1" x14ac:dyDescent="0.3">
      <c r="B55" s="136">
        <v>44845</v>
      </c>
      <c r="C55" s="41">
        <v>1</v>
      </c>
      <c r="D55" s="138">
        <v>1</v>
      </c>
      <c r="E55" s="139">
        <v>20681</v>
      </c>
      <c r="F55" s="140">
        <v>30716648393</v>
      </c>
      <c r="G55" s="141" t="str">
        <f>IFERROR(IF(compras_mes11[[#This Row],[CUIT]]="","-",VLOOKUP(compras_mes11[[#This Row],[CUIT]],Lista_CUIT[#All],2,0)),"CUIT NO CARGADO")</f>
        <v>SHOP FERRETERO</v>
      </c>
      <c r="H55" s="146">
        <v>5406.88</v>
      </c>
      <c r="I55" s="142">
        <f>IF(compras_mes11[[#This Row],[NETO GRAVADO]]="","",compras_mes11[[#This Row],[NETO GRAVADO]]*0.21)</f>
        <v>1135.4448</v>
      </c>
      <c r="J55" s="142"/>
      <c r="K55" s="142"/>
      <c r="L55" s="142"/>
      <c r="M55" s="142"/>
      <c r="N55" s="142"/>
      <c r="O55" s="142"/>
      <c r="P55" s="143">
        <f>SUM(compras_mes11[[#This Row],[NETO GRAVADO]:[Otros / No Grav.]])</f>
        <v>6542.3248000000003</v>
      </c>
      <c r="Q55" s="144">
        <f>IFERROR(IF(compras_mes11[[#This Row],[CUIT]]="","-",VLOOKUP(compras_mes11[[#This Row],[CUIT]],Lista_CUIT[#All],3,0)),"CUIT NO CARGADO")</f>
        <v>0</v>
      </c>
      <c r="R55" s="144">
        <f>IFERROR(IF(compras_mes11[[#This Row],[CUIT]]="","-",VLOOKUP(compras_mes11[[#This Row],[CUIT]],Lista_CUIT[#All],4,0)),"CUIT NO CARGADO")</f>
        <v>0</v>
      </c>
    </row>
    <row r="56" spans="2:18" x14ac:dyDescent="0.3">
      <c r="B56" s="136">
        <v>44846</v>
      </c>
      <c r="C56" s="41">
        <v>1</v>
      </c>
      <c r="D56" s="138">
        <v>4</v>
      </c>
      <c r="E56" s="139">
        <v>175</v>
      </c>
      <c r="F56" s="140">
        <v>20309026897</v>
      </c>
      <c r="G56" s="141" t="str">
        <f>IFERROR(IF(compras_mes11[[#This Row],[CUIT]]="","-",VLOOKUP(compras_mes11[[#This Row],[CUIT]],Lista_CUIT[#All],2,0)),"CUIT NO CARGADO")</f>
        <v>NICOLOSI AUGUSTO ALEJANDRO</v>
      </c>
      <c r="H56" s="146">
        <v>2860.66</v>
      </c>
      <c r="I56" s="142">
        <f>IF(compras_mes11[[#This Row],[NETO GRAVADO]]="","",compras_mes11[[#This Row],[NETO GRAVADO]]*0.21)</f>
        <v>600.73859999999991</v>
      </c>
      <c r="J56" s="142"/>
      <c r="K56" s="142"/>
      <c r="L56" s="142"/>
      <c r="M56" s="142"/>
      <c r="N56" s="142"/>
      <c r="O56" s="142"/>
      <c r="P56" s="143">
        <f>SUM(compras_mes11[[#This Row],[NETO GRAVADO]:[Otros / No Grav.]])</f>
        <v>3461.3985999999995</v>
      </c>
      <c r="Q56" s="144">
        <f>IFERROR(IF(compras_mes11[[#This Row],[CUIT]]="","-",VLOOKUP(compras_mes11[[#This Row],[CUIT]],Lista_CUIT[#All],3,0)),"CUIT NO CARGADO")</f>
        <v>0</v>
      </c>
      <c r="R56" s="144">
        <f>IFERROR(IF(compras_mes11[[#This Row],[CUIT]]="","-",VLOOKUP(compras_mes11[[#This Row],[CUIT]],Lista_CUIT[#All],4,0)),"CUIT NO CARGADO")</f>
        <v>0</v>
      </c>
    </row>
    <row r="57" spans="2:18" x14ac:dyDescent="0.3">
      <c r="B57" s="40">
        <v>44846</v>
      </c>
      <c r="C57" s="41">
        <v>1</v>
      </c>
      <c r="D57" s="42">
        <v>145</v>
      </c>
      <c r="E57" s="43">
        <v>1212</v>
      </c>
      <c r="F57" s="44">
        <v>30687282279</v>
      </c>
      <c r="G57" s="45" t="str">
        <f>IFERROR(IF(compras_mes11[[#This Row],[CUIT]]="","-",VLOOKUP(compras_mes11[[#This Row],[CUIT]],Lista_CUIT[#All],2,0)),"CUIT NO CARGADO")</f>
        <v>MARPOLO SA</v>
      </c>
      <c r="H57" s="152">
        <v>8008.26</v>
      </c>
      <c r="I57" s="85">
        <f>IF(compras_mes11[[#This Row],[NETO GRAVADO]]="","",compras_mes11[[#This Row],[NETO GRAVADO]]*0.21)</f>
        <v>1681.7346</v>
      </c>
      <c r="J57" s="85"/>
      <c r="K57" s="85"/>
      <c r="L57" s="85"/>
      <c r="M57" s="85"/>
      <c r="N57" s="85"/>
      <c r="O57" s="85"/>
      <c r="P57" s="48">
        <f>SUM(compras_mes11[[#This Row],[NETO GRAVADO]:[Otros / No Grav.]])</f>
        <v>9689.9946</v>
      </c>
      <c r="Q57" s="49">
        <f>IFERROR(IF(compras_mes11[[#This Row],[CUIT]]="","-",VLOOKUP(compras_mes11[[#This Row],[CUIT]],Lista_CUIT[#All],3,0)),"CUIT NO CARGADO")</f>
        <v>0</v>
      </c>
      <c r="R57" s="49">
        <f>IFERROR(IF(compras_mes11[[#This Row],[CUIT]]="","-",VLOOKUP(compras_mes11[[#This Row],[CUIT]],Lista_CUIT[#All],4,0)),"CUIT NO CARGADO")</f>
        <v>0</v>
      </c>
    </row>
    <row r="58" spans="2:18" x14ac:dyDescent="0.3">
      <c r="B58" s="136">
        <v>44846</v>
      </c>
      <c r="C58" s="137">
        <v>2</v>
      </c>
      <c r="D58" s="138">
        <v>4</v>
      </c>
      <c r="E58" s="139">
        <v>3664</v>
      </c>
      <c r="F58" s="140">
        <v>30585948817</v>
      </c>
      <c r="G58" s="141" t="str">
        <f>IFERROR(IF(compras_mes11[[#This Row],[CUIT]]="","-",VLOOKUP(compras_mes11[[#This Row],[CUIT]],Lista_CUIT[#All],2,0)),"CUIT NO CARGADO")</f>
        <v xml:space="preserve">GLASCAR </v>
      </c>
      <c r="H58" s="146">
        <v>94032.12</v>
      </c>
      <c r="I58" s="142">
        <f>IF(compras_mes11[[#This Row],[NETO GRAVADO]]="","",compras_mes11[[#This Row],[NETO GRAVADO]]*0.21)</f>
        <v>19746.745199999998</v>
      </c>
      <c r="J58" s="142"/>
      <c r="K58" s="142"/>
      <c r="L58" s="142"/>
      <c r="M58" s="142"/>
      <c r="N58" s="142"/>
      <c r="O58" s="142"/>
      <c r="P58" s="143">
        <f>SUM(compras_mes11[[#This Row],[NETO GRAVADO]:[Otros / No Grav.]])</f>
        <v>113778.8652</v>
      </c>
      <c r="Q58" s="144">
        <f>IFERROR(IF(compras_mes11[[#This Row],[CUIT]]="","-",VLOOKUP(compras_mes11[[#This Row],[CUIT]],Lista_CUIT[#All],3,0)),"CUIT NO CARGADO")</f>
        <v>0</v>
      </c>
      <c r="R58" s="144">
        <f>IFERROR(IF(compras_mes11[[#This Row],[CUIT]]="","-",VLOOKUP(compras_mes11[[#This Row],[CUIT]],Lista_CUIT[#All],4,0)),"CUIT NO CARGADO")</f>
        <v>0</v>
      </c>
    </row>
    <row r="59" spans="2:18" x14ac:dyDescent="0.3">
      <c r="B59" s="153">
        <v>44846</v>
      </c>
      <c r="C59" s="154">
        <v>1</v>
      </c>
      <c r="D59" s="155">
        <v>20</v>
      </c>
      <c r="E59" s="156">
        <v>5357</v>
      </c>
      <c r="F59" s="157">
        <v>30515800219</v>
      </c>
      <c r="G59" s="131" t="str">
        <f>IFERROR(IF(compras_mes11[[#This Row],[CUIT]]="","-",VLOOKUP(compras_mes11[[#This Row],[CUIT]],Lista_CUIT[#All],2,0)),"CUIT NO CARGADO")</f>
        <v>INCAT SRL</v>
      </c>
      <c r="H59" s="159">
        <v>443.73</v>
      </c>
      <c r="I59" s="130">
        <f>IF(compras_mes11[[#This Row],[NETO GRAVADO]]="","",compras_mes11[[#This Row],[NETO GRAVADO]]*0.21)</f>
        <v>93.183300000000003</v>
      </c>
      <c r="J59" s="130"/>
      <c r="K59" s="130"/>
      <c r="L59" s="130"/>
      <c r="M59" s="130"/>
      <c r="N59" s="130"/>
      <c r="O59" s="130">
        <v>10.09</v>
      </c>
      <c r="P59" s="132">
        <f>SUM(compras_mes11[[#This Row],[NETO GRAVADO]:[Otros / No Grav.]])</f>
        <v>547.00330000000008</v>
      </c>
      <c r="Q59" s="133" t="str">
        <f>IFERROR(IF(compras_mes11[[#This Row],[CUIT]]="","-",VLOOKUP(compras_mes11[[#This Row],[CUIT]],Lista_CUIT[#All],3,0)),"CUIT NO CARGADO")</f>
        <v>Combustibe</v>
      </c>
      <c r="R59" s="133" t="str">
        <f>IFERROR(IF(compras_mes11[[#This Row],[CUIT]]="","-",VLOOKUP(compras_mes11[[#This Row],[CUIT]],Lista_CUIT[#All],4,0)),"CUIT NO CARGADO")</f>
        <v>CABA</v>
      </c>
    </row>
    <row r="60" spans="2:18" x14ac:dyDescent="0.3">
      <c r="B60" s="136">
        <v>44846</v>
      </c>
      <c r="C60" s="41">
        <v>1</v>
      </c>
      <c r="D60" s="138">
        <v>6850</v>
      </c>
      <c r="E60" s="139">
        <v>9982</v>
      </c>
      <c r="F60" s="140">
        <v>30678774495</v>
      </c>
      <c r="G60" s="141" t="str">
        <f>IFERROR(IF(compras_mes11[[#This Row],[CUIT]]="","-",VLOOKUP(compras_mes11[[#This Row],[CUIT]],Lista_CUIT[#All],2,0)),"CUIT NO CARGADO")</f>
        <v>OPER. DE EST. DE SERV. SA</v>
      </c>
      <c r="H60" s="146">
        <v>3533.34</v>
      </c>
      <c r="I60" s="142">
        <f>IF(compras_mes11[[#This Row],[NETO GRAVADO]]="","",compras_mes11[[#This Row],[NETO GRAVADO]]*0.21)</f>
        <v>742.00139999999999</v>
      </c>
      <c r="J60" s="142"/>
      <c r="K60" s="142"/>
      <c r="L60" s="142"/>
      <c r="M60" s="142"/>
      <c r="N60" s="142"/>
      <c r="O60" s="158">
        <v>886.36</v>
      </c>
      <c r="P60" s="143">
        <f>SUM(compras_mes11[[#This Row],[NETO GRAVADO]:[Otros / No Grav.]])</f>
        <v>5161.7013999999999</v>
      </c>
      <c r="Q60" s="144" t="str">
        <f>IFERROR(IF(compras_mes11[[#This Row],[CUIT]]="","-",VLOOKUP(compras_mes11[[#This Row],[CUIT]],Lista_CUIT[#All],3,0)),"CUIT NO CARGADO")</f>
        <v>Combustibe</v>
      </c>
      <c r="R60" s="144">
        <f>IFERROR(IF(compras_mes11[[#This Row],[CUIT]]="","-",VLOOKUP(compras_mes11[[#This Row],[CUIT]],Lista_CUIT[#All],4,0)),"CUIT NO CARGADO")</f>
        <v>0</v>
      </c>
    </row>
    <row r="61" spans="2:18" x14ac:dyDescent="0.3">
      <c r="B61" s="136">
        <v>44846</v>
      </c>
      <c r="C61" s="41">
        <v>1</v>
      </c>
      <c r="D61" s="161">
        <v>2188</v>
      </c>
      <c r="E61" s="162">
        <v>74659</v>
      </c>
      <c r="F61" s="163">
        <v>30548083156</v>
      </c>
      <c r="G61" s="164" t="str">
        <f>IFERROR(IF(compras_mes11[[#This Row],[CUIT]]="","-",VLOOKUP(compras_mes11[[#This Row],[CUIT]],Lista_CUIT[#All],2,0)),"CUIT NO CARGADO")</f>
        <v>COTO CENTRO INTEGRAL DE COMERCIALIZACION SOCIEDAD ANONIMA</v>
      </c>
      <c r="H61" s="159">
        <v>7791.08</v>
      </c>
      <c r="I61" s="158">
        <v>1526.23</v>
      </c>
      <c r="J61" s="158"/>
      <c r="K61" s="158">
        <v>54.95</v>
      </c>
      <c r="L61" s="158">
        <v>214.98</v>
      </c>
      <c r="M61" s="158"/>
      <c r="N61" s="158">
        <v>441.51</v>
      </c>
      <c r="O61" s="158"/>
      <c r="P61" s="165">
        <f>SUM(compras_mes11[[#This Row],[NETO GRAVADO]:[Otros / No Grav.]])</f>
        <v>10028.75</v>
      </c>
      <c r="Q61" s="166" t="str">
        <f>IFERROR(IF(compras_mes11[[#This Row],[CUIT]]="","-",VLOOKUP(compras_mes11[[#This Row],[CUIT]],Lista_CUIT[#All],3,0)),"CUIT NO CARGADO")</f>
        <v>GASTOS COMERCIALES</v>
      </c>
      <c r="R61" s="166">
        <f>IFERROR(IF(compras_mes11[[#This Row],[CUIT]]="","-",VLOOKUP(compras_mes11[[#This Row],[CUIT]],Lista_CUIT[#All],4,0)),"CUIT NO CARGADO")</f>
        <v>0</v>
      </c>
    </row>
    <row r="62" spans="2:18" x14ac:dyDescent="0.3">
      <c r="B62" s="136">
        <v>44847</v>
      </c>
      <c r="C62" s="41">
        <v>1</v>
      </c>
      <c r="D62" s="138">
        <v>4</v>
      </c>
      <c r="E62" s="139">
        <v>1583</v>
      </c>
      <c r="F62" s="140">
        <v>27226413095</v>
      </c>
      <c r="G62" s="141" t="str">
        <f>IFERROR(IF(compras_mes11[[#This Row],[CUIT]]="","-",VLOOKUP(compras_mes11[[#This Row],[CUIT]],Lista_CUIT[#All],2,0)),"CUIT NO CARGADO")</f>
        <v>SANTILLAN LILIANA ITATI</v>
      </c>
      <c r="H62" s="146">
        <v>3973.55</v>
      </c>
      <c r="I62" s="142">
        <f>IF(compras_mes11[[#This Row],[NETO GRAVADO]]="","",compras_mes11[[#This Row],[NETO GRAVADO]]*0.21)</f>
        <v>834.44550000000004</v>
      </c>
      <c r="J62" s="142"/>
      <c r="K62" s="142"/>
      <c r="L62" s="142"/>
      <c r="M62" s="142"/>
      <c r="N62" s="142"/>
      <c r="O62" s="142"/>
      <c r="P62" s="143">
        <f>SUM(compras_mes11[[#This Row],[NETO GRAVADO]:[Otros / No Grav.]])</f>
        <v>4807.9955</v>
      </c>
      <c r="Q62" s="144">
        <f>IFERROR(IF(compras_mes11[[#This Row],[CUIT]]="","-",VLOOKUP(compras_mes11[[#This Row],[CUIT]],Lista_CUIT[#All],3,0)),"CUIT NO CARGADO")</f>
        <v>0</v>
      </c>
      <c r="R62" s="144">
        <f>IFERROR(IF(compras_mes11[[#This Row],[CUIT]]="","-",VLOOKUP(compras_mes11[[#This Row],[CUIT]],Lista_CUIT[#All],4,0)),"CUIT NO CARGADO")</f>
        <v>0</v>
      </c>
    </row>
    <row r="63" spans="2:18" x14ac:dyDescent="0.3">
      <c r="B63" s="136">
        <v>44847</v>
      </c>
      <c r="C63" s="41">
        <v>1</v>
      </c>
      <c r="D63" s="138">
        <v>10</v>
      </c>
      <c r="E63" s="139">
        <v>1607</v>
      </c>
      <c r="F63" s="140">
        <v>23127284369</v>
      </c>
      <c r="G63" s="141" t="str">
        <f>IFERROR(IF(compras_mes11[[#This Row],[CUIT]]="","-",VLOOKUP(compras_mes11[[#This Row],[CUIT]],Lista_CUIT[#All],2,0)),"CUIT NO CARGADO")</f>
        <v xml:space="preserve">DOMINGO MONTORRO </v>
      </c>
      <c r="H63" s="146">
        <v>24432.28</v>
      </c>
      <c r="I63" s="142">
        <f>IF(compras_mes11[[#This Row],[NETO GRAVADO]]="","",compras_mes11[[#This Row],[NETO GRAVADO]]*0.21)</f>
        <v>5130.7787999999991</v>
      </c>
      <c r="J63" s="142"/>
      <c r="K63" s="142"/>
      <c r="L63" s="142"/>
      <c r="M63" s="142"/>
      <c r="N63" s="142"/>
      <c r="O63" s="142"/>
      <c r="P63" s="143">
        <f>SUM(compras_mes11[[#This Row],[NETO GRAVADO]:[Otros / No Grav.]])</f>
        <v>29563.058799999999</v>
      </c>
      <c r="Q63" s="144">
        <f>IFERROR(IF(compras_mes11[[#This Row],[CUIT]]="","-",VLOOKUP(compras_mes11[[#This Row],[CUIT]],Lista_CUIT[#All],3,0)),"CUIT NO CARGADO")</f>
        <v>0</v>
      </c>
      <c r="R63" s="144">
        <f>IFERROR(IF(compras_mes11[[#This Row],[CUIT]]="","-",VLOOKUP(compras_mes11[[#This Row],[CUIT]],Lista_CUIT[#All],4,0)),"CUIT NO CARGADO")</f>
        <v>0</v>
      </c>
    </row>
    <row r="64" spans="2:18" x14ac:dyDescent="0.3">
      <c r="B64" s="136">
        <v>44847</v>
      </c>
      <c r="C64" s="41">
        <v>1</v>
      </c>
      <c r="D64" s="138">
        <v>7</v>
      </c>
      <c r="E64" s="139">
        <v>7542</v>
      </c>
      <c r="F64" s="140">
        <v>30708017759</v>
      </c>
      <c r="G64" s="141" t="str">
        <f>IFERROR(IF(compras_mes11[[#This Row],[CUIT]]="","-",VLOOKUP(compras_mes11[[#This Row],[CUIT]],Lista_CUIT[#All],2,0)),"CUIT NO CARGADO")</f>
        <v>NEW  HIGH PACK  SA</v>
      </c>
      <c r="H64" s="146">
        <v>389190</v>
      </c>
      <c r="I64" s="142">
        <f>IF(compras_mes11[[#This Row],[NETO GRAVADO]]="","",compras_mes11[[#This Row],[NETO GRAVADO]]*0.21)</f>
        <v>81729.899999999994</v>
      </c>
      <c r="J64" s="142"/>
      <c r="K64" s="142"/>
      <c r="L64" s="142"/>
      <c r="M64" s="142"/>
      <c r="N64" s="158">
        <v>23351.4</v>
      </c>
      <c r="O64" s="142"/>
      <c r="P64" s="143">
        <f>SUM(compras_mes11[[#This Row],[NETO GRAVADO]:[Otros / No Grav.]])</f>
        <v>494271.30000000005</v>
      </c>
      <c r="Q64" s="144">
        <f>IFERROR(IF(compras_mes11[[#This Row],[CUIT]]="","-",VLOOKUP(compras_mes11[[#This Row],[CUIT]],Lista_CUIT[#All],3,0)),"CUIT NO CARGADO")</f>
        <v>0</v>
      </c>
      <c r="R64" s="144">
        <f>IFERROR(IF(compras_mes11[[#This Row],[CUIT]]="","-",VLOOKUP(compras_mes11[[#This Row],[CUIT]],Lista_CUIT[#All],4,0)),"CUIT NO CARGADO")</f>
        <v>0</v>
      </c>
    </row>
    <row r="65" spans="2:18" ht="19.2" customHeight="1" x14ac:dyDescent="0.3">
      <c r="B65" s="136">
        <v>44847</v>
      </c>
      <c r="C65" s="41">
        <v>1</v>
      </c>
      <c r="D65" s="138">
        <v>4</v>
      </c>
      <c r="E65" s="139">
        <v>29717</v>
      </c>
      <c r="F65" s="140">
        <v>20222524564</v>
      </c>
      <c r="G65" s="141" t="str">
        <f>IFERROR(IF(compras_mes11[[#This Row],[CUIT]]="","-",VLOOKUP(compras_mes11[[#This Row],[CUIT]],Lista_CUIT[#All],2,0)),"CUIT NO CARGADO")</f>
        <v>LECHUGA JULIO CESAR</v>
      </c>
      <c r="H65" s="146">
        <v>19532.89</v>
      </c>
      <c r="I65" s="142">
        <f>IF(compras_mes11[[#This Row],[NETO GRAVADO]]="","",compras_mes11[[#This Row],[NETO GRAVADO]]*0.21)</f>
        <v>4101.9069</v>
      </c>
      <c r="J65" s="142"/>
      <c r="K65" s="142"/>
      <c r="L65" s="142"/>
      <c r="M65" s="142"/>
      <c r="N65" s="142"/>
      <c r="O65" s="142"/>
      <c r="P65" s="143">
        <f>SUM(compras_mes11[[#This Row],[NETO GRAVADO]:[Otros / No Grav.]])</f>
        <v>23634.796900000001</v>
      </c>
      <c r="Q65" s="144">
        <f>IFERROR(IF(compras_mes11[[#This Row],[CUIT]]="","-",VLOOKUP(compras_mes11[[#This Row],[CUIT]],Lista_CUIT[#All],3,0)),"CUIT NO CARGADO")</f>
        <v>0</v>
      </c>
      <c r="R65" s="144">
        <f>IFERROR(IF(compras_mes11[[#This Row],[CUIT]]="","-",VLOOKUP(compras_mes11[[#This Row],[CUIT]],Lista_CUIT[#All],4,0)),"CUIT NO CARGADO")</f>
        <v>0</v>
      </c>
    </row>
    <row r="66" spans="2:18" ht="28.95" customHeight="1" x14ac:dyDescent="0.3">
      <c r="B66" s="136">
        <v>44848</v>
      </c>
      <c r="C66" s="41">
        <v>1</v>
      </c>
      <c r="D66" s="138">
        <v>57</v>
      </c>
      <c r="E66" s="139">
        <v>1097</v>
      </c>
      <c r="F66" s="140">
        <v>30708784067</v>
      </c>
      <c r="G66" s="141" t="str">
        <f>IFERROR(IF(compras_mes11[[#This Row],[CUIT]]="","-",VLOOKUP(compras_mes11[[#This Row],[CUIT]],Lista_CUIT[#All],2,0)),"CUIT NO CARGADO")</f>
        <v>LANDMARK</v>
      </c>
      <c r="H66" s="146">
        <v>22053.72</v>
      </c>
      <c r="I66" s="142">
        <f>IF(compras_mes11[[#This Row],[NETO GRAVADO]]="","",compras_mes11[[#This Row],[NETO GRAVADO]]*0.21)</f>
        <v>4631.2812000000004</v>
      </c>
      <c r="J66" s="142"/>
      <c r="K66" s="142"/>
      <c r="L66" s="142"/>
      <c r="M66" s="142"/>
      <c r="N66" s="158">
        <v>1323.22</v>
      </c>
      <c r="O66" s="142"/>
      <c r="P66" s="143">
        <f>SUM(compras_mes11[[#This Row],[NETO GRAVADO]:[Otros / No Grav.]])</f>
        <v>28008.221200000004</v>
      </c>
      <c r="Q66" s="144">
        <f>IFERROR(IF(compras_mes11[[#This Row],[CUIT]]="","-",VLOOKUP(compras_mes11[[#This Row],[CUIT]],Lista_CUIT[#All],3,0)),"CUIT NO CARGADO")</f>
        <v>0</v>
      </c>
      <c r="R66" s="144">
        <f>IFERROR(IF(compras_mes11[[#This Row],[CUIT]]="","-",VLOOKUP(compras_mes11[[#This Row],[CUIT]],Lista_CUIT[#All],4,0)),"CUIT NO CARGADO")</f>
        <v>0</v>
      </c>
    </row>
    <row r="67" spans="2:18" s="128" customFormat="1" x14ac:dyDescent="0.3">
      <c r="B67" s="136">
        <v>44848</v>
      </c>
      <c r="C67" s="41">
        <v>1</v>
      </c>
      <c r="D67" s="138">
        <v>57</v>
      </c>
      <c r="E67" s="139">
        <v>1098</v>
      </c>
      <c r="F67" s="140">
        <v>30708784067</v>
      </c>
      <c r="G67" s="141" t="str">
        <f>IFERROR(IF(compras_mes11[[#This Row],[CUIT]]="","-",VLOOKUP(compras_mes11[[#This Row],[CUIT]],Lista_CUIT[#All],2,0)),"CUIT NO CARGADO")</f>
        <v>LANDMARK</v>
      </c>
      <c r="H67" s="146">
        <v>29743.8</v>
      </c>
      <c r="I67" s="142">
        <f>IF(compras_mes11[[#This Row],[NETO GRAVADO]]="","",compras_mes11[[#This Row],[NETO GRAVADO]]*0.21)</f>
        <v>6246.1979999999994</v>
      </c>
      <c r="J67" s="142"/>
      <c r="K67" s="142"/>
      <c r="L67" s="142"/>
      <c r="M67" s="142"/>
      <c r="N67" s="142"/>
      <c r="O67" s="142"/>
      <c r="P67" s="143">
        <f>SUM(compras_mes11[[#This Row],[NETO GRAVADO]:[Otros / No Grav.]])</f>
        <v>35989.998</v>
      </c>
      <c r="Q67" s="144">
        <f>IFERROR(IF(compras_mes11[[#This Row],[CUIT]]="","-",VLOOKUP(compras_mes11[[#This Row],[CUIT]],Lista_CUIT[#All],3,0)),"CUIT NO CARGADO")</f>
        <v>0</v>
      </c>
      <c r="R67" s="144">
        <f>IFERROR(IF(compras_mes11[[#This Row],[CUIT]]="","-",VLOOKUP(compras_mes11[[#This Row],[CUIT]],Lista_CUIT[#All],4,0)),"CUIT NO CARGADO")</f>
        <v>0</v>
      </c>
    </row>
    <row r="68" spans="2:18" x14ac:dyDescent="0.3">
      <c r="B68" s="40">
        <v>44848</v>
      </c>
      <c r="C68" s="41">
        <v>1</v>
      </c>
      <c r="D68" s="42">
        <v>1</v>
      </c>
      <c r="E68" s="43">
        <v>2271</v>
      </c>
      <c r="F68" s="140" t="s">
        <v>121</v>
      </c>
      <c r="G68" s="45" t="str">
        <f>IFERROR(IF(compras_mes11[[#This Row],[CUIT]]="","-",VLOOKUP(compras_mes11[[#This Row],[CUIT]],Lista_CUIT[#All],2,0)),"CUIT NO CARGADO")</f>
        <v>CUIT NO CARGADO</v>
      </c>
      <c r="H68" s="152">
        <v>61300</v>
      </c>
      <c r="I68" s="85">
        <f>IF(compras_mes11[[#This Row],[NETO GRAVADO]]="","",compras_mes11[[#This Row],[NETO GRAVADO]]*0.21)</f>
        <v>12873</v>
      </c>
      <c r="J68" s="85"/>
      <c r="K68" s="85"/>
      <c r="L68" s="85"/>
      <c r="M68" s="85"/>
      <c r="N68" s="85"/>
      <c r="O68" s="85"/>
      <c r="P68" s="48">
        <f>SUM(compras_mes11[[#This Row],[NETO GRAVADO]:[Otros / No Grav.]])</f>
        <v>74173</v>
      </c>
      <c r="Q68" s="49" t="str">
        <f>IFERROR(IF(compras_mes11[[#This Row],[CUIT]]="","-",VLOOKUP(compras_mes11[[#This Row],[CUIT]],Lista_CUIT[#All],3,0)),"CUIT NO CARGADO")</f>
        <v>CUIT NO CARGADO</v>
      </c>
      <c r="R68" s="49" t="str">
        <f>IFERROR(IF(compras_mes11[[#This Row],[CUIT]]="","-",VLOOKUP(compras_mes11[[#This Row],[CUIT]],Lista_CUIT[#All],4,0)),"CUIT NO CARGADO")</f>
        <v>CUIT NO CARGADO</v>
      </c>
    </row>
    <row r="69" spans="2:18" x14ac:dyDescent="0.3">
      <c r="B69" s="153">
        <v>44848</v>
      </c>
      <c r="C69" s="154">
        <v>1</v>
      </c>
      <c r="D69" s="155">
        <v>6</v>
      </c>
      <c r="E69" s="156">
        <v>2724</v>
      </c>
      <c r="F69" s="157">
        <v>20134664518</v>
      </c>
      <c r="G69" s="131" t="str">
        <f>IFERROR(IF(compras_mes11[[#This Row],[CUIT]]="","-",VLOOKUP(compras_mes11[[#This Row],[CUIT]],Lista_CUIT[#All],2,0)),"CUIT NO CARGADO")</f>
        <v>HOKAMA SERGIO ENRIQUE</v>
      </c>
      <c r="H69" s="159">
        <v>3680.99</v>
      </c>
      <c r="I69" s="130">
        <f>IF(compras_mes11[[#This Row],[NETO GRAVADO]]="","",compras_mes11[[#This Row],[NETO GRAVADO]]*0.21)</f>
        <v>773.00789999999995</v>
      </c>
      <c r="J69" s="130"/>
      <c r="K69" s="130"/>
      <c r="L69" s="130"/>
      <c r="M69" s="130"/>
      <c r="N69" s="130"/>
      <c r="O69" s="130"/>
      <c r="P69" s="132">
        <f>SUM(compras_mes11[[#This Row],[NETO GRAVADO]:[Otros / No Grav.]])</f>
        <v>4453.9978999999994</v>
      </c>
      <c r="Q69" s="133" t="str">
        <f>IFERROR(IF(compras_mes11[[#This Row],[CUIT]]="","-",VLOOKUP(compras_mes11[[#This Row],[CUIT]],Lista_CUIT[#All],3,0)),"CUIT NO CARGADO")</f>
        <v>Gastos Varios</v>
      </c>
      <c r="R69" s="133" t="str">
        <f>IFERROR(IF(compras_mes11[[#This Row],[CUIT]]="","-",VLOOKUP(compras_mes11[[#This Row],[CUIT]],Lista_CUIT[#All],4,0)),"CUIT NO CARGADO")</f>
        <v>BUENOS AIRES</v>
      </c>
    </row>
    <row r="70" spans="2:18" x14ac:dyDescent="0.3">
      <c r="B70" s="136">
        <v>44848</v>
      </c>
      <c r="C70" s="41">
        <v>1</v>
      </c>
      <c r="D70" s="138">
        <v>2</v>
      </c>
      <c r="E70" s="139">
        <v>3170</v>
      </c>
      <c r="F70" s="140">
        <v>30629863571</v>
      </c>
      <c r="G70" s="141" t="str">
        <f>IFERROR(IF(compras_mes11[[#This Row],[CUIT]]="","-",VLOOKUP(compras_mes11[[#This Row],[CUIT]],Lista_CUIT[#All],2,0)),"CUIT NO CARGADO")</f>
        <v>TECNIMAR S R L</v>
      </c>
      <c r="H70" s="146">
        <v>108319</v>
      </c>
      <c r="I70" s="142">
        <f>IF(compras_mes11[[#This Row],[NETO GRAVADO]]="","",compras_mes11[[#This Row],[NETO GRAVADO]]*0.21)</f>
        <v>22746.989999999998</v>
      </c>
      <c r="J70" s="142"/>
      <c r="K70" s="142"/>
      <c r="L70" s="142"/>
      <c r="M70" s="142"/>
      <c r="N70" s="142"/>
      <c r="O70" s="142"/>
      <c r="P70" s="143">
        <f>SUM(compras_mes11[[#This Row],[NETO GRAVADO]:[Otros / No Grav.]])</f>
        <v>131065.98999999999</v>
      </c>
      <c r="Q70" s="144" t="str">
        <f>IFERROR(IF(compras_mes11[[#This Row],[CUIT]]="","-",VLOOKUP(compras_mes11[[#This Row],[CUIT]],Lista_CUIT[#All],3,0)),"CUIT NO CARGADO")</f>
        <v>LABORATORIO</v>
      </c>
      <c r="R70" s="144">
        <f>IFERROR(IF(compras_mes11[[#This Row],[CUIT]]="","-",VLOOKUP(compras_mes11[[#This Row],[CUIT]],Lista_CUIT[#All],4,0)),"CUIT NO CARGADO")</f>
        <v>0</v>
      </c>
    </row>
    <row r="71" spans="2:18" x14ac:dyDescent="0.3">
      <c r="B71" s="136">
        <v>44848</v>
      </c>
      <c r="C71" s="41">
        <v>1</v>
      </c>
      <c r="D71" s="138">
        <v>5</v>
      </c>
      <c r="E71" s="139">
        <v>3217</v>
      </c>
      <c r="F71" s="140">
        <v>30714734446</v>
      </c>
      <c r="G71" s="141" t="str">
        <f>IFERROR(IF(compras_mes11[[#This Row],[CUIT]]="","-",VLOOKUP(compras_mes11[[#This Row],[CUIT]],Lista_CUIT[#All],2,0)),"CUIT NO CARGADO")</f>
        <v>GANADERA EL 13 S.R.L</v>
      </c>
      <c r="H71" s="146">
        <v>1870.58</v>
      </c>
      <c r="I71" s="142"/>
      <c r="J71" s="142"/>
      <c r="K71" s="158">
        <v>196.41</v>
      </c>
      <c r="L71" s="142"/>
      <c r="M71" s="142"/>
      <c r="N71" s="142"/>
      <c r="O71" s="142"/>
      <c r="P71" s="143">
        <f>SUM(compras_mes11[[#This Row],[NETO GRAVADO]:[Otros / No Grav.]])</f>
        <v>2066.9899999999998</v>
      </c>
      <c r="Q71" s="144">
        <f>IFERROR(IF(compras_mes11[[#This Row],[CUIT]]="","-",VLOOKUP(compras_mes11[[#This Row],[CUIT]],Lista_CUIT[#All],3,0)),"CUIT NO CARGADO")</f>
        <v>0</v>
      </c>
      <c r="R71" s="144">
        <f>IFERROR(IF(compras_mes11[[#This Row],[CUIT]]="","-",VLOOKUP(compras_mes11[[#This Row],[CUIT]],Lista_CUIT[#All],4,0)),"CUIT NO CARGADO")</f>
        <v>0</v>
      </c>
    </row>
    <row r="72" spans="2:18" x14ac:dyDescent="0.3">
      <c r="B72" s="136">
        <v>44848</v>
      </c>
      <c r="C72" s="41">
        <v>1</v>
      </c>
      <c r="D72" s="138">
        <v>8257</v>
      </c>
      <c r="E72" s="139">
        <v>7762</v>
      </c>
      <c r="F72" s="140">
        <v>30590360763</v>
      </c>
      <c r="G72" s="141" t="str">
        <f>IFERROR(IF(compras_mes11[[#This Row],[CUIT]]="","-",VLOOKUP(compras_mes11[[#This Row],[CUIT]],Lista_CUIT[#All],2,0)),"CUIT NO CARGADO")</f>
        <v>CENCOSUD S.A</v>
      </c>
      <c r="H72" s="146">
        <v>2041.77</v>
      </c>
      <c r="I72" s="158">
        <v>231.69</v>
      </c>
      <c r="J72" s="158"/>
      <c r="K72" s="158">
        <v>98.54</v>
      </c>
      <c r="L72" s="158"/>
      <c r="M72" s="158"/>
      <c r="N72" s="158">
        <v>122.51</v>
      </c>
      <c r="O72" s="158"/>
      <c r="P72" s="165">
        <f>SUM(compras_mes11[[#This Row],[NETO GRAVADO]:[Otros / No Grav.]])</f>
        <v>2494.5100000000002</v>
      </c>
      <c r="Q72" s="144" t="str">
        <f>IFERROR(IF(compras_mes11[[#This Row],[CUIT]]="","-",VLOOKUP(compras_mes11[[#This Row],[CUIT]],Lista_CUIT[#All],3,0)),"CUIT NO CARGADO")</f>
        <v>Gastos Varios</v>
      </c>
      <c r="R72" s="144">
        <f>IFERROR(IF(compras_mes11[[#This Row],[CUIT]]="","-",VLOOKUP(compras_mes11[[#This Row],[CUIT]],Lista_CUIT[#All],4,0)),"CUIT NO CARGADO")</f>
        <v>0</v>
      </c>
    </row>
    <row r="73" spans="2:18" x14ac:dyDescent="0.3">
      <c r="B73" s="153">
        <v>44849</v>
      </c>
      <c r="C73" s="154">
        <v>1</v>
      </c>
      <c r="D73" s="155">
        <v>12</v>
      </c>
      <c r="E73" s="156">
        <v>10635</v>
      </c>
      <c r="F73" s="157" t="s">
        <v>119</v>
      </c>
      <c r="G73" s="131" t="str">
        <f>IFERROR(IF(compras_mes11[[#This Row],[CUIT]]="","-",VLOOKUP(compras_mes11[[#This Row],[CUIT]],Lista_CUIT[#All],2,0)),"CUIT NO CARGADO")</f>
        <v>CUIT NO CARGADO</v>
      </c>
      <c r="H73" s="159">
        <v>13595.24</v>
      </c>
      <c r="I73" s="130">
        <v>2855</v>
      </c>
      <c r="J73" s="130"/>
      <c r="K73" s="130"/>
      <c r="L73" s="130"/>
      <c r="M73" s="130"/>
      <c r="N73" s="130"/>
      <c r="O73" s="130">
        <v>3476.72</v>
      </c>
      <c r="P73" s="132">
        <f>SUM(compras_mes11[[#This Row],[NETO GRAVADO]:[Otros / No Grav.]])</f>
        <v>19926.96</v>
      </c>
      <c r="Q73" s="133" t="str">
        <f>IFERROR(IF(compras_mes11[[#This Row],[CUIT]]="","-",VLOOKUP(compras_mes11[[#This Row],[CUIT]],Lista_CUIT[#All],3,0)),"CUIT NO CARGADO")</f>
        <v>CUIT NO CARGADO</v>
      </c>
      <c r="R73" s="133" t="str">
        <f>IFERROR(IF(compras_mes11[[#This Row],[CUIT]]="","-",VLOOKUP(compras_mes11[[#This Row],[CUIT]],Lista_CUIT[#All],4,0)),"CUIT NO CARGADO")</f>
        <v>CUIT NO CARGADO</v>
      </c>
    </row>
    <row r="74" spans="2:18" x14ac:dyDescent="0.3">
      <c r="B74" s="136">
        <v>44849</v>
      </c>
      <c r="C74" s="41">
        <v>1</v>
      </c>
      <c r="D74" s="138">
        <v>4264</v>
      </c>
      <c r="E74" s="139">
        <v>566777</v>
      </c>
      <c r="F74" s="140">
        <v>30639453738</v>
      </c>
      <c r="G74" s="141" t="str">
        <f>IFERROR(IF(compras_mes11[[#This Row],[CUIT]]="","-",VLOOKUP(compras_mes11[[#This Row],[CUIT]],Lista_CUIT[#All],2,0)),"CUIT NO CARGADO")</f>
        <v>TELECOM ARG SA</v>
      </c>
      <c r="H74" s="146">
        <v>8850</v>
      </c>
      <c r="I74" s="142">
        <f>IF(compras_mes11[[#This Row],[NETO GRAVADO]]="","",compras_mes11[[#This Row],[NETO GRAVADO]]*0.21)</f>
        <v>1858.5</v>
      </c>
      <c r="J74" s="142"/>
      <c r="K74" s="142"/>
      <c r="L74" s="142"/>
      <c r="M74" s="142"/>
      <c r="N74" s="142"/>
      <c r="O74" s="142"/>
      <c r="P74" s="143">
        <f>SUM(compras_mes11[[#This Row],[NETO GRAVADO]:[Otros / No Grav.]])</f>
        <v>10708.5</v>
      </c>
      <c r="Q74" s="144" t="str">
        <f>IFERROR(IF(compras_mes11[[#This Row],[CUIT]]="","-",VLOOKUP(compras_mes11[[#This Row],[CUIT]],Lista_CUIT[#All],3,0)),"CUIT NO CARGADO")</f>
        <v>Servicios Gas, Luz, etc.</v>
      </c>
      <c r="R74" s="144">
        <f>IFERROR(IF(compras_mes11[[#This Row],[CUIT]]="","-",VLOOKUP(compras_mes11[[#This Row],[CUIT]],Lista_CUIT[#All],4,0)),"CUIT NO CARGADO")</f>
        <v>0</v>
      </c>
    </row>
    <row r="75" spans="2:18" x14ac:dyDescent="0.3">
      <c r="B75" s="136">
        <v>44849</v>
      </c>
      <c r="C75" s="41">
        <v>1</v>
      </c>
      <c r="D75" s="138">
        <v>4264</v>
      </c>
      <c r="E75" s="139">
        <v>571240</v>
      </c>
      <c r="F75" s="140">
        <v>30639453738</v>
      </c>
      <c r="G75" s="141" t="str">
        <f>IFERROR(IF(compras_mes11[[#This Row],[CUIT]]="","-",VLOOKUP(compras_mes11[[#This Row],[CUIT]],Lista_CUIT[#All],2,0)),"CUIT NO CARGADO")</f>
        <v>TELECOM ARG SA</v>
      </c>
      <c r="H75" s="146">
        <v>6600</v>
      </c>
      <c r="I75" s="142">
        <f>IF(compras_mes11[[#This Row],[NETO GRAVADO]]="","",compras_mes11[[#This Row],[NETO GRAVADO]]*0.21)</f>
        <v>1386</v>
      </c>
      <c r="J75" s="142"/>
      <c r="K75" s="142"/>
      <c r="L75" s="142"/>
      <c r="M75" s="142"/>
      <c r="N75" s="142"/>
      <c r="O75" s="142"/>
      <c r="P75" s="143">
        <f>SUM(compras_mes11[[#This Row],[NETO GRAVADO]:[Otros / No Grav.]])</f>
        <v>7986</v>
      </c>
      <c r="Q75" s="144" t="str">
        <f>IFERROR(IF(compras_mes11[[#This Row],[CUIT]]="","-",VLOOKUP(compras_mes11[[#This Row],[CUIT]],Lista_CUIT[#All],3,0)),"CUIT NO CARGADO")</f>
        <v>Servicios Gas, Luz, etc.</v>
      </c>
      <c r="R75" s="144">
        <f>IFERROR(IF(compras_mes11[[#This Row],[CUIT]]="","-",VLOOKUP(compras_mes11[[#This Row],[CUIT]],Lista_CUIT[#All],4,0)),"CUIT NO CARGADO")</f>
        <v>0</v>
      </c>
    </row>
    <row r="76" spans="2:18" x14ac:dyDescent="0.3">
      <c r="B76" s="136">
        <v>44849</v>
      </c>
      <c r="C76" s="41">
        <v>1</v>
      </c>
      <c r="D76" s="138">
        <v>4264</v>
      </c>
      <c r="E76" s="139">
        <v>608974</v>
      </c>
      <c r="F76" s="140">
        <v>30639453738</v>
      </c>
      <c r="G76" s="141" t="str">
        <f>IFERROR(IF(compras_mes11[[#This Row],[CUIT]]="","-",VLOOKUP(compras_mes11[[#This Row],[CUIT]],Lista_CUIT[#All],2,0)),"CUIT NO CARGADO")</f>
        <v>TELECOM ARG SA</v>
      </c>
      <c r="H76" s="146">
        <v>13900</v>
      </c>
      <c r="I76" s="142">
        <f>IF(compras_mes11[[#This Row],[NETO GRAVADO]]="","",compras_mes11[[#This Row],[NETO GRAVADO]]*0.21)</f>
        <v>2919</v>
      </c>
      <c r="J76" s="142"/>
      <c r="K76" s="142"/>
      <c r="L76" s="142"/>
      <c r="M76" s="142"/>
      <c r="N76" s="142"/>
      <c r="O76" s="142"/>
      <c r="P76" s="143">
        <f>SUM(compras_mes11[[#This Row],[NETO GRAVADO]:[Otros / No Grav.]])</f>
        <v>16819</v>
      </c>
      <c r="Q76" s="144" t="str">
        <f>IFERROR(IF(compras_mes11[[#This Row],[CUIT]]="","-",VLOOKUP(compras_mes11[[#This Row],[CUIT]],Lista_CUIT[#All],3,0)),"CUIT NO CARGADO")</f>
        <v>Servicios Gas, Luz, etc.</v>
      </c>
      <c r="R76" s="144">
        <f>IFERROR(IF(compras_mes11[[#This Row],[CUIT]]="","-",VLOOKUP(compras_mes11[[#This Row],[CUIT]],Lista_CUIT[#All],4,0)),"CUIT NO CARGADO")</f>
        <v>0</v>
      </c>
    </row>
    <row r="77" spans="2:18" x14ac:dyDescent="0.3">
      <c r="B77" s="136">
        <v>44851</v>
      </c>
      <c r="C77" s="41">
        <v>1</v>
      </c>
      <c r="D77" s="138">
        <v>4</v>
      </c>
      <c r="E77" s="139">
        <v>36661</v>
      </c>
      <c r="F77" s="140">
        <v>30585948817</v>
      </c>
      <c r="G77" s="141" t="str">
        <f>IFERROR(IF(compras_mes11[[#This Row],[CUIT]]="","-",VLOOKUP(compras_mes11[[#This Row],[CUIT]],Lista_CUIT[#All],2,0)),"CUIT NO CARGADO")</f>
        <v xml:space="preserve">GLASCAR </v>
      </c>
      <c r="H77" s="146">
        <v>291048.65000000002</v>
      </c>
      <c r="I77" s="142">
        <f>IF(compras_mes11[[#This Row],[NETO GRAVADO]]="","",compras_mes11[[#This Row],[NETO GRAVADO]]*0.21)</f>
        <v>61120.216500000002</v>
      </c>
      <c r="J77" s="142"/>
      <c r="K77" s="142"/>
      <c r="L77" s="142"/>
      <c r="M77" s="142"/>
      <c r="N77" s="142"/>
      <c r="O77" s="142"/>
      <c r="P77" s="143">
        <f>SUM(compras_mes11[[#This Row],[NETO GRAVADO]:[Otros / No Grav.]])</f>
        <v>352168.8665</v>
      </c>
      <c r="Q77" s="144">
        <f>IFERROR(IF(compras_mes11[[#This Row],[CUIT]]="","-",VLOOKUP(compras_mes11[[#This Row],[CUIT]],Lista_CUIT[#All],3,0)),"CUIT NO CARGADO")</f>
        <v>0</v>
      </c>
      <c r="R77" s="144">
        <f>IFERROR(IF(compras_mes11[[#This Row],[CUIT]]="","-",VLOOKUP(compras_mes11[[#This Row],[CUIT]],Lista_CUIT[#All],4,0)),"CUIT NO CARGADO")</f>
        <v>0</v>
      </c>
    </row>
    <row r="78" spans="2:18" x14ac:dyDescent="0.3">
      <c r="B78" s="136">
        <v>44851</v>
      </c>
      <c r="C78" s="41">
        <v>1</v>
      </c>
      <c r="D78" s="138">
        <v>3034</v>
      </c>
      <c r="E78" s="139">
        <v>2575867</v>
      </c>
      <c r="F78" s="140">
        <v>30708574836</v>
      </c>
      <c r="G78" s="141" t="str">
        <f>IFERROR(IF(compras_mes11[[#This Row],[CUIT]]="","-",VLOOKUP(compras_mes11[[#This Row],[CUIT]],Lista_CUIT[#All],2,0)),"CUIT NO CARGADO")</f>
        <v>CORREO OFICIAL DE LA REPUBLICA ARGENTINA SOCIEDAD ANONIMA</v>
      </c>
      <c r="H78" s="146">
        <v>565.9</v>
      </c>
      <c r="I78" s="142">
        <f>IF(compras_mes11[[#This Row],[NETO GRAVADO]]="","",compras_mes11[[#This Row],[NETO GRAVADO]]*0.21)</f>
        <v>118.83899999999998</v>
      </c>
      <c r="J78" s="142"/>
      <c r="K78" s="142"/>
      <c r="L78" s="142"/>
      <c r="M78" s="142"/>
      <c r="N78" s="142"/>
      <c r="O78" s="142"/>
      <c r="P78" s="143">
        <f>SUM(compras_mes11[[#This Row],[NETO GRAVADO]:[Otros / No Grav.]])</f>
        <v>684.73899999999992</v>
      </c>
      <c r="Q78" s="144" t="str">
        <f>IFERROR(IF(compras_mes11[[#This Row],[CUIT]]="","-",VLOOKUP(compras_mes11[[#This Row],[CUIT]],Lista_CUIT[#All],3,0)),"CUIT NO CARGADO")</f>
        <v>MESAJERIA</v>
      </c>
      <c r="R78" s="144">
        <f>IFERROR(IF(compras_mes11[[#This Row],[CUIT]]="","-",VLOOKUP(compras_mes11[[#This Row],[CUIT]],Lista_CUIT[#All],4,0)),"CUIT NO CARGADO")</f>
        <v>0</v>
      </c>
    </row>
    <row r="79" spans="2:18" x14ac:dyDescent="0.3">
      <c r="B79" s="136">
        <v>44852</v>
      </c>
      <c r="C79" s="137">
        <v>3</v>
      </c>
      <c r="D79" s="138">
        <v>5</v>
      </c>
      <c r="E79" s="139">
        <v>20</v>
      </c>
      <c r="F79" s="140">
        <v>20367393042</v>
      </c>
      <c r="G79" s="141" t="str">
        <f>IFERROR(IF(compras_mes11[[#This Row],[CUIT]]="","-",VLOOKUP(compras_mes11[[#This Row],[CUIT]],Lista_CUIT[#All],2,0)),"CUIT NO CARGADO")</f>
        <v>RITACCO RODRIGO</v>
      </c>
      <c r="H79" s="151">
        <v>-48743.8</v>
      </c>
      <c r="I79" s="142">
        <f>IF(compras_mes11[[#This Row],[NETO GRAVADO]]="","",compras_mes11[[#This Row],[NETO GRAVADO]]*0.21)</f>
        <v>-10236.198</v>
      </c>
      <c r="J79" s="142"/>
      <c r="K79" s="142"/>
      <c r="L79" s="142"/>
      <c r="M79" s="142"/>
      <c r="N79" s="142"/>
      <c r="O79" s="142"/>
      <c r="P79" s="143">
        <f>SUM(compras_mes11[[#This Row],[NETO GRAVADO]:[Otros / No Grav.]])</f>
        <v>-58979.998000000007</v>
      </c>
      <c r="Q79" s="144">
        <f>IFERROR(IF(compras_mes11[[#This Row],[CUIT]]="","-",VLOOKUP(compras_mes11[[#This Row],[CUIT]],Lista_CUIT[#All],3,0)),"CUIT NO CARGADO")</f>
        <v>0</v>
      </c>
      <c r="R79" s="144">
        <f>IFERROR(IF(compras_mes11[[#This Row],[CUIT]]="","-",VLOOKUP(compras_mes11[[#This Row],[CUIT]],Lista_CUIT[#All],4,0)),"CUIT NO CARGADO")</f>
        <v>0</v>
      </c>
    </row>
    <row r="80" spans="2:18" x14ac:dyDescent="0.3">
      <c r="B80" s="136">
        <v>44852</v>
      </c>
      <c r="C80" s="41">
        <v>1</v>
      </c>
      <c r="D80" s="138">
        <v>5</v>
      </c>
      <c r="E80" s="139">
        <v>2580</v>
      </c>
      <c r="F80" s="140">
        <v>20367393042</v>
      </c>
      <c r="G80" s="141" t="str">
        <f>IFERROR(IF(compras_mes11[[#This Row],[CUIT]]="","-",VLOOKUP(compras_mes11[[#This Row],[CUIT]],Lista_CUIT[#All],2,0)),"CUIT NO CARGADO")</f>
        <v>RITACCO RODRIGO</v>
      </c>
      <c r="H80" s="146">
        <v>48743.8</v>
      </c>
      <c r="I80" s="142">
        <f>IF(compras_mes11[[#This Row],[NETO GRAVADO]]="","",compras_mes11[[#This Row],[NETO GRAVADO]]*0.21)</f>
        <v>10236.198</v>
      </c>
      <c r="J80" s="142"/>
      <c r="K80" s="142"/>
      <c r="L80" s="142"/>
      <c r="M80" s="142"/>
      <c r="N80" s="142"/>
      <c r="O80" s="142"/>
      <c r="P80" s="143">
        <f>SUM(compras_mes11[[#This Row],[NETO GRAVADO]:[Otros / No Grav.]])</f>
        <v>58979.998000000007</v>
      </c>
      <c r="Q80" s="144">
        <f>IFERROR(IF(compras_mes11[[#This Row],[CUIT]]="","-",VLOOKUP(compras_mes11[[#This Row],[CUIT]],Lista_CUIT[#All],3,0)),"CUIT NO CARGADO")</f>
        <v>0</v>
      </c>
      <c r="R80" s="144">
        <f>IFERROR(IF(compras_mes11[[#This Row],[CUIT]]="","-",VLOOKUP(compras_mes11[[#This Row],[CUIT]],Lista_CUIT[#All],4,0)),"CUIT NO CARGADO")</f>
        <v>0</v>
      </c>
    </row>
    <row r="81" spans="2:18" x14ac:dyDescent="0.3">
      <c r="B81" s="153">
        <v>44852</v>
      </c>
      <c r="C81" s="154">
        <v>1</v>
      </c>
      <c r="D81" s="155">
        <v>6</v>
      </c>
      <c r="E81" s="156">
        <v>2732</v>
      </c>
      <c r="F81" s="157">
        <v>20134664518</v>
      </c>
      <c r="G81" s="131" t="str">
        <f>IFERROR(IF(compras_mes11[[#This Row],[CUIT]]="","-",VLOOKUP(compras_mes11[[#This Row],[CUIT]],Lista_CUIT[#All],2,0)),"CUIT NO CARGADO")</f>
        <v>HOKAMA SERGIO ENRIQUE</v>
      </c>
      <c r="H81" s="159">
        <v>4691.9399999999996</v>
      </c>
      <c r="I81" s="130">
        <f>IF(compras_mes11[[#This Row],[NETO GRAVADO]]="","",compras_mes11[[#This Row],[NETO GRAVADO]]*0.21)</f>
        <v>985.30739999999992</v>
      </c>
      <c r="J81" s="130"/>
      <c r="K81" s="130"/>
      <c r="L81" s="130"/>
      <c r="M81" s="130"/>
      <c r="N81" s="130"/>
      <c r="O81" s="130"/>
      <c r="P81" s="132">
        <f>SUM(compras_mes11[[#This Row],[NETO GRAVADO]:[Otros / No Grav.]])</f>
        <v>5677.2473999999993</v>
      </c>
      <c r="Q81" s="133" t="str">
        <f>IFERROR(IF(compras_mes11[[#This Row],[CUIT]]="","-",VLOOKUP(compras_mes11[[#This Row],[CUIT]],Lista_CUIT[#All],3,0)),"CUIT NO CARGADO")</f>
        <v>Gastos Varios</v>
      </c>
      <c r="R81" s="133" t="str">
        <f>IFERROR(IF(compras_mes11[[#This Row],[CUIT]]="","-",VLOOKUP(compras_mes11[[#This Row],[CUIT]],Lista_CUIT[#All],4,0)),"CUIT NO CARGADO")</f>
        <v>BUENOS AIRES</v>
      </c>
    </row>
    <row r="82" spans="2:18" x14ac:dyDescent="0.3">
      <c r="B82" s="136">
        <v>44852</v>
      </c>
      <c r="C82" s="41">
        <v>1</v>
      </c>
      <c r="D82" s="138">
        <v>2</v>
      </c>
      <c r="E82" s="139">
        <v>3171</v>
      </c>
      <c r="F82" s="140">
        <v>30629863571</v>
      </c>
      <c r="G82" s="141" t="str">
        <f>IFERROR(IF(compras_mes11[[#This Row],[CUIT]]="","-",VLOOKUP(compras_mes11[[#This Row],[CUIT]],Lista_CUIT[#All],2,0)),"CUIT NO CARGADO")</f>
        <v>TECNIMAR S R L</v>
      </c>
      <c r="H82" s="146">
        <v>208650</v>
      </c>
      <c r="I82" s="142">
        <f>IF(compras_mes11[[#This Row],[NETO GRAVADO]]="","",compras_mes11[[#This Row],[NETO GRAVADO]]*0.21)</f>
        <v>43816.5</v>
      </c>
      <c r="J82" s="142"/>
      <c r="K82" s="142"/>
      <c r="L82" s="142"/>
      <c r="M82" s="142"/>
      <c r="N82" s="142"/>
      <c r="O82" s="142"/>
      <c r="P82" s="143">
        <f>SUM(compras_mes11[[#This Row],[NETO GRAVADO]:[Otros / No Grav.]])</f>
        <v>252466.5</v>
      </c>
      <c r="Q82" s="144" t="str">
        <f>IFERROR(IF(compras_mes11[[#This Row],[CUIT]]="","-",VLOOKUP(compras_mes11[[#This Row],[CUIT]],Lista_CUIT[#All],3,0)),"CUIT NO CARGADO")</f>
        <v>LABORATORIO</v>
      </c>
      <c r="R82" s="144">
        <f>IFERROR(IF(compras_mes11[[#This Row],[CUIT]]="","-",VLOOKUP(compras_mes11[[#This Row],[CUIT]],Lista_CUIT[#All],4,0)),"CUIT NO CARGADO")</f>
        <v>0</v>
      </c>
    </row>
    <row r="83" spans="2:18" x14ac:dyDescent="0.3">
      <c r="B83" s="153">
        <v>44852</v>
      </c>
      <c r="C83" s="154">
        <v>1</v>
      </c>
      <c r="D83" s="155">
        <v>20</v>
      </c>
      <c r="E83" s="156">
        <v>5439</v>
      </c>
      <c r="F83" s="157">
        <v>30515800219</v>
      </c>
      <c r="G83" s="131" t="str">
        <f>IFERROR(IF(compras_mes11[[#This Row],[CUIT]]="","-",VLOOKUP(compras_mes11[[#This Row],[CUIT]],Lista_CUIT[#All],2,0)),"CUIT NO CARGADO")</f>
        <v>INCAT SRL</v>
      </c>
      <c r="H83" s="159">
        <v>616.51</v>
      </c>
      <c r="I83" s="130">
        <f>IF(compras_mes11[[#This Row],[NETO GRAVADO]]="","",compras_mes11[[#This Row],[NETO GRAVADO]]*0.21)</f>
        <v>129.46709999999999</v>
      </c>
      <c r="J83" s="130"/>
      <c r="K83" s="130"/>
      <c r="L83" s="130"/>
      <c r="M83" s="130"/>
      <c r="N83" s="130"/>
      <c r="O83" s="130">
        <v>14.02</v>
      </c>
      <c r="P83" s="132">
        <f>SUM(compras_mes11[[#This Row],[NETO GRAVADO]:[Otros / No Grav.]])</f>
        <v>759.99709999999993</v>
      </c>
      <c r="Q83" s="133" t="str">
        <f>IFERROR(IF(compras_mes11[[#This Row],[CUIT]]="","-",VLOOKUP(compras_mes11[[#This Row],[CUIT]],Lista_CUIT[#All],3,0)),"CUIT NO CARGADO")</f>
        <v>Combustibe</v>
      </c>
      <c r="R83" s="133" t="str">
        <f>IFERROR(IF(compras_mes11[[#This Row],[CUIT]]="","-",VLOOKUP(compras_mes11[[#This Row],[CUIT]],Lista_CUIT[#All],4,0)),"CUIT NO CARGADO")</f>
        <v>CABA</v>
      </c>
    </row>
    <row r="84" spans="2:18" x14ac:dyDescent="0.3">
      <c r="B84" s="136">
        <v>44852</v>
      </c>
      <c r="C84" s="41">
        <v>1</v>
      </c>
      <c r="D84" s="138">
        <v>2188</v>
      </c>
      <c r="E84" s="139">
        <v>75020</v>
      </c>
      <c r="F84" s="140">
        <v>30548083156</v>
      </c>
      <c r="G84" s="141" t="str">
        <f>IFERROR(IF(compras_mes11[[#This Row],[CUIT]]="","-",VLOOKUP(compras_mes11[[#This Row],[CUIT]],Lista_CUIT[#All],2,0)),"CUIT NO CARGADO")</f>
        <v>COTO CENTRO INTEGRAL DE COMERCIALIZACION SOCIEDAD ANONIMA</v>
      </c>
      <c r="H84" s="146">
        <v>19946.2</v>
      </c>
      <c r="I84" s="142">
        <v>3858.24</v>
      </c>
      <c r="J84" s="142"/>
      <c r="K84" s="142">
        <v>165.23</v>
      </c>
      <c r="L84" s="142">
        <v>551.17999999999995</v>
      </c>
      <c r="M84" s="142"/>
      <c r="N84" s="142">
        <v>1057.1500000000001</v>
      </c>
      <c r="O84" s="142"/>
      <c r="P84" s="143">
        <f>SUM(compras_mes11[[#This Row],[NETO GRAVADO]:[Otros / No Grav.]])</f>
        <v>25578.000000000004</v>
      </c>
      <c r="Q84" s="144" t="str">
        <f>IFERROR(IF(compras_mes11[[#This Row],[CUIT]]="","-",VLOOKUP(compras_mes11[[#This Row],[CUIT]],Lista_CUIT[#All],3,0)),"CUIT NO CARGADO")</f>
        <v>GASTOS COMERCIALES</v>
      </c>
      <c r="R84" s="144">
        <f>IFERROR(IF(compras_mes11[[#This Row],[CUIT]]="","-",VLOOKUP(compras_mes11[[#This Row],[CUIT]],Lista_CUIT[#All],4,0)),"CUIT NO CARGADO")</f>
        <v>0</v>
      </c>
    </row>
    <row r="85" spans="2:18" s="128" customFormat="1" x14ac:dyDescent="0.3">
      <c r="B85" s="136">
        <v>44852</v>
      </c>
      <c r="C85" s="41">
        <v>1</v>
      </c>
      <c r="D85" s="138">
        <v>711</v>
      </c>
      <c r="E85" s="139">
        <v>3519986</v>
      </c>
      <c r="F85" s="140">
        <v>30677237119</v>
      </c>
      <c r="G85" s="141" t="str">
        <f>IFERROR(IF(compras_mes11[[#This Row],[CUIT]]="","-",VLOOKUP(compras_mes11[[#This Row],[CUIT]],Lista_CUIT[#All],2,0)),"CUIT NO CARGADO")</f>
        <v>AUTOPISTAS DEL SOL S A</v>
      </c>
      <c r="H85" s="146">
        <v>2474.39</v>
      </c>
      <c r="I85" s="142">
        <f>IF(compras_mes11[[#This Row],[NETO GRAVADO]]="","",compras_mes11[[#This Row],[NETO GRAVADO]]*0.21)</f>
        <v>519.62189999999998</v>
      </c>
      <c r="J85" s="142"/>
      <c r="K85" s="142"/>
      <c r="L85" s="142"/>
      <c r="M85" s="142"/>
      <c r="N85" s="142"/>
      <c r="O85" s="142"/>
      <c r="P85" s="143">
        <f>SUM(compras_mes11[[#This Row],[NETO GRAVADO]:[Otros / No Grav.]])</f>
        <v>2994.0119</v>
      </c>
      <c r="Q85" s="144">
        <f>IFERROR(IF(compras_mes11[[#This Row],[CUIT]]="","-",VLOOKUP(compras_mes11[[#This Row],[CUIT]],Lista_CUIT[#All],3,0)),"CUIT NO CARGADO")</f>
        <v>0</v>
      </c>
      <c r="R85" s="144">
        <f>IFERROR(IF(compras_mes11[[#This Row],[CUIT]]="","-",VLOOKUP(compras_mes11[[#This Row],[CUIT]],Lista_CUIT[#All],4,0)),"CUIT NO CARGADO")</f>
        <v>0</v>
      </c>
    </row>
    <row r="86" spans="2:18" x14ac:dyDescent="0.3">
      <c r="B86" s="136">
        <v>44852</v>
      </c>
      <c r="C86" s="41">
        <v>1</v>
      </c>
      <c r="D86" s="138">
        <v>629</v>
      </c>
      <c r="E86" s="139">
        <v>3629577</v>
      </c>
      <c r="F86" s="140">
        <v>30663498513</v>
      </c>
      <c r="G86" s="141" t="str">
        <f>IFERROR(IF(compras_mes11[[#This Row],[CUIT]]="","-",VLOOKUP(compras_mes11[[#This Row],[CUIT]],Lista_CUIT[#All],2,0)),"CUIT NO CARGADO")</f>
        <v>GRUPO CONCES. DEL OESTE SA</v>
      </c>
      <c r="H86" s="146">
        <v>1527.28</v>
      </c>
      <c r="I86" s="142">
        <f>IF(compras_mes11[[#This Row],[NETO GRAVADO]]="","",compras_mes11[[#This Row],[NETO GRAVADO]]*0.21)</f>
        <v>320.72879999999998</v>
      </c>
      <c r="J86" s="142"/>
      <c r="K86" s="142"/>
      <c r="L86" s="142"/>
      <c r="M86" s="142"/>
      <c r="N86" s="142"/>
      <c r="O86" s="142"/>
      <c r="P86" s="143">
        <f>SUM(compras_mes11[[#This Row],[NETO GRAVADO]:[Otros / No Grav.]])</f>
        <v>1848.0088000000001</v>
      </c>
      <c r="Q86" s="144">
        <f>IFERROR(IF(compras_mes11[[#This Row],[CUIT]]="","-",VLOOKUP(compras_mes11[[#This Row],[CUIT]],Lista_CUIT[#All],3,0)),"CUIT NO CARGADO")</f>
        <v>0</v>
      </c>
      <c r="R86" s="144">
        <f>IFERROR(IF(compras_mes11[[#This Row],[CUIT]]="","-",VLOOKUP(compras_mes11[[#This Row],[CUIT]],Lista_CUIT[#All],4,0)),"CUIT NO CARGADO")</f>
        <v>0</v>
      </c>
    </row>
    <row r="87" spans="2:18" s="128" customFormat="1" x14ac:dyDescent="0.3">
      <c r="B87" s="136">
        <v>44853</v>
      </c>
      <c r="C87" s="41">
        <v>1</v>
      </c>
      <c r="D87" s="138">
        <v>6866</v>
      </c>
      <c r="E87" s="139">
        <v>4150</v>
      </c>
      <c r="F87" s="140">
        <v>30678774495</v>
      </c>
      <c r="G87" s="141" t="str">
        <f>IFERROR(IF(compras_mes11[[#This Row],[CUIT]]="","-",VLOOKUP(compras_mes11[[#This Row],[CUIT]],Lista_CUIT[#All],2,0)),"CUIT NO CARGADO")</f>
        <v>OPER. DE EST. DE SERV. SA</v>
      </c>
      <c r="H87" s="146">
        <v>397.1</v>
      </c>
      <c r="I87" s="142">
        <f>IF(compras_mes11[[#This Row],[NETO GRAVADO]]="","",compras_mes11[[#This Row],[NETO GRAVADO]]*0.21)</f>
        <v>83.391000000000005</v>
      </c>
      <c r="J87" s="142"/>
      <c r="K87" s="142"/>
      <c r="L87" s="142"/>
      <c r="M87" s="142"/>
      <c r="N87" s="142"/>
      <c r="O87" s="158">
        <v>1.01</v>
      </c>
      <c r="P87" s="143">
        <f>SUM(compras_mes11[[#This Row],[NETO GRAVADO]:[Otros / No Grav.]])</f>
        <v>481.50100000000003</v>
      </c>
      <c r="Q87" s="144" t="str">
        <f>IFERROR(IF(compras_mes11[[#This Row],[CUIT]]="","-",VLOOKUP(compras_mes11[[#This Row],[CUIT]],Lista_CUIT[#All],3,0)),"CUIT NO CARGADO")</f>
        <v>Combustibe</v>
      </c>
      <c r="R87" s="144">
        <f>IFERROR(IF(compras_mes11[[#This Row],[CUIT]]="","-",VLOOKUP(compras_mes11[[#This Row],[CUIT]],Lista_CUIT[#All],4,0)),"CUIT NO CARGADO")</f>
        <v>0</v>
      </c>
    </row>
    <row r="88" spans="2:18" s="128" customFormat="1" x14ac:dyDescent="0.3">
      <c r="B88" s="153">
        <v>44853</v>
      </c>
      <c r="C88" s="154">
        <v>1</v>
      </c>
      <c r="D88" s="155">
        <v>23</v>
      </c>
      <c r="E88" s="156">
        <v>4992</v>
      </c>
      <c r="F88" s="157">
        <v>30515800219</v>
      </c>
      <c r="G88" s="131" t="str">
        <f>IFERROR(IF(compras_mes11[[#This Row],[CUIT]]="","-",VLOOKUP(compras_mes11[[#This Row],[CUIT]],Lista_CUIT[#All],2,0)),"CUIT NO CARGADO")</f>
        <v>INCAT SRL</v>
      </c>
      <c r="H88" s="159">
        <v>4221.88</v>
      </c>
      <c r="I88" s="130">
        <f>IF(compras_mes11[[#This Row],[NETO GRAVADO]]="","",compras_mes11[[#This Row],[NETO GRAVADO]]*0.21)</f>
        <v>886.59479999999996</v>
      </c>
      <c r="J88" s="130"/>
      <c r="K88" s="130"/>
      <c r="L88" s="130"/>
      <c r="M88" s="130"/>
      <c r="N88" s="130"/>
      <c r="O88" s="130">
        <v>1092.1500000000001</v>
      </c>
      <c r="P88" s="132">
        <f>SUM(compras_mes11[[#This Row],[NETO GRAVADO]:[Otros / No Grav.]])</f>
        <v>6200.6247999999996</v>
      </c>
      <c r="Q88" s="133" t="str">
        <f>IFERROR(IF(compras_mes11[[#This Row],[CUIT]]="","-",VLOOKUP(compras_mes11[[#This Row],[CUIT]],Lista_CUIT[#All],3,0)),"CUIT NO CARGADO")</f>
        <v>Combustibe</v>
      </c>
      <c r="R88" s="133" t="str">
        <f>IFERROR(IF(compras_mes11[[#This Row],[CUIT]]="","-",VLOOKUP(compras_mes11[[#This Row],[CUIT]],Lista_CUIT[#All],4,0)),"CUIT NO CARGADO")</f>
        <v>CABA</v>
      </c>
    </row>
    <row r="89" spans="2:18" x14ac:dyDescent="0.3">
      <c r="B89" s="153">
        <v>44853</v>
      </c>
      <c r="C89" s="154">
        <v>1</v>
      </c>
      <c r="D89" s="155">
        <v>20</v>
      </c>
      <c r="E89" s="156">
        <v>5459</v>
      </c>
      <c r="F89" s="157">
        <v>30515800219</v>
      </c>
      <c r="G89" s="131" t="str">
        <f>IFERROR(IF(compras_mes11[[#This Row],[CUIT]]="","-",VLOOKUP(compras_mes11[[#This Row],[CUIT]],Lista_CUIT[#All],2,0)),"CUIT NO CARGADO")</f>
        <v>INCAT SRL</v>
      </c>
      <c r="H89" s="159">
        <v>413.71</v>
      </c>
      <c r="I89" s="130">
        <f>IF(compras_mes11[[#This Row],[NETO GRAVADO]]="","",compras_mes11[[#This Row],[NETO GRAVADO]]*0.21)</f>
        <v>86.879099999999994</v>
      </c>
      <c r="J89" s="130"/>
      <c r="K89" s="130"/>
      <c r="L89" s="130"/>
      <c r="M89" s="130"/>
      <c r="N89" s="130"/>
      <c r="O89" s="130">
        <v>9.41</v>
      </c>
      <c r="P89" s="132">
        <f>SUM(compras_mes11[[#This Row],[NETO GRAVADO]:[Otros / No Grav.]])</f>
        <v>509.9991</v>
      </c>
      <c r="Q89" s="133" t="str">
        <f>IFERROR(IF(compras_mes11[[#This Row],[CUIT]]="","-",VLOOKUP(compras_mes11[[#This Row],[CUIT]],Lista_CUIT[#All],3,0)),"CUIT NO CARGADO")</f>
        <v>Combustibe</v>
      </c>
      <c r="R89" s="133" t="str">
        <f>IFERROR(IF(compras_mes11[[#This Row],[CUIT]]="","-",VLOOKUP(compras_mes11[[#This Row],[CUIT]],Lista_CUIT[#All],4,0)),"CUIT NO CARGADO")</f>
        <v>CABA</v>
      </c>
    </row>
    <row r="90" spans="2:18" x14ac:dyDescent="0.3">
      <c r="B90" s="153">
        <v>44853</v>
      </c>
      <c r="C90" s="154">
        <v>1</v>
      </c>
      <c r="D90" s="155">
        <v>20</v>
      </c>
      <c r="E90" s="156">
        <v>5461</v>
      </c>
      <c r="F90" s="157">
        <v>30515800219</v>
      </c>
      <c r="G90" s="131" t="str">
        <f>IFERROR(IF(compras_mes11[[#This Row],[CUIT]]="","-",VLOOKUP(compras_mes11[[#This Row],[CUIT]],Lista_CUIT[#All],2,0)),"CUIT NO CARGADO")</f>
        <v>INCAT SRL</v>
      </c>
      <c r="H90" s="159">
        <v>194.69</v>
      </c>
      <c r="I90" s="130">
        <f>IF(compras_mes11[[#This Row],[NETO GRAVADO]]="","",compras_mes11[[#This Row],[NETO GRAVADO]]*0.21)</f>
        <v>40.884899999999995</v>
      </c>
      <c r="J90" s="130"/>
      <c r="K90" s="130"/>
      <c r="L90" s="130"/>
      <c r="M90" s="130"/>
      <c r="N90" s="130"/>
      <c r="O90" s="130">
        <v>4.43</v>
      </c>
      <c r="P90" s="132">
        <f>SUM(compras_mes11[[#This Row],[NETO GRAVADO]:[Otros / No Grav.]])</f>
        <v>240.00489999999999</v>
      </c>
      <c r="Q90" s="133" t="str">
        <f>IFERROR(IF(compras_mes11[[#This Row],[CUIT]]="","-",VLOOKUP(compras_mes11[[#This Row],[CUIT]],Lista_CUIT[#All],3,0)),"CUIT NO CARGADO")</f>
        <v>Combustibe</v>
      </c>
      <c r="R90" s="133" t="str">
        <f>IFERROR(IF(compras_mes11[[#This Row],[CUIT]]="","-",VLOOKUP(compras_mes11[[#This Row],[CUIT]],Lista_CUIT[#All],4,0)),"CUIT NO CARGADO")</f>
        <v>CABA</v>
      </c>
    </row>
    <row r="91" spans="2:18" s="128" customFormat="1" x14ac:dyDescent="0.3">
      <c r="B91" s="153">
        <v>44853</v>
      </c>
      <c r="C91" s="41">
        <v>1</v>
      </c>
      <c r="D91" s="138">
        <v>13</v>
      </c>
      <c r="E91" s="139">
        <v>5619</v>
      </c>
      <c r="F91" s="140">
        <v>33662613199</v>
      </c>
      <c r="G91" s="141" t="str">
        <f>IFERROR(IF(compras_mes11[[#This Row],[CUIT]]="","-",VLOOKUP(compras_mes11[[#This Row],[CUIT]],Lista_CUIT[#All],2,0)),"CUIT NO CARGADO")</f>
        <v>D M H S A</v>
      </c>
      <c r="H91" s="146">
        <v>11261.99</v>
      </c>
      <c r="I91" s="142">
        <f>IF(compras_mes11[[#This Row],[NETO GRAVADO]]="","",compras_mes11[[#This Row],[NETO GRAVADO]]*0.21)</f>
        <v>2365.0178999999998</v>
      </c>
      <c r="J91" s="142"/>
      <c r="K91" s="142"/>
      <c r="L91" s="142"/>
      <c r="M91" s="142"/>
      <c r="N91" s="142"/>
      <c r="O91" s="142"/>
      <c r="P91" s="143">
        <f>SUM(compras_mes11[[#This Row],[NETO GRAVADO]:[Otros / No Grav.]])</f>
        <v>13627.007900000001</v>
      </c>
      <c r="Q91" s="144">
        <f>IFERROR(IF(compras_mes11[[#This Row],[CUIT]]="","-",VLOOKUP(compras_mes11[[#This Row],[CUIT]],Lista_CUIT[#All],3,0)),"CUIT NO CARGADO")</f>
        <v>0</v>
      </c>
      <c r="R91" s="144">
        <f>IFERROR(IF(compras_mes11[[#This Row],[CUIT]]="","-",VLOOKUP(compras_mes11[[#This Row],[CUIT]],Lista_CUIT[#All],4,0)),"CUIT NO CARGADO")</f>
        <v>0</v>
      </c>
    </row>
    <row r="92" spans="2:18" s="128" customFormat="1" x14ac:dyDescent="0.3">
      <c r="B92" s="136">
        <v>44853</v>
      </c>
      <c r="C92" s="41">
        <v>1</v>
      </c>
      <c r="D92" s="138">
        <v>1</v>
      </c>
      <c r="E92" s="139">
        <v>34555</v>
      </c>
      <c r="F92" s="140">
        <v>30715188674</v>
      </c>
      <c r="G92" s="141" t="str">
        <f>IFERROR(IF(compras_mes11[[#This Row],[CUIT]]="","-",VLOOKUP(compras_mes11[[#This Row],[CUIT]],Lista_CUIT[#All],2,0)),"CUIT NO CARGADO")</f>
        <v>GC COMERCIAL S.R.L.</v>
      </c>
      <c r="H92" s="146">
        <v>680.63</v>
      </c>
      <c r="I92" s="142">
        <f>IF(compras_mes11[[#This Row],[NETO GRAVADO]]="","",compras_mes11[[#This Row],[NETO GRAVADO]]*0.21)</f>
        <v>142.9323</v>
      </c>
      <c r="J92" s="142"/>
      <c r="K92" s="142"/>
      <c r="L92" s="142"/>
      <c r="M92" s="142"/>
      <c r="N92" s="142"/>
      <c r="O92" s="142"/>
      <c r="P92" s="143">
        <f>SUM(compras_mes11[[#This Row],[NETO GRAVADO]:[Otros / No Grav.]])</f>
        <v>823.56230000000005</v>
      </c>
      <c r="Q92" s="144">
        <f>IFERROR(IF(compras_mes11[[#This Row],[CUIT]]="","-",VLOOKUP(compras_mes11[[#This Row],[CUIT]],Lista_CUIT[#All],3,0)),"CUIT NO CARGADO")</f>
        <v>0</v>
      </c>
      <c r="R92" s="144">
        <f>IFERROR(IF(compras_mes11[[#This Row],[CUIT]]="","-",VLOOKUP(compras_mes11[[#This Row],[CUIT]],Lista_CUIT[#All],4,0)),"CUIT NO CARGADO")</f>
        <v>0</v>
      </c>
    </row>
    <row r="93" spans="2:18" s="128" customFormat="1" x14ac:dyDescent="0.3">
      <c r="B93" s="136">
        <v>44853</v>
      </c>
      <c r="C93" s="41">
        <v>1</v>
      </c>
      <c r="D93" s="138">
        <v>5014</v>
      </c>
      <c r="E93" s="139">
        <v>311344</v>
      </c>
      <c r="F93" s="140">
        <v>30574876474</v>
      </c>
      <c r="G93" s="141" t="str">
        <f>IFERROR(IF(compras_mes11[[#This Row],[CUIT]]="","-",VLOOKUP(compras_mes11[[#This Row],[CUIT]],Lista_CUIT[#All],2,0)),"CUIT NO CARGADO")</f>
        <v>AUTOPISTAS URBANAS S A</v>
      </c>
      <c r="H93" s="146">
        <v>9940.2000000000007</v>
      </c>
      <c r="I93" s="142">
        <f>IF(compras_mes11[[#This Row],[NETO GRAVADO]]="","",compras_mes11[[#This Row],[NETO GRAVADO]]*0.21)</f>
        <v>2087.442</v>
      </c>
      <c r="J93" s="142"/>
      <c r="K93" s="142"/>
      <c r="L93" s="142"/>
      <c r="M93" s="142"/>
      <c r="N93" s="142"/>
      <c r="O93" s="142"/>
      <c r="P93" s="143">
        <f>SUM(compras_mes11[[#This Row],[NETO GRAVADO]:[Otros / No Grav.]])</f>
        <v>12027.642</v>
      </c>
      <c r="Q93" s="144">
        <f>IFERROR(IF(compras_mes11[[#This Row],[CUIT]]="","-",VLOOKUP(compras_mes11[[#This Row],[CUIT]],Lista_CUIT[#All],3,0)),"CUIT NO CARGADO")</f>
        <v>0</v>
      </c>
      <c r="R93" s="144">
        <f>IFERROR(IF(compras_mes11[[#This Row],[CUIT]]="","-",VLOOKUP(compras_mes11[[#This Row],[CUIT]],Lista_CUIT[#All],4,0)),"CUIT NO CARGADO")</f>
        <v>0</v>
      </c>
    </row>
    <row r="94" spans="2:18" x14ac:dyDescent="0.3">
      <c r="B94" s="136">
        <v>44854</v>
      </c>
      <c r="C94" s="41">
        <v>1</v>
      </c>
      <c r="D94" s="138">
        <v>2</v>
      </c>
      <c r="E94" s="139">
        <v>3173</v>
      </c>
      <c r="F94" s="140">
        <v>30629863571</v>
      </c>
      <c r="G94" s="141" t="str">
        <f>IFERROR(IF(compras_mes11[[#This Row],[CUIT]]="","-",VLOOKUP(compras_mes11[[#This Row],[CUIT]],Lista_CUIT[#All],2,0)),"CUIT NO CARGADO")</f>
        <v>TECNIMAR S R L</v>
      </c>
      <c r="H94" s="146">
        <v>281272</v>
      </c>
      <c r="I94" s="142">
        <f>IF(compras_mes11[[#This Row],[NETO GRAVADO]]="","",compras_mes11[[#This Row],[NETO GRAVADO]]*0.21)</f>
        <v>59067.119999999995</v>
      </c>
      <c r="J94" s="142"/>
      <c r="K94" s="142"/>
      <c r="L94" s="142"/>
      <c r="M94" s="142"/>
      <c r="N94" s="142"/>
      <c r="O94" s="142"/>
      <c r="P94" s="143">
        <f>SUM(compras_mes11[[#This Row],[NETO GRAVADO]:[Otros / No Grav.]])</f>
        <v>340339.12</v>
      </c>
      <c r="Q94" s="144" t="str">
        <f>IFERROR(IF(compras_mes11[[#This Row],[CUIT]]="","-",VLOOKUP(compras_mes11[[#This Row],[CUIT]],Lista_CUIT[#All],3,0)),"CUIT NO CARGADO")</f>
        <v>LABORATORIO</v>
      </c>
      <c r="R94" s="144">
        <f>IFERROR(IF(compras_mes11[[#This Row],[CUIT]]="","-",VLOOKUP(compras_mes11[[#This Row],[CUIT]],Lista_CUIT[#All],4,0)),"CUIT NO CARGADO")</f>
        <v>0</v>
      </c>
    </row>
    <row r="95" spans="2:18" x14ac:dyDescent="0.3">
      <c r="B95" s="153">
        <v>44854</v>
      </c>
      <c r="C95" s="154">
        <v>1</v>
      </c>
      <c r="D95" s="155">
        <v>20</v>
      </c>
      <c r="E95" s="156">
        <v>5484</v>
      </c>
      <c r="F95" s="157">
        <v>30515800219</v>
      </c>
      <c r="G95" s="131" t="str">
        <f>IFERROR(IF(compras_mes11[[#This Row],[CUIT]]="","-",VLOOKUP(compras_mes11[[#This Row],[CUIT]],Lista_CUIT[#All],2,0)),"CUIT NO CARGADO")</f>
        <v>INCAT SRL</v>
      </c>
      <c r="H95" s="159">
        <v>377.21</v>
      </c>
      <c r="I95" s="130">
        <v>79.209999999999994</v>
      </c>
      <c r="J95" s="130"/>
      <c r="K95" s="130"/>
      <c r="L95" s="130"/>
      <c r="M95" s="130"/>
      <c r="N95" s="130"/>
      <c r="O95" s="130">
        <v>8.58</v>
      </c>
      <c r="P95" s="132">
        <f>SUM(compras_mes11[[#This Row],[NETO GRAVADO]:[Otros / No Grav.]])</f>
        <v>464.99999999999994</v>
      </c>
      <c r="Q95" s="49" t="str">
        <f>IFERROR(IF(compras_mes11[[#This Row],[CUIT]]="","-",VLOOKUP(compras_mes11[[#This Row],[CUIT]],Lista_CUIT[#All],3,0)),"CUIT NO CARGADO")</f>
        <v>Combustibe</v>
      </c>
      <c r="R95" s="49" t="str">
        <f>IFERROR(IF(compras_mes11[[#This Row],[CUIT]]="","-",VLOOKUP(compras_mes11[[#This Row],[CUIT]],Lista_CUIT[#All],4,0)),"CUIT NO CARGADO")</f>
        <v>CABA</v>
      </c>
    </row>
    <row r="96" spans="2:18" x14ac:dyDescent="0.3">
      <c r="B96" s="136">
        <v>44854</v>
      </c>
      <c r="C96" s="41">
        <v>1</v>
      </c>
      <c r="D96" s="138">
        <v>4</v>
      </c>
      <c r="E96" s="139">
        <v>18172</v>
      </c>
      <c r="F96" s="140">
        <v>30552433595</v>
      </c>
      <c r="G96" s="141" t="str">
        <f>IFERROR(IF(compras_mes11[[#This Row],[CUIT]]="","-",VLOOKUP(compras_mes11[[#This Row],[CUIT]],Lista_CUIT[#All],2,0)),"CUIT NO CARGADO")</f>
        <v>PIROPLAST SRL</v>
      </c>
      <c r="H96" s="146">
        <v>185648.4</v>
      </c>
      <c r="I96" s="142">
        <f>IF(compras_mes11[[#This Row],[NETO GRAVADO]]="","",compras_mes11[[#This Row],[NETO GRAVADO]]*0.21)</f>
        <v>38986.163999999997</v>
      </c>
      <c r="J96" s="142"/>
      <c r="K96" s="142"/>
      <c r="L96" s="142"/>
      <c r="M96" s="142"/>
      <c r="N96" s="142"/>
      <c r="O96" s="142"/>
      <c r="P96" s="143">
        <f>SUM(compras_mes11[[#This Row],[NETO GRAVADO]:[Otros / No Grav.]])</f>
        <v>224634.56399999998</v>
      </c>
      <c r="Q96" s="144" t="str">
        <f>IFERROR(IF(compras_mes11[[#This Row],[CUIT]]="","-",VLOOKUP(compras_mes11[[#This Row],[CUIT]],Lista_CUIT[#All],3,0)),"CUIT NO CARGADO")</f>
        <v>Insumo</v>
      </c>
      <c r="R96" s="144">
        <f>IFERROR(IF(compras_mes11[[#This Row],[CUIT]]="","-",VLOOKUP(compras_mes11[[#This Row],[CUIT]],Lista_CUIT[#All],4,0)),"CUIT NO CARGADO")</f>
        <v>0</v>
      </c>
    </row>
    <row r="97" spans="2:18" x14ac:dyDescent="0.3">
      <c r="B97" s="153">
        <v>44854</v>
      </c>
      <c r="C97" s="41">
        <v>1</v>
      </c>
      <c r="D97" s="138">
        <v>10</v>
      </c>
      <c r="E97" s="139">
        <v>27803</v>
      </c>
      <c r="F97" s="140">
        <v>30681484635</v>
      </c>
      <c r="G97" s="141" t="str">
        <f>IFERROR(IF(compras_mes11[[#This Row],[CUIT]]="","-",VLOOKUP(compras_mes11[[#This Row],[CUIT]],Lista_CUIT[#All],2,0)),"CUIT NO CARGADO")</f>
        <v>IONIC S SOCIEDAD ANONIMA</v>
      </c>
      <c r="H97" s="146">
        <v>24834.9</v>
      </c>
      <c r="I97" s="142">
        <f>IF(compras_mes11[[#This Row],[NETO GRAVADO]]="","",compras_mes11[[#This Row],[NETO GRAVADO]]*0.21)</f>
        <v>5215.3289999999997</v>
      </c>
      <c r="J97" s="142"/>
      <c r="K97" s="142"/>
      <c r="L97" s="142"/>
      <c r="M97" s="142"/>
      <c r="N97" s="142"/>
      <c r="O97" s="142"/>
      <c r="P97" s="143">
        <f>SUM(compras_mes11[[#This Row],[NETO GRAVADO]:[Otros / No Grav.]])</f>
        <v>30050.228999999999</v>
      </c>
      <c r="Q97" s="144">
        <f>IFERROR(IF(compras_mes11[[#This Row],[CUIT]]="","-",VLOOKUP(compras_mes11[[#This Row],[CUIT]],Lista_CUIT[#All],3,0)),"CUIT NO CARGADO")</f>
        <v>0</v>
      </c>
      <c r="R97" s="144">
        <f>IFERROR(IF(compras_mes11[[#This Row],[CUIT]]="","-",VLOOKUP(compras_mes11[[#This Row],[CUIT]],Lista_CUIT[#All],4,0)),"CUIT NO CARGADO")</f>
        <v>0</v>
      </c>
    </row>
    <row r="98" spans="2:18" x14ac:dyDescent="0.3">
      <c r="B98" s="40">
        <v>44855</v>
      </c>
      <c r="C98" s="137">
        <v>3</v>
      </c>
      <c r="D98" s="42">
        <v>57</v>
      </c>
      <c r="E98" s="43">
        <v>62</v>
      </c>
      <c r="F98" s="44">
        <v>30708784067</v>
      </c>
      <c r="G98" s="45" t="str">
        <f>IFERROR(IF(compras_mes11[[#This Row],[CUIT]]="","-",VLOOKUP(compras_mes11[[#This Row],[CUIT]],Lista_CUIT[#All],2,0)),"CUIT NO CARGADO")</f>
        <v>LANDMARK</v>
      </c>
      <c r="H98" s="152">
        <v>-24165.29</v>
      </c>
      <c r="I98" s="85">
        <f>IF(compras_mes11[[#This Row],[NETO GRAVADO]]="","",compras_mes11[[#This Row],[NETO GRAVADO]]*0.21)</f>
        <v>-5074.7109</v>
      </c>
      <c r="J98" s="85"/>
      <c r="K98" s="85"/>
      <c r="L98" s="85"/>
      <c r="M98" s="85"/>
      <c r="N98" s="85"/>
      <c r="O98" s="85"/>
      <c r="P98" s="48">
        <f>SUM(compras_mes11[[#This Row],[NETO GRAVADO]:[Otros / No Grav.]])</f>
        <v>-29240.000899999999</v>
      </c>
      <c r="Q98" s="49">
        <f>IFERROR(IF(compras_mes11[[#This Row],[CUIT]]="","-",VLOOKUP(compras_mes11[[#This Row],[CUIT]],Lista_CUIT[#All],3,0)),"CUIT NO CARGADO")</f>
        <v>0</v>
      </c>
      <c r="R98" s="49">
        <f>IFERROR(IF(compras_mes11[[#This Row],[CUIT]]="","-",VLOOKUP(compras_mes11[[#This Row],[CUIT]],Lista_CUIT[#All],4,0)),"CUIT NO CARGADO")</f>
        <v>0</v>
      </c>
    </row>
    <row r="99" spans="2:18" x14ac:dyDescent="0.3">
      <c r="B99" s="136">
        <v>44855</v>
      </c>
      <c r="C99" s="41">
        <v>1</v>
      </c>
      <c r="D99" s="138">
        <v>57</v>
      </c>
      <c r="E99" s="139">
        <v>1180</v>
      </c>
      <c r="F99" s="140">
        <v>30708784067</v>
      </c>
      <c r="G99" s="141" t="str">
        <f>IFERROR(IF(compras_mes11[[#This Row],[CUIT]]="","-",VLOOKUP(compras_mes11[[#This Row],[CUIT]],Lista_CUIT[#All],2,0)),"CUIT NO CARGADO")</f>
        <v>LANDMARK</v>
      </c>
      <c r="H99" s="146">
        <v>42928.73</v>
      </c>
      <c r="I99" s="142">
        <f>IF(compras_mes11[[#This Row],[NETO GRAVADO]]="","",compras_mes11[[#This Row],[NETO GRAVADO]]*0.21)</f>
        <v>9015.033300000001</v>
      </c>
      <c r="J99" s="142"/>
      <c r="K99" s="142"/>
      <c r="L99" s="142"/>
      <c r="M99" s="142"/>
      <c r="N99" s="142"/>
      <c r="O99" s="142">
        <v>2575.7199999999998</v>
      </c>
      <c r="P99" s="143">
        <f>SUM(compras_mes11[[#This Row],[NETO GRAVADO]:[Otros / No Grav.]])</f>
        <v>54519.483300000007</v>
      </c>
      <c r="Q99" s="144">
        <f>IFERROR(IF(compras_mes11[[#This Row],[CUIT]]="","-",VLOOKUP(compras_mes11[[#This Row],[CUIT]],Lista_CUIT[#All],3,0)),"CUIT NO CARGADO")</f>
        <v>0</v>
      </c>
      <c r="R99" s="144">
        <f>IFERROR(IF(compras_mes11[[#This Row],[CUIT]]="","-",VLOOKUP(compras_mes11[[#This Row],[CUIT]],Lista_CUIT[#All],4,0)),"CUIT NO CARGADO")</f>
        <v>0</v>
      </c>
    </row>
    <row r="100" spans="2:18" x14ac:dyDescent="0.3">
      <c r="B100" s="136">
        <v>44855</v>
      </c>
      <c r="C100" s="41">
        <v>1</v>
      </c>
      <c r="D100" s="138">
        <v>2</v>
      </c>
      <c r="E100" s="139">
        <v>1226</v>
      </c>
      <c r="F100" s="140">
        <v>20251522899</v>
      </c>
      <c r="G100" s="141" t="str">
        <f>IFERROR(IF(compras_mes11[[#This Row],[CUIT]]="","-",VLOOKUP(compras_mes11[[#This Row],[CUIT]],Lista_CUIT[#All],2,0)),"CUIT NO CARGADO")</f>
        <v>MALACASA LUIS DAMIAN</v>
      </c>
      <c r="H100" s="146">
        <v>7644.63</v>
      </c>
      <c r="I100" s="142">
        <f>IF(compras_mes11[[#This Row],[NETO GRAVADO]]="","",compras_mes11[[#This Row],[NETO GRAVADO]]*0.21)</f>
        <v>1605.3723</v>
      </c>
      <c r="J100" s="142"/>
      <c r="K100" s="142"/>
      <c r="L100" s="142"/>
      <c r="M100" s="142"/>
      <c r="N100" s="142"/>
      <c r="O100" s="142"/>
      <c r="P100" s="143">
        <f>SUM(compras_mes11[[#This Row],[NETO GRAVADO]:[Otros / No Grav.]])</f>
        <v>9250.0023000000001</v>
      </c>
      <c r="Q100" s="144">
        <f>IFERROR(IF(compras_mes11[[#This Row],[CUIT]]="","-",VLOOKUP(compras_mes11[[#This Row],[CUIT]],Lista_CUIT[#All],3,0)),"CUIT NO CARGADO")</f>
        <v>0</v>
      </c>
      <c r="R100" s="144">
        <f>IFERROR(IF(compras_mes11[[#This Row],[CUIT]]="","-",VLOOKUP(compras_mes11[[#This Row],[CUIT]],Lista_CUIT[#All],4,0)),"CUIT NO CARGADO")</f>
        <v>0</v>
      </c>
    </row>
    <row r="101" spans="2:18" x14ac:dyDescent="0.3">
      <c r="B101" s="136">
        <v>44855</v>
      </c>
      <c r="C101" s="41">
        <v>1</v>
      </c>
      <c r="D101" s="138">
        <v>2</v>
      </c>
      <c r="E101" s="139">
        <v>3176</v>
      </c>
      <c r="F101" s="140">
        <v>30629863571</v>
      </c>
      <c r="G101" s="141" t="str">
        <f>IFERROR(IF(compras_mes11[[#This Row],[CUIT]]="","-",VLOOKUP(compras_mes11[[#This Row],[CUIT]],Lista_CUIT[#All],2,0)),"CUIT NO CARGADO")</f>
        <v>TECNIMAR S R L</v>
      </c>
      <c r="H101" s="146">
        <v>391529</v>
      </c>
      <c r="I101" s="142">
        <f>IF(compras_mes11[[#This Row],[NETO GRAVADO]]="","",compras_mes11[[#This Row],[NETO GRAVADO]]*0.21)</f>
        <v>82221.09</v>
      </c>
      <c r="J101" s="142"/>
      <c r="K101" s="142"/>
      <c r="L101" s="142"/>
      <c r="M101" s="142"/>
      <c r="N101" s="142"/>
      <c r="O101" s="142"/>
      <c r="P101" s="143">
        <f>SUM(compras_mes11[[#This Row],[NETO GRAVADO]:[Otros / No Grav.]])</f>
        <v>473750.08999999997</v>
      </c>
      <c r="Q101" s="144" t="str">
        <f>IFERROR(IF(compras_mes11[[#This Row],[CUIT]]="","-",VLOOKUP(compras_mes11[[#This Row],[CUIT]],Lista_CUIT[#All],3,0)),"CUIT NO CARGADO")</f>
        <v>LABORATORIO</v>
      </c>
      <c r="R101" s="144">
        <f>IFERROR(IF(compras_mes11[[#This Row],[CUIT]]="","-",VLOOKUP(compras_mes11[[#This Row],[CUIT]],Lista_CUIT[#All],4,0)),"CUIT NO CARGADO")</f>
        <v>0</v>
      </c>
    </row>
    <row r="102" spans="2:18" x14ac:dyDescent="0.3">
      <c r="B102" s="136">
        <v>44855</v>
      </c>
      <c r="C102" s="41">
        <v>1</v>
      </c>
      <c r="D102" s="138">
        <v>5</v>
      </c>
      <c r="E102" s="139">
        <v>3964</v>
      </c>
      <c r="F102" s="140">
        <v>30712246428</v>
      </c>
      <c r="G102" s="141" t="str">
        <f>IFERROR(IF(compras_mes11[[#This Row],[CUIT]]="","-",VLOOKUP(compras_mes11[[#This Row],[CUIT]],Lista_CUIT[#All],2,0)),"CUIT NO CARGADO")</f>
        <v>JUST SOLUTION S.A.</v>
      </c>
      <c r="H102" s="152">
        <v>5800</v>
      </c>
      <c r="I102" s="142"/>
      <c r="J102" s="142"/>
      <c r="K102" s="142">
        <v>609</v>
      </c>
      <c r="L102" s="142"/>
      <c r="M102" s="142"/>
      <c r="N102" s="142"/>
      <c r="O102" s="142"/>
      <c r="P102" s="143">
        <f>SUM(compras_mes11[[#This Row],[NETO GRAVADO]:[Otros / No Grav.]])</f>
        <v>6409</v>
      </c>
      <c r="Q102" s="144">
        <f>IFERROR(IF(compras_mes11[[#This Row],[CUIT]]="","-",VLOOKUP(compras_mes11[[#This Row],[CUIT]],Lista_CUIT[#All],3,0)),"CUIT NO CARGADO")</f>
        <v>0</v>
      </c>
      <c r="R102" s="144">
        <f>IFERROR(IF(compras_mes11[[#This Row],[CUIT]]="","-",VLOOKUP(compras_mes11[[#This Row],[CUIT]],Lista_CUIT[#All],4,0)),"CUIT NO CARGADO")</f>
        <v>0</v>
      </c>
    </row>
    <row r="103" spans="2:18" x14ac:dyDescent="0.3">
      <c r="B103" s="136">
        <v>44855</v>
      </c>
      <c r="C103" s="41">
        <v>1</v>
      </c>
      <c r="D103" s="138">
        <v>2</v>
      </c>
      <c r="E103" s="139">
        <v>5026</v>
      </c>
      <c r="F103" s="140">
        <v>23180288899</v>
      </c>
      <c r="G103" s="141" t="str">
        <f>IFERROR(IF(compras_mes11[[#This Row],[CUIT]]="","-",VLOOKUP(compras_mes11[[#This Row],[CUIT]],Lista_CUIT[#All],2,0)),"CUIT NO CARGADO")</f>
        <v>ROMERO EMILIO</v>
      </c>
      <c r="H103" s="146">
        <v>125000</v>
      </c>
      <c r="I103" s="142">
        <v>26250</v>
      </c>
      <c r="J103" s="142"/>
      <c r="K103" s="142"/>
      <c r="L103" s="142"/>
      <c r="M103" s="142"/>
      <c r="N103" s="142"/>
      <c r="O103" s="142"/>
      <c r="P103" s="143">
        <f>SUM(compras_mes11[[#This Row],[NETO GRAVADO]:[Otros / No Grav.]])</f>
        <v>151250</v>
      </c>
      <c r="Q103" s="144">
        <f>IFERROR(IF(compras_mes11[[#This Row],[CUIT]]="","-",VLOOKUP(compras_mes11[[#This Row],[CUIT]],Lista_CUIT[#All],3,0)),"CUIT NO CARGADO")</f>
        <v>0</v>
      </c>
      <c r="R103" s="144">
        <f>IFERROR(IF(compras_mes11[[#This Row],[CUIT]]="","-",VLOOKUP(compras_mes11[[#This Row],[CUIT]],Lista_CUIT[#All],4,0)),"CUIT NO CARGADO")</f>
        <v>0</v>
      </c>
    </row>
    <row r="104" spans="2:18" x14ac:dyDescent="0.3">
      <c r="B104" s="153">
        <v>44855</v>
      </c>
      <c r="C104" s="154">
        <v>1</v>
      </c>
      <c r="D104" s="155">
        <v>20</v>
      </c>
      <c r="E104" s="156">
        <v>5521</v>
      </c>
      <c r="F104" s="157">
        <v>30515800219</v>
      </c>
      <c r="G104" s="131" t="str">
        <f>IFERROR(IF(compras_mes11[[#This Row],[CUIT]]="","-",VLOOKUP(compras_mes11[[#This Row],[CUIT]],Lista_CUIT[#All],2,0)),"CUIT NO CARGADO")</f>
        <v>INCAT SRL</v>
      </c>
      <c r="H104" s="159">
        <v>538.64</v>
      </c>
      <c r="I104" s="130">
        <f>IF(compras_mes11[[#This Row],[NETO GRAVADO]]="","",compras_mes11[[#This Row],[NETO GRAVADO]]*0.21)</f>
        <v>113.11439999999999</v>
      </c>
      <c r="J104" s="130"/>
      <c r="K104" s="130"/>
      <c r="L104" s="130"/>
      <c r="M104" s="130"/>
      <c r="N104" s="130"/>
      <c r="O104" s="130">
        <v>12.25</v>
      </c>
      <c r="P104" s="132">
        <f>SUM(compras_mes11[[#This Row],[NETO GRAVADO]:[Otros / No Grav.]])</f>
        <v>664.00440000000003</v>
      </c>
      <c r="Q104" s="133" t="str">
        <f>IFERROR(IF(compras_mes11[[#This Row],[CUIT]]="","-",VLOOKUP(compras_mes11[[#This Row],[CUIT]],Lista_CUIT[#All],3,0)),"CUIT NO CARGADO")</f>
        <v>Combustibe</v>
      </c>
      <c r="R104" s="133" t="str">
        <f>IFERROR(IF(compras_mes11[[#This Row],[CUIT]]="","-",VLOOKUP(compras_mes11[[#This Row],[CUIT]],Lista_CUIT[#All],4,0)),"CUIT NO CARGADO")</f>
        <v>CABA</v>
      </c>
    </row>
    <row r="105" spans="2:18" x14ac:dyDescent="0.3">
      <c r="B105" s="136">
        <v>44855</v>
      </c>
      <c r="C105" s="41">
        <v>1</v>
      </c>
      <c r="D105" s="138">
        <v>2</v>
      </c>
      <c r="E105" s="139">
        <v>7655</v>
      </c>
      <c r="F105" s="140">
        <v>30714284963</v>
      </c>
      <c r="G105" s="141" t="str">
        <f>IFERROR(IF(compras_mes11[[#This Row],[CUIT]]="","-",VLOOKUP(compras_mes11[[#This Row],[CUIT]],Lista_CUIT[#All],2,0)),"CUIT NO CARGADO")</f>
        <v>ENGYMAN SRL</v>
      </c>
      <c r="H105" s="146">
        <v>42490</v>
      </c>
      <c r="I105" s="142">
        <f>IF(compras_mes11[[#This Row],[NETO GRAVADO]]="","",compras_mes11[[#This Row],[NETO GRAVADO]]*0.21)</f>
        <v>8922.9</v>
      </c>
      <c r="J105" s="142"/>
      <c r="K105" s="142"/>
      <c r="L105" s="142"/>
      <c r="M105" s="142"/>
      <c r="N105" s="142"/>
      <c r="O105" s="142"/>
      <c r="P105" s="143">
        <f>SUM(compras_mes11[[#This Row],[NETO GRAVADO]:[Otros / No Grav.]])</f>
        <v>51412.9</v>
      </c>
      <c r="Q105" s="144">
        <f>IFERROR(IF(compras_mes11[[#This Row],[CUIT]]="","-",VLOOKUP(compras_mes11[[#This Row],[CUIT]],Lista_CUIT[#All],3,0)),"CUIT NO CARGADO")</f>
        <v>0</v>
      </c>
      <c r="R105" s="144">
        <f>IFERROR(IF(compras_mes11[[#This Row],[CUIT]]="","-",VLOOKUP(compras_mes11[[#This Row],[CUIT]],Lista_CUIT[#All],4,0)),"CUIT NO CARGADO")</f>
        <v>0</v>
      </c>
    </row>
    <row r="106" spans="2:18" x14ac:dyDescent="0.3">
      <c r="B106" s="136">
        <v>44855</v>
      </c>
      <c r="C106" s="41">
        <v>1</v>
      </c>
      <c r="D106" s="138">
        <v>2188</v>
      </c>
      <c r="E106" s="139">
        <v>75239</v>
      </c>
      <c r="F106" s="140">
        <v>30548083156</v>
      </c>
      <c r="G106" s="141" t="str">
        <f>IFERROR(IF(compras_mes11[[#This Row],[CUIT]]="","-",VLOOKUP(compras_mes11[[#This Row],[CUIT]],Lista_CUIT[#All],2,0)),"CUIT NO CARGADO")</f>
        <v>COTO CENTRO INTEGRAL DE COMERCIALIZACION SOCIEDAD ANONIMA</v>
      </c>
      <c r="H106" s="146">
        <v>9677.3799999999992</v>
      </c>
      <c r="I106" s="142">
        <v>1870.39</v>
      </c>
      <c r="J106" s="142"/>
      <c r="K106" s="142">
        <v>80.930000000000007</v>
      </c>
      <c r="L106" s="142">
        <v>267.2</v>
      </c>
      <c r="M106" s="142"/>
      <c r="N106" s="142">
        <v>530.70000000000005</v>
      </c>
      <c r="O106" s="142"/>
      <c r="P106" s="143">
        <f>SUM(compras_mes11[[#This Row],[NETO GRAVADO]:[Otros / No Grav.]])</f>
        <v>12426.6</v>
      </c>
      <c r="Q106" s="144" t="str">
        <f>IFERROR(IF(compras_mes11[[#This Row],[CUIT]]="","-",VLOOKUP(compras_mes11[[#This Row],[CUIT]],Lista_CUIT[#All],3,0)),"CUIT NO CARGADO")</f>
        <v>GASTOS COMERCIALES</v>
      </c>
      <c r="R106" s="144">
        <f>IFERROR(IF(compras_mes11[[#This Row],[CUIT]]="","-",VLOOKUP(compras_mes11[[#This Row],[CUIT]],Lista_CUIT[#All],4,0)),"CUIT NO CARGADO")</f>
        <v>0</v>
      </c>
    </row>
    <row r="107" spans="2:18" x14ac:dyDescent="0.3">
      <c r="B107" s="136">
        <v>44855</v>
      </c>
      <c r="C107" s="41">
        <v>1</v>
      </c>
      <c r="D107" s="138">
        <v>5</v>
      </c>
      <c r="E107" s="139">
        <v>2625013</v>
      </c>
      <c r="F107" s="140">
        <v>30702652975</v>
      </c>
      <c r="G107" s="141" t="str">
        <f>IFERROR(IF(compras_mes11[[#This Row],[CUIT]]="","-",VLOOKUP(compras_mes11[[#This Row],[CUIT]],Lista_CUIT[#All],2,0)),"CUIT NO CARGADO")</f>
        <v>NSS SA</v>
      </c>
      <c r="H107" s="146">
        <v>4562.7700000000004</v>
      </c>
      <c r="I107" s="142">
        <f>IF(compras_mes11[[#This Row],[NETO GRAVADO]]="","",compras_mes11[[#This Row],[NETO GRAVADO]]*0.21)</f>
        <v>958.18170000000009</v>
      </c>
      <c r="J107" s="142"/>
      <c r="K107" s="142"/>
      <c r="L107" s="142"/>
      <c r="M107" s="142"/>
      <c r="N107" s="142">
        <v>273.77</v>
      </c>
      <c r="O107" s="142"/>
      <c r="P107" s="143">
        <f>SUM(compras_mes11[[#This Row],[NETO GRAVADO]:[Otros / No Grav.]])</f>
        <v>5794.7217000000001</v>
      </c>
      <c r="Q107" s="144" t="str">
        <f>IFERROR(IF(compras_mes11[[#This Row],[CUIT]]="","-",VLOOKUP(compras_mes11[[#This Row],[CUIT]],Lista_CUIT[#All],3,0)),"CUIT NO CARGADO")</f>
        <v>Servicios Gas, Luz, etc.</v>
      </c>
      <c r="R107" s="144">
        <f>IFERROR(IF(compras_mes11[[#This Row],[CUIT]]="","-",VLOOKUP(compras_mes11[[#This Row],[CUIT]],Lista_CUIT[#All],4,0)),"CUIT NO CARGADO")</f>
        <v>0</v>
      </c>
    </row>
    <row r="108" spans="2:18" s="128" customFormat="1" x14ac:dyDescent="0.3">
      <c r="B108" s="136">
        <v>44855</v>
      </c>
      <c r="C108" s="41">
        <v>1</v>
      </c>
      <c r="D108" s="138">
        <v>113</v>
      </c>
      <c r="E108" s="139">
        <v>2958918</v>
      </c>
      <c r="F108" s="140">
        <v>30577207190</v>
      </c>
      <c r="G108" s="141" t="str">
        <f>IFERROR(IF(compras_mes11[[#This Row],[CUIT]]="","-",VLOOKUP(compras_mes11[[#This Row],[CUIT]],Lista_CUIT[#All],2,0)),"CUIT NO CARGADO")</f>
        <v>COORDINACION ECOLOGICA AREA METROPOLITANA SOCIEDAD DEL ESTADO</v>
      </c>
      <c r="H108" s="146">
        <v>2158.6799999999998</v>
      </c>
      <c r="I108" s="142">
        <f>IF(compras_mes11[[#This Row],[NETO GRAVADO]]="","",compras_mes11[[#This Row],[NETO GRAVADO]]*0.21)</f>
        <v>453.32279999999997</v>
      </c>
      <c r="J108" s="142"/>
      <c r="K108" s="142"/>
      <c r="L108" s="142"/>
      <c r="M108" s="142"/>
      <c r="N108" s="142"/>
      <c r="O108" s="142"/>
      <c r="P108" s="143">
        <f>SUM(compras_mes11[[#This Row],[NETO GRAVADO]:[Otros / No Grav.]])</f>
        <v>2612.0027999999998</v>
      </c>
      <c r="Q108" s="144">
        <f>IFERROR(IF(compras_mes11[[#This Row],[CUIT]]="","-",VLOOKUP(compras_mes11[[#This Row],[CUIT]],Lista_CUIT[#All],3,0)),"CUIT NO CARGADO")</f>
        <v>0</v>
      </c>
      <c r="R108" s="144">
        <f>IFERROR(IF(compras_mes11[[#This Row],[CUIT]]="","-",VLOOKUP(compras_mes11[[#This Row],[CUIT]],Lista_CUIT[#All],4,0)),"CUIT NO CARGADO")</f>
        <v>0</v>
      </c>
    </row>
    <row r="109" spans="2:18" x14ac:dyDescent="0.3">
      <c r="B109" s="153">
        <v>44856</v>
      </c>
      <c r="C109" s="154">
        <v>1</v>
      </c>
      <c r="D109" s="155">
        <v>12</v>
      </c>
      <c r="E109" s="156">
        <v>11104</v>
      </c>
      <c r="F109" s="157" t="s">
        <v>119</v>
      </c>
      <c r="G109" s="131" t="str">
        <f>IFERROR(IF(compras_mes11[[#This Row],[CUIT]]="","-",VLOOKUP(compras_mes11[[#This Row],[CUIT]],Lista_CUIT[#All],2,0)),"CUIT NO CARGADO")</f>
        <v>CUIT NO CARGADO</v>
      </c>
      <c r="H109" s="159">
        <v>14608.94</v>
      </c>
      <c r="I109" s="130">
        <f>IF(compras_mes11[[#This Row],[NETO GRAVADO]]="","",compras_mes11[[#This Row],[NETO GRAVADO]]*0.21)</f>
        <v>3067.8773999999999</v>
      </c>
      <c r="J109" s="130"/>
      <c r="K109" s="130"/>
      <c r="L109" s="130"/>
      <c r="M109" s="130"/>
      <c r="N109" s="130"/>
      <c r="O109" s="130">
        <v>3731.48</v>
      </c>
      <c r="P109" s="132">
        <f>SUM(compras_mes11[[#This Row],[NETO GRAVADO]:[Otros / No Grav.]])</f>
        <v>21408.297399999999</v>
      </c>
      <c r="Q109" s="133" t="str">
        <f>IFERROR(IF(compras_mes11[[#This Row],[CUIT]]="","-",VLOOKUP(compras_mes11[[#This Row],[CUIT]],Lista_CUIT[#All],3,0)),"CUIT NO CARGADO")</f>
        <v>CUIT NO CARGADO</v>
      </c>
      <c r="R109" s="133" t="str">
        <f>IFERROR(IF(compras_mes11[[#This Row],[CUIT]]="","-",VLOOKUP(compras_mes11[[#This Row],[CUIT]],Lista_CUIT[#All],4,0)),"CUIT NO CARGADO")</f>
        <v>CUIT NO CARGADO</v>
      </c>
    </row>
    <row r="110" spans="2:18" x14ac:dyDescent="0.3">
      <c r="B110" s="136">
        <v>44857</v>
      </c>
      <c r="C110" s="41">
        <v>1</v>
      </c>
      <c r="D110" s="138">
        <v>4793</v>
      </c>
      <c r="E110" s="139">
        <v>78</v>
      </c>
      <c r="F110" s="140">
        <v>30685849751</v>
      </c>
      <c r="G110" s="141" t="str">
        <f>IFERROR(IF(compras_mes11[[#This Row],[CUIT]]="","-",VLOOKUP(compras_mes11[[#This Row],[CUIT]],Lista_CUIT[#All],2,0)),"CUIT NO CARGADO")</f>
        <v>DIA ARGENTINA S A</v>
      </c>
      <c r="H110" s="150">
        <v>8981.4</v>
      </c>
      <c r="I110" s="142">
        <v>1620.48</v>
      </c>
      <c r="J110" s="158"/>
      <c r="K110" s="158">
        <v>105.71</v>
      </c>
      <c r="L110" s="142"/>
      <c r="M110" s="142"/>
      <c r="N110" s="142"/>
      <c r="O110" s="142"/>
      <c r="P110" s="143">
        <f>SUM(compras_mes11[[#This Row],[NETO GRAVADO]:[Otros / No Grav.]])</f>
        <v>10707.589999999998</v>
      </c>
      <c r="Q110" s="144">
        <f>IFERROR(IF(compras_mes11[[#This Row],[CUIT]]="","-",VLOOKUP(compras_mes11[[#This Row],[CUIT]],Lista_CUIT[#All],3,0)),"CUIT NO CARGADO")</f>
        <v>0</v>
      </c>
      <c r="R110" s="144">
        <f>IFERROR(IF(compras_mes11[[#This Row],[CUIT]]="","-",VLOOKUP(compras_mes11[[#This Row],[CUIT]],Lista_CUIT[#All],4,0)),"CUIT NO CARGADO")</f>
        <v>0</v>
      </c>
    </row>
    <row r="111" spans="2:18" x14ac:dyDescent="0.3">
      <c r="B111" s="40">
        <v>44858</v>
      </c>
      <c r="C111" s="137">
        <v>3</v>
      </c>
      <c r="D111" s="42">
        <v>57</v>
      </c>
      <c r="E111" s="43">
        <v>64</v>
      </c>
      <c r="F111" s="44">
        <v>30708784067</v>
      </c>
      <c r="G111" s="45" t="str">
        <f>IFERROR(IF(compras_mes11[[#This Row],[CUIT]]="","-",VLOOKUP(compras_mes11[[#This Row],[CUIT]],Lista_CUIT[#All],2,0)),"CUIT NO CARGADO")</f>
        <v>LANDMARK</v>
      </c>
      <c r="H111" s="46">
        <v>-5578.51</v>
      </c>
      <c r="I111" s="85">
        <f>IF(compras_mes11[[#This Row],[NETO GRAVADO]]="","",compras_mes11[[#This Row],[NETO GRAVADO]]*0.21)</f>
        <v>-1171.4871000000001</v>
      </c>
      <c r="J111" s="85"/>
      <c r="K111" s="85"/>
      <c r="L111" s="85"/>
      <c r="M111" s="85"/>
      <c r="N111" s="85"/>
      <c r="O111" s="85"/>
      <c r="P111" s="48">
        <f>SUM(compras_mes11[[#This Row],[NETO GRAVADO]:[Otros / No Grav.]])</f>
        <v>-6749.9971000000005</v>
      </c>
      <c r="Q111" s="49">
        <f>IFERROR(IF(compras_mes11[[#This Row],[CUIT]]="","-",VLOOKUP(compras_mes11[[#This Row],[CUIT]],Lista_CUIT[#All],3,0)),"CUIT NO CARGADO")</f>
        <v>0</v>
      </c>
      <c r="R111" s="49">
        <f>IFERROR(IF(compras_mes11[[#This Row],[CUIT]]="","-",VLOOKUP(compras_mes11[[#This Row],[CUIT]],Lista_CUIT[#All],4,0)),"CUIT NO CARGADO")</f>
        <v>0</v>
      </c>
    </row>
    <row r="112" spans="2:18" x14ac:dyDescent="0.3">
      <c r="B112" s="40">
        <v>44858</v>
      </c>
      <c r="C112" s="137">
        <v>3</v>
      </c>
      <c r="D112" s="42">
        <v>57</v>
      </c>
      <c r="E112" s="43">
        <v>65</v>
      </c>
      <c r="F112" s="44">
        <v>30708784067</v>
      </c>
      <c r="G112" s="131" t="str">
        <f>IFERROR(IF(compras_mes11[[#This Row],[CUIT]]="","-",VLOOKUP(compras_mes11[[#This Row],[CUIT]],Lista_CUIT[#All],2,0)),"CUIT NO CARGADO")</f>
        <v>LANDMARK</v>
      </c>
      <c r="H112" s="46">
        <v>-42928.73</v>
      </c>
      <c r="I112" s="85">
        <f>IF(compras_mes11[[#This Row],[NETO GRAVADO]]="","",compras_mes11[[#This Row],[NETO GRAVADO]]*0.21)</f>
        <v>-9015.033300000001</v>
      </c>
      <c r="J112" s="85"/>
      <c r="K112" s="85"/>
      <c r="L112" s="85"/>
      <c r="M112" s="85"/>
      <c r="N112" s="85"/>
      <c r="O112" s="85"/>
      <c r="P112" s="48">
        <f>SUM(compras_mes11[[#This Row],[NETO GRAVADO]:[Otros / No Grav.]])</f>
        <v>-51943.763300000006</v>
      </c>
      <c r="Q112" s="49">
        <f>IFERROR(IF(compras_mes11[[#This Row],[CUIT]]="","-",VLOOKUP(compras_mes11[[#This Row],[CUIT]],Lista_CUIT[#All],3,0)),"CUIT NO CARGADO")</f>
        <v>0</v>
      </c>
      <c r="R112" s="49">
        <f>IFERROR(IF(compras_mes11[[#This Row],[CUIT]]="","-",VLOOKUP(compras_mes11[[#This Row],[CUIT]],Lista_CUIT[#All],4,0)),"CUIT NO CARGADO")</f>
        <v>0</v>
      </c>
    </row>
    <row r="113" spans="2:18" x14ac:dyDescent="0.3">
      <c r="B113" s="40">
        <v>44858</v>
      </c>
      <c r="C113" s="137">
        <v>3</v>
      </c>
      <c r="D113" s="42">
        <v>57</v>
      </c>
      <c r="E113" s="43">
        <v>66</v>
      </c>
      <c r="F113" s="44">
        <v>30708784067</v>
      </c>
      <c r="G113" s="45" t="str">
        <f>IFERROR(IF(compras_mes11[[#This Row],[CUIT]]="","-",VLOOKUP(compras_mes11[[#This Row],[CUIT]],Lista_CUIT[#All],2,0)),"CUIT NO CARGADO")</f>
        <v>LANDMARK</v>
      </c>
      <c r="H113" s="46">
        <v>-308.89</v>
      </c>
      <c r="I113" s="85">
        <f>IF(compras_mes11[[#This Row],[NETO GRAVADO]]="","",compras_mes11[[#This Row],[NETO GRAVADO]]*0.21)</f>
        <v>-64.866900000000001</v>
      </c>
      <c r="J113" s="85"/>
      <c r="K113" s="85"/>
      <c r="L113" s="85"/>
      <c r="M113" s="85"/>
      <c r="N113" s="85"/>
      <c r="O113" s="85"/>
      <c r="P113" s="48">
        <f>SUM(compras_mes11[[#This Row],[NETO GRAVADO]:[Otros / No Grav.]])</f>
        <v>-373.75689999999997</v>
      </c>
      <c r="Q113" s="49">
        <f>IFERROR(IF(compras_mes11[[#This Row],[CUIT]]="","-",VLOOKUP(compras_mes11[[#This Row],[CUIT]],Lista_CUIT[#All],3,0)),"CUIT NO CARGADO")</f>
        <v>0</v>
      </c>
      <c r="R113" s="49">
        <f>IFERROR(IF(compras_mes11[[#This Row],[CUIT]]="","-",VLOOKUP(compras_mes11[[#This Row],[CUIT]],Lista_CUIT[#All],4,0)),"CUIT NO CARGADO")</f>
        <v>0</v>
      </c>
    </row>
    <row r="114" spans="2:18" x14ac:dyDescent="0.3">
      <c r="B114" s="136">
        <v>44858</v>
      </c>
      <c r="C114" s="41">
        <v>1</v>
      </c>
      <c r="D114" s="138">
        <v>57</v>
      </c>
      <c r="E114" s="139">
        <v>1229</v>
      </c>
      <c r="F114" s="140">
        <v>30708784067</v>
      </c>
      <c r="G114" s="141" t="str">
        <f>IFERROR(IF(compras_mes11[[#This Row],[CUIT]]="","-",VLOOKUP(compras_mes11[[#This Row],[CUIT]],Lista_CUIT[#All],2,0)),"CUIT NO CARGADO")</f>
        <v>LANDMARK</v>
      </c>
      <c r="H114" s="150">
        <v>48507.24</v>
      </c>
      <c r="I114" s="142">
        <f>IF(compras_mes11[[#This Row],[NETO GRAVADO]]="","",compras_mes11[[#This Row],[NETO GRAVADO]]*0.21)</f>
        <v>10186.520399999999</v>
      </c>
      <c r="J114" s="142"/>
      <c r="K114" s="142"/>
      <c r="L114" s="142"/>
      <c r="M114" s="142"/>
      <c r="N114" s="158">
        <v>2910.43</v>
      </c>
      <c r="O114" s="142"/>
      <c r="P114" s="143">
        <f>SUM(compras_mes11[[#This Row],[NETO GRAVADO]:[Otros / No Grav.]])</f>
        <v>61604.190399999999</v>
      </c>
      <c r="Q114" s="144">
        <f>IFERROR(IF(compras_mes11[[#This Row],[CUIT]]="","-",VLOOKUP(compras_mes11[[#This Row],[CUIT]],Lista_CUIT[#All],3,0)),"CUIT NO CARGADO")</f>
        <v>0</v>
      </c>
      <c r="R114" s="144">
        <f>IFERROR(IF(compras_mes11[[#This Row],[CUIT]]="","-",VLOOKUP(compras_mes11[[#This Row],[CUIT]],Lista_CUIT[#All],4,0)),"CUIT NO CARGADO")</f>
        <v>0</v>
      </c>
    </row>
    <row r="115" spans="2:18" x14ac:dyDescent="0.3">
      <c r="B115" s="136">
        <v>44859</v>
      </c>
      <c r="C115" s="41">
        <v>1</v>
      </c>
      <c r="D115" s="138">
        <v>7</v>
      </c>
      <c r="E115" s="139">
        <v>3485</v>
      </c>
      <c r="F115" s="140">
        <v>30715124919</v>
      </c>
      <c r="G115" s="141" t="str">
        <f>IFERROR(IF(compras_mes11[[#This Row],[CUIT]]="","-",VLOOKUP(compras_mes11[[#This Row],[CUIT]],Lista_CUIT[#All],2,0)),"CUIT NO CARGADO")</f>
        <v>CLEAN LAB SRL</v>
      </c>
      <c r="H115" s="150">
        <v>23625.919999999998</v>
      </c>
      <c r="I115" s="142">
        <f>IF(compras_mes11[[#This Row],[NETO GRAVADO]]="","",compras_mes11[[#This Row],[NETO GRAVADO]]*0.21)</f>
        <v>4961.4431999999997</v>
      </c>
      <c r="J115" s="142"/>
      <c r="K115" s="142"/>
      <c r="L115" s="142"/>
      <c r="M115" s="142"/>
      <c r="N115" s="142"/>
      <c r="O115" s="142"/>
      <c r="P115" s="143">
        <f>SUM(compras_mes11[[#This Row],[NETO GRAVADO]:[Otros / No Grav.]])</f>
        <v>28587.3632</v>
      </c>
      <c r="Q115" s="144">
        <f>IFERROR(IF(compras_mes11[[#This Row],[CUIT]]="","-",VLOOKUP(compras_mes11[[#This Row],[CUIT]],Lista_CUIT[#All],3,0)),"CUIT NO CARGADO")</f>
        <v>0</v>
      </c>
      <c r="R115" s="144">
        <f>IFERROR(IF(compras_mes11[[#This Row],[CUIT]]="","-",VLOOKUP(compras_mes11[[#This Row],[CUIT]],Lista_CUIT[#All],4,0)),"CUIT NO CARGADO")</f>
        <v>0</v>
      </c>
    </row>
    <row r="116" spans="2:18" x14ac:dyDescent="0.3">
      <c r="B116" s="136">
        <v>44859</v>
      </c>
      <c r="C116" s="41">
        <v>1</v>
      </c>
      <c r="D116" s="138">
        <v>7</v>
      </c>
      <c r="E116" s="139">
        <v>3486</v>
      </c>
      <c r="F116" s="140">
        <v>30715124919</v>
      </c>
      <c r="G116" s="141" t="str">
        <f>IFERROR(IF(compras_mes11[[#This Row],[CUIT]]="","-",VLOOKUP(compras_mes11[[#This Row],[CUIT]],Lista_CUIT[#All],2,0)),"CUIT NO CARGADO")</f>
        <v>CLEAN LAB SRL</v>
      </c>
      <c r="H116" s="150">
        <v>11804.61</v>
      </c>
      <c r="I116" s="142">
        <f>IF(compras_mes11[[#This Row],[NETO GRAVADO]]="","",compras_mes11[[#This Row],[NETO GRAVADO]]*0.21)</f>
        <v>2478.9681</v>
      </c>
      <c r="J116" s="142"/>
      <c r="K116" s="142"/>
      <c r="L116" s="142"/>
      <c r="M116" s="142"/>
      <c r="N116" s="142"/>
      <c r="O116" s="142"/>
      <c r="P116" s="143">
        <f>SUM(compras_mes11[[#This Row],[NETO GRAVADO]:[Otros / No Grav.]])</f>
        <v>14283.578100000001</v>
      </c>
      <c r="Q116" s="144">
        <f>IFERROR(IF(compras_mes11[[#This Row],[CUIT]]="","-",VLOOKUP(compras_mes11[[#This Row],[CUIT]],Lista_CUIT[#All],3,0)),"CUIT NO CARGADO")</f>
        <v>0</v>
      </c>
      <c r="R116" s="144">
        <f>IFERROR(IF(compras_mes11[[#This Row],[CUIT]]="","-",VLOOKUP(compras_mes11[[#This Row],[CUIT]],Lista_CUIT[#All],4,0)),"CUIT NO CARGADO")</f>
        <v>0</v>
      </c>
    </row>
    <row r="117" spans="2:18" x14ac:dyDescent="0.3">
      <c r="B117" s="136">
        <v>44859</v>
      </c>
      <c r="C117" s="41">
        <v>1</v>
      </c>
      <c r="D117" s="138">
        <v>3</v>
      </c>
      <c r="E117" s="139">
        <v>30356</v>
      </c>
      <c r="F117" s="140">
        <v>30714012734</v>
      </c>
      <c r="G117" s="141" t="str">
        <f>IFERROR(IF(compras_mes11[[#This Row],[CUIT]]="","-",VLOOKUP(compras_mes11[[#This Row],[CUIT]],Lista_CUIT[#All],2,0)),"CUIT NO CARGADO")</f>
        <v>BKL S.A.</v>
      </c>
      <c r="H117" s="150">
        <v>39150</v>
      </c>
      <c r="I117" s="142">
        <f>IF(compras_mes11[[#This Row],[NETO GRAVADO]]="","",compras_mes11[[#This Row],[NETO GRAVADO]]*0.21)</f>
        <v>8221.5</v>
      </c>
      <c r="J117" s="142"/>
      <c r="K117" s="142"/>
      <c r="L117" s="142"/>
      <c r="M117" s="142"/>
      <c r="N117" s="142"/>
      <c r="O117" s="142"/>
      <c r="P117" s="143">
        <f>SUM(compras_mes11[[#This Row],[NETO GRAVADO]:[Otros / No Grav.]])</f>
        <v>47371.5</v>
      </c>
      <c r="Q117" s="144">
        <f>IFERROR(IF(compras_mes11[[#This Row],[CUIT]]="","-",VLOOKUP(compras_mes11[[#This Row],[CUIT]],Lista_CUIT[#All],3,0)),"CUIT NO CARGADO")</f>
        <v>0</v>
      </c>
      <c r="R117" s="144">
        <f>IFERROR(IF(compras_mes11[[#This Row],[CUIT]]="","-",VLOOKUP(compras_mes11[[#This Row],[CUIT]],Lista_CUIT[#All],4,0)),"CUIT NO CARGADO")</f>
        <v>0</v>
      </c>
    </row>
    <row r="118" spans="2:18" x14ac:dyDescent="0.3">
      <c r="B118" s="153">
        <v>44860</v>
      </c>
      <c r="C118" s="154">
        <v>1</v>
      </c>
      <c r="D118" s="155">
        <v>16</v>
      </c>
      <c r="E118" s="156">
        <v>4407</v>
      </c>
      <c r="F118" s="157">
        <v>30707841105</v>
      </c>
      <c r="G118" s="131" t="str">
        <f>IFERROR(IF(compras_mes11[[#This Row],[CUIT]]="","-",VLOOKUP(compras_mes11[[#This Row],[CUIT]],Lista_CUIT[#All],2,0)),"CUIT NO CARGADO")</f>
        <v>PETRO ARG SRL</v>
      </c>
      <c r="H118" s="129">
        <v>3559.36</v>
      </c>
      <c r="I118" s="130">
        <f>IF(compras_mes11[[#This Row],[NETO GRAVADO]]="","",compras_mes11[[#This Row],[NETO GRAVADO]]*0.21)</f>
        <v>747.46559999999999</v>
      </c>
      <c r="J118" s="130"/>
      <c r="K118" s="130"/>
      <c r="L118" s="130"/>
      <c r="M118" s="130"/>
      <c r="N118" s="130"/>
      <c r="O118" s="130">
        <v>892.89</v>
      </c>
      <c r="P118" s="132">
        <f>SUM(compras_mes11[[#This Row],[NETO GRAVADO]:[Otros / No Grav.]])</f>
        <v>5199.7156000000004</v>
      </c>
      <c r="Q118" s="133" t="str">
        <f>IFERROR(IF(compras_mes11[[#This Row],[CUIT]]="","-",VLOOKUP(compras_mes11[[#This Row],[CUIT]],Lista_CUIT[#All],3,0)),"CUIT NO CARGADO")</f>
        <v>Combustible</v>
      </c>
      <c r="R118" s="133">
        <f>IFERROR(IF(compras_mes11[[#This Row],[CUIT]]="","-",VLOOKUP(compras_mes11[[#This Row],[CUIT]],Lista_CUIT[#All],4,0)),"CUIT NO CARGADO")</f>
        <v>0</v>
      </c>
    </row>
    <row r="119" spans="2:18" x14ac:dyDescent="0.3">
      <c r="B119" s="136">
        <v>44860</v>
      </c>
      <c r="C119" s="41">
        <v>1</v>
      </c>
      <c r="D119" s="138">
        <v>3</v>
      </c>
      <c r="E119" s="139">
        <v>6265</v>
      </c>
      <c r="F119" s="140">
        <v>30708006420</v>
      </c>
      <c r="G119" s="141" t="str">
        <f>IFERROR(IF(compras_mes11[[#This Row],[CUIT]]="","-",VLOOKUP(compras_mes11[[#This Row],[CUIT]],Lista_CUIT[#All],2,0)),"CUIT NO CARGADO")</f>
        <v>MEDILEA S.A.</v>
      </c>
      <c r="H119" s="150">
        <v>150000</v>
      </c>
      <c r="I119" s="142">
        <f>IF(compras_mes11[[#This Row],[NETO GRAVADO]]="","",compras_mes11[[#This Row],[NETO GRAVADO]]*0.21)</f>
        <v>31500</v>
      </c>
      <c r="J119" s="142"/>
      <c r="K119" s="142"/>
      <c r="L119" s="142"/>
      <c r="M119" s="142"/>
      <c r="N119" s="142"/>
      <c r="O119" s="142"/>
      <c r="P119" s="143">
        <f>SUM(compras_mes11[[#This Row],[NETO GRAVADO]:[Otros / No Grav.]])</f>
        <v>181500</v>
      </c>
      <c r="Q119" s="144">
        <f>IFERROR(IF(compras_mes11[[#This Row],[CUIT]]="","-",VLOOKUP(compras_mes11[[#This Row],[CUIT]],Lista_CUIT[#All],3,0)),"CUIT NO CARGADO")</f>
        <v>0</v>
      </c>
      <c r="R119" s="144">
        <f>IFERROR(IF(compras_mes11[[#This Row],[CUIT]]="","-",VLOOKUP(compras_mes11[[#This Row],[CUIT]],Lista_CUIT[#All],4,0)),"CUIT NO CARGADO")</f>
        <v>0</v>
      </c>
    </row>
    <row r="120" spans="2:18" x14ac:dyDescent="0.3">
      <c r="B120" s="136">
        <v>44860</v>
      </c>
      <c r="C120" s="41">
        <v>1</v>
      </c>
      <c r="D120" s="138">
        <v>4</v>
      </c>
      <c r="E120" s="139">
        <v>36799</v>
      </c>
      <c r="F120" s="140">
        <v>30585948817</v>
      </c>
      <c r="G120" s="141" t="str">
        <f>IFERROR(IF(compras_mes11[[#This Row],[CUIT]]="","-",VLOOKUP(compras_mes11[[#This Row],[CUIT]],Lista_CUIT[#All],2,0)),"CUIT NO CARGADO")</f>
        <v xml:space="preserve">GLASCAR </v>
      </c>
      <c r="H120" s="150">
        <v>820121.28</v>
      </c>
      <c r="I120" s="142">
        <f>IF(compras_mes11[[#This Row],[NETO GRAVADO]]="","",compras_mes11[[#This Row],[NETO GRAVADO]]*0.21)</f>
        <v>172225.4688</v>
      </c>
      <c r="J120" s="142"/>
      <c r="K120" s="142"/>
      <c r="L120" s="142"/>
      <c r="M120" s="142"/>
      <c r="N120" s="142">
        <v>49207.28</v>
      </c>
      <c r="O120" s="142"/>
      <c r="P120" s="143">
        <f>SUM(compras_mes11[[#This Row],[NETO GRAVADO]:[Otros / No Grav.]])</f>
        <v>1041554.0288000001</v>
      </c>
      <c r="Q120" s="144">
        <f>IFERROR(IF(compras_mes11[[#This Row],[CUIT]]="","-",VLOOKUP(compras_mes11[[#This Row],[CUIT]],Lista_CUIT[#All],3,0)),"CUIT NO CARGADO")</f>
        <v>0</v>
      </c>
      <c r="R120" s="144">
        <f>IFERROR(IF(compras_mes11[[#This Row],[CUIT]]="","-",VLOOKUP(compras_mes11[[#This Row],[CUIT]],Lista_CUIT[#All],4,0)),"CUIT NO CARGADO")</f>
        <v>0</v>
      </c>
    </row>
    <row r="121" spans="2:18" x14ac:dyDescent="0.3">
      <c r="B121" s="136">
        <v>44860</v>
      </c>
      <c r="C121" s="41">
        <v>1</v>
      </c>
      <c r="D121" s="138">
        <v>4</v>
      </c>
      <c r="E121" s="139">
        <v>36800</v>
      </c>
      <c r="F121" s="140">
        <v>30585948817</v>
      </c>
      <c r="G121" s="141" t="str">
        <f>IFERROR(IF(compras_mes11[[#This Row],[CUIT]]="","-",VLOOKUP(compras_mes11[[#This Row],[CUIT]],Lista_CUIT[#All],2,0)),"CUIT NO CARGADO")</f>
        <v xml:space="preserve">GLASCAR </v>
      </c>
      <c r="H121" s="150">
        <v>541595.53</v>
      </c>
      <c r="I121" s="142">
        <f>IF(compras_mes11[[#This Row],[NETO GRAVADO]]="","",compras_mes11[[#This Row],[NETO GRAVADO]]*0.21)</f>
        <v>113735.0613</v>
      </c>
      <c r="J121" s="142"/>
      <c r="K121" s="142"/>
      <c r="L121" s="142"/>
      <c r="M121" s="142"/>
      <c r="N121" s="142">
        <v>32495.73</v>
      </c>
      <c r="O121" s="142"/>
      <c r="P121" s="143">
        <f>SUM(compras_mes11[[#This Row],[NETO GRAVADO]:[Otros / No Grav.]])</f>
        <v>687826.32129999995</v>
      </c>
      <c r="Q121" s="144">
        <f>IFERROR(IF(compras_mes11[[#This Row],[CUIT]]="","-",VLOOKUP(compras_mes11[[#This Row],[CUIT]],Lista_CUIT[#All],3,0)),"CUIT NO CARGADO")</f>
        <v>0</v>
      </c>
      <c r="R121" s="144">
        <f>IFERROR(IF(compras_mes11[[#This Row],[CUIT]]="","-",VLOOKUP(compras_mes11[[#This Row],[CUIT]],Lista_CUIT[#All],4,0)),"CUIT NO CARGADO")</f>
        <v>0</v>
      </c>
    </row>
    <row r="122" spans="2:18" x14ac:dyDescent="0.3">
      <c r="B122" s="136">
        <v>44860</v>
      </c>
      <c r="C122" s="41">
        <v>1</v>
      </c>
      <c r="D122" s="138">
        <v>2188</v>
      </c>
      <c r="E122" s="139">
        <v>75527</v>
      </c>
      <c r="F122" s="140">
        <v>30548083156</v>
      </c>
      <c r="G122" s="141" t="str">
        <f>IFERROR(IF(compras_mes11[[#This Row],[CUIT]]="","-",VLOOKUP(compras_mes11[[#This Row],[CUIT]],Lista_CUIT[#All],2,0)),"CUIT NO CARGADO")</f>
        <v>COTO CENTRO INTEGRAL DE COMERCIALIZACION SOCIEDAD ANONIMA</v>
      </c>
      <c r="H122" s="150">
        <v>9920.32</v>
      </c>
      <c r="I122" s="142">
        <v>1937.88</v>
      </c>
      <c r="J122" s="142"/>
      <c r="K122" s="142">
        <v>72.69</v>
      </c>
      <c r="L122" s="142">
        <v>276.83999999999997</v>
      </c>
      <c r="M122" s="142"/>
      <c r="N122" s="142">
        <v>570.38</v>
      </c>
      <c r="O122" s="142"/>
      <c r="P122" s="143">
        <f>SUM(compras_mes11[[#This Row],[NETO GRAVADO]:[Otros / No Grav.]])</f>
        <v>12778.11</v>
      </c>
      <c r="Q122" s="144" t="str">
        <f>IFERROR(IF(compras_mes11[[#This Row],[CUIT]]="","-",VLOOKUP(compras_mes11[[#This Row],[CUIT]],Lista_CUIT[#All],3,0)),"CUIT NO CARGADO")</f>
        <v>GASTOS COMERCIALES</v>
      </c>
      <c r="R122" s="144">
        <f>IFERROR(IF(compras_mes11[[#This Row],[CUIT]]="","-",VLOOKUP(compras_mes11[[#This Row],[CUIT]],Lista_CUIT[#All],4,0)),"CUIT NO CARGADO")</f>
        <v>0</v>
      </c>
    </row>
    <row r="123" spans="2:18" x14ac:dyDescent="0.3">
      <c r="B123" s="160">
        <v>44861</v>
      </c>
      <c r="C123" s="154">
        <v>1</v>
      </c>
      <c r="D123" s="161">
        <v>103</v>
      </c>
      <c r="E123" s="162">
        <v>572379</v>
      </c>
      <c r="F123" s="163">
        <v>30701307115</v>
      </c>
      <c r="G123" s="164" t="str">
        <f>IFERROR(IF(compras_mes11[[#This Row],[CUIT]]="","-",VLOOKUP(compras_mes11[[#This Row],[CUIT]],Lista_CUIT[#All],2,0)),"CUIT NO CARGADO")</f>
        <v>DESPEGAR COM AR SA</v>
      </c>
      <c r="H123" s="129">
        <v>41990.91</v>
      </c>
      <c r="I123" s="158"/>
      <c r="J123" s="158"/>
      <c r="K123" s="158">
        <v>4409.05</v>
      </c>
      <c r="L123" s="158"/>
      <c r="M123" s="158"/>
      <c r="N123" s="158">
        <v>2508.3000000000002</v>
      </c>
      <c r="O123" s="158">
        <v>1268</v>
      </c>
      <c r="P123" s="165">
        <f>SUM(compras_mes11[[#This Row],[NETO GRAVADO]:[Otros / No Grav.]])</f>
        <v>50176.260000000009</v>
      </c>
      <c r="Q123" s="166">
        <f>IFERROR(IF(compras_mes11[[#This Row],[CUIT]]="","-",VLOOKUP(compras_mes11[[#This Row],[CUIT]],Lista_CUIT[#All],3,0)),"CUIT NO CARGADO")</f>
        <v>0</v>
      </c>
      <c r="R123" s="166">
        <f>IFERROR(IF(compras_mes11[[#This Row],[CUIT]]="","-",VLOOKUP(compras_mes11[[#This Row],[CUIT]],Lista_CUIT[#All],4,0)),"CUIT NO CARGADO")</f>
        <v>0</v>
      </c>
    </row>
    <row r="124" spans="2:18" x14ac:dyDescent="0.3">
      <c r="B124" s="136">
        <v>44862</v>
      </c>
      <c r="C124" s="41">
        <v>1</v>
      </c>
      <c r="D124" s="138">
        <v>1</v>
      </c>
      <c r="E124" s="139">
        <v>518</v>
      </c>
      <c r="F124" s="140">
        <v>30715048066</v>
      </c>
      <c r="G124" s="141" t="str">
        <f>IFERROR(IF(compras_mes11[[#This Row],[CUIT]]="","-",VLOOKUP(compras_mes11[[#This Row],[CUIT]],Lista_CUIT[#All],2,0)),"CUIT NO CARGADO")</f>
        <v>ROLLS Y EMPANADAS SA</v>
      </c>
      <c r="H124" s="150">
        <v>315210</v>
      </c>
      <c r="I124" s="142">
        <f>IF(compras_mes11[[#This Row],[NETO GRAVADO]]="","",compras_mes11[[#This Row],[NETO GRAVADO]]*0.21)</f>
        <v>66194.099999999991</v>
      </c>
      <c r="J124" s="142"/>
      <c r="K124" s="142"/>
      <c r="L124" s="142"/>
      <c r="M124" s="142"/>
      <c r="N124" s="142"/>
      <c r="O124" s="142"/>
      <c r="P124" s="143">
        <f>SUM(compras_mes11[[#This Row],[NETO GRAVADO]:[Otros / No Grav.]])</f>
        <v>381404.1</v>
      </c>
      <c r="Q124" s="144" t="str">
        <f>IFERROR(IF(compras_mes11[[#This Row],[CUIT]]="","-",VLOOKUP(compras_mes11[[#This Row],[CUIT]],Lista_CUIT[#All],3,0)),"CUIT NO CARGADO")</f>
        <v>CATERING</v>
      </c>
      <c r="R124" s="144">
        <f>IFERROR(IF(compras_mes11[[#This Row],[CUIT]]="","-",VLOOKUP(compras_mes11[[#This Row],[CUIT]],Lista_CUIT[#All],4,0)),"CUIT NO CARGADO")</f>
        <v>0</v>
      </c>
    </row>
    <row r="125" spans="2:18" x14ac:dyDescent="0.3">
      <c r="B125" s="136">
        <v>44862</v>
      </c>
      <c r="C125" s="41">
        <v>1</v>
      </c>
      <c r="D125" s="138">
        <v>1</v>
      </c>
      <c r="E125" s="139">
        <v>519</v>
      </c>
      <c r="F125" s="140">
        <v>30715048066</v>
      </c>
      <c r="G125" s="141" t="str">
        <f>IFERROR(IF(compras_mes11[[#This Row],[CUIT]]="","-",VLOOKUP(compras_mes11[[#This Row],[CUIT]],Lista_CUIT[#All],2,0)),"CUIT NO CARGADO")</f>
        <v>ROLLS Y EMPANADAS SA</v>
      </c>
      <c r="H125" s="150">
        <v>230630</v>
      </c>
      <c r="I125" s="142">
        <f>IF(compras_mes11[[#This Row],[NETO GRAVADO]]="","",compras_mes11[[#This Row],[NETO GRAVADO]]*0.21)</f>
        <v>48432.299999999996</v>
      </c>
      <c r="J125" s="142"/>
      <c r="K125" s="142"/>
      <c r="L125" s="142"/>
      <c r="M125" s="142"/>
      <c r="N125" s="142"/>
      <c r="O125" s="142"/>
      <c r="P125" s="143">
        <f>SUM(compras_mes11[[#This Row],[NETO GRAVADO]:[Otros / No Grav.]])</f>
        <v>279062.3</v>
      </c>
      <c r="Q125" s="144" t="str">
        <f>IFERROR(IF(compras_mes11[[#This Row],[CUIT]]="","-",VLOOKUP(compras_mes11[[#This Row],[CUIT]],Lista_CUIT[#All],3,0)),"CUIT NO CARGADO")</f>
        <v>CATERING</v>
      </c>
      <c r="R125" s="144">
        <f>IFERROR(IF(compras_mes11[[#This Row],[CUIT]]="","-",VLOOKUP(compras_mes11[[#This Row],[CUIT]],Lista_CUIT[#All],4,0)),"CUIT NO CARGADO")</f>
        <v>0</v>
      </c>
    </row>
    <row r="126" spans="2:18" x14ac:dyDescent="0.3">
      <c r="B126" s="136">
        <v>44862</v>
      </c>
      <c r="C126" s="137">
        <v>2</v>
      </c>
      <c r="D126" s="138">
        <v>5</v>
      </c>
      <c r="E126" s="139">
        <v>3032</v>
      </c>
      <c r="F126" s="140">
        <v>30708041722</v>
      </c>
      <c r="G126" s="141" t="str">
        <f>IFERROR(IF(compras_mes11[[#This Row],[CUIT]]="","-",VLOOKUP(compras_mes11[[#This Row],[CUIT]],Lista_CUIT[#All],2,0)),"CUIT NO CARGADO")</f>
        <v>QUETZAL QUIMICA S R L</v>
      </c>
      <c r="H126" s="150">
        <v>20206.62</v>
      </c>
      <c r="I126" s="142">
        <f>IF(compras_mes11[[#This Row],[NETO GRAVADO]]="","",compras_mes11[[#This Row],[NETO GRAVADO]]*0.21)</f>
        <v>4243.3901999999998</v>
      </c>
      <c r="J126" s="142"/>
      <c r="K126" s="142"/>
      <c r="L126" s="142"/>
      <c r="M126" s="142"/>
      <c r="N126" s="142"/>
      <c r="O126" s="142"/>
      <c r="P126" s="143">
        <f>SUM(compras_mes11[[#This Row],[NETO GRAVADO]:[Otros / No Grav.]])</f>
        <v>24450.010199999997</v>
      </c>
      <c r="Q126" s="144">
        <f>IFERROR(IF(compras_mes11[[#This Row],[CUIT]]="","-",VLOOKUP(compras_mes11[[#This Row],[CUIT]],Lista_CUIT[#All],3,0)),"CUIT NO CARGADO")</f>
        <v>0</v>
      </c>
      <c r="R126" s="144">
        <f>IFERROR(IF(compras_mes11[[#This Row],[CUIT]]="","-",VLOOKUP(compras_mes11[[#This Row],[CUIT]],Lista_CUIT[#All],4,0)),"CUIT NO CARGADO")</f>
        <v>0</v>
      </c>
    </row>
    <row r="127" spans="2:18" x14ac:dyDescent="0.3">
      <c r="B127" s="136">
        <v>44862</v>
      </c>
      <c r="C127" s="41">
        <v>1</v>
      </c>
      <c r="D127" s="138">
        <v>5</v>
      </c>
      <c r="E127" s="139">
        <v>3242</v>
      </c>
      <c r="F127" s="140">
        <v>30714734446</v>
      </c>
      <c r="G127" s="141" t="str">
        <f>IFERROR(IF(compras_mes11[[#This Row],[CUIT]]="","-",VLOOKUP(compras_mes11[[#This Row],[CUIT]],Lista_CUIT[#All],2,0)),"CUIT NO CARGADO")</f>
        <v>GANADERA EL 13 S.R.L</v>
      </c>
      <c r="H127" s="150">
        <v>25445.59</v>
      </c>
      <c r="I127" s="142"/>
      <c r="J127" s="142"/>
      <c r="K127" s="158">
        <v>2671.79</v>
      </c>
      <c r="L127" s="142"/>
      <c r="M127" s="142"/>
      <c r="N127" s="142"/>
      <c r="O127" s="142"/>
      <c r="P127" s="143">
        <f>SUM(compras_mes11[[#This Row],[NETO GRAVADO]:[Otros / No Grav.]])</f>
        <v>28117.38</v>
      </c>
      <c r="Q127" s="144">
        <f>IFERROR(IF(compras_mes11[[#This Row],[CUIT]]="","-",VLOOKUP(compras_mes11[[#This Row],[CUIT]],Lista_CUIT[#All],3,0)),"CUIT NO CARGADO")</f>
        <v>0</v>
      </c>
      <c r="R127" s="144">
        <f>IFERROR(IF(compras_mes11[[#This Row],[CUIT]]="","-",VLOOKUP(compras_mes11[[#This Row],[CUIT]],Lista_CUIT[#All],4,0)),"CUIT NO CARGADO")</f>
        <v>0</v>
      </c>
    </row>
    <row r="128" spans="2:18" x14ac:dyDescent="0.3">
      <c r="B128" s="136">
        <v>44862</v>
      </c>
      <c r="C128" s="41">
        <v>1</v>
      </c>
      <c r="D128" s="138">
        <v>6</v>
      </c>
      <c r="E128" s="139">
        <v>3264</v>
      </c>
      <c r="F128" s="140">
        <v>20232507978</v>
      </c>
      <c r="G128" s="141" t="str">
        <f>IFERROR(IF(compras_mes11[[#This Row],[CUIT]]="","-",VLOOKUP(compras_mes11[[#This Row],[CUIT]],Lista_CUIT[#All],2,0)),"CUIT NO CARGADO")</f>
        <v>RUA DIEGO ADRIAN</v>
      </c>
      <c r="H128" s="150">
        <v>64132.23</v>
      </c>
      <c r="I128" s="142">
        <f>IF(compras_mes11[[#This Row],[NETO GRAVADO]]="","",compras_mes11[[#This Row],[NETO GRAVADO]]*0.21)</f>
        <v>13467.7683</v>
      </c>
      <c r="J128" s="142"/>
      <c r="K128" s="142"/>
      <c r="L128" s="142"/>
      <c r="M128" s="142"/>
      <c r="N128" s="142"/>
      <c r="O128" s="142"/>
      <c r="P128" s="143">
        <f>SUM(compras_mes11[[#This Row],[NETO GRAVADO]:[Otros / No Grav.]])</f>
        <v>77599.998300000007</v>
      </c>
      <c r="Q128" s="144">
        <f>IFERROR(IF(compras_mes11[[#This Row],[CUIT]]="","-",VLOOKUP(compras_mes11[[#This Row],[CUIT]],Lista_CUIT[#All],3,0)),"CUIT NO CARGADO")</f>
        <v>0</v>
      </c>
      <c r="R128" s="144">
        <f>IFERROR(IF(compras_mes11[[#This Row],[CUIT]]="","-",VLOOKUP(compras_mes11[[#This Row],[CUIT]],Lista_CUIT[#All],4,0)),"CUIT NO CARGADO")</f>
        <v>0</v>
      </c>
    </row>
    <row r="129" spans="2:18" x14ac:dyDescent="0.3">
      <c r="B129" s="153">
        <v>44862</v>
      </c>
      <c r="C129" s="154">
        <v>1</v>
      </c>
      <c r="D129" s="155">
        <v>26</v>
      </c>
      <c r="E129" s="156">
        <v>49220</v>
      </c>
      <c r="F129" s="157">
        <v>30544110035</v>
      </c>
      <c r="G129" s="131" t="str">
        <f>IFERROR(IF(compras_mes11[[#This Row],[CUIT]]="","-",VLOOKUP(compras_mes11[[#This Row],[CUIT]],Lista_CUIT[#All],2,0)),"CUIT NO CARGADO")</f>
        <v>EXPRESO SANTA ROSA S A </v>
      </c>
      <c r="H129" s="129">
        <v>2217.79</v>
      </c>
      <c r="I129" s="130">
        <f>IF(compras_mes11[[#This Row],[NETO GRAVADO]]="","",compras_mes11[[#This Row],[NETO GRAVADO]]*0.21)</f>
        <v>465.73589999999996</v>
      </c>
      <c r="J129" s="130"/>
      <c r="K129" s="130"/>
      <c r="L129" s="130"/>
      <c r="M129" s="130"/>
      <c r="N129" s="130"/>
      <c r="O129" s="130"/>
      <c r="P129" s="132">
        <f>SUM(compras_mes11[[#This Row],[NETO GRAVADO]:[Otros / No Grav.]])</f>
        <v>2683.5259000000001</v>
      </c>
      <c r="Q129" s="133">
        <f>IFERROR(IF(compras_mes11[[#This Row],[CUIT]]="","-",VLOOKUP(compras_mes11[[#This Row],[CUIT]],Lista_CUIT[#All],3,0)),"CUIT NO CARGADO")</f>
        <v>0</v>
      </c>
      <c r="R129" s="133">
        <f>IFERROR(IF(compras_mes11[[#This Row],[CUIT]]="","-",VLOOKUP(compras_mes11[[#This Row],[CUIT]],Lista_CUIT[#All],4,0)),"CUIT NO CARGADO")</f>
        <v>0</v>
      </c>
    </row>
    <row r="130" spans="2:18" x14ac:dyDescent="0.3">
      <c r="B130" s="136">
        <v>44862</v>
      </c>
      <c r="C130" s="41">
        <v>1</v>
      </c>
      <c r="D130" s="138">
        <v>1</v>
      </c>
      <c r="E130" s="139">
        <v>68844</v>
      </c>
      <c r="F130" s="140">
        <v>30714867349</v>
      </c>
      <c r="G130" s="141" t="str">
        <f>IFERROR(IF(compras_mes11[[#This Row],[CUIT]]="","-",VLOOKUP(compras_mes11[[#This Row],[CUIT]],Lista_CUIT[#All],2,0)),"CUIT NO CARGADO")</f>
        <v>VTV SUD S.A.</v>
      </c>
      <c r="H130" s="150">
        <v>882.71</v>
      </c>
      <c r="I130" s="142">
        <f>IF(compras_mes11[[#This Row],[NETO GRAVADO]]="","",compras_mes11[[#This Row],[NETO GRAVADO]]*0.21)</f>
        <v>185.3691</v>
      </c>
      <c r="J130" s="142"/>
      <c r="K130" s="142"/>
      <c r="L130" s="142"/>
      <c r="M130" s="142"/>
      <c r="N130" s="142"/>
      <c r="O130" s="142"/>
      <c r="P130" s="143">
        <f>SUM(compras_mes11[[#This Row],[NETO GRAVADO]:[Otros / No Grav.]])</f>
        <v>1068.0790999999999</v>
      </c>
      <c r="Q130" s="144">
        <f>IFERROR(IF(compras_mes11[[#This Row],[CUIT]]="","-",VLOOKUP(compras_mes11[[#This Row],[CUIT]],Lista_CUIT[#All],3,0)),"CUIT NO CARGADO")</f>
        <v>0</v>
      </c>
      <c r="R130" s="144">
        <f>IFERROR(IF(compras_mes11[[#This Row],[CUIT]]="","-",VLOOKUP(compras_mes11[[#This Row],[CUIT]],Lista_CUIT[#All],4,0)),"CUIT NO CARGADO")</f>
        <v>0</v>
      </c>
    </row>
    <row r="131" spans="2:18" x14ac:dyDescent="0.3">
      <c r="B131" s="136">
        <v>44862</v>
      </c>
      <c r="C131" s="41">
        <v>1</v>
      </c>
      <c r="D131" s="138">
        <v>3</v>
      </c>
      <c r="E131" s="139">
        <v>242098</v>
      </c>
      <c r="F131" s="140">
        <v>30709131865</v>
      </c>
      <c r="G131" s="141" t="str">
        <f>IFERROR(IF(compras_mes11[[#This Row],[CUIT]]="","-",VLOOKUP(compras_mes11[[#This Row],[CUIT]],Lista_CUIT[#All],2,0)),"CUIT NO CARGADO")</f>
        <v>EMPRENDIMIENTOS SATELITALES SA</v>
      </c>
      <c r="H131" s="150">
        <v>367.72</v>
      </c>
      <c r="I131" s="142">
        <f>IF(compras_mes11[[#This Row],[NETO GRAVADO]]="","",compras_mes11[[#This Row],[NETO GRAVADO]]*0.21)</f>
        <v>77.221199999999996</v>
      </c>
      <c r="J131" s="142"/>
      <c r="K131" s="142"/>
      <c r="L131" s="142"/>
      <c r="M131" s="142"/>
      <c r="N131" s="142"/>
      <c r="O131" s="142"/>
      <c r="P131" s="143">
        <f>SUM(compras_mes11[[#This Row],[NETO GRAVADO]:[Otros / No Grav.]])</f>
        <v>444.94120000000004</v>
      </c>
      <c r="Q131" s="144">
        <f>IFERROR(IF(compras_mes11[[#This Row],[CUIT]]="","-",VLOOKUP(compras_mes11[[#This Row],[CUIT]],Lista_CUIT[#All],3,0)),"CUIT NO CARGADO")</f>
        <v>0</v>
      </c>
      <c r="R131" s="144">
        <f>IFERROR(IF(compras_mes11[[#This Row],[CUIT]]="","-",VLOOKUP(compras_mes11[[#This Row],[CUIT]],Lista_CUIT[#All],4,0)),"CUIT NO CARGADO")</f>
        <v>0</v>
      </c>
    </row>
    <row r="132" spans="2:18" x14ac:dyDescent="0.3">
      <c r="B132" s="136">
        <v>44862</v>
      </c>
      <c r="C132" s="41">
        <v>1</v>
      </c>
      <c r="D132" s="138">
        <v>700</v>
      </c>
      <c r="E132" s="139">
        <v>680206</v>
      </c>
      <c r="F132" s="140">
        <v>30715804812</v>
      </c>
      <c r="G132" s="141" t="str">
        <f>IFERROR(IF(compras_mes11[[#This Row],[CUIT]]="","-",VLOOKUP(compras_mes11[[#This Row],[CUIT]],Lista_CUIT[#All],2,0)),"CUIT NO CARGADO")</f>
        <v>CORREDORES VIALES SOCIEDAD ANONIMA</v>
      </c>
      <c r="H132" s="150">
        <v>661.98</v>
      </c>
      <c r="I132" s="142">
        <f>IF(compras_mes11[[#This Row],[NETO GRAVADO]]="","",compras_mes11[[#This Row],[NETO GRAVADO]]*0.21)</f>
        <v>139.01579999999998</v>
      </c>
      <c r="J132" s="142"/>
      <c r="K132" s="142"/>
      <c r="L132" s="142"/>
      <c r="M132" s="142"/>
      <c r="N132" s="142"/>
      <c r="O132" s="142"/>
      <c r="P132" s="143">
        <f>SUM(compras_mes11[[#This Row],[NETO GRAVADO]:[Otros / No Grav.]])</f>
        <v>800.99580000000003</v>
      </c>
      <c r="Q132" s="144">
        <f>IFERROR(IF(compras_mes11[[#This Row],[CUIT]]="","-",VLOOKUP(compras_mes11[[#This Row],[CUIT]],Lista_CUIT[#All],3,0)),"CUIT NO CARGADO")</f>
        <v>0</v>
      </c>
      <c r="R132" s="144">
        <f>IFERROR(IF(compras_mes11[[#This Row],[CUIT]]="","-",VLOOKUP(compras_mes11[[#This Row],[CUIT]],Lista_CUIT[#All],4,0)),"CUIT NO CARGADO")</f>
        <v>0</v>
      </c>
    </row>
    <row r="133" spans="2:18" x14ac:dyDescent="0.3">
      <c r="B133" s="136">
        <v>44863</v>
      </c>
      <c r="C133" s="41">
        <v>1</v>
      </c>
      <c r="D133" s="138">
        <v>9049</v>
      </c>
      <c r="E133" s="139">
        <v>1035</v>
      </c>
      <c r="F133" s="140">
        <v>30590360763</v>
      </c>
      <c r="G133" s="141" t="str">
        <f>IFERROR(IF(compras_mes11[[#This Row],[CUIT]]="","-",VLOOKUP(compras_mes11[[#This Row],[CUIT]],Lista_CUIT[#All],2,0)),"CUIT NO CARGADO")</f>
        <v>CENCOSUD S.A</v>
      </c>
      <c r="H133" s="150">
        <v>3068.6</v>
      </c>
      <c r="I133" s="142">
        <f>IF(compras_mes11[[#This Row],[NETO GRAVADO]]="","",compras_mes11[[#This Row],[NETO GRAVADO]]*0.21)</f>
        <v>644.40599999999995</v>
      </c>
      <c r="J133" s="142"/>
      <c r="K133" s="142"/>
      <c r="L133" s="142"/>
      <c r="M133" s="142"/>
      <c r="N133" s="142"/>
      <c r="O133" s="142"/>
      <c r="P133" s="143">
        <f>SUM(compras_mes11[[#This Row],[NETO GRAVADO]:[Otros / No Grav.]])</f>
        <v>3713.0059999999999</v>
      </c>
      <c r="Q133" s="144" t="str">
        <f>IFERROR(IF(compras_mes11[[#This Row],[CUIT]]="","-",VLOOKUP(compras_mes11[[#This Row],[CUIT]],Lista_CUIT[#All],3,0)),"CUIT NO CARGADO")</f>
        <v>Gastos Varios</v>
      </c>
      <c r="R133" s="144">
        <f>IFERROR(IF(compras_mes11[[#This Row],[CUIT]]="","-",VLOOKUP(compras_mes11[[#This Row],[CUIT]],Lista_CUIT[#All],4,0)),"CUIT NO CARGADO")</f>
        <v>0</v>
      </c>
    </row>
    <row r="134" spans="2:18" x14ac:dyDescent="0.3">
      <c r="B134" s="153">
        <v>44863</v>
      </c>
      <c r="C134" s="154">
        <v>1</v>
      </c>
      <c r="D134" s="155">
        <v>12</v>
      </c>
      <c r="E134" s="156">
        <v>11484</v>
      </c>
      <c r="F134" s="157" t="s">
        <v>119</v>
      </c>
      <c r="G134" s="131" t="str">
        <f>IFERROR(IF(compras_mes11[[#This Row],[CUIT]]="","-",VLOOKUP(compras_mes11[[#This Row],[CUIT]],Lista_CUIT[#All],2,0)),"CUIT NO CARGADO")</f>
        <v>CUIT NO CARGADO</v>
      </c>
      <c r="H134" s="129">
        <v>24888.3</v>
      </c>
      <c r="I134" s="130">
        <f>IF(compras_mes11[[#This Row],[NETO GRAVADO]]="","",compras_mes11[[#This Row],[NETO GRAVADO]]*0.21)</f>
        <v>5226.5429999999997</v>
      </c>
      <c r="J134" s="130"/>
      <c r="K134" s="130"/>
      <c r="L134" s="130"/>
      <c r="M134" s="130"/>
      <c r="N134" s="130">
        <v>0.01</v>
      </c>
      <c r="O134" s="130">
        <v>6368.48</v>
      </c>
      <c r="P134" s="132">
        <f>SUM(compras_mes11[[#This Row],[NETO GRAVADO]:[Otros / No Grav.]])</f>
        <v>36483.332999999999</v>
      </c>
      <c r="Q134" s="133" t="str">
        <f>IFERROR(IF(compras_mes11[[#This Row],[CUIT]]="","-",VLOOKUP(compras_mes11[[#This Row],[CUIT]],Lista_CUIT[#All],3,0)),"CUIT NO CARGADO")</f>
        <v>CUIT NO CARGADO</v>
      </c>
      <c r="R134" s="133" t="str">
        <f>IFERROR(IF(compras_mes11[[#This Row],[CUIT]]="","-",VLOOKUP(compras_mes11[[#This Row],[CUIT]],Lista_CUIT[#All],4,0)),"CUIT NO CARGADO")</f>
        <v>CUIT NO CARGADO</v>
      </c>
    </row>
    <row r="135" spans="2:18" x14ac:dyDescent="0.3">
      <c r="B135" s="136">
        <v>44863</v>
      </c>
      <c r="C135" s="41">
        <v>1</v>
      </c>
      <c r="D135" s="138">
        <v>2215</v>
      </c>
      <c r="E135" s="139">
        <v>26471</v>
      </c>
      <c r="F135" s="140">
        <v>30548083156</v>
      </c>
      <c r="G135" s="141" t="str">
        <f>IFERROR(IF(compras_mes11[[#This Row],[CUIT]]="","-",VLOOKUP(compras_mes11[[#This Row],[CUIT]],Lista_CUIT[#All],2,0)),"CUIT NO CARGADO")</f>
        <v>COTO CENTRO INTEGRAL DE COMERCIALIZACION SOCIEDAD ANONIMA</v>
      </c>
      <c r="H135" s="150">
        <v>1313.24</v>
      </c>
      <c r="I135" s="158">
        <v>131.55000000000001</v>
      </c>
      <c r="J135" s="158"/>
      <c r="K135" s="158">
        <v>72.12</v>
      </c>
      <c r="L135" s="158"/>
      <c r="M135" s="158"/>
      <c r="N135" s="158">
        <v>78.790000000000006</v>
      </c>
      <c r="O135" s="142"/>
      <c r="P135" s="143">
        <f>SUM(compras_mes11[[#This Row],[NETO GRAVADO]:[Otros / No Grav.]])</f>
        <v>1595.6999999999998</v>
      </c>
      <c r="Q135" s="144" t="str">
        <f>IFERROR(IF(compras_mes11[[#This Row],[CUIT]]="","-",VLOOKUP(compras_mes11[[#This Row],[CUIT]],Lista_CUIT[#All],3,0)),"CUIT NO CARGADO")</f>
        <v>GASTOS COMERCIALES</v>
      </c>
      <c r="R135" s="144">
        <f>IFERROR(IF(compras_mes11[[#This Row],[CUIT]]="","-",VLOOKUP(compras_mes11[[#This Row],[CUIT]],Lista_CUIT[#All],4,0)),"CUIT NO CARGADO")</f>
        <v>0</v>
      </c>
    </row>
    <row r="136" spans="2:18" x14ac:dyDescent="0.3">
      <c r="B136" s="40">
        <v>44863</v>
      </c>
      <c r="C136" s="137">
        <v>3</v>
      </c>
      <c r="D136" s="42">
        <v>27</v>
      </c>
      <c r="E136" s="43">
        <v>29107</v>
      </c>
      <c r="F136" s="44">
        <v>30703088534</v>
      </c>
      <c r="G136" s="45" t="str">
        <f>IFERROR(IF(compras_mes11[[#This Row],[CUIT]]="","-",VLOOKUP(compras_mes11[[#This Row],[CUIT]],Lista_CUIT[#All],2,0)),"CUIT NO CARGADO")</f>
        <v>MERCADO LIBRE SRL</v>
      </c>
      <c r="H136" s="46">
        <v>-538.51</v>
      </c>
      <c r="I136" s="85">
        <f>IF(compras_mes11[[#This Row],[NETO GRAVADO]]="","",compras_mes11[[#This Row],[NETO GRAVADO]]*0.21)</f>
        <v>-113.08709999999999</v>
      </c>
      <c r="J136" s="85"/>
      <c r="K136" s="85"/>
      <c r="L136" s="85"/>
      <c r="M136" s="85"/>
      <c r="N136" s="85"/>
      <c r="O136" s="85"/>
      <c r="P136" s="48">
        <f>SUM(compras_mes11[[#This Row],[NETO GRAVADO]:[Otros / No Grav.]])</f>
        <v>-651.59709999999995</v>
      </c>
      <c r="Q136" s="49" t="str">
        <f>IFERROR(IF(compras_mes11[[#This Row],[CUIT]]="","-",VLOOKUP(compras_mes11[[#This Row],[CUIT]],Lista_CUIT[#All],3,0)),"CUIT NO CARGADO")</f>
        <v>Gastos Varios</v>
      </c>
      <c r="R136" s="49" t="str">
        <f>IFERROR(IF(compras_mes11[[#This Row],[CUIT]]="","-",VLOOKUP(compras_mes11[[#This Row],[CUIT]],Lista_CUIT[#All],4,0)),"CUIT NO CARGADO")</f>
        <v>CABA</v>
      </c>
    </row>
    <row r="137" spans="2:18" x14ac:dyDescent="0.3">
      <c r="B137" s="136">
        <v>44863</v>
      </c>
      <c r="C137" s="41">
        <v>1</v>
      </c>
      <c r="D137" s="138">
        <v>27</v>
      </c>
      <c r="E137" s="139">
        <v>706136</v>
      </c>
      <c r="F137" s="140">
        <v>30703088534</v>
      </c>
      <c r="G137" s="141" t="str">
        <f>IFERROR(IF(compras_mes11[[#This Row],[CUIT]]="","-",VLOOKUP(compras_mes11[[#This Row],[CUIT]],Lista_CUIT[#All],2,0)),"CUIT NO CARGADO")</f>
        <v>MERCADO LIBRE SRL</v>
      </c>
      <c r="H137" s="150">
        <v>165425.53</v>
      </c>
      <c r="I137" s="142">
        <f>IF(compras_mes11[[#This Row],[NETO GRAVADO]]="","",compras_mes11[[#This Row],[NETO GRAVADO]]*0.21)</f>
        <v>34739.361299999997</v>
      </c>
      <c r="J137" s="142"/>
      <c r="K137" s="142"/>
      <c r="L137" s="142"/>
      <c r="M137" s="142"/>
      <c r="N137" s="142"/>
      <c r="O137" s="142"/>
      <c r="P137" s="143">
        <f>SUM(compras_mes11[[#This Row],[NETO GRAVADO]:[Otros / No Grav.]])</f>
        <v>200164.89129999999</v>
      </c>
      <c r="Q137" s="144" t="str">
        <f>IFERROR(IF(compras_mes11[[#This Row],[CUIT]]="","-",VLOOKUP(compras_mes11[[#This Row],[CUIT]],Lista_CUIT[#All],3,0)),"CUIT NO CARGADO")</f>
        <v>Gastos Varios</v>
      </c>
      <c r="R137" s="144" t="str">
        <f>IFERROR(IF(compras_mes11[[#This Row],[CUIT]]="","-",VLOOKUP(compras_mes11[[#This Row],[CUIT]],Lista_CUIT[#All],4,0)),"CUIT NO CARGADO")</f>
        <v>CABA</v>
      </c>
    </row>
    <row r="138" spans="2:18" x14ac:dyDescent="0.3">
      <c r="B138" s="136">
        <v>44863</v>
      </c>
      <c r="C138" s="41">
        <v>1</v>
      </c>
      <c r="D138" s="138">
        <v>1</v>
      </c>
      <c r="E138" s="139">
        <v>1439481</v>
      </c>
      <c r="F138" s="140">
        <v>30715686054</v>
      </c>
      <c r="G138" s="141" t="str">
        <f>IFERROR(IF(compras_mes11[[#This Row],[CUIT]]="","-",VLOOKUP(compras_mes11[[#This Row],[CUIT]],Lista_CUIT[#All],2,0)),"CUIT NO CARGADO")</f>
        <v>MELI LOG S.R.L.</v>
      </c>
      <c r="H138" s="150">
        <v>913.22</v>
      </c>
      <c r="I138" s="142">
        <f>IF(compras_mes11[[#This Row],[NETO GRAVADO]]="","",compras_mes11[[#This Row],[NETO GRAVADO]]*0.21)</f>
        <v>191.77619999999999</v>
      </c>
      <c r="J138" s="142"/>
      <c r="K138" s="142"/>
      <c r="L138" s="142"/>
      <c r="M138" s="142"/>
      <c r="N138" s="142"/>
      <c r="O138" s="142"/>
      <c r="P138" s="143">
        <f>SUM(compras_mes11[[#This Row],[NETO GRAVADO]:[Otros / No Grav.]])</f>
        <v>1104.9962</v>
      </c>
      <c r="Q138" s="144">
        <f>IFERROR(IF(compras_mes11[[#This Row],[CUIT]]="","-",VLOOKUP(compras_mes11[[#This Row],[CUIT]],Lista_CUIT[#All],3,0)),"CUIT NO CARGADO")</f>
        <v>0</v>
      </c>
      <c r="R138" s="144">
        <f>IFERROR(IF(compras_mes11[[#This Row],[CUIT]]="","-",VLOOKUP(compras_mes11[[#This Row],[CUIT]],Lista_CUIT[#All],4,0)),"CUIT NO CARGADO")</f>
        <v>0</v>
      </c>
    </row>
    <row r="139" spans="2:18" x14ac:dyDescent="0.3">
      <c r="B139" s="153">
        <v>44863</v>
      </c>
      <c r="C139" s="41">
        <v>1</v>
      </c>
      <c r="D139" s="138">
        <v>11</v>
      </c>
      <c r="E139" s="139">
        <v>2078554</v>
      </c>
      <c r="F139" s="140">
        <v>30703088534</v>
      </c>
      <c r="G139" s="141" t="str">
        <f>IFERROR(IF(compras_mes11[[#This Row],[CUIT]]="","-",VLOOKUP(compras_mes11[[#This Row],[CUIT]],Lista_CUIT[#All],2,0)),"CUIT NO CARGADO")</f>
        <v>MERCADO LIBRE SRL</v>
      </c>
      <c r="H139" s="150">
        <v>1611.57</v>
      </c>
      <c r="I139" s="142">
        <f>IF(compras_mes11[[#This Row],[NETO GRAVADO]]="","",compras_mes11[[#This Row],[NETO GRAVADO]]*0.21)</f>
        <v>338.42969999999997</v>
      </c>
      <c r="J139" s="142"/>
      <c r="K139" s="142"/>
      <c r="L139" s="142"/>
      <c r="M139" s="142"/>
      <c r="N139" s="142"/>
      <c r="O139" s="142"/>
      <c r="P139" s="143">
        <f>SUM(compras_mes11[[#This Row],[NETO GRAVADO]:[Otros / No Grav.]])</f>
        <v>1949.9996999999998</v>
      </c>
      <c r="Q139" s="144" t="str">
        <f>IFERROR(IF(compras_mes11[[#This Row],[CUIT]]="","-",VLOOKUP(compras_mes11[[#This Row],[CUIT]],Lista_CUIT[#All],3,0)),"CUIT NO CARGADO")</f>
        <v>Gastos Varios</v>
      </c>
      <c r="R139" s="144" t="str">
        <f>IFERROR(IF(compras_mes11[[#This Row],[CUIT]]="","-",VLOOKUP(compras_mes11[[#This Row],[CUIT]],Lista_CUIT[#All],4,0)),"CUIT NO CARGADO")</f>
        <v>CABA</v>
      </c>
    </row>
    <row r="140" spans="2:18" x14ac:dyDescent="0.3">
      <c r="B140" s="136">
        <v>44865</v>
      </c>
      <c r="C140" s="41">
        <v>1</v>
      </c>
      <c r="D140" s="138">
        <v>33</v>
      </c>
      <c r="E140" s="139">
        <v>1</v>
      </c>
      <c r="F140" s="140">
        <v>30717434710</v>
      </c>
      <c r="G140" s="141" t="str">
        <f>IFERROR(IF(compras_mes11[[#This Row],[CUIT]]="","-",VLOOKUP(compras_mes11[[#This Row],[CUIT]],Lista_CUIT[#All],2,0)),"CUIT NO CARGADO")</f>
        <v>PICALI IMPORT S.R.L.</v>
      </c>
      <c r="H140" s="150">
        <v>201720</v>
      </c>
      <c r="I140" s="142">
        <f>IF(compras_mes11[[#This Row],[NETO GRAVADO]]="","",compras_mes11[[#This Row],[NETO GRAVADO]]*0.21)</f>
        <v>42361.2</v>
      </c>
      <c r="J140" s="142"/>
      <c r="K140" s="142"/>
      <c r="L140" s="142"/>
      <c r="M140" s="142"/>
      <c r="N140" s="142"/>
      <c r="O140" s="142"/>
      <c r="P140" s="143">
        <f>SUM(compras_mes11[[#This Row],[NETO GRAVADO]:[Otros / No Grav.]])</f>
        <v>244081.2</v>
      </c>
      <c r="Q140" s="144">
        <f>IFERROR(IF(compras_mes11[[#This Row],[CUIT]]="","-",VLOOKUP(compras_mes11[[#This Row],[CUIT]],Lista_CUIT[#All],3,0)),"CUIT NO CARGADO")</f>
        <v>0</v>
      </c>
      <c r="R140" s="144">
        <f>IFERROR(IF(compras_mes11[[#This Row],[CUIT]]="","-",VLOOKUP(compras_mes11[[#This Row],[CUIT]],Lista_CUIT[#All],4,0)),"CUIT NO CARGADO")</f>
        <v>0</v>
      </c>
    </row>
    <row r="141" spans="2:18" x14ac:dyDescent="0.3">
      <c r="B141" s="136">
        <v>44865</v>
      </c>
      <c r="C141" s="41">
        <v>1</v>
      </c>
      <c r="D141" s="138">
        <v>727</v>
      </c>
      <c r="E141" s="139">
        <v>18</v>
      </c>
      <c r="F141" s="140">
        <v>30715621866</v>
      </c>
      <c r="G141" s="141" t="str">
        <f>IFERROR(IF(compras_mes11[[#This Row],[CUIT]]="","-",VLOOKUP(compras_mes11[[#This Row],[CUIT]],Lista_CUIT[#All],2,0)),"CUIT NO CARGADO")</f>
        <v>GMRA S. A.</v>
      </c>
      <c r="H141" s="150">
        <v>17850.419999999998</v>
      </c>
      <c r="I141" s="142">
        <f>IF(compras_mes11[[#This Row],[NETO GRAVADO]]="","",compras_mes11[[#This Row],[NETO GRAVADO]]*0.21)</f>
        <v>3748.5881999999997</v>
      </c>
      <c r="J141" s="142"/>
      <c r="K141" s="142"/>
      <c r="L141" s="142"/>
      <c r="M141" s="142"/>
      <c r="N141" s="142"/>
      <c r="O141" s="142">
        <v>1294.1600000000001</v>
      </c>
      <c r="P141" s="143">
        <f>SUM(compras_mes11[[#This Row],[NETO GRAVADO]:[Otros / No Grav.]])</f>
        <v>22893.168199999996</v>
      </c>
      <c r="Q141" s="144">
        <f>IFERROR(IF(compras_mes11[[#This Row],[CUIT]]="","-",VLOOKUP(compras_mes11[[#This Row],[CUIT]],Lista_CUIT[#All],3,0)),"CUIT NO CARGADO")</f>
        <v>0</v>
      </c>
      <c r="R141" s="144">
        <f>IFERROR(IF(compras_mes11[[#This Row],[CUIT]]="","-",VLOOKUP(compras_mes11[[#This Row],[CUIT]],Lista_CUIT[#All],4,0)),"CUIT NO CARGADO")</f>
        <v>0</v>
      </c>
    </row>
    <row r="142" spans="2:18" x14ac:dyDescent="0.3">
      <c r="B142" s="136">
        <v>44865</v>
      </c>
      <c r="C142" s="41">
        <v>1</v>
      </c>
      <c r="D142" s="138">
        <v>4</v>
      </c>
      <c r="E142" s="139">
        <v>37</v>
      </c>
      <c r="F142" s="140">
        <v>20946785300</v>
      </c>
      <c r="G142" s="141" t="str">
        <f>IFERROR(IF(compras_mes11[[#This Row],[CUIT]]="","-",VLOOKUP(compras_mes11[[#This Row],[CUIT]],Lista_CUIT[#All],2,0)),"CUIT NO CARGADO")</f>
        <v>FLORES HUAYRA MICHAEL MARTIN</v>
      </c>
      <c r="H142" s="129">
        <v>94500</v>
      </c>
      <c r="I142" s="142">
        <f>IF(compras_mes11[[#This Row],[NETO GRAVADO]]="","",compras_mes11[[#This Row],[NETO GRAVADO]]*0.21)</f>
        <v>19845</v>
      </c>
      <c r="J142" s="142"/>
      <c r="K142" s="142"/>
      <c r="L142" s="142"/>
      <c r="M142" s="142"/>
      <c r="N142" s="142"/>
      <c r="O142" s="142"/>
      <c r="P142" s="143">
        <f>SUM(compras_mes11[[#This Row],[NETO GRAVADO]:[Otros / No Grav.]])</f>
        <v>114345</v>
      </c>
      <c r="Q142" s="144">
        <f>IFERROR(IF(compras_mes11[[#This Row],[CUIT]]="","-",VLOOKUP(compras_mes11[[#This Row],[CUIT]],Lista_CUIT[#All],3,0)),"CUIT NO CARGADO")</f>
        <v>0</v>
      </c>
      <c r="R142" s="144">
        <f>IFERROR(IF(compras_mes11[[#This Row],[CUIT]]="","-",VLOOKUP(compras_mes11[[#This Row],[CUIT]],Lista_CUIT[#All],4,0)),"CUIT NO CARGADO")</f>
        <v>0</v>
      </c>
    </row>
    <row r="143" spans="2:18" x14ac:dyDescent="0.3">
      <c r="B143" s="136">
        <v>44865</v>
      </c>
      <c r="C143" s="41">
        <v>1</v>
      </c>
      <c r="D143" s="138">
        <v>1</v>
      </c>
      <c r="E143" s="139">
        <v>2194</v>
      </c>
      <c r="F143" s="140">
        <v>30717065286</v>
      </c>
      <c r="G143" s="141" t="str">
        <f>IFERROR(IF(compras_mes11[[#This Row],[CUIT]]="","-",VLOOKUP(compras_mes11[[#This Row],[CUIT]],Lista_CUIT[#All],2,0)),"CUIT NO CARGADO")</f>
        <v>PARQUE DISTRI SRL</v>
      </c>
      <c r="H143" s="150">
        <v>13747.35</v>
      </c>
      <c r="I143" s="142">
        <f>IF(compras_mes11[[#This Row],[NETO GRAVADO]]="","",compras_mes11[[#This Row],[NETO GRAVADO]]*0.21)</f>
        <v>2886.9434999999999</v>
      </c>
      <c r="J143" s="142"/>
      <c r="K143" s="142"/>
      <c r="L143" s="142"/>
      <c r="M143" s="142"/>
      <c r="N143" s="142"/>
      <c r="O143" s="142"/>
      <c r="P143" s="143">
        <f>SUM(compras_mes11[[#This Row],[NETO GRAVADO]:[Otros / No Grav.]])</f>
        <v>16634.2935</v>
      </c>
      <c r="Q143" s="144">
        <f>IFERROR(IF(compras_mes11[[#This Row],[CUIT]]="","-",VLOOKUP(compras_mes11[[#This Row],[CUIT]],Lista_CUIT[#All],3,0)),"CUIT NO CARGADO")</f>
        <v>0</v>
      </c>
      <c r="R143" s="144">
        <f>IFERROR(IF(compras_mes11[[#This Row],[CUIT]]="","-",VLOOKUP(compras_mes11[[#This Row],[CUIT]],Lista_CUIT[#All],4,0)),"CUIT NO CARGADO")</f>
        <v>0</v>
      </c>
    </row>
    <row r="144" spans="2:18" x14ac:dyDescent="0.3">
      <c r="B144" s="136">
        <v>44865</v>
      </c>
      <c r="C144" s="41">
        <v>1</v>
      </c>
      <c r="D144" s="138">
        <v>2</v>
      </c>
      <c r="E144" s="139">
        <v>3181</v>
      </c>
      <c r="F144" s="140">
        <v>30629863571</v>
      </c>
      <c r="G144" s="141" t="str">
        <f>IFERROR(IF(compras_mes11[[#This Row],[CUIT]]="","-",VLOOKUP(compras_mes11[[#This Row],[CUIT]],Lista_CUIT[#All],2,0)),"CUIT NO CARGADO")</f>
        <v>TECNIMAR S R L</v>
      </c>
      <c r="H144" s="150">
        <v>307480</v>
      </c>
      <c r="I144" s="142">
        <f>IF(compras_mes11[[#This Row],[NETO GRAVADO]]="","",compras_mes11[[#This Row],[NETO GRAVADO]]*0.21)</f>
        <v>64570.799999999996</v>
      </c>
      <c r="J144" s="142"/>
      <c r="K144" s="142"/>
      <c r="L144" s="142"/>
      <c r="M144" s="142"/>
      <c r="N144" s="142"/>
      <c r="O144" s="142"/>
      <c r="P144" s="143">
        <f>SUM(compras_mes11[[#This Row],[NETO GRAVADO]:[Otros / No Grav.]])</f>
        <v>372050.8</v>
      </c>
      <c r="Q144" s="144" t="str">
        <f>IFERROR(IF(compras_mes11[[#This Row],[CUIT]]="","-",VLOOKUP(compras_mes11[[#This Row],[CUIT]],Lista_CUIT[#All],3,0)),"CUIT NO CARGADO")</f>
        <v>LABORATORIO</v>
      </c>
      <c r="R144" s="144">
        <f>IFERROR(IF(compras_mes11[[#This Row],[CUIT]]="","-",VLOOKUP(compras_mes11[[#This Row],[CUIT]],Lista_CUIT[#All],4,0)),"CUIT NO CARGADO")</f>
        <v>0</v>
      </c>
    </row>
    <row r="145" spans="2:18" x14ac:dyDescent="0.3">
      <c r="B145" s="153">
        <v>44865</v>
      </c>
      <c r="C145" s="154">
        <v>1</v>
      </c>
      <c r="D145" s="155">
        <v>5141</v>
      </c>
      <c r="E145" s="156">
        <v>4267</v>
      </c>
      <c r="F145" s="157">
        <v>30695542476</v>
      </c>
      <c r="G145" s="141" t="str">
        <f>IFERROR(IF(compras_mes11[[#This Row],[CUIT]]="","-",VLOOKUP(compras_mes11[[#This Row],[CUIT]],Lista_CUIT[#All],2,0)),"CUIT NO CARGADO")</f>
        <v>PAN AMERICAN ENERGY LLC</v>
      </c>
      <c r="H145" s="129">
        <v>2051.89</v>
      </c>
      <c r="I145" s="130">
        <f>IF(compras_mes11[[#This Row],[NETO GRAVADO]]="","",compras_mes11[[#This Row],[NETO GRAVADO]]*0.21)</f>
        <v>430.89689999999996</v>
      </c>
      <c r="J145" s="130"/>
      <c r="K145" s="130"/>
      <c r="L145" s="130"/>
      <c r="M145" s="130"/>
      <c r="N145" s="130"/>
      <c r="O145" s="130">
        <v>528.77</v>
      </c>
      <c r="P145" s="132">
        <f>SUM(compras_mes11[[#This Row],[NETO GRAVADO]:[Otros / No Grav.]])</f>
        <v>3011.5569</v>
      </c>
      <c r="Q145" s="133" t="str">
        <f>IFERROR(IF(compras_mes11[[#This Row],[CUIT]]="","-",VLOOKUP(compras_mes11[[#This Row],[CUIT]],Lista_CUIT[#All],3,0)),"CUIT NO CARGADO")</f>
        <v>Combustibe</v>
      </c>
      <c r="R145" s="133">
        <f>IFERROR(IF(compras_mes11[[#This Row],[CUIT]]="","-",VLOOKUP(compras_mes11[[#This Row],[CUIT]],Lista_CUIT[#All],4,0)),"CUIT NO CARGADO")</f>
        <v>0</v>
      </c>
    </row>
    <row r="146" spans="2:18" x14ac:dyDescent="0.3">
      <c r="B146" s="136">
        <v>44865</v>
      </c>
      <c r="C146" s="41">
        <v>1</v>
      </c>
      <c r="D146" s="138">
        <v>1675</v>
      </c>
      <c r="E146" s="139">
        <v>4419</v>
      </c>
      <c r="F146" s="140">
        <v>30589621499</v>
      </c>
      <c r="G146" s="141" t="str">
        <f>IFERROR(IF(compras_mes11[[#This Row],[CUIT]]="","-",VLOOKUP(compras_mes11[[#This Row],[CUIT]],Lista_CUIT[#All],2,0)),"CUIT NO CARGADO")</f>
        <v>MAKRO SA</v>
      </c>
      <c r="H146" s="150">
        <v>18309.419999999998</v>
      </c>
      <c r="I146" s="142">
        <f>IF(compras_mes11[[#This Row],[NETO GRAVADO]]="","",compras_mes11[[#This Row],[NETO GRAVADO]]*0.21)</f>
        <v>3844.9781999999996</v>
      </c>
      <c r="J146" s="142"/>
      <c r="K146" s="142"/>
      <c r="L146" s="142">
        <v>549.28</v>
      </c>
      <c r="M146" s="142"/>
      <c r="N146" s="142">
        <v>1098.57</v>
      </c>
      <c r="O146" s="142">
        <v>30.22</v>
      </c>
      <c r="P146" s="143">
        <f>SUM(compras_mes11[[#This Row],[NETO GRAVADO]:[Otros / No Grav.]])</f>
        <v>23832.468199999996</v>
      </c>
      <c r="Q146" s="144">
        <f>IFERROR(IF(compras_mes11[[#This Row],[CUIT]]="","-",VLOOKUP(compras_mes11[[#This Row],[CUIT]],Lista_CUIT[#All],3,0)),"CUIT NO CARGADO")</f>
        <v>0</v>
      </c>
      <c r="R146" s="144">
        <f>IFERROR(IF(compras_mes11[[#This Row],[CUIT]]="","-",VLOOKUP(compras_mes11[[#This Row],[CUIT]],Lista_CUIT[#All],4,0)),"CUIT NO CARGADO")</f>
        <v>0</v>
      </c>
    </row>
    <row r="147" spans="2:18" x14ac:dyDescent="0.3">
      <c r="B147" s="153">
        <v>44865</v>
      </c>
      <c r="C147" s="154">
        <v>1</v>
      </c>
      <c r="D147" s="155">
        <v>23</v>
      </c>
      <c r="E147" s="156">
        <v>5416</v>
      </c>
      <c r="F147" s="157">
        <v>30515800219</v>
      </c>
      <c r="G147" s="131" t="str">
        <f>IFERROR(IF(compras_mes11[[#This Row],[CUIT]]="","-",VLOOKUP(compras_mes11[[#This Row],[CUIT]],Lista_CUIT[#All],2,0)),"CUIT NO CARGADO")</f>
        <v>INCAT SRL</v>
      </c>
      <c r="H147" s="129">
        <v>885.18</v>
      </c>
      <c r="I147" s="130">
        <f>IF(compras_mes11[[#This Row],[NETO GRAVADO]]="","",compras_mes11[[#This Row],[NETO GRAVADO]]*0.21)</f>
        <v>185.88779999999997</v>
      </c>
      <c r="J147" s="130"/>
      <c r="K147" s="130"/>
      <c r="L147" s="130"/>
      <c r="M147" s="130"/>
      <c r="N147" s="130"/>
      <c r="O147" s="130">
        <v>228.98</v>
      </c>
      <c r="P147" s="132">
        <f>SUM(compras_mes11[[#This Row],[NETO GRAVADO]:[Otros / No Grav.]])</f>
        <v>1300.0477999999998</v>
      </c>
      <c r="Q147" s="133" t="str">
        <f>IFERROR(IF(compras_mes11[[#This Row],[CUIT]]="","-",VLOOKUP(compras_mes11[[#This Row],[CUIT]],Lista_CUIT[#All],3,0)),"CUIT NO CARGADO")</f>
        <v>Combustibe</v>
      </c>
      <c r="R147" s="133" t="str">
        <f>IFERROR(IF(compras_mes11[[#This Row],[CUIT]]="","-",VLOOKUP(compras_mes11[[#This Row],[CUIT]],Lista_CUIT[#All],4,0)),"CUIT NO CARGADO")</f>
        <v>CABA</v>
      </c>
    </row>
    <row r="148" spans="2:18" x14ac:dyDescent="0.3">
      <c r="B148" s="136">
        <v>44865</v>
      </c>
      <c r="C148" s="41">
        <v>1</v>
      </c>
      <c r="D148" s="138">
        <v>4</v>
      </c>
      <c r="E148" s="139">
        <v>36862</v>
      </c>
      <c r="F148" s="140">
        <v>30585948817</v>
      </c>
      <c r="G148" s="141" t="str">
        <f>IFERROR(IF(compras_mes11[[#This Row],[CUIT]]="","-",VLOOKUP(compras_mes11[[#This Row],[CUIT]],Lista_CUIT[#All],2,0)),"CUIT NO CARGADO")</f>
        <v xml:space="preserve">GLASCAR </v>
      </c>
      <c r="H148" s="150">
        <v>821681.28</v>
      </c>
      <c r="I148" s="142">
        <f>IF(compras_mes11[[#This Row],[NETO GRAVADO]]="","",compras_mes11[[#This Row],[NETO GRAVADO]]*0.21)</f>
        <v>172553.06880000001</v>
      </c>
      <c r="J148" s="142"/>
      <c r="K148" s="142"/>
      <c r="L148" s="142"/>
      <c r="M148" s="142"/>
      <c r="N148" s="158">
        <v>49300.88</v>
      </c>
      <c r="O148" s="142"/>
      <c r="P148" s="143">
        <f>SUM(compras_mes11[[#This Row],[NETO GRAVADO]:[Otros / No Grav.]])</f>
        <v>1043535.2288</v>
      </c>
      <c r="Q148" s="144">
        <f>IFERROR(IF(compras_mes11[[#This Row],[CUIT]]="","-",VLOOKUP(compras_mes11[[#This Row],[CUIT]],Lista_CUIT[#All],3,0)),"CUIT NO CARGADO")</f>
        <v>0</v>
      </c>
      <c r="R148" s="144">
        <f>IFERROR(IF(compras_mes11[[#This Row],[CUIT]]="","-",VLOOKUP(compras_mes11[[#This Row],[CUIT]],Lista_CUIT[#All],4,0)),"CUIT NO CARGADO")</f>
        <v>0</v>
      </c>
    </row>
    <row r="149" spans="2:18" x14ac:dyDescent="0.3">
      <c r="B149" s="40"/>
      <c r="C149" s="41"/>
      <c r="D149" s="42"/>
      <c r="E149" s="43"/>
      <c r="F149" s="44"/>
      <c r="G149" s="45" t="str">
        <f>IFERROR(IF(compras_mes11[[#This Row],[CUIT]]="","-",VLOOKUP(compras_mes11[[#This Row],[CUIT]],Lista_CUIT[#All],2,0)),"CUIT NO CARGADO")</f>
        <v>-</v>
      </c>
      <c r="H149" s="46"/>
      <c r="I149" s="85" t="str">
        <f>IF(compras_mes11[[#This Row],[NETO GRAVADO]]="","",compras_mes11[[#This Row],[NETO GRAVADO]]*0.21)</f>
        <v/>
      </c>
      <c r="J149" s="85"/>
      <c r="K149" s="85"/>
      <c r="L149" s="85"/>
      <c r="M149" s="85"/>
      <c r="N149" s="85"/>
      <c r="O149" s="85"/>
      <c r="P149" s="48">
        <f>SUM(compras_mes11[[#This Row],[NETO GRAVADO]:[Otros / No Grav.]])</f>
        <v>0</v>
      </c>
      <c r="Q149" s="49" t="str">
        <f>IFERROR(IF(compras_mes11[[#This Row],[CUIT]]="","-",VLOOKUP(compras_mes11[[#This Row],[CUIT]],Lista_CUIT[#All],3,0)),"CUIT NO CARGADO")</f>
        <v>-</v>
      </c>
      <c r="R149" s="49" t="str">
        <f>IFERROR(IF(compras_mes11[[#This Row],[CUIT]]="","-",VLOOKUP(compras_mes11[[#This Row],[CUIT]],Lista_CUIT[#All],4,0)),"CUIT NO CARGADO")</f>
        <v>-</v>
      </c>
    </row>
    <row r="150" spans="2:18" x14ac:dyDescent="0.3">
      <c r="B150" s="136"/>
      <c r="C150" s="137"/>
      <c r="D150" s="138"/>
      <c r="E150" s="139"/>
      <c r="F150" s="140"/>
      <c r="G150" s="141" t="str">
        <f>IFERROR(IF(compras_mes11[[#This Row],[CUIT]]="","-",VLOOKUP(compras_mes11[[#This Row],[CUIT]],Lista_CUIT[#All],2,0)),"CUIT NO CARGADO")</f>
        <v>-</v>
      </c>
      <c r="H150" s="147"/>
      <c r="I150" s="142" t="str">
        <f>IF(compras_mes11[[#This Row],[NETO GRAVADO]]="","",compras_mes11[[#This Row],[NETO GRAVADO]]*0.21)</f>
        <v/>
      </c>
      <c r="J150" s="142"/>
      <c r="K150" s="142"/>
      <c r="L150" s="142"/>
      <c r="M150" s="142"/>
      <c r="N150" s="142"/>
      <c r="O150" s="142"/>
      <c r="P150" s="143">
        <f>SUM(compras_mes11[[#This Row],[NETO GRAVADO]:[Otros / No Grav.]])</f>
        <v>0</v>
      </c>
      <c r="Q150" s="144" t="str">
        <f>IFERROR(IF(compras_mes11[[#This Row],[CUIT]]="","-",VLOOKUP(compras_mes11[[#This Row],[CUIT]],Lista_CUIT[#All],3,0)),"CUIT NO CARGADO")</f>
        <v>-</v>
      </c>
      <c r="R150" s="144" t="str">
        <f>IFERROR(IF(compras_mes11[[#This Row],[CUIT]]="","-",VLOOKUP(compras_mes11[[#This Row],[CUIT]],Lista_CUIT[#All],4,0)),"CUIT NO CARGADO")</f>
        <v>-</v>
      </c>
    </row>
    <row r="151" spans="2:18" x14ac:dyDescent="0.3">
      <c r="B151" s="136"/>
      <c r="C151" s="137"/>
      <c r="D151" s="138"/>
      <c r="E151" s="139"/>
      <c r="F151" s="140"/>
      <c r="G151" s="141" t="str">
        <f>IFERROR(IF(compras_mes11[[#This Row],[CUIT]]="","-",VLOOKUP(compras_mes11[[#This Row],[CUIT]],Lista_CUIT[#All],2,0)),"CUIT NO CARGADO")</f>
        <v>-</v>
      </c>
      <c r="H151" s="147"/>
      <c r="I151" s="142" t="str">
        <f>IF(compras_mes11[[#This Row],[NETO GRAVADO]]="","",compras_mes11[[#This Row],[NETO GRAVADO]]*0.21)</f>
        <v/>
      </c>
      <c r="J151" s="142"/>
      <c r="K151" s="142"/>
      <c r="L151" s="142"/>
      <c r="M151" s="142"/>
      <c r="N151" s="142"/>
      <c r="O151" s="142"/>
      <c r="P151" s="143">
        <f>SUM(compras_mes11[[#This Row],[NETO GRAVADO]:[Otros / No Grav.]])</f>
        <v>0</v>
      </c>
      <c r="Q151" s="144" t="str">
        <f>IFERROR(IF(compras_mes11[[#This Row],[CUIT]]="","-",VLOOKUP(compras_mes11[[#This Row],[CUIT]],Lista_CUIT[#All],3,0)),"CUIT NO CARGADO")</f>
        <v>-</v>
      </c>
      <c r="R151" s="144" t="str">
        <f>IFERROR(IF(compras_mes11[[#This Row],[CUIT]]="","-",VLOOKUP(compras_mes11[[#This Row],[CUIT]],Lista_CUIT[#All],4,0)),"CUIT NO CARGADO")</f>
        <v>-</v>
      </c>
    </row>
    <row r="152" spans="2:18" x14ac:dyDescent="0.3">
      <c r="B152" s="136"/>
      <c r="C152" s="137"/>
      <c r="D152" s="138"/>
      <c r="E152" s="139"/>
      <c r="F152" s="140"/>
      <c r="G152" s="141" t="str">
        <f>IFERROR(IF(compras_mes11[[#This Row],[CUIT]]="","-",VLOOKUP(compras_mes11[[#This Row],[CUIT]],Lista_CUIT[#All],2,0)),"CUIT NO CARGADO")</f>
        <v>-</v>
      </c>
      <c r="H152" s="147"/>
      <c r="I152" s="142" t="str">
        <f>IF(compras_mes11[[#This Row],[NETO GRAVADO]]="","",compras_mes11[[#This Row],[NETO GRAVADO]]*0.21)</f>
        <v/>
      </c>
      <c r="J152" s="142"/>
      <c r="K152" s="142"/>
      <c r="L152" s="142"/>
      <c r="M152" s="142"/>
      <c r="N152" s="142"/>
      <c r="O152" s="142"/>
      <c r="P152" s="143">
        <f>SUM(compras_mes11[[#This Row],[NETO GRAVADO]:[Otros / No Grav.]])</f>
        <v>0</v>
      </c>
      <c r="Q152" s="144" t="str">
        <f>IFERROR(IF(compras_mes11[[#This Row],[CUIT]]="","-",VLOOKUP(compras_mes11[[#This Row],[CUIT]],Lista_CUIT[#All],3,0)),"CUIT NO CARGADO")</f>
        <v>-</v>
      </c>
      <c r="R152" s="144" t="str">
        <f>IFERROR(IF(compras_mes11[[#This Row],[CUIT]]="","-",VLOOKUP(compras_mes11[[#This Row],[CUIT]],Lista_CUIT[#All],4,0)),"CUIT NO CARGADO")</f>
        <v>-</v>
      </c>
    </row>
    <row r="153" spans="2:18" x14ac:dyDescent="0.3">
      <c r="B153" s="96" t="s">
        <v>103</v>
      </c>
      <c r="C153" s="96"/>
      <c r="D153" s="96"/>
      <c r="E153" s="96"/>
      <c r="F153" s="96"/>
      <c r="G153" s="97"/>
      <c r="H153" s="98">
        <f>SUBTOTAL(109,compras_mes11[NETO GRAVADO])</f>
        <v>8407667.8581250012</v>
      </c>
      <c r="I153" s="98">
        <f>SUBTOTAL(109,compras_mes11[IVA 21 %])</f>
        <v>1747099.5774062502</v>
      </c>
      <c r="J153" s="98">
        <f>SUBTOTAL(109,compras_mes11[IVA 27%])</f>
        <v>1472.44</v>
      </c>
      <c r="K153" s="98">
        <f>SUBTOTAL(109,compras_mes11[IVA 10,5%])</f>
        <v>8988.1800000000021</v>
      </c>
      <c r="L153" s="98">
        <f>SUBTOTAL(109,compras_mes11[PERC. IVA])</f>
        <v>4188.3199963378911</v>
      </c>
      <c r="M153" s="98">
        <f>SUBTOTAL(109,compras_mes11[PERC IIBB 
BS AS])</f>
        <v>0</v>
      </c>
      <c r="N153" s="98">
        <f>SUBTOTAL(109,compras_mes11[PERC. IIBB CABA])</f>
        <v>169845.97999267577</v>
      </c>
      <c r="O153" s="98">
        <f>SUBTOTAL(109,compras_mes11[Otros / No Grav.])</f>
        <v>37646.87000000001</v>
      </c>
      <c r="P153" s="98">
        <f>SUBTOTAL(109,compras_mes11[TOTAL])</f>
        <v>10376909.225520262</v>
      </c>
      <c r="Q153" s="96"/>
      <c r="R153" s="96"/>
    </row>
    <row r="154" spans="2:18" x14ac:dyDescent="0.3">
      <c r="B154" s="40"/>
      <c r="C154" s="41"/>
      <c r="D154" s="42"/>
      <c r="E154" s="43"/>
      <c r="F154" s="44"/>
      <c r="G154" s="45"/>
      <c r="H154" s="46"/>
      <c r="I154" s="47"/>
      <c r="J154" s="47"/>
      <c r="K154" s="47"/>
      <c r="L154" s="47"/>
      <c r="M154" s="47"/>
      <c r="N154" s="47"/>
      <c r="O154" s="47"/>
      <c r="P154" s="48"/>
      <c r="Q154" s="49"/>
      <c r="R154" s="49"/>
    </row>
    <row r="155" spans="2:18" x14ac:dyDescent="0.3">
      <c r="B155" s="40"/>
      <c r="C155" s="41"/>
      <c r="D155" s="42"/>
      <c r="E155" s="43"/>
      <c r="F155" s="44"/>
      <c r="G155" s="45"/>
      <c r="H155" s="46"/>
      <c r="I155" s="47"/>
      <c r="J155" s="47"/>
      <c r="K155" s="47"/>
      <c r="L155" s="47"/>
      <c r="M155" s="47"/>
      <c r="N155" s="47"/>
      <c r="O155" s="47"/>
      <c r="P155" s="48"/>
      <c r="Q155" s="49"/>
      <c r="R155" s="49"/>
    </row>
    <row r="156" spans="2:18" x14ac:dyDescent="0.3">
      <c r="B156" s="40"/>
      <c r="C156" s="41"/>
      <c r="D156" s="42"/>
      <c r="E156" s="43"/>
      <c r="F156" s="44"/>
      <c r="G156" s="45"/>
      <c r="H156" s="129"/>
      <c r="I156" s="198"/>
      <c r="J156" s="47"/>
      <c r="K156" s="47"/>
      <c r="L156" s="47"/>
      <c r="M156" s="47"/>
      <c r="N156" s="47"/>
      <c r="O156" s="47"/>
      <c r="P156" s="48"/>
      <c r="Q156" s="49"/>
      <c r="R156" s="49"/>
    </row>
    <row r="157" spans="2:18" x14ac:dyDescent="0.3">
      <c r="B157" s="40"/>
      <c r="C157" s="41"/>
      <c r="D157" s="42"/>
      <c r="E157" s="43"/>
      <c r="F157" s="44"/>
      <c r="G157" s="45"/>
      <c r="H157" s="46"/>
      <c r="I157" s="47"/>
      <c r="J157" s="47"/>
      <c r="K157" s="47"/>
      <c r="L157" s="47"/>
    </row>
    <row r="158" spans="2:18" ht="21" x14ac:dyDescent="0.3">
      <c r="D158" s="653" t="s">
        <v>15</v>
      </c>
      <c r="E158" s="653"/>
      <c r="F158" s="653"/>
      <c r="G158" s="653"/>
      <c r="H158" s="653"/>
      <c r="I158" s="653"/>
      <c r="J158" s="653"/>
      <c r="K158" s="653"/>
      <c r="L158" s="653"/>
    </row>
    <row r="159" spans="2:18" ht="15.6" x14ac:dyDescent="0.3">
      <c r="D159" s="73" t="s">
        <v>0</v>
      </c>
      <c r="E159" s="74" t="s">
        <v>26</v>
      </c>
      <c r="F159" s="74" t="s">
        <v>16</v>
      </c>
      <c r="G159" s="74" t="s">
        <v>5</v>
      </c>
      <c r="H159" s="74" t="s">
        <v>17</v>
      </c>
      <c r="I159" s="74" t="s">
        <v>7</v>
      </c>
      <c r="J159" s="75" t="s">
        <v>18</v>
      </c>
      <c r="K159" s="75" t="s">
        <v>19</v>
      </c>
      <c r="L159" s="76" t="s">
        <v>20</v>
      </c>
    </row>
    <row r="160" spans="2:18" x14ac:dyDescent="0.3">
      <c r="D160" s="50"/>
      <c r="E160" s="79"/>
      <c r="F160" s="80"/>
      <c r="G160" s="81"/>
      <c r="H160" s="81"/>
      <c r="I160" s="81"/>
      <c r="J160" s="81"/>
      <c r="K160" s="81"/>
      <c r="L160" s="81"/>
    </row>
    <row r="161" spans="4:13" x14ac:dyDescent="0.3">
      <c r="D161" s="50"/>
      <c r="E161" s="79"/>
      <c r="F161" s="80"/>
      <c r="G161" s="81"/>
      <c r="H161" s="81"/>
      <c r="I161" s="81"/>
      <c r="J161" s="81"/>
      <c r="K161" s="81"/>
      <c r="L161" s="81"/>
    </row>
    <row r="162" spans="4:13" x14ac:dyDescent="0.3">
      <c r="D162" s="50"/>
      <c r="E162" s="79"/>
      <c r="F162" s="80"/>
      <c r="G162" s="81"/>
      <c r="H162" s="81"/>
      <c r="I162" s="81"/>
      <c r="J162" s="81"/>
      <c r="K162" s="81"/>
      <c r="L162" s="81"/>
    </row>
    <row r="163" spans="4:13" x14ac:dyDescent="0.3">
      <c r="D163" s="82" t="s">
        <v>103</v>
      </c>
      <c r="E163" s="80"/>
      <c r="F163" s="80"/>
      <c r="G163" s="83">
        <f>SUBTOTAL(109,extracto_banco_mes11[NETO])</f>
        <v>0</v>
      </c>
      <c r="H163" s="83">
        <f>SUBTOTAL(109,extracto_banco_mes11[IVA 21%])</f>
        <v>0</v>
      </c>
      <c r="I163" s="83">
        <f>SUBTOTAL(109,extracto_banco_mes11[IVA 10,5%])</f>
        <v>0</v>
      </c>
      <c r="J163" s="83">
        <f>SUBTOTAL(109,extracto_banco_mes11[RET IIBB CABA])</f>
        <v>0</v>
      </c>
      <c r="K163" s="83">
        <f>SUBTOTAL(109,extracto_banco_mes11[PERC IVA])</f>
        <v>0</v>
      </c>
      <c r="L163" s="83">
        <f>SUBTOTAL(109,extracto_banco_mes11[PERC IIBB])</f>
        <v>0</v>
      </c>
    </row>
    <row r="167" spans="4:13" ht="21" x14ac:dyDescent="0.3">
      <c r="D167" s="653" t="s">
        <v>25</v>
      </c>
      <c r="E167" s="653"/>
      <c r="F167" s="653"/>
      <c r="G167" s="653"/>
      <c r="H167" s="653"/>
      <c r="I167" s="653"/>
      <c r="J167" s="653"/>
      <c r="K167" s="653"/>
    </row>
    <row r="168" spans="4:13" x14ac:dyDescent="0.3">
      <c r="D168" s="51" t="s">
        <v>0</v>
      </c>
      <c r="E168" s="51" t="s">
        <v>2</v>
      </c>
      <c r="F168" s="51" t="s">
        <v>74</v>
      </c>
      <c r="G168" s="51" t="s">
        <v>3</v>
      </c>
      <c r="H168" s="51" t="s">
        <v>4</v>
      </c>
      <c r="I168" s="52" t="s">
        <v>10</v>
      </c>
      <c r="J168" s="51" t="s">
        <v>13</v>
      </c>
      <c r="K168" s="51" t="s">
        <v>38</v>
      </c>
    </row>
    <row r="169" spans="4:13" x14ac:dyDescent="0.3">
      <c r="D169" s="209">
        <v>44862</v>
      </c>
      <c r="E169" s="215">
        <v>3</v>
      </c>
      <c r="F169" s="210">
        <v>9</v>
      </c>
      <c r="G169" s="211">
        <v>20226341596</v>
      </c>
      <c r="H169" s="212" t="str">
        <f>IFERROR(IF(factura_c_mes11[[#This Row],[CUIT]]="","-",VLOOKUP(factura_c_mes11[[#This Row],[CUIT]],Lista_CUIT[#All],2,0)),"CUIT NO CARGADO")</f>
        <v>ROSSO JOSE OMAR</v>
      </c>
      <c r="I169" s="213">
        <v>3800</v>
      </c>
      <c r="J169" s="214">
        <f>IFERROR(IF(factura_c_mes11[[#This Row],[CUIT]]="","-",VLOOKUP(factura_c_mes11[[#This Row],[CUIT]],Lista_CUIT[#All],3,0)),"CUIT NO CARGADO")</f>
        <v>0</v>
      </c>
      <c r="K169" s="214">
        <f>IFERROR(IF(factura_c_mes11[[#This Row],[CUIT]]="","-",VLOOKUP(factura_c_mes11[[#This Row],[CUIT]],Lista_CUIT[#All],4,0)),"CUIT NO CARGADO")</f>
        <v>0</v>
      </c>
    </row>
    <row r="170" spans="4:13" x14ac:dyDescent="0.3">
      <c r="D170" s="209">
        <v>44852</v>
      </c>
      <c r="E170" s="215">
        <v>2</v>
      </c>
      <c r="F170" s="210">
        <v>12</v>
      </c>
      <c r="G170" s="211">
        <v>20231009524</v>
      </c>
      <c r="H170" s="212" t="str">
        <f>IFERROR(IF(factura_c_mes11[[#This Row],[CUIT]]="","-",VLOOKUP(factura_c_mes11[[#This Row],[CUIT]],Lista_CUIT[#All],2,0)),"CUIT NO CARGADO")</f>
        <v>RAMOS PATRICIO SEBASTIAN</v>
      </c>
      <c r="I170" s="213">
        <v>150000</v>
      </c>
      <c r="J170" s="214" t="str">
        <f>IFERROR(IF(factura_c_mes11[[#This Row],[CUIT]]="","-",VLOOKUP(factura_c_mes11[[#This Row],[CUIT]],Lista_CUIT[#All],3,0)),"CUIT NO CARGADO")</f>
        <v>Insumo</v>
      </c>
      <c r="K170" s="214" t="str">
        <f>IFERROR(IF(factura_c_mes11[[#This Row],[CUIT]]="","-",VLOOKUP(factura_c_mes11[[#This Row],[CUIT]],Lista_CUIT[#All],4,0)),"CUIT NO CARGADO")</f>
        <v>BUENOS AIRES</v>
      </c>
    </row>
    <row r="171" spans="4:13" x14ac:dyDescent="0.3">
      <c r="D171" s="209">
        <v>44862</v>
      </c>
      <c r="E171" s="215">
        <v>2</v>
      </c>
      <c r="F171" s="210">
        <v>13</v>
      </c>
      <c r="G171" s="211">
        <v>20231009524</v>
      </c>
      <c r="H171" s="212" t="str">
        <f>IFERROR(IF(factura_c_mes11[[#This Row],[CUIT]]="","-",VLOOKUP(factura_c_mes11[[#This Row],[CUIT]],Lista_CUIT[#All],2,0)),"CUIT NO CARGADO")</f>
        <v>RAMOS PATRICIO SEBASTIAN</v>
      </c>
      <c r="I171" s="213">
        <v>112500</v>
      </c>
      <c r="J171" s="214" t="str">
        <f>IFERROR(IF(factura_c_mes11[[#This Row],[CUIT]]="","-",VLOOKUP(factura_c_mes11[[#This Row],[CUIT]],Lista_CUIT[#All],3,0)),"CUIT NO CARGADO")</f>
        <v>Insumo</v>
      </c>
      <c r="K171" s="214" t="str">
        <f>IFERROR(IF(factura_c_mes11[[#This Row],[CUIT]]="","-",VLOOKUP(factura_c_mes11[[#This Row],[CUIT]],Lista_CUIT[#All],4,0)),"CUIT NO CARGADO")</f>
        <v>BUENOS AIRES</v>
      </c>
    </row>
    <row r="172" spans="4:13" x14ac:dyDescent="0.3">
      <c r="D172" s="209">
        <v>44839</v>
      </c>
      <c r="E172" s="215">
        <v>11</v>
      </c>
      <c r="F172" s="210">
        <v>43</v>
      </c>
      <c r="G172" s="211">
        <v>27329450991</v>
      </c>
      <c r="H172" s="212" t="str">
        <f>IFERROR(IF(factura_c_mes11[[#This Row],[CUIT]]="","-",VLOOKUP(factura_c_mes11[[#This Row],[CUIT]],Lista_CUIT[#All],2,0)),"CUIT NO CARGADO")</f>
        <v>TOLEDO ELIANA ALEJANDRA</v>
      </c>
      <c r="I172" s="213">
        <v>7080</v>
      </c>
      <c r="J172" s="214">
        <f>IFERROR(IF(factura_c_mes11[[#This Row],[CUIT]]="","-",VLOOKUP(factura_c_mes11[[#This Row],[CUIT]],Lista_CUIT[#All],3,0)),"CUIT NO CARGADO")</f>
        <v>0</v>
      </c>
      <c r="K172" s="214">
        <f>IFERROR(IF(factura_c_mes11[[#This Row],[CUIT]]="","-",VLOOKUP(factura_c_mes11[[#This Row],[CUIT]],Lista_CUIT[#All],4,0)),"CUIT NO CARGADO")</f>
        <v>0</v>
      </c>
    </row>
    <row r="173" spans="4:13" x14ac:dyDescent="0.3">
      <c r="D173" s="209">
        <v>44846</v>
      </c>
      <c r="E173" s="215">
        <v>2</v>
      </c>
      <c r="F173" s="210">
        <v>192</v>
      </c>
      <c r="G173" s="211">
        <v>23319210954</v>
      </c>
      <c r="H173" s="212" t="str">
        <f>IFERROR(IF(factura_c_mes11[[#This Row],[CUIT]]="","-",VLOOKUP(factura_c_mes11[[#This Row],[CUIT]],Lista_CUIT[#All],2,0)),"CUIT NO CARGADO")</f>
        <v>CAFFARATTI ROMINA PAOLA</v>
      </c>
      <c r="I173" s="213">
        <v>6100</v>
      </c>
      <c r="J173" s="214" t="str">
        <f>IFERROR(IF(factura_c_mes11[[#This Row],[CUIT]]="","-",VLOOKUP(factura_c_mes11[[#This Row],[CUIT]],Lista_CUIT[#All],3,0)),"CUIT NO CARGADO")</f>
        <v>HONORARIOS</v>
      </c>
      <c r="K173" s="214">
        <f>IFERROR(IF(factura_c_mes11[[#This Row],[CUIT]]="","-",VLOOKUP(factura_c_mes11[[#This Row],[CUIT]],Lista_CUIT[#All],4,0)),"CUIT NO CARGADO")</f>
        <v>0</v>
      </c>
    </row>
    <row r="174" spans="4:13" x14ac:dyDescent="0.3">
      <c r="D174" s="209">
        <v>44846</v>
      </c>
      <c r="E174" s="215">
        <v>2</v>
      </c>
      <c r="F174" s="210">
        <v>193</v>
      </c>
      <c r="G174" s="211">
        <v>23319210954</v>
      </c>
      <c r="H174" s="212" t="str">
        <f>IFERROR(IF(factura_c_mes11[[#This Row],[CUIT]]="","-",VLOOKUP(factura_c_mes11[[#This Row],[CUIT]],Lista_CUIT[#All],2,0)),"CUIT NO CARGADO")</f>
        <v>CAFFARATTI ROMINA PAOLA</v>
      </c>
      <c r="I174" s="213">
        <v>10300</v>
      </c>
      <c r="J174" s="214" t="str">
        <f>IFERROR(IF(factura_c_mes11[[#This Row],[CUIT]]="","-",VLOOKUP(factura_c_mes11[[#This Row],[CUIT]],Lista_CUIT[#All],3,0)),"CUIT NO CARGADO")</f>
        <v>HONORARIOS</v>
      </c>
      <c r="K174" s="214">
        <f>IFERROR(IF(factura_c_mes11[[#This Row],[CUIT]]="","-",VLOOKUP(factura_c_mes11[[#This Row],[CUIT]],Lista_CUIT[#All],4,0)),"CUIT NO CARGADO")</f>
        <v>0</v>
      </c>
      <c r="M174" s="175" t="s">
        <v>125</v>
      </c>
    </row>
    <row r="175" spans="4:13" x14ac:dyDescent="0.3">
      <c r="D175" s="209">
        <v>44845</v>
      </c>
      <c r="E175" s="215">
        <v>3</v>
      </c>
      <c r="F175" s="210">
        <v>632</v>
      </c>
      <c r="G175" s="211">
        <v>20086277523</v>
      </c>
      <c r="H175" s="212" t="str">
        <f>IFERROR(IF(factura_c_mes11[[#This Row],[CUIT]]="","-",VLOOKUP(factura_c_mes11[[#This Row],[CUIT]],Lista_CUIT[#All],2,0)),"CUIT NO CARGADO")</f>
        <v>BOTINDARI JUAN CARLOS</v>
      </c>
      <c r="I175" s="213">
        <v>60000</v>
      </c>
      <c r="J175" s="214" t="str">
        <f>IFERROR(IF(factura_c_mes11[[#This Row],[CUIT]]="","-",VLOOKUP(factura_c_mes11[[#This Row],[CUIT]],Lista_CUIT[#All],3,0)),"CUIT NO CARGADO")</f>
        <v>HONORARIOS</v>
      </c>
      <c r="K175" s="214" t="str">
        <f>IFERROR(IF(factura_c_mes11[[#This Row],[CUIT]]="","-",VLOOKUP(factura_c_mes11[[#This Row],[CUIT]],Lista_CUIT[#All],4,0)),"CUIT NO CARGADO")</f>
        <v>CABA</v>
      </c>
      <c r="M175" s="216" t="s">
        <v>1452</v>
      </c>
    </row>
    <row r="176" spans="4:13" x14ac:dyDescent="0.3">
      <c r="D176" s="209">
        <v>44839</v>
      </c>
      <c r="E176" s="215">
        <v>2</v>
      </c>
      <c r="F176" s="210">
        <v>1122</v>
      </c>
      <c r="G176" s="211">
        <v>23277121859</v>
      </c>
      <c r="H176" s="212" t="str">
        <f>IFERROR(IF(factura_c_mes11[[#This Row],[CUIT]]="","-",VLOOKUP(factura_c_mes11[[#This Row],[CUIT]],Lista_CUIT[#All],2,0)),"CUIT NO CARGADO")</f>
        <v>BARCELONAMOTOS</v>
      </c>
      <c r="I176" s="213">
        <v>13070</v>
      </c>
      <c r="J176" s="214">
        <f>IFERROR(IF(factura_c_mes11[[#This Row],[CUIT]]="","-",VLOOKUP(factura_c_mes11[[#This Row],[CUIT]],Lista_CUIT[#All],3,0)),"CUIT NO CARGADO")</f>
        <v>0</v>
      </c>
      <c r="K176" s="214">
        <f>IFERROR(IF(factura_c_mes11[[#This Row],[CUIT]]="","-",VLOOKUP(factura_c_mes11[[#This Row],[CUIT]],Lista_CUIT[#All],4,0)),"CUIT NO CARGADO")</f>
        <v>0</v>
      </c>
    </row>
    <row r="177" spans="4:11" x14ac:dyDescent="0.3">
      <c r="D177" s="209">
        <v>44845</v>
      </c>
      <c r="E177" s="215">
        <v>3</v>
      </c>
      <c r="F177" s="210">
        <v>5086</v>
      </c>
      <c r="G177" s="211">
        <v>30710802404</v>
      </c>
      <c r="H177" s="212" t="str">
        <f>IFERROR(IF(factura_c_mes11[[#This Row],[CUIT]]="","-",VLOOKUP(factura_c_mes11[[#This Row],[CUIT]],Lista_CUIT[#All],2,0)),"CUIT NO CARGADO")</f>
        <v>KOHEN ILUMINACION S.A.</v>
      </c>
      <c r="I177" s="213">
        <v>8385.99</v>
      </c>
      <c r="J177" s="214">
        <f>IFERROR(IF(factura_c_mes11[[#This Row],[CUIT]]="","-",VLOOKUP(factura_c_mes11[[#This Row],[CUIT]],Lista_CUIT[#All],3,0)),"CUIT NO CARGADO")</f>
        <v>0</v>
      </c>
      <c r="K177" s="214">
        <f>IFERROR(IF(factura_c_mes11[[#This Row],[CUIT]]="","-",VLOOKUP(factura_c_mes11[[#This Row],[CUIT]],Lista_CUIT[#All],4,0)),"CUIT NO CARGADO")</f>
        <v>0</v>
      </c>
    </row>
    <row r="178" spans="4:11" x14ac:dyDescent="0.3">
      <c r="D178" s="50">
        <v>44847</v>
      </c>
      <c r="E178" s="42">
        <v>4</v>
      </c>
      <c r="F178" s="149">
        <v>8031</v>
      </c>
      <c r="G178" s="119">
        <v>30709585688</v>
      </c>
      <c r="H178" s="53" t="str">
        <f>IFERROR(IF(factura_c_mes11[[#This Row],[CUIT]]="","-",VLOOKUP(factura_c_mes11[[#This Row],[CUIT]],Lista_CUIT[#All],2,0)),"CUIT NO CARGADO")</f>
        <v>CUIT NO CARGADO</v>
      </c>
      <c r="I178" s="148">
        <v>515</v>
      </c>
      <c r="J178" s="54">
        <v>515</v>
      </c>
      <c r="K178" s="54" t="str">
        <f>IFERROR(IF(factura_c_mes11[[#This Row],[CUIT]]="","-",VLOOKUP(factura_c_mes11[[#This Row],[CUIT]],Lista_CUIT[#All],4,0)),"CUIT NO CARGADO")</f>
        <v>CUIT NO CARGADO</v>
      </c>
    </row>
    <row r="179" spans="4:11" x14ac:dyDescent="0.3">
      <c r="D179" s="169">
        <v>44859</v>
      </c>
      <c r="E179" s="170">
        <v>1004</v>
      </c>
      <c r="F179" s="176">
        <v>15571</v>
      </c>
      <c r="G179" s="171">
        <v>30712289046</v>
      </c>
      <c r="H179" s="172" t="str">
        <f>IFERROR(IF(factura_c_mes11[[#This Row],[CUIT]]="","-",VLOOKUP(factura_c_mes11[[#This Row],[CUIT]],Lista_CUIT[#All],2,0)),"CUIT NO CARGADO")</f>
        <v>IMPIERI PIÑEIRO RIZZO Y ASOC SA</v>
      </c>
      <c r="I179" s="173">
        <v>600</v>
      </c>
      <c r="J179" s="174" t="s">
        <v>122</v>
      </c>
      <c r="K179" s="174">
        <f>IFERROR(IF(factura_c_mes11[[#This Row],[CUIT]]="","-",VLOOKUP(factura_c_mes11[[#This Row],[CUIT]],Lista_CUIT[#All],4,0)),"CUIT NO CARGADO")</f>
        <v>0</v>
      </c>
    </row>
    <row r="180" spans="4:11" x14ac:dyDescent="0.3">
      <c r="D180" s="50">
        <v>44852</v>
      </c>
      <c r="E180" s="42">
        <v>2</v>
      </c>
      <c r="F180" s="149">
        <v>26624</v>
      </c>
      <c r="G180" s="119">
        <v>27190214295</v>
      </c>
      <c r="H180" s="53" t="str">
        <f>IFERROR(IF(factura_c_mes11[[#This Row],[CUIT]]="","-",VLOOKUP(factura_c_mes11[[#This Row],[CUIT]],Lista_CUIT[#All],2,0)),"CUIT NO CARGADO")</f>
        <v>CUIT NO CARGADO</v>
      </c>
      <c r="I180" s="148">
        <v>890</v>
      </c>
      <c r="J180" s="54" t="str">
        <f>IFERROR(IF(factura_c_mes11[[#This Row],[CUIT]]="","-",VLOOKUP(factura_c_mes11[[#This Row],[CUIT]],Lista_CUIT[#All],3,0)),"CUIT NO CARGADO")</f>
        <v>CUIT NO CARGADO</v>
      </c>
      <c r="K180" s="54" t="str">
        <f>IFERROR(IF(factura_c_mes11[[#This Row],[CUIT]]="","-",VLOOKUP(factura_c_mes11[[#This Row],[CUIT]],Lista_CUIT[#All],4,0)),"CUIT NO CARGADO")</f>
        <v>CUIT NO CARGADO</v>
      </c>
    </row>
    <row r="181" spans="4:11" x14ac:dyDescent="0.3">
      <c r="D181" s="209">
        <v>44843</v>
      </c>
      <c r="E181" s="215">
        <v>121</v>
      </c>
      <c r="F181" s="210">
        <v>47949</v>
      </c>
      <c r="G181" s="211">
        <v>30697583048</v>
      </c>
      <c r="H181" s="212" t="str">
        <f>IFERROR(IF(factura_c_mes11[[#This Row],[CUIT]]="","-",VLOOKUP(factura_c_mes11[[#This Row],[CUIT]],Lista_CUIT[#All],2,0)),"CUIT NO CARGADO")</f>
        <v>LA RURAL S.A.</v>
      </c>
      <c r="I181" s="213">
        <v>2100</v>
      </c>
      <c r="J181" s="214">
        <f>IFERROR(IF(factura_c_mes11[[#This Row],[CUIT]]="","-",VLOOKUP(factura_c_mes11[[#This Row],[CUIT]],Lista_CUIT[#All],3,0)),"CUIT NO CARGADO")</f>
        <v>0</v>
      </c>
      <c r="K181" s="214">
        <f>IFERROR(IF(factura_c_mes11[[#This Row],[CUIT]]="","-",VLOOKUP(factura_c_mes11[[#This Row],[CUIT]],Lista_CUIT[#All],4,0)),"CUIT NO CARGADO")</f>
        <v>0</v>
      </c>
    </row>
    <row r="182" spans="4:11" x14ac:dyDescent="0.3">
      <c r="D182" s="50">
        <v>44855</v>
      </c>
      <c r="E182" s="42">
        <v>3</v>
      </c>
      <c r="F182" s="149">
        <v>64861</v>
      </c>
      <c r="G182" s="119">
        <v>20929669933</v>
      </c>
      <c r="H182" s="53" t="str">
        <f>IFERROR(IF(factura_c_mes11[[#This Row],[CUIT]]="","-",VLOOKUP(factura_c_mes11[[#This Row],[CUIT]],Lista_CUIT[#All],2,0)),"CUIT NO CARGADO")</f>
        <v>CUIT NO CARGADO</v>
      </c>
      <c r="I182" s="148">
        <v>500</v>
      </c>
      <c r="J182" s="54" t="str">
        <f>IFERROR(IF(factura_c_mes11[[#This Row],[CUIT]]="","-",VLOOKUP(factura_c_mes11[[#This Row],[CUIT]],Lista_CUIT[#All],3,0)),"CUIT NO CARGADO")</f>
        <v>CUIT NO CARGADO</v>
      </c>
      <c r="K182" s="54" t="str">
        <f>IFERROR(IF(factura_c_mes11[[#This Row],[CUIT]]="","-",VLOOKUP(factura_c_mes11[[#This Row],[CUIT]],Lista_CUIT[#All],4,0)),"CUIT NO CARGADO")</f>
        <v>CUIT NO CARGADO</v>
      </c>
    </row>
    <row r="183" spans="4:11" x14ac:dyDescent="0.3">
      <c r="D183" s="50">
        <v>44855</v>
      </c>
      <c r="E183" s="42">
        <v>3</v>
      </c>
      <c r="F183" s="149">
        <v>64862</v>
      </c>
      <c r="G183" s="119">
        <v>20929669933</v>
      </c>
      <c r="H183" s="53" t="str">
        <f>IFERROR(IF(factura_c_mes11[[#This Row],[CUIT]]="","-",VLOOKUP(factura_c_mes11[[#This Row],[CUIT]],Lista_CUIT[#All],2,0)),"CUIT NO CARGADO")</f>
        <v>CUIT NO CARGADO</v>
      </c>
      <c r="I183" s="148">
        <v>500</v>
      </c>
      <c r="J183" s="54" t="str">
        <f>IFERROR(IF(factura_c_mes11[[#This Row],[CUIT]]="","-",VLOOKUP(factura_c_mes11[[#This Row],[CUIT]],Lista_CUIT[#All],3,0)),"CUIT NO CARGADO")</f>
        <v>CUIT NO CARGADO</v>
      </c>
      <c r="K183" s="54" t="str">
        <f>IFERROR(IF(factura_c_mes11[[#This Row],[CUIT]]="","-",VLOOKUP(factura_c_mes11[[#This Row],[CUIT]],Lista_CUIT[#All],4,0)),"CUIT NO CARGADO")</f>
        <v>CUIT NO CARGADO</v>
      </c>
    </row>
    <row r="184" spans="4:11" x14ac:dyDescent="0.3">
      <c r="D184" s="50">
        <v>44855</v>
      </c>
      <c r="E184" s="42">
        <v>3</v>
      </c>
      <c r="F184" s="149">
        <v>64863</v>
      </c>
      <c r="G184" s="119">
        <v>20929669933</v>
      </c>
      <c r="H184" s="53" t="str">
        <f>IFERROR(IF(factura_c_mes11[[#This Row],[CUIT]]="","-",VLOOKUP(factura_c_mes11[[#This Row],[CUIT]],Lista_CUIT[#All],2,0)),"CUIT NO CARGADO")</f>
        <v>CUIT NO CARGADO</v>
      </c>
      <c r="I184" s="148">
        <v>500</v>
      </c>
      <c r="J184" s="54" t="str">
        <f>IFERROR(IF(factura_c_mes11[[#This Row],[CUIT]]="","-",VLOOKUP(factura_c_mes11[[#This Row],[CUIT]],Lista_CUIT[#All],3,0)),"CUIT NO CARGADO")</f>
        <v>CUIT NO CARGADO</v>
      </c>
      <c r="K184" s="54" t="str">
        <f>IFERROR(IF(factura_c_mes11[[#This Row],[CUIT]]="","-",VLOOKUP(factura_c_mes11[[#This Row],[CUIT]],Lista_CUIT[#All],4,0)),"CUIT NO CARGADO")</f>
        <v>CUIT NO CARGADO</v>
      </c>
    </row>
    <row r="185" spans="4:11" x14ac:dyDescent="0.3">
      <c r="D185" s="50">
        <v>44855</v>
      </c>
      <c r="E185" s="42">
        <v>3</v>
      </c>
      <c r="F185" s="149">
        <v>64864</v>
      </c>
      <c r="G185" s="119">
        <v>20929669933</v>
      </c>
      <c r="H185" s="53" t="str">
        <f>IFERROR(IF(factura_c_mes11[[#This Row],[CUIT]]="","-",VLOOKUP(factura_c_mes11[[#This Row],[CUIT]],Lista_CUIT[#All],2,0)),"CUIT NO CARGADO")</f>
        <v>CUIT NO CARGADO</v>
      </c>
      <c r="I185" s="148">
        <v>500</v>
      </c>
      <c r="J185" s="54" t="str">
        <f>IFERROR(IF(factura_c_mes11[[#This Row],[CUIT]]="","-",VLOOKUP(factura_c_mes11[[#This Row],[CUIT]],Lista_CUIT[#All],3,0)),"CUIT NO CARGADO")</f>
        <v>CUIT NO CARGADO</v>
      </c>
      <c r="K185" s="54" t="str">
        <f>IFERROR(IF(factura_c_mes11[[#This Row],[CUIT]]="","-",VLOOKUP(factura_c_mes11[[#This Row],[CUIT]],Lista_CUIT[#All],4,0)),"CUIT NO CARGADO")</f>
        <v>CUIT NO CARGADO</v>
      </c>
    </row>
    <row r="186" spans="4:11" x14ac:dyDescent="0.3">
      <c r="D186" s="209">
        <v>44842</v>
      </c>
      <c r="E186" s="215">
        <v>123</v>
      </c>
      <c r="F186" s="210">
        <v>84727</v>
      </c>
      <c r="G186" s="211">
        <v>30697583048</v>
      </c>
      <c r="H186" s="212" t="str">
        <f>IFERROR(IF(factura_c_mes11[[#This Row],[CUIT]]="","-",VLOOKUP(factura_c_mes11[[#This Row],[CUIT]],Lista_CUIT[#All],2,0)),"CUIT NO CARGADO")</f>
        <v>LA RURAL S.A.</v>
      </c>
      <c r="I186" s="213">
        <v>2100</v>
      </c>
      <c r="J186" s="214">
        <f>IFERROR(IF(factura_c_mes11[[#This Row],[CUIT]]="","-",VLOOKUP(factura_c_mes11[[#This Row],[CUIT]],Lista_CUIT[#All],3,0)),"CUIT NO CARGADO")</f>
        <v>0</v>
      </c>
      <c r="K186" s="214">
        <f>IFERROR(IF(factura_c_mes11[[#This Row],[CUIT]]="","-",VLOOKUP(factura_c_mes11[[#This Row],[CUIT]],Lista_CUIT[#All],4,0)),"CUIT NO CARGADO")</f>
        <v>0</v>
      </c>
    </row>
    <row r="187" spans="4:11" x14ac:dyDescent="0.3">
      <c r="D187" s="209">
        <v>44835</v>
      </c>
      <c r="E187" s="215">
        <v>2161</v>
      </c>
      <c r="F187" s="210">
        <v>96895</v>
      </c>
      <c r="G187" s="211">
        <v>30612929455</v>
      </c>
      <c r="H187" s="212" t="str">
        <f>IFERROR(IF(factura_c_mes11[[#This Row],[CUIT]]="","-",VLOOKUP(factura_c_mes11[[#This Row],[CUIT]],Lista_CUIT[#All],2,0)),"CUIT NO CARGADO")</f>
        <v>LIBERTAD S A</v>
      </c>
      <c r="I187" s="213">
        <v>2755.78</v>
      </c>
      <c r="J187" s="214">
        <f>IFERROR(IF(factura_c_mes11[[#This Row],[CUIT]]="","-",VLOOKUP(factura_c_mes11[[#This Row],[CUIT]],Lista_CUIT[#All],3,0)),"CUIT NO CARGADO")</f>
        <v>0</v>
      </c>
      <c r="K187" s="214">
        <f>IFERROR(IF(factura_c_mes11[[#This Row],[CUIT]]="","-",VLOOKUP(factura_c_mes11[[#This Row],[CUIT]],Lista_CUIT[#All],4,0)),"CUIT NO CARGADO")</f>
        <v>0</v>
      </c>
    </row>
    <row r="188" spans="4:11" x14ac:dyDescent="0.3">
      <c r="D188" s="209">
        <v>44855</v>
      </c>
      <c r="E188" s="215">
        <v>14551</v>
      </c>
      <c r="F188" s="210">
        <v>136061</v>
      </c>
      <c r="G188" s="211">
        <v>30687310434</v>
      </c>
      <c r="H188" s="212" t="str">
        <f>IFERROR(IF(factura_c_mes11[[#This Row],[CUIT]]="","-",VLOOKUP(factura_c_mes11[[#This Row],[CUIT]],Lista_CUIT[#All],2,0)),"CUIT NO CARGADO")</f>
        <v>INC  SOCIEDAD ANONIMA</v>
      </c>
      <c r="I188" s="213">
        <v>2481</v>
      </c>
      <c r="J188" s="214">
        <f>IFERROR(IF(factura_c_mes11[[#This Row],[CUIT]]="","-",VLOOKUP(factura_c_mes11[[#This Row],[CUIT]],Lista_CUIT[#All],3,0)),"CUIT NO CARGADO")</f>
        <v>0</v>
      </c>
      <c r="K188" s="214">
        <f>IFERROR(IF(factura_c_mes11[[#This Row],[CUIT]]="","-",VLOOKUP(factura_c_mes11[[#This Row],[CUIT]],Lista_CUIT[#All],4,0)),"CUIT NO CARGADO")</f>
        <v>0</v>
      </c>
    </row>
    <row r="189" spans="4:11" x14ac:dyDescent="0.3">
      <c r="D189" s="50">
        <v>44855</v>
      </c>
      <c r="E189" s="42">
        <v>3001</v>
      </c>
      <c r="F189" s="149">
        <v>255707</v>
      </c>
      <c r="G189" s="119">
        <v>30708574836</v>
      </c>
      <c r="H189" s="53" t="str">
        <f>IFERROR(IF(factura_c_mes11[[#This Row],[CUIT]]="","-",VLOOKUP(factura_c_mes11[[#This Row],[CUIT]],Lista_CUIT[#All],2,0)),"CUIT NO CARGADO")</f>
        <v>CORREO OFICIAL DE LA REPUBLICA ARGENTINA SOCIEDAD ANONIMA</v>
      </c>
      <c r="I189" s="148">
        <v>3090</v>
      </c>
      <c r="J189" s="54" t="str">
        <f>IFERROR(IF(factura_c_mes11[[#This Row],[CUIT]]="","-",VLOOKUP(factura_c_mes11[[#This Row],[CUIT]],Lista_CUIT[#All],3,0)),"CUIT NO CARGADO")</f>
        <v>MESAJERIA</v>
      </c>
      <c r="K189" s="54">
        <f>IFERROR(IF(factura_c_mes11[[#This Row],[CUIT]]="","-",VLOOKUP(factura_c_mes11[[#This Row],[CUIT]],Lista_CUIT[#All],4,0)),"CUIT NO CARGADO")</f>
        <v>0</v>
      </c>
    </row>
    <row r="190" spans="4:11" x14ac:dyDescent="0.3">
      <c r="D190" s="50">
        <v>44847</v>
      </c>
      <c r="E190" s="42">
        <v>2036</v>
      </c>
      <c r="F190" s="149">
        <v>638813</v>
      </c>
      <c r="G190" s="119">
        <v>30516186670</v>
      </c>
      <c r="H190" s="53" t="str">
        <f>IFERROR(IF(factura_c_mes11[[#This Row],[CUIT]]="","-",VLOOKUP(factura_c_mes11[[#This Row],[CUIT]],Lista_CUIT[#All],2,0)),"CUIT NO CARGADO")</f>
        <v>DEHEZA S.A.I.C.F. e I.</v>
      </c>
      <c r="I190" s="148">
        <v>499.97</v>
      </c>
      <c r="J190" s="54" t="str">
        <f>IFERROR(IF(factura_c_mes11[[#This Row],[CUIT]]="","-",VLOOKUP(factura_c_mes11[[#This Row],[CUIT]],Lista_CUIT[#All],3,0)),"CUIT NO CARGADO")</f>
        <v>COMBUSTIBLE</v>
      </c>
      <c r="K190" s="54" t="str">
        <f>IFERROR(IF(factura_c_mes11[[#This Row],[CUIT]]="","-",VLOOKUP(factura_c_mes11[[#This Row],[CUIT]],Lista_CUIT[#All],4,0)),"CUIT NO CARGADO")</f>
        <v>CABA</v>
      </c>
    </row>
    <row r="191" spans="4:11" x14ac:dyDescent="0.3">
      <c r="D191" s="50">
        <v>44822</v>
      </c>
      <c r="E191" s="42">
        <v>2468</v>
      </c>
      <c r="F191" s="149">
        <v>48473460</v>
      </c>
      <c r="G191" s="119">
        <v>30678814357</v>
      </c>
      <c r="H191" s="53" t="str">
        <f>IFERROR(IF(factura_c_mes11[[#This Row],[CUIT]]="","-",VLOOKUP(factura_c_mes11[[#This Row],[CUIT]],Lista_CUIT[#All],2,0)),"CUIT NO CARGADO")</f>
        <v>TELEFONICA MOVILES ARG</v>
      </c>
      <c r="I191" s="148">
        <v>3576.99</v>
      </c>
      <c r="J191" s="54" t="s">
        <v>123</v>
      </c>
      <c r="K191" s="54">
        <f>IFERROR(IF(factura_c_mes11[[#This Row],[CUIT]]="","-",VLOOKUP(factura_c_mes11[[#This Row],[CUIT]],Lista_CUIT[#All],4,0)),"CUIT NO CARGADO")</f>
        <v>0</v>
      </c>
    </row>
    <row r="192" spans="4:11" x14ac:dyDescent="0.3">
      <c r="D192" s="168"/>
      <c r="E192" s="149"/>
      <c r="F192" s="149"/>
      <c r="G192" s="119"/>
      <c r="H192" s="53" t="str">
        <f>IFERROR(IF(factura_c_mes11[[#This Row],[CUIT]]="","-",VLOOKUP(factura_c_mes11[[#This Row],[CUIT]],Lista_CUIT[#All],2,0)),"CUIT NO CARGADO")</f>
        <v>-</v>
      </c>
      <c r="I192" s="148"/>
      <c r="J192" s="54" t="str">
        <f>IFERROR(IF(factura_c_mes11[[#This Row],[CUIT]]="","-",VLOOKUP(factura_c_mes11[[#This Row],[CUIT]],Lista_CUIT[#All],3,0)),"CUIT NO CARGADO")</f>
        <v>-</v>
      </c>
      <c r="K192" s="54" t="str">
        <f>IFERROR(IF(factura_c_mes11[[#This Row],[CUIT]]="","-",VLOOKUP(factura_c_mes11[[#This Row],[CUIT]],Lista_CUIT[#All],4,0)),"CUIT NO CARGADO")</f>
        <v>-</v>
      </c>
    </row>
    <row r="193" spans="2:18" x14ac:dyDescent="0.3">
      <c r="D193" s="50"/>
      <c r="E193" s="149"/>
      <c r="F193" s="149"/>
      <c r="G193" s="119"/>
      <c r="H193" s="53" t="str">
        <f>IFERROR(IF(factura_c_mes11[[#This Row],[CUIT]]="","-",VLOOKUP(factura_c_mes11[[#This Row],[CUIT]],Lista_CUIT[#All],2,0)),"CUIT NO CARGADO")</f>
        <v>-</v>
      </c>
      <c r="I193" s="148"/>
      <c r="J193" s="54" t="str">
        <f>IFERROR(IF(factura_c_mes11[[#This Row],[CUIT]]="","-",VLOOKUP(factura_c_mes11[[#This Row],[CUIT]],Lista_CUIT[#All],3,0)),"CUIT NO CARGADO")</f>
        <v>-</v>
      </c>
      <c r="K193" s="54" t="str">
        <f>IFERROR(IF(factura_c_mes11[[#This Row],[CUIT]]="","-",VLOOKUP(factura_c_mes11[[#This Row],[CUIT]],Lista_CUIT[#All],4,0)),"CUIT NO CARGADO")</f>
        <v>-</v>
      </c>
    </row>
    <row r="194" spans="2:18" x14ac:dyDescent="0.3">
      <c r="D194" s="50"/>
      <c r="E194" s="149"/>
      <c r="F194" s="43"/>
      <c r="G194" s="119"/>
      <c r="H194" s="53" t="str">
        <f>IFERROR(IF(factura_c_mes11[[#This Row],[CUIT]]="","-",VLOOKUP(factura_c_mes11[[#This Row],[CUIT]],Lista_CUIT[#All],2,0)),"CUIT NO CARGADO")</f>
        <v>-</v>
      </c>
      <c r="I194" s="148"/>
      <c r="J194" s="54" t="str">
        <f>IFERROR(IF(factura_c_mes11[[#This Row],[CUIT]]="","-",VLOOKUP(factura_c_mes11[[#This Row],[CUIT]],Lista_CUIT[#All],3,0)),"CUIT NO CARGADO")</f>
        <v>-</v>
      </c>
      <c r="K194" s="54" t="str">
        <f>IFERROR(IF(factura_c_mes11[[#This Row],[CUIT]]="","-",VLOOKUP(factura_c_mes11[[#This Row],[CUIT]],Lista_CUIT[#All],4,0)),"CUIT NO CARGADO")</f>
        <v>-</v>
      </c>
    </row>
    <row r="195" spans="2:18" x14ac:dyDescent="0.3">
      <c r="D195" s="55" t="s">
        <v>103</v>
      </c>
      <c r="E195" s="55"/>
      <c r="F195" s="55"/>
      <c r="G195" s="55"/>
      <c r="H195" s="57"/>
      <c r="I195" s="58">
        <f>SUBTOTAL(109,factura_c_mes11[TOTAL])</f>
        <v>391844.73</v>
      </c>
      <c r="J195" s="55"/>
      <c r="K195" s="55"/>
    </row>
    <row r="196" spans="2:18" x14ac:dyDescent="0.3">
      <c r="B196" s="56"/>
      <c r="C196" s="56"/>
      <c r="L196" s="56"/>
      <c r="M196" s="56"/>
      <c r="N196" s="56"/>
      <c r="O196" s="56"/>
      <c r="P196" s="56"/>
      <c r="Q196" s="56"/>
      <c r="R196" s="56"/>
    </row>
    <row r="197" spans="2:18" x14ac:dyDescent="0.3">
      <c r="B197" s="56"/>
      <c r="C197" s="56"/>
      <c r="L197" s="56"/>
      <c r="M197" s="56"/>
      <c r="N197" s="56"/>
      <c r="O197" s="56"/>
      <c r="P197" s="56"/>
      <c r="Q197" s="56"/>
      <c r="R197" s="56"/>
    </row>
    <row r="202" spans="2:18" ht="25.8" x14ac:dyDescent="0.3">
      <c r="B202" s="661" t="s">
        <v>29</v>
      </c>
      <c r="C202" s="661"/>
      <c r="D202" s="661"/>
      <c r="E202" s="661"/>
      <c r="F202" s="661"/>
      <c r="G202" s="661"/>
      <c r="H202" s="661"/>
      <c r="I202" s="661"/>
      <c r="J202" s="661"/>
      <c r="K202" s="657">
        <f>N1</f>
        <v>45231</v>
      </c>
      <c r="L202" s="657"/>
      <c r="M202" s="657"/>
    </row>
    <row r="204" spans="2:18" ht="21" x14ac:dyDescent="0.3">
      <c r="B204" s="654" t="s">
        <v>30</v>
      </c>
      <c r="C204" s="654"/>
    </row>
    <row r="205" spans="2:18" ht="15.6" x14ac:dyDescent="0.3">
      <c r="B205" s="60" t="s">
        <v>0</v>
      </c>
      <c r="C205" s="61" t="s">
        <v>1</v>
      </c>
      <c r="D205" s="61" t="s">
        <v>21</v>
      </c>
      <c r="E205" s="61" t="s">
        <v>22</v>
      </c>
      <c r="F205" s="61" t="s">
        <v>3</v>
      </c>
      <c r="G205" s="61" t="s">
        <v>4</v>
      </c>
      <c r="H205" s="61" t="s">
        <v>23</v>
      </c>
      <c r="I205" s="61" t="s">
        <v>17</v>
      </c>
      <c r="J205" s="61" t="s">
        <v>7</v>
      </c>
      <c r="K205" s="61" t="s">
        <v>24</v>
      </c>
      <c r="L205" s="61" t="s">
        <v>10</v>
      </c>
      <c r="M205" s="62" t="s">
        <v>38</v>
      </c>
    </row>
    <row r="206" spans="2:18" x14ac:dyDescent="0.3">
      <c r="B206" s="40"/>
      <c r="C206" s="40"/>
      <c r="D206" s="40"/>
      <c r="E206" s="40"/>
      <c r="F206" s="40"/>
      <c r="G206" s="40" t="str">
        <f>IFERROR(IF(venta_a_mes11[[#This Row],[CUIT]]="","-",VLOOKUP(venta_a_mes11[[#This Row],[CUIT]],Lista_CUIT[#All],2,0)),"CUIT NO CARGADO")</f>
        <v>-</v>
      </c>
      <c r="H206" s="40"/>
      <c r="I206" s="101">
        <f>venta_a_mes11[[#This Row],[IMPORTE NETO]]*0.21</f>
        <v>0</v>
      </c>
      <c r="J206" s="40"/>
      <c r="K206" s="40"/>
      <c r="L206" s="65">
        <f>SUM(venta_a_mes11[[#This Row],[IMPORTE NETO]:[EXENTO]])</f>
        <v>0</v>
      </c>
      <c r="M206" s="40"/>
    </row>
    <row r="207" spans="2:18" x14ac:dyDescent="0.3">
      <c r="B207" s="40"/>
      <c r="C207" s="40"/>
      <c r="D207" s="40"/>
      <c r="E207" s="40"/>
      <c r="F207" s="40"/>
      <c r="G207" s="40" t="str">
        <f>IFERROR(IF(venta_a_mes11[[#This Row],[CUIT]]="","-",VLOOKUP(venta_a_mes11[[#This Row],[CUIT]],Lista_CUIT[#All],2,0)),"CUIT NO CARGADO")</f>
        <v>-</v>
      </c>
      <c r="H207" s="40"/>
      <c r="I207" s="101">
        <f>venta_a_mes11[[#This Row],[IMPORTE NETO]]*0.21</f>
        <v>0</v>
      </c>
      <c r="J207" s="40"/>
      <c r="K207" s="40"/>
      <c r="L207" s="65">
        <f>SUM(venta_a_mes11[[#This Row],[IMPORTE NETO]:[EXENTO]])</f>
        <v>0</v>
      </c>
      <c r="M207" s="40"/>
    </row>
    <row r="208" spans="2:18" x14ac:dyDescent="0.3">
      <c r="B208" s="40"/>
      <c r="C208" s="40"/>
      <c r="D208" s="40"/>
      <c r="E208" s="40"/>
      <c r="F208" s="40"/>
      <c r="G208" s="40" t="str">
        <f>IFERROR(IF(venta_a_mes11[[#This Row],[CUIT]]="","-",VLOOKUP(venta_a_mes11[[#This Row],[CUIT]],Lista_CUIT[#All],2,0)),"CUIT NO CARGADO")</f>
        <v>-</v>
      </c>
      <c r="H208" s="40"/>
      <c r="I208" s="101">
        <f>venta_a_mes11[[#This Row],[IMPORTE NETO]]*0.21</f>
        <v>0</v>
      </c>
      <c r="J208" s="40"/>
      <c r="K208" s="40"/>
      <c r="L208" s="65">
        <f>SUM(venta_a_mes11[[#This Row],[IMPORTE NETO]:[EXENTO]])</f>
        <v>0</v>
      </c>
      <c r="M208" s="40"/>
    </row>
    <row r="209" spans="2:13" x14ac:dyDescent="0.3">
      <c r="B209" s="40"/>
      <c r="C209" s="40"/>
      <c r="D209" s="40"/>
      <c r="E209" s="40"/>
      <c r="F209" s="40"/>
      <c r="G209" s="40" t="str">
        <f>IFERROR(IF(venta_a_mes11[[#This Row],[CUIT]]="","-",VLOOKUP(venta_a_mes11[[#This Row],[CUIT]],Lista_CUIT[#All],2,0)),"CUIT NO CARGADO")</f>
        <v>-</v>
      </c>
      <c r="H209" s="40"/>
      <c r="I209" s="101">
        <f>venta_a_mes11[[#This Row],[IMPORTE NETO]]*0.21</f>
        <v>0</v>
      </c>
      <c r="J209" s="40"/>
      <c r="K209" s="40"/>
      <c r="L209" s="65">
        <f>SUM(venta_a_mes11[[#This Row],[IMPORTE NETO]:[EXENTO]])</f>
        <v>0</v>
      </c>
      <c r="M209" s="40"/>
    </row>
    <row r="210" spans="2:13" x14ac:dyDescent="0.3">
      <c r="B210" s="40"/>
      <c r="C210" s="40"/>
      <c r="D210" s="40"/>
      <c r="E210" s="40"/>
      <c r="F210" s="40"/>
      <c r="G210" s="40" t="str">
        <f>IFERROR(IF(venta_a_mes11[[#This Row],[CUIT]]="","-",VLOOKUP(venta_a_mes11[[#This Row],[CUIT]],Lista_CUIT[#All],2,0)),"CUIT NO CARGADO")</f>
        <v>-</v>
      </c>
      <c r="H210" s="40"/>
      <c r="I210" s="101">
        <f>venta_a_mes11[[#This Row],[IMPORTE NETO]]*0.21</f>
        <v>0</v>
      </c>
      <c r="J210" s="40"/>
      <c r="K210" s="40"/>
      <c r="L210" s="65">
        <f>SUM(venta_a_mes11[[#This Row],[IMPORTE NETO]:[EXENTO]])</f>
        <v>0</v>
      </c>
      <c r="M210" s="40"/>
    </row>
    <row r="211" spans="2:13" x14ac:dyDescent="0.3">
      <c r="B211" s="40"/>
      <c r="C211" s="40"/>
      <c r="D211" s="40"/>
      <c r="E211" s="40"/>
      <c r="F211" s="40"/>
      <c r="G211" s="40" t="str">
        <f>IFERROR(IF(venta_a_mes11[[#This Row],[CUIT]]="","-",VLOOKUP(venta_a_mes11[[#This Row],[CUIT]],Lista_CUIT[#All],2,0)),"CUIT NO CARGADO")</f>
        <v>-</v>
      </c>
      <c r="H211" s="40"/>
      <c r="I211" s="101">
        <f>venta_a_mes11[[#This Row],[IMPORTE NETO]]*0.21</f>
        <v>0</v>
      </c>
      <c r="J211" s="40"/>
      <c r="K211" s="40"/>
      <c r="L211" s="65">
        <f>SUM(venta_a_mes11[[#This Row],[IMPORTE NETO]:[EXENTO]])</f>
        <v>0</v>
      </c>
      <c r="M211" s="40"/>
    </row>
    <row r="212" spans="2:13" x14ac:dyDescent="0.3">
      <c r="B212" s="40"/>
      <c r="C212" s="41"/>
      <c r="D212" s="111"/>
      <c r="E212" s="43"/>
      <c r="F212" s="206"/>
      <c r="G212" s="99" t="str">
        <f>IFERROR(IF(venta_a_mes11[[#This Row],[CUIT]]="","-",VLOOKUP(venta_a_mes11[[#This Row],[CUIT]],Lista_CUIT[#All],2,0)),"CUIT NO CARGADO")</f>
        <v>-</v>
      </c>
      <c r="H212" s="100"/>
      <c r="I212" s="101">
        <f>venta_a_mes11[[#This Row],[IMPORTE NETO]]*0.21</f>
        <v>0</v>
      </c>
      <c r="J212" s="65"/>
      <c r="K212" s="65"/>
      <c r="L212" s="65">
        <f>SUM(venta_a_mes11[[#This Row],[IMPORTE NETO]:[EXENTO]])</f>
        <v>0</v>
      </c>
      <c r="M212" s="63"/>
    </row>
    <row r="213" spans="2:13" x14ac:dyDescent="0.3">
      <c r="B213" s="102"/>
      <c r="C213" s="41"/>
      <c r="D213" s="111"/>
      <c r="E213" s="105"/>
      <c r="F213" s="206"/>
      <c r="G213" s="99" t="str">
        <f>IFERROR(IF(venta_a_mes11[[#This Row],[CUIT]]="","-",VLOOKUP(venta_a_mes11[[#This Row],[CUIT]],Lista_CUIT[#All],2,0)),"CUIT NO CARGADO")</f>
        <v>-</v>
      </c>
      <c r="H213" s="107"/>
      <c r="I213" s="108">
        <f>venta_a_mes11[[#This Row],[IMPORTE NETO]]*0.21</f>
        <v>0</v>
      </c>
      <c r="J213" s="72"/>
      <c r="K213" s="72"/>
      <c r="L213" s="72">
        <f>SUM(venta_a_mes11[[#This Row],[IMPORTE NETO]:[EXENTO]])</f>
        <v>0</v>
      </c>
      <c r="M213" s="63"/>
    </row>
    <row r="214" spans="2:13" x14ac:dyDescent="0.3">
      <c r="B214" s="109"/>
      <c r="C214" s="41"/>
      <c r="D214" s="111"/>
      <c r="E214" s="112"/>
      <c r="F214" s="206"/>
      <c r="G214" s="99" t="str">
        <f>IFERROR(IF(venta_a_mes11[[#This Row],[CUIT]]="","-",VLOOKUP(venta_a_mes11[[#This Row],[CUIT]],Lista_CUIT[#All],2,0)),"CUIT NO CARGADO")</f>
        <v>-</v>
      </c>
      <c r="H214" s="100"/>
      <c r="I214" s="101">
        <f>venta_a_mes11[[#This Row],[IMPORTE NETO]]*0.21</f>
        <v>0</v>
      </c>
      <c r="J214" s="65"/>
      <c r="K214" s="65"/>
      <c r="L214" s="65">
        <f>SUM(venta_a_mes11[[#This Row],[IMPORTE NETO]:[EXENTO]])</f>
        <v>0</v>
      </c>
      <c r="M214" s="59"/>
    </row>
    <row r="215" spans="2:13" x14ac:dyDescent="0.3">
      <c r="B215" s="102"/>
      <c r="C215" s="41"/>
      <c r="D215" s="111"/>
      <c r="E215" s="105"/>
      <c r="F215" s="206"/>
      <c r="G215" s="177" t="str">
        <f>IFERROR(IF(venta_a_mes11[[#This Row],[CUIT]]="","-",VLOOKUP(venta_a_mes11[[#This Row],[CUIT]],Lista_CUIT[#All],2,0)),"CUIT NO CARGADO")</f>
        <v>-</v>
      </c>
      <c r="H215" s="107"/>
      <c r="I215" s="108">
        <f>venta_a_mes11[[#This Row],[IMPORTE NETO]]*0.21</f>
        <v>0</v>
      </c>
      <c r="J215" s="72"/>
      <c r="K215" s="72"/>
      <c r="L215" s="72">
        <f>SUM(venta_a_mes11[[#This Row],[IMPORTE NETO]:[EXENTO]])</f>
        <v>0</v>
      </c>
      <c r="M215" s="63"/>
    </row>
    <row r="216" spans="2:13" x14ac:dyDescent="0.3">
      <c r="B216" s="102"/>
      <c r="C216" s="41"/>
      <c r="D216" s="111"/>
      <c r="E216" s="105"/>
      <c r="F216" s="206"/>
      <c r="G216" s="177" t="str">
        <f>IFERROR(IF(venta_a_mes11[[#This Row],[CUIT]]="","-",VLOOKUP(venta_a_mes11[[#This Row],[CUIT]],Lista_CUIT[#All],2,0)),"CUIT NO CARGADO")</f>
        <v>-</v>
      </c>
      <c r="H216" s="107"/>
      <c r="I216" s="108">
        <f>venta_a_mes11[[#This Row],[IMPORTE NETO]]*0.21</f>
        <v>0</v>
      </c>
      <c r="J216" s="72"/>
      <c r="K216" s="72"/>
      <c r="L216" s="72">
        <f>SUM(venta_a_mes11[[#This Row],[IMPORTE NETO]:[EXENTO]])</f>
        <v>0</v>
      </c>
      <c r="M216" s="63"/>
    </row>
    <row r="217" spans="2:13" x14ac:dyDescent="0.3">
      <c r="B217" s="109"/>
      <c r="C217" s="41"/>
      <c r="D217" s="111"/>
      <c r="E217" s="112"/>
      <c r="F217" s="206"/>
      <c r="G217" s="99" t="str">
        <f>IFERROR(IF(venta_a_mes11[[#This Row],[CUIT]]="","-",VLOOKUP(venta_a_mes11[[#This Row],[CUIT]],Lista_CUIT[#All],2,0)),"CUIT NO CARGADO")</f>
        <v>-</v>
      </c>
      <c r="H217" s="100"/>
      <c r="I217" s="101">
        <f>venta_a_mes11[[#This Row],[IMPORTE NETO]]*0.21</f>
        <v>0</v>
      </c>
      <c r="J217" s="65"/>
      <c r="K217" s="65"/>
      <c r="L217" s="65">
        <f>SUM(venta_a_mes11[[#This Row],[IMPORTE NETO]:[EXENTO]])</f>
        <v>0</v>
      </c>
      <c r="M217" s="59"/>
    </row>
    <row r="218" spans="2:13" x14ac:dyDescent="0.3">
      <c r="B218" s="201"/>
      <c r="C218" s="41"/>
      <c r="D218" s="111"/>
      <c r="E218" s="204"/>
      <c r="F218" s="206"/>
      <c r="G218" s="99" t="str">
        <f>IFERROR(IF(venta_a_mes11[[#This Row],[CUIT]]="","-",VLOOKUP(venta_a_mes11[[#This Row],[CUIT]],Lista_CUIT[#All],2,0)),"CUIT NO CARGADO")</f>
        <v>-</v>
      </c>
      <c r="H218" s="100"/>
      <c r="I218" s="101">
        <f>venta_a_mes11[[#This Row],[IMPORTE NETO]]*0.21</f>
        <v>0</v>
      </c>
      <c r="J218" s="65"/>
      <c r="K218" s="65"/>
      <c r="L218" s="65">
        <f>SUM(venta_a_mes11[[#This Row],[IMPORTE NETO]:[EXENTO]])</f>
        <v>0</v>
      </c>
      <c r="M218" s="59"/>
    </row>
    <row r="219" spans="2:13" x14ac:dyDescent="0.3">
      <c r="B219" s="201"/>
      <c r="C219" s="41"/>
      <c r="D219" s="111"/>
      <c r="E219" s="204"/>
      <c r="F219" s="206"/>
      <c r="G219" s="99" t="str">
        <f>IFERROR(IF(venta_a_mes11[[#This Row],[CUIT]]="","-",VLOOKUP(venta_a_mes11[[#This Row],[CUIT]],Lista_CUIT[#All],2,0)),"CUIT NO CARGADO")</f>
        <v>-</v>
      </c>
      <c r="H219" s="100"/>
      <c r="I219" s="101">
        <f>venta_a_mes11[[#This Row],[IMPORTE NETO]]*0.21</f>
        <v>0</v>
      </c>
      <c r="J219" s="65"/>
      <c r="K219" s="65"/>
      <c r="L219" s="65">
        <f>SUM(venta_a_mes11[[#This Row],[IMPORTE NETO]:[EXENTO]])</f>
        <v>0</v>
      </c>
      <c r="M219" s="59"/>
    </row>
    <row r="220" spans="2:13" x14ac:dyDescent="0.3">
      <c r="B220" s="201"/>
      <c r="C220" s="41"/>
      <c r="D220" s="111"/>
      <c r="E220" s="204"/>
      <c r="F220" s="206"/>
      <c r="G220" s="99" t="str">
        <f>IFERROR(IF(venta_a_mes11[[#This Row],[CUIT]]="","-",VLOOKUP(venta_a_mes11[[#This Row],[CUIT]],Lista_CUIT[#All],2,0)),"CUIT NO CARGADO")</f>
        <v>-</v>
      </c>
      <c r="H220" s="100"/>
      <c r="I220" s="101">
        <f>venta_a_mes11[[#This Row],[IMPORTE NETO]]*0.21</f>
        <v>0</v>
      </c>
      <c r="J220" s="65"/>
      <c r="K220" s="65"/>
      <c r="L220" s="65">
        <f>SUM(venta_a_mes11[[#This Row],[IMPORTE NETO]:[EXENTO]])</f>
        <v>0</v>
      </c>
      <c r="M220" s="59"/>
    </row>
    <row r="221" spans="2:13" x14ac:dyDescent="0.3">
      <c r="B221" s="201"/>
      <c r="C221" s="41"/>
      <c r="D221" s="111"/>
      <c r="E221" s="204"/>
      <c r="F221" s="206"/>
      <c r="G221" s="99" t="str">
        <f>IFERROR(IF(venta_a_mes11[[#This Row],[CUIT]]="","-",VLOOKUP(venta_a_mes11[[#This Row],[CUIT]],Lista_CUIT[#All],2,0)),"CUIT NO CARGADO")</f>
        <v>-</v>
      </c>
      <c r="H221" s="100"/>
      <c r="I221" s="101">
        <f>venta_a_mes11[[#This Row],[IMPORTE NETO]]*0.21</f>
        <v>0</v>
      </c>
      <c r="J221" s="65"/>
      <c r="K221" s="65"/>
      <c r="L221" s="65">
        <f>SUM(venta_a_mes11[[#This Row],[IMPORTE NETO]:[EXENTO]])</f>
        <v>0</v>
      </c>
      <c r="M221" s="59"/>
    </row>
    <row r="222" spans="2:13" x14ac:dyDescent="0.3">
      <c r="B222" s="109"/>
      <c r="C222" s="41"/>
      <c r="D222" s="111"/>
      <c r="E222" s="112"/>
      <c r="F222" s="206"/>
      <c r="G222" s="99" t="str">
        <f>IFERROR(IF(venta_a_mes11[[#This Row],[CUIT]]="","-",VLOOKUP(venta_a_mes11[[#This Row],[CUIT]],Lista_CUIT[#All],2,0)),"CUIT NO CARGADO")</f>
        <v>-</v>
      </c>
      <c r="H222" s="100"/>
      <c r="I222" s="101">
        <f>venta_a_mes11[[#This Row],[IMPORTE NETO]]*0.21</f>
        <v>0</v>
      </c>
      <c r="J222" s="65"/>
      <c r="K222" s="65"/>
      <c r="L222" s="65">
        <f>SUM(venta_a_mes11[[#This Row],[IMPORTE NETO]:[EXENTO]])</f>
        <v>0</v>
      </c>
      <c r="M222" s="59"/>
    </row>
    <row r="223" spans="2:13" x14ac:dyDescent="0.3">
      <c r="B223" s="109"/>
      <c r="C223" s="41"/>
      <c r="D223" s="111"/>
      <c r="E223" s="112"/>
      <c r="F223" s="206"/>
      <c r="G223" s="99" t="str">
        <f>IFERROR(IF(venta_a_mes11[[#This Row],[CUIT]]="","-",VLOOKUP(venta_a_mes11[[#This Row],[CUIT]],Lista_CUIT[#All],2,0)),"CUIT NO CARGADO")</f>
        <v>-</v>
      </c>
      <c r="H223" s="100"/>
      <c r="I223" s="101">
        <f>venta_a_mes11[[#This Row],[IMPORTE NETO]]*0.21</f>
        <v>0</v>
      </c>
      <c r="J223" s="65"/>
      <c r="K223" s="65"/>
      <c r="L223" s="65">
        <f>SUM(venta_a_mes11[[#This Row],[IMPORTE NETO]:[EXENTO]])</f>
        <v>0</v>
      </c>
      <c r="M223" s="59"/>
    </row>
    <row r="224" spans="2:13" x14ac:dyDescent="0.3">
      <c r="B224" s="109"/>
      <c r="C224" s="41"/>
      <c r="D224" s="111"/>
      <c r="E224" s="112"/>
      <c r="F224" s="206"/>
      <c r="G224" s="99" t="str">
        <f>IFERROR(IF(venta_a_mes11[[#This Row],[CUIT]]="","-",VLOOKUP(venta_a_mes11[[#This Row],[CUIT]],Lista_CUIT[#All],2,0)),"CUIT NO CARGADO")</f>
        <v>-</v>
      </c>
      <c r="H224" s="100"/>
      <c r="I224" s="101">
        <f>venta_a_mes11[[#This Row],[IMPORTE NETO]]*0.21</f>
        <v>0</v>
      </c>
      <c r="J224" s="65"/>
      <c r="K224" s="65"/>
      <c r="L224" s="65">
        <f>SUM(venta_a_mes11[[#This Row],[IMPORTE NETO]:[EXENTO]])</f>
        <v>0</v>
      </c>
      <c r="M224" s="59"/>
    </row>
    <row r="225" spans="2:13" x14ac:dyDescent="0.3">
      <c r="B225" s="109"/>
      <c r="C225" s="41"/>
      <c r="D225" s="111"/>
      <c r="E225" s="112"/>
      <c r="F225" s="206"/>
      <c r="G225" s="99" t="str">
        <f>IFERROR(IF(venta_a_mes11[[#This Row],[CUIT]]="","-",VLOOKUP(venta_a_mes11[[#This Row],[CUIT]],Lista_CUIT[#All],2,0)),"CUIT NO CARGADO")</f>
        <v>-</v>
      </c>
      <c r="H225" s="100"/>
      <c r="I225" s="101">
        <f>venta_a_mes11[[#This Row],[IMPORTE NETO]]*0.21</f>
        <v>0</v>
      </c>
      <c r="J225" s="65"/>
      <c r="K225" s="65"/>
      <c r="L225" s="65">
        <f>SUM(venta_a_mes11[[#This Row],[IMPORTE NETO]:[EXENTO]])</f>
        <v>0</v>
      </c>
      <c r="M225" s="59"/>
    </row>
    <row r="226" spans="2:13" x14ac:dyDescent="0.3">
      <c r="B226" s="109"/>
      <c r="C226" s="41"/>
      <c r="D226" s="111"/>
      <c r="E226" s="112"/>
      <c r="F226" s="206"/>
      <c r="G226" s="99" t="str">
        <f>IFERROR(IF(venta_a_mes11[[#This Row],[CUIT]]="","-",VLOOKUP(venta_a_mes11[[#This Row],[CUIT]],Lista_CUIT[#All],2,0)),"CUIT NO CARGADO")</f>
        <v>-</v>
      </c>
      <c r="H226" s="100"/>
      <c r="I226" s="101">
        <f>venta_a_mes11[[#This Row],[IMPORTE NETO]]*0.21</f>
        <v>0</v>
      </c>
      <c r="J226" s="65"/>
      <c r="K226" s="65"/>
      <c r="L226" s="65">
        <f>SUM(venta_a_mes11[[#This Row],[IMPORTE NETO]:[EXENTO]])</f>
        <v>0</v>
      </c>
      <c r="M226" s="59"/>
    </row>
    <row r="227" spans="2:13" x14ac:dyDescent="0.3">
      <c r="B227" s="109"/>
      <c r="C227" s="41"/>
      <c r="D227" s="111"/>
      <c r="E227" s="112"/>
      <c r="F227" s="206"/>
      <c r="G227" s="99" t="str">
        <f>IFERROR(IF(venta_a_mes11[[#This Row],[CUIT]]="","-",VLOOKUP(venta_a_mes11[[#This Row],[CUIT]],Lista_CUIT[#All],2,0)),"CUIT NO CARGADO")</f>
        <v>-</v>
      </c>
      <c r="H227" s="100"/>
      <c r="I227" s="101">
        <f>venta_a_mes11[[#This Row],[IMPORTE NETO]]*0.21</f>
        <v>0</v>
      </c>
      <c r="J227" s="65"/>
      <c r="K227" s="65"/>
      <c r="L227" s="65">
        <f>SUM(venta_a_mes11[[#This Row],[IMPORTE NETO]:[EXENTO]])</f>
        <v>0</v>
      </c>
      <c r="M227" s="59"/>
    </row>
    <row r="228" spans="2:13" x14ac:dyDescent="0.3">
      <c r="B228" s="109"/>
      <c r="C228" s="41"/>
      <c r="D228" s="111"/>
      <c r="E228" s="112"/>
      <c r="F228" s="206"/>
      <c r="G228" s="99" t="str">
        <f>IFERROR(IF(venta_a_mes11[[#This Row],[CUIT]]="","-",VLOOKUP(venta_a_mes11[[#This Row],[CUIT]],Lista_CUIT[#All],2,0)),"CUIT NO CARGADO")</f>
        <v>-</v>
      </c>
      <c r="H228" s="100"/>
      <c r="I228" s="101">
        <f>venta_a_mes11[[#This Row],[IMPORTE NETO]]*0.21</f>
        <v>0</v>
      </c>
      <c r="J228" s="65"/>
      <c r="K228" s="65"/>
      <c r="L228" s="65">
        <f>SUM(venta_a_mes11[[#This Row],[IMPORTE NETO]:[EXENTO]])</f>
        <v>0</v>
      </c>
      <c r="M228" s="59"/>
    </row>
    <row r="229" spans="2:13" x14ac:dyDescent="0.3">
      <c r="B229" s="109"/>
      <c r="C229" s="41"/>
      <c r="D229" s="111"/>
      <c r="E229" s="112"/>
      <c r="F229" s="206"/>
      <c r="G229" s="99" t="str">
        <f>IFERROR(IF(venta_a_mes11[[#This Row],[CUIT]]="","-",VLOOKUP(venta_a_mes11[[#This Row],[CUIT]],Lista_CUIT[#All],2,0)),"CUIT NO CARGADO")</f>
        <v>-</v>
      </c>
      <c r="H229" s="100"/>
      <c r="I229" s="101">
        <f>venta_a_mes11[[#This Row],[IMPORTE NETO]]*0.21</f>
        <v>0</v>
      </c>
      <c r="J229" s="65"/>
      <c r="K229" s="65"/>
      <c r="L229" s="65">
        <f>SUM(venta_a_mes11[[#This Row],[IMPORTE NETO]:[EXENTO]])</f>
        <v>0</v>
      </c>
      <c r="M229" s="59"/>
    </row>
    <row r="230" spans="2:13" x14ac:dyDescent="0.3">
      <c r="B230" s="109"/>
      <c r="C230" s="41"/>
      <c r="D230" s="111"/>
      <c r="E230" s="112"/>
      <c r="F230" s="206"/>
      <c r="G230" s="99" t="str">
        <f>IFERROR(IF(venta_a_mes11[[#This Row],[CUIT]]="","-",VLOOKUP(venta_a_mes11[[#This Row],[CUIT]],Lista_CUIT[#All],2,0)),"CUIT NO CARGADO")</f>
        <v>-</v>
      </c>
      <c r="H230" s="100"/>
      <c r="I230" s="101">
        <f>venta_a_mes11[[#This Row],[IMPORTE NETO]]*0.21</f>
        <v>0</v>
      </c>
      <c r="J230" s="65"/>
      <c r="K230" s="65"/>
      <c r="L230" s="65">
        <f>SUM(venta_a_mes11[[#This Row],[IMPORTE NETO]:[EXENTO]])</f>
        <v>0</v>
      </c>
      <c r="M230" s="59"/>
    </row>
    <row r="231" spans="2:13" x14ac:dyDescent="0.3">
      <c r="B231" s="109"/>
      <c r="C231" s="41"/>
      <c r="D231" s="111"/>
      <c r="E231" s="112"/>
      <c r="F231" s="206"/>
      <c r="G231" s="99" t="str">
        <f>IFERROR(IF(venta_a_mes11[[#This Row],[CUIT]]="","-",VLOOKUP(venta_a_mes11[[#This Row],[CUIT]],Lista_CUIT[#All],2,0)),"CUIT NO CARGADO")</f>
        <v>-</v>
      </c>
      <c r="H231" s="100"/>
      <c r="I231" s="101">
        <f>venta_a_mes11[[#This Row],[IMPORTE NETO]]*0.21</f>
        <v>0</v>
      </c>
      <c r="J231" s="65"/>
      <c r="K231" s="65"/>
      <c r="L231" s="65">
        <f>SUM(venta_a_mes11[[#This Row],[IMPORTE NETO]:[EXENTO]])</f>
        <v>0</v>
      </c>
      <c r="M231" s="59"/>
    </row>
    <row r="232" spans="2:13" x14ac:dyDescent="0.3">
      <c r="B232" s="109"/>
      <c r="C232" s="41"/>
      <c r="D232" s="111"/>
      <c r="E232" s="112"/>
      <c r="F232" s="206"/>
      <c r="G232" s="99" t="str">
        <f>IFERROR(IF(venta_a_mes11[[#This Row],[CUIT]]="","-",VLOOKUP(venta_a_mes11[[#This Row],[CUIT]],Lista_CUIT[#All],2,0)),"CUIT NO CARGADO")</f>
        <v>-</v>
      </c>
      <c r="H232" s="100"/>
      <c r="I232" s="101">
        <f>venta_a_mes11[[#This Row],[IMPORTE NETO]]*0.21</f>
        <v>0</v>
      </c>
      <c r="J232" s="65"/>
      <c r="K232" s="65"/>
      <c r="L232" s="65">
        <f>SUM(venta_a_mes11[[#This Row],[IMPORTE NETO]:[EXENTO]])</f>
        <v>0</v>
      </c>
      <c r="M232" s="59"/>
    </row>
    <row r="233" spans="2:13" x14ac:dyDescent="0.3">
      <c r="B233" s="109"/>
      <c r="C233" s="41"/>
      <c r="D233" s="111"/>
      <c r="E233" s="112"/>
      <c r="F233" s="206"/>
      <c r="G233" s="99" t="str">
        <f>IFERROR(IF(venta_a_mes11[[#This Row],[CUIT]]="","-",VLOOKUP(venta_a_mes11[[#This Row],[CUIT]],Lista_CUIT[#All],2,0)),"CUIT NO CARGADO")</f>
        <v>-</v>
      </c>
      <c r="H233" s="100"/>
      <c r="I233" s="101">
        <f>venta_a_mes11[[#This Row],[IMPORTE NETO]]*0.21</f>
        <v>0</v>
      </c>
      <c r="J233" s="65"/>
      <c r="K233" s="65"/>
      <c r="L233" s="65">
        <f>SUM(venta_a_mes11[[#This Row],[IMPORTE NETO]:[EXENTO]])</f>
        <v>0</v>
      </c>
      <c r="M233" s="59"/>
    </row>
    <row r="234" spans="2:13" x14ac:dyDescent="0.3">
      <c r="B234" s="109"/>
      <c r="C234" s="41"/>
      <c r="D234" s="111"/>
      <c r="E234" s="112"/>
      <c r="F234" s="206"/>
      <c r="G234" s="99" t="str">
        <f>IFERROR(IF(venta_a_mes11[[#This Row],[CUIT]]="","-",VLOOKUP(venta_a_mes11[[#This Row],[CUIT]],Lista_CUIT[#All],2,0)),"CUIT NO CARGADO")</f>
        <v>-</v>
      </c>
      <c r="H234" s="100"/>
      <c r="I234" s="101">
        <f>venta_a_mes11[[#This Row],[IMPORTE NETO]]*0.21</f>
        <v>0</v>
      </c>
      <c r="J234" s="65"/>
      <c r="K234" s="65"/>
      <c r="L234" s="65">
        <f>SUM(venta_a_mes11[[#This Row],[IMPORTE NETO]:[EXENTO]])</f>
        <v>0</v>
      </c>
      <c r="M234" s="59"/>
    </row>
    <row r="235" spans="2:13" x14ac:dyDescent="0.3">
      <c r="B235" s="109"/>
      <c r="C235" s="41"/>
      <c r="D235" s="111"/>
      <c r="E235" s="112"/>
      <c r="F235" s="206"/>
      <c r="G235" s="99" t="str">
        <f>IFERROR(IF(venta_a_mes11[[#This Row],[CUIT]]="","-",VLOOKUP(venta_a_mes11[[#This Row],[CUIT]],Lista_CUIT[#All],2,0)),"CUIT NO CARGADO")</f>
        <v>-</v>
      </c>
      <c r="H235" s="100"/>
      <c r="I235" s="101">
        <f>venta_a_mes11[[#This Row],[IMPORTE NETO]]*0.21</f>
        <v>0</v>
      </c>
      <c r="J235" s="65"/>
      <c r="K235" s="65"/>
      <c r="L235" s="65">
        <f>SUM(venta_a_mes11[[#This Row],[IMPORTE NETO]:[EXENTO]])</f>
        <v>0</v>
      </c>
      <c r="M235" s="59"/>
    </row>
    <row r="236" spans="2:13" x14ac:dyDescent="0.3">
      <c r="B236" s="109"/>
      <c r="C236" s="41"/>
      <c r="D236" s="111"/>
      <c r="E236" s="112"/>
      <c r="F236" s="206"/>
      <c r="G236" s="99" t="str">
        <f>IFERROR(IF(venta_a_mes11[[#This Row],[CUIT]]="","-",VLOOKUP(venta_a_mes11[[#This Row],[CUIT]],Lista_CUIT[#All],2,0)),"CUIT NO CARGADO")</f>
        <v>-</v>
      </c>
      <c r="H236" s="100"/>
      <c r="I236" s="101">
        <f>venta_a_mes11[[#This Row],[IMPORTE NETO]]*0.21</f>
        <v>0</v>
      </c>
      <c r="J236" s="65"/>
      <c r="K236" s="65"/>
      <c r="L236" s="65">
        <f>SUM(venta_a_mes11[[#This Row],[IMPORTE NETO]:[EXENTO]])</f>
        <v>0</v>
      </c>
      <c r="M236" s="59"/>
    </row>
    <row r="237" spans="2:13" x14ac:dyDescent="0.3">
      <c r="B237" s="109"/>
      <c r="C237" s="41"/>
      <c r="D237" s="111"/>
      <c r="E237" s="112"/>
      <c r="F237" s="206"/>
      <c r="G237" s="99" t="str">
        <f>IFERROR(IF(venta_a_mes11[[#This Row],[CUIT]]="","-",VLOOKUP(venta_a_mes11[[#This Row],[CUIT]],Lista_CUIT[#All],2,0)),"CUIT NO CARGADO")</f>
        <v>-</v>
      </c>
      <c r="H237" s="100"/>
      <c r="I237" s="101">
        <f>venta_a_mes11[[#This Row],[IMPORTE NETO]]*0.21</f>
        <v>0</v>
      </c>
      <c r="J237" s="65"/>
      <c r="K237" s="65"/>
      <c r="L237" s="65">
        <f>SUM(venta_a_mes11[[#This Row],[IMPORTE NETO]:[EXENTO]])</f>
        <v>0</v>
      </c>
      <c r="M237" s="59"/>
    </row>
    <row r="238" spans="2:13" x14ac:dyDescent="0.3">
      <c r="B238" s="109"/>
      <c r="C238" s="41"/>
      <c r="D238" s="111"/>
      <c r="E238" s="112"/>
      <c r="F238" s="206"/>
      <c r="G238" s="99" t="str">
        <f>IFERROR(IF(venta_a_mes11[[#This Row],[CUIT]]="","-",VLOOKUP(venta_a_mes11[[#This Row],[CUIT]],Lista_CUIT[#All],2,0)),"CUIT NO CARGADO")</f>
        <v>-</v>
      </c>
      <c r="H238" s="100"/>
      <c r="I238" s="101">
        <f>venta_a_mes11[[#This Row],[IMPORTE NETO]]*0.21</f>
        <v>0</v>
      </c>
      <c r="J238" s="65"/>
      <c r="K238" s="65"/>
      <c r="L238" s="65">
        <f>SUM(venta_a_mes11[[#This Row],[IMPORTE NETO]:[EXENTO]])</f>
        <v>0</v>
      </c>
      <c r="M238" s="59"/>
    </row>
    <row r="239" spans="2:13" x14ac:dyDescent="0.3">
      <c r="B239" s="109"/>
      <c r="C239" s="41"/>
      <c r="D239" s="111"/>
      <c r="E239" s="112"/>
      <c r="F239" s="206"/>
      <c r="G239" s="99" t="str">
        <f>IFERROR(IF(venta_a_mes11[[#This Row],[CUIT]]="","-",VLOOKUP(venta_a_mes11[[#This Row],[CUIT]],Lista_CUIT[#All],2,0)),"CUIT NO CARGADO")</f>
        <v>-</v>
      </c>
      <c r="H239" s="100"/>
      <c r="I239" s="101">
        <f>venta_a_mes11[[#This Row],[IMPORTE NETO]]*0.21</f>
        <v>0</v>
      </c>
      <c r="J239" s="65"/>
      <c r="K239" s="65"/>
      <c r="L239" s="65">
        <f>SUM(venta_a_mes11[[#This Row],[IMPORTE NETO]:[EXENTO]])</f>
        <v>0</v>
      </c>
      <c r="M239" s="59"/>
    </row>
    <row r="240" spans="2:13" x14ac:dyDescent="0.3">
      <c r="B240" s="109"/>
      <c r="C240" s="41"/>
      <c r="D240" s="111"/>
      <c r="E240" s="112"/>
      <c r="F240" s="206"/>
      <c r="G240" s="99" t="str">
        <f>IFERROR(IF(venta_a_mes11[[#This Row],[CUIT]]="","-",VLOOKUP(venta_a_mes11[[#This Row],[CUIT]],Lista_CUIT[#All],2,0)),"CUIT NO CARGADO")</f>
        <v>-</v>
      </c>
      <c r="H240" s="100"/>
      <c r="I240" s="101">
        <f>venta_a_mes11[[#This Row],[IMPORTE NETO]]*0.21</f>
        <v>0</v>
      </c>
      <c r="J240" s="65"/>
      <c r="K240" s="65"/>
      <c r="L240" s="65">
        <f>SUM(venta_a_mes11[[#This Row],[IMPORTE NETO]:[EXENTO]])</f>
        <v>0</v>
      </c>
      <c r="M240" s="59"/>
    </row>
    <row r="241" spans="2:13" x14ac:dyDescent="0.3">
      <c r="B241" s="109"/>
      <c r="C241" s="202"/>
      <c r="D241" s="111"/>
      <c r="E241" s="112"/>
      <c r="F241" s="206"/>
      <c r="G241" s="99" t="str">
        <f>IFERROR(IF(venta_a_mes11[[#This Row],[CUIT]]="","-",VLOOKUP(venta_a_mes11[[#This Row],[CUIT]],Lista_CUIT[#All],2,0)),"CUIT NO CARGADO")</f>
        <v>-</v>
      </c>
      <c r="H241" s="100"/>
      <c r="I241" s="101">
        <f>venta_a_mes11[[#This Row],[IMPORTE NETO]]*0.21</f>
        <v>0</v>
      </c>
      <c r="J241" s="65"/>
      <c r="K241" s="65"/>
      <c r="L241" s="65">
        <f>SUM(venta_a_mes11[[#This Row],[IMPORTE NETO]:[EXENTO]])</f>
        <v>0</v>
      </c>
      <c r="M241" s="59"/>
    </row>
    <row r="242" spans="2:13" x14ac:dyDescent="0.3">
      <c r="B242" s="109"/>
      <c r="C242" s="202"/>
      <c r="D242" s="111"/>
      <c r="E242" s="112"/>
      <c r="F242" s="206"/>
      <c r="G242" s="99" t="str">
        <f>IFERROR(IF(venta_a_mes11[[#This Row],[CUIT]]="","-",VLOOKUP(venta_a_mes11[[#This Row],[CUIT]],Lista_CUIT[#All],2,0)),"CUIT NO CARGADO")</f>
        <v>-</v>
      </c>
      <c r="H242" s="100"/>
      <c r="I242" s="101">
        <f>venta_a_mes11[[#This Row],[IMPORTE NETO]]*0.21</f>
        <v>0</v>
      </c>
      <c r="J242" s="65"/>
      <c r="K242" s="65"/>
      <c r="L242" s="65">
        <f>SUM(venta_a_mes11[[#This Row],[IMPORTE NETO]:[EXENTO]])</f>
        <v>0</v>
      </c>
      <c r="M242" s="59"/>
    </row>
    <row r="243" spans="2:13" x14ac:dyDescent="0.3">
      <c r="B243" s="109"/>
      <c r="C243" s="202"/>
      <c r="D243" s="111"/>
      <c r="E243" s="112"/>
      <c r="F243" s="206"/>
      <c r="G243" s="99" t="str">
        <f>IFERROR(IF(venta_a_mes11[[#This Row],[CUIT]]="","-",VLOOKUP(venta_a_mes11[[#This Row],[CUIT]],Lista_CUIT[#All],2,0)),"CUIT NO CARGADO")</f>
        <v>-</v>
      </c>
      <c r="H243" s="100"/>
      <c r="I243" s="101">
        <f>venta_a_mes11[[#This Row],[IMPORTE NETO]]*0.21</f>
        <v>0</v>
      </c>
      <c r="J243" s="65"/>
      <c r="K243" s="65"/>
      <c r="L243" s="65">
        <f>SUM(venta_a_mes11[[#This Row],[IMPORTE NETO]:[EXENTO]])</f>
        <v>0</v>
      </c>
      <c r="M243" s="59"/>
    </row>
    <row r="244" spans="2:13" x14ac:dyDescent="0.3">
      <c r="B244" s="109"/>
      <c r="C244" s="41"/>
      <c r="D244" s="111"/>
      <c r="E244" s="112"/>
      <c r="F244" s="206"/>
      <c r="G244" s="99" t="str">
        <f>IFERROR(IF(venta_a_mes11[[#This Row],[CUIT]]="","-",VLOOKUP(venta_a_mes11[[#This Row],[CUIT]],Lista_CUIT[#All],2,0)),"CUIT NO CARGADO")</f>
        <v>-</v>
      </c>
      <c r="H244" s="100"/>
      <c r="I244" s="101">
        <f>venta_a_mes11[[#This Row],[IMPORTE NETO]]*0.21</f>
        <v>0</v>
      </c>
      <c r="J244" s="65"/>
      <c r="K244" s="65"/>
      <c r="L244" s="65">
        <f>SUM(venta_a_mes11[[#This Row],[IMPORTE NETO]:[EXENTO]])</f>
        <v>0</v>
      </c>
      <c r="M244" s="59"/>
    </row>
    <row r="245" spans="2:13" x14ac:dyDescent="0.3">
      <c r="B245" s="109"/>
      <c r="C245" s="41"/>
      <c r="D245" s="111"/>
      <c r="E245" s="112"/>
      <c r="F245" s="206"/>
      <c r="G245" s="99" t="str">
        <f>IFERROR(IF(venta_a_mes11[[#This Row],[CUIT]]="","-",VLOOKUP(venta_a_mes11[[#This Row],[CUIT]],Lista_CUIT[#All],2,0)),"CUIT NO CARGADO")</f>
        <v>-</v>
      </c>
      <c r="H245" s="100"/>
      <c r="I245" s="101">
        <f>venta_a_mes11[[#This Row],[IMPORTE NETO]]*0.21</f>
        <v>0</v>
      </c>
      <c r="J245" s="65"/>
      <c r="K245" s="65"/>
      <c r="L245" s="65">
        <f>SUM(venta_a_mes11[[#This Row],[IMPORTE NETO]:[EXENTO]])</f>
        <v>0</v>
      </c>
      <c r="M245" s="59"/>
    </row>
    <row r="246" spans="2:13" x14ac:dyDescent="0.3">
      <c r="B246" s="109"/>
      <c r="C246" s="202"/>
      <c r="D246" s="111"/>
      <c r="E246" s="112"/>
      <c r="F246" s="206"/>
      <c r="G246" s="99" t="str">
        <f>IFERROR(IF(venta_a_mes11[[#This Row],[CUIT]]="","-",VLOOKUP(venta_a_mes11[[#This Row],[CUIT]],Lista_CUIT[#All],2,0)),"CUIT NO CARGADO")</f>
        <v>-</v>
      </c>
      <c r="H246" s="100"/>
      <c r="I246" s="101">
        <f>venta_a_mes11[[#This Row],[IMPORTE NETO]]*0.21</f>
        <v>0</v>
      </c>
      <c r="J246" s="65"/>
      <c r="K246" s="65"/>
      <c r="L246" s="65">
        <f>SUM(venta_a_mes11[[#This Row],[IMPORTE NETO]:[EXENTO]])</f>
        <v>0</v>
      </c>
      <c r="M246" s="59"/>
    </row>
    <row r="247" spans="2:13" x14ac:dyDescent="0.3">
      <c r="B247" s="109"/>
      <c r="C247" s="110"/>
      <c r="D247" s="111"/>
      <c r="E247" s="112"/>
      <c r="F247" s="206"/>
      <c r="G247" s="99" t="str">
        <f>IFERROR(IF(venta_a_mes11[[#This Row],[CUIT]]="","-",VLOOKUP(venta_a_mes11[[#This Row],[CUIT]],Lista_CUIT[#All],2,0)),"CUIT NO CARGADO")</f>
        <v>-</v>
      </c>
      <c r="H247" s="100"/>
      <c r="I247" s="101">
        <f>venta_a_mes11[[#This Row],[IMPORTE NETO]]*0.21</f>
        <v>0</v>
      </c>
      <c r="J247" s="65"/>
      <c r="K247" s="65"/>
      <c r="L247" s="65">
        <f>SUM(venta_a_mes11[[#This Row],[IMPORTE NETO]:[EXENTO]])</f>
        <v>0</v>
      </c>
      <c r="M247" s="59"/>
    </row>
    <row r="248" spans="2:13" x14ac:dyDescent="0.3">
      <c r="B248" s="109"/>
      <c r="C248" s="110"/>
      <c r="D248" s="111"/>
      <c r="E248" s="112"/>
      <c r="F248" s="206"/>
      <c r="G248" s="99" t="str">
        <f>IFERROR(IF(venta_a_mes11[[#This Row],[CUIT]]="","-",VLOOKUP(venta_a_mes11[[#This Row],[CUIT]],Lista_CUIT[#All],2,0)),"CUIT NO CARGADO")</f>
        <v>-</v>
      </c>
      <c r="H248" s="100"/>
      <c r="I248" s="101">
        <f>venta_a_mes11[[#This Row],[IMPORTE NETO]]*0.21</f>
        <v>0</v>
      </c>
      <c r="J248" s="65"/>
      <c r="K248" s="65"/>
      <c r="L248" s="65">
        <f>SUM(venta_a_mes11[[#This Row],[IMPORTE NETO]:[EXENTO]])</f>
        <v>0</v>
      </c>
      <c r="M248" s="59"/>
    </row>
    <row r="249" spans="2:13" x14ac:dyDescent="0.3">
      <c r="B249" s="109"/>
      <c r="C249" s="110"/>
      <c r="D249" s="111"/>
      <c r="E249" s="112"/>
      <c r="F249" s="206"/>
      <c r="G249" s="99" t="str">
        <f>IFERROR(IF(venta_a_mes11[[#This Row],[CUIT]]="","-",VLOOKUP(venta_a_mes11[[#This Row],[CUIT]],Lista_CUIT[#All],2,0)),"CUIT NO CARGADO")</f>
        <v>-</v>
      </c>
      <c r="H249" s="100"/>
      <c r="I249" s="101">
        <f>venta_a_mes11[[#This Row],[IMPORTE NETO]]*0.21</f>
        <v>0</v>
      </c>
      <c r="J249" s="65"/>
      <c r="K249" s="65"/>
      <c r="L249" s="65">
        <f>SUM(venta_a_mes11[[#This Row],[IMPORTE NETO]:[EXENTO]])</f>
        <v>0</v>
      </c>
      <c r="M249" s="59"/>
    </row>
    <row r="250" spans="2:13" x14ac:dyDescent="0.3">
      <c r="B250" s="109"/>
      <c r="C250" s="110"/>
      <c r="D250" s="111"/>
      <c r="E250" s="112"/>
      <c r="F250" s="206"/>
      <c r="G250" s="99" t="str">
        <f>IFERROR(IF(venta_a_mes11[[#This Row],[CUIT]]="","-",VLOOKUP(venta_a_mes11[[#This Row],[CUIT]],Lista_CUIT[#All],2,0)),"CUIT NO CARGADO")</f>
        <v>-</v>
      </c>
      <c r="H250" s="100"/>
      <c r="I250" s="101">
        <f>venta_a_mes11[[#This Row],[IMPORTE NETO]]*0.21</f>
        <v>0</v>
      </c>
      <c r="J250" s="65"/>
      <c r="K250" s="65"/>
      <c r="L250" s="65">
        <f>SUM(venta_a_mes11[[#This Row],[IMPORTE NETO]:[EXENTO]])</f>
        <v>0</v>
      </c>
      <c r="M250" s="59"/>
    </row>
    <row r="251" spans="2:13" x14ac:dyDescent="0.3">
      <c r="B251" s="109"/>
      <c r="C251" s="110"/>
      <c r="D251" s="111"/>
      <c r="E251" s="112"/>
      <c r="F251" s="206"/>
      <c r="G251" s="99" t="str">
        <f>IFERROR(IF(venta_a_mes11[[#This Row],[CUIT]]="","-",VLOOKUP(venta_a_mes11[[#This Row],[CUIT]],Lista_CUIT[#All],2,0)),"CUIT NO CARGADO")</f>
        <v>-</v>
      </c>
      <c r="H251" s="100"/>
      <c r="I251" s="101">
        <f>venta_a_mes11[[#This Row],[IMPORTE NETO]]*0.21</f>
        <v>0</v>
      </c>
      <c r="J251" s="65"/>
      <c r="K251" s="65"/>
      <c r="L251" s="65">
        <f>SUM(venta_a_mes11[[#This Row],[IMPORTE NETO]:[EXENTO]])</f>
        <v>0</v>
      </c>
      <c r="M251" s="59"/>
    </row>
    <row r="252" spans="2:13" x14ac:dyDescent="0.3">
      <c r="B252" s="109"/>
      <c r="C252" s="110"/>
      <c r="D252" s="111"/>
      <c r="E252" s="112"/>
      <c r="F252" s="206"/>
      <c r="G252" s="99" t="str">
        <f>IFERROR(IF(venta_a_mes11[[#This Row],[CUIT]]="","-",VLOOKUP(venta_a_mes11[[#This Row],[CUIT]],Lista_CUIT[#All],2,0)),"CUIT NO CARGADO")</f>
        <v>-</v>
      </c>
      <c r="H252" s="100"/>
      <c r="I252" s="101">
        <f>venta_a_mes11[[#This Row],[IMPORTE NETO]]*0.21</f>
        <v>0</v>
      </c>
      <c r="J252" s="65"/>
      <c r="K252" s="65"/>
      <c r="L252" s="65">
        <f>SUM(venta_a_mes11[[#This Row],[IMPORTE NETO]:[EXENTO]])</f>
        <v>0</v>
      </c>
      <c r="M252" s="59"/>
    </row>
    <row r="253" spans="2:13" x14ac:dyDescent="0.3">
      <c r="B253" s="109"/>
      <c r="C253" s="110"/>
      <c r="D253" s="111"/>
      <c r="E253" s="112"/>
      <c r="F253" s="206"/>
      <c r="G253" s="99" t="str">
        <f>IFERROR(IF(venta_a_mes11[[#This Row],[CUIT]]="","-",VLOOKUP(venta_a_mes11[[#This Row],[CUIT]],Lista_CUIT[#All],2,0)),"CUIT NO CARGADO")</f>
        <v>-</v>
      </c>
      <c r="H253" s="100"/>
      <c r="I253" s="101">
        <f>venta_a_mes11[[#This Row],[IMPORTE NETO]]*0.21</f>
        <v>0</v>
      </c>
      <c r="J253" s="65"/>
      <c r="K253" s="65"/>
      <c r="L253" s="65">
        <f>SUM(venta_a_mes11[[#This Row],[IMPORTE NETO]:[EXENTO]])</f>
        <v>0</v>
      </c>
      <c r="M253" s="59"/>
    </row>
    <row r="254" spans="2:13" x14ac:dyDescent="0.3">
      <c r="B254" s="109"/>
      <c r="C254" s="203"/>
      <c r="D254" s="111"/>
      <c r="E254" s="112"/>
      <c r="F254" s="206"/>
      <c r="G254" s="99" t="str">
        <f>IFERROR(IF(venta_a_mes11[[#This Row],[CUIT]]="","-",VLOOKUP(venta_a_mes11[[#This Row],[CUIT]],Lista_CUIT[#All],2,0)),"CUIT NO CARGADO")</f>
        <v>-</v>
      </c>
      <c r="H254" s="100"/>
      <c r="I254" s="101">
        <f>venta_a_mes11[[#This Row],[IMPORTE NETO]]*0.21</f>
        <v>0</v>
      </c>
      <c r="J254" s="65"/>
      <c r="K254" s="65"/>
      <c r="L254" s="65">
        <f>SUM(venta_a_mes11[[#This Row],[IMPORTE NETO]:[EXENTO]])</f>
        <v>0</v>
      </c>
      <c r="M254" s="59"/>
    </row>
    <row r="255" spans="2:13" x14ac:dyDescent="0.3">
      <c r="B255" s="109"/>
      <c r="C255" s="110"/>
      <c r="D255" s="111"/>
      <c r="E255" s="112"/>
      <c r="F255" s="206"/>
      <c r="G255" s="99" t="str">
        <f>IFERROR(IF(venta_a_mes11[[#This Row],[CUIT]]="","-",VLOOKUP(venta_a_mes11[[#This Row],[CUIT]],Lista_CUIT[#All],2,0)),"CUIT NO CARGADO")</f>
        <v>-</v>
      </c>
      <c r="H255" s="100"/>
      <c r="I255" s="101">
        <f>venta_a_mes11[[#This Row],[IMPORTE NETO]]*0.21</f>
        <v>0</v>
      </c>
      <c r="J255" s="65"/>
      <c r="K255" s="65"/>
      <c r="L255" s="65">
        <f>SUM(venta_a_mes11[[#This Row],[IMPORTE NETO]:[EXENTO]])</f>
        <v>0</v>
      </c>
      <c r="M255" s="59"/>
    </row>
    <row r="256" spans="2:13" x14ac:dyDescent="0.3">
      <c r="B256" s="109"/>
      <c r="C256" s="110"/>
      <c r="D256" s="111"/>
      <c r="E256" s="112"/>
      <c r="F256" s="206"/>
      <c r="G256" s="99" t="str">
        <f>IFERROR(IF(venta_a_mes11[[#This Row],[CUIT]]="","-",VLOOKUP(venta_a_mes11[[#This Row],[CUIT]],Lista_CUIT[#All],2,0)),"CUIT NO CARGADO")</f>
        <v>-</v>
      </c>
      <c r="H256" s="100"/>
      <c r="I256" s="101">
        <f>venta_a_mes11[[#This Row],[IMPORTE NETO]]*0.21</f>
        <v>0</v>
      </c>
      <c r="J256" s="65"/>
      <c r="K256" s="65"/>
      <c r="L256" s="65">
        <f>SUM(venta_a_mes11[[#This Row],[IMPORTE NETO]:[EXENTO]])</f>
        <v>0</v>
      </c>
      <c r="M256" s="59"/>
    </row>
    <row r="257" spans="2:13" x14ac:dyDescent="0.3">
      <c r="B257" s="109"/>
      <c r="C257" s="110"/>
      <c r="D257" s="111"/>
      <c r="E257" s="112"/>
      <c r="F257" s="206"/>
      <c r="G257" s="99" t="str">
        <f>IFERROR(IF(venta_a_mes11[[#This Row],[CUIT]]="","-",VLOOKUP(venta_a_mes11[[#This Row],[CUIT]],Lista_CUIT[#All],2,0)),"CUIT NO CARGADO")</f>
        <v>-</v>
      </c>
      <c r="H257" s="100"/>
      <c r="I257" s="101">
        <f>venta_a_mes11[[#This Row],[IMPORTE NETO]]*0.21</f>
        <v>0</v>
      </c>
      <c r="J257" s="65"/>
      <c r="K257" s="65"/>
      <c r="L257" s="65">
        <f>SUM(venta_a_mes11[[#This Row],[IMPORTE NETO]:[EXENTO]])</f>
        <v>0</v>
      </c>
      <c r="M257" s="59"/>
    </row>
    <row r="258" spans="2:13" x14ac:dyDescent="0.3">
      <c r="B258" s="109"/>
      <c r="C258" s="110"/>
      <c r="D258" s="111"/>
      <c r="E258" s="112"/>
      <c r="F258" s="206"/>
      <c r="G258" s="99" t="str">
        <f>IFERROR(IF(venta_a_mes11[[#This Row],[CUIT]]="","-",VLOOKUP(venta_a_mes11[[#This Row],[CUIT]],Lista_CUIT[#All],2,0)),"CUIT NO CARGADO")</f>
        <v>-</v>
      </c>
      <c r="H258" s="100"/>
      <c r="I258" s="101">
        <f>venta_a_mes11[[#This Row],[IMPORTE NETO]]*0.21</f>
        <v>0</v>
      </c>
      <c r="J258" s="65"/>
      <c r="K258" s="65"/>
      <c r="L258" s="65">
        <f>SUM(venta_a_mes11[[#This Row],[IMPORTE NETO]:[EXENTO]])</f>
        <v>0</v>
      </c>
      <c r="M258" s="59"/>
    </row>
    <row r="259" spans="2:13" x14ac:dyDescent="0.3">
      <c r="B259" s="109"/>
      <c r="C259" s="110"/>
      <c r="D259" s="111"/>
      <c r="E259" s="112"/>
      <c r="F259" s="206"/>
      <c r="G259" s="99" t="str">
        <f>IFERROR(IF(venta_a_mes11[[#This Row],[CUIT]]="","-",VLOOKUP(venta_a_mes11[[#This Row],[CUIT]],Lista_CUIT[#All],2,0)),"CUIT NO CARGADO")</f>
        <v>-</v>
      </c>
      <c r="H259" s="100"/>
      <c r="I259" s="101">
        <f>venta_a_mes11[[#This Row],[IMPORTE NETO]]*0.21</f>
        <v>0</v>
      </c>
      <c r="J259" s="65"/>
      <c r="K259" s="65"/>
      <c r="L259" s="65">
        <f>SUM(venta_a_mes11[[#This Row],[IMPORTE NETO]:[EXENTO]])</f>
        <v>0</v>
      </c>
      <c r="M259" s="59"/>
    </row>
    <row r="260" spans="2:13" x14ac:dyDescent="0.3">
      <c r="B260" s="109"/>
      <c r="C260" s="110"/>
      <c r="D260" s="111"/>
      <c r="E260" s="112"/>
      <c r="F260" s="206"/>
      <c r="G260" s="99" t="str">
        <f>IFERROR(IF(venta_a_mes11[[#This Row],[CUIT]]="","-",VLOOKUP(venta_a_mes11[[#This Row],[CUIT]],Lista_CUIT[#All],2,0)),"CUIT NO CARGADO")</f>
        <v>-</v>
      </c>
      <c r="H260" s="100"/>
      <c r="I260" s="101">
        <f>venta_a_mes11[[#This Row],[IMPORTE NETO]]*0.21</f>
        <v>0</v>
      </c>
      <c r="J260" s="65"/>
      <c r="K260" s="65"/>
      <c r="L260" s="65">
        <f>SUM(venta_a_mes11[[#This Row],[IMPORTE NETO]:[EXENTO]])</f>
        <v>0</v>
      </c>
      <c r="M260" s="59"/>
    </row>
    <row r="261" spans="2:13" x14ac:dyDescent="0.3">
      <c r="B261" s="109"/>
      <c r="C261" s="110"/>
      <c r="D261" s="111"/>
      <c r="E261" s="112"/>
      <c r="F261" s="206"/>
      <c r="G261" s="99" t="str">
        <f>IFERROR(IF(venta_a_mes11[[#This Row],[CUIT]]="","-",VLOOKUP(venta_a_mes11[[#This Row],[CUIT]],Lista_CUIT[#All],2,0)),"CUIT NO CARGADO")</f>
        <v>-</v>
      </c>
      <c r="H261" s="100"/>
      <c r="I261" s="101">
        <f>venta_a_mes11[[#This Row],[IMPORTE NETO]]*0.21</f>
        <v>0</v>
      </c>
      <c r="J261" s="65"/>
      <c r="K261" s="65"/>
      <c r="L261" s="65">
        <f>SUM(venta_a_mes11[[#This Row],[IMPORTE NETO]:[EXENTO]])</f>
        <v>0</v>
      </c>
      <c r="M261" s="59"/>
    </row>
    <row r="262" spans="2:13" x14ac:dyDescent="0.3">
      <c r="B262" s="109"/>
      <c r="C262" s="110"/>
      <c r="D262" s="111"/>
      <c r="E262" s="112"/>
      <c r="F262" s="206"/>
      <c r="G262" s="99" t="str">
        <f>IFERROR(IF(venta_a_mes11[[#This Row],[CUIT]]="","-",VLOOKUP(venta_a_mes11[[#This Row],[CUIT]],Lista_CUIT[#All],2,0)),"CUIT NO CARGADO")</f>
        <v>-</v>
      </c>
      <c r="H262" s="100"/>
      <c r="I262" s="101">
        <f>venta_a_mes11[[#This Row],[IMPORTE NETO]]*0.21</f>
        <v>0</v>
      </c>
      <c r="J262" s="65"/>
      <c r="K262" s="65"/>
      <c r="L262" s="65">
        <f>SUM(venta_a_mes11[[#This Row],[IMPORTE NETO]:[EXENTO]])</f>
        <v>0</v>
      </c>
      <c r="M262" s="59"/>
    </row>
    <row r="263" spans="2:13" x14ac:dyDescent="0.3">
      <c r="B263" s="109"/>
      <c r="C263" s="110"/>
      <c r="D263" s="111"/>
      <c r="E263" s="112"/>
      <c r="F263" s="206"/>
      <c r="G263" s="99" t="str">
        <f>IFERROR(IF(venta_a_mes11[[#This Row],[CUIT]]="","-",VLOOKUP(venta_a_mes11[[#This Row],[CUIT]],Lista_CUIT[#All],2,0)),"CUIT NO CARGADO")</f>
        <v>-</v>
      </c>
      <c r="H263" s="100"/>
      <c r="I263" s="101">
        <f>venta_a_mes11[[#This Row],[IMPORTE NETO]]*0.21</f>
        <v>0</v>
      </c>
      <c r="J263" s="65"/>
      <c r="K263" s="65"/>
      <c r="L263" s="65">
        <f>SUM(venta_a_mes11[[#This Row],[IMPORTE NETO]:[EXENTO]])</f>
        <v>0</v>
      </c>
      <c r="M263" s="59"/>
    </row>
    <row r="264" spans="2:13" x14ac:dyDescent="0.3">
      <c r="B264" s="109"/>
      <c r="C264" s="110"/>
      <c r="D264" s="111"/>
      <c r="E264" s="112"/>
      <c r="F264" s="206"/>
      <c r="G264" s="99" t="str">
        <f>IFERROR(IF(venta_a_mes11[[#This Row],[CUIT]]="","-",VLOOKUP(venta_a_mes11[[#This Row],[CUIT]],Lista_CUIT[#All],2,0)),"CUIT NO CARGADO")</f>
        <v>-</v>
      </c>
      <c r="H264" s="100"/>
      <c r="I264" s="101">
        <f>venta_a_mes11[[#This Row],[IMPORTE NETO]]*0.21</f>
        <v>0</v>
      </c>
      <c r="J264" s="65"/>
      <c r="K264" s="65"/>
      <c r="L264" s="65">
        <f>SUM(venta_a_mes11[[#This Row],[IMPORTE NETO]:[EXENTO]])</f>
        <v>0</v>
      </c>
      <c r="M264" s="59"/>
    </row>
    <row r="265" spans="2:13" x14ac:dyDescent="0.3">
      <c r="B265" s="109"/>
      <c r="C265" s="110"/>
      <c r="D265" s="111"/>
      <c r="E265" s="112"/>
      <c r="F265" s="206"/>
      <c r="G265" s="99" t="str">
        <f>IFERROR(IF(venta_a_mes11[[#This Row],[CUIT]]="","-",VLOOKUP(venta_a_mes11[[#This Row],[CUIT]],Lista_CUIT[#All],2,0)),"CUIT NO CARGADO")</f>
        <v>-</v>
      </c>
      <c r="H265" s="100"/>
      <c r="I265" s="101">
        <f>venta_a_mes11[[#This Row],[IMPORTE NETO]]*0.21</f>
        <v>0</v>
      </c>
      <c r="J265" s="65"/>
      <c r="K265" s="65"/>
      <c r="L265" s="65">
        <f>SUM(venta_a_mes11[[#This Row],[IMPORTE NETO]:[EXENTO]])</f>
        <v>0</v>
      </c>
      <c r="M265" s="59"/>
    </row>
    <row r="266" spans="2:13" x14ac:dyDescent="0.3">
      <c r="B266" s="109"/>
      <c r="C266" s="110"/>
      <c r="D266" s="111"/>
      <c r="E266" s="112"/>
      <c r="F266" s="206"/>
      <c r="G266" s="99" t="str">
        <f>IFERROR(IF(venta_a_mes11[[#This Row],[CUIT]]="","-",VLOOKUP(venta_a_mes11[[#This Row],[CUIT]],Lista_CUIT[#All],2,0)),"CUIT NO CARGADO")</f>
        <v>-</v>
      </c>
      <c r="H266" s="100"/>
      <c r="I266" s="101">
        <f>venta_a_mes11[[#This Row],[IMPORTE NETO]]*0.21</f>
        <v>0</v>
      </c>
      <c r="J266" s="65"/>
      <c r="K266" s="65"/>
      <c r="L266" s="65">
        <f>SUM(venta_a_mes11[[#This Row],[IMPORTE NETO]:[EXENTO]])</f>
        <v>0</v>
      </c>
      <c r="M266" s="59"/>
    </row>
    <row r="267" spans="2:13" x14ac:dyDescent="0.3">
      <c r="B267" s="109"/>
      <c r="C267" s="110"/>
      <c r="D267" s="111"/>
      <c r="E267" s="112"/>
      <c r="F267" s="206"/>
      <c r="G267" s="99" t="str">
        <f>IFERROR(IF(venta_a_mes11[[#This Row],[CUIT]]="","-",VLOOKUP(venta_a_mes11[[#This Row],[CUIT]],Lista_CUIT[#All],2,0)),"CUIT NO CARGADO")</f>
        <v>-</v>
      </c>
      <c r="H267" s="100"/>
      <c r="I267" s="101">
        <f>venta_a_mes11[[#This Row],[IMPORTE NETO]]*0.21</f>
        <v>0</v>
      </c>
      <c r="J267" s="65"/>
      <c r="K267" s="65"/>
      <c r="L267" s="65">
        <f>SUM(venta_a_mes11[[#This Row],[IMPORTE NETO]:[EXENTO]])</f>
        <v>0</v>
      </c>
      <c r="M267" s="59"/>
    </row>
    <row r="268" spans="2:13" x14ac:dyDescent="0.3">
      <c r="B268" s="109"/>
      <c r="C268" s="110"/>
      <c r="D268" s="111"/>
      <c r="E268" s="112"/>
      <c r="F268" s="206"/>
      <c r="G268" s="99" t="str">
        <f>IFERROR(IF(venta_a_mes11[[#This Row],[CUIT]]="","-",VLOOKUP(venta_a_mes11[[#This Row],[CUIT]],Lista_CUIT[#All],2,0)),"CUIT NO CARGADO")</f>
        <v>-</v>
      </c>
      <c r="H268" s="100"/>
      <c r="I268" s="101">
        <f>venta_a_mes11[[#This Row],[IMPORTE NETO]]*0.21</f>
        <v>0</v>
      </c>
      <c r="J268" s="65"/>
      <c r="K268" s="65"/>
      <c r="L268" s="65">
        <f>SUM(venta_a_mes11[[#This Row],[IMPORTE NETO]:[EXENTO]])</f>
        <v>0</v>
      </c>
      <c r="M268" s="59"/>
    </row>
    <row r="269" spans="2:13" x14ac:dyDescent="0.3">
      <c r="B269" s="109"/>
      <c r="C269" s="110"/>
      <c r="D269" s="111"/>
      <c r="E269" s="112"/>
      <c r="F269" s="206"/>
      <c r="G269" s="99" t="str">
        <f>IFERROR(IF(venta_a_mes11[[#This Row],[CUIT]]="","-",VLOOKUP(venta_a_mes11[[#This Row],[CUIT]],Lista_CUIT[#All],2,0)),"CUIT NO CARGADO")</f>
        <v>-</v>
      </c>
      <c r="H269" s="100"/>
      <c r="I269" s="101">
        <f>venta_a_mes11[[#This Row],[IMPORTE NETO]]*0.21</f>
        <v>0</v>
      </c>
      <c r="J269" s="65"/>
      <c r="K269" s="65"/>
      <c r="L269" s="65">
        <f>SUM(venta_a_mes11[[#This Row],[IMPORTE NETO]:[EXENTO]])</f>
        <v>0</v>
      </c>
      <c r="M269" s="59"/>
    </row>
    <row r="270" spans="2:13" x14ac:dyDescent="0.3">
      <c r="B270" s="109"/>
      <c r="C270" s="110"/>
      <c r="D270" s="111"/>
      <c r="E270" s="112"/>
      <c r="F270" s="206"/>
      <c r="G270" s="99" t="str">
        <f>IFERROR(IF(venta_a_mes11[[#This Row],[CUIT]]="","-",VLOOKUP(venta_a_mes11[[#This Row],[CUIT]],Lista_CUIT[#All],2,0)),"CUIT NO CARGADO")</f>
        <v>-</v>
      </c>
      <c r="H270" s="100"/>
      <c r="I270" s="101">
        <f>venta_a_mes11[[#This Row],[IMPORTE NETO]]*0.21</f>
        <v>0</v>
      </c>
      <c r="J270" s="65"/>
      <c r="K270" s="65"/>
      <c r="L270" s="65">
        <f>SUM(venta_a_mes11[[#This Row],[IMPORTE NETO]:[EXENTO]])</f>
        <v>0</v>
      </c>
      <c r="M270" s="59"/>
    </row>
    <row r="271" spans="2:13" x14ac:dyDescent="0.3">
      <c r="B271" s="109"/>
      <c r="C271" s="110"/>
      <c r="D271" s="111"/>
      <c r="E271" s="112"/>
      <c r="F271" s="206"/>
      <c r="G271" s="99" t="str">
        <f>IFERROR(IF(venta_a_mes11[[#This Row],[CUIT]]="","-",VLOOKUP(venta_a_mes11[[#This Row],[CUIT]],Lista_CUIT[#All],2,0)),"CUIT NO CARGADO")</f>
        <v>-</v>
      </c>
      <c r="H271" s="100"/>
      <c r="I271" s="101">
        <f>venta_a_mes11[[#This Row],[IMPORTE NETO]]*0.21</f>
        <v>0</v>
      </c>
      <c r="J271" s="65"/>
      <c r="K271" s="65"/>
      <c r="L271" s="65">
        <f>SUM(venta_a_mes11[[#This Row],[IMPORTE NETO]:[EXENTO]])</f>
        <v>0</v>
      </c>
      <c r="M271" s="59"/>
    </row>
    <row r="272" spans="2:13" x14ac:dyDescent="0.3">
      <c r="B272" s="109"/>
      <c r="C272" s="110"/>
      <c r="D272" s="111"/>
      <c r="E272" s="112"/>
      <c r="F272" s="206"/>
      <c r="G272" s="99" t="str">
        <f>IFERROR(IF(venta_a_mes11[[#This Row],[CUIT]]="","-",VLOOKUP(venta_a_mes11[[#This Row],[CUIT]],Lista_CUIT[#All],2,0)),"CUIT NO CARGADO")</f>
        <v>-</v>
      </c>
      <c r="H272" s="100"/>
      <c r="I272" s="101">
        <f>venta_a_mes11[[#This Row],[IMPORTE NETO]]*0.21</f>
        <v>0</v>
      </c>
      <c r="J272" s="65"/>
      <c r="K272" s="65"/>
      <c r="L272" s="65">
        <f>SUM(venta_a_mes11[[#This Row],[IMPORTE NETO]:[EXENTO]])</f>
        <v>0</v>
      </c>
      <c r="M272" s="59"/>
    </row>
    <row r="273" spans="2:13" x14ac:dyDescent="0.3">
      <c r="B273" s="109"/>
      <c r="C273" s="110"/>
      <c r="D273" s="111"/>
      <c r="E273" s="112"/>
      <c r="F273" s="206"/>
      <c r="G273" s="99" t="str">
        <f>IFERROR(IF(venta_a_mes11[[#This Row],[CUIT]]="","-",VLOOKUP(venta_a_mes11[[#This Row],[CUIT]],Lista_CUIT[#All],2,0)),"CUIT NO CARGADO")</f>
        <v>-</v>
      </c>
      <c r="H273" s="100"/>
      <c r="I273" s="101">
        <f>venta_a_mes11[[#This Row],[IMPORTE NETO]]*0.21</f>
        <v>0</v>
      </c>
      <c r="J273" s="65"/>
      <c r="K273" s="65"/>
      <c r="L273" s="65">
        <f>SUM(venta_a_mes11[[#This Row],[IMPORTE NETO]:[EXENTO]])</f>
        <v>0</v>
      </c>
      <c r="M273" s="59"/>
    </row>
    <row r="274" spans="2:13" x14ac:dyDescent="0.3">
      <c r="B274" s="109"/>
      <c r="C274" s="110"/>
      <c r="D274" s="111"/>
      <c r="E274" s="112"/>
      <c r="F274" s="206"/>
      <c r="G274" s="99" t="str">
        <f>IFERROR(IF(venta_a_mes11[[#This Row],[CUIT]]="","-",VLOOKUP(venta_a_mes11[[#This Row],[CUIT]],Lista_CUIT[#All],2,0)),"CUIT NO CARGADO")</f>
        <v>-</v>
      </c>
      <c r="H274" s="100"/>
      <c r="I274" s="101">
        <f>venta_a_mes11[[#This Row],[IMPORTE NETO]]*0.21</f>
        <v>0</v>
      </c>
      <c r="J274" s="65"/>
      <c r="K274" s="65"/>
      <c r="L274" s="65">
        <f>SUM(venta_a_mes11[[#This Row],[IMPORTE NETO]:[EXENTO]])</f>
        <v>0</v>
      </c>
      <c r="M274" s="59"/>
    </row>
    <row r="275" spans="2:13" x14ac:dyDescent="0.3">
      <c r="B275" s="109"/>
      <c r="C275" s="110"/>
      <c r="D275" s="111"/>
      <c r="E275" s="112"/>
      <c r="F275" s="206"/>
      <c r="G275" s="99" t="str">
        <f>IFERROR(IF(venta_a_mes11[[#This Row],[CUIT]]="","-",VLOOKUP(venta_a_mes11[[#This Row],[CUIT]],Lista_CUIT[#All],2,0)),"CUIT NO CARGADO")</f>
        <v>-</v>
      </c>
      <c r="H275" s="100"/>
      <c r="I275" s="101">
        <f>venta_a_mes11[[#This Row],[IMPORTE NETO]]*0.21</f>
        <v>0</v>
      </c>
      <c r="J275" s="65"/>
      <c r="K275" s="65"/>
      <c r="L275" s="65">
        <f>SUM(venta_a_mes11[[#This Row],[IMPORTE NETO]:[EXENTO]])</f>
        <v>0</v>
      </c>
      <c r="M275" s="59"/>
    </row>
    <row r="276" spans="2:13" x14ac:dyDescent="0.3">
      <c r="B276" s="109"/>
      <c r="C276" s="110"/>
      <c r="D276" s="111"/>
      <c r="E276" s="112"/>
      <c r="F276" s="206"/>
      <c r="G276" s="99" t="str">
        <f>IFERROR(IF(venta_a_mes11[[#This Row],[CUIT]]="","-",VLOOKUP(venta_a_mes11[[#This Row],[CUIT]],Lista_CUIT[#All],2,0)),"CUIT NO CARGADO")</f>
        <v>-</v>
      </c>
      <c r="H276" s="100"/>
      <c r="I276" s="101">
        <f>venta_a_mes11[[#This Row],[IMPORTE NETO]]*0.21</f>
        <v>0</v>
      </c>
      <c r="J276" s="65"/>
      <c r="K276" s="65"/>
      <c r="L276" s="65">
        <f>SUM(venta_a_mes11[[#This Row],[IMPORTE NETO]:[EXENTO]])</f>
        <v>0</v>
      </c>
      <c r="M276" s="59"/>
    </row>
    <row r="277" spans="2:13" x14ac:dyDescent="0.3">
      <c r="B277" s="109"/>
      <c r="C277" s="110"/>
      <c r="D277" s="111"/>
      <c r="E277" s="112"/>
      <c r="F277" s="206"/>
      <c r="G277" s="99" t="str">
        <f>IFERROR(IF(venta_a_mes11[[#This Row],[CUIT]]="","-",VLOOKUP(venta_a_mes11[[#This Row],[CUIT]],Lista_CUIT[#All],2,0)),"CUIT NO CARGADO")</f>
        <v>-</v>
      </c>
      <c r="H277" s="100"/>
      <c r="I277" s="101">
        <f>venta_a_mes11[[#This Row],[IMPORTE NETO]]*0.21</f>
        <v>0</v>
      </c>
      <c r="J277" s="65"/>
      <c r="K277" s="65"/>
      <c r="L277" s="65">
        <f>SUM(venta_a_mes11[[#This Row],[IMPORTE NETO]:[EXENTO]])</f>
        <v>0</v>
      </c>
      <c r="M277" s="59"/>
    </row>
    <row r="278" spans="2:13" x14ac:dyDescent="0.3">
      <c r="B278" s="109"/>
      <c r="C278" s="110"/>
      <c r="D278" s="111"/>
      <c r="E278" s="112"/>
      <c r="F278" s="206"/>
      <c r="G278" s="99" t="str">
        <f>IFERROR(IF(venta_a_mes11[[#This Row],[CUIT]]="","-",VLOOKUP(venta_a_mes11[[#This Row],[CUIT]],Lista_CUIT[#All],2,0)),"CUIT NO CARGADO")</f>
        <v>-</v>
      </c>
      <c r="H278" s="100"/>
      <c r="I278" s="101">
        <f>venta_a_mes11[[#This Row],[IMPORTE NETO]]*0.21</f>
        <v>0</v>
      </c>
      <c r="J278" s="65"/>
      <c r="K278" s="65"/>
      <c r="L278" s="65">
        <f>SUM(venta_a_mes11[[#This Row],[IMPORTE NETO]:[EXENTO]])</f>
        <v>0</v>
      </c>
      <c r="M278" s="59"/>
    </row>
    <row r="279" spans="2:13" x14ac:dyDescent="0.3">
      <c r="B279" s="109"/>
      <c r="C279" s="110"/>
      <c r="D279" s="111"/>
      <c r="E279" s="112"/>
      <c r="F279" s="206"/>
      <c r="G279" s="99" t="str">
        <f>IFERROR(IF(venta_a_mes11[[#This Row],[CUIT]]="","-",VLOOKUP(venta_a_mes11[[#This Row],[CUIT]],Lista_CUIT[#All],2,0)),"CUIT NO CARGADO")</f>
        <v>-</v>
      </c>
      <c r="H279" s="100"/>
      <c r="I279" s="101">
        <f>venta_a_mes11[[#This Row],[IMPORTE NETO]]*0.21</f>
        <v>0</v>
      </c>
      <c r="J279" s="65"/>
      <c r="K279" s="65"/>
      <c r="L279" s="65">
        <f>SUM(venta_a_mes11[[#This Row],[IMPORTE NETO]:[EXENTO]])</f>
        <v>0</v>
      </c>
      <c r="M279" s="59"/>
    </row>
    <row r="280" spans="2:13" x14ac:dyDescent="0.3">
      <c r="B280" s="109"/>
      <c r="C280" s="110"/>
      <c r="D280" s="111"/>
      <c r="E280" s="112"/>
      <c r="F280" s="206"/>
      <c r="G280" s="99" t="str">
        <f>IFERROR(IF(venta_a_mes11[[#This Row],[CUIT]]="","-",VLOOKUP(venta_a_mes11[[#This Row],[CUIT]],Lista_CUIT[#All],2,0)),"CUIT NO CARGADO")</f>
        <v>-</v>
      </c>
      <c r="H280" s="100"/>
      <c r="I280" s="101">
        <f>venta_a_mes11[[#This Row],[IMPORTE NETO]]*0.21</f>
        <v>0</v>
      </c>
      <c r="J280" s="65"/>
      <c r="K280" s="65"/>
      <c r="L280" s="65">
        <f>SUM(venta_a_mes11[[#This Row],[IMPORTE NETO]:[EXENTO]])</f>
        <v>0</v>
      </c>
      <c r="M280" s="59"/>
    </row>
    <row r="281" spans="2:13" x14ac:dyDescent="0.3">
      <c r="B281" s="109"/>
      <c r="C281" s="110"/>
      <c r="D281" s="111"/>
      <c r="E281" s="112"/>
      <c r="F281" s="206"/>
      <c r="G281" s="99" t="str">
        <f>IFERROR(IF(venta_a_mes11[[#This Row],[CUIT]]="","-",VLOOKUP(venta_a_mes11[[#This Row],[CUIT]],Lista_CUIT[#All],2,0)),"CUIT NO CARGADO")</f>
        <v>-</v>
      </c>
      <c r="H281" s="100"/>
      <c r="I281" s="101">
        <f>venta_a_mes11[[#This Row],[IMPORTE NETO]]*0.21</f>
        <v>0</v>
      </c>
      <c r="J281" s="65"/>
      <c r="K281" s="65"/>
      <c r="L281" s="65">
        <f>SUM(venta_a_mes11[[#This Row],[IMPORTE NETO]:[EXENTO]])</f>
        <v>0</v>
      </c>
      <c r="M281" s="59"/>
    </row>
    <row r="282" spans="2:13" x14ac:dyDescent="0.3">
      <c r="B282" s="109"/>
      <c r="C282" s="110"/>
      <c r="D282" s="111"/>
      <c r="E282" s="112"/>
      <c r="F282" s="206"/>
      <c r="G282" s="99" t="str">
        <f>IFERROR(IF(venta_a_mes11[[#This Row],[CUIT]]="","-",VLOOKUP(venta_a_mes11[[#This Row],[CUIT]],Lista_CUIT[#All],2,0)),"CUIT NO CARGADO")</f>
        <v>-</v>
      </c>
      <c r="H282" s="100"/>
      <c r="I282" s="101">
        <f>venta_a_mes11[[#This Row],[IMPORTE NETO]]*0.21</f>
        <v>0</v>
      </c>
      <c r="J282" s="65"/>
      <c r="K282" s="65"/>
      <c r="L282" s="65">
        <f>SUM(venta_a_mes11[[#This Row],[IMPORTE NETO]:[EXENTO]])</f>
        <v>0</v>
      </c>
      <c r="M282" s="59"/>
    </row>
    <row r="283" spans="2:13" x14ac:dyDescent="0.3">
      <c r="B283" s="109"/>
      <c r="C283" s="110"/>
      <c r="D283" s="111"/>
      <c r="E283" s="112"/>
      <c r="F283" s="206"/>
      <c r="G283" s="99" t="str">
        <f>IFERROR(IF(venta_a_mes11[[#This Row],[CUIT]]="","-",VLOOKUP(venta_a_mes11[[#This Row],[CUIT]],Lista_CUIT[#All],2,0)),"CUIT NO CARGADO")</f>
        <v>-</v>
      </c>
      <c r="H283" s="100"/>
      <c r="I283" s="101">
        <f>venta_a_mes11[[#This Row],[IMPORTE NETO]]*0.21</f>
        <v>0</v>
      </c>
      <c r="J283" s="65"/>
      <c r="K283" s="65"/>
      <c r="L283" s="65">
        <f>SUM(venta_a_mes11[[#This Row],[IMPORTE NETO]:[EXENTO]])</f>
        <v>0</v>
      </c>
      <c r="M283" s="59"/>
    </row>
    <row r="284" spans="2:13" x14ac:dyDescent="0.3">
      <c r="B284" s="109"/>
      <c r="C284" s="110"/>
      <c r="D284" s="111"/>
      <c r="E284" s="112"/>
      <c r="F284" s="206"/>
      <c r="G284" s="99" t="str">
        <f>IFERROR(IF(venta_a_mes11[[#This Row],[CUIT]]="","-",VLOOKUP(venta_a_mes11[[#This Row],[CUIT]],Lista_CUIT[#All],2,0)),"CUIT NO CARGADO")</f>
        <v>-</v>
      </c>
      <c r="H284" s="100"/>
      <c r="I284" s="101">
        <f>venta_a_mes11[[#This Row],[IMPORTE NETO]]*0.21</f>
        <v>0</v>
      </c>
      <c r="J284" s="65"/>
      <c r="K284" s="65"/>
      <c r="L284" s="65">
        <f>SUM(venta_a_mes11[[#This Row],[IMPORTE NETO]:[EXENTO]])</f>
        <v>0</v>
      </c>
      <c r="M284" s="59"/>
    </row>
    <row r="285" spans="2:13" x14ac:dyDescent="0.3">
      <c r="B285" s="109"/>
      <c r="C285" s="110"/>
      <c r="D285" s="111"/>
      <c r="E285" s="112"/>
      <c r="F285" s="206"/>
      <c r="G285" s="99" t="str">
        <f>IFERROR(IF(venta_a_mes11[[#This Row],[CUIT]]="","-",VLOOKUP(venta_a_mes11[[#This Row],[CUIT]],Lista_CUIT[#All],2,0)),"CUIT NO CARGADO")</f>
        <v>-</v>
      </c>
      <c r="H285" s="100"/>
      <c r="I285" s="101">
        <f>venta_a_mes11[[#This Row],[IMPORTE NETO]]*0.21</f>
        <v>0</v>
      </c>
      <c r="J285" s="65"/>
      <c r="K285" s="65"/>
      <c r="L285" s="65">
        <f>SUM(venta_a_mes11[[#This Row],[IMPORTE NETO]:[EXENTO]])</f>
        <v>0</v>
      </c>
      <c r="M285" s="59"/>
    </row>
    <row r="286" spans="2:13" x14ac:dyDescent="0.3">
      <c r="B286" s="109"/>
      <c r="C286" s="110"/>
      <c r="D286" s="111"/>
      <c r="E286" s="112"/>
      <c r="F286" s="206"/>
      <c r="G286" s="99" t="str">
        <f>IFERROR(IF(venta_a_mes11[[#This Row],[CUIT]]="","-",VLOOKUP(venta_a_mes11[[#This Row],[CUIT]],Lista_CUIT[#All],2,0)),"CUIT NO CARGADO")</f>
        <v>-</v>
      </c>
      <c r="H286" s="100"/>
      <c r="I286" s="101">
        <f>venta_a_mes11[[#This Row],[IMPORTE NETO]]*0.21</f>
        <v>0</v>
      </c>
      <c r="J286" s="65"/>
      <c r="K286" s="65"/>
      <c r="L286" s="65">
        <f>SUM(venta_a_mes11[[#This Row],[IMPORTE NETO]:[EXENTO]])</f>
        <v>0</v>
      </c>
      <c r="M286" s="59"/>
    </row>
    <row r="287" spans="2:13" x14ac:dyDescent="0.3">
      <c r="B287" s="109"/>
      <c r="C287" s="110"/>
      <c r="D287" s="111"/>
      <c r="E287" s="112"/>
      <c r="F287" s="206"/>
      <c r="G287" s="99" t="str">
        <f>IFERROR(IF(venta_a_mes11[[#This Row],[CUIT]]="","-",VLOOKUP(venta_a_mes11[[#This Row],[CUIT]],Lista_CUIT[#All],2,0)),"CUIT NO CARGADO")</f>
        <v>-</v>
      </c>
      <c r="H287" s="100"/>
      <c r="I287" s="101">
        <f>venta_a_mes11[[#This Row],[IMPORTE NETO]]*0.21</f>
        <v>0</v>
      </c>
      <c r="J287" s="65"/>
      <c r="K287" s="65"/>
      <c r="L287" s="65">
        <f>SUM(venta_a_mes11[[#This Row],[IMPORTE NETO]:[EXENTO]])</f>
        <v>0</v>
      </c>
      <c r="M287" s="59"/>
    </row>
    <row r="288" spans="2:13" x14ac:dyDescent="0.3">
      <c r="B288" s="109"/>
      <c r="C288" s="110"/>
      <c r="D288" s="111"/>
      <c r="E288" s="112"/>
      <c r="F288" s="206"/>
      <c r="G288" s="99" t="str">
        <f>IFERROR(IF(venta_a_mes11[[#This Row],[CUIT]]="","-",VLOOKUP(venta_a_mes11[[#This Row],[CUIT]],Lista_CUIT[#All],2,0)),"CUIT NO CARGADO")</f>
        <v>-</v>
      </c>
      <c r="H288" s="100"/>
      <c r="I288" s="101">
        <f>venta_a_mes11[[#This Row],[IMPORTE NETO]]*0.21</f>
        <v>0</v>
      </c>
      <c r="J288" s="65"/>
      <c r="K288" s="65"/>
      <c r="L288" s="65">
        <f>SUM(venta_a_mes11[[#This Row],[IMPORTE NETO]:[EXENTO]])</f>
        <v>0</v>
      </c>
      <c r="M288" s="59"/>
    </row>
    <row r="289" spans="2:13" x14ac:dyDescent="0.3">
      <c r="B289" s="109"/>
      <c r="C289" s="110"/>
      <c r="D289" s="111"/>
      <c r="E289" s="112"/>
      <c r="F289" s="206"/>
      <c r="G289" s="99" t="str">
        <f>IFERROR(IF(venta_a_mes11[[#This Row],[CUIT]]="","-",VLOOKUP(venta_a_mes11[[#This Row],[CUIT]],Lista_CUIT[#All],2,0)),"CUIT NO CARGADO")</f>
        <v>-</v>
      </c>
      <c r="H289" s="100"/>
      <c r="I289" s="101">
        <f>venta_a_mes11[[#This Row],[IMPORTE NETO]]*0.21</f>
        <v>0</v>
      </c>
      <c r="J289" s="65"/>
      <c r="K289" s="65"/>
      <c r="L289" s="65">
        <f>SUM(venta_a_mes11[[#This Row],[IMPORTE NETO]:[EXENTO]])</f>
        <v>0</v>
      </c>
      <c r="M289" s="59"/>
    </row>
    <row r="290" spans="2:13" x14ac:dyDescent="0.3">
      <c r="B290" s="109"/>
      <c r="C290" s="110"/>
      <c r="D290" s="111"/>
      <c r="E290" s="112"/>
      <c r="F290" s="206"/>
      <c r="G290" s="99" t="str">
        <f>IFERROR(IF(venta_a_mes11[[#This Row],[CUIT]]="","-",VLOOKUP(venta_a_mes11[[#This Row],[CUIT]],Lista_CUIT[#All],2,0)),"CUIT NO CARGADO")</f>
        <v>-</v>
      </c>
      <c r="H290" s="100"/>
      <c r="I290" s="101">
        <f>venta_a_mes11[[#This Row],[IMPORTE NETO]]*0.21</f>
        <v>0</v>
      </c>
      <c r="J290" s="65"/>
      <c r="K290" s="65"/>
      <c r="L290" s="65">
        <f>SUM(venta_a_mes11[[#This Row],[IMPORTE NETO]:[EXENTO]])</f>
        <v>0</v>
      </c>
      <c r="M290" s="59"/>
    </row>
    <row r="291" spans="2:13" x14ac:dyDescent="0.3">
      <c r="B291" s="109"/>
      <c r="C291" s="110"/>
      <c r="D291" s="111"/>
      <c r="E291" s="112"/>
      <c r="F291" s="206"/>
      <c r="G291" s="99" t="str">
        <f>IFERROR(IF(venta_a_mes11[[#This Row],[CUIT]]="","-",VLOOKUP(venta_a_mes11[[#This Row],[CUIT]],Lista_CUIT[#All],2,0)),"CUIT NO CARGADO")</f>
        <v>-</v>
      </c>
      <c r="H291" s="100"/>
      <c r="I291" s="101">
        <f>venta_a_mes11[[#This Row],[IMPORTE NETO]]*0.21</f>
        <v>0</v>
      </c>
      <c r="J291" s="65"/>
      <c r="K291" s="65"/>
      <c r="L291" s="65">
        <f>SUM(venta_a_mes11[[#This Row],[IMPORTE NETO]:[EXENTO]])</f>
        <v>0</v>
      </c>
      <c r="M291" s="59"/>
    </row>
    <row r="292" spans="2:13" x14ac:dyDescent="0.3">
      <c r="B292" s="109"/>
      <c r="C292" s="110"/>
      <c r="D292" s="111"/>
      <c r="E292" s="112"/>
      <c r="F292" s="206"/>
      <c r="G292" s="99" t="str">
        <f>IFERROR(IF(venta_a_mes11[[#This Row],[CUIT]]="","-",VLOOKUP(venta_a_mes11[[#This Row],[CUIT]],Lista_CUIT[#All],2,0)),"CUIT NO CARGADO")</f>
        <v>-</v>
      </c>
      <c r="H292" s="100"/>
      <c r="I292" s="101">
        <f>venta_a_mes11[[#This Row],[IMPORTE NETO]]*0.21</f>
        <v>0</v>
      </c>
      <c r="J292" s="65"/>
      <c r="K292" s="65"/>
      <c r="L292" s="65">
        <f>SUM(venta_a_mes11[[#This Row],[IMPORTE NETO]:[EXENTO]])</f>
        <v>0</v>
      </c>
      <c r="M292" s="59"/>
    </row>
    <row r="293" spans="2:13" x14ac:dyDescent="0.3">
      <c r="B293" s="109"/>
      <c r="C293" s="110"/>
      <c r="D293" s="111"/>
      <c r="E293" s="112"/>
      <c r="F293" s="206"/>
      <c r="G293" s="99" t="str">
        <f>IFERROR(IF(venta_a_mes11[[#This Row],[CUIT]]="","-",VLOOKUP(venta_a_mes11[[#This Row],[CUIT]],Lista_CUIT[#All],2,0)),"CUIT NO CARGADO")</f>
        <v>-</v>
      </c>
      <c r="H293" s="100"/>
      <c r="I293" s="101">
        <f>venta_a_mes11[[#This Row],[IMPORTE NETO]]*0.21</f>
        <v>0</v>
      </c>
      <c r="J293" s="65"/>
      <c r="K293" s="65"/>
      <c r="L293" s="65">
        <f>SUM(venta_a_mes11[[#This Row],[IMPORTE NETO]:[EXENTO]])</f>
        <v>0</v>
      </c>
      <c r="M293" s="59"/>
    </row>
    <row r="294" spans="2:13" x14ac:dyDescent="0.3">
      <c r="B294" s="109"/>
      <c r="C294" s="110"/>
      <c r="D294" s="111"/>
      <c r="E294" s="112"/>
      <c r="F294" s="206"/>
      <c r="G294" s="99" t="str">
        <f>IFERROR(IF(venta_a_mes11[[#This Row],[CUIT]]="","-",VLOOKUP(venta_a_mes11[[#This Row],[CUIT]],Lista_CUIT[#All],2,0)),"CUIT NO CARGADO")</f>
        <v>-</v>
      </c>
      <c r="H294" s="100"/>
      <c r="I294" s="101">
        <f>venta_a_mes11[[#This Row],[IMPORTE NETO]]*0.21</f>
        <v>0</v>
      </c>
      <c r="J294" s="65"/>
      <c r="K294" s="65"/>
      <c r="L294" s="65">
        <f>SUM(venta_a_mes11[[#This Row],[IMPORTE NETO]:[EXENTO]])</f>
        <v>0</v>
      </c>
      <c r="M294" s="59"/>
    </row>
    <row r="295" spans="2:13" x14ac:dyDescent="0.3">
      <c r="B295" s="109"/>
      <c r="C295" s="110"/>
      <c r="D295" s="111"/>
      <c r="E295" s="112"/>
      <c r="F295" s="206"/>
      <c r="G295" s="99" t="str">
        <f>IFERROR(IF(venta_a_mes11[[#This Row],[CUIT]]="","-",VLOOKUP(venta_a_mes11[[#This Row],[CUIT]],Lista_CUIT[#All],2,0)),"CUIT NO CARGADO")</f>
        <v>-</v>
      </c>
      <c r="H295" s="100"/>
      <c r="I295" s="101">
        <f>venta_a_mes11[[#This Row],[IMPORTE NETO]]*0.21</f>
        <v>0</v>
      </c>
      <c r="J295" s="65"/>
      <c r="K295" s="65"/>
      <c r="L295" s="65">
        <f>SUM(venta_a_mes11[[#This Row],[IMPORTE NETO]:[EXENTO]])</f>
        <v>0</v>
      </c>
      <c r="M295" s="59"/>
    </row>
    <row r="296" spans="2:13" x14ac:dyDescent="0.3">
      <c r="B296" s="109"/>
      <c r="C296" s="110"/>
      <c r="D296" s="111"/>
      <c r="E296" s="112"/>
      <c r="F296" s="206"/>
      <c r="G296" s="99" t="str">
        <f>IFERROR(IF(venta_a_mes11[[#This Row],[CUIT]]="","-",VLOOKUP(venta_a_mes11[[#This Row],[CUIT]],Lista_CUIT[#All],2,0)),"CUIT NO CARGADO")</f>
        <v>-</v>
      </c>
      <c r="H296" s="100"/>
      <c r="I296" s="101">
        <f>venta_a_mes11[[#This Row],[IMPORTE NETO]]*0.21</f>
        <v>0</v>
      </c>
      <c r="J296" s="65"/>
      <c r="K296" s="65"/>
      <c r="L296" s="65">
        <f>SUM(venta_a_mes11[[#This Row],[IMPORTE NETO]:[EXENTO]])</f>
        <v>0</v>
      </c>
      <c r="M296" s="59"/>
    </row>
    <row r="297" spans="2:13" x14ac:dyDescent="0.3">
      <c r="B297" s="109"/>
      <c r="C297" s="110"/>
      <c r="D297" s="111"/>
      <c r="E297" s="112"/>
      <c r="F297" s="206"/>
      <c r="G297" s="99" t="str">
        <f>IFERROR(IF(venta_a_mes11[[#This Row],[CUIT]]="","-",VLOOKUP(venta_a_mes11[[#This Row],[CUIT]],Lista_CUIT[#All],2,0)),"CUIT NO CARGADO")</f>
        <v>-</v>
      </c>
      <c r="H297" s="100"/>
      <c r="I297" s="101">
        <f>venta_a_mes11[[#This Row],[IMPORTE NETO]]*0.21</f>
        <v>0</v>
      </c>
      <c r="J297" s="65"/>
      <c r="K297" s="65"/>
      <c r="L297" s="65">
        <f>SUM(venta_a_mes11[[#This Row],[IMPORTE NETO]:[EXENTO]])</f>
        <v>0</v>
      </c>
      <c r="M297" s="59"/>
    </row>
    <row r="298" spans="2:13" x14ac:dyDescent="0.3">
      <c r="B298" s="109"/>
      <c r="C298" s="110"/>
      <c r="D298" s="111"/>
      <c r="E298" s="112"/>
      <c r="F298" s="206"/>
      <c r="G298" s="99" t="str">
        <f>IFERROR(IF(venta_a_mes11[[#This Row],[CUIT]]="","-",VLOOKUP(venta_a_mes11[[#This Row],[CUIT]],Lista_CUIT[#All],2,0)),"CUIT NO CARGADO")</f>
        <v>-</v>
      </c>
      <c r="H298" s="100"/>
      <c r="I298" s="101">
        <f>venta_a_mes11[[#This Row],[IMPORTE NETO]]*0.21</f>
        <v>0</v>
      </c>
      <c r="J298" s="65"/>
      <c r="K298" s="65"/>
      <c r="L298" s="65">
        <f>SUM(venta_a_mes11[[#This Row],[IMPORTE NETO]:[EXENTO]])</f>
        <v>0</v>
      </c>
      <c r="M298" s="59"/>
    </row>
    <row r="299" spans="2:13" x14ac:dyDescent="0.3">
      <c r="B299" s="109"/>
      <c r="C299" s="110"/>
      <c r="D299" s="111"/>
      <c r="E299" s="112"/>
      <c r="F299" s="206"/>
      <c r="G299" s="99" t="str">
        <f>IFERROR(IF(venta_a_mes11[[#This Row],[CUIT]]="","-",VLOOKUP(venta_a_mes11[[#This Row],[CUIT]],Lista_CUIT[#All],2,0)),"CUIT NO CARGADO")</f>
        <v>-</v>
      </c>
      <c r="H299" s="100"/>
      <c r="I299" s="101">
        <f>venta_a_mes11[[#This Row],[IMPORTE NETO]]*0.21</f>
        <v>0</v>
      </c>
      <c r="J299" s="65"/>
      <c r="K299" s="65"/>
      <c r="L299" s="65">
        <f>SUM(venta_a_mes11[[#This Row],[IMPORTE NETO]:[EXENTO]])</f>
        <v>0</v>
      </c>
      <c r="M299" s="59"/>
    </row>
    <row r="300" spans="2:13" x14ac:dyDescent="0.3">
      <c r="B300" s="109"/>
      <c r="C300" s="110"/>
      <c r="D300" s="111"/>
      <c r="E300" s="112"/>
      <c r="F300" s="206"/>
      <c r="G300" s="99" t="str">
        <f>IFERROR(IF(venta_a_mes11[[#This Row],[CUIT]]="","-",VLOOKUP(venta_a_mes11[[#This Row],[CUIT]],Lista_CUIT[#All],2,0)),"CUIT NO CARGADO")</f>
        <v>-</v>
      </c>
      <c r="H300" s="100"/>
      <c r="I300" s="101">
        <f>venta_a_mes11[[#This Row],[IMPORTE NETO]]*0.21</f>
        <v>0</v>
      </c>
      <c r="J300" s="65"/>
      <c r="K300" s="65"/>
      <c r="L300" s="65">
        <f>SUM(venta_a_mes11[[#This Row],[IMPORTE NETO]:[EXENTO]])</f>
        <v>0</v>
      </c>
      <c r="M300" s="59"/>
    </row>
    <row r="301" spans="2:13" x14ac:dyDescent="0.3">
      <c r="B301" s="109"/>
      <c r="C301" s="110"/>
      <c r="D301" s="111"/>
      <c r="E301" s="112"/>
      <c r="F301" s="206"/>
      <c r="G301" s="99" t="str">
        <f>IFERROR(IF(venta_a_mes11[[#This Row],[CUIT]]="","-",VLOOKUP(venta_a_mes11[[#This Row],[CUIT]],Lista_CUIT[#All],2,0)),"CUIT NO CARGADO")</f>
        <v>-</v>
      </c>
      <c r="H301" s="100"/>
      <c r="I301" s="101">
        <f>venta_a_mes11[[#This Row],[IMPORTE NETO]]*0.21</f>
        <v>0</v>
      </c>
      <c r="J301" s="65"/>
      <c r="K301" s="65"/>
      <c r="L301" s="65">
        <f>SUM(venta_a_mes11[[#This Row],[IMPORTE NETO]:[EXENTO]])</f>
        <v>0</v>
      </c>
      <c r="M301" s="59"/>
    </row>
    <row r="302" spans="2:13" x14ac:dyDescent="0.3">
      <c r="B302" s="109"/>
      <c r="C302" s="110"/>
      <c r="D302" s="111"/>
      <c r="E302" s="112"/>
      <c r="F302" s="206"/>
      <c r="G302" s="99" t="str">
        <f>IFERROR(IF(venta_a_mes11[[#This Row],[CUIT]]="","-",VLOOKUP(venta_a_mes11[[#This Row],[CUIT]],Lista_CUIT[#All],2,0)),"CUIT NO CARGADO")</f>
        <v>-</v>
      </c>
      <c r="H302" s="100"/>
      <c r="I302" s="101">
        <f>venta_a_mes11[[#This Row],[IMPORTE NETO]]*0.21</f>
        <v>0</v>
      </c>
      <c r="J302" s="65"/>
      <c r="K302" s="65"/>
      <c r="L302" s="65">
        <f>SUM(venta_a_mes11[[#This Row],[IMPORTE NETO]:[EXENTO]])</f>
        <v>0</v>
      </c>
      <c r="M302" s="59"/>
    </row>
    <row r="303" spans="2:13" x14ac:dyDescent="0.3">
      <c r="B303" s="109"/>
      <c r="C303" s="110"/>
      <c r="D303" s="111"/>
      <c r="E303" s="112"/>
      <c r="F303" s="206"/>
      <c r="G303" s="99" t="str">
        <f>IFERROR(IF(venta_a_mes11[[#This Row],[CUIT]]="","-",VLOOKUP(venta_a_mes11[[#This Row],[CUIT]],Lista_CUIT[#All],2,0)),"CUIT NO CARGADO")</f>
        <v>-</v>
      </c>
      <c r="H303" s="100"/>
      <c r="I303" s="101">
        <f>venta_a_mes11[[#This Row],[IMPORTE NETO]]*0.21</f>
        <v>0</v>
      </c>
      <c r="J303" s="65"/>
      <c r="K303" s="65"/>
      <c r="L303" s="65">
        <f>SUM(venta_a_mes11[[#This Row],[IMPORTE NETO]:[EXENTO]])</f>
        <v>0</v>
      </c>
      <c r="M303" s="59"/>
    </row>
    <row r="304" spans="2:13" x14ac:dyDescent="0.3">
      <c r="B304" s="109"/>
      <c r="C304" s="110"/>
      <c r="D304" s="111"/>
      <c r="E304" s="112"/>
      <c r="F304" s="206"/>
      <c r="G304" s="99" t="str">
        <f>IFERROR(IF(venta_a_mes11[[#This Row],[CUIT]]="","-",VLOOKUP(venta_a_mes11[[#This Row],[CUIT]],Lista_CUIT[#All],2,0)),"CUIT NO CARGADO")</f>
        <v>-</v>
      </c>
      <c r="H304" s="100"/>
      <c r="I304" s="101">
        <f>venta_a_mes11[[#This Row],[IMPORTE NETO]]*0.21</f>
        <v>0</v>
      </c>
      <c r="J304" s="65"/>
      <c r="K304" s="65"/>
      <c r="L304" s="65">
        <f>SUM(venta_a_mes11[[#This Row],[IMPORTE NETO]:[EXENTO]])</f>
        <v>0</v>
      </c>
      <c r="M304" s="59"/>
    </row>
    <row r="305" spans="2:13" x14ac:dyDescent="0.3">
      <c r="B305" s="109"/>
      <c r="C305" s="110"/>
      <c r="D305" s="111"/>
      <c r="E305" s="112"/>
      <c r="F305" s="206"/>
      <c r="G305" s="99" t="str">
        <f>IFERROR(IF(venta_a_mes11[[#This Row],[CUIT]]="","-",VLOOKUP(venta_a_mes11[[#This Row],[CUIT]],Lista_CUIT[#All],2,0)),"CUIT NO CARGADO")</f>
        <v>-</v>
      </c>
      <c r="H305" s="100"/>
      <c r="I305" s="101">
        <f>venta_a_mes11[[#This Row],[IMPORTE NETO]]*0.21</f>
        <v>0</v>
      </c>
      <c r="J305" s="65"/>
      <c r="K305" s="65"/>
      <c r="L305" s="65">
        <f>SUM(venta_a_mes11[[#This Row],[IMPORTE NETO]:[EXENTO]])</f>
        <v>0</v>
      </c>
      <c r="M305" s="59"/>
    </row>
    <row r="306" spans="2:13" x14ac:dyDescent="0.3">
      <c r="B306" s="109"/>
      <c r="C306" s="110"/>
      <c r="D306" s="111"/>
      <c r="E306" s="112"/>
      <c r="F306" s="206"/>
      <c r="G306" s="99" t="str">
        <f>IFERROR(IF(venta_a_mes11[[#This Row],[CUIT]]="","-",VLOOKUP(venta_a_mes11[[#This Row],[CUIT]],Lista_CUIT[#All],2,0)),"CUIT NO CARGADO")</f>
        <v>-</v>
      </c>
      <c r="H306" s="100"/>
      <c r="I306" s="101">
        <f>venta_a_mes11[[#This Row],[IMPORTE NETO]]*0.21</f>
        <v>0</v>
      </c>
      <c r="J306" s="65"/>
      <c r="K306" s="65"/>
      <c r="L306" s="65">
        <f>SUM(venta_a_mes11[[#This Row],[IMPORTE NETO]:[EXENTO]])</f>
        <v>0</v>
      </c>
      <c r="M306" s="59"/>
    </row>
    <row r="307" spans="2:13" x14ac:dyDescent="0.3">
      <c r="B307" s="109"/>
      <c r="C307" s="110"/>
      <c r="D307" s="111"/>
      <c r="E307" s="112"/>
      <c r="F307" s="206"/>
      <c r="G307" s="99" t="str">
        <f>IFERROR(IF(venta_a_mes11[[#This Row],[CUIT]]="","-",VLOOKUP(venta_a_mes11[[#This Row],[CUIT]],Lista_CUIT[#All],2,0)),"CUIT NO CARGADO")</f>
        <v>-</v>
      </c>
      <c r="H307" s="100"/>
      <c r="I307" s="101">
        <f>venta_a_mes11[[#This Row],[IMPORTE NETO]]*0.21</f>
        <v>0</v>
      </c>
      <c r="J307" s="65"/>
      <c r="K307" s="65"/>
      <c r="L307" s="65">
        <f>SUM(venta_a_mes11[[#This Row],[IMPORTE NETO]:[EXENTO]])</f>
        <v>0</v>
      </c>
      <c r="M307" s="59"/>
    </row>
    <row r="308" spans="2:13" x14ac:dyDescent="0.3">
      <c r="B308" s="109"/>
      <c r="C308" s="110"/>
      <c r="D308" s="111"/>
      <c r="E308" s="112"/>
      <c r="F308" s="206"/>
      <c r="G308" s="99" t="str">
        <f>IFERROR(IF(venta_a_mes11[[#This Row],[CUIT]]="","-",VLOOKUP(venta_a_mes11[[#This Row],[CUIT]],Lista_CUIT[#All],2,0)),"CUIT NO CARGADO")</f>
        <v>-</v>
      </c>
      <c r="H308" s="100"/>
      <c r="I308" s="101">
        <f>venta_a_mes11[[#This Row],[IMPORTE NETO]]*0.21</f>
        <v>0</v>
      </c>
      <c r="J308" s="65"/>
      <c r="K308" s="65"/>
      <c r="L308" s="65">
        <f>SUM(venta_a_mes11[[#This Row],[IMPORTE NETO]:[EXENTO]])</f>
        <v>0</v>
      </c>
      <c r="M308" s="59"/>
    </row>
    <row r="309" spans="2:13" x14ac:dyDescent="0.3">
      <c r="B309" s="109"/>
      <c r="C309" s="110"/>
      <c r="D309" s="111"/>
      <c r="E309" s="112"/>
      <c r="F309" s="206"/>
      <c r="G309" s="99" t="str">
        <f>IFERROR(IF(venta_a_mes11[[#This Row],[CUIT]]="","-",VLOOKUP(venta_a_mes11[[#This Row],[CUIT]],Lista_CUIT[#All],2,0)),"CUIT NO CARGADO")</f>
        <v>-</v>
      </c>
      <c r="H309" s="100"/>
      <c r="I309" s="101">
        <f>venta_a_mes11[[#This Row],[IMPORTE NETO]]*0.21</f>
        <v>0</v>
      </c>
      <c r="J309" s="65"/>
      <c r="K309" s="65"/>
      <c r="L309" s="65">
        <f>SUM(venta_a_mes11[[#This Row],[IMPORTE NETO]:[EXENTO]])</f>
        <v>0</v>
      </c>
      <c r="M309" s="59"/>
    </row>
    <row r="310" spans="2:13" x14ac:dyDescent="0.3">
      <c r="B310" s="109"/>
      <c r="C310" s="110"/>
      <c r="D310" s="111"/>
      <c r="E310" s="112"/>
      <c r="F310" s="206"/>
      <c r="G310" s="99" t="str">
        <f>IFERROR(IF(venta_a_mes11[[#This Row],[CUIT]]="","-",VLOOKUP(venta_a_mes11[[#This Row],[CUIT]],Lista_CUIT[#All],2,0)),"CUIT NO CARGADO")</f>
        <v>-</v>
      </c>
      <c r="H310" s="100"/>
      <c r="I310" s="101">
        <f>venta_a_mes11[[#This Row],[IMPORTE NETO]]*0.21</f>
        <v>0</v>
      </c>
      <c r="J310" s="65"/>
      <c r="K310" s="65"/>
      <c r="L310" s="65">
        <f>SUM(venta_a_mes11[[#This Row],[IMPORTE NETO]:[EXENTO]])</f>
        <v>0</v>
      </c>
      <c r="M310" s="59"/>
    </row>
    <row r="311" spans="2:13" x14ac:dyDescent="0.3">
      <c r="B311" s="109"/>
      <c r="C311" s="110"/>
      <c r="D311" s="111"/>
      <c r="E311" s="112"/>
      <c r="F311" s="206"/>
      <c r="G311" s="99" t="str">
        <f>IFERROR(IF(venta_a_mes11[[#This Row],[CUIT]]="","-",VLOOKUP(venta_a_mes11[[#This Row],[CUIT]],Lista_CUIT[#All],2,0)),"CUIT NO CARGADO")</f>
        <v>-</v>
      </c>
      <c r="H311" s="100"/>
      <c r="I311" s="101">
        <f>venta_a_mes11[[#This Row],[IMPORTE NETO]]*0.21</f>
        <v>0</v>
      </c>
      <c r="J311" s="65"/>
      <c r="K311" s="65"/>
      <c r="L311" s="65">
        <f>SUM(venta_a_mes11[[#This Row],[IMPORTE NETO]:[EXENTO]])</f>
        <v>0</v>
      </c>
      <c r="M311" s="59"/>
    </row>
    <row r="312" spans="2:13" x14ac:dyDescent="0.3">
      <c r="B312" s="109"/>
      <c r="C312" s="110"/>
      <c r="D312" s="111"/>
      <c r="E312" s="112"/>
      <c r="F312" s="206"/>
      <c r="G312" s="99" t="str">
        <f>IFERROR(IF(venta_a_mes11[[#This Row],[CUIT]]="","-",VLOOKUP(venta_a_mes11[[#This Row],[CUIT]],Lista_CUIT[#All],2,0)),"CUIT NO CARGADO")</f>
        <v>-</v>
      </c>
      <c r="H312" s="100"/>
      <c r="I312" s="101">
        <f>venta_a_mes11[[#This Row],[IMPORTE NETO]]*0.21</f>
        <v>0</v>
      </c>
      <c r="J312" s="65"/>
      <c r="K312" s="65"/>
      <c r="L312" s="65">
        <f>SUM(venta_a_mes11[[#This Row],[IMPORTE NETO]:[EXENTO]])</f>
        <v>0</v>
      </c>
      <c r="M312" s="59"/>
    </row>
    <row r="313" spans="2:13" x14ac:dyDescent="0.3">
      <c r="B313" s="109"/>
      <c r="C313" s="110"/>
      <c r="D313" s="111"/>
      <c r="E313" s="112"/>
      <c r="F313" s="206"/>
      <c r="G313" s="99" t="str">
        <f>IFERROR(IF(venta_a_mes11[[#This Row],[CUIT]]="","-",VLOOKUP(venta_a_mes11[[#This Row],[CUIT]],Lista_CUIT[#All],2,0)),"CUIT NO CARGADO")</f>
        <v>-</v>
      </c>
      <c r="H313" s="100"/>
      <c r="I313" s="101">
        <f>venta_a_mes11[[#This Row],[IMPORTE NETO]]*0.21</f>
        <v>0</v>
      </c>
      <c r="J313" s="65"/>
      <c r="K313" s="65"/>
      <c r="L313" s="65">
        <f>SUM(venta_a_mes11[[#This Row],[IMPORTE NETO]:[EXENTO]])</f>
        <v>0</v>
      </c>
      <c r="M313" s="59"/>
    </row>
    <row r="314" spans="2:13" x14ac:dyDescent="0.3">
      <c r="B314" s="109"/>
      <c r="C314" s="110"/>
      <c r="D314" s="111"/>
      <c r="E314" s="112"/>
      <c r="F314" s="206"/>
      <c r="G314" s="99" t="str">
        <f>IFERROR(IF(venta_a_mes11[[#This Row],[CUIT]]="","-",VLOOKUP(venta_a_mes11[[#This Row],[CUIT]],Lista_CUIT[#All],2,0)),"CUIT NO CARGADO")</f>
        <v>-</v>
      </c>
      <c r="H314" s="100"/>
      <c r="I314" s="101">
        <f>venta_a_mes11[[#This Row],[IMPORTE NETO]]*0.21</f>
        <v>0</v>
      </c>
      <c r="J314" s="65"/>
      <c r="K314" s="65"/>
      <c r="L314" s="65">
        <f>SUM(venta_a_mes11[[#This Row],[IMPORTE NETO]:[EXENTO]])</f>
        <v>0</v>
      </c>
      <c r="M314" s="59"/>
    </row>
    <row r="315" spans="2:13" x14ac:dyDescent="0.3">
      <c r="B315" s="109"/>
      <c r="C315" s="110"/>
      <c r="D315" s="111"/>
      <c r="E315" s="112"/>
      <c r="F315" s="206"/>
      <c r="G315" s="99" t="str">
        <f>IFERROR(IF(venta_a_mes11[[#This Row],[CUIT]]="","-",VLOOKUP(venta_a_mes11[[#This Row],[CUIT]],Lista_CUIT[#All],2,0)),"CUIT NO CARGADO")</f>
        <v>-</v>
      </c>
      <c r="H315" s="100"/>
      <c r="I315" s="101">
        <f>venta_a_mes11[[#This Row],[IMPORTE NETO]]*0.21</f>
        <v>0</v>
      </c>
      <c r="J315" s="65"/>
      <c r="K315" s="65"/>
      <c r="L315" s="65">
        <f>SUM(venta_a_mes11[[#This Row],[IMPORTE NETO]:[EXENTO]])</f>
        <v>0</v>
      </c>
      <c r="M315" s="59"/>
    </row>
    <row r="316" spans="2:13" x14ac:dyDescent="0.3">
      <c r="B316" s="109"/>
      <c r="C316" s="110"/>
      <c r="D316" s="111"/>
      <c r="E316" s="112"/>
      <c r="F316" s="206"/>
      <c r="G316" s="99" t="str">
        <f>IFERROR(IF(venta_a_mes11[[#This Row],[CUIT]]="","-",VLOOKUP(venta_a_mes11[[#This Row],[CUIT]],Lista_CUIT[#All],2,0)),"CUIT NO CARGADO")</f>
        <v>-</v>
      </c>
      <c r="H316" s="100"/>
      <c r="I316" s="101">
        <f>venta_a_mes11[[#This Row],[IMPORTE NETO]]*0.21</f>
        <v>0</v>
      </c>
      <c r="J316" s="65"/>
      <c r="K316" s="65"/>
      <c r="L316" s="65">
        <f>SUM(venta_a_mes11[[#This Row],[IMPORTE NETO]:[EXENTO]])</f>
        <v>0</v>
      </c>
      <c r="M316" s="59"/>
    </row>
    <row r="317" spans="2:13" x14ac:dyDescent="0.3">
      <c r="B317" s="109"/>
      <c r="C317" s="110"/>
      <c r="D317" s="111"/>
      <c r="E317" s="112"/>
      <c r="F317" s="206"/>
      <c r="G317" s="99" t="str">
        <f>IFERROR(IF(venta_a_mes11[[#This Row],[CUIT]]="","-",VLOOKUP(venta_a_mes11[[#This Row],[CUIT]],Lista_CUIT[#All],2,0)),"CUIT NO CARGADO")</f>
        <v>-</v>
      </c>
      <c r="H317" s="100"/>
      <c r="I317" s="101">
        <f>venta_a_mes11[[#This Row],[IMPORTE NETO]]*0.21</f>
        <v>0</v>
      </c>
      <c r="J317" s="65"/>
      <c r="K317" s="65"/>
      <c r="L317" s="65">
        <f>SUM(venta_a_mes11[[#This Row],[IMPORTE NETO]:[EXENTO]])</f>
        <v>0</v>
      </c>
      <c r="M317" s="59"/>
    </row>
    <row r="318" spans="2:13" x14ac:dyDescent="0.3">
      <c r="B318" s="109"/>
      <c r="C318" s="110"/>
      <c r="D318" s="111"/>
      <c r="E318" s="112"/>
      <c r="F318" s="206"/>
      <c r="G318" s="99" t="str">
        <f>IFERROR(IF(venta_a_mes11[[#This Row],[CUIT]]="","-",VLOOKUP(venta_a_mes11[[#This Row],[CUIT]],Lista_CUIT[#All],2,0)),"CUIT NO CARGADO")</f>
        <v>-</v>
      </c>
      <c r="H318" s="100"/>
      <c r="I318" s="101">
        <f>venta_a_mes11[[#This Row],[IMPORTE NETO]]*0.21</f>
        <v>0</v>
      </c>
      <c r="J318" s="65"/>
      <c r="K318" s="65"/>
      <c r="L318" s="65">
        <f>SUM(venta_a_mes11[[#This Row],[IMPORTE NETO]:[EXENTO]])</f>
        <v>0</v>
      </c>
      <c r="M318" s="59"/>
    </row>
    <row r="319" spans="2:13" x14ac:dyDescent="0.3">
      <c r="B319" s="109"/>
      <c r="C319" s="110"/>
      <c r="D319" s="111"/>
      <c r="E319" s="112"/>
      <c r="F319" s="206"/>
      <c r="G319" s="99" t="str">
        <f>IFERROR(IF(venta_a_mes11[[#This Row],[CUIT]]="","-",VLOOKUP(venta_a_mes11[[#This Row],[CUIT]],Lista_CUIT[#All],2,0)),"CUIT NO CARGADO")</f>
        <v>-</v>
      </c>
      <c r="H319" s="100"/>
      <c r="I319" s="101">
        <f>venta_a_mes11[[#This Row],[IMPORTE NETO]]*0.21</f>
        <v>0</v>
      </c>
      <c r="J319" s="65"/>
      <c r="K319" s="65"/>
      <c r="L319" s="65">
        <f>SUM(venta_a_mes11[[#This Row],[IMPORTE NETO]:[EXENTO]])</f>
        <v>0</v>
      </c>
      <c r="M319" s="59"/>
    </row>
    <row r="320" spans="2:13" x14ac:dyDescent="0.3">
      <c r="B320" s="109"/>
      <c r="C320" s="110"/>
      <c r="D320" s="111"/>
      <c r="E320" s="112"/>
      <c r="F320" s="206"/>
      <c r="G320" s="99" t="str">
        <f>IFERROR(IF(venta_a_mes11[[#This Row],[CUIT]]="","-",VLOOKUP(venta_a_mes11[[#This Row],[CUIT]],Lista_CUIT[#All],2,0)),"CUIT NO CARGADO")</f>
        <v>-</v>
      </c>
      <c r="H320" s="100"/>
      <c r="I320" s="101">
        <f>venta_a_mes11[[#This Row],[IMPORTE NETO]]*0.21</f>
        <v>0</v>
      </c>
      <c r="J320" s="65"/>
      <c r="K320" s="65"/>
      <c r="L320" s="65">
        <f>SUM(venta_a_mes11[[#This Row],[IMPORTE NETO]:[EXENTO]])</f>
        <v>0</v>
      </c>
      <c r="M320" s="59"/>
    </row>
    <row r="321" spans="2:13" x14ac:dyDescent="0.3">
      <c r="B321" s="109"/>
      <c r="C321" s="110"/>
      <c r="D321" s="111"/>
      <c r="E321" s="112"/>
      <c r="F321" s="206"/>
      <c r="G321" s="99" t="str">
        <f>IFERROR(IF(venta_a_mes11[[#This Row],[CUIT]]="","-",VLOOKUP(venta_a_mes11[[#This Row],[CUIT]],Lista_CUIT[#All],2,0)),"CUIT NO CARGADO")</f>
        <v>-</v>
      </c>
      <c r="H321" s="100"/>
      <c r="I321" s="101">
        <f>venta_a_mes11[[#This Row],[IMPORTE NETO]]*0.21</f>
        <v>0</v>
      </c>
      <c r="J321" s="65"/>
      <c r="K321" s="65"/>
      <c r="L321" s="65">
        <f>SUM(venta_a_mes11[[#This Row],[IMPORTE NETO]:[EXENTO]])</f>
        <v>0</v>
      </c>
      <c r="M321" s="59"/>
    </row>
    <row r="322" spans="2:13" x14ac:dyDescent="0.3">
      <c r="B322" s="109"/>
      <c r="C322" s="110"/>
      <c r="D322" s="111"/>
      <c r="E322" s="112"/>
      <c r="F322" s="206"/>
      <c r="G322" s="99" t="str">
        <f>IFERROR(IF(venta_a_mes11[[#This Row],[CUIT]]="","-",VLOOKUP(venta_a_mes11[[#This Row],[CUIT]],Lista_CUIT[#All],2,0)),"CUIT NO CARGADO")</f>
        <v>-</v>
      </c>
      <c r="H322" s="100"/>
      <c r="I322" s="101">
        <f>venta_a_mes11[[#This Row],[IMPORTE NETO]]*0.21</f>
        <v>0</v>
      </c>
      <c r="J322" s="65"/>
      <c r="K322" s="65"/>
      <c r="L322" s="65">
        <f>SUM(venta_a_mes11[[#This Row],[IMPORTE NETO]:[EXENTO]])</f>
        <v>0</v>
      </c>
      <c r="M322" s="59"/>
    </row>
    <row r="323" spans="2:13" x14ac:dyDescent="0.3">
      <c r="B323" s="109"/>
      <c r="C323" s="110"/>
      <c r="D323" s="111"/>
      <c r="E323" s="112"/>
      <c r="F323" s="206"/>
      <c r="G323" s="99" t="str">
        <f>IFERROR(IF(venta_a_mes11[[#This Row],[CUIT]]="","-",VLOOKUP(venta_a_mes11[[#This Row],[CUIT]],Lista_CUIT[#All],2,0)),"CUIT NO CARGADO")</f>
        <v>-</v>
      </c>
      <c r="H323" s="100"/>
      <c r="I323" s="101">
        <f>venta_a_mes11[[#This Row],[IMPORTE NETO]]*0.21</f>
        <v>0</v>
      </c>
      <c r="J323" s="65"/>
      <c r="K323" s="65"/>
      <c r="L323" s="65">
        <f>SUM(venta_a_mes11[[#This Row],[IMPORTE NETO]:[EXENTO]])</f>
        <v>0</v>
      </c>
      <c r="M323" s="59"/>
    </row>
    <row r="324" spans="2:13" x14ac:dyDescent="0.3">
      <c r="B324" s="109"/>
      <c r="C324" s="110"/>
      <c r="D324" s="111"/>
      <c r="E324" s="112"/>
      <c r="F324" s="206"/>
      <c r="G324" s="99" t="str">
        <f>IFERROR(IF(venta_a_mes11[[#This Row],[CUIT]]="","-",VLOOKUP(venta_a_mes11[[#This Row],[CUIT]],Lista_CUIT[#All],2,0)),"CUIT NO CARGADO")</f>
        <v>-</v>
      </c>
      <c r="H324" s="100"/>
      <c r="I324" s="101">
        <f>venta_a_mes11[[#This Row],[IMPORTE NETO]]*0.21</f>
        <v>0</v>
      </c>
      <c r="J324" s="65"/>
      <c r="K324" s="65"/>
      <c r="L324" s="65">
        <f>SUM(venta_a_mes11[[#This Row],[IMPORTE NETO]:[EXENTO]])</f>
        <v>0</v>
      </c>
      <c r="M324" s="59"/>
    </row>
    <row r="325" spans="2:13" x14ac:dyDescent="0.3">
      <c r="B325" s="109"/>
      <c r="C325" s="110"/>
      <c r="D325" s="111"/>
      <c r="E325" s="112"/>
      <c r="F325" s="206"/>
      <c r="G325" s="99" t="str">
        <f>IFERROR(IF(venta_a_mes11[[#This Row],[CUIT]]="","-",VLOOKUP(venta_a_mes11[[#This Row],[CUIT]],Lista_CUIT[#All],2,0)),"CUIT NO CARGADO")</f>
        <v>-</v>
      </c>
      <c r="H325" s="100"/>
      <c r="I325" s="101">
        <f>venta_a_mes11[[#This Row],[IMPORTE NETO]]*0.21</f>
        <v>0</v>
      </c>
      <c r="J325" s="65"/>
      <c r="K325" s="65"/>
      <c r="L325" s="65">
        <f>SUM(venta_a_mes11[[#This Row],[IMPORTE NETO]:[EXENTO]])</f>
        <v>0</v>
      </c>
      <c r="M325" s="59"/>
    </row>
    <row r="326" spans="2:13" x14ac:dyDescent="0.3">
      <c r="B326" s="109"/>
      <c r="C326" s="110"/>
      <c r="D326" s="111"/>
      <c r="E326" s="112"/>
      <c r="F326" s="206"/>
      <c r="G326" s="99" t="str">
        <f>IFERROR(IF(venta_a_mes11[[#This Row],[CUIT]]="","-",VLOOKUP(venta_a_mes11[[#This Row],[CUIT]],Lista_CUIT[#All],2,0)),"CUIT NO CARGADO")</f>
        <v>-</v>
      </c>
      <c r="H326" s="100"/>
      <c r="I326" s="101">
        <f>venta_a_mes11[[#This Row],[IMPORTE NETO]]*0.21</f>
        <v>0</v>
      </c>
      <c r="J326" s="65"/>
      <c r="K326" s="65"/>
      <c r="L326" s="65">
        <f>SUM(venta_a_mes11[[#This Row],[IMPORTE NETO]:[EXENTO]])</f>
        <v>0</v>
      </c>
      <c r="M326" s="59"/>
    </row>
    <row r="327" spans="2:13" x14ac:dyDescent="0.3">
      <c r="B327" s="109"/>
      <c r="C327" s="110"/>
      <c r="D327" s="111"/>
      <c r="E327" s="112"/>
      <c r="F327" s="206"/>
      <c r="G327" s="99" t="str">
        <f>IFERROR(IF(venta_a_mes11[[#This Row],[CUIT]]="","-",VLOOKUP(venta_a_mes11[[#This Row],[CUIT]],Lista_CUIT[#All],2,0)),"CUIT NO CARGADO")</f>
        <v>-</v>
      </c>
      <c r="H327" s="100"/>
      <c r="I327" s="101">
        <f>venta_a_mes11[[#This Row],[IMPORTE NETO]]*0.21</f>
        <v>0</v>
      </c>
      <c r="J327" s="65"/>
      <c r="K327" s="65"/>
      <c r="L327" s="65">
        <f>SUM(venta_a_mes11[[#This Row],[IMPORTE NETO]:[EXENTO]])</f>
        <v>0</v>
      </c>
      <c r="M327" s="59"/>
    </row>
    <row r="328" spans="2:13" x14ac:dyDescent="0.3">
      <c r="B328" s="109"/>
      <c r="C328" s="110"/>
      <c r="D328" s="111"/>
      <c r="E328" s="112"/>
      <c r="F328" s="206"/>
      <c r="G328" s="99" t="str">
        <f>IFERROR(IF(venta_a_mes11[[#This Row],[CUIT]]="","-",VLOOKUP(venta_a_mes11[[#This Row],[CUIT]],Lista_CUIT[#All],2,0)),"CUIT NO CARGADO")</f>
        <v>-</v>
      </c>
      <c r="H328" s="100"/>
      <c r="I328" s="101">
        <f>venta_a_mes11[[#This Row],[IMPORTE NETO]]*0.21</f>
        <v>0</v>
      </c>
      <c r="J328" s="65"/>
      <c r="K328" s="65"/>
      <c r="L328" s="65">
        <f>SUM(venta_a_mes11[[#This Row],[IMPORTE NETO]:[EXENTO]])</f>
        <v>0</v>
      </c>
      <c r="M328" s="59"/>
    </row>
    <row r="329" spans="2:13" x14ac:dyDescent="0.3">
      <c r="B329" s="109"/>
      <c r="C329" s="110"/>
      <c r="D329" s="111"/>
      <c r="E329" s="112"/>
      <c r="F329" s="206"/>
      <c r="G329" s="99" t="str">
        <f>IFERROR(IF(venta_a_mes11[[#This Row],[CUIT]]="","-",VLOOKUP(venta_a_mes11[[#This Row],[CUIT]],Lista_CUIT[#All],2,0)),"CUIT NO CARGADO")</f>
        <v>-</v>
      </c>
      <c r="H329" s="100"/>
      <c r="I329" s="101">
        <f>venta_a_mes11[[#This Row],[IMPORTE NETO]]*0.21</f>
        <v>0</v>
      </c>
      <c r="J329" s="65"/>
      <c r="K329" s="65"/>
      <c r="L329" s="65">
        <f>SUM(venta_a_mes11[[#This Row],[IMPORTE NETO]:[EXENTO]])</f>
        <v>0</v>
      </c>
      <c r="M329" s="59"/>
    </row>
    <row r="330" spans="2:13" x14ac:dyDescent="0.3">
      <c r="B330" s="201"/>
      <c r="C330" s="203"/>
      <c r="D330" s="111"/>
      <c r="E330" s="204"/>
      <c r="F330" s="206"/>
      <c r="G330" s="99" t="str">
        <f>IFERROR(IF(venta_a_mes11[[#This Row],[CUIT]]="","-",VLOOKUP(venta_a_mes11[[#This Row],[CUIT]],Lista_CUIT[#All],2,0)),"CUIT NO CARGADO")</f>
        <v>-</v>
      </c>
      <c r="H330" s="100"/>
      <c r="I330" s="101">
        <f>venta_a_mes11[[#This Row],[IMPORTE NETO]]*0.21</f>
        <v>0</v>
      </c>
      <c r="J330" s="65"/>
      <c r="K330" s="65"/>
      <c r="L330" s="65">
        <f>SUM(venta_a_mes11[[#This Row],[IMPORTE NETO]:[EXENTO]])</f>
        <v>0</v>
      </c>
      <c r="M330" s="59"/>
    </row>
    <row r="331" spans="2:13" x14ac:dyDescent="0.3">
      <c r="B331" s="201"/>
      <c r="C331" s="203"/>
      <c r="D331" s="111"/>
      <c r="E331" s="204"/>
      <c r="F331" s="206"/>
      <c r="G331" s="99" t="str">
        <f>IFERROR(IF(venta_a_mes11[[#This Row],[CUIT]]="","-",VLOOKUP(venta_a_mes11[[#This Row],[CUIT]],Lista_CUIT[#All],2,0)),"CUIT NO CARGADO")</f>
        <v>-</v>
      </c>
      <c r="H331" s="100"/>
      <c r="I331" s="101">
        <f>venta_a_mes11[[#This Row],[IMPORTE NETO]]*0.21</f>
        <v>0</v>
      </c>
      <c r="J331" s="65"/>
      <c r="K331" s="65"/>
      <c r="L331" s="65">
        <f>SUM(venta_a_mes11[[#This Row],[IMPORTE NETO]:[EXENTO]])</f>
        <v>0</v>
      </c>
      <c r="M331" s="59"/>
    </row>
    <row r="332" spans="2:13" x14ac:dyDescent="0.3">
      <c r="B332" s="109"/>
      <c r="C332" s="203"/>
      <c r="D332" s="111"/>
      <c r="E332" s="112"/>
      <c r="F332" s="206"/>
      <c r="G332" s="99" t="str">
        <f>IFERROR(IF(venta_a_mes11[[#This Row],[CUIT]]="","-",VLOOKUP(venta_a_mes11[[#This Row],[CUIT]],Lista_CUIT[#All],2,0)),"CUIT NO CARGADO")</f>
        <v>-</v>
      </c>
      <c r="H332" s="100"/>
      <c r="I332" s="101">
        <f>venta_a_mes11[[#This Row],[IMPORTE NETO]]*0.21</f>
        <v>0</v>
      </c>
      <c r="J332" s="65"/>
      <c r="K332" s="65"/>
      <c r="L332" s="65">
        <f>SUM(venta_a_mes11[[#This Row],[IMPORTE NETO]:[EXENTO]])</f>
        <v>0</v>
      </c>
      <c r="M332" s="59"/>
    </row>
    <row r="333" spans="2:13" x14ac:dyDescent="0.3">
      <c r="B333" s="109"/>
      <c r="C333" s="203"/>
      <c r="D333" s="111"/>
      <c r="E333" s="112"/>
      <c r="F333" s="206"/>
      <c r="G333" s="99" t="str">
        <f>IFERROR(IF(venta_a_mes11[[#This Row],[CUIT]]="","-",VLOOKUP(venta_a_mes11[[#This Row],[CUIT]],Lista_CUIT[#All],2,0)),"CUIT NO CARGADO")</f>
        <v>-</v>
      </c>
      <c r="H333" s="100"/>
      <c r="I333" s="101">
        <f>venta_a_mes11[[#This Row],[IMPORTE NETO]]*0.21</f>
        <v>0</v>
      </c>
      <c r="J333" s="65"/>
      <c r="K333" s="65"/>
      <c r="L333" s="65">
        <f>SUM(venta_a_mes11[[#This Row],[IMPORTE NETO]:[EXENTO]])</f>
        <v>0</v>
      </c>
      <c r="M333" s="59"/>
    </row>
    <row r="334" spans="2:13" x14ac:dyDescent="0.3">
      <c r="B334" s="109"/>
      <c r="C334" s="110"/>
      <c r="D334" s="111"/>
      <c r="E334" s="112"/>
      <c r="F334" s="206"/>
      <c r="G334" s="99" t="str">
        <f>IFERROR(IF(venta_a_mes11[[#This Row],[CUIT]]="","-",VLOOKUP(venta_a_mes11[[#This Row],[CUIT]],Lista_CUIT[#All],2,0)),"CUIT NO CARGADO")</f>
        <v>-</v>
      </c>
      <c r="H334" s="100"/>
      <c r="I334" s="101">
        <f>venta_a_mes11[[#This Row],[IMPORTE NETO]]*0.21</f>
        <v>0</v>
      </c>
      <c r="J334" s="65"/>
      <c r="K334" s="65"/>
      <c r="L334" s="65">
        <f>SUM(venta_a_mes11[[#This Row],[IMPORTE NETO]:[EXENTO]])</f>
        <v>0</v>
      </c>
      <c r="M334" s="59"/>
    </row>
    <row r="335" spans="2:13" x14ac:dyDescent="0.3">
      <c r="B335" s="109"/>
      <c r="C335" s="110"/>
      <c r="D335" s="111"/>
      <c r="E335" s="112"/>
      <c r="F335" s="206"/>
      <c r="G335" s="99" t="str">
        <f>IFERROR(IF(venta_a_mes11[[#This Row],[CUIT]]="","-",VLOOKUP(venta_a_mes11[[#This Row],[CUIT]],Lista_CUIT[#All],2,0)),"CUIT NO CARGADO")</f>
        <v>-</v>
      </c>
      <c r="H335" s="100"/>
      <c r="I335" s="101">
        <f>venta_a_mes11[[#This Row],[IMPORTE NETO]]*0.21</f>
        <v>0</v>
      </c>
      <c r="J335" s="65"/>
      <c r="K335" s="65"/>
      <c r="L335" s="65">
        <f>SUM(venta_a_mes11[[#This Row],[IMPORTE NETO]:[EXENTO]])</f>
        <v>0</v>
      </c>
      <c r="M335" s="59"/>
    </row>
    <row r="336" spans="2:13" x14ac:dyDescent="0.3">
      <c r="B336" s="109"/>
      <c r="C336" s="110"/>
      <c r="D336" s="111"/>
      <c r="E336" s="112"/>
      <c r="F336" s="206"/>
      <c r="G336" s="99" t="str">
        <f>IFERROR(IF(venta_a_mes11[[#This Row],[CUIT]]="","-",VLOOKUP(venta_a_mes11[[#This Row],[CUIT]],Lista_CUIT[#All],2,0)),"CUIT NO CARGADO")</f>
        <v>-</v>
      </c>
      <c r="H336" s="100"/>
      <c r="I336" s="101">
        <f>venta_a_mes11[[#This Row],[IMPORTE NETO]]*0.21</f>
        <v>0</v>
      </c>
      <c r="J336" s="65"/>
      <c r="K336" s="65"/>
      <c r="L336" s="65">
        <f>SUM(venta_a_mes11[[#This Row],[IMPORTE NETO]:[EXENTO]])</f>
        <v>0</v>
      </c>
      <c r="M336" s="59"/>
    </row>
    <row r="337" spans="2:13" x14ac:dyDescent="0.3">
      <c r="B337" s="109"/>
      <c r="C337" s="110"/>
      <c r="D337" s="111"/>
      <c r="E337" s="112"/>
      <c r="F337" s="206"/>
      <c r="G337" s="99" t="str">
        <f>IFERROR(IF(venta_a_mes11[[#This Row],[CUIT]]="","-",VLOOKUP(venta_a_mes11[[#This Row],[CUIT]],Lista_CUIT[#All],2,0)),"CUIT NO CARGADO")</f>
        <v>-</v>
      </c>
      <c r="H337" s="100"/>
      <c r="I337" s="101">
        <f>venta_a_mes11[[#This Row],[IMPORTE NETO]]*0.21</f>
        <v>0</v>
      </c>
      <c r="J337" s="65"/>
      <c r="K337" s="65"/>
      <c r="L337" s="65">
        <f>SUM(venta_a_mes11[[#This Row],[IMPORTE NETO]:[EXENTO]])</f>
        <v>0</v>
      </c>
      <c r="M337" s="59"/>
    </row>
    <row r="338" spans="2:13" x14ac:dyDescent="0.3">
      <c r="B338" s="109"/>
      <c r="C338" s="110"/>
      <c r="D338" s="111"/>
      <c r="E338" s="112"/>
      <c r="F338" s="206"/>
      <c r="G338" s="99" t="str">
        <f>IFERROR(IF(venta_a_mes11[[#This Row],[CUIT]]="","-",VLOOKUP(venta_a_mes11[[#This Row],[CUIT]],Lista_CUIT[#All],2,0)),"CUIT NO CARGADO")</f>
        <v>-</v>
      </c>
      <c r="H338" s="100"/>
      <c r="I338" s="101">
        <f>venta_a_mes11[[#This Row],[IMPORTE NETO]]*0.21</f>
        <v>0</v>
      </c>
      <c r="J338" s="65"/>
      <c r="K338" s="65"/>
      <c r="L338" s="65">
        <f>SUM(venta_a_mes11[[#This Row],[IMPORTE NETO]:[EXENTO]])</f>
        <v>0</v>
      </c>
      <c r="M338" s="59"/>
    </row>
    <row r="339" spans="2:13" x14ac:dyDescent="0.3">
      <c r="B339" s="109"/>
      <c r="C339" s="110"/>
      <c r="D339" s="111"/>
      <c r="E339" s="112"/>
      <c r="F339" s="206"/>
      <c r="G339" s="99" t="str">
        <f>IFERROR(IF(venta_a_mes11[[#This Row],[CUIT]]="","-",VLOOKUP(venta_a_mes11[[#This Row],[CUIT]],Lista_CUIT[#All],2,0)),"CUIT NO CARGADO")</f>
        <v>-</v>
      </c>
      <c r="H339" s="100"/>
      <c r="I339" s="101">
        <f>venta_a_mes11[[#This Row],[IMPORTE NETO]]*0.21</f>
        <v>0</v>
      </c>
      <c r="J339" s="65"/>
      <c r="K339" s="65"/>
      <c r="L339" s="65">
        <f>SUM(venta_a_mes11[[#This Row],[IMPORTE NETO]:[EXENTO]])</f>
        <v>0</v>
      </c>
      <c r="M339" s="59"/>
    </row>
    <row r="340" spans="2:13" x14ac:dyDescent="0.3">
      <c r="B340" s="109"/>
      <c r="C340" s="110"/>
      <c r="D340" s="111"/>
      <c r="E340" s="112"/>
      <c r="F340" s="206"/>
      <c r="G340" s="99" t="str">
        <f>IFERROR(IF(venta_a_mes11[[#This Row],[CUIT]]="","-",VLOOKUP(venta_a_mes11[[#This Row],[CUIT]],Lista_CUIT[#All],2,0)),"CUIT NO CARGADO")</f>
        <v>-</v>
      </c>
      <c r="H340" s="100"/>
      <c r="I340" s="101">
        <f>venta_a_mes11[[#This Row],[IMPORTE NETO]]*0.21</f>
        <v>0</v>
      </c>
      <c r="J340" s="65"/>
      <c r="K340" s="65"/>
      <c r="L340" s="65">
        <f>SUM(venta_a_mes11[[#This Row],[IMPORTE NETO]:[EXENTO]])</f>
        <v>0</v>
      </c>
      <c r="M340" s="59"/>
    </row>
    <row r="341" spans="2:13" x14ac:dyDescent="0.3">
      <c r="B341" s="109"/>
      <c r="C341" s="110"/>
      <c r="D341" s="111"/>
      <c r="E341" s="112"/>
      <c r="F341" s="206"/>
      <c r="G341" s="99" t="str">
        <f>IFERROR(IF(venta_a_mes11[[#This Row],[CUIT]]="","-",VLOOKUP(venta_a_mes11[[#This Row],[CUIT]],Lista_CUIT[#All],2,0)),"CUIT NO CARGADO")</f>
        <v>-</v>
      </c>
      <c r="H341" s="100"/>
      <c r="I341" s="101">
        <f>venta_a_mes11[[#This Row],[IMPORTE NETO]]*0.21</f>
        <v>0</v>
      </c>
      <c r="J341" s="65"/>
      <c r="K341" s="65"/>
      <c r="L341" s="65">
        <f>SUM(venta_a_mes11[[#This Row],[IMPORTE NETO]:[EXENTO]])</f>
        <v>0</v>
      </c>
      <c r="M341" s="59"/>
    </row>
    <row r="342" spans="2:13" x14ac:dyDescent="0.3">
      <c r="B342" s="109"/>
      <c r="C342" s="110"/>
      <c r="D342" s="111"/>
      <c r="E342" s="112"/>
      <c r="F342" s="206"/>
      <c r="G342" s="99" t="str">
        <f>IFERROR(IF(venta_a_mes11[[#This Row],[CUIT]]="","-",VLOOKUP(venta_a_mes11[[#This Row],[CUIT]],Lista_CUIT[#All],2,0)),"CUIT NO CARGADO")</f>
        <v>-</v>
      </c>
      <c r="H342" s="100"/>
      <c r="I342" s="101">
        <f>venta_a_mes11[[#This Row],[IMPORTE NETO]]*0.21</f>
        <v>0</v>
      </c>
      <c r="J342" s="65"/>
      <c r="K342" s="65"/>
      <c r="L342" s="65">
        <f>SUM(venta_a_mes11[[#This Row],[IMPORTE NETO]:[EXENTO]])</f>
        <v>0</v>
      </c>
      <c r="M342" s="59"/>
    </row>
    <row r="343" spans="2:13" x14ac:dyDescent="0.3">
      <c r="B343" s="109"/>
      <c r="C343" s="110"/>
      <c r="D343" s="111"/>
      <c r="E343" s="112"/>
      <c r="F343" s="206"/>
      <c r="G343" s="99" t="str">
        <f>IFERROR(IF(venta_a_mes11[[#This Row],[CUIT]]="","-",VLOOKUP(venta_a_mes11[[#This Row],[CUIT]],Lista_CUIT[#All],2,0)),"CUIT NO CARGADO")</f>
        <v>-</v>
      </c>
      <c r="H343" s="100"/>
      <c r="I343" s="101">
        <f>venta_a_mes11[[#This Row],[IMPORTE NETO]]*0.21</f>
        <v>0</v>
      </c>
      <c r="J343" s="65"/>
      <c r="K343" s="65"/>
      <c r="L343" s="65">
        <f>SUM(venta_a_mes11[[#This Row],[IMPORTE NETO]:[EXENTO]])</f>
        <v>0</v>
      </c>
      <c r="M343" s="59"/>
    </row>
    <row r="344" spans="2:13" x14ac:dyDescent="0.3">
      <c r="B344" s="109"/>
      <c r="C344" s="110"/>
      <c r="D344" s="111"/>
      <c r="E344" s="112"/>
      <c r="F344" s="206"/>
      <c r="G344" s="99" t="str">
        <f>IFERROR(IF(venta_a_mes11[[#This Row],[CUIT]]="","-",VLOOKUP(venta_a_mes11[[#This Row],[CUIT]],Lista_CUIT[#All],2,0)),"CUIT NO CARGADO")</f>
        <v>-</v>
      </c>
      <c r="H344" s="100"/>
      <c r="I344" s="101">
        <f>venta_a_mes11[[#This Row],[IMPORTE NETO]]*0.21</f>
        <v>0</v>
      </c>
      <c r="J344" s="65"/>
      <c r="K344" s="65"/>
      <c r="L344" s="65">
        <f>SUM(venta_a_mes11[[#This Row],[IMPORTE NETO]:[EXENTO]])</f>
        <v>0</v>
      </c>
      <c r="M344" s="59"/>
    </row>
    <row r="345" spans="2:13" x14ac:dyDescent="0.3">
      <c r="B345" s="109"/>
      <c r="C345" s="110"/>
      <c r="D345" s="111"/>
      <c r="E345" s="112"/>
      <c r="F345" s="206"/>
      <c r="G345" s="99" t="str">
        <f>IFERROR(IF(venta_a_mes11[[#This Row],[CUIT]]="","-",VLOOKUP(venta_a_mes11[[#This Row],[CUIT]],Lista_CUIT[#All],2,0)),"CUIT NO CARGADO")</f>
        <v>-</v>
      </c>
      <c r="H345" s="100"/>
      <c r="I345" s="101">
        <f>venta_a_mes11[[#This Row],[IMPORTE NETO]]*0.21</f>
        <v>0</v>
      </c>
      <c r="J345" s="65"/>
      <c r="K345" s="65"/>
      <c r="L345" s="65">
        <f>SUM(venta_a_mes11[[#This Row],[IMPORTE NETO]:[EXENTO]])</f>
        <v>0</v>
      </c>
      <c r="M345" s="59"/>
    </row>
    <row r="346" spans="2:13" x14ac:dyDescent="0.3">
      <c r="B346" s="109"/>
      <c r="C346" s="110"/>
      <c r="D346" s="111"/>
      <c r="E346" s="112"/>
      <c r="F346" s="206"/>
      <c r="G346" s="99" t="str">
        <f>IFERROR(IF(venta_a_mes11[[#This Row],[CUIT]]="","-",VLOOKUP(venta_a_mes11[[#This Row],[CUIT]],Lista_CUIT[#All],2,0)),"CUIT NO CARGADO")</f>
        <v>-</v>
      </c>
      <c r="H346" s="100"/>
      <c r="I346" s="101">
        <f>venta_a_mes11[[#This Row],[IMPORTE NETO]]*0.21</f>
        <v>0</v>
      </c>
      <c r="J346" s="65"/>
      <c r="K346" s="65"/>
      <c r="L346" s="65">
        <f>SUM(venta_a_mes11[[#This Row],[IMPORTE NETO]:[EXENTO]])</f>
        <v>0</v>
      </c>
      <c r="M346" s="59"/>
    </row>
    <row r="347" spans="2:13" x14ac:dyDescent="0.3">
      <c r="B347" s="109"/>
      <c r="C347" s="110"/>
      <c r="D347" s="111"/>
      <c r="E347" s="112"/>
      <c r="F347" s="206"/>
      <c r="G347" s="99" t="str">
        <f>IFERROR(IF(venta_a_mes11[[#This Row],[CUIT]]="","-",VLOOKUP(venta_a_mes11[[#This Row],[CUIT]],Lista_CUIT[#All],2,0)),"CUIT NO CARGADO")</f>
        <v>-</v>
      </c>
      <c r="H347" s="100"/>
      <c r="I347" s="101">
        <f>venta_a_mes11[[#This Row],[IMPORTE NETO]]*0.21</f>
        <v>0</v>
      </c>
      <c r="J347" s="65"/>
      <c r="K347" s="65"/>
      <c r="L347" s="65">
        <f>SUM(venta_a_mes11[[#This Row],[IMPORTE NETO]:[EXENTO]])</f>
        <v>0</v>
      </c>
      <c r="M347" s="59"/>
    </row>
    <row r="348" spans="2:13" x14ac:dyDescent="0.3">
      <c r="B348" s="109"/>
      <c r="C348" s="110"/>
      <c r="D348" s="111"/>
      <c r="E348" s="112"/>
      <c r="F348" s="206"/>
      <c r="G348" s="99" t="str">
        <f>IFERROR(IF(venta_a_mes11[[#This Row],[CUIT]]="","-",VLOOKUP(venta_a_mes11[[#This Row],[CUIT]],Lista_CUIT[#All],2,0)),"CUIT NO CARGADO")</f>
        <v>-</v>
      </c>
      <c r="H348" s="100"/>
      <c r="I348" s="101">
        <f>venta_a_mes11[[#This Row],[IMPORTE NETO]]*0.21</f>
        <v>0</v>
      </c>
      <c r="J348" s="65"/>
      <c r="K348" s="65"/>
      <c r="L348" s="65">
        <f>SUM(venta_a_mes11[[#This Row],[IMPORTE NETO]:[EXENTO]])</f>
        <v>0</v>
      </c>
      <c r="M348" s="59"/>
    </row>
    <row r="349" spans="2:13" x14ac:dyDescent="0.3">
      <c r="B349" s="109"/>
      <c r="C349" s="110"/>
      <c r="D349" s="111"/>
      <c r="E349" s="112"/>
      <c r="F349" s="206"/>
      <c r="G349" s="99" t="str">
        <f>IFERROR(IF(venta_a_mes11[[#This Row],[CUIT]]="","-",VLOOKUP(venta_a_mes11[[#This Row],[CUIT]],Lista_CUIT[#All],2,0)),"CUIT NO CARGADO")</f>
        <v>-</v>
      </c>
      <c r="H349" s="100"/>
      <c r="I349" s="101">
        <f>venta_a_mes11[[#This Row],[IMPORTE NETO]]*0.21</f>
        <v>0</v>
      </c>
      <c r="J349" s="65"/>
      <c r="K349" s="65"/>
      <c r="L349" s="65">
        <f>SUM(venta_a_mes11[[#This Row],[IMPORTE NETO]:[EXENTO]])</f>
        <v>0</v>
      </c>
      <c r="M349" s="59"/>
    </row>
    <row r="350" spans="2:13" x14ac:dyDescent="0.3">
      <c r="B350" s="109"/>
      <c r="C350" s="110"/>
      <c r="D350" s="111"/>
      <c r="E350" s="112"/>
      <c r="F350" s="206"/>
      <c r="G350" s="99" t="str">
        <f>IFERROR(IF(venta_a_mes11[[#This Row],[CUIT]]="","-",VLOOKUP(venta_a_mes11[[#This Row],[CUIT]],Lista_CUIT[#All],2,0)),"CUIT NO CARGADO")</f>
        <v>-</v>
      </c>
      <c r="H350" s="100"/>
      <c r="I350" s="101">
        <f>venta_a_mes11[[#This Row],[IMPORTE NETO]]*0.21</f>
        <v>0</v>
      </c>
      <c r="J350" s="65"/>
      <c r="K350" s="65"/>
      <c r="L350" s="65">
        <f>SUM(venta_a_mes11[[#This Row],[IMPORTE NETO]:[EXENTO]])</f>
        <v>0</v>
      </c>
      <c r="M350" s="59"/>
    </row>
    <row r="351" spans="2:13" x14ac:dyDescent="0.3">
      <c r="B351" s="109"/>
      <c r="C351" s="110"/>
      <c r="D351" s="111"/>
      <c r="E351" s="112"/>
      <c r="F351" s="206"/>
      <c r="G351" s="99" t="str">
        <f>IFERROR(IF(venta_a_mes11[[#This Row],[CUIT]]="","-",VLOOKUP(venta_a_mes11[[#This Row],[CUIT]],Lista_CUIT[#All],2,0)),"CUIT NO CARGADO")</f>
        <v>-</v>
      </c>
      <c r="H351" s="100"/>
      <c r="I351" s="101">
        <f>venta_a_mes11[[#This Row],[IMPORTE NETO]]*0.21</f>
        <v>0</v>
      </c>
      <c r="J351" s="65"/>
      <c r="K351" s="65"/>
      <c r="L351" s="65">
        <f>SUM(venta_a_mes11[[#This Row],[IMPORTE NETO]:[EXENTO]])</f>
        <v>0</v>
      </c>
      <c r="M351" s="59"/>
    </row>
    <row r="352" spans="2:13" x14ac:dyDescent="0.3">
      <c r="B352" s="109"/>
      <c r="C352" s="110"/>
      <c r="D352" s="111"/>
      <c r="E352" s="112"/>
      <c r="F352" s="206"/>
      <c r="G352" s="99" t="str">
        <f>IFERROR(IF(venta_a_mes11[[#This Row],[CUIT]]="","-",VLOOKUP(venta_a_mes11[[#This Row],[CUIT]],Lista_CUIT[#All],2,0)),"CUIT NO CARGADO")</f>
        <v>-</v>
      </c>
      <c r="H352" s="100"/>
      <c r="I352" s="101">
        <f>venta_a_mes11[[#This Row],[IMPORTE NETO]]*0.21</f>
        <v>0</v>
      </c>
      <c r="J352" s="65"/>
      <c r="K352" s="65"/>
      <c r="L352" s="65">
        <f>SUM(venta_a_mes11[[#This Row],[IMPORTE NETO]:[EXENTO]])</f>
        <v>0</v>
      </c>
      <c r="M352" s="59"/>
    </row>
    <row r="353" spans="2:13" x14ac:dyDescent="0.3">
      <c r="B353" s="109"/>
      <c r="C353" s="203"/>
      <c r="D353" s="111"/>
      <c r="E353" s="112"/>
      <c r="F353" s="206"/>
      <c r="G353" s="99" t="str">
        <f>IFERROR(IF(venta_a_mes11[[#This Row],[CUIT]]="","-",VLOOKUP(venta_a_mes11[[#This Row],[CUIT]],Lista_CUIT[#All],2,0)),"CUIT NO CARGADO")</f>
        <v>-</v>
      </c>
      <c r="H353" s="100"/>
      <c r="I353" s="101">
        <f>venta_a_mes11[[#This Row],[IMPORTE NETO]]*0.21</f>
        <v>0</v>
      </c>
      <c r="J353" s="65"/>
      <c r="K353" s="65"/>
      <c r="L353" s="65">
        <f>SUM(venta_a_mes11[[#This Row],[IMPORTE NETO]:[EXENTO]])</f>
        <v>0</v>
      </c>
      <c r="M353" s="59"/>
    </row>
    <row r="354" spans="2:13" x14ac:dyDescent="0.3">
      <c r="B354" s="109"/>
      <c r="C354" s="203"/>
      <c r="D354" s="111"/>
      <c r="E354" s="112"/>
      <c r="F354" s="206"/>
      <c r="G354" s="99" t="str">
        <f>IFERROR(IF(venta_a_mes11[[#This Row],[CUIT]]="","-",VLOOKUP(venta_a_mes11[[#This Row],[CUIT]],Lista_CUIT[#All],2,0)),"CUIT NO CARGADO")</f>
        <v>-</v>
      </c>
      <c r="H354" s="100"/>
      <c r="I354" s="101">
        <f>venta_a_mes11[[#This Row],[IMPORTE NETO]]*0.21</f>
        <v>0</v>
      </c>
      <c r="J354" s="65"/>
      <c r="K354" s="65"/>
      <c r="L354" s="65">
        <f>SUM(venta_a_mes11[[#This Row],[IMPORTE NETO]:[EXENTO]])</f>
        <v>0</v>
      </c>
      <c r="M354" s="59"/>
    </row>
    <row r="355" spans="2:13" x14ac:dyDescent="0.3">
      <c r="B355" s="109"/>
      <c r="C355" s="203"/>
      <c r="D355" s="111"/>
      <c r="E355" s="112"/>
      <c r="F355" s="206"/>
      <c r="G355" s="99" t="str">
        <f>IFERROR(IF(venta_a_mes11[[#This Row],[CUIT]]="","-",VLOOKUP(venta_a_mes11[[#This Row],[CUIT]],Lista_CUIT[#All],2,0)),"CUIT NO CARGADO")</f>
        <v>-</v>
      </c>
      <c r="H355" s="100"/>
      <c r="I355" s="101">
        <f>venta_a_mes11[[#This Row],[IMPORTE NETO]]*0.21</f>
        <v>0</v>
      </c>
      <c r="J355" s="65"/>
      <c r="K355" s="65"/>
      <c r="L355" s="65">
        <f>SUM(venta_a_mes11[[#This Row],[IMPORTE NETO]:[EXENTO]])</f>
        <v>0</v>
      </c>
      <c r="M355" s="59"/>
    </row>
    <row r="356" spans="2:13" x14ac:dyDescent="0.3">
      <c r="B356" s="109"/>
      <c r="C356" s="203"/>
      <c r="D356" s="111"/>
      <c r="E356" s="112"/>
      <c r="F356" s="206"/>
      <c r="G356" s="99" t="str">
        <f>IFERROR(IF(venta_a_mes11[[#This Row],[CUIT]]="","-",VLOOKUP(venta_a_mes11[[#This Row],[CUIT]],Lista_CUIT[#All],2,0)),"CUIT NO CARGADO")</f>
        <v>-</v>
      </c>
      <c r="H356" s="100"/>
      <c r="I356" s="101">
        <f>venta_a_mes11[[#This Row],[IMPORTE NETO]]*0.21</f>
        <v>0</v>
      </c>
      <c r="J356" s="65"/>
      <c r="K356" s="65"/>
      <c r="L356" s="65">
        <f>SUM(venta_a_mes11[[#This Row],[IMPORTE NETO]:[EXENTO]])</f>
        <v>0</v>
      </c>
      <c r="M356" s="59"/>
    </row>
    <row r="357" spans="2:13" x14ac:dyDescent="0.3">
      <c r="B357" s="109"/>
      <c r="C357" s="110"/>
      <c r="D357" s="111"/>
      <c r="E357" s="112"/>
      <c r="F357" s="206"/>
      <c r="G357" s="99" t="str">
        <f>IFERROR(IF(venta_a_mes11[[#This Row],[CUIT]]="","-",VLOOKUP(venta_a_mes11[[#This Row],[CUIT]],Lista_CUIT[#All],2,0)),"CUIT NO CARGADO")</f>
        <v>-</v>
      </c>
      <c r="H357" s="100"/>
      <c r="I357" s="101">
        <f>venta_a_mes11[[#This Row],[IMPORTE NETO]]*0.21</f>
        <v>0</v>
      </c>
      <c r="J357" s="65"/>
      <c r="K357" s="65"/>
      <c r="L357" s="65">
        <f>SUM(venta_a_mes11[[#This Row],[IMPORTE NETO]:[EXENTO]])</f>
        <v>0</v>
      </c>
      <c r="M357" s="59"/>
    </row>
    <row r="358" spans="2:13" x14ac:dyDescent="0.3">
      <c r="B358" s="109"/>
      <c r="C358" s="110"/>
      <c r="D358" s="111"/>
      <c r="E358" s="112"/>
      <c r="F358" s="206"/>
      <c r="G358" s="99" t="str">
        <f>IFERROR(IF(venta_a_mes11[[#This Row],[CUIT]]="","-",VLOOKUP(venta_a_mes11[[#This Row],[CUIT]],Lista_CUIT[#All],2,0)),"CUIT NO CARGADO")</f>
        <v>-</v>
      </c>
      <c r="H358" s="100"/>
      <c r="I358" s="101">
        <f>venta_a_mes11[[#This Row],[IMPORTE NETO]]*0.21</f>
        <v>0</v>
      </c>
      <c r="J358" s="65"/>
      <c r="K358" s="65"/>
      <c r="L358" s="65">
        <f>SUM(venta_a_mes11[[#This Row],[IMPORTE NETO]:[EXENTO]])</f>
        <v>0</v>
      </c>
      <c r="M358" s="59"/>
    </row>
    <row r="359" spans="2:13" x14ac:dyDescent="0.3">
      <c r="B359" s="109"/>
      <c r="C359" s="110"/>
      <c r="D359" s="111"/>
      <c r="E359" s="112"/>
      <c r="F359" s="206"/>
      <c r="G359" s="99" t="str">
        <f>IFERROR(IF(venta_a_mes11[[#This Row],[CUIT]]="","-",VLOOKUP(venta_a_mes11[[#This Row],[CUIT]],Lista_CUIT[#All],2,0)),"CUIT NO CARGADO")</f>
        <v>-</v>
      </c>
      <c r="H359" s="100"/>
      <c r="I359" s="101">
        <f>venta_a_mes11[[#This Row],[IMPORTE NETO]]*0.21</f>
        <v>0</v>
      </c>
      <c r="J359" s="65"/>
      <c r="K359" s="65"/>
      <c r="L359" s="65">
        <f>SUM(venta_a_mes11[[#This Row],[IMPORTE NETO]:[EXENTO]])</f>
        <v>0</v>
      </c>
      <c r="M359" s="59"/>
    </row>
    <row r="360" spans="2:13" x14ac:dyDescent="0.3">
      <c r="B360" s="109"/>
      <c r="C360" s="110"/>
      <c r="D360" s="111"/>
      <c r="E360" s="112"/>
      <c r="F360" s="206"/>
      <c r="G360" s="99" t="str">
        <f>IFERROR(IF(venta_a_mes11[[#This Row],[CUIT]]="","-",VLOOKUP(venta_a_mes11[[#This Row],[CUIT]],Lista_CUIT[#All],2,0)),"CUIT NO CARGADO")</f>
        <v>-</v>
      </c>
      <c r="H360" s="100"/>
      <c r="I360" s="101">
        <f>venta_a_mes11[[#This Row],[IMPORTE NETO]]*0.21</f>
        <v>0</v>
      </c>
      <c r="J360" s="65"/>
      <c r="K360" s="65"/>
      <c r="L360" s="65">
        <f>SUM(venta_a_mes11[[#This Row],[IMPORTE NETO]:[EXENTO]])</f>
        <v>0</v>
      </c>
      <c r="M360" s="59"/>
    </row>
    <row r="361" spans="2:13" x14ac:dyDescent="0.3">
      <c r="B361" s="109"/>
      <c r="C361" s="110"/>
      <c r="D361" s="111"/>
      <c r="E361" s="112"/>
      <c r="F361" s="206"/>
      <c r="G361" s="99" t="str">
        <f>IFERROR(IF(venta_a_mes11[[#This Row],[CUIT]]="","-",VLOOKUP(venta_a_mes11[[#This Row],[CUIT]],Lista_CUIT[#All],2,0)),"CUIT NO CARGADO")</f>
        <v>-</v>
      </c>
      <c r="H361" s="100"/>
      <c r="I361" s="101">
        <f>venta_a_mes11[[#This Row],[IMPORTE NETO]]*0.21</f>
        <v>0</v>
      </c>
      <c r="J361" s="65"/>
      <c r="K361" s="65"/>
      <c r="L361" s="65">
        <f>SUM(venta_a_mes11[[#This Row],[IMPORTE NETO]:[EXENTO]])</f>
        <v>0</v>
      </c>
      <c r="M361" s="59"/>
    </row>
    <row r="362" spans="2:13" x14ac:dyDescent="0.3">
      <c r="B362" s="109"/>
      <c r="C362" s="110"/>
      <c r="D362" s="111"/>
      <c r="E362" s="112"/>
      <c r="F362" s="206"/>
      <c r="G362" s="99" t="str">
        <f>IFERROR(IF(venta_a_mes11[[#This Row],[CUIT]]="","-",VLOOKUP(venta_a_mes11[[#This Row],[CUIT]],Lista_CUIT[#All],2,0)),"CUIT NO CARGADO")</f>
        <v>-</v>
      </c>
      <c r="H362" s="100"/>
      <c r="I362" s="101">
        <f>venta_a_mes11[[#This Row],[IMPORTE NETO]]*0.21</f>
        <v>0</v>
      </c>
      <c r="J362" s="65"/>
      <c r="K362" s="65"/>
      <c r="L362" s="65">
        <f>SUM(venta_a_mes11[[#This Row],[IMPORTE NETO]:[EXENTO]])</f>
        <v>0</v>
      </c>
      <c r="M362" s="59"/>
    </row>
    <row r="363" spans="2:13" x14ac:dyDescent="0.3">
      <c r="B363" s="109"/>
      <c r="C363" s="110"/>
      <c r="D363" s="111"/>
      <c r="E363" s="112"/>
      <c r="F363" s="206"/>
      <c r="G363" s="99" t="str">
        <f>IFERROR(IF(venta_a_mes11[[#This Row],[CUIT]]="","-",VLOOKUP(venta_a_mes11[[#This Row],[CUIT]],Lista_CUIT[#All],2,0)),"CUIT NO CARGADO")</f>
        <v>-</v>
      </c>
      <c r="H363" s="100"/>
      <c r="I363" s="101">
        <f>venta_a_mes11[[#This Row],[IMPORTE NETO]]*0.21</f>
        <v>0</v>
      </c>
      <c r="J363" s="65"/>
      <c r="K363" s="65"/>
      <c r="L363" s="65">
        <f>SUM(venta_a_mes11[[#This Row],[IMPORTE NETO]:[EXENTO]])</f>
        <v>0</v>
      </c>
      <c r="M363" s="59"/>
    </row>
    <row r="364" spans="2:13" x14ac:dyDescent="0.3">
      <c r="B364" s="109"/>
      <c r="C364" s="110"/>
      <c r="D364" s="111"/>
      <c r="E364" s="112"/>
      <c r="F364" s="206"/>
      <c r="G364" s="99" t="str">
        <f>IFERROR(IF(venta_a_mes11[[#This Row],[CUIT]]="","-",VLOOKUP(venta_a_mes11[[#This Row],[CUIT]],Lista_CUIT[#All],2,0)),"CUIT NO CARGADO")</f>
        <v>-</v>
      </c>
      <c r="H364" s="100"/>
      <c r="I364" s="101">
        <f>venta_a_mes11[[#This Row],[IMPORTE NETO]]*0.21</f>
        <v>0</v>
      </c>
      <c r="J364" s="65"/>
      <c r="K364" s="65"/>
      <c r="L364" s="65">
        <f>SUM(venta_a_mes11[[#This Row],[IMPORTE NETO]:[EXENTO]])</f>
        <v>0</v>
      </c>
      <c r="M364" s="59"/>
    </row>
    <row r="365" spans="2:13" x14ac:dyDescent="0.3">
      <c r="B365" s="109"/>
      <c r="C365" s="110"/>
      <c r="D365" s="111"/>
      <c r="E365" s="112"/>
      <c r="F365" s="206"/>
      <c r="G365" s="99" t="str">
        <f>IFERROR(IF(venta_a_mes11[[#This Row],[CUIT]]="","-",VLOOKUP(venta_a_mes11[[#This Row],[CUIT]],Lista_CUIT[#All],2,0)),"CUIT NO CARGADO")</f>
        <v>-</v>
      </c>
      <c r="H365" s="100"/>
      <c r="I365" s="101">
        <f>venta_a_mes11[[#This Row],[IMPORTE NETO]]*0.21</f>
        <v>0</v>
      </c>
      <c r="J365" s="65"/>
      <c r="K365" s="65"/>
      <c r="L365" s="65">
        <f>SUM(venta_a_mes11[[#This Row],[IMPORTE NETO]:[EXENTO]])</f>
        <v>0</v>
      </c>
      <c r="M365" s="59"/>
    </row>
    <row r="366" spans="2:13" x14ac:dyDescent="0.3">
      <c r="B366" s="109"/>
      <c r="C366" s="110"/>
      <c r="D366" s="111"/>
      <c r="E366" s="112"/>
      <c r="F366" s="206"/>
      <c r="G366" s="99" t="str">
        <f>IFERROR(IF(venta_a_mes11[[#This Row],[CUIT]]="","-",VLOOKUP(venta_a_mes11[[#This Row],[CUIT]],Lista_CUIT[#All],2,0)),"CUIT NO CARGADO")</f>
        <v>-</v>
      </c>
      <c r="H366" s="100"/>
      <c r="I366" s="101">
        <f>venta_a_mes11[[#This Row],[IMPORTE NETO]]*0.21</f>
        <v>0</v>
      </c>
      <c r="J366" s="65"/>
      <c r="K366" s="65"/>
      <c r="L366" s="65">
        <f>SUM(venta_a_mes11[[#This Row],[IMPORTE NETO]:[EXENTO]])</f>
        <v>0</v>
      </c>
      <c r="M366" s="59"/>
    </row>
    <row r="367" spans="2:13" x14ac:dyDescent="0.3">
      <c r="B367" s="109"/>
      <c r="C367" s="110"/>
      <c r="D367" s="111"/>
      <c r="E367" s="112"/>
      <c r="F367" s="206"/>
      <c r="G367" s="99" t="str">
        <f>IFERROR(IF(venta_a_mes11[[#This Row],[CUIT]]="","-",VLOOKUP(venta_a_mes11[[#This Row],[CUIT]],Lista_CUIT[#All],2,0)),"CUIT NO CARGADO")</f>
        <v>-</v>
      </c>
      <c r="H367" s="100"/>
      <c r="I367" s="101">
        <f>venta_a_mes11[[#This Row],[IMPORTE NETO]]*0.21</f>
        <v>0</v>
      </c>
      <c r="J367" s="65"/>
      <c r="K367" s="65"/>
      <c r="L367" s="65">
        <f>SUM(venta_a_mes11[[#This Row],[IMPORTE NETO]:[EXENTO]])</f>
        <v>0</v>
      </c>
      <c r="M367" s="59"/>
    </row>
    <row r="368" spans="2:13" x14ac:dyDescent="0.3">
      <c r="B368" s="109"/>
      <c r="C368" s="110"/>
      <c r="D368" s="111"/>
      <c r="E368" s="112"/>
      <c r="F368" s="206"/>
      <c r="G368" s="99" t="str">
        <f>IFERROR(IF(venta_a_mes11[[#This Row],[CUIT]]="","-",VLOOKUP(venta_a_mes11[[#This Row],[CUIT]],Lista_CUIT[#All],2,0)),"CUIT NO CARGADO")</f>
        <v>-</v>
      </c>
      <c r="H368" s="100"/>
      <c r="I368" s="101">
        <f>venta_a_mes11[[#This Row],[IMPORTE NETO]]*0.21</f>
        <v>0</v>
      </c>
      <c r="J368" s="65"/>
      <c r="K368" s="65"/>
      <c r="L368" s="65">
        <f>SUM(venta_a_mes11[[#This Row],[IMPORTE NETO]:[EXENTO]])</f>
        <v>0</v>
      </c>
      <c r="M368" s="59"/>
    </row>
    <row r="369" spans="2:13" x14ac:dyDescent="0.3">
      <c r="B369" s="109"/>
      <c r="C369" s="110"/>
      <c r="D369" s="111"/>
      <c r="E369" s="112"/>
      <c r="F369" s="206"/>
      <c r="G369" s="99" t="str">
        <f>IFERROR(IF(venta_a_mes11[[#This Row],[CUIT]]="","-",VLOOKUP(venta_a_mes11[[#This Row],[CUIT]],Lista_CUIT[#All],2,0)),"CUIT NO CARGADO")</f>
        <v>-</v>
      </c>
      <c r="H369" s="100"/>
      <c r="I369" s="101">
        <f>venta_a_mes11[[#This Row],[IMPORTE NETO]]*0.21</f>
        <v>0</v>
      </c>
      <c r="J369" s="65"/>
      <c r="K369" s="65"/>
      <c r="L369" s="65">
        <f>SUM(venta_a_mes11[[#This Row],[IMPORTE NETO]:[EXENTO]])</f>
        <v>0</v>
      </c>
      <c r="M369" s="59"/>
    </row>
    <row r="370" spans="2:13" x14ac:dyDescent="0.3">
      <c r="B370" s="109"/>
      <c r="C370" s="110"/>
      <c r="D370" s="111"/>
      <c r="E370" s="112"/>
      <c r="F370" s="206"/>
      <c r="G370" s="99" t="str">
        <f>IFERROR(IF(venta_a_mes11[[#This Row],[CUIT]]="","-",VLOOKUP(venta_a_mes11[[#This Row],[CUIT]],Lista_CUIT[#All],2,0)),"CUIT NO CARGADO")</f>
        <v>-</v>
      </c>
      <c r="H370" s="100"/>
      <c r="I370" s="101">
        <f>venta_a_mes11[[#This Row],[IMPORTE NETO]]*0.21</f>
        <v>0</v>
      </c>
      <c r="J370" s="65"/>
      <c r="K370" s="65"/>
      <c r="L370" s="65">
        <f>SUM(venta_a_mes11[[#This Row],[IMPORTE NETO]:[EXENTO]])</f>
        <v>0</v>
      </c>
      <c r="M370" s="59"/>
    </row>
    <row r="371" spans="2:13" x14ac:dyDescent="0.3">
      <c r="B371" s="109"/>
      <c r="C371" s="110"/>
      <c r="D371" s="111"/>
      <c r="E371" s="112"/>
      <c r="F371" s="206"/>
      <c r="G371" s="99" t="str">
        <f>IFERROR(IF(venta_a_mes11[[#This Row],[CUIT]]="","-",VLOOKUP(venta_a_mes11[[#This Row],[CUIT]],Lista_CUIT[#All],2,0)),"CUIT NO CARGADO")</f>
        <v>-</v>
      </c>
      <c r="H371" s="100"/>
      <c r="I371" s="101">
        <f>venta_a_mes11[[#This Row],[IMPORTE NETO]]*0.21</f>
        <v>0</v>
      </c>
      <c r="J371" s="65"/>
      <c r="K371" s="65"/>
      <c r="L371" s="65">
        <f>SUM(venta_a_mes11[[#This Row],[IMPORTE NETO]:[EXENTO]])</f>
        <v>0</v>
      </c>
      <c r="M371" s="59"/>
    </row>
    <row r="372" spans="2:13" x14ac:dyDescent="0.3">
      <c r="B372" s="109"/>
      <c r="C372" s="110"/>
      <c r="D372" s="111"/>
      <c r="E372" s="112"/>
      <c r="F372" s="206"/>
      <c r="G372" s="99" t="str">
        <f>IFERROR(IF(venta_a_mes11[[#This Row],[CUIT]]="","-",VLOOKUP(venta_a_mes11[[#This Row],[CUIT]],Lista_CUIT[#All],2,0)),"CUIT NO CARGADO")</f>
        <v>-</v>
      </c>
      <c r="H372" s="100"/>
      <c r="I372" s="101">
        <f>venta_a_mes11[[#This Row],[IMPORTE NETO]]*0.21</f>
        <v>0</v>
      </c>
      <c r="J372" s="65"/>
      <c r="K372" s="65"/>
      <c r="L372" s="65">
        <f>SUM(venta_a_mes11[[#This Row],[IMPORTE NETO]:[EXENTO]])</f>
        <v>0</v>
      </c>
      <c r="M372" s="59"/>
    </row>
    <row r="373" spans="2:13" x14ac:dyDescent="0.3">
      <c r="B373" s="109"/>
      <c r="C373" s="110"/>
      <c r="D373" s="111"/>
      <c r="E373" s="112"/>
      <c r="F373" s="206"/>
      <c r="G373" s="99" t="str">
        <f>IFERROR(IF(venta_a_mes11[[#This Row],[CUIT]]="","-",VLOOKUP(venta_a_mes11[[#This Row],[CUIT]],Lista_CUIT[#All],2,0)),"CUIT NO CARGADO")</f>
        <v>-</v>
      </c>
      <c r="H373" s="100"/>
      <c r="I373" s="101">
        <f>venta_a_mes11[[#This Row],[IMPORTE NETO]]*0.21</f>
        <v>0</v>
      </c>
      <c r="J373" s="65"/>
      <c r="K373" s="65"/>
      <c r="L373" s="65">
        <f>SUM(venta_a_mes11[[#This Row],[IMPORTE NETO]:[EXENTO]])</f>
        <v>0</v>
      </c>
      <c r="M373" s="59"/>
    </row>
    <row r="374" spans="2:13" x14ac:dyDescent="0.3">
      <c r="B374" s="109"/>
      <c r="C374" s="110"/>
      <c r="D374" s="111"/>
      <c r="E374" s="112"/>
      <c r="F374" s="206"/>
      <c r="G374" s="99" t="str">
        <f>IFERROR(IF(venta_a_mes11[[#This Row],[CUIT]]="","-",VLOOKUP(venta_a_mes11[[#This Row],[CUIT]],Lista_CUIT[#All],2,0)),"CUIT NO CARGADO")</f>
        <v>-</v>
      </c>
      <c r="H374" s="100"/>
      <c r="I374" s="101">
        <f>venta_a_mes11[[#This Row],[IMPORTE NETO]]*0.21</f>
        <v>0</v>
      </c>
      <c r="J374" s="65"/>
      <c r="K374" s="65"/>
      <c r="L374" s="65">
        <f>SUM(venta_a_mes11[[#This Row],[IMPORTE NETO]:[EXENTO]])</f>
        <v>0</v>
      </c>
      <c r="M374" s="59"/>
    </row>
    <row r="375" spans="2:13" x14ac:dyDescent="0.3">
      <c r="B375" s="109"/>
      <c r="C375" s="110"/>
      <c r="D375" s="111"/>
      <c r="E375" s="112"/>
      <c r="F375" s="206"/>
      <c r="G375" s="99" t="str">
        <f>IFERROR(IF(venta_a_mes11[[#This Row],[CUIT]]="","-",VLOOKUP(venta_a_mes11[[#This Row],[CUIT]],Lista_CUIT[#All],2,0)),"CUIT NO CARGADO")</f>
        <v>-</v>
      </c>
      <c r="H375" s="100"/>
      <c r="I375" s="101">
        <f>venta_a_mes11[[#This Row],[IMPORTE NETO]]*0.21</f>
        <v>0</v>
      </c>
      <c r="J375" s="65"/>
      <c r="K375" s="65"/>
      <c r="L375" s="65">
        <f>SUM(venta_a_mes11[[#This Row],[IMPORTE NETO]:[EXENTO]])</f>
        <v>0</v>
      </c>
      <c r="M375" s="59"/>
    </row>
    <row r="376" spans="2:13" x14ac:dyDescent="0.3">
      <c r="B376" s="109"/>
      <c r="C376" s="110"/>
      <c r="D376" s="111"/>
      <c r="E376" s="112"/>
      <c r="F376" s="206"/>
      <c r="G376" s="99" t="str">
        <f>IFERROR(IF(venta_a_mes11[[#This Row],[CUIT]]="","-",VLOOKUP(venta_a_mes11[[#This Row],[CUIT]],Lista_CUIT[#All],2,0)),"CUIT NO CARGADO")</f>
        <v>-</v>
      </c>
      <c r="H376" s="100"/>
      <c r="I376" s="101">
        <f>venta_a_mes11[[#This Row],[IMPORTE NETO]]*0.21</f>
        <v>0</v>
      </c>
      <c r="J376" s="65"/>
      <c r="K376" s="65"/>
      <c r="L376" s="65">
        <f>SUM(venta_a_mes11[[#This Row],[IMPORTE NETO]:[EXENTO]])</f>
        <v>0</v>
      </c>
      <c r="M376" s="59"/>
    </row>
    <row r="377" spans="2:13" x14ac:dyDescent="0.3">
      <c r="B377" s="109"/>
      <c r="C377" s="110"/>
      <c r="D377" s="111"/>
      <c r="E377" s="112"/>
      <c r="F377" s="206"/>
      <c r="G377" s="99" t="str">
        <f>IFERROR(IF(venta_a_mes11[[#This Row],[CUIT]]="","-",VLOOKUP(venta_a_mes11[[#This Row],[CUIT]],Lista_CUIT[#All],2,0)),"CUIT NO CARGADO")</f>
        <v>-</v>
      </c>
      <c r="H377" s="100"/>
      <c r="I377" s="101">
        <f>venta_a_mes11[[#This Row],[IMPORTE NETO]]*0.21</f>
        <v>0</v>
      </c>
      <c r="J377" s="65"/>
      <c r="K377" s="65"/>
      <c r="L377" s="65">
        <f>SUM(venta_a_mes11[[#This Row],[IMPORTE NETO]:[EXENTO]])</f>
        <v>0</v>
      </c>
      <c r="M377" s="59"/>
    </row>
    <row r="378" spans="2:13" x14ac:dyDescent="0.3">
      <c r="B378" s="109"/>
      <c r="C378" s="110"/>
      <c r="D378" s="111"/>
      <c r="E378" s="112"/>
      <c r="F378" s="206"/>
      <c r="G378" s="99" t="str">
        <f>IFERROR(IF(venta_a_mes11[[#This Row],[CUIT]]="","-",VLOOKUP(venta_a_mes11[[#This Row],[CUIT]],Lista_CUIT[#All],2,0)),"CUIT NO CARGADO")</f>
        <v>-</v>
      </c>
      <c r="H378" s="100"/>
      <c r="I378" s="101">
        <f>venta_a_mes11[[#This Row],[IMPORTE NETO]]*0.21</f>
        <v>0</v>
      </c>
      <c r="J378" s="65"/>
      <c r="K378" s="65"/>
      <c r="L378" s="65">
        <f>SUM(venta_a_mes11[[#This Row],[IMPORTE NETO]:[EXENTO]])</f>
        <v>0</v>
      </c>
      <c r="M378" s="59"/>
    </row>
    <row r="379" spans="2:13" x14ac:dyDescent="0.3">
      <c r="B379" s="109"/>
      <c r="C379" s="110"/>
      <c r="D379" s="111"/>
      <c r="E379" s="112"/>
      <c r="F379" s="206"/>
      <c r="G379" s="99" t="str">
        <f>IFERROR(IF(venta_a_mes11[[#This Row],[CUIT]]="","-",VLOOKUP(venta_a_mes11[[#This Row],[CUIT]],Lista_CUIT[#All],2,0)),"CUIT NO CARGADO")</f>
        <v>-</v>
      </c>
      <c r="H379" s="100"/>
      <c r="I379" s="101">
        <f>venta_a_mes11[[#This Row],[IMPORTE NETO]]*0.21</f>
        <v>0</v>
      </c>
      <c r="J379" s="65"/>
      <c r="K379" s="65"/>
      <c r="L379" s="65">
        <f>SUM(venta_a_mes11[[#This Row],[IMPORTE NETO]:[EXENTO]])</f>
        <v>0</v>
      </c>
      <c r="M379" s="59"/>
    </row>
    <row r="380" spans="2:13" x14ac:dyDescent="0.3">
      <c r="B380" s="109"/>
      <c r="C380" s="110"/>
      <c r="D380" s="111"/>
      <c r="E380" s="112"/>
      <c r="F380" s="206"/>
      <c r="G380" s="99" t="str">
        <f>IFERROR(IF(venta_a_mes11[[#This Row],[CUIT]]="","-",VLOOKUP(venta_a_mes11[[#This Row],[CUIT]],Lista_CUIT[#All],2,0)),"CUIT NO CARGADO")</f>
        <v>-</v>
      </c>
      <c r="H380" s="205"/>
      <c r="I380" s="101">
        <f>venta_a_mes11[[#This Row],[IMPORTE NETO]]*0.21</f>
        <v>0</v>
      </c>
      <c r="J380" s="65"/>
      <c r="K380" s="65"/>
      <c r="L380" s="65">
        <f>SUM(venta_a_mes11[[#This Row],[IMPORTE NETO]:[EXENTO]])</f>
        <v>0</v>
      </c>
      <c r="M380" s="59"/>
    </row>
    <row r="381" spans="2:13" x14ac:dyDescent="0.3">
      <c r="B381" s="109"/>
      <c r="C381" s="110"/>
      <c r="D381" s="111"/>
      <c r="E381" s="112"/>
      <c r="F381" s="206"/>
      <c r="G381" s="99" t="str">
        <f>IFERROR(IF(venta_a_mes11[[#This Row],[CUIT]]="","-",VLOOKUP(venta_a_mes11[[#This Row],[CUIT]],Lista_CUIT[#All],2,0)),"CUIT NO CARGADO")</f>
        <v>-</v>
      </c>
      <c r="H381" s="205"/>
      <c r="I381" s="101">
        <f>venta_a_mes11[[#This Row],[IMPORTE NETO]]*0.21</f>
        <v>0</v>
      </c>
      <c r="J381" s="65"/>
      <c r="K381" s="65"/>
      <c r="L381" s="65">
        <f>SUM(venta_a_mes11[[#This Row],[IMPORTE NETO]:[EXENTO]])</f>
        <v>0</v>
      </c>
      <c r="M381" s="59"/>
    </row>
    <row r="382" spans="2:13" x14ac:dyDescent="0.3">
      <c r="B382" s="109"/>
      <c r="C382" s="110"/>
      <c r="D382" s="111"/>
      <c r="E382" s="112"/>
      <c r="F382" s="206"/>
      <c r="G382" s="99" t="str">
        <f>IFERROR(IF(venta_a_mes11[[#This Row],[CUIT]]="","-",VLOOKUP(venta_a_mes11[[#This Row],[CUIT]],Lista_CUIT[#All],2,0)),"CUIT NO CARGADO")</f>
        <v>-</v>
      </c>
      <c r="H382" s="205"/>
      <c r="I382" s="101">
        <f>venta_a_mes11[[#This Row],[IMPORTE NETO]]*0.21</f>
        <v>0</v>
      </c>
      <c r="J382" s="65"/>
      <c r="K382" s="65"/>
      <c r="L382" s="65">
        <f>SUM(venta_a_mes11[[#This Row],[IMPORTE NETO]:[EXENTO]])</f>
        <v>0</v>
      </c>
      <c r="M382" s="59"/>
    </row>
    <row r="383" spans="2:13" x14ac:dyDescent="0.3">
      <c r="B383" s="109"/>
      <c r="C383" s="110"/>
      <c r="D383" s="111"/>
      <c r="E383" s="112"/>
      <c r="F383" s="206"/>
      <c r="G383" s="99" t="str">
        <f>IFERROR(IF(venta_a_mes11[[#This Row],[CUIT]]="","-",VLOOKUP(venta_a_mes11[[#This Row],[CUIT]],Lista_CUIT[#All],2,0)),"CUIT NO CARGADO")</f>
        <v>-</v>
      </c>
      <c r="H383" s="205"/>
      <c r="I383" s="101">
        <f>venta_a_mes11[[#This Row],[IMPORTE NETO]]*0.21</f>
        <v>0</v>
      </c>
      <c r="J383" s="65"/>
      <c r="K383" s="65"/>
      <c r="L383" s="65">
        <f>SUM(venta_a_mes11[[#This Row],[IMPORTE NETO]:[EXENTO]])</f>
        <v>0</v>
      </c>
      <c r="M383" s="59"/>
    </row>
    <row r="384" spans="2:13" x14ac:dyDescent="0.3">
      <c r="B384" s="109"/>
      <c r="C384" s="110"/>
      <c r="D384" s="111"/>
      <c r="E384" s="112"/>
      <c r="F384" s="206"/>
      <c r="G384" s="99" t="str">
        <f>IFERROR(IF(venta_a_mes11[[#This Row],[CUIT]]="","-",VLOOKUP(venta_a_mes11[[#This Row],[CUIT]],Lista_CUIT[#All],2,0)),"CUIT NO CARGADO")</f>
        <v>-</v>
      </c>
      <c r="H384" s="205"/>
      <c r="I384" s="101">
        <f>venta_a_mes11[[#This Row],[IMPORTE NETO]]*0.21</f>
        <v>0</v>
      </c>
      <c r="J384" s="65"/>
      <c r="K384" s="65"/>
      <c r="L384" s="65">
        <f>SUM(venta_a_mes11[[#This Row],[IMPORTE NETO]:[EXENTO]])</f>
        <v>0</v>
      </c>
      <c r="M384" s="59"/>
    </row>
    <row r="385" spans="2:13" x14ac:dyDescent="0.3">
      <c r="B385" s="109"/>
      <c r="C385" s="110"/>
      <c r="D385" s="111"/>
      <c r="E385" s="112"/>
      <c r="F385" s="113"/>
      <c r="G385" s="99" t="str">
        <f>IFERROR(IF(venta_a_mes11[[#This Row],[CUIT]]="","-",VLOOKUP(venta_a_mes11[[#This Row],[CUIT]],Lista_CUIT[#All],2,0)),"CUIT NO CARGADO")</f>
        <v>-</v>
      </c>
      <c r="H385" s="100"/>
      <c r="I385" s="101">
        <f>venta_a_mes11[[#This Row],[IMPORTE NETO]]*0.21</f>
        <v>0</v>
      </c>
      <c r="J385" s="65"/>
      <c r="K385" s="65"/>
      <c r="L385" s="65">
        <f>SUM(venta_a_mes11[[#This Row],[IMPORTE NETO]:[EXENTO]])</f>
        <v>0</v>
      </c>
      <c r="M385" s="59"/>
    </row>
    <row r="386" spans="2:13" x14ac:dyDescent="0.3">
      <c r="B386" s="109"/>
      <c r="C386" s="110"/>
      <c r="D386" s="111"/>
      <c r="E386" s="112"/>
      <c r="F386" s="113"/>
      <c r="G386" s="99" t="str">
        <f>IFERROR(IF(venta_a_mes11[[#This Row],[CUIT]]="","-",VLOOKUP(venta_a_mes11[[#This Row],[CUIT]],Lista_CUIT[#All],2,0)),"CUIT NO CARGADO")</f>
        <v>-</v>
      </c>
      <c r="H386" s="100"/>
      <c r="I386" s="101">
        <f>venta_a_mes11[[#This Row],[IMPORTE NETO]]*0.21</f>
        <v>0</v>
      </c>
      <c r="J386" s="65"/>
      <c r="K386" s="65"/>
      <c r="L386" s="65">
        <f>SUM(venta_a_mes11[[#This Row],[IMPORTE NETO]:[EXENTO]])</f>
        <v>0</v>
      </c>
      <c r="M386" s="59"/>
    </row>
    <row r="387" spans="2:13" x14ac:dyDescent="0.3">
      <c r="B387" s="109"/>
      <c r="C387" s="110"/>
      <c r="D387" s="111"/>
      <c r="E387" s="112"/>
      <c r="F387" s="113"/>
      <c r="G387" s="99" t="str">
        <f>IFERROR(IF(venta_a_mes11[[#This Row],[CUIT]]="","-",VLOOKUP(venta_a_mes11[[#This Row],[CUIT]],Lista_CUIT[#All],2,0)),"CUIT NO CARGADO")</f>
        <v>-</v>
      </c>
      <c r="H387" s="100"/>
      <c r="I387" s="101">
        <f>venta_a_mes11[[#This Row],[IMPORTE NETO]]*0.21</f>
        <v>0</v>
      </c>
      <c r="J387" s="65"/>
      <c r="K387" s="65"/>
      <c r="L387" s="65">
        <f>SUM(venta_a_mes11[[#This Row],[IMPORTE NETO]:[EXENTO]])</f>
        <v>0</v>
      </c>
      <c r="M387" s="59"/>
    </row>
    <row r="388" spans="2:13" x14ac:dyDescent="0.3">
      <c r="B388" s="109"/>
      <c r="C388" s="110"/>
      <c r="D388" s="111"/>
      <c r="E388" s="112"/>
      <c r="F388" s="113"/>
      <c r="G388" s="99" t="str">
        <f>IFERROR(IF(venta_a_mes11[[#This Row],[CUIT]]="","-",VLOOKUP(venta_a_mes11[[#This Row],[CUIT]],Lista_CUIT[#All],2,0)),"CUIT NO CARGADO")</f>
        <v>-</v>
      </c>
      <c r="H388" s="100"/>
      <c r="I388" s="101">
        <f>venta_a_mes11[[#This Row],[IMPORTE NETO]]*0.21</f>
        <v>0</v>
      </c>
      <c r="J388" s="65"/>
      <c r="K388" s="65"/>
      <c r="L388" s="65">
        <f>SUM(venta_a_mes11[[#This Row],[IMPORTE NETO]:[EXENTO]])</f>
        <v>0</v>
      </c>
      <c r="M388" s="59"/>
    </row>
    <row r="389" spans="2:13" x14ac:dyDescent="0.3">
      <c r="B389" s="109"/>
      <c r="C389" s="110"/>
      <c r="D389" s="111"/>
      <c r="E389" s="112"/>
      <c r="F389" s="113"/>
      <c r="G389" s="99" t="str">
        <f>IFERROR(IF(venta_a_mes11[[#This Row],[CUIT]]="","-",VLOOKUP(venta_a_mes11[[#This Row],[CUIT]],Lista_CUIT[#All],2,0)),"CUIT NO CARGADO")</f>
        <v>-</v>
      </c>
      <c r="H389" s="100"/>
      <c r="I389" s="101">
        <f>venta_a_mes11[[#This Row],[IMPORTE NETO]]*0.21</f>
        <v>0</v>
      </c>
      <c r="J389" s="65"/>
      <c r="K389" s="65"/>
      <c r="L389" s="65">
        <f>SUM(venta_a_mes11[[#This Row],[IMPORTE NETO]:[EXENTO]])</f>
        <v>0</v>
      </c>
      <c r="M389" s="59"/>
    </row>
    <row r="390" spans="2:13" x14ac:dyDescent="0.3">
      <c r="B390" s="109"/>
      <c r="C390" s="110"/>
      <c r="D390" s="111"/>
      <c r="E390" s="112"/>
      <c r="F390" s="113"/>
      <c r="G390" s="99" t="str">
        <f>IFERROR(IF(venta_a_mes11[[#This Row],[CUIT]]="","-",VLOOKUP(venta_a_mes11[[#This Row],[CUIT]],Lista_CUIT[#All],2,0)),"CUIT NO CARGADO")</f>
        <v>-</v>
      </c>
      <c r="H390" s="100"/>
      <c r="I390" s="101">
        <f>venta_a_mes11[[#This Row],[IMPORTE NETO]]*0.21</f>
        <v>0</v>
      </c>
      <c r="J390" s="65"/>
      <c r="K390" s="65"/>
      <c r="L390" s="65">
        <f>SUM(venta_a_mes11[[#This Row],[IMPORTE NETO]:[EXENTO]])</f>
        <v>0</v>
      </c>
      <c r="M390" s="59"/>
    </row>
    <row r="391" spans="2:13" x14ac:dyDescent="0.3">
      <c r="B391" s="109"/>
      <c r="C391" s="110"/>
      <c r="D391" s="111"/>
      <c r="E391" s="112"/>
      <c r="F391" s="113"/>
      <c r="G391" s="99" t="str">
        <f>IFERROR(IF(venta_a_mes11[[#This Row],[CUIT]]="","-",VLOOKUP(venta_a_mes11[[#This Row],[CUIT]],Lista_CUIT[#All],2,0)),"CUIT NO CARGADO")</f>
        <v>-</v>
      </c>
      <c r="H391" s="100"/>
      <c r="I391" s="101">
        <f>venta_a_mes11[[#This Row],[IMPORTE NETO]]*0.21</f>
        <v>0</v>
      </c>
      <c r="J391" s="65"/>
      <c r="K391" s="65"/>
      <c r="L391" s="65">
        <f>SUM(venta_a_mes11[[#This Row],[IMPORTE NETO]:[EXENTO]])</f>
        <v>0</v>
      </c>
      <c r="M391" s="59"/>
    </row>
    <row r="392" spans="2:13" x14ac:dyDescent="0.3">
      <c r="B392" s="109"/>
      <c r="C392" s="110"/>
      <c r="D392" s="111"/>
      <c r="E392" s="112"/>
      <c r="F392" s="113"/>
      <c r="G392" s="99" t="str">
        <f>IFERROR(IF(venta_a_mes11[[#This Row],[CUIT]]="","-",VLOOKUP(venta_a_mes11[[#This Row],[CUIT]],Lista_CUIT[#All],2,0)),"CUIT NO CARGADO")</f>
        <v>-</v>
      </c>
      <c r="H392" s="100"/>
      <c r="I392" s="101">
        <f>venta_a_mes11[[#This Row],[IMPORTE NETO]]*0.21</f>
        <v>0</v>
      </c>
      <c r="J392" s="65"/>
      <c r="K392" s="65"/>
      <c r="L392" s="65">
        <f>SUM(venta_a_mes11[[#This Row],[IMPORTE NETO]:[EXENTO]])</f>
        <v>0</v>
      </c>
      <c r="M392" s="59"/>
    </row>
    <row r="393" spans="2:13" x14ac:dyDescent="0.3">
      <c r="B393" s="109"/>
      <c r="C393" s="110"/>
      <c r="D393" s="111"/>
      <c r="E393" s="112"/>
      <c r="F393" s="113"/>
      <c r="G393" s="99" t="str">
        <f>IFERROR(IF(venta_a_mes11[[#This Row],[CUIT]]="","-",VLOOKUP(venta_a_mes11[[#This Row],[CUIT]],Lista_CUIT[#All],2,0)),"CUIT NO CARGADO")</f>
        <v>-</v>
      </c>
      <c r="H393" s="100"/>
      <c r="I393" s="101">
        <f>venta_a_mes11[[#This Row],[IMPORTE NETO]]*0.21</f>
        <v>0</v>
      </c>
      <c r="J393" s="65"/>
      <c r="K393" s="65"/>
      <c r="L393" s="65">
        <f>SUM(venta_a_mes11[[#This Row],[IMPORTE NETO]:[EXENTO]])</f>
        <v>0</v>
      </c>
      <c r="M393" s="59"/>
    </row>
    <row r="394" spans="2:13" x14ac:dyDescent="0.3">
      <c r="B394" s="66" t="s">
        <v>103</v>
      </c>
      <c r="C394" s="67"/>
      <c r="D394" s="67"/>
      <c r="E394" s="67"/>
      <c r="F394" s="67"/>
      <c r="G394" s="67"/>
      <c r="H394" s="69">
        <f>SUBTOTAL(109,venta_a_mes11[IMPORTE NETO])</f>
        <v>0</v>
      </c>
      <c r="I394" s="70">
        <f>SUBTOTAL(109,venta_a_mes11[IVA 21%])</f>
        <v>0</v>
      </c>
      <c r="J394" s="71">
        <f>SUBTOTAL(109,venta_a_mes11[IVA 10,5%])</f>
        <v>0</v>
      </c>
      <c r="K394" s="71">
        <f>SUBTOTAL(109,venta_a_mes11[EXENTO])</f>
        <v>0</v>
      </c>
      <c r="L394" s="71">
        <f>SUBTOTAL(109,venta_a_mes11[TOTAL])</f>
        <v>0</v>
      </c>
      <c r="M394" s="68">
        <f>SUBTOTAL(103,venta_a_mes11[Provincia])</f>
        <v>0</v>
      </c>
    </row>
    <row r="395" spans="2:13" x14ac:dyDescent="0.3">
      <c r="B395" s="193"/>
      <c r="C395" s="193"/>
      <c r="D395" s="193"/>
      <c r="E395" s="193"/>
      <c r="F395" s="193"/>
      <c r="G395" s="193"/>
      <c r="H395" s="195"/>
      <c r="I395" s="196"/>
      <c r="J395" s="197"/>
      <c r="K395" s="197"/>
      <c r="L395" s="197"/>
      <c r="M395" s="194"/>
    </row>
    <row r="396" spans="2:13" ht="21" x14ac:dyDescent="0.3">
      <c r="B396" s="654" t="s">
        <v>31</v>
      </c>
      <c r="C396" s="654"/>
    </row>
    <row r="397" spans="2:13" ht="15.6" x14ac:dyDescent="0.3">
      <c r="B397" s="60" t="s">
        <v>0</v>
      </c>
      <c r="C397" s="61" t="s">
        <v>1</v>
      </c>
      <c r="D397" s="61" t="s">
        <v>21</v>
      </c>
      <c r="E397" s="61" t="s">
        <v>22</v>
      </c>
      <c r="F397" s="61" t="s">
        <v>3</v>
      </c>
      <c r="G397" s="61" t="s">
        <v>4</v>
      </c>
      <c r="H397" s="61" t="s">
        <v>23</v>
      </c>
      <c r="I397" s="61" t="s">
        <v>17</v>
      </c>
      <c r="J397" s="61" t="s">
        <v>7</v>
      </c>
      <c r="K397" s="61" t="s">
        <v>24</v>
      </c>
      <c r="L397" s="61" t="s">
        <v>10</v>
      </c>
      <c r="M397" s="62" t="s">
        <v>38</v>
      </c>
    </row>
    <row r="398" spans="2:13" x14ac:dyDescent="0.3">
      <c r="B398" s="117"/>
      <c r="C398" s="218"/>
      <c r="D398" s="219"/>
      <c r="E398" s="149"/>
      <c r="F398" s="182"/>
      <c r="G398" s="1" t="str">
        <f>IFERROR(IF(ventas_b_mes11[[#This Row],[CUIT]]="","-",VLOOKUP(ventas_b_mes11[[#This Row],[CUIT]],Lista_CUIT[#All],2,0)),"CUIT NO CARGADO")</f>
        <v>-</v>
      </c>
      <c r="H398" s="64">
        <f>ventas_b_mes11[[#This Row],[TOTAL]]/1.21</f>
        <v>0</v>
      </c>
      <c r="I398" s="183">
        <f>ventas_b_mes11[[#This Row],[IMPORTE NETO]]*0.21</f>
        <v>0</v>
      </c>
      <c r="J398" s="184"/>
      <c r="K398" s="184"/>
      <c r="L398" s="184"/>
      <c r="M398" s="59"/>
    </row>
    <row r="399" spans="2:13" x14ac:dyDescent="0.3">
      <c r="B399" s="117"/>
      <c r="C399" s="218"/>
      <c r="D399" s="219"/>
      <c r="E399" s="149"/>
      <c r="F399" s="182"/>
      <c r="G399" s="1" t="str">
        <f>IFERROR(IF(ventas_b_mes11[[#This Row],[CUIT]]="","-",VLOOKUP(ventas_b_mes11[[#This Row],[CUIT]],Lista_CUIT[#All],2,0)),"CUIT NO CARGADO")</f>
        <v>-</v>
      </c>
      <c r="H399" s="64">
        <f>ventas_b_mes11[[#This Row],[TOTAL]]/1.21</f>
        <v>0</v>
      </c>
      <c r="I399" s="183">
        <f>ventas_b_mes11[[#This Row],[IMPORTE NETO]]*0.21</f>
        <v>0</v>
      </c>
      <c r="J399" s="184"/>
      <c r="K399" s="184"/>
      <c r="L399" s="184"/>
      <c r="M399" s="59"/>
    </row>
    <row r="400" spans="2:13" x14ac:dyDescent="0.3">
      <c r="B400" s="117"/>
      <c r="C400" s="218"/>
      <c r="D400" s="219"/>
      <c r="E400" s="149"/>
      <c r="F400" s="182"/>
      <c r="G400" s="1" t="str">
        <f>IFERROR(IF(ventas_b_mes11[[#This Row],[CUIT]]="","-",VLOOKUP(ventas_b_mes11[[#This Row],[CUIT]],Lista_CUIT[#All],2,0)),"CUIT NO CARGADO")</f>
        <v>-</v>
      </c>
      <c r="H400" s="64">
        <f>ventas_b_mes11[[#This Row],[TOTAL]]/1.21</f>
        <v>0</v>
      </c>
      <c r="I400" s="183">
        <f>ventas_b_mes11[[#This Row],[IMPORTE NETO]]*0.21</f>
        <v>0</v>
      </c>
      <c r="J400" s="184"/>
      <c r="K400" s="184"/>
      <c r="L400" s="184"/>
      <c r="M400" s="59"/>
    </row>
    <row r="401" spans="2:13" x14ac:dyDescent="0.3">
      <c r="B401" s="117"/>
      <c r="C401" s="218"/>
      <c r="D401" s="219"/>
      <c r="E401" s="149"/>
      <c r="F401" s="182"/>
      <c r="G401" s="1" t="str">
        <f>IFERROR(IF(ventas_b_mes11[[#This Row],[CUIT]]="","-",VLOOKUP(ventas_b_mes11[[#This Row],[CUIT]],Lista_CUIT[#All],2,0)),"CUIT NO CARGADO")</f>
        <v>-</v>
      </c>
      <c r="H401" s="64">
        <f>ventas_b_mes11[[#This Row],[TOTAL]]/1.21</f>
        <v>0</v>
      </c>
      <c r="I401" s="183">
        <f>ventas_b_mes11[[#This Row],[IMPORTE NETO]]*0.21</f>
        <v>0</v>
      </c>
      <c r="J401" s="184"/>
      <c r="K401" s="184"/>
      <c r="L401" s="184"/>
      <c r="M401" s="59"/>
    </row>
    <row r="402" spans="2:13" x14ac:dyDescent="0.3">
      <c r="B402" s="117"/>
      <c r="C402" s="218"/>
      <c r="D402" s="219"/>
      <c r="E402" s="149"/>
      <c r="F402" s="182"/>
      <c r="G402" s="1" t="str">
        <f>IFERROR(IF(ventas_b_mes11[[#This Row],[CUIT]]="","-",VLOOKUP(ventas_b_mes11[[#This Row],[CUIT]],Lista_CUIT[#All],2,0)),"CUIT NO CARGADO")</f>
        <v>-</v>
      </c>
      <c r="H402" s="64">
        <f>ventas_b_mes11[[#This Row],[TOTAL]]/1.21</f>
        <v>0</v>
      </c>
      <c r="I402" s="183">
        <f>ventas_b_mes11[[#This Row],[IMPORTE NETO]]*0.21</f>
        <v>0</v>
      </c>
      <c r="J402" s="184"/>
      <c r="K402" s="184"/>
      <c r="L402" s="184"/>
      <c r="M402" s="59"/>
    </row>
    <row r="403" spans="2:13" x14ac:dyDescent="0.3">
      <c r="B403" s="117"/>
      <c r="C403" s="218"/>
      <c r="D403" s="219"/>
      <c r="E403" s="149"/>
      <c r="F403" s="182"/>
      <c r="G403" s="1" t="str">
        <f>IFERROR(IF(ventas_b_mes11[[#This Row],[CUIT]]="","-",VLOOKUP(ventas_b_mes11[[#This Row],[CUIT]],Lista_CUIT[#All],2,0)),"CUIT NO CARGADO")</f>
        <v>-</v>
      </c>
      <c r="H403" s="64">
        <f>ventas_b_mes11[[#This Row],[TOTAL]]/1.21</f>
        <v>0</v>
      </c>
      <c r="I403" s="183">
        <f>ventas_b_mes11[[#This Row],[IMPORTE NETO]]*0.21</f>
        <v>0</v>
      </c>
      <c r="J403" s="184"/>
      <c r="K403" s="184"/>
      <c r="L403" s="184"/>
      <c r="M403" s="59"/>
    </row>
    <row r="404" spans="2:13" x14ac:dyDescent="0.3">
      <c r="B404" s="185"/>
      <c r="C404" s="218"/>
      <c r="D404" s="186"/>
      <c r="E404" s="187"/>
      <c r="F404" s="182"/>
      <c r="G404" s="1" t="str">
        <f>IFERROR(IF(ventas_b_mes11[[#This Row],[CUIT]]="","-",VLOOKUP(ventas_b_mes11[[#This Row],[CUIT]],Lista_CUIT[#All],2,0)),"CUIT NO CARGADO")</f>
        <v>-</v>
      </c>
      <c r="H404" s="190">
        <f>ventas_b_mes11[[#This Row],[TOTAL]]/1.21</f>
        <v>0</v>
      </c>
      <c r="I404" s="191">
        <f>ventas_b_mes11[[#This Row],[IMPORTE NETO]]*0.21</f>
        <v>0</v>
      </c>
      <c r="J404" s="192"/>
      <c r="K404" s="192"/>
      <c r="L404" s="192"/>
      <c r="M404" s="63"/>
    </row>
    <row r="405" spans="2:13" x14ac:dyDescent="0.3">
      <c r="B405" s="185"/>
      <c r="C405" s="218"/>
      <c r="D405" s="186"/>
      <c r="E405" s="187"/>
      <c r="F405" s="182"/>
      <c r="G405" s="1" t="str">
        <f>IFERROR(IF(ventas_b_mes11[[#This Row],[CUIT]]="","-",VLOOKUP(ventas_b_mes11[[#This Row],[CUIT]],Lista_CUIT[#All],2,0)),"CUIT NO CARGADO")</f>
        <v>-</v>
      </c>
      <c r="H405" s="190">
        <f>ventas_b_mes11[[#This Row],[TOTAL]]/1.21</f>
        <v>0</v>
      </c>
      <c r="I405" s="191">
        <f>ventas_b_mes11[[#This Row],[IMPORTE NETO]]*0.21</f>
        <v>0</v>
      </c>
      <c r="J405" s="192"/>
      <c r="K405" s="192"/>
      <c r="L405" s="192"/>
      <c r="M405" s="63"/>
    </row>
    <row r="406" spans="2:13" x14ac:dyDescent="0.3">
      <c r="B406" s="185"/>
      <c r="C406" s="218"/>
      <c r="D406" s="186"/>
      <c r="E406" s="187"/>
      <c r="F406" s="182"/>
      <c r="G406" s="1" t="str">
        <f>IFERROR(IF(ventas_b_mes11[[#This Row],[CUIT]]="","-",VLOOKUP(ventas_b_mes11[[#This Row],[CUIT]],Lista_CUIT[#All],2,0)),"CUIT NO CARGADO")</f>
        <v>-</v>
      </c>
      <c r="H406" s="190">
        <f>ventas_b_mes11[[#This Row],[TOTAL]]/1.21</f>
        <v>0</v>
      </c>
      <c r="I406" s="191">
        <f>ventas_b_mes11[[#This Row],[IMPORTE NETO]]*0.21</f>
        <v>0</v>
      </c>
      <c r="J406" s="192"/>
      <c r="K406" s="192"/>
      <c r="L406" s="192"/>
      <c r="M406" s="63"/>
    </row>
    <row r="407" spans="2:13" x14ac:dyDescent="0.3">
      <c r="B407" s="185"/>
      <c r="C407" s="218"/>
      <c r="D407" s="186"/>
      <c r="E407" s="187"/>
      <c r="F407" s="188"/>
      <c r="G407" s="1" t="str">
        <f>IFERROR(IF(ventas_b_mes11[[#This Row],[CUIT]]="","-",VLOOKUP(ventas_b_mes11[[#This Row],[CUIT]],Lista_CUIT[#All],2,0)),"CUIT NO CARGADO")</f>
        <v>-</v>
      </c>
      <c r="H407" s="190">
        <f>ventas_b_mes11[[#This Row],[TOTAL]]/1.21</f>
        <v>0</v>
      </c>
      <c r="I407" s="191">
        <f>ventas_b_mes11[[#This Row],[IMPORTE NETO]]*0.21</f>
        <v>0</v>
      </c>
      <c r="J407" s="192"/>
      <c r="K407" s="192"/>
      <c r="L407" s="192"/>
      <c r="M407" s="63"/>
    </row>
    <row r="408" spans="2:13" x14ac:dyDescent="0.3">
      <c r="B408" s="185"/>
      <c r="C408" s="218"/>
      <c r="D408" s="186"/>
      <c r="E408" s="187"/>
      <c r="F408" s="188"/>
      <c r="G408" s="1" t="str">
        <f>IFERROR(IF(ventas_b_mes11[[#This Row],[CUIT]]="","-",VLOOKUP(ventas_b_mes11[[#This Row],[CUIT]],Lista_CUIT[#All],2,0)),"CUIT NO CARGADO")</f>
        <v>-</v>
      </c>
      <c r="H408" s="190">
        <f>ventas_b_mes11[[#This Row],[TOTAL]]/1.21</f>
        <v>0</v>
      </c>
      <c r="I408" s="191">
        <f>ventas_b_mes11[[#This Row],[IMPORTE NETO]]*0.21</f>
        <v>0</v>
      </c>
      <c r="J408" s="192"/>
      <c r="K408" s="192"/>
      <c r="L408" s="192"/>
      <c r="M408" s="63"/>
    </row>
    <row r="409" spans="2:13" x14ac:dyDescent="0.3">
      <c r="B409" s="185"/>
      <c r="C409" s="218"/>
      <c r="D409" s="186"/>
      <c r="E409" s="187"/>
      <c r="F409" s="188"/>
      <c r="G409" s="1" t="str">
        <f>IFERROR(IF(ventas_b_mes11[[#This Row],[CUIT]]="","-",VLOOKUP(ventas_b_mes11[[#This Row],[CUIT]],Lista_CUIT[#All],2,0)),"CUIT NO CARGADO")</f>
        <v>-</v>
      </c>
      <c r="H409" s="190">
        <f>ventas_b_mes11[[#This Row],[TOTAL]]/1.21</f>
        <v>0</v>
      </c>
      <c r="I409" s="191">
        <f>ventas_b_mes11[[#This Row],[IMPORTE NETO]]*0.21</f>
        <v>0</v>
      </c>
      <c r="J409" s="192"/>
      <c r="K409" s="192"/>
      <c r="L409" s="192"/>
      <c r="M409" s="63"/>
    </row>
    <row r="410" spans="2:13" x14ac:dyDescent="0.3">
      <c r="B410" s="185"/>
      <c r="C410" s="218"/>
      <c r="D410" s="186"/>
      <c r="E410" s="187"/>
      <c r="F410" s="188"/>
      <c r="G410" s="1" t="str">
        <f>IFERROR(IF(ventas_b_mes11[[#This Row],[CUIT]]="","-",VLOOKUP(ventas_b_mes11[[#This Row],[CUIT]],Lista_CUIT[#All],2,0)),"CUIT NO CARGADO")</f>
        <v>-</v>
      </c>
      <c r="H410" s="190">
        <f>ventas_b_mes11[[#This Row],[TOTAL]]/1.21</f>
        <v>0</v>
      </c>
      <c r="I410" s="191">
        <f>ventas_b_mes11[[#This Row],[IMPORTE NETO]]*0.21</f>
        <v>0</v>
      </c>
      <c r="J410" s="192"/>
      <c r="K410" s="192"/>
      <c r="L410" s="192"/>
      <c r="M410" s="63"/>
    </row>
    <row r="411" spans="2:13" x14ac:dyDescent="0.3">
      <c r="B411" s="178"/>
      <c r="C411" s="218"/>
      <c r="D411" s="180"/>
      <c r="E411" s="181"/>
      <c r="F411" s="182"/>
      <c r="G411" s="1" t="str">
        <f>IFERROR(IF(ventas_b_mes11[[#This Row],[CUIT]]="","-",VLOOKUP(ventas_b_mes11[[#This Row],[CUIT]],Lista_CUIT[#All],2,0)),"CUIT NO CARGADO")</f>
        <v>-</v>
      </c>
      <c r="H411" s="64">
        <f>ventas_b_mes11[[#This Row],[TOTAL]]/1.21</f>
        <v>0</v>
      </c>
      <c r="I411" s="183">
        <f>ventas_b_mes11[[#This Row],[IMPORTE NETO]]*0.21</f>
        <v>0</v>
      </c>
      <c r="J411" s="184"/>
      <c r="K411" s="184"/>
      <c r="L411" s="184"/>
      <c r="M411" s="59"/>
    </row>
    <row r="412" spans="2:13" x14ac:dyDescent="0.3">
      <c r="B412" s="178"/>
      <c r="C412" s="218"/>
      <c r="D412" s="180"/>
      <c r="E412" s="181"/>
      <c r="F412" s="182"/>
      <c r="G412" s="1" t="str">
        <f>IFERROR(IF(ventas_b_mes11[[#This Row],[CUIT]]="","-",VLOOKUP(ventas_b_mes11[[#This Row],[CUIT]],Lista_CUIT[#All],2,0)),"CUIT NO CARGADO")</f>
        <v>-</v>
      </c>
      <c r="H412" s="64">
        <f>ventas_b_mes11[[#This Row],[TOTAL]]/1.21</f>
        <v>0</v>
      </c>
      <c r="I412" s="183">
        <f>ventas_b_mes11[[#This Row],[IMPORTE NETO]]*0.21</f>
        <v>0</v>
      </c>
      <c r="J412" s="184"/>
      <c r="K412" s="184"/>
      <c r="L412" s="184"/>
      <c r="M412" s="59"/>
    </row>
    <row r="413" spans="2:13" x14ac:dyDescent="0.3">
      <c r="B413" s="178"/>
      <c r="C413" s="218"/>
      <c r="D413" s="180"/>
      <c r="E413" s="181"/>
      <c r="F413" s="182"/>
      <c r="G413" s="1" t="str">
        <f>IFERROR(IF(ventas_b_mes11[[#This Row],[CUIT]]="","-",VLOOKUP(ventas_b_mes11[[#This Row],[CUIT]],Lista_CUIT[#All],2,0)),"CUIT NO CARGADO")</f>
        <v>-</v>
      </c>
      <c r="H413" s="64">
        <f>ventas_b_mes11[[#This Row],[TOTAL]]/1.21</f>
        <v>0</v>
      </c>
      <c r="I413" s="183">
        <f>ventas_b_mes11[[#This Row],[IMPORTE NETO]]*0.21</f>
        <v>0</v>
      </c>
      <c r="J413" s="184"/>
      <c r="K413" s="184"/>
      <c r="L413" s="184"/>
      <c r="M413" s="59"/>
    </row>
    <row r="414" spans="2:13" x14ac:dyDescent="0.3">
      <c r="B414" s="178"/>
      <c r="C414" s="218"/>
      <c r="D414" s="180"/>
      <c r="E414" s="181"/>
      <c r="F414" s="182"/>
      <c r="G414" s="1" t="str">
        <f>IFERROR(IF(ventas_b_mes11[[#This Row],[CUIT]]="","-",VLOOKUP(ventas_b_mes11[[#This Row],[CUIT]],Lista_CUIT[#All],2,0)),"CUIT NO CARGADO")</f>
        <v>-</v>
      </c>
      <c r="H414" s="64">
        <f>ventas_b_mes11[[#This Row],[TOTAL]]/1.21</f>
        <v>0</v>
      </c>
      <c r="I414" s="183">
        <f>ventas_b_mes11[[#This Row],[IMPORTE NETO]]*0.21</f>
        <v>0</v>
      </c>
      <c r="J414" s="184"/>
      <c r="K414" s="184"/>
      <c r="L414" s="184"/>
      <c r="M414" s="59"/>
    </row>
    <row r="415" spans="2:13" x14ac:dyDescent="0.3">
      <c r="B415" s="178"/>
      <c r="C415" s="218"/>
      <c r="D415" s="180"/>
      <c r="E415" s="181"/>
      <c r="F415" s="182"/>
      <c r="G415" s="1" t="str">
        <f>IFERROR(IF(ventas_b_mes11[[#This Row],[CUIT]]="","-",VLOOKUP(ventas_b_mes11[[#This Row],[CUIT]],Lista_CUIT[#All],2,0)),"CUIT NO CARGADO")</f>
        <v>-</v>
      </c>
      <c r="H415" s="64">
        <f>ventas_b_mes11[[#This Row],[TOTAL]]/1.21</f>
        <v>0</v>
      </c>
      <c r="I415" s="183">
        <f>ventas_b_mes11[[#This Row],[IMPORTE NETO]]*0.21</f>
        <v>0</v>
      </c>
      <c r="J415" s="184"/>
      <c r="K415" s="184"/>
      <c r="L415" s="184"/>
      <c r="M415" s="59"/>
    </row>
    <row r="416" spans="2:13" x14ac:dyDescent="0.3">
      <c r="B416" s="178"/>
      <c r="C416" s="218"/>
      <c r="D416" s="180"/>
      <c r="E416" s="181"/>
      <c r="F416" s="182"/>
      <c r="G416" s="1" t="str">
        <f>IFERROR(IF(ventas_b_mes11[[#This Row],[CUIT]]="","-",VLOOKUP(ventas_b_mes11[[#This Row],[CUIT]],Lista_CUIT[#All],2,0)),"CUIT NO CARGADO")</f>
        <v>-</v>
      </c>
      <c r="H416" s="64">
        <f>ventas_b_mes11[[#This Row],[TOTAL]]/1.21</f>
        <v>0</v>
      </c>
      <c r="I416" s="183">
        <f>ventas_b_mes11[[#This Row],[IMPORTE NETO]]*0.21</f>
        <v>0</v>
      </c>
      <c r="J416" s="184"/>
      <c r="K416" s="184"/>
      <c r="L416" s="184"/>
      <c r="M416" s="59"/>
    </row>
    <row r="417" spans="2:13" x14ac:dyDescent="0.3">
      <c r="B417" s="178"/>
      <c r="C417" s="218"/>
      <c r="D417" s="180"/>
      <c r="E417" s="181"/>
      <c r="F417" s="182"/>
      <c r="G417" s="1" t="str">
        <f>IFERROR(IF(ventas_b_mes11[[#This Row],[CUIT]]="","-",VLOOKUP(ventas_b_mes11[[#This Row],[CUIT]],Lista_CUIT[#All],2,0)),"CUIT NO CARGADO")</f>
        <v>-</v>
      </c>
      <c r="H417" s="64">
        <f>ventas_b_mes11[[#This Row],[TOTAL]]/1.21</f>
        <v>0</v>
      </c>
      <c r="I417" s="183">
        <f>ventas_b_mes11[[#This Row],[IMPORTE NETO]]*0.21</f>
        <v>0</v>
      </c>
      <c r="J417" s="184"/>
      <c r="K417" s="184"/>
      <c r="L417" s="184"/>
      <c r="M417" s="59"/>
    </row>
    <row r="418" spans="2:13" x14ac:dyDescent="0.3">
      <c r="B418" s="178"/>
      <c r="C418" s="218"/>
      <c r="D418" s="180"/>
      <c r="E418" s="181"/>
      <c r="F418" s="182"/>
      <c r="G418" s="1" t="str">
        <f>IFERROR(IF(ventas_b_mes11[[#This Row],[CUIT]]="","-",VLOOKUP(ventas_b_mes11[[#This Row],[CUIT]],Lista_CUIT[#All],2,0)),"CUIT NO CARGADO")</f>
        <v>-</v>
      </c>
      <c r="H418" s="64">
        <f>ventas_b_mes11[[#This Row],[TOTAL]]/1.21</f>
        <v>0</v>
      </c>
      <c r="I418" s="183">
        <f>ventas_b_mes11[[#This Row],[IMPORTE NETO]]*0.21</f>
        <v>0</v>
      </c>
      <c r="J418" s="184"/>
      <c r="K418" s="184"/>
      <c r="L418" s="184"/>
      <c r="M418" s="59"/>
    </row>
    <row r="419" spans="2:13" x14ac:dyDescent="0.3">
      <c r="B419" s="178"/>
      <c r="C419" s="218"/>
      <c r="D419" s="180"/>
      <c r="E419" s="181"/>
      <c r="F419" s="182"/>
      <c r="G419" s="1" t="str">
        <f>IFERROR(IF(ventas_b_mes11[[#This Row],[CUIT]]="","-",VLOOKUP(ventas_b_mes11[[#This Row],[CUIT]],Lista_CUIT[#All],2,0)),"CUIT NO CARGADO")</f>
        <v>-</v>
      </c>
      <c r="H419" s="64">
        <f>ventas_b_mes11[[#This Row],[TOTAL]]/1.21</f>
        <v>0</v>
      </c>
      <c r="I419" s="183">
        <f>ventas_b_mes11[[#This Row],[IMPORTE NETO]]*0.21</f>
        <v>0</v>
      </c>
      <c r="J419" s="184"/>
      <c r="K419" s="184"/>
      <c r="L419" s="184"/>
      <c r="M419" s="59"/>
    </row>
    <row r="420" spans="2:13" x14ac:dyDescent="0.3">
      <c r="B420" s="178"/>
      <c r="C420" s="218"/>
      <c r="D420" s="180"/>
      <c r="E420" s="181"/>
      <c r="F420" s="182"/>
      <c r="G420" s="1" t="str">
        <f>IFERROR(IF(ventas_b_mes11[[#This Row],[CUIT]]="","-",VLOOKUP(ventas_b_mes11[[#This Row],[CUIT]],Lista_CUIT[#All],2,0)),"CUIT NO CARGADO")</f>
        <v>-</v>
      </c>
      <c r="H420" s="64">
        <f>ventas_b_mes11[[#This Row],[TOTAL]]/1.21</f>
        <v>0</v>
      </c>
      <c r="I420" s="183">
        <f>ventas_b_mes11[[#This Row],[IMPORTE NETO]]*0.21</f>
        <v>0</v>
      </c>
      <c r="J420" s="184"/>
      <c r="K420" s="184"/>
      <c r="L420" s="184"/>
      <c r="M420" s="59"/>
    </row>
    <row r="421" spans="2:13" x14ac:dyDescent="0.3">
      <c r="B421" s="178"/>
      <c r="C421" s="218"/>
      <c r="D421" s="180"/>
      <c r="E421" s="181"/>
      <c r="F421" s="182"/>
      <c r="G421" s="1" t="str">
        <f>IFERROR(IF(ventas_b_mes11[[#This Row],[CUIT]]="","-",VLOOKUP(ventas_b_mes11[[#This Row],[CUIT]],Lista_CUIT[#All],2,0)),"CUIT NO CARGADO")</f>
        <v>-</v>
      </c>
      <c r="H421" s="64">
        <f>ventas_b_mes11[[#This Row],[TOTAL]]/1.21</f>
        <v>0</v>
      </c>
      <c r="I421" s="183">
        <f>ventas_b_mes11[[#This Row],[IMPORTE NETO]]*0.21</f>
        <v>0</v>
      </c>
      <c r="J421" s="184"/>
      <c r="K421" s="184"/>
      <c r="L421" s="184"/>
      <c r="M421" s="59"/>
    </row>
    <row r="422" spans="2:13" x14ac:dyDescent="0.3">
      <c r="B422" s="178"/>
      <c r="C422" s="218"/>
      <c r="D422" s="180"/>
      <c r="E422" s="181"/>
      <c r="F422" s="182"/>
      <c r="G422" s="1" t="str">
        <f>IFERROR(IF(ventas_b_mes11[[#This Row],[CUIT]]="","-",VLOOKUP(ventas_b_mes11[[#This Row],[CUIT]],Lista_CUIT[#All],2,0)),"CUIT NO CARGADO")</f>
        <v>-</v>
      </c>
      <c r="H422" s="64">
        <f>ventas_b_mes11[[#This Row],[TOTAL]]/1.21</f>
        <v>0</v>
      </c>
      <c r="I422" s="183">
        <f>ventas_b_mes11[[#This Row],[IMPORTE NETO]]*0.21</f>
        <v>0</v>
      </c>
      <c r="J422" s="184"/>
      <c r="K422" s="184"/>
      <c r="L422" s="184"/>
      <c r="M422" s="59"/>
    </row>
    <row r="423" spans="2:13" x14ac:dyDescent="0.3">
      <c r="B423" s="178"/>
      <c r="C423" s="218"/>
      <c r="D423" s="180"/>
      <c r="E423" s="181"/>
      <c r="F423" s="182"/>
      <c r="G423" s="1" t="str">
        <f>IFERROR(IF(ventas_b_mes11[[#This Row],[CUIT]]="","-",VLOOKUP(ventas_b_mes11[[#This Row],[CUIT]],Lista_CUIT[#All],2,0)),"CUIT NO CARGADO")</f>
        <v>-</v>
      </c>
      <c r="H423" s="64">
        <f>ventas_b_mes11[[#This Row],[TOTAL]]/1.21</f>
        <v>0</v>
      </c>
      <c r="I423" s="183">
        <f>ventas_b_mes11[[#This Row],[IMPORTE NETO]]*0.21</f>
        <v>0</v>
      </c>
      <c r="J423" s="184"/>
      <c r="K423" s="184"/>
      <c r="L423" s="184"/>
      <c r="M423" s="59"/>
    </row>
    <row r="424" spans="2:13" x14ac:dyDescent="0.3">
      <c r="B424" s="178"/>
      <c r="C424" s="218"/>
      <c r="D424" s="180"/>
      <c r="E424" s="181"/>
      <c r="F424" s="182"/>
      <c r="G424" s="1" t="str">
        <f>IFERROR(IF(ventas_b_mes11[[#This Row],[CUIT]]="","-",VLOOKUP(ventas_b_mes11[[#This Row],[CUIT]],Lista_CUIT[#All],2,0)),"CUIT NO CARGADO")</f>
        <v>-</v>
      </c>
      <c r="H424" s="64">
        <f>ventas_b_mes11[[#This Row],[TOTAL]]/1.21</f>
        <v>0</v>
      </c>
      <c r="I424" s="183">
        <f>ventas_b_mes11[[#This Row],[IMPORTE NETO]]*0.21</f>
        <v>0</v>
      </c>
      <c r="J424" s="184"/>
      <c r="K424" s="184"/>
      <c r="L424" s="184"/>
      <c r="M424" s="59"/>
    </row>
    <row r="425" spans="2:13" x14ac:dyDescent="0.3">
      <c r="B425" s="178"/>
      <c r="C425" s="218"/>
      <c r="D425" s="180"/>
      <c r="E425" s="181"/>
      <c r="F425" s="182"/>
      <c r="G425" s="1" t="str">
        <f>IFERROR(IF(ventas_b_mes11[[#This Row],[CUIT]]="","-",VLOOKUP(ventas_b_mes11[[#This Row],[CUIT]],Lista_CUIT[#All],2,0)),"CUIT NO CARGADO")</f>
        <v>-</v>
      </c>
      <c r="H425" s="64">
        <f>ventas_b_mes11[[#This Row],[TOTAL]]/1.21</f>
        <v>0</v>
      </c>
      <c r="I425" s="183">
        <f>ventas_b_mes11[[#This Row],[IMPORTE NETO]]*0.21</f>
        <v>0</v>
      </c>
      <c r="J425" s="184"/>
      <c r="K425" s="184"/>
      <c r="L425" s="184"/>
      <c r="M425" s="59"/>
    </row>
    <row r="426" spans="2:13" x14ac:dyDescent="0.3">
      <c r="B426" s="178"/>
      <c r="C426" s="218"/>
      <c r="D426" s="180"/>
      <c r="E426" s="181"/>
      <c r="F426" s="182"/>
      <c r="G426" s="1" t="str">
        <f>IFERROR(IF(ventas_b_mes11[[#This Row],[CUIT]]="","-",VLOOKUP(ventas_b_mes11[[#This Row],[CUIT]],Lista_CUIT[#All],2,0)),"CUIT NO CARGADO")</f>
        <v>-</v>
      </c>
      <c r="H426" s="64">
        <f>ventas_b_mes11[[#This Row],[TOTAL]]/1.21</f>
        <v>0</v>
      </c>
      <c r="I426" s="183">
        <f>ventas_b_mes11[[#This Row],[IMPORTE NETO]]*0.21</f>
        <v>0</v>
      </c>
      <c r="J426" s="184"/>
      <c r="K426" s="184"/>
      <c r="L426" s="184"/>
      <c r="M426" s="59"/>
    </row>
    <row r="427" spans="2:13" x14ac:dyDescent="0.3">
      <c r="B427" s="178"/>
      <c r="C427" s="218"/>
      <c r="D427" s="180"/>
      <c r="E427" s="181"/>
      <c r="F427" s="182"/>
      <c r="G427" s="1" t="str">
        <f>IFERROR(IF(ventas_b_mes11[[#This Row],[CUIT]]="","-",VLOOKUP(ventas_b_mes11[[#This Row],[CUIT]],Lista_CUIT[#All],2,0)),"CUIT NO CARGADO")</f>
        <v>-</v>
      </c>
      <c r="H427" s="64">
        <f>ventas_b_mes11[[#This Row],[TOTAL]]/1.21</f>
        <v>0</v>
      </c>
      <c r="I427" s="183">
        <f>ventas_b_mes11[[#This Row],[IMPORTE NETO]]*0.21</f>
        <v>0</v>
      </c>
      <c r="J427" s="184"/>
      <c r="K427" s="184"/>
      <c r="L427" s="184"/>
      <c r="M427" s="59"/>
    </row>
    <row r="428" spans="2:13" x14ac:dyDescent="0.3">
      <c r="B428" s="178"/>
      <c r="C428" s="218"/>
      <c r="D428" s="180"/>
      <c r="E428" s="181"/>
      <c r="F428" s="182"/>
      <c r="G428" s="1" t="str">
        <f>IFERROR(IF(ventas_b_mes11[[#This Row],[CUIT]]="","-",VLOOKUP(ventas_b_mes11[[#This Row],[CUIT]],Lista_CUIT[#All],2,0)),"CUIT NO CARGADO")</f>
        <v>-</v>
      </c>
      <c r="H428" s="64">
        <f>ventas_b_mes11[[#This Row],[TOTAL]]/1.21</f>
        <v>0</v>
      </c>
      <c r="I428" s="183">
        <f>ventas_b_mes11[[#This Row],[IMPORTE NETO]]*0.21</f>
        <v>0</v>
      </c>
      <c r="J428" s="184"/>
      <c r="K428" s="184"/>
      <c r="L428" s="184"/>
      <c r="M428" s="59"/>
    </row>
    <row r="429" spans="2:13" x14ac:dyDescent="0.3">
      <c r="B429" s="178"/>
      <c r="C429" s="218"/>
      <c r="D429" s="180"/>
      <c r="E429" s="181"/>
      <c r="F429" s="182"/>
      <c r="G429" s="1" t="str">
        <f>IFERROR(IF(ventas_b_mes11[[#This Row],[CUIT]]="","-",VLOOKUP(ventas_b_mes11[[#This Row],[CUIT]],Lista_CUIT[#All],2,0)),"CUIT NO CARGADO")</f>
        <v>-</v>
      </c>
      <c r="H429" s="64">
        <f>ventas_b_mes11[[#This Row],[TOTAL]]/1.21</f>
        <v>0</v>
      </c>
      <c r="I429" s="183">
        <f>ventas_b_mes11[[#This Row],[IMPORTE NETO]]*0.21</f>
        <v>0</v>
      </c>
      <c r="J429" s="184"/>
      <c r="K429" s="184"/>
      <c r="L429" s="184"/>
      <c r="M429" s="59"/>
    </row>
    <row r="430" spans="2:13" x14ac:dyDescent="0.3">
      <c r="B430" s="178"/>
      <c r="C430" s="218"/>
      <c r="D430" s="180"/>
      <c r="E430" s="181"/>
      <c r="F430" s="182"/>
      <c r="G430" s="1" t="str">
        <f>IFERROR(IF(ventas_b_mes11[[#This Row],[CUIT]]="","-",VLOOKUP(ventas_b_mes11[[#This Row],[CUIT]],Lista_CUIT[#All],2,0)),"CUIT NO CARGADO")</f>
        <v>-</v>
      </c>
      <c r="H430" s="64">
        <f>ventas_b_mes11[[#This Row],[TOTAL]]/1.21</f>
        <v>0</v>
      </c>
      <c r="I430" s="183">
        <f>ventas_b_mes11[[#This Row],[IMPORTE NETO]]*0.21</f>
        <v>0</v>
      </c>
      <c r="J430" s="184"/>
      <c r="K430" s="184"/>
      <c r="L430" s="184"/>
      <c r="M430" s="59"/>
    </row>
    <row r="431" spans="2:13" x14ac:dyDescent="0.3">
      <c r="B431" s="178"/>
      <c r="C431" s="218"/>
      <c r="D431" s="180"/>
      <c r="E431" s="181"/>
      <c r="F431" s="182"/>
      <c r="G431" s="1" t="str">
        <f>IFERROR(IF(ventas_b_mes11[[#This Row],[CUIT]]="","-",VLOOKUP(ventas_b_mes11[[#This Row],[CUIT]],Lista_CUIT[#All],2,0)),"CUIT NO CARGADO")</f>
        <v>-</v>
      </c>
      <c r="H431" s="64">
        <f>ventas_b_mes11[[#This Row],[TOTAL]]/1.21</f>
        <v>0</v>
      </c>
      <c r="I431" s="183">
        <f>ventas_b_mes11[[#This Row],[IMPORTE NETO]]*0.21</f>
        <v>0</v>
      </c>
      <c r="J431" s="184"/>
      <c r="K431" s="184"/>
      <c r="L431" s="184"/>
      <c r="M431" s="59"/>
    </row>
    <row r="432" spans="2:13" x14ac:dyDescent="0.3">
      <c r="B432" s="178"/>
      <c r="C432" s="218"/>
      <c r="D432" s="180"/>
      <c r="E432" s="181"/>
      <c r="F432" s="182"/>
      <c r="G432" s="1" t="str">
        <f>IFERROR(IF(ventas_b_mes11[[#This Row],[CUIT]]="","-",VLOOKUP(ventas_b_mes11[[#This Row],[CUIT]],Lista_CUIT[#All],2,0)),"CUIT NO CARGADO")</f>
        <v>-</v>
      </c>
      <c r="H432" s="64">
        <f>ventas_b_mes11[[#This Row],[TOTAL]]/1.21</f>
        <v>0</v>
      </c>
      <c r="I432" s="183">
        <f>ventas_b_mes11[[#This Row],[IMPORTE NETO]]*0.21</f>
        <v>0</v>
      </c>
      <c r="J432" s="184"/>
      <c r="K432" s="184"/>
      <c r="L432" s="184"/>
      <c r="M432" s="59"/>
    </row>
    <row r="433" spans="2:13" x14ac:dyDescent="0.3">
      <c r="B433" s="178"/>
      <c r="C433" s="218"/>
      <c r="D433" s="180"/>
      <c r="E433" s="181"/>
      <c r="F433" s="182"/>
      <c r="G433" s="1" t="str">
        <f>IFERROR(IF(ventas_b_mes11[[#This Row],[CUIT]]="","-",VLOOKUP(ventas_b_mes11[[#This Row],[CUIT]],Lista_CUIT[#All],2,0)),"CUIT NO CARGADO")</f>
        <v>-</v>
      </c>
      <c r="H433" s="64">
        <f>ventas_b_mes11[[#This Row],[TOTAL]]/1.21</f>
        <v>0</v>
      </c>
      <c r="I433" s="183">
        <f>ventas_b_mes11[[#This Row],[IMPORTE NETO]]*0.21</f>
        <v>0</v>
      </c>
      <c r="J433" s="184"/>
      <c r="K433" s="184"/>
      <c r="L433" s="184"/>
      <c r="M433" s="59"/>
    </row>
    <row r="434" spans="2:13" x14ac:dyDescent="0.3">
      <c r="B434" s="178"/>
      <c r="C434" s="218"/>
      <c r="D434" s="180"/>
      <c r="E434" s="181"/>
      <c r="F434" s="182"/>
      <c r="G434" s="1" t="str">
        <f>IFERROR(IF(ventas_b_mes11[[#This Row],[CUIT]]="","-",VLOOKUP(ventas_b_mes11[[#This Row],[CUIT]],Lista_CUIT[#All],2,0)),"CUIT NO CARGADO")</f>
        <v>-</v>
      </c>
      <c r="H434" s="64">
        <f>ventas_b_mes11[[#This Row],[TOTAL]]/1.21</f>
        <v>0</v>
      </c>
      <c r="I434" s="183">
        <f>ventas_b_mes11[[#This Row],[IMPORTE NETO]]*0.21</f>
        <v>0</v>
      </c>
      <c r="J434" s="184"/>
      <c r="K434" s="184"/>
      <c r="L434" s="184"/>
      <c r="M434" s="59"/>
    </row>
    <row r="435" spans="2:13" x14ac:dyDescent="0.3">
      <c r="B435" s="178"/>
      <c r="C435" s="41"/>
      <c r="D435" s="180"/>
      <c r="E435" s="181"/>
      <c r="F435" s="182"/>
      <c r="G435" s="1" t="str">
        <f>IFERROR(IF(ventas_b_mes11[[#This Row],[CUIT]]="","-",VLOOKUP(ventas_b_mes11[[#This Row],[CUIT]],Lista_CUIT[#All],2,0)),"CUIT NO CARGADO")</f>
        <v>-</v>
      </c>
      <c r="H435" s="64">
        <f>ventas_b_mes11[[#This Row],[TOTAL]]/1.21</f>
        <v>0</v>
      </c>
      <c r="I435" s="183">
        <f>ventas_b_mes11[[#This Row],[IMPORTE NETO]]*0.21</f>
        <v>0</v>
      </c>
      <c r="J435" s="184"/>
      <c r="K435" s="184"/>
      <c r="L435" s="184"/>
      <c r="M435" s="59"/>
    </row>
    <row r="436" spans="2:13" x14ac:dyDescent="0.3">
      <c r="B436" s="178"/>
      <c r="C436" s="41"/>
      <c r="D436" s="180"/>
      <c r="E436" s="181"/>
      <c r="F436" s="182"/>
      <c r="G436" s="1" t="str">
        <f>IFERROR(IF(ventas_b_mes11[[#This Row],[CUIT]]="","-",VLOOKUP(ventas_b_mes11[[#This Row],[CUIT]],Lista_CUIT[#All],2,0)),"CUIT NO CARGADO")</f>
        <v>-</v>
      </c>
      <c r="H436" s="64">
        <f>ventas_b_mes11[[#This Row],[TOTAL]]/1.21</f>
        <v>0</v>
      </c>
      <c r="I436" s="183">
        <f>ventas_b_mes11[[#This Row],[IMPORTE NETO]]*0.21</f>
        <v>0</v>
      </c>
      <c r="J436" s="184"/>
      <c r="K436" s="184"/>
      <c r="L436" s="184"/>
      <c r="M436" s="59"/>
    </row>
    <row r="437" spans="2:13" x14ac:dyDescent="0.3">
      <c r="B437" s="178"/>
      <c r="C437" s="41"/>
      <c r="D437" s="180"/>
      <c r="E437" s="181"/>
      <c r="F437" s="182"/>
      <c r="G437" s="1" t="str">
        <f>IFERROR(IF(ventas_b_mes11[[#This Row],[CUIT]]="","-",VLOOKUP(ventas_b_mes11[[#This Row],[CUIT]],Lista_CUIT[#All],2,0)),"CUIT NO CARGADO")</f>
        <v>-</v>
      </c>
      <c r="H437" s="64">
        <f>ventas_b_mes11[[#This Row],[TOTAL]]/1.21</f>
        <v>0</v>
      </c>
      <c r="I437" s="183">
        <f>ventas_b_mes11[[#This Row],[IMPORTE NETO]]*0.21</f>
        <v>0</v>
      </c>
      <c r="J437" s="184"/>
      <c r="K437" s="184"/>
      <c r="L437" s="184"/>
      <c r="M437" s="59"/>
    </row>
    <row r="438" spans="2:13" x14ac:dyDescent="0.3">
      <c r="B438" s="178"/>
      <c r="C438" s="41"/>
      <c r="D438" s="180"/>
      <c r="E438" s="181"/>
      <c r="F438" s="182"/>
      <c r="G438" s="1" t="str">
        <f>IFERROR(IF(ventas_b_mes11[[#This Row],[CUIT]]="","-",VLOOKUP(ventas_b_mes11[[#This Row],[CUIT]],Lista_CUIT[#All],2,0)),"CUIT NO CARGADO")</f>
        <v>-</v>
      </c>
      <c r="H438" s="64">
        <f>ventas_b_mes11[[#This Row],[TOTAL]]/1.21</f>
        <v>0</v>
      </c>
      <c r="I438" s="183">
        <f>ventas_b_mes11[[#This Row],[IMPORTE NETO]]*0.21</f>
        <v>0</v>
      </c>
      <c r="J438" s="184"/>
      <c r="K438" s="184"/>
      <c r="L438" s="184"/>
      <c r="M438" s="59"/>
    </row>
    <row r="439" spans="2:13" x14ac:dyDescent="0.3">
      <c r="B439" s="178"/>
      <c r="C439" s="218"/>
      <c r="D439" s="180"/>
      <c r="E439" s="181"/>
      <c r="F439" s="182"/>
      <c r="G439" s="1" t="str">
        <f>IFERROR(IF(ventas_b_mes11[[#This Row],[CUIT]]="","-",VLOOKUP(ventas_b_mes11[[#This Row],[CUIT]],Lista_CUIT[#All],2,0)),"CUIT NO CARGADO")</f>
        <v>-</v>
      </c>
      <c r="H439" s="64">
        <f>ventas_b_mes11[[#This Row],[TOTAL]]/1.21</f>
        <v>0</v>
      </c>
      <c r="I439" s="183">
        <f>ventas_b_mes11[[#This Row],[IMPORTE NETO]]*0.21</f>
        <v>0</v>
      </c>
      <c r="J439" s="184"/>
      <c r="K439" s="184"/>
      <c r="L439" s="184"/>
      <c r="M439" s="59"/>
    </row>
    <row r="440" spans="2:13" x14ac:dyDescent="0.3">
      <c r="B440" s="178"/>
      <c r="C440" s="218"/>
      <c r="D440" s="180"/>
      <c r="E440" s="181"/>
      <c r="F440" s="182"/>
      <c r="G440" s="1" t="str">
        <f>IFERROR(IF(ventas_b_mes11[[#This Row],[CUIT]]="","-",VLOOKUP(ventas_b_mes11[[#This Row],[CUIT]],Lista_CUIT[#All],2,0)),"CUIT NO CARGADO")</f>
        <v>-</v>
      </c>
      <c r="H440" s="64">
        <f>ventas_b_mes11[[#This Row],[TOTAL]]/1.21</f>
        <v>0</v>
      </c>
      <c r="I440" s="183">
        <f>ventas_b_mes11[[#This Row],[IMPORTE NETO]]*0.21</f>
        <v>0</v>
      </c>
      <c r="J440" s="184"/>
      <c r="K440" s="184"/>
      <c r="L440" s="184"/>
      <c r="M440" s="59"/>
    </row>
    <row r="441" spans="2:13" x14ac:dyDescent="0.3">
      <c r="B441" s="178"/>
      <c r="C441" s="41"/>
      <c r="D441" s="180"/>
      <c r="E441" s="181"/>
      <c r="F441" s="182"/>
      <c r="G441" s="1" t="str">
        <f>IFERROR(IF(ventas_b_mes11[[#This Row],[CUIT]]="","-",VLOOKUP(ventas_b_mes11[[#This Row],[CUIT]],Lista_CUIT[#All],2,0)),"CUIT NO CARGADO")</f>
        <v>-</v>
      </c>
      <c r="H441" s="64">
        <f>ventas_b_mes11[[#This Row],[TOTAL]]/1.21</f>
        <v>0</v>
      </c>
      <c r="I441" s="183">
        <f>ventas_b_mes11[[#This Row],[IMPORTE NETO]]*0.21</f>
        <v>0</v>
      </c>
      <c r="J441" s="184"/>
      <c r="K441" s="184"/>
      <c r="L441" s="184"/>
      <c r="M441" s="59"/>
    </row>
    <row r="442" spans="2:13" x14ac:dyDescent="0.3">
      <c r="B442" s="178"/>
      <c r="C442" s="218"/>
      <c r="D442" s="180"/>
      <c r="E442" s="181"/>
      <c r="F442" s="182"/>
      <c r="G442" s="1" t="str">
        <f>IFERROR(IF(ventas_b_mes11[[#This Row],[CUIT]]="","-",VLOOKUP(ventas_b_mes11[[#This Row],[CUIT]],Lista_CUIT[#All],2,0)),"CUIT NO CARGADO")</f>
        <v>-</v>
      </c>
      <c r="H442" s="64">
        <f>ventas_b_mes11[[#This Row],[TOTAL]]/1.21</f>
        <v>0</v>
      </c>
      <c r="I442" s="183">
        <f>ventas_b_mes11[[#This Row],[IMPORTE NETO]]*0.21</f>
        <v>0</v>
      </c>
      <c r="J442" s="184"/>
      <c r="K442" s="184"/>
      <c r="L442" s="184"/>
      <c r="M442" s="59"/>
    </row>
    <row r="443" spans="2:13" x14ac:dyDescent="0.3">
      <c r="B443" s="178"/>
      <c r="C443" s="218"/>
      <c r="D443" s="180"/>
      <c r="E443" s="181"/>
      <c r="F443" s="182"/>
      <c r="G443" s="1" t="str">
        <f>IFERROR(IF(ventas_b_mes11[[#This Row],[CUIT]]="","-",VLOOKUP(ventas_b_mes11[[#This Row],[CUIT]],Lista_CUIT[#All],2,0)),"CUIT NO CARGADO")</f>
        <v>-</v>
      </c>
      <c r="H443" s="64">
        <f>ventas_b_mes11[[#This Row],[TOTAL]]/1.21</f>
        <v>0</v>
      </c>
      <c r="I443" s="183">
        <f>ventas_b_mes11[[#This Row],[IMPORTE NETO]]*0.21</f>
        <v>0</v>
      </c>
      <c r="J443" s="184"/>
      <c r="K443" s="184"/>
      <c r="L443" s="184"/>
      <c r="M443" s="59"/>
    </row>
    <row r="444" spans="2:13" x14ac:dyDescent="0.3">
      <c r="B444" s="178"/>
      <c r="C444" s="218"/>
      <c r="D444" s="180"/>
      <c r="E444" s="181"/>
      <c r="F444" s="182"/>
      <c r="G444" s="1" t="str">
        <f>IFERROR(IF(ventas_b_mes11[[#This Row],[CUIT]]="","-",VLOOKUP(ventas_b_mes11[[#This Row],[CUIT]],Lista_CUIT[#All],2,0)),"CUIT NO CARGADO")</f>
        <v>-</v>
      </c>
      <c r="H444" s="64">
        <f>ventas_b_mes11[[#This Row],[TOTAL]]/1.21</f>
        <v>0</v>
      </c>
      <c r="I444" s="183">
        <f>ventas_b_mes11[[#This Row],[IMPORTE NETO]]*0.21</f>
        <v>0</v>
      </c>
      <c r="J444" s="184"/>
      <c r="K444" s="184"/>
      <c r="L444" s="184"/>
      <c r="M444" s="59"/>
    </row>
    <row r="445" spans="2:13" x14ac:dyDescent="0.3">
      <c r="B445" s="178"/>
      <c r="C445" s="218"/>
      <c r="D445" s="180"/>
      <c r="E445" s="181"/>
      <c r="F445" s="182"/>
      <c r="G445" s="1" t="str">
        <f>IFERROR(IF(ventas_b_mes11[[#This Row],[CUIT]]="","-",VLOOKUP(ventas_b_mes11[[#This Row],[CUIT]],Lista_CUIT[#All],2,0)),"CUIT NO CARGADO")</f>
        <v>-</v>
      </c>
      <c r="H445" s="64">
        <f>ventas_b_mes11[[#This Row],[TOTAL]]/1.21</f>
        <v>0</v>
      </c>
      <c r="I445" s="183">
        <f>ventas_b_mes11[[#This Row],[IMPORTE NETO]]*0.21</f>
        <v>0</v>
      </c>
      <c r="J445" s="184"/>
      <c r="K445" s="184"/>
      <c r="L445" s="184"/>
      <c r="M445" s="59"/>
    </row>
    <row r="446" spans="2:13" x14ac:dyDescent="0.3">
      <c r="B446" s="178"/>
      <c r="C446" s="179"/>
      <c r="D446" s="180"/>
      <c r="E446" s="181"/>
      <c r="F446" s="182"/>
      <c r="G446" s="1" t="str">
        <f>IFERROR(IF(ventas_b_mes11[[#This Row],[CUIT]]="","-",VLOOKUP(ventas_b_mes11[[#This Row],[CUIT]],Lista_CUIT[#All],2,0)),"CUIT NO CARGADO")</f>
        <v>-</v>
      </c>
      <c r="H446" s="64">
        <f>ventas_b_mes11[[#This Row],[TOTAL]]/1.21</f>
        <v>0</v>
      </c>
      <c r="I446" s="183">
        <f>ventas_b_mes11[[#This Row],[IMPORTE NETO]]*0.21</f>
        <v>0</v>
      </c>
      <c r="J446" s="184"/>
      <c r="K446" s="184"/>
      <c r="L446" s="184"/>
      <c r="M446" s="59"/>
    </row>
    <row r="447" spans="2:13" x14ac:dyDescent="0.3">
      <c r="B447" s="178"/>
      <c r="C447" s="179"/>
      <c r="D447" s="180"/>
      <c r="E447" s="181"/>
      <c r="F447" s="182"/>
      <c r="G447" s="1" t="str">
        <f>IFERROR(IF(ventas_b_mes11[[#This Row],[CUIT]]="","-",VLOOKUP(ventas_b_mes11[[#This Row],[CUIT]],Lista_CUIT[#All],2,0)),"CUIT NO CARGADO")</f>
        <v>-</v>
      </c>
      <c r="H447" s="64">
        <f>ventas_b_mes11[[#This Row],[TOTAL]]/1.21</f>
        <v>0</v>
      </c>
      <c r="I447" s="183">
        <f>ventas_b_mes11[[#This Row],[IMPORTE NETO]]*0.21</f>
        <v>0</v>
      </c>
      <c r="J447" s="184"/>
      <c r="K447" s="184"/>
      <c r="L447" s="184"/>
      <c r="M447" s="59"/>
    </row>
    <row r="448" spans="2:13" x14ac:dyDescent="0.3">
      <c r="B448" s="178"/>
      <c r="C448" s="179"/>
      <c r="D448" s="180"/>
      <c r="E448" s="181"/>
      <c r="F448" s="182"/>
      <c r="G448" s="1" t="str">
        <f>IFERROR(IF(ventas_b_mes11[[#This Row],[CUIT]]="","-",VLOOKUP(ventas_b_mes11[[#This Row],[CUIT]],Lista_CUIT[#All],2,0)),"CUIT NO CARGADO")</f>
        <v>-</v>
      </c>
      <c r="H448" s="64">
        <f>ventas_b_mes11[[#This Row],[TOTAL]]/1.21</f>
        <v>0</v>
      </c>
      <c r="I448" s="183">
        <f>ventas_b_mes11[[#This Row],[IMPORTE NETO]]*0.21</f>
        <v>0</v>
      </c>
      <c r="J448" s="184"/>
      <c r="K448" s="184"/>
      <c r="L448" s="184"/>
      <c r="M448" s="59"/>
    </row>
    <row r="449" spans="2:13" x14ac:dyDescent="0.3">
      <c r="B449" s="178"/>
      <c r="C449" s="203"/>
      <c r="D449" s="180"/>
      <c r="E449" s="181"/>
      <c r="F449" s="182"/>
      <c r="G449" s="1" t="str">
        <f>IFERROR(IF(ventas_b_mes11[[#This Row],[CUIT]]="","-",VLOOKUP(ventas_b_mes11[[#This Row],[CUIT]],Lista_CUIT[#All],2,0)),"CUIT NO CARGADO")</f>
        <v>-</v>
      </c>
      <c r="H449" s="64">
        <f>ventas_b_mes11[[#This Row],[TOTAL]]/1.21</f>
        <v>0</v>
      </c>
      <c r="I449" s="183">
        <f>ventas_b_mes11[[#This Row],[IMPORTE NETO]]*0.21</f>
        <v>0</v>
      </c>
      <c r="J449" s="184"/>
      <c r="K449" s="184"/>
      <c r="L449" s="184"/>
      <c r="M449" s="59"/>
    </row>
    <row r="450" spans="2:13" x14ac:dyDescent="0.3">
      <c r="B450" s="178"/>
      <c r="C450" s="179"/>
      <c r="D450" s="180"/>
      <c r="E450" s="181"/>
      <c r="F450" s="182"/>
      <c r="G450" s="1" t="str">
        <f>IFERROR(IF(ventas_b_mes11[[#This Row],[CUIT]]="","-",VLOOKUP(ventas_b_mes11[[#This Row],[CUIT]],Lista_CUIT[#All],2,0)),"CUIT NO CARGADO")</f>
        <v>-</v>
      </c>
      <c r="H450" s="64">
        <f>ventas_b_mes11[[#This Row],[TOTAL]]/1.21</f>
        <v>0</v>
      </c>
      <c r="I450" s="183">
        <f>ventas_b_mes11[[#This Row],[IMPORTE NETO]]*0.21</f>
        <v>0</v>
      </c>
      <c r="J450" s="184"/>
      <c r="K450" s="184"/>
      <c r="L450" s="184"/>
      <c r="M450" s="59"/>
    </row>
    <row r="451" spans="2:13" x14ac:dyDescent="0.3">
      <c r="B451" s="178"/>
      <c r="C451" s="179"/>
      <c r="D451" s="180"/>
      <c r="E451" s="181"/>
      <c r="F451" s="182"/>
      <c r="G451" s="1" t="str">
        <f>IFERROR(IF(ventas_b_mes11[[#This Row],[CUIT]]="","-",VLOOKUP(ventas_b_mes11[[#This Row],[CUIT]],Lista_CUIT[#All],2,0)),"CUIT NO CARGADO")</f>
        <v>-</v>
      </c>
      <c r="H451" s="64">
        <f>ventas_b_mes11[[#This Row],[TOTAL]]/1.21</f>
        <v>0</v>
      </c>
      <c r="I451" s="183">
        <f>ventas_b_mes11[[#This Row],[IMPORTE NETO]]*0.21</f>
        <v>0</v>
      </c>
      <c r="J451" s="184"/>
      <c r="K451" s="184"/>
      <c r="L451" s="184"/>
      <c r="M451" s="59"/>
    </row>
    <row r="452" spans="2:13" x14ac:dyDescent="0.3">
      <c r="B452" s="178"/>
      <c r="C452" s="179"/>
      <c r="D452" s="180"/>
      <c r="E452" s="181"/>
      <c r="F452" s="182"/>
      <c r="G452" s="1" t="str">
        <f>IFERROR(IF(ventas_b_mes11[[#This Row],[CUIT]]="","-",VLOOKUP(ventas_b_mes11[[#This Row],[CUIT]],Lista_CUIT[#All],2,0)),"CUIT NO CARGADO")</f>
        <v>-</v>
      </c>
      <c r="H452" s="64">
        <f>ventas_b_mes11[[#This Row],[TOTAL]]/1.21</f>
        <v>0</v>
      </c>
      <c r="I452" s="183">
        <f>ventas_b_mes11[[#This Row],[IMPORTE NETO]]*0.21</f>
        <v>0</v>
      </c>
      <c r="J452" s="184"/>
      <c r="K452" s="184"/>
      <c r="L452" s="184"/>
      <c r="M452" s="59"/>
    </row>
    <row r="453" spans="2:13" x14ac:dyDescent="0.3">
      <c r="B453" s="178"/>
      <c r="C453" s="179"/>
      <c r="D453" s="180"/>
      <c r="E453" s="181"/>
      <c r="F453" s="182"/>
      <c r="G453" s="1" t="str">
        <f>IFERROR(IF(ventas_b_mes11[[#This Row],[CUIT]]="","-",VLOOKUP(ventas_b_mes11[[#This Row],[CUIT]],Lista_CUIT[#All],2,0)),"CUIT NO CARGADO")</f>
        <v>-</v>
      </c>
      <c r="H453" s="64">
        <f>ventas_b_mes11[[#This Row],[TOTAL]]/1.21</f>
        <v>0</v>
      </c>
      <c r="I453" s="183">
        <f>ventas_b_mes11[[#This Row],[IMPORTE NETO]]*0.21</f>
        <v>0</v>
      </c>
      <c r="J453" s="184"/>
      <c r="K453" s="184"/>
      <c r="L453" s="184"/>
      <c r="M453" s="59"/>
    </row>
    <row r="454" spans="2:13" x14ac:dyDescent="0.3">
      <c r="B454" s="178"/>
      <c r="C454" s="179"/>
      <c r="D454" s="180"/>
      <c r="E454" s="181"/>
      <c r="F454" s="182"/>
      <c r="G454" s="1" t="str">
        <f>IFERROR(IF(ventas_b_mes11[[#This Row],[CUIT]]="","-",VLOOKUP(ventas_b_mes11[[#This Row],[CUIT]],Lista_CUIT[#All],2,0)),"CUIT NO CARGADO")</f>
        <v>-</v>
      </c>
      <c r="H454" s="64">
        <f>ventas_b_mes11[[#This Row],[TOTAL]]/1.21</f>
        <v>0</v>
      </c>
      <c r="I454" s="183">
        <f>ventas_b_mes11[[#This Row],[IMPORTE NETO]]*0.21</f>
        <v>0</v>
      </c>
      <c r="J454" s="184"/>
      <c r="K454" s="184"/>
      <c r="L454" s="184"/>
      <c r="M454" s="59"/>
    </row>
    <row r="455" spans="2:13" x14ac:dyDescent="0.3">
      <c r="B455" s="178"/>
      <c r="C455" s="179"/>
      <c r="D455" s="180"/>
      <c r="E455" s="181"/>
      <c r="F455" s="182"/>
      <c r="G455" s="1" t="str">
        <f>IFERROR(IF(ventas_b_mes11[[#This Row],[CUIT]]="","-",VLOOKUP(ventas_b_mes11[[#This Row],[CUIT]],Lista_CUIT[#All],2,0)),"CUIT NO CARGADO")</f>
        <v>-</v>
      </c>
      <c r="H455" s="64">
        <f>ventas_b_mes11[[#This Row],[TOTAL]]/1.21</f>
        <v>0</v>
      </c>
      <c r="I455" s="183">
        <f>ventas_b_mes11[[#This Row],[IMPORTE NETO]]*0.21</f>
        <v>0</v>
      </c>
      <c r="J455" s="184"/>
      <c r="K455" s="184"/>
      <c r="L455" s="184"/>
      <c r="M455" s="59"/>
    </row>
    <row r="456" spans="2:13" x14ac:dyDescent="0.3">
      <c r="B456" s="178"/>
      <c r="C456" s="179"/>
      <c r="D456" s="180"/>
      <c r="E456" s="181"/>
      <c r="F456" s="182"/>
      <c r="G456" s="1" t="str">
        <f>IFERROR(IF(ventas_b_mes11[[#This Row],[CUIT]]="","-",VLOOKUP(ventas_b_mes11[[#This Row],[CUIT]],Lista_CUIT[#All],2,0)),"CUIT NO CARGADO")</f>
        <v>-</v>
      </c>
      <c r="H456" s="64">
        <f>ventas_b_mes11[[#This Row],[TOTAL]]/1.21</f>
        <v>0</v>
      </c>
      <c r="I456" s="183">
        <f>ventas_b_mes11[[#This Row],[IMPORTE NETO]]*0.21</f>
        <v>0</v>
      </c>
      <c r="J456" s="184"/>
      <c r="K456" s="184"/>
      <c r="L456" s="184"/>
      <c r="M456" s="59"/>
    </row>
    <row r="457" spans="2:13" x14ac:dyDescent="0.3">
      <c r="B457" s="178"/>
      <c r="C457" s="179"/>
      <c r="D457" s="180"/>
      <c r="E457" s="181"/>
      <c r="F457" s="182"/>
      <c r="G457" s="1" t="str">
        <f>IFERROR(IF(ventas_b_mes11[[#This Row],[CUIT]]="","-",VLOOKUP(ventas_b_mes11[[#This Row],[CUIT]],Lista_CUIT[#All],2,0)),"CUIT NO CARGADO")</f>
        <v>-</v>
      </c>
      <c r="H457" s="64">
        <f>ventas_b_mes11[[#This Row],[TOTAL]]/1.21</f>
        <v>0</v>
      </c>
      <c r="I457" s="183">
        <f>ventas_b_mes11[[#This Row],[IMPORTE NETO]]*0.21</f>
        <v>0</v>
      </c>
      <c r="J457" s="184"/>
      <c r="K457" s="184"/>
      <c r="L457" s="184"/>
      <c r="M457" s="59"/>
    </row>
    <row r="458" spans="2:13" x14ac:dyDescent="0.3">
      <c r="B458" s="178"/>
      <c r="C458" s="179"/>
      <c r="D458" s="180"/>
      <c r="E458" s="181"/>
      <c r="F458" s="182"/>
      <c r="G458" s="1" t="str">
        <f>IFERROR(IF(ventas_b_mes11[[#This Row],[CUIT]]="","-",VLOOKUP(ventas_b_mes11[[#This Row],[CUIT]],Lista_CUIT[#All],2,0)),"CUIT NO CARGADO")</f>
        <v>-</v>
      </c>
      <c r="H458" s="64">
        <f>ventas_b_mes11[[#This Row],[TOTAL]]/1.21</f>
        <v>0</v>
      </c>
      <c r="I458" s="183">
        <f>ventas_b_mes11[[#This Row],[IMPORTE NETO]]*0.21</f>
        <v>0</v>
      </c>
      <c r="J458" s="184"/>
      <c r="K458" s="184"/>
      <c r="L458" s="184"/>
      <c r="M458" s="59"/>
    </row>
    <row r="459" spans="2:13" x14ac:dyDescent="0.3">
      <c r="B459" s="178"/>
      <c r="C459" s="179"/>
      <c r="D459" s="180"/>
      <c r="E459" s="181"/>
      <c r="F459" s="182"/>
      <c r="G459" s="1" t="str">
        <f>IFERROR(IF(ventas_b_mes11[[#This Row],[CUIT]]="","-",VLOOKUP(ventas_b_mes11[[#This Row],[CUIT]],Lista_CUIT[#All],2,0)),"CUIT NO CARGADO")</f>
        <v>-</v>
      </c>
      <c r="H459" s="64">
        <f>ventas_b_mes11[[#This Row],[TOTAL]]/1.21</f>
        <v>0</v>
      </c>
      <c r="I459" s="183">
        <f>ventas_b_mes11[[#This Row],[IMPORTE NETO]]*0.21</f>
        <v>0</v>
      </c>
      <c r="J459" s="184"/>
      <c r="K459" s="184"/>
      <c r="L459" s="184"/>
      <c r="M459" s="59"/>
    </row>
    <row r="460" spans="2:13" x14ac:dyDescent="0.3">
      <c r="B460" s="178"/>
      <c r="C460" s="179"/>
      <c r="D460" s="180"/>
      <c r="E460" s="181"/>
      <c r="F460" s="182"/>
      <c r="G460" s="1" t="str">
        <f>IFERROR(IF(ventas_b_mes11[[#This Row],[CUIT]]="","-",VLOOKUP(ventas_b_mes11[[#This Row],[CUIT]],Lista_CUIT[#All],2,0)),"CUIT NO CARGADO")</f>
        <v>-</v>
      </c>
      <c r="H460" s="64">
        <f>ventas_b_mes11[[#This Row],[TOTAL]]/1.21</f>
        <v>0</v>
      </c>
      <c r="I460" s="183">
        <f>ventas_b_mes11[[#This Row],[IMPORTE NETO]]*0.21</f>
        <v>0</v>
      </c>
      <c r="J460" s="184"/>
      <c r="K460" s="184"/>
      <c r="L460" s="184"/>
      <c r="M460" s="59"/>
    </row>
    <row r="461" spans="2:13" x14ac:dyDescent="0.3">
      <c r="B461" s="178"/>
      <c r="C461" s="179"/>
      <c r="D461" s="180"/>
      <c r="E461" s="181"/>
      <c r="F461" s="182"/>
      <c r="G461" s="1" t="str">
        <f>IFERROR(IF(ventas_b_mes11[[#This Row],[CUIT]]="","-",VLOOKUP(ventas_b_mes11[[#This Row],[CUIT]],Lista_CUIT[#All],2,0)),"CUIT NO CARGADO")</f>
        <v>-</v>
      </c>
      <c r="H461" s="64">
        <f>ventas_b_mes11[[#This Row],[TOTAL]]/1.21</f>
        <v>0</v>
      </c>
      <c r="I461" s="183">
        <f>ventas_b_mes11[[#This Row],[IMPORTE NETO]]*0.21</f>
        <v>0</v>
      </c>
      <c r="J461" s="184"/>
      <c r="K461" s="184"/>
      <c r="L461" s="184"/>
      <c r="M461" s="59"/>
    </row>
    <row r="462" spans="2:13" x14ac:dyDescent="0.3">
      <c r="B462" s="178"/>
      <c r="C462" s="179"/>
      <c r="D462" s="180"/>
      <c r="E462" s="181"/>
      <c r="F462" s="182"/>
      <c r="G462" s="1" t="str">
        <f>IFERROR(IF(ventas_b_mes11[[#This Row],[CUIT]]="","-",VLOOKUP(ventas_b_mes11[[#This Row],[CUIT]],Lista_CUIT[#All],2,0)),"CUIT NO CARGADO")</f>
        <v>-</v>
      </c>
      <c r="H462" s="64">
        <f>ventas_b_mes11[[#This Row],[TOTAL]]/1.21</f>
        <v>0</v>
      </c>
      <c r="I462" s="183">
        <f>ventas_b_mes11[[#This Row],[IMPORTE NETO]]*0.21</f>
        <v>0</v>
      </c>
      <c r="J462" s="184"/>
      <c r="K462" s="184"/>
      <c r="L462" s="184"/>
      <c r="M462" s="59"/>
    </row>
    <row r="463" spans="2:13" x14ac:dyDescent="0.3">
      <c r="B463" s="178"/>
      <c r="C463" s="179"/>
      <c r="D463" s="180"/>
      <c r="E463" s="181"/>
      <c r="F463" s="182"/>
      <c r="G463" s="1" t="str">
        <f>IFERROR(IF(ventas_b_mes11[[#This Row],[CUIT]]="","-",VLOOKUP(ventas_b_mes11[[#This Row],[CUIT]],Lista_CUIT[#All],2,0)),"CUIT NO CARGADO")</f>
        <v>-</v>
      </c>
      <c r="H463" s="64">
        <f>ventas_b_mes11[[#This Row],[TOTAL]]/1.21</f>
        <v>0</v>
      </c>
      <c r="I463" s="183">
        <f>ventas_b_mes11[[#This Row],[IMPORTE NETO]]*0.21</f>
        <v>0</v>
      </c>
      <c r="J463" s="184"/>
      <c r="K463" s="184"/>
      <c r="L463" s="184"/>
      <c r="M463" s="59"/>
    </row>
    <row r="464" spans="2:13" x14ac:dyDescent="0.3">
      <c r="B464" s="178"/>
      <c r="C464" s="179"/>
      <c r="D464" s="180"/>
      <c r="E464" s="181"/>
      <c r="F464" s="182"/>
      <c r="G464" s="1" t="str">
        <f>IFERROR(IF(ventas_b_mes11[[#This Row],[CUIT]]="","-",VLOOKUP(ventas_b_mes11[[#This Row],[CUIT]],Lista_CUIT[#All],2,0)),"CUIT NO CARGADO")</f>
        <v>-</v>
      </c>
      <c r="H464" s="64">
        <f>ventas_b_mes11[[#This Row],[TOTAL]]/1.21</f>
        <v>0</v>
      </c>
      <c r="I464" s="183">
        <f>ventas_b_mes11[[#This Row],[IMPORTE NETO]]*0.21</f>
        <v>0</v>
      </c>
      <c r="J464" s="184"/>
      <c r="K464" s="184"/>
      <c r="L464" s="184"/>
      <c r="M464" s="59"/>
    </row>
    <row r="465" spans="2:13" x14ac:dyDescent="0.3">
      <c r="B465" s="178"/>
      <c r="C465" s="179"/>
      <c r="D465" s="180"/>
      <c r="E465" s="181"/>
      <c r="F465" s="182"/>
      <c r="G465" s="1" t="str">
        <f>IFERROR(IF(ventas_b_mes11[[#This Row],[CUIT]]="","-",VLOOKUP(ventas_b_mes11[[#This Row],[CUIT]],Lista_CUIT[#All],2,0)),"CUIT NO CARGADO")</f>
        <v>-</v>
      </c>
      <c r="H465" s="64">
        <f>ventas_b_mes11[[#This Row],[TOTAL]]/1.21</f>
        <v>0</v>
      </c>
      <c r="I465" s="183">
        <f>ventas_b_mes11[[#This Row],[IMPORTE NETO]]*0.21</f>
        <v>0</v>
      </c>
      <c r="J465" s="184"/>
      <c r="K465" s="184"/>
      <c r="L465" s="184"/>
      <c r="M465" s="59"/>
    </row>
    <row r="466" spans="2:13" x14ac:dyDescent="0.3">
      <c r="B466" s="178"/>
      <c r="C466" s="179"/>
      <c r="D466" s="180"/>
      <c r="E466" s="181"/>
      <c r="F466" s="182"/>
      <c r="G466" s="1" t="str">
        <f>IFERROR(IF(ventas_b_mes11[[#This Row],[CUIT]]="","-",VLOOKUP(ventas_b_mes11[[#This Row],[CUIT]],Lista_CUIT[#All],2,0)),"CUIT NO CARGADO")</f>
        <v>-</v>
      </c>
      <c r="H466" s="64">
        <f>ventas_b_mes11[[#This Row],[TOTAL]]/1.21</f>
        <v>0</v>
      </c>
      <c r="I466" s="183">
        <f>ventas_b_mes11[[#This Row],[IMPORTE NETO]]*0.21</f>
        <v>0</v>
      </c>
      <c r="J466" s="184"/>
      <c r="K466" s="184"/>
      <c r="L466" s="184"/>
      <c r="M466" s="59"/>
    </row>
    <row r="467" spans="2:13" x14ac:dyDescent="0.3">
      <c r="B467" s="178"/>
      <c r="C467" s="179"/>
      <c r="D467" s="180"/>
      <c r="E467" s="181"/>
      <c r="F467" s="182"/>
      <c r="G467" s="1" t="str">
        <f>IFERROR(IF(ventas_b_mes11[[#This Row],[CUIT]]="","-",VLOOKUP(ventas_b_mes11[[#This Row],[CUIT]],Lista_CUIT[#All],2,0)),"CUIT NO CARGADO")</f>
        <v>-</v>
      </c>
      <c r="H467" s="64">
        <f>ventas_b_mes11[[#This Row],[TOTAL]]/1.21</f>
        <v>0</v>
      </c>
      <c r="I467" s="183">
        <f>ventas_b_mes11[[#This Row],[IMPORTE NETO]]*0.21</f>
        <v>0</v>
      </c>
      <c r="J467" s="184"/>
      <c r="K467" s="184"/>
      <c r="L467" s="184"/>
      <c r="M467" s="59"/>
    </row>
    <row r="468" spans="2:13" x14ac:dyDescent="0.3">
      <c r="B468" s="178"/>
      <c r="C468" s="179"/>
      <c r="D468" s="180"/>
      <c r="E468" s="181"/>
      <c r="F468" s="182"/>
      <c r="G468" s="1" t="str">
        <f>IFERROR(IF(ventas_b_mes11[[#This Row],[CUIT]]="","-",VLOOKUP(ventas_b_mes11[[#This Row],[CUIT]],Lista_CUIT[#All],2,0)),"CUIT NO CARGADO")</f>
        <v>-</v>
      </c>
      <c r="H468" s="64">
        <f>ventas_b_mes11[[#This Row],[TOTAL]]/1.21</f>
        <v>0</v>
      </c>
      <c r="I468" s="183">
        <f>ventas_b_mes11[[#This Row],[IMPORTE NETO]]*0.21</f>
        <v>0</v>
      </c>
      <c r="J468" s="184"/>
      <c r="K468" s="184"/>
      <c r="L468" s="184"/>
      <c r="M468" s="59"/>
    </row>
    <row r="469" spans="2:13" x14ac:dyDescent="0.3">
      <c r="B469" s="178"/>
      <c r="C469" s="179"/>
      <c r="D469" s="180"/>
      <c r="E469" s="181"/>
      <c r="F469" s="182"/>
      <c r="G469" s="1" t="str">
        <f>IFERROR(IF(ventas_b_mes11[[#This Row],[CUIT]]="","-",VLOOKUP(ventas_b_mes11[[#This Row],[CUIT]],Lista_CUIT[#All],2,0)),"CUIT NO CARGADO")</f>
        <v>-</v>
      </c>
      <c r="H469" s="64">
        <f>ventas_b_mes11[[#This Row],[TOTAL]]/1.21</f>
        <v>0</v>
      </c>
      <c r="I469" s="183">
        <f>ventas_b_mes11[[#This Row],[IMPORTE NETO]]*0.21</f>
        <v>0</v>
      </c>
      <c r="J469" s="184"/>
      <c r="K469" s="184"/>
      <c r="L469" s="184"/>
      <c r="M469" s="59"/>
    </row>
    <row r="470" spans="2:13" x14ac:dyDescent="0.3">
      <c r="B470" s="178"/>
      <c r="C470" s="179"/>
      <c r="D470" s="180"/>
      <c r="E470" s="181"/>
      <c r="F470" s="182"/>
      <c r="G470" s="1" t="str">
        <f>IFERROR(IF(ventas_b_mes11[[#This Row],[CUIT]]="","-",VLOOKUP(ventas_b_mes11[[#This Row],[CUIT]],Lista_CUIT[#All],2,0)),"CUIT NO CARGADO")</f>
        <v>-</v>
      </c>
      <c r="H470" s="64">
        <f>ventas_b_mes11[[#This Row],[TOTAL]]/1.21</f>
        <v>0</v>
      </c>
      <c r="I470" s="183">
        <f>ventas_b_mes11[[#This Row],[IMPORTE NETO]]*0.21</f>
        <v>0</v>
      </c>
      <c r="J470" s="184"/>
      <c r="K470" s="184"/>
      <c r="L470" s="184"/>
      <c r="M470" s="59"/>
    </row>
    <row r="471" spans="2:13" x14ac:dyDescent="0.3">
      <c r="B471" s="178"/>
      <c r="C471" s="179"/>
      <c r="D471" s="180"/>
      <c r="E471" s="181"/>
      <c r="F471" s="182"/>
      <c r="G471" s="1" t="str">
        <f>IFERROR(IF(ventas_b_mes11[[#This Row],[CUIT]]="","-",VLOOKUP(ventas_b_mes11[[#This Row],[CUIT]],Lista_CUIT[#All],2,0)),"CUIT NO CARGADO")</f>
        <v>-</v>
      </c>
      <c r="H471" s="64">
        <f>ventas_b_mes11[[#This Row],[TOTAL]]/1.21</f>
        <v>0</v>
      </c>
      <c r="I471" s="183">
        <f>ventas_b_mes11[[#This Row],[IMPORTE NETO]]*0.21</f>
        <v>0</v>
      </c>
      <c r="J471" s="184"/>
      <c r="K471" s="184"/>
      <c r="L471" s="184"/>
      <c r="M471" s="59"/>
    </row>
    <row r="472" spans="2:13" x14ac:dyDescent="0.3">
      <c r="B472" s="178"/>
      <c r="C472" s="179"/>
      <c r="D472" s="180"/>
      <c r="E472" s="181"/>
      <c r="F472" s="182"/>
      <c r="G472" s="1" t="str">
        <f>IFERROR(IF(ventas_b_mes11[[#This Row],[CUIT]]="","-",VLOOKUP(ventas_b_mes11[[#This Row],[CUIT]],Lista_CUIT[#All],2,0)),"CUIT NO CARGADO")</f>
        <v>-</v>
      </c>
      <c r="H472" s="64">
        <f>ventas_b_mes11[[#This Row],[TOTAL]]/1.21</f>
        <v>0</v>
      </c>
      <c r="I472" s="183">
        <f>ventas_b_mes11[[#This Row],[IMPORTE NETO]]*0.21</f>
        <v>0</v>
      </c>
      <c r="J472" s="184"/>
      <c r="K472" s="184"/>
      <c r="L472" s="184"/>
      <c r="M472" s="59"/>
    </row>
    <row r="473" spans="2:13" x14ac:dyDescent="0.3">
      <c r="B473" s="178"/>
      <c r="C473" s="179"/>
      <c r="D473" s="180"/>
      <c r="E473" s="181"/>
      <c r="F473" s="182"/>
      <c r="G473" s="1" t="str">
        <f>IFERROR(IF(ventas_b_mes11[[#This Row],[CUIT]]="","-",VLOOKUP(ventas_b_mes11[[#This Row],[CUIT]],Lista_CUIT[#All],2,0)),"CUIT NO CARGADO")</f>
        <v>-</v>
      </c>
      <c r="H473" s="64">
        <f>ventas_b_mes11[[#This Row],[TOTAL]]/1.21</f>
        <v>0</v>
      </c>
      <c r="I473" s="183">
        <f>ventas_b_mes11[[#This Row],[IMPORTE NETO]]*0.21</f>
        <v>0</v>
      </c>
      <c r="J473" s="184"/>
      <c r="K473" s="184"/>
      <c r="L473" s="184"/>
      <c r="M473" s="59"/>
    </row>
    <row r="474" spans="2:13" x14ac:dyDescent="0.3">
      <c r="B474" s="178"/>
      <c r="C474" s="179"/>
      <c r="D474" s="180"/>
      <c r="E474" s="181"/>
      <c r="F474" s="182"/>
      <c r="G474" s="1" t="str">
        <f>IFERROR(IF(ventas_b_mes11[[#This Row],[CUIT]]="","-",VLOOKUP(ventas_b_mes11[[#This Row],[CUIT]],Lista_CUIT[#All],2,0)),"CUIT NO CARGADO")</f>
        <v>-</v>
      </c>
      <c r="H474" s="64">
        <f>ventas_b_mes11[[#This Row],[TOTAL]]/1.21</f>
        <v>0</v>
      </c>
      <c r="I474" s="183">
        <f>ventas_b_mes11[[#This Row],[IMPORTE NETO]]*0.21</f>
        <v>0</v>
      </c>
      <c r="J474" s="184"/>
      <c r="K474" s="184"/>
      <c r="L474" s="184"/>
      <c r="M474" s="59"/>
    </row>
    <row r="475" spans="2:13" x14ac:dyDescent="0.3">
      <c r="B475" s="178"/>
      <c r="C475" s="179"/>
      <c r="D475" s="180"/>
      <c r="E475" s="181"/>
      <c r="F475" s="182"/>
      <c r="G475" s="1" t="str">
        <f>IFERROR(IF(ventas_b_mes11[[#This Row],[CUIT]]="","-",VLOOKUP(ventas_b_mes11[[#This Row],[CUIT]],Lista_CUIT[#All],2,0)),"CUIT NO CARGADO")</f>
        <v>-</v>
      </c>
      <c r="H475" s="64">
        <f>ventas_b_mes11[[#This Row],[TOTAL]]/1.21</f>
        <v>0</v>
      </c>
      <c r="I475" s="183">
        <f>ventas_b_mes11[[#This Row],[IMPORTE NETO]]*0.21</f>
        <v>0</v>
      </c>
      <c r="J475" s="184"/>
      <c r="K475" s="184"/>
      <c r="L475" s="184"/>
      <c r="M475" s="59"/>
    </row>
    <row r="476" spans="2:13" x14ac:dyDescent="0.3">
      <c r="B476" s="178"/>
      <c r="C476" s="179"/>
      <c r="D476" s="180"/>
      <c r="E476" s="181"/>
      <c r="F476" s="182"/>
      <c r="G476" s="1" t="str">
        <f>IFERROR(IF(ventas_b_mes11[[#This Row],[CUIT]]="","-",VLOOKUP(ventas_b_mes11[[#This Row],[CUIT]],Lista_CUIT[#All],2,0)),"CUIT NO CARGADO")</f>
        <v>-</v>
      </c>
      <c r="H476" s="64">
        <f>ventas_b_mes11[[#This Row],[TOTAL]]/1.21</f>
        <v>0</v>
      </c>
      <c r="I476" s="183">
        <f>ventas_b_mes11[[#This Row],[IMPORTE NETO]]*0.21</f>
        <v>0</v>
      </c>
      <c r="J476" s="184"/>
      <c r="K476" s="184"/>
      <c r="L476" s="184"/>
      <c r="M476" s="59"/>
    </row>
    <row r="477" spans="2:13" x14ac:dyDescent="0.3">
      <c r="B477" s="178"/>
      <c r="C477" s="179"/>
      <c r="D477" s="180"/>
      <c r="E477" s="181"/>
      <c r="F477" s="182"/>
      <c r="G477" s="1" t="str">
        <f>IFERROR(IF(ventas_b_mes11[[#This Row],[CUIT]]="","-",VLOOKUP(ventas_b_mes11[[#This Row],[CUIT]],Lista_CUIT[#All],2,0)),"CUIT NO CARGADO")</f>
        <v>-</v>
      </c>
      <c r="H477" s="64">
        <f>ventas_b_mes11[[#This Row],[TOTAL]]/1.21</f>
        <v>0</v>
      </c>
      <c r="I477" s="183">
        <f>ventas_b_mes11[[#This Row],[IMPORTE NETO]]*0.21</f>
        <v>0</v>
      </c>
      <c r="J477" s="184"/>
      <c r="K477" s="184"/>
      <c r="L477" s="184"/>
      <c r="M477" s="59"/>
    </row>
    <row r="478" spans="2:13" x14ac:dyDescent="0.3">
      <c r="B478" s="178"/>
      <c r="C478" s="179"/>
      <c r="D478" s="180"/>
      <c r="E478" s="181"/>
      <c r="F478" s="182"/>
      <c r="G478" s="1" t="str">
        <f>IFERROR(IF(ventas_b_mes11[[#This Row],[CUIT]]="","-",VLOOKUP(ventas_b_mes11[[#This Row],[CUIT]],Lista_CUIT[#All],2,0)),"CUIT NO CARGADO")</f>
        <v>-</v>
      </c>
      <c r="H478" s="64">
        <f>ventas_b_mes11[[#This Row],[TOTAL]]/1.21</f>
        <v>0</v>
      </c>
      <c r="I478" s="183">
        <f>ventas_b_mes11[[#This Row],[IMPORTE NETO]]*0.21</f>
        <v>0</v>
      </c>
      <c r="J478" s="184"/>
      <c r="K478" s="184"/>
      <c r="L478" s="184"/>
      <c r="M478" s="59"/>
    </row>
    <row r="479" spans="2:13" x14ac:dyDescent="0.3">
      <c r="B479" s="178"/>
      <c r="C479" s="179"/>
      <c r="D479" s="180"/>
      <c r="E479" s="181"/>
      <c r="F479" s="182"/>
      <c r="G479" s="1" t="str">
        <f>IFERROR(IF(ventas_b_mes11[[#This Row],[CUIT]]="","-",VLOOKUP(ventas_b_mes11[[#This Row],[CUIT]],Lista_CUIT[#All],2,0)),"CUIT NO CARGADO")</f>
        <v>-</v>
      </c>
      <c r="H479" s="64">
        <f>ventas_b_mes11[[#This Row],[TOTAL]]/1.21</f>
        <v>0</v>
      </c>
      <c r="I479" s="183">
        <f>ventas_b_mes11[[#This Row],[IMPORTE NETO]]*0.21</f>
        <v>0</v>
      </c>
      <c r="J479" s="184"/>
      <c r="K479" s="184"/>
      <c r="L479" s="184"/>
      <c r="M479" s="59"/>
    </row>
    <row r="480" spans="2:13" x14ac:dyDescent="0.3">
      <c r="B480" s="178"/>
      <c r="C480" s="179"/>
      <c r="D480" s="180"/>
      <c r="E480" s="181"/>
      <c r="F480" s="182"/>
      <c r="G480" s="1" t="str">
        <f>IFERROR(IF(ventas_b_mes11[[#This Row],[CUIT]]="","-",VLOOKUP(ventas_b_mes11[[#This Row],[CUIT]],Lista_CUIT[#All],2,0)),"CUIT NO CARGADO")</f>
        <v>-</v>
      </c>
      <c r="H480" s="64">
        <f>ventas_b_mes11[[#This Row],[TOTAL]]/1.21</f>
        <v>0</v>
      </c>
      <c r="I480" s="183">
        <f>ventas_b_mes11[[#This Row],[IMPORTE NETO]]*0.21</f>
        <v>0</v>
      </c>
      <c r="J480" s="184"/>
      <c r="K480" s="184"/>
      <c r="L480" s="184"/>
      <c r="M480" s="59"/>
    </row>
    <row r="481" spans="2:13" x14ac:dyDescent="0.3">
      <c r="B481" s="178"/>
      <c r="C481" s="179"/>
      <c r="D481" s="180"/>
      <c r="E481" s="181"/>
      <c r="F481" s="182"/>
      <c r="G481" s="1" t="str">
        <f>IFERROR(IF(ventas_b_mes11[[#This Row],[CUIT]]="","-",VLOOKUP(ventas_b_mes11[[#This Row],[CUIT]],Lista_CUIT[#All],2,0)),"CUIT NO CARGADO")</f>
        <v>-</v>
      </c>
      <c r="H481" s="64">
        <f>ventas_b_mes11[[#This Row],[TOTAL]]/1.21</f>
        <v>0</v>
      </c>
      <c r="I481" s="183">
        <f>ventas_b_mes11[[#This Row],[IMPORTE NETO]]*0.21</f>
        <v>0</v>
      </c>
      <c r="J481" s="184"/>
      <c r="K481" s="184"/>
      <c r="L481" s="184"/>
      <c r="M481" s="59"/>
    </row>
    <row r="482" spans="2:13" x14ac:dyDescent="0.3">
      <c r="B482" s="178"/>
      <c r="C482" s="179"/>
      <c r="D482" s="180"/>
      <c r="E482" s="181"/>
      <c r="F482" s="182"/>
      <c r="G482" s="1" t="str">
        <f>IFERROR(IF(ventas_b_mes11[[#This Row],[CUIT]]="","-",VLOOKUP(ventas_b_mes11[[#This Row],[CUIT]],Lista_CUIT[#All],2,0)),"CUIT NO CARGADO")</f>
        <v>-</v>
      </c>
      <c r="H482" s="64">
        <f>ventas_b_mes11[[#This Row],[TOTAL]]/1.21</f>
        <v>0</v>
      </c>
      <c r="I482" s="183">
        <f>ventas_b_mes11[[#This Row],[IMPORTE NETO]]*0.21</f>
        <v>0</v>
      </c>
      <c r="J482" s="184"/>
      <c r="K482" s="184"/>
      <c r="L482" s="184"/>
      <c r="M482" s="59"/>
    </row>
    <row r="483" spans="2:13" x14ac:dyDescent="0.3">
      <c r="B483" s="178"/>
      <c r="C483" s="179"/>
      <c r="D483" s="180"/>
      <c r="E483" s="181"/>
      <c r="F483" s="182"/>
      <c r="G483" s="1" t="str">
        <f>IFERROR(IF(ventas_b_mes11[[#This Row],[CUIT]]="","-",VLOOKUP(ventas_b_mes11[[#This Row],[CUIT]],Lista_CUIT[#All],2,0)),"CUIT NO CARGADO")</f>
        <v>-</v>
      </c>
      <c r="H483" s="64">
        <f>ventas_b_mes11[[#This Row],[TOTAL]]/1.21</f>
        <v>0</v>
      </c>
      <c r="I483" s="183">
        <f>ventas_b_mes11[[#This Row],[IMPORTE NETO]]*0.21</f>
        <v>0</v>
      </c>
      <c r="J483" s="184"/>
      <c r="K483" s="184"/>
      <c r="L483" s="184"/>
      <c r="M483" s="59"/>
    </row>
    <row r="484" spans="2:13" x14ac:dyDescent="0.3">
      <c r="B484" s="178"/>
      <c r="C484" s="179"/>
      <c r="D484" s="180"/>
      <c r="E484" s="181"/>
      <c r="F484" s="182"/>
      <c r="G484" s="1" t="str">
        <f>IFERROR(IF(ventas_b_mes11[[#This Row],[CUIT]]="","-",VLOOKUP(ventas_b_mes11[[#This Row],[CUIT]],Lista_CUIT[#All],2,0)),"CUIT NO CARGADO")</f>
        <v>-</v>
      </c>
      <c r="H484" s="64">
        <f>ventas_b_mes11[[#This Row],[TOTAL]]/1.21</f>
        <v>0</v>
      </c>
      <c r="I484" s="183">
        <f>ventas_b_mes11[[#This Row],[IMPORTE NETO]]*0.21</f>
        <v>0</v>
      </c>
      <c r="J484" s="184"/>
      <c r="K484" s="184"/>
      <c r="L484" s="184"/>
      <c r="M484" s="59"/>
    </row>
    <row r="485" spans="2:13" x14ac:dyDescent="0.3">
      <c r="B485" s="178"/>
      <c r="C485" s="179"/>
      <c r="D485" s="180"/>
      <c r="E485" s="181"/>
      <c r="F485" s="182"/>
      <c r="G485" s="1" t="str">
        <f>IFERROR(IF(ventas_b_mes11[[#This Row],[CUIT]]="","-",VLOOKUP(ventas_b_mes11[[#This Row],[CUIT]],Lista_CUIT[#All],2,0)),"CUIT NO CARGADO")</f>
        <v>-</v>
      </c>
      <c r="H485" s="64">
        <f>ventas_b_mes11[[#This Row],[TOTAL]]/1.21</f>
        <v>0</v>
      </c>
      <c r="I485" s="183">
        <f>ventas_b_mes11[[#This Row],[IMPORTE NETO]]*0.21</f>
        <v>0</v>
      </c>
      <c r="J485" s="184"/>
      <c r="K485" s="184"/>
      <c r="L485" s="184"/>
      <c r="M485" s="59"/>
    </row>
    <row r="486" spans="2:13" x14ac:dyDescent="0.3">
      <c r="B486" s="178"/>
      <c r="C486" s="179"/>
      <c r="D486" s="180"/>
      <c r="E486" s="181"/>
      <c r="F486" s="182"/>
      <c r="G486" s="1" t="str">
        <f>IFERROR(IF(ventas_b_mes11[[#This Row],[CUIT]]="","-",VLOOKUP(ventas_b_mes11[[#This Row],[CUIT]],Lista_CUIT[#All],2,0)),"CUIT NO CARGADO")</f>
        <v>-</v>
      </c>
      <c r="H486" s="64">
        <f>ventas_b_mes11[[#This Row],[TOTAL]]/1.21</f>
        <v>0</v>
      </c>
      <c r="I486" s="183">
        <f>ventas_b_mes11[[#This Row],[IMPORTE NETO]]*0.21</f>
        <v>0</v>
      </c>
      <c r="J486" s="184"/>
      <c r="K486" s="184"/>
      <c r="L486" s="184"/>
      <c r="M486" s="59"/>
    </row>
    <row r="487" spans="2:13" x14ac:dyDescent="0.3">
      <c r="B487" s="178"/>
      <c r="C487" s="179"/>
      <c r="D487" s="180"/>
      <c r="E487" s="181"/>
      <c r="F487" s="182"/>
      <c r="G487" s="1" t="str">
        <f>IFERROR(IF(ventas_b_mes11[[#This Row],[CUIT]]="","-",VLOOKUP(ventas_b_mes11[[#This Row],[CUIT]],Lista_CUIT[#All],2,0)),"CUIT NO CARGADO")</f>
        <v>-</v>
      </c>
      <c r="H487" s="64">
        <f>ventas_b_mes11[[#This Row],[TOTAL]]/1.21</f>
        <v>0</v>
      </c>
      <c r="I487" s="183">
        <f>ventas_b_mes11[[#This Row],[IMPORTE NETO]]*0.21</f>
        <v>0</v>
      </c>
      <c r="J487" s="184"/>
      <c r="K487" s="184"/>
      <c r="L487" s="184"/>
      <c r="M487" s="59"/>
    </row>
    <row r="488" spans="2:13" x14ac:dyDescent="0.3">
      <c r="B488" s="178"/>
      <c r="C488" s="179"/>
      <c r="D488" s="180"/>
      <c r="E488" s="181"/>
      <c r="F488" s="182"/>
      <c r="G488" s="1" t="str">
        <f>IFERROR(IF(ventas_b_mes11[[#This Row],[CUIT]]="","-",VLOOKUP(ventas_b_mes11[[#This Row],[CUIT]],Lista_CUIT[#All],2,0)),"CUIT NO CARGADO")</f>
        <v>-</v>
      </c>
      <c r="H488" s="64">
        <f>ventas_b_mes11[[#This Row],[TOTAL]]/1.21</f>
        <v>0</v>
      </c>
      <c r="I488" s="183">
        <f>ventas_b_mes11[[#This Row],[IMPORTE NETO]]*0.21</f>
        <v>0</v>
      </c>
      <c r="J488" s="184"/>
      <c r="K488" s="184"/>
      <c r="L488" s="184"/>
      <c r="M488" s="59"/>
    </row>
    <row r="489" spans="2:13" x14ac:dyDescent="0.3">
      <c r="B489" s="178"/>
      <c r="C489" s="179"/>
      <c r="D489" s="180"/>
      <c r="E489" s="181"/>
      <c r="F489" s="182"/>
      <c r="G489" s="1" t="str">
        <f>IFERROR(IF(ventas_b_mes11[[#This Row],[CUIT]]="","-",VLOOKUP(ventas_b_mes11[[#This Row],[CUIT]],Lista_CUIT[#All],2,0)),"CUIT NO CARGADO")</f>
        <v>-</v>
      </c>
      <c r="H489" s="64">
        <f>ventas_b_mes11[[#This Row],[TOTAL]]/1.21</f>
        <v>0</v>
      </c>
      <c r="I489" s="183">
        <f>ventas_b_mes11[[#This Row],[IMPORTE NETO]]*0.21</f>
        <v>0</v>
      </c>
      <c r="J489" s="184"/>
      <c r="K489" s="184"/>
      <c r="L489" s="184"/>
      <c r="M489" s="59"/>
    </row>
    <row r="490" spans="2:13" x14ac:dyDescent="0.3">
      <c r="B490" s="178"/>
      <c r="C490" s="179"/>
      <c r="D490" s="180"/>
      <c r="E490" s="181"/>
      <c r="F490" s="182"/>
      <c r="G490" s="1" t="str">
        <f>IFERROR(IF(ventas_b_mes11[[#This Row],[CUIT]]="","-",VLOOKUP(ventas_b_mes11[[#This Row],[CUIT]],Lista_CUIT[#All],2,0)),"CUIT NO CARGADO")</f>
        <v>-</v>
      </c>
      <c r="H490" s="64">
        <f>ventas_b_mes11[[#This Row],[TOTAL]]/1.21</f>
        <v>0</v>
      </c>
      <c r="I490" s="183">
        <f>ventas_b_mes11[[#This Row],[IMPORTE NETO]]*0.21</f>
        <v>0</v>
      </c>
      <c r="J490" s="184"/>
      <c r="K490" s="184"/>
      <c r="L490" s="184"/>
      <c r="M490" s="59"/>
    </row>
    <row r="491" spans="2:13" x14ac:dyDescent="0.3">
      <c r="B491" s="178"/>
      <c r="C491" s="179"/>
      <c r="D491" s="180"/>
      <c r="E491" s="181"/>
      <c r="F491" s="182"/>
      <c r="G491" s="1" t="str">
        <f>IFERROR(IF(ventas_b_mes11[[#This Row],[CUIT]]="","-",VLOOKUP(ventas_b_mes11[[#This Row],[CUIT]],Lista_CUIT[#All],2,0)),"CUIT NO CARGADO")</f>
        <v>-</v>
      </c>
      <c r="H491" s="64">
        <f>ventas_b_mes11[[#This Row],[TOTAL]]/1.21</f>
        <v>0</v>
      </c>
      <c r="I491" s="183">
        <f>ventas_b_mes11[[#This Row],[IMPORTE NETO]]*0.21</f>
        <v>0</v>
      </c>
      <c r="J491" s="184"/>
      <c r="K491" s="184"/>
      <c r="L491" s="184"/>
      <c r="M491" s="59"/>
    </row>
    <row r="492" spans="2:13" x14ac:dyDescent="0.3">
      <c r="B492" s="178"/>
      <c r="C492" s="179"/>
      <c r="D492" s="180"/>
      <c r="E492" s="181"/>
      <c r="F492" s="182"/>
      <c r="G492" s="1" t="str">
        <f>IFERROR(IF(ventas_b_mes11[[#This Row],[CUIT]]="","-",VLOOKUP(ventas_b_mes11[[#This Row],[CUIT]],Lista_CUIT[#All],2,0)),"CUIT NO CARGADO")</f>
        <v>-</v>
      </c>
      <c r="H492" s="64">
        <f>ventas_b_mes11[[#This Row],[TOTAL]]/1.21</f>
        <v>0</v>
      </c>
      <c r="I492" s="183">
        <f>ventas_b_mes11[[#This Row],[IMPORTE NETO]]*0.21</f>
        <v>0</v>
      </c>
      <c r="J492" s="184"/>
      <c r="K492" s="184"/>
      <c r="L492" s="184"/>
      <c r="M492" s="59"/>
    </row>
    <row r="493" spans="2:13" x14ac:dyDescent="0.3">
      <c r="B493" s="178"/>
      <c r="C493" s="179"/>
      <c r="D493" s="180"/>
      <c r="E493" s="181"/>
      <c r="F493" s="182"/>
      <c r="G493" s="1" t="str">
        <f>IFERROR(IF(ventas_b_mes11[[#This Row],[CUIT]]="","-",VLOOKUP(ventas_b_mes11[[#This Row],[CUIT]],Lista_CUIT[#All],2,0)),"CUIT NO CARGADO")</f>
        <v>-</v>
      </c>
      <c r="H493" s="64">
        <f>ventas_b_mes11[[#This Row],[TOTAL]]/1.21</f>
        <v>0</v>
      </c>
      <c r="I493" s="183">
        <f>ventas_b_mes11[[#This Row],[IMPORTE NETO]]*0.21</f>
        <v>0</v>
      </c>
      <c r="J493" s="184"/>
      <c r="K493" s="184"/>
      <c r="L493" s="184"/>
      <c r="M493" s="59"/>
    </row>
    <row r="494" spans="2:13" x14ac:dyDescent="0.3">
      <c r="B494" s="178"/>
      <c r="C494" s="179"/>
      <c r="D494" s="180"/>
      <c r="E494" s="181"/>
      <c r="F494" s="182"/>
      <c r="G494" s="1" t="str">
        <f>IFERROR(IF(ventas_b_mes11[[#This Row],[CUIT]]="","-",VLOOKUP(ventas_b_mes11[[#This Row],[CUIT]],Lista_CUIT[#All],2,0)),"CUIT NO CARGADO")</f>
        <v>-</v>
      </c>
      <c r="H494" s="64">
        <f>ventas_b_mes11[[#This Row],[TOTAL]]/1.21</f>
        <v>0</v>
      </c>
      <c r="I494" s="183">
        <f>ventas_b_mes11[[#This Row],[IMPORTE NETO]]*0.21</f>
        <v>0</v>
      </c>
      <c r="J494" s="184"/>
      <c r="K494" s="184"/>
      <c r="L494" s="184"/>
      <c r="M494" s="59"/>
    </row>
    <row r="495" spans="2:13" x14ac:dyDescent="0.3">
      <c r="B495" s="178"/>
      <c r="C495" s="179"/>
      <c r="D495" s="180"/>
      <c r="E495" s="181"/>
      <c r="F495" s="182"/>
      <c r="G495" s="1" t="str">
        <f>IFERROR(IF(ventas_b_mes11[[#This Row],[CUIT]]="","-",VLOOKUP(ventas_b_mes11[[#This Row],[CUIT]],Lista_CUIT[#All],2,0)),"CUIT NO CARGADO")</f>
        <v>-</v>
      </c>
      <c r="H495" s="64">
        <f>ventas_b_mes11[[#This Row],[TOTAL]]/1.21</f>
        <v>0</v>
      </c>
      <c r="I495" s="183">
        <f>ventas_b_mes11[[#This Row],[IMPORTE NETO]]*0.21</f>
        <v>0</v>
      </c>
      <c r="J495" s="184"/>
      <c r="K495" s="184"/>
      <c r="L495" s="184"/>
      <c r="M495" s="59"/>
    </row>
    <row r="496" spans="2:13" x14ac:dyDescent="0.3">
      <c r="B496" s="178"/>
      <c r="C496" s="179"/>
      <c r="D496" s="180"/>
      <c r="E496" s="181"/>
      <c r="F496" s="182"/>
      <c r="G496" s="1" t="str">
        <f>IFERROR(IF(ventas_b_mes11[[#This Row],[CUIT]]="","-",VLOOKUP(ventas_b_mes11[[#This Row],[CUIT]],Lista_CUIT[#All],2,0)),"CUIT NO CARGADO")</f>
        <v>-</v>
      </c>
      <c r="H496" s="64">
        <f>ventas_b_mes11[[#This Row],[TOTAL]]/1.21</f>
        <v>0</v>
      </c>
      <c r="I496" s="183">
        <f>ventas_b_mes11[[#This Row],[IMPORTE NETO]]*0.21</f>
        <v>0</v>
      </c>
      <c r="J496" s="184"/>
      <c r="K496" s="184"/>
      <c r="L496" s="184"/>
      <c r="M496" s="59"/>
    </row>
    <row r="497" spans="2:13" x14ac:dyDescent="0.3">
      <c r="B497" s="178"/>
      <c r="C497" s="179"/>
      <c r="D497" s="180"/>
      <c r="E497" s="181"/>
      <c r="F497" s="182"/>
      <c r="G497" s="1" t="str">
        <f>IFERROR(IF(ventas_b_mes11[[#This Row],[CUIT]]="","-",VLOOKUP(ventas_b_mes11[[#This Row],[CUIT]],Lista_CUIT[#All],2,0)),"CUIT NO CARGADO")</f>
        <v>-</v>
      </c>
      <c r="H497" s="64">
        <f>ventas_b_mes11[[#This Row],[TOTAL]]/1.21</f>
        <v>0</v>
      </c>
      <c r="I497" s="183">
        <f>ventas_b_mes11[[#This Row],[IMPORTE NETO]]*0.21</f>
        <v>0</v>
      </c>
      <c r="J497" s="184"/>
      <c r="K497" s="184"/>
      <c r="L497" s="184"/>
      <c r="M497" s="59"/>
    </row>
    <row r="498" spans="2:13" x14ac:dyDescent="0.3">
      <c r="B498" s="178"/>
      <c r="C498" s="179"/>
      <c r="D498" s="180"/>
      <c r="E498" s="181"/>
      <c r="F498" s="182"/>
      <c r="G498" s="1" t="str">
        <f>IFERROR(IF(ventas_b_mes11[[#This Row],[CUIT]]="","-",VLOOKUP(ventas_b_mes11[[#This Row],[CUIT]],Lista_CUIT[#All],2,0)),"CUIT NO CARGADO")</f>
        <v>-</v>
      </c>
      <c r="H498" s="64">
        <f>ventas_b_mes11[[#This Row],[TOTAL]]/1.21</f>
        <v>0</v>
      </c>
      <c r="I498" s="183">
        <f>ventas_b_mes11[[#This Row],[IMPORTE NETO]]*0.21</f>
        <v>0</v>
      </c>
      <c r="J498" s="184"/>
      <c r="K498" s="184"/>
      <c r="L498" s="184"/>
      <c r="M498" s="59"/>
    </row>
    <row r="499" spans="2:13" x14ac:dyDescent="0.3">
      <c r="B499" s="178"/>
      <c r="C499" s="179"/>
      <c r="D499" s="180"/>
      <c r="E499" s="181"/>
      <c r="F499" s="182"/>
      <c r="G499" s="1" t="str">
        <f>IFERROR(IF(ventas_b_mes11[[#This Row],[CUIT]]="","-",VLOOKUP(ventas_b_mes11[[#This Row],[CUIT]],Lista_CUIT[#All],2,0)),"CUIT NO CARGADO")</f>
        <v>-</v>
      </c>
      <c r="H499" s="64">
        <f>ventas_b_mes11[[#This Row],[TOTAL]]/1.21</f>
        <v>0</v>
      </c>
      <c r="I499" s="183">
        <f>ventas_b_mes11[[#This Row],[IMPORTE NETO]]*0.21</f>
        <v>0</v>
      </c>
      <c r="J499" s="184"/>
      <c r="K499" s="184"/>
      <c r="L499" s="184"/>
      <c r="M499" s="59"/>
    </row>
    <row r="500" spans="2:13" x14ac:dyDescent="0.3">
      <c r="B500" s="178"/>
      <c r="C500" s="179"/>
      <c r="D500" s="180"/>
      <c r="E500" s="181"/>
      <c r="F500" s="182"/>
      <c r="G500" s="1" t="str">
        <f>IFERROR(IF(ventas_b_mes11[[#This Row],[CUIT]]="","-",VLOOKUP(ventas_b_mes11[[#This Row],[CUIT]],Lista_CUIT[#All],2,0)),"CUIT NO CARGADO")</f>
        <v>-</v>
      </c>
      <c r="H500" s="64">
        <f>ventas_b_mes11[[#This Row],[TOTAL]]/1.21</f>
        <v>0</v>
      </c>
      <c r="I500" s="183">
        <f>ventas_b_mes11[[#This Row],[IMPORTE NETO]]*0.21</f>
        <v>0</v>
      </c>
      <c r="J500" s="184"/>
      <c r="K500" s="184"/>
      <c r="L500" s="184"/>
      <c r="M500" s="59"/>
    </row>
    <row r="501" spans="2:13" x14ac:dyDescent="0.3">
      <c r="B501" s="178"/>
      <c r="C501" s="179"/>
      <c r="D501" s="180"/>
      <c r="E501" s="181"/>
      <c r="F501" s="182"/>
      <c r="G501" s="1" t="str">
        <f>IFERROR(IF(ventas_b_mes11[[#This Row],[CUIT]]="","-",VLOOKUP(ventas_b_mes11[[#This Row],[CUIT]],Lista_CUIT[#All],2,0)),"CUIT NO CARGADO")</f>
        <v>-</v>
      </c>
      <c r="H501" s="64">
        <f>ventas_b_mes11[[#This Row],[TOTAL]]/1.21</f>
        <v>0</v>
      </c>
      <c r="I501" s="183">
        <f>ventas_b_mes11[[#This Row],[IMPORTE NETO]]*0.21</f>
        <v>0</v>
      </c>
      <c r="J501" s="184"/>
      <c r="K501" s="184"/>
      <c r="L501" s="184"/>
      <c r="M501" s="59"/>
    </row>
    <row r="502" spans="2:13" x14ac:dyDescent="0.3">
      <c r="B502" s="178"/>
      <c r="C502" s="179"/>
      <c r="D502" s="180"/>
      <c r="E502" s="181"/>
      <c r="F502" s="182"/>
      <c r="G502" s="1" t="str">
        <f>IFERROR(IF(ventas_b_mes11[[#This Row],[CUIT]]="","-",VLOOKUP(ventas_b_mes11[[#This Row],[CUIT]],Lista_CUIT[#All],2,0)),"CUIT NO CARGADO")</f>
        <v>-</v>
      </c>
      <c r="H502" s="64">
        <f>ventas_b_mes11[[#This Row],[TOTAL]]/1.21</f>
        <v>0</v>
      </c>
      <c r="I502" s="183">
        <f>ventas_b_mes11[[#This Row],[IMPORTE NETO]]*0.21</f>
        <v>0</v>
      </c>
      <c r="J502" s="184"/>
      <c r="K502" s="184"/>
      <c r="L502" s="184"/>
      <c r="M502" s="59"/>
    </row>
    <row r="503" spans="2:13" x14ac:dyDescent="0.3">
      <c r="B503" s="178"/>
      <c r="C503" s="179"/>
      <c r="D503" s="180"/>
      <c r="E503" s="181"/>
      <c r="F503" s="182"/>
      <c r="G503" s="1" t="str">
        <f>IFERROR(IF(ventas_b_mes11[[#This Row],[CUIT]]="","-",VLOOKUP(ventas_b_mes11[[#This Row],[CUIT]],Lista_CUIT[#All],2,0)),"CUIT NO CARGADO")</f>
        <v>-</v>
      </c>
      <c r="H503" s="64">
        <f>ventas_b_mes11[[#This Row],[TOTAL]]/1.21</f>
        <v>0</v>
      </c>
      <c r="I503" s="183">
        <f>ventas_b_mes11[[#This Row],[IMPORTE NETO]]*0.21</f>
        <v>0</v>
      </c>
      <c r="J503" s="184"/>
      <c r="K503" s="184"/>
      <c r="L503" s="184"/>
      <c r="M503" s="59"/>
    </row>
    <row r="504" spans="2:13" x14ac:dyDescent="0.3">
      <c r="B504" s="178"/>
      <c r="C504" s="179"/>
      <c r="D504" s="180"/>
      <c r="E504" s="181"/>
      <c r="F504" s="182"/>
      <c r="G504" s="1" t="str">
        <f>IFERROR(IF(ventas_b_mes11[[#This Row],[CUIT]]="","-",VLOOKUP(ventas_b_mes11[[#This Row],[CUIT]],Lista_CUIT[#All],2,0)),"CUIT NO CARGADO")</f>
        <v>-</v>
      </c>
      <c r="H504" s="64">
        <f>ventas_b_mes11[[#This Row],[TOTAL]]/1.21</f>
        <v>0</v>
      </c>
      <c r="I504" s="183">
        <f>ventas_b_mes11[[#This Row],[IMPORTE NETO]]*0.21</f>
        <v>0</v>
      </c>
      <c r="J504" s="184"/>
      <c r="K504" s="184"/>
      <c r="L504" s="184"/>
      <c r="M504" s="59"/>
    </row>
    <row r="505" spans="2:13" x14ac:dyDescent="0.3">
      <c r="B505" s="178"/>
      <c r="C505" s="179"/>
      <c r="D505" s="180"/>
      <c r="E505" s="181"/>
      <c r="F505" s="182"/>
      <c r="G505" s="1" t="str">
        <f>IFERROR(IF(ventas_b_mes11[[#This Row],[CUIT]]="","-",VLOOKUP(ventas_b_mes11[[#This Row],[CUIT]],Lista_CUIT[#All],2,0)),"CUIT NO CARGADO")</f>
        <v>-</v>
      </c>
      <c r="H505" s="64">
        <f>ventas_b_mes11[[#This Row],[TOTAL]]/1.21</f>
        <v>0</v>
      </c>
      <c r="I505" s="183">
        <f>ventas_b_mes11[[#This Row],[IMPORTE NETO]]*0.21</f>
        <v>0</v>
      </c>
      <c r="J505" s="184"/>
      <c r="K505" s="184"/>
      <c r="L505" s="184"/>
      <c r="M505" s="59"/>
    </row>
    <row r="506" spans="2:13" x14ac:dyDescent="0.3">
      <c r="B506" s="178"/>
      <c r="C506" s="179"/>
      <c r="D506" s="180"/>
      <c r="E506" s="181"/>
      <c r="F506" s="182"/>
      <c r="G506" s="1" t="str">
        <f>IFERROR(IF(ventas_b_mes11[[#This Row],[CUIT]]="","-",VLOOKUP(ventas_b_mes11[[#This Row],[CUIT]],Lista_CUIT[#All],2,0)),"CUIT NO CARGADO")</f>
        <v>-</v>
      </c>
      <c r="H506" s="64">
        <f>ventas_b_mes11[[#This Row],[TOTAL]]/1.21</f>
        <v>0</v>
      </c>
      <c r="I506" s="183">
        <f>ventas_b_mes11[[#This Row],[IMPORTE NETO]]*0.21</f>
        <v>0</v>
      </c>
      <c r="J506" s="184"/>
      <c r="K506" s="184"/>
      <c r="L506" s="184"/>
      <c r="M506" s="59"/>
    </row>
    <row r="507" spans="2:13" x14ac:dyDescent="0.3">
      <c r="B507" s="178"/>
      <c r="C507" s="179"/>
      <c r="D507" s="180"/>
      <c r="E507" s="181"/>
      <c r="F507" s="182"/>
      <c r="G507" s="1" t="str">
        <f>IFERROR(IF(ventas_b_mes11[[#This Row],[CUIT]]="","-",VLOOKUP(ventas_b_mes11[[#This Row],[CUIT]],Lista_CUIT[#All],2,0)),"CUIT NO CARGADO")</f>
        <v>-</v>
      </c>
      <c r="H507" s="64">
        <f>ventas_b_mes11[[#This Row],[TOTAL]]/1.21</f>
        <v>0</v>
      </c>
      <c r="I507" s="183">
        <f>ventas_b_mes11[[#This Row],[IMPORTE NETO]]*0.21</f>
        <v>0</v>
      </c>
      <c r="J507" s="184"/>
      <c r="K507" s="184"/>
      <c r="L507" s="184"/>
      <c r="M507" s="59"/>
    </row>
    <row r="508" spans="2:13" x14ac:dyDescent="0.3">
      <c r="B508" s="178"/>
      <c r="C508" s="179"/>
      <c r="D508" s="180"/>
      <c r="E508" s="181"/>
      <c r="F508" s="182"/>
      <c r="G508" s="1" t="str">
        <f>IFERROR(IF(ventas_b_mes11[[#This Row],[CUIT]]="","-",VLOOKUP(ventas_b_mes11[[#This Row],[CUIT]],Lista_CUIT[#All],2,0)),"CUIT NO CARGADO")</f>
        <v>-</v>
      </c>
      <c r="H508" s="64">
        <f>ventas_b_mes11[[#This Row],[TOTAL]]/1.21</f>
        <v>0</v>
      </c>
      <c r="I508" s="183">
        <f>ventas_b_mes11[[#This Row],[IMPORTE NETO]]*0.21</f>
        <v>0</v>
      </c>
      <c r="J508" s="184"/>
      <c r="K508" s="184"/>
      <c r="L508" s="184"/>
      <c r="M508" s="59"/>
    </row>
    <row r="509" spans="2:13" x14ac:dyDescent="0.3">
      <c r="B509" s="178"/>
      <c r="C509" s="179"/>
      <c r="D509" s="180"/>
      <c r="E509" s="181"/>
      <c r="F509" s="182"/>
      <c r="G509" s="1" t="str">
        <f>IFERROR(IF(ventas_b_mes11[[#This Row],[CUIT]]="","-",VLOOKUP(ventas_b_mes11[[#This Row],[CUIT]],Lista_CUIT[#All],2,0)),"CUIT NO CARGADO")</f>
        <v>-</v>
      </c>
      <c r="H509" s="64">
        <f>ventas_b_mes11[[#This Row],[TOTAL]]/1.21</f>
        <v>0</v>
      </c>
      <c r="I509" s="183">
        <f>ventas_b_mes11[[#This Row],[IMPORTE NETO]]*0.21</f>
        <v>0</v>
      </c>
      <c r="J509" s="184"/>
      <c r="K509" s="184"/>
      <c r="L509" s="184"/>
      <c r="M509" s="59"/>
    </row>
    <row r="510" spans="2:13" x14ac:dyDescent="0.3">
      <c r="B510" s="178"/>
      <c r="C510" s="179"/>
      <c r="D510" s="180"/>
      <c r="E510" s="181"/>
      <c r="F510" s="182"/>
      <c r="G510" s="1" t="str">
        <f>IFERROR(IF(ventas_b_mes11[[#This Row],[CUIT]]="","-",VLOOKUP(ventas_b_mes11[[#This Row],[CUIT]],Lista_CUIT[#All],2,0)),"CUIT NO CARGADO")</f>
        <v>-</v>
      </c>
      <c r="H510" s="64">
        <f>ventas_b_mes11[[#This Row],[TOTAL]]/1.21</f>
        <v>0</v>
      </c>
      <c r="I510" s="183">
        <f>ventas_b_mes11[[#This Row],[IMPORTE NETO]]*0.21</f>
        <v>0</v>
      </c>
      <c r="J510" s="184"/>
      <c r="K510" s="184"/>
      <c r="L510" s="184"/>
      <c r="M510" s="59"/>
    </row>
    <row r="511" spans="2:13" x14ac:dyDescent="0.3">
      <c r="B511" s="178"/>
      <c r="C511" s="179"/>
      <c r="D511" s="180"/>
      <c r="E511" s="181"/>
      <c r="F511" s="182"/>
      <c r="G511" s="1" t="str">
        <f>IFERROR(IF(ventas_b_mes11[[#This Row],[CUIT]]="","-",VLOOKUP(ventas_b_mes11[[#This Row],[CUIT]],Lista_CUIT[#All],2,0)),"CUIT NO CARGADO")</f>
        <v>-</v>
      </c>
      <c r="H511" s="64">
        <f>ventas_b_mes11[[#This Row],[TOTAL]]/1.21</f>
        <v>0</v>
      </c>
      <c r="I511" s="183">
        <f>ventas_b_mes11[[#This Row],[IMPORTE NETO]]*0.21</f>
        <v>0</v>
      </c>
      <c r="J511" s="184"/>
      <c r="K511" s="184"/>
      <c r="L511" s="184"/>
      <c r="M511" s="59"/>
    </row>
    <row r="512" spans="2:13" x14ac:dyDescent="0.3">
      <c r="B512" s="178"/>
      <c r="C512" s="179"/>
      <c r="D512" s="180"/>
      <c r="E512" s="181"/>
      <c r="F512" s="182"/>
      <c r="G512" s="1" t="str">
        <f>IFERROR(IF(ventas_b_mes11[[#This Row],[CUIT]]="","-",VLOOKUP(ventas_b_mes11[[#This Row],[CUIT]],Lista_CUIT[#All],2,0)),"CUIT NO CARGADO")</f>
        <v>-</v>
      </c>
      <c r="H512" s="64">
        <f>ventas_b_mes11[[#This Row],[TOTAL]]/1.21</f>
        <v>0</v>
      </c>
      <c r="I512" s="183">
        <f>ventas_b_mes11[[#This Row],[IMPORTE NETO]]*0.21</f>
        <v>0</v>
      </c>
      <c r="J512" s="184"/>
      <c r="K512" s="184"/>
      <c r="L512" s="184"/>
      <c r="M512" s="59"/>
    </row>
    <row r="513" spans="2:13" x14ac:dyDescent="0.3">
      <c r="B513" s="178"/>
      <c r="C513" s="179"/>
      <c r="D513" s="180"/>
      <c r="E513" s="181"/>
      <c r="F513" s="182"/>
      <c r="G513" s="1" t="str">
        <f>IFERROR(IF(ventas_b_mes11[[#This Row],[CUIT]]="","-",VLOOKUP(ventas_b_mes11[[#This Row],[CUIT]],Lista_CUIT[#All],2,0)),"CUIT NO CARGADO")</f>
        <v>-</v>
      </c>
      <c r="H513" s="64">
        <f>ventas_b_mes11[[#This Row],[TOTAL]]/1.21</f>
        <v>0</v>
      </c>
      <c r="I513" s="183">
        <f>ventas_b_mes11[[#This Row],[IMPORTE NETO]]*0.21</f>
        <v>0</v>
      </c>
      <c r="J513" s="184"/>
      <c r="K513" s="184"/>
      <c r="L513" s="184"/>
      <c r="M513" s="59"/>
    </row>
    <row r="514" spans="2:13" x14ac:dyDescent="0.3">
      <c r="B514" s="178"/>
      <c r="C514" s="179"/>
      <c r="D514" s="180"/>
      <c r="E514" s="181"/>
      <c r="F514" s="182"/>
      <c r="G514" s="1" t="str">
        <f>IFERROR(IF(ventas_b_mes11[[#This Row],[CUIT]]="","-",VLOOKUP(ventas_b_mes11[[#This Row],[CUIT]],Lista_CUIT[#All],2,0)),"CUIT NO CARGADO")</f>
        <v>-</v>
      </c>
      <c r="H514" s="64">
        <f>ventas_b_mes11[[#This Row],[TOTAL]]/1.21</f>
        <v>0</v>
      </c>
      <c r="I514" s="183">
        <f>ventas_b_mes11[[#This Row],[IMPORTE NETO]]*0.21</f>
        <v>0</v>
      </c>
      <c r="J514" s="184"/>
      <c r="K514" s="184"/>
      <c r="L514" s="184"/>
      <c r="M514" s="59"/>
    </row>
    <row r="515" spans="2:13" x14ac:dyDescent="0.3">
      <c r="B515" s="178"/>
      <c r="C515" s="179"/>
      <c r="D515" s="180"/>
      <c r="E515" s="181"/>
      <c r="F515" s="182"/>
      <c r="G515" s="1" t="str">
        <f>IFERROR(IF(ventas_b_mes11[[#This Row],[CUIT]]="","-",VLOOKUP(ventas_b_mes11[[#This Row],[CUIT]],Lista_CUIT[#All],2,0)),"CUIT NO CARGADO")</f>
        <v>-</v>
      </c>
      <c r="H515" s="64">
        <f>ventas_b_mes11[[#This Row],[TOTAL]]/1.21</f>
        <v>0</v>
      </c>
      <c r="I515" s="183">
        <f>ventas_b_mes11[[#This Row],[IMPORTE NETO]]*0.21</f>
        <v>0</v>
      </c>
      <c r="J515" s="184"/>
      <c r="K515" s="184"/>
      <c r="L515" s="184"/>
      <c r="M515" s="59"/>
    </row>
    <row r="516" spans="2:13" x14ac:dyDescent="0.3">
      <c r="B516" s="178"/>
      <c r="C516" s="179"/>
      <c r="D516" s="180"/>
      <c r="E516" s="181"/>
      <c r="F516" s="182"/>
      <c r="G516" s="1" t="str">
        <f>IFERROR(IF(ventas_b_mes11[[#This Row],[CUIT]]="","-",VLOOKUP(ventas_b_mes11[[#This Row],[CUIT]],Lista_CUIT[#All],2,0)),"CUIT NO CARGADO")</f>
        <v>-</v>
      </c>
      <c r="H516" s="64">
        <f>ventas_b_mes11[[#This Row],[TOTAL]]/1.21</f>
        <v>0</v>
      </c>
      <c r="I516" s="183">
        <f>ventas_b_mes11[[#This Row],[IMPORTE NETO]]*0.21</f>
        <v>0</v>
      </c>
      <c r="J516" s="184"/>
      <c r="K516" s="184"/>
      <c r="L516" s="184"/>
      <c r="M516" s="59"/>
    </row>
    <row r="517" spans="2:13" x14ac:dyDescent="0.3">
      <c r="B517" s="178"/>
      <c r="C517" s="179"/>
      <c r="D517" s="180"/>
      <c r="E517" s="181"/>
      <c r="F517" s="182"/>
      <c r="G517" s="1" t="str">
        <f>IFERROR(IF(ventas_b_mes11[[#This Row],[CUIT]]="","-",VLOOKUP(ventas_b_mes11[[#This Row],[CUIT]],Lista_CUIT[#All],2,0)),"CUIT NO CARGADO")</f>
        <v>-</v>
      </c>
      <c r="H517" s="64">
        <f>ventas_b_mes11[[#This Row],[TOTAL]]/1.21</f>
        <v>0</v>
      </c>
      <c r="I517" s="183">
        <f>ventas_b_mes11[[#This Row],[IMPORTE NETO]]*0.21</f>
        <v>0</v>
      </c>
      <c r="J517" s="184"/>
      <c r="K517" s="184"/>
      <c r="L517" s="184"/>
      <c r="M517" s="59"/>
    </row>
    <row r="518" spans="2:13" x14ac:dyDescent="0.3">
      <c r="B518" s="178"/>
      <c r="C518" s="179"/>
      <c r="D518" s="180"/>
      <c r="E518" s="181"/>
      <c r="F518" s="182"/>
      <c r="G518" s="1" t="str">
        <f>IFERROR(IF(ventas_b_mes11[[#This Row],[CUIT]]="","-",VLOOKUP(ventas_b_mes11[[#This Row],[CUIT]],Lista_CUIT[#All],2,0)),"CUIT NO CARGADO")</f>
        <v>-</v>
      </c>
      <c r="H518" s="64">
        <f>ventas_b_mes11[[#This Row],[TOTAL]]/1.21</f>
        <v>0</v>
      </c>
      <c r="I518" s="183">
        <f>ventas_b_mes11[[#This Row],[IMPORTE NETO]]*0.21</f>
        <v>0</v>
      </c>
      <c r="J518" s="184"/>
      <c r="K518" s="184"/>
      <c r="L518" s="184"/>
      <c r="M518" s="59"/>
    </row>
    <row r="519" spans="2:13" x14ac:dyDescent="0.3">
      <c r="B519" s="178"/>
      <c r="C519" s="179"/>
      <c r="D519" s="180"/>
      <c r="E519" s="181"/>
      <c r="F519" s="182"/>
      <c r="G519" s="1" t="str">
        <f>IFERROR(IF(ventas_b_mes11[[#This Row],[CUIT]]="","-",VLOOKUP(ventas_b_mes11[[#This Row],[CUIT]],Lista_CUIT[#All],2,0)),"CUIT NO CARGADO")</f>
        <v>-</v>
      </c>
      <c r="H519" s="64">
        <f>ventas_b_mes11[[#This Row],[TOTAL]]/1.21</f>
        <v>0</v>
      </c>
      <c r="I519" s="183">
        <f>ventas_b_mes11[[#This Row],[IMPORTE NETO]]*0.21</f>
        <v>0</v>
      </c>
      <c r="J519" s="184"/>
      <c r="K519" s="184"/>
      <c r="L519" s="184"/>
      <c r="M519" s="59"/>
    </row>
    <row r="520" spans="2:13" x14ac:dyDescent="0.3">
      <c r="B520" s="178"/>
      <c r="C520" s="179"/>
      <c r="D520" s="180"/>
      <c r="E520" s="181"/>
      <c r="F520" s="182"/>
      <c r="G520" s="1" t="str">
        <f>IFERROR(IF(ventas_b_mes11[[#This Row],[CUIT]]="","-",VLOOKUP(ventas_b_mes11[[#This Row],[CUIT]],Lista_CUIT[#All],2,0)),"CUIT NO CARGADO")</f>
        <v>-</v>
      </c>
      <c r="H520" s="64">
        <f>ventas_b_mes11[[#This Row],[TOTAL]]/1.21</f>
        <v>0</v>
      </c>
      <c r="I520" s="183">
        <f>ventas_b_mes11[[#This Row],[IMPORTE NETO]]*0.21</f>
        <v>0</v>
      </c>
      <c r="J520" s="184"/>
      <c r="K520" s="184"/>
      <c r="L520" s="184"/>
      <c r="M520" s="59"/>
    </row>
    <row r="521" spans="2:13" x14ac:dyDescent="0.3">
      <c r="B521" s="178"/>
      <c r="C521" s="179"/>
      <c r="D521" s="180"/>
      <c r="E521" s="181"/>
      <c r="F521" s="182"/>
      <c r="G521" s="1" t="str">
        <f>IFERROR(IF(ventas_b_mes11[[#This Row],[CUIT]]="","-",VLOOKUP(ventas_b_mes11[[#This Row],[CUIT]],Lista_CUIT[#All],2,0)),"CUIT NO CARGADO")</f>
        <v>-</v>
      </c>
      <c r="H521" s="64">
        <f>ventas_b_mes11[[#This Row],[TOTAL]]/1.21</f>
        <v>0</v>
      </c>
      <c r="I521" s="183">
        <f>ventas_b_mes11[[#This Row],[IMPORTE NETO]]*0.21</f>
        <v>0</v>
      </c>
      <c r="J521" s="184"/>
      <c r="K521" s="184"/>
      <c r="L521" s="184"/>
      <c r="M521" s="59"/>
    </row>
    <row r="522" spans="2:13" x14ac:dyDescent="0.3">
      <c r="B522" s="178"/>
      <c r="C522" s="179"/>
      <c r="D522" s="180"/>
      <c r="E522" s="181"/>
      <c r="F522" s="182"/>
      <c r="G522" s="1" t="str">
        <f>IFERROR(IF(ventas_b_mes11[[#This Row],[CUIT]]="","-",VLOOKUP(ventas_b_mes11[[#This Row],[CUIT]],Lista_CUIT[#All],2,0)),"CUIT NO CARGADO")</f>
        <v>-</v>
      </c>
      <c r="H522" s="64">
        <f>ventas_b_mes11[[#This Row],[TOTAL]]/1.21</f>
        <v>0</v>
      </c>
      <c r="I522" s="183">
        <f>ventas_b_mes11[[#This Row],[IMPORTE NETO]]*0.21</f>
        <v>0</v>
      </c>
      <c r="J522" s="184"/>
      <c r="K522" s="184"/>
      <c r="L522" s="184"/>
      <c r="M522" s="59"/>
    </row>
    <row r="523" spans="2:13" x14ac:dyDescent="0.3">
      <c r="B523" s="178"/>
      <c r="C523" s="179"/>
      <c r="D523" s="180"/>
      <c r="E523" s="181"/>
      <c r="F523" s="182"/>
      <c r="G523" s="1" t="str">
        <f>IFERROR(IF(ventas_b_mes11[[#This Row],[CUIT]]="","-",VLOOKUP(ventas_b_mes11[[#This Row],[CUIT]],Lista_CUIT[#All],2,0)),"CUIT NO CARGADO")</f>
        <v>-</v>
      </c>
      <c r="H523" s="64">
        <f>ventas_b_mes11[[#This Row],[TOTAL]]/1.21</f>
        <v>0</v>
      </c>
      <c r="I523" s="183">
        <f>ventas_b_mes11[[#This Row],[IMPORTE NETO]]*0.21</f>
        <v>0</v>
      </c>
      <c r="J523" s="184"/>
      <c r="K523" s="184"/>
      <c r="L523" s="184"/>
      <c r="M523" s="59"/>
    </row>
    <row r="524" spans="2:13" x14ac:dyDescent="0.3">
      <c r="B524" s="178"/>
      <c r="C524" s="179"/>
      <c r="D524" s="180"/>
      <c r="E524" s="181"/>
      <c r="F524" s="182"/>
      <c r="G524" s="1" t="str">
        <f>IFERROR(IF(ventas_b_mes11[[#This Row],[CUIT]]="","-",VLOOKUP(ventas_b_mes11[[#This Row],[CUIT]],Lista_CUIT[#All],2,0)),"CUIT NO CARGADO")</f>
        <v>-</v>
      </c>
      <c r="H524" s="64">
        <f>ventas_b_mes11[[#This Row],[TOTAL]]/1.21</f>
        <v>0</v>
      </c>
      <c r="I524" s="183">
        <f>ventas_b_mes11[[#This Row],[IMPORTE NETO]]*0.21</f>
        <v>0</v>
      </c>
      <c r="J524" s="184"/>
      <c r="K524" s="184"/>
      <c r="L524" s="184"/>
      <c r="M524" s="59"/>
    </row>
    <row r="525" spans="2:13" x14ac:dyDescent="0.3">
      <c r="B525" s="178"/>
      <c r="C525" s="179"/>
      <c r="D525" s="180"/>
      <c r="E525" s="181"/>
      <c r="F525" s="182"/>
      <c r="G525" s="1" t="str">
        <f>IFERROR(IF(ventas_b_mes11[[#This Row],[CUIT]]="","-",VLOOKUP(ventas_b_mes11[[#This Row],[CUIT]],Lista_CUIT[#All],2,0)),"CUIT NO CARGADO")</f>
        <v>-</v>
      </c>
      <c r="H525" s="64">
        <f>ventas_b_mes11[[#This Row],[TOTAL]]/1.21</f>
        <v>0</v>
      </c>
      <c r="I525" s="183">
        <f>ventas_b_mes11[[#This Row],[IMPORTE NETO]]*0.21</f>
        <v>0</v>
      </c>
      <c r="J525" s="184"/>
      <c r="K525" s="184"/>
      <c r="L525" s="184"/>
      <c r="M525" s="59"/>
    </row>
    <row r="526" spans="2:13" x14ac:dyDescent="0.3">
      <c r="B526" s="178"/>
      <c r="C526" s="179"/>
      <c r="D526" s="180"/>
      <c r="E526" s="181"/>
      <c r="F526" s="182"/>
      <c r="G526" s="1" t="str">
        <f>IFERROR(IF(ventas_b_mes11[[#This Row],[CUIT]]="","-",VLOOKUP(ventas_b_mes11[[#This Row],[CUIT]],Lista_CUIT[#All],2,0)),"CUIT NO CARGADO")</f>
        <v>-</v>
      </c>
      <c r="H526" s="64">
        <f>ventas_b_mes11[[#This Row],[TOTAL]]/1.21</f>
        <v>0</v>
      </c>
      <c r="I526" s="183">
        <f>ventas_b_mes11[[#This Row],[IMPORTE NETO]]*0.21</f>
        <v>0</v>
      </c>
      <c r="J526" s="184"/>
      <c r="K526" s="184"/>
      <c r="L526" s="184"/>
      <c r="M526" s="59"/>
    </row>
    <row r="527" spans="2:13" x14ac:dyDescent="0.3">
      <c r="B527" s="178"/>
      <c r="C527" s="179"/>
      <c r="D527" s="180"/>
      <c r="E527" s="181"/>
      <c r="F527" s="182"/>
      <c r="G527" s="1" t="str">
        <f>IFERROR(IF(ventas_b_mes11[[#This Row],[CUIT]]="","-",VLOOKUP(ventas_b_mes11[[#This Row],[CUIT]],Lista_CUIT[#All],2,0)),"CUIT NO CARGADO")</f>
        <v>-</v>
      </c>
      <c r="H527" s="64">
        <f>ventas_b_mes11[[#This Row],[TOTAL]]/1.21</f>
        <v>0</v>
      </c>
      <c r="I527" s="183">
        <f>ventas_b_mes11[[#This Row],[IMPORTE NETO]]*0.21</f>
        <v>0</v>
      </c>
      <c r="J527" s="184"/>
      <c r="K527" s="184"/>
      <c r="L527" s="184"/>
      <c r="M527" s="59"/>
    </row>
    <row r="528" spans="2:13" x14ac:dyDescent="0.3">
      <c r="B528" s="178"/>
      <c r="C528" s="179"/>
      <c r="D528" s="180"/>
      <c r="E528" s="181"/>
      <c r="F528" s="182"/>
      <c r="G528" s="1" t="str">
        <f>IFERROR(IF(ventas_b_mes11[[#This Row],[CUIT]]="","-",VLOOKUP(ventas_b_mes11[[#This Row],[CUIT]],Lista_CUIT[#All],2,0)),"CUIT NO CARGADO")</f>
        <v>-</v>
      </c>
      <c r="H528" s="64">
        <f>ventas_b_mes11[[#This Row],[TOTAL]]/1.21</f>
        <v>0</v>
      </c>
      <c r="I528" s="183">
        <f>ventas_b_mes11[[#This Row],[IMPORTE NETO]]*0.21</f>
        <v>0</v>
      </c>
      <c r="J528" s="184"/>
      <c r="K528" s="184"/>
      <c r="L528" s="184"/>
      <c r="M528" s="59"/>
    </row>
    <row r="529" spans="2:13" x14ac:dyDescent="0.3">
      <c r="B529" s="178"/>
      <c r="C529" s="179"/>
      <c r="D529" s="180"/>
      <c r="E529" s="181"/>
      <c r="F529" s="182"/>
      <c r="G529" s="1" t="str">
        <f>IFERROR(IF(ventas_b_mes11[[#This Row],[CUIT]]="","-",VLOOKUP(ventas_b_mes11[[#This Row],[CUIT]],Lista_CUIT[#All],2,0)),"CUIT NO CARGADO")</f>
        <v>-</v>
      </c>
      <c r="H529" s="64">
        <f>ventas_b_mes11[[#This Row],[TOTAL]]/1.21</f>
        <v>0</v>
      </c>
      <c r="I529" s="183">
        <f>ventas_b_mes11[[#This Row],[IMPORTE NETO]]*0.21</f>
        <v>0</v>
      </c>
      <c r="J529" s="184"/>
      <c r="K529" s="184"/>
      <c r="L529" s="184"/>
      <c r="M529" s="59"/>
    </row>
    <row r="530" spans="2:13" x14ac:dyDescent="0.3">
      <c r="B530" s="178"/>
      <c r="C530" s="179"/>
      <c r="D530" s="180"/>
      <c r="E530" s="181"/>
      <c r="F530" s="182"/>
      <c r="G530" s="1" t="str">
        <f>IFERROR(IF(ventas_b_mes11[[#This Row],[CUIT]]="","-",VLOOKUP(ventas_b_mes11[[#This Row],[CUIT]],Lista_CUIT[#All],2,0)),"CUIT NO CARGADO")</f>
        <v>-</v>
      </c>
      <c r="H530" s="64">
        <f>ventas_b_mes11[[#This Row],[TOTAL]]/1.21</f>
        <v>0</v>
      </c>
      <c r="I530" s="183">
        <f>ventas_b_mes11[[#This Row],[IMPORTE NETO]]*0.21</f>
        <v>0</v>
      </c>
      <c r="J530" s="184"/>
      <c r="K530" s="184"/>
      <c r="L530" s="184"/>
      <c r="M530" s="59"/>
    </row>
    <row r="531" spans="2:13" x14ac:dyDescent="0.3">
      <c r="B531" s="178"/>
      <c r="C531" s="179"/>
      <c r="D531" s="180"/>
      <c r="E531" s="181"/>
      <c r="F531" s="182"/>
      <c r="G531" s="1" t="str">
        <f>IFERROR(IF(ventas_b_mes11[[#This Row],[CUIT]]="","-",VLOOKUP(ventas_b_mes11[[#This Row],[CUIT]],Lista_CUIT[#All],2,0)),"CUIT NO CARGADO")</f>
        <v>-</v>
      </c>
      <c r="H531" s="64">
        <f>ventas_b_mes11[[#This Row],[TOTAL]]/1.21</f>
        <v>0</v>
      </c>
      <c r="I531" s="183">
        <f>ventas_b_mes11[[#This Row],[IMPORTE NETO]]*0.21</f>
        <v>0</v>
      </c>
      <c r="J531" s="184"/>
      <c r="K531" s="184"/>
      <c r="L531" s="184"/>
      <c r="M531" s="59"/>
    </row>
    <row r="532" spans="2:13" x14ac:dyDescent="0.3">
      <c r="B532" s="178"/>
      <c r="C532" s="179"/>
      <c r="D532" s="180"/>
      <c r="E532" s="181"/>
      <c r="F532" s="182"/>
      <c r="G532" s="1" t="str">
        <f>IFERROR(IF(ventas_b_mes11[[#This Row],[CUIT]]="","-",VLOOKUP(ventas_b_mes11[[#This Row],[CUIT]],Lista_CUIT[#All],2,0)),"CUIT NO CARGADO")</f>
        <v>-</v>
      </c>
      <c r="H532" s="64">
        <f>ventas_b_mes11[[#This Row],[TOTAL]]/1.21</f>
        <v>0</v>
      </c>
      <c r="I532" s="183">
        <f>ventas_b_mes11[[#This Row],[IMPORTE NETO]]*0.21</f>
        <v>0</v>
      </c>
      <c r="J532" s="184"/>
      <c r="K532" s="184"/>
      <c r="L532" s="184"/>
      <c r="M532" s="59"/>
    </row>
    <row r="533" spans="2:13" x14ac:dyDescent="0.3">
      <c r="B533" s="178"/>
      <c r="C533" s="179"/>
      <c r="D533" s="180"/>
      <c r="E533" s="181"/>
      <c r="F533" s="182"/>
      <c r="G533" s="1" t="str">
        <f>IFERROR(IF(ventas_b_mes11[[#This Row],[CUIT]]="","-",VLOOKUP(ventas_b_mes11[[#This Row],[CUIT]],Lista_CUIT[#All],2,0)),"CUIT NO CARGADO")</f>
        <v>-</v>
      </c>
      <c r="H533" s="64">
        <f>ventas_b_mes11[[#This Row],[TOTAL]]/1.21</f>
        <v>0</v>
      </c>
      <c r="I533" s="183">
        <f>ventas_b_mes11[[#This Row],[IMPORTE NETO]]*0.21</f>
        <v>0</v>
      </c>
      <c r="J533" s="184"/>
      <c r="K533" s="184"/>
      <c r="L533" s="184"/>
      <c r="M533" s="59"/>
    </row>
    <row r="534" spans="2:13" x14ac:dyDescent="0.3">
      <c r="B534" s="178"/>
      <c r="C534" s="179"/>
      <c r="D534" s="180"/>
      <c r="E534" s="181"/>
      <c r="F534" s="182"/>
      <c r="G534" s="1" t="str">
        <f>IFERROR(IF(ventas_b_mes11[[#This Row],[CUIT]]="","-",VLOOKUP(ventas_b_mes11[[#This Row],[CUIT]],Lista_CUIT[#All],2,0)),"CUIT NO CARGADO")</f>
        <v>-</v>
      </c>
      <c r="H534" s="64">
        <f>ventas_b_mes11[[#This Row],[TOTAL]]/1.21</f>
        <v>0</v>
      </c>
      <c r="I534" s="183">
        <f>ventas_b_mes11[[#This Row],[IMPORTE NETO]]*0.21</f>
        <v>0</v>
      </c>
      <c r="J534" s="184"/>
      <c r="K534" s="184"/>
      <c r="L534" s="184"/>
      <c r="M534" s="59"/>
    </row>
    <row r="535" spans="2:13" x14ac:dyDescent="0.3">
      <c r="B535" s="178"/>
      <c r="C535" s="179"/>
      <c r="D535" s="180"/>
      <c r="E535" s="181"/>
      <c r="F535" s="182"/>
      <c r="G535" s="1" t="str">
        <f>IFERROR(IF(ventas_b_mes11[[#This Row],[CUIT]]="","-",VLOOKUP(ventas_b_mes11[[#This Row],[CUIT]],Lista_CUIT[#All],2,0)),"CUIT NO CARGADO")</f>
        <v>-</v>
      </c>
      <c r="H535" s="64">
        <f>ventas_b_mes11[[#This Row],[TOTAL]]/1.21</f>
        <v>0</v>
      </c>
      <c r="I535" s="183">
        <f>ventas_b_mes11[[#This Row],[IMPORTE NETO]]*0.21</f>
        <v>0</v>
      </c>
      <c r="J535" s="184"/>
      <c r="K535" s="184"/>
      <c r="L535" s="184"/>
      <c r="M535" s="59"/>
    </row>
    <row r="536" spans="2:13" x14ac:dyDescent="0.3">
      <c r="B536" s="178"/>
      <c r="C536" s="179"/>
      <c r="D536" s="180"/>
      <c r="E536" s="181"/>
      <c r="F536" s="182"/>
      <c r="G536" s="1" t="str">
        <f>IFERROR(IF(ventas_b_mes11[[#This Row],[CUIT]]="","-",VLOOKUP(ventas_b_mes11[[#This Row],[CUIT]],Lista_CUIT[#All],2,0)),"CUIT NO CARGADO")</f>
        <v>-</v>
      </c>
      <c r="H536" s="64">
        <f>ventas_b_mes11[[#This Row],[TOTAL]]/1.21</f>
        <v>0</v>
      </c>
      <c r="I536" s="183">
        <f>ventas_b_mes11[[#This Row],[IMPORTE NETO]]*0.21</f>
        <v>0</v>
      </c>
      <c r="J536" s="184"/>
      <c r="K536" s="184"/>
      <c r="L536" s="184"/>
      <c r="M536" s="59"/>
    </row>
    <row r="537" spans="2:13" x14ac:dyDescent="0.3">
      <c r="B537" s="178"/>
      <c r="C537" s="179"/>
      <c r="D537" s="180"/>
      <c r="E537" s="181"/>
      <c r="F537" s="182"/>
      <c r="G537" s="1" t="str">
        <f>IFERROR(IF(ventas_b_mes11[[#This Row],[CUIT]]="","-",VLOOKUP(ventas_b_mes11[[#This Row],[CUIT]],Lista_CUIT[#All],2,0)),"CUIT NO CARGADO")</f>
        <v>-</v>
      </c>
      <c r="H537" s="64">
        <f>ventas_b_mes11[[#This Row],[TOTAL]]/1.21</f>
        <v>0</v>
      </c>
      <c r="I537" s="183">
        <f>ventas_b_mes11[[#This Row],[IMPORTE NETO]]*0.21</f>
        <v>0</v>
      </c>
      <c r="J537" s="184"/>
      <c r="K537" s="184"/>
      <c r="L537" s="184"/>
      <c r="M537" s="59"/>
    </row>
    <row r="538" spans="2:13" x14ac:dyDescent="0.3">
      <c r="B538" s="178"/>
      <c r="C538" s="179"/>
      <c r="D538" s="180"/>
      <c r="E538" s="181"/>
      <c r="F538" s="182"/>
      <c r="G538" s="1" t="str">
        <f>IFERROR(IF(ventas_b_mes11[[#This Row],[CUIT]]="","-",VLOOKUP(ventas_b_mes11[[#This Row],[CUIT]],Lista_CUIT[#All],2,0)),"CUIT NO CARGADO")</f>
        <v>-</v>
      </c>
      <c r="H538" s="64">
        <f>ventas_b_mes11[[#This Row],[TOTAL]]/1.21</f>
        <v>0</v>
      </c>
      <c r="I538" s="183">
        <f>ventas_b_mes11[[#This Row],[IMPORTE NETO]]*0.21</f>
        <v>0</v>
      </c>
      <c r="J538" s="184"/>
      <c r="K538" s="184"/>
      <c r="L538" s="184"/>
      <c r="M538" s="59"/>
    </row>
    <row r="539" spans="2:13" x14ac:dyDescent="0.3">
      <c r="B539" s="178"/>
      <c r="C539" s="179"/>
      <c r="D539" s="180"/>
      <c r="E539" s="181"/>
      <c r="F539" s="182"/>
      <c r="G539" s="1" t="str">
        <f>IFERROR(IF(ventas_b_mes11[[#This Row],[CUIT]]="","-",VLOOKUP(ventas_b_mes11[[#This Row],[CUIT]],Lista_CUIT[#All],2,0)),"CUIT NO CARGADO")</f>
        <v>-</v>
      </c>
      <c r="H539" s="64">
        <f>ventas_b_mes11[[#This Row],[TOTAL]]/1.21</f>
        <v>0</v>
      </c>
      <c r="I539" s="183">
        <f>ventas_b_mes11[[#This Row],[IMPORTE NETO]]*0.21</f>
        <v>0</v>
      </c>
      <c r="J539" s="184"/>
      <c r="K539" s="184"/>
      <c r="L539" s="184"/>
      <c r="M539" s="59"/>
    </row>
    <row r="540" spans="2:13" x14ac:dyDescent="0.3">
      <c r="B540" s="178"/>
      <c r="C540" s="179"/>
      <c r="D540" s="180"/>
      <c r="E540" s="181"/>
      <c r="F540" s="182"/>
      <c r="G540" s="1" t="str">
        <f>IFERROR(IF(ventas_b_mes11[[#This Row],[CUIT]]="","-",VLOOKUP(ventas_b_mes11[[#This Row],[CUIT]],Lista_CUIT[#All],2,0)),"CUIT NO CARGADO")</f>
        <v>-</v>
      </c>
      <c r="H540" s="64">
        <f>ventas_b_mes11[[#This Row],[TOTAL]]/1.21</f>
        <v>0</v>
      </c>
      <c r="I540" s="183">
        <f>ventas_b_mes11[[#This Row],[IMPORTE NETO]]*0.21</f>
        <v>0</v>
      </c>
      <c r="J540" s="184"/>
      <c r="K540" s="184"/>
      <c r="L540" s="184"/>
      <c r="M540" s="59"/>
    </row>
    <row r="541" spans="2:13" x14ac:dyDescent="0.3">
      <c r="B541" s="178"/>
      <c r="C541" s="179"/>
      <c r="D541" s="180"/>
      <c r="E541" s="181"/>
      <c r="F541" s="182"/>
      <c r="G541" s="1" t="str">
        <f>IFERROR(IF(ventas_b_mes11[[#This Row],[CUIT]]="","-",VLOOKUP(ventas_b_mes11[[#This Row],[CUIT]],Lista_CUIT[#All],2,0)),"CUIT NO CARGADO")</f>
        <v>-</v>
      </c>
      <c r="H541" s="64">
        <f>ventas_b_mes11[[#This Row],[TOTAL]]/1.21</f>
        <v>0</v>
      </c>
      <c r="I541" s="183">
        <f>ventas_b_mes11[[#This Row],[IMPORTE NETO]]*0.21</f>
        <v>0</v>
      </c>
      <c r="J541" s="184"/>
      <c r="K541" s="184"/>
      <c r="L541" s="184"/>
      <c r="M541" s="59"/>
    </row>
    <row r="542" spans="2:13" x14ac:dyDescent="0.3">
      <c r="B542" s="178"/>
      <c r="C542" s="179"/>
      <c r="D542" s="180"/>
      <c r="E542" s="181"/>
      <c r="F542" s="182"/>
      <c r="G542" s="1" t="str">
        <f>IFERROR(IF(ventas_b_mes11[[#This Row],[CUIT]]="","-",VLOOKUP(ventas_b_mes11[[#This Row],[CUIT]],Lista_CUIT[#All],2,0)),"CUIT NO CARGADO")</f>
        <v>-</v>
      </c>
      <c r="H542" s="64">
        <f>ventas_b_mes11[[#This Row],[TOTAL]]/1.21</f>
        <v>0</v>
      </c>
      <c r="I542" s="183">
        <f>ventas_b_mes11[[#This Row],[IMPORTE NETO]]*0.21</f>
        <v>0</v>
      </c>
      <c r="J542" s="184"/>
      <c r="K542" s="184"/>
      <c r="L542" s="184"/>
      <c r="M542" s="59"/>
    </row>
    <row r="543" spans="2:13" x14ac:dyDescent="0.3">
      <c r="B543" s="178"/>
      <c r="C543" s="179"/>
      <c r="D543" s="180"/>
      <c r="E543" s="181"/>
      <c r="F543" s="182"/>
      <c r="G543" s="1" t="str">
        <f>IFERROR(IF(ventas_b_mes11[[#This Row],[CUIT]]="","-",VLOOKUP(ventas_b_mes11[[#This Row],[CUIT]],Lista_CUIT[#All],2,0)),"CUIT NO CARGADO")</f>
        <v>-</v>
      </c>
      <c r="H543" s="64">
        <f>ventas_b_mes11[[#This Row],[TOTAL]]/1.21</f>
        <v>0</v>
      </c>
      <c r="I543" s="183">
        <f>ventas_b_mes11[[#This Row],[IMPORTE NETO]]*0.21</f>
        <v>0</v>
      </c>
      <c r="J543" s="184"/>
      <c r="K543" s="184"/>
      <c r="L543" s="184"/>
      <c r="M543" s="59"/>
    </row>
    <row r="544" spans="2:13" x14ac:dyDescent="0.3">
      <c r="B544" s="178"/>
      <c r="C544" s="179"/>
      <c r="D544" s="180"/>
      <c r="E544" s="181"/>
      <c r="F544" s="182"/>
      <c r="G544" s="1" t="str">
        <f>IFERROR(IF(ventas_b_mes11[[#This Row],[CUIT]]="","-",VLOOKUP(ventas_b_mes11[[#This Row],[CUIT]],Lista_CUIT[#All],2,0)),"CUIT NO CARGADO")</f>
        <v>-</v>
      </c>
      <c r="H544" s="64">
        <f>ventas_b_mes11[[#This Row],[TOTAL]]/1.21</f>
        <v>0</v>
      </c>
      <c r="I544" s="183">
        <f>ventas_b_mes11[[#This Row],[IMPORTE NETO]]*0.21</f>
        <v>0</v>
      </c>
      <c r="J544" s="184"/>
      <c r="K544" s="184"/>
      <c r="L544" s="184"/>
      <c r="M544" s="59"/>
    </row>
    <row r="545" spans="2:13" x14ac:dyDescent="0.3">
      <c r="B545" s="178"/>
      <c r="C545" s="179"/>
      <c r="D545" s="180"/>
      <c r="E545" s="181"/>
      <c r="F545" s="182"/>
      <c r="G545" s="1" t="str">
        <f>IFERROR(IF(ventas_b_mes11[[#This Row],[CUIT]]="","-",VLOOKUP(ventas_b_mes11[[#This Row],[CUIT]],Lista_CUIT[#All],2,0)),"CUIT NO CARGADO")</f>
        <v>-</v>
      </c>
      <c r="H545" s="64">
        <f>ventas_b_mes11[[#This Row],[TOTAL]]/1.21</f>
        <v>0</v>
      </c>
      <c r="I545" s="183">
        <f>ventas_b_mes11[[#This Row],[IMPORTE NETO]]*0.21</f>
        <v>0</v>
      </c>
      <c r="J545" s="184"/>
      <c r="K545" s="184"/>
      <c r="L545" s="184"/>
      <c r="M545" s="59"/>
    </row>
    <row r="546" spans="2:13" x14ac:dyDescent="0.3">
      <c r="B546" s="178"/>
      <c r="C546" s="179"/>
      <c r="D546" s="180"/>
      <c r="E546" s="181"/>
      <c r="F546" s="182"/>
      <c r="G546" s="1" t="str">
        <f>IFERROR(IF(ventas_b_mes11[[#This Row],[CUIT]]="","-",VLOOKUP(ventas_b_mes11[[#This Row],[CUIT]],Lista_CUIT[#All],2,0)),"CUIT NO CARGADO")</f>
        <v>-</v>
      </c>
      <c r="H546" s="64">
        <f>ventas_b_mes11[[#This Row],[TOTAL]]/1.21</f>
        <v>0</v>
      </c>
      <c r="I546" s="183">
        <f>ventas_b_mes11[[#This Row],[IMPORTE NETO]]*0.21</f>
        <v>0</v>
      </c>
      <c r="J546" s="184"/>
      <c r="K546" s="184"/>
      <c r="L546" s="184"/>
      <c r="M546" s="59"/>
    </row>
    <row r="547" spans="2:13" x14ac:dyDescent="0.3">
      <c r="B547" s="178"/>
      <c r="C547" s="179"/>
      <c r="D547" s="180"/>
      <c r="E547" s="181"/>
      <c r="F547" s="182"/>
      <c r="G547" s="1" t="str">
        <f>IFERROR(IF(ventas_b_mes11[[#This Row],[CUIT]]="","-",VLOOKUP(ventas_b_mes11[[#This Row],[CUIT]],Lista_CUIT[#All],2,0)),"CUIT NO CARGADO")</f>
        <v>-</v>
      </c>
      <c r="H547" s="64">
        <f>ventas_b_mes11[[#This Row],[TOTAL]]/1.21</f>
        <v>0</v>
      </c>
      <c r="I547" s="183">
        <f>ventas_b_mes11[[#This Row],[IMPORTE NETO]]*0.21</f>
        <v>0</v>
      </c>
      <c r="J547" s="184"/>
      <c r="K547" s="184"/>
      <c r="L547" s="184"/>
      <c r="M547" s="59"/>
    </row>
    <row r="548" spans="2:13" x14ac:dyDescent="0.3">
      <c r="B548" s="178"/>
      <c r="C548" s="179"/>
      <c r="D548" s="180"/>
      <c r="E548" s="181"/>
      <c r="F548" s="182"/>
      <c r="G548" s="1" t="str">
        <f>IFERROR(IF(ventas_b_mes11[[#This Row],[CUIT]]="","-",VLOOKUP(ventas_b_mes11[[#This Row],[CUIT]],Lista_CUIT[#All],2,0)),"CUIT NO CARGADO")</f>
        <v>-</v>
      </c>
      <c r="H548" s="64">
        <f>ventas_b_mes11[[#This Row],[TOTAL]]/1.21</f>
        <v>0</v>
      </c>
      <c r="I548" s="183">
        <f>ventas_b_mes11[[#This Row],[IMPORTE NETO]]*0.21</f>
        <v>0</v>
      </c>
      <c r="J548" s="184"/>
      <c r="K548" s="184"/>
      <c r="L548" s="184"/>
      <c r="M548" s="59"/>
    </row>
    <row r="549" spans="2:13" x14ac:dyDescent="0.3">
      <c r="B549" s="178"/>
      <c r="C549" s="179"/>
      <c r="D549" s="180"/>
      <c r="E549" s="181"/>
      <c r="F549" s="182"/>
      <c r="G549" s="1" t="str">
        <f>IFERROR(IF(ventas_b_mes11[[#This Row],[CUIT]]="","-",VLOOKUP(ventas_b_mes11[[#This Row],[CUIT]],Lista_CUIT[#All],2,0)),"CUIT NO CARGADO")</f>
        <v>-</v>
      </c>
      <c r="H549" s="64">
        <f>ventas_b_mes11[[#This Row],[TOTAL]]/1.21</f>
        <v>0</v>
      </c>
      <c r="I549" s="183">
        <f>ventas_b_mes11[[#This Row],[IMPORTE NETO]]*0.21</f>
        <v>0</v>
      </c>
      <c r="J549" s="184"/>
      <c r="K549" s="184"/>
      <c r="L549" s="184"/>
      <c r="M549" s="59"/>
    </row>
    <row r="550" spans="2:13" x14ac:dyDescent="0.3">
      <c r="B550" s="178"/>
      <c r="C550" s="179"/>
      <c r="D550" s="180"/>
      <c r="E550" s="181"/>
      <c r="F550" s="182"/>
      <c r="G550" s="1" t="str">
        <f>IFERROR(IF(ventas_b_mes11[[#This Row],[CUIT]]="","-",VLOOKUP(ventas_b_mes11[[#This Row],[CUIT]],Lista_CUIT[#All],2,0)),"CUIT NO CARGADO")</f>
        <v>-</v>
      </c>
      <c r="H550" s="64">
        <f>ventas_b_mes11[[#This Row],[TOTAL]]/1.21</f>
        <v>0</v>
      </c>
      <c r="I550" s="183">
        <f>ventas_b_mes11[[#This Row],[IMPORTE NETO]]*0.21</f>
        <v>0</v>
      </c>
      <c r="J550" s="184"/>
      <c r="K550" s="184"/>
      <c r="L550" s="184"/>
      <c r="M550" s="59"/>
    </row>
    <row r="551" spans="2:13" x14ac:dyDescent="0.3">
      <c r="B551" s="178"/>
      <c r="C551" s="179"/>
      <c r="D551" s="180"/>
      <c r="E551" s="181"/>
      <c r="F551" s="182"/>
      <c r="G551" s="1" t="str">
        <f>IFERROR(IF(ventas_b_mes11[[#This Row],[CUIT]]="","-",VLOOKUP(ventas_b_mes11[[#This Row],[CUIT]],Lista_CUIT[#All],2,0)),"CUIT NO CARGADO")</f>
        <v>-</v>
      </c>
      <c r="H551" s="64">
        <f>ventas_b_mes11[[#This Row],[TOTAL]]/1.21</f>
        <v>0</v>
      </c>
      <c r="I551" s="183">
        <f>ventas_b_mes11[[#This Row],[IMPORTE NETO]]*0.21</f>
        <v>0</v>
      </c>
      <c r="J551" s="184"/>
      <c r="K551" s="184"/>
      <c r="L551" s="184"/>
      <c r="M551" s="59"/>
    </row>
    <row r="552" spans="2:13" x14ac:dyDescent="0.3">
      <c r="B552" s="178"/>
      <c r="C552" s="179"/>
      <c r="D552" s="180"/>
      <c r="E552" s="181"/>
      <c r="F552" s="182"/>
      <c r="G552" s="1" t="str">
        <f>IFERROR(IF(ventas_b_mes11[[#This Row],[CUIT]]="","-",VLOOKUP(ventas_b_mes11[[#This Row],[CUIT]],Lista_CUIT[#All],2,0)),"CUIT NO CARGADO")</f>
        <v>-</v>
      </c>
      <c r="H552" s="64">
        <f>ventas_b_mes11[[#This Row],[TOTAL]]/1.21</f>
        <v>0</v>
      </c>
      <c r="I552" s="183">
        <f>ventas_b_mes11[[#This Row],[IMPORTE NETO]]*0.21</f>
        <v>0</v>
      </c>
      <c r="J552" s="184"/>
      <c r="K552" s="184"/>
      <c r="L552" s="184"/>
      <c r="M552" s="59"/>
    </row>
    <row r="553" spans="2:13" x14ac:dyDescent="0.3">
      <c r="B553" s="178"/>
      <c r="C553" s="179"/>
      <c r="D553" s="180"/>
      <c r="E553" s="181"/>
      <c r="F553" s="182"/>
      <c r="G553" s="1" t="str">
        <f>IFERROR(IF(ventas_b_mes11[[#This Row],[CUIT]]="","-",VLOOKUP(ventas_b_mes11[[#This Row],[CUIT]],Lista_CUIT[#All],2,0)),"CUIT NO CARGADO")</f>
        <v>-</v>
      </c>
      <c r="H553" s="64">
        <f>ventas_b_mes11[[#This Row],[TOTAL]]/1.21</f>
        <v>0</v>
      </c>
      <c r="I553" s="183">
        <f>ventas_b_mes11[[#This Row],[IMPORTE NETO]]*0.21</f>
        <v>0</v>
      </c>
      <c r="J553" s="184"/>
      <c r="K553" s="184"/>
      <c r="L553" s="184"/>
      <c r="M553" s="59"/>
    </row>
    <row r="554" spans="2:13" x14ac:dyDescent="0.3">
      <c r="B554" s="178"/>
      <c r="C554" s="179"/>
      <c r="D554" s="180"/>
      <c r="E554" s="181"/>
      <c r="F554" s="182"/>
      <c r="G554" s="1" t="str">
        <f>IFERROR(IF(ventas_b_mes11[[#This Row],[CUIT]]="","-",VLOOKUP(ventas_b_mes11[[#This Row],[CUIT]],Lista_CUIT[#All],2,0)),"CUIT NO CARGADO")</f>
        <v>-</v>
      </c>
      <c r="H554" s="64">
        <f>ventas_b_mes11[[#This Row],[TOTAL]]/1.21</f>
        <v>0</v>
      </c>
      <c r="I554" s="183">
        <f>ventas_b_mes11[[#This Row],[IMPORTE NETO]]*0.21</f>
        <v>0</v>
      </c>
      <c r="J554" s="184"/>
      <c r="K554" s="184"/>
      <c r="L554" s="184"/>
      <c r="M554" s="59"/>
    </row>
    <row r="555" spans="2:13" x14ac:dyDescent="0.3">
      <c r="B555" s="178"/>
      <c r="C555" s="179"/>
      <c r="D555" s="180"/>
      <c r="E555" s="181"/>
      <c r="F555" s="182"/>
      <c r="G555" s="1" t="str">
        <f>IFERROR(IF(ventas_b_mes11[[#This Row],[CUIT]]="","-",VLOOKUP(ventas_b_mes11[[#This Row],[CUIT]],Lista_CUIT[#All],2,0)),"CUIT NO CARGADO")</f>
        <v>-</v>
      </c>
      <c r="H555" s="64">
        <f>ventas_b_mes11[[#This Row],[TOTAL]]/1.21</f>
        <v>0</v>
      </c>
      <c r="I555" s="183">
        <f>ventas_b_mes11[[#This Row],[IMPORTE NETO]]*0.21</f>
        <v>0</v>
      </c>
      <c r="J555" s="184"/>
      <c r="K555" s="184"/>
      <c r="L555" s="184"/>
      <c r="M555" s="59"/>
    </row>
    <row r="556" spans="2:13" x14ac:dyDescent="0.3">
      <c r="B556" s="178"/>
      <c r="C556" s="179"/>
      <c r="D556" s="180"/>
      <c r="E556" s="181"/>
      <c r="F556" s="182"/>
      <c r="G556" s="1" t="str">
        <f>IFERROR(IF(ventas_b_mes11[[#This Row],[CUIT]]="","-",VLOOKUP(ventas_b_mes11[[#This Row],[CUIT]],Lista_CUIT[#All],2,0)),"CUIT NO CARGADO")</f>
        <v>-</v>
      </c>
      <c r="H556" s="64">
        <f>ventas_b_mes11[[#This Row],[TOTAL]]/1.21</f>
        <v>0</v>
      </c>
      <c r="I556" s="183">
        <f>ventas_b_mes11[[#This Row],[IMPORTE NETO]]*0.21</f>
        <v>0</v>
      </c>
      <c r="J556" s="184"/>
      <c r="K556" s="184"/>
      <c r="L556" s="184"/>
      <c r="M556" s="59"/>
    </row>
    <row r="557" spans="2:13" x14ac:dyDescent="0.3">
      <c r="B557" s="178"/>
      <c r="C557" s="179"/>
      <c r="D557" s="180"/>
      <c r="E557" s="181"/>
      <c r="F557" s="182"/>
      <c r="G557" s="1" t="str">
        <f>IFERROR(IF(ventas_b_mes11[[#This Row],[CUIT]]="","-",VLOOKUP(ventas_b_mes11[[#This Row],[CUIT]],Lista_CUIT[#All],2,0)),"CUIT NO CARGADO")</f>
        <v>-</v>
      </c>
      <c r="H557" s="64">
        <f>ventas_b_mes11[[#This Row],[TOTAL]]/1.21</f>
        <v>0</v>
      </c>
      <c r="I557" s="183">
        <f>ventas_b_mes11[[#This Row],[IMPORTE NETO]]*0.21</f>
        <v>0</v>
      </c>
      <c r="J557" s="184"/>
      <c r="K557" s="184"/>
      <c r="L557" s="184"/>
      <c r="M557" s="59"/>
    </row>
    <row r="558" spans="2:13" x14ac:dyDescent="0.3">
      <c r="B558" s="178"/>
      <c r="C558" s="179"/>
      <c r="D558" s="180"/>
      <c r="E558" s="181"/>
      <c r="F558" s="182"/>
      <c r="G558" s="1" t="str">
        <f>IFERROR(IF(ventas_b_mes11[[#This Row],[CUIT]]="","-",VLOOKUP(ventas_b_mes11[[#This Row],[CUIT]],Lista_CUIT[#All],2,0)),"CUIT NO CARGADO")</f>
        <v>-</v>
      </c>
      <c r="H558" s="64">
        <f>ventas_b_mes11[[#This Row],[TOTAL]]/1.21</f>
        <v>0</v>
      </c>
      <c r="I558" s="183">
        <f>ventas_b_mes11[[#This Row],[IMPORTE NETO]]*0.21</f>
        <v>0</v>
      </c>
      <c r="J558" s="184"/>
      <c r="K558" s="184"/>
      <c r="L558" s="184"/>
      <c r="M558" s="59"/>
    </row>
    <row r="559" spans="2:13" x14ac:dyDescent="0.3">
      <c r="B559" s="178"/>
      <c r="C559" s="179"/>
      <c r="D559" s="180"/>
      <c r="E559" s="181"/>
      <c r="F559" s="182"/>
      <c r="G559" s="1" t="str">
        <f>IFERROR(IF(ventas_b_mes11[[#This Row],[CUIT]]="","-",VLOOKUP(ventas_b_mes11[[#This Row],[CUIT]],Lista_CUIT[#All],2,0)),"CUIT NO CARGADO")</f>
        <v>-</v>
      </c>
      <c r="H559" s="64">
        <f>ventas_b_mes11[[#This Row],[TOTAL]]/1.21</f>
        <v>0</v>
      </c>
      <c r="I559" s="183">
        <f>ventas_b_mes11[[#This Row],[IMPORTE NETO]]*0.21</f>
        <v>0</v>
      </c>
      <c r="J559" s="184"/>
      <c r="K559" s="184"/>
      <c r="L559" s="184"/>
      <c r="M559" s="59"/>
    </row>
    <row r="560" spans="2:13" x14ac:dyDescent="0.3">
      <c r="B560" s="178"/>
      <c r="C560" s="179"/>
      <c r="D560" s="180"/>
      <c r="E560" s="181"/>
      <c r="F560" s="182"/>
      <c r="G560" s="1" t="str">
        <f>IFERROR(IF(ventas_b_mes11[[#This Row],[CUIT]]="","-",VLOOKUP(ventas_b_mes11[[#This Row],[CUIT]],Lista_CUIT[#All],2,0)),"CUIT NO CARGADO")</f>
        <v>-</v>
      </c>
      <c r="H560" s="64">
        <f>ventas_b_mes11[[#This Row],[TOTAL]]/1.21</f>
        <v>0</v>
      </c>
      <c r="I560" s="183">
        <f>ventas_b_mes11[[#This Row],[IMPORTE NETO]]*0.21</f>
        <v>0</v>
      </c>
      <c r="J560" s="184"/>
      <c r="K560" s="184"/>
      <c r="L560" s="184"/>
      <c r="M560" s="59"/>
    </row>
    <row r="561" spans="2:13" x14ac:dyDescent="0.3">
      <c r="B561" s="178"/>
      <c r="C561" s="179"/>
      <c r="D561" s="180"/>
      <c r="E561" s="181"/>
      <c r="F561" s="182"/>
      <c r="G561" s="1" t="str">
        <f>IFERROR(IF(ventas_b_mes11[[#This Row],[CUIT]]="","-",VLOOKUP(ventas_b_mes11[[#This Row],[CUIT]],Lista_CUIT[#All],2,0)),"CUIT NO CARGADO")</f>
        <v>-</v>
      </c>
      <c r="H561" s="64">
        <f>ventas_b_mes11[[#This Row],[TOTAL]]/1.21</f>
        <v>0</v>
      </c>
      <c r="I561" s="183">
        <f>ventas_b_mes11[[#This Row],[IMPORTE NETO]]*0.21</f>
        <v>0</v>
      </c>
      <c r="J561" s="184"/>
      <c r="K561" s="184"/>
      <c r="L561" s="184"/>
      <c r="M561" s="59"/>
    </row>
    <row r="562" spans="2:13" x14ac:dyDescent="0.3">
      <c r="B562" s="178"/>
      <c r="C562" s="179"/>
      <c r="D562" s="180"/>
      <c r="E562" s="181"/>
      <c r="F562" s="182"/>
      <c r="G562" s="1" t="str">
        <f>IFERROR(IF(ventas_b_mes11[[#This Row],[CUIT]]="","-",VLOOKUP(ventas_b_mes11[[#This Row],[CUIT]],Lista_CUIT[#All],2,0)),"CUIT NO CARGADO")</f>
        <v>-</v>
      </c>
      <c r="H562" s="64">
        <f>ventas_b_mes11[[#This Row],[TOTAL]]/1.21</f>
        <v>0</v>
      </c>
      <c r="I562" s="183">
        <f>ventas_b_mes11[[#This Row],[IMPORTE NETO]]*0.21</f>
        <v>0</v>
      </c>
      <c r="J562" s="184"/>
      <c r="K562" s="184"/>
      <c r="L562" s="184"/>
      <c r="M562" s="59"/>
    </row>
    <row r="563" spans="2:13" x14ac:dyDescent="0.3">
      <c r="B563" s="178"/>
      <c r="C563" s="179"/>
      <c r="D563" s="180"/>
      <c r="E563" s="181"/>
      <c r="F563" s="182"/>
      <c r="G563" s="1" t="str">
        <f>IFERROR(IF(ventas_b_mes11[[#This Row],[CUIT]]="","-",VLOOKUP(ventas_b_mes11[[#This Row],[CUIT]],Lista_CUIT[#All],2,0)),"CUIT NO CARGADO")</f>
        <v>-</v>
      </c>
      <c r="H563" s="64">
        <f>ventas_b_mes11[[#This Row],[TOTAL]]/1.21</f>
        <v>0</v>
      </c>
      <c r="I563" s="183">
        <f>ventas_b_mes11[[#This Row],[IMPORTE NETO]]*0.21</f>
        <v>0</v>
      </c>
      <c r="J563" s="184"/>
      <c r="K563" s="184"/>
      <c r="L563" s="184"/>
      <c r="M563" s="59"/>
    </row>
    <row r="564" spans="2:13" x14ac:dyDescent="0.3">
      <c r="B564" s="178"/>
      <c r="C564" s="179"/>
      <c r="D564" s="180"/>
      <c r="E564" s="181"/>
      <c r="F564" s="182"/>
      <c r="G564" s="1" t="str">
        <f>IFERROR(IF(ventas_b_mes11[[#This Row],[CUIT]]="","-",VLOOKUP(ventas_b_mes11[[#This Row],[CUIT]],Lista_CUIT[#All],2,0)),"CUIT NO CARGADO")</f>
        <v>-</v>
      </c>
      <c r="H564" s="64">
        <f>ventas_b_mes11[[#This Row],[TOTAL]]/1.21</f>
        <v>0</v>
      </c>
      <c r="I564" s="183">
        <f>ventas_b_mes11[[#This Row],[IMPORTE NETO]]*0.21</f>
        <v>0</v>
      </c>
      <c r="J564" s="184"/>
      <c r="K564" s="184"/>
      <c r="L564" s="184"/>
      <c r="M564" s="59"/>
    </row>
    <row r="565" spans="2:13" x14ac:dyDescent="0.3">
      <c r="B565" s="178"/>
      <c r="C565" s="179"/>
      <c r="D565" s="180"/>
      <c r="E565" s="181"/>
      <c r="F565" s="182"/>
      <c r="G565" s="1" t="str">
        <f>IFERROR(IF(ventas_b_mes11[[#This Row],[CUIT]]="","-",VLOOKUP(ventas_b_mes11[[#This Row],[CUIT]],Lista_CUIT[#All],2,0)),"CUIT NO CARGADO")</f>
        <v>-</v>
      </c>
      <c r="H565" s="64">
        <f>ventas_b_mes11[[#This Row],[TOTAL]]/1.21</f>
        <v>0</v>
      </c>
      <c r="I565" s="183">
        <f>ventas_b_mes11[[#This Row],[IMPORTE NETO]]*0.21</f>
        <v>0</v>
      </c>
      <c r="J565" s="184"/>
      <c r="K565" s="184"/>
      <c r="L565" s="184"/>
      <c r="M565" s="59"/>
    </row>
    <row r="566" spans="2:13" x14ac:dyDescent="0.3">
      <c r="B566" s="178"/>
      <c r="C566" s="179"/>
      <c r="D566" s="180"/>
      <c r="E566" s="181"/>
      <c r="F566" s="182"/>
      <c r="G566" s="1" t="str">
        <f>IFERROR(IF(ventas_b_mes11[[#This Row],[CUIT]]="","-",VLOOKUP(ventas_b_mes11[[#This Row],[CUIT]],Lista_CUIT[#All],2,0)),"CUIT NO CARGADO")</f>
        <v>-</v>
      </c>
      <c r="H566" s="64">
        <f>ventas_b_mes11[[#This Row],[TOTAL]]/1.21</f>
        <v>0</v>
      </c>
      <c r="I566" s="183">
        <f>ventas_b_mes11[[#This Row],[IMPORTE NETO]]*0.21</f>
        <v>0</v>
      </c>
      <c r="J566" s="184"/>
      <c r="K566" s="184"/>
      <c r="L566" s="184"/>
      <c r="M566" s="59"/>
    </row>
    <row r="567" spans="2:13" x14ac:dyDescent="0.3">
      <c r="B567" s="178"/>
      <c r="C567" s="179"/>
      <c r="D567" s="180"/>
      <c r="E567" s="181"/>
      <c r="F567" s="182"/>
      <c r="G567" s="1" t="str">
        <f>IFERROR(IF(ventas_b_mes11[[#This Row],[CUIT]]="","-",VLOOKUP(ventas_b_mes11[[#This Row],[CUIT]],Lista_CUIT[#All],2,0)),"CUIT NO CARGADO")</f>
        <v>-</v>
      </c>
      <c r="H567" s="64">
        <f>ventas_b_mes11[[#This Row],[TOTAL]]/1.21</f>
        <v>0</v>
      </c>
      <c r="I567" s="183">
        <f>ventas_b_mes11[[#This Row],[IMPORTE NETO]]*0.21</f>
        <v>0</v>
      </c>
      <c r="J567" s="184"/>
      <c r="K567" s="184"/>
      <c r="L567" s="184"/>
      <c r="M567" s="59"/>
    </row>
    <row r="568" spans="2:13" x14ac:dyDescent="0.3">
      <c r="B568" s="178"/>
      <c r="C568" s="179"/>
      <c r="D568" s="180"/>
      <c r="E568" s="181"/>
      <c r="F568" s="182"/>
      <c r="G568" s="1" t="str">
        <f>IFERROR(IF(ventas_b_mes11[[#This Row],[CUIT]]="","-",VLOOKUP(ventas_b_mes11[[#This Row],[CUIT]],Lista_CUIT[#All],2,0)),"CUIT NO CARGADO")</f>
        <v>-</v>
      </c>
      <c r="H568" s="64">
        <f>ventas_b_mes11[[#This Row],[TOTAL]]/1.21</f>
        <v>0</v>
      </c>
      <c r="I568" s="183">
        <f>ventas_b_mes11[[#This Row],[IMPORTE NETO]]*0.21</f>
        <v>0</v>
      </c>
      <c r="J568" s="184"/>
      <c r="K568" s="184"/>
      <c r="L568" s="184"/>
      <c r="M568" s="59"/>
    </row>
    <row r="569" spans="2:13" x14ac:dyDescent="0.3">
      <c r="B569" s="178"/>
      <c r="C569" s="179"/>
      <c r="D569" s="180"/>
      <c r="E569" s="181"/>
      <c r="F569" s="182"/>
      <c r="G569" s="1" t="str">
        <f>IFERROR(IF(ventas_b_mes11[[#This Row],[CUIT]]="","-",VLOOKUP(ventas_b_mes11[[#This Row],[CUIT]],Lista_CUIT[#All],2,0)),"CUIT NO CARGADO")</f>
        <v>-</v>
      </c>
      <c r="H569" s="64">
        <f>ventas_b_mes11[[#This Row],[TOTAL]]/1.21</f>
        <v>0</v>
      </c>
      <c r="I569" s="183">
        <f>ventas_b_mes11[[#This Row],[IMPORTE NETO]]*0.21</f>
        <v>0</v>
      </c>
      <c r="J569" s="184"/>
      <c r="K569" s="184"/>
      <c r="L569" s="184"/>
      <c r="M569" s="59"/>
    </row>
    <row r="570" spans="2:13" x14ac:dyDescent="0.3">
      <c r="B570" s="178"/>
      <c r="C570" s="179"/>
      <c r="D570" s="180"/>
      <c r="E570" s="181"/>
      <c r="F570" s="182"/>
      <c r="G570" s="1" t="str">
        <f>IFERROR(IF(ventas_b_mes11[[#This Row],[CUIT]]="","-",VLOOKUP(ventas_b_mes11[[#This Row],[CUIT]],Lista_CUIT[#All],2,0)),"CUIT NO CARGADO")</f>
        <v>-</v>
      </c>
      <c r="H570" s="64">
        <f>ventas_b_mes11[[#This Row],[TOTAL]]/1.21</f>
        <v>0</v>
      </c>
      <c r="I570" s="183">
        <f>ventas_b_mes11[[#This Row],[IMPORTE NETO]]*0.21</f>
        <v>0</v>
      </c>
      <c r="J570" s="184"/>
      <c r="K570" s="184"/>
      <c r="L570" s="184"/>
      <c r="M570" s="59"/>
    </row>
    <row r="571" spans="2:13" x14ac:dyDescent="0.3">
      <c r="B571" s="178"/>
      <c r="C571" s="179"/>
      <c r="D571" s="180"/>
      <c r="E571" s="181"/>
      <c r="F571" s="182"/>
      <c r="G571" s="1" t="str">
        <f>IFERROR(IF(ventas_b_mes11[[#This Row],[CUIT]]="","-",VLOOKUP(ventas_b_mes11[[#This Row],[CUIT]],Lista_CUIT[#All],2,0)),"CUIT NO CARGADO")</f>
        <v>-</v>
      </c>
      <c r="H571" s="64">
        <f>ventas_b_mes11[[#This Row],[TOTAL]]/1.21</f>
        <v>0</v>
      </c>
      <c r="I571" s="183">
        <f>ventas_b_mes11[[#This Row],[IMPORTE NETO]]*0.21</f>
        <v>0</v>
      </c>
      <c r="J571" s="184"/>
      <c r="K571" s="184"/>
      <c r="L571" s="184"/>
      <c r="M571" s="59"/>
    </row>
    <row r="572" spans="2:13" x14ac:dyDescent="0.3">
      <c r="B572" s="178"/>
      <c r="C572" s="179"/>
      <c r="D572" s="180"/>
      <c r="E572" s="181"/>
      <c r="F572" s="182"/>
      <c r="G572" s="1" t="str">
        <f>IFERROR(IF(ventas_b_mes11[[#This Row],[CUIT]]="","-",VLOOKUP(ventas_b_mes11[[#This Row],[CUIT]],Lista_CUIT[#All],2,0)),"CUIT NO CARGADO")</f>
        <v>-</v>
      </c>
      <c r="H572" s="64">
        <f>ventas_b_mes11[[#This Row],[TOTAL]]/1.21</f>
        <v>0</v>
      </c>
      <c r="I572" s="183">
        <f>ventas_b_mes11[[#This Row],[IMPORTE NETO]]*0.21</f>
        <v>0</v>
      </c>
      <c r="J572" s="184"/>
      <c r="K572" s="184"/>
      <c r="L572" s="184"/>
      <c r="M572" s="59"/>
    </row>
    <row r="573" spans="2:13" x14ac:dyDescent="0.3">
      <c r="B573" s="178"/>
      <c r="C573" s="179"/>
      <c r="D573" s="180"/>
      <c r="E573" s="181"/>
      <c r="F573" s="182"/>
      <c r="G573" s="1" t="str">
        <f>IFERROR(IF(ventas_b_mes11[[#This Row],[CUIT]]="","-",VLOOKUP(ventas_b_mes11[[#This Row],[CUIT]],Lista_CUIT[#All],2,0)),"CUIT NO CARGADO")</f>
        <v>-</v>
      </c>
      <c r="H573" s="64">
        <f>ventas_b_mes11[[#This Row],[TOTAL]]/1.21</f>
        <v>0</v>
      </c>
      <c r="I573" s="183">
        <f>ventas_b_mes11[[#This Row],[IMPORTE NETO]]*0.21</f>
        <v>0</v>
      </c>
      <c r="J573" s="184"/>
      <c r="K573" s="184"/>
      <c r="L573" s="184"/>
      <c r="M573" s="59"/>
    </row>
    <row r="574" spans="2:13" x14ac:dyDescent="0.3">
      <c r="B574" s="178"/>
      <c r="C574" s="179"/>
      <c r="D574" s="180"/>
      <c r="E574" s="181"/>
      <c r="F574" s="182"/>
      <c r="G574" s="1" t="str">
        <f>IFERROR(IF(ventas_b_mes11[[#This Row],[CUIT]]="","-",VLOOKUP(ventas_b_mes11[[#This Row],[CUIT]],Lista_CUIT[#All],2,0)),"CUIT NO CARGADO")</f>
        <v>-</v>
      </c>
      <c r="H574" s="64">
        <f>ventas_b_mes11[[#This Row],[TOTAL]]/1.21</f>
        <v>0</v>
      </c>
      <c r="I574" s="183">
        <f>ventas_b_mes11[[#This Row],[IMPORTE NETO]]*0.21</f>
        <v>0</v>
      </c>
      <c r="J574" s="184"/>
      <c r="K574" s="184"/>
      <c r="L574" s="184"/>
      <c r="M574" s="59"/>
    </row>
    <row r="575" spans="2:13" x14ac:dyDescent="0.3">
      <c r="B575" s="178"/>
      <c r="C575" s="179"/>
      <c r="D575" s="180"/>
      <c r="E575" s="181"/>
      <c r="F575" s="182"/>
      <c r="G575" s="1" t="str">
        <f>IFERROR(IF(ventas_b_mes11[[#This Row],[CUIT]]="","-",VLOOKUP(ventas_b_mes11[[#This Row],[CUIT]],Lista_CUIT[#All],2,0)),"CUIT NO CARGADO")</f>
        <v>-</v>
      </c>
      <c r="H575" s="64">
        <f>ventas_b_mes11[[#This Row],[TOTAL]]/1.21</f>
        <v>0</v>
      </c>
      <c r="I575" s="183">
        <f>ventas_b_mes11[[#This Row],[IMPORTE NETO]]*0.21</f>
        <v>0</v>
      </c>
      <c r="J575" s="184"/>
      <c r="K575" s="184"/>
      <c r="L575" s="184"/>
      <c r="M575" s="59"/>
    </row>
    <row r="576" spans="2:13" x14ac:dyDescent="0.3">
      <c r="B576" s="178"/>
      <c r="C576" s="179"/>
      <c r="D576" s="180"/>
      <c r="E576" s="181"/>
      <c r="F576" s="182"/>
      <c r="G576" s="1" t="str">
        <f>IFERROR(IF(ventas_b_mes11[[#This Row],[CUIT]]="","-",VLOOKUP(ventas_b_mes11[[#This Row],[CUIT]],Lista_CUIT[#All],2,0)),"CUIT NO CARGADO")</f>
        <v>-</v>
      </c>
      <c r="H576" s="64">
        <f>ventas_b_mes11[[#This Row],[TOTAL]]/1.21</f>
        <v>0</v>
      </c>
      <c r="I576" s="183">
        <f>ventas_b_mes11[[#This Row],[IMPORTE NETO]]*0.21</f>
        <v>0</v>
      </c>
      <c r="J576" s="184"/>
      <c r="K576" s="184"/>
      <c r="L576" s="184"/>
      <c r="M576" s="59"/>
    </row>
    <row r="577" spans="2:13" x14ac:dyDescent="0.3">
      <c r="B577" s="178"/>
      <c r="C577" s="179"/>
      <c r="D577" s="180"/>
      <c r="E577" s="181"/>
      <c r="F577" s="182"/>
      <c r="G577" s="1" t="str">
        <f>IFERROR(IF(ventas_b_mes11[[#This Row],[CUIT]]="","-",VLOOKUP(ventas_b_mes11[[#This Row],[CUIT]],Lista_CUIT[#All],2,0)),"CUIT NO CARGADO")</f>
        <v>-</v>
      </c>
      <c r="H577" s="64">
        <f>ventas_b_mes11[[#This Row],[TOTAL]]/1.21</f>
        <v>0</v>
      </c>
      <c r="I577" s="183">
        <f>ventas_b_mes11[[#This Row],[IMPORTE NETO]]*0.21</f>
        <v>0</v>
      </c>
      <c r="J577" s="184"/>
      <c r="K577" s="184"/>
      <c r="L577" s="184"/>
      <c r="M577" s="59"/>
    </row>
    <row r="578" spans="2:13" x14ac:dyDescent="0.3">
      <c r="B578" s="178"/>
      <c r="C578" s="179"/>
      <c r="D578" s="180"/>
      <c r="E578" s="181"/>
      <c r="F578" s="182"/>
      <c r="G578" s="1" t="str">
        <f>IFERROR(IF(ventas_b_mes11[[#This Row],[CUIT]]="","-",VLOOKUP(ventas_b_mes11[[#This Row],[CUIT]],Lista_CUIT[#All],2,0)),"CUIT NO CARGADO")</f>
        <v>-</v>
      </c>
      <c r="H578" s="64">
        <f>ventas_b_mes11[[#This Row],[TOTAL]]/1.21</f>
        <v>0</v>
      </c>
      <c r="I578" s="183">
        <f>ventas_b_mes11[[#This Row],[IMPORTE NETO]]*0.21</f>
        <v>0</v>
      </c>
      <c r="J578" s="184"/>
      <c r="K578" s="184"/>
      <c r="L578" s="184"/>
      <c r="M578" s="59"/>
    </row>
    <row r="579" spans="2:13" x14ac:dyDescent="0.3">
      <c r="B579" s="178"/>
      <c r="C579" s="179"/>
      <c r="D579" s="180"/>
      <c r="E579" s="181"/>
      <c r="F579" s="182"/>
      <c r="G579" s="1" t="str">
        <f>IFERROR(IF(ventas_b_mes11[[#This Row],[CUIT]]="","-",VLOOKUP(ventas_b_mes11[[#This Row],[CUIT]],Lista_CUIT[#All],2,0)),"CUIT NO CARGADO")</f>
        <v>-</v>
      </c>
      <c r="H579" s="64">
        <f>ventas_b_mes11[[#This Row],[TOTAL]]/1.21</f>
        <v>0</v>
      </c>
      <c r="I579" s="183">
        <f>ventas_b_mes11[[#This Row],[IMPORTE NETO]]*0.21</f>
        <v>0</v>
      </c>
      <c r="J579" s="184"/>
      <c r="K579" s="184"/>
      <c r="L579" s="184"/>
      <c r="M579" s="59"/>
    </row>
    <row r="580" spans="2:13" x14ac:dyDescent="0.3">
      <c r="B580" s="178"/>
      <c r="C580" s="179"/>
      <c r="D580" s="180"/>
      <c r="E580" s="181"/>
      <c r="F580" s="182"/>
      <c r="G580" s="1" t="str">
        <f>IFERROR(IF(ventas_b_mes11[[#This Row],[CUIT]]="","-",VLOOKUP(ventas_b_mes11[[#This Row],[CUIT]],Lista_CUIT[#All],2,0)),"CUIT NO CARGADO")</f>
        <v>-</v>
      </c>
      <c r="H580" s="64">
        <f>ventas_b_mes11[[#This Row],[TOTAL]]/1.21</f>
        <v>0</v>
      </c>
      <c r="I580" s="183">
        <f>ventas_b_mes11[[#This Row],[IMPORTE NETO]]*0.21</f>
        <v>0</v>
      </c>
      <c r="J580" s="184"/>
      <c r="K580" s="184"/>
      <c r="L580" s="184"/>
      <c r="M580" s="59"/>
    </row>
    <row r="581" spans="2:13" x14ac:dyDescent="0.3">
      <c r="B581" s="178"/>
      <c r="C581" s="179"/>
      <c r="D581" s="180"/>
      <c r="E581" s="181"/>
      <c r="F581" s="182"/>
      <c r="G581" s="1" t="str">
        <f>IFERROR(IF(ventas_b_mes11[[#This Row],[CUIT]]="","-",VLOOKUP(ventas_b_mes11[[#This Row],[CUIT]],Lista_CUIT[#All],2,0)),"CUIT NO CARGADO")</f>
        <v>-</v>
      </c>
      <c r="H581" s="64">
        <f>ventas_b_mes11[[#This Row],[TOTAL]]/1.21</f>
        <v>0</v>
      </c>
      <c r="I581" s="183">
        <f>ventas_b_mes11[[#This Row],[IMPORTE NETO]]*0.21</f>
        <v>0</v>
      </c>
      <c r="J581" s="184"/>
      <c r="K581" s="184"/>
      <c r="L581" s="184"/>
      <c r="M581" s="59"/>
    </row>
    <row r="582" spans="2:13" x14ac:dyDescent="0.3">
      <c r="B582" s="178"/>
      <c r="C582" s="179"/>
      <c r="D582" s="180"/>
      <c r="E582" s="181"/>
      <c r="F582" s="182"/>
      <c r="G582" s="1" t="str">
        <f>IFERROR(IF(ventas_b_mes11[[#This Row],[CUIT]]="","-",VLOOKUP(ventas_b_mes11[[#This Row],[CUIT]],Lista_CUIT[#All],2,0)),"CUIT NO CARGADO")</f>
        <v>-</v>
      </c>
      <c r="H582" s="64">
        <f>ventas_b_mes11[[#This Row],[TOTAL]]/1.21</f>
        <v>0</v>
      </c>
      <c r="I582" s="183">
        <f>ventas_b_mes11[[#This Row],[IMPORTE NETO]]*0.21</f>
        <v>0</v>
      </c>
      <c r="J582" s="184"/>
      <c r="K582" s="184"/>
      <c r="L582" s="184"/>
      <c r="M582" s="59"/>
    </row>
    <row r="583" spans="2:13" x14ac:dyDescent="0.3">
      <c r="B583" s="178"/>
      <c r="C583" s="179"/>
      <c r="D583" s="180"/>
      <c r="E583" s="181"/>
      <c r="F583" s="182"/>
      <c r="G583" s="1" t="str">
        <f>IFERROR(IF(ventas_b_mes11[[#This Row],[CUIT]]="","-",VLOOKUP(ventas_b_mes11[[#This Row],[CUIT]],Lista_CUIT[#All],2,0)),"CUIT NO CARGADO")</f>
        <v>-</v>
      </c>
      <c r="H583" s="64">
        <f>ventas_b_mes11[[#This Row],[TOTAL]]/1.21</f>
        <v>0</v>
      </c>
      <c r="I583" s="183">
        <f>ventas_b_mes11[[#This Row],[IMPORTE NETO]]*0.21</f>
        <v>0</v>
      </c>
      <c r="J583" s="184"/>
      <c r="K583" s="184"/>
      <c r="L583" s="184"/>
      <c r="M583" s="59"/>
    </row>
    <row r="584" spans="2:13" x14ac:dyDescent="0.3">
      <c r="B584" s="178"/>
      <c r="C584" s="179"/>
      <c r="D584" s="180"/>
      <c r="E584" s="181"/>
      <c r="F584" s="182"/>
      <c r="G584" s="1" t="str">
        <f>IFERROR(IF(ventas_b_mes11[[#This Row],[CUIT]]="","-",VLOOKUP(ventas_b_mes11[[#This Row],[CUIT]],Lista_CUIT[#All],2,0)),"CUIT NO CARGADO")</f>
        <v>-</v>
      </c>
      <c r="H584" s="64">
        <f>ventas_b_mes11[[#This Row],[TOTAL]]/1.21</f>
        <v>0</v>
      </c>
      <c r="I584" s="183">
        <f>ventas_b_mes11[[#This Row],[IMPORTE NETO]]*0.21</f>
        <v>0</v>
      </c>
      <c r="J584" s="184"/>
      <c r="K584" s="184"/>
      <c r="L584" s="184"/>
      <c r="M584" s="59"/>
    </row>
    <row r="585" spans="2:13" x14ac:dyDescent="0.3">
      <c r="B585" s="178"/>
      <c r="C585" s="179"/>
      <c r="D585" s="180"/>
      <c r="E585" s="181"/>
      <c r="F585" s="182"/>
      <c r="G585" s="1" t="str">
        <f>IFERROR(IF(ventas_b_mes11[[#This Row],[CUIT]]="","-",VLOOKUP(ventas_b_mes11[[#This Row],[CUIT]],Lista_CUIT[#All],2,0)),"CUIT NO CARGADO")</f>
        <v>-</v>
      </c>
      <c r="H585" s="64">
        <f>ventas_b_mes11[[#This Row],[TOTAL]]/1.21</f>
        <v>0</v>
      </c>
      <c r="I585" s="183">
        <f>ventas_b_mes11[[#This Row],[IMPORTE NETO]]*0.21</f>
        <v>0</v>
      </c>
      <c r="J585" s="184"/>
      <c r="K585" s="184"/>
      <c r="L585" s="184"/>
      <c r="M585" s="59"/>
    </row>
    <row r="586" spans="2:13" x14ac:dyDescent="0.3">
      <c r="B586" s="178"/>
      <c r="C586" s="179"/>
      <c r="D586" s="180"/>
      <c r="E586" s="181"/>
      <c r="F586" s="182"/>
      <c r="G586" s="1" t="str">
        <f>IFERROR(IF(ventas_b_mes11[[#This Row],[CUIT]]="","-",VLOOKUP(ventas_b_mes11[[#This Row],[CUIT]],Lista_CUIT[#All],2,0)),"CUIT NO CARGADO")</f>
        <v>-</v>
      </c>
      <c r="H586" s="64">
        <f>ventas_b_mes11[[#This Row],[TOTAL]]/1.21</f>
        <v>0</v>
      </c>
      <c r="I586" s="183">
        <f>ventas_b_mes11[[#This Row],[IMPORTE NETO]]*0.21</f>
        <v>0</v>
      </c>
      <c r="J586" s="184"/>
      <c r="K586" s="184"/>
      <c r="L586" s="184"/>
      <c r="M586" s="59"/>
    </row>
    <row r="587" spans="2:13" x14ac:dyDescent="0.3">
      <c r="B587" s="178"/>
      <c r="C587" s="179"/>
      <c r="D587" s="180"/>
      <c r="E587" s="181"/>
      <c r="F587" s="182"/>
      <c r="G587" s="1" t="str">
        <f>IFERROR(IF(ventas_b_mes11[[#This Row],[CUIT]]="","-",VLOOKUP(ventas_b_mes11[[#This Row],[CUIT]],Lista_CUIT[#All],2,0)),"CUIT NO CARGADO")</f>
        <v>-</v>
      </c>
      <c r="H587" s="64">
        <f>ventas_b_mes11[[#This Row],[TOTAL]]/1.21</f>
        <v>0</v>
      </c>
      <c r="I587" s="183">
        <f>ventas_b_mes11[[#This Row],[IMPORTE NETO]]*0.21</f>
        <v>0</v>
      </c>
      <c r="J587" s="184"/>
      <c r="K587" s="184"/>
      <c r="L587" s="184"/>
      <c r="M587" s="59"/>
    </row>
    <row r="588" spans="2:13" x14ac:dyDescent="0.3">
      <c r="B588" s="178"/>
      <c r="C588" s="179"/>
      <c r="D588" s="180"/>
      <c r="E588" s="181"/>
      <c r="F588" s="182"/>
      <c r="G588" s="1" t="str">
        <f>IFERROR(IF(ventas_b_mes11[[#This Row],[CUIT]]="","-",VLOOKUP(ventas_b_mes11[[#This Row],[CUIT]],Lista_CUIT[#All],2,0)),"CUIT NO CARGADO")</f>
        <v>-</v>
      </c>
      <c r="H588" s="64">
        <f>ventas_b_mes11[[#This Row],[TOTAL]]/1.21</f>
        <v>0</v>
      </c>
      <c r="I588" s="183">
        <f>ventas_b_mes11[[#This Row],[IMPORTE NETO]]*0.21</f>
        <v>0</v>
      </c>
      <c r="J588" s="184"/>
      <c r="K588" s="184"/>
      <c r="L588" s="184"/>
      <c r="M588" s="59"/>
    </row>
    <row r="589" spans="2:13" x14ac:dyDescent="0.3">
      <c r="B589" s="178"/>
      <c r="C589" s="179"/>
      <c r="D589" s="180"/>
      <c r="E589" s="181"/>
      <c r="F589" s="182"/>
      <c r="G589" s="1" t="str">
        <f>IFERROR(IF(ventas_b_mes11[[#This Row],[CUIT]]="","-",VLOOKUP(ventas_b_mes11[[#This Row],[CUIT]],Lista_CUIT[#All],2,0)),"CUIT NO CARGADO")</f>
        <v>-</v>
      </c>
      <c r="H589" s="64">
        <f>ventas_b_mes11[[#This Row],[TOTAL]]/1.21</f>
        <v>0</v>
      </c>
      <c r="I589" s="183">
        <f>ventas_b_mes11[[#This Row],[IMPORTE NETO]]*0.21</f>
        <v>0</v>
      </c>
      <c r="J589" s="184"/>
      <c r="K589" s="184"/>
      <c r="L589" s="184"/>
      <c r="M589" s="59"/>
    </row>
    <row r="590" spans="2:13" x14ac:dyDescent="0.3">
      <c r="B590" s="178"/>
      <c r="C590" s="179"/>
      <c r="D590" s="180"/>
      <c r="E590" s="181"/>
      <c r="F590" s="182"/>
      <c r="G590" s="1" t="str">
        <f>IFERROR(IF(ventas_b_mes11[[#This Row],[CUIT]]="","-",VLOOKUP(ventas_b_mes11[[#This Row],[CUIT]],Lista_CUIT[#All],2,0)),"CUIT NO CARGADO")</f>
        <v>-</v>
      </c>
      <c r="H590" s="64">
        <f>ventas_b_mes11[[#This Row],[TOTAL]]/1.21</f>
        <v>0</v>
      </c>
      <c r="I590" s="183">
        <f>ventas_b_mes11[[#This Row],[IMPORTE NETO]]*0.21</f>
        <v>0</v>
      </c>
      <c r="J590" s="184"/>
      <c r="K590" s="184"/>
      <c r="L590" s="184"/>
      <c r="M590" s="59"/>
    </row>
    <row r="591" spans="2:13" x14ac:dyDescent="0.3">
      <c r="B591" s="178"/>
      <c r="C591" s="179"/>
      <c r="D591" s="180"/>
      <c r="E591" s="181"/>
      <c r="F591" s="182"/>
      <c r="G591" s="1" t="str">
        <f>IFERROR(IF(ventas_b_mes11[[#This Row],[CUIT]]="","-",VLOOKUP(ventas_b_mes11[[#This Row],[CUIT]],Lista_CUIT[#All],2,0)),"CUIT NO CARGADO")</f>
        <v>-</v>
      </c>
      <c r="H591" s="64">
        <f>ventas_b_mes11[[#This Row],[TOTAL]]/1.21</f>
        <v>0</v>
      </c>
      <c r="I591" s="183">
        <f>ventas_b_mes11[[#This Row],[IMPORTE NETO]]*0.21</f>
        <v>0</v>
      </c>
      <c r="J591" s="184"/>
      <c r="K591" s="184"/>
      <c r="L591" s="184"/>
      <c r="M591" s="59"/>
    </row>
    <row r="592" spans="2:13" x14ac:dyDescent="0.3">
      <c r="B592" s="178"/>
      <c r="C592" s="179"/>
      <c r="D592" s="180"/>
      <c r="E592" s="181"/>
      <c r="F592" s="182"/>
      <c r="G592" s="1" t="str">
        <f>IFERROR(IF(ventas_b_mes11[[#This Row],[CUIT]]="","-",VLOOKUP(ventas_b_mes11[[#This Row],[CUIT]],Lista_CUIT[#All],2,0)),"CUIT NO CARGADO")</f>
        <v>-</v>
      </c>
      <c r="H592" s="64">
        <f>ventas_b_mes11[[#This Row],[TOTAL]]/1.21</f>
        <v>0</v>
      </c>
      <c r="I592" s="183">
        <f>ventas_b_mes11[[#This Row],[IMPORTE NETO]]*0.21</f>
        <v>0</v>
      </c>
      <c r="J592" s="184"/>
      <c r="K592" s="184"/>
      <c r="L592" s="184"/>
      <c r="M592" s="59"/>
    </row>
    <row r="593" spans="2:13" x14ac:dyDescent="0.3">
      <c r="B593" s="178"/>
      <c r="C593" s="179"/>
      <c r="D593" s="180"/>
      <c r="E593" s="181"/>
      <c r="F593" s="182"/>
      <c r="G593" s="1" t="str">
        <f>IFERROR(IF(ventas_b_mes11[[#This Row],[CUIT]]="","-",VLOOKUP(ventas_b_mes11[[#This Row],[CUIT]],Lista_CUIT[#All],2,0)),"CUIT NO CARGADO")</f>
        <v>-</v>
      </c>
      <c r="H593" s="64">
        <f>ventas_b_mes11[[#This Row],[TOTAL]]/1.21</f>
        <v>0</v>
      </c>
      <c r="I593" s="183">
        <f>ventas_b_mes11[[#This Row],[IMPORTE NETO]]*0.21</f>
        <v>0</v>
      </c>
      <c r="J593" s="184"/>
      <c r="K593" s="184"/>
      <c r="L593" s="184"/>
      <c r="M593" s="59"/>
    </row>
    <row r="594" spans="2:13" x14ac:dyDescent="0.3">
      <c r="B594" s="178"/>
      <c r="C594" s="179"/>
      <c r="D594" s="180"/>
      <c r="E594" s="181"/>
      <c r="F594" s="182"/>
      <c r="G594" s="1" t="str">
        <f>IFERROR(IF(ventas_b_mes11[[#This Row],[CUIT]]="","-",VLOOKUP(ventas_b_mes11[[#This Row],[CUIT]],Lista_CUIT[#All],2,0)),"CUIT NO CARGADO")</f>
        <v>-</v>
      </c>
      <c r="H594" s="64">
        <f>ventas_b_mes11[[#This Row],[TOTAL]]/1.21</f>
        <v>0</v>
      </c>
      <c r="I594" s="183">
        <f>ventas_b_mes11[[#This Row],[IMPORTE NETO]]*0.21</f>
        <v>0</v>
      </c>
      <c r="J594" s="184"/>
      <c r="K594" s="184"/>
      <c r="L594" s="184"/>
      <c r="M594" s="59"/>
    </row>
    <row r="595" spans="2:13" x14ac:dyDescent="0.3">
      <c r="B595" s="178"/>
      <c r="C595" s="179"/>
      <c r="D595" s="180"/>
      <c r="E595" s="181"/>
      <c r="F595" s="182"/>
      <c r="G595" s="1" t="str">
        <f>IFERROR(IF(ventas_b_mes11[[#This Row],[CUIT]]="","-",VLOOKUP(ventas_b_mes11[[#This Row],[CUIT]],Lista_CUIT[#All],2,0)),"CUIT NO CARGADO")</f>
        <v>-</v>
      </c>
      <c r="H595" s="64">
        <f>ventas_b_mes11[[#This Row],[TOTAL]]/1.21</f>
        <v>0</v>
      </c>
      <c r="I595" s="183">
        <f>ventas_b_mes11[[#This Row],[IMPORTE NETO]]*0.21</f>
        <v>0</v>
      </c>
      <c r="J595" s="184"/>
      <c r="K595" s="184"/>
      <c r="L595" s="184"/>
      <c r="M595" s="59"/>
    </row>
    <row r="596" spans="2:13" x14ac:dyDescent="0.3">
      <c r="B596" s="178"/>
      <c r="C596" s="179"/>
      <c r="D596" s="180"/>
      <c r="E596" s="181"/>
      <c r="F596" s="182"/>
      <c r="G596" s="1" t="str">
        <f>IFERROR(IF(ventas_b_mes11[[#This Row],[CUIT]]="","-",VLOOKUP(ventas_b_mes11[[#This Row],[CUIT]],Lista_CUIT[#All],2,0)),"CUIT NO CARGADO")</f>
        <v>-</v>
      </c>
      <c r="H596" s="64">
        <f>ventas_b_mes11[[#This Row],[TOTAL]]/1.21</f>
        <v>0</v>
      </c>
      <c r="I596" s="183">
        <f>ventas_b_mes11[[#This Row],[IMPORTE NETO]]*0.21</f>
        <v>0</v>
      </c>
      <c r="J596" s="184"/>
      <c r="K596" s="184"/>
      <c r="L596" s="184"/>
      <c r="M596" s="59"/>
    </row>
    <row r="597" spans="2:13" x14ac:dyDescent="0.3">
      <c r="B597" s="178"/>
      <c r="C597" s="179"/>
      <c r="D597" s="180"/>
      <c r="E597" s="181"/>
      <c r="F597" s="182"/>
      <c r="G597" s="1" t="str">
        <f>IFERROR(IF(ventas_b_mes11[[#This Row],[CUIT]]="","-",VLOOKUP(ventas_b_mes11[[#This Row],[CUIT]],Lista_CUIT[#All],2,0)),"CUIT NO CARGADO")</f>
        <v>-</v>
      </c>
      <c r="H597" s="64">
        <f>ventas_b_mes11[[#This Row],[TOTAL]]/1.21</f>
        <v>0</v>
      </c>
      <c r="I597" s="183">
        <f>ventas_b_mes11[[#This Row],[IMPORTE NETO]]*0.21</f>
        <v>0</v>
      </c>
      <c r="J597" s="184"/>
      <c r="K597" s="184"/>
      <c r="L597" s="184"/>
      <c r="M597" s="59"/>
    </row>
    <row r="598" spans="2:13" x14ac:dyDescent="0.3">
      <c r="B598" s="178"/>
      <c r="C598" s="179"/>
      <c r="D598" s="180"/>
      <c r="E598" s="181"/>
      <c r="F598" s="182"/>
      <c r="G598" s="1" t="str">
        <f>IFERROR(IF(ventas_b_mes11[[#This Row],[CUIT]]="","-",VLOOKUP(ventas_b_mes11[[#This Row],[CUIT]],Lista_CUIT[#All],2,0)),"CUIT NO CARGADO")</f>
        <v>-</v>
      </c>
      <c r="H598" s="64">
        <f>ventas_b_mes11[[#This Row],[TOTAL]]/1.21</f>
        <v>0</v>
      </c>
      <c r="I598" s="183">
        <f>ventas_b_mes11[[#This Row],[IMPORTE NETO]]*0.21</f>
        <v>0</v>
      </c>
      <c r="J598" s="184"/>
      <c r="K598" s="184"/>
      <c r="L598" s="184"/>
      <c r="M598" s="59"/>
    </row>
    <row r="599" spans="2:13" x14ac:dyDescent="0.3">
      <c r="B599" s="178"/>
      <c r="C599" s="179"/>
      <c r="D599" s="180"/>
      <c r="E599" s="181"/>
      <c r="F599" s="182"/>
      <c r="G599" s="1" t="str">
        <f>IFERROR(IF(ventas_b_mes11[[#This Row],[CUIT]]="","-",VLOOKUP(ventas_b_mes11[[#This Row],[CUIT]],Lista_CUIT[#All],2,0)),"CUIT NO CARGADO")</f>
        <v>-</v>
      </c>
      <c r="H599" s="64">
        <f>ventas_b_mes11[[#This Row],[TOTAL]]/1.21</f>
        <v>0</v>
      </c>
      <c r="I599" s="183">
        <f>ventas_b_mes11[[#This Row],[IMPORTE NETO]]*0.21</f>
        <v>0</v>
      </c>
      <c r="J599" s="184"/>
      <c r="K599" s="184"/>
      <c r="L599" s="184"/>
      <c r="M599" s="59"/>
    </row>
    <row r="600" spans="2:13" x14ac:dyDescent="0.3">
      <c r="B600" s="178"/>
      <c r="C600" s="179"/>
      <c r="D600" s="180"/>
      <c r="E600" s="181"/>
      <c r="F600" s="182"/>
      <c r="G600" s="1" t="str">
        <f>IFERROR(IF(ventas_b_mes11[[#This Row],[CUIT]]="","-",VLOOKUP(ventas_b_mes11[[#This Row],[CUIT]],Lista_CUIT[#All],2,0)),"CUIT NO CARGADO")</f>
        <v>-</v>
      </c>
      <c r="H600" s="64">
        <f>ventas_b_mes11[[#This Row],[TOTAL]]/1.21</f>
        <v>0</v>
      </c>
      <c r="I600" s="183">
        <f>ventas_b_mes11[[#This Row],[IMPORTE NETO]]*0.21</f>
        <v>0</v>
      </c>
      <c r="J600" s="184"/>
      <c r="K600" s="184"/>
      <c r="L600" s="184"/>
      <c r="M600" s="59"/>
    </row>
    <row r="601" spans="2:13" x14ac:dyDescent="0.3">
      <c r="B601" s="178"/>
      <c r="C601" s="179"/>
      <c r="D601" s="180"/>
      <c r="E601" s="181"/>
      <c r="F601" s="182"/>
      <c r="G601" s="1" t="str">
        <f>IFERROR(IF(ventas_b_mes11[[#This Row],[CUIT]]="","-",VLOOKUP(ventas_b_mes11[[#This Row],[CUIT]],Lista_CUIT[#All],2,0)),"CUIT NO CARGADO")</f>
        <v>-</v>
      </c>
      <c r="H601" s="64">
        <f>ventas_b_mes11[[#This Row],[TOTAL]]/1.21</f>
        <v>0</v>
      </c>
      <c r="I601" s="183">
        <f>ventas_b_mes11[[#This Row],[IMPORTE NETO]]*0.21</f>
        <v>0</v>
      </c>
      <c r="J601" s="184"/>
      <c r="K601" s="184"/>
      <c r="L601" s="184"/>
      <c r="M601" s="59"/>
    </row>
    <row r="602" spans="2:13" x14ac:dyDescent="0.3">
      <c r="B602" s="178"/>
      <c r="C602" s="179"/>
      <c r="D602" s="180"/>
      <c r="E602" s="181"/>
      <c r="F602" s="182"/>
      <c r="G602" s="1" t="str">
        <f>IFERROR(IF(ventas_b_mes11[[#This Row],[CUIT]]="","-",VLOOKUP(ventas_b_mes11[[#This Row],[CUIT]],Lista_CUIT[#All],2,0)),"CUIT NO CARGADO")</f>
        <v>-</v>
      </c>
      <c r="H602" s="64">
        <f>ventas_b_mes11[[#This Row],[TOTAL]]/1.21</f>
        <v>0</v>
      </c>
      <c r="I602" s="183">
        <f>ventas_b_mes11[[#This Row],[IMPORTE NETO]]*0.21</f>
        <v>0</v>
      </c>
      <c r="J602" s="184"/>
      <c r="K602" s="184"/>
      <c r="L602" s="184"/>
      <c r="M602" s="59"/>
    </row>
    <row r="603" spans="2:13" x14ac:dyDescent="0.3">
      <c r="B603" s="178"/>
      <c r="C603" s="179"/>
      <c r="D603" s="180"/>
      <c r="E603" s="181"/>
      <c r="F603" s="182"/>
      <c r="G603" s="1" t="str">
        <f>IFERROR(IF(ventas_b_mes11[[#This Row],[CUIT]]="","-",VLOOKUP(ventas_b_mes11[[#This Row],[CUIT]],Lista_CUIT[#All],2,0)),"CUIT NO CARGADO")</f>
        <v>-</v>
      </c>
      <c r="H603" s="64">
        <f>ventas_b_mes11[[#This Row],[TOTAL]]/1.21</f>
        <v>0</v>
      </c>
      <c r="I603" s="183">
        <f>ventas_b_mes11[[#This Row],[IMPORTE NETO]]*0.21</f>
        <v>0</v>
      </c>
      <c r="J603" s="184"/>
      <c r="K603" s="184"/>
      <c r="L603" s="184"/>
      <c r="M603" s="59"/>
    </row>
    <row r="604" spans="2:13" x14ac:dyDescent="0.3">
      <c r="B604" s="178"/>
      <c r="C604" s="179"/>
      <c r="D604" s="180"/>
      <c r="E604" s="181"/>
      <c r="F604" s="182"/>
      <c r="G604" s="1" t="str">
        <f>IFERROR(IF(ventas_b_mes11[[#This Row],[CUIT]]="","-",VLOOKUP(ventas_b_mes11[[#This Row],[CUIT]],Lista_CUIT[#All],2,0)),"CUIT NO CARGADO")</f>
        <v>-</v>
      </c>
      <c r="H604" s="64">
        <f>ventas_b_mes11[[#This Row],[TOTAL]]/1.21</f>
        <v>0</v>
      </c>
      <c r="I604" s="183">
        <f>ventas_b_mes11[[#This Row],[IMPORTE NETO]]*0.21</f>
        <v>0</v>
      </c>
      <c r="J604" s="184"/>
      <c r="K604" s="184"/>
      <c r="L604" s="184"/>
      <c r="M604" s="59"/>
    </row>
    <row r="605" spans="2:13" x14ac:dyDescent="0.3">
      <c r="B605" s="178"/>
      <c r="C605" s="179"/>
      <c r="D605" s="180"/>
      <c r="E605" s="181"/>
      <c r="F605" s="182"/>
      <c r="G605" s="1" t="str">
        <f>IFERROR(IF(ventas_b_mes11[[#This Row],[CUIT]]="","-",VLOOKUP(ventas_b_mes11[[#This Row],[CUIT]],Lista_CUIT[#All],2,0)),"CUIT NO CARGADO")</f>
        <v>-</v>
      </c>
      <c r="H605" s="64">
        <f>ventas_b_mes11[[#This Row],[TOTAL]]/1.21</f>
        <v>0</v>
      </c>
      <c r="I605" s="183">
        <f>ventas_b_mes11[[#This Row],[IMPORTE NETO]]*0.21</f>
        <v>0</v>
      </c>
      <c r="J605" s="184"/>
      <c r="K605" s="184"/>
      <c r="L605" s="184"/>
      <c r="M605" s="59"/>
    </row>
    <row r="606" spans="2:13" x14ac:dyDescent="0.3">
      <c r="B606" s="178"/>
      <c r="C606" s="179"/>
      <c r="D606" s="180"/>
      <c r="E606" s="181"/>
      <c r="F606" s="182"/>
      <c r="G606" s="1" t="str">
        <f>IFERROR(IF(ventas_b_mes11[[#This Row],[CUIT]]="","-",VLOOKUP(ventas_b_mes11[[#This Row],[CUIT]],Lista_CUIT[#All],2,0)),"CUIT NO CARGADO")</f>
        <v>-</v>
      </c>
      <c r="H606" s="64">
        <f>ventas_b_mes11[[#This Row],[TOTAL]]/1.21</f>
        <v>0</v>
      </c>
      <c r="I606" s="183">
        <f>ventas_b_mes11[[#This Row],[IMPORTE NETO]]*0.21</f>
        <v>0</v>
      </c>
      <c r="J606" s="184"/>
      <c r="K606" s="184"/>
      <c r="L606" s="184"/>
      <c r="M606" s="59"/>
    </row>
    <row r="607" spans="2:13" x14ac:dyDescent="0.3">
      <c r="B607" s="178"/>
      <c r="C607" s="179"/>
      <c r="D607" s="180"/>
      <c r="E607" s="181"/>
      <c r="F607" s="182"/>
      <c r="G607" s="1" t="str">
        <f>IFERROR(IF(ventas_b_mes11[[#This Row],[CUIT]]="","-",VLOOKUP(ventas_b_mes11[[#This Row],[CUIT]],Lista_CUIT[#All],2,0)),"CUIT NO CARGADO")</f>
        <v>-</v>
      </c>
      <c r="H607" s="64">
        <f>ventas_b_mes11[[#This Row],[TOTAL]]/1.21</f>
        <v>0</v>
      </c>
      <c r="I607" s="183">
        <f>ventas_b_mes11[[#This Row],[IMPORTE NETO]]*0.21</f>
        <v>0</v>
      </c>
      <c r="J607" s="184"/>
      <c r="K607" s="184"/>
      <c r="L607" s="184"/>
      <c r="M607" s="59"/>
    </row>
    <row r="608" spans="2:13" x14ac:dyDescent="0.3">
      <c r="B608" s="178"/>
      <c r="C608" s="179"/>
      <c r="D608" s="180"/>
      <c r="E608" s="181"/>
      <c r="F608" s="182"/>
      <c r="G608" s="1" t="str">
        <f>IFERROR(IF(ventas_b_mes11[[#This Row],[CUIT]]="","-",VLOOKUP(ventas_b_mes11[[#This Row],[CUIT]],Lista_CUIT[#All],2,0)),"CUIT NO CARGADO")</f>
        <v>-</v>
      </c>
      <c r="H608" s="64">
        <f>ventas_b_mes11[[#This Row],[TOTAL]]/1.21</f>
        <v>0</v>
      </c>
      <c r="I608" s="183">
        <f>ventas_b_mes11[[#This Row],[IMPORTE NETO]]*0.21</f>
        <v>0</v>
      </c>
      <c r="J608" s="184"/>
      <c r="K608" s="184"/>
      <c r="L608" s="184"/>
      <c r="M608" s="59"/>
    </row>
    <row r="609" spans="2:13" x14ac:dyDescent="0.3">
      <c r="B609" s="178"/>
      <c r="C609" s="179"/>
      <c r="D609" s="180"/>
      <c r="E609" s="181"/>
      <c r="F609" s="182"/>
      <c r="G609" s="1" t="str">
        <f>IFERROR(IF(ventas_b_mes11[[#This Row],[CUIT]]="","-",VLOOKUP(ventas_b_mes11[[#This Row],[CUIT]],Lista_CUIT[#All],2,0)),"CUIT NO CARGADO")</f>
        <v>-</v>
      </c>
      <c r="H609" s="64">
        <f>ventas_b_mes11[[#This Row],[TOTAL]]/1.21</f>
        <v>0</v>
      </c>
      <c r="I609" s="183">
        <f>ventas_b_mes11[[#This Row],[IMPORTE NETO]]*0.21</f>
        <v>0</v>
      </c>
      <c r="J609" s="184"/>
      <c r="K609" s="184"/>
      <c r="L609" s="184"/>
      <c r="M609" s="59"/>
    </row>
    <row r="610" spans="2:13" x14ac:dyDescent="0.3">
      <c r="B610" s="178"/>
      <c r="C610" s="179"/>
      <c r="D610" s="180"/>
      <c r="E610" s="181"/>
      <c r="F610" s="182"/>
      <c r="G610" s="1" t="str">
        <f>IFERROR(IF(ventas_b_mes11[[#This Row],[CUIT]]="","-",VLOOKUP(ventas_b_mes11[[#This Row],[CUIT]],Lista_CUIT[#All],2,0)),"CUIT NO CARGADO")</f>
        <v>-</v>
      </c>
      <c r="H610" s="64">
        <f>ventas_b_mes11[[#This Row],[TOTAL]]/1.21</f>
        <v>0</v>
      </c>
      <c r="I610" s="183">
        <f>ventas_b_mes11[[#This Row],[IMPORTE NETO]]*0.21</f>
        <v>0</v>
      </c>
      <c r="J610" s="184"/>
      <c r="K610" s="184"/>
      <c r="L610" s="184"/>
      <c r="M610" s="59"/>
    </row>
    <row r="611" spans="2:13" x14ac:dyDescent="0.3">
      <c r="B611" s="178"/>
      <c r="C611" s="179"/>
      <c r="D611" s="180"/>
      <c r="E611" s="181"/>
      <c r="F611" s="182"/>
      <c r="G611" s="1" t="str">
        <f>IFERROR(IF(ventas_b_mes11[[#This Row],[CUIT]]="","-",VLOOKUP(ventas_b_mes11[[#This Row],[CUIT]],Lista_CUIT[#All],2,0)),"CUIT NO CARGADO")</f>
        <v>-</v>
      </c>
      <c r="H611" s="64">
        <f>ventas_b_mes11[[#This Row],[TOTAL]]/1.21</f>
        <v>0</v>
      </c>
      <c r="I611" s="183">
        <f>ventas_b_mes11[[#This Row],[IMPORTE NETO]]*0.21</f>
        <v>0</v>
      </c>
      <c r="J611" s="184"/>
      <c r="K611" s="184"/>
      <c r="L611" s="184"/>
      <c r="M611" s="59"/>
    </row>
    <row r="612" spans="2:13" x14ac:dyDescent="0.3">
      <c r="B612" s="178"/>
      <c r="C612" s="179"/>
      <c r="D612" s="180"/>
      <c r="E612" s="181"/>
      <c r="F612" s="182"/>
      <c r="G612" s="1" t="str">
        <f>IFERROR(IF(ventas_b_mes11[[#This Row],[CUIT]]="","-",VLOOKUP(ventas_b_mes11[[#This Row],[CUIT]],Lista_CUIT[#All],2,0)),"CUIT NO CARGADO")</f>
        <v>-</v>
      </c>
      <c r="H612" s="64">
        <f>ventas_b_mes11[[#This Row],[TOTAL]]/1.21</f>
        <v>0</v>
      </c>
      <c r="I612" s="183">
        <f>ventas_b_mes11[[#This Row],[IMPORTE NETO]]*0.21</f>
        <v>0</v>
      </c>
      <c r="J612" s="184"/>
      <c r="K612" s="184"/>
      <c r="L612" s="184"/>
      <c r="M612" s="59"/>
    </row>
    <row r="613" spans="2:13" x14ac:dyDescent="0.3">
      <c r="B613" s="178"/>
      <c r="C613" s="179"/>
      <c r="D613" s="180"/>
      <c r="E613" s="181"/>
      <c r="F613" s="182"/>
      <c r="G613" s="1" t="str">
        <f>IFERROR(IF(ventas_b_mes11[[#This Row],[CUIT]]="","-",VLOOKUP(ventas_b_mes11[[#This Row],[CUIT]],Lista_CUIT[#All],2,0)),"CUIT NO CARGADO")</f>
        <v>-</v>
      </c>
      <c r="H613" s="64">
        <f>ventas_b_mes11[[#This Row],[TOTAL]]/1.21</f>
        <v>0</v>
      </c>
      <c r="I613" s="183">
        <f>ventas_b_mes11[[#This Row],[IMPORTE NETO]]*0.21</f>
        <v>0</v>
      </c>
      <c r="J613" s="184"/>
      <c r="K613" s="184"/>
      <c r="L613" s="184"/>
      <c r="M613" s="59"/>
    </row>
    <row r="614" spans="2:13" x14ac:dyDescent="0.3">
      <c r="B614" s="178"/>
      <c r="C614" s="179"/>
      <c r="D614" s="180"/>
      <c r="E614" s="181"/>
      <c r="F614" s="182"/>
      <c r="G614" s="1" t="str">
        <f>IFERROR(IF(ventas_b_mes11[[#This Row],[CUIT]]="","-",VLOOKUP(ventas_b_mes11[[#This Row],[CUIT]],Lista_CUIT[#All],2,0)),"CUIT NO CARGADO")</f>
        <v>-</v>
      </c>
      <c r="H614" s="64">
        <f>ventas_b_mes11[[#This Row],[TOTAL]]/1.21</f>
        <v>0</v>
      </c>
      <c r="I614" s="183">
        <f>ventas_b_mes11[[#This Row],[IMPORTE NETO]]*0.21</f>
        <v>0</v>
      </c>
      <c r="J614" s="184"/>
      <c r="K614" s="184"/>
      <c r="L614" s="184"/>
      <c r="M614" s="59"/>
    </row>
    <row r="615" spans="2:13" x14ac:dyDescent="0.3">
      <c r="B615" s="178"/>
      <c r="C615" s="179"/>
      <c r="D615" s="180"/>
      <c r="E615" s="181"/>
      <c r="F615" s="182"/>
      <c r="G615" s="1" t="str">
        <f>IFERROR(IF(ventas_b_mes11[[#This Row],[CUIT]]="","-",VLOOKUP(ventas_b_mes11[[#This Row],[CUIT]],Lista_CUIT[#All],2,0)),"CUIT NO CARGADO")</f>
        <v>-</v>
      </c>
      <c r="H615" s="64">
        <f>ventas_b_mes11[[#This Row],[TOTAL]]/1.21</f>
        <v>0</v>
      </c>
      <c r="I615" s="183">
        <f>ventas_b_mes11[[#This Row],[IMPORTE NETO]]*0.21</f>
        <v>0</v>
      </c>
      <c r="J615" s="184"/>
      <c r="K615" s="184"/>
      <c r="L615" s="184"/>
      <c r="M615" s="59"/>
    </row>
    <row r="616" spans="2:13" x14ac:dyDescent="0.3">
      <c r="B616" s="178"/>
      <c r="C616" s="179"/>
      <c r="D616" s="180"/>
      <c r="E616" s="181"/>
      <c r="F616" s="182"/>
      <c r="G616" s="1" t="str">
        <f>IFERROR(IF(ventas_b_mes11[[#This Row],[CUIT]]="","-",VLOOKUP(ventas_b_mes11[[#This Row],[CUIT]],Lista_CUIT[#All],2,0)),"CUIT NO CARGADO")</f>
        <v>-</v>
      </c>
      <c r="H616" s="64">
        <f>ventas_b_mes11[[#This Row],[TOTAL]]/1.21</f>
        <v>0</v>
      </c>
      <c r="I616" s="183">
        <f>ventas_b_mes11[[#This Row],[IMPORTE NETO]]*0.21</f>
        <v>0</v>
      </c>
      <c r="J616" s="184"/>
      <c r="K616" s="184"/>
      <c r="L616" s="184"/>
      <c r="M616" s="59"/>
    </row>
    <row r="617" spans="2:13" x14ac:dyDescent="0.3">
      <c r="B617" s="178"/>
      <c r="C617" s="179"/>
      <c r="D617" s="180"/>
      <c r="E617" s="181"/>
      <c r="F617" s="182"/>
      <c r="G617" s="1" t="str">
        <f>IFERROR(IF(ventas_b_mes11[[#This Row],[CUIT]]="","-",VLOOKUP(ventas_b_mes11[[#This Row],[CUIT]],Lista_CUIT[#All],2,0)),"CUIT NO CARGADO")</f>
        <v>-</v>
      </c>
      <c r="H617" s="64">
        <f>ventas_b_mes11[[#This Row],[TOTAL]]/1.21</f>
        <v>0</v>
      </c>
      <c r="I617" s="183">
        <f>ventas_b_mes11[[#This Row],[IMPORTE NETO]]*0.21</f>
        <v>0</v>
      </c>
      <c r="J617" s="184"/>
      <c r="K617" s="184"/>
      <c r="L617" s="184"/>
      <c r="M617" s="59"/>
    </row>
    <row r="618" spans="2:13" x14ac:dyDescent="0.3">
      <c r="B618" s="178"/>
      <c r="C618" s="179"/>
      <c r="D618" s="180"/>
      <c r="E618" s="181"/>
      <c r="F618" s="182"/>
      <c r="G618" s="1" t="str">
        <f>IFERROR(IF(ventas_b_mes11[[#This Row],[CUIT]]="","-",VLOOKUP(ventas_b_mes11[[#This Row],[CUIT]],Lista_CUIT[#All],2,0)),"CUIT NO CARGADO")</f>
        <v>-</v>
      </c>
      <c r="H618" s="64">
        <f>ventas_b_mes11[[#This Row],[TOTAL]]/1.21</f>
        <v>0</v>
      </c>
      <c r="I618" s="183">
        <f>ventas_b_mes11[[#This Row],[IMPORTE NETO]]*0.21</f>
        <v>0</v>
      </c>
      <c r="J618" s="184"/>
      <c r="K618" s="184"/>
      <c r="L618" s="184"/>
      <c r="M618" s="59"/>
    </row>
    <row r="619" spans="2:13" x14ac:dyDescent="0.3">
      <c r="B619" s="178"/>
      <c r="C619" s="179"/>
      <c r="D619" s="180"/>
      <c r="E619" s="181"/>
      <c r="F619" s="182"/>
      <c r="G619" s="1" t="str">
        <f>IFERROR(IF(ventas_b_mes11[[#This Row],[CUIT]]="","-",VLOOKUP(ventas_b_mes11[[#This Row],[CUIT]],Lista_CUIT[#All],2,0)),"CUIT NO CARGADO")</f>
        <v>-</v>
      </c>
      <c r="H619" s="64">
        <f>ventas_b_mes11[[#This Row],[TOTAL]]/1.21</f>
        <v>0</v>
      </c>
      <c r="I619" s="183">
        <f>ventas_b_mes11[[#This Row],[IMPORTE NETO]]*0.21</f>
        <v>0</v>
      </c>
      <c r="J619" s="184"/>
      <c r="K619" s="184"/>
      <c r="L619" s="184"/>
      <c r="M619" s="59"/>
    </row>
    <row r="620" spans="2:13" x14ac:dyDescent="0.3">
      <c r="B620" s="178"/>
      <c r="C620" s="179"/>
      <c r="D620" s="180"/>
      <c r="E620" s="181"/>
      <c r="F620" s="182"/>
      <c r="G620" s="1" t="str">
        <f>IFERROR(IF(ventas_b_mes11[[#This Row],[CUIT]]="","-",VLOOKUP(ventas_b_mes11[[#This Row],[CUIT]],Lista_CUIT[#All],2,0)),"CUIT NO CARGADO")</f>
        <v>-</v>
      </c>
      <c r="H620" s="64">
        <f>ventas_b_mes11[[#This Row],[TOTAL]]/1.21</f>
        <v>0</v>
      </c>
      <c r="I620" s="183">
        <f>ventas_b_mes11[[#This Row],[IMPORTE NETO]]*0.21</f>
        <v>0</v>
      </c>
      <c r="J620" s="184"/>
      <c r="K620" s="184"/>
      <c r="L620" s="184"/>
      <c r="M620" s="59"/>
    </row>
    <row r="621" spans="2:13" x14ac:dyDescent="0.3">
      <c r="B621" s="178"/>
      <c r="C621" s="179"/>
      <c r="D621" s="180"/>
      <c r="E621" s="181"/>
      <c r="F621" s="182"/>
      <c r="G621" s="1" t="str">
        <f>IFERROR(IF(ventas_b_mes11[[#This Row],[CUIT]]="","-",VLOOKUP(ventas_b_mes11[[#This Row],[CUIT]],Lista_CUIT[#All],2,0)),"CUIT NO CARGADO")</f>
        <v>-</v>
      </c>
      <c r="H621" s="64">
        <f>ventas_b_mes11[[#This Row],[TOTAL]]/1.21</f>
        <v>0</v>
      </c>
      <c r="I621" s="183">
        <f>ventas_b_mes11[[#This Row],[IMPORTE NETO]]*0.21</f>
        <v>0</v>
      </c>
      <c r="J621" s="184"/>
      <c r="K621" s="184"/>
      <c r="L621" s="184"/>
      <c r="M621" s="59"/>
    </row>
    <row r="622" spans="2:13" x14ac:dyDescent="0.3">
      <c r="B622" s="178"/>
      <c r="C622" s="179"/>
      <c r="D622" s="180"/>
      <c r="E622" s="181"/>
      <c r="F622" s="182"/>
      <c r="G622" s="1" t="str">
        <f>IFERROR(IF(ventas_b_mes11[[#This Row],[CUIT]]="","-",VLOOKUP(ventas_b_mes11[[#This Row],[CUIT]],Lista_CUIT[#All],2,0)),"CUIT NO CARGADO")</f>
        <v>-</v>
      </c>
      <c r="H622" s="64">
        <f>ventas_b_mes11[[#This Row],[TOTAL]]/1.21</f>
        <v>0</v>
      </c>
      <c r="I622" s="183">
        <f>ventas_b_mes11[[#This Row],[IMPORTE NETO]]*0.21</f>
        <v>0</v>
      </c>
      <c r="J622" s="184"/>
      <c r="K622" s="184"/>
      <c r="L622" s="184"/>
      <c r="M622" s="59"/>
    </row>
    <row r="623" spans="2:13" x14ac:dyDescent="0.3">
      <c r="B623" s="178"/>
      <c r="C623" s="179"/>
      <c r="D623" s="180"/>
      <c r="E623" s="181"/>
      <c r="F623" s="182"/>
      <c r="G623" s="1" t="str">
        <f>IFERROR(IF(ventas_b_mes11[[#This Row],[CUIT]]="","-",VLOOKUP(ventas_b_mes11[[#This Row],[CUIT]],Lista_CUIT[#All],2,0)),"CUIT NO CARGADO")</f>
        <v>-</v>
      </c>
      <c r="H623" s="64">
        <f>ventas_b_mes11[[#This Row],[TOTAL]]/1.21</f>
        <v>0</v>
      </c>
      <c r="I623" s="183">
        <f>ventas_b_mes11[[#This Row],[IMPORTE NETO]]*0.21</f>
        <v>0</v>
      </c>
      <c r="J623" s="184"/>
      <c r="K623" s="184"/>
      <c r="L623" s="184"/>
      <c r="M623" s="59"/>
    </row>
    <row r="624" spans="2:13" x14ac:dyDescent="0.3">
      <c r="B624" s="178"/>
      <c r="C624" s="179"/>
      <c r="D624" s="180"/>
      <c r="E624" s="181"/>
      <c r="F624" s="182"/>
      <c r="G624" s="1" t="str">
        <f>IFERROR(IF(ventas_b_mes11[[#This Row],[CUIT]]="","-",VLOOKUP(ventas_b_mes11[[#This Row],[CUIT]],Lista_CUIT[#All],2,0)),"CUIT NO CARGADO")</f>
        <v>-</v>
      </c>
      <c r="H624" s="64">
        <f>ventas_b_mes11[[#This Row],[TOTAL]]/1.21</f>
        <v>0</v>
      </c>
      <c r="I624" s="183">
        <f>ventas_b_mes11[[#This Row],[IMPORTE NETO]]*0.21</f>
        <v>0</v>
      </c>
      <c r="J624" s="184"/>
      <c r="K624" s="184"/>
      <c r="L624" s="184"/>
      <c r="M624" s="59"/>
    </row>
    <row r="625" spans="2:13" x14ac:dyDescent="0.3">
      <c r="B625" s="178"/>
      <c r="C625" s="179"/>
      <c r="D625" s="180"/>
      <c r="E625" s="181"/>
      <c r="F625" s="182"/>
      <c r="G625" s="1" t="str">
        <f>IFERROR(IF(ventas_b_mes11[[#This Row],[CUIT]]="","-",VLOOKUP(ventas_b_mes11[[#This Row],[CUIT]],Lista_CUIT[#All],2,0)),"CUIT NO CARGADO")</f>
        <v>-</v>
      </c>
      <c r="H625" s="64">
        <f>ventas_b_mes11[[#This Row],[TOTAL]]/1.21</f>
        <v>0</v>
      </c>
      <c r="I625" s="183">
        <f>ventas_b_mes11[[#This Row],[IMPORTE NETO]]*0.21</f>
        <v>0</v>
      </c>
      <c r="J625" s="184"/>
      <c r="K625" s="184"/>
      <c r="L625" s="184"/>
      <c r="M625" s="59"/>
    </row>
    <row r="626" spans="2:13" x14ac:dyDescent="0.3">
      <c r="B626" s="178"/>
      <c r="C626" s="179"/>
      <c r="D626" s="180"/>
      <c r="E626" s="181"/>
      <c r="F626" s="182"/>
      <c r="G626" s="1" t="str">
        <f>IFERROR(IF(ventas_b_mes11[[#This Row],[CUIT]]="","-",VLOOKUP(ventas_b_mes11[[#This Row],[CUIT]],Lista_CUIT[#All],2,0)),"CUIT NO CARGADO")</f>
        <v>-</v>
      </c>
      <c r="H626" s="64">
        <f>ventas_b_mes11[[#This Row],[TOTAL]]/1.21</f>
        <v>0</v>
      </c>
      <c r="I626" s="183">
        <f>ventas_b_mes11[[#This Row],[IMPORTE NETO]]*0.21</f>
        <v>0</v>
      </c>
      <c r="J626" s="184"/>
      <c r="K626" s="184"/>
      <c r="L626" s="184"/>
      <c r="M626" s="59"/>
    </row>
    <row r="627" spans="2:13" x14ac:dyDescent="0.3">
      <c r="B627" s="178"/>
      <c r="C627" s="179"/>
      <c r="D627" s="180"/>
      <c r="E627" s="181"/>
      <c r="F627" s="182"/>
      <c r="G627" s="1" t="str">
        <f>IFERROR(IF(ventas_b_mes11[[#This Row],[CUIT]]="","-",VLOOKUP(ventas_b_mes11[[#This Row],[CUIT]],Lista_CUIT[#All],2,0)),"CUIT NO CARGADO")</f>
        <v>-</v>
      </c>
      <c r="H627" s="64">
        <f>ventas_b_mes11[[#This Row],[TOTAL]]/1.21</f>
        <v>0</v>
      </c>
      <c r="I627" s="183">
        <f>ventas_b_mes11[[#This Row],[IMPORTE NETO]]*0.21</f>
        <v>0</v>
      </c>
      <c r="J627" s="184"/>
      <c r="K627" s="184"/>
      <c r="L627" s="184"/>
      <c r="M627" s="59"/>
    </row>
    <row r="628" spans="2:13" x14ac:dyDescent="0.3">
      <c r="B628" s="178"/>
      <c r="C628" s="179"/>
      <c r="D628" s="180"/>
      <c r="E628" s="181"/>
      <c r="F628" s="182"/>
      <c r="G628" s="1" t="str">
        <f>IFERROR(IF(ventas_b_mes11[[#This Row],[CUIT]]="","-",VLOOKUP(ventas_b_mes11[[#This Row],[CUIT]],Lista_CUIT[#All],2,0)),"CUIT NO CARGADO")</f>
        <v>-</v>
      </c>
      <c r="H628" s="64">
        <f>ventas_b_mes11[[#This Row],[TOTAL]]/1.21</f>
        <v>0</v>
      </c>
      <c r="I628" s="183">
        <f>ventas_b_mes11[[#This Row],[IMPORTE NETO]]*0.21</f>
        <v>0</v>
      </c>
      <c r="J628" s="184"/>
      <c r="K628" s="184"/>
      <c r="L628" s="184"/>
      <c r="M628" s="59"/>
    </row>
    <row r="629" spans="2:13" x14ac:dyDescent="0.3">
      <c r="B629" s="178"/>
      <c r="C629" s="179"/>
      <c r="D629" s="180"/>
      <c r="E629" s="181"/>
      <c r="F629" s="182"/>
      <c r="G629" s="1" t="str">
        <f>IFERROR(IF(ventas_b_mes11[[#This Row],[CUIT]]="","-",VLOOKUP(ventas_b_mes11[[#This Row],[CUIT]],Lista_CUIT[#All],2,0)),"CUIT NO CARGADO")</f>
        <v>-</v>
      </c>
      <c r="H629" s="64">
        <f>ventas_b_mes11[[#This Row],[TOTAL]]/1.21</f>
        <v>0</v>
      </c>
      <c r="I629" s="183">
        <f>ventas_b_mes11[[#This Row],[IMPORTE NETO]]*0.21</f>
        <v>0</v>
      </c>
      <c r="J629" s="184"/>
      <c r="K629" s="184"/>
      <c r="L629" s="184"/>
      <c r="M629" s="59"/>
    </row>
    <row r="630" spans="2:13" x14ac:dyDescent="0.3">
      <c r="B630" s="178"/>
      <c r="C630" s="179"/>
      <c r="D630" s="180"/>
      <c r="E630" s="181"/>
      <c r="F630" s="182"/>
      <c r="G630" s="1" t="str">
        <f>IFERROR(IF(ventas_b_mes11[[#This Row],[CUIT]]="","-",VLOOKUP(ventas_b_mes11[[#This Row],[CUIT]],Lista_CUIT[#All],2,0)),"CUIT NO CARGADO")</f>
        <v>-</v>
      </c>
      <c r="H630" s="64">
        <f>ventas_b_mes11[[#This Row],[TOTAL]]/1.21</f>
        <v>0</v>
      </c>
      <c r="I630" s="183">
        <f>ventas_b_mes11[[#This Row],[IMPORTE NETO]]*0.21</f>
        <v>0</v>
      </c>
      <c r="J630" s="184"/>
      <c r="K630" s="184"/>
      <c r="L630" s="184"/>
      <c r="M630" s="59"/>
    </row>
    <row r="631" spans="2:13" x14ac:dyDescent="0.3">
      <c r="B631" s="178"/>
      <c r="C631" s="179"/>
      <c r="D631" s="180"/>
      <c r="E631" s="181"/>
      <c r="F631" s="182"/>
      <c r="G631" s="1" t="str">
        <f>IFERROR(IF(ventas_b_mes11[[#This Row],[CUIT]]="","-",VLOOKUP(ventas_b_mes11[[#This Row],[CUIT]],Lista_CUIT[#All],2,0)),"CUIT NO CARGADO")</f>
        <v>-</v>
      </c>
      <c r="H631" s="64">
        <f>ventas_b_mes11[[#This Row],[TOTAL]]/1.21</f>
        <v>0</v>
      </c>
      <c r="I631" s="183">
        <f>ventas_b_mes11[[#This Row],[IMPORTE NETO]]*0.21</f>
        <v>0</v>
      </c>
      <c r="J631" s="184"/>
      <c r="K631" s="184"/>
      <c r="L631" s="184"/>
      <c r="M631" s="59"/>
    </row>
    <row r="632" spans="2:13" x14ac:dyDescent="0.3">
      <c r="B632" s="178"/>
      <c r="C632" s="179"/>
      <c r="D632" s="180"/>
      <c r="E632" s="181"/>
      <c r="F632" s="182"/>
      <c r="G632" s="1" t="str">
        <f>IFERROR(IF(ventas_b_mes11[[#This Row],[CUIT]]="","-",VLOOKUP(ventas_b_mes11[[#This Row],[CUIT]],Lista_CUIT[#All],2,0)),"CUIT NO CARGADO")</f>
        <v>-</v>
      </c>
      <c r="H632" s="64">
        <f>ventas_b_mes11[[#This Row],[TOTAL]]/1.21</f>
        <v>0</v>
      </c>
      <c r="I632" s="183">
        <f>ventas_b_mes11[[#This Row],[IMPORTE NETO]]*0.21</f>
        <v>0</v>
      </c>
      <c r="J632" s="184"/>
      <c r="K632" s="184"/>
      <c r="L632" s="184"/>
      <c r="M632" s="59"/>
    </row>
    <row r="633" spans="2:13" x14ac:dyDescent="0.3">
      <c r="B633" s="178"/>
      <c r="C633" s="179"/>
      <c r="D633" s="180"/>
      <c r="E633" s="181"/>
      <c r="F633" s="182"/>
      <c r="G633" s="1" t="str">
        <f>IFERROR(IF(ventas_b_mes11[[#This Row],[CUIT]]="","-",VLOOKUP(ventas_b_mes11[[#This Row],[CUIT]],Lista_CUIT[#All],2,0)),"CUIT NO CARGADO")</f>
        <v>-</v>
      </c>
      <c r="H633" s="64">
        <f>ventas_b_mes11[[#This Row],[TOTAL]]/1.21</f>
        <v>0</v>
      </c>
      <c r="I633" s="183">
        <f>ventas_b_mes11[[#This Row],[IMPORTE NETO]]*0.21</f>
        <v>0</v>
      </c>
      <c r="J633" s="184"/>
      <c r="K633" s="184"/>
      <c r="L633" s="184"/>
      <c r="M633" s="59"/>
    </row>
    <row r="634" spans="2:13" x14ac:dyDescent="0.3">
      <c r="B634" s="178"/>
      <c r="C634" s="179"/>
      <c r="D634" s="180"/>
      <c r="E634" s="181"/>
      <c r="F634" s="182"/>
      <c r="G634" s="1" t="str">
        <f>IFERROR(IF(ventas_b_mes11[[#This Row],[CUIT]]="","-",VLOOKUP(ventas_b_mes11[[#This Row],[CUIT]],Lista_CUIT[#All],2,0)),"CUIT NO CARGADO")</f>
        <v>-</v>
      </c>
      <c r="H634" s="64">
        <f>ventas_b_mes11[[#This Row],[TOTAL]]/1.21</f>
        <v>0</v>
      </c>
      <c r="I634" s="183">
        <f>ventas_b_mes11[[#This Row],[IMPORTE NETO]]*0.21</f>
        <v>0</v>
      </c>
      <c r="J634" s="184"/>
      <c r="K634" s="184"/>
      <c r="L634" s="184"/>
      <c r="M634" s="59"/>
    </row>
    <row r="635" spans="2:13" x14ac:dyDescent="0.3">
      <c r="B635" s="178"/>
      <c r="C635" s="179"/>
      <c r="D635" s="180"/>
      <c r="E635" s="181"/>
      <c r="F635" s="182"/>
      <c r="G635" s="1" t="str">
        <f>IFERROR(IF(ventas_b_mes11[[#This Row],[CUIT]]="","-",VLOOKUP(ventas_b_mes11[[#This Row],[CUIT]],Lista_CUIT[#All],2,0)),"CUIT NO CARGADO")</f>
        <v>-</v>
      </c>
      <c r="H635" s="64">
        <f>ventas_b_mes11[[#This Row],[TOTAL]]/1.21</f>
        <v>0</v>
      </c>
      <c r="I635" s="183">
        <f>ventas_b_mes11[[#This Row],[IMPORTE NETO]]*0.21</f>
        <v>0</v>
      </c>
      <c r="J635" s="184"/>
      <c r="K635" s="184"/>
      <c r="L635" s="184"/>
      <c r="M635" s="59"/>
    </row>
    <row r="636" spans="2:13" x14ac:dyDescent="0.3">
      <c r="B636" s="178"/>
      <c r="C636" s="179"/>
      <c r="D636" s="180"/>
      <c r="E636" s="181"/>
      <c r="F636" s="182"/>
      <c r="G636" s="1" t="str">
        <f>IFERROR(IF(ventas_b_mes11[[#This Row],[CUIT]]="","-",VLOOKUP(ventas_b_mes11[[#This Row],[CUIT]],Lista_CUIT[#All],2,0)),"CUIT NO CARGADO")</f>
        <v>-</v>
      </c>
      <c r="H636" s="64">
        <f>ventas_b_mes11[[#This Row],[TOTAL]]/1.21</f>
        <v>0</v>
      </c>
      <c r="I636" s="183">
        <f>ventas_b_mes11[[#This Row],[IMPORTE NETO]]*0.21</f>
        <v>0</v>
      </c>
      <c r="J636" s="184"/>
      <c r="K636" s="184"/>
      <c r="L636" s="184"/>
      <c r="M636" s="59"/>
    </row>
    <row r="637" spans="2:13" x14ac:dyDescent="0.3">
      <c r="B637" s="178"/>
      <c r="C637" s="179"/>
      <c r="D637" s="180"/>
      <c r="E637" s="181"/>
      <c r="F637" s="182"/>
      <c r="G637" s="1" t="str">
        <f>IFERROR(IF(ventas_b_mes11[[#This Row],[CUIT]]="","-",VLOOKUP(ventas_b_mes11[[#This Row],[CUIT]],Lista_CUIT[#All],2,0)),"CUIT NO CARGADO")</f>
        <v>-</v>
      </c>
      <c r="H637" s="64">
        <f>ventas_b_mes11[[#This Row],[TOTAL]]/1.21</f>
        <v>0</v>
      </c>
      <c r="I637" s="183">
        <f>ventas_b_mes11[[#This Row],[IMPORTE NETO]]*0.21</f>
        <v>0</v>
      </c>
      <c r="J637" s="184"/>
      <c r="K637" s="184"/>
      <c r="L637" s="184"/>
      <c r="M637" s="59"/>
    </row>
    <row r="638" spans="2:13" x14ac:dyDescent="0.3">
      <c r="B638" s="178"/>
      <c r="C638" s="179"/>
      <c r="D638" s="180"/>
      <c r="E638" s="181"/>
      <c r="F638" s="182"/>
      <c r="G638" s="1" t="str">
        <f>IFERROR(IF(ventas_b_mes11[[#This Row],[CUIT]]="","-",VLOOKUP(ventas_b_mes11[[#This Row],[CUIT]],Lista_CUIT[#All],2,0)),"CUIT NO CARGADO")</f>
        <v>-</v>
      </c>
      <c r="H638" s="64">
        <f>ventas_b_mes11[[#This Row],[TOTAL]]/1.21</f>
        <v>0</v>
      </c>
      <c r="I638" s="183">
        <f>ventas_b_mes11[[#This Row],[IMPORTE NETO]]*0.21</f>
        <v>0</v>
      </c>
      <c r="J638" s="184"/>
      <c r="K638" s="184"/>
      <c r="L638" s="184"/>
      <c r="M638" s="59"/>
    </row>
    <row r="639" spans="2:13" x14ac:dyDescent="0.3">
      <c r="B639" s="178"/>
      <c r="C639" s="179"/>
      <c r="D639" s="180"/>
      <c r="E639" s="181"/>
      <c r="F639" s="182"/>
      <c r="G639" s="1" t="str">
        <f>IFERROR(IF(ventas_b_mes11[[#This Row],[CUIT]]="","-",VLOOKUP(ventas_b_mes11[[#This Row],[CUIT]],Lista_CUIT[#All],2,0)),"CUIT NO CARGADO")</f>
        <v>-</v>
      </c>
      <c r="H639" s="64">
        <f>ventas_b_mes11[[#This Row],[TOTAL]]/1.21</f>
        <v>0</v>
      </c>
      <c r="I639" s="183">
        <f>ventas_b_mes11[[#This Row],[IMPORTE NETO]]*0.21</f>
        <v>0</v>
      </c>
      <c r="J639" s="184"/>
      <c r="K639" s="184"/>
      <c r="L639" s="184"/>
      <c r="M639" s="59"/>
    </row>
    <row r="640" spans="2:13" x14ac:dyDescent="0.3">
      <c r="B640" s="178"/>
      <c r="C640" s="179"/>
      <c r="D640" s="180"/>
      <c r="E640" s="181"/>
      <c r="F640" s="182"/>
      <c r="G640" s="1" t="str">
        <f>IFERROR(IF(ventas_b_mes11[[#This Row],[CUIT]]="","-",VLOOKUP(ventas_b_mes11[[#This Row],[CUIT]],Lista_CUIT[#All],2,0)),"CUIT NO CARGADO")</f>
        <v>-</v>
      </c>
      <c r="H640" s="64">
        <f>ventas_b_mes11[[#This Row],[TOTAL]]/1.21</f>
        <v>0</v>
      </c>
      <c r="I640" s="183">
        <f>ventas_b_mes11[[#This Row],[IMPORTE NETO]]*0.21</f>
        <v>0</v>
      </c>
      <c r="J640" s="184"/>
      <c r="K640" s="184"/>
      <c r="L640" s="184"/>
      <c r="M640" s="59"/>
    </row>
    <row r="641" spans="2:13" x14ac:dyDescent="0.3">
      <c r="B641" s="178"/>
      <c r="C641" s="179"/>
      <c r="D641" s="180"/>
      <c r="E641" s="181"/>
      <c r="F641" s="182"/>
      <c r="G641" s="1" t="str">
        <f>IFERROR(IF(ventas_b_mes11[[#This Row],[CUIT]]="","-",VLOOKUP(ventas_b_mes11[[#This Row],[CUIT]],Lista_CUIT[#All],2,0)),"CUIT NO CARGADO")</f>
        <v>-</v>
      </c>
      <c r="H641" s="64">
        <f>ventas_b_mes11[[#This Row],[TOTAL]]/1.21</f>
        <v>0</v>
      </c>
      <c r="I641" s="183">
        <f>ventas_b_mes11[[#This Row],[IMPORTE NETO]]*0.21</f>
        <v>0</v>
      </c>
      <c r="J641" s="184"/>
      <c r="K641" s="184"/>
      <c r="L641" s="184"/>
      <c r="M641" s="59"/>
    </row>
    <row r="642" spans="2:13" x14ac:dyDescent="0.3">
      <c r="B642" s="178"/>
      <c r="C642" s="179"/>
      <c r="D642" s="180"/>
      <c r="E642" s="181"/>
      <c r="F642" s="182"/>
      <c r="G642" s="1" t="str">
        <f>IFERROR(IF(ventas_b_mes11[[#This Row],[CUIT]]="","-",VLOOKUP(ventas_b_mes11[[#This Row],[CUIT]],Lista_CUIT[#All],2,0)),"CUIT NO CARGADO")</f>
        <v>-</v>
      </c>
      <c r="H642" s="64">
        <f>ventas_b_mes11[[#This Row],[TOTAL]]/1.21</f>
        <v>0</v>
      </c>
      <c r="I642" s="183">
        <f>ventas_b_mes11[[#This Row],[IMPORTE NETO]]*0.21</f>
        <v>0</v>
      </c>
      <c r="J642" s="184"/>
      <c r="K642" s="184"/>
      <c r="L642" s="184"/>
      <c r="M642" s="59"/>
    </row>
    <row r="643" spans="2:13" x14ac:dyDescent="0.3">
      <c r="B643" s="178"/>
      <c r="C643" s="179"/>
      <c r="D643" s="180"/>
      <c r="E643" s="181"/>
      <c r="F643" s="182"/>
      <c r="G643" s="1" t="str">
        <f>IFERROR(IF(ventas_b_mes11[[#This Row],[CUIT]]="","-",VLOOKUP(ventas_b_mes11[[#This Row],[CUIT]],Lista_CUIT[#All],2,0)),"CUIT NO CARGADO")</f>
        <v>-</v>
      </c>
      <c r="H643" s="64">
        <f>ventas_b_mes11[[#This Row],[TOTAL]]/1.21</f>
        <v>0</v>
      </c>
      <c r="I643" s="183">
        <f>ventas_b_mes11[[#This Row],[IMPORTE NETO]]*0.21</f>
        <v>0</v>
      </c>
      <c r="J643" s="184"/>
      <c r="K643" s="184"/>
      <c r="L643" s="184"/>
      <c r="M643" s="59"/>
    </row>
    <row r="644" spans="2:13" x14ac:dyDescent="0.3">
      <c r="B644" s="178"/>
      <c r="C644" s="179"/>
      <c r="D644" s="180"/>
      <c r="E644" s="181"/>
      <c r="F644" s="182"/>
      <c r="G644" s="1" t="str">
        <f>IFERROR(IF(ventas_b_mes11[[#This Row],[CUIT]]="","-",VLOOKUP(ventas_b_mes11[[#This Row],[CUIT]],Lista_CUIT[#All],2,0)),"CUIT NO CARGADO")</f>
        <v>-</v>
      </c>
      <c r="H644" s="64">
        <f>ventas_b_mes11[[#This Row],[TOTAL]]/1.21</f>
        <v>0</v>
      </c>
      <c r="I644" s="183">
        <f>ventas_b_mes11[[#This Row],[IMPORTE NETO]]*0.21</f>
        <v>0</v>
      </c>
      <c r="J644" s="184"/>
      <c r="K644" s="184"/>
      <c r="L644" s="184"/>
      <c r="M644" s="59"/>
    </row>
    <row r="645" spans="2:13" x14ac:dyDescent="0.3">
      <c r="B645" s="178"/>
      <c r="C645" s="179"/>
      <c r="D645" s="180"/>
      <c r="E645" s="181"/>
      <c r="F645" s="182"/>
      <c r="G645" s="1" t="str">
        <f>IFERROR(IF(ventas_b_mes11[[#This Row],[CUIT]]="","-",VLOOKUP(ventas_b_mes11[[#This Row],[CUIT]],Lista_CUIT[#All],2,0)),"CUIT NO CARGADO")</f>
        <v>-</v>
      </c>
      <c r="H645" s="64">
        <f>ventas_b_mes11[[#This Row],[TOTAL]]/1.21</f>
        <v>0</v>
      </c>
      <c r="I645" s="183">
        <f>ventas_b_mes11[[#This Row],[IMPORTE NETO]]*0.21</f>
        <v>0</v>
      </c>
      <c r="J645" s="184"/>
      <c r="K645" s="184"/>
      <c r="L645" s="184"/>
      <c r="M645" s="59"/>
    </row>
    <row r="646" spans="2:13" x14ac:dyDescent="0.3">
      <c r="B646" s="178"/>
      <c r="C646" s="179"/>
      <c r="D646" s="180"/>
      <c r="E646" s="181"/>
      <c r="F646" s="182"/>
      <c r="G646" s="1" t="str">
        <f>IFERROR(IF(ventas_b_mes11[[#This Row],[CUIT]]="","-",VLOOKUP(ventas_b_mes11[[#This Row],[CUIT]],Lista_CUIT[#All],2,0)),"CUIT NO CARGADO")</f>
        <v>-</v>
      </c>
      <c r="H646" s="64">
        <f>ventas_b_mes11[[#This Row],[TOTAL]]/1.21</f>
        <v>0</v>
      </c>
      <c r="I646" s="183">
        <f>ventas_b_mes11[[#This Row],[IMPORTE NETO]]*0.21</f>
        <v>0</v>
      </c>
      <c r="J646" s="184"/>
      <c r="K646" s="184"/>
      <c r="L646" s="184"/>
      <c r="M646" s="59"/>
    </row>
    <row r="647" spans="2:13" x14ac:dyDescent="0.3">
      <c r="B647" s="178"/>
      <c r="C647" s="179"/>
      <c r="D647" s="180"/>
      <c r="E647" s="181"/>
      <c r="F647" s="182"/>
      <c r="G647" s="1" t="str">
        <f>IFERROR(IF(ventas_b_mes11[[#This Row],[CUIT]]="","-",VLOOKUP(ventas_b_mes11[[#This Row],[CUIT]],Lista_CUIT[#All],2,0)),"CUIT NO CARGADO")</f>
        <v>-</v>
      </c>
      <c r="H647" s="64">
        <f>ventas_b_mes11[[#This Row],[TOTAL]]/1.21</f>
        <v>0</v>
      </c>
      <c r="I647" s="183">
        <f>ventas_b_mes11[[#This Row],[IMPORTE NETO]]*0.21</f>
        <v>0</v>
      </c>
      <c r="J647" s="184"/>
      <c r="K647" s="184"/>
      <c r="L647" s="184"/>
      <c r="M647" s="59"/>
    </row>
    <row r="648" spans="2:13" x14ac:dyDescent="0.3">
      <c r="B648" s="178"/>
      <c r="C648" s="179"/>
      <c r="D648" s="180"/>
      <c r="E648" s="181"/>
      <c r="F648" s="182"/>
      <c r="G648" s="1" t="str">
        <f>IFERROR(IF(ventas_b_mes11[[#This Row],[CUIT]]="","-",VLOOKUP(ventas_b_mes11[[#This Row],[CUIT]],Lista_CUIT[#All],2,0)),"CUIT NO CARGADO")</f>
        <v>-</v>
      </c>
      <c r="H648" s="64">
        <f>ventas_b_mes11[[#This Row],[TOTAL]]/1.21</f>
        <v>0</v>
      </c>
      <c r="I648" s="183">
        <f>ventas_b_mes11[[#This Row],[IMPORTE NETO]]*0.21</f>
        <v>0</v>
      </c>
      <c r="J648" s="184"/>
      <c r="K648" s="184"/>
      <c r="L648" s="184"/>
      <c r="M648" s="59"/>
    </row>
    <row r="649" spans="2:13" x14ac:dyDescent="0.3">
      <c r="B649" s="178"/>
      <c r="C649" s="179"/>
      <c r="D649" s="180"/>
      <c r="E649" s="181"/>
      <c r="F649" s="182"/>
      <c r="G649" s="1" t="str">
        <f>IFERROR(IF(ventas_b_mes11[[#This Row],[CUIT]]="","-",VLOOKUP(ventas_b_mes11[[#This Row],[CUIT]],Lista_CUIT[#All],2,0)),"CUIT NO CARGADO")</f>
        <v>-</v>
      </c>
      <c r="H649" s="64">
        <f>ventas_b_mes11[[#This Row],[TOTAL]]/1.21</f>
        <v>0</v>
      </c>
      <c r="I649" s="183">
        <f>ventas_b_mes11[[#This Row],[IMPORTE NETO]]*0.21</f>
        <v>0</v>
      </c>
      <c r="J649" s="184"/>
      <c r="K649" s="184"/>
      <c r="L649" s="184"/>
      <c r="M649" s="59"/>
    </row>
    <row r="650" spans="2:13" x14ac:dyDescent="0.3">
      <c r="B650" s="178"/>
      <c r="C650" s="179"/>
      <c r="D650" s="180"/>
      <c r="E650" s="181"/>
      <c r="F650" s="182"/>
      <c r="G650" s="1" t="str">
        <f>IFERROR(IF(ventas_b_mes11[[#This Row],[CUIT]]="","-",VLOOKUP(ventas_b_mes11[[#This Row],[CUIT]],Lista_CUIT[#All],2,0)),"CUIT NO CARGADO")</f>
        <v>-</v>
      </c>
      <c r="H650" s="64">
        <f>ventas_b_mes11[[#This Row],[TOTAL]]/1.21</f>
        <v>0</v>
      </c>
      <c r="I650" s="183">
        <f>ventas_b_mes11[[#This Row],[IMPORTE NETO]]*0.21</f>
        <v>0</v>
      </c>
      <c r="J650" s="184"/>
      <c r="K650" s="184"/>
      <c r="L650" s="184"/>
      <c r="M650" s="59"/>
    </row>
    <row r="651" spans="2:13" x14ac:dyDescent="0.3">
      <c r="B651" s="178"/>
      <c r="C651" s="179"/>
      <c r="D651" s="180"/>
      <c r="E651" s="181"/>
      <c r="F651" s="182"/>
      <c r="G651" s="1" t="str">
        <f>IFERROR(IF(ventas_b_mes11[[#This Row],[CUIT]]="","-",VLOOKUP(ventas_b_mes11[[#This Row],[CUIT]],Lista_CUIT[#All],2,0)),"CUIT NO CARGADO")</f>
        <v>-</v>
      </c>
      <c r="H651" s="64">
        <f>ventas_b_mes11[[#This Row],[TOTAL]]/1.21</f>
        <v>0</v>
      </c>
      <c r="I651" s="183">
        <f>ventas_b_mes11[[#This Row],[IMPORTE NETO]]*0.21</f>
        <v>0</v>
      </c>
      <c r="J651" s="184"/>
      <c r="K651" s="184"/>
      <c r="L651" s="184"/>
      <c r="M651" s="59"/>
    </row>
    <row r="652" spans="2:13" x14ac:dyDescent="0.3">
      <c r="B652" s="178"/>
      <c r="C652" s="179"/>
      <c r="D652" s="180"/>
      <c r="E652" s="181"/>
      <c r="F652" s="182"/>
      <c r="G652" s="1" t="str">
        <f>IFERROR(IF(ventas_b_mes11[[#This Row],[CUIT]]="","-",VLOOKUP(ventas_b_mes11[[#This Row],[CUIT]],Lista_CUIT[#All],2,0)),"CUIT NO CARGADO")</f>
        <v>-</v>
      </c>
      <c r="H652" s="64">
        <f>ventas_b_mes11[[#This Row],[TOTAL]]/1.21</f>
        <v>0</v>
      </c>
      <c r="I652" s="183">
        <f>ventas_b_mes11[[#This Row],[IMPORTE NETO]]*0.21</f>
        <v>0</v>
      </c>
      <c r="J652" s="184"/>
      <c r="K652" s="184"/>
      <c r="L652" s="184"/>
      <c r="M652" s="59"/>
    </row>
    <row r="653" spans="2:13" x14ac:dyDescent="0.3">
      <c r="B653" s="178"/>
      <c r="C653" s="179"/>
      <c r="D653" s="180"/>
      <c r="E653" s="181"/>
      <c r="F653" s="182"/>
      <c r="G653" s="1" t="str">
        <f>IFERROR(IF(ventas_b_mes11[[#This Row],[CUIT]]="","-",VLOOKUP(ventas_b_mes11[[#This Row],[CUIT]],Lista_CUIT[#All],2,0)),"CUIT NO CARGADO")</f>
        <v>-</v>
      </c>
      <c r="H653" s="64">
        <f>ventas_b_mes11[[#This Row],[TOTAL]]/1.21</f>
        <v>0</v>
      </c>
      <c r="I653" s="183">
        <f>ventas_b_mes11[[#This Row],[IMPORTE NETO]]*0.21</f>
        <v>0</v>
      </c>
      <c r="J653" s="184"/>
      <c r="K653" s="184"/>
      <c r="L653" s="184"/>
      <c r="M653" s="59"/>
    </row>
    <row r="654" spans="2:13" x14ac:dyDescent="0.3">
      <c r="B654" s="178"/>
      <c r="C654" s="179"/>
      <c r="D654" s="180"/>
      <c r="E654" s="181"/>
      <c r="F654" s="182"/>
      <c r="G654" s="1" t="str">
        <f>IFERROR(IF(ventas_b_mes11[[#This Row],[CUIT]]="","-",VLOOKUP(ventas_b_mes11[[#This Row],[CUIT]],Lista_CUIT[#All],2,0)),"CUIT NO CARGADO")</f>
        <v>-</v>
      </c>
      <c r="H654" s="64">
        <f>ventas_b_mes11[[#This Row],[TOTAL]]/1.21</f>
        <v>0</v>
      </c>
      <c r="I654" s="183">
        <f>ventas_b_mes11[[#This Row],[IMPORTE NETO]]*0.21</f>
        <v>0</v>
      </c>
      <c r="J654" s="184"/>
      <c r="K654" s="184"/>
      <c r="L654" s="184"/>
      <c r="M654" s="59"/>
    </row>
    <row r="655" spans="2:13" x14ac:dyDescent="0.3">
      <c r="B655" s="178"/>
      <c r="C655" s="179"/>
      <c r="D655" s="180"/>
      <c r="E655" s="181"/>
      <c r="F655" s="182"/>
      <c r="G655" s="1" t="str">
        <f>IFERROR(IF(ventas_b_mes11[[#This Row],[CUIT]]="","-",VLOOKUP(ventas_b_mes11[[#This Row],[CUIT]],Lista_CUIT[#All],2,0)),"CUIT NO CARGADO")</f>
        <v>-</v>
      </c>
      <c r="H655" s="64">
        <f>ventas_b_mes11[[#This Row],[TOTAL]]/1.21</f>
        <v>0</v>
      </c>
      <c r="I655" s="183">
        <f>ventas_b_mes11[[#This Row],[IMPORTE NETO]]*0.21</f>
        <v>0</v>
      </c>
      <c r="J655" s="184"/>
      <c r="K655" s="184"/>
      <c r="L655" s="184"/>
      <c r="M655" s="59"/>
    </row>
    <row r="656" spans="2:13" x14ac:dyDescent="0.3">
      <c r="B656" s="178"/>
      <c r="C656" s="179"/>
      <c r="D656" s="180"/>
      <c r="E656" s="181"/>
      <c r="F656" s="182"/>
      <c r="G656" s="1" t="str">
        <f>IFERROR(IF(ventas_b_mes11[[#This Row],[CUIT]]="","-",VLOOKUP(ventas_b_mes11[[#This Row],[CUIT]],Lista_CUIT[#All],2,0)),"CUIT NO CARGADO")</f>
        <v>-</v>
      </c>
      <c r="H656" s="64">
        <f>ventas_b_mes11[[#This Row],[TOTAL]]/1.21</f>
        <v>0</v>
      </c>
      <c r="I656" s="183">
        <f>ventas_b_mes11[[#This Row],[IMPORTE NETO]]*0.21</f>
        <v>0</v>
      </c>
      <c r="J656" s="184"/>
      <c r="K656" s="184"/>
      <c r="L656" s="184"/>
      <c r="M656" s="59"/>
    </row>
    <row r="657" spans="2:13" x14ac:dyDescent="0.3">
      <c r="B657" s="178"/>
      <c r="C657" s="179"/>
      <c r="D657" s="180"/>
      <c r="E657" s="181"/>
      <c r="F657" s="182"/>
      <c r="G657" s="1" t="str">
        <f>IFERROR(IF(ventas_b_mes11[[#This Row],[CUIT]]="","-",VLOOKUP(ventas_b_mes11[[#This Row],[CUIT]],Lista_CUIT[#All],2,0)),"CUIT NO CARGADO")</f>
        <v>-</v>
      </c>
      <c r="H657" s="64">
        <f>ventas_b_mes11[[#This Row],[TOTAL]]/1.21</f>
        <v>0</v>
      </c>
      <c r="I657" s="183">
        <f>ventas_b_mes11[[#This Row],[IMPORTE NETO]]*0.21</f>
        <v>0</v>
      </c>
      <c r="J657" s="184"/>
      <c r="K657" s="184"/>
      <c r="L657" s="184"/>
      <c r="M657" s="59"/>
    </row>
    <row r="658" spans="2:13" x14ac:dyDescent="0.3">
      <c r="B658" s="178"/>
      <c r="C658" s="179"/>
      <c r="D658" s="180"/>
      <c r="E658" s="181"/>
      <c r="F658" s="182"/>
      <c r="G658" s="1" t="str">
        <f>IFERROR(IF(ventas_b_mes11[[#This Row],[CUIT]]="","-",VLOOKUP(ventas_b_mes11[[#This Row],[CUIT]],Lista_CUIT[#All],2,0)),"CUIT NO CARGADO")</f>
        <v>-</v>
      </c>
      <c r="H658" s="64">
        <f>ventas_b_mes11[[#This Row],[TOTAL]]/1.21</f>
        <v>0</v>
      </c>
      <c r="I658" s="183">
        <f>ventas_b_mes11[[#This Row],[IMPORTE NETO]]*0.21</f>
        <v>0</v>
      </c>
      <c r="J658" s="184"/>
      <c r="K658" s="184"/>
      <c r="L658" s="184"/>
      <c r="M658" s="59"/>
    </row>
    <row r="659" spans="2:13" x14ac:dyDescent="0.3">
      <c r="B659" s="178"/>
      <c r="C659" s="179"/>
      <c r="D659" s="180"/>
      <c r="E659" s="181"/>
      <c r="F659" s="182"/>
      <c r="G659" s="1" t="str">
        <f>IFERROR(IF(ventas_b_mes11[[#This Row],[CUIT]]="","-",VLOOKUP(ventas_b_mes11[[#This Row],[CUIT]],Lista_CUIT[#All],2,0)),"CUIT NO CARGADO")</f>
        <v>-</v>
      </c>
      <c r="H659" s="64">
        <f>ventas_b_mes11[[#This Row],[TOTAL]]/1.21</f>
        <v>0</v>
      </c>
      <c r="I659" s="183">
        <f>ventas_b_mes11[[#This Row],[IMPORTE NETO]]*0.21</f>
        <v>0</v>
      </c>
      <c r="J659" s="184"/>
      <c r="K659" s="184"/>
      <c r="L659" s="184"/>
      <c r="M659" s="59"/>
    </row>
    <row r="660" spans="2:13" x14ac:dyDescent="0.3">
      <c r="B660" s="178"/>
      <c r="C660" s="179"/>
      <c r="D660" s="180"/>
      <c r="E660" s="181"/>
      <c r="F660" s="182"/>
      <c r="G660" s="1" t="str">
        <f>IFERROR(IF(ventas_b_mes11[[#This Row],[CUIT]]="","-",VLOOKUP(ventas_b_mes11[[#This Row],[CUIT]],Lista_CUIT[#All],2,0)),"CUIT NO CARGADO")</f>
        <v>-</v>
      </c>
      <c r="H660" s="64">
        <f>ventas_b_mes11[[#This Row],[TOTAL]]/1.21</f>
        <v>0</v>
      </c>
      <c r="I660" s="183">
        <f>ventas_b_mes11[[#This Row],[IMPORTE NETO]]*0.21</f>
        <v>0</v>
      </c>
      <c r="J660" s="184"/>
      <c r="K660" s="184"/>
      <c r="L660" s="184"/>
      <c r="M660" s="59"/>
    </row>
    <row r="661" spans="2:13" x14ac:dyDescent="0.3">
      <c r="B661" s="178"/>
      <c r="C661" s="179"/>
      <c r="D661" s="180"/>
      <c r="E661" s="181"/>
      <c r="F661" s="182"/>
      <c r="G661" s="1" t="str">
        <f>IFERROR(IF(ventas_b_mes11[[#This Row],[CUIT]]="","-",VLOOKUP(ventas_b_mes11[[#This Row],[CUIT]],Lista_CUIT[#All],2,0)),"CUIT NO CARGADO")</f>
        <v>-</v>
      </c>
      <c r="H661" s="64">
        <f>ventas_b_mes11[[#This Row],[TOTAL]]/1.21</f>
        <v>0</v>
      </c>
      <c r="I661" s="183">
        <f>ventas_b_mes11[[#This Row],[IMPORTE NETO]]*0.21</f>
        <v>0</v>
      </c>
      <c r="J661" s="184"/>
      <c r="K661" s="184"/>
      <c r="L661" s="184"/>
      <c r="M661" s="59"/>
    </row>
    <row r="662" spans="2:13" x14ac:dyDescent="0.3">
      <c r="B662" s="178"/>
      <c r="C662" s="179"/>
      <c r="D662" s="180"/>
      <c r="E662" s="181"/>
      <c r="F662" s="182"/>
      <c r="G662" s="1" t="str">
        <f>IFERROR(IF(ventas_b_mes11[[#This Row],[CUIT]]="","-",VLOOKUP(ventas_b_mes11[[#This Row],[CUIT]],Lista_CUIT[#All],2,0)),"CUIT NO CARGADO")</f>
        <v>-</v>
      </c>
      <c r="H662" s="64">
        <f>ventas_b_mes11[[#This Row],[TOTAL]]/1.21</f>
        <v>0</v>
      </c>
      <c r="I662" s="183">
        <f>ventas_b_mes11[[#This Row],[IMPORTE NETO]]*0.21</f>
        <v>0</v>
      </c>
      <c r="J662" s="184"/>
      <c r="K662" s="184"/>
      <c r="L662" s="184"/>
      <c r="M662" s="59"/>
    </row>
    <row r="663" spans="2:13" x14ac:dyDescent="0.3">
      <c r="B663" s="178"/>
      <c r="C663" s="179"/>
      <c r="D663" s="180"/>
      <c r="E663" s="181"/>
      <c r="F663" s="182"/>
      <c r="G663" s="1" t="str">
        <f>IFERROR(IF(ventas_b_mes11[[#This Row],[CUIT]]="","-",VLOOKUP(ventas_b_mes11[[#This Row],[CUIT]],Lista_CUIT[#All],2,0)),"CUIT NO CARGADO")</f>
        <v>-</v>
      </c>
      <c r="H663" s="64">
        <f>ventas_b_mes11[[#This Row],[TOTAL]]/1.21</f>
        <v>0</v>
      </c>
      <c r="I663" s="183">
        <f>ventas_b_mes11[[#This Row],[IMPORTE NETO]]*0.21</f>
        <v>0</v>
      </c>
      <c r="J663" s="184"/>
      <c r="K663" s="184"/>
      <c r="L663" s="184"/>
      <c r="M663" s="59"/>
    </row>
    <row r="664" spans="2:13" x14ac:dyDescent="0.3">
      <c r="B664" s="178"/>
      <c r="C664" s="179"/>
      <c r="D664" s="180"/>
      <c r="E664" s="181"/>
      <c r="F664" s="182"/>
      <c r="G664" s="1" t="str">
        <f>IFERROR(IF(ventas_b_mes11[[#This Row],[CUIT]]="","-",VLOOKUP(ventas_b_mes11[[#This Row],[CUIT]],Lista_CUIT[#All],2,0)),"CUIT NO CARGADO")</f>
        <v>-</v>
      </c>
      <c r="H664" s="64">
        <f>ventas_b_mes11[[#This Row],[TOTAL]]/1.21</f>
        <v>0</v>
      </c>
      <c r="I664" s="183">
        <f>ventas_b_mes11[[#This Row],[IMPORTE NETO]]*0.21</f>
        <v>0</v>
      </c>
      <c r="J664" s="184"/>
      <c r="K664" s="184"/>
      <c r="L664" s="184"/>
      <c r="M664" s="59"/>
    </row>
    <row r="665" spans="2:13" x14ac:dyDescent="0.3">
      <c r="B665" s="178"/>
      <c r="C665" s="179"/>
      <c r="D665" s="180"/>
      <c r="E665" s="181"/>
      <c r="F665" s="182"/>
      <c r="G665" s="1" t="str">
        <f>IFERROR(IF(ventas_b_mes11[[#This Row],[CUIT]]="","-",VLOOKUP(ventas_b_mes11[[#This Row],[CUIT]],Lista_CUIT[#All],2,0)),"CUIT NO CARGADO")</f>
        <v>-</v>
      </c>
      <c r="H665" s="64">
        <f>ventas_b_mes11[[#This Row],[TOTAL]]/1.21</f>
        <v>0</v>
      </c>
      <c r="I665" s="183">
        <f>ventas_b_mes11[[#This Row],[IMPORTE NETO]]*0.21</f>
        <v>0</v>
      </c>
      <c r="J665" s="184"/>
      <c r="K665" s="184"/>
      <c r="L665" s="184"/>
      <c r="M665" s="59"/>
    </row>
    <row r="666" spans="2:13" x14ac:dyDescent="0.3">
      <c r="B666" s="178"/>
      <c r="C666" s="179"/>
      <c r="D666" s="180"/>
      <c r="E666" s="181"/>
      <c r="F666" s="182"/>
      <c r="G666" s="1" t="str">
        <f>IFERROR(IF(ventas_b_mes11[[#This Row],[CUIT]]="","-",VLOOKUP(ventas_b_mes11[[#This Row],[CUIT]],Lista_CUIT[#All],2,0)),"CUIT NO CARGADO")</f>
        <v>-</v>
      </c>
      <c r="H666" s="64">
        <f>ventas_b_mes11[[#This Row],[TOTAL]]/1.21</f>
        <v>0</v>
      </c>
      <c r="I666" s="183">
        <f>ventas_b_mes11[[#This Row],[IMPORTE NETO]]*0.21</f>
        <v>0</v>
      </c>
      <c r="J666" s="184"/>
      <c r="K666" s="184"/>
      <c r="L666" s="184"/>
      <c r="M666" s="59"/>
    </row>
    <row r="667" spans="2:13" x14ac:dyDescent="0.3">
      <c r="B667" s="178"/>
      <c r="C667" s="179"/>
      <c r="D667" s="180"/>
      <c r="E667" s="181"/>
      <c r="F667" s="182"/>
      <c r="G667" s="1" t="str">
        <f>IFERROR(IF(ventas_b_mes11[[#This Row],[CUIT]]="","-",VLOOKUP(ventas_b_mes11[[#This Row],[CUIT]],Lista_CUIT[#All],2,0)),"CUIT NO CARGADO")</f>
        <v>-</v>
      </c>
      <c r="H667" s="64">
        <f>ventas_b_mes11[[#This Row],[TOTAL]]/1.21</f>
        <v>0</v>
      </c>
      <c r="I667" s="183">
        <f>ventas_b_mes11[[#This Row],[IMPORTE NETO]]*0.21</f>
        <v>0</v>
      </c>
      <c r="J667" s="184"/>
      <c r="K667" s="184"/>
      <c r="L667" s="184"/>
      <c r="M667" s="59"/>
    </row>
    <row r="668" spans="2:13" x14ac:dyDescent="0.3">
      <c r="B668" s="178"/>
      <c r="C668" s="179"/>
      <c r="D668" s="180"/>
      <c r="E668" s="181"/>
      <c r="F668" s="182"/>
      <c r="G668" s="1" t="str">
        <f>IFERROR(IF(ventas_b_mes11[[#This Row],[CUIT]]="","-",VLOOKUP(ventas_b_mes11[[#This Row],[CUIT]],Lista_CUIT[#All],2,0)),"CUIT NO CARGADO")</f>
        <v>-</v>
      </c>
      <c r="H668" s="64">
        <f>ventas_b_mes11[[#This Row],[TOTAL]]/1.21</f>
        <v>0</v>
      </c>
      <c r="I668" s="183">
        <f>ventas_b_mes11[[#This Row],[IMPORTE NETO]]*0.21</f>
        <v>0</v>
      </c>
      <c r="J668" s="184"/>
      <c r="K668" s="184"/>
      <c r="L668" s="184"/>
      <c r="M668" s="59"/>
    </row>
    <row r="669" spans="2:13" x14ac:dyDescent="0.3">
      <c r="B669" s="178"/>
      <c r="C669" s="179"/>
      <c r="D669" s="180"/>
      <c r="E669" s="181"/>
      <c r="F669" s="182"/>
      <c r="G669" s="1" t="str">
        <f>IFERROR(IF(ventas_b_mes11[[#This Row],[CUIT]]="","-",VLOOKUP(ventas_b_mes11[[#This Row],[CUIT]],Lista_CUIT[#All],2,0)),"CUIT NO CARGADO")</f>
        <v>-</v>
      </c>
      <c r="H669" s="64">
        <f>ventas_b_mes11[[#This Row],[TOTAL]]/1.21</f>
        <v>0</v>
      </c>
      <c r="I669" s="183">
        <f>ventas_b_mes11[[#This Row],[IMPORTE NETO]]*0.21</f>
        <v>0</v>
      </c>
      <c r="J669" s="184"/>
      <c r="K669" s="184"/>
      <c r="L669" s="184"/>
      <c r="M669" s="59"/>
    </row>
    <row r="670" spans="2:13" x14ac:dyDescent="0.3">
      <c r="B670" s="178"/>
      <c r="C670" s="179"/>
      <c r="D670" s="180"/>
      <c r="E670" s="181"/>
      <c r="F670" s="182"/>
      <c r="G670" s="1" t="str">
        <f>IFERROR(IF(ventas_b_mes11[[#This Row],[CUIT]]="","-",VLOOKUP(ventas_b_mes11[[#This Row],[CUIT]],Lista_CUIT[#All],2,0)),"CUIT NO CARGADO")</f>
        <v>-</v>
      </c>
      <c r="H670" s="64">
        <f>ventas_b_mes11[[#This Row],[TOTAL]]/1.21</f>
        <v>0</v>
      </c>
      <c r="I670" s="183">
        <f>ventas_b_mes11[[#This Row],[IMPORTE NETO]]*0.21</f>
        <v>0</v>
      </c>
      <c r="J670" s="184"/>
      <c r="K670" s="184"/>
      <c r="L670" s="184"/>
      <c r="M670" s="59"/>
    </row>
    <row r="671" spans="2:13" x14ac:dyDescent="0.3">
      <c r="B671" s="178"/>
      <c r="C671" s="179"/>
      <c r="D671" s="180"/>
      <c r="E671" s="181"/>
      <c r="F671" s="182"/>
      <c r="G671" s="1" t="str">
        <f>IFERROR(IF(ventas_b_mes11[[#This Row],[CUIT]]="","-",VLOOKUP(ventas_b_mes11[[#This Row],[CUIT]],Lista_CUIT[#All],2,0)),"CUIT NO CARGADO")</f>
        <v>-</v>
      </c>
      <c r="H671" s="64">
        <f>ventas_b_mes11[[#This Row],[TOTAL]]/1.21</f>
        <v>0</v>
      </c>
      <c r="I671" s="183">
        <f>ventas_b_mes11[[#This Row],[IMPORTE NETO]]*0.21</f>
        <v>0</v>
      </c>
      <c r="J671" s="184"/>
      <c r="K671" s="184"/>
      <c r="L671" s="184"/>
      <c r="M671" s="59"/>
    </row>
    <row r="672" spans="2:13" x14ac:dyDescent="0.3">
      <c r="B672" s="178"/>
      <c r="C672" s="179"/>
      <c r="D672" s="180"/>
      <c r="E672" s="181"/>
      <c r="F672" s="182"/>
      <c r="G672" s="1" t="str">
        <f>IFERROR(IF(ventas_b_mes11[[#This Row],[CUIT]]="","-",VLOOKUP(ventas_b_mes11[[#This Row],[CUIT]],Lista_CUIT[#All],2,0)),"CUIT NO CARGADO")</f>
        <v>-</v>
      </c>
      <c r="H672" s="64">
        <f>ventas_b_mes11[[#This Row],[TOTAL]]/1.21</f>
        <v>0</v>
      </c>
      <c r="I672" s="183">
        <f>ventas_b_mes11[[#This Row],[IMPORTE NETO]]*0.21</f>
        <v>0</v>
      </c>
      <c r="J672" s="184"/>
      <c r="K672" s="184"/>
      <c r="L672" s="184"/>
      <c r="M672" s="59"/>
    </row>
    <row r="673" spans="2:13" x14ac:dyDescent="0.3">
      <c r="B673" s="178"/>
      <c r="C673" s="179"/>
      <c r="D673" s="180"/>
      <c r="E673" s="181"/>
      <c r="F673" s="182"/>
      <c r="G673" s="1" t="str">
        <f>IFERROR(IF(ventas_b_mes11[[#This Row],[CUIT]]="","-",VLOOKUP(ventas_b_mes11[[#This Row],[CUIT]],Lista_CUIT[#All],2,0)),"CUIT NO CARGADO")</f>
        <v>-</v>
      </c>
      <c r="H673" s="64">
        <f>ventas_b_mes11[[#This Row],[TOTAL]]/1.21</f>
        <v>0</v>
      </c>
      <c r="I673" s="183">
        <f>ventas_b_mes11[[#This Row],[IMPORTE NETO]]*0.21</f>
        <v>0</v>
      </c>
      <c r="J673" s="184"/>
      <c r="K673" s="184"/>
      <c r="L673" s="184"/>
      <c r="M673" s="59"/>
    </row>
    <row r="674" spans="2:13" x14ac:dyDescent="0.3">
      <c r="B674" s="178"/>
      <c r="C674" s="179"/>
      <c r="D674" s="180"/>
      <c r="E674" s="181"/>
      <c r="F674" s="182"/>
      <c r="G674" s="1" t="str">
        <f>IFERROR(IF(ventas_b_mes11[[#This Row],[CUIT]]="","-",VLOOKUP(ventas_b_mes11[[#This Row],[CUIT]],Lista_CUIT[#All],2,0)),"CUIT NO CARGADO")</f>
        <v>-</v>
      </c>
      <c r="H674" s="64">
        <f>ventas_b_mes11[[#This Row],[TOTAL]]/1.21</f>
        <v>0</v>
      </c>
      <c r="I674" s="183">
        <f>ventas_b_mes11[[#This Row],[IMPORTE NETO]]*0.21</f>
        <v>0</v>
      </c>
      <c r="J674" s="184"/>
      <c r="K674" s="184"/>
      <c r="L674" s="184"/>
      <c r="M674" s="59"/>
    </row>
    <row r="675" spans="2:13" x14ac:dyDescent="0.3">
      <c r="B675" s="178"/>
      <c r="C675" s="179"/>
      <c r="D675" s="180"/>
      <c r="E675" s="181"/>
      <c r="F675" s="182"/>
      <c r="G675" s="1" t="str">
        <f>IFERROR(IF(ventas_b_mes11[[#This Row],[CUIT]]="","-",VLOOKUP(ventas_b_mes11[[#This Row],[CUIT]],Lista_CUIT[#All],2,0)),"CUIT NO CARGADO")</f>
        <v>-</v>
      </c>
      <c r="H675" s="64">
        <f>ventas_b_mes11[[#This Row],[TOTAL]]/1.21</f>
        <v>0</v>
      </c>
      <c r="I675" s="183">
        <f>ventas_b_mes11[[#This Row],[IMPORTE NETO]]*0.21</f>
        <v>0</v>
      </c>
      <c r="J675" s="184"/>
      <c r="K675" s="184"/>
      <c r="L675" s="184"/>
      <c r="M675" s="59"/>
    </row>
    <row r="676" spans="2:13" x14ac:dyDescent="0.3">
      <c r="B676" s="178"/>
      <c r="C676" s="179"/>
      <c r="D676" s="180"/>
      <c r="E676" s="181"/>
      <c r="F676" s="182"/>
      <c r="G676" s="1" t="str">
        <f>IFERROR(IF(ventas_b_mes11[[#This Row],[CUIT]]="","-",VLOOKUP(ventas_b_mes11[[#This Row],[CUIT]],Lista_CUIT[#All],2,0)),"CUIT NO CARGADO")</f>
        <v>-</v>
      </c>
      <c r="H676" s="64">
        <f>ventas_b_mes11[[#This Row],[TOTAL]]/1.21</f>
        <v>0</v>
      </c>
      <c r="I676" s="183">
        <f>ventas_b_mes11[[#This Row],[IMPORTE NETO]]*0.21</f>
        <v>0</v>
      </c>
      <c r="J676" s="184"/>
      <c r="K676" s="184"/>
      <c r="L676" s="184"/>
      <c r="M676" s="59"/>
    </row>
    <row r="677" spans="2:13" x14ac:dyDescent="0.3">
      <c r="B677" s="178"/>
      <c r="C677" s="179"/>
      <c r="D677" s="180"/>
      <c r="E677" s="181"/>
      <c r="F677" s="182"/>
      <c r="G677" s="1" t="str">
        <f>IFERROR(IF(ventas_b_mes11[[#This Row],[CUIT]]="","-",VLOOKUP(ventas_b_mes11[[#This Row],[CUIT]],Lista_CUIT[#All],2,0)),"CUIT NO CARGADO")</f>
        <v>-</v>
      </c>
      <c r="H677" s="64">
        <f>ventas_b_mes11[[#This Row],[TOTAL]]/1.21</f>
        <v>0</v>
      </c>
      <c r="I677" s="183">
        <f>ventas_b_mes11[[#This Row],[IMPORTE NETO]]*0.21</f>
        <v>0</v>
      </c>
      <c r="J677" s="184"/>
      <c r="K677" s="184"/>
      <c r="L677" s="184"/>
      <c r="M677" s="59"/>
    </row>
    <row r="678" spans="2:13" x14ac:dyDescent="0.3">
      <c r="B678" s="178"/>
      <c r="C678" s="179"/>
      <c r="D678" s="180"/>
      <c r="E678" s="181"/>
      <c r="F678" s="182"/>
      <c r="G678" s="1" t="str">
        <f>IFERROR(IF(ventas_b_mes11[[#This Row],[CUIT]]="","-",VLOOKUP(ventas_b_mes11[[#This Row],[CUIT]],Lista_CUIT[#All],2,0)),"CUIT NO CARGADO")</f>
        <v>-</v>
      </c>
      <c r="H678" s="64">
        <f>ventas_b_mes11[[#This Row],[TOTAL]]/1.21</f>
        <v>0</v>
      </c>
      <c r="I678" s="183">
        <f>ventas_b_mes11[[#This Row],[IMPORTE NETO]]*0.21</f>
        <v>0</v>
      </c>
      <c r="J678" s="184"/>
      <c r="K678" s="184"/>
      <c r="L678" s="184"/>
      <c r="M678" s="59"/>
    </row>
    <row r="679" spans="2:13" x14ac:dyDescent="0.3">
      <c r="B679" s="178"/>
      <c r="C679" s="179"/>
      <c r="D679" s="180"/>
      <c r="E679" s="181"/>
      <c r="F679" s="182"/>
      <c r="G679" s="1" t="str">
        <f>IFERROR(IF(ventas_b_mes11[[#This Row],[CUIT]]="","-",VLOOKUP(ventas_b_mes11[[#This Row],[CUIT]],Lista_CUIT[#All],2,0)),"CUIT NO CARGADO")</f>
        <v>-</v>
      </c>
      <c r="H679" s="64">
        <f>ventas_b_mes11[[#This Row],[TOTAL]]/1.21</f>
        <v>0</v>
      </c>
      <c r="I679" s="183">
        <f>ventas_b_mes11[[#This Row],[IMPORTE NETO]]*0.21</f>
        <v>0</v>
      </c>
      <c r="J679" s="184"/>
      <c r="K679" s="184"/>
      <c r="L679" s="184"/>
      <c r="M679" s="59"/>
    </row>
    <row r="680" spans="2:13" x14ac:dyDescent="0.3">
      <c r="B680" s="178"/>
      <c r="C680" s="179"/>
      <c r="D680" s="180"/>
      <c r="E680" s="181"/>
      <c r="F680" s="182"/>
      <c r="G680" s="1" t="str">
        <f>IFERROR(IF(ventas_b_mes11[[#This Row],[CUIT]]="","-",VLOOKUP(ventas_b_mes11[[#This Row],[CUIT]],Lista_CUIT[#All],2,0)),"CUIT NO CARGADO")</f>
        <v>-</v>
      </c>
      <c r="H680" s="64">
        <f>ventas_b_mes11[[#This Row],[TOTAL]]/1.21</f>
        <v>0</v>
      </c>
      <c r="I680" s="183">
        <f>ventas_b_mes11[[#This Row],[IMPORTE NETO]]*0.21</f>
        <v>0</v>
      </c>
      <c r="J680" s="184"/>
      <c r="K680" s="184"/>
      <c r="L680" s="184"/>
      <c r="M680" s="59"/>
    </row>
    <row r="681" spans="2:13" x14ac:dyDescent="0.3">
      <c r="B681" s="178"/>
      <c r="C681" s="179"/>
      <c r="D681" s="180"/>
      <c r="E681" s="181"/>
      <c r="F681" s="182"/>
      <c r="G681" s="1" t="str">
        <f>IFERROR(IF(ventas_b_mes11[[#This Row],[CUIT]]="","-",VLOOKUP(ventas_b_mes11[[#This Row],[CUIT]],Lista_CUIT[#All],2,0)),"CUIT NO CARGADO")</f>
        <v>-</v>
      </c>
      <c r="H681" s="64">
        <f>ventas_b_mes11[[#This Row],[TOTAL]]/1.21</f>
        <v>0</v>
      </c>
      <c r="I681" s="183">
        <f>ventas_b_mes11[[#This Row],[IMPORTE NETO]]*0.21</f>
        <v>0</v>
      </c>
      <c r="J681" s="184"/>
      <c r="K681" s="184"/>
      <c r="L681" s="184"/>
      <c r="M681" s="59"/>
    </row>
    <row r="682" spans="2:13" x14ac:dyDescent="0.3">
      <c r="B682" s="178"/>
      <c r="C682" s="179"/>
      <c r="D682" s="180"/>
      <c r="E682" s="181"/>
      <c r="F682" s="182"/>
      <c r="G682" s="1" t="str">
        <f>IFERROR(IF(ventas_b_mes11[[#This Row],[CUIT]]="","-",VLOOKUP(ventas_b_mes11[[#This Row],[CUIT]],Lista_CUIT[#All],2,0)),"CUIT NO CARGADO")</f>
        <v>-</v>
      </c>
      <c r="H682" s="64">
        <f>ventas_b_mes11[[#This Row],[TOTAL]]/1.21</f>
        <v>0</v>
      </c>
      <c r="I682" s="183">
        <f>ventas_b_mes11[[#This Row],[IMPORTE NETO]]*0.21</f>
        <v>0</v>
      </c>
      <c r="J682" s="184"/>
      <c r="K682" s="184"/>
      <c r="L682" s="184"/>
      <c r="M682" s="59"/>
    </row>
    <row r="683" spans="2:13" x14ac:dyDescent="0.3">
      <c r="B683" s="178"/>
      <c r="C683" s="179"/>
      <c r="D683" s="180"/>
      <c r="E683" s="181"/>
      <c r="F683" s="182"/>
      <c r="G683" s="1" t="str">
        <f>IFERROR(IF(ventas_b_mes11[[#This Row],[CUIT]]="","-",VLOOKUP(ventas_b_mes11[[#This Row],[CUIT]],Lista_CUIT[#All],2,0)),"CUIT NO CARGADO")</f>
        <v>-</v>
      </c>
      <c r="H683" s="64">
        <f>ventas_b_mes11[[#This Row],[TOTAL]]/1.21</f>
        <v>0</v>
      </c>
      <c r="I683" s="183">
        <f>ventas_b_mes11[[#This Row],[IMPORTE NETO]]*0.21</f>
        <v>0</v>
      </c>
      <c r="J683" s="184"/>
      <c r="K683" s="184"/>
      <c r="L683" s="184"/>
      <c r="M683" s="59"/>
    </row>
    <row r="684" spans="2:13" x14ac:dyDescent="0.3">
      <c r="B684" s="178"/>
      <c r="C684" s="179"/>
      <c r="D684" s="180"/>
      <c r="E684" s="181"/>
      <c r="F684" s="182"/>
      <c r="G684" s="1" t="str">
        <f>IFERROR(IF(ventas_b_mes11[[#This Row],[CUIT]]="","-",VLOOKUP(ventas_b_mes11[[#This Row],[CUIT]],Lista_CUIT[#All],2,0)),"CUIT NO CARGADO")</f>
        <v>-</v>
      </c>
      <c r="H684" s="64">
        <f>ventas_b_mes11[[#This Row],[TOTAL]]/1.21</f>
        <v>0</v>
      </c>
      <c r="I684" s="183">
        <f>ventas_b_mes11[[#This Row],[IMPORTE NETO]]*0.21</f>
        <v>0</v>
      </c>
      <c r="J684" s="184"/>
      <c r="K684" s="184"/>
      <c r="L684" s="184"/>
      <c r="M684" s="59"/>
    </row>
    <row r="685" spans="2:13" x14ac:dyDescent="0.3">
      <c r="B685" s="178"/>
      <c r="C685" s="179"/>
      <c r="D685" s="180"/>
      <c r="E685" s="181"/>
      <c r="F685" s="182"/>
      <c r="G685" s="1" t="str">
        <f>IFERROR(IF(ventas_b_mes11[[#This Row],[CUIT]]="","-",VLOOKUP(ventas_b_mes11[[#This Row],[CUIT]],Lista_CUIT[#All],2,0)),"CUIT NO CARGADO")</f>
        <v>-</v>
      </c>
      <c r="H685" s="64">
        <f>ventas_b_mes11[[#This Row],[TOTAL]]/1.21</f>
        <v>0</v>
      </c>
      <c r="I685" s="183">
        <f>ventas_b_mes11[[#This Row],[IMPORTE NETO]]*0.21</f>
        <v>0</v>
      </c>
      <c r="J685" s="184"/>
      <c r="K685" s="184"/>
      <c r="L685" s="184"/>
      <c r="M685" s="59"/>
    </row>
    <row r="686" spans="2:13" x14ac:dyDescent="0.3">
      <c r="B686" s="178"/>
      <c r="C686" s="179"/>
      <c r="D686" s="180"/>
      <c r="E686" s="181"/>
      <c r="F686" s="182"/>
      <c r="G686" s="1" t="str">
        <f>IFERROR(IF(ventas_b_mes11[[#This Row],[CUIT]]="","-",VLOOKUP(ventas_b_mes11[[#This Row],[CUIT]],Lista_CUIT[#All],2,0)),"CUIT NO CARGADO")</f>
        <v>-</v>
      </c>
      <c r="H686" s="64">
        <f>ventas_b_mes11[[#This Row],[TOTAL]]/1.21</f>
        <v>0</v>
      </c>
      <c r="I686" s="183">
        <f>ventas_b_mes11[[#This Row],[IMPORTE NETO]]*0.21</f>
        <v>0</v>
      </c>
      <c r="J686" s="184"/>
      <c r="K686" s="184"/>
      <c r="L686" s="184"/>
      <c r="M686" s="59"/>
    </row>
    <row r="687" spans="2:13" x14ac:dyDescent="0.3">
      <c r="B687" s="178"/>
      <c r="C687" s="179"/>
      <c r="D687" s="180"/>
      <c r="E687" s="181"/>
      <c r="F687" s="182"/>
      <c r="G687" s="1" t="str">
        <f>IFERROR(IF(ventas_b_mes11[[#This Row],[CUIT]]="","-",VLOOKUP(ventas_b_mes11[[#This Row],[CUIT]],Lista_CUIT[#All],2,0)),"CUIT NO CARGADO")</f>
        <v>-</v>
      </c>
      <c r="H687" s="64">
        <f>ventas_b_mes11[[#This Row],[TOTAL]]/1.21</f>
        <v>0</v>
      </c>
      <c r="I687" s="183">
        <f>ventas_b_mes11[[#This Row],[IMPORTE NETO]]*0.21</f>
        <v>0</v>
      </c>
      <c r="J687" s="184"/>
      <c r="K687" s="184"/>
      <c r="L687" s="184"/>
      <c r="M687" s="59"/>
    </row>
    <row r="688" spans="2:13" x14ac:dyDescent="0.3">
      <c r="B688" s="178"/>
      <c r="C688" s="179"/>
      <c r="D688" s="180"/>
      <c r="E688" s="181"/>
      <c r="F688" s="182"/>
      <c r="G688" s="1" t="str">
        <f>IFERROR(IF(ventas_b_mes11[[#This Row],[CUIT]]="","-",VLOOKUP(ventas_b_mes11[[#This Row],[CUIT]],Lista_CUIT[#All],2,0)),"CUIT NO CARGADO")</f>
        <v>-</v>
      </c>
      <c r="H688" s="64">
        <f>ventas_b_mes11[[#This Row],[TOTAL]]/1.21</f>
        <v>0</v>
      </c>
      <c r="I688" s="183">
        <f>ventas_b_mes11[[#This Row],[IMPORTE NETO]]*0.21</f>
        <v>0</v>
      </c>
      <c r="J688" s="184"/>
      <c r="K688" s="184"/>
      <c r="L688" s="184"/>
      <c r="M688" s="59"/>
    </row>
    <row r="689" spans="2:13" x14ac:dyDescent="0.3">
      <c r="B689" s="178"/>
      <c r="C689" s="179"/>
      <c r="D689" s="180"/>
      <c r="E689" s="181"/>
      <c r="F689" s="182"/>
      <c r="G689" s="1" t="str">
        <f>IFERROR(IF(ventas_b_mes11[[#This Row],[CUIT]]="","-",VLOOKUP(ventas_b_mes11[[#This Row],[CUIT]],Lista_CUIT[#All],2,0)),"CUIT NO CARGADO")</f>
        <v>-</v>
      </c>
      <c r="H689" s="64">
        <f>ventas_b_mes11[[#This Row],[TOTAL]]/1.21</f>
        <v>0</v>
      </c>
      <c r="I689" s="183">
        <f>ventas_b_mes11[[#This Row],[IMPORTE NETO]]*0.21</f>
        <v>0</v>
      </c>
      <c r="J689" s="184"/>
      <c r="K689" s="184"/>
      <c r="L689" s="184"/>
      <c r="M689" s="59"/>
    </row>
    <row r="690" spans="2:13" x14ac:dyDescent="0.3">
      <c r="B690" s="178"/>
      <c r="C690" s="179"/>
      <c r="D690" s="180"/>
      <c r="E690" s="181"/>
      <c r="F690" s="182"/>
      <c r="G690" s="1" t="str">
        <f>IFERROR(IF(ventas_b_mes11[[#This Row],[CUIT]]="","-",VLOOKUP(ventas_b_mes11[[#This Row],[CUIT]],Lista_CUIT[#All],2,0)),"CUIT NO CARGADO")</f>
        <v>-</v>
      </c>
      <c r="H690" s="64">
        <f>ventas_b_mes11[[#This Row],[TOTAL]]/1.21</f>
        <v>0</v>
      </c>
      <c r="I690" s="183">
        <f>ventas_b_mes11[[#This Row],[IMPORTE NETO]]*0.21</f>
        <v>0</v>
      </c>
      <c r="J690" s="184"/>
      <c r="K690" s="184"/>
      <c r="L690" s="184"/>
      <c r="M690" s="59"/>
    </row>
    <row r="691" spans="2:13" x14ac:dyDescent="0.3">
      <c r="B691" s="178"/>
      <c r="C691" s="179"/>
      <c r="D691" s="180"/>
      <c r="E691" s="181"/>
      <c r="F691" s="182"/>
      <c r="G691" s="1" t="str">
        <f>IFERROR(IF(ventas_b_mes11[[#This Row],[CUIT]]="","-",VLOOKUP(ventas_b_mes11[[#This Row],[CUIT]],Lista_CUIT[#All],2,0)),"CUIT NO CARGADO")</f>
        <v>-</v>
      </c>
      <c r="H691" s="64">
        <f>ventas_b_mes11[[#This Row],[TOTAL]]/1.21</f>
        <v>0</v>
      </c>
      <c r="I691" s="183">
        <f>ventas_b_mes11[[#This Row],[IMPORTE NETO]]*0.21</f>
        <v>0</v>
      </c>
      <c r="J691" s="184"/>
      <c r="K691" s="184"/>
      <c r="L691" s="184"/>
      <c r="M691" s="59"/>
    </row>
    <row r="692" spans="2:13" x14ac:dyDescent="0.3">
      <c r="B692" s="178"/>
      <c r="C692" s="179"/>
      <c r="D692" s="180"/>
      <c r="E692" s="181"/>
      <c r="F692" s="182"/>
      <c r="G692" s="1" t="str">
        <f>IFERROR(IF(ventas_b_mes11[[#This Row],[CUIT]]="","-",VLOOKUP(ventas_b_mes11[[#This Row],[CUIT]],Lista_CUIT[#All],2,0)),"CUIT NO CARGADO")</f>
        <v>-</v>
      </c>
      <c r="H692" s="64">
        <f>ventas_b_mes11[[#This Row],[TOTAL]]/1.21</f>
        <v>0</v>
      </c>
      <c r="I692" s="183">
        <f>ventas_b_mes11[[#This Row],[IMPORTE NETO]]*0.21</f>
        <v>0</v>
      </c>
      <c r="J692" s="184"/>
      <c r="K692" s="184"/>
      <c r="L692" s="184"/>
      <c r="M692" s="59"/>
    </row>
    <row r="693" spans="2:13" x14ac:dyDescent="0.3">
      <c r="B693" s="178"/>
      <c r="C693" s="179"/>
      <c r="D693" s="180"/>
      <c r="E693" s="181"/>
      <c r="F693" s="182"/>
      <c r="G693" s="1" t="str">
        <f>IFERROR(IF(ventas_b_mes11[[#This Row],[CUIT]]="","-",VLOOKUP(ventas_b_mes11[[#This Row],[CUIT]],Lista_CUIT[#All],2,0)),"CUIT NO CARGADO")</f>
        <v>-</v>
      </c>
      <c r="H693" s="64">
        <f>ventas_b_mes11[[#This Row],[TOTAL]]/1.21</f>
        <v>0</v>
      </c>
      <c r="I693" s="183">
        <f>ventas_b_mes11[[#This Row],[IMPORTE NETO]]*0.21</f>
        <v>0</v>
      </c>
      <c r="J693" s="184"/>
      <c r="K693" s="184"/>
      <c r="L693" s="184"/>
      <c r="M693" s="59"/>
    </row>
    <row r="694" spans="2:13" x14ac:dyDescent="0.3">
      <c r="B694" s="178"/>
      <c r="C694" s="179"/>
      <c r="D694" s="180"/>
      <c r="E694" s="181"/>
      <c r="F694" s="182"/>
      <c r="G694" s="1" t="str">
        <f>IFERROR(IF(ventas_b_mes11[[#This Row],[CUIT]]="","-",VLOOKUP(ventas_b_mes11[[#This Row],[CUIT]],Lista_CUIT[#All],2,0)),"CUIT NO CARGADO")</f>
        <v>-</v>
      </c>
      <c r="H694" s="64">
        <f>ventas_b_mes11[[#This Row],[TOTAL]]/1.21</f>
        <v>0</v>
      </c>
      <c r="I694" s="183">
        <f>ventas_b_mes11[[#This Row],[IMPORTE NETO]]*0.21</f>
        <v>0</v>
      </c>
      <c r="J694" s="184"/>
      <c r="K694" s="184"/>
      <c r="L694" s="184"/>
      <c r="M694" s="59"/>
    </row>
    <row r="695" spans="2:13" x14ac:dyDescent="0.3">
      <c r="B695" s="178"/>
      <c r="C695" s="179"/>
      <c r="D695" s="180"/>
      <c r="E695" s="181"/>
      <c r="F695" s="182"/>
      <c r="G695" s="1" t="str">
        <f>IFERROR(IF(ventas_b_mes11[[#This Row],[CUIT]]="","-",VLOOKUP(ventas_b_mes11[[#This Row],[CUIT]],Lista_CUIT[#All],2,0)),"CUIT NO CARGADO")</f>
        <v>-</v>
      </c>
      <c r="H695" s="64">
        <f>ventas_b_mes11[[#This Row],[TOTAL]]/1.21</f>
        <v>0</v>
      </c>
      <c r="I695" s="183">
        <f>ventas_b_mes11[[#This Row],[IMPORTE NETO]]*0.21</f>
        <v>0</v>
      </c>
      <c r="J695" s="184"/>
      <c r="K695" s="184"/>
      <c r="L695" s="184"/>
      <c r="M695" s="59"/>
    </row>
    <row r="696" spans="2:13" x14ac:dyDescent="0.3">
      <c r="B696" s="178"/>
      <c r="C696" s="179"/>
      <c r="D696" s="180"/>
      <c r="E696" s="181"/>
      <c r="F696" s="182"/>
      <c r="G696" s="1" t="str">
        <f>IFERROR(IF(ventas_b_mes11[[#This Row],[CUIT]]="","-",VLOOKUP(ventas_b_mes11[[#This Row],[CUIT]],Lista_CUIT[#All],2,0)),"CUIT NO CARGADO")</f>
        <v>-</v>
      </c>
      <c r="H696" s="64">
        <f>ventas_b_mes11[[#This Row],[TOTAL]]/1.21</f>
        <v>0</v>
      </c>
      <c r="I696" s="183">
        <f>ventas_b_mes11[[#This Row],[IMPORTE NETO]]*0.21</f>
        <v>0</v>
      </c>
      <c r="J696" s="184"/>
      <c r="K696" s="184"/>
      <c r="L696" s="184"/>
      <c r="M696" s="59"/>
    </row>
    <row r="697" spans="2:13" x14ac:dyDescent="0.3">
      <c r="B697" s="178"/>
      <c r="C697" s="179"/>
      <c r="D697" s="180"/>
      <c r="E697" s="181"/>
      <c r="F697" s="182"/>
      <c r="G697" s="1" t="str">
        <f>IFERROR(IF(ventas_b_mes11[[#This Row],[CUIT]]="","-",VLOOKUP(ventas_b_mes11[[#This Row],[CUIT]],Lista_CUIT[#All],2,0)),"CUIT NO CARGADO")</f>
        <v>-</v>
      </c>
      <c r="H697" s="64">
        <f>ventas_b_mes11[[#This Row],[TOTAL]]/1.21</f>
        <v>0</v>
      </c>
      <c r="I697" s="183">
        <f>ventas_b_mes11[[#This Row],[IMPORTE NETO]]*0.21</f>
        <v>0</v>
      </c>
      <c r="J697" s="184"/>
      <c r="K697" s="184"/>
      <c r="L697" s="184"/>
      <c r="M697" s="59"/>
    </row>
    <row r="698" spans="2:13" x14ac:dyDescent="0.3">
      <c r="B698" s="178"/>
      <c r="C698" s="179"/>
      <c r="D698" s="180"/>
      <c r="E698" s="181"/>
      <c r="F698" s="182"/>
      <c r="G698" s="1" t="str">
        <f>IFERROR(IF(ventas_b_mes11[[#This Row],[CUIT]]="","-",VLOOKUP(ventas_b_mes11[[#This Row],[CUIT]],Lista_CUIT[#All],2,0)),"CUIT NO CARGADO")</f>
        <v>-</v>
      </c>
      <c r="H698" s="64">
        <f>ventas_b_mes11[[#This Row],[TOTAL]]/1.21</f>
        <v>0</v>
      </c>
      <c r="I698" s="183">
        <f>ventas_b_mes11[[#This Row],[IMPORTE NETO]]*0.21</f>
        <v>0</v>
      </c>
      <c r="J698" s="184"/>
      <c r="K698" s="184"/>
      <c r="L698" s="184"/>
      <c r="M698" s="59"/>
    </row>
    <row r="699" spans="2:13" x14ac:dyDescent="0.3">
      <c r="B699" s="178"/>
      <c r="C699" s="179"/>
      <c r="D699" s="180"/>
      <c r="E699" s="181"/>
      <c r="F699" s="182"/>
      <c r="G699" s="1" t="str">
        <f>IFERROR(IF(ventas_b_mes11[[#This Row],[CUIT]]="","-",VLOOKUP(ventas_b_mes11[[#This Row],[CUIT]],Lista_CUIT[#All],2,0)),"CUIT NO CARGADO")</f>
        <v>-</v>
      </c>
      <c r="H699" s="64">
        <f>ventas_b_mes11[[#This Row],[TOTAL]]/1.21</f>
        <v>0</v>
      </c>
      <c r="I699" s="183">
        <f>ventas_b_mes11[[#This Row],[IMPORTE NETO]]*0.21</f>
        <v>0</v>
      </c>
      <c r="J699" s="184"/>
      <c r="K699" s="184"/>
      <c r="L699" s="184"/>
      <c r="M699" s="59"/>
    </row>
    <row r="700" spans="2:13" x14ac:dyDescent="0.3">
      <c r="B700" s="178"/>
      <c r="C700" s="203"/>
      <c r="D700" s="180"/>
      <c r="E700" s="181"/>
      <c r="F700" s="182"/>
      <c r="G700" s="1" t="str">
        <f>IFERROR(IF(ventas_b_mes11[[#This Row],[CUIT]]="","-",VLOOKUP(ventas_b_mes11[[#This Row],[CUIT]],Lista_CUIT[#All],2,0)),"CUIT NO CARGADO")</f>
        <v>-</v>
      </c>
      <c r="H700" s="64">
        <f>ventas_b_mes11[[#This Row],[TOTAL]]/1.21</f>
        <v>0</v>
      </c>
      <c r="I700" s="183">
        <f>ventas_b_mes11[[#This Row],[IMPORTE NETO]]*0.21</f>
        <v>0</v>
      </c>
      <c r="J700" s="184"/>
      <c r="K700" s="184"/>
      <c r="L700" s="184"/>
      <c r="M700" s="59"/>
    </row>
    <row r="701" spans="2:13" x14ac:dyDescent="0.3">
      <c r="B701" s="178"/>
      <c r="C701" s="203"/>
      <c r="D701" s="180"/>
      <c r="E701" s="181"/>
      <c r="F701" s="182"/>
      <c r="G701" s="1" t="str">
        <f>IFERROR(IF(ventas_b_mes11[[#This Row],[CUIT]]="","-",VLOOKUP(ventas_b_mes11[[#This Row],[CUIT]],Lista_CUIT[#All],2,0)),"CUIT NO CARGADO")</f>
        <v>-</v>
      </c>
      <c r="H701" s="64">
        <f>ventas_b_mes11[[#This Row],[TOTAL]]/1.21</f>
        <v>0</v>
      </c>
      <c r="I701" s="183">
        <f>ventas_b_mes11[[#This Row],[IMPORTE NETO]]*0.21</f>
        <v>0</v>
      </c>
      <c r="J701" s="184"/>
      <c r="K701" s="184"/>
      <c r="L701" s="184"/>
      <c r="M701" s="59"/>
    </row>
    <row r="702" spans="2:13" x14ac:dyDescent="0.3">
      <c r="B702" s="178"/>
      <c r="C702" s="203"/>
      <c r="D702" s="180"/>
      <c r="E702" s="181"/>
      <c r="F702" s="182"/>
      <c r="G702" s="1" t="str">
        <f>IFERROR(IF(ventas_b_mes11[[#This Row],[CUIT]]="","-",VLOOKUP(ventas_b_mes11[[#This Row],[CUIT]],Lista_CUIT[#All],2,0)),"CUIT NO CARGADO")</f>
        <v>-</v>
      </c>
      <c r="H702" s="64">
        <f>ventas_b_mes11[[#This Row],[TOTAL]]/1.21</f>
        <v>0</v>
      </c>
      <c r="I702" s="183">
        <f>ventas_b_mes11[[#This Row],[IMPORTE NETO]]*0.21</f>
        <v>0</v>
      </c>
      <c r="J702" s="184"/>
      <c r="K702" s="184"/>
      <c r="L702" s="184"/>
      <c r="M702" s="59"/>
    </row>
    <row r="703" spans="2:13" x14ac:dyDescent="0.3">
      <c r="B703" s="178"/>
      <c r="C703" s="203"/>
      <c r="D703" s="180"/>
      <c r="E703" s="181"/>
      <c r="F703" s="182"/>
      <c r="G703" s="1" t="str">
        <f>IFERROR(IF(ventas_b_mes11[[#This Row],[CUIT]]="","-",VLOOKUP(ventas_b_mes11[[#This Row],[CUIT]],Lista_CUIT[#All],2,0)),"CUIT NO CARGADO")</f>
        <v>-</v>
      </c>
      <c r="H703" s="64">
        <f>ventas_b_mes11[[#This Row],[TOTAL]]/1.21</f>
        <v>0</v>
      </c>
      <c r="I703" s="183">
        <f>ventas_b_mes11[[#This Row],[IMPORTE NETO]]*0.21</f>
        <v>0</v>
      </c>
      <c r="J703" s="184"/>
      <c r="K703" s="184"/>
      <c r="L703" s="184"/>
      <c r="M703" s="59"/>
    </row>
    <row r="704" spans="2:13" x14ac:dyDescent="0.3">
      <c r="B704" s="178"/>
      <c r="C704" s="203"/>
      <c r="D704" s="180"/>
      <c r="E704" s="181"/>
      <c r="F704" s="182"/>
      <c r="G704" s="1" t="str">
        <f>IFERROR(IF(ventas_b_mes11[[#This Row],[CUIT]]="","-",VLOOKUP(ventas_b_mes11[[#This Row],[CUIT]],Lista_CUIT[#All],2,0)),"CUIT NO CARGADO")</f>
        <v>-</v>
      </c>
      <c r="H704" s="64">
        <f>ventas_b_mes11[[#This Row],[TOTAL]]/1.21</f>
        <v>0</v>
      </c>
      <c r="I704" s="183">
        <f>ventas_b_mes11[[#This Row],[IMPORTE NETO]]*0.21</f>
        <v>0</v>
      </c>
      <c r="J704" s="184"/>
      <c r="K704" s="184"/>
      <c r="L704" s="184"/>
      <c r="M704" s="59"/>
    </row>
    <row r="705" spans="2:13" x14ac:dyDescent="0.3">
      <c r="B705" s="178"/>
      <c r="C705" s="203"/>
      <c r="D705" s="180"/>
      <c r="E705" s="181"/>
      <c r="F705" s="182"/>
      <c r="G705" s="1" t="str">
        <f>IFERROR(IF(ventas_b_mes11[[#This Row],[CUIT]]="","-",VLOOKUP(ventas_b_mes11[[#This Row],[CUIT]],Lista_CUIT[#All],2,0)),"CUIT NO CARGADO")</f>
        <v>-</v>
      </c>
      <c r="H705" s="64">
        <f>ventas_b_mes11[[#This Row],[TOTAL]]/1.21</f>
        <v>0</v>
      </c>
      <c r="I705" s="183">
        <f>ventas_b_mes11[[#This Row],[IMPORTE NETO]]*0.21</f>
        <v>0</v>
      </c>
      <c r="J705" s="184"/>
      <c r="K705" s="184"/>
      <c r="L705" s="184"/>
      <c r="M705" s="59"/>
    </row>
    <row r="706" spans="2:13" x14ac:dyDescent="0.3">
      <c r="B706" s="178"/>
      <c r="C706" s="203"/>
      <c r="D706" s="180"/>
      <c r="E706" s="181"/>
      <c r="F706" s="182"/>
      <c r="G706" s="1" t="str">
        <f>IFERROR(IF(ventas_b_mes11[[#This Row],[CUIT]]="","-",VLOOKUP(ventas_b_mes11[[#This Row],[CUIT]],Lista_CUIT[#All],2,0)),"CUIT NO CARGADO")</f>
        <v>-</v>
      </c>
      <c r="H706" s="64">
        <f>ventas_b_mes11[[#This Row],[TOTAL]]/1.21</f>
        <v>0</v>
      </c>
      <c r="I706" s="183">
        <f>ventas_b_mes11[[#This Row],[IMPORTE NETO]]*0.21</f>
        <v>0</v>
      </c>
      <c r="J706" s="184"/>
      <c r="K706" s="184"/>
      <c r="L706" s="184"/>
      <c r="M706" s="59"/>
    </row>
    <row r="707" spans="2:13" x14ac:dyDescent="0.3">
      <c r="B707" s="178"/>
      <c r="C707" s="203"/>
      <c r="D707" s="180"/>
      <c r="E707" s="181"/>
      <c r="F707" s="182"/>
      <c r="G707" s="1" t="str">
        <f>IFERROR(IF(ventas_b_mes11[[#This Row],[CUIT]]="","-",VLOOKUP(ventas_b_mes11[[#This Row],[CUIT]],Lista_CUIT[#All],2,0)),"CUIT NO CARGADO")</f>
        <v>-</v>
      </c>
      <c r="H707" s="64">
        <f>ventas_b_mes11[[#This Row],[TOTAL]]/1.21</f>
        <v>0</v>
      </c>
      <c r="I707" s="183">
        <f>ventas_b_mes11[[#This Row],[IMPORTE NETO]]*0.21</f>
        <v>0</v>
      </c>
      <c r="J707" s="184"/>
      <c r="K707" s="184"/>
      <c r="L707" s="184"/>
      <c r="M707" s="59"/>
    </row>
    <row r="708" spans="2:13" x14ac:dyDescent="0.3">
      <c r="B708" s="178"/>
      <c r="C708" s="203"/>
      <c r="D708" s="180"/>
      <c r="E708" s="181"/>
      <c r="F708" s="182"/>
      <c r="G708" s="1" t="str">
        <f>IFERROR(IF(ventas_b_mes11[[#This Row],[CUIT]]="","-",VLOOKUP(ventas_b_mes11[[#This Row],[CUIT]],Lista_CUIT[#All],2,0)),"CUIT NO CARGADO")</f>
        <v>-</v>
      </c>
      <c r="H708" s="64">
        <f>ventas_b_mes11[[#This Row],[TOTAL]]/1.21</f>
        <v>0</v>
      </c>
      <c r="I708" s="183">
        <f>ventas_b_mes11[[#This Row],[IMPORTE NETO]]*0.21</f>
        <v>0</v>
      </c>
      <c r="J708" s="184"/>
      <c r="K708" s="184"/>
      <c r="L708" s="184"/>
      <c r="M708" s="59"/>
    </row>
    <row r="709" spans="2:13" x14ac:dyDescent="0.3">
      <c r="B709" s="178"/>
      <c r="C709" s="179"/>
      <c r="D709" s="180"/>
      <c r="E709" s="181"/>
      <c r="F709" s="182"/>
      <c r="G709" s="1" t="str">
        <f>IFERROR(IF(ventas_b_mes11[[#This Row],[CUIT]]="","-",VLOOKUP(ventas_b_mes11[[#This Row],[CUIT]],Lista_CUIT[#All],2,0)),"CUIT NO CARGADO")</f>
        <v>-</v>
      </c>
      <c r="H709" s="64">
        <f>ventas_b_mes11[[#This Row],[TOTAL]]/1.21</f>
        <v>0</v>
      </c>
      <c r="I709" s="183">
        <f>ventas_b_mes11[[#This Row],[IMPORTE NETO]]*0.21</f>
        <v>0</v>
      </c>
      <c r="J709" s="184"/>
      <c r="K709" s="184"/>
      <c r="L709" s="184"/>
      <c r="M709" s="59"/>
    </row>
    <row r="710" spans="2:13" x14ac:dyDescent="0.3">
      <c r="B710" s="178"/>
      <c r="C710" s="179"/>
      <c r="D710" s="180"/>
      <c r="E710" s="181"/>
      <c r="F710" s="182"/>
      <c r="G710" s="1" t="str">
        <f>IFERROR(IF(ventas_b_mes11[[#This Row],[CUIT]]="","-",VLOOKUP(ventas_b_mes11[[#This Row],[CUIT]],Lista_CUIT[#All],2,0)),"CUIT NO CARGADO")</f>
        <v>-</v>
      </c>
      <c r="H710" s="64">
        <f>ventas_b_mes11[[#This Row],[TOTAL]]/1.21</f>
        <v>0</v>
      </c>
      <c r="I710" s="183">
        <f>ventas_b_mes11[[#This Row],[IMPORTE NETO]]*0.21</f>
        <v>0</v>
      </c>
      <c r="J710" s="184"/>
      <c r="K710" s="184"/>
      <c r="L710" s="184"/>
      <c r="M710" s="59"/>
    </row>
    <row r="711" spans="2:13" x14ac:dyDescent="0.3">
      <c r="B711" s="178"/>
      <c r="C711" s="179"/>
      <c r="D711" s="180"/>
      <c r="E711" s="181"/>
      <c r="F711" s="182"/>
      <c r="G711" s="1" t="str">
        <f>IFERROR(IF(ventas_b_mes11[[#This Row],[CUIT]]="","-",VLOOKUP(ventas_b_mes11[[#This Row],[CUIT]],Lista_CUIT[#All],2,0)),"CUIT NO CARGADO")</f>
        <v>-</v>
      </c>
      <c r="H711" s="64">
        <f>ventas_b_mes11[[#This Row],[TOTAL]]/1.21</f>
        <v>0</v>
      </c>
      <c r="I711" s="183">
        <f>ventas_b_mes11[[#This Row],[IMPORTE NETO]]*0.21</f>
        <v>0</v>
      </c>
      <c r="J711" s="184"/>
      <c r="K711" s="184"/>
      <c r="L711" s="184"/>
      <c r="M711" s="59"/>
    </row>
    <row r="712" spans="2:13" x14ac:dyDescent="0.3">
      <c r="B712" s="178"/>
      <c r="C712" s="179"/>
      <c r="D712" s="180"/>
      <c r="E712" s="181"/>
      <c r="F712" s="182"/>
      <c r="G712" s="1" t="str">
        <f>IFERROR(IF(ventas_b_mes11[[#This Row],[CUIT]]="","-",VLOOKUP(ventas_b_mes11[[#This Row],[CUIT]],Lista_CUIT[#All],2,0)),"CUIT NO CARGADO")</f>
        <v>-</v>
      </c>
      <c r="H712" s="64">
        <f>ventas_b_mes11[[#This Row],[TOTAL]]/1.21</f>
        <v>0</v>
      </c>
      <c r="I712" s="183">
        <f>ventas_b_mes11[[#This Row],[IMPORTE NETO]]*0.21</f>
        <v>0</v>
      </c>
      <c r="J712" s="184"/>
      <c r="K712" s="184"/>
      <c r="L712" s="184"/>
      <c r="M712" s="59"/>
    </row>
    <row r="713" spans="2:13" x14ac:dyDescent="0.3">
      <c r="B713" s="178"/>
      <c r="C713" s="179"/>
      <c r="D713" s="180"/>
      <c r="E713" s="181"/>
      <c r="F713" s="182"/>
      <c r="G713" s="1" t="str">
        <f>IFERROR(IF(ventas_b_mes11[[#This Row],[CUIT]]="","-",VLOOKUP(ventas_b_mes11[[#This Row],[CUIT]],Lista_CUIT[#All],2,0)),"CUIT NO CARGADO")</f>
        <v>-</v>
      </c>
      <c r="H713" s="64">
        <f>ventas_b_mes11[[#This Row],[TOTAL]]/1.21</f>
        <v>0</v>
      </c>
      <c r="I713" s="183">
        <f>ventas_b_mes11[[#This Row],[IMPORTE NETO]]*0.21</f>
        <v>0</v>
      </c>
      <c r="J713" s="184"/>
      <c r="K713" s="184"/>
      <c r="L713" s="184"/>
      <c r="M713" s="59"/>
    </row>
    <row r="714" spans="2:13" x14ac:dyDescent="0.3">
      <c r="B714" s="178"/>
      <c r="C714" s="179"/>
      <c r="D714" s="180"/>
      <c r="E714" s="181"/>
      <c r="F714" s="182"/>
      <c r="G714" s="1" t="str">
        <f>IFERROR(IF(ventas_b_mes11[[#This Row],[CUIT]]="","-",VLOOKUP(ventas_b_mes11[[#This Row],[CUIT]],Lista_CUIT[#All],2,0)),"CUIT NO CARGADO")</f>
        <v>-</v>
      </c>
      <c r="H714" s="64">
        <f>ventas_b_mes11[[#This Row],[TOTAL]]/1.21</f>
        <v>0</v>
      </c>
      <c r="I714" s="183">
        <f>ventas_b_mes11[[#This Row],[IMPORTE NETO]]*0.21</f>
        <v>0</v>
      </c>
      <c r="J714" s="184"/>
      <c r="K714" s="184"/>
      <c r="L714" s="184"/>
      <c r="M714" s="59"/>
    </row>
    <row r="715" spans="2:13" x14ac:dyDescent="0.3">
      <c r="B715" s="178"/>
      <c r="C715" s="179"/>
      <c r="D715" s="180"/>
      <c r="E715" s="181"/>
      <c r="F715" s="182"/>
      <c r="G715" s="1" t="str">
        <f>IFERROR(IF(ventas_b_mes11[[#This Row],[CUIT]]="","-",VLOOKUP(ventas_b_mes11[[#This Row],[CUIT]],Lista_CUIT[#All],2,0)),"CUIT NO CARGADO")</f>
        <v>-</v>
      </c>
      <c r="H715" s="64">
        <f>ventas_b_mes11[[#This Row],[TOTAL]]/1.21</f>
        <v>0</v>
      </c>
      <c r="I715" s="183">
        <f>ventas_b_mes11[[#This Row],[IMPORTE NETO]]*0.21</f>
        <v>0</v>
      </c>
      <c r="J715" s="184"/>
      <c r="K715" s="184"/>
      <c r="L715" s="184"/>
      <c r="M715" s="59"/>
    </row>
    <row r="716" spans="2:13" x14ac:dyDescent="0.3">
      <c r="B716" s="178"/>
      <c r="C716" s="179"/>
      <c r="D716" s="180"/>
      <c r="E716" s="181"/>
      <c r="F716" s="182"/>
      <c r="G716" s="1" t="str">
        <f>IFERROR(IF(ventas_b_mes11[[#This Row],[CUIT]]="","-",VLOOKUP(ventas_b_mes11[[#This Row],[CUIT]],Lista_CUIT[#All],2,0)),"CUIT NO CARGADO")</f>
        <v>-</v>
      </c>
      <c r="H716" s="64">
        <f>ventas_b_mes11[[#This Row],[TOTAL]]/1.21</f>
        <v>0</v>
      </c>
      <c r="I716" s="183">
        <f>ventas_b_mes11[[#This Row],[IMPORTE NETO]]*0.21</f>
        <v>0</v>
      </c>
      <c r="J716" s="184"/>
      <c r="K716" s="184"/>
      <c r="L716" s="184"/>
      <c r="M716" s="59"/>
    </row>
    <row r="717" spans="2:13" x14ac:dyDescent="0.3">
      <c r="B717" s="178"/>
      <c r="C717" s="179"/>
      <c r="D717" s="180"/>
      <c r="E717" s="181"/>
      <c r="F717" s="182"/>
      <c r="G717" s="1" t="str">
        <f>IFERROR(IF(ventas_b_mes11[[#This Row],[CUIT]]="","-",VLOOKUP(ventas_b_mes11[[#This Row],[CUIT]],Lista_CUIT[#All],2,0)),"CUIT NO CARGADO")</f>
        <v>-</v>
      </c>
      <c r="H717" s="64">
        <f>ventas_b_mes11[[#This Row],[TOTAL]]/1.21</f>
        <v>0</v>
      </c>
      <c r="I717" s="183">
        <f>ventas_b_mes11[[#This Row],[IMPORTE NETO]]*0.21</f>
        <v>0</v>
      </c>
      <c r="J717" s="184"/>
      <c r="K717" s="184"/>
      <c r="L717" s="184"/>
      <c r="M717" s="59"/>
    </row>
    <row r="718" spans="2:13" x14ac:dyDescent="0.3">
      <c r="B718" s="178"/>
      <c r="C718" s="179"/>
      <c r="D718" s="180"/>
      <c r="E718" s="181"/>
      <c r="F718" s="182"/>
      <c r="G718" s="1" t="str">
        <f>IFERROR(IF(ventas_b_mes11[[#This Row],[CUIT]]="","-",VLOOKUP(ventas_b_mes11[[#This Row],[CUIT]],Lista_CUIT[#All],2,0)),"CUIT NO CARGADO")</f>
        <v>-</v>
      </c>
      <c r="H718" s="64">
        <f>ventas_b_mes11[[#This Row],[TOTAL]]/1.21</f>
        <v>0</v>
      </c>
      <c r="I718" s="183">
        <f>ventas_b_mes11[[#This Row],[IMPORTE NETO]]*0.21</f>
        <v>0</v>
      </c>
      <c r="J718" s="184"/>
      <c r="K718" s="184"/>
      <c r="L718" s="184"/>
      <c r="M718" s="59"/>
    </row>
    <row r="719" spans="2:13" x14ac:dyDescent="0.3">
      <c r="B719" s="178"/>
      <c r="C719" s="179"/>
      <c r="D719" s="180"/>
      <c r="E719" s="181"/>
      <c r="F719" s="182"/>
      <c r="G719" s="1" t="str">
        <f>IFERROR(IF(ventas_b_mes11[[#This Row],[CUIT]]="","-",VLOOKUP(ventas_b_mes11[[#This Row],[CUIT]],Lista_CUIT[#All],2,0)),"CUIT NO CARGADO")</f>
        <v>-</v>
      </c>
      <c r="H719" s="64">
        <f>ventas_b_mes11[[#This Row],[TOTAL]]/1.21</f>
        <v>0</v>
      </c>
      <c r="I719" s="183">
        <f>ventas_b_mes11[[#This Row],[IMPORTE NETO]]*0.21</f>
        <v>0</v>
      </c>
      <c r="J719" s="184"/>
      <c r="K719" s="184"/>
      <c r="L719" s="184"/>
      <c r="M719" s="59"/>
    </row>
    <row r="720" spans="2:13" x14ac:dyDescent="0.3">
      <c r="B720" s="178"/>
      <c r="C720" s="179"/>
      <c r="D720" s="180"/>
      <c r="E720" s="181"/>
      <c r="F720" s="182"/>
      <c r="G720" s="1" t="str">
        <f>IFERROR(IF(ventas_b_mes11[[#This Row],[CUIT]]="","-",VLOOKUP(ventas_b_mes11[[#This Row],[CUIT]],Lista_CUIT[#All],2,0)),"CUIT NO CARGADO")</f>
        <v>-</v>
      </c>
      <c r="H720" s="64">
        <f>ventas_b_mes11[[#This Row],[TOTAL]]/1.21</f>
        <v>0</v>
      </c>
      <c r="I720" s="183">
        <f>ventas_b_mes11[[#This Row],[IMPORTE NETO]]*0.21</f>
        <v>0</v>
      </c>
      <c r="J720" s="184"/>
      <c r="K720" s="184"/>
      <c r="L720" s="184"/>
      <c r="M720" s="59"/>
    </row>
    <row r="721" spans="2:13" x14ac:dyDescent="0.3">
      <c r="B721" s="178"/>
      <c r="C721" s="179"/>
      <c r="D721" s="180"/>
      <c r="E721" s="181"/>
      <c r="F721" s="182"/>
      <c r="G721" s="1" t="str">
        <f>IFERROR(IF(ventas_b_mes11[[#This Row],[CUIT]]="","-",VLOOKUP(ventas_b_mes11[[#This Row],[CUIT]],Lista_CUIT[#All],2,0)),"CUIT NO CARGADO")</f>
        <v>-</v>
      </c>
      <c r="H721" s="64">
        <f>ventas_b_mes11[[#This Row],[TOTAL]]/1.21</f>
        <v>0</v>
      </c>
      <c r="I721" s="183">
        <f>ventas_b_mes11[[#This Row],[IMPORTE NETO]]*0.21</f>
        <v>0</v>
      </c>
      <c r="J721" s="184"/>
      <c r="K721" s="184"/>
      <c r="L721" s="184"/>
      <c r="M721" s="59"/>
    </row>
    <row r="722" spans="2:13" x14ac:dyDescent="0.3">
      <c r="B722" s="178"/>
      <c r="C722" s="179"/>
      <c r="D722" s="180"/>
      <c r="E722" s="181"/>
      <c r="F722" s="182"/>
      <c r="G722" s="1" t="str">
        <f>IFERROR(IF(ventas_b_mes11[[#This Row],[CUIT]]="","-",VLOOKUP(ventas_b_mes11[[#This Row],[CUIT]],Lista_CUIT[#All],2,0)),"CUIT NO CARGADO")</f>
        <v>-</v>
      </c>
      <c r="H722" s="64">
        <f>ventas_b_mes11[[#This Row],[TOTAL]]/1.21</f>
        <v>0</v>
      </c>
      <c r="I722" s="183">
        <f>ventas_b_mes11[[#This Row],[IMPORTE NETO]]*0.21</f>
        <v>0</v>
      </c>
      <c r="J722" s="184"/>
      <c r="K722" s="184"/>
      <c r="L722" s="184"/>
      <c r="M722" s="59"/>
    </row>
    <row r="723" spans="2:13" x14ac:dyDescent="0.3">
      <c r="B723" s="178"/>
      <c r="C723" s="179"/>
      <c r="D723" s="180"/>
      <c r="E723" s="181"/>
      <c r="F723" s="182"/>
      <c r="G723" s="1" t="str">
        <f>IFERROR(IF(ventas_b_mes11[[#This Row],[CUIT]]="","-",VLOOKUP(ventas_b_mes11[[#This Row],[CUIT]],Lista_CUIT[#All],2,0)),"CUIT NO CARGADO")</f>
        <v>-</v>
      </c>
      <c r="H723" s="64">
        <f>ventas_b_mes11[[#This Row],[TOTAL]]/1.21</f>
        <v>0</v>
      </c>
      <c r="I723" s="183">
        <f>ventas_b_mes11[[#This Row],[IMPORTE NETO]]*0.21</f>
        <v>0</v>
      </c>
      <c r="J723" s="184"/>
      <c r="K723" s="184"/>
      <c r="L723" s="184"/>
      <c r="M723" s="59"/>
    </row>
    <row r="724" spans="2:13" x14ac:dyDescent="0.3">
      <c r="B724" s="178"/>
      <c r="C724" s="179"/>
      <c r="D724" s="180"/>
      <c r="E724" s="181"/>
      <c r="F724" s="182"/>
      <c r="G724" s="1" t="str">
        <f>IFERROR(IF(ventas_b_mes11[[#This Row],[CUIT]]="","-",VLOOKUP(ventas_b_mes11[[#This Row],[CUIT]],Lista_CUIT[#All],2,0)),"CUIT NO CARGADO")</f>
        <v>-</v>
      </c>
      <c r="H724" s="64">
        <f>ventas_b_mes11[[#This Row],[TOTAL]]/1.21</f>
        <v>0</v>
      </c>
      <c r="I724" s="183">
        <f>ventas_b_mes11[[#This Row],[IMPORTE NETO]]*0.21</f>
        <v>0</v>
      </c>
      <c r="J724" s="184"/>
      <c r="K724" s="184"/>
      <c r="L724" s="184"/>
      <c r="M724" s="59"/>
    </row>
    <row r="725" spans="2:13" x14ac:dyDescent="0.3">
      <c r="B725" s="178"/>
      <c r="C725" s="179"/>
      <c r="D725" s="180"/>
      <c r="E725" s="181"/>
      <c r="F725" s="182"/>
      <c r="G725" s="1" t="str">
        <f>IFERROR(IF(ventas_b_mes11[[#This Row],[CUIT]]="","-",VLOOKUP(ventas_b_mes11[[#This Row],[CUIT]],Lista_CUIT[#All],2,0)),"CUIT NO CARGADO")</f>
        <v>-</v>
      </c>
      <c r="H725" s="64">
        <f>ventas_b_mes11[[#This Row],[TOTAL]]/1.21</f>
        <v>0</v>
      </c>
      <c r="I725" s="183">
        <f>ventas_b_mes11[[#This Row],[IMPORTE NETO]]*0.21</f>
        <v>0</v>
      </c>
      <c r="J725" s="184"/>
      <c r="K725" s="184"/>
      <c r="L725" s="184"/>
      <c r="M725" s="59"/>
    </row>
    <row r="726" spans="2:13" x14ac:dyDescent="0.3">
      <c r="B726" s="178"/>
      <c r="C726" s="179"/>
      <c r="D726" s="180"/>
      <c r="E726" s="181"/>
      <c r="F726" s="182"/>
      <c r="G726" s="1" t="str">
        <f>IFERROR(IF(ventas_b_mes11[[#This Row],[CUIT]]="","-",VLOOKUP(ventas_b_mes11[[#This Row],[CUIT]],Lista_CUIT[#All],2,0)),"CUIT NO CARGADO")</f>
        <v>-</v>
      </c>
      <c r="H726" s="64">
        <f>ventas_b_mes11[[#This Row],[TOTAL]]/1.21</f>
        <v>0</v>
      </c>
      <c r="I726" s="183">
        <f>ventas_b_mes11[[#This Row],[IMPORTE NETO]]*0.21</f>
        <v>0</v>
      </c>
      <c r="J726" s="184"/>
      <c r="K726" s="184"/>
      <c r="L726" s="184"/>
      <c r="M726" s="59"/>
    </row>
    <row r="727" spans="2:13" x14ac:dyDescent="0.3">
      <c r="B727" s="178"/>
      <c r="C727" s="179"/>
      <c r="D727" s="180"/>
      <c r="E727" s="181"/>
      <c r="F727" s="182"/>
      <c r="G727" s="1" t="str">
        <f>IFERROR(IF(ventas_b_mes11[[#This Row],[CUIT]]="","-",VLOOKUP(ventas_b_mes11[[#This Row],[CUIT]],Lista_CUIT[#All],2,0)),"CUIT NO CARGADO")</f>
        <v>-</v>
      </c>
      <c r="H727" s="64">
        <f>ventas_b_mes11[[#This Row],[TOTAL]]/1.21</f>
        <v>0</v>
      </c>
      <c r="I727" s="183">
        <f>ventas_b_mes11[[#This Row],[IMPORTE NETO]]*0.21</f>
        <v>0</v>
      </c>
      <c r="J727" s="184"/>
      <c r="K727" s="184"/>
      <c r="L727" s="184"/>
      <c r="M727" s="59"/>
    </row>
    <row r="728" spans="2:13" x14ac:dyDescent="0.3">
      <c r="B728" s="178"/>
      <c r="C728" s="179"/>
      <c r="D728" s="180"/>
      <c r="E728" s="181"/>
      <c r="F728" s="182"/>
      <c r="G728" s="1" t="str">
        <f>IFERROR(IF(ventas_b_mes11[[#This Row],[CUIT]]="","-",VLOOKUP(ventas_b_mes11[[#This Row],[CUIT]],Lista_CUIT[#All],2,0)),"CUIT NO CARGADO")</f>
        <v>-</v>
      </c>
      <c r="H728" s="64">
        <f>ventas_b_mes11[[#This Row],[TOTAL]]/1.21</f>
        <v>0</v>
      </c>
      <c r="I728" s="183">
        <f>ventas_b_mes11[[#This Row],[IMPORTE NETO]]*0.21</f>
        <v>0</v>
      </c>
      <c r="J728" s="184"/>
      <c r="K728" s="184"/>
      <c r="L728" s="184"/>
      <c r="M728" s="59"/>
    </row>
    <row r="729" spans="2:13" x14ac:dyDescent="0.3">
      <c r="B729" s="178"/>
      <c r="C729" s="179"/>
      <c r="D729" s="180"/>
      <c r="E729" s="181"/>
      <c r="F729" s="182"/>
      <c r="G729" s="1" t="str">
        <f>IFERROR(IF(ventas_b_mes11[[#This Row],[CUIT]]="","-",VLOOKUP(ventas_b_mes11[[#This Row],[CUIT]],Lista_CUIT[#All],2,0)),"CUIT NO CARGADO")</f>
        <v>-</v>
      </c>
      <c r="H729" s="64">
        <f>ventas_b_mes11[[#This Row],[TOTAL]]/1.21</f>
        <v>0</v>
      </c>
      <c r="I729" s="183">
        <f>ventas_b_mes11[[#This Row],[IMPORTE NETO]]*0.21</f>
        <v>0</v>
      </c>
      <c r="J729" s="184"/>
      <c r="K729" s="184"/>
      <c r="L729" s="184"/>
      <c r="M729" s="59"/>
    </row>
    <row r="730" spans="2:13" x14ac:dyDescent="0.3">
      <c r="B730" s="178"/>
      <c r="C730" s="179"/>
      <c r="D730" s="180"/>
      <c r="E730" s="181"/>
      <c r="F730" s="182"/>
      <c r="G730" s="1" t="str">
        <f>IFERROR(IF(ventas_b_mes11[[#This Row],[CUIT]]="","-",VLOOKUP(ventas_b_mes11[[#This Row],[CUIT]],Lista_CUIT[#All],2,0)),"CUIT NO CARGADO")</f>
        <v>-</v>
      </c>
      <c r="H730" s="64">
        <f>ventas_b_mes11[[#This Row],[TOTAL]]/1.21</f>
        <v>0</v>
      </c>
      <c r="I730" s="183">
        <f>ventas_b_mes11[[#This Row],[IMPORTE NETO]]*0.21</f>
        <v>0</v>
      </c>
      <c r="J730" s="184"/>
      <c r="K730" s="184"/>
      <c r="L730" s="184"/>
      <c r="M730" s="59"/>
    </row>
    <row r="731" spans="2:13" x14ac:dyDescent="0.3">
      <c r="B731" s="178"/>
      <c r="C731" s="179"/>
      <c r="D731" s="180"/>
      <c r="E731" s="181"/>
      <c r="F731" s="182"/>
      <c r="G731" s="1" t="str">
        <f>IFERROR(IF(ventas_b_mes11[[#This Row],[CUIT]]="","-",VLOOKUP(ventas_b_mes11[[#This Row],[CUIT]],Lista_CUIT[#All],2,0)),"CUIT NO CARGADO")</f>
        <v>-</v>
      </c>
      <c r="H731" s="64">
        <f>ventas_b_mes11[[#This Row],[TOTAL]]/1.21</f>
        <v>0</v>
      </c>
      <c r="I731" s="183">
        <f>ventas_b_mes11[[#This Row],[IMPORTE NETO]]*0.21</f>
        <v>0</v>
      </c>
      <c r="J731" s="184"/>
      <c r="K731" s="184"/>
      <c r="L731" s="184"/>
      <c r="M731" s="59"/>
    </row>
    <row r="732" spans="2:13" x14ac:dyDescent="0.3">
      <c r="B732" s="178"/>
      <c r="C732" s="179"/>
      <c r="D732" s="180"/>
      <c r="E732" s="181"/>
      <c r="F732" s="182"/>
      <c r="G732" s="1" t="str">
        <f>IFERROR(IF(ventas_b_mes11[[#This Row],[CUIT]]="","-",VLOOKUP(ventas_b_mes11[[#This Row],[CUIT]],Lista_CUIT[#All],2,0)),"CUIT NO CARGADO")</f>
        <v>-</v>
      </c>
      <c r="H732" s="64">
        <f>ventas_b_mes11[[#This Row],[TOTAL]]/1.21</f>
        <v>0</v>
      </c>
      <c r="I732" s="183">
        <f>ventas_b_mes11[[#This Row],[IMPORTE NETO]]*0.21</f>
        <v>0</v>
      </c>
      <c r="J732" s="184"/>
      <c r="K732" s="184"/>
      <c r="L732" s="184"/>
      <c r="M732" s="59"/>
    </row>
    <row r="733" spans="2:13" x14ac:dyDescent="0.3">
      <c r="B733" s="178"/>
      <c r="C733" s="179"/>
      <c r="D733" s="180"/>
      <c r="E733" s="181"/>
      <c r="F733" s="182"/>
      <c r="G733" s="1" t="str">
        <f>IFERROR(IF(ventas_b_mes11[[#This Row],[CUIT]]="","-",VLOOKUP(ventas_b_mes11[[#This Row],[CUIT]],Lista_CUIT[#All],2,0)),"CUIT NO CARGADO")</f>
        <v>-</v>
      </c>
      <c r="H733" s="64">
        <f>ventas_b_mes11[[#This Row],[TOTAL]]/1.21</f>
        <v>0</v>
      </c>
      <c r="I733" s="183">
        <f>ventas_b_mes11[[#This Row],[IMPORTE NETO]]*0.21</f>
        <v>0</v>
      </c>
      <c r="J733" s="184"/>
      <c r="K733" s="184"/>
      <c r="L733" s="184"/>
      <c r="M733" s="59"/>
    </row>
    <row r="734" spans="2:13" x14ac:dyDescent="0.3">
      <c r="B734" s="178"/>
      <c r="C734" s="179"/>
      <c r="D734" s="180"/>
      <c r="E734" s="181"/>
      <c r="F734" s="182"/>
      <c r="G734" s="1" t="str">
        <f>IFERROR(IF(ventas_b_mes11[[#This Row],[CUIT]]="","-",VLOOKUP(ventas_b_mes11[[#This Row],[CUIT]],Lista_CUIT[#All],2,0)),"CUIT NO CARGADO")</f>
        <v>-</v>
      </c>
      <c r="H734" s="64">
        <f>ventas_b_mes11[[#This Row],[TOTAL]]/1.21</f>
        <v>0</v>
      </c>
      <c r="I734" s="183">
        <f>ventas_b_mes11[[#This Row],[IMPORTE NETO]]*0.21</f>
        <v>0</v>
      </c>
      <c r="J734" s="184"/>
      <c r="K734" s="184"/>
      <c r="L734" s="184"/>
      <c r="M734" s="59"/>
    </row>
    <row r="735" spans="2:13" x14ac:dyDescent="0.3">
      <c r="B735" s="178"/>
      <c r="C735" s="179"/>
      <c r="D735" s="180"/>
      <c r="E735" s="181"/>
      <c r="F735" s="182"/>
      <c r="G735" s="1" t="str">
        <f>IFERROR(IF(ventas_b_mes11[[#This Row],[CUIT]]="","-",VLOOKUP(ventas_b_mes11[[#This Row],[CUIT]],Lista_CUIT[#All],2,0)),"CUIT NO CARGADO")</f>
        <v>-</v>
      </c>
      <c r="H735" s="64">
        <f>ventas_b_mes11[[#This Row],[TOTAL]]/1.21</f>
        <v>0</v>
      </c>
      <c r="I735" s="183">
        <f>ventas_b_mes11[[#This Row],[IMPORTE NETO]]*0.21</f>
        <v>0</v>
      </c>
      <c r="J735" s="184"/>
      <c r="K735" s="184"/>
      <c r="L735" s="184"/>
      <c r="M735" s="59"/>
    </row>
    <row r="736" spans="2:13" x14ac:dyDescent="0.3">
      <c r="B736" s="178"/>
      <c r="C736" s="179"/>
      <c r="D736" s="180"/>
      <c r="E736" s="181"/>
      <c r="F736" s="182"/>
      <c r="G736" s="1" t="str">
        <f>IFERROR(IF(ventas_b_mes11[[#This Row],[CUIT]]="","-",VLOOKUP(ventas_b_mes11[[#This Row],[CUIT]],Lista_CUIT[#All],2,0)),"CUIT NO CARGADO")</f>
        <v>-</v>
      </c>
      <c r="H736" s="64">
        <f>ventas_b_mes11[[#This Row],[TOTAL]]/1.21</f>
        <v>0</v>
      </c>
      <c r="I736" s="183">
        <f>ventas_b_mes11[[#This Row],[IMPORTE NETO]]*0.21</f>
        <v>0</v>
      </c>
      <c r="J736" s="184"/>
      <c r="K736" s="184"/>
      <c r="L736" s="184"/>
      <c r="M736" s="59"/>
    </row>
    <row r="737" spans="2:13" x14ac:dyDescent="0.3">
      <c r="B737" s="178"/>
      <c r="C737" s="179"/>
      <c r="D737" s="180"/>
      <c r="E737" s="181"/>
      <c r="F737" s="182"/>
      <c r="G737" s="1" t="str">
        <f>IFERROR(IF(ventas_b_mes11[[#This Row],[CUIT]]="","-",VLOOKUP(ventas_b_mes11[[#This Row],[CUIT]],Lista_CUIT[#All],2,0)),"CUIT NO CARGADO")</f>
        <v>-</v>
      </c>
      <c r="H737" s="64">
        <f>ventas_b_mes11[[#This Row],[TOTAL]]/1.21</f>
        <v>0</v>
      </c>
      <c r="I737" s="183">
        <f>ventas_b_mes11[[#This Row],[IMPORTE NETO]]*0.21</f>
        <v>0</v>
      </c>
      <c r="J737" s="184"/>
      <c r="K737" s="184"/>
      <c r="L737" s="184"/>
      <c r="M737" s="59"/>
    </row>
    <row r="738" spans="2:13" x14ac:dyDescent="0.3">
      <c r="B738" s="178"/>
      <c r="C738" s="179"/>
      <c r="D738" s="180"/>
      <c r="E738" s="181"/>
      <c r="F738" s="182"/>
      <c r="G738" s="1" t="str">
        <f>IFERROR(IF(ventas_b_mes11[[#This Row],[CUIT]]="","-",VLOOKUP(ventas_b_mes11[[#This Row],[CUIT]],Lista_CUIT[#All],2,0)),"CUIT NO CARGADO")</f>
        <v>-</v>
      </c>
      <c r="H738" s="64">
        <f>ventas_b_mes11[[#This Row],[TOTAL]]/1.21</f>
        <v>0</v>
      </c>
      <c r="I738" s="183">
        <f>ventas_b_mes11[[#This Row],[IMPORTE NETO]]*0.21</f>
        <v>0</v>
      </c>
      <c r="J738" s="184"/>
      <c r="K738" s="184"/>
      <c r="L738" s="184"/>
      <c r="M738" s="59"/>
    </row>
    <row r="739" spans="2:13" x14ac:dyDescent="0.3">
      <c r="B739" s="178"/>
      <c r="C739" s="179"/>
      <c r="D739" s="180"/>
      <c r="E739" s="181"/>
      <c r="F739" s="182"/>
      <c r="G739" s="1" t="str">
        <f>IFERROR(IF(ventas_b_mes11[[#This Row],[CUIT]]="","-",VLOOKUP(ventas_b_mes11[[#This Row],[CUIT]],Lista_CUIT[#All],2,0)),"CUIT NO CARGADO")</f>
        <v>-</v>
      </c>
      <c r="H739" s="64">
        <f>ventas_b_mes11[[#This Row],[TOTAL]]/1.21</f>
        <v>0</v>
      </c>
      <c r="I739" s="183">
        <f>ventas_b_mes11[[#This Row],[IMPORTE NETO]]*0.21</f>
        <v>0</v>
      </c>
      <c r="J739" s="184"/>
      <c r="K739" s="184"/>
      <c r="L739" s="184"/>
      <c r="M739" s="59"/>
    </row>
    <row r="740" spans="2:13" x14ac:dyDescent="0.3">
      <c r="B740" s="178"/>
      <c r="C740" s="179"/>
      <c r="D740" s="180"/>
      <c r="E740" s="181"/>
      <c r="F740" s="182"/>
      <c r="G740" s="1" t="str">
        <f>IFERROR(IF(ventas_b_mes11[[#This Row],[CUIT]]="","-",VLOOKUP(ventas_b_mes11[[#This Row],[CUIT]],Lista_CUIT[#All],2,0)),"CUIT NO CARGADO")</f>
        <v>-</v>
      </c>
      <c r="H740" s="64">
        <f>ventas_b_mes11[[#This Row],[TOTAL]]/1.21</f>
        <v>0</v>
      </c>
      <c r="I740" s="183">
        <f>ventas_b_mes11[[#This Row],[IMPORTE NETO]]*0.21</f>
        <v>0</v>
      </c>
      <c r="J740" s="184"/>
      <c r="K740" s="184"/>
      <c r="L740" s="184"/>
      <c r="M740" s="59"/>
    </row>
    <row r="741" spans="2:13" x14ac:dyDescent="0.3">
      <c r="B741" s="178"/>
      <c r="C741" s="179"/>
      <c r="D741" s="180"/>
      <c r="E741" s="181"/>
      <c r="F741" s="182"/>
      <c r="G741" s="1" t="str">
        <f>IFERROR(IF(ventas_b_mes11[[#This Row],[CUIT]]="","-",VLOOKUP(ventas_b_mes11[[#This Row],[CUIT]],Lista_CUIT[#All],2,0)),"CUIT NO CARGADO")</f>
        <v>-</v>
      </c>
      <c r="H741" s="64">
        <f>ventas_b_mes11[[#This Row],[TOTAL]]/1.21</f>
        <v>0</v>
      </c>
      <c r="I741" s="183">
        <f>ventas_b_mes11[[#This Row],[IMPORTE NETO]]*0.21</f>
        <v>0</v>
      </c>
      <c r="J741" s="184"/>
      <c r="K741" s="184"/>
      <c r="L741" s="184"/>
      <c r="M741" s="59"/>
    </row>
    <row r="742" spans="2:13" x14ac:dyDescent="0.3">
      <c r="B742" s="178"/>
      <c r="C742" s="179"/>
      <c r="D742" s="180"/>
      <c r="E742" s="181"/>
      <c r="F742" s="182"/>
      <c r="G742" s="1" t="str">
        <f>IFERROR(IF(ventas_b_mes11[[#This Row],[CUIT]]="","-",VLOOKUP(ventas_b_mes11[[#This Row],[CUIT]],Lista_CUIT[#All],2,0)),"CUIT NO CARGADO")</f>
        <v>-</v>
      </c>
      <c r="H742" s="64">
        <f>ventas_b_mes11[[#This Row],[TOTAL]]/1.21</f>
        <v>0</v>
      </c>
      <c r="I742" s="183">
        <f>ventas_b_mes11[[#This Row],[IMPORTE NETO]]*0.21</f>
        <v>0</v>
      </c>
      <c r="J742" s="184"/>
      <c r="K742" s="184"/>
      <c r="L742" s="184"/>
      <c r="M742" s="59"/>
    </row>
    <row r="743" spans="2:13" x14ac:dyDescent="0.3">
      <c r="B743" s="178"/>
      <c r="C743" s="179"/>
      <c r="D743" s="180"/>
      <c r="E743" s="181"/>
      <c r="F743" s="182"/>
      <c r="G743" s="1" t="str">
        <f>IFERROR(IF(ventas_b_mes11[[#This Row],[CUIT]]="","-",VLOOKUP(ventas_b_mes11[[#This Row],[CUIT]],Lista_CUIT[#All],2,0)),"CUIT NO CARGADO")</f>
        <v>-</v>
      </c>
      <c r="H743" s="64">
        <f>ventas_b_mes11[[#This Row],[TOTAL]]/1.21</f>
        <v>0</v>
      </c>
      <c r="I743" s="183">
        <f>ventas_b_mes11[[#This Row],[IMPORTE NETO]]*0.21</f>
        <v>0</v>
      </c>
      <c r="J743" s="184"/>
      <c r="K743" s="184"/>
      <c r="L743" s="184"/>
      <c r="M743" s="59"/>
    </row>
    <row r="744" spans="2:13" x14ac:dyDescent="0.3">
      <c r="B744" s="178"/>
      <c r="C744" s="179"/>
      <c r="D744" s="180"/>
      <c r="E744" s="181"/>
      <c r="F744" s="182"/>
      <c r="G744" s="1" t="str">
        <f>IFERROR(IF(ventas_b_mes11[[#This Row],[CUIT]]="","-",VLOOKUP(ventas_b_mes11[[#This Row],[CUIT]],Lista_CUIT[#All],2,0)),"CUIT NO CARGADO")</f>
        <v>-</v>
      </c>
      <c r="H744" s="64">
        <f>ventas_b_mes11[[#This Row],[TOTAL]]/1.21</f>
        <v>0</v>
      </c>
      <c r="I744" s="183">
        <f>ventas_b_mes11[[#This Row],[IMPORTE NETO]]*0.21</f>
        <v>0</v>
      </c>
      <c r="J744" s="184"/>
      <c r="K744" s="184"/>
      <c r="L744" s="184"/>
      <c r="M744" s="59"/>
    </row>
    <row r="745" spans="2:13" x14ac:dyDescent="0.3">
      <c r="B745" s="178"/>
      <c r="C745" s="179"/>
      <c r="D745" s="180"/>
      <c r="E745" s="181"/>
      <c r="F745" s="182"/>
      <c r="G745" s="1" t="str">
        <f>IFERROR(IF(ventas_b_mes11[[#This Row],[CUIT]]="","-",VLOOKUP(ventas_b_mes11[[#This Row],[CUIT]],Lista_CUIT[#All],2,0)),"CUIT NO CARGADO")</f>
        <v>-</v>
      </c>
      <c r="H745" s="64">
        <f>ventas_b_mes11[[#This Row],[TOTAL]]/1.21</f>
        <v>0</v>
      </c>
      <c r="I745" s="183">
        <f>ventas_b_mes11[[#This Row],[IMPORTE NETO]]*0.21</f>
        <v>0</v>
      </c>
      <c r="J745" s="184"/>
      <c r="K745" s="184"/>
      <c r="L745" s="184"/>
      <c r="M745" s="59"/>
    </row>
    <row r="746" spans="2:13" x14ac:dyDescent="0.3">
      <c r="B746" s="178"/>
      <c r="C746" s="179"/>
      <c r="D746" s="180"/>
      <c r="E746" s="181"/>
      <c r="F746" s="182"/>
      <c r="G746" s="1" t="str">
        <f>IFERROR(IF(ventas_b_mes11[[#This Row],[CUIT]]="","-",VLOOKUP(ventas_b_mes11[[#This Row],[CUIT]],Lista_CUIT[#All],2,0)),"CUIT NO CARGADO")</f>
        <v>-</v>
      </c>
      <c r="H746" s="64">
        <f>ventas_b_mes11[[#This Row],[TOTAL]]/1.21</f>
        <v>0</v>
      </c>
      <c r="I746" s="183">
        <f>ventas_b_mes11[[#This Row],[IMPORTE NETO]]*0.21</f>
        <v>0</v>
      </c>
      <c r="J746" s="184"/>
      <c r="K746" s="184"/>
      <c r="L746" s="184"/>
      <c r="M746" s="59"/>
    </row>
    <row r="747" spans="2:13" x14ac:dyDescent="0.3">
      <c r="B747" s="178"/>
      <c r="C747" s="179"/>
      <c r="D747" s="180"/>
      <c r="E747" s="181"/>
      <c r="F747" s="182"/>
      <c r="G747" s="1" t="str">
        <f>IFERROR(IF(ventas_b_mes11[[#This Row],[CUIT]]="","-",VLOOKUP(ventas_b_mes11[[#This Row],[CUIT]],Lista_CUIT[#All],2,0)),"CUIT NO CARGADO")</f>
        <v>-</v>
      </c>
      <c r="H747" s="64">
        <f>ventas_b_mes11[[#This Row],[TOTAL]]/1.21</f>
        <v>0</v>
      </c>
      <c r="I747" s="183">
        <f>ventas_b_mes11[[#This Row],[IMPORTE NETO]]*0.21</f>
        <v>0</v>
      </c>
      <c r="J747" s="184"/>
      <c r="K747" s="184"/>
      <c r="L747" s="184"/>
      <c r="M747" s="59"/>
    </row>
    <row r="748" spans="2:13" x14ac:dyDescent="0.3">
      <c r="B748" s="178"/>
      <c r="C748" s="179"/>
      <c r="D748" s="180"/>
      <c r="E748" s="181"/>
      <c r="F748" s="182"/>
      <c r="G748" s="1" t="str">
        <f>IFERROR(IF(ventas_b_mes11[[#This Row],[CUIT]]="","-",VLOOKUP(ventas_b_mes11[[#This Row],[CUIT]],Lista_CUIT[#All],2,0)),"CUIT NO CARGADO")</f>
        <v>-</v>
      </c>
      <c r="H748" s="64">
        <f>ventas_b_mes11[[#This Row],[TOTAL]]/1.21</f>
        <v>0</v>
      </c>
      <c r="I748" s="183">
        <f>ventas_b_mes11[[#This Row],[IMPORTE NETO]]*0.21</f>
        <v>0</v>
      </c>
      <c r="J748" s="184"/>
      <c r="K748" s="184"/>
      <c r="L748" s="184"/>
      <c r="M748" s="59"/>
    </row>
    <row r="749" spans="2:13" x14ac:dyDescent="0.3">
      <c r="B749" s="178"/>
      <c r="C749" s="179"/>
      <c r="D749" s="180"/>
      <c r="E749" s="181"/>
      <c r="F749" s="182"/>
      <c r="G749" s="1" t="str">
        <f>IFERROR(IF(ventas_b_mes11[[#This Row],[CUIT]]="","-",VLOOKUP(ventas_b_mes11[[#This Row],[CUIT]],Lista_CUIT[#All],2,0)),"CUIT NO CARGADO")</f>
        <v>-</v>
      </c>
      <c r="H749" s="64">
        <f>ventas_b_mes11[[#This Row],[TOTAL]]/1.21</f>
        <v>0</v>
      </c>
      <c r="I749" s="183">
        <f>ventas_b_mes11[[#This Row],[IMPORTE NETO]]*0.21</f>
        <v>0</v>
      </c>
      <c r="J749" s="184"/>
      <c r="K749" s="184"/>
      <c r="L749" s="184"/>
      <c r="M749" s="59"/>
    </row>
    <row r="750" spans="2:13" x14ac:dyDescent="0.3">
      <c r="B750" s="178"/>
      <c r="C750" s="179"/>
      <c r="D750" s="180"/>
      <c r="E750" s="181"/>
      <c r="F750" s="182"/>
      <c r="G750" s="1" t="str">
        <f>IFERROR(IF(ventas_b_mes11[[#This Row],[CUIT]]="","-",VLOOKUP(ventas_b_mes11[[#This Row],[CUIT]],Lista_CUIT[#All],2,0)),"CUIT NO CARGADO")</f>
        <v>-</v>
      </c>
      <c r="H750" s="64">
        <f>ventas_b_mes11[[#This Row],[TOTAL]]/1.21</f>
        <v>0</v>
      </c>
      <c r="I750" s="183">
        <f>ventas_b_mes11[[#This Row],[IMPORTE NETO]]*0.21</f>
        <v>0</v>
      </c>
      <c r="J750" s="184"/>
      <c r="K750" s="184"/>
      <c r="L750" s="184"/>
      <c r="M750" s="59"/>
    </row>
    <row r="751" spans="2:13" x14ac:dyDescent="0.3">
      <c r="B751" s="178"/>
      <c r="C751" s="179"/>
      <c r="D751" s="180"/>
      <c r="E751" s="181"/>
      <c r="F751" s="182"/>
      <c r="G751" s="1" t="str">
        <f>IFERROR(IF(ventas_b_mes11[[#This Row],[CUIT]]="","-",VLOOKUP(ventas_b_mes11[[#This Row],[CUIT]],Lista_CUIT[#All],2,0)),"CUIT NO CARGADO")</f>
        <v>-</v>
      </c>
      <c r="H751" s="64">
        <f>ventas_b_mes11[[#This Row],[TOTAL]]/1.21</f>
        <v>0</v>
      </c>
      <c r="I751" s="183">
        <f>ventas_b_mes11[[#This Row],[IMPORTE NETO]]*0.21</f>
        <v>0</v>
      </c>
      <c r="J751" s="184"/>
      <c r="K751" s="184"/>
      <c r="L751" s="184"/>
      <c r="M751" s="59"/>
    </row>
    <row r="752" spans="2:13" x14ac:dyDescent="0.3">
      <c r="B752" s="178"/>
      <c r="C752" s="179"/>
      <c r="D752" s="180"/>
      <c r="E752" s="181"/>
      <c r="F752" s="182"/>
      <c r="G752" s="1" t="str">
        <f>IFERROR(IF(ventas_b_mes11[[#This Row],[CUIT]]="","-",VLOOKUP(ventas_b_mes11[[#This Row],[CUIT]],Lista_CUIT[#All],2,0)),"CUIT NO CARGADO")</f>
        <v>-</v>
      </c>
      <c r="H752" s="64">
        <f>ventas_b_mes11[[#This Row],[TOTAL]]/1.21</f>
        <v>0</v>
      </c>
      <c r="I752" s="183">
        <f>ventas_b_mes11[[#This Row],[IMPORTE NETO]]*0.21</f>
        <v>0</v>
      </c>
      <c r="J752" s="184"/>
      <c r="K752" s="184"/>
      <c r="L752" s="184"/>
      <c r="M752" s="59"/>
    </row>
    <row r="753" spans="2:13" x14ac:dyDescent="0.3">
      <c r="B753" s="178"/>
      <c r="C753" s="179"/>
      <c r="D753" s="180"/>
      <c r="E753" s="181"/>
      <c r="F753" s="182"/>
      <c r="G753" s="1" t="str">
        <f>IFERROR(IF(ventas_b_mes11[[#This Row],[CUIT]]="","-",VLOOKUP(ventas_b_mes11[[#This Row],[CUIT]],Lista_CUIT[#All],2,0)),"CUIT NO CARGADO")</f>
        <v>-</v>
      </c>
      <c r="H753" s="64">
        <f>ventas_b_mes11[[#This Row],[TOTAL]]/1.21</f>
        <v>0</v>
      </c>
      <c r="I753" s="183">
        <f>ventas_b_mes11[[#This Row],[IMPORTE NETO]]*0.21</f>
        <v>0</v>
      </c>
      <c r="J753" s="184"/>
      <c r="K753" s="184"/>
      <c r="L753" s="184"/>
      <c r="M753" s="59"/>
    </row>
    <row r="754" spans="2:13" x14ac:dyDescent="0.3">
      <c r="B754" s="178"/>
      <c r="C754" s="179"/>
      <c r="D754" s="180"/>
      <c r="E754" s="181"/>
      <c r="F754" s="182"/>
      <c r="G754" s="1" t="str">
        <f>IFERROR(IF(ventas_b_mes11[[#This Row],[CUIT]]="","-",VLOOKUP(ventas_b_mes11[[#This Row],[CUIT]],Lista_CUIT[#All],2,0)),"CUIT NO CARGADO")</f>
        <v>-</v>
      </c>
      <c r="H754" s="64">
        <f>ventas_b_mes11[[#This Row],[TOTAL]]/1.21</f>
        <v>0</v>
      </c>
      <c r="I754" s="183">
        <f>ventas_b_mes11[[#This Row],[IMPORTE NETO]]*0.21</f>
        <v>0</v>
      </c>
      <c r="J754" s="184"/>
      <c r="K754" s="184"/>
      <c r="L754" s="184"/>
      <c r="M754" s="59"/>
    </row>
    <row r="755" spans="2:13" x14ac:dyDescent="0.3">
      <c r="B755" s="178"/>
      <c r="C755" s="179"/>
      <c r="D755" s="180"/>
      <c r="E755" s="181"/>
      <c r="F755" s="182"/>
      <c r="G755" s="1" t="str">
        <f>IFERROR(IF(ventas_b_mes11[[#This Row],[CUIT]]="","-",VLOOKUP(ventas_b_mes11[[#This Row],[CUIT]],Lista_CUIT[#All],2,0)),"CUIT NO CARGADO")</f>
        <v>-</v>
      </c>
      <c r="H755" s="64">
        <f>ventas_b_mes11[[#This Row],[TOTAL]]/1.21</f>
        <v>0</v>
      </c>
      <c r="I755" s="183">
        <f>ventas_b_mes11[[#This Row],[IMPORTE NETO]]*0.21</f>
        <v>0</v>
      </c>
      <c r="J755" s="184"/>
      <c r="K755" s="184"/>
      <c r="L755" s="184"/>
      <c r="M755" s="59"/>
    </row>
    <row r="756" spans="2:13" x14ac:dyDescent="0.3">
      <c r="B756" s="178"/>
      <c r="C756" s="179"/>
      <c r="D756" s="180"/>
      <c r="E756" s="181"/>
      <c r="F756" s="182"/>
      <c r="G756" s="1" t="str">
        <f>IFERROR(IF(ventas_b_mes11[[#This Row],[CUIT]]="","-",VLOOKUP(ventas_b_mes11[[#This Row],[CUIT]],Lista_CUIT[#All],2,0)),"CUIT NO CARGADO")</f>
        <v>-</v>
      </c>
      <c r="H756" s="64">
        <f>ventas_b_mes11[[#This Row],[TOTAL]]/1.21</f>
        <v>0</v>
      </c>
      <c r="I756" s="183">
        <f>ventas_b_mes11[[#This Row],[IMPORTE NETO]]*0.21</f>
        <v>0</v>
      </c>
      <c r="J756" s="184"/>
      <c r="K756" s="184"/>
      <c r="L756" s="184"/>
      <c r="M756" s="59"/>
    </row>
    <row r="757" spans="2:13" x14ac:dyDescent="0.3">
      <c r="B757" s="178"/>
      <c r="C757" s="179"/>
      <c r="D757" s="180"/>
      <c r="E757" s="181"/>
      <c r="F757" s="182"/>
      <c r="G757" s="1" t="str">
        <f>IFERROR(IF(ventas_b_mes11[[#This Row],[CUIT]]="","-",VLOOKUP(ventas_b_mes11[[#This Row],[CUIT]],Lista_CUIT[#All],2,0)),"CUIT NO CARGADO")</f>
        <v>-</v>
      </c>
      <c r="H757" s="64">
        <f>ventas_b_mes11[[#This Row],[TOTAL]]/1.21</f>
        <v>0</v>
      </c>
      <c r="I757" s="183">
        <f>ventas_b_mes11[[#This Row],[IMPORTE NETO]]*0.21</f>
        <v>0</v>
      </c>
      <c r="J757" s="184"/>
      <c r="K757" s="184"/>
      <c r="L757" s="184"/>
      <c r="M757" s="59"/>
    </row>
    <row r="758" spans="2:13" x14ac:dyDescent="0.3">
      <c r="B758" s="178"/>
      <c r="C758" s="179"/>
      <c r="D758" s="180"/>
      <c r="E758" s="181"/>
      <c r="F758" s="182"/>
      <c r="G758" s="1" t="str">
        <f>IFERROR(IF(ventas_b_mes11[[#This Row],[CUIT]]="","-",VLOOKUP(ventas_b_mes11[[#This Row],[CUIT]],Lista_CUIT[#All],2,0)),"CUIT NO CARGADO")</f>
        <v>-</v>
      </c>
      <c r="H758" s="64">
        <f>ventas_b_mes11[[#This Row],[TOTAL]]/1.21</f>
        <v>0</v>
      </c>
      <c r="I758" s="183">
        <f>ventas_b_mes11[[#This Row],[IMPORTE NETO]]*0.21</f>
        <v>0</v>
      </c>
      <c r="J758" s="184"/>
      <c r="K758" s="184"/>
      <c r="L758" s="184"/>
      <c r="M758" s="59"/>
    </row>
    <row r="759" spans="2:13" x14ac:dyDescent="0.3">
      <c r="B759" s="178"/>
      <c r="C759" s="179"/>
      <c r="D759" s="180"/>
      <c r="E759" s="181"/>
      <c r="F759" s="182"/>
      <c r="G759" s="1" t="str">
        <f>IFERROR(IF(ventas_b_mes11[[#This Row],[CUIT]]="","-",VLOOKUP(ventas_b_mes11[[#This Row],[CUIT]],Lista_CUIT[#All],2,0)),"CUIT NO CARGADO")</f>
        <v>-</v>
      </c>
      <c r="H759" s="64">
        <f>ventas_b_mes11[[#This Row],[TOTAL]]/1.21</f>
        <v>0</v>
      </c>
      <c r="I759" s="183">
        <f>ventas_b_mes11[[#This Row],[IMPORTE NETO]]*0.21</f>
        <v>0</v>
      </c>
      <c r="J759" s="184"/>
      <c r="K759" s="184"/>
      <c r="L759" s="184"/>
      <c r="M759" s="59"/>
    </row>
    <row r="760" spans="2:13" x14ac:dyDescent="0.3">
      <c r="B760" s="178"/>
      <c r="C760" s="179"/>
      <c r="D760" s="180"/>
      <c r="E760" s="181"/>
      <c r="F760" s="182"/>
      <c r="G760" s="1" t="str">
        <f>IFERROR(IF(ventas_b_mes11[[#This Row],[CUIT]]="","-",VLOOKUP(ventas_b_mes11[[#This Row],[CUIT]],Lista_CUIT[#All],2,0)),"CUIT NO CARGADO")</f>
        <v>-</v>
      </c>
      <c r="H760" s="64">
        <f>ventas_b_mes11[[#This Row],[TOTAL]]/1.21</f>
        <v>0</v>
      </c>
      <c r="I760" s="183">
        <f>ventas_b_mes11[[#This Row],[IMPORTE NETO]]*0.21</f>
        <v>0</v>
      </c>
      <c r="J760" s="184"/>
      <c r="K760" s="184"/>
      <c r="L760" s="184"/>
      <c r="M760" s="59"/>
    </row>
    <row r="761" spans="2:13" x14ac:dyDescent="0.3">
      <c r="B761" s="178"/>
      <c r="C761" s="179"/>
      <c r="D761" s="180"/>
      <c r="E761" s="181"/>
      <c r="F761" s="182"/>
      <c r="G761" s="1" t="str">
        <f>IFERROR(IF(ventas_b_mes11[[#This Row],[CUIT]]="","-",VLOOKUP(ventas_b_mes11[[#This Row],[CUIT]],Lista_CUIT[#All],2,0)),"CUIT NO CARGADO")</f>
        <v>-</v>
      </c>
      <c r="H761" s="64">
        <f>ventas_b_mes11[[#This Row],[TOTAL]]/1.21</f>
        <v>0</v>
      </c>
      <c r="I761" s="183">
        <f>ventas_b_mes11[[#This Row],[IMPORTE NETO]]*0.21</f>
        <v>0</v>
      </c>
      <c r="J761" s="184"/>
      <c r="K761" s="184"/>
      <c r="L761" s="184"/>
      <c r="M761" s="59"/>
    </row>
    <row r="762" spans="2:13" x14ac:dyDescent="0.3">
      <c r="B762" s="178"/>
      <c r="C762" s="179"/>
      <c r="D762" s="180"/>
      <c r="E762" s="181"/>
      <c r="F762" s="182"/>
      <c r="G762" s="1" t="str">
        <f>IFERROR(IF(ventas_b_mes11[[#This Row],[CUIT]]="","-",VLOOKUP(ventas_b_mes11[[#This Row],[CUIT]],Lista_CUIT[#All],2,0)),"CUIT NO CARGADO")</f>
        <v>-</v>
      </c>
      <c r="H762" s="64">
        <f>ventas_b_mes11[[#This Row],[TOTAL]]/1.21</f>
        <v>0</v>
      </c>
      <c r="I762" s="183">
        <f>ventas_b_mes11[[#This Row],[IMPORTE NETO]]*0.21</f>
        <v>0</v>
      </c>
      <c r="J762" s="184"/>
      <c r="K762" s="184"/>
      <c r="L762" s="184"/>
      <c r="M762" s="59"/>
    </row>
    <row r="763" spans="2:13" x14ac:dyDescent="0.3">
      <c r="B763" s="178"/>
      <c r="C763" s="179"/>
      <c r="D763" s="180"/>
      <c r="E763" s="181"/>
      <c r="F763" s="182"/>
      <c r="G763" s="1" t="str">
        <f>IFERROR(IF(ventas_b_mes11[[#This Row],[CUIT]]="","-",VLOOKUP(ventas_b_mes11[[#This Row],[CUIT]],Lista_CUIT[#All],2,0)),"CUIT NO CARGADO")</f>
        <v>-</v>
      </c>
      <c r="H763" s="64">
        <f>ventas_b_mes11[[#This Row],[TOTAL]]/1.21</f>
        <v>0</v>
      </c>
      <c r="I763" s="183">
        <f>ventas_b_mes11[[#This Row],[IMPORTE NETO]]*0.21</f>
        <v>0</v>
      </c>
      <c r="J763" s="184"/>
      <c r="K763" s="184"/>
      <c r="L763" s="184"/>
      <c r="M763" s="59"/>
    </row>
    <row r="764" spans="2:13" x14ac:dyDescent="0.3">
      <c r="B764" s="178"/>
      <c r="C764" s="179"/>
      <c r="D764" s="180"/>
      <c r="E764" s="181"/>
      <c r="F764" s="182"/>
      <c r="G764" s="1" t="str">
        <f>IFERROR(IF(ventas_b_mes11[[#This Row],[CUIT]]="","-",VLOOKUP(ventas_b_mes11[[#This Row],[CUIT]],Lista_CUIT[#All],2,0)),"CUIT NO CARGADO")</f>
        <v>-</v>
      </c>
      <c r="H764" s="64">
        <f>ventas_b_mes11[[#This Row],[TOTAL]]/1.21</f>
        <v>0</v>
      </c>
      <c r="I764" s="183">
        <f>ventas_b_mes11[[#This Row],[IMPORTE NETO]]*0.21</f>
        <v>0</v>
      </c>
      <c r="J764" s="184"/>
      <c r="K764" s="184"/>
      <c r="L764" s="184"/>
      <c r="M764" s="59"/>
    </row>
    <row r="765" spans="2:13" x14ac:dyDescent="0.3">
      <c r="B765" s="178"/>
      <c r="C765" s="179"/>
      <c r="D765" s="180"/>
      <c r="E765" s="181"/>
      <c r="F765" s="182"/>
      <c r="G765" s="1" t="str">
        <f>IFERROR(IF(ventas_b_mes11[[#This Row],[CUIT]]="","-",VLOOKUP(ventas_b_mes11[[#This Row],[CUIT]],Lista_CUIT[#All],2,0)),"CUIT NO CARGADO")</f>
        <v>-</v>
      </c>
      <c r="H765" s="64">
        <f>ventas_b_mes11[[#This Row],[TOTAL]]/1.21</f>
        <v>0</v>
      </c>
      <c r="I765" s="183">
        <f>ventas_b_mes11[[#This Row],[IMPORTE NETO]]*0.21</f>
        <v>0</v>
      </c>
      <c r="J765" s="184"/>
      <c r="K765" s="184"/>
      <c r="L765" s="184"/>
      <c r="M765" s="59"/>
    </row>
    <row r="766" spans="2:13" x14ac:dyDescent="0.3">
      <c r="B766" s="178"/>
      <c r="C766" s="179"/>
      <c r="D766" s="180"/>
      <c r="E766" s="181"/>
      <c r="F766" s="182"/>
      <c r="G766" s="1" t="str">
        <f>IFERROR(IF(ventas_b_mes11[[#This Row],[CUIT]]="","-",VLOOKUP(ventas_b_mes11[[#This Row],[CUIT]],Lista_CUIT[#All],2,0)),"CUIT NO CARGADO")</f>
        <v>-</v>
      </c>
      <c r="H766" s="64">
        <f>ventas_b_mes11[[#This Row],[TOTAL]]/1.21</f>
        <v>0</v>
      </c>
      <c r="I766" s="183">
        <f>ventas_b_mes11[[#This Row],[IMPORTE NETO]]*0.21</f>
        <v>0</v>
      </c>
      <c r="J766" s="184"/>
      <c r="K766" s="184"/>
      <c r="L766" s="184"/>
      <c r="M766" s="59"/>
    </row>
    <row r="767" spans="2:13" x14ac:dyDescent="0.3">
      <c r="B767" s="178"/>
      <c r="C767" s="179"/>
      <c r="D767" s="180"/>
      <c r="E767" s="181"/>
      <c r="F767" s="182"/>
      <c r="G767" s="1" t="str">
        <f>IFERROR(IF(ventas_b_mes11[[#This Row],[CUIT]]="","-",VLOOKUP(ventas_b_mes11[[#This Row],[CUIT]],Lista_CUIT[#All],2,0)),"CUIT NO CARGADO")</f>
        <v>-</v>
      </c>
      <c r="H767" s="64">
        <f>ventas_b_mes11[[#This Row],[TOTAL]]/1.21</f>
        <v>0</v>
      </c>
      <c r="I767" s="183">
        <f>ventas_b_mes11[[#This Row],[IMPORTE NETO]]*0.21</f>
        <v>0</v>
      </c>
      <c r="J767" s="184"/>
      <c r="K767" s="184"/>
      <c r="L767" s="184"/>
      <c r="M767" s="59"/>
    </row>
    <row r="768" spans="2:13" x14ac:dyDescent="0.3">
      <c r="B768" s="178"/>
      <c r="C768" s="179"/>
      <c r="D768" s="180"/>
      <c r="E768" s="181"/>
      <c r="F768" s="182"/>
      <c r="G768" s="1" t="str">
        <f>IFERROR(IF(ventas_b_mes11[[#This Row],[CUIT]]="","-",VLOOKUP(ventas_b_mes11[[#This Row],[CUIT]],Lista_CUIT[#All],2,0)),"CUIT NO CARGADO")</f>
        <v>-</v>
      </c>
      <c r="H768" s="64">
        <f>ventas_b_mes11[[#This Row],[TOTAL]]/1.21</f>
        <v>0</v>
      </c>
      <c r="I768" s="183">
        <f>ventas_b_mes11[[#This Row],[IMPORTE NETO]]*0.21</f>
        <v>0</v>
      </c>
      <c r="J768" s="184"/>
      <c r="K768" s="184"/>
      <c r="L768" s="184"/>
      <c r="M768" s="59"/>
    </row>
    <row r="769" spans="2:13" x14ac:dyDescent="0.3">
      <c r="B769" s="178"/>
      <c r="C769" s="179"/>
      <c r="D769" s="180"/>
      <c r="E769" s="181"/>
      <c r="F769" s="182"/>
      <c r="G769" s="1" t="str">
        <f>IFERROR(IF(ventas_b_mes11[[#This Row],[CUIT]]="","-",VLOOKUP(ventas_b_mes11[[#This Row],[CUIT]],Lista_CUIT[#All],2,0)),"CUIT NO CARGADO")</f>
        <v>-</v>
      </c>
      <c r="H769" s="64">
        <f>ventas_b_mes11[[#This Row],[TOTAL]]/1.21</f>
        <v>0</v>
      </c>
      <c r="I769" s="183">
        <f>ventas_b_mes11[[#This Row],[IMPORTE NETO]]*0.21</f>
        <v>0</v>
      </c>
      <c r="J769" s="184"/>
      <c r="K769" s="184"/>
      <c r="L769" s="184"/>
      <c r="M769" s="59"/>
    </row>
    <row r="770" spans="2:13" x14ac:dyDescent="0.3">
      <c r="B770" s="178"/>
      <c r="C770" s="179"/>
      <c r="D770" s="180"/>
      <c r="E770" s="181"/>
      <c r="F770" s="182"/>
      <c r="G770" s="1" t="str">
        <f>IFERROR(IF(ventas_b_mes11[[#This Row],[CUIT]]="","-",VLOOKUP(ventas_b_mes11[[#This Row],[CUIT]],Lista_CUIT[#All],2,0)),"CUIT NO CARGADO")</f>
        <v>-</v>
      </c>
      <c r="H770" s="64">
        <f>ventas_b_mes11[[#This Row],[TOTAL]]/1.21</f>
        <v>0</v>
      </c>
      <c r="I770" s="183">
        <f>ventas_b_mes11[[#This Row],[IMPORTE NETO]]*0.21</f>
        <v>0</v>
      </c>
      <c r="J770" s="184"/>
      <c r="K770" s="184"/>
      <c r="L770" s="184"/>
      <c r="M770" s="59"/>
    </row>
    <row r="771" spans="2:13" x14ac:dyDescent="0.3">
      <c r="B771" s="178"/>
      <c r="C771" s="179"/>
      <c r="D771" s="180"/>
      <c r="E771" s="181"/>
      <c r="F771" s="182"/>
      <c r="G771" s="1" t="str">
        <f>IFERROR(IF(ventas_b_mes11[[#This Row],[CUIT]]="","-",VLOOKUP(ventas_b_mes11[[#This Row],[CUIT]],Lista_CUIT[#All],2,0)),"CUIT NO CARGADO")</f>
        <v>-</v>
      </c>
      <c r="H771" s="64">
        <f>ventas_b_mes11[[#This Row],[TOTAL]]/1.21</f>
        <v>0</v>
      </c>
      <c r="I771" s="183">
        <f>ventas_b_mes11[[#This Row],[IMPORTE NETO]]*0.21</f>
        <v>0</v>
      </c>
      <c r="J771" s="184"/>
      <c r="K771" s="184"/>
      <c r="L771" s="184"/>
      <c r="M771" s="59"/>
    </row>
    <row r="772" spans="2:13" x14ac:dyDescent="0.3">
      <c r="B772" s="178"/>
      <c r="C772" s="179"/>
      <c r="D772" s="180"/>
      <c r="E772" s="181"/>
      <c r="F772" s="182"/>
      <c r="G772" s="1" t="str">
        <f>IFERROR(IF(ventas_b_mes11[[#This Row],[CUIT]]="","-",VLOOKUP(ventas_b_mes11[[#This Row],[CUIT]],Lista_CUIT[#All],2,0)),"CUIT NO CARGADO")</f>
        <v>-</v>
      </c>
      <c r="H772" s="64">
        <f>ventas_b_mes11[[#This Row],[TOTAL]]/1.21</f>
        <v>0</v>
      </c>
      <c r="I772" s="183">
        <f>ventas_b_mes11[[#This Row],[IMPORTE NETO]]*0.21</f>
        <v>0</v>
      </c>
      <c r="J772" s="184"/>
      <c r="K772" s="184"/>
      <c r="L772" s="184"/>
      <c r="M772" s="59"/>
    </row>
    <row r="773" spans="2:13" x14ac:dyDescent="0.3">
      <c r="B773" s="178"/>
      <c r="C773" s="179"/>
      <c r="D773" s="180"/>
      <c r="E773" s="181"/>
      <c r="F773" s="182"/>
      <c r="G773" s="1" t="str">
        <f>IFERROR(IF(ventas_b_mes11[[#This Row],[CUIT]]="","-",VLOOKUP(ventas_b_mes11[[#This Row],[CUIT]],Lista_CUIT[#All],2,0)),"CUIT NO CARGADO")</f>
        <v>-</v>
      </c>
      <c r="H773" s="64">
        <f>ventas_b_mes11[[#This Row],[TOTAL]]/1.21</f>
        <v>0</v>
      </c>
      <c r="I773" s="183">
        <f>ventas_b_mes11[[#This Row],[IMPORTE NETO]]*0.21</f>
        <v>0</v>
      </c>
      <c r="J773" s="184"/>
      <c r="K773" s="184"/>
      <c r="L773" s="184"/>
      <c r="M773" s="59"/>
    </row>
    <row r="774" spans="2:13" x14ac:dyDescent="0.3">
      <c r="B774" s="178"/>
      <c r="C774" s="179"/>
      <c r="D774" s="180"/>
      <c r="E774" s="181"/>
      <c r="F774" s="182"/>
      <c r="G774" s="1" t="str">
        <f>IFERROR(IF(ventas_b_mes11[[#This Row],[CUIT]]="","-",VLOOKUP(ventas_b_mes11[[#This Row],[CUIT]],Lista_CUIT[#All],2,0)),"CUIT NO CARGADO")</f>
        <v>-</v>
      </c>
      <c r="H774" s="64">
        <f>ventas_b_mes11[[#This Row],[TOTAL]]/1.21</f>
        <v>0</v>
      </c>
      <c r="I774" s="183">
        <f>ventas_b_mes11[[#This Row],[IMPORTE NETO]]*0.21</f>
        <v>0</v>
      </c>
      <c r="J774" s="184"/>
      <c r="K774" s="184"/>
      <c r="L774" s="184"/>
      <c r="M774" s="59"/>
    </row>
    <row r="775" spans="2:13" x14ac:dyDescent="0.3">
      <c r="B775" s="178"/>
      <c r="C775" s="179"/>
      <c r="D775" s="180"/>
      <c r="E775" s="181"/>
      <c r="F775" s="182"/>
      <c r="G775" s="1" t="str">
        <f>IFERROR(IF(ventas_b_mes11[[#This Row],[CUIT]]="","-",VLOOKUP(ventas_b_mes11[[#This Row],[CUIT]],Lista_CUIT[#All],2,0)),"CUIT NO CARGADO")</f>
        <v>-</v>
      </c>
      <c r="H775" s="64">
        <f>ventas_b_mes11[[#This Row],[TOTAL]]/1.21</f>
        <v>0</v>
      </c>
      <c r="I775" s="183">
        <f>ventas_b_mes11[[#This Row],[IMPORTE NETO]]*0.21</f>
        <v>0</v>
      </c>
      <c r="J775" s="184"/>
      <c r="K775" s="184"/>
      <c r="L775" s="184"/>
      <c r="M775" s="59"/>
    </row>
    <row r="776" spans="2:13" x14ac:dyDescent="0.3">
      <c r="B776" s="178"/>
      <c r="C776" s="179"/>
      <c r="D776" s="180"/>
      <c r="E776" s="181"/>
      <c r="F776" s="182"/>
      <c r="G776" s="1" t="str">
        <f>IFERROR(IF(ventas_b_mes11[[#This Row],[CUIT]]="","-",VLOOKUP(ventas_b_mes11[[#This Row],[CUIT]],Lista_CUIT[#All],2,0)),"CUIT NO CARGADO")</f>
        <v>-</v>
      </c>
      <c r="H776" s="64">
        <f>ventas_b_mes11[[#This Row],[TOTAL]]/1.21</f>
        <v>0</v>
      </c>
      <c r="I776" s="183">
        <f>ventas_b_mes11[[#This Row],[IMPORTE NETO]]*0.21</f>
        <v>0</v>
      </c>
      <c r="J776" s="184"/>
      <c r="K776" s="184"/>
      <c r="L776" s="184"/>
      <c r="M776" s="59"/>
    </row>
    <row r="777" spans="2:13" x14ac:dyDescent="0.3">
      <c r="B777" s="178"/>
      <c r="C777" s="179"/>
      <c r="D777" s="180"/>
      <c r="E777" s="181"/>
      <c r="F777" s="182"/>
      <c r="G777" s="1" t="str">
        <f>IFERROR(IF(ventas_b_mes11[[#This Row],[CUIT]]="","-",VLOOKUP(ventas_b_mes11[[#This Row],[CUIT]],Lista_CUIT[#All],2,0)),"CUIT NO CARGADO")</f>
        <v>-</v>
      </c>
      <c r="H777" s="64">
        <f>ventas_b_mes11[[#This Row],[TOTAL]]/1.21</f>
        <v>0</v>
      </c>
      <c r="I777" s="183">
        <f>ventas_b_mes11[[#This Row],[IMPORTE NETO]]*0.21</f>
        <v>0</v>
      </c>
      <c r="J777" s="184"/>
      <c r="K777" s="184"/>
      <c r="L777" s="184"/>
      <c r="M777" s="59"/>
    </row>
    <row r="778" spans="2:13" x14ac:dyDescent="0.3">
      <c r="B778" s="178"/>
      <c r="C778" s="179"/>
      <c r="D778" s="180"/>
      <c r="E778" s="181"/>
      <c r="F778" s="182"/>
      <c r="G778" s="1" t="str">
        <f>IFERROR(IF(ventas_b_mes11[[#This Row],[CUIT]]="","-",VLOOKUP(ventas_b_mes11[[#This Row],[CUIT]],Lista_CUIT[#All],2,0)),"CUIT NO CARGADO")</f>
        <v>-</v>
      </c>
      <c r="H778" s="64">
        <f>ventas_b_mes11[[#This Row],[TOTAL]]/1.21</f>
        <v>0</v>
      </c>
      <c r="I778" s="183">
        <f>ventas_b_mes11[[#This Row],[IMPORTE NETO]]*0.21</f>
        <v>0</v>
      </c>
      <c r="J778" s="184"/>
      <c r="K778" s="184"/>
      <c r="L778" s="184"/>
      <c r="M778" s="59"/>
    </row>
    <row r="779" spans="2:13" x14ac:dyDescent="0.3">
      <c r="B779" s="178"/>
      <c r="C779" s="179"/>
      <c r="D779" s="180"/>
      <c r="E779" s="181"/>
      <c r="F779" s="182"/>
      <c r="G779" s="1" t="str">
        <f>IFERROR(IF(ventas_b_mes11[[#This Row],[CUIT]]="","-",VLOOKUP(ventas_b_mes11[[#This Row],[CUIT]],Lista_CUIT[#All],2,0)),"CUIT NO CARGADO")</f>
        <v>-</v>
      </c>
      <c r="H779" s="64">
        <f>ventas_b_mes11[[#This Row],[TOTAL]]/1.21</f>
        <v>0</v>
      </c>
      <c r="I779" s="183">
        <f>ventas_b_mes11[[#This Row],[IMPORTE NETO]]*0.21</f>
        <v>0</v>
      </c>
      <c r="J779" s="184"/>
      <c r="K779" s="184"/>
      <c r="L779" s="184"/>
      <c r="M779" s="59"/>
    </row>
    <row r="780" spans="2:13" x14ac:dyDescent="0.3">
      <c r="B780" s="178"/>
      <c r="C780" s="179"/>
      <c r="D780" s="180"/>
      <c r="E780" s="181"/>
      <c r="F780" s="182"/>
      <c r="G780" s="1" t="str">
        <f>IFERROR(IF(ventas_b_mes11[[#This Row],[CUIT]]="","-",VLOOKUP(ventas_b_mes11[[#This Row],[CUIT]],Lista_CUIT[#All],2,0)),"CUIT NO CARGADO")</f>
        <v>-</v>
      </c>
      <c r="H780" s="64">
        <f>ventas_b_mes11[[#This Row],[TOTAL]]/1.21</f>
        <v>0</v>
      </c>
      <c r="I780" s="183">
        <f>ventas_b_mes11[[#This Row],[IMPORTE NETO]]*0.21</f>
        <v>0</v>
      </c>
      <c r="J780" s="184"/>
      <c r="K780" s="184"/>
      <c r="L780" s="184"/>
      <c r="M780" s="59"/>
    </row>
    <row r="781" spans="2:13" x14ac:dyDescent="0.3">
      <c r="B781" s="178"/>
      <c r="C781" s="179"/>
      <c r="D781" s="180"/>
      <c r="E781" s="181"/>
      <c r="F781" s="182"/>
      <c r="G781" s="1" t="str">
        <f>IFERROR(IF(ventas_b_mes11[[#This Row],[CUIT]]="","-",VLOOKUP(ventas_b_mes11[[#This Row],[CUIT]],Lista_CUIT[#All],2,0)),"CUIT NO CARGADO")</f>
        <v>-</v>
      </c>
      <c r="H781" s="64">
        <f>ventas_b_mes11[[#This Row],[TOTAL]]/1.21</f>
        <v>0</v>
      </c>
      <c r="I781" s="183">
        <f>ventas_b_mes11[[#This Row],[IMPORTE NETO]]*0.21</f>
        <v>0</v>
      </c>
      <c r="J781" s="184"/>
      <c r="K781" s="184"/>
      <c r="L781" s="184"/>
      <c r="M781" s="59"/>
    </row>
    <row r="782" spans="2:13" x14ac:dyDescent="0.3">
      <c r="B782" s="178"/>
      <c r="C782" s="179"/>
      <c r="D782" s="180"/>
      <c r="E782" s="181"/>
      <c r="F782" s="182"/>
      <c r="G782" s="1" t="str">
        <f>IFERROR(IF(ventas_b_mes11[[#This Row],[CUIT]]="","-",VLOOKUP(ventas_b_mes11[[#This Row],[CUIT]],Lista_CUIT[#All],2,0)),"CUIT NO CARGADO")</f>
        <v>-</v>
      </c>
      <c r="H782" s="64">
        <f>ventas_b_mes11[[#This Row],[TOTAL]]/1.21</f>
        <v>0</v>
      </c>
      <c r="I782" s="183">
        <f>ventas_b_mes11[[#This Row],[IMPORTE NETO]]*0.21</f>
        <v>0</v>
      </c>
      <c r="J782" s="184"/>
      <c r="K782" s="184"/>
      <c r="L782" s="184"/>
      <c r="M782" s="59"/>
    </row>
    <row r="783" spans="2:13" x14ac:dyDescent="0.3">
      <c r="B783" s="178"/>
      <c r="C783" s="179"/>
      <c r="D783" s="180"/>
      <c r="E783" s="181"/>
      <c r="F783" s="182"/>
      <c r="G783" s="1" t="str">
        <f>IFERROR(IF(ventas_b_mes11[[#This Row],[CUIT]]="","-",VLOOKUP(ventas_b_mes11[[#This Row],[CUIT]],Lista_CUIT[#All],2,0)),"CUIT NO CARGADO")</f>
        <v>-</v>
      </c>
      <c r="H783" s="64">
        <f>ventas_b_mes11[[#This Row],[TOTAL]]/1.21</f>
        <v>0</v>
      </c>
      <c r="I783" s="183">
        <f>ventas_b_mes11[[#This Row],[IMPORTE NETO]]*0.21</f>
        <v>0</v>
      </c>
      <c r="J783" s="184"/>
      <c r="K783" s="184"/>
      <c r="L783" s="184"/>
      <c r="M783" s="59"/>
    </row>
    <row r="784" spans="2:13" x14ac:dyDescent="0.3">
      <c r="B784" s="178"/>
      <c r="C784" s="179"/>
      <c r="D784" s="180"/>
      <c r="E784" s="181"/>
      <c r="F784" s="182"/>
      <c r="G784" s="1" t="str">
        <f>IFERROR(IF(ventas_b_mes11[[#This Row],[CUIT]]="","-",VLOOKUP(ventas_b_mes11[[#This Row],[CUIT]],Lista_CUIT[#All],2,0)),"CUIT NO CARGADO")</f>
        <v>-</v>
      </c>
      <c r="H784" s="64">
        <f>ventas_b_mes11[[#This Row],[TOTAL]]/1.21</f>
        <v>0</v>
      </c>
      <c r="I784" s="183">
        <f>ventas_b_mes11[[#This Row],[IMPORTE NETO]]*0.21</f>
        <v>0</v>
      </c>
      <c r="J784" s="184"/>
      <c r="K784" s="184"/>
      <c r="L784" s="184"/>
      <c r="M784" s="59"/>
    </row>
    <row r="785" spans="2:13" x14ac:dyDescent="0.3">
      <c r="B785" s="178"/>
      <c r="C785" s="179"/>
      <c r="D785" s="180"/>
      <c r="E785" s="181"/>
      <c r="F785" s="182"/>
      <c r="G785" s="1" t="str">
        <f>IFERROR(IF(ventas_b_mes11[[#This Row],[CUIT]]="","-",VLOOKUP(ventas_b_mes11[[#This Row],[CUIT]],Lista_CUIT[#All],2,0)),"CUIT NO CARGADO")</f>
        <v>-</v>
      </c>
      <c r="H785" s="64">
        <f>ventas_b_mes11[[#This Row],[TOTAL]]/1.21</f>
        <v>0</v>
      </c>
      <c r="I785" s="183">
        <f>ventas_b_mes11[[#This Row],[IMPORTE NETO]]*0.21</f>
        <v>0</v>
      </c>
      <c r="J785" s="184"/>
      <c r="K785" s="184"/>
      <c r="L785" s="184"/>
      <c r="M785" s="59"/>
    </row>
    <row r="786" spans="2:13" x14ac:dyDescent="0.3">
      <c r="B786" s="178"/>
      <c r="C786" s="179"/>
      <c r="D786" s="180"/>
      <c r="E786" s="181"/>
      <c r="F786" s="182"/>
      <c r="G786" s="1" t="str">
        <f>IFERROR(IF(ventas_b_mes11[[#This Row],[CUIT]]="","-",VLOOKUP(ventas_b_mes11[[#This Row],[CUIT]],Lista_CUIT[#All],2,0)),"CUIT NO CARGADO")</f>
        <v>-</v>
      </c>
      <c r="H786" s="64">
        <f>ventas_b_mes11[[#This Row],[TOTAL]]/1.21</f>
        <v>0</v>
      </c>
      <c r="I786" s="183">
        <f>ventas_b_mes11[[#This Row],[IMPORTE NETO]]*0.21</f>
        <v>0</v>
      </c>
      <c r="J786" s="184"/>
      <c r="K786" s="184"/>
      <c r="L786" s="184"/>
      <c r="M786" s="59"/>
    </row>
    <row r="787" spans="2:13" x14ac:dyDescent="0.3">
      <c r="B787" s="178"/>
      <c r="C787" s="179"/>
      <c r="D787" s="180"/>
      <c r="E787" s="181"/>
      <c r="F787" s="182"/>
      <c r="G787" s="1" t="str">
        <f>IFERROR(IF(ventas_b_mes11[[#This Row],[CUIT]]="","-",VLOOKUP(ventas_b_mes11[[#This Row],[CUIT]],Lista_CUIT[#All],2,0)),"CUIT NO CARGADO")</f>
        <v>-</v>
      </c>
      <c r="H787" s="64">
        <f>ventas_b_mes11[[#This Row],[TOTAL]]/1.21</f>
        <v>0</v>
      </c>
      <c r="I787" s="183">
        <f>ventas_b_mes11[[#This Row],[IMPORTE NETO]]*0.21</f>
        <v>0</v>
      </c>
      <c r="J787" s="184"/>
      <c r="K787" s="184"/>
      <c r="L787" s="184"/>
      <c r="M787" s="59"/>
    </row>
    <row r="788" spans="2:13" x14ac:dyDescent="0.3">
      <c r="B788" s="178"/>
      <c r="C788" s="179"/>
      <c r="D788" s="180"/>
      <c r="E788" s="181"/>
      <c r="F788" s="182"/>
      <c r="G788" s="1" t="str">
        <f>IFERROR(IF(ventas_b_mes11[[#This Row],[CUIT]]="","-",VLOOKUP(ventas_b_mes11[[#This Row],[CUIT]],Lista_CUIT[#All],2,0)),"CUIT NO CARGADO")</f>
        <v>-</v>
      </c>
      <c r="H788" s="64">
        <f>ventas_b_mes11[[#This Row],[TOTAL]]/1.21</f>
        <v>0</v>
      </c>
      <c r="I788" s="183">
        <f>ventas_b_mes11[[#This Row],[IMPORTE NETO]]*0.21</f>
        <v>0</v>
      </c>
      <c r="J788" s="184"/>
      <c r="K788" s="184"/>
      <c r="L788" s="184"/>
      <c r="M788" s="59"/>
    </row>
    <row r="789" spans="2:13" x14ac:dyDescent="0.3">
      <c r="B789" s="178"/>
      <c r="C789" s="179"/>
      <c r="D789" s="180"/>
      <c r="E789" s="181"/>
      <c r="F789" s="182"/>
      <c r="G789" s="1" t="str">
        <f>IFERROR(IF(ventas_b_mes11[[#This Row],[CUIT]]="","-",VLOOKUP(ventas_b_mes11[[#This Row],[CUIT]],Lista_CUIT[#All],2,0)),"CUIT NO CARGADO")</f>
        <v>-</v>
      </c>
      <c r="H789" s="64">
        <f>ventas_b_mes11[[#This Row],[TOTAL]]/1.21</f>
        <v>0</v>
      </c>
      <c r="I789" s="183">
        <f>ventas_b_mes11[[#This Row],[IMPORTE NETO]]*0.21</f>
        <v>0</v>
      </c>
      <c r="J789" s="184"/>
      <c r="K789" s="184"/>
      <c r="L789" s="184"/>
      <c r="M789" s="59"/>
    </row>
    <row r="790" spans="2:13" x14ac:dyDescent="0.3">
      <c r="B790" s="178"/>
      <c r="C790" s="179"/>
      <c r="D790" s="180"/>
      <c r="E790" s="181"/>
      <c r="F790" s="182"/>
      <c r="G790" s="1" t="str">
        <f>IFERROR(IF(ventas_b_mes11[[#This Row],[CUIT]]="","-",VLOOKUP(ventas_b_mes11[[#This Row],[CUIT]],Lista_CUIT[#All],2,0)),"CUIT NO CARGADO")</f>
        <v>-</v>
      </c>
      <c r="H790" s="64">
        <f>ventas_b_mes11[[#This Row],[TOTAL]]/1.21</f>
        <v>0</v>
      </c>
      <c r="I790" s="183">
        <f>ventas_b_mes11[[#This Row],[IMPORTE NETO]]*0.21</f>
        <v>0</v>
      </c>
      <c r="J790" s="184"/>
      <c r="K790" s="184"/>
      <c r="L790" s="184"/>
      <c r="M790" s="59"/>
    </row>
    <row r="791" spans="2:13" x14ac:dyDescent="0.3">
      <c r="B791" s="178"/>
      <c r="C791" s="179"/>
      <c r="D791" s="180"/>
      <c r="E791" s="181"/>
      <c r="F791" s="182"/>
      <c r="G791" s="1" t="str">
        <f>IFERROR(IF(ventas_b_mes11[[#This Row],[CUIT]]="","-",VLOOKUP(ventas_b_mes11[[#This Row],[CUIT]],Lista_CUIT[#All],2,0)),"CUIT NO CARGADO")</f>
        <v>-</v>
      </c>
      <c r="H791" s="64">
        <f>ventas_b_mes11[[#This Row],[TOTAL]]/1.21</f>
        <v>0</v>
      </c>
      <c r="I791" s="183">
        <f>ventas_b_mes11[[#This Row],[IMPORTE NETO]]*0.21</f>
        <v>0</v>
      </c>
      <c r="J791" s="184"/>
      <c r="K791" s="184"/>
      <c r="L791" s="184"/>
      <c r="M791" s="59"/>
    </row>
    <row r="792" spans="2:13" x14ac:dyDescent="0.3">
      <c r="B792" s="178"/>
      <c r="C792" s="179"/>
      <c r="D792" s="180"/>
      <c r="E792" s="181"/>
      <c r="F792" s="182"/>
      <c r="G792" s="1" t="str">
        <f>IFERROR(IF(ventas_b_mes11[[#This Row],[CUIT]]="","-",VLOOKUP(ventas_b_mes11[[#This Row],[CUIT]],Lista_CUIT[#All],2,0)),"CUIT NO CARGADO")</f>
        <v>-</v>
      </c>
      <c r="H792" s="64">
        <f>ventas_b_mes11[[#This Row],[TOTAL]]/1.21</f>
        <v>0</v>
      </c>
      <c r="I792" s="183">
        <f>ventas_b_mes11[[#This Row],[IMPORTE NETO]]*0.21</f>
        <v>0</v>
      </c>
      <c r="J792" s="184"/>
      <c r="K792" s="184"/>
      <c r="L792" s="184"/>
      <c r="M792" s="59"/>
    </row>
    <row r="793" spans="2:13" x14ac:dyDescent="0.3">
      <c r="B793" s="178"/>
      <c r="C793" s="179"/>
      <c r="D793" s="180"/>
      <c r="E793" s="181"/>
      <c r="F793" s="182"/>
      <c r="G793" s="1" t="str">
        <f>IFERROR(IF(ventas_b_mes11[[#This Row],[CUIT]]="","-",VLOOKUP(ventas_b_mes11[[#This Row],[CUIT]],Lista_CUIT[#All],2,0)),"CUIT NO CARGADO")</f>
        <v>-</v>
      </c>
      <c r="H793" s="64">
        <f>ventas_b_mes11[[#This Row],[TOTAL]]/1.21</f>
        <v>0</v>
      </c>
      <c r="I793" s="183">
        <f>ventas_b_mes11[[#This Row],[IMPORTE NETO]]*0.21</f>
        <v>0</v>
      </c>
      <c r="J793" s="184"/>
      <c r="K793" s="184"/>
      <c r="L793" s="184"/>
      <c r="M793" s="59"/>
    </row>
    <row r="794" spans="2:13" x14ac:dyDescent="0.3">
      <c r="B794" s="178"/>
      <c r="C794" s="179"/>
      <c r="D794" s="180"/>
      <c r="E794" s="181"/>
      <c r="F794" s="182"/>
      <c r="G794" s="1" t="str">
        <f>IFERROR(IF(ventas_b_mes11[[#This Row],[CUIT]]="","-",VLOOKUP(ventas_b_mes11[[#This Row],[CUIT]],Lista_CUIT[#All],2,0)),"CUIT NO CARGADO")</f>
        <v>-</v>
      </c>
      <c r="H794" s="64">
        <f>ventas_b_mes11[[#This Row],[TOTAL]]/1.21</f>
        <v>0</v>
      </c>
      <c r="I794" s="183">
        <f>ventas_b_mes11[[#This Row],[IMPORTE NETO]]*0.21</f>
        <v>0</v>
      </c>
      <c r="J794" s="184"/>
      <c r="K794" s="184"/>
      <c r="L794" s="184"/>
      <c r="M794" s="59"/>
    </row>
    <row r="795" spans="2:13" x14ac:dyDescent="0.3">
      <c r="B795" s="178"/>
      <c r="C795" s="179"/>
      <c r="D795" s="180"/>
      <c r="E795" s="181"/>
      <c r="F795" s="182"/>
      <c r="G795" s="1" t="str">
        <f>IFERROR(IF(ventas_b_mes11[[#This Row],[CUIT]]="","-",VLOOKUP(ventas_b_mes11[[#This Row],[CUIT]],Lista_CUIT[#All],2,0)),"CUIT NO CARGADO")</f>
        <v>-</v>
      </c>
      <c r="H795" s="64">
        <f>ventas_b_mes11[[#This Row],[TOTAL]]/1.21</f>
        <v>0</v>
      </c>
      <c r="I795" s="183">
        <f>ventas_b_mes11[[#This Row],[IMPORTE NETO]]*0.21</f>
        <v>0</v>
      </c>
      <c r="J795" s="184"/>
      <c r="K795" s="184"/>
      <c r="L795" s="184"/>
      <c r="M795" s="59"/>
    </row>
    <row r="796" spans="2:13" x14ac:dyDescent="0.3">
      <c r="B796" s="178"/>
      <c r="C796" s="179"/>
      <c r="D796" s="180"/>
      <c r="E796" s="181"/>
      <c r="F796" s="182"/>
      <c r="G796" s="1" t="str">
        <f>IFERROR(IF(ventas_b_mes11[[#This Row],[CUIT]]="","-",VLOOKUP(ventas_b_mes11[[#This Row],[CUIT]],Lista_CUIT[#All],2,0)),"CUIT NO CARGADO")</f>
        <v>-</v>
      </c>
      <c r="H796" s="64">
        <f>ventas_b_mes11[[#This Row],[TOTAL]]/1.21</f>
        <v>0</v>
      </c>
      <c r="I796" s="183">
        <f>ventas_b_mes11[[#This Row],[IMPORTE NETO]]*0.21</f>
        <v>0</v>
      </c>
      <c r="J796" s="184"/>
      <c r="K796" s="184"/>
      <c r="L796" s="184"/>
      <c r="M796" s="59"/>
    </row>
    <row r="797" spans="2:13" x14ac:dyDescent="0.3">
      <c r="B797" s="178"/>
      <c r="C797" s="179"/>
      <c r="D797" s="180"/>
      <c r="E797" s="181"/>
      <c r="F797" s="182"/>
      <c r="G797" s="1" t="str">
        <f>IFERROR(IF(ventas_b_mes11[[#This Row],[CUIT]]="","-",VLOOKUP(ventas_b_mes11[[#This Row],[CUIT]],Lista_CUIT[#All],2,0)),"CUIT NO CARGADO")</f>
        <v>-</v>
      </c>
      <c r="H797" s="64">
        <f>ventas_b_mes11[[#This Row],[TOTAL]]/1.21</f>
        <v>0</v>
      </c>
      <c r="I797" s="183">
        <f>ventas_b_mes11[[#This Row],[IMPORTE NETO]]*0.21</f>
        <v>0</v>
      </c>
      <c r="J797" s="184"/>
      <c r="K797" s="184"/>
      <c r="L797" s="184"/>
      <c r="M797" s="59"/>
    </row>
    <row r="798" spans="2:13" x14ac:dyDescent="0.3">
      <c r="B798" s="178"/>
      <c r="C798" s="179"/>
      <c r="D798" s="180"/>
      <c r="E798" s="181"/>
      <c r="F798" s="182"/>
      <c r="G798" s="1" t="str">
        <f>IFERROR(IF(ventas_b_mes11[[#This Row],[CUIT]]="","-",VLOOKUP(ventas_b_mes11[[#This Row],[CUIT]],Lista_CUIT[#All],2,0)),"CUIT NO CARGADO")</f>
        <v>-</v>
      </c>
      <c r="H798" s="64">
        <f>ventas_b_mes11[[#This Row],[TOTAL]]/1.21</f>
        <v>0</v>
      </c>
      <c r="I798" s="183">
        <f>ventas_b_mes11[[#This Row],[IMPORTE NETO]]*0.21</f>
        <v>0</v>
      </c>
      <c r="J798" s="184"/>
      <c r="K798" s="184"/>
      <c r="L798" s="184"/>
      <c r="M798" s="59"/>
    </row>
    <row r="799" spans="2:13" x14ac:dyDescent="0.3">
      <c r="B799" s="178"/>
      <c r="C799" s="179"/>
      <c r="D799" s="180"/>
      <c r="E799" s="181"/>
      <c r="F799" s="182"/>
      <c r="G799" s="1" t="str">
        <f>IFERROR(IF(ventas_b_mes11[[#This Row],[CUIT]]="","-",VLOOKUP(ventas_b_mes11[[#This Row],[CUIT]],Lista_CUIT[#All],2,0)),"CUIT NO CARGADO")</f>
        <v>-</v>
      </c>
      <c r="H799" s="64">
        <f>ventas_b_mes11[[#This Row],[TOTAL]]/1.21</f>
        <v>0</v>
      </c>
      <c r="I799" s="183">
        <f>ventas_b_mes11[[#This Row],[IMPORTE NETO]]*0.21</f>
        <v>0</v>
      </c>
      <c r="J799" s="184"/>
      <c r="K799" s="184"/>
      <c r="L799" s="184"/>
      <c r="M799" s="59"/>
    </row>
    <row r="800" spans="2:13" x14ac:dyDescent="0.3">
      <c r="B800" s="178"/>
      <c r="C800" s="179"/>
      <c r="D800" s="180"/>
      <c r="E800" s="181"/>
      <c r="F800" s="182"/>
      <c r="G800" s="1" t="str">
        <f>IFERROR(IF(ventas_b_mes11[[#This Row],[CUIT]]="","-",VLOOKUP(ventas_b_mes11[[#This Row],[CUIT]],Lista_CUIT[#All],2,0)),"CUIT NO CARGADO")</f>
        <v>-</v>
      </c>
      <c r="H800" s="64">
        <f>ventas_b_mes11[[#This Row],[TOTAL]]/1.21</f>
        <v>0</v>
      </c>
      <c r="I800" s="183">
        <f>ventas_b_mes11[[#This Row],[IMPORTE NETO]]*0.21</f>
        <v>0</v>
      </c>
      <c r="J800" s="184"/>
      <c r="K800" s="184"/>
      <c r="L800" s="184"/>
      <c r="M800" s="59"/>
    </row>
    <row r="801" spans="2:13" x14ac:dyDescent="0.3">
      <c r="B801" s="178"/>
      <c r="C801" s="179"/>
      <c r="D801" s="180"/>
      <c r="E801" s="181"/>
      <c r="F801" s="182"/>
      <c r="G801" s="1" t="str">
        <f>IFERROR(IF(ventas_b_mes11[[#This Row],[CUIT]]="","-",VLOOKUP(ventas_b_mes11[[#This Row],[CUIT]],Lista_CUIT[#All],2,0)),"CUIT NO CARGADO")</f>
        <v>-</v>
      </c>
      <c r="H801" s="64">
        <f>ventas_b_mes11[[#This Row],[TOTAL]]/1.21</f>
        <v>0</v>
      </c>
      <c r="I801" s="183">
        <f>ventas_b_mes11[[#This Row],[IMPORTE NETO]]*0.21</f>
        <v>0</v>
      </c>
      <c r="J801" s="184"/>
      <c r="K801" s="184"/>
      <c r="L801" s="184"/>
      <c r="M801" s="59"/>
    </row>
    <row r="802" spans="2:13" x14ac:dyDescent="0.3">
      <c r="B802" s="178"/>
      <c r="C802" s="179"/>
      <c r="D802" s="180"/>
      <c r="E802" s="181"/>
      <c r="F802" s="182"/>
      <c r="G802" s="1" t="str">
        <f>IFERROR(IF(ventas_b_mes11[[#This Row],[CUIT]]="","-",VLOOKUP(ventas_b_mes11[[#This Row],[CUIT]],Lista_CUIT[#All],2,0)),"CUIT NO CARGADO")</f>
        <v>-</v>
      </c>
      <c r="H802" s="64">
        <f>ventas_b_mes11[[#This Row],[TOTAL]]/1.21</f>
        <v>0</v>
      </c>
      <c r="I802" s="183">
        <f>ventas_b_mes11[[#This Row],[IMPORTE NETO]]*0.21</f>
        <v>0</v>
      </c>
      <c r="J802" s="184"/>
      <c r="K802" s="184"/>
      <c r="L802" s="184"/>
      <c r="M802" s="59"/>
    </row>
    <row r="803" spans="2:13" x14ac:dyDescent="0.3">
      <c r="B803" s="178"/>
      <c r="C803" s="179"/>
      <c r="D803" s="180"/>
      <c r="E803" s="181"/>
      <c r="F803" s="182"/>
      <c r="G803" s="1" t="str">
        <f>IFERROR(IF(ventas_b_mes11[[#This Row],[CUIT]]="","-",VLOOKUP(ventas_b_mes11[[#This Row],[CUIT]],Lista_CUIT[#All],2,0)),"CUIT NO CARGADO")</f>
        <v>-</v>
      </c>
      <c r="H803" s="64">
        <f>ventas_b_mes11[[#This Row],[TOTAL]]/1.21</f>
        <v>0</v>
      </c>
      <c r="I803" s="183">
        <f>ventas_b_mes11[[#This Row],[IMPORTE NETO]]*0.21</f>
        <v>0</v>
      </c>
      <c r="J803" s="184"/>
      <c r="K803" s="184"/>
      <c r="L803" s="184"/>
      <c r="M803" s="59"/>
    </row>
    <row r="804" spans="2:13" x14ac:dyDescent="0.3">
      <c r="B804" s="178"/>
      <c r="C804" s="179"/>
      <c r="D804" s="180"/>
      <c r="E804" s="181"/>
      <c r="F804" s="182"/>
      <c r="G804" s="1" t="str">
        <f>IFERROR(IF(ventas_b_mes11[[#This Row],[CUIT]]="","-",VLOOKUP(ventas_b_mes11[[#This Row],[CUIT]],Lista_CUIT[#All],2,0)),"CUIT NO CARGADO")</f>
        <v>-</v>
      </c>
      <c r="H804" s="64">
        <f>ventas_b_mes11[[#This Row],[TOTAL]]/1.21</f>
        <v>0</v>
      </c>
      <c r="I804" s="183">
        <f>ventas_b_mes11[[#This Row],[IMPORTE NETO]]*0.21</f>
        <v>0</v>
      </c>
      <c r="J804" s="184"/>
      <c r="K804" s="184"/>
      <c r="L804" s="184"/>
      <c r="M804" s="59"/>
    </row>
    <row r="805" spans="2:13" x14ac:dyDescent="0.3">
      <c r="B805" s="178"/>
      <c r="C805" s="179"/>
      <c r="D805" s="180"/>
      <c r="E805" s="181"/>
      <c r="F805" s="182"/>
      <c r="G805" s="1" t="str">
        <f>IFERROR(IF(ventas_b_mes11[[#This Row],[CUIT]]="","-",VLOOKUP(ventas_b_mes11[[#This Row],[CUIT]],Lista_CUIT[#All],2,0)),"CUIT NO CARGADO")</f>
        <v>-</v>
      </c>
      <c r="H805" s="64">
        <f>ventas_b_mes11[[#This Row],[TOTAL]]/1.21</f>
        <v>0</v>
      </c>
      <c r="I805" s="183">
        <f>ventas_b_mes11[[#This Row],[IMPORTE NETO]]*0.21</f>
        <v>0</v>
      </c>
      <c r="J805" s="184"/>
      <c r="K805" s="184"/>
      <c r="L805" s="184"/>
      <c r="M805" s="59"/>
    </row>
    <row r="806" spans="2:13" x14ac:dyDescent="0.3">
      <c r="B806" s="178"/>
      <c r="C806" s="179"/>
      <c r="D806" s="180"/>
      <c r="E806" s="181"/>
      <c r="F806" s="182"/>
      <c r="G806" s="1" t="str">
        <f>IFERROR(IF(ventas_b_mes11[[#This Row],[CUIT]]="","-",VLOOKUP(ventas_b_mes11[[#This Row],[CUIT]],Lista_CUIT[#All],2,0)),"CUIT NO CARGADO")</f>
        <v>-</v>
      </c>
      <c r="H806" s="64">
        <f>ventas_b_mes11[[#This Row],[TOTAL]]/1.21</f>
        <v>0</v>
      </c>
      <c r="I806" s="183">
        <f>ventas_b_mes11[[#This Row],[IMPORTE NETO]]*0.21</f>
        <v>0</v>
      </c>
      <c r="J806" s="184"/>
      <c r="K806" s="184"/>
      <c r="L806" s="184"/>
      <c r="M806" s="59"/>
    </row>
    <row r="807" spans="2:13" x14ac:dyDescent="0.3">
      <c r="B807" s="178"/>
      <c r="C807" s="179"/>
      <c r="D807" s="180"/>
      <c r="E807" s="181"/>
      <c r="F807" s="182"/>
      <c r="G807" s="1" t="str">
        <f>IFERROR(IF(ventas_b_mes11[[#This Row],[CUIT]]="","-",VLOOKUP(ventas_b_mes11[[#This Row],[CUIT]],Lista_CUIT[#All],2,0)),"CUIT NO CARGADO")</f>
        <v>-</v>
      </c>
      <c r="H807" s="64">
        <f>ventas_b_mes11[[#This Row],[TOTAL]]/1.21</f>
        <v>0</v>
      </c>
      <c r="I807" s="183">
        <f>ventas_b_mes11[[#This Row],[IMPORTE NETO]]*0.21</f>
        <v>0</v>
      </c>
      <c r="J807" s="184"/>
      <c r="K807" s="184"/>
      <c r="L807" s="184"/>
      <c r="M807" s="59"/>
    </row>
    <row r="808" spans="2:13" x14ac:dyDescent="0.3">
      <c r="B808" s="178"/>
      <c r="C808" s="179"/>
      <c r="D808" s="180"/>
      <c r="E808" s="181"/>
      <c r="F808" s="182"/>
      <c r="G808" s="1" t="str">
        <f>IFERROR(IF(ventas_b_mes11[[#This Row],[CUIT]]="","-",VLOOKUP(ventas_b_mes11[[#This Row],[CUIT]],Lista_CUIT[#All],2,0)),"CUIT NO CARGADO")</f>
        <v>-</v>
      </c>
      <c r="H808" s="64">
        <f>ventas_b_mes11[[#This Row],[TOTAL]]/1.21</f>
        <v>0</v>
      </c>
      <c r="I808" s="183">
        <f>ventas_b_mes11[[#This Row],[IMPORTE NETO]]*0.21</f>
        <v>0</v>
      </c>
      <c r="J808" s="184"/>
      <c r="K808" s="184"/>
      <c r="L808" s="184"/>
      <c r="M808" s="59"/>
    </row>
    <row r="809" spans="2:13" x14ac:dyDescent="0.3">
      <c r="B809" s="178"/>
      <c r="C809" s="179"/>
      <c r="D809" s="180"/>
      <c r="E809" s="181"/>
      <c r="F809" s="182"/>
      <c r="G809" s="1" t="str">
        <f>IFERROR(IF(ventas_b_mes11[[#This Row],[CUIT]]="","-",VLOOKUP(ventas_b_mes11[[#This Row],[CUIT]],Lista_CUIT[#All],2,0)),"CUIT NO CARGADO")</f>
        <v>-</v>
      </c>
      <c r="H809" s="64">
        <f>ventas_b_mes11[[#This Row],[TOTAL]]/1.21</f>
        <v>0</v>
      </c>
      <c r="I809" s="183">
        <f>ventas_b_mes11[[#This Row],[IMPORTE NETO]]*0.21</f>
        <v>0</v>
      </c>
      <c r="J809" s="184"/>
      <c r="K809" s="184"/>
      <c r="L809" s="184"/>
      <c r="M809" s="59"/>
    </row>
    <row r="810" spans="2:13" x14ac:dyDescent="0.3">
      <c r="B810" s="178"/>
      <c r="C810" s="179"/>
      <c r="D810" s="180"/>
      <c r="E810" s="181"/>
      <c r="F810" s="182"/>
      <c r="G810" s="1" t="str">
        <f>IFERROR(IF(ventas_b_mes11[[#This Row],[CUIT]]="","-",VLOOKUP(ventas_b_mes11[[#This Row],[CUIT]],Lista_CUIT[#All],2,0)),"CUIT NO CARGADO")</f>
        <v>-</v>
      </c>
      <c r="H810" s="64">
        <f>ventas_b_mes11[[#This Row],[TOTAL]]/1.21</f>
        <v>0</v>
      </c>
      <c r="I810" s="183">
        <f>ventas_b_mes11[[#This Row],[IMPORTE NETO]]*0.21</f>
        <v>0</v>
      </c>
      <c r="J810" s="184"/>
      <c r="K810" s="184"/>
      <c r="L810" s="184"/>
      <c r="M810" s="59"/>
    </row>
    <row r="811" spans="2:13" x14ac:dyDescent="0.3">
      <c r="B811" s="178"/>
      <c r="C811" s="179"/>
      <c r="D811" s="180"/>
      <c r="E811" s="181"/>
      <c r="F811" s="182"/>
      <c r="G811" s="1" t="str">
        <f>IFERROR(IF(ventas_b_mes11[[#This Row],[CUIT]]="","-",VLOOKUP(ventas_b_mes11[[#This Row],[CUIT]],Lista_CUIT[#All],2,0)),"CUIT NO CARGADO")</f>
        <v>-</v>
      </c>
      <c r="H811" s="64">
        <f>ventas_b_mes11[[#This Row],[TOTAL]]/1.21</f>
        <v>0</v>
      </c>
      <c r="I811" s="183">
        <f>ventas_b_mes11[[#This Row],[IMPORTE NETO]]*0.21</f>
        <v>0</v>
      </c>
      <c r="J811" s="184"/>
      <c r="K811" s="184"/>
      <c r="L811" s="184"/>
      <c r="M811" s="59"/>
    </row>
    <row r="812" spans="2:13" x14ac:dyDescent="0.3">
      <c r="B812" s="178"/>
      <c r="C812" s="179"/>
      <c r="D812" s="180"/>
      <c r="E812" s="181"/>
      <c r="F812" s="182"/>
      <c r="G812" s="1" t="str">
        <f>IFERROR(IF(ventas_b_mes11[[#This Row],[CUIT]]="","-",VLOOKUP(ventas_b_mes11[[#This Row],[CUIT]],Lista_CUIT[#All],2,0)),"CUIT NO CARGADO")</f>
        <v>-</v>
      </c>
      <c r="H812" s="64">
        <f>ventas_b_mes11[[#This Row],[TOTAL]]/1.21</f>
        <v>0</v>
      </c>
      <c r="I812" s="183">
        <f>ventas_b_mes11[[#This Row],[IMPORTE NETO]]*0.21</f>
        <v>0</v>
      </c>
      <c r="J812" s="184"/>
      <c r="K812" s="184"/>
      <c r="L812" s="184"/>
      <c r="M812" s="59"/>
    </row>
    <row r="813" spans="2:13" x14ac:dyDescent="0.3">
      <c r="B813" s="178"/>
      <c r="C813" s="179"/>
      <c r="D813" s="180"/>
      <c r="E813" s="181"/>
      <c r="F813" s="182"/>
      <c r="G813" s="1" t="str">
        <f>IFERROR(IF(ventas_b_mes11[[#This Row],[CUIT]]="","-",VLOOKUP(ventas_b_mes11[[#This Row],[CUIT]],Lista_CUIT[#All],2,0)),"CUIT NO CARGADO")</f>
        <v>-</v>
      </c>
      <c r="H813" s="64">
        <f>ventas_b_mes11[[#This Row],[TOTAL]]/1.21</f>
        <v>0</v>
      </c>
      <c r="I813" s="183">
        <f>ventas_b_mes11[[#This Row],[IMPORTE NETO]]*0.21</f>
        <v>0</v>
      </c>
      <c r="J813" s="184"/>
      <c r="K813" s="184"/>
      <c r="L813" s="184"/>
      <c r="M813" s="59"/>
    </row>
    <row r="814" spans="2:13" x14ac:dyDescent="0.3">
      <c r="B814" s="178"/>
      <c r="C814" s="179"/>
      <c r="D814" s="180"/>
      <c r="E814" s="181"/>
      <c r="F814" s="182"/>
      <c r="G814" s="1" t="str">
        <f>IFERROR(IF(ventas_b_mes11[[#This Row],[CUIT]]="","-",VLOOKUP(ventas_b_mes11[[#This Row],[CUIT]],Lista_CUIT[#All],2,0)),"CUIT NO CARGADO")</f>
        <v>-</v>
      </c>
      <c r="H814" s="64">
        <f>ventas_b_mes11[[#This Row],[TOTAL]]/1.21</f>
        <v>0</v>
      </c>
      <c r="I814" s="183">
        <f>ventas_b_mes11[[#This Row],[IMPORTE NETO]]*0.21</f>
        <v>0</v>
      </c>
      <c r="J814" s="184"/>
      <c r="K814" s="184"/>
      <c r="L814" s="184"/>
      <c r="M814" s="59"/>
    </row>
    <row r="815" spans="2:13" x14ac:dyDescent="0.3">
      <c r="B815" s="178"/>
      <c r="C815" s="179"/>
      <c r="D815" s="180"/>
      <c r="E815" s="181"/>
      <c r="F815" s="182"/>
      <c r="G815" s="1" t="str">
        <f>IFERROR(IF(ventas_b_mes11[[#This Row],[CUIT]]="","-",VLOOKUP(ventas_b_mes11[[#This Row],[CUIT]],Lista_CUIT[#All],2,0)),"CUIT NO CARGADO")</f>
        <v>-</v>
      </c>
      <c r="H815" s="64">
        <f>ventas_b_mes11[[#This Row],[TOTAL]]/1.21</f>
        <v>0</v>
      </c>
      <c r="I815" s="183">
        <f>ventas_b_mes11[[#This Row],[IMPORTE NETO]]*0.21</f>
        <v>0</v>
      </c>
      <c r="J815" s="184"/>
      <c r="K815" s="184"/>
      <c r="L815" s="184"/>
      <c r="M815" s="59"/>
    </row>
    <row r="816" spans="2:13" x14ac:dyDescent="0.3">
      <c r="B816" s="178"/>
      <c r="C816" s="179"/>
      <c r="D816" s="180"/>
      <c r="E816" s="181"/>
      <c r="F816" s="182"/>
      <c r="G816" s="1" t="str">
        <f>IFERROR(IF(ventas_b_mes11[[#This Row],[CUIT]]="","-",VLOOKUP(ventas_b_mes11[[#This Row],[CUIT]],Lista_CUIT[#All],2,0)),"CUIT NO CARGADO")</f>
        <v>-</v>
      </c>
      <c r="H816" s="64">
        <f>ventas_b_mes11[[#This Row],[TOTAL]]/1.21</f>
        <v>0</v>
      </c>
      <c r="I816" s="183">
        <f>ventas_b_mes11[[#This Row],[IMPORTE NETO]]*0.21</f>
        <v>0</v>
      </c>
      <c r="J816" s="184"/>
      <c r="K816" s="184"/>
      <c r="L816" s="184"/>
      <c r="M816" s="59"/>
    </row>
    <row r="817" spans="2:13" x14ac:dyDescent="0.3">
      <c r="B817" s="178"/>
      <c r="C817" s="179"/>
      <c r="D817" s="180"/>
      <c r="E817" s="181"/>
      <c r="F817" s="182"/>
      <c r="G817" s="1" t="str">
        <f>IFERROR(IF(ventas_b_mes11[[#This Row],[CUIT]]="","-",VLOOKUP(ventas_b_mes11[[#This Row],[CUIT]],Lista_CUIT[#All],2,0)),"CUIT NO CARGADO")</f>
        <v>-</v>
      </c>
      <c r="H817" s="64">
        <f>ventas_b_mes11[[#This Row],[TOTAL]]/1.21</f>
        <v>0</v>
      </c>
      <c r="I817" s="183">
        <f>ventas_b_mes11[[#This Row],[IMPORTE NETO]]*0.21</f>
        <v>0</v>
      </c>
      <c r="J817" s="184"/>
      <c r="K817" s="184"/>
      <c r="L817" s="184"/>
      <c r="M817" s="59"/>
    </row>
    <row r="818" spans="2:13" x14ac:dyDescent="0.3">
      <c r="B818" s="178"/>
      <c r="C818" s="179"/>
      <c r="D818" s="180"/>
      <c r="E818" s="181"/>
      <c r="F818" s="182"/>
      <c r="G818" s="1" t="str">
        <f>IFERROR(IF(ventas_b_mes11[[#This Row],[CUIT]]="","-",VLOOKUP(ventas_b_mes11[[#This Row],[CUIT]],Lista_CUIT[#All],2,0)),"CUIT NO CARGADO")</f>
        <v>-</v>
      </c>
      <c r="H818" s="64">
        <f>ventas_b_mes11[[#This Row],[TOTAL]]/1.21</f>
        <v>0</v>
      </c>
      <c r="I818" s="183">
        <f>ventas_b_mes11[[#This Row],[IMPORTE NETO]]*0.21</f>
        <v>0</v>
      </c>
      <c r="J818" s="184"/>
      <c r="K818" s="184"/>
      <c r="L818" s="184"/>
      <c r="M818" s="59"/>
    </row>
    <row r="819" spans="2:13" x14ac:dyDescent="0.3">
      <c r="B819" s="178"/>
      <c r="C819" s="179"/>
      <c r="D819" s="180"/>
      <c r="E819" s="181"/>
      <c r="F819" s="182"/>
      <c r="G819" s="1" t="str">
        <f>IFERROR(IF(ventas_b_mes11[[#This Row],[CUIT]]="","-",VLOOKUP(ventas_b_mes11[[#This Row],[CUIT]],Lista_CUIT[#All],2,0)),"CUIT NO CARGADO")</f>
        <v>-</v>
      </c>
      <c r="H819" s="64">
        <f>ventas_b_mes11[[#This Row],[TOTAL]]/1.21</f>
        <v>0</v>
      </c>
      <c r="I819" s="183">
        <f>ventas_b_mes11[[#This Row],[IMPORTE NETO]]*0.21</f>
        <v>0</v>
      </c>
      <c r="J819" s="184"/>
      <c r="K819" s="184"/>
      <c r="L819" s="184"/>
      <c r="M819" s="59"/>
    </row>
    <row r="820" spans="2:13" x14ac:dyDescent="0.3">
      <c r="B820" s="178"/>
      <c r="C820" s="179"/>
      <c r="D820" s="180"/>
      <c r="E820" s="181"/>
      <c r="F820" s="182"/>
      <c r="G820" s="1" t="str">
        <f>IFERROR(IF(ventas_b_mes11[[#This Row],[CUIT]]="","-",VLOOKUP(ventas_b_mes11[[#This Row],[CUIT]],Lista_CUIT[#All],2,0)),"CUIT NO CARGADO")</f>
        <v>-</v>
      </c>
      <c r="H820" s="64">
        <f>ventas_b_mes11[[#This Row],[TOTAL]]/1.21</f>
        <v>0</v>
      </c>
      <c r="I820" s="183">
        <f>ventas_b_mes11[[#This Row],[IMPORTE NETO]]*0.21</f>
        <v>0</v>
      </c>
      <c r="J820" s="184"/>
      <c r="K820" s="184"/>
      <c r="L820" s="184"/>
      <c r="M820" s="59"/>
    </row>
    <row r="821" spans="2:13" x14ac:dyDescent="0.3">
      <c r="B821" s="178"/>
      <c r="C821" s="179"/>
      <c r="D821" s="180"/>
      <c r="E821" s="181"/>
      <c r="F821" s="182"/>
      <c r="G821" s="1" t="str">
        <f>IFERROR(IF(ventas_b_mes11[[#This Row],[CUIT]]="","-",VLOOKUP(ventas_b_mes11[[#This Row],[CUIT]],Lista_CUIT[#All],2,0)),"CUIT NO CARGADO")</f>
        <v>-</v>
      </c>
      <c r="H821" s="64">
        <f>ventas_b_mes11[[#This Row],[TOTAL]]/1.21</f>
        <v>0</v>
      </c>
      <c r="I821" s="183">
        <f>ventas_b_mes11[[#This Row],[IMPORTE NETO]]*0.21</f>
        <v>0</v>
      </c>
      <c r="J821" s="184"/>
      <c r="K821" s="184"/>
      <c r="L821" s="184"/>
      <c r="M821" s="59"/>
    </row>
    <row r="822" spans="2:13" x14ac:dyDescent="0.3">
      <c r="B822" s="178"/>
      <c r="C822" s="179"/>
      <c r="D822" s="180"/>
      <c r="E822" s="181"/>
      <c r="F822" s="182"/>
      <c r="G822" s="1" t="str">
        <f>IFERROR(IF(ventas_b_mes11[[#This Row],[CUIT]]="","-",VLOOKUP(ventas_b_mes11[[#This Row],[CUIT]],Lista_CUIT[#All],2,0)),"CUIT NO CARGADO")</f>
        <v>-</v>
      </c>
      <c r="H822" s="64">
        <f>ventas_b_mes11[[#This Row],[TOTAL]]/1.21</f>
        <v>0</v>
      </c>
      <c r="I822" s="183">
        <f>ventas_b_mes11[[#This Row],[IMPORTE NETO]]*0.21</f>
        <v>0</v>
      </c>
      <c r="J822" s="184"/>
      <c r="K822" s="184"/>
      <c r="L822" s="184"/>
      <c r="M822" s="59"/>
    </row>
    <row r="823" spans="2:13" x14ac:dyDescent="0.3">
      <c r="B823" s="178"/>
      <c r="C823" s="179"/>
      <c r="D823" s="180"/>
      <c r="E823" s="181"/>
      <c r="F823" s="182"/>
      <c r="G823" s="1" t="str">
        <f>IFERROR(IF(ventas_b_mes11[[#This Row],[CUIT]]="","-",VLOOKUP(ventas_b_mes11[[#This Row],[CUIT]],Lista_CUIT[#All],2,0)),"CUIT NO CARGADO")</f>
        <v>-</v>
      </c>
      <c r="H823" s="64">
        <f>ventas_b_mes11[[#This Row],[TOTAL]]/1.21</f>
        <v>0</v>
      </c>
      <c r="I823" s="183">
        <f>ventas_b_mes11[[#This Row],[IMPORTE NETO]]*0.21</f>
        <v>0</v>
      </c>
      <c r="J823" s="184"/>
      <c r="K823" s="184"/>
      <c r="L823" s="184"/>
      <c r="M823" s="59"/>
    </row>
    <row r="824" spans="2:13" x14ac:dyDescent="0.3">
      <c r="B824" s="178"/>
      <c r="C824" s="179"/>
      <c r="D824" s="180"/>
      <c r="E824" s="181"/>
      <c r="F824" s="182"/>
      <c r="G824" s="1" t="str">
        <f>IFERROR(IF(ventas_b_mes11[[#This Row],[CUIT]]="","-",VLOOKUP(ventas_b_mes11[[#This Row],[CUIT]],Lista_CUIT[#All],2,0)),"CUIT NO CARGADO")</f>
        <v>-</v>
      </c>
      <c r="H824" s="64">
        <f>ventas_b_mes11[[#This Row],[TOTAL]]/1.21</f>
        <v>0</v>
      </c>
      <c r="I824" s="183">
        <f>ventas_b_mes11[[#This Row],[IMPORTE NETO]]*0.21</f>
        <v>0</v>
      </c>
      <c r="J824" s="184"/>
      <c r="K824" s="184"/>
      <c r="L824" s="184"/>
      <c r="M824" s="59"/>
    </row>
    <row r="825" spans="2:13" x14ac:dyDescent="0.3">
      <c r="B825" s="178"/>
      <c r="C825" s="179"/>
      <c r="D825" s="180"/>
      <c r="E825" s="181"/>
      <c r="F825" s="182"/>
      <c r="G825" s="1" t="str">
        <f>IFERROR(IF(ventas_b_mes11[[#This Row],[CUIT]]="","-",VLOOKUP(ventas_b_mes11[[#This Row],[CUIT]],Lista_CUIT[#All],2,0)),"CUIT NO CARGADO")</f>
        <v>-</v>
      </c>
      <c r="H825" s="64">
        <f>ventas_b_mes11[[#This Row],[TOTAL]]/1.21</f>
        <v>0</v>
      </c>
      <c r="I825" s="183">
        <f>ventas_b_mes11[[#This Row],[IMPORTE NETO]]*0.21</f>
        <v>0</v>
      </c>
      <c r="J825" s="184"/>
      <c r="K825" s="184"/>
      <c r="L825" s="184"/>
      <c r="M825" s="59"/>
    </row>
    <row r="826" spans="2:13" x14ac:dyDescent="0.3">
      <c r="B826" s="178"/>
      <c r="C826" s="179"/>
      <c r="D826" s="180"/>
      <c r="E826" s="181"/>
      <c r="F826" s="182"/>
      <c r="G826" s="1" t="str">
        <f>IFERROR(IF(ventas_b_mes11[[#This Row],[CUIT]]="","-",VLOOKUP(ventas_b_mes11[[#This Row],[CUIT]],Lista_CUIT[#All],2,0)),"CUIT NO CARGADO")</f>
        <v>-</v>
      </c>
      <c r="H826" s="64">
        <f>ventas_b_mes11[[#This Row],[TOTAL]]/1.21</f>
        <v>0</v>
      </c>
      <c r="I826" s="183">
        <f>ventas_b_mes11[[#This Row],[IMPORTE NETO]]*0.21</f>
        <v>0</v>
      </c>
      <c r="J826" s="184"/>
      <c r="K826" s="184"/>
      <c r="L826" s="184"/>
      <c r="M826" s="59"/>
    </row>
    <row r="827" spans="2:13" x14ac:dyDescent="0.3">
      <c r="B827" s="178"/>
      <c r="C827" s="179"/>
      <c r="D827" s="180"/>
      <c r="E827" s="181"/>
      <c r="F827" s="182"/>
      <c r="G827" s="1" t="str">
        <f>IFERROR(IF(ventas_b_mes11[[#This Row],[CUIT]]="","-",VLOOKUP(ventas_b_mes11[[#This Row],[CUIT]],Lista_CUIT[#All],2,0)),"CUIT NO CARGADO")</f>
        <v>-</v>
      </c>
      <c r="H827" s="64">
        <f>ventas_b_mes11[[#This Row],[TOTAL]]/1.21</f>
        <v>0</v>
      </c>
      <c r="I827" s="183">
        <f>ventas_b_mes11[[#This Row],[IMPORTE NETO]]*0.21</f>
        <v>0</v>
      </c>
      <c r="J827" s="184"/>
      <c r="K827" s="184"/>
      <c r="L827" s="184"/>
      <c r="M827" s="59"/>
    </row>
    <row r="828" spans="2:13" x14ac:dyDescent="0.3">
      <c r="B828" s="178"/>
      <c r="C828" s="179"/>
      <c r="D828" s="180"/>
      <c r="E828" s="181"/>
      <c r="F828" s="182"/>
      <c r="G828" s="1" t="str">
        <f>IFERROR(IF(ventas_b_mes11[[#This Row],[CUIT]]="","-",VLOOKUP(ventas_b_mes11[[#This Row],[CUIT]],Lista_CUIT[#All],2,0)),"CUIT NO CARGADO")</f>
        <v>-</v>
      </c>
      <c r="H828" s="64">
        <f>ventas_b_mes11[[#This Row],[TOTAL]]/1.21</f>
        <v>0</v>
      </c>
      <c r="I828" s="183">
        <f>ventas_b_mes11[[#This Row],[IMPORTE NETO]]*0.21</f>
        <v>0</v>
      </c>
      <c r="J828" s="184"/>
      <c r="K828" s="184"/>
      <c r="L828" s="184"/>
      <c r="M828" s="59"/>
    </row>
    <row r="829" spans="2:13" x14ac:dyDescent="0.3">
      <c r="B829" s="178"/>
      <c r="C829" s="179"/>
      <c r="D829" s="180"/>
      <c r="E829" s="181"/>
      <c r="F829" s="182"/>
      <c r="G829" s="1" t="str">
        <f>IFERROR(IF(ventas_b_mes11[[#This Row],[CUIT]]="","-",VLOOKUP(ventas_b_mes11[[#This Row],[CUIT]],Lista_CUIT[#All],2,0)),"CUIT NO CARGADO")</f>
        <v>-</v>
      </c>
      <c r="H829" s="64">
        <f>ventas_b_mes11[[#This Row],[TOTAL]]/1.21</f>
        <v>0</v>
      </c>
      <c r="I829" s="183">
        <f>ventas_b_mes11[[#This Row],[IMPORTE NETO]]*0.21</f>
        <v>0</v>
      </c>
      <c r="J829" s="184"/>
      <c r="K829" s="184"/>
      <c r="L829" s="184"/>
      <c r="M829" s="59"/>
    </row>
    <row r="830" spans="2:13" x14ac:dyDescent="0.3">
      <c r="B830" s="178"/>
      <c r="C830" s="179"/>
      <c r="D830" s="180"/>
      <c r="E830" s="181"/>
      <c r="F830" s="182"/>
      <c r="G830" s="1" t="str">
        <f>IFERROR(IF(ventas_b_mes11[[#This Row],[CUIT]]="","-",VLOOKUP(ventas_b_mes11[[#This Row],[CUIT]],Lista_CUIT[#All],2,0)),"CUIT NO CARGADO")</f>
        <v>-</v>
      </c>
      <c r="H830" s="64">
        <f>ventas_b_mes11[[#This Row],[TOTAL]]/1.21</f>
        <v>0</v>
      </c>
      <c r="I830" s="183">
        <f>ventas_b_mes11[[#This Row],[IMPORTE NETO]]*0.21</f>
        <v>0</v>
      </c>
      <c r="J830" s="184"/>
      <c r="K830" s="184"/>
      <c r="L830" s="184"/>
      <c r="M830" s="59"/>
    </row>
    <row r="831" spans="2:13" x14ac:dyDescent="0.3">
      <c r="B831" s="178"/>
      <c r="C831" s="179"/>
      <c r="D831" s="180"/>
      <c r="E831" s="181"/>
      <c r="F831" s="182"/>
      <c r="G831" s="1" t="str">
        <f>IFERROR(IF(ventas_b_mes11[[#This Row],[CUIT]]="","-",VLOOKUP(ventas_b_mes11[[#This Row],[CUIT]],Lista_CUIT[#All],2,0)),"CUIT NO CARGADO")</f>
        <v>-</v>
      </c>
      <c r="H831" s="64">
        <f>ventas_b_mes11[[#This Row],[TOTAL]]/1.21</f>
        <v>0</v>
      </c>
      <c r="I831" s="183">
        <f>ventas_b_mes11[[#This Row],[IMPORTE NETO]]*0.21</f>
        <v>0</v>
      </c>
      <c r="J831" s="184"/>
      <c r="K831" s="184"/>
      <c r="L831" s="184"/>
      <c r="M831" s="59"/>
    </row>
    <row r="832" spans="2:13" x14ac:dyDescent="0.3">
      <c r="B832" s="178"/>
      <c r="C832" s="179"/>
      <c r="D832" s="180"/>
      <c r="E832" s="181"/>
      <c r="F832" s="182"/>
      <c r="G832" s="1" t="str">
        <f>IFERROR(IF(ventas_b_mes11[[#This Row],[CUIT]]="","-",VLOOKUP(ventas_b_mes11[[#This Row],[CUIT]],Lista_CUIT[#All],2,0)),"CUIT NO CARGADO")</f>
        <v>-</v>
      </c>
      <c r="H832" s="64">
        <f>ventas_b_mes11[[#This Row],[TOTAL]]/1.21</f>
        <v>0</v>
      </c>
      <c r="I832" s="183">
        <f>ventas_b_mes11[[#This Row],[IMPORTE NETO]]*0.21</f>
        <v>0</v>
      </c>
      <c r="J832" s="184"/>
      <c r="K832" s="184"/>
      <c r="L832" s="184"/>
      <c r="M832" s="59"/>
    </row>
    <row r="833" spans="2:13" x14ac:dyDescent="0.3">
      <c r="B833" s="178"/>
      <c r="C833" s="179"/>
      <c r="D833" s="180"/>
      <c r="E833" s="181"/>
      <c r="F833" s="182"/>
      <c r="G833" s="1" t="str">
        <f>IFERROR(IF(ventas_b_mes11[[#This Row],[CUIT]]="","-",VLOOKUP(ventas_b_mes11[[#This Row],[CUIT]],Lista_CUIT[#All],2,0)),"CUIT NO CARGADO")</f>
        <v>-</v>
      </c>
      <c r="H833" s="64">
        <f>ventas_b_mes11[[#This Row],[TOTAL]]/1.21</f>
        <v>0</v>
      </c>
      <c r="I833" s="183">
        <f>ventas_b_mes11[[#This Row],[IMPORTE NETO]]*0.21</f>
        <v>0</v>
      </c>
      <c r="J833" s="184"/>
      <c r="K833" s="184"/>
      <c r="L833" s="184"/>
      <c r="M833" s="59"/>
    </row>
    <row r="834" spans="2:13" x14ac:dyDescent="0.3">
      <c r="B834" s="178"/>
      <c r="C834" s="179"/>
      <c r="D834" s="180"/>
      <c r="E834" s="181"/>
      <c r="F834" s="182"/>
      <c r="G834" s="1" t="str">
        <f>IFERROR(IF(ventas_b_mes11[[#This Row],[CUIT]]="","-",VLOOKUP(ventas_b_mes11[[#This Row],[CUIT]],Lista_CUIT[#All],2,0)),"CUIT NO CARGADO")</f>
        <v>-</v>
      </c>
      <c r="H834" s="64">
        <f>ventas_b_mes11[[#This Row],[TOTAL]]/1.21</f>
        <v>0</v>
      </c>
      <c r="I834" s="183">
        <f>ventas_b_mes11[[#This Row],[IMPORTE NETO]]*0.21</f>
        <v>0</v>
      </c>
      <c r="J834" s="184"/>
      <c r="K834" s="184"/>
      <c r="L834" s="184"/>
      <c r="M834" s="59"/>
    </row>
    <row r="835" spans="2:13" x14ac:dyDescent="0.3">
      <c r="B835" s="178"/>
      <c r="C835" s="179"/>
      <c r="D835" s="180"/>
      <c r="E835" s="181"/>
      <c r="F835" s="182"/>
      <c r="G835" s="1" t="str">
        <f>IFERROR(IF(ventas_b_mes11[[#This Row],[CUIT]]="","-",VLOOKUP(ventas_b_mes11[[#This Row],[CUIT]],Lista_CUIT[#All],2,0)),"CUIT NO CARGADO")</f>
        <v>-</v>
      </c>
      <c r="H835" s="64">
        <f>ventas_b_mes11[[#This Row],[TOTAL]]/1.21</f>
        <v>0</v>
      </c>
      <c r="I835" s="183">
        <f>ventas_b_mes11[[#This Row],[IMPORTE NETO]]*0.21</f>
        <v>0</v>
      </c>
      <c r="J835" s="184"/>
      <c r="K835" s="184"/>
      <c r="L835" s="184"/>
      <c r="M835" s="59"/>
    </row>
    <row r="836" spans="2:13" x14ac:dyDescent="0.3">
      <c r="B836" s="178"/>
      <c r="C836" s="179"/>
      <c r="D836" s="180"/>
      <c r="E836" s="181"/>
      <c r="F836" s="182"/>
      <c r="G836" s="1" t="str">
        <f>IFERROR(IF(ventas_b_mes11[[#This Row],[CUIT]]="","-",VLOOKUP(ventas_b_mes11[[#This Row],[CUIT]],Lista_CUIT[#All],2,0)),"CUIT NO CARGADO")</f>
        <v>-</v>
      </c>
      <c r="H836" s="64">
        <f>ventas_b_mes11[[#This Row],[TOTAL]]/1.21</f>
        <v>0</v>
      </c>
      <c r="I836" s="183">
        <f>ventas_b_mes11[[#This Row],[IMPORTE NETO]]*0.21</f>
        <v>0</v>
      </c>
      <c r="J836" s="184"/>
      <c r="K836" s="184"/>
      <c r="L836" s="184"/>
      <c r="M836" s="59"/>
    </row>
    <row r="837" spans="2:13" x14ac:dyDescent="0.3">
      <c r="B837" s="178"/>
      <c r="C837" s="179"/>
      <c r="D837" s="180"/>
      <c r="E837" s="181"/>
      <c r="F837" s="182"/>
      <c r="G837" s="1" t="str">
        <f>IFERROR(IF(ventas_b_mes11[[#This Row],[CUIT]]="","-",VLOOKUP(ventas_b_mes11[[#This Row],[CUIT]],Lista_CUIT[#All],2,0)),"CUIT NO CARGADO")</f>
        <v>-</v>
      </c>
      <c r="H837" s="64">
        <f>ventas_b_mes11[[#This Row],[TOTAL]]/1.21</f>
        <v>0</v>
      </c>
      <c r="I837" s="183">
        <f>ventas_b_mes11[[#This Row],[IMPORTE NETO]]*0.21</f>
        <v>0</v>
      </c>
      <c r="J837" s="184"/>
      <c r="K837" s="184"/>
      <c r="L837" s="184"/>
      <c r="M837" s="59"/>
    </row>
    <row r="838" spans="2:13" x14ac:dyDescent="0.3">
      <c r="B838" s="178"/>
      <c r="C838" s="179"/>
      <c r="D838" s="180"/>
      <c r="E838" s="181"/>
      <c r="F838" s="182"/>
      <c r="G838" s="1" t="str">
        <f>IFERROR(IF(ventas_b_mes11[[#This Row],[CUIT]]="","-",VLOOKUP(ventas_b_mes11[[#This Row],[CUIT]],Lista_CUIT[#All],2,0)),"CUIT NO CARGADO")</f>
        <v>-</v>
      </c>
      <c r="H838" s="64">
        <f>ventas_b_mes11[[#This Row],[TOTAL]]/1.21</f>
        <v>0</v>
      </c>
      <c r="I838" s="183">
        <f>ventas_b_mes11[[#This Row],[IMPORTE NETO]]*0.21</f>
        <v>0</v>
      </c>
      <c r="J838" s="184"/>
      <c r="K838" s="184"/>
      <c r="L838" s="184"/>
      <c r="M838" s="59"/>
    </row>
    <row r="839" spans="2:13" x14ac:dyDescent="0.3">
      <c r="B839" s="178"/>
      <c r="C839" s="179"/>
      <c r="D839" s="180"/>
      <c r="E839" s="181"/>
      <c r="F839" s="182"/>
      <c r="G839" s="1" t="str">
        <f>IFERROR(IF(ventas_b_mes11[[#This Row],[CUIT]]="","-",VLOOKUP(ventas_b_mes11[[#This Row],[CUIT]],Lista_CUIT[#All],2,0)),"CUIT NO CARGADO")</f>
        <v>-</v>
      </c>
      <c r="H839" s="64">
        <f>ventas_b_mes11[[#This Row],[TOTAL]]/1.21</f>
        <v>0</v>
      </c>
      <c r="I839" s="183">
        <f>ventas_b_mes11[[#This Row],[IMPORTE NETO]]*0.21</f>
        <v>0</v>
      </c>
      <c r="J839" s="184"/>
      <c r="K839" s="184"/>
      <c r="L839" s="184"/>
      <c r="M839" s="59"/>
    </row>
    <row r="840" spans="2:13" x14ac:dyDescent="0.3">
      <c r="B840" s="178"/>
      <c r="C840" s="179"/>
      <c r="D840" s="180"/>
      <c r="E840" s="181"/>
      <c r="F840" s="182"/>
      <c r="G840" s="1" t="str">
        <f>IFERROR(IF(ventas_b_mes11[[#This Row],[CUIT]]="","-",VLOOKUP(ventas_b_mes11[[#This Row],[CUIT]],Lista_CUIT[#All],2,0)),"CUIT NO CARGADO")</f>
        <v>-</v>
      </c>
      <c r="H840" s="64">
        <f>ventas_b_mes11[[#This Row],[TOTAL]]/1.21</f>
        <v>0</v>
      </c>
      <c r="I840" s="183">
        <f>ventas_b_mes11[[#This Row],[IMPORTE NETO]]*0.21</f>
        <v>0</v>
      </c>
      <c r="J840" s="184"/>
      <c r="K840" s="184"/>
      <c r="L840" s="184"/>
      <c r="M840" s="59"/>
    </row>
    <row r="841" spans="2:13" x14ac:dyDescent="0.3">
      <c r="B841" s="178"/>
      <c r="C841" s="179"/>
      <c r="D841" s="180"/>
      <c r="E841" s="181"/>
      <c r="F841" s="182"/>
      <c r="G841" s="1" t="str">
        <f>IFERROR(IF(ventas_b_mes11[[#This Row],[CUIT]]="","-",VLOOKUP(ventas_b_mes11[[#This Row],[CUIT]],Lista_CUIT[#All],2,0)),"CUIT NO CARGADO")</f>
        <v>-</v>
      </c>
      <c r="H841" s="64">
        <f>ventas_b_mes11[[#This Row],[TOTAL]]/1.21</f>
        <v>0</v>
      </c>
      <c r="I841" s="183">
        <f>ventas_b_mes11[[#This Row],[IMPORTE NETO]]*0.21</f>
        <v>0</v>
      </c>
      <c r="J841" s="184"/>
      <c r="K841" s="184"/>
      <c r="L841" s="184"/>
      <c r="M841" s="59"/>
    </row>
    <row r="842" spans="2:13" x14ac:dyDescent="0.3">
      <c r="B842" s="178"/>
      <c r="C842" s="179"/>
      <c r="D842" s="180"/>
      <c r="E842" s="181"/>
      <c r="F842" s="182"/>
      <c r="G842" s="1" t="str">
        <f>IFERROR(IF(ventas_b_mes11[[#This Row],[CUIT]]="","-",VLOOKUP(ventas_b_mes11[[#This Row],[CUIT]],Lista_CUIT[#All],2,0)),"CUIT NO CARGADO")</f>
        <v>-</v>
      </c>
      <c r="H842" s="64">
        <f>ventas_b_mes11[[#This Row],[TOTAL]]/1.21</f>
        <v>0</v>
      </c>
      <c r="I842" s="183">
        <f>ventas_b_mes11[[#This Row],[IMPORTE NETO]]*0.21</f>
        <v>0</v>
      </c>
      <c r="J842" s="184"/>
      <c r="K842" s="184"/>
      <c r="L842" s="184"/>
      <c r="M842" s="59"/>
    </row>
    <row r="843" spans="2:13" x14ac:dyDescent="0.3">
      <c r="B843" s="178"/>
      <c r="C843" s="179"/>
      <c r="D843" s="180"/>
      <c r="E843" s="181"/>
      <c r="F843" s="182"/>
      <c r="G843" s="1" t="str">
        <f>IFERROR(IF(ventas_b_mes11[[#This Row],[CUIT]]="","-",VLOOKUP(ventas_b_mes11[[#This Row],[CUIT]],Lista_CUIT[#All],2,0)),"CUIT NO CARGADO")</f>
        <v>-</v>
      </c>
      <c r="H843" s="64">
        <f>ventas_b_mes11[[#This Row],[TOTAL]]/1.21</f>
        <v>0</v>
      </c>
      <c r="I843" s="183">
        <f>ventas_b_mes11[[#This Row],[IMPORTE NETO]]*0.21</f>
        <v>0</v>
      </c>
      <c r="J843" s="184"/>
      <c r="K843" s="184"/>
      <c r="L843" s="184"/>
      <c r="M843" s="59"/>
    </row>
    <row r="844" spans="2:13" x14ac:dyDescent="0.3">
      <c r="B844" s="178"/>
      <c r="C844" s="179"/>
      <c r="D844" s="180"/>
      <c r="E844" s="181"/>
      <c r="F844" s="182"/>
      <c r="G844" s="1" t="str">
        <f>IFERROR(IF(ventas_b_mes11[[#This Row],[CUIT]]="","-",VLOOKUP(ventas_b_mes11[[#This Row],[CUIT]],Lista_CUIT[#All],2,0)),"CUIT NO CARGADO")</f>
        <v>-</v>
      </c>
      <c r="H844" s="64">
        <f>ventas_b_mes11[[#This Row],[TOTAL]]/1.21</f>
        <v>0</v>
      </c>
      <c r="I844" s="183">
        <f>ventas_b_mes11[[#This Row],[IMPORTE NETO]]*0.21</f>
        <v>0</v>
      </c>
      <c r="J844" s="184"/>
      <c r="K844" s="184"/>
      <c r="L844" s="184"/>
      <c r="M844" s="59"/>
    </row>
    <row r="845" spans="2:13" x14ac:dyDescent="0.3">
      <c r="B845" s="178"/>
      <c r="C845" s="179"/>
      <c r="D845" s="180"/>
      <c r="E845" s="181"/>
      <c r="F845" s="182"/>
      <c r="G845" s="1" t="str">
        <f>IFERROR(IF(ventas_b_mes11[[#This Row],[CUIT]]="","-",VLOOKUP(ventas_b_mes11[[#This Row],[CUIT]],Lista_CUIT[#All],2,0)),"CUIT NO CARGADO")</f>
        <v>-</v>
      </c>
      <c r="H845" s="64">
        <f>ventas_b_mes11[[#This Row],[TOTAL]]/1.21</f>
        <v>0</v>
      </c>
      <c r="I845" s="183">
        <f>ventas_b_mes11[[#This Row],[IMPORTE NETO]]*0.21</f>
        <v>0</v>
      </c>
      <c r="J845" s="184"/>
      <c r="K845" s="184"/>
      <c r="L845" s="184"/>
      <c r="M845" s="59"/>
    </row>
    <row r="846" spans="2:13" x14ac:dyDescent="0.3">
      <c r="B846" s="178"/>
      <c r="C846" s="179"/>
      <c r="D846" s="180"/>
      <c r="E846" s="181"/>
      <c r="F846" s="182"/>
      <c r="G846" s="1" t="str">
        <f>IFERROR(IF(ventas_b_mes11[[#This Row],[CUIT]]="","-",VLOOKUP(ventas_b_mes11[[#This Row],[CUIT]],Lista_CUIT[#All],2,0)),"CUIT NO CARGADO")</f>
        <v>-</v>
      </c>
      <c r="H846" s="64">
        <f>ventas_b_mes11[[#This Row],[TOTAL]]/1.21</f>
        <v>0</v>
      </c>
      <c r="I846" s="183">
        <f>ventas_b_mes11[[#This Row],[IMPORTE NETO]]*0.21</f>
        <v>0</v>
      </c>
      <c r="J846" s="184"/>
      <c r="K846" s="184"/>
      <c r="L846" s="184"/>
      <c r="M846" s="59"/>
    </row>
    <row r="847" spans="2:13" x14ac:dyDescent="0.3">
      <c r="B847" s="178"/>
      <c r="C847" s="179"/>
      <c r="D847" s="180"/>
      <c r="E847" s="181"/>
      <c r="F847" s="182"/>
      <c r="G847" s="1" t="str">
        <f>IFERROR(IF(ventas_b_mes11[[#This Row],[CUIT]]="","-",VLOOKUP(ventas_b_mes11[[#This Row],[CUIT]],Lista_CUIT[#All],2,0)),"CUIT NO CARGADO")</f>
        <v>-</v>
      </c>
      <c r="H847" s="64">
        <f>ventas_b_mes11[[#This Row],[TOTAL]]/1.21</f>
        <v>0</v>
      </c>
      <c r="I847" s="183">
        <f>ventas_b_mes11[[#This Row],[IMPORTE NETO]]*0.21</f>
        <v>0</v>
      </c>
      <c r="J847" s="184"/>
      <c r="K847" s="184"/>
      <c r="L847" s="184"/>
      <c r="M847" s="59"/>
    </row>
    <row r="848" spans="2:13" x14ac:dyDescent="0.3">
      <c r="B848" s="178"/>
      <c r="C848" s="179"/>
      <c r="D848" s="180"/>
      <c r="E848" s="181"/>
      <c r="F848" s="182"/>
      <c r="G848" s="1" t="str">
        <f>IFERROR(IF(ventas_b_mes11[[#This Row],[CUIT]]="","-",VLOOKUP(ventas_b_mes11[[#This Row],[CUIT]],Lista_CUIT[#All],2,0)),"CUIT NO CARGADO")</f>
        <v>-</v>
      </c>
      <c r="H848" s="64">
        <f>ventas_b_mes11[[#This Row],[TOTAL]]/1.21</f>
        <v>0</v>
      </c>
      <c r="I848" s="183">
        <f>ventas_b_mes11[[#This Row],[IMPORTE NETO]]*0.21</f>
        <v>0</v>
      </c>
      <c r="J848" s="184"/>
      <c r="K848" s="184"/>
      <c r="L848" s="184"/>
      <c r="M848" s="59"/>
    </row>
    <row r="849" spans="2:13" x14ac:dyDescent="0.3">
      <c r="B849" s="178"/>
      <c r="C849" s="179"/>
      <c r="D849" s="180"/>
      <c r="E849" s="181"/>
      <c r="F849" s="182"/>
      <c r="G849" s="1" t="str">
        <f>IFERROR(IF(ventas_b_mes11[[#This Row],[CUIT]]="","-",VLOOKUP(ventas_b_mes11[[#This Row],[CUIT]],Lista_CUIT[#All],2,0)),"CUIT NO CARGADO")</f>
        <v>-</v>
      </c>
      <c r="H849" s="64">
        <f>ventas_b_mes11[[#This Row],[TOTAL]]/1.21</f>
        <v>0</v>
      </c>
      <c r="I849" s="183">
        <f>ventas_b_mes11[[#This Row],[IMPORTE NETO]]*0.21</f>
        <v>0</v>
      </c>
      <c r="J849" s="184"/>
      <c r="K849" s="184"/>
      <c r="L849" s="184"/>
      <c r="M849" s="59"/>
    </row>
    <row r="850" spans="2:13" x14ac:dyDescent="0.3">
      <c r="B850" s="178"/>
      <c r="C850" s="179"/>
      <c r="D850" s="180"/>
      <c r="E850" s="181"/>
      <c r="F850" s="182"/>
      <c r="G850" s="1" t="str">
        <f>IFERROR(IF(ventas_b_mes11[[#This Row],[CUIT]]="","-",VLOOKUP(ventas_b_mes11[[#This Row],[CUIT]],Lista_CUIT[#All],2,0)),"CUIT NO CARGADO")</f>
        <v>-</v>
      </c>
      <c r="H850" s="64">
        <f>ventas_b_mes11[[#This Row],[TOTAL]]/1.21</f>
        <v>0</v>
      </c>
      <c r="I850" s="183">
        <f>ventas_b_mes11[[#This Row],[IMPORTE NETO]]*0.21</f>
        <v>0</v>
      </c>
      <c r="J850" s="184"/>
      <c r="K850" s="184"/>
      <c r="L850" s="184"/>
      <c r="M850" s="59"/>
    </row>
    <row r="851" spans="2:13" x14ac:dyDescent="0.3">
      <c r="B851" s="178"/>
      <c r="C851" s="179"/>
      <c r="D851" s="180"/>
      <c r="E851" s="181"/>
      <c r="F851" s="182"/>
      <c r="G851" s="1" t="str">
        <f>IFERROR(IF(ventas_b_mes11[[#This Row],[CUIT]]="","-",VLOOKUP(ventas_b_mes11[[#This Row],[CUIT]],Lista_CUIT[#All],2,0)),"CUIT NO CARGADO")</f>
        <v>-</v>
      </c>
      <c r="H851" s="64">
        <f>ventas_b_mes11[[#This Row],[TOTAL]]/1.21</f>
        <v>0</v>
      </c>
      <c r="I851" s="183">
        <f>ventas_b_mes11[[#This Row],[IMPORTE NETO]]*0.21</f>
        <v>0</v>
      </c>
      <c r="J851" s="184"/>
      <c r="K851" s="184"/>
      <c r="L851" s="184"/>
      <c r="M851" s="59"/>
    </row>
    <row r="852" spans="2:13" x14ac:dyDescent="0.3">
      <c r="B852" s="178"/>
      <c r="C852" s="179"/>
      <c r="D852" s="180"/>
      <c r="E852" s="181"/>
      <c r="F852" s="182"/>
      <c r="G852" s="1" t="str">
        <f>IFERROR(IF(ventas_b_mes11[[#This Row],[CUIT]]="","-",VLOOKUP(ventas_b_mes11[[#This Row],[CUIT]],Lista_CUIT[#All],2,0)),"CUIT NO CARGADO")</f>
        <v>-</v>
      </c>
      <c r="H852" s="64">
        <f>ventas_b_mes11[[#This Row],[TOTAL]]/1.21</f>
        <v>0</v>
      </c>
      <c r="I852" s="183">
        <f>ventas_b_mes11[[#This Row],[IMPORTE NETO]]*0.21</f>
        <v>0</v>
      </c>
      <c r="J852" s="184"/>
      <c r="K852" s="184"/>
      <c r="L852" s="184"/>
      <c r="M852" s="59"/>
    </row>
    <row r="853" spans="2:13" x14ac:dyDescent="0.3">
      <c r="B853" s="178"/>
      <c r="C853" s="179"/>
      <c r="D853" s="180"/>
      <c r="E853" s="181"/>
      <c r="F853" s="182"/>
      <c r="G853" s="1" t="str">
        <f>IFERROR(IF(ventas_b_mes11[[#This Row],[CUIT]]="","-",VLOOKUP(ventas_b_mes11[[#This Row],[CUIT]],Lista_CUIT[#All],2,0)),"CUIT NO CARGADO")</f>
        <v>-</v>
      </c>
      <c r="H853" s="64">
        <f>ventas_b_mes11[[#This Row],[TOTAL]]/1.21</f>
        <v>0</v>
      </c>
      <c r="I853" s="183">
        <f>ventas_b_mes11[[#This Row],[IMPORTE NETO]]*0.21</f>
        <v>0</v>
      </c>
      <c r="J853" s="184"/>
      <c r="K853" s="184"/>
      <c r="L853" s="184"/>
      <c r="M853" s="59"/>
    </row>
    <row r="854" spans="2:13" x14ac:dyDescent="0.3">
      <c r="B854" s="178"/>
      <c r="C854" s="179"/>
      <c r="D854" s="180"/>
      <c r="E854" s="181"/>
      <c r="F854" s="182"/>
      <c r="G854" s="1" t="str">
        <f>IFERROR(IF(ventas_b_mes11[[#This Row],[CUIT]]="","-",VLOOKUP(ventas_b_mes11[[#This Row],[CUIT]],Lista_CUIT[#All],2,0)),"CUIT NO CARGADO")</f>
        <v>-</v>
      </c>
      <c r="H854" s="64">
        <f>ventas_b_mes11[[#This Row],[TOTAL]]/1.21</f>
        <v>0</v>
      </c>
      <c r="I854" s="183">
        <f>ventas_b_mes11[[#This Row],[IMPORTE NETO]]*0.21</f>
        <v>0</v>
      </c>
      <c r="J854" s="184"/>
      <c r="K854" s="184"/>
      <c r="L854" s="184"/>
      <c r="M854" s="59"/>
    </row>
    <row r="855" spans="2:13" x14ac:dyDescent="0.3">
      <c r="B855" s="178"/>
      <c r="C855" s="179"/>
      <c r="D855" s="180"/>
      <c r="E855" s="181"/>
      <c r="F855" s="182"/>
      <c r="G855" s="1" t="str">
        <f>IFERROR(IF(ventas_b_mes11[[#This Row],[CUIT]]="","-",VLOOKUP(ventas_b_mes11[[#This Row],[CUIT]],Lista_CUIT[#All],2,0)),"CUIT NO CARGADO")</f>
        <v>-</v>
      </c>
      <c r="H855" s="64">
        <f>ventas_b_mes11[[#This Row],[TOTAL]]/1.21</f>
        <v>0</v>
      </c>
      <c r="I855" s="183">
        <f>ventas_b_mes11[[#This Row],[IMPORTE NETO]]*0.21</f>
        <v>0</v>
      </c>
      <c r="J855" s="184"/>
      <c r="K855" s="184"/>
      <c r="L855" s="184"/>
      <c r="M855" s="59"/>
    </row>
    <row r="856" spans="2:13" x14ac:dyDescent="0.3">
      <c r="B856" s="178"/>
      <c r="C856" s="179"/>
      <c r="D856" s="180"/>
      <c r="E856" s="181"/>
      <c r="F856" s="182"/>
      <c r="G856" s="1" t="str">
        <f>IFERROR(IF(ventas_b_mes11[[#This Row],[CUIT]]="","-",VLOOKUP(ventas_b_mes11[[#This Row],[CUIT]],Lista_CUIT[#All],2,0)),"CUIT NO CARGADO")</f>
        <v>-</v>
      </c>
      <c r="H856" s="64">
        <f>ventas_b_mes11[[#This Row],[TOTAL]]/1.21</f>
        <v>0</v>
      </c>
      <c r="I856" s="183">
        <f>ventas_b_mes11[[#This Row],[IMPORTE NETO]]*0.21</f>
        <v>0</v>
      </c>
      <c r="J856" s="184"/>
      <c r="K856" s="184"/>
      <c r="L856" s="184"/>
      <c r="M856" s="59"/>
    </row>
    <row r="857" spans="2:13" x14ac:dyDescent="0.3">
      <c r="B857" s="178"/>
      <c r="C857" s="179"/>
      <c r="D857" s="180"/>
      <c r="E857" s="181"/>
      <c r="F857" s="182"/>
      <c r="G857" s="1" t="str">
        <f>IFERROR(IF(ventas_b_mes11[[#This Row],[CUIT]]="","-",VLOOKUP(ventas_b_mes11[[#This Row],[CUIT]],Lista_CUIT[#All],2,0)),"CUIT NO CARGADO")</f>
        <v>-</v>
      </c>
      <c r="H857" s="64">
        <f>ventas_b_mes11[[#This Row],[TOTAL]]/1.21</f>
        <v>0</v>
      </c>
      <c r="I857" s="183">
        <f>ventas_b_mes11[[#This Row],[IMPORTE NETO]]*0.21</f>
        <v>0</v>
      </c>
      <c r="J857" s="184"/>
      <c r="K857" s="184"/>
      <c r="L857" s="184"/>
      <c r="M857" s="59"/>
    </row>
    <row r="858" spans="2:13" x14ac:dyDescent="0.3">
      <c r="B858" s="178"/>
      <c r="C858" s="179"/>
      <c r="D858" s="180"/>
      <c r="E858" s="181"/>
      <c r="F858" s="182"/>
      <c r="G858" s="1" t="str">
        <f>IFERROR(IF(ventas_b_mes11[[#This Row],[CUIT]]="","-",VLOOKUP(ventas_b_mes11[[#This Row],[CUIT]],Lista_CUIT[#All],2,0)),"CUIT NO CARGADO")</f>
        <v>-</v>
      </c>
      <c r="H858" s="64">
        <f>ventas_b_mes11[[#This Row],[TOTAL]]/1.21</f>
        <v>0</v>
      </c>
      <c r="I858" s="183">
        <f>ventas_b_mes11[[#This Row],[IMPORTE NETO]]*0.21</f>
        <v>0</v>
      </c>
      <c r="J858" s="184"/>
      <c r="K858" s="184"/>
      <c r="L858" s="184"/>
      <c r="M858" s="59"/>
    </row>
    <row r="859" spans="2:13" x14ac:dyDescent="0.3">
      <c r="B859" s="178"/>
      <c r="C859" s="179"/>
      <c r="D859" s="180"/>
      <c r="E859" s="181"/>
      <c r="F859" s="182"/>
      <c r="G859" s="1" t="str">
        <f>IFERROR(IF(ventas_b_mes11[[#This Row],[CUIT]]="","-",VLOOKUP(ventas_b_mes11[[#This Row],[CUIT]],Lista_CUIT[#All],2,0)),"CUIT NO CARGADO")</f>
        <v>-</v>
      </c>
      <c r="H859" s="64">
        <f>ventas_b_mes11[[#This Row],[TOTAL]]/1.21</f>
        <v>0</v>
      </c>
      <c r="I859" s="183">
        <f>ventas_b_mes11[[#This Row],[IMPORTE NETO]]*0.21</f>
        <v>0</v>
      </c>
      <c r="J859" s="184"/>
      <c r="K859" s="184"/>
      <c r="L859" s="184"/>
      <c r="M859" s="59"/>
    </row>
    <row r="860" spans="2:13" x14ac:dyDescent="0.3">
      <c r="B860" s="178"/>
      <c r="C860" s="179"/>
      <c r="D860" s="180"/>
      <c r="E860" s="181"/>
      <c r="F860" s="182"/>
      <c r="G860" s="1" t="str">
        <f>IFERROR(IF(ventas_b_mes11[[#This Row],[CUIT]]="","-",VLOOKUP(ventas_b_mes11[[#This Row],[CUIT]],Lista_CUIT[#All],2,0)),"CUIT NO CARGADO")</f>
        <v>-</v>
      </c>
      <c r="H860" s="64">
        <f>ventas_b_mes11[[#This Row],[TOTAL]]/1.21</f>
        <v>0</v>
      </c>
      <c r="I860" s="183">
        <f>ventas_b_mes11[[#This Row],[IMPORTE NETO]]*0.21</f>
        <v>0</v>
      </c>
      <c r="J860" s="184"/>
      <c r="K860" s="184"/>
      <c r="L860" s="184"/>
      <c r="M860" s="59"/>
    </row>
    <row r="861" spans="2:13" x14ac:dyDescent="0.3">
      <c r="B861" s="178"/>
      <c r="C861" s="179"/>
      <c r="D861" s="180"/>
      <c r="E861" s="181"/>
      <c r="F861" s="182"/>
      <c r="G861" s="1" t="str">
        <f>IFERROR(IF(ventas_b_mes11[[#This Row],[CUIT]]="","-",VLOOKUP(ventas_b_mes11[[#This Row],[CUIT]],Lista_CUIT[#All],2,0)),"CUIT NO CARGADO")</f>
        <v>-</v>
      </c>
      <c r="H861" s="64">
        <f>ventas_b_mes11[[#This Row],[TOTAL]]/1.21</f>
        <v>0</v>
      </c>
      <c r="I861" s="183">
        <f>ventas_b_mes11[[#This Row],[IMPORTE NETO]]*0.21</f>
        <v>0</v>
      </c>
      <c r="J861" s="184"/>
      <c r="K861" s="184"/>
      <c r="L861" s="184"/>
      <c r="M861" s="59"/>
    </row>
    <row r="862" spans="2:13" x14ac:dyDescent="0.3">
      <c r="B862" s="178"/>
      <c r="C862" s="179"/>
      <c r="D862" s="180"/>
      <c r="E862" s="181"/>
      <c r="F862" s="182"/>
      <c r="G862" s="1" t="str">
        <f>IFERROR(IF(ventas_b_mes11[[#This Row],[CUIT]]="","-",VLOOKUP(ventas_b_mes11[[#This Row],[CUIT]],Lista_CUIT[#All],2,0)),"CUIT NO CARGADO")</f>
        <v>-</v>
      </c>
      <c r="H862" s="64">
        <f>ventas_b_mes11[[#This Row],[TOTAL]]/1.21</f>
        <v>0</v>
      </c>
      <c r="I862" s="183">
        <f>ventas_b_mes11[[#This Row],[IMPORTE NETO]]*0.21</f>
        <v>0</v>
      </c>
      <c r="J862" s="184"/>
      <c r="K862" s="184"/>
      <c r="L862" s="184"/>
      <c r="M862" s="59"/>
    </row>
    <row r="863" spans="2:13" x14ac:dyDescent="0.3">
      <c r="B863" s="178"/>
      <c r="C863" s="179"/>
      <c r="D863" s="180"/>
      <c r="E863" s="181"/>
      <c r="F863" s="182"/>
      <c r="G863" s="1" t="str">
        <f>IFERROR(IF(ventas_b_mes11[[#This Row],[CUIT]]="","-",VLOOKUP(ventas_b_mes11[[#This Row],[CUIT]],Lista_CUIT[#All],2,0)),"CUIT NO CARGADO")</f>
        <v>-</v>
      </c>
      <c r="H863" s="64">
        <f>ventas_b_mes11[[#This Row],[TOTAL]]/1.21</f>
        <v>0</v>
      </c>
      <c r="I863" s="183">
        <f>ventas_b_mes11[[#This Row],[IMPORTE NETO]]*0.21</f>
        <v>0</v>
      </c>
      <c r="J863" s="184"/>
      <c r="K863" s="184"/>
      <c r="L863" s="184"/>
      <c r="M863" s="59"/>
    </row>
    <row r="864" spans="2:13" x14ac:dyDescent="0.3">
      <c r="B864" s="178"/>
      <c r="C864" s="179"/>
      <c r="D864" s="180"/>
      <c r="E864" s="181"/>
      <c r="F864" s="182"/>
      <c r="G864" s="1" t="str">
        <f>IFERROR(IF(ventas_b_mes11[[#This Row],[CUIT]]="","-",VLOOKUP(ventas_b_mes11[[#This Row],[CUIT]],Lista_CUIT[#All],2,0)),"CUIT NO CARGADO")</f>
        <v>-</v>
      </c>
      <c r="H864" s="64">
        <f>ventas_b_mes11[[#This Row],[TOTAL]]/1.21</f>
        <v>0</v>
      </c>
      <c r="I864" s="183">
        <f>ventas_b_mes11[[#This Row],[IMPORTE NETO]]*0.21</f>
        <v>0</v>
      </c>
      <c r="J864" s="184"/>
      <c r="K864" s="184"/>
      <c r="L864" s="184"/>
      <c r="M864" s="59"/>
    </row>
    <row r="865" spans="2:13" x14ac:dyDescent="0.3">
      <c r="B865" s="178"/>
      <c r="C865" s="179"/>
      <c r="D865" s="180"/>
      <c r="E865" s="181"/>
      <c r="F865" s="182"/>
      <c r="G865" s="1" t="str">
        <f>IFERROR(IF(ventas_b_mes11[[#This Row],[CUIT]]="","-",VLOOKUP(ventas_b_mes11[[#This Row],[CUIT]],Lista_CUIT[#All],2,0)),"CUIT NO CARGADO")</f>
        <v>-</v>
      </c>
      <c r="H865" s="64">
        <f>ventas_b_mes11[[#This Row],[TOTAL]]/1.21</f>
        <v>0</v>
      </c>
      <c r="I865" s="183">
        <f>ventas_b_mes11[[#This Row],[IMPORTE NETO]]*0.21</f>
        <v>0</v>
      </c>
      <c r="J865" s="184"/>
      <c r="K865" s="184"/>
      <c r="L865" s="184"/>
      <c r="M865" s="59"/>
    </row>
    <row r="866" spans="2:13" x14ac:dyDescent="0.3">
      <c r="B866" s="178"/>
      <c r="C866" s="179"/>
      <c r="D866" s="180"/>
      <c r="E866" s="181"/>
      <c r="F866" s="182"/>
      <c r="G866" s="1" t="str">
        <f>IFERROR(IF(ventas_b_mes11[[#This Row],[CUIT]]="","-",VLOOKUP(ventas_b_mes11[[#This Row],[CUIT]],Lista_CUIT[#All],2,0)),"CUIT NO CARGADO")</f>
        <v>-</v>
      </c>
      <c r="H866" s="64">
        <f>ventas_b_mes11[[#This Row],[TOTAL]]/1.21</f>
        <v>0</v>
      </c>
      <c r="I866" s="183">
        <f>ventas_b_mes11[[#This Row],[IMPORTE NETO]]*0.21</f>
        <v>0</v>
      </c>
      <c r="J866" s="184"/>
      <c r="K866" s="184"/>
      <c r="L866" s="184"/>
      <c r="M866" s="59"/>
    </row>
    <row r="867" spans="2:13" x14ac:dyDescent="0.3">
      <c r="B867" s="178"/>
      <c r="C867" s="179"/>
      <c r="D867" s="180"/>
      <c r="E867" s="181"/>
      <c r="F867" s="182"/>
      <c r="G867" s="1" t="str">
        <f>IFERROR(IF(ventas_b_mes11[[#This Row],[CUIT]]="","-",VLOOKUP(ventas_b_mes11[[#This Row],[CUIT]],Lista_CUIT[#All],2,0)),"CUIT NO CARGADO")</f>
        <v>-</v>
      </c>
      <c r="H867" s="64">
        <f>ventas_b_mes11[[#This Row],[TOTAL]]/1.21</f>
        <v>0</v>
      </c>
      <c r="I867" s="183">
        <f>ventas_b_mes11[[#This Row],[IMPORTE NETO]]*0.21</f>
        <v>0</v>
      </c>
      <c r="J867" s="184"/>
      <c r="K867" s="184"/>
      <c r="L867" s="184"/>
      <c r="M867" s="59"/>
    </row>
    <row r="868" spans="2:13" x14ac:dyDescent="0.3">
      <c r="B868" s="178"/>
      <c r="C868" s="179"/>
      <c r="D868" s="180"/>
      <c r="E868" s="181"/>
      <c r="F868" s="182"/>
      <c r="G868" s="1" t="str">
        <f>IFERROR(IF(ventas_b_mes11[[#This Row],[CUIT]]="","-",VLOOKUP(ventas_b_mes11[[#This Row],[CUIT]],Lista_CUIT[#All],2,0)),"CUIT NO CARGADO")</f>
        <v>-</v>
      </c>
      <c r="H868" s="64">
        <f>ventas_b_mes11[[#This Row],[TOTAL]]/1.21</f>
        <v>0</v>
      </c>
      <c r="I868" s="183">
        <f>ventas_b_mes11[[#This Row],[IMPORTE NETO]]*0.21</f>
        <v>0</v>
      </c>
      <c r="J868" s="184"/>
      <c r="K868" s="184"/>
      <c r="L868" s="184"/>
      <c r="M868" s="59"/>
    </row>
    <row r="869" spans="2:13" x14ac:dyDescent="0.3">
      <c r="B869" s="178"/>
      <c r="C869" s="179"/>
      <c r="D869" s="180"/>
      <c r="E869" s="181"/>
      <c r="F869" s="182"/>
      <c r="G869" s="1" t="str">
        <f>IFERROR(IF(ventas_b_mes11[[#This Row],[CUIT]]="","-",VLOOKUP(ventas_b_mes11[[#This Row],[CUIT]],Lista_CUIT[#All],2,0)),"CUIT NO CARGADO")</f>
        <v>-</v>
      </c>
      <c r="H869" s="64">
        <f>ventas_b_mes11[[#This Row],[TOTAL]]/1.21</f>
        <v>0</v>
      </c>
      <c r="I869" s="183">
        <f>ventas_b_mes11[[#This Row],[IMPORTE NETO]]*0.21</f>
        <v>0</v>
      </c>
      <c r="J869" s="184"/>
      <c r="K869" s="184"/>
      <c r="L869" s="184"/>
      <c r="M869" s="59"/>
    </row>
    <row r="870" spans="2:13" x14ac:dyDescent="0.3">
      <c r="B870" s="178"/>
      <c r="C870" s="179"/>
      <c r="D870" s="180"/>
      <c r="E870" s="181"/>
      <c r="F870" s="182"/>
      <c r="G870" s="1" t="str">
        <f>IFERROR(IF(ventas_b_mes11[[#This Row],[CUIT]]="","-",VLOOKUP(ventas_b_mes11[[#This Row],[CUIT]],Lista_CUIT[#All],2,0)),"CUIT NO CARGADO")</f>
        <v>-</v>
      </c>
      <c r="H870" s="64">
        <f>ventas_b_mes11[[#This Row],[TOTAL]]/1.21</f>
        <v>0</v>
      </c>
      <c r="I870" s="183">
        <f>ventas_b_mes11[[#This Row],[IMPORTE NETO]]*0.21</f>
        <v>0</v>
      </c>
      <c r="J870" s="184"/>
      <c r="K870" s="184"/>
      <c r="L870" s="184"/>
      <c r="M870" s="59"/>
    </row>
    <row r="871" spans="2:13" x14ac:dyDescent="0.3">
      <c r="B871" s="178"/>
      <c r="C871" s="179"/>
      <c r="D871" s="180"/>
      <c r="E871" s="181"/>
      <c r="F871" s="182"/>
      <c r="G871" s="1" t="str">
        <f>IFERROR(IF(ventas_b_mes11[[#This Row],[CUIT]]="","-",VLOOKUP(ventas_b_mes11[[#This Row],[CUIT]],Lista_CUIT[#All],2,0)),"CUIT NO CARGADO")</f>
        <v>-</v>
      </c>
      <c r="H871" s="64">
        <f>ventas_b_mes11[[#This Row],[TOTAL]]/1.21</f>
        <v>0</v>
      </c>
      <c r="I871" s="183">
        <f>ventas_b_mes11[[#This Row],[IMPORTE NETO]]*0.21</f>
        <v>0</v>
      </c>
      <c r="J871" s="184"/>
      <c r="K871" s="184"/>
      <c r="L871" s="184"/>
      <c r="M871" s="59"/>
    </row>
    <row r="872" spans="2:13" x14ac:dyDescent="0.3">
      <c r="B872" s="178"/>
      <c r="C872" s="179"/>
      <c r="D872" s="180"/>
      <c r="E872" s="181"/>
      <c r="F872" s="182"/>
      <c r="G872" s="1" t="str">
        <f>IFERROR(IF(ventas_b_mes11[[#This Row],[CUIT]]="","-",VLOOKUP(ventas_b_mes11[[#This Row],[CUIT]],Lista_CUIT[#All],2,0)),"CUIT NO CARGADO")</f>
        <v>-</v>
      </c>
      <c r="H872" s="64">
        <f>ventas_b_mes11[[#This Row],[TOTAL]]/1.21</f>
        <v>0</v>
      </c>
      <c r="I872" s="183">
        <f>ventas_b_mes11[[#This Row],[IMPORTE NETO]]*0.21</f>
        <v>0</v>
      </c>
      <c r="J872" s="184"/>
      <c r="K872" s="184"/>
      <c r="L872" s="184"/>
      <c r="M872" s="59"/>
    </row>
    <row r="873" spans="2:13" x14ac:dyDescent="0.3">
      <c r="B873" s="178"/>
      <c r="C873" s="179"/>
      <c r="D873" s="180"/>
      <c r="E873" s="181"/>
      <c r="F873" s="182"/>
      <c r="G873" s="1" t="str">
        <f>IFERROR(IF(ventas_b_mes11[[#This Row],[CUIT]]="","-",VLOOKUP(ventas_b_mes11[[#This Row],[CUIT]],Lista_CUIT[#All],2,0)),"CUIT NO CARGADO")</f>
        <v>-</v>
      </c>
      <c r="H873" s="64">
        <f>ventas_b_mes11[[#This Row],[TOTAL]]/1.21</f>
        <v>0</v>
      </c>
      <c r="I873" s="183">
        <f>ventas_b_mes11[[#This Row],[IMPORTE NETO]]*0.21</f>
        <v>0</v>
      </c>
      <c r="J873" s="184"/>
      <c r="K873" s="184"/>
      <c r="L873" s="184"/>
      <c r="M873" s="59"/>
    </row>
    <row r="874" spans="2:13" x14ac:dyDescent="0.3">
      <c r="B874" s="178"/>
      <c r="C874" s="179"/>
      <c r="D874" s="180"/>
      <c r="E874" s="181"/>
      <c r="F874" s="182"/>
      <c r="G874" s="1" t="str">
        <f>IFERROR(IF(ventas_b_mes11[[#This Row],[CUIT]]="","-",VLOOKUP(ventas_b_mes11[[#This Row],[CUIT]],Lista_CUIT[#All],2,0)),"CUIT NO CARGADO")</f>
        <v>-</v>
      </c>
      <c r="H874" s="64">
        <f>ventas_b_mes11[[#This Row],[TOTAL]]/1.21</f>
        <v>0</v>
      </c>
      <c r="I874" s="183">
        <f>ventas_b_mes11[[#This Row],[IMPORTE NETO]]*0.21</f>
        <v>0</v>
      </c>
      <c r="J874" s="184"/>
      <c r="K874" s="184"/>
      <c r="L874" s="184"/>
      <c r="M874" s="59"/>
    </row>
    <row r="875" spans="2:13" x14ac:dyDescent="0.3">
      <c r="B875" s="178"/>
      <c r="C875" s="179"/>
      <c r="D875" s="180"/>
      <c r="E875" s="181"/>
      <c r="F875" s="182"/>
      <c r="G875" s="1" t="str">
        <f>IFERROR(IF(ventas_b_mes11[[#This Row],[CUIT]]="","-",VLOOKUP(ventas_b_mes11[[#This Row],[CUIT]],Lista_CUIT[#All],2,0)),"CUIT NO CARGADO")</f>
        <v>-</v>
      </c>
      <c r="H875" s="64">
        <f>ventas_b_mes11[[#This Row],[TOTAL]]/1.21</f>
        <v>0</v>
      </c>
      <c r="I875" s="183">
        <f>ventas_b_mes11[[#This Row],[IMPORTE NETO]]*0.21</f>
        <v>0</v>
      </c>
      <c r="J875" s="184"/>
      <c r="K875" s="184"/>
      <c r="L875" s="184"/>
      <c r="M875" s="59"/>
    </row>
    <row r="876" spans="2:13" x14ac:dyDescent="0.3">
      <c r="B876" s="178"/>
      <c r="C876" s="179"/>
      <c r="D876" s="180"/>
      <c r="E876" s="181"/>
      <c r="F876" s="182"/>
      <c r="G876" s="1" t="str">
        <f>IFERROR(IF(ventas_b_mes11[[#This Row],[CUIT]]="","-",VLOOKUP(ventas_b_mes11[[#This Row],[CUIT]],Lista_CUIT[#All],2,0)),"CUIT NO CARGADO")</f>
        <v>-</v>
      </c>
      <c r="H876" s="64">
        <f>ventas_b_mes11[[#This Row],[TOTAL]]/1.21</f>
        <v>0</v>
      </c>
      <c r="I876" s="183">
        <f>ventas_b_mes11[[#This Row],[IMPORTE NETO]]*0.21</f>
        <v>0</v>
      </c>
      <c r="J876" s="184"/>
      <c r="K876" s="184"/>
      <c r="L876" s="184"/>
      <c r="M876" s="59"/>
    </row>
    <row r="877" spans="2:13" x14ac:dyDescent="0.3">
      <c r="B877" s="178"/>
      <c r="C877" s="179"/>
      <c r="D877" s="180"/>
      <c r="E877" s="181"/>
      <c r="F877" s="182"/>
      <c r="G877" s="1" t="str">
        <f>IFERROR(IF(ventas_b_mes11[[#This Row],[CUIT]]="","-",VLOOKUP(ventas_b_mes11[[#This Row],[CUIT]],Lista_CUIT[#All],2,0)),"CUIT NO CARGADO")</f>
        <v>-</v>
      </c>
      <c r="H877" s="64">
        <f>ventas_b_mes11[[#This Row],[TOTAL]]/1.21</f>
        <v>0</v>
      </c>
      <c r="I877" s="183">
        <f>ventas_b_mes11[[#This Row],[IMPORTE NETO]]*0.21</f>
        <v>0</v>
      </c>
      <c r="J877" s="184"/>
      <c r="K877" s="184"/>
      <c r="L877" s="184"/>
      <c r="M877" s="59"/>
    </row>
    <row r="878" spans="2:13" x14ac:dyDescent="0.3">
      <c r="B878" s="178"/>
      <c r="C878" s="179"/>
      <c r="D878" s="180"/>
      <c r="E878" s="181"/>
      <c r="F878" s="182"/>
      <c r="G878" s="1" t="str">
        <f>IFERROR(IF(ventas_b_mes11[[#This Row],[CUIT]]="","-",VLOOKUP(ventas_b_mes11[[#This Row],[CUIT]],Lista_CUIT[#All],2,0)),"CUIT NO CARGADO")</f>
        <v>-</v>
      </c>
      <c r="H878" s="64">
        <f>ventas_b_mes11[[#This Row],[TOTAL]]/1.21</f>
        <v>0</v>
      </c>
      <c r="I878" s="183">
        <f>ventas_b_mes11[[#This Row],[IMPORTE NETO]]*0.21</f>
        <v>0</v>
      </c>
      <c r="J878" s="184"/>
      <c r="K878" s="184"/>
      <c r="L878" s="184"/>
      <c r="M878" s="59"/>
    </row>
    <row r="879" spans="2:13" x14ac:dyDescent="0.3">
      <c r="B879" s="178"/>
      <c r="C879" s="179"/>
      <c r="D879" s="180"/>
      <c r="E879" s="181"/>
      <c r="F879" s="182"/>
      <c r="G879" s="1" t="str">
        <f>IFERROR(IF(ventas_b_mes11[[#This Row],[CUIT]]="","-",VLOOKUP(ventas_b_mes11[[#This Row],[CUIT]],Lista_CUIT[#All],2,0)),"CUIT NO CARGADO")</f>
        <v>-</v>
      </c>
      <c r="H879" s="64">
        <f>ventas_b_mes11[[#This Row],[TOTAL]]/1.21</f>
        <v>0</v>
      </c>
      <c r="I879" s="183">
        <f>ventas_b_mes11[[#This Row],[IMPORTE NETO]]*0.21</f>
        <v>0</v>
      </c>
      <c r="J879" s="184"/>
      <c r="K879" s="184"/>
      <c r="L879" s="184"/>
      <c r="M879" s="59"/>
    </row>
    <row r="880" spans="2:13" x14ac:dyDescent="0.3">
      <c r="B880" s="178"/>
      <c r="C880" s="179"/>
      <c r="D880" s="180"/>
      <c r="E880" s="181"/>
      <c r="F880" s="182"/>
      <c r="G880" s="1" t="str">
        <f>IFERROR(IF(ventas_b_mes11[[#This Row],[CUIT]]="","-",VLOOKUP(ventas_b_mes11[[#This Row],[CUIT]],Lista_CUIT[#All],2,0)),"CUIT NO CARGADO")</f>
        <v>-</v>
      </c>
      <c r="H880" s="64">
        <f>ventas_b_mes11[[#This Row],[TOTAL]]/1.21</f>
        <v>0</v>
      </c>
      <c r="I880" s="183">
        <f>ventas_b_mes11[[#This Row],[IMPORTE NETO]]*0.21</f>
        <v>0</v>
      </c>
      <c r="J880" s="184"/>
      <c r="K880" s="184"/>
      <c r="L880" s="184"/>
      <c r="M880" s="59"/>
    </row>
    <row r="881" spans="2:13" x14ac:dyDescent="0.3">
      <c r="B881" s="178"/>
      <c r="C881" s="179"/>
      <c r="D881" s="180"/>
      <c r="E881" s="181"/>
      <c r="F881" s="182"/>
      <c r="G881" s="1" t="str">
        <f>IFERROR(IF(ventas_b_mes11[[#This Row],[CUIT]]="","-",VLOOKUP(ventas_b_mes11[[#This Row],[CUIT]],Lista_CUIT[#All],2,0)),"CUIT NO CARGADO")</f>
        <v>-</v>
      </c>
      <c r="H881" s="64">
        <f>ventas_b_mes11[[#This Row],[TOTAL]]/1.21</f>
        <v>0</v>
      </c>
      <c r="I881" s="183">
        <f>ventas_b_mes11[[#This Row],[IMPORTE NETO]]*0.21</f>
        <v>0</v>
      </c>
      <c r="J881" s="184"/>
      <c r="K881" s="184"/>
      <c r="L881" s="184"/>
      <c r="M881" s="59"/>
    </row>
    <row r="882" spans="2:13" x14ac:dyDescent="0.3">
      <c r="B882" s="178"/>
      <c r="C882" s="179"/>
      <c r="D882" s="180"/>
      <c r="E882" s="181"/>
      <c r="F882" s="182"/>
      <c r="G882" s="1" t="str">
        <f>IFERROR(IF(ventas_b_mes11[[#This Row],[CUIT]]="","-",VLOOKUP(ventas_b_mes11[[#This Row],[CUIT]],Lista_CUIT[#All],2,0)),"CUIT NO CARGADO")</f>
        <v>-</v>
      </c>
      <c r="H882" s="64">
        <f>ventas_b_mes11[[#This Row],[TOTAL]]/1.21</f>
        <v>0</v>
      </c>
      <c r="I882" s="183">
        <f>ventas_b_mes11[[#This Row],[IMPORTE NETO]]*0.21</f>
        <v>0</v>
      </c>
      <c r="J882" s="184"/>
      <c r="K882" s="184"/>
      <c r="L882" s="184"/>
      <c r="M882" s="59"/>
    </row>
    <row r="883" spans="2:13" x14ac:dyDescent="0.3">
      <c r="B883" s="178"/>
      <c r="C883" s="179"/>
      <c r="D883" s="180"/>
      <c r="E883" s="181"/>
      <c r="F883" s="182"/>
      <c r="G883" s="1" t="str">
        <f>IFERROR(IF(ventas_b_mes11[[#This Row],[CUIT]]="","-",VLOOKUP(ventas_b_mes11[[#This Row],[CUIT]],Lista_CUIT[#All],2,0)),"CUIT NO CARGADO")</f>
        <v>-</v>
      </c>
      <c r="H883" s="64">
        <f>ventas_b_mes11[[#This Row],[TOTAL]]/1.21</f>
        <v>0</v>
      </c>
      <c r="I883" s="183">
        <f>ventas_b_mes11[[#This Row],[IMPORTE NETO]]*0.21</f>
        <v>0</v>
      </c>
      <c r="J883" s="184"/>
      <c r="K883" s="184"/>
      <c r="L883" s="184"/>
      <c r="M883" s="59"/>
    </row>
    <row r="884" spans="2:13" x14ac:dyDescent="0.3">
      <c r="B884" s="178"/>
      <c r="C884" s="179"/>
      <c r="D884" s="180"/>
      <c r="E884" s="181"/>
      <c r="F884" s="182"/>
      <c r="G884" s="1" t="str">
        <f>IFERROR(IF(ventas_b_mes11[[#This Row],[CUIT]]="","-",VLOOKUP(ventas_b_mes11[[#This Row],[CUIT]],Lista_CUIT[#All],2,0)),"CUIT NO CARGADO")</f>
        <v>-</v>
      </c>
      <c r="H884" s="64">
        <f>ventas_b_mes11[[#This Row],[TOTAL]]/1.21</f>
        <v>0</v>
      </c>
      <c r="I884" s="183">
        <f>ventas_b_mes11[[#This Row],[IMPORTE NETO]]*0.21</f>
        <v>0</v>
      </c>
      <c r="J884" s="184"/>
      <c r="K884" s="184"/>
      <c r="L884" s="184"/>
      <c r="M884" s="59"/>
    </row>
    <row r="885" spans="2:13" x14ac:dyDescent="0.3">
      <c r="B885" s="178"/>
      <c r="C885" s="179"/>
      <c r="D885" s="180"/>
      <c r="E885" s="181"/>
      <c r="F885" s="182"/>
      <c r="G885" s="1" t="str">
        <f>IFERROR(IF(ventas_b_mes11[[#This Row],[CUIT]]="","-",VLOOKUP(ventas_b_mes11[[#This Row],[CUIT]],Lista_CUIT[#All],2,0)),"CUIT NO CARGADO")</f>
        <v>-</v>
      </c>
      <c r="H885" s="64">
        <f>ventas_b_mes11[[#This Row],[TOTAL]]/1.21</f>
        <v>0</v>
      </c>
      <c r="I885" s="183">
        <f>ventas_b_mes11[[#This Row],[IMPORTE NETO]]*0.21</f>
        <v>0</v>
      </c>
      <c r="J885" s="184"/>
      <c r="K885" s="184"/>
      <c r="L885" s="184"/>
      <c r="M885" s="59"/>
    </row>
    <row r="886" spans="2:13" x14ac:dyDescent="0.3">
      <c r="B886" s="178"/>
      <c r="C886" s="179"/>
      <c r="D886" s="180"/>
      <c r="E886" s="181"/>
      <c r="F886" s="182"/>
      <c r="G886" s="1" t="str">
        <f>IFERROR(IF(ventas_b_mes11[[#This Row],[CUIT]]="","-",VLOOKUP(ventas_b_mes11[[#This Row],[CUIT]],Lista_CUIT[#All],2,0)),"CUIT NO CARGADO")</f>
        <v>-</v>
      </c>
      <c r="H886" s="64">
        <f>ventas_b_mes11[[#This Row],[TOTAL]]/1.21</f>
        <v>0</v>
      </c>
      <c r="I886" s="183">
        <f>ventas_b_mes11[[#This Row],[IMPORTE NETO]]*0.21</f>
        <v>0</v>
      </c>
      <c r="J886" s="184"/>
      <c r="K886" s="184"/>
      <c r="L886" s="184"/>
      <c r="M886" s="59"/>
    </row>
    <row r="887" spans="2:13" x14ac:dyDescent="0.3">
      <c r="B887" s="178"/>
      <c r="C887" s="179"/>
      <c r="D887" s="180"/>
      <c r="E887" s="181"/>
      <c r="F887" s="182"/>
      <c r="G887" s="1" t="str">
        <f>IFERROR(IF(ventas_b_mes11[[#This Row],[CUIT]]="","-",VLOOKUP(ventas_b_mes11[[#This Row],[CUIT]],Lista_CUIT[#All],2,0)),"CUIT NO CARGADO")</f>
        <v>-</v>
      </c>
      <c r="H887" s="64">
        <f>ventas_b_mes11[[#This Row],[TOTAL]]/1.21</f>
        <v>0</v>
      </c>
      <c r="I887" s="183">
        <f>ventas_b_mes11[[#This Row],[IMPORTE NETO]]*0.21</f>
        <v>0</v>
      </c>
      <c r="J887" s="184"/>
      <c r="K887" s="184"/>
      <c r="L887" s="184"/>
      <c r="M887" s="59"/>
    </row>
    <row r="888" spans="2:13" x14ac:dyDescent="0.3">
      <c r="B888" s="178"/>
      <c r="C888" s="179"/>
      <c r="D888" s="180"/>
      <c r="E888" s="181"/>
      <c r="F888" s="182"/>
      <c r="G888" s="1" t="str">
        <f>IFERROR(IF(ventas_b_mes11[[#This Row],[CUIT]]="","-",VLOOKUP(ventas_b_mes11[[#This Row],[CUIT]],Lista_CUIT[#All],2,0)),"CUIT NO CARGADO")</f>
        <v>-</v>
      </c>
      <c r="H888" s="64">
        <f>ventas_b_mes11[[#This Row],[TOTAL]]/1.21</f>
        <v>0</v>
      </c>
      <c r="I888" s="183">
        <f>ventas_b_mes11[[#This Row],[IMPORTE NETO]]*0.21</f>
        <v>0</v>
      </c>
      <c r="J888" s="184"/>
      <c r="K888" s="184"/>
      <c r="L888" s="184"/>
      <c r="M888" s="59"/>
    </row>
    <row r="889" spans="2:13" x14ac:dyDescent="0.3">
      <c r="B889" s="178"/>
      <c r="C889" s="179"/>
      <c r="D889" s="180"/>
      <c r="E889" s="181"/>
      <c r="F889" s="182"/>
      <c r="G889" s="1" t="str">
        <f>IFERROR(IF(ventas_b_mes11[[#This Row],[CUIT]]="","-",VLOOKUP(ventas_b_mes11[[#This Row],[CUIT]],Lista_CUIT[#All],2,0)),"CUIT NO CARGADO")</f>
        <v>-</v>
      </c>
      <c r="H889" s="64">
        <f>ventas_b_mes11[[#This Row],[TOTAL]]/1.21</f>
        <v>0</v>
      </c>
      <c r="I889" s="183">
        <f>ventas_b_mes11[[#This Row],[IMPORTE NETO]]*0.21</f>
        <v>0</v>
      </c>
      <c r="J889" s="184"/>
      <c r="K889" s="184"/>
      <c r="L889" s="184"/>
      <c r="M889" s="59"/>
    </row>
    <row r="890" spans="2:13" x14ac:dyDescent="0.3">
      <c r="B890" s="178"/>
      <c r="C890" s="179"/>
      <c r="D890" s="180"/>
      <c r="E890" s="181"/>
      <c r="F890" s="182"/>
      <c r="G890" s="1" t="str">
        <f>IFERROR(IF(ventas_b_mes11[[#This Row],[CUIT]]="","-",VLOOKUP(ventas_b_mes11[[#This Row],[CUIT]],Lista_CUIT[#All],2,0)),"CUIT NO CARGADO")</f>
        <v>-</v>
      </c>
      <c r="H890" s="64">
        <f>ventas_b_mes11[[#This Row],[TOTAL]]/1.21</f>
        <v>0</v>
      </c>
      <c r="I890" s="183">
        <f>ventas_b_mes11[[#This Row],[IMPORTE NETO]]*0.21</f>
        <v>0</v>
      </c>
      <c r="J890" s="184"/>
      <c r="K890" s="184"/>
      <c r="L890" s="184"/>
      <c r="M890" s="59"/>
    </row>
    <row r="891" spans="2:13" x14ac:dyDescent="0.3">
      <c r="B891" s="178"/>
      <c r="C891" s="179"/>
      <c r="D891" s="180"/>
      <c r="E891" s="181"/>
      <c r="F891" s="182"/>
      <c r="G891" s="1" t="str">
        <f>IFERROR(IF(ventas_b_mes11[[#This Row],[CUIT]]="","-",VLOOKUP(ventas_b_mes11[[#This Row],[CUIT]],Lista_CUIT[#All],2,0)),"CUIT NO CARGADO")</f>
        <v>-</v>
      </c>
      <c r="H891" s="64">
        <f>ventas_b_mes11[[#This Row],[TOTAL]]/1.21</f>
        <v>0</v>
      </c>
      <c r="I891" s="183">
        <f>ventas_b_mes11[[#This Row],[IMPORTE NETO]]*0.21</f>
        <v>0</v>
      </c>
      <c r="J891" s="184"/>
      <c r="K891" s="184"/>
      <c r="L891" s="184"/>
      <c r="M891" s="59"/>
    </row>
    <row r="892" spans="2:13" x14ac:dyDescent="0.3">
      <c r="B892" s="178"/>
      <c r="C892" s="179"/>
      <c r="D892" s="180"/>
      <c r="E892" s="181"/>
      <c r="F892" s="182"/>
      <c r="G892" s="1" t="str">
        <f>IFERROR(IF(ventas_b_mes11[[#This Row],[CUIT]]="","-",VLOOKUP(ventas_b_mes11[[#This Row],[CUIT]],Lista_CUIT[#All],2,0)),"CUIT NO CARGADO")</f>
        <v>-</v>
      </c>
      <c r="H892" s="64">
        <f>ventas_b_mes11[[#This Row],[TOTAL]]/1.21</f>
        <v>0</v>
      </c>
      <c r="I892" s="183">
        <f>ventas_b_mes11[[#This Row],[IMPORTE NETO]]*0.21</f>
        <v>0</v>
      </c>
      <c r="J892" s="184"/>
      <c r="K892" s="184"/>
      <c r="L892" s="184"/>
      <c r="M892" s="59"/>
    </row>
    <row r="893" spans="2:13" x14ac:dyDescent="0.3">
      <c r="B893" s="178"/>
      <c r="C893" s="179"/>
      <c r="D893" s="180"/>
      <c r="E893" s="181"/>
      <c r="F893" s="182"/>
      <c r="G893" s="1" t="str">
        <f>IFERROR(IF(ventas_b_mes11[[#This Row],[CUIT]]="","-",VLOOKUP(ventas_b_mes11[[#This Row],[CUIT]],Lista_CUIT[#All],2,0)),"CUIT NO CARGADO")</f>
        <v>-</v>
      </c>
      <c r="H893" s="64">
        <f>ventas_b_mes11[[#This Row],[TOTAL]]/1.21</f>
        <v>0</v>
      </c>
      <c r="I893" s="183">
        <f>ventas_b_mes11[[#This Row],[IMPORTE NETO]]*0.21</f>
        <v>0</v>
      </c>
      <c r="J893" s="184"/>
      <c r="K893" s="184"/>
      <c r="L893" s="184"/>
      <c r="M893" s="59"/>
    </row>
    <row r="894" spans="2:13" x14ac:dyDescent="0.3">
      <c r="B894" s="178"/>
      <c r="C894" s="179"/>
      <c r="D894" s="180"/>
      <c r="E894" s="181"/>
      <c r="F894" s="182"/>
      <c r="G894" s="1" t="str">
        <f>IFERROR(IF(ventas_b_mes11[[#This Row],[CUIT]]="","-",VLOOKUP(ventas_b_mes11[[#This Row],[CUIT]],Lista_CUIT[#All],2,0)),"CUIT NO CARGADO")</f>
        <v>-</v>
      </c>
      <c r="H894" s="64">
        <f>ventas_b_mes11[[#This Row],[TOTAL]]/1.21</f>
        <v>0</v>
      </c>
      <c r="I894" s="183">
        <f>ventas_b_mes11[[#This Row],[IMPORTE NETO]]*0.21</f>
        <v>0</v>
      </c>
      <c r="J894" s="184"/>
      <c r="K894" s="184"/>
      <c r="L894" s="184"/>
      <c r="M894" s="59"/>
    </row>
    <row r="895" spans="2:13" x14ac:dyDescent="0.3">
      <c r="B895" s="178"/>
      <c r="C895" s="179"/>
      <c r="D895" s="180"/>
      <c r="E895" s="181"/>
      <c r="F895" s="182"/>
      <c r="G895" s="1" t="str">
        <f>IFERROR(IF(ventas_b_mes11[[#This Row],[CUIT]]="","-",VLOOKUP(ventas_b_mes11[[#This Row],[CUIT]],Lista_CUIT[#All],2,0)),"CUIT NO CARGADO")</f>
        <v>-</v>
      </c>
      <c r="H895" s="64">
        <f>ventas_b_mes11[[#This Row],[TOTAL]]/1.21</f>
        <v>0</v>
      </c>
      <c r="I895" s="183">
        <f>ventas_b_mes11[[#This Row],[IMPORTE NETO]]*0.21</f>
        <v>0</v>
      </c>
      <c r="J895" s="184"/>
      <c r="K895" s="184"/>
      <c r="L895" s="184"/>
      <c r="M895" s="59"/>
    </row>
    <row r="896" spans="2:13" x14ac:dyDescent="0.3">
      <c r="B896" s="178"/>
      <c r="C896" s="179"/>
      <c r="D896" s="180"/>
      <c r="E896" s="181"/>
      <c r="F896" s="182"/>
      <c r="G896" s="1" t="str">
        <f>IFERROR(IF(ventas_b_mes11[[#This Row],[CUIT]]="","-",VLOOKUP(ventas_b_mes11[[#This Row],[CUIT]],Lista_CUIT[#All],2,0)),"CUIT NO CARGADO")</f>
        <v>-</v>
      </c>
      <c r="H896" s="64">
        <f>ventas_b_mes11[[#This Row],[TOTAL]]/1.21</f>
        <v>0</v>
      </c>
      <c r="I896" s="183">
        <f>ventas_b_mes11[[#This Row],[IMPORTE NETO]]*0.21</f>
        <v>0</v>
      </c>
      <c r="J896" s="184"/>
      <c r="K896" s="184"/>
      <c r="L896" s="184"/>
      <c r="M896" s="59"/>
    </row>
    <row r="897" spans="2:13" x14ac:dyDescent="0.3">
      <c r="B897" s="178"/>
      <c r="C897" s="179"/>
      <c r="D897" s="180"/>
      <c r="E897" s="181"/>
      <c r="F897" s="182"/>
      <c r="G897" s="1" t="str">
        <f>IFERROR(IF(ventas_b_mes11[[#This Row],[CUIT]]="","-",VLOOKUP(ventas_b_mes11[[#This Row],[CUIT]],Lista_CUIT[#All],2,0)),"CUIT NO CARGADO")</f>
        <v>-</v>
      </c>
      <c r="H897" s="64">
        <f>ventas_b_mes11[[#This Row],[TOTAL]]/1.21</f>
        <v>0</v>
      </c>
      <c r="I897" s="183">
        <f>ventas_b_mes11[[#This Row],[IMPORTE NETO]]*0.21</f>
        <v>0</v>
      </c>
      <c r="J897" s="184"/>
      <c r="K897" s="184"/>
      <c r="L897" s="184"/>
      <c r="M897" s="59"/>
    </row>
    <row r="898" spans="2:13" x14ac:dyDescent="0.3">
      <c r="B898" s="178"/>
      <c r="C898" s="179"/>
      <c r="D898" s="180"/>
      <c r="E898" s="181"/>
      <c r="F898" s="182"/>
      <c r="G898" s="1" t="str">
        <f>IFERROR(IF(ventas_b_mes11[[#This Row],[CUIT]]="","-",VLOOKUP(ventas_b_mes11[[#This Row],[CUIT]],Lista_CUIT[#All],2,0)),"CUIT NO CARGADO")</f>
        <v>-</v>
      </c>
      <c r="H898" s="64">
        <f>ventas_b_mes11[[#This Row],[TOTAL]]/1.21</f>
        <v>0</v>
      </c>
      <c r="I898" s="183">
        <f>ventas_b_mes11[[#This Row],[IMPORTE NETO]]*0.21</f>
        <v>0</v>
      </c>
      <c r="J898" s="184"/>
      <c r="K898" s="184"/>
      <c r="L898" s="184"/>
      <c r="M898" s="59"/>
    </row>
    <row r="899" spans="2:13" x14ac:dyDescent="0.3">
      <c r="B899" s="178"/>
      <c r="C899" s="179"/>
      <c r="D899" s="180"/>
      <c r="E899" s="181"/>
      <c r="F899" s="182"/>
      <c r="G899" s="1" t="str">
        <f>IFERROR(IF(ventas_b_mes11[[#This Row],[CUIT]]="","-",VLOOKUP(ventas_b_mes11[[#This Row],[CUIT]],Lista_CUIT[#All],2,0)),"CUIT NO CARGADO")</f>
        <v>-</v>
      </c>
      <c r="H899" s="64">
        <f>ventas_b_mes11[[#This Row],[TOTAL]]/1.21</f>
        <v>0</v>
      </c>
      <c r="I899" s="183">
        <f>ventas_b_mes11[[#This Row],[IMPORTE NETO]]*0.21</f>
        <v>0</v>
      </c>
      <c r="J899" s="184"/>
      <c r="K899" s="184"/>
      <c r="L899" s="184"/>
      <c r="M899" s="59"/>
    </row>
    <row r="900" spans="2:13" x14ac:dyDescent="0.3">
      <c r="B900" s="178"/>
      <c r="C900" s="179"/>
      <c r="D900" s="180"/>
      <c r="E900" s="181"/>
      <c r="F900" s="182"/>
      <c r="G900" s="1" t="str">
        <f>IFERROR(IF(ventas_b_mes11[[#This Row],[CUIT]]="","-",VLOOKUP(ventas_b_mes11[[#This Row],[CUIT]],Lista_CUIT[#All],2,0)),"CUIT NO CARGADO")</f>
        <v>-</v>
      </c>
      <c r="H900" s="64">
        <f>ventas_b_mes11[[#This Row],[TOTAL]]/1.21</f>
        <v>0</v>
      </c>
      <c r="I900" s="183">
        <f>ventas_b_mes11[[#This Row],[IMPORTE NETO]]*0.21</f>
        <v>0</v>
      </c>
      <c r="J900" s="184"/>
      <c r="K900" s="184"/>
      <c r="L900" s="184"/>
      <c r="M900" s="59"/>
    </row>
    <row r="901" spans="2:13" x14ac:dyDescent="0.3">
      <c r="B901" s="178"/>
      <c r="C901" s="179"/>
      <c r="D901" s="180"/>
      <c r="E901" s="181"/>
      <c r="F901" s="182"/>
      <c r="G901" s="1" t="str">
        <f>IFERROR(IF(ventas_b_mes11[[#This Row],[CUIT]]="","-",VLOOKUP(ventas_b_mes11[[#This Row],[CUIT]],Lista_CUIT[#All],2,0)),"CUIT NO CARGADO")</f>
        <v>-</v>
      </c>
      <c r="H901" s="64">
        <f>ventas_b_mes11[[#This Row],[TOTAL]]/1.21</f>
        <v>0</v>
      </c>
      <c r="I901" s="183">
        <f>ventas_b_mes11[[#This Row],[IMPORTE NETO]]*0.21</f>
        <v>0</v>
      </c>
      <c r="J901" s="184"/>
      <c r="K901" s="184"/>
      <c r="L901" s="184"/>
      <c r="M901" s="59"/>
    </row>
    <row r="902" spans="2:13" x14ac:dyDescent="0.3">
      <c r="B902" s="178"/>
      <c r="C902" s="179"/>
      <c r="D902" s="180"/>
      <c r="E902" s="181"/>
      <c r="F902" s="182"/>
      <c r="G902" s="1" t="str">
        <f>IFERROR(IF(ventas_b_mes11[[#This Row],[CUIT]]="","-",VLOOKUP(ventas_b_mes11[[#This Row],[CUIT]],Lista_CUIT[#All],2,0)),"CUIT NO CARGADO")</f>
        <v>-</v>
      </c>
      <c r="H902" s="64">
        <f>ventas_b_mes11[[#This Row],[TOTAL]]/1.21</f>
        <v>0</v>
      </c>
      <c r="I902" s="183">
        <f>ventas_b_mes11[[#This Row],[IMPORTE NETO]]*0.21</f>
        <v>0</v>
      </c>
      <c r="J902" s="184"/>
      <c r="K902" s="184"/>
      <c r="L902" s="184"/>
      <c r="M902" s="59"/>
    </row>
    <row r="903" spans="2:13" x14ac:dyDescent="0.3">
      <c r="B903" s="178"/>
      <c r="C903" s="179"/>
      <c r="D903" s="180"/>
      <c r="E903" s="181"/>
      <c r="F903" s="182"/>
      <c r="G903" s="1" t="str">
        <f>IFERROR(IF(ventas_b_mes11[[#This Row],[CUIT]]="","-",VLOOKUP(ventas_b_mes11[[#This Row],[CUIT]],Lista_CUIT[#All],2,0)),"CUIT NO CARGADO")</f>
        <v>-</v>
      </c>
      <c r="H903" s="64">
        <f>ventas_b_mes11[[#This Row],[TOTAL]]/1.21</f>
        <v>0</v>
      </c>
      <c r="I903" s="183">
        <f>ventas_b_mes11[[#This Row],[IMPORTE NETO]]*0.21</f>
        <v>0</v>
      </c>
      <c r="J903" s="184"/>
      <c r="K903" s="184"/>
      <c r="L903" s="184"/>
      <c r="M903" s="59"/>
    </row>
    <row r="904" spans="2:13" x14ac:dyDescent="0.3">
      <c r="B904" s="178"/>
      <c r="C904" s="179"/>
      <c r="D904" s="180"/>
      <c r="E904" s="181"/>
      <c r="F904" s="182"/>
      <c r="G904" s="1" t="str">
        <f>IFERROR(IF(ventas_b_mes11[[#This Row],[CUIT]]="","-",VLOOKUP(ventas_b_mes11[[#This Row],[CUIT]],Lista_CUIT[#All],2,0)),"CUIT NO CARGADO")</f>
        <v>-</v>
      </c>
      <c r="H904" s="64">
        <f>ventas_b_mes11[[#This Row],[TOTAL]]/1.21</f>
        <v>0</v>
      </c>
      <c r="I904" s="183">
        <f>ventas_b_mes11[[#This Row],[IMPORTE NETO]]*0.21</f>
        <v>0</v>
      </c>
      <c r="J904" s="184"/>
      <c r="K904" s="184"/>
      <c r="L904" s="184"/>
      <c r="M904" s="59"/>
    </row>
    <row r="905" spans="2:13" x14ac:dyDescent="0.3">
      <c r="B905" s="178"/>
      <c r="C905" s="179"/>
      <c r="D905" s="180"/>
      <c r="E905" s="181"/>
      <c r="F905" s="182"/>
      <c r="G905" s="1" t="str">
        <f>IFERROR(IF(ventas_b_mes11[[#This Row],[CUIT]]="","-",VLOOKUP(ventas_b_mes11[[#This Row],[CUIT]],Lista_CUIT[#All],2,0)),"CUIT NO CARGADO")</f>
        <v>-</v>
      </c>
      <c r="H905" s="64">
        <f>ventas_b_mes11[[#This Row],[TOTAL]]/1.21</f>
        <v>0</v>
      </c>
      <c r="I905" s="183">
        <f>ventas_b_mes11[[#This Row],[IMPORTE NETO]]*0.21</f>
        <v>0</v>
      </c>
      <c r="J905" s="184"/>
      <c r="K905" s="184"/>
      <c r="L905" s="184"/>
      <c r="M905" s="59"/>
    </row>
    <row r="906" spans="2:13" x14ac:dyDescent="0.3">
      <c r="B906" s="178"/>
      <c r="C906" s="179"/>
      <c r="D906" s="180"/>
      <c r="E906" s="181"/>
      <c r="F906" s="182"/>
      <c r="G906" s="1" t="str">
        <f>IFERROR(IF(ventas_b_mes11[[#This Row],[CUIT]]="","-",VLOOKUP(ventas_b_mes11[[#This Row],[CUIT]],Lista_CUIT[#All],2,0)),"CUIT NO CARGADO")</f>
        <v>-</v>
      </c>
      <c r="H906" s="64">
        <f>ventas_b_mes11[[#This Row],[TOTAL]]/1.21</f>
        <v>0</v>
      </c>
      <c r="I906" s="183">
        <f>ventas_b_mes11[[#This Row],[IMPORTE NETO]]*0.21</f>
        <v>0</v>
      </c>
      <c r="J906" s="184"/>
      <c r="K906" s="184"/>
      <c r="L906" s="184"/>
      <c r="M906" s="59"/>
    </row>
    <row r="907" spans="2:13" x14ac:dyDescent="0.3">
      <c r="B907" s="178"/>
      <c r="C907" s="179"/>
      <c r="D907" s="180"/>
      <c r="E907" s="181"/>
      <c r="F907" s="182"/>
      <c r="G907" s="1" t="str">
        <f>IFERROR(IF(ventas_b_mes11[[#This Row],[CUIT]]="","-",VLOOKUP(ventas_b_mes11[[#This Row],[CUIT]],Lista_CUIT[#All],2,0)),"CUIT NO CARGADO")</f>
        <v>-</v>
      </c>
      <c r="H907" s="64">
        <f>ventas_b_mes11[[#This Row],[TOTAL]]/1.21</f>
        <v>0</v>
      </c>
      <c r="I907" s="183">
        <f>ventas_b_mes11[[#This Row],[IMPORTE NETO]]*0.21</f>
        <v>0</v>
      </c>
      <c r="J907" s="184"/>
      <c r="K907" s="184"/>
      <c r="L907" s="184"/>
      <c r="M907" s="59"/>
    </row>
    <row r="908" spans="2:13" x14ac:dyDescent="0.3">
      <c r="B908" s="178"/>
      <c r="C908" s="179"/>
      <c r="D908" s="180"/>
      <c r="E908" s="181"/>
      <c r="F908" s="182"/>
      <c r="G908" s="1" t="str">
        <f>IFERROR(IF(ventas_b_mes11[[#This Row],[CUIT]]="","-",VLOOKUP(ventas_b_mes11[[#This Row],[CUIT]],Lista_CUIT[#All],2,0)),"CUIT NO CARGADO")</f>
        <v>-</v>
      </c>
      <c r="H908" s="64">
        <f>ventas_b_mes11[[#This Row],[TOTAL]]/1.21</f>
        <v>0</v>
      </c>
      <c r="I908" s="183">
        <f>ventas_b_mes11[[#This Row],[IMPORTE NETO]]*0.21</f>
        <v>0</v>
      </c>
      <c r="J908" s="184"/>
      <c r="K908" s="184"/>
      <c r="L908" s="184"/>
      <c r="M908" s="59"/>
    </row>
    <row r="909" spans="2:13" x14ac:dyDescent="0.3">
      <c r="B909" s="178"/>
      <c r="C909" s="179"/>
      <c r="D909" s="180"/>
      <c r="E909" s="181"/>
      <c r="F909" s="182"/>
      <c r="G909" s="1" t="str">
        <f>IFERROR(IF(ventas_b_mes11[[#This Row],[CUIT]]="","-",VLOOKUP(ventas_b_mes11[[#This Row],[CUIT]],Lista_CUIT[#All],2,0)),"CUIT NO CARGADO")</f>
        <v>-</v>
      </c>
      <c r="H909" s="64">
        <f>ventas_b_mes11[[#This Row],[TOTAL]]/1.21</f>
        <v>0</v>
      </c>
      <c r="I909" s="183">
        <f>ventas_b_mes11[[#This Row],[IMPORTE NETO]]*0.21</f>
        <v>0</v>
      </c>
      <c r="J909" s="184"/>
      <c r="K909" s="184"/>
      <c r="L909" s="184"/>
      <c r="M909" s="59"/>
    </row>
    <row r="910" spans="2:13" x14ac:dyDescent="0.3">
      <c r="B910" s="178"/>
      <c r="C910" s="179"/>
      <c r="D910" s="180"/>
      <c r="E910" s="181"/>
      <c r="F910" s="182"/>
      <c r="G910" s="1" t="str">
        <f>IFERROR(IF(ventas_b_mes11[[#This Row],[CUIT]]="","-",VLOOKUP(ventas_b_mes11[[#This Row],[CUIT]],Lista_CUIT[#All],2,0)),"CUIT NO CARGADO")</f>
        <v>-</v>
      </c>
      <c r="H910" s="64">
        <f>ventas_b_mes11[[#This Row],[TOTAL]]/1.21</f>
        <v>0</v>
      </c>
      <c r="I910" s="183">
        <f>ventas_b_mes11[[#This Row],[IMPORTE NETO]]*0.21</f>
        <v>0</v>
      </c>
      <c r="J910" s="184"/>
      <c r="K910" s="184"/>
      <c r="L910" s="184"/>
      <c r="M910" s="59"/>
    </row>
    <row r="911" spans="2:13" x14ac:dyDescent="0.3">
      <c r="B911" s="178"/>
      <c r="C911" s="179"/>
      <c r="D911" s="180"/>
      <c r="E911" s="181"/>
      <c r="F911" s="182"/>
      <c r="G911" s="1" t="str">
        <f>IFERROR(IF(ventas_b_mes11[[#This Row],[CUIT]]="","-",VLOOKUP(ventas_b_mes11[[#This Row],[CUIT]],Lista_CUIT[#All],2,0)),"CUIT NO CARGADO")</f>
        <v>-</v>
      </c>
      <c r="H911" s="64">
        <f>ventas_b_mes11[[#This Row],[TOTAL]]/1.21</f>
        <v>0</v>
      </c>
      <c r="I911" s="183">
        <f>ventas_b_mes11[[#This Row],[IMPORTE NETO]]*0.21</f>
        <v>0</v>
      </c>
      <c r="J911" s="184"/>
      <c r="K911" s="184"/>
      <c r="L911" s="184"/>
      <c r="M911" s="59"/>
    </row>
    <row r="912" spans="2:13" x14ac:dyDescent="0.3">
      <c r="B912" s="178"/>
      <c r="C912" s="179"/>
      <c r="D912" s="180"/>
      <c r="E912" s="181"/>
      <c r="F912" s="182"/>
      <c r="G912" s="1" t="str">
        <f>IFERROR(IF(ventas_b_mes11[[#This Row],[CUIT]]="","-",VLOOKUP(ventas_b_mes11[[#This Row],[CUIT]],Lista_CUIT[#All],2,0)),"CUIT NO CARGADO")</f>
        <v>-</v>
      </c>
      <c r="H912" s="64">
        <f>ventas_b_mes11[[#This Row],[TOTAL]]/1.21</f>
        <v>0</v>
      </c>
      <c r="I912" s="183">
        <f>ventas_b_mes11[[#This Row],[IMPORTE NETO]]*0.21</f>
        <v>0</v>
      </c>
      <c r="J912" s="184"/>
      <c r="K912" s="184"/>
      <c r="L912" s="184"/>
      <c r="M912" s="59"/>
    </row>
    <row r="913" spans="2:13" x14ac:dyDescent="0.3">
      <c r="B913" s="178"/>
      <c r="C913" s="179"/>
      <c r="D913" s="180"/>
      <c r="E913" s="181"/>
      <c r="F913" s="182"/>
      <c r="G913" s="1" t="str">
        <f>IFERROR(IF(ventas_b_mes11[[#This Row],[CUIT]]="","-",VLOOKUP(ventas_b_mes11[[#This Row],[CUIT]],Lista_CUIT[#All],2,0)),"CUIT NO CARGADO")</f>
        <v>-</v>
      </c>
      <c r="H913" s="64">
        <f>ventas_b_mes11[[#This Row],[TOTAL]]/1.21</f>
        <v>0</v>
      </c>
      <c r="I913" s="183">
        <f>ventas_b_mes11[[#This Row],[IMPORTE NETO]]*0.21</f>
        <v>0</v>
      </c>
      <c r="J913" s="184"/>
      <c r="K913" s="184"/>
      <c r="L913" s="184"/>
      <c r="M913" s="59"/>
    </row>
    <row r="914" spans="2:13" x14ac:dyDescent="0.3">
      <c r="B914" s="178"/>
      <c r="C914" s="179"/>
      <c r="D914" s="180"/>
      <c r="E914" s="181"/>
      <c r="F914" s="182"/>
      <c r="G914" s="1" t="str">
        <f>IFERROR(IF(ventas_b_mes11[[#This Row],[CUIT]]="","-",VLOOKUP(ventas_b_mes11[[#This Row],[CUIT]],Lista_CUIT[#All],2,0)),"CUIT NO CARGADO")</f>
        <v>-</v>
      </c>
      <c r="H914" s="64">
        <f>ventas_b_mes11[[#This Row],[TOTAL]]/1.21</f>
        <v>0</v>
      </c>
      <c r="I914" s="183">
        <f>ventas_b_mes11[[#This Row],[IMPORTE NETO]]*0.21</f>
        <v>0</v>
      </c>
      <c r="J914" s="184"/>
      <c r="K914" s="184"/>
      <c r="L914" s="184"/>
      <c r="M914" s="59"/>
    </row>
    <row r="915" spans="2:13" x14ac:dyDescent="0.3">
      <c r="B915" s="178"/>
      <c r="C915" s="179"/>
      <c r="D915" s="180"/>
      <c r="E915" s="181"/>
      <c r="F915" s="182"/>
      <c r="G915" s="1" t="str">
        <f>IFERROR(IF(ventas_b_mes11[[#This Row],[CUIT]]="","-",VLOOKUP(ventas_b_mes11[[#This Row],[CUIT]],Lista_CUIT[#All],2,0)),"CUIT NO CARGADO")</f>
        <v>-</v>
      </c>
      <c r="H915" s="64">
        <f>ventas_b_mes11[[#This Row],[TOTAL]]/1.21</f>
        <v>0</v>
      </c>
      <c r="I915" s="183">
        <f>ventas_b_mes11[[#This Row],[IMPORTE NETO]]*0.21</f>
        <v>0</v>
      </c>
      <c r="J915" s="184"/>
      <c r="K915" s="184"/>
      <c r="L915" s="184"/>
      <c r="M915" s="59"/>
    </row>
    <row r="916" spans="2:13" x14ac:dyDescent="0.3">
      <c r="B916" s="178"/>
      <c r="C916" s="179"/>
      <c r="D916" s="180"/>
      <c r="E916" s="181"/>
      <c r="F916" s="182"/>
      <c r="G916" s="1" t="str">
        <f>IFERROR(IF(ventas_b_mes11[[#This Row],[CUIT]]="","-",VLOOKUP(ventas_b_mes11[[#This Row],[CUIT]],Lista_CUIT[#All],2,0)),"CUIT NO CARGADO")</f>
        <v>-</v>
      </c>
      <c r="H916" s="64">
        <f>ventas_b_mes11[[#This Row],[TOTAL]]/1.21</f>
        <v>0</v>
      </c>
      <c r="I916" s="183">
        <f>ventas_b_mes11[[#This Row],[IMPORTE NETO]]*0.21</f>
        <v>0</v>
      </c>
      <c r="J916" s="184"/>
      <c r="K916" s="184"/>
      <c r="L916" s="184"/>
      <c r="M916" s="59"/>
    </row>
    <row r="917" spans="2:13" x14ac:dyDescent="0.3">
      <c r="B917" s="178"/>
      <c r="C917" s="179"/>
      <c r="D917" s="180"/>
      <c r="E917" s="181"/>
      <c r="F917" s="182"/>
      <c r="G917" s="1" t="str">
        <f>IFERROR(IF(ventas_b_mes11[[#This Row],[CUIT]]="","-",VLOOKUP(ventas_b_mes11[[#This Row],[CUIT]],Lista_CUIT[#All],2,0)),"CUIT NO CARGADO")</f>
        <v>-</v>
      </c>
      <c r="H917" s="64">
        <f>ventas_b_mes11[[#This Row],[TOTAL]]/1.21</f>
        <v>0</v>
      </c>
      <c r="I917" s="183">
        <f>ventas_b_mes11[[#This Row],[IMPORTE NETO]]*0.21</f>
        <v>0</v>
      </c>
      <c r="J917" s="184"/>
      <c r="K917" s="184"/>
      <c r="L917" s="184"/>
      <c r="M917" s="59"/>
    </row>
    <row r="918" spans="2:13" x14ac:dyDescent="0.3">
      <c r="B918" s="178"/>
      <c r="C918" s="179"/>
      <c r="D918" s="180"/>
      <c r="E918" s="181"/>
      <c r="F918" s="182"/>
      <c r="G918" s="1" t="str">
        <f>IFERROR(IF(ventas_b_mes11[[#This Row],[CUIT]]="","-",VLOOKUP(ventas_b_mes11[[#This Row],[CUIT]],Lista_CUIT[#All],2,0)),"CUIT NO CARGADO")</f>
        <v>-</v>
      </c>
      <c r="H918" s="64">
        <f>ventas_b_mes11[[#This Row],[TOTAL]]/1.21</f>
        <v>0</v>
      </c>
      <c r="I918" s="183">
        <f>ventas_b_mes11[[#This Row],[IMPORTE NETO]]*0.21</f>
        <v>0</v>
      </c>
      <c r="J918" s="184"/>
      <c r="K918" s="184"/>
      <c r="L918" s="184"/>
      <c r="M918" s="59"/>
    </row>
    <row r="919" spans="2:13" x14ac:dyDescent="0.3">
      <c r="B919" s="178"/>
      <c r="C919" s="179"/>
      <c r="D919" s="180"/>
      <c r="E919" s="181"/>
      <c r="F919" s="182"/>
      <c r="G919" s="1" t="str">
        <f>IFERROR(IF(ventas_b_mes11[[#This Row],[CUIT]]="","-",VLOOKUP(ventas_b_mes11[[#This Row],[CUIT]],Lista_CUIT[#All],2,0)),"CUIT NO CARGADO")</f>
        <v>-</v>
      </c>
      <c r="H919" s="64">
        <f>ventas_b_mes11[[#This Row],[TOTAL]]/1.21</f>
        <v>0</v>
      </c>
      <c r="I919" s="183">
        <f>ventas_b_mes11[[#This Row],[IMPORTE NETO]]*0.21</f>
        <v>0</v>
      </c>
      <c r="J919" s="184"/>
      <c r="K919" s="184"/>
      <c r="L919" s="184"/>
      <c r="M919" s="59"/>
    </row>
    <row r="920" spans="2:13" x14ac:dyDescent="0.3">
      <c r="B920" s="178"/>
      <c r="C920" s="179"/>
      <c r="D920" s="180"/>
      <c r="E920" s="181"/>
      <c r="F920" s="182"/>
      <c r="G920" s="1" t="str">
        <f>IFERROR(IF(ventas_b_mes11[[#This Row],[CUIT]]="","-",VLOOKUP(ventas_b_mes11[[#This Row],[CUIT]],Lista_CUIT[#All],2,0)),"CUIT NO CARGADO")</f>
        <v>-</v>
      </c>
      <c r="H920" s="64">
        <f>ventas_b_mes11[[#This Row],[TOTAL]]/1.21</f>
        <v>0</v>
      </c>
      <c r="I920" s="183">
        <f>ventas_b_mes11[[#This Row],[IMPORTE NETO]]*0.21</f>
        <v>0</v>
      </c>
      <c r="J920" s="184"/>
      <c r="K920" s="184"/>
      <c r="L920" s="184"/>
      <c r="M920" s="59"/>
    </row>
    <row r="921" spans="2:13" x14ac:dyDescent="0.3">
      <c r="B921" s="178"/>
      <c r="C921" s="179"/>
      <c r="D921" s="180"/>
      <c r="E921" s="181"/>
      <c r="F921" s="182"/>
      <c r="G921" s="1" t="str">
        <f>IFERROR(IF(ventas_b_mes11[[#This Row],[CUIT]]="","-",VLOOKUP(ventas_b_mes11[[#This Row],[CUIT]],Lista_CUIT[#All],2,0)),"CUIT NO CARGADO")</f>
        <v>-</v>
      </c>
      <c r="H921" s="64">
        <f>ventas_b_mes11[[#This Row],[TOTAL]]/1.21</f>
        <v>0</v>
      </c>
      <c r="I921" s="183">
        <f>ventas_b_mes11[[#This Row],[IMPORTE NETO]]*0.21</f>
        <v>0</v>
      </c>
      <c r="J921" s="184"/>
      <c r="K921" s="184"/>
      <c r="L921" s="184"/>
      <c r="M921" s="59"/>
    </row>
    <row r="922" spans="2:13" x14ac:dyDescent="0.3">
      <c r="B922" s="178"/>
      <c r="C922" s="179"/>
      <c r="D922" s="180"/>
      <c r="E922" s="181"/>
      <c r="F922" s="182"/>
      <c r="G922" s="1" t="str">
        <f>IFERROR(IF(ventas_b_mes11[[#This Row],[CUIT]]="","-",VLOOKUP(ventas_b_mes11[[#This Row],[CUIT]],Lista_CUIT[#All],2,0)),"CUIT NO CARGADO")</f>
        <v>-</v>
      </c>
      <c r="H922" s="64">
        <f>ventas_b_mes11[[#This Row],[TOTAL]]/1.21</f>
        <v>0</v>
      </c>
      <c r="I922" s="183">
        <f>ventas_b_mes11[[#This Row],[IMPORTE NETO]]*0.21</f>
        <v>0</v>
      </c>
      <c r="J922" s="184"/>
      <c r="K922" s="184"/>
      <c r="L922" s="184"/>
      <c r="M922" s="59"/>
    </row>
    <row r="923" spans="2:13" x14ac:dyDescent="0.3">
      <c r="B923" s="178"/>
      <c r="C923" s="179"/>
      <c r="D923" s="180"/>
      <c r="E923" s="181"/>
      <c r="F923" s="182"/>
      <c r="G923" s="1" t="str">
        <f>IFERROR(IF(ventas_b_mes11[[#This Row],[CUIT]]="","-",VLOOKUP(ventas_b_mes11[[#This Row],[CUIT]],Lista_CUIT[#All],2,0)),"CUIT NO CARGADO")</f>
        <v>-</v>
      </c>
      <c r="H923" s="64">
        <f>ventas_b_mes11[[#This Row],[TOTAL]]/1.21</f>
        <v>0</v>
      </c>
      <c r="I923" s="183">
        <f>ventas_b_mes11[[#This Row],[IMPORTE NETO]]*0.21</f>
        <v>0</v>
      </c>
      <c r="J923" s="184"/>
      <c r="K923" s="184"/>
      <c r="L923" s="184"/>
      <c r="M923" s="59"/>
    </row>
    <row r="924" spans="2:13" x14ac:dyDescent="0.3">
      <c r="B924" s="178"/>
      <c r="C924" s="179"/>
      <c r="D924" s="180"/>
      <c r="E924" s="181"/>
      <c r="F924" s="182"/>
      <c r="G924" s="1" t="str">
        <f>IFERROR(IF(ventas_b_mes11[[#This Row],[CUIT]]="","-",VLOOKUP(ventas_b_mes11[[#This Row],[CUIT]],Lista_CUIT[#All],2,0)),"CUIT NO CARGADO")</f>
        <v>-</v>
      </c>
      <c r="H924" s="64">
        <f>ventas_b_mes11[[#This Row],[TOTAL]]/1.21</f>
        <v>0</v>
      </c>
      <c r="I924" s="183">
        <f>ventas_b_mes11[[#This Row],[IMPORTE NETO]]*0.21</f>
        <v>0</v>
      </c>
      <c r="J924" s="184"/>
      <c r="K924" s="184"/>
      <c r="L924" s="184"/>
      <c r="M924" s="59"/>
    </row>
    <row r="925" spans="2:13" x14ac:dyDescent="0.3">
      <c r="B925" s="178"/>
      <c r="C925" s="179"/>
      <c r="D925" s="180"/>
      <c r="E925" s="181"/>
      <c r="F925" s="182"/>
      <c r="G925" s="1" t="str">
        <f>IFERROR(IF(ventas_b_mes11[[#This Row],[CUIT]]="","-",VLOOKUP(ventas_b_mes11[[#This Row],[CUIT]],Lista_CUIT[#All],2,0)),"CUIT NO CARGADO")</f>
        <v>-</v>
      </c>
      <c r="H925" s="64">
        <f>ventas_b_mes11[[#This Row],[TOTAL]]/1.21</f>
        <v>0</v>
      </c>
      <c r="I925" s="183">
        <f>ventas_b_mes11[[#This Row],[IMPORTE NETO]]*0.21</f>
        <v>0</v>
      </c>
      <c r="J925" s="184"/>
      <c r="K925" s="184"/>
      <c r="L925" s="184"/>
      <c r="M925" s="59"/>
    </row>
    <row r="926" spans="2:13" x14ac:dyDescent="0.3">
      <c r="B926" s="178"/>
      <c r="C926" s="179"/>
      <c r="D926" s="180"/>
      <c r="E926" s="181"/>
      <c r="F926" s="182"/>
      <c r="G926" s="1" t="str">
        <f>IFERROR(IF(ventas_b_mes11[[#This Row],[CUIT]]="","-",VLOOKUP(ventas_b_mes11[[#This Row],[CUIT]],Lista_CUIT[#All],2,0)),"CUIT NO CARGADO")</f>
        <v>-</v>
      </c>
      <c r="H926" s="64">
        <f>ventas_b_mes11[[#This Row],[TOTAL]]/1.21</f>
        <v>0</v>
      </c>
      <c r="I926" s="183">
        <f>ventas_b_mes11[[#This Row],[IMPORTE NETO]]*0.21</f>
        <v>0</v>
      </c>
      <c r="J926" s="184"/>
      <c r="K926" s="184"/>
      <c r="L926" s="184"/>
      <c r="M926" s="59"/>
    </row>
    <row r="927" spans="2:13" x14ac:dyDescent="0.3">
      <c r="B927" s="178"/>
      <c r="C927" s="179"/>
      <c r="D927" s="180"/>
      <c r="E927" s="181"/>
      <c r="F927" s="182"/>
      <c r="G927" s="1" t="str">
        <f>IFERROR(IF(ventas_b_mes11[[#This Row],[CUIT]]="","-",VLOOKUP(ventas_b_mes11[[#This Row],[CUIT]],Lista_CUIT[#All],2,0)),"CUIT NO CARGADO")</f>
        <v>-</v>
      </c>
      <c r="H927" s="64">
        <f>ventas_b_mes11[[#This Row],[TOTAL]]/1.21</f>
        <v>0</v>
      </c>
      <c r="I927" s="183">
        <f>ventas_b_mes11[[#This Row],[IMPORTE NETO]]*0.21</f>
        <v>0</v>
      </c>
      <c r="J927" s="184"/>
      <c r="K927" s="184"/>
      <c r="L927" s="184"/>
      <c r="M927" s="59"/>
    </row>
    <row r="928" spans="2:13" x14ac:dyDescent="0.3">
      <c r="B928" s="178"/>
      <c r="C928" s="179"/>
      <c r="D928" s="180"/>
      <c r="E928" s="181"/>
      <c r="F928" s="182"/>
      <c r="G928" s="1" t="str">
        <f>IFERROR(IF(ventas_b_mes11[[#This Row],[CUIT]]="","-",VLOOKUP(ventas_b_mes11[[#This Row],[CUIT]],Lista_CUIT[#All],2,0)),"CUIT NO CARGADO")</f>
        <v>-</v>
      </c>
      <c r="H928" s="64">
        <f>ventas_b_mes11[[#This Row],[TOTAL]]/1.21</f>
        <v>0</v>
      </c>
      <c r="I928" s="183">
        <f>ventas_b_mes11[[#This Row],[IMPORTE NETO]]*0.21</f>
        <v>0</v>
      </c>
      <c r="J928" s="184"/>
      <c r="K928" s="184"/>
      <c r="L928" s="184"/>
      <c r="M928" s="59"/>
    </row>
    <row r="929" spans="2:13" x14ac:dyDescent="0.3">
      <c r="B929" s="178"/>
      <c r="C929" s="179"/>
      <c r="D929" s="180"/>
      <c r="E929" s="181"/>
      <c r="F929" s="182"/>
      <c r="G929" s="1" t="str">
        <f>IFERROR(IF(ventas_b_mes11[[#This Row],[CUIT]]="","-",VLOOKUP(ventas_b_mes11[[#This Row],[CUIT]],Lista_CUIT[#All],2,0)),"CUIT NO CARGADO")</f>
        <v>-</v>
      </c>
      <c r="H929" s="64">
        <f>ventas_b_mes11[[#This Row],[TOTAL]]/1.21</f>
        <v>0</v>
      </c>
      <c r="I929" s="183">
        <f>ventas_b_mes11[[#This Row],[IMPORTE NETO]]*0.21</f>
        <v>0</v>
      </c>
      <c r="J929" s="184"/>
      <c r="K929" s="184"/>
      <c r="L929" s="184"/>
      <c r="M929" s="59"/>
    </row>
    <row r="930" spans="2:13" x14ac:dyDescent="0.3">
      <c r="B930" s="178"/>
      <c r="C930" s="179"/>
      <c r="D930" s="180"/>
      <c r="E930" s="181"/>
      <c r="F930" s="182"/>
      <c r="G930" s="1" t="str">
        <f>IFERROR(IF(ventas_b_mes11[[#This Row],[CUIT]]="","-",VLOOKUP(ventas_b_mes11[[#This Row],[CUIT]],Lista_CUIT[#All],2,0)),"CUIT NO CARGADO")</f>
        <v>-</v>
      </c>
      <c r="H930" s="64">
        <f>ventas_b_mes11[[#This Row],[TOTAL]]/1.21</f>
        <v>0</v>
      </c>
      <c r="I930" s="183">
        <f>ventas_b_mes11[[#This Row],[IMPORTE NETO]]*0.21</f>
        <v>0</v>
      </c>
      <c r="J930" s="184"/>
      <c r="K930" s="184"/>
      <c r="L930" s="184"/>
      <c r="M930" s="59"/>
    </row>
    <row r="931" spans="2:13" x14ac:dyDescent="0.3">
      <c r="B931" s="178"/>
      <c r="C931" s="179"/>
      <c r="D931" s="180"/>
      <c r="E931" s="181"/>
      <c r="F931" s="182"/>
      <c r="G931" s="1" t="str">
        <f>IFERROR(IF(ventas_b_mes11[[#This Row],[CUIT]]="","-",VLOOKUP(ventas_b_mes11[[#This Row],[CUIT]],Lista_CUIT[#All],2,0)),"CUIT NO CARGADO")</f>
        <v>-</v>
      </c>
      <c r="H931" s="64">
        <f>ventas_b_mes11[[#This Row],[TOTAL]]/1.21</f>
        <v>0</v>
      </c>
      <c r="I931" s="183">
        <f>ventas_b_mes11[[#This Row],[IMPORTE NETO]]*0.21</f>
        <v>0</v>
      </c>
      <c r="J931" s="184"/>
      <c r="K931" s="184"/>
      <c r="L931" s="184"/>
      <c r="M931" s="59"/>
    </row>
    <row r="932" spans="2:13" x14ac:dyDescent="0.3">
      <c r="B932" s="178"/>
      <c r="C932" s="179"/>
      <c r="D932" s="180"/>
      <c r="E932" s="181"/>
      <c r="F932" s="182"/>
      <c r="G932" s="1" t="str">
        <f>IFERROR(IF(ventas_b_mes11[[#This Row],[CUIT]]="","-",VLOOKUP(ventas_b_mes11[[#This Row],[CUIT]],Lista_CUIT[#All],2,0)),"CUIT NO CARGADO")</f>
        <v>-</v>
      </c>
      <c r="H932" s="64">
        <f>ventas_b_mes11[[#This Row],[TOTAL]]/1.21</f>
        <v>0</v>
      </c>
      <c r="I932" s="183">
        <f>ventas_b_mes11[[#This Row],[IMPORTE NETO]]*0.21</f>
        <v>0</v>
      </c>
      <c r="J932" s="184"/>
      <c r="K932" s="184"/>
      <c r="L932" s="184"/>
      <c r="M932" s="59"/>
    </row>
    <row r="933" spans="2:13" x14ac:dyDescent="0.3">
      <c r="B933" s="178"/>
      <c r="C933" s="179"/>
      <c r="D933" s="180"/>
      <c r="E933" s="181"/>
      <c r="F933" s="182"/>
      <c r="G933" s="1" t="str">
        <f>IFERROR(IF(ventas_b_mes11[[#This Row],[CUIT]]="","-",VLOOKUP(ventas_b_mes11[[#This Row],[CUIT]],Lista_CUIT[#All],2,0)),"CUIT NO CARGADO")</f>
        <v>-</v>
      </c>
      <c r="H933" s="64">
        <f>ventas_b_mes11[[#This Row],[TOTAL]]/1.21</f>
        <v>0</v>
      </c>
      <c r="I933" s="183">
        <f>ventas_b_mes11[[#This Row],[IMPORTE NETO]]*0.21</f>
        <v>0</v>
      </c>
      <c r="J933" s="184"/>
      <c r="K933" s="184"/>
      <c r="L933" s="184"/>
      <c r="M933" s="59"/>
    </row>
    <row r="934" spans="2:13" x14ac:dyDescent="0.3">
      <c r="B934" s="178"/>
      <c r="C934" s="179"/>
      <c r="D934" s="180"/>
      <c r="E934" s="181"/>
      <c r="F934" s="182"/>
      <c r="G934" s="1" t="str">
        <f>IFERROR(IF(ventas_b_mes11[[#This Row],[CUIT]]="","-",VLOOKUP(ventas_b_mes11[[#This Row],[CUIT]],Lista_CUIT[#All],2,0)),"CUIT NO CARGADO")</f>
        <v>-</v>
      </c>
      <c r="H934" s="64">
        <f>ventas_b_mes11[[#This Row],[TOTAL]]/1.21</f>
        <v>0</v>
      </c>
      <c r="I934" s="183">
        <f>ventas_b_mes11[[#This Row],[IMPORTE NETO]]*0.21</f>
        <v>0</v>
      </c>
      <c r="J934" s="184"/>
      <c r="K934" s="184"/>
      <c r="L934" s="184"/>
      <c r="M934" s="59"/>
    </row>
    <row r="935" spans="2:13" x14ac:dyDescent="0.3">
      <c r="B935" s="178"/>
      <c r="C935" s="179"/>
      <c r="D935" s="180"/>
      <c r="E935" s="181"/>
      <c r="F935" s="182"/>
      <c r="G935" s="1" t="str">
        <f>IFERROR(IF(ventas_b_mes11[[#This Row],[CUIT]]="","-",VLOOKUP(ventas_b_mes11[[#This Row],[CUIT]],Lista_CUIT[#All],2,0)),"CUIT NO CARGADO")</f>
        <v>-</v>
      </c>
      <c r="H935" s="64">
        <f>ventas_b_mes11[[#This Row],[TOTAL]]/1.21</f>
        <v>0</v>
      </c>
      <c r="I935" s="183">
        <f>ventas_b_mes11[[#This Row],[IMPORTE NETO]]*0.21</f>
        <v>0</v>
      </c>
      <c r="J935" s="184"/>
      <c r="K935" s="184"/>
      <c r="L935" s="184"/>
      <c r="M935" s="59"/>
    </row>
    <row r="936" spans="2:13" x14ac:dyDescent="0.3">
      <c r="B936" s="178"/>
      <c r="C936" s="179"/>
      <c r="D936" s="180"/>
      <c r="E936" s="181"/>
      <c r="F936" s="182"/>
      <c r="G936" s="1" t="str">
        <f>IFERROR(IF(ventas_b_mes11[[#This Row],[CUIT]]="","-",VLOOKUP(ventas_b_mes11[[#This Row],[CUIT]],Lista_CUIT[#All],2,0)),"CUIT NO CARGADO")</f>
        <v>-</v>
      </c>
      <c r="H936" s="64">
        <f>ventas_b_mes11[[#This Row],[TOTAL]]/1.21</f>
        <v>0</v>
      </c>
      <c r="I936" s="183">
        <f>ventas_b_mes11[[#This Row],[IMPORTE NETO]]*0.21</f>
        <v>0</v>
      </c>
      <c r="J936" s="184"/>
      <c r="K936" s="184"/>
      <c r="L936" s="184"/>
      <c r="M936" s="59"/>
    </row>
    <row r="937" spans="2:13" x14ac:dyDescent="0.3">
      <c r="B937" s="178"/>
      <c r="C937" s="179"/>
      <c r="D937" s="180"/>
      <c r="E937" s="181"/>
      <c r="F937" s="182"/>
      <c r="G937" s="1" t="str">
        <f>IFERROR(IF(ventas_b_mes11[[#This Row],[CUIT]]="","-",VLOOKUP(ventas_b_mes11[[#This Row],[CUIT]],Lista_CUIT[#All],2,0)),"CUIT NO CARGADO")</f>
        <v>-</v>
      </c>
      <c r="H937" s="64">
        <f>ventas_b_mes11[[#This Row],[TOTAL]]/1.21</f>
        <v>0</v>
      </c>
      <c r="I937" s="183">
        <f>ventas_b_mes11[[#This Row],[IMPORTE NETO]]*0.21</f>
        <v>0</v>
      </c>
      <c r="J937" s="184"/>
      <c r="K937" s="184"/>
      <c r="L937" s="184"/>
      <c r="M937" s="59"/>
    </row>
    <row r="938" spans="2:13" x14ac:dyDescent="0.3">
      <c r="B938" s="178"/>
      <c r="C938" s="179"/>
      <c r="D938" s="180"/>
      <c r="E938" s="181"/>
      <c r="F938" s="182"/>
      <c r="G938" s="1" t="str">
        <f>IFERROR(IF(ventas_b_mes11[[#This Row],[CUIT]]="","-",VLOOKUP(ventas_b_mes11[[#This Row],[CUIT]],Lista_CUIT[#All],2,0)),"CUIT NO CARGADO")</f>
        <v>-</v>
      </c>
      <c r="H938" s="64">
        <f>ventas_b_mes11[[#This Row],[TOTAL]]/1.21</f>
        <v>0</v>
      </c>
      <c r="I938" s="183">
        <f>ventas_b_mes11[[#This Row],[IMPORTE NETO]]*0.21</f>
        <v>0</v>
      </c>
      <c r="J938" s="184"/>
      <c r="K938" s="184"/>
      <c r="L938" s="184"/>
      <c r="M938" s="59"/>
    </row>
    <row r="939" spans="2:13" x14ac:dyDescent="0.3">
      <c r="B939" s="178"/>
      <c r="C939" s="179"/>
      <c r="D939" s="180"/>
      <c r="E939" s="181"/>
      <c r="F939" s="182"/>
      <c r="G939" s="1" t="str">
        <f>IFERROR(IF(ventas_b_mes11[[#This Row],[CUIT]]="","-",VLOOKUP(ventas_b_mes11[[#This Row],[CUIT]],Lista_CUIT[#All],2,0)),"CUIT NO CARGADO")</f>
        <v>-</v>
      </c>
      <c r="H939" s="64">
        <f>ventas_b_mes11[[#This Row],[TOTAL]]/1.21</f>
        <v>0</v>
      </c>
      <c r="I939" s="183">
        <f>ventas_b_mes11[[#This Row],[IMPORTE NETO]]*0.21</f>
        <v>0</v>
      </c>
      <c r="J939" s="184"/>
      <c r="K939" s="184"/>
      <c r="L939" s="184"/>
      <c r="M939" s="59"/>
    </row>
    <row r="940" spans="2:13" x14ac:dyDescent="0.3">
      <c r="B940" s="178"/>
      <c r="C940" s="179"/>
      <c r="D940" s="180"/>
      <c r="E940" s="181"/>
      <c r="F940" s="182"/>
      <c r="G940" s="1" t="str">
        <f>IFERROR(IF(ventas_b_mes11[[#This Row],[CUIT]]="","-",VLOOKUP(ventas_b_mes11[[#This Row],[CUIT]],Lista_CUIT[#All],2,0)),"CUIT NO CARGADO")</f>
        <v>-</v>
      </c>
      <c r="H940" s="64">
        <f>ventas_b_mes11[[#This Row],[TOTAL]]/1.21</f>
        <v>0</v>
      </c>
      <c r="I940" s="183">
        <f>ventas_b_mes11[[#This Row],[IMPORTE NETO]]*0.21</f>
        <v>0</v>
      </c>
      <c r="J940" s="184"/>
      <c r="K940" s="184"/>
      <c r="L940" s="184"/>
      <c r="M940" s="59"/>
    </row>
    <row r="941" spans="2:13" x14ac:dyDescent="0.3">
      <c r="B941" s="178"/>
      <c r="C941" s="179"/>
      <c r="D941" s="180"/>
      <c r="E941" s="181"/>
      <c r="F941" s="182"/>
      <c r="G941" s="1" t="str">
        <f>IFERROR(IF(ventas_b_mes11[[#This Row],[CUIT]]="","-",VLOOKUP(ventas_b_mes11[[#This Row],[CUIT]],Lista_CUIT[#All],2,0)),"CUIT NO CARGADO")</f>
        <v>-</v>
      </c>
      <c r="H941" s="64">
        <f>ventas_b_mes11[[#This Row],[TOTAL]]/1.21</f>
        <v>0</v>
      </c>
      <c r="I941" s="183">
        <f>ventas_b_mes11[[#This Row],[IMPORTE NETO]]*0.21</f>
        <v>0</v>
      </c>
      <c r="J941" s="184"/>
      <c r="K941" s="184"/>
      <c r="L941" s="184"/>
      <c r="M941" s="59"/>
    </row>
    <row r="942" spans="2:13" x14ac:dyDescent="0.3">
      <c r="B942" s="178"/>
      <c r="C942" s="179"/>
      <c r="D942" s="180"/>
      <c r="E942" s="181"/>
      <c r="F942" s="182"/>
      <c r="G942" s="1" t="str">
        <f>IFERROR(IF(ventas_b_mes11[[#This Row],[CUIT]]="","-",VLOOKUP(ventas_b_mes11[[#This Row],[CUIT]],Lista_CUIT[#All],2,0)),"CUIT NO CARGADO")</f>
        <v>-</v>
      </c>
      <c r="H942" s="64">
        <f>ventas_b_mes11[[#This Row],[TOTAL]]/1.21</f>
        <v>0</v>
      </c>
      <c r="I942" s="183">
        <f>ventas_b_mes11[[#This Row],[IMPORTE NETO]]*0.21</f>
        <v>0</v>
      </c>
      <c r="J942" s="184"/>
      <c r="K942" s="184"/>
      <c r="L942" s="184"/>
      <c r="M942" s="59"/>
    </row>
    <row r="943" spans="2:13" x14ac:dyDescent="0.3">
      <c r="B943" s="178"/>
      <c r="C943" s="179"/>
      <c r="D943" s="180"/>
      <c r="E943" s="181"/>
      <c r="F943" s="182"/>
      <c r="G943" s="1" t="str">
        <f>IFERROR(IF(ventas_b_mes11[[#This Row],[CUIT]]="","-",VLOOKUP(ventas_b_mes11[[#This Row],[CUIT]],Lista_CUIT[#All],2,0)),"CUIT NO CARGADO")</f>
        <v>-</v>
      </c>
      <c r="H943" s="64">
        <f>ventas_b_mes11[[#This Row],[TOTAL]]/1.21</f>
        <v>0</v>
      </c>
      <c r="I943" s="183">
        <f>ventas_b_mes11[[#This Row],[IMPORTE NETO]]*0.21</f>
        <v>0</v>
      </c>
      <c r="J943" s="184"/>
      <c r="K943" s="184"/>
      <c r="L943" s="184"/>
      <c r="M943" s="59"/>
    </row>
    <row r="944" spans="2:13" x14ac:dyDescent="0.3">
      <c r="B944" s="178"/>
      <c r="C944" s="179"/>
      <c r="D944" s="180"/>
      <c r="E944" s="181"/>
      <c r="F944" s="182"/>
      <c r="G944" s="1" t="str">
        <f>IFERROR(IF(ventas_b_mes11[[#This Row],[CUIT]]="","-",VLOOKUP(ventas_b_mes11[[#This Row],[CUIT]],Lista_CUIT[#All],2,0)),"CUIT NO CARGADO")</f>
        <v>-</v>
      </c>
      <c r="H944" s="64">
        <f>ventas_b_mes11[[#This Row],[TOTAL]]/1.21</f>
        <v>0</v>
      </c>
      <c r="I944" s="183">
        <f>ventas_b_mes11[[#This Row],[IMPORTE NETO]]*0.21</f>
        <v>0</v>
      </c>
      <c r="J944" s="184"/>
      <c r="K944" s="184"/>
      <c r="L944" s="184"/>
      <c r="M944" s="59"/>
    </row>
    <row r="945" spans="2:13" x14ac:dyDescent="0.3">
      <c r="B945" s="178"/>
      <c r="C945" s="179"/>
      <c r="D945" s="180"/>
      <c r="E945" s="181"/>
      <c r="F945" s="182"/>
      <c r="G945" s="1" t="str">
        <f>IFERROR(IF(ventas_b_mes11[[#This Row],[CUIT]]="","-",VLOOKUP(ventas_b_mes11[[#This Row],[CUIT]],Lista_CUIT[#All],2,0)),"CUIT NO CARGADO")</f>
        <v>-</v>
      </c>
      <c r="H945" s="64">
        <f>ventas_b_mes11[[#This Row],[TOTAL]]/1.21</f>
        <v>0</v>
      </c>
      <c r="I945" s="183">
        <f>ventas_b_mes11[[#This Row],[IMPORTE NETO]]*0.21</f>
        <v>0</v>
      </c>
      <c r="J945" s="184"/>
      <c r="K945" s="184"/>
      <c r="L945" s="184"/>
      <c r="M945" s="59"/>
    </row>
    <row r="946" spans="2:13" x14ac:dyDescent="0.3">
      <c r="B946" s="178"/>
      <c r="C946" s="179"/>
      <c r="D946" s="180"/>
      <c r="E946" s="181"/>
      <c r="F946" s="182"/>
      <c r="G946" s="1" t="str">
        <f>IFERROR(IF(ventas_b_mes11[[#This Row],[CUIT]]="","-",VLOOKUP(ventas_b_mes11[[#This Row],[CUIT]],Lista_CUIT[#All],2,0)),"CUIT NO CARGADO")</f>
        <v>-</v>
      </c>
      <c r="H946" s="64">
        <f>ventas_b_mes11[[#This Row],[TOTAL]]/1.21</f>
        <v>0</v>
      </c>
      <c r="I946" s="183">
        <f>ventas_b_mes11[[#This Row],[IMPORTE NETO]]*0.21</f>
        <v>0</v>
      </c>
      <c r="J946" s="184"/>
      <c r="K946" s="184"/>
      <c r="L946" s="184"/>
      <c r="M946" s="59"/>
    </row>
    <row r="947" spans="2:13" x14ac:dyDescent="0.3">
      <c r="B947" s="178"/>
      <c r="C947" s="179"/>
      <c r="D947" s="180"/>
      <c r="E947" s="181"/>
      <c r="F947" s="182"/>
      <c r="G947" s="1" t="str">
        <f>IFERROR(IF(ventas_b_mes11[[#This Row],[CUIT]]="","-",VLOOKUP(ventas_b_mes11[[#This Row],[CUIT]],Lista_CUIT[#All],2,0)),"CUIT NO CARGADO")</f>
        <v>-</v>
      </c>
      <c r="H947" s="64">
        <f>ventas_b_mes11[[#This Row],[TOTAL]]/1.21</f>
        <v>0</v>
      </c>
      <c r="I947" s="183">
        <f>ventas_b_mes11[[#This Row],[IMPORTE NETO]]*0.21</f>
        <v>0</v>
      </c>
      <c r="J947" s="184"/>
      <c r="K947" s="184"/>
      <c r="L947" s="184"/>
      <c r="M947" s="59"/>
    </row>
    <row r="948" spans="2:13" x14ac:dyDescent="0.3">
      <c r="B948" s="178"/>
      <c r="C948" s="179"/>
      <c r="D948" s="180"/>
      <c r="E948" s="181"/>
      <c r="F948" s="182"/>
      <c r="G948" s="1" t="str">
        <f>IFERROR(IF(ventas_b_mes11[[#This Row],[CUIT]]="","-",VLOOKUP(ventas_b_mes11[[#This Row],[CUIT]],Lista_CUIT[#All],2,0)),"CUIT NO CARGADO")</f>
        <v>-</v>
      </c>
      <c r="H948" s="64">
        <f>ventas_b_mes11[[#This Row],[TOTAL]]/1.21</f>
        <v>0</v>
      </c>
      <c r="I948" s="183">
        <f>ventas_b_mes11[[#This Row],[IMPORTE NETO]]*0.21</f>
        <v>0</v>
      </c>
      <c r="J948" s="184"/>
      <c r="K948" s="184"/>
      <c r="L948" s="184"/>
      <c r="M948" s="59"/>
    </row>
    <row r="949" spans="2:13" x14ac:dyDescent="0.3">
      <c r="B949" s="178"/>
      <c r="C949" s="179"/>
      <c r="D949" s="180"/>
      <c r="E949" s="181"/>
      <c r="F949" s="182"/>
      <c r="G949" s="1" t="str">
        <f>IFERROR(IF(ventas_b_mes11[[#This Row],[CUIT]]="","-",VLOOKUP(ventas_b_mes11[[#This Row],[CUIT]],Lista_CUIT[#All],2,0)),"CUIT NO CARGADO")</f>
        <v>-</v>
      </c>
      <c r="H949" s="64">
        <f>ventas_b_mes11[[#This Row],[TOTAL]]/1.21</f>
        <v>0</v>
      </c>
      <c r="I949" s="183">
        <f>ventas_b_mes11[[#This Row],[IMPORTE NETO]]*0.21</f>
        <v>0</v>
      </c>
      <c r="J949" s="184"/>
      <c r="K949" s="184"/>
      <c r="L949" s="184"/>
      <c r="M949" s="59"/>
    </row>
    <row r="950" spans="2:13" x14ac:dyDescent="0.3">
      <c r="B950" s="178"/>
      <c r="C950" s="179"/>
      <c r="D950" s="180"/>
      <c r="E950" s="181"/>
      <c r="F950" s="182"/>
      <c r="G950" s="1" t="str">
        <f>IFERROR(IF(ventas_b_mes11[[#This Row],[CUIT]]="","-",VLOOKUP(ventas_b_mes11[[#This Row],[CUIT]],Lista_CUIT[#All],2,0)),"CUIT NO CARGADO")</f>
        <v>-</v>
      </c>
      <c r="H950" s="64">
        <f>ventas_b_mes11[[#This Row],[TOTAL]]/1.21</f>
        <v>0</v>
      </c>
      <c r="I950" s="183">
        <f>ventas_b_mes11[[#This Row],[IMPORTE NETO]]*0.21</f>
        <v>0</v>
      </c>
      <c r="J950" s="184"/>
      <c r="K950" s="184"/>
      <c r="L950" s="184"/>
      <c r="M950" s="59"/>
    </row>
    <row r="951" spans="2:13" x14ac:dyDescent="0.3">
      <c r="B951" s="178"/>
      <c r="C951" s="179"/>
      <c r="D951" s="180"/>
      <c r="E951" s="181"/>
      <c r="F951" s="182"/>
      <c r="G951" s="1" t="str">
        <f>IFERROR(IF(ventas_b_mes11[[#This Row],[CUIT]]="","-",VLOOKUP(ventas_b_mes11[[#This Row],[CUIT]],Lista_CUIT[#All],2,0)),"CUIT NO CARGADO")</f>
        <v>-</v>
      </c>
      <c r="H951" s="64">
        <f>ventas_b_mes11[[#This Row],[TOTAL]]/1.21</f>
        <v>0</v>
      </c>
      <c r="I951" s="183">
        <f>ventas_b_mes11[[#This Row],[IMPORTE NETO]]*0.21</f>
        <v>0</v>
      </c>
      <c r="J951" s="184"/>
      <c r="K951" s="184"/>
      <c r="L951" s="184"/>
      <c r="M951" s="59"/>
    </row>
    <row r="952" spans="2:13" x14ac:dyDescent="0.3">
      <c r="B952" s="178"/>
      <c r="C952" s="179"/>
      <c r="D952" s="180"/>
      <c r="E952" s="181"/>
      <c r="F952" s="182"/>
      <c r="G952" s="1" t="str">
        <f>IFERROR(IF(ventas_b_mes11[[#This Row],[CUIT]]="","-",VLOOKUP(ventas_b_mes11[[#This Row],[CUIT]],Lista_CUIT[#All],2,0)),"CUIT NO CARGADO")</f>
        <v>-</v>
      </c>
      <c r="H952" s="64">
        <f>ventas_b_mes11[[#This Row],[TOTAL]]/1.21</f>
        <v>0</v>
      </c>
      <c r="I952" s="183">
        <f>ventas_b_mes11[[#This Row],[IMPORTE NETO]]*0.21</f>
        <v>0</v>
      </c>
      <c r="J952" s="184"/>
      <c r="K952" s="184"/>
      <c r="L952" s="184"/>
      <c r="M952" s="59"/>
    </row>
    <row r="953" spans="2:13" x14ac:dyDescent="0.3">
      <c r="B953" s="178"/>
      <c r="C953" s="179"/>
      <c r="D953" s="180"/>
      <c r="E953" s="181"/>
      <c r="F953" s="182"/>
      <c r="G953" s="1" t="str">
        <f>IFERROR(IF(ventas_b_mes11[[#This Row],[CUIT]]="","-",VLOOKUP(ventas_b_mes11[[#This Row],[CUIT]],Lista_CUIT[#All],2,0)),"CUIT NO CARGADO")</f>
        <v>-</v>
      </c>
      <c r="H953" s="64">
        <f>ventas_b_mes11[[#This Row],[TOTAL]]/1.21</f>
        <v>0</v>
      </c>
      <c r="I953" s="183">
        <f>ventas_b_mes11[[#This Row],[IMPORTE NETO]]*0.21</f>
        <v>0</v>
      </c>
      <c r="J953" s="184"/>
      <c r="K953" s="184"/>
      <c r="L953" s="184"/>
      <c r="M953" s="59"/>
    </row>
    <row r="954" spans="2:13" x14ac:dyDescent="0.3">
      <c r="B954" s="178"/>
      <c r="C954" s="179"/>
      <c r="D954" s="180"/>
      <c r="E954" s="181"/>
      <c r="F954" s="182"/>
      <c r="G954" s="1" t="str">
        <f>IFERROR(IF(ventas_b_mes11[[#This Row],[CUIT]]="","-",VLOOKUP(ventas_b_mes11[[#This Row],[CUIT]],Lista_CUIT[#All],2,0)),"CUIT NO CARGADO")</f>
        <v>-</v>
      </c>
      <c r="H954" s="64">
        <f>ventas_b_mes11[[#This Row],[TOTAL]]/1.21</f>
        <v>0</v>
      </c>
      <c r="I954" s="183">
        <f>ventas_b_mes11[[#This Row],[IMPORTE NETO]]*0.21</f>
        <v>0</v>
      </c>
      <c r="J954" s="184"/>
      <c r="K954" s="184"/>
      <c r="L954" s="184"/>
      <c r="M954" s="59"/>
    </row>
    <row r="955" spans="2:13" x14ac:dyDescent="0.3">
      <c r="B955" s="178"/>
      <c r="C955" s="179"/>
      <c r="D955" s="180"/>
      <c r="E955" s="181"/>
      <c r="F955" s="182"/>
      <c r="G955" s="1" t="str">
        <f>IFERROR(IF(ventas_b_mes11[[#This Row],[CUIT]]="","-",VLOOKUP(ventas_b_mes11[[#This Row],[CUIT]],Lista_CUIT[#All],2,0)),"CUIT NO CARGADO")</f>
        <v>-</v>
      </c>
      <c r="H955" s="64">
        <f>ventas_b_mes11[[#This Row],[TOTAL]]/1.21</f>
        <v>0</v>
      </c>
      <c r="I955" s="183">
        <f>ventas_b_mes11[[#This Row],[IMPORTE NETO]]*0.21</f>
        <v>0</v>
      </c>
      <c r="J955" s="184"/>
      <c r="K955" s="184"/>
      <c r="L955" s="184"/>
      <c r="M955" s="59"/>
    </row>
    <row r="956" spans="2:13" x14ac:dyDescent="0.3">
      <c r="B956" s="178"/>
      <c r="C956" s="179"/>
      <c r="D956" s="180"/>
      <c r="E956" s="181"/>
      <c r="F956" s="182"/>
      <c r="G956" s="1" t="str">
        <f>IFERROR(IF(ventas_b_mes11[[#This Row],[CUIT]]="","-",VLOOKUP(ventas_b_mes11[[#This Row],[CUIT]],Lista_CUIT[#All],2,0)),"CUIT NO CARGADO")</f>
        <v>-</v>
      </c>
      <c r="H956" s="64">
        <f>ventas_b_mes11[[#This Row],[TOTAL]]/1.21</f>
        <v>0</v>
      </c>
      <c r="I956" s="183">
        <f>ventas_b_mes11[[#This Row],[IMPORTE NETO]]*0.21</f>
        <v>0</v>
      </c>
      <c r="J956" s="184"/>
      <c r="K956" s="184"/>
      <c r="L956" s="184"/>
      <c r="M956" s="59"/>
    </row>
    <row r="957" spans="2:13" x14ac:dyDescent="0.3">
      <c r="B957" s="178"/>
      <c r="C957" s="179"/>
      <c r="D957" s="180"/>
      <c r="E957" s="181"/>
      <c r="F957" s="182"/>
      <c r="G957" s="1" t="str">
        <f>IFERROR(IF(ventas_b_mes11[[#This Row],[CUIT]]="","-",VLOOKUP(ventas_b_mes11[[#This Row],[CUIT]],Lista_CUIT[#All],2,0)),"CUIT NO CARGADO")</f>
        <v>-</v>
      </c>
      <c r="H957" s="64">
        <f>ventas_b_mes11[[#This Row],[TOTAL]]/1.21</f>
        <v>0</v>
      </c>
      <c r="I957" s="183">
        <f>ventas_b_mes11[[#This Row],[IMPORTE NETO]]*0.21</f>
        <v>0</v>
      </c>
      <c r="J957" s="184"/>
      <c r="K957" s="184"/>
      <c r="L957" s="184"/>
      <c r="M957" s="59"/>
    </row>
    <row r="958" spans="2:13" x14ac:dyDescent="0.3">
      <c r="B958" s="178"/>
      <c r="C958" s="179"/>
      <c r="D958" s="180"/>
      <c r="E958" s="181"/>
      <c r="F958" s="182"/>
      <c r="G958" s="1" t="str">
        <f>IFERROR(IF(ventas_b_mes11[[#This Row],[CUIT]]="","-",VLOOKUP(ventas_b_mes11[[#This Row],[CUIT]],Lista_CUIT[#All],2,0)),"CUIT NO CARGADO")</f>
        <v>-</v>
      </c>
      <c r="H958" s="64">
        <f>ventas_b_mes11[[#This Row],[TOTAL]]/1.21</f>
        <v>0</v>
      </c>
      <c r="I958" s="183">
        <f>ventas_b_mes11[[#This Row],[IMPORTE NETO]]*0.21</f>
        <v>0</v>
      </c>
      <c r="J958" s="184"/>
      <c r="K958" s="184"/>
      <c r="L958" s="184"/>
      <c r="M958" s="59"/>
    </row>
    <row r="959" spans="2:13" x14ac:dyDescent="0.3">
      <c r="B959" s="178"/>
      <c r="C959" s="179"/>
      <c r="D959" s="180"/>
      <c r="E959" s="181"/>
      <c r="F959" s="182"/>
      <c r="G959" s="1" t="str">
        <f>IFERROR(IF(ventas_b_mes11[[#This Row],[CUIT]]="","-",VLOOKUP(ventas_b_mes11[[#This Row],[CUIT]],Lista_CUIT[#All],2,0)),"CUIT NO CARGADO")</f>
        <v>-</v>
      </c>
      <c r="H959" s="64">
        <f>ventas_b_mes11[[#This Row],[TOTAL]]/1.21</f>
        <v>0</v>
      </c>
      <c r="I959" s="183">
        <f>ventas_b_mes11[[#This Row],[IMPORTE NETO]]*0.21</f>
        <v>0</v>
      </c>
      <c r="J959" s="184"/>
      <c r="K959" s="184"/>
      <c r="L959" s="184"/>
      <c r="M959" s="59"/>
    </row>
    <row r="960" spans="2:13" x14ac:dyDescent="0.3">
      <c r="B960" s="178"/>
      <c r="C960" s="179"/>
      <c r="D960" s="180"/>
      <c r="E960" s="181"/>
      <c r="F960" s="182"/>
      <c r="G960" s="1" t="str">
        <f>IFERROR(IF(ventas_b_mes11[[#This Row],[CUIT]]="","-",VLOOKUP(ventas_b_mes11[[#This Row],[CUIT]],Lista_CUIT[#All],2,0)),"CUIT NO CARGADO")</f>
        <v>-</v>
      </c>
      <c r="H960" s="64">
        <f>ventas_b_mes11[[#This Row],[TOTAL]]/1.21</f>
        <v>0</v>
      </c>
      <c r="I960" s="183">
        <f>ventas_b_mes11[[#This Row],[IMPORTE NETO]]*0.21</f>
        <v>0</v>
      </c>
      <c r="J960" s="184"/>
      <c r="K960" s="184"/>
      <c r="L960" s="184"/>
      <c r="M960" s="59"/>
    </row>
    <row r="961" spans="2:13" x14ac:dyDescent="0.3">
      <c r="B961" s="178"/>
      <c r="C961" s="179"/>
      <c r="D961" s="180"/>
      <c r="E961" s="181"/>
      <c r="F961" s="182"/>
      <c r="G961" s="1" t="str">
        <f>IFERROR(IF(ventas_b_mes11[[#This Row],[CUIT]]="","-",VLOOKUP(ventas_b_mes11[[#This Row],[CUIT]],Lista_CUIT[#All],2,0)),"CUIT NO CARGADO")</f>
        <v>-</v>
      </c>
      <c r="H961" s="64">
        <f>ventas_b_mes11[[#This Row],[TOTAL]]/1.21</f>
        <v>0</v>
      </c>
      <c r="I961" s="183">
        <f>ventas_b_mes11[[#This Row],[IMPORTE NETO]]*0.21</f>
        <v>0</v>
      </c>
      <c r="J961" s="184"/>
      <c r="K961" s="184"/>
      <c r="L961" s="184"/>
      <c r="M961" s="59"/>
    </row>
    <row r="962" spans="2:13" x14ac:dyDescent="0.3">
      <c r="B962" s="178"/>
      <c r="C962" s="179"/>
      <c r="D962" s="180"/>
      <c r="E962" s="181"/>
      <c r="F962" s="182"/>
      <c r="G962" s="1" t="str">
        <f>IFERROR(IF(ventas_b_mes11[[#This Row],[CUIT]]="","-",VLOOKUP(ventas_b_mes11[[#This Row],[CUIT]],Lista_CUIT[#All],2,0)),"CUIT NO CARGADO")</f>
        <v>-</v>
      </c>
      <c r="H962" s="64">
        <f>ventas_b_mes11[[#This Row],[TOTAL]]/1.21</f>
        <v>0</v>
      </c>
      <c r="I962" s="183">
        <f>ventas_b_mes11[[#This Row],[IMPORTE NETO]]*0.21</f>
        <v>0</v>
      </c>
      <c r="J962" s="184"/>
      <c r="K962" s="184"/>
      <c r="L962" s="184"/>
      <c r="M962" s="59"/>
    </row>
    <row r="963" spans="2:13" x14ac:dyDescent="0.3">
      <c r="B963" s="178"/>
      <c r="C963" s="179"/>
      <c r="D963" s="180"/>
      <c r="E963" s="181"/>
      <c r="F963" s="182"/>
      <c r="G963" s="1" t="str">
        <f>IFERROR(IF(ventas_b_mes11[[#This Row],[CUIT]]="","-",VLOOKUP(ventas_b_mes11[[#This Row],[CUIT]],Lista_CUIT[#All],2,0)),"CUIT NO CARGADO")</f>
        <v>-</v>
      </c>
      <c r="H963" s="64">
        <f>ventas_b_mes11[[#This Row],[TOTAL]]/1.21</f>
        <v>0</v>
      </c>
      <c r="I963" s="183">
        <f>ventas_b_mes11[[#This Row],[IMPORTE NETO]]*0.21</f>
        <v>0</v>
      </c>
      <c r="J963" s="184"/>
      <c r="K963" s="184"/>
      <c r="L963" s="184"/>
      <c r="M963" s="59"/>
    </row>
    <row r="964" spans="2:13" x14ac:dyDescent="0.3">
      <c r="B964" s="178"/>
      <c r="C964" s="179"/>
      <c r="D964" s="180"/>
      <c r="E964" s="181"/>
      <c r="F964" s="182"/>
      <c r="G964" s="1" t="str">
        <f>IFERROR(IF(ventas_b_mes11[[#This Row],[CUIT]]="","-",VLOOKUP(ventas_b_mes11[[#This Row],[CUIT]],Lista_CUIT[#All],2,0)),"CUIT NO CARGADO")</f>
        <v>-</v>
      </c>
      <c r="H964" s="64">
        <f>ventas_b_mes11[[#This Row],[TOTAL]]/1.21</f>
        <v>0</v>
      </c>
      <c r="I964" s="183">
        <f>ventas_b_mes11[[#This Row],[IMPORTE NETO]]*0.21</f>
        <v>0</v>
      </c>
      <c r="J964" s="184"/>
      <c r="K964" s="184"/>
      <c r="L964" s="184"/>
      <c r="M964" s="59"/>
    </row>
    <row r="965" spans="2:13" x14ac:dyDescent="0.3">
      <c r="B965" s="178"/>
      <c r="C965" s="179"/>
      <c r="D965" s="180"/>
      <c r="E965" s="181"/>
      <c r="F965" s="182"/>
      <c r="G965" s="1" t="str">
        <f>IFERROR(IF(ventas_b_mes11[[#This Row],[CUIT]]="","-",VLOOKUP(ventas_b_mes11[[#This Row],[CUIT]],Lista_CUIT[#All],2,0)),"CUIT NO CARGADO")</f>
        <v>-</v>
      </c>
      <c r="H965" s="64">
        <f>ventas_b_mes11[[#This Row],[TOTAL]]/1.21</f>
        <v>0</v>
      </c>
      <c r="I965" s="183">
        <f>ventas_b_mes11[[#This Row],[IMPORTE NETO]]*0.21</f>
        <v>0</v>
      </c>
      <c r="J965" s="184"/>
      <c r="K965" s="184"/>
      <c r="L965" s="184"/>
      <c r="M965" s="59"/>
    </row>
    <row r="966" spans="2:13" x14ac:dyDescent="0.3">
      <c r="B966" s="178"/>
      <c r="C966" s="179"/>
      <c r="D966" s="180"/>
      <c r="E966" s="181"/>
      <c r="F966" s="182"/>
      <c r="G966" s="1" t="str">
        <f>IFERROR(IF(ventas_b_mes11[[#This Row],[CUIT]]="","-",VLOOKUP(ventas_b_mes11[[#This Row],[CUIT]],Lista_CUIT[#All],2,0)),"CUIT NO CARGADO")</f>
        <v>-</v>
      </c>
      <c r="H966" s="64">
        <f>ventas_b_mes11[[#This Row],[TOTAL]]/1.21</f>
        <v>0</v>
      </c>
      <c r="I966" s="183">
        <f>ventas_b_mes11[[#This Row],[IMPORTE NETO]]*0.21</f>
        <v>0</v>
      </c>
      <c r="J966" s="184"/>
      <c r="K966" s="184"/>
      <c r="L966" s="184"/>
      <c r="M966" s="59"/>
    </row>
    <row r="967" spans="2:13" x14ac:dyDescent="0.3">
      <c r="B967" s="178"/>
      <c r="C967" s="179"/>
      <c r="D967" s="180"/>
      <c r="E967" s="181"/>
      <c r="F967" s="182"/>
      <c r="G967" s="1" t="str">
        <f>IFERROR(IF(ventas_b_mes11[[#This Row],[CUIT]]="","-",VLOOKUP(ventas_b_mes11[[#This Row],[CUIT]],Lista_CUIT[#All],2,0)),"CUIT NO CARGADO")</f>
        <v>-</v>
      </c>
      <c r="H967" s="64">
        <f>ventas_b_mes11[[#This Row],[TOTAL]]/1.21</f>
        <v>0</v>
      </c>
      <c r="I967" s="183">
        <f>ventas_b_mes11[[#This Row],[IMPORTE NETO]]*0.21</f>
        <v>0</v>
      </c>
      <c r="J967" s="184"/>
      <c r="K967" s="184"/>
      <c r="L967" s="184"/>
      <c r="M967" s="59"/>
    </row>
    <row r="968" spans="2:13" x14ac:dyDescent="0.3">
      <c r="B968" s="178"/>
      <c r="C968" s="179"/>
      <c r="D968" s="180"/>
      <c r="E968" s="181"/>
      <c r="F968" s="182"/>
      <c r="G968" s="1" t="str">
        <f>IFERROR(IF(ventas_b_mes11[[#This Row],[CUIT]]="","-",VLOOKUP(ventas_b_mes11[[#This Row],[CUIT]],Lista_CUIT[#All],2,0)),"CUIT NO CARGADO")</f>
        <v>-</v>
      </c>
      <c r="H968" s="64">
        <f>ventas_b_mes11[[#This Row],[TOTAL]]/1.21</f>
        <v>0</v>
      </c>
      <c r="I968" s="183">
        <f>ventas_b_mes11[[#This Row],[IMPORTE NETO]]*0.21</f>
        <v>0</v>
      </c>
      <c r="J968" s="184"/>
      <c r="K968" s="184"/>
      <c r="L968" s="184"/>
      <c r="M968" s="59"/>
    </row>
    <row r="969" spans="2:13" x14ac:dyDescent="0.3">
      <c r="B969" s="178"/>
      <c r="C969" s="179"/>
      <c r="D969" s="180"/>
      <c r="E969" s="181"/>
      <c r="F969" s="182"/>
      <c r="G969" s="1" t="str">
        <f>IFERROR(IF(ventas_b_mes11[[#This Row],[CUIT]]="","-",VLOOKUP(ventas_b_mes11[[#This Row],[CUIT]],Lista_CUIT[#All],2,0)),"CUIT NO CARGADO")</f>
        <v>-</v>
      </c>
      <c r="H969" s="64">
        <f>ventas_b_mes11[[#This Row],[TOTAL]]/1.21</f>
        <v>0</v>
      </c>
      <c r="I969" s="183">
        <f>ventas_b_mes11[[#This Row],[IMPORTE NETO]]*0.21</f>
        <v>0</v>
      </c>
      <c r="J969" s="184"/>
      <c r="K969" s="184"/>
      <c r="L969" s="184"/>
      <c r="M969" s="59"/>
    </row>
    <row r="970" spans="2:13" x14ac:dyDescent="0.3">
      <c r="B970" s="178"/>
      <c r="C970" s="179"/>
      <c r="D970" s="180"/>
      <c r="E970" s="181"/>
      <c r="F970" s="182"/>
      <c r="G970" s="1" t="str">
        <f>IFERROR(IF(ventas_b_mes11[[#This Row],[CUIT]]="","-",VLOOKUP(ventas_b_mes11[[#This Row],[CUIT]],Lista_CUIT[#All],2,0)),"CUIT NO CARGADO")</f>
        <v>-</v>
      </c>
      <c r="H970" s="64">
        <f>ventas_b_mes11[[#This Row],[TOTAL]]/1.21</f>
        <v>0</v>
      </c>
      <c r="I970" s="183">
        <f>ventas_b_mes11[[#This Row],[IMPORTE NETO]]*0.21</f>
        <v>0</v>
      </c>
      <c r="J970" s="184"/>
      <c r="K970" s="184"/>
      <c r="L970" s="184"/>
      <c r="M970" s="59"/>
    </row>
    <row r="971" spans="2:13" x14ac:dyDescent="0.3">
      <c r="B971" s="178"/>
      <c r="C971" s="179"/>
      <c r="D971" s="180"/>
      <c r="E971" s="181"/>
      <c r="F971" s="182"/>
      <c r="G971" s="1" t="str">
        <f>IFERROR(IF(ventas_b_mes11[[#This Row],[CUIT]]="","-",VLOOKUP(ventas_b_mes11[[#This Row],[CUIT]],Lista_CUIT[#All],2,0)),"CUIT NO CARGADO")</f>
        <v>-</v>
      </c>
      <c r="H971" s="64">
        <f>ventas_b_mes11[[#This Row],[TOTAL]]/1.21</f>
        <v>0</v>
      </c>
      <c r="I971" s="183">
        <f>ventas_b_mes11[[#This Row],[IMPORTE NETO]]*0.21</f>
        <v>0</v>
      </c>
      <c r="J971" s="184"/>
      <c r="K971" s="184"/>
      <c r="L971" s="184"/>
      <c r="M971" s="59"/>
    </row>
    <row r="972" spans="2:13" x14ac:dyDescent="0.3">
      <c r="B972" s="178"/>
      <c r="C972" s="179"/>
      <c r="D972" s="180"/>
      <c r="E972" s="181"/>
      <c r="F972" s="182"/>
      <c r="G972" s="1" t="str">
        <f>IFERROR(IF(ventas_b_mes11[[#This Row],[CUIT]]="","-",VLOOKUP(ventas_b_mes11[[#This Row],[CUIT]],Lista_CUIT[#All],2,0)),"CUIT NO CARGADO")</f>
        <v>-</v>
      </c>
      <c r="H972" s="64">
        <f>ventas_b_mes11[[#This Row],[TOTAL]]/1.21</f>
        <v>0</v>
      </c>
      <c r="I972" s="183">
        <f>ventas_b_mes11[[#This Row],[IMPORTE NETO]]*0.21</f>
        <v>0</v>
      </c>
      <c r="J972" s="184"/>
      <c r="K972" s="184"/>
      <c r="L972" s="184"/>
      <c r="M972" s="59"/>
    </row>
    <row r="973" spans="2:13" x14ac:dyDescent="0.3">
      <c r="B973" s="178"/>
      <c r="C973" s="179"/>
      <c r="D973" s="180"/>
      <c r="E973" s="181"/>
      <c r="F973" s="182"/>
      <c r="G973" s="1" t="str">
        <f>IFERROR(IF(ventas_b_mes11[[#This Row],[CUIT]]="","-",VLOOKUP(ventas_b_mes11[[#This Row],[CUIT]],Lista_CUIT[#All],2,0)),"CUIT NO CARGADO")</f>
        <v>-</v>
      </c>
      <c r="H973" s="64">
        <f>ventas_b_mes11[[#This Row],[TOTAL]]/1.21</f>
        <v>0</v>
      </c>
      <c r="I973" s="183">
        <f>ventas_b_mes11[[#This Row],[IMPORTE NETO]]*0.21</f>
        <v>0</v>
      </c>
      <c r="J973" s="184"/>
      <c r="K973" s="184"/>
      <c r="L973" s="184"/>
      <c r="M973" s="59"/>
    </row>
    <row r="974" spans="2:13" x14ac:dyDescent="0.3">
      <c r="B974" s="178"/>
      <c r="C974" s="179"/>
      <c r="D974" s="180"/>
      <c r="E974" s="181"/>
      <c r="F974" s="182"/>
      <c r="G974" s="1" t="str">
        <f>IFERROR(IF(ventas_b_mes11[[#This Row],[CUIT]]="","-",VLOOKUP(ventas_b_mes11[[#This Row],[CUIT]],Lista_CUIT[#All],2,0)),"CUIT NO CARGADO")</f>
        <v>-</v>
      </c>
      <c r="H974" s="64">
        <f>ventas_b_mes11[[#This Row],[TOTAL]]/1.21</f>
        <v>0</v>
      </c>
      <c r="I974" s="183">
        <f>ventas_b_mes11[[#This Row],[IMPORTE NETO]]*0.21</f>
        <v>0</v>
      </c>
      <c r="J974" s="184"/>
      <c r="K974" s="184"/>
      <c r="L974" s="184"/>
      <c r="M974" s="59"/>
    </row>
    <row r="975" spans="2:13" x14ac:dyDescent="0.3">
      <c r="B975" s="178"/>
      <c r="C975" s="179"/>
      <c r="D975" s="180"/>
      <c r="E975" s="181"/>
      <c r="F975" s="182"/>
      <c r="G975" s="1" t="str">
        <f>IFERROR(IF(ventas_b_mes11[[#This Row],[CUIT]]="","-",VLOOKUP(ventas_b_mes11[[#This Row],[CUIT]],Lista_CUIT[#All],2,0)),"CUIT NO CARGADO")</f>
        <v>-</v>
      </c>
      <c r="H975" s="64">
        <f>ventas_b_mes11[[#This Row],[TOTAL]]/1.21</f>
        <v>0</v>
      </c>
      <c r="I975" s="183">
        <f>ventas_b_mes11[[#This Row],[IMPORTE NETO]]*0.21</f>
        <v>0</v>
      </c>
      <c r="J975" s="184"/>
      <c r="K975" s="184"/>
      <c r="L975" s="184"/>
      <c r="M975" s="59"/>
    </row>
    <row r="976" spans="2:13" x14ac:dyDescent="0.3">
      <c r="B976" s="178"/>
      <c r="C976" s="179"/>
      <c r="D976" s="180"/>
      <c r="E976" s="181"/>
      <c r="F976" s="182"/>
      <c r="G976" s="1" t="str">
        <f>IFERROR(IF(ventas_b_mes11[[#This Row],[CUIT]]="","-",VLOOKUP(ventas_b_mes11[[#This Row],[CUIT]],Lista_CUIT[#All],2,0)),"CUIT NO CARGADO")</f>
        <v>-</v>
      </c>
      <c r="H976" s="64">
        <f>ventas_b_mes11[[#This Row],[TOTAL]]/1.21</f>
        <v>0</v>
      </c>
      <c r="I976" s="183">
        <f>ventas_b_mes11[[#This Row],[IMPORTE NETO]]*0.21</f>
        <v>0</v>
      </c>
      <c r="J976" s="184"/>
      <c r="K976" s="184"/>
      <c r="L976" s="184"/>
      <c r="M976" s="59"/>
    </row>
    <row r="977" spans="2:13" x14ac:dyDescent="0.3">
      <c r="B977" s="178"/>
      <c r="C977" s="179"/>
      <c r="D977" s="180"/>
      <c r="E977" s="181"/>
      <c r="F977" s="182"/>
      <c r="G977" s="1" t="str">
        <f>IFERROR(IF(ventas_b_mes11[[#This Row],[CUIT]]="","-",VLOOKUP(ventas_b_mes11[[#This Row],[CUIT]],Lista_CUIT[#All],2,0)),"CUIT NO CARGADO")</f>
        <v>-</v>
      </c>
      <c r="H977" s="64">
        <f>ventas_b_mes11[[#This Row],[TOTAL]]/1.21</f>
        <v>0</v>
      </c>
      <c r="I977" s="183">
        <f>ventas_b_mes11[[#This Row],[IMPORTE NETO]]*0.21</f>
        <v>0</v>
      </c>
      <c r="J977" s="184"/>
      <c r="K977" s="184"/>
      <c r="L977" s="184"/>
      <c r="M977" s="59"/>
    </row>
    <row r="978" spans="2:13" x14ac:dyDescent="0.3">
      <c r="B978" s="178"/>
      <c r="C978" s="179"/>
      <c r="D978" s="180"/>
      <c r="E978" s="181"/>
      <c r="F978" s="182"/>
      <c r="G978" s="1" t="str">
        <f>IFERROR(IF(ventas_b_mes11[[#This Row],[CUIT]]="","-",VLOOKUP(ventas_b_mes11[[#This Row],[CUIT]],Lista_CUIT[#All],2,0)),"CUIT NO CARGADO")</f>
        <v>-</v>
      </c>
      <c r="H978" s="64">
        <f>ventas_b_mes11[[#This Row],[TOTAL]]/1.21</f>
        <v>0</v>
      </c>
      <c r="I978" s="183">
        <f>ventas_b_mes11[[#This Row],[IMPORTE NETO]]*0.21</f>
        <v>0</v>
      </c>
      <c r="J978" s="184"/>
      <c r="K978" s="184"/>
      <c r="L978" s="184"/>
      <c r="M978" s="59"/>
    </row>
    <row r="979" spans="2:13" x14ac:dyDescent="0.3">
      <c r="B979" s="178"/>
      <c r="C979" s="179"/>
      <c r="D979" s="180"/>
      <c r="E979" s="181"/>
      <c r="F979" s="182"/>
      <c r="G979" s="1" t="str">
        <f>IFERROR(IF(ventas_b_mes11[[#This Row],[CUIT]]="","-",VLOOKUP(ventas_b_mes11[[#This Row],[CUIT]],Lista_CUIT[#All],2,0)),"CUIT NO CARGADO")</f>
        <v>-</v>
      </c>
      <c r="H979" s="64">
        <f>ventas_b_mes11[[#This Row],[TOTAL]]/1.21</f>
        <v>0</v>
      </c>
      <c r="I979" s="183">
        <f>ventas_b_mes11[[#This Row],[IMPORTE NETO]]*0.21</f>
        <v>0</v>
      </c>
      <c r="J979" s="184"/>
      <c r="K979" s="184"/>
      <c r="L979" s="184"/>
      <c r="M979" s="59"/>
    </row>
    <row r="980" spans="2:13" x14ac:dyDescent="0.3">
      <c r="B980" s="178"/>
      <c r="C980" s="179"/>
      <c r="D980" s="180"/>
      <c r="E980" s="181"/>
      <c r="F980" s="182"/>
      <c r="G980" s="1" t="str">
        <f>IFERROR(IF(ventas_b_mes11[[#This Row],[CUIT]]="","-",VLOOKUP(ventas_b_mes11[[#This Row],[CUIT]],Lista_CUIT[#All],2,0)),"CUIT NO CARGADO")</f>
        <v>-</v>
      </c>
      <c r="H980" s="64">
        <f>ventas_b_mes11[[#This Row],[TOTAL]]/1.21</f>
        <v>0</v>
      </c>
      <c r="I980" s="183">
        <f>ventas_b_mes11[[#This Row],[IMPORTE NETO]]*0.21</f>
        <v>0</v>
      </c>
      <c r="J980" s="184"/>
      <c r="K980" s="184"/>
      <c r="L980" s="184"/>
      <c r="M980" s="59"/>
    </row>
    <row r="981" spans="2:13" x14ac:dyDescent="0.3">
      <c r="B981" s="178"/>
      <c r="C981" s="179"/>
      <c r="D981" s="180"/>
      <c r="E981" s="181"/>
      <c r="F981" s="182"/>
      <c r="G981" s="1" t="str">
        <f>IFERROR(IF(ventas_b_mes11[[#This Row],[CUIT]]="","-",VLOOKUP(ventas_b_mes11[[#This Row],[CUIT]],Lista_CUIT[#All],2,0)),"CUIT NO CARGADO")</f>
        <v>-</v>
      </c>
      <c r="H981" s="64">
        <f>ventas_b_mes11[[#This Row],[TOTAL]]/1.21</f>
        <v>0</v>
      </c>
      <c r="I981" s="183">
        <f>ventas_b_mes11[[#This Row],[IMPORTE NETO]]*0.21</f>
        <v>0</v>
      </c>
      <c r="J981" s="184"/>
      <c r="K981" s="184"/>
      <c r="L981" s="184"/>
      <c r="M981" s="59"/>
    </row>
    <row r="982" spans="2:13" x14ac:dyDescent="0.3">
      <c r="B982" s="178"/>
      <c r="C982" s="179"/>
      <c r="D982" s="180"/>
      <c r="E982" s="181"/>
      <c r="F982" s="182"/>
      <c r="G982" s="1" t="str">
        <f>IFERROR(IF(ventas_b_mes11[[#This Row],[CUIT]]="","-",VLOOKUP(ventas_b_mes11[[#This Row],[CUIT]],Lista_CUIT[#All],2,0)),"CUIT NO CARGADO")</f>
        <v>-</v>
      </c>
      <c r="H982" s="64">
        <f>ventas_b_mes11[[#This Row],[TOTAL]]/1.21</f>
        <v>0</v>
      </c>
      <c r="I982" s="183">
        <f>ventas_b_mes11[[#This Row],[IMPORTE NETO]]*0.21</f>
        <v>0</v>
      </c>
      <c r="J982" s="184"/>
      <c r="K982" s="184"/>
      <c r="L982" s="184"/>
      <c r="M982" s="59"/>
    </row>
    <row r="983" spans="2:13" x14ac:dyDescent="0.3">
      <c r="B983" s="178"/>
      <c r="C983" s="179"/>
      <c r="D983" s="180"/>
      <c r="E983" s="181"/>
      <c r="F983" s="182"/>
      <c r="G983" s="1" t="str">
        <f>IFERROR(IF(ventas_b_mes11[[#This Row],[CUIT]]="","-",VLOOKUP(ventas_b_mes11[[#This Row],[CUIT]],Lista_CUIT[#All],2,0)),"CUIT NO CARGADO")</f>
        <v>-</v>
      </c>
      <c r="H983" s="64">
        <f>ventas_b_mes11[[#This Row],[TOTAL]]/1.21</f>
        <v>0</v>
      </c>
      <c r="I983" s="183">
        <f>ventas_b_mes11[[#This Row],[IMPORTE NETO]]*0.21</f>
        <v>0</v>
      </c>
      <c r="J983" s="184"/>
      <c r="K983" s="184"/>
      <c r="L983" s="184"/>
      <c r="M983" s="59"/>
    </row>
    <row r="984" spans="2:13" x14ac:dyDescent="0.3">
      <c r="B984" s="178"/>
      <c r="C984" s="179"/>
      <c r="D984" s="180"/>
      <c r="E984" s="181"/>
      <c r="F984" s="182"/>
      <c r="G984" s="1" t="str">
        <f>IFERROR(IF(ventas_b_mes11[[#This Row],[CUIT]]="","-",VLOOKUP(ventas_b_mes11[[#This Row],[CUIT]],Lista_CUIT[#All],2,0)),"CUIT NO CARGADO")</f>
        <v>-</v>
      </c>
      <c r="H984" s="64">
        <f>ventas_b_mes11[[#This Row],[TOTAL]]/1.21</f>
        <v>0</v>
      </c>
      <c r="I984" s="183">
        <f>ventas_b_mes11[[#This Row],[IMPORTE NETO]]*0.21</f>
        <v>0</v>
      </c>
      <c r="J984" s="184"/>
      <c r="K984" s="184"/>
      <c r="L984" s="184"/>
      <c r="M984" s="59"/>
    </row>
    <row r="985" spans="2:13" x14ac:dyDescent="0.3">
      <c r="B985" s="178"/>
      <c r="C985" s="179"/>
      <c r="D985" s="180"/>
      <c r="E985" s="181"/>
      <c r="F985" s="182"/>
      <c r="G985" s="1" t="str">
        <f>IFERROR(IF(ventas_b_mes11[[#This Row],[CUIT]]="","-",VLOOKUP(ventas_b_mes11[[#This Row],[CUIT]],Lista_CUIT[#All],2,0)),"CUIT NO CARGADO")</f>
        <v>-</v>
      </c>
      <c r="H985" s="64">
        <f>ventas_b_mes11[[#This Row],[TOTAL]]/1.21</f>
        <v>0</v>
      </c>
      <c r="I985" s="183">
        <f>ventas_b_mes11[[#This Row],[IMPORTE NETO]]*0.21</f>
        <v>0</v>
      </c>
      <c r="J985" s="184"/>
      <c r="K985" s="184"/>
      <c r="L985" s="184"/>
      <c r="M985" s="59"/>
    </row>
    <row r="986" spans="2:13" x14ac:dyDescent="0.3">
      <c r="B986" s="178"/>
      <c r="C986" s="179"/>
      <c r="D986" s="180"/>
      <c r="E986" s="181"/>
      <c r="F986" s="182"/>
      <c r="G986" s="1" t="str">
        <f>IFERROR(IF(ventas_b_mes11[[#This Row],[CUIT]]="","-",VLOOKUP(ventas_b_mes11[[#This Row],[CUIT]],Lista_CUIT[#All],2,0)),"CUIT NO CARGADO")</f>
        <v>-</v>
      </c>
      <c r="H986" s="64">
        <f>ventas_b_mes11[[#This Row],[TOTAL]]/1.21</f>
        <v>0</v>
      </c>
      <c r="I986" s="183">
        <f>ventas_b_mes11[[#This Row],[IMPORTE NETO]]*0.21</f>
        <v>0</v>
      </c>
      <c r="J986" s="184"/>
      <c r="K986" s="184"/>
      <c r="L986" s="184"/>
      <c r="M986" s="59"/>
    </row>
    <row r="987" spans="2:13" x14ac:dyDescent="0.3">
      <c r="B987" s="178"/>
      <c r="C987" s="179"/>
      <c r="D987" s="180"/>
      <c r="E987" s="181"/>
      <c r="F987" s="182"/>
      <c r="G987" s="1" t="str">
        <f>IFERROR(IF(ventas_b_mes11[[#This Row],[CUIT]]="","-",VLOOKUP(ventas_b_mes11[[#This Row],[CUIT]],Lista_CUIT[#All],2,0)),"CUIT NO CARGADO")</f>
        <v>-</v>
      </c>
      <c r="H987" s="64">
        <f>ventas_b_mes11[[#This Row],[TOTAL]]/1.21</f>
        <v>0</v>
      </c>
      <c r="I987" s="183">
        <f>ventas_b_mes11[[#This Row],[IMPORTE NETO]]*0.21</f>
        <v>0</v>
      </c>
      <c r="J987" s="184"/>
      <c r="K987" s="184"/>
      <c r="L987" s="184"/>
      <c r="M987" s="59"/>
    </row>
    <row r="988" spans="2:13" x14ac:dyDescent="0.3">
      <c r="B988" s="178"/>
      <c r="C988" s="179"/>
      <c r="D988" s="180"/>
      <c r="E988" s="181"/>
      <c r="F988" s="182"/>
      <c r="G988" s="1" t="str">
        <f>IFERROR(IF(ventas_b_mes11[[#This Row],[CUIT]]="","-",VLOOKUP(ventas_b_mes11[[#This Row],[CUIT]],Lista_CUIT[#All],2,0)),"CUIT NO CARGADO")</f>
        <v>-</v>
      </c>
      <c r="H988" s="64">
        <f>ventas_b_mes11[[#This Row],[TOTAL]]/1.21</f>
        <v>0</v>
      </c>
      <c r="I988" s="183">
        <f>ventas_b_mes11[[#This Row],[IMPORTE NETO]]*0.21</f>
        <v>0</v>
      </c>
      <c r="J988" s="184"/>
      <c r="K988" s="184"/>
      <c r="L988" s="184"/>
      <c r="M988" s="59"/>
    </row>
    <row r="989" spans="2:13" x14ac:dyDescent="0.3">
      <c r="B989" s="178"/>
      <c r="C989" s="179"/>
      <c r="D989" s="180"/>
      <c r="E989" s="181"/>
      <c r="F989" s="182"/>
      <c r="G989" s="1" t="str">
        <f>IFERROR(IF(ventas_b_mes11[[#This Row],[CUIT]]="","-",VLOOKUP(ventas_b_mes11[[#This Row],[CUIT]],Lista_CUIT[#All],2,0)),"CUIT NO CARGADO")</f>
        <v>-</v>
      </c>
      <c r="H989" s="64">
        <f>ventas_b_mes11[[#This Row],[TOTAL]]/1.21</f>
        <v>0</v>
      </c>
      <c r="I989" s="183">
        <f>ventas_b_mes11[[#This Row],[IMPORTE NETO]]*0.21</f>
        <v>0</v>
      </c>
      <c r="J989" s="184"/>
      <c r="K989" s="184"/>
      <c r="L989" s="184"/>
      <c r="M989" s="59"/>
    </row>
    <row r="990" spans="2:13" x14ac:dyDescent="0.3">
      <c r="B990" s="178"/>
      <c r="C990" s="179"/>
      <c r="D990" s="180"/>
      <c r="E990" s="181"/>
      <c r="F990" s="182"/>
      <c r="G990" s="1" t="str">
        <f>IFERROR(IF(ventas_b_mes11[[#This Row],[CUIT]]="","-",VLOOKUP(ventas_b_mes11[[#This Row],[CUIT]],Lista_CUIT[#All],2,0)),"CUIT NO CARGADO")</f>
        <v>-</v>
      </c>
      <c r="H990" s="64">
        <f>ventas_b_mes11[[#This Row],[TOTAL]]/1.21</f>
        <v>0</v>
      </c>
      <c r="I990" s="183">
        <f>ventas_b_mes11[[#This Row],[IMPORTE NETO]]*0.21</f>
        <v>0</v>
      </c>
      <c r="J990" s="184"/>
      <c r="K990" s="184"/>
      <c r="L990" s="184"/>
      <c r="M990" s="59"/>
    </row>
    <row r="991" spans="2:13" x14ac:dyDescent="0.3">
      <c r="B991" s="178"/>
      <c r="C991" s="179"/>
      <c r="D991" s="180"/>
      <c r="E991" s="181"/>
      <c r="F991" s="182"/>
      <c r="G991" s="1" t="str">
        <f>IFERROR(IF(ventas_b_mes11[[#This Row],[CUIT]]="","-",VLOOKUP(ventas_b_mes11[[#This Row],[CUIT]],Lista_CUIT[#All],2,0)),"CUIT NO CARGADO")</f>
        <v>-</v>
      </c>
      <c r="H991" s="64">
        <f>ventas_b_mes11[[#This Row],[TOTAL]]/1.21</f>
        <v>0</v>
      </c>
      <c r="I991" s="183">
        <f>ventas_b_mes11[[#This Row],[IMPORTE NETO]]*0.21</f>
        <v>0</v>
      </c>
      <c r="J991" s="184"/>
      <c r="K991" s="184"/>
      <c r="L991" s="184"/>
      <c r="M991" s="59"/>
    </row>
    <row r="992" spans="2:13" x14ac:dyDescent="0.3">
      <c r="B992" s="178"/>
      <c r="C992" s="179"/>
      <c r="D992" s="180"/>
      <c r="E992" s="181"/>
      <c r="F992" s="182"/>
      <c r="G992" s="1" t="str">
        <f>IFERROR(IF(ventas_b_mes11[[#This Row],[CUIT]]="","-",VLOOKUP(ventas_b_mes11[[#This Row],[CUIT]],Lista_CUIT[#All],2,0)),"CUIT NO CARGADO")</f>
        <v>-</v>
      </c>
      <c r="H992" s="64">
        <f>ventas_b_mes11[[#This Row],[TOTAL]]/1.21</f>
        <v>0</v>
      </c>
      <c r="I992" s="183">
        <f>ventas_b_mes11[[#This Row],[IMPORTE NETO]]*0.21</f>
        <v>0</v>
      </c>
      <c r="J992" s="184"/>
      <c r="K992" s="184"/>
      <c r="L992" s="184"/>
      <c r="M992" s="59"/>
    </row>
    <row r="993" spans="2:13" x14ac:dyDescent="0.3">
      <c r="B993" s="178"/>
      <c r="C993" s="179"/>
      <c r="D993" s="180"/>
      <c r="E993" s="181"/>
      <c r="F993" s="182"/>
      <c r="G993" s="1" t="str">
        <f>IFERROR(IF(ventas_b_mes11[[#This Row],[CUIT]]="","-",VLOOKUP(ventas_b_mes11[[#This Row],[CUIT]],Lista_CUIT[#All],2,0)),"CUIT NO CARGADO")</f>
        <v>-</v>
      </c>
      <c r="H993" s="64">
        <f>ventas_b_mes11[[#This Row],[TOTAL]]/1.21</f>
        <v>0</v>
      </c>
      <c r="I993" s="183">
        <f>ventas_b_mes11[[#This Row],[IMPORTE NETO]]*0.21</f>
        <v>0</v>
      </c>
      <c r="J993" s="184"/>
      <c r="K993" s="184"/>
      <c r="L993" s="184"/>
      <c r="M993" s="59"/>
    </row>
    <row r="994" spans="2:13" x14ac:dyDescent="0.3">
      <c r="B994" s="178"/>
      <c r="C994" s="179"/>
      <c r="D994" s="180"/>
      <c r="E994" s="181"/>
      <c r="F994" s="182"/>
      <c r="G994" s="1" t="str">
        <f>IFERROR(IF(ventas_b_mes11[[#This Row],[CUIT]]="","-",VLOOKUP(ventas_b_mes11[[#This Row],[CUIT]],Lista_CUIT[#All],2,0)),"CUIT NO CARGADO")</f>
        <v>-</v>
      </c>
      <c r="H994" s="64">
        <f>ventas_b_mes11[[#This Row],[TOTAL]]/1.21</f>
        <v>0</v>
      </c>
      <c r="I994" s="183">
        <f>ventas_b_mes11[[#This Row],[IMPORTE NETO]]*0.21</f>
        <v>0</v>
      </c>
      <c r="J994" s="184"/>
      <c r="K994" s="184"/>
      <c r="L994" s="184"/>
      <c r="M994" s="59"/>
    </row>
    <row r="995" spans="2:13" x14ac:dyDescent="0.3">
      <c r="B995" s="178"/>
      <c r="C995" s="179"/>
      <c r="D995" s="180"/>
      <c r="E995" s="181"/>
      <c r="F995" s="182"/>
      <c r="G995" s="1" t="str">
        <f>IFERROR(IF(ventas_b_mes11[[#This Row],[CUIT]]="","-",VLOOKUP(ventas_b_mes11[[#This Row],[CUIT]],Lista_CUIT[#All],2,0)),"CUIT NO CARGADO")</f>
        <v>-</v>
      </c>
      <c r="H995" s="64">
        <f>ventas_b_mes11[[#This Row],[TOTAL]]/1.21</f>
        <v>0</v>
      </c>
      <c r="I995" s="183">
        <f>ventas_b_mes11[[#This Row],[IMPORTE NETO]]*0.21</f>
        <v>0</v>
      </c>
      <c r="J995" s="184"/>
      <c r="K995" s="184"/>
      <c r="L995" s="184"/>
      <c r="M995" s="59"/>
    </row>
    <row r="996" spans="2:13" x14ac:dyDescent="0.3">
      <c r="B996" s="178"/>
      <c r="C996" s="179"/>
      <c r="D996" s="180"/>
      <c r="E996" s="181"/>
      <c r="F996" s="182"/>
      <c r="G996" s="1" t="str">
        <f>IFERROR(IF(ventas_b_mes11[[#This Row],[CUIT]]="","-",VLOOKUP(ventas_b_mes11[[#This Row],[CUIT]],Lista_CUIT[#All],2,0)),"CUIT NO CARGADO")</f>
        <v>-</v>
      </c>
      <c r="H996" s="64">
        <f>ventas_b_mes11[[#This Row],[TOTAL]]/1.21</f>
        <v>0</v>
      </c>
      <c r="I996" s="183">
        <f>ventas_b_mes11[[#This Row],[IMPORTE NETO]]*0.21</f>
        <v>0</v>
      </c>
      <c r="J996" s="184"/>
      <c r="K996" s="184"/>
      <c r="L996" s="184"/>
      <c r="M996" s="59"/>
    </row>
    <row r="997" spans="2:13" x14ac:dyDescent="0.3">
      <c r="B997" s="178"/>
      <c r="C997" s="179"/>
      <c r="D997" s="180"/>
      <c r="E997" s="181"/>
      <c r="F997" s="182"/>
      <c r="G997" s="1" t="str">
        <f>IFERROR(IF(ventas_b_mes11[[#This Row],[CUIT]]="","-",VLOOKUP(ventas_b_mes11[[#This Row],[CUIT]],Lista_CUIT[#All],2,0)),"CUIT NO CARGADO")</f>
        <v>-</v>
      </c>
      <c r="H997" s="64">
        <f>ventas_b_mes11[[#This Row],[TOTAL]]/1.21</f>
        <v>0</v>
      </c>
      <c r="I997" s="183">
        <f>ventas_b_mes11[[#This Row],[IMPORTE NETO]]*0.21</f>
        <v>0</v>
      </c>
      <c r="J997" s="184"/>
      <c r="K997" s="184"/>
      <c r="L997" s="184"/>
      <c r="M997" s="59"/>
    </row>
    <row r="998" spans="2:13" x14ac:dyDescent="0.3">
      <c r="B998" s="178"/>
      <c r="C998" s="179"/>
      <c r="D998" s="180"/>
      <c r="E998" s="181"/>
      <c r="F998" s="182"/>
      <c r="G998" s="1" t="str">
        <f>IFERROR(IF(ventas_b_mes11[[#This Row],[CUIT]]="","-",VLOOKUP(ventas_b_mes11[[#This Row],[CUIT]],Lista_CUIT[#All],2,0)),"CUIT NO CARGADO")</f>
        <v>-</v>
      </c>
      <c r="H998" s="64">
        <f>ventas_b_mes11[[#This Row],[TOTAL]]/1.21</f>
        <v>0</v>
      </c>
      <c r="I998" s="183">
        <f>ventas_b_mes11[[#This Row],[IMPORTE NETO]]*0.21</f>
        <v>0</v>
      </c>
      <c r="J998" s="184"/>
      <c r="K998" s="184"/>
      <c r="L998" s="184"/>
      <c r="M998" s="59"/>
    </row>
    <row r="999" spans="2:13" x14ac:dyDescent="0.3">
      <c r="B999" s="178"/>
      <c r="C999" s="179"/>
      <c r="D999" s="180"/>
      <c r="E999" s="181"/>
      <c r="F999" s="182"/>
      <c r="G999" s="1" t="str">
        <f>IFERROR(IF(ventas_b_mes11[[#This Row],[CUIT]]="","-",VLOOKUP(ventas_b_mes11[[#This Row],[CUIT]],Lista_CUIT[#All],2,0)),"CUIT NO CARGADO")</f>
        <v>-</v>
      </c>
      <c r="H999" s="64">
        <f>ventas_b_mes11[[#This Row],[TOTAL]]/1.21</f>
        <v>0</v>
      </c>
      <c r="I999" s="183">
        <f>ventas_b_mes11[[#This Row],[IMPORTE NETO]]*0.21</f>
        <v>0</v>
      </c>
      <c r="J999" s="184"/>
      <c r="K999" s="184"/>
      <c r="L999" s="184"/>
      <c r="M999" s="59"/>
    </row>
    <row r="1000" spans="2:13" x14ac:dyDescent="0.3">
      <c r="B1000" s="178"/>
      <c r="C1000" s="179"/>
      <c r="D1000" s="180"/>
      <c r="E1000" s="181"/>
      <c r="F1000" s="182"/>
      <c r="G1000" s="1" t="str">
        <f>IFERROR(IF(ventas_b_mes11[[#This Row],[CUIT]]="","-",VLOOKUP(ventas_b_mes11[[#This Row],[CUIT]],Lista_CUIT[#All],2,0)),"CUIT NO CARGADO")</f>
        <v>-</v>
      </c>
      <c r="H1000" s="64">
        <f>ventas_b_mes11[[#This Row],[TOTAL]]/1.21</f>
        <v>0</v>
      </c>
      <c r="I1000" s="183">
        <f>ventas_b_mes11[[#This Row],[IMPORTE NETO]]*0.21</f>
        <v>0</v>
      </c>
      <c r="J1000" s="184"/>
      <c r="K1000" s="184"/>
      <c r="L1000" s="184"/>
      <c r="M1000" s="59"/>
    </row>
    <row r="1001" spans="2:13" x14ac:dyDescent="0.3">
      <c r="B1001" s="178"/>
      <c r="C1001" s="179"/>
      <c r="D1001" s="180"/>
      <c r="E1001" s="181"/>
      <c r="F1001" s="182"/>
      <c r="G1001" s="1" t="str">
        <f>IFERROR(IF(ventas_b_mes11[[#This Row],[CUIT]]="","-",VLOOKUP(ventas_b_mes11[[#This Row],[CUIT]],Lista_CUIT[#All],2,0)),"CUIT NO CARGADO")</f>
        <v>-</v>
      </c>
      <c r="H1001" s="64">
        <f>ventas_b_mes11[[#This Row],[TOTAL]]/1.21</f>
        <v>0</v>
      </c>
      <c r="I1001" s="183">
        <f>ventas_b_mes11[[#This Row],[IMPORTE NETO]]*0.21</f>
        <v>0</v>
      </c>
      <c r="J1001" s="184"/>
      <c r="K1001" s="184"/>
      <c r="L1001" s="184"/>
      <c r="M1001" s="59"/>
    </row>
    <row r="1002" spans="2:13" x14ac:dyDescent="0.3">
      <c r="B1002" s="178"/>
      <c r="C1002" s="179"/>
      <c r="D1002" s="180"/>
      <c r="E1002" s="181"/>
      <c r="F1002" s="182"/>
      <c r="G1002" s="1" t="str">
        <f>IFERROR(IF(ventas_b_mes11[[#This Row],[CUIT]]="","-",VLOOKUP(ventas_b_mes11[[#This Row],[CUIT]],Lista_CUIT[#All],2,0)),"CUIT NO CARGADO")</f>
        <v>-</v>
      </c>
      <c r="H1002" s="64">
        <f>ventas_b_mes11[[#This Row],[TOTAL]]/1.21</f>
        <v>0</v>
      </c>
      <c r="I1002" s="183">
        <f>ventas_b_mes11[[#This Row],[IMPORTE NETO]]*0.21</f>
        <v>0</v>
      </c>
      <c r="J1002" s="184"/>
      <c r="K1002" s="184"/>
      <c r="L1002" s="184"/>
      <c r="M1002" s="59"/>
    </row>
    <row r="1003" spans="2:13" x14ac:dyDescent="0.3">
      <c r="B1003" s="178"/>
      <c r="C1003" s="179"/>
      <c r="D1003" s="180"/>
      <c r="E1003" s="181"/>
      <c r="F1003" s="182"/>
      <c r="G1003" s="1" t="str">
        <f>IFERROR(IF(ventas_b_mes11[[#This Row],[CUIT]]="","-",VLOOKUP(ventas_b_mes11[[#This Row],[CUIT]],Lista_CUIT[#All],2,0)),"CUIT NO CARGADO")</f>
        <v>-</v>
      </c>
      <c r="H1003" s="64">
        <f>ventas_b_mes11[[#This Row],[TOTAL]]/1.21</f>
        <v>0</v>
      </c>
      <c r="I1003" s="183">
        <f>ventas_b_mes11[[#This Row],[IMPORTE NETO]]*0.21</f>
        <v>0</v>
      </c>
      <c r="J1003" s="184"/>
      <c r="K1003" s="184"/>
      <c r="L1003" s="184"/>
      <c r="M1003" s="59"/>
    </row>
    <row r="1004" spans="2:13" x14ac:dyDescent="0.3">
      <c r="B1004" s="178"/>
      <c r="C1004" s="179"/>
      <c r="D1004" s="180"/>
      <c r="E1004" s="181"/>
      <c r="F1004" s="182"/>
      <c r="G1004" s="1" t="str">
        <f>IFERROR(IF(ventas_b_mes11[[#This Row],[CUIT]]="","-",VLOOKUP(ventas_b_mes11[[#This Row],[CUIT]],Lista_CUIT[#All],2,0)),"CUIT NO CARGADO")</f>
        <v>-</v>
      </c>
      <c r="H1004" s="64">
        <f>ventas_b_mes11[[#This Row],[TOTAL]]/1.21</f>
        <v>0</v>
      </c>
      <c r="I1004" s="183">
        <f>ventas_b_mes11[[#This Row],[IMPORTE NETO]]*0.21</f>
        <v>0</v>
      </c>
      <c r="J1004" s="184"/>
      <c r="K1004" s="184"/>
      <c r="L1004" s="184"/>
      <c r="M1004" s="59"/>
    </row>
    <row r="1005" spans="2:13" x14ac:dyDescent="0.3">
      <c r="B1005" s="178"/>
      <c r="C1005" s="179"/>
      <c r="D1005" s="180"/>
      <c r="E1005" s="181"/>
      <c r="F1005" s="182"/>
      <c r="G1005" s="1" t="str">
        <f>IFERROR(IF(ventas_b_mes11[[#This Row],[CUIT]]="","-",VLOOKUP(ventas_b_mes11[[#This Row],[CUIT]],Lista_CUIT[#All],2,0)),"CUIT NO CARGADO")</f>
        <v>-</v>
      </c>
      <c r="H1005" s="64">
        <f>ventas_b_mes11[[#This Row],[TOTAL]]/1.21</f>
        <v>0</v>
      </c>
      <c r="I1005" s="183">
        <f>ventas_b_mes11[[#This Row],[IMPORTE NETO]]*0.21</f>
        <v>0</v>
      </c>
      <c r="J1005" s="184"/>
      <c r="K1005" s="184"/>
      <c r="L1005" s="184"/>
      <c r="M1005" s="59"/>
    </row>
    <row r="1006" spans="2:13" x14ac:dyDescent="0.3">
      <c r="B1006" s="178"/>
      <c r="C1006" s="179"/>
      <c r="D1006" s="180"/>
      <c r="E1006" s="181"/>
      <c r="F1006" s="182"/>
      <c r="G1006" s="1" t="str">
        <f>IFERROR(IF(ventas_b_mes11[[#This Row],[CUIT]]="","-",VLOOKUP(ventas_b_mes11[[#This Row],[CUIT]],Lista_CUIT[#All],2,0)),"CUIT NO CARGADO")</f>
        <v>-</v>
      </c>
      <c r="H1006" s="64">
        <f>ventas_b_mes11[[#This Row],[TOTAL]]/1.21</f>
        <v>0</v>
      </c>
      <c r="I1006" s="183">
        <f>ventas_b_mes11[[#This Row],[IMPORTE NETO]]*0.21</f>
        <v>0</v>
      </c>
      <c r="J1006" s="184"/>
      <c r="K1006" s="184"/>
      <c r="L1006" s="184"/>
      <c r="M1006" s="59"/>
    </row>
    <row r="1007" spans="2:13" x14ac:dyDescent="0.3">
      <c r="B1007" s="178"/>
      <c r="C1007" s="179"/>
      <c r="D1007" s="180"/>
      <c r="E1007" s="181"/>
      <c r="F1007" s="182"/>
      <c r="G1007" s="1" t="str">
        <f>IFERROR(IF(ventas_b_mes11[[#This Row],[CUIT]]="","-",VLOOKUP(ventas_b_mes11[[#This Row],[CUIT]],Lista_CUIT[#All],2,0)),"CUIT NO CARGADO")</f>
        <v>-</v>
      </c>
      <c r="H1007" s="64">
        <f>ventas_b_mes11[[#This Row],[TOTAL]]/1.21</f>
        <v>0</v>
      </c>
      <c r="I1007" s="183">
        <f>ventas_b_mes11[[#This Row],[IMPORTE NETO]]*0.21</f>
        <v>0</v>
      </c>
      <c r="J1007" s="184"/>
      <c r="K1007" s="184"/>
      <c r="L1007" s="184"/>
      <c r="M1007" s="59"/>
    </row>
    <row r="1008" spans="2:13" x14ac:dyDescent="0.3">
      <c r="B1008" s="178"/>
      <c r="C1008" s="179"/>
      <c r="D1008" s="180"/>
      <c r="E1008" s="181"/>
      <c r="F1008" s="182"/>
      <c r="G1008" s="1" t="str">
        <f>IFERROR(IF(ventas_b_mes11[[#This Row],[CUIT]]="","-",VLOOKUP(ventas_b_mes11[[#This Row],[CUIT]],Lista_CUIT[#All],2,0)),"CUIT NO CARGADO")</f>
        <v>-</v>
      </c>
      <c r="H1008" s="64">
        <f>ventas_b_mes11[[#This Row],[TOTAL]]/1.21</f>
        <v>0</v>
      </c>
      <c r="I1008" s="183">
        <f>ventas_b_mes11[[#This Row],[IMPORTE NETO]]*0.21</f>
        <v>0</v>
      </c>
      <c r="J1008" s="184"/>
      <c r="K1008" s="184"/>
      <c r="L1008" s="184"/>
      <c r="M1008" s="59"/>
    </row>
    <row r="1009" spans="2:13" x14ac:dyDescent="0.3">
      <c r="B1009" s="178"/>
      <c r="C1009" s="179"/>
      <c r="D1009" s="180"/>
      <c r="E1009" s="181"/>
      <c r="F1009" s="182"/>
      <c r="G1009" s="1" t="str">
        <f>IFERROR(IF(ventas_b_mes11[[#This Row],[CUIT]]="","-",VLOOKUP(ventas_b_mes11[[#This Row],[CUIT]],Lista_CUIT[#All],2,0)),"CUIT NO CARGADO")</f>
        <v>-</v>
      </c>
      <c r="H1009" s="64">
        <f>ventas_b_mes11[[#This Row],[TOTAL]]/1.21</f>
        <v>0</v>
      </c>
      <c r="I1009" s="183">
        <f>ventas_b_mes11[[#This Row],[IMPORTE NETO]]*0.21</f>
        <v>0</v>
      </c>
      <c r="J1009" s="184"/>
      <c r="K1009" s="184"/>
      <c r="L1009" s="184"/>
      <c r="M1009" s="59"/>
    </row>
    <row r="1010" spans="2:13" x14ac:dyDescent="0.3">
      <c r="B1010" s="178"/>
      <c r="C1010" s="179"/>
      <c r="D1010" s="180"/>
      <c r="E1010" s="181"/>
      <c r="F1010" s="182"/>
      <c r="G1010" s="1" t="str">
        <f>IFERROR(IF(ventas_b_mes11[[#This Row],[CUIT]]="","-",VLOOKUP(ventas_b_mes11[[#This Row],[CUIT]],Lista_CUIT[#All],2,0)),"CUIT NO CARGADO")</f>
        <v>-</v>
      </c>
      <c r="H1010" s="64">
        <f>ventas_b_mes11[[#This Row],[TOTAL]]/1.21</f>
        <v>0</v>
      </c>
      <c r="I1010" s="183">
        <f>ventas_b_mes11[[#This Row],[IMPORTE NETO]]*0.21</f>
        <v>0</v>
      </c>
      <c r="J1010" s="184"/>
      <c r="K1010" s="184"/>
      <c r="L1010" s="184"/>
      <c r="M1010" s="59"/>
    </row>
    <row r="1011" spans="2:13" x14ac:dyDescent="0.3">
      <c r="B1011" s="178"/>
      <c r="C1011" s="179"/>
      <c r="D1011" s="180"/>
      <c r="E1011" s="181"/>
      <c r="F1011" s="182"/>
      <c r="G1011" s="1" t="str">
        <f>IFERROR(IF(ventas_b_mes11[[#This Row],[CUIT]]="","-",VLOOKUP(ventas_b_mes11[[#This Row],[CUIT]],Lista_CUIT[#All],2,0)),"CUIT NO CARGADO")</f>
        <v>-</v>
      </c>
      <c r="H1011" s="64">
        <f>ventas_b_mes11[[#This Row],[TOTAL]]/1.21</f>
        <v>0</v>
      </c>
      <c r="I1011" s="183">
        <f>ventas_b_mes11[[#This Row],[IMPORTE NETO]]*0.21</f>
        <v>0</v>
      </c>
      <c r="J1011" s="184"/>
      <c r="K1011" s="184"/>
      <c r="L1011" s="184"/>
      <c r="M1011" s="59"/>
    </row>
    <row r="1012" spans="2:13" x14ac:dyDescent="0.3">
      <c r="B1012" s="178"/>
      <c r="C1012" s="179"/>
      <c r="D1012" s="180"/>
      <c r="E1012" s="181"/>
      <c r="F1012" s="182"/>
      <c r="G1012" s="1" t="str">
        <f>IFERROR(IF(ventas_b_mes11[[#This Row],[CUIT]]="","-",VLOOKUP(ventas_b_mes11[[#This Row],[CUIT]],Lista_CUIT[#All],2,0)),"CUIT NO CARGADO")</f>
        <v>-</v>
      </c>
      <c r="H1012" s="64">
        <f>ventas_b_mes11[[#This Row],[TOTAL]]/1.21</f>
        <v>0</v>
      </c>
      <c r="I1012" s="183">
        <f>ventas_b_mes11[[#This Row],[IMPORTE NETO]]*0.21</f>
        <v>0</v>
      </c>
      <c r="J1012" s="184"/>
      <c r="K1012" s="184"/>
      <c r="L1012" s="184"/>
      <c r="M1012" s="59"/>
    </row>
    <row r="1013" spans="2:13" x14ac:dyDescent="0.3">
      <c r="B1013" s="178"/>
      <c r="C1013" s="179"/>
      <c r="D1013" s="180"/>
      <c r="E1013" s="181"/>
      <c r="F1013" s="182"/>
      <c r="G1013" s="1" t="str">
        <f>IFERROR(IF(ventas_b_mes11[[#This Row],[CUIT]]="","-",VLOOKUP(ventas_b_mes11[[#This Row],[CUIT]],Lista_CUIT[#All],2,0)),"CUIT NO CARGADO")</f>
        <v>-</v>
      </c>
      <c r="H1013" s="64">
        <f>ventas_b_mes11[[#This Row],[TOTAL]]/1.21</f>
        <v>0</v>
      </c>
      <c r="I1013" s="183">
        <f>ventas_b_mes11[[#This Row],[IMPORTE NETO]]*0.21</f>
        <v>0</v>
      </c>
      <c r="J1013" s="184"/>
      <c r="K1013" s="184"/>
      <c r="L1013" s="184"/>
      <c r="M1013" s="59"/>
    </row>
    <row r="1014" spans="2:13" x14ac:dyDescent="0.3">
      <c r="B1014" s="178"/>
      <c r="C1014" s="179"/>
      <c r="D1014" s="180"/>
      <c r="E1014" s="181"/>
      <c r="F1014" s="182"/>
      <c r="G1014" s="1" t="str">
        <f>IFERROR(IF(ventas_b_mes11[[#This Row],[CUIT]]="","-",VLOOKUP(ventas_b_mes11[[#This Row],[CUIT]],Lista_CUIT[#All],2,0)),"CUIT NO CARGADO")</f>
        <v>-</v>
      </c>
      <c r="H1014" s="64">
        <f>ventas_b_mes11[[#This Row],[TOTAL]]/1.21</f>
        <v>0</v>
      </c>
      <c r="I1014" s="183">
        <f>ventas_b_mes11[[#This Row],[IMPORTE NETO]]*0.21</f>
        <v>0</v>
      </c>
      <c r="J1014" s="184"/>
      <c r="K1014" s="184"/>
      <c r="L1014" s="184"/>
      <c r="M1014" s="59"/>
    </row>
    <row r="1015" spans="2:13" x14ac:dyDescent="0.3">
      <c r="B1015" s="178"/>
      <c r="C1015" s="179"/>
      <c r="D1015" s="180"/>
      <c r="E1015" s="181"/>
      <c r="F1015" s="182"/>
      <c r="G1015" s="1" t="str">
        <f>IFERROR(IF(ventas_b_mes11[[#This Row],[CUIT]]="","-",VLOOKUP(ventas_b_mes11[[#This Row],[CUIT]],Lista_CUIT[#All],2,0)),"CUIT NO CARGADO")</f>
        <v>-</v>
      </c>
      <c r="H1015" s="64">
        <f>ventas_b_mes11[[#This Row],[TOTAL]]/1.21</f>
        <v>0</v>
      </c>
      <c r="I1015" s="183">
        <f>ventas_b_mes11[[#This Row],[IMPORTE NETO]]*0.21</f>
        <v>0</v>
      </c>
      <c r="J1015" s="184"/>
      <c r="K1015" s="184"/>
      <c r="L1015" s="184"/>
      <c r="M1015" s="59"/>
    </row>
    <row r="1016" spans="2:13" x14ac:dyDescent="0.3">
      <c r="B1016" s="178"/>
      <c r="C1016" s="179"/>
      <c r="D1016" s="180"/>
      <c r="E1016" s="181"/>
      <c r="F1016" s="182"/>
      <c r="G1016" s="1" t="str">
        <f>IFERROR(IF(ventas_b_mes11[[#This Row],[CUIT]]="","-",VLOOKUP(ventas_b_mes11[[#This Row],[CUIT]],Lista_CUIT[#All],2,0)),"CUIT NO CARGADO")</f>
        <v>-</v>
      </c>
      <c r="H1016" s="64">
        <f>ventas_b_mes11[[#This Row],[TOTAL]]/1.21</f>
        <v>0</v>
      </c>
      <c r="I1016" s="183">
        <f>ventas_b_mes11[[#This Row],[IMPORTE NETO]]*0.21</f>
        <v>0</v>
      </c>
      <c r="J1016" s="184"/>
      <c r="K1016" s="184"/>
      <c r="L1016" s="184"/>
      <c r="M1016" s="59"/>
    </row>
    <row r="1017" spans="2:13" x14ac:dyDescent="0.3">
      <c r="B1017" s="178"/>
      <c r="C1017" s="179"/>
      <c r="D1017" s="180"/>
      <c r="E1017" s="181"/>
      <c r="F1017" s="182"/>
      <c r="G1017" s="1" t="str">
        <f>IFERROR(IF(ventas_b_mes11[[#This Row],[CUIT]]="","-",VLOOKUP(ventas_b_mes11[[#This Row],[CUIT]],Lista_CUIT[#All],2,0)),"CUIT NO CARGADO")</f>
        <v>-</v>
      </c>
      <c r="H1017" s="64">
        <f>ventas_b_mes11[[#This Row],[TOTAL]]/1.21</f>
        <v>0</v>
      </c>
      <c r="I1017" s="183">
        <f>ventas_b_mes11[[#This Row],[IMPORTE NETO]]*0.21</f>
        <v>0</v>
      </c>
      <c r="J1017" s="184"/>
      <c r="K1017" s="184"/>
      <c r="L1017" s="184"/>
      <c r="M1017" s="59"/>
    </row>
    <row r="1018" spans="2:13" x14ac:dyDescent="0.3">
      <c r="B1018" s="178"/>
      <c r="C1018" s="179"/>
      <c r="D1018" s="180"/>
      <c r="E1018" s="181"/>
      <c r="F1018" s="182"/>
      <c r="G1018" s="1" t="str">
        <f>IFERROR(IF(ventas_b_mes11[[#This Row],[CUIT]]="","-",VLOOKUP(ventas_b_mes11[[#This Row],[CUIT]],Lista_CUIT[#All],2,0)),"CUIT NO CARGADO")</f>
        <v>-</v>
      </c>
      <c r="H1018" s="64">
        <f>ventas_b_mes11[[#This Row],[TOTAL]]/1.21</f>
        <v>0</v>
      </c>
      <c r="I1018" s="183">
        <f>ventas_b_mes11[[#This Row],[IMPORTE NETO]]*0.21</f>
        <v>0</v>
      </c>
      <c r="J1018" s="184"/>
      <c r="K1018" s="184"/>
      <c r="L1018" s="184"/>
      <c r="M1018" s="59"/>
    </row>
    <row r="1019" spans="2:13" x14ac:dyDescent="0.3">
      <c r="B1019" s="178"/>
      <c r="C1019" s="179"/>
      <c r="D1019" s="180"/>
      <c r="E1019" s="181"/>
      <c r="F1019" s="182"/>
      <c r="G1019" s="1" t="str">
        <f>IFERROR(IF(ventas_b_mes11[[#This Row],[CUIT]]="","-",VLOOKUP(ventas_b_mes11[[#This Row],[CUIT]],Lista_CUIT[#All],2,0)),"CUIT NO CARGADO")</f>
        <v>-</v>
      </c>
      <c r="H1019" s="64">
        <f>ventas_b_mes11[[#This Row],[TOTAL]]/1.21</f>
        <v>0</v>
      </c>
      <c r="I1019" s="183">
        <f>ventas_b_mes11[[#This Row],[IMPORTE NETO]]*0.21</f>
        <v>0</v>
      </c>
      <c r="J1019" s="184"/>
      <c r="K1019" s="184"/>
      <c r="L1019" s="184"/>
      <c r="M1019" s="59"/>
    </row>
    <row r="1020" spans="2:13" x14ac:dyDescent="0.3">
      <c r="B1020" s="178"/>
      <c r="C1020" s="179"/>
      <c r="D1020" s="180"/>
      <c r="E1020" s="181"/>
      <c r="F1020" s="182"/>
      <c r="G1020" s="1" t="str">
        <f>IFERROR(IF(ventas_b_mes11[[#This Row],[CUIT]]="","-",VLOOKUP(ventas_b_mes11[[#This Row],[CUIT]],Lista_CUIT[#All],2,0)),"CUIT NO CARGADO")</f>
        <v>-</v>
      </c>
      <c r="H1020" s="64">
        <f>ventas_b_mes11[[#This Row],[TOTAL]]/1.21</f>
        <v>0</v>
      </c>
      <c r="I1020" s="183">
        <f>ventas_b_mes11[[#This Row],[IMPORTE NETO]]*0.21</f>
        <v>0</v>
      </c>
      <c r="J1020" s="184"/>
      <c r="K1020" s="184"/>
      <c r="L1020" s="184"/>
      <c r="M1020" s="59"/>
    </row>
    <row r="1021" spans="2:13" x14ac:dyDescent="0.3">
      <c r="B1021" s="178"/>
      <c r="C1021" s="179"/>
      <c r="D1021" s="180"/>
      <c r="E1021" s="181"/>
      <c r="F1021" s="182"/>
      <c r="G1021" s="1" t="str">
        <f>IFERROR(IF(ventas_b_mes11[[#This Row],[CUIT]]="","-",VLOOKUP(ventas_b_mes11[[#This Row],[CUIT]],Lista_CUIT[#All],2,0)),"CUIT NO CARGADO")</f>
        <v>-</v>
      </c>
      <c r="H1021" s="64">
        <f>ventas_b_mes11[[#This Row],[TOTAL]]/1.21</f>
        <v>0</v>
      </c>
      <c r="I1021" s="183">
        <f>ventas_b_mes11[[#This Row],[IMPORTE NETO]]*0.21</f>
        <v>0</v>
      </c>
      <c r="J1021" s="184"/>
      <c r="K1021" s="184"/>
      <c r="L1021" s="184"/>
      <c r="M1021" s="59"/>
    </row>
    <row r="1022" spans="2:13" x14ac:dyDescent="0.3">
      <c r="B1022" s="178"/>
      <c r="C1022" s="179"/>
      <c r="D1022" s="180"/>
      <c r="E1022" s="181"/>
      <c r="F1022" s="182"/>
      <c r="G1022" s="1" t="str">
        <f>IFERROR(IF(ventas_b_mes11[[#This Row],[CUIT]]="","-",VLOOKUP(ventas_b_mes11[[#This Row],[CUIT]],Lista_CUIT[#All],2,0)),"CUIT NO CARGADO")</f>
        <v>-</v>
      </c>
      <c r="H1022" s="64">
        <f>ventas_b_mes11[[#This Row],[TOTAL]]/1.21</f>
        <v>0</v>
      </c>
      <c r="I1022" s="183">
        <f>ventas_b_mes11[[#This Row],[IMPORTE NETO]]*0.21</f>
        <v>0</v>
      </c>
      <c r="J1022" s="184"/>
      <c r="K1022" s="184"/>
      <c r="L1022" s="184"/>
      <c r="M1022" s="59"/>
    </row>
    <row r="1023" spans="2:13" x14ac:dyDescent="0.3">
      <c r="B1023" s="178"/>
      <c r="C1023" s="179"/>
      <c r="D1023" s="180"/>
      <c r="E1023" s="181"/>
      <c r="F1023" s="182"/>
      <c r="G1023" s="1" t="str">
        <f>IFERROR(IF(ventas_b_mes11[[#This Row],[CUIT]]="","-",VLOOKUP(ventas_b_mes11[[#This Row],[CUIT]],Lista_CUIT[#All],2,0)),"CUIT NO CARGADO")</f>
        <v>-</v>
      </c>
      <c r="H1023" s="64">
        <f>ventas_b_mes11[[#This Row],[TOTAL]]/1.21</f>
        <v>0</v>
      </c>
      <c r="I1023" s="183">
        <f>ventas_b_mes11[[#This Row],[IMPORTE NETO]]*0.21</f>
        <v>0</v>
      </c>
      <c r="J1023" s="184"/>
      <c r="K1023" s="184"/>
      <c r="L1023" s="184"/>
      <c r="M1023" s="59"/>
    </row>
    <row r="1024" spans="2:13" x14ac:dyDescent="0.3">
      <c r="B1024" s="178"/>
      <c r="C1024" s="179"/>
      <c r="D1024" s="180"/>
      <c r="E1024" s="181"/>
      <c r="F1024" s="182"/>
      <c r="G1024" s="1" t="str">
        <f>IFERROR(IF(ventas_b_mes11[[#This Row],[CUIT]]="","-",VLOOKUP(ventas_b_mes11[[#This Row],[CUIT]],Lista_CUIT[#All],2,0)),"CUIT NO CARGADO")</f>
        <v>-</v>
      </c>
      <c r="H1024" s="64">
        <f>ventas_b_mes11[[#This Row],[TOTAL]]/1.21</f>
        <v>0</v>
      </c>
      <c r="I1024" s="183">
        <f>ventas_b_mes11[[#This Row],[IMPORTE NETO]]*0.21</f>
        <v>0</v>
      </c>
      <c r="J1024" s="184"/>
      <c r="K1024" s="184"/>
      <c r="L1024" s="184"/>
      <c r="M1024" s="59"/>
    </row>
    <row r="1025" spans="2:13" x14ac:dyDescent="0.3">
      <c r="B1025" s="178"/>
      <c r="C1025" s="179"/>
      <c r="D1025" s="180"/>
      <c r="E1025" s="181"/>
      <c r="F1025" s="182"/>
      <c r="G1025" s="1" t="str">
        <f>IFERROR(IF(ventas_b_mes11[[#This Row],[CUIT]]="","-",VLOOKUP(ventas_b_mes11[[#This Row],[CUIT]],Lista_CUIT[#All],2,0)),"CUIT NO CARGADO")</f>
        <v>-</v>
      </c>
      <c r="H1025" s="64">
        <f>ventas_b_mes11[[#This Row],[TOTAL]]/1.21</f>
        <v>0</v>
      </c>
      <c r="I1025" s="183">
        <f>ventas_b_mes11[[#This Row],[IMPORTE NETO]]*0.21</f>
        <v>0</v>
      </c>
      <c r="J1025" s="184"/>
      <c r="K1025" s="184"/>
      <c r="L1025" s="184"/>
      <c r="M1025" s="59"/>
    </row>
    <row r="1026" spans="2:13" x14ac:dyDescent="0.3">
      <c r="B1026" s="178"/>
      <c r="C1026" s="179"/>
      <c r="D1026" s="180"/>
      <c r="E1026" s="181"/>
      <c r="F1026" s="182"/>
      <c r="G1026" s="1" t="str">
        <f>IFERROR(IF(ventas_b_mes11[[#This Row],[CUIT]]="","-",VLOOKUP(ventas_b_mes11[[#This Row],[CUIT]],Lista_CUIT[#All],2,0)),"CUIT NO CARGADO")</f>
        <v>-</v>
      </c>
      <c r="H1026" s="64">
        <f>ventas_b_mes11[[#This Row],[TOTAL]]/1.21</f>
        <v>0</v>
      </c>
      <c r="I1026" s="183">
        <f>ventas_b_mes11[[#This Row],[IMPORTE NETO]]*0.21</f>
        <v>0</v>
      </c>
      <c r="J1026" s="184"/>
      <c r="K1026" s="184"/>
      <c r="L1026" s="184"/>
      <c r="M1026" s="59"/>
    </row>
    <row r="1027" spans="2:13" x14ac:dyDescent="0.3">
      <c r="B1027" s="178"/>
      <c r="C1027" s="179"/>
      <c r="D1027" s="180"/>
      <c r="E1027" s="181"/>
      <c r="F1027" s="182"/>
      <c r="G1027" s="1" t="str">
        <f>IFERROR(IF(ventas_b_mes11[[#This Row],[CUIT]]="","-",VLOOKUP(ventas_b_mes11[[#This Row],[CUIT]],Lista_CUIT[#All],2,0)),"CUIT NO CARGADO")</f>
        <v>-</v>
      </c>
      <c r="H1027" s="64">
        <f>ventas_b_mes11[[#This Row],[TOTAL]]/1.21</f>
        <v>0</v>
      </c>
      <c r="I1027" s="183">
        <f>ventas_b_mes11[[#This Row],[IMPORTE NETO]]*0.21</f>
        <v>0</v>
      </c>
      <c r="J1027" s="184"/>
      <c r="K1027" s="184"/>
      <c r="L1027" s="184"/>
      <c r="M1027" s="59"/>
    </row>
    <row r="1028" spans="2:13" x14ac:dyDescent="0.3">
      <c r="B1028" s="178"/>
      <c r="C1028" s="179"/>
      <c r="D1028" s="180"/>
      <c r="E1028" s="181"/>
      <c r="F1028" s="182"/>
      <c r="G1028" s="1" t="str">
        <f>IFERROR(IF(ventas_b_mes11[[#This Row],[CUIT]]="","-",VLOOKUP(ventas_b_mes11[[#This Row],[CUIT]],Lista_CUIT[#All],2,0)),"CUIT NO CARGADO")</f>
        <v>-</v>
      </c>
      <c r="H1028" s="64">
        <f>ventas_b_mes11[[#This Row],[TOTAL]]/1.21</f>
        <v>0</v>
      </c>
      <c r="I1028" s="183">
        <f>ventas_b_mes11[[#This Row],[IMPORTE NETO]]*0.21</f>
        <v>0</v>
      </c>
      <c r="J1028" s="184"/>
      <c r="K1028" s="184"/>
      <c r="L1028" s="184"/>
      <c r="M1028" s="59"/>
    </row>
    <row r="1029" spans="2:13" x14ac:dyDescent="0.3">
      <c r="B1029" s="178"/>
      <c r="C1029" s="179"/>
      <c r="D1029" s="180"/>
      <c r="E1029" s="181"/>
      <c r="F1029" s="182"/>
      <c r="G1029" s="1" t="str">
        <f>IFERROR(IF(ventas_b_mes11[[#This Row],[CUIT]]="","-",VLOOKUP(ventas_b_mes11[[#This Row],[CUIT]],Lista_CUIT[#All],2,0)),"CUIT NO CARGADO")</f>
        <v>-</v>
      </c>
      <c r="H1029" s="64">
        <f>ventas_b_mes11[[#This Row],[TOTAL]]/1.21</f>
        <v>0</v>
      </c>
      <c r="I1029" s="183">
        <f>ventas_b_mes11[[#This Row],[IMPORTE NETO]]*0.21</f>
        <v>0</v>
      </c>
      <c r="J1029" s="184"/>
      <c r="K1029" s="184"/>
      <c r="L1029" s="184"/>
      <c r="M1029" s="59"/>
    </row>
    <row r="1030" spans="2:13" x14ac:dyDescent="0.3">
      <c r="B1030" s="178"/>
      <c r="C1030" s="179"/>
      <c r="D1030" s="180"/>
      <c r="E1030" s="181"/>
      <c r="F1030" s="182"/>
      <c r="G1030" s="1" t="str">
        <f>IFERROR(IF(ventas_b_mes11[[#This Row],[CUIT]]="","-",VLOOKUP(ventas_b_mes11[[#This Row],[CUIT]],Lista_CUIT[#All],2,0)),"CUIT NO CARGADO")</f>
        <v>-</v>
      </c>
      <c r="H1030" s="64">
        <f>ventas_b_mes11[[#This Row],[TOTAL]]/1.21</f>
        <v>0</v>
      </c>
      <c r="I1030" s="183">
        <f>ventas_b_mes11[[#This Row],[IMPORTE NETO]]*0.21</f>
        <v>0</v>
      </c>
      <c r="J1030" s="184"/>
      <c r="K1030" s="184"/>
      <c r="L1030" s="184"/>
      <c r="M1030" s="59"/>
    </row>
    <row r="1031" spans="2:13" x14ac:dyDescent="0.3">
      <c r="B1031" s="178"/>
      <c r="C1031" s="179"/>
      <c r="D1031" s="180"/>
      <c r="E1031" s="181"/>
      <c r="F1031" s="182"/>
      <c r="G1031" s="1" t="str">
        <f>IFERROR(IF(ventas_b_mes11[[#This Row],[CUIT]]="","-",VLOOKUP(ventas_b_mes11[[#This Row],[CUIT]],Lista_CUIT[#All],2,0)),"CUIT NO CARGADO")</f>
        <v>-</v>
      </c>
      <c r="H1031" s="64">
        <f>ventas_b_mes11[[#This Row],[TOTAL]]/1.21</f>
        <v>0</v>
      </c>
      <c r="I1031" s="183">
        <f>ventas_b_mes11[[#This Row],[IMPORTE NETO]]*0.21</f>
        <v>0</v>
      </c>
      <c r="J1031" s="184"/>
      <c r="K1031" s="184"/>
      <c r="L1031" s="184"/>
      <c r="M1031" s="59"/>
    </row>
    <row r="1032" spans="2:13" x14ac:dyDescent="0.3">
      <c r="B1032" s="178"/>
      <c r="C1032" s="179"/>
      <c r="D1032" s="180"/>
      <c r="E1032" s="181"/>
      <c r="F1032" s="182"/>
      <c r="G1032" s="1" t="str">
        <f>IFERROR(IF(ventas_b_mes11[[#This Row],[CUIT]]="","-",VLOOKUP(ventas_b_mes11[[#This Row],[CUIT]],Lista_CUIT[#All],2,0)),"CUIT NO CARGADO")</f>
        <v>-</v>
      </c>
      <c r="H1032" s="64">
        <f>ventas_b_mes11[[#This Row],[TOTAL]]/1.21</f>
        <v>0</v>
      </c>
      <c r="I1032" s="183">
        <f>ventas_b_mes11[[#This Row],[IMPORTE NETO]]*0.21</f>
        <v>0</v>
      </c>
      <c r="J1032" s="184"/>
      <c r="K1032" s="184"/>
      <c r="L1032" s="184"/>
      <c r="M1032" s="59"/>
    </row>
    <row r="1033" spans="2:13" x14ac:dyDescent="0.3">
      <c r="B1033" s="178"/>
      <c r="C1033" s="179"/>
      <c r="D1033" s="180"/>
      <c r="E1033" s="181"/>
      <c r="F1033" s="182"/>
      <c r="G1033" s="1" t="str">
        <f>IFERROR(IF(ventas_b_mes11[[#This Row],[CUIT]]="","-",VLOOKUP(ventas_b_mes11[[#This Row],[CUIT]],Lista_CUIT[#All],2,0)),"CUIT NO CARGADO")</f>
        <v>-</v>
      </c>
      <c r="H1033" s="64">
        <f>ventas_b_mes11[[#This Row],[TOTAL]]/1.21</f>
        <v>0</v>
      </c>
      <c r="I1033" s="183">
        <f>ventas_b_mes11[[#This Row],[IMPORTE NETO]]*0.21</f>
        <v>0</v>
      </c>
      <c r="J1033" s="184"/>
      <c r="K1033" s="184"/>
      <c r="L1033" s="184"/>
      <c r="M1033" s="59"/>
    </row>
    <row r="1034" spans="2:13" x14ac:dyDescent="0.3">
      <c r="B1034" s="178"/>
      <c r="C1034" s="179"/>
      <c r="D1034" s="180"/>
      <c r="E1034" s="181"/>
      <c r="F1034" s="182"/>
      <c r="G1034" s="1" t="str">
        <f>IFERROR(IF(ventas_b_mes11[[#This Row],[CUIT]]="","-",VLOOKUP(ventas_b_mes11[[#This Row],[CUIT]],Lista_CUIT[#All],2,0)),"CUIT NO CARGADO")</f>
        <v>-</v>
      </c>
      <c r="H1034" s="64">
        <f>ventas_b_mes11[[#This Row],[TOTAL]]/1.21</f>
        <v>0</v>
      </c>
      <c r="I1034" s="183">
        <f>ventas_b_mes11[[#This Row],[IMPORTE NETO]]*0.21</f>
        <v>0</v>
      </c>
      <c r="J1034" s="184"/>
      <c r="K1034" s="184"/>
      <c r="L1034" s="184"/>
      <c r="M1034" s="59"/>
    </row>
    <row r="1035" spans="2:13" x14ac:dyDescent="0.3">
      <c r="B1035" s="178"/>
      <c r="C1035" s="179"/>
      <c r="D1035" s="180"/>
      <c r="E1035" s="181"/>
      <c r="F1035" s="182"/>
      <c r="G1035" s="1" t="str">
        <f>IFERROR(IF(ventas_b_mes11[[#This Row],[CUIT]]="","-",VLOOKUP(ventas_b_mes11[[#This Row],[CUIT]],Lista_CUIT[#All],2,0)),"CUIT NO CARGADO")</f>
        <v>-</v>
      </c>
      <c r="H1035" s="64">
        <f>ventas_b_mes11[[#This Row],[TOTAL]]/1.21</f>
        <v>0</v>
      </c>
      <c r="I1035" s="183">
        <f>ventas_b_mes11[[#This Row],[IMPORTE NETO]]*0.21</f>
        <v>0</v>
      </c>
      <c r="J1035" s="184"/>
      <c r="K1035" s="184"/>
      <c r="L1035" s="184"/>
      <c r="M1035" s="59"/>
    </row>
    <row r="1036" spans="2:13" x14ac:dyDescent="0.3">
      <c r="B1036" s="178"/>
      <c r="C1036" s="179"/>
      <c r="D1036" s="180"/>
      <c r="E1036" s="181"/>
      <c r="F1036" s="182"/>
      <c r="G1036" s="1" t="str">
        <f>IFERROR(IF(ventas_b_mes11[[#This Row],[CUIT]]="","-",VLOOKUP(ventas_b_mes11[[#This Row],[CUIT]],Lista_CUIT[#All],2,0)),"CUIT NO CARGADO")</f>
        <v>-</v>
      </c>
      <c r="H1036" s="64">
        <f>ventas_b_mes11[[#This Row],[TOTAL]]/1.21</f>
        <v>0</v>
      </c>
      <c r="I1036" s="183">
        <f>ventas_b_mes11[[#This Row],[IMPORTE NETO]]*0.21</f>
        <v>0</v>
      </c>
      <c r="J1036" s="184"/>
      <c r="K1036" s="184"/>
      <c r="L1036" s="184"/>
      <c r="M1036" s="59"/>
    </row>
    <row r="1037" spans="2:13" x14ac:dyDescent="0.3">
      <c r="B1037" s="178"/>
      <c r="C1037" s="179"/>
      <c r="D1037" s="180"/>
      <c r="E1037" s="181"/>
      <c r="F1037" s="182"/>
      <c r="G1037" s="1" t="str">
        <f>IFERROR(IF(ventas_b_mes11[[#This Row],[CUIT]]="","-",VLOOKUP(ventas_b_mes11[[#This Row],[CUIT]],Lista_CUIT[#All],2,0)),"CUIT NO CARGADO")</f>
        <v>-</v>
      </c>
      <c r="H1037" s="64">
        <f>ventas_b_mes11[[#This Row],[TOTAL]]/1.21</f>
        <v>0</v>
      </c>
      <c r="I1037" s="183">
        <f>ventas_b_mes11[[#This Row],[IMPORTE NETO]]*0.21</f>
        <v>0</v>
      </c>
      <c r="J1037" s="184"/>
      <c r="K1037" s="184"/>
      <c r="L1037" s="184"/>
      <c r="M1037" s="59"/>
    </row>
    <row r="1038" spans="2:13" x14ac:dyDescent="0.3">
      <c r="B1038" s="178"/>
      <c r="C1038" s="179"/>
      <c r="D1038" s="180"/>
      <c r="E1038" s="181"/>
      <c r="F1038" s="182"/>
      <c r="G1038" s="1" t="str">
        <f>IFERROR(IF(ventas_b_mes11[[#This Row],[CUIT]]="","-",VLOOKUP(ventas_b_mes11[[#This Row],[CUIT]],Lista_CUIT[#All],2,0)),"CUIT NO CARGADO")</f>
        <v>-</v>
      </c>
      <c r="H1038" s="64">
        <f>ventas_b_mes11[[#This Row],[TOTAL]]/1.21</f>
        <v>0</v>
      </c>
      <c r="I1038" s="183">
        <f>ventas_b_mes11[[#This Row],[IMPORTE NETO]]*0.21</f>
        <v>0</v>
      </c>
      <c r="J1038" s="184"/>
      <c r="K1038" s="184"/>
      <c r="L1038" s="184"/>
      <c r="M1038" s="59"/>
    </row>
    <row r="1039" spans="2:13" x14ac:dyDescent="0.3">
      <c r="B1039" s="178"/>
      <c r="C1039" s="179"/>
      <c r="D1039" s="180"/>
      <c r="E1039" s="181"/>
      <c r="F1039" s="182"/>
      <c r="G1039" s="1" t="str">
        <f>IFERROR(IF(ventas_b_mes11[[#This Row],[CUIT]]="","-",VLOOKUP(ventas_b_mes11[[#This Row],[CUIT]],Lista_CUIT[#All],2,0)),"CUIT NO CARGADO")</f>
        <v>-</v>
      </c>
      <c r="H1039" s="64">
        <f>ventas_b_mes11[[#This Row],[TOTAL]]/1.21</f>
        <v>0</v>
      </c>
      <c r="I1039" s="183">
        <f>ventas_b_mes11[[#This Row],[IMPORTE NETO]]*0.21</f>
        <v>0</v>
      </c>
      <c r="J1039" s="184"/>
      <c r="K1039" s="184"/>
      <c r="L1039" s="184"/>
      <c r="M1039" s="59"/>
    </row>
    <row r="1040" spans="2:13" x14ac:dyDescent="0.3">
      <c r="B1040" s="178"/>
      <c r="C1040" s="179"/>
      <c r="D1040" s="180"/>
      <c r="E1040" s="181"/>
      <c r="F1040" s="182"/>
      <c r="G1040" s="1" t="str">
        <f>IFERROR(IF(ventas_b_mes11[[#This Row],[CUIT]]="","-",VLOOKUP(ventas_b_mes11[[#This Row],[CUIT]],Lista_CUIT[#All],2,0)),"CUIT NO CARGADO")</f>
        <v>-</v>
      </c>
      <c r="H1040" s="64">
        <f>ventas_b_mes11[[#This Row],[TOTAL]]/1.21</f>
        <v>0</v>
      </c>
      <c r="I1040" s="183">
        <f>ventas_b_mes11[[#This Row],[IMPORTE NETO]]*0.21</f>
        <v>0</v>
      </c>
      <c r="J1040" s="184"/>
      <c r="K1040" s="184"/>
      <c r="L1040" s="184"/>
      <c r="M1040" s="59"/>
    </row>
    <row r="1041" spans="2:13" x14ac:dyDescent="0.3">
      <c r="B1041" s="178"/>
      <c r="C1041" s="179"/>
      <c r="D1041" s="180"/>
      <c r="E1041" s="181"/>
      <c r="F1041" s="182"/>
      <c r="G1041" s="1" t="str">
        <f>IFERROR(IF(ventas_b_mes11[[#This Row],[CUIT]]="","-",VLOOKUP(ventas_b_mes11[[#This Row],[CUIT]],Lista_CUIT[#All],2,0)),"CUIT NO CARGADO")</f>
        <v>-</v>
      </c>
      <c r="H1041" s="64">
        <f>ventas_b_mes11[[#This Row],[TOTAL]]/1.21</f>
        <v>0</v>
      </c>
      <c r="I1041" s="183">
        <f>ventas_b_mes11[[#This Row],[IMPORTE NETO]]*0.21</f>
        <v>0</v>
      </c>
      <c r="J1041" s="184"/>
      <c r="K1041" s="184"/>
      <c r="L1041" s="184"/>
      <c r="M1041" s="59"/>
    </row>
    <row r="1042" spans="2:13" x14ac:dyDescent="0.3">
      <c r="B1042" s="178"/>
      <c r="C1042" s="179"/>
      <c r="D1042" s="180"/>
      <c r="E1042" s="181"/>
      <c r="F1042" s="182"/>
      <c r="G1042" s="1" t="str">
        <f>IFERROR(IF(ventas_b_mes11[[#This Row],[CUIT]]="","-",VLOOKUP(ventas_b_mes11[[#This Row],[CUIT]],Lista_CUIT[#All],2,0)),"CUIT NO CARGADO")</f>
        <v>-</v>
      </c>
      <c r="H1042" s="64">
        <f>ventas_b_mes11[[#This Row],[TOTAL]]/1.21</f>
        <v>0</v>
      </c>
      <c r="I1042" s="183">
        <f>ventas_b_mes11[[#This Row],[IMPORTE NETO]]*0.21</f>
        <v>0</v>
      </c>
      <c r="J1042" s="184"/>
      <c r="K1042" s="184"/>
      <c r="L1042" s="184"/>
      <c r="M1042" s="59"/>
    </row>
    <row r="1043" spans="2:13" x14ac:dyDescent="0.3">
      <c r="B1043" s="178"/>
      <c r="C1043" s="179"/>
      <c r="D1043" s="180"/>
      <c r="E1043" s="181"/>
      <c r="F1043" s="182"/>
      <c r="G1043" s="1" t="str">
        <f>IFERROR(IF(ventas_b_mes11[[#This Row],[CUIT]]="","-",VLOOKUP(ventas_b_mes11[[#This Row],[CUIT]],Lista_CUIT[#All],2,0)),"CUIT NO CARGADO")</f>
        <v>-</v>
      </c>
      <c r="H1043" s="64">
        <f>ventas_b_mes11[[#This Row],[TOTAL]]/1.21</f>
        <v>0</v>
      </c>
      <c r="I1043" s="183">
        <f>ventas_b_mes11[[#This Row],[IMPORTE NETO]]*0.21</f>
        <v>0</v>
      </c>
      <c r="J1043" s="184"/>
      <c r="K1043" s="184"/>
      <c r="L1043" s="184"/>
      <c r="M1043" s="59"/>
    </row>
    <row r="1044" spans="2:13" x14ac:dyDescent="0.3">
      <c r="B1044" s="178"/>
      <c r="C1044" s="179"/>
      <c r="D1044" s="180"/>
      <c r="E1044" s="181"/>
      <c r="F1044" s="182"/>
      <c r="G1044" s="1" t="str">
        <f>IFERROR(IF(ventas_b_mes11[[#This Row],[CUIT]]="","-",VLOOKUP(ventas_b_mes11[[#This Row],[CUIT]],Lista_CUIT[#All],2,0)),"CUIT NO CARGADO")</f>
        <v>-</v>
      </c>
      <c r="H1044" s="64">
        <f>ventas_b_mes11[[#This Row],[TOTAL]]/1.21</f>
        <v>0</v>
      </c>
      <c r="I1044" s="183">
        <f>ventas_b_mes11[[#This Row],[IMPORTE NETO]]*0.21</f>
        <v>0</v>
      </c>
      <c r="J1044" s="184"/>
      <c r="K1044" s="184"/>
      <c r="L1044" s="184"/>
      <c r="M1044" s="59"/>
    </row>
    <row r="1045" spans="2:13" x14ac:dyDescent="0.3">
      <c r="B1045" s="178"/>
      <c r="C1045" s="179"/>
      <c r="D1045" s="180"/>
      <c r="E1045" s="181"/>
      <c r="F1045" s="182"/>
      <c r="G1045" s="1" t="str">
        <f>IFERROR(IF(ventas_b_mes11[[#This Row],[CUIT]]="","-",VLOOKUP(ventas_b_mes11[[#This Row],[CUIT]],Lista_CUIT[#All],2,0)),"CUIT NO CARGADO")</f>
        <v>-</v>
      </c>
      <c r="H1045" s="64">
        <f>ventas_b_mes11[[#This Row],[TOTAL]]/1.21</f>
        <v>0</v>
      </c>
      <c r="I1045" s="183">
        <f>ventas_b_mes11[[#This Row],[IMPORTE NETO]]*0.21</f>
        <v>0</v>
      </c>
      <c r="J1045" s="184"/>
      <c r="K1045" s="184"/>
      <c r="L1045" s="184"/>
      <c r="M1045" s="59"/>
    </row>
    <row r="1046" spans="2:13" x14ac:dyDescent="0.3">
      <c r="B1046" s="178"/>
      <c r="C1046" s="179"/>
      <c r="D1046" s="180"/>
      <c r="E1046" s="181"/>
      <c r="F1046" s="182"/>
      <c r="G1046" s="1" t="str">
        <f>IFERROR(IF(ventas_b_mes11[[#This Row],[CUIT]]="","-",VLOOKUP(ventas_b_mes11[[#This Row],[CUIT]],Lista_CUIT[#All],2,0)),"CUIT NO CARGADO")</f>
        <v>-</v>
      </c>
      <c r="H1046" s="64">
        <f>ventas_b_mes11[[#This Row],[TOTAL]]/1.21</f>
        <v>0</v>
      </c>
      <c r="I1046" s="183">
        <f>ventas_b_mes11[[#This Row],[IMPORTE NETO]]*0.21</f>
        <v>0</v>
      </c>
      <c r="J1046" s="184"/>
      <c r="K1046" s="184"/>
      <c r="L1046" s="184"/>
      <c r="M1046" s="59"/>
    </row>
    <row r="1047" spans="2:13" x14ac:dyDescent="0.3">
      <c r="B1047" s="178"/>
      <c r="C1047" s="179"/>
      <c r="D1047" s="180"/>
      <c r="E1047" s="181"/>
      <c r="F1047" s="182"/>
      <c r="G1047" s="1" t="str">
        <f>IFERROR(IF(ventas_b_mes11[[#This Row],[CUIT]]="","-",VLOOKUP(ventas_b_mes11[[#This Row],[CUIT]],Lista_CUIT[#All],2,0)),"CUIT NO CARGADO")</f>
        <v>-</v>
      </c>
      <c r="H1047" s="64">
        <f>ventas_b_mes11[[#This Row],[TOTAL]]/1.21</f>
        <v>0</v>
      </c>
      <c r="I1047" s="183">
        <f>ventas_b_mes11[[#This Row],[IMPORTE NETO]]*0.21</f>
        <v>0</v>
      </c>
      <c r="J1047" s="184"/>
      <c r="K1047" s="184"/>
      <c r="L1047" s="184"/>
      <c r="M1047" s="59"/>
    </row>
    <row r="1048" spans="2:13" x14ac:dyDescent="0.3">
      <c r="B1048" s="178"/>
      <c r="C1048" s="179"/>
      <c r="D1048" s="180"/>
      <c r="E1048" s="181"/>
      <c r="F1048" s="182"/>
      <c r="G1048" s="1" t="str">
        <f>IFERROR(IF(ventas_b_mes11[[#This Row],[CUIT]]="","-",VLOOKUP(ventas_b_mes11[[#This Row],[CUIT]],Lista_CUIT[#All],2,0)),"CUIT NO CARGADO")</f>
        <v>-</v>
      </c>
      <c r="H1048" s="64">
        <f>ventas_b_mes11[[#This Row],[TOTAL]]/1.21</f>
        <v>0</v>
      </c>
      <c r="I1048" s="183">
        <f>ventas_b_mes11[[#This Row],[IMPORTE NETO]]*0.21</f>
        <v>0</v>
      </c>
      <c r="J1048" s="184"/>
      <c r="K1048" s="184"/>
      <c r="L1048" s="184"/>
      <c r="M1048" s="59"/>
    </row>
    <row r="1049" spans="2:13" x14ac:dyDescent="0.3">
      <c r="B1049" s="178"/>
      <c r="C1049" s="179"/>
      <c r="D1049" s="180"/>
      <c r="E1049" s="181"/>
      <c r="F1049" s="182"/>
      <c r="G1049" s="1" t="str">
        <f>IFERROR(IF(ventas_b_mes11[[#This Row],[CUIT]]="","-",VLOOKUP(ventas_b_mes11[[#This Row],[CUIT]],Lista_CUIT[#All],2,0)),"CUIT NO CARGADO")</f>
        <v>-</v>
      </c>
      <c r="H1049" s="64">
        <f>ventas_b_mes11[[#This Row],[TOTAL]]/1.21</f>
        <v>0</v>
      </c>
      <c r="I1049" s="183">
        <f>ventas_b_mes11[[#This Row],[IMPORTE NETO]]*0.21</f>
        <v>0</v>
      </c>
      <c r="J1049" s="184"/>
      <c r="K1049" s="184"/>
      <c r="L1049" s="184"/>
      <c r="M1049" s="59"/>
    </row>
    <row r="1050" spans="2:13" x14ac:dyDescent="0.3">
      <c r="B1050" s="178"/>
      <c r="C1050" s="179"/>
      <c r="D1050" s="180"/>
      <c r="E1050" s="181"/>
      <c r="F1050" s="182"/>
      <c r="G1050" s="1" t="str">
        <f>IFERROR(IF(ventas_b_mes11[[#This Row],[CUIT]]="","-",VLOOKUP(ventas_b_mes11[[#This Row],[CUIT]],Lista_CUIT[#All],2,0)),"CUIT NO CARGADO")</f>
        <v>-</v>
      </c>
      <c r="H1050" s="64">
        <f>ventas_b_mes11[[#This Row],[TOTAL]]/1.21</f>
        <v>0</v>
      </c>
      <c r="I1050" s="183">
        <f>ventas_b_mes11[[#This Row],[IMPORTE NETO]]*0.21</f>
        <v>0</v>
      </c>
      <c r="J1050" s="184"/>
      <c r="K1050" s="184"/>
      <c r="L1050" s="184"/>
      <c r="M1050" s="59"/>
    </row>
    <row r="1051" spans="2:13" x14ac:dyDescent="0.3">
      <c r="B1051" s="178"/>
      <c r="C1051" s="179"/>
      <c r="D1051" s="180"/>
      <c r="E1051" s="181"/>
      <c r="F1051" s="182"/>
      <c r="G1051" s="1" t="str">
        <f>IFERROR(IF(ventas_b_mes11[[#This Row],[CUIT]]="","-",VLOOKUP(ventas_b_mes11[[#This Row],[CUIT]],Lista_CUIT[#All],2,0)),"CUIT NO CARGADO")</f>
        <v>-</v>
      </c>
      <c r="H1051" s="64">
        <f>ventas_b_mes11[[#This Row],[TOTAL]]/1.21</f>
        <v>0</v>
      </c>
      <c r="I1051" s="183">
        <f>ventas_b_mes11[[#This Row],[IMPORTE NETO]]*0.21</f>
        <v>0</v>
      </c>
      <c r="J1051" s="184"/>
      <c r="K1051" s="184"/>
      <c r="L1051" s="184"/>
      <c r="M1051" s="59"/>
    </row>
    <row r="1052" spans="2:13" x14ac:dyDescent="0.3">
      <c r="B1052" s="178"/>
      <c r="C1052" s="179"/>
      <c r="D1052" s="180"/>
      <c r="E1052" s="181"/>
      <c r="F1052" s="182"/>
      <c r="G1052" s="1" t="str">
        <f>IFERROR(IF(ventas_b_mes11[[#This Row],[CUIT]]="","-",VLOOKUP(ventas_b_mes11[[#This Row],[CUIT]],Lista_CUIT[#All],2,0)),"CUIT NO CARGADO")</f>
        <v>-</v>
      </c>
      <c r="H1052" s="64">
        <f>ventas_b_mes11[[#This Row],[TOTAL]]/1.21</f>
        <v>0</v>
      </c>
      <c r="I1052" s="183">
        <f>ventas_b_mes11[[#This Row],[IMPORTE NETO]]*0.21</f>
        <v>0</v>
      </c>
      <c r="J1052" s="184"/>
      <c r="K1052" s="184"/>
      <c r="L1052" s="184"/>
      <c r="M1052" s="59"/>
    </row>
    <row r="1053" spans="2:13" x14ac:dyDescent="0.3">
      <c r="B1053" s="178"/>
      <c r="C1053" s="179"/>
      <c r="D1053" s="180"/>
      <c r="E1053" s="181"/>
      <c r="F1053" s="182"/>
      <c r="G1053" s="1" t="str">
        <f>IFERROR(IF(ventas_b_mes11[[#This Row],[CUIT]]="","-",VLOOKUP(ventas_b_mes11[[#This Row],[CUIT]],Lista_CUIT[#All],2,0)),"CUIT NO CARGADO")</f>
        <v>-</v>
      </c>
      <c r="H1053" s="64">
        <f>ventas_b_mes11[[#This Row],[TOTAL]]/1.21</f>
        <v>0</v>
      </c>
      <c r="I1053" s="183">
        <f>ventas_b_mes11[[#This Row],[IMPORTE NETO]]*0.21</f>
        <v>0</v>
      </c>
      <c r="J1053" s="184"/>
      <c r="K1053" s="184"/>
      <c r="L1053" s="184"/>
      <c r="M1053" s="59"/>
    </row>
    <row r="1054" spans="2:13" x14ac:dyDescent="0.3">
      <c r="B1054" s="178"/>
      <c r="C1054" s="179"/>
      <c r="D1054" s="180"/>
      <c r="E1054" s="181"/>
      <c r="F1054" s="182"/>
      <c r="G1054" s="1" t="str">
        <f>IFERROR(IF(ventas_b_mes11[[#This Row],[CUIT]]="","-",VLOOKUP(ventas_b_mes11[[#This Row],[CUIT]],Lista_CUIT[#All],2,0)),"CUIT NO CARGADO")</f>
        <v>-</v>
      </c>
      <c r="H1054" s="64">
        <f>ventas_b_mes11[[#This Row],[TOTAL]]/1.21</f>
        <v>0</v>
      </c>
      <c r="I1054" s="183">
        <f>ventas_b_mes11[[#This Row],[IMPORTE NETO]]*0.21</f>
        <v>0</v>
      </c>
      <c r="J1054" s="184"/>
      <c r="K1054" s="184"/>
      <c r="L1054" s="184"/>
      <c r="M1054" s="59"/>
    </row>
    <row r="1055" spans="2:13" x14ac:dyDescent="0.3">
      <c r="B1055" s="178"/>
      <c r="C1055" s="179"/>
      <c r="D1055" s="180"/>
      <c r="E1055" s="181"/>
      <c r="F1055" s="182"/>
      <c r="G1055" s="1" t="str">
        <f>IFERROR(IF(ventas_b_mes11[[#This Row],[CUIT]]="","-",VLOOKUP(ventas_b_mes11[[#This Row],[CUIT]],Lista_CUIT[#All],2,0)),"CUIT NO CARGADO")</f>
        <v>-</v>
      </c>
      <c r="H1055" s="64">
        <f>ventas_b_mes11[[#This Row],[TOTAL]]/1.21</f>
        <v>0</v>
      </c>
      <c r="I1055" s="183">
        <f>ventas_b_mes11[[#This Row],[IMPORTE NETO]]*0.21</f>
        <v>0</v>
      </c>
      <c r="J1055" s="184"/>
      <c r="K1055" s="184"/>
      <c r="L1055" s="184"/>
      <c r="M1055" s="59"/>
    </row>
    <row r="1056" spans="2:13" x14ac:dyDescent="0.3">
      <c r="B1056" s="178"/>
      <c r="C1056" s="179"/>
      <c r="D1056" s="180"/>
      <c r="E1056" s="181"/>
      <c r="F1056" s="182"/>
      <c r="G1056" s="1" t="str">
        <f>IFERROR(IF(ventas_b_mes11[[#This Row],[CUIT]]="","-",VLOOKUP(ventas_b_mes11[[#This Row],[CUIT]],Lista_CUIT[#All],2,0)),"CUIT NO CARGADO")</f>
        <v>-</v>
      </c>
      <c r="H1056" s="64">
        <f>ventas_b_mes11[[#This Row],[TOTAL]]/1.21</f>
        <v>0</v>
      </c>
      <c r="I1056" s="183">
        <f>ventas_b_mes11[[#This Row],[IMPORTE NETO]]*0.21</f>
        <v>0</v>
      </c>
      <c r="J1056" s="184"/>
      <c r="K1056" s="184"/>
      <c r="L1056" s="184"/>
      <c r="M1056" s="59"/>
    </row>
    <row r="1057" spans="2:13" x14ac:dyDescent="0.3">
      <c r="B1057" s="178"/>
      <c r="C1057" s="179"/>
      <c r="D1057" s="180"/>
      <c r="E1057" s="181"/>
      <c r="F1057" s="182"/>
      <c r="G1057" s="1" t="str">
        <f>IFERROR(IF(ventas_b_mes11[[#This Row],[CUIT]]="","-",VLOOKUP(ventas_b_mes11[[#This Row],[CUIT]],Lista_CUIT[#All],2,0)),"CUIT NO CARGADO")</f>
        <v>-</v>
      </c>
      <c r="H1057" s="64">
        <f>ventas_b_mes11[[#This Row],[TOTAL]]/1.21</f>
        <v>0</v>
      </c>
      <c r="I1057" s="183">
        <f>ventas_b_mes11[[#This Row],[IMPORTE NETO]]*0.21</f>
        <v>0</v>
      </c>
      <c r="J1057" s="184"/>
      <c r="K1057" s="184"/>
      <c r="L1057" s="184"/>
      <c r="M1057" s="59"/>
    </row>
    <row r="1058" spans="2:13" x14ac:dyDescent="0.3">
      <c r="B1058" s="178"/>
      <c r="C1058" s="179"/>
      <c r="D1058" s="180"/>
      <c r="E1058" s="181"/>
      <c r="F1058" s="182"/>
      <c r="G1058" s="1" t="str">
        <f>IFERROR(IF(ventas_b_mes11[[#This Row],[CUIT]]="","-",VLOOKUP(ventas_b_mes11[[#This Row],[CUIT]],Lista_CUIT[#All],2,0)),"CUIT NO CARGADO")</f>
        <v>-</v>
      </c>
      <c r="H1058" s="64">
        <f>ventas_b_mes11[[#This Row],[TOTAL]]/1.21</f>
        <v>0</v>
      </c>
      <c r="I1058" s="183">
        <f>ventas_b_mes11[[#This Row],[IMPORTE NETO]]*0.21</f>
        <v>0</v>
      </c>
      <c r="J1058" s="184"/>
      <c r="K1058" s="184"/>
      <c r="L1058" s="184"/>
      <c r="M1058" s="59"/>
    </row>
    <row r="1059" spans="2:13" x14ac:dyDescent="0.3">
      <c r="B1059" s="178"/>
      <c r="C1059" s="179"/>
      <c r="D1059" s="180"/>
      <c r="E1059" s="181"/>
      <c r="F1059" s="182"/>
      <c r="G1059" s="1" t="str">
        <f>IFERROR(IF(ventas_b_mes11[[#This Row],[CUIT]]="","-",VLOOKUP(ventas_b_mes11[[#This Row],[CUIT]],Lista_CUIT[#All],2,0)),"CUIT NO CARGADO")</f>
        <v>-</v>
      </c>
      <c r="H1059" s="64">
        <f>ventas_b_mes11[[#This Row],[TOTAL]]/1.21</f>
        <v>0</v>
      </c>
      <c r="I1059" s="183">
        <f>ventas_b_mes11[[#This Row],[IMPORTE NETO]]*0.21</f>
        <v>0</v>
      </c>
      <c r="J1059" s="184"/>
      <c r="K1059" s="184"/>
      <c r="L1059" s="184"/>
      <c r="M1059" s="59"/>
    </row>
    <row r="1060" spans="2:13" x14ac:dyDescent="0.3">
      <c r="B1060" s="178"/>
      <c r="C1060" s="179"/>
      <c r="D1060" s="180"/>
      <c r="E1060" s="181"/>
      <c r="F1060" s="182"/>
      <c r="G1060" s="1" t="str">
        <f>IFERROR(IF(ventas_b_mes11[[#This Row],[CUIT]]="","-",VLOOKUP(ventas_b_mes11[[#This Row],[CUIT]],Lista_CUIT[#All],2,0)),"CUIT NO CARGADO")</f>
        <v>-</v>
      </c>
      <c r="H1060" s="64">
        <f>ventas_b_mes11[[#This Row],[TOTAL]]/1.21</f>
        <v>0</v>
      </c>
      <c r="I1060" s="183">
        <f>ventas_b_mes11[[#This Row],[IMPORTE NETO]]*0.21</f>
        <v>0</v>
      </c>
      <c r="J1060" s="184"/>
      <c r="K1060" s="184"/>
      <c r="L1060" s="184"/>
      <c r="M1060" s="59"/>
    </row>
    <row r="1061" spans="2:13" x14ac:dyDescent="0.3">
      <c r="B1061" s="178"/>
      <c r="C1061" s="179"/>
      <c r="D1061" s="180"/>
      <c r="E1061" s="181"/>
      <c r="F1061" s="182"/>
      <c r="G1061" s="1" t="str">
        <f>IFERROR(IF(ventas_b_mes11[[#This Row],[CUIT]]="","-",VLOOKUP(ventas_b_mes11[[#This Row],[CUIT]],Lista_CUIT[#All],2,0)),"CUIT NO CARGADO")</f>
        <v>-</v>
      </c>
      <c r="H1061" s="64">
        <f>ventas_b_mes11[[#This Row],[TOTAL]]/1.21</f>
        <v>0</v>
      </c>
      <c r="I1061" s="183">
        <f>ventas_b_mes11[[#This Row],[IMPORTE NETO]]*0.21</f>
        <v>0</v>
      </c>
      <c r="J1061" s="184"/>
      <c r="K1061" s="184"/>
      <c r="L1061" s="184"/>
      <c r="M1061" s="59"/>
    </row>
    <row r="1062" spans="2:13" x14ac:dyDescent="0.3">
      <c r="B1062" s="178"/>
      <c r="C1062" s="179"/>
      <c r="D1062" s="180"/>
      <c r="E1062" s="181"/>
      <c r="F1062" s="182"/>
      <c r="G1062" s="1" t="str">
        <f>IFERROR(IF(ventas_b_mes11[[#This Row],[CUIT]]="","-",VLOOKUP(ventas_b_mes11[[#This Row],[CUIT]],Lista_CUIT[#All],2,0)),"CUIT NO CARGADO")</f>
        <v>-</v>
      </c>
      <c r="H1062" s="64">
        <f>ventas_b_mes11[[#This Row],[TOTAL]]/1.21</f>
        <v>0</v>
      </c>
      <c r="I1062" s="183">
        <f>ventas_b_mes11[[#This Row],[IMPORTE NETO]]*0.21</f>
        <v>0</v>
      </c>
      <c r="J1062" s="184"/>
      <c r="K1062" s="184"/>
      <c r="L1062" s="184"/>
      <c r="M1062" s="59"/>
    </row>
    <row r="1063" spans="2:13" x14ac:dyDescent="0.3">
      <c r="B1063" s="178"/>
      <c r="C1063" s="179"/>
      <c r="D1063" s="180"/>
      <c r="E1063" s="181"/>
      <c r="F1063" s="182"/>
      <c r="G1063" s="1" t="str">
        <f>IFERROR(IF(ventas_b_mes11[[#This Row],[CUIT]]="","-",VLOOKUP(ventas_b_mes11[[#This Row],[CUIT]],Lista_CUIT[#All],2,0)),"CUIT NO CARGADO")</f>
        <v>-</v>
      </c>
      <c r="H1063" s="64">
        <f>ventas_b_mes11[[#This Row],[TOTAL]]/1.21</f>
        <v>0</v>
      </c>
      <c r="I1063" s="183">
        <f>ventas_b_mes11[[#This Row],[IMPORTE NETO]]*0.21</f>
        <v>0</v>
      </c>
      <c r="J1063" s="184"/>
      <c r="K1063" s="184"/>
      <c r="L1063" s="184"/>
      <c r="M1063" s="59"/>
    </row>
    <row r="1064" spans="2:13" x14ac:dyDescent="0.3">
      <c r="B1064" s="178"/>
      <c r="C1064" s="179"/>
      <c r="D1064" s="180"/>
      <c r="E1064" s="181"/>
      <c r="F1064" s="182"/>
      <c r="G1064" s="1" t="str">
        <f>IFERROR(IF(ventas_b_mes11[[#This Row],[CUIT]]="","-",VLOOKUP(ventas_b_mes11[[#This Row],[CUIT]],Lista_CUIT[#All],2,0)),"CUIT NO CARGADO")</f>
        <v>-</v>
      </c>
      <c r="H1064" s="64">
        <f>ventas_b_mes11[[#This Row],[TOTAL]]/1.21</f>
        <v>0</v>
      </c>
      <c r="I1064" s="183">
        <f>ventas_b_mes11[[#This Row],[IMPORTE NETO]]*0.21</f>
        <v>0</v>
      </c>
      <c r="J1064" s="184"/>
      <c r="K1064" s="184"/>
      <c r="L1064" s="184"/>
      <c r="M1064" s="59"/>
    </row>
    <row r="1065" spans="2:13" x14ac:dyDescent="0.3">
      <c r="B1065" s="178"/>
      <c r="C1065" s="179"/>
      <c r="D1065" s="180"/>
      <c r="E1065" s="181"/>
      <c r="F1065" s="182"/>
      <c r="G1065" s="1" t="str">
        <f>IFERROR(IF(ventas_b_mes11[[#This Row],[CUIT]]="","-",VLOOKUP(ventas_b_mes11[[#This Row],[CUIT]],Lista_CUIT[#All],2,0)),"CUIT NO CARGADO")</f>
        <v>-</v>
      </c>
      <c r="H1065" s="64">
        <f>ventas_b_mes11[[#This Row],[TOTAL]]/1.21</f>
        <v>0</v>
      </c>
      <c r="I1065" s="183">
        <f>ventas_b_mes11[[#This Row],[IMPORTE NETO]]*0.21</f>
        <v>0</v>
      </c>
      <c r="J1065" s="184"/>
      <c r="K1065" s="184"/>
      <c r="L1065" s="184"/>
      <c r="M1065" s="59"/>
    </row>
    <row r="1066" spans="2:13" x14ac:dyDescent="0.3">
      <c r="B1066" s="178"/>
      <c r="C1066" s="179"/>
      <c r="D1066" s="180"/>
      <c r="E1066" s="181"/>
      <c r="F1066" s="182"/>
      <c r="G1066" s="1" t="str">
        <f>IFERROR(IF(ventas_b_mes11[[#This Row],[CUIT]]="","-",VLOOKUP(ventas_b_mes11[[#This Row],[CUIT]],Lista_CUIT[#All],2,0)),"CUIT NO CARGADO")</f>
        <v>-</v>
      </c>
      <c r="H1066" s="64">
        <f>ventas_b_mes11[[#This Row],[TOTAL]]/1.21</f>
        <v>0</v>
      </c>
      <c r="I1066" s="183">
        <f>ventas_b_mes11[[#This Row],[IMPORTE NETO]]*0.21</f>
        <v>0</v>
      </c>
      <c r="J1066" s="184"/>
      <c r="K1066" s="184"/>
      <c r="L1066" s="184"/>
      <c r="M1066" s="59"/>
    </row>
    <row r="1067" spans="2:13" x14ac:dyDescent="0.3">
      <c r="B1067" s="178"/>
      <c r="C1067" s="179"/>
      <c r="D1067" s="180"/>
      <c r="E1067" s="181"/>
      <c r="F1067" s="182"/>
      <c r="G1067" s="1" t="str">
        <f>IFERROR(IF(ventas_b_mes11[[#This Row],[CUIT]]="","-",VLOOKUP(ventas_b_mes11[[#This Row],[CUIT]],Lista_CUIT[#All],2,0)),"CUIT NO CARGADO")</f>
        <v>-</v>
      </c>
      <c r="H1067" s="64">
        <f>ventas_b_mes11[[#This Row],[TOTAL]]/1.21</f>
        <v>0</v>
      </c>
      <c r="I1067" s="183">
        <f>ventas_b_mes11[[#This Row],[IMPORTE NETO]]*0.21</f>
        <v>0</v>
      </c>
      <c r="J1067" s="184"/>
      <c r="K1067" s="184"/>
      <c r="L1067" s="184"/>
      <c r="M1067" s="59"/>
    </row>
    <row r="1068" spans="2:13" x14ac:dyDescent="0.3">
      <c r="B1068" s="178"/>
      <c r="C1068" s="179"/>
      <c r="D1068" s="180"/>
      <c r="E1068" s="181"/>
      <c r="F1068" s="182"/>
      <c r="G1068" s="1" t="str">
        <f>IFERROR(IF(ventas_b_mes11[[#This Row],[CUIT]]="","-",VLOOKUP(ventas_b_mes11[[#This Row],[CUIT]],Lista_CUIT[#All],2,0)),"CUIT NO CARGADO")</f>
        <v>-</v>
      </c>
      <c r="H1068" s="64">
        <f>ventas_b_mes11[[#This Row],[TOTAL]]/1.21</f>
        <v>0</v>
      </c>
      <c r="I1068" s="183">
        <f>ventas_b_mes11[[#This Row],[IMPORTE NETO]]*0.21</f>
        <v>0</v>
      </c>
      <c r="J1068" s="184"/>
      <c r="K1068" s="184"/>
      <c r="L1068" s="184"/>
      <c r="M1068" s="59"/>
    </row>
    <row r="1069" spans="2:13" x14ac:dyDescent="0.3">
      <c r="B1069" s="178"/>
      <c r="C1069" s="179"/>
      <c r="D1069" s="180"/>
      <c r="E1069" s="181"/>
      <c r="F1069" s="182"/>
      <c r="G1069" s="1" t="str">
        <f>IFERROR(IF(ventas_b_mes11[[#This Row],[CUIT]]="","-",VLOOKUP(ventas_b_mes11[[#This Row],[CUIT]],Lista_CUIT[#All],2,0)),"CUIT NO CARGADO")</f>
        <v>-</v>
      </c>
      <c r="H1069" s="64">
        <f>ventas_b_mes11[[#This Row],[TOTAL]]/1.21</f>
        <v>0</v>
      </c>
      <c r="I1069" s="183">
        <f>ventas_b_mes11[[#This Row],[IMPORTE NETO]]*0.21</f>
        <v>0</v>
      </c>
      <c r="J1069" s="184"/>
      <c r="K1069" s="184"/>
      <c r="L1069" s="184"/>
      <c r="M1069" s="59"/>
    </row>
    <row r="1070" spans="2:13" x14ac:dyDescent="0.3">
      <c r="B1070" s="178"/>
      <c r="C1070" s="179"/>
      <c r="D1070" s="180"/>
      <c r="E1070" s="181"/>
      <c r="F1070" s="182"/>
      <c r="G1070" s="1" t="str">
        <f>IFERROR(IF(ventas_b_mes11[[#This Row],[CUIT]]="","-",VLOOKUP(ventas_b_mes11[[#This Row],[CUIT]],Lista_CUIT[#All],2,0)),"CUIT NO CARGADO")</f>
        <v>-</v>
      </c>
      <c r="H1070" s="64">
        <f>ventas_b_mes11[[#This Row],[TOTAL]]/1.21</f>
        <v>0</v>
      </c>
      <c r="I1070" s="183">
        <f>ventas_b_mes11[[#This Row],[IMPORTE NETO]]*0.21</f>
        <v>0</v>
      </c>
      <c r="J1070" s="184"/>
      <c r="K1070" s="184"/>
      <c r="L1070" s="184"/>
      <c r="M1070" s="59"/>
    </row>
    <row r="1071" spans="2:13" x14ac:dyDescent="0.3">
      <c r="B1071" s="178"/>
      <c r="C1071" s="179"/>
      <c r="D1071" s="180"/>
      <c r="E1071" s="181"/>
      <c r="F1071" s="182"/>
      <c r="G1071" s="1" t="str">
        <f>IFERROR(IF(ventas_b_mes11[[#This Row],[CUIT]]="","-",VLOOKUP(ventas_b_mes11[[#This Row],[CUIT]],Lista_CUIT[#All],2,0)),"CUIT NO CARGADO")</f>
        <v>-</v>
      </c>
      <c r="H1071" s="64">
        <f>ventas_b_mes11[[#This Row],[TOTAL]]/1.21</f>
        <v>0</v>
      </c>
      <c r="I1071" s="183">
        <f>ventas_b_mes11[[#This Row],[IMPORTE NETO]]*0.21</f>
        <v>0</v>
      </c>
      <c r="J1071" s="184"/>
      <c r="K1071" s="184"/>
      <c r="L1071" s="184"/>
      <c r="M1071" s="59"/>
    </row>
    <row r="1072" spans="2:13" x14ac:dyDescent="0.3">
      <c r="B1072" s="178"/>
      <c r="C1072" s="179"/>
      <c r="D1072" s="180"/>
      <c r="E1072" s="181"/>
      <c r="F1072" s="182"/>
      <c r="G1072" s="1" t="str">
        <f>IFERROR(IF(ventas_b_mes11[[#This Row],[CUIT]]="","-",VLOOKUP(ventas_b_mes11[[#This Row],[CUIT]],Lista_CUIT[#All],2,0)),"CUIT NO CARGADO")</f>
        <v>-</v>
      </c>
      <c r="H1072" s="64">
        <f>ventas_b_mes11[[#This Row],[TOTAL]]/1.21</f>
        <v>0</v>
      </c>
      <c r="I1072" s="183">
        <f>ventas_b_mes11[[#This Row],[IMPORTE NETO]]*0.21</f>
        <v>0</v>
      </c>
      <c r="J1072" s="184"/>
      <c r="K1072" s="184"/>
      <c r="L1072" s="184"/>
      <c r="M1072" s="59"/>
    </row>
    <row r="1073" spans="2:13" x14ac:dyDescent="0.3">
      <c r="B1073" s="178"/>
      <c r="C1073" s="179"/>
      <c r="D1073" s="180"/>
      <c r="E1073" s="181"/>
      <c r="F1073" s="182"/>
      <c r="G1073" s="1" t="str">
        <f>IFERROR(IF(ventas_b_mes11[[#This Row],[CUIT]]="","-",VLOOKUP(ventas_b_mes11[[#This Row],[CUIT]],Lista_CUIT[#All],2,0)),"CUIT NO CARGADO")</f>
        <v>-</v>
      </c>
      <c r="H1073" s="64">
        <f>ventas_b_mes11[[#This Row],[TOTAL]]/1.21</f>
        <v>0</v>
      </c>
      <c r="I1073" s="183">
        <f>ventas_b_mes11[[#This Row],[IMPORTE NETO]]*0.21</f>
        <v>0</v>
      </c>
      <c r="J1073" s="184"/>
      <c r="K1073" s="184"/>
      <c r="L1073" s="184"/>
      <c r="M1073" s="59"/>
    </row>
    <row r="1074" spans="2:13" x14ac:dyDescent="0.3">
      <c r="B1074" s="178"/>
      <c r="C1074" s="179"/>
      <c r="D1074" s="180"/>
      <c r="E1074" s="181"/>
      <c r="F1074" s="182"/>
      <c r="G1074" s="1" t="str">
        <f>IFERROR(IF(ventas_b_mes11[[#This Row],[CUIT]]="","-",VLOOKUP(ventas_b_mes11[[#This Row],[CUIT]],Lista_CUIT[#All],2,0)),"CUIT NO CARGADO")</f>
        <v>-</v>
      </c>
      <c r="H1074" s="64">
        <f>ventas_b_mes11[[#This Row],[TOTAL]]/1.21</f>
        <v>0</v>
      </c>
      <c r="I1074" s="183">
        <f>ventas_b_mes11[[#This Row],[IMPORTE NETO]]*0.21</f>
        <v>0</v>
      </c>
      <c r="J1074" s="184"/>
      <c r="K1074" s="184"/>
      <c r="L1074" s="184"/>
      <c r="M1074" s="59"/>
    </row>
    <row r="1075" spans="2:13" x14ac:dyDescent="0.3">
      <c r="B1075" s="178"/>
      <c r="C1075" s="179"/>
      <c r="D1075" s="180"/>
      <c r="E1075" s="181"/>
      <c r="F1075" s="182"/>
      <c r="G1075" s="1" t="str">
        <f>IFERROR(IF(ventas_b_mes11[[#This Row],[CUIT]]="","-",VLOOKUP(ventas_b_mes11[[#This Row],[CUIT]],Lista_CUIT[#All],2,0)),"CUIT NO CARGADO")</f>
        <v>-</v>
      </c>
      <c r="H1075" s="64">
        <f>ventas_b_mes11[[#This Row],[TOTAL]]/1.21</f>
        <v>0</v>
      </c>
      <c r="I1075" s="183">
        <f>ventas_b_mes11[[#This Row],[IMPORTE NETO]]*0.21</f>
        <v>0</v>
      </c>
      <c r="J1075" s="184"/>
      <c r="K1075" s="184"/>
      <c r="L1075" s="184"/>
      <c r="M1075" s="59"/>
    </row>
    <row r="1076" spans="2:13" x14ac:dyDescent="0.3">
      <c r="B1076" s="178"/>
      <c r="C1076" s="179"/>
      <c r="D1076" s="180"/>
      <c r="E1076" s="181"/>
      <c r="F1076" s="182"/>
      <c r="G1076" s="1" t="str">
        <f>IFERROR(IF(ventas_b_mes11[[#This Row],[CUIT]]="","-",VLOOKUP(ventas_b_mes11[[#This Row],[CUIT]],Lista_CUIT[#All],2,0)),"CUIT NO CARGADO")</f>
        <v>-</v>
      </c>
      <c r="H1076" s="64">
        <f>ventas_b_mes11[[#This Row],[TOTAL]]/1.21</f>
        <v>0</v>
      </c>
      <c r="I1076" s="183">
        <f>ventas_b_mes11[[#This Row],[IMPORTE NETO]]*0.21</f>
        <v>0</v>
      </c>
      <c r="J1076" s="184"/>
      <c r="K1076" s="184"/>
      <c r="L1076" s="184"/>
      <c r="M1076" s="59"/>
    </row>
    <row r="1077" spans="2:13" x14ac:dyDescent="0.3">
      <c r="B1077" s="178"/>
      <c r="C1077" s="179"/>
      <c r="D1077" s="180"/>
      <c r="E1077" s="181"/>
      <c r="F1077" s="182"/>
      <c r="G1077" s="1" t="str">
        <f>IFERROR(IF(ventas_b_mes11[[#This Row],[CUIT]]="","-",VLOOKUP(ventas_b_mes11[[#This Row],[CUIT]],Lista_CUIT[#All],2,0)),"CUIT NO CARGADO")</f>
        <v>-</v>
      </c>
      <c r="H1077" s="64">
        <f>ventas_b_mes11[[#This Row],[TOTAL]]/1.21</f>
        <v>0</v>
      </c>
      <c r="I1077" s="183">
        <f>ventas_b_mes11[[#This Row],[IMPORTE NETO]]*0.21</f>
        <v>0</v>
      </c>
      <c r="J1077" s="184"/>
      <c r="K1077" s="184"/>
      <c r="L1077" s="184"/>
      <c r="M1077" s="59"/>
    </row>
    <row r="1078" spans="2:13" x14ac:dyDescent="0.3">
      <c r="B1078" s="178"/>
      <c r="C1078" s="179"/>
      <c r="D1078" s="180"/>
      <c r="E1078" s="181"/>
      <c r="F1078" s="182"/>
      <c r="G1078" s="1" t="str">
        <f>IFERROR(IF(ventas_b_mes11[[#This Row],[CUIT]]="","-",VLOOKUP(ventas_b_mes11[[#This Row],[CUIT]],Lista_CUIT[#All],2,0)),"CUIT NO CARGADO")</f>
        <v>-</v>
      </c>
      <c r="H1078" s="64">
        <f>ventas_b_mes11[[#This Row],[TOTAL]]/1.21</f>
        <v>0</v>
      </c>
      <c r="I1078" s="183">
        <f>ventas_b_mes11[[#This Row],[IMPORTE NETO]]*0.21</f>
        <v>0</v>
      </c>
      <c r="J1078" s="184"/>
      <c r="K1078" s="184"/>
      <c r="L1078" s="184"/>
      <c r="M1078" s="59"/>
    </row>
    <row r="1079" spans="2:13" x14ac:dyDescent="0.3">
      <c r="B1079" s="178"/>
      <c r="C1079" s="179"/>
      <c r="D1079" s="180"/>
      <c r="E1079" s="181"/>
      <c r="F1079" s="182"/>
      <c r="G1079" s="1" t="str">
        <f>IFERROR(IF(ventas_b_mes11[[#This Row],[CUIT]]="","-",VLOOKUP(ventas_b_mes11[[#This Row],[CUIT]],Lista_CUIT[#All],2,0)),"CUIT NO CARGADO")</f>
        <v>-</v>
      </c>
      <c r="H1079" s="64">
        <f>ventas_b_mes11[[#This Row],[TOTAL]]/1.21</f>
        <v>0</v>
      </c>
      <c r="I1079" s="183">
        <f>ventas_b_mes11[[#This Row],[IMPORTE NETO]]*0.21</f>
        <v>0</v>
      </c>
      <c r="J1079" s="184"/>
      <c r="K1079" s="184"/>
      <c r="L1079" s="184"/>
      <c r="M1079" s="59"/>
    </row>
    <row r="1080" spans="2:13" x14ac:dyDescent="0.3">
      <c r="B1080" s="178"/>
      <c r="C1080" s="179"/>
      <c r="D1080" s="180"/>
      <c r="E1080" s="181"/>
      <c r="F1080" s="182"/>
      <c r="G1080" s="1" t="str">
        <f>IFERROR(IF(ventas_b_mes11[[#This Row],[CUIT]]="","-",VLOOKUP(ventas_b_mes11[[#This Row],[CUIT]],Lista_CUIT[#All],2,0)),"CUIT NO CARGADO")</f>
        <v>-</v>
      </c>
      <c r="H1080" s="64">
        <f>ventas_b_mes11[[#This Row],[TOTAL]]/1.21</f>
        <v>0</v>
      </c>
      <c r="I1080" s="183">
        <f>ventas_b_mes11[[#This Row],[IMPORTE NETO]]*0.21</f>
        <v>0</v>
      </c>
      <c r="J1080" s="184"/>
      <c r="K1080" s="184"/>
      <c r="L1080" s="184"/>
      <c r="M1080" s="59"/>
    </row>
    <row r="1081" spans="2:13" x14ac:dyDescent="0.3">
      <c r="B1081" s="178"/>
      <c r="C1081" s="179"/>
      <c r="D1081" s="180"/>
      <c r="E1081" s="181"/>
      <c r="F1081" s="182"/>
      <c r="G1081" s="1" t="str">
        <f>IFERROR(IF(ventas_b_mes11[[#This Row],[CUIT]]="","-",VLOOKUP(ventas_b_mes11[[#This Row],[CUIT]],Lista_CUIT[#All],2,0)),"CUIT NO CARGADO")</f>
        <v>-</v>
      </c>
      <c r="H1081" s="64">
        <f>ventas_b_mes11[[#This Row],[TOTAL]]/1.21</f>
        <v>0</v>
      </c>
      <c r="I1081" s="183">
        <f>ventas_b_mes11[[#This Row],[IMPORTE NETO]]*0.21</f>
        <v>0</v>
      </c>
      <c r="J1081" s="184"/>
      <c r="K1081" s="184"/>
      <c r="L1081" s="184"/>
      <c r="M1081" s="59"/>
    </row>
    <row r="1082" spans="2:13" x14ac:dyDescent="0.3">
      <c r="B1082" s="178"/>
      <c r="C1082" s="179"/>
      <c r="D1082" s="180"/>
      <c r="E1082" s="181"/>
      <c r="F1082" s="182"/>
      <c r="G1082" s="1" t="str">
        <f>IFERROR(IF(ventas_b_mes11[[#This Row],[CUIT]]="","-",VLOOKUP(ventas_b_mes11[[#This Row],[CUIT]],Lista_CUIT[#All],2,0)),"CUIT NO CARGADO")</f>
        <v>-</v>
      </c>
      <c r="H1082" s="64">
        <f>ventas_b_mes11[[#This Row],[TOTAL]]/1.21</f>
        <v>0</v>
      </c>
      <c r="I1082" s="183">
        <f>ventas_b_mes11[[#This Row],[IMPORTE NETO]]*0.21</f>
        <v>0</v>
      </c>
      <c r="J1082" s="184"/>
      <c r="K1082" s="184"/>
      <c r="L1082" s="184"/>
      <c r="M1082" s="59"/>
    </row>
    <row r="1083" spans="2:13" x14ac:dyDescent="0.3">
      <c r="B1083" s="178"/>
      <c r="C1083" s="179"/>
      <c r="D1083" s="180"/>
      <c r="E1083" s="181"/>
      <c r="F1083" s="182"/>
      <c r="G1083" s="1" t="str">
        <f>IFERROR(IF(ventas_b_mes11[[#This Row],[CUIT]]="","-",VLOOKUP(ventas_b_mes11[[#This Row],[CUIT]],Lista_CUIT[#All],2,0)),"CUIT NO CARGADO")</f>
        <v>-</v>
      </c>
      <c r="H1083" s="64">
        <f>ventas_b_mes11[[#This Row],[TOTAL]]/1.21</f>
        <v>0</v>
      </c>
      <c r="I1083" s="183">
        <f>ventas_b_mes11[[#This Row],[IMPORTE NETO]]*0.21</f>
        <v>0</v>
      </c>
      <c r="J1083" s="184"/>
      <c r="K1083" s="184"/>
      <c r="L1083" s="184"/>
      <c r="M1083" s="59"/>
    </row>
    <row r="1084" spans="2:13" x14ac:dyDescent="0.3">
      <c r="B1084" s="178"/>
      <c r="C1084" s="179"/>
      <c r="D1084" s="180"/>
      <c r="E1084" s="181"/>
      <c r="F1084" s="182"/>
      <c r="G1084" s="1" t="str">
        <f>IFERROR(IF(ventas_b_mes11[[#This Row],[CUIT]]="","-",VLOOKUP(ventas_b_mes11[[#This Row],[CUIT]],Lista_CUIT[#All],2,0)),"CUIT NO CARGADO")</f>
        <v>-</v>
      </c>
      <c r="H1084" s="64">
        <f>ventas_b_mes11[[#This Row],[TOTAL]]/1.21</f>
        <v>0</v>
      </c>
      <c r="I1084" s="183">
        <f>ventas_b_mes11[[#This Row],[IMPORTE NETO]]*0.21</f>
        <v>0</v>
      </c>
      <c r="J1084" s="184"/>
      <c r="K1084" s="184"/>
      <c r="L1084" s="184"/>
      <c r="M1084" s="59"/>
    </row>
    <row r="1085" spans="2:13" x14ac:dyDescent="0.3">
      <c r="B1085" s="178"/>
      <c r="C1085" s="179"/>
      <c r="D1085" s="180"/>
      <c r="E1085" s="181"/>
      <c r="F1085" s="182"/>
      <c r="G1085" s="1" t="str">
        <f>IFERROR(IF(ventas_b_mes11[[#This Row],[CUIT]]="","-",VLOOKUP(ventas_b_mes11[[#This Row],[CUIT]],Lista_CUIT[#All],2,0)),"CUIT NO CARGADO")</f>
        <v>-</v>
      </c>
      <c r="H1085" s="64">
        <f>ventas_b_mes11[[#This Row],[TOTAL]]/1.21</f>
        <v>0</v>
      </c>
      <c r="I1085" s="183">
        <f>ventas_b_mes11[[#This Row],[IMPORTE NETO]]*0.21</f>
        <v>0</v>
      </c>
      <c r="J1085" s="184"/>
      <c r="K1085" s="184"/>
      <c r="L1085" s="184"/>
      <c r="M1085" s="59"/>
    </row>
    <row r="1086" spans="2:13" x14ac:dyDescent="0.3">
      <c r="B1086" s="178"/>
      <c r="C1086" s="179"/>
      <c r="D1086" s="180"/>
      <c r="E1086" s="181"/>
      <c r="F1086" s="182"/>
      <c r="G1086" s="1" t="str">
        <f>IFERROR(IF(ventas_b_mes11[[#This Row],[CUIT]]="","-",VLOOKUP(ventas_b_mes11[[#This Row],[CUIT]],Lista_CUIT[#All],2,0)),"CUIT NO CARGADO")</f>
        <v>-</v>
      </c>
      <c r="H1086" s="64">
        <f>ventas_b_mes11[[#This Row],[TOTAL]]/1.21</f>
        <v>0</v>
      </c>
      <c r="I1086" s="183">
        <f>ventas_b_mes11[[#This Row],[IMPORTE NETO]]*0.21</f>
        <v>0</v>
      </c>
      <c r="J1086" s="184"/>
      <c r="K1086" s="184"/>
      <c r="L1086" s="184"/>
      <c r="M1086" s="59"/>
    </row>
    <row r="1087" spans="2:13" x14ac:dyDescent="0.3">
      <c r="B1087" s="178"/>
      <c r="C1087" s="179"/>
      <c r="D1087" s="180"/>
      <c r="E1087" s="181"/>
      <c r="F1087" s="182"/>
      <c r="G1087" s="1" t="str">
        <f>IFERROR(IF(ventas_b_mes11[[#This Row],[CUIT]]="","-",VLOOKUP(ventas_b_mes11[[#This Row],[CUIT]],Lista_CUIT[#All],2,0)),"CUIT NO CARGADO")</f>
        <v>-</v>
      </c>
      <c r="H1087" s="64">
        <f>ventas_b_mes11[[#This Row],[TOTAL]]/1.21</f>
        <v>0</v>
      </c>
      <c r="I1087" s="183">
        <f>ventas_b_mes11[[#This Row],[IMPORTE NETO]]*0.21</f>
        <v>0</v>
      </c>
      <c r="J1087" s="184"/>
      <c r="K1087" s="184"/>
      <c r="L1087" s="184"/>
      <c r="M1087" s="59"/>
    </row>
    <row r="1088" spans="2:13" x14ac:dyDescent="0.3">
      <c r="B1088" s="178"/>
      <c r="C1088" s="179"/>
      <c r="D1088" s="180"/>
      <c r="E1088" s="181"/>
      <c r="F1088" s="182"/>
      <c r="G1088" s="1" t="str">
        <f>IFERROR(IF(ventas_b_mes11[[#This Row],[CUIT]]="","-",VLOOKUP(ventas_b_mes11[[#This Row],[CUIT]],Lista_CUIT[#All],2,0)),"CUIT NO CARGADO")</f>
        <v>-</v>
      </c>
      <c r="H1088" s="64">
        <f>ventas_b_mes11[[#This Row],[TOTAL]]/1.21</f>
        <v>0</v>
      </c>
      <c r="I1088" s="183">
        <f>ventas_b_mes11[[#This Row],[IMPORTE NETO]]*0.21</f>
        <v>0</v>
      </c>
      <c r="J1088" s="184"/>
      <c r="K1088" s="184"/>
      <c r="L1088" s="184"/>
      <c r="M1088" s="59"/>
    </row>
    <row r="1089" spans="2:13" x14ac:dyDescent="0.3">
      <c r="B1089" s="178"/>
      <c r="C1089" s="179"/>
      <c r="D1089" s="180"/>
      <c r="E1089" s="181"/>
      <c r="F1089" s="182"/>
      <c r="G1089" s="1" t="str">
        <f>IFERROR(IF(ventas_b_mes11[[#This Row],[CUIT]]="","-",VLOOKUP(ventas_b_mes11[[#This Row],[CUIT]],Lista_CUIT[#All],2,0)),"CUIT NO CARGADO")</f>
        <v>-</v>
      </c>
      <c r="H1089" s="64">
        <f>ventas_b_mes11[[#This Row],[TOTAL]]/1.21</f>
        <v>0</v>
      </c>
      <c r="I1089" s="183">
        <f>ventas_b_mes11[[#This Row],[IMPORTE NETO]]*0.21</f>
        <v>0</v>
      </c>
      <c r="J1089" s="184"/>
      <c r="K1089" s="184"/>
      <c r="L1089" s="184"/>
      <c r="M1089" s="59"/>
    </row>
    <row r="1090" spans="2:13" x14ac:dyDescent="0.3">
      <c r="B1090" s="178"/>
      <c r="C1090" s="179"/>
      <c r="D1090" s="180"/>
      <c r="E1090" s="181"/>
      <c r="F1090" s="182"/>
      <c r="G1090" s="1" t="str">
        <f>IFERROR(IF(ventas_b_mes11[[#This Row],[CUIT]]="","-",VLOOKUP(ventas_b_mes11[[#This Row],[CUIT]],Lista_CUIT[#All],2,0)),"CUIT NO CARGADO")</f>
        <v>-</v>
      </c>
      <c r="H1090" s="64">
        <f>ventas_b_mes11[[#This Row],[TOTAL]]/1.21</f>
        <v>0</v>
      </c>
      <c r="I1090" s="183">
        <f>ventas_b_mes11[[#This Row],[IMPORTE NETO]]*0.21</f>
        <v>0</v>
      </c>
      <c r="J1090" s="184"/>
      <c r="K1090" s="184"/>
      <c r="L1090" s="184"/>
      <c r="M1090" s="59"/>
    </row>
    <row r="1091" spans="2:13" x14ac:dyDescent="0.3">
      <c r="B1091" s="178"/>
      <c r="C1091" s="179"/>
      <c r="D1091" s="180"/>
      <c r="E1091" s="181"/>
      <c r="F1091" s="182"/>
      <c r="G1091" s="1" t="str">
        <f>IFERROR(IF(ventas_b_mes11[[#This Row],[CUIT]]="","-",VLOOKUP(ventas_b_mes11[[#This Row],[CUIT]],Lista_CUIT[#All],2,0)),"CUIT NO CARGADO")</f>
        <v>-</v>
      </c>
      <c r="H1091" s="64">
        <f>ventas_b_mes11[[#This Row],[TOTAL]]/1.21</f>
        <v>0</v>
      </c>
      <c r="I1091" s="183">
        <f>ventas_b_mes11[[#This Row],[IMPORTE NETO]]*0.21</f>
        <v>0</v>
      </c>
      <c r="J1091" s="184"/>
      <c r="K1091" s="184"/>
      <c r="L1091" s="184"/>
      <c r="M1091" s="59"/>
    </row>
    <row r="1092" spans="2:13" x14ac:dyDescent="0.3">
      <c r="B1092" s="178"/>
      <c r="C1092" s="179"/>
      <c r="D1092" s="180"/>
      <c r="E1092" s="181"/>
      <c r="F1092" s="182"/>
      <c r="G1092" s="1" t="str">
        <f>IFERROR(IF(ventas_b_mes11[[#This Row],[CUIT]]="","-",VLOOKUP(ventas_b_mes11[[#This Row],[CUIT]],Lista_CUIT[#All],2,0)),"CUIT NO CARGADO")</f>
        <v>-</v>
      </c>
      <c r="H1092" s="64">
        <f>ventas_b_mes11[[#This Row],[TOTAL]]/1.21</f>
        <v>0</v>
      </c>
      <c r="I1092" s="183">
        <f>ventas_b_mes11[[#This Row],[IMPORTE NETO]]*0.21</f>
        <v>0</v>
      </c>
      <c r="J1092" s="184"/>
      <c r="K1092" s="184"/>
      <c r="L1092" s="184"/>
      <c r="M1092" s="59"/>
    </row>
    <row r="1093" spans="2:13" x14ac:dyDescent="0.3">
      <c r="B1093" s="178"/>
      <c r="C1093" s="179"/>
      <c r="D1093" s="180"/>
      <c r="E1093" s="181"/>
      <c r="F1093" s="182"/>
      <c r="G1093" s="1" t="str">
        <f>IFERROR(IF(ventas_b_mes11[[#This Row],[CUIT]]="","-",VLOOKUP(ventas_b_mes11[[#This Row],[CUIT]],Lista_CUIT[#All],2,0)),"CUIT NO CARGADO")</f>
        <v>-</v>
      </c>
      <c r="H1093" s="64">
        <f>ventas_b_mes11[[#This Row],[TOTAL]]/1.21</f>
        <v>0</v>
      </c>
      <c r="I1093" s="183">
        <f>ventas_b_mes11[[#This Row],[IMPORTE NETO]]*0.21</f>
        <v>0</v>
      </c>
      <c r="J1093" s="184"/>
      <c r="K1093" s="184"/>
      <c r="L1093" s="184"/>
      <c r="M1093" s="59"/>
    </row>
    <row r="1094" spans="2:13" x14ac:dyDescent="0.3">
      <c r="B1094" s="178"/>
      <c r="C1094" s="179"/>
      <c r="D1094" s="180"/>
      <c r="E1094" s="181"/>
      <c r="F1094" s="182"/>
      <c r="G1094" s="1" t="str">
        <f>IFERROR(IF(ventas_b_mes11[[#This Row],[CUIT]]="","-",VLOOKUP(ventas_b_mes11[[#This Row],[CUIT]],Lista_CUIT[#All],2,0)),"CUIT NO CARGADO")</f>
        <v>-</v>
      </c>
      <c r="H1094" s="64">
        <f>ventas_b_mes11[[#This Row],[TOTAL]]/1.21</f>
        <v>0</v>
      </c>
      <c r="I1094" s="183">
        <f>ventas_b_mes11[[#This Row],[IMPORTE NETO]]*0.21</f>
        <v>0</v>
      </c>
      <c r="J1094" s="184"/>
      <c r="K1094" s="184"/>
      <c r="L1094" s="184"/>
      <c r="M1094" s="59"/>
    </row>
    <row r="1095" spans="2:13" x14ac:dyDescent="0.3">
      <c r="B1095" s="178"/>
      <c r="C1095" s="179"/>
      <c r="D1095" s="180"/>
      <c r="E1095" s="181"/>
      <c r="F1095" s="182"/>
      <c r="G1095" s="1" t="str">
        <f>IFERROR(IF(ventas_b_mes11[[#This Row],[CUIT]]="","-",VLOOKUP(ventas_b_mes11[[#This Row],[CUIT]],Lista_CUIT[#All],2,0)),"CUIT NO CARGADO")</f>
        <v>-</v>
      </c>
      <c r="H1095" s="64">
        <f>ventas_b_mes11[[#This Row],[TOTAL]]/1.21</f>
        <v>0</v>
      </c>
      <c r="I1095" s="183">
        <f>ventas_b_mes11[[#This Row],[IMPORTE NETO]]*0.21</f>
        <v>0</v>
      </c>
      <c r="J1095" s="184"/>
      <c r="K1095" s="184"/>
      <c r="L1095" s="184"/>
      <c r="M1095" s="59"/>
    </row>
    <row r="1096" spans="2:13" x14ac:dyDescent="0.3">
      <c r="B1096" s="178"/>
      <c r="C1096" s="179"/>
      <c r="D1096" s="180"/>
      <c r="E1096" s="181"/>
      <c r="F1096" s="182"/>
      <c r="G1096" s="1" t="str">
        <f>IFERROR(IF(ventas_b_mes11[[#This Row],[CUIT]]="","-",VLOOKUP(ventas_b_mes11[[#This Row],[CUIT]],Lista_CUIT[#All],2,0)),"CUIT NO CARGADO")</f>
        <v>-</v>
      </c>
      <c r="H1096" s="64">
        <f>ventas_b_mes11[[#This Row],[TOTAL]]/1.21</f>
        <v>0</v>
      </c>
      <c r="I1096" s="183">
        <f>ventas_b_mes11[[#This Row],[IMPORTE NETO]]*0.21</f>
        <v>0</v>
      </c>
      <c r="J1096" s="184"/>
      <c r="K1096" s="184"/>
      <c r="L1096" s="184"/>
      <c r="M1096" s="59"/>
    </row>
    <row r="1097" spans="2:13" x14ac:dyDescent="0.3">
      <c r="B1097" s="178"/>
      <c r="C1097" s="179"/>
      <c r="D1097" s="180"/>
      <c r="E1097" s="181"/>
      <c r="F1097" s="182"/>
      <c r="G1097" s="1" t="str">
        <f>IFERROR(IF(ventas_b_mes11[[#This Row],[CUIT]]="","-",VLOOKUP(ventas_b_mes11[[#This Row],[CUIT]],Lista_CUIT[#All],2,0)),"CUIT NO CARGADO")</f>
        <v>-</v>
      </c>
      <c r="H1097" s="64">
        <f>ventas_b_mes11[[#This Row],[TOTAL]]/1.21</f>
        <v>0</v>
      </c>
      <c r="I1097" s="183">
        <f>ventas_b_mes11[[#This Row],[IMPORTE NETO]]*0.21</f>
        <v>0</v>
      </c>
      <c r="J1097" s="184"/>
      <c r="K1097" s="184"/>
      <c r="L1097" s="184"/>
      <c r="M1097" s="59"/>
    </row>
    <row r="1098" spans="2:13" x14ac:dyDescent="0.3">
      <c r="B1098" s="178"/>
      <c r="C1098" s="179"/>
      <c r="D1098" s="180"/>
      <c r="E1098" s="181"/>
      <c r="F1098" s="182"/>
      <c r="G1098" s="1" t="str">
        <f>IFERROR(IF(ventas_b_mes11[[#This Row],[CUIT]]="","-",VLOOKUP(ventas_b_mes11[[#This Row],[CUIT]],Lista_CUIT[#All],2,0)),"CUIT NO CARGADO")</f>
        <v>-</v>
      </c>
      <c r="H1098" s="64">
        <f>ventas_b_mes11[[#This Row],[TOTAL]]/1.21</f>
        <v>0</v>
      </c>
      <c r="I1098" s="183">
        <f>ventas_b_mes11[[#This Row],[IMPORTE NETO]]*0.21</f>
        <v>0</v>
      </c>
      <c r="J1098" s="184"/>
      <c r="K1098" s="184"/>
      <c r="L1098" s="184"/>
      <c r="M1098" s="59"/>
    </row>
    <row r="1099" spans="2:13" x14ac:dyDescent="0.3">
      <c r="B1099" s="178"/>
      <c r="C1099" s="179"/>
      <c r="D1099" s="180"/>
      <c r="E1099" s="181"/>
      <c r="F1099" s="182"/>
      <c r="G1099" s="1" t="str">
        <f>IFERROR(IF(ventas_b_mes11[[#This Row],[CUIT]]="","-",VLOOKUP(ventas_b_mes11[[#This Row],[CUIT]],Lista_CUIT[#All],2,0)),"CUIT NO CARGADO")</f>
        <v>-</v>
      </c>
      <c r="H1099" s="64">
        <f>ventas_b_mes11[[#This Row],[TOTAL]]/1.21</f>
        <v>0</v>
      </c>
      <c r="I1099" s="183">
        <f>ventas_b_mes11[[#This Row],[IMPORTE NETO]]*0.21</f>
        <v>0</v>
      </c>
      <c r="J1099" s="184"/>
      <c r="K1099" s="184"/>
      <c r="L1099" s="184"/>
      <c r="M1099" s="59"/>
    </row>
    <row r="1100" spans="2:13" x14ac:dyDescent="0.3">
      <c r="B1100" s="178"/>
      <c r="C1100" s="179"/>
      <c r="D1100" s="180"/>
      <c r="E1100" s="181"/>
      <c r="F1100" s="182"/>
      <c r="G1100" s="1" t="str">
        <f>IFERROR(IF(ventas_b_mes11[[#This Row],[CUIT]]="","-",VLOOKUP(ventas_b_mes11[[#This Row],[CUIT]],Lista_CUIT[#All],2,0)),"CUIT NO CARGADO")</f>
        <v>-</v>
      </c>
      <c r="H1100" s="64">
        <f>ventas_b_mes11[[#This Row],[TOTAL]]/1.21</f>
        <v>0</v>
      </c>
      <c r="I1100" s="183">
        <f>ventas_b_mes11[[#This Row],[IMPORTE NETO]]*0.21</f>
        <v>0</v>
      </c>
      <c r="J1100" s="184"/>
      <c r="K1100" s="184"/>
      <c r="L1100" s="184"/>
      <c r="M1100" s="59"/>
    </row>
    <row r="1101" spans="2:13" x14ac:dyDescent="0.3">
      <c r="B1101" s="178"/>
      <c r="C1101" s="179"/>
      <c r="D1101" s="180"/>
      <c r="E1101" s="181"/>
      <c r="F1101" s="182"/>
      <c r="G1101" s="1" t="str">
        <f>IFERROR(IF(ventas_b_mes11[[#This Row],[CUIT]]="","-",VLOOKUP(ventas_b_mes11[[#This Row],[CUIT]],Lista_CUIT[#All],2,0)),"CUIT NO CARGADO")</f>
        <v>-</v>
      </c>
      <c r="H1101" s="64">
        <f>ventas_b_mes11[[#This Row],[TOTAL]]/1.21</f>
        <v>0</v>
      </c>
      <c r="I1101" s="183">
        <f>ventas_b_mes11[[#This Row],[IMPORTE NETO]]*0.21</f>
        <v>0</v>
      </c>
      <c r="J1101" s="184"/>
      <c r="K1101" s="184"/>
      <c r="L1101" s="184"/>
      <c r="M1101" s="59"/>
    </row>
    <row r="1102" spans="2:13" x14ac:dyDescent="0.3">
      <c r="B1102" s="178"/>
      <c r="C1102" s="179"/>
      <c r="D1102" s="180"/>
      <c r="E1102" s="181"/>
      <c r="F1102" s="182"/>
      <c r="G1102" s="1" t="str">
        <f>IFERROR(IF(ventas_b_mes11[[#This Row],[CUIT]]="","-",VLOOKUP(ventas_b_mes11[[#This Row],[CUIT]],Lista_CUIT[#All],2,0)),"CUIT NO CARGADO")</f>
        <v>-</v>
      </c>
      <c r="H1102" s="64">
        <f>ventas_b_mes11[[#This Row],[TOTAL]]/1.21</f>
        <v>0</v>
      </c>
      <c r="I1102" s="183">
        <f>ventas_b_mes11[[#This Row],[IMPORTE NETO]]*0.21</f>
        <v>0</v>
      </c>
      <c r="J1102" s="184"/>
      <c r="K1102" s="184"/>
      <c r="L1102" s="184"/>
      <c r="M1102" s="59"/>
    </row>
    <row r="1103" spans="2:13" x14ac:dyDescent="0.3">
      <c r="B1103" s="178"/>
      <c r="C1103" s="179"/>
      <c r="D1103" s="180"/>
      <c r="E1103" s="181"/>
      <c r="F1103" s="182"/>
      <c r="G1103" s="1" t="str">
        <f>IFERROR(IF(ventas_b_mes11[[#This Row],[CUIT]]="","-",VLOOKUP(ventas_b_mes11[[#This Row],[CUIT]],Lista_CUIT[#All],2,0)),"CUIT NO CARGADO")</f>
        <v>-</v>
      </c>
      <c r="H1103" s="64">
        <f>ventas_b_mes11[[#This Row],[TOTAL]]/1.21</f>
        <v>0</v>
      </c>
      <c r="I1103" s="183">
        <f>ventas_b_mes11[[#This Row],[IMPORTE NETO]]*0.21</f>
        <v>0</v>
      </c>
      <c r="J1103" s="184"/>
      <c r="K1103" s="184"/>
      <c r="L1103" s="184"/>
      <c r="M1103" s="59"/>
    </row>
    <row r="1104" spans="2:13" x14ac:dyDescent="0.3">
      <c r="B1104" s="178"/>
      <c r="C1104" s="179"/>
      <c r="D1104" s="180"/>
      <c r="E1104" s="181"/>
      <c r="F1104" s="182"/>
      <c r="G1104" s="1" t="str">
        <f>IFERROR(IF(ventas_b_mes11[[#This Row],[CUIT]]="","-",VLOOKUP(ventas_b_mes11[[#This Row],[CUIT]],Lista_CUIT[#All],2,0)),"CUIT NO CARGADO")</f>
        <v>-</v>
      </c>
      <c r="H1104" s="64">
        <f>ventas_b_mes11[[#This Row],[TOTAL]]/1.21</f>
        <v>0</v>
      </c>
      <c r="I1104" s="183">
        <f>ventas_b_mes11[[#This Row],[IMPORTE NETO]]*0.21</f>
        <v>0</v>
      </c>
      <c r="J1104" s="184"/>
      <c r="K1104" s="184"/>
      <c r="L1104" s="184"/>
      <c r="M1104" s="59"/>
    </row>
    <row r="1105" spans="2:13" x14ac:dyDescent="0.3">
      <c r="B1105" s="178"/>
      <c r="C1105" s="179"/>
      <c r="D1105" s="180"/>
      <c r="E1105" s="181"/>
      <c r="F1105" s="182"/>
      <c r="G1105" s="1" t="str">
        <f>IFERROR(IF(ventas_b_mes11[[#This Row],[CUIT]]="","-",VLOOKUP(ventas_b_mes11[[#This Row],[CUIT]],Lista_CUIT[#All],2,0)),"CUIT NO CARGADO")</f>
        <v>-</v>
      </c>
      <c r="H1105" s="64">
        <f>ventas_b_mes11[[#This Row],[TOTAL]]/1.21</f>
        <v>0</v>
      </c>
      <c r="I1105" s="183">
        <f>ventas_b_mes11[[#This Row],[IMPORTE NETO]]*0.21</f>
        <v>0</v>
      </c>
      <c r="J1105" s="184"/>
      <c r="K1105" s="184"/>
      <c r="L1105" s="184"/>
      <c r="M1105" s="59"/>
    </row>
    <row r="1106" spans="2:13" x14ac:dyDescent="0.3">
      <c r="B1106" s="178"/>
      <c r="C1106" s="179"/>
      <c r="D1106" s="180"/>
      <c r="E1106" s="181"/>
      <c r="F1106" s="182"/>
      <c r="G1106" s="1" t="str">
        <f>IFERROR(IF(ventas_b_mes11[[#This Row],[CUIT]]="","-",VLOOKUP(ventas_b_mes11[[#This Row],[CUIT]],Lista_CUIT[#All],2,0)),"CUIT NO CARGADO")</f>
        <v>-</v>
      </c>
      <c r="H1106" s="64">
        <f>ventas_b_mes11[[#This Row],[TOTAL]]/1.21</f>
        <v>0</v>
      </c>
      <c r="I1106" s="183">
        <f>ventas_b_mes11[[#This Row],[IMPORTE NETO]]*0.21</f>
        <v>0</v>
      </c>
      <c r="J1106" s="184"/>
      <c r="K1106" s="184"/>
      <c r="L1106" s="184"/>
      <c r="M1106" s="59"/>
    </row>
    <row r="1107" spans="2:13" x14ac:dyDescent="0.3">
      <c r="B1107" s="178"/>
      <c r="C1107" s="179"/>
      <c r="D1107" s="180"/>
      <c r="E1107" s="181"/>
      <c r="F1107" s="182"/>
      <c r="G1107" s="1" t="str">
        <f>IFERROR(IF(ventas_b_mes11[[#This Row],[CUIT]]="","-",VLOOKUP(ventas_b_mes11[[#This Row],[CUIT]],Lista_CUIT[#All],2,0)),"CUIT NO CARGADO")</f>
        <v>-</v>
      </c>
      <c r="H1107" s="64">
        <f>ventas_b_mes11[[#This Row],[TOTAL]]/1.21</f>
        <v>0</v>
      </c>
      <c r="I1107" s="183">
        <f>ventas_b_mes11[[#This Row],[IMPORTE NETO]]*0.21</f>
        <v>0</v>
      </c>
      <c r="J1107" s="184"/>
      <c r="K1107" s="184"/>
      <c r="L1107" s="184"/>
      <c r="M1107" s="59"/>
    </row>
    <row r="1108" spans="2:13" x14ac:dyDescent="0.3">
      <c r="B1108" s="178"/>
      <c r="C1108" s="179"/>
      <c r="D1108" s="180"/>
      <c r="E1108" s="181"/>
      <c r="F1108" s="182"/>
      <c r="G1108" s="1" t="str">
        <f>IFERROR(IF(ventas_b_mes11[[#This Row],[CUIT]]="","-",VLOOKUP(ventas_b_mes11[[#This Row],[CUIT]],Lista_CUIT[#All],2,0)),"CUIT NO CARGADO")</f>
        <v>-</v>
      </c>
      <c r="H1108" s="64">
        <f>ventas_b_mes11[[#This Row],[TOTAL]]/1.21</f>
        <v>0</v>
      </c>
      <c r="I1108" s="183">
        <f>ventas_b_mes11[[#This Row],[IMPORTE NETO]]*0.21</f>
        <v>0</v>
      </c>
      <c r="J1108" s="184"/>
      <c r="K1108" s="184"/>
      <c r="L1108" s="184"/>
      <c r="M1108" s="59"/>
    </row>
    <row r="1109" spans="2:13" x14ac:dyDescent="0.3">
      <c r="B1109" s="178"/>
      <c r="C1109" s="179"/>
      <c r="D1109" s="180"/>
      <c r="E1109" s="181"/>
      <c r="F1109" s="182"/>
      <c r="G1109" s="1" t="str">
        <f>IFERROR(IF(ventas_b_mes11[[#This Row],[CUIT]]="","-",VLOOKUP(ventas_b_mes11[[#This Row],[CUIT]],Lista_CUIT[#All],2,0)),"CUIT NO CARGADO")</f>
        <v>-</v>
      </c>
      <c r="H1109" s="64">
        <f>ventas_b_mes11[[#This Row],[TOTAL]]/1.21</f>
        <v>0</v>
      </c>
      <c r="I1109" s="183">
        <f>ventas_b_mes11[[#This Row],[IMPORTE NETO]]*0.21</f>
        <v>0</v>
      </c>
      <c r="J1109" s="184"/>
      <c r="K1109" s="184"/>
      <c r="L1109" s="184"/>
      <c r="M1109" s="59"/>
    </row>
    <row r="1110" spans="2:13" x14ac:dyDescent="0.3">
      <c r="B1110" s="178"/>
      <c r="C1110" s="179"/>
      <c r="D1110" s="180"/>
      <c r="E1110" s="181"/>
      <c r="F1110" s="182"/>
      <c r="G1110" s="1" t="str">
        <f>IFERROR(IF(ventas_b_mes11[[#This Row],[CUIT]]="","-",VLOOKUP(ventas_b_mes11[[#This Row],[CUIT]],Lista_CUIT[#All],2,0)),"CUIT NO CARGADO")</f>
        <v>-</v>
      </c>
      <c r="H1110" s="64">
        <f>ventas_b_mes11[[#This Row],[TOTAL]]/1.21</f>
        <v>0</v>
      </c>
      <c r="I1110" s="183">
        <f>ventas_b_mes11[[#This Row],[IMPORTE NETO]]*0.21</f>
        <v>0</v>
      </c>
      <c r="J1110" s="184"/>
      <c r="K1110" s="184"/>
      <c r="L1110" s="184"/>
      <c r="M1110" s="59"/>
    </row>
    <row r="1111" spans="2:13" x14ac:dyDescent="0.3">
      <c r="B1111" s="178"/>
      <c r="C1111" s="179"/>
      <c r="D1111" s="180"/>
      <c r="E1111" s="181"/>
      <c r="F1111" s="182"/>
      <c r="G1111" s="1" t="str">
        <f>IFERROR(IF(ventas_b_mes11[[#This Row],[CUIT]]="","-",VLOOKUP(ventas_b_mes11[[#This Row],[CUIT]],Lista_CUIT[#All],2,0)),"CUIT NO CARGADO")</f>
        <v>-</v>
      </c>
      <c r="H1111" s="64">
        <f>ventas_b_mes11[[#This Row],[TOTAL]]/1.21</f>
        <v>0</v>
      </c>
      <c r="I1111" s="183">
        <f>ventas_b_mes11[[#This Row],[IMPORTE NETO]]*0.21</f>
        <v>0</v>
      </c>
      <c r="J1111" s="184"/>
      <c r="K1111" s="184"/>
      <c r="L1111" s="184"/>
      <c r="M1111" s="59"/>
    </row>
    <row r="1112" spans="2:13" x14ac:dyDescent="0.3">
      <c r="B1112" s="178"/>
      <c r="C1112" s="179"/>
      <c r="D1112" s="180"/>
      <c r="E1112" s="181"/>
      <c r="F1112" s="182"/>
      <c r="G1112" s="1" t="str">
        <f>IFERROR(IF(ventas_b_mes11[[#This Row],[CUIT]]="","-",VLOOKUP(ventas_b_mes11[[#This Row],[CUIT]],Lista_CUIT[#All],2,0)),"CUIT NO CARGADO")</f>
        <v>-</v>
      </c>
      <c r="H1112" s="64">
        <f>ventas_b_mes11[[#This Row],[TOTAL]]/1.21</f>
        <v>0</v>
      </c>
      <c r="I1112" s="183">
        <f>ventas_b_mes11[[#This Row],[IMPORTE NETO]]*0.21</f>
        <v>0</v>
      </c>
      <c r="J1112" s="184"/>
      <c r="K1112" s="184"/>
      <c r="L1112" s="184"/>
      <c r="M1112" s="59"/>
    </row>
    <row r="1113" spans="2:13" x14ac:dyDescent="0.3">
      <c r="B1113" s="178"/>
      <c r="C1113" s="179"/>
      <c r="D1113" s="180"/>
      <c r="E1113" s="181"/>
      <c r="F1113" s="182"/>
      <c r="G1113" s="1" t="str">
        <f>IFERROR(IF(ventas_b_mes11[[#This Row],[CUIT]]="","-",VLOOKUP(ventas_b_mes11[[#This Row],[CUIT]],Lista_CUIT[#All],2,0)),"CUIT NO CARGADO")</f>
        <v>-</v>
      </c>
      <c r="H1113" s="64">
        <f>ventas_b_mes11[[#This Row],[TOTAL]]/1.21</f>
        <v>0</v>
      </c>
      <c r="I1113" s="183">
        <f>ventas_b_mes11[[#This Row],[IMPORTE NETO]]*0.21</f>
        <v>0</v>
      </c>
      <c r="J1113" s="184"/>
      <c r="K1113" s="184"/>
      <c r="L1113" s="184"/>
      <c r="M1113" s="59"/>
    </row>
    <row r="1114" spans="2:13" x14ac:dyDescent="0.3">
      <c r="B1114" s="178"/>
      <c r="C1114" s="179"/>
      <c r="D1114" s="180"/>
      <c r="E1114" s="181"/>
      <c r="F1114" s="182"/>
      <c r="G1114" s="1" t="str">
        <f>IFERROR(IF(ventas_b_mes11[[#This Row],[CUIT]]="","-",VLOOKUP(ventas_b_mes11[[#This Row],[CUIT]],Lista_CUIT[#All],2,0)),"CUIT NO CARGADO")</f>
        <v>-</v>
      </c>
      <c r="H1114" s="64">
        <f>ventas_b_mes11[[#This Row],[TOTAL]]/1.21</f>
        <v>0</v>
      </c>
      <c r="I1114" s="183">
        <f>ventas_b_mes11[[#This Row],[IMPORTE NETO]]*0.21</f>
        <v>0</v>
      </c>
      <c r="J1114" s="184"/>
      <c r="K1114" s="184"/>
      <c r="L1114" s="184"/>
      <c r="M1114" s="59"/>
    </row>
    <row r="1115" spans="2:13" x14ac:dyDescent="0.3">
      <c r="B1115" s="178"/>
      <c r="C1115" s="179"/>
      <c r="D1115" s="180"/>
      <c r="E1115" s="181"/>
      <c r="F1115" s="182"/>
      <c r="G1115" s="1" t="str">
        <f>IFERROR(IF(ventas_b_mes11[[#This Row],[CUIT]]="","-",VLOOKUP(ventas_b_mes11[[#This Row],[CUIT]],Lista_CUIT[#All],2,0)),"CUIT NO CARGADO")</f>
        <v>-</v>
      </c>
      <c r="H1115" s="64">
        <f>ventas_b_mes11[[#This Row],[TOTAL]]/1.21</f>
        <v>0</v>
      </c>
      <c r="I1115" s="183">
        <f>ventas_b_mes11[[#This Row],[IMPORTE NETO]]*0.21</f>
        <v>0</v>
      </c>
      <c r="J1115" s="184"/>
      <c r="K1115" s="184"/>
      <c r="L1115" s="184"/>
      <c r="M1115" s="59"/>
    </row>
    <row r="1116" spans="2:13" x14ac:dyDescent="0.3">
      <c r="B1116" s="178"/>
      <c r="C1116" s="179"/>
      <c r="D1116" s="180"/>
      <c r="E1116" s="181"/>
      <c r="F1116" s="182"/>
      <c r="G1116" s="1" t="str">
        <f>IFERROR(IF(ventas_b_mes11[[#This Row],[CUIT]]="","-",VLOOKUP(ventas_b_mes11[[#This Row],[CUIT]],Lista_CUIT[#All],2,0)),"CUIT NO CARGADO")</f>
        <v>-</v>
      </c>
      <c r="H1116" s="64">
        <f>ventas_b_mes11[[#This Row],[TOTAL]]/1.21</f>
        <v>0</v>
      </c>
      <c r="I1116" s="183">
        <f>ventas_b_mes11[[#This Row],[IMPORTE NETO]]*0.21</f>
        <v>0</v>
      </c>
      <c r="J1116" s="184"/>
      <c r="K1116" s="184"/>
      <c r="L1116" s="184"/>
      <c r="M1116" s="59"/>
    </row>
    <row r="1117" spans="2:13" x14ac:dyDescent="0.3">
      <c r="B1117" s="178"/>
      <c r="C1117" s="179"/>
      <c r="D1117" s="180"/>
      <c r="E1117" s="181"/>
      <c r="F1117" s="182"/>
      <c r="G1117" s="1" t="str">
        <f>IFERROR(IF(ventas_b_mes11[[#This Row],[CUIT]]="","-",VLOOKUP(ventas_b_mes11[[#This Row],[CUIT]],Lista_CUIT[#All],2,0)),"CUIT NO CARGADO")</f>
        <v>-</v>
      </c>
      <c r="H1117" s="64">
        <f>ventas_b_mes11[[#This Row],[TOTAL]]/1.21</f>
        <v>0</v>
      </c>
      <c r="I1117" s="183">
        <f>ventas_b_mes11[[#This Row],[IMPORTE NETO]]*0.21</f>
        <v>0</v>
      </c>
      <c r="J1117" s="184"/>
      <c r="K1117" s="184"/>
      <c r="L1117" s="184"/>
      <c r="M1117" s="59"/>
    </row>
    <row r="1118" spans="2:13" x14ac:dyDescent="0.3">
      <c r="B1118" s="178"/>
      <c r="C1118" s="179"/>
      <c r="D1118" s="180"/>
      <c r="E1118" s="181"/>
      <c r="F1118" s="182"/>
      <c r="G1118" s="1" t="str">
        <f>IFERROR(IF(ventas_b_mes11[[#This Row],[CUIT]]="","-",VLOOKUP(ventas_b_mes11[[#This Row],[CUIT]],Lista_CUIT[#All],2,0)),"CUIT NO CARGADO")</f>
        <v>-</v>
      </c>
      <c r="H1118" s="64">
        <f>ventas_b_mes11[[#This Row],[TOTAL]]/1.21</f>
        <v>0</v>
      </c>
      <c r="I1118" s="183">
        <f>ventas_b_mes11[[#This Row],[IMPORTE NETO]]*0.21</f>
        <v>0</v>
      </c>
      <c r="J1118" s="184"/>
      <c r="K1118" s="184"/>
      <c r="L1118" s="184"/>
      <c r="M1118" s="59"/>
    </row>
    <row r="1119" spans="2:13" x14ac:dyDescent="0.3">
      <c r="B1119" s="178"/>
      <c r="C1119" s="179"/>
      <c r="D1119" s="180"/>
      <c r="E1119" s="181"/>
      <c r="F1119" s="182"/>
      <c r="G1119" s="1" t="str">
        <f>IFERROR(IF(ventas_b_mes11[[#This Row],[CUIT]]="","-",VLOOKUP(ventas_b_mes11[[#This Row],[CUIT]],Lista_CUIT[#All],2,0)),"CUIT NO CARGADO")</f>
        <v>-</v>
      </c>
      <c r="H1119" s="64">
        <f>ventas_b_mes11[[#This Row],[TOTAL]]/1.21</f>
        <v>0</v>
      </c>
      <c r="I1119" s="183">
        <f>ventas_b_mes11[[#This Row],[IMPORTE NETO]]*0.21</f>
        <v>0</v>
      </c>
      <c r="J1119" s="184"/>
      <c r="K1119" s="184"/>
      <c r="L1119" s="184"/>
      <c r="M1119" s="59"/>
    </row>
    <row r="1120" spans="2:13" x14ac:dyDescent="0.3">
      <c r="B1120" s="178"/>
      <c r="C1120" s="179"/>
      <c r="D1120" s="180"/>
      <c r="E1120" s="181"/>
      <c r="F1120" s="182"/>
      <c r="G1120" s="1" t="str">
        <f>IFERROR(IF(ventas_b_mes11[[#This Row],[CUIT]]="","-",VLOOKUP(ventas_b_mes11[[#This Row],[CUIT]],Lista_CUIT[#All],2,0)),"CUIT NO CARGADO")</f>
        <v>-</v>
      </c>
      <c r="H1120" s="64">
        <f>ventas_b_mes11[[#This Row],[TOTAL]]/1.21</f>
        <v>0</v>
      </c>
      <c r="I1120" s="183">
        <f>ventas_b_mes11[[#This Row],[IMPORTE NETO]]*0.21</f>
        <v>0</v>
      </c>
      <c r="J1120" s="184"/>
      <c r="K1120" s="184"/>
      <c r="L1120" s="184"/>
      <c r="M1120" s="59"/>
    </row>
    <row r="1121" spans="2:13" x14ac:dyDescent="0.3">
      <c r="B1121" s="178"/>
      <c r="C1121" s="179"/>
      <c r="D1121" s="180"/>
      <c r="E1121" s="181"/>
      <c r="F1121" s="182"/>
      <c r="G1121" s="1" t="str">
        <f>IFERROR(IF(ventas_b_mes11[[#This Row],[CUIT]]="","-",VLOOKUP(ventas_b_mes11[[#This Row],[CUIT]],Lista_CUIT[#All],2,0)),"CUIT NO CARGADO")</f>
        <v>-</v>
      </c>
      <c r="H1121" s="64">
        <f>ventas_b_mes11[[#This Row],[TOTAL]]/1.21</f>
        <v>0</v>
      </c>
      <c r="I1121" s="183">
        <f>ventas_b_mes11[[#This Row],[IMPORTE NETO]]*0.21</f>
        <v>0</v>
      </c>
      <c r="J1121" s="184"/>
      <c r="K1121" s="184"/>
      <c r="L1121" s="184"/>
      <c r="M1121" s="59"/>
    </row>
    <row r="1122" spans="2:13" x14ac:dyDescent="0.3">
      <c r="B1122" s="178"/>
      <c r="C1122" s="179"/>
      <c r="D1122" s="180"/>
      <c r="E1122" s="181"/>
      <c r="F1122" s="182"/>
      <c r="G1122" s="1" t="str">
        <f>IFERROR(IF(ventas_b_mes11[[#This Row],[CUIT]]="","-",VLOOKUP(ventas_b_mes11[[#This Row],[CUIT]],Lista_CUIT[#All],2,0)),"CUIT NO CARGADO")</f>
        <v>-</v>
      </c>
      <c r="H1122" s="64">
        <f>ventas_b_mes11[[#This Row],[TOTAL]]/1.21</f>
        <v>0</v>
      </c>
      <c r="I1122" s="183">
        <f>ventas_b_mes11[[#This Row],[IMPORTE NETO]]*0.21</f>
        <v>0</v>
      </c>
      <c r="J1122" s="184"/>
      <c r="K1122" s="184"/>
      <c r="L1122" s="184"/>
      <c r="M1122" s="59"/>
    </row>
    <row r="1123" spans="2:13" x14ac:dyDescent="0.3">
      <c r="B1123" s="178"/>
      <c r="C1123" s="179"/>
      <c r="D1123" s="180"/>
      <c r="E1123" s="181"/>
      <c r="F1123" s="182"/>
      <c r="G1123" s="1" t="str">
        <f>IFERROR(IF(ventas_b_mes11[[#This Row],[CUIT]]="","-",VLOOKUP(ventas_b_mes11[[#This Row],[CUIT]],Lista_CUIT[#All],2,0)),"CUIT NO CARGADO")</f>
        <v>-</v>
      </c>
      <c r="H1123" s="64">
        <f>ventas_b_mes11[[#This Row],[TOTAL]]/1.21</f>
        <v>0</v>
      </c>
      <c r="I1123" s="183">
        <f>ventas_b_mes11[[#This Row],[IMPORTE NETO]]*0.21</f>
        <v>0</v>
      </c>
      <c r="J1123" s="184"/>
      <c r="K1123" s="184"/>
      <c r="L1123" s="184"/>
      <c r="M1123" s="59"/>
    </row>
    <row r="1124" spans="2:13" x14ac:dyDescent="0.3">
      <c r="B1124" s="178"/>
      <c r="C1124" s="179"/>
      <c r="D1124" s="180"/>
      <c r="E1124" s="181"/>
      <c r="F1124" s="182"/>
      <c r="G1124" s="1" t="str">
        <f>IFERROR(IF(ventas_b_mes11[[#This Row],[CUIT]]="","-",VLOOKUP(ventas_b_mes11[[#This Row],[CUIT]],Lista_CUIT[#All],2,0)),"CUIT NO CARGADO")</f>
        <v>-</v>
      </c>
      <c r="H1124" s="64">
        <f>ventas_b_mes11[[#This Row],[TOTAL]]/1.21</f>
        <v>0</v>
      </c>
      <c r="I1124" s="183">
        <f>ventas_b_mes11[[#This Row],[IMPORTE NETO]]*0.21</f>
        <v>0</v>
      </c>
      <c r="J1124" s="184"/>
      <c r="K1124" s="184"/>
      <c r="L1124" s="184"/>
      <c r="M1124" s="59"/>
    </row>
    <row r="1125" spans="2:13" x14ac:dyDescent="0.3">
      <c r="B1125" s="178"/>
      <c r="C1125" s="179"/>
      <c r="D1125" s="180"/>
      <c r="E1125" s="181"/>
      <c r="F1125" s="182"/>
      <c r="G1125" s="1" t="str">
        <f>IFERROR(IF(ventas_b_mes11[[#This Row],[CUIT]]="","-",VLOOKUP(ventas_b_mes11[[#This Row],[CUIT]],Lista_CUIT[#All],2,0)),"CUIT NO CARGADO")</f>
        <v>-</v>
      </c>
      <c r="H1125" s="64">
        <f>ventas_b_mes11[[#This Row],[TOTAL]]/1.21</f>
        <v>0</v>
      </c>
      <c r="I1125" s="183">
        <f>ventas_b_mes11[[#This Row],[IMPORTE NETO]]*0.21</f>
        <v>0</v>
      </c>
      <c r="J1125" s="184"/>
      <c r="K1125" s="184"/>
      <c r="L1125" s="184"/>
      <c r="M1125" s="59"/>
    </row>
    <row r="1126" spans="2:13" x14ac:dyDescent="0.3">
      <c r="B1126" s="178"/>
      <c r="C1126" s="179"/>
      <c r="D1126" s="180"/>
      <c r="E1126" s="181"/>
      <c r="F1126" s="182"/>
      <c r="G1126" s="1" t="str">
        <f>IFERROR(IF(ventas_b_mes11[[#This Row],[CUIT]]="","-",VLOOKUP(ventas_b_mes11[[#This Row],[CUIT]],Lista_CUIT[#All],2,0)),"CUIT NO CARGADO")</f>
        <v>-</v>
      </c>
      <c r="H1126" s="64">
        <f>ventas_b_mes11[[#This Row],[TOTAL]]/1.21</f>
        <v>0</v>
      </c>
      <c r="I1126" s="183">
        <f>ventas_b_mes11[[#This Row],[IMPORTE NETO]]*0.21</f>
        <v>0</v>
      </c>
      <c r="J1126" s="184"/>
      <c r="K1126" s="184"/>
      <c r="L1126" s="184"/>
      <c r="M1126" s="59"/>
    </row>
    <row r="1127" spans="2:13" x14ac:dyDescent="0.3">
      <c r="B1127" s="178"/>
      <c r="C1127" s="179"/>
      <c r="D1127" s="180"/>
      <c r="E1127" s="181"/>
      <c r="F1127" s="182"/>
      <c r="G1127" s="1" t="str">
        <f>IFERROR(IF(ventas_b_mes11[[#This Row],[CUIT]]="","-",VLOOKUP(ventas_b_mes11[[#This Row],[CUIT]],Lista_CUIT[#All],2,0)),"CUIT NO CARGADO")</f>
        <v>-</v>
      </c>
      <c r="H1127" s="64">
        <f>ventas_b_mes11[[#This Row],[TOTAL]]/1.21</f>
        <v>0</v>
      </c>
      <c r="I1127" s="183">
        <f>ventas_b_mes11[[#This Row],[IMPORTE NETO]]*0.21</f>
        <v>0</v>
      </c>
      <c r="J1127" s="184"/>
      <c r="K1127" s="184"/>
      <c r="L1127" s="184"/>
      <c r="M1127" s="59"/>
    </row>
    <row r="1128" spans="2:13" x14ac:dyDescent="0.3">
      <c r="B1128" s="178"/>
      <c r="C1128" s="179"/>
      <c r="D1128" s="180"/>
      <c r="E1128" s="181"/>
      <c r="F1128" s="182"/>
      <c r="G1128" s="1" t="str">
        <f>IFERROR(IF(ventas_b_mes11[[#This Row],[CUIT]]="","-",VLOOKUP(ventas_b_mes11[[#This Row],[CUIT]],Lista_CUIT[#All],2,0)),"CUIT NO CARGADO")</f>
        <v>-</v>
      </c>
      <c r="H1128" s="64">
        <f>ventas_b_mes11[[#This Row],[TOTAL]]/1.21</f>
        <v>0</v>
      </c>
      <c r="I1128" s="183">
        <f>ventas_b_mes11[[#This Row],[IMPORTE NETO]]*0.21</f>
        <v>0</v>
      </c>
      <c r="J1128" s="184"/>
      <c r="K1128" s="184"/>
      <c r="L1128" s="184"/>
      <c r="M1128" s="59"/>
    </row>
    <row r="1129" spans="2:13" x14ac:dyDescent="0.3">
      <c r="B1129" s="178"/>
      <c r="C1129" s="179"/>
      <c r="D1129" s="180"/>
      <c r="E1129" s="181"/>
      <c r="F1129" s="182"/>
      <c r="G1129" s="1" t="str">
        <f>IFERROR(IF(ventas_b_mes11[[#This Row],[CUIT]]="","-",VLOOKUP(ventas_b_mes11[[#This Row],[CUIT]],Lista_CUIT[#All],2,0)),"CUIT NO CARGADO")</f>
        <v>-</v>
      </c>
      <c r="H1129" s="64">
        <f>ventas_b_mes11[[#This Row],[TOTAL]]/1.21</f>
        <v>0</v>
      </c>
      <c r="I1129" s="183">
        <f>ventas_b_mes11[[#This Row],[IMPORTE NETO]]*0.21</f>
        <v>0</v>
      </c>
      <c r="J1129" s="184"/>
      <c r="K1129" s="184"/>
      <c r="L1129" s="184"/>
      <c r="M1129" s="59"/>
    </row>
    <row r="1130" spans="2:13" x14ac:dyDescent="0.3">
      <c r="B1130" s="178"/>
      <c r="C1130" s="179"/>
      <c r="D1130" s="180"/>
      <c r="E1130" s="181"/>
      <c r="F1130" s="182"/>
      <c r="G1130" s="1" t="str">
        <f>IFERROR(IF(ventas_b_mes11[[#This Row],[CUIT]]="","-",VLOOKUP(ventas_b_mes11[[#This Row],[CUIT]],Lista_CUIT[#All],2,0)),"CUIT NO CARGADO")</f>
        <v>-</v>
      </c>
      <c r="H1130" s="64">
        <f>ventas_b_mes11[[#This Row],[TOTAL]]/1.21</f>
        <v>0</v>
      </c>
      <c r="I1130" s="183">
        <f>ventas_b_mes11[[#This Row],[IMPORTE NETO]]*0.21</f>
        <v>0</v>
      </c>
      <c r="J1130" s="184"/>
      <c r="K1130" s="184"/>
      <c r="L1130" s="184"/>
      <c r="M1130" s="59"/>
    </row>
    <row r="1131" spans="2:13" x14ac:dyDescent="0.3">
      <c r="B1131" s="178"/>
      <c r="C1131" s="179"/>
      <c r="D1131" s="180"/>
      <c r="E1131" s="181"/>
      <c r="F1131" s="182"/>
      <c r="G1131" s="1" t="str">
        <f>IFERROR(IF(ventas_b_mes11[[#This Row],[CUIT]]="","-",VLOOKUP(ventas_b_mes11[[#This Row],[CUIT]],Lista_CUIT[#All],2,0)),"CUIT NO CARGADO")</f>
        <v>-</v>
      </c>
      <c r="H1131" s="64">
        <f>ventas_b_mes11[[#This Row],[TOTAL]]/1.21</f>
        <v>0</v>
      </c>
      <c r="I1131" s="183">
        <f>ventas_b_mes11[[#This Row],[IMPORTE NETO]]*0.21</f>
        <v>0</v>
      </c>
      <c r="J1131" s="184"/>
      <c r="K1131" s="184"/>
      <c r="L1131" s="184"/>
      <c r="M1131" s="59"/>
    </row>
    <row r="1132" spans="2:13" x14ac:dyDescent="0.3">
      <c r="B1132" s="178"/>
      <c r="C1132" s="179"/>
      <c r="D1132" s="180"/>
      <c r="E1132" s="181"/>
      <c r="F1132" s="182"/>
      <c r="G1132" s="1" t="str">
        <f>IFERROR(IF(ventas_b_mes11[[#This Row],[CUIT]]="","-",VLOOKUP(ventas_b_mes11[[#This Row],[CUIT]],Lista_CUIT[#All],2,0)),"CUIT NO CARGADO")</f>
        <v>-</v>
      </c>
      <c r="H1132" s="64">
        <f>ventas_b_mes11[[#This Row],[TOTAL]]/1.21</f>
        <v>0</v>
      </c>
      <c r="I1132" s="183">
        <f>ventas_b_mes11[[#This Row],[IMPORTE NETO]]*0.21</f>
        <v>0</v>
      </c>
      <c r="J1132" s="184"/>
      <c r="K1132" s="184"/>
      <c r="L1132" s="184"/>
      <c r="M1132" s="59"/>
    </row>
    <row r="1133" spans="2:13" x14ac:dyDescent="0.3">
      <c r="B1133" s="178"/>
      <c r="C1133" s="203"/>
      <c r="D1133" s="180"/>
      <c r="E1133" s="181"/>
      <c r="F1133" s="182"/>
      <c r="G1133" s="1" t="str">
        <f>IFERROR(IF(ventas_b_mes11[[#This Row],[CUIT]]="","-",VLOOKUP(ventas_b_mes11[[#This Row],[CUIT]],Lista_CUIT[#All],2,0)),"CUIT NO CARGADO")</f>
        <v>-</v>
      </c>
      <c r="H1133" s="64">
        <f>ventas_b_mes11[[#This Row],[TOTAL]]/1.21</f>
        <v>0</v>
      </c>
      <c r="I1133" s="183">
        <f>ventas_b_mes11[[#This Row],[IMPORTE NETO]]*0.21</f>
        <v>0</v>
      </c>
      <c r="J1133" s="184"/>
      <c r="K1133" s="184"/>
      <c r="L1133" s="184"/>
      <c r="M1133" s="59"/>
    </row>
    <row r="1134" spans="2:13" x14ac:dyDescent="0.3">
      <c r="B1134" s="178"/>
      <c r="C1134" s="203"/>
      <c r="D1134" s="180"/>
      <c r="E1134" s="181"/>
      <c r="F1134" s="182"/>
      <c r="G1134" s="1" t="str">
        <f>IFERROR(IF(ventas_b_mes11[[#This Row],[CUIT]]="","-",VLOOKUP(ventas_b_mes11[[#This Row],[CUIT]],Lista_CUIT[#All],2,0)),"CUIT NO CARGADO")</f>
        <v>-</v>
      </c>
      <c r="H1134" s="64">
        <f>ventas_b_mes11[[#This Row],[TOTAL]]/1.21</f>
        <v>0</v>
      </c>
      <c r="I1134" s="183">
        <f>ventas_b_mes11[[#This Row],[IMPORTE NETO]]*0.21</f>
        <v>0</v>
      </c>
      <c r="J1134" s="184"/>
      <c r="K1134" s="184"/>
      <c r="L1134" s="184"/>
      <c r="M1134" s="59"/>
    </row>
    <row r="1135" spans="2:13" x14ac:dyDescent="0.3">
      <c r="B1135" s="178"/>
      <c r="C1135" s="203"/>
      <c r="D1135" s="180"/>
      <c r="E1135" s="181"/>
      <c r="F1135" s="182"/>
      <c r="G1135" s="1" t="str">
        <f>IFERROR(IF(ventas_b_mes11[[#This Row],[CUIT]]="","-",VLOOKUP(ventas_b_mes11[[#This Row],[CUIT]],Lista_CUIT[#All],2,0)),"CUIT NO CARGADO")</f>
        <v>-</v>
      </c>
      <c r="H1135" s="64">
        <f>ventas_b_mes11[[#This Row],[TOTAL]]/1.21</f>
        <v>0</v>
      </c>
      <c r="I1135" s="183">
        <f>ventas_b_mes11[[#This Row],[IMPORTE NETO]]*0.21</f>
        <v>0</v>
      </c>
      <c r="J1135" s="184"/>
      <c r="K1135" s="184"/>
      <c r="L1135" s="184"/>
      <c r="M1135" s="59"/>
    </row>
    <row r="1136" spans="2:13" x14ac:dyDescent="0.3">
      <c r="B1136" s="217"/>
      <c r="C1136" s="203"/>
      <c r="D1136" s="220"/>
      <c r="E1136" s="204"/>
      <c r="F1136" s="182"/>
      <c r="G1136" s="1" t="str">
        <f>IFERROR(IF(ventas_b_mes11[[#This Row],[CUIT]]="","-",VLOOKUP(ventas_b_mes11[[#This Row],[CUIT]],Lista_CUIT[#All],2,0)),"CUIT NO CARGADO")</f>
        <v>-</v>
      </c>
      <c r="H1136" s="64">
        <f>ventas_b_mes11[[#This Row],[TOTAL]]/1.21</f>
        <v>0</v>
      </c>
      <c r="I1136" s="64">
        <f>ventas_b_mes11[[#This Row],[IMPORTE NETO]]*0.21</f>
        <v>0</v>
      </c>
      <c r="J1136" s="64"/>
      <c r="K1136" s="64"/>
      <c r="L1136" s="64"/>
      <c r="M1136" s="59"/>
    </row>
    <row r="1137" spans="2:13" x14ac:dyDescent="0.3">
      <c r="B1137" s="217"/>
      <c r="C1137" s="203"/>
      <c r="D1137" s="220"/>
      <c r="E1137" s="204"/>
      <c r="F1137" s="182"/>
      <c r="G1137" s="1" t="str">
        <f>IFERROR(IF(ventas_b_mes11[[#This Row],[CUIT]]="","-",VLOOKUP(ventas_b_mes11[[#This Row],[CUIT]],Lista_CUIT[#All],2,0)),"CUIT NO CARGADO")</f>
        <v>-</v>
      </c>
      <c r="H1137" s="64">
        <f>ventas_b_mes11[[#This Row],[TOTAL]]/1.21</f>
        <v>0</v>
      </c>
      <c r="I1137" s="64">
        <f>ventas_b_mes11[[#This Row],[IMPORTE NETO]]*0.21</f>
        <v>0</v>
      </c>
      <c r="J1137" s="64"/>
      <c r="K1137" s="64"/>
      <c r="L1137" s="64"/>
      <c r="M1137" s="59"/>
    </row>
    <row r="1138" spans="2:13" x14ac:dyDescent="0.3">
      <c r="B1138" s="178"/>
      <c r="C1138" s="203"/>
      <c r="D1138" s="180"/>
      <c r="E1138" s="181"/>
      <c r="F1138" s="182"/>
      <c r="G1138" s="1" t="str">
        <f>IFERROR(IF(ventas_b_mes11[[#This Row],[CUIT]]="","-",VLOOKUP(ventas_b_mes11[[#This Row],[CUIT]],Lista_CUIT[#All],2,0)),"CUIT NO CARGADO")</f>
        <v>-</v>
      </c>
      <c r="H1138" s="64">
        <f>ventas_b_mes11[[#This Row],[TOTAL]]/1.21</f>
        <v>0</v>
      </c>
      <c r="I1138" s="183">
        <f>ventas_b_mes11[[#This Row],[IMPORTE NETO]]*0.21</f>
        <v>0</v>
      </c>
      <c r="J1138" s="184"/>
      <c r="K1138" s="184"/>
      <c r="L1138" s="184"/>
      <c r="M1138" s="59"/>
    </row>
    <row r="1139" spans="2:13" x14ac:dyDescent="0.3">
      <c r="B1139" s="178"/>
      <c r="C1139" s="203"/>
      <c r="D1139" s="180"/>
      <c r="E1139" s="181"/>
      <c r="F1139" s="182"/>
      <c r="G1139" s="1" t="str">
        <f>IFERROR(IF(ventas_b_mes11[[#This Row],[CUIT]]="","-",VLOOKUP(ventas_b_mes11[[#This Row],[CUIT]],Lista_CUIT[#All],2,0)),"CUIT NO CARGADO")</f>
        <v>-</v>
      </c>
      <c r="H1139" s="64">
        <f>ventas_b_mes11[[#This Row],[TOTAL]]/1.21</f>
        <v>0</v>
      </c>
      <c r="I1139" s="183">
        <f>ventas_b_mes11[[#This Row],[IMPORTE NETO]]*0.21</f>
        <v>0</v>
      </c>
      <c r="J1139" s="184"/>
      <c r="K1139" s="184"/>
      <c r="L1139" s="184"/>
      <c r="M1139" s="59"/>
    </row>
    <row r="1140" spans="2:13" x14ac:dyDescent="0.3">
      <c r="B1140" s="178"/>
      <c r="C1140" s="203"/>
      <c r="D1140" s="180"/>
      <c r="E1140" s="181"/>
      <c r="F1140" s="182"/>
      <c r="G1140" s="1" t="str">
        <f>IFERROR(IF(ventas_b_mes11[[#This Row],[CUIT]]="","-",VLOOKUP(ventas_b_mes11[[#This Row],[CUIT]],Lista_CUIT[#All],2,0)),"CUIT NO CARGADO")</f>
        <v>-</v>
      </c>
      <c r="H1140" s="64">
        <f>ventas_b_mes11[[#This Row],[TOTAL]]/1.21</f>
        <v>0</v>
      </c>
      <c r="I1140" s="183">
        <f>ventas_b_mes11[[#This Row],[IMPORTE NETO]]*0.21</f>
        <v>0</v>
      </c>
      <c r="J1140" s="184"/>
      <c r="K1140" s="184"/>
      <c r="L1140" s="184"/>
      <c r="M1140" s="59"/>
    </row>
    <row r="1141" spans="2:13" x14ac:dyDescent="0.3">
      <c r="B1141" s="178"/>
      <c r="C1141" s="179"/>
      <c r="D1141" s="180"/>
      <c r="E1141" s="181"/>
      <c r="F1141" s="182"/>
      <c r="G1141" s="1" t="str">
        <f>IFERROR(IF(ventas_b_mes11[[#This Row],[CUIT]]="","-",VLOOKUP(ventas_b_mes11[[#This Row],[CUIT]],Lista_CUIT[#All],2,0)),"CUIT NO CARGADO")</f>
        <v>-</v>
      </c>
      <c r="H1141" s="64">
        <f>ventas_b_mes11[[#This Row],[TOTAL]]/1.21</f>
        <v>0</v>
      </c>
      <c r="I1141" s="183">
        <f>ventas_b_mes11[[#This Row],[IMPORTE NETO]]*0.21</f>
        <v>0</v>
      </c>
      <c r="J1141" s="184"/>
      <c r="K1141" s="184"/>
      <c r="L1141" s="184"/>
      <c r="M1141" s="59"/>
    </row>
    <row r="1142" spans="2:13" x14ac:dyDescent="0.3">
      <c r="B1142" s="178"/>
      <c r="C1142" s="179"/>
      <c r="D1142" s="180"/>
      <c r="E1142" s="181"/>
      <c r="F1142" s="182"/>
      <c r="G1142" s="1" t="str">
        <f>IFERROR(IF(ventas_b_mes11[[#This Row],[CUIT]]="","-",VLOOKUP(ventas_b_mes11[[#This Row],[CUIT]],Lista_CUIT[#All],2,0)),"CUIT NO CARGADO")</f>
        <v>-</v>
      </c>
      <c r="H1142" s="64">
        <f>ventas_b_mes11[[#This Row],[TOTAL]]/1.21</f>
        <v>0</v>
      </c>
      <c r="I1142" s="183">
        <f>ventas_b_mes11[[#This Row],[IMPORTE NETO]]*0.21</f>
        <v>0</v>
      </c>
      <c r="J1142" s="184"/>
      <c r="K1142" s="184"/>
      <c r="L1142" s="184"/>
      <c r="M1142" s="59"/>
    </row>
    <row r="1143" spans="2:13" x14ac:dyDescent="0.3">
      <c r="B1143" s="178"/>
      <c r="C1143" s="179"/>
      <c r="D1143" s="180"/>
      <c r="E1143" s="181"/>
      <c r="F1143" s="182"/>
      <c r="G1143" s="1" t="str">
        <f>IFERROR(IF(ventas_b_mes11[[#This Row],[CUIT]]="","-",VLOOKUP(ventas_b_mes11[[#This Row],[CUIT]],Lista_CUIT[#All],2,0)),"CUIT NO CARGADO")</f>
        <v>-</v>
      </c>
      <c r="H1143" s="64">
        <f>ventas_b_mes11[[#This Row],[TOTAL]]/1.21</f>
        <v>0</v>
      </c>
      <c r="I1143" s="183">
        <f>ventas_b_mes11[[#This Row],[IMPORTE NETO]]*0.21</f>
        <v>0</v>
      </c>
      <c r="J1143" s="184"/>
      <c r="K1143" s="184"/>
      <c r="L1143" s="184"/>
      <c r="M1143" s="59"/>
    </row>
    <row r="1144" spans="2:13" x14ac:dyDescent="0.3">
      <c r="B1144" s="178"/>
      <c r="C1144" s="179"/>
      <c r="D1144" s="180"/>
      <c r="E1144" s="181"/>
      <c r="F1144" s="182"/>
      <c r="G1144" s="1" t="str">
        <f>IFERROR(IF(ventas_b_mes11[[#This Row],[CUIT]]="","-",VLOOKUP(ventas_b_mes11[[#This Row],[CUIT]],Lista_CUIT[#All],2,0)),"CUIT NO CARGADO")</f>
        <v>-</v>
      </c>
      <c r="H1144" s="64">
        <f>ventas_b_mes11[[#This Row],[TOTAL]]/1.21</f>
        <v>0</v>
      </c>
      <c r="I1144" s="183">
        <f>ventas_b_mes11[[#This Row],[IMPORTE NETO]]*0.21</f>
        <v>0</v>
      </c>
      <c r="J1144" s="184"/>
      <c r="K1144" s="184"/>
      <c r="L1144" s="184"/>
      <c r="M1144" s="59"/>
    </row>
    <row r="1145" spans="2:13" x14ac:dyDescent="0.3">
      <c r="B1145" s="178"/>
      <c r="C1145" s="203"/>
      <c r="D1145" s="180"/>
      <c r="E1145" s="181"/>
      <c r="F1145" s="182"/>
      <c r="G1145" s="1" t="str">
        <f>IFERROR(IF(ventas_b_mes11[[#This Row],[CUIT]]="","-",VLOOKUP(ventas_b_mes11[[#This Row],[CUIT]],Lista_CUIT[#All],2,0)),"CUIT NO CARGADO")</f>
        <v>-</v>
      </c>
      <c r="H1145" s="64">
        <f>ventas_b_mes11[[#This Row],[TOTAL]]/1.21</f>
        <v>0</v>
      </c>
      <c r="I1145" s="183">
        <f>ventas_b_mes11[[#This Row],[IMPORTE NETO]]*0.21</f>
        <v>0</v>
      </c>
      <c r="J1145" s="184"/>
      <c r="K1145" s="184"/>
      <c r="L1145" s="184"/>
      <c r="M1145" s="59"/>
    </row>
    <row r="1146" spans="2:13" x14ac:dyDescent="0.3">
      <c r="B1146" s="178"/>
      <c r="C1146" s="179"/>
      <c r="D1146" s="180"/>
      <c r="E1146" s="181"/>
      <c r="F1146" s="182"/>
      <c r="G1146" s="1" t="str">
        <f>IFERROR(IF(ventas_b_mes11[[#This Row],[CUIT]]="","-",VLOOKUP(ventas_b_mes11[[#This Row],[CUIT]],Lista_CUIT[#All],2,0)),"CUIT NO CARGADO")</f>
        <v>-</v>
      </c>
      <c r="H1146" s="64">
        <f>ventas_b_mes11[[#This Row],[TOTAL]]/1.21</f>
        <v>0</v>
      </c>
      <c r="I1146" s="183">
        <f>ventas_b_mes11[[#This Row],[IMPORTE NETO]]*0.21</f>
        <v>0</v>
      </c>
      <c r="J1146" s="184"/>
      <c r="K1146" s="184"/>
      <c r="L1146" s="184"/>
      <c r="M1146" s="59"/>
    </row>
    <row r="1147" spans="2:13" x14ac:dyDescent="0.3">
      <c r="B1147" s="178"/>
      <c r="C1147" s="179"/>
      <c r="D1147" s="180"/>
      <c r="E1147" s="181"/>
      <c r="F1147" s="182"/>
      <c r="G1147" s="1" t="str">
        <f>IFERROR(IF(ventas_b_mes11[[#This Row],[CUIT]]="","-",VLOOKUP(ventas_b_mes11[[#This Row],[CUIT]],Lista_CUIT[#All],2,0)),"CUIT NO CARGADO")</f>
        <v>-</v>
      </c>
      <c r="H1147" s="64">
        <f>ventas_b_mes11[[#This Row],[TOTAL]]/1.21</f>
        <v>0</v>
      </c>
      <c r="I1147" s="183">
        <f>ventas_b_mes11[[#This Row],[IMPORTE NETO]]*0.21</f>
        <v>0</v>
      </c>
      <c r="J1147" s="184"/>
      <c r="K1147" s="184"/>
      <c r="L1147" s="184"/>
      <c r="M1147" s="59"/>
    </row>
    <row r="1148" spans="2:13" x14ac:dyDescent="0.3">
      <c r="B1148" s="178"/>
      <c r="C1148" s="203"/>
      <c r="D1148" s="180"/>
      <c r="E1148" s="181"/>
      <c r="F1148" s="182"/>
      <c r="G1148" s="1" t="str">
        <f>IFERROR(IF(ventas_b_mes11[[#This Row],[CUIT]]="","-",VLOOKUP(ventas_b_mes11[[#This Row],[CUIT]],Lista_CUIT[#All],2,0)),"CUIT NO CARGADO")</f>
        <v>-</v>
      </c>
      <c r="H1148" s="64">
        <f>ventas_b_mes11[[#This Row],[TOTAL]]/1.21</f>
        <v>0</v>
      </c>
      <c r="I1148" s="183">
        <f>ventas_b_mes11[[#This Row],[IMPORTE NETO]]*0.21</f>
        <v>0</v>
      </c>
      <c r="J1148" s="184"/>
      <c r="K1148" s="184"/>
      <c r="L1148" s="184"/>
      <c r="M1148" s="59"/>
    </row>
    <row r="1149" spans="2:13" x14ac:dyDescent="0.3">
      <c r="B1149" s="178"/>
      <c r="C1149" s="179"/>
      <c r="D1149" s="180"/>
      <c r="E1149" s="181"/>
      <c r="F1149" s="182"/>
      <c r="G1149" s="1" t="str">
        <f>IFERROR(IF(ventas_b_mes11[[#This Row],[CUIT]]="","-",VLOOKUP(ventas_b_mes11[[#This Row],[CUIT]],Lista_CUIT[#All],2,0)),"CUIT NO CARGADO")</f>
        <v>-</v>
      </c>
      <c r="H1149" s="64">
        <f>ventas_b_mes11[[#This Row],[TOTAL]]/1.21</f>
        <v>0</v>
      </c>
      <c r="I1149" s="183">
        <f>ventas_b_mes11[[#This Row],[IMPORTE NETO]]*0.21</f>
        <v>0</v>
      </c>
      <c r="J1149" s="184"/>
      <c r="K1149" s="184"/>
      <c r="L1149" s="184"/>
      <c r="M1149" s="59"/>
    </row>
    <row r="1150" spans="2:13" x14ac:dyDescent="0.3">
      <c r="B1150" s="178"/>
      <c r="C1150" s="179"/>
      <c r="D1150" s="180"/>
      <c r="E1150" s="181"/>
      <c r="F1150" s="182"/>
      <c r="G1150" s="1" t="str">
        <f>IFERROR(IF(ventas_b_mes11[[#This Row],[CUIT]]="","-",VLOOKUP(ventas_b_mes11[[#This Row],[CUIT]],Lista_CUIT[#All],2,0)),"CUIT NO CARGADO")</f>
        <v>-</v>
      </c>
      <c r="H1150" s="64">
        <f>ventas_b_mes11[[#This Row],[TOTAL]]/1.21</f>
        <v>0</v>
      </c>
      <c r="I1150" s="183">
        <f>ventas_b_mes11[[#This Row],[IMPORTE NETO]]*0.21</f>
        <v>0</v>
      </c>
      <c r="J1150" s="184"/>
      <c r="K1150" s="184"/>
      <c r="L1150" s="184"/>
      <c r="M1150" s="59"/>
    </row>
    <row r="1151" spans="2:13" x14ac:dyDescent="0.3">
      <c r="B1151" s="178"/>
      <c r="C1151" s="179"/>
      <c r="D1151" s="180"/>
      <c r="E1151" s="181"/>
      <c r="F1151" s="182"/>
      <c r="G1151" s="1" t="str">
        <f>IFERROR(IF(ventas_b_mes11[[#This Row],[CUIT]]="","-",VLOOKUP(ventas_b_mes11[[#This Row],[CUIT]],Lista_CUIT[#All],2,0)),"CUIT NO CARGADO")</f>
        <v>-</v>
      </c>
      <c r="H1151" s="64">
        <f>ventas_b_mes11[[#This Row],[TOTAL]]/1.21</f>
        <v>0</v>
      </c>
      <c r="I1151" s="183">
        <f>ventas_b_mes11[[#This Row],[IMPORTE NETO]]*0.21</f>
        <v>0</v>
      </c>
      <c r="J1151" s="184"/>
      <c r="K1151" s="184"/>
      <c r="L1151" s="184"/>
      <c r="M1151" s="59"/>
    </row>
    <row r="1152" spans="2:13" x14ac:dyDescent="0.3">
      <c r="B1152" s="178"/>
      <c r="C1152" s="179"/>
      <c r="D1152" s="180"/>
      <c r="E1152" s="181"/>
      <c r="F1152" s="182"/>
      <c r="G1152" s="1" t="str">
        <f>IFERROR(IF(ventas_b_mes11[[#This Row],[CUIT]]="","-",VLOOKUP(ventas_b_mes11[[#This Row],[CUIT]],Lista_CUIT[#All],2,0)),"CUIT NO CARGADO")</f>
        <v>-</v>
      </c>
      <c r="H1152" s="64">
        <f>ventas_b_mes11[[#This Row],[TOTAL]]/1.21</f>
        <v>0</v>
      </c>
      <c r="I1152" s="183">
        <f>ventas_b_mes11[[#This Row],[IMPORTE NETO]]*0.21</f>
        <v>0</v>
      </c>
      <c r="J1152" s="184"/>
      <c r="K1152" s="184"/>
      <c r="L1152" s="184"/>
      <c r="M1152" s="59"/>
    </row>
    <row r="1153" spans="2:13" x14ac:dyDescent="0.3">
      <c r="B1153" s="178"/>
      <c r="C1153" s="179"/>
      <c r="D1153" s="180"/>
      <c r="E1153" s="181"/>
      <c r="F1153" s="182"/>
      <c r="G1153" s="1" t="str">
        <f>IFERROR(IF(ventas_b_mes11[[#This Row],[CUIT]]="","-",VLOOKUP(ventas_b_mes11[[#This Row],[CUIT]],Lista_CUIT[#All],2,0)),"CUIT NO CARGADO")</f>
        <v>-</v>
      </c>
      <c r="H1153" s="64">
        <f>ventas_b_mes11[[#This Row],[TOTAL]]/1.21</f>
        <v>0</v>
      </c>
      <c r="I1153" s="183">
        <f>ventas_b_mes11[[#This Row],[IMPORTE NETO]]*0.21</f>
        <v>0</v>
      </c>
      <c r="J1153" s="184"/>
      <c r="K1153" s="184"/>
      <c r="L1153" s="184"/>
      <c r="M1153" s="59"/>
    </row>
    <row r="1154" spans="2:13" x14ac:dyDescent="0.3">
      <c r="B1154" s="178"/>
      <c r="C1154" s="179"/>
      <c r="D1154" s="180"/>
      <c r="E1154" s="181"/>
      <c r="F1154" s="182"/>
      <c r="G1154" s="1" t="str">
        <f>IFERROR(IF(ventas_b_mes11[[#This Row],[CUIT]]="","-",VLOOKUP(ventas_b_mes11[[#This Row],[CUIT]],Lista_CUIT[#All],2,0)),"CUIT NO CARGADO")</f>
        <v>-</v>
      </c>
      <c r="H1154" s="64">
        <f>ventas_b_mes11[[#This Row],[TOTAL]]/1.21</f>
        <v>0</v>
      </c>
      <c r="I1154" s="183">
        <f>ventas_b_mes11[[#This Row],[IMPORTE NETO]]*0.21</f>
        <v>0</v>
      </c>
      <c r="J1154" s="184"/>
      <c r="K1154" s="184"/>
      <c r="L1154" s="184"/>
      <c r="M1154" s="59"/>
    </row>
    <row r="1155" spans="2:13" x14ac:dyDescent="0.3">
      <c r="B1155" s="178"/>
      <c r="C1155" s="179"/>
      <c r="D1155" s="180"/>
      <c r="E1155" s="181"/>
      <c r="F1155" s="182"/>
      <c r="G1155" s="1" t="str">
        <f>IFERROR(IF(ventas_b_mes11[[#This Row],[CUIT]]="","-",VLOOKUP(ventas_b_mes11[[#This Row],[CUIT]],Lista_CUIT[#All],2,0)),"CUIT NO CARGADO")</f>
        <v>-</v>
      </c>
      <c r="H1155" s="64">
        <f>ventas_b_mes11[[#This Row],[TOTAL]]/1.21</f>
        <v>0</v>
      </c>
      <c r="I1155" s="183">
        <f>ventas_b_mes11[[#This Row],[IMPORTE NETO]]*0.21</f>
        <v>0</v>
      </c>
      <c r="J1155" s="184"/>
      <c r="K1155" s="184"/>
      <c r="L1155" s="184"/>
      <c r="M1155" s="59"/>
    </row>
    <row r="1156" spans="2:13" x14ac:dyDescent="0.3">
      <c r="B1156" s="178"/>
      <c r="C1156" s="179"/>
      <c r="D1156" s="180"/>
      <c r="E1156" s="181"/>
      <c r="F1156" s="182"/>
      <c r="G1156" s="1" t="str">
        <f>IFERROR(IF(ventas_b_mes11[[#This Row],[CUIT]]="","-",VLOOKUP(ventas_b_mes11[[#This Row],[CUIT]],Lista_CUIT[#All],2,0)),"CUIT NO CARGADO")</f>
        <v>-</v>
      </c>
      <c r="H1156" s="64">
        <f>ventas_b_mes11[[#This Row],[TOTAL]]/1.21</f>
        <v>0</v>
      </c>
      <c r="I1156" s="183">
        <f>ventas_b_mes11[[#This Row],[IMPORTE NETO]]*0.21</f>
        <v>0</v>
      </c>
      <c r="J1156" s="184"/>
      <c r="K1156" s="184"/>
      <c r="L1156" s="184"/>
      <c r="M1156" s="59"/>
    </row>
    <row r="1157" spans="2:13" x14ac:dyDescent="0.3">
      <c r="B1157" s="178"/>
      <c r="C1157" s="179"/>
      <c r="D1157" s="180"/>
      <c r="E1157" s="181"/>
      <c r="F1157" s="182"/>
      <c r="G1157" s="1" t="str">
        <f>IFERROR(IF(ventas_b_mes11[[#This Row],[CUIT]]="","-",VLOOKUP(ventas_b_mes11[[#This Row],[CUIT]],Lista_CUIT[#All],2,0)),"CUIT NO CARGADO")</f>
        <v>-</v>
      </c>
      <c r="H1157" s="64">
        <f>ventas_b_mes11[[#This Row],[TOTAL]]/1.21</f>
        <v>0</v>
      </c>
      <c r="I1157" s="183">
        <f>ventas_b_mes11[[#This Row],[IMPORTE NETO]]*0.21</f>
        <v>0</v>
      </c>
      <c r="J1157" s="184"/>
      <c r="K1157" s="184"/>
      <c r="L1157" s="184"/>
      <c r="M1157" s="59"/>
    </row>
    <row r="1158" spans="2:13" x14ac:dyDescent="0.3">
      <c r="B1158" s="178"/>
      <c r="C1158" s="179"/>
      <c r="D1158" s="180"/>
      <c r="E1158" s="181"/>
      <c r="F1158" s="182"/>
      <c r="G1158" s="1" t="str">
        <f>IFERROR(IF(ventas_b_mes11[[#This Row],[CUIT]]="","-",VLOOKUP(ventas_b_mes11[[#This Row],[CUIT]],Lista_CUIT[#All],2,0)),"CUIT NO CARGADO")</f>
        <v>-</v>
      </c>
      <c r="H1158" s="64">
        <f>ventas_b_mes11[[#This Row],[TOTAL]]/1.21</f>
        <v>0</v>
      </c>
      <c r="I1158" s="183">
        <f>ventas_b_mes11[[#This Row],[IMPORTE NETO]]*0.21</f>
        <v>0</v>
      </c>
      <c r="J1158" s="184"/>
      <c r="K1158" s="184"/>
      <c r="L1158" s="184"/>
      <c r="M1158" s="59"/>
    </row>
    <row r="1159" spans="2:13" x14ac:dyDescent="0.3">
      <c r="B1159" s="178"/>
      <c r="C1159" s="179"/>
      <c r="D1159" s="180"/>
      <c r="E1159" s="181"/>
      <c r="F1159" s="182"/>
      <c r="G1159" s="1" t="str">
        <f>IFERROR(IF(ventas_b_mes11[[#This Row],[CUIT]]="","-",VLOOKUP(ventas_b_mes11[[#This Row],[CUIT]],Lista_CUIT[#All],2,0)),"CUIT NO CARGADO")</f>
        <v>-</v>
      </c>
      <c r="H1159" s="64">
        <f>ventas_b_mes11[[#This Row],[TOTAL]]/1.21</f>
        <v>0</v>
      </c>
      <c r="I1159" s="183">
        <f>ventas_b_mes11[[#This Row],[IMPORTE NETO]]*0.21</f>
        <v>0</v>
      </c>
      <c r="J1159" s="184"/>
      <c r="K1159" s="184"/>
      <c r="L1159" s="184"/>
      <c r="M1159" s="59"/>
    </row>
    <row r="1160" spans="2:13" x14ac:dyDescent="0.3">
      <c r="B1160" s="178"/>
      <c r="C1160" s="179"/>
      <c r="D1160" s="180"/>
      <c r="E1160" s="181"/>
      <c r="F1160" s="182"/>
      <c r="G1160" s="1" t="str">
        <f>IFERROR(IF(ventas_b_mes11[[#This Row],[CUIT]]="","-",VLOOKUP(ventas_b_mes11[[#This Row],[CUIT]],Lista_CUIT[#All],2,0)),"CUIT NO CARGADO")</f>
        <v>-</v>
      </c>
      <c r="H1160" s="64">
        <f>ventas_b_mes11[[#This Row],[TOTAL]]/1.21</f>
        <v>0</v>
      </c>
      <c r="I1160" s="183">
        <f>ventas_b_mes11[[#This Row],[IMPORTE NETO]]*0.21</f>
        <v>0</v>
      </c>
      <c r="J1160" s="184"/>
      <c r="K1160" s="184"/>
      <c r="L1160" s="184"/>
      <c r="M1160" s="59"/>
    </row>
    <row r="1161" spans="2:13" x14ac:dyDescent="0.3">
      <c r="B1161" s="178"/>
      <c r="C1161" s="179"/>
      <c r="D1161" s="180"/>
      <c r="E1161" s="181"/>
      <c r="F1161" s="182"/>
      <c r="G1161" s="1" t="str">
        <f>IFERROR(IF(ventas_b_mes11[[#This Row],[CUIT]]="","-",VLOOKUP(ventas_b_mes11[[#This Row],[CUIT]],Lista_CUIT[#All],2,0)),"CUIT NO CARGADO")</f>
        <v>-</v>
      </c>
      <c r="H1161" s="64">
        <f>ventas_b_mes11[[#This Row],[TOTAL]]/1.21</f>
        <v>0</v>
      </c>
      <c r="I1161" s="183">
        <f>ventas_b_mes11[[#This Row],[IMPORTE NETO]]*0.21</f>
        <v>0</v>
      </c>
      <c r="J1161" s="184"/>
      <c r="K1161" s="184"/>
      <c r="L1161" s="184"/>
      <c r="M1161" s="59"/>
    </row>
    <row r="1162" spans="2:13" x14ac:dyDescent="0.3">
      <c r="B1162" s="178"/>
      <c r="C1162" s="179"/>
      <c r="D1162" s="180"/>
      <c r="E1162" s="181"/>
      <c r="F1162" s="182"/>
      <c r="G1162" s="1" t="str">
        <f>IFERROR(IF(ventas_b_mes11[[#This Row],[CUIT]]="","-",VLOOKUP(ventas_b_mes11[[#This Row],[CUIT]],Lista_CUIT[#All],2,0)),"CUIT NO CARGADO")</f>
        <v>-</v>
      </c>
      <c r="H1162" s="64">
        <f>ventas_b_mes11[[#This Row],[TOTAL]]/1.21</f>
        <v>0</v>
      </c>
      <c r="I1162" s="183">
        <f>ventas_b_mes11[[#This Row],[IMPORTE NETO]]*0.21</f>
        <v>0</v>
      </c>
      <c r="J1162" s="184"/>
      <c r="K1162" s="184"/>
      <c r="L1162" s="184"/>
      <c r="M1162" s="59"/>
    </row>
    <row r="1163" spans="2:13" x14ac:dyDescent="0.3">
      <c r="B1163" s="178"/>
      <c r="C1163" s="179"/>
      <c r="D1163" s="180"/>
      <c r="E1163" s="181"/>
      <c r="F1163" s="182"/>
      <c r="G1163" s="1" t="str">
        <f>IFERROR(IF(ventas_b_mes11[[#This Row],[CUIT]]="","-",VLOOKUP(ventas_b_mes11[[#This Row],[CUIT]],Lista_CUIT[#All],2,0)),"CUIT NO CARGADO")</f>
        <v>-</v>
      </c>
      <c r="H1163" s="64">
        <f>ventas_b_mes11[[#This Row],[TOTAL]]/1.21</f>
        <v>0</v>
      </c>
      <c r="I1163" s="183">
        <f>ventas_b_mes11[[#This Row],[IMPORTE NETO]]*0.21</f>
        <v>0</v>
      </c>
      <c r="J1163" s="184"/>
      <c r="K1163" s="184"/>
      <c r="L1163" s="184"/>
      <c r="M1163" s="59"/>
    </row>
    <row r="1164" spans="2:13" x14ac:dyDescent="0.3">
      <c r="B1164" s="178"/>
      <c r="C1164" s="179"/>
      <c r="D1164" s="180"/>
      <c r="E1164" s="181"/>
      <c r="F1164" s="182"/>
      <c r="G1164" s="1" t="str">
        <f>IFERROR(IF(ventas_b_mes11[[#This Row],[CUIT]]="","-",VLOOKUP(ventas_b_mes11[[#This Row],[CUIT]],Lista_CUIT[#All],2,0)),"CUIT NO CARGADO")</f>
        <v>-</v>
      </c>
      <c r="H1164" s="64">
        <f>ventas_b_mes11[[#This Row],[TOTAL]]/1.21</f>
        <v>0</v>
      </c>
      <c r="I1164" s="183">
        <f>ventas_b_mes11[[#This Row],[IMPORTE NETO]]*0.21</f>
        <v>0</v>
      </c>
      <c r="J1164" s="184"/>
      <c r="K1164" s="184"/>
      <c r="L1164" s="184"/>
      <c r="M1164" s="59"/>
    </row>
    <row r="1165" spans="2:13" x14ac:dyDescent="0.3">
      <c r="B1165" s="178"/>
      <c r="C1165" s="179"/>
      <c r="D1165" s="180"/>
      <c r="E1165" s="181"/>
      <c r="F1165" s="182"/>
      <c r="G1165" s="1" t="str">
        <f>IFERROR(IF(ventas_b_mes11[[#This Row],[CUIT]]="","-",VLOOKUP(ventas_b_mes11[[#This Row],[CUIT]],Lista_CUIT[#All],2,0)),"CUIT NO CARGADO")</f>
        <v>-</v>
      </c>
      <c r="H1165" s="64">
        <f>ventas_b_mes11[[#This Row],[TOTAL]]/1.21</f>
        <v>0</v>
      </c>
      <c r="I1165" s="183">
        <f>ventas_b_mes11[[#This Row],[IMPORTE NETO]]*0.21</f>
        <v>0</v>
      </c>
      <c r="J1165" s="184"/>
      <c r="K1165" s="184"/>
      <c r="L1165" s="184"/>
      <c r="M1165" s="59"/>
    </row>
    <row r="1166" spans="2:13" x14ac:dyDescent="0.3">
      <c r="B1166" s="178"/>
      <c r="C1166" s="179"/>
      <c r="D1166" s="180"/>
      <c r="E1166" s="181"/>
      <c r="F1166" s="182"/>
      <c r="G1166" s="1" t="str">
        <f>IFERROR(IF(ventas_b_mes11[[#This Row],[CUIT]]="","-",VLOOKUP(ventas_b_mes11[[#This Row],[CUIT]],Lista_CUIT[#All],2,0)),"CUIT NO CARGADO")</f>
        <v>-</v>
      </c>
      <c r="H1166" s="64">
        <f>ventas_b_mes11[[#This Row],[TOTAL]]/1.21</f>
        <v>0</v>
      </c>
      <c r="I1166" s="183">
        <f>ventas_b_mes11[[#This Row],[IMPORTE NETO]]*0.21</f>
        <v>0</v>
      </c>
      <c r="J1166" s="184"/>
      <c r="K1166" s="184"/>
      <c r="L1166" s="184"/>
      <c r="M1166" s="59"/>
    </row>
    <row r="1167" spans="2:13" x14ac:dyDescent="0.3">
      <c r="B1167" s="178"/>
      <c r="C1167" s="179"/>
      <c r="D1167" s="180"/>
      <c r="E1167" s="181"/>
      <c r="F1167" s="182"/>
      <c r="G1167" s="1" t="str">
        <f>IFERROR(IF(ventas_b_mes11[[#This Row],[CUIT]]="","-",VLOOKUP(ventas_b_mes11[[#This Row],[CUIT]],Lista_CUIT[#All],2,0)),"CUIT NO CARGADO")</f>
        <v>-</v>
      </c>
      <c r="H1167" s="64">
        <f>ventas_b_mes11[[#This Row],[TOTAL]]/1.21</f>
        <v>0</v>
      </c>
      <c r="I1167" s="183">
        <f>ventas_b_mes11[[#This Row],[IMPORTE NETO]]*0.21</f>
        <v>0</v>
      </c>
      <c r="J1167" s="184"/>
      <c r="K1167" s="184"/>
      <c r="L1167" s="184"/>
      <c r="M1167" s="59"/>
    </row>
    <row r="1168" spans="2:13" x14ac:dyDescent="0.3">
      <c r="B1168" s="178"/>
      <c r="C1168" s="179"/>
      <c r="D1168" s="180"/>
      <c r="E1168" s="181"/>
      <c r="F1168" s="182"/>
      <c r="G1168" s="1" t="str">
        <f>IFERROR(IF(ventas_b_mes11[[#This Row],[CUIT]]="","-",VLOOKUP(ventas_b_mes11[[#This Row],[CUIT]],Lista_CUIT[#All],2,0)),"CUIT NO CARGADO")</f>
        <v>-</v>
      </c>
      <c r="H1168" s="64">
        <f>ventas_b_mes11[[#This Row],[TOTAL]]/1.21</f>
        <v>0</v>
      </c>
      <c r="I1168" s="183">
        <f>ventas_b_mes11[[#This Row],[IMPORTE NETO]]*0.21</f>
        <v>0</v>
      </c>
      <c r="J1168" s="184"/>
      <c r="K1168" s="184"/>
      <c r="L1168" s="184"/>
      <c r="M1168" s="59"/>
    </row>
    <row r="1169" spans="2:13" x14ac:dyDescent="0.3">
      <c r="B1169" s="178"/>
      <c r="C1169" s="179"/>
      <c r="D1169" s="180"/>
      <c r="E1169" s="181"/>
      <c r="F1169" s="182"/>
      <c r="G1169" s="1" t="str">
        <f>IFERROR(IF(ventas_b_mes11[[#This Row],[CUIT]]="","-",VLOOKUP(ventas_b_mes11[[#This Row],[CUIT]],Lista_CUIT[#All],2,0)),"CUIT NO CARGADO")</f>
        <v>-</v>
      </c>
      <c r="H1169" s="64">
        <f>ventas_b_mes11[[#This Row],[TOTAL]]/1.21</f>
        <v>0</v>
      </c>
      <c r="I1169" s="183">
        <f>ventas_b_mes11[[#This Row],[IMPORTE NETO]]*0.21</f>
        <v>0</v>
      </c>
      <c r="J1169" s="184"/>
      <c r="K1169" s="184"/>
      <c r="L1169" s="184"/>
      <c r="M1169" s="59"/>
    </row>
    <row r="1170" spans="2:13" x14ac:dyDescent="0.3">
      <c r="B1170" s="178"/>
      <c r="C1170" s="179"/>
      <c r="D1170" s="180"/>
      <c r="E1170" s="181"/>
      <c r="F1170" s="182"/>
      <c r="G1170" s="1" t="str">
        <f>IFERROR(IF(ventas_b_mes11[[#This Row],[CUIT]]="","-",VLOOKUP(ventas_b_mes11[[#This Row],[CUIT]],Lista_CUIT[#All],2,0)),"CUIT NO CARGADO")</f>
        <v>-</v>
      </c>
      <c r="H1170" s="64">
        <f>ventas_b_mes11[[#This Row],[TOTAL]]/1.21</f>
        <v>0</v>
      </c>
      <c r="I1170" s="183">
        <f>ventas_b_mes11[[#This Row],[IMPORTE NETO]]*0.21</f>
        <v>0</v>
      </c>
      <c r="J1170" s="184"/>
      <c r="K1170" s="184"/>
      <c r="L1170" s="184"/>
      <c r="M1170" s="59"/>
    </row>
    <row r="1171" spans="2:13" x14ac:dyDescent="0.3">
      <c r="B1171" s="178"/>
      <c r="C1171" s="179"/>
      <c r="D1171" s="180"/>
      <c r="E1171" s="181"/>
      <c r="F1171" s="182"/>
      <c r="G1171" s="1" t="str">
        <f>IFERROR(IF(ventas_b_mes11[[#This Row],[CUIT]]="","-",VLOOKUP(ventas_b_mes11[[#This Row],[CUIT]],Lista_CUIT[#All],2,0)),"CUIT NO CARGADO")</f>
        <v>-</v>
      </c>
      <c r="H1171" s="64">
        <f>ventas_b_mes11[[#This Row],[TOTAL]]/1.21</f>
        <v>0</v>
      </c>
      <c r="I1171" s="183">
        <f>ventas_b_mes11[[#This Row],[IMPORTE NETO]]*0.21</f>
        <v>0</v>
      </c>
      <c r="J1171" s="184"/>
      <c r="K1171" s="184"/>
      <c r="L1171" s="184"/>
      <c r="M1171" s="59"/>
    </row>
    <row r="1172" spans="2:13" x14ac:dyDescent="0.3">
      <c r="B1172" s="178"/>
      <c r="C1172" s="179"/>
      <c r="D1172" s="180"/>
      <c r="E1172" s="181"/>
      <c r="F1172" s="182"/>
      <c r="G1172" s="1" t="str">
        <f>IFERROR(IF(ventas_b_mes11[[#This Row],[CUIT]]="","-",VLOOKUP(ventas_b_mes11[[#This Row],[CUIT]],Lista_CUIT[#All],2,0)),"CUIT NO CARGADO")</f>
        <v>-</v>
      </c>
      <c r="H1172" s="64">
        <f>ventas_b_mes11[[#This Row],[TOTAL]]/1.21</f>
        <v>0</v>
      </c>
      <c r="I1172" s="183">
        <f>ventas_b_mes11[[#This Row],[IMPORTE NETO]]*0.21</f>
        <v>0</v>
      </c>
      <c r="J1172" s="184"/>
      <c r="K1172" s="184"/>
      <c r="L1172" s="184"/>
      <c r="M1172" s="59"/>
    </row>
    <row r="1173" spans="2:13" x14ac:dyDescent="0.3">
      <c r="B1173" s="178"/>
      <c r="C1173" s="179"/>
      <c r="D1173" s="180"/>
      <c r="E1173" s="181"/>
      <c r="F1173" s="182"/>
      <c r="G1173" s="1" t="str">
        <f>IFERROR(IF(ventas_b_mes11[[#This Row],[CUIT]]="","-",VLOOKUP(ventas_b_mes11[[#This Row],[CUIT]],Lista_CUIT[#All],2,0)),"CUIT NO CARGADO")</f>
        <v>-</v>
      </c>
      <c r="H1173" s="64">
        <f>ventas_b_mes11[[#This Row],[TOTAL]]/1.21</f>
        <v>0</v>
      </c>
      <c r="I1173" s="183">
        <f>ventas_b_mes11[[#This Row],[IMPORTE NETO]]*0.21</f>
        <v>0</v>
      </c>
      <c r="J1173" s="184"/>
      <c r="K1173" s="184"/>
      <c r="L1173" s="184"/>
      <c r="M1173" s="59"/>
    </row>
    <row r="1174" spans="2:13" x14ac:dyDescent="0.3">
      <c r="B1174" s="178"/>
      <c r="C1174" s="179"/>
      <c r="D1174" s="180"/>
      <c r="E1174" s="181"/>
      <c r="F1174" s="182"/>
      <c r="G1174" s="1" t="str">
        <f>IFERROR(IF(ventas_b_mes11[[#This Row],[CUIT]]="","-",VLOOKUP(ventas_b_mes11[[#This Row],[CUIT]],Lista_CUIT[#All],2,0)),"CUIT NO CARGADO")</f>
        <v>-</v>
      </c>
      <c r="H1174" s="64">
        <f>ventas_b_mes11[[#This Row],[TOTAL]]/1.21</f>
        <v>0</v>
      </c>
      <c r="I1174" s="183">
        <f>ventas_b_mes11[[#This Row],[IMPORTE NETO]]*0.21</f>
        <v>0</v>
      </c>
      <c r="J1174" s="184"/>
      <c r="K1174" s="184"/>
      <c r="L1174" s="184"/>
      <c r="M1174" s="59"/>
    </row>
    <row r="1175" spans="2:13" x14ac:dyDescent="0.3">
      <c r="B1175" s="178"/>
      <c r="C1175" s="179"/>
      <c r="D1175" s="180"/>
      <c r="E1175" s="181"/>
      <c r="F1175" s="182"/>
      <c r="G1175" s="1" t="str">
        <f>IFERROR(IF(ventas_b_mes11[[#This Row],[CUIT]]="","-",VLOOKUP(ventas_b_mes11[[#This Row],[CUIT]],Lista_CUIT[#All],2,0)),"CUIT NO CARGADO")</f>
        <v>-</v>
      </c>
      <c r="H1175" s="64">
        <f>ventas_b_mes11[[#This Row],[TOTAL]]/1.21</f>
        <v>0</v>
      </c>
      <c r="I1175" s="183">
        <f>ventas_b_mes11[[#This Row],[IMPORTE NETO]]*0.21</f>
        <v>0</v>
      </c>
      <c r="J1175" s="184"/>
      <c r="K1175" s="184"/>
      <c r="L1175" s="184"/>
      <c r="M1175" s="59"/>
    </row>
    <row r="1176" spans="2:13" x14ac:dyDescent="0.3">
      <c r="B1176" s="178"/>
      <c r="C1176" s="179"/>
      <c r="D1176" s="180"/>
      <c r="E1176" s="181"/>
      <c r="F1176" s="182"/>
      <c r="G1176" s="1" t="str">
        <f>IFERROR(IF(ventas_b_mes11[[#This Row],[CUIT]]="","-",VLOOKUP(ventas_b_mes11[[#This Row],[CUIT]],Lista_CUIT[#All],2,0)),"CUIT NO CARGADO")</f>
        <v>-</v>
      </c>
      <c r="H1176" s="64">
        <f>ventas_b_mes11[[#This Row],[TOTAL]]/1.21</f>
        <v>0</v>
      </c>
      <c r="I1176" s="183">
        <f>ventas_b_mes11[[#This Row],[IMPORTE NETO]]*0.21</f>
        <v>0</v>
      </c>
      <c r="J1176" s="184"/>
      <c r="K1176" s="184"/>
      <c r="L1176" s="184"/>
      <c r="M1176" s="59"/>
    </row>
    <row r="1177" spans="2:13" x14ac:dyDescent="0.3">
      <c r="B1177" s="178"/>
      <c r="C1177" s="179"/>
      <c r="D1177" s="180"/>
      <c r="E1177" s="181"/>
      <c r="F1177" s="182"/>
      <c r="G1177" s="1" t="str">
        <f>IFERROR(IF(ventas_b_mes11[[#This Row],[CUIT]]="","-",VLOOKUP(ventas_b_mes11[[#This Row],[CUIT]],Lista_CUIT[#All],2,0)),"CUIT NO CARGADO")</f>
        <v>-</v>
      </c>
      <c r="H1177" s="64">
        <f>ventas_b_mes11[[#This Row],[TOTAL]]/1.21</f>
        <v>0</v>
      </c>
      <c r="I1177" s="183">
        <f>ventas_b_mes11[[#This Row],[IMPORTE NETO]]*0.21</f>
        <v>0</v>
      </c>
      <c r="J1177" s="184"/>
      <c r="K1177" s="184"/>
      <c r="L1177" s="184"/>
      <c r="M1177" s="59"/>
    </row>
    <row r="1178" spans="2:13" x14ac:dyDescent="0.3">
      <c r="B1178" s="178"/>
      <c r="C1178" s="179"/>
      <c r="D1178" s="180"/>
      <c r="E1178" s="181"/>
      <c r="F1178" s="182"/>
      <c r="G1178" s="1" t="str">
        <f>IFERROR(IF(ventas_b_mes11[[#This Row],[CUIT]]="","-",VLOOKUP(ventas_b_mes11[[#This Row],[CUIT]],Lista_CUIT[#All],2,0)),"CUIT NO CARGADO")</f>
        <v>-</v>
      </c>
      <c r="H1178" s="64">
        <f>ventas_b_mes11[[#This Row],[TOTAL]]/1.21</f>
        <v>0</v>
      </c>
      <c r="I1178" s="183">
        <f>ventas_b_mes11[[#This Row],[IMPORTE NETO]]*0.21</f>
        <v>0</v>
      </c>
      <c r="J1178" s="184"/>
      <c r="K1178" s="184"/>
      <c r="L1178" s="184"/>
      <c r="M1178" s="59"/>
    </row>
    <row r="1179" spans="2:13" x14ac:dyDescent="0.3">
      <c r="B1179" s="178"/>
      <c r="C1179" s="179"/>
      <c r="D1179" s="180"/>
      <c r="E1179" s="181"/>
      <c r="F1179" s="182"/>
      <c r="G1179" s="1" t="str">
        <f>IFERROR(IF(ventas_b_mes11[[#This Row],[CUIT]]="","-",VLOOKUP(ventas_b_mes11[[#This Row],[CUIT]],Lista_CUIT[#All],2,0)),"CUIT NO CARGADO")</f>
        <v>-</v>
      </c>
      <c r="H1179" s="64">
        <f>ventas_b_mes11[[#This Row],[TOTAL]]/1.21</f>
        <v>0</v>
      </c>
      <c r="I1179" s="183">
        <f>ventas_b_mes11[[#This Row],[IMPORTE NETO]]*0.21</f>
        <v>0</v>
      </c>
      <c r="J1179" s="184"/>
      <c r="K1179" s="184"/>
      <c r="L1179" s="184"/>
      <c r="M1179" s="59"/>
    </row>
    <row r="1180" spans="2:13" x14ac:dyDescent="0.3">
      <c r="B1180" s="178"/>
      <c r="C1180" s="179"/>
      <c r="D1180" s="180"/>
      <c r="E1180" s="181"/>
      <c r="F1180" s="182"/>
      <c r="G1180" s="1" t="str">
        <f>IFERROR(IF(ventas_b_mes11[[#This Row],[CUIT]]="","-",VLOOKUP(ventas_b_mes11[[#This Row],[CUIT]],Lista_CUIT[#All],2,0)),"CUIT NO CARGADO")</f>
        <v>-</v>
      </c>
      <c r="H1180" s="64">
        <f>ventas_b_mes11[[#This Row],[TOTAL]]/1.21</f>
        <v>0</v>
      </c>
      <c r="I1180" s="183">
        <f>ventas_b_mes11[[#This Row],[IMPORTE NETO]]*0.21</f>
        <v>0</v>
      </c>
      <c r="J1180" s="184"/>
      <c r="K1180" s="184"/>
      <c r="L1180" s="184"/>
      <c r="M1180" s="59"/>
    </row>
    <row r="1181" spans="2:13" x14ac:dyDescent="0.3">
      <c r="B1181" s="178"/>
      <c r="C1181" s="179"/>
      <c r="D1181" s="180"/>
      <c r="E1181" s="181"/>
      <c r="F1181" s="182"/>
      <c r="G1181" s="1" t="str">
        <f>IFERROR(IF(ventas_b_mes11[[#This Row],[CUIT]]="","-",VLOOKUP(ventas_b_mes11[[#This Row],[CUIT]],Lista_CUIT[#All],2,0)),"CUIT NO CARGADO")</f>
        <v>-</v>
      </c>
      <c r="H1181" s="64">
        <f>ventas_b_mes11[[#This Row],[TOTAL]]/1.21</f>
        <v>0</v>
      </c>
      <c r="I1181" s="183">
        <f>ventas_b_mes11[[#This Row],[IMPORTE NETO]]*0.21</f>
        <v>0</v>
      </c>
      <c r="J1181" s="184"/>
      <c r="K1181" s="184"/>
      <c r="L1181" s="184"/>
      <c r="M1181" s="59"/>
    </row>
    <row r="1182" spans="2:13" x14ac:dyDescent="0.3">
      <c r="B1182" s="178"/>
      <c r="C1182" s="179"/>
      <c r="D1182" s="180"/>
      <c r="E1182" s="181"/>
      <c r="F1182" s="182"/>
      <c r="G1182" s="1" t="str">
        <f>IFERROR(IF(ventas_b_mes11[[#This Row],[CUIT]]="","-",VLOOKUP(ventas_b_mes11[[#This Row],[CUIT]],Lista_CUIT[#All],2,0)),"CUIT NO CARGADO")</f>
        <v>-</v>
      </c>
      <c r="H1182" s="64">
        <f>ventas_b_mes11[[#This Row],[TOTAL]]/1.21</f>
        <v>0</v>
      </c>
      <c r="I1182" s="183">
        <f>ventas_b_mes11[[#This Row],[IMPORTE NETO]]*0.21</f>
        <v>0</v>
      </c>
      <c r="J1182" s="184"/>
      <c r="K1182" s="184"/>
      <c r="L1182" s="184"/>
      <c r="M1182" s="59"/>
    </row>
    <row r="1183" spans="2:13" x14ac:dyDescent="0.3">
      <c r="B1183" s="178"/>
      <c r="C1183" s="179"/>
      <c r="D1183" s="180"/>
      <c r="E1183" s="181"/>
      <c r="F1183" s="182"/>
      <c r="G1183" s="1" t="str">
        <f>IFERROR(IF(ventas_b_mes11[[#This Row],[CUIT]]="","-",VLOOKUP(ventas_b_mes11[[#This Row],[CUIT]],Lista_CUIT[#All],2,0)),"CUIT NO CARGADO")</f>
        <v>-</v>
      </c>
      <c r="H1183" s="64">
        <f>ventas_b_mes11[[#This Row],[TOTAL]]/1.21</f>
        <v>0</v>
      </c>
      <c r="I1183" s="183">
        <f>ventas_b_mes11[[#This Row],[IMPORTE NETO]]*0.21</f>
        <v>0</v>
      </c>
      <c r="J1183" s="184"/>
      <c r="K1183" s="184"/>
      <c r="L1183" s="184"/>
      <c r="M1183" s="59"/>
    </row>
    <row r="1184" spans="2:13" x14ac:dyDescent="0.3">
      <c r="B1184" s="178"/>
      <c r="C1184" s="179"/>
      <c r="D1184" s="180"/>
      <c r="E1184" s="181"/>
      <c r="F1184" s="182"/>
      <c r="G1184" s="1" t="str">
        <f>IFERROR(IF(ventas_b_mes11[[#This Row],[CUIT]]="","-",VLOOKUP(ventas_b_mes11[[#This Row],[CUIT]],Lista_CUIT[#All],2,0)),"CUIT NO CARGADO")</f>
        <v>-</v>
      </c>
      <c r="H1184" s="64">
        <f>ventas_b_mes11[[#This Row],[TOTAL]]/1.21</f>
        <v>0</v>
      </c>
      <c r="I1184" s="183">
        <f>ventas_b_mes11[[#This Row],[IMPORTE NETO]]*0.21</f>
        <v>0</v>
      </c>
      <c r="J1184" s="184"/>
      <c r="K1184" s="184"/>
      <c r="L1184" s="184"/>
      <c r="M1184" s="59"/>
    </row>
    <row r="1185" spans="2:13" x14ac:dyDescent="0.3">
      <c r="B1185" s="178"/>
      <c r="C1185" s="179"/>
      <c r="D1185" s="180"/>
      <c r="E1185" s="181"/>
      <c r="F1185" s="182"/>
      <c r="G1185" s="1" t="str">
        <f>IFERROR(IF(ventas_b_mes11[[#This Row],[CUIT]]="","-",VLOOKUP(ventas_b_mes11[[#This Row],[CUIT]],Lista_CUIT[#All],2,0)),"CUIT NO CARGADO")</f>
        <v>-</v>
      </c>
      <c r="H1185" s="64">
        <f>ventas_b_mes11[[#This Row],[TOTAL]]/1.21</f>
        <v>0</v>
      </c>
      <c r="I1185" s="183">
        <f>ventas_b_mes11[[#This Row],[IMPORTE NETO]]*0.21</f>
        <v>0</v>
      </c>
      <c r="J1185" s="184"/>
      <c r="K1185" s="184"/>
      <c r="L1185" s="184"/>
      <c r="M1185" s="59"/>
    </row>
    <row r="1186" spans="2:13" x14ac:dyDescent="0.3">
      <c r="B1186" s="178"/>
      <c r="C1186" s="179"/>
      <c r="D1186" s="180"/>
      <c r="E1186" s="181"/>
      <c r="F1186" s="182"/>
      <c r="G1186" s="1" t="str">
        <f>IFERROR(IF(ventas_b_mes11[[#This Row],[CUIT]]="","-",VLOOKUP(ventas_b_mes11[[#This Row],[CUIT]],Lista_CUIT[#All],2,0)),"CUIT NO CARGADO")</f>
        <v>-</v>
      </c>
      <c r="H1186" s="64">
        <f>ventas_b_mes11[[#This Row],[TOTAL]]/1.21</f>
        <v>0</v>
      </c>
      <c r="I1186" s="183">
        <f>ventas_b_mes11[[#This Row],[IMPORTE NETO]]*0.21</f>
        <v>0</v>
      </c>
      <c r="J1186" s="184"/>
      <c r="K1186" s="184"/>
      <c r="L1186" s="184"/>
      <c r="M1186" s="59"/>
    </row>
    <row r="1187" spans="2:13" x14ac:dyDescent="0.3">
      <c r="B1187" s="178"/>
      <c r="C1187" s="179"/>
      <c r="D1187" s="180"/>
      <c r="E1187" s="181"/>
      <c r="F1187" s="182"/>
      <c r="G1187" s="1" t="str">
        <f>IFERROR(IF(ventas_b_mes11[[#This Row],[CUIT]]="","-",VLOOKUP(ventas_b_mes11[[#This Row],[CUIT]],Lista_CUIT[#All],2,0)),"CUIT NO CARGADO")</f>
        <v>-</v>
      </c>
      <c r="H1187" s="64">
        <f>ventas_b_mes11[[#This Row],[TOTAL]]/1.21</f>
        <v>0</v>
      </c>
      <c r="I1187" s="183">
        <f>ventas_b_mes11[[#This Row],[IMPORTE NETO]]*0.21</f>
        <v>0</v>
      </c>
      <c r="J1187" s="184"/>
      <c r="K1187" s="184"/>
      <c r="L1187" s="184"/>
      <c r="M1187" s="59"/>
    </row>
    <row r="1188" spans="2:13" x14ac:dyDescent="0.3">
      <c r="B1188" s="178"/>
      <c r="C1188" s="179"/>
      <c r="D1188" s="180"/>
      <c r="E1188" s="181"/>
      <c r="F1188" s="182"/>
      <c r="G1188" s="1" t="str">
        <f>IFERROR(IF(ventas_b_mes11[[#This Row],[CUIT]]="","-",VLOOKUP(ventas_b_mes11[[#This Row],[CUIT]],Lista_CUIT[#All],2,0)),"CUIT NO CARGADO")</f>
        <v>-</v>
      </c>
      <c r="H1188" s="64">
        <f>ventas_b_mes11[[#This Row],[TOTAL]]/1.21</f>
        <v>0</v>
      </c>
      <c r="I1188" s="183">
        <f>ventas_b_mes11[[#This Row],[IMPORTE NETO]]*0.21</f>
        <v>0</v>
      </c>
      <c r="J1188" s="184"/>
      <c r="K1188" s="184"/>
      <c r="L1188" s="184"/>
      <c r="M1188" s="59"/>
    </row>
    <row r="1189" spans="2:13" x14ac:dyDescent="0.3">
      <c r="B1189" s="178"/>
      <c r="C1189" s="179"/>
      <c r="D1189" s="180"/>
      <c r="E1189" s="181"/>
      <c r="F1189" s="182"/>
      <c r="G1189" s="1" t="str">
        <f>IFERROR(IF(ventas_b_mes11[[#This Row],[CUIT]]="","-",VLOOKUP(ventas_b_mes11[[#This Row],[CUIT]],Lista_CUIT[#All],2,0)),"CUIT NO CARGADO")</f>
        <v>-</v>
      </c>
      <c r="H1189" s="64">
        <f>ventas_b_mes11[[#This Row],[TOTAL]]/1.21</f>
        <v>0</v>
      </c>
      <c r="I1189" s="183">
        <f>ventas_b_mes11[[#This Row],[IMPORTE NETO]]*0.21</f>
        <v>0</v>
      </c>
      <c r="J1189" s="184"/>
      <c r="K1189" s="184"/>
      <c r="L1189" s="184"/>
      <c r="M1189" s="59"/>
    </row>
    <row r="1190" spans="2:13" x14ac:dyDescent="0.3">
      <c r="B1190" s="178"/>
      <c r="C1190" s="179"/>
      <c r="D1190" s="180"/>
      <c r="E1190" s="181"/>
      <c r="F1190" s="182"/>
      <c r="G1190" s="1" t="str">
        <f>IFERROR(IF(ventas_b_mes11[[#This Row],[CUIT]]="","-",VLOOKUP(ventas_b_mes11[[#This Row],[CUIT]],Lista_CUIT[#All],2,0)),"CUIT NO CARGADO")</f>
        <v>-</v>
      </c>
      <c r="H1190" s="64">
        <f>ventas_b_mes11[[#This Row],[TOTAL]]/1.21</f>
        <v>0</v>
      </c>
      <c r="I1190" s="183">
        <f>ventas_b_mes11[[#This Row],[IMPORTE NETO]]*0.21</f>
        <v>0</v>
      </c>
      <c r="J1190" s="184"/>
      <c r="K1190" s="184"/>
      <c r="L1190" s="184"/>
      <c r="M1190" s="59"/>
    </row>
    <row r="1191" spans="2:13" x14ac:dyDescent="0.3">
      <c r="B1191" s="178"/>
      <c r="C1191" s="179"/>
      <c r="D1191" s="180"/>
      <c r="E1191" s="181"/>
      <c r="F1191" s="182"/>
      <c r="G1191" s="1" t="str">
        <f>IFERROR(IF(ventas_b_mes11[[#This Row],[CUIT]]="","-",VLOOKUP(ventas_b_mes11[[#This Row],[CUIT]],Lista_CUIT[#All],2,0)),"CUIT NO CARGADO")</f>
        <v>-</v>
      </c>
      <c r="H1191" s="64">
        <f>ventas_b_mes11[[#This Row],[TOTAL]]/1.21</f>
        <v>0</v>
      </c>
      <c r="I1191" s="183">
        <f>ventas_b_mes11[[#This Row],[IMPORTE NETO]]*0.21</f>
        <v>0</v>
      </c>
      <c r="J1191" s="184"/>
      <c r="K1191" s="184"/>
      <c r="L1191" s="184"/>
      <c r="M1191" s="59"/>
    </row>
    <row r="1192" spans="2:13" x14ac:dyDescent="0.3">
      <c r="B1192" s="178"/>
      <c r="C1192" s="179"/>
      <c r="D1192" s="180"/>
      <c r="E1192" s="181"/>
      <c r="F1192" s="182"/>
      <c r="G1192" s="1" t="str">
        <f>IFERROR(IF(ventas_b_mes11[[#This Row],[CUIT]]="","-",VLOOKUP(ventas_b_mes11[[#This Row],[CUIT]],Lista_CUIT[#All],2,0)),"CUIT NO CARGADO")</f>
        <v>-</v>
      </c>
      <c r="H1192" s="64">
        <f>ventas_b_mes11[[#This Row],[TOTAL]]/1.21</f>
        <v>0</v>
      </c>
      <c r="I1192" s="183">
        <f>ventas_b_mes11[[#This Row],[IMPORTE NETO]]*0.21</f>
        <v>0</v>
      </c>
      <c r="J1192" s="184"/>
      <c r="K1192" s="184"/>
      <c r="L1192" s="184"/>
      <c r="M1192" s="59"/>
    </row>
    <row r="1193" spans="2:13" x14ac:dyDescent="0.3">
      <c r="B1193" s="178"/>
      <c r="C1193" s="179"/>
      <c r="D1193" s="180"/>
      <c r="E1193" s="181"/>
      <c r="F1193" s="182"/>
      <c r="G1193" s="1" t="str">
        <f>IFERROR(IF(ventas_b_mes11[[#This Row],[CUIT]]="","-",VLOOKUP(ventas_b_mes11[[#This Row],[CUIT]],Lista_CUIT[#All],2,0)),"CUIT NO CARGADO")</f>
        <v>-</v>
      </c>
      <c r="H1193" s="64">
        <f>ventas_b_mes11[[#This Row],[TOTAL]]/1.21</f>
        <v>0</v>
      </c>
      <c r="I1193" s="183">
        <f>ventas_b_mes11[[#This Row],[IMPORTE NETO]]*0.21</f>
        <v>0</v>
      </c>
      <c r="J1193" s="184"/>
      <c r="K1193" s="184"/>
      <c r="L1193" s="184"/>
      <c r="M1193" s="59"/>
    </row>
    <row r="1194" spans="2:13" x14ac:dyDescent="0.3">
      <c r="B1194" s="178"/>
      <c r="C1194" s="179"/>
      <c r="D1194" s="180"/>
      <c r="E1194" s="181"/>
      <c r="F1194" s="182"/>
      <c r="G1194" s="1" t="str">
        <f>IFERROR(IF(ventas_b_mes11[[#This Row],[CUIT]]="","-",VLOOKUP(ventas_b_mes11[[#This Row],[CUIT]],Lista_CUIT[#All],2,0)),"CUIT NO CARGADO")</f>
        <v>-</v>
      </c>
      <c r="H1194" s="64">
        <f>ventas_b_mes11[[#This Row],[TOTAL]]/1.21</f>
        <v>0</v>
      </c>
      <c r="I1194" s="183">
        <f>ventas_b_mes11[[#This Row],[IMPORTE NETO]]*0.21</f>
        <v>0</v>
      </c>
      <c r="J1194" s="184"/>
      <c r="K1194" s="184"/>
      <c r="L1194" s="184"/>
      <c r="M1194" s="59"/>
    </row>
    <row r="1195" spans="2:13" x14ac:dyDescent="0.3">
      <c r="B1195" s="178"/>
      <c r="C1195" s="179"/>
      <c r="D1195" s="180"/>
      <c r="E1195" s="181"/>
      <c r="F1195" s="182"/>
      <c r="G1195" s="1" t="str">
        <f>IFERROR(IF(ventas_b_mes11[[#This Row],[CUIT]]="","-",VLOOKUP(ventas_b_mes11[[#This Row],[CUIT]],Lista_CUIT[#All],2,0)),"CUIT NO CARGADO")</f>
        <v>-</v>
      </c>
      <c r="H1195" s="64">
        <f>ventas_b_mes11[[#This Row],[TOTAL]]/1.21</f>
        <v>0</v>
      </c>
      <c r="I1195" s="183">
        <f>ventas_b_mes11[[#This Row],[IMPORTE NETO]]*0.21</f>
        <v>0</v>
      </c>
      <c r="J1195" s="184"/>
      <c r="K1195" s="184"/>
      <c r="L1195" s="184"/>
      <c r="M1195" s="59"/>
    </row>
    <row r="1196" spans="2:13" x14ac:dyDescent="0.3">
      <c r="B1196" s="178"/>
      <c r="C1196" s="179"/>
      <c r="D1196" s="180"/>
      <c r="E1196" s="181"/>
      <c r="F1196" s="182"/>
      <c r="G1196" s="1" t="str">
        <f>IFERROR(IF(ventas_b_mes11[[#This Row],[CUIT]]="","-",VLOOKUP(ventas_b_mes11[[#This Row],[CUIT]],Lista_CUIT[#All],2,0)),"CUIT NO CARGADO")</f>
        <v>-</v>
      </c>
      <c r="H1196" s="64">
        <f>ventas_b_mes11[[#This Row],[TOTAL]]/1.21</f>
        <v>0</v>
      </c>
      <c r="I1196" s="183">
        <f>ventas_b_mes11[[#This Row],[IMPORTE NETO]]*0.21</f>
        <v>0</v>
      </c>
      <c r="J1196" s="184"/>
      <c r="K1196" s="184"/>
      <c r="L1196" s="184"/>
      <c r="M1196" s="59"/>
    </row>
    <row r="1197" spans="2:13" x14ac:dyDescent="0.3">
      <c r="B1197" s="178"/>
      <c r="C1197" s="179"/>
      <c r="D1197" s="180"/>
      <c r="E1197" s="181"/>
      <c r="F1197" s="182"/>
      <c r="G1197" s="1" t="str">
        <f>IFERROR(IF(ventas_b_mes11[[#This Row],[CUIT]]="","-",VLOOKUP(ventas_b_mes11[[#This Row],[CUIT]],Lista_CUIT[#All],2,0)),"CUIT NO CARGADO")</f>
        <v>-</v>
      </c>
      <c r="H1197" s="64">
        <f>ventas_b_mes11[[#This Row],[TOTAL]]/1.21</f>
        <v>0</v>
      </c>
      <c r="I1197" s="183">
        <f>ventas_b_mes11[[#This Row],[IMPORTE NETO]]*0.21</f>
        <v>0</v>
      </c>
      <c r="J1197" s="184"/>
      <c r="K1197" s="184"/>
      <c r="L1197" s="184"/>
      <c r="M1197" s="59"/>
    </row>
    <row r="1198" spans="2:13" x14ac:dyDescent="0.3">
      <c r="B1198" s="178"/>
      <c r="C1198" s="179"/>
      <c r="D1198" s="180"/>
      <c r="E1198" s="181"/>
      <c r="F1198" s="182"/>
      <c r="G1198" s="1" t="str">
        <f>IFERROR(IF(ventas_b_mes11[[#This Row],[CUIT]]="","-",VLOOKUP(ventas_b_mes11[[#This Row],[CUIT]],Lista_CUIT[#All],2,0)),"CUIT NO CARGADO")</f>
        <v>-</v>
      </c>
      <c r="H1198" s="64">
        <f>ventas_b_mes11[[#This Row],[TOTAL]]/1.21</f>
        <v>0</v>
      </c>
      <c r="I1198" s="183">
        <f>ventas_b_mes11[[#This Row],[IMPORTE NETO]]*0.21</f>
        <v>0</v>
      </c>
      <c r="J1198" s="184"/>
      <c r="K1198" s="184"/>
      <c r="L1198" s="184"/>
      <c r="M1198" s="59"/>
    </row>
    <row r="1199" spans="2:13" x14ac:dyDescent="0.3">
      <c r="B1199" s="178"/>
      <c r="C1199" s="179"/>
      <c r="D1199" s="180"/>
      <c r="E1199" s="181"/>
      <c r="F1199" s="182"/>
      <c r="G1199" s="1" t="str">
        <f>IFERROR(IF(ventas_b_mes11[[#This Row],[CUIT]]="","-",VLOOKUP(ventas_b_mes11[[#This Row],[CUIT]],Lista_CUIT[#All],2,0)),"CUIT NO CARGADO")</f>
        <v>-</v>
      </c>
      <c r="H1199" s="64">
        <f>ventas_b_mes11[[#This Row],[TOTAL]]/1.21</f>
        <v>0</v>
      </c>
      <c r="I1199" s="183">
        <f>ventas_b_mes11[[#This Row],[IMPORTE NETO]]*0.21</f>
        <v>0</v>
      </c>
      <c r="J1199" s="184"/>
      <c r="K1199" s="184"/>
      <c r="L1199" s="184"/>
      <c r="M1199" s="59"/>
    </row>
    <row r="1200" spans="2:13" x14ac:dyDescent="0.3">
      <c r="B1200" s="178"/>
      <c r="C1200" s="179"/>
      <c r="D1200" s="180"/>
      <c r="E1200" s="181"/>
      <c r="F1200" s="182"/>
      <c r="G1200" s="1" t="str">
        <f>IFERROR(IF(ventas_b_mes11[[#This Row],[CUIT]]="","-",VLOOKUP(ventas_b_mes11[[#This Row],[CUIT]],Lista_CUIT[#All],2,0)),"CUIT NO CARGADO")</f>
        <v>-</v>
      </c>
      <c r="H1200" s="64">
        <f>ventas_b_mes11[[#This Row],[TOTAL]]/1.21</f>
        <v>0</v>
      </c>
      <c r="I1200" s="183">
        <f>ventas_b_mes11[[#This Row],[IMPORTE NETO]]*0.21</f>
        <v>0</v>
      </c>
      <c r="J1200" s="184"/>
      <c r="K1200" s="184"/>
      <c r="L1200" s="184"/>
      <c r="M1200" s="59"/>
    </row>
    <row r="1201" spans="2:13" x14ac:dyDescent="0.3">
      <c r="B1201" s="178"/>
      <c r="C1201" s="179"/>
      <c r="D1201" s="180"/>
      <c r="E1201" s="181"/>
      <c r="F1201" s="182"/>
      <c r="G1201" s="1" t="str">
        <f>IFERROR(IF(ventas_b_mes11[[#This Row],[CUIT]]="","-",VLOOKUP(ventas_b_mes11[[#This Row],[CUIT]],Lista_CUIT[#All],2,0)),"CUIT NO CARGADO")</f>
        <v>-</v>
      </c>
      <c r="H1201" s="64">
        <f>ventas_b_mes11[[#This Row],[TOTAL]]/1.21</f>
        <v>0</v>
      </c>
      <c r="I1201" s="183">
        <f>ventas_b_mes11[[#This Row],[IMPORTE NETO]]*0.21</f>
        <v>0</v>
      </c>
      <c r="J1201" s="184"/>
      <c r="K1201" s="184"/>
      <c r="L1201" s="184"/>
      <c r="M1201" s="59"/>
    </row>
    <row r="1202" spans="2:13" x14ac:dyDescent="0.3">
      <c r="B1202" s="178"/>
      <c r="C1202" s="179"/>
      <c r="D1202" s="180"/>
      <c r="E1202" s="181"/>
      <c r="F1202" s="182"/>
      <c r="G1202" s="1" t="str">
        <f>IFERROR(IF(ventas_b_mes11[[#This Row],[CUIT]]="","-",VLOOKUP(ventas_b_mes11[[#This Row],[CUIT]],Lista_CUIT[#All],2,0)),"CUIT NO CARGADO")</f>
        <v>-</v>
      </c>
      <c r="H1202" s="64">
        <f>ventas_b_mes11[[#This Row],[TOTAL]]/1.21</f>
        <v>0</v>
      </c>
      <c r="I1202" s="183">
        <f>ventas_b_mes11[[#This Row],[IMPORTE NETO]]*0.21</f>
        <v>0</v>
      </c>
      <c r="J1202" s="184"/>
      <c r="K1202" s="184"/>
      <c r="L1202" s="184"/>
      <c r="M1202" s="59"/>
    </row>
    <row r="1203" spans="2:13" x14ac:dyDescent="0.3">
      <c r="B1203" s="178"/>
      <c r="C1203" s="179"/>
      <c r="D1203" s="180"/>
      <c r="E1203" s="181"/>
      <c r="F1203" s="182"/>
      <c r="G1203" s="1" t="str">
        <f>IFERROR(IF(ventas_b_mes11[[#This Row],[CUIT]]="","-",VLOOKUP(ventas_b_mes11[[#This Row],[CUIT]],Lista_CUIT[#All],2,0)),"CUIT NO CARGADO")</f>
        <v>-</v>
      </c>
      <c r="H1203" s="64">
        <f>ventas_b_mes11[[#This Row],[TOTAL]]/1.21</f>
        <v>0</v>
      </c>
      <c r="I1203" s="183">
        <f>ventas_b_mes11[[#This Row],[IMPORTE NETO]]*0.21</f>
        <v>0</v>
      </c>
      <c r="J1203" s="184"/>
      <c r="K1203" s="184"/>
      <c r="L1203" s="184"/>
      <c r="M1203" s="59"/>
    </row>
    <row r="1204" spans="2:13" x14ac:dyDescent="0.3">
      <c r="B1204" s="178"/>
      <c r="C1204" s="179"/>
      <c r="D1204" s="180"/>
      <c r="E1204" s="181"/>
      <c r="F1204" s="182"/>
      <c r="G1204" s="1" t="str">
        <f>IFERROR(IF(ventas_b_mes11[[#This Row],[CUIT]]="","-",VLOOKUP(ventas_b_mes11[[#This Row],[CUIT]],Lista_CUIT[#All],2,0)),"CUIT NO CARGADO")</f>
        <v>-</v>
      </c>
      <c r="H1204" s="64">
        <f>ventas_b_mes11[[#This Row],[TOTAL]]/1.21</f>
        <v>0</v>
      </c>
      <c r="I1204" s="183">
        <f>ventas_b_mes11[[#This Row],[IMPORTE NETO]]*0.21</f>
        <v>0</v>
      </c>
      <c r="J1204" s="184"/>
      <c r="K1204" s="184"/>
      <c r="L1204" s="184"/>
      <c r="M1204" s="59"/>
    </row>
    <row r="1205" spans="2:13" x14ac:dyDescent="0.3">
      <c r="B1205" s="178"/>
      <c r="C1205" s="179"/>
      <c r="D1205" s="180"/>
      <c r="E1205" s="181"/>
      <c r="F1205" s="182"/>
      <c r="G1205" s="1" t="str">
        <f>IFERROR(IF(ventas_b_mes11[[#This Row],[CUIT]]="","-",VLOOKUP(ventas_b_mes11[[#This Row],[CUIT]],Lista_CUIT[#All],2,0)),"CUIT NO CARGADO")</f>
        <v>-</v>
      </c>
      <c r="H1205" s="64">
        <f>ventas_b_mes11[[#This Row],[TOTAL]]/1.21</f>
        <v>0</v>
      </c>
      <c r="I1205" s="183">
        <f>ventas_b_mes11[[#This Row],[IMPORTE NETO]]*0.21</f>
        <v>0</v>
      </c>
      <c r="J1205" s="184"/>
      <c r="K1205" s="184"/>
      <c r="L1205" s="184"/>
      <c r="M1205" s="59"/>
    </row>
    <row r="1206" spans="2:13" x14ac:dyDescent="0.3">
      <c r="B1206" s="178"/>
      <c r="C1206" s="179"/>
      <c r="D1206" s="180"/>
      <c r="E1206" s="181"/>
      <c r="F1206" s="182"/>
      <c r="G1206" s="1" t="str">
        <f>IFERROR(IF(ventas_b_mes11[[#This Row],[CUIT]]="","-",VLOOKUP(ventas_b_mes11[[#This Row],[CUIT]],Lista_CUIT[#All],2,0)),"CUIT NO CARGADO")</f>
        <v>-</v>
      </c>
      <c r="H1206" s="64">
        <f>ventas_b_mes11[[#This Row],[TOTAL]]/1.21</f>
        <v>0</v>
      </c>
      <c r="I1206" s="183">
        <f>ventas_b_mes11[[#This Row],[IMPORTE NETO]]*0.21</f>
        <v>0</v>
      </c>
      <c r="J1206" s="184"/>
      <c r="K1206" s="184"/>
      <c r="L1206" s="184"/>
      <c r="M1206" s="59"/>
    </row>
    <row r="1207" spans="2:13" x14ac:dyDescent="0.3">
      <c r="B1207" s="178"/>
      <c r="C1207" s="179"/>
      <c r="D1207" s="180"/>
      <c r="E1207" s="181"/>
      <c r="F1207" s="182"/>
      <c r="G1207" s="1" t="str">
        <f>IFERROR(IF(ventas_b_mes11[[#This Row],[CUIT]]="","-",VLOOKUP(ventas_b_mes11[[#This Row],[CUIT]],Lista_CUIT[#All],2,0)),"CUIT NO CARGADO")</f>
        <v>-</v>
      </c>
      <c r="H1207" s="64">
        <f>ventas_b_mes11[[#This Row],[TOTAL]]/1.21</f>
        <v>0</v>
      </c>
      <c r="I1207" s="183">
        <f>ventas_b_mes11[[#This Row],[IMPORTE NETO]]*0.21</f>
        <v>0</v>
      </c>
      <c r="J1207" s="184"/>
      <c r="K1207" s="184"/>
      <c r="L1207" s="184"/>
      <c r="M1207" s="59"/>
    </row>
    <row r="1208" spans="2:13" x14ac:dyDescent="0.3">
      <c r="B1208" s="178"/>
      <c r="C1208" s="179"/>
      <c r="D1208" s="180"/>
      <c r="E1208" s="181"/>
      <c r="F1208" s="182"/>
      <c r="G1208" s="1" t="str">
        <f>IFERROR(IF(ventas_b_mes11[[#This Row],[CUIT]]="","-",VLOOKUP(ventas_b_mes11[[#This Row],[CUIT]],Lista_CUIT[#All],2,0)),"CUIT NO CARGADO")</f>
        <v>-</v>
      </c>
      <c r="H1208" s="64">
        <f>ventas_b_mes11[[#This Row],[TOTAL]]/1.21</f>
        <v>0</v>
      </c>
      <c r="I1208" s="183">
        <f>ventas_b_mes11[[#This Row],[IMPORTE NETO]]*0.21</f>
        <v>0</v>
      </c>
      <c r="J1208" s="184"/>
      <c r="K1208" s="184"/>
      <c r="L1208" s="184"/>
      <c r="M1208" s="59"/>
    </row>
    <row r="1209" spans="2:13" x14ac:dyDescent="0.3">
      <c r="B1209" s="178"/>
      <c r="C1209" s="179"/>
      <c r="D1209" s="180"/>
      <c r="E1209" s="181"/>
      <c r="F1209" s="182"/>
      <c r="G1209" s="1" t="str">
        <f>IFERROR(IF(ventas_b_mes11[[#This Row],[CUIT]]="","-",VLOOKUP(ventas_b_mes11[[#This Row],[CUIT]],Lista_CUIT[#All],2,0)),"CUIT NO CARGADO")</f>
        <v>-</v>
      </c>
      <c r="H1209" s="64">
        <f>ventas_b_mes11[[#This Row],[TOTAL]]/1.21</f>
        <v>0</v>
      </c>
      <c r="I1209" s="183">
        <f>ventas_b_mes11[[#This Row],[IMPORTE NETO]]*0.21</f>
        <v>0</v>
      </c>
      <c r="J1209" s="184"/>
      <c r="K1209" s="184"/>
      <c r="L1209" s="184"/>
      <c r="M1209" s="59"/>
    </row>
    <row r="1210" spans="2:13" x14ac:dyDescent="0.3">
      <c r="B1210" s="178"/>
      <c r="C1210" s="179"/>
      <c r="D1210" s="180"/>
      <c r="E1210" s="181"/>
      <c r="F1210" s="182"/>
      <c r="G1210" s="1" t="str">
        <f>IFERROR(IF(ventas_b_mes11[[#This Row],[CUIT]]="","-",VLOOKUP(ventas_b_mes11[[#This Row],[CUIT]],Lista_CUIT[#All],2,0)),"CUIT NO CARGADO")</f>
        <v>-</v>
      </c>
      <c r="H1210" s="64">
        <f>ventas_b_mes11[[#This Row],[TOTAL]]/1.21</f>
        <v>0</v>
      </c>
      <c r="I1210" s="183">
        <f>ventas_b_mes11[[#This Row],[IMPORTE NETO]]*0.21</f>
        <v>0</v>
      </c>
      <c r="J1210" s="184"/>
      <c r="K1210" s="184"/>
      <c r="L1210" s="184"/>
      <c r="M1210" s="59"/>
    </row>
    <row r="1211" spans="2:13" x14ac:dyDescent="0.3">
      <c r="B1211" s="178"/>
      <c r="C1211" s="179"/>
      <c r="D1211" s="180"/>
      <c r="E1211" s="181"/>
      <c r="F1211" s="182"/>
      <c r="G1211" s="1" t="str">
        <f>IFERROR(IF(ventas_b_mes11[[#This Row],[CUIT]]="","-",VLOOKUP(ventas_b_mes11[[#This Row],[CUIT]],Lista_CUIT[#All],2,0)),"CUIT NO CARGADO")</f>
        <v>-</v>
      </c>
      <c r="H1211" s="64">
        <f>ventas_b_mes11[[#This Row],[TOTAL]]/1.21</f>
        <v>0</v>
      </c>
      <c r="I1211" s="183">
        <f>ventas_b_mes11[[#This Row],[IMPORTE NETO]]*0.21</f>
        <v>0</v>
      </c>
      <c r="J1211" s="184"/>
      <c r="K1211" s="184"/>
      <c r="L1211" s="184"/>
      <c r="M1211" s="59"/>
    </row>
    <row r="1212" spans="2:13" x14ac:dyDescent="0.3">
      <c r="B1212" s="178"/>
      <c r="C1212" s="179"/>
      <c r="D1212" s="180"/>
      <c r="E1212" s="181"/>
      <c r="F1212" s="182"/>
      <c r="G1212" s="1" t="str">
        <f>IFERROR(IF(ventas_b_mes11[[#This Row],[CUIT]]="","-",VLOOKUP(ventas_b_mes11[[#This Row],[CUIT]],Lista_CUIT[#All],2,0)),"CUIT NO CARGADO")</f>
        <v>-</v>
      </c>
      <c r="H1212" s="64">
        <f>ventas_b_mes11[[#This Row],[TOTAL]]/1.21</f>
        <v>0</v>
      </c>
      <c r="I1212" s="183">
        <f>ventas_b_mes11[[#This Row],[IMPORTE NETO]]*0.21</f>
        <v>0</v>
      </c>
      <c r="J1212" s="184"/>
      <c r="K1212" s="184"/>
      <c r="L1212" s="184"/>
      <c r="M1212" s="59"/>
    </row>
    <row r="1213" spans="2:13" x14ac:dyDescent="0.3">
      <c r="B1213" s="178"/>
      <c r="C1213" s="179"/>
      <c r="D1213" s="180"/>
      <c r="E1213" s="181"/>
      <c r="F1213" s="182"/>
      <c r="G1213" s="1" t="str">
        <f>IFERROR(IF(ventas_b_mes11[[#This Row],[CUIT]]="","-",VLOOKUP(ventas_b_mes11[[#This Row],[CUIT]],Lista_CUIT[#All],2,0)),"CUIT NO CARGADO")</f>
        <v>-</v>
      </c>
      <c r="H1213" s="64">
        <f>ventas_b_mes11[[#This Row],[TOTAL]]/1.21</f>
        <v>0</v>
      </c>
      <c r="I1213" s="183">
        <f>ventas_b_mes11[[#This Row],[IMPORTE NETO]]*0.21</f>
        <v>0</v>
      </c>
      <c r="J1213" s="184"/>
      <c r="K1213" s="184"/>
      <c r="L1213" s="184"/>
      <c r="M1213" s="59"/>
    </row>
    <row r="1214" spans="2:13" x14ac:dyDescent="0.3">
      <c r="B1214" s="178"/>
      <c r="C1214" s="179"/>
      <c r="D1214" s="180"/>
      <c r="E1214" s="181"/>
      <c r="F1214" s="182"/>
      <c r="G1214" s="1" t="str">
        <f>IFERROR(IF(ventas_b_mes11[[#This Row],[CUIT]]="","-",VLOOKUP(ventas_b_mes11[[#This Row],[CUIT]],Lista_CUIT[#All],2,0)),"CUIT NO CARGADO")</f>
        <v>-</v>
      </c>
      <c r="H1214" s="64">
        <f>ventas_b_mes11[[#This Row],[TOTAL]]/1.21</f>
        <v>0</v>
      </c>
      <c r="I1214" s="183">
        <f>ventas_b_mes11[[#This Row],[IMPORTE NETO]]*0.21</f>
        <v>0</v>
      </c>
      <c r="J1214" s="184"/>
      <c r="K1214" s="184"/>
      <c r="L1214" s="184"/>
      <c r="M1214" s="59"/>
    </row>
    <row r="1215" spans="2:13" x14ac:dyDescent="0.3">
      <c r="B1215" s="178"/>
      <c r="C1215" s="179"/>
      <c r="D1215" s="180"/>
      <c r="E1215" s="181"/>
      <c r="F1215" s="182"/>
      <c r="G1215" s="1" t="str">
        <f>IFERROR(IF(ventas_b_mes11[[#This Row],[CUIT]]="","-",VLOOKUP(ventas_b_mes11[[#This Row],[CUIT]],Lista_CUIT[#All],2,0)),"CUIT NO CARGADO")</f>
        <v>-</v>
      </c>
      <c r="H1215" s="64">
        <f>ventas_b_mes11[[#This Row],[TOTAL]]/1.21</f>
        <v>0</v>
      </c>
      <c r="I1215" s="183">
        <f>ventas_b_mes11[[#This Row],[IMPORTE NETO]]*0.21</f>
        <v>0</v>
      </c>
      <c r="J1215" s="184"/>
      <c r="K1215" s="184"/>
      <c r="L1215" s="184"/>
      <c r="M1215" s="59"/>
    </row>
    <row r="1216" spans="2:13" x14ac:dyDescent="0.3">
      <c r="B1216" s="178"/>
      <c r="C1216" s="179"/>
      <c r="D1216" s="180"/>
      <c r="E1216" s="181"/>
      <c r="F1216" s="182"/>
      <c r="G1216" s="1" t="str">
        <f>IFERROR(IF(ventas_b_mes11[[#This Row],[CUIT]]="","-",VLOOKUP(ventas_b_mes11[[#This Row],[CUIT]],Lista_CUIT[#All],2,0)),"CUIT NO CARGADO")</f>
        <v>-</v>
      </c>
      <c r="H1216" s="64">
        <f>ventas_b_mes11[[#This Row],[TOTAL]]/1.21</f>
        <v>0</v>
      </c>
      <c r="I1216" s="183">
        <f>ventas_b_mes11[[#This Row],[IMPORTE NETO]]*0.21</f>
        <v>0</v>
      </c>
      <c r="J1216" s="184"/>
      <c r="K1216" s="184"/>
      <c r="L1216" s="184"/>
      <c r="M1216" s="59"/>
    </row>
    <row r="1217" spans="2:13" x14ac:dyDescent="0.3">
      <c r="B1217" s="178"/>
      <c r="C1217" s="179"/>
      <c r="D1217" s="180"/>
      <c r="E1217" s="181"/>
      <c r="F1217" s="182"/>
      <c r="G1217" s="1" t="str">
        <f>IFERROR(IF(ventas_b_mes11[[#This Row],[CUIT]]="","-",VLOOKUP(ventas_b_mes11[[#This Row],[CUIT]],Lista_CUIT[#All],2,0)),"CUIT NO CARGADO")</f>
        <v>-</v>
      </c>
      <c r="H1217" s="64">
        <f>ventas_b_mes11[[#This Row],[TOTAL]]/1.21</f>
        <v>0</v>
      </c>
      <c r="I1217" s="183">
        <f>ventas_b_mes11[[#This Row],[IMPORTE NETO]]*0.21</f>
        <v>0</v>
      </c>
      <c r="J1217" s="184"/>
      <c r="K1217" s="184"/>
      <c r="L1217" s="184"/>
      <c r="M1217" s="59"/>
    </row>
    <row r="1218" spans="2:13" x14ac:dyDescent="0.3">
      <c r="B1218" s="178"/>
      <c r="C1218" s="179"/>
      <c r="D1218" s="180"/>
      <c r="E1218" s="181"/>
      <c r="F1218" s="182"/>
      <c r="G1218" s="1" t="str">
        <f>IFERROR(IF(ventas_b_mes11[[#This Row],[CUIT]]="","-",VLOOKUP(ventas_b_mes11[[#This Row],[CUIT]],Lista_CUIT[#All],2,0)),"CUIT NO CARGADO")</f>
        <v>-</v>
      </c>
      <c r="H1218" s="64">
        <f>ventas_b_mes11[[#This Row],[TOTAL]]/1.21</f>
        <v>0</v>
      </c>
      <c r="I1218" s="183">
        <f>ventas_b_mes11[[#This Row],[IMPORTE NETO]]*0.21</f>
        <v>0</v>
      </c>
      <c r="J1218" s="184"/>
      <c r="K1218" s="184"/>
      <c r="L1218" s="184"/>
      <c r="M1218" s="59"/>
    </row>
    <row r="1219" spans="2:13" x14ac:dyDescent="0.3">
      <c r="B1219" s="178"/>
      <c r="C1219" s="179"/>
      <c r="D1219" s="180"/>
      <c r="E1219" s="181"/>
      <c r="F1219" s="182"/>
      <c r="G1219" s="1" t="str">
        <f>IFERROR(IF(ventas_b_mes11[[#This Row],[CUIT]]="","-",VLOOKUP(ventas_b_mes11[[#This Row],[CUIT]],Lista_CUIT[#All],2,0)),"CUIT NO CARGADO")</f>
        <v>-</v>
      </c>
      <c r="H1219" s="64">
        <f>ventas_b_mes11[[#This Row],[TOTAL]]/1.21</f>
        <v>0</v>
      </c>
      <c r="I1219" s="183">
        <f>ventas_b_mes11[[#This Row],[IMPORTE NETO]]*0.21</f>
        <v>0</v>
      </c>
      <c r="J1219" s="184"/>
      <c r="K1219" s="184"/>
      <c r="L1219" s="184"/>
      <c r="M1219" s="59"/>
    </row>
    <row r="1220" spans="2:13" x14ac:dyDescent="0.3">
      <c r="B1220" s="178"/>
      <c r="C1220" s="179"/>
      <c r="D1220" s="180"/>
      <c r="E1220" s="181"/>
      <c r="F1220" s="182"/>
      <c r="G1220" s="1" t="str">
        <f>IFERROR(IF(ventas_b_mes11[[#This Row],[CUIT]]="","-",VLOOKUP(ventas_b_mes11[[#This Row],[CUIT]],Lista_CUIT[#All],2,0)),"CUIT NO CARGADO")</f>
        <v>-</v>
      </c>
      <c r="H1220" s="64">
        <f>ventas_b_mes11[[#This Row],[TOTAL]]/1.21</f>
        <v>0</v>
      </c>
      <c r="I1220" s="183">
        <f>ventas_b_mes11[[#This Row],[IMPORTE NETO]]*0.21</f>
        <v>0</v>
      </c>
      <c r="J1220" s="184"/>
      <c r="K1220" s="184"/>
      <c r="L1220" s="184"/>
      <c r="M1220" s="59"/>
    </row>
    <row r="1221" spans="2:13" x14ac:dyDescent="0.3">
      <c r="B1221" s="178"/>
      <c r="C1221" s="179"/>
      <c r="D1221" s="180"/>
      <c r="E1221" s="181"/>
      <c r="F1221" s="182"/>
      <c r="G1221" s="1" t="str">
        <f>IFERROR(IF(ventas_b_mes11[[#This Row],[CUIT]]="","-",VLOOKUP(ventas_b_mes11[[#This Row],[CUIT]],Lista_CUIT[#All],2,0)),"CUIT NO CARGADO")</f>
        <v>-</v>
      </c>
      <c r="H1221" s="64">
        <f>ventas_b_mes11[[#This Row],[TOTAL]]/1.21</f>
        <v>0</v>
      </c>
      <c r="I1221" s="183">
        <f>ventas_b_mes11[[#This Row],[IMPORTE NETO]]*0.21</f>
        <v>0</v>
      </c>
      <c r="J1221" s="184"/>
      <c r="K1221" s="184"/>
      <c r="L1221" s="184"/>
      <c r="M1221" s="59"/>
    </row>
    <row r="1222" spans="2:13" x14ac:dyDescent="0.3">
      <c r="B1222" s="178"/>
      <c r="C1222" s="179"/>
      <c r="D1222" s="180"/>
      <c r="E1222" s="181"/>
      <c r="F1222" s="182"/>
      <c r="G1222" s="1" t="str">
        <f>IFERROR(IF(ventas_b_mes11[[#This Row],[CUIT]]="","-",VLOOKUP(ventas_b_mes11[[#This Row],[CUIT]],Lista_CUIT[#All],2,0)),"CUIT NO CARGADO")</f>
        <v>-</v>
      </c>
      <c r="H1222" s="64">
        <f>ventas_b_mes11[[#This Row],[TOTAL]]/1.21</f>
        <v>0</v>
      </c>
      <c r="I1222" s="183">
        <f>ventas_b_mes11[[#This Row],[IMPORTE NETO]]*0.21</f>
        <v>0</v>
      </c>
      <c r="J1222" s="184"/>
      <c r="K1222" s="184"/>
      <c r="L1222" s="184"/>
      <c r="M1222" s="59"/>
    </row>
    <row r="1223" spans="2:13" x14ac:dyDescent="0.3">
      <c r="B1223" s="178"/>
      <c r="C1223" s="179"/>
      <c r="D1223" s="180"/>
      <c r="E1223" s="181"/>
      <c r="F1223" s="182"/>
      <c r="G1223" s="1" t="str">
        <f>IFERROR(IF(ventas_b_mes11[[#This Row],[CUIT]]="","-",VLOOKUP(ventas_b_mes11[[#This Row],[CUIT]],Lista_CUIT[#All],2,0)),"CUIT NO CARGADO")</f>
        <v>-</v>
      </c>
      <c r="H1223" s="64">
        <f>ventas_b_mes11[[#This Row],[TOTAL]]/1.21</f>
        <v>0</v>
      </c>
      <c r="I1223" s="183">
        <f>ventas_b_mes11[[#This Row],[IMPORTE NETO]]*0.21</f>
        <v>0</v>
      </c>
      <c r="J1223" s="184"/>
      <c r="K1223" s="184"/>
      <c r="L1223" s="184"/>
      <c r="M1223" s="59"/>
    </row>
    <row r="1224" spans="2:13" x14ac:dyDescent="0.3">
      <c r="B1224" s="178"/>
      <c r="C1224" s="179"/>
      <c r="D1224" s="180"/>
      <c r="E1224" s="181"/>
      <c r="F1224" s="182"/>
      <c r="G1224" s="1" t="str">
        <f>IFERROR(IF(ventas_b_mes11[[#This Row],[CUIT]]="","-",VLOOKUP(ventas_b_mes11[[#This Row],[CUIT]],Lista_CUIT[#All],2,0)),"CUIT NO CARGADO")</f>
        <v>-</v>
      </c>
      <c r="H1224" s="64">
        <f>ventas_b_mes11[[#This Row],[TOTAL]]/1.21</f>
        <v>0</v>
      </c>
      <c r="I1224" s="183">
        <f>ventas_b_mes11[[#This Row],[IMPORTE NETO]]*0.21</f>
        <v>0</v>
      </c>
      <c r="J1224" s="184"/>
      <c r="K1224" s="184"/>
      <c r="L1224" s="184"/>
      <c r="M1224" s="59"/>
    </row>
    <row r="1225" spans="2:13" x14ac:dyDescent="0.3">
      <c r="B1225" s="178"/>
      <c r="C1225" s="179"/>
      <c r="D1225" s="180"/>
      <c r="E1225" s="181"/>
      <c r="F1225" s="182"/>
      <c r="G1225" s="1" t="str">
        <f>IFERROR(IF(ventas_b_mes11[[#This Row],[CUIT]]="","-",VLOOKUP(ventas_b_mes11[[#This Row],[CUIT]],Lista_CUIT[#All],2,0)),"CUIT NO CARGADO")</f>
        <v>-</v>
      </c>
      <c r="H1225" s="64">
        <f>ventas_b_mes11[[#This Row],[TOTAL]]/1.21</f>
        <v>0</v>
      </c>
      <c r="I1225" s="183">
        <f>ventas_b_mes11[[#This Row],[IMPORTE NETO]]*0.21</f>
        <v>0</v>
      </c>
      <c r="J1225" s="184"/>
      <c r="K1225" s="184"/>
      <c r="L1225" s="184"/>
      <c r="M1225" s="59"/>
    </row>
    <row r="1226" spans="2:13" x14ac:dyDescent="0.3">
      <c r="B1226" s="178"/>
      <c r="C1226" s="179"/>
      <c r="D1226" s="180"/>
      <c r="E1226" s="181"/>
      <c r="F1226" s="182"/>
      <c r="G1226" s="1" t="str">
        <f>IFERROR(IF(ventas_b_mes11[[#This Row],[CUIT]]="","-",VLOOKUP(ventas_b_mes11[[#This Row],[CUIT]],Lista_CUIT[#All],2,0)),"CUIT NO CARGADO")</f>
        <v>-</v>
      </c>
      <c r="H1226" s="64">
        <f>ventas_b_mes11[[#This Row],[TOTAL]]/1.21</f>
        <v>0</v>
      </c>
      <c r="I1226" s="183">
        <f>ventas_b_mes11[[#This Row],[IMPORTE NETO]]*0.21</f>
        <v>0</v>
      </c>
      <c r="J1226" s="184"/>
      <c r="K1226" s="184"/>
      <c r="L1226" s="184"/>
      <c r="M1226" s="59"/>
    </row>
    <row r="1227" spans="2:13" x14ac:dyDescent="0.3">
      <c r="B1227" s="178"/>
      <c r="C1227" s="179"/>
      <c r="D1227" s="180"/>
      <c r="E1227" s="181"/>
      <c r="F1227" s="182"/>
      <c r="G1227" s="1" t="str">
        <f>IFERROR(IF(ventas_b_mes11[[#This Row],[CUIT]]="","-",VLOOKUP(ventas_b_mes11[[#This Row],[CUIT]],Lista_CUIT[#All],2,0)),"CUIT NO CARGADO")</f>
        <v>-</v>
      </c>
      <c r="H1227" s="64">
        <f>ventas_b_mes11[[#This Row],[TOTAL]]/1.21</f>
        <v>0</v>
      </c>
      <c r="I1227" s="183">
        <f>ventas_b_mes11[[#This Row],[IMPORTE NETO]]*0.21</f>
        <v>0</v>
      </c>
      <c r="J1227" s="184"/>
      <c r="K1227" s="184"/>
      <c r="L1227" s="184"/>
      <c r="M1227" s="59"/>
    </row>
    <row r="1228" spans="2:13" x14ac:dyDescent="0.3">
      <c r="B1228" s="178"/>
      <c r="C1228" s="179"/>
      <c r="D1228" s="180"/>
      <c r="E1228" s="181"/>
      <c r="F1228" s="182"/>
      <c r="G1228" s="1" t="str">
        <f>IFERROR(IF(ventas_b_mes11[[#This Row],[CUIT]]="","-",VLOOKUP(ventas_b_mes11[[#This Row],[CUIT]],Lista_CUIT[#All],2,0)),"CUIT NO CARGADO")</f>
        <v>-</v>
      </c>
      <c r="H1228" s="64">
        <f>ventas_b_mes11[[#This Row],[TOTAL]]/1.21</f>
        <v>0</v>
      </c>
      <c r="I1228" s="183">
        <f>ventas_b_mes11[[#This Row],[IMPORTE NETO]]*0.21</f>
        <v>0</v>
      </c>
      <c r="J1228" s="184"/>
      <c r="K1228" s="184"/>
      <c r="L1228" s="184"/>
      <c r="M1228" s="59"/>
    </row>
    <row r="1229" spans="2:13" x14ac:dyDescent="0.3">
      <c r="B1229" s="178"/>
      <c r="C1229" s="179"/>
      <c r="D1229" s="180"/>
      <c r="E1229" s="181"/>
      <c r="F1229" s="182"/>
      <c r="G1229" s="1" t="str">
        <f>IFERROR(IF(ventas_b_mes11[[#This Row],[CUIT]]="","-",VLOOKUP(ventas_b_mes11[[#This Row],[CUIT]],Lista_CUIT[#All],2,0)),"CUIT NO CARGADO")</f>
        <v>-</v>
      </c>
      <c r="H1229" s="64">
        <f>ventas_b_mes11[[#This Row],[TOTAL]]/1.21</f>
        <v>0</v>
      </c>
      <c r="I1229" s="183">
        <f>ventas_b_mes11[[#This Row],[IMPORTE NETO]]*0.21</f>
        <v>0</v>
      </c>
      <c r="J1229" s="184"/>
      <c r="K1229" s="184"/>
      <c r="L1229" s="184"/>
      <c r="M1229" s="59"/>
    </row>
    <row r="1230" spans="2:13" x14ac:dyDescent="0.3">
      <c r="B1230" s="178"/>
      <c r="C1230" s="179"/>
      <c r="D1230" s="180"/>
      <c r="E1230" s="181"/>
      <c r="F1230" s="182"/>
      <c r="G1230" s="1" t="str">
        <f>IFERROR(IF(ventas_b_mes11[[#This Row],[CUIT]]="","-",VLOOKUP(ventas_b_mes11[[#This Row],[CUIT]],Lista_CUIT[#All],2,0)),"CUIT NO CARGADO")</f>
        <v>-</v>
      </c>
      <c r="H1230" s="64">
        <f>ventas_b_mes11[[#This Row],[TOTAL]]/1.21</f>
        <v>0</v>
      </c>
      <c r="I1230" s="183">
        <f>ventas_b_mes11[[#This Row],[IMPORTE NETO]]*0.21</f>
        <v>0</v>
      </c>
      <c r="J1230" s="184"/>
      <c r="K1230" s="184"/>
      <c r="L1230" s="184"/>
      <c r="M1230" s="59"/>
    </row>
    <row r="1231" spans="2:13" x14ac:dyDescent="0.3">
      <c r="B1231" s="178"/>
      <c r="C1231" s="179"/>
      <c r="D1231" s="180"/>
      <c r="E1231" s="181"/>
      <c r="F1231" s="182"/>
      <c r="G1231" s="1" t="str">
        <f>IFERROR(IF(ventas_b_mes11[[#This Row],[CUIT]]="","-",VLOOKUP(ventas_b_mes11[[#This Row],[CUIT]],Lista_CUIT[#All],2,0)),"CUIT NO CARGADO")</f>
        <v>-</v>
      </c>
      <c r="H1231" s="64">
        <f>ventas_b_mes11[[#This Row],[TOTAL]]/1.21</f>
        <v>0</v>
      </c>
      <c r="I1231" s="183">
        <f>ventas_b_mes11[[#This Row],[IMPORTE NETO]]*0.21</f>
        <v>0</v>
      </c>
      <c r="J1231" s="184"/>
      <c r="K1231" s="184"/>
      <c r="L1231" s="184"/>
      <c r="M1231" s="59"/>
    </row>
    <row r="1232" spans="2:13" x14ac:dyDescent="0.3">
      <c r="B1232" s="178"/>
      <c r="C1232" s="179"/>
      <c r="D1232" s="180"/>
      <c r="E1232" s="181"/>
      <c r="F1232" s="182"/>
      <c r="G1232" s="1" t="str">
        <f>IFERROR(IF(ventas_b_mes11[[#This Row],[CUIT]]="","-",VLOOKUP(ventas_b_mes11[[#This Row],[CUIT]],Lista_CUIT[#All],2,0)),"CUIT NO CARGADO")</f>
        <v>-</v>
      </c>
      <c r="H1232" s="64">
        <f>ventas_b_mes11[[#This Row],[TOTAL]]/1.21</f>
        <v>0</v>
      </c>
      <c r="I1232" s="183">
        <f>ventas_b_mes11[[#This Row],[IMPORTE NETO]]*0.21</f>
        <v>0</v>
      </c>
      <c r="J1232" s="184"/>
      <c r="K1232" s="184"/>
      <c r="L1232" s="184"/>
      <c r="M1232" s="59"/>
    </row>
    <row r="1233" spans="2:13" x14ac:dyDescent="0.3">
      <c r="B1233" s="178"/>
      <c r="C1233" s="179"/>
      <c r="D1233" s="180"/>
      <c r="E1233" s="181"/>
      <c r="F1233" s="182"/>
      <c r="G1233" s="1" t="str">
        <f>IFERROR(IF(ventas_b_mes11[[#This Row],[CUIT]]="","-",VLOOKUP(ventas_b_mes11[[#This Row],[CUIT]],Lista_CUIT[#All],2,0)),"CUIT NO CARGADO")</f>
        <v>-</v>
      </c>
      <c r="H1233" s="64">
        <f>ventas_b_mes11[[#This Row],[TOTAL]]/1.21</f>
        <v>0</v>
      </c>
      <c r="I1233" s="183">
        <f>ventas_b_mes11[[#This Row],[IMPORTE NETO]]*0.21</f>
        <v>0</v>
      </c>
      <c r="J1233" s="184"/>
      <c r="K1233" s="184"/>
      <c r="L1233" s="184"/>
      <c r="M1233" s="59"/>
    </row>
    <row r="1234" spans="2:13" x14ac:dyDescent="0.3">
      <c r="B1234" s="178"/>
      <c r="C1234" s="179"/>
      <c r="D1234" s="180"/>
      <c r="E1234" s="181"/>
      <c r="F1234" s="182"/>
      <c r="G1234" s="1" t="str">
        <f>IFERROR(IF(ventas_b_mes11[[#This Row],[CUIT]]="","-",VLOOKUP(ventas_b_mes11[[#This Row],[CUIT]],Lista_CUIT[#All],2,0)),"CUIT NO CARGADO")</f>
        <v>-</v>
      </c>
      <c r="H1234" s="64">
        <f>ventas_b_mes11[[#This Row],[TOTAL]]/1.21</f>
        <v>0</v>
      </c>
      <c r="I1234" s="183">
        <f>ventas_b_mes11[[#This Row],[IMPORTE NETO]]*0.21</f>
        <v>0</v>
      </c>
      <c r="J1234" s="184"/>
      <c r="K1234" s="184"/>
      <c r="L1234" s="184"/>
      <c r="M1234" s="59"/>
    </row>
    <row r="1235" spans="2:13" x14ac:dyDescent="0.3">
      <c r="B1235" s="178"/>
      <c r="C1235" s="179"/>
      <c r="D1235" s="180"/>
      <c r="E1235" s="181"/>
      <c r="F1235" s="182"/>
      <c r="G1235" s="1" t="str">
        <f>IFERROR(IF(ventas_b_mes11[[#This Row],[CUIT]]="","-",VLOOKUP(ventas_b_mes11[[#This Row],[CUIT]],Lista_CUIT[#All],2,0)),"CUIT NO CARGADO")</f>
        <v>-</v>
      </c>
      <c r="H1235" s="64">
        <f>ventas_b_mes11[[#This Row],[TOTAL]]/1.21</f>
        <v>0</v>
      </c>
      <c r="I1235" s="183">
        <f>ventas_b_mes11[[#This Row],[IMPORTE NETO]]*0.21</f>
        <v>0</v>
      </c>
      <c r="J1235" s="184"/>
      <c r="K1235" s="184"/>
      <c r="L1235" s="184"/>
      <c r="M1235" s="59"/>
    </row>
    <row r="1236" spans="2:13" x14ac:dyDescent="0.3">
      <c r="B1236" s="178"/>
      <c r="C1236" s="179"/>
      <c r="D1236" s="180"/>
      <c r="E1236" s="181"/>
      <c r="F1236" s="182"/>
      <c r="G1236" s="1" t="str">
        <f>IFERROR(IF(ventas_b_mes11[[#This Row],[CUIT]]="","-",VLOOKUP(ventas_b_mes11[[#This Row],[CUIT]],Lista_CUIT[#All],2,0)),"CUIT NO CARGADO")</f>
        <v>-</v>
      </c>
      <c r="H1236" s="64">
        <f>ventas_b_mes11[[#This Row],[TOTAL]]/1.21</f>
        <v>0</v>
      </c>
      <c r="I1236" s="183">
        <f>ventas_b_mes11[[#This Row],[IMPORTE NETO]]*0.21</f>
        <v>0</v>
      </c>
      <c r="J1236" s="184"/>
      <c r="K1236" s="184"/>
      <c r="L1236" s="184"/>
      <c r="M1236" s="59"/>
    </row>
    <row r="1237" spans="2:13" x14ac:dyDescent="0.3">
      <c r="B1237" s="178"/>
      <c r="C1237" s="179"/>
      <c r="D1237" s="180"/>
      <c r="E1237" s="181"/>
      <c r="F1237" s="182"/>
      <c r="G1237" s="1" t="str">
        <f>IFERROR(IF(ventas_b_mes11[[#This Row],[CUIT]]="","-",VLOOKUP(ventas_b_mes11[[#This Row],[CUIT]],Lista_CUIT[#All],2,0)),"CUIT NO CARGADO")</f>
        <v>-</v>
      </c>
      <c r="H1237" s="64">
        <f>ventas_b_mes11[[#This Row],[TOTAL]]/1.21</f>
        <v>0</v>
      </c>
      <c r="I1237" s="183">
        <f>ventas_b_mes11[[#This Row],[IMPORTE NETO]]*0.21</f>
        <v>0</v>
      </c>
      <c r="J1237" s="184"/>
      <c r="K1237" s="184"/>
      <c r="L1237" s="184"/>
      <c r="M1237" s="59"/>
    </row>
    <row r="1238" spans="2:13" x14ac:dyDescent="0.3">
      <c r="B1238" s="178"/>
      <c r="C1238" s="179"/>
      <c r="D1238" s="180"/>
      <c r="E1238" s="181"/>
      <c r="F1238" s="182"/>
      <c r="G1238" s="1" t="str">
        <f>IFERROR(IF(ventas_b_mes11[[#This Row],[CUIT]]="","-",VLOOKUP(ventas_b_mes11[[#This Row],[CUIT]],Lista_CUIT[#All],2,0)),"CUIT NO CARGADO")</f>
        <v>-</v>
      </c>
      <c r="H1238" s="64">
        <f>ventas_b_mes11[[#This Row],[TOTAL]]/1.21</f>
        <v>0</v>
      </c>
      <c r="I1238" s="183">
        <f>ventas_b_mes11[[#This Row],[IMPORTE NETO]]*0.21</f>
        <v>0</v>
      </c>
      <c r="J1238" s="184"/>
      <c r="K1238" s="184"/>
      <c r="L1238" s="184"/>
      <c r="M1238" s="59"/>
    </row>
    <row r="1239" spans="2:13" x14ac:dyDescent="0.3">
      <c r="B1239" s="178"/>
      <c r="C1239" s="179"/>
      <c r="D1239" s="180"/>
      <c r="E1239" s="181"/>
      <c r="F1239" s="182"/>
      <c r="G1239" s="1" t="str">
        <f>IFERROR(IF(ventas_b_mes11[[#This Row],[CUIT]]="","-",VLOOKUP(ventas_b_mes11[[#This Row],[CUIT]],Lista_CUIT[#All],2,0)),"CUIT NO CARGADO")</f>
        <v>-</v>
      </c>
      <c r="H1239" s="64">
        <f>ventas_b_mes11[[#This Row],[TOTAL]]/1.21</f>
        <v>0</v>
      </c>
      <c r="I1239" s="183">
        <f>ventas_b_mes11[[#This Row],[IMPORTE NETO]]*0.21</f>
        <v>0</v>
      </c>
      <c r="J1239" s="184"/>
      <c r="K1239" s="184"/>
      <c r="L1239" s="184"/>
      <c r="M1239" s="59"/>
    </row>
    <row r="1240" spans="2:13" x14ac:dyDescent="0.3">
      <c r="B1240" s="178"/>
      <c r="C1240" s="179"/>
      <c r="D1240" s="180"/>
      <c r="E1240" s="181"/>
      <c r="F1240" s="182"/>
      <c r="G1240" s="1" t="str">
        <f>IFERROR(IF(ventas_b_mes11[[#This Row],[CUIT]]="","-",VLOOKUP(ventas_b_mes11[[#This Row],[CUIT]],Lista_CUIT[#All],2,0)),"CUIT NO CARGADO")</f>
        <v>-</v>
      </c>
      <c r="H1240" s="64">
        <f>ventas_b_mes11[[#This Row],[TOTAL]]/1.21</f>
        <v>0</v>
      </c>
      <c r="I1240" s="183">
        <f>ventas_b_mes11[[#This Row],[IMPORTE NETO]]*0.21</f>
        <v>0</v>
      </c>
      <c r="J1240" s="184"/>
      <c r="K1240" s="184"/>
      <c r="L1240" s="184"/>
      <c r="M1240" s="59"/>
    </row>
    <row r="1241" spans="2:13" x14ac:dyDescent="0.3">
      <c r="B1241" s="178"/>
      <c r="C1241" s="179"/>
      <c r="D1241" s="180"/>
      <c r="E1241" s="181"/>
      <c r="F1241" s="182"/>
      <c r="G1241" s="1" t="str">
        <f>IFERROR(IF(ventas_b_mes11[[#This Row],[CUIT]]="","-",VLOOKUP(ventas_b_mes11[[#This Row],[CUIT]],Lista_CUIT[#All],2,0)),"CUIT NO CARGADO")</f>
        <v>-</v>
      </c>
      <c r="H1241" s="64">
        <f>ventas_b_mes11[[#This Row],[TOTAL]]/1.21</f>
        <v>0</v>
      </c>
      <c r="I1241" s="183">
        <f>ventas_b_mes11[[#This Row],[IMPORTE NETO]]*0.21</f>
        <v>0</v>
      </c>
      <c r="J1241" s="184"/>
      <c r="K1241" s="184"/>
      <c r="L1241" s="184"/>
      <c r="M1241" s="59"/>
    </row>
    <row r="1242" spans="2:13" x14ac:dyDescent="0.3">
      <c r="B1242" s="178"/>
      <c r="C1242" s="179"/>
      <c r="D1242" s="180"/>
      <c r="E1242" s="181"/>
      <c r="F1242" s="182"/>
      <c r="G1242" s="1" t="str">
        <f>IFERROR(IF(ventas_b_mes11[[#This Row],[CUIT]]="","-",VLOOKUP(ventas_b_mes11[[#This Row],[CUIT]],Lista_CUIT[#All],2,0)),"CUIT NO CARGADO")</f>
        <v>-</v>
      </c>
      <c r="H1242" s="64">
        <f>ventas_b_mes11[[#This Row],[TOTAL]]/1.21</f>
        <v>0</v>
      </c>
      <c r="I1242" s="183">
        <f>ventas_b_mes11[[#This Row],[IMPORTE NETO]]*0.21</f>
        <v>0</v>
      </c>
      <c r="J1242" s="184"/>
      <c r="K1242" s="184"/>
      <c r="L1242" s="184"/>
      <c r="M1242" s="59"/>
    </row>
    <row r="1243" spans="2:13" x14ac:dyDescent="0.3">
      <c r="B1243" s="178"/>
      <c r="C1243" s="179"/>
      <c r="D1243" s="180"/>
      <c r="E1243" s="181"/>
      <c r="F1243" s="182"/>
      <c r="G1243" s="1" t="str">
        <f>IFERROR(IF(ventas_b_mes11[[#This Row],[CUIT]]="","-",VLOOKUP(ventas_b_mes11[[#This Row],[CUIT]],Lista_CUIT[#All],2,0)),"CUIT NO CARGADO")</f>
        <v>-</v>
      </c>
      <c r="H1243" s="64">
        <f>ventas_b_mes11[[#This Row],[TOTAL]]/1.21</f>
        <v>0</v>
      </c>
      <c r="I1243" s="183">
        <f>ventas_b_mes11[[#This Row],[IMPORTE NETO]]*0.21</f>
        <v>0</v>
      </c>
      <c r="J1243" s="184"/>
      <c r="K1243" s="184"/>
      <c r="L1243" s="184"/>
      <c r="M1243" s="59"/>
    </row>
    <row r="1244" spans="2:13" x14ac:dyDescent="0.3">
      <c r="B1244" s="178"/>
      <c r="C1244" s="179"/>
      <c r="D1244" s="180"/>
      <c r="E1244" s="181"/>
      <c r="F1244" s="182"/>
      <c r="G1244" s="1" t="str">
        <f>IFERROR(IF(ventas_b_mes11[[#This Row],[CUIT]]="","-",VLOOKUP(ventas_b_mes11[[#This Row],[CUIT]],Lista_CUIT[#All],2,0)),"CUIT NO CARGADO")</f>
        <v>-</v>
      </c>
      <c r="H1244" s="64">
        <f>ventas_b_mes11[[#This Row],[TOTAL]]/1.21</f>
        <v>0</v>
      </c>
      <c r="I1244" s="183">
        <f>ventas_b_mes11[[#This Row],[IMPORTE NETO]]*0.21</f>
        <v>0</v>
      </c>
      <c r="J1244" s="184"/>
      <c r="K1244" s="184"/>
      <c r="L1244" s="184"/>
      <c r="M1244" s="59"/>
    </row>
    <row r="1245" spans="2:13" x14ac:dyDescent="0.3">
      <c r="B1245" s="178"/>
      <c r="C1245" s="179"/>
      <c r="D1245" s="180"/>
      <c r="E1245" s="181"/>
      <c r="F1245" s="182"/>
      <c r="G1245" s="1" t="str">
        <f>IFERROR(IF(ventas_b_mes11[[#This Row],[CUIT]]="","-",VLOOKUP(ventas_b_mes11[[#This Row],[CUIT]],Lista_CUIT[#All],2,0)),"CUIT NO CARGADO")</f>
        <v>-</v>
      </c>
      <c r="H1245" s="64">
        <f>ventas_b_mes11[[#This Row],[TOTAL]]/1.21</f>
        <v>0</v>
      </c>
      <c r="I1245" s="183">
        <f>ventas_b_mes11[[#This Row],[IMPORTE NETO]]*0.21</f>
        <v>0</v>
      </c>
      <c r="J1245" s="184"/>
      <c r="K1245" s="184"/>
      <c r="L1245" s="184"/>
      <c r="M1245" s="59"/>
    </row>
    <row r="1246" spans="2:13" x14ac:dyDescent="0.3">
      <c r="B1246" s="178"/>
      <c r="C1246" s="179"/>
      <c r="D1246" s="180"/>
      <c r="E1246" s="181"/>
      <c r="F1246" s="182"/>
      <c r="G1246" s="1" t="str">
        <f>IFERROR(IF(ventas_b_mes11[[#This Row],[CUIT]]="","-",VLOOKUP(ventas_b_mes11[[#This Row],[CUIT]],Lista_CUIT[#All],2,0)),"CUIT NO CARGADO")</f>
        <v>-</v>
      </c>
      <c r="H1246" s="64">
        <f>ventas_b_mes11[[#This Row],[TOTAL]]/1.21</f>
        <v>0</v>
      </c>
      <c r="I1246" s="183">
        <f>ventas_b_mes11[[#This Row],[IMPORTE NETO]]*0.21</f>
        <v>0</v>
      </c>
      <c r="J1246" s="184"/>
      <c r="K1246" s="184"/>
      <c r="L1246" s="184"/>
      <c r="M1246" s="59"/>
    </row>
    <row r="1247" spans="2:13" x14ac:dyDescent="0.3">
      <c r="B1247" s="178"/>
      <c r="C1247" s="179"/>
      <c r="D1247" s="180"/>
      <c r="E1247" s="181"/>
      <c r="F1247" s="182"/>
      <c r="G1247" s="1" t="str">
        <f>IFERROR(IF(ventas_b_mes11[[#This Row],[CUIT]]="","-",VLOOKUP(ventas_b_mes11[[#This Row],[CUIT]],Lista_CUIT[#All],2,0)),"CUIT NO CARGADO")</f>
        <v>-</v>
      </c>
      <c r="H1247" s="64">
        <f>ventas_b_mes11[[#This Row],[TOTAL]]/1.21</f>
        <v>0</v>
      </c>
      <c r="I1247" s="183">
        <f>ventas_b_mes11[[#This Row],[IMPORTE NETO]]*0.21</f>
        <v>0</v>
      </c>
      <c r="J1247" s="184"/>
      <c r="K1247" s="184"/>
      <c r="L1247" s="184"/>
      <c r="M1247" s="59"/>
    </row>
    <row r="1248" spans="2:13" x14ac:dyDescent="0.3">
      <c r="B1248" s="178"/>
      <c r="C1248" s="179"/>
      <c r="D1248" s="180"/>
      <c r="E1248" s="181"/>
      <c r="F1248" s="182"/>
      <c r="G1248" s="1" t="str">
        <f>IFERROR(IF(ventas_b_mes11[[#This Row],[CUIT]]="","-",VLOOKUP(ventas_b_mes11[[#This Row],[CUIT]],Lista_CUIT[#All],2,0)),"CUIT NO CARGADO")</f>
        <v>-</v>
      </c>
      <c r="H1248" s="64">
        <f>ventas_b_mes11[[#This Row],[TOTAL]]/1.21</f>
        <v>0</v>
      </c>
      <c r="I1248" s="183">
        <f>ventas_b_mes11[[#This Row],[IMPORTE NETO]]*0.21</f>
        <v>0</v>
      </c>
      <c r="J1248" s="184"/>
      <c r="K1248" s="184"/>
      <c r="L1248" s="184"/>
      <c r="M1248" s="59"/>
    </row>
    <row r="1249" spans="2:13" x14ac:dyDescent="0.3">
      <c r="B1249" s="178"/>
      <c r="C1249" s="179"/>
      <c r="D1249" s="180"/>
      <c r="E1249" s="181"/>
      <c r="F1249" s="182"/>
      <c r="G1249" s="1" t="str">
        <f>IFERROR(IF(ventas_b_mes11[[#This Row],[CUIT]]="","-",VLOOKUP(ventas_b_mes11[[#This Row],[CUIT]],Lista_CUIT[#All],2,0)),"CUIT NO CARGADO")</f>
        <v>-</v>
      </c>
      <c r="H1249" s="64">
        <f>ventas_b_mes11[[#This Row],[TOTAL]]/1.21</f>
        <v>0</v>
      </c>
      <c r="I1249" s="183">
        <f>ventas_b_mes11[[#This Row],[IMPORTE NETO]]*0.21</f>
        <v>0</v>
      </c>
      <c r="J1249" s="184"/>
      <c r="K1249" s="184"/>
      <c r="L1249" s="184"/>
      <c r="M1249" s="59"/>
    </row>
    <row r="1250" spans="2:13" x14ac:dyDescent="0.3">
      <c r="B1250" s="178"/>
      <c r="C1250" s="179"/>
      <c r="D1250" s="180"/>
      <c r="E1250" s="181"/>
      <c r="F1250" s="182"/>
      <c r="G1250" s="1" t="str">
        <f>IFERROR(IF(ventas_b_mes11[[#This Row],[CUIT]]="","-",VLOOKUP(ventas_b_mes11[[#This Row],[CUIT]],Lista_CUIT[#All],2,0)),"CUIT NO CARGADO")</f>
        <v>-</v>
      </c>
      <c r="H1250" s="64">
        <f>ventas_b_mes11[[#This Row],[TOTAL]]/1.21</f>
        <v>0</v>
      </c>
      <c r="I1250" s="183">
        <f>ventas_b_mes11[[#This Row],[IMPORTE NETO]]*0.21</f>
        <v>0</v>
      </c>
      <c r="J1250" s="184"/>
      <c r="K1250" s="184"/>
      <c r="L1250" s="184"/>
      <c r="M1250" s="59"/>
    </row>
    <row r="1251" spans="2:13" x14ac:dyDescent="0.3">
      <c r="B1251" s="178"/>
      <c r="C1251" s="179"/>
      <c r="D1251" s="180"/>
      <c r="E1251" s="181"/>
      <c r="F1251" s="182"/>
      <c r="G1251" s="1" t="str">
        <f>IFERROR(IF(ventas_b_mes11[[#This Row],[CUIT]]="","-",VLOOKUP(ventas_b_mes11[[#This Row],[CUIT]],Lista_CUIT[#All],2,0)),"CUIT NO CARGADO")</f>
        <v>-</v>
      </c>
      <c r="H1251" s="64">
        <f>ventas_b_mes11[[#This Row],[TOTAL]]/1.21</f>
        <v>0</v>
      </c>
      <c r="I1251" s="183">
        <f>ventas_b_mes11[[#This Row],[IMPORTE NETO]]*0.21</f>
        <v>0</v>
      </c>
      <c r="J1251" s="184"/>
      <c r="K1251" s="184"/>
      <c r="L1251" s="184"/>
      <c r="M1251" s="59"/>
    </row>
    <row r="1252" spans="2:13" x14ac:dyDescent="0.3">
      <c r="B1252" s="178"/>
      <c r="C1252" s="179"/>
      <c r="D1252" s="180"/>
      <c r="E1252" s="181"/>
      <c r="F1252" s="182"/>
      <c r="G1252" s="1" t="str">
        <f>IFERROR(IF(ventas_b_mes11[[#This Row],[CUIT]]="","-",VLOOKUP(ventas_b_mes11[[#This Row],[CUIT]],Lista_CUIT[#All],2,0)),"CUIT NO CARGADO")</f>
        <v>-</v>
      </c>
      <c r="H1252" s="64">
        <f>ventas_b_mes11[[#This Row],[TOTAL]]/1.21</f>
        <v>0</v>
      </c>
      <c r="I1252" s="183">
        <f>ventas_b_mes11[[#This Row],[IMPORTE NETO]]*0.21</f>
        <v>0</v>
      </c>
      <c r="J1252" s="184"/>
      <c r="K1252" s="184"/>
      <c r="L1252" s="184"/>
      <c r="M1252" s="59"/>
    </row>
    <row r="1253" spans="2:13" x14ac:dyDescent="0.3">
      <c r="B1253" s="178"/>
      <c r="C1253" s="179"/>
      <c r="D1253" s="180"/>
      <c r="E1253" s="181"/>
      <c r="F1253" s="182"/>
      <c r="G1253" s="1" t="str">
        <f>IFERROR(IF(ventas_b_mes11[[#This Row],[CUIT]]="","-",VLOOKUP(ventas_b_mes11[[#This Row],[CUIT]],Lista_CUIT[#All],2,0)),"CUIT NO CARGADO")</f>
        <v>-</v>
      </c>
      <c r="H1253" s="64">
        <f>ventas_b_mes11[[#This Row],[TOTAL]]/1.21</f>
        <v>0</v>
      </c>
      <c r="I1253" s="183">
        <f>ventas_b_mes11[[#This Row],[IMPORTE NETO]]*0.21</f>
        <v>0</v>
      </c>
      <c r="J1253" s="184"/>
      <c r="K1253" s="184"/>
      <c r="L1253" s="184"/>
      <c r="M1253" s="59"/>
    </row>
    <row r="1254" spans="2:13" x14ac:dyDescent="0.3">
      <c r="B1254" s="178"/>
      <c r="C1254" s="179"/>
      <c r="D1254" s="180"/>
      <c r="E1254" s="181"/>
      <c r="F1254" s="182"/>
      <c r="G1254" s="1" t="str">
        <f>IFERROR(IF(ventas_b_mes11[[#This Row],[CUIT]]="","-",VLOOKUP(ventas_b_mes11[[#This Row],[CUIT]],Lista_CUIT[#All],2,0)),"CUIT NO CARGADO")</f>
        <v>-</v>
      </c>
      <c r="H1254" s="64">
        <f>ventas_b_mes11[[#This Row],[TOTAL]]/1.21</f>
        <v>0</v>
      </c>
      <c r="I1254" s="183">
        <f>ventas_b_mes11[[#This Row],[IMPORTE NETO]]*0.21</f>
        <v>0</v>
      </c>
      <c r="J1254" s="184"/>
      <c r="K1254" s="184"/>
      <c r="L1254" s="184"/>
      <c r="M1254" s="59"/>
    </row>
    <row r="1255" spans="2:13" x14ac:dyDescent="0.3">
      <c r="B1255" s="178"/>
      <c r="C1255" s="179"/>
      <c r="D1255" s="180"/>
      <c r="E1255" s="181"/>
      <c r="F1255" s="182"/>
      <c r="G1255" s="1" t="str">
        <f>IFERROR(IF(ventas_b_mes11[[#This Row],[CUIT]]="","-",VLOOKUP(ventas_b_mes11[[#This Row],[CUIT]],Lista_CUIT[#All],2,0)),"CUIT NO CARGADO")</f>
        <v>-</v>
      </c>
      <c r="H1255" s="64">
        <f>ventas_b_mes11[[#This Row],[TOTAL]]/1.21</f>
        <v>0</v>
      </c>
      <c r="I1255" s="183">
        <f>ventas_b_mes11[[#This Row],[IMPORTE NETO]]*0.21</f>
        <v>0</v>
      </c>
      <c r="J1255" s="184"/>
      <c r="K1255" s="184"/>
      <c r="L1255" s="184"/>
      <c r="M1255" s="59"/>
    </row>
    <row r="1256" spans="2:13" x14ac:dyDescent="0.3">
      <c r="B1256" s="178"/>
      <c r="C1256" s="179"/>
      <c r="D1256" s="180"/>
      <c r="E1256" s="181"/>
      <c r="F1256" s="182"/>
      <c r="G1256" s="1" t="str">
        <f>IFERROR(IF(ventas_b_mes11[[#This Row],[CUIT]]="","-",VLOOKUP(ventas_b_mes11[[#This Row],[CUIT]],Lista_CUIT[#All],2,0)),"CUIT NO CARGADO")</f>
        <v>-</v>
      </c>
      <c r="H1256" s="64">
        <f>ventas_b_mes11[[#This Row],[TOTAL]]/1.21</f>
        <v>0</v>
      </c>
      <c r="I1256" s="183">
        <f>ventas_b_mes11[[#This Row],[IMPORTE NETO]]*0.21</f>
        <v>0</v>
      </c>
      <c r="J1256" s="184"/>
      <c r="K1256" s="184"/>
      <c r="L1256" s="184"/>
      <c r="M1256" s="59"/>
    </row>
    <row r="1257" spans="2:13" x14ac:dyDescent="0.3">
      <c r="B1257" s="178"/>
      <c r="C1257" s="179"/>
      <c r="D1257" s="180"/>
      <c r="E1257" s="181"/>
      <c r="F1257" s="182"/>
      <c r="G1257" s="1" t="str">
        <f>IFERROR(IF(ventas_b_mes11[[#This Row],[CUIT]]="","-",VLOOKUP(ventas_b_mes11[[#This Row],[CUIT]],Lista_CUIT[#All],2,0)),"CUIT NO CARGADO")</f>
        <v>-</v>
      </c>
      <c r="H1257" s="64">
        <f>ventas_b_mes11[[#This Row],[TOTAL]]/1.21</f>
        <v>0</v>
      </c>
      <c r="I1257" s="183">
        <f>ventas_b_mes11[[#This Row],[IMPORTE NETO]]*0.21</f>
        <v>0</v>
      </c>
      <c r="J1257" s="184"/>
      <c r="K1257" s="184"/>
      <c r="L1257" s="184"/>
      <c r="M1257" s="59"/>
    </row>
    <row r="1258" spans="2:13" x14ac:dyDescent="0.3">
      <c r="B1258" s="178"/>
      <c r="C1258" s="179"/>
      <c r="D1258" s="180"/>
      <c r="E1258" s="181"/>
      <c r="F1258" s="182"/>
      <c r="G1258" s="1" t="str">
        <f>IFERROR(IF(ventas_b_mes11[[#This Row],[CUIT]]="","-",VLOOKUP(ventas_b_mes11[[#This Row],[CUIT]],Lista_CUIT[#All],2,0)),"CUIT NO CARGADO")</f>
        <v>-</v>
      </c>
      <c r="H1258" s="64">
        <f>ventas_b_mes11[[#This Row],[TOTAL]]/1.21</f>
        <v>0</v>
      </c>
      <c r="I1258" s="183">
        <f>ventas_b_mes11[[#This Row],[IMPORTE NETO]]*0.21</f>
        <v>0</v>
      </c>
      <c r="J1258" s="184"/>
      <c r="K1258" s="184"/>
      <c r="L1258" s="184"/>
      <c r="M1258" s="59"/>
    </row>
    <row r="1259" spans="2:13" x14ac:dyDescent="0.3">
      <c r="B1259" s="178"/>
      <c r="C1259" s="179"/>
      <c r="D1259" s="180"/>
      <c r="E1259" s="181"/>
      <c r="F1259" s="182"/>
      <c r="G1259" s="1" t="str">
        <f>IFERROR(IF(ventas_b_mes11[[#This Row],[CUIT]]="","-",VLOOKUP(ventas_b_mes11[[#This Row],[CUIT]],Lista_CUIT[#All],2,0)),"CUIT NO CARGADO")</f>
        <v>-</v>
      </c>
      <c r="H1259" s="64">
        <f>ventas_b_mes11[[#This Row],[TOTAL]]/1.21</f>
        <v>0</v>
      </c>
      <c r="I1259" s="183">
        <f>ventas_b_mes11[[#This Row],[IMPORTE NETO]]*0.21</f>
        <v>0</v>
      </c>
      <c r="J1259" s="184"/>
      <c r="K1259" s="184"/>
      <c r="L1259" s="184"/>
      <c r="M1259" s="59"/>
    </row>
    <row r="1260" spans="2:13" x14ac:dyDescent="0.3">
      <c r="B1260" s="178"/>
      <c r="C1260" s="179"/>
      <c r="D1260" s="180"/>
      <c r="E1260" s="181"/>
      <c r="F1260" s="182"/>
      <c r="G1260" s="1" t="str">
        <f>IFERROR(IF(ventas_b_mes11[[#This Row],[CUIT]]="","-",VLOOKUP(ventas_b_mes11[[#This Row],[CUIT]],Lista_CUIT[#All],2,0)),"CUIT NO CARGADO")</f>
        <v>-</v>
      </c>
      <c r="H1260" s="64">
        <f>ventas_b_mes11[[#This Row],[TOTAL]]/1.21</f>
        <v>0</v>
      </c>
      <c r="I1260" s="183">
        <f>ventas_b_mes11[[#This Row],[IMPORTE NETO]]*0.21</f>
        <v>0</v>
      </c>
      <c r="J1260" s="184"/>
      <c r="K1260" s="184"/>
      <c r="L1260" s="184"/>
      <c r="M1260" s="59"/>
    </row>
    <row r="1261" spans="2:13" x14ac:dyDescent="0.3">
      <c r="B1261" s="178"/>
      <c r="C1261" s="179"/>
      <c r="D1261" s="180"/>
      <c r="E1261" s="181"/>
      <c r="F1261" s="182"/>
      <c r="G1261" s="1" t="str">
        <f>IFERROR(IF(ventas_b_mes11[[#This Row],[CUIT]]="","-",VLOOKUP(ventas_b_mes11[[#This Row],[CUIT]],Lista_CUIT[#All],2,0)),"CUIT NO CARGADO")</f>
        <v>-</v>
      </c>
      <c r="H1261" s="64">
        <f>ventas_b_mes11[[#This Row],[TOTAL]]/1.21</f>
        <v>0</v>
      </c>
      <c r="I1261" s="183">
        <f>ventas_b_mes11[[#This Row],[IMPORTE NETO]]*0.21</f>
        <v>0</v>
      </c>
      <c r="J1261" s="184"/>
      <c r="K1261" s="184"/>
      <c r="L1261" s="184"/>
      <c r="M1261" s="59"/>
    </row>
    <row r="1262" spans="2:13" x14ac:dyDescent="0.3">
      <c r="B1262" s="178"/>
      <c r="C1262" s="179"/>
      <c r="D1262" s="180"/>
      <c r="E1262" s="181"/>
      <c r="F1262" s="182"/>
      <c r="G1262" s="1" t="str">
        <f>IFERROR(IF(ventas_b_mes11[[#This Row],[CUIT]]="","-",VLOOKUP(ventas_b_mes11[[#This Row],[CUIT]],Lista_CUIT[#All],2,0)),"CUIT NO CARGADO")</f>
        <v>-</v>
      </c>
      <c r="H1262" s="64">
        <f>ventas_b_mes11[[#This Row],[TOTAL]]/1.21</f>
        <v>0</v>
      </c>
      <c r="I1262" s="183">
        <f>ventas_b_mes11[[#This Row],[IMPORTE NETO]]*0.21</f>
        <v>0</v>
      </c>
      <c r="J1262" s="184"/>
      <c r="K1262" s="184"/>
      <c r="L1262" s="184"/>
      <c r="M1262" s="59"/>
    </row>
    <row r="1263" spans="2:13" x14ac:dyDescent="0.3">
      <c r="B1263" s="178"/>
      <c r="C1263" s="179"/>
      <c r="D1263" s="180"/>
      <c r="E1263" s="181"/>
      <c r="F1263" s="182"/>
      <c r="G1263" s="1" t="str">
        <f>IFERROR(IF(ventas_b_mes11[[#This Row],[CUIT]]="","-",VLOOKUP(ventas_b_mes11[[#This Row],[CUIT]],Lista_CUIT[#All],2,0)),"CUIT NO CARGADO")</f>
        <v>-</v>
      </c>
      <c r="H1263" s="64">
        <f>ventas_b_mes11[[#This Row],[TOTAL]]/1.21</f>
        <v>0</v>
      </c>
      <c r="I1263" s="183">
        <f>ventas_b_mes11[[#This Row],[IMPORTE NETO]]*0.21</f>
        <v>0</v>
      </c>
      <c r="J1263" s="184"/>
      <c r="K1263" s="184"/>
      <c r="L1263" s="184"/>
      <c r="M1263" s="59"/>
    </row>
    <row r="1264" spans="2:13" x14ac:dyDescent="0.3">
      <c r="B1264" s="178"/>
      <c r="C1264" s="179"/>
      <c r="D1264" s="180"/>
      <c r="E1264" s="181"/>
      <c r="F1264" s="182"/>
      <c r="G1264" s="1" t="str">
        <f>IFERROR(IF(ventas_b_mes11[[#This Row],[CUIT]]="","-",VLOOKUP(ventas_b_mes11[[#This Row],[CUIT]],Lista_CUIT[#All],2,0)),"CUIT NO CARGADO")</f>
        <v>-</v>
      </c>
      <c r="H1264" s="64">
        <f>ventas_b_mes11[[#This Row],[TOTAL]]/1.21</f>
        <v>0</v>
      </c>
      <c r="I1264" s="183">
        <f>ventas_b_mes11[[#This Row],[IMPORTE NETO]]*0.21</f>
        <v>0</v>
      </c>
      <c r="J1264" s="184"/>
      <c r="K1264" s="184"/>
      <c r="L1264" s="184"/>
      <c r="M1264" s="59"/>
    </row>
    <row r="1265" spans="2:13" x14ac:dyDescent="0.3">
      <c r="B1265" s="178"/>
      <c r="C1265" s="179"/>
      <c r="D1265" s="180"/>
      <c r="E1265" s="181"/>
      <c r="F1265" s="182"/>
      <c r="G1265" s="1" t="str">
        <f>IFERROR(IF(ventas_b_mes11[[#This Row],[CUIT]]="","-",VLOOKUP(ventas_b_mes11[[#This Row],[CUIT]],Lista_CUIT[#All],2,0)),"CUIT NO CARGADO")</f>
        <v>-</v>
      </c>
      <c r="H1265" s="64">
        <f>ventas_b_mes11[[#This Row],[TOTAL]]/1.21</f>
        <v>0</v>
      </c>
      <c r="I1265" s="183">
        <f>ventas_b_mes11[[#This Row],[IMPORTE NETO]]*0.21</f>
        <v>0</v>
      </c>
      <c r="J1265" s="184"/>
      <c r="K1265" s="184"/>
      <c r="L1265" s="184"/>
      <c r="M1265" s="59"/>
    </row>
    <row r="1266" spans="2:13" x14ac:dyDescent="0.3">
      <c r="B1266" s="178"/>
      <c r="C1266" s="179"/>
      <c r="D1266" s="180"/>
      <c r="E1266" s="181"/>
      <c r="F1266" s="182"/>
      <c r="G1266" s="1" t="str">
        <f>IFERROR(IF(ventas_b_mes11[[#This Row],[CUIT]]="","-",VLOOKUP(ventas_b_mes11[[#This Row],[CUIT]],Lista_CUIT[#All],2,0)),"CUIT NO CARGADO")</f>
        <v>-</v>
      </c>
      <c r="H1266" s="64">
        <f>ventas_b_mes11[[#This Row],[TOTAL]]/1.21</f>
        <v>0</v>
      </c>
      <c r="I1266" s="183">
        <f>ventas_b_mes11[[#This Row],[IMPORTE NETO]]*0.21</f>
        <v>0</v>
      </c>
      <c r="J1266" s="184"/>
      <c r="K1266" s="184"/>
      <c r="L1266" s="184"/>
      <c r="M1266" s="59"/>
    </row>
    <row r="1267" spans="2:13" x14ac:dyDescent="0.3">
      <c r="B1267" s="178"/>
      <c r="C1267" s="179"/>
      <c r="D1267" s="180"/>
      <c r="E1267" s="181"/>
      <c r="F1267" s="182"/>
      <c r="G1267" s="1" t="str">
        <f>IFERROR(IF(ventas_b_mes11[[#This Row],[CUIT]]="","-",VLOOKUP(ventas_b_mes11[[#This Row],[CUIT]],Lista_CUIT[#All],2,0)),"CUIT NO CARGADO")</f>
        <v>-</v>
      </c>
      <c r="H1267" s="64">
        <f>ventas_b_mes11[[#This Row],[TOTAL]]/1.21</f>
        <v>0</v>
      </c>
      <c r="I1267" s="183">
        <f>ventas_b_mes11[[#This Row],[IMPORTE NETO]]*0.21</f>
        <v>0</v>
      </c>
      <c r="J1267" s="184"/>
      <c r="K1267" s="184"/>
      <c r="L1267" s="184"/>
      <c r="M1267" s="59"/>
    </row>
    <row r="1268" spans="2:13" x14ac:dyDescent="0.3">
      <c r="B1268" s="178"/>
      <c r="C1268" s="179"/>
      <c r="D1268" s="180"/>
      <c r="E1268" s="181"/>
      <c r="F1268" s="182"/>
      <c r="G1268" s="1" t="str">
        <f>IFERROR(IF(ventas_b_mes11[[#This Row],[CUIT]]="","-",VLOOKUP(ventas_b_mes11[[#This Row],[CUIT]],Lista_CUIT[#All],2,0)),"CUIT NO CARGADO")</f>
        <v>-</v>
      </c>
      <c r="H1268" s="64">
        <f>ventas_b_mes11[[#This Row],[TOTAL]]/1.21</f>
        <v>0</v>
      </c>
      <c r="I1268" s="183">
        <f>ventas_b_mes11[[#This Row],[IMPORTE NETO]]*0.21</f>
        <v>0</v>
      </c>
      <c r="J1268" s="184"/>
      <c r="K1268" s="184"/>
      <c r="L1268" s="184"/>
      <c r="M1268" s="59"/>
    </row>
    <row r="1269" spans="2:13" x14ac:dyDescent="0.3">
      <c r="B1269" s="178"/>
      <c r="C1269" s="179"/>
      <c r="D1269" s="180"/>
      <c r="E1269" s="181"/>
      <c r="F1269" s="182"/>
      <c r="G1269" s="1" t="str">
        <f>IFERROR(IF(ventas_b_mes11[[#This Row],[CUIT]]="","-",VLOOKUP(ventas_b_mes11[[#This Row],[CUIT]],Lista_CUIT[#All],2,0)),"CUIT NO CARGADO")</f>
        <v>-</v>
      </c>
      <c r="H1269" s="64">
        <f>ventas_b_mes11[[#This Row],[TOTAL]]/1.21</f>
        <v>0</v>
      </c>
      <c r="I1269" s="183">
        <f>ventas_b_mes11[[#This Row],[IMPORTE NETO]]*0.21</f>
        <v>0</v>
      </c>
      <c r="J1269" s="184"/>
      <c r="K1269" s="184"/>
      <c r="L1269" s="184"/>
      <c r="M1269" s="59"/>
    </row>
    <row r="1270" spans="2:13" x14ac:dyDescent="0.3">
      <c r="B1270" s="178"/>
      <c r="C1270" s="179"/>
      <c r="D1270" s="180"/>
      <c r="E1270" s="181"/>
      <c r="F1270" s="182"/>
      <c r="G1270" s="1" t="str">
        <f>IFERROR(IF(ventas_b_mes11[[#This Row],[CUIT]]="","-",VLOOKUP(ventas_b_mes11[[#This Row],[CUIT]],Lista_CUIT[#All],2,0)),"CUIT NO CARGADO")</f>
        <v>-</v>
      </c>
      <c r="H1270" s="64">
        <f>ventas_b_mes11[[#This Row],[TOTAL]]/1.21</f>
        <v>0</v>
      </c>
      <c r="I1270" s="183">
        <f>ventas_b_mes11[[#This Row],[IMPORTE NETO]]*0.21</f>
        <v>0</v>
      </c>
      <c r="J1270" s="184"/>
      <c r="K1270" s="184"/>
      <c r="L1270" s="184"/>
      <c r="M1270" s="59"/>
    </row>
    <row r="1271" spans="2:13" x14ac:dyDescent="0.3">
      <c r="B1271" s="178"/>
      <c r="C1271" s="179"/>
      <c r="D1271" s="180"/>
      <c r="E1271" s="181"/>
      <c r="F1271" s="182"/>
      <c r="G1271" s="1" t="str">
        <f>IFERROR(IF(ventas_b_mes11[[#This Row],[CUIT]]="","-",VLOOKUP(ventas_b_mes11[[#This Row],[CUIT]],Lista_CUIT[#All],2,0)),"CUIT NO CARGADO")</f>
        <v>-</v>
      </c>
      <c r="H1271" s="64">
        <f>ventas_b_mes11[[#This Row],[TOTAL]]/1.21</f>
        <v>0</v>
      </c>
      <c r="I1271" s="183">
        <f>ventas_b_mes11[[#This Row],[IMPORTE NETO]]*0.21</f>
        <v>0</v>
      </c>
      <c r="J1271" s="184"/>
      <c r="K1271" s="184"/>
      <c r="L1271" s="184"/>
      <c r="M1271" s="59"/>
    </row>
    <row r="1272" spans="2:13" x14ac:dyDescent="0.3">
      <c r="B1272" s="178"/>
      <c r="C1272" s="179"/>
      <c r="D1272" s="180"/>
      <c r="E1272" s="181"/>
      <c r="F1272" s="182"/>
      <c r="G1272" s="1" t="str">
        <f>IFERROR(IF(ventas_b_mes11[[#This Row],[CUIT]]="","-",VLOOKUP(ventas_b_mes11[[#This Row],[CUIT]],Lista_CUIT[#All],2,0)),"CUIT NO CARGADO")</f>
        <v>-</v>
      </c>
      <c r="H1272" s="64">
        <f>ventas_b_mes11[[#This Row],[TOTAL]]/1.21</f>
        <v>0</v>
      </c>
      <c r="I1272" s="183">
        <f>ventas_b_mes11[[#This Row],[IMPORTE NETO]]*0.21</f>
        <v>0</v>
      </c>
      <c r="J1272" s="184"/>
      <c r="K1272" s="184"/>
      <c r="L1272" s="184"/>
      <c r="M1272" s="59"/>
    </row>
    <row r="1273" spans="2:13" x14ac:dyDescent="0.3">
      <c r="B1273" s="178"/>
      <c r="C1273" s="179"/>
      <c r="D1273" s="180"/>
      <c r="E1273" s="181"/>
      <c r="F1273" s="182"/>
      <c r="G1273" s="1" t="str">
        <f>IFERROR(IF(ventas_b_mes11[[#This Row],[CUIT]]="","-",VLOOKUP(ventas_b_mes11[[#This Row],[CUIT]],Lista_CUIT[#All],2,0)),"CUIT NO CARGADO")</f>
        <v>-</v>
      </c>
      <c r="H1273" s="64">
        <f>ventas_b_mes11[[#This Row],[TOTAL]]/1.21</f>
        <v>0</v>
      </c>
      <c r="I1273" s="183">
        <f>ventas_b_mes11[[#This Row],[IMPORTE NETO]]*0.21</f>
        <v>0</v>
      </c>
      <c r="J1273" s="184"/>
      <c r="K1273" s="184"/>
      <c r="L1273" s="184"/>
      <c r="M1273" s="59"/>
    </row>
    <row r="1274" spans="2:13" x14ac:dyDescent="0.3">
      <c r="B1274" s="178"/>
      <c r="C1274" s="179"/>
      <c r="D1274" s="180"/>
      <c r="E1274" s="181"/>
      <c r="F1274" s="182"/>
      <c r="G1274" s="1" t="str">
        <f>IFERROR(IF(ventas_b_mes11[[#This Row],[CUIT]]="","-",VLOOKUP(ventas_b_mes11[[#This Row],[CUIT]],Lista_CUIT[#All],2,0)),"CUIT NO CARGADO")</f>
        <v>-</v>
      </c>
      <c r="H1274" s="64">
        <f>ventas_b_mes11[[#This Row],[TOTAL]]/1.21</f>
        <v>0</v>
      </c>
      <c r="I1274" s="183">
        <f>ventas_b_mes11[[#This Row],[IMPORTE NETO]]*0.21</f>
        <v>0</v>
      </c>
      <c r="J1274" s="184"/>
      <c r="K1274" s="184"/>
      <c r="L1274" s="184"/>
      <c r="M1274" s="59"/>
    </row>
    <row r="1275" spans="2:13" x14ac:dyDescent="0.3">
      <c r="B1275" s="178"/>
      <c r="C1275" s="179"/>
      <c r="D1275" s="180"/>
      <c r="E1275" s="181"/>
      <c r="F1275" s="182"/>
      <c r="G1275" s="1" t="str">
        <f>IFERROR(IF(ventas_b_mes11[[#This Row],[CUIT]]="","-",VLOOKUP(ventas_b_mes11[[#This Row],[CUIT]],Lista_CUIT[#All],2,0)),"CUIT NO CARGADO")</f>
        <v>-</v>
      </c>
      <c r="H1275" s="64">
        <f>ventas_b_mes11[[#This Row],[TOTAL]]/1.21</f>
        <v>0</v>
      </c>
      <c r="I1275" s="183">
        <f>ventas_b_mes11[[#This Row],[IMPORTE NETO]]*0.21</f>
        <v>0</v>
      </c>
      <c r="J1275" s="184"/>
      <c r="K1275" s="184"/>
      <c r="L1275" s="184"/>
      <c r="M1275" s="59"/>
    </row>
    <row r="1276" spans="2:13" x14ac:dyDescent="0.3">
      <c r="B1276" s="178"/>
      <c r="C1276" s="179"/>
      <c r="D1276" s="180"/>
      <c r="E1276" s="181"/>
      <c r="F1276" s="182"/>
      <c r="G1276" s="1" t="str">
        <f>IFERROR(IF(ventas_b_mes11[[#This Row],[CUIT]]="","-",VLOOKUP(ventas_b_mes11[[#This Row],[CUIT]],Lista_CUIT[#All],2,0)),"CUIT NO CARGADO")</f>
        <v>-</v>
      </c>
      <c r="H1276" s="64">
        <f>ventas_b_mes11[[#This Row],[TOTAL]]/1.21</f>
        <v>0</v>
      </c>
      <c r="I1276" s="183">
        <f>ventas_b_mes11[[#This Row],[IMPORTE NETO]]*0.21</f>
        <v>0</v>
      </c>
      <c r="J1276" s="184"/>
      <c r="K1276" s="184"/>
      <c r="L1276" s="184"/>
      <c r="M1276" s="59"/>
    </row>
    <row r="1277" spans="2:13" x14ac:dyDescent="0.3">
      <c r="B1277" s="178"/>
      <c r="C1277" s="179"/>
      <c r="D1277" s="180"/>
      <c r="E1277" s="181"/>
      <c r="F1277" s="182"/>
      <c r="G1277" s="1" t="str">
        <f>IFERROR(IF(ventas_b_mes11[[#This Row],[CUIT]]="","-",VLOOKUP(ventas_b_mes11[[#This Row],[CUIT]],Lista_CUIT[#All],2,0)),"CUIT NO CARGADO")</f>
        <v>-</v>
      </c>
      <c r="H1277" s="64">
        <f>ventas_b_mes11[[#This Row],[TOTAL]]/1.21</f>
        <v>0</v>
      </c>
      <c r="I1277" s="183">
        <f>ventas_b_mes11[[#This Row],[IMPORTE NETO]]*0.21</f>
        <v>0</v>
      </c>
      <c r="J1277" s="184"/>
      <c r="K1277" s="184"/>
      <c r="L1277" s="184"/>
      <c r="M1277" s="59"/>
    </row>
    <row r="1278" spans="2:13" x14ac:dyDescent="0.3">
      <c r="B1278" s="178"/>
      <c r="C1278" s="179"/>
      <c r="D1278" s="180"/>
      <c r="E1278" s="181"/>
      <c r="F1278" s="182"/>
      <c r="G1278" s="1" t="str">
        <f>IFERROR(IF(ventas_b_mes11[[#This Row],[CUIT]]="","-",VLOOKUP(ventas_b_mes11[[#This Row],[CUIT]],Lista_CUIT[#All],2,0)),"CUIT NO CARGADO")</f>
        <v>-</v>
      </c>
      <c r="H1278" s="64">
        <f>ventas_b_mes11[[#This Row],[TOTAL]]/1.21</f>
        <v>0</v>
      </c>
      <c r="I1278" s="183">
        <f>ventas_b_mes11[[#This Row],[IMPORTE NETO]]*0.21</f>
        <v>0</v>
      </c>
      <c r="J1278" s="184"/>
      <c r="K1278" s="184"/>
      <c r="L1278" s="184"/>
      <c r="M1278" s="59"/>
    </row>
    <row r="1279" spans="2:13" x14ac:dyDescent="0.3">
      <c r="B1279" s="178"/>
      <c r="C1279" s="179"/>
      <c r="D1279" s="180"/>
      <c r="E1279" s="181"/>
      <c r="F1279" s="182"/>
      <c r="G1279" s="1" t="str">
        <f>IFERROR(IF(ventas_b_mes11[[#This Row],[CUIT]]="","-",VLOOKUP(ventas_b_mes11[[#This Row],[CUIT]],Lista_CUIT[#All],2,0)),"CUIT NO CARGADO")</f>
        <v>-</v>
      </c>
      <c r="H1279" s="64">
        <f>ventas_b_mes11[[#This Row],[TOTAL]]/1.21</f>
        <v>0</v>
      </c>
      <c r="I1279" s="183">
        <f>ventas_b_mes11[[#This Row],[IMPORTE NETO]]*0.21</f>
        <v>0</v>
      </c>
      <c r="J1279" s="184"/>
      <c r="K1279" s="184"/>
      <c r="L1279" s="184"/>
      <c r="M1279" s="59"/>
    </row>
    <row r="1280" spans="2:13" x14ac:dyDescent="0.3">
      <c r="B1280" s="178"/>
      <c r="C1280" s="179"/>
      <c r="D1280" s="180"/>
      <c r="E1280" s="181"/>
      <c r="F1280" s="182"/>
      <c r="G1280" s="1" t="str">
        <f>IFERROR(IF(ventas_b_mes11[[#This Row],[CUIT]]="","-",VLOOKUP(ventas_b_mes11[[#This Row],[CUIT]],Lista_CUIT[#All],2,0)),"CUIT NO CARGADO")</f>
        <v>-</v>
      </c>
      <c r="H1280" s="64">
        <f>ventas_b_mes11[[#This Row],[TOTAL]]/1.21</f>
        <v>0</v>
      </c>
      <c r="I1280" s="183">
        <f>ventas_b_mes11[[#This Row],[IMPORTE NETO]]*0.21</f>
        <v>0</v>
      </c>
      <c r="J1280" s="184"/>
      <c r="K1280" s="184"/>
      <c r="L1280" s="184"/>
      <c r="M1280" s="59"/>
    </row>
    <row r="1281" spans="2:13" x14ac:dyDescent="0.3">
      <c r="B1281" s="178"/>
      <c r="C1281" s="179"/>
      <c r="D1281" s="180"/>
      <c r="E1281" s="181"/>
      <c r="F1281" s="182"/>
      <c r="G1281" s="1" t="str">
        <f>IFERROR(IF(ventas_b_mes11[[#This Row],[CUIT]]="","-",VLOOKUP(ventas_b_mes11[[#This Row],[CUIT]],Lista_CUIT[#All],2,0)),"CUIT NO CARGADO")</f>
        <v>-</v>
      </c>
      <c r="H1281" s="64">
        <f>ventas_b_mes11[[#This Row],[TOTAL]]/1.21</f>
        <v>0</v>
      </c>
      <c r="I1281" s="183">
        <f>ventas_b_mes11[[#This Row],[IMPORTE NETO]]*0.21</f>
        <v>0</v>
      </c>
      <c r="J1281" s="184"/>
      <c r="K1281" s="184"/>
      <c r="L1281" s="184"/>
      <c r="M1281" s="59"/>
    </row>
    <row r="1282" spans="2:13" x14ac:dyDescent="0.3">
      <c r="B1282" s="178"/>
      <c r="C1282" s="179"/>
      <c r="D1282" s="180"/>
      <c r="E1282" s="181"/>
      <c r="F1282" s="182"/>
      <c r="G1282" s="1" t="str">
        <f>IFERROR(IF(ventas_b_mes11[[#This Row],[CUIT]]="","-",VLOOKUP(ventas_b_mes11[[#This Row],[CUIT]],Lista_CUIT[#All],2,0)),"CUIT NO CARGADO")</f>
        <v>-</v>
      </c>
      <c r="H1282" s="64">
        <f>ventas_b_mes11[[#This Row],[TOTAL]]/1.21</f>
        <v>0</v>
      </c>
      <c r="I1282" s="183">
        <f>ventas_b_mes11[[#This Row],[IMPORTE NETO]]*0.21</f>
        <v>0</v>
      </c>
      <c r="J1282" s="184"/>
      <c r="K1282" s="184"/>
      <c r="L1282" s="184"/>
      <c r="M1282" s="59"/>
    </row>
    <row r="1283" spans="2:13" x14ac:dyDescent="0.3">
      <c r="B1283" s="178"/>
      <c r="C1283" s="179"/>
      <c r="D1283" s="180"/>
      <c r="E1283" s="181"/>
      <c r="F1283" s="182"/>
      <c r="G1283" s="1" t="str">
        <f>IFERROR(IF(ventas_b_mes11[[#This Row],[CUIT]]="","-",VLOOKUP(ventas_b_mes11[[#This Row],[CUIT]],Lista_CUIT[#All],2,0)),"CUIT NO CARGADO")</f>
        <v>-</v>
      </c>
      <c r="H1283" s="64">
        <f>ventas_b_mes11[[#This Row],[TOTAL]]/1.21</f>
        <v>0</v>
      </c>
      <c r="I1283" s="183">
        <f>ventas_b_mes11[[#This Row],[IMPORTE NETO]]*0.21</f>
        <v>0</v>
      </c>
      <c r="J1283" s="184"/>
      <c r="K1283" s="184"/>
      <c r="L1283" s="184"/>
      <c r="M1283" s="59"/>
    </row>
    <row r="1284" spans="2:13" x14ac:dyDescent="0.3">
      <c r="B1284" s="178"/>
      <c r="C1284" s="179"/>
      <c r="D1284" s="180"/>
      <c r="E1284" s="181"/>
      <c r="F1284" s="182"/>
      <c r="G1284" s="1" t="str">
        <f>IFERROR(IF(ventas_b_mes11[[#This Row],[CUIT]]="","-",VLOOKUP(ventas_b_mes11[[#This Row],[CUIT]],Lista_CUIT[#All],2,0)),"CUIT NO CARGADO")</f>
        <v>-</v>
      </c>
      <c r="H1284" s="64">
        <f>ventas_b_mes11[[#This Row],[TOTAL]]/1.21</f>
        <v>0</v>
      </c>
      <c r="I1284" s="183">
        <f>ventas_b_mes11[[#This Row],[IMPORTE NETO]]*0.21</f>
        <v>0</v>
      </c>
      <c r="J1284" s="184"/>
      <c r="K1284" s="184"/>
      <c r="L1284" s="184"/>
      <c r="M1284" s="59"/>
    </row>
    <row r="1285" spans="2:13" x14ac:dyDescent="0.3">
      <c r="B1285" s="178"/>
      <c r="C1285" s="179"/>
      <c r="D1285" s="180"/>
      <c r="E1285" s="181"/>
      <c r="F1285" s="182"/>
      <c r="G1285" s="1" t="str">
        <f>IFERROR(IF(ventas_b_mes11[[#This Row],[CUIT]]="","-",VLOOKUP(ventas_b_mes11[[#This Row],[CUIT]],Lista_CUIT[#All],2,0)),"CUIT NO CARGADO")</f>
        <v>-</v>
      </c>
      <c r="H1285" s="64">
        <f>ventas_b_mes11[[#This Row],[TOTAL]]/1.21</f>
        <v>0</v>
      </c>
      <c r="I1285" s="183">
        <f>ventas_b_mes11[[#This Row],[IMPORTE NETO]]*0.21</f>
        <v>0</v>
      </c>
      <c r="J1285" s="184"/>
      <c r="K1285" s="184"/>
      <c r="L1285" s="184"/>
      <c r="M1285" s="59"/>
    </row>
    <row r="1286" spans="2:13" x14ac:dyDescent="0.3">
      <c r="B1286" s="178"/>
      <c r="C1286" s="179"/>
      <c r="D1286" s="180"/>
      <c r="E1286" s="181"/>
      <c r="F1286" s="182"/>
      <c r="G1286" s="1" t="str">
        <f>IFERROR(IF(ventas_b_mes11[[#This Row],[CUIT]]="","-",VLOOKUP(ventas_b_mes11[[#This Row],[CUIT]],Lista_CUIT[#All],2,0)),"CUIT NO CARGADO")</f>
        <v>-</v>
      </c>
      <c r="H1286" s="64">
        <f>ventas_b_mes11[[#This Row],[TOTAL]]/1.21</f>
        <v>0</v>
      </c>
      <c r="I1286" s="183">
        <f>ventas_b_mes11[[#This Row],[IMPORTE NETO]]*0.21</f>
        <v>0</v>
      </c>
      <c r="J1286" s="184"/>
      <c r="K1286" s="184"/>
      <c r="L1286" s="184"/>
      <c r="M1286" s="59"/>
    </row>
    <row r="1287" spans="2:13" x14ac:dyDescent="0.3">
      <c r="B1287" s="178"/>
      <c r="C1287" s="179"/>
      <c r="D1287" s="180"/>
      <c r="E1287" s="181"/>
      <c r="F1287" s="182"/>
      <c r="G1287" s="1" t="str">
        <f>IFERROR(IF(ventas_b_mes11[[#This Row],[CUIT]]="","-",VLOOKUP(ventas_b_mes11[[#This Row],[CUIT]],Lista_CUIT[#All],2,0)),"CUIT NO CARGADO")</f>
        <v>-</v>
      </c>
      <c r="H1287" s="64">
        <f>ventas_b_mes11[[#This Row],[TOTAL]]/1.21</f>
        <v>0</v>
      </c>
      <c r="I1287" s="183">
        <f>ventas_b_mes11[[#This Row],[IMPORTE NETO]]*0.21</f>
        <v>0</v>
      </c>
      <c r="J1287" s="184"/>
      <c r="K1287" s="184"/>
      <c r="L1287" s="184"/>
      <c r="M1287" s="59"/>
    </row>
    <row r="1288" spans="2:13" x14ac:dyDescent="0.3">
      <c r="B1288" s="178"/>
      <c r="C1288" s="179"/>
      <c r="D1288" s="180"/>
      <c r="E1288" s="181"/>
      <c r="F1288" s="182"/>
      <c r="G1288" s="1" t="str">
        <f>IFERROR(IF(ventas_b_mes11[[#This Row],[CUIT]]="","-",VLOOKUP(ventas_b_mes11[[#This Row],[CUIT]],Lista_CUIT[#All],2,0)),"CUIT NO CARGADO")</f>
        <v>-</v>
      </c>
      <c r="H1288" s="64">
        <f>ventas_b_mes11[[#This Row],[TOTAL]]/1.21</f>
        <v>0</v>
      </c>
      <c r="I1288" s="183">
        <f>ventas_b_mes11[[#This Row],[IMPORTE NETO]]*0.21</f>
        <v>0</v>
      </c>
      <c r="J1288" s="184"/>
      <c r="K1288" s="184"/>
      <c r="L1288" s="184"/>
      <c r="M1288" s="59"/>
    </row>
    <row r="1289" spans="2:13" x14ac:dyDescent="0.3">
      <c r="B1289" s="178"/>
      <c r="C1289" s="179"/>
      <c r="D1289" s="180"/>
      <c r="E1289" s="181"/>
      <c r="F1289" s="182"/>
      <c r="G1289" s="1" t="str">
        <f>IFERROR(IF(ventas_b_mes11[[#This Row],[CUIT]]="","-",VLOOKUP(ventas_b_mes11[[#This Row],[CUIT]],Lista_CUIT[#All],2,0)),"CUIT NO CARGADO")</f>
        <v>-</v>
      </c>
      <c r="H1289" s="64">
        <f>ventas_b_mes11[[#This Row],[TOTAL]]/1.21</f>
        <v>0</v>
      </c>
      <c r="I1289" s="183">
        <f>ventas_b_mes11[[#This Row],[IMPORTE NETO]]*0.21</f>
        <v>0</v>
      </c>
      <c r="J1289" s="184"/>
      <c r="K1289" s="184"/>
      <c r="L1289" s="184"/>
      <c r="M1289" s="59"/>
    </row>
    <row r="1290" spans="2:13" x14ac:dyDescent="0.3">
      <c r="B1290" s="178"/>
      <c r="C1290" s="179"/>
      <c r="D1290" s="180"/>
      <c r="E1290" s="181"/>
      <c r="F1290" s="182"/>
      <c r="G1290" s="1" t="str">
        <f>IFERROR(IF(ventas_b_mes11[[#This Row],[CUIT]]="","-",VLOOKUP(ventas_b_mes11[[#This Row],[CUIT]],Lista_CUIT[#All],2,0)),"CUIT NO CARGADO")</f>
        <v>-</v>
      </c>
      <c r="H1290" s="64">
        <f>ventas_b_mes11[[#This Row],[TOTAL]]/1.21</f>
        <v>0</v>
      </c>
      <c r="I1290" s="183">
        <f>ventas_b_mes11[[#This Row],[IMPORTE NETO]]*0.21</f>
        <v>0</v>
      </c>
      <c r="J1290" s="184"/>
      <c r="K1290" s="184"/>
      <c r="L1290" s="184"/>
      <c r="M1290" s="59"/>
    </row>
    <row r="1291" spans="2:13" x14ac:dyDescent="0.3">
      <c r="B1291" s="178"/>
      <c r="C1291" s="179"/>
      <c r="D1291" s="180"/>
      <c r="E1291" s="181"/>
      <c r="F1291" s="182"/>
      <c r="G1291" s="1" t="str">
        <f>IFERROR(IF(ventas_b_mes11[[#This Row],[CUIT]]="","-",VLOOKUP(ventas_b_mes11[[#This Row],[CUIT]],Lista_CUIT[#All],2,0)),"CUIT NO CARGADO")</f>
        <v>-</v>
      </c>
      <c r="H1291" s="64">
        <f>ventas_b_mes11[[#This Row],[TOTAL]]/1.21</f>
        <v>0</v>
      </c>
      <c r="I1291" s="183">
        <f>ventas_b_mes11[[#This Row],[IMPORTE NETO]]*0.21</f>
        <v>0</v>
      </c>
      <c r="J1291" s="184"/>
      <c r="K1291" s="184"/>
      <c r="L1291" s="184"/>
      <c r="M1291" s="59"/>
    </row>
    <row r="1292" spans="2:13" x14ac:dyDescent="0.3">
      <c r="B1292" s="178"/>
      <c r="C1292" s="179"/>
      <c r="D1292" s="180"/>
      <c r="E1292" s="181"/>
      <c r="F1292" s="182"/>
      <c r="G1292" s="1" t="str">
        <f>IFERROR(IF(ventas_b_mes11[[#This Row],[CUIT]]="","-",VLOOKUP(ventas_b_mes11[[#This Row],[CUIT]],Lista_CUIT[#All],2,0)),"CUIT NO CARGADO")</f>
        <v>-</v>
      </c>
      <c r="H1292" s="64">
        <f>ventas_b_mes11[[#This Row],[TOTAL]]/1.21</f>
        <v>0</v>
      </c>
      <c r="I1292" s="183">
        <f>ventas_b_mes11[[#This Row],[IMPORTE NETO]]*0.21</f>
        <v>0</v>
      </c>
      <c r="J1292" s="184"/>
      <c r="K1292" s="184"/>
      <c r="L1292" s="184"/>
      <c r="M1292" s="59"/>
    </row>
    <row r="1293" spans="2:13" x14ac:dyDescent="0.3">
      <c r="B1293" s="178"/>
      <c r="C1293" s="179"/>
      <c r="D1293" s="180"/>
      <c r="E1293" s="181"/>
      <c r="F1293" s="182"/>
      <c r="G1293" s="1" t="str">
        <f>IFERROR(IF(ventas_b_mes11[[#This Row],[CUIT]]="","-",VLOOKUP(ventas_b_mes11[[#This Row],[CUIT]],Lista_CUIT[#All],2,0)),"CUIT NO CARGADO")</f>
        <v>-</v>
      </c>
      <c r="H1293" s="64">
        <f>ventas_b_mes11[[#This Row],[TOTAL]]/1.21</f>
        <v>0</v>
      </c>
      <c r="I1293" s="183">
        <f>ventas_b_mes11[[#This Row],[IMPORTE NETO]]*0.21</f>
        <v>0</v>
      </c>
      <c r="J1293" s="184"/>
      <c r="K1293" s="184"/>
      <c r="L1293" s="184"/>
      <c r="M1293" s="59"/>
    </row>
    <row r="1294" spans="2:13" x14ac:dyDescent="0.3">
      <c r="B1294" s="178"/>
      <c r="C1294" s="179"/>
      <c r="D1294" s="180"/>
      <c r="E1294" s="181"/>
      <c r="F1294" s="182"/>
      <c r="G1294" s="1" t="str">
        <f>IFERROR(IF(ventas_b_mes11[[#This Row],[CUIT]]="","-",VLOOKUP(ventas_b_mes11[[#This Row],[CUIT]],Lista_CUIT[#All],2,0)),"CUIT NO CARGADO")</f>
        <v>-</v>
      </c>
      <c r="H1294" s="64">
        <f>ventas_b_mes11[[#This Row],[TOTAL]]/1.21</f>
        <v>0</v>
      </c>
      <c r="I1294" s="183">
        <f>ventas_b_mes11[[#This Row],[IMPORTE NETO]]*0.21</f>
        <v>0</v>
      </c>
      <c r="J1294" s="184"/>
      <c r="K1294" s="184"/>
      <c r="L1294" s="184"/>
      <c r="M1294" s="59"/>
    </row>
    <row r="1295" spans="2:13" x14ac:dyDescent="0.3">
      <c r="B1295" s="178"/>
      <c r="C1295" s="179"/>
      <c r="D1295" s="180"/>
      <c r="E1295" s="181"/>
      <c r="F1295" s="182"/>
      <c r="G1295" s="1" t="str">
        <f>IFERROR(IF(ventas_b_mes11[[#This Row],[CUIT]]="","-",VLOOKUP(ventas_b_mes11[[#This Row],[CUIT]],Lista_CUIT[#All],2,0)),"CUIT NO CARGADO")</f>
        <v>-</v>
      </c>
      <c r="H1295" s="64">
        <f>ventas_b_mes11[[#This Row],[TOTAL]]/1.21</f>
        <v>0</v>
      </c>
      <c r="I1295" s="183">
        <f>ventas_b_mes11[[#This Row],[IMPORTE NETO]]*0.21</f>
        <v>0</v>
      </c>
      <c r="J1295" s="184"/>
      <c r="K1295" s="184"/>
      <c r="L1295" s="184"/>
      <c r="M1295" s="59"/>
    </row>
    <row r="1296" spans="2:13" x14ac:dyDescent="0.3">
      <c r="B1296" s="178"/>
      <c r="C1296" s="179"/>
      <c r="D1296" s="180"/>
      <c r="E1296" s="181"/>
      <c r="F1296" s="182"/>
      <c r="G1296" s="1" t="str">
        <f>IFERROR(IF(ventas_b_mes11[[#This Row],[CUIT]]="","-",VLOOKUP(ventas_b_mes11[[#This Row],[CUIT]],Lista_CUIT[#All],2,0)),"CUIT NO CARGADO")</f>
        <v>-</v>
      </c>
      <c r="H1296" s="64">
        <f>ventas_b_mes11[[#This Row],[TOTAL]]/1.21</f>
        <v>0</v>
      </c>
      <c r="I1296" s="183">
        <f>ventas_b_mes11[[#This Row],[IMPORTE NETO]]*0.21</f>
        <v>0</v>
      </c>
      <c r="J1296" s="184"/>
      <c r="K1296" s="184"/>
      <c r="L1296" s="184"/>
      <c r="M1296" s="59"/>
    </row>
    <row r="1297" spans="2:13" x14ac:dyDescent="0.3">
      <c r="B1297" s="178"/>
      <c r="C1297" s="179"/>
      <c r="D1297" s="180"/>
      <c r="E1297" s="181"/>
      <c r="F1297" s="182"/>
      <c r="G1297" s="1" t="str">
        <f>IFERROR(IF(ventas_b_mes11[[#This Row],[CUIT]]="","-",VLOOKUP(ventas_b_mes11[[#This Row],[CUIT]],Lista_CUIT[#All],2,0)),"CUIT NO CARGADO")</f>
        <v>-</v>
      </c>
      <c r="H1297" s="64">
        <f>ventas_b_mes11[[#This Row],[TOTAL]]/1.21</f>
        <v>0</v>
      </c>
      <c r="I1297" s="183">
        <f>ventas_b_mes11[[#This Row],[IMPORTE NETO]]*0.21</f>
        <v>0</v>
      </c>
      <c r="J1297" s="184"/>
      <c r="K1297" s="184"/>
      <c r="L1297" s="184"/>
      <c r="M1297" s="59"/>
    </row>
    <row r="1298" spans="2:13" x14ac:dyDescent="0.3">
      <c r="B1298" s="178"/>
      <c r="C1298" s="179"/>
      <c r="D1298" s="180"/>
      <c r="E1298" s="181"/>
      <c r="F1298" s="182"/>
      <c r="G1298" s="1" t="str">
        <f>IFERROR(IF(ventas_b_mes11[[#This Row],[CUIT]]="","-",VLOOKUP(ventas_b_mes11[[#This Row],[CUIT]],Lista_CUIT[#All],2,0)),"CUIT NO CARGADO")</f>
        <v>-</v>
      </c>
      <c r="H1298" s="64">
        <f>ventas_b_mes11[[#This Row],[TOTAL]]/1.21</f>
        <v>0</v>
      </c>
      <c r="I1298" s="183">
        <f>ventas_b_mes11[[#This Row],[IMPORTE NETO]]*0.21</f>
        <v>0</v>
      </c>
      <c r="J1298" s="184"/>
      <c r="K1298" s="184"/>
      <c r="L1298" s="184"/>
      <c r="M1298" s="59"/>
    </row>
    <row r="1299" spans="2:13" x14ac:dyDescent="0.3">
      <c r="B1299" s="178"/>
      <c r="C1299" s="179"/>
      <c r="D1299" s="180"/>
      <c r="E1299" s="181"/>
      <c r="F1299" s="182"/>
      <c r="G1299" s="1" t="str">
        <f>IFERROR(IF(ventas_b_mes11[[#This Row],[CUIT]]="","-",VLOOKUP(ventas_b_mes11[[#This Row],[CUIT]],Lista_CUIT[#All],2,0)),"CUIT NO CARGADO")</f>
        <v>-</v>
      </c>
      <c r="H1299" s="64">
        <f>ventas_b_mes11[[#This Row],[TOTAL]]/1.21</f>
        <v>0</v>
      </c>
      <c r="I1299" s="183">
        <f>ventas_b_mes11[[#This Row],[IMPORTE NETO]]*0.21</f>
        <v>0</v>
      </c>
      <c r="J1299" s="184"/>
      <c r="K1299" s="184"/>
      <c r="L1299" s="184"/>
      <c r="M1299" s="59"/>
    </row>
    <row r="1300" spans="2:13" x14ac:dyDescent="0.3">
      <c r="B1300" s="178"/>
      <c r="C1300" s="179"/>
      <c r="D1300" s="180"/>
      <c r="E1300" s="181"/>
      <c r="F1300" s="182"/>
      <c r="G1300" s="1" t="str">
        <f>IFERROR(IF(ventas_b_mes11[[#This Row],[CUIT]]="","-",VLOOKUP(ventas_b_mes11[[#This Row],[CUIT]],Lista_CUIT[#All],2,0)),"CUIT NO CARGADO")</f>
        <v>-</v>
      </c>
      <c r="H1300" s="64">
        <f>ventas_b_mes11[[#This Row],[TOTAL]]/1.21</f>
        <v>0</v>
      </c>
      <c r="I1300" s="183">
        <f>ventas_b_mes11[[#This Row],[IMPORTE NETO]]*0.21</f>
        <v>0</v>
      </c>
      <c r="J1300" s="184"/>
      <c r="K1300" s="184"/>
      <c r="L1300" s="184"/>
      <c r="M1300" s="59"/>
    </row>
    <row r="1301" spans="2:13" x14ac:dyDescent="0.3">
      <c r="B1301" s="178"/>
      <c r="C1301" s="179"/>
      <c r="D1301" s="180"/>
      <c r="E1301" s="181"/>
      <c r="F1301" s="182"/>
      <c r="G1301" s="1" t="str">
        <f>IFERROR(IF(ventas_b_mes11[[#This Row],[CUIT]]="","-",VLOOKUP(ventas_b_mes11[[#This Row],[CUIT]],Lista_CUIT[#All],2,0)),"CUIT NO CARGADO")</f>
        <v>-</v>
      </c>
      <c r="H1301" s="64">
        <f>ventas_b_mes11[[#This Row],[TOTAL]]/1.21</f>
        <v>0</v>
      </c>
      <c r="I1301" s="183">
        <f>ventas_b_mes11[[#This Row],[IMPORTE NETO]]*0.21</f>
        <v>0</v>
      </c>
      <c r="J1301" s="184"/>
      <c r="K1301" s="184"/>
      <c r="L1301" s="184"/>
      <c r="M1301" s="59"/>
    </row>
    <row r="1302" spans="2:13" x14ac:dyDescent="0.3">
      <c r="B1302" s="178"/>
      <c r="C1302" s="179"/>
      <c r="D1302" s="180"/>
      <c r="E1302" s="181"/>
      <c r="F1302" s="182"/>
      <c r="G1302" s="1" t="str">
        <f>IFERROR(IF(ventas_b_mes11[[#This Row],[CUIT]]="","-",VLOOKUP(ventas_b_mes11[[#This Row],[CUIT]],Lista_CUIT[#All],2,0)),"CUIT NO CARGADO")</f>
        <v>-</v>
      </c>
      <c r="H1302" s="64">
        <f>ventas_b_mes11[[#This Row],[TOTAL]]/1.21</f>
        <v>0</v>
      </c>
      <c r="I1302" s="183">
        <f>ventas_b_mes11[[#This Row],[IMPORTE NETO]]*0.21</f>
        <v>0</v>
      </c>
      <c r="J1302" s="184"/>
      <c r="K1302" s="184"/>
      <c r="L1302" s="184"/>
      <c r="M1302" s="59"/>
    </row>
    <row r="1303" spans="2:13" x14ac:dyDescent="0.3">
      <c r="B1303" s="178"/>
      <c r="C1303" s="179"/>
      <c r="D1303" s="180"/>
      <c r="E1303" s="181"/>
      <c r="F1303" s="182"/>
      <c r="G1303" s="1" t="str">
        <f>IFERROR(IF(ventas_b_mes11[[#This Row],[CUIT]]="","-",VLOOKUP(ventas_b_mes11[[#This Row],[CUIT]],Lista_CUIT[#All],2,0)),"CUIT NO CARGADO")</f>
        <v>-</v>
      </c>
      <c r="H1303" s="64">
        <f>ventas_b_mes11[[#This Row],[TOTAL]]/1.21</f>
        <v>0</v>
      </c>
      <c r="I1303" s="183">
        <f>ventas_b_mes11[[#This Row],[IMPORTE NETO]]*0.21</f>
        <v>0</v>
      </c>
      <c r="J1303" s="184"/>
      <c r="K1303" s="184"/>
      <c r="L1303" s="184"/>
      <c r="M1303" s="59"/>
    </row>
    <row r="1304" spans="2:13" x14ac:dyDescent="0.3">
      <c r="B1304" s="178"/>
      <c r="C1304" s="179"/>
      <c r="D1304" s="180"/>
      <c r="E1304" s="181"/>
      <c r="F1304" s="182"/>
      <c r="G1304" s="1" t="str">
        <f>IFERROR(IF(ventas_b_mes11[[#This Row],[CUIT]]="","-",VLOOKUP(ventas_b_mes11[[#This Row],[CUIT]],Lista_CUIT[#All],2,0)),"CUIT NO CARGADO")</f>
        <v>-</v>
      </c>
      <c r="H1304" s="64">
        <f>ventas_b_mes11[[#This Row],[TOTAL]]/1.21</f>
        <v>0</v>
      </c>
      <c r="I1304" s="183">
        <f>ventas_b_mes11[[#This Row],[IMPORTE NETO]]*0.21</f>
        <v>0</v>
      </c>
      <c r="J1304" s="184"/>
      <c r="K1304" s="184"/>
      <c r="L1304" s="184"/>
      <c r="M1304" s="59"/>
    </row>
    <row r="1305" spans="2:13" x14ac:dyDescent="0.3">
      <c r="B1305" s="178"/>
      <c r="C1305" s="179"/>
      <c r="D1305" s="180"/>
      <c r="E1305" s="181"/>
      <c r="F1305" s="182"/>
      <c r="G1305" s="1" t="str">
        <f>IFERROR(IF(ventas_b_mes11[[#This Row],[CUIT]]="","-",VLOOKUP(ventas_b_mes11[[#This Row],[CUIT]],Lista_CUIT[#All],2,0)),"CUIT NO CARGADO")</f>
        <v>-</v>
      </c>
      <c r="H1305" s="64">
        <f>ventas_b_mes11[[#This Row],[TOTAL]]/1.21</f>
        <v>0</v>
      </c>
      <c r="I1305" s="183">
        <f>ventas_b_mes11[[#This Row],[IMPORTE NETO]]*0.21</f>
        <v>0</v>
      </c>
      <c r="J1305" s="184"/>
      <c r="K1305" s="184"/>
      <c r="L1305" s="184"/>
      <c r="M1305" s="59"/>
    </row>
    <row r="1306" spans="2:13" x14ac:dyDescent="0.3">
      <c r="B1306" s="178"/>
      <c r="C1306" s="179"/>
      <c r="D1306" s="180"/>
      <c r="E1306" s="181"/>
      <c r="F1306" s="182"/>
      <c r="G1306" s="1" t="str">
        <f>IFERROR(IF(ventas_b_mes11[[#This Row],[CUIT]]="","-",VLOOKUP(ventas_b_mes11[[#This Row],[CUIT]],Lista_CUIT[#All],2,0)),"CUIT NO CARGADO")</f>
        <v>-</v>
      </c>
      <c r="H1306" s="64">
        <f>ventas_b_mes11[[#This Row],[TOTAL]]/1.21</f>
        <v>0</v>
      </c>
      <c r="I1306" s="183">
        <f>ventas_b_mes11[[#This Row],[IMPORTE NETO]]*0.21</f>
        <v>0</v>
      </c>
      <c r="J1306" s="184"/>
      <c r="K1306" s="184"/>
      <c r="L1306" s="184"/>
      <c r="M1306" s="59"/>
    </row>
    <row r="1307" spans="2:13" x14ac:dyDescent="0.3">
      <c r="B1307" s="178"/>
      <c r="C1307" s="179"/>
      <c r="D1307" s="180"/>
      <c r="E1307" s="181"/>
      <c r="F1307" s="182"/>
      <c r="G1307" s="1" t="str">
        <f>IFERROR(IF(ventas_b_mes11[[#This Row],[CUIT]]="","-",VLOOKUP(ventas_b_mes11[[#This Row],[CUIT]],Lista_CUIT[#All],2,0)),"CUIT NO CARGADO")</f>
        <v>-</v>
      </c>
      <c r="H1307" s="64">
        <f>ventas_b_mes11[[#This Row],[TOTAL]]/1.21</f>
        <v>0</v>
      </c>
      <c r="I1307" s="183">
        <f>ventas_b_mes11[[#This Row],[IMPORTE NETO]]*0.21</f>
        <v>0</v>
      </c>
      <c r="J1307" s="184"/>
      <c r="K1307" s="184"/>
      <c r="L1307" s="184"/>
      <c r="M1307" s="59"/>
    </row>
    <row r="1308" spans="2:13" x14ac:dyDescent="0.3">
      <c r="B1308" s="178"/>
      <c r="C1308" s="179"/>
      <c r="D1308" s="180"/>
      <c r="E1308" s="181"/>
      <c r="F1308" s="182"/>
      <c r="G1308" s="1" t="str">
        <f>IFERROR(IF(ventas_b_mes11[[#This Row],[CUIT]]="","-",VLOOKUP(ventas_b_mes11[[#This Row],[CUIT]],Lista_CUIT[#All],2,0)),"CUIT NO CARGADO")</f>
        <v>-</v>
      </c>
      <c r="H1308" s="64">
        <f>ventas_b_mes11[[#This Row],[TOTAL]]/1.21</f>
        <v>0</v>
      </c>
      <c r="I1308" s="183">
        <f>ventas_b_mes11[[#This Row],[IMPORTE NETO]]*0.21</f>
        <v>0</v>
      </c>
      <c r="J1308" s="184"/>
      <c r="K1308" s="184"/>
      <c r="L1308" s="184"/>
      <c r="M1308" s="59"/>
    </row>
    <row r="1309" spans="2:13" x14ac:dyDescent="0.3">
      <c r="B1309" s="178"/>
      <c r="C1309" s="179"/>
      <c r="D1309" s="180"/>
      <c r="E1309" s="181"/>
      <c r="F1309" s="182"/>
      <c r="G1309" s="1" t="str">
        <f>IFERROR(IF(ventas_b_mes11[[#This Row],[CUIT]]="","-",VLOOKUP(ventas_b_mes11[[#This Row],[CUIT]],Lista_CUIT[#All],2,0)),"CUIT NO CARGADO")</f>
        <v>-</v>
      </c>
      <c r="H1309" s="64">
        <f>ventas_b_mes11[[#This Row],[TOTAL]]/1.21</f>
        <v>0</v>
      </c>
      <c r="I1309" s="183">
        <f>ventas_b_mes11[[#This Row],[IMPORTE NETO]]*0.21</f>
        <v>0</v>
      </c>
      <c r="J1309" s="184"/>
      <c r="K1309" s="184"/>
      <c r="L1309" s="184"/>
      <c r="M1309" s="59"/>
    </row>
    <row r="1310" spans="2:13" x14ac:dyDescent="0.3">
      <c r="B1310" s="178"/>
      <c r="C1310" s="179"/>
      <c r="D1310" s="180"/>
      <c r="E1310" s="181"/>
      <c r="F1310" s="182"/>
      <c r="G1310" s="1" t="str">
        <f>IFERROR(IF(ventas_b_mes11[[#This Row],[CUIT]]="","-",VLOOKUP(ventas_b_mes11[[#This Row],[CUIT]],Lista_CUIT[#All],2,0)),"CUIT NO CARGADO")</f>
        <v>-</v>
      </c>
      <c r="H1310" s="64">
        <f>ventas_b_mes11[[#This Row],[TOTAL]]/1.21</f>
        <v>0</v>
      </c>
      <c r="I1310" s="183">
        <f>ventas_b_mes11[[#This Row],[IMPORTE NETO]]*0.21</f>
        <v>0</v>
      </c>
      <c r="J1310" s="184"/>
      <c r="K1310" s="184"/>
      <c r="L1310" s="184"/>
      <c r="M1310" s="59"/>
    </row>
    <row r="1311" spans="2:13" x14ac:dyDescent="0.3">
      <c r="B1311" s="178"/>
      <c r="C1311" s="179"/>
      <c r="D1311" s="180"/>
      <c r="E1311" s="181"/>
      <c r="F1311" s="182"/>
      <c r="G1311" s="1" t="str">
        <f>IFERROR(IF(ventas_b_mes11[[#This Row],[CUIT]]="","-",VLOOKUP(ventas_b_mes11[[#This Row],[CUIT]],Lista_CUIT[#All],2,0)),"CUIT NO CARGADO")</f>
        <v>-</v>
      </c>
      <c r="H1311" s="64">
        <f>ventas_b_mes11[[#This Row],[TOTAL]]/1.21</f>
        <v>0</v>
      </c>
      <c r="I1311" s="183">
        <f>ventas_b_mes11[[#This Row],[IMPORTE NETO]]*0.21</f>
        <v>0</v>
      </c>
      <c r="J1311" s="184"/>
      <c r="K1311" s="184"/>
      <c r="L1311" s="184"/>
      <c r="M1311" s="59"/>
    </row>
    <row r="1312" spans="2:13" x14ac:dyDescent="0.3">
      <c r="B1312" s="178"/>
      <c r="C1312" s="179"/>
      <c r="D1312" s="180"/>
      <c r="E1312" s="181"/>
      <c r="F1312" s="182"/>
      <c r="G1312" s="1" t="str">
        <f>IFERROR(IF(ventas_b_mes11[[#This Row],[CUIT]]="","-",VLOOKUP(ventas_b_mes11[[#This Row],[CUIT]],Lista_CUIT[#All],2,0)),"CUIT NO CARGADO")</f>
        <v>-</v>
      </c>
      <c r="H1312" s="64">
        <f>ventas_b_mes11[[#This Row],[TOTAL]]/1.21</f>
        <v>0</v>
      </c>
      <c r="I1312" s="183">
        <f>ventas_b_mes11[[#This Row],[IMPORTE NETO]]*0.21</f>
        <v>0</v>
      </c>
      <c r="J1312" s="184"/>
      <c r="K1312" s="184"/>
      <c r="L1312" s="184"/>
      <c r="M1312" s="59"/>
    </row>
    <row r="1313" spans="2:13" x14ac:dyDescent="0.3">
      <c r="B1313" s="178"/>
      <c r="C1313" s="179"/>
      <c r="D1313" s="180"/>
      <c r="E1313" s="181"/>
      <c r="F1313" s="182"/>
      <c r="G1313" s="1" t="str">
        <f>IFERROR(IF(ventas_b_mes11[[#This Row],[CUIT]]="","-",VLOOKUP(ventas_b_mes11[[#This Row],[CUIT]],Lista_CUIT[#All],2,0)),"CUIT NO CARGADO")</f>
        <v>-</v>
      </c>
      <c r="H1313" s="64">
        <f>ventas_b_mes11[[#This Row],[TOTAL]]/1.21</f>
        <v>0</v>
      </c>
      <c r="I1313" s="183">
        <f>ventas_b_mes11[[#This Row],[IMPORTE NETO]]*0.21</f>
        <v>0</v>
      </c>
      <c r="J1313" s="184"/>
      <c r="K1313" s="184"/>
      <c r="L1313" s="184"/>
      <c r="M1313" s="59"/>
    </row>
    <row r="1314" spans="2:13" x14ac:dyDescent="0.3">
      <c r="B1314" s="178"/>
      <c r="C1314" s="179"/>
      <c r="D1314" s="180"/>
      <c r="E1314" s="181"/>
      <c r="F1314" s="182"/>
      <c r="G1314" s="1" t="str">
        <f>IFERROR(IF(ventas_b_mes11[[#This Row],[CUIT]]="","-",VLOOKUP(ventas_b_mes11[[#This Row],[CUIT]],Lista_CUIT[#All],2,0)),"CUIT NO CARGADO")</f>
        <v>-</v>
      </c>
      <c r="H1314" s="64">
        <f>ventas_b_mes11[[#This Row],[TOTAL]]/1.21</f>
        <v>0</v>
      </c>
      <c r="I1314" s="183">
        <f>ventas_b_mes11[[#This Row],[IMPORTE NETO]]*0.21</f>
        <v>0</v>
      </c>
      <c r="J1314" s="184"/>
      <c r="K1314" s="184"/>
      <c r="L1314" s="184"/>
      <c r="M1314" s="59"/>
    </row>
    <row r="1315" spans="2:13" x14ac:dyDescent="0.3">
      <c r="B1315" s="178"/>
      <c r="C1315" s="179"/>
      <c r="D1315" s="180"/>
      <c r="E1315" s="181"/>
      <c r="F1315" s="182"/>
      <c r="G1315" s="1" t="str">
        <f>IFERROR(IF(ventas_b_mes11[[#This Row],[CUIT]]="","-",VLOOKUP(ventas_b_mes11[[#This Row],[CUIT]],Lista_CUIT[#All],2,0)),"CUIT NO CARGADO")</f>
        <v>-</v>
      </c>
      <c r="H1315" s="64">
        <f>ventas_b_mes11[[#This Row],[TOTAL]]/1.21</f>
        <v>0</v>
      </c>
      <c r="I1315" s="183">
        <f>ventas_b_mes11[[#This Row],[IMPORTE NETO]]*0.21</f>
        <v>0</v>
      </c>
      <c r="J1315" s="184"/>
      <c r="K1315" s="184"/>
      <c r="L1315" s="184"/>
      <c r="M1315" s="59"/>
    </row>
    <row r="1316" spans="2:13" x14ac:dyDescent="0.3">
      <c r="B1316" s="178"/>
      <c r="C1316" s="179"/>
      <c r="D1316" s="180"/>
      <c r="E1316" s="181"/>
      <c r="F1316" s="182"/>
      <c r="G1316" s="1" t="str">
        <f>IFERROR(IF(ventas_b_mes11[[#This Row],[CUIT]]="","-",VLOOKUP(ventas_b_mes11[[#This Row],[CUIT]],Lista_CUIT[#All],2,0)),"CUIT NO CARGADO")</f>
        <v>-</v>
      </c>
      <c r="H1316" s="64">
        <f>ventas_b_mes11[[#This Row],[TOTAL]]/1.21</f>
        <v>0</v>
      </c>
      <c r="I1316" s="183">
        <f>ventas_b_mes11[[#This Row],[IMPORTE NETO]]*0.21</f>
        <v>0</v>
      </c>
      <c r="J1316" s="184"/>
      <c r="K1316" s="184"/>
      <c r="L1316" s="184"/>
      <c r="M1316" s="59"/>
    </row>
    <row r="1317" spans="2:13" x14ac:dyDescent="0.3">
      <c r="B1317" s="178"/>
      <c r="C1317" s="179"/>
      <c r="D1317" s="180"/>
      <c r="E1317" s="181"/>
      <c r="F1317" s="182"/>
      <c r="G1317" s="1" t="str">
        <f>IFERROR(IF(ventas_b_mes11[[#This Row],[CUIT]]="","-",VLOOKUP(ventas_b_mes11[[#This Row],[CUIT]],Lista_CUIT[#All],2,0)),"CUIT NO CARGADO")</f>
        <v>-</v>
      </c>
      <c r="H1317" s="64">
        <f>ventas_b_mes11[[#This Row],[TOTAL]]/1.21</f>
        <v>0</v>
      </c>
      <c r="I1317" s="183">
        <f>ventas_b_mes11[[#This Row],[IMPORTE NETO]]*0.21</f>
        <v>0</v>
      </c>
      <c r="J1317" s="184"/>
      <c r="K1317" s="184"/>
      <c r="L1317" s="184"/>
      <c r="M1317" s="59"/>
    </row>
    <row r="1318" spans="2:13" x14ac:dyDescent="0.3">
      <c r="B1318" s="178"/>
      <c r="C1318" s="179"/>
      <c r="D1318" s="180"/>
      <c r="E1318" s="181"/>
      <c r="F1318" s="182"/>
      <c r="G1318" s="1" t="str">
        <f>IFERROR(IF(ventas_b_mes11[[#This Row],[CUIT]]="","-",VLOOKUP(ventas_b_mes11[[#This Row],[CUIT]],Lista_CUIT[#All],2,0)),"CUIT NO CARGADO")</f>
        <v>-</v>
      </c>
      <c r="H1318" s="64">
        <f>ventas_b_mes11[[#This Row],[TOTAL]]/1.21</f>
        <v>0</v>
      </c>
      <c r="I1318" s="183">
        <f>ventas_b_mes11[[#This Row],[IMPORTE NETO]]*0.21</f>
        <v>0</v>
      </c>
      <c r="J1318" s="184"/>
      <c r="K1318" s="184"/>
      <c r="L1318" s="184"/>
      <c r="M1318" s="59"/>
    </row>
    <row r="1319" spans="2:13" x14ac:dyDescent="0.3">
      <c r="B1319" s="178"/>
      <c r="C1319" s="179"/>
      <c r="D1319" s="180"/>
      <c r="E1319" s="181"/>
      <c r="F1319" s="182"/>
      <c r="G1319" s="1" t="str">
        <f>IFERROR(IF(ventas_b_mes11[[#This Row],[CUIT]]="","-",VLOOKUP(ventas_b_mes11[[#This Row],[CUIT]],Lista_CUIT[#All],2,0)),"CUIT NO CARGADO")</f>
        <v>-</v>
      </c>
      <c r="H1319" s="64">
        <f>ventas_b_mes11[[#This Row],[TOTAL]]/1.21</f>
        <v>0</v>
      </c>
      <c r="I1319" s="183">
        <f>ventas_b_mes11[[#This Row],[IMPORTE NETO]]*0.21</f>
        <v>0</v>
      </c>
      <c r="J1319" s="184"/>
      <c r="K1319" s="184"/>
      <c r="L1319" s="184"/>
      <c r="M1319" s="59"/>
    </row>
    <row r="1320" spans="2:13" x14ac:dyDescent="0.3">
      <c r="B1320" s="178"/>
      <c r="C1320" s="179"/>
      <c r="D1320" s="180"/>
      <c r="E1320" s="181"/>
      <c r="F1320" s="182"/>
      <c r="G1320" s="1" t="str">
        <f>IFERROR(IF(ventas_b_mes11[[#This Row],[CUIT]]="","-",VLOOKUP(ventas_b_mes11[[#This Row],[CUIT]],Lista_CUIT[#All],2,0)),"CUIT NO CARGADO")</f>
        <v>-</v>
      </c>
      <c r="H1320" s="64">
        <f>ventas_b_mes11[[#This Row],[TOTAL]]/1.21</f>
        <v>0</v>
      </c>
      <c r="I1320" s="183">
        <f>ventas_b_mes11[[#This Row],[IMPORTE NETO]]*0.21</f>
        <v>0</v>
      </c>
      <c r="J1320" s="184"/>
      <c r="K1320" s="184"/>
      <c r="L1320" s="184"/>
      <c r="M1320" s="59"/>
    </row>
    <row r="1321" spans="2:13" x14ac:dyDescent="0.3">
      <c r="B1321" s="178"/>
      <c r="C1321" s="179"/>
      <c r="D1321" s="180"/>
      <c r="E1321" s="181"/>
      <c r="F1321" s="182"/>
      <c r="G1321" s="1" t="str">
        <f>IFERROR(IF(ventas_b_mes11[[#This Row],[CUIT]]="","-",VLOOKUP(ventas_b_mes11[[#This Row],[CUIT]],Lista_CUIT[#All],2,0)),"CUIT NO CARGADO")</f>
        <v>-</v>
      </c>
      <c r="H1321" s="64">
        <f>ventas_b_mes11[[#This Row],[TOTAL]]/1.21</f>
        <v>0</v>
      </c>
      <c r="I1321" s="183">
        <f>ventas_b_mes11[[#This Row],[IMPORTE NETO]]*0.21</f>
        <v>0</v>
      </c>
      <c r="J1321" s="184"/>
      <c r="K1321" s="184"/>
      <c r="L1321" s="184"/>
      <c r="M1321" s="59"/>
    </row>
    <row r="1322" spans="2:13" x14ac:dyDescent="0.3">
      <c r="B1322" s="178"/>
      <c r="C1322" s="179"/>
      <c r="D1322" s="180"/>
      <c r="E1322" s="181"/>
      <c r="F1322" s="182"/>
      <c r="G1322" s="1" t="str">
        <f>IFERROR(IF(ventas_b_mes11[[#This Row],[CUIT]]="","-",VLOOKUP(ventas_b_mes11[[#This Row],[CUIT]],Lista_CUIT[#All],2,0)),"CUIT NO CARGADO")</f>
        <v>-</v>
      </c>
      <c r="H1322" s="64">
        <f>ventas_b_mes11[[#This Row],[TOTAL]]/1.21</f>
        <v>0</v>
      </c>
      <c r="I1322" s="183">
        <f>ventas_b_mes11[[#This Row],[IMPORTE NETO]]*0.21</f>
        <v>0</v>
      </c>
      <c r="J1322" s="184"/>
      <c r="K1322" s="184"/>
      <c r="L1322" s="184"/>
      <c r="M1322" s="59"/>
    </row>
    <row r="1323" spans="2:13" x14ac:dyDescent="0.3">
      <c r="B1323" s="178"/>
      <c r="C1323" s="179"/>
      <c r="D1323" s="180"/>
      <c r="E1323" s="181"/>
      <c r="F1323" s="182"/>
      <c r="G1323" s="1" t="str">
        <f>IFERROR(IF(ventas_b_mes11[[#This Row],[CUIT]]="","-",VLOOKUP(ventas_b_mes11[[#This Row],[CUIT]],Lista_CUIT[#All],2,0)),"CUIT NO CARGADO")</f>
        <v>-</v>
      </c>
      <c r="H1323" s="64">
        <f>ventas_b_mes11[[#This Row],[TOTAL]]/1.21</f>
        <v>0</v>
      </c>
      <c r="I1323" s="183">
        <f>ventas_b_mes11[[#This Row],[IMPORTE NETO]]*0.21</f>
        <v>0</v>
      </c>
      <c r="J1323" s="184"/>
      <c r="K1323" s="184"/>
      <c r="L1323" s="184"/>
      <c r="M1323" s="59"/>
    </row>
    <row r="1324" spans="2:13" x14ac:dyDescent="0.3">
      <c r="B1324" s="178"/>
      <c r="C1324" s="179"/>
      <c r="D1324" s="180"/>
      <c r="E1324" s="181"/>
      <c r="F1324" s="182"/>
      <c r="G1324" s="1" t="str">
        <f>IFERROR(IF(ventas_b_mes11[[#This Row],[CUIT]]="","-",VLOOKUP(ventas_b_mes11[[#This Row],[CUIT]],Lista_CUIT[#All],2,0)),"CUIT NO CARGADO")</f>
        <v>-</v>
      </c>
      <c r="H1324" s="64">
        <f>ventas_b_mes11[[#This Row],[TOTAL]]/1.21</f>
        <v>0</v>
      </c>
      <c r="I1324" s="183">
        <f>ventas_b_mes11[[#This Row],[IMPORTE NETO]]*0.21</f>
        <v>0</v>
      </c>
      <c r="J1324" s="184"/>
      <c r="K1324" s="184"/>
      <c r="L1324" s="184"/>
      <c r="M1324" s="59"/>
    </row>
    <row r="1325" spans="2:13" x14ac:dyDescent="0.3">
      <c r="B1325" s="178"/>
      <c r="C1325" s="179"/>
      <c r="D1325" s="180"/>
      <c r="E1325" s="181"/>
      <c r="F1325" s="182"/>
      <c r="G1325" s="1" t="str">
        <f>IFERROR(IF(ventas_b_mes11[[#This Row],[CUIT]]="","-",VLOOKUP(ventas_b_mes11[[#This Row],[CUIT]],Lista_CUIT[#All],2,0)),"CUIT NO CARGADO")</f>
        <v>-</v>
      </c>
      <c r="H1325" s="64">
        <f>ventas_b_mes11[[#This Row],[TOTAL]]/1.21</f>
        <v>0</v>
      </c>
      <c r="I1325" s="183">
        <f>ventas_b_mes11[[#This Row],[IMPORTE NETO]]*0.21</f>
        <v>0</v>
      </c>
      <c r="J1325" s="184"/>
      <c r="K1325" s="184"/>
      <c r="L1325" s="184"/>
      <c r="M1325" s="59"/>
    </row>
    <row r="1326" spans="2:13" x14ac:dyDescent="0.3">
      <c r="B1326" s="178"/>
      <c r="C1326" s="179"/>
      <c r="D1326" s="180"/>
      <c r="E1326" s="181"/>
      <c r="F1326" s="182"/>
      <c r="G1326" s="1" t="str">
        <f>IFERROR(IF(ventas_b_mes11[[#This Row],[CUIT]]="","-",VLOOKUP(ventas_b_mes11[[#This Row],[CUIT]],Lista_CUIT[#All],2,0)),"CUIT NO CARGADO")</f>
        <v>-</v>
      </c>
      <c r="H1326" s="64">
        <f>ventas_b_mes11[[#This Row],[TOTAL]]/1.21</f>
        <v>0</v>
      </c>
      <c r="I1326" s="183">
        <f>ventas_b_mes11[[#This Row],[IMPORTE NETO]]*0.21</f>
        <v>0</v>
      </c>
      <c r="J1326" s="184"/>
      <c r="K1326" s="184"/>
      <c r="L1326" s="184"/>
      <c r="M1326" s="59"/>
    </row>
    <row r="1327" spans="2:13" x14ac:dyDescent="0.3">
      <c r="B1327" s="178"/>
      <c r="C1327" s="179"/>
      <c r="D1327" s="180"/>
      <c r="E1327" s="181"/>
      <c r="F1327" s="182"/>
      <c r="G1327" s="1" t="str">
        <f>IFERROR(IF(ventas_b_mes11[[#This Row],[CUIT]]="","-",VLOOKUP(ventas_b_mes11[[#This Row],[CUIT]],Lista_CUIT[#All],2,0)),"CUIT NO CARGADO")</f>
        <v>-</v>
      </c>
      <c r="H1327" s="64">
        <f>ventas_b_mes11[[#This Row],[TOTAL]]/1.21</f>
        <v>0</v>
      </c>
      <c r="I1327" s="183">
        <f>ventas_b_mes11[[#This Row],[IMPORTE NETO]]*0.21</f>
        <v>0</v>
      </c>
      <c r="J1327" s="184"/>
      <c r="K1327" s="184"/>
      <c r="L1327" s="184"/>
      <c r="M1327" s="59"/>
    </row>
    <row r="1328" spans="2:13" x14ac:dyDescent="0.3">
      <c r="B1328" s="178"/>
      <c r="C1328" s="179"/>
      <c r="D1328" s="180"/>
      <c r="E1328" s="181"/>
      <c r="F1328" s="182"/>
      <c r="G1328" s="1" t="str">
        <f>IFERROR(IF(ventas_b_mes11[[#This Row],[CUIT]]="","-",VLOOKUP(ventas_b_mes11[[#This Row],[CUIT]],Lista_CUIT[#All],2,0)),"CUIT NO CARGADO")</f>
        <v>-</v>
      </c>
      <c r="H1328" s="64">
        <f>ventas_b_mes11[[#This Row],[TOTAL]]/1.21</f>
        <v>0</v>
      </c>
      <c r="I1328" s="183">
        <f>ventas_b_mes11[[#This Row],[IMPORTE NETO]]*0.21</f>
        <v>0</v>
      </c>
      <c r="J1328" s="184"/>
      <c r="K1328" s="184"/>
      <c r="L1328" s="184"/>
      <c r="M1328" s="59"/>
    </row>
    <row r="1329" spans="2:13" x14ac:dyDescent="0.3">
      <c r="B1329" s="178"/>
      <c r="C1329" s="179"/>
      <c r="D1329" s="180"/>
      <c r="E1329" s="181"/>
      <c r="F1329" s="182"/>
      <c r="G1329" s="1" t="str">
        <f>IFERROR(IF(ventas_b_mes11[[#This Row],[CUIT]]="","-",VLOOKUP(ventas_b_mes11[[#This Row],[CUIT]],Lista_CUIT[#All],2,0)),"CUIT NO CARGADO")</f>
        <v>-</v>
      </c>
      <c r="H1329" s="64">
        <f>ventas_b_mes11[[#This Row],[TOTAL]]/1.21</f>
        <v>0</v>
      </c>
      <c r="I1329" s="183">
        <f>ventas_b_mes11[[#This Row],[IMPORTE NETO]]*0.21</f>
        <v>0</v>
      </c>
      <c r="J1329" s="184"/>
      <c r="K1329" s="184"/>
      <c r="L1329" s="184"/>
      <c r="M1329" s="59"/>
    </row>
    <row r="1330" spans="2:13" x14ac:dyDescent="0.3">
      <c r="B1330" s="178"/>
      <c r="C1330" s="179"/>
      <c r="D1330" s="180"/>
      <c r="E1330" s="181"/>
      <c r="F1330" s="182"/>
      <c r="G1330" s="1" t="str">
        <f>IFERROR(IF(ventas_b_mes11[[#This Row],[CUIT]]="","-",VLOOKUP(ventas_b_mes11[[#This Row],[CUIT]],Lista_CUIT[#All],2,0)),"CUIT NO CARGADO")</f>
        <v>-</v>
      </c>
      <c r="H1330" s="64">
        <f>ventas_b_mes11[[#This Row],[TOTAL]]/1.21</f>
        <v>0</v>
      </c>
      <c r="I1330" s="183">
        <f>ventas_b_mes11[[#This Row],[IMPORTE NETO]]*0.21</f>
        <v>0</v>
      </c>
      <c r="J1330" s="184"/>
      <c r="K1330" s="184"/>
      <c r="L1330" s="184"/>
      <c r="M1330" s="59"/>
    </row>
    <row r="1331" spans="2:13" x14ac:dyDescent="0.3">
      <c r="B1331" s="178"/>
      <c r="C1331" s="179"/>
      <c r="D1331" s="180"/>
      <c r="E1331" s="181"/>
      <c r="F1331" s="182"/>
      <c r="G1331" s="1" t="str">
        <f>IFERROR(IF(ventas_b_mes11[[#This Row],[CUIT]]="","-",VLOOKUP(ventas_b_mes11[[#This Row],[CUIT]],Lista_CUIT[#All],2,0)),"CUIT NO CARGADO")</f>
        <v>-</v>
      </c>
      <c r="H1331" s="64">
        <f>ventas_b_mes11[[#This Row],[TOTAL]]/1.21</f>
        <v>0</v>
      </c>
      <c r="I1331" s="183">
        <f>ventas_b_mes11[[#This Row],[IMPORTE NETO]]*0.21</f>
        <v>0</v>
      </c>
      <c r="J1331" s="184"/>
      <c r="K1331" s="184"/>
      <c r="L1331" s="184"/>
      <c r="M1331" s="59"/>
    </row>
    <row r="1332" spans="2:13" x14ac:dyDescent="0.3">
      <c r="B1332" s="178"/>
      <c r="C1332" s="179"/>
      <c r="D1332" s="180"/>
      <c r="E1332" s="181"/>
      <c r="F1332" s="182"/>
      <c r="G1332" s="1" t="str">
        <f>IFERROR(IF(ventas_b_mes11[[#This Row],[CUIT]]="","-",VLOOKUP(ventas_b_mes11[[#This Row],[CUIT]],Lista_CUIT[#All],2,0)),"CUIT NO CARGADO")</f>
        <v>-</v>
      </c>
      <c r="H1332" s="64">
        <f>ventas_b_mes11[[#This Row],[TOTAL]]/1.21</f>
        <v>0</v>
      </c>
      <c r="I1332" s="183">
        <f>ventas_b_mes11[[#This Row],[IMPORTE NETO]]*0.21</f>
        <v>0</v>
      </c>
      <c r="J1332" s="184"/>
      <c r="K1332" s="184"/>
      <c r="L1332" s="184"/>
      <c r="M1332" s="59"/>
    </row>
    <row r="1333" spans="2:13" x14ac:dyDescent="0.3">
      <c r="B1333" s="178"/>
      <c r="C1333" s="179"/>
      <c r="D1333" s="180"/>
      <c r="E1333" s="181"/>
      <c r="F1333" s="182"/>
      <c r="G1333" s="1" t="str">
        <f>IFERROR(IF(ventas_b_mes11[[#This Row],[CUIT]]="","-",VLOOKUP(ventas_b_mes11[[#This Row],[CUIT]],Lista_CUIT[#All],2,0)),"CUIT NO CARGADO")</f>
        <v>-</v>
      </c>
      <c r="H1333" s="64">
        <f>ventas_b_mes11[[#This Row],[TOTAL]]/1.21</f>
        <v>0</v>
      </c>
      <c r="I1333" s="183">
        <f>ventas_b_mes11[[#This Row],[IMPORTE NETO]]*0.21</f>
        <v>0</v>
      </c>
      <c r="J1333" s="184"/>
      <c r="K1333" s="184"/>
      <c r="L1333" s="184"/>
      <c r="M1333" s="59"/>
    </row>
    <row r="1334" spans="2:13" x14ac:dyDescent="0.3">
      <c r="B1334" s="178"/>
      <c r="C1334" s="179"/>
      <c r="D1334" s="180"/>
      <c r="E1334" s="181"/>
      <c r="F1334" s="182"/>
      <c r="G1334" s="1" t="str">
        <f>IFERROR(IF(ventas_b_mes11[[#This Row],[CUIT]]="","-",VLOOKUP(ventas_b_mes11[[#This Row],[CUIT]],Lista_CUIT[#All],2,0)),"CUIT NO CARGADO")</f>
        <v>-</v>
      </c>
      <c r="H1334" s="64">
        <f>ventas_b_mes11[[#This Row],[TOTAL]]/1.21</f>
        <v>0</v>
      </c>
      <c r="I1334" s="183">
        <f>ventas_b_mes11[[#This Row],[IMPORTE NETO]]*0.21</f>
        <v>0</v>
      </c>
      <c r="J1334" s="184"/>
      <c r="K1334" s="184"/>
      <c r="L1334" s="184"/>
      <c r="M1334" s="59"/>
    </row>
    <row r="1335" spans="2:13" x14ac:dyDescent="0.3">
      <c r="B1335" s="178"/>
      <c r="C1335" s="179"/>
      <c r="D1335" s="180"/>
      <c r="E1335" s="181"/>
      <c r="F1335" s="182"/>
      <c r="G1335" s="1" t="str">
        <f>IFERROR(IF(ventas_b_mes11[[#This Row],[CUIT]]="","-",VLOOKUP(ventas_b_mes11[[#This Row],[CUIT]],Lista_CUIT[#All],2,0)),"CUIT NO CARGADO")</f>
        <v>-</v>
      </c>
      <c r="H1335" s="64">
        <f>ventas_b_mes11[[#This Row],[TOTAL]]/1.21</f>
        <v>0</v>
      </c>
      <c r="I1335" s="183">
        <f>ventas_b_mes11[[#This Row],[IMPORTE NETO]]*0.21</f>
        <v>0</v>
      </c>
      <c r="J1335" s="184"/>
      <c r="K1335" s="184"/>
      <c r="L1335" s="184"/>
      <c r="M1335" s="59"/>
    </row>
    <row r="1336" spans="2:13" x14ac:dyDescent="0.3">
      <c r="B1336" s="178"/>
      <c r="C1336" s="179"/>
      <c r="D1336" s="180"/>
      <c r="E1336" s="181"/>
      <c r="F1336" s="182"/>
      <c r="G1336" s="1" t="str">
        <f>IFERROR(IF(ventas_b_mes11[[#This Row],[CUIT]]="","-",VLOOKUP(ventas_b_mes11[[#This Row],[CUIT]],Lista_CUIT[#All],2,0)),"CUIT NO CARGADO")</f>
        <v>-</v>
      </c>
      <c r="H1336" s="64">
        <f>ventas_b_mes11[[#This Row],[TOTAL]]/1.21</f>
        <v>0</v>
      </c>
      <c r="I1336" s="183">
        <f>ventas_b_mes11[[#This Row],[IMPORTE NETO]]*0.21</f>
        <v>0</v>
      </c>
      <c r="J1336" s="184"/>
      <c r="K1336" s="184"/>
      <c r="L1336" s="184"/>
      <c r="M1336" s="59"/>
    </row>
    <row r="1337" spans="2:13" x14ac:dyDescent="0.3">
      <c r="B1337" s="178"/>
      <c r="C1337" s="179"/>
      <c r="D1337" s="180"/>
      <c r="E1337" s="181"/>
      <c r="F1337" s="182"/>
      <c r="G1337" s="1" t="str">
        <f>IFERROR(IF(ventas_b_mes11[[#This Row],[CUIT]]="","-",VLOOKUP(ventas_b_mes11[[#This Row],[CUIT]],Lista_CUIT[#All],2,0)),"CUIT NO CARGADO")</f>
        <v>-</v>
      </c>
      <c r="H1337" s="64">
        <f>ventas_b_mes11[[#This Row],[TOTAL]]/1.21</f>
        <v>0</v>
      </c>
      <c r="I1337" s="183">
        <f>ventas_b_mes11[[#This Row],[IMPORTE NETO]]*0.21</f>
        <v>0</v>
      </c>
      <c r="J1337" s="184"/>
      <c r="K1337" s="184"/>
      <c r="L1337" s="184"/>
      <c r="M1337" s="59"/>
    </row>
    <row r="1338" spans="2:13" x14ac:dyDescent="0.3">
      <c r="B1338" s="178"/>
      <c r="C1338" s="179"/>
      <c r="D1338" s="180"/>
      <c r="E1338" s="181"/>
      <c r="F1338" s="182"/>
      <c r="G1338" s="1" t="str">
        <f>IFERROR(IF(ventas_b_mes11[[#This Row],[CUIT]]="","-",VLOOKUP(ventas_b_mes11[[#This Row],[CUIT]],Lista_CUIT[#All],2,0)),"CUIT NO CARGADO")</f>
        <v>-</v>
      </c>
      <c r="H1338" s="64">
        <f>ventas_b_mes11[[#This Row],[TOTAL]]/1.21</f>
        <v>0</v>
      </c>
      <c r="I1338" s="183">
        <f>ventas_b_mes11[[#This Row],[IMPORTE NETO]]*0.21</f>
        <v>0</v>
      </c>
      <c r="J1338" s="184"/>
      <c r="K1338" s="184"/>
      <c r="L1338" s="184"/>
      <c r="M1338" s="59"/>
    </row>
    <row r="1339" spans="2:13" x14ac:dyDescent="0.3">
      <c r="B1339" s="178"/>
      <c r="C1339" s="179"/>
      <c r="D1339" s="180"/>
      <c r="E1339" s="181"/>
      <c r="F1339" s="182"/>
      <c r="G1339" s="1" t="str">
        <f>IFERROR(IF(ventas_b_mes11[[#This Row],[CUIT]]="","-",VLOOKUP(ventas_b_mes11[[#This Row],[CUIT]],Lista_CUIT[#All],2,0)),"CUIT NO CARGADO")</f>
        <v>-</v>
      </c>
      <c r="H1339" s="64">
        <f>ventas_b_mes11[[#This Row],[TOTAL]]/1.21</f>
        <v>0</v>
      </c>
      <c r="I1339" s="183">
        <f>ventas_b_mes11[[#This Row],[IMPORTE NETO]]*0.21</f>
        <v>0</v>
      </c>
      <c r="J1339" s="184"/>
      <c r="K1339" s="184"/>
      <c r="L1339" s="184"/>
      <c r="M1339" s="59"/>
    </row>
    <row r="1340" spans="2:13" x14ac:dyDescent="0.3">
      <c r="B1340" s="178"/>
      <c r="C1340" s="179"/>
      <c r="D1340" s="180"/>
      <c r="E1340" s="181"/>
      <c r="F1340" s="182"/>
      <c r="G1340" s="1" t="str">
        <f>IFERROR(IF(ventas_b_mes11[[#This Row],[CUIT]]="","-",VLOOKUP(ventas_b_mes11[[#This Row],[CUIT]],Lista_CUIT[#All],2,0)),"CUIT NO CARGADO")</f>
        <v>-</v>
      </c>
      <c r="H1340" s="64">
        <f>ventas_b_mes11[[#This Row],[TOTAL]]/1.21</f>
        <v>0</v>
      </c>
      <c r="I1340" s="183">
        <f>ventas_b_mes11[[#This Row],[IMPORTE NETO]]*0.21</f>
        <v>0</v>
      </c>
      <c r="J1340" s="184"/>
      <c r="K1340" s="184"/>
      <c r="L1340" s="184"/>
      <c r="M1340" s="59"/>
    </row>
    <row r="1341" spans="2:13" x14ac:dyDescent="0.3">
      <c r="B1341" s="178"/>
      <c r="C1341" s="179"/>
      <c r="D1341" s="180"/>
      <c r="E1341" s="181"/>
      <c r="F1341" s="182"/>
      <c r="G1341" s="1" t="str">
        <f>IFERROR(IF(ventas_b_mes11[[#This Row],[CUIT]]="","-",VLOOKUP(ventas_b_mes11[[#This Row],[CUIT]],Lista_CUIT[#All],2,0)),"CUIT NO CARGADO")</f>
        <v>-</v>
      </c>
      <c r="H1341" s="64">
        <f>ventas_b_mes11[[#This Row],[TOTAL]]/1.21</f>
        <v>0</v>
      </c>
      <c r="I1341" s="183">
        <f>ventas_b_mes11[[#This Row],[IMPORTE NETO]]*0.21</f>
        <v>0</v>
      </c>
      <c r="J1341" s="184"/>
      <c r="K1341" s="184"/>
      <c r="L1341" s="184"/>
      <c r="M1341" s="59"/>
    </row>
    <row r="1342" spans="2:13" x14ac:dyDescent="0.3">
      <c r="B1342" s="178"/>
      <c r="C1342" s="179"/>
      <c r="D1342" s="180"/>
      <c r="E1342" s="181"/>
      <c r="F1342" s="182"/>
      <c r="G1342" s="1" t="str">
        <f>IFERROR(IF(ventas_b_mes11[[#This Row],[CUIT]]="","-",VLOOKUP(ventas_b_mes11[[#This Row],[CUIT]],Lista_CUIT[#All],2,0)),"CUIT NO CARGADO")</f>
        <v>-</v>
      </c>
      <c r="H1342" s="64">
        <f>ventas_b_mes11[[#This Row],[TOTAL]]/1.21</f>
        <v>0</v>
      </c>
      <c r="I1342" s="183">
        <f>ventas_b_mes11[[#This Row],[IMPORTE NETO]]*0.21</f>
        <v>0</v>
      </c>
      <c r="J1342" s="184"/>
      <c r="K1342" s="184"/>
      <c r="L1342" s="184"/>
      <c r="M1342" s="59"/>
    </row>
    <row r="1343" spans="2:13" x14ac:dyDescent="0.3">
      <c r="B1343" s="178"/>
      <c r="C1343" s="179"/>
      <c r="D1343" s="180"/>
      <c r="E1343" s="181"/>
      <c r="F1343" s="182"/>
      <c r="G1343" s="1" t="str">
        <f>IFERROR(IF(ventas_b_mes11[[#This Row],[CUIT]]="","-",VLOOKUP(ventas_b_mes11[[#This Row],[CUIT]],Lista_CUIT[#All],2,0)),"CUIT NO CARGADO")</f>
        <v>-</v>
      </c>
      <c r="H1343" s="64">
        <f>ventas_b_mes11[[#This Row],[TOTAL]]/1.21</f>
        <v>0</v>
      </c>
      <c r="I1343" s="183">
        <f>ventas_b_mes11[[#This Row],[IMPORTE NETO]]*0.21</f>
        <v>0</v>
      </c>
      <c r="J1343" s="184"/>
      <c r="K1343" s="184"/>
      <c r="L1343" s="184"/>
      <c r="M1343" s="59"/>
    </row>
    <row r="1344" spans="2:13" x14ac:dyDescent="0.3">
      <c r="B1344" s="178"/>
      <c r="C1344" s="179"/>
      <c r="D1344" s="180"/>
      <c r="E1344" s="181"/>
      <c r="F1344" s="182"/>
      <c r="G1344" s="1" t="str">
        <f>IFERROR(IF(ventas_b_mes11[[#This Row],[CUIT]]="","-",VLOOKUP(ventas_b_mes11[[#This Row],[CUIT]],Lista_CUIT[#All],2,0)),"CUIT NO CARGADO")</f>
        <v>-</v>
      </c>
      <c r="H1344" s="64">
        <f>ventas_b_mes11[[#This Row],[TOTAL]]/1.21</f>
        <v>0</v>
      </c>
      <c r="I1344" s="183">
        <f>ventas_b_mes11[[#This Row],[IMPORTE NETO]]*0.21</f>
        <v>0</v>
      </c>
      <c r="J1344" s="184"/>
      <c r="K1344" s="184"/>
      <c r="L1344" s="184"/>
      <c r="M1344" s="59"/>
    </row>
    <row r="1345" spans="2:13" x14ac:dyDescent="0.3">
      <c r="B1345" s="178"/>
      <c r="C1345" s="179"/>
      <c r="D1345" s="180"/>
      <c r="E1345" s="181"/>
      <c r="F1345" s="182"/>
      <c r="G1345" s="1" t="str">
        <f>IFERROR(IF(ventas_b_mes11[[#This Row],[CUIT]]="","-",VLOOKUP(ventas_b_mes11[[#This Row],[CUIT]],Lista_CUIT[#All],2,0)),"CUIT NO CARGADO")</f>
        <v>-</v>
      </c>
      <c r="H1345" s="64">
        <f>ventas_b_mes11[[#This Row],[TOTAL]]/1.21</f>
        <v>0</v>
      </c>
      <c r="I1345" s="183">
        <f>ventas_b_mes11[[#This Row],[IMPORTE NETO]]*0.21</f>
        <v>0</v>
      </c>
      <c r="J1345" s="184"/>
      <c r="K1345" s="184"/>
      <c r="L1345" s="184"/>
      <c r="M1345" s="59"/>
    </row>
    <row r="1346" spans="2:13" x14ac:dyDescent="0.3">
      <c r="B1346" s="178"/>
      <c r="C1346" s="179"/>
      <c r="D1346" s="180"/>
      <c r="E1346" s="181"/>
      <c r="F1346" s="182"/>
      <c r="G1346" s="1" t="str">
        <f>IFERROR(IF(ventas_b_mes11[[#This Row],[CUIT]]="","-",VLOOKUP(ventas_b_mes11[[#This Row],[CUIT]],Lista_CUIT[#All],2,0)),"CUIT NO CARGADO")</f>
        <v>-</v>
      </c>
      <c r="H1346" s="64">
        <f>ventas_b_mes11[[#This Row],[TOTAL]]/1.21</f>
        <v>0</v>
      </c>
      <c r="I1346" s="183">
        <f>ventas_b_mes11[[#This Row],[IMPORTE NETO]]*0.21</f>
        <v>0</v>
      </c>
      <c r="J1346" s="184"/>
      <c r="K1346" s="184"/>
      <c r="L1346" s="184"/>
      <c r="M1346" s="59"/>
    </row>
    <row r="1347" spans="2:13" x14ac:dyDescent="0.3">
      <c r="B1347" s="178"/>
      <c r="C1347" s="179"/>
      <c r="D1347" s="180"/>
      <c r="E1347" s="181"/>
      <c r="F1347" s="182"/>
      <c r="G1347" s="1" t="str">
        <f>IFERROR(IF(ventas_b_mes11[[#This Row],[CUIT]]="","-",VLOOKUP(ventas_b_mes11[[#This Row],[CUIT]],Lista_CUIT[#All],2,0)),"CUIT NO CARGADO")</f>
        <v>-</v>
      </c>
      <c r="H1347" s="64">
        <f>ventas_b_mes11[[#This Row],[TOTAL]]/1.21</f>
        <v>0</v>
      </c>
      <c r="I1347" s="183">
        <f>ventas_b_mes11[[#This Row],[IMPORTE NETO]]*0.21</f>
        <v>0</v>
      </c>
      <c r="J1347" s="184"/>
      <c r="K1347" s="184"/>
      <c r="L1347" s="184"/>
      <c r="M1347" s="59"/>
    </row>
    <row r="1348" spans="2:13" x14ac:dyDescent="0.3">
      <c r="B1348" s="178"/>
      <c r="C1348" s="179"/>
      <c r="D1348" s="180"/>
      <c r="E1348" s="181"/>
      <c r="F1348" s="182"/>
      <c r="G1348" s="1" t="str">
        <f>IFERROR(IF(ventas_b_mes11[[#This Row],[CUIT]]="","-",VLOOKUP(ventas_b_mes11[[#This Row],[CUIT]],Lista_CUIT[#All],2,0)),"CUIT NO CARGADO")</f>
        <v>-</v>
      </c>
      <c r="H1348" s="64">
        <f>ventas_b_mes11[[#This Row],[TOTAL]]/1.21</f>
        <v>0</v>
      </c>
      <c r="I1348" s="183">
        <f>ventas_b_mes11[[#This Row],[IMPORTE NETO]]*0.21</f>
        <v>0</v>
      </c>
      <c r="J1348" s="184"/>
      <c r="K1348" s="184"/>
      <c r="L1348" s="184"/>
      <c r="M1348" s="59"/>
    </row>
    <row r="1349" spans="2:13" x14ac:dyDescent="0.3">
      <c r="B1349" s="178"/>
      <c r="C1349" s="179"/>
      <c r="D1349" s="180"/>
      <c r="E1349" s="181"/>
      <c r="F1349" s="182"/>
      <c r="G1349" s="1" t="str">
        <f>IFERROR(IF(ventas_b_mes11[[#This Row],[CUIT]]="","-",VLOOKUP(ventas_b_mes11[[#This Row],[CUIT]],Lista_CUIT[#All],2,0)),"CUIT NO CARGADO")</f>
        <v>-</v>
      </c>
      <c r="H1349" s="64">
        <f>ventas_b_mes11[[#This Row],[TOTAL]]/1.21</f>
        <v>0</v>
      </c>
      <c r="I1349" s="183">
        <f>ventas_b_mes11[[#This Row],[IMPORTE NETO]]*0.21</f>
        <v>0</v>
      </c>
      <c r="J1349" s="184"/>
      <c r="K1349" s="184"/>
      <c r="L1349" s="184"/>
      <c r="M1349" s="59"/>
    </row>
    <row r="1350" spans="2:13" x14ac:dyDescent="0.3">
      <c r="B1350" s="178"/>
      <c r="C1350" s="179"/>
      <c r="D1350" s="180"/>
      <c r="E1350" s="181"/>
      <c r="F1350" s="182"/>
      <c r="G1350" s="1" t="str">
        <f>IFERROR(IF(ventas_b_mes11[[#This Row],[CUIT]]="","-",VLOOKUP(ventas_b_mes11[[#This Row],[CUIT]],Lista_CUIT[#All],2,0)),"CUIT NO CARGADO")</f>
        <v>-</v>
      </c>
      <c r="H1350" s="64">
        <f>ventas_b_mes11[[#This Row],[TOTAL]]/1.21</f>
        <v>0</v>
      </c>
      <c r="I1350" s="183">
        <f>ventas_b_mes11[[#This Row],[IMPORTE NETO]]*0.21</f>
        <v>0</v>
      </c>
      <c r="J1350" s="184"/>
      <c r="K1350" s="184"/>
      <c r="L1350" s="184"/>
      <c r="M1350" s="59"/>
    </row>
    <row r="1351" spans="2:13" x14ac:dyDescent="0.3">
      <c r="B1351" s="178"/>
      <c r="C1351" s="179"/>
      <c r="D1351" s="180"/>
      <c r="E1351" s="181"/>
      <c r="F1351" s="182"/>
      <c r="G1351" s="1" t="str">
        <f>IFERROR(IF(ventas_b_mes11[[#This Row],[CUIT]]="","-",VLOOKUP(ventas_b_mes11[[#This Row],[CUIT]],Lista_CUIT[#All],2,0)),"CUIT NO CARGADO")</f>
        <v>-</v>
      </c>
      <c r="H1351" s="64">
        <f>ventas_b_mes11[[#This Row],[TOTAL]]/1.21</f>
        <v>0</v>
      </c>
      <c r="I1351" s="183">
        <f>ventas_b_mes11[[#This Row],[IMPORTE NETO]]*0.21</f>
        <v>0</v>
      </c>
      <c r="J1351" s="184"/>
      <c r="K1351" s="184"/>
      <c r="L1351" s="184"/>
      <c r="M1351" s="59"/>
    </row>
    <row r="1352" spans="2:13" x14ac:dyDescent="0.3">
      <c r="B1352" s="178"/>
      <c r="C1352" s="179"/>
      <c r="D1352" s="180"/>
      <c r="E1352" s="181"/>
      <c r="F1352" s="182"/>
      <c r="G1352" s="1" t="str">
        <f>IFERROR(IF(ventas_b_mes11[[#This Row],[CUIT]]="","-",VLOOKUP(ventas_b_mes11[[#This Row],[CUIT]],Lista_CUIT[#All],2,0)),"CUIT NO CARGADO")</f>
        <v>-</v>
      </c>
      <c r="H1352" s="64">
        <f>ventas_b_mes11[[#This Row],[TOTAL]]/1.21</f>
        <v>0</v>
      </c>
      <c r="I1352" s="183">
        <f>ventas_b_mes11[[#This Row],[IMPORTE NETO]]*0.21</f>
        <v>0</v>
      </c>
      <c r="J1352" s="184"/>
      <c r="K1352" s="184"/>
      <c r="L1352" s="184"/>
      <c r="M1352" s="59"/>
    </row>
    <row r="1353" spans="2:13" x14ac:dyDescent="0.3">
      <c r="B1353" s="178"/>
      <c r="C1353" s="179"/>
      <c r="D1353" s="180"/>
      <c r="E1353" s="181"/>
      <c r="F1353" s="182"/>
      <c r="G1353" s="1" t="str">
        <f>IFERROR(IF(ventas_b_mes11[[#This Row],[CUIT]]="","-",VLOOKUP(ventas_b_mes11[[#This Row],[CUIT]],Lista_CUIT[#All],2,0)),"CUIT NO CARGADO")</f>
        <v>-</v>
      </c>
      <c r="H1353" s="64">
        <f>ventas_b_mes11[[#This Row],[TOTAL]]/1.21</f>
        <v>0</v>
      </c>
      <c r="I1353" s="183">
        <f>ventas_b_mes11[[#This Row],[IMPORTE NETO]]*0.21</f>
        <v>0</v>
      </c>
      <c r="J1353" s="184"/>
      <c r="K1353" s="184"/>
      <c r="L1353" s="184"/>
      <c r="M1353" s="59"/>
    </row>
    <row r="1354" spans="2:13" x14ac:dyDescent="0.3">
      <c r="B1354" s="178"/>
      <c r="C1354" s="179"/>
      <c r="D1354" s="180"/>
      <c r="E1354" s="181"/>
      <c r="F1354" s="182"/>
      <c r="G1354" s="1" t="str">
        <f>IFERROR(IF(ventas_b_mes11[[#This Row],[CUIT]]="","-",VLOOKUP(ventas_b_mes11[[#This Row],[CUIT]],Lista_CUIT[#All],2,0)),"CUIT NO CARGADO")</f>
        <v>-</v>
      </c>
      <c r="H1354" s="64">
        <f>ventas_b_mes11[[#This Row],[TOTAL]]/1.21</f>
        <v>0</v>
      </c>
      <c r="I1354" s="183">
        <f>ventas_b_mes11[[#This Row],[IMPORTE NETO]]*0.21</f>
        <v>0</v>
      </c>
      <c r="J1354" s="184"/>
      <c r="K1354" s="184"/>
      <c r="L1354" s="184"/>
      <c r="M1354" s="59"/>
    </row>
    <row r="1355" spans="2:13" x14ac:dyDescent="0.3">
      <c r="B1355" s="178"/>
      <c r="C1355" s="179"/>
      <c r="D1355" s="180"/>
      <c r="E1355" s="181"/>
      <c r="F1355" s="182"/>
      <c r="G1355" s="1" t="str">
        <f>IFERROR(IF(ventas_b_mes11[[#This Row],[CUIT]]="","-",VLOOKUP(ventas_b_mes11[[#This Row],[CUIT]],Lista_CUIT[#All],2,0)),"CUIT NO CARGADO")</f>
        <v>-</v>
      </c>
      <c r="H1355" s="64">
        <f>ventas_b_mes11[[#This Row],[TOTAL]]/1.21</f>
        <v>0</v>
      </c>
      <c r="I1355" s="183">
        <f>ventas_b_mes11[[#This Row],[IMPORTE NETO]]*0.21</f>
        <v>0</v>
      </c>
      <c r="J1355" s="184"/>
      <c r="K1355" s="184"/>
      <c r="L1355" s="184"/>
      <c r="M1355" s="59"/>
    </row>
    <row r="1356" spans="2:13" x14ac:dyDescent="0.3">
      <c r="B1356" s="178"/>
      <c r="C1356" s="179"/>
      <c r="D1356" s="180"/>
      <c r="E1356" s="181"/>
      <c r="F1356" s="182"/>
      <c r="G1356" s="1" t="str">
        <f>IFERROR(IF(ventas_b_mes11[[#This Row],[CUIT]]="","-",VLOOKUP(ventas_b_mes11[[#This Row],[CUIT]],Lista_CUIT[#All],2,0)),"CUIT NO CARGADO")</f>
        <v>-</v>
      </c>
      <c r="H1356" s="64">
        <f>ventas_b_mes11[[#This Row],[TOTAL]]/1.21</f>
        <v>0</v>
      </c>
      <c r="I1356" s="183">
        <f>ventas_b_mes11[[#This Row],[IMPORTE NETO]]*0.21</f>
        <v>0</v>
      </c>
      <c r="J1356" s="184"/>
      <c r="K1356" s="184"/>
      <c r="L1356" s="184"/>
      <c r="M1356" s="59"/>
    </row>
    <row r="1357" spans="2:13" x14ac:dyDescent="0.3">
      <c r="B1357" s="178"/>
      <c r="C1357" s="179"/>
      <c r="D1357" s="180"/>
      <c r="E1357" s="181"/>
      <c r="F1357" s="182"/>
      <c r="G1357" s="1" t="str">
        <f>IFERROR(IF(ventas_b_mes11[[#This Row],[CUIT]]="","-",VLOOKUP(ventas_b_mes11[[#This Row],[CUIT]],Lista_CUIT[#All],2,0)),"CUIT NO CARGADO")</f>
        <v>-</v>
      </c>
      <c r="H1357" s="64">
        <f>ventas_b_mes11[[#This Row],[TOTAL]]/1.21</f>
        <v>0</v>
      </c>
      <c r="I1357" s="183">
        <f>ventas_b_mes11[[#This Row],[IMPORTE NETO]]*0.21</f>
        <v>0</v>
      </c>
      <c r="J1357" s="184"/>
      <c r="K1357" s="184"/>
      <c r="L1357" s="184"/>
      <c r="M1357" s="59"/>
    </row>
    <row r="1358" spans="2:13" x14ac:dyDescent="0.3">
      <c r="B1358" s="178"/>
      <c r="C1358" s="179"/>
      <c r="D1358" s="180"/>
      <c r="E1358" s="181"/>
      <c r="F1358" s="182"/>
      <c r="G1358" s="1" t="str">
        <f>IFERROR(IF(ventas_b_mes11[[#This Row],[CUIT]]="","-",VLOOKUP(ventas_b_mes11[[#This Row],[CUIT]],Lista_CUIT[#All],2,0)),"CUIT NO CARGADO")</f>
        <v>-</v>
      </c>
      <c r="H1358" s="64">
        <f>ventas_b_mes11[[#This Row],[TOTAL]]/1.21</f>
        <v>0</v>
      </c>
      <c r="I1358" s="183">
        <f>ventas_b_mes11[[#This Row],[IMPORTE NETO]]*0.21</f>
        <v>0</v>
      </c>
      <c r="J1358" s="184"/>
      <c r="K1358" s="184"/>
      <c r="L1358" s="184"/>
      <c r="M1358" s="59"/>
    </row>
    <row r="1359" spans="2:13" x14ac:dyDescent="0.3">
      <c r="B1359" s="178"/>
      <c r="C1359" s="179"/>
      <c r="D1359" s="180"/>
      <c r="E1359" s="181"/>
      <c r="F1359" s="182"/>
      <c r="G1359" s="1" t="str">
        <f>IFERROR(IF(ventas_b_mes11[[#This Row],[CUIT]]="","-",VLOOKUP(ventas_b_mes11[[#This Row],[CUIT]],Lista_CUIT[#All],2,0)),"CUIT NO CARGADO")</f>
        <v>-</v>
      </c>
      <c r="H1359" s="64">
        <f>ventas_b_mes11[[#This Row],[TOTAL]]/1.21</f>
        <v>0</v>
      </c>
      <c r="I1359" s="183">
        <f>ventas_b_mes11[[#This Row],[IMPORTE NETO]]*0.21</f>
        <v>0</v>
      </c>
      <c r="J1359" s="184"/>
      <c r="K1359" s="184"/>
      <c r="L1359" s="184"/>
      <c r="M1359" s="59"/>
    </row>
    <row r="1360" spans="2:13" x14ac:dyDescent="0.3">
      <c r="B1360" s="178"/>
      <c r="C1360" s="179"/>
      <c r="D1360" s="180"/>
      <c r="E1360" s="181"/>
      <c r="F1360" s="182"/>
      <c r="G1360" s="1" t="str">
        <f>IFERROR(IF(ventas_b_mes11[[#This Row],[CUIT]]="","-",VLOOKUP(ventas_b_mes11[[#This Row],[CUIT]],Lista_CUIT[#All],2,0)),"CUIT NO CARGADO")</f>
        <v>-</v>
      </c>
      <c r="H1360" s="64">
        <f>ventas_b_mes11[[#This Row],[TOTAL]]/1.21</f>
        <v>0</v>
      </c>
      <c r="I1360" s="183">
        <f>ventas_b_mes11[[#This Row],[IMPORTE NETO]]*0.21</f>
        <v>0</v>
      </c>
      <c r="J1360" s="184"/>
      <c r="K1360" s="184"/>
      <c r="L1360" s="184"/>
      <c r="M1360" s="59"/>
    </row>
    <row r="1361" spans="2:13" x14ac:dyDescent="0.3">
      <c r="B1361" s="178"/>
      <c r="C1361" s="179"/>
      <c r="D1361" s="180"/>
      <c r="E1361" s="181"/>
      <c r="F1361" s="182"/>
      <c r="G1361" s="1" t="str">
        <f>IFERROR(IF(ventas_b_mes11[[#This Row],[CUIT]]="","-",VLOOKUP(ventas_b_mes11[[#This Row],[CUIT]],Lista_CUIT[#All],2,0)),"CUIT NO CARGADO")</f>
        <v>-</v>
      </c>
      <c r="H1361" s="64">
        <f>ventas_b_mes11[[#This Row],[TOTAL]]/1.21</f>
        <v>0</v>
      </c>
      <c r="I1361" s="183">
        <f>ventas_b_mes11[[#This Row],[IMPORTE NETO]]*0.21</f>
        <v>0</v>
      </c>
      <c r="J1361" s="184"/>
      <c r="K1361" s="184"/>
      <c r="L1361" s="184"/>
      <c r="M1361" s="59"/>
    </row>
    <row r="1362" spans="2:13" x14ac:dyDescent="0.3">
      <c r="B1362" s="178"/>
      <c r="C1362" s="179"/>
      <c r="D1362" s="180"/>
      <c r="E1362" s="181"/>
      <c r="F1362" s="182"/>
      <c r="G1362" s="1" t="str">
        <f>IFERROR(IF(ventas_b_mes11[[#This Row],[CUIT]]="","-",VLOOKUP(ventas_b_mes11[[#This Row],[CUIT]],Lista_CUIT[#All],2,0)),"CUIT NO CARGADO")</f>
        <v>-</v>
      </c>
      <c r="H1362" s="64">
        <f>ventas_b_mes11[[#This Row],[TOTAL]]/1.21</f>
        <v>0</v>
      </c>
      <c r="I1362" s="183">
        <f>ventas_b_mes11[[#This Row],[IMPORTE NETO]]*0.21</f>
        <v>0</v>
      </c>
      <c r="J1362" s="184"/>
      <c r="K1362" s="184"/>
      <c r="L1362" s="184"/>
      <c r="M1362" s="59"/>
    </row>
    <row r="1363" spans="2:13" x14ac:dyDescent="0.3">
      <c r="B1363" s="178"/>
      <c r="C1363" s="179"/>
      <c r="D1363" s="180"/>
      <c r="E1363" s="181"/>
      <c r="F1363" s="182"/>
      <c r="G1363" s="1" t="str">
        <f>IFERROR(IF(ventas_b_mes11[[#This Row],[CUIT]]="","-",VLOOKUP(ventas_b_mes11[[#This Row],[CUIT]],Lista_CUIT[#All],2,0)),"CUIT NO CARGADO")</f>
        <v>-</v>
      </c>
      <c r="H1363" s="64">
        <f>ventas_b_mes11[[#This Row],[TOTAL]]/1.21</f>
        <v>0</v>
      </c>
      <c r="I1363" s="183">
        <f>ventas_b_mes11[[#This Row],[IMPORTE NETO]]*0.21</f>
        <v>0</v>
      </c>
      <c r="J1363" s="184"/>
      <c r="K1363" s="184"/>
      <c r="L1363" s="184"/>
      <c r="M1363" s="59"/>
    </row>
    <row r="1364" spans="2:13" x14ac:dyDescent="0.3">
      <c r="B1364" s="178"/>
      <c r="C1364" s="179"/>
      <c r="D1364" s="180"/>
      <c r="E1364" s="181"/>
      <c r="F1364" s="182"/>
      <c r="G1364" s="1" t="str">
        <f>IFERROR(IF(ventas_b_mes11[[#This Row],[CUIT]]="","-",VLOOKUP(ventas_b_mes11[[#This Row],[CUIT]],Lista_CUIT[#All],2,0)),"CUIT NO CARGADO")</f>
        <v>-</v>
      </c>
      <c r="H1364" s="64">
        <f>ventas_b_mes11[[#This Row],[TOTAL]]/1.21</f>
        <v>0</v>
      </c>
      <c r="I1364" s="183">
        <f>ventas_b_mes11[[#This Row],[IMPORTE NETO]]*0.21</f>
        <v>0</v>
      </c>
      <c r="J1364" s="184"/>
      <c r="K1364" s="184"/>
      <c r="L1364" s="184"/>
      <c r="M1364" s="59"/>
    </row>
    <row r="1365" spans="2:13" x14ac:dyDescent="0.3">
      <c r="B1365" s="178"/>
      <c r="C1365" s="179"/>
      <c r="D1365" s="180"/>
      <c r="E1365" s="181"/>
      <c r="F1365" s="182"/>
      <c r="G1365" s="1" t="str">
        <f>IFERROR(IF(ventas_b_mes11[[#This Row],[CUIT]]="","-",VLOOKUP(ventas_b_mes11[[#This Row],[CUIT]],Lista_CUIT[#All],2,0)),"CUIT NO CARGADO")</f>
        <v>-</v>
      </c>
      <c r="H1365" s="64">
        <f>ventas_b_mes11[[#This Row],[TOTAL]]/1.21</f>
        <v>0</v>
      </c>
      <c r="I1365" s="183">
        <f>ventas_b_mes11[[#This Row],[IMPORTE NETO]]*0.21</f>
        <v>0</v>
      </c>
      <c r="J1365" s="184"/>
      <c r="K1365" s="184"/>
      <c r="L1365" s="184"/>
      <c r="M1365" s="59"/>
    </row>
    <row r="1366" spans="2:13" x14ac:dyDescent="0.3">
      <c r="B1366" s="178"/>
      <c r="C1366" s="179"/>
      <c r="D1366" s="180"/>
      <c r="E1366" s="181"/>
      <c r="F1366" s="182"/>
      <c r="G1366" s="1" t="str">
        <f>IFERROR(IF(ventas_b_mes11[[#This Row],[CUIT]]="","-",VLOOKUP(ventas_b_mes11[[#This Row],[CUIT]],Lista_CUIT[#All],2,0)),"CUIT NO CARGADO")</f>
        <v>-</v>
      </c>
      <c r="H1366" s="64">
        <f>ventas_b_mes11[[#This Row],[TOTAL]]/1.21</f>
        <v>0</v>
      </c>
      <c r="I1366" s="183">
        <f>ventas_b_mes11[[#This Row],[IMPORTE NETO]]*0.21</f>
        <v>0</v>
      </c>
      <c r="J1366" s="184"/>
      <c r="K1366" s="184"/>
      <c r="L1366" s="184"/>
      <c r="M1366" s="59"/>
    </row>
    <row r="1367" spans="2:13" x14ac:dyDescent="0.3">
      <c r="B1367" s="178"/>
      <c r="C1367" s="179"/>
      <c r="D1367" s="180"/>
      <c r="E1367" s="181"/>
      <c r="F1367" s="182"/>
      <c r="G1367" s="1" t="str">
        <f>IFERROR(IF(ventas_b_mes11[[#This Row],[CUIT]]="","-",VLOOKUP(ventas_b_mes11[[#This Row],[CUIT]],Lista_CUIT[#All],2,0)),"CUIT NO CARGADO")</f>
        <v>-</v>
      </c>
      <c r="H1367" s="64">
        <f>ventas_b_mes11[[#This Row],[TOTAL]]/1.21</f>
        <v>0</v>
      </c>
      <c r="I1367" s="183">
        <f>ventas_b_mes11[[#This Row],[IMPORTE NETO]]*0.21</f>
        <v>0</v>
      </c>
      <c r="J1367" s="184"/>
      <c r="K1367" s="184"/>
      <c r="L1367" s="184"/>
      <c r="M1367" s="59"/>
    </row>
    <row r="1368" spans="2:13" x14ac:dyDescent="0.3">
      <c r="B1368" s="178"/>
      <c r="C1368" s="179"/>
      <c r="D1368" s="180"/>
      <c r="E1368" s="181"/>
      <c r="F1368" s="182"/>
      <c r="G1368" s="1" t="str">
        <f>IFERROR(IF(ventas_b_mes11[[#This Row],[CUIT]]="","-",VLOOKUP(ventas_b_mes11[[#This Row],[CUIT]],Lista_CUIT[#All],2,0)),"CUIT NO CARGADO")</f>
        <v>-</v>
      </c>
      <c r="H1368" s="64">
        <f>ventas_b_mes11[[#This Row],[TOTAL]]/1.21</f>
        <v>0</v>
      </c>
      <c r="I1368" s="183">
        <f>ventas_b_mes11[[#This Row],[IMPORTE NETO]]*0.21</f>
        <v>0</v>
      </c>
      <c r="J1368" s="184"/>
      <c r="K1368" s="184"/>
      <c r="L1368" s="184"/>
      <c r="M1368" s="59"/>
    </row>
    <row r="1369" spans="2:13" x14ac:dyDescent="0.3">
      <c r="B1369" s="178"/>
      <c r="C1369" s="179"/>
      <c r="D1369" s="180"/>
      <c r="E1369" s="181"/>
      <c r="F1369" s="182"/>
      <c r="G1369" s="1" t="str">
        <f>IFERROR(IF(ventas_b_mes11[[#This Row],[CUIT]]="","-",VLOOKUP(ventas_b_mes11[[#This Row],[CUIT]],Lista_CUIT[#All],2,0)),"CUIT NO CARGADO")</f>
        <v>-</v>
      </c>
      <c r="H1369" s="64">
        <f>ventas_b_mes11[[#This Row],[TOTAL]]/1.21</f>
        <v>0</v>
      </c>
      <c r="I1369" s="183">
        <f>ventas_b_mes11[[#This Row],[IMPORTE NETO]]*0.21</f>
        <v>0</v>
      </c>
      <c r="J1369" s="184"/>
      <c r="K1369" s="184"/>
      <c r="L1369" s="184"/>
      <c r="M1369" s="59"/>
    </row>
    <row r="1370" spans="2:13" x14ac:dyDescent="0.3">
      <c r="B1370" s="178"/>
      <c r="C1370" s="179"/>
      <c r="D1370" s="180"/>
      <c r="E1370" s="181"/>
      <c r="F1370" s="182"/>
      <c r="G1370" s="1" t="str">
        <f>IFERROR(IF(ventas_b_mes11[[#This Row],[CUIT]]="","-",VLOOKUP(ventas_b_mes11[[#This Row],[CUIT]],Lista_CUIT[#All],2,0)),"CUIT NO CARGADO")</f>
        <v>-</v>
      </c>
      <c r="H1370" s="64">
        <f>ventas_b_mes11[[#This Row],[TOTAL]]/1.21</f>
        <v>0</v>
      </c>
      <c r="I1370" s="183">
        <f>ventas_b_mes11[[#This Row],[IMPORTE NETO]]*0.21</f>
        <v>0</v>
      </c>
      <c r="J1370" s="184"/>
      <c r="K1370" s="184"/>
      <c r="L1370" s="184"/>
      <c r="M1370" s="59"/>
    </row>
    <row r="1371" spans="2:13" x14ac:dyDescent="0.3">
      <c r="B1371" s="178"/>
      <c r="C1371" s="179"/>
      <c r="D1371" s="180"/>
      <c r="E1371" s="181"/>
      <c r="F1371" s="182"/>
      <c r="G1371" s="1" t="str">
        <f>IFERROR(IF(ventas_b_mes11[[#This Row],[CUIT]]="","-",VLOOKUP(ventas_b_mes11[[#This Row],[CUIT]],Lista_CUIT[#All],2,0)),"CUIT NO CARGADO")</f>
        <v>-</v>
      </c>
      <c r="H1371" s="64">
        <f>ventas_b_mes11[[#This Row],[TOTAL]]/1.21</f>
        <v>0</v>
      </c>
      <c r="I1371" s="183">
        <f>ventas_b_mes11[[#This Row],[IMPORTE NETO]]*0.21</f>
        <v>0</v>
      </c>
      <c r="J1371" s="184"/>
      <c r="K1371" s="184"/>
      <c r="L1371" s="184"/>
      <c r="M1371" s="59"/>
    </row>
    <row r="1372" spans="2:13" x14ac:dyDescent="0.3">
      <c r="B1372" s="178"/>
      <c r="C1372" s="179"/>
      <c r="D1372" s="180"/>
      <c r="E1372" s="181"/>
      <c r="F1372" s="182"/>
      <c r="G1372" s="1" t="str">
        <f>IFERROR(IF(ventas_b_mes11[[#This Row],[CUIT]]="","-",VLOOKUP(ventas_b_mes11[[#This Row],[CUIT]],Lista_CUIT[#All],2,0)),"CUIT NO CARGADO")</f>
        <v>-</v>
      </c>
      <c r="H1372" s="64">
        <f>ventas_b_mes11[[#This Row],[TOTAL]]/1.21</f>
        <v>0</v>
      </c>
      <c r="I1372" s="183">
        <f>ventas_b_mes11[[#This Row],[IMPORTE NETO]]*0.21</f>
        <v>0</v>
      </c>
      <c r="J1372" s="184"/>
      <c r="K1372" s="184"/>
      <c r="L1372" s="184"/>
      <c r="M1372" s="59"/>
    </row>
    <row r="1373" spans="2:13" x14ac:dyDescent="0.3">
      <c r="B1373" s="178"/>
      <c r="C1373" s="179"/>
      <c r="D1373" s="180"/>
      <c r="E1373" s="181"/>
      <c r="F1373" s="182"/>
      <c r="G1373" s="1" t="str">
        <f>IFERROR(IF(ventas_b_mes11[[#This Row],[CUIT]]="","-",VLOOKUP(ventas_b_mes11[[#This Row],[CUIT]],Lista_CUIT[#All],2,0)),"CUIT NO CARGADO")</f>
        <v>-</v>
      </c>
      <c r="H1373" s="64">
        <f>ventas_b_mes11[[#This Row],[TOTAL]]/1.21</f>
        <v>0</v>
      </c>
      <c r="I1373" s="183">
        <f>ventas_b_mes11[[#This Row],[IMPORTE NETO]]*0.21</f>
        <v>0</v>
      </c>
      <c r="J1373" s="184"/>
      <c r="K1373" s="184"/>
      <c r="L1373" s="184"/>
      <c r="M1373" s="59"/>
    </row>
    <row r="1374" spans="2:13" x14ac:dyDescent="0.3">
      <c r="B1374" s="178"/>
      <c r="C1374" s="179"/>
      <c r="D1374" s="180"/>
      <c r="E1374" s="181"/>
      <c r="F1374" s="182"/>
      <c r="G1374" s="1" t="str">
        <f>IFERROR(IF(ventas_b_mes11[[#This Row],[CUIT]]="","-",VLOOKUP(ventas_b_mes11[[#This Row],[CUIT]],Lista_CUIT[#All],2,0)),"CUIT NO CARGADO")</f>
        <v>-</v>
      </c>
      <c r="H1374" s="64">
        <f>ventas_b_mes11[[#This Row],[TOTAL]]/1.21</f>
        <v>0</v>
      </c>
      <c r="I1374" s="183">
        <f>ventas_b_mes11[[#This Row],[IMPORTE NETO]]*0.21</f>
        <v>0</v>
      </c>
      <c r="J1374" s="184"/>
      <c r="K1374" s="184"/>
      <c r="L1374" s="184"/>
      <c r="M1374" s="59"/>
    </row>
    <row r="1375" spans="2:13" x14ac:dyDescent="0.3">
      <c r="B1375" s="178"/>
      <c r="C1375" s="179"/>
      <c r="D1375" s="180"/>
      <c r="E1375" s="181"/>
      <c r="F1375" s="182"/>
      <c r="G1375" s="1" t="str">
        <f>IFERROR(IF(ventas_b_mes11[[#This Row],[CUIT]]="","-",VLOOKUP(ventas_b_mes11[[#This Row],[CUIT]],Lista_CUIT[#All],2,0)),"CUIT NO CARGADO")</f>
        <v>-</v>
      </c>
      <c r="H1375" s="64">
        <f>ventas_b_mes11[[#This Row],[TOTAL]]/1.21</f>
        <v>0</v>
      </c>
      <c r="I1375" s="183">
        <f>ventas_b_mes11[[#This Row],[IMPORTE NETO]]*0.21</f>
        <v>0</v>
      </c>
      <c r="J1375" s="184"/>
      <c r="K1375" s="184"/>
      <c r="L1375" s="184"/>
      <c r="M1375" s="59"/>
    </row>
    <row r="1376" spans="2:13" x14ac:dyDescent="0.3">
      <c r="B1376" s="178"/>
      <c r="C1376" s="179"/>
      <c r="D1376" s="180"/>
      <c r="E1376" s="181"/>
      <c r="F1376" s="182"/>
      <c r="G1376" s="1" t="str">
        <f>IFERROR(IF(ventas_b_mes11[[#This Row],[CUIT]]="","-",VLOOKUP(ventas_b_mes11[[#This Row],[CUIT]],Lista_CUIT[#All],2,0)),"CUIT NO CARGADO")</f>
        <v>-</v>
      </c>
      <c r="H1376" s="64">
        <f>ventas_b_mes11[[#This Row],[TOTAL]]/1.21</f>
        <v>0</v>
      </c>
      <c r="I1376" s="183">
        <f>ventas_b_mes11[[#This Row],[IMPORTE NETO]]*0.21</f>
        <v>0</v>
      </c>
      <c r="J1376" s="184"/>
      <c r="K1376" s="184"/>
      <c r="L1376" s="184"/>
      <c r="M1376" s="59"/>
    </row>
    <row r="1377" spans="2:13" x14ac:dyDescent="0.3">
      <c r="B1377" s="178"/>
      <c r="C1377" s="179"/>
      <c r="D1377" s="180"/>
      <c r="E1377" s="181"/>
      <c r="F1377" s="182"/>
      <c r="G1377" s="1" t="str">
        <f>IFERROR(IF(ventas_b_mes11[[#This Row],[CUIT]]="","-",VLOOKUP(ventas_b_mes11[[#This Row],[CUIT]],Lista_CUIT[#All],2,0)),"CUIT NO CARGADO")</f>
        <v>-</v>
      </c>
      <c r="H1377" s="64">
        <f>ventas_b_mes11[[#This Row],[TOTAL]]/1.21</f>
        <v>0</v>
      </c>
      <c r="I1377" s="183">
        <f>ventas_b_mes11[[#This Row],[IMPORTE NETO]]*0.21</f>
        <v>0</v>
      </c>
      <c r="J1377" s="184"/>
      <c r="K1377" s="184"/>
      <c r="L1377" s="184"/>
      <c r="M1377" s="59"/>
    </row>
    <row r="1378" spans="2:13" x14ac:dyDescent="0.3">
      <c r="B1378" s="178"/>
      <c r="C1378" s="179"/>
      <c r="D1378" s="180"/>
      <c r="E1378" s="181"/>
      <c r="F1378" s="182"/>
      <c r="G1378" s="1" t="str">
        <f>IFERROR(IF(ventas_b_mes11[[#This Row],[CUIT]]="","-",VLOOKUP(ventas_b_mes11[[#This Row],[CUIT]],Lista_CUIT[#All],2,0)),"CUIT NO CARGADO")</f>
        <v>-</v>
      </c>
      <c r="H1378" s="64">
        <f>ventas_b_mes11[[#This Row],[TOTAL]]/1.21</f>
        <v>0</v>
      </c>
      <c r="I1378" s="183">
        <f>ventas_b_mes11[[#This Row],[IMPORTE NETO]]*0.21</f>
        <v>0</v>
      </c>
      <c r="J1378" s="184"/>
      <c r="K1378" s="184"/>
      <c r="L1378" s="184"/>
      <c r="M1378" s="59"/>
    </row>
    <row r="1379" spans="2:13" x14ac:dyDescent="0.3">
      <c r="B1379" s="178"/>
      <c r="C1379" s="179"/>
      <c r="D1379" s="180"/>
      <c r="E1379" s="181"/>
      <c r="F1379" s="182"/>
      <c r="G1379" s="1" t="str">
        <f>IFERROR(IF(ventas_b_mes11[[#This Row],[CUIT]]="","-",VLOOKUP(ventas_b_mes11[[#This Row],[CUIT]],Lista_CUIT[#All],2,0)),"CUIT NO CARGADO")</f>
        <v>-</v>
      </c>
      <c r="H1379" s="64">
        <f>ventas_b_mes11[[#This Row],[TOTAL]]/1.21</f>
        <v>0</v>
      </c>
      <c r="I1379" s="183">
        <f>ventas_b_mes11[[#This Row],[IMPORTE NETO]]*0.21</f>
        <v>0</v>
      </c>
      <c r="J1379" s="184"/>
      <c r="K1379" s="184"/>
      <c r="L1379" s="184"/>
      <c r="M1379" s="59"/>
    </row>
    <row r="1380" spans="2:13" x14ac:dyDescent="0.3">
      <c r="B1380" s="178"/>
      <c r="C1380" s="179"/>
      <c r="D1380" s="180"/>
      <c r="E1380" s="181"/>
      <c r="F1380" s="182"/>
      <c r="G1380" s="1" t="str">
        <f>IFERROR(IF(ventas_b_mes11[[#This Row],[CUIT]]="","-",VLOOKUP(ventas_b_mes11[[#This Row],[CUIT]],Lista_CUIT[#All],2,0)),"CUIT NO CARGADO")</f>
        <v>-</v>
      </c>
      <c r="H1380" s="64">
        <f>ventas_b_mes11[[#This Row],[TOTAL]]/1.21</f>
        <v>0</v>
      </c>
      <c r="I1380" s="183">
        <f>ventas_b_mes11[[#This Row],[IMPORTE NETO]]*0.21</f>
        <v>0</v>
      </c>
      <c r="J1380" s="184"/>
      <c r="K1380" s="184"/>
      <c r="L1380" s="184"/>
      <c r="M1380" s="59"/>
    </row>
    <row r="1381" spans="2:13" x14ac:dyDescent="0.3">
      <c r="B1381" s="178"/>
      <c r="C1381" s="179"/>
      <c r="D1381" s="180"/>
      <c r="E1381" s="181"/>
      <c r="F1381" s="182"/>
      <c r="G1381" s="1" t="str">
        <f>IFERROR(IF(ventas_b_mes11[[#This Row],[CUIT]]="","-",VLOOKUP(ventas_b_mes11[[#This Row],[CUIT]],Lista_CUIT[#All],2,0)),"CUIT NO CARGADO")</f>
        <v>-</v>
      </c>
      <c r="H1381" s="64">
        <f>ventas_b_mes11[[#This Row],[TOTAL]]/1.21</f>
        <v>0</v>
      </c>
      <c r="I1381" s="183">
        <f>ventas_b_mes11[[#This Row],[IMPORTE NETO]]*0.21</f>
        <v>0</v>
      </c>
      <c r="J1381" s="184"/>
      <c r="K1381" s="184"/>
      <c r="L1381" s="184"/>
      <c r="M1381" s="59"/>
    </row>
    <row r="1382" spans="2:13" x14ac:dyDescent="0.3">
      <c r="B1382" s="178"/>
      <c r="C1382" s="179"/>
      <c r="D1382" s="180"/>
      <c r="E1382" s="181"/>
      <c r="F1382" s="182"/>
      <c r="G1382" s="1" t="str">
        <f>IFERROR(IF(ventas_b_mes11[[#This Row],[CUIT]]="","-",VLOOKUP(ventas_b_mes11[[#This Row],[CUIT]],Lista_CUIT[#All],2,0)),"CUIT NO CARGADO")</f>
        <v>-</v>
      </c>
      <c r="H1382" s="64">
        <f>ventas_b_mes11[[#This Row],[TOTAL]]/1.21</f>
        <v>0</v>
      </c>
      <c r="I1382" s="183">
        <f>ventas_b_mes11[[#This Row],[IMPORTE NETO]]*0.21</f>
        <v>0</v>
      </c>
      <c r="J1382" s="184"/>
      <c r="K1382" s="184"/>
      <c r="L1382" s="184"/>
      <c r="M1382" s="59"/>
    </row>
    <row r="1383" spans="2:13" x14ac:dyDescent="0.3">
      <c r="B1383" s="178"/>
      <c r="C1383" s="179"/>
      <c r="D1383" s="180"/>
      <c r="E1383" s="181"/>
      <c r="F1383" s="182"/>
      <c r="G1383" s="1" t="str">
        <f>IFERROR(IF(ventas_b_mes11[[#This Row],[CUIT]]="","-",VLOOKUP(ventas_b_mes11[[#This Row],[CUIT]],Lista_CUIT[#All],2,0)),"CUIT NO CARGADO")</f>
        <v>-</v>
      </c>
      <c r="H1383" s="64">
        <f>ventas_b_mes11[[#This Row],[TOTAL]]/1.21</f>
        <v>0</v>
      </c>
      <c r="I1383" s="183">
        <f>ventas_b_mes11[[#This Row],[IMPORTE NETO]]*0.21</f>
        <v>0</v>
      </c>
      <c r="J1383" s="184"/>
      <c r="K1383" s="184"/>
      <c r="L1383" s="184"/>
      <c r="M1383" s="59"/>
    </row>
    <row r="1384" spans="2:13" x14ac:dyDescent="0.3">
      <c r="B1384" s="178"/>
      <c r="C1384" s="179"/>
      <c r="D1384" s="180"/>
      <c r="E1384" s="181"/>
      <c r="F1384" s="182"/>
      <c r="G1384" s="1" t="str">
        <f>IFERROR(IF(ventas_b_mes11[[#This Row],[CUIT]]="","-",VLOOKUP(ventas_b_mes11[[#This Row],[CUIT]],Lista_CUIT[#All],2,0)),"CUIT NO CARGADO")</f>
        <v>-</v>
      </c>
      <c r="H1384" s="64">
        <f>ventas_b_mes11[[#This Row],[TOTAL]]/1.21</f>
        <v>0</v>
      </c>
      <c r="I1384" s="183">
        <f>ventas_b_mes11[[#This Row],[IMPORTE NETO]]*0.21</f>
        <v>0</v>
      </c>
      <c r="J1384" s="184"/>
      <c r="K1384" s="184"/>
      <c r="L1384" s="184"/>
      <c r="M1384" s="59"/>
    </row>
    <row r="1385" spans="2:13" x14ac:dyDescent="0.3">
      <c r="B1385" s="178"/>
      <c r="C1385" s="179"/>
      <c r="D1385" s="180"/>
      <c r="E1385" s="181"/>
      <c r="F1385" s="182"/>
      <c r="G1385" s="1" t="str">
        <f>IFERROR(IF(ventas_b_mes11[[#This Row],[CUIT]]="","-",VLOOKUP(ventas_b_mes11[[#This Row],[CUIT]],Lista_CUIT[#All],2,0)),"CUIT NO CARGADO")</f>
        <v>-</v>
      </c>
      <c r="H1385" s="64">
        <f>ventas_b_mes11[[#This Row],[TOTAL]]/1.21</f>
        <v>0</v>
      </c>
      <c r="I1385" s="183">
        <f>ventas_b_mes11[[#This Row],[IMPORTE NETO]]*0.21</f>
        <v>0</v>
      </c>
      <c r="J1385" s="184"/>
      <c r="K1385" s="184"/>
      <c r="L1385" s="184"/>
      <c r="M1385" s="59"/>
    </row>
    <row r="1386" spans="2:13" x14ac:dyDescent="0.3">
      <c r="B1386" s="178"/>
      <c r="C1386" s="179"/>
      <c r="D1386" s="180"/>
      <c r="E1386" s="181"/>
      <c r="F1386" s="182"/>
      <c r="G1386" s="1" t="str">
        <f>IFERROR(IF(ventas_b_mes11[[#This Row],[CUIT]]="","-",VLOOKUP(ventas_b_mes11[[#This Row],[CUIT]],Lista_CUIT[#All],2,0)),"CUIT NO CARGADO")</f>
        <v>-</v>
      </c>
      <c r="H1386" s="64">
        <f>ventas_b_mes11[[#This Row],[TOTAL]]/1.21</f>
        <v>0</v>
      </c>
      <c r="I1386" s="183">
        <f>ventas_b_mes11[[#This Row],[IMPORTE NETO]]*0.21</f>
        <v>0</v>
      </c>
      <c r="J1386" s="184"/>
      <c r="K1386" s="184"/>
      <c r="L1386" s="184"/>
      <c r="M1386" s="59"/>
    </row>
    <row r="1387" spans="2:13" x14ac:dyDescent="0.3">
      <c r="B1387" s="178"/>
      <c r="C1387" s="179"/>
      <c r="D1387" s="180"/>
      <c r="E1387" s="181"/>
      <c r="F1387" s="182"/>
      <c r="G1387" s="1" t="str">
        <f>IFERROR(IF(ventas_b_mes11[[#This Row],[CUIT]]="","-",VLOOKUP(ventas_b_mes11[[#This Row],[CUIT]],Lista_CUIT[#All],2,0)),"CUIT NO CARGADO")</f>
        <v>-</v>
      </c>
      <c r="H1387" s="64">
        <f>ventas_b_mes11[[#This Row],[TOTAL]]/1.21</f>
        <v>0</v>
      </c>
      <c r="I1387" s="183">
        <f>ventas_b_mes11[[#This Row],[IMPORTE NETO]]*0.21</f>
        <v>0</v>
      </c>
      <c r="J1387" s="184"/>
      <c r="K1387" s="184"/>
      <c r="L1387" s="184"/>
      <c r="M1387" s="59"/>
    </row>
    <row r="1388" spans="2:13" x14ac:dyDescent="0.3">
      <c r="B1388" s="178"/>
      <c r="C1388" s="179"/>
      <c r="D1388" s="180"/>
      <c r="E1388" s="181"/>
      <c r="F1388" s="182"/>
      <c r="G1388" s="1" t="str">
        <f>IFERROR(IF(ventas_b_mes11[[#This Row],[CUIT]]="","-",VLOOKUP(ventas_b_mes11[[#This Row],[CUIT]],Lista_CUIT[#All],2,0)),"CUIT NO CARGADO")</f>
        <v>-</v>
      </c>
      <c r="H1388" s="64">
        <f>ventas_b_mes11[[#This Row],[TOTAL]]/1.21</f>
        <v>0</v>
      </c>
      <c r="I1388" s="183">
        <f>ventas_b_mes11[[#This Row],[IMPORTE NETO]]*0.21</f>
        <v>0</v>
      </c>
      <c r="J1388" s="184"/>
      <c r="K1388" s="184"/>
      <c r="L1388" s="184"/>
      <c r="M1388" s="59"/>
    </row>
    <row r="1389" spans="2:13" x14ac:dyDescent="0.3">
      <c r="B1389" s="178"/>
      <c r="C1389" s="179"/>
      <c r="D1389" s="180"/>
      <c r="E1389" s="181"/>
      <c r="F1389" s="182"/>
      <c r="G1389" s="1" t="str">
        <f>IFERROR(IF(ventas_b_mes11[[#This Row],[CUIT]]="","-",VLOOKUP(ventas_b_mes11[[#This Row],[CUIT]],Lista_CUIT[#All],2,0)),"CUIT NO CARGADO")</f>
        <v>-</v>
      </c>
      <c r="H1389" s="64">
        <f>ventas_b_mes11[[#This Row],[TOTAL]]/1.21</f>
        <v>0</v>
      </c>
      <c r="I1389" s="183">
        <f>ventas_b_mes11[[#This Row],[IMPORTE NETO]]*0.21</f>
        <v>0</v>
      </c>
      <c r="J1389" s="184"/>
      <c r="K1389" s="184"/>
      <c r="L1389" s="184"/>
      <c r="M1389" s="59"/>
    </row>
    <row r="1390" spans="2:13" x14ac:dyDescent="0.3">
      <c r="B1390" s="178"/>
      <c r="C1390" s="179"/>
      <c r="D1390" s="180"/>
      <c r="E1390" s="181"/>
      <c r="F1390" s="182"/>
      <c r="G1390" s="1" t="str">
        <f>IFERROR(IF(ventas_b_mes11[[#This Row],[CUIT]]="","-",VLOOKUP(ventas_b_mes11[[#This Row],[CUIT]],Lista_CUIT[#All],2,0)),"CUIT NO CARGADO")</f>
        <v>-</v>
      </c>
      <c r="H1390" s="64">
        <f>ventas_b_mes11[[#This Row],[TOTAL]]/1.21</f>
        <v>0</v>
      </c>
      <c r="I1390" s="183">
        <f>ventas_b_mes11[[#This Row],[IMPORTE NETO]]*0.21</f>
        <v>0</v>
      </c>
      <c r="J1390" s="184"/>
      <c r="K1390" s="184"/>
      <c r="L1390" s="184"/>
      <c r="M1390" s="59"/>
    </row>
    <row r="1391" spans="2:13" x14ac:dyDescent="0.3">
      <c r="B1391" s="178"/>
      <c r="C1391" s="179"/>
      <c r="D1391" s="180"/>
      <c r="E1391" s="181"/>
      <c r="F1391" s="182"/>
      <c r="G1391" s="1" t="str">
        <f>IFERROR(IF(ventas_b_mes11[[#This Row],[CUIT]]="","-",VLOOKUP(ventas_b_mes11[[#This Row],[CUIT]],Lista_CUIT[#All],2,0)),"CUIT NO CARGADO")</f>
        <v>-</v>
      </c>
      <c r="H1391" s="64">
        <f>ventas_b_mes11[[#This Row],[TOTAL]]/1.21</f>
        <v>0</v>
      </c>
      <c r="I1391" s="183">
        <f>ventas_b_mes11[[#This Row],[IMPORTE NETO]]*0.21</f>
        <v>0</v>
      </c>
      <c r="J1391" s="184"/>
      <c r="K1391" s="184"/>
      <c r="L1391" s="184"/>
      <c r="M1391" s="59"/>
    </row>
    <row r="1392" spans="2:13" x14ac:dyDescent="0.3">
      <c r="B1392" s="178"/>
      <c r="C1392" s="179"/>
      <c r="D1392" s="180"/>
      <c r="E1392" s="181"/>
      <c r="F1392" s="182"/>
      <c r="G1392" s="1" t="str">
        <f>IFERROR(IF(ventas_b_mes11[[#This Row],[CUIT]]="","-",VLOOKUP(ventas_b_mes11[[#This Row],[CUIT]],Lista_CUIT[#All],2,0)),"CUIT NO CARGADO")</f>
        <v>-</v>
      </c>
      <c r="H1392" s="64">
        <f>ventas_b_mes11[[#This Row],[TOTAL]]/1.21</f>
        <v>0</v>
      </c>
      <c r="I1392" s="183">
        <f>ventas_b_mes11[[#This Row],[IMPORTE NETO]]*0.21</f>
        <v>0</v>
      </c>
      <c r="J1392" s="184"/>
      <c r="K1392" s="184"/>
      <c r="L1392" s="184"/>
      <c r="M1392" s="59"/>
    </row>
    <row r="1393" spans="2:13" x14ac:dyDescent="0.3">
      <c r="B1393" s="178"/>
      <c r="C1393" s="179"/>
      <c r="D1393" s="180"/>
      <c r="E1393" s="181"/>
      <c r="F1393" s="182"/>
      <c r="G1393" s="1" t="str">
        <f>IFERROR(IF(ventas_b_mes11[[#This Row],[CUIT]]="","-",VLOOKUP(ventas_b_mes11[[#This Row],[CUIT]],Lista_CUIT[#All],2,0)),"CUIT NO CARGADO")</f>
        <v>-</v>
      </c>
      <c r="H1393" s="64">
        <f>ventas_b_mes11[[#This Row],[TOTAL]]/1.21</f>
        <v>0</v>
      </c>
      <c r="I1393" s="183">
        <f>ventas_b_mes11[[#This Row],[IMPORTE NETO]]*0.21</f>
        <v>0</v>
      </c>
      <c r="J1393" s="184"/>
      <c r="K1393" s="184"/>
      <c r="L1393" s="184"/>
      <c r="M1393" s="59"/>
    </row>
    <row r="1394" spans="2:13" x14ac:dyDescent="0.3">
      <c r="B1394" s="178"/>
      <c r="C1394" s="179"/>
      <c r="D1394" s="180"/>
      <c r="E1394" s="181"/>
      <c r="F1394" s="182"/>
      <c r="G1394" s="1" t="str">
        <f>IFERROR(IF(ventas_b_mes11[[#This Row],[CUIT]]="","-",VLOOKUP(ventas_b_mes11[[#This Row],[CUIT]],Lista_CUIT[#All],2,0)),"CUIT NO CARGADO")</f>
        <v>-</v>
      </c>
      <c r="H1394" s="64">
        <f>ventas_b_mes11[[#This Row],[TOTAL]]/1.21</f>
        <v>0</v>
      </c>
      <c r="I1394" s="183">
        <f>ventas_b_mes11[[#This Row],[IMPORTE NETO]]*0.21</f>
        <v>0</v>
      </c>
      <c r="J1394" s="184"/>
      <c r="K1394" s="184"/>
      <c r="L1394" s="184"/>
      <c r="M1394" s="59"/>
    </row>
    <row r="1395" spans="2:13" x14ac:dyDescent="0.3">
      <c r="B1395" s="178"/>
      <c r="C1395" s="179"/>
      <c r="D1395" s="180"/>
      <c r="E1395" s="181"/>
      <c r="F1395" s="182"/>
      <c r="G1395" s="1" t="str">
        <f>IFERROR(IF(ventas_b_mes11[[#This Row],[CUIT]]="","-",VLOOKUP(ventas_b_mes11[[#This Row],[CUIT]],Lista_CUIT[#All],2,0)),"CUIT NO CARGADO")</f>
        <v>-</v>
      </c>
      <c r="H1395" s="64">
        <f>ventas_b_mes11[[#This Row],[TOTAL]]/1.21</f>
        <v>0</v>
      </c>
      <c r="I1395" s="183">
        <f>ventas_b_mes11[[#This Row],[IMPORTE NETO]]*0.21</f>
        <v>0</v>
      </c>
      <c r="J1395" s="184"/>
      <c r="K1395" s="184"/>
      <c r="L1395" s="184"/>
      <c r="M1395" s="59"/>
    </row>
    <row r="1396" spans="2:13" x14ac:dyDescent="0.3">
      <c r="B1396" s="178"/>
      <c r="C1396" s="179"/>
      <c r="D1396" s="180"/>
      <c r="E1396" s="181"/>
      <c r="F1396" s="182"/>
      <c r="G1396" s="1" t="str">
        <f>IFERROR(IF(ventas_b_mes11[[#This Row],[CUIT]]="","-",VLOOKUP(ventas_b_mes11[[#This Row],[CUIT]],Lista_CUIT[#All],2,0)),"CUIT NO CARGADO")</f>
        <v>-</v>
      </c>
      <c r="H1396" s="64">
        <f>ventas_b_mes11[[#This Row],[TOTAL]]/1.21</f>
        <v>0</v>
      </c>
      <c r="I1396" s="183">
        <f>ventas_b_mes11[[#This Row],[IMPORTE NETO]]*0.21</f>
        <v>0</v>
      </c>
      <c r="J1396" s="184"/>
      <c r="K1396" s="184"/>
      <c r="L1396" s="184"/>
      <c r="M1396" s="59"/>
    </row>
    <row r="1397" spans="2:13" x14ac:dyDescent="0.3">
      <c r="B1397" s="178"/>
      <c r="C1397" s="179"/>
      <c r="D1397" s="180"/>
      <c r="E1397" s="181"/>
      <c r="F1397" s="182"/>
      <c r="G1397" s="1" t="str">
        <f>IFERROR(IF(ventas_b_mes11[[#This Row],[CUIT]]="","-",VLOOKUP(ventas_b_mes11[[#This Row],[CUIT]],Lista_CUIT[#All],2,0)),"CUIT NO CARGADO")</f>
        <v>-</v>
      </c>
      <c r="H1397" s="64">
        <f>ventas_b_mes11[[#This Row],[TOTAL]]/1.21</f>
        <v>0</v>
      </c>
      <c r="I1397" s="183">
        <f>ventas_b_mes11[[#This Row],[IMPORTE NETO]]*0.21</f>
        <v>0</v>
      </c>
      <c r="J1397" s="184"/>
      <c r="K1397" s="184"/>
      <c r="L1397" s="184"/>
      <c r="M1397" s="59"/>
    </row>
    <row r="1398" spans="2:13" x14ac:dyDescent="0.3">
      <c r="B1398" s="178"/>
      <c r="C1398" s="179"/>
      <c r="D1398" s="180"/>
      <c r="E1398" s="181"/>
      <c r="F1398" s="182"/>
      <c r="G1398" s="1" t="str">
        <f>IFERROR(IF(ventas_b_mes11[[#This Row],[CUIT]]="","-",VLOOKUP(ventas_b_mes11[[#This Row],[CUIT]],Lista_CUIT[#All],2,0)),"CUIT NO CARGADO")</f>
        <v>-</v>
      </c>
      <c r="H1398" s="64">
        <f>ventas_b_mes11[[#This Row],[TOTAL]]/1.21</f>
        <v>0</v>
      </c>
      <c r="I1398" s="183">
        <f>ventas_b_mes11[[#This Row],[IMPORTE NETO]]*0.21</f>
        <v>0</v>
      </c>
      <c r="J1398" s="184"/>
      <c r="K1398" s="184"/>
      <c r="L1398" s="184"/>
      <c r="M1398" s="59"/>
    </row>
    <row r="1399" spans="2:13" x14ac:dyDescent="0.3">
      <c r="B1399" s="178"/>
      <c r="C1399" s="179"/>
      <c r="D1399" s="180"/>
      <c r="E1399" s="181"/>
      <c r="F1399" s="182"/>
      <c r="G1399" s="1" t="str">
        <f>IFERROR(IF(ventas_b_mes11[[#This Row],[CUIT]]="","-",VLOOKUP(ventas_b_mes11[[#This Row],[CUIT]],Lista_CUIT[#All],2,0)),"CUIT NO CARGADO")</f>
        <v>-</v>
      </c>
      <c r="H1399" s="64">
        <f>ventas_b_mes11[[#This Row],[TOTAL]]/1.21</f>
        <v>0</v>
      </c>
      <c r="I1399" s="183">
        <f>ventas_b_mes11[[#This Row],[IMPORTE NETO]]*0.21</f>
        <v>0</v>
      </c>
      <c r="J1399" s="184"/>
      <c r="K1399" s="184"/>
      <c r="L1399" s="184"/>
      <c r="M1399" s="59"/>
    </row>
    <row r="1400" spans="2:13" x14ac:dyDescent="0.3">
      <c r="B1400" s="178"/>
      <c r="C1400" s="179"/>
      <c r="D1400" s="180"/>
      <c r="E1400" s="181"/>
      <c r="F1400" s="182"/>
      <c r="G1400" s="1" t="str">
        <f>IFERROR(IF(ventas_b_mes11[[#This Row],[CUIT]]="","-",VLOOKUP(ventas_b_mes11[[#This Row],[CUIT]],Lista_CUIT[#All],2,0)),"CUIT NO CARGADO")</f>
        <v>-</v>
      </c>
      <c r="H1400" s="64">
        <f>ventas_b_mes11[[#This Row],[TOTAL]]/1.21</f>
        <v>0</v>
      </c>
      <c r="I1400" s="183">
        <f>ventas_b_mes11[[#This Row],[IMPORTE NETO]]*0.21</f>
        <v>0</v>
      </c>
      <c r="J1400" s="184"/>
      <c r="K1400" s="184"/>
      <c r="L1400" s="184"/>
      <c r="M1400" s="59"/>
    </row>
    <row r="1401" spans="2:13" x14ac:dyDescent="0.3">
      <c r="B1401" s="178"/>
      <c r="C1401" s="179"/>
      <c r="D1401" s="180"/>
      <c r="E1401" s="181"/>
      <c r="F1401" s="182"/>
      <c r="G1401" s="1" t="str">
        <f>IFERROR(IF(ventas_b_mes11[[#This Row],[CUIT]]="","-",VLOOKUP(ventas_b_mes11[[#This Row],[CUIT]],Lista_CUIT[#All],2,0)),"CUIT NO CARGADO")</f>
        <v>-</v>
      </c>
      <c r="H1401" s="64">
        <f>ventas_b_mes11[[#This Row],[TOTAL]]/1.21</f>
        <v>0</v>
      </c>
      <c r="I1401" s="183">
        <f>ventas_b_mes11[[#This Row],[IMPORTE NETO]]*0.21</f>
        <v>0</v>
      </c>
      <c r="J1401" s="184"/>
      <c r="K1401" s="184"/>
      <c r="L1401" s="184"/>
      <c r="M1401" s="59"/>
    </row>
    <row r="1402" spans="2:13" x14ac:dyDescent="0.3">
      <c r="B1402" s="178"/>
      <c r="C1402" s="179"/>
      <c r="D1402" s="180"/>
      <c r="E1402" s="181"/>
      <c r="F1402" s="182"/>
      <c r="G1402" s="1" t="str">
        <f>IFERROR(IF(ventas_b_mes11[[#This Row],[CUIT]]="","-",VLOOKUP(ventas_b_mes11[[#This Row],[CUIT]],Lista_CUIT[#All],2,0)),"CUIT NO CARGADO")</f>
        <v>-</v>
      </c>
      <c r="H1402" s="64">
        <f>ventas_b_mes11[[#This Row],[TOTAL]]/1.21</f>
        <v>0</v>
      </c>
      <c r="I1402" s="183">
        <f>ventas_b_mes11[[#This Row],[IMPORTE NETO]]*0.21</f>
        <v>0</v>
      </c>
      <c r="J1402" s="184"/>
      <c r="K1402" s="184"/>
      <c r="L1402" s="184"/>
      <c r="M1402" s="59"/>
    </row>
    <row r="1403" spans="2:13" x14ac:dyDescent="0.3">
      <c r="B1403" s="178"/>
      <c r="C1403" s="179"/>
      <c r="D1403" s="180"/>
      <c r="E1403" s="181"/>
      <c r="F1403" s="182"/>
      <c r="G1403" s="1" t="str">
        <f>IFERROR(IF(ventas_b_mes11[[#This Row],[CUIT]]="","-",VLOOKUP(ventas_b_mes11[[#This Row],[CUIT]],Lista_CUIT[#All],2,0)),"CUIT NO CARGADO")</f>
        <v>-</v>
      </c>
      <c r="H1403" s="64">
        <f>ventas_b_mes11[[#This Row],[TOTAL]]/1.21</f>
        <v>0</v>
      </c>
      <c r="I1403" s="183">
        <f>ventas_b_mes11[[#This Row],[IMPORTE NETO]]*0.21</f>
        <v>0</v>
      </c>
      <c r="J1403" s="184"/>
      <c r="K1403" s="184"/>
      <c r="L1403" s="184"/>
      <c r="M1403" s="59"/>
    </row>
    <row r="1404" spans="2:13" x14ac:dyDescent="0.3">
      <c r="B1404" s="178"/>
      <c r="C1404" s="179"/>
      <c r="D1404" s="180"/>
      <c r="E1404" s="181"/>
      <c r="F1404" s="182"/>
      <c r="G1404" s="1" t="str">
        <f>IFERROR(IF(ventas_b_mes11[[#This Row],[CUIT]]="","-",VLOOKUP(ventas_b_mes11[[#This Row],[CUIT]],Lista_CUIT[#All],2,0)),"CUIT NO CARGADO")</f>
        <v>-</v>
      </c>
      <c r="H1404" s="64">
        <f>ventas_b_mes11[[#This Row],[TOTAL]]/1.21</f>
        <v>0</v>
      </c>
      <c r="I1404" s="183">
        <f>ventas_b_mes11[[#This Row],[IMPORTE NETO]]*0.21</f>
        <v>0</v>
      </c>
      <c r="J1404" s="184"/>
      <c r="K1404" s="184"/>
      <c r="L1404" s="184"/>
      <c r="M1404" s="59"/>
    </row>
    <row r="1405" spans="2:13" x14ac:dyDescent="0.3">
      <c r="B1405" s="178"/>
      <c r="C1405" s="179"/>
      <c r="D1405" s="180"/>
      <c r="E1405" s="181"/>
      <c r="F1405" s="182"/>
      <c r="G1405" s="1" t="str">
        <f>IFERROR(IF(ventas_b_mes11[[#This Row],[CUIT]]="","-",VLOOKUP(ventas_b_mes11[[#This Row],[CUIT]],Lista_CUIT[#All],2,0)),"CUIT NO CARGADO")</f>
        <v>-</v>
      </c>
      <c r="H1405" s="64">
        <f>ventas_b_mes11[[#This Row],[TOTAL]]/1.21</f>
        <v>0</v>
      </c>
      <c r="I1405" s="183">
        <f>ventas_b_mes11[[#This Row],[IMPORTE NETO]]*0.21</f>
        <v>0</v>
      </c>
      <c r="J1405" s="184"/>
      <c r="K1405" s="184"/>
      <c r="L1405" s="184"/>
      <c r="M1405" s="59"/>
    </row>
    <row r="1406" spans="2:13" x14ac:dyDescent="0.3">
      <c r="B1406" s="178"/>
      <c r="C1406" s="179"/>
      <c r="D1406" s="180"/>
      <c r="E1406" s="181"/>
      <c r="F1406" s="182"/>
      <c r="G1406" s="1" t="str">
        <f>IFERROR(IF(ventas_b_mes11[[#This Row],[CUIT]]="","-",VLOOKUP(ventas_b_mes11[[#This Row],[CUIT]],Lista_CUIT[#All],2,0)),"CUIT NO CARGADO")</f>
        <v>-</v>
      </c>
      <c r="H1406" s="64">
        <f>ventas_b_mes11[[#This Row],[TOTAL]]/1.21</f>
        <v>0</v>
      </c>
      <c r="I1406" s="183">
        <f>ventas_b_mes11[[#This Row],[IMPORTE NETO]]*0.21</f>
        <v>0</v>
      </c>
      <c r="J1406" s="184"/>
      <c r="K1406" s="184"/>
      <c r="L1406" s="184"/>
      <c r="M1406" s="59"/>
    </row>
    <row r="1407" spans="2:13" x14ac:dyDescent="0.3">
      <c r="B1407" s="178"/>
      <c r="C1407" s="179"/>
      <c r="D1407" s="180"/>
      <c r="E1407" s="181"/>
      <c r="F1407" s="182"/>
      <c r="G1407" s="1" t="str">
        <f>IFERROR(IF(ventas_b_mes11[[#This Row],[CUIT]]="","-",VLOOKUP(ventas_b_mes11[[#This Row],[CUIT]],Lista_CUIT[#All],2,0)),"CUIT NO CARGADO")</f>
        <v>-</v>
      </c>
      <c r="H1407" s="64">
        <f>ventas_b_mes11[[#This Row],[TOTAL]]/1.21</f>
        <v>0</v>
      </c>
      <c r="I1407" s="183">
        <f>ventas_b_mes11[[#This Row],[IMPORTE NETO]]*0.21</f>
        <v>0</v>
      </c>
      <c r="J1407" s="184"/>
      <c r="K1407" s="184"/>
      <c r="L1407" s="184"/>
      <c r="M1407" s="59"/>
    </row>
    <row r="1408" spans="2:13" x14ac:dyDescent="0.3">
      <c r="B1408" s="178"/>
      <c r="C1408" s="179"/>
      <c r="D1408" s="180"/>
      <c r="E1408" s="181"/>
      <c r="F1408" s="182"/>
      <c r="G1408" s="1" t="str">
        <f>IFERROR(IF(ventas_b_mes11[[#This Row],[CUIT]]="","-",VLOOKUP(ventas_b_mes11[[#This Row],[CUIT]],Lista_CUIT[#All],2,0)),"CUIT NO CARGADO")</f>
        <v>-</v>
      </c>
      <c r="H1408" s="64">
        <f>ventas_b_mes11[[#This Row],[TOTAL]]/1.21</f>
        <v>0</v>
      </c>
      <c r="I1408" s="183">
        <f>ventas_b_mes11[[#This Row],[IMPORTE NETO]]*0.21</f>
        <v>0</v>
      </c>
      <c r="J1408" s="184"/>
      <c r="K1408" s="184"/>
      <c r="L1408" s="184"/>
      <c r="M1408" s="59"/>
    </row>
    <row r="1409" spans="2:13" x14ac:dyDescent="0.3">
      <c r="B1409" s="178"/>
      <c r="C1409" s="179"/>
      <c r="D1409" s="180"/>
      <c r="E1409" s="181"/>
      <c r="F1409" s="182"/>
      <c r="G1409" s="1" t="str">
        <f>IFERROR(IF(ventas_b_mes11[[#This Row],[CUIT]]="","-",VLOOKUP(ventas_b_mes11[[#This Row],[CUIT]],Lista_CUIT[#All],2,0)),"CUIT NO CARGADO")</f>
        <v>-</v>
      </c>
      <c r="H1409" s="64">
        <f>ventas_b_mes11[[#This Row],[TOTAL]]/1.21</f>
        <v>0</v>
      </c>
      <c r="I1409" s="183">
        <f>ventas_b_mes11[[#This Row],[IMPORTE NETO]]*0.21</f>
        <v>0</v>
      </c>
      <c r="J1409" s="184"/>
      <c r="K1409" s="184"/>
      <c r="L1409" s="184"/>
      <c r="M1409" s="59"/>
    </row>
    <row r="1410" spans="2:13" x14ac:dyDescent="0.3">
      <c r="B1410" s="178"/>
      <c r="C1410" s="179"/>
      <c r="D1410" s="180"/>
      <c r="E1410" s="181"/>
      <c r="F1410" s="182"/>
      <c r="G1410" s="1" t="str">
        <f>IFERROR(IF(ventas_b_mes11[[#This Row],[CUIT]]="","-",VLOOKUP(ventas_b_mes11[[#This Row],[CUIT]],Lista_CUIT[#All],2,0)),"CUIT NO CARGADO")</f>
        <v>-</v>
      </c>
      <c r="H1410" s="64">
        <f>ventas_b_mes11[[#This Row],[TOTAL]]/1.21</f>
        <v>0</v>
      </c>
      <c r="I1410" s="183">
        <f>ventas_b_mes11[[#This Row],[IMPORTE NETO]]*0.21</f>
        <v>0</v>
      </c>
      <c r="J1410" s="184"/>
      <c r="K1410" s="184"/>
      <c r="L1410" s="184"/>
      <c r="M1410" s="59"/>
    </row>
    <row r="1411" spans="2:13" x14ac:dyDescent="0.3">
      <c r="B1411" s="178"/>
      <c r="C1411" s="179"/>
      <c r="D1411" s="180"/>
      <c r="E1411" s="181"/>
      <c r="F1411" s="182"/>
      <c r="G1411" s="1" t="str">
        <f>IFERROR(IF(ventas_b_mes11[[#This Row],[CUIT]]="","-",VLOOKUP(ventas_b_mes11[[#This Row],[CUIT]],Lista_CUIT[#All],2,0)),"CUIT NO CARGADO")</f>
        <v>-</v>
      </c>
      <c r="H1411" s="64">
        <f>ventas_b_mes11[[#This Row],[TOTAL]]/1.21</f>
        <v>0</v>
      </c>
      <c r="I1411" s="183">
        <f>ventas_b_mes11[[#This Row],[IMPORTE NETO]]*0.21</f>
        <v>0</v>
      </c>
      <c r="J1411" s="184"/>
      <c r="K1411" s="184"/>
      <c r="L1411" s="184"/>
      <c r="M1411" s="59"/>
    </row>
    <row r="1412" spans="2:13" x14ac:dyDescent="0.3">
      <c r="B1412" s="178"/>
      <c r="C1412" s="179"/>
      <c r="D1412" s="180"/>
      <c r="E1412" s="181"/>
      <c r="F1412" s="182"/>
      <c r="G1412" s="1" t="str">
        <f>IFERROR(IF(ventas_b_mes11[[#This Row],[CUIT]]="","-",VLOOKUP(ventas_b_mes11[[#This Row],[CUIT]],Lista_CUIT[#All],2,0)),"CUIT NO CARGADO")</f>
        <v>-</v>
      </c>
      <c r="H1412" s="64">
        <f>ventas_b_mes11[[#This Row],[TOTAL]]/1.21</f>
        <v>0</v>
      </c>
      <c r="I1412" s="183">
        <f>ventas_b_mes11[[#This Row],[IMPORTE NETO]]*0.21</f>
        <v>0</v>
      </c>
      <c r="J1412" s="184"/>
      <c r="K1412" s="184"/>
      <c r="L1412" s="184"/>
      <c r="M1412" s="59"/>
    </row>
    <row r="1413" spans="2:13" x14ac:dyDescent="0.3">
      <c r="B1413" s="178"/>
      <c r="C1413" s="179"/>
      <c r="D1413" s="180"/>
      <c r="E1413" s="181"/>
      <c r="F1413" s="182"/>
      <c r="G1413" s="1" t="str">
        <f>IFERROR(IF(ventas_b_mes11[[#This Row],[CUIT]]="","-",VLOOKUP(ventas_b_mes11[[#This Row],[CUIT]],Lista_CUIT[#All],2,0)),"CUIT NO CARGADO")</f>
        <v>-</v>
      </c>
      <c r="H1413" s="64">
        <f>ventas_b_mes11[[#This Row],[TOTAL]]/1.21</f>
        <v>0</v>
      </c>
      <c r="I1413" s="183">
        <f>ventas_b_mes11[[#This Row],[IMPORTE NETO]]*0.21</f>
        <v>0</v>
      </c>
      <c r="J1413" s="184"/>
      <c r="K1413" s="184"/>
      <c r="L1413" s="184"/>
      <c r="M1413" s="59"/>
    </row>
    <row r="1414" spans="2:13" x14ac:dyDescent="0.3">
      <c r="B1414" s="178"/>
      <c r="C1414" s="179"/>
      <c r="D1414" s="180"/>
      <c r="E1414" s="181"/>
      <c r="F1414" s="182"/>
      <c r="G1414" s="1" t="str">
        <f>IFERROR(IF(ventas_b_mes11[[#This Row],[CUIT]]="","-",VLOOKUP(ventas_b_mes11[[#This Row],[CUIT]],Lista_CUIT[#All],2,0)),"CUIT NO CARGADO")</f>
        <v>-</v>
      </c>
      <c r="H1414" s="64">
        <f>ventas_b_mes11[[#This Row],[TOTAL]]/1.21</f>
        <v>0</v>
      </c>
      <c r="I1414" s="183">
        <f>ventas_b_mes11[[#This Row],[IMPORTE NETO]]*0.21</f>
        <v>0</v>
      </c>
      <c r="J1414" s="184"/>
      <c r="K1414" s="184"/>
      <c r="L1414" s="184"/>
      <c r="M1414" s="59"/>
    </row>
    <row r="1415" spans="2:13" x14ac:dyDescent="0.3">
      <c r="B1415" s="178"/>
      <c r="C1415" s="179"/>
      <c r="D1415" s="180"/>
      <c r="E1415" s="181"/>
      <c r="F1415" s="182"/>
      <c r="G1415" s="1" t="str">
        <f>IFERROR(IF(ventas_b_mes11[[#This Row],[CUIT]]="","-",VLOOKUP(ventas_b_mes11[[#This Row],[CUIT]],Lista_CUIT[#All],2,0)),"CUIT NO CARGADO")</f>
        <v>-</v>
      </c>
      <c r="H1415" s="64">
        <f>ventas_b_mes11[[#This Row],[TOTAL]]/1.21</f>
        <v>0</v>
      </c>
      <c r="I1415" s="183">
        <f>ventas_b_mes11[[#This Row],[IMPORTE NETO]]*0.21</f>
        <v>0</v>
      </c>
      <c r="J1415" s="184"/>
      <c r="K1415" s="184"/>
      <c r="L1415" s="184"/>
      <c r="M1415" s="59"/>
    </row>
    <row r="1416" spans="2:13" x14ac:dyDescent="0.3">
      <c r="B1416" s="178"/>
      <c r="C1416" s="179"/>
      <c r="D1416" s="180"/>
      <c r="E1416" s="181"/>
      <c r="F1416" s="182"/>
      <c r="G1416" s="1" t="str">
        <f>IFERROR(IF(ventas_b_mes11[[#This Row],[CUIT]]="","-",VLOOKUP(ventas_b_mes11[[#This Row],[CUIT]],Lista_CUIT[#All],2,0)),"CUIT NO CARGADO")</f>
        <v>-</v>
      </c>
      <c r="H1416" s="64">
        <f>ventas_b_mes11[[#This Row],[TOTAL]]/1.21</f>
        <v>0</v>
      </c>
      <c r="I1416" s="183">
        <f>ventas_b_mes11[[#This Row],[IMPORTE NETO]]*0.21</f>
        <v>0</v>
      </c>
      <c r="J1416" s="184"/>
      <c r="K1416" s="184"/>
      <c r="L1416" s="184"/>
      <c r="M1416" s="59"/>
    </row>
    <row r="1417" spans="2:13" x14ac:dyDescent="0.3">
      <c r="B1417" s="178"/>
      <c r="C1417" s="179"/>
      <c r="D1417" s="180"/>
      <c r="E1417" s="181"/>
      <c r="F1417" s="182"/>
      <c r="G1417" s="1" t="str">
        <f>IFERROR(IF(ventas_b_mes11[[#This Row],[CUIT]]="","-",VLOOKUP(ventas_b_mes11[[#This Row],[CUIT]],Lista_CUIT[#All],2,0)),"CUIT NO CARGADO")</f>
        <v>-</v>
      </c>
      <c r="H1417" s="64">
        <f>ventas_b_mes11[[#This Row],[TOTAL]]/1.21</f>
        <v>0</v>
      </c>
      <c r="I1417" s="183">
        <f>ventas_b_mes11[[#This Row],[IMPORTE NETO]]*0.21</f>
        <v>0</v>
      </c>
      <c r="J1417" s="184"/>
      <c r="K1417" s="184"/>
      <c r="L1417" s="184"/>
      <c r="M1417" s="59"/>
    </row>
    <row r="1418" spans="2:13" x14ac:dyDescent="0.3">
      <c r="B1418" s="178"/>
      <c r="C1418" s="179"/>
      <c r="D1418" s="180"/>
      <c r="E1418" s="181"/>
      <c r="F1418" s="182"/>
      <c r="G1418" s="1" t="str">
        <f>IFERROR(IF(ventas_b_mes11[[#This Row],[CUIT]]="","-",VLOOKUP(ventas_b_mes11[[#This Row],[CUIT]],Lista_CUIT[#All],2,0)),"CUIT NO CARGADO")</f>
        <v>-</v>
      </c>
      <c r="H1418" s="64">
        <f>ventas_b_mes11[[#This Row],[TOTAL]]/1.21</f>
        <v>0</v>
      </c>
      <c r="I1418" s="183">
        <f>ventas_b_mes11[[#This Row],[IMPORTE NETO]]*0.21</f>
        <v>0</v>
      </c>
      <c r="J1418" s="184"/>
      <c r="K1418" s="184"/>
      <c r="L1418" s="184"/>
      <c r="M1418" s="59"/>
    </row>
    <row r="1419" spans="2:13" x14ac:dyDescent="0.3">
      <c r="B1419" s="178"/>
      <c r="C1419" s="179"/>
      <c r="D1419" s="180"/>
      <c r="E1419" s="181"/>
      <c r="F1419" s="182"/>
      <c r="G1419" s="1" t="str">
        <f>IFERROR(IF(ventas_b_mes11[[#This Row],[CUIT]]="","-",VLOOKUP(ventas_b_mes11[[#This Row],[CUIT]],Lista_CUIT[#All],2,0)),"CUIT NO CARGADO")</f>
        <v>-</v>
      </c>
      <c r="H1419" s="64">
        <f>ventas_b_mes11[[#This Row],[TOTAL]]/1.21</f>
        <v>0</v>
      </c>
      <c r="I1419" s="183">
        <f>ventas_b_mes11[[#This Row],[IMPORTE NETO]]*0.21</f>
        <v>0</v>
      </c>
      <c r="J1419" s="184"/>
      <c r="K1419" s="184"/>
      <c r="L1419" s="184"/>
      <c r="M1419" s="59"/>
    </row>
    <row r="1420" spans="2:13" x14ac:dyDescent="0.3">
      <c r="B1420" s="178"/>
      <c r="C1420" s="179"/>
      <c r="D1420" s="180"/>
      <c r="E1420" s="181"/>
      <c r="F1420" s="182"/>
      <c r="G1420" s="1" t="str">
        <f>IFERROR(IF(ventas_b_mes11[[#This Row],[CUIT]]="","-",VLOOKUP(ventas_b_mes11[[#This Row],[CUIT]],Lista_CUIT[#All],2,0)),"CUIT NO CARGADO")</f>
        <v>-</v>
      </c>
      <c r="H1420" s="64">
        <f>ventas_b_mes11[[#This Row],[TOTAL]]/1.21</f>
        <v>0</v>
      </c>
      <c r="I1420" s="183">
        <f>ventas_b_mes11[[#This Row],[IMPORTE NETO]]*0.21</f>
        <v>0</v>
      </c>
      <c r="J1420" s="184"/>
      <c r="K1420" s="184"/>
      <c r="L1420" s="184"/>
      <c r="M1420" s="59"/>
    </row>
    <row r="1421" spans="2:13" x14ac:dyDescent="0.3">
      <c r="B1421" s="178"/>
      <c r="C1421" s="179"/>
      <c r="D1421" s="180"/>
      <c r="E1421" s="181"/>
      <c r="F1421" s="182"/>
      <c r="G1421" s="1" t="str">
        <f>IFERROR(IF(ventas_b_mes11[[#This Row],[CUIT]]="","-",VLOOKUP(ventas_b_mes11[[#This Row],[CUIT]],Lista_CUIT[#All],2,0)),"CUIT NO CARGADO")</f>
        <v>-</v>
      </c>
      <c r="H1421" s="64">
        <f>ventas_b_mes11[[#This Row],[TOTAL]]/1.21</f>
        <v>0</v>
      </c>
      <c r="I1421" s="183">
        <f>ventas_b_mes11[[#This Row],[IMPORTE NETO]]*0.21</f>
        <v>0</v>
      </c>
      <c r="J1421" s="184"/>
      <c r="K1421" s="184"/>
      <c r="L1421" s="184"/>
      <c r="M1421" s="59"/>
    </row>
    <row r="1422" spans="2:13" x14ac:dyDescent="0.3">
      <c r="B1422" s="178"/>
      <c r="C1422" s="179"/>
      <c r="D1422" s="180"/>
      <c r="E1422" s="181"/>
      <c r="F1422" s="182"/>
      <c r="G1422" s="1" t="str">
        <f>IFERROR(IF(ventas_b_mes11[[#This Row],[CUIT]]="","-",VLOOKUP(ventas_b_mes11[[#This Row],[CUIT]],Lista_CUIT[#All],2,0)),"CUIT NO CARGADO")</f>
        <v>-</v>
      </c>
      <c r="H1422" s="64">
        <f>ventas_b_mes11[[#This Row],[TOTAL]]/1.21</f>
        <v>0</v>
      </c>
      <c r="I1422" s="183">
        <f>ventas_b_mes11[[#This Row],[IMPORTE NETO]]*0.21</f>
        <v>0</v>
      </c>
      <c r="J1422" s="184"/>
      <c r="K1422" s="184"/>
      <c r="L1422" s="184"/>
      <c r="M1422" s="59"/>
    </row>
    <row r="1423" spans="2:13" x14ac:dyDescent="0.3">
      <c r="B1423" s="178"/>
      <c r="C1423" s="179"/>
      <c r="D1423" s="180"/>
      <c r="E1423" s="181"/>
      <c r="F1423" s="182"/>
      <c r="G1423" s="1" t="str">
        <f>IFERROR(IF(ventas_b_mes11[[#This Row],[CUIT]]="","-",VLOOKUP(ventas_b_mes11[[#This Row],[CUIT]],Lista_CUIT[#All],2,0)),"CUIT NO CARGADO")</f>
        <v>-</v>
      </c>
      <c r="H1423" s="64">
        <f>ventas_b_mes11[[#This Row],[TOTAL]]/1.21</f>
        <v>0</v>
      </c>
      <c r="I1423" s="183">
        <f>ventas_b_mes11[[#This Row],[IMPORTE NETO]]*0.21</f>
        <v>0</v>
      </c>
      <c r="J1423" s="184"/>
      <c r="K1423" s="184"/>
      <c r="L1423" s="184"/>
      <c r="M1423" s="59"/>
    </row>
    <row r="1424" spans="2:13" x14ac:dyDescent="0.3">
      <c r="B1424" s="178"/>
      <c r="C1424" s="179"/>
      <c r="D1424" s="180"/>
      <c r="E1424" s="181"/>
      <c r="F1424" s="182"/>
      <c r="G1424" s="1" t="str">
        <f>IFERROR(IF(ventas_b_mes11[[#This Row],[CUIT]]="","-",VLOOKUP(ventas_b_mes11[[#This Row],[CUIT]],Lista_CUIT[#All],2,0)),"CUIT NO CARGADO")</f>
        <v>-</v>
      </c>
      <c r="H1424" s="64">
        <f>ventas_b_mes11[[#This Row],[TOTAL]]/1.21</f>
        <v>0</v>
      </c>
      <c r="I1424" s="183">
        <f>ventas_b_mes11[[#This Row],[IMPORTE NETO]]*0.21</f>
        <v>0</v>
      </c>
      <c r="J1424" s="184"/>
      <c r="K1424" s="184"/>
      <c r="L1424" s="184"/>
      <c r="M1424" s="59"/>
    </row>
    <row r="1425" spans="2:13" x14ac:dyDescent="0.3">
      <c r="B1425" s="178"/>
      <c r="C1425" s="179"/>
      <c r="D1425" s="180"/>
      <c r="E1425" s="181"/>
      <c r="F1425" s="182"/>
      <c r="G1425" s="1" t="str">
        <f>IFERROR(IF(ventas_b_mes11[[#This Row],[CUIT]]="","-",VLOOKUP(ventas_b_mes11[[#This Row],[CUIT]],Lista_CUIT[#All],2,0)),"CUIT NO CARGADO")</f>
        <v>-</v>
      </c>
      <c r="H1425" s="64">
        <f>ventas_b_mes11[[#This Row],[TOTAL]]/1.21</f>
        <v>0</v>
      </c>
      <c r="I1425" s="183">
        <f>ventas_b_mes11[[#This Row],[IMPORTE NETO]]*0.21</f>
        <v>0</v>
      </c>
      <c r="J1425" s="184"/>
      <c r="K1425" s="184"/>
      <c r="L1425" s="184"/>
      <c r="M1425" s="59"/>
    </row>
    <row r="1426" spans="2:13" x14ac:dyDescent="0.3">
      <c r="B1426" s="178"/>
      <c r="C1426" s="179"/>
      <c r="D1426" s="180"/>
      <c r="E1426" s="181"/>
      <c r="F1426" s="182"/>
      <c r="G1426" s="1" t="str">
        <f>IFERROR(IF(ventas_b_mes11[[#This Row],[CUIT]]="","-",VLOOKUP(ventas_b_mes11[[#This Row],[CUIT]],Lista_CUIT[#All],2,0)),"CUIT NO CARGADO")</f>
        <v>-</v>
      </c>
      <c r="H1426" s="64">
        <f>ventas_b_mes11[[#This Row],[TOTAL]]/1.21</f>
        <v>0</v>
      </c>
      <c r="I1426" s="183">
        <f>ventas_b_mes11[[#This Row],[IMPORTE NETO]]*0.21</f>
        <v>0</v>
      </c>
      <c r="J1426" s="184"/>
      <c r="K1426" s="184"/>
      <c r="L1426" s="184"/>
      <c r="M1426" s="59"/>
    </row>
    <row r="1427" spans="2:13" x14ac:dyDescent="0.3">
      <c r="B1427" s="178"/>
      <c r="C1427" s="179"/>
      <c r="D1427" s="180"/>
      <c r="E1427" s="181"/>
      <c r="F1427" s="182"/>
      <c r="G1427" s="1" t="str">
        <f>IFERROR(IF(ventas_b_mes11[[#This Row],[CUIT]]="","-",VLOOKUP(ventas_b_mes11[[#This Row],[CUIT]],Lista_CUIT[#All],2,0)),"CUIT NO CARGADO")</f>
        <v>-</v>
      </c>
      <c r="H1427" s="64">
        <f>ventas_b_mes11[[#This Row],[TOTAL]]/1.21</f>
        <v>0</v>
      </c>
      <c r="I1427" s="183">
        <f>ventas_b_mes11[[#This Row],[IMPORTE NETO]]*0.21</f>
        <v>0</v>
      </c>
      <c r="J1427" s="184"/>
      <c r="K1427" s="184"/>
      <c r="L1427" s="184"/>
      <c r="M1427" s="59"/>
    </row>
    <row r="1428" spans="2:13" x14ac:dyDescent="0.3">
      <c r="B1428" s="178"/>
      <c r="C1428" s="179"/>
      <c r="D1428" s="180"/>
      <c r="E1428" s="181"/>
      <c r="F1428" s="182"/>
      <c r="G1428" s="1" t="str">
        <f>IFERROR(IF(ventas_b_mes11[[#This Row],[CUIT]]="","-",VLOOKUP(ventas_b_mes11[[#This Row],[CUIT]],Lista_CUIT[#All],2,0)),"CUIT NO CARGADO")</f>
        <v>-</v>
      </c>
      <c r="H1428" s="64">
        <f>ventas_b_mes11[[#This Row],[TOTAL]]/1.21</f>
        <v>0</v>
      </c>
      <c r="I1428" s="183">
        <f>ventas_b_mes11[[#This Row],[IMPORTE NETO]]*0.21</f>
        <v>0</v>
      </c>
      <c r="J1428" s="184"/>
      <c r="K1428" s="184"/>
      <c r="L1428" s="184"/>
      <c r="M1428" s="59"/>
    </row>
    <row r="1429" spans="2:13" x14ac:dyDescent="0.3">
      <c r="B1429" s="178"/>
      <c r="C1429" s="179"/>
      <c r="D1429" s="180"/>
      <c r="E1429" s="181"/>
      <c r="F1429" s="182"/>
      <c r="G1429" s="1" t="str">
        <f>IFERROR(IF(ventas_b_mes11[[#This Row],[CUIT]]="","-",VLOOKUP(ventas_b_mes11[[#This Row],[CUIT]],Lista_CUIT[#All],2,0)),"CUIT NO CARGADO")</f>
        <v>-</v>
      </c>
      <c r="H1429" s="64">
        <f>ventas_b_mes11[[#This Row],[TOTAL]]/1.21</f>
        <v>0</v>
      </c>
      <c r="I1429" s="183">
        <f>ventas_b_mes11[[#This Row],[IMPORTE NETO]]*0.21</f>
        <v>0</v>
      </c>
      <c r="J1429" s="184"/>
      <c r="K1429" s="184"/>
      <c r="L1429" s="184"/>
      <c r="M1429" s="59"/>
    </row>
    <row r="1430" spans="2:13" x14ac:dyDescent="0.3">
      <c r="B1430" s="178"/>
      <c r="C1430" s="179"/>
      <c r="D1430" s="180"/>
      <c r="E1430" s="181"/>
      <c r="F1430" s="182"/>
      <c r="G1430" s="1" t="str">
        <f>IFERROR(IF(ventas_b_mes11[[#This Row],[CUIT]]="","-",VLOOKUP(ventas_b_mes11[[#This Row],[CUIT]],Lista_CUIT[#All],2,0)),"CUIT NO CARGADO")</f>
        <v>-</v>
      </c>
      <c r="H1430" s="64">
        <f>ventas_b_mes11[[#This Row],[TOTAL]]/1.21</f>
        <v>0</v>
      </c>
      <c r="I1430" s="183">
        <f>ventas_b_mes11[[#This Row],[IMPORTE NETO]]*0.21</f>
        <v>0</v>
      </c>
      <c r="J1430" s="184"/>
      <c r="K1430" s="184"/>
      <c r="L1430" s="184"/>
      <c r="M1430" s="59"/>
    </row>
    <row r="1431" spans="2:13" x14ac:dyDescent="0.3">
      <c r="B1431" s="178"/>
      <c r="C1431" s="179"/>
      <c r="D1431" s="180"/>
      <c r="E1431" s="181"/>
      <c r="F1431" s="182"/>
      <c r="G1431" s="1" t="str">
        <f>IFERROR(IF(ventas_b_mes11[[#This Row],[CUIT]]="","-",VLOOKUP(ventas_b_mes11[[#This Row],[CUIT]],Lista_CUIT[#All],2,0)),"CUIT NO CARGADO")</f>
        <v>-</v>
      </c>
      <c r="H1431" s="64">
        <f>ventas_b_mes11[[#This Row],[TOTAL]]/1.21</f>
        <v>0</v>
      </c>
      <c r="I1431" s="183">
        <f>ventas_b_mes11[[#This Row],[IMPORTE NETO]]*0.21</f>
        <v>0</v>
      </c>
      <c r="J1431" s="184"/>
      <c r="K1431" s="184"/>
      <c r="L1431" s="184"/>
      <c r="M1431" s="59"/>
    </row>
    <row r="1432" spans="2:13" x14ac:dyDescent="0.3">
      <c r="B1432" s="178"/>
      <c r="C1432" s="179"/>
      <c r="D1432" s="180"/>
      <c r="E1432" s="181"/>
      <c r="F1432" s="182"/>
      <c r="G1432" s="1" t="str">
        <f>IFERROR(IF(ventas_b_mes11[[#This Row],[CUIT]]="","-",VLOOKUP(ventas_b_mes11[[#This Row],[CUIT]],Lista_CUIT[#All],2,0)),"CUIT NO CARGADO")</f>
        <v>-</v>
      </c>
      <c r="H1432" s="64">
        <f>ventas_b_mes11[[#This Row],[TOTAL]]/1.21</f>
        <v>0</v>
      </c>
      <c r="I1432" s="183">
        <f>ventas_b_mes11[[#This Row],[IMPORTE NETO]]*0.21</f>
        <v>0</v>
      </c>
      <c r="J1432" s="184"/>
      <c r="K1432" s="184"/>
      <c r="L1432" s="184"/>
      <c r="M1432" s="59"/>
    </row>
    <row r="1433" spans="2:13" x14ac:dyDescent="0.3">
      <c r="B1433" s="178"/>
      <c r="C1433" s="179"/>
      <c r="D1433" s="180"/>
      <c r="E1433" s="181"/>
      <c r="F1433" s="182"/>
      <c r="G1433" s="1" t="str">
        <f>IFERROR(IF(ventas_b_mes11[[#This Row],[CUIT]]="","-",VLOOKUP(ventas_b_mes11[[#This Row],[CUIT]],Lista_CUIT[#All],2,0)),"CUIT NO CARGADO")</f>
        <v>-</v>
      </c>
      <c r="H1433" s="64">
        <f>ventas_b_mes11[[#This Row],[TOTAL]]/1.21</f>
        <v>0</v>
      </c>
      <c r="I1433" s="183">
        <f>ventas_b_mes11[[#This Row],[IMPORTE NETO]]*0.21</f>
        <v>0</v>
      </c>
      <c r="J1433" s="184"/>
      <c r="K1433" s="184"/>
      <c r="L1433" s="184"/>
      <c r="M1433" s="59"/>
    </row>
    <row r="1434" spans="2:13" x14ac:dyDescent="0.3">
      <c r="B1434" s="178"/>
      <c r="C1434" s="179"/>
      <c r="D1434" s="180"/>
      <c r="E1434" s="181"/>
      <c r="F1434" s="182"/>
      <c r="G1434" s="1" t="str">
        <f>IFERROR(IF(ventas_b_mes11[[#This Row],[CUIT]]="","-",VLOOKUP(ventas_b_mes11[[#This Row],[CUIT]],Lista_CUIT[#All],2,0)),"CUIT NO CARGADO")</f>
        <v>-</v>
      </c>
      <c r="H1434" s="64">
        <f>ventas_b_mes11[[#This Row],[TOTAL]]/1.21</f>
        <v>0</v>
      </c>
      <c r="I1434" s="183">
        <f>ventas_b_mes11[[#This Row],[IMPORTE NETO]]*0.21</f>
        <v>0</v>
      </c>
      <c r="J1434" s="184"/>
      <c r="K1434" s="184"/>
      <c r="L1434" s="184"/>
      <c r="M1434" s="59"/>
    </row>
    <row r="1435" spans="2:13" x14ac:dyDescent="0.3">
      <c r="B1435" s="178"/>
      <c r="C1435" s="179"/>
      <c r="D1435" s="180"/>
      <c r="E1435" s="181"/>
      <c r="F1435" s="182"/>
      <c r="G1435" s="1" t="str">
        <f>IFERROR(IF(ventas_b_mes11[[#This Row],[CUIT]]="","-",VLOOKUP(ventas_b_mes11[[#This Row],[CUIT]],Lista_CUIT[#All],2,0)),"CUIT NO CARGADO")</f>
        <v>-</v>
      </c>
      <c r="H1435" s="64">
        <f>ventas_b_mes11[[#This Row],[TOTAL]]/1.21</f>
        <v>0</v>
      </c>
      <c r="I1435" s="183">
        <f>ventas_b_mes11[[#This Row],[IMPORTE NETO]]*0.21</f>
        <v>0</v>
      </c>
      <c r="J1435" s="184"/>
      <c r="K1435" s="184"/>
      <c r="L1435" s="184"/>
      <c r="M1435" s="59"/>
    </row>
    <row r="1436" spans="2:13" x14ac:dyDescent="0.3">
      <c r="B1436" s="178"/>
      <c r="C1436" s="179"/>
      <c r="D1436" s="180"/>
      <c r="E1436" s="181"/>
      <c r="F1436" s="182"/>
      <c r="G1436" s="1" t="str">
        <f>IFERROR(IF(ventas_b_mes11[[#This Row],[CUIT]]="","-",VLOOKUP(ventas_b_mes11[[#This Row],[CUIT]],Lista_CUIT[#All],2,0)),"CUIT NO CARGADO")</f>
        <v>-</v>
      </c>
      <c r="H1436" s="64">
        <f>ventas_b_mes11[[#This Row],[TOTAL]]/1.21</f>
        <v>0</v>
      </c>
      <c r="I1436" s="183">
        <f>ventas_b_mes11[[#This Row],[IMPORTE NETO]]*0.21</f>
        <v>0</v>
      </c>
      <c r="J1436" s="184"/>
      <c r="K1436" s="184"/>
      <c r="L1436" s="184"/>
      <c r="M1436" s="59"/>
    </row>
    <row r="1437" spans="2:13" x14ac:dyDescent="0.3">
      <c r="B1437" s="178"/>
      <c r="C1437" s="179"/>
      <c r="D1437" s="180"/>
      <c r="E1437" s="181"/>
      <c r="F1437" s="182"/>
      <c r="G1437" s="1" t="str">
        <f>IFERROR(IF(ventas_b_mes11[[#This Row],[CUIT]]="","-",VLOOKUP(ventas_b_mes11[[#This Row],[CUIT]],Lista_CUIT[#All],2,0)),"CUIT NO CARGADO")</f>
        <v>-</v>
      </c>
      <c r="H1437" s="64">
        <f>ventas_b_mes11[[#This Row],[TOTAL]]/1.21</f>
        <v>0</v>
      </c>
      <c r="I1437" s="183">
        <f>ventas_b_mes11[[#This Row],[IMPORTE NETO]]*0.21</f>
        <v>0</v>
      </c>
      <c r="J1437" s="184"/>
      <c r="K1437" s="184"/>
      <c r="L1437" s="184"/>
      <c r="M1437" s="59"/>
    </row>
    <row r="1438" spans="2:13" x14ac:dyDescent="0.3">
      <c r="B1438" s="178"/>
      <c r="C1438" s="179"/>
      <c r="D1438" s="180"/>
      <c r="E1438" s="181"/>
      <c r="F1438" s="182"/>
      <c r="G1438" s="1" t="str">
        <f>IFERROR(IF(ventas_b_mes11[[#This Row],[CUIT]]="","-",VLOOKUP(ventas_b_mes11[[#This Row],[CUIT]],Lista_CUIT[#All],2,0)),"CUIT NO CARGADO")</f>
        <v>-</v>
      </c>
      <c r="H1438" s="64">
        <f>ventas_b_mes11[[#This Row],[TOTAL]]/1.21</f>
        <v>0</v>
      </c>
      <c r="I1438" s="183">
        <f>ventas_b_mes11[[#This Row],[IMPORTE NETO]]*0.21</f>
        <v>0</v>
      </c>
      <c r="J1438" s="184"/>
      <c r="K1438" s="184"/>
      <c r="L1438" s="184"/>
      <c r="M1438" s="59"/>
    </row>
    <row r="1439" spans="2:13" x14ac:dyDescent="0.3">
      <c r="B1439" s="178"/>
      <c r="C1439" s="179"/>
      <c r="D1439" s="180"/>
      <c r="E1439" s="181"/>
      <c r="F1439" s="182"/>
      <c r="G1439" s="1" t="str">
        <f>IFERROR(IF(ventas_b_mes11[[#This Row],[CUIT]]="","-",VLOOKUP(ventas_b_mes11[[#This Row],[CUIT]],Lista_CUIT[#All],2,0)),"CUIT NO CARGADO")</f>
        <v>-</v>
      </c>
      <c r="H1439" s="64">
        <f>ventas_b_mes11[[#This Row],[TOTAL]]/1.21</f>
        <v>0</v>
      </c>
      <c r="I1439" s="183">
        <f>ventas_b_mes11[[#This Row],[IMPORTE NETO]]*0.21</f>
        <v>0</v>
      </c>
      <c r="J1439" s="184"/>
      <c r="K1439" s="184"/>
      <c r="L1439" s="184"/>
      <c r="M1439" s="59"/>
    </row>
    <row r="1440" spans="2:13" x14ac:dyDescent="0.3">
      <c r="B1440" s="178"/>
      <c r="C1440" s="179"/>
      <c r="D1440" s="180"/>
      <c r="E1440" s="181"/>
      <c r="F1440" s="182"/>
      <c r="G1440" s="1" t="str">
        <f>IFERROR(IF(ventas_b_mes11[[#This Row],[CUIT]]="","-",VLOOKUP(ventas_b_mes11[[#This Row],[CUIT]],Lista_CUIT[#All],2,0)),"CUIT NO CARGADO")</f>
        <v>-</v>
      </c>
      <c r="H1440" s="64">
        <f>ventas_b_mes11[[#This Row],[TOTAL]]/1.21</f>
        <v>0</v>
      </c>
      <c r="I1440" s="183">
        <f>ventas_b_mes11[[#This Row],[IMPORTE NETO]]*0.21</f>
        <v>0</v>
      </c>
      <c r="J1440" s="184"/>
      <c r="K1440" s="184"/>
      <c r="L1440" s="184"/>
      <c r="M1440" s="59"/>
    </row>
    <row r="1441" spans="2:13" x14ac:dyDescent="0.3">
      <c r="B1441" s="178"/>
      <c r="C1441" s="179"/>
      <c r="D1441" s="180"/>
      <c r="E1441" s="181"/>
      <c r="F1441" s="182"/>
      <c r="G1441" s="1" t="str">
        <f>IFERROR(IF(ventas_b_mes11[[#This Row],[CUIT]]="","-",VLOOKUP(ventas_b_mes11[[#This Row],[CUIT]],Lista_CUIT[#All],2,0)),"CUIT NO CARGADO")</f>
        <v>-</v>
      </c>
      <c r="H1441" s="64">
        <f>ventas_b_mes11[[#This Row],[TOTAL]]/1.21</f>
        <v>0</v>
      </c>
      <c r="I1441" s="183">
        <f>ventas_b_mes11[[#This Row],[IMPORTE NETO]]*0.21</f>
        <v>0</v>
      </c>
      <c r="J1441" s="184"/>
      <c r="K1441" s="184"/>
      <c r="L1441" s="184"/>
      <c r="M1441" s="59"/>
    </row>
    <row r="1442" spans="2:13" x14ac:dyDescent="0.3">
      <c r="B1442" s="178"/>
      <c r="C1442" s="179"/>
      <c r="D1442" s="180"/>
      <c r="E1442" s="181"/>
      <c r="F1442" s="182"/>
      <c r="G1442" s="1" t="str">
        <f>IFERROR(IF(ventas_b_mes11[[#This Row],[CUIT]]="","-",VLOOKUP(ventas_b_mes11[[#This Row],[CUIT]],Lista_CUIT[#All],2,0)),"CUIT NO CARGADO")</f>
        <v>-</v>
      </c>
      <c r="H1442" s="64">
        <f>ventas_b_mes11[[#This Row],[TOTAL]]/1.21</f>
        <v>0</v>
      </c>
      <c r="I1442" s="183">
        <f>ventas_b_mes11[[#This Row],[IMPORTE NETO]]*0.21</f>
        <v>0</v>
      </c>
      <c r="J1442" s="184"/>
      <c r="K1442" s="184"/>
      <c r="L1442" s="184"/>
      <c r="M1442" s="59"/>
    </row>
    <row r="1443" spans="2:13" x14ac:dyDescent="0.3">
      <c r="B1443" s="178"/>
      <c r="C1443" s="179"/>
      <c r="D1443" s="180"/>
      <c r="E1443" s="181"/>
      <c r="F1443" s="182"/>
      <c r="G1443" s="1" t="str">
        <f>IFERROR(IF(ventas_b_mes11[[#This Row],[CUIT]]="","-",VLOOKUP(ventas_b_mes11[[#This Row],[CUIT]],Lista_CUIT[#All],2,0)),"CUIT NO CARGADO")</f>
        <v>-</v>
      </c>
      <c r="H1443" s="64">
        <f>ventas_b_mes11[[#This Row],[TOTAL]]/1.21</f>
        <v>0</v>
      </c>
      <c r="I1443" s="183">
        <f>ventas_b_mes11[[#This Row],[IMPORTE NETO]]*0.21</f>
        <v>0</v>
      </c>
      <c r="J1443" s="184"/>
      <c r="K1443" s="184"/>
      <c r="L1443" s="184"/>
      <c r="M1443" s="59"/>
    </row>
    <row r="1444" spans="2:13" x14ac:dyDescent="0.3">
      <c r="B1444" s="178"/>
      <c r="C1444" s="179"/>
      <c r="D1444" s="180"/>
      <c r="E1444" s="181"/>
      <c r="F1444" s="182"/>
      <c r="G1444" s="1" t="str">
        <f>IFERROR(IF(ventas_b_mes11[[#This Row],[CUIT]]="","-",VLOOKUP(ventas_b_mes11[[#This Row],[CUIT]],Lista_CUIT[#All],2,0)),"CUIT NO CARGADO")</f>
        <v>-</v>
      </c>
      <c r="H1444" s="64">
        <f>ventas_b_mes11[[#This Row],[TOTAL]]/1.21</f>
        <v>0</v>
      </c>
      <c r="I1444" s="183">
        <f>ventas_b_mes11[[#This Row],[IMPORTE NETO]]*0.21</f>
        <v>0</v>
      </c>
      <c r="J1444" s="184"/>
      <c r="K1444" s="184"/>
      <c r="L1444" s="184"/>
      <c r="M1444" s="59"/>
    </row>
    <row r="1445" spans="2:13" x14ac:dyDescent="0.3">
      <c r="B1445" s="178"/>
      <c r="C1445" s="179"/>
      <c r="D1445" s="180"/>
      <c r="E1445" s="181"/>
      <c r="F1445" s="182"/>
      <c r="G1445" s="1" t="str">
        <f>IFERROR(IF(ventas_b_mes11[[#This Row],[CUIT]]="","-",VLOOKUP(ventas_b_mes11[[#This Row],[CUIT]],Lista_CUIT[#All],2,0)),"CUIT NO CARGADO")</f>
        <v>-</v>
      </c>
      <c r="H1445" s="64">
        <f>ventas_b_mes11[[#This Row],[TOTAL]]/1.21</f>
        <v>0</v>
      </c>
      <c r="I1445" s="183">
        <f>ventas_b_mes11[[#This Row],[IMPORTE NETO]]*0.21</f>
        <v>0</v>
      </c>
      <c r="J1445" s="184"/>
      <c r="K1445" s="184"/>
      <c r="L1445" s="184"/>
      <c r="M1445" s="59"/>
    </row>
    <row r="1446" spans="2:13" x14ac:dyDescent="0.3">
      <c r="B1446" s="178"/>
      <c r="C1446" s="179"/>
      <c r="D1446" s="180"/>
      <c r="E1446" s="181"/>
      <c r="F1446" s="182"/>
      <c r="G1446" s="1" t="str">
        <f>IFERROR(IF(ventas_b_mes11[[#This Row],[CUIT]]="","-",VLOOKUP(ventas_b_mes11[[#This Row],[CUIT]],Lista_CUIT[#All],2,0)),"CUIT NO CARGADO")</f>
        <v>-</v>
      </c>
      <c r="H1446" s="64">
        <f>ventas_b_mes11[[#This Row],[TOTAL]]/1.21</f>
        <v>0</v>
      </c>
      <c r="I1446" s="183">
        <f>ventas_b_mes11[[#This Row],[IMPORTE NETO]]*0.21</f>
        <v>0</v>
      </c>
      <c r="J1446" s="184"/>
      <c r="K1446" s="184"/>
      <c r="L1446" s="184"/>
      <c r="M1446" s="59"/>
    </row>
    <row r="1447" spans="2:13" x14ac:dyDescent="0.3">
      <c r="B1447" s="178"/>
      <c r="C1447" s="179"/>
      <c r="D1447" s="180"/>
      <c r="E1447" s="181"/>
      <c r="F1447" s="182"/>
      <c r="G1447" s="1" t="str">
        <f>IFERROR(IF(ventas_b_mes11[[#This Row],[CUIT]]="","-",VLOOKUP(ventas_b_mes11[[#This Row],[CUIT]],Lista_CUIT[#All],2,0)),"CUIT NO CARGADO")</f>
        <v>-</v>
      </c>
      <c r="H1447" s="64">
        <f>ventas_b_mes11[[#This Row],[TOTAL]]/1.21</f>
        <v>0</v>
      </c>
      <c r="I1447" s="183">
        <f>ventas_b_mes11[[#This Row],[IMPORTE NETO]]*0.21</f>
        <v>0</v>
      </c>
      <c r="J1447" s="184"/>
      <c r="K1447" s="184"/>
      <c r="L1447" s="184"/>
      <c r="M1447" s="59"/>
    </row>
    <row r="1448" spans="2:13" x14ac:dyDescent="0.3">
      <c r="B1448" s="178"/>
      <c r="C1448" s="179"/>
      <c r="D1448" s="180"/>
      <c r="E1448" s="181"/>
      <c r="F1448" s="182"/>
      <c r="G1448" s="1" t="str">
        <f>IFERROR(IF(ventas_b_mes11[[#This Row],[CUIT]]="","-",VLOOKUP(ventas_b_mes11[[#This Row],[CUIT]],Lista_CUIT[#All],2,0)),"CUIT NO CARGADO")</f>
        <v>-</v>
      </c>
      <c r="H1448" s="64">
        <f>ventas_b_mes11[[#This Row],[TOTAL]]/1.21</f>
        <v>0</v>
      </c>
      <c r="I1448" s="183">
        <f>ventas_b_mes11[[#This Row],[IMPORTE NETO]]*0.21</f>
        <v>0</v>
      </c>
      <c r="J1448" s="184"/>
      <c r="K1448" s="184"/>
      <c r="L1448" s="184"/>
      <c r="M1448" s="59"/>
    </row>
    <row r="1449" spans="2:13" x14ac:dyDescent="0.3">
      <c r="B1449" s="178"/>
      <c r="C1449" s="179"/>
      <c r="D1449" s="180"/>
      <c r="E1449" s="181"/>
      <c r="F1449" s="182"/>
      <c r="G1449" s="1" t="str">
        <f>IFERROR(IF(ventas_b_mes11[[#This Row],[CUIT]]="","-",VLOOKUP(ventas_b_mes11[[#This Row],[CUIT]],Lista_CUIT[#All],2,0)),"CUIT NO CARGADO")</f>
        <v>-</v>
      </c>
      <c r="H1449" s="64">
        <f>ventas_b_mes11[[#This Row],[TOTAL]]/1.21</f>
        <v>0</v>
      </c>
      <c r="I1449" s="183">
        <f>ventas_b_mes11[[#This Row],[IMPORTE NETO]]*0.21</f>
        <v>0</v>
      </c>
      <c r="J1449" s="184"/>
      <c r="K1449" s="184"/>
      <c r="L1449" s="184"/>
      <c r="M1449" s="59"/>
    </row>
    <row r="1450" spans="2:13" x14ac:dyDescent="0.3">
      <c r="B1450" s="178"/>
      <c r="C1450" s="203"/>
      <c r="D1450" s="180"/>
      <c r="E1450" s="181"/>
      <c r="F1450" s="182"/>
      <c r="G1450" s="1" t="str">
        <f>IFERROR(IF(ventas_b_mes11[[#This Row],[CUIT]]="","-",VLOOKUP(ventas_b_mes11[[#This Row],[CUIT]],Lista_CUIT[#All],2,0)),"CUIT NO CARGADO")</f>
        <v>-</v>
      </c>
      <c r="H1450" s="64">
        <f>ventas_b_mes11[[#This Row],[TOTAL]]/1.21</f>
        <v>0</v>
      </c>
      <c r="I1450" s="183">
        <f>ventas_b_mes11[[#This Row],[IMPORTE NETO]]*0.21</f>
        <v>0</v>
      </c>
      <c r="J1450" s="184"/>
      <c r="K1450" s="184"/>
      <c r="L1450" s="184"/>
      <c r="M1450" s="59"/>
    </row>
    <row r="1451" spans="2:13" x14ac:dyDescent="0.3">
      <c r="B1451" s="217"/>
      <c r="C1451" s="203"/>
      <c r="D1451" s="220"/>
      <c r="E1451" s="204"/>
      <c r="F1451" s="182"/>
      <c r="G1451" s="1" t="str">
        <f>IFERROR(IF(ventas_b_mes11[[#This Row],[CUIT]]="","-",VLOOKUP(ventas_b_mes11[[#This Row],[CUIT]],Lista_CUIT[#All],2,0)),"CUIT NO CARGADO")</f>
        <v>-</v>
      </c>
      <c r="H1451" s="64">
        <f>ventas_b_mes11[[#This Row],[TOTAL]]/1.21</f>
        <v>0</v>
      </c>
      <c r="I1451" s="64">
        <f>ventas_b_mes11[[#This Row],[IMPORTE NETO]]*0.21</f>
        <v>0</v>
      </c>
      <c r="J1451" s="64"/>
      <c r="K1451" s="64"/>
      <c r="L1451" s="64"/>
      <c r="M1451" s="59"/>
    </row>
    <row r="1452" spans="2:13" x14ac:dyDescent="0.3">
      <c r="B1452" s="217"/>
      <c r="C1452" s="203"/>
      <c r="D1452" s="220"/>
      <c r="E1452" s="204"/>
      <c r="F1452" s="182"/>
      <c r="G1452" s="1" t="str">
        <f>IFERROR(IF(ventas_b_mes11[[#This Row],[CUIT]]="","-",VLOOKUP(ventas_b_mes11[[#This Row],[CUIT]],Lista_CUIT[#All],2,0)),"CUIT NO CARGADO")</f>
        <v>-</v>
      </c>
      <c r="H1452" s="64">
        <f>ventas_b_mes11[[#This Row],[TOTAL]]/1.21</f>
        <v>0</v>
      </c>
      <c r="I1452" s="64">
        <f>ventas_b_mes11[[#This Row],[IMPORTE NETO]]*0.21</f>
        <v>0</v>
      </c>
      <c r="J1452" s="64"/>
      <c r="K1452" s="64"/>
      <c r="L1452" s="64"/>
      <c r="M1452" s="59"/>
    </row>
    <row r="1453" spans="2:13" x14ac:dyDescent="0.3">
      <c r="B1453" s="178"/>
      <c r="C1453" s="203"/>
      <c r="D1453" s="180"/>
      <c r="E1453" s="181"/>
      <c r="F1453" s="182"/>
      <c r="G1453" s="1" t="str">
        <f>IFERROR(IF(ventas_b_mes11[[#This Row],[CUIT]]="","-",VLOOKUP(ventas_b_mes11[[#This Row],[CUIT]],Lista_CUIT[#All],2,0)),"CUIT NO CARGADO")</f>
        <v>-</v>
      </c>
      <c r="H1453" s="64">
        <f>ventas_b_mes11[[#This Row],[TOTAL]]/1.21</f>
        <v>0</v>
      </c>
      <c r="I1453" s="183">
        <f>ventas_b_mes11[[#This Row],[IMPORTE NETO]]*0.21</f>
        <v>0</v>
      </c>
      <c r="J1453" s="184"/>
      <c r="K1453" s="184"/>
      <c r="L1453" s="184"/>
      <c r="M1453" s="59"/>
    </row>
    <row r="1454" spans="2:13" x14ac:dyDescent="0.3">
      <c r="B1454" s="178"/>
      <c r="C1454" s="203"/>
      <c r="D1454" s="180"/>
      <c r="E1454" s="181"/>
      <c r="F1454" s="182"/>
      <c r="G1454" s="1" t="str">
        <f>IFERROR(IF(ventas_b_mes11[[#This Row],[CUIT]]="","-",VLOOKUP(ventas_b_mes11[[#This Row],[CUIT]],Lista_CUIT[#All],2,0)),"CUIT NO CARGADO")</f>
        <v>-</v>
      </c>
      <c r="H1454" s="64">
        <f>ventas_b_mes11[[#This Row],[TOTAL]]/1.21</f>
        <v>0</v>
      </c>
      <c r="I1454" s="183">
        <f>ventas_b_mes11[[#This Row],[IMPORTE NETO]]*0.21</f>
        <v>0</v>
      </c>
      <c r="J1454" s="184"/>
      <c r="K1454" s="184"/>
      <c r="L1454" s="184"/>
      <c r="M1454" s="59"/>
    </row>
    <row r="1455" spans="2:13" x14ac:dyDescent="0.3">
      <c r="B1455" s="178"/>
      <c r="C1455" s="203"/>
      <c r="D1455" s="180"/>
      <c r="E1455" s="181"/>
      <c r="F1455" s="182"/>
      <c r="G1455" s="1" t="str">
        <f>IFERROR(IF(ventas_b_mes11[[#This Row],[CUIT]]="","-",VLOOKUP(ventas_b_mes11[[#This Row],[CUIT]],Lista_CUIT[#All],2,0)),"CUIT NO CARGADO")</f>
        <v>-</v>
      </c>
      <c r="H1455" s="64">
        <f>ventas_b_mes11[[#This Row],[TOTAL]]/1.21</f>
        <v>0</v>
      </c>
      <c r="I1455" s="183">
        <f>ventas_b_mes11[[#This Row],[IMPORTE NETO]]*0.21</f>
        <v>0</v>
      </c>
      <c r="J1455" s="184"/>
      <c r="K1455" s="184"/>
      <c r="L1455" s="184"/>
      <c r="M1455" s="59"/>
    </row>
    <row r="1456" spans="2:13" x14ac:dyDescent="0.3">
      <c r="B1456" s="217"/>
      <c r="C1456" s="203"/>
      <c r="D1456" s="220"/>
      <c r="E1456" s="204"/>
      <c r="F1456" s="182"/>
      <c r="G1456" s="1" t="str">
        <f>IFERROR(IF(ventas_b_mes11[[#This Row],[CUIT]]="","-",VLOOKUP(ventas_b_mes11[[#This Row],[CUIT]],Lista_CUIT[#All],2,0)),"CUIT NO CARGADO")</f>
        <v>-</v>
      </c>
      <c r="H1456" s="64">
        <f>ventas_b_mes11[[#This Row],[TOTAL]]/1.21</f>
        <v>0</v>
      </c>
      <c r="I1456" s="64">
        <f>ventas_b_mes11[[#This Row],[IMPORTE NETO]]*0.21</f>
        <v>0</v>
      </c>
      <c r="J1456" s="64"/>
      <c r="K1456" s="64"/>
      <c r="L1456" s="64"/>
      <c r="M1456" s="59"/>
    </row>
    <row r="1457" spans="2:13" x14ac:dyDescent="0.3">
      <c r="B1457" s="178"/>
      <c r="C1457" s="179"/>
      <c r="D1457" s="180"/>
      <c r="E1457" s="181"/>
      <c r="F1457" s="182"/>
      <c r="G1457" s="1" t="str">
        <f>IFERROR(IF(ventas_b_mes11[[#This Row],[CUIT]]="","-",VLOOKUP(ventas_b_mes11[[#This Row],[CUIT]],Lista_CUIT[#All],2,0)),"CUIT NO CARGADO")</f>
        <v>-</v>
      </c>
      <c r="H1457" s="64">
        <f>ventas_b_mes11[[#This Row],[TOTAL]]/1.21</f>
        <v>0</v>
      </c>
      <c r="I1457" s="183">
        <f>ventas_b_mes11[[#This Row],[IMPORTE NETO]]*0.21</f>
        <v>0</v>
      </c>
      <c r="J1457" s="184"/>
      <c r="K1457" s="184"/>
      <c r="L1457" s="184"/>
      <c r="M1457" s="59"/>
    </row>
    <row r="1458" spans="2:13" x14ac:dyDescent="0.3">
      <c r="B1458" s="178"/>
      <c r="C1458" s="179"/>
      <c r="D1458" s="180"/>
      <c r="E1458" s="181"/>
      <c r="F1458" s="182"/>
      <c r="G1458" s="1" t="str">
        <f>IFERROR(IF(ventas_b_mes11[[#This Row],[CUIT]]="","-",VLOOKUP(ventas_b_mes11[[#This Row],[CUIT]],Lista_CUIT[#All],2,0)),"CUIT NO CARGADO")</f>
        <v>-</v>
      </c>
      <c r="H1458" s="64">
        <f>ventas_b_mes11[[#This Row],[TOTAL]]/1.21</f>
        <v>0</v>
      </c>
      <c r="I1458" s="183">
        <f>ventas_b_mes11[[#This Row],[IMPORTE NETO]]*0.21</f>
        <v>0</v>
      </c>
      <c r="J1458" s="184"/>
      <c r="K1458" s="184"/>
      <c r="L1458" s="184"/>
      <c r="M1458" s="59"/>
    </row>
    <row r="1459" spans="2:13" x14ac:dyDescent="0.3">
      <c r="B1459" s="178"/>
      <c r="C1459" s="179"/>
      <c r="D1459" s="180"/>
      <c r="E1459" s="181"/>
      <c r="F1459" s="182"/>
      <c r="G1459" s="1" t="str">
        <f>IFERROR(IF(ventas_b_mes11[[#This Row],[CUIT]]="","-",VLOOKUP(ventas_b_mes11[[#This Row],[CUIT]],Lista_CUIT[#All],2,0)),"CUIT NO CARGADO")</f>
        <v>-</v>
      </c>
      <c r="H1459" s="64">
        <f>ventas_b_mes11[[#This Row],[TOTAL]]/1.21</f>
        <v>0</v>
      </c>
      <c r="I1459" s="183">
        <f>ventas_b_mes11[[#This Row],[IMPORTE NETO]]*0.21</f>
        <v>0</v>
      </c>
      <c r="J1459" s="184"/>
      <c r="K1459" s="184"/>
      <c r="L1459" s="184"/>
      <c r="M1459" s="59"/>
    </row>
    <row r="1460" spans="2:13" x14ac:dyDescent="0.3">
      <c r="B1460" s="178"/>
      <c r="C1460" s="179"/>
      <c r="D1460" s="180"/>
      <c r="E1460" s="181"/>
      <c r="F1460" s="182"/>
      <c r="G1460" s="1" t="str">
        <f>IFERROR(IF(ventas_b_mes11[[#This Row],[CUIT]]="","-",VLOOKUP(ventas_b_mes11[[#This Row],[CUIT]],Lista_CUIT[#All],2,0)),"CUIT NO CARGADO")</f>
        <v>-</v>
      </c>
      <c r="H1460" s="64">
        <f>ventas_b_mes11[[#This Row],[TOTAL]]/1.21</f>
        <v>0</v>
      </c>
      <c r="I1460" s="183">
        <f>ventas_b_mes11[[#This Row],[IMPORTE NETO]]*0.21</f>
        <v>0</v>
      </c>
      <c r="J1460" s="184"/>
      <c r="K1460" s="184"/>
      <c r="L1460" s="184"/>
      <c r="M1460" s="59"/>
    </row>
    <row r="1461" spans="2:13" x14ac:dyDescent="0.3">
      <c r="B1461" s="178"/>
      <c r="C1461" s="179"/>
      <c r="D1461" s="180"/>
      <c r="E1461" s="181"/>
      <c r="F1461" s="182"/>
      <c r="G1461" s="1" t="str">
        <f>IFERROR(IF(ventas_b_mes11[[#This Row],[CUIT]]="","-",VLOOKUP(ventas_b_mes11[[#This Row],[CUIT]],Lista_CUIT[#All],2,0)),"CUIT NO CARGADO")</f>
        <v>-</v>
      </c>
      <c r="H1461" s="64">
        <f>ventas_b_mes11[[#This Row],[TOTAL]]/1.21</f>
        <v>0</v>
      </c>
      <c r="I1461" s="183">
        <f>ventas_b_mes11[[#This Row],[IMPORTE NETO]]*0.21</f>
        <v>0</v>
      </c>
      <c r="J1461" s="184"/>
      <c r="K1461" s="184"/>
      <c r="L1461" s="184"/>
      <c r="M1461" s="59"/>
    </row>
    <row r="1462" spans="2:13" x14ac:dyDescent="0.3">
      <c r="B1462" s="178"/>
      <c r="C1462" s="179"/>
      <c r="D1462" s="180"/>
      <c r="E1462" s="181"/>
      <c r="F1462" s="182"/>
      <c r="G1462" s="1" t="str">
        <f>IFERROR(IF(ventas_b_mes11[[#This Row],[CUIT]]="","-",VLOOKUP(ventas_b_mes11[[#This Row],[CUIT]],Lista_CUIT[#All],2,0)),"CUIT NO CARGADO")</f>
        <v>-</v>
      </c>
      <c r="H1462" s="64">
        <f>ventas_b_mes11[[#This Row],[TOTAL]]/1.21</f>
        <v>0</v>
      </c>
      <c r="I1462" s="183">
        <f>ventas_b_mes11[[#This Row],[IMPORTE NETO]]*0.21</f>
        <v>0</v>
      </c>
      <c r="J1462" s="184"/>
      <c r="K1462" s="184"/>
      <c r="L1462" s="184"/>
      <c r="M1462" s="59"/>
    </row>
    <row r="1463" spans="2:13" x14ac:dyDescent="0.3">
      <c r="B1463" s="178"/>
      <c r="C1463" s="179"/>
      <c r="D1463" s="180"/>
      <c r="E1463" s="181"/>
      <c r="F1463" s="182"/>
      <c r="G1463" s="1" t="str">
        <f>IFERROR(IF(ventas_b_mes11[[#This Row],[CUIT]]="","-",VLOOKUP(ventas_b_mes11[[#This Row],[CUIT]],Lista_CUIT[#All],2,0)),"CUIT NO CARGADO")</f>
        <v>-</v>
      </c>
      <c r="H1463" s="64">
        <f>ventas_b_mes11[[#This Row],[TOTAL]]/1.21</f>
        <v>0</v>
      </c>
      <c r="I1463" s="183">
        <f>ventas_b_mes11[[#This Row],[IMPORTE NETO]]*0.21</f>
        <v>0</v>
      </c>
      <c r="J1463" s="184"/>
      <c r="K1463" s="184"/>
      <c r="L1463" s="184"/>
      <c r="M1463" s="59"/>
    </row>
    <row r="1464" spans="2:13" x14ac:dyDescent="0.3">
      <c r="B1464" s="178"/>
      <c r="C1464" s="179"/>
      <c r="D1464" s="180"/>
      <c r="E1464" s="181"/>
      <c r="F1464" s="182"/>
      <c r="G1464" s="1" t="str">
        <f>IFERROR(IF(ventas_b_mes11[[#This Row],[CUIT]]="","-",VLOOKUP(ventas_b_mes11[[#This Row],[CUIT]],Lista_CUIT[#All],2,0)),"CUIT NO CARGADO")</f>
        <v>-</v>
      </c>
      <c r="H1464" s="64">
        <f>ventas_b_mes11[[#This Row],[TOTAL]]/1.21</f>
        <v>0</v>
      </c>
      <c r="I1464" s="183">
        <f>ventas_b_mes11[[#This Row],[IMPORTE NETO]]*0.21</f>
        <v>0</v>
      </c>
      <c r="J1464" s="184"/>
      <c r="K1464" s="184"/>
      <c r="L1464" s="184"/>
      <c r="M1464" s="59"/>
    </row>
    <row r="1465" spans="2:13" x14ac:dyDescent="0.3">
      <c r="B1465" s="178"/>
      <c r="C1465" s="179"/>
      <c r="D1465" s="180"/>
      <c r="E1465" s="181"/>
      <c r="F1465" s="182"/>
      <c r="G1465" s="1" t="str">
        <f>IFERROR(IF(ventas_b_mes11[[#This Row],[CUIT]]="","-",VLOOKUP(ventas_b_mes11[[#This Row],[CUIT]],Lista_CUIT[#All],2,0)),"CUIT NO CARGADO")</f>
        <v>-</v>
      </c>
      <c r="H1465" s="64">
        <f>ventas_b_mes11[[#This Row],[TOTAL]]/1.21</f>
        <v>0</v>
      </c>
      <c r="I1465" s="183">
        <f>ventas_b_mes11[[#This Row],[IMPORTE NETO]]*0.21</f>
        <v>0</v>
      </c>
      <c r="J1465" s="184"/>
      <c r="K1465" s="184"/>
      <c r="L1465" s="184"/>
      <c r="M1465" s="59"/>
    </row>
    <row r="1466" spans="2:13" x14ac:dyDescent="0.3">
      <c r="B1466" s="178"/>
      <c r="C1466" s="179"/>
      <c r="D1466" s="180"/>
      <c r="E1466" s="181"/>
      <c r="F1466" s="182"/>
      <c r="G1466" s="1" t="str">
        <f>IFERROR(IF(ventas_b_mes11[[#This Row],[CUIT]]="","-",VLOOKUP(ventas_b_mes11[[#This Row],[CUIT]],Lista_CUIT[#All],2,0)),"CUIT NO CARGADO")</f>
        <v>-</v>
      </c>
      <c r="H1466" s="64">
        <f>ventas_b_mes11[[#This Row],[TOTAL]]/1.21</f>
        <v>0</v>
      </c>
      <c r="I1466" s="183">
        <f>ventas_b_mes11[[#This Row],[IMPORTE NETO]]*0.21</f>
        <v>0</v>
      </c>
      <c r="J1466" s="184"/>
      <c r="K1466" s="184"/>
      <c r="L1466" s="184"/>
      <c r="M1466" s="59"/>
    </row>
    <row r="1467" spans="2:13" x14ac:dyDescent="0.3">
      <c r="B1467" s="178"/>
      <c r="C1467" s="179"/>
      <c r="D1467" s="180"/>
      <c r="E1467" s="181"/>
      <c r="F1467" s="182"/>
      <c r="G1467" s="1" t="str">
        <f>IFERROR(IF(ventas_b_mes11[[#This Row],[CUIT]]="","-",VLOOKUP(ventas_b_mes11[[#This Row],[CUIT]],Lista_CUIT[#All],2,0)),"CUIT NO CARGADO")</f>
        <v>-</v>
      </c>
      <c r="H1467" s="64">
        <f>ventas_b_mes11[[#This Row],[TOTAL]]/1.21</f>
        <v>0</v>
      </c>
      <c r="I1467" s="183">
        <f>ventas_b_mes11[[#This Row],[IMPORTE NETO]]*0.21</f>
        <v>0</v>
      </c>
      <c r="J1467" s="184"/>
      <c r="K1467" s="184"/>
      <c r="L1467" s="184"/>
      <c r="M1467" s="59"/>
    </row>
    <row r="1468" spans="2:13" x14ac:dyDescent="0.3">
      <c r="B1468" s="178"/>
      <c r="C1468" s="179"/>
      <c r="D1468" s="180"/>
      <c r="E1468" s="181"/>
      <c r="F1468" s="182"/>
      <c r="G1468" s="1" t="str">
        <f>IFERROR(IF(ventas_b_mes11[[#This Row],[CUIT]]="","-",VLOOKUP(ventas_b_mes11[[#This Row],[CUIT]],Lista_CUIT[#All],2,0)),"CUIT NO CARGADO")</f>
        <v>-</v>
      </c>
      <c r="H1468" s="64">
        <f>ventas_b_mes11[[#This Row],[TOTAL]]/1.21</f>
        <v>0</v>
      </c>
      <c r="I1468" s="183">
        <f>ventas_b_mes11[[#This Row],[IMPORTE NETO]]*0.21</f>
        <v>0</v>
      </c>
      <c r="J1468" s="184"/>
      <c r="K1468" s="184"/>
      <c r="L1468" s="184"/>
      <c r="M1468" s="59"/>
    </row>
    <row r="1469" spans="2:13" x14ac:dyDescent="0.3">
      <c r="B1469" s="178"/>
      <c r="C1469" s="179"/>
      <c r="D1469" s="180"/>
      <c r="E1469" s="181"/>
      <c r="F1469" s="182"/>
      <c r="G1469" s="1" t="str">
        <f>IFERROR(IF(ventas_b_mes11[[#This Row],[CUIT]]="","-",VLOOKUP(ventas_b_mes11[[#This Row],[CUIT]],Lista_CUIT[#All],2,0)),"CUIT NO CARGADO")</f>
        <v>-</v>
      </c>
      <c r="H1469" s="64">
        <f>ventas_b_mes11[[#This Row],[TOTAL]]/1.21</f>
        <v>0</v>
      </c>
      <c r="I1469" s="183">
        <f>ventas_b_mes11[[#This Row],[IMPORTE NETO]]*0.21</f>
        <v>0</v>
      </c>
      <c r="J1469" s="184"/>
      <c r="K1469" s="184"/>
      <c r="L1469" s="184"/>
      <c r="M1469" s="59"/>
    </row>
    <row r="1470" spans="2:13" x14ac:dyDescent="0.3">
      <c r="B1470" s="178"/>
      <c r="C1470" s="179"/>
      <c r="D1470" s="180"/>
      <c r="E1470" s="181"/>
      <c r="F1470" s="182"/>
      <c r="G1470" s="1" t="str">
        <f>IFERROR(IF(ventas_b_mes11[[#This Row],[CUIT]]="","-",VLOOKUP(ventas_b_mes11[[#This Row],[CUIT]],Lista_CUIT[#All],2,0)),"CUIT NO CARGADO")</f>
        <v>-</v>
      </c>
      <c r="H1470" s="64">
        <f>ventas_b_mes11[[#This Row],[TOTAL]]/1.21</f>
        <v>0</v>
      </c>
      <c r="I1470" s="183">
        <f>ventas_b_mes11[[#This Row],[IMPORTE NETO]]*0.21</f>
        <v>0</v>
      </c>
      <c r="J1470" s="184"/>
      <c r="K1470" s="184"/>
      <c r="L1470" s="184"/>
      <c r="M1470" s="59"/>
    </row>
    <row r="1471" spans="2:13" x14ac:dyDescent="0.3">
      <c r="B1471" s="178"/>
      <c r="C1471" s="179"/>
      <c r="D1471" s="180"/>
      <c r="E1471" s="181"/>
      <c r="F1471" s="182"/>
      <c r="G1471" s="1" t="str">
        <f>IFERROR(IF(ventas_b_mes11[[#This Row],[CUIT]]="","-",VLOOKUP(ventas_b_mes11[[#This Row],[CUIT]],Lista_CUIT[#All],2,0)),"CUIT NO CARGADO")</f>
        <v>-</v>
      </c>
      <c r="H1471" s="64">
        <f>ventas_b_mes11[[#This Row],[TOTAL]]/1.21</f>
        <v>0</v>
      </c>
      <c r="I1471" s="183">
        <f>ventas_b_mes11[[#This Row],[IMPORTE NETO]]*0.21</f>
        <v>0</v>
      </c>
      <c r="J1471" s="184"/>
      <c r="K1471" s="184"/>
      <c r="L1471" s="184"/>
      <c r="M1471" s="59"/>
    </row>
    <row r="1472" spans="2:13" x14ac:dyDescent="0.3">
      <c r="B1472" s="178"/>
      <c r="C1472" s="179"/>
      <c r="D1472" s="180"/>
      <c r="E1472" s="181"/>
      <c r="F1472" s="182"/>
      <c r="G1472" s="1" t="str">
        <f>IFERROR(IF(ventas_b_mes11[[#This Row],[CUIT]]="","-",VLOOKUP(ventas_b_mes11[[#This Row],[CUIT]],Lista_CUIT[#All],2,0)),"CUIT NO CARGADO")</f>
        <v>-</v>
      </c>
      <c r="H1472" s="64">
        <f>ventas_b_mes11[[#This Row],[TOTAL]]/1.21</f>
        <v>0</v>
      </c>
      <c r="I1472" s="183">
        <f>ventas_b_mes11[[#This Row],[IMPORTE NETO]]*0.21</f>
        <v>0</v>
      </c>
      <c r="J1472" s="184"/>
      <c r="K1472" s="184"/>
      <c r="L1472" s="184"/>
      <c r="M1472" s="59"/>
    </row>
    <row r="1473" spans="2:13" x14ac:dyDescent="0.3">
      <c r="B1473" s="178"/>
      <c r="C1473" s="179"/>
      <c r="D1473" s="180"/>
      <c r="E1473" s="181"/>
      <c r="F1473" s="182"/>
      <c r="G1473" s="1" t="str">
        <f>IFERROR(IF(ventas_b_mes11[[#This Row],[CUIT]]="","-",VLOOKUP(ventas_b_mes11[[#This Row],[CUIT]],Lista_CUIT[#All],2,0)),"CUIT NO CARGADO")</f>
        <v>-</v>
      </c>
      <c r="H1473" s="64">
        <f>ventas_b_mes11[[#This Row],[TOTAL]]/1.21</f>
        <v>0</v>
      </c>
      <c r="I1473" s="183">
        <f>ventas_b_mes11[[#This Row],[IMPORTE NETO]]*0.21</f>
        <v>0</v>
      </c>
      <c r="J1473" s="184"/>
      <c r="K1473" s="184"/>
      <c r="L1473" s="184"/>
      <c r="M1473" s="59"/>
    </row>
    <row r="1474" spans="2:13" x14ac:dyDescent="0.3">
      <c r="B1474" s="178"/>
      <c r="C1474" s="179"/>
      <c r="D1474" s="180"/>
      <c r="E1474" s="181"/>
      <c r="F1474" s="182"/>
      <c r="G1474" s="1" t="str">
        <f>IFERROR(IF(ventas_b_mes11[[#This Row],[CUIT]]="","-",VLOOKUP(ventas_b_mes11[[#This Row],[CUIT]],Lista_CUIT[#All],2,0)),"CUIT NO CARGADO")</f>
        <v>-</v>
      </c>
      <c r="H1474" s="64">
        <f>ventas_b_mes11[[#This Row],[TOTAL]]/1.21</f>
        <v>0</v>
      </c>
      <c r="I1474" s="183">
        <f>ventas_b_mes11[[#This Row],[IMPORTE NETO]]*0.21</f>
        <v>0</v>
      </c>
      <c r="J1474" s="184"/>
      <c r="K1474" s="184"/>
      <c r="L1474" s="184"/>
      <c r="M1474" s="59"/>
    </row>
    <row r="1475" spans="2:13" x14ac:dyDescent="0.3">
      <c r="B1475" s="178"/>
      <c r="C1475" s="179"/>
      <c r="D1475" s="180"/>
      <c r="E1475" s="181"/>
      <c r="F1475" s="182"/>
      <c r="G1475" s="1" t="str">
        <f>IFERROR(IF(ventas_b_mes11[[#This Row],[CUIT]]="","-",VLOOKUP(ventas_b_mes11[[#This Row],[CUIT]],Lista_CUIT[#All],2,0)),"CUIT NO CARGADO")</f>
        <v>-</v>
      </c>
      <c r="H1475" s="64">
        <f>ventas_b_mes11[[#This Row],[TOTAL]]/1.21</f>
        <v>0</v>
      </c>
      <c r="I1475" s="183">
        <f>ventas_b_mes11[[#This Row],[IMPORTE NETO]]*0.21</f>
        <v>0</v>
      </c>
      <c r="J1475" s="184"/>
      <c r="K1475" s="184"/>
      <c r="L1475" s="184"/>
      <c r="M1475" s="59"/>
    </row>
    <row r="1476" spans="2:13" x14ac:dyDescent="0.3">
      <c r="B1476" s="178"/>
      <c r="C1476" s="179"/>
      <c r="D1476" s="180"/>
      <c r="E1476" s="181"/>
      <c r="F1476" s="182"/>
      <c r="G1476" s="1" t="str">
        <f>IFERROR(IF(ventas_b_mes11[[#This Row],[CUIT]]="","-",VLOOKUP(ventas_b_mes11[[#This Row],[CUIT]],Lista_CUIT[#All],2,0)),"CUIT NO CARGADO")</f>
        <v>-</v>
      </c>
      <c r="H1476" s="64">
        <f>ventas_b_mes11[[#This Row],[TOTAL]]/1.21</f>
        <v>0</v>
      </c>
      <c r="I1476" s="183">
        <f>ventas_b_mes11[[#This Row],[IMPORTE NETO]]*0.21</f>
        <v>0</v>
      </c>
      <c r="J1476" s="184"/>
      <c r="K1476" s="184"/>
      <c r="L1476" s="184"/>
      <c r="M1476" s="59"/>
    </row>
    <row r="1477" spans="2:13" x14ac:dyDescent="0.3">
      <c r="B1477" s="178"/>
      <c r="C1477" s="179"/>
      <c r="D1477" s="180"/>
      <c r="E1477" s="181"/>
      <c r="F1477" s="182"/>
      <c r="G1477" s="1" t="str">
        <f>IFERROR(IF(ventas_b_mes11[[#This Row],[CUIT]]="","-",VLOOKUP(ventas_b_mes11[[#This Row],[CUIT]],Lista_CUIT[#All],2,0)),"CUIT NO CARGADO")</f>
        <v>-</v>
      </c>
      <c r="H1477" s="64">
        <f>ventas_b_mes11[[#This Row],[TOTAL]]/1.21</f>
        <v>0</v>
      </c>
      <c r="I1477" s="183">
        <f>ventas_b_mes11[[#This Row],[IMPORTE NETO]]*0.21</f>
        <v>0</v>
      </c>
      <c r="J1477" s="184"/>
      <c r="K1477" s="184"/>
      <c r="L1477" s="184"/>
      <c r="M1477" s="59"/>
    </row>
    <row r="1478" spans="2:13" x14ac:dyDescent="0.3">
      <c r="B1478" s="178"/>
      <c r="C1478" s="179"/>
      <c r="D1478" s="180"/>
      <c r="E1478" s="181"/>
      <c r="F1478" s="182"/>
      <c r="G1478" s="1" t="str">
        <f>IFERROR(IF(ventas_b_mes11[[#This Row],[CUIT]]="","-",VLOOKUP(ventas_b_mes11[[#This Row],[CUIT]],Lista_CUIT[#All],2,0)),"CUIT NO CARGADO")</f>
        <v>-</v>
      </c>
      <c r="H1478" s="64">
        <f>ventas_b_mes11[[#This Row],[TOTAL]]/1.21</f>
        <v>0</v>
      </c>
      <c r="I1478" s="183">
        <f>ventas_b_mes11[[#This Row],[IMPORTE NETO]]*0.21</f>
        <v>0</v>
      </c>
      <c r="J1478" s="184"/>
      <c r="K1478" s="184"/>
      <c r="L1478" s="184"/>
      <c r="M1478" s="59"/>
    </row>
    <row r="1479" spans="2:13" x14ac:dyDescent="0.3">
      <c r="B1479" s="178"/>
      <c r="C1479" s="179"/>
      <c r="D1479" s="180"/>
      <c r="E1479" s="181"/>
      <c r="F1479" s="182"/>
      <c r="G1479" s="1" t="str">
        <f>IFERROR(IF(ventas_b_mes11[[#This Row],[CUIT]]="","-",VLOOKUP(ventas_b_mes11[[#This Row],[CUIT]],Lista_CUIT[#All],2,0)),"CUIT NO CARGADO")</f>
        <v>-</v>
      </c>
      <c r="H1479" s="64">
        <f>ventas_b_mes11[[#This Row],[TOTAL]]/1.21</f>
        <v>0</v>
      </c>
      <c r="I1479" s="183">
        <f>ventas_b_mes11[[#This Row],[IMPORTE NETO]]*0.21</f>
        <v>0</v>
      </c>
      <c r="J1479" s="184"/>
      <c r="K1479" s="184"/>
      <c r="L1479" s="184"/>
      <c r="M1479" s="59"/>
    </row>
    <row r="1480" spans="2:13" x14ac:dyDescent="0.3">
      <c r="B1480" s="178"/>
      <c r="C1480" s="179"/>
      <c r="D1480" s="180"/>
      <c r="E1480" s="181"/>
      <c r="F1480" s="182"/>
      <c r="G1480" s="1" t="str">
        <f>IFERROR(IF(ventas_b_mes11[[#This Row],[CUIT]]="","-",VLOOKUP(ventas_b_mes11[[#This Row],[CUIT]],Lista_CUIT[#All],2,0)),"CUIT NO CARGADO")</f>
        <v>-</v>
      </c>
      <c r="H1480" s="64">
        <f>ventas_b_mes11[[#This Row],[TOTAL]]/1.21</f>
        <v>0</v>
      </c>
      <c r="I1480" s="183">
        <f>ventas_b_mes11[[#This Row],[IMPORTE NETO]]*0.21</f>
        <v>0</v>
      </c>
      <c r="J1480" s="184"/>
      <c r="K1480" s="184"/>
      <c r="L1480" s="184"/>
      <c r="M1480" s="59"/>
    </row>
    <row r="1481" spans="2:13" x14ac:dyDescent="0.3">
      <c r="B1481" s="178"/>
      <c r="C1481" s="179"/>
      <c r="D1481" s="180"/>
      <c r="E1481" s="181"/>
      <c r="F1481" s="182"/>
      <c r="G1481" s="1" t="str">
        <f>IFERROR(IF(ventas_b_mes11[[#This Row],[CUIT]]="","-",VLOOKUP(ventas_b_mes11[[#This Row],[CUIT]],Lista_CUIT[#All],2,0)),"CUIT NO CARGADO")</f>
        <v>-</v>
      </c>
      <c r="H1481" s="64">
        <f>ventas_b_mes11[[#This Row],[TOTAL]]/1.21</f>
        <v>0</v>
      </c>
      <c r="I1481" s="183">
        <f>ventas_b_mes11[[#This Row],[IMPORTE NETO]]*0.21</f>
        <v>0</v>
      </c>
      <c r="J1481" s="184"/>
      <c r="K1481" s="184"/>
      <c r="L1481" s="184"/>
      <c r="M1481" s="59"/>
    </row>
    <row r="1482" spans="2:13" x14ac:dyDescent="0.3">
      <c r="B1482" s="178"/>
      <c r="C1482" s="179"/>
      <c r="D1482" s="180"/>
      <c r="E1482" s="181"/>
      <c r="F1482" s="182"/>
      <c r="G1482" s="1" t="str">
        <f>IFERROR(IF(ventas_b_mes11[[#This Row],[CUIT]]="","-",VLOOKUP(ventas_b_mes11[[#This Row],[CUIT]],Lista_CUIT[#All],2,0)),"CUIT NO CARGADO")</f>
        <v>-</v>
      </c>
      <c r="H1482" s="64">
        <f>ventas_b_mes11[[#This Row],[TOTAL]]/1.21</f>
        <v>0</v>
      </c>
      <c r="I1482" s="183">
        <f>ventas_b_mes11[[#This Row],[IMPORTE NETO]]*0.21</f>
        <v>0</v>
      </c>
      <c r="J1482" s="184"/>
      <c r="K1482" s="184"/>
      <c r="L1482" s="184"/>
      <c r="M1482" s="59"/>
    </row>
    <row r="1483" spans="2:13" x14ac:dyDescent="0.3">
      <c r="B1483" s="178"/>
      <c r="C1483" s="179"/>
      <c r="D1483" s="180"/>
      <c r="E1483" s="181"/>
      <c r="F1483" s="182"/>
      <c r="G1483" s="1" t="str">
        <f>IFERROR(IF(ventas_b_mes11[[#This Row],[CUIT]]="","-",VLOOKUP(ventas_b_mes11[[#This Row],[CUIT]],Lista_CUIT[#All],2,0)),"CUIT NO CARGADO")</f>
        <v>-</v>
      </c>
      <c r="H1483" s="64">
        <f>ventas_b_mes11[[#This Row],[TOTAL]]/1.21</f>
        <v>0</v>
      </c>
      <c r="I1483" s="183">
        <f>ventas_b_mes11[[#This Row],[IMPORTE NETO]]*0.21</f>
        <v>0</v>
      </c>
      <c r="J1483" s="184"/>
      <c r="K1483" s="184"/>
      <c r="L1483" s="184"/>
      <c r="M1483" s="59"/>
    </row>
    <row r="1484" spans="2:13" x14ac:dyDescent="0.3">
      <c r="B1484" s="178"/>
      <c r="C1484" s="179"/>
      <c r="D1484" s="180"/>
      <c r="E1484" s="181"/>
      <c r="F1484" s="182"/>
      <c r="G1484" s="1" t="str">
        <f>IFERROR(IF(ventas_b_mes11[[#This Row],[CUIT]]="","-",VLOOKUP(ventas_b_mes11[[#This Row],[CUIT]],Lista_CUIT[#All],2,0)),"CUIT NO CARGADO")</f>
        <v>-</v>
      </c>
      <c r="H1484" s="64">
        <f>ventas_b_mes11[[#This Row],[TOTAL]]/1.21</f>
        <v>0</v>
      </c>
      <c r="I1484" s="183">
        <f>ventas_b_mes11[[#This Row],[IMPORTE NETO]]*0.21</f>
        <v>0</v>
      </c>
      <c r="J1484" s="184"/>
      <c r="K1484" s="184"/>
      <c r="L1484" s="184"/>
      <c r="M1484" s="59"/>
    </row>
    <row r="1485" spans="2:13" x14ac:dyDescent="0.3">
      <c r="B1485" s="178"/>
      <c r="C1485" s="179"/>
      <c r="D1485" s="180"/>
      <c r="E1485" s="181"/>
      <c r="F1485" s="182"/>
      <c r="G1485" s="1" t="str">
        <f>IFERROR(IF(ventas_b_mes11[[#This Row],[CUIT]]="","-",VLOOKUP(ventas_b_mes11[[#This Row],[CUIT]],Lista_CUIT[#All],2,0)),"CUIT NO CARGADO")</f>
        <v>-</v>
      </c>
      <c r="H1485" s="64">
        <f>ventas_b_mes11[[#This Row],[TOTAL]]/1.21</f>
        <v>0</v>
      </c>
      <c r="I1485" s="183">
        <f>ventas_b_mes11[[#This Row],[IMPORTE NETO]]*0.21</f>
        <v>0</v>
      </c>
      <c r="J1485" s="184"/>
      <c r="K1485" s="184"/>
      <c r="L1485" s="184"/>
      <c r="M1485" s="59"/>
    </row>
    <row r="1486" spans="2:13" x14ac:dyDescent="0.3">
      <c r="B1486" s="178"/>
      <c r="C1486" s="179"/>
      <c r="D1486" s="180"/>
      <c r="E1486" s="181"/>
      <c r="F1486" s="182"/>
      <c r="G1486" s="1" t="str">
        <f>IFERROR(IF(ventas_b_mes11[[#This Row],[CUIT]]="","-",VLOOKUP(ventas_b_mes11[[#This Row],[CUIT]],Lista_CUIT[#All],2,0)),"CUIT NO CARGADO")</f>
        <v>-</v>
      </c>
      <c r="H1486" s="64">
        <f>ventas_b_mes11[[#This Row],[TOTAL]]/1.21</f>
        <v>0</v>
      </c>
      <c r="I1486" s="183">
        <f>ventas_b_mes11[[#This Row],[IMPORTE NETO]]*0.21</f>
        <v>0</v>
      </c>
      <c r="J1486" s="184"/>
      <c r="K1486" s="184"/>
      <c r="L1486" s="184"/>
      <c r="M1486" s="59"/>
    </row>
    <row r="1487" spans="2:13" x14ac:dyDescent="0.3">
      <c r="B1487" s="178"/>
      <c r="C1487" s="179"/>
      <c r="D1487" s="180"/>
      <c r="E1487" s="181"/>
      <c r="F1487" s="182"/>
      <c r="G1487" s="1" t="str">
        <f>IFERROR(IF(ventas_b_mes11[[#This Row],[CUIT]]="","-",VLOOKUP(ventas_b_mes11[[#This Row],[CUIT]],Lista_CUIT[#All],2,0)),"CUIT NO CARGADO")</f>
        <v>-</v>
      </c>
      <c r="H1487" s="64">
        <f>ventas_b_mes11[[#This Row],[TOTAL]]/1.21</f>
        <v>0</v>
      </c>
      <c r="I1487" s="183">
        <f>ventas_b_mes11[[#This Row],[IMPORTE NETO]]*0.21</f>
        <v>0</v>
      </c>
      <c r="J1487" s="184"/>
      <c r="K1487" s="184"/>
      <c r="L1487" s="184"/>
      <c r="M1487" s="59"/>
    </row>
    <row r="1488" spans="2:13" x14ac:dyDescent="0.3">
      <c r="B1488" s="178"/>
      <c r="C1488" s="179"/>
      <c r="D1488" s="180"/>
      <c r="E1488" s="181"/>
      <c r="F1488" s="182"/>
      <c r="G1488" s="1" t="str">
        <f>IFERROR(IF(ventas_b_mes11[[#This Row],[CUIT]]="","-",VLOOKUP(ventas_b_mes11[[#This Row],[CUIT]],Lista_CUIT[#All],2,0)),"CUIT NO CARGADO")</f>
        <v>-</v>
      </c>
      <c r="H1488" s="64">
        <f>ventas_b_mes11[[#This Row],[TOTAL]]/1.21</f>
        <v>0</v>
      </c>
      <c r="I1488" s="183">
        <f>ventas_b_mes11[[#This Row],[IMPORTE NETO]]*0.21</f>
        <v>0</v>
      </c>
      <c r="J1488" s="184"/>
      <c r="K1488" s="184"/>
      <c r="L1488" s="184"/>
      <c r="M1488" s="59"/>
    </row>
    <row r="1489" spans="2:13" x14ac:dyDescent="0.3">
      <c r="B1489" s="178"/>
      <c r="C1489" s="179"/>
      <c r="D1489" s="180"/>
      <c r="E1489" s="181"/>
      <c r="F1489" s="182"/>
      <c r="G1489" s="1" t="str">
        <f>IFERROR(IF(ventas_b_mes11[[#This Row],[CUIT]]="","-",VLOOKUP(ventas_b_mes11[[#This Row],[CUIT]],Lista_CUIT[#All],2,0)),"CUIT NO CARGADO")</f>
        <v>-</v>
      </c>
      <c r="H1489" s="64">
        <f>ventas_b_mes11[[#This Row],[TOTAL]]/1.21</f>
        <v>0</v>
      </c>
      <c r="I1489" s="183">
        <f>ventas_b_mes11[[#This Row],[IMPORTE NETO]]*0.21</f>
        <v>0</v>
      </c>
      <c r="J1489" s="184"/>
      <c r="K1489" s="184"/>
      <c r="L1489" s="184"/>
      <c r="M1489" s="59"/>
    </row>
    <row r="1490" spans="2:13" x14ac:dyDescent="0.3">
      <c r="B1490" s="178"/>
      <c r="C1490" s="179"/>
      <c r="D1490" s="180"/>
      <c r="E1490" s="181"/>
      <c r="F1490" s="182"/>
      <c r="G1490" s="1" t="str">
        <f>IFERROR(IF(ventas_b_mes11[[#This Row],[CUIT]]="","-",VLOOKUP(ventas_b_mes11[[#This Row],[CUIT]],Lista_CUIT[#All],2,0)),"CUIT NO CARGADO")</f>
        <v>-</v>
      </c>
      <c r="H1490" s="64">
        <f>ventas_b_mes11[[#This Row],[TOTAL]]/1.21</f>
        <v>0</v>
      </c>
      <c r="I1490" s="183">
        <f>ventas_b_mes11[[#This Row],[IMPORTE NETO]]*0.21</f>
        <v>0</v>
      </c>
      <c r="J1490" s="184"/>
      <c r="K1490" s="184"/>
      <c r="L1490" s="184"/>
      <c r="M1490" s="59"/>
    </row>
    <row r="1491" spans="2:13" x14ac:dyDescent="0.3">
      <c r="B1491" s="178"/>
      <c r="C1491" s="179"/>
      <c r="D1491" s="180"/>
      <c r="E1491" s="181"/>
      <c r="F1491" s="182"/>
      <c r="G1491" s="1" t="str">
        <f>IFERROR(IF(ventas_b_mes11[[#This Row],[CUIT]]="","-",VLOOKUP(ventas_b_mes11[[#This Row],[CUIT]],Lista_CUIT[#All],2,0)),"CUIT NO CARGADO")</f>
        <v>-</v>
      </c>
      <c r="H1491" s="64">
        <f>ventas_b_mes11[[#This Row],[TOTAL]]/1.21</f>
        <v>0</v>
      </c>
      <c r="I1491" s="183">
        <f>ventas_b_mes11[[#This Row],[IMPORTE NETO]]*0.21</f>
        <v>0</v>
      </c>
      <c r="J1491" s="184"/>
      <c r="K1491" s="184"/>
      <c r="L1491" s="184"/>
      <c r="M1491" s="59"/>
    </row>
    <row r="1492" spans="2:13" x14ac:dyDescent="0.3">
      <c r="B1492" s="178"/>
      <c r="C1492" s="179"/>
      <c r="D1492" s="180"/>
      <c r="E1492" s="181"/>
      <c r="F1492" s="182"/>
      <c r="G1492" s="1" t="str">
        <f>IFERROR(IF(ventas_b_mes11[[#This Row],[CUIT]]="","-",VLOOKUP(ventas_b_mes11[[#This Row],[CUIT]],Lista_CUIT[#All],2,0)),"CUIT NO CARGADO")</f>
        <v>-</v>
      </c>
      <c r="H1492" s="64">
        <f>ventas_b_mes11[[#This Row],[TOTAL]]/1.21</f>
        <v>0</v>
      </c>
      <c r="I1492" s="183">
        <f>ventas_b_mes11[[#This Row],[IMPORTE NETO]]*0.21</f>
        <v>0</v>
      </c>
      <c r="J1492" s="184"/>
      <c r="K1492" s="184"/>
      <c r="L1492" s="184"/>
      <c r="M1492" s="59"/>
    </row>
    <row r="1493" spans="2:13" x14ac:dyDescent="0.3">
      <c r="B1493" s="178"/>
      <c r="C1493" s="179"/>
      <c r="D1493" s="180"/>
      <c r="E1493" s="181"/>
      <c r="F1493" s="182"/>
      <c r="G1493" s="1" t="str">
        <f>IFERROR(IF(ventas_b_mes11[[#This Row],[CUIT]]="","-",VLOOKUP(ventas_b_mes11[[#This Row],[CUIT]],Lista_CUIT[#All],2,0)),"CUIT NO CARGADO")</f>
        <v>-</v>
      </c>
      <c r="H1493" s="64">
        <f>ventas_b_mes11[[#This Row],[TOTAL]]/1.21</f>
        <v>0</v>
      </c>
      <c r="I1493" s="183">
        <f>ventas_b_mes11[[#This Row],[IMPORTE NETO]]*0.21</f>
        <v>0</v>
      </c>
      <c r="J1493" s="184"/>
      <c r="K1493" s="184"/>
      <c r="L1493" s="184"/>
      <c r="M1493" s="59"/>
    </row>
    <row r="1494" spans="2:13" x14ac:dyDescent="0.3">
      <c r="B1494" s="178"/>
      <c r="C1494" s="179"/>
      <c r="D1494" s="180"/>
      <c r="E1494" s="181"/>
      <c r="F1494" s="182"/>
      <c r="G1494" s="1" t="str">
        <f>IFERROR(IF(ventas_b_mes11[[#This Row],[CUIT]]="","-",VLOOKUP(ventas_b_mes11[[#This Row],[CUIT]],Lista_CUIT[#All],2,0)),"CUIT NO CARGADO")</f>
        <v>-</v>
      </c>
      <c r="H1494" s="64">
        <f>ventas_b_mes11[[#This Row],[TOTAL]]/1.21</f>
        <v>0</v>
      </c>
      <c r="I1494" s="183">
        <f>ventas_b_mes11[[#This Row],[IMPORTE NETO]]*0.21</f>
        <v>0</v>
      </c>
      <c r="J1494" s="184"/>
      <c r="K1494" s="184"/>
      <c r="L1494" s="184"/>
      <c r="M1494" s="59"/>
    </row>
    <row r="1495" spans="2:13" x14ac:dyDescent="0.3">
      <c r="B1495" s="178"/>
      <c r="C1495" s="179"/>
      <c r="D1495" s="180"/>
      <c r="E1495" s="181"/>
      <c r="F1495" s="182"/>
      <c r="G1495" s="1" t="str">
        <f>IFERROR(IF(ventas_b_mes11[[#This Row],[CUIT]]="","-",VLOOKUP(ventas_b_mes11[[#This Row],[CUIT]],Lista_CUIT[#All],2,0)),"CUIT NO CARGADO")</f>
        <v>-</v>
      </c>
      <c r="H1495" s="64">
        <f>ventas_b_mes11[[#This Row],[TOTAL]]/1.21</f>
        <v>0</v>
      </c>
      <c r="I1495" s="183">
        <f>ventas_b_mes11[[#This Row],[IMPORTE NETO]]*0.21</f>
        <v>0</v>
      </c>
      <c r="J1495" s="184"/>
      <c r="K1495" s="184"/>
      <c r="L1495" s="184"/>
      <c r="M1495" s="59"/>
    </row>
    <row r="1496" spans="2:13" x14ac:dyDescent="0.3">
      <c r="B1496" s="178"/>
      <c r="C1496" s="179"/>
      <c r="D1496" s="180"/>
      <c r="E1496" s="181"/>
      <c r="F1496" s="182"/>
      <c r="G1496" s="1" t="str">
        <f>IFERROR(IF(ventas_b_mes11[[#This Row],[CUIT]]="","-",VLOOKUP(ventas_b_mes11[[#This Row],[CUIT]],Lista_CUIT[#All],2,0)),"CUIT NO CARGADO")</f>
        <v>-</v>
      </c>
      <c r="H1496" s="64">
        <f>ventas_b_mes11[[#This Row],[TOTAL]]/1.21</f>
        <v>0</v>
      </c>
      <c r="I1496" s="183">
        <f>ventas_b_mes11[[#This Row],[IMPORTE NETO]]*0.21</f>
        <v>0</v>
      </c>
      <c r="J1496" s="184"/>
      <c r="K1496" s="184"/>
      <c r="L1496" s="184"/>
      <c r="M1496" s="59"/>
    </row>
    <row r="1497" spans="2:13" x14ac:dyDescent="0.3">
      <c r="B1497" s="178"/>
      <c r="C1497" s="179"/>
      <c r="D1497" s="180"/>
      <c r="E1497" s="181"/>
      <c r="F1497" s="182"/>
      <c r="G1497" s="1" t="str">
        <f>IFERROR(IF(ventas_b_mes11[[#This Row],[CUIT]]="","-",VLOOKUP(ventas_b_mes11[[#This Row],[CUIT]],Lista_CUIT[#All],2,0)),"CUIT NO CARGADO")</f>
        <v>-</v>
      </c>
      <c r="H1497" s="64">
        <f>ventas_b_mes11[[#This Row],[TOTAL]]/1.21</f>
        <v>0</v>
      </c>
      <c r="I1497" s="183">
        <f>ventas_b_mes11[[#This Row],[IMPORTE NETO]]*0.21</f>
        <v>0</v>
      </c>
      <c r="J1497" s="184"/>
      <c r="K1497" s="184"/>
      <c r="L1497" s="184"/>
      <c r="M1497" s="59"/>
    </row>
    <row r="1498" spans="2:13" x14ac:dyDescent="0.3">
      <c r="B1498" s="178"/>
      <c r="C1498" s="179"/>
      <c r="D1498" s="180"/>
      <c r="E1498" s="181"/>
      <c r="F1498" s="182"/>
      <c r="G1498" s="1" t="str">
        <f>IFERROR(IF(ventas_b_mes11[[#This Row],[CUIT]]="","-",VLOOKUP(ventas_b_mes11[[#This Row],[CUIT]],Lista_CUIT[#All],2,0)),"CUIT NO CARGADO")</f>
        <v>-</v>
      </c>
      <c r="H1498" s="64">
        <f>ventas_b_mes11[[#This Row],[TOTAL]]/1.21</f>
        <v>0</v>
      </c>
      <c r="I1498" s="183">
        <f>ventas_b_mes11[[#This Row],[IMPORTE NETO]]*0.21</f>
        <v>0</v>
      </c>
      <c r="J1498" s="184"/>
      <c r="K1498" s="184"/>
      <c r="L1498" s="184"/>
      <c r="M1498" s="59"/>
    </row>
    <row r="1499" spans="2:13" x14ac:dyDescent="0.3">
      <c r="B1499" s="178"/>
      <c r="C1499" s="179"/>
      <c r="D1499" s="180"/>
      <c r="E1499" s="181"/>
      <c r="F1499" s="182"/>
      <c r="G1499" s="1" t="str">
        <f>IFERROR(IF(ventas_b_mes11[[#This Row],[CUIT]]="","-",VLOOKUP(ventas_b_mes11[[#This Row],[CUIT]],Lista_CUIT[#All],2,0)),"CUIT NO CARGADO")</f>
        <v>-</v>
      </c>
      <c r="H1499" s="64">
        <f>ventas_b_mes11[[#This Row],[TOTAL]]/1.21</f>
        <v>0</v>
      </c>
      <c r="I1499" s="183">
        <f>ventas_b_mes11[[#This Row],[IMPORTE NETO]]*0.21</f>
        <v>0</v>
      </c>
      <c r="J1499" s="184"/>
      <c r="K1499" s="184"/>
      <c r="L1499" s="184"/>
      <c r="M1499" s="59"/>
    </row>
    <row r="1500" spans="2:13" x14ac:dyDescent="0.3">
      <c r="B1500" s="178"/>
      <c r="C1500" s="179"/>
      <c r="D1500" s="180"/>
      <c r="E1500" s="181"/>
      <c r="F1500" s="182"/>
      <c r="G1500" s="1" t="str">
        <f>IFERROR(IF(ventas_b_mes11[[#This Row],[CUIT]]="","-",VLOOKUP(ventas_b_mes11[[#This Row],[CUIT]],Lista_CUIT[#All],2,0)),"CUIT NO CARGADO")</f>
        <v>-</v>
      </c>
      <c r="H1500" s="64">
        <f>ventas_b_mes11[[#This Row],[TOTAL]]/1.21</f>
        <v>0</v>
      </c>
      <c r="I1500" s="183">
        <f>ventas_b_mes11[[#This Row],[IMPORTE NETO]]*0.21</f>
        <v>0</v>
      </c>
      <c r="J1500" s="184"/>
      <c r="K1500" s="184"/>
      <c r="L1500" s="184"/>
      <c r="M1500" s="59"/>
    </row>
    <row r="1501" spans="2:13" x14ac:dyDescent="0.3">
      <c r="B1501" s="178"/>
      <c r="C1501" s="179"/>
      <c r="D1501" s="180"/>
      <c r="E1501" s="181"/>
      <c r="F1501" s="182"/>
      <c r="G1501" s="1" t="str">
        <f>IFERROR(IF(ventas_b_mes11[[#This Row],[CUIT]]="","-",VLOOKUP(ventas_b_mes11[[#This Row],[CUIT]],Lista_CUIT[#All],2,0)),"CUIT NO CARGADO")</f>
        <v>-</v>
      </c>
      <c r="H1501" s="64">
        <f>ventas_b_mes11[[#This Row],[TOTAL]]/1.21</f>
        <v>0</v>
      </c>
      <c r="I1501" s="183">
        <f>ventas_b_mes11[[#This Row],[IMPORTE NETO]]*0.21</f>
        <v>0</v>
      </c>
      <c r="J1501" s="184"/>
      <c r="K1501" s="184"/>
      <c r="L1501" s="184"/>
      <c r="M1501" s="59"/>
    </row>
    <row r="1502" spans="2:13" x14ac:dyDescent="0.3">
      <c r="B1502" s="178"/>
      <c r="C1502" s="179"/>
      <c r="D1502" s="180"/>
      <c r="E1502" s="181"/>
      <c r="F1502" s="182"/>
      <c r="G1502" s="1" t="str">
        <f>IFERROR(IF(ventas_b_mes11[[#This Row],[CUIT]]="","-",VLOOKUP(ventas_b_mes11[[#This Row],[CUIT]],Lista_CUIT[#All],2,0)),"CUIT NO CARGADO")</f>
        <v>-</v>
      </c>
      <c r="H1502" s="64">
        <f>ventas_b_mes11[[#This Row],[TOTAL]]/1.21</f>
        <v>0</v>
      </c>
      <c r="I1502" s="183">
        <f>ventas_b_mes11[[#This Row],[IMPORTE NETO]]*0.21</f>
        <v>0</v>
      </c>
      <c r="J1502" s="184"/>
      <c r="K1502" s="184"/>
      <c r="L1502" s="184"/>
      <c r="M1502" s="59"/>
    </row>
    <row r="1503" spans="2:13" x14ac:dyDescent="0.3">
      <c r="B1503" s="178"/>
      <c r="C1503" s="179"/>
      <c r="D1503" s="180"/>
      <c r="E1503" s="181"/>
      <c r="F1503" s="182"/>
      <c r="G1503" s="1" t="str">
        <f>IFERROR(IF(ventas_b_mes11[[#This Row],[CUIT]]="","-",VLOOKUP(ventas_b_mes11[[#This Row],[CUIT]],Lista_CUIT[#All],2,0)),"CUIT NO CARGADO")</f>
        <v>-</v>
      </c>
      <c r="H1503" s="64">
        <f>ventas_b_mes11[[#This Row],[TOTAL]]/1.21</f>
        <v>0</v>
      </c>
      <c r="I1503" s="183">
        <f>ventas_b_mes11[[#This Row],[IMPORTE NETO]]*0.21</f>
        <v>0</v>
      </c>
      <c r="J1503" s="184"/>
      <c r="K1503" s="184"/>
      <c r="L1503" s="184"/>
      <c r="M1503" s="59"/>
    </row>
    <row r="1504" spans="2:13" x14ac:dyDescent="0.3">
      <c r="B1504" s="178"/>
      <c r="C1504" s="179"/>
      <c r="D1504" s="180"/>
      <c r="E1504" s="181"/>
      <c r="F1504" s="182"/>
      <c r="G1504" s="1" t="str">
        <f>IFERROR(IF(ventas_b_mes11[[#This Row],[CUIT]]="","-",VLOOKUP(ventas_b_mes11[[#This Row],[CUIT]],Lista_CUIT[#All],2,0)),"CUIT NO CARGADO")</f>
        <v>-</v>
      </c>
      <c r="H1504" s="64">
        <f>ventas_b_mes11[[#This Row],[TOTAL]]/1.21</f>
        <v>0</v>
      </c>
      <c r="I1504" s="183">
        <f>ventas_b_mes11[[#This Row],[IMPORTE NETO]]*0.21</f>
        <v>0</v>
      </c>
      <c r="J1504" s="184"/>
      <c r="K1504" s="184"/>
      <c r="L1504" s="184"/>
      <c r="M1504" s="59"/>
    </row>
    <row r="1505" spans="2:13" x14ac:dyDescent="0.3">
      <c r="B1505" s="178"/>
      <c r="C1505" s="179"/>
      <c r="D1505" s="180"/>
      <c r="E1505" s="181"/>
      <c r="F1505" s="182"/>
      <c r="G1505" s="1" t="str">
        <f>IFERROR(IF(ventas_b_mes11[[#This Row],[CUIT]]="","-",VLOOKUP(ventas_b_mes11[[#This Row],[CUIT]],Lista_CUIT[#All],2,0)),"CUIT NO CARGADO")</f>
        <v>-</v>
      </c>
      <c r="H1505" s="64">
        <f>ventas_b_mes11[[#This Row],[TOTAL]]/1.21</f>
        <v>0</v>
      </c>
      <c r="I1505" s="183">
        <f>ventas_b_mes11[[#This Row],[IMPORTE NETO]]*0.21</f>
        <v>0</v>
      </c>
      <c r="J1505" s="184"/>
      <c r="K1505" s="184"/>
      <c r="L1505" s="184"/>
      <c r="M1505" s="59"/>
    </row>
    <row r="1506" spans="2:13" x14ac:dyDescent="0.3">
      <c r="B1506" s="178"/>
      <c r="C1506" s="179"/>
      <c r="D1506" s="180"/>
      <c r="E1506" s="181"/>
      <c r="F1506" s="182"/>
      <c r="G1506" s="1" t="str">
        <f>IFERROR(IF(ventas_b_mes11[[#This Row],[CUIT]]="","-",VLOOKUP(ventas_b_mes11[[#This Row],[CUIT]],Lista_CUIT[#All],2,0)),"CUIT NO CARGADO")</f>
        <v>-</v>
      </c>
      <c r="H1506" s="64">
        <f>ventas_b_mes11[[#This Row],[TOTAL]]/1.21</f>
        <v>0</v>
      </c>
      <c r="I1506" s="183">
        <f>ventas_b_mes11[[#This Row],[IMPORTE NETO]]*0.21</f>
        <v>0</v>
      </c>
      <c r="J1506" s="184"/>
      <c r="K1506" s="184"/>
      <c r="L1506" s="184"/>
      <c r="M1506" s="59"/>
    </row>
    <row r="1507" spans="2:13" x14ac:dyDescent="0.3">
      <c r="B1507" s="178"/>
      <c r="C1507" s="179"/>
      <c r="D1507" s="180"/>
      <c r="E1507" s="181"/>
      <c r="F1507" s="182"/>
      <c r="G1507" s="1" t="str">
        <f>IFERROR(IF(ventas_b_mes11[[#This Row],[CUIT]]="","-",VLOOKUP(ventas_b_mes11[[#This Row],[CUIT]],Lista_CUIT[#All],2,0)),"CUIT NO CARGADO")</f>
        <v>-</v>
      </c>
      <c r="H1507" s="64">
        <f>ventas_b_mes11[[#This Row],[TOTAL]]/1.21</f>
        <v>0</v>
      </c>
      <c r="I1507" s="183">
        <f>ventas_b_mes11[[#This Row],[IMPORTE NETO]]*0.21</f>
        <v>0</v>
      </c>
      <c r="J1507" s="184"/>
      <c r="K1507" s="184"/>
      <c r="L1507" s="184"/>
      <c r="M1507" s="59"/>
    </row>
    <row r="1508" spans="2:13" x14ac:dyDescent="0.3">
      <c r="B1508" s="178"/>
      <c r="C1508" s="179"/>
      <c r="D1508" s="180"/>
      <c r="E1508" s="181"/>
      <c r="F1508" s="182"/>
      <c r="G1508" s="1" t="str">
        <f>IFERROR(IF(ventas_b_mes11[[#This Row],[CUIT]]="","-",VLOOKUP(ventas_b_mes11[[#This Row],[CUIT]],Lista_CUIT[#All],2,0)),"CUIT NO CARGADO")</f>
        <v>-</v>
      </c>
      <c r="H1508" s="64">
        <f>ventas_b_mes11[[#This Row],[TOTAL]]/1.21</f>
        <v>0</v>
      </c>
      <c r="I1508" s="183">
        <f>ventas_b_mes11[[#This Row],[IMPORTE NETO]]*0.21</f>
        <v>0</v>
      </c>
      <c r="J1508" s="184"/>
      <c r="K1508" s="184"/>
      <c r="L1508" s="184"/>
      <c r="M1508" s="59"/>
    </row>
    <row r="1509" spans="2:13" x14ac:dyDescent="0.3">
      <c r="B1509" s="178"/>
      <c r="C1509" s="179"/>
      <c r="D1509" s="180"/>
      <c r="E1509" s="181"/>
      <c r="F1509" s="182"/>
      <c r="G1509" s="1" t="str">
        <f>IFERROR(IF(ventas_b_mes11[[#This Row],[CUIT]]="","-",VLOOKUP(ventas_b_mes11[[#This Row],[CUIT]],Lista_CUIT[#All],2,0)),"CUIT NO CARGADO")</f>
        <v>-</v>
      </c>
      <c r="H1509" s="64">
        <f>ventas_b_mes11[[#This Row],[TOTAL]]/1.21</f>
        <v>0</v>
      </c>
      <c r="I1509" s="183">
        <f>ventas_b_mes11[[#This Row],[IMPORTE NETO]]*0.21</f>
        <v>0</v>
      </c>
      <c r="J1509" s="184"/>
      <c r="K1509" s="184"/>
      <c r="L1509" s="184"/>
      <c r="M1509" s="59"/>
    </row>
    <row r="1510" spans="2:13" x14ac:dyDescent="0.3">
      <c r="B1510" s="178"/>
      <c r="C1510" s="179"/>
      <c r="D1510" s="180"/>
      <c r="E1510" s="181"/>
      <c r="F1510" s="182"/>
      <c r="G1510" s="1" t="str">
        <f>IFERROR(IF(ventas_b_mes11[[#This Row],[CUIT]]="","-",VLOOKUP(ventas_b_mes11[[#This Row],[CUIT]],Lista_CUIT[#All],2,0)),"CUIT NO CARGADO")</f>
        <v>-</v>
      </c>
      <c r="H1510" s="64">
        <f>ventas_b_mes11[[#This Row],[TOTAL]]/1.21</f>
        <v>0</v>
      </c>
      <c r="I1510" s="183">
        <f>ventas_b_mes11[[#This Row],[IMPORTE NETO]]*0.21</f>
        <v>0</v>
      </c>
      <c r="J1510" s="184"/>
      <c r="K1510" s="184"/>
      <c r="L1510" s="184"/>
      <c r="M1510" s="59"/>
    </row>
    <row r="1511" spans="2:13" x14ac:dyDescent="0.3">
      <c r="B1511" s="178"/>
      <c r="C1511" s="179"/>
      <c r="D1511" s="180"/>
      <c r="E1511" s="181"/>
      <c r="F1511" s="182"/>
      <c r="G1511" s="1" t="str">
        <f>IFERROR(IF(ventas_b_mes11[[#This Row],[CUIT]]="","-",VLOOKUP(ventas_b_mes11[[#This Row],[CUIT]],Lista_CUIT[#All],2,0)),"CUIT NO CARGADO")</f>
        <v>-</v>
      </c>
      <c r="H1511" s="64">
        <f>ventas_b_mes11[[#This Row],[TOTAL]]/1.21</f>
        <v>0</v>
      </c>
      <c r="I1511" s="183">
        <f>ventas_b_mes11[[#This Row],[IMPORTE NETO]]*0.21</f>
        <v>0</v>
      </c>
      <c r="J1511" s="184"/>
      <c r="K1511" s="184"/>
      <c r="L1511" s="184"/>
      <c r="M1511" s="59"/>
    </row>
    <row r="1512" spans="2:13" x14ac:dyDescent="0.3">
      <c r="B1512" s="178"/>
      <c r="C1512" s="179"/>
      <c r="D1512" s="180"/>
      <c r="E1512" s="181"/>
      <c r="F1512" s="182"/>
      <c r="G1512" s="1" t="str">
        <f>IFERROR(IF(ventas_b_mes11[[#This Row],[CUIT]]="","-",VLOOKUP(ventas_b_mes11[[#This Row],[CUIT]],Lista_CUIT[#All],2,0)),"CUIT NO CARGADO")</f>
        <v>-</v>
      </c>
      <c r="H1512" s="64">
        <f>ventas_b_mes11[[#This Row],[TOTAL]]/1.21</f>
        <v>0</v>
      </c>
      <c r="I1512" s="183">
        <f>ventas_b_mes11[[#This Row],[IMPORTE NETO]]*0.21</f>
        <v>0</v>
      </c>
      <c r="J1512" s="184"/>
      <c r="K1512" s="184"/>
      <c r="L1512" s="184"/>
      <c r="M1512" s="59"/>
    </row>
    <row r="1513" spans="2:13" x14ac:dyDescent="0.3">
      <c r="B1513" s="178"/>
      <c r="C1513" s="179"/>
      <c r="D1513" s="180"/>
      <c r="E1513" s="181"/>
      <c r="F1513" s="182"/>
      <c r="G1513" s="1" t="str">
        <f>IFERROR(IF(ventas_b_mes11[[#This Row],[CUIT]]="","-",VLOOKUP(ventas_b_mes11[[#This Row],[CUIT]],Lista_CUIT[#All],2,0)),"CUIT NO CARGADO")</f>
        <v>-</v>
      </c>
      <c r="H1513" s="64">
        <f>ventas_b_mes11[[#This Row],[TOTAL]]/1.21</f>
        <v>0</v>
      </c>
      <c r="I1513" s="183">
        <f>ventas_b_mes11[[#This Row],[IMPORTE NETO]]*0.21</f>
        <v>0</v>
      </c>
      <c r="J1513" s="184"/>
      <c r="K1513" s="184"/>
      <c r="L1513" s="184"/>
      <c r="M1513" s="59"/>
    </row>
    <row r="1514" spans="2:13" x14ac:dyDescent="0.3">
      <c r="B1514" s="178"/>
      <c r="C1514" s="179"/>
      <c r="D1514" s="180"/>
      <c r="E1514" s="181"/>
      <c r="F1514" s="182"/>
      <c r="G1514" s="1" t="str">
        <f>IFERROR(IF(ventas_b_mes11[[#This Row],[CUIT]]="","-",VLOOKUP(ventas_b_mes11[[#This Row],[CUIT]],Lista_CUIT[#All],2,0)),"CUIT NO CARGADO")</f>
        <v>-</v>
      </c>
      <c r="H1514" s="64">
        <f>ventas_b_mes11[[#This Row],[TOTAL]]/1.21</f>
        <v>0</v>
      </c>
      <c r="I1514" s="183">
        <f>ventas_b_mes11[[#This Row],[IMPORTE NETO]]*0.21</f>
        <v>0</v>
      </c>
      <c r="J1514" s="184"/>
      <c r="K1514" s="184"/>
      <c r="L1514" s="184"/>
      <c r="M1514" s="59"/>
    </row>
    <row r="1515" spans="2:13" x14ac:dyDescent="0.3">
      <c r="B1515" s="178"/>
      <c r="C1515" s="179"/>
      <c r="D1515" s="180"/>
      <c r="E1515" s="181"/>
      <c r="F1515" s="182"/>
      <c r="G1515" s="1" t="str">
        <f>IFERROR(IF(ventas_b_mes11[[#This Row],[CUIT]]="","-",VLOOKUP(ventas_b_mes11[[#This Row],[CUIT]],Lista_CUIT[#All],2,0)),"CUIT NO CARGADO")</f>
        <v>-</v>
      </c>
      <c r="H1515" s="64">
        <f>ventas_b_mes11[[#This Row],[TOTAL]]/1.21</f>
        <v>0</v>
      </c>
      <c r="I1515" s="183">
        <f>ventas_b_mes11[[#This Row],[IMPORTE NETO]]*0.21</f>
        <v>0</v>
      </c>
      <c r="J1515" s="184"/>
      <c r="K1515" s="184"/>
      <c r="L1515" s="184"/>
      <c r="M1515" s="59"/>
    </row>
    <row r="1516" spans="2:13" x14ac:dyDescent="0.3">
      <c r="B1516" s="178"/>
      <c r="C1516" s="179"/>
      <c r="D1516" s="180"/>
      <c r="E1516" s="181"/>
      <c r="F1516" s="182"/>
      <c r="G1516" s="1" t="str">
        <f>IFERROR(IF(ventas_b_mes11[[#This Row],[CUIT]]="","-",VLOOKUP(ventas_b_mes11[[#This Row],[CUIT]],Lista_CUIT[#All],2,0)),"CUIT NO CARGADO")</f>
        <v>-</v>
      </c>
      <c r="H1516" s="64">
        <f>ventas_b_mes11[[#This Row],[TOTAL]]/1.21</f>
        <v>0</v>
      </c>
      <c r="I1516" s="183">
        <f>ventas_b_mes11[[#This Row],[IMPORTE NETO]]*0.21</f>
        <v>0</v>
      </c>
      <c r="J1516" s="184"/>
      <c r="K1516" s="184"/>
      <c r="L1516" s="184"/>
      <c r="M1516" s="59"/>
    </row>
    <row r="1517" spans="2:13" x14ac:dyDescent="0.3">
      <c r="B1517" s="178"/>
      <c r="C1517" s="179"/>
      <c r="D1517" s="180"/>
      <c r="E1517" s="181"/>
      <c r="F1517" s="182"/>
      <c r="G1517" s="1" t="str">
        <f>IFERROR(IF(ventas_b_mes11[[#This Row],[CUIT]]="","-",VLOOKUP(ventas_b_mes11[[#This Row],[CUIT]],Lista_CUIT[#All],2,0)),"CUIT NO CARGADO")</f>
        <v>-</v>
      </c>
      <c r="H1517" s="64">
        <f>ventas_b_mes11[[#This Row],[TOTAL]]/1.21</f>
        <v>0</v>
      </c>
      <c r="I1517" s="183">
        <f>ventas_b_mes11[[#This Row],[IMPORTE NETO]]*0.21</f>
        <v>0</v>
      </c>
      <c r="J1517" s="184"/>
      <c r="K1517" s="184"/>
      <c r="L1517" s="184"/>
      <c r="M1517" s="59"/>
    </row>
    <row r="1518" spans="2:13" x14ac:dyDescent="0.3">
      <c r="B1518" s="178"/>
      <c r="C1518" s="179"/>
      <c r="D1518" s="180"/>
      <c r="E1518" s="181"/>
      <c r="F1518" s="182"/>
      <c r="G1518" s="1" t="str">
        <f>IFERROR(IF(ventas_b_mes11[[#This Row],[CUIT]]="","-",VLOOKUP(ventas_b_mes11[[#This Row],[CUIT]],Lista_CUIT[#All],2,0)),"CUIT NO CARGADO")</f>
        <v>-</v>
      </c>
      <c r="H1518" s="64">
        <f>ventas_b_mes11[[#This Row],[TOTAL]]/1.21</f>
        <v>0</v>
      </c>
      <c r="I1518" s="183">
        <f>ventas_b_mes11[[#This Row],[IMPORTE NETO]]*0.21</f>
        <v>0</v>
      </c>
      <c r="J1518" s="184"/>
      <c r="K1518" s="184"/>
      <c r="L1518" s="184"/>
      <c r="M1518" s="59"/>
    </row>
    <row r="1519" spans="2:13" x14ac:dyDescent="0.3">
      <c r="B1519" s="178"/>
      <c r="C1519" s="179"/>
      <c r="D1519" s="180"/>
      <c r="E1519" s="181"/>
      <c r="F1519" s="182"/>
      <c r="G1519" s="1" t="str">
        <f>IFERROR(IF(ventas_b_mes11[[#This Row],[CUIT]]="","-",VLOOKUP(ventas_b_mes11[[#This Row],[CUIT]],Lista_CUIT[#All],2,0)),"CUIT NO CARGADO")</f>
        <v>-</v>
      </c>
      <c r="H1519" s="64">
        <f>ventas_b_mes11[[#This Row],[TOTAL]]/1.21</f>
        <v>0</v>
      </c>
      <c r="I1519" s="183">
        <f>ventas_b_mes11[[#This Row],[IMPORTE NETO]]*0.21</f>
        <v>0</v>
      </c>
      <c r="J1519" s="184"/>
      <c r="K1519" s="184"/>
      <c r="L1519" s="184"/>
      <c r="M1519" s="59"/>
    </row>
    <row r="1520" spans="2:13" x14ac:dyDescent="0.3">
      <c r="B1520" s="178"/>
      <c r="C1520" s="179"/>
      <c r="D1520" s="180"/>
      <c r="E1520" s="181"/>
      <c r="F1520" s="182"/>
      <c r="G1520" s="1" t="str">
        <f>IFERROR(IF(ventas_b_mes11[[#This Row],[CUIT]]="","-",VLOOKUP(ventas_b_mes11[[#This Row],[CUIT]],Lista_CUIT[#All],2,0)),"CUIT NO CARGADO")</f>
        <v>-</v>
      </c>
      <c r="H1520" s="64">
        <f>ventas_b_mes11[[#This Row],[TOTAL]]/1.21</f>
        <v>0</v>
      </c>
      <c r="I1520" s="183">
        <f>ventas_b_mes11[[#This Row],[IMPORTE NETO]]*0.21</f>
        <v>0</v>
      </c>
      <c r="J1520" s="184"/>
      <c r="K1520" s="184"/>
      <c r="L1520" s="184"/>
      <c r="M1520" s="59"/>
    </row>
    <row r="1521" spans="2:13" x14ac:dyDescent="0.3">
      <c r="B1521" s="178"/>
      <c r="C1521" s="179"/>
      <c r="D1521" s="180"/>
      <c r="E1521" s="181"/>
      <c r="F1521" s="182"/>
      <c r="G1521" s="1" t="str">
        <f>IFERROR(IF(ventas_b_mes11[[#This Row],[CUIT]]="","-",VLOOKUP(ventas_b_mes11[[#This Row],[CUIT]],Lista_CUIT[#All],2,0)),"CUIT NO CARGADO")</f>
        <v>-</v>
      </c>
      <c r="H1521" s="64">
        <f>ventas_b_mes11[[#This Row],[TOTAL]]/1.21</f>
        <v>0</v>
      </c>
      <c r="I1521" s="183">
        <f>ventas_b_mes11[[#This Row],[IMPORTE NETO]]*0.21</f>
        <v>0</v>
      </c>
      <c r="J1521" s="184"/>
      <c r="K1521" s="184"/>
      <c r="L1521" s="184"/>
      <c r="M1521" s="59"/>
    </row>
    <row r="1522" spans="2:13" x14ac:dyDescent="0.3">
      <c r="B1522" s="178"/>
      <c r="C1522" s="179"/>
      <c r="D1522" s="180"/>
      <c r="E1522" s="181"/>
      <c r="F1522" s="182"/>
      <c r="G1522" s="1" t="str">
        <f>IFERROR(IF(ventas_b_mes11[[#This Row],[CUIT]]="","-",VLOOKUP(ventas_b_mes11[[#This Row],[CUIT]],Lista_CUIT[#All],2,0)),"CUIT NO CARGADO")</f>
        <v>-</v>
      </c>
      <c r="H1522" s="64">
        <f>ventas_b_mes11[[#This Row],[TOTAL]]/1.21</f>
        <v>0</v>
      </c>
      <c r="I1522" s="183">
        <f>ventas_b_mes11[[#This Row],[IMPORTE NETO]]*0.21</f>
        <v>0</v>
      </c>
      <c r="J1522" s="184"/>
      <c r="K1522" s="184"/>
      <c r="L1522" s="184"/>
      <c r="M1522" s="59"/>
    </row>
    <row r="1523" spans="2:13" x14ac:dyDescent="0.3">
      <c r="B1523" s="178"/>
      <c r="C1523" s="179"/>
      <c r="D1523" s="180"/>
      <c r="E1523" s="181"/>
      <c r="F1523" s="182"/>
      <c r="G1523" s="1" t="str">
        <f>IFERROR(IF(ventas_b_mes11[[#This Row],[CUIT]]="","-",VLOOKUP(ventas_b_mes11[[#This Row],[CUIT]],Lista_CUIT[#All],2,0)),"CUIT NO CARGADO")</f>
        <v>-</v>
      </c>
      <c r="H1523" s="64">
        <f>ventas_b_mes11[[#This Row],[TOTAL]]/1.21</f>
        <v>0</v>
      </c>
      <c r="I1523" s="183">
        <f>ventas_b_mes11[[#This Row],[IMPORTE NETO]]*0.21</f>
        <v>0</v>
      </c>
      <c r="J1523" s="184"/>
      <c r="K1523" s="184"/>
      <c r="L1523" s="184"/>
      <c r="M1523" s="59"/>
    </row>
    <row r="1524" spans="2:13" x14ac:dyDescent="0.3">
      <c r="B1524" s="178"/>
      <c r="C1524" s="179"/>
      <c r="D1524" s="180"/>
      <c r="E1524" s="181"/>
      <c r="F1524" s="182"/>
      <c r="G1524" s="1" t="str">
        <f>IFERROR(IF(ventas_b_mes11[[#This Row],[CUIT]]="","-",VLOOKUP(ventas_b_mes11[[#This Row],[CUIT]],Lista_CUIT[#All],2,0)),"CUIT NO CARGADO")</f>
        <v>-</v>
      </c>
      <c r="H1524" s="64">
        <f>ventas_b_mes11[[#This Row],[TOTAL]]/1.21</f>
        <v>0</v>
      </c>
      <c r="I1524" s="183">
        <f>ventas_b_mes11[[#This Row],[IMPORTE NETO]]*0.21</f>
        <v>0</v>
      </c>
      <c r="J1524" s="184"/>
      <c r="K1524" s="184"/>
      <c r="L1524" s="184"/>
      <c r="M1524" s="59"/>
    </row>
    <row r="1525" spans="2:13" x14ac:dyDescent="0.3">
      <c r="B1525" s="178"/>
      <c r="C1525" s="179"/>
      <c r="D1525" s="180"/>
      <c r="E1525" s="181"/>
      <c r="F1525" s="182"/>
      <c r="G1525" s="1" t="str">
        <f>IFERROR(IF(ventas_b_mes11[[#This Row],[CUIT]]="","-",VLOOKUP(ventas_b_mes11[[#This Row],[CUIT]],Lista_CUIT[#All],2,0)),"CUIT NO CARGADO")</f>
        <v>-</v>
      </c>
      <c r="H1525" s="64">
        <f>ventas_b_mes11[[#This Row],[TOTAL]]/1.21</f>
        <v>0</v>
      </c>
      <c r="I1525" s="183">
        <f>ventas_b_mes11[[#This Row],[IMPORTE NETO]]*0.21</f>
        <v>0</v>
      </c>
      <c r="J1525" s="184"/>
      <c r="K1525" s="184"/>
      <c r="L1525" s="184"/>
      <c r="M1525" s="59"/>
    </row>
    <row r="1526" spans="2:13" x14ac:dyDescent="0.3">
      <c r="B1526" s="178"/>
      <c r="C1526" s="179"/>
      <c r="D1526" s="180"/>
      <c r="E1526" s="181"/>
      <c r="F1526" s="182"/>
      <c r="G1526" s="1" t="str">
        <f>IFERROR(IF(ventas_b_mes11[[#This Row],[CUIT]]="","-",VLOOKUP(ventas_b_mes11[[#This Row],[CUIT]],Lista_CUIT[#All],2,0)),"CUIT NO CARGADO")</f>
        <v>-</v>
      </c>
      <c r="H1526" s="64">
        <f>ventas_b_mes11[[#This Row],[TOTAL]]/1.21</f>
        <v>0</v>
      </c>
      <c r="I1526" s="183">
        <f>ventas_b_mes11[[#This Row],[IMPORTE NETO]]*0.21</f>
        <v>0</v>
      </c>
      <c r="J1526" s="184"/>
      <c r="K1526" s="184"/>
      <c r="L1526" s="184"/>
      <c r="M1526" s="59"/>
    </row>
    <row r="1527" spans="2:13" x14ac:dyDescent="0.3">
      <c r="B1527" s="178"/>
      <c r="C1527" s="179"/>
      <c r="D1527" s="180"/>
      <c r="E1527" s="181"/>
      <c r="F1527" s="182"/>
      <c r="G1527" s="1" t="str">
        <f>IFERROR(IF(ventas_b_mes11[[#This Row],[CUIT]]="","-",VLOOKUP(ventas_b_mes11[[#This Row],[CUIT]],Lista_CUIT[#All],2,0)),"CUIT NO CARGADO")</f>
        <v>-</v>
      </c>
      <c r="H1527" s="64">
        <f>ventas_b_mes11[[#This Row],[TOTAL]]/1.21</f>
        <v>0</v>
      </c>
      <c r="I1527" s="183">
        <f>ventas_b_mes11[[#This Row],[IMPORTE NETO]]*0.21</f>
        <v>0</v>
      </c>
      <c r="J1527" s="184"/>
      <c r="K1527" s="184"/>
      <c r="L1527" s="184"/>
      <c r="M1527" s="59"/>
    </row>
    <row r="1528" spans="2:13" x14ac:dyDescent="0.3">
      <c r="B1528" s="178"/>
      <c r="C1528" s="179"/>
      <c r="D1528" s="180"/>
      <c r="E1528" s="181"/>
      <c r="F1528" s="182"/>
      <c r="G1528" s="1" t="str">
        <f>IFERROR(IF(ventas_b_mes11[[#This Row],[CUIT]]="","-",VLOOKUP(ventas_b_mes11[[#This Row],[CUIT]],Lista_CUIT[#All],2,0)),"CUIT NO CARGADO")</f>
        <v>-</v>
      </c>
      <c r="H1528" s="64">
        <f>ventas_b_mes11[[#This Row],[TOTAL]]/1.21</f>
        <v>0</v>
      </c>
      <c r="I1528" s="183">
        <f>ventas_b_mes11[[#This Row],[IMPORTE NETO]]*0.21</f>
        <v>0</v>
      </c>
      <c r="J1528" s="184"/>
      <c r="K1528" s="184"/>
      <c r="L1528" s="184"/>
      <c r="M1528" s="59"/>
    </row>
    <row r="1529" spans="2:13" x14ac:dyDescent="0.3">
      <c r="B1529" s="178"/>
      <c r="C1529" s="179"/>
      <c r="D1529" s="180"/>
      <c r="E1529" s="181"/>
      <c r="F1529" s="182"/>
      <c r="G1529" s="1" t="str">
        <f>IFERROR(IF(ventas_b_mes11[[#This Row],[CUIT]]="","-",VLOOKUP(ventas_b_mes11[[#This Row],[CUIT]],Lista_CUIT[#All],2,0)),"CUIT NO CARGADO")</f>
        <v>-</v>
      </c>
      <c r="H1529" s="64">
        <f>ventas_b_mes11[[#This Row],[TOTAL]]/1.21</f>
        <v>0</v>
      </c>
      <c r="I1529" s="183">
        <f>ventas_b_mes11[[#This Row],[IMPORTE NETO]]*0.21</f>
        <v>0</v>
      </c>
      <c r="J1529" s="184"/>
      <c r="K1529" s="184"/>
      <c r="L1529" s="184"/>
      <c r="M1529" s="59"/>
    </row>
    <row r="1530" spans="2:13" x14ac:dyDescent="0.3">
      <c r="B1530" s="178"/>
      <c r="C1530" s="179"/>
      <c r="D1530" s="180"/>
      <c r="E1530" s="181"/>
      <c r="F1530" s="182"/>
      <c r="G1530" s="1" t="str">
        <f>IFERROR(IF(ventas_b_mes11[[#This Row],[CUIT]]="","-",VLOOKUP(ventas_b_mes11[[#This Row],[CUIT]],Lista_CUIT[#All],2,0)),"CUIT NO CARGADO")</f>
        <v>-</v>
      </c>
      <c r="H1530" s="64">
        <f>ventas_b_mes11[[#This Row],[TOTAL]]/1.21</f>
        <v>0</v>
      </c>
      <c r="I1530" s="183">
        <f>ventas_b_mes11[[#This Row],[IMPORTE NETO]]*0.21</f>
        <v>0</v>
      </c>
      <c r="J1530" s="184"/>
      <c r="K1530" s="184"/>
      <c r="L1530" s="184"/>
      <c r="M1530" s="59"/>
    </row>
    <row r="1531" spans="2:13" x14ac:dyDescent="0.3">
      <c r="B1531" s="178"/>
      <c r="C1531" s="179"/>
      <c r="D1531" s="180"/>
      <c r="E1531" s="181"/>
      <c r="F1531" s="182"/>
      <c r="G1531" s="1" t="str">
        <f>IFERROR(IF(ventas_b_mes11[[#This Row],[CUIT]]="","-",VLOOKUP(ventas_b_mes11[[#This Row],[CUIT]],Lista_CUIT[#All],2,0)),"CUIT NO CARGADO")</f>
        <v>-</v>
      </c>
      <c r="H1531" s="64">
        <f>ventas_b_mes11[[#This Row],[TOTAL]]/1.21</f>
        <v>0</v>
      </c>
      <c r="I1531" s="183">
        <f>ventas_b_mes11[[#This Row],[IMPORTE NETO]]*0.21</f>
        <v>0</v>
      </c>
      <c r="J1531" s="184"/>
      <c r="K1531" s="184"/>
      <c r="L1531" s="184"/>
      <c r="M1531" s="59"/>
    </row>
    <row r="1532" spans="2:13" x14ac:dyDescent="0.3">
      <c r="B1532" s="178"/>
      <c r="C1532" s="179"/>
      <c r="D1532" s="180"/>
      <c r="E1532" s="181"/>
      <c r="F1532" s="182"/>
      <c r="G1532" s="1" t="str">
        <f>IFERROR(IF(ventas_b_mes11[[#This Row],[CUIT]]="","-",VLOOKUP(ventas_b_mes11[[#This Row],[CUIT]],Lista_CUIT[#All],2,0)),"CUIT NO CARGADO")</f>
        <v>-</v>
      </c>
      <c r="H1532" s="64">
        <f>ventas_b_mes11[[#This Row],[TOTAL]]/1.21</f>
        <v>0</v>
      </c>
      <c r="I1532" s="183">
        <f>ventas_b_mes11[[#This Row],[IMPORTE NETO]]*0.21</f>
        <v>0</v>
      </c>
      <c r="J1532" s="184"/>
      <c r="K1532" s="184"/>
      <c r="L1532" s="184"/>
      <c r="M1532" s="59"/>
    </row>
    <row r="1533" spans="2:13" x14ac:dyDescent="0.3">
      <c r="B1533" s="178"/>
      <c r="C1533" s="179"/>
      <c r="D1533" s="180"/>
      <c r="E1533" s="181"/>
      <c r="F1533" s="182"/>
      <c r="G1533" s="1" t="str">
        <f>IFERROR(IF(ventas_b_mes11[[#This Row],[CUIT]]="","-",VLOOKUP(ventas_b_mes11[[#This Row],[CUIT]],Lista_CUIT[#All],2,0)),"CUIT NO CARGADO")</f>
        <v>-</v>
      </c>
      <c r="H1533" s="64">
        <f>ventas_b_mes11[[#This Row],[TOTAL]]/1.21</f>
        <v>0</v>
      </c>
      <c r="I1533" s="183">
        <f>ventas_b_mes11[[#This Row],[IMPORTE NETO]]*0.21</f>
        <v>0</v>
      </c>
      <c r="J1533" s="184"/>
      <c r="K1533" s="184"/>
      <c r="L1533" s="184"/>
      <c r="M1533" s="59"/>
    </row>
    <row r="1534" spans="2:13" x14ac:dyDescent="0.3">
      <c r="B1534" s="178"/>
      <c r="C1534" s="179"/>
      <c r="D1534" s="180"/>
      <c r="E1534" s="181"/>
      <c r="F1534" s="182"/>
      <c r="G1534" s="1" t="str">
        <f>IFERROR(IF(ventas_b_mes11[[#This Row],[CUIT]]="","-",VLOOKUP(ventas_b_mes11[[#This Row],[CUIT]],Lista_CUIT[#All],2,0)),"CUIT NO CARGADO")</f>
        <v>-</v>
      </c>
      <c r="H1534" s="64">
        <f>ventas_b_mes11[[#This Row],[TOTAL]]/1.21</f>
        <v>0</v>
      </c>
      <c r="I1534" s="183">
        <f>ventas_b_mes11[[#This Row],[IMPORTE NETO]]*0.21</f>
        <v>0</v>
      </c>
      <c r="J1534" s="184"/>
      <c r="K1534" s="184"/>
      <c r="L1534" s="184"/>
      <c r="M1534" s="59"/>
    </row>
    <row r="1535" spans="2:13" x14ac:dyDescent="0.3">
      <c r="B1535" s="178"/>
      <c r="C1535" s="179"/>
      <c r="D1535" s="180"/>
      <c r="E1535" s="181"/>
      <c r="F1535" s="182"/>
      <c r="G1535" s="1" t="str">
        <f>IFERROR(IF(ventas_b_mes11[[#This Row],[CUIT]]="","-",VLOOKUP(ventas_b_mes11[[#This Row],[CUIT]],Lista_CUIT[#All],2,0)),"CUIT NO CARGADO")</f>
        <v>-</v>
      </c>
      <c r="H1535" s="64">
        <f>ventas_b_mes11[[#This Row],[TOTAL]]/1.21</f>
        <v>0</v>
      </c>
      <c r="I1535" s="183">
        <f>ventas_b_mes11[[#This Row],[IMPORTE NETO]]*0.21</f>
        <v>0</v>
      </c>
      <c r="J1535" s="184"/>
      <c r="K1535" s="184"/>
      <c r="L1535" s="184"/>
      <c r="M1535" s="59"/>
    </row>
    <row r="1536" spans="2:13" x14ac:dyDescent="0.3">
      <c r="B1536" s="178"/>
      <c r="C1536" s="179"/>
      <c r="D1536" s="180"/>
      <c r="E1536" s="181"/>
      <c r="F1536" s="182"/>
      <c r="G1536" s="1" t="str">
        <f>IFERROR(IF(ventas_b_mes11[[#This Row],[CUIT]]="","-",VLOOKUP(ventas_b_mes11[[#This Row],[CUIT]],Lista_CUIT[#All],2,0)),"CUIT NO CARGADO")</f>
        <v>-</v>
      </c>
      <c r="H1536" s="64">
        <f>ventas_b_mes11[[#This Row],[TOTAL]]/1.21</f>
        <v>0</v>
      </c>
      <c r="I1536" s="183">
        <f>ventas_b_mes11[[#This Row],[IMPORTE NETO]]*0.21</f>
        <v>0</v>
      </c>
      <c r="J1536" s="184"/>
      <c r="K1536" s="184"/>
      <c r="L1536" s="184"/>
      <c r="M1536" s="59"/>
    </row>
    <row r="1537" spans="2:13" x14ac:dyDescent="0.3">
      <c r="B1537" s="178"/>
      <c r="C1537" s="179"/>
      <c r="D1537" s="180"/>
      <c r="E1537" s="181"/>
      <c r="F1537" s="182"/>
      <c r="G1537" s="1" t="str">
        <f>IFERROR(IF(ventas_b_mes11[[#This Row],[CUIT]]="","-",VLOOKUP(ventas_b_mes11[[#This Row],[CUIT]],Lista_CUIT[#All],2,0)),"CUIT NO CARGADO")</f>
        <v>-</v>
      </c>
      <c r="H1537" s="64">
        <f>ventas_b_mes11[[#This Row],[TOTAL]]/1.21</f>
        <v>0</v>
      </c>
      <c r="I1537" s="183">
        <f>ventas_b_mes11[[#This Row],[IMPORTE NETO]]*0.21</f>
        <v>0</v>
      </c>
      <c r="J1537" s="184"/>
      <c r="K1537" s="184"/>
      <c r="L1537" s="184"/>
      <c r="M1537" s="59"/>
    </row>
    <row r="1538" spans="2:13" x14ac:dyDescent="0.3">
      <c r="B1538" s="178"/>
      <c r="C1538" s="179"/>
      <c r="D1538" s="180"/>
      <c r="E1538" s="181"/>
      <c r="F1538" s="182"/>
      <c r="G1538" s="1" t="str">
        <f>IFERROR(IF(ventas_b_mes11[[#This Row],[CUIT]]="","-",VLOOKUP(ventas_b_mes11[[#This Row],[CUIT]],Lista_CUIT[#All],2,0)),"CUIT NO CARGADO")</f>
        <v>-</v>
      </c>
      <c r="H1538" s="64">
        <f>ventas_b_mes11[[#This Row],[TOTAL]]/1.21</f>
        <v>0</v>
      </c>
      <c r="I1538" s="183">
        <f>ventas_b_mes11[[#This Row],[IMPORTE NETO]]*0.21</f>
        <v>0</v>
      </c>
      <c r="J1538" s="184"/>
      <c r="K1538" s="184"/>
      <c r="L1538" s="184"/>
      <c r="M1538" s="59"/>
    </row>
    <row r="1539" spans="2:13" x14ac:dyDescent="0.3">
      <c r="B1539" s="178"/>
      <c r="C1539" s="179"/>
      <c r="D1539" s="180"/>
      <c r="E1539" s="181"/>
      <c r="F1539" s="182"/>
      <c r="G1539" s="1" t="str">
        <f>IFERROR(IF(ventas_b_mes11[[#This Row],[CUIT]]="","-",VLOOKUP(ventas_b_mes11[[#This Row],[CUIT]],Lista_CUIT[#All],2,0)),"CUIT NO CARGADO")</f>
        <v>-</v>
      </c>
      <c r="H1539" s="64">
        <f>ventas_b_mes11[[#This Row],[TOTAL]]/1.21</f>
        <v>0</v>
      </c>
      <c r="I1539" s="183">
        <f>ventas_b_mes11[[#This Row],[IMPORTE NETO]]*0.21</f>
        <v>0</v>
      </c>
      <c r="J1539" s="184"/>
      <c r="K1539" s="184"/>
      <c r="L1539" s="184"/>
      <c r="M1539" s="59"/>
    </row>
    <row r="1540" spans="2:13" x14ac:dyDescent="0.3">
      <c r="B1540" s="178"/>
      <c r="C1540" s="179"/>
      <c r="D1540" s="180"/>
      <c r="E1540" s="181"/>
      <c r="F1540" s="182"/>
      <c r="G1540" s="1" t="str">
        <f>IFERROR(IF(ventas_b_mes11[[#This Row],[CUIT]]="","-",VLOOKUP(ventas_b_mes11[[#This Row],[CUIT]],Lista_CUIT[#All],2,0)),"CUIT NO CARGADO")</f>
        <v>-</v>
      </c>
      <c r="H1540" s="64">
        <f>ventas_b_mes11[[#This Row],[TOTAL]]/1.21</f>
        <v>0</v>
      </c>
      <c r="I1540" s="183">
        <f>ventas_b_mes11[[#This Row],[IMPORTE NETO]]*0.21</f>
        <v>0</v>
      </c>
      <c r="J1540" s="184"/>
      <c r="K1540" s="184"/>
      <c r="L1540" s="184"/>
      <c r="M1540" s="59"/>
    </row>
    <row r="1541" spans="2:13" x14ac:dyDescent="0.3">
      <c r="B1541" s="178"/>
      <c r="C1541" s="179"/>
      <c r="D1541" s="180"/>
      <c r="E1541" s="181"/>
      <c r="F1541" s="182"/>
      <c r="G1541" s="1" t="str">
        <f>IFERROR(IF(ventas_b_mes11[[#This Row],[CUIT]]="","-",VLOOKUP(ventas_b_mes11[[#This Row],[CUIT]],Lista_CUIT[#All],2,0)),"CUIT NO CARGADO")</f>
        <v>-</v>
      </c>
      <c r="H1541" s="64">
        <f>ventas_b_mes11[[#This Row],[TOTAL]]/1.21</f>
        <v>0</v>
      </c>
      <c r="I1541" s="183">
        <f>ventas_b_mes11[[#This Row],[IMPORTE NETO]]*0.21</f>
        <v>0</v>
      </c>
      <c r="J1541" s="184"/>
      <c r="K1541" s="184"/>
      <c r="L1541" s="184"/>
      <c r="M1541" s="59"/>
    </row>
    <row r="1542" spans="2:13" x14ac:dyDescent="0.3">
      <c r="B1542" s="178"/>
      <c r="C1542" s="179"/>
      <c r="D1542" s="180"/>
      <c r="E1542" s="181"/>
      <c r="F1542" s="182"/>
      <c r="G1542" s="1" t="str">
        <f>IFERROR(IF(ventas_b_mes11[[#This Row],[CUIT]]="","-",VLOOKUP(ventas_b_mes11[[#This Row],[CUIT]],Lista_CUIT[#All],2,0)),"CUIT NO CARGADO")</f>
        <v>-</v>
      </c>
      <c r="H1542" s="64">
        <f>ventas_b_mes11[[#This Row],[TOTAL]]/1.21</f>
        <v>0</v>
      </c>
      <c r="I1542" s="183">
        <f>ventas_b_mes11[[#This Row],[IMPORTE NETO]]*0.21</f>
        <v>0</v>
      </c>
      <c r="J1542" s="184"/>
      <c r="K1542" s="184"/>
      <c r="L1542" s="184"/>
      <c r="M1542" s="59"/>
    </row>
    <row r="1543" spans="2:13" x14ac:dyDescent="0.3">
      <c r="B1543" s="178"/>
      <c r="C1543" s="179"/>
      <c r="D1543" s="180"/>
      <c r="E1543" s="181"/>
      <c r="F1543" s="182"/>
      <c r="G1543" s="1" t="str">
        <f>IFERROR(IF(ventas_b_mes11[[#This Row],[CUIT]]="","-",VLOOKUP(ventas_b_mes11[[#This Row],[CUIT]],Lista_CUIT[#All],2,0)),"CUIT NO CARGADO")</f>
        <v>-</v>
      </c>
      <c r="H1543" s="64">
        <f>ventas_b_mes11[[#This Row],[TOTAL]]/1.21</f>
        <v>0</v>
      </c>
      <c r="I1543" s="183">
        <f>ventas_b_mes11[[#This Row],[IMPORTE NETO]]*0.21</f>
        <v>0</v>
      </c>
      <c r="J1543" s="184"/>
      <c r="K1543" s="184"/>
      <c r="L1543" s="184"/>
      <c r="M1543" s="59"/>
    </row>
    <row r="1544" spans="2:13" x14ac:dyDescent="0.3">
      <c r="B1544" s="178"/>
      <c r="C1544" s="179"/>
      <c r="D1544" s="180"/>
      <c r="E1544" s="181"/>
      <c r="F1544" s="182"/>
      <c r="G1544" s="1" t="str">
        <f>IFERROR(IF(ventas_b_mes11[[#This Row],[CUIT]]="","-",VLOOKUP(ventas_b_mes11[[#This Row],[CUIT]],Lista_CUIT[#All],2,0)),"CUIT NO CARGADO")</f>
        <v>-</v>
      </c>
      <c r="H1544" s="64">
        <f>ventas_b_mes11[[#This Row],[TOTAL]]/1.21</f>
        <v>0</v>
      </c>
      <c r="I1544" s="183">
        <f>ventas_b_mes11[[#This Row],[IMPORTE NETO]]*0.21</f>
        <v>0</v>
      </c>
      <c r="J1544" s="184"/>
      <c r="K1544" s="184"/>
      <c r="L1544" s="184"/>
      <c r="M1544" s="59"/>
    </row>
    <row r="1545" spans="2:13" x14ac:dyDescent="0.3">
      <c r="B1545" s="178"/>
      <c r="C1545" s="179"/>
      <c r="D1545" s="180"/>
      <c r="E1545" s="181"/>
      <c r="F1545" s="182"/>
      <c r="G1545" s="1" t="str">
        <f>IFERROR(IF(ventas_b_mes11[[#This Row],[CUIT]]="","-",VLOOKUP(ventas_b_mes11[[#This Row],[CUIT]],Lista_CUIT[#All],2,0)),"CUIT NO CARGADO")</f>
        <v>-</v>
      </c>
      <c r="H1545" s="64">
        <f>ventas_b_mes11[[#This Row],[TOTAL]]/1.21</f>
        <v>0</v>
      </c>
      <c r="I1545" s="183">
        <f>ventas_b_mes11[[#This Row],[IMPORTE NETO]]*0.21</f>
        <v>0</v>
      </c>
      <c r="J1545" s="184"/>
      <c r="K1545" s="184"/>
      <c r="L1545" s="184"/>
      <c r="M1545" s="59"/>
    </row>
    <row r="1546" spans="2:13" x14ac:dyDescent="0.3">
      <c r="B1546" s="178"/>
      <c r="C1546" s="179"/>
      <c r="D1546" s="180"/>
      <c r="E1546" s="181"/>
      <c r="F1546" s="182"/>
      <c r="G1546" s="1" t="str">
        <f>IFERROR(IF(ventas_b_mes11[[#This Row],[CUIT]]="","-",VLOOKUP(ventas_b_mes11[[#This Row],[CUIT]],Lista_CUIT[#All],2,0)),"CUIT NO CARGADO")</f>
        <v>-</v>
      </c>
      <c r="H1546" s="64">
        <f>ventas_b_mes11[[#This Row],[TOTAL]]/1.21</f>
        <v>0</v>
      </c>
      <c r="I1546" s="183">
        <f>ventas_b_mes11[[#This Row],[IMPORTE NETO]]*0.21</f>
        <v>0</v>
      </c>
      <c r="J1546" s="184"/>
      <c r="K1546" s="184"/>
      <c r="L1546" s="184"/>
      <c r="M1546" s="59"/>
    </row>
    <row r="1547" spans="2:13" x14ac:dyDescent="0.3">
      <c r="B1547" s="178"/>
      <c r="C1547" s="179"/>
      <c r="D1547" s="180"/>
      <c r="E1547" s="181"/>
      <c r="F1547" s="182"/>
      <c r="G1547" s="1" t="str">
        <f>IFERROR(IF(ventas_b_mes11[[#This Row],[CUIT]]="","-",VLOOKUP(ventas_b_mes11[[#This Row],[CUIT]],Lista_CUIT[#All],2,0)),"CUIT NO CARGADO")</f>
        <v>-</v>
      </c>
      <c r="H1547" s="64">
        <f>ventas_b_mes11[[#This Row],[TOTAL]]/1.21</f>
        <v>0</v>
      </c>
      <c r="I1547" s="183">
        <f>ventas_b_mes11[[#This Row],[IMPORTE NETO]]*0.21</f>
        <v>0</v>
      </c>
      <c r="J1547" s="184"/>
      <c r="K1547" s="184"/>
      <c r="L1547" s="184"/>
      <c r="M1547" s="59"/>
    </row>
    <row r="1548" spans="2:13" x14ac:dyDescent="0.3">
      <c r="B1548" s="178"/>
      <c r="C1548" s="179"/>
      <c r="D1548" s="180"/>
      <c r="E1548" s="181"/>
      <c r="F1548" s="182"/>
      <c r="G1548" s="1" t="str">
        <f>IFERROR(IF(ventas_b_mes11[[#This Row],[CUIT]]="","-",VLOOKUP(ventas_b_mes11[[#This Row],[CUIT]],Lista_CUIT[#All],2,0)),"CUIT NO CARGADO")</f>
        <v>-</v>
      </c>
      <c r="H1548" s="64">
        <f>ventas_b_mes11[[#This Row],[TOTAL]]/1.21</f>
        <v>0</v>
      </c>
      <c r="I1548" s="183">
        <f>ventas_b_mes11[[#This Row],[IMPORTE NETO]]*0.21</f>
        <v>0</v>
      </c>
      <c r="J1548" s="184"/>
      <c r="K1548" s="184"/>
      <c r="L1548" s="184"/>
      <c r="M1548" s="59"/>
    </row>
    <row r="1549" spans="2:13" x14ac:dyDescent="0.3">
      <c r="B1549" s="178"/>
      <c r="C1549" s="179"/>
      <c r="D1549" s="180"/>
      <c r="E1549" s="181"/>
      <c r="F1549" s="182"/>
      <c r="G1549" s="1" t="str">
        <f>IFERROR(IF(ventas_b_mes11[[#This Row],[CUIT]]="","-",VLOOKUP(ventas_b_mes11[[#This Row],[CUIT]],Lista_CUIT[#All],2,0)),"CUIT NO CARGADO")</f>
        <v>-</v>
      </c>
      <c r="H1549" s="64">
        <f>ventas_b_mes11[[#This Row],[TOTAL]]/1.21</f>
        <v>0</v>
      </c>
      <c r="I1549" s="183">
        <f>ventas_b_mes11[[#This Row],[IMPORTE NETO]]*0.21</f>
        <v>0</v>
      </c>
      <c r="J1549" s="184"/>
      <c r="K1549" s="184"/>
      <c r="L1549" s="184"/>
      <c r="M1549" s="59"/>
    </row>
    <row r="1550" spans="2:13" x14ac:dyDescent="0.3">
      <c r="B1550" s="178"/>
      <c r="C1550" s="179"/>
      <c r="D1550" s="180"/>
      <c r="E1550" s="181"/>
      <c r="F1550" s="182"/>
      <c r="G1550" s="1" t="str">
        <f>IFERROR(IF(ventas_b_mes11[[#This Row],[CUIT]]="","-",VLOOKUP(ventas_b_mes11[[#This Row],[CUIT]],Lista_CUIT[#All],2,0)),"CUIT NO CARGADO")</f>
        <v>-</v>
      </c>
      <c r="H1550" s="64">
        <f>ventas_b_mes11[[#This Row],[TOTAL]]/1.21</f>
        <v>0</v>
      </c>
      <c r="I1550" s="183">
        <f>ventas_b_mes11[[#This Row],[IMPORTE NETO]]*0.21</f>
        <v>0</v>
      </c>
      <c r="J1550" s="184"/>
      <c r="K1550" s="184"/>
      <c r="L1550" s="184"/>
      <c r="M1550" s="59"/>
    </row>
    <row r="1551" spans="2:13" x14ac:dyDescent="0.3">
      <c r="B1551" s="178"/>
      <c r="C1551" s="179"/>
      <c r="D1551" s="180"/>
      <c r="E1551" s="181"/>
      <c r="F1551" s="182"/>
      <c r="G1551" s="1" t="str">
        <f>IFERROR(IF(ventas_b_mes11[[#This Row],[CUIT]]="","-",VLOOKUP(ventas_b_mes11[[#This Row],[CUIT]],Lista_CUIT[#All],2,0)),"CUIT NO CARGADO")</f>
        <v>-</v>
      </c>
      <c r="H1551" s="64">
        <f>ventas_b_mes11[[#This Row],[TOTAL]]/1.21</f>
        <v>0</v>
      </c>
      <c r="I1551" s="183">
        <f>ventas_b_mes11[[#This Row],[IMPORTE NETO]]*0.21</f>
        <v>0</v>
      </c>
      <c r="J1551" s="184"/>
      <c r="K1551" s="184"/>
      <c r="L1551" s="184"/>
      <c r="M1551" s="59"/>
    </row>
    <row r="1552" spans="2:13" x14ac:dyDescent="0.3">
      <c r="B1552" s="178"/>
      <c r="C1552" s="179"/>
      <c r="D1552" s="180"/>
      <c r="E1552" s="181"/>
      <c r="F1552" s="182"/>
      <c r="G1552" s="1" t="str">
        <f>IFERROR(IF(ventas_b_mes11[[#This Row],[CUIT]]="","-",VLOOKUP(ventas_b_mes11[[#This Row],[CUIT]],Lista_CUIT[#All],2,0)),"CUIT NO CARGADO")</f>
        <v>-</v>
      </c>
      <c r="H1552" s="64">
        <f>ventas_b_mes11[[#This Row],[TOTAL]]/1.21</f>
        <v>0</v>
      </c>
      <c r="I1552" s="183">
        <f>ventas_b_mes11[[#This Row],[IMPORTE NETO]]*0.21</f>
        <v>0</v>
      </c>
      <c r="J1552" s="184"/>
      <c r="K1552" s="184"/>
      <c r="L1552" s="184"/>
      <c r="M1552" s="59"/>
    </row>
    <row r="1553" spans="2:13" x14ac:dyDescent="0.3">
      <c r="B1553" s="178"/>
      <c r="C1553" s="179"/>
      <c r="D1553" s="180"/>
      <c r="E1553" s="181"/>
      <c r="F1553" s="182"/>
      <c r="G1553" s="1" t="str">
        <f>IFERROR(IF(ventas_b_mes11[[#This Row],[CUIT]]="","-",VLOOKUP(ventas_b_mes11[[#This Row],[CUIT]],Lista_CUIT[#All],2,0)),"CUIT NO CARGADO")</f>
        <v>-</v>
      </c>
      <c r="H1553" s="64">
        <f>ventas_b_mes11[[#This Row],[TOTAL]]/1.21</f>
        <v>0</v>
      </c>
      <c r="I1553" s="183">
        <f>ventas_b_mes11[[#This Row],[IMPORTE NETO]]*0.21</f>
        <v>0</v>
      </c>
      <c r="J1553" s="184"/>
      <c r="K1553" s="184"/>
      <c r="L1553" s="184"/>
      <c r="M1553" s="59"/>
    </row>
    <row r="1554" spans="2:13" x14ac:dyDescent="0.3">
      <c r="B1554" s="178"/>
      <c r="C1554" s="179"/>
      <c r="D1554" s="180"/>
      <c r="E1554" s="181"/>
      <c r="F1554" s="182"/>
      <c r="G1554" s="1" t="str">
        <f>IFERROR(IF(ventas_b_mes11[[#This Row],[CUIT]]="","-",VLOOKUP(ventas_b_mes11[[#This Row],[CUIT]],Lista_CUIT[#All],2,0)),"CUIT NO CARGADO")</f>
        <v>-</v>
      </c>
      <c r="H1554" s="64">
        <f>ventas_b_mes11[[#This Row],[TOTAL]]/1.21</f>
        <v>0</v>
      </c>
      <c r="I1554" s="183">
        <f>ventas_b_mes11[[#This Row],[IMPORTE NETO]]*0.21</f>
        <v>0</v>
      </c>
      <c r="J1554" s="184"/>
      <c r="K1554" s="184"/>
      <c r="L1554" s="184"/>
      <c r="M1554" s="59"/>
    </row>
    <row r="1555" spans="2:13" x14ac:dyDescent="0.3">
      <c r="B1555" s="178"/>
      <c r="C1555" s="179"/>
      <c r="D1555" s="180"/>
      <c r="E1555" s="181"/>
      <c r="F1555" s="182"/>
      <c r="G1555" s="1" t="str">
        <f>IFERROR(IF(ventas_b_mes11[[#This Row],[CUIT]]="","-",VLOOKUP(ventas_b_mes11[[#This Row],[CUIT]],Lista_CUIT[#All],2,0)),"CUIT NO CARGADO")</f>
        <v>-</v>
      </c>
      <c r="H1555" s="64">
        <f>ventas_b_mes11[[#This Row],[TOTAL]]/1.21</f>
        <v>0</v>
      </c>
      <c r="I1555" s="183">
        <f>ventas_b_mes11[[#This Row],[IMPORTE NETO]]*0.21</f>
        <v>0</v>
      </c>
      <c r="J1555" s="184"/>
      <c r="K1555" s="184"/>
      <c r="L1555" s="184"/>
      <c r="M1555" s="59"/>
    </row>
    <row r="1556" spans="2:13" x14ac:dyDescent="0.3">
      <c r="B1556" s="178"/>
      <c r="C1556" s="179"/>
      <c r="D1556" s="180"/>
      <c r="E1556" s="181"/>
      <c r="F1556" s="182"/>
      <c r="G1556" s="1" t="str">
        <f>IFERROR(IF(ventas_b_mes11[[#This Row],[CUIT]]="","-",VLOOKUP(ventas_b_mes11[[#This Row],[CUIT]],Lista_CUIT[#All],2,0)),"CUIT NO CARGADO")</f>
        <v>-</v>
      </c>
      <c r="H1556" s="64">
        <f>ventas_b_mes11[[#This Row],[TOTAL]]/1.21</f>
        <v>0</v>
      </c>
      <c r="I1556" s="183">
        <f>ventas_b_mes11[[#This Row],[IMPORTE NETO]]*0.21</f>
        <v>0</v>
      </c>
      <c r="J1556" s="184"/>
      <c r="K1556" s="184"/>
      <c r="L1556" s="184"/>
      <c r="M1556" s="59"/>
    </row>
    <row r="1557" spans="2:13" x14ac:dyDescent="0.3">
      <c r="B1557" s="178"/>
      <c r="C1557" s="179"/>
      <c r="D1557" s="180"/>
      <c r="E1557" s="181"/>
      <c r="F1557" s="182"/>
      <c r="G1557" s="1" t="str">
        <f>IFERROR(IF(ventas_b_mes11[[#This Row],[CUIT]]="","-",VLOOKUP(ventas_b_mes11[[#This Row],[CUIT]],Lista_CUIT[#All],2,0)),"CUIT NO CARGADO")</f>
        <v>-</v>
      </c>
      <c r="H1557" s="64">
        <f>ventas_b_mes11[[#This Row],[TOTAL]]/1.21</f>
        <v>0</v>
      </c>
      <c r="I1557" s="183">
        <f>ventas_b_mes11[[#This Row],[IMPORTE NETO]]*0.21</f>
        <v>0</v>
      </c>
      <c r="J1557" s="184"/>
      <c r="K1557" s="184"/>
      <c r="L1557" s="184"/>
      <c r="M1557" s="59"/>
    </row>
    <row r="1558" spans="2:13" x14ac:dyDescent="0.3">
      <c r="B1558" s="178"/>
      <c r="C1558" s="179"/>
      <c r="D1558" s="180"/>
      <c r="E1558" s="181"/>
      <c r="F1558" s="182"/>
      <c r="G1558" s="1" t="str">
        <f>IFERROR(IF(ventas_b_mes11[[#This Row],[CUIT]]="","-",VLOOKUP(ventas_b_mes11[[#This Row],[CUIT]],Lista_CUIT[#All],2,0)),"CUIT NO CARGADO")</f>
        <v>-</v>
      </c>
      <c r="H1558" s="64">
        <f>ventas_b_mes11[[#This Row],[TOTAL]]/1.21</f>
        <v>0</v>
      </c>
      <c r="I1558" s="183">
        <f>ventas_b_mes11[[#This Row],[IMPORTE NETO]]*0.21</f>
        <v>0</v>
      </c>
      <c r="J1558" s="184"/>
      <c r="K1558" s="184"/>
      <c r="L1558" s="184"/>
      <c r="M1558" s="59"/>
    </row>
    <row r="1559" spans="2:13" x14ac:dyDescent="0.3">
      <c r="B1559" s="178"/>
      <c r="C1559" s="179"/>
      <c r="D1559" s="180"/>
      <c r="E1559" s="181"/>
      <c r="F1559" s="182"/>
      <c r="G1559" s="1" t="str">
        <f>IFERROR(IF(ventas_b_mes11[[#This Row],[CUIT]]="","-",VLOOKUP(ventas_b_mes11[[#This Row],[CUIT]],Lista_CUIT[#All],2,0)),"CUIT NO CARGADO")</f>
        <v>-</v>
      </c>
      <c r="H1559" s="64">
        <f>ventas_b_mes11[[#This Row],[TOTAL]]/1.21</f>
        <v>0</v>
      </c>
      <c r="I1559" s="183">
        <f>ventas_b_mes11[[#This Row],[IMPORTE NETO]]*0.21</f>
        <v>0</v>
      </c>
      <c r="J1559" s="184"/>
      <c r="K1559" s="184"/>
      <c r="L1559" s="184"/>
      <c r="M1559" s="59"/>
    </row>
    <row r="1560" spans="2:13" x14ac:dyDescent="0.3">
      <c r="B1560" s="178"/>
      <c r="C1560" s="179"/>
      <c r="D1560" s="180"/>
      <c r="E1560" s="181"/>
      <c r="F1560" s="182"/>
      <c r="G1560" s="1" t="str">
        <f>IFERROR(IF(ventas_b_mes11[[#This Row],[CUIT]]="","-",VLOOKUP(ventas_b_mes11[[#This Row],[CUIT]],Lista_CUIT[#All],2,0)),"CUIT NO CARGADO")</f>
        <v>-</v>
      </c>
      <c r="H1560" s="64">
        <f>ventas_b_mes11[[#This Row],[TOTAL]]/1.21</f>
        <v>0</v>
      </c>
      <c r="I1560" s="183">
        <f>ventas_b_mes11[[#This Row],[IMPORTE NETO]]*0.21</f>
        <v>0</v>
      </c>
      <c r="J1560" s="184"/>
      <c r="K1560" s="184"/>
      <c r="L1560" s="184"/>
      <c r="M1560" s="59"/>
    </row>
    <row r="1561" spans="2:13" x14ac:dyDescent="0.3">
      <c r="B1561" s="178"/>
      <c r="C1561" s="179"/>
      <c r="D1561" s="180"/>
      <c r="E1561" s="181"/>
      <c r="F1561" s="182"/>
      <c r="G1561" s="1" t="str">
        <f>IFERROR(IF(ventas_b_mes11[[#This Row],[CUIT]]="","-",VLOOKUP(ventas_b_mes11[[#This Row],[CUIT]],Lista_CUIT[#All],2,0)),"CUIT NO CARGADO")</f>
        <v>-</v>
      </c>
      <c r="H1561" s="64">
        <f>ventas_b_mes11[[#This Row],[TOTAL]]/1.21</f>
        <v>0</v>
      </c>
      <c r="I1561" s="183">
        <f>ventas_b_mes11[[#This Row],[IMPORTE NETO]]*0.21</f>
        <v>0</v>
      </c>
      <c r="J1561" s="184"/>
      <c r="K1561" s="184"/>
      <c r="L1561" s="184"/>
      <c r="M1561" s="59"/>
    </row>
    <row r="1562" spans="2:13" x14ac:dyDescent="0.3">
      <c r="B1562" s="178"/>
      <c r="C1562" s="179"/>
      <c r="D1562" s="180"/>
      <c r="E1562" s="181"/>
      <c r="F1562" s="182"/>
      <c r="G1562" s="1" t="str">
        <f>IFERROR(IF(ventas_b_mes11[[#This Row],[CUIT]]="","-",VLOOKUP(ventas_b_mes11[[#This Row],[CUIT]],Lista_CUIT[#All],2,0)),"CUIT NO CARGADO")</f>
        <v>-</v>
      </c>
      <c r="H1562" s="64">
        <f>ventas_b_mes11[[#This Row],[TOTAL]]/1.21</f>
        <v>0</v>
      </c>
      <c r="I1562" s="183">
        <f>ventas_b_mes11[[#This Row],[IMPORTE NETO]]*0.21</f>
        <v>0</v>
      </c>
      <c r="J1562" s="184"/>
      <c r="K1562" s="184"/>
      <c r="L1562" s="184"/>
      <c r="M1562" s="59"/>
    </row>
    <row r="1563" spans="2:13" x14ac:dyDescent="0.3">
      <c r="B1563" s="178"/>
      <c r="C1563" s="179"/>
      <c r="D1563" s="180"/>
      <c r="E1563" s="181"/>
      <c r="F1563" s="182"/>
      <c r="G1563" s="1" t="str">
        <f>IFERROR(IF(ventas_b_mes11[[#This Row],[CUIT]]="","-",VLOOKUP(ventas_b_mes11[[#This Row],[CUIT]],Lista_CUIT[#All],2,0)),"CUIT NO CARGADO")</f>
        <v>-</v>
      </c>
      <c r="H1563" s="64">
        <f>ventas_b_mes11[[#This Row],[TOTAL]]/1.21</f>
        <v>0</v>
      </c>
      <c r="I1563" s="183">
        <f>ventas_b_mes11[[#This Row],[IMPORTE NETO]]*0.21</f>
        <v>0</v>
      </c>
      <c r="J1563" s="184"/>
      <c r="K1563" s="184"/>
      <c r="L1563" s="184"/>
      <c r="M1563" s="59"/>
    </row>
    <row r="1564" spans="2:13" x14ac:dyDescent="0.3">
      <c r="B1564" s="178"/>
      <c r="C1564" s="179"/>
      <c r="D1564" s="180"/>
      <c r="E1564" s="181"/>
      <c r="F1564" s="182"/>
      <c r="G1564" s="1" t="str">
        <f>IFERROR(IF(ventas_b_mes11[[#This Row],[CUIT]]="","-",VLOOKUP(ventas_b_mes11[[#This Row],[CUIT]],Lista_CUIT[#All],2,0)),"CUIT NO CARGADO")</f>
        <v>-</v>
      </c>
      <c r="H1564" s="64">
        <f>ventas_b_mes11[[#This Row],[TOTAL]]/1.21</f>
        <v>0</v>
      </c>
      <c r="I1564" s="183">
        <f>ventas_b_mes11[[#This Row],[IMPORTE NETO]]*0.21</f>
        <v>0</v>
      </c>
      <c r="J1564" s="184"/>
      <c r="K1564" s="184"/>
      <c r="L1564" s="184"/>
      <c r="M1564" s="59"/>
    </row>
    <row r="1565" spans="2:13" x14ac:dyDescent="0.3">
      <c r="B1565" s="178"/>
      <c r="C1565" s="179"/>
      <c r="D1565" s="180"/>
      <c r="E1565" s="181"/>
      <c r="F1565" s="182"/>
      <c r="G1565" s="1" t="str">
        <f>IFERROR(IF(ventas_b_mes11[[#This Row],[CUIT]]="","-",VLOOKUP(ventas_b_mes11[[#This Row],[CUIT]],Lista_CUIT[#All],2,0)),"CUIT NO CARGADO")</f>
        <v>-</v>
      </c>
      <c r="H1565" s="64">
        <f>ventas_b_mes11[[#This Row],[TOTAL]]/1.21</f>
        <v>0</v>
      </c>
      <c r="I1565" s="183">
        <f>ventas_b_mes11[[#This Row],[IMPORTE NETO]]*0.21</f>
        <v>0</v>
      </c>
      <c r="J1565" s="184"/>
      <c r="K1565" s="184"/>
      <c r="L1565" s="184"/>
      <c r="M1565" s="59"/>
    </row>
    <row r="1566" spans="2:13" x14ac:dyDescent="0.3">
      <c r="B1566" s="178"/>
      <c r="C1566" s="179"/>
      <c r="D1566" s="180"/>
      <c r="E1566" s="181"/>
      <c r="F1566" s="182"/>
      <c r="G1566" s="1" t="str">
        <f>IFERROR(IF(ventas_b_mes11[[#This Row],[CUIT]]="","-",VLOOKUP(ventas_b_mes11[[#This Row],[CUIT]],Lista_CUIT[#All],2,0)),"CUIT NO CARGADO")</f>
        <v>-</v>
      </c>
      <c r="H1566" s="64">
        <f>ventas_b_mes11[[#This Row],[TOTAL]]/1.21</f>
        <v>0</v>
      </c>
      <c r="I1566" s="183">
        <f>ventas_b_mes11[[#This Row],[IMPORTE NETO]]*0.21</f>
        <v>0</v>
      </c>
      <c r="J1566" s="184"/>
      <c r="K1566" s="184"/>
      <c r="L1566" s="184"/>
      <c r="M1566" s="59"/>
    </row>
    <row r="1567" spans="2:13" x14ac:dyDescent="0.3">
      <c r="B1567" s="178"/>
      <c r="C1567" s="179"/>
      <c r="D1567" s="180"/>
      <c r="E1567" s="181"/>
      <c r="F1567" s="182"/>
      <c r="G1567" s="1" t="str">
        <f>IFERROR(IF(ventas_b_mes11[[#This Row],[CUIT]]="","-",VLOOKUP(ventas_b_mes11[[#This Row],[CUIT]],Lista_CUIT[#All],2,0)),"CUIT NO CARGADO")</f>
        <v>-</v>
      </c>
      <c r="H1567" s="64">
        <f>ventas_b_mes11[[#This Row],[TOTAL]]/1.21</f>
        <v>0</v>
      </c>
      <c r="I1567" s="183">
        <f>ventas_b_mes11[[#This Row],[IMPORTE NETO]]*0.21</f>
        <v>0</v>
      </c>
      <c r="J1567" s="184"/>
      <c r="K1567" s="184"/>
      <c r="L1567" s="184"/>
      <c r="M1567" s="59"/>
    </row>
    <row r="1568" spans="2:13" x14ac:dyDescent="0.3">
      <c r="B1568" s="178"/>
      <c r="C1568" s="179"/>
      <c r="D1568" s="180"/>
      <c r="E1568" s="181"/>
      <c r="F1568" s="182"/>
      <c r="G1568" s="1" t="str">
        <f>IFERROR(IF(ventas_b_mes11[[#This Row],[CUIT]]="","-",VLOOKUP(ventas_b_mes11[[#This Row],[CUIT]],Lista_CUIT[#All],2,0)),"CUIT NO CARGADO")</f>
        <v>-</v>
      </c>
      <c r="H1568" s="64">
        <f>ventas_b_mes11[[#This Row],[TOTAL]]/1.21</f>
        <v>0</v>
      </c>
      <c r="I1568" s="183">
        <f>ventas_b_mes11[[#This Row],[IMPORTE NETO]]*0.21</f>
        <v>0</v>
      </c>
      <c r="J1568" s="184"/>
      <c r="K1568" s="184"/>
      <c r="L1568" s="184"/>
      <c r="M1568" s="59"/>
    </row>
    <row r="1569" spans="2:13" x14ac:dyDescent="0.3">
      <c r="B1569" s="178"/>
      <c r="C1569" s="179"/>
      <c r="D1569" s="180"/>
      <c r="E1569" s="181"/>
      <c r="F1569" s="182"/>
      <c r="G1569" s="1" t="str">
        <f>IFERROR(IF(ventas_b_mes11[[#This Row],[CUIT]]="","-",VLOOKUP(ventas_b_mes11[[#This Row],[CUIT]],Lista_CUIT[#All],2,0)),"CUIT NO CARGADO")</f>
        <v>-</v>
      </c>
      <c r="H1569" s="64">
        <f>ventas_b_mes11[[#This Row],[TOTAL]]/1.21</f>
        <v>0</v>
      </c>
      <c r="I1569" s="183">
        <f>ventas_b_mes11[[#This Row],[IMPORTE NETO]]*0.21</f>
        <v>0</v>
      </c>
      <c r="J1569" s="184"/>
      <c r="K1569" s="184"/>
      <c r="L1569" s="184"/>
      <c r="M1569" s="59"/>
    </row>
    <row r="1570" spans="2:13" x14ac:dyDescent="0.3">
      <c r="B1570" s="178"/>
      <c r="C1570" s="179"/>
      <c r="D1570" s="180"/>
      <c r="E1570" s="181"/>
      <c r="F1570" s="182"/>
      <c r="G1570" s="1" t="str">
        <f>IFERROR(IF(ventas_b_mes11[[#This Row],[CUIT]]="","-",VLOOKUP(ventas_b_mes11[[#This Row],[CUIT]],Lista_CUIT[#All],2,0)),"CUIT NO CARGADO")</f>
        <v>-</v>
      </c>
      <c r="H1570" s="64">
        <f>ventas_b_mes11[[#This Row],[TOTAL]]/1.21</f>
        <v>0</v>
      </c>
      <c r="I1570" s="183">
        <f>ventas_b_mes11[[#This Row],[IMPORTE NETO]]*0.21</f>
        <v>0</v>
      </c>
      <c r="J1570" s="184"/>
      <c r="K1570" s="184"/>
      <c r="L1570" s="184"/>
      <c r="M1570" s="59"/>
    </row>
    <row r="1571" spans="2:13" x14ac:dyDescent="0.3">
      <c r="B1571" s="178"/>
      <c r="C1571" s="179"/>
      <c r="D1571" s="180"/>
      <c r="E1571" s="181"/>
      <c r="F1571" s="182"/>
      <c r="G1571" s="1" t="str">
        <f>IFERROR(IF(ventas_b_mes11[[#This Row],[CUIT]]="","-",VLOOKUP(ventas_b_mes11[[#This Row],[CUIT]],Lista_CUIT[#All],2,0)),"CUIT NO CARGADO")</f>
        <v>-</v>
      </c>
      <c r="H1571" s="64">
        <f>ventas_b_mes11[[#This Row],[TOTAL]]/1.21</f>
        <v>0</v>
      </c>
      <c r="I1571" s="183">
        <f>ventas_b_mes11[[#This Row],[IMPORTE NETO]]*0.21</f>
        <v>0</v>
      </c>
      <c r="J1571" s="184"/>
      <c r="K1571" s="184"/>
      <c r="L1571" s="184"/>
      <c r="M1571" s="59"/>
    </row>
    <row r="1572" spans="2:13" x14ac:dyDescent="0.3">
      <c r="B1572" s="178"/>
      <c r="C1572" s="179"/>
      <c r="D1572" s="180"/>
      <c r="E1572" s="181"/>
      <c r="F1572" s="182"/>
      <c r="G1572" s="1" t="str">
        <f>IFERROR(IF(ventas_b_mes11[[#This Row],[CUIT]]="","-",VLOOKUP(ventas_b_mes11[[#This Row],[CUIT]],Lista_CUIT[#All],2,0)),"CUIT NO CARGADO")</f>
        <v>-</v>
      </c>
      <c r="H1572" s="64">
        <f>ventas_b_mes11[[#This Row],[TOTAL]]/1.21</f>
        <v>0</v>
      </c>
      <c r="I1572" s="183">
        <f>ventas_b_mes11[[#This Row],[IMPORTE NETO]]*0.21</f>
        <v>0</v>
      </c>
      <c r="J1572" s="184"/>
      <c r="K1572" s="184"/>
      <c r="L1572" s="184"/>
      <c r="M1572" s="59"/>
    </row>
    <row r="1573" spans="2:13" x14ac:dyDescent="0.3">
      <c r="B1573" s="178"/>
      <c r="C1573" s="179"/>
      <c r="D1573" s="180"/>
      <c r="E1573" s="181"/>
      <c r="F1573" s="182"/>
      <c r="G1573" s="1" t="str">
        <f>IFERROR(IF(ventas_b_mes11[[#This Row],[CUIT]]="","-",VLOOKUP(ventas_b_mes11[[#This Row],[CUIT]],Lista_CUIT[#All],2,0)),"CUIT NO CARGADO")</f>
        <v>-</v>
      </c>
      <c r="H1573" s="64">
        <f>ventas_b_mes11[[#This Row],[TOTAL]]/1.21</f>
        <v>0</v>
      </c>
      <c r="I1573" s="183">
        <f>ventas_b_mes11[[#This Row],[IMPORTE NETO]]*0.21</f>
        <v>0</v>
      </c>
      <c r="J1573" s="184"/>
      <c r="K1573" s="184"/>
      <c r="L1573" s="184"/>
      <c r="M1573" s="59"/>
    </row>
    <row r="1574" spans="2:13" x14ac:dyDescent="0.3">
      <c r="B1574" s="178"/>
      <c r="C1574" s="179"/>
      <c r="D1574" s="180"/>
      <c r="E1574" s="181"/>
      <c r="F1574" s="182"/>
      <c r="G1574" s="1" t="str">
        <f>IFERROR(IF(ventas_b_mes11[[#This Row],[CUIT]]="","-",VLOOKUP(ventas_b_mes11[[#This Row],[CUIT]],Lista_CUIT[#All],2,0)),"CUIT NO CARGADO")</f>
        <v>-</v>
      </c>
      <c r="H1574" s="64">
        <f>ventas_b_mes11[[#This Row],[TOTAL]]/1.21</f>
        <v>0</v>
      </c>
      <c r="I1574" s="183">
        <f>ventas_b_mes11[[#This Row],[IMPORTE NETO]]*0.21</f>
        <v>0</v>
      </c>
      <c r="J1574" s="184"/>
      <c r="K1574" s="184"/>
      <c r="L1574" s="184"/>
      <c r="M1574" s="59"/>
    </row>
    <row r="1575" spans="2:13" x14ac:dyDescent="0.3">
      <c r="B1575" s="178"/>
      <c r="C1575" s="179"/>
      <c r="D1575" s="180"/>
      <c r="E1575" s="181"/>
      <c r="F1575" s="182"/>
      <c r="G1575" s="1" t="str">
        <f>IFERROR(IF(ventas_b_mes11[[#This Row],[CUIT]]="","-",VLOOKUP(ventas_b_mes11[[#This Row],[CUIT]],Lista_CUIT[#All],2,0)),"CUIT NO CARGADO")</f>
        <v>-</v>
      </c>
      <c r="H1575" s="64">
        <f>ventas_b_mes11[[#This Row],[TOTAL]]/1.21</f>
        <v>0</v>
      </c>
      <c r="I1575" s="183">
        <f>ventas_b_mes11[[#This Row],[IMPORTE NETO]]*0.21</f>
        <v>0</v>
      </c>
      <c r="J1575" s="184"/>
      <c r="K1575" s="184"/>
      <c r="L1575" s="184"/>
      <c r="M1575" s="59"/>
    </row>
    <row r="1576" spans="2:13" x14ac:dyDescent="0.3">
      <c r="B1576" s="178"/>
      <c r="C1576" s="179"/>
      <c r="D1576" s="180"/>
      <c r="E1576" s="181"/>
      <c r="F1576" s="182"/>
      <c r="G1576" s="1" t="str">
        <f>IFERROR(IF(ventas_b_mes11[[#This Row],[CUIT]]="","-",VLOOKUP(ventas_b_mes11[[#This Row],[CUIT]],Lista_CUIT[#All],2,0)),"CUIT NO CARGADO")</f>
        <v>-</v>
      </c>
      <c r="H1576" s="64">
        <f>ventas_b_mes11[[#This Row],[TOTAL]]/1.21</f>
        <v>0</v>
      </c>
      <c r="I1576" s="183">
        <f>ventas_b_mes11[[#This Row],[IMPORTE NETO]]*0.21</f>
        <v>0</v>
      </c>
      <c r="J1576" s="184"/>
      <c r="K1576" s="184"/>
      <c r="L1576" s="184"/>
      <c r="M1576" s="59"/>
    </row>
    <row r="1577" spans="2:13" x14ac:dyDescent="0.3">
      <c r="B1577" s="178"/>
      <c r="C1577" s="179"/>
      <c r="D1577" s="180"/>
      <c r="E1577" s="181"/>
      <c r="F1577" s="182"/>
      <c r="G1577" s="1" t="str">
        <f>IFERROR(IF(ventas_b_mes11[[#This Row],[CUIT]]="","-",VLOOKUP(ventas_b_mes11[[#This Row],[CUIT]],Lista_CUIT[#All],2,0)),"CUIT NO CARGADO")</f>
        <v>-</v>
      </c>
      <c r="H1577" s="64">
        <f>ventas_b_mes11[[#This Row],[TOTAL]]/1.21</f>
        <v>0</v>
      </c>
      <c r="I1577" s="183">
        <f>ventas_b_mes11[[#This Row],[IMPORTE NETO]]*0.21</f>
        <v>0</v>
      </c>
      <c r="J1577" s="184"/>
      <c r="K1577" s="184"/>
      <c r="L1577" s="184"/>
      <c r="M1577" s="59"/>
    </row>
    <row r="1578" spans="2:13" x14ac:dyDescent="0.3">
      <c r="B1578" s="178"/>
      <c r="C1578" s="179"/>
      <c r="D1578" s="180"/>
      <c r="E1578" s="181"/>
      <c r="F1578" s="182"/>
      <c r="G1578" s="1" t="str">
        <f>IFERROR(IF(ventas_b_mes11[[#This Row],[CUIT]]="","-",VLOOKUP(ventas_b_mes11[[#This Row],[CUIT]],Lista_CUIT[#All],2,0)),"CUIT NO CARGADO")</f>
        <v>-</v>
      </c>
      <c r="H1578" s="64">
        <f>ventas_b_mes11[[#This Row],[TOTAL]]/1.21</f>
        <v>0</v>
      </c>
      <c r="I1578" s="183">
        <f>ventas_b_mes11[[#This Row],[IMPORTE NETO]]*0.21</f>
        <v>0</v>
      </c>
      <c r="J1578" s="184"/>
      <c r="K1578" s="184"/>
      <c r="L1578" s="184"/>
      <c r="M1578" s="59"/>
    </row>
    <row r="1579" spans="2:13" x14ac:dyDescent="0.3">
      <c r="B1579" s="178"/>
      <c r="C1579" s="179"/>
      <c r="D1579" s="180"/>
      <c r="E1579" s="181"/>
      <c r="F1579" s="182"/>
      <c r="G1579" s="1" t="str">
        <f>IFERROR(IF(ventas_b_mes11[[#This Row],[CUIT]]="","-",VLOOKUP(ventas_b_mes11[[#This Row],[CUIT]],Lista_CUIT[#All],2,0)),"CUIT NO CARGADO")</f>
        <v>-</v>
      </c>
      <c r="H1579" s="64">
        <f>ventas_b_mes11[[#This Row],[TOTAL]]/1.21</f>
        <v>0</v>
      </c>
      <c r="I1579" s="183">
        <f>ventas_b_mes11[[#This Row],[IMPORTE NETO]]*0.21</f>
        <v>0</v>
      </c>
      <c r="J1579" s="184"/>
      <c r="K1579" s="184"/>
      <c r="L1579" s="184"/>
      <c r="M1579" s="59"/>
    </row>
    <row r="1580" spans="2:13" x14ac:dyDescent="0.3">
      <c r="B1580" s="178"/>
      <c r="C1580" s="179"/>
      <c r="D1580" s="180"/>
      <c r="E1580" s="181"/>
      <c r="F1580" s="182"/>
      <c r="G1580" s="1" t="str">
        <f>IFERROR(IF(ventas_b_mes11[[#This Row],[CUIT]]="","-",VLOOKUP(ventas_b_mes11[[#This Row],[CUIT]],Lista_CUIT[#All],2,0)),"CUIT NO CARGADO")</f>
        <v>-</v>
      </c>
      <c r="H1580" s="64">
        <f>ventas_b_mes11[[#This Row],[TOTAL]]/1.21</f>
        <v>0</v>
      </c>
      <c r="I1580" s="183">
        <f>ventas_b_mes11[[#This Row],[IMPORTE NETO]]*0.21</f>
        <v>0</v>
      </c>
      <c r="J1580" s="184"/>
      <c r="K1580" s="184"/>
      <c r="L1580" s="184"/>
      <c r="M1580" s="59"/>
    </row>
    <row r="1581" spans="2:13" x14ac:dyDescent="0.3">
      <c r="B1581" s="178"/>
      <c r="C1581" s="179"/>
      <c r="D1581" s="180"/>
      <c r="E1581" s="181"/>
      <c r="F1581" s="182"/>
      <c r="G1581" s="1" t="str">
        <f>IFERROR(IF(ventas_b_mes11[[#This Row],[CUIT]]="","-",VLOOKUP(ventas_b_mes11[[#This Row],[CUIT]],Lista_CUIT[#All],2,0)),"CUIT NO CARGADO")</f>
        <v>-</v>
      </c>
      <c r="H1581" s="64">
        <f>ventas_b_mes11[[#This Row],[TOTAL]]/1.21</f>
        <v>0</v>
      </c>
      <c r="I1581" s="183">
        <f>ventas_b_mes11[[#This Row],[IMPORTE NETO]]*0.21</f>
        <v>0</v>
      </c>
      <c r="J1581" s="184"/>
      <c r="K1581" s="184"/>
      <c r="L1581" s="184"/>
      <c r="M1581" s="59"/>
    </row>
    <row r="1582" spans="2:13" x14ac:dyDescent="0.3">
      <c r="B1582" s="178"/>
      <c r="C1582" s="179"/>
      <c r="D1582" s="180"/>
      <c r="E1582" s="181"/>
      <c r="F1582" s="182"/>
      <c r="G1582" s="1" t="str">
        <f>IFERROR(IF(ventas_b_mes11[[#This Row],[CUIT]]="","-",VLOOKUP(ventas_b_mes11[[#This Row],[CUIT]],Lista_CUIT[#All],2,0)),"CUIT NO CARGADO")</f>
        <v>-</v>
      </c>
      <c r="H1582" s="64">
        <f>ventas_b_mes11[[#This Row],[TOTAL]]/1.21</f>
        <v>0</v>
      </c>
      <c r="I1582" s="183">
        <f>ventas_b_mes11[[#This Row],[IMPORTE NETO]]*0.21</f>
        <v>0</v>
      </c>
      <c r="J1582" s="184"/>
      <c r="K1582" s="184"/>
      <c r="L1582" s="184"/>
      <c r="M1582" s="59"/>
    </row>
    <row r="1583" spans="2:13" x14ac:dyDescent="0.3">
      <c r="B1583" s="178"/>
      <c r="C1583" s="179"/>
      <c r="D1583" s="180"/>
      <c r="E1583" s="181"/>
      <c r="F1583" s="182"/>
      <c r="G1583" s="1" t="str">
        <f>IFERROR(IF(ventas_b_mes11[[#This Row],[CUIT]]="","-",VLOOKUP(ventas_b_mes11[[#This Row],[CUIT]],Lista_CUIT[#All],2,0)),"CUIT NO CARGADO")</f>
        <v>-</v>
      </c>
      <c r="H1583" s="64">
        <f>ventas_b_mes11[[#This Row],[TOTAL]]/1.21</f>
        <v>0</v>
      </c>
      <c r="I1583" s="183">
        <f>ventas_b_mes11[[#This Row],[IMPORTE NETO]]*0.21</f>
        <v>0</v>
      </c>
      <c r="J1583" s="184"/>
      <c r="K1583" s="184"/>
      <c r="L1583" s="184"/>
      <c r="M1583" s="59"/>
    </row>
    <row r="1584" spans="2:13" x14ac:dyDescent="0.3">
      <c r="B1584" s="178"/>
      <c r="C1584" s="179"/>
      <c r="D1584" s="180"/>
      <c r="E1584" s="181"/>
      <c r="F1584" s="182"/>
      <c r="G1584" s="1" t="str">
        <f>IFERROR(IF(ventas_b_mes11[[#This Row],[CUIT]]="","-",VLOOKUP(ventas_b_mes11[[#This Row],[CUIT]],Lista_CUIT[#All],2,0)),"CUIT NO CARGADO")</f>
        <v>-</v>
      </c>
      <c r="H1584" s="64">
        <f>ventas_b_mes11[[#This Row],[TOTAL]]/1.21</f>
        <v>0</v>
      </c>
      <c r="I1584" s="183">
        <f>ventas_b_mes11[[#This Row],[IMPORTE NETO]]*0.21</f>
        <v>0</v>
      </c>
      <c r="J1584" s="184"/>
      <c r="K1584" s="184"/>
      <c r="L1584" s="184"/>
      <c r="M1584" s="59"/>
    </row>
    <row r="1585" spans="2:13" x14ac:dyDescent="0.3">
      <c r="B1585" s="178"/>
      <c r="C1585" s="179"/>
      <c r="D1585" s="180"/>
      <c r="E1585" s="181"/>
      <c r="F1585" s="182"/>
      <c r="G1585" s="1" t="str">
        <f>IFERROR(IF(ventas_b_mes11[[#This Row],[CUIT]]="","-",VLOOKUP(ventas_b_mes11[[#This Row],[CUIT]],Lista_CUIT[#All],2,0)),"CUIT NO CARGADO")</f>
        <v>-</v>
      </c>
      <c r="H1585" s="64">
        <f>ventas_b_mes11[[#This Row],[TOTAL]]/1.21</f>
        <v>0</v>
      </c>
      <c r="I1585" s="183">
        <f>ventas_b_mes11[[#This Row],[IMPORTE NETO]]*0.21</f>
        <v>0</v>
      </c>
      <c r="J1585" s="184"/>
      <c r="K1585" s="184"/>
      <c r="L1585" s="184"/>
      <c r="M1585" s="59"/>
    </row>
    <row r="1586" spans="2:13" x14ac:dyDescent="0.3">
      <c r="B1586" s="178"/>
      <c r="C1586" s="179"/>
      <c r="D1586" s="180"/>
      <c r="E1586" s="181"/>
      <c r="F1586" s="182"/>
      <c r="G1586" s="1" t="str">
        <f>IFERROR(IF(ventas_b_mes11[[#This Row],[CUIT]]="","-",VLOOKUP(ventas_b_mes11[[#This Row],[CUIT]],Lista_CUIT[#All],2,0)),"CUIT NO CARGADO")</f>
        <v>-</v>
      </c>
      <c r="H1586" s="64">
        <f>ventas_b_mes11[[#This Row],[TOTAL]]/1.21</f>
        <v>0</v>
      </c>
      <c r="I1586" s="183">
        <f>ventas_b_mes11[[#This Row],[IMPORTE NETO]]*0.21</f>
        <v>0</v>
      </c>
      <c r="J1586" s="184"/>
      <c r="K1586" s="184"/>
      <c r="L1586" s="184"/>
      <c r="M1586" s="59"/>
    </row>
    <row r="1587" spans="2:13" x14ac:dyDescent="0.3">
      <c r="B1587" s="178"/>
      <c r="C1587" s="179"/>
      <c r="D1587" s="180"/>
      <c r="E1587" s="181"/>
      <c r="F1587" s="182"/>
      <c r="G1587" s="1" t="str">
        <f>IFERROR(IF(ventas_b_mes11[[#This Row],[CUIT]]="","-",VLOOKUP(ventas_b_mes11[[#This Row],[CUIT]],Lista_CUIT[#All],2,0)),"CUIT NO CARGADO")</f>
        <v>-</v>
      </c>
      <c r="H1587" s="64">
        <f>ventas_b_mes11[[#This Row],[TOTAL]]/1.21</f>
        <v>0</v>
      </c>
      <c r="I1587" s="183">
        <f>ventas_b_mes11[[#This Row],[IMPORTE NETO]]*0.21</f>
        <v>0</v>
      </c>
      <c r="J1587" s="184"/>
      <c r="K1587" s="184"/>
      <c r="L1587" s="184"/>
      <c r="M1587" s="59"/>
    </row>
    <row r="1588" spans="2:13" x14ac:dyDescent="0.3">
      <c r="B1588" s="178"/>
      <c r="C1588" s="179"/>
      <c r="D1588" s="180"/>
      <c r="E1588" s="181"/>
      <c r="F1588" s="182"/>
      <c r="G1588" s="1" t="str">
        <f>IFERROR(IF(ventas_b_mes11[[#This Row],[CUIT]]="","-",VLOOKUP(ventas_b_mes11[[#This Row],[CUIT]],Lista_CUIT[#All],2,0)),"CUIT NO CARGADO")</f>
        <v>-</v>
      </c>
      <c r="H1588" s="64">
        <f>ventas_b_mes11[[#This Row],[TOTAL]]/1.21</f>
        <v>0</v>
      </c>
      <c r="I1588" s="183">
        <f>ventas_b_mes11[[#This Row],[IMPORTE NETO]]*0.21</f>
        <v>0</v>
      </c>
      <c r="J1588" s="184"/>
      <c r="K1588" s="184"/>
      <c r="L1588" s="184"/>
      <c r="M1588" s="59"/>
    </row>
    <row r="1589" spans="2:13" x14ac:dyDescent="0.3">
      <c r="B1589" s="178"/>
      <c r="C1589" s="179"/>
      <c r="D1589" s="180"/>
      <c r="E1589" s="181"/>
      <c r="F1589" s="182"/>
      <c r="G1589" s="1" t="str">
        <f>IFERROR(IF(ventas_b_mes11[[#This Row],[CUIT]]="","-",VLOOKUP(ventas_b_mes11[[#This Row],[CUIT]],Lista_CUIT[#All],2,0)),"CUIT NO CARGADO")</f>
        <v>-</v>
      </c>
      <c r="H1589" s="64">
        <f>ventas_b_mes11[[#This Row],[TOTAL]]/1.21</f>
        <v>0</v>
      </c>
      <c r="I1589" s="183">
        <f>ventas_b_mes11[[#This Row],[IMPORTE NETO]]*0.21</f>
        <v>0</v>
      </c>
      <c r="J1589" s="184"/>
      <c r="K1589" s="184"/>
      <c r="L1589" s="184"/>
      <c r="M1589" s="59"/>
    </row>
    <row r="1590" spans="2:13" x14ac:dyDescent="0.3">
      <c r="B1590" s="178"/>
      <c r="C1590" s="179"/>
      <c r="D1590" s="180"/>
      <c r="E1590" s="181"/>
      <c r="F1590" s="182"/>
      <c r="G1590" s="1" t="str">
        <f>IFERROR(IF(ventas_b_mes11[[#This Row],[CUIT]]="","-",VLOOKUP(ventas_b_mes11[[#This Row],[CUIT]],Lista_CUIT[#All],2,0)),"CUIT NO CARGADO")</f>
        <v>-</v>
      </c>
      <c r="H1590" s="64">
        <f>ventas_b_mes11[[#This Row],[TOTAL]]/1.21</f>
        <v>0</v>
      </c>
      <c r="I1590" s="183">
        <f>ventas_b_mes11[[#This Row],[IMPORTE NETO]]*0.21</f>
        <v>0</v>
      </c>
      <c r="J1590" s="184"/>
      <c r="K1590" s="184"/>
      <c r="L1590" s="184"/>
      <c r="M1590" s="59"/>
    </row>
    <row r="1591" spans="2:13" x14ac:dyDescent="0.3">
      <c r="B1591" s="178"/>
      <c r="C1591" s="179"/>
      <c r="D1591" s="180"/>
      <c r="E1591" s="181"/>
      <c r="F1591" s="182"/>
      <c r="G1591" s="1" t="str">
        <f>IFERROR(IF(ventas_b_mes11[[#This Row],[CUIT]]="","-",VLOOKUP(ventas_b_mes11[[#This Row],[CUIT]],Lista_CUIT[#All],2,0)),"CUIT NO CARGADO")</f>
        <v>-</v>
      </c>
      <c r="H1591" s="64">
        <f>ventas_b_mes11[[#This Row],[TOTAL]]/1.21</f>
        <v>0</v>
      </c>
      <c r="I1591" s="183">
        <f>ventas_b_mes11[[#This Row],[IMPORTE NETO]]*0.21</f>
        <v>0</v>
      </c>
      <c r="J1591" s="184"/>
      <c r="K1591" s="184"/>
      <c r="L1591" s="184"/>
      <c r="M1591" s="59"/>
    </row>
    <row r="1592" spans="2:13" x14ac:dyDescent="0.3">
      <c r="B1592" s="178"/>
      <c r="C1592" s="179"/>
      <c r="D1592" s="180"/>
      <c r="E1592" s="181"/>
      <c r="F1592" s="182"/>
      <c r="G1592" s="1" t="str">
        <f>IFERROR(IF(ventas_b_mes11[[#This Row],[CUIT]]="","-",VLOOKUP(ventas_b_mes11[[#This Row],[CUIT]],Lista_CUIT[#All],2,0)),"CUIT NO CARGADO")</f>
        <v>-</v>
      </c>
      <c r="H1592" s="64">
        <f>ventas_b_mes11[[#This Row],[TOTAL]]/1.21</f>
        <v>0</v>
      </c>
      <c r="I1592" s="183">
        <f>ventas_b_mes11[[#This Row],[IMPORTE NETO]]*0.21</f>
        <v>0</v>
      </c>
      <c r="J1592" s="184"/>
      <c r="K1592" s="184"/>
      <c r="L1592" s="184"/>
      <c r="M1592" s="59"/>
    </row>
    <row r="1593" spans="2:13" x14ac:dyDescent="0.3">
      <c r="B1593" s="178"/>
      <c r="C1593" s="179"/>
      <c r="D1593" s="180"/>
      <c r="E1593" s="181"/>
      <c r="F1593" s="182"/>
      <c r="G1593" s="1" t="str">
        <f>IFERROR(IF(ventas_b_mes11[[#This Row],[CUIT]]="","-",VLOOKUP(ventas_b_mes11[[#This Row],[CUIT]],Lista_CUIT[#All],2,0)),"CUIT NO CARGADO")</f>
        <v>-</v>
      </c>
      <c r="H1593" s="64">
        <f>ventas_b_mes11[[#This Row],[TOTAL]]/1.21</f>
        <v>0</v>
      </c>
      <c r="I1593" s="183">
        <f>ventas_b_mes11[[#This Row],[IMPORTE NETO]]*0.21</f>
        <v>0</v>
      </c>
      <c r="J1593" s="184"/>
      <c r="K1593" s="184"/>
      <c r="L1593" s="184"/>
      <c r="M1593" s="59"/>
    </row>
    <row r="1594" spans="2:13" x14ac:dyDescent="0.3">
      <c r="B1594" s="178"/>
      <c r="C1594" s="179"/>
      <c r="D1594" s="180"/>
      <c r="E1594" s="181"/>
      <c r="F1594" s="182"/>
      <c r="G1594" s="1" t="str">
        <f>IFERROR(IF(ventas_b_mes11[[#This Row],[CUIT]]="","-",VLOOKUP(ventas_b_mes11[[#This Row],[CUIT]],Lista_CUIT[#All],2,0)),"CUIT NO CARGADO")</f>
        <v>-</v>
      </c>
      <c r="H1594" s="64">
        <f>ventas_b_mes11[[#This Row],[TOTAL]]/1.21</f>
        <v>0</v>
      </c>
      <c r="I1594" s="183">
        <f>ventas_b_mes11[[#This Row],[IMPORTE NETO]]*0.21</f>
        <v>0</v>
      </c>
      <c r="J1594" s="184"/>
      <c r="K1594" s="184"/>
      <c r="L1594" s="184"/>
      <c r="M1594" s="59"/>
    </row>
    <row r="1595" spans="2:13" x14ac:dyDescent="0.3">
      <c r="B1595" s="178"/>
      <c r="C1595" s="179"/>
      <c r="D1595" s="180"/>
      <c r="E1595" s="181"/>
      <c r="F1595" s="182"/>
      <c r="G1595" s="1" t="str">
        <f>IFERROR(IF(ventas_b_mes11[[#This Row],[CUIT]]="","-",VLOOKUP(ventas_b_mes11[[#This Row],[CUIT]],Lista_CUIT[#All],2,0)),"CUIT NO CARGADO")</f>
        <v>-</v>
      </c>
      <c r="H1595" s="64">
        <f>ventas_b_mes11[[#This Row],[TOTAL]]/1.21</f>
        <v>0</v>
      </c>
      <c r="I1595" s="183">
        <f>ventas_b_mes11[[#This Row],[IMPORTE NETO]]*0.21</f>
        <v>0</v>
      </c>
      <c r="J1595" s="184"/>
      <c r="K1595" s="184"/>
      <c r="L1595" s="184"/>
      <c r="M1595" s="59"/>
    </row>
    <row r="1596" spans="2:13" x14ac:dyDescent="0.3">
      <c r="B1596" s="178"/>
      <c r="C1596" s="179"/>
      <c r="D1596" s="180"/>
      <c r="E1596" s="181"/>
      <c r="F1596" s="182"/>
      <c r="G1596" s="1" t="str">
        <f>IFERROR(IF(ventas_b_mes11[[#This Row],[CUIT]]="","-",VLOOKUP(ventas_b_mes11[[#This Row],[CUIT]],Lista_CUIT[#All],2,0)),"CUIT NO CARGADO")</f>
        <v>-</v>
      </c>
      <c r="H1596" s="64">
        <f>ventas_b_mes11[[#This Row],[TOTAL]]/1.21</f>
        <v>0</v>
      </c>
      <c r="I1596" s="183">
        <f>ventas_b_mes11[[#This Row],[IMPORTE NETO]]*0.21</f>
        <v>0</v>
      </c>
      <c r="J1596" s="184"/>
      <c r="K1596" s="184"/>
      <c r="L1596" s="184"/>
      <c r="M1596" s="59"/>
    </row>
    <row r="1597" spans="2:13" x14ac:dyDescent="0.3">
      <c r="B1597" s="178"/>
      <c r="C1597" s="179"/>
      <c r="D1597" s="180"/>
      <c r="E1597" s="181"/>
      <c r="F1597" s="182"/>
      <c r="G1597" s="1" t="str">
        <f>IFERROR(IF(ventas_b_mes11[[#This Row],[CUIT]]="","-",VLOOKUP(ventas_b_mes11[[#This Row],[CUIT]],Lista_CUIT[#All],2,0)),"CUIT NO CARGADO")</f>
        <v>-</v>
      </c>
      <c r="H1597" s="64">
        <f>ventas_b_mes11[[#This Row],[TOTAL]]/1.21</f>
        <v>0</v>
      </c>
      <c r="I1597" s="183">
        <f>ventas_b_mes11[[#This Row],[IMPORTE NETO]]*0.21</f>
        <v>0</v>
      </c>
      <c r="J1597" s="184"/>
      <c r="K1597" s="184"/>
      <c r="L1597" s="184"/>
      <c r="M1597" s="59"/>
    </row>
    <row r="1598" spans="2:13" x14ac:dyDescent="0.3">
      <c r="B1598" s="178"/>
      <c r="C1598" s="179"/>
      <c r="D1598" s="180"/>
      <c r="E1598" s="181"/>
      <c r="F1598" s="182"/>
      <c r="G1598" s="1" t="str">
        <f>IFERROR(IF(ventas_b_mes11[[#This Row],[CUIT]]="","-",VLOOKUP(ventas_b_mes11[[#This Row],[CUIT]],Lista_CUIT[#All],2,0)),"CUIT NO CARGADO")</f>
        <v>-</v>
      </c>
      <c r="H1598" s="64">
        <f>ventas_b_mes11[[#This Row],[TOTAL]]/1.21</f>
        <v>0</v>
      </c>
      <c r="I1598" s="183">
        <f>ventas_b_mes11[[#This Row],[IMPORTE NETO]]*0.21</f>
        <v>0</v>
      </c>
      <c r="J1598" s="184"/>
      <c r="K1598" s="184"/>
      <c r="L1598" s="184"/>
      <c r="M1598" s="59"/>
    </row>
    <row r="1599" spans="2:13" x14ac:dyDescent="0.3">
      <c r="B1599" s="178"/>
      <c r="C1599" s="179"/>
      <c r="D1599" s="180"/>
      <c r="E1599" s="181"/>
      <c r="F1599" s="182"/>
      <c r="G1599" s="1" t="str">
        <f>IFERROR(IF(ventas_b_mes11[[#This Row],[CUIT]]="","-",VLOOKUP(ventas_b_mes11[[#This Row],[CUIT]],Lista_CUIT[#All],2,0)),"CUIT NO CARGADO")</f>
        <v>-</v>
      </c>
      <c r="H1599" s="64">
        <f>ventas_b_mes11[[#This Row],[TOTAL]]/1.21</f>
        <v>0</v>
      </c>
      <c r="I1599" s="183">
        <f>ventas_b_mes11[[#This Row],[IMPORTE NETO]]*0.21</f>
        <v>0</v>
      </c>
      <c r="J1599" s="184"/>
      <c r="K1599" s="184"/>
      <c r="L1599" s="184"/>
      <c r="M1599" s="59"/>
    </row>
    <row r="1600" spans="2:13" x14ac:dyDescent="0.3">
      <c r="B1600" s="178"/>
      <c r="C1600" s="179"/>
      <c r="D1600" s="180"/>
      <c r="E1600" s="181"/>
      <c r="F1600" s="182"/>
      <c r="G1600" s="1" t="str">
        <f>IFERROR(IF(ventas_b_mes11[[#This Row],[CUIT]]="","-",VLOOKUP(ventas_b_mes11[[#This Row],[CUIT]],Lista_CUIT[#All],2,0)),"CUIT NO CARGADO")</f>
        <v>-</v>
      </c>
      <c r="H1600" s="64">
        <f>ventas_b_mes11[[#This Row],[TOTAL]]/1.21</f>
        <v>0</v>
      </c>
      <c r="I1600" s="183">
        <f>ventas_b_mes11[[#This Row],[IMPORTE NETO]]*0.21</f>
        <v>0</v>
      </c>
      <c r="J1600" s="184"/>
      <c r="K1600" s="184"/>
      <c r="L1600" s="184"/>
      <c r="M1600" s="59"/>
    </row>
    <row r="1601" spans="2:13" x14ac:dyDescent="0.3">
      <c r="B1601" s="178"/>
      <c r="C1601" s="179"/>
      <c r="D1601" s="180"/>
      <c r="E1601" s="181"/>
      <c r="F1601" s="182"/>
      <c r="G1601" s="1" t="str">
        <f>IFERROR(IF(ventas_b_mes11[[#This Row],[CUIT]]="","-",VLOOKUP(ventas_b_mes11[[#This Row],[CUIT]],Lista_CUIT[#All],2,0)),"CUIT NO CARGADO")</f>
        <v>-</v>
      </c>
      <c r="H1601" s="64">
        <f>ventas_b_mes11[[#This Row],[TOTAL]]/1.21</f>
        <v>0</v>
      </c>
      <c r="I1601" s="183">
        <f>ventas_b_mes11[[#This Row],[IMPORTE NETO]]*0.21</f>
        <v>0</v>
      </c>
      <c r="J1601" s="184"/>
      <c r="K1601" s="184"/>
      <c r="L1601" s="184"/>
      <c r="M1601" s="59"/>
    </row>
    <row r="1602" spans="2:13" x14ac:dyDescent="0.3">
      <c r="B1602" s="178"/>
      <c r="C1602" s="179"/>
      <c r="D1602" s="180"/>
      <c r="E1602" s="181"/>
      <c r="F1602" s="182"/>
      <c r="G1602" s="1" t="str">
        <f>IFERROR(IF(ventas_b_mes11[[#This Row],[CUIT]]="","-",VLOOKUP(ventas_b_mes11[[#This Row],[CUIT]],Lista_CUIT[#All],2,0)),"CUIT NO CARGADO")</f>
        <v>-</v>
      </c>
      <c r="H1602" s="64">
        <f>ventas_b_mes11[[#This Row],[TOTAL]]/1.21</f>
        <v>0</v>
      </c>
      <c r="I1602" s="183">
        <f>ventas_b_mes11[[#This Row],[IMPORTE NETO]]*0.21</f>
        <v>0</v>
      </c>
      <c r="J1602" s="184"/>
      <c r="K1602" s="184"/>
      <c r="L1602" s="184"/>
      <c r="M1602" s="59"/>
    </row>
    <row r="1603" spans="2:13" x14ac:dyDescent="0.3">
      <c r="B1603" s="178"/>
      <c r="C1603" s="179"/>
      <c r="D1603" s="180"/>
      <c r="E1603" s="181"/>
      <c r="F1603" s="182"/>
      <c r="G1603" s="1" t="str">
        <f>IFERROR(IF(ventas_b_mes11[[#This Row],[CUIT]]="","-",VLOOKUP(ventas_b_mes11[[#This Row],[CUIT]],Lista_CUIT[#All],2,0)),"CUIT NO CARGADO")</f>
        <v>-</v>
      </c>
      <c r="H1603" s="64">
        <f>ventas_b_mes11[[#This Row],[TOTAL]]/1.21</f>
        <v>0</v>
      </c>
      <c r="I1603" s="183">
        <f>ventas_b_mes11[[#This Row],[IMPORTE NETO]]*0.21</f>
        <v>0</v>
      </c>
      <c r="J1603" s="184"/>
      <c r="K1603" s="184"/>
      <c r="L1603" s="184"/>
      <c r="M1603" s="59"/>
    </row>
    <row r="1604" spans="2:13" x14ac:dyDescent="0.3">
      <c r="B1604" s="178"/>
      <c r="C1604" s="179"/>
      <c r="D1604" s="180"/>
      <c r="E1604" s="181"/>
      <c r="F1604" s="182"/>
      <c r="G1604" s="1" t="str">
        <f>IFERROR(IF(ventas_b_mes11[[#This Row],[CUIT]]="","-",VLOOKUP(ventas_b_mes11[[#This Row],[CUIT]],Lista_CUIT[#All],2,0)),"CUIT NO CARGADO")</f>
        <v>-</v>
      </c>
      <c r="H1604" s="64">
        <f>ventas_b_mes11[[#This Row],[TOTAL]]/1.21</f>
        <v>0</v>
      </c>
      <c r="I1604" s="183">
        <f>ventas_b_mes11[[#This Row],[IMPORTE NETO]]*0.21</f>
        <v>0</v>
      </c>
      <c r="J1604" s="184"/>
      <c r="K1604" s="184"/>
      <c r="L1604" s="184"/>
      <c r="M1604" s="59"/>
    </row>
    <row r="1605" spans="2:13" x14ac:dyDescent="0.3">
      <c r="B1605" s="178"/>
      <c r="C1605" s="179"/>
      <c r="D1605" s="180"/>
      <c r="E1605" s="181"/>
      <c r="F1605" s="182"/>
      <c r="G1605" s="1" t="str">
        <f>IFERROR(IF(ventas_b_mes11[[#This Row],[CUIT]]="","-",VLOOKUP(ventas_b_mes11[[#This Row],[CUIT]],Lista_CUIT[#All],2,0)),"CUIT NO CARGADO")</f>
        <v>-</v>
      </c>
      <c r="H1605" s="64">
        <f>ventas_b_mes11[[#This Row],[TOTAL]]/1.21</f>
        <v>0</v>
      </c>
      <c r="I1605" s="183">
        <f>ventas_b_mes11[[#This Row],[IMPORTE NETO]]*0.21</f>
        <v>0</v>
      </c>
      <c r="J1605" s="184"/>
      <c r="K1605" s="184"/>
      <c r="L1605" s="184"/>
      <c r="M1605" s="59"/>
    </row>
    <row r="1606" spans="2:13" x14ac:dyDescent="0.3">
      <c r="B1606" s="178"/>
      <c r="C1606" s="179"/>
      <c r="D1606" s="180"/>
      <c r="E1606" s="181"/>
      <c r="F1606" s="182"/>
      <c r="G1606" s="1" t="str">
        <f>IFERROR(IF(ventas_b_mes11[[#This Row],[CUIT]]="","-",VLOOKUP(ventas_b_mes11[[#This Row],[CUIT]],Lista_CUIT[#All],2,0)),"CUIT NO CARGADO")</f>
        <v>-</v>
      </c>
      <c r="H1606" s="64">
        <f>ventas_b_mes11[[#This Row],[TOTAL]]/1.21</f>
        <v>0</v>
      </c>
      <c r="I1606" s="183">
        <f>ventas_b_mes11[[#This Row],[IMPORTE NETO]]*0.21</f>
        <v>0</v>
      </c>
      <c r="J1606" s="184"/>
      <c r="K1606" s="184"/>
      <c r="L1606" s="184"/>
      <c r="M1606" s="59"/>
    </row>
    <row r="1607" spans="2:13" x14ac:dyDescent="0.3">
      <c r="B1607" s="178"/>
      <c r="C1607" s="179"/>
      <c r="D1607" s="180"/>
      <c r="E1607" s="181"/>
      <c r="F1607" s="182"/>
      <c r="G1607" s="1" t="str">
        <f>IFERROR(IF(ventas_b_mes11[[#This Row],[CUIT]]="","-",VLOOKUP(ventas_b_mes11[[#This Row],[CUIT]],Lista_CUIT[#All],2,0)),"CUIT NO CARGADO")</f>
        <v>-</v>
      </c>
      <c r="H1607" s="64">
        <f>ventas_b_mes11[[#This Row],[TOTAL]]/1.21</f>
        <v>0</v>
      </c>
      <c r="I1607" s="183">
        <f>ventas_b_mes11[[#This Row],[IMPORTE NETO]]*0.21</f>
        <v>0</v>
      </c>
      <c r="J1607" s="184"/>
      <c r="K1607" s="184"/>
      <c r="L1607" s="184"/>
      <c r="M1607" s="59"/>
    </row>
    <row r="1608" spans="2:13" x14ac:dyDescent="0.3">
      <c r="B1608" s="178"/>
      <c r="C1608" s="179"/>
      <c r="D1608" s="180"/>
      <c r="E1608" s="181"/>
      <c r="F1608" s="182"/>
      <c r="G1608" s="1" t="str">
        <f>IFERROR(IF(ventas_b_mes11[[#This Row],[CUIT]]="","-",VLOOKUP(ventas_b_mes11[[#This Row],[CUIT]],Lista_CUIT[#All],2,0)),"CUIT NO CARGADO")</f>
        <v>-</v>
      </c>
      <c r="H1608" s="64">
        <f>ventas_b_mes11[[#This Row],[TOTAL]]/1.21</f>
        <v>0</v>
      </c>
      <c r="I1608" s="183">
        <f>ventas_b_mes11[[#This Row],[IMPORTE NETO]]*0.21</f>
        <v>0</v>
      </c>
      <c r="J1608" s="184"/>
      <c r="K1608" s="184"/>
      <c r="L1608" s="184"/>
      <c r="M1608" s="59"/>
    </row>
    <row r="1609" spans="2:13" x14ac:dyDescent="0.3">
      <c r="B1609" s="178"/>
      <c r="C1609" s="179"/>
      <c r="D1609" s="180"/>
      <c r="E1609" s="181"/>
      <c r="F1609" s="182"/>
      <c r="G1609" s="1" t="str">
        <f>IFERROR(IF(ventas_b_mes11[[#This Row],[CUIT]]="","-",VLOOKUP(ventas_b_mes11[[#This Row],[CUIT]],Lista_CUIT[#All],2,0)),"CUIT NO CARGADO")</f>
        <v>-</v>
      </c>
      <c r="H1609" s="64">
        <f>ventas_b_mes11[[#This Row],[TOTAL]]/1.21</f>
        <v>0</v>
      </c>
      <c r="I1609" s="183">
        <f>ventas_b_mes11[[#This Row],[IMPORTE NETO]]*0.21</f>
        <v>0</v>
      </c>
      <c r="J1609" s="184"/>
      <c r="K1609" s="184"/>
      <c r="L1609" s="184"/>
      <c r="M1609" s="59"/>
    </row>
    <row r="1610" spans="2:13" x14ac:dyDescent="0.3">
      <c r="B1610" s="178"/>
      <c r="C1610" s="179"/>
      <c r="D1610" s="180"/>
      <c r="E1610" s="181"/>
      <c r="F1610" s="182"/>
      <c r="G1610" s="1" t="str">
        <f>IFERROR(IF(ventas_b_mes11[[#This Row],[CUIT]]="","-",VLOOKUP(ventas_b_mes11[[#This Row],[CUIT]],Lista_CUIT[#All],2,0)),"CUIT NO CARGADO")</f>
        <v>-</v>
      </c>
      <c r="H1610" s="64">
        <f>ventas_b_mes11[[#This Row],[TOTAL]]/1.21</f>
        <v>0</v>
      </c>
      <c r="I1610" s="183">
        <f>ventas_b_mes11[[#This Row],[IMPORTE NETO]]*0.21</f>
        <v>0</v>
      </c>
      <c r="J1610" s="184"/>
      <c r="K1610" s="184"/>
      <c r="L1610" s="184"/>
      <c r="M1610" s="59"/>
    </row>
    <row r="1611" spans="2:13" x14ac:dyDescent="0.3">
      <c r="B1611" s="178"/>
      <c r="C1611" s="179"/>
      <c r="D1611" s="180"/>
      <c r="E1611" s="181"/>
      <c r="F1611" s="182"/>
      <c r="G1611" s="1" t="str">
        <f>IFERROR(IF(ventas_b_mes11[[#This Row],[CUIT]]="","-",VLOOKUP(ventas_b_mes11[[#This Row],[CUIT]],Lista_CUIT[#All],2,0)),"CUIT NO CARGADO")</f>
        <v>-</v>
      </c>
      <c r="H1611" s="64">
        <f>ventas_b_mes11[[#This Row],[TOTAL]]/1.21</f>
        <v>0</v>
      </c>
      <c r="I1611" s="183">
        <f>ventas_b_mes11[[#This Row],[IMPORTE NETO]]*0.21</f>
        <v>0</v>
      </c>
      <c r="J1611" s="184"/>
      <c r="K1611" s="184"/>
      <c r="L1611" s="184"/>
      <c r="M1611" s="59"/>
    </row>
    <row r="1612" spans="2:13" x14ac:dyDescent="0.3">
      <c r="B1612" s="178"/>
      <c r="C1612" s="179"/>
      <c r="D1612" s="180"/>
      <c r="E1612" s="181"/>
      <c r="F1612" s="182"/>
      <c r="G1612" s="1" t="str">
        <f>IFERROR(IF(ventas_b_mes11[[#This Row],[CUIT]]="","-",VLOOKUP(ventas_b_mes11[[#This Row],[CUIT]],Lista_CUIT[#All],2,0)),"CUIT NO CARGADO")</f>
        <v>-</v>
      </c>
      <c r="H1612" s="64">
        <f>ventas_b_mes11[[#This Row],[TOTAL]]/1.21</f>
        <v>0</v>
      </c>
      <c r="I1612" s="183">
        <f>ventas_b_mes11[[#This Row],[IMPORTE NETO]]*0.21</f>
        <v>0</v>
      </c>
      <c r="J1612" s="184"/>
      <c r="K1612" s="184"/>
      <c r="L1612" s="184"/>
      <c r="M1612" s="59"/>
    </row>
    <row r="1613" spans="2:13" x14ac:dyDescent="0.3">
      <c r="B1613" s="178"/>
      <c r="C1613" s="179"/>
      <c r="D1613" s="180"/>
      <c r="E1613" s="181"/>
      <c r="F1613" s="182"/>
      <c r="G1613" s="1" t="str">
        <f>IFERROR(IF(ventas_b_mes11[[#This Row],[CUIT]]="","-",VLOOKUP(ventas_b_mes11[[#This Row],[CUIT]],Lista_CUIT[#All],2,0)),"CUIT NO CARGADO")</f>
        <v>-</v>
      </c>
      <c r="H1613" s="64">
        <f>ventas_b_mes11[[#This Row],[TOTAL]]/1.21</f>
        <v>0</v>
      </c>
      <c r="I1613" s="183">
        <f>ventas_b_mes11[[#This Row],[IMPORTE NETO]]*0.21</f>
        <v>0</v>
      </c>
      <c r="J1613" s="184"/>
      <c r="K1613" s="184"/>
      <c r="L1613" s="184"/>
      <c r="M1613" s="59"/>
    </row>
    <row r="1614" spans="2:13" x14ac:dyDescent="0.3">
      <c r="B1614" s="178"/>
      <c r="C1614" s="179"/>
      <c r="D1614" s="180"/>
      <c r="E1614" s="181"/>
      <c r="F1614" s="182"/>
      <c r="G1614" s="1" t="str">
        <f>IFERROR(IF(ventas_b_mes11[[#This Row],[CUIT]]="","-",VLOOKUP(ventas_b_mes11[[#This Row],[CUIT]],Lista_CUIT[#All],2,0)),"CUIT NO CARGADO")</f>
        <v>-</v>
      </c>
      <c r="H1614" s="64">
        <f>ventas_b_mes11[[#This Row],[TOTAL]]/1.21</f>
        <v>0</v>
      </c>
      <c r="I1614" s="183">
        <f>ventas_b_mes11[[#This Row],[IMPORTE NETO]]*0.21</f>
        <v>0</v>
      </c>
      <c r="J1614" s="184"/>
      <c r="K1614" s="184"/>
      <c r="L1614" s="184"/>
      <c r="M1614" s="59"/>
    </row>
    <row r="1615" spans="2:13" x14ac:dyDescent="0.3">
      <c r="B1615" s="178"/>
      <c r="C1615" s="179"/>
      <c r="D1615" s="180"/>
      <c r="E1615" s="181"/>
      <c r="F1615" s="182"/>
      <c r="G1615" s="1" t="str">
        <f>IFERROR(IF(ventas_b_mes11[[#This Row],[CUIT]]="","-",VLOOKUP(ventas_b_mes11[[#This Row],[CUIT]],Lista_CUIT[#All],2,0)),"CUIT NO CARGADO")</f>
        <v>-</v>
      </c>
      <c r="H1615" s="64">
        <f>ventas_b_mes11[[#This Row],[TOTAL]]/1.21</f>
        <v>0</v>
      </c>
      <c r="I1615" s="183">
        <f>ventas_b_mes11[[#This Row],[IMPORTE NETO]]*0.21</f>
        <v>0</v>
      </c>
      <c r="J1615" s="184"/>
      <c r="K1615" s="184"/>
      <c r="L1615" s="184"/>
      <c r="M1615" s="59"/>
    </row>
    <row r="1616" spans="2:13" x14ac:dyDescent="0.3">
      <c r="B1616" s="178"/>
      <c r="C1616" s="179"/>
      <c r="D1616" s="180"/>
      <c r="E1616" s="181"/>
      <c r="F1616" s="182"/>
      <c r="G1616" s="1" t="str">
        <f>IFERROR(IF(ventas_b_mes11[[#This Row],[CUIT]]="","-",VLOOKUP(ventas_b_mes11[[#This Row],[CUIT]],Lista_CUIT[#All],2,0)),"CUIT NO CARGADO")</f>
        <v>-</v>
      </c>
      <c r="H1616" s="64">
        <f>ventas_b_mes11[[#This Row],[TOTAL]]/1.21</f>
        <v>0</v>
      </c>
      <c r="I1616" s="183">
        <f>ventas_b_mes11[[#This Row],[IMPORTE NETO]]*0.21</f>
        <v>0</v>
      </c>
      <c r="J1616" s="184"/>
      <c r="K1616" s="184"/>
      <c r="L1616" s="184"/>
      <c r="M1616" s="59"/>
    </row>
    <row r="1617" spans="2:13" x14ac:dyDescent="0.3">
      <c r="B1617" s="178"/>
      <c r="C1617" s="179"/>
      <c r="D1617" s="180"/>
      <c r="E1617" s="181"/>
      <c r="F1617" s="182"/>
      <c r="G1617" s="1" t="str">
        <f>IFERROR(IF(ventas_b_mes11[[#This Row],[CUIT]]="","-",VLOOKUP(ventas_b_mes11[[#This Row],[CUIT]],Lista_CUIT[#All],2,0)),"CUIT NO CARGADO")</f>
        <v>-</v>
      </c>
      <c r="H1617" s="64">
        <f>ventas_b_mes11[[#This Row],[TOTAL]]/1.21</f>
        <v>0</v>
      </c>
      <c r="I1617" s="183">
        <f>ventas_b_mes11[[#This Row],[IMPORTE NETO]]*0.21</f>
        <v>0</v>
      </c>
      <c r="J1617" s="184"/>
      <c r="K1617" s="184"/>
      <c r="L1617" s="184"/>
      <c r="M1617" s="59"/>
    </row>
    <row r="1618" spans="2:13" x14ac:dyDescent="0.3">
      <c r="B1618" s="178"/>
      <c r="C1618" s="179"/>
      <c r="D1618" s="180"/>
      <c r="E1618" s="181"/>
      <c r="F1618" s="182"/>
      <c r="G1618" s="1" t="str">
        <f>IFERROR(IF(ventas_b_mes11[[#This Row],[CUIT]]="","-",VLOOKUP(ventas_b_mes11[[#This Row],[CUIT]],Lista_CUIT[#All],2,0)),"CUIT NO CARGADO")</f>
        <v>-</v>
      </c>
      <c r="H1618" s="64">
        <f>ventas_b_mes11[[#This Row],[TOTAL]]/1.21</f>
        <v>0</v>
      </c>
      <c r="I1618" s="183">
        <f>ventas_b_mes11[[#This Row],[IMPORTE NETO]]*0.21</f>
        <v>0</v>
      </c>
      <c r="J1618" s="184"/>
      <c r="K1618" s="184"/>
      <c r="L1618" s="184"/>
      <c r="M1618" s="59"/>
    </row>
    <row r="1619" spans="2:13" x14ac:dyDescent="0.3">
      <c r="B1619" s="178"/>
      <c r="C1619" s="179"/>
      <c r="D1619" s="180"/>
      <c r="E1619" s="181"/>
      <c r="F1619" s="182"/>
      <c r="G1619" s="1" t="str">
        <f>IFERROR(IF(ventas_b_mes11[[#This Row],[CUIT]]="","-",VLOOKUP(ventas_b_mes11[[#This Row],[CUIT]],Lista_CUIT[#All],2,0)),"CUIT NO CARGADO")</f>
        <v>-</v>
      </c>
      <c r="H1619" s="64">
        <f>ventas_b_mes11[[#This Row],[TOTAL]]/1.21</f>
        <v>0</v>
      </c>
      <c r="I1619" s="183">
        <f>ventas_b_mes11[[#This Row],[IMPORTE NETO]]*0.21</f>
        <v>0</v>
      </c>
      <c r="J1619" s="184"/>
      <c r="K1619" s="184"/>
      <c r="L1619" s="184"/>
      <c r="M1619" s="59"/>
    </row>
    <row r="1620" spans="2:13" x14ac:dyDescent="0.3">
      <c r="B1620" s="178"/>
      <c r="C1620" s="179"/>
      <c r="D1620" s="180"/>
      <c r="E1620" s="181"/>
      <c r="F1620" s="182"/>
      <c r="G1620" s="1" t="str">
        <f>IFERROR(IF(ventas_b_mes11[[#This Row],[CUIT]]="","-",VLOOKUP(ventas_b_mes11[[#This Row],[CUIT]],Lista_CUIT[#All],2,0)),"CUIT NO CARGADO")</f>
        <v>-</v>
      </c>
      <c r="H1620" s="64">
        <f>ventas_b_mes11[[#This Row],[TOTAL]]/1.21</f>
        <v>0</v>
      </c>
      <c r="I1620" s="183">
        <f>ventas_b_mes11[[#This Row],[IMPORTE NETO]]*0.21</f>
        <v>0</v>
      </c>
      <c r="J1620" s="184"/>
      <c r="K1620" s="184"/>
      <c r="L1620" s="184"/>
      <c r="M1620" s="59"/>
    </row>
    <row r="1621" spans="2:13" x14ac:dyDescent="0.3">
      <c r="B1621" s="178"/>
      <c r="C1621" s="179"/>
      <c r="D1621" s="180"/>
      <c r="E1621" s="181"/>
      <c r="F1621" s="182"/>
      <c r="G1621" s="1" t="str">
        <f>IFERROR(IF(ventas_b_mes11[[#This Row],[CUIT]]="","-",VLOOKUP(ventas_b_mes11[[#This Row],[CUIT]],Lista_CUIT[#All],2,0)),"CUIT NO CARGADO")</f>
        <v>-</v>
      </c>
      <c r="H1621" s="64">
        <f>ventas_b_mes11[[#This Row],[TOTAL]]/1.21</f>
        <v>0</v>
      </c>
      <c r="I1621" s="183">
        <f>ventas_b_mes11[[#This Row],[IMPORTE NETO]]*0.21</f>
        <v>0</v>
      </c>
      <c r="J1621" s="184"/>
      <c r="K1621" s="184"/>
      <c r="L1621" s="184"/>
      <c r="M1621" s="59"/>
    </row>
    <row r="1622" spans="2:13" x14ac:dyDescent="0.3">
      <c r="B1622" s="178"/>
      <c r="C1622" s="179"/>
      <c r="D1622" s="180"/>
      <c r="E1622" s="181"/>
      <c r="F1622" s="182"/>
      <c r="G1622" s="1" t="str">
        <f>IFERROR(IF(ventas_b_mes11[[#This Row],[CUIT]]="","-",VLOOKUP(ventas_b_mes11[[#This Row],[CUIT]],Lista_CUIT[#All],2,0)),"CUIT NO CARGADO")</f>
        <v>-</v>
      </c>
      <c r="H1622" s="64">
        <f>ventas_b_mes11[[#This Row],[TOTAL]]/1.21</f>
        <v>0</v>
      </c>
      <c r="I1622" s="183">
        <f>ventas_b_mes11[[#This Row],[IMPORTE NETO]]*0.21</f>
        <v>0</v>
      </c>
      <c r="J1622" s="184"/>
      <c r="K1622" s="184"/>
      <c r="L1622" s="184"/>
      <c r="M1622" s="59"/>
    </row>
    <row r="1623" spans="2:13" x14ac:dyDescent="0.3">
      <c r="B1623" s="178"/>
      <c r="C1623" s="179"/>
      <c r="D1623" s="180"/>
      <c r="E1623" s="181"/>
      <c r="F1623" s="182"/>
      <c r="G1623" s="1" t="str">
        <f>IFERROR(IF(ventas_b_mes11[[#This Row],[CUIT]]="","-",VLOOKUP(ventas_b_mes11[[#This Row],[CUIT]],Lista_CUIT[#All],2,0)),"CUIT NO CARGADO")</f>
        <v>-</v>
      </c>
      <c r="H1623" s="64">
        <f>ventas_b_mes11[[#This Row],[TOTAL]]/1.21</f>
        <v>0</v>
      </c>
      <c r="I1623" s="183">
        <f>ventas_b_mes11[[#This Row],[IMPORTE NETO]]*0.21</f>
        <v>0</v>
      </c>
      <c r="J1623" s="184"/>
      <c r="K1623" s="184"/>
      <c r="L1623" s="184"/>
      <c r="M1623" s="59"/>
    </row>
    <row r="1624" spans="2:13" x14ac:dyDescent="0.3">
      <c r="B1624" s="178"/>
      <c r="C1624" s="179"/>
      <c r="D1624" s="180"/>
      <c r="E1624" s="181"/>
      <c r="F1624" s="182"/>
      <c r="G1624" s="1" t="str">
        <f>IFERROR(IF(ventas_b_mes11[[#This Row],[CUIT]]="","-",VLOOKUP(ventas_b_mes11[[#This Row],[CUIT]],Lista_CUIT[#All],2,0)),"CUIT NO CARGADO")</f>
        <v>-</v>
      </c>
      <c r="H1624" s="64">
        <f>ventas_b_mes11[[#This Row],[TOTAL]]/1.21</f>
        <v>0</v>
      </c>
      <c r="I1624" s="183">
        <f>ventas_b_mes11[[#This Row],[IMPORTE NETO]]*0.21</f>
        <v>0</v>
      </c>
      <c r="J1624" s="184"/>
      <c r="K1624" s="184"/>
      <c r="L1624" s="184"/>
      <c r="M1624" s="59"/>
    </row>
    <row r="1625" spans="2:13" x14ac:dyDescent="0.3">
      <c r="B1625" s="178"/>
      <c r="C1625" s="179"/>
      <c r="D1625" s="180"/>
      <c r="E1625" s="181"/>
      <c r="F1625" s="182"/>
      <c r="G1625" s="1" t="str">
        <f>IFERROR(IF(ventas_b_mes11[[#This Row],[CUIT]]="","-",VLOOKUP(ventas_b_mes11[[#This Row],[CUIT]],Lista_CUIT[#All],2,0)),"CUIT NO CARGADO")</f>
        <v>-</v>
      </c>
      <c r="H1625" s="64">
        <f>ventas_b_mes11[[#This Row],[TOTAL]]/1.21</f>
        <v>0</v>
      </c>
      <c r="I1625" s="183">
        <f>ventas_b_mes11[[#This Row],[IMPORTE NETO]]*0.21</f>
        <v>0</v>
      </c>
      <c r="J1625" s="184"/>
      <c r="K1625" s="184"/>
      <c r="L1625" s="184"/>
      <c r="M1625" s="59"/>
    </row>
    <row r="1626" spans="2:13" x14ac:dyDescent="0.3">
      <c r="B1626" s="178"/>
      <c r="C1626" s="179"/>
      <c r="D1626" s="180"/>
      <c r="E1626" s="181"/>
      <c r="F1626" s="182"/>
      <c r="G1626" s="1" t="str">
        <f>IFERROR(IF(ventas_b_mes11[[#This Row],[CUIT]]="","-",VLOOKUP(ventas_b_mes11[[#This Row],[CUIT]],Lista_CUIT[#All],2,0)),"CUIT NO CARGADO")</f>
        <v>-</v>
      </c>
      <c r="H1626" s="64">
        <f>ventas_b_mes11[[#This Row],[TOTAL]]/1.21</f>
        <v>0</v>
      </c>
      <c r="I1626" s="183">
        <f>ventas_b_mes11[[#This Row],[IMPORTE NETO]]*0.21</f>
        <v>0</v>
      </c>
      <c r="J1626" s="184"/>
      <c r="K1626" s="184"/>
      <c r="L1626" s="184"/>
      <c r="M1626" s="59"/>
    </row>
    <row r="1627" spans="2:13" x14ac:dyDescent="0.3">
      <c r="B1627" s="178"/>
      <c r="C1627" s="179"/>
      <c r="D1627" s="180"/>
      <c r="E1627" s="181"/>
      <c r="F1627" s="182"/>
      <c r="G1627" s="1" t="str">
        <f>IFERROR(IF(ventas_b_mes11[[#This Row],[CUIT]]="","-",VLOOKUP(ventas_b_mes11[[#This Row],[CUIT]],Lista_CUIT[#All],2,0)),"CUIT NO CARGADO")</f>
        <v>-</v>
      </c>
      <c r="H1627" s="64">
        <f>ventas_b_mes11[[#This Row],[TOTAL]]/1.21</f>
        <v>0</v>
      </c>
      <c r="I1627" s="183">
        <f>ventas_b_mes11[[#This Row],[IMPORTE NETO]]*0.21</f>
        <v>0</v>
      </c>
      <c r="J1627" s="184"/>
      <c r="K1627" s="184"/>
      <c r="L1627" s="184"/>
      <c r="M1627" s="59"/>
    </row>
    <row r="1628" spans="2:13" x14ac:dyDescent="0.3">
      <c r="B1628" s="178"/>
      <c r="C1628" s="179"/>
      <c r="D1628" s="180"/>
      <c r="E1628" s="181"/>
      <c r="F1628" s="182"/>
      <c r="G1628" s="1" t="str">
        <f>IFERROR(IF(ventas_b_mes11[[#This Row],[CUIT]]="","-",VLOOKUP(ventas_b_mes11[[#This Row],[CUIT]],Lista_CUIT[#All],2,0)),"CUIT NO CARGADO")</f>
        <v>-</v>
      </c>
      <c r="H1628" s="64">
        <f>ventas_b_mes11[[#This Row],[TOTAL]]/1.21</f>
        <v>0</v>
      </c>
      <c r="I1628" s="183">
        <f>ventas_b_mes11[[#This Row],[IMPORTE NETO]]*0.21</f>
        <v>0</v>
      </c>
      <c r="J1628" s="184"/>
      <c r="K1628" s="184"/>
      <c r="L1628" s="184"/>
      <c r="M1628" s="59"/>
    </row>
    <row r="1629" spans="2:13" x14ac:dyDescent="0.3">
      <c r="B1629" s="178"/>
      <c r="C1629" s="179"/>
      <c r="D1629" s="180"/>
      <c r="E1629" s="181"/>
      <c r="F1629" s="182"/>
      <c r="G1629" s="1" t="str">
        <f>IFERROR(IF(ventas_b_mes11[[#This Row],[CUIT]]="","-",VLOOKUP(ventas_b_mes11[[#This Row],[CUIT]],Lista_CUIT[#All],2,0)),"CUIT NO CARGADO")</f>
        <v>-</v>
      </c>
      <c r="H1629" s="64">
        <f>ventas_b_mes11[[#This Row],[TOTAL]]/1.21</f>
        <v>0</v>
      </c>
      <c r="I1629" s="183">
        <f>ventas_b_mes11[[#This Row],[IMPORTE NETO]]*0.21</f>
        <v>0</v>
      </c>
      <c r="J1629" s="184"/>
      <c r="K1629" s="184"/>
      <c r="L1629" s="184"/>
      <c r="M1629" s="59"/>
    </row>
    <row r="1630" spans="2:13" x14ac:dyDescent="0.3">
      <c r="B1630" s="178"/>
      <c r="C1630" s="179"/>
      <c r="D1630" s="180"/>
      <c r="E1630" s="181"/>
      <c r="F1630" s="182"/>
      <c r="G1630" s="1" t="str">
        <f>IFERROR(IF(ventas_b_mes11[[#This Row],[CUIT]]="","-",VLOOKUP(ventas_b_mes11[[#This Row],[CUIT]],Lista_CUIT[#All],2,0)),"CUIT NO CARGADO")</f>
        <v>-</v>
      </c>
      <c r="H1630" s="64">
        <f>ventas_b_mes11[[#This Row],[TOTAL]]/1.21</f>
        <v>0</v>
      </c>
      <c r="I1630" s="183">
        <f>ventas_b_mes11[[#This Row],[IMPORTE NETO]]*0.21</f>
        <v>0</v>
      </c>
      <c r="J1630" s="184"/>
      <c r="K1630" s="184"/>
      <c r="L1630" s="184"/>
      <c r="M1630" s="59"/>
    </row>
    <row r="1631" spans="2:13" x14ac:dyDescent="0.3">
      <c r="B1631" s="178"/>
      <c r="C1631" s="179"/>
      <c r="D1631" s="180"/>
      <c r="E1631" s="181"/>
      <c r="F1631" s="182"/>
      <c r="G1631" s="1" t="str">
        <f>IFERROR(IF(ventas_b_mes11[[#This Row],[CUIT]]="","-",VLOOKUP(ventas_b_mes11[[#This Row],[CUIT]],Lista_CUIT[#All],2,0)),"CUIT NO CARGADO")</f>
        <v>-</v>
      </c>
      <c r="H1631" s="64">
        <f>ventas_b_mes11[[#This Row],[TOTAL]]/1.21</f>
        <v>0</v>
      </c>
      <c r="I1631" s="183">
        <f>ventas_b_mes11[[#This Row],[IMPORTE NETO]]*0.21</f>
        <v>0</v>
      </c>
      <c r="J1631" s="184"/>
      <c r="K1631" s="184"/>
      <c r="L1631" s="184"/>
      <c r="M1631" s="59"/>
    </row>
    <row r="1632" spans="2:13" x14ac:dyDescent="0.3">
      <c r="B1632" s="178"/>
      <c r="C1632" s="179"/>
      <c r="D1632" s="180"/>
      <c r="E1632" s="181"/>
      <c r="F1632" s="182"/>
      <c r="G1632" s="1" t="str">
        <f>IFERROR(IF(ventas_b_mes11[[#This Row],[CUIT]]="","-",VLOOKUP(ventas_b_mes11[[#This Row],[CUIT]],Lista_CUIT[#All],2,0)),"CUIT NO CARGADO")</f>
        <v>-</v>
      </c>
      <c r="H1632" s="64">
        <f>ventas_b_mes11[[#This Row],[TOTAL]]/1.21</f>
        <v>0</v>
      </c>
      <c r="I1632" s="183">
        <f>ventas_b_mes11[[#This Row],[IMPORTE NETO]]*0.21</f>
        <v>0</v>
      </c>
      <c r="J1632" s="184"/>
      <c r="K1632" s="184"/>
      <c r="L1632" s="184"/>
      <c r="M1632" s="59"/>
    </row>
    <row r="1633" spans="2:13" x14ac:dyDescent="0.3">
      <c r="B1633" s="178"/>
      <c r="C1633" s="179"/>
      <c r="D1633" s="180"/>
      <c r="E1633" s="181"/>
      <c r="F1633" s="182"/>
      <c r="G1633" s="1" t="str">
        <f>IFERROR(IF(ventas_b_mes11[[#This Row],[CUIT]]="","-",VLOOKUP(ventas_b_mes11[[#This Row],[CUIT]],Lista_CUIT[#All],2,0)),"CUIT NO CARGADO")</f>
        <v>-</v>
      </c>
      <c r="H1633" s="64">
        <f>ventas_b_mes11[[#This Row],[TOTAL]]/1.21</f>
        <v>0</v>
      </c>
      <c r="I1633" s="183">
        <f>ventas_b_mes11[[#This Row],[IMPORTE NETO]]*0.21</f>
        <v>0</v>
      </c>
      <c r="J1633" s="184"/>
      <c r="K1633" s="184"/>
      <c r="L1633" s="184"/>
      <c r="M1633" s="59"/>
    </row>
    <row r="1634" spans="2:13" x14ac:dyDescent="0.3">
      <c r="B1634" s="178"/>
      <c r="C1634" s="179"/>
      <c r="D1634" s="180"/>
      <c r="E1634" s="181"/>
      <c r="F1634" s="182"/>
      <c r="G1634" s="1" t="str">
        <f>IFERROR(IF(ventas_b_mes11[[#This Row],[CUIT]]="","-",VLOOKUP(ventas_b_mes11[[#This Row],[CUIT]],Lista_CUIT[#All],2,0)),"CUIT NO CARGADO")</f>
        <v>-</v>
      </c>
      <c r="H1634" s="64">
        <f>ventas_b_mes11[[#This Row],[TOTAL]]/1.21</f>
        <v>0</v>
      </c>
      <c r="I1634" s="183">
        <f>ventas_b_mes11[[#This Row],[IMPORTE NETO]]*0.21</f>
        <v>0</v>
      </c>
      <c r="J1634" s="184"/>
      <c r="K1634" s="184"/>
      <c r="L1634" s="184"/>
      <c r="M1634" s="59"/>
    </row>
    <row r="1635" spans="2:13" x14ac:dyDescent="0.3">
      <c r="B1635" s="178"/>
      <c r="C1635" s="179"/>
      <c r="D1635" s="180"/>
      <c r="E1635" s="181"/>
      <c r="F1635" s="182"/>
      <c r="G1635" s="1" t="str">
        <f>IFERROR(IF(ventas_b_mes11[[#This Row],[CUIT]]="","-",VLOOKUP(ventas_b_mes11[[#This Row],[CUIT]],Lista_CUIT[#All],2,0)),"CUIT NO CARGADO")</f>
        <v>-</v>
      </c>
      <c r="H1635" s="64">
        <f>ventas_b_mes11[[#This Row],[TOTAL]]/1.21</f>
        <v>0</v>
      </c>
      <c r="I1635" s="183">
        <f>ventas_b_mes11[[#This Row],[IMPORTE NETO]]*0.21</f>
        <v>0</v>
      </c>
      <c r="J1635" s="184"/>
      <c r="K1635" s="184"/>
      <c r="L1635" s="184"/>
      <c r="M1635" s="59"/>
    </row>
    <row r="1636" spans="2:13" x14ac:dyDescent="0.3">
      <c r="B1636" s="178"/>
      <c r="C1636" s="179"/>
      <c r="D1636" s="180"/>
      <c r="E1636" s="181"/>
      <c r="F1636" s="182"/>
      <c r="G1636" s="1" t="str">
        <f>IFERROR(IF(ventas_b_mes11[[#This Row],[CUIT]]="","-",VLOOKUP(ventas_b_mes11[[#This Row],[CUIT]],Lista_CUIT[#All],2,0)),"CUIT NO CARGADO")</f>
        <v>-</v>
      </c>
      <c r="H1636" s="64">
        <f>ventas_b_mes11[[#This Row],[TOTAL]]/1.21</f>
        <v>0</v>
      </c>
      <c r="I1636" s="183">
        <f>ventas_b_mes11[[#This Row],[IMPORTE NETO]]*0.21</f>
        <v>0</v>
      </c>
      <c r="J1636" s="184"/>
      <c r="K1636" s="184"/>
      <c r="L1636" s="184"/>
      <c r="M1636" s="59"/>
    </row>
    <row r="1637" spans="2:13" x14ac:dyDescent="0.3">
      <c r="B1637" s="178"/>
      <c r="C1637" s="179"/>
      <c r="D1637" s="180"/>
      <c r="E1637" s="181"/>
      <c r="F1637" s="182"/>
      <c r="G1637" s="1" t="str">
        <f>IFERROR(IF(ventas_b_mes11[[#This Row],[CUIT]]="","-",VLOOKUP(ventas_b_mes11[[#This Row],[CUIT]],Lista_CUIT[#All],2,0)),"CUIT NO CARGADO")</f>
        <v>-</v>
      </c>
      <c r="H1637" s="64">
        <f>ventas_b_mes11[[#This Row],[TOTAL]]/1.21</f>
        <v>0</v>
      </c>
      <c r="I1637" s="183">
        <f>ventas_b_mes11[[#This Row],[IMPORTE NETO]]*0.21</f>
        <v>0</v>
      </c>
      <c r="J1637" s="184"/>
      <c r="K1637" s="184"/>
      <c r="L1637" s="184"/>
      <c r="M1637" s="59"/>
    </row>
    <row r="1638" spans="2:13" x14ac:dyDescent="0.3">
      <c r="B1638" s="178"/>
      <c r="C1638" s="179"/>
      <c r="D1638" s="180"/>
      <c r="E1638" s="181"/>
      <c r="F1638" s="182"/>
      <c r="G1638" s="1" t="str">
        <f>IFERROR(IF(ventas_b_mes11[[#This Row],[CUIT]]="","-",VLOOKUP(ventas_b_mes11[[#This Row],[CUIT]],Lista_CUIT[#All],2,0)),"CUIT NO CARGADO")</f>
        <v>-</v>
      </c>
      <c r="H1638" s="64">
        <f>ventas_b_mes11[[#This Row],[TOTAL]]/1.21</f>
        <v>0</v>
      </c>
      <c r="I1638" s="183">
        <f>ventas_b_mes11[[#This Row],[IMPORTE NETO]]*0.21</f>
        <v>0</v>
      </c>
      <c r="J1638" s="184"/>
      <c r="K1638" s="184"/>
      <c r="L1638" s="184"/>
      <c r="M1638" s="59"/>
    </row>
    <row r="1639" spans="2:13" x14ac:dyDescent="0.3">
      <c r="B1639" s="178"/>
      <c r="C1639" s="179"/>
      <c r="D1639" s="180"/>
      <c r="E1639" s="181"/>
      <c r="F1639" s="182"/>
      <c r="G1639" s="1" t="str">
        <f>IFERROR(IF(ventas_b_mes11[[#This Row],[CUIT]]="","-",VLOOKUP(ventas_b_mes11[[#This Row],[CUIT]],Lista_CUIT[#All],2,0)),"CUIT NO CARGADO")</f>
        <v>-</v>
      </c>
      <c r="H1639" s="64">
        <f>ventas_b_mes11[[#This Row],[TOTAL]]/1.21</f>
        <v>0</v>
      </c>
      <c r="I1639" s="183">
        <f>ventas_b_mes11[[#This Row],[IMPORTE NETO]]*0.21</f>
        <v>0</v>
      </c>
      <c r="J1639" s="184"/>
      <c r="K1639" s="184"/>
      <c r="L1639" s="184"/>
      <c r="M1639" s="59"/>
    </row>
    <row r="1640" spans="2:13" x14ac:dyDescent="0.3">
      <c r="B1640" s="178"/>
      <c r="C1640" s="179"/>
      <c r="D1640" s="180"/>
      <c r="E1640" s="181"/>
      <c r="F1640" s="182"/>
      <c r="G1640" s="1" t="str">
        <f>IFERROR(IF(ventas_b_mes11[[#This Row],[CUIT]]="","-",VLOOKUP(ventas_b_mes11[[#This Row],[CUIT]],Lista_CUIT[#All],2,0)),"CUIT NO CARGADO")</f>
        <v>-</v>
      </c>
      <c r="H1640" s="64">
        <f>ventas_b_mes11[[#This Row],[TOTAL]]/1.21</f>
        <v>0</v>
      </c>
      <c r="I1640" s="183">
        <f>ventas_b_mes11[[#This Row],[IMPORTE NETO]]*0.21</f>
        <v>0</v>
      </c>
      <c r="J1640" s="184"/>
      <c r="K1640" s="184"/>
      <c r="L1640" s="184"/>
      <c r="M1640" s="59"/>
    </row>
    <row r="1641" spans="2:13" x14ac:dyDescent="0.3">
      <c r="B1641" s="178"/>
      <c r="C1641" s="179"/>
      <c r="D1641" s="180"/>
      <c r="E1641" s="181"/>
      <c r="F1641" s="182"/>
      <c r="G1641" s="1" t="str">
        <f>IFERROR(IF(ventas_b_mes11[[#This Row],[CUIT]]="","-",VLOOKUP(ventas_b_mes11[[#This Row],[CUIT]],Lista_CUIT[#All],2,0)),"CUIT NO CARGADO")</f>
        <v>-</v>
      </c>
      <c r="H1641" s="64">
        <f>ventas_b_mes11[[#This Row],[TOTAL]]/1.21</f>
        <v>0</v>
      </c>
      <c r="I1641" s="183">
        <f>ventas_b_mes11[[#This Row],[IMPORTE NETO]]*0.21</f>
        <v>0</v>
      </c>
      <c r="J1641" s="184"/>
      <c r="K1641" s="184"/>
      <c r="L1641" s="184"/>
      <c r="M1641" s="59"/>
    </row>
    <row r="1642" spans="2:13" x14ac:dyDescent="0.3">
      <c r="B1642" s="178"/>
      <c r="C1642" s="179"/>
      <c r="D1642" s="180"/>
      <c r="E1642" s="181"/>
      <c r="F1642" s="182"/>
      <c r="G1642" s="1" t="str">
        <f>IFERROR(IF(ventas_b_mes11[[#This Row],[CUIT]]="","-",VLOOKUP(ventas_b_mes11[[#This Row],[CUIT]],Lista_CUIT[#All],2,0)),"CUIT NO CARGADO")</f>
        <v>-</v>
      </c>
      <c r="H1642" s="64">
        <f>ventas_b_mes11[[#This Row],[TOTAL]]/1.21</f>
        <v>0</v>
      </c>
      <c r="I1642" s="183">
        <f>ventas_b_mes11[[#This Row],[IMPORTE NETO]]*0.21</f>
        <v>0</v>
      </c>
      <c r="J1642" s="184"/>
      <c r="K1642" s="184"/>
      <c r="L1642" s="184"/>
      <c r="M1642" s="59"/>
    </row>
    <row r="1643" spans="2:13" x14ac:dyDescent="0.3">
      <c r="B1643" s="178"/>
      <c r="C1643" s="179"/>
      <c r="D1643" s="180"/>
      <c r="E1643" s="181"/>
      <c r="F1643" s="182"/>
      <c r="G1643" s="1" t="str">
        <f>IFERROR(IF(ventas_b_mes11[[#This Row],[CUIT]]="","-",VLOOKUP(ventas_b_mes11[[#This Row],[CUIT]],Lista_CUIT[#All],2,0)),"CUIT NO CARGADO")</f>
        <v>-</v>
      </c>
      <c r="H1643" s="64">
        <f>ventas_b_mes11[[#This Row],[TOTAL]]/1.21</f>
        <v>0</v>
      </c>
      <c r="I1643" s="183">
        <f>ventas_b_mes11[[#This Row],[IMPORTE NETO]]*0.21</f>
        <v>0</v>
      </c>
      <c r="J1643" s="184"/>
      <c r="K1643" s="184"/>
      <c r="L1643" s="184"/>
      <c r="M1643" s="59"/>
    </row>
    <row r="1644" spans="2:13" x14ac:dyDescent="0.3">
      <c r="B1644" s="178"/>
      <c r="C1644" s="179"/>
      <c r="D1644" s="180"/>
      <c r="E1644" s="181"/>
      <c r="F1644" s="182"/>
      <c r="G1644" s="1" t="str">
        <f>IFERROR(IF(ventas_b_mes11[[#This Row],[CUIT]]="","-",VLOOKUP(ventas_b_mes11[[#This Row],[CUIT]],Lista_CUIT[#All],2,0)),"CUIT NO CARGADO")</f>
        <v>-</v>
      </c>
      <c r="H1644" s="64">
        <f>ventas_b_mes11[[#This Row],[TOTAL]]/1.21</f>
        <v>0</v>
      </c>
      <c r="I1644" s="183">
        <f>ventas_b_mes11[[#This Row],[IMPORTE NETO]]*0.21</f>
        <v>0</v>
      </c>
      <c r="J1644" s="184"/>
      <c r="K1644" s="184"/>
      <c r="L1644" s="184"/>
      <c r="M1644" s="59"/>
    </row>
    <row r="1645" spans="2:13" x14ac:dyDescent="0.3">
      <c r="B1645" s="178"/>
      <c r="C1645" s="179"/>
      <c r="D1645" s="180"/>
      <c r="E1645" s="181"/>
      <c r="F1645" s="182"/>
      <c r="G1645" s="1" t="str">
        <f>IFERROR(IF(ventas_b_mes11[[#This Row],[CUIT]]="","-",VLOOKUP(ventas_b_mes11[[#This Row],[CUIT]],Lista_CUIT[#All],2,0)),"CUIT NO CARGADO")</f>
        <v>-</v>
      </c>
      <c r="H1645" s="64">
        <f>ventas_b_mes11[[#This Row],[TOTAL]]/1.21</f>
        <v>0</v>
      </c>
      <c r="I1645" s="183">
        <f>ventas_b_mes11[[#This Row],[IMPORTE NETO]]*0.21</f>
        <v>0</v>
      </c>
      <c r="J1645" s="184"/>
      <c r="K1645" s="184"/>
      <c r="L1645" s="184"/>
      <c r="M1645" s="59"/>
    </row>
    <row r="1646" spans="2:13" x14ac:dyDescent="0.3">
      <c r="B1646" s="178"/>
      <c r="C1646" s="179"/>
      <c r="D1646" s="180"/>
      <c r="E1646" s="181"/>
      <c r="F1646" s="182"/>
      <c r="G1646" s="1" t="str">
        <f>IFERROR(IF(ventas_b_mes11[[#This Row],[CUIT]]="","-",VLOOKUP(ventas_b_mes11[[#This Row],[CUIT]],Lista_CUIT[#All],2,0)),"CUIT NO CARGADO")</f>
        <v>-</v>
      </c>
      <c r="H1646" s="64">
        <f>ventas_b_mes11[[#This Row],[TOTAL]]/1.21</f>
        <v>0</v>
      </c>
      <c r="I1646" s="183">
        <f>ventas_b_mes11[[#This Row],[IMPORTE NETO]]*0.21</f>
        <v>0</v>
      </c>
      <c r="J1646" s="184"/>
      <c r="K1646" s="184"/>
      <c r="L1646" s="184"/>
      <c r="M1646" s="59"/>
    </row>
    <row r="1647" spans="2:13" x14ac:dyDescent="0.3">
      <c r="B1647" s="178"/>
      <c r="C1647" s="179"/>
      <c r="D1647" s="180"/>
      <c r="E1647" s="181"/>
      <c r="F1647" s="182"/>
      <c r="G1647" s="1" t="str">
        <f>IFERROR(IF(ventas_b_mes11[[#This Row],[CUIT]]="","-",VLOOKUP(ventas_b_mes11[[#This Row],[CUIT]],Lista_CUIT[#All],2,0)),"CUIT NO CARGADO")</f>
        <v>-</v>
      </c>
      <c r="H1647" s="64">
        <f>ventas_b_mes11[[#This Row],[TOTAL]]/1.21</f>
        <v>0</v>
      </c>
      <c r="I1647" s="183">
        <f>ventas_b_mes11[[#This Row],[IMPORTE NETO]]*0.21</f>
        <v>0</v>
      </c>
      <c r="J1647" s="184"/>
      <c r="K1647" s="184"/>
      <c r="L1647" s="184"/>
      <c r="M1647" s="59"/>
    </row>
    <row r="1648" spans="2:13" x14ac:dyDescent="0.3">
      <c r="B1648" s="178"/>
      <c r="C1648" s="179"/>
      <c r="D1648" s="180"/>
      <c r="E1648" s="181"/>
      <c r="F1648" s="182"/>
      <c r="G1648" s="1" t="str">
        <f>IFERROR(IF(ventas_b_mes11[[#This Row],[CUIT]]="","-",VLOOKUP(ventas_b_mes11[[#This Row],[CUIT]],Lista_CUIT[#All],2,0)),"CUIT NO CARGADO")</f>
        <v>-</v>
      </c>
      <c r="H1648" s="64">
        <f>ventas_b_mes11[[#This Row],[TOTAL]]/1.21</f>
        <v>0</v>
      </c>
      <c r="I1648" s="183">
        <f>ventas_b_mes11[[#This Row],[IMPORTE NETO]]*0.21</f>
        <v>0</v>
      </c>
      <c r="J1648" s="184"/>
      <c r="K1648" s="184"/>
      <c r="L1648" s="184"/>
      <c r="M1648" s="59"/>
    </row>
    <row r="1649" spans="2:13" x14ac:dyDescent="0.3">
      <c r="B1649" s="178"/>
      <c r="C1649" s="179"/>
      <c r="D1649" s="180"/>
      <c r="E1649" s="181"/>
      <c r="F1649" s="182"/>
      <c r="G1649" s="1" t="str">
        <f>IFERROR(IF(ventas_b_mes11[[#This Row],[CUIT]]="","-",VLOOKUP(ventas_b_mes11[[#This Row],[CUIT]],Lista_CUIT[#All],2,0)),"CUIT NO CARGADO")</f>
        <v>-</v>
      </c>
      <c r="H1649" s="64">
        <f>ventas_b_mes11[[#This Row],[TOTAL]]/1.21</f>
        <v>0</v>
      </c>
      <c r="I1649" s="183">
        <f>ventas_b_mes11[[#This Row],[IMPORTE NETO]]*0.21</f>
        <v>0</v>
      </c>
      <c r="J1649" s="184"/>
      <c r="K1649" s="184"/>
      <c r="L1649" s="184"/>
      <c r="M1649" s="59"/>
    </row>
    <row r="1650" spans="2:13" x14ac:dyDescent="0.3">
      <c r="B1650" s="178"/>
      <c r="C1650" s="179"/>
      <c r="D1650" s="180"/>
      <c r="E1650" s="181"/>
      <c r="F1650" s="182"/>
      <c r="G1650" s="1" t="str">
        <f>IFERROR(IF(ventas_b_mes11[[#This Row],[CUIT]]="","-",VLOOKUP(ventas_b_mes11[[#This Row],[CUIT]],Lista_CUIT[#All],2,0)),"CUIT NO CARGADO")</f>
        <v>-</v>
      </c>
      <c r="H1650" s="64">
        <f>ventas_b_mes11[[#This Row],[TOTAL]]/1.21</f>
        <v>0</v>
      </c>
      <c r="I1650" s="183">
        <f>ventas_b_mes11[[#This Row],[IMPORTE NETO]]*0.21</f>
        <v>0</v>
      </c>
      <c r="J1650" s="184"/>
      <c r="K1650" s="184"/>
      <c r="L1650" s="184"/>
      <c r="M1650" s="59"/>
    </row>
    <row r="1651" spans="2:13" x14ac:dyDescent="0.3">
      <c r="B1651" s="178"/>
      <c r="C1651" s="179"/>
      <c r="D1651" s="180"/>
      <c r="E1651" s="181"/>
      <c r="F1651" s="182"/>
      <c r="G1651" s="1" t="str">
        <f>IFERROR(IF(ventas_b_mes11[[#This Row],[CUIT]]="","-",VLOOKUP(ventas_b_mes11[[#This Row],[CUIT]],Lista_CUIT[#All],2,0)),"CUIT NO CARGADO")</f>
        <v>-</v>
      </c>
      <c r="H1651" s="64">
        <f>ventas_b_mes11[[#This Row],[TOTAL]]/1.21</f>
        <v>0</v>
      </c>
      <c r="I1651" s="183">
        <f>ventas_b_mes11[[#This Row],[IMPORTE NETO]]*0.21</f>
        <v>0</v>
      </c>
      <c r="J1651" s="184"/>
      <c r="K1651" s="184"/>
      <c r="L1651" s="184"/>
      <c r="M1651" s="59"/>
    </row>
    <row r="1652" spans="2:13" x14ac:dyDescent="0.3">
      <c r="B1652" s="178"/>
      <c r="C1652" s="179"/>
      <c r="D1652" s="180"/>
      <c r="E1652" s="181"/>
      <c r="F1652" s="182"/>
      <c r="G1652" s="1" t="str">
        <f>IFERROR(IF(ventas_b_mes11[[#This Row],[CUIT]]="","-",VLOOKUP(ventas_b_mes11[[#This Row],[CUIT]],Lista_CUIT[#All],2,0)),"CUIT NO CARGADO")</f>
        <v>-</v>
      </c>
      <c r="H1652" s="64">
        <f>ventas_b_mes11[[#This Row],[TOTAL]]/1.21</f>
        <v>0</v>
      </c>
      <c r="I1652" s="183">
        <f>ventas_b_mes11[[#This Row],[IMPORTE NETO]]*0.21</f>
        <v>0</v>
      </c>
      <c r="J1652" s="184"/>
      <c r="K1652" s="184"/>
      <c r="L1652" s="184"/>
      <c r="M1652" s="59"/>
    </row>
    <row r="1653" spans="2:13" x14ac:dyDescent="0.3">
      <c r="B1653" s="178"/>
      <c r="C1653" s="179"/>
      <c r="D1653" s="180"/>
      <c r="E1653" s="181"/>
      <c r="F1653" s="182"/>
      <c r="G1653" s="1" t="str">
        <f>IFERROR(IF(ventas_b_mes11[[#This Row],[CUIT]]="","-",VLOOKUP(ventas_b_mes11[[#This Row],[CUIT]],Lista_CUIT[#All],2,0)),"CUIT NO CARGADO")</f>
        <v>-</v>
      </c>
      <c r="H1653" s="64">
        <f>ventas_b_mes11[[#This Row],[TOTAL]]/1.21</f>
        <v>0</v>
      </c>
      <c r="I1653" s="183">
        <f>ventas_b_mes11[[#This Row],[IMPORTE NETO]]*0.21</f>
        <v>0</v>
      </c>
      <c r="J1653" s="184"/>
      <c r="K1653" s="184"/>
      <c r="L1653" s="184"/>
      <c r="M1653" s="59"/>
    </row>
    <row r="1654" spans="2:13" x14ac:dyDescent="0.3">
      <c r="B1654" s="178"/>
      <c r="C1654" s="179"/>
      <c r="D1654" s="180"/>
      <c r="E1654" s="181"/>
      <c r="F1654" s="182"/>
      <c r="G1654" s="1" t="str">
        <f>IFERROR(IF(ventas_b_mes11[[#This Row],[CUIT]]="","-",VLOOKUP(ventas_b_mes11[[#This Row],[CUIT]],Lista_CUIT[#All],2,0)),"CUIT NO CARGADO")</f>
        <v>-</v>
      </c>
      <c r="H1654" s="64">
        <f>ventas_b_mes11[[#This Row],[TOTAL]]/1.21</f>
        <v>0</v>
      </c>
      <c r="I1654" s="183">
        <f>ventas_b_mes11[[#This Row],[IMPORTE NETO]]*0.21</f>
        <v>0</v>
      </c>
      <c r="J1654" s="184"/>
      <c r="K1654" s="184"/>
      <c r="L1654" s="184"/>
      <c r="M1654" s="59"/>
    </row>
    <row r="1655" spans="2:13" x14ac:dyDescent="0.3">
      <c r="B1655" s="178"/>
      <c r="C1655" s="179"/>
      <c r="D1655" s="180"/>
      <c r="E1655" s="181"/>
      <c r="F1655" s="182"/>
      <c r="G1655" s="1" t="str">
        <f>IFERROR(IF(ventas_b_mes11[[#This Row],[CUIT]]="","-",VLOOKUP(ventas_b_mes11[[#This Row],[CUIT]],Lista_CUIT[#All],2,0)),"CUIT NO CARGADO")</f>
        <v>-</v>
      </c>
      <c r="H1655" s="64">
        <f>ventas_b_mes11[[#This Row],[TOTAL]]/1.21</f>
        <v>0</v>
      </c>
      <c r="I1655" s="183">
        <f>ventas_b_mes11[[#This Row],[IMPORTE NETO]]*0.21</f>
        <v>0</v>
      </c>
      <c r="J1655" s="184"/>
      <c r="K1655" s="184"/>
      <c r="L1655" s="184"/>
      <c r="M1655" s="59"/>
    </row>
    <row r="1656" spans="2:13" x14ac:dyDescent="0.3">
      <c r="B1656" s="178"/>
      <c r="C1656" s="179"/>
      <c r="D1656" s="180"/>
      <c r="E1656" s="181"/>
      <c r="F1656" s="182"/>
      <c r="G1656" s="1" t="str">
        <f>IFERROR(IF(ventas_b_mes11[[#This Row],[CUIT]]="","-",VLOOKUP(ventas_b_mes11[[#This Row],[CUIT]],Lista_CUIT[#All],2,0)),"CUIT NO CARGADO")</f>
        <v>-</v>
      </c>
      <c r="H1656" s="64">
        <f>ventas_b_mes11[[#This Row],[TOTAL]]/1.21</f>
        <v>0</v>
      </c>
      <c r="I1656" s="183">
        <f>ventas_b_mes11[[#This Row],[IMPORTE NETO]]*0.21</f>
        <v>0</v>
      </c>
      <c r="J1656" s="184"/>
      <c r="K1656" s="184"/>
      <c r="L1656" s="184"/>
      <c r="M1656" s="59"/>
    </row>
    <row r="1657" spans="2:13" x14ac:dyDescent="0.3">
      <c r="B1657" s="178"/>
      <c r="C1657" s="179"/>
      <c r="D1657" s="180"/>
      <c r="E1657" s="181"/>
      <c r="F1657" s="182"/>
      <c r="G1657" s="1" t="str">
        <f>IFERROR(IF(ventas_b_mes11[[#This Row],[CUIT]]="","-",VLOOKUP(ventas_b_mes11[[#This Row],[CUIT]],Lista_CUIT[#All],2,0)),"CUIT NO CARGADO")</f>
        <v>-</v>
      </c>
      <c r="H1657" s="64">
        <f>ventas_b_mes11[[#This Row],[TOTAL]]/1.21</f>
        <v>0</v>
      </c>
      <c r="I1657" s="183">
        <f>ventas_b_mes11[[#This Row],[IMPORTE NETO]]*0.21</f>
        <v>0</v>
      </c>
      <c r="J1657" s="184"/>
      <c r="K1657" s="184"/>
      <c r="L1657" s="184"/>
      <c r="M1657" s="59"/>
    </row>
    <row r="1658" spans="2:13" x14ac:dyDescent="0.3">
      <c r="B1658" s="178"/>
      <c r="C1658" s="179"/>
      <c r="D1658" s="180"/>
      <c r="E1658" s="181"/>
      <c r="F1658" s="182"/>
      <c r="G1658" s="1" t="str">
        <f>IFERROR(IF(ventas_b_mes11[[#This Row],[CUIT]]="","-",VLOOKUP(ventas_b_mes11[[#This Row],[CUIT]],Lista_CUIT[#All],2,0)),"CUIT NO CARGADO")</f>
        <v>-</v>
      </c>
      <c r="H1658" s="64">
        <f>ventas_b_mes11[[#This Row],[TOTAL]]/1.21</f>
        <v>0</v>
      </c>
      <c r="I1658" s="183">
        <f>ventas_b_mes11[[#This Row],[IMPORTE NETO]]*0.21</f>
        <v>0</v>
      </c>
      <c r="J1658" s="184"/>
      <c r="K1658" s="184"/>
      <c r="L1658" s="184"/>
      <c r="M1658" s="59"/>
    </row>
    <row r="1659" spans="2:13" x14ac:dyDescent="0.3">
      <c r="B1659" s="178"/>
      <c r="C1659" s="179"/>
      <c r="D1659" s="180"/>
      <c r="E1659" s="181"/>
      <c r="F1659" s="182"/>
      <c r="G1659" s="1" t="str">
        <f>IFERROR(IF(ventas_b_mes11[[#This Row],[CUIT]]="","-",VLOOKUP(ventas_b_mes11[[#This Row],[CUIT]],Lista_CUIT[#All],2,0)),"CUIT NO CARGADO")</f>
        <v>-</v>
      </c>
      <c r="H1659" s="64">
        <f>ventas_b_mes11[[#This Row],[TOTAL]]/1.21</f>
        <v>0</v>
      </c>
      <c r="I1659" s="183">
        <f>ventas_b_mes11[[#This Row],[IMPORTE NETO]]*0.21</f>
        <v>0</v>
      </c>
      <c r="J1659" s="184"/>
      <c r="K1659" s="184"/>
      <c r="L1659" s="184"/>
      <c r="M1659" s="59"/>
    </row>
    <row r="1660" spans="2:13" x14ac:dyDescent="0.3">
      <c r="B1660" s="178"/>
      <c r="C1660" s="179"/>
      <c r="D1660" s="180"/>
      <c r="E1660" s="181"/>
      <c r="F1660" s="182"/>
      <c r="G1660" s="1" t="str">
        <f>IFERROR(IF(ventas_b_mes11[[#This Row],[CUIT]]="","-",VLOOKUP(ventas_b_mes11[[#This Row],[CUIT]],Lista_CUIT[#All],2,0)),"CUIT NO CARGADO")</f>
        <v>-</v>
      </c>
      <c r="H1660" s="64">
        <f>ventas_b_mes11[[#This Row],[TOTAL]]/1.21</f>
        <v>0</v>
      </c>
      <c r="I1660" s="183">
        <f>ventas_b_mes11[[#This Row],[IMPORTE NETO]]*0.21</f>
        <v>0</v>
      </c>
      <c r="J1660" s="184"/>
      <c r="K1660" s="184"/>
      <c r="L1660" s="184"/>
      <c r="M1660" s="59"/>
    </row>
    <row r="1661" spans="2:13" x14ac:dyDescent="0.3">
      <c r="B1661" s="178"/>
      <c r="C1661" s="179"/>
      <c r="D1661" s="180"/>
      <c r="E1661" s="181"/>
      <c r="F1661" s="182"/>
      <c r="G1661" s="1" t="str">
        <f>IFERROR(IF(ventas_b_mes11[[#This Row],[CUIT]]="","-",VLOOKUP(ventas_b_mes11[[#This Row],[CUIT]],Lista_CUIT[#All],2,0)),"CUIT NO CARGADO")</f>
        <v>-</v>
      </c>
      <c r="H1661" s="64">
        <f>ventas_b_mes11[[#This Row],[TOTAL]]/1.21</f>
        <v>0</v>
      </c>
      <c r="I1661" s="183">
        <f>ventas_b_mes11[[#This Row],[IMPORTE NETO]]*0.21</f>
        <v>0</v>
      </c>
      <c r="J1661" s="184"/>
      <c r="K1661" s="184"/>
      <c r="L1661" s="184"/>
      <c r="M1661" s="59"/>
    </row>
    <row r="1662" spans="2:13" x14ac:dyDescent="0.3">
      <c r="B1662" s="178"/>
      <c r="C1662" s="179"/>
      <c r="D1662" s="180"/>
      <c r="E1662" s="181"/>
      <c r="F1662" s="182"/>
      <c r="G1662" s="1" t="str">
        <f>IFERROR(IF(ventas_b_mes11[[#This Row],[CUIT]]="","-",VLOOKUP(ventas_b_mes11[[#This Row],[CUIT]],Lista_CUIT[#All],2,0)),"CUIT NO CARGADO")</f>
        <v>-</v>
      </c>
      <c r="H1662" s="64">
        <f>ventas_b_mes11[[#This Row],[TOTAL]]/1.21</f>
        <v>0</v>
      </c>
      <c r="I1662" s="183">
        <f>ventas_b_mes11[[#This Row],[IMPORTE NETO]]*0.21</f>
        <v>0</v>
      </c>
      <c r="J1662" s="184"/>
      <c r="K1662" s="184"/>
      <c r="L1662" s="184"/>
      <c r="M1662" s="59"/>
    </row>
    <row r="1663" spans="2:13" x14ac:dyDescent="0.3">
      <c r="B1663" s="178"/>
      <c r="C1663" s="179"/>
      <c r="D1663" s="180"/>
      <c r="E1663" s="181"/>
      <c r="F1663" s="182"/>
      <c r="G1663" s="1" t="str">
        <f>IFERROR(IF(ventas_b_mes11[[#This Row],[CUIT]]="","-",VLOOKUP(ventas_b_mes11[[#This Row],[CUIT]],Lista_CUIT[#All],2,0)),"CUIT NO CARGADO")</f>
        <v>-</v>
      </c>
      <c r="H1663" s="64">
        <f>ventas_b_mes11[[#This Row],[TOTAL]]/1.21</f>
        <v>0</v>
      </c>
      <c r="I1663" s="183">
        <f>ventas_b_mes11[[#This Row],[IMPORTE NETO]]*0.21</f>
        <v>0</v>
      </c>
      <c r="J1663" s="184"/>
      <c r="K1663" s="184"/>
      <c r="L1663" s="184"/>
      <c r="M1663" s="59"/>
    </row>
    <row r="1664" spans="2:13" x14ac:dyDescent="0.3">
      <c r="B1664" s="178"/>
      <c r="C1664" s="179"/>
      <c r="D1664" s="180"/>
      <c r="E1664" s="181"/>
      <c r="F1664" s="182"/>
      <c r="G1664" s="1" t="str">
        <f>IFERROR(IF(ventas_b_mes11[[#This Row],[CUIT]]="","-",VLOOKUP(ventas_b_mes11[[#This Row],[CUIT]],Lista_CUIT[#All],2,0)),"CUIT NO CARGADO")</f>
        <v>-</v>
      </c>
      <c r="H1664" s="64">
        <f>ventas_b_mes11[[#This Row],[TOTAL]]/1.21</f>
        <v>0</v>
      </c>
      <c r="I1664" s="183">
        <f>ventas_b_mes11[[#This Row],[IMPORTE NETO]]*0.21</f>
        <v>0</v>
      </c>
      <c r="J1664" s="184"/>
      <c r="K1664" s="184"/>
      <c r="L1664" s="184"/>
      <c r="M1664" s="59"/>
    </row>
    <row r="1665" spans="2:13" x14ac:dyDescent="0.3">
      <c r="B1665" s="178"/>
      <c r="C1665" s="179"/>
      <c r="D1665" s="180"/>
      <c r="E1665" s="181"/>
      <c r="F1665" s="182"/>
      <c r="G1665" s="1" t="str">
        <f>IFERROR(IF(ventas_b_mes11[[#This Row],[CUIT]]="","-",VLOOKUP(ventas_b_mes11[[#This Row],[CUIT]],Lista_CUIT[#All],2,0)),"CUIT NO CARGADO")</f>
        <v>-</v>
      </c>
      <c r="H1665" s="64">
        <f>ventas_b_mes11[[#This Row],[TOTAL]]/1.21</f>
        <v>0</v>
      </c>
      <c r="I1665" s="183">
        <f>ventas_b_mes11[[#This Row],[IMPORTE NETO]]*0.21</f>
        <v>0</v>
      </c>
      <c r="J1665" s="184"/>
      <c r="K1665" s="184"/>
      <c r="L1665" s="184"/>
      <c r="M1665" s="59"/>
    </row>
    <row r="1666" spans="2:13" x14ac:dyDescent="0.3">
      <c r="B1666" s="178"/>
      <c r="C1666" s="179"/>
      <c r="D1666" s="180"/>
      <c r="E1666" s="181"/>
      <c r="F1666" s="182"/>
      <c r="G1666" s="1" t="str">
        <f>IFERROR(IF(ventas_b_mes11[[#This Row],[CUIT]]="","-",VLOOKUP(ventas_b_mes11[[#This Row],[CUIT]],Lista_CUIT[#All],2,0)),"CUIT NO CARGADO")</f>
        <v>-</v>
      </c>
      <c r="H1666" s="64">
        <f>ventas_b_mes11[[#This Row],[TOTAL]]/1.21</f>
        <v>0</v>
      </c>
      <c r="I1666" s="183">
        <f>ventas_b_mes11[[#This Row],[IMPORTE NETO]]*0.21</f>
        <v>0</v>
      </c>
      <c r="J1666" s="184"/>
      <c r="K1666" s="184"/>
      <c r="L1666" s="184"/>
      <c r="M1666" s="59"/>
    </row>
    <row r="1667" spans="2:13" x14ac:dyDescent="0.3">
      <c r="B1667" s="178"/>
      <c r="C1667" s="179"/>
      <c r="D1667" s="180"/>
      <c r="E1667" s="181"/>
      <c r="F1667" s="182"/>
      <c r="G1667" s="1" t="str">
        <f>IFERROR(IF(ventas_b_mes11[[#This Row],[CUIT]]="","-",VLOOKUP(ventas_b_mes11[[#This Row],[CUIT]],Lista_CUIT[#All],2,0)),"CUIT NO CARGADO")</f>
        <v>-</v>
      </c>
      <c r="H1667" s="64">
        <f>ventas_b_mes11[[#This Row],[TOTAL]]/1.21</f>
        <v>0</v>
      </c>
      <c r="I1667" s="183">
        <f>ventas_b_mes11[[#This Row],[IMPORTE NETO]]*0.21</f>
        <v>0</v>
      </c>
      <c r="J1667" s="184"/>
      <c r="K1667" s="184"/>
      <c r="L1667" s="184"/>
      <c r="M1667" s="59"/>
    </row>
    <row r="1668" spans="2:13" x14ac:dyDescent="0.3">
      <c r="B1668" s="178"/>
      <c r="C1668" s="179"/>
      <c r="D1668" s="180"/>
      <c r="E1668" s="181"/>
      <c r="F1668" s="182"/>
      <c r="G1668" s="1" t="str">
        <f>IFERROR(IF(ventas_b_mes11[[#This Row],[CUIT]]="","-",VLOOKUP(ventas_b_mes11[[#This Row],[CUIT]],Lista_CUIT[#All],2,0)),"CUIT NO CARGADO")</f>
        <v>-</v>
      </c>
      <c r="H1668" s="64">
        <f>ventas_b_mes11[[#This Row],[TOTAL]]/1.21</f>
        <v>0</v>
      </c>
      <c r="I1668" s="183">
        <f>ventas_b_mes11[[#This Row],[IMPORTE NETO]]*0.21</f>
        <v>0</v>
      </c>
      <c r="J1668" s="184"/>
      <c r="K1668" s="184"/>
      <c r="L1668" s="184"/>
      <c r="M1668" s="59"/>
    </row>
    <row r="1669" spans="2:13" x14ac:dyDescent="0.3">
      <c r="B1669" s="178"/>
      <c r="C1669" s="179"/>
      <c r="D1669" s="180"/>
      <c r="E1669" s="181"/>
      <c r="F1669" s="182"/>
      <c r="G1669" s="1" t="str">
        <f>IFERROR(IF(ventas_b_mes11[[#This Row],[CUIT]]="","-",VLOOKUP(ventas_b_mes11[[#This Row],[CUIT]],Lista_CUIT[#All],2,0)),"CUIT NO CARGADO")</f>
        <v>-</v>
      </c>
      <c r="H1669" s="64">
        <f>ventas_b_mes11[[#This Row],[TOTAL]]/1.21</f>
        <v>0</v>
      </c>
      <c r="I1669" s="183">
        <f>ventas_b_mes11[[#This Row],[IMPORTE NETO]]*0.21</f>
        <v>0</v>
      </c>
      <c r="J1669" s="184"/>
      <c r="K1669" s="184"/>
      <c r="L1669" s="184"/>
      <c r="M1669" s="59"/>
    </row>
    <row r="1670" spans="2:13" x14ac:dyDescent="0.3">
      <c r="B1670" s="178"/>
      <c r="C1670" s="179"/>
      <c r="D1670" s="180"/>
      <c r="E1670" s="181"/>
      <c r="F1670" s="182"/>
      <c r="G1670" s="1" t="str">
        <f>IFERROR(IF(ventas_b_mes11[[#This Row],[CUIT]]="","-",VLOOKUP(ventas_b_mes11[[#This Row],[CUIT]],Lista_CUIT[#All],2,0)),"CUIT NO CARGADO")</f>
        <v>-</v>
      </c>
      <c r="H1670" s="64">
        <f>ventas_b_mes11[[#This Row],[TOTAL]]/1.21</f>
        <v>0</v>
      </c>
      <c r="I1670" s="183">
        <f>ventas_b_mes11[[#This Row],[IMPORTE NETO]]*0.21</f>
        <v>0</v>
      </c>
      <c r="J1670" s="184"/>
      <c r="K1670" s="184"/>
      <c r="L1670" s="184"/>
      <c r="M1670" s="59"/>
    </row>
    <row r="1671" spans="2:13" x14ac:dyDescent="0.3">
      <c r="B1671" s="178"/>
      <c r="C1671" s="179"/>
      <c r="D1671" s="180"/>
      <c r="E1671" s="181"/>
      <c r="F1671" s="182"/>
      <c r="G1671" s="1" t="str">
        <f>IFERROR(IF(ventas_b_mes11[[#This Row],[CUIT]]="","-",VLOOKUP(ventas_b_mes11[[#This Row],[CUIT]],Lista_CUIT[#All],2,0)),"CUIT NO CARGADO")</f>
        <v>-</v>
      </c>
      <c r="H1671" s="64">
        <f>ventas_b_mes11[[#This Row],[TOTAL]]/1.21</f>
        <v>0</v>
      </c>
      <c r="I1671" s="183">
        <f>ventas_b_mes11[[#This Row],[IMPORTE NETO]]*0.21</f>
        <v>0</v>
      </c>
      <c r="J1671" s="184"/>
      <c r="K1671" s="184"/>
      <c r="L1671" s="184"/>
      <c r="M1671" s="59"/>
    </row>
    <row r="1672" spans="2:13" x14ac:dyDescent="0.3">
      <c r="B1672" s="178"/>
      <c r="C1672" s="179"/>
      <c r="D1672" s="180"/>
      <c r="E1672" s="181"/>
      <c r="F1672" s="182"/>
      <c r="G1672" s="1" t="str">
        <f>IFERROR(IF(ventas_b_mes11[[#This Row],[CUIT]]="","-",VLOOKUP(ventas_b_mes11[[#This Row],[CUIT]],Lista_CUIT[#All],2,0)),"CUIT NO CARGADO")</f>
        <v>-</v>
      </c>
      <c r="H1672" s="64">
        <f>ventas_b_mes11[[#This Row],[TOTAL]]/1.21</f>
        <v>0</v>
      </c>
      <c r="I1672" s="183">
        <f>ventas_b_mes11[[#This Row],[IMPORTE NETO]]*0.21</f>
        <v>0</v>
      </c>
      <c r="J1672" s="184"/>
      <c r="K1672" s="184"/>
      <c r="L1672" s="184"/>
      <c r="M1672" s="59"/>
    </row>
    <row r="1673" spans="2:13" x14ac:dyDescent="0.3">
      <c r="B1673" s="178"/>
      <c r="C1673" s="179"/>
      <c r="D1673" s="180"/>
      <c r="E1673" s="181"/>
      <c r="F1673" s="182"/>
      <c r="G1673" s="1" t="str">
        <f>IFERROR(IF(ventas_b_mes11[[#This Row],[CUIT]]="","-",VLOOKUP(ventas_b_mes11[[#This Row],[CUIT]],Lista_CUIT[#All],2,0)),"CUIT NO CARGADO")</f>
        <v>-</v>
      </c>
      <c r="H1673" s="64">
        <f>ventas_b_mes11[[#This Row],[TOTAL]]/1.21</f>
        <v>0</v>
      </c>
      <c r="I1673" s="183">
        <f>ventas_b_mes11[[#This Row],[IMPORTE NETO]]*0.21</f>
        <v>0</v>
      </c>
      <c r="J1673" s="184"/>
      <c r="K1673" s="184"/>
      <c r="L1673" s="184"/>
      <c r="M1673" s="59"/>
    </row>
    <row r="1674" spans="2:13" x14ac:dyDescent="0.3">
      <c r="B1674" s="178"/>
      <c r="C1674" s="179"/>
      <c r="D1674" s="180"/>
      <c r="E1674" s="181"/>
      <c r="F1674" s="182"/>
      <c r="G1674" s="1" t="str">
        <f>IFERROR(IF(ventas_b_mes11[[#This Row],[CUIT]]="","-",VLOOKUP(ventas_b_mes11[[#This Row],[CUIT]],Lista_CUIT[#All],2,0)),"CUIT NO CARGADO")</f>
        <v>-</v>
      </c>
      <c r="H1674" s="64">
        <f>ventas_b_mes11[[#This Row],[TOTAL]]/1.21</f>
        <v>0</v>
      </c>
      <c r="I1674" s="183">
        <f>ventas_b_mes11[[#This Row],[IMPORTE NETO]]*0.21</f>
        <v>0</v>
      </c>
      <c r="J1674" s="184"/>
      <c r="K1674" s="184"/>
      <c r="L1674" s="184"/>
      <c r="M1674" s="59"/>
    </row>
    <row r="1675" spans="2:13" x14ac:dyDescent="0.3">
      <c r="B1675" s="178"/>
      <c r="C1675" s="179"/>
      <c r="D1675" s="180"/>
      <c r="E1675" s="181"/>
      <c r="F1675" s="182"/>
      <c r="G1675" s="1" t="str">
        <f>IFERROR(IF(ventas_b_mes11[[#This Row],[CUIT]]="","-",VLOOKUP(ventas_b_mes11[[#This Row],[CUIT]],Lista_CUIT[#All],2,0)),"CUIT NO CARGADO")</f>
        <v>-</v>
      </c>
      <c r="H1675" s="64">
        <f>ventas_b_mes11[[#This Row],[TOTAL]]/1.21</f>
        <v>0</v>
      </c>
      <c r="I1675" s="183">
        <f>ventas_b_mes11[[#This Row],[IMPORTE NETO]]*0.21</f>
        <v>0</v>
      </c>
      <c r="J1675" s="184"/>
      <c r="K1675" s="184"/>
      <c r="L1675" s="184"/>
      <c r="M1675" s="59"/>
    </row>
    <row r="1676" spans="2:13" x14ac:dyDescent="0.3">
      <c r="B1676" s="178"/>
      <c r="C1676" s="179"/>
      <c r="D1676" s="180"/>
      <c r="E1676" s="181"/>
      <c r="F1676" s="182"/>
      <c r="G1676" s="1" t="str">
        <f>IFERROR(IF(ventas_b_mes11[[#This Row],[CUIT]]="","-",VLOOKUP(ventas_b_mes11[[#This Row],[CUIT]],Lista_CUIT[#All],2,0)),"CUIT NO CARGADO")</f>
        <v>-</v>
      </c>
      <c r="H1676" s="64">
        <f>ventas_b_mes11[[#This Row],[TOTAL]]/1.21</f>
        <v>0</v>
      </c>
      <c r="I1676" s="183">
        <f>ventas_b_mes11[[#This Row],[IMPORTE NETO]]*0.21</f>
        <v>0</v>
      </c>
      <c r="J1676" s="184"/>
      <c r="K1676" s="184"/>
      <c r="L1676" s="184"/>
      <c r="M1676" s="59"/>
    </row>
    <row r="1677" spans="2:13" x14ac:dyDescent="0.3">
      <c r="B1677" s="178"/>
      <c r="C1677" s="179"/>
      <c r="D1677" s="180"/>
      <c r="E1677" s="181"/>
      <c r="F1677" s="182"/>
      <c r="G1677" s="1" t="str">
        <f>IFERROR(IF(ventas_b_mes11[[#This Row],[CUIT]]="","-",VLOOKUP(ventas_b_mes11[[#This Row],[CUIT]],Lista_CUIT[#All],2,0)),"CUIT NO CARGADO")</f>
        <v>-</v>
      </c>
      <c r="H1677" s="64">
        <f>ventas_b_mes11[[#This Row],[TOTAL]]/1.21</f>
        <v>0</v>
      </c>
      <c r="I1677" s="183">
        <f>ventas_b_mes11[[#This Row],[IMPORTE NETO]]*0.21</f>
        <v>0</v>
      </c>
      <c r="J1677" s="184"/>
      <c r="K1677" s="184"/>
      <c r="L1677" s="184"/>
      <c r="M1677" s="59"/>
    </row>
    <row r="1678" spans="2:13" x14ac:dyDescent="0.3">
      <c r="B1678" s="178"/>
      <c r="C1678" s="179"/>
      <c r="D1678" s="180"/>
      <c r="E1678" s="181"/>
      <c r="F1678" s="182"/>
      <c r="G1678" s="1" t="str">
        <f>IFERROR(IF(ventas_b_mes11[[#This Row],[CUIT]]="","-",VLOOKUP(ventas_b_mes11[[#This Row],[CUIT]],Lista_CUIT[#All],2,0)),"CUIT NO CARGADO")</f>
        <v>-</v>
      </c>
      <c r="H1678" s="64">
        <f>ventas_b_mes11[[#This Row],[TOTAL]]/1.21</f>
        <v>0</v>
      </c>
      <c r="I1678" s="183">
        <f>ventas_b_mes11[[#This Row],[IMPORTE NETO]]*0.21</f>
        <v>0</v>
      </c>
      <c r="J1678" s="184"/>
      <c r="K1678" s="184"/>
      <c r="L1678" s="184"/>
      <c r="M1678" s="59"/>
    </row>
    <row r="1679" spans="2:13" x14ac:dyDescent="0.3">
      <c r="B1679" s="178"/>
      <c r="C1679" s="179"/>
      <c r="D1679" s="180"/>
      <c r="E1679" s="181"/>
      <c r="F1679" s="182"/>
      <c r="G1679" s="1" t="str">
        <f>IFERROR(IF(ventas_b_mes11[[#This Row],[CUIT]]="","-",VLOOKUP(ventas_b_mes11[[#This Row],[CUIT]],Lista_CUIT[#All],2,0)),"CUIT NO CARGADO")</f>
        <v>-</v>
      </c>
      <c r="H1679" s="64">
        <f>ventas_b_mes11[[#This Row],[TOTAL]]/1.21</f>
        <v>0</v>
      </c>
      <c r="I1679" s="183">
        <f>ventas_b_mes11[[#This Row],[IMPORTE NETO]]*0.21</f>
        <v>0</v>
      </c>
      <c r="J1679" s="184"/>
      <c r="K1679" s="184"/>
      <c r="L1679" s="184"/>
      <c r="M1679" s="59"/>
    </row>
    <row r="1680" spans="2:13" x14ac:dyDescent="0.3">
      <c r="B1680" s="178"/>
      <c r="C1680" s="179"/>
      <c r="D1680" s="180"/>
      <c r="E1680" s="181"/>
      <c r="F1680" s="182"/>
      <c r="G1680" s="1" t="str">
        <f>IFERROR(IF(ventas_b_mes11[[#This Row],[CUIT]]="","-",VLOOKUP(ventas_b_mes11[[#This Row],[CUIT]],Lista_CUIT[#All],2,0)),"CUIT NO CARGADO")</f>
        <v>-</v>
      </c>
      <c r="H1680" s="64">
        <f>ventas_b_mes11[[#This Row],[TOTAL]]/1.21</f>
        <v>0</v>
      </c>
      <c r="I1680" s="183">
        <f>ventas_b_mes11[[#This Row],[IMPORTE NETO]]*0.21</f>
        <v>0</v>
      </c>
      <c r="J1680" s="184"/>
      <c r="K1680" s="184"/>
      <c r="L1680" s="184"/>
      <c r="M1680" s="59"/>
    </row>
    <row r="1681" spans="2:13" x14ac:dyDescent="0.3">
      <c r="B1681" s="178"/>
      <c r="C1681" s="179"/>
      <c r="D1681" s="180"/>
      <c r="E1681" s="181"/>
      <c r="F1681" s="182"/>
      <c r="G1681" s="1" t="str">
        <f>IFERROR(IF(ventas_b_mes11[[#This Row],[CUIT]]="","-",VLOOKUP(ventas_b_mes11[[#This Row],[CUIT]],Lista_CUIT[#All],2,0)),"CUIT NO CARGADO")</f>
        <v>-</v>
      </c>
      <c r="H1681" s="64">
        <f>ventas_b_mes11[[#This Row],[TOTAL]]/1.21</f>
        <v>0</v>
      </c>
      <c r="I1681" s="183">
        <f>ventas_b_mes11[[#This Row],[IMPORTE NETO]]*0.21</f>
        <v>0</v>
      </c>
      <c r="J1681" s="184"/>
      <c r="K1681" s="184"/>
      <c r="L1681" s="184"/>
      <c r="M1681" s="59"/>
    </row>
    <row r="1682" spans="2:13" x14ac:dyDescent="0.3">
      <c r="B1682" s="178"/>
      <c r="C1682" s="179"/>
      <c r="D1682" s="180"/>
      <c r="E1682" s="181"/>
      <c r="F1682" s="182"/>
      <c r="G1682" s="1" t="str">
        <f>IFERROR(IF(ventas_b_mes11[[#This Row],[CUIT]]="","-",VLOOKUP(ventas_b_mes11[[#This Row],[CUIT]],Lista_CUIT[#All],2,0)),"CUIT NO CARGADO")</f>
        <v>-</v>
      </c>
      <c r="H1682" s="64">
        <f>ventas_b_mes11[[#This Row],[TOTAL]]/1.21</f>
        <v>0</v>
      </c>
      <c r="I1682" s="183">
        <f>ventas_b_mes11[[#This Row],[IMPORTE NETO]]*0.21</f>
        <v>0</v>
      </c>
      <c r="J1682" s="184"/>
      <c r="K1682" s="184"/>
      <c r="L1682" s="184"/>
      <c r="M1682" s="59"/>
    </row>
    <row r="1683" spans="2:13" x14ac:dyDescent="0.3">
      <c r="B1683" s="178"/>
      <c r="C1683" s="179"/>
      <c r="D1683" s="180"/>
      <c r="E1683" s="181"/>
      <c r="F1683" s="182"/>
      <c r="G1683" s="1" t="str">
        <f>IFERROR(IF(ventas_b_mes11[[#This Row],[CUIT]]="","-",VLOOKUP(ventas_b_mes11[[#This Row],[CUIT]],Lista_CUIT[#All],2,0)),"CUIT NO CARGADO")</f>
        <v>-</v>
      </c>
      <c r="H1683" s="64">
        <f>ventas_b_mes11[[#This Row],[TOTAL]]/1.21</f>
        <v>0</v>
      </c>
      <c r="I1683" s="183">
        <f>ventas_b_mes11[[#This Row],[IMPORTE NETO]]*0.21</f>
        <v>0</v>
      </c>
      <c r="J1683" s="184"/>
      <c r="K1683" s="184"/>
      <c r="L1683" s="184"/>
      <c r="M1683" s="59"/>
    </row>
    <row r="1684" spans="2:13" x14ac:dyDescent="0.3">
      <c r="B1684" s="178"/>
      <c r="C1684" s="179"/>
      <c r="D1684" s="180"/>
      <c r="E1684" s="181"/>
      <c r="F1684" s="182"/>
      <c r="G1684" s="1" t="str">
        <f>IFERROR(IF(ventas_b_mes11[[#This Row],[CUIT]]="","-",VLOOKUP(ventas_b_mes11[[#This Row],[CUIT]],Lista_CUIT[#All],2,0)),"CUIT NO CARGADO")</f>
        <v>-</v>
      </c>
      <c r="H1684" s="64">
        <f>ventas_b_mes11[[#This Row],[TOTAL]]/1.21</f>
        <v>0</v>
      </c>
      <c r="I1684" s="183">
        <f>ventas_b_mes11[[#This Row],[IMPORTE NETO]]*0.21</f>
        <v>0</v>
      </c>
      <c r="J1684" s="184"/>
      <c r="K1684" s="184"/>
      <c r="L1684" s="184"/>
      <c r="M1684" s="59"/>
    </row>
    <row r="1685" spans="2:13" x14ac:dyDescent="0.3">
      <c r="B1685" s="178"/>
      <c r="C1685" s="179"/>
      <c r="D1685" s="180"/>
      <c r="E1685" s="181"/>
      <c r="F1685" s="182"/>
      <c r="G1685" s="1" t="str">
        <f>IFERROR(IF(ventas_b_mes11[[#This Row],[CUIT]]="","-",VLOOKUP(ventas_b_mes11[[#This Row],[CUIT]],Lista_CUIT[#All],2,0)),"CUIT NO CARGADO")</f>
        <v>-</v>
      </c>
      <c r="H1685" s="64">
        <f>ventas_b_mes11[[#This Row],[TOTAL]]/1.21</f>
        <v>0</v>
      </c>
      <c r="I1685" s="183">
        <f>ventas_b_mes11[[#This Row],[IMPORTE NETO]]*0.21</f>
        <v>0</v>
      </c>
      <c r="J1685" s="184"/>
      <c r="K1685" s="184"/>
      <c r="L1685" s="184"/>
      <c r="M1685" s="59"/>
    </row>
    <row r="1686" spans="2:13" x14ac:dyDescent="0.3">
      <c r="B1686" s="178"/>
      <c r="C1686" s="179"/>
      <c r="D1686" s="180"/>
      <c r="E1686" s="181"/>
      <c r="F1686" s="182"/>
      <c r="G1686" s="1" t="str">
        <f>IFERROR(IF(ventas_b_mes11[[#This Row],[CUIT]]="","-",VLOOKUP(ventas_b_mes11[[#This Row],[CUIT]],Lista_CUIT[#All],2,0)),"CUIT NO CARGADO")</f>
        <v>-</v>
      </c>
      <c r="H1686" s="64">
        <f>ventas_b_mes11[[#This Row],[TOTAL]]/1.21</f>
        <v>0</v>
      </c>
      <c r="I1686" s="183">
        <f>ventas_b_mes11[[#This Row],[IMPORTE NETO]]*0.21</f>
        <v>0</v>
      </c>
      <c r="J1686" s="184"/>
      <c r="K1686" s="184"/>
      <c r="L1686" s="184"/>
      <c r="M1686" s="59"/>
    </row>
    <row r="1687" spans="2:13" x14ac:dyDescent="0.3">
      <c r="B1687" s="178"/>
      <c r="C1687" s="179"/>
      <c r="D1687" s="180"/>
      <c r="E1687" s="181"/>
      <c r="F1687" s="182"/>
      <c r="G1687" s="1" t="str">
        <f>IFERROR(IF(ventas_b_mes11[[#This Row],[CUIT]]="","-",VLOOKUP(ventas_b_mes11[[#This Row],[CUIT]],Lista_CUIT[#All],2,0)),"CUIT NO CARGADO")</f>
        <v>-</v>
      </c>
      <c r="H1687" s="64">
        <f>ventas_b_mes11[[#This Row],[TOTAL]]/1.21</f>
        <v>0</v>
      </c>
      <c r="I1687" s="183">
        <f>ventas_b_mes11[[#This Row],[IMPORTE NETO]]*0.21</f>
        <v>0</v>
      </c>
      <c r="J1687" s="184"/>
      <c r="K1687" s="184"/>
      <c r="L1687" s="184"/>
      <c r="M1687" s="59"/>
    </row>
    <row r="1688" spans="2:13" x14ac:dyDescent="0.3">
      <c r="B1688" s="178"/>
      <c r="C1688" s="179"/>
      <c r="D1688" s="180"/>
      <c r="E1688" s="181"/>
      <c r="F1688" s="182"/>
      <c r="G1688" s="1" t="str">
        <f>IFERROR(IF(ventas_b_mes11[[#This Row],[CUIT]]="","-",VLOOKUP(ventas_b_mes11[[#This Row],[CUIT]],Lista_CUIT[#All],2,0)),"CUIT NO CARGADO")</f>
        <v>-</v>
      </c>
      <c r="H1688" s="64">
        <f>ventas_b_mes11[[#This Row],[TOTAL]]/1.21</f>
        <v>0</v>
      </c>
      <c r="I1688" s="183">
        <f>ventas_b_mes11[[#This Row],[IMPORTE NETO]]*0.21</f>
        <v>0</v>
      </c>
      <c r="J1688" s="184"/>
      <c r="K1688" s="184"/>
      <c r="L1688" s="184"/>
      <c r="M1688" s="59"/>
    </row>
    <row r="1689" spans="2:13" x14ac:dyDescent="0.3">
      <c r="B1689" s="178"/>
      <c r="C1689" s="179"/>
      <c r="D1689" s="180"/>
      <c r="E1689" s="181"/>
      <c r="F1689" s="182"/>
      <c r="G1689" s="1" t="str">
        <f>IFERROR(IF(ventas_b_mes11[[#This Row],[CUIT]]="","-",VLOOKUP(ventas_b_mes11[[#This Row],[CUIT]],Lista_CUIT[#All],2,0)),"CUIT NO CARGADO")</f>
        <v>-</v>
      </c>
      <c r="H1689" s="64">
        <f>ventas_b_mes11[[#This Row],[TOTAL]]/1.21</f>
        <v>0</v>
      </c>
      <c r="I1689" s="183">
        <f>ventas_b_mes11[[#This Row],[IMPORTE NETO]]*0.21</f>
        <v>0</v>
      </c>
      <c r="J1689" s="184"/>
      <c r="K1689" s="184"/>
      <c r="L1689" s="184"/>
      <c r="M1689" s="59"/>
    </row>
    <row r="1690" spans="2:13" x14ac:dyDescent="0.3">
      <c r="B1690" s="178"/>
      <c r="C1690" s="179"/>
      <c r="D1690" s="180"/>
      <c r="E1690" s="181"/>
      <c r="F1690" s="182"/>
      <c r="G1690" s="1" t="str">
        <f>IFERROR(IF(ventas_b_mes11[[#This Row],[CUIT]]="","-",VLOOKUP(ventas_b_mes11[[#This Row],[CUIT]],Lista_CUIT[#All],2,0)),"CUIT NO CARGADO")</f>
        <v>-</v>
      </c>
      <c r="H1690" s="64">
        <f>ventas_b_mes11[[#This Row],[TOTAL]]/1.21</f>
        <v>0</v>
      </c>
      <c r="I1690" s="183">
        <f>ventas_b_mes11[[#This Row],[IMPORTE NETO]]*0.21</f>
        <v>0</v>
      </c>
      <c r="J1690" s="184"/>
      <c r="K1690" s="184"/>
      <c r="L1690" s="184"/>
      <c r="M1690" s="59"/>
    </row>
    <row r="1691" spans="2:13" x14ac:dyDescent="0.3">
      <c r="B1691" s="178"/>
      <c r="C1691" s="179"/>
      <c r="D1691" s="180"/>
      <c r="E1691" s="181"/>
      <c r="F1691" s="182"/>
      <c r="G1691" s="1" t="str">
        <f>IFERROR(IF(ventas_b_mes11[[#This Row],[CUIT]]="","-",VLOOKUP(ventas_b_mes11[[#This Row],[CUIT]],Lista_CUIT[#All],2,0)),"CUIT NO CARGADO")</f>
        <v>-</v>
      </c>
      <c r="H1691" s="64">
        <f>ventas_b_mes11[[#This Row],[TOTAL]]/1.21</f>
        <v>0</v>
      </c>
      <c r="I1691" s="183">
        <f>ventas_b_mes11[[#This Row],[IMPORTE NETO]]*0.21</f>
        <v>0</v>
      </c>
      <c r="J1691" s="184"/>
      <c r="K1691" s="184"/>
      <c r="L1691" s="184"/>
      <c r="M1691" s="59"/>
    </row>
    <row r="1692" spans="2:13" x14ac:dyDescent="0.3">
      <c r="B1692" s="178"/>
      <c r="C1692" s="179"/>
      <c r="D1692" s="180"/>
      <c r="E1692" s="181"/>
      <c r="F1692" s="182"/>
      <c r="G1692" s="1" t="str">
        <f>IFERROR(IF(ventas_b_mes11[[#This Row],[CUIT]]="","-",VLOOKUP(ventas_b_mes11[[#This Row],[CUIT]],Lista_CUIT[#All],2,0)),"CUIT NO CARGADO")</f>
        <v>-</v>
      </c>
      <c r="H1692" s="64">
        <f>ventas_b_mes11[[#This Row],[TOTAL]]/1.21</f>
        <v>0</v>
      </c>
      <c r="I1692" s="183">
        <f>ventas_b_mes11[[#This Row],[IMPORTE NETO]]*0.21</f>
        <v>0</v>
      </c>
      <c r="J1692" s="184"/>
      <c r="K1692" s="184"/>
      <c r="L1692" s="184"/>
      <c r="M1692" s="59"/>
    </row>
    <row r="1693" spans="2:13" x14ac:dyDescent="0.3">
      <c r="B1693" s="178"/>
      <c r="C1693" s="179"/>
      <c r="D1693" s="180"/>
      <c r="E1693" s="181"/>
      <c r="F1693" s="182"/>
      <c r="G1693" s="1" t="str">
        <f>IFERROR(IF(ventas_b_mes11[[#This Row],[CUIT]]="","-",VLOOKUP(ventas_b_mes11[[#This Row],[CUIT]],Lista_CUIT[#All],2,0)),"CUIT NO CARGADO")</f>
        <v>-</v>
      </c>
      <c r="H1693" s="64">
        <f>ventas_b_mes11[[#This Row],[TOTAL]]/1.21</f>
        <v>0</v>
      </c>
      <c r="I1693" s="183">
        <f>ventas_b_mes11[[#This Row],[IMPORTE NETO]]*0.21</f>
        <v>0</v>
      </c>
      <c r="J1693" s="184"/>
      <c r="K1693" s="184"/>
      <c r="L1693" s="184"/>
      <c r="M1693" s="59"/>
    </row>
    <row r="1694" spans="2:13" x14ac:dyDescent="0.3">
      <c r="B1694" s="178"/>
      <c r="C1694" s="179"/>
      <c r="D1694" s="180"/>
      <c r="E1694" s="181"/>
      <c r="F1694" s="182"/>
      <c r="G1694" s="1" t="str">
        <f>IFERROR(IF(ventas_b_mes11[[#This Row],[CUIT]]="","-",VLOOKUP(ventas_b_mes11[[#This Row],[CUIT]],Lista_CUIT[#All],2,0)),"CUIT NO CARGADO")</f>
        <v>-</v>
      </c>
      <c r="H1694" s="64">
        <f>ventas_b_mes11[[#This Row],[TOTAL]]/1.21</f>
        <v>0</v>
      </c>
      <c r="I1694" s="183">
        <f>ventas_b_mes11[[#This Row],[IMPORTE NETO]]*0.21</f>
        <v>0</v>
      </c>
      <c r="J1694" s="184"/>
      <c r="K1694" s="184"/>
      <c r="L1694" s="184"/>
      <c r="M1694" s="59"/>
    </row>
    <row r="1695" spans="2:13" x14ac:dyDescent="0.3">
      <c r="B1695" s="178"/>
      <c r="C1695" s="179"/>
      <c r="D1695" s="180"/>
      <c r="E1695" s="181"/>
      <c r="F1695" s="182"/>
      <c r="G1695" s="1" t="str">
        <f>IFERROR(IF(ventas_b_mes11[[#This Row],[CUIT]]="","-",VLOOKUP(ventas_b_mes11[[#This Row],[CUIT]],Lista_CUIT[#All],2,0)),"CUIT NO CARGADO")</f>
        <v>-</v>
      </c>
      <c r="H1695" s="64">
        <f>ventas_b_mes11[[#This Row],[TOTAL]]/1.21</f>
        <v>0</v>
      </c>
      <c r="I1695" s="183">
        <f>ventas_b_mes11[[#This Row],[IMPORTE NETO]]*0.21</f>
        <v>0</v>
      </c>
      <c r="J1695" s="184"/>
      <c r="K1695" s="184"/>
      <c r="L1695" s="184"/>
      <c r="M1695" s="59"/>
    </row>
    <row r="1696" spans="2:13" x14ac:dyDescent="0.3">
      <c r="B1696" s="178"/>
      <c r="C1696" s="179"/>
      <c r="D1696" s="180"/>
      <c r="E1696" s="181"/>
      <c r="F1696" s="182"/>
      <c r="G1696" s="1" t="str">
        <f>IFERROR(IF(ventas_b_mes11[[#This Row],[CUIT]]="","-",VLOOKUP(ventas_b_mes11[[#This Row],[CUIT]],Lista_CUIT[#All],2,0)),"CUIT NO CARGADO")</f>
        <v>-</v>
      </c>
      <c r="H1696" s="64">
        <f>ventas_b_mes11[[#This Row],[TOTAL]]/1.21</f>
        <v>0</v>
      </c>
      <c r="I1696" s="183">
        <f>ventas_b_mes11[[#This Row],[IMPORTE NETO]]*0.21</f>
        <v>0</v>
      </c>
      <c r="J1696" s="184"/>
      <c r="K1696" s="184"/>
      <c r="L1696" s="184"/>
      <c r="M1696" s="59"/>
    </row>
    <row r="1697" spans="2:13" x14ac:dyDescent="0.3">
      <c r="B1697" s="178"/>
      <c r="C1697" s="179"/>
      <c r="D1697" s="180"/>
      <c r="E1697" s="181"/>
      <c r="F1697" s="182"/>
      <c r="G1697" s="1" t="str">
        <f>IFERROR(IF(ventas_b_mes11[[#This Row],[CUIT]]="","-",VLOOKUP(ventas_b_mes11[[#This Row],[CUIT]],Lista_CUIT[#All],2,0)),"CUIT NO CARGADO")</f>
        <v>-</v>
      </c>
      <c r="H1697" s="64">
        <f>ventas_b_mes11[[#This Row],[TOTAL]]/1.21</f>
        <v>0</v>
      </c>
      <c r="I1697" s="183">
        <f>ventas_b_mes11[[#This Row],[IMPORTE NETO]]*0.21</f>
        <v>0</v>
      </c>
      <c r="J1697" s="184"/>
      <c r="K1697" s="184"/>
      <c r="L1697" s="184"/>
      <c r="M1697" s="59"/>
    </row>
    <row r="1698" spans="2:13" x14ac:dyDescent="0.3">
      <c r="B1698" s="178"/>
      <c r="C1698" s="179"/>
      <c r="D1698" s="180"/>
      <c r="E1698" s="181"/>
      <c r="F1698" s="182"/>
      <c r="G1698" s="1" t="str">
        <f>IFERROR(IF(ventas_b_mes11[[#This Row],[CUIT]]="","-",VLOOKUP(ventas_b_mes11[[#This Row],[CUIT]],Lista_CUIT[#All],2,0)),"CUIT NO CARGADO")</f>
        <v>-</v>
      </c>
      <c r="H1698" s="64">
        <f>ventas_b_mes11[[#This Row],[TOTAL]]/1.21</f>
        <v>0</v>
      </c>
      <c r="I1698" s="183">
        <f>ventas_b_mes11[[#This Row],[IMPORTE NETO]]*0.21</f>
        <v>0</v>
      </c>
      <c r="J1698" s="184"/>
      <c r="K1698" s="184"/>
      <c r="L1698" s="184"/>
      <c r="M1698" s="59"/>
    </row>
    <row r="1699" spans="2:13" x14ac:dyDescent="0.3">
      <c r="B1699" s="178"/>
      <c r="C1699" s="179"/>
      <c r="D1699" s="180"/>
      <c r="E1699" s="181"/>
      <c r="F1699" s="182"/>
      <c r="G1699" s="1" t="str">
        <f>IFERROR(IF(ventas_b_mes11[[#This Row],[CUIT]]="","-",VLOOKUP(ventas_b_mes11[[#This Row],[CUIT]],Lista_CUIT[#All],2,0)),"CUIT NO CARGADO")</f>
        <v>-</v>
      </c>
      <c r="H1699" s="64">
        <f>ventas_b_mes11[[#This Row],[TOTAL]]/1.21</f>
        <v>0</v>
      </c>
      <c r="I1699" s="183">
        <f>ventas_b_mes11[[#This Row],[IMPORTE NETO]]*0.21</f>
        <v>0</v>
      </c>
      <c r="J1699" s="184"/>
      <c r="K1699" s="184"/>
      <c r="L1699" s="184"/>
      <c r="M1699" s="59"/>
    </row>
    <row r="1700" spans="2:13" x14ac:dyDescent="0.3">
      <c r="B1700" s="178"/>
      <c r="C1700" s="179"/>
      <c r="D1700" s="180"/>
      <c r="E1700" s="181"/>
      <c r="F1700" s="182"/>
      <c r="G1700" s="1" t="str">
        <f>IFERROR(IF(ventas_b_mes11[[#This Row],[CUIT]]="","-",VLOOKUP(ventas_b_mes11[[#This Row],[CUIT]],Lista_CUIT[#All],2,0)),"CUIT NO CARGADO")</f>
        <v>-</v>
      </c>
      <c r="H1700" s="64">
        <f>ventas_b_mes11[[#This Row],[TOTAL]]/1.21</f>
        <v>0</v>
      </c>
      <c r="I1700" s="183">
        <f>ventas_b_mes11[[#This Row],[IMPORTE NETO]]*0.21</f>
        <v>0</v>
      </c>
      <c r="J1700" s="184"/>
      <c r="K1700" s="184"/>
      <c r="L1700" s="184"/>
      <c r="M1700" s="59"/>
    </row>
    <row r="1701" spans="2:13" x14ac:dyDescent="0.3">
      <c r="B1701" s="178"/>
      <c r="C1701" s="179"/>
      <c r="D1701" s="180"/>
      <c r="E1701" s="181"/>
      <c r="F1701" s="182"/>
      <c r="G1701" s="1" t="str">
        <f>IFERROR(IF(ventas_b_mes11[[#This Row],[CUIT]]="","-",VLOOKUP(ventas_b_mes11[[#This Row],[CUIT]],Lista_CUIT[#All],2,0)),"CUIT NO CARGADO")</f>
        <v>-</v>
      </c>
      <c r="H1701" s="64">
        <f>ventas_b_mes11[[#This Row],[TOTAL]]/1.21</f>
        <v>0</v>
      </c>
      <c r="I1701" s="183">
        <f>ventas_b_mes11[[#This Row],[IMPORTE NETO]]*0.21</f>
        <v>0</v>
      </c>
      <c r="J1701" s="184"/>
      <c r="K1701" s="184"/>
      <c r="L1701" s="184"/>
      <c r="M1701" s="59"/>
    </row>
    <row r="1702" spans="2:13" x14ac:dyDescent="0.3">
      <c r="B1702" s="178"/>
      <c r="C1702" s="179"/>
      <c r="D1702" s="180"/>
      <c r="E1702" s="181"/>
      <c r="F1702" s="182"/>
      <c r="G1702" s="1" t="str">
        <f>IFERROR(IF(ventas_b_mes11[[#This Row],[CUIT]]="","-",VLOOKUP(ventas_b_mes11[[#This Row],[CUIT]],Lista_CUIT[#All],2,0)),"CUIT NO CARGADO")</f>
        <v>-</v>
      </c>
      <c r="H1702" s="64">
        <f>ventas_b_mes11[[#This Row],[TOTAL]]/1.21</f>
        <v>0</v>
      </c>
      <c r="I1702" s="183">
        <f>ventas_b_mes11[[#This Row],[IMPORTE NETO]]*0.21</f>
        <v>0</v>
      </c>
      <c r="J1702" s="184"/>
      <c r="K1702" s="184"/>
      <c r="L1702" s="184"/>
      <c r="M1702" s="59"/>
    </row>
    <row r="1703" spans="2:13" x14ac:dyDescent="0.3">
      <c r="B1703" s="178"/>
      <c r="C1703" s="179"/>
      <c r="D1703" s="180"/>
      <c r="E1703" s="181"/>
      <c r="F1703" s="182"/>
      <c r="G1703" s="1" t="str">
        <f>IFERROR(IF(ventas_b_mes11[[#This Row],[CUIT]]="","-",VLOOKUP(ventas_b_mes11[[#This Row],[CUIT]],Lista_CUIT[#All],2,0)),"CUIT NO CARGADO")</f>
        <v>-</v>
      </c>
      <c r="H1703" s="64">
        <f>ventas_b_mes11[[#This Row],[TOTAL]]/1.21</f>
        <v>0</v>
      </c>
      <c r="I1703" s="183">
        <f>ventas_b_mes11[[#This Row],[IMPORTE NETO]]*0.21</f>
        <v>0</v>
      </c>
      <c r="J1703" s="184"/>
      <c r="K1703" s="184"/>
      <c r="L1703" s="184"/>
      <c r="M1703" s="59"/>
    </row>
    <row r="1704" spans="2:13" x14ac:dyDescent="0.3">
      <c r="B1704" s="178"/>
      <c r="C1704" s="179"/>
      <c r="D1704" s="180"/>
      <c r="E1704" s="181"/>
      <c r="F1704" s="182"/>
      <c r="G1704" s="1" t="str">
        <f>IFERROR(IF(ventas_b_mes11[[#This Row],[CUIT]]="","-",VLOOKUP(ventas_b_mes11[[#This Row],[CUIT]],Lista_CUIT[#All],2,0)),"CUIT NO CARGADO")</f>
        <v>-</v>
      </c>
      <c r="H1704" s="64">
        <f>ventas_b_mes11[[#This Row],[TOTAL]]/1.21</f>
        <v>0</v>
      </c>
      <c r="I1704" s="183">
        <f>ventas_b_mes11[[#This Row],[IMPORTE NETO]]*0.21</f>
        <v>0</v>
      </c>
      <c r="J1704" s="184"/>
      <c r="K1704" s="184"/>
      <c r="L1704" s="184"/>
      <c r="M1704" s="59"/>
    </row>
    <row r="1705" spans="2:13" x14ac:dyDescent="0.3">
      <c r="B1705" s="178"/>
      <c r="C1705" s="179"/>
      <c r="D1705" s="180"/>
      <c r="E1705" s="181"/>
      <c r="F1705" s="182"/>
      <c r="G1705" s="1" t="str">
        <f>IFERROR(IF(ventas_b_mes11[[#This Row],[CUIT]]="","-",VLOOKUP(ventas_b_mes11[[#This Row],[CUIT]],Lista_CUIT[#All],2,0)),"CUIT NO CARGADO")</f>
        <v>-</v>
      </c>
      <c r="H1705" s="64">
        <f>ventas_b_mes11[[#This Row],[TOTAL]]/1.21</f>
        <v>0</v>
      </c>
      <c r="I1705" s="183">
        <f>ventas_b_mes11[[#This Row],[IMPORTE NETO]]*0.21</f>
        <v>0</v>
      </c>
      <c r="J1705" s="184"/>
      <c r="K1705" s="184"/>
      <c r="L1705" s="184"/>
      <c r="M1705" s="59"/>
    </row>
    <row r="1706" spans="2:13" x14ac:dyDescent="0.3">
      <c r="B1706" s="178"/>
      <c r="C1706" s="179"/>
      <c r="D1706" s="180"/>
      <c r="E1706" s="181"/>
      <c r="F1706" s="182"/>
      <c r="G1706" s="1" t="str">
        <f>IFERROR(IF(ventas_b_mes11[[#This Row],[CUIT]]="","-",VLOOKUP(ventas_b_mes11[[#This Row],[CUIT]],Lista_CUIT[#All],2,0)),"CUIT NO CARGADO")</f>
        <v>-</v>
      </c>
      <c r="H1706" s="64">
        <f>ventas_b_mes11[[#This Row],[TOTAL]]/1.21</f>
        <v>0</v>
      </c>
      <c r="I1706" s="183">
        <f>ventas_b_mes11[[#This Row],[IMPORTE NETO]]*0.21</f>
        <v>0</v>
      </c>
      <c r="J1706" s="184"/>
      <c r="K1706" s="184"/>
      <c r="L1706" s="184"/>
      <c r="M1706" s="59"/>
    </row>
    <row r="1707" spans="2:13" x14ac:dyDescent="0.3">
      <c r="B1707" s="178"/>
      <c r="C1707" s="179"/>
      <c r="D1707" s="180"/>
      <c r="E1707" s="181"/>
      <c r="F1707" s="182"/>
      <c r="G1707" s="1" t="str">
        <f>IFERROR(IF(ventas_b_mes11[[#This Row],[CUIT]]="","-",VLOOKUP(ventas_b_mes11[[#This Row],[CUIT]],Lista_CUIT[#All],2,0)),"CUIT NO CARGADO")</f>
        <v>-</v>
      </c>
      <c r="H1707" s="64">
        <f>ventas_b_mes11[[#This Row],[TOTAL]]/1.21</f>
        <v>0</v>
      </c>
      <c r="I1707" s="183">
        <f>ventas_b_mes11[[#This Row],[IMPORTE NETO]]*0.21</f>
        <v>0</v>
      </c>
      <c r="J1707" s="184"/>
      <c r="K1707" s="184"/>
      <c r="L1707" s="184"/>
      <c r="M1707" s="59"/>
    </row>
    <row r="1708" spans="2:13" x14ac:dyDescent="0.3">
      <c r="B1708" s="178"/>
      <c r="C1708" s="179"/>
      <c r="D1708" s="180"/>
      <c r="E1708" s="181"/>
      <c r="F1708" s="182"/>
      <c r="G1708" s="1" t="str">
        <f>IFERROR(IF(ventas_b_mes11[[#This Row],[CUIT]]="","-",VLOOKUP(ventas_b_mes11[[#This Row],[CUIT]],Lista_CUIT[#All],2,0)),"CUIT NO CARGADO")</f>
        <v>-</v>
      </c>
      <c r="H1708" s="64">
        <f>ventas_b_mes11[[#This Row],[TOTAL]]/1.21</f>
        <v>0</v>
      </c>
      <c r="I1708" s="183">
        <f>ventas_b_mes11[[#This Row],[IMPORTE NETO]]*0.21</f>
        <v>0</v>
      </c>
      <c r="J1708" s="184"/>
      <c r="K1708" s="184"/>
      <c r="L1708" s="184"/>
      <c r="M1708" s="59"/>
    </row>
    <row r="1709" spans="2:13" x14ac:dyDescent="0.3">
      <c r="B1709" s="178"/>
      <c r="C1709" s="179"/>
      <c r="D1709" s="180"/>
      <c r="E1709" s="181"/>
      <c r="F1709" s="182"/>
      <c r="G1709" s="1" t="str">
        <f>IFERROR(IF(ventas_b_mes11[[#This Row],[CUIT]]="","-",VLOOKUP(ventas_b_mes11[[#This Row],[CUIT]],Lista_CUIT[#All],2,0)),"CUIT NO CARGADO")</f>
        <v>-</v>
      </c>
      <c r="H1709" s="64">
        <f>ventas_b_mes11[[#This Row],[TOTAL]]/1.21</f>
        <v>0</v>
      </c>
      <c r="I1709" s="183">
        <f>ventas_b_mes11[[#This Row],[IMPORTE NETO]]*0.21</f>
        <v>0</v>
      </c>
      <c r="J1709" s="184"/>
      <c r="K1709" s="184"/>
      <c r="L1709" s="184"/>
      <c r="M1709" s="59"/>
    </row>
    <row r="1710" spans="2:13" x14ac:dyDescent="0.3">
      <c r="B1710" s="178"/>
      <c r="C1710" s="179"/>
      <c r="D1710" s="180"/>
      <c r="E1710" s="181"/>
      <c r="F1710" s="182"/>
      <c r="G1710" s="1" t="str">
        <f>IFERROR(IF(ventas_b_mes11[[#This Row],[CUIT]]="","-",VLOOKUP(ventas_b_mes11[[#This Row],[CUIT]],Lista_CUIT[#All],2,0)),"CUIT NO CARGADO")</f>
        <v>-</v>
      </c>
      <c r="H1710" s="64">
        <f>ventas_b_mes11[[#This Row],[TOTAL]]/1.21</f>
        <v>0</v>
      </c>
      <c r="I1710" s="183">
        <f>ventas_b_mes11[[#This Row],[IMPORTE NETO]]*0.21</f>
        <v>0</v>
      </c>
      <c r="J1710" s="184"/>
      <c r="K1710" s="184"/>
      <c r="L1710" s="184"/>
      <c r="M1710" s="59"/>
    </row>
    <row r="1711" spans="2:13" x14ac:dyDescent="0.3">
      <c r="B1711" s="178"/>
      <c r="C1711" s="179"/>
      <c r="D1711" s="180"/>
      <c r="E1711" s="181"/>
      <c r="F1711" s="182"/>
      <c r="G1711" s="1" t="str">
        <f>IFERROR(IF(ventas_b_mes11[[#This Row],[CUIT]]="","-",VLOOKUP(ventas_b_mes11[[#This Row],[CUIT]],Lista_CUIT[#All],2,0)),"CUIT NO CARGADO")</f>
        <v>-</v>
      </c>
      <c r="H1711" s="64">
        <f>ventas_b_mes11[[#This Row],[TOTAL]]/1.21</f>
        <v>0</v>
      </c>
      <c r="I1711" s="183">
        <f>ventas_b_mes11[[#This Row],[IMPORTE NETO]]*0.21</f>
        <v>0</v>
      </c>
      <c r="J1711" s="184"/>
      <c r="K1711" s="184"/>
      <c r="L1711" s="184"/>
      <c r="M1711" s="59"/>
    </row>
    <row r="1712" spans="2:13" x14ac:dyDescent="0.3">
      <c r="B1712" s="178"/>
      <c r="C1712" s="179"/>
      <c r="D1712" s="180"/>
      <c r="E1712" s="181"/>
      <c r="F1712" s="182"/>
      <c r="G1712" s="1" t="str">
        <f>IFERROR(IF(ventas_b_mes11[[#This Row],[CUIT]]="","-",VLOOKUP(ventas_b_mes11[[#This Row],[CUIT]],Lista_CUIT[#All],2,0)),"CUIT NO CARGADO")</f>
        <v>-</v>
      </c>
      <c r="H1712" s="64">
        <f>ventas_b_mes11[[#This Row],[TOTAL]]/1.21</f>
        <v>0</v>
      </c>
      <c r="I1712" s="183">
        <f>ventas_b_mes11[[#This Row],[IMPORTE NETO]]*0.21</f>
        <v>0</v>
      </c>
      <c r="J1712" s="184"/>
      <c r="K1712" s="184"/>
      <c r="L1712" s="184"/>
      <c r="M1712" s="59"/>
    </row>
    <row r="1713" spans="2:13" x14ac:dyDescent="0.3">
      <c r="B1713" s="178"/>
      <c r="C1713" s="179"/>
      <c r="D1713" s="180"/>
      <c r="E1713" s="181"/>
      <c r="F1713" s="182"/>
      <c r="G1713" s="1" t="str">
        <f>IFERROR(IF(ventas_b_mes11[[#This Row],[CUIT]]="","-",VLOOKUP(ventas_b_mes11[[#This Row],[CUIT]],Lista_CUIT[#All],2,0)),"CUIT NO CARGADO")</f>
        <v>-</v>
      </c>
      <c r="H1713" s="64">
        <f>ventas_b_mes11[[#This Row],[TOTAL]]/1.21</f>
        <v>0</v>
      </c>
      <c r="I1713" s="183">
        <f>ventas_b_mes11[[#This Row],[IMPORTE NETO]]*0.21</f>
        <v>0</v>
      </c>
      <c r="J1713" s="184"/>
      <c r="K1713" s="184"/>
      <c r="L1713" s="184"/>
      <c r="M1713" s="59"/>
    </row>
    <row r="1714" spans="2:13" x14ac:dyDescent="0.3">
      <c r="B1714" s="178"/>
      <c r="C1714" s="179"/>
      <c r="D1714" s="180"/>
      <c r="E1714" s="181"/>
      <c r="F1714" s="182"/>
      <c r="G1714" s="1" t="str">
        <f>IFERROR(IF(ventas_b_mes11[[#This Row],[CUIT]]="","-",VLOOKUP(ventas_b_mes11[[#This Row],[CUIT]],Lista_CUIT[#All],2,0)),"CUIT NO CARGADO")</f>
        <v>-</v>
      </c>
      <c r="H1714" s="64">
        <f>ventas_b_mes11[[#This Row],[TOTAL]]/1.21</f>
        <v>0</v>
      </c>
      <c r="I1714" s="183">
        <f>ventas_b_mes11[[#This Row],[IMPORTE NETO]]*0.21</f>
        <v>0</v>
      </c>
      <c r="J1714" s="184"/>
      <c r="K1714" s="184"/>
      <c r="L1714" s="184"/>
      <c r="M1714" s="59"/>
    </row>
    <row r="1715" spans="2:13" x14ac:dyDescent="0.3">
      <c r="B1715" s="178"/>
      <c r="C1715" s="179"/>
      <c r="D1715" s="180"/>
      <c r="E1715" s="181"/>
      <c r="F1715" s="182"/>
      <c r="G1715" s="1" t="str">
        <f>IFERROR(IF(ventas_b_mes11[[#This Row],[CUIT]]="","-",VLOOKUP(ventas_b_mes11[[#This Row],[CUIT]],Lista_CUIT[#All],2,0)),"CUIT NO CARGADO")</f>
        <v>-</v>
      </c>
      <c r="H1715" s="64">
        <f>ventas_b_mes11[[#This Row],[TOTAL]]/1.21</f>
        <v>0</v>
      </c>
      <c r="I1715" s="183">
        <f>ventas_b_mes11[[#This Row],[IMPORTE NETO]]*0.21</f>
        <v>0</v>
      </c>
      <c r="J1715" s="184"/>
      <c r="K1715" s="184"/>
      <c r="L1715" s="184"/>
      <c r="M1715" s="59"/>
    </row>
    <row r="1716" spans="2:13" x14ac:dyDescent="0.3">
      <c r="B1716" s="178"/>
      <c r="C1716" s="179"/>
      <c r="D1716" s="180"/>
      <c r="E1716" s="181"/>
      <c r="F1716" s="182"/>
      <c r="G1716" s="1" t="str">
        <f>IFERROR(IF(ventas_b_mes11[[#This Row],[CUIT]]="","-",VLOOKUP(ventas_b_mes11[[#This Row],[CUIT]],Lista_CUIT[#All],2,0)),"CUIT NO CARGADO")</f>
        <v>-</v>
      </c>
      <c r="H1716" s="64">
        <f>ventas_b_mes11[[#This Row],[TOTAL]]/1.21</f>
        <v>0</v>
      </c>
      <c r="I1716" s="183">
        <f>ventas_b_mes11[[#This Row],[IMPORTE NETO]]*0.21</f>
        <v>0</v>
      </c>
      <c r="J1716" s="184"/>
      <c r="K1716" s="184"/>
      <c r="L1716" s="184"/>
      <c r="M1716" s="59"/>
    </row>
    <row r="1717" spans="2:13" x14ac:dyDescent="0.3">
      <c r="B1717" s="178"/>
      <c r="C1717" s="179"/>
      <c r="D1717" s="180"/>
      <c r="E1717" s="181"/>
      <c r="F1717" s="182"/>
      <c r="G1717" s="1" t="str">
        <f>IFERROR(IF(ventas_b_mes11[[#This Row],[CUIT]]="","-",VLOOKUP(ventas_b_mes11[[#This Row],[CUIT]],Lista_CUIT[#All],2,0)),"CUIT NO CARGADO")</f>
        <v>-</v>
      </c>
      <c r="H1717" s="64">
        <f>ventas_b_mes11[[#This Row],[TOTAL]]/1.21</f>
        <v>0</v>
      </c>
      <c r="I1717" s="183">
        <f>ventas_b_mes11[[#This Row],[IMPORTE NETO]]*0.21</f>
        <v>0</v>
      </c>
      <c r="J1717" s="184"/>
      <c r="K1717" s="184"/>
      <c r="L1717" s="184"/>
      <c r="M1717" s="59"/>
    </row>
    <row r="1718" spans="2:13" x14ac:dyDescent="0.3">
      <c r="B1718" s="178"/>
      <c r="C1718" s="179"/>
      <c r="D1718" s="180"/>
      <c r="E1718" s="181"/>
      <c r="F1718" s="182"/>
      <c r="G1718" s="1" t="str">
        <f>IFERROR(IF(ventas_b_mes11[[#This Row],[CUIT]]="","-",VLOOKUP(ventas_b_mes11[[#This Row],[CUIT]],Lista_CUIT[#All],2,0)),"CUIT NO CARGADO")</f>
        <v>-</v>
      </c>
      <c r="H1718" s="64">
        <f>ventas_b_mes11[[#This Row],[TOTAL]]/1.21</f>
        <v>0</v>
      </c>
      <c r="I1718" s="183">
        <f>ventas_b_mes11[[#This Row],[IMPORTE NETO]]*0.21</f>
        <v>0</v>
      </c>
      <c r="J1718" s="184"/>
      <c r="K1718" s="184"/>
      <c r="L1718" s="184"/>
      <c r="M1718" s="59"/>
    </row>
    <row r="1719" spans="2:13" x14ac:dyDescent="0.3">
      <c r="B1719" s="178"/>
      <c r="C1719" s="179"/>
      <c r="D1719" s="180"/>
      <c r="E1719" s="181"/>
      <c r="F1719" s="182"/>
      <c r="G1719" s="1" t="str">
        <f>IFERROR(IF(ventas_b_mes11[[#This Row],[CUIT]]="","-",VLOOKUP(ventas_b_mes11[[#This Row],[CUIT]],Lista_CUIT[#All],2,0)),"CUIT NO CARGADO")</f>
        <v>-</v>
      </c>
      <c r="H1719" s="64">
        <f>ventas_b_mes11[[#This Row],[TOTAL]]/1.21</f>
        <v>0</v>
      </c>
      <c r="I1719" s="183">
        <f>ventas_b_mes11[[#This Row],[IMPORTE NETO]]*0.21</f>
        <v>0</v>
      </c>
      <c r="J1719" s="184"/>
      <c r="K1719" s="184"/>
      <c r="L1719" s="184"/>
      <c r="M1719" s="59"/>
    </row>
    <row r="1720" spans="2:13" x14ac:dyDescent="0.3">
      <c r="B1720" s="178"/>
      <c r="C1720" s="179"/>
      <c r="D1720" s="180"/>
      <c r="E1720" s="181"/>
      <c r="F1720" s="182"/>
      <c r="G1720" s="1" t="str">
        <f>IFERROR(IF(ventas_b_mes11[[#This Row],[CUIT]]="","-",VLOOKUP(ventas_b_mes11[[#This Row],[CUIT]],Lista_CUIT[#All],2,0)),"CUIT NO CARGADO")</f>
        <v>-</v>
      </c>
      <c r="H1720" s="64">
        <f>ventas_b_mes11[[#This Row],[TOTAL]]/1.21</f>
        <v>0</v>
      </c>
      <c r="I1720" s="183">
        <f>ventas_b_mes11[[#This Row],[IMPORTE NETO]]*0.21</f>
        <v>0</v>
      </c>
      <c r="J1720" s="184"/>
      <c r="K1720" s="184"/>
      <c r="L1720" s="184"/>
      <c r="M1720" s="59"/>
    </row>
    <row r="1721" spans="2:13" x14ac:dyDescent="0.3">
      <c r="B1721" s="178"/>
      <c r="C1721" s="179"/>
      <c r="D1721" s="180"/>
      <c r="E1721" s="181"/>
      <c r="F1721" s="182"/>
      <c r="G1721" s="1" t="str">
        <f>IFERROR(IF(ventas_b_mes11[[#This Row],[CUIT]]="","-",VLOOKUP(ventas_b_mes11[[#This Row],[CUIT]],Lista_CUIT[#All],2,0)),"CUIT NO CARGADO")</f>
        <v>-</v>
      </c>
      <c r="H1721" s="64">
        <f>ventas_b_mes11[[#This Row],[TOTAL]]/1.21</f>
        <v>0</v>
      </c>
      <c r="I1721" s="183">
        <f>ventas_b_mes11[[#This Row],[IMPORTE NETO]]*0.21</f>
        <v>0</v>
      </c>
      <c r="J1721" s="184"/>
      <c r="K1721" s="184"/>
      <c r="L1721" s="184"/>
      <c r="M1721" s="59"/>
    </row>
    <row r="1722" spans="2:13" x14ac:dyDescent="0.3">
      <c r="B1722" s="178"/>
      <c r="C1722" s="179"/>
      <c r="D1722" s="180"/>
      <c r="E1722" s="181"/>
      <c r="F1722" s="182"/>
      <c r="G1722" s="1" t="str">
        <f>IFERROR(IF(ventas_b_mes11[[#This Row],[CUIT]]="","-",VLOOKUP(ventas_b_mes11[[#This Row],[CUIT]],Lista_CUIT[#All],2,0)),"CUIT NO CARGADO")</f>
        <v>-</v>
      </c>
      <c r="H1722" s="64">
        <f>ventas_b_mes11[[#This Row],[TOTAL]]/1.21</f>
        <v>0</v>
      </c>
      <c r="I1722" s="183">
        <f>ventas_b_mes11[[#This Row],[IMPORTE NETO]]*0.21</f>
        <v>0</v>
      </c>
      <c r="J1722" s="184"/>
      <c r="K1722" s="184"/>
      <c r="L1722" s="184"/>
      <c r="M1722" s="59"/>
    </row>
    <row r="1723" spans="2:13" x14ac:dyDescent="0.3">
      <c r="B1723" s="178"/>
      <c r="C1723" s="179"/>
      <c r="D1723" s="180"/>
      <c r="E1723" s="181"/>
      <c r="F1723" s="182"/>
      <c r="G1723" s="1" t="str">
        <f>IFERROR(IF(ventas_b_mes11[[#This Row],[CUIT]]="","-",VLOOKUP(ventas_b_mes11[[#This Row],[CUIT]],Lista_CUIT[#All],2,0)),"CUIT NO CARGADO")</f>
        <v>-</v>
      </c>
      <c r="H1723" s="64">
        <f>ventas_b_mes11[[#This Row],[TOTAL]]/1.21</f>
        <v>0</v>
      </c>
      <c r="I1723" s="183">
        <f>ventas_b_mes11[[#This Row],[IMPORTE NETO]]*0.21</f>
        <v>0</v>
      </c>
      <c r="J1723" s="184"/>
      <c r="K1723" s="184"/>
      <c r="L1723" s="184"/>
      <c r="M1723" s="59"/>
    </row>
    <row r="1724" spans="2:13" x14ac:dyDescent="0.3">
      <c r="B1724" s="178"/>
      <c r="C1724" s="179"/>
      <c r="D1724" s="180"/>
      <c r="E1724" s="181"/>
      <c r="F1724" s="182"/>
      <c r="G1724" s="1" t="str">
        <f>IFERROR(IF(ventas_b_mes11[[#This Row],[CUIT]]="","-",VLOOKUP(ventas_b_mes11[[#This Row],[CUIT]],Lista_CUIT[#All],2,0)),"CUIT NO CARGADO")</f>
        <v>-</v>
      </c>
      <c r="H1724" s="64">
        <f>ventas_b_mes11[[#This Row],[TOTAL]]/1.21</f>
        <v>0</v>
      </c>
      <c r="I1724" s="183">
        <f>ventas_b_mes11[[#This Row],[IMPORTE NETO]]*0.21</f>
        <v>0</v>
      </c>
      <c r="J1724" s="184"/>
      <c r="K1724" s="184"/>
      <c r="L1724" s="184"/>
      <c r="M1724" s="59"/>
    </row>
    <row r="1725" spans="2:13" x14ac:dyDescent="0.3">
      <c r="B1725" s="178"/>
      <c r="C1725" s="179"/>
      <c r="D1725" s="180"/>
      <c r="E1725" s="181"/>
      <c r="F1725" s="182"/>
      <c r="G1725" s="1" t="str">
        <f>IFERROR(IF(ventas_b_mes11[[#This Row],[CUIT]]="","-",VLOOKUP(ventas_b_mes11[[#This Row],[CUIT]],Lista_CUIT[#All],2,0)),"CUIT NO CARGADO")</f>
        <v>-</v>
      </c>
      <c r="H1725" s="64">
        <f>ventas_b_mes11[[#This Row],[TOTAL]]/1.21</f>
        <v>0</v>
      </c>
      <c r="I1725" s="183">
        <f>ventas_b_mes11[[#This Row],[IMPORTE NETO]]*0.21</f>
        <v>0</v>
      </c>
      <c r="J1725" s="184"/>
      <c r="K1725" s="184"/>
      <c r="L1725" s="184"/>
      <c r="M1725" s="59"/>
    </row>
    <row r="1726" spans="2:13" x14ac:dyDescent="0.3">
      <c r="B1726" s="178"/>
      <c r="C1726" s="179"/>
      <c r="D1726" s="180"/>
      <c r="E1726" s="181"/>
      <c r="F1726" s="182"/>
      <c r="G1726" s="1" t="str">
        <f>IFERROR(IF(ventas_b_mes11[[#This Row],[CUIT]]="","-",VLOOKUP(ventas_b_mes11[[#This Row],[CUIT]],Lista_CUIT[#All],2,0)),"CUIT NO CARGADO")</f>
        <v>-</v>
      </c>
      <c r="H1726" s="64">
        <f>ventas_b_mes11[[#This Row],[TOTAL]]/1.21</f>
        <v>0</v>
      </c>
      <c r="I1726" s="183">
        <f>ventas_b_mes11[[#This Row],[IMPORTE NETO]]*0.21</f>
        <v>0</v>
      </c>
      <c r="J1726" s="184"/>
      <c r="K1726" s="184"/>
      <c r="L1726" s="184"/>
      <c r="M1726" s="59"/>
    </row>
    <row r="1727" spans="2:13" x14ac:dyDescent="0.3">
      <c r="B1727" s="178"/>
      <c r="C1727" s="179"/>
      <c r="D1727" s="180"/>
      <c r="E1727" s="181"/>
      <c r="F1727" s="182"/>
      <c r="G1727" s="1" t="str">
        <f>IFERROR(IF(ventas_b_mes11[[#This Row],[CUIT]]="","-",VLOOKUP(ventas_b_mes11[[#This Row],[CUIT]],Lista_CUIT[#All],2,0)),"CUIT NO CARGADO")</f>
        <v>-</v>
      </c>
      <c r="H1727" s="64">
        <f>ventas_b_mes11[[#This Row],[TOTAL]]/1.21</f>
        <v>0</v>
      </c>
      <c r="I1727" s="183">
        <f>ventas_b_mes11[[#This Row],[IMPORTE NETO]]*0.21</f>
        <v>0</v>
      </c>
      <c r="J1727" s="184"/>
      <c r="K1727" s="184"/>
      <c r="L1727" s="184"/>
      <c r="M1727" s="59"/>
    </row>
    <row r="1728" spans="2:13" x14ac:dyDescent="0.3">
      <c r="B1728" s="178"/>
      <c r="C1728" s="179"/>
      <c r="D1728" s="180"/>
      <c r="E1728" s="181"/>
      <c r="F1728" s="182"/>
      <c r="G1728" s="1" t="str">
        <f>IFERROR(IF(ventas_b_mes11[[#This Row],[CUIT]]="","-",VLOOKUP(ventas_b_mes11[[#This Row],[CUIT]],Lista_CUIT[#All],2,0)),"CUIT NO CARGADO")</f>
        <v>-</v>
      </c>
      <c r="H1728" s="64">
        <f>ventas_b_mes11[[#This Row],[TOTAL]]/1.21</f>
        <v>0</v>
      </c>
      <c r="I1728" s="183">
        <f>ventas_b_mes11[[#This Row],[IMPORTE NETO]]*0.21</f>
        <v>0</v>
      </c>
      <c r="J1728" s="184"/>
      <c r="K1728" s="184"/>
      <c r="L1728" s="184"/>
      <c r="M1728" s="59"/>
    </row>
    <row r="1729" spans="2:13" x14ac:dyDescent="0.3">
      <c r="B1729" s="178"/>
      <c r="C1729" s="179"/>
      <c r="D1729" s="180"/>
      <c r="E1729" s="181"/>
      <c r="F1729" s="182"/>
      <c r="G1729" s="1" t="str">
        <f>IFERROR(IF(ventas_b_mes11[[#This Row],[CUIT]]="","-",VLOOKUP(ventas_b_mes11[[#This Row],[CUIT]],Lista_CUIT[#All],2,0)),"CUIT NO CARGADO")</f>
        <v>-</v>
      </c>
      <c r="H1729" s="64">
        <f>ventas_b_mes11[[#This Row],[TOTAL]]/1.21</f>
        <v>0</v>
      </c>
      <c r="I1729" s="183">
        <f>ventas_b_mes11[[#This Row],[IMPORTE NETO]]*0.21</f>
        <v>0</v>
      </c>
      <c r="J1729" s="184"/>
      <c r="K1729" s="184"/>
      <c r="L1729" s="184"/>
      <c r="M1729" s="59"/>
    </row>
    <row r="1730" spans="2:13" x14ac:dyDescent="0.3">
      <c r="B1730" s="178"/>
      <c r="C1730" s="179"/>
      <c r="D1730" s="180"/>
      <c r="E1730" s="181"/>
      <c r="F1730" s="182"/>
      <c r="G1730" s="1" t="str">
        <f>IFERROR(IF(ventas_b_mes11[[#This Row],[CUIT]]="","-",VLOOKUP(ventas_b_mes11[[#This Row],[CUIT]],Lista_CUIT[#All],2,0)),"CUIT NO CARGADO")</f>
        <v>-</v>
      </c>
      <c r="H1730" s="64">
        <f>ventas_b_mes11[[#This Row],[TOTAL]]/1.21</f>
        <v>0</v>
      </c>
      <c r="I1730" s="183">
        <f>ventas_b_mes11[[#This Row],[IMPORTE NETO]]*0.21</f>
        <v>0</v>
      </c>
      <c r="J1730" s="184"/>
      <c r="K1730" s="184"/>
      <c r="L1730" s="184"/>
      <c r="M1730" s="59"/>
    </row>
    <row r="1731" spans="2:13" x14ac:dyDescent="0.3">
      <c r="B1731" s="178"/>
      <c r="C1731" s="179"/>
      <c r="D1731" s="180"/>
      <c r="E1731" s="181"/>
      <c r="F1731" s="182"/>
      <c r="G1731" s="1" t="str">
        <f>IFERROR(IF(ventas_b_mes11[[#This Row],[CUIT]]="","-",VLOOKUP(ventas_b_mes11[[#This Row],[CUIT]],Lista_CUIT[#All],2,0)),"CUIT NO CARGADO")</f>
        <v>-</v>
      </c>
      <c r="H1731" s="64">
        <f>ventas_b_mes11[[#This Row],[TOTAL]]/1.21</f>
        <v>0</v>
      </c>
      <c r="I1731" s="183">
        <f>ventas_b_mes11[[#This Row],[IMPORTE NETO]]*0.21</f>
        <v>0</v>
      </c>
      <c r="J1731" s="184"/>
      <c r="K1731" s="184"/>
      <c r="L1731" s="184"/>
      <c r="M1731" s="59"/>
    </row>
    <row r="1732" spans="2:13" x14ac:dyDescent="0.3">
      <c r="B1732" s="178"/>
      <c r="C1732" s="179"/>
      <c r="D1732" s="180"/>
      <c r="E1732" s="181"/>
      <c r="F1732" s="182"/>
      <c r="G1732" s="1" t="str">
        <f>IFERROR(IF(ventas_b_mes11[[#This Row],[CUIT]]="","-",VLOOKUP(ventas_b_mes11[[#This Row],[CUIT]],Lista_CUIT[#All],2,0)),"CUIT NO CARGADO")</f>
        <v>-</v>
      </c>
      <c r="H1732" s="64">
        <f>ventas_b_mes11[[#This Row],[TOTAL]]/1.21</f>
        <v>0</v>
      </c>
      <c r="I1732" s="183">
        <f>ventas_b_mes11[[#This Row],[IMPORTE NETO]]*0.21</f>
        <v>0</v>
      </c>
      <c r="J1732" s="184"/>
      <c r="K1732" s="184"/>
      <c r="L1732" s="184"/>
      <c r="M1732" s="59"/>
    </row>
    <row r="1733" spans="2:13" x14ac:dyDescent="0.3">
      <c r="B1733" s="178"/>
      <c r="C1733" s="179"/>
      <c r="D1733" s="180"/>
      <c r="E1733" s="181"/>
      <c r="F1733" s="182"/>
      <c r="G1733" s="1" t="str">
        <f>IFERROR(IF(ventas_b_mes11[[#This Row],[CUIT]]="","-",VLOOKUP(ventas_b_mes11[[#This Row],[CUIT]],Lista_CUIT[#All],2,0)),"CUIT NO CARGADO")</f>
        <v>-</v>
      </c>
      <c r="H1733" s="64">
        <f>ventas_b_mes11[[#This Row],[TOTAL]]/1.21</f>
        <v>0</v>
      </c>
      <c r="I1733" s="183">
        <f>ventas_b_mes11[[#This Row],[IMPORTE NETO]]*0.21</f>
        <v>0</v>
      </c>
      <c r="J1733" s="184"/>
      <c r="K1733" s="184"/>
      <c r="L1733" s="184"/>
      <c r="M1733" s="59"/>
    </row>
    <row r="1734" spans="2:13" x14ac:dyDescent="0.3">
      <c r="B1734" s="178"/>
      <c r="C1734" s="179"/>
      <c r="D1734" s="180"/>
      <c r="E1734" s="181"/>
      <c r="F1734" s="182"/>
      <c r="G1734" s="1" t="str">
        <f>IFERROR(IF(ventas_b_mes11[[#This Row],[CUIT]]="","-",VLOOKUP(ventas_b_mes11[[#This Row],[CUIT]],Lista_CUIT[#All],2,0)),"CUIT NO CARGADO")</f>
        <v>-</v>
      </c>
      <c r="H1734" s="64">
        <f>ventas_b_mes11[[#This Row],[TOTAL]]/1.21</f>
        <v>0</v>
      </c>
      <c r="I1734" s="183">
        <f>ventas_b_mes11[[#This Row],[IMPORTE NETO]]*0.21</f>
        <v>0</v>
      </c>
      <c r="J1734" s="184"/>
      <c r="K1734" s="184"/>
      <c r="L1734" s="184"/>
      <c r="M1734" s="59"/>
    </row>
    <row r="1735" spans="2:13" x14ac:dyDescent="0.3">
      <c r="B1735" s="178"/>
      <c r="C1735" s="179"/>
      <c r="D1735" s="180"/>
      <c r="E1735" s="181"/>
      <c r="F1735" s="182"/>
      <c r="G1735" s="1" t="str">
        <f>IFERROR(IF(ventas_b_mes11[[#This Row],[CUIT]]="","-",VLOOKUP(ventas_b_mes11[[#This Row],[CUIT]],Lista_CUIT[#All],2,0)),"CUIT NO CARGADO")</f>
        <v>-</v>
      </c>
      <c r="H1735" s="64">
        <f>ventas_b_mes11[[#This Row],[TOTAL]]/1.21</f>
        <v>0</v>
      </c>
      <c r="I1735" s="183">
        <f>ventas_b_mes11[[#This Row],[IMPORTE NETO]]*0.21</f>
        <v>0</v>
      </c>
      <c r="J1735" s="184"/>
      <c r="K1735" s="184"/>
      <c r="L1735" s="184"/>
      <c r="M1735" s="59"/>
    </row>
    <row r="1736" spans="2:13" x14ac:dyDescent="0.3">
      <c r="B1736" s="178"/>
      <c r="C1736" s="179"/>
      <c r="D1736" s="180"/>
      <c r="E1736" s="181"/>
      <c r="F1736" s="182"/>
      <c r="G1736" s="1" t="str">
        <f>IFERROR(IF(ventas_b_mes11[[#This Row],[CUIT]]="","-",VLOOKUP(ventas_b_mes11[[#This Row],[CUIT]],Lista_CUIT[#All],2,0)),"CUIT NO CARGADO")</f>
        <v>-</v>
      </c>
      <c r="H1736" s="64">
        <f>ventas_b_mes11[[#This Row],[TOTAL]]/1.21</f>
        <v>0</v>
      </c>
      <c r="I1736" s="183">
        <f>ventas_b_mes11[[#This Row],[IMPORTE NETO]]*0.21</f>
        <v>0</v>
      </c>
      <c r="J1736" s="184"/>
      <c r="K1736" s="184"/>
      <c r="L1736" s="184"/>
      <c r="M1736" s="59"/>
    </row>
    <row r="1737" spans="2:13" x14ac:dyDescent="0.3">
      <c r="B1737" s="178"/>
      <c r="C1737" s="179"/>
      <c r="D1737" s="180"/>
      <c r="E1737" s="181"/>
      <c r="F1737" s="182"/>
      <c r="G1737" s="1" t="str">
        <f>IFERROR(IF(ventas_b_mes11[[#This Row],[CUIT]]="","-",VLOOKUP(ventas_b_mes11[[#This Row],[CUIT]],Lista_CUIT[#All],2,0)),"CUIT NO CARGADO")</f>
        <v>-</v>
      </c>
      <c r="H1737" s="64">
        <f>ventas_b_mes11[[#This Row],[TOTAL]]/1.21</f>
        <v>0</v>
      </c>
      <c r="I1737" s="183">
        <f>ventas_b_mes11[[#This Row],[IMPORTE NETO]]*0.21</f>
        <v>0</v>
      </c>
      <c r="J1737" s="184"/>
      <c r="K1737" s="184"/>
      <c r="L1737" s="184"/>
      <c r="M1737" s="59"/>
    </row>
    <row r="1738" spans="2:13" x14ac:dyDescent="0.3">
      <c r="B1738" s="178"/>
      <c r="C1738" s="179"/>
      <c r="D1738" s="180"/>
      <c r="E1738" s="181"/>
      <c r="F1738" s="182"/>
      <c r="G1738" s="1" t="str">
        <f>IFERROR(IF(ventas_b_mes11[[#This Row],[CUIT]]="","-",VLOOKUP(ventas_b_mes11[[#This Row],[CUIT]],Lista_CUIT[#All],2,0)),"CUIT NO CARGADO")</f>
        <v>-</v>
      </c>
      <c r="H1738" s="64">
        <f>ventas_b_mes11[[#This Row],[TOTAL]]/1.21</f>
        <v>0</v>
      </c>
      <c r="I1738" s="183">
        <f>ventas_b_mes11[[#This Row],[IMPORTE NETO]]*0.21</f>
        <v>0</v>
      </c>
      <c r="J1738" s="184"/>
      <c r="K1738" s="184"/>
      <c r="L1738" s="184"/>
      <c r="M1738" s="59"/>
    </row>
    <row r="1739" spans="2:13" x14ac:dyDescent="0.3">
      <c r="B1739" s="178"/>
      <c r="C1739" s="179"/>
      <c r="D1739" s="180"/>
      <c r="E1739" s="181"/>
      <c r="F1739" s="182"/>
      <c r="G1739" s="1" t="str">
        <f>IFERROR(IF(ventas_b_mes11[[#This Row],[CUIT]]="","-",VLOOKUP(ventas_b_mes11[[#This Row],[CUIT]],Lista_CUIT[#All],2,0)),"CUIT NO CARGADO")</f>
        <v>-</v>
      </c>
      <c r="H1739" s="64">
        <f>ventas_b_mes11[[#This Row],[TOTAL]]/1.21</f>
        <v>0</v>
      </c>
      <c r="I1739" s="183">
        <f>ventas_b_mes11[[#This Row],[IMPORTE NETO]]*0.21</f>
        <v>0</v>
      </c>
      <c r="J1739" s="184"/>
      <c r="K1739" s="184"/>
      <c r="L1739" s="184"/>
      <c r="M1739" s="59"/>
    </row>
    <row r="1740" spans="2:13" x14ac:dyDescent="0.3">
      <c r="B1740" s="178"/>
      <c r="C1740" s="179"/>
      <c r="D1740" s="180"/>
      <c r="E1740" s="181"/>
      <c r="F1740" s="182"/>
      <c r="G1740" s="1" t="str">
        <f>IFERROR(IF(ventas_b_mes11[[#This Row],[CUIT]]="","-",VLOOKUP(ventas_b_mes11[[#This Row],[CUIT]],Lista_CUIT[#All],2,0)),"CUIT NO CARGADO")</f>
        <v>-</v>
      </c>
      <c r="H1740" s="64">
        <f>ventas_b_mes11[[#This Row],[TOTAL]]/1.21</f>
        <v>0</v>
      </c>
      <c r="I1740" s="183">
        <f>ventas_b_mes11[[#This Row],[IMPORTE NETO]]*0.21</f>
        <v>0</v>
      </c>
      <c r="J1740" s="184"/>
      <c r="K1740" s="184"/>
      <c r="L1740" s="184"/>
      <c r="M1740" s="59"/>
    </row>
    <row r="1741" spans="2:13" x14ac:dyDescent="0.3">
      <c r="B1741" s="178"/>
      <c r="C1741" s="179"/>
      <c r="D1741" s="180"/>
      <c r="E1741" s="181"/>
      <c r="F1741" s="182"/>
      <c r="G1741" s="1" t="str">
        <f>IFERROR(IF(ventas_b_mes11[[#This Row],[CUIT]]="","-",VLOOKUP(ventas_b_mes11[[#This Row],[CUIT]],Lista_CUIT[#All],2,0)),"CUIT NO CARGADO")</f>
        <v>-</v>
      </c>
      <c r="H1741" s="64">
        <f>ventas_b_mes11[[#This Row],[TOTAL]]/1.21</f>
        <v>0</v>
      </c>
      <c r="I1741" s="183">
        <f>ventas_b_mes11[[#This Row],[IMPORTE NETO]]*0.21</f>
        <v>0</v>
      </c>
      <c r="J1741" s="184"/>
      <c r="K1741" s="184"/>
      <c r="L1741" s="184"/>
      <c r="M1741" s="59"/>
    </row>
    <row r="1742" spans="2:13" x14ac:dyDescent="0.3">
      <c r="B1742" s="178"/>
      <c r="C1742" s="179"/>
      <c r="D1742" s="180"/>
      <c r="E1742" s="181"/>
      <c r="F1742" s="182"/>
      <c r="G1742" s="1" t="str">
        <f>IFERROR(IF(ventas_b_mes11[[#This Row],[CUIT]]="","-",VLOOKUP(ventas_b_mes11[[#This Row],[CUIT]],Lista_CUIT[#All],2,0)),"CUIT NO CARGADO")</f>
        <v>-</v>
      </c>
      <c r="H1742" s="64">
        <f>ventas_b_mes11[[#This Row],[TOTAL]]/1.21</f>
        <v>0</v>
      </c>
      <c r="I1742" s="183">
        <f>ventas_b_mes11[[#This Row],[IMPORTE NETO]]*0.21</f>
        <v>0</v>
      </c>
      <c r="J1742" s="184"/>
      <c r="K1742" s="184"/>
      <c r="L1742" s="184"/>
      <c r="M1742" s="59"/>
    </row>
    <row r="1743" spans="2:13" x14ac:dyDescent="0.3">
      <c r="B1743" s="178"/>
      <c r="C1743" s="179"/>
      <c r="D1743" s="180"/>
      <c r="E1743" s="181"/>
      <c r="F1743" s="182"/>
      <c r="G1743" s="1" t="str">
        <f>IFERROR(IF(ventas_b_mes11[[#This Row],[CUIT]]="","-",VLOOKUP(ventas_b_mes11[[#This Row],[CUIT]],Lista_CUIT[#All],2,0)),"CUIT NO CARGADO")</f>
        <v>-</v>
      </c>
      <c r="H1743" s="64">
        <f>ventas_b_mes11[[#This Row],[TOTAL]]/1.21</f>
        <v>0</v>
      </c>
      <c r="I1743" s="183">
        <f>ventas_b_mes11[[#This Row],[IMPORTE NETO]]*0.21</f>
        <v>0</v>
      </c>
      <c r="J1743" s="184"/>
      <c r="K1743" s="184"/>
      <c r="L1743" s="184"/>
      <c r="M1743" s="59"/>
    </row>
    <row r="1744" spans="2:13" x14ac:dyDescent="0.3">
      <c r="B1744" s="178"/>
      <c r="C1744" s="179"/>
      <c r="D1744" s="180"/>
      <c r="E1744" s="181"/>
      <c r="F1744" s="182"/>
      <c r="G1744" s="1" t="str">
        <f>IFERROR(IF(ventas_b_mes11[[#This Row],[CUIT]]="","-",VLOOKUP(ventas_b_mes11[[#This Row],[CUIT]],Lista_CUIT[#All],2,0)),"CUIT NO CARGADO")</f>
        <v>-</v>
      </c>
      <c r="H1744" s="64">
        <f>ventas_b_mes11[[#This Row],[TOTAL]]/1.21</f>
        <v>0</v>
      </c>
      <c r="I1744" s="183">
        <f>ventas_b_mes11[[#This Row],[IMPORTE NETO]]*0.21</f>
        <v>0</v>
      </c>
      <c r="J1744" s="184"/>
      <c r="K1744" s="184"/>
      <c r="L1744" s="184"/>
      <c r="M1744" s="59"/>
    </row>
    <row r="1745" spans="2:13" x14ac:dyDescent="0.3">
      <c r="B1745" s="178"/>
      <c r="C1745" s="179"/>
      <c r="D1745" s="180"/>
      <c r="E1745" s="181"/>
      <c r="F1745" s="182"/>
      <c r="G1745" s="1" t="str">
        <f>IFERROR(IF(ventas_b_mes11[[#This Row],[CUIT]]="","-",VLOOKUP(ventas_b_mes11[[#This Row],[CUIT]],Lista_CUIT[#All],2,0)),"CUIT NO CARGADO")</f>
        <v>-</v>
      </c>
      <c r="H1745" s="64">
        <f>ventas_b_mes11[[#This Row],[TOTAL]]/1.21</f>
        <v>0</v>
      </c>
      <c r="I1745" s="183">
        <f>ventas_b_mes11[[#This Row],[IMPORTE NETO]]*0.21</f>
        <v>0</v>
      </c>
      <c r="J1745" s="184"/>
      <c r="K1745" s="184"/>
      <c r="L1745" s="184"/>
      <c r="M1745" s="59"/>
    </row>
    <row r="1746" spans="2:13" x14ac:dyDescent="0.3">
      <c r="B1746" s="178"/>
      <c r="C1746" s="179"/>
      <c r="D1746" s="180"/>
      <c r="E1746" s="181"/>
      <c r="F1746" s="182"/>
      <c r="G1746" s="1" t="str">
        <f>IFERROR(IF(ventas_b_mes11[[#This Row],[CUIT]]="","-",VLOOKUP(ventas_b_mes11[[#This Row],[CUIT]],Lista_CUIT[#All],2,0)),"CUIT NO CARGADO")</f>
        <v>-</v>
      </c>
      <c r="H1746" s="64">
        <f>ventas_b_mes11[[#This Row],[TOTAL]]/1.21</f>
        <v>0</v>
      </c>
      <c r="I1746" s="183">
        <f>ventas_b_mes11[[#This Row],[IMPORTE NETO]]*0.21</f>
        <v>0</v>
      </c>
      <c r="J1746" s="184"/>
      <c r="K1746" s="184"/>
      <c r="L1746" s="184"/>
      <c r="M1746" s="59"/>
    </row>
    <row r="1747" spans="2:13" x14ac:dyDescent="0.3">
      <c r="B1747" s="178"/>
      <c r="C1747" s="179"/>
      <c r="D1747" s="180"/>
      <c r="E1747" s="181"/>
      <c r="F1747" s="182"/>
      <c r="G1747" s="1" t="str">
        <f>IFERROR(IF(ventas_b_mes11[[#This Row],[CUIT]]="","-",VLOOKUP(ventas_b_mes11[[#This Row],[CUIT]],Lista_CUIT[#All],2,0)),"CUIT NO CARGADO")</f>
        <v>-</v>
      </c>
      <c r="H1747" s="64">
        <f>ventas_b_mes11[[#This Row],[TOTAL]]/1.21</f>
        <v>0</v>
      </c>
      <c r="I1747" s="183">
        <f>ventas_b_mes11[[#This Row],[IMPORTE NETO]]*0.21</f>
        <v>0</v>
      </c>
      <c r="J1747" s="184"/>
      <c r="K1747" s="184"/>
      <c r="L1747" s="184"/>
      <c r="M1747" s="59"/>
    </row>
    <row r="1748" spans="2:13" x14ac:dyDescent="0.3">
      <c r="B1748" s="178"/>
      <c r="C1748" s="179"/>
      <c r="D1748" s="180"/>
      <c r="E1748" s="181"/>
      <c r="F1748" s="182"/>
      <c r="G1748" s="1" t="str">
        <f>IFERROR(IF(ventas_b_mes11[[#This Row],[CUIT]]="","-",VLOOKUP(ventas_b_mes11[[#This Row],[CUIT]],Lista_CUIT[#All],2,0)),"CUIT NO CARGADO")</f>
        <v>-</v>
      </c>
      <c r="H1748" s="64">
        <f>ventas_b_mes11[[#This Row],[TOTAL]]/1.21</f>
        <v>0</v>
      </c>
      <c r="I1748" s="183">
        <f>ventas_b_mes11[[#This Row],[IMPORTE NETO]]*0.21</f>
        <v>0</v>
      </c>
      <c r="J1748" s="184"/>
      <c r="K1748" s="184"/>
      <c r="L1748" s="184"/>
      <c r="M1748" s="59"/>
    </row>
    <row r="1749" spans="2:13" x14ac:dyDescent="0.3">
      <c r="B1749" s="178"/>
      <c r="C1749" s="179"/>
      <c r="D1749" s="180"/>
      <c r="E1749" s="181"/>
      <c r="F1749" s="182"/>
      <c r="G1749" s="1" t="str">
        <f>IFERROR(IF(ventas_b_mes11[[#This Row],[CUIT]]="","-",VLOOKUP(ventas_b_mes11[[#This Row],[CUIT]],Lista_CUIT[#All],2,0)),"CUIT NO CARGADO")</f>
        <v>-</v>
      </c>
      <c r="H1749" s="64">
        <f>ventas_b_mes11[[#This Row],[TOTAL]]/1.21</f>
        <v>0</v>
      </c>
      <c r="I1749" s="183">
        <f>ventas_b_mes11[[#This Row],[IMPORTE NETO]]*0.21</f>
        <v>0</v>
      </c>
      <c r="J1749" s="184"/>
      <c r="K1749" s="184"/>
      <c r="L1749" s="184"/>
      <c r="M1749" s="59"/>
    </row>
    <row r="1750" spans="2:13" x14ac:dyDescent="0.3">
      <c r="B1750" s="178"/>
      <c r="C1750" s="179"/>
      <c r="D1750" s="180"/>
      <c r="E1750" s="181"/>
      <c r="F1750" s="182"/>
      <c r="G1750" s="1" t="str">
        <f>IFERROR(IF(ventas_b_mes11[[#This Row],[CUIT]]="","-",VLOOKUP(ventas_b_mes11[[#This Row],[CUIT]],Lista_CUIT[#All],2,0)),"CUIT NO CARGADO")</f>
        <v>-</v>
      </c>
      <c r="H1750" s="64">
        <f>ventas_b_mes11[[#This Row],[TOTAL]]/1.21</f>
        <v>0</v>
      </c>
      <c r="I1750" s="183">
        <f>ventas_b_mes11[[#This Row],[IMPORTE NETO]]*0.21</f>
        <v>0</v>
      </c>
      <c r="J1750" s="184"/>
      <c r="K1750" s="184"/>
      <c r="L1750" s="184"/>
      <c r="M1750" s="59"/>
    </row>
    <row r="1751" spans="2:13" x14ac:dyDescent="0.3">
      <c r="B1751" s="178"/>
      <c r="C1751" s="179"/>
      <c r="D1751" s="180"/>
      <c r="E1751" s="181"/>
      <c r="F1751" s="182"/>
      <c r="G1751" s="1" t="str">
        <f>IFERROR(IF(ventas_b_mes11[[#This Row],[CUIT]]="","-",VLOOKUP(ventas_b_mes11[[#This Row],[CUIT]],Lista_CUIT[#All],2,0)),"CUIT NO CARGADO")</f>
        <v>-</v>
      </c>
      <c r="H1751" s="64">
        <f>ventas_b_mes11[[#This Row],[TOTAL]]/1.21</f>
        <v>0</v>
      </c>
      <c r="I1751" s="183">
        <f>ventas_b_mes11[[#This Row],[IMPORTE NETO]]*0.21</f>
        <v>0</v>
      </c>
      <c r="J1751" s="184"/>
      <c r="K1751" s="184"/>
      <c r="L1751" s="184"/>
      <c r="M1751" s="59"/>
    </row>
    <row r="1752" spans="2:13" x14ac:dyDescent="0.3">
      <c r="B1752" s="178"/>
      <c r="C1752" s="179"/>
      <c r="D1752" s="180"/>
      <c r="E1752" s="181"/>
      <c r="F1752" s="182"/>
      <c r="G1752" s="1" t="str">
        <f>IFERROR(IF(ventas_b_mes11[[#This Row],[CUIT]]="","-",VLOOKUP(ventas_b_mes11[[#This Row],[CUIT]],Lista_CUIT[#All],2,0)),"CUIT NO CARGADO")</f>
        <v>-</v>
      </c>
      <c r="H1752" s="64">
        <f>ventas_b_mes11[[#This Row],[TOTAL]]/1.21</f>
        <v>0</v>
      </c>
      <c r="I1752" s="183">
        <f>ventas_b_mes11[[#This Row],[IMPORTE NETO]]*0.21</f>
        <v>0</v>
      </c>
      <c r="J1752" s="184"/>
      <c r="K1752" s="184"/>
      <c r="L1752" s="184"/>
      <c r="M1752" s="59"/>
    </row>
    <row r="1753" spans="2:13" x14ac:dyDescent="0.3">
      <c r="B1753" s="178"/>
      <c r="C1753" s="179"/>
      <c r="D1753" s="180"/>
      <c r="E1753" s="181"/>
      <c r="F1753" s="182"/>
      <c r="G1753" s="1" t="str">
        <f>IFERROR(IF(ventas_b_mes11[[#This Row],[CUIT]]="","-",VLOOKUP(ventas_b_mes11[[#This Row],[CUIT]],Lista_CUIT[#All],2,0)),"CUIT NO CARGADO")</f>
        <v>-</v>
      </c>
      <c r="H1753" s="64">
        <f>ventas_b_mes11[[#This Row],[TOTAL]]/1.21</f>
        <v>0</v>
      </c>
      <c r="I1753" s="183">
        <f>ventas_b_mes11[[#This Row],[IMPORTE NETO]]*0.21</f>
        <v>0</v>
      </c>
      <c r="J1753" s="184"/>
      <c r="K1753" s="184"/>
      <c r="L1753" s="184"/>
      <c r="M1753" s="59"/>
    </row>
    <row r="1754" spans="2:13" x14ac:dyDescent="0.3">
      <c r="B1754" s="178"/>
      <c r="C1754" s="179"/>
      <c r="D1754" s="180"/>
      <c r="E1754" s="181"/>
      <c r="F1754" s="182"/>
      <c r="G1754" s="1" t="str">
        <f>IFERROR(IF(ventas_b_mes11[[#This Row],[CUIT]]="","-",VLOOKUP(ventas_b_mes11[[#This Row],[CUIT]],Lista_CUIT[#All],2,0)),"CUIT NO CARGADO")</f>
        <v>-</v>
      </c>
      <c r="H1754" s="64">
        <f>ventas_b_mes11[[#This Row],[TOTAL]]/1.21</f>
        <v>0</v>
      </c>
      <c r="I1754" s="183">
        <f>ventas_b_mes11[[#This Row],[IMPORTE NETO]]*0.21</f>
        <v>0</v>
      </c>
      <c r="J1754" s="184"/>
      <c r="K1754" s="184"/>
      <c r="L1754" s="184"/>
      <c r="M1754" s="59"/>
    </row>
    <row r="1755" spans="2:13" x14ac:dyDescent="0.3">
      <c r="B1755" s="178"/>
      <c r="C1755" s="179"/>
      <c r="D1755" s="180"/>
      <c r="E1755" s="181"/>
      <c r="F1755" s="182"/>
      <c r="G1755" s="1" t="str">
        <f>IFERROR(IF(ventas_b_mes11[[#This Row],[CUIT]]="","-",VLOOKUP(ventas_b_mes11[[#This Row],[CUIT]],Lista_CUIT[#All],2,0)),"CUIT NO CARGADO")</f>
        <v>-</v>
      </c>
      <c r="H1755" s="64">
        <f>ventas_b_mes11[[#This Row],[TOTAL]]/1.21</f>
        <v>0</v>
      </c>
      <c r="I1755" s="183">
        <f>ventas_b_mes11[[#This Row],[IMPORTE NETO]]*0.21</f>
        <v>0</v>
      </c>
      <c r="J1755" s="184"/>
      <c r="K1755" s="184"/>
      <c r="L1755" s="184"/>
      <c r="M1755" s="59"/>
    </row>
    <row r="1756" spans="2:13" x14ac:dyDescent="0.3">
      <c r="B1756" s="178"/>
      <c r="C1756" s="179"/>
      <c r="D1756" s="180"/>
      <c r="E1756" s="181"/>
      <c r="F1756" s="182"/>
      <c r="G1756" s="1" t="str">
        <f>IFERROR(IF(ventas_b_mes11[[#This Row],[CUIT]]="","-",VLOOKUP(ventas_b_mes11[[#This Row],[CUIT]],Lista_CUIT[#All],2,0)),"CUIT NO CARGADO")</f>
        <v>-</v>
      </c>
      <c r="H1756" s="64">
        <f>ventas_b_mes11[[#This Row],[TOTAL]]/1.21</f>
        <v>0</v>
      </c>
      <c r="I1756" s="183">
        <f>ventas_b_mes11[[#This Row],[IMPORTE NETO]]*0.21</f>
        <v>0</v>
      </c>
      <c r="J1756" s="184"/>
      <c r="K1756" s="184"/>
      <c r="L1756" s="184"/>
      <c r="M1756" s="59"/>
    </row>
    <row r="1757" spans="2:13" x14ac:dyDescent="0.3">
      <c r="B1757" s="178"/>
      <c r="C1757" s="179"/>
      <c r="D1757" s="180"/>
      <c r="E1757" s="181"/>
      <c r="F1757" s="182"/>
      <c r="G1757" s="1" t="str">
        <f>IFERROR(IF(ventas_b_mes11[[#This Row],[CUIT]]="","-",VLOOKUP(ventas_b_mes11[[#This Row],[CUIT]],Lista_CUIT[#All],2,0)),"CUIT NO CARGADO")</f>
        <v>-</v>
      </c>
      <c r="H1757" s="64">
        <f>ventas_b_mes11[[#This Row],[TOTAL]]/1.21</f>
        <v>0</v>
      </c>
      <c r="I1757" s="183">
        <f>ventas_b_mes11[[#This Row],[IMPORTE NETO]]*0.21</f>
        <v>0</v>
      </c>
      <c r="J1757" s="184"/>
      <c r="K1757" s="184"/>
      <c r="L1757" s="184"/>
      <c r="M1757" s="59"/>
    </row>
    <row r="1758" spans="2:13" x14ac:dyDescent="0.3">
      <c r="B1758" s="178"/>
      <c r="C1758" s="179"/>
      <c r="D1758" s="180"/>
      <c r="E1758" s="181"/>
      <c r="F1758" s="182"/>
      <c r="G1758" s="1" t="str">
        <f>IFERROR(IF(ventas_b_mes11[[#This Row],[CUIT]]="","-",VLOOKUP(ventas_b_mes11[[#This Row],[CUIT]],Lista_CUIT[#All],2,0)),"CUIT NO CARGADO")</f>
        <v>-</v>
      </c>
      <c r="H1758" s="64">
        <f>ventas_b_mes11[[#This Row],[TOTAL]]/1.21</f>
        <v>0</v>
      </c>
      <c r="I1758" s="183">
        <f>ventas_b_mes11[[#This Row],[IMPORTE NETO]]*0.21</f>
        <v>0</v>
      </c>
      <c r="J1758" s="184"/>
      <c r="K1758" s="184"/>
      <c r="L1758" s="184"/>
      <c r="M1758" s="59"/>
    </row>
    <row r="1759" spans="2:13" x14ac:dyDescent="0.3">
      <c r="B1759" s="178"/>
      <c r="C1759" s="179"/>
      <c r="D1759" s="180"/>
      <c r="E1759" s="181"/>
      <c r="F1759" s="182"/>
      <c r="G1759" s="1" t="str">
        <f>IFERROR(IF(ventas_b_mes11[[#This Row],[CUIT]]="","-",VLOOKUP(ventas_b_mes11[[#This Row],[CUIT]],Lista_CUIT[#All],2,0)),"CUIT NO CARGADO")</f>
        <v>-</v>
      </c>
      <c r="H1759" s="64">
        <f>ventas_b_mes11[[#This Row],[TOTAL]]/1.21</f>
        <v>0</v>
      </c>
      <c r="I1759" s="183">
        <f>ventas_b_mes11[[#This Row],[IMPORTE NETO]]*0.21</f>
        <v>0</v>
      </c>
      <c r="J1759" s="184"/>
      <c r="K1759" s="184"/>
      <c r="L1759" s="184"/>
      <c r="M1759" s="59"/>
    </row>
    <row r="1760" spans="2:13" x14ac:dyDescent="0.3">
      <c r="B1760" s="178"/>
      <c r="C1760" s="179"/>
      <c r="D1760" s="180"/>
      <c r="E1760" s="181"/>
      <c r="F1760" s="182"/>
      <c r="G1760" s="1" t="str">
        <f>IFERROR(IF(ventas_b_mes11[[#This Row],[CUIT]]="","-",VLOOKUP(ventas_b_mes11[[#This Row],[CUIT]],Lista_CUIT[#All],2,0)),"CUIT NO CARGADO")</f>
        <v>-</v>
      </c>
      <c r="H1760" s="64">
        <f>ventas_b_mes11[[#This Row],[TOTAL]]/1.21</f>
        <v>0</v>
      </c>
      <c r="I1760" s="183">
        <f>ventas_b_mes11[[#This Row],[IMPORTE NETO]]*0.21</f>
        <v>0</v>
      </c>
      <c r="J1760" s="184"/>
      <c r="K1760" s="184"/>
      <c r="L1760" s="184"/>
      <c r="M1760" s="59"/>
    </row>
    <row r="1761" spans="2:13" x14ac:dyDescent="0.3">
      <c r="B1761" s="178"/>
      <c r="C1761" s="179"/>
      <c r="D1761" s="180"/>
      <c r="E1761" s="181"/>
      <c r="F1761" s="182"/>
      <c r="G1761" s="1" t="str">
        <f>IFERROR(IF(ventas_b_mes11[[#This Row],[CUIT]]="","-",VLOOKUP(ventas_b_mes11[[#This Row],[CUIT]],Lista_CUIT[#All],2,0)),"CUIT NO CARGADO")</f>
        <v>-</v>
      </c>
      <c r="H1761" s="64">
        <f>ventas_b_mes11[[#This Row],[TOTAL]]/1.21</f>
        <v>0</v>
      </c>
      <c r="I1761" s="183">
        <f>ventas_b_mes11[[#This Row],[IMPORTE NETO]]*0.21</f>
        <v>0</v>
      </c>
      <c r="J1761" s="184"/>
      <c r="K1761" s="184"/>
      <c r="L1761" s="184"/>
      <c r="M1761" s="59"/>
    </row>
    <row r="1762" spans="2:13" x14ac:dyDescent="0.3">
      <c r="B1762" s="178"/>
      <c r="C1762" s="179"/>
      <c r="D1762" s="180"/>
      <c r="E1762" s="181"/>
      <c r="F1762" s="182"/>
      <c r="G1762" s="1" t="str">
        <f>IFERROR(IF(ventas_b_mes11[[#This Row],[CUIT]]="","-",VLOOKUP(ventas_b_mes11[[#This Row],[CUIT]],Lista_CUIT[#All],2,0)),"CUIT NO CARGADO")</f>
        <v>-</v>
      </c>
      <c r="H1762" s="64">
        <f>ventas_b_mes11[[#This Row],[TOTAL]]/1.21</f>
        <v>0</v>
      </c>
      <c r="I1762" s="183">
        <f>ventas_b_mes11[[#This Row],[IMPORTE NETO]]*0.21</f>
        <v>0</v>
      </c>
      <c r="J1762" s="184"/>
      <c r="K1762" s="184"/>
      <c r="L1762" s="184"/>
      <c r="M1762" s="59"/>
    </row>
    <row r="1763" spans="2:13" x14ac:dyDescent="0.3">
      <c r="B1763" s="178"/>
      <c r="C1763" s="179"/>
      <c r="D1763" s="180"/>
      <c r="E1763" s="181"/>
      <c r="F1763" s="182"/>
      <c r="G1763" s="1" t="str">
        <f>IFERROR(IF(ventas_b_mes11[[#This Row],[CUIT]]="","-",VLOOKUP(ventas_b_mes11[[#This Row],[CUIT]],Lista_CUIT[#All],2,0)),"CUIT NO CARGADO")</f>
        <v>-</v>
      </c>
      <c r="H1763" s="64">
        <f>ventas_b_mes11[[#This Row],[TOTAL]]/1.21</f>
        <v>0</v>
      </c>
      <c r="I1763" s="183">
        <f>ventas_b_mes11[[#This Row],[IMPORTE NETO]]*0.21</f>
        <v>0</v>
      </c>
      <c r="J1763" s="184"/>
      <c r="K1763" s="184"/>
      <c r="L1763" s="184"/>
      <c r="M1763" s="59"/>
    </row>
    <row r="1764" spans="2:13" x14ac:dyDescent="0.3">
      <c r="B1764" s="178"/>
      <c r="C1764" s="179"/>
      <c r="D1764" s="180"/>
      <c r="E1764" s="181"/>
      <c r="F1764" s="182"/>
      <c r="G1764" s="1" t="str">
        <f>IFERROR(IF(ventas_b_mes11[[#This Row],[CUIT]]="","-",VLOOKUP(ventas_b_mes11[[#This Row],[CUIT]],Lista_CUIT[#All],2,0)),"CUIT NO CARGADO")</f>
        <v>-</v>
      </c>
      <c r="H1764" s="64">
        <f>ventas_b_mes11[[#This Row],[TOTAL]]/1.21</f>
        <v>0</v>
      </c>
      <c r="I1764" s="183">
        <f>ventas_b_mes11[[#This Row],[IMPORTE NETO]]*0.21</f>
        <v>0</v>
      </c>
      <c r="J1764" s="184"/>
      <c r="K1764" s="184"/>
      <c r="L1764" s="184"/>
      <c r="M1764" s="59"/>
    </row>
    <row r="1765" spans="2:13" x14ac:dyDescent="0.3">
      <c r="B1765" s="178"/>
      <c r="C1765" s="179"/>
      <c r="D1765" s="180"/>
      <c r="E1765" s="181"/>
      <c r="F1765" s="182"/>
      <c r="G1765" s="1" t="str">
        <f>IFERROR(IF(ventas_b_mes11[[#This Row],[CUIT]]="","-",VLOOKUP(ventas_b_mes11[[#This Row],[CUIT]],Lista_CUIT[#All],2,0)),"CUIT NO CARGADO")</f>
        <v>-</v>
      </c>
      <c r="H1765" s="64">
        <f>ventas_b_mes11[[#This Row],[TOTAL]]/1.21</f>
        <v>0</v>
      </c>
      <c r="I1765" s="183">
        <f>ventas_b_mes11[[#This Row],[IMPORTE NETO]]*0.21</f>
        <v>0</v>
      </c>
      <c r="J1765" s="184"/>
      <c r="K1765" s="184"/>
      <c r="L1765" s="184"/>
      <c r="M1765" s="59"/>
    </row>
    <row r="1766" spans="2:13" x14ac:dyDescent="0.3">
      <c r="B1766" s="178"/>
      <c r="C1766" s="179"/>
      <c r="D1766" s="180"/>
      <c r="E1766" s="181"/>
      <c r="F1766" s="182"/>
      <c r="G1766" s="1" t="str">
        <f>IFERROR(IF(ventas_b_mes11[[#This Row],[CUIT]]="","-",VLOOKUP(ventas_b_mes11[[#This Row],[CUIT]],Lista_CUIT[#All],2,0)),"CUIT NO CARGADO")</f>
        <v>-</v>
      </c>
      <c r="H1766" s="64">
        <f>ventas_b_mes11[[#This Row],[TOTAL]]/1.21</f>
        <v>0</v>
      </c>
      <c r="I1766" s="183">
        <f>ventas_b_mes11[[#This Row],[IMPORTE NETO]]*0.21</f>
        <v>0</v>
      </c>
      <c r="J1766" s="184"/>
      <c r="K1766" s="184"/>
      <c r="L1766" s="184"/>
      <c r="M1766" s="59"/>
    </row>
    <row r="1767" spans="2:13" x14ac:dyDescent="0.3">
      <c r="B1767" s="178"/>
      <c r="C1767" s="179"/>
      <c r="D1767" s="180"/>
      <c r="E1767" s="181"/>
      <c r="F1767" s="182"/>
      <c r="G1767" s="1" t="str">
        <f>IFERROR(IF(ventas_b_mes11[[#This Row],[CUIT]]="","-",VLOOKUP(ventas_b_mes11[[#This Row],[CUIT]],Lista_CUIT[#All],2,0)),"CUIT NO CARGADO")</f>
        <v>-</v>
      </c>
      <c r="H1767" s="64">
        <f>ventas_b_mes11[[#This Row],[TOTAL]]/1.21</f>
        <v>0</v>
      </c>
      <c r="I1767" s="183">
        <f>ventas_b_mes11[[#This Row],[IMPORTE NETO]]*0.21</f>
        <v>0</v>
      </c>
      <c r="J1767" s="184"/>
      <c r="K1767" s="184"/>
      <c r="L1767" s="184"/>
      <c r="M1767" s="59"/>
    </row>
    <row r="1768" spans="2:13" x14ac:dyDescent="0.3">
      <c r="B1768" s="178"/>
      <c r="C1768" s="179"/>
      <c r="D1768" s="180"/>
      <c r="E1768" s="181"/>
      <c r="F1768" s="182"/>
      <c r="G1768" s="1" t="str">
        <f>IFERROR(IF(ventas_b_mes11[[#This Row],[CUIT]]="","-",VLOOKUP(ventas_b_mes11[[#This Row],[CUIT]],Lista_CUIT[#All],2,0)),"CUIT NO CARGADO")</f>
        <v>-</v>
      </c>
      <c r="H1768" s="64">
        <f>ventas_b_mes11[[#This Row],[TOTAL]]/1.21</f>
        <v>0</v>
      </c>
      <c r="I1768" s="183">
        <f>ventas_b_mes11[[#This Row],[IMPORTE NETO]]*0.21</f>
        <v>0</v>
      </c>
      <c r="J1768" s="184"/>
      <c r="K1768" s="184"/>
      <c r="L1768" s="184"/>
      <c r="M1768" s="59"/>
    </row>
    <row r="1769" spans="2:13" x14ac:dyDescent="0.3">
      <c r="B1769" s="178"/>
      <c r="C1769" s="179"/>
      <c r="D1769" s="180"/>
      <c r="E1769" s="181"/>
      <c r="F1769" s="182"/>
      <c r="G1769" s="1" t="str">
        <f>IFERROR(IF(ventas_b_mes11[[#This Row],[CUIT]]="","-",VLOOKUP(ventas_b_mes11[[#This Row],[CUIT]],Lista_CUIT[#All],2,0)),"CUIT NO CARGADO")</f>
        <v>-</v>
      </c>
      <c r="H1769" s="64">
        <f>ventas_b_mes11[[#This Row],[TOTAL]]/1.21</f>
        <v>0</v>
      </c>
      <c r="I1769" s="183">
        <f>ventas_b_mes11[[#This Row],[IMPORTE NETO]]*0.21</f>
        <v>0</v>
      </c>
      <c r="J1769" s="184"/>
      <c r="K1769" s="184"/>
      <c r="L1769" s="184"/>
      <c r="M1769" s="59"/>
    </row>
    <row r="1770" spans="2:13" x14ac:dyDescent="0.3">
      <c r="B1770" s="178"/>
      <c r="C1770" s="179"/>
      <c r="D1770" s="180"/>
      <c r="E1770" s="181"/>
      <c r="F1770" s="182"/>
      <c r="G1770" s="1" t="str">
        <f>IFERROR(IF(ventas_b_mes11[[#This Row],[CUIT]]="","-",VLOOKUP(ventas_b_mes11[[#This Row],[CUIT]],Lista_CUIT[#All],2,0)),"CUIT NO CARGADO")</f>
        <v>-</v>
      </c>
      <c r="H1770" s="64">
        <f>ventas_b_mes11[[#This Row],[TOTAL]]/1.21</f>
        <v>0</v>
      </c>
      <c r="I1770" s="183">
        <f>ventas_b_mes11[[#This Row],[IMPORTE NETO]]*0.21</f>
        <v>0</v>
      </c>
      <c r="J1770" s="184"/>
      <c r="K1770" s="184"/>
      <c r="L1770" s="184"/>
      <c r="M1770" s="59"/>
    </row>
    <row r="1771" spans="2:13" x14ac:dyDescent="0.3">
      <c r="B1771" s="178"/>
      <c r="C1771" s="179"/>
      <c r="D1771" s="180"/>
      <c r="E1771" s="181"/>
      <c r="F1771" s="182"/>
      <c r="G1771" s="1" t="str">
        <f>IFERROR(IF(ventas_b_mes11[[#This Row],[CUIT]]="","-",VLOOKUP(ventas_b_mes11[[#This Row],[CUIT]],Lista_CUIT[#All],2,0)),"CUIT NO CARGADO")</f>
        <v>-</v>
      </c>
      <c r="H1771" s="64">
        <f>ventas_b_mes11[[#This Row],[TOTAL]]/1.21</f>
        <v>0</v>
      </c>
      <c r="I1771" s="183">
        <f>ventas_b_mes11[[#This Row],[IMPORTE NETO]]*0.21</f>
        <v>0</v>
      </c>
      <c r="J1771" s="184"/>
      <c r="K1771" s="184"/>
      <c r="L1771" s="184"/>
      <c r="M1771" s="59"/>
    </row>
    <row r="1772" spans="2:13" x14ac:dyDescent="0.3">
      <c r="B1772" s="178"/>
      <c r="C1772" s="179"/>
      <c r="D1772" s="180"/>
      <c r="E1772" s="181"/>
      <c r="F1772" s="182"/>
      <c r="G1772" s="1" t="str">
        <f>IFERROR(IF(ventas_b_mes11[[#This Row],[CUIT]]="","-",VLOOKUP(ventas_b_mes11[[#This Row],[CUIT]],Lista_CUIT[#All],2,0)),"CUIT NO CARGADO")</f>
        <v>-</v>
      </c>
      <c r="H1772" s="64">
        <f>ventas_b_mes11[[#This Row],[TOTAL]]/1.21</f>
        <v>0</v>
      </c>
      <c r="I1772" s="183">
        <f>ventas_b_mes11[[#This Row],[IMPORTE NETO]]*0.21</f>
        <v>0</v>
      </c>
      <c r="J1772" s="184"/>
      <c r="K1772" s="184"/>
      <c r="L1772" s="184"/>
      <c r="M1772" s="59"/>
    </row>
    <row r="1773" spans="2:13" x14ac:dyDescent="0.3">
      <c r="B1773" s="178"/>
      <c r="C1773" s="179"/>
      <c r="D1773" s="180"/>
      <c r="E1773" s="181"/>
      <c r="F1773" s="182"/>
      <c r="G1773" s="1" t="str">
        <f>IFERROR(IF(ventas_b_mes11[[#This Row],[CUIT]]="","-",VLOOKUP(ventas_b_mes11[[#This Row],[CUIT]],Lista_CUIT[#All],2,0)),"CUIT NO CARGADO")</f>
        <v>-</v>
      </c>
      <c r="H1773" s="64">
        <f>ventas_b_mes11[[#This Row],[TOTAL]]/1.21</f>
        <v>0</v>
      </c>
      <c r="I1773" s="183">
        <f>ventas_b_mes11[[#This Row],[IMPORTE NETO]]*0.21</f>
        <v>0</v>
      </c>
      <c r="J1773" s="184"/>
      <c r="K1773" s="184"/>
      <c r="L1773" s="184"/>
      <c r="M1773" s="59"/>
    </row>
    <row r="1774" spans="2:13" x14ac:dyDescent="0.3">
      <c r="B1774" s="178"/>
      <c r="C1774" s="179"/>
      <c r="D1774" s="180"/>
      <c r="E1774" s="181"/>
      <c r="F1774" s="182"/>
      <c r="G1774" s="1" t="str">
        <f>IFERROR(IF(ventas_b_mes11[[#This Row],[CUIT]]="","-",VLOOKUP(ventas_b_mes11[[#This Row],[CUIT]],Lista_CUIT[#All],2,0)),"CUIT NO CARGADO")</f>
        <v>-</v>
      </c>
      <c r="H1774" s="64">
        <f>ventas_b_mes11[[#This Row],[TOTAL]]/1.21</f>
        <v>0</v>
      </c>
      <c r="I1774" s="183">
        <f>ventas_b_mes11[[#This Row],[IMPORTE NETO]]*0.21</f>
        <v>0</v>
      </c>
      <c r="J1774" s="184"/>
      <c r="K1774" s="184"/>
      <c r="L1774" s="184"/>
      <c r="M1774" s="59"/>
    </row>
    <row r="1775" spans="2:13" x14ac:dyDescent="0.3">
      <c r="B1775" s="178"/>
      <c r="C1775" s="179"/>
      <c r="D1775" s="180"/>
      <c r="E1775" s="181"/>
      <c r="F1775" s="182"/>
      <c r="G1775" s="1" t="str">
        <f>IFERROR(IF(ventas_b_mes11[[#This Row],[CUIT]]="","-",VLOOKUP(ventas_b_mes11[[#This Row],[CUIT]],Lista_CUIT[#All],2,0)),"CUIT NO CARGADO")</f>
        <v>-</v>
      </c>
      <c r="H1775" s="64">
        <f>ventas_b_mes11[[#This Row],[TOTAL]]/1.21</f>
        <v>0</v>
      </c>
      <c r="I1775" s="183">
        <f>ventas_b_mes11[[#This Row],[IMPORTE NETO]]*0.21</f>
        <v>0</v>
      </c>
      <c r="J1775" s="184"/>
      <c r="K1775" s="184"/>
      <c r="L1775" s="184"/>
      <c r="M1775" s="59"/>
    </row>
    <row r="1776" spans="2:13" x14ac:dyDescent="0.3">
      <c r="B1776" s="178"/>
      <c r="C1776" s="179"/>
      <c r="D1776" s="180"/>
      <c r="E1776" s="181"/>
      <c r="F1776" s="182"/>
      <c r="G1776" s="1" t="str">
        <f>IFERROR(IF(ventas_b_mes11[[#This Row],[CUIT]]="","-",VLOOKUP(ventas_b_mes11[[#This Row],[CUIT]],Lista_CUIT[#All],2,0)),"CUIT NO CARGADO")</f>
        <v>-</v>
      </c>
      <c r="H1776" s="64">
        <f>ventas_b_mes11[[#This Row],[TOTAL]]/1.21</f>
        <v>0</v>
      </c>
      <c r="I1776" s="183">
        <f>ventas_b_mes11[[#This Row],[IMPORTE NETO]]*0.21</f>
        <v>0</v>
      </c>
      <c r="J1776" s="184"/>
      <c r="K1776" s="184"/>
      <c r="L1776" s="184"/>
      <c r="M1776" s="59"/>
    </row>
    <row r="1777" spans="2:13" x14ac:dyDescent="0.3">
      <c r="B1777" s="178"/>
      <c r="C1777" s="179"/>
      <c r="D1777" s="180"/>
      <c r="E1777" s="181"/>
      <c r="F1777" s="182"/>
      <c r="G1777" s="1" t="str">
        <f>IFERROR(IF(ventas_b_mes11[[#This Row],[CUIT]]="","-",VLOOKUP(ventas_b_mes11[[#This Row],[CUIT]],Lista_CUIT[#All],2,0)),"CUIT NO CARGADO")</f>
        <v>-</v>
      </c>
      <c r="H1777" s="64">
        <f>ventas_b_mes11[[#This Row],[TOTAL]]/1.21</f>
        <v>0</v>
      </c>
      <c r="I1777" s="183">
        <f>ventas_b_mes11[[#This Row],[IMPORTE NETO]]*0.21</f>
        <v>0</v>
      </c>
      <c r="J1777" s="184"/>
      <c r="K1777" s="184"/>
      <c r="L1777" s="184"/>
      <c r="M1777" s="59"/>
    </row>
    <row r="1778" spans="2:13" x14ac:dyDescent="0.3">
      <c r="B1778" s="178"/>
      <c r="C1778" s="179"/>
      <c r="D1778" s="180"/>
      <c r="E1778" s="181"/>
      <c r="F1778" s="182"/>
      <c r="G1778" s="1" t="str">
        <f>IFERROR(IF(ventas_b_mes11[[#This Row],[CUIT]]="","-",VLOOKUP(ventas_b_mes11[[#This Row],[CUIT]],Lista_CUIT[#All],2,0)),"CUIT NO CARGADO")</f>
        <v>-</v>
      </c>
      <c r="H1778" s="64">
        <f>ventas_b_mes11[[#This Row],[TOTAL]]/1.21</f>
        <v>0</v>
      </c>
      <c r="I1778" s="183">
        <f>ventas_b_mes11[[#This Row],[IMPORTE NETO]]*0.21</f>
        <v>0</v>
      </c>
      <c r="J1778" s="184"/>
      <c r="K1778" s="184"/>
      <c r="L1778" s="184"/>
      <c r="M1778" s="59"/>
    </row>
    <row r="1779" spans="2:13" x14ac:dyDescent="0.3">
      <c r="B1779" s="178"/>
      <c r="C1779" s="179"/>
      <c r="D1779" s="180"/>
      <c r="E1779" s="181"/>
      <c r="F1779" s="182"/>
      <c r="G1779" s="1" t="str">
        <f>IFERROR(IF(ventas_b_mes11[[#This Row],[CUIT]]="","-",VLOOKUP(ventas_b_mes11[[#This Row],[CUIT]],Lista_CUIT[#All],2,0)),"CUIT NO CARGADO")</f>
        <v>-</v>
      </c>
      <c r="H1779" s="64">
        <f>ventas_b_mes11[[#This Row],[TOTAL]]/1.21</f>
        <v>0</v>
      </c>
      <c r="I1779" s="183">
        <f>ventas_b_mes11[[#This Row],[IMPORTE NETO]]*0.21</f>
        <v>0</v>
      </c>
      <c r="J1779" s="184"/>
      <c r="K1779" s="184"/>
      <c r="L1779" s="184"/>
      <c r="M1779" s="59"/>
    </row>
    <row r="1780" spans="2:13" x14ac:dyDescent="0.3">
      <c r="B1780" s="178"/>
      <c r="C1780" s="179"/>
      <c r="D1780" s="180"/>
      <c r="E1780" s="181"/>
      <c r="F1780" s="182"/>
      <c r="G1780" s="1" t="str">
        <f>IFERROR(IF(ventas_b_mes11[[#This Row],[CUIT]]="","-",VLOOKUP(ventas_b_mes11[[#This Row],[CUIT]],Lista_CUIT[#All],2,0)),"CUIT NO CARGADO")</f>
        <v>-</v>
      </c>
      <c r="H1780" s="64">
        <f>ventas_b_mes11[[#This Row],[TOTAL]]/1.21</f>
        <v>0</v>
      </c>
      <c r="I1780" s="183">
        <f>ventas_b_mes11[[#This Row],[IMPORTE NETO]]*0.21</f>
        <v>0</v>
      </c>
      <c r="J1780" s="184"/>
      <c r="K1780" s="184"/>
      <c r="L1780" s="184"/>
      <c r="M1780" s="59"/>
    </row>
    <row r="1781" spans="2:13" x14ac:dyDescent="0.3">
      <c r="B1781" s="178"/>
      <c r="C1781" s="179"/>
      <c r="D1781" s="180"/>
      <c r="E1781" s="181"/>
      <c r="F1781" s="182"/>
      <c r="G1781" s="1" t="str">
        <f>IFERROR(IF(ventas_b_mes11[[#This Row],[CUIT]]="","-",VLOOKUP(ventas_b_mes11[[#This Row],[CUIT]],Lista_CUIT[#All],2,0)),"CUIT NO CARGADO")</f>
        <v>-</v>
      </c>
      <c r="H1781" s="64">
        <f>ventas_b_mes11[[#This Row],[TOTAL]]/1.21</f>
        <v>0</v>
      </c>
      <c r="I1781" s="183">
        <f>ventas_b_mes11[[#This Row],[IMPORTE NETO]]*0.21</f>
        <v>0</v>
      </c>
      <c r="J1781" s="184"/>
      <c r="K1781" s="184"/>
      <c r="L1781" s="184"/>
      <c r="M1781" s="59"/>
    </row>
    <row r="1782" spans="2:13" x14ac:dyDescent="0.3">
      <c r="B1782" s="178"/>
      <c r="C1782" s="179"/>
      <c r="D1782" s="180"/>
      <c r="E1782" s="181"/>
      <c r="F1782" s="182"/>
      <c r="G1782" s="1" t="str">
        <f>IFERROR(IF(ventas_b_mes11[[#This Row],[CUIT]]="","-",VLOOKUP(ventas_b_mes11[[#This Row],[CUIT]],Lista_CUIT[#All],2,0)),"CUIT NO CARGADO")</f>
        <v>-</v>
      </c>
      <c r="H1782" s="64">
        <f>ventas_b_mes11[[#This Row],[TOTAL]]/1.21</f>
        <v>0</v>
      </c>
      <c r="I1782" s="183">
        <f>ventas_b_mes11[[#This Row],[IMPORTE NETO]]*0.21</f>
        <v>0</v>
      </c>
      <c r="J1782" s="184"/>
      <c r="K1782" s="184"/>
      <c r="L1782" s="184"/>
      <c r="M1782" s="59"/>
    </row>
    <row r="1783" spans="2:13" x14ac:dyDescent="0.3">
      <c r="B1783" s="178"/>
      <c r="C1783" s="179"/>
      <c r="D1783" s="180"/>
      <c r="E1783" s="181"/>
      <c r="F1783" s="182"/>
      <c r="G1783" s="1" t="str">
        <f>IFERROR(IF(ventas_b_mes11[[#This Row],[CUIT]]="","-",VLOOKUP(ventas_b_mes11[[#This Row],[CUIT]],Lista_CUIT[#All],2,0)),"CUIT NO CARGADO")</f>
        <v>-</v>
      </c>
      <c r="H1783" s="64">
        <f>ventas_b_mes11[[#This Row],[TOTAL]]/1.21</f>
        <v>0</v>
      </c>
      <c r="I1783" s="183">
        <f>ventas_b_mes11[[#This Row],[IMPORTE NETO]]*0.21</f>
        <v>0</v>
      </c>
      <c r="J1783" s="184"/>
      <c r="K1783" s="184"/>
      <c r="L1783" s="184"/>
      <c r="M1783" s="59"/>
    </row>
    <row r="1784" spans="2:13" x14ac:dyDescent="0.3">
      <c r="B1784" s="178"/>
      <c r="C1784" s="179"/>
      <c r="D1784" s="180"/>
      <c r="E1784" s="181"/>
      <c r="F1784" s="182"/>
      <c r="G1784" s="1" t="str">
        <f>IFERROR(IF(ventas_b_mes11[[#This Row],[CUIT]]="","-",VLOOKUP(ventas_b_mes11[[#This Row],[CUIT]],Lista_CUIT[#All],2,0)),"CUIT NO CARGADO")</f>
        <v>-</v>
      </c>
      <c r="H1784" s="64">
        <f>ventas_b_mes11[[#This Row],[TOTAL]]/1.21</f>
        <v>0</v>
      </c>
      <c r="I1784" s="183">
        <f>ventas_b_mes11[[#This Row],[IMPORTE NETO]]*0.21</f>
        <v>0</v>
      </c>
      <c r="J1784" s="184"/>
      <c r="K1784" s="184"/>
      <c r="L1784" s="184"/>
      <c r="M1784" s="59"/>
    </row>
    <row r="1785" spans="2:13" x14ac:dyDescent="0.3">
      <c r="B1785" s="178"/>
      <c r="C1785" s="179"/>
      <c r="D1785" s="180"/>
      <c r="E1785" s="181"/>
      <c r="F1785" s="182"/>
      <c r="G1785" s="1" t="str">
        <f>IFERROR(IF(ventas_b_mes11[[#This Row],[CUIT]]="","-",VLOOKUP(ventas_b_mes11[[#This Row],[CUIT]],Lista_CUIT[#All],2,0)),"CUIT NO CARGADO")</f>
        <v>-</v>
      </c>
      <c r="H1785" s="64">
        <f>ventas_b_mes11[[#This Row],[TOTAL]]/1.21</f>
        <v>0</v>
      </c>
      <c r="I1785" s="183">
        <f>ventas_b_mes11[[#This Row],[IMPORTE NETO]]*0.21</f>
        <v>0</v>
      </c>
      <c r="J1785" s="184"/>
      <c r="K1785" s="184"/>
      <c r="L1785" s="184"/>
      <c r="M1785" s="59"/>
    </row>
    <row r="1786" spans="2:13" x14ac:dyDescent="0.3">
      <c r="B1786" s="178"/>
      <c r="C1786" s="179"/>
      <c r="D1786" s="180"/>
      <c r="E1786" s="181"/>
      <c r="F1786" s="182"/>
      <c r="G1786" s="1" t="str">
        <f>IFERROR(IF(ventas_b_mes11[[#This Row],[CUIT]]="","-",VLOOKUP(ventas_b_mes11[[#This Row],[CUIT]],Lista_CUIT[#All],2,0)),"CUIT NO CARGADO")</f>
        <v>-</v>
      </c>
      <c r="H1786" s="64">
        <f>ventas_b_mes11[[#This Row],[TOTAL]]/1.21</f>
        <v>0</v>
      </c>
      <c r="I1786" s="183">
        <f>ventas_b_mes11[[#This Row],[IMPORTE NETO]]*0.21</f>
        <v>0</v>
      </c>
      <c r="J1786" s="184"/>
      <c r="K1786" s="184"/>
      <c r="L1786" s="184"/>
      <c r="M1786" s="59"/>
    </row>
    <row r="1787" spans="2:13" x14ac:dyDescent="0.3">
      <c r="B1787" s="178"/>
      <c r="C1787" s="179"/>
      <c r="D1787" s="180"/>
      <c r="E1787" s="181"/>
      <c r="F1787" s="182"/>
      <c r="G1787" s="1" t="str">
        <f>IFERROR(IF(ventas_b_mes11[[#This Row],[CUIT]]="","-",VLOOKUP(ventas_b_mes11[[#This Row],[CUIT]],Lista_CUIT[#All],2,0)),"CUIT NO CARGADO")</f>
        <v>-</v>
      </c>
      <c r="H1787" s="64">
        <f>ventas_b_mes11[[#This Row],[TOTAL]]/1.21</f>
        <v>0</v>
      </c>
      <c r="I1787" s="183">
        <f>ventas_b_mes11[[#This Row],[IMPORTE NETO]]*0.21</f>
        <v>0</v>
      </c>
      <c r="J1787" s="184"/>
      <c r="K1787" s="184"/>
      <c r="L1787" s="184"/>
      <c r="M1787" s="59"/>
    </row>
    <row r="1788" spans="2:13" x14ac:dyDescent="0.3">
      <c r="B1788" s="178"/>
      <c r="C1788" s="179"/>
      <c r="D1788" s="180"/>
      <c r="E1788" s="181"/>
      <c r="F1788" s="182"/>
      <c r="G1788" s="1" t="str">
        <f>IFERROR(IF(ventas_b_mes11[[#This Row],[CUIT]]="","-",VLOOKUP(ventas_b_mes11[[#This Row],[CUIT]],Lista_CUIT[#All],2,0)),"CUIT NO CARGADO")</f>
        <v>-</v>
      </c>
      <c r="H1788" s="64">
        <f>ventas_b_mes11[[#This Row],[TOTAL]]/1.21</f>
        <v>0</v>
      </c>
      <c r="I1788" s="183">
        <f>ventas_b_mes11[[#This Row],[IMPORTE NETO]]*0.21</f>
        <v>0</v>
      </c>
      <c r="J1788" s="184"/>
      <c r="K1788" s="184"/>
      <c r="L1788" s="184"/>
      <c r="M1788" s="59"/>
    </row>
    <row r="1789" spans="2:13" x14ac:dyDescent="0.3">
      <c r="B1789" s="178"/>
      <c r="C1789" s="179"/>
      <c r="D1789" s="180"/>
      <c r="E1789" s="181"/>
      <c r="F1789" s="182"/>
      <c r="G1789" s="1" t="str">
        <f>IFERROR(IF(ventas_b_mes11[[#This Row],[CUIT]]="","-",VLOOKUP(ventas_b_mes11[[#This Row],[CUIT]],Lista_CUIT[#All],2,0)),"CUIT NO CARGADO")</f>
        <v>-</v>
      </c>
      <c r="H1789" s="64">
        <f>ventas_b_mes11[[#This Row],[TOTAL]]/1.21</f>
        <v>0</v>
      </c>
      <c r="I1789" s="183">
        <f>ventas_b_mes11[[#This Row],[IMPORTE NETO]]*0.21</f>
        <v>0</v>
      </c>
      <c r="J1789" s="184"/>
      <c r="K1789" s="184"/>
      <c r="L1789" s="184"/>
      <c r="M1789" s="59"/>
    </row>
    <row r="1790" spans="2:13" x14ac:dyDescent="0.3">
      <c r="B1790" s="178"/>
      <c r="C1790" s="179"/>
      <c r="D1790" s="180"/>
      <c r="E1790" s="181"/>
      <c r="F1790" s="182"/>
      <c r="G1790" s="1" t="str">
        <f>IFERROR(IF(ventas_b_mes11[[#This Row],[CUIT]]="","-",VLOOKUP(ventas_b_mes11[[#This Row],[CUIT]],Lista_CUIT[#All],2,0)),"CUIT NO CARGADO")</f>
        <v>-</v>
      </c>
      <c r="H1790" s="64">
        <f>ventas_b_mes11[[#This Row],[TOTAL]]/1.21</f>
        <v>0</v>
      </c>
      <c r="I1790" s="183">
        <f>ventas_b_mes11[[#This Row],[IMPORTE NETO]]*0.21</f>
        <v>0</v>
      </c>
      <c r="J1790" s="184"/>
      <c r="K1790" s="184"/>
      <c r="L1790" s="184"/>
      <c r="M1790" s="59"/>
    </row>
    <row r="1791" spans="2:13" x14ac:dyDescent="0.3">
      <c r="B1791" s="178"/>
      <c r="C1791" s="179"/>
      <c r="D1791" s="180"/>
      <c r="E1791" s="181"/>
      <c r="F1791" s="182"/>
      <c r="G1791" s="1" t="str">
        <f>IFERROR(IF(ventas_b_mes11[[#This Row],[CUIT]]="","-",VLOOKUP(ventas_b_mes11[[#This Row],[CUIT]],Lista_CUIT[#All],2,0)),"CUIT NO CARGADO")</f>
        <v>-</v>
      </c>
      <c r="H1791" s="64">
        <f>ventas_b_mes11[[#This Row],[TOTAL]]/1.21</f>
        <v>0</v>
      </c>
      <c r="I1791" s="183">
        <f>ventas_b_mes11[[#This Row],[IMPORTE NETO]]*0.21</f>
        <v>0</v>
      </c>
      <c r="J1791" s="184"/>
      <c r="K1791" s="184"/>
      <c r="L1791" s="184"/>
      <c r="M1791" s="59"/>
    </row>
    <row r="1792" spans="2:13" x14ac:dyDescent="0.3">
      <c r="B1792" s="178"/>
      <c r="C1792" s="179"/>
      <c r="D1792" s="180"/>
      <c r="E1792" s="181"/>
      <c r="F1792" s="182"/>
      <c r="G1792" s="1" t="str">
        <f>IFERROR(IF(ventas_b_mes11[[#This Row],[CUIT]]="","-",VLOOKUP(ventas_b_mes11[[#This Row],[CUIT]],Lista_CUIT[#All],2,0)),"CUIT NO CARGADO")</f>
        <v>-</v>
      </c>
      <c r="H1792" s="64">
        <f>ventas_b_mes11[[#This Row],[TOTAL]]/1.21</f>
        <v>0</v>
      </c>
      <c r="I1792" s="183">
        <f>ventas_b_mes11[[#This Row],[IMPORTE NETO]]*0.21</f>
        <v>0</v>
      </c>
      <c r="J1792" s="184"/>
      <c r="K1792" s="184"/>
      <c r="L1792" s="184"/>
      <c r="M1792" s="59"/>
    </row>
    <row r="1793" spans="2:13" x14ac:dyDescent="0.3">
      <c r="B1793" s="178"/>
      <c r="C1793" s="179"/>
      <c r="D1793" s="180"/>
      <c r="E1793" s="181"/>
      <c r="F1793" s="182"/>
      <c r="G1793" s="1" t="str">
        <f>IFERROR(IF(ventas_b_mes11[[#This Row],[CUIT]]="","-",VLOOKUP(ventas_b_mes11[[#This Row],[CUIT]],Lista_CUIT[#All],2,0)),"CUIT NO CARGADO")</f>
        <v>-</v>
      </c>
      <c r="H1793" s="64">
        <f>ventas_b_mes11[[#This Row],[TOTAL]]/1.21</f>
        <v>0</v>
      </c>
      <c r="I1793" s="183">
        <f>ventas_b_mes11[[#This Row],[IMPORTE NETO]]*0.21</f>
        <v>0</v>
      </c>
      <c r="J1793" s="184"/>
      <c r="K1793" s="184"/>
      <c r="L1793" s="184"/>
      <c r="M1793" s="59"/>
    </row>
    <row r="1794" spans="2:13" x14ac:dyDescent="0.3">
      <c r="B1794" s="178"/>
      <c r="C1794" s="179"/>
      <c r="D1794" s="180"/>
      <c r="E1794" s="181"/>
      <c r="F1794" s="182"/>
      <c r="G1794" s="1" t="str">
        <f>IFERROR(IF(ventas_b_mes11[[#This Row],[CUIT]]="","-",VLOOKUP(ventas_b_mes11[[#This Row],[CUIT]],Lista_CUIT[#All],2,0)),"CUIT NO CARGADO")</f>
        <v>-</v>
      </c>
      <c r="H1794" s="64">
        <f>ventas_b_mes11[[#This Row],[TOTAL]]/1.21</f>
        <v>0</v>
      </c>
      <c r="I1794" s="183">
        <f>ventas_b_mes11[[#This Row],[IMPORTE NETO]]*0.21</f>
        <v>0</v>
      </c>
      <c r="J1794" s="184"/>
      <c r="K1794" s="184"/>
      <c r="L1794" s="184"/>
      <c r="M1794" s="59"/>
    </row>
    <row r="1795" spans="2:13" x14ac:dyDescent="0.3">
      <c r="B1795" s="178"/>
      <c r="C1795" s="179"/>
      <c r="D1795" s="180"/>
      <c r="E1795" s="181"/>
      <c r="F1795" s="182"/>
      <c r="G1795" s="1" t="str">
        <f>IFERROR(IF(ventas_b_mes11[[#This Row],[CUIT]]="","-",VLOOKUP(ventas_b_mes11[[#This Row],[CUIT]],Lista_CUIT[#All],2,0)),"CUIT NO CARGADO")</f>
        <v>-</v>
      </c>
      <c r="H1795" s="64">
        <f>ventas_b_mes11[[#This Row],[TOTAL]]/1.21</f>
        <v>0</v>
      </c>
      <c r="I1795" s="183">
        <f>ventas_b_mes11[[#This Row],[IMPORTE NETO]]*0.21</f>
        <v>0</v>
      </c>
      <c r="J1795" s="184"/>
      <c r="K1795" s="184"/>
      <c r="L1795" s="184"/>
      <c r="M1795" s="59"/>
    </row>
    <row r="1796" spans="2:13" x14ac:dyDescent="0.3">
      <c r="B1796" s="178"/>
      <c r="C1796" s="179"/>
      <c r="D1796" s="180"/>
      <c r="E1796" s="181"/>
      <c r="F1796" s="182"/>
      <c r="G1796" s="1" t="str">
        <f>IFERROR(IF(ventas_b_mes11[[#This Row],[CUIT]]="","-",VLOOKUP(ventas_b_mes11[[#This Row],[CUIT]],Lista_CUIT[#All],2,0)),"CUIT NO CARGADO")</f>
        <v>-</v>
      </c>
      <c r="H1796" s="64">
        <f>ventas_b_mes11[[#This Row],[TOTAL]]/1.21</f>
        <v>0</v>
      </c>
      <c r="I1796" s="183">
        <f>ventas_b_mes11[[#This Row],[IMPORTE NETO]]*0.21</f>
        <v>0</v>
      </c>
      <c r="J1796" s="184"/>
      <c r="K1796" s="184"/>
      <c r="L1796" s="184"/>
      <c r="M1796" s="59"/>
    </row>
    <row r="1797" spans="2:13" x14ac:dyDescent="0.3">
      <c r="B1797" s="178"/>
      <c r="C1797" s="179"/>
      <c r="D1797" s="180"/>
      <c r="E1797" s="181"/>
      <c r="F1797" s="182"/>
      <c r="G1797" s="1" t="str">
        <f>IFERROR(IF(ventas_b_mes11[[#This Row],[CUIT]]="","-",VLOOKUP(ventas_b_mes11[[#This Row],[CUIT]],Lista_CUIT[#All],2,0)),"CUIT NO CARGADO")</f>
        <v>-</v>
      </c>
      <c r="H1797" s="64">
        <f>ventas_b_mes11[[#This Row],[TOTAL]]/1.21</f>
        <v>0</v>
      </c>
      <c r="I1797" s="183">
        <f>ventas_b_mes11[[#This Row],[IMPORTE NETO]]*0.21</f>
        <v>0</v>
      </c>
      <c r="J1797" s="184"/>
      <c r="K1797" s="184"/>
      <c r="L1797" s="184"/>
      <c r="M1797" s="59"/>
    </row>
    <row r="1798" spans="2:13" x14ac:dyDescent="0.3">
      <c r="B1798" s="178"/>
      <c r="C1798" s="179"/>
      <c r="D1798" s="180"/>
      <c r="E1798" s="181"/>
      <c r="F1798" s="182"/>
      <c r="G1798" s="1" t="str">
        <f>IFERROR(IF(ventas_b_mes11[[#This Row],[CUIT]]="","-",VLOOKUP(ventas_b_mes11[[#This Row],[CUIT]],Lista_CUIT[#All],2,0)),"CUIT NO CARGADO")</f>
        <v>-</v>
      </c>
      <c r="H1798" s="64">
        <f>ventas_b_mes11[[#This Row],[TOTAL]]/1.21</f>
        <v>0</v>
      </c>
      <c r="I1798" s="183">
        <f>ventas_b_mes11[[#This Row],[IMPORTE NETO]]*0.21</f>
        <v>0</v>
      </c>
      <c r="J1798" s="184"/>
      <c r="K1798" s="184"/>
      <c r="L1798" s="184"/>
      <c r="M1798" s="59"/>
    </row>
    <row r="1799" spans="2:13" x14ac:dyDescent="0.3">
      <c r="B1799" s="178"/>
      <c r="C1799" s="179"/>
      <c r="D1799" s="180"/>
      <c r="E1799" s="181"/>
      <c r="F1799" s="182"/>
      <c r="G1799" s="1" t="str">
        <f>IFERROR(IF(ventas_b_mes11[[#This Row],[CUIT]]="","-",VLOOKUP(ventas_b_mes11[[#This Row],[CUIT]],Lista_CUIT[#All],2,0)),"CUIT NO CARGADO")</f>
        <v>-</v>
      </c>
      <c r="H1799" s="64">
        <f>ventas_b_mes11[[#This Row],[TOTAL]]/1.21</f>
        <v>0</v>
      </c>
      <c r="I1799" s="183">
        <f>ventas_b_mes11[[#This Row],[IMPORTE NETO]]*0.21</f>
        <v>0</v>
      </c>
      <c r="J1799" s="184"/>
      <c r="K1799" s="184"/>
      <c r="L1799" s="184"/>
      <c r="M1799" s="59"/>
    </row>
    <row r="1800" spans="2:13" x14ac:dyDescent="0.3">
      <c r="B1800" s="178"/>
      <c r="C1800" s="179"/>
      <c r="D1800" s="180"/>
      <c r="E1800" s="181"/>
      <c r="F1800" s="182"/>
      <c r="G1800" s="1" t="str">
        <f>IFERROR(IF(ventas_b_mes11[[#This Row],[CUIT]]="","-",VLOOKUP(ventas_b_mes11[[#This Row],[CUIT]],Lista_CUIT[#All],2,0)),"CUIT NO CARGADO")</f>
        <v>-</v>
      </c>
      <c r="H1800" s="64">
        <f>ventas_b_mes11[[#This Row],[TOTAL]]/1.21</f>
        <v>0</v>
      </c>
      <c r="I1800" s="183">
        <f>ventas_b_mes11[[#This Row],[IMPORTE NETO]]*0.21</f>
        <v>0</v>
      </c>
      <c r="J1800" s="184"/>
      <c r="K1800" s="184"/>
      <c r="L1800" s="184"/>
      <c r="M1800" s="59"/>
    </row>
    <row r="1801" spans="2:13" x14ac:dyDescent="0.3">
      <c r="B1801" s="178"/>
      <c r="C1801" s="179"/>
      <c r="D1801" s="180"/>
      <c r="E1801" s="181"/>
      <c r="F1801" s="182"/>
      <c r="G1801" s="1" t="str">
        <f>IFERROR(IF(ventas_b_mes11[[#This Row],[CUIT]]="","-",VLOOKUP(ventas_b_mes11[[#This Row],[CUIT]],Lista_CUIT[#All],2,0)),"CUIT NO CARGADO")</f>
        <v>-</v>
      </c>
      <c r="H1801" s="64">
        <f>ventas_b_mes11[[#This Row],[TOTAL]]/1.21</f>
        <v>0</v>
      </c>
      <c r="I1801" s="183">
        <f>ventas_b_mes11[[#This Row],[IMPORTE NETO]]*0.21</f>
        <v>0</v>
      </c>
      <c r="J1801" s="184"/>
      <c r="K1801" s="184"/>
      <c r="L1801" s="184"/>
      <c r="M1801" s="59"/>
    </row>
    <row r="1802" spans="2:13" x14ac:dyDescent="0.3">
      <c r="B1802" s="178"/>
      <c r="C1802" s="179"/>
      <c r="D1802" s="180"/>
      <c r="E1802" s="181"/>
      <c r="F1802" s="182"/>
      <c r="G1802" s="1" t="str">
        <f>IFERROR(IF(ventas_b_mes11[[#This Row],[CUIT]]="","-",VLOOKUP(ventas_b_mes11[[#This Row],[CUIT]],Lista_CUIT[#All],2,0)),"CUIT NO CARGADO")</f>
        <v>-</v>
      </c>
      <c r="H1802" s="64">
        <f>ventas_b_mes11[[#This Row],[TOTAL]]/1.21</f>
        <v>0</v>
      </c>
      <c r="I1802" s="183">
        <f>ventas_b_mes11[[#This Row],[IMPORTE NETO]]*0.21</f>
        <v>0</v>
      </c>
      <c r="J1802" s="184"/>
      <c r="K1802" s="184"/>
      <c r="L1802" s="184"/>
      <c r="M1802" s="59"/>
    </row>
    <row r="1803" spans="2:13" x14ac:dyDescent="0.3">
      <c r="B1803" s="178"/>
      <c r="C1803" s="179"/>
      <c r="D1803" s="180"/>
      <c r="E1803" s="181"/>
      <c r="F1803" s="182"/>
      <c r="G1803" s="1" t="str">
        <f>IFERROR(IF(ventas_b_mes11[[#This Row],[CUIT]]="","-",VLOOKUP(ventas_b_mes11[[#This Row],[CUIT]],Lista_CUIT[#All],2,0)),"CUIT NO CARGADO")</f>
        <v>-</v>
      </c>
      <c r="H1803" s="64">
        <f>ventas_b_mes11[[#This Row],[TOTAL]]/1.21</f>
        <v>0</v>
      </c>
      <c r="I1803" s="183">
        <f>ventas_b_mes11[[#This Row],[IMPORTE NETO]]*0.21</f>
        <v>0</v>
      </c>
      <c r="J1803" s="184"/>
      <c r="K1803" s="184"/>
      <c r="L1803" s="184"/>
      <c r="M1803" s="59"/>
    </row>
    <row r="1804" spans="2:13" x14ac:dyDescent="0.3">
      <c r="B1804" s="178"/>
      <c r="C1804" s="179"/>
      <c r="D1804" s="180"/>
      <c r="E1804" s="181"/>
      <c r="F1804" s="182"/>
      <c r="G1804" s="1" t="str">
        <f>IFERROR(IF(ventas_b_mes11[[#This Row],[CUIT]]="","-",VLOOKUP(ventas_b_mes11[[#This Row],[CUIT]],Lista_CUIT[#All],2,0)),"CUIT NO CARGADO")</f>
        <v>-</v>
      </c>
      <c r="H1804" s="64">
        <f>ventas_b_mes11[[#This Row],[TOTAL]]/1.21</f>
        <v>0</v>
      </c>
      <c r="I1804" s="183">
        <f>ventas_b_mes11[[#This Row],[IMPORTE NETO]]*0.21</f>
        <v>0</v>
      </c>
      <c r="J1804" s="184"/>
      <c r="K1804" s="184"/>
      <c r="L1804" s="184"/>
      <c r="M1804" s="59"/>
    </row>
    <row r="1805" spans="2:13" x14ac:dyDescent="0.3">
      <c r="B1805" s="178"/>
      <c r="C1805" s="179"/>
      <c r="D1805" s="180"/>
      <c r="E1805" s="181"/>
      <c r="F1805" s="182"/>
      <c r="G1805" s="1" t="str">
        <f>IFERROR(IF(ventas_b_mes11[[#This Row],[CUIT]]="","-",VLOOKUP(ventas_b_mes11[[#This Row],[CUIT]],Lista_CUIT[#All],2,0)),"CUIT NO CARGADO")</f>
        <v>-</v>
      </c>
      <c r="H1805" s="64">
        <f>ventas_b_mes11[[#This Row],[TOTAL]]/1.21</f>
        <v>0</v>
      </c>
      <c r="I1805" s="183">
        <f>ventas_b_mes11[[#This Row],[IMPORTE NETO]]*0.21</f>
        <v>0</v>
      </c>
      <c r="J1805" s="184"/>
      <c r="K1805" s="184"/>
      <c r="L1805" s="184"/>
      <c r="M1805" s="59"/>
    </row>
    <row r="1806" spans="2:13" x14ac:dyDescent="0.3">
      <c r="B1806" s="178"/>
      <c r="C1806" s="179"/>
      <c r="D1806" s="180"/>
      <c r="E1806" s="181"/>
      <c r="F1806" s="182"/>
      <c r="G1806" s="1" t="str">
        <f>IFERROR(IF(ventas_b_mes11[[#This Row],[CUIT]]="","-",VLOOKUP(ventas_b_mes11[[#This Row],[CUIT]],Lista_CUIT[#All],2,0)),"CUIT NO CARGADO")</f>
        <v>-</v>
      </c>
      <c r="H1806" s="64">
        <f>ventas_b_mes11[[#This Row],[TOTAL]]/1.21</f>
        <v>0</v>
      </c>
      <c r="I1806" s="183">
        <f>ventas_b_mes11[[#This Row],[IMPORTE NETO]]*0.21</f>
        <v>0</v>
      </c>
      <c r="J1806" s="184"/>
      <c r="K1806" s="184"/>
      <c r="L1806" s="184"/>
      <c r="M1806" s="59"/>
    </row>
    <row r="1807" spans="2:13" x14ac:dyDescent="0.3">
      <c r="B1807" s="178"/>
      <c r="C1807" s="179"/>
      <c r="D1807" s="180"/>
      <c r="E1807" s="181"/>
      <c r="F1807" s="182"/>
      <c r="G1807" s="1" t="str">
        <f>IFERROR(IF(ventas_b_mes11[[#This Row],[CUIT]]="","-",VLOOKUP(ventas_b_mes11[[#This Row],[CUIT]],Lista_CUIT[#All],2,0)),"CUIT NO CARGADO")</f>
        <v>-</v>
      </c>
      <c r="H1807" s="64">
        <f>ventas_b_mes11[[#This Row],[TOTAL]]/1.21</f>
        <v>0</v>
      </c>
      <c r="I1807" s="183">
        <f>ventas_b_mes11[[#This Row],[IMPORTE NETO]]*0.21</f>
        <v>0</v>
      </c>
      <c r="J1807" s="184"/>
      <c r="K1807" s="184"/>
      <c r="L1807" s="184"/>
      <c r="M1807" s="59"/>
    </row>
    <row r="1808" spans="2:13" x14ac:dyDescent="0.3">
      <c r="B1808" s="178"/>
      <c r="C1808" s="179"/>
      <c r="D1808" s="180"/>
      <c r="E1808" s="181"/>
      <c r="F1808" s="182"/>
      <c r="G1808" s="1" t="str">
        <f>IFERROR(IF(ventas_b_mes11[[#This Row],[CUIT]]="","-",VLOOKUP(ventas_b_mes11[[#This Row],[CUIT]],Lista_CUIT[#All],2,0)),"CUIT NO CARGADO")</f>
        <v>-</v>
      </c>
      <c r="H1808" s="64">
        <f>ventas_b_mes11[[#This Row],[TOTAL]]/1.21</f>
        <v>0</v>
      </c>
      <c r="I1808" s="183">
        <f>ventas_b_mes11[[#This Row],[IMPORTE NETO]]*0.21</f>
        <v>0</v>
      </c>
      <c r="J1808" s="184"/>
      <c r="K1808" s="184"/>
      <c r="L1808" s="184"/>
      <c r="M1808" s="59"/>
    </row>
    <row r="1809" spans="2:13" x14ac:dyDescent="0.3">
      <c r="B1809" s="178"/>
      <c r="C1809" s="179"/>
      <c r="D1809" s="180"/>
      <c r="E1809" s="181"/>
      <c r="F1809" s="182"/>
      <c r="G1809" s="1" t="str">
        <f>IFERROR(IF(ventas_b_mes11[[#This Row],[CUIT]]="","-",VLOOKUP(ventas_b_mes11[[#This Row],[CUIT]],Lista_CUIT[#All],2,0)),"CUIT NO CARGADO")</f>
        <v>-</v>
      </c>
      <c r="H1809" s="64">
        <f>ventas_b_mes11[[#This Row],[TOTAL]]/1.21</f>
        <v>0</v>
      </c>
      <c r="I1809" s="183">
        <f>ventas_b_mes11[[#This Row],[IMPORTE NETO]]*0.21</f>
        <v>0</v>
      </c>
      <c r="J1809" s="184"/>
      <c r="K1809" s="184"/>
      <c r="L1809" s="184"/>
      <c r="M1809" s="59"/>
    </row>
    <row r="1810" spans="2:13" x14ac:dyDescent="0.3">
      <c r="B1810" s="178"/>
      <c r="C1810" s="179"/>
      <c r="D1810" s="180"/>
      <c r="E1810" s="181"/>
      <c r="F1810" s="182"/>
      <c r="G1810" s="1" t="str">
        <f>IFERROR(IF(ventas_b_mes11[[#This Row],[CUIT]]="","-",VLOOKUP(ventas_b_mes11[[#This Row],[CUIT]],Lista_CUIT[#All],2,0)),"CUIT NO CARGADO")</f>
        <v>-</v>
      </c>
      <c r="H1810" s="64">
        <f>ventas_b_mes11[[#This Row],[TOTAL]]/1.21</f>
        <v>0</v>
      </c>
      <c r="I1810" s="183">
        <f>ventas_b_mes11[[#This Row],[IMPORTE NETO]]*0.21</f>
        <v>0</v>
      </c>
      <c r="J1810" s="184"/>
      <c r="K1810" s="184"/>
      <c r="L1810" s="184"/>
      <c r="M1810" s="59"/>
    </row>
    <row r="1811" spans="2:13" x14ac:dyDescent="0.3">
      <c r="B1811" s="178"/>
      <c r="C1811" s="179"/>
      <c r="D1811" s="180"/>
      <c r="E1811" s="181"/>
      <c r="F1811" s="182"/>
      <c r="G1811" s="1" t="str">
        <f>IFERROR(IF(ventas_b_mes11[[#This Row],[CUIT]]="","-",VLOOKUP(ventas_b_mes11[[#This Row],[CUIT]],Lista_CUIT[#All],2,0)),"CUIT NO CARGADO")</f>
        <v>-</v>
      </c>
      <c r="H1811" s="64">
        <f>ventas_b_mes11[[#This Row],[TOTAL]]/1.21</f>
        <v>0</v>
      </c>
      <c r="I1811" s="183">
        <f>ventas_b_mes11[[#This Row],[IMPORTE NETO]]*0.21</f>
        <v>0</v>
      </c>
      <c r="J1811" s="184"/>
      <c r="K1811" s="184"/>
      <c r="L1811" s="184"/>
      <c r="M1811" s="59"/>
    </row>
    <row r="1812" spans="2:13" x14ac:dyDescent="0.3">
      <c r="B1812" s="178"/>
      <c r="C1812" s="179"/>
      <c r="D1812" s="180"/>
      <c r="E1812" s="181"/>
      <c r="F1812" s="182"/>
      <c r="G1812" s="1" t="str">
        <f>IFERROR(IF(ventas_b_mes11[[#This Row],[CUIT]]="","-",VLOOKUP(ventas_b_mes11[[#This Row],[CUIT]],Lista_CUIT[#All],2,0)),"CUIT NO CARGADO")</f>
        <v>-</v>
      </c>
      <c r="H1812" s="64">
        <f>ventas_b_mes11[[#This Row],[TOTAL]]/1.21</f>
        <v>0</v>
      </c>
      <c r="I1812" s="183">
        <f>ventas_b_mes11[[#This Row],[IMPORTE NETO]]*0.21</f>
        <v>0</v>
      </c>
      <c r="J1812" s="184"/>
      <c r="K1812" s="184"/>
      <c r="L1812" s="184"/>
      <c r="M1812" s="59"/>
    </row>
    <row r="1813" spans="2:13" x14ac:dyDescent="0.3">
      <c r="B1813" s="178"/>
      <c r="C1813" s="179"/>
      <c r="D1813" s="180"/>
      <c r="E1813" s="181"/>
      <c r="F1813" s="182"/>
      <c r="G1813" s="1" t="str">
        <f>IFERROR(IF(ventas_b_mes11[[#This Row],[CUIT]]="","-",VLOOKUP(ventas_b_mes11[[#This Row],[CUIT]],Lista_CUIT[#All],2,0)),"CUIT NO CARGADO")</f>
        <v>-</v>
      </c>
      <c r="H1813" s="64">
        <f>ventas_b_mes11[[#This Row],[TOTAL]]/1.21</f>
        <v>0</v>
      </c>
      <c r="I1813" s="183">
        <f>ventas_b_mes11[[#This Row],[IMPORTE NETO]]*0.21</f>
        <v>0</v>
      </c>
      <c r="J1813" s="184"/>
      <c r="K1813" s="184"/>
      <c r="L1813" s="184"/>
      <c r="M1813" s="59"/>
    </row>
    <row r="1814" spans="2:13" x14ac:dyDescent="0.3">
      <c r="B1814" s="178"/>
      <c r="C1814" s="179"/>
      <c r="D1814" s="180"/>
      <c r="E1814" s="181"/>
      <c r="F1814" s="182"/>
      <c r="G1814" s="1" t="str">
        <f>IFERROR(IF(ventas_b_mes11[[#This Row],[CUIT]]="","-",VLOOKUP(ventas_b_mes11[[#This Row],[CUIT]],Lista_CUIT[#All],2,0)),"CUIT NO CARGADO")</f>
        <v>-</v>
      </c>
      <c r="H1814" s="64">
        <f>ventas_b_mes11[[#This Row],[TOTAL]]/1.21</f>
        <v>0</v>
      </c>
      <c r="I1814" s="183">
        <f>ventas_b_mes11[[#This Row],[IMPORTE NETO]]*0.21</f>
        <v>0</v>
      </c>
      <c r="J1814" s="184"/>
      <c r="K1814" s="184"/>
      <c r="L1814" s="184"/>
      <c r="M1814" s="59"/>
    </row>
    <row r="1815" spans="2:13" x14ac:dyDescent="0.3">
      <c r="B1815" s="178"/>
      <c r="C1815" s="179"/>
      <c r="D1815" s="180"/>
      <c r="E1815" s="181"/>
      <c r="F1815" s="182"/>
      <c r="G1815" s="1" t="str">
        <f>IFERROR(IF(ventas_b_mes11[[#This Row],[CUIT]]="","-",VLOOKUP(ventas_b_mes11[[#This Row],[CUIT]],Lista_CUIT[#All],2,0)),"CUIT NO CARGADO")</f>
        <v>-</v>
      </c>
      <c r="H1815" s="64">
        <f>ventas_b_mes11[[#This Row],[TOTAL]]/1.21</f>
        <v>0</v>
      </c>
      <c r="I1815" s="183">
        <f>ventas_b_mes11[[#This Row],[IMPORTE NETO]]*0.21</f>
        <v>0</v>
      </c>
      <c r="J1815" s="184"/>
      <c r="K1815" s="184"/>
      <c r="L1815" s="184"/>
      <c r="M1815" s="59"/>
    </row>
    <row r="1816" spans="2:13" x14ac:dyDescent="0.3">
      <c r="B1816" s="178"/>
      <c r="C1816" s="179"/>
      <c r="D1816" s="180"/>
      <c r="E1816" s="181"/>
      <c r="F1816" s="182"/>
      <c r="G1816" s="1" t="str">
        <f>IFERROR(IF(ventas_b_mes11[[#This Row],[CUIT]]="","-",VLOOKUP(ventas_b_mes11[[#This Row],[CUIT]],Lista_CUIT[#All],2,0)),"CUIT NO CARGADO")</f>
        <v>-</v>
      </c>
      <c r="H1816" s="64">
        <f>ventas_b_mes11[[#This Row],[TOTAL]]/1.21</f>
        <v>0</v>
      </c>
      <c r="I1816" s="183">
        <f>ventas_b_mes11[[#This Row],[IMPORTE NETO]]*0.21</f>
        <v>0</v>
      </c>
      <c r="J1816" s="184"/>
      <c r="K1816" s="184"/>
      <c r="L1816" s="184"/>
      <c r="M1816" s="59"/>
    </row>
    <row r="1817" spans="2:13" x14ac:dyDescent="0.3">
      <c r="B1817" s="178"/>
      <c r="C1817" s="179"/>
      <c r="D1817" s="180"/>
      <c r="E1817" s="181"/>
      <c r="F1817" s="182"/>
      <c r="G1817" s="1" t="str">
        <f>IFERROR(IF(ventas_b_mes11[[#This Row],[CUIT]]="","-",VLOOKUP(ventas_b_mes11[[#This Row],[CUIT]],Lista_CUIT[#All],2,0)),"CUIT NO CARGADO")</f>
        <v>-</v>
      </c>
      <c r="H1817" s="64">
        <f>ventas_b_mes11[[#This Row],[TOTAL]]/1.21</f>
        <v>0</v>
      </c>
      <c r="I1817" s="183">
        <f>ventas_b_mes11[[#This Row],[IMPORTE NETO]]*0.21</f>
        <v>0</v>
      </c>
      <c r="J1817" s="184"/>
      <c r="K1817" s="184"/>
      <c r="L1817" s="184"/>
      <c r="M1817" s="59"/>
    </row>
    <row r="1818" spans="2:13" x14ac:dyDescent="0.3">
      <c r="B1818" s="178"/>
      <c r="C1818" s="179"/>
      <c r="D1818" s="180"/>
      <c r="E1818" s="181"/>
      <c r="F1818" s="182"/>
      <c r="G1818" s="1" t="str">
        <f>IFERROR(IF(ventas_b_mes11[[#This Row],[CUIT]]="","-",VLOOKUP(ventas_b_mes11[[#This Row],[CUIT]],Lista_CUIT[#All],2,0)),"CUIT NO CARGADO")</f>
        <v>-</v>
      </c>
      <c r="H1818" s="64">
        <f>ventas_b_mes11[[#This Row],[TOTAL]]/1.21</f>
        <v>0</v>
      </c>
      <c r="I1818" s="183">
        <f>ventas_b_mes11[[#This Row],[IMPORTE NETO]]*0.21</f>
        <v>0</v>
      </c>
      <c r="J1818" s="184"/>
      <c r="K1818" s="184"/>
      <c r="L1818" s="184"/>
      <c r="M1818" s="59"/>
    </row>
    <row r="1819" spans="2:13" x14ac:dyDescent="0.3">
      <c r="B1819" s="178"/>
      <c r="C1819" s="179"/>
      <c r="D1819" s="180"/>
      <c r="E1819" s="181"/>
      <c r="F1819" s="182"/>
      <c r="G1819" s="1" t="str">
        <f>IFERROR(IF(ventas_b_mes11[[#This Row],[CUIT]]="","-",VLOOKUP(ventas_b_mes11[[#This Row],[CUIT]],Lista_CUIT[#All],2,0)),"CUIT NO CARGADO")</f>
        <v>-</v>
      </c>
      <c r="H1819" s="64">
        <f>ventas_b_mes11[[#This Row],[TOTAL]]/1.21</f>
        <v>0</v>
      </c>
      <c r="I1819" s="183">
        <f>ventas_b_mes11[[#This Row],[IMPORTE NETO]]*0.21</f>
        <v>0</v>
      </c>
      <c r="J1819" s="184"/>
      <c r="K1819" s="184"/>
      <c r="L1819" s="184"/>
      <c r="M1819" s="59"/>
    </row>
    <row r="1820" spans="2:13" x14ac:dyDescent="0.3">
      <c r="B1820" s="178"/>
      <c r="C1820" s="179"/>
      <c r="D1820" s="180"/>
      <c r="E1820" s="181"/>
      <c r="F1820" s="182"/>
      <c r="G1820" s="1" t="str">
        <f>IFERROR(IF(ventas_b_mes11[[#This Row],[CUIT]]="","-",VLOOKUP(ventas_b_mes11[[#This Row],[CUIT]],Lista_CUIT[#All],2,0)),"CUIT NO CARGADO")</f>
        <v>-</v>
      </c>
      <c r="H1820" s="64">
        <f>ventas_b_mes11[[#This Row],[TOTAL]]/1.21</f>
        <v>0</v>
      </c>
      <c r="I1820" s="183">
        <f>ventas_b_mes11[[#This Row],[IMPORTE NETO]]*0.21</f>
        <v>0</v>
      </c>
      <c r="J1820" s="184"/>
      <c r="K1820" s="184"/>
      <c r="L1820" s="184"/>
      <c r="M1820" s="59"/>
    </row>
    <row r="1821" spans="2:13" x14ac:dyDescent="0.3">
      <c r="B1821" s="178"/>
      <c r="C1821" s="179"/>
      <c r="D1821" s="180"/>
      <c r="E1821" s="181"/>
      <c r="F1821" s="182"/>
      <c r="G1821" s="1" t="str">
        <f>IFERROR(IF(ventas_b_mes11[[#This Row],[CUIT]]="","-",VLOOKUP(ventas_b_mes11[[#This Row],[CUIT]],Lista_CUIT[#All],2,0)),"CUIT NO CARGADO")</f>
        <v>-</v>
      </c>
      <c r="H1821" s="64">
        <f>ventas_b_mes11[[#This Row],[TOTAL]]/1.21</f>
        <v>0</v>
      </c>
      <c r="I1821" s="183">
        <f>ventas_b_mes11[[#This Row],[IMPORTE NETO]]*0.21</f>
        <v>0</v>
      </c>
      <c r="J1821" s="184"/>
      <c r="K1821" s="184"/>
      <c r="L1821" s="184"/>
      <c r="M1821" s="59"/>
    </row>
    <row r="1822" spans="2:13" x14ac:dyDescent="0.3">
      <c r="B1822" s="178"/>
      <c r="C1822" s="179"/>
      <c r="D1822" s="180"/>
      <c r="E1822" s="181"/>
      <c r="F1822" s="182"/>
      <c r="G1822" s="1" t="str">
        <f>IFERROR(IF(ventas_b_mes11[[#This Row],[CUIT]]="","-",VLOOKUP(ventas_b_mes11[[#This Row],[CUIT]],Lista_CUIT[#All],2,0)),"CUIT NO CARGADO")</f>
        <v>-</v>
      </c>
      <c r="H1822" s="64">
        <f>ventas_b_mes11[[#This Row],[TOTAL]]/1.21</f>
        <v>0</v>
      </c>
      <c r="I1822" s="183">
        <f>ventas_b_mes11[[#This Row],[IMPORTE NETO]]*0.21</f>
        <v>0</v>
      </c>
      <c r="J1822" s="184"/>
      <c r="K1822" s="184"/>
      <c r="L1822" s="184"/>
      <c r="M1822" s="59"/>
    </row>
    <row r="1823" spans="2:13" x14ac:dyDescent="0.3">
      <c r="B1823" s="178"/>
      <c r="C1823" s="179"/>
      <c r="D1823" s="180"/>
      <c r="E1823" s="181"/>
      <c r="F1823" s="182"/>
      <c r="G1823" s="1" t="str">
        <f>IFERROR(IF(ventas_b_mes11[[#This Row],[CUIT]]="","-",VLOOKUP(ventas_b_mes11[[#This Row],[CUIT]],Lista_CUIT[#All],2,0)),"CUIT NO CARGADO")</f>
        <v>-</v>
      </c>
      <c r="H1823" s="64">
        <f>ventas_b_mes11[[#This Row],[TOTAL]]/1.21</f>
        <v>0</v>
      </c>
      <c r="I1823" s="183">
        <f>ventas_b_mes11[[#This Row],[IMPORTE NETO]]*0.21</f>
        <v>0</v>
      </c>
      <c r="J1823" s="184"/>
      <c r="K1823" s="184"/>
      <c r="L1823" s="184"/>
      <c r="M1823" s="59"/>
    </row>
    <row r="1824" spans="2:13" x14ac:dyDescent="0.3">
      <c r="B1824" s="178"/>
      <c r="C1824" s="179"/>
      <c r="D1824" s="180"/>
      <c r="E1824" s="181"/>
      <c r="F1824" s="182"/>
      <c r="G1824" s="1" t="str">
        <f>IFERROR(IF(ventas_b_mes11[[#This Row],[CUIT]]="","-",VLOOKUP(ventas_b_mes11[[#This Row],[CUIT]],Lista_CUIT[#All],2,0)),"CUIT NO CARGADO")</f>
        <v>-</v>
      </c>
      <c r="H1824" s="64">
        <f>ventas_b_mes11[[#This Row],[TOTAL]]/1.21</f>
        <v>0</v>
      </c>
      <c r="I1824" s="183">
        <f>ventas_b_mes11[[#This Row],[IMPORTE NETO]]*0.21</f>
        <v>0</v>
      </c>
      <c r="J1824" s="184"/>
      <c r="K1824" s="184"/>
      <c r="L1824" s="184"/>
      <c r="M1824" s="59"/>
    </row>
    <row r="1825" spans="2:13" x14ac:dyDescent="0.3">
      <c r="B1825" s="178"/>
      <c r="C1825" s="179"/>
      <c r="D1825" s="180"/>
      <c r="E1825" s="181"/>
      <c r="F1825" s="182"/>
      <c r="G1825" s="1" t="str">
        <f>IFERROR(IF(ventas_b_mes11[[#This Row],[CUIT]]="","-",VLOOKUP(ventas_b_mes11[[#This Row],[CUIT]],Lista_CUIT[#All],2,0)),"CUIT NO CARGADO")</f>
        <v>-</v>
      </c>
      <c r="H1825" s="64">
        <f>ventas_b_mes11[[#This Row],[TOTAL]]/1.21</f>
        <v>0</v>
      </c>
      <c r="I1825" s="183">
        <f>ventas_b_mes11[[#This Row],[IMPORTE NETO]]*0.21</f>
        <v>0</v>
      </c>
      <c r="J1825" s="184"/>
      <c r="K1825" s="184"/>
      <c r="L1825" s="184"/>
      <c r="M1825" s="59"/>
    </row>
    <row r="1826" spans="2:13" x14ac:dyDescent="0.3">
      <c r="B1826" s="178"/>
      <c r="C1826" s="179"/>
      <c r="D1826" s="180"/>
      <c r="E1826" s="181"/>
      <c r="F1826" s="182"/>
      <c r="G1826" s="1" t="str">
        <f>IFERROR(IF(ventas_b_mes11[[#This Row],[CUIT]]="","-",VLOOKUP(ventas_b_mes11[[#This Row],[CUIT]],Lista_CUIT[#All],2,0)),"CUIT NO CARGADO")</f>
        <v>-</v>
      </c>
      <c r="H1826" s="64">
        <f>ventas_b_mes11[[#This Row],[TOTAL]]/1.21</f>
        <v>0</v>
      </c>
      <c r="I1826" s="183">
        <f>ventas_b_mes11[[#This Row],[IMPORTE NETO]]*0.21</f>
        <v>0</v>
      </c>
      <c r="J1826" s="184"/>
      <c r="K1826" s="184"/>
      <c r="L1826" s="184"/>
      <c r="M1826" s="59"/>
    </row>
    <row r="1827" spans="2:13" x14ac:dyDescent="0.3">
      <c r="B1827" s="178"/>
      <c r="C1827" s="179"/>
      <c r="D1827" s="180"/>
      <c r="E1827" s="181"/>
      <c r="F1827" s="182"/>
      <c r="G1827" s="1" t="str">
        <f>IFERROR(IF(ventas_b_mes11[[#This Row],[CUIT]]="","-",VLOOKUP(ventas_b_mes11[[#This Row],[CUIT]],Lista_CUIT[#All],2,0)),"CUIT NO CARGADO")</f>
        <v>-</v>
      </c>
      <c r="H1827" s="64">
        <f>ventas_b_mes11[[#This Row],[TOTAL]]/1.21</f>
        <v>0</v>
      </c>
      <c r="I1827" s="183">
        <f>ventas_b_mes11[[#This Row],[IMPORTE NETO]]*0.21</f>
        <v>0</v>
      </c>
      <c r="J1827" s="184"/>
      <c r="K1827" s="184"/>
      <c r="L1827" s="184"/>
      <c r="M1827" s="59"/>
    </row>
    <row r="1828" spans="2:13" x14ac:dyDescent="0.3">
      <c r="B1828" s="178"/>
      <c r="C1828" s="179"/>
      <c r="D1828" s="180"/>
      <c r="E1828" s="181"/>
      <c r="F1828" s="182"/>
      <c r="G1828" s="1" t="str">
        <f>IFERROR(IF(ventas_b_mes11[[#This Row],[CUIT]]="","-",VLOOKUP(ventas_b_mes11[[#This Row],[CUIT]],Lista_CUIT[#All],2,0)),"CUIT NO CARGADO")</f>
        <v>-</v>
      </c>
      <c r="H1828" s="64">
        <f>ventas_b_mes11[[#This Row],[TOTAL]]/1.21</f>
        <v>0</v>
      </c>
      <c r="I1828" s="183">
        <f>ventas_b_mes11[[#This Row],[IMPORTE NETO]]*0.21</f>
        <v>0</v>
      </c>
      <c r="J1828" s="184"/>
      <c r="K1828" s="184"/>
      <c r="L1828" s="184"/>
      <c r="M1828" s="59"/>
    </row>
    <row r="1829" spans="2:13" x14ac:dyDescent="0.3">
      <c r="B1829" s="178"/>
      <c r="C1829" s="179"/>
      <c r="D1829" s="180"/>
      <c r="E1829" s="181"/>
      <c r="F1829" s="182"/>
      <c r="G1829" s="1" t="str">
        <f>IFERROR(IF(ventas_b_mes11[[#This Row],[CUIT]]="","-",VLOOKUP(ventas_b_mes11[[#This Row],[CUIT]],Lista_CUIT[#All],2,0)),"CUIT NO CARGADO")</f>
        <v>-</v>
      </c>
      <c r="H1829" s="64">
        <f>ventas_b_mes11[[#This Row],[TOTAL]]/1.21</f>
        <v>0</v>
      </c>
      <c r="I1829" s="183">
        <f>ventas_b_mes11[[#This Row],[IMPORTE NETO]]*0.21</f>
        <v>0</v>
      </c>
      <c r="J1829" s="184"/>
      <c r="K1829" s="184"/>
      <c r="L1829" s="184"/>
      <c r="M1829" s="59"/>
    </row>
    <row r="1830" spans="2:13" x14ac:dyDescent="0.3">
      <c r="B1830" s="178"/>
      <c r="C1830" s="179"/>
      <c r="D1830" s="180"/>
      <c r="E1830" s="181"/>
      <c r="F1830" s="182"/>
      <c r="G1830" s="1" t="str">
        <f>IFERROR(IF(ventas_b_mes11[[#This Row],[CUIT]]="","-",VLOOKUP(ventas_b_mes11[[#This Row],[CUIT]],Lista_CUIT[#All],2,0)),"CUIT NO CARGADO")</f>
        <v>-</v>
      </c>
      <c r="H1830" s="64">
        <f>ventas_b_mes11[[#This Row],[TOTAL]]/1.21</f>
        <v>0</v>
      </c>
      <c r="I1830" s="183">
        <f>ventas_b_mes11[[#This Row],[IMPORTE NETO]]*0.21</f>
        <v>0</v>
      </c>
      <c r="J1830" s="184"/>
      <c r="K1830" s="184"/>
      <c r="L1830" s="184"/>
      <c r="M1830" s="59"/>
    </row>
    <row r="1831" spans="2:13" x14ac:dyDescent="0.3">
      <c r="B1831" s="178"/>
      <c r="C1831" s="179"/>
      <c r="D1831" s="180"/>
      <c r="E1831" s="181"/>
      <c r="F1831" s="182"/>
      <c r="G1831" s="1" t="str">
        <f>IFERROR(IF(ventas_b_mes11[[#This Row],[CUIT]]="","-",VLOOKUP(ventas_b_mes11[[#This Row],[CUIT]],Lista_CUIT[#All],2,0)),"CUIT NO CARGADO")</f>
        <v>-</v>
      </c>
      <c r="H1831" s="64">
        <f>ventas_b_mes11[[#This Row],[TOTAL]]/1.21</f>
        <v>0</v>
      </c>
      <c r="I1831" s="183">
        <f>ventas_b_mes11[[#This Row],[IMPORTE NETO]]*0.21</f>
        <v>0</v>
      </c>
      <c r="J1831" s="184"/>
      <c r="K1831" s="184"/>
      <c r="L1831" s="184"/>
      <c r="M1831" s="59"/>
    </row>
    <row r="1832" spans="2:13" x14ac:dyDescent="0.3">
      <c r="B1832" s="178"/>
      <c r="C1832" s="179"/>
      <c r="D1832" s="180"/>
      <c r="E1832" s="181"/>
      <c r="F1832" s="182"/>
      <c r="G1832" s="1" t="str">
        <f>IFERROR(IF(ventas_b_mes11[[#This Row],[CUIT]]="","-",VLOOKUP(ventas_b_mes11[[#This Row],[CUIT]],Lista_CUIT[#All],2,0)),"CUIT NO CARGADO")</f>
        <v>-</v>
      </c>
      <c r="H1832" s="64">
        <f>ventas_b_mes11[[#This Row],[TOTAL]]/1.21</f>
        <v>0</v>
      </c>
      <c r="I1832" s="183">
        <f>ventas_b_mes11[[#This Row],[IMPORTE NETO]]*0.21</f>
        <v>0</v>
      </c>
      <c r="J1832" s="184"/>
      <c r="K1832" s="184"/>
      <c r="L1832" s="184"/>
      <c r="M1832" s="59"/>
    </row>
    <row r="1833" spans="2:13" x14ac:dyDescent="0.3">
      <c r="B1833" s="178"/>
      <c r="C1833" s="179"/>
      <c r="D1833" s="180"/>
      <c r="E1833" s="181"/>
      <c r="F1833" s="182"/>
      <c r="G1833" s="1" t="str">
        <f>IFERROR(IF(ventas_b_mes11[[#This Row],[CUIT]]="","-",VLOOKUP(ventas_b_mes11[[#This Row],[CUIT]],Lista_CUIT[#All],2,0)),"CUIT NO CARGADO")</f>
        <v>-</v>
      </c>
      <c r="H1833" s="64">
        <f>ventas_b_mes11[[#This Row],[TOTAL]]/1.21</f>
        <v>0</v>
      </c>
      <c r="I1833" s="183">
        <f>ventas_b_mes11[[#This Row],[IMPORTE NETO]]*0.21</f>
        <v>0</v>
      </c>
      <c r="J1833" s="184"/>
      <c r="K1833" s="184"/>
      <c r="L1833" s="184"/>
      <c r="M1833" s="59"/>
    </row>
    <row r="1834" spans="2:13" x14ac:dyDescent="0.3">
      <c r="B1834" s="178"/>
      <c r="C1834" s="179"/>
      <c r="D1834" s="180"/>
      <c r="E1834" s="181"/>
      <c r="F1834" s="182"/>
      <c r="G1834" s="1" t="str">
        <f>IFERROR(IF(ventas_b_mes11[[#This Row],[CUIT]]="","-",VLOOKUP(ventas_b_mes11[[#This Row],[CUIT]],Lista_CUIT[#All],2,0)),"CUIT NO CARGADO")</f>
        <v>-</v>
      </c>
      <c r="H1834" s="64">
        <f>ventas_b_mes11[[#This Row],[TOTAL]]/1.21</f>
        <v>0</v>
      </c>
      <c r="I1834" s="183">
        <f>ventas_b_mes11[[#This Row],[IMPORTE NETO]]*0.21</f>
        <v>0</v>
      </c>
      <c r="J1834" s="184"/>
      <c r="K1834" s="184"/>
      <c r="L1834" s="184"/>
      <c r="M1834" s="59"/>
    </row>
    <row r="1835" spans="2:13" x14ac:dyDescent="0.3">
      <c r="B1835" s="178"/>
      <c r="C1835" s="179"/>
      <c r="D1835" s="180"/>
      <c r="E1835" s="181"/>
      <c r="F1835" s="182"/>
      <c r="G1835" s="1" t="str">
        <f>IFERROR(IF(ventas_b_mes11[[#This Row],[CUIT]]="","-",VLOOKUP(ventas_b_mes11[[#This Row],[CUIT]],Lista_CUIT[#All],2,0)),"CUIT NO CARGADO")</f>
        <v>-</v>
      </c>
      <c r="H1835" s="64">
        <f>ventas_b_mes11[[#This Row],[TOTAL]]/1.21</f>
        <v>0</v>
      </c>
      <c r="I1835" s="183">
        <f>ventas_b_mes11[[#This Row],[IMPORTE NETO]]*0.21</f>
        <v>0</v>
      </c>
      <c r="J1835" s="184"/>
      <c r="K1835" s="184"/>
      <c r="L1835" s="184"/>
      <c r="M1835" s="59"/>
    </row>
    <row r="1836" spans="2:13" x14ac:dyDescent="0.3">
      <c r="B1836" s="178"/>
      <c r="C1836" s="179"/>
      <c r="D1836" s="180"/>
      <c r="E1836" s="181"/>
      <c r="F1836" s="182"/>
      <c r="G1836" s="1" t="str">
        <f>IFERROR(IF(ventas_b_mes11[[#This Row],[CUIT]]="","-",VLOOKUP(ventas_b_mes11[[#This Row],[CUIT]],Lista_CUIT[#All],2,0)),"CUIT NO CARGADO")</f>
        <v>-</v>
      </c>
      <c r="H1836" s="64">
        <f>ventas_b_mes11[[#This Row],[TOTAL]]/1.21</f>
        <v>0</v>
      </c>
      <c r="I1836" s="183">
        <f>ventas_b_mes11[[#This Row],[IMPORTE NETO]]*0.21</f>
        <v>0</v>
      </c>
      <c r="J1836" s="184"/>
      <c r="K1836" s="184"/>
      <c r="L1836" s="184"/>
      <c r="M1836" s="59"/>
    </row>
    <row r="1837" spans="2:13" x14ac:dyDescent="0.3">
      <c r="B1837" s="178"/>
      <c r="C1837" s="179"/>
      <c r="D1837" s="180"/>
      <c r="E1837" s="181"/>
      <c r="F1837" s="182"/>
      <c r="G1837" s="1" t="str">
        <f>IFERROR(IF(ventas_b_mes11[[#This Row],[CUIT]]="","-",VLOOKUP(ventas_b_mes11[[#This Row],[CUIT]],Lista_CUIT[#All],2,0)),"CUIT NO CARGADO")</f>
        <v>-</v>
      </c>
      <c r="H1837" s="64">
        <f>ventas_b_mes11[[#This Row],[TOTAL]]/1.21</f>
        <v>0</v>
      </c>
      <c r="I1837" s="183">
        <f>ventas_b_mes11[[#This Row],[IMPORTE NETO]]*0.21</f>
        <v>0</v>
      </c>
      <c r="J1837" s="184"/>
      <c r="K1837" s="184"/>
      <c r="L1837" s="184"/>
      <c r="M1837" s="59"/>
    </row>
    <row r="1838" spans="2:13" x14ac:dyDescent="0.3">
      <c r="B1838" s="178"/>
      <c r="C1838" s="179"/>
      <c r="D1838" s="180"/>
      <c r="E1838" s="181"/>
      <c r="F1838" s="182"/>
      <c r="G1838" s="1" t="str">
        <f>IFERROR(IF(ventas_b_mes11[[#This Row],[CUIT]]="","-",VLOOKUP(ventas_b_mes11[[#This Row],[CUIT]],Lista_CUIT[#All],2,0)),"CUIT NO CARGADO")</f>
        <v>-</v>
      </c>
      <c r="H1838" s="64">
        <f>ventas_b_mes11[[#This Row],[TOTAL]]/1.21</f>
        <v>0</v>
      </c>
      <c r="I1838" s="183">
        <f>ventas_b_mes11[[#This Row],[IMPORTE NETO]]*0.21</f>
        <v>0</v>
      </c>
      <c r="J1838" s="184"/>
      <c r="K1838" s="184"/>
      <c r="L1838" s="184"/>
      <c r="M1838" s="59"/>
    </row>
    <row r="1839" spans="2:13" x14ac:dyDescent="0.3">
      <c r="B1839" s="178"/>
      <c r="C1839" s="179"/>
      <c r="D1839" s="180"/>
      <c r="E1839" s="181"/>
      <c r="F1839" s="182"/>
      <c r="G1839" s="1" t="str">
        <f>IFERROR(IF(ventas_b_mes11[[#This Row],[CUIT]]="","-",VLOOKUP(ventas_b_mes11[[#This Row],[CUIT]],Lista_CUIT[#All],2,0)),"CUIT NO CARGADO")</f>
        <v>-</v>
      </c>
      <c r="H1839" s="64">
        <f>ventas_b_mes11[[#This Row],[TOTAL]]/1.21</f>
        <v>0</v>
      </c>
      <c r="I1839" s="183">
        <f>ventas_b_mes11[[#This Row],[IMPORTE NETO]]*0.21</f>
        <v>0</v>
      </c>
      <c r="J1839" s="184"/>
      <c r="K1839" s="184"/>
      <c r="L1839" s="184"/>
      <c r="M1839" s="59"/>
    </row>
    <row r="1840" spans="2:13" x14ac:dyDescent="0.3">
      <c r="B1840" s="178"/>
      <c r="C1840" s="179"/>
      <c r="D1840" s="180"/>
      <c r="E1840" s="181"/>
      <c r="F1840" s="182"/>
      <c r="G1840" s="1" t="str">
        <f>IFERROR(IF(ventas_b_mes11[[#This Row],[CUIT]]="","-",VLOOKUP(ventas_b_mes11[[#This Row],[CUIT]],Lista_CUIT[#All],2,0)),"CUIT NO CARGADO")</f>
        <v>-</v>
      </c>
      <c r="H1840" s="64">
        <f>ventas_b_mes11[[#This Row],[TOTAL]]/1.21</f>
        <v>0</v>
      </c>
      <c r="I1840" s="183">
        <f>ventas_b_mes11[[#This Row],[IMPORTE NETO]]*0.21</f>
        <v>0</v>
      </c>
      <c r="J1840" s="184"/>
      <c r="K1840" s="184"/>
      <c r="L1840" s="184"/>
      <c r="M1840" s="59"/>
    </row>
    <row r="1841" spans="2:13" x14ac:dyDescent="0.3">
      <c r="B1841" s="178"/>
      <c r="C1841" s="179"/>
      <c r="D1841" s="180"/>
      <c r="E1841" s="181"/>
      <c r="F1841" s="182"/>
      <c r="G1841" s="1" t="str">
        <f>IFERROR(IF(ventas_b_mes11[[#This Row],[CUIT]]="","-",VLOOKUP(ventas_b_mes11[[#This Row],[CUIT]],Lista_CUIT[#All],2,0)),"CUIT NO CARGADO")</f>
        <v>-</v>
      </c>
      <c r="H1841" s="64">
        <f>ventas_b_mes11[[#This Row],[TOTAL]]/1.21</f>
        <v>0</v>
      </c>
      <c r="I1841" s="183">
        <f>ventas_b_mes11[[#This Row],[IMPORTE NETO]]*0.21</f>
        <v>0</v>
      </c>
      <c r="J1841" s="184"/>
      <c r="K1841" s="184"/>
      <c r="L1841" s="184"/>
      <c r="M1841" s="59"/>
    </row>
    <row r="1842" spans="2:13" x14ac:dyDescent="0.3">
      <c r="B1842" s="178"/>
      <c r="C1842" s="179"/>
      <c r="D1842" s="180"/>
      <c r="E1842" s="181"/>
      <c r="F1842" s="182"/>
      <c r="G1842" s="1" t="str">
        <f>IFERROR(IF(ventas_b_mes11[[#This Row],[CUIT]]="","-",VLOOKUP(ventas_b_mes11[[#This Row],[CUIT]],Lista_CUIT[#All],2,0)),"CUIT NO CARGADO")</f>
        <v>-</v>
      </c>
      <c r="H1842" s="64">
        <f>ventas_b_mes11[[#This Row],[TOTAL]]/1.21</f>
        <v>0</v>
      </c>
      <c r="I1842" s="183">
        <f>ventas_b_mes11[[#This Row],[IMPORTE NETO]]*0.21</f>
        <v>0</v>
      </c>
      <c r="J1842" s="184"/>
      <c r="K1842" s="184"/>
      <c r="L1842" s="184"/>
      <c r="M1842" s="59"/>
    </row>
    <row r="1843" spans="2:13" x14ac:dyDescent="0.3">
      <c r="B1843" s="178"/>
      <c r="C1843" s="179"/>
      <c r="D1843" s="180"/>
      <c r="E1843" s="181"/>
      <c r="F1843" s="182"/>
      <c r="G1843" s="1" t="str">
        <f>IFERROR(IF(ventas_b_mes11[[#This Row],[CUIT]]="","-",VLOOKUP(ventas_b_mes11[[#This Row],[CUIT]],Lista_CUIT[#All],2,0)),"CUIT NO CARGADO")</f>
        <v>-</v>
      </c>
      <c r="H1843" s="64">
        <f>ventas_b_mes11[[#This Row],[TOTAL]]/1.21</f>
        <v>0</v>
      </c>
      <c r="I1843" s="183">
        <f>ventas_b_mes11[[#This Row],[IMPORTE NETO]]*0.21</f>
        <v>0</v>
      </c>
      <c r="J1843" s="184"/>
      <c r="K1843" s="184"/>
      <c r="L1843" s="184"/>
      <c r="M1843" s="59"/>
    </row>
    <row r="1844" spans="2:13" x14ac:dyDescent="0.3">
      <c r="B1844" s="178"/>
      <c r="C1844" s="179"/>
      <c r="D1844" s="180"/>
      <c r="E1844" s="181"/>
      <c r="F1844" s="182"/>
      <c r="G1844" s="1" t="str">
        <f>IFERROR(IF(ventas_b_mes11[[#This Row],[CUIT]]="","-",VLOOKUP(ventas_b_mes11[[#This Row],[CUIT]],Lista_CUIT[#All],2,0)),"CUIT NO CARGADO")</f>
        <v>-</v>
      </c>
      <c r="H1844" s="64">
        <f>ventas_b_mes11[[#This Row],[TOTAL]]/1.21</f>
        <v>0</v>
      </c>
      <c r="I1844" s="183">
        <f>ventas_b_mes11[[#This Row],[IMPORTE NETO]]*0.21</f>
        <v>0</v>
      </c>
      <c r="J1844" s="184"/>
      <c r="K1844" s="184"/>
      <c r="L1844" s="184"/>
      <c r="M1844" s="59"/>
    </row>
    <row r="1845" spans="2:13" x14ac:dyDescent="0.3">
      <c r="B1845" s="178"/>
      <c r="C1845" s="179"/>
      <c r="D1845" s="180"/>
      <c r="E1845" s="181"/>
      <c r="F1845" s="182"/>
      <c r="G1845" s="1" t="str">
        <f>IFERROR(IF(ventas_b_mes11[[#This Row],[CUIT]]="","-",VLOOKUP(ventas_b_mes11[[#This Row],[CUIT]],Lista_CUIT[#All],2,0)),"CUIT NO CARGADO")</f>
        <v>-</v>
      </c>
      <c r="H1845" s="64">
        <f>ventas_b_mes11[[#This Row],[TOTAL]]/1.21</f>
        <v>0</v>
      </c>
      <c r="I1845" s="183">
        <f>ventas_b_mes11[[#This Row],[IMPORTE NETO]]*0.21</f>
        <v>0</v>
      </c>
      <c r="J1845" s="184"/>
      <c r="K1845" s="184"/>
      <c r="L1845" s="184"/>
      <c r="M1845" s="59"/>
    </row>
    <row r="1846" spans="2:13" x14ac:dyDescent="0.3">
      <c r="B1846" s="178"/>
      <c r="C1846" s="179"/>
      <c r="D1846" s="180"/>
      <c r="E1846" s="181"/>
      <c r="F1846" s="182"/>
      <c r="G1846" s="1" t="str">
        <f>IFERROR(IF(ventas_b_mes11[[#This Row],[CUIT]]="","-",VLOOKUP(ventas_b_mes11[[#This Row],[CUIT]],Lista_CUIT[#All],2,0)),"CUIT NO CARGADO")</f>
        <v>-</v>
      </c>
      <c r="H1846" s="64">
        <f>ventas_b_mes11[[#This Row],[TOTAL]]/1.21</f>
        <v>0</v>
      </c>
      <c r="I1846" s="183">
        <f>ventas_b_mes11[[#This Row],[IMPORTE NETO]]*0.21</f>
        <v>0</v>
      </c>
      <c r="J1846" s="184"/>
      <c r="K1846" s="184"/>
      <c r="L1846" s="184"/>
      <c r="M1846" s="59"/>
    </row>
    <row r="1847" spans="2:13" x14ac:dyDescent="0.3">
      <c r="B1847" s="178"/>
      <c r="C1847" s="179"/>
      <c r="D1847" s="180"/>
      <c r="E1847" s="181"/>
      <c r="F1847" s="182"/>
      <c r="G1847" s="1" t="str">
        <f>IFERROR(IF(ventas_b_mes11[[#This Row],[CUIT]]="","-",VLOOKUP(ventas_b_mes11[[#This Row],[CUIT]],Lista_CUIT[#All],2,0)),"CUIT NO CARGADO")</f>
        <v>-</v>
      </c>
      <c r="H1847" s="64">
        <f>ventas_b_mes11[[#This Row],[TOTAL]]/1.21</f>
        <v>0</v>
      </c>
      <c r="I1847" s="183">
        <f>ventas_b_mes11[[#This Row],[IMPORTE NETO]]*0.21</f>
        <v>0</v>
      </c>
      <c r="J1847" s="184"/>
      <c r="K1847" s="184"/>
      <c r="L1847" s="184"/>
      <c r="M1847" s="59"/>
    </row>
    <row r="1848" spans="2:13" x14ac:dyDescent="0.3">
      <c r="B1848" s="178"/>
      <c r="C1848" s="179"/>
      <c r="D1848" s="180"/>
      <c r="E1848" s="181"/>
      <c r="F1848" s="182"/>
      <c r="G1848" s="1" t="str">
        <f>IFERROR(IF(ventas_b_mes11[[#This Row],[CUIT]]="","-",VLOOKUP(ventas_b_mes11[[#This Row],[CUIT]],Lista_CUIT[#All],2,0)),"CUIT NO CARGADO")</f>
        <v>-</v>
      </c>
      <c r="H1848" s="64">
        <f>ventas_b_mes11[[#This Row],[TOTAL]]/1.21</f>
        <v>0</v>
      </c>
      <c r="I1848" s="183">
        <f>ventas_b_mes11[[#This Row],[IMPORTE NETO]]*0.21</f>
        <v>0</v>
      </c>
      <c r="J1848" s="184"/>
      <c r="K1848" s="184"/>
      <c r="L1848" s="184"/>
      <c r="M1848" s="59"/>
    </row>
    <row r="1849" spans="2:13" x14ac:dyDescent="0.3">
      <c r="B1849" s="178"/>
      <c r="C1849" s="179"/>
      <c r="D1849" s="180"/>
      <c r="E1849" s="181"/>
      <c r="F1849" s="182"/>
      <c r="G1849" s="1" t="str">
        <f>IFERROR(IF(ventas_b_mes11[[#This Row],[CUIT]]="","-",VLOOKUP(ventas_b_mes11[[#This Row],[CUIT]],Lista_CUIT[#All],2,0)),"CUIT NO CARGADO")</f>
        <v>-</v>
      </c>
      <c r="H1849" s="64">
        <f>ventas_b_mes11[[#This Row],[TOTAL]]/1.21</f>
        <v>0</v>
      </c>
      <c r="I1849" s="183">
        <f>ventas_b_mes11[[#This Row],[IMPORTE NETO]]*0.21</f>
        <v>0</v>
      </c>
      <c r="J1849" s="184"/>
      <c r="K1849" s="184"/>
      <c r="L1849" s="184"/>
      <c r="M1849" s="59"/>
    </row>
    <row r="1850" spans="2:13" x14ac:dyDescent="0.3">
      <c r="B1850" s="178"/>
      <c r="C1850" s="179"/>
      <c r="D1850" s="180"/>
      <c r="E1850" s="181"/>
      <c r="F1850" s="182"/>
      <c r="G1850" s="1" t="str">
        <f>IFERROR(IF(ventas_b_mes11[[#This Row],[CUIT]]="","-",VLOOKUP(ventas_b_mes11[[#This Row],[CUIT]],Lista_CUIT[#All],2,0)),"CUIT NO CARGADO")</f>
        <v>-</v>
      </c>
      <c r="H1850" s="64">
        <f>ventas_b_mes11[[#This Row],[TOTAL]]/1.21</f>
        <v>0</v>
      </c>
      <c r="I1850" s="183">
        <f>ventas_b_mes11[[#This Row],[IMPORTE NETO]]*0.21</f>
        <v>0</v>
      </c>
      <c r="J1850" s="184"/>
      <c r="K1850" s="184"/>
      <c r="L1850" s="184"/>
      <c r="M1850" s="59"/>
    </row>
    <row r="1851" spans="2:13" x14ac:dyDescent="0.3">
      <c r="B1851" s="178"/>
      <c r="C1851" s="179"/>
      <c r="D1851" s="180"/>
      <c r="E1851" s="181"/>
      <c r="F1851" s="182"/>
      <c r="G1851" s="1" t="str">
        <f>IFERROR(IF(ventas_b_mes11[[#This Row],[CUIT]]="","-",VLOOKUP(ventas_b_mes11[[#This Row],[CUIT]],Lista_CUIT[#All],2,0)),"CUIT NO CARGADO")</f>
        <v>-</v>
      </c>
      <c r="H1851" s="64">
        <f>ventas_b_mes11[[#This Row],[TOTAL]]/1.21</f>
        <v>0</v>
      </c>
      <c r="I1851" s="183">
        <f>ventas_b_mes11[[#This Row],[IMPORTE NETO]]*0.21</f>
        <v>0</v>
      </c>
      <c r="J1851" s="184"/>
      <c r="K1851" s="184"/>
      <c r="L1851" s="184"/>
      <c r="M1851" s="59"/>
    </row>
    <row r="1852" spans="2:13" x14ac:dyDescent="0.3">
      <c r="B1852" s="178"/>
      <c r="C1852" s="179"/>
      <c r="D1852" s="180"/>
      <c r="E1852" s="181"/>
      <c r="F1852" s="182"/>
      <c r="G1852" s="1" t="str">
        <f>IFERROR(IF(ventas_b_mes11[[#This Row],[CUIT]]="","-",VLOOKUP(ventas_b_mes11[[#This Row],[CUIT]],Lista_CUIT[#All],2,0)),"CUIT NO CARGADO")</f>
        <v>-</v>
      </c>
      <c r="H1852" s="64">
        <f>ventas_b_mes11[[#This Row],[TOTAL]]/1.21</f>
        <v>0</v>
      </c>
      <c r="I1852" s="183">
        <f>ventas_b_mes11[[#This Row],[IMPORTE NETO]]*0.21</f>
        <v>0</v>
      </c>
      <c r="J1852" s="184"/>
      <c r="K1852" s="184"/>
      <c r="L1852" s="184"/>
      <c r="M1852" s="59"/>
    </row>
    <row r="1853" spans="2:13" x14ac:dyDescent="0.3">
      <c r="B1853" s="178"/>
      <c r="C1853" s="179"/>
      <c r="D1853" s="180"/>
      <c r="E1853" s="181"/>
      <c r="F1853" s="182"/>
      <c r="G1853" s="1" t="str">
        <f>IFERROR(IF(ventas_b_mes11[[#This Row],[CUIT]]="","-",VLOOKUP(ventas_b_mes11[[#This Row],[CUIT]],Lista_CUIT[#All],2,0)),"CUIT NO CARGADO")</f>
        <v>-</v>
      </c>
      <c r="H1853" s="64">
        <f>ventas_b_mes11[[#This Row],[TOTAL]]/1.21</f>
        <v>0</v>
      </c>
      <c r="I1853" s="183">
        <f>ventas_b_mes11[[#This Row],[IMPORTE NETO]]*0.21</f>
        <v>0</v>
      </c>
      <c r="J1853" s="184"/>
      <c r="K1853" s="184"/>
      <c r="L1853" s="184"/>
      <c r="M1853" s="59"/>
    </row>
    <row r="1854" spans="2:13" x14ac:dyDescent="0.3">
      <c r="B1854" s="178"/>
      <c r="C1854" s="179"/>
      <c r="D1854" s="180"/>
      <c r="E1854" s="181"/>
      <c r="F1854" s="182"/>
      <c r="G1854" s="1" t="str">
        <f>IFERROR(IF(ventas_b_mes11[[#This Row],[CUIT]]="","-",VLOOKUP(ventas_b_mes11[[#This Row],[CUIT]],Lista_CUIT[#All],2,0)),"CUIT NO CARGADO")</f>
        <v>-</v>
      </c>
      <c r="H1854" s="64">
        <f>ventas_b_mes11[[#This Row],[TOTAL]]/1.21</f>
        <v>0</v>
      </c>
      <c r="I1854" s="183">
        <f>ventas_b_mes11[[#This Row],[IMPORTE NETO]]*0.21</f>
        <v>0</v>
      </c>
      <c r="J1854" s="184"/>
      <c r="K1854" s="184"/>
      <c r="L1854" s="184"/>
      <c r="M1854" s="59"/>
    </row>
    <row r="1855" spans="2:13" x14ac:dyDescent="0.3">
      <c r="B1855" s="178"/>
      <c r="C1855" s="179"/>
      <c r="D1855" s="180"/>
      <c r="E1855" s="181"/>
      <c r="F1855" s="182"/>
      <c r="G1855" s="1" t="str">
        <f>IFERROR(IF(ventas_b_mes11[[#This Row],[CUIT]]="","-",VLOOKUP(ventas_b_mes11[[#This Row],[CUIT]],Lista_CUIT[#All],2,0)),"CUIT NO CARGADO")</f>
        <v>-</v>
      </c>
      <c r="H1855" s="64">
        <f>ventas_b_mes11[[#This Row],[TOTAL]]/1.21</f>
        <v>0</v>
      </c>
      <c r="I1855" s="183">
        <f>ventas_b_mes11[[#This Row],[IMPORTE NETO]]*0.21</f>
        <v>0</v>
      </c>
      <c r="J1855" s="184"/>
      <c r="K1855" s="184"/>
      <c r="L1855" s="184"/>
      <c r="M1855" s="59"/>
    </row>
    <row r="1856" spans="2:13" x14ac:dyDescent="0.3">
      <c r="B1856" s="178"/>
      <c r="C1856" s="179"/>
      <c r="D1856" s="180"/>
      <c r="E1856" s="181"/>
      <c r="F1856" s="182"/>
      <c r="G1856" s="1" t="str">
        <f>IFERROR(IF(ventas_b_mes11[[#This Row],[CUIT]]="","-",VLOOKUP(ventas_b_mes11[[#This Row],[CUIT]],Lista_CUIT[#All],2,0)),"CUIT NO CARGADO")</f>
        <v>-</v>
      </c>
      <c r="H1856" s="64">
        <f>ventas_b_mes11[[#This Row],[TOTAL]]/1.21</f>
        <v>0</v>
      </c>
      <c r="I1856" s="183">
        <f>ventas_b_mes11[[#This Row],[IMPORTE NETO]]*0.21</f>
        <v>0</v>
      </c>
      <c r="J1856" s="184"/>
      <c r="K1856" s="184"/>
      <c r="L1856" s="184"/>
      <c r="M1856" s="59"/>
    </row>
    <row r="1857" spans="2:13" x14ac:dyDescent="0.3">
      <c r="B1857" s="178"/>
      <c r="C1857" s="179"/>
      <c r="D1857" s="180"/>
      <c r="E1857" s="181"/>
      <c r="F1857" s="182"/>
      <c r="G1857" s="1" t="str">
        <f>IFERROR(IF(ventas_b_mes11[[#This Row],[CUIT]]="","-",VLOOKUP(ventas_b_mes11[[#This Row],[CUIT]],Lista_CUIT[#All],2,0)),"CUIT NO CARGADO")</f>
        <v>-</v>
      </c>
      <c r="H1857" s="64">
        <f>ventas_b_mes11[[#This Row],[TOTAL]]/1.21</f>
        <v>0</v>
      </c>
      <c r="I1857" s="183">
        <f>ventas_b_mes11[[#This Row],[IMPORTE NETO]]*0.21</f>
        <v>0</v>
      </c>
      <c r="J1857" s="184"/>
      <c r="K1857" s="184"/>
      <c r="L1857" s="184"/>
      <c r="M1857" s="59"/>
    </row>
    <row r="1858" spans="2:13" x14ac:dyDescent="0.3">
      <c r="B1858" s="178"/>
      <c r="C1858" s="179"/>
      <c r="D1858" s="180"/>
      <c r="E1858" s="181"/>
      <c r="F1858" s="182"/>
      <c r="G1858" s="1" t="str">
        <f>IFERROR(IF(ventas_b_mes11[[#This Row],[CUIT]]="","-",VLOOKUP(ventas_b_mes11[[#This Row],[CUIT]],Lista_CUIT[#All],2,0)),"CUIT NO CARGADO")</f>
        <v>-</v>
      </c>
      <c r="H1858" s="64">
        <f>ventas_b_mes11[[#This Row],[TOTAL]]/1.21</f>
        <v>0</v>
      </c>
      <c r="I1858" s="183">
        <f>ventas_b_mes11[[#This Row],[IMPORTE NETO]]*0.21</f>
        <v>0</v>
      </c>
      <c r="J1858" s="184"/>
      <c r="K1858" s="184"/>
      <c r="L1858" s="184"/>
      <c r="M1858" s="59"/>
    </row>
    <row r="1859" spans="2:13" x14ac:dyDescent="0.3">
      <c r="B1859" s="178"/>
      <c r="C1859" s="179"/>
      <c r="D1859" s="180"/>
      <c r="E1859" s="181"/>
      <c r="F1859" s="182"/>
      <c r="G1859" s="1" t="str">
        <f>IFERROR(IF(ventas_b_mes11[[#This Row],[CUIT]]="","-",VLOOKUP(ventas_b_mes11[[#This Row],[CUIT]],Lista_CUIT[#All],2,0)),"CUIT NO CARGADO")</f>
        <v>-</v>
      </c>
      <c r="H1859" s="64">
        <f>ventas_b_mes11[[#This Row],[TOTAL]]/1.21</f>
        <v>0</v>
      </c>
      <c r="I1859" s="183">
        <f>ventas_b_mes11[[#This Row],[IMPORTE NETO]]*0.21</f>
        <v>0</v>
      </c>
      <c r="J1859" s="184"/>
      <c r="K1859" s="184"/>
      <c r="L1859" s="184"/>
      <c r="M1859" s="59"/>
    </row>
    <row r="1860" spans="2:13" x14ac:dyDescent="0.3">
      <c r="B1860" s="178"/>
      <c r="C1860" s="179"/>
      <c r="D1860" s="180"/>
      <c r="E1860" s="181"/>
      <c r="F1860" s="182"/>
      <c r="G1860" s="1" t="str">
        <f>IFERROR(IF(ventas_b_mes11[[#This Row],[CUIT]]="","-",VLOOKUP(ventas_b_mes11[[#This Row],[CUIT]],Lista_CUIT[#All],2,0)),"CUIT NO CARGADO")</f>
        <v>-</v>
      </c>
      <c r="H1860" s="64">
        <f>ventas_b_mes11[[#This Row],[TOTAL]]/1.21</f>
        <v>0</v>
      </c>
      <c r="I1860" s="183">
        <f>ventas_b_mes11[[#This Row],[IMPORTE NETO]]*0.21</f>
        <v>0</v>
      </c>
      <c r="J1860" s="184"/>
      <c r="K1860" s="184"/>
      <c r="L1860" s="184"/>
      <c r="M1860" s="59"/>
    </row>
    <row r="1861" spans="2:13" x14ac:dyDescent="0.3">
      <c r="B1861" s="178"/>
      <c r="C1861" s="179"/>
      <c r="D1861" s="180"/>
      <c r="E1861" s="181"/>
      <c r="F1861" s="182"/>
      <c r="G1861" s="1" t="str">
        <f>IFERROR(IF(ventas_b_mes11[[#This Row],[CUIT]]="","-",VLOOKUP(ventas_b_mes11[[#This Row],[CUIT]],Lista_CUIT[#All],2,0)),"CUIT NO CARGADO")</f>
        <v>-</v>
      </c>
      <c r="H1861" s="64">
        <f>ventas_b_mes11[[#This Row],[TOTAL]]/1.21</f>
        <v>0</v>
      </c>
      <c r="I1861" s="183">
        <f>ventas_b_mes11[[#This Row],[IMPORTE NETO]]*0.21</f>
        <v>0</v>
      </c>
      <c r="J1861" s="184"/>
      <c r="K1861" s="184"/>
      <c r="L1861" s="184"/>
      <c r="M1861" s="59"/>
    </row>
    <row r="1862" spans="2:13" x14ac:dyDescent="0.3">
      <c r="B1862" s="178"/>
      <c r="C1862" s="179"/>
      <c r="D1862" s="180"/>
      <c r="E1862" s="181"/>
      <c r="F1862" s="182"/>
      <c r="G1862" s="1" t="str">
        <f>IFERROR(IF(ventas_b_mes11[[#This Row],[CUIT]]="","-",VLOOKUP(ventas_b_mes11[[#This Row],[CUIT]],Lista_CUIT[#All],2,0)),"CUIT NO CARGADO")</f>
        <v>-</v>
      </c>
      <c r="H1862" s="64">
        <f>ventas_b_mes11[[#This Row],[TOTAL]]/1.21</f>
        <v>0</v>
      </c>
      <c r="I1862" s="183">
        <f>ventas_b_mes11[[#This Row],[IMPORTE NETO]]*0.21</f>
        <v>0</v>
      </c>
      <c r="J1862" s="184"/>
      <c r="K1862" s="184"/>
      <c r="L1862" s="184"/>
      <c r="M1862" s="59"/>
    </row>
    <row r="1863" spans="2:13" x14ac:dyDescent="0.3">
      <c r="B1863" s="178"/>
      <c r="C1863" s="179"/>
      <c r="D1863" s="180"/>
      <c r="E1863" s="181"/>
      <c r="F1863" s="182"/>
      <c r="G1863" s="1" t="str">
        <f>IFERROR(IF(ventas_b_mes11[[#This Row],[CUIT]]="","-",VLOOKUP(ventas_b_mes11[[#This Row],[CUIT]],Lista_CUIT[#All],2,0)),"CUIT NO CARGADO")</f>
        <v>-</v>
      </c>
      <c r="H1863" s="64">
        <f>ventas_b_mes11[[#This Row],[TOTAL]]/1.21</f>
        <v>0</v>
      </c>
      <c r="I1863" s="183">
        <f>ventas_b_mes11[[#This Row],[IMPORTE NETO]]*0.21</f>
        <v>0</v>
      </c>
      <c r="J1863" s="184"/>
      <c r="K1863" s="184"/>
      <c r="L1863" s="184"/>
      <c r="M1863" s="59"/>
    </row>
    <row r="1864" spans="2:13" x14ac:dyDescent="0.3">
      <c r="B1864" s="178"/>
      <c r="C1864" s="179"/>
      <c r="D1864" s="180"/>
      <c r="E1864" s="181"/>
      <c r="F1864" s="182"/>
      <c r="G1864" s="1" t="str">
        <f>IFERROR(IF(ventas_b_mes11[[#This Row],[CUIT]]="","-",VLOOKUP(ventas_b_mes11[[#This Row],[CUIT]],Lista_CUIT[#All],2,0)),"CUIT NO CARGADO")</f>
        <v>-</v>
      </c>
      <c r="H1864" s="64">
        <f>ventas_b_mes11[[#This Row],[TOTAL]]/1.21</f>
        <v>0</v>
      </c>
      <c r="I1864" s="183">
        <f>ventas_b_mes11[[#This Row],[IMPORTE NETO]]*0.21</f>
        <v>0</v>
      </c>
      <c r="J1864" s="184"/>
      <c r="K1864" s="184"/>
      <c r="L1864" s="184"/>
      <c r="M1864" s="59"/>
    </row>
    <row r="1865" spans="2:13" x14ac:dyDescent="0.3">
      <c r="B1865" s="178"/>
      <c r="C1865" s="179"/>
      <c r="D1865" s="180"/>
      <c r="E1865" s="181"/>
      <c r="F1865" s="182"/>
      <c r="G1865" s="1" t="str">
        <f>IFERROR(IF(ventas_b_mes11[[#This Row],[CUIT]]="","-",VLOOKUP(ventas_b_mes11[[#This Row],[CUIT]],Lista_CUIT[#All],2,0)),"CUIT NO CARGADO")</f>
        <v>-</v>
      </c>
      <c r="H1865" s="64">
        <f>ventas_b_mes11[[#This Row],[TOTAL]]/1.21</f>
        <v>0</v>
      </c>
      <c r="I1865" s="183">
        <f>ventas_b_mes11[[#This Row],[IMPORTE NETO]]*0.21</f>
        <v>0</v>
      </c>
      <c r="J1865" s="184"/>
      <c r="K1865" s="184"/>
      <c r="L1865" s="184"/>
      <c r="M1865" s="59"/>
    </row>
    <row r="1866" spans="2:13" x14ac:dyDescent="0.3">
      <c r="B1866" s="178"/>
      <c r="C1866" s="179"/>
      <c r="D1866" s="180"/>
      <c r="E1866" s="181"/>
      <c r="F1866" s="182"/>
      <c r="G1866" s="1" t="str">
        <f>IFERROR(IF(ventas_b_mes11[[#This Row],[CUIT]]="","-",VLOOKUP(ventas_b_mes11[[#This Row],[CUIT]],Lista_CUIT[#All],2,0)),"CUIT NO CARGADO")</f>
        <v>-</v>
      </c>
      <c r="H1866" s="64">
        <f>ventas_b_mes11[[#This Row],[TOTAL]]/1.21</f>
        <v>0</v>
      </c>
      <c r="I1866" s="183">
        <f>ventas_b_mes11[[#This Row],[IMPORTE NETO]]*0.21</f>
        <v>0</v>
      </c>
      <c r="J1866" s="184"/>
      <c r="K1866" s="184"/>
      <c r="L1866" s="184"/>
      <c r="M1866" s="59"/>
    </row>
    <row r="1867" spans="2:13" x14ac:dyDescent="0.3">
      <c r="B1867" s="178"/>
      <c r="C1867" s="179"/>
      <c r="D1867" s="180"/>
      <c r="E1867" s="181"/>
      <c r="F1867" s="182"/>
      <c r="G1867" s="1" t="str">
        <f>IFERROR(IF(ventas_b_mes11[[#This Row],[CUIT]]="","-",VLOOKUP(ventas_b_mes11[[#This Row],[CUIT]],Lista_CUIT[#All],2,0)),"CUIT NO CARGADO")</f>
        <v>-</v>
      </c>
      <c r="H1867" s="64">
        <f>ventas_b_mes11[[#This Row],[TOTAL]]/1.21</f>
        <v>0</v>
      </c>
      <c r="I1867" s="183">
        <f>ventas_b_mes11[[#This Row],[IMPORTE NETO]]*0.21</f>
        <v>0</v>
      </c>
      <c r="J1867" s="184"/>
      <c r="K1867" s="184"/>
      <c r="L1867" s="184"/>
      <c r="M1867" s="59"/>
    </row>
    <row r="1868" spans="2:13" x14ac:dyDescent="0.3">
      <c r="B1868" s="178"/>
      <c r="C1868" s="179"/>
      <c r="D1868" s="180"/>
      <c r="E1868" s="181"/>
      <c r="F1868" s="182"/>
      <c r="G1868" s="1" t="str">
        <f>IFERROR(IF(ventas_b_mes11[[#This Row],[CUIT]]="","-",VLOOKUP(ventas_b_mes11[[#This Row],[CUIT]],Lista_CUIT[#All],2,0)),"CUIT NO CARGADO")</f>
        <v>-</v>
      </c>
      <c r="H1868" s="64">
        <f>ventas_b_mes11[[#This Row],[TOTAL]]/1.21</f>
        <v>0</v>
      </c>
      <c r="I1868" s="183">
        <f>ventas_b_mes11[[#This Row],[IMPORTE NETO]]*0.21</f>
        <v>0</v>
      </c>
      <c r="J1868" s="184"/>
      <c r="K1868" s="184"/>
      <c r="L1868" s="184"/>
      <c r="M1868" s="59"/>
    </row>
    <row r="1869" spans="2:13" x14ac:dyDescent="0.3">
      <c r="B1869" s="178"/>
      <c r="C1869" s="179"/>
      <c r="D1869" s="180"/>
      <c r="E1869" s="181"/>
      <c r="F1869" s="182"/>
      <c r="G1869" s="1" t="str">
        <f>IFERROR(IF(ventas_b_mes11[[#This Row],[CUIT]]="","-",VLOOKUP(ventas_b_mes11[[#This Row],[CUIT]],Lista_CUIT[#All],2,0)),"CUIT NO CARGADO")</f>
        <v>-</v>
      </c>
      <c r="H1869" s="64">
        <f>ventas_b_mes11[[#This Row],[TOTAL]]/1.21</f>
        <v>0</v>
      </c>
      <c r="I1869" s="183">
        <f>ventas_b_mes11[[#This Row],[IMPORTE NETO]]*0.21</f>
        <v>0</v>
      </c>
      <c r="J1869" s="184"/>
      <c r="K1869" s="184"/>
      <c r="L1869" s="184"/>
      <c r="M1869" s="59"/>
    </row>
    <row r="1870" spans="2:13" x14ac:dyDescent="0.3">
      <c r="B1870" s="178"/>
      <c r="C1870" s="179"/>
      <c r="D1870" s="180"/>
      <c r="E1870" s="181"/>
      <c r="F1870" s="182"/>
      <c r="G1870" s="1" t="str">
        <f>IFERROR(IF(ventas_b_mes11[[#This Row],[CUIT]]="","-",VLOOKUP(ventas_b_mes11[[#This Row],[CUIT]],Lista_CUIT[#All],2,0)),"CUIT NO CARGADO")</f>
        <v>-</v>
      </c>
      <c r="H1870" s="64">
        <f>ventas_b_mes11[[#This Row],[TOTAL]]/1.21</f>
        <v>0</v>
      </c>
      <c r="I1870" s="183">
        <f>ventas_b_mes11[[#This Row],[IMPORTE NETO]]*0.21</f>
        <v>0</v>
      </c>
      <c r="J1870" s="184"/>
      <c r="K1870" s="184"/>
      <c r="L1870" s="184"/>
      <c r="M1870" s="59"/>
    </row>
    <row r="1871" spans="2:13" x14ac:dyDescent="0.3">
      <c r="B1871" s="178"/>
      <c r="C1871" s="179"/>
      <c r="D1871" s="180"/>
      <c r="E1871" s="181"/>
      <c r="F1871" s="182"/>
      <c r="G1871" s="1" t="str">
        <f>IFERROR(IF(ventas_b_mes11[[#This Row],[CUIT]]="","-",VLOOKUP(ventas_b_mes11[[#This Row],[CUIT]],Lista_CUIT[#All],2,0)),"CUIT NO CARGADO")</f>
        <v>-</v>
      </c>
      <c r="H1871" s="64">
        <f>ventas_b_mes11[[#This Row],[TOTAL]]/1.21</f>
        <v>0</v>
      </c>
      <c r="I1871" s="183">
        <f>ventas_b_mes11[[#This Row],[IMPORTE NETO]]*0.21</f>
        <v>0</v>
      </c>
      <c r="J1871" s="184"/>
      <c r="K1871" s="184"/>
      <c r="L1871" s="184"/>
      <c r="M1871" s="59"/>
    </row>
    <row r="1872" spans="2:13" x14ac:dyDescent="0.3">
      <c r="B1872" s="178"/>
      <c r="C1872" s="179"/>
      <c r="D1872" s="180"/>
      <c r="E1872" s="181"/>
      <c r="F1872" s="182"/>
      <c r="G1872" s="1" t="str">
        <f>IFERROR(IF(ventas_b_mes11[[#This Row],[CUIT]]="","-",VLOOKUP(ventas_b_mes11[[#This Row],[CUIT]],Lista_CUIT[#All],2,0)),"CUIT NO CARGADO")</f>
        <v>-</v>
      </c>
      <c r="H1872" s="64">
        <f>ventas_b_mes11[[#This Row],[TOTAL]]/1.21</f>
        <v>0</v>
      </c>
      <c r="I1872" s="183">
        <f>ventas_b_mes11[[#This Row],[IMPORTE NETO]]*0.21</f>
        <v>0</v>
      </c>
      <c r="J1872" s="184"/>
      <c r="K1872" s="184"/>
      <c r="L1872" s="184"/>
      <c r="M1872" s="59"/>
    </row>
    <row r="1873" spans="2:13" x14ac:dyDescent="0.3">
      <c r="B1873" s="178"/>
      <c r="C1873" s="179"/>
      <c r="D1873" s="180"/>
      <c r="E1873" s="181"/>
      <c r="F1873" s="182"/>
      <c r="G1873" s="1" t="str">
        <f>IFERROR(IF(ventas_b_mes11[[#This Row],[CUIT]]="","-",VLOOKUP(ventas_b_mes11[[#This Row],[CUIT]],Lista_CUIT[#All],2,0)),"CUIT NO CARGADO")</f>
        <v>-</v>
      </c>
      <c r="H1873" s="64">
        <f>ventas_b_mes11[[#This Row],[TOTAL]]/1.21</f>
        <v>0</v>
      </c>
      <c r="I1873" s="183">
        <f>ventas_b_mes11[[#This Row],[IMPORTE NETO]]*0.21</f>
        <v>0</v>
      </c>
      <c r="J1873" s="184"/>
      <c r="K1873" s="184"/>
      <c r="L1873" s="184"/>
      <c r="M1873" s="59"/>
    </row>
    <row r="1874" spans="2:13" x14ac:dyDescent="0.3">
      <c r="B1874" s="178"/>
      <c r="C1874" s="179"/>
      <c r="D1874" s="180"/>
      <c r="E1874" s="181"/>
      <c r="F1874" s="182"/>
      <c r="G1874" s="1" t="str">
        <f>IFERROR(IF(ventas_b_mes11[[#This Row],[CUIT]]="","-",VLOOKUP(ventas_b_mes11[[#This Row],[CUIT]],Lista_CUIT[#All],2,0)),"CUIT NO CARGADO")</f>
        <v>-</v>
      </c>
      <c r="H1874" s="64">
        <f>ventas_b_mes11[[#This Row],[TOTAL]]/1.21</f>
        <v>0</v>
      </c>
      <c r="I1874" s="183">
        <f>ventas_b_mes11[[#This Row],[IMPORTE NETO]]*0.21</f>
        <v>0</v>
      </c>
      <c r="J1874" s="184"/>
      <c r="K1874" s="184"/>
      <c r="L1874" s="184"/>
      <c r="M1874" s="59"/>
    </row>
    <row r="1875" spans="2:13" x14ac:dyDescent="0.3">
      <c r="B1875" s="178"/>
      <c r="C1875" s="179"/>
      <c r="D1875" s="180"/>
      <c r="E1875" s="181"/>
      <c r="F1875" s="182"/>
      <c r="G1875" s="1" t="str">
        <f>IFERROR(IF(ventas_b_mes11[[#This Row],[CUIT]]="","-",VLOOKUP(ventas_b_mes11[[#This Row],[CUIT]],Lista_CUIT[#All],2,0)),"CUIT NO CARGADO")</f>
        <v>-</v>
      </c>
      <c r="H1875" s="64">
        <f>ventas_b_mes11[[#This Row],[TOTAL]]/1.21</f>
        <v>0</v>
      </c>
      <c r="I1875" s="183">
        <f>ventas_b_mes11[[#This Row],[IMPORTE NETO]]*0.21</f>
        <v>0</v>
      </c>
      <c r="J1875" s="184"/>
      <c r="K1875" s="184"/>
      <c r="L1875" s="184"/>
      <c r="M1875" s="59"/>
    </row>
    <row r="1876" spans="2:13" x14ac:dyDescent="0.3">
      <c r="B1876" s="178"/>
      <c r="C1876" s="179"/>
      <c r="D1876" s="180"/>
      <c r="E1876" s="181"/>
      <c r="F1876" s="182"/>
      <c r="G1876" s="1" t="str">
        <f>IFERROR(IF(ventas_b_mes11[[#This Row],[CUIT]]="","-",VLOOKUP(ventas_b_mes11[[#This Row],[CUIT]],Lista_CUIT[#All],2,0)),"CUIT NO CARGADO")</f>
        <v>-</v>
      </c>
      <c r="H1876" s="64">
        <f>ventas_b_mes11[[#This Row],[TOTAL]]/1.21</f>
        <v>0</v>
      </c>
      <c r="I1876" s="183">
        <f>ventas_b_mes11[[#This Row],[IMPORTE NETO]]*0.21</f>
        <v>0</v>
      </c>
      <c r="J1876" s="184"/>
      <c r="K1876" s="184"/>
      <c r="L1876" s="184"/>
      <c r="M1876" s="59"/>
    </row>
    <row r="1877" spans="2:13" x14ac:dyDescent="0.3">
      <c r="B1877" s="178"/>
      <c r="C1877" s="179"/>
      <c r="D1877" s="180"/>
      <c r="E1877" s="181"/>
      <c r="F1877" s="182"/>
      <c r="G1877" s="1" t="str">
        <f>IFERROR(IF(ventas_b_mes11[[#This Row],[CUIT]]="","-",VLOOKUP(ventas_b_mes11[[#This Row],[CUIT]],Lista_CUIT[#All],2,0)),"CUIT NO CARGADO")</f>
        <v>-</v>
      </c>
      <c r="H1877" s="64">
        <f>ventas_b_mes11[[#This Row],[TOTAL]]/1.21</f>
        <v>0</v>
      </c>
      <c r="I1877" s="183">
        <f>ventas_b_mes11[[#This Row],[IMPORTE NETO]]*0.21</f>
        <v>0</v>
      </c>
      <c r="J1877" s="184"/>
      <c r="K1877" s="184"/>
      <c r="L1877" s="184"/>
      <c r="M1877" s="59"/>
    </row>
    <row r="1878" spans="2:13" x14ac:dyDescent="0.3">
      <c r="B1878" s="217"/>
      <c r="C1878" s="203"/>
      <c r="D1878" s="220"/>
      <c r="E1878" s="204"/>
      <c r="F1878" s="182"/>
      <c r="G1878" s="1" t="str">
        <f>IFERROR(IF(ventas_b_mes11[[#This Row],[CUIT]]="","-",VLOOKUP(ventas_b_mes11[[#This Row],[CUIT]],Lista_CUIT[#All],2,0)),"CUIT NO CARGADO")</f>
        <v>-</v>
      </c>
      <c r="H1878" s="64">
        <f>ventas_b_mes11[[#This Row],[TOTAL]]/1.21</f>
        <v>0</v>
      </c>
      <c r="I1878" s="64">
        <f>ventas_b_mes11[[#This Row],[IMPORTE NETO]]*0.21</f>
        <v>0</v>
      </c>
      <c r="J1878" s="64"/>
      <c r="K1878" s="64"/>
      <c r="L1878" s="64"/>
      <c r="M1878" s="59"/>
    </row>
    <row r="1879" spans="2:13" x14ac:dyDescent="0.3">
      <c r="B1879" s="178"/>
      <c r="C1879" s="203"/>
      <c r="D1879" s="180"/>
      <c r="E1879" s="181"/>
      <c r="F1879" s="182"/>
      <c r="G1879" s="1" t="str">
        <f>IFERROR(IF(ventas_b_mes11[[#This Row],[CUIT]]="","-",VLOOKUP(ventas_b_mes11[[#This Row],[CUIT]],Lista_CUIT[#All],2,0)),"CUIT NO CARGADO")</f>
        <v>-</v>
      </c>
      <c r="H1879" s="64">
        <f>ventas_b_mes11[[#This Row],[TOTAL]]/1.21</f>
        <v>0</v>
      </c>
      <c r="I1879" s="183">
        <f>ventas_b_mes11[[#This Row],[IMPORTE NETO]]*0.21</f>
        <v>0</v>
      </c>
      <c r="J1879" s="184"/>
      <c r="K1879" s="184"/>
      <c r="L1879" s="184"/>
      <c r="M1879" s="59"/>
    </row>
    <row r="1880" spans="2:13" x14ac:dyDescent="0.3">
      <c r="B1880" s="178"/>
      <c r="C1880" s="203"/>
      <c r="D1880" s="180"/>
      <c r="E1880" s="181"/>
      <c r="F1880" s="182"/>
      <c r="G1880" s="1" t="str">
        <f>IFERROR(IF(ventas_b_mes11[[#This Row],[CUIT]]="","-",VLOOKUP(ventas_b_mes11[[#This Row],[CUIT]],Lista_CUIT[#All],2,0)),"CUIT NO CARGADO")</f>
        <v>-</v>
      </c>
      <c r="H1880" s="64">
        <f>ventas_b_mes11[[#This Row],[TOTAL]]/1.21</f>
        <v>0</v>
      </c>
      <c r="I1880" s="183">
        <f>ventas_b_mes11[[#This Row],[IMPORTE NETO]]*0.21</f>
        <v>0</v>
      </c>
      <c r="J1880" s="184"/>
      <c r="K1880" s="184"/>
      <c r="L1880" s="184"/>
      <c r="M1880" s="59"/>
    </row>
    <row r="1881" spans="2:13" x14ac:dyDescent="0.3">
      <c r="B1881" s="178"/>
      <c r="C1881" s="203"/>
      <c r="D1881" s="180"/>
      <c r="E1881" s="181"/>
      <c r="F1881" s="182"/>
      <c r="G1881" s="1" t="str">
        <f>IFERROR(IF(ventas_b_mes11[[#This Row],[CUIT]]="","-",VLOOKUP(ventas_b_mes11[[#This Row],[CUIT]],Lista_CUIT[#All],2,0)),"CUIT NO CARGADO")</f>
        <v>-</v>
      </c>
      <c r="H1881" s="64">
        <f>ventas_b_mes11[[#This Row],[TOTAL]]/1.21</f>
        <v>0</v>
      </c>
      <c r="I1881" s="183">
        <f>ventas_b_mes11[[#This Row],[IMPORTE NETO]]*0.21</f>
        <v>0</v>
      </c>
      <c r="J1881" s="184"/>
      <c r="K1881" s="184"/>
      <c r="L1881" s="184"/>
      <c r="M1881" s="59"/>
    </row>
    <row r="1882" spans="2:13" x14ac:dyDescent="0.3">
      <c r="B1882" s="178"/>
      <c r="C1882" s="203"/>
      <c r="D1882" s="180"/>
      <c r="E1882" s="181"/>
      <c r="F1882" s="182"/>
      <c r="G1882" s="1" t="str">
        <f>IFERROR(IF(ventas_b_mes11[[#This Row],[CUIT]]="","-",VLOOKUP(ventas_b_mes11[[#This Row],[CUIT]],Lista_CUIT[#All],2,0)),"CUIT NO CARGADO")</f>
        <v>-</v>
      </c>
      <c r="H1882" s="64">
        <f>ventas_b_mes11[[#This Row],[TOTAL]]/1.21</f>
        <v>0</v>
      </c>
      <c r="I1882" s="183">
        <f>ventas_b_mes11[[#This Row],[IMPORTE NETO]]*0.21</f>
        <v>0</v>
      </c>
      <c r="J1882" s="184"/>
      <c r="K1882" s="184"/>
      <c r="L1882" s="184"/>
      <c r="M1882" s="59"/>
    </row>
    <row r="1883" spans="2:13" x14ac:dyDescent="0.3">
      <c r="B1883" s="178"/>
      <c r="C1883" s="203"/>
      <c r="D1883" s="180"/>
      <c r="E1883" s="181"/>
      <c r="F1883" s="182"/>
      <c r="G1883" s="1" t="str">
        <f>IFERROR(IF(ventas_b_mes11[[#This Row],[CUIT]]="","-",VLOOKUP(ventas_b_mes11[[#This Row],[CUIT]],Lista_CUIT[#All],2,0)),"CUIT NO CARGADO")</f>
        <v>-</v>
      </c>
      <c r="H1883" s="64">
        <f>ventas_b_mes11[[#This Row],[TOTAL]]/1.21</f>
        <v>0</v>
      </c>
      <c r="I1883" s="183">
        <f>ventas_b_mes11[[#This Row],[IMPORTE NETO]]*0.21</f>
        <v>0</v>
      </c>
      <c r="J1883" s="184"/>
      <c r="K1883" s="184"/>
      <c r="L1883" s="184"/>
      <c r="M1883" s="59"/>
    </row>
    <row r="1884" spans="2:13" x14ac:dyDescent="0.3">
      <c r="B1884" s="178"/>
      <c r="C1884" s="203"/>
      <c r="D1884" s="180"/>
      <c r="E1884" s="181"/>
      <c r="F1884" s="182"/>
      <c r="G1884" s="1" t="str">
        <f>IFERROR(IF(ventas_b_mes11[[#This Row],[CUIT]]="","-",VLOOKUP(ventas_b_mes11[[#This Row],[CUIT]],Lista_CUIT[#All],2,0)),"CUIT NO CARGADO")</f>
        <v>-</v>
      </c>
      <c r="H1884" s="64">
        <f>ventas_b_mes11[[#This Row],[TOTAL]]/1.21</f>
        <v>0</v>
      </c>
      <c r="I1884" s="183">
        <f>ventas_b_mes11[[#This Row],[IMPORTE NETO]]*0.21</f>
        <v>0</v>
      </c>
      <c r="J1884" s="184"/>
      <c r="K1884" s="184"/>
      <c r="L1884" s="184"/>
      <c r="M1884" s="59"/>
    </row>
    <row r="1885" spans="2:13" x14ac:dyDescent="0.3">
      <c r="B1885" s="178"/>
      <c r="C1885" s="203"/>
      <c r="D1885" s="180"/>
      <c r="E1885" s="181"/>
      <c r="F1885" s="182"/>
      <c r="G1885" s="1" t="str">
        <f>IFERROR(IF(ventas_b_mes11[[#This Row],[CUIT]]="","-",VLOOKUP(ventas_b_mes11[[#This Row],[CUIT]],Lista_CUIT[#All],2,0)),"CUIT NO CARGADO")</f>
        <v>-</v>
      </c>
      <c r="H1885" s="64">
        <f>ventas_b_mes11[[#This Row],[TOTAL]]/1.21</f>
        <v>0</v>
      </c>
      <c r="I1885" s="183">
        <f>ventas_b_mes11[[#This Row],[IMPORTE NETO]]*0.21</f>
        <v>0</v>
      </c>
      <c r="J1885" s="184"/>
      <c r="K1885" s="184"/>
      <c r="L1885" s="184"/>
      <c r="M1885" s="59"/>
    </row>
    <row r="1886" spans="2:13" x14ac:dyDescent="0.3">
      <c r="B1886" s="178"/>
      <c r="C1886" s="203"/>
      <c r="D1886" s="180"/>
      <c r="E1886" s="181"/>
      <c r="F1886" s="182"/>
      <c r="G1886" s="1" t="str">
        <f>IFERROR(IF(ventas_b_mes11[[#This Row],[CUIT]]="","-",VLOOKUP(ventas_b_mes11[[#This Row],[CUIT]],Lista_CUIT[#All],2,0)),"CUIT NO CARGADO")</f>
        <v>-</v>
      </c>
      <c r="H1886" s="64">
        <f>ventas_b_mes11[[#This Row],[TOTAL]]/1.21</f>
        <v>0</v>
      </c>
      <c r="I1886" s="183">
        <f>ventas_b_mes11[[#This Row],[IMPORTE NETO]]*0.21</f>
        <v>0</v>
      </c>
      <c r="J1886" s="184"/>
      <c r="K1886" s="184"/>
      <c r="L1886" s="184"/>
      <c r="M1886" s="59"/>
    </row>
    <row r="1887" spans="2:13" x14ac:dyDescent="0.3">
      <c r="B1887" s="178"/>
      <c r="C1887" s="203"/>
      <c r="D1887" s="180"/>
      <c r="E1887" s="181"/>
      <c r="F1887" s="182"/>
      <c r="G1887" s="1" t="str">
        <f>IFERROR(IF(ventas_b_mes11[[#This Row],[CUIT]]="","-",VLOOKUP(ventas_b_mes11[[#This Row],[CUIT]],Lista_CUIT[#All],2,0)),"CUIT NO CARGADO")</f>
        <v>-</v>
      </c>
      <c r="H1887" s="64">
        <f>ventas_b_mes11[[#This Row],[TOTAL]]/1.21</f>
        <v>0</v>
      </c>
      <c r="I1887" s="183">
        <f>ventas_b_mes11[[#This Row],[IMPORTE NETO]]*0.21</f>
        <v>0</v>
      </c>
      <c r="J1887" s="184"/>
      <c r="K1887" s="184"/>
      <c r="L1887" s="184"/>
      <c r="M1887" s="59"/>
    </row>
    <row r="1888" spans="2:13" x14ac:dyDescent="0.3">
      <c r="B1888" s="178"/>
      <c r="C1888" s="203"/>
      <c r="D1888" s="180"/>
      <c r="E1888" s="181"/>
      <c r="F1888" s="182"/>
      <c r="G1888" s="1" t="str">
        <f>IFERROR(IF(ventas_b_mes11[[#This Row],[CUIT]]="","-",VLOOKUP(ventas_b_mes11[[#This Row],[CUIT]],Lista_CUIT[#All],2,0)),"CUIT NO CARGADO")</f>
        <v>-</v>
      </c>
      <c r="H1888" s="64">
        <f>ventas_b_mes11[[#This Row],[TOTAL]]/1.21</f>
        <v>0</v>
      </c>
      <c r="I1888" s="183">
        <f>ventas_b_mes11[[#This Row],[IMPORTE NETO]]*0.21</f>
        <v>0</v>
      </c>
      <c r="J1888" s="184"/>
      <c r="K1888" s="184"/>
      <c r="L1888" s="184"/>
      <c r="M1888" s="59"/>
    </row>
    <row r="1889" spans="2:13" x14ac:dyDescent="0.3">
      <c r="B1889" s="178"/>
      <c r="C1889" s="203"/>
      <c r="D1889" s="180"/>
      <c r="E1889" s="181"/>
      <c r="F1889" s="182"/>
      <c r="G1889" s="1" t="str">
        <f>IFERROR(IF(ventas_b_mes11[[#This Row],[CUIT]]="","-",VLOOKUP(ventas_b_mes11[[#This Row],[CUIT]],Lista_CUIT[#All],2,0)),"CUIT NO CARGADO")</f>
        <v>-</v>
      </c>
      <c r="H1889" s="64">
        <f>ventas_b_mes11[[#This Row],[TOTAL]]/1.21</f>
        <v>0</v>
      </c>
      <c r="I1889" s="183">
        <f>ventas_b_mes11[[#This Row],[IMPORTE NETO]]*0.21</f>
        <v>0</v>
      </c>
      <c r="J1889" s="184"/>
      <c r="K1889" s="184"/>
      <c r="L1889" s="184"/>
      <c r="M1889" s="59"/>
    </row>
    <row r="1890" spans="2:13" x14ac:dyDescent="0.3">
      <c r="B1890" s="178"/>
      <c r="C1890" s="203"/>
      <c r="D1890" s="180"/>
      <c r="E1890" s="181"/>
      <c r="F1890" s="182"/>
      <c r="G1890" s="1" t="str">
        <f>IFERROR(IF(ventas_b_mes11[[#This Row],[CUIT]]="","-",VLOOKUP(ventas_b_mes11[[#This Row],[CUIT]],Lista_CUIT[#All],2,0)),"CUIT NO CARGADO")</f>
        <v>-</v>
      </c>
      <c r="H1890" s="64">
        <f>ventas_b_mes11[[#This Row],[TOTAL]]/1.21</f>
        <v>0</v>
      </c>
      <c r="I1890" s="183">
        <f>ventas_b_mes11[[#This Row],[IMPORTE NETO]]*0.21</f>
        <v>0</v>
      </c>
      <c r="J1890" s="184"/>
      <c r="K1890" s="184"/>
      <c r="L1890" s="184"/>
      <c r="M1890" s="59"/>
    </row>
    <row r="1891" spans="2:13" x14ac:dyDescent="0.3">
      <c r="B1891" s="178"/>
      <c r="C1891" s="203"/>
      <c r="D1891" s="180"/>
      <c r="E1891" s="181"/>
      <c r="F1891" s="182"/>
      <c r="G1891" s="1" t="str">
        <f>IFERROR(IF(ventas_b_mes11[[#This Row],[CUIT]]="","-",VLOOKUP(ventas_b_mes11[[#This Row],[CUIT]],Lista_CUIT[#All],2,0)),"CUIT NO CARGADO")</f>
        <v>-</v>
      </c>
      <c r="H1891" s="64">
        <f>ventas_b_mes11[[#This Row],[TOTAL]]/1.21</f>
        <v>0</v>
      </c>
      <c r="I1891" s="183">
        <f>ventas_b_mes11[[#This Row],[IMPORTE NETO]]*0.21</f>
        <v>0</v>
      </c>
      <c r="J1891" s="184"/>
      <c r="K1891" s="184"/>
      <c r="L1891" s="184"/>
      <c r="M1891" s="59"/>
    </row>
    <row r="1892" spans="2:13" x14ac:dyDescent="0.3">
      <c r="B1892" s="178"/>
      <c r="C1892" s="203"/>
      <c r="D1892" s="180"/>
      <c r="E1892" s="181"/>
      <c r="F1892" s="182"/>
      <c r="G1892" s="1" t="str">
        <f>IFERROR(IF(ventas_b_mes11[[#This Row],[CUIT]]="","-",VLOOKUP(ventas_b_mes11[[#This Row],[CUIT]],Lista_CUIT[#All],2,0)),"CUIT NO CARGADO")</f>
        <v>-</v>
      </c>
      <c r="H1892" s="64">
        <f>ventas_b_mes11[[#This Row],[TOTAL]]/1.21</f>
        <v>0</v>
      </c>
      <c r="I1892" s="183">
        <f>ventas_b_mes11[[#This Row],[IMPORTE NETO]]*0.21</f>
        <v>0</v>
      </c>
      <c r="J1892" s="184"/>
      <c r="K1892" s="184"/>
      <c r="L1892" s="184"/>
      <c r="M1892" s="59"/>
    </row>
    <row r="1893" spans="2:13" x14ac:dyDescent="0.3">
      <c r="B1893" s="178"/>
      <c r="C1893" s="179"/>
      <c r="D1893" s="180"/>
      <c r="E1893" s="181"/>
      <c r="F1893" s="182"/>
      <c r="G1893" s="1" t="str">
        <f>IFERROR(IF(ventas_b_mes11[[#This Row],[CUIT]]="","-",VLOOKUP(ventas_b_mes11[[#This Row],[CUIT]],Lista_CUIT[#All],2,0)),"CUIT NO CARGADO")</f>
        <v>-</v>
      </c>
      <c r="H1893" s="64">
        <f>ventas_b_mes11[[#This Row],[TOTAL]]/1.21</f>
        <v>0</v>
      </c>
      <c r="I1893" s="183">
        <f>ventas_b_mes11[[#This Row],[IMPORTE NETO]]*0.21</f>
        <v>0</v>
      </c>
      <c r="J1893" s="184"/>
      <c r="K1893" s="184"/>
      <c r="L1893" s="184"/>
      <c r="M1893" s="59"/>
    </row>
    <row r="1894" spans="2:13" x14ac:dyDescent="0.3">
      <c r="B1894" s="178"/>
      <c r="C1894" s="179"/>
      <c r="D1894" s="180"/>
      <c r="E1894" s="181"/>
      <c r="F1894" s="182"/>
      <c r="G1894" s="1" t="str">
        <f>IFERROR(IF(ventas_b_mes11[[#This Row],[CUIT]]="","-",VLOOKUP(ventas_b_mes11[[#This Row],[CUIT]],Lista_CUIT[#All],2,0)),"CUIT NO CARGADO")</f>
        <v>-</v>
      </c>
      <c r="H1894" s="64">
        <f>ventas_b_mes11[[#This Row],[TOTAL]]/1.21</f>
        <v>0</v>
      </c>
      <c r="I1894" s="183">
        <f>ventas_b_mes11[[#This Row],[IMPORTE NETO]]*0.21</f>
        <v>0</v>
      </c>
      <c r="J1894" s="184"/>
      <c r="K1894" s="184"/>
      <c r="L1894" s="184"/>
      <c r="M1894" s="59"/>
    </row>
    <row r="1895" spans="2:13" x14ac:dyDescent="0.3">
      <c r="B1895" s="178"/>
      <c r="C1895" s="179"/>
      <c r="D1895" s="180"/>
      <c r="E1895" s="181"/>
      <c r="F1895" s="182"/>
      <c r="G1895" s="1" t="str">
        <f>IFERROR(IF(ventas_b_mes11[[#This Row],[CUIT]]="","-",VLOOKUP(ventas_b_mes11[[#This Row],[CUIT]],Lista_CUIT[#All],2,0)),"CUIT NO CARGADO")</f>
        <v>-</v>
      </c>
      <c r="H1895" s="64">
        <f>ventas_b_mes11[[#This Row],[TOTAL]]/1.21</f>
        <v>0</v>
      </c>
      <c r="I1895" s="183">
        <f>ventas_b_mes11[[#This Row],[IMPORTE NETO]]*0.21</f>
        <v>0</v>
      </c>
      <c r="J1895" s="184"/>
      <c r="K1895" s="184"/>
      <c r="L1895" s="184"/>
      <c r="M1895" s="59"/>
    </row>
    <row r="1896" spans="2:13" x14ac:dyDescent="0.3">
      <c r="B1896" s="178"/>
      <c r="C1896" s="179"/>
      <c r="D1896" s="180"/>
      <c r="E1896" s="181"/>
      <c r="F1896" s="182"/>
      <c r="G1896" s="1" t="str">
        <f>IFERROR(IF(ventas_b_mes11[[#This Row],[CUIT]]="","-",VLOOKUP(ventas_b_mes11[[#This Row],[CUIT]],Lista_CUIT[#All],2,0)),"CUIT NO CARGADO")</f>
        <v>-</v>
      </c>
      <c r="H1896" s="64">
        <f>ventas_b_mes11[[#This Row],[TOTAL]]/1.21</f>
        <v>0</v>
      </c>
      <c r="I1896" s="183">
        <f>ventas_b_mes11[[#This Row],[IMPORTE NETO]]*0.21</f>
        <v>0</v>
      </c>
      <c r="J1896" s="184"/>
      <c r="K1896" s="184"/>
      <c r="L1896" s="184"/>
      <c r="M1896" s="59"/>
    </row>
    <row r="1897" spans="2:13" x14ac:dyDescent="0.3">
      <c r="B1897" s="178"/>
      <c r="C1897" s="179"/>
      <c r="D1897" s="180"/>
      <c r="E1897" s="181"/>
      <c r="F1897" s="182"/>
      <c r="G1897" s="1" t="str">
        <f>IFERROR(IF(ventas_b_mes11[[#This Row],[CUIT]]="","-",VLOOKUP(ventas_b_mes11[[#This Row],[CUIT]],Lista_CUIT[#All],2,0)),"CUIT NO CARGADO")</f>
        <v>-</v>
      </c>
      <c r="H1897" s="64">
        <f>ventas_b_mes11[[#This Row],[TOTAL]]/1.21</f>
        <v>0</v>
      </c>
      <c r="I1897" s="183">
        <f>ventas_b_mes11[[#This Row],[IMPORTE NETO]]*0.21</f>
        <v>0</v>
      </c>
      <c r="J1897" s="184"/>
      <c r="K1897" s="184"/>
      <c r="L1897" s="184"/>
      <c r="M1897" s="59"/>
    </row>
    <row r="1898" spans="2:13" x14ac:dyDescent="0.3">
      <c r="B1898" s="178"/>
      <c r="C1898" s="203"/>
      <c r="D1898" s="180"/>
      <c r="E1898" s="181"/>
      <c r="F1898" s="182"/>
      <c r="G1898" s="1" t="str">
        <f>IFERROR(IF(ventas_b_mes11[[#This Row],[CUIT]]="","-",VLOOKUP(ventas_b_mes11[[#This Row],[CUIT]],Lista_CUIT[#All],2,0)),"CUIT NO CARGADO")</f>
        <v>-</v>
      </c>
      <c r="H1898" s="64">
        <f>ventas_b_mes11[[#This Row],[TOTAL]]/1.21</f>
        <v>0</v>
      </c>
      <c r="I1898" s="183">
        <f>ventas_b_mes11[[#This Row],[IMPORTE NETO]]*0.21</f>
        <v>0</v>
      </c>
      <c r="J1898" s="184"/>
      <c r="K1898" s="184"/>
      <c r="L1898" s="184"/>
      <c r="M1898" s="59"/>
    </row>
    <row r="1899" spans="2:13" x14ac:dyDescent="0.3">
      <c r="B1899" s="178"/>
      <c r="C1899" s="179"/>
      <c r="D1899" s="180"/>
      <c r="E1899" s="181"/>
      <c r="F1899" s="182"/>
      <c r="G1899" s="1" t="str">
        <f>IFERROR(IF(ventas_b_mes11[[#This Row],[CUIT]]="","-",VLOOKUP(ventas_b_mes11[[#This Row],[CUIT]],Lista_CUIT[#All],2,0)),"CUIT NO CARGADO")</f>
        <v>-</v>
      </c>
      <c r="H1899" s="64">
        <f>ventas_b_mes11[[#This Row],[TOTAL]]/1.21</f>
        <v>0</v>
      </c>
      <c r="I1899" s="183">
        <f>ventas_b_mes11[[#This Row],[IMPORTE NETO]]*0.21</f>
        <v>0</v>
      </c>
      <c r="J1899" s="184"/>
      <c r="K1899" s="184"/>
      <c r="L1899" s="184"/>
      <c r="M1899" s="59"/>
    </row>
    <row r="1900" spans="2:13" x14ac:dyDescent="0.3">
      <c r="B1900" s="178"/>
      <c r="C1900" s="179"/>
      <c r="D1900" s="180"/>
      <c r="E1900" s="181"/>
      <c r="F1900" s="182"/>
      <c r="G1900" s="1" t="str">
        <f>IFERROR(IF(ventas_b_mes11[[#This Row],[CUIT]]="","-",VLOOKUP(ventas_b_mes11[[#This Row],[CUIT]],Lista_CUIT[#All],2,0)),"CUIT NO CARGADO")</f>
        <v>-</v>
      </c>
      <c r="H1900" s="64">
        <f>ventas_b_mes11[[#This Row],[TOTAL]]/1.21</f>
        <v>0</v>
      </c>
      <c r="I1900" s="183">
        <f>ventas_b_mes11[[#This Row],[IMPORTE NETO]]*0.21</f>
        <v>0</v>
      </c>
      <c r="J1900" s="184"/>
      <c r="K1900" s="184"/>
      <c r="L1900" s="184"/>
      <c r="M1900" s="59"/>
    </row>
    <row r="1901" spans="2:13" x14ac:dyDescent="0.3">
      <c r="B1901" s="178"/>
      <c r="C1901" s="179"/>
      <c r="D1901" s="180"/>
      <c r="E1901" s="181"/>
      <c r="F1901" s="182"/>
      <c r="G1901" s="1" t="str">
        <f>IFERROR(IF(ventas_b_mes11[[#This Row],[CUIT]]="","-",VLOOKUP(ventas_b_mes11[[#This Row],[CUIT]],Lista_CUIT[#All],2,0)),"CUIT NO CARGADO")</f>
        <v>-</v>
      </c>
      <c r="H1901" s="64">
        <f>ventas_b_mes11[[#This Row],[TOTAL]]/1.21</f>
        <v>0</v>
      </c>
      <c r="I1901" s="183">
        <f>ventas_b_mes11[[#This Row],[IMPORTE NETO]]*0.21</f>
        <v>0</v>
      </c>
      <c r="J1901" s="184"/>
      <c r="K1901" s="184"/>
      <c r="L1901" s="184"/>
      <c r="M1901" s="59"/>
    </row>
    <row r="1902" spans="2:13" x14ac:dyDescent="0.3">
      <c r="B1902" s="178"/>
      <c r="C1902" s="179"/>
      <c r="D1902" s="180"/>
      <c r="E1902" s="181"/>
      <c r="F1902" s="182"/>
      <c r="G1902" s="1" t="str">
        <f>IFERROR(IF(ventas_b_mes11[[#This Row],[CUIT]]="","-",VLOOKUP(ventas_b_mes11[[#This Row],[CUIT]],Lista_CUIT[#All],2,0)),"CUIT NO CARGADO")</f>
        <v>-</v>
      </c>
      <c r="H1902" s="64">
        <f>ventas_b_mes11[[#This Row],[TOTAL]]/1.21</f>
        <v>0</v>
      </c>
      <c r="I1902" s="183">
        <f>ventas_b_mes11[[#This Row],[IMPORTE NETO]]*0.21</f>
        <v>0</v>
      </c>
      <c r="J1902" s="184"/>
      <c r="K1902" s="184"/>
      <c r="L1902" s="184"/>
      <c r="M1902" s="59"/>
    </row>
    <row r="1903" spans="2:13" x14ac:dyDescent="0.3">
      <c r="B1903" s="178"/>
      <c r="C1903" s="179"/>
      <c r="D1903" s="180"/>
      <c r="E1903" s="181"/>
      <c r="F1903" s="182"/>
      <c r="G1903" s="1" t="str">
        <f>IFERROR(IF(ventas_b_mes11[[#This Row],[CUIT]]="","-",VLOOKUP(ventas_b_mes11[[#This Row],[CUIT]],Lista_CUIT[#All],2,0)),"CUIT NO CARGADO")</f>
        <v>-</v>
      </c>
      <c r="H1903" s="64">
        <f>ventas_b_mes11[[#This Row],[TOTAL]]/1.21</f>
        <v>0</v>
      </c>
      <c r="I1903" s="183">
        <f>ventas_b_mes11[[#This Row],[IMPORTE NETO]]*0.21</f>
        <v>0</v>
      </c>
      <c r="J1903" s="184"/>
      <c r="K1903" s="184"/>
      <c r="L1903" s="184"/>
      <c r="M1903" s="59"/>
    </row>
    <row r="1904" spans="2:13" x14ac:dyDescent="0.3">
      <c r="B1904" s="178"/>
      <c r="C1904" s="179"/>
      <c r="D1904" s="180"/>
      <c r="E1904" s="181"/>
      <c r="F1904" s="182"/>
      <c r="G1904" s="1" t="str">
        <f>IFERROR(IF(ventas_b_mes11[[#This Row],[CUIT]]="","-",VLOOKUP(ventas_b_mes11[[#This Row],[CUIT]],Lista_CUIT[#All],2,0)),"CUIT NO CARGADO")</f>
        <v>-</v>
      </c>
      <c r="H1904" s="64">
        <f>ventas_b_mes11[[#This Row],[TOTAL]]/1.21</f>
        <v>0</v>
      </c>
      <c r="I1904" s="183">
        <f>ventas_b_mes11[[#This Row],[IMPORTE NETO]]*0.21</f>
        <v>0</v>
      </c>
      <c r="J1904" s="184"/>
      <c r="K1904" s="184"/>
      <c r="L1904" s="184"/>
      <c r="M1904" s="59"/>
    </row>
    <row r="1905" spans="2:13" x14ac:dyDescent="0.3">
      <c r="B1905" s="178"/>
      <c r="C1905" s="179"/>
      <c r="D1905" s="180"/>
      <c r="E1905" s="181"/>
      <c r="F1905" s="182"/>
      <c r="G1905" s="1" t="str">
        <f>IFERROR(IF(ventas_b_mes11[[#This Row],[CUIT]]="","-",VLOOKUP(ventas_b_mes11[[#This Row],[CUIT]],Lista_CUIT[#All],2,0)),"CUIT NO CARGADO")</f>
        <v>-</v>
      </c>
      <c r="H1905" s="64">
        <f>ventas_b_mes11[[#This Row],[TOTAL]]/1.21</f>
        <v>0</v>
      </c>
      <c r="I1905" s="183">
        <f>ventas_b_mes11[[#This Row],[IMPORTE NETO]]*0.21</f>
        <v>0</v>
      </c>
      <c r="J1905" s="184"/>
      <c r="K1905" s="184"/>
      <c r="L1905" s="184"/>
      <c r="M1905" s="59"/>
    </row>
    <row r="1906" spans="2:13" x14ac:dyDescent="0.3">
      <c r="B1906" s="178"/>
      <c r="C1906" s="179"/>
      <c r="D1906" s="180"/>
      <c r="E1906" s="181"/>
      <c r="F1906" s="182"/>
      <c r="G1906" s="1" t="str">
        <f>IFERROR(IF(ventas_b_mes11[[#This Row],[CUIT]]="","-",VLOOKUP(ventas_b_mes11[[#This Row],[CUIT]],Lista_CUIT[#All],2,0)),"CUIT NO CARGADO")</f>
        <v>-</v>
      </c>
      <c r="H1906" s="64">
        <f>ventas_b_mes11[[#This Row],[TOTAL]]/1.21</f>
        <v>0</v>
      </c>
      <c r="I1906" s="183">
        <f>ventas_b_mes11[[#This Row],[IMPORTE NETO]]*0.21</f>
        <v>0</v>
      </c>
      <c r="J1906" s="184"/>
      <c r="K1906" s="184"/>
      <c r="L1906" s="184"/>
      <c r="M1906" s="59"/>
    </row>
    <row r="1907" spans="2:13" x14ac:dyDescent="0.3">
      <c r="B1907" s="178"/>
      <c r="C1907" s="179"/>
      <c r="D1907" s="180"/>
      <c r="E1907" s="181"/>
      <c r="F1907" s="182"/>
      <c r="G1907" s="1" t="str">
        <f>IFERROR(IF(ventas_b_mes11[[#This Row],[CUIT]]="","-",VLOOKUP(ventas_b_mes11[[#This Row],[CUIT]],Lista_CUIT[#All],2,0)),"CUIT NO CARGADO")</f>
        <v>-</v>
      </c>
      <c r="H1907" s="64">
        <f>ventas_b_mes11[[#This Row],[TOTAL]]/1.21</f>
        <v>0</v>
      </c>
      <c r="I1907" s="183">
        <f>ventas_b_mes11[[#This Row],[IMPORTE NETO]]*0.21</f>
        <v>0</v>
      </c>
      <c r="J1907" s="184"/>
      <c r="K1907" s="184"/>
      <c r="L1907" s="184"/>
      <c r="M1907" s="59"/>
    </row>
    <row r="1908" spans="2:13" x14ac:dyDescent="0.3">
      <c r="B1908" s="178"/>
      <c r="C1908" s="179"/>
      <c r="D1908" s="180"/>
      <c r="E1908" s="181"/>
      <c r="F1908" s="182"/>
      <c r="G1908" s="1" t="str">
        <f>IFERROR(IF(ventas_b_mes11[[#This Row],[CUIT]]="","-",VLOOKUP(ventas_b_mes11[[#This Row],[CUIT]],Lista_CUIT[#All],2,0)),"CUIT NO CARGADO")</f>
        <v>-</v>
      </c>
      <c r="H1908" s="64">
        <f>ventas_b_mes11[[#This Row],[TOTAL]]/1.21</f>
        <v>0</v>
      </c>
      <c r="I1908" s="183">
        <f>ventas_b_mes11[[#This Row],[IMPORTE NETO]]*0.21</f>
        <v>0</v>
      </c>
      <c r="J1908" s="184"/>
      <c r="K1908" s="184"/>
      <c r="L1908" s="184"/>
      <c r="M1908" s="59"/>
    </row>
    <row r="1909" spans="2:13" x14ac:dyDescent="0.3">
      <c r="B1909" s="178"/>
      <c r="C1909" s="179"/>
      <c r="D1909" s="180"/>
      <c r="E1909" s="181"/>
      <c r="F1909" s="182"/>
      <c r="G1909" s="1" t="str">
        <f>IFERROR(IF(ventas_b_mes11[[#This Row],[CUIT]]="","-",VLOOKUP(ventas_b_mes11[[#This Row],[CUIT]],Lista_CUIT[#All],2,0)),"CUIT NO CARGADO")</f>
        <v>-</v>
      </c>
      <c r="H1909" s="64">
        <f>ventas_b_mes11[[#This Row],[TOTAL]]/1.21</f>
        <v>0</v>
      </c>
      <c r="I1909" s="183">
        <f>ventas_b_mes11[[#This Row],[IMPORTE NETO]]*0.21</f>
        <v>0</v>
      </c>
      <c r="J1909" s="184"/>
      <c r="K1909" s="184"/>
      <c r="L1909" s="184"/>
      <c r="M1909" s="59"/>
    </row>
    <row r="1910" spans="2:13" x14ac:dyDescent="0.3">
      <c r="B1910" s="178"/>
      <c r="C1910" s="179"/>
      <c r="D1910" s="180"/>
      <c r="E1910" s="181"/>
      <c r="F1910" s="182"/>
      <c r="G1910" s="1" t="str">
        <f>IFERROR(IF(ventas_b_mes11[[#This Row],[CUIT]]="","-",VLOOKUP(ventas_b_mes11[[#This Row],[CUIT]],Lista_CUIT[#All],2,0)),"CUIT NO CARGADO")</f>
        <v>-</v>
      </c>
      <c r="H1910" s="64">
        <f>ventas_b_mes11[[#This Row],[TOTAL]]/1.21</f>
        <v>0</v>
      </c>
      <c r="I1910" s="183">
        <f>ventas_b_mes11[[#This Row],[IMPORTE NETO]]*0.21</f>
        <v>0</v>
      </c>
      <c r="J1910" s="184"/>
      <c r="K1910" s="184"/>
      <c r="L1910" s="184"/>
      <c r="M1910" s="59"/>
    </row>
    <row r="1911" spans="2:13" x14ac:dyDescent="0.3">
      <c r="B1911" s="178"/>
      <c r="C1911" s="179"/>
      <c r="D1911" s="180"/>
      <c r="E1911" s="181"/>
      <c r="F1911" s="182"/>
      <c r="G1911" s="1" t="str">
        <f>IFERROR(IF(ventas_b_mes11[[#This Row],[CUIT]]="","-",VLOOKUP(ventas_b_mes11[[#This Row],[CUIT]],Lista_CUIT[#All],2,0)),"CUIT NO CARGADO")</f>
        <v>-</v>
      </c>
      <c r="H1911" s="64">
        <f>ventas_b_mes11[[#This Row],[TOTAL]]/1.21</f>
        <v>0</v>
      </c>
      <c r="I1911" s="183">
        <f>ventas_b_mes11[[#This Row],[IMPORTE NETO]]*0.21</f>
        <v>0</v>
      </c>
      <c r="J1911" s="184"/>
      <c r="K1911" s="184"/>
      <c r="L1911" s="184"/>
      <c r="M1911" s="59"/>
    </row>
    <row r="1912" spans="2:13" x14ac:dyDescent="0.3">
      <c r="B1912" s="178"/>
      <c r="C1912" s="179"/>
      <c r="D1912" s="180"/>
      <c r="E1912" s="181"/>
      <c r="F1912" s="182"/>
      <c r="G1912" s="1" t="str">
        <f>IFERROR(IF(ventas_b_mes11[[#This Row],[CUIT]]="","-",VLOOKUP(ventas_b_mes11[[#This Row],[CUIT]],Lista_CUIT[#All],2,0)),"CUIT NO CARGADO")</f>
        <v>-</v>
      </c>
      <c r="H1912" s="64">
        <f>ventas_b_mes11[[#This Row],[TOTAL]]/1.21</f>
        <v>0</v>
      </c>
      <c r="I1912" s="183">
        <f>ventas_b_mes11[[#This Row],[IMPORTE NETO]]*0.21</f>
        <v>0</v>
      </c>
      <c r="J1912" s="184"/>
      <c r="K1912" s="184"/>
      <c r="L1912" s="184"/>
      <c r="M1912" s="59"/>
    </row>
    <row r="1913" spans="2:13" x14ac:dyDescent="0.3">
      <c r="B1913" s="178"/>
      <c r="C1913" s="179"/>
      <c r="D1913" s="180"/>
      <c r="E1913" s="181"/>
      <c r="F1913" s="182"/>
      <c r="G1913" s="1" t="str">
        <f>IFERROR(IF(ventas_b_mes11[[#This Row],[CUIT]]="","-",VLOOKUP(ventas_b_mes11[[#This Row],[CUIT]],Lista_CUIT[#All],2,0)),"CUIT NO CARGADO")</f>
        <v>-</v>
      </c>
      <c r="H1913" s="64">
        <f>ventas_b_mes11[[#This Row],[TOTAL]]/1.21</f>
        <v>0</v>
      </c>
      <c r="I1913" s="183">
        <f>ventas_b_mes11[[#This Row],[IMPORTE NETO]]*0.21</f>
        <v>0</v>
      </c>
      <c r="J1913" s="184"/>
      <c r="K1913" s="184"/>
      <c r="L1913" s="184"/>
      <c r="M1913" s="59"/>
    </row>
    <row r="1914" spans="2:13" x14ac:dyDescent="0.3">
      <c r="B1914" s="178"/>
      <c r="C1914" s="179"/>
      <c r="D1914" s="180"/>
      <c r="E1914" s="181"/>
      <c r="F1914" s="182"/>
      <c r="G1914" s="1" t="str">
        <f>IFERROR(IF(ventas_b_mes11[[#This Row],[CUIT]]="","-",VLOOKUP(ventas_b_mes11[[#This Row],[CUIT]],Lista_CUIT[#All],2,0)),"CUIT NO CARGADO")</f>
        <v>-</v>
      </c>
      <c r="H1914" s="64">
        <f>ventas_b_mes11[[#This Row],[TOTAL]]/1.21</f>
        <v>0</v>
      </c>
      <c r="I1914" s="183">
        <f>ventas_b_mes11[[#This Row],[IMPORTE NETO]]*0.21</f>
        <v>0</v>
      </c>
      <c r="J1914" s="184"/>
      <c r="K1914" s="184"/>
      <c r="L1914" s="184"/>
      <c r="M1914" s="59"/>
    </row>
    <row r="1915" spans="2:13" x14ac:dyDescent="0.3">
      <c r="B1915" s="178"/>
      <c r="C1915" s="179"/>
      <c r="D1915" s="180"/>
      <c r="E1915" s="181"/>
      <c r="F1915" s="182"/>
      <c r="G1915" s="1" t="str">
        <f>IFERROR(IF(ventas_b_mes11[[#This Row],[CUIT]]="","-",VLOOKUP(ventas_b_mes11[[#This Row],[CUIT]],Lista_CUIT[#All],2,0)),"CUIT NO CARGADO")</f>
        <v>-</v>
      </c>
      <c r="H1915" s="64">
        <f>ventas_b_mes11[[#This Row],[TOTAL]]/1.21</f>
        <v>0</v>
      </c>
      <c r="I1915" s="183">
        <f>ventas_b_mes11[[#This Row],[IMPORTE NETO]]*0.21</f>
        <v>0</v>
      </c>
      <c r="J1915" s="184"/>
      <c r="K1915" s="184"/>
      <c r="L1915" s="184"/>
      <c r="M1915" s="59"/>
    </row>
    <row r="1916" spans="2:13" x14ac:dyDescent="0.3">
      <c r="B1916" s="178"/>
      <c r="C1916" s="179"/>
      <c r="D1916" s="180"/>
      <c r="E1916" s="181"/>
      <c r="F1916" s="182"/>
      <c r="G1916" s="1" t="str">
        <f>IFERROR(IF(ventas_b_mes11[[#This Row],[CUIT]]="","-",VLOOKUP(ventas_b_mes11[[#This Row],[CUIT]],Lista_CUIT[#All],2,0)),"CUIT NO CARGADO")</f>
        <v>-</v>
      </c>
      <c r="H1916" s="64">
        <f>ventas_b_mes11[[#This Row],[TOTAL]]/1.21</f>
        <v>0</v>
      </c>
      <c r="I1916" s="183">
        <f>ventas_b_mes11[[#This Row],[IMPORTE NETO]]*0.21</f>
        <v>0</v>
      </c>
      <c r="J1916" s="184"/>
      <c r="K1916" s="184"/>
      <c r="L1916" s="184"/>
      <c r="M1916" s="59"/>
    </row>
    <row r="1917" spans="2:13" x14ac:dyDescent="0.3">
      <c r="B1917" s="178"/>
      <c r="C1917" s="179"/>
      <c r="D1917" s="180"/>
      <c r="E1917" s="181"/>
      <c r="F1917" s="182"/>
      <c r="G1917" s="1" t="str">
        <f>IFERROR(IF(ventas_b_mes11[[#This Row],[CUIT]]="","-",VLOOKUP(ventas_b_mes11[[#This Row],[CUIT]],Lista_CUIT[#All],2,0)),"CUIT NO CARGADO")</f>
        <v>-</v>
      </c>
      <c r="H1917" s="64">
        <f>ventas_b_mes11[[#This Row],[TOTAL]]/1.21</f>
        <v>0</v>
      </c>
      <c r="I1917" s="183">
        <f>ventas_b_mes11[[#This Row],[IMPORTE NETO]]*0.21</f>
        <v>0</v>
      </c>
      <c r="J1917" s="184"/>
      <c r="K1917" s="184"/>
      <c r="L1917" s="184"/>
      <c r="M1917" s="59"/>
    </row>
    <row r="1918" spans="2:13" x14ac:dyDescent="0.3">
      <c r="B1918" s="178"/>
      <c r="C1918" s="179"/>
      <c r="D1918" s="180"/>
      <c r="E1918" s="181"/>
      <c r="F1918" s="182"/>
      <c r="G1918" s="1" t="str">
        <f>IFERROR(IF(ventas_b_mes11[[#This Row],[CUIT]]="","-",VLOOKUP(ventas_b_mes11[[#This Row],[CUIT]],Lista_CUIT[#All],2,0)),"CUIT NO CARGADO")</f>
        <v>-</v>
      </c>
      <c r="H1918" s="64">
        <f>ventas_b_mes11[[#This Row],[TOTAL]]/1.21</f>
        <v>0</v>
      </c>
      <c r="I1918" s="183">
        <f>ventas_b_mes11[[#This Row],[IMPORTE NETO]]*0.21</f>
        <v>0</v>
      </c>
      <c r="J1918" s="184"/>
      <c r="K1918" s="184"/>
      <c r="L1918" s="184"/>
      <c r="M1918" s="59"/>
    </row>
    <row r="1919" spans="2:13" x14ac:dyDescent="0.3">
      <c r="B1919" s="178"/>
      <c r="C1919" s="179"/>
      <c r="D1919" s="180"/>
      <c r="E1919" s="181"/>
      <c r="F1919" s="182"/>
      <c r="G1919" s="1" t="str">
        <f>IFERROR(IF(ventas_b_mes11[[#This Row],[CUIT]]="","-",VLOOKUP(ventas_b_mes11[[#This Row],[CUIT]],Lista_CUIT[#All],2,0)),"CUIT NO CARGADO")</f>
        <v>-</v>
      </c>
      <c r="H1919" s="64">
        <f>ventas_b_mes11[[#This Row],[TOTAL]]/1.21</f>
        <v>0</v>
      </c>
      <c r="I1919" s="183">
        <f>ventas_b_mes11[[#This Row],[IMPORTE NETO]]*0.21</f>
        <v>0</v>
      </c>
      <c r="J1919" s="184"/>
      <c r="K1919" s="184"/>
      <c r="L1919" s="184"/>
      <c r="M1919" s="59"/>
    </row>
    <row r="1920" spans="2:13" x14ac:dyDescent="0.3">
      <c r="B1920" s="178"/>
      <c r="C1920" s="179"/>
      <c r="D1920" s="180"/>
      <c r="E1920" s="181"/>
      <c r="F1920" s="182"/>
      <c r="G1920" s="1" t="str">
        <f>IFERROR(IF(ventas_b_mes11[[#This Row],[CUIT]]="","-",VLOOKUP(ventas_b_mes11[[#This Row],[CUIT]],Lista_CUIT[#All],2,0)),"CUIT NO CARGADO")</f>
        <v>-</v>
      </c>
      <c r="H1920" s="64">
        <f>ventas_b_mes11[[#This Row],[TOTAL]]/1.21</f>
        <v>0</v>
      </c>
      <c r="I1920" s="183">
        <f>ventas_b_mes11[[#This Row],[IMPORTE NETO]]*0.21</f>
        <v>0</v>
      </c>
      <c r="J1920" s="184"/>
      <c r="K1920" s="184"/>
      <c r="L1920" s="184"/>
      <c r="M1920" s="59"/>
    </row>
    <row r="1921" spans="2:13" x14ac:dyDescent="0.3">
      <c r="B1921" s="178"/>
      <c r="C1921" s="179"/>
      <c r="D1921" s="180"/>
      <c r="E1921" s="181"/>
      <c r="F1921" s="182"/>
      <c r="G1921" s="1" t="str">
        <f>IFERROR(IF(ventas_b_mes11[[#This Row],[CUIT]]="","-",VLOOKUP(ventas_b_mes11[[#This Row],[CUIT]],Lista_CUIT[#All],2,0)),"CUIT NO CARGADO")</f>
        <v>-</v>
      </c>
      <c r="H1921" s="64">
        <f>ventas_b_mes11[[#This Row],[TOTAL]]/1.21</f>
        <v>0</v>
      </c>
      <c r="I1921" s="183">
        <f>ventas_b_mes11[[#This Row],[IMPORTE NETO]]*0.21</f>
        <v>0</v>
      </c>
      <c r="J1921" s="184"/>
      <c r="K1921" s="184"/>
      <c r="L1921" s="184"/>
      <c r="M1921" s="59"/>
    </row>
    <row r="1922" spans="2:13" x14ac:dyDescent="0.3">
      <c r="B1922" s="178"/>
      <c r="C1922" s="179"/>
      <c r="D1922" s="180"/>
      <c r="E1922" s="181"/>
      <c r="F1922" s="182"/>
      <c r="G1922" s="1" t="str">
        <f>IFERROR(IF(ventas_b_mes11[[#This Row],[CUIT]]="","-",VLOOKUP(ventas_b_mes11[[#This Row],[CUIT]],Lista_CUIT[#All],2,0)),"CUIT NO CARGADO")</f>
        <v>-</v>
      </c>
      <c r="H1922" s="64">
        <f>ventas_b_mes11[[#This Row],[TOTAL]]/1.21</f>
        <v>0</v>
      </c>
      <c r="I1922" s="183">
        <f>ventas_b_mes11[[#This Row],[IMPORTE NETO]]*0.21</f>
        <v>0</v>
      </c>
      <c r="J1922" s="184"/>
      <c r="K1922" s="184"/>
      <c r="L1922" s="184"/>
      <c r="M1922" s="59"/>
    </row>
    <row r="1923" spans="2:13" x14ac:dyDescent="0.3">
      <c r="B1923" s="178"/>
      <c r="C1923" s="179"/>
      <c r="D1923" s="180"/>
      <c r="E1923" s="181"/>
      <c r="F1923" s="182"/>
      <c r="G1923" s="1" t="str">
        <f>IFERROR(IF(ventas_b_mes11[[#This Row],[CUIT]]="","-",VLOOKUP(ventas_b_mes11[[#This Row],[CUIT]],Lista_CUIT[#All],2,0)),"CUIT NO CARGADO")</f>
        <v>-</v>
      </c>
      <c r="H1923" s="64">
        <f>ventas_b_mes11[[#This Row],[TOTAL]]/1.21</f>
        <v>0</v>
      </c>
      <c r="I1923" s="183">
        <f>ventas_b_mes11[[#This Row],[IMPORTE NETO]]*0.21</f>
        <v>0</v>
      </c>
      <c r="J1923" s="184"/>
      <c r="K1923" s="184"/>
      <c r="L1923" s="184"/>
      <c r="M1923" s="59"/>
    </row>
    <row r="1924" spans="2:13" x14ac:dyDescent="0.3">
      <c r="B1924" s="178"/>
      <c r="C1924" s="179"/>
      <c r="D1924" s="180"/>
      <c r="E1924" s="181"/>
      <c r="F1924" s="182"/>
      <c r="G1924" s="1" t="str">
        <f>IFERROR(IF(ventas_b_mes11[[#This Row],[CUIT]]="","-",VLOOKUP(ventas_b_mes11[[#This Row],[CUIT]],Lista_CUIT[#All],2,0)),"CUIT NO CARGADO")</f>
        <v>-</v>
      </c>
      <c r="H1924" s="64">
        <f>ventas_b_mes11[[#This Row],[TOTAL]]/1.21</f>
        <v>0</v>
      </c>
      <c r="I1924" s="183">
        <f>ventas_b_mes11[[#This Row],[IMPORTE NETO]]*0.21</f>
        <v>0</v>
      </c>
      <c r="J1924" s="184"/>
      <c r="K1924" s="184"/>
      <c r="L1924" s="184"/>
      <c r="M1924" s="59"/>
    </row>
    <row r="1925" spans="2:13" x14ac:dyDescent="0.3">
      <c r="B1925" s="178"/>
      <c r="C1925" s="179"/>
      <c r="D1925" s="180"/>
      <c r="E1925" s="181"/>
      <c r="F1925" s="182"/>
      <c r="G1925" s="1" t="str">
        <f>IFERROR(IF(ventas_b_mes11[[#This Row],[CUIT]]="","-",VLOOKUP(ventas_b_mes11[[#This Row],[CUIT]],Lista_CUIT[#All],2,0)),"CUIT NO CARGADO")</f>
        <v>-</v>
      </c>
      <c r="H1925" s="64">
        <f>ventas_b_mes11[[#This Row],[TOTAL]]/1.21</f>
        <v>0</v>
      </c>
      <c r="I1925" s="183">
        <f>ventas_b_mes11[[#This Row],[IMPORTE NETO]]*0.21</f>
        <v>0</v>
      </c>
      <c r="J1925" s="184"/>
      <c r="K1925" s="184"/>
      <c r="L1925" s="184"/>
      <c r="M1925" s="59"/>
    </row>
    <row r="1926" spans="2:13" x14ac:dyDescent="0.3">
      <c r="B1926" s="178"/>
      <c r="C1926" s="179"/>
      <c r="D1926" s="180"/>
      <c r="E1926" s="181"/>
      <c r="F1926" s="182"/>
      <c r="G1926" s="1" t="str">
        <f>IFERROR(IF(ventas_b_mes11[[#This Row],[CUIT]]="","-",VLOOKUP(ventas_b_mes11[[#This Row],[CUIT]],Lista_CUIT[#All],2,0)),"CUIT NO CARGADO")</f>
        <v>-</v>
      </c>
      <c r="H1926" s="64">
        <f>ventas_b_mes11[[#This Row],[TOTAL]]/1.21</f>
        <v>0</v>
      </c>
      <c r="I1926" s="183">
        <f>ventas_b_mes11[[#This Row],[IMPORTE NETO]]*0.21</f>
        <v>0</v>
      </c>
      <c r="J1926" s="184"/>
      <c r="K1926" s="184"/>
      <c r="L1926" s="184"/>
      <c r="M1926" s="59"/>
    </row>
    <row r="1927" spans="2:13" x14ac:dyDescent="0.3">
      <c r="B1927" s="178"/>
      <c r="C1927" s="179"/>
      <c r="D1927" s="180"/>
      <c r="E1927" s="181"/>
      <c r="F1927" s="182"/>
      <c r="G1927" s="1" t="str">
        <f>IFERROR(IF(ventas_b_mes11[[#This Row],[CUIT]]="","-",VLOOKUP(ventas_b_mes11[[#This Row],[CUIT]],Lista_CUIT[#All],2,0)),"CUIT NO CARGADO")</f>
        <v>-</v>
      </c>
      <c r="H1927" s="64">
        <f>ventas_b_mes11[[#This Row],[TOTAL]]/1.21</f>
        <v>0</v>
      </c>
      <c r="I1927" s="183">
        <f>ventas_b_mes11[[#This Row],[IMPORTE NETO]]*0.21</f>
        <v>0</v>
      </c>
      <c r="J1927" s="184"/>
      <c r="K1927" s="184"/>
      <c r="L1927" s="184"/>
      <c r="M1927" s="59"/>
    </row>
    <row r="1928" spans="2:13" x14ac:dyDescent="0.3">
      <c r="B1928" s="178"/>
      <c r="C1928" s="179"/>
      <c r="D1928" s="180"/>
      <c r="E1928" s="181"/>
      <c r="F1928" s="182"/>
      <c r="G1928" s="1" t="str">
        <f>IFERROR(IF(ventas_b_mes11[[#This Row],[CUIT]]="","-",VLOOKUP(ventas_b_mes11[[#This Row],[CUIT]],Lista_CUIT[#All],2,0)),"CUIT NO CARGADO")</f>
        <v>-</v>
      </c>
      <c r="H1928" s="64">
        <f>ventas_b_mes11[[#This Row],[TOTAL]]/1.21</f>
        <v>0</v>
      </c>
      <c r="I1928" s="183">
        <f>ventas_b_mes11[[#This Row],[IMPORTE NETO]]*0.21</f>
        <v>0</v>
      </c>
      <c r="J1928" s="184"/>
      <c r="K1928" s="184"/>
      <c r="L1928" s="184"/>
      <c r="M1928" s="59"/>
    </row>
    <row r="1929" spans="2:13" x14ac:dyDescent="0.3">
      <c r="B1929" s="178"/>
      <c r="C1929" s="179"/>
      <c r="D1929" s="180"/>
      <c r="E1929" s="181"/>
      <c r="F1929" s="182"/>
      <c r="G1929" s="1" t="str">
        <f>IFERROR(IF(ventas_b_mes11[[#This Row],[CUIT]]="","-",VLOOKUP(ventas_b_mes11[[#This Row],[CUIT]],Lista_CUIT[#All],2,0)),"CUIT NO CARGADO")</f>
        <v>-</v>
      </c>
      <c r="H1929" s="64">
        <f>ventas_b_mes11[[#This Row],[TOTAL]]/1.21</f>
        <v>0</v>
      </c>
      <c r="I1929" s="183">
        <f>ventas_b_mes11[[#This Row],[IMPORTE NETO]]*0.21</f>
        <v>0</v>
      </c>
      <c r="J1929" s="184"/>
      <c r="K1929" s="184"/>
      <c r="L1929" s="184"/>
      <c r="M1929" s="59"/>
    </row>
    <row r="1930" spans="2:13" x14ac:dyDescent="0.3">
      <c r="B1930" s="178"/>
      <c r="C1930" s="179"/>
      <c r="D1930" s="180"/>
      <c r="E1930" s="181"/>
      <c r="F1930" s="182"/>
      <c r="G1930" s="1" t="str">
        <f>IFERROR(IF(ventas_b_mes11[[#This Row],[CUIT]]="","-",VLOOKUP(ventas_b_mes11[[#This Row],[CUIT]],Lista_CUIT[#All],2,0)),"CUIT NO CARGADO")</f>
        <v>-</v>
      </c>
      <c r="H1930" s="64">
        <f>ventas_b_mes11[[#This Row],[TOTAL]]/1.21</f>
        <v>0</v>
      </c>
      <c r="I1930" s="183">
        <f>ventas_b_mes11[[#This Row],[IMPORTE NETO]]*0.21</f>
        <v>0</v>
      </c>
      <c r="J1930" s="184"/>
      <c r="K1930" s="184"/>
      <c r="L1930" s="184"/>
      <c r="M1930" s="59"/>
    </row>
    <row r="1931" spans="2:13" x14ac:dyDescent="0.3">
      <c r="B1931" s="178"/>
      <c r="C1931" s="179"/>
      <c r="D1931" s="180"/>
      <c r="E1931" s="181"/>
      <c r="F1931" s="182"/>
      <c r="G1931" s="1" t="str">
        <f>IFERROR(IF(ventas_b_mes11[[#This Row],[CUIT]]="","-",VLOOKUP(ventas_b_mes11[[#This Row],[CUIT]],Lista_CUIT[#All],2,0)),"CUIT NO CARGADO")</f>
        <v>-</v>
      </c>
      <c r="H1931" s="64">
        <f>ventas_b_mes11[[#This Row],[TOTAL]]/1.21</f>
        <v>0</v>
      </c>
      <c r="I1931" s="183">
        <f>ventas_b_mes11[[#This Row],[IMPORTE NETO]]*0.21</f>
        <v>0</v>
      </c>
      <c r="J1931" s="184"/>
      <c r="K1931" s="184"/>
      <c r="L1931" s="184"/>
      <c r="M1931" s="59"/>
    </row>
    <row r="1932" spans="2:13" x14ac:dyDescent="0.3">
      <c r="B1932" s="178"/>
      <c r="C1932" s="179"/>
      <c r="D1932" s="180"/>
      <c r="E1932" s="181"/>
      <c r="F1932" s="182"/>
      <c r="G1932" s="1" t="str">
        <f>IFERROR(IF(ventas_b_mes11[[#This Row],[CUIT]]="","-",VLOOKUP(ventas_b_mes11[[#This Row],[CUIT]],Lista_CUIT[#All],2,0)),"CUIT NO CARGADO")</f>
        <v>-</v>
      </c>
      <c r="H1932" s="64">
        <f>ventas_b_mes11[[#This Row],[TOTAL]]/1.21</f>
        <v>0</v>
      </c>
      <c r="I1932" s="183">
        <f>ventas_b_mes11[[#This Row],[IMPORTE NETO]]*0.21</f>
        <v>0</v>
      </c>
      <c r="J1932" s="184"/>
      <c r="K1932" s="184"/>
      <c r="L1932" s="184"/>
      <c r="M1932" s="59"/>
    </row>
    <row r="1933" spans="2:13" x14ac:dyDescent="0.3">
      <c r="B1933" s="178"/>
      <c r="C1933" s="179"/>
      <c r="D1933" s="180"/>
      <c r="E1933" s="181"/>
      <c r="F1933" s="182"/>
      <c r="G1933" s="1" t="str">
        <f>IFERROR(IF(ventas_b_mes11[[#This Row],[CUIT]]="","-",VLOOKUP(ventas_b_mes11[[#This Row],[CUIT]],Lista_CUIT[#All],2,0)),"CUIT NO CARGADO")</f>
        <v>-</v>
      </c>
      <c r="H1933" s="64">
        <f>ventas_b_mes11[[#This Row],[TOTAL]]/1.21</f>
        <v>0</v>
      </c>
      <c r="I1933" s="183">
        <f>ventas_b_mes11[[#This Row],[IMPORTE NETO]]*0.21</f>
        <v>0</v>
      </c>
      <c r="J1933" s="184"/>
      <c r="K1933" s="184"/>
      <c r="L1933" s="184"/>
      <c r="M1933" s="59"/>
    </row>
    <row r="1934" spans="2:13" x14ac:dyDescent="0.3">
      <c r="B1934" s="178"/>
      <c r="C1934" s="179"/>
      <c r="D1934" s="180"/>
      <c r="E1934" s="181"/>
      <c r="F1934" s="182"/>
      <c r="G1934" s="1" t="str">
        <f>IFERROR(IF(ventas_b_mes11[[#This Row],[CUIT]]="","-",VLOOKUP(ventas_b_mes11[[#This Row],[CUIT]],Lista_CUIT[#All],2,0)),"CUIT NO CARGADO")</f>
        <v>-</v>
      </c>
      <c r="H1934" s="64">
        <f>ventas_b_mes11[[#This Row],[TOTAL]]/1.21</f>
        <v>0</v>
      </c>
      <c r="I1934" s="183">
        <f>ventas_b_mes11[[#This Row],[IMPORTE NETO]]*0.21</f>
        <v>0</v>
      </c>
      <c r="J1934" s="184"/>
      <c r="K1934" s="184"/>
      <c r="L1934" s="184"/>
      <c r="M1934" s="59"/>
    </row>
    <row r="1935" spans="2:13" x14ac:dyDescent="0.3">
      <c r="B1935" s="178"/>
      <c r="C1935" s="179"/>
      <c r="D1935" s="180"/>
      <c r="E1935" s="181"/>
      <c r="F1935" s="182"/>
      <c r="G1935" s="1" t="str">
        <f>IFERROR(IF(ventas_b_mes11[[#This Row],[CUIT]]="","-",VLOOKUP(ventas_b_mes11[[#This Row],[CUIT]],Lista_CUIT[#All],2,0)),"CUIT NO CARGADO")</f>
        <v>-</v>
      </c>
      <c r="H1935" s="64">
        <f>ventas_b_mes11[[#This Row],[TOTAL]]/1.21</f>
        <v>0</v>
      </c>
      <c r="I1935" s="183">
        <f>ventas_b_mes11[[#This Row],[IMPORTE NETO]]*0.21</f>
        <v>0</v>
      </c>
      <c r="J1935" s="184"/>
      <c r="K1935" s="184"/>
      <c r="L1935" s="184"/>
      <c r="M1935" s="59"/>
    </row>
    <row r="1936" spans="2:13" x14ac:dyDescent="0.3">
      <c r="B1936" s="178"/>
      <c r="C1936" s="179"/>
      <c r="D1936" s="180"/>
      <c r="E1936" s="181"/>
      <c r="F1936" s="182"/>
      <c r="G1936" s="1" t="str">
        <f>IFERROR(IF(ventas_b_mes11[[#This Row],[CUIT]]="","-",VLOOKUP(ventas_b_mes11[[#This Row],[CUIT]],Lista_CUIT[#All],2,0)),"CUIT NO CARGADO")</f>
        <v>-</v>
      </c>
      <c r="H1936" s="64">
        <f>ventas_b_mes11[[#This Row],[TOTAL]]/1.21</f>
        <v>0</v>
      </c>
      <c r="I1936" s="183">
        <f>ventas_b_mes11[[#This Row],[IMPORTE NETO]]*0.21</f>
        <v>0</v>
      </c>
      <c r="J1936" s="184"/>
      <c r="K1936" s="184"/>
      <c r="L1936" s="184"/>
      <c r="M1936" s="59"/>
    </row>
    <row r="1937" spans="2:13" x14ac:dyDescent="0.3">
      <c r="B1937" s="178"/>
      <c r="C1937" s="179"/>
      <c r="D1937" s="180"/>
      <c r="E1937" s="181"/>
      <c r="F1937" s="182"/>
      <c r="G1937" s="1" t="str">
        <f>IFERROR(IF(ventas_b_mes11[[#This Row],[CUIT]]="","-",VLOOKUP(ventas_b_mes11[[#This Row],[CUIT]],Lista_CUIT[#All],2,0)),"CUIT NO CARGADO")</f>
        <v>-</v>
      </c>
      <c r="H1937" s="64">
        <f>ventas_b_mes11[[#This Row],[TOTAL]]/1.21</f>
        <v>0</v>
      </c>
      <c r="I1937" s="183">
        <f>ventas_b_mes11[[#This Row],[IMPORTE NETO]]*0.21</f>
        <v>0</v>
      </c>
      <c r="J1937" s="184"/>
      <c r="K1937" s="184"/>
      <c r="L1937" s="184"/>
      <c r="M1937" s="59"/>
    </row>
    <row r="1938" spans="2:13" x14ac:dyDescent="0.3">
      <c r="B1938" s="178"/>
      <c r="C1938" s="179"/>
      <c r="D1938" s="180"/>
      <c r="E1938" s="181"/>
      <c r="F1938" s="182"/>
      <c r="G1938" s="1" t="str">
        <f>IFERROR(IF(ventas_b_mes11[[#This Row],[CUIT]]="","-",VLOOKUP(ventas_b_mes11[[#This Row],[CUIT]],Lista_CUIT[#All],2,0)),"CUIT NO CARGADO")</f>
        <v>-</v>
      </c>
      <c r="H1938" s="64">
        <f>ventas_b_mes11[[#This Row],[TOTAL]]/1.21</f>
        <v>0</v>
      </c>
      <c r="I1938" s="183">
        <f>ventas_b_mes11[[#This Row],[IMPORTE NETO]]*0.21</f>
        <v>0</v>
      </c>
      <c r="J1938" s="184"/>
      <c r="K1938" s="184"/>
      <c r="L1938" s="184"/>
      <c r="M1938" s="59"/>
    </row>
    <row r="1939" spans="2:13" x14ac:dyDescent="0.3">
      <c r="B1939" s="178"/>
      <c r="C1939" s="179"/>
      <c r="D1939" s="180"/>
      <c r="E1939" s="181"/>
      <c r="F1939" s="182"/>
      <c r="G1939" s="1" t="str">
        <f>IFERROR(IF(ventas_b_mes11[[#This Row],[CUIT]]="","-",VLOOKUP(ventas_b_mes11[[#This Row],[CUIT]],Lista_CUIT[#All],2,0)),"CUIT NO CARGADO")</f>
        <v>-</v>
      </c>
      <c r="H1939" s="64">
        <f>ventas_b_mes11[[#This Row],[TOTAL]]/1.21</f>
        <v>0</v>
      </c>
      <c r="I1939" s="183">
        <f>ventas_b_mes11[[#This Row],[IMPORTE NETO]]*0.21</f>
        <v>0</v>
      </c>
      <c r="J1939" s="184"/>
      <c r="K1939" s="184"/>
      <c r="L1939" s="184"/>
      <c r="M1939" s="59"/>
    </row>
    <row r="1940" spans="2:13" x14ac:dyDescent="0.3">
      <c r="B1940" s="178"/>
      <c r="C1940" s="179"/>
      <c r="D1940" s="180"/>
      <c r="E1940" s="181"/>
      <c r="F1940" s="182"/>
      <c r="G1940" s="1" t="str">
        <f>IFERROR(IF(ventas_b_mes11[[#This Row],[CUIT]]="","-",VLOOKUP(ventas_b_mes11[[#This Row],[CUIT]],Lista_CUIT[#All],2,0)),"CUIT NO CARGADO")</f>
        <v>-</v>
      </c>
      <c r="H1940" s="64">
        <f>ventas_b_mes11[[#This Row],[TOTAL]]/1.21</f>
        <v>0</v>
      </c>
      <c r="I1940" s="183">
        <f>ventas_b_mes11[[#This Row],[IMPORTE NETO]]*0.21</f>
        <v>0</v>
      </c>
      <c r="J1940" s="184"/>
      <c r="K1940" s="184"/>
      <c r="L1940" s="184"/>
      <c r="M1940" s="59"/>
    </row>
    <row r="1941" spans="2:13" x14ac:dyDescent="0.3">
      <c r="B1941" s="178"/>
      <c r="C1941" s="179"/>
      <c r="D1941" s="180"/>
      <c r="E1941" s="181"/>
      <c r="F1941" s="182"/>
      <c r="G1941" s="1" t="str">
        <f>IFERROR(IF(ventas_b_mes11[[#This Row],[CUIT]]="","-",VLOOKUP(ventas_b_mes11[[#This Row],[CUIT]],Lista_CUIT[#All],2,0)),"CUIT NO CARGADO")</f>
        <v>-</v>
      </c>
      <c r="H1941" s="64">
        <f>ventas_b_mes11[[#This Row],[TOTAL]]/1.21</f>
        <v>0</v>
      </c>
      <c r="I1941" s="183">
        <f>ventas_b_mes11[[#This Row],[IMPORTE NETO]]*0.21</f>
        <v>0</v>
      </c>
      <c r="J1941" s="184"/>
      <c r="K1941" s="184"/>
      <c r="L1941" s="184"/>
      <c r="M1941" s="59"/>
    </row>
    <row r="1942" spans="2:13" x14ac:dyDescent="0.3">
      <c r="B1942" s="178"/>
      <c r="C1942" s="179"/>
      <c r="D1942" s="180"/>
      <c r="E1942" s="181"/>
      <c r="F1942" s="182"/>
      <c r="G1942" s="1" t="str">
        <f>IFERROR(IF(ventas_b_mes11[[#This Row],[CUIT]]="","-",VLOOKUP(ventas_b_mes11[[#This Row],[CUIT]],Lista_CUIT[#All],2,0)),"CUIT NO CARGADO")</f>
        <v>-</v>
      </c>
      <c r="H1942" s="64">
        <f>ventas_b_mes11[[#This Row],[TOTAL]]/1.21</f>
        <v>0</v>
      </c>
      <c r="I1942" s="183">
        <f>ventas_b_mes11[[#This Row],[IMPORTE NETO]]*0.21</f>
        <v>0</v>
      </c>
      <c r="J1942" s="184"/>
      <c r="K1942" s="184"/>
      <c r="L1942" s="184"/>
      <c r="M1942" s="59"/>
    </row>
    <row r="1943" spans="2:13" x14ac:dyDescent="0.3">
      <c r="B1943" s="178"/>
      <c r="C1943" s="179"/>
      <c r="D1943" s="180"/>
      <c r="E1943" s="181"/>
      <c r="F1943" s="182"/>
      <c r="G1943" s="1" t="str">
        <f>IFERROR(IF(ventas_b_mes11[[#This Row],[CUIT]]="","-",VLOOKUP(ventas_b_mes11[[#This Row],[CUIT]],Lista_CUIT[#All],2,0)),"CUIT NO CARGADO")</f>
        <v>-</v>
      </c>
      <c r="H1943" s="64">
        <f>ventas_b_mes11[[#This Row],[TOTAL]]/1.21</f>
        <v>0</v>
      </c>
      <c r="I1943" s="183">
        <f>ventas_b_mes11[[#This Row],[IMPORTE NETO]]*0.21</f>
        <v>0</v>
      </c>
      <c r="J1943" s="184"/>
      <c r="K1943" s="184"/>
      <c r="L1943" s="184"/>
      <c r="M1943" s="59"/>
    </row>
    <row r="1944" spans="2:13" x14ac:dyDescent="0.3">
      <c r="B1944" s="178"/>
      <c r="C1944" s="179"/>
      <c r="D1944" s="180"/>
      <c r="E1944" s="181"/>
      <c r="F1944" s="182"/>
      <c r="G1944" s="1" t="str">
        <f>IFERROR(IF(ventas_b_mes11[[#This Row],[CUIT]]="","-",VLOOKUP(ventas_b_mes11[[#This Row],[CUIT]],Lista_CUIT[#All],2,0)),"CUIT NO CARGADO")</f>
        <v>-</v>
      </c>
      <c r="H1944" s="64">
        <f>ventas_b_mes11[[#This Row],[TOTAL]]/1.21</f>
        <v>0</v>
      </c>
      <c r="I1944" s="183">
        <f>ventas_b_mes11[[#This Row],[IMPORTE NETO]]*0.21</f>
        <v>0</v>
      </c>
      <c r="J1944" s="184"/>
      <c r="K1944" s="184"/>
      <c r="L1944" s="184"/>
      <c r="M1944" s="59"/>
    </row>
    <row r="1945" spans="2:13" x14ac:dyDescent="0.3">
      <c r="B1945" s="178"/>
      <c r="C1945" s="179"/>
      <c r="D1945" s="180"/>
      <c r="E1945" s="181"/>
      <c r="F1945" s="182"/>
      <c r="G1945" s="1" t="str">
        <f>IFERROR(IF(ventas_b_mes11[[#This Row],[CUIT]]="","-",VLOOKUP(ventas_b_mes11[[#This Row],[CUIT]],Lista_CUIT[#All],2,0)),"CUIT NO CARGADO")</f>
        <v>-</v>
      </c>
      <c r="H1945" s="64">
        <f>ventas_b_mes11[[#This Row],[TOTAL]]/1.21</f>
        <v>0</v>
      </c>
      <c r="I1945" s="183">
        <f>ventas_b_mes11[[#This Row],[IMPORTE NETO]]*0.21</f>
        <v>0</v>
      </c>
      <c r="J1945" s="184"/>
      <c r="K1945" s="184"/>
      <c r="L1945" s="184"/>
      <c r="M1945" s="59"/>
    </row>
    <row r="1946" spans="2:13" x14ac:dyDescent="0.3">
      <c r="B1946" s="178"/>
      <c r="C1946" s="179"/>
      <c r="D1946" s="180"/>
      <c r="E1946" s="181"/>
      <c r="F1946" s="182"/>
      <c r="G1946" s="1" t="str">
        <f>IFERROR(IF(ventas_b_mes11[[#This Row],[CUIT]]="","-",VLOOKUP(ventas_b_mes11[[#This Row],[CUIT]],Lista_CUIT[#All],2,0)),"CUIT NO CARGADO")</f>
        <v>-</v>
      </c>
      <c r="H1946" s="64">
        <f>ventas_b_mes11[[#This Row],[TOTAL]]/1.21</f>
        <v>0</v>
      </c>
      <c r="I1946" s="183">
        <f>ventas_b_mes11[[#This Row],[IMPORTE NETO]]*0.21</f>
        <v>0</v>
      </c>
      <c r="J1946" s="184"/>
      <c r="K1946" s="184"/>
      <c r="L1946" s="184"/>
      <c r="M1946" s="59"/>
    </row>
    <row r="1947" spans="2:13" x14ac:dyDescent="0.3">
      <c r="B1947" s="178"/>
      <c r="C1947" s="179"/>
      <c r="D1947" s="180"/>
      <c r="E1947" s="181"/>
      <c r="F1947" s="182"/>
      <c r="G1947" s="1" t="str">
        <f>IFERROR(IF(ventas_b_mes11[[#This Row],[CUIT]]="","-",VLOOKUP(ventas_b_mes11[[#This Row],[CUIT]],Lista_CUIT[#All],2,0)),"CUIT NO CARGADO")</f>
        <v>-</v>
      </c>
      <c r="H1947" s="64">
        <f>ventas_b_mes11[[#This Row],[TOTAL]]/1.21</f>
        <v>0</v>
      </c>
      <c r="I1947" s="183">
        <f>ventas_b_mes11[[#This Row],[IMPORTE NETO]]*0.21</f>
        <v>0</v>
      </c>
      <c r="J1947" s="184"/>
      <c r="K1947" s="184"/>
      <c r="L1947" s="184"/>
      <c r="M1947" s="59"/>
    </row>
    <row r="1948" spans="2:13" x14ac:dyDescent="0.3">
      <c r="B1948" s="178"/>
      <c r="C1948" s="179"/>
      <c r="D1948" s="180"/>
      <c r="E1948" s="181"/>
      <c r="F1948" s="182"/>
      <c r="G1948" s="1" t="str">
        <f>IFERROR(IF(ventas_b_mes11[[#This Row],[CUIT]]="","-",VLOOKUP(ventas_b_mes11[[#This Row],[CUIT]],Lista_CUIT[#All],2,0)),"CUIT NO CARGADO")</f>
        <v>-</v>
      </c>
      <c r="H1948" s="64">
        <f>ventas_b_mes11[[#This Row],[TOTAL]]/1.21</f>
        <v>0</v>
      </c>
      <c r="I1948" s="183">
        <f>ventas_b_mes11[[#This Row],[IMPORTE NETO]]*0.21</f>
        <v>0</v>
      </c>
      <c r="J1948" s="184"/>
      <c r="K1948" s="184"/>
      <c r="L1948" s="184"/>
      <c r="M1948" s="59"/>
    </row>
    <row r="1949" spans="2:13" x14ac:dyDescent="0.3">
      <c r="B1949" s="178"/>
      <c r="C1949" s="179"/>
      <c r="D1949" s="180"/>
      <c r="E1949" s="181"/>
      <c r="F1949" s="182"/>
      <c r="G1949" s="1" t="str">
        <f>IFERROR(IF(ventas_b_mes11[[#This Row],[CUIT]]="","-",VLOOKUP(ventas_b_mes11[[#This Row],[CUIT]],Lista_CUIT[#All],2,0)),"CUIT NO CARGADO")</f>
        <v>-</v>
      </c>
      <c r="H1949" s="64">
        <f>ventas_b_mes11[[#This Row],[TOTAL]]/1.21</f>
        <v>0</v>
      </c>
      <c r="I1949" s="183">
        <f>ventas_b_mes11[[#This Row],[IMPORTE NETO]]*0.21</f>
        <v>0</v>
      </c>
      <c r="J1949" s="184"/>
      <c r="K1949" s="184"/>
      <c r="L1949" s="184"/>
      <c r="M1949" s="59"/>
    </row>
    <row r="1950" spans="2:13" x14ac:dyDescent="0.3">
      <c r="B1950" s="178"/>
      <c r="C1950" s="179"/>
      <c r="D1950" s="180"/>
      <c r="E1950" s="181"/>
      <c r="F1950" s="182"/>
      <c r="G1950" s="1" t="str">
        <f>IFERROR(IF(ventas_b_mes11[[#This Row],[CUIT]]="","-",VLOOKUP(ventas_b_mes11[[#This Row],[CUIT]],Lista_CUIT[#All],2,0)),"CUIT NO CARGADO")</f>
        <v>-</v>
      </c>
      <c r="H1950" s="64">
        <f>ventas_b_mes11[[#This Row],[TOTAL]]/1.21</f>
        <v>0</v>
      </c>
      <c r="I1950" s="183">
        <f>ventas_b_mes11[[#This Row],[IMPORTE NETO]]*0.21</f>
        <v>0</v>
      </c>
      <c r="J1950" s="184"/>
      <c r="K1950" s="184"/>
      <c r="L1950" s="184"/>
      <c r="M1950" s="59"/>
    </row>
    <row r="1951" spans="2:13" x14ac:dyDescent="0.3">
      <c r="B1951" s="178"/>
      <c r="C1951" s="179"/>
      <c r="D1951" s="180"/>
      <c r="E1951" s="181"/>
      <c r="F1951" s="182"/>
      <c r="G1951" s="1" t="str">
        <f>IFERROR(IF(ventas_b_mes11[[#This Row],[CUIT]]="","-",VLOOKUP(ventas_b_mes11[[#This Row],[CUIT]],Lista_CUIT[#All],2,0)),"CUIT NO CARGADO")</f>
        <v>-</v>
      </c>
      <c r="H1951" s="64">
        <f>ventas_b_mes11[[#This Row],[TOTAL]]/1.21</f>
        <v>0</v>
      </c>
      <c r="I1951" s="183">
        <f>ventas_b_mes11[[#This Row],[IMPORTE NETO]]*0.21</f>
        <v>0</v>
      </c>
      <c r="J1951" s="184"/>
      <c r="K1951" s="184"/>
      <c r="L1951" s="184"/>
      <c r="M1951" s="59"/>
    </row>
    <row r="1952" spans="2:13" x14ac:dyDescent="0.3">
      <c r="B1952" s="178"/>
      <c r="C1952" s="179"/>
      <c r="D1952" s="180"/>
      <c r="E1952" s="181"/>
      <c r="F1952" s="182"/>
      <c r="G1952" s="1" t="str">
        <f>IFERROR(IF(ventas_b_mes11[[#This Row],[CUIT]]="","-",VLOOKUP(ventas_b_mes11[[#This Row],[CUIT]],Lista_CUIT[#All],2,0)),"CUIT NO CARGADO")</f>
        <v>-</v>
      </c>
      <c r="H1952" s="64">
        <f>ventas_b_mes11[[#This Row],[TOTAL]]/1.21</f>
        <v>0</v>
      </c>
      <c r="I1952" s="183">
        <f>ventas_b_mes11[[#This Row],[IMPORTE NETO]]*0.21</f>
        <v>0</v>
      </c>
      <c r="J1952" s="184"/>
      <c r="K1952" s="184"/>
      <c r="L1952" s="184"/>
      <c r="M1952" s="59"/>
    </row>
    <row r="1953" spans="2:13" x14ac:dyDescent="0.3">
      <c r="B1953" s="178"/>
      <c r="C1953" s="179"/>
      <c r="D1953" s="180"/>
      <c r="E1953" s="181"/>
      <c r="F1953" s="182"/>
      <c r="G1953" s="1" t="str">
        <f>IFERROR(IF(ventas_b_mes11[[#This Row],[CUIT]]="","-",VLOOKUP(ventas_b_mes11[[#This Row],[CUIT]],Lista_CUIT[#All],2,0)),"CUIT NO CARGADO")</f>
        <v>-</v>
      </c>
      <c r="H1953" s="64">
        <f>ventas_b_mes11[[#This Row],[TOTAL]]/1.21</f>
        <v>0</v>
      </c>
      <c r="I1953" s="183">
        <f>ventas_b_mes11[[#This Row],[IMPORTE NETO]]*0.21</f>
        <v>0</v>
      </c>
      <c r="J1953" s="184"/>
      <c r="K1953" s="184"/>
      <c r="L1953" s="184"/>
      <c r="M1953" s="59"/>
    </row>
    <row r="1954" spans="2:13" x14ac:dyDescent="0.3">
      <c r="B1954" s="178"/>
      <c r="C1954" s="179"/>
      <c r="D1954" s="180"/>
      <c r="E1954" s="181"/>
      <c r="F1954" s="182"/>
      <c r="G1954" s="1" t="str">
        <f>IFERROR(IF(ventas_b_mes11[[#This Row],[CUIT]]="","-",VLOOKUP(ventas_b_mes11[[#This Row],[CUIT]],Lista_CUIT[#All],2,0)),"CUIT NO CARGADO")</f>
        <v>-</v>
      </c>
      <c r="H1954" s="64">
        <f>ventas_b_mes11[[#This Row],[TOTAL]]/1.21</f>
        <v>0</v>
      </c>
      <c r="I1954" s="183">
        <f>ventas_b_mes11[[#This Row],[IMPORTE NETO]]*0.21</f>
        <v>0</v>
      </c>
      <c r="J1954" s="184"/>
      <c r="K1954" s="184"/>
      <c r="L1954" s="184"/>
      <c r="M1954" s="59"/>
    </row>
    <row r="1955" spans="2:13" x14ac:dyDescent="0.3">
      <c r="B1955" s="178"/>
      <c r="C1955" s="179"/>
      <c r="D1955" s="180"/>
      <c r="E1955" s="181"/>
      <c r="F1955" s="182"/>
      <c r="G1955" s="1" t="str">
        <f>IFERROR(IF(ventas_b_mes11[[#This Row],[CUIT]]="","-",VLOOKUP(ventas_b_mes11[[#This Row],[CUIT]],Lista_CUIT[#All],2,0)),"CUIT NO CARGADO")</f>
        <v>-</v>
      </c>
      <c r="H1955" s="64">
        <f>ventas_b_mes11[[#This Row],[TOTAL]]/1.21</f>
        <v>0</v>
      </c>
      <c r="I1955" s="183">
        <f>ventas_b_mes11[[#This Row],[IMPORTE NETO]]*0.21</f>
        <v>0</v>
      </c>
      <c r="J1955" s="184"/>
      <c r="K1955" s="184"/>
      <c r="L1955" s="184"/>
      <c r="M1955" s="59"/>
    </row>
    <row r="1956" spans="2:13" x14ac:dyDescent="0.3">
      <c r="B1956" s="178"/>
      <c r="C1956" s="179"/>
      <c r="D1956" s="180"/>
      <c r="E1956" s="181"/>
      <c r="F1956" s="182"/>
      <c r="G1956" s="1" t="str">
        <f>IFERROR(IF(ventas_b_mes11[[#This Row],[CUIT]]="","-",VLOOKUP(ventas_b_mes11[[#This Row],[CUIT]],Lista_CUIT[#All],2,0)),"CUIT NO CARGADO")</f>
        <v>-</v>
      </c>
      <c r="H1956" s="64">
        <f>ventas_b_mes11[[#This Row],[TOTAL]]/1.21</f>
        <v>0</v>
      </c>
      <c r="I1956" s="183">
        <f>ventas_b_mes11[[#This Row],[IMPORTE NETO]]*0.21</f>
        <v>0</v>
      </c>
      <c r="J1956" s="184"/>
      <c r="K1956" s="184"/>
      <c r="L1956" s="184"/>
      <c r="M1956" s="59"/>
    </row>
    <row r="1957" spans="2:13" x14ac:dyDescent="0.3">
      <c r="B1957" s="178"/>
      <c r="C1957" s="179"/>
      <c r="D1957" s="180"/>
      <c r="E1957" s="181"/>
      <c r="F1957" s="182"/>
      <c r="G1957" s="1" t="str">
        <f>IFERROR(IF(ventas_b_mes11[[#This Row],[CUIT]]="","-",VLOOKUP(ventas_b_mes11[[#This Row],[CUIT]],Lista_CUIT[#All],2,0)),"CUIT NO CARGADO")</f>
        <v>-</v>
      </c>
      <c r="H1957" s="64">
        <f>ventas_b_mes11[[#This Row],[TOTAL]]/1.21</f>
        <v>0</v>
      </c>
      <c r="I1957" s="183">
        <f>ventas_b_mes11[[#This Row],[IMPORTE NETO]]*0.21</f>
        <v>0</v>
      </c>
      <c r="J1957" s="184"/>
      <c r="K1957" s="184"/>
      <c r="L1957" s="184"/>
      <c r="M1957" s="59"/>
    </row>
    <row r="1958" spans="2:13" x14ac:dyDescent="0.3">
      <c r="B1958" s="178"/>
      <c r="C1958" s="179"/>
      <c r="D1958" s="180"/>
      <c r="E1958" s="181"/>
      <c r="F1958" s="182"/>
      <c r="G1958" s="1" t="str">
        <f>IFERROR(IF(ventas_b_mes11[[#This Row],[CUIT]]="","-",VLOOKUP(ventas_b_mes11[[#This Row],[CUIT]],Lista_CUIT[#All],2,0)),"CUIT NO CARGADO")</f>
        <v>-</v>
      </c>
      <c r="H1958" s="64">
        <f>ventas_b_mes11[[#This Row],[TOTAL]]/1.21</f>
        <v>0</v>
      </c>
      <c r="I1958" s="183">
        <f>ventas_b_mes11[[#This Row],[IMPORTE NETO]]*0.21</f>
        <v>0</v>
      </c>
      <c r="J1958" s="184"/>
      <c r="K1958" s="184"/>
      <c r="L1958" s="184"/>
      <c r="M1958" s="59"/>
    </row>
    <row r="1959" spans="2:13" x14ac:dyDescent="0.3">
      <c r="B1959" s="178"/>
      <c r="C1959" s="179"/>
      <c r="D1959" s="180"/>
      <c r="E1959" s="181"/>
      <c r="F1959" s="182"/>
      <c r="G1959" s="1" t="str">
        <f>IFERROR(IF(ventas_b_mes11[[#This Row],[CUIT]]="","-",VLOOKUP(ventas_b_mes11[[#This Row],[CUIT]],Lista_CUIT[#All],2,0)),"CUIT NO CARGADO")</f>
        <v>-</v>
      </c>
      <c r="H1959" s="64">
        <f>ventas_b_mes11[[#This Row],[TOTAL]]/1.21</f>
        <v>0</v>
      </c>
      <c r="I1959" s="183">
        <f>ventas_b_mes11[[#This Row],[IMPORTE NETO]]*0.21</f>
        <v>0</v>
      </c>
      <c r="J1959" s="184"/>
      <c r="K1959" s="184"/>
      <c r="L1959" s="184"/>
      <c r="M1959" s="59"/>
    </row>
    <row r="1960" spans="2:13" x14ac:dyDescent="0.3">
      <c r="B1960" s="178"/>
      <c r="C1960" s="179"/>
      <c r="D1960" s="180"/>
      <c r="E1960" s="181"/>
      <c r="F1960" s="182"/>
      <c r="G1960" s="1" t="str">
        <f>IFERROR(IF(ventas_b_mes11[[#This Row],[CUIT]]="","-",VLOOKUP(ventas_b_mes11[[#This Row],[CUIT]],Lista_CUIT[#All],2,0)),"CUIT NO CARGADO")</f>
        <v>-</v>
      </c>
      <c r="H1960" s="64">
        <f>ventas_b_mes11[[#This Row],[TOTAL]]/1.21</f>
        <v>0</v>
      </c>
      <c r="I1960" s="183">
        <f>ventas_b_mes11[[#This Row],[IMPORTE NETO]]*0.21</f>
        <v>0</v>
      </c>
      <c r="J1960" s="184"/>
      <c r="K1960" s="184"/>
      <c r="L1960" s="184"/>
      <c r="M1960" s="59"/>
    </row>
    <row r="1961" spans="2:13" x14ac:dyDescent="0.3">
      <c r="B1961" s="178"/>
      <c r="C1961" s="179"/>
      <c r="D1961" s="180"/>
      <c r="E1961" s="181"/>
      <c r="F1961" s="182"/>
      <c r="G1961" s="1" t="str">
        <f>IFERROR(IF(ventas_b_mes11[[#This Row],[CUIT]]="","-",VLOOKUP(ventas_b_mes11[[#This Row],[CUIT]],Lista_CUIT[#All],2,0)),"CUIT NO CARGADO")</f>
        <v>-</v>
      </c>
      <c r="H1961" s="64">
        <f>ventas_b_mes11[[#This Row],[TOTAL]]/1.21</f>
        <v>0</v>
      </c>
      <c r="I1961" s="183">
        <f>ventas_b_mes11[[#This Row],[IMPORTE NETO]]*0.21</f>
        <v>0</v>
      </c>
      <c r="J1961" s="184"/>
      <c r="K1961" s="184"/>
      <c r="L1961" s="184"/>
      <c r="M1961" s="59"/>
    </row>
    <row r="1962" spans="2:13" x14ac:dyDescent="0.3">
      <c r="B1962" s="178"/>
      <c r="C1962" s="179"/>
      <c r="D1962" s="180"/>
      <c r="E1962" s="181"/>
      <c r="F1962" s="182"/>
      <c r="G1962" s="1" t="str">
        <f>IFERROR(IF(ventas_b_mes11[[#This Row],[CUIT]]="","-",VLOOKUP(ventas_b_mes11[[#This Row],[CUIT]],Lista_CUIT[#All],2,0)),"CUIT NO CARGADO")</f>
        <v>-</v>
      </c>
      <c r="H1962" s="64">
        <f>ventas_b_mes11[[#This Row],[TOTAL]]/1.21</f>
        <v>0</v>
      </c>
      <c r="I1962" s="183">
        <f>ventas_b_mes11[[#This Row],[IMPORTE NETO]]*0.21</f>
        <v>0</v>
      </c>
      <c r="J1962" s="184"/>
      <c r="K1962" s="184"/>
      <c r="L1962" s="184"/>
      <c r="M1962" s="59"/>
    </row>
    <row r="1963" spans="2:13" x14ac:dyDescent="0.3">
      <c r="B1963" s="178"/>
      <c r="C1963" s="179"/>
      <c r="D1963" s="180"/>
      <c r="E1963" s="181"/>
      <c r="F1963" s="182"/>
      <c r="G1963" s="1" t="str">
        <f>IFERROR(IF(ventas_b_mes11[[#This Row],[CUIT]]="","-",VLOOKUP(ventas_b_mes11[[#This Row],[CUIT]],Lista_CUIT[#All],2,0)),"CUIT NO CARGADO")</f>
        <v>-</v>
      </c>
      <c r="H1963" s="64">
        <f>ventas_b_mes11[[#This Row],[TOTAL]]/1.21</f>
        <v>0</v>
      </c>
      <c r="I1963" s="183">
        <f>ventas_b_mes11[[#This Row],[IMPORTE NETO]]*0.21</f>
        <v>0</v>
      </c>
      <c r="J1963" s="184"/>
      <c r="K1963" s="184"/>
      <c r="L1963" s="184"/>
      <c r="M1963" s="59"/>
    </row>
    <row r="1964" spans="2:13" x14ac:dyDescent="0.3">
      <c r="B1964" s="178"/>
      <c r="C1964" s="179"/>
      <c r="D1964" s="180"/>
      <c r="E1964" s="181"/>
      <c r="F1964" s="182"/>
      <c r="G1964" s="1" t="str">
        <f>IFERROR(IF(ventas_b_mes11[[#This Row],[CUIT]]="","-",VLOOKUP(ventas_b_mes11[[#This Row],[CUIT]],Lista_CUIT[#All],2,0)),"CUIT NO CARGADO")</f>
        <v>-</v>
      </c>
      <c r="H1964" s="64">
        <f>ventas_b_mes11[[#This Row],[TOTAL]]/1.21</f>
        <v>0</v>
      </c>
      <c r="I1964" s="183">
        <f>ventas_b_mes11[[#This Row],[IMPORTE NETO]]*0.21</f>
        <v>0</v>
      </c>
      <c r="J1964" s="184"/>
      <c r="K1964" s="184"/>
      <c r="L1964" s="184"/>
      <c r="M1964" s="59"/>
    </row>
    <row r="1965" spans="2:13" x14ac:dyDescent="0.3">
      <c r="B1965" s="178"/>
      <c r="C1965" s="179"/>
      <c r="D1965" s="180"/>
      <c r="E1965" s="181"/>
      <c r="F1965" s="182"/>
      <c r="G1965" s="1" t="str">
        <f>IFERROR(IF(ventas_b_mes11[[#This Row],[CUIT]]="","-",VLOOKUP(ventas_b_mes11[[#This Row],[CUIT]],Lista_CUIT[#All],2,0)),"CUIT NO CARGADO")</f>
        <v>-</v>
      </c>
      <c r="H1965" s="64">
        <f>ventas_b_mes11[[#This Row],[TOTAL]]/1.21</f>
        <v>0</v>
      </c>
      <c r="I1965" s="183">
        <f>ventas_b_mes11[[#This Row],[IMPORTE NETO]]*0.21</f>
        <v>0</v>
      </c>
      <c r="J1965" s="184"/>
      <c r="K1965" s="184"/>
      <c r="L1965" s="184"/>
      <c r="M1965" s="59"/>
    </row>
    <row r="1966" spans="2:13" x14ac:dyDescent="0.3">
      <c r="B1966" s="178"/>
      <c r="C1966" s="179"/>
      <c r="D1966" s="180"/>
      <c r="E1966" s="181"/>
      <c r="F1966" s="182"/>
      <c r="G1966" s="1" t="str">
        <f>IFERROR(IF(ventas_b_mes11[[#This Row],[CUIT]]="","-",VLOOKUP(ventas_b_mes11[[#This Row],[CUIT]],Lista_CUIT[#All],2,0)),"CUIT NO CARGADO")</f>
        <v>-</v>
      </c>
      <c r="H1966" s="64">
        <f>ventas_b_mes11[[#This Row],[TOTAL]]/1.21</f>
        <v>0</v>
      </c>
      <c r="I1966" s="183">
        <f>ventas_b_mes11[[#This Row],[IMPORTE NETO]]*0.21</f>
        <v>0</v>
      </c>
      <c r="J1966" s="184"/>
      <c r="K1966" s="184"/>
      <c r="L1966" s="184"/>
      <c r="M1966" s="59"/>
    </row>
    <row r="1967" spans="2:13" x14ac:dyDescent="0.3">
      <c r="B1967" s="178"/>
      <c r="C1967" s="179"/>
      <c r="D1967" s="180"/>
      <c r="E1967" s="181"/>
      <c r="F1967" s="182"/>
      <c r="G1967" s="1" t="str">
        <f>IFERROR(IF(ventas_b_mes11[[#This Row],[CUIT]]="","-",VLOOKUP(ventas_b_mes11[[#This Row],[CUIT]],Lista_CUIT[#All],2,0)),"CUIT NO CARGADO")</f>
        <v>-</v>
      </c>
      <c r="H1967" s="64">
        <f>ventas_b_mes11[[#This Row],[TOTAL]]/1.21</f>
        <v>0</v>
      </c>
      <c r="I1967" s="183">
        <f>ventas_b_mes11[[#This Row],[IMPORTE NETO]]*0.21</f>
        <v>0</v>
      </c>
      <c r="J1967" s="184"/>
      <c r="K1967" s="184"/>
      <c r="L1967" s="184"/>
      <c r="M1967" s="59"/>
    </row>
    <row r="1968" spans="2:13" x14ac:dyDescent="0.3">
      <c r="B1968" s="178"/>
      <c r="C1968" s="179"/>
      <c r="D1968" s="180"/>
      <c r="E1968" s="181"/>
      <c r="F1968" s="182"/>
      <c r="G1968" s="1" t="str">
        <f>IFERROR(IF(ventas_b_mes11[[#This Row],[CUIT]]="","-",VLOOKUP(ventas_b_mes11[[#This Row],[CUIT]],Lista_CUIT[#All],2,0)),"CUIT NO CARGADO")</f>
        <v>-</v>
      </c>
      <c r="H1968" s="64">
        <f>ventas_b_mes11[[#This Row],[TOTAL]]/1.21</f>
        <v>0</v>
      </c>
      <c r="I1968" s="183">
        <f>ventas_b_mes11[[#This Row],[IMPORTE NETO]]*0.21</f>
        <v>0</v>
      </c>
      <c r="J1968" s="184"/>
      <c r="K1968" s="184"/>
      <c r="L1968" s="184"/>
      <c r="M1968" s="59"/>
    </row>
    <row r="1969" spans="2:13" x14ac:dyDescent="0.3">
      <c r="B1969" s="178"/>
      <c r="C1969" s="179"/>
      <c r="D1969" s="180"/>
      <c r="E1969" s="181"/>
      <c r="F1969" s="182"/>
      <c r="G1969" s="1" t="str">
        <f>IFERROR(IF(ventas_b_mes11[[#This Row],[CUIT]]="","-",VLOOKUP(ventas_b_mes11[[#This Row],[CUIT]],Lista_CUIT[#All],2,0)),"CUIT NO CARGADO")</f>
        <v>-</v>
      </c>
      <c r="H1969" s="64">
        <f>ventas_b_mes11[[#This Row],[TOTAL]]/1.21</f>
        <v>0</v>
      </c>
      <c r="I1969" s="183">
        <f>ventas_b_mes11[[#This Row],[IMPORTE NETO]]*0.21</f>
        <v>0</v>
      </c>
      <c r="J1969" s="184"/>
      <c r="K1969" s="184"/>
      <c r="L1969" s="184"/>
      <c r="M1969" s="59"/>
    </row>
    <row r="1970" spans="2:13" x14ac:dyDescent="0.3">
      <c r="B1970" s="178"/>
      <c r="C1970" s="179"/>
      <c r="D1970" s="180"/>
      <c r="E1970" s="181"/>
      <c r="F1970" s="182"/>
      <c r="G1970" s="1" t="str">
        <f>IFERROR(IF(ventas_b_mes11[[#This Row],[CUIT]]="","-",VLOOKUP(ventas_b_mes11[[#This Row],[CUIT]],Lista_CUIT[#All],2,0)),"CUIT NO CARGADO")</f>
        <v>-</v>
      </c>
      <c r="H1970" s="64">
        <f>ventas_b_mes11[[#This Row],[TOTAL]]/1.21</f>
        <v>0</v>
      </c>
      <c r="I1970" s="183">
        <f>ventas_b_mes11[[#This Row],[IMPORTE NETO]]*0.21</f>
        <v>0</v>
      </c>
      <c r="J1970" s="184"/>
      <c r="K1970" s="184"/>
      <c r="L1970" s="184"/>
      <c r="M1970" s="59"/>
    </row>
    <row r="1971" spans="2:13" x14ac:dyDescent="0.3">
      <c r="B1971" s="178"/>
      <c r="C1971" s="179"/>
      <c r="D1971" s="180"/>
      <c r="E1971" s="181"/>
      <c r="F1971" s="182"/>
      <c r="G1971" s="1" t="str">
        <f>IFERROR(IF(ventas_b_mes11[[#This Row],[CUIT]]="","-",VLOOKUP(ventas_b_mes11[[#This Row],[CUIT]],Lista_CUIT[#All],2,0)),"CUIT NO CARGADO")</f>
        <v>-</v>
      </c>
      <c r="H1971" s="64">
        <f>ventas_b_mes11[[#This Row],[TOTAL]]/1.21</f>
        <v>0</v>
      </c>
      <c r="I1971" s="183">
        <f>ventas_b_mes11[[#This Row],[IMPORTE NETO]]*0.21</f>
        <v>0</v>
      </c>
      <c r="J1971" s="184"/>
      <c r="K1971" s="184"/>
      <c r="L1971" s="184"/>
      <c r="M1971" s="59"/>
    </row>
    <row r="1972" spans="2:13" x14ac:dyDescent="0.3">
      <c r="B1972" s="178"/>
      <c r="C1972" s="179"/>
      <c r="D1972" s="180"/>
      <c r="E1972" s="181"/>
      <c r="F1972" s="182"/>
      <c r="G1972" s="1" t="str">
        <f>IFERROR(IF(ventas_b_mes11[[#This Row],[CUIT]]="","-",VLOOKUP(ventas_b_mes11[[#This Row],[CUIT]],Lista_CUIT[#All],2,0)),"CUIT NO CARGADO")</f>
        <v>-</v>
      </c>
      <c r="H1972" s="64">
        <f>ventas_b_mes11[[#This Row],[TOTAL]]/1.21</f>
        <v>0</v>
      </c>
      <c r="I1972" s="183">
        <f>ventas_b_mes11[[#This Row],[IMPORTE NETO]]*0.21</f>
        <v>0</v>
      </c>
      <c r="J1972" s="184"/>
      <c r="K1972" s="184"/>
      <c r="L1972" s="184"/>
      <c r="M1972" s="59"/>
    </row>
    <row r="1973" spans="2:13" x14ac:dyDescent="0.3">
      <c r="B1973" s="178"/>
      <c r="C1973" s="179"/>
      <c r="D1973" s="180"/>
      <c r="E1973" s="181"/>
      <c r="F1973" s="182"/>
      <c r="G1973" s="1" t="str">
        <f>IFERROR(IF(ventas_b_mes11[[#This Row],[CUIT]]="","-",VLOOKUP(ventas_b_mes11[[#This Row],[CUIT]],Lista_CUIT[#All],2,0)),"CUIT NO CARGADO")</f>
        <v>-</v>
      </c>
      <c r="H1973" s="64">
        <f>ventas_b_mes11[[#This Row],[TOTAL]]/1.21</f>
        <v>0</v>
      </c>
      <c r="I1973" s="183">
        <f>ventas_b_mes11[[#This Row],[IMPORTE NETO]]*0.21</f>
        <v>0</v>
      </c>
      <c r="J1973" s="184"/>
      <c r="K1973" s="184"/>
      <c r="L1973" s="184"/>
      <c r="M1973" s="59"/>
    </row>
    <row r="1974" spans="2:13" x14ac:dyDescent="0.3">
      <c r="B1974" s="178"/>
      <c r="C1974" s="179"/>
      <c r="D1974" s="180"/>
      <c r="E1974" s="181"/>
      <c r="F1974" s="182"/>
      <c r="G1974" s="1" t="str">
        <f>IFERROR(IF(ventas_b_mes11[[#This Row],[CUIT]]="","-",VLOOKUP(ventas_b_mes11[[#This Row],[CUIT]],Lista_CUIT[#All],2,0)),"CUIT NO CARGADO")</f>
        <v>-</v>
      </c>
      <c r="H1974" s="64">
        <f>ventas_b_mes11[[#This Row],[TOTAL]]/1.21</f>
        <v>0</v>
      </c>
      <c r="I1974" s="183">
        <f>ventas_b_mes11[[#This Row],[IMPORTE NETO]]*0.21</f>
        <v>0</v>
      </c>
      <c r="J1974" s="184"/>
      <c r="K1974" s="184"/>
      <c r="L1974" s="184"/>
      <c r="M1974" s="59"/>
    </row>
    <row r="1975" spans="2:13" x14ac:dyDescent="0.3">
      <c r="B1975" s="178"/>
      <c r="C1975" s="179"/>
      <c r="D1975" s="180"/>
      <c r="E1975" s="181"/>
      <c r="F1975" s="182"/>
      <c r="G1975" s="1" t="str">
        <f>IFERROR(IF(ventas_b_mes11[[#This Row],[CUIT]]="","-",VLOOKUP(ventas_b_mes11[[#This Row],[CUIT]],Lista_CUIT[#All],2,0)),"CUIT NO CARGADO")</f>
        <v>-</v>
      </c>
      <c r="H1975" s="64">
        <f>ventas_b_mes11[[#This Row],[TOTAL]]/1.21</f>
        <v>0</v>
      </c>
      <c r="I1975" s="183">
        <f>ventas_b_mes11[[#This Row],[IMPORTE NETO]]*0.21</f>
        <v>0</v>
      </c>
      <c r="J1975" s="184"/>
      <c r="K1975" s="184"/>
      <c r="L1975" s="184"/>
      <c r="M1975" s="59"/>
    </row>
    <row r="1976" spans="2:13" x14ac:dyDescent="0.3">
      <c r="B1976" s="178"/>
      <c r="C1976" s="179"/>
      <c r="D1976" s="180"/>
      <c r="E1976" s="181"/>
      <c r="F1976" s="182"/>
      <c r="G1976" s="1" t="str">
        <f>IFERROR(IF(ventas_b_mes11[[#This Row],[CUIT]]="","-",VLOOKUP(ventas_b_mes11[[#This Row],[CUIT]],Lista_CUIT[#All],2,0)),"CUIT NO CARGADO")</f>
        <v>-</v>
      </c>
      <c r="H1976" s="64">
        <f>ventas_b_mes11[[#This Row],[TOTAL]]/1.21</f>
        <v>0</v>
      </c>
      <c r="I1976" s="183">
        <f>ventas_b_mes11[[#This Row],[IMPORTE NETO]]*0.21</f>
        <v>0</v>
      </c>
      <c r="J1976" s="184"/>
      <c r="K1976" s="184"/>
      <c r="L1976" s="184"/>
      <c r="M1976" s="59"/>
    </row>
    <row r="1977" spans="2:13" x14ac:dyDescent="0.3">
      <c r="B1977" s="178"/>
      <c r="C1977" s="179"/>
      <c r="D1977" s="180"/>
      <c r="E1977" s="181"/>
      <c r="F1977" s="182"/>
      <c r="G1977" s="1" t="str">
        <f>IFERROR(IF(ventas_b_mes11[[#This Row],[CUIT]]="","-",VLOOKUP(ventas_b_mes11[[#This Row],[CUIT]],Lista_CUIT[#All],2,0)),"CUIT NO CARGADO")</f>
        <v>-</v>
      </c>
      <c r="H1977" s="64">
        <f>ventas_b_mes11[[#This Row],[TOTAL]]/1.21</f>
        <v>0</v>
      </c>
      <c r="I1977" s="183">
        <f>ventas_b_mes11[[#This Row],[IMPORTE NETO]]*0.21</f>
        <v>0</v>
      </c>
      <c r="J1977" s="184"/>
      <c r="K1977" s="184"/>
      <c r="L1977" s="184"/>
      <c r="M1977" s="59"/>
    </row>
    <row r="1978" spans="2:13" x14ac:dyDescent="0.3">
      <c r="B1978" s="178"/>
      <c r="C1978" s="179"/>
      <c r="D1978" s="180"/>
      <c r="E1978" s="181"/>
      <c r="F1978" s="182"/>
      <c r="G1978" s="1" t="str">
        <f>IFERROR(IF(ventas_b_mes11[[#This Row],[CUIT]]="","-",VLOOKUP(ventas_b_mes11[[#This Row],[CUIT]],Lista_CUIT[#All],2,0)),"CUIT NO CARGADO")</f>
        <v>-</v>
      </c>
      <c r="H1978" s="64">
        <f>ventas_b_mes11[[#This Row],[TOTAL]]/1.21</f>
        <v>0</v>
      </c>
      <c r="I1978" s="183">
        <f>ventas_b_mes11[[#This Row],[IMPORTE NETO]]*0.21</f>
        <v>0</v>
      </c>
      <c r="J1978" s="184"/>
      <c r="K1978" s="184"/>
      <c r="L1978" s="184"/>
      <c r="M1978" s="59"/>
    </row>
    <row r="1979" spans="2:13" x14ac:dyDescent="0.3">
      <c r="B1979" s="178"/>
      <c r="C1979" s="179"/>
      <c r="D1979" s="180"/>
      <c r="E1979" s="181"/>
      <c r="F1979" s="182"/>
      <c r="G1979" s="1" t="str">
        <f>IFERROR(IF(ventas_b_mes11[[#This Row],[CUIT]]="","-",VLOOKUP(ventas_b_mes11[[#This Row],[CUIT]],Lista_CUIT[#All],2,0)),"CUIT NO CARGADO")</f>
        <v>-</v>
      </c>
      <c r="H1979" s="64">
        <f>ventas_b_mes11[[#This Row],[TOTAL]]/1.21</f>
        <v>0</v>
      </c>
      <c r="I1979" s="183">
        <f>ventas_b_mes11[[#This Row],[IMPORTE NETO]]*0.21</f>
        <v>0</v>
      </c>
      <c r="J1979" s="184"/>
      <c r="K1979" s="184"/>
      <c r="L1979" s="184"/>
      <c r="M1979" s="59"/>
    </row>
    <row r="1980" spans="2:13" x14ac:dyDescent="0.3">
      <c r="B1980" s="178"/>
      <c r="C1980" s="179"/>
      <c r="D1980" s="180"/>
      <c r="E1980" s="181"/>
      <c r="F1980" s="182"/>
      <c r="G1980" s="1" t="str">
        <f>IFERROR(IF(ventas_b_mes11[[#This Row],[CUIT]]="","-",VLOOKUP(ventas_b_mes11[[#This Row],[CUIT]],Lista_CUIT[#All],2,0)),"CUIT NO CARGADO")</f>
        <v>-</v>
      </c>
      <c r="H1980" s="64">
        <f>ventas_b_mes11[[#This Row],[TOTAL]]/1.21</f>
        <v>0</v>
      </c>
      <c r="I1980" s="183">
        <f>ventas_b_mes11[[#This Row],[IMPORTE NETO]]*0.21</f>
        <v>0</v>
      </c>
      <c r="J1980" s="184"/>
      <c r="K1980" s="184"/>
      <c r="L1980" s="184"/>
      <c r="M1980" s="59"/>
    </row>
    <row r="1981" spans="2:13" x14ac:dyDescent="0.3">
      <c r="B1981" s="178"/>
      <c r="C1981" s="179"/>
      <c r="D1981" s="180"/>
      <c r="E1981" s="181"/>
      <c r="F1981" s="182"/>
      <c r="G1981" s="1" t="str">
        <f>IFERROR(IF(ventas_b_mes11[[#This Row],[CUIT]]="","-",VLOOKUP(ventas_b_mes11[[#This Row],[CUIT]],Lista_CUIT[#All],2,0)),"CUIT NO CARGADO")</f>
        <v>-</v>
      </c>
      <c r="H1981" s="64">
        <f>ventas_b_mes11[[#This Row],[TOTAL]]/1.21</f>
        <v>0</v>
      </c>
      <c r="I1981" s="183">
        <f>ventas_b_mes11[[#This Row],[IMPORTE NETO]]*0.21</f>
        <v>0</v>
      </c>
      <c r="J1981" s="184"/>
      <c r="K1981" s="184"/>
      <c r="L1981" s="184"/>
      <c r="M1981" s="59"/>
    </row>
    <row r="1982" spans="2:13" x14ac:dyDescent="0.3">
      <c r="B1982" s="178"/>
      <c r="C1982" s="179"/>
      <c r="D1982" s="180"/>
      <c r="E1982" s="181"/>
      <c r="F1982" s="182"/>
      <c r="G1982" s="1" t="str">
        <f>IFERROR(IF(ventas_b_mes11[[#This Row],[CUIT]]="","-",VLOOKUP(ventas_b_mes11[[#This Row],[CUIT]],Lista_CUIT[#All],2,0)),"CUIT NO CARGADO")</f>
        <v>-</v>
      </c>
      <c r="H1982" s="64">
        <f>ventas_b_mes11[[#This Row],[TOTAL]]/1.21</f>
        <v>0</v>
      </c>
      <c r="I1982" s="183">
        <f>ventas_b_mes11[[#This Row],[IMPORTE NETO]]*0.21</f>
        <v>0</v>
      </c>
      <c r="J1982" s="184"/>
      <c r="K1982" s="184"/>
      <c r="L1982" s="184"/>
      <c r="M1982" s="59"/>
    </row>
    <row r="1983" spans="2:13" x14ac:dyDescent="0.3">
      <c r="B1983" s="178"/>
      <c r="C1983" s="179"/>
      <c r="D1983" s="180"/>
      <c r="E1983" s="181"/>
      <c r="F1983" s="182"/>
      <c r="G1983" s="1" t="str">
        <f>IFERROR(IF(ventas_b_mes11[[#This Row],[CUIT]]="","-",VLOOKUP(ventas_b_mes11[[#This Row],[CUIT]],Lista_CUIT[#All],2,0)),"CUIT NO CARGADO")</f>
        <v>-</v>
      </c>
      <c r="H1983" s="64">
        <f>ventas_b_mes11[[#This Row],[TOTAL]]/1.21</f>
        <v>0</v>
      </c>
      <c r="I1983" s="183">
        <f>ventas_b_mes11[[#This Row],[IMPORTE NETO]]*0.21</f>
        <v>0</v>
      </c>
      <c r="J1983" s="184"/>
      <c r="K1983" s="184"/>
      <c r="L1983" s="184"/>
      <c r="M1983" s="59"/>
    </row>
    <row r="1984" spans="2:13" x14ac:dyDescent="0.3">
      <c r="B1984" s="178"/>
      <c r="C1984" s="179"/>
      <c r="D1984" s="180"/>
      <c r="E1984" s="181"/>
      <c r="F1984" s="182"/>
      <c r="G1984" s="1" t="str">
        <f>IFERROR(IF(ventas_b_mes11[[#This Row],[CUIT]]="","-",VLOOKUP(ventas_b_mes11[[#This Row],[CUIT]],Lista_CUIT[#All],2,0)),"CUIT NO CARGADO")</f>
        <v>-</v>
      </c>
      <c r="H1984" s="64">
        <f>ventas_b_mes11[[#This Row],[TOTAL]]/1.21</f>
        <v>0</v>
      </c>
      <c r="I1984" s="183">
        <f>ventas_b_mes11[[#This Row],[IMPORTE NETO]]*0.21</f>
        <v>0</v>
      </c>
      <c r="J1984" s="184"/>
      <c r="K1984" s="184"/>
      <c r="L1984" s="184"/>
      <c r="M1984" s="59"/>
    </row>
    <row r="1985" spans="2:13" x14ac:dyDescent="0.3">
      <c r="B1985" s="178"/>
      <c r="C1985" s="179"/>
      <c r="D1985" s="180"/>
      <c r="E1985" s="181"/>
      <c r="F1985" s="182"/>
      <c r="G1985" s="1" t="str">
        <f>IFERROR(IF(ventas_b_mes11[[#This Row],[CUIT]]="","-",VLOOKUP(ventas_b_mes11[[#This Row],[CUIT]],Lista_CUIT[#All],2,0)),"CUIT NO CARGADO")</f>
        <v>-</v>
      </c>
      <c r="H1985" s="64">
        <f>ventas_b_mes11[[#This Row],[TOTAL]]/1.21</f>
        <v>0</v>
      </c>
      <c r="I1985" s="183">
        <f>ventas_b_mes11[[#This Row],[IMPORTE NETO]]*0.21</f>
        <v>0</v>
      </c>
      <c r="J1985" s="184"/>
      <c r="K1985" s="184"/>
      <c r="L1985" s="184"/>
      <c r="M1985" s="59"/>
    </row>
    <row r="1986" spans="2:13" x14ac:dyDescent="0.3">
      <c r="B1986" s="178"/>
      <c r="C1986" s="179"/>
      <c r="D1986" s="180"/>
      <c r="E1986" s="181"/>
      <c r="F1986" s="182"/>
      <c r="G1986" s="1" t="str">
        <f>IFERROR(IF(ventas_b_mes11[[#This Row],[CUIT]]="","-",VLOOKUP(ventas_b_mes11[[#This Row],[CUIT]],Lista_CUIT[#All],2,0)),"CUIT NO CARGADO")</f>
        <v>-</v>
      </c>
      <c r="H1986" s="64">
        <f>ventas_b_mes11[[#This Row],[TOTAL]]/1.21</f>
        <v>0</v>
      </c>
      <c r="I1986" s="183">
        <f>ventas_b_mes11[[#This Row],[IMPORTE NETO]]*0.21</f>
        <v>0</v>
      </c>
      <c r="J1986" s="184"/>
      <c r="K1986" s="184"/>
      <c r="L1986" s="184"/>
      <c r="M1986" s="59"/>
    </row>
    <row r="1987" spans="2:13" x14ac:dyDescent="0.3">
      <c r="B1987" s="178"/>
      <c r="C1987" s="179"/>
      <c r="D1987" s="180"/>
      <c r="E1987" s="181"/>
      <c r="F1987" s="182"/>
      <c r="G1987" s="1" t="str">
        <f>IFERROR(IF(ventas_b_mes11[[#This Row],[CUIT]]="","-",VLOOKUP(ventas_b_mes11[[#This Row],[CUIT]],Lista_CUIT[#All],2,0)),"CUIT NO CARGADO")</f>
        <v>-</v>
      </c>
      <c r="H1987" s="64">
        <f>ventas_b_mes11[[#This Row],[TOTAL]]/1.21</f>
        <v>0</v>
      </c>
      <c r="I1987" s="183">
        <f>ventas_b_mes11[[#This Row],[IMPORTE NETO]]*0.21</f>
        <v>0</v>
      </c>
      <c r="J1987" s="184"/>
      <c r="K1987" s="184"/>
      <c r="L1987" s="184"/>
      <c r="M1987" s="59"/>
    </row>
    <row r="1988" spans="2:13" x14ac:dyDescent="0.3">
      <c r="B1988" s="178"/>
      <c r="C1988" s="179"/>
      <c r="D1988" s="180"/>
      <c r="E1988" s="181"/>
      <c r="F1988" s="182"/>
      <c r="G1988" s="1" t="str">
        <f>IFERROR(IF(ventas_b_mes11[[#This Row],[CUIT]]="","-",VLOOKUP(ventas_b_mes11[[#This Row],[CUIT]],Lista_CUIT[#All],2,0)),"CUIT NO CARGADO")</f>
        <v>-</v>
      </c>
      <c r="H1988" s="64">
        <f>ventas_b_mes11[[#This Row],[TOTAL]]/1.21</f>
        <v>0</v>
      </c>
      <c r="I1988" s="183">
        <f>ventas_b_mes11[[#This Row],[IMPORTE NETO]]*0.21</f>
        <v>0</v>
      </c>
      <c r="J1988" s="184"/>
      <c r="K1988" s="184"/>
      <c r="L1988" s="184"/>
      <c r="M1988" s="59"/>
    </row>
    <row r="1989" spans="2:13" x14ac:dyDescent="0.3">
      <c r="B1989" s="178"/>
      <c r="C1989" s="179"/>
      <c r="D1989" s="180"/>
      <c r="E1989" s="181"/>
      <c r="F1989" s="182"/>
      <c r="G1989" s="1" t="str">
        <f>IFERROR(IF(ventas_b_mes11[[#This Row],[CUIT]]="","-",VLOOKUP(ventas_b_mes11[[#This Row],[CUIT]],Lista_CUIT[#All],2,0)),"CUIT NO CARGADO")</f>
        <v>-</v>
      </c>
      <c r="H1989" s="64">
        <f>ventas_b_mes11[[#This Row],[TOTAL]]/1.21</f>
        <v>0</v>
      </c>
      <c r="I1989" s="183">
        <f>ventas_b_mes11[[#This Row],[IMPORTE NETO]]*0.21</f>
        <v>0</v>
      </c>
      <c r="J1989" s="184"/>
      <c r="K1989" s="184"/>
      <c r="L1989" s="184"/>
      <c r="M1989" s="59"/>
    </row>
    <row r="1990" spans="2:13" x14ac:dyDescent="0.3">
      <c r="B1990" s="178"/>
      <c r="C1990" s="179"/>
      <c r="D1990" s="180"/>
      <c r="E1990" s="181"/>
      <c r="F1990" s="182"/>
      <c r="G1990" s="1" t="str">
        <f>IFERROR(IF(ventas_b_mes11[[#This Row],[CUIT]]="","-",VLOOKUP(ventas_b_mes11[[#This Row],[CUIT]],Lista_CUIT[#All],2,0)),"CUIT NO CARGADO")</f>
        <v>-</v>
      </c>
      <c r="H1990" s="64">
        <f>ventas_b_mes11[[#This Row],[TOTAL]]/1.21</f>
        <v>0</v>
      </c>
      <c r="I1990" s="183">
        <f>ventas_b_mes11[[#This Row],[IMPORTE NETO]]*0.21</f>
        <v>0</v>
      </c>
      <c r="J1990" s="184"/>
      <c r="K1990" s="184"/>
      <c r="L1990" s="184"/>
      <c r="M1990" s="59"/>
    </row>
    <row r="1991" spans="2:13" x14ac:dyDescent="0.3">
      <c r="B1991" s="178"/>
      <c r="C1991" s="179"/>
      <c r="D1991" s="180"/>
      <c r="E1991" s="181"/>
      <c r="F1991" s="182"/>
      <c r="G1991" s="1" t="str">
        <f>IFERROR(IF(ventas_b_mes11[[#This Row],[CUIT]]="","-",VLOOKUP(ventas_b_mes11[[#This Row],[CUIT]],Lista_CUIT[#All],2,0)),"CUIT NO CARGADO")</f>
        <v>-</v>
      </c>
      <c r="H1991" s="64">
        <f>ventas_b_mes11[[#This Row],[TOTAL]]/1.21</f>
        <v>0</v>
      </c>
      <c r="I1991" s="183">
        <f>ventas_b_mes11[[#This Row],[IMPORTE NETO]]*0.21</f>
        <v>0</v>
      </c>
      <c r="J1991" s="184"/>
      <c r="K1991" s="184"/>
      <c r="L1991" s="184"/>
      <c r="M1991" s="59"/>
    </row>
    <row r="1992" spans="2:13" x14ac:dyDescent="0.3">
      <c r="B1992" s="178"/>
      <c r="C1992" s="179"/>
      <c r="D1992" s="180"/>
      <c r="E1992" s="181"/>
      <c r="F1992" s="182"/>
      <c r="G1992" s="1" t="str">
        <f>IFERROR(IF(ventas_b_mes11[[#This Row],[CUIT]]="","-",VLOOKUP(ventas_b_mes11[[#This Row],[CUIT]],Lista_CUIT[#All],2,0)),"CUIT NO CARGADO")</f>
        <v>-</v>
      </c>
      <c r="H1992" s="64">
        <f>ventas_b_mes11[[#This Row],[TOTAL]]/1.21</f>
        <v>0</v>
      </c>
      <c r="I1992" s="183">
        <f>ventas_b_mes11[[#This Row],[IMPORTE NETO]]*0.21</f>
        <v>0</v>
      </c>
      <c r="J1992" s="184"/>
      <c r="K1992" s="184"/>
      <c r="L1992" s="184"/>
      <c r="M1992" s="59"/>
    </row>
    <row r="1993" spans="2:13" x14ac:dyDescent="0.3">
      <c r="B1993" s="178"/>
      <c r="C1993" s="179"/>
      <c r="D1993" s="180"/>
      <c r="E1993" s="181"/>
      <c r="F1993" s="182"/>
      <c r="G1993" s="1" t="str">
        <f>IFERROR(IF(ventas_b_mes11[[#This Row],[CUIT]]="","-",VLOOKUP(ventas_b_mes11[[#This Row],[CUIT]],Lista_CUIT[#All],2,0)),"CUIT NO CARGADO")</f>
        <v>-</v>
      </c>
      <c r="H1993" s="64">
        <f>ventas_b_mes11[[#This Row],[TOTAL]]/1.21</f>
        <v>0</v>
      </c>
      <c r="I1993" s="183">
        <f>ventas_b_mes11[[#This Row],[IMPORTE NETO]]*0.21</f>
        <v>0</v>
      </c>
      <c r="J1993" s="184"/>
      <c r="K1993" s="184"/>
      <c r="L1993" s="184"/>
      <c r="M1993" s="59"/>
    </row>
    <row r="1994" spans="2:13" x14ac:dyDescent="0.3">
      <c r="B1994" s="178"/>
      <c r="C1994" s="179"/>
      <c r="D1994" s="180"/>
      <c r="E1994" s="181"/>
      <c r="F1994" s="182"/>
      <c r="G1994" s="1" t="str">
        <f>IFERROR(IF(ventas_b_mes11[[#This Row],[CUIT]]="","-",VLOOKUP(ventas_b_mes11[[#This Row],[CUIT]],Lista_CUIT[#All],2,0)),"CUIT NO CARGADO")</f>
        <v>-</v>
      </c>
      <c r="H1994" s="64">
        <f>ventas_b_mes11[[#This Row],[TOTAL]]/1.21</f>
        <v>0</v>
      </c>
      <c r="I1994" s="183">
        <f>ventas_b_mes11[[#This Row],[IMPORTE NETO]]*0.21</f>
        <v>0</v>
      </c>
      <c r="J1994" s="184"/>
      <c r="K1994" s="184"/>
      <c r="L1994" s="184"/>
      <c r="M1994" s="59"/>
    </row>
    <row r="1995" spans="2:13" x14ac:dyDescent="0.3">
      <c r="B1995" s="178"/>
      <c r="C1995" s="179"/>
      <c r="D1995" s="180"/>
      <c r="E1995" s="181"/>
      <c r="F1995" s="182"/>
      <c r="G1995" s="1" t="str">
        <f>IFERROR(IF(ventas_b_mes11[[#This Row],[CUIT]]="","-",VLOOKUP(ventas_b_mes11[[#This Row],[CUIT]],Lista_CUIT[#All],2,0)),"CUIT NO CARGADO")</f>
        <v>-</v>
      </c>
      <c r="H1995" s="64">
        <f>ventas_b_mes11[[#This Row],[TOTAL]]/1.21</f>
        <v>0</v>
      </c>
      <c r="I1995" s="183">
        <f>ventas_b_mes11[[#This Row],[IMPORTE NETO]]*0.21</f>
        <v>0</v>
      </c>
      <c r="J1995" s="184"/>
      <c r="K1995" s="184"/>
      <c r="L1995" s="184"/>
      <c r="M1995" s="59"/>
    </row>
    <row r="1996" spans="2:13" x14ac:dyDescent="0.3">
      <c r="B1996" s="178"/>
      <c r="C1996" s="179"/>
      <c r="D1996" s="180"/>
      <c r="E1996" s="181"/>
      <c r="F1996" s="182"/>
      <c r="G1996" s="1" t="str">
        <f>IFERROR(IF(ventas_b_mes11[[#This Row],[CUIT]]="","-",VLOOKUP(ventas_b_mes11[[#This Row],[CUIT]],Lista_CUIT[#All],2,0)),"CUIT NO CARGADO")</f>
        <v>-</v>
      </c>
      <c r="H1996" s="64">
        <f>ventas_b_mes11[[#This Row],[TOTAL]]/1.21</f>
        <v>0</v>
      </c>
      <c r="I1996" s="183">
        <f>ventas_b_mes11[[#This Row],[IMPORTE NETO]]*0.21</f>
        <v>0</v>
      </c>
      <c r="J1996" s="184"/>
      <c r="K1996" s="184"/>
      <c r="L1996" s="184"/>
      <c r="M1996" s="59"/>
    </row>
    <row r="1997" spans="2:13" x14ac:dyDescent="0.3">
      <c r="B1997" s="178"/>
      <c r="C1997" s="179"/>
      <c r="D1997" s="180"/>
      <c r="E1997" s="181"/>
      <c r="F1997" s="182"/>
      <c r="G1997" s="1" t="str">
        <f>IFERROR(IF(ventas_b_mes11[[#This Row],[CUIT]]="","-",VLOOKUP(ventas_b_mes11[[#This Row],[CUIT]],Lista_CUIT[#All],2,0)),"CUIT NO CARGADO")</f>
        <v>-</v>
      </c>
      <c r="H1997" s="64">
        <f>ventas_b_mes11[[#This Row],[TOTAL]]/1.21</f>
        <v>0</v>
      </c>
      <c r="I1997" s="183">
        <f>ventas_b_mes11[[#This Row],[IMPORTE NETO]]*0.21</f>
        <v>0</v>
      </c>
      <c r="J1997" s="184"/>
      <c r="K1997" s="184"/>
      <c r="L1997" s="184"/>
      <c r="M1997" s="59"/>
    </row>
    <row r="1998" spans="2:13" x14ac:dyDescent="0.3">
      <c r="B1998" s="178"/>
      <c r="C1998" s="179"/>
      <c r="D1998" s="180"/>
      <c r="E1998" s="181"/>
      <c r="F1998" s="182"/>
      <c r="G1998" s="1" t="str">
        <f>IFERROR(IF(ventas_b_mes11[[#This Row],[CUIT]]="","-",VLOOKUP(ventas_b_mes11[[#This Row],[CUIT]],Lista_CUIT[#All],2,0)),"CUIT NO CARGADO")</f>
        <v>-</v>
      </c>
      <c r="H1998" s="64">
        <f>ventas_b_mes11[[#This Row],[TOTAL]]/1.21</f>
        <v>0</v>
      </c>
      <c r="I1998" s="183">
        <f>ventas_b_mes11[[#This Row],[IMPORTE NETO]]*0.21</f>
        <v>0</v>
      </c>
      <c r="J1998" s="184"/>
      <c r="K1998" s="184"/>
      <c r="L1998" s="184"/>
      <c r="M1998" s="59"/>
    </row>
    <row r="1999" spans="2:13" x14ac:dyDescent="0.3">
      <c r="B1999" s="178"/>
      <c r="C1999" s="179"/>
      <c r="D1999" s="180"/>
      <c r="E1999" s="181"/>
      <c r="F1999" s="182"/>
      <c r="G1999" s="1" t="str">
        <f>IFERROR(IF(ventas_b_mes11[[#This Row],[CUIT]]="","-",VLOOKUP(ventas_b_mes11[[#This Row],[CUIT]],Lista_CUIT[#All],2,0)),"CUIT NO CARGADO")</f>
        <v>-</v>
      </c>
      <c r="H1999" s="64">
        <f>ventas_b_mes11[[#This Row],[TOTAL]]/1.21</f>
        <v>0</v>
      </c>
      <c r="I1999" s="183">
        <f>ventas_b_mes11[[#This Row],[IMPORTE NETO]]*0.21</f>
        <v>0</v>
      </c>
      <c r="J1999" s="184"/>
      <c r="K1999" s="184"/>
      <c r="L1999" s="184"/>
      <c r="M1999" s="59"/>
    </row>
    <row r="2000" spans="2:13" x14ac:dyDescent="0.3">
      <c r="B2000" s="178"/>
      <c r="C2000" s="179"/>
      <c r="D2000" s="180"/>
      <c r="E2000" s="181"/>
      <c r="F2000" s="182"/>
      <c r="G2000" s="1" t="str">
        <f>IFERROR(IF(ventas_b_mes11[[#This Row],[CUIT]]="","-",VLOOKUP(ventas_b_mes11[[#This Row],[CUIT]],Lista_CUIT[#All],2,0)),"CUIT NO CARGADO")</f>
        <v>-</v>
      </c>
      <c r="H2000" s="64">
        <f>ventas_b_mes11[[#This Row],[TOTAL]]/1.21</f>
        <v>0</v>
      </c>
      <c r="I2000" s="183">
        <f>ventas_b_mes11[[#This Row],[IMPORTE NETO]]*0.21</f>
        <v>0</v>
      </c>
      <c r="J2000" s="184"/>
      <c r="K2000" s="184"/>
      <c r="L2000" s="184"/>
      <c r="M2000" s="59"/>
    </row>
    <row r="2001" spans="2:13" x14ac:dyDescent="0.3">
      <c r="B2001" s="178"/>
      <c r="C2001" s="179"/>
      <c r="D2001" s="180"/>
      <c r="E2001" s="181"/>
      <c r="F2001" s="182"/>
      <c r="G2001" s="1" t="str">
        <f>IFERROR(IF(ventas_b_mes11[[#This Row],[CUIT]]="","-",VLOOKUP(ventas_b_mes11[[#This Row],[CUIT]],Lista_CUIT[#All],2,0)),"CUIT NO CARGADO")</f>
        <v>-</v>
      </c>
      <c r="H2001" s="64">
        <f>ventas_b_mes11[[#This Row],[TOTAL]]/1.21</f>
        <v>0</v>
      </c>
      <c r="I2001" s="183">
        <f>ventas_b_mes11[[#This Row],[IMPORTE NETO]]*0.21</f>
        <v>0</v>
      </c>
      <c r="J2001" s="184"/>
      <c r="K2001" s="184"/>
      <c r="L2001" s="184"/>
      <c r="M2001" s="59"/>
    </row>
    <row r="2002" spans="2:13" x14ac:dyDescent="0.3">
      <c r="B2002" s="178"/>
      <c r="C2002" s="179"/>
      <c r="D2002" s="180"/>
      <c r="E2002" s="181"/>
      <c r="F2002" s="182"/>
      <c r="G2002" s="1" t="str">
        <f>IFERROR(IF(ventas_b_mes11[[#This Row],[CUIT]]="","-",VLOOKUP(ventas_b_mes11[[#This Row],[CUIT]],Lista_CUIT[#All],2,0)),"CUIT NO CARGADO")</f>
        <v>-</v>
      </c>
      <c r="H2002" s="64">
        <f>ventas_b_mes11[[#This Row],[TOTAL]]/1.21</f>
        <v>0</v>
      </c>
      <c r="I2002" s="183">
        <f>ventas_b_mes11[[#This Row],[IMPORTE NETO]]*0.21</f>
        <v>0</v>
      </c>
      <c r="J2002" s="184"/>
      <c r="K2002" s="184"/>
      <c r="L2002" s="184"/>
      <c r="M2002" s="59"/>
    </row>
    <row r="2003" spans="2:13" x14ac:dyDescent="0.3">
      <c r="B2003" s="178"/>
      <c r="C2003" s="179"/>
      <c r="D2003" s="180"/>
      <c r="E2003" s="181"/>
      <c r="F2003" s="182"/>
      <c r="G2003" s="1" t="str">
        <f>IFERROR(IF(ventas_b_mes11[[#This Row],[CUIT]]="","-",VLOOKUP(ventas_b_mes11[[#This Row],[CUIT]],Lista_CUIT[#All],2,0)),"CUIT NO CARGADO")</f>
        <v>-</v>
      </c>
      <c r="H2003" s="64">
        <f>ventas_b_mes11[[#This Row],[TOTAL]]/1.21</f>
        <v>0</v>
      </c>
      <c r="I2003" s="183">
        <f>ventas_b_mes11[[#This Row],[IMPORTE NETO]]*0.21</f>
        <v>0</v>
      </c>
      <c r="J2003" s="184"/>
      <c r="K2003" s="184"/>
      <c r="L2003" s="184"/>
      <c r="M2003" s="59"/>
    </row>
    <row r="2004" spans="2:13" x14ac:dyDescent="0.3">
      <c r="B2004" s="178"/>
      <c r="C2004" s="179"/>
      <c r="D2004" s="180"/>
      <c r="E2004" s="181"/>
      <c r="F2004" s="182"/>
      <c r="G2004" s="1" t="str">
        <f>IFERROR(IF(ventas_b_mes11[[#This Row],[CUIT]]="","-",VLOOKUP(ventas_b_mes11[[#This Row],[CUIT]],Lista_CUIT[#All],2,0)),"CUIT NO CARGADO")</f>
        <v>-</v>
      </c>
      <c r="H2004" s="64">
        <f>ventas_b_mes11[[#This Row],[TOTAL]]/1.21</f>
        <v>0</v>
      </c>
      <c r="I2004" s="183">
        <f>ventas_b_mes11[[#This Row],[IMPORTE NETO]]*0.21</f>
        <v>0</v>
      </c>
      <c r="J2004" s="184"/>
      <c r="K2004" s="184"/>
      <c r="L2004" s="184"/>
      <c r="M2004" s="59"/>
    </row>
    <row r="2005" spans="2:13" x14ac:dyDescent="0.3">
      <c r="B2005" s="178"/>
      <c r="C2005" s="179"/>
      <c r="D2005" s="180"/>
      <c r="E2005" s="181"/>
      <c r="F2005" s="182"/>
      <c r="G2005" s="1" t="str">
        <f>IFERROR(IF(ventas_b_mes11[[#This Row],[CUIT]]="","-",VLOOKUP(ventas_b_mes11[[#This Row],[CUIT]],Lista_CUIT[#All],2,0)),"CUIT NO CARGADO")</f>
        <v>-</v>
      </c>
      <c r="H2005" s="64">
        <f>ventas_b_mes11[[#This Row],[TOTAL]]/1.21</f>
        <v>0</v>
      </c>
      <c r="I2005" s="183">
        <f>ventas_b_mes11[[#This Row],[IMPORTE NETO]]*0.21</f>
        <v>0</v>
      </c>
      <c r="J2005" s="184"/>
      <c r="K2005" s="184"/>
      <c r="L2005" s="184"/>
      <c r="M2005" s="59"/>
    </row>
    <row r="2006" spans="2:13" x14ac:dyDescent="0.3">
      <c r="B2006" s="178"/>
      <c r="C2006" s="179"/>
      <c r="D2006" s="180"/>
      <c r="E2006" s="181"/>
      <c r="F2006" s="182"/>
      <c r="G2006" s="1" t="str">
        <f>IFERROR(IF(ventas_b_mes11[[#This Row],[CUIT]]="","-",VLOOKUP(ventas_b_mes11[[#This Row],[CUIT]],Lista_CUIT[#All],2,0)),"CUIT NO CARGADO")</f>
        <v>-</v>
      </c>
      <c r="H2006" s="64">
        <f>ventas_b_mes11[[#This Row],[TOTAL]]/1.21</f>
        <v>0</v>
      </c>
      <c r="I2006" s="183">
        <f>ventas_b_mes11[[#This Row],[IMPORTE NETO]]*0.21</f>
        <v>0</v>
      </c>
      <c r="J2006" s="184"/>
      <c r="K2006" s="184"/>
      <c r="L2006" s="184"/>
      <c r="M2006" s="59"/>
    </row>
    <row r="2007" spans="2:13" x14ac:dyDescent="0.3">
      <c r="B2007" s="178"/>
      <c r="C2007" s="179"/>
      <c r="D2007" s="180"/>
      <c r="E2007" s="181"/>
      <c r="F2007" s="182"/>
      <c r="G2007" s="1" t="str">
        <f>IFERROR(IF(ventas_b_mes11[[#This Row],[CUIT]]="","-",VLOOKUP(ventas_b_mes11[[#This Row],[CUIT]],Lista_CUIT[#All],2,0)),"CUIT NO CARGADO")</f>
        <v>-</v>
      </c>
      <c r="H2007" s="64">
        <f>ventas_b_mes11[[#This Row],[TOTAL]]/1.21</f>
        <v>0</v>
      </c>
      <c r="I2007" s="183">
        <f>ventas_b_mes11[[#This Row],[IMPORTE NETO]]*0.21</f>
        <v>0</v>
      </c>
      <c r="J2007" s="184"/>
      <c r="K2007" s="184"/>
      <c r="L2007" s="184"/>
      <c r="M2007" s="59"/>
    </row>
    <row r="2008" spans="2:13" x14ac:dyDescent="0.3">
      <c r="B2008" s="178"/>
      <c r="C2008" s="179"/>
      <c r="D2008" s="180"/>
      <c r="E2008" s="181"/>
      <c r="F2008" s="182"/>
      <c r="G2008" s="1" t="str">
        <f>IFERROR(IF(ventas_b_mes11[[#This Row],[CUIT]]="","-",VLOOKUP(ventas_b_mes11[[#This Row],[CUIT]],Lista_CUIT[#All],2,0)),"CUIT NO CARGADO")</f>
        <v>-</v>
      </c>
      <c r="H2008" s="64">
        <f>ventas_b_mes11[[#This Row],[TOTAL]]/1.21</f>
        <v>0</v>
      </c>
      <c r="I2008" s="183">
        <f>ventas_b_mes11[[#This Row],[IMPORTE NETO]]*0.21</f>
        <v>0</v>
      </c>
      <c r="J2008" s="184"/>
      <c r="K2008" s="184"/>
      <c r="L2008" s="184"/>
      <c r="M2008" s="59"/>
    </row>
    <row r="2009" spans="2:13" x14ac:dyDescent="0.3">
      <c r="B2009" s="178"/>
      <c r="C2009" s="179"/>
      <c r="D2009" s="180"/>
      <c r="E2009" s="181"/>
      <c r="F2009" s="182"/>
      <c r="G2009" s="1" t="str">
        <f>IFERROR(IF(ventas_b_mes11[[#This Row],[CUIT]]="","-",VLOOKUP(ventas_b_mes11[[#This Row],[CUIT]],Lista_CUIT[#All],2,0)),"CUIT NO CARGADO")</f>
        <v>-</v>
      </c>
      <c r="H2009" s="64">
        <f>ventas_b_mes11[[#This Row],[TOTAL]]/1.21</f>
        <v>0</v>
      </c>
      <c r="I2009" s="183">
        <f>ventas_b_mes11[[#This Row],[IMPORTE NETO]]*0.21</f>
        <v>0</v>
      </c>
      <c r="J2009" s="184"/>
      <c r="K2009" s="184"/>
      <c r="L2009" s="184"/>
      <c r="M2009" s="59"/>
    </row>
    <row r="2010" spans="2:13" x14ac:dyDescent="0.3">
      <c r="B2010" s="178"/>
      <c r="C2010" s="179"/>
      <c r="D2010" s="180"/>
      <c r="E2010" s="181"/>
      <c r="F2010" s="182"/>
      <c r="G2010" s="1" t="str">
        <f>IFERROR(IF(ventas_b_mes11[[#This Row],[CUIT]]="","-",VLOOKUP(ventas_b_mes11[[#This Row],[CUIT]],Lista_CUIT[#All],2,0)),"CUIT NO CARGADO")</f>
        <v>-</v>
      </c>
      <c r="H2010" s="64">
        <f>ventas_b_mes11[[#This Row],[TOTAL]]/1.21</f>
        <v>0</v>
      </c>
      <c r="I2010" s="183">
        <f>ventas_b_mes11[[#This Row],[IMPORTE NETO]]*0.21</f>
        <v>0</v>
      </c>
      <c r="J2010" s="184"/>
      <c r="K2010" s="184"/>
      <c r="L2010" s="184"/>
      <c r="M2010" s="59"/>
    </row>
    <row r="2011" spans="2:13" x14ac:dyDescent="0.3">
      <c r="B2011" s="178"/>
      <c r="C2011" s="179"/>
      <c r="D2011" s="180"/>
      <c r="E2011" s="181"/>
      <c r="F2011" s="182"/>
      <c r="G2011" s="1" t="str">
        <f>IFERROR(IF(ventas_b_mes11[[#This Row],[CUIT]]="","-",VLOOKUP(ventas_b_mes11[[#This Row],[CUIT]],Lista_CUIT[#All],2,0)),"CUIT NO CARGADO")</f>
        <v>-</v>
      </c>
      <c r="H2011" s="64">
        <f>ventas_b_mes11[[#This Row],[TOTAL]]/1.21</f>
        <v>0</v>
      </c>
      <c r="I2011" s="183">
        <f>ventas_b_mes11[[#This Row],[IMPORTE NETO]]*0.21</f>
        <v>0</v>
      </c>
      <c r="J2011" s="184"/>
      <c r="K2011" s="184"/>
      <c r="L2011" s="184"/>
      <c r="M2011" s="59"/>
    </row>
    <row r="2012" spans="2:13" x14ac:dyDescent="0.3">
      <c r="B2012" s="178"/>
      <c r="C2012" s="179"/>
      <c r="D2012" s="180"/>
      <c r="E2012" s="181"/>
      <c r="F2012" s="182"/>
      <c r="G2012" s="1" t="str">
        <f>IFERROR(IF(ventas_b_mes11[[#This Row],[CUIT]]="","-",VLOOKUP(ventas_b_mes11[[#This Row],[CUIT]],Lista_CUIT[#All],2,0)),"CUIT NO CARGADO")</f>
        <v>-</v>
      </c>
      <c r="H2012" s="64">
        <f>ventas_b_mes11[[#This Row],[TOTAL]]/1.21</f>
        <v>0</v>
      </c>
      <c r="I2012" s="183">
        <f>ventas_b_mes11[[#This Row],[IMPORTE NETO]]*0.21</f>
        <v>0</v>
      </c>
      <c r="J2012" s="184"/>
      <c r="K2012" s="184"/>
      <c r="L2012" s="184"/>
      <c r="M2012" s="59"/>
    </row>
    <row r="2013" spans="2:13" x14ac:dyDescent="0.3">
      <c r="B2013" s="178"/>
      <c r="C2013" s="179"/>
      <c r="D2013" s="180"/>
      <c r="E2013" s="181"/>
      <c r="F2013" s="182"/>
      <c r="G2013" s="1" t="str">
        <f>IFERROR(IF(ventas_b_mes11[[#This Row],[CUIT]]="","-",VLOOKUP(ventas_b_mes11[[#This Row],[CUIT]],Lista_CUIT[#All],2,0)),"CUIT NO CARGADO")</f>
        <v>-</v>
      </c>
      <c r="H2013" s="64">
        <f>ventas_b_mes11[[#This Row],[TOTAL]]/1.21</f>
        <v>0</v>
      </c>
      <c r="I2013" s="183">
        <f>ventas_b_mes11[[#This Row],[IMPORTE NETO]]*0.21</f>
        <v>0</v>
      </c>
      <c r="J2013" s="184"/>
      <c r="K2013" s="184"/>
      <c r="L2013" s="184"/>
      <c r="M2013" s="59"/>
    </row>
    <row r="2014" spans="2:13" x14ac:dyDescent="0.3">
      <c r="B2014" s="178"/>
      <c r="C2014" s="179"/>
      <c r="D2014" s="180"/>
      <c r="E2014" s="181"/>
      <c r="F2014" s="182"/>
      <c r="G2014" s="1" t="str">
        <f>IFERROR(IF(ventas_b_mes11[[#This Row],[CUIT]]="","-",VLOOKUP(ventas_b_mes11[[#This Row],[CUIT]],Lista_CUIT[#All],2,0)),"CUIT NO CARGADO")</f>
        <v>-</v>
      </c>
      <c r="H2014" s="64">
        <f>ventas_b_mes11[[#This Row],[TOTAL]]/1.21</f>
        <v>0</v>
      </c>
      <c r="I2014" s="183">
        <f>ventas_b_mes11[[#This Row],[IMPORTE NETO]]*0.21</f>
        <v>0</v>
      </c>
      <c r="J2014" s="184"/>
      <c r="K2014" s="184"/>
      <c r="L2014" s="184"/>
      <c r="M2014" s="59"/>
    </row>
    <row r="2015" spans="2:13" x14ac:dyDescent="0.3">
      <c r="B2015" s="178"/>
      <c r="C2015" s="179"/>
      <c r="D2015" s="180"/>
      <c r="E2015" s="181"/>
      <c r="F2015" s="182"/>
      <c r="G2015" s="1" t="str">
        <f>IFERROR(IF(ventas_b_mes11[[#This Row],[CUIT]]="","-",VLOOKUP(ventas_b_mes11[[#This Row],[CUIT]],Lista_CUIT[#All],2,0)),"CUIT NO CARGADO")</f>
        <v>-</v>
      </c>
      <c r="H2015" s="64">
        <f>ventas_b_mes11[[#This Row],[TOTAL]]/1.21</f>
        <v>0</v>
      </c>
      <c r="I2015" s="183">
        <f>ventas_b_mes11[[#This Row],[IMPORTE NETO]]*0.21</f>
        <v>0</v>
      </c>
      <c r="J2015" s="184"/>
      <c r="K2015" s="184"/>
      <c r="L2015" s="184"/>
      <c r="M2015" s="59"/>
    </row>
    <row r="2016" spans="2:13" x14ac:dyDescent="0.3">
      <c r="B2016" s="178"/>
      <c r="C2016" s="179"/>
      <c r="D2016" s="180"/>
      <c r="E2016" s="181"/>
      <c r="F2016" s="182"/>
      <c r="G2016" s="1" t="str">
        <f>IFERROR(IF(ventas_b_mes11[[#This Row],[CUIT]]="","-",VLOOKUP(ventas_b_mes11[[#This Row],[CUIT]],Lista_CUIT[#All],2,0)),"CUIT NO CARGADO")</f>
        <v>-</v>
      </c>
      <c r="H2016" s="64">
        <f>ventas_b_mes11[[#This Row],[TOTAL]]/1.21</f>
        <v>0</v>
      </c>
      <c r="I2016" s="183">
        <f>ventas_b_mes11[[#This Row],[IMPORTE NETO]]*0.21</f>
        <v>0</v>
      </c>
      <c r="J2016" s="184"/>
      <c r="K2016" s="184"/>
      <c r="L2016" s="184"/>
      <c r="M2016" s="59"/>
    </row>
    <row r="2017" spans="2:13" x14ac:dyDescent="0.3">
      <c r="B2017" s="178"/>
      <c r="C2017" s="179"/>
      <c r="D2017" s="180"/>
      <c r="E2017" s="181"/>
      <c r="F2017" s="182"/>
      <c r="G2017" s="1" t="str">
        <f>IFERROR(IF(ventas_b_mes11[[#This Row],[CUIT]]="","-",VLOOKUP(ventas_b_mes11[[#This Row],[CUIT]],Lista_CUIT[#All],2,0)),"CUIT NO CARGADO")</f>
        <v>-</v>
      </c>
      <c r="H2017" s="64">
        <f>ventas_b_mes11[[#This Row],[TOTAL]]/1.21</f>
        <v>0</v>
      </c>
      <c r="I2017" s="183">
        <f>ventas_b_mes11[[#This Row],[IMPORTE NETO]]*0.21</f>
        <v>0</v>
      </c>
      <c r="J2017" s="184"/>
      <c r="K2017" s="184"/>
      <c r="L2017" s="184"/>
      <c r="M2017" s="59"/>
    </row>
    <row r="2018" spans="2:13" x14ac:dyDescent="0.3">
      <c r="B2018" s="178"/>
      <c r="C2018" s="179"/>
      <c r="D2018" s="180"/>
      <c r="E2018" s="181"/>
      <c r="F2018" s="182"/>
      <c r="G2018" s="1" t="str">
        <f>IFERROR(IF(ventas_b_mes11[[#This Row],[CUIT]]="","-",VLOOKUP(ventas_b_mes11[[#This Row],[CUIT]],Lista_CUIT[#All],2,0)),"CUIT NO CARGADO")</f>
        <v>-</v>
      </c>
      <c r="H2018" s="64">
        <f>ventas_b_mes11[[#This Row],[TOTAL]]/1.21</f>
        <v>0</v>
      </c>
      <c r="I2018" s="183">
        <f>ventas_b_mes11[[#This Row],[IMPORTE NETO]]*0.21</f>
        <v>0</v>
      </c>
      <c r="J2018" s="184"/>
      <c r="K2018" s="184"/>
      <c r="L2018" s="184"/>
      <c r="M2018" s="59"/>
    </row>
    <row r="2019" spans="2:13" x14ac:dyDescent="0.3">
      <c r="B2019" s="178"/>
      <c r="C2019" s="179"/>
      <c r="D2019" s="180"/>
      <c r="E2019" s="181"/>
      <c r="F2019" s="182"/>
      <c r="G2019" s="1" t="str">
        <f>IFERROR(IF(ventas_b_mes11[[#This Row],[CUIT]]="","-",VLOOKUP(ventas_b_mes11[[#This Row],[CUIT]],Lista_CUIT[#All],2,0)),"CUIT NO CARGADO")</f>
        <v>-</v>
      </c>
      <c r="H2019" s="64">
        <f>ventas_b_mes11[[#This Row],[TOTAL]]/1.21</f>
        <v>0</v>
      </c>
      <c r="I2019" s="183">
        <f>ventas_b_mes11[[#This Row],[IMPORTE NETO]]*0.21</f>
        <v>0</v>
      </c>
      <c r="J2019" s="184"/>
      <c r="K2019" s="184"/>
      <c r="L2019" s="184"/>
      <c r="M2019" s="59"/>
    </row>
    <row r="2020" spans="2:13" x14ac:dyDescent="0.3">
      <c r="B2020" s="178"/>
      <c r="C2020" s="179"/>
      <c r="D2020" s="180"/>
      <c r="E2020" s="181"/>
      <c r="F2020" s="182"/>
      <c r="G2020" s="1" t="str">
        <f>IFERROR(IF(ventas_b_mes11[[#This Row],[CUIT]]="","-",VLOOKUP(ventas_b_mes11[[#This Row],[CUIT]],Lista_CUIT[#All],2,0)),"CUIT NO CARGADO")</f>
        <v>-</v>
      </c>
      <c r="H2020" s="64">
        <f>ventas_b_mes11[[#This Row],[TOTAL]]/1.21</f>
        <v>0</v>
      </c>
      <c r="I2020" s="183">
        <f>ventas_b_mes11[[#This Row],[IMPORTE NETO]]*0.21</f>
        <v>0</v>
      </c>
      <c r="J2020" s="184"/>
      <c r="K2020" s="184"/>
      <c r="L2020" s="184"/>
      <c r="M2020" s="59"/>
    </row>
    <row r="2021" spans="2:13" x14ac:dyDescent="0.3">
      <c r="B2021" s="178"/>
      <c r="C2021" s="179"/>
      <c r="D2021" s="180"/>
      <c r="E2021" s="181"/>
      <c r="F2021" s="182"/>
      <c r="G2021" s="1" t="str">
        <f>IFERROR(IF(ventas_b_mes11[[#This Row],[CUIT]]="","-",VLOOKUP(ventas_b_mes11[[#This Row],[CUIT]],Lista_CUIT[#All],2,0)),"CUIT NO CARGADO")</f>
        <v>-</v>
      </c>
      <c r="H2021" s="64">
        <f>ventas_b_mes11[[#This Row],[TOTAL]]/1.21</f>
        <v>0</v>
      </c>
      <c r="I2021" s="183">
        <f>ventas_b_mes11[[#This Row],[IMPORTE NETO]]*0.21</f>
        <v>0</v>
      </c>
      <c r="J2021" s="184"/>
      <c r="K2021" s="184"/>
      <c r="L2021" s="184"/>
      <c r="M2021" s="59"/>
    </row>
    <row r="2022" spans="2:13" x14ac:dyDescent="0.3">
      <c r="B2022" s="178"/>
      <c r="C2022" s="179"/>
      <c r="D2022" s="180"/>
      <c r="E2022" s="181"/>
      <c r="F2022" s="182"/>
      <c r="G2022" s="1" t="str">
        <f>IFERROR(IF(ventas_b_mes11[[#This Row],[CUIT]]="","-",VLOOKUP(ventas_b_mes11[[#This Row],[CUIT]],Lista_CUIT[#All],2,0)),"CUIT NO CARGADO")</f>
        <v>-</v>
      </c>
      <c r="H2022" s="64">
        <f>ventas_b_mes11[[#This Row],[TOTAL]]/1.21</f>
        <v>0</v>
      </c>
      <c r="I2022" s="183">
        <f>ventas_b_mes11[[#This Row],[IMPORTE NETO]]*0.21</f>
        <v>0</v>
      </c>
      <c r="J2022" s="184"/>
      <c r="K2022" s="184"/>
      <c r="L2022" s="184"/>
      <c r="M2022" s="59"/>
    </row>
    <row r="2023" spans="2:13" x14ac:dyDescent="0.3">
      <c r="B2023" s="178"/>
      <c r="C2023" s="179"/>
      <c r="D2023" s="180"/>
      <c r="E2023" s="181"/>
      <c r="F2023" s="182"/>
      <c r="G2023" s="1" t="str">
        <f>IFERROR(IF(ventas_b_mes11[[#This Row],[CUIT]]="","-",VLOOKUP(ventas_b_mes11[[#This Row],[CUIT]],Lista_CUIT[#All],2,0)),"CUIT NO CARGADO")</f>
        <v>-</v>
      </c>
      <c r="H2023" s="64">
        <f>ventas_b_mes11[[#This Row],[TOTAL]]/1.21</f>
        <v>0</v>
      </c>
      <c r="I2023" s="183">
        <f>ventas_b_mes11[[#This Row],[IMPORTE NETO]]*0.21</f>
        <v>0</v>
      </c>
      <c r="J2023" s="184"/>
      <c r="K2023" s="184"/>
      <c r="L2023" s="184"/>
      <c r="M2023" s="59"/>
    </row>
    <row r="2024" spans="2:13" x14ac:dyDescent="0.3">
      <c r="B2024" s="178"/>
      <c r="C2024" s="179"/>
      <c r="D2024" s="180"/>
      <c r="E2024" s="181"/>
      <c r="F2024" s="182"/>
      <c r="G2024" s="1" t="str">
        <f>IFERROR(IF(ventas_b_mes11[[#This Row],[CUIT]]="","-",VLOOKUP(ventas_b_mes11[[#This Row],[CUIT]],Lista_CUIT[#All],2,0)),"CUIT NO CARGADO")</f>
        <v>-</v>
      </c>
      <c r="H2024" s="64">
        <f>ventas_b_mes11[[#This Row],[TOTAL]]/1.21</f>
        <v>0</v>
      </c>
      <c r="I2024" s="183">
        <f>ventas_b_mes11[[#This Row],[IMPORTE NETO]]*0.21</f>
        <v>0</v>
      </c>
      <c r="J2024" s="184"/>
      <c r="K2024" s="184"/>
      <c r="L2024" s="184"/>
      <c r="M2024" s="59"/>
    </row>
    <row r="2025" spans="2:13" x14ac:dyDescent="0.3">
      <c r="B2025" s="178"/>
      <c r="C2025" s="179"/>
      <c r="D2025" s="180"/>
      <c r="E2025" s="181"/>
      <c r="F2025" s="182"/>
      <c r="G2025" s="1" t="str">
        <f>IFERROR(IF(ventas_b_mes11[[#This Row],[CUIT]]="","-",VLOOKUP(ventas_b_mes11[[#This Row],[CUIT]],Lista_CUIT[#All],2,0)),"CUIT NO CARGADO")</f>
        <v>-</v>
      </c>
      <c r="H2025" s="64">
        <f>ventas_b_mes11[[#This Row],[TOTAL]]/1.21</f>
        <v>0</v>
      </c>
      <c r="I2025" s="183">
        <f>ventas_b_mes11[[#This Row],[IMPORTE NETO]]*0.21</f>
        <v>0</v>
      </c>
      <c r="J2025" s="184"/>
      <c r="K2025" s="184"/>
      <c r="L2025" s="184"/>
      <c r="M2025" s="59"/>
    </row>
    <row r="2026" spans="2:13" x14ac:dyDescent="0.3">
      <c r="B2026" s="178"/>
      <c r="C2026" s="179"/>
      <c r="D2026" s="180"/>
      <c r="E2026" s="181"/>
      <c r="F2026" s="182"/>
      <c r="G2026" s="1" t="str">
        <f>IFERROR(IF(ventas_b_mes11[[#This Row],[CUIT]]="","-",VLOOKUP(ventas_b_mes11[[#This Row],[CUIT]],Lista_CUIT[#All],2,0)),"CUIT NO CARGADO")</f>
        <v>-</v>
      </c>
      <c r="H2026" s="64">
        <f>ventas_b_mes11[[#This Row],[TOTAL]]/1.21</f>
        <v>0</v>
      </c>
      <c r="I2026" s="183">
        <f>ventas_b_mes11[[#This Row],[IMPORTE NETO]]*0.21</f>
        <v>0</v>
      </c>
      <c r="J2026" s="184"/>
      <c r="K2026" s="184"/>
      <c r="L2026" s="184"/>
      <c r="M2026" s="59"/>
    </row>
    <row r="2027" spans="2:13" x14ac:dyDescent="0.3">
      <c r="B2027" s="178"/>
      <c r="C2027" s="179"/>
      <c r="D2027" s="180"/>
      <c r="E2027" s="181"/>
      <c r="F2027" s="182"/>
      <c r="G2027" s="1" t="str">
        <f>IFERROR(IF(ventas_b_mes11[[#This Row],[CUIT]]="","-",VLOOKUP(ventas_b_mes11[[#This Row],[CUIT]],Lista_CUIT[#All],2,0)),"CUIT NO CARGADO")</f>
        <v>-</v>
      </c>
      <c r="H2027" s="64">
        <f>ventas_b_mes11[[#This Row],[TOTAL]]/1.21</f>
        <v>0</v>
      </c>
      <c r="I2027" s="183">
        <f>ventas_b_mes11[[#This Row],[IMPORTE NETO]]*0.21</f>
        <v>0</v>
      </c>
      <c r="J2027" s="184"/>
      <c r="K2027" s="184"/>
      <c r="L2027" s="184"/>
      <c r="M2027" s="59"/>
    </row>
    <row r="2028" spans="2:13" x14ac:dyDescent="0.3">
      <c r="B2028" s="178"/>
      <c r="C2028" s="179"/>
      <c r="D2028" s="180"/>
      <c r="E2028" s="181"/>
      <c r="F2028" s="182"/>
      <c r="G2028" s="1" t="str">
        <f>IFERROR(IF(ventas_b_mes11[[#This Row],[CUIT]]="","-",VLOOKUP(ventas_b_mes11[[#This Row],[CUIT]],Lista_CUIT[#All],2,0)),"CUIT NO CARGADO")</f>
        <v>-</v>
      </c>
      <c r="H2028" s="64">
        <f>ventas_b_mes11[[#This Row],[TOTAL]]/1.21</f>
        <v>0</v>
      </c>
      <c r="I2028" s="183">
        <f>ventas_b_mes11[[#This Row],[IMPORTE NETO]]*0.21</f>
        <v>0</v>
      </c>
      <c r="J2028" s="184"/>
      <c r="K2028" s="184"/>
      <c r="L2028" s="184"/>
      <c r="M2028" s="59"/>
    </row>
    <row r="2029" spans="2:13" x14ac:dyDescent="0.3">
      <c r="B2029" s="178"/>
      <c r="C2029" s="179"/>
      <c r="D2029" s="180"/>
      <c r="E2029" s="181"/>
      <c r="F2029" s="182"/>
      <c r="G2029" s="1" t="str">
        <f>IFERROR(IF(ventas_b_mes11[[#This Row],[CUIT]]="","-",VLOOKUP(ventas_b_mes11[[#This Row],[CUIT]],Lista_CUIT[#All],2,0)),"CUIT NO CARGADO")</f>
        <v>-</v>
      </c>
      <c r="H2029" s="64">
        <f>ventas_b_mes11[[#This Row],[TOTAL]]/1.21</f>
        <v>0</v>
      </c>
      <c r="I2029" s="183">
        <f>ventas_b_mes11[[#This Row],[IMPORTE NETO]]*0.21</f>
        <v>0</v>
      </c>
      <c r="J2029" s="184"/>
      <c r="K2029" s="184"/>
      <c r="L2029" s="184"/>
      <c r="M2029" s="59"/>
    </row>
    <row r="2030" spans="2:13" x14ac:dyDescent="0.3">
      <c r="B2030" s="178"/>
      <c r="C2030" s="179"/>
      <c r="D2030" s="180"/>
      <c r="E2030" s="181"/>
      <c r="F2030" s="182"/>
      <c r="G2030" s="1" t="str">
        <f>IFERROR(IF(ventas_b_mes11[[#This Row],[CUIT]]="","-",VLOOKUP(ventas_b_mes11[[#This Row],[CUIT]],Lista_CUIT[#All],2,0)),"CUIT NO CARGADO")</f>
        <v>-</v>
      </c>
      <c r="H2030" s="64">
        <f>ventas_b_mes11[[#This Row],[TOTAL]]/1.21</f>
        <v>0</v>
      </c>
      <c r="I2030" s="183">
        <f>ventas_b_mes11[[#This Row],[IMPORTE NETO]]*0.21</f>
        <v>0</v>
      </c>
      <c r="J2030" s="184"/>
      <c r="K2030" s="184"/>
      <c r="L2030" s="184"/>
      <c r="M2030" s="59"/>
    </row>
    <row r="2031" spans="2:13" x14ac:dyDescent="0.3">
      <c r="B2031" s="178"/>
      <c r="C2031" s="179"/>
      <c r="D2031" s="180"/>
      <c r="E2031" s="181"/>
      <c r="F2031" s="182"/>
      <c r="G2031" s="1" t="str">
        <f>IFERROR(IF(ventas_b_mes11[[#This Row],[CUIT]]="","-",VLOOKUP(ventas_b_mes11[[#This Row],[CUIT]],Lista_CUIT[#All],2,0)),"CUIT NO CARGADO")</f>
        <v>-</v>
      </c>
      <c r="H2031" s="64">
        <f>ventas_b_mes11[[#This Row],[TOTAL]]/1.21</f>
        <v>0</v>
      </c>
      <c r="I2031" s="183">
        <f>ventas_b_mes11[[#This Row],[IMPORTE NETO]]*0.21</f>
        <v>0</v>
      </c>
      <c r="J2031" s="184"/>
      <c r="K2031" s="184"/>
      <c r="L2031" s="184"/>
      <c r="M2031" s="59"/>
    </row>
    <row r="2032" spans="2:13" x14ac:dyDescent="0.3">
      <c r="B2032" s="178"/>
      <c r="C2032" s="179"/>
      <c r="D2032" s="180"/>
      <c r="E2032" s="181"/>
      <c r="F2032" s="182"/>
      <c r="G2032" s="1" t="str">
        <f>IFERROR(IF(ventas_b_mes11[[#This Row],[CUIT]]="","-",VLOOKUP(ventas_b_mes11[[#This Row],[CUIT]],Lista_CUIT[#All],2,0)),"CUIT NO CARGADO")</f>
        <v>-</v>
      </c>
      <c r="H2032" s="64">
        <f>ventas_b_mes11[[#This Row],[TOTAL]]/1.21</f>
        <v>0</v>
      </c>
      <c r="I2032" s="183">
        <f>ventas_b_mes11[[#This Row],[IMPORTE NETO]]*0.21</f>
        <v>0</v>
      </c>
      <c r="J2032" s="184"/>
      <c r="K2032" s="184"/>
      <c r="L2032" s="184"/>
      <c r="M2032" s="59"/>
    </row>
    <row r="2033" spans="2:13" x14ac:dyDescent="0.3">
      <c r="B2033" s="178"/>
      <c r="C2033" s="179"/>
      <c r="D2033" s="180"/>
      <c r="E2033" s="181"/>
      <c r="F2033" s="182"/>
      <c r="G2033" s="1" t="str">
        <f>IFERROR(IF(ventas_b_mes11[[#This Row],[CUIT]]="","-",VLOOKUP(ventas_b_mes11[[#This Row],[CUIT]],Lista_CUIT[#All],2,0)),"CUIT NO CARGADO")</f>
        <v>-</v>
      </c>
      <c r="H2033" s="64">
        <f>ventas_b_mes11[[#This Row],[TOTAL]]/1.21</f>
        <v>0</v>
      </c>
      <c r="I2033" s="183">
        <f>ventas_b_mes11[[#This Row],[IMPORTE NETO]]*0.21</f>
        <v>0</v>
      </c>
      <c r="J2033" s="184"/>
      <c r="K2033" s="184"/>
      <c r="L2033" s="184"/>
      <c r="M2033" s="59"/>
    </row>
    <row r="2034" spans="2:13" x14ac:dyDescent="0.3">
      <c r="B2034" s="178"/>
      <c r="C2034" s="179"/>
      <c r="D2034" s="180"/>
      <c r="E2034" s="181"/>
      <c r="F2034" s="182"/>
      <c r="G2034" s="1" t="str">
        <f>IFERROR(IF(ventas_b_mes11[[#This Row],[CUIT]]="","-",VLOOKUP(ventas_b_mes11[[#This Row],[CUIT]],Lista_CUIT[#All],2,0)),"CUIT NO CARGADO")</f>
        <v>-</v>
      </c>
      <c r="H2034" s="64">
        <f>ventas_b_mes11[[#This Row],[TOTAL]]/1.21</f>
        <v>0</v>
      </c>
      <c r="I2034" s="183">
        <f>ventas_b_mes11[[#This Row],[IMPORTE NETO]]*0.21</f>
        <v>0</v>
      </c>
      <c r="J2034" s="184"/>
      <c r="K2034" s="184"/>
      <c r="L2034" s="184"/>
      <c r="M2034" s="59"/>
    </row>
    <row r="2035" spans="2:13" x14ac:dyDescent="0.3">
      <c r="B2035" s="178"/>
      <c r="C2035" s="179"/>
      <c r="D2035" s="180"/>
      <c r="E2035" s="181"/>
      <c r="F2035" s="182"/>
      <c r="G2035" s="1" t="str">
        <f>IFERROR(IF(ventas_b_mes11[[#This Row],[CUIT]]="","-",VLOOKUP(ventas_b_mes11[[#This Row],[CUIT]],Lista_CUIT[#All],2,0)),"CUIT NO CARGADO")</f>
        <v>-</v>
      </c>
      <c r="H2035" s="64">
        <f>ventas_b_mes11[[#This Row],[TOTAL]]/1.21</f>
        <v>0</v>
      </c>
      <c r="I2035" s="183">
        <f>ventas_b_mes11[[#This Row],[IMPORTE NETO]]*0.21</f>
        <v>0</v>
      </c>
      <c r="J2035" s="184"/>
      <c r="K2035" s="184"/>
      <c r="L2035" s="184"/>
      <c r="M2035" s="59"/>
    </row>
    <row r="2036" spans="2:13" x14ac:dyDescent="0.3">
      <c r="B2036" s="178"/>
      <c r="C2036" s="179"/>
      <c r="D2036" s="180"/>
      <c r="E2036" s="181"/>
      <c r="F2036" s="182"/>
      <c r="G2036" s="1" t="str">
        <f>IFERROR(IF(ventas_b_mes11[[#This Row],[CUIT]]="","-",VLOOKUP(ventas_b_mes11[[#This Row],[CUIT]],Lista_CUIT[#All],2,0)),"CUIT NO CARGADO")</f>
        <v>-</v>
      </c>
      <c r="H2036" s="64">
        <f>ventas_b_mes11[[#This Row],[TOTAL]]/1.21</f>
        <v>0</v>
      </c>
      <c r="I2036" s="183">
        <f>ventas_b_mes11[[#This Row],[IMPORTE NETO]]*0.21</f>
        <v>0</v>
      </c>
      <c r="J2036" s="184"/>
      <c r="K2036" s="184"/>
      <c r="L2036" s="184"/>
      <c r="M2036" s="59"/>
    </row>
    <row r="2037" spans="2:13" x14ac:dyDescent="0.3">
      <c r="B2037" s="178"/>
      <c r="C2037" s="179"/>
      <c r="D2037" s="180"/>
      <c r="E2037" s="181"/>
      <c r="F2037" s="182"/>
      <c r="G2037" s="1" t="str">
        <f>IFERROR(IF(ventas_b_mes11[[#This Row],[CUIT]]="","-",VLOOKUP(ventas_b_mes11[[#This Row],[CUIT]],Lista_CUIT[#All],2,0)),"CUIT NO CARGADO")</f>
        <v>-</v>
      </c>
      <c r="H2037" s="64">
        <f>ventas_b_mes11[[#This Row],[TOTAL]]/1.21</f>
        <v>0</v>
      </c>
      <c r="I2037" s="183">
        <f>ventas_b_mes11[[#This Row],[IMPORTE NETO]]*0.21</f>
        <v>0</v>
      </c>
      <c r="J2037" s="184"/>
      <c r="K2037" s="184"/>
      <c r="L2037" s="184"/>
      <c r="M2037" s="59"/>
    </row>
    <row r="2038" spans="2:13" x14ac:dyDescent="0.3">
      <c r="B2038" s="178"/>
      <c r="C2038" s="179"/>
      <c r="D2038" s="180"/>
      <c r="E2038" s="181"/>
      <c r="F2038" s="182"/>
      <c r="G2038" s="1" t="str">
        <f>IFERROR(IF(ventas_b_mes11[[#This Row],[CUIT]]="","-",VLOOKUP(ventas_b_mes11[[#This Row],[CUIT]],Lista_CUIT[#All],2,0)),"CUIT NO CARGADO")</f>
        <v>-</v>
      </c>
      <c r="H2038" s="64">
        <f>ventas_b_mes11[[#This Row],[TOTAL]]/1.21</f>
        <v>0</v>
      </c>
      <c r="I2038" s="183">
        <f>ventas_b_mes11[[#This Row],[IMPORTE NETO]]*0.21</f>
        <v>0</v>
      </c>
      <c r="J2038" s="184"/>
      <c r="K2038" s="184"/>
      <c r="L2038" s="184"/>
      <c r="M2038" s="59"/>
    </row>
    <row r="2039" spans="2:13" x14ac:dyDescent="0.3">
      <c r="B2039" s="178"/>
      <c r="C2039" s="179"/>
      <c r="D2039" s="180"/>
      <c r="E2039" s="181"/>
      <c r="F2039" s="182"/>
      <c r="G2039" s="1" t="str">
        <f>IFERROR(IF(ventas_b_mes11[[#This Row],[CUIT]]="","-",VLOOKUP(ventas_b_mes11[[#This Row],[CUIT]],Lista_CUIT[#All],2,0)),"CUIT NO CARGADO")</f>
        <v>-</v>
      </c>
      <c r="H2039" s="64">
        <f>ventas_b_mes11[[#This Row],[TOTAL]]/1.21</f>
        <v>0</v>
      </c>
      <c r="I2039" s="183">
        <f>ventas_b_mes11[[#This Row],[IMPORTE NETO]]*0.21</f>
        <v>0</v>
      </c>
      <c r="J2039" s="184"/>
      <c r="K2039" s="184"/>
      <c r="L2039" s="184"/>
      <c r="M2039" s="59"/>
    </row>
    <row r="2040" spans="2:13" x14ac:dyDescent="0.3">
      <c r="B2040" s="178"/>
      <c r="C2040" s="179"/>
      <c r="D2040" s="180"/>
      <c r="E2040" s="181"/>
      <c r="F2040" s="182"/>
      <c r="G2040" s="1" t="str">
        <f>IFERROR(IF(ventas_b_mes11[[#This Row],[CUIT]]="","-",VLOOKUP(ventas_b_mes11[[#This Row],[CUIT]],Lista_CUIT[#All],2,0)),"CUIT NO CARGADO")</f>
        <v>-</v>
      </c>
      <c r="H2040" s="64">
        <f>ventas_b_mes11[[#This Row],[TOTAL]]/1.21</f>
        <v>0</v>
      </c>
      <c r="I2040" s="183">
        <f>ventas_b_mes11[[#This Row],[IMPORTE NETO]]*0.21</f>
        <v>0</v>
      </c>
      <c r="J2040" s="184"/>
      <c r="K2040" s="184"/>
      <c r="L2040" s="184"/>
      <c r="M2040" s="59"/>
    </row>
    <row r="2041" spans="2:13" x14ac:dyDescent="0.3">
      <c r="B2041" s="178"/>
      <c r="C2041" s="179"/>
      <c r="D2041" s="180"/>
      <c r="E2041" s="181"/>
      <c r="F2041" s="182"/>
      <c r="G2041" s="1" t="str">
        <f>IFERROR(IF(ventas_b_mes11[[#This Row],[CUIT]]="","-",VLOOKUP(ventas_b_mes11[[#This Row],[CUIT]],Lista_CUIT[#All],2,0)),"CUIT NO CARGADO")</f>
        <v>-</v>
      </c>
      <c r="H2041" s="64">
        <f>ventas_b_mes11[[#This Row],[TOTAL]]/1.21</f>
        <v>0</v>
      </c>
      <c r="I2041" s="183">
        <f>ventas_b_mes11[[#This Row],[IMPORTE NETO]]*0.21</f>
        <v>0</v>
      </c>
      <c r="J2041" s="184"/>
      <c r="K2041" s="184"/>
      <c r="L2041" s="184"/>
      <c r="M2041" s="59"/>
    </row>
    <row r="2042" spans="2:13" x14ac:dyDescent="0.3">
      <c r="B2042" s="178"/>
      <c r="C2042" s="179"/>
      <c r="D2042" s="180"/>
      <c r="E2042" s="181"/>
      <c r="F2042" s="182"/>
      <c r="G2042" s="1" t="str">
        <f>IFERROR(IF(ventas_b_mes11[[#This Row],[CUIT]]="","-",VLOOKUP(ventas_b_mes11[[#This Row],[CUIT]],Lista_CUIT[#All],2,0)),"CUIT NO CARGADO")</f>
        <v>-</v>
      </c>
      <c r="H2042" s="64">
        <f>ventas_b_mes11[[#This Row],[TOTAL]]/1.21</f>
        <v>0</v>
      </c>
      <c r="I2042" s="183">
        <f>ventas_b_mes11[[#This Row],[IMPORTE NETO]]*0.21</f>
        <v>0</v>
      </c>
      <c r="J2042" s="184"/>
      <c r="K2042" s="184"/>
      <c r="L2042" s="184"/>
      <c r="M2042" s="59"/>
    </row>
    <row r="2043" spans="2:13" x14ac:dyDescent="0.3">
      <c r="B2043" s="178"/>
      <c r="C2043" s="179"/>
      <c r="D2043" s="180"/>
      <c r="E2043" s="181"/>
      <c r="F2043" s="182"/>
      <c r="G2043" s="1" t="str">
        <f>IFERROR(IF(ventas_b_mes11[[#This Row],[CUIT]]="","-",VLOOKUP(ventas_b_mes11[[#This Row],[CUIT]],Lista_CUIT[#All],2,0)),"CUIT NO CARGADO")</f>
        <v>-</v>
      </c>
      <c r="H2043" s="64">
        <f>ventas_b_mes11[[#This Row],[TOTAL]]/1.21</f>
        <v>0</v>
      </c>
      <c r="I2043" s="183">
        <f>ventas_b_mes11[[#This Row],[IMPORTE NETO]]*0.21</f>
        <v>0</v>
      </c>
      <c r="J2043" s="184"/>
      <c r="K2043" s="184"/>
      <c r="L2043" s="184"/>
      <c r="M2043" s="59"/>
    </row>
    <row r="2044" spans="2:13" x14ac:dyDescent="0.3">
      <c r="B2044" s="178"/>
      <c r="C2044" s="179"/>
      <c r="D2044" s="180"/>
      <c r="E2044" s="181"/>
      <c r="F2044" s="182"/>
      <c r="G2044" s="1" t="str">
        <f>IFERROR(IF(ventas_b_mes11[[#This Row],[CUIT]]="","-",VLOOKUP(ventas_b_mes11[[#This Row],[CUIT]],Lista_CUIT[#All],2,0)),"CUIT NO CARGADO")</f>
        <v>-</v>
      </c>
      <c r="H2044" s="64">
        <f>ventas_b_mes11[[#This Row],[TOTAL]]/1.21</f>
        <v>0</v>
      </c>
      <c r="I2044" s="183">
        <f>ventas_b_mes11[[#This Row],[IMPORTE NETO]]*0.21</f>
        <v>0</v>
      </c>
      <c r="J2044" s="184"/>
      <c r="K2044" s="184"/>
      <c r="L2044" s="184"/>
      <c r="M2044" s="59"/>
    </row>
    <row r="2045" spans="2:13" x14ac:dyDescent="0.3">
      <c r="B2045" s="178"/>
      <c r="C2045" s="179"/>
      <c r="D2045" s="180"/>
      <c r="E2045" s="181"/>
      <c r="F2045" s="182"/>
      <c r="G2045" s="1" t="str">
        <f>IFERROR(IF(ventas_b_mes11[[#This Row],[CUIT]]="","-",VLOOKUP(ventas_b_mes11[[#This Row],[CUIT]],Lista_CUIT[#All],2,0)),"CUIT NO CARGADO")</f>
        <v>-</v>
      </c>
      <c r="H2045" s="64">
        <f>ventas_b_mes11[[#This Row],[TOTAL]]/1.21</f>
        <v>0</v>
      </c>
      <c r="I2045" s="183">
        <f>ventas_b_mes11[[#This Row],[IMPORTE NETO]]*0.21</f>
        <v>0</v>
      </c>
      <c r="J2045" s="184"/>
      <c r="K2045" s="184"/>
      <c r="L2045" s="184"/>
      <c r="M2045" s="59"/>
    </row>
    <row r="2046" spans="2:13" x14ac:dyDescent="0.3">
      <c r="B2046" s="178"/>
      <c r="C2046" s="179"/>
      <c r="D2046" s="180"/>
      <c r="E2046" s="181"/>
      <c r="F2046" s="182"/>
      <c r="G2046" s="1" t="str">
        <f>IFERROR(IF(ventas_b_mes11[[#This Row],[CUIT]]="","-",VLOOKUP(ventas_b_mes11[[#This Row],[CUIT]],Lista_CUIT[#All],2,0)),"CUIT NO CARGADO")</f>
        <v>-</v>
      </c>
      <c r="H2046" s="64">
        <f>ventas_b_mes11[[#This Row],[TOTAL]]/1.21</f>
        <v>0</v>
      </c>
      <c r="I2046" s="183">
        <f>ventas_b_mes11[[#This Row],[IMPORTE NETO]]*0.21</f>
        <v>0</v>
      </c>
      <c r="J2046" s="184"/>
      <c r="K2046" s="184"/>
      <c r="L2046" s="184"/>
      <c r="M2046" s="59"/>
    </row>
    <row r="2047" spans="2:13" x14ac:dyDescent="0.3">
      <c r="B2047" s="178"/>
      <c r="C2047" s="179"/>
      <c r="D2047" s="180"/>
      <c r="E2047" s="181"/>
      <c r="F2047" s="182"/>
      <c r="G2047" s="1" t="str">
        <f>IFERROR(IF(ventas_b_mes11[[#This Row],[CUIT]]="","-",VLOOKUP(ventas_b_mes11[[#This Row],[CUIT]],Lista_CUIT[#All],2,0)),"CUIT NO CARGADO")</f>
        <v>-</v>
      </c>
      <c r="H2047" s="64">
        <f>ventas_b_mes11[[#This Row],[TOTAL]]/1.21</f>
        <v>0</v>
      </c>
      <c r="I2047" s="183">
        <f>ventas_b_mes11[[#This Row],[IMPORTE NETO]]*0.21</f>
        <v>0</v>
      </c>
      <c r="J2047" s="184"/>
      <c r="K2047" s="184"/>
      <c r="L2047" s="184"/>
      <c r="M2047" s="59"/>
    </row>
    <row r="2048" spans="2:13" x14ac:dyDescent="0.3">
      <c r="B2048" s="178"/>
      <c r="C2048" s="179"/>
      <c r="D2048" s="180"/>
      <c r="E2048" s="181"/>
      <c r="F2048" s="182"/>
      <c r="G2048" s="1" t="str">
        <f>IFERROR(IF(ventas_b_mes11[[#This Row],[CUIT]]="","-",VLOOKUP(ventas_b_mes11[[#This Row],[CUIT]],Lista_CUIT[#All],2,0)),"CUIT NO CARGADO")</f>
        <v>-</v>
      </c>
      <c r="H2048" s="64">
        <f>ventas_b_mes11[[#This Row],[TOTAL]]/1.21</f>
        <v>0</v>
      </c>
      <c r="I2048" s="183">
        <f>ventas_b_mes11[[#This Row],[IMPORTE NETO]]*0.21</f>
        <v>0</v>
      </c>
      <c r="J2048" s="184"/>
      <c r="K2048" s="184"/>
      <c r="L2048" s="184"/>
      <c r="M2048" s="59"/>
    </row>
    <row r="2049" spans="2:13" x14ac:dyDescent="0.3">
      <c r="B2049" s="178"/>
      <c r="C2049" s="179"/>
      <c r="D2049" s="180"/>
      <c r="E2049" s="181"/>
      <c r="F2049" s="182"/>
      <c r="G2049" s="1" t="str">
        <f>IFERROR(IF(ventas_b_mes11[[#This Row],[CUIT]]="","-",VLOOKUP(ventas_b_mes11[[#This Row],[CUIT]],Lista_CUIT[#All],2,0)),"CUIT NO CARGADO")</f>
        <v>-</v>
      </c>
      <c r="H2049" s="64">
        <f>ventas_b_mes11[[#This Row],[TOTAL]]/1.21</f>
        <v>0</v>
      </c>
      <c r="I2049" s="183">
        <f>ventas_b_mes11[[#This Row],[IMPORTE NETO]]*0.21</f>
        <v>0</v>
      </c>
      <c r="J2049" s="184"/>
      <c r="K2049" s="184"/>
      <c r="L2049" s="184"/>
      <c r="M2049" s="59"/>
    </row>
    <row r="2050" spans="2:13" x14ac:dyDescent="0.3">
      <c r="B2050" s="178"/>
      <c r="C2050" s="179"/>
      <c r="D2050" s="180"/>
      <c r="E2050" s="181"/>
      <c r="F2050" s="182"/>
      <c r="G2050" s="1" t="str">
        <f>IFERROR(IF(ventas_b_mes11[[#This Row],[CUIT]]="","-",VLOOKUP(ventas_b_mes11[[#This Row],[CUIT]],Lista_CUIT[#All],2,0)),"CUIT NO CARGADO")</f>
        <v>-</v>
      </c>
      <c r="H2050" s="64">
        <f>ventas_b_mes11[[#This Row],[TOTAL]]/1.21</f>
        <v>0</v>
      </c>
      <c r="I2050" s="183">
        <f>ventas_b_mes11[[#This Row],[IMPORTE NETO]]*0.21</f>
        <v>0</v>
      </c>
      <c r="J2050" s="184"/>
      <c r="K2050" s="184"/>
      <c r="L2050" s="184"/>
      <c r="M2050" s="59"/>
    </row>
    <row r="2051" spans="2:13" x14ac:dyDescent="0.3">
      <c r="B2051" s="178"/>
      <c r="C2051" s="179"/>
      <c r="D2051" s="180"/>
      <c r="E2051" s="181"/>
      <c r="F2051" s="182"/>
      <c r="G2051" s="1" t="str">
        <f>IFERROR(IF(ventas_b_mes11[[#This Row],[CUIT]]="","-",VLOOKUP(ventas_b_mes11[[#This Row],[CUIT]],Lista_CUIT[#All],2,0)),"CUIT NO CARGADO")</f>
        <v>-</v>
      </c>
      <c r="H2051" s="64">
        <f>ventas_b_mes11[[#This Row],[TOTAL]]/1.21</f>
        <v>0</v>
      </c>
      <c r="I2051" s="183">
        <f>ventas_b_mes11[[#This Row],[IMPORTE NETO]]*0.21</f>
        <v>0</v>
      </c>
      <c r="J2051" s="184"/>
      <c r="K2051" s="184"/>
      <c r="L2051" s="184"/>
      <c r="M2051" s="59"/>
    </row>
    <row r="2052" spans="2:13" x14ac:dyDescent="0.3">
      <c r="B2052" s="178"/>
      <c r="C2052" s="179"/>
      <c r="D2052" s="180"/>
      <c r="E2052" s="181"/>
      <c r="F2052" s="182"/>
      <c r="G2052" s="1" t="str">
        <f>IFERROR(IF(ventas_b_mes11[[#This Row],[CUIT]]="","-",VLOOKUP(ventas_b_mes11[[#This Row],[CUIT]],Lista_CUIT[#All],2,0)),"CUIT NO CARGADO")</f>
        <v>-</v>
      </c>
      <c r="H2052" s="64">
        <f>ventas_b_mes11[[#This Row],[TOTAL]]/1.21</f>
        <v>0</v>
      </c>
      <c r="I2052" s="183">
        <f>ventas_b_mes11[[#This Row],[IMPORTE NETO]]*0.21</f>
        <v>0</v>
      </c>
      <c r="J2052" s="184"/>
      <c r="K2052" s="184"/>
      <c r="L2052" s="184"/>
      <c r="M2052" s="59"/>
    </row>
    <row r="2053" spans="2:13" x14ac:dyDescent="0.3">
      <c r="B2053" s="178"/>
      <c r="C2053" s="179"/>
      <c r="D2053" s="180"/>
      <c r="E2053" s="181"/>
      <c r="F2053" s="182"/>
      <c r="G2053" s="1" t="str">
        <f>IFERROR(IF(ventas_b_mes11[[#This Row],[CUIT]]="","-",VLOOKUP(ventas_b_mes11[[#This Row],[CUIT]],Lista_CUIT[#All],2,0)),"CUIT NO CARGADO")</f>
        <v>-</v>
      </c>
      <c r="H2053" s="64">
        <f>ventas_b_mes11[[#This Row],[TOTAL]]/1.21</f>
        <v>0</v>
      </c>
      <c r="I2053" s="183">
        <f>ventas_b_mes11[[#This Row],[IMPORTE NETO]]*0.21</f>
        <v>0</v>
      </c>
      <c r="J2053" s="184"/>
      <c r="K2053" s="184"/>
      <c r="L2053" s="184"/>
      <c r="M2053" s="59"/>
    </row>
    <row r="2054" spans="2:13" x14ac:dyDescent="0.3">
      <c r="B2054" s="178"/>
      <c r="C2054" s="179"/>
      <c r="D2054" s="180"/>
      <c r="E2054" s="181"/>
      <c r="F2054" s="182"/>
      <c r="G2054" s="1" t="str">
        <f>IFERROR(IF(ventas_b_mes11[[#This Row],[CUIT]]="","-",VLOOKUP(ventas_b_mes11[[#This Row],[CUIT]],Lista_CUIT[#All],2,0)),"CUIT NO CARGADO")</f>
        <v>-</v>
      </c>
      <c r="H2054" s="64">
        <f>ventas_b_mes11[[#This Row],[TOTAL]]/1.21</f>
        <v>0</v>
      </c>
      <c r="I2054" s="183">
        <f>ventas_b_mes11[[#This Row],[IMPORTE NETO]]*0.21</f>
        <v>0</v>
      </c>
      <c r="J2054" s="184"/>
      <c r="K2054" s="184"/>
      <c r="L2054" s="184"/>
      <c r="M2054" s="59"/>
    </row>
    <row r="2055" spans="2:13" x14ac:dyDescent="0.3">
      <c r="B2055" s="178"/>
      <c r="C2055" s="179"/>
      <c r="D2055" s="180"/>
      <c r="E2055" s="181"/>
      <c r="F2055" s="182"/>
      <c r="G2055" s="1" t="str">
        <f>IFERROR(IF(ventas_b_mes11[[#This Row],[CUIT]]="","-",VLOOKUP(ventas_b_mes11[[#This Row],[CUIT]],Lista_CUIT[#All],2,0)),"CUIT NO CARGADO")</f>
        <v>-</v>
      </c>
      <c r="H2055" s="64">
        <f>ventas_b_mes11[[#This Row],[TOTAL]]/1.21</f>
        <v>0</v>
      </c>
      <c r="I2055" s="183">
        <f>ventas_b_mes11[[#This Row],[IMPORTE NETO]]*0.21</f>
        <v>0</v>
      </c>
      <c r="J2055" s="184"/>
      <c r="K2055" s="184"/>
      <c r="L2055" s="184"/>
      <c r="M2055" s="59"/>
    </row>
    <row r="2056" spans="2:13" x14ac:dyDescent="0.3">
      <c r="B2056" s="178"/>
      <c r="C2056" s="179"/>
      <c r="D2056" s="180"/>
      <c r="E2056" s="181"/>
      <c r="F2056" s="182"/>
      <c r="G2056" s="1" t="str">
        <f>IFERROR(IF(ventas_b_mes11[[#This Row],[CUIT]]="","-",VLOOKUP(ventas_b_mes11[[#This Row],[CUIT]],Lista_CUIT[#All],2,0)),"CUIT NO CARGADO")</f>
        <v>-</v>
      </c>
      <c r="H2056" s="64">
        <f>ventas_b_mes11[[#This Row],[TOTAL]]/1.21</f>
        <v>0</v>
      </c>
      <c r="I2056" s="183">
        <f>ventas_b_mes11[[#This Row],[IMPORTE NETO]]*0.21</f>
        <v>0</v>
      </c>
      <c r="J2056" s="184"/>
      <c r="K2056" s="184"/>
      <c r="L2056" s="184"/>
      <c r="M2056" s="59"/>
    </row>
    <row r="2057" spans="2:13" x14ac:dyDescent="0.3">
      <c r="B2057" s="178"/>
      <c r="C2057" s="179"/>
      <c r="D2057" s="180"/>
      <c r="E2057" s="181"/>
      <c r="F2057" s="182"/>
      <c r="G2057" s="1" t="str">
        <f>IFERROR(IF(ventas_b_mes11[[#This Row],[CUIT]]="","-",VLOOKUP(ventas_b_mes11[[#This Row],[CUIT]],Lista_CUIT[#All],2,0)),"CUIT NO CARGADO")</f>
        <v>-</v>
      </c>
      <c r="H2057" s="64">
        <f>ventas_b_mes11[[#This Row],[TOTAL]]/1.21</f>
        <v>0</v>
      </c>
      <c r="I2057" s="183">
        <f>ventas_b_mes11[[#This Row],[IMPORTE NETO]]*0.21</f>
        <v>0</v>
      </c>
      <c r="J2057" s="184"/>
      <c r="K2057" s="184"/>
      <c r="L2057" s="184"/>
      <c r="M2057" s="59"/>
    </row>
    <row r="2058" spans="2:13" x14ac:dyDescent="0.3">
      <c r="B2058" s="178"/>
      <c r="C2058" s="179"/>
      <c r="D2058" s="180"/>
      <c r="E2058" s="181"/>
      <c r="F2058" s="182"/>
      <c r="G2058" s="1" t="str">
        <f>IFERROR(IF(ventas_b_mes11[[#This Row],[CUIT]]="","-",VLOOKUP(ventas_b_mes11[[#This Row],[CUIT]],Lista_CUIT[#All],2,0)),"CUIT NO CARGADO")</f>
        <v>-</v>
      </c>
      <c r="H2058" s="64">
        <f>ventas_b_mes11[[#This Row],[TOTAL]]/1.21</f>
        <v>0</v>
      </c>
      <c r="I2058" s="183">
        <f>ventas_b_mes11[[#This Row],[IMPORTE NETO]]*0.21</f>
        <v>0</v>
      </c>
      <c r="J2058" s="184"/>
      <c r="K2058" s="184"/>
      <c r="L2058" s="184"/>
      <c r="M2058" s="59"/>
    </row>
    <row r="2059" spans="2:13" x14ac:dyDescent="0.3">
      <c r="B2059" s="178"/>
      <c r="C2059" s="179"/>
      <c r="D2059" s="180"/>
      <c r="E2059" s="181"/>
      <c r="F2059" s="182"/>
      <c r="G2059" s="1" t="str">
        <f>IFERROR(IF(ventas_b_mes11[[#This Row],[CUIT]]="","-",VLOOKUP(ventas_b_mes11[[#This Row],[CUIT]],Lista_CUIT[#All],2,0)),"CUIT NO CARGADO")</f>
        <v>-</v>
      </c>
      <c r="H2059" s="64">
        <f>ventas_b_mes11[[#This Row],[TOTAL]]/1.21</f>
        <v>0</v>
      </c>
      <c r="I2059" s="183">
        <f>ventas_b_mes11[[#This Row],[IMPORTE NETO]]*0.21</f>
        <v>0</v>
      </c>
      <c r="J2059" s="184"/>
      <c r="K2059" s="184"/>
      <c r="L2059" s="184"/>
      <c r="M2059" s="59"/>
    </row>
    <row r="2060" spans="2:13" x14ac:dyDescent="0.3">
      <c r="B2060" s="178"/>
      <c r="C2060" s="179"/>
      <c r="D2060" s="180"/>
      <c r="E2060" s="181"/>
      <c r="F2060" s="182"/>
      <c r="G2060" s="1" t="str">
        <f>IFERROR(IF(ventas_b_mes11[[#This Row],[CUIT]]="","-",VLOOKUP(ventas_b_mes11[[#This Row],[CUIT]],Lista_CUIT[#All],2,0)),"CUIT NO CARGADO")</f>
        <v>-</v>
      </c>
      <c r="H2060" s="64">
        <f>ventas_b_mes11[[#This Row],[TOTAL]]/1.21</f>
        <v>0</v>
      </c>
      <c r="I2060" s="183">
        <f>ventas_b_mes11[[#This Row],[IMPORTE NETO]]*0.21</f>
        <v>0</v>
      </c>
      <c r="J2060" s="184"/>
      <c r="K2060" s="184"/>
      <c r="L2060" s="184"/>
      <c r="M2060" s="59"/>
    </row>
    <row r="2061" spans="2:13" x14ac:dyDescent="0.3">
      <c r="B2061" s="178"/>
      <c r="C2061" s="179"/>
      <c r="D2061" s="180"/>
      <c r="E2061" s="181"/>
      <c r="F2061" s="182"/>
      <c r="G2061" s="1" t="str">
        <f>IFERROR(IF(ventas_b_mes11[[#This Row],[CUIT]]="","-",VLOOKUP(ventas_b_mes11[[#This Row],[CUIT]],Lista_CUIT[#All],2,0)),"CUIT NO CARGADO")</f>
        <v>-</v>
      </c>
      <c r="H2061" s="64">
        <f>ventas_b_mes11[[#This Row],[TOTAL]]/1.21</f>
        <v>0</v>
      </c>
      <c r="I2061" s="183">
        <f>ventas_b_mes11[[#This Row],[IMPORTE NETO]]*0.21</f>
        <v>0</v>
      </c>
      <c r="J2061" s="184"/>
      <c r="K2061" s="184"/>
      <c r="L2061" s="184"/>
      <c r="M2061" s="59"/>
    </row>
    <row r="2062" spans="2:13" x14ac:dyDescent="0.3">
      <c r="B2062" s="178"/>
      <c r="C2062" s="179"/>
      <c r="D2062" s="180"/>
      <c r="E2062" s="181"/>
      <c r="F2062" s="182"/>
      <c r="G2062" s="1" t="str">
        <f>IFERROR(IF(ventas_b_mes11[[#This Row],[CUIT]]="","-",VLOOKUP(ventas_b_mes11[[#This Row],[CUIT]],Lista_CUIT[#All],2,0)),"CUIT NO CARGADO")</f>
        <v>-</v>
      </c>
      <c r="H2062" s="64">
        <f>ventas_b_mes11[[#This Row],[TOTAL]]/1.21</f>
        <v>0</v>
      </c>
      <c r="I2062" s="183">
        <f>ventas_b_mes11[[#This Row],[IMPORTE NETO]]*0.21</f>
        <v>0</v>
      </c>
      <c r="J2062" s="184"/>
      <c r="K2062" s="184"/>
      <c r="L2062" s="184"/>
      <c r="M2062" s="59"/>
    </row>
    <row r="2063" spans="2:13" x14ac:dyDescent="0.3">
      <c r="B2063" s="178"/>
      <c r="C2063" s="179"/>
      <c r="D2063" s="180"/>
      <c r="E2063" s="181"/>
      <c r="F2063" s="182"/>
      <c r="G2063" s="1" t="str">
        <f>IFERROR(IF(ventas_b_mes11[[#This Row],[CUIT]]="","-",VLOOKUP(ventas_b_mes11[[#This Row],[CUIT]],Lista_CUIT[#All],2,0)),"CUIT NO CARGADO")</f>
        <v>-</v>
      </c>
      <c r="H2063" s="64">
        <f>ventas_b_mes11[[#This Row],[TOTAL]]/1.21</f>
        <v>0</v>
      </c>
      <c r="I2063" s="183">
        <f>ventas_b_mes11[[#This Row],[IMPORTE NETO]]*0.21</f>
        <v>0</v>
      </c>
      <c r="J2063" s="184"/>
      <c r="K2063" s="184"/>
      <c r="L2063" s="184"/>
      <c r="M2063" s="59"/>
    </row>
    <row r="2064" spans="2:13" x14ac:dyDescent="0.3">
      <c r="B2064" s="178"/>
      <c r="C2064" s="179"/>
      <c r="D2064" s="180"/>
      <c r="E2064" s="181"/>
      <c r="F2064" s="182"/>
      <c r="G2064" s="1" t="str">
        <f>IFERROR(IF(ventas_b_mes11[[#This Row],[CUIT]]="","-",VLOOKUP(ventas_b_mes11[[#This Row],[CUIT]],Lista_CUIT[#All],2,0)),"CUIT NO CARGADO")</f>
        <v>-</v>
      </c>
      <c r="H2064" s="64">
        <f>ventas_b_mes11[[#This Row],[TOTAL]]/1.21</f>
        <v>0</v>
      </c>
      <c r="I2064" s="183">
        <f>ventas_b_mes11[[#This Row],[IMPORTE NETO]]*0.21</f>
        <v>0</v>
      </c>
      <c r="J2064" s="184"/>
      <c r="K2064" s="184"/>
      <c r="L2064" s="184"/>
      <c r="M2064" s="59"/>
    </row>
    <row r="2065" spans="2:13" x14ac:dyDescent="0.3">
      <c r="B2065" s="178"/>
      <c r="C2065" s="179"/>
      <c r="D2065" s="180"/>
      <c r="E2065" s="181"/>
      <c r="F2065" s="182"/>
      <c r="G2065" s="1" t="str">
        <f>IFERROR(IF(ventas_b_mes11[[#This Row],[CUIT]]="","-",VLOOKUP(ventas_b_mes11[[#This Row],[CUIT]],Lista_CUIT[#All],2,0)),"CUIT NO CARGADO")</f>
        <v>-</v>
      </c>
      <c r="H2065" s="64">
        <f>ventas_b_mes11[[#This Row],[TOTAL]]/1.21</f>
        <v>0</v>
      </c>
      <c r="I2065" s="183">
        <f>ventas_b_mes11[[#This Row],[IMPORTE NETO]]*0.21</f>
        <v>0</v>
      </c>
      <c r="J2065" s="184"/>
      <c r="K2065" s="184"/>
      <c r="L2065" s="184"/>
      <c r="M2065" s="59"/>
    </row>
    <row r="2066" spans="2:13" x14ac:dyDescent="0.3">
      <c r="B2066" s="178"/>
      <c r="C2066" s="179"/>
      <c r="D2066" s="180"/>
      <c r="E2066" s="181"/>
      <c r="F2066" s="182"/>
      <c r="G2066" s="1" t="str">
        <f>IFERROR(IF(ventas_b_mes11[[#This Row],[CUIT]]="","-",VLOOKUP(ventas_b_mes11[[#This Row],[CUIT]],Lista_CUIT[#All],2,0)),"CUIT NO CARGADO")</f>
        <v>-</v>
      </c>
      <c r="H2066" s="64">
        <f>ventas_b_mes11[[#This Row],[TOTAL]]/1.21</f>
        <v>0</v>
      </c>
      <c r="I2066" s="183">
        <f>ventas_b_mes11[[#This Row],[IMPORTE NETO]]*0.21</f>
        <v>0</v>
      </c>
      <c r="J2066" s="184"/>
      <c r="K2066" s="184"/>
      <c r="L2066" s="184"/>
      <c r="M2066" s="59"/>
    </row>
    <row r="2067" spans="2:13" x14ac:dyDescent="0.3">
      <c r="B2067" s="178"/>
      <c r="C2067" s="179"/>
      <c r="D2067" s="180"/>
      <c r="E2067" s="181"/>
      <c r="F2067" s="182"/>
      <c r="G2067" s="1" t="str">
        <f>IFERROR(IF(ventas_b_mes11[[#This Row],[CUIT]]="","-",VLOOKUP(ventas_b_mes11[[#This Row],[CUIT]],Lista_CUIT[#All],2,0)),"CUIT NO CARGADO")</f>
        <v>-</v>
      </c>
      <c r="H2067" s="64">
        <f>ventas_b_mes11[[#This Row],[TOTAL]]/1.21</f>
        <v>0</v>
      </c>
      <c r="I2067" s="183">
        <f>ventas_b_mes11[[#This Row],[IMPORTE NETO]]*0.21</f>
        <v>0</v>
      </c>
      <c r="J2067" s="184"/>
      <c r="K2067" s="184"/>
      <c r="L2067" s="184"/>
      <c r="M2067" s="59"/>
    </row>
    <row r="2068" spans="2:13" x14ac:dyDescent="0.3">
      <c r="B2068" s="178"/>
      <c r="C2068" s="179"/>
      <c r="D2068" s="180"/>
      <c r="E2068" s="181"/>
      <c r="F2068" s="182"/>
      <c r="G2068" s="1" t="str">
        <f>IFERROR(IF(ventas_b_mes11[[#This Row],[CUIT]]="","-",VLOOKUP(ventas_b_mes11[[#This Row],[CUIT]],Lista_CUIT[#All],2,0)),"CUIT NO CARGADO")</f>
        <v>-</v>
      </c>
      <c r="H2068" s="64">
        <f>ventas_b_mes11[[#This Row],[TOTAL]]/1.21</f>
        <v>0</v>
      </c>
      <c r="I2068" s="183">
        <f>ventas_b_mes11[[#This Row],[IMPORTE NETO]]*0.21</f>
        <v>0</v>
      </c>
      <c r="J2068" s="184"/>
      <c r="K2068" s="184"/>
      <c r="L2068" s="184"/>
      <c r="M2068" s="59"/>
    </row>
    <row r="2069" spans="2:13" x14ac:dyDescent="0.3">
      <c r="B2069" s="178"/>
      <c r="C2069" s="179"/>
      <c r="D2069" s="180"/>
      <c r="E2069" s="181"/>
      <c r="F2069" s="182"/>
      <c r="G2069" s="1" t="str">
        <f>IFERROR(IF(ventas_b_mes11[[#This Row],[CUIT]]="","-",VLOOKUP(ventas_b_mes11[[#This Row],[CUIT]],Lista_CUIT[#All],2,0)),"CUIT NO CARGADO")</f>
        <v>-</v>
      </c>
      <c r="H2069" s="64">
        <f>ventas_b_mes11[[#This Row],[TOTAL]]/1.21</f>
        <v>0</v>
      </c>
      <c r="I2069" s="183">
        <f>ventas_b_mes11[[#This Row],[IMPORTE NETO]]*0.21</f>
        <v>0</v>
      </c>
      <c r="J2069" s="184"/>
      <c r="K2069" s="184"/>
      <c r="L2069" s="184"/>
      <c r="M2069" s="59"/>
    </row>
    <row r="2070" spans="2:13" x14ac:dyDescent="0.3">
      <c r="B2070" s="178"/>
      <c r="C2070" s="179"/>
      <c r="D2070" s="180"/>
      <c r="E2070" s="181"/>
      <c r="F2070" s="182"/>
      <c r="G2070" s="1" t="str">
        <f>IFERROR(IF(ventas_b_mes11[[#This Row],[CUIT]]="","-",VLOOKUP(ventas_b_mes11[[#This Row],[CUIT]],Lista_CUIT[#All],2,0)),"CUIT NO CARGADO")</f>
        <v>-</v>
      </c>
      <c r="H2070" s="64">
        <f>ventas_b_mes11[[#This Row],[TOTAL]]/1.21</f>
        <v>0</v>
      </c>
      <c r="I2070" s="183">
        <f>ventas_b_mes11[[#This Row],[IMPORTE NETO]]*0.21</f>
        <v>0</v>
      </c>
      <c r="J2070" s="184"/>
      <c r="K2070" s="184"/>
      <c r="L2070" s="184"/>
      <c r="M2070" s="59"/>
    </row>
    <row r="2071" spans="2:13" x14ac:dyDescent="0.3">
      <c r="B2071" s="178"/>
      <c r="C2071" s="179"/>
      <c r="D2071" s="180"/>
      <c r="E2071" s="181"/>
      <c r="F2071" s="182"/>
      <c r="G2071" s="1" t="str">
        <f>IFERROR(IF(ventas_b_mes11[[#This Row],[CUIT]]="","-",VLOOKUP(ventas_b_mes11[[#This Row],[CUIT]],Lista_CUIT[#All],2,0)),"CUIT NO CARGADO")</f>
        <v>-</v>
      </c>
      <c r="H2071" s="64">
        <f>ventas_b_mes11[[#This Row],[TOTAL]]/1.21</f>
        <v>0</v>
      </c>
      <c r="I2071" s="183">
        <f>ventas_b_mes11[[#This Row],[IMPORTE NETO]]*0.21</f>
        <v>0</v>
      </c>
      <c r="J2071" s="184"/>
      <c r="K2071" s="184"/>
      <c r="L2071" s="184"/>
      <c r="M2071" s="59"/>
    </row>
    <row r="2072" spans="2:13" x14ac:dyDescent="0.3">
      <c r="B2072" s="178"/>
      <c r="C2072" s="179"/>
      <c r="D2072" s="180"/>
      <c r="E2072" s="181"/>
      <c r="F2072" s="182"/>
      <c r="G2072" s="1" t="str">
        <f>IFERROR(IF(ventas_b_mes11[[#This Row],[CUIT]]="","-",VLOOKUP(ventas_b_mes11[[#This Row],[CUIT]],Lista_CUIT[#All],2,0)),"CUIT NO CARGADO")</f>
        <v>-</v>
      </c>
      <c r="H2072" s="64">
        <f>ventas_b_mes11[[#This Row],[TOTAL]]/1.21</f>
        <v>0</v>
      </c>
      <c r="I2072" s="183">
        <f>ventas_b_mes11[[#This Row],[IMPORTE NETO]]*0.21</f>
        <v>0</v>
      </c>
      <c r="J2072" s="184"/>
      <c r="K2072" s="184"/>
      <c r="L2072" s="184"/>
      <c r="M2072" s="59"/>
    </row>
    <row r="2073" spans="2:13" x14ac:dyDescent="0.3">
      <c r="B2073" s="178"/>
      <c r="C2073" s="179"/>
      <c r="D2073" s="180"/>
      <c r="E2073" s="181"/>
      <c r="F2073" s="182"/>
      <c r="G2073" s="1" t="str">
        <f>IFERROR(IF(ventas_b_mes11[[#This Row],[CUIT]]="","-",VLOOKUP(ventas_b_mes11[[#This Row],[CUIT]],Lista_CUIT[#All],2,0)),"CUIT NO CARGADO")</f>
        <v>-</v>
      </c>
      <c r="H2073" s="64">
        <f>ventas_b_mes11[[#This Row],[TOTAL]]/1.21</f>
        <v>0</v>
      </c>
      <c r="I2073" s="183">
        <f>ventas_b_mes11[[#This Row],[IMPORTE NETO]]*0.21</f>
        <v>0</v>
      </c>
      <c r="J2073" s="184"/>
      <c r="K2073" s="184"/>
      <c r="L2073" s="184"/>
      <c r="M2073" s="59"/>
    </row>
    <row r="2074" spans="2:13" x14ac:dyDescent="0.3">
      <c r="B2074" s="178"/>
      <c r="C2074" s="179"/>
      <c r="D2074" s="180"/>
      <c r="E2074" s="181"/>
      <c r="F2074" s="182"/>
      <c r="G2074" s="1" t="str">
        <f>IFERROR(IF(ventas_b_mes11[[#This Row],[CUIT]]="","-",VLOOKUP(ventas_b_mes11[[#This Row],[CUIT]],Lista_CUIT[#All],2,0)),"CUIT NO CARGADO")</f>
        <v>-</v>
      </c>
      <c r="H2074" s="64">
        <f>ventas_b_mes11[[#This Row],[TOTAL]]/1.21</f>
        <v>0</v>
      </c>
      <c r="I2074" s="183">
        <f>ventas_b_mes11[[#This Row],[IMPORTE NETO]]*0.21</f>
        <v>0</v>
      </c>
      <c r="J2074" s="184"/>
      <c r="K2074" s="184"/>
      <c r="L2074" s="184"/>
      <c r="M2074" s="59"/>
    </row>
    <row r="2075" spans="2:13" x14ac:dyDescent="0.3">
      <c r="B2075" s="178"/>
      <c r="C2075" s="179"/>
      <c r="D2075" s="180"/>
      <c r="E2075" s="181"/>
      <c r="F2075" s="182"/>
      <c r="G2075" s="1" t="str">
        <f>IFERROR(IF(ventas_b_mes11[[#This Row],[CUIT]]="","-",VLOOKUP(ventas_b_mes11[[#This Row],[CUIT]],Lista_CUIT[#All],2,0)),"CUIT NO CARGADO")</f>
        <v>-</v>
      </c>
      <c r="H2075" s="64">
        <f>ventas_b_mes11[[#This Row],[TOTAL]]/1.21</f>
        <v>0</v>
      </c>
      <c r="I2075" s="183">
        <f>ventas_b_mes11[[#This Row],[IMPORTE NETO]]*0.21</f>
        <v>0</v>
      </c>
      <c r="J2075" s="184"/>
      <c r="K2075" s="184"/>
      <c r="L2075" s="184"/>
      <c r="M2075" s="59"/>
    </row>
    <row r="2076" spans="2:13" x14ac:dyDescent="0.3">
      <c r="B2076" s="178"/>
      <c r="C2076" s="179"/>
      <c r="D2076" s="180"/>
      <c r="E2076" s="181"/>
      <c r="F2076" s="182"/>
      <c r="G2076" s="1" t="str">
        <f>IFERROR(IF(ventas_b_mes11[[#This Row],[CUIT]]="","-",VLOOKUP(ventas_b_mes11[[#This Row],[CUIT]],Lista_CUIT[#All],2,0)),"CUIT NO CARGADO")</f>
        <v>-</v>
      </c>
      <c r="H2076" s="64">
        <f>ventas_b_mes11[[#This Row],[TOTAL]]/1.21</f>
        <v>0</v>
      </c>
      <c r="I2076" s="183">
        <f>ventas_b_mes11[[#This Row],[IMPORTE NETO]]*0.21</f>
        <v>0</v>
      </c>
      <c r="J2076" s="184"/>
      <c r="K2076" s="184"/>
      <c r="L2076" s="184"/>
      <c r="M2076" s="59"/>
    </row>
    <row r="2077" spans="2:13" x14ac:dyDescent="0.3">
      <c r="B2077" s="178"/>
      <c r="C2077" s="179"/>
      <c r="D2077" s="180"/>
      <c r="E2077" s="181"/>
      <c r="F2077" s="182"/>
      <c r="G2077" s="1" t="str">
        <f>IFERROR(IF(ventas_b_mes11[[#This Row],[CUIT]]="","-",VLOOKUP(ventas_b_mes11[[#This Row],[CUIT]],Lista_CUIT[#All],2,0)),"CUIT NO CARGADO")</f>
        <v>-</v>
      </c>
      <c r="H2077" s="64">
        <f>ventas_b_mes11[[#This Row],[TOTAL]]/1.21</f>
        <v>0</v>
      </c>
      <c r="I2077" s="183">
        <f>ventas_b_mes11[[#This Row],[IMPORTE NETO]]*0.21</f>
        <v>0</v>
      </c>
      <c r="J2077" s="184"/>
      <c r="K2077" s="184"/>
      <c r="L2077" s="184"/>
      <c r="M2077" s="59"/>
    </row>
    <row r="2078" spans="2:13" x14ac:dyDescent="0.3">
      <c r="B2078" s="178"/>
      <c r="C2078" s="179"/>
      <c r="D2078" s="180"/>
      <c r="E2078" s="181"/>
      <c r="F2078" s="182"/>
      <c r="G2078" s="1" t="str">
        <f>IFERROR(IF(ventas_b_mes11[[#This Row],[CUIT]]="","-",VLOOKUP(ventas_b_mes11[[#This Row],[CUIT]],Lista_CUIT[#All],2,0)),"CUIT NO CARGADO")</f>
        <v>-</v>
      </c>
      <c r="H2078" s="64">
        <f>ventas_b_mes11[[#This Row],[TOTAL]]/1.21</f>
        <v>0</v>
      </c>
      <c r="I2078" s="183">
        <f>ventas_b_mes11[[#This Row],[IMPORTE NETO]]*0.21</f>
        <v>0</v>
      </c>
      <c r="J2078" s="184"/>
      <c r="K2078" s="184"/>
      <c r="L2078" s="184"/>
      <c r="M2078" s="59"/>
    </row>
    <row r="2079" spans="2:13" x14ac:dyDescent="0.3">
      <c r="B2079" s="178"/>
      <c r="C2079" s="179"/>
      <c r="D2079" s="180"/>
      <c r="E2079" s="181"/>
      <c r="F2079" s="182"/>
      <c r="G2079" s="1" t="str">
        <f>IFERROR(IF(ventas_b_mes11[[#This Row],[CUIT]]="","-",VLOOKUP(ventas_b_mes11[[#This Row],[CUIT]],Lista_CUIT[#All],2,0)),"CUIT NO CARGADO")</f>
        <v>-</v>
      </c>
      <c r="H2079" s="64">
        <f>ventas_b_mes11[[#This Row],[TOTAL]]/1.21</f>
        <v>0</v>
      </c>
      <c r="I2079" s="183">
        <f>ventas_b_mes11[[#This Row],[IMPORTE NETO]]*0.21</f>
        <v>0</v>
      </c>
      <c r="J2079" s="184"/>
      <c r="K2079" s="184"/>
      <c r="L2079" s="184"/>
      <c r="M2079" s="59"/>
    </row>
    <row r="2080" spans="2:13" x14ac:dyDescent="0.3">
      <c r="B2080" s="178"/>
      <c r="C2080" s="179"/>
      <c r="D2080" s="180"/>
      <c r="E2080" s="181"/>
      <c r="F2080" s="182"/>
      <c r="G2080" s="1" t="str">
        <f>IFERROR(IF(ventas_b_mes11[[#This Row],[CUIT]]="","-",VLOOKUP(ventas_b_mes11[[#This Row],[CUIT]],Lista_CUIT[#All],2,0)),"CUIT NO CARGADO")</f>
        <v>-</v>
      </c>
      <c r="H2080" s="64">
        <f>ventas_b_mes11[[#This Row],[TOTAL]]/1.21</f>
        <v>0</v>
      </c>
      <c r="I2080" s="183">
        <f>ventas_b_mes11[[#This Row],[IMPORTE NETO]]*0.21</f>
        <v>0</v>
      </c>
      <c r="J2080" s="184"/>
      <c r="K2080" s="184"/>
      <c r="L2080" s="184"/>
      <c r="M2080" s="59"/>
    </row>
    <row r="2081" spans="2:13" x14ac:dyDescent="0.3">
      <c r="B2081" s="178"/>
      <c r="C2081" s="179"/>
      <c r="D2081" s="180"/>
      <c r="E2081" s="181"/>
      <c r="F2081" s="182"/>
      <c r="G2081" s="1" t="str">
        <f>IFERROR(IF(ventas_b_mes11[[#This Row],[CUIT]]="","-",VLOOKUP(ventas_b_mes11[[#This Row],[CUIT]],Lista_CUIT[#All],2,0)),"CUIT NO CARGADO")</f>
        <v>-</v>
      </c>
      <c r="H2081" s="64">
        <f>ventas_b_mes11[[#This Row],[TOTAL]]/1.21</f>
        <v>0</v>
      </c>
      <c r="I2081" s="183">
        <f>ventas_b_mes11[[#This Row],[IMPORTE NETO]]*0.21</f>
        <v>0</v>
      </c>
      <c r="J2081" s="184"/>
      <c r="K2081" s="184"/>
      <c r="L2081" s="184"/>
      <c r="M2081" s="59"/>
    </row>
    <row r="2082" spans="2:13" x14ac:dyDescent="0.3">
      <c r="B2082" s="178"/>
      <c r="C2082" s="179"/>
      <c r="D2082" s="180"/>
      <c r="E2082" s="181"/>
      <c r="F2082" s="182"/>
      <c r="G2082" s="1" t="str">
        <f>IFERROR(IF(ventas_b_mes11[[#This Row],[CUIT]]="","-",VLOOKUP(ventas_b_mes11[[#This Row],[CUIT]],Lista_CUIT[#All],2,0)),"CUIT NO CARGADO")</f>
        <v>-</v>
      </c>
      <c r="H2082" s="64">
        <f>ventas_b_mes11[[#This Row],[TOTAL]]/1.21</f>
        <v>0</v>
      </c>
      <c r="I2082" s="183">
        <f>ventas_b_mes11[[#This Row],[IMPORTE NETO]]*0.21</f>
        <v>0</v>
      </c>
      <c r="J2082" s="184"/>
      <c r="K2082" s="184"/>
      <c r="L2082" s="184"/>
      <c r="M2082" s="59"/>
    </row>
    <row r="2083" spans="2:13" x14ac:dyDescent="0.3">
      <c r="B2083" s="178"/>
      <c r="C2083" s="179"/>
      <c r="D2083" s="180"/>
      <c r="E2083" s="181"/>
      <c r="F2083" s="182"/>
      <c r="G2083" s="1" t="str">
        <f>IFERROR(IF(ventas_b_mes11[[#This Row],[CUIT]]="","-",VLOOKUP(ventas_b_mes11[[#This Row],[CUIT]],Lista_CUIT[#All],2,0)),"CUIT NO CARGADO")</f>
        <v>-</v>
      </c>
      <c r="H2083" s="64">
        <f>ventas_b_mes11[[#This Row],[TOTAL]]/1.21</f>
        <v>0</v>
      </c>
      <c r="I2083" s="183">
        <f>ventas_b_mes11[[#This Row],[IMPORTE NETO]]*0.21</f>
        <v>0</v>
      </c>
      <c r="J2083" s="184"/>
      <c r="K2083" s="184"/>
      <c r="L2083" s="184"/>
      <c r="M2083" s="59"/>
    </row>
    <row r="2084" spans="2:13" x14ac:dyDescent="0.3">
      <c r="B2084" s="178"/>
      <c r="C2084" s="179"/>
      <c r="D2084" s="180"/>
      <c r="E2084" s="181"/>
      <c r="F2084" s="182"/>
      <c r="G2084" s="1" t="str">
        <f>IFERROR(IF(ventas_b_mes11[[#This Row],[CUIT]]="","-",VLOOKUP(ventas_b_mes11[[#This Row],[CUIT]],Lista_CUIT[#All],2,0)),"CUIT NO CARGADO")</f>
        <v>-</v>
      </c>
      <c r="H2084" s="64">
        <f>ventas_b_mes11[[#This Row],[TOTAL]]/1.21</f>
        <v>0</v>
      </c>
      <c r="I2084" s="183">
        <f>ventas_b_mes11[[#This Row],[IMPORTE NETO]]*0.21</f>
        <v>0</v>
      </c>
      <c r="J2084" s="184"/>
      <c r="K2084" s="184"/>
      <c r="L2084" s="184"/>
      <c r="M2084" s="59"/>
    </row>
    <row r="2085" spans="2:13" x14ac:dyDescent="0.3">
      <c r="B2085" s="178"/>
      <c r="C2085" s="179"/>
      <c r="D2085" s="180"/>
      <c r="E2085" s="181"/>
      <c r="F2085" s="182"/>
      <c r="G2085" s="1" t="str">
        <f>IFERROR(IF(ventas_b_mes11[[#This Row],[CUIT]]="","-",VLOOKUP(ventas_b_mes11[[#This Row],[CUIT]],Lista_CUIT[#All],2,0)),"CUIT NO CARGADO")</f>
        <v>-</v>
      </c>
      <c r="H2085" s="64">
        <f>ventas_b_mes11[[#This Row],[TOTAL]]/1.21</f>
        <v>0</v>
      </c>
      <c r="I2085" s="183">
        <f>ventas_b_mes11[[#This Row],[IMPORTE NETO]]*0.21</f>
        <v>0</v>
      </c>
      <c r="J2085" s="184"/>
      <c r="K2085" s="184"/>
      <c r="L2085" s="184"/>
      <c r="M2085" s="59"/>
    </row>
    <row r="2086" spans="2:13" x14ac:dyDescent="0.3">
      <c r="B2086" s="178"/>
      <c r="C2086" s="179"/>
      <c r="D2086" s="180"/>
      <c r="E2086" s="181"/>
      <c r="F2086" s="182"/>
      <c r="G2086" s="1" t="str">
        <f>IFERROR(IF(ventas_b_mes11[[#This Row],[CUIT]]="","-",VLOOKUP(ventas_b_mes11[[#This Row],[CUIT]],Lista_CUIT[#All],2,0)),"CUIT NO CARGADO")</f>
        <v>-</v>
      </c>
      <c r="H2086" s="64">
        <f>ventas_b_mes11[[#This Row],[TOTAL]]/1.21</f>
        <v>0</v>
      </c>
      <c r="I2086" s="183">
        <f>ventas_b_mes11[[#This Row],[IMPORTE NETO]]*0.21</f>
        <v>0</v>
      </c>
      <c r="J2086" s="184"/>
      <c r="K2086" s="184"/>
      <c r="L2086" s="184"/>
      <c r="M2086" s="59"/>
    </row>
    <row r="2087" spans="2:13" x14ac:dyDescent="0.3">
      <c r="B2087" s="178"/>
      <c r="C2087" s="179"/>
      <c r="D2087" s="180"/>
      <c r="E2087" s="181"/>
      <c r="F2087" s="182"/>
      <c r="G2087" s="1" t="str">
        <f>IFERROR(IF(ventas_b_mes11[[#This Row],[CUIT]]="","-",VLOOKUP(ventas_b_mes11[[#This Row],[CUIT]],Lista_CUIT[#All],2,0)),"CUIT NO CARGADO")</f>
        <v>-</v>
      </c>
      <c r="H2087" s="64">
        <f>ventas_b_mes11[[#This Row],[TOTAL]]/1.21</f>
        <v>0</v>
      </c>
      <c r="I2087" s="183">
        <f>ventas_b_mes11[[#This Row],[IMPORTE NETO]]*0.21</f>
        <v>0</v>
      </c>
      <c r="J2087" s="184"/>
      <c r="K2087" s="184"/>
      <c r="L2087" s="184"/>
      <c r="M2087" s="59"/>
    </row>
    <row r="2088" spans="2:13" x14ac:dyDescent="0.3">
      <c r="B2088" s="178"/>
      <c r="C2088" s="179"/>
      <c r="D2088" s="180"/>
      <c r="E2088" s="181"/>
      <c r="F2088" s="182"/>
      <c r="G2088" s="1" t="str">
        <f>IFERROR(IF(ventas_b_mes11[[#This Row],[CUIT]]="","-",VLOOKUP(ventas_b_mes11[[#This Row],[CUIT]],Lista_CUIT[#All],2,0)),"CUIT NO CARGADO")</f>
        <v>-</v>
      </c>
      <c r="H2088" s="64">
        <f>ventas_b_mes11[[#This Row],[TOTAL]]/1.21</f>
        <v>0</v>
      </c>
      <c r="I2088" s="183">
        <f>ventas_b_mes11[[#This Row],[IMPORTE NETO]]*0.21</f>
        <v>0</v>
      </c>
      <c r="J2088" s="184"/>
      <c r="K2088" s="184"/>
      <c r="L2088" s="184"/>
      <c r="M2088" s="59"/>
    </row>
    <row r="2089" spans="2:13" x14ac:dyDescent="0.3">
      <c r="B2089" s="178"/>
      <c r="C2089" s="179"/>
      <c r="D2089" s="180"/>
      <c r="E2089" s="181"/>
      <c r="F2089" s="182"/>
      <c r="G2089" s="1" t="str">
        <f>IFERROR(IF(ventas_b_mes11[[#This Row],[CUIT]]="","-",VLOOKUP(ventas_b_mes11[[#This Row],[CUIT]],Lista_CUIT[#All],2,0)),"CUIT NO CARGADO")</f>
        <v>-</v>
      </c>
      <c r="H2089" s="64">
        <f>ventas_b_mes11[[#This Row],[TOTAL]]/1.21</f>
        <v>0</v>
      </c>
      <c r="I2089" s="183">
        <f>ventas_b_mes11[[#This Row],[IMPORTE NETO]]*0.21</f>
        <v>0</v>
      </c>
      <c r="J2089" s="184"/>
      <c r="K2089" s="184"/>
      <c r="L2089" s="184"/>
      <c r="M2089" s="59"/>
    </row>
    <row r="2090" spans="2:13" x14ac:dyDescent="0.3">
      <c r="B2090" s="178"/>
      <c r="C2090" s="179"/>
      <c r="D2090" s="180"/>
      <c r="E2090" s="181"/>
      <c r="F2090" s="182"/>
      <c r="G2090" s="1" t="str">
        <f>IFERROR(IF(ventas_b_mes11[[#This Row],[CUIT]]="","-",VLOOKUP(ventas_b_mes11[[#This Row],[CUIT]],Lista_CUIT[#All],2,0)),"CUIT NO CARGADO")</f>
        <v>-</v>
      </c>
      <c r="H2090" s="64">
        <f>ventas_b_mes11[[#This Row],[TOTAL]]/1.21</f>
        <v>0</v>
      </c>
      <c r="I2090" s="183">
        <f>ventas_b_mes11[[#This Row],[IMPORTE NETO]]*0.21</f>
        <v>0</v>
      </c>
      <c r="J2090" s="184"/>
      <c r="K2090" s="184"/>
      <c r="L2090" s="184"/>
      <c r="M2090" s="59"/>
    </row>
    <row r="2091" spans="2:13" x14ac:dyDescent="0.3">
      <c r="B2091" s="178"/>
      <c r="C2091" s="179"/>
      <c r="D2091" s="180"/>
      <c r="E2091" s="181"/>
      <c r="F2091" s="182"/>
      <c r="G2091" s="1" t="str">
        <f>IFERROR(IF(ventas_b_mes11[[#This Row],[CUIT]]="","-",VLOOKUP(ventas_b_mes11[[#This Row],[CUIT]],Lista_CUIT[#All],2,0)),"CUIT NO CARGADO")</f>
        <v>-</v>
      </c>
      <c r="H2091" s="64">
        <f>ventas_b_mes11[[#This Row],[TOTAL]]/1.21</f>
        <v>0</v>
      </c>
      <c r="I2091" s="183">
        <f>ventas_b_mes11[[#This Row],[IMPORTE NETO]]*0.21</f>
        <v>0</v>
      </c>
      <c r="J2091" s="184"/>
      <c r="K2091" s="184"/>
      <c r="L2091" s="184"/>
      <c r="M2091" s="59"/>
    </row>
    <row r="2092" spans="2:13" x14ac:dyDescent="0.3">
      <c r="B2092" s="178"/>
      <c r="C2092" s="179"/>
      <c r="D2092" s="180"/>
      <c r="E2092" s="181"/>
      <c r="F2092" s="182"/>
      <c r="G2092" s="1" t="str">
        <f>IFERROR(IF(ventas_b_mes11[[#This Row],[CUIT]]="","-",VLOOKUP(ventas_b_mes11[[#This Row],[CUIT]],Lista_CUIT[#All],2,0)),"CUIT NO CARGADO")</f>
        <v>-</v>
      </c>
      <c r="H2092" s="64">
        <f>ventas_b_mes11[[#This Row],[TOTAL]]/1.21</f>
        <v>0</v>
      </c>
      <c r="I2092" s="183">
        <f>ventas_b_mes11[[#This Row],[IMPORTE NETO]]*0.21</f>
        <v>0</v>
      </c>
      <c r="J2092" s="184"/>
      <c r="K2092" s="184"/>
      <c r="L2092" s="184"/>
      <c r="M2092" s="59"/>
    </row>
    <row r="2093" spans="2:13" x14ac:dyDescent="0.3">
      <c r="B2093" s="178"/>
      <c r="C2093" s="179"/>
      <c r="D2093" s="180"/>
      <c r="E2093" s="181"/>
      <c r="F2093" s="182"/>
      <c r="G2093" s="1" t="str">
        <f>IFERROR(IF(ventas_b_mes11[[#This Row],[CUIT]]="","-",VLOOKUP(ventas_b_mes11[[#This Row],[CUIT]],Lista_CUIT[#All],2,0)),"CUIT NO CARGADO")</f>
        <v>-</v>
      </c>
      <c r="H2093" s="64">
        <f>ventas_b_mes11[[#This Row],[TOTAL]]/1.21</f>
        <v>0</v>
      </c>
      <c r="I2093" s="183">
        <f>ventas_b_mes11[[#This Row],[IMPORTE NETO]]*0.21</f>
        <v>0</v>
      </c>
      <c r="J2093" s="184"/>
      <c r="K2093" s="184"/>
      <c r="L2093" s="184"/>
      <c r="M2093" s="59"/>
    </row>
    <row r="2094" spans="2:13" x14ac:dyDescent="0.3">
      <c r="B2094" s="178"/>
      <c r="C2094" s="179"/>
      <c r="D2094" s="180"/>
      <c r="E2094" s="181"/>
      <c r="F2094" s="182"/>
      <c r="G2094" s="1" t="str">
        <f>IFERROR(IF(ventas_b_mes11[[#This Row],[CUIT]]="","-",VLOOKUP(ventas_b_mes11[[#This Row],[CUIT]],Lista_CUIT[#All],2,0)),"CUIT NO CARGADO")</f>
        <v>-</v>
      </c>
      <c r="H2094" s="64">
        <f>ventas_b_mes11[[#This Row],[TOTAL]]/1.21</f>
        <v>0</v>
      </c>
      <c r="I2094" s="183">
        <f>ventas_b_mes11[[#This Row],[IMPORTE NETO]]*0.21</f>
        <v>0</v>
      </c>
      <c r="J2094" s="184"/>
      <c r="K2094" s="184"/>
      <c r="L2094" s="184"/>
      <c r="M2094" s="59"/>
    </row>
    <row r="2095" spans="2:13" x14ac:dyDescent="0.3">
      <c r="B2095" s="178"/>
      <c r="C2095" s="179"/>
      <c r="D2095" s="180"/>
      <c r="E2095" s="181"/>
      <c r="F2095" s="182"/>
      <c r="G2095" s="1" t="str">
        <f>IFERROR(IF(ventas_b_mes11[[#This Row],[CUIT]]="","-",VLOOKUP(ventas_b_mes11[[#This Row],[CUIT]],Lista_CUIT[#All],2,0)),"CUIT NO CARGADO")</f>
        <v>-</v>
      </c>
      <c r="H2095" s="64">
        <f>ventas_b_mes11[[#This Row],[TOTAL]]/1.21</f>
        <v>0</v>
      </c>
      <c r="I2095" s="183">
        <f>ventas_b_mes11[[#This Row],[IMPORTE NETO]]*0.21</f>
        <v>0</v>
      </c>
      <c r="J2095" s="184"/>
      <c r="K2095" s="184"/>
      <c r="L2095" s="184"/>
      <c r="M2095" s="59"/>
    </row>
    <row r="2096" spans="2:13" x14ac:dyDescent="0.3">
      <c r="B2096" s="178"/>
      <c r="C2096" s="179"/>
      <c r="D2096" s="180"/>
      <c r="E2096" s="181"/>
      <c r="F2096" s="182"/>
      <c r="G2096" s="1" t="str">
        <f>IFERROR(IF(ventas_b_mes11[[#This Row],[CUIT]]="","-",VLOOKUP(ventas_b_mes11[[#This Row],[CUIT]],Lista_CUIT[#All],2,0)),"CUIT NO CARGADO")</f>
        <v>-</v>
      </c>
      <c r="H2096" s="64">
        <f>ventas_b_mes11[[#This Row],[TOTAL]]/1.21</f>
        <v>0</v>
      </c>
      <c r="I2096" s="183">
        <f>ventas_b_mes11[[#This Row],[IMPORTE NETO]]*0.21</f>
        <v>0</v>
      </c>
      <c r="J2096" s="184"/>
      <c r="K2096" s="184"/>
      <c r="L2096" s="184"/>
      <c r="M2096" s="59"/>
    </row>
    <row r="2097" spans="2:13" x14ac:dyDescent="0.3">
      <c r="B2097" s="178"/>
      <c r="C2097" s="179"/>
      <c r="D2097" s="180"/>
      <c r="E2097" s="181"/>
      <c r="F2097" s="182"/>
      <c r="G2097" s="1" t="str">
        <f>IFERROR(IF(ventas_b_mes11[[#This Row],[CUIT]]="","-",VLOOKUP(ventas_b_mes11[[#This Row],[CUIT]],Lista_CUIT[#All],2,0)),"CUIT NO CARGADO")</f>
        <v>-</v>
      </c>
      <c r="H2097" s="64">
        <f>ventas_b_mes11[[#This Row],[TOTAL]]/1.21</f>
        <v>0</v>
      </c>
      <c r="I2097" s="183">
        <f>ventas_b_mes11[[#This Row],[IMPORTE NETO]]*0.21</f>
        <v>0</v>
      </c>
      <c r="J2097" s="184"/>
      <c r="K2097" s="184"/>
      <c r="L2097" s="184"/>
      <c r="M2097" s="59"/>
    </row>
    <row r="2098" spans="2:13" x14ac:dyDescent="0.3">
      <c r="B2098" s="178"/>
      <c r="C2098" s="179"/>
      <c r="D2098" s="180"/>
      <c r="E2098" s="181"/>
      <c r="F2098" s="182"/>
      <c r="G2098" s="1" t="str">
        <f>IFERROR(IF(ventas_b_mes11[[#This Row],[CUIT]]="","-",VLOOKUP(ventas_b_mes11[[#This Row],[CUIT]],Lista_CUIT[#All],2,0)),"CUIT NO CARGADO")</f>
        <v>-</v>
      </c>
      <c r="H2098" s="64">
        <f>ventas_b_mes11[[#This Row],[TOTAL]]/1.21</f>
        <v>0</v>
      </c>
      <c r="I2098" s="183">
        <f>ventas_b_mes11[[#This Row],[IMPORTE NETO]]*0.21</f>
        <v>0</v>
      </c>
      <c r="J2098" s="184"/>
      <c r="K2098" s="184"/>
      <c r="L2098" s="184"/>
      <c r="M2098" s="59"/>
    </row>
    <row r="2099" spans="2:13" x14ac:dyDescent="0.3">
      <c r="B2099" s="178"/>
      <c r="C2099" s="179"/>
      <c r="D2099" s="180"/>
      <c r="E2099" s="181"/>
      <c r="F2099" s="182"/>
      <c r="G2099" s="1" t="str">
        <f>IFERROR(IF(ventas_b_mes11[[#This Row],[CUIT]]="","-",VLOOKUP(ventas_b_mes11[[#This Row],[CUIT]],Lista_CUIT[#All],2,0)),"CUIT NO CARGADO")</f>
        <v>-</v>
      </c>
      <c r="H2099" s="64">
        <f>ventas_b_mes11[[#This Row],[TOTAL]]/1.21</f>
        <v>0</v>
      </c>
      <c r="I2099" s="183">
        <f>ventas_b_mes11[[#This Row],[IMPORTE NETO]]*0.21</f>
        <v>0</v>
      </c>
      <c r="J2099" s="184"/>
      <c r="K2099" s="184"/>
      <c r="L2099" s="184"/>
      <c r="M2099" s="59"/>
    </row>
    <row r="2100" spans="2:13" x14ac:dyDescent="0.3">
      <c r="B2100" s="178"/>
      <c r="C2100" s="179"/>
      <c r="D2100" s="180"/>
      <c r="E2100" s="181"/>
      <c r="F2100" s="182"/>
      <c r="G2100" s="1" t="str">
        <f>IFERROR(IF(ventas_b_mes11[[#This Row],[CUIT]]="","-",VLOOKUP(ventas_b_mes11[[#This Row],[CUIT]],Lista_CUIT[#All],2,0)),"CUIT NO CARGADO")</f>
        <v>-</v>
      </c>
      <c r="H2100" s="64">
        <f>ventas_b_mes11[[#This Row],[TOTAL]]/1.21</f>
        <v>0</v>
      </c>
      <c r="I2100" s="183">
        <f>ventas_b_mes11[[#This Row],[IMPORTE NETO]]*0.21</f>
        <v>0</v>
      </c>
      <c r="J2100" s="184"/>
      <c r="K2100" s="184"/>
      <c r="L2100" s="184"/>
      <c r="M2100" s="59"/>
    </row>
    <row r="2101" spans="2:13" x14ac:dyDescent="0.3">
      <c r="B2101" s="178"/>
      <c r="C2101" s="179"/>
      <c r="D2101" s="180"/>
      <c r="E2101" s="181"/>
      <c r="F2101" s="182"/>
      <c r="G2101" s="1" t="str">
        <f>IFERROR(IF(ventas_b_mes11[[#This Row],[CUIT]]="","-",VLOOKUP(ventas_b_mes11[[#This Row],[CUIT]],Lista_CUIT[#All],2,0)),"CUIT NO CARGADO")</f>
        <v>-</v>
      </c>
      <c r="H2101" s="64">
        <f>ventas_b_mes11[[#This Row],[TOTAL]]/1.21</f>
        <v>0</v>
      </c>
      <c r="I2101" s="183">
        <f>ventas_b_mes11[[#This Row],[IMPORTE NETO]]*0.21</f>
        <v>0</v>
      </c>
      <c r="J2101" s="184"/>
      <c r="K2101" s="184"/>
      <c r="L2101" s="184"/>
      <c r="M2101" s="59"/>
    </row>
    <row r="2102" spans="2:13" x14ac:dyDescent="0.3">
      <c r="B2102" s="178"/>
      <c r="C2102" s="179"/>
      <c r="D2102" s="180"/>
      <c r="E2102" s="181"/>
      <c r="F2102" s="182"/>
      <c r="G2102" s="1" t="str">
        <f>IFERROR(IF(ventas_b_mes11[[#This Row],[CUIT]]="","-",VLOOKUP(ventas_b_mes11[[#This Row],[CUIT]],Lista_CUIT[#All],2,0)),"CUIT NO CARGADO")</f>
        <v>-</v>
      </c>
      <c r="H2102" s="64">
        <f>ventas_b_mes11[[#This Row],[TOTAL]]/1.21</f>
        <v>0</v>
      </c>
      <c r="I2102" s="183">
        <f>ventas_b_mes11[[#This Row],[IMPORTE NETO]]*0.21</f>
        <v>0</v>
      </c>
      <c r="J2102" s="184"/>
      <c r="K2102" s="184"/>
      <c r="L2102" s="184"/>
      <c r="M2102" s="59"/>
    </row>
    <row r="2103" spans="2:13" x14ac:dyDescent="0.3">
      <c r="B2103" s="178"/>
      <c r="C2103" s="179"/>
      <c r="D2103" s="180"/>
      <c r="E2103" s="181"/>
      <c r="F2103" s="182"/>
      <c r="G2103" s="1" t="str">
        <f>IFERROR(IF(ventas_b_mes11[[#This Row],[CUIT]]="","-",VLOOKUP(ventas_b_mes11[[#This Row],[CUIT]],Lista_CUIT[#All],2,0)),"CUIT NO CARGADO")</f>
        <v>-</v>
      </c>
      <c r="H2103" s="64">
        <f>ventas_b_mes11[[#This Row],[TOTAL]]/1.21</f>
        <v>0</v>
      </c>
      <c r="I2103" s="183">
        <f>ventas_b_mes11[[#This Row],[IMPORTE NETO]]*0.21</f>
        <v>0</v>
      </c>
      <c r="J2103" s="184"/>
      <c r="K2103" s="184"/>
      <c r="L2103" s="184"/>
      <c r="M2103" s="59"/>
    </row>
    <row r="2104" spans="2:13" x14ac:dyDescent="0.3">
      <c r="B2104" s="178"/>
      <c r="C2104" s="179"/>
      <c r="D2104" s="180"/>
      <c r="E2104" s="181"/>
      <c r="F2104" s="182"/>
      <c r="G2104" s="1" t="str">
        <f>IFERROR(IF(ventas_b_mes11[[#This Row],[CUIT]]="","-",VLOOKUP(ventas_b_mes11[[#This Row],[CUIT]],Lista_CUIT[#All],2,0)),"CUIT NO CARGADO")</f>
        <v>-</v>
      </c>
      <c r="H2104" s="64">
        <f>ventas_b_mes11[[#This Row],[TOTAL]]/1.21</f>
        <v>0</v>
      </c>
      <c r="I2104" s="183">
        <f>ventas_b_mes11[[#This Row],[IMPORTE NETO]]*0.21</f>
        <v>0</v>
      </c>
      <c r="J2104" s="184"/>
      <c r="K2104" s="184"/>
      <c r="L2104" s="184"/>
      <c r="M2104" s="59"/>
    </row>
    <row r="2105" spans="2:13" x14ac:dyDescent="0.3">
      <c r="B2105" s="178"/>
      <c r="C2105" s="179"/>
      <c r="D2105" s="180"/>
      <c r="E2105" s="181"/>
      <c r="F2105" s="182"/>
      <c r="G2105" s="1" t="str">
        <f>IFERROR(IF(ventas_b_mes11[[#This Row],[CUIT]]="","-",VLOOKUP(ventas_b_mes11[[#This Row],[CUIT]],Lista_CUIT[#All],2,0)),"CUIT NO CARGADO")</f>
        <v>-</v>
      </c>
      <c r="H2105" s="64">
        <f>ventas_b_mes11[[#This Row],[TOTAL]]/1.21</f>
        <v>0</v>
      </c>
      <c r="I2105" s="183">
        <f>ventas_b_mes11[[#This Row],[IMPORTE NETO]]*0.21</f>
        <v>0</v>
      </c>
      <c r="J2105" s="184"/>
      <c r="K2105" s="184"/>
      <c r="L2105" s="184"/>
      <c r="M2105" s="59"/>
    </row>
    <row r="2106" spans="2:13" x14ac:dyDescent="0.3">
      <c r="B2106" s="178"/>
      <c r="C2106" s="179"/>
      <c r="D2106" s="180"/>
      <c r="E2106" s="181"/>
      <c r="F2106" s="182"/>
      <c r="G2106" s="1" t="str">
        <f>IFERROR(IF(ventas_b_mes11[[#This Row],[CUIT]]="","-",VLOOKUP(ventas_b_mes11[[#This Row],[CUIT]],Lista_CUIT[#All],2,0)),"CUIT NO CARGADO")</f>
        <v>-</v>
      </c>
      <c r="H2106" s="64">
        <f>ventas_b_mes11[[#This Row],[TOTAL]]/1.21</f>
        <v>0</v>
      </c>
      <c r="I2106" s="183">
        <f>ventas_b_mes11[[#This Row],[IMPORTE NETO]]*0.21</f>
        <v>0</v>
      </c>
      <c r="J2106" s="184"/>
      <c r="K2106" s="184"/>
      <c r="L2106" s="184"/>
      <c r="M2106" s="59"/>
    </row>
    <row r="2107" spans="2:13" x14ac:dyDescent="0.3">
      <c r="B2107" s="178"/>
      <c r="C2107" s="179"/>
      <c r="D2107" s="180"/>
      <c r="E2107" s="181"/>
      <c r="F2107" s="182"/>
      <c r="G2107" s="1" t="str">
        <f>IFERROR(IF(ventas_b_mes11[[#This Row],[CUIT]]="","-",VLOOKUP(ventas_b_mes11[[#This Row],[CUIT]],Lista_CUIT[#All],2,0)),"CUIT NO CARGADO")</f>
        <v>-</v>
      </c>
      <c r="H2107" s="64">
        <f>ventas_b_mes11[[#This Row],[TOTAL]]/1.21</f>
        <v>0</v>
      </c>
      <c r="I2107" s="183">
        <f>ventas_b_mes11[[#This Row],[IMPORTE NETO]]*0.21</f>
        <v>0</v>
      </c>
      <c r="J2107" s="184"/>
      <c r="K2107" s="184"/>
      <c r="L2107" s="184"/>
      <c r="M2107" s="59"/>
    </row>
    <row r="2108" spans="2:13" x14ac:dyDescent="0.3">
      <c r="B2108" s="178"/>
      <c r="C2108" s="179"/>
      <c r="D2108" s="180"/>
      <c r="E2108" s="181"/>
      <c r="F2108" s="182"/>
      <c r="G2108" s="1" t="str">
        <f>IFERROR(IF(ventas_b_mes11[[#This Row],[CUIT]]="","-",VLOOKUP(ventas_b_mes11[[#This Row],[CUIT]],Lista_CUIT[#All],2,0)),"CUIT NO CARGADO")</f>
        <v>-</v>
      </c>
      <c r="H2108" s="64">
        <f>ventas_b_mes11[[#This Row],[TOTAL]]/1.21</f>
        <v>0</v>
      </c>
      <c r="I2108" s="183">
        <f>ventas_b_mes11[[#This Row],[IMPORTE NETO]]*0.21</f>
        <v>0</v>
      </c>
      <c r="J2108" s="184"/>
      <c r="K2108" s="184"/>
      <c r="L2108" s="184"/>
      <c r="M2108" s="59"/>
    </row>
    <row r="2109" spans="2:13" x14ac:dyDescent="0.3">
      <c r="B2109" s="178"/>
      <c r="C2109" s="179"/>
      <c r="D2109" s="180"/>
      <c r="E2109" s="181"/>
      <c r="F2109" s="182"/>
      <c r="G2109" s="1" t="str">
        <f>IFERROR(IF(ventas_b_mes11[[#This Row],[CUIT]]="","-",VLOOKUP(ventas_b_mes11[[#This Row],[CUIT]],Lista_CUIT[#All],2,0)),"CUIT NO CARGADO")</f>
        <v>-</v>
      </c>
      <c r="H2109" s="64">
        <f>ventas_b_mes11[[#This Row],[TOTAL]]/1.21</f>
        <v>0</v>
      </c>
      <c r="I2109" s="183">
        <f>ventas_b_mes11[[#This Row],[IMPORTE NETO]]*0.21</f>
        <v>0</v>
      </c>
      <c r="J2109" s="184"/>
      <c r="K2109" s="184"/>
      <c r="L2109" s="184"/>
      <c r="M2109" s="59"/>
    </row>
    <row r="2110" spans="2:13" x14ac:dyDescent="0.3">
      <c r="B2110" s="178"/>
      <c r="C2110" s="179"/>
      <c r="D2110" s="180"/>
      <c r="E2110" s="181"/>
      <c r="F2110" s="182"/>
      <c r="G2110" s="1" t="str">
        <f>IFERROR(IF(ventas_b_mes11[[#This Row],[CUIT]]="","-",VLOOKUP(ventas_b_mes11[[#This Row],[CUIT]],Lista_CUIT[#All],2,0)),"CUIT NO CARGADO")</f>
        <v>-</v>
      </c>
      <c r="H2110" s="64">
        <f>ventas_b_mes11[[#This Row],[TOTAL]]/1.21</f>
        <v>0</v>
      </c>
      <c r="I2110" s="183">
        <f>ventas_b_mes11[[#This Row],[IMPORTE NETO]]*0.21</f>
        <v>0</v>
      </c>
      <c r="J2110" s="184"/>
      <c r="K2110" s="184"/>
      <c r="L2110" s="184"/>
      <c r="M2110" s="59"/>
    </row>
    <row r="2111" spans="2:13" x14ac:dyDescent="0.3">
      <c r="B2111" s="178"/>
      <c r="C2111" s="179"/>
      <c r="D2111" s="180"/>
      <c r="E2111" s="181"/>
      <c r="F2111" s="182"/>
      <c r="G2111" s="1" t="str">
        <f>IFERROR(IF(ventas_b_mes11[[#This Row],[CUIT]]="","-",VLOOKUP(ventas_b_mes11[[#This Row],[CUIT]],Lista_CUIT[#All],2,0)),"CUIT NO CARGADO")</f>
        <v>-</v>
      </c>
      <c r="H2111" s="64">
        <f>ventas_b_mes11[[#This Row],[TOTAL]]/1.21</f>
        <v>0</v>
      </c>
      <c r="I2111" s="183">
        <f>ventas_b_mes11[[#This Row],[IMPORTE NETO]]*0.21</f>
        <v>0</v>
      </c>
      <c r="J2111" s="184"/>
      <c r="K2111" s="184"/>
      <c r="L2111" s="184"/>
      <c r="M2111" s="59"/>
    </row>
    <row r="2112" spans="2:13" x14ac:dyDescent="0.3">
      <c r="B2112" s="178"/>
      <c r="C2112" s="179"/>
      <c r="D2112" s="180"/>
      <c r="E2112" s="181"/>
      <c r="F2112" s="182"/>
      <c r="G2112" s="1" t="str">
        <f>IFERROR(IF(ventas_b_mes11[[#This Row],[CUIT]]="","-",VLOOKUP(ventas_b_mes11[[#This Row],[CUIT]],Lista_CUIT[#All],2,0)),"CUIT NO CARGADO")</f>
        <v>-</v>
      </c>
      <c r="H2112" s="64">
        <f>ventas_b_mes11[[#This Row],[TOTAL]]/1.21</f>
        <v>0</v>
      </c>
      <c r="I2112" s="183">
        <f>ventas_b_mes11[[#This Row],[IMPORTE NETO]]*0.21</f>
        <v>0</v>
      </c>
      <c r="J2112" s="184"/>
      <c r="K2112" s="184"/>
      <c r="L2112" s="184"/>
      <c r="M2112" s="59"/>
    </row>
    <row r="2113" spans="2:13" x14ac:dyDescent="0.3">
      <c r="B2113" s="178"/>
      <c r="C2113" s="179"/>
      <c r="D2113" s="180"/>
      <c r="E2113" s="181"/>
      <c r="F2113" s="182"/>
      <c r="G2113" s="1" t="str">
        <f>IFERROR(IF(ventas_b_mes11[[#This Row],[CUIT]]="","-",VLOOKUP(ventas_b_mes11[[#This Row],[CUIT]],Lista_CUIT[#All],2,0)),"CUIT NO CARGADO")</f>
        <v>-</v>
      </c>
      <c r="H2113" s="64">
        <f>ventas_b_mes11[[#This Row],[TOTAL]]/1.21</f>
        <v>0</v>
      </c>
      <c r="I2113" s="183">
        <f>ventas_b_mes11[[#This Row],[IMPORTE NETO]]*0.21</f>
        <v>0</v>
      </c>
      <c r="J2113" s="184"/>
      <c r="K2113" s="184"/>
      <c r="L2113" s="184"/>
      <c r="M2113" s="59"/>
    </row>
    <row r="2114" spans="2:13" x14ac:dyDescent="0.3">
      <c r="B2114" s="178"/>
      <c r="C2114" s="179"/>
      <c r="D2114" s="180"/>
      <c r="E2114" s="181"/>
      <c r="F2114" s="182"/>
      <c r="G2114" s="1" t="str">
        <f>IFERROR(IF(ventas_b_mes11[[#This Row],[CUIT]]="","-",VLOOKUP(ventas_b_mes11[[#This Row],[CUIT]],Lista_CUIT[#All],2,0)),"CUIT NO CARGADO")</f>
        <v>-</v>
      </c>
      <c r="H2114" s="64">
        <f>ventas_b_mes11[[#This Row],[TOTAL]]/1.21</f>
        <v>0</v>
      </c>
      <c r="I2114" s="183">
        <f>ventas_b_mes11[[#This Row],[IMPORTE NETO]]*0.21</f>
        <v>0</v>
      </c>
      <c r="J2114" s="184"/>
      <c r="K2114" s="184"/>
      <c r="L2114" s="184"/>
      <c r="M2114" s="59"/>
    </row>
    <row r="2115" spans="2:13" x14ac:dyDescent="0.3">
      <c r="B2115" s="178"/>
      <c r="C2115" s="179"/>
      <c r="D2115" s="180"/>
      <c r="E2115" s="181"/>
      <c r="F2115" s="182"/>
      <c r="G2115" s="1" t="str">
        <f>IFERROR(IF(ventas_b_mes11[[#This Row],[CUIT]]="","-",VLOOKUP(ventas_b_mes11[[#This Row],[CUIT]],Lista_CUIT[#All],2,0)),"CUIT NO CARGADO")</f>
        <v>-</v>
      </c>
      <c r="H2115" s="64">
        <f>ventas_b_mes11[[#This Row],[TOTAL]]/1.21</f>
        <v>0</v>
      </c>
      <c r="I2115" s="183">
        <f>ventas_b_mes11[[#This Row],[IMPORTE NETO]]*0.21</f>
        <v>0</v>
      </c>
      <c r="J2115" s="184"/>
      <c r="K2115" s="184"/>
      <c r="L2115" s="184"/>
      <c r="M2115" s="59"/>
    </row>
    <row r="2116" spans="2:13" x14ac:dyDescent="0.3">
      <c r="B2116" s="178"/>
      <c r="C2116" s="179"/>
      <c r="D2116" s="180"/>
      <c r="E2116" s="181"/>
      <c r="F2116" s="182"/>
      <c r="G2116" s="1" t="str">
        <f>IFERROR(IF(ventas_b_mes11[[#This Row],[CUIT]]="","-",VLOOKUP(ventas_b_mes11[[#This Row],[CUIT]],Lista_CUIT[#All],2,0)),"CUIT NO CARGADO")</f>
        <v>-</v>
      </c>
      <c r="H2116" s="64">
        <f>ventas_b_mes11[[#This Row],[TOTAL]]/1.21</f>
        <v>0</v>
      </c>
      <c r="I2116" s="183">
        <f>ventas_b_mes11[[#This Row],[IMPORTE NETO]]*0.21</f>
        <v>0</v>
      </c>
      <c r="J2116" s="184"/>
      <c r="K2116" s="184"/>
      <c r="L2116" s="184"/>
      <c r="M2116" s="59"/>
    </row>
    <row r="2117" spans="2:13" x14ac:dyDescent="0.3">
      <c r="B2117" s="178"/>
      <c r="C2117" s="179"/>
      <c r="D2117" s="180"/>
      <c r="E2117" s="181"/>
      <c r="F2117" s="182"/>
      <c r="G2117" s="1" t="str">
        <f>IFERROR(IF(ventas_b_mes11[[#This Row],[CUIT]]="","-",VLOOKUP(ventas_b_mes11[[#This Row],[CUIT]],Lista_CUIT[#All],2,0)),"CUIT NO CARGADO")</f>
        <v>-</v>
      </c>
      <c r="H2117" s="64">
        <f>ventas_b_mes11[[#This Row],[TOTAL]]/1.21</f>
        <v>0</v>
      </c>
      <c r="I2117" s="183">
        <f>ventas_b_mes11[[#This Row],[IMPORTE NETO]]*0.21</f>
        <v>0</v>
      </c>
      <c r="J2117" s="184"/>
      <c r="K2117" s="184"/>
      <c r="L2117" s="184"/>
      <c r="M2117" s="59"/>
    </row>
    <row r="2118" spans="2:13" x14ac:dyDescent="0.3">
      <c r="B2118" s="178"/>
      <c r="C2118" s="179"/>
      <c r="D2118" s="180"/>
      <c r="E2118" s="181"/>
      <c r="F2118" s="182"/>
      <c r="G2118" s="1" t="str">
        <f>IFERROR(IF(ventas_b_mes11[[#This Row],[CUIT]]="","-",VLOOKUP(ventas_b_mes11[[#This Row],[CUIT]],Lista_CUIT[#All],2,0)),"CUIT NO CARGADO")</f>
        <v>-</v>
      </c>
      <c r="H2118" s="64">
        <f>ventas_b_mes11[[#This Row],[TOTAL]]/1.21</f>
        <v>0</v>
      </c>
      <c r="I2118" s="183">
        <f>ventas_b_mes11[[#This Row],[IMPORTE NETO]]*0.21</f>
        <v>0</v>
      </c>
      <c r="J2118" s="184"/>
      <c r="K2118" s="184"/>
      <c r="L2118" s="184"/>
      <c r="M2118" s="59"/>
    </row>
    <row r="2119" spans="2:13" x14ac:dyDescent="0.3">
      <c r="B2119" s="178"/>
      <c r="C2119" s="179"/>
      <c r="D2119" s="180"/>
      <c r="E2119" s="181"/>
      <c r="F2119" s="182"/>
      <c r="G2119" s="1" t="str">
        <f>IFERROR(IF(ventas_b_mes11[[#This Row],[CUIT]]="","-",VLOOKUP(ventas_b_mes11[[#This Row],[CUIT]],Lista_CUIT[#All],2,0)),"CUIT NO CARGADO")</f>
        <v>-</v>
      </c>
      <c r="H2119" s="64">
        <f>ventas_b_mes11[[#This Row],[TOTAL]]/1.21</f>
        <v>0</v>
      </c>
      <c r="I2119" s="183">
        <f>ventas_b_mes11[[#This Row],[IMPORTE NETO]]*0.21</f>
        <v>0</v>
      </c>
      <c r="J2119" s="184"/>
      <c r="K2119" s="184"/>
      <c r="L2119" s="184"/>
      <c r="M2119" s="59"/>
    </row>
    <row r="2120" spans="2:13" x14ac:dyDescent="0.3">
      <c r="B2120" s="178"/>
      <c r="C2120" s="179"/>
      <c r="D2120" s="180"/>
      <c r="E2120" s="181"/>
      <c r="F2120" s="182"/>
      <c r="G2120" s="1" t="str">
        <f>IFERROR(IF(ventas_b_mes11[[#This Row],[CUIT]]="","-",VLOOKUP(ventas_b_mes11[[#This Row],[CUIT]],Lista_CUIT[#All],2,0)),"CUIT NO CARGADO")</f>
        <v>-</v>
      </c>
      <c r="H2120" s="64">
        <f>ventas_b_mes11[[#This Row],[TOTAL]]/1.21</f>
        <v>0</v>
      </c>
      <c r="I2120" s="183">
        <f>ventas_b_mes11[[#This Row],[IMPORTE NETO]]*0.21</f>
        <v>0</v>
      </c>
      <c r="J2120" s="184"/>
      <c r="K2120" s="184"/>
      <c r="L2120" s="184"/>
      <c r="M2120" s="59"/>
    </row>
    <row r="2121" spans="2:13" x14ac:dyDescent="0.3">
      <c r="B2121" s="178"/>
      <c r="C2121" s="179"/>
      <c r="D2121" s="180"/>
      <c r="E2121" s="181"/>
      <c r="F2121" s="182"/>
      <c r="G2121" s="1" t="str">
        <f>IFERROR(IF(ventas_b_mes11[[#This Row],[CUIT]]="","-",VLOOKUP(ventas_b_mes11[[#This Row],[CUIT]],Lista_CUIT[#All],2,0)),"CUIT NO CARGADO")</f>
        <v>-</v>
      </c>
      <c r="H2121" s="64">
        <f>ventas_b_mes11[[#This Row],[TOTAL]]/1.21</f>
        <v>0</v>
      </c>
      <c r="I2121" s="183">
        <f>ventas_b_mes11[[#This Row],[IMPORTE NETO]]*0.21</f>
        <v>0</v>
      </c>
      <c r="J2121" s="184"/>
      <c r="K2121" s="184"/>
      <c r="L2121" s="184"/>
      <c r="M2121" s="59"/>
    </row>
    <row r="2122" spans="2:13" x14ac:dyDescent="0.3">
      <c r="B2122" s="178"/>
      <c r="C2122" s="179"/>
      <c r="D2122" s="180"/>
      <c r="E2122" s="181"/>
      <c r="F2122" s="182"/>
      <c r="G2122" s="1" t="str">
        <f>IFERROR(IF(ventas_b_mes11[[#This Row],[CUIT]]="","-",VLOOKUP(ventas_b_mes11[[#This Row],[CUIT]],Lista_CUIT[#All],2,0)),"CUIT NO CARGADO")</f>
        <v>-</v>
      </c>
      <c r="H2122" s="64">
        <f>ventas_b_mes11[[#This Row],[TOTAL]]/1.21</f>
        <v>0</v>
      </c>
      <c r="I2122" s="183">
        <f>ventas_b_mes11[[#This Row],[IMPORTE NETO]]*0.21</f>
        <v>0</v>
      </c>
      <c r="J2122" s="184"/>
      <c r="K2122" s="184"/>
      <c r="L2122" s="184"/>
      <c r="M2122" s="59"/>
    </row>
    <row r="2123" spans="2:13" x14ac:dyDescent="0.3">
      <c r="B2123" s="178"/>
      <c r="C2123" s="179"/>
      <c r="D2123" s="180"/>
      <c r="E2123" s="181"/>
      <c r="F2123" s="182"/>
      <c r="G2123" s="1" t="str">
        <f>IFERROR(IF(ventas_b_mes11[[#This Row],[CUIT]]="","-",VLOOKUP(ventas_b_mes11[[#This Row],[CUIT]],Lista_CUIT[#All],2,0)),"CUIT NO CARGADO")</f>
        <v>-</v>
      </c>
      <c r="H2123" s="64">
        <f>ventas_b_mes11[[#This Row],[TOTAL]]/1.21</f>
        <v>0</v>
      </c>
      <c r="I2123" s="183">
        <f>ventas_b_mes11[[#This Row],[IMPORTE NETO]]*0.21</f>
        <v>0</v>
      </c>
      <c r="J2123" s="184"/>
      <c r="K2123" s="184"/>
      <c r="L2123" s="184"/>
      <c r="M2123" s="59"/>
    </row>
    <row r="2124" spans="2:13" x14ac:dyDescent="0.3">
      <c r="B2124" s="178"/>
      <c r="C2124" s="179"/>
      <c r="D2124" s="180"/>
      <c r="E2124" s="181"/>
      <c r="F2124" s="182"/>
      <c r="G2124" s="1" t="str">
        <f>IFERROR(IF(ventas_b_mes11[[#This Row],[CUIT]]="","-",VLOOKUP(ventas_b_mes11[[#This Row],[CUIT]],Lista_CUIT[#All],2,0)),"CUIT NO CARGADO")</f>
        <v>-</v>
      </c>
      <c r="H2124" s="64">
        <f>ventas_b_mes11[[#This Row],[TOTAL]]/1.21</f>
        <v>0</v>
      </c>
      <c r="I2124" s="183">
        <f>ventas_b_mes11[[#This Row],[IMPORTE NETO]]*0.21</f>
        <v>0</v>
      </c>
      <c r="J2124" s="184"/>
      <c r="K2124" s="184"/>
      <c r="L2124" s="184"/>
      <c r="M2124" s="59"/>
    </row>
    <row r="2125" spans="2:13" x14ac:dyDescent="0.3">
      <c r="B2125" s="178"/>
      <c r="C2125" s="179"/>
      <c r="D2125" s="180"/>
      <c r="E2125" s="181"/>
      <c r="F2125" s="182"/>
      <c r="G2125" s="1" t="str">
        <f>IFERROR(IF(ventas_b_mes11[[#This Row],[CUIT]]="","-",VLOOKUP(ventas_b_mes11[[#This Row],[CUIT]],Lista_CUIT[#All],2,0)),"CUIT NO CARGADO")</f>
        <v>-</v>
      </c>
      <c r="H2125" s="64">
        <f>ventas_b_mes11[[#This Row],[TOTAL]]/1.21</f>
        <v>0</v>
      </c>
      <c r="I2125" s="183">
        <f>ventas_b_mes11[[#This Row],[IMPORTE NETO]]*0.21</f>
        <v>0</v>
      </c>
      <c r="J2125" s="184"/>
      <c r="K2125" s="184"/>
      <c r="L2125" s="184"/>
      <c r="M2125" s="59"/>
    </row>
    <row r="2126" spans="2:13" x14ac:dyDescent="0.3">
      <c r="B2126" s="178"/>
      <c r="C2126" s="179"/>
      <c r="D2126" s="180"/>
      <c r="E2126" s="181"/>
      <c r="F2126" s="182"/>
      <c r="G2126" s="1" t="str">
        <f>IFERROR(IF(ventas_b_mes11[[#This Row],[CUIT]]="","-",VLOOKUP(ventas_b_mes11[[#This Row],[CUIT]],Lista_CUIT[#All],2,0)),"CUIT NO CARGADO")</f>
        <v>-</v>
      </c>
      <c r="H2126" s="64">
        <f>ventas_b_mes11[[#This Row],[TOTAL]]/1.21</f>
        <v>0</v>
      </c>
      <c r="I2126" s="183">
        <f>ventas_b_mes11[[#This Row],[IMPORTE NETO]]*0.21</f>
        <v>0</v>
      </c>
      <c r="J2126" s="184"/>
      <c r="K2126" s="184"/>
      <c r="L2126" s="184"/>
      <c r="M2126" s="59"/>
    </row>
    <row r="2127" spans="2:13" x14ac:dyDescent="0.3">
      <c r="B2127" s="178"/>
      <c r="C2127" s="179"/>
      <c r="D2127" s="180"/>
      <c r="E2127" s="181"/>
      <c r="F2127" s="182"/>
      <c r="G2127" s="1" t="str">
        <f>IFERROR(IF(ventas_b_mes11[[#This Row],[CUIT]]="","-",VLOOKUP(ventas_b_mes11[[#This Row],[CUIT]],Lista_CUIT[#All],2,0)),"CUIT NO CARGADO")</f>
        <v>-</v>
      </c>
      <c r="H2127" s="64">
        <f>ventas_b_mes11[[#This Row],[TOTAL]]/1.21</f>
        <v>0</v>
      </c>
      <c r="I2127" s="183">
        <f>ventas_b_mes11[[#This Row],[IMPORTE NETO]]*0.21</f>
        <v>0</v>
      </c>
      <c r="J2127" s="184"/>
      <c r="K2127" s="184"/>
      <c r="L2127" s="184"/>
      <c r="M2127" s="59"/>
    </row>
    <row r="2128" spans="2:13" x14ac:dyDescent="0.3">
      <c r="B2128" s="178"/>
      <c r="C2128" s="179"/>
      <c r="D2128" s="180"/>
      <c r="E2128" s="181"/>
      <c r="F2128" s="182"/>
      <c r="G2128" s="1" t="str">
        <f>IFERROR(IF(ventas_b_mes11[[#This Row],[CUIT]]="","-",VLOOKUP(ventas_b_mes11[[#This Row],[CUIT]],Lista_CUIT[#All],2,0)),"CUIT NO CARGADO")</f>
        <v>-</v>
      </c>
      <c r="H2128" s="64">
        <f>ventas_b_mes11[[#This Row],[TOTAL]]/1.21</f>
        <v>0</v>
      </c>
      <c r="I2128" s="183">
        <f>ventas_b_mes11[[#This Row],[IMPORTE NETO]]*0.21</f>
        <v>0</v>
      </c>
      <c r="J2128" s="184"/>
      <c r="K2128" s="184"/>
      <c r="L2128" s="184"/>
      <c r="M2128" s="59"/>
    </row>
    <row r="2129" spans="2:13" x14ac:dyDescent="0.3">
      <c r="B2129" s="178"/>
      <c r="C2129" s="179"/>
      <c r="D2129" s="180"/>
      <c r="E2129" s="181"/>
      <c r="F2129" s="182"/>
      <c r="G2129" s="1" t="str">
        <f>IFERROR(IF(ventas_b_mes11[[#This Row],[CUIT]]="","-",VLOOKUP(ventas_b_mes11[[#This Row],[CUIT]],Lista_CUIT[#All],2,0)),"CUIT NO CARGADO")</f>
        <v>-</v>
      </c>
      <c r="H2129" s="64">
        <f>ventas_b_mes11[[#This Row],[TOTAL]]/1.21</f>
        <v>0</v>
      </c>
      <c r="I2129" s="183">
        <f>ventas_b_mes11[[#This Row],[IMPORTE NETO]]*0.21</f>
        <v>0</v>
      </c>
      <c r="J2129" s="184"/>
      <c r="K2129" s="184"/>
      <c r="L2129" s="184"/>
      <c r="M2129" s="59"/>
    </row>
    <row r="2130" spans="2:13" x14ac:dyDescent="0.3">
      <c r="B2130" s="178"/>
      <c r="C2130" s="179"/>
      <c r="D2130" s="180"/>
      <c r="E2130" s="181"/>
      <c r="F2130" s="182"/>
      <c r="G2130" s="1" t="str">
        <f>IFERROR(IF(ventas_b_mes11[[#This Row],[CUIT]]="","-",VLOOKUP(ventas_b_mes11[[#This Row],[CUIT]],Lista_CUIT[#All],2,0)),"CUIT NO CARGADO")</f>
        <v>-</v>
      </c>
      <c r="H2130" s="64">
        <f>ventas_b_mes11[[#This Row],[TOTAL]]/1.21</f>
        <v>0</v>
      </c>
      <c r="I2130" s="183">
        <f>ventas_b_mes11[[#This Row],[IMPORTE NETO]]*0.21</f>
        <v>0</v>
      </c>
      <c r="J2130" s="184"/>
      <c r="K2130" s="184"/>
      <c r="L2130" s="184"/>
      <c r="M2130" s="59"/>
    </row>
    <row r="2131" spans="2:13" x14ac:dyDescent="0.3">
      <c r="B2131" s="178"/>
      <c r="C2131" s="179"/>
      <c r="D2131" s="180"/>
      <c r="E2131" s="181"/>
      <c r="F2131" s="182"/>
      <c r="G2131" s="1" t="str">
        <f>IFERROR(IF(ventas_b_mes11[[#This Row],[CUIT]]="","-",VLOOKUP(ventas_b_mes11[[#This Row],[CUIT]],Lista_CUIT[#All],2,0)),"CUIT NO CARGADO")</f>
        <v>-</v>
      </c>
      <c r="H2131" s="64">
        <f>ventas_b_mes11[[#This Row],[TOTAL]]/1.21</f>
        <v>0</v>
      </c>
      <c r="I2131" s="183">
        <f>ventas_b_mes11[[#This Row],[IMPORTE NETO]]*0.21</f>
        <v>0</v>
      </c>
      <c r="J2131" s="184"/>
      <c r="K2131" s="184"/>
      <c r="L2131" s="184"/>
      <c r="M2131" s="59"/>
    </row>
    <row r="2132" spans="2:13" x14ac:dyDescent="0.3">
      <c r="B2132" s="178"/>
      <c r="C2132" s="179"/>
      <c r="D2132" s="180"/>
      <c r="E2132" s="181"/>
      <c r="F2132" s="182"/>
      <c r="G2132" s="1" t="str">
        <f>IFERROR(IF(ventas_b_mes11[[#This Row],[CUIT]]="","-",VLOOKUP(ventas_b_mes11[[#This Row],[CUIT]],Lista_CUIT[#All],2,0)),"CUIT NO CARGADO")</f>
        <v>-</v>
      </c>
      <c r="H2132" s="64">
        <f>ventas_b_mes11[[#This Row],[TOTAL]]/1.21</f>
        <v>0</v>
      </c>
      <c r="I2132" s="183">
        <f>ventas_b_mes11[[#This Row],[IMPORTE NETO]]*0.21</f>
        <v>0</v>
      </c>
      <c r="J2132" s="184"/>
      <c r="K2132" s="184"/>
      <c r="L2132" s="184"/>
      <c r="M2132" s="59"/>
    </row>
    <row r="2133" spans="2:13" x14ac:dyDescent="0.3">
      <c r="B2133" s="178"/>
      <c r="C2133" s="179"/>
      <c r="D2133" s="180"/>
      <c r="E2133" s="181"/>
      <c r="F2133" s="182"/>
      <c r="G2133" s="1" t="str">
        <f>IFERROR(IF(ventas_b_mes11[[#This Row],[CUIT]]="","-",VLOOKUP(ventas_b_mes11[[#This Row],[CUIT]],Lista_CUIT[#All],2,0)),"CUIT NO CARGADO")</f>
        <v>-</v>
      </c>
      <c r="H2133" s="64">
        <f>ventas_b_mes11[[#This Row],[TOTAL]]/1.21</f>
        <v>0</v>
      </c>
      <c r="I2133" s="183">
        <f>ventas_b_mes11[[#This Row],[IMPORTE NETO]]*0.21</f>
        <v>0</v>
      </c>
      <c r="J2133" s="184"/>
      <c r="K2133" s="184"/>
      <c r="L2133" s="184"/>
      <c r="M2133" s="59"/>
    </row>
    <row r="2134" spans="2:13" x14ac:dyDescent="0.3">
      <c r="B2134" s="178"/>
      <c r="C2134" s="179"/>
      <c r="D2134" s="180"/>
      <c r="E2134" s="181"/>
      <c r="F2134" s="182"/>
      <c r="G2134" s="1" t="str">
        <f>IFERROR(IF(ventas_b_mes11[[#This Row],[CUIT]]="","-",VLOOKUP(ventas_b_mes11[[#This Row],[CUIT]],Lista_CUIT[#All],2,0)),"CUIT NO CARGADO")</f>
        <v>-</v>
      </c>
      <c r="H2134" s="64">
        <f>ventas_b_mes11[[#This Row],[TOTAL]]/1.21</f>
        <v>0</v>
      </c>
      <c r="I2134" s="183">
        <f>ventas_b_mes11[[#This Row],[IMPORTE NETO]]*0.21</f>
        <v>0</v>
      </c>
      <c r="J2134" s="184"/>
      <c r="K2134" s="184"/>
      <c r="L2134" s="184"/>
      <c r="M2134" s="59"/>
    </row>
    <row r="2135" spans="2:13" x14ac:dyDescent="0.3">
      <c r="B2135" s="178"/>
      <c r="C2135" s="179"/>
      <c r="D2135" s="180"/>
      <c r="E2135" s="181"/>
      <c r="F2135" s="182"/>
      <c r="G2135" s="1" t="str">
        <f>IFERROR(IF(ventas_b_mes11[[#This Row],[CUIT]]="","-",VLOOKUP(ventas_b_mes11[[#This Row],[CUIT]],Lista_CUIT[#All],2,0)),"CUIT NO CARGADO")</f>
        <v>-</v>
      </c>
      <c r="H2135" s="64">
        <f>ventas_b_mes11[[#This Row],[TOTAL]]/1.21</f>
        <v>0</v>
      </c>
      <c r="I2135" s="183">
        <f>ventas_b_mes11[[#This Row],[IMPORTE NETO]]*0.21</f>
        <v>0</v>
      </c>
      <c r="J2135" s="184"/>
      <c r="K2135" s="184"/>
      <c r="L2135" s="184"/>
      <c r="M2135" s="59"/>
    </row>
    <row r="2136" spans="2:13" x14ac:dyDescent="0.3">
      <c r="B2136" s="178"/>
      <c r="C2136" s="179"/>
      <c r="D2136" s="180"/>
      <c r="E2136" s="181"/>
      <c r="F2136" s="182"/>
      <c r="G2136" s="1" t="str">
        <f>IFERROR(IF(ventas_b_mes11[[#This Row],[CUIT]]="","-",VLOOKUP(ventas_b_mes11[[#This Row],[CUIT]],Lista_CUIT[#All],2,0)),"CUIT NO CARGADO")</f>
        <v>-</v>
      </c>
      <c r="H2136" s="64">
        <f>ventas_b_mes11[[#This Row],[TOTAL]]/1.21</f>
        <v>0</v>
      </c>
      <c r="I2136" s="183">
        <f>ventas_b_mes11[[#This Row],[IMPORTE NETO]]*0.21</f>
        <v>0</v>
      </c>
      <c r="J2136" s="184"/>
      <c r="K2136" s="184"/>
      <c r="L2136" s="184"/>
      <c r="M2136" s="59"/>
    </row>
    <row r="2137" spans="2:13" x14ac:dyDescent="0.3">
      <c r="B2137" s="178"/>
      <c r="C2137" s="179"/>
      <c r="D2137" s="180"/>
      <c r="E2137" s="181"/>
      <c r="F2137" s="182"/>
      <c r="G2137" s="1" t="str">
        <f>IFERROR(IF(ventas_b_mes11[[#This Row],[CUIT]]="","-",VLOOKUP(ventas_b_mes11[[#This Row],[CUIT]],Lista_CUIT[#All],2,0)),"CUIT NO CARGADO")</f>
        <v>-</v>
      </c>
      <c r="H2137" s="64">
        <f>ventas_b_mes11[[#This Row],[TOTAL]]/1.21</f>
        <v>0</v>
      </c>
      <c r="I2137" s="183">
        <f>ventas_b_mes11[[#This Row],[IMPORTE NETO]]*0.21</f>
        <v>0</v>
      </c>
      <c r="J2137" s="184"/>
      <c r="K2137" s="184"/>
      <c r="L2137" s="184"/>
      <c r="M2137" s="59"/>
    </row>
    <row r="2138" spans="2:13" x14ac:dyDescent="0.3">
      <c r="B2138" s="178"/>
      <c r="C2138" s="179"/>
      <c r="D2138" s="180"/>
      <c r="E2138" s="181"/>
      <c r="F2138" s="182"/>
      <c r="G2138" s="1" t="str">
        <f>IFERROR(IF(ventas_b_mes11[[#This Row],[CUIT]]="","-",VLOOKUP(ventas_b_mes11[[#This Row],[CUIT]],Lista_CUIT[#All],2,0)),"CUIT NO CARGADO")</f>
        <v>-</v>
      </c>
      <c r="H2138" s="64">
        <f>ventas_b_mes11[[#This Row],[TOTAL]]/1.21</f>
        <v>0</v>
      </c>
      <c r="I2138" s="183">
        <f>ventas_b_mes11[[#This Row],[IMPORTE NETO]]*0.21</f>
        <v>0</v>
      </c>
      <c r="J2138" s="184"/>
      <c r="K2138" s="184"/>
      <c r="L2138" s="184"/>
      <c r="M2138" s="59"/>
    </row>
    <row r="2139" spans="2:13" x14ac:dyDescent="0.3">
      <c r="B2139" s="178"/>
      <c r="C2139" s="179"/>
      <c r="D2139" s="180"/>
      <c r="E2139" s="181"/>
      <c r="F2139" s="182"/>
      <c r="G2139" s="1" t="str">
        <f>IFERROR(IF(ventas_b_mes11[[#This Row],[CUIT]]="","-",VLOOKUP(ventas_b_mes11[[#This Row],[CUIT]],Lista_CUIT[#All],2,0)),"CUIT NO CARGADO")</f>
        <v>-</v>
      </c>
      <c r="H2139" s="64">
        <f>ventas_b_mes11[[#This Row],[TOTAL]]/1.21</f>
        <v>0</v>
      </c>
      <c r="I2139" s="183">
        <f>ventas_b_mes11[[#This Row],[IMPORTE NETO]]*0.21</f>
        <v>0</v>
      </c>
      <c r="J2139" s="184"/>
      <c r="K2139" s="184"/>
      <c r="L2139" s="184"/>
      <c r="M2139" s="59"/>
    </row>
    <row r="2140" spans="2:13" x14ac:dyDescent="0.3">
      <c r="B2140" s="178"/>
      <c r="C2140" s="179"/>
      <c r="D2140" s="180"/>
      <c r="E2140" s="181"/>
      <c r="F2140" s="182"/>
      <c r="G2140" s="1" t="str">
        <f>IFERROR(IF(ventas_b_mes11[[#This Row],[CUIT]]="","-",VLOOKUP(ventas_b_mes11[[#This Row],[CUIT]],Lista_CUIT[#All],2,0)),"CUIT NO CARGADO")</f>
        <v>-</v>
      </c>
      <c r="H2140" s="64">
        <f>ventas_b_mes11[[#This Row],[TOTAL]]/1.21</f>
        <v>0</v>
      </c>
      <c r="I2140" s="183">
        <f>ventas_b_mes11[[#This Row],[IMPORTE NETO]]*0.21</f>
        <v>0</v>
      </c>
      <c r="J2140" s="184"/>
      <c r="K2140" s="184"/>
      <c r="L2140" s="184"/>
      <c r="M2140" s="59"/>
    </row>
    <row r="2141" spans="2:13" x14ac:dyDescent="0.3">
      <c r="B2141" s="178"/>
      <c r="C2141" s="179"/>
      <c r="D2141" s="180"/>
      <c r="E2141" s="181"/>
      <c r="F2141" s="182"/>
      <c r="G2141" s="1" t="str">
        <f>IFERROR(IF(ventas_b_mes11[[#This Row],[CUIT]]="","-",VLOOKUP(ventas_b_mes11[[#This Row],[CUIT]],Lista_CUIT[#All],2,0)),"CUIT NO CARGADO")</f>
        <v>-</v>
      </c>
      <c r="H2141" s="64">
        <f>ventas_b_mes11[[#This Row],[TOTAL]]/1.21</f>
        <v>0</v>
      </c>
      <c r="I2141" s="183">
        <f>ventas_b_mes11[[#This Row],[IMPORTE NETO]]*0.21</f>
        <v>0</v>
      </c>
      <c r="J2141" s="184"/>
      <c r="K2141" s="184"/>
      <c r="L2141" s="184"/>
      <c r="M2141" s="59"/>
    </row>
    <row r="2142" spans="2:13" x14ac:dyDescent="0.3">
      <c r="B2142" s="178"/>
      <c r="C2142" s="179"/>
      <c r="D2142" s="180"/>
      <c r="E2142" s="181"/>
      <c r="F2142" s="182"/>
      <c r="G2142" s="1" t="str">
        <f>IFERROR(IF(ventas_b_mes11[[#This Row],[CUIT]]="","-",VLOOKUP(ventas_b_mes11[[#This Row],[CUIT]],Lista_CUIT[#All],2,0)),"CUIT NO CARGADO")</f>
        <v>-</v>
      </c>
      <c r="H2142" s="64">
        <f>ventas_b_mes11[[#This Row],[TOTAL]]/1.21</f>
        <v>0</v>
      </c>
      <c r="I2142" s="183">
        <f>ventas_b_mes11[[#This Row],[IMPORTE NETO]]*0.21</f>
        <v>0</v>
      </c>
      <c r="J2142" s="184"/>
      <c r="K2142" s="184"/>
      <c r="L2142" s="184"/>
      <c r="M2142" s="59"/>
    </row>
    <row r="2143" spans="2:13" x14ac:dyDescent="0.3">
      <c r="B2143" s="178"/>
      <c r="C2143" s="179"/>
      <c r="D2143" s="180"/>
      <c r="E2143" s="181"/>
      <c r="F2143" s="182"/>
      <c r="G2143" s="1" t="str">
        <f>IFERROR(IF(ventas_b_mes11[[#This Row],[CUIT]]="","-",VLOOKUP(ventas_b_mes11[[#This Row],[CUIT]],Lista_CUIT[#All],2,0)),"CUIT NO CARGADO")</f>
        <v>-</v>
      </c>
      <c r="H2143" s="64">
        <f>ventas_b_mes11[[#This Row],[TOTAL]]/1.21</f>
        <v>0</v>
      </c>
      <c r="I2143" s="183">
        <f>ventas_b_mes11[[#This Row],[IMPORTE NETO]]*0.21</f>
        <v>0</v>
      </c>
      <c r="J2143" s="184"/>
      <c r="K2143" s="184"/>
      <c r="L2143" s="184"/>
      <c r="M2143" s="59"/>
    </row>
    <row r="2144" spans="2:13" x14ac:dyDescent="0.3">
      <c r="B2144" s="178"/>
      <c r="C2144" s="179"/>
      <c r="D2144" s="180"/>
      <c r="E2144" s="181"/>
      <c r="F2144" s="182"/>
      <c r="G2144" s="1" t="str">
        <f>IFERROR(IF(ventas_b_mes11[[#This Row],[CUIT]]="","-",VLOOKUP(ventas_b_mes11[[#This Row],[CUIT]],Lista_CUIT[#All],2,0)),"CUIT NO CARGADO")</f>
        <v>-</v>
      </c>
      <c r="H2144" s="64">
        <f>ventas_b_mes11[[#This Row],[TOTAL]]/1.21</f>
        <v>0</v>
      </c>
      <c r="I2144" s="183">
        <f>ventas_b_mes11[[#This Row],[IMPORTE NETO]]*0.21</f>
        <v>0</v>
      </c>
      <c r="J2144" s="184"/>
      <c r="K2144" s="184"/>
      <c r="L2144" s="184"/>
      <c r="M2144" s="59"/>
    </row>
    <row r="2145" spans="2:13" x14ac:dyDescent="0.3">
      <c r="B2145" s="178"/>
      <c r="C2145" s="179"/>
      <c r="D2145" s="180"/>
      <c r="E2145" s="181"/>
      <c r="F2145" s="182"/>
      <c r="G2145" s="1" t="str">
        <f>IFERROR(IF(ventas_b_mes11[[#This Row],[CUIT]]="","-",VLOOKUP(ventas_b_mes11[[#This Row],[CUIT]],Lista_CUIT[#All],2,0)),"CUIT NO CARGADO")</f>
        <v>-</v>
      </c>
      <c r="H2145" s="64">
        <f>ventas_b_mes11[[#This Row],[TOTAL]]/1.21</f>
        <v>0</v>
      </c>
      <c r="I2145" s="183">
        <f>ventas_b_mes11[[#This Row],[IMPORTE NETO]]*0.21</f>
        <v>0</v>
      </c>
      <c r="J2145" s="184"/>
      <c r="K2145" s="184"/>
      <c r="L2145" s="184"/>
      <c r="M2145" s="59"/>
    </row>
    <row r="2146" spans="2:13" x14ac:dyDescent="0.3">
      <c r="B2146" s="178"/>
      <c r="C2146" s="179"/>
      <c r="D2146" s="180"/>
      <c r="E2146" s="181"/>
      <c r="F2146" s="182"/>
      <c r="G2146" s="1" t="str">
        <f>IFERROR(IF(ventas_b_mes11[[#This Row],[CUIT]]="","-",VLOOKUP(ventas_b_mes11[[#This Row],[CUIT]],Lista_CUIT[#All],2,0)),"CUIT NO CARGADO")</f>
        <v>-</v>
      </c>
      <c r="H2146" s="64">
        <f>ventas_b_mes11[[#This Row],[TOTAL]]/1.21</f>
        <v>0</v>
      </c>
      <c r="I2146" s="183">
        <f>ventas_b_mes11[[#This Row],[IMPORTE NETO]]*0.21</f>
        <v>0</v>
      </c>
      <c r="J2146" s="184"/>
      <c r="K2146" s="184"/>
      <c r="L2146" s="184"/>
      <c r="M2146" s="59"/>
    </row>
    <row r="2147" spans="2:13" x14ac:dyDescent="0.3">
      <c r="B2147" s="178"/>
      <c r="C2147" s="179"/>
      <c r="D2147" s="180"/>
      <c r="E2147" s="181"/>
      <c r="F2147" s="182"/>
      <c r="G2147" s="1" t="str">
        <f>IFERROR(IF(ventas_b_mes11[[#This Row],[CUIT]]="","-",VLOOKUP(ventas_b_mes11[[#This Row],[CUIT]],Lista_CUIT[#All],2,0)),"CUIT NO CARGADO")</f>
        <v>-</v>
      </c>
      <c r="H2147" s="64">
        <f>ventas_b_mes11[[#This Row],[TOTAL]]/1.21</f>
        <v>0</v>
      </c>
      <c r="I2147" s="183">
        <f>ventas_b_mes11[[#This Row],[IMPORTE NETO]]*0.21</f>
        <v>0</v>
      </c>
      <c r="J2147" s="184"/>
      <c r="K2147" s="184"/>
      <c r="L2147" s="184"/>
      <c r="M2147" s="59"/>
    </row>
    <row r="2148" spans="2:13" x14ac:dyDescent="0.3">
      <c r="B2148" s="178"/>
      <c r="C2148" s="179"/>
      <c r="D2148" s="180"/>
      <c r="E2148" s="181"/>
      <c r="F2148" s="182"/>
      <c r="G2148" s="1" t="str">
        <f>IFERROR(IF(ventas_b_mes11[[#This Row],[CUIT]]="","-",VLOOKUP(ventas_b_mes11[[#This Row],[CUIT]],Lista_CUIT[#All],2,0)),"CUIT NO CARGADO")</f>
        <v>-</v>
      </c>
      <c r="H2148" s="64">
        <f>ventas_b_mes11[[#This Row],[TOTAL]]/1.21</f>
        <v>0</v>
      </c>
      <c r="I2148" s="183">
        <f>ventas_b_mes11[[#This Row],[IMPORTE NETO]]*0.21</f>
        <v>0</v>
      </c>
      <c r="J2148" s="184"/>
      <c r="K2148" s="184"/>
      <c r="L2148" s="184"/>
      <c r="M2148" s="59"/>
    </row>
    <row r="2149" spans="2:13" x14ac:dyDescent="0.3">
      <c r="B2149" s="178"/>
      <c r="C2149" s="179"/>
      <c r="D2149" s="180"/>
      <c r="E2149" s="181"/>
      <c r="F2149" s="182"/>
      <c r="G2149" s="1" t="str">
        <f>IFERROR(IF(ventas_b_mes11[[#This Row],[CUIT]]="","-",VLOOKUP(ventas_b_mes11[[#This Row],[CUIT]],Lista_CUIT[#All],2,0)),"CUIT NO CARGADO")</f>
        <v>-</v>
      </c>
      <c r="H2149" s="64">
        <f>ventas_b_mes11[[#This Row],[TOTAL]]/1.21</f>
        <v>0</v>
      </c>
      <c r="I2149" s="183">
        <f>ventas_b_mes11[[#This Row],[IMPORTE NETO]]*0.21</f>
        <v>0</v>
      </c>
      <c r="J2149" s="184"/>
      <c r="K2149" s="184"/>
      <c r="L2149" s="184"/>
      <c r="M2149" s="59"/>
    </row>
    <row r="2150" spans="2:13" x14ac:dyDescent="0.3">
      <c r="B2150" s="178"/>
      <c r="C2150" s="179"/>
      <c r="D2150" s="180"/>
      <c r="E2150" s="181"/>
      <c r="F2150" s="182"/>
      <c r="G2150" s="1" t="str">
        <f>IFERROR(IF(ventas_b_mes11[[#This Row],[CUIT]]="","-",VLOOKUP(ventas_b_mes11[[#This Row],[CUIT]],Lista_CUIT[#All],2,0)),"CUIT NO CARGADO")</f>
        <v>-</v>
      </c>
      <c r="H2150" s="64">
        <f>ventas_b_mes11[[#This Row],[TOTAL]]/1.21</f>
        <v>0</v>
      </c>
      <c r="I2150" s="183">
        <f>ventas_b_mes11[[#This Row],[IMPORTE NETO]]*0.21</f>
        <v>0</v>
      </c>
      <c r="J2150" s="184"/>
      <c r="K2150" s="184"/>
      <c r="L2150" s="184"/>
      <c r="M2150" s="59"/>
    </row>
    <row r="2151" spans="2:13" x14ac:dyDescent="0.3">
      <c r="B2151" s="178"/>
      <c r="C2151" s="179"/>
      <c r="D2151" s="180"/>
      <c r="E2151" s="181"/>
      <c r="F2151" s="182"/>
      <c r="G2151" s="1" t="str">
        <f>IFERROR(IF(ventas_b_mes11[[#This Row],[CUIT]]="","-",VLOOKUP(ventas_b_mes11[[#This Row],[CUIT]],Lista_CUIT[#All],2,0)),"CUIT NO CARGADO")</f>
        <v>-</v>
      </c>
      <c r="H2151" s="64">
        <f>ventas_b_mes11[[#This Row],[TOTAL]]/1.21</f>
        <v>0</v>
      </c>
      <c r="I2151" s="183">
        <f>ventas_b_mes11[[#This Row],[IMPORTE NETO]]*0.21</f>
        <v>0</v>
      </c>
      <c r="J2151" s="184"/>
      <c r="K2151" s="184"/>
      <c r="L2151" s="184"/>
      <c r="M2151" s="59"/>
    </row>
    <row r="2152" spans="2:13" x14ac:dyDescent="0.3">
      <c r="B2152" s="178"/>
      <c r="C2152" s="179"/>
      <c r="D2152" s="180"/>
      <c r="E2152" s="181"/>
      <c r="F2152" s="182"/>
      <c r="G2152" s="1" t="str">
        <f>IFERROR(IF(ventas_b_mes11[[#This Row],[CUIT]]="","-",VLOOKUP(ventas_b_mes11[[#This Row],[CUIT]],Lista_CUIT[#All],2,0)),"CUIT NO CARGADO")</f>
        <v>-</v>
      </c>
      <c r="H2152" s="64">
        <f>ventas_b_mes11[[#This Row],[TOTAL]]/1.21</f>
        <v>0</v>
      </c>
      <c r="I2152" s="183">
        <f>ventas_b_mes11[[#This Row],[IMPORTE NETO]]*0.21</f>
        <v>0</v>
      </c>
      <c r="J2152" s="184"/>
      <c r="K2152" s="184"/>
      <c r="L2152" s="184"/>
      <c r="M2152" s="59"/>
    </row>
    <row r="2153" spans="2:13" x14ac:dyDescent="0.3">
      <c r="B2153" s="178"/>
      <c r="C2153" s="179"/>
      <c r="D2153" s="180"/>
      <c r="E2153" s="181"/>
      <c r="F2153" s="182"/>
      <c r="G2153" s="1" t="str">
        <f>IFERROR(IF(ventas_b_mes11[[#This Row],[CUIT]]="","-",VLOOKUP(ventas_b_mes11[[#This Row],[CUIT]],Lista_CUIT[#All],2,0)),"CUIT NO CARGADO")</f>
        <v>-</v>
      </c>
      <c r="H2153" s="64">
        <f>ventas_b_mes11[[#This Row],[TOTAL]]/1.21</f>
        <v>0</v>
      </c>
      <c r="I2153" s="183">
        <f>ventas_b_mes11[[#This Row],[IMPORTE NETO]]*0.21</f>
        <v>0</v>
      </c>
      <c r="J2153" s="184"/>
      <c r="K2153" s="184"/>
      <c r="L2153" s="184"/>
      <c r="M2153" s="59"/>
    </row>
    <row r="2154" spans="2:13" x14ac:dyDescent="0.3">
      <c r="B2154" s="178"/>
      <c r="C2154" s="179"/>
      <c r="D2154" s="180"/>
      <c r="E2154" s="181"/>
      <c r="F2154" s="182"/>
      <c r="G2154" s="1" t="str">
        <f>IFERROR(IF(ventas_b_mes11[[#This Row],[CUIT]]="","-",VLOOKUP(ventas_b_mes11[[#This Row],[CUIT]],Lista_CUIT[#All],2,0)),"CUIT NO CARGADO")</f>
        <v>-</v>
      </c>
      <c r="H2154" s="64">
        <f>ventas_b_mes11[[#This Row],[TOTAL]]/1.21</f>
        <v>0</v>
      </c>
      <c r="I2154" s="183">
        <f>ventas_b_mes11[[#This Row],[IMPORTE NETO]]*0.21</f>
        <v>0</v>
      </c>
      <c r="J2154" s="184"/>
      <c r="K2154" s="184"/>
      <c r="L2154" s="184"/>
      <c r="M2154" s="59"/>
    </row>
    <row r="2155" spans="2:13" x14ac:dyDescent="0.3">
      <c r="B2155" s="178"/>
      <c r="C2155" s="179"/>
      <c r="D2155" s="180"/>
      <c r="E2155" s="181"/>
      <c r="F2155" s="182"/>
      <c r="G2155" s="1" t="str">
        <f>IFERROR(IF(ventas_b_mes11[[#This Row],[CUIT]]="","-",VLOOKUP(ventas_b_mes11[[#This Row],[CUIT]],Lista_CUIT[#All],2,0)),"CUIT NO CARGADO")</f>
        <v>-</v>
      </c>
      <c r="H2155" s="64">
        <f>ventas_b_mes11[[#This Row],[TOTAL]]/1.21</f>
        <v>0</v>
      </c>
      <c r="I2155" s="183">
        <f>ventas_b_mes11[[#This Row],[IMPORTE NETO]]*0.21</f>
        <v>0</v>
      </c>
      <c r="J2155" s="184"/>
      <c r="K2155" s="184"/>
      <c r="L2155" s="184"/>
      <c r="M2155" s="59"/>
    </row>
    <row r="2156" spans="2:13" x14ac:dyDescent="0.3">
      <c r="B2156" s="178"/>
      <c r="C2156" s="179"/>
      <c r="D2156" s="180"/>
      <c r="E2156" s="181"/>
      <c r="F2156" s="182"/>
      <c r="G2156" s="1" t="str">
        <f>IFERROR(IF(ventas_b_mes11[[#This Row],[CUIT]]="","-",VLOOKUP(ventas_b_mes11[[#This Row],[CUIT]],Lista_CUIT[#All],2,0)),"CUIT NO CARGADO")</f>
        <v>-</v>
      </c>
      <c r="H2156" s="64">
        <f>ventas_b_mes11[[#This Row],[TOTAL]]/1.21</f>
        <v>0</v>
      </c>
      <c r="I2156" s="183">
        <f>ventas_b_mes11[[#This Row],[IMPORTE NETO]]*0.21</f>
        <v>0</v>
      </c>
      <c r="J2156" s="184"/>
      <c r="K2156" s="184"/>
      <c r="L2156" s="184"/>
      <c r="M2156" s="59"/>
    </row>
    <row r="2157" spans="2:13" x14ac:dyDescent="0.3">
      <c r="B2157" s="178"/>
      <c r="C2157" s="179"/>
      <c r="D2157" s="180"/>
      <c r="E2157" s="181"/>
      <c r="F2157" s="182"/>
      <c r="G2157" s="1" t="str">
        <f>IFERROR(IF(ventas_b_mes11[[#This Row],[CUIT]]="","-",VLOOKUP(ventas_b_mes11[[#This Row],[CUIT]],Lista_CUIT[#All],2,0)),"CUIT NO CARGADO")</f>
        <v>-</v>
      </c>
      <c r="H2157" s="64">
        <f>ventas_b_mes11[[#This Row],[TOTAL]]/1.21</f>
        <v>0</v>
      </c>
      <c r="I2157" s="183">
        <f>ventas_b_mes11[[#This Row],[IMPORTE NETO]]*0.21</f>
        <v>0</v>
      </c>
      <c r="J2157" s="184"/>
      <c r="K2157" s="184"/>
      <c r="L2157" s="184"/>
      <c r="M2157" s="59"/>
    </row>
    <row r="2158" spans="2:13" x14ac:dyDescent="0.3">
      <c r="B2158" s="178"/>
      <c r="C2158" s="179"/>
      <c r="D2158" s="180"/>
      <c r="E2158" s="181"/>
      <c r="F2158" s="182"/>
      <c r="G2158" s="1" t="str">
        <f>IFERROR(IF(ventas_b_mes11[[#This Row],[CUIT]]="","-",VLOOKUP(ventas_b_mes11[[#This Row],[CUIT]],Lista_CUIT[#All],2,0)),"CUIT NO CARGADO")</f>
        <v>-</v>
      </c>
      <c r="H2158" s="64">
        <f>ventas_b_mes11[[#This Row],[TOTAL]]/1.21</f>
        <v>0</v>
      </c>
      <c r="I2158" s="183">
        <f>ventas_b_mes11[[#This Row],[IMPORTE NETO]]*0.21</f>
        <v>0</v>
      </c>
      <c r="J2158" s="184"/>
      <c r="K2158" s="184"/>
      <c r="L2158" s="184"/>
      <c r="M2158" s="59"/>
    </row>
    <row r="2159" spans="2:13" x14ac:dyDescent="0.3">
      <c r="B2159" s="178"/>
      <c r="C2159" s="179"/>
      <c r="D2159" s="180"/>
      <c r="E2159" s="181"/>
      <c r="F2159" s="182"/>
      <c r="G2159" s="1" t="str">
        <f>IFERROR(IF(ventas_b_mes11[[#This Row],[CUIT]]="","-",VLOOKUP(ventas_b_mes11[[#This Row],[CUIT]],Lista_CUIT[#All],2,0)),"CUIT NO CARGADO")</f>
        <v>-</v>
      </c>
      <c r="H2159" s="64">
        <f>ventas_b_mes11[[#This Row],[TOTAL]]/1.21</f>
        <v>0</v>
      </c>
      <c r="I2159" s="183">
        <f>ventas_b_mes11[[#This Row],[IMPORTE NETO]]*0.21</f>
        <v>0</v>
      </c>
      <c r="J2159" s="184"/>
      <c r="K2159" s="184"/>
      <c r="L2159" s="184"/>
      <c r="M2159" s="59"/>
    </row>
    <row r="2160" spans="2:13" x14ac:dyDescent="0.3">
      <c r="B2160" s="178"/>
      <c r="C2160" s="179"/>
      <c r="D2160" s="180"/>
      <c r="E2160" s="181"/>
      <c r="F2160" s="182"/>
      <c r="G2160" s="1" t="str">
        <f>IFERROR(IF(ventas_b_mes11[[#This Row],[CUIT]]="","-",VLOOKUP(ventas_b_mes11[[#This Row],[CUIT]],Lista_CUIT[#All],2,0)),"CUIT NO CARGADO")</f>
        <v>-</v>
      </c>
      <c r="H2160" s="64">
        <f>ventas_b_mes11[[#This Row],[TOTAL]]/1.21</f>
        <v>0</v>
      </c>
      <c r="I2160" s="183">
        <f>ventas_b_mes11[[#This Row],[IMPORTE NETO]]*0.21</f>
        <v>0</v>
      </c>
      <c r="J2160" s="184"/>
      <c r="K2160" s="184"/>
      <c r="L2160" s="184"/>
      <c r="M2160" s="59"/>
    </row>
    <row r="2161" spans="2:13" x14ac:dyDescent="0.3">
      <c r="B2161" s="178"/>
      <c r="C2161" s="179"/>
      <c r="D2161" s="180"/>
      <c r="E2161" s="181"/>
      <c r="F2161" s="182"/>
      <c r="G2161" s="1" t="str">
        <f>IFERROR(IF(ventas_b_mes11[[#This Row],[CUIT]]="","-",VLOOKUP(ventas_b_mes11[[#This Row],[CUIT]],Lista_CUIT[#All],2,0)),"CUIT NO CARGADO")</f>
        <v>-</v>
      </c>
      <c r="H2161" s="64">
        <f>ventas_b_mes11[[#This Row],[TOTAL]]/1.21</f>
        <v>0</v>
      </c>
      <c r="I2161" s="183">
        <f>ventas_b_mes11[[#This Row],[IMPORTE NETO]]*0.21</f>
        <v>0</v>
      </c>
      <c r="J2161" s="184"/>
      <c r="K2161" s="184"/>
      <c r="L2161" s="184"/>
      <c r="M2161" s="59"/>
    </row>
    <row r="2162" spans="2:13" x14ac:dyDescent="0.3">
      <c r="B2162" s="178"/>
      <c r="C2162" s="179"/>
      <c r="D2162" s="180"/>
      <c r="E2162" s="181"/>
      <c r="F2162" s="182"/>
      <c r="G2162" s="1" t="str">
        <f>IFERROR(IF(ventas_b_mes11[[#This Row],[CUIT]]="","-",VLOOKUP(ventas_b_mes11[[#This Row],[CUIT]],Lista_CUIT[#All],2,0)),"CUIT NO CARGADO")</f>
        <v>-</v>
      </c>
      <c r="H2162" s="64">
        <f>ventas_b_mes11[[#This Row],[TOTAL]]/1.21</f>
        <v>0</v>
      </c>
      <c r="I2162" s="183">
        <f>ventas_b_mes11[[#This Row],[IMPORTE NETO]]*0.21</f>
        <v>0</v>
      </c>
      <c r="J2162" s="184"/>
      <c r="K2162" s="184"/>
      <c r="L2162" s="184"/>
      <c r="M2162" s="59"/>
    </row>
    <row r="2163" spans="2:13" x14ac:dyDescent="0.3">
      <c r="B2163" s="178"/>
      <c r="C2163" s="179"/>
      <c r="D2163" s="180"/>
      <c r="E2163" s="181"/>
      <c r="F2163" s="182"/>
      <c r="G2163" s="1" t="str">
        <f>IFERROR(IF(ventas_b_mes11[[#This Row],[CUIT]]="","-",VLOOKUP(ventas_b_mes11[[#This Row],[CUIT]],Lista_CUIT[#All],2,0)),"CUIT NO CARGADO")</f>
        <v>-</v>
      </c>
      <c r="H2163" s="64">
        <f>ventas_b_mes11[[#This Row],[TOTAL]]/1.21</f>
        <v>0</v>
      </c>
      <c r="I2163" s="183">
        <f>ventas_b_mes11[[#This Row],[IMPORTE NETO]]*0.21</f>
        <v>0</v>
      </c>
      <c r="J2163" s="184"/>
      <c r="K2163" s="184"/>
      <c r="L2163" s="184"/>
      <c r="M2163" s="59"/>
    </row>
    <row r="2164" spans="2:13" x14ac:dyDescent="0.3">
      <c r="B2164" s="178"/>
      <c r="C2164" s="179"/>
      <c r="D2164" s="180"/>
      <c r="E2164" s="181"/>
      <c r="F2164" s="182"/>
      <c r="G2164" s="1" t="str">
        <f>IFERROR(IF(ventas_b_mes11[[#This Row],[CUIT]]="","-",VLOOKUP(ventas_b_mes11[[#This Row],[CUIT]],Lista_CUIT[#All],2,0)),"CUIT NO CARGADO")</f>
        <v>-</v>
      </c>
      <c r="H2164" s="64">
        <f>ventas_b_mes11[[#This Row],[TOTAL]]/1.21</f>
        <v>0</v>
      </c>
      <c r="I2164" s="183">
        <f>ventas_b_mes11[[#This Row],[IMPORTE NETO]]*0.21</f>
        <v>0</v>
      </c>
      <c r="J2164" s="184"/>
      <c r="K2164" s="184"/>
      <c r="L2164" s="184"/>
      <c r="M2164" s="59"/>
    </row>
    <row r="2165" spans="2:13" x14ac:dyDescent="0.3">
      <c r="B2165" s="178"/>
      <c r="C2165" s="179"/>
      <c r="D2165" s="180"/>
      <c r="E2165" s="181"/>
      <c r="F2165" s="182"/>
      <c r="G2165" s="1" t="str">
        <f>IFERROR(IF(ventas_b_mes11[[#This Row],[CUIT]]="","-",VLOOKUP(ventas_b_mes11[[#This Row],[CUIT]],Lista_CUIT[#All],2,0)),"CUIT NO CARGADO")</f>
        <v>-</v>
      </c>
      <c r="H2165" s="64">
        <f>ventas_b_mes11[[#This Row],[TOTAL]]/1.21</f>
        <v>0</v>
      </c>
      <c r="I2165" s="183">
        <f>ventas_b_mes11[[#This Row],[IMPORTE NETO]]*0.21</f>
        <v>0</v>
      </c>
      <c r="J2165" s="184"/>
      <c r="K2165" s="184"/>
      <c r="L2165" s="184"/>
      <c r="M2165" s="59"/>
    </row>
    <row r="2166" spans="2:13" x14ac:dyDescent="0.3">
      <c r="B2166" s="178"/>
      <c r="C2166" s="179"/>
      <c r="D2166" s="180"/>
      <c r="E2166" s="181"/>
      <c r="F2166" s="182"/>
      <c r="G2166" s="1" t="str">
        <f>IFERROR(IF(ventas_b_mes11[[#This Row],[CUIT]]="","-",VLOOKUP(ventas_b_mes11[[#This Row],[CUIT]],Lista_CUIT[#All],2,0)),"CUIT NO CARGADO")</f>
        <v>-</v>
      </c>
      <c r="H2166" s="64">
        <f>ventas_b_mes11[[#This Row],[TOTAL]]/1.21</f>
        <v>0</v>
      </c>
      <c r="I2166" s="183">
        <f>ventas_b_mes11[[#This Row],[IMPORTE NETO]]*0.21</f>
        <v>0</v>
      </c>
      <c r="J2166" s="184"/>
      <c r="K2166" s="184"/>
      <c r="L2166" s="184"/>
      <c r="M2166" s="59"/>
    </row>
    <row r="2167" spans="2:13" x14ac:dyDescent="0.3">
      <c r="B2167" s="178"/>
      <c r="C2167" s="179"/>
      <c r="D2167" s="180"/>
      <c r="E2167" s="181"/>
      <c r="F2167" s="182"/>
      <c r="G2167" s="1" t="str">
        <f>IFERROR(IF(ventas_b_mes11[[#This Row],[CUIT]]="","-",VLOOKUP(ventas_b_mes11[[#This Row],[CUIT]],Lista_CUIT[#All],2,0)),"CUIT NO CARGADO")</f>
        <v>-</v>
      </c>
      <c r="H2167" s="64">
        <f>ventas_b_mes11[[#This Row],[TOTAL]]/1.21</f>
        <v>0</v>
      </c>
      <c r="I2167" s="183">
        <f>ventas_b_mes11[[#This Row],[IMPORTE NETO]]*0.21</f>
        <v>0</v>
      </c>
      <c r="J2167" s="184"/>
      <c r="K2167" s="184"/>
      <c r="L2167" s="184"/>
      <c r="M2167" s="59"/>
    </row>
    <row r="2168" spans="2:13" x14ac:dyDescent="0.3">
      <c r="B2168" s="178"/>
      <c r="C2168" s="179"/>
      <c r="D2168" s="180"/>
      <c r="E2168" s="181"/>
      <c r="F2168" s="182"/>
      <c r="G2168" s="1" t="str">
        <f>IFERROR(IF(ventas_b_mes11[[#This Row],[CUIT]]="","-",VLOOKUP(ventas_b_mes11[[#This Row],[CUIT]],Lista_CUIT[#All],2,0)),"CUIT NO CARGADO")</f>
        <v>-</v>
      </c>
      <c r="H2168" s="64">
        <f>ventas_b_mes11[[#This Row],[TOTAL]]/1.21</f>
        <v>0</v>
      </c>
      <c r="I2168" s="183">
        <f>ventas_b_mes11[[#This Row],[IMPORTE NETO]]*0.21</f>
        <v>0</v>
      </c>
      <c r="J2168" s="184"/>
      <c r="K2168" s="184"/>
      <c r="L2168" s="184"/>
      <c r="M2168" s="59"/>
    </row>
    <row r="2169" spans="2:13" x14ac:dyDescent="0.3">
      <c r="B2169" s="178"/>
      <c r="C2169" s="179"/>
      <c r="D2169" s="180"/>
      <c r="E2169" s="181"/>
      <c r="F2169" s="182"/>
      <c r="G2169" s="1" t="str">
        <f>IFERROR(IF(ventas_b_mes11[[#This Row],[CUIT]]="","-",VLOOKUP(ventas_b_mes11[[#This Row],[CUIT]],Lista_CUIT[#All],2,0)),"CUIT NO CARGADO")</f>
        <v>-</v>
      </c>
      <c r="H2169" s="64">
        <f>ventas_b_mes11[[#This Row],[TOTAL]]/1.21</f>
        <v>0</v>
      </c>
      <c r="I2169" s="183">
        <f>ventas_b_mes11[[#This Row],[IMPORTE NETO]]*0.21</f>
        <v>0</v>
      </c>
      <c r="J2169" s="184"/>
      <c r="K2169" s="184"/>
      <c r="L2169" s="184"/>
      <c r="M2169" s="59"/>
    </row>
    <row r="2170" spans="2:13" x14ac:dyDescent="0.3">
      <c r="B2170" s="178"/>
      <c r="C2170" s="179"/>
      <c r="D2170" s="180"/>
      <c r="E2170" s="181"/>
      <c r="F2170" s="182"/>
      <c r="G2170" s="1" t="str">
        <f>IFERROR(IF(ventas_b_mes11[[#This Row],[CUIT]]="","-",VLOOKUP(ventas_b_mes11[[#This Row],[CUIT]],Lista_CUIT[#All],2,0)),"CUIT NO CARGADO")</f>
        <v>-</v>
      </c>
      <c r="H2170" s="64">
        <f>ventas_b_mes11[[#This Row],[TOTAL]]/1.21</f>
        <v>0</v>
      </c>
      <c r="I2170" s="183">
        <f>ventas_b_mes11[[#This Row],[IMPORTE NETO]]*0.21</f>
        <v>0</v>
      </c>
      <c r="J2170" s="184"/>
      <c r="K2170" s="184"/>
      <c r="L2170" s="184"/>
      <c r="M2170" s="59"/>
    </row>
    <row r="2171" spans="2:13" x14ac:dyDescent="0.3">
      <c r="B2171" s="178"/>
      <c r="C2171" s="179"/>
      <c r="D2171" s="180"/>
      <c r="E2171" s="181"/>
      <c r="F2171" s="182"/>
      <c r="G2171" s="1" t="str">
        <f>IFERROR(IF(ventas_b_mes11[[#This Row],[CUIT]]="","-",VLOOKUP(ventas_b_mes11[[#This Row],[CUIT]],Lista_CUIT[#All],2,0)),"CUIT NO CARGADO")</f>
        <v>-</v>
      </c>
      <c r="H2171" s="64">
        <f>ventas_b_mes11[[#This Row],[TOTAL]]/1.21</f>
        <v>0</v>
      </c>
      <c r="I2171" s="183">
        <f>ventas_b_mes11[[#This Row],[IMPORTE NETO]]*0.21</f>
        <v>0</v>
      </c>
      <c r="J2171" s="184"/>
      <c r="K2171" s="184"/>
      <c r="L2171" s="184"/>
      <c r="M2171" s="59"/>
    </row>
    <row r="2172" spans="2:13" x14ac:dyDescent="0.3">
      <c r="B2172" s="178"/>
      <c r="C2172" s="179"/>
      <c r="D2172" s="180"/>
      <c r="E2172" s="181"/>
      <c r="F2172" s="182"/>
      <c r="G2172" s="1" t="str">
        <f>IFERROR(IF(ventas_b_mes11[[#This Row],[CUIT]]="","-",VLOOKUP(ventas_b_mes11[[#This Row],[CUIT]],Lista_CUIT[#All],2,0)),"CUIT NO CARGADO")</f>
        <v>-</v>
      </c>
      <c r="H2172" s="64">
        <f>ventas_b_mes11[[#This Row],[TOTAL]]/1.21</f>
        <v>0</v>
      </c>
      <c r="I2172" s="183">
        <f>ventas_b_mes11[[#This Row],[IMPORTE NETO]]*0.21</f>
        <v>0</v>
      </c>
      <c r="J2172" s="184"/>
      <c r="K2172" s="184"/>
      <c r="L2172" s="184"/>
      <c r="M2172" s="59"/>
    </row>
    <row r="2173" spans="2:13" x14ac:dyDescent="0.3">
      <c r="B2173" s="178"/>
      <c r="C2173" s="179"/>
      <c r="D2173" s="180"/>
      <c r="E2173" s="181"/>
      <c r="F2173" s="182"/>
      <c r="G2173" s="1" t="str">
        <f>IFERROR(IF(ventas_b_mes11[[#This Row],[CUIT]]="","-",VLOOKUP(ventas_b_mes11[[#This Row],[CUIT]],Lista_CUIT[#All],2,0)),"CUIT NO CARGADO")</f>
        <v>-</v>
      </c>
      <c r="H2173" s="64">
        <f>ventas_b_mes11[[#This Row],[TOTAL]]/1.21</f>
        <v>0</v>
      </c>
      <c r="I2173" s="183">
        <f>ventas_b_mes11[[#This Row],[IMPORTE NETO]]*0.21</f>
        <v>0</v>
      </c>
      <c r="J2173" s="184"/>
      <c r="K2173" s="184"/>
      <c r="L2173" s="184"/>
      <c r="M2173" s="59"/>
    </row>
    <row r="2174" spans="2:13" x14ac:dyDescent="0.3">
      <c r="B2174" s="178"/>
      <c r="C2174" s="179"/>
      <c r="D2174" s="180"/>
      <c r="E2174" s="181"/>
      <c r="F2174" s="182"/>
      <c r="G2174" s="1" t="str">
        <f>IFERROR(IF(ventas_b_mes11[[#This Row],[CUIT]]="","-",VLOOKUP(ventas_b_mes11[[#This Row],[CUIT]],Lista_CUIT[#All],2,0)),"CUIT NO CARGADO")</f>
        <v>-</v>
      </c>
      <c r="H2174" s="64">
        <f>ventas_b_mes11[[#This Row],[TOTAL]]/1.21</f>
        <v>0</v>
      </c>
      <c r="I2174" s="183">
        <f>ventas_b_mes11[[#This Row],[IMPORTE NETO]]*0.21</f>
        <v>0</v>
      </c>
      <c r="J2174" s="184"/>
      <c r="K2174" s="184"/>
      <c r="L2174" s="184"/>
      <c r="M2174" s="59"/>
    </row>
    <row r="2175" spans="2:13" x14ac:dyDescent="0.3">
      <c r="B2175" s="178"/>
      <c r="C2175" s="179"/>
      <c r="D2175" s="180"/>
      <c r="E2175" s="181"/>
      <c r="F2175" s="182"/>
      <c r="G2175" s="1" t="str">
        <f>IFERROR(IF(ventas_b_mes11[[#This Row],[CUIT]]="","-",VLOOKUP(ventas_b_mes11[[#This Row],[CUIT]],Lista_CUIT[#All],2,0)),"CUIT NO CARGADO")</f>
        <v>-</v>
      </c>
      <c r="H2175" s="64">
        <f>ventas_b_mes11[[#This Row],[TOTAL]]/1.21</f>
        <v>0</v>
      </c>
      <c r="I2175" s="183">
        <f>ventas_b_mes11[[#This Row],[IMPORTE NETO]]*0.21</f>
        <v>0</v>
      </c>
      <c r="J2175" s="184"/>
      <c r="K2175" s="184"/>
      <c r="L2175" s="184"/>
      <c r="M2175" s="59"/>
    </row>
    <row r="2176" spans="2:13" x14ac:dyDescent="0.3">
      <c r="B2176" s="178"/>
      <c r="C2176" s="179"/>
      <c r="D2176" s="180"/>
      <c r="E2176" s="181"/>
      <c r="F2176" s="182"/>
      <c r="G2176" s="1" t="str">
        <f>IFERROR(IF(ventas_b_mes11[[#This Row],[CUIT]]="","-",VLOOKUP(ventas_b_mes11[[#This Row],[CUIT]],Lista_CUIT[#All],2,0)),"CUIT NO CARGADO")</f>
        <v>-</v>
      </c>
      <c r="H2176" s="64">
        <f>ventas_b_mes11[[#This Row],[TOTAL]]/1.21</f>
        <v>0</v>
      </c>
      <c r="I2176" s="183">
        <f>ventas_b_mes11[[#This Row],[IMPORTE NETO]]*0.21</f>
        <v>0</v>
      </c>
      <c r="J2176" s="184"/>
      <c r="K2176" s="184"/>
      <c r="L2176" s="184"/>
      <c r="M2176" s="59"/>
    </row>
    <row r="2177" spans="2:13" x14ac:dyDescent="0.3">
      <c r="B2177" s="178"/>
      <c r="C2177" s="179"/>
      <c r="D2177" s="180"/>
      <c r="E2177" s="181"/>
      <c r="F2177" s="182"/>
      <c r="G2177" s="1" t="str">
        <f>IFERROR(IF(ventas_b_mes11[[#This Row],[CUIT]]="","-",VLOOKUP(ventas_b_mes11[[#This Row],[CUIT]],Lista_CUIT[#All],2,0)),"CUIT NO CARGADO")</f>
        <v>-</v>
      </c>
      <c r="H2177" s="64">
        <f>ventas_b_mes11[[#This Row],[TOTAL]]/1.21</f>
        <v>0</v>
      </c>
      <c r="I2177" s="183">
        <f>ventas_b_mes11[[#This Row],[IMPORTE NETO]]*0.21</f>
        <v>0</v>
      </c>
      <c r="J2177" s="184"/>
      <c r="K2177" s="184"/>
      <c r="L2177" s="184"/>
      <c r="M2177" s="59"/>
    </row>
    <row r="2178" spans="2:13" x14ac:dyDescent="0.3">
      <c r="B2178" s="178"/>
      <c r="C2178" s="179"/>
      <c r="D2178" s="180"/>
      <c r="E2178" s="181"/>
      <c r="F2178" s="182"/>
      <c r="G2178" s="1" t="str">
        <f>IFERROR(IF(ventas_b_mes11[[#This Row],[CUIT]]="","-",VLOOKUP(ventas_b_mes11[[#This Row],[CUIT]],Lista_CUIT[#All],2,0)),"CUIT NO CARGADO")</f>
        <v>-</v>
      </c>
      <c r="H2178" s="64">
        <f>ventas_b_mes11[[#This Row],[TOTAL]]/1.21</f>
        <v>0</v>
      </c>
      <c r="I2178" s="183">
        <f>ventas_b_mes11[[#This Row],[IMPORTE NETO]]*0.21</f>
        <v>0</v>
      </c>
      <c r="J2178" s="184"/>
      <c r="K2178" s="184"/>
      <c r="L2178" s="184"/>
      <c r="M2178" s="59"/>
    </row>
    <row r="2179" spans="2:13" x14ac:dyDescent="0.3">
      <c r="B2179" s="178"/>
      <c r="C2179" s="179"/>
      <c r="D2179" s="180"/>
      <c r="E2179" s="181"/>
      <c r="F2179" s="182"/>
      <c r="G2179" s="1" t="str">
        <f>IFERROR(IF(ventas_b_mes11[[#This Row],[CUIT]]="","-",VLOOKUP(ventas_b_mes11[[#This Row],[CUIT]],Lista_CUIT[#All],2,0)),"CUIT NO CARGADO")</f>
        <v>-</v>
      </c>
      <c r="H2179" s="64">
        <f>ventas_b_mes11[[#This Row],[TOTAL]]/1.21</f>
        <v>0</v>
      </c>
      <c r="I2179" s="183">
        <f>ventas_b_mes11[[#This Row],[IMPORTE NETO]]*0.21</f>
        <v>0</v>
      </c>
      <c r="J2179" s="184"/>
      <c r="K2179" s="184"/>
      <c r="L2179" s="184"/>
      <c r="M2179" s="59"/>
    </row>
    <row r="2180" spans="2:13" x14ac:dyDescent="0.3">
      <c r="B2180" s="178"/>
      <c r="C2180" s="179"/>
      <c r="D2180" s="180"/>
      <c r="E2180" s="181"/>
      <c r="F2180" s="182"/>
      <c r="G2180" s="1" t="str">
        <f>IFERROR(IF(ventas_b_mes11[[#This Row],[CUIT]]="","-",VLOOKUP(ventas_b_mes11[[#This Row],[CUIT]],Lista_CUIT[#All],2,0)),"CUIT NO CARGADO")</f>
        <v>-</v>
      </c>
      <c r="H2180" s="64">
        <f>ventas_b_mes11[[#This Row],[TOTAL]]/1.21</f>
        <v>0</v>
      </c>
      <c r="I2180" s="183">
        <f>ventas_b_mes11[[#This Row],[IMPORTE NETO]]*0.21</f>
        <v>0</v>
      </c>
      <c r="J2180" s="184"/>
      <c r="K2180" s="184"/>
      <c r="L2180" s="184"/>
      <c r="M2180" s="59"/>
    </row>
    <row r="2181" spans="2:13" x14ac:dyDescent="0.3">
      <c r="B2181" s="178"/>
      <c r="C2181" s="179"/>
      <c r="D2181" s="180"/>
      <c r="E2181" s="181"/>
      <c r="F2181" s="182"/>
      <c r="G2181" s="1" t="str">
        <f>IFERROR(IF(ventas_b_mes11[[#This Row],[CUIT]]="","-",VLOOKUP(ventas_b_mes11[[#This Row],[CUIT]],Lista_CUIT[#All],2,0)),"CUIT NO CARGADO")</f>
        <v>-</v>
      </c>
      <c r="H2181" s="64">
        <f>ventas_b_mes11[[#This Row],[TOTAL]]/1.21</f>
        <v>0</v>
      </c>
      <c r="I2181" s="183">
        <f>ventas_b_mes11[[#This Row],[IMPORTE NETO]]*0.21</f>
        <v>0</v>
      </c>
      <c r="J2181" s="184"/>
      <c r="K2181" s="184"/>
      <c r="L2181" s="184"/>
      <c r="M2181" s="59"/>
    </row>
    <row r="2182" spans="2:13" x14ac:dyDescent="0.3">
      <c r="B2182" s="178"/>
      <c r="C2182" s="179"/>
      <c r="D2182" s="180"/>
      <c r="E2182" s="181"/>
      <c r="F2182" s="182"/>
      <c r="G2182" s="1" t="str">
        <f>IFERROR(IF(ventas_b_mes11[[#This Row],[CUIT]]="","-",VLOOKUP(ventas_b_mes11[[#This Row],[CUIT]],Lista_CUIT[#All],2,0)),"CUIT NO CARGADO")</f>
        <v>-</v>
      </c>
      <c r="H2182" s="64">
        <f>ventas_b_mes11[[#This Row],[TOTAL]]/1.21</f>
        <v>0</v>
      </c>
      <c r="I2182" s="183">
        <f>ventas_b_mes11[[#This Row],[IMPORTE NETO]]*0.21</f>
        <v>0</v>
      </c>
      <c r="J2182" s="184"/>
      <c r="K2182" s="184"/>
      <c r="L2182" s="184"/>
      <c r="M2182" s="59"/>
    </row>
    <row r="2183" spans="2:13" x14ac:dyDescent="0.3">
      <c r="B2183" s="178"/>
      <c r="C2183" s="179"/>
      <c r="D2183" s="180"/>
      <c r="E2183" s="181"/>
      <c r="F2183" s="182"/>
      <c r="G2183" s="1" t="str">
        <f>IFERROR(IF(ventas_b_mes11[[#This Row],[CUIT]]="","-",VLOOKUP(ventas_b_mes11[[#This Row],[CUIT]],Lista_CUIT[#All],2,0)),"CUIT NO CARGADO")</f>
        <v>-</v>
      </c>
      <c r="H2183" s="64">
        <f>ventas_b_mes11[[#This Row],[TOTAL]]/1.21</f>
        <v>0</v>
      </c>
      <c r="I2183" s="183">
        <f>ventas_b_mes11[[#This Row],[IMPORTE NETO]]*0.21</f>
        <v>0</v>
      </c>
      <c r="J2183" s="184"/>
      <c r="K2183" s="184"/>
      <c r="L2183" s="184"/>
      <c r="M2183" s="59"/>
    </row>
    <row r="2184" spans="2:13" x14ac:dyDescent="0.3">
      <c r="B2184" s="178"/>
      <c r="C2184" s="179"/>
      <c r="D2184" s="180"/>
      <c r="E2184" s="181"/>
      <c r="F2184" s="182"/>
      <c r="G2184" s="1" t="str">
        <f>IFERROR(IF(ventas_b_mes11[[#This Row],[CUIT]]="","-",VLOOKUP(ventas_b_mes11[[#This Row],[CUIT]],Lista_CUIT[#All],2,0)),"CUIT NO CARGADO")</f>
        <v>-</v>
      </c>
      <c r="H2184" s="64">
        <f>ventas_b_mes11[[#This Row],[TOTAL]]/1.21</f>
        <v>0</v>
      </c>
      <c r="I2184" s="183">
        <f>ventas_b_mes11[[#This Row],[IMPORTE NETO]]*0.21</f>
        <v>0</v>
      </c>
      <c r="J2184" s="184"/>
      <c r="K2184" s="184"/>
      <c r="L2184" s="184"/>
      <c r="M2184" s="59"/>
    </row>
    <row r="2185" spans="2:13" x14ac:dyDescent="0.3">
      <c r="B2185" s="178"/>
      <c r="C2185" s="179"/>
      <c r="D2185" s="180"/>
      <c r="E2185" s="181"/>
      <c r="F2185" s="182"/>
      <c r="G2185" s="1" t="str">
        <f>IFERROR(IF(ventas_b_mes11[[#This Row],[CUIT]]="","-",VLOOKUP(ventas_b_mes11[[#This Row],[CUIT]],Lista_CUIT[#All],2,0)),"CUIT NO CARGADO")</f>
        <v>-</v>
      </c>
      <c r="H2185" s="64">
        <f>ventas_b_mes11[[#This Row],[TOTAL]]/1.21</f>
        <v>0</v>
      </c>
      <c r="I2185" s="183">
        <f>ventas_b_mes11[[#This Row],[IMPORTE NETO]]*0.21</f>
        <v>0</v>
      </c>
      <c r="J2185" s="184"/>
      <c r="K2185" s="184"/>
      <c r="L2185" s="184"/>
      <c r="M2185" s="59"/>
    </row>
    <row r="2186" spans="2:13" x14ac:dyDescent="0.3">
      <c r="B2186" s="178"/>
      <c r="C2186" s="179"/>
      <c r="D2186" s="180"/>
      <c r="E2186" s="181"/>
      <c r="F2186" s="182"/>
      <c r="G2186" s="1" t="str">
        <f>IFERROR(IF(ventas_b_mes11[[#This Row],[CUIT]]="","-",VLOOKUP(ventas_b_mes11[[#This Row],[CUIT]],Lista_CUIT[#All],2,0)),"CUIT NO CARGADO")</f>
        <v>-</v>
      </c>
      <c r="H2186" s="64">
        <f>ventas_b_mes11[[#This Row],[TOTAL]]/1.21</f>
        <v>0</v>
      </c>
      <c r="I2186" s="183">
        <f>ventas_b_mes11[[#This Row],[IMPORTE NETO]]*0.21</f>
        <v>0</v>
      </c>
      <c r="J2186" s="184"/>
      <c r="K2186" s="184"/>
      <c r="L2186" s="184"/>
      <c r="M2186" s="59"/>
    </row>
    <row r="2187" spans="2:13" x14ac:dyDescent="0.3">
      <c r="B2187" s="178"/>
      <c r="C2187" s="179"/>
      <c r="D2187" s="180"/>
      <c r="E2187" s="181"/>
      <c r="F2187" s="182"/>
      <c r="G2187" s="1" t="str">
        <f>IFERROR(IF(ventas_b_mes11[[#This Row],[CUIT]]="","-",VLOOKUP(ventas_b_mes11[[#This Row],[CUIT]],Lista_CUIT[#All],2,0)),"CUIT NO CARGADO")</f>
        <v>-</v>
      </c>
      <c r="H2187" s="64">
        <f>ventas_b_mes11[[#This Row],[TOTAL]]/1.21</f>
        <v>0</v>
      </c>
      <c r="I2187" s="183">
        <f>ventas_b_mes11[[#This Row],[IMPORTE NETO]]*0.21</f>
        <v>0</v>
      </c>
      <c r="J2187" s="184"/>
      <c r="K2187" s="184"/>
      <c r="L2187" s="184"/>
      <c r="M2187" s="59"/>
    </row>
    <row r="2188" spans="2:13" x14ac:dyDescent="0.3">
      <c r="B2188" s="178"/>
      <c r="C2188" s="179"/>
      <c r="D2188" s="180"/>
      <c r="E2188" s="181"/>
      <c r="F2188" s="182"/>
      <c r="G2188" s="1" t="str">
        <f>IFERROR(IF(ventas_b_mes11[[#This Row],[CUIT]]="","-",VLOOKUP(ventas_b_mes11[[#This Row],[CUIT]],Lista_CUIT[#All],2,0)),"CUIT NO CARGADO")</f>
        <v>-</v>
      </c>
      <c r="H2188" s="64">
        <f>ventas_b_mes11[[#This Row],[TOTAL]]/1.21</f>
        <v>0</v>
      </c>
      <c r="I2188" s="183">
        <f>ventas_b_mes11[[#This Row],[IMPORTE NETO]]*0.21</f>
        <v>0</v>
      </c>
      <c r="J2188" s="184"/>
      <c r="K2188" s="184"/>
      <c r="L2188" s="184"/>
      <c r="M2188" s="59"/>
    </row>
    <row r="2189" spans="2:13" x14ac:dyDescent="0.3">
      <c r="B2189" s="178"/>
      <c r="C2189" s="179"/>
      <c r="D2189" s="180"/>
      <c r="E2189" s="181"/>
      <c r="F2189" s="182"/>
      <c r="G2189" s="1" t="str">
        <f>IFERROR(IF(ventas_b_mes11[[#This Row],[CUIT]]="","-",VLOOKUP(ventas_b_mes11[[#This Row],[CUIT]],Lista_CUIT[#All],2,0)),"CUIT NO CARGADO")</f>
        <v>-</v>
      </c>
      <c r="H2189" s="64">
        <f>ventas_b_mes11[[#This Row],[TOTAL]]/1.21</f>
        <v>0</v>
      </c>
      <c r="I2189" s="183">
        <f>ventas_b_mes11[[#This Row],[IMPORTE NETO]]*0.21</f>
        <v>0</v>
      </c>
      <c r="J2189" s="184"/>
      <c r="K2189" s="184"/>
      <c r="L2189" s="184"/>
      <c r="M2189" s="59"/>
    </row>
    <row r="2190" spans="2:13" x14ac:dyDescent="0.3">
      <c r="B2190" s="178"/>
      <c r="C2190" s="179"/>
      <c r="D2190" s="180"/>
      <c r="E2190" s="181"/>
      <c r="F2190" s="182"/>
      <c r="G2190" s="1" t="str">
        <f>IFERROR(IF(ventas_b_mes11[[#This Row],[CUIT]]="","-",VLOOKUP(ventas_b_mes11[[#This Row],[CUIT]],Lista_CUIT[#All],2,0)),"CUIT NO CARGADO")</f>
        <v>-</v>
      </c>
      <c r="H2190" s="64">
        <f>ventas_b_mes11[[#This Row],[TOTAL]]/1.21</f>
        <v>0</v>
      </c>
      <c r="I2190" s="183">
        <f>ventas_b_mes11[[#This Row],[IMPORTE NETO]]*0.21</f>
        <v>0</v>
      </c>
      <c r="J2190" s="184"/>
      <c r="K2190" s="184"/>
      <c r="L2190" s="184"/>
      <c r="M2190" s="59"/>
    </row>
    <row r="2191" spans="2:13" x14ac:dyDescent="0.3">
      <c r="B2191" s="178"/>
      <c r="C2191" s="179"/>
      <c r="D2191" s="180"/>
      <c r="E2191" s="181"/>
      <c r="F2191" s="182"/>
      <c r="G2191" s="1" t="str">
        <f>IFERROR(IF(ventas_b_mes11[[#This Row],[CUIT]]="","-",VLOOKUP(ventas_b_mes11[[#This Row],[CUIT]],Lista_CUIT[#All],2,0)),"CUIT NO CARGADO")</f>
        <v>-</v>
      </c>
      <c r="H2191" s="64">
        <f>ventas_b_mes11[[#This Row],[TOTAL]]/1.21</f>
        <v>0</v>
      </c>
      <c r="I2191" s="183">
        <f>ventas_b_mes11[[#This Row],[IMPORTE NETO]]*0.21</f>
        <v>0</v>
      </c>
      <c r="J2191" s="184"/>
      <c r="K2191" s="184"/>
      <c r="L2191" s="184"/>
      <c r="M2191" s="59"/>
    </row>
    <row r="2192" spans="2:13" x14ac:dyDescent="0.3">
      <c r="B2192" s="178"/>
      <c r="C2192" s="179"/>
      <c r="D2192" s="180"/>
      <c r="E2192" s="181"/>
      <c r="F2192" s="182"/>
      <c r="G2192" s="1" t="str">
        <f>IFERROR(IF(ventas_b_mes11[[#This Row],[CUIT]]="","-",VLOOKUP(ventas_b_mes11[[#This Row],[CUIT]],Lista_CUIT[#All],2,0)),"CUIT NO CARGADO")</f>
        <v>-</v>
      </c>
      <c r="H2192" s="64">
        <f>ventas_b_mes11[[#This Row],[TOTAL]]/1.21</f>
        <v>0</v>
      </c>
      <c r="I2192" s="183">
        <f>ventas_b_mes11[[#This Row],[IMPORTE NETO]]*0.21</f>
        <v>0</v>
      </c>
      <c r="J2192" s="184"/>
      <c r="K2192" s="184"/>
      <c r="L2192" s="184"/>
      <c r="M2192" s="59"/>
    </row>
    <row r="2193" spans="2:13" x14ac:dyDescent="0.3">
      <c r="B2193" s="178"/>
      <c r="C2193" s="179"/>
      <c r="D2193" s="180"/>
      <c r="E2193" s="181"/>
      <c r="F2193" s="182"/>
      <c r="G2193" s="1" t="str">
        <f>IFERROR(IF(ventas_b_mes11[[#This Row],[CUIT]]="","-",VLOOKUP(ventas_b_mes11[[#This Row],[CUIT]],Lista_CUIT[#All],2,0)),"CUIT NO CARGADO")</f>
        <v>-</v>
      </c>
      <c r="H2193" s="64">
        <f>ventas_b_mes11[[#This Row],[TOTAL]]/1.21</f>
        <v>0</v>
      </c>
      <c r="I2193" s="183">
        <f>ventas_b_mes11[[#This Row],[IMPORTE NETO]]*0.21</f>
        <v>0</v>
      </c>
      <c r="J2193" s="184"/>
      <c r="K2193" s="184"/>
      <c r="L2193" s="184"/>
      <c r="M2193" s="59"/>
    </row>
    <row r="2194" spans="2:13" x14ac:dyDescent="0.3">
      <c r="B2194" s="178"/>
      <c r="C2194" s="179"/>
      <c r="D2194" s="180"/>
      <c r="E2194" s="181"/>
      <c r="F2194" s="182"/>
      <c r="G2194" s="1" t="str">
        <f>IFERROR(IF(ventas_b_mes11[[#This Row],[CUIT]]="","-",VLOOKUP(ventas_b_mes11[[#This Row],[CUIT]],Lista_CUIT[#All],2,0)),"CUIT NO CARGADO")</f>
        <v>-</v>
      </c>
      <c r="H2194" s="64">
        <f>ventas_b_mes11[[#This Row],[TOTAL]]/1.21</f>
        <v>0</v>
      </c>
      <c r="I2194" s="183">
        <f>ventas_b_mes11[[#This Row],[IMPORTE NETO]]*0.21</f>
        <v>0</v>
      </c>
      <c r="J2194" s="184"/>
      <c r="K2194" s="184"/>
      <c r="L2194" s="184"/>
      <c r="M2194" s="59"/>
    </row>
    <row r="2195" spans="2:13" x14ac:dyDescent="0.3">
      <c r="B2195" s="178"/>
      <c r="C2195" s="179"/>
      <c r="D2195" s="180"/>
      <c r="E2195" s="181"/>
      <c r="F2195" s="182"/>
      <c r="G2195" s="1" t="str">
        <f>IFERROR(IF(ventas_b_mes11[[#This Row],[CUIT]]="","-",VLOOKUP(ventas_b_mes11[[#This Row],[CUIT]],Lista_CUIT[#All],2,0)),"CUIT NO CARGADO")</f>
        <v>-</v>
      </c>
      <c r="H2195" s="64">
        <f>ventas_b_mes11[[#This Row],[TOTAL]]/1.21</f>
        <v>0</v>
      </c>
      <c r="I2195" s="183">
        <f>ventas_b_mes11[[#This Row],[IMPORTE NETO]]*0.21</f>
        <v>0</v>
      </c>
      <c r="J2195" s="184"/>
      <c r="K2195" s="184"/>
      <c r="L2195" s="184"/>
      <c r="M2195" s="59"/>
    </row>
    <row r="2196" spans="2:13" x14ac:dyDescent="0.3">
      <c r="B2196" s="178"/>
      <c r="C2196" s="179"/>
      <c r="D2196" s="180"/>
      <c r="E2196" s="181"/>
      <c r="F2196" s="182"/>
      <c r="G2196" s="1" t="str">
        <f>IFERROR(IF(ventas_b_mes11[[#This Row],[CUIT]]="","-",VLOOKUP(ventas_b_mes11[[#This Row],[CUIT]],Lista_CUIT[#All],2,0)),"CUIT NO CARGADO")</f>
        <v>-</v>
      </c>
      <c r="H2196" s="64">
        <f>ventas_b_mes11[[#This Row],[TOTAL]]/1.21</f>
        <v>0</v>
      </c>
      <c r="I2196" s="183">
        <f>ventas_b_mes11[[#This Row],[IMPORTE NETO]]*0.21</f>
        <v>0</v>
      </c>
      <c r="J2196" s="184"/>
      <c r="K2196" s="184"/>
      <c r="L2196" s="184"/>
      <c r="M2196" s="59"/>
    </row>
    <row r="2197" spans="2:13" x14ac:dyDescent="0.3">
      <c r="B2197" s="178"/>
      <c r="C2197" s="179"/>
      <c r="D2197" s="180"/>
      <c r="E2197" s="181"/>
      <c r="F2197" s="182"/>
      <c r="G2197" s="1" t="str">
        <f>IFERROR(IF(ventas_b_mes11[[#This Row],[CUIT]]="","-",VLOOKUP(ventas_b_mes11[[#This Row],[CUIT]],Lista_CUIT[#All],2,0)),"CUIT NO CARGADO")</f>
        <v>-</v>
      </c>
      <c r="H2197" s="64">
        <f>ventas_b_mes11[[#This Row],[TOTAL]]/1.21</f>
        <v>0</v>
      </c>
      <c r="I2197" s="183">
        <f>ventas_b_mes11[[#This Row],[IMPORTE NETO]]*0.21</f>
        <v>0</v>
      </c>
      <c r="J2197" s="184"/>
      <c r="K2197" s="184"/>
      <c r="L2197" s="184"/>
      <c r="M2197" s="59"/>
    </row>
    <row r="2198" spans="2:13" x14ac:dyDescent="0.3">
      <c r="B2198" s="178"/>
      <c r="C2198" s="179"/>
      <c r="D2198" s="180"/>
      <c r="E2198" s="181"/>
      <c r="F2198" s="182"/>
      <c r="G2198" s="1" t="str">
        <f>IFERROR(IF(ventas_b_mes11[[#This Row],[CUIT]]="","-",VLOOKUP(ventas_b_mes11[[#This Row],[CUIT]],Lista_CUIT[#All],2,0)),"CUIT NO CARGADO")</f>
        <v>-</v>
      </c>
      <c r="H2198" s="64">
        <f>ventas_b_mes11[[#This Row],[TOTAL]]/1.21</f>
        <v>0</v>
      </c>
      <c r="I2198" s="183">
        <f>ventas_b_mes11[[#This Row],[IMPORTE NETO]]*0.21</f>
        <v>0</v>
      </c>
      <c r="J2198" s="184"/>
      <c r="K2198" s="184"/>
      <c r="L2198" s="184"/>
      <c r="M2198" s="59"/>
    </row>
    <row r="2199" spans="2:13" x14ac:dyDescent="0.3">
      <c r="B2199" s="178"/>
      <c r="C2199" s="179"/>
      <c r="D2199" s="180"/>
      <c r="E2199" s="181"/>
      <c r="F2199" s="182"/>
      <c r="G2199" s="1" t="str">
        <f>IFERROR(IF(ventas_b_mes11[[#This Row],[CUIT]]="","-",VLOOKUP(ventas_b_mes11[[#This Row],[CUIT]],Lista_CUIT[#All],2,0)),"CUIT NO CARGADO")</f>
        <v>-</v>
      </c>
      <c r="H2199" s="64">
        <f>ventas_b_mes11[[#This Row],[TOTAL]]/1.21</f>
        <v>0</v>
      </c>
      <c r="I2199" s="183">
        <f>ventas_b_mes11[[#This Row],[IMPORTE NETO]]*0.21</f>
        <v>0</v>
      </c>
      <c r="J2199" s="184"/>
      <c r="K2199" s="184"/>
      <c r="L2199" s="184"/>
      <c r="M2199" s="59"/>
    </row>
    <row r="2200" spans="2:13" x14ac:dyDescent="0.3">
      <c r="B2200" s="178"/>
      <c r="C2200" s="179"/>
      <c r="D2200" s="180"/>
      <c r="E2200" s="181"/>
      <c r="F2200" s="182"/>
      <c r="G2200" s="1" t="str">
        <f>IFERROR(IF(ventas_b_mes11[[#This Row],[CUIT]]="","-",VLOOKUP(ventas_b_mes11[[#This Row],[CUIT]],Lista_CUIT[#All],2,0)),"CUIT NO CARGADO")</f>
        <v>-</v>
      </c>
      <c r="H2200" s="64">
        <f>ventas_b_mes11[[#This Row],[TOTAL]]/1.21</f>
        <v>0</v>
      </c>
      <c r="I2200" s="183">
        <f>ventas_b_mes11[[#This Row],[IMPORTE NETO]]*0.21</f>
        <v>0</v>
      </c>
      <c r="J2200" s="184"/>
      <c r="K2200" s="184"/>
      <c r="L2200" s="184"/>
      <c r="M2200" s="59"/>
    </row>
    <row r="2201" spans="2:13" x14ac:dyDescent="0.3">
      <c r="B2201" s="178"/>
      <c r="C2201" s="179"/>
      <c r="D2201" s="180"/>
      <c r="E2201" s="181"/>
      <c r="F2201" s="182"/>
      <c r="G2201" s="1" t="str">
        <f>IFERROR(IF(ventas_b_mes11[[#This Row],[CUIT]]="","-",VLOOKUP(ventas_b_mes11[[#This Row],[CUIT]],Lista_CUIT[#All],2,0)),"CUIT NO CARGADO")</f>
        <v>-</v>
      </c>
      <c r="H2201" s="64">
        <f>ventas_b_mes11[[#This Row],[TOTAL]]/1.21</f>
        <v>0</v>
      </c>
      <c r="I2201" s="183">
        <f>ventas_b_mes11[[#This Row],[IMPORTE NETO]]*0.21</f>
        <v>0</v>
      </c>
      <c r="J2201" s="184"/>
      <c r="K2201" s="184"/>
      <c r="L2201" s="184"/>
      <c r="M2201" s="59"/>
    </row>
    <row r="2202" spans="2:13" x14ac:dyDescent="0.3">
      <c r="B2202" s="178"/>
      <c r="C2202" s="179"/>
      <c r="D2202" s="180"/>
      <c r="E2202" s="181"/>
      <c r="F2202" s="182"/>
      <c r="G2202" s="1" t="str">
        <f>IFERROR(IF(ventas_b_mes11[[#This Row],[CUIT]]="","-",VLOOKUP(ventas_b_mes11[[#This Row],[CUIT]],Lista_CUIT[#All],2,0)),"CUIT NO CARGADO")</f>
        <v>-</v>
      </c>
      <c r="H2202" s="64">
        <f>ventas_b_mes11[[#This Row],[TOTAL]]/1.21</f>
        <v>0</v>
      </c>
      <c r="I2202" s="183">
        <f>ventas_b_mes11[[#This Row],[IMPORTE NETO]]*0.21</f>
        <v>0</v>
      </c>
      <c r="J2202" s="184"/>
      <c r="K2202" s="184"/>
      <c r="L2202" s="184"/>
      <c r="M2202" s="59"/>
    </row>
    <row r="2203" spans="2:13" x14ac:dyDescent="0.3">
      <c r="B2203" s="178"/>
      <c r="C2203" s="179"/>
      <c r="D2203" s="180"/>
      <c r="E2203" s="181"/>
      <c r="F2203" s="182"/>
      <c r="G2203" s="1" t="str">
        <f>IFERROR(IF(ventas_b_mes11[[#This Row],[CUIT]]="","-",VLOOKUP(ventas_b_mes11[[#This Row],[CUIT]],Lista_CUIT[#All],2,0)),"CUIT NO CARGADO")</f>
        <v>-</v>
      </c>
      <c r="H2203" s="64">
        <f>ventas_b_mes11[[#This Row],[TOTAL]]/1.21</f>
        <v>0</v>
      </c>
      <c r="I2203" s="183">
        <f>ventas_b_mes11[[#This Row],[IMPORTE NETO]]*0.21</f>
        <v>0</v>
      </c>
      <c r="J2203" s="184"/>
      <c r="K2203" s="184"/>
      <c r="L2203" s="184"/>
      <c r="M2203" s="59"/>
    </row>
    <row r="2204" spans="2:13" x14ac:dyDescent="0.3">
      <c r="B2204" s="178"/>
      <c r="C2204" s="179"/>
      <c r="D2204" s="180"/>
      <c r="E2204" s="181"/>
      <c r="F2204" s="182"/>
      <c r="G2204" s="1" t="str">
        <f>IFERROR(IF(ventas_b_mes11[[#This Row],[CUIT]]="","-",VLOOKUP(ventas_b_mes11[[#This Row],[CUIT]],Lista_CUIT[#All],2,0)),"CUIT NO CARGADO")</f>
        <v>-</v>
      </c>
      <c r="H2204" s="64">
        <f>ventas_b_mes11[[#This Row],[TOTAL]]/1.21</f>
        <v>0</v>
      </c>
      <c r="I2204" s="183">
        <f>ventas_b_mes11[[#This Row],[IMPORTE NETO]]*0.21</f>
        <v>0</v>
      </c>
      <c r="J2204" s="184"/>
      <c r="K2204" s="184"/>
      <c r="L2204" s="184"/>
      <c r="M2204" s="59"/>
    </row>
    <row r="2205" spans="2:13" x14ac:dyDescent="0.3">
      <c r="B2205" s="178"/>
      <c r="C2205" s="179"/>
      <c r="D2205" s="180"/>
      <c r="E2205" s="181"/>
      <c r="F2205" s="182"/>
      <c r="G2205" s="1" t="str">
        <f>IFERROR(IF(ventas_b_mes11[[#This Row],[CUIT]]="","-",VLOOKUP(ventas_b_mes11[[#This Row],[CUIT]],Lista_CUIT[#All],2,0)),"CUIT NO CARGADO")</f>
        <v>-</v>
      </c>
      <c r="H2205" s="64">
        <f>ventas_b_mes11[[#This Row],[TOTAL]]/1.21</f>
        <v>0</v>
      </c>
      <c r="I2205" s="183">
        <f>ventas_b_mes11[[#This Row],[IMPORTE NETO]]*0.21</f>
        <v>0</v>
      </c>
      <c r="J2205" s="184"/>
      <c r="K2205" s="184"/>
      <c r="L2205" s="184"/>
      <c r="M2205" s="59"/>
    </row>
    <row r="2206" spans="2:13" x14ac:dyDescent="0.3">
      <c r="B2206" s="178"/>
      <c r="C2206" s="179"/>
      <c r="D2206" s="180"/>
      <c r="E2206" s="181"/>
      <c r="F2206" s="182"/>
      <c r="G2206" s="1" t="str">
        <f>IFERROR(IF(ventas_b_mes11[[#This Row],[CUIT]]="","-",VLOOKUP(ventas_b_mes11[[#This Row],[CUIT]],Lista_CUIT[#All],2,0)),"CUIT NO CARGADO")</f>
        <v>-</v>
      </c>
      <c r="H2206" s="64">
        <f>ventas_b_mes11[[#This Row],[TOTAL]]/1.21</f>
        <v>0</v>
      </c>
      <c r="I2206" s="183">
        <f>ventas_b_mes11[[#This Row],[IMPORTE NETO]]*0.21</f>
        <v>0</v>
      </c>
      <c r="J2206" s="184"/>
      <c r="K2206" s="184"/>
      <c r="L2206" s="184"/>
      <c r="M2206" s="59"/>
    </row>
    <row r="2207" spans="2:13" x14ac:dyDescent="0.3">
      <c r="B2207" s="178"/>
      <c r="C2207" s="179"/>
      <c r="D2207" s="180"/>
      <c r="E2207" s="181"/>
      <c r="F2207" s="182"/>
      <c r="G2207" s="1" t="str">
        <f>IFERROR(IF(ventas_b_mes11[[#This Row],[CUIT]]="","-",VLOOKUP(ventas_b_mes11[[#This Row],[CUIT]],Lista_CUIT[#All],2,0)),"CUIT NO CARGADO")</f>
        <v>-</v>
      </c>
      <c r="H2207" s="64">
        <f>ventas_b_mes11[[#This Row],[TOTAL]]/1.21</f>
        <v>0</v>
      </c>
      <c r="I2207" s="183">
        <f>ventas_b_mes11[[#This Row],[IMPORTE NETO]]*0.21</f>
        <v>0</v>
      </c>
      <c r="J2207" s="184"/>
      <c r="K2207" s="184"/>
      <c r="L2207" s="184"/>
      <c r="M2207" s="59"/>
    </row>
    <row r="2208" spans="2:13" x14ac:dyDescent="0.3">
      <c r="B2208" s="178"/>
      <c r="C2208" s="179"/>
      <c r="D2208" s="180"/>
      <c r="E2208" s="181"/>
      <c r="F2208" s="182"/>
      <c r="G2208" s="1" t="str">
        <f>IFERROR(IF(ventas_b_mes11[[#This Row],[CUIT]]="","-",VLOOKUP(ventas_b_mes11[[#This Row],[CUIT]],Lista_CUIT[#All],2,0)),"CUIT NO CARGADO")</f>
        <v>-</v>
      </c>
      <c r="H2208" s="64">
        <f>ventas_b_mes11[[#This Row],[TOTAL]]/1.21</f>
        <v>0</v>
      </c>
      <c r="I2208" s="183">
        <f>ventas_b_mes11[[#This Row],[IMPORTE NETO]]*0.21</f>
        <v>0</v>
      </c>
      <c r="J2208" s="184"/>
      <c r="K2208" s="184"/>
      <c r="L2208" s="184"/>
      <c r="M2208" s="59"/>
    </row>
    <row r="2209" spans="2:13" x14ac:dyDescent="0.3">
      <c r="B2209" s="178"/>
      <c r="C2209" s="179"/>
      <c r="D2209" s="180"/>
      <c r="E2209" s="181"/>
      <c r="F2209" s="182"/>
      <c r="G2209" s="1" t="str">
        <f>IFERROR(IF(ventas_b_mes11[[#This Row],[CUIT]]="","-",VLOOKUP(ventas_b_mes11[[#This Row],[CUIT]],Lista_CUIT[#All],2,0)),"CUIT NO CARGADO")</f>
        <v>-</v>
      </c>
      <c r="H2209" s="64">
        <f>ventas_b_mes11[[#This Row],[TOTAL]]/1.21</f>
        <v>0</v>
      </c>
      <c r="I2209" s="183">
        <f>ventas_b_mes11[[#This Row],[IMPORTE NETO]]*0.21</f>
        <v>0</v>
      </c>
      <c r="J2209" s="184"/>
      <c r="K2209" s="184"/>
      <c r="L2209" s="184"/>
      <c r="M2209" s="59"/>
    </row>
    <row r="2210" spans="2:13" x14ac:dyDescent="0.3">
      <c r="B2210" s="178"/>
      <c r="C2210" s="179"/>
      <c r="D2210" s="180"/>
      <c r="E2210" s="181"/>
      <c r="F2210" s="182"/>
      <c r="G2210" s="1" t="str">
        <f>IFERROR(IF(ventas_b_mes11[[#This Row],[CUIT]]="","-",VLOOKUP(ventas_b_mes11[[#This Row],[CUIT]],Lista_CUIT[#All],2,0)),"CUIT NO CARGADO")</f>
        <v>-</v>
      </c>
      <c r="H2210" s="64">
        <f>ventas_b_mes11[[#This Row],[TOTAL]]/1.21</f>
        <v>0</v>
      </c>
      <c r="I2210" s="183">
        <f>ventas_b_mes11[[#This Row],[IMPORTE NETO]]*0.21</f>
        <v>0</v>
      </c>
      <c r="J2210" s="184"/>
      <c r="K2210" s="184"/>
      <c r="L2210" s="184"/>
      <c r="M2210" s="59"/>
    </row>
    <row r="2211" spans="2:13" x14ac:dyDescent="0.3">
      <c r="B2211" s="178"/>
      <c r="C2211" s="179"/>
      <c r="D2211" s="180"/>
      <c r="E2211" s="181"/>
      <c r="F2211" s="182"/>
      <c r="G2211" s="1" t="str">
        <f>IFERROR(IF(ventas_b_mes11[[#This Row],[CUIT]]="","-",VLOOKUP(ventas_b_mes11[[#This Row],[CUIT]],Lista_CUIT[#All],2,0)),"CUIT NO CARGADO")</f>
        <v>-</v>
      </c>
      <c r="H2211" s="64">
        <f>ventas_b_mes11[[#This Row],[TOTAL]]/1.21</f>
        <v>0</v>
      </c>
      <c r="I2211" s="183">
        <f>ventas_b_mes11[[#This Row],[IMPORTE NETO]]*0.21</f>
        <v>0</v>
      </c>
      <c r="J2211" s="184"/>
      <c r="K2211" s="184"/>
      <c r="L2211" s="184"/>
      <c r="M2211" s="59"/>
    </row>
    <row r="2212" spans="2:13" x14ac:dyDescent="0.3">
      <c r="B2212" s="178"/>
      <c r="C2212" s="179"/>
      <c r="D2212" s="180"/>
      <c r="E2212" s="181"/>
      <c r="F2212" s="182"/>
      <c r="G2212" s="1" t="str">
        <f>IFERROR(IF(ventas_b_mes11[[#This Row],[CUIT]]="","-",VLOOKUP(ventas_b_mes11[[#This Row],[CUIT]],Lista_CUIT[#All],2,0)),"CUIT NO CARGADO")</f>
        <v>-</v>
      </c>
      <c r="H2212" s="64">
        <f>ventas_b_mes11[[#This Row],[TOTAL]]/1.21</f>
        <v>0</v>
      </c>
      <c r="I2212" s="183">
        <f>ventas_b_mes11[[#This Row],[IMPORTE NETO]]*0.21</f>
        <v>0</v>
      </c>
      <c r="J2212" s="184"/>
      <c r="K2212" s="184"/>
      <c r="L2212" s="184"/>
      <c r="M2212" s="59"/>
    </row>
    <row r="2213" spans="2:13" x14ac:dyDescent="0.3">
      <c r="B2213" s="178"/>
      <c r="C2213" s="179"/>
      <c r="D2213" s="180"/>
      <c r="E2213" s="181"/>
      <c r="F2213" s="182"/>
      <c r="G2213" s="1" t="str">
        <f>IFERROR(IF(ventas_b_mes11[[#This Row],[CUIT]]="","-",VLOOKUP(ventas_b_mes11[[#This Row],[CUIT]],Lista_CUIT[#All],2,0)),"CUIT NO CARGADO")</f>
        <v>-</v>
      </c>
      <c r="H2213" s="64">
        <f>ventas_b_mes11[[#This Row],[TOTAL]]/1.21</f>
        <v>0</v>
      </c>
      <c r="I2213" s="183">
        <f>ventas_b_mes11[[#This Row],[IMPORTE NETO]]*0.21</f>
        <v>0</v>
      </c>
      <c r="J2213" s="184"/>
      <c r="K2213" s="184"/>
      <c r="L2213" s="184"/>
      <c r="M2213" s="59"/>
    </row>
    <row r="2214" spans="2:13" x14ac:dyDescent="0.3">
      <c r="B2214" s="178"/>
      <c r="C2214" s="179"/>
      <c r="D2214" s="180"/>
      <c r="E2214" s="181"/>
      <c r="F2214" s="182"/>
      <c r="G2214" s="1" t="str">
        <f>IFERROR(IF(ventas_b_mes11[[#This Row],[CUIT]]="","-",VLOOKUP(ventas_b_mes11[[#This Row],[CUIT]],Lista_CUIT[#All],2,0)),"CUIT NO CARGADO")</f>
        <v>-</v>
      </c>
      <c r="H2214" s="64">
        <f>ventas_b_mes11[[#This Row],[TOTAL]]/1.21</f>
        <v>0</v>
      </c>
      <c r="I2214" s="183">
        <f>ventas_b_mes11[[#This Row],[IMPORTE NETO]]*0.21</f>
        <v>0</v>
      </c>
      <c r="J2214" s="184"/>
      <c r="K2214" s="184"/>
      <c r="L2214" s="184"/>
      <c r="M2214" s="59"/>
    </row>
    <row r="2215" spans="2:13" x14ac:dyDescent="0.3">
      <c r="B2215" s="178"/>
      <c r="C2215" s="179"/>
      <c r="D2215" s="180"/>
      <c r="E2215" s="181"/>
      <c r="F2215" s="182"/>
      <c r="G2215" s="1" t="str">
        <f>IFERROR(IF(ventas_b_mes11[[#This Row],[CUIT]]="","-",VLOOKUP(ventas_b_mes11[[#This Row],[CUIT]],Lista_CUIT[#All],2,0)),"CUIT NO CARGADO")</f>
        <v>-</v>
      </c>
      <c r="H2215" s="64">
        <f>ventas_b_mes11[[#This Row],[TOTAL]]/1.21</f>
        <v>0</v>
      </c>
      <c r="I2215" s="183">
        <f>ventas_b_mes11[[#This Row],[IMPORTE NETO]]*0.21</f>
        <v>0</v>
      </c>
      <c r="J2215" s="184"/>
      <c r="K2215" s="184"/>
      <c r="L2215" s="184"/>
      <c r="M2215" s="59"/>
    </row>
    <row r="2216" spans="2:13" x14ac:dyDescent="0.3">
      <c r="B2216" s="178"/>
      <c r="C2216" s="179"/>
      <c r="D2216" s="180"/>
      <c r="E2216" s="181"/>
      <c r="F2216" s="182"/>
      <c r="G2216" s="1" t="str">
        <f>IFERROR(IF(ventas_b_mes11[[#This Row],[CUIT]]="","-",VLOOKUP(ventas_b_mes11[[#This Row],[CUIT]],Lista_CUIT[#All],2,0)),"CUIT NO CARGADO")</f>
        <v>-</v>
      </c>
      <c r="H2216" s="64">
        <f>ventas_b_mes11[[#This Row],[TOTAL]]/1.21</f>
        <v>0</v>
      </c>
      <c r="I2216" s="183">
        <f>ventas_b_mes11[[#This Row],[IMPORTE NETO]]*0.21</f>
        <v>0</v>
      </c>
      <c r="J2216" s="184"/>
      <c r="K2216" s="184"/>
      <c r="L2216" s="184"/>
      <c r="M2216" s="59"/>
    </row>
    <row r="2217" spans="2:13" x14ac:dyDescent="0.3">
      <c r="B2217" s="178"/>
      <c r="C2217" s="179"/>
      <c r="D2217" s="180"/>
      <c r="E2217" s="181"/>
      <c r="F2217" s="182"/>
      <c r="G2217" s="1" t="str">
        <f>IFERROR(IF(ventas_b_mes11[[#This Row],[CUIT]]="","-",VLOOKUP(ventas_b_mes11[[#This Row],[CUIT]],Lista_CUIT[#All],2,0)),"CUIT NO CARGADO")</f>
        <v>-</v>
      </c>
      <c r="H2217" s="64">
        <f>ventas_b_mes11[[#This Row],[TOTAL]]/1.21</f>
        <v>0</v>
      </c>
      <c r="I2217" s="183">
        <f>ventas_b_mes11[[#This Row],[IMPORTE NETO]]*0.21</f>
        <v>0</v>
      </c>
      <c r="J2217" s="184"/>
      <c r="K2217" s="184"/>
      <c r="L2217" s="184"/>
      <c r="M2217" s="59"/>
    </row>
    <row r="2218" spans="2:13" x14ac:dyDescent="0.3">
      <c r="B2218" s="178"/>
      <c r="C2218" s="179"/>
      <c r="D2218" s="180"/>
      <c r="E2218" s="181"/>
      <c r="F2218" s="182"/>
      <c r="G2218" s="1" t="str">
        <f>IFERROR(IF(ventas_b_mes11[[#This Row],[CUIT]]="","-",VLOOKUP(ventas_b_mes11[[#This Row],[CUIT]],Lista_CUIT[#All],2,0)),"CUIT NO CARGADO")</f>
        <v>-</v>
      </c>
      <c r="H2218" s="64">
        <f>ventas_b_mes11[[#This Row],[TOTAL]]/1.21</f>
        <v>0</v>
      </c>
      <c r="I2218" s="183">
        <f>ventas_b_mes11[[#This Row],[IMPORTE NETO]]*0.21</f>
        <v>0</v>
      </c>
      <c r="J2218" s="184"/>
      <c r="K2218" s="184"/>
      <c r="L2218" s="184"/>
      <c r="M2218" s="59"/>
    </row>
    <row r="2219" spans="2:13" x14ac:dyDescent="0.3">
      <c r="B2219" s="178"/>
      <c r="C2219" s="179"/>
      <c r="D2219" s="180"/>
      <c r="E2219" s="181"/>
      <c r="F2219" s="182"/>
      <c r="G2219" s="1" t="str">
        <f>IFERROR(IF(ventas_b_mes11[[#This Row],[CUIT]]="","-",VLOOKUP(ventas_b_mes11[[#This Row],[CUIT]],Lista_CUIT[#All],2,0)),"CUIT NO CARGADO")</f>
        <v>-</v>
      </c>
      <c r="H2219" s="64">
        <f>ventas_b_mes11[[#This Row],[TOTAL]]/1.21</f>
        <v>0</v>
      </c>
      <c r="I2219" s="183">
        <f>ventas_b_mes11[[#This Row],[IMPORTE NETO]]*0.21</f>
        <v>0</v>
      </c>
      <c r="J2219" s="184"/>
      <c r="K2219" s="184"/>
      <c r="L2219" s="184"/>
      <c r="M2219" s="59"/>
    </row>
    <row r="2220" spans="2:13" x14ac:dyDescent="0.3">
      <c r="B2220" s="178"/>
      <c r="C2220" s="179"/>
      <c r="D2220" s="180"/>
      <c r="E2220" s="181"/>
      <c r="F2220" s="182"/>
      <c r="G2220" s="1" t="str">
        <f>IFERROR(IF(ventas_b_mes11[[#This Row],[CUIT]]="","-",VLOOKUP(ventas_b_mes11[[#This Row],[CUIT]],Lista_CUIT[#All],2,0)),"CUIT NO CARGADO")</f>
        <v>-</v>
      </c>
      <c r="H2220" s="64">
        <f>ventas_b_mes11[[#This Row],[TOTAL]]/1.21</f>
        <v>0</v>
      </c>
      <c r="I2220" s="183">
        <f>ventas_b_mes11[[#This Row],[IMPORTE NETO]]*0.21</f>
        <v>0</v>
      </c>
      <c r="J2220" s="184"/>
      <c r="K2220" s="184"/>
      <c r="L2220" s="184"/>
      <c r="M2220" s="59"/>
    </row>
    <row r="2221" spans="2:13" x14ac:dyDescent="0.3">
      <c r="B2221" s="178"/>
      <c r="C2221" s="179"/>
      <c r="D2221" s="180"/>
      <c r="E2221" s="181"/>
      <c r="F2221" s="182"/>
      <c r="G2221" s="1" t="str">
        <f>IFERROR(IF(ventas_b_mes11[[#This Row],[CUIT]]="","-",VLOOKUP(ventas_b_mes11[[#This Row],[CUIT]],Lista_CUIT[#All],2,0)),"CUIT NO CARGADO")</f>
        <v>-</v>
      </c>
      <c r="H2221" s="64">
        <f>ventas_b_mes11[[#This Row],[TOTAL]]/1.21</f>
        <v>0</v>
      </c>
      <c r="I2221" s="183">
        <f>ventas_b_mes11[[#This Row],[IMPORTE NETO]]*0.21</f>
        <v>0</v>
      </c>
      <c r="J2221" s="184"/>
      <c r="K2221" s="184"/>
      <c r="L2221" s="184"/>
      <c r="M2221" s="59"/>
    </row>
    <row r="2222" spans="2:13" x14ac:dyDescent="0.3">
      <c r="B2222" s="178"/>
      <c r="C2222" s="179"/>
      <c r="D2222" s="180"/>
      <c r="E2222" s="181"/>
      <c r="F2222" s="182"/>
      <c r="G2222" s="1" t="str">
        <f>IFERROR(IF(ventas_b_mes11[[#This Row],[CUIT]]="","-",VLOOKUP(ventas_b_mes11[[#This Row],[CUIT]],Lista_CUIT[#All],2,0)),"CUIT NO CARGADO")</f>
        <v>-</v>
      </c>
      <c r="H2222" s="64">
        <f>ventas_b_mes11[[#This Row],[TOTAL]]/1.21</f>
        <v>0</v>
      </c>
      <c r="I2222" s="183">
        <f>ventas_b_mes11[[#This Row],[IMPORTE NETO]]*0.21</f>
        <v>0</v>
      </c>
      <c r="J2222" s="184"/>
      <c r="K2222" s="184"/>
      <c r="L2222" s="184"/>
      <c r="M2222" s="59"/>
    </row>
    <row r="2223" spans="2:13" x14ac:dyDescent="0.3">
      <c r="B2223" s="178"/>
      <c r="C2223" s="179"/>
      <c r="D2223" s="180"/>
      <c r="E2223" s="181"/>
      <c r="F2223" s="182"/>
      <c r="G2223" s="1" t="str">
        <f>IFERROR(IF(ventas_b_mes11[[#This Row],[CUIT]]="","-",VLOOKUP(ventas_b_mes11[[#This Row],[CUIT]],Lista_CUIT[#All],2,0)),"CUIT NO CARGADO")</f>
        <v>-</v>
      </c>
      <c r="H2223" s="64">
        <f>ventas_b_mes11[[#This Row],[TOTAL]]/1.21</f>
        <v>0</v>
      </c>
      <c r="I2223" s="183">
        <f>ventas_b_mes11[[#This Row],[IMPORTE NETO]]*0.21</f>
        <v>0</v>
      </c>
      <c r="J2223" s="184"/>
      <c r="K2223" s="184"/>
      <c r="L2223" s="184"/>
      <c r="M2223" s="59"/>
    </row>
    <row r="2224" spans="2:13" x14ac:dyDescent="0.3">
      <c r="B2224" s="178"/>
      <c r="C2224" s="179"/>
      <c r="D2224" s="180"/>
      <c r="E2224" s="181"/>
      <c r="F2224" s="182"/>
      <c r="G2224" s="1" t="str">
        <f>IFERROR(IF(ventas_b_mes11[[#This Row],[CUIT]]="","-",VLOOKUP(ventas_b_mes11[[#This Row],[CUIT]],Lista_CUIT[#All],2,0)),"CUIT NO CARGADO")</f>
        <v>-</v>
      </c>
      <c r="H2224" s="64">
        <f>ventas_b_mes11[[#This Row],[TOTAL]]/1.21</f>
        <v>0</v>
      </c>
      <c r="I2224" s="183">
        <f>ventas_b_mes11[[#This Row],[IMPORTE NETO]]*0.21</f>
        <v>0</v>
      </c>
      <c r="J2224" s="184"/>
      <c r="K2224" s="184"/>
      <c r="L2224" s="184"/>
      <c r="M2224" s="59"/>
    </row>
    <row r="2225" spans="2:13" x14ac:dyDescent="0.3">
      <c r="B2225" s="178"/>
      <c r="C2225" s="179"/>
      <c r="D2225" s="180"/>
      <c r="E2225" s="181"/>
      <c r="F2225" s="182"/>
      <c r="G2225" s="1" t="str">
        <f>IFERROR(IF(ventas_b_mes11[[#This Row],[CUIT]]="","-",VLOOKUP(ventas_b_mes11[[#This Row],[CUIT]],Lista_CUIT[#All],2,0)),"CUIT NO CARGADO")</f>
        <v>-</v>
      </c>
      <c r="H2225" s="64">
        <f>ventas_b_mes11[[#This Row],[TOTAL]]/1.21</f>
        <v>0</v>
      </c>
      <c r="I2225" s="183">
        <f>ventas_b_mes11[[#This Row],[IMPORTE NETO]]*0.21</f>
        <v>0</v>
      </c>
      <c r="J2225" s="184"/>
      <c r="K2225" s="184"/>
      <c r="L2225" s="184"/>
      <c r="M2225" s="59"/>
    </row>
    <row r="2226" spans="2:13" x14ac:dyDescent="0.3">
      <c r="B2226" s="178"/>
      <c r="C2226" s="179"/>
      <c r="D2226" s="180"/>
      <c r="E2226" s="181"/>
      <c r="F2226" s="182"/>
      <c r="G2226" s="1" t="str">
        <f>IFERROR(IF(ventas_b_mes11[[#This Row],[CUIT]]="","-",VLOOKUP(ventas_b_mes11[[#This Row],[CUIT]],Lista_CUIT[#All],2,0)),"CUIT NO CARGADO")</f>
        <v>-</v>
      </c>
      <c r="H2226" s="64">
        <f>ventas_b_mes11[[#This Row],[TOTAL]]/1.21</f>
        <v>0</v>
      </c>
      <c r="I2226" s="183">
        <f>ventas_b_mes11[[#This Row],[IMPORTE NETO]]*0.21</f>
        <v>0</v>
      </c>
      <c r="J2226" s="184"/>
      <c r="K2226" s="184"/>
      <c r="L2226" s="184"/>
      <c r="M2226" s="59"/>
    </row>
    <row r="2227" spans="2:13" x14ac:dyDescent="0.3">
      <c r="B2227" s="178"/>
      <c r="C2227" s="179"/>
      <c r="D2227" s="180"/>
      <c r="E2227" s="181"/>
      <c r="F2227" s="182"/>
      <c r="G2227" s="1" t="str">
        <f>IFERROR(IF(ventas_b_mes11[[#This Row],[CUIT]]="","-",VLOOKUP(ventas_b_mes11[[#This Row],[CUIT]],Lista_CUIT[#All],2,0)),"CUIT NO CARGADO")</f>
        <v>-</v>
      </c>
      <c r="H2227" s="64">
        <f>ventas_b_mes11[[#This Row],[TOTAL]]/1.21</f>
        <v>0</v>
      </c>
      <c r="I2227" s="183">
        <f>ventas_b_mes11[[#This Row],[IMPORTE NETO]]*0.21</f>
        <v>0</v>
      </c>
      <c r="J2227" s="184"/>
      <c r="K2227" s="184"/>
      <c r="L2227" s="184"/>
      <c r="M2227" s="59"/>
    </row>
    <row r="2228" spans="2:13" x14ac:dyDescent="0.3">
      <c r="B2228" s="178"/>
      <c r="C2228" s="179"/>
      <c r="D2228" s="180"/>
      <c r="E2228" s="181"/>
      <c r="F2228" s="182"/>
      <c r="G2228" s="1" t="str">
        <f>IFERROR(IF(ventas_b_mes11[[#This Row],[CUIT]]="","-",VLOOKUP(ventas_b_mes11[[#This Row],[CUIT]],Lista_CUIT[#All],2,0)),"CUIT NO CARGADO")</f>
        <v>-</v>
      </c>
      <c r="H2228" s="64">
        <f>ventas_b_mes11[[#This Row],[TOTAL]]/1.21</f>
        <v>0</v>
      </c>
      <c r="I2228" s="183">
        <f>ventas_b_mes11[[#This Row],[IMPORTE NETO]]*0.21</f>
        <v>0</v>
      </c>
      <c r="J2228" s="184"/>
      <c r="K2228" s="184"/>
      <c r="L2228" s="184"/>
      <c r="M2228" s="59"/>
    </row>
    <row r="2229" spans="2:13" x14ac:dyDescent="0.3">
      <c r="B2229" s="178"/>
      <c r="C2229" s="179"/>
      <c r="D2229" s="180"/>
      <c r="E2229" s="181"/>
      <c r="F2229" s="182"/>
      <c r="G2229" s="1" t="str">
        <f>IFERROR(IF(ventas_b_mes11[[#This Row],[CUIT]]="","-",VLOOKUP(ventas_b_mes11[[#This Row],[CUIT]],Lista_CUIT[#All],2,0)),"CUIT NO CARGADO")</f>
        <v>-</v>
      </c>
      <c r="H2229" s="64">
        <f>ventas_b_mes11[[#This Row],[TOTAL]]/1.21</f>
        <v>0</v>
      </c>
      <c r="I2229" s="183">
        <f>ventas_b_mes11[[#This Row],[IMPORTE NETO]]*0.21</f>
        <v>0</v>
      </c>
      <c r="J2229" s="184"/>
      <c r="K2229" s="184"/>
      <c r="L2229" s="184"/>
      <c r="M2229" s="59"/>
    </row>
    <row r="2230" spans="2:13" x14ac:dyDescent="0.3">
      <c r="B2230" s="178"/>
      <c r="C2230" s="179"/>
      <c r="D2230" s="180"/>
      <c r="E2230" s="181"/>
      <c r="F2230" s="182"/>
      <c r="G2230" s="1" t="str">
        <f>IFERROR(IF(ventas_b_mes11[[#This Row],[CUIT]]="","-",VLOOKUP(ventas_b_mes11[[#This Row],[CUIT]],Lista_CUIT[#All],2,0)),"CUIT NO CARGADO")</f>
        <v>-</v>
      </c>
      <c r="H2230" s="64">
        <f>ventas_b_mes11[[#This Row],[TOTAL]]/1.21</f>
        <v>0</v>
      </c>
      <c r="I2230" s="183">
        <f>ventas_b_mes11[[#This Row],[IMPORTE NETO]]*0.21</f>
        <v>0</v>
      </c>
      <c r="J2230" s="184"/>
      <c r="K2230" s="184"/>
      <c r="L2230" s="184"/>
      <c r="M2230" s="59"/>
    </row>
    <row r="2231" spans="2:13" x14ac:dyDescent="0.3">
      <c r="B2231" s="178"/>
      <c r="C2231" s="179"/>
      <c r="D2231" s="180"/>
      <c r="E2231" s="181"/>
      <c r="F2231" s="182"/>
      <c r="G2231" s="1" t="str">
        <f>IFERROR(IF(ventas_b_mes11[[#This Row],[CUIT]]="","-",VLOOKUP(ventas_b_mes11[[#This Row],[CUIT]],Lista_CUIT[#All],2,0)),"CUIT NO CARGADO")</f>
        <v>-</v>
      </c>
      <c r="H2231" s="64">
        <f>ventas_b_mes11[[#This Row],[TOTAL]]/1.21</f>
        <v>0</v>
      </c>
      <c r="I2231" s="183">
        <f>ventas_b_mes11[[#This Row],[IMPORTE NETO]]*0.21</f>
        <v>0</v>
      </c>
      <c r="J2231" s="184"/>
      <c r="K2231" s="184"/>
      <c r="L2231" s="184"/>
      <c r="M2231" s="59"/>
    </row>
    <row r="2232" spans="2:13" x14ac:dyDescent="0.3">
      <c r="B2232" s="178"/>
      <c r="C2232" s="179"/>
      <c r="D2232" s="180"/>
      <c r="E2232" s="181"/>
      <c r="F2232" s="182"/>
      <c r="G2232" s="1" t="str">
        <f>IFERROR(IF(ventas_b_mes11[[#This Row],[CUIT]]="","-",VLOOKUP(ventas_b_mes11[[#This Row],[CUIT]],Lista_CUIT[#All],2,0)),"CUIT NO CARGADO")</f>
        <v>-</v>
      </c>
      <c r="H2232" s="64">
        <f>ventas_b_mes11[[#This Row],[TOTAL]]/1.21</f>
        <v>0</v>
      </c>
      <c r="I2232" s="183">
        <f>ventas_b_mes11[[#This Row],[IMPORTE NETO]]*0.21</f>
        <v>0</v>
      </c>
      <c r="J2232" s="184"/>
      <c r="K2232" s="184"/>
      <c r="L2232" s="184"/>
      <c r="M2232" s="59"/>
    </row>
    <row r="2233" spans="2:13" x14ac:dyDescent="0.3">
      <c r="B2233" s="178"/>
      <c r="C2233" s="179"/>
      <c r="D2233" s="180"/>
      <c r="E2233" s="181"/>
      <c r="F2233" s="182"/>
      <c r="G2233" s="1" t="str">
        <f>IFERROR(IF(ventas_b_mes11[[#This Row],[CUIT]]="","-",VLOOKUP(ventas_b_mes11[[#This Row],[CUIT]],Lista_CUIT[#All],2,0)),"CUIT NO CARGADO")</f>
        <v>-</v>
      </c>
      <c r="H2233" s="64">
        <f>ventas_b_mes11[[#This Row],[TOTAL]]/1.21</f>
        <v>0</v>
      </c>
      <c r="I2233" s="183">
        <f>ventas_b_mes11[[#This Row],[IMPORTE NETO]]*0.21</f>
        <v>0</v>
      </c>
      <c r="J2233" s="184"/>
      <c r="K2233" s="184"/>
      <c r="L2233" s="184"/>
      <c r="M2233" s="59"/>
    </row>
    <row r="2234" spans="2:13" x14ac:dyDescent="0.3">
      <c r="B2234" s="178"/>
      <c r="C2234" s="179"/>
      <c r="D2234" s="180"/>
      <c r="E2234" s="181"/>
      <c r="F2234" s="182"/>
      <c r="G2234" s="1" t="str">
        <f>IFERROR(IF(ventas_b_mes11[[#This Row],[CUIT]]="","-",VLOOKUP(ventas_b_mes11[[#This Row],[CUIT]],Lista_CUIT[#All],2,0)),"CUIT NO CARGADO")</f>
        <v>-</v>
      </c>
      <c r="H2234" s="64">
        <f>ventas_b_mes11[[#This Row],[TOTAL]]/1.21</f>
        <v>0</v>
      </c>
      <c r="I2234" s="183">
        <f>ventas_b_mes11[[#This Row],[IMPORTE NETO]]*0.21</f>
        <v>0</v>
      </c>
      <c r="J2234" s="184"/>
      <c r="K2234" s="184"/>
      <c r="L2234" s="184"/>
      <c r="M2234" s="59"/>
    </row>
    <row r="2235" spans="2:13" x14ac:dyDescent="0.3">
      <c r="B2235" s="178"/>
      <c r="C2235" s="179"/>
      <c r="D2235" s="180"/>
      <c r="E2235" s="181"/>
      <c r="F2235" s="182"/>
      <c r="G2235" s="1" t="str">
        <f>IFERROR(IF(ventas_b_mes11[[#This Row],[CUIT]]="","-",VLOOKUP(ventas_b_mes11[[#This Row],[CUIT]],Lista_CUIT[#All],2,0)),"CUIT NO CARGADO")</f>
        <v>-</v>
      </c>
      <c r="H2235" s="64">
        <f>ventas_b_mes11[[#This Row],[TOTAL]]/1.21</f>
        <v>0</v>
      </c>
      <c r="I2235" s="183">
        <f>ventas_b_mes11[[#This Row],[IMPORTE NETO]]*0.21</f>
        <v>0</v>
      </c>
      <c r="J2235" s="184"/>
      <c r="K2235" s="184"/>
      <c r="L2235" s="184"/>
      <c r="M2235" s="59"/>
    </row>
    <row r="2236" spans="2:13" x14ac:dyDescent="0.3">
      <c r="B2236" s="178"/>
      <c r="C2236" s="179"/>
      <c r="D2236" s="180"/>
      <c r="E2236" s="181"/>
      <c r="F2236" s="182"/>
      <c r="G2236" s="1" t="str">
        <f>IFERROR(IF(ventas_b_mes11[[#This Row],[CUIT]]="","-",VLOOKUP(ventas_b_mes11[[#This Row],[CUIT]],Lista_CUIT[#All],2,0)),"CUIT NO CARGADO")</f>
        <v>-</v>
      </c>
      <c r="H2236" s="64">
        <f>ventas_b_mes11[[#This Row],[TOTAL]]/1.21</f>
        <v>0</v>
      </c>
      <c r="I2236" s="183">
        <f>ventas_b_mes11[[#This Row],[IMPORTE NETO]]*0.21</f>
        <v>0</v>
      </c>
      <c r="J2236" s="184"/>
      <c r="K2236" s="184"/>
      <c r="L2236" s="184"/>
      <c r="M2236" s="59"/>
    </row>
    <row r="2237" spans="2:13" x14ac:dyDescent="0.3">
      <c r="B2237" s="178"/>
      <c r="C2237" s="179"/>
      <c r="D2237" s="180"/>
      <c r="E2237" s="181"/>
      <c r="F2237" s="182"/>
      <c r="G2237" s="1" t="str">
        <f>IFERROR(IF(ventas_b_mes11[[#This Row],[CUIT]]="","-",VLOOKUP(ventas_b_mes11[[#This Row],[CUIT]],Lista_CUIT[#All],2,0)),"CUIT NO CARGADO")</f>
        <v>-</v>
      </c>
      <c r="H2237" s="64">
        <f>ventas_b_mes11[[#This Row],[TOTAL]]/1.21</f>
        <v>0</v>
      </c>
      <c r="I2237" s="183">
        <f>ventas_b_mes11[[#This Row],[IMPORTE NETO]]*0.21</f>
        <v>0</v>
      </c>
      <c r="J2237" s="184"/>
      <c r="K2237" s="184"/>
      <c r="L2237" s="184"/>
      <c r="M2237" s="59"/>
    </row>
    <row r="2238" spans="2:13" x14ac:dyDescent="0.3">
      <c r="B2238" s="178"/>
      <c r="C2238" s="179"/>
      <c r="D2238" s="180"/>
      <c r="E2238" s="181"/>
      <c r="F2238" s="182"/>
      <c r="G2238" s="1" t="str">
        <f>IFERROR(IF(ventas_b_mes11[[#This Row],[CUIT]]="","-",VLOOKUP(ventas_b_mes11[[#This Row],[CUIT]],Lista_CUIT[#All],2,0)),"CUIT NO CARGADO")</f>
        <v>-</v>
      </c>
      <c r="H2238" s="64">
        <f>ventas_b_mes11[[#This Row],[TOTAL]]/1.21</f>
        <v>0</v>
      </c>
      <c r="I2238" s="183">
        <f>ventas_b_mes11[[#This Row],[IMPORTE NETO]]*0.21</f>
        <v>0</v>
      </c>
      <c r="J2238" s="184"/>
      <c r="K2238" s="184"/>
      <c r="L2238" s="184"/>
      <c r="M2238" s="59"/>
    </row>
    <row r="2239" spans="2:13" x14ac:dyDescent="0.3">
      <c r="B2239" s="178"/>
      <c r="C2239" s="179"/>
      <c r="D2239" s="180"/>
      <c r="E2239" s="181"/>
      <c r="F2239" s="182"/>
      <c r="G2239" s="1" t="str">
        <f>IFERROR(IF(ventas_b_mes11[[#This Row],[CUIT]]="","-",VLOOKUP(ventas_b_mes11[[#This Row],[CUIT]],Lista_CUIT[#All],2,0)),"CUIT NO CARGADO")</f>
        <v>-</v>
      </c>
      <c r="H2239" s="64">
        <f>ventas_b_mes11[[#This Row],[TOTAL]]/1.21</f>
        <v>0</v>
      </c>
      <c r="I2239" s="183">
        <f>ventas_b_mes11[[#This Row],[IMPORTE NETO]]*0.21</f>
        <v>0</v>
      </c>
      <c r="J2239" s="184"/>
      <c r="K2239" s="184"/>
      <c r="L2239" s="184"/>
      <c r="M2239" s="59"/>
    </row>
    <row r="2240" spans="2:13" x14ac:dyDescent="0.3">
      <c r="B2240" s="178"/>
      <c r="C2240" s="179"/>
      <c r="D2240" s="180"/>
      <c r="E2240" s="181"/>
      <c r="F2240" s="182"/>
      <c r="G2240" s="1" t="str">
        <f>IFERROR(IF(ventas_b_mes11[[#This Row],[CUIT]]="","-",VLOOKUP(ventas_b_mes11[[#This Row],[CUIT]],Lista_CUIT[#All],2,0)),"CUIT NO CARGADO")</f>
        <v>-</v>
      </c>
      <c r="H2240" s="64">
        <f>ventas_b_mes11[[#This Row],[TOTAL]]/1.21</f>
        <v>0</v>
      </c>
      <c r="I2240" s="183">
        <f>ventas_b_mes11[[#This Row],[IMPORTE NETO]]*0.21</f>
        <v>0</v>
      </c>
      <c r="J2240" s="184"/>
      <c r="K2240" s="184"/>
      <c r="L2240" s="184"/>
      <c r="M2240" s="59"/>
    </row>
    <row r="2241" spans="2:13" x14ac:dyDescent="0.3">
      <c r="B2241" s="178"/>
      <c r="C2241" s="179"/>
      <c r="D2241" s="180"/>
      <c r="E2241" s="181"/>
      <c r="F2241" s="182"/>
      <c r="G2241" s="1" t="str">
        <f>IFERROR(IF(ventas_b_mes11[[#This Row],[CUIT]]="","-",VLOOKUP(ventas_b_mes11[[#This Row],[CUIT]],Lista_CUIT[#All],2,0)),"CUIT NO CARGADO")</f>
        <v>-</v>
      </c>
      <c r="H2241" s="64">
        <f>ventas_b_mes11[[#This Row],[TOTAL]]/1.21</f>
        <v>0</v>
      </c>
      <c r="I2241" s="183">
        <f>ventas_b_mes11[[#This Row],[IMPORTE NETO]]*0.21</f>
        <v>0</v>
      </c>
      <c r="J2241" s="184"/>
      <c r="K2241" s="184"/>
      <c r="L2241" s="184"/>
      <c r="M2241" s="59"/>
    </row>
    <row r="2242" spans="2:13" x14ac:dyDescent="0.3">
      <c r="B2242" s="178"/>
      <c r="C2242" s="179"/>
      <c r="D2242" s="180"/>
      <c r="E2242" s="181"/>
      <c r="F2242" s="182"/>
      <c r="G2242" s="1" t="str">
        <f>IFERROR(IF(ventas_b_mes11[[#This Row],[CUIT]]="","-",VLOOKUP(ventas_b_mes11[[#This Row],[CUIT]],Lista_CUIT[#All],2,0)),"CUIT NO CARGADO")</f>
        <v>-</v>
      </c>
      <c r="H2242" s="64">
        <f>ventas_b_mes11[[#This Row],[TOTAL]]/1.21</f>
        <v>0</v>
      </c>
      <c r="I2242" s="183">
        <f>ventas_b_mes11[[#This Row],[IMPORTE NETO]]*0.21</f>
        <v>0</v>
      </c>
      <c r="J2242" s="184"/>
      <c r="K2242" s="184"/>
      <c r="L2242" s="184"/>
      <c r="M2242" s="59"/>
    </row>
    <row r="2243" spans="2:13" x14ac:dyDescent="0.3">
      <c r="B2243" s="178"/>
      <c r="C2243" s="179"/>
      <c r="D2243" s="180"/>
      <c r="E2243" s="181"/>
      <c r="F2243" s="182"/>
      <c r="G2243" s="1" t="str">
        <f>IFERROR(IF(ventas_b_mes11[[#This Row],[CUIT]]="","-",VLOOKUP(ventas_b_mes11[[#This Row],[CUIT]],Lista_CUIT[#All],2,0)),"CUIT NO CARGADO")</f>
        <v>-</v>
      </c>
      <c r="H2243" s="64">
        <f>ventas_b_mes11[[#This Row],[TOTAL]]/1.21</f>
        <v>0</v>
      </c>
      <c r="I2243" s="183">
        <f>ventas_b_mes11[[#This Row],[IMPORTE NETO]]*0.21</f>
        <v>0</v>
      </c>
      <c r="J2243" s="184"/>
      <c r="K2243" s="184"/>
      <c r="L2243" s="184"/>
      <c r="M2243" s="59"/>
    </row>
    <row r="2244" spans="2:13" x14ac:dyDescent="0.3">
      <c r="B2244" s="178"/>
      <c r="C2244" s="179"/>
      <c r="D2244" s="180"/>
      <c r="E2244" s="181"/>
      <c r="F2244" s="182"/>
      <c r="G2244" s="1" t="str">
        <f>IFERROR(IF(ventas_b_mes11[[#This Row],[CUIT]]="","-",VLOOKUP(ventas_b_mes11[[#This Row],[CUIT]],Lista_CUIT[#All],2,0)),"CUIT NO CARGADO")</f>
        <v>-</v>
      </c>
      <c r="H2244" s="64">
        <f>ventas_b_mes11[[#This Row],[TOTAL]]/1.21</f>
        <v>0</v>
      </c>
      <c r="I2244" s="183">
        <f>ventas_b_mes11[[#This Row],[IMPORTE NETO]]*0.21</f>
        <v>0</v>
      </c>
      <c r="J2244" s="184"/>
      <c r="K2244" s="184"/>
      <c r="L2244" s="184"/>
      <c r="M2244" s="59"/>
    </row>
    <row r="2245" spans="2:13" x14ac:dyDescent="0.3">
      <c r="B2245" s="178"/>
      <c r="C2245" s="179"/>
      <c r="D2245" s="180"/>
      <c r="E2245" s="181"/>
      <c r="F2245" s="182"/>
      <c r="G2245" s="1" t="str">
        <f>IFERROR(IF(ventas_b_mes11[[#This Row],[CUIT]]="","-",VLOOKUP(ventas_b_mes11[[#This Row],[CUIT]],Lista_CUIT[#All],2,0)),"CUIT NO CARGADO")</f>
        <v>-</v>
      </c>
      <c r="H2245" s="64">
        <f>ventas_b_mes11[[#This Row],[TOTAL]]/1.21</f>
        <v>0</v>
      </c>
      <c r="I2245" s="183">
        <f>ventas_b_mes11[[#This Row],[IMPORTE NETO]]*0.21</f>
        <v>0</v>
      </c>
      <c r="J2245" s="184"/>
      <c r="K2245" s="184"/>
      <c r="L2245" s="184"/>
      <c r="M2245" s="59"/>
    </row>
    <row r="2246" spans="2:13" x14ac:dyDescent="0.3">
      <c r="B2246" s="178"/>
      <c r="C2246" s="179"/>
      <c r="D2246" s="180"/>
      <c r="E2246" s="181"/>
      <c r="F2246" s="182"/>
      <c r="G2246" s="1" t="str">
        <f>IFERROR(IF(ventas_b_mes11[[#This Row],[CUIT]]="","-",VLOOKUP(ventas_b_mes11[[#This Row],[CUIT]],Lista_CUIT[#All],2,0)),"CUIT NO CARGADO")</f>
        <v>-</v>
      </c>
      <c r="H2246" s="64">
        <f>ventas_b_mes11[[#This Row],[TOTAL]]/1.21</f>
        <v>0</v>
      </c>
      <c r="I2246" s="183">
        <f>ventas_b_mes11[[#This Row],[IMPORTE NETO]]*0.21</f>
        <v>0</v>
      </c>
      <c r="J2246" s="184"/>
      <c r="K2246" s="184"/>
      <c r="L2246" s="184"/>
      <c r="M2246" s="59"/>
    </row>
    <row r="2247" spans="2:13" x14ac:dyDescent="0.3">
      <c r="B2247" s="178"/>
      <c r="C2247" s="179"/>
      <c r="D2247" s="180"/>
      <c r="E2247" s="181"/>
      <c r="F2247" s="182"/>
      <c r="G2247" s="1" t="str">
        <f>IFERROR(IF(ventas_b_mes11[[#This Row],[CUIT]]="","-",VLOOKUP(ventas_b_mes11[[#This Row],[CUIT]],Lista_CUIT[#All],2,0)),"CUIT NO CARGADO")</f>
        <v>-</v>
      </c>
      <c r="H2247" s="64">
        <f>ventas_b_mes11[[#This Row],[TOTAL]]/1.21</f>
        <v>0</v>
      </c>
      <c r="I2247" s="183">
        <f>ventas_b_mes11[[#This Row],[IMPORTE NETO]]*0.21</f>
        <v>0</v>
      </c>
      <c r="J2247" s="184"/>
      <c r="K2247" s="184"/>
      <c r="L2247" s="184"/>
      <c r="M2247" s="59"/>
    </row>
    <row r="2248" spans="2:13" x14ac:dyDescent="0.3">
      <c r="B2248" s="178"/>
      <c r="C2248" s="179"/>
      <c r="D2248" s="180"/>
      <c r="E2248" s="181"/>
      <c r="F2248" s="182"/>
      <c r="G2248" s="1" t="str">
        <f>IFERROR(IF(ventas_b_mes11[[#This Row],[CUIT]]="","-",VLOOKUP(ventas_b_mes11[[#This Row],[CUIT]],Lista_CUIT[#All],2,0)),"CUIT NO CARGADO")</f>
        <v>-</v>
      </c>
      <c r="H2248" s="64">
        <f>ventas_b_mes11[[#This Row],[TOTAL]]/1.21</f>
        <v>0</v>
      </c>
      <c r="I2248" s="183">
        <f>ventas_b_mes11[[#This Row],[IMPORTE NETO]]*0.21</f>
        <v>0</v>
      </c>
      <c r="J2248" s="184"/>
      <c r="K2248" s="184"/>
      <c r="L2248" s="184"/>
      <c r="M2248" s="59"/>
    </row>
    <row r="2249" spans="2:13" x14ac:dyDescent="0.3">
      <c r="B2249" s="178"/>
      <c r="C2249" s="179"/>
      <c r="D2249" s="180"/>
      <c r="E2249" s="181"/>
      <c r="F2249" s="182"/>
      <c r="G2249" s="1" t="str">
        <f>IFERROR(IF(ventas_b_mes11[[#This Row],[CUIT]]="","-",VLOOKUP(ventas_b_mes11[[#This Row],[CUIT]],Lista_CUIT[#All],2,0)),"CUIT NO CARGADO")</f>
        <v>-</v>
      </c>
      <c r="H2249" s="64">
        <f>ventas_b_mes11[[#This Row],[TOTAL]]/1.21</f>
        <v>0</v>
      </c>
      <c r="I2249" s="183">
        <f>ventas_b_mes11[[#This Row],[IMPORTE NETO]]*0.21</f>
        <v>0</v>
      </c>
      <c r="J2249" s="184"/>
      <c r="K2249" s="184"/>
      <c r="L2249" s="184"/>
      <c r="M2249" s="59"/>
    </row>
    <row r="2250" spans="2:13" x14ac:dyDescent="0.3">
      <c r="B2250" s="178"/>
      <c r="C2250" s="179"/>
      <c r="D2250" s="180"/>
      <c r="E2250" s="181"/>
      <c r="F2250" s="182"/>
      <c r="G2250" s="1" t="str">
        <f>IFERROR(IF(ventas_b_mes11[[#This Row],[CUIT]]="","-",VLOOKUP(ventas_b_mes11[[#This Row],[CUIT]],Lista_CUIT[#All],2,0)),"CUIT NO CARGADO")</f>
        <v>-</v>
      </c>
      <c r="H2250" s="64">
        <f>ventas_b_mes11[[#This Row],[TOTAL]]/1.21</f>
        <v>0</v>
      </c>
      <c r="I2250" s="183">
        <f>ventas_b_mes11[[#This Row],[IMPORTE NETO]]*0.21</f>
        <v>0</v>
      </c>
      <c r="J2250" s="184"/>
      <c r="K2250" s="184"/>
      <c r="L2250" s="184"/>
      <c r="M2250" s="59"/>
    </row>
    <row r="2251" spans="2:13" x14ac:dyDescent="0.3">
      <c r="B2251" s="178"/>
      <c r="C2251" s="179"/>
      <c r="D2251" s="180"/>
      <c r="E2251" s="181"/>
      <c r="F2251" s="182"/>
      <c r="G2251" s="1" t="str">
        <f>IFERROR(IF(ventas_b_mes11[[#This Row],[CUIT]]="","-",VLOOKUP(ventas_b_mes11[[#This Row],[CUIT]],Lista_CUIT[#All],2,0)),"CUIT NO CARGADO")</f>
        <v>-</v>
      </c>
      <c r="H2251" s="64">
        <f>ventas_b_mes11[[#This Row],[TOTAL]]/1.21</f>
        <v>0</v>
      </c>
      <c r="I2251" s="183">
        <f>ventas_b_mes11[[#This Row],[IMPORTE NETO]]*0.21</f>
        <v>0</v>
      </c>
      <c r="J2251" s="184"/>
      <c r="K2251" s="184"/>
      <c r="L2251" s="184"/>
      <c r="M2251" s="59"/>
    </row>
    <row r="2252" spans="2:13" x14ac:dyDescent="0.3">
      <c r="B2252" s="178"/>
      <c r="C2252" s="179"/>
      <c r="D2252" s="180"/>
      <c r="E2252" s="181"/>
      <c r="F2252" s="182"/>
      <c r="G2252" s="1" t="str">
        <f>IFERROR(IF(ventas_b_mes11[[#This Row],[CUIT]]="","-",VLOOKUP(ventas_b_mes11[[#This Row],[CUIT]],Lista_CUIT[#All],2,0)),"CUIT NO CARGADO")</f>
        <v>-</v>
      </c>
      <c r="H2252" s="64">
        <f>ventas_b_mes11[[#This Row],[TOTAL]]/1.21</f>
        <v>0</v>
      </c>
      <c r="I2252" s="183">
        <f>ventas_b_mes11[[#This Row],[IMPORTE NETO]]*0.21</f>
        <v>0</v>
      </c>
      <c r="J2252" s="184"/>
      <c r="K2252" s="184"/>
      <c r="L2252" s="184"/>
      <c r="M2252" s="59"/>
    </row>
    <row r="2253" spans="2:13" x14ac:dyDescent="0.3">
      <c r="B2253" s="178"/>
      <c r="C2253" s="179"/>
      <c r="D2253" s="180"/>
      <c r="E2253" s="181"/>
      <c r="F2253" s="182"/>
      <c r="G2253" s="1" t="str">
        <f>IFERROR(IF(ventas_b_mes11[[#This Row],[CUIT]]="","-",VLOOKUP(ventas_b_mes11[[#This Row],[CUIT]],Lista_CUIT[#All],2,0)),"CUIT NO CARGADO")</f>
        <v>-</v>
      </c>
      <c r="H2253" s="64">
        <f>ventas_b_mes11[[#This Row],[TOTAL]]/1.21</f>
        <v>0</v>
      </c>
      <c r="I2253" s="183">
        <f>ventas_b_mes11[[#This Row],[IMPORTE NETO]]*0.21</f>
        <v>0</v>
      </c>
      <c r="J2253" s="184"/>
      <c r="K2253" s="184"/>
      <c r="L2253" s="184"/>
      <c r="M2253" s="59"/>
    </row>
    <row r="2254" spans="2:13" x14ac:dyDescent="0.3">
      <c r="B2254" s="178"/>
      <c r="C2254" s="179"/>
      <c r="D2254" s="180"/>
      <c r="E2254" s="181"/>
      <c r="F2254" s="182"/>
      <c r="G2254" s="1" t="str">
        <f>IFERROR(IF(ventas_b_mes11[[#This Row],[CUIT]]="","-",VLOOKUP(ventas_b_mes11[[#This Row],[CUIT]],Lista_CUIT[#All],2,0)),"CUIT NO CARGADO")</f>
        <v>-</v>
      </c>
      <c r="H2254" s="64">
        <f>ventas_b_mes11[[#This Row],[TOTAL]]/1.21</f>
        <v>0</v>
      </c>
      <c r="I2254" s="183">
        <f>ventas_b_mes11[[#This Row],[IMPORTE NETO]]*0.21</f>
        <v>0</v>
      </c>
      <c r="J2254" s="184"/>
      <c r="K2254" s="184"/>
      <c r="L2254" s="184"/>
      <c r="M2254" s="59"/>
    </row>
    <row r="2255" spans="2:13" x14ac:dyDescent="0.3">
      <c r="B2255" s="178"/>
      <c r="C2255" s="179"/>
      <c r="D2255" s="180"/>
      <c r="E2255" s="181"/>
      <c r="F2255" s="182"/>
      <c r="G2255" s="1" t="str">
        <f>IFERROR(IF(ventas_b_mes11[[#This Row],[CUIT]]="","-",VLOOKUP(ventas_b_mes11[[#This Row],[CUIT]],Lista_CUIT[#All],2,0)),"CUIT NO CARGADO")</f>
        <v>-</v>
      </c>
      <c r="H2255" s="64">
        <f>ventas_b_mes11[[#This Row],[TOTAL]]/1.21</f>
        <v>0</v>
      </c>
      <c r="I2255" s="183">
        <f>ventas_b_mes11[[#This Row],[IMPORTE NETO]]*0.21</f>
        <v>0</v>
      </c>
      <c r="J2255" s="184"/>
      <c r="K2255" s="184"/>
      <c r="L2255" s="184"/>
      <c r="M2255" s="59"/>
    </row>
    <row r="2256" spans="2:13" x14ac:dyDescent="0.3">
      <c r="B2256" s="178"/>
      <c r="C2256" s="179"/>
      <c r="D2256" s="180"/>
      <c r="E2256" s="181"/>
      <c r="F2256" s="182"/>
      <c r="G2256" s="1" t="str">
        <f>IFERROR(IF(ventas_b_mes11[[#This Row],[CUIT]]="","-",VLOOKUP(ventas_b_mes11[[#This Row],[CUIT]],Lista_CUIT[#All],2,0)),"CUIT NO CARGADO")</f>
        <v>-</v>
      </c>
      <c r="H2256" s="64">
        <f>ventas_b_mes11[[#This Row],[TOTAL]]/1.21</f>
        <v>0</v>
      </c>
      <c r="I2256" s="183">
        <f>ventas_b_mes11[[#This Row],[IMPORTE NETO]]*0.21</f>
        <v>0</v>
      </c>
      <c r="J2256" s="184"/>
      <c r="K2256" s="184"/>
      <c r="L2256" s="184"/>
      <c r="M2256" s="59"/>
    </row>
    <row r="2257" spans="2:13" x14ac:dyDescent="0.3">
      <c r="B2257" s="178"/>
      <c r="C2257" s="179"/>
      <c r="D2257" s="180"/>
      <c r="E2257" s="181"/>
      <c r="F2257" s="182"/>
      <c r="G2257" s="1" t="str">
        <f>IFERROR(IF(ventas_b_mes11[[#This Row],[CUIT]]="","-",VLOOKUP(ventas_b_mes11[[#This Row],[CUIT]],Lista_CUIT[#All],2,0)),"CUIT NO CARGADO")</f>
        <v>-</v>
      </c>
      <c r="H2257" s="64">
        <f>ventas_b_mes11[[#This Row],[TOTAL]]/1.21</f>
        <v>0</v>
      </c>
      <c r="I2257" s="183">
        <f>ventas_b_mes11[[#This Row],[IMPORTE NETO]]*0.21</f>
        <v>0</v>
      </c>
      <c r="J2257" s="184"/>
      <c r="K2257" s="184"/>
      <c r="L2257" s="184"/>
      <c r="M2257" s="59"/>
    </row>
    <row r="2258" spans="2:13" x14ac:dyDescent="0.3">
      <c r="B2258" s="178"/>
      <c r="C2258" s="179"/>
      <c r="D2258" s="180"/>
      <c r="E2258" s="181"/>
      <c r="F2258" s="182"/>
      <c r="G2258" s="1" t="str">
        <f>IFERROR(IF(ventas_b_mes11[[#This Row],[CUIT]]="","-",VLOOKUP(ventas_b_mes11[[#This Row],[CUIT]],Lista_CUIT[#All],2,0)),"CUIT NO CARGADO")</f>
        <v>-</v>
      </c>
      <c r="H2258" s="64">
        <f>ventas_b_mes11[[#This Row],[TOTAL]]/1.21</f>
        <v>0</v>
      </c>
      <c r="I2258" s="183">
        <f>ventas_b_mes11[[#This Row],[IMPORTE NETO]]*0.21</f>
        <v>0</v>
      </c>
      <c r="J2258" s="184"/>
      <c r="K2258" s="184"/>
      <c r="L2258" s="184"/>
      <c r="M2258" s="59"/>
    </row>
    <row r="2259" spans="2:13" x14ac:dyDescent="0.3">
      <c r="B2259" s="178"/>
      <c r="C2259" s="179"/>
      <c r="D2259" s="180"/>
      <c r="E2259" s="181"/>
      <c r="F2259" s="182"/>
      <c r="G2259" s="1" t="str">
        <f>IFERROR(IF(ventas_b_mes11[[#This Row],[CUIT]]="","-",VLOOKUP(ventas_b_mes11[[#This Row],[CUIT]],Lista_CUIT[#All],2,0)),"CUIT NO CARGADO")</f>
        <v>-</v>
      </c>
      <c r="H2259" s="64">
        <f>ventas_b_mes11[[#This Row],[TOTAL]]/1.21</f>
        <v>0</v>
      </c>
      <c r="I2259" s="183">
        <f>ventas_b_mes11[[#This Row],[IMPORTE NETO]]*0.21</f>
        <v>0</v>
      </c>
      <c r="J2259" s="184"/>
      <c r="K2259" s="184"/>
      <c r="L2259" s="184"/>
      <c r="M2259" s="59"/>
    </row>
    <row r="2260" spans="2:13" x14ac:dyDescent="0.3">
      <c r="B2260" s="178"/>
      <c r="C2260" s="179"/>
      <c r="D2260" s="180"/>
      <c r="E2260" s="181"/>
      <c r="F2260" s="182"/>
      <c r="G2260" s="1" t="str">
        <f>IFERROR(IF(ventas_b_mes11[[#This Row],[CUIT]]="","-",VLOOKUP(ventas_b_mes11[[#This Row],[CUIT]],Lista_CUIT[#All],2,0)),"CUIT NO CARGADO")</f>
        <v>-</v>
      </c>
      <c r="H2260" s="64">
        <f>ventas_b_mes11[[#This Row],[TOTAL]]/1.21</f>
        <v>0</v>
      </c>
      <c r="I2260" s="183">
        <f>ventas_b_mes11[[#This Row],[IMPORTE NETO]]*0.21</f>
        <v>0</v>
      </c>
      <c r="J2260" s="184"/>
      <c r="K2260" s="184"/>
      <c r="L2260" s="184"/>
      <c r="M2260" s="59"/>
    </row>
    <row r="2261" spans="2:13" x14ac:dyDescent="0.3">
      <c r="B2261" s="178"/>
      <c r="C2261" s="179"/>
      <c r="D2261" s="180"/>
      <c r="E2261" s="181"/>
      <c r="F2261" s="182"/>
      <c r="G2261" s="1" t="str">
        <f>IFERROR(IF(ventas_b_mes11[[#This Row],[CUIT]]="","-",VLOOKUP(ventas_b_mes11[[#This Row],[CUIT]],Lista_CUIT[#All],2,0)),"CUIT NO CARGADO")</f>
        <v>-</v>
      </c>
      <c r="H2261" s="64">
        <f>ventas_b_mes11[[#This Row],[TOTAL]]/1.21</f>
        <v>0</v>
      </c>
      <c r="I2261" s="183">
        <f>ventas_b_mes11[[#This Row],[IMPORTE NETO]]*0.21</f>
        <v>0</v>
      </c>
      <c r="J2261" s="184"/>
      <c r="K2261" s="184"/>
      <c r="L2261" s="184"/>
      <c r="M2261" s="59"/>
    </row>
    <row r="2262" spans="2:13" x14ac:dyDescent="0.3">
      <c r="B2262" s="178"/>
      <c r="C2262" s="179"/>
      <c r="D2262" s="180"/>
      <c r="E2262" s="181"/>
      <c r="F2262" s="182"/>
      <c r="G2262" s="1" t="str">
        <f>IFERROR(IF(ventas_b_mes11[[#This Row],[CUIT]]="","-",VLOOKUP(ventas_b_mes11[[#This Row],[CUIT]],Lista_CUIT[#All],2,0)),"CUIT NO CARGADO")</f>
        <v>-</v>
      </c>
      <c r="H2262" s="64">
        <f>ventas_b_mes11[[#This Row],[TOTAL]]/1.21</f>
        <v>0</v>
      </c>
      <c r="I2262" s="183">
        <f>ventas_b_mes11[[#This Row],[IMPORTE NETO]]*0.21</f>
        <v>0</v>
      </c>
      <c r="J2262" s="184"/>
      <c r="K2262" s="184"/>
      <c r="L2262" s="184"/>
      <c r="M2262" s="59"/>
    </row>
    <row r="2263" spans="2:13" x14ac:dyDescent="0.3">
      <c r="B2263" s="178"/>
      <c r="C2263" s="179"/>
      <c r="D2263" s="180"/>
      <c r="E2263" s="181"/>
      <c r="F2263" s="182"/>
      <c r="G2263" s="1" t="str">
        <f>IFERROR(IF(ventas_b_mes11[[#This Row],[CUIT]]="","-",VLOOKUP(ventas_b_mes11[[#This Row],[CUIT]],Lista_CUIT[#All],2,0)),"CUIT NO CARGADO")</f>
        <v>-</v>
      </c>
      <c r="H2263" s="64">
        <f>ventas_b_mes11[[#This Row],[TOTAL]]/1.21</f>
        <v>0</v>
      </c>
      <c r="I2263" s="183">
        <f>ventas_b_mes11[[#This Row],[IMPORTE NETO]]*0.21</f>
        <v>0</v>
      </c>
      <c r="J2263" s="184"/>
      <c r="K2263" s="184"/>
      <c r="L2263" s="184"/>
      <c r="M2263" s="59"/>
    </row>
    <row r="2264" spans="2:13" x14ac:dyDescent="0.3">
      <c r="B2264" s="178"/>
      <c r="C2264" s="179"/>
      <c r="D2264" s="180"/>
      <c r="E2264" s="181"/>
      <c r="F2264" s="182"/>
      <c r="G2264" s="1" t="str">
        <f>IFERROR(IF(ventas_b_mes11[[#This Row],[CUIT]]="","-",VLOOKUP(ventas_b_mes11[[#This Row],[CUIT]],Lista_CUIT[#All],2,0)),"CUIT NO CARGADO")</f>
        <v>-</v>
      </c>
      <c r="H2264" s="64">
        <f>ventas_b_mes11[[#This Row],[TOTAL]]/1.21</f>
        <v>0</v>
      </c>
      <c r="I2264" s="183">
        <f>ventas_b_mes11[[#This Row],[IMPORTE NETO]]*0.21</f>
        <v>0</v>
      </c>
      <c r="J2264" s="184"/>
      <c r="K2264" s="184"/>
      <c r="L2264" s="184"/>
      <c r="M2264" s="59"/>
    </row>
    <row r="2265" spans="2:13" x14ac:dyDescent="0.3">
      <c r="B2265" s="178"/>
      <c r="C2265" s="179"/>
      <c r="D2265" s="180"/>
      <c r="E2265" s="181"/>
      <c r="F2265" s="182"/>
      <c r="G2265" s="1" t="str">
        <f>IFERROR(IF(ventas_b_mes11[[#This Row],[CUIT]]="","-",VLOOKUP(ventas_b_mes11[[#This Row],[CUIT]],Lista_CUIT[#All],2,0)),"CUIT NO CARGADO")</f>
        <v>-</v>
      </c>
      <c r="H2265" s="64">
        <f>ventas_b_mes11[[#This Row],[TOTAL]]/1.21</f>
        <v>0</v>
      </c>
      <c r="I2265" s="183">
        <f>ventas_b_mes11[[#This Row],[IMPORTE NETO]]*0.21</f>
        <v>0</v>
      </c>
      <c r="J2265" s="184"/>
      <c r="K2265" s="184"/>
      <c r="L2265" s="184"/>
      <c r="M2265" s="59"/>
    </row>
    <row r="2266" spans="2:13" x14ac:dyDescent="0.3">
      <c r="B2266" s="178"/>
      <c r="C2266" s="179"/>
      <c r="D2266" s="180"/>
      <c r="E2266" s="181"/>
      <c r="F2266" s="182"/>
      <c r="G2266" s="1" t="str">
        <f>IFERROR(IF(ventas_b_mes11[[#This Row],[CUIT]]="","-",VLOOKUP(ventas_b_mes11[[#This Row],[CUIT]],Lista_CUIT[#All],2,0)),"CUIT NO CARGADO")</f>
        <v>-</v>
      </c>
      <c r="H2266" s="64">
        <f>ventas_b_mes11[[#This Row],[TOTAL]]/1.21</f>
        <v>0</v>
      </c>
      <c r="I2266" s="183">
        <f>ventas_b_mes11[[#This Row],[IMPORTE NETO]]*0.21</f>
        <v>0</v>
      </c>
      <c r="J2266" s="184"/>
      <c r="K2266" s="184"/>
      <c r="L2266" s="184"/>
      <c r="M2266" s="59"/>
    </row>
    <row r="2267" spans="2:13" x14ac:dyDescent="0.3">
      <c r="B2267" s="178"/>
      <c r="C2267" s="179"/>
      <c r="D2267" s="180"/>
      <c r="E2267" s="181"/>
      <c r="F2267" s="182"/>
      <c r="G2267" s="1" t="str">
        <f>IFERROR(IF(ventas_b_mes11[[#This Row],[CUIT]]="","-",VLOOKUP(ventas_b_mes11[[#This Row],[CUIT]],Lista_CUIT[#All],2,0)),"CUIT NO CARGADO")</f>
        <v>-</v>
      </c>
      <c r="H2267" s="64">
        <f>ventas_b_mes11[[#This Row],[TOTAL]]/1.21</f>
        <v>0</v>
      </c>
      <c r="I2267" s="183">
        <f>ventas_b_mes11[[#This Row],[IMPORTE NETO]]*0.21</f>
        <v>0</v>
      </c>
      <c r="J2267" s="184"/>
      <c r="K2267" s="184"/>
      <c r="L2267" s="184"/>
      <c r="M2267" s="59"/>
    </row>
    <row r="2268" spans="2:13" x14ac:dyDescent="0.3">
      <c r="B2268" s="178"/>
      <c r="C2268" s="179"/>
      <c r="D2268" s="180"/>
      <c r="E2268" s="181"/>
      <c r="F2268" s="182"/>
      <c r="G2268" s="1" t="str">
        <f>IFERROR(IF(ventas_b_mes11[[#This Row],[CUIT]]="","-",VLOOKUP(ventas_b_mes11[[#This Row],[CUIT]],Lista_CUIT[#All],2,0)),"CUIT NO CARGADO")</f>
        <v>-</v>
      </c>
      <c r="H2268" s="64">
        <f>ventas_b_mes11[[#This Row],[TOTAL]]/1.21</f>
        <v>0</v>
      </c>
      <c r="I2268" s="183">
        <f>ventas_b_mes11[[#This Row],[IMPORTE NETO]]*0.21</f>
        <v>0</v>
      </c>
      <c r="J2268" s="184"/>
      <c r="K2268" s="184"/>
      <c r="L2268" s="184"/>
      <c r="M2268" s="59"/>
    </row>
    <row r="2269" spans="2:13" x14ac:dyDescent="0.3">
      <c r="B2269" s="178"/>
      <c r="C2269" s="179"/>
      <c r="D2269" s="180"/>
      <c r="E2269" s="181"/>
      <c r="F2269" s="182"/>
      <c r="G2269" s="1" t="str">
        <f>IFERROR(IF(ventas_b_mes11[[#This Row],[CUIT]]="","-",VLOOKUP(ventas_b_mes11[[#This Row],[CUIT]],Lista_CUIT[#All],2,0)),"CUIT NO CARGADO")</f>
        <v>-</v>
      </c>
      <c r="H2269" s="64">
        <f>ventas_b_mes11[[#This Row],[TOTAL]]/1.21</f>
        <v>0</v>
      </c>
      <c r="I2269" s="183">
        <f>ventas_b_mes11[[#This Row],[IMPORTE NETO]]*0.21</f>
        <v>0</v>
      </c>
      <c r="J2269" s="184"/>
      <c r="K2269" s="184"/>
      <c r="L2269" s="184"/>
      <c r="M2269" s="59"/>
    </row>
    <row r="2270" spans="2:13" x14ac:dyDescent="0.3">
      <c r="B2270" s="178"/>
      <c r="C2270" s="179"/>
      <c r="D2270" s="180"/>
      <c r="E2270" s="181"/>
      <c r="F2270" s="182"/>
      <c r="G2270" s="1" t="str">
        <f>IFERROR(IF(ventas_b_mes11[[#This Row],[CUIT]]="","-",VLOOKUP(ventas_b_mes11[[#This Row],[CUIT]],Lista_CUIT[#All],2,0)),"CUIT NO CARGADO")</f>
        <v>-</v>
      </c>
      <c r="H2270" s="64">
        <f>ventas_b_mes11[[#This Row],[TOTAL]]/1.21</f>
        <v>0</v>
      </c>
      <c r="I2270" s="183">
        <f>ventas_b_mes11[[#This Row],[IMPORTE NETO]]*0.21</f>
        <v>0</v>
      </c>
      <c r="J2270" s="184"/>
      <c r="K2270" s="184"/>
      <c r="L2270" s="184"/>
      <c r="M2270" s="59"/>
    </row>
    <row r="2271" spans="2:13" x14ac:dyDescent="0.3">
      <c r="B2271" s="178"/>
      <c r="C2271" s="179"/>
      <c r="D2271" s="180"/>
      <c r="E2271" s="181"/>
      <c r="F2271" s="182"/>
      <c r="G2271" s="1" t="str">
        <f>IFERROR(IF(ventas_b_mes11[[#This Row],[CUIT]]="","-",VLOOKUP(ventas_b_mes11[[#This Row],[CUIT]],Lista_CUIT[#All],2,0)),"CUIT NO CARGADO")</f>
        <v>-</v>
      </c>
      <c r="H2271" s="64">
        <f>ventas_b_mes11[[#This Row],[TOTAL]]/1.21</f>
        <v>0</v>
      </c>
      <c r="I2271" s="183">
        <f>ventas_b_mes11[[#This Row],[IMPORTE NETO]]*0.21</f>
        <v>0</v>
      </c>
      <c r="J2271" s="184"/>
      <c r="K2271" s="184"/>
      <c r="L2271" s="184"/>
      <c r="M2271" s="59"/>
    </row>
    <row r="2272" spans="2:13" x14ac:dyDescent="0.3">
      <c r="B2272" s="178"/>
      <c r="C2272" s="179"/>
      <c r="D2272" s="180"/>
      <c r="E2272" s="181"/>
      <c r="F2272" s="182"/>
      <c r="G2272" s="1" t="str">
        <f>IFERROR(IF(ventas_b_mes11[[#This Row],[CUIT]]="","-",VLOOKUP(ventas_b_mes11[[#This Row],[CUIT]],Lista_CUIT[#All],2,0)),"CUIT NO CARGADO")</f>
        <v>-</v>
      </c>
      <c r="H2272" s="64">
        <f>ventas_b_mes11[[#This Row],[TOTAL]]/1.21</f>
        <v>0</v>
      </c>
      <c r="I2272" s="183">
        <f>ventas_b_mes11[[#This Row],[IMPORTE NETO]]*0.21</f>
        <v>0</v>
      </c>
      <c r="J2272" s="184"/>
      <c r="K2272" s="184"/>
      <c r="L2272" s="184"/>
      <c r="M2272" s="59"/>
    </row>
    <row r="2273" spans="2:13" x14ac:dyDescent="0.3">
      <c r="B2273" s="178"/>
      <c r="C2273" s="179"/>
      <c r="D2273" s="180"/>
      <c r="E2273" s="181"/>
      <c r="F2273" s="182"/>
      <c r="G2273" s="1" t="str">
        <f>IFERROR(IF(ventas_b_mes11[[#This Row],[CUIT]]="","-",VLOOKUP(ventas_b_mes11[[#This Row],[CUIT]],Lista_CUIT[#All],2,0)),"CUIT NO CARGADO")</f>
        <v>-</v>
      </c>
      <c r="H2273" s="64">
        <f>ventas_b_mes11[[#This Row],[TOTAL]]/1.21</f>
        <v>0</v>
      </c>
      <c r="I2273" s="183">
        <f>ventas_b_mes11[[#This Row],[IMPORTE NETO]]*0.21</f>
        <v>0</v>
      </c>
      <c r="J2273" s="184"/>
      <c r="K2273" s="184"/>
      <c r="L2273" s="184"/>
      <c r="M2273" s="59"/>
    </row>
    <row r="2274" spans="2:13" x14ac:dyDescent="0.3">
      <c r="B2274" s="178"/>
      <c r="C2274" s="179"/>
      <c r="D2274" s="180"/>
      <c r="E2274" s="181"/>
      <c r="F2274" s="182"/>
      <c r="G2274" s="1" t="str">
        <f>IFERROR(IF(ventas_b_mes11[[#This Row],[CUIT]]="","-",VLOOKUP(ventas_b_mes11[[#This Row],[CUIT]],Lista_CUIT[#All],2,0)),"CUIT NO CARGADO")</f>
        <v>-</v>
      </c>
      <c r="H2274" s="64">
        <f>ventas_b_mes11[[#This Row],[TOTAL]]/1.21</f>
        <v>0</v>
      </c>
      <c r="I2274" s="183">
        <f>ventas_b_mes11[[#This Row],[IMPORTE NETO]]*0.21</f>
        <v>0</v>
      </c>
      <c r="J2274" s="184"/>
      <c r="K2274" s="184"/>
      <c r="L2274" s="184"/>
      <c r="M2274" s="59"/>
    </row>
    <row r="2275" spans="2:13" x14ac:dyDescent="0.3">
      <c r="B2275" s="178"/>
      <c r="C2275" s="179"/>
      <c r="D2275" s="180"/>
      <c r="E2275" s="181"/>
      <c r="F2275" s="182"/>
      <c r="G2275" s="1" t="str">
        <f>IFERROR(IF(ventas_b_mes11[[#This Row],[CUIT]]="","-",VLOOKUP(ventas_b_mes11[[#This Row],[CUIT]],Lista_CUIT[#All],2,0)),"CUIT NO CARGADO")</f>
        <v>-</v>
      </c>
      <c r="H2275" s="64">
        <f>ventas_b_mes11[[#This Row],[TOTAL]]/1.21</f>
        <v>0</v>
      </c>
      <c r="I2275" s="183">
        <f>ventas_b_mes11[[#This Row],[IMPORTE NETO]]*0.21</f>
        <v>0</v>
      </c>
      <c r="J2275" s="184"/>
      <c r="K2275" s="184"/>
      <c r="L2275" s="184"/>
      <c r="M2275" s="59"/>
    </row>
    <row r="2276" spans="2:13" x14ac:dyDescent="0.3">
      <c r="B2276" s="178"/>
      <c r="C2276" s="179"/>
      <c r="D2276" s="180"/>
      <c r="E2276" s="181"/>
      <c r="F2276" s="182"/>
      <c r="G2276" s="1" t="str">
        <f>IFERROR(IF(ventas_b_mes11[[#This Row],[CUIT]]="","-",VLOOKUP(ventas_b_mes11[[#This Row],[CUIT]],Lista_CUIT[#All],2,0)),"CUIT NO CARGADO")</f>
        <v>-</v>
      </c>
      <c r="H2276" s="64">
        <f>ventas_b_mes11[[#This Row],[TOTAL]]/1.21</f>
        <v>0</v>
      </c>
      <c r="I2276" s="183">
        <f>ventas_b_mes11[[#This Row],[IMPORTE NETO]]*0.21</f>
        <v>0</v>
      </c>
      <c r="J2276" s="184"/>
      <c r="K2276" s="184"/>
      <c r="L2276" s="184"/>
      <c r="M2276" s="59"/>
    </row>
    <row r="2277" spans="2:13" x14ac:dyDescent="0.3">
      <c r="B2277" s="178"/>
      <c r="C2277" s="179"/>
      <c r="D2277" s="180"/>
      <c r="E2277" s="181"/>
      <c r="F2277" s="182"/>
      <c r="G2277" s="1" t="str">
        <f>IFERROR(IF(ventas_b_mes11[[#This Row],[CUIT]]="","-",VLOOKUP(ventas_b_mes11[[#This Row],[CUIT]],Lista_CUIT[#All],2,0)),"CUIT NO CARGADO")</f>
        <v>-</v>
      </c>
      <c r="H2277" s="64">
        <f>ventas_b_mes11[[#This Row],[TOTAL]]/1.21</f>
        <v>0</v>
      </c>
      <c r="I2277" s="183">
        <f>ventas_b_mes11[[#This Row],[IMPORTE NETO]]*0.21</f>
        <v>0</v>
      </c>
      <c r="J2277" s="184"/>
      <c r="K2277" s="184"/>
      <c r="L2277" s="184"/>
      <c r="M2277" s="59"/>
    </row>
    <row r="2278" spans="2:13" x14ac:dyDescent="0.3">
      <c r="B2278" s="178"/>
      <c r="C2278" s="179"/>
      <c r="D2278" s="180"/>
      <c r="E2278" s="181"/>
      <c r="F2278" s="182"/>
      <c r="G2278" s="1" t="str">
        <f>IFERROR(IF(ventas_b_mes11[[#This Row],[CUIT]]="","-",VLOOKUP(ventas_b_mes11[[#This Row],[CUIT]],Lista_CUIT[#All],2,0)),"CUIT NO CARGADO")</f>
        <v>-</v>
      </c>
      <c r="H2278" s="64">
        <f>ventas_b_mes11[[#This Row],[TOTAL]]/1.21</f>
        <v>0</v>
      </c>
      <c r="I2278" s="183">
        <f>ventas_b_mes11[[#This Row],[IMPORTE NETO]]*0.21</f>
        <v>0</v>
      </c>
      <c r="J2278" s="184"/>
      <c r="K2278" s="184"/>
      <c r="L2278" s="184"/>
      <c r="M2278" s="59"/>
    </row>
    <row r="2279" spans="2:13" x14ac:dyDescent="0.3">
      <c r="B2279" s="178"/>
      <c r="C2279" s="179"/>
      <c r="D2279" s="180"/>
      <c r="E2279" s="181"/>
      <c r="F2279" s="182"/>
      <c r="G2279" s="1" t="str">
        <f>IFERROR(IF(ventas_b_mes11[[#This Row],[CUIT]]="","-",VLOOKUP(ventas_b_mes11[[#This Row],[CUIT]],Lista_CUIT[#All],2,0)),"CUIT NO CARGADO")</f>
        <v>-</v>
      </c>
      <c r="H2279" s="64">
        <f>ventas_b_mes11[[#This Row],[TOTAL]]/1.21</f>
        <v>0</v>
      </c>
      <c r="I2279" s="183">
        <f>ventas_b_mes11[[#This Row],[IMPORTE NETO]]*0.21</f>
        <v>0</v>
      </c>
      <c r="J2279" s="184"/>
      <c r="K2279" s="184"/>
      <c r="L2279" s="184"/>
      <c r="M2279" s="59"/>
    </row>
    <row r="2280" spans="2:13" x14ac:dyDescent="0.3">
      <c r="B2280" s="178"/>
      <c r="C2280" s="179"/>
      <c r="D2280" s="180"/>
      <c r="E2280" s="181"/>
      <c r="F2280" s="182"/>
      <c r="G2280" s="1" t="str">
        <f>IFERROR(IF(ventas_b_mes11[[#This Row],[CUIT]]="","-",VLOOKUP(ventas_b_mes11[[#This Row],[CUIT]],Lista_CUIT[#All],2,0)),"CUIT NO CARGADO")</f>
        <v>-</v>
      </c>
      <c r="H2280" s="64">
        <f>ventas_b_mes11[[#This Row],[TOTAL]]/1.21</f>
        <v>0</v>
      </c>
      <c r="I2280" s="183">
        <f>ventas_b_mes11[[#This Row],[IMPORTE NETO]]*0.21</f>
        <v>0</v>
      </c>
      <c r="J2280" s="184"/>
      <c r="K2280" s="184"/>
      <c r="L2280" s="184"/>
      <c r="M2280" s="59"/>
    </row>
    <row r="2281" spans="2:13" x14ac:dyDescent="0.3">
      <c r="B2281" s="178"/>
      <c r="C2281" s="179"/>
      <c r="D2281" s="180"/>
      <c r="E2281" s="181"/>
      <c r="F2281" s="182"/>
      <c r="G2281" s="1" t="str">
        <f>IFERROR(IF(ventas_b_mes11[[#This Row],[CUIT]]="","-",VLOOKUP(ventas_b_mes11[[#This Row],[CUIT]],Lista_CUIT[#All],2,0)),"CUIT NO CARGADO")</f>
        <v>-</v>
      </c>
      <c r="H2281" s="64">
        <f>ventas_b_mes11[[#This Row],[TOTAL]]/1.21</f>
        <v>0</v>
      </c>
      <c r="I2281" s="183">
        <f>ventas_b_mes11[[#This Row],[IMPORTE NETO]]*0.21</f>
        <v>0</v>
      </c>
      <c r="J2281" s="184"/>
      <c r="K2281" s="184"/>
      <c r="L2281" s="184"/>
      <c r="M2281" s="59"/>
    </row>
    <row r="2282" spans="2:13" x14ac:dyDescent="0.3">
      <c r="B2282" s="178"/>
      <c r="C2282" s="179"/>
      <c r="D2282" s="180"/>
      <c r="E2282" s="181"/>
      <c r="F2282" s="182"/>
      <c r="G2282" s="1" t="str">
        <f>IFERROR(IF(ventas_b_mes11[[#This Row],[CUIT]]="","-",VLOOKUP(ventas_b_mes11[[#This Row],[CUIT]],Lista_CUIT[#All],2,0)),"CUIT NO CARGADO")</f>
        <v>-</v>
      </c>
      <c r="H2282" s="64">
        <f>ventas_b_mes11[[#This Row],[TOTAL]]/1.21</f>
        <v>0</v>
      </c>
      <c r="I2282" s="183">
        <f>ventas_b_mes11[[#This Row],[IMPORTE NETO]]*0.21</f>
        <v>0</v>
      </c>
      <c r="J2282" s="184"/>
      <c r="K2282" s="184"/>
      <c r="L2282" s="184"/>
      <c r="M2282" s="59"/>
    </row>
    <row r="2283" spans="2:13" x14ac:dyDescent="0.3">
      <c r="B2283" s="178"/>
      <c r="C2283" s="179"/>
      <c r="D2283" s="180"/>
      <c r="E2283" s="181"/>
      <c r="F2283" s="182"/>
      <c r="G2283" s="1" t="str">
        <f>IFERROR(IF(ventas_b_mes11[[#This Row],[CUIT]]="","-",VLOOKUP(ventas_b_mes11[[#This Row],[CUIT]],Lista_CUIT[#All],2,0)),"CUIT NO CARGADO")</f>
        <v>-</v>
      </c>
      <c r="H2283" s="64">
        <f>ventas_b_mes11[[#This Row],[TOTAL]]/1.21</f>
        <v>0</v>
      </c>
      <c r="I2283" s="183">
        <f>ventas_b_mes11[[#This Row],[IMPORTE NETO]]*0.21</f>
        <v>0</v>
      </c>
      <c r="J2283" s="184"/>
      <c r="K2283" s="184"/>
      <c r="L2283" s="184"/>
      <c r="M2283" s="59"/>
    </row>
    <row r="2284" spans="2:13" x14ac:dyDescent="0.3">
      <c r="B2284" s="178"/>
      <c r="C2284" s="179"/>
      <c r="D2284" s="180"/>
      <c r="E2284" s="181"/>
      <c r="F2284" s="182"/>
      <c r="G2284" s="1" t="str">
        <f>IFERROR(IF(ventas_b_mes11[[#This Row],[CUIT]]="","-",VLOOKUP(ventas_b_mes11[[#This Row],[CUIT]],Lista_CUIT[#All],2,0)),"CUIT NO CARGADO")</f>
        <v>-</v>
      </c>
      <c r="H2284" s="64">
        <f>ventas_b_mes11[[#This Row],[TOTAL]]/1.21</f>
        <v>0</v>
      </c>
      <c r="I2284" s="183">
        <f>ventas_b_mes11[[#This Row],[IMPORTE NETO]]*0.21</f>
        <v>0</v>
      </c>
      <c r="J2284" s="184"/>
      <c r="K2284" s="184"/>
      <c r="L2284" s="184"/>
      <c r="M2284" s="59"/>
    </row>
    <row r="2285" spans="2:13" x14ac:dyDescent="0.3">
      <c r="B2285" s="178"/>
      <c r="C2285" s="179"/>
      <c r="D2285" s="180"/>
      <c r="E2285" s="181"/>
      <c r="F2285" s="182"/>
      <c r="G2285" s="1" t="str">
        <f>IFERROR(IF(ventas_b_mes11[[#This Row],[CUIT]]="","-",VLOOKUP(ventas_b_mes11[[#This Row],[CUIT]],Lista_CUIT[#All],2,0)),"CUIT NO CARGADO")</f>
        <v>-</v>
      </c>
      <c r="H2285" s="64">
        <f>ventas_b_mes11[[#This Row],[TOTAL]]/1.21</f>
        <v>0</v>
      </c>
      <c r="I2285" s="183">
        <f>ventas_b_mes11[[#This Row],[IMPORTE NETO]]*0.21</f>
        <v>0</v>
      </c>
      <c r="J2285" s="184"/>
      <c r="K2285" s="184"/>
      <c r="L2285" s="184"/>
      <c r="M2285" s="59"/>
    </row>
    <row r="2286" spans="2:13" x14ac:dyDescent="0.3">
      <c r="B2286" s="178"/>
      <c r="C2286" s="179"/>
      <c r="D2286" s="180"/>
      <c r="E2286" s="181"/>
      <c r="F2286" s="182"/>
      <c r="G2286" s="1" t="str">
        <f>IFERROR(IF(ventas_b_mes11[[#This Row],[CUIT]]="","-",VLOOKUP(ventas_b_mes11[[#This Row],[CUIT]],Lista_CUIT[#All],2,0)),"CUIT NO CARGADO")</f>
        <v>-</v>
      </c>
      <c r="H2286" s="64">
        <f>ventas_b_mes11[[#This Row],[TOTAL]]/1.21</f>
        <v>0</v>
      </c>
      <c r="I2286" s="183">
        <f>ventas_b_mes11[[#This Row],[IMPORTE NETO]]*0.21</f>
        <v>0</v>
      </c>
      <c r="J2286" s="184"/>
      <c r="K2286" s="184"/>
      <c r="L2286" s="184"/>
      <c r="M2286" s="59"/>
    </row>
    <row r="2287" spans="2:13" x14ac:dyDescent="0.3">
      <c r="B2287" s="178"/>
      <c r="C2287" s="179"/>
      <c r="D2287" s="180"/>
      <c r="E2287" s="181"/>
      <c r="F2287" s="182"/>
      <c r="G2287" s="1" t="str">
        <f>IFERROR(IF(ventas_b_mes11[[#This Row],[CUIT]]="","-",VLOOKUP(ventas_b_mes11[[#This Row],[CUIT]],Lista_CUIT[#All],2,0)),"CUIT NO CARGADO")</f>
        <v>-</v>
      </c>
      <c r="H2287" s="64">
        <f>ventas_b_mes11[[#This Row],[TOTAL]]/1.21</f>
        <v>0</v>
      </c>
      <c r="I2287" s="183">
        <f>ventas_b_mes11[[#This Row],[IMPORTE NETO]]*0.21</f>
        <v>0</v>
      </c>
      <c r="J2287" s="184"/>
      <c r="K2287" s="184"/>
      <c r="L2287" s="184"/>
      <c r="M2287" s="59"/>
    </row>
    <row r="2288" spans="2:13" x14ac:dyDescent="0.3">
      <c r="B2288" s="178"/>
      <c r="C2288" s="179"/>
      <c r="D2288" s="180"/>
      <c r="E2288" s="181"/>
      <c r="F2288" s="182"/>
      <c r="G2288" s="1" t="str">
        <f>IFERROR(IF(ventas_b_mes11[[#This Row],[CUIT]]="","-",VLOOKUP(ventas_b_mes11[[#This Row],[CUIT]],Lista_CUIT[#All],2,0)),"CUIT NO CARGADO")</f>
        <v>-</v>
      </c>
      <c r="H2288" s="64">
        <f>ventas_b_mes11[[#This Row],[TOTAL]]/1.21</f>
        <v>0</v>
      </c>
      <c r="I2288" s="183">
        <f>ventas_b_mes11[[#This Row],[IMPORTE NETO]]*0.21</f>
        <v>0</v>
      </c>
      <c r="J2288" s="184"/>
      <c r="K2288" s="184"/>
      <c r="L2288" s="184"/>
      <c r="M2288" s="59"/>
    </row>
    <row r="2289" spans="2:13" x14ac:dyDescent="0.3">
      <c r="B2289" s="178"/>
      <c r="C2289" s="179"/>
      <c r="D2289" s="180"/>
      <c r="E2289" s="181"/>
      <c r="F2289" s="182"/>
      <c r="G2289" s="1" t="str">
        <f>IFERROR(IF(ventas_b_mes11[[#This Row],[CUIT]]="","-",VLOOKUP(ventas_b_mes11[[#This Row],[CUIT]],Lista_CUIT[#All],2,0)),"CUIT NO CARGADO")</f>
        <v>-</v>
      </c>
      <c r="H2289" s="64">
        <f>ventas_b_mes11[[#This Row],[TOTAL]]/1.21</f>
        <v>0</v>
      </c>
      <c r="I2289" s="183">
        <f>ventas_b_mes11[[#This Row],[IMPORTE NETO]]*0.21</f>
        <v>0</v>
      </c>
      <c r="J2289" s="184"/>
      <c r="K2289" s="184"/>
      <c r="L2289" s="184"/>
      <c r="M2289" s="59"/>
    </row>
    <row r="2290" spans="2:13" x14ac:dyDescent="0.3">
      <c r="B2290" s="178"/>
      <c r="C2290" s="179"/>
      <c r="D2290" s="180"/>
      <c r="E2290" s="181"/>
      <c r="F2290" s="182"/>
      <c r="G2290" s="1" t="str">
        <f>IFERROR(IF(ventas_b_mes11[[#This Row],[CUIT]]="","-",VLOOKUP(ventas_b_mes11[[#This Row],[CUIT]],Lista_CUIT[#All],2,0)),"CUIT NO CARGADO")</f>
        <v>-</v>
      </c>
      <c r="H2290" s="64">
        <f>ventas_b_mes11[[#This Row],[TOTAL]]/1.21</f>
        <v>0</v>
      </c>
      <c r="I2290" s="183">
        <f>ventas_b_mes11[[#This Row],[IMPORTE NETO]]*0.21</f>
        <v>0</v>
      </c>
      <c r="J2290" s="184"/>
      <c r="K2290" s="184"/>
      <c r="L2290" s="184"/>
      <c r="M2290" s="59"/>
    </row>
    <row r="2291" spans="2:13" x14ac:dyDescent="0.3">
      <c r="B2291" s="178"/>
      <c r="C2291" s="179"/>
      <c r="D2291" s="180"/>
      <c r="E2291" s="181"/>
      <c r="F2291" s="182"/>
      <c r="G2291" s="1" t="str">
        <f>IFERROR(IF(ventas_b_mes11[[#This Row],[CUIT]]="","-",VLOOKUP(ventas_b_mes11[[#This Row],[CUIT]],Lista_CUIT[#All],2,0)),"CUIT NO CARGADO")</f>
        <v>-</v>
      </c>
      <c r="H2291" s="64">
        <f>ventas_b_mes11[[#This Row],[TOTAL]]/1.21</f>
        <v>0</v>
      </c>
      <c r="I2291" s="183">
        <f>ventas_b_mes11[[#This Row],[IMPORTE NETO]]*0.21</f>
        <v>0</v>
      </c>
      <c r="J2291" s="184"/>
      <c r="K2291" s="184"/>
      <c r="L2291" s="184"/>
      <c r="M2291" s="59"/>
    </row>
    <row r="2292" spans="2:13" x14ac:dyDescent="0.3">
      <c r="B2292" s="178"/>
      <c r="C2292" s="179"/>
      <c r="D2292" s="180"/>
      <c r="E2292" s="181"/>
      <c r="F2292" s="182"/>
      <c r="G2292" s="1" t="str">
        <f>IFERROR(IF(ventas_b_mes11[[#This Row],[CUIT]]="","-",VLOOKUP(ventas_b_mes11[[#This Row],[CUIT]],Lista_CUIT[#All],2,0)),"CUIT NO CARGADO")</f>
        <v>-</v>
      </c>
      <c r="H2292" s="64">
        <f>ventas_b_mes11[[#This Row],[TOTAL]]/1.21</f>
        <v>0</v>
      </c>
      <c r="I2292" s="183">
        <f>ventas_b_mes11[[#This Row],[IMPORTE NETO]]*0.21</f>
        <v>0</v>
      </c>
      <c r="J2292" s="184"/>
      <c r="K2292" s="184"/>
      <c r="L2292" s="184"/>
      <c r="M2292" s="59"/>
    </row>
    <row r="2293" spans="2:13" x14ac:dyDescent="0.3">
      <c r="B2293" s="178"/>
      <c r="C2293" s="179"/>
      <c r="D2293" s="180"/>
      <c r="E2293" s="181"/>
      <c r="F2293" s="182"/>
      <c r="G2293" s="1" t="str">
        <f>IFERROR(IF(ventas_b_mes11[[#This Row],[CUIT]]="","-",VLOOKUP(ventas_b_mes11[[#This Row],[CUIT]],Lista_CUIT[#All],2,0)),"CUIT NO CARGADO")</f>
        <v>-</v>
      </c>
      <c r="H2293" s="64">
        <f>ventas_b_mes11[[#This Row],[TOTAL]]/1.21</f>
        <v>0</v>
      </c>
      <c r="I2293" s="183">
        <f>ventas_b_mes11[[#This Row],[IMPORTE NETO]]*0.21</f>
        <v>0</v>
      </c>
      <c r="J2293" s="184"/>
      <c r="K2293" s="184"/>
      <c r="L2293" s="184"/>
      <c r="M2293" s="59"/>
    </row>
    <row r="2294" spans="2:13" x14ac:dyDescent="0.3">
      <c r="B2294" s="178"/>
      <c r="C2294" s="179"/>
      <c r="D2294" s="180"/>
      <c r="E2294" s="181"/>
      <c r="F2294" s="182"/>
      <c r="G2294" s="1" t="str">
        <f>IFERROR(IF(ventas_b_mes11[[#This Row],[CUIT]]="","-",VLOOKUP(ventas_b_mes11[[#This Row],[CUIT]],Lista_CUIT[#All],2,0)),"CUIT NO CARGADO")</f>
        <v>-</v>
      </c>
      <c r="H2294" s="64">
        <f>ventas_b_mes11[[#This Row],[TOTAL]]/1.21</f>
        <v>0</v>
      </c>
      <c r="I2294" s="183">
        <f>ventas_b_mes11[[#This Row],[IMPORTE NETO]]*0.21</f>
        <v>0</v>
      </c>
      <c r="J2294" s="184"/>
      <c r="K2294" s="184"/>
      <c r="L2294" s="184"/>
      <c r="M2294" s="59"/>
    </row>
    <row r="2295" spans="2:13" x14ac:dyDescent="0.3">
      <c r="B2295" s="178"/>
      <c r="C2295" s="179"/>
      <c r="D2295" s="180"/>
      <c r="E2295" s="181"/>
      <c r="F2295" s="182"/>
      <c r="G2295" s="1" t="str">
        <f>IFERROR(IF(ventas_b_mes11[[#This Row],[CUIT]]="","-",VLOOKUP(ventas_b_mes11[[#This Row],[CUIT]],Lista_CUIT[#All],2,0)),"CUIT NO CARGADO")</f>
        <v>-</v>
      </c>
      <c r="H2295" s="64">
        <f>ventas_b_mes11[[#This Row],[TOTAL]]/1.21</f>
        <v>0</v>
      </c>
      <c r="I2295" s="183">
        <f>ventas_b_mes11[[#This Row],[IMPORTE NETO]]*0.21</f>
        <v>0</v>
      </c>
      <c r="J2295" s="184"/>
      <c r="K2295" s="184"/>
      <c r="L2295" s="184"/>
      <c r="M2295" s="59"/>
    </row>
    <row r="2296" spans="2:13" x14ac:dyDescent="0.3">
      <c r="B2296" s="178"/>
      <c r="C2296" s="179"/>
      <c r="D2296" s="180"/>
      <c r="E2296" s="181"/>
      <c r="F2296" s="182"/>
      <c r="G2296" s="1" t="str">
        <f>IFERROR(IF(ventas_b_mes11[[#This Row],[CUIT]]="","-",VLOOKUP(ventas_b_mes11[[#This Row],[CUIT]],Lista_CUIT[#All],2,0)),"CUIT NO CARGADO")</f>
        <v>-</v>
      </c>
      <c r="H2296" s="64">
        <f>ventas_b_mes11[[#This Row],[TOTAL]]/1.21</f>
        <v>0</v>
      </c>
      <c r="I2296" s="183">
        <f>ventas_b_mes11[[#This Row],[IMPORTE NETO]]*0.21</f>
        <v>0</v>
      </c>
      <c r="J2296" s="184"/>
      <c r="K2296" s="184"/>
      <c r="L2296" s="184"/>
      <c r="M2296" s="59"/>
    </row>
    <row r="2297" spans="2:13" x14ac:dyDescent="0.3">
      <c r="B2297" s="178"/>
      <c r="C2297" s="179"/>
      <c r="D2297" s="180"/>
      <c r="E2297" s="181"/>
      <c r="F2297" s="182"/>
      <c r="G2297" s="1" t="str">
        <f>IFERROR(IF(ventas_b_mes11[[#This Row],[CUIT]]="","-",VLOOKUP(ventas_b_mes11[[#This Row],[CUIT]],Lista_CUIT[#All],2,0)),"CUIT NO CARGADO")</f>
        <v>-</v>
      </c>
      <c r="H2297" s="64">
        <f>ventas_b_mes11[[#This Row],[TOTAL]]/1.21</f>
        <v>0</v>
      </c>
      <c r="I2297" s="183">
        <f>ventas_b_mes11[[#This Row],[IMPORTE NETO]]*0.21</f>
        <v>0</v>
      </c>
      <c r="J2297" s="184"/>
      <c r="K2297" s="184"/>
      <c r="L2297" s="184"/>
      <c r="M2297" s="59"/>
    </row>
    <row r="2298" spans="2:13" x14ac:dyDescent="0.3">
      <c r="B2298" s="178"/>
      <c r="C2298" s="179"/>
      <c r="D2298" s="180"/>
      <c r="E2298" s="181"/>
      <c r="F2298" s="182"/>
      <c r="G2298" s="1" t="str">
        <f>IFERROR(IF(ventas_b_mes11[[#This Row],[CUIT]]="","-",VLOOKUP(ventas_b_mes11[[#This Row],[CUIT]],Lista_CUIT[#All],2,0)),"CUIT NO CARGADO")</f>
        <v>-</v>
      </c>
      <c r="H2298" s="64">
        <f>ventas_b_mes11[[#This Row],[TOTAL]]/1.21</f>
        <v>0</v>
      </c>
      <c r="I2298" s="183">
        <f>ventas_b_mes11[[#This Row],[IMPORTE NETO]]*0.21</f>
        <v>0</v>
      </c>
      <c r="J2298" s="184"/>
      <c r="K2298" s="184"/>
      <c r="L2298" s="184"/>
      <c r="M2298" s="59"/>
    </row>
    <row r="2299" spans="2:13" x14ac:dyDescent="0.3">
      <c r="B2299" s="178"/>
      <c r="C2299" s="179"/>
      <c r="D2299" s="180"/>
      <c r="E2299" s="181"/>
      <c r="F2299" s="182"/>
      <c r="G2299" s="1" t="str">
        <f>IFERROR(IF(ventas_b_mes11[[#This Row],[CUIT]]="","-",VLOOKUP(ventas_b_mes11[[#This Row],[CUIT]],Lista_CUIT[#All],2,0)),"CUIT NO CARGADO")</f>
        <v>-</v>
      </c>
      <c r="H2299" s="64">
        <f>ventas_b_mes11[[#This Row],[TOTAL]]/1.21</f>
        <v>0</v>
      </c>
      <c r="I2299" s="183">
        <f>ventas_b_mes11[[#This Row],[IMPORTE NETO]]*0.21</f>
        <v>0</v>
      </c>
      <c r="J2299" s="184"/>
      <c r="K2299" s="184"/>
      <c r="L2299" s="184"/>
      <c r="M2299" s="59"/>
    </row>
    <row r="2300" spans="2:13" x14ac:dyDescent="0.3">
      <c r="B2300" s="178"/>
      <c r="C2300" s="179"/>
      <c r="D2300" s="180"/>
      <c r="E2300" s="181"/>
      <c r="F2300" s="182"/>
      <c r="G2300" s="1" t="str">
        <f>IFERROR(IF(ventas_b_mes11[[#This Row],[CUIT]]="","-",VLOOKUP(ventas_b_mes11[[#This Row],[CUIT]],Lista_CUIT[#All],2,0)),"CUIT NO CARGADO")</f>
        <v>-</v>
      </c>
      <c r="H2300" s="64">
        <f>ventas_b_mes11[[#This Row],[TOTAL]]/1.21</f>
        <v>0</v>
      </c>
      <c r="I2300" s="183">
        <f>ventas_b_mes11[[#This Row],[IMPORTE NETO]]*0.21</f>
        <v>0</v>
      </c>
      <c r="J2300" s="184"/>
      <c r="K2300" s="184"/>
      <c r="L2300" s="184"/>
      <c r="M2300" s="59"/>
    </row>
    <row r="2301" spans="2:13" x14ac:dyDescent="0.3">
      <c r="B2301" s="178"/>
      <c r="C2301" s="179"/>
      <c r="D2301" s="180"/>
      <c r="E2301" s="181"/>
      <c r="F2301" s="182"/>
      <c r="G2301" s="1" t="str">
        <f>IFERROR(IF(ventas_b_mes11[[#This Row],[CUIT]]="","-",VLOOKUP(ventas_b_mes11[[#This Row],[CUIT]],Lista_CUIT[#All],2,0)),"CUIT NO CARGADO")</f>
        <v>-</v>
      </c>
      <c r="H2301" s="64">
        <f>ventas_b_mes11[[#This Row],[TOTAL]]/1.21</f>
        <v>0</v>
      </c>
      <c r="I2301" s="183">
        <f>ventas_b_mes11[[#This Row],[IMPORTE NETO]]*0.21</f>
        <v>0</v>
      </c>
      <c r="J2301" s="184"/>
      <c r="K2301" s="184"/>
      <c r="L2301" s="184"/>
      <c r="M2301" s="59"/>
    </row>
    <row r="2302" spans="2:13" x14ac:dyDescent="0.3">
      <c r="B2302" s="178"/>
      <c r="C2302" s="179"/>
      <c r="D2302" s="180"/>
      <c r="E2302" s="181"/>
      <c r="F2302" s="182"/>
      <c r="G2302" s="1" t="str">
        <f>IFERROR(IF(ventas_b_mes11[[#This Row],[CUIT]]="","-",VLOOKUP(ventas_b_mes11[[#This Row],[CUIT]],Lista_CUIT[#All],2,0)),"CUIT NO CARGADO")</f>
        <v>-</v>
      </c>
      <c r="H2302" s="64">
        <f>ventas_b_mes11[[#This Row],[TOTAL]]/1.21</f>
        <v>0</v>
      </c>
      <c r="I2302" s="183">
        <f>ventas_b_mes11[[#This Row],[IMPORTE NETO]]*0.21</f>
        <v>0</v>
      </c>
      <c r="J2302" s="184"/>
      <c r="K2302" s="184"/>
      <c r="L2302" s="184"/>
      <c r="M2302" s="59"/>
    </row>
    <row r="2303" spans="2:13" x14ac:dyDescent="0.3">
      <c r="B2303" s="178"/>
      <c r="C2303" s="179"/>
      <c r="D2303" s="180"/>
      <c r="E2303" s="181"/>
      <c r="F2303" s="182"/>
      <c r="G2303" s="1" t="str">
        <f>IFERROR(IF(ventas_b_mes11[[#This Row],[CUIT]]="","-",VLOOKUP(ventas_b_mes11[[#This Row],[CUIT]],Lista_CUIT[#All],2,0)),"CUIT NO CARGADO")</f>
        <v>-</v>
      </c>
      <c r="H2303" s="64">
        <f>ventas_b_mes11[[#This Row],[TOTAL]]/1.21</f>
        <v>0</v>
      </c>
      <c r="I2303" s="183">
        <f>ventas_b_mes11[[#This Row],[IMPORTE NETO]]*0.21</f>
        <v>0</v>
      </c>
      <c r="J2303" s="184"/>
      <c r="K2303" s="184"/>
      <c r="L2303" s="184"/>
      <c r="M2303" s="59"/>
    </row>
    <row r="2304" spans="2:13" x14ac:dyDescent="0.3">
      <c r="B2304" s="178"/>
      <c r="C2304" s="179"/>
      <c r="D2304" s="180"/>
      <c r="E2304" s="181"/>
      <c r="F2304" s="182"/>
      <c r="G2304" s="1" t="str">
        <f>IFERROR(IF(ventas_b_mes11[[#This Row],[CUIT]]="","-",VLOOKUP(ventas_b_mes11[[#This Row],[CUIT]],Lista_CUIT[#All],2,0)),"CUIT NO CARGADO")</f>
        <v>-</v>
      </c>
      <c r="H2304" s="64">
        <f>ventas_b_mes11[[#This Row],[TOTAL]]/1.21</f>
        <v>0</v>
      </c>
      <c r="I2304" s="183">
        <f>ventas_b_mes11[[#This Row],[IMPORTE NETO]]*0.21</f>
        <v>0</v>
      </c>
      <c r="J2304" s="184"/>
      <c r="K2304" s="184"/>
      <c r="L2304" s="184"/>
      <c r="M2304" s="59"/>
    </row>
    <row r="2305" spans="2:13" x14ac:dyDescent="0.3">
      <c r="B2305" s="178"/>
      <c r="C2305" s="179"/>
      <c r="D2305" s="180"/>
      <c r="E2305" s="181"/>
      <c r="F2305" s="182"/>
      <c r="G2305" s="1" t="str">
        <f>IFERROR(IF(ventas_b_mes11[[#This Row],[CUIT]]="","-",VLOOKUP(ventas_b_mes11[[#This Row],[CUIT]],Lista_CUIT[#All],2,0)),"CUIT NO CARGADO")</f>
        <v>-</v>
      </c>
      <c r="H2305" s="64">
        <f>ventas_b_mes11[[#This Row],[TOTAL]]/1.21</f>
        <v>0</v>
      </c>
      <c r="I2305" s="183">
        <f>ventas_b_mes11[[#This Row],[IMPORTE NETO]]*0.21</f>
        <v>0</v>
      </c>
      <c r="J2305" s="184"/>
      <c r="K2305" s="184"/>
      <c r="L2305" s="184"/>
      <c r="M2305" s="59"/>
    </row>
    <row r="2306" spans="2:13" x14ac:dyDescent="0.3">
      <c r="B2306" s="178"/>
      <c r="C2306" s="179"/>
      <c r="D2306" s="180"/>
      <c r="E2306" s="181"/>
      <c r="F2306" s="182"/>
      <c r="G2306" s="1" t="str">
        <f>IFERROR(IF(ventas_b_mes11[[#This Row],[CUIT]]="","-",VLOOKUP(ventas_b_mes11[[#This Row],[CUIT]],Lista_CUIT[#All],2,0)),"CUIT NO CARGADO")</f>
        <v>-</v>
      </c>
      <c r="H2306" s="64">
        <f>ventas_b_mes11[[#This Row],[TOTAL]]/1.21</f>
        <v>0</v>
      </c>
      <c r="I2306" s="183">
        <f>ventas_b_mes11[[#This Row],[IMPORTE NETO]]*0.21</f>
        <v>0</v>
      </c>
      <c r="J2306" s="184"/>
      <c r="K2306" s="184"/>
      <c r="L2306" s="184"/>
      <c r="M2306" s="59"/>
    </row>
    <row r="2307" spans="2:13" x14ac:dyDescent="0.3">
      <c r="B2307" s="178"/>
      <c r="C2307" s="179"/>
      <c r="D2307" s="180"/>
      <c r="E2307" s="181"/>
      <c r="F2307" s="182"/>
      <c r="G2307" s="1" t="str">
        <f>IFERROR(IF(ventas_b_mes11[[#This Row],[CUIT]]="","-",VLOOKUP(ventas_b_mes11[[#This Row],[CUIT]],Lista_CUIT[#All],2,0)),"CUIT NO CARGADO")</f>
        <v>-</v>
      </c>
      <c r="H2307" s="64">
        <f>ventas_b_mes11[[#This Row],[TOTAL]]/1.21</f>
        <v>0</v>
      </c>
      <c r="I2307" s="183">
        <f>ventas_b_mes11[[#This Row],[IMPORTE NETO]]*0.21</f>
        <v>0</v>
      </c>
      <c r="J2307" s="184"/>
      <c r="K2307" s="184"/>
      <c r="L2307" s="184"/>
      <c r="M2307" s="59"/>
    </row>
    <row r="2308" spans="2:13" x14ac:dyDescent="0.3">
      <c r="B2308" s="178"/>
      <c r="C2308" s="179"/>
      <c r="D2308" s="180"/>
      <c r="E2308" s="181"/>
      <c r="F2308" s="182"/>
      <c r="G2308" s="1" t="str">
        <f>IFERROR(IF(ventas_b_mes11[[#This Row],[CUIT]]="","-",VLOOKUP(ventas_b_mes11[[#This Row],[CUIT]],Lista_CUIT[#All],2,0)),"CUIT NO CARGADO")</f>
        <v>-</v>
      </c>
      <c r="H2308" s="64">
        <f>ventas_b_mes11[[#This Row],[TOTAL]]/1.21</f>
        <v>0</v>
      </c>
      <c r="I2308" s="183">
        <f>ventas_b_mes11[[#This Row],[IMPORTE NETO]]*0.21</f>
        <v>0</v>
      </c>
      <c r="J2308" s="184"/>
      <c r="K2308" s="184"/>
      <c r="L2308" s="184"/>
      <c r="M2308" s="59"/>
    </row>
    <row r="2309" spans="2:13" x14ac:dyDescent="0.3">
      <c r="B2309" s="178"/>
      <c r="C2309" s="179"/>
      <c r="D2309" s="180"/>
      <c r="E2309" s="181"/>
      <c r="F2309" s="182"/>
      <c r="G2309" s="1" t="str">
        <f>IFERROR(IF(ventas_b_mes11[[#This Row],[CUIT]]="","-",VLOOKUP(ventas_b_mes11[[#This Row],[CUIT]],Lista_CUIT[#All],2,0)),"CUIT NO CARGADO")</f>
        <v>-</v>
      </c>
      <c r="H2309" s="64">
        <f>ventas_b_mes11[[#This Row],[TOTAL]]/1.21</f>
        <v>0</v>
      </c>
      <c r="I2309" s="183">
        <f>ventas_b_mes11[[#This Row],[IMPORTE NETO]]*0.21</f>
        <v>0</v>
      </c>
      <c r="J2309" s="184"/>
      <c r="K2309" s="184"/>
      <c r="L2309" s="184"/>
      <c r="M2309" s="59"/>
    </row>
    <row r="2310" spans="2:13" x14ac:dyDescent="0.3">
      <c r="B2310" s="178"/>
      <c r="C2310" s="179"/>
      <c r="D2310" s="180"/>
      <c r="E2310" s="181"/>
      <c r="F2310" s="182"/>
      <c r="G2310" s="1" t="str">
        <f>IFERROR(IF(ventas_b_mes11[[#This Row],[CUIT]]="","-",VLOOKUP(ventas_b_mes11[[#This Row],[CUIT]],Lista_CUIT[#All],2,0)),"CUIT NO CARGADO")</f>
        <v>-</v>
      </c>
      <c r="H2310" s="64">
        <f>ventas_b_mes11[[#This Row],[TOTAL]]/1.21</f>
        <v>0</v>
      </c>
      <c r="I2310" s="183">
        <f>ventas_b_mes11[[#This Row],[IMPORTE NETO]]*0.21</f>
        <v>0</v>
      </c>
      <c r="J2310" s="184"/>
      <c r="K2310" s="184"/>
      <c r="L2310" s="184"/>
      <c r="M2310" s="59"/>
    </row>
    <row r="2311" spans="2:13" x14ac:dyDescent="0.3">
      <c r="B2311" s="178"/>
      <c r="C2311" s="179"/>
      <c r="D2311" s="180"/>
      <c r="E2311" s="181"/>
      <c r="F2311" s="182"/>
      <c r="G2311" s="1" t="str">
        <f>IFERROR(IF(ventas_b_mes11[[#This Row],[CUIT]]="","-",VLOOKUP(ventas_b_mes11[[#This Row],[CUIT]],Lista_CUIT[#All],2,0)),"CUIT NO CARGADO")</f>
        <v>-</v>
      </c>
      <c r="H2311" s="64">
        <f>ventas_b_mes11[[#This Row],[TOTAL]]/1.21</f>
        <v>0</v>
      </c>
      <c r="I2311" s="183">
        <f>ventas_b_mes11[[#This Row],[IMPORTE NETO]]*0.21</f>
        <v>0</v>
      </c>
      <c r="J2311" s="184"/>
      <c r="K2311" s="184"/>
      <c r="L2311" s="184"/>
      <c r="M2311" s="59"/>
    </row>
    <row r="2312" spans="2:13" x14ac:dyDescent="0.3">
      <c r="B2312" s="178"/>
      <c r="C2312" s="179"/>
      <c r="D2312" s="180"/>
      <c r="E2312" s="181"/>
      <c r="F2312" s="182"/>
      <c r="G2312" s="1" t="str">
        <f>IFERROR(IF(ventas_b_mes11[[#This Row],[CUIT]]="","-",VLOOKUP(ventas_b_mes11[[#This Row],[CUIT]],Lista_CUIT[#All],2,0)),"CUIT NO CARGADO")</f>
        <v>-</v>
      </c>
      <c r="H2312" s="64">
        <f>ventas_b_mes11[[#This Row],[TOTAL]]/1.21</f>
        <v>0</v>
      </c>
      <c r="I2312" s="183">
        <f>ventas_b_mes11[[#This Row],[IMPORTE NETO]]*0.21</f>
        <v>0</v>
      </c>
      <c r="J2312" s="184"/>
      <c r="K2312" s="184"/>
      <c r="L2312" s="184"/>
      <c r="M2312" s="59"/>
    </row>
    <row r="2313" spans="2:13" x14ac:dyDescent="0.3">
      <c r="B2313" s="178"/>
      <c r="C2313" s="179"/>
      <c r="D2313" s="180"/>
      <c r="E2313" s="181"/>
      <c r="F2313" s="182"/>
      <c r="G2313" s="1" t="str">
        <f>IFERROR(IF(ventas_b_mes11[[#This Row],[CUIT]]="","-",VLOOKUP(ventas_b_mes11[[#This Row],[CUIT]],Lista_CUIT[#All],2,0)),"CUIT NO CARGADO")</f>
        <v>-</v>
      </c>
      <c r="H2313" s="64">
        <f>ventas_b_mes11[[#This Row],[TOTAL]]/1.21</f>
        <v>0</v>
      </c>
      <c r="I2313" s="183">
        <f>ventas_b_mes11[[#This Row],[IMPORTE NETO]]*0.21</f>
        <v>0</v>
      </c>
      <c r="J2313" s="184"/>
      <c r="K2313" s="184"/>
      <c r="L2313" s="184"/>
      <c r="M2313" s="59"/>
    </row>
    <row r="2314" spans="2:13" x14ac:dyDescent="0.3">
      <c r="B2314" s="178"/>
      <c r="C2314" s="179"/>
      <c r="D2314" s="180"/>
      <c r="E2314" s="181"/>
      <c r="F2314" s="182"/>
      <c r="G2314" s="1" t="str">
        <f>IFERROR(IF(ventas_b_mes11[[#This Row],[CUIT]]="","-",VLOOKUP(ventas_b_mes11[[#This Row],[CUIT]],Lista_CUIT[#All],2,0)),"CUIT NO CARGADO")</f>
        <v>-</v>
      </c>
      <c r="H2314" s="64">
        <f>ventas_b_mes11[[#This Row],[TOTAL]]/1.21</f>
        <v>0</v>
      </c>
      <c r="I2314" s="183">
        <f>ventas_b_mes11[[#This Row],[IMPORTE NETO]]*0.21</f>
        <v>0</v>
      </c>
      <c r="J2314" s="184"/>
      <c r="K2314" s="184"/>
      <c r="L2314" s="184"/>
      <c r="M2314" s="59"/>
    </row>
    <row r="2315" spans="2:13" x14ac:dyDescent="0.3">
      <c r="B2315" s="178"/>
      <c r="C2315" s="179"/>
      <c r="D2315" s="180"/>
      <c r="E2315" s="181"/>
      <c r="F2315" s="182"/>
      <c r="G2315" s="1" t="str">
        <f>IFERROR(IF(ventas_b_mes11[[#This Row],[CUIT]]="","-",VLOOKUP(ventas_b_mes11[[#This Row],[CUIT]],Lista_CUIT[#All],2,0)),"CUIT NO CARGADO")</f>
        <v>-</v>
      </c>
      <c r="H2315" s="64">
        <f>ventas_b_mes11[[#This Row],[TOTAL]]/1.21</f>
        <v>0</v>
      </c>
      <c r="I2315" s="183">
        <f>ventas_b_mes11[[#This Row],[IMPORTE NETO]]*0.21</f>
        <v>0</v>
      </c>
      <c r="J2315" s="184"/>
      <c r="K2315" s="184"/>
      <c r="L2315" s="184"/>
      <c r="M2315" s="59"/>
    </row>
    <row r="2316" spans="2:13" x14ac:dyDescent="0.3">
      <c r="B2316" s="178"/>
      <c r="C2316" s="179"/>
      <c r="D2316" s="180"/>
      <c r="E2316" s="181"/>
      <c r="F2316" s="182"/>
      <c r="G2316" s="1" t="str">
        <f>IFERROR(IF(ventas_b_mes11[[#This Row],[CUIT]]="","-",VLOOKUP(ventas_b_mes11[[#This Row],[CUIT]],Lista_CUIT[#All],2,0)),"CUIT NO CARGADO")</f>
        <v>-</v>
      </c>
      <c r="H2316" s="64">
        <f>ventas_b_mes11[[#This Row],[TOTAL]]/1.21</f>
        <v>0</v>
      </c>
      <c r="I2316" s="183">
        <f>ventas_b_mes11[[#This Row],[IMPORTE NETO]]*0.21</f>
        <v>0</v>
      </c>
      <c r="J2316" s="184"/>
      <c r="K2316" s="184"/>
      <c r="L2316" s="184"/>
      <c r="M2316" s="59"/>
    </row>
    <row r="2317" spans="2:13" x14ac:dyDescent="0.3">
      <c r="B2317" s="178"/>
      <c r="C2317" s="179"/>
      <c r="D2317" s="180"/>
      <c r="E2317" s="181"/>
      <c r="F2317" s="182"/>
      <c r="G2317" s="1" t="str">
        <f>IFERROR(IF(ventas_b_mes11[[#This Row],[CUIT]]="","-",VLOOKUP(ventas_b_mes11[[#This Row],[CUIT]],Lista_CUIT[#All],2,0)),"CUIT NO CARGADO")</f>
        <v>-</v>
      </c>
      <c r="H2317" s="64">
        <f>ventas_b_mes11[[#This Row],[TOTAL]]/1.21</f>
        <v>0</v>
      </c>
      <c r="I2317" s="183">
        <f>ventas_b_mes11[[#This Row],[IMPORTE NETO]]*0.21</f>
        <v>0</v>
      </c>
      <c r="J2317" s="184"/>
      <c r="K2317" s="184"/>
      <c r="L2317" s="184"/>
      <c r="M2317" s="59"/>
    </row>
    <row r="2318" spans="2:13" x14ac:dyDescent="0.3">
      <c r="B2318" s="178"/>
      <c r="C2318" s="179"/>
      <c r="D2318" s="180"/>
      <c r="E2318" s="181"/>
      <c r="F2318" s="182"/>
      <c r="G2318" s="1" t="str">
        <f>IFERROR(IF(ventas_b_mes11[[#This Row],[CUIT]]="","-",VLOOKUP(ventas_b_mes11[[#This Row],[CUIT]],Lista_CUIT[#All],2,0)),"CUIT NO CARGADO")</f>
        <v>-</v>
      </c>
      <c r="H2318" s="64">
        <f>ventas_b_mes11[[#This Row],[TOTAL]]/1.21</f>
        <v>0</v>
      </c>
      <c r="I2318" s="183">
        <f>ventas_b_mes11[[#This Row],[IMPORTE NETO]]*0.21</f>
        <v>0</v>
      </c>
      <c r="J2318" s="184"/>
      <c r="K2318" s="184"/>
      <c r="L2318" s="184"/>
      <c r="M2318" s="59"/>
    </row>
    <row r="2319" spans="2:13" x14ac:dyDescent="0.3">
      <c r="B2319" s="178"/>
      <c r="C2319" s="179"/>
      <c r="D2319" s="180"/>
      <c r="E2319" s="181"/>
      <c r="F2319" s="182"/>
      <c r="G2319" s="1" t="str">
        <f>IFERROR(IF(ventas_b_mes11[[#This Row],[CUIT]]="","-",VLOOKUP(ventas_b_mes11[[#This Row],[CUIT]],Lista_CUIT[#All],2,0)),"CUIT NO CARGADO")</f>
        <v>-</v>
      </c>
      <c r="H2319" s="64">
        <f>ventas_b_mes11[[#This Row],[TOTAL]]/1.21</f>
        <v>0</v>
      </c>
      <c r="I2319" s="183">
        <f>ventas_b_mes11[[#This Row],[IMPORTE NETO]]*0.21</f>
        <v>0</v>
      </c>
      <c r="J2319" s="184"/>
      <c r="K2319" s="184"/>
      <c r="L2319" s="184"/>
      <c r="M2319" s="59"/>
    </row>
    <row r="2320" spans="2:13" x14ac:dyDescent="0.3">
      <c r="B2320" s="178"/>
      <c r="C2320" s="179"/>
      <c r="D2320" s="180"/>
      <c r="E2320" s="181"/>
      <c r="F2320" s="182"/>
      <c r="G2320" s="1" t="str">
        <f>IFERROR(IF(ventas_b_mes11[[#This Row],[CUIT]]="","-",VLOOKUP(ventas_b_mes11[[#This Row],[CUIT]],Lista_CUIT[#All],2,0)),"CUIT NO CARGADO")</f>
        <v>-</v>
      </c>
      <c r="H2320" s="64">
        <f>ventas_b_mes11[[#This Row],[TOTAL]]/1.21</f>
        <v>0</v>
      </c>
      <c r="I2320" s="183">
        <f>ventas_b_mes11[[#This Row],[IMPORTE NETO]]*0.21</f>
        <v>0</v>
      </c>
      <c r="J2320" s="184"/>
      <c r="K2320" s="184"/>
      <c r="L2320" s="184"/>
      <c r="M2320" s="59"/>
    </row>
    <row r="2321" spans="2:13" x14ac:dyDescent="0.3">
      <c r="B2321" s="178"/>
      <c r="C2321" s="179"/>
      <c r="D2321" s="180"/>
      <c r="E2321" s="181"/>
      <c r="F2321" s="182"/>
      <c r="G2321" s="1" t="str">
        <f>IFERROR(IF(ventas_b_mes11[[#This Row],[CUIT]]="","-",VLOOKUP(ventas_b_mes11[[#This Row],[CUIT]],Lista_CUIT[#All],2,0)),"CUIT NO CARGADO")</f>
        <v>-</v>
      </c>
      <c r="H2321" s="64">
        <f>ventas_b_mes11[[#This Row],[TOTAL]]/1.21</f>
        <v>0</v>
      </c>
      <c r="I2321" s="183">
        <f>ventas_b_mes11[[#This Row],[IMPORTE NETO]]*0.21</f>
        <v>0</v>
      </c>
      <c r="J2321" s="184"/>
      <c r="K2321" s="184"/>
      <c r="L2321" s="184"/>
      <c r="M2321" s="59"/>
    </row>
    <row r="2322" spans="2:13" x14ac:dyDescent="0.3">
      <c r="B2322" s="178"/>
      <c r="C2322" s="179"/>
      <c r="D2322" s="180"/>
      <c r="E2322" s="181"/>
      <c r="F2322" s="182"/>
      <c r="G2322" s="1" t="str">
        <f>IFERROR(IF(ventas_b_mes11[[#This Row],[CUIT]]="","-",VLOOKUP(ventas_b_mes11[[#This Row],[CUIT]],Lista_CUIT[#All],2,0)),"CUIT NO CARGADO")</f>
        <v>-</v>
      </c>
      <c r="H2322" s="64">
        <f>ventas_b_mes11[[#This Row],[TOTAL]]/1.21</f>
        <v>0</v>
      </c>
      <c r="I2322" s="183">
        <f>ventas_b_mes11[[#This Row],[IMPORTE NETO]]*0.21</f>
        <v>0</v>
      </c>
      <c r="J2322" s="184"/>
      <c r="K2322" s="184"/>
      <c r="L2322" s="184"/>
      <c r="M2322" s="59"/>
    </row>
    <row r="2323" spans="2:13" x14ac:dyDescent="0.3">
      <c r="B2323" s="178"/>
      <c r="C2323" s="179"/>
      <c r="D2323" s="180"/>
      <c r="E2323" s="181"/>
      <c r="F2323" s="182"/>
      <c r="G2323" s="1" t="str">
        <f>IFERROR(IF(ventas_b_mes11[[#This Row],[CUIT]]="","-",VLOOKUP(ventas_b_mes11[[#This Row],[CUIT]],Lista_CUIT[#All],2,0)),"CUIT NO CARGADO")</f>
        <v>-</v>
      </c>
      <c r="H2323" s="64">
        <f>ventas_b_mes11[[#This Row],[TOTAL]]/1.21</f>
        <v>0</v>
      </c>
      <c r="I2323" s="183">
        <f>ventas_b_mes11[[#This Row],[IMPORTE NETO]]*0.21</f>
        <v>0</v>
      </c>
      <c r="J2323" s="184"/>
      <c r="K2323" s="184"/>
      <c r="L2323" s="184"/>
      <c r="M2323" s="59"/>
    </row>
    <row r="2324" spans="2:13" x14ac:dyDescent="0.3">
      <c r="B2324" s="178"/>
      <c r="C2324" s="179"/>
      <c r="D2324" s="180"/>
      <c r="E2324" s="181"/>
      <c r="F2324" s="182"/>
      <c r="G2324" s="1" t="str">
        <f>IFERROR(IF(ventas_b_mes11[[#This Row],[CUIT]]="","-",VLOOKUP(ventas_b_mes11[[#This Row],[CUIT]],Lista_CUIT[#All],2,0)),"CUIT NO CARGADO")</f>
        <v>-</v>
      </c>
      <c r="H2324" s="64">
        <f>ventas_b_mes11[[#This Row],[TOTAL]]/1.21</f>
        <v>0</v>
      </c>
      <c r="I2324" s="183">
        <f>ventas_b_mes11[[#This Row],[IMPORTE NETO]]*0.21</f>
        <v>0</v>
      </c>
      <c r="J2324" s="184"/>
      <c r="K2324" s="184"/>
      <c r="L2324" s="184"/>
      <c r="M2324" s="59"/>
    </row>
    <row r="2325" spans="2:13" x14ac:dyDescent="0.3">
      <c r="B2325" s="178"/>
      <c r="C2325" s="179"/>
      <c r="D2325" s="180"/>
      <c r="E2325" s="181"/>
      <c r="F2325" s="182"/>
      <c r="G2325" s="1" t="str">
        <f>IFERROR(IF(ventas_b_mes11[[#This Row],[CUIT]]="","-",VLOOKUP(ventas_b_mes11[[#This Row],[CUIT]],Lista_CUIT[#All],2,0)),"CUIT NO CARGADO")</f>
        <v>-</v>
      </c>
      <c r="H2325" s="64">
        <f>ventas_b_mes11[[#This Row],[TOTAL]]/1.21</f>
        <v>0</v>
      </c>
      <c r="I2325" s="183">
        <f>ventas_b_mes11[[#This Row],[IMPORTE NETO]]*0.21</f>
        <v>0</v>
      </c>
      <c r="J2325" s="184"/>
      <c r="K2325" s="184"/>
      <c r="L2325" s="184"/>
      <c r="M2325" s="59"/>
    </row>
    <row r="2326" spans="2:13" x14ac:dyDescent="0.3">
      <c r="B2326" s="178"/>
      <c r="C2326" s="179"/>
      <c r="D2326" s="180"/>
      <c r="E2326" s="181"/>
      <c r="F2326" s="182"/>
      <c r="G2326" s="1" t="str">
        <f>IFERROR(IF(ventas_b_mes11[[#This Row],[CUIT]]="","-",VLOOKUP(ventas_b_mes11[[#This Row],[CUIT]],Lista_CUIT[#All],2,0)),"CUIT NO CARGADO")</f>
        <v>-</v>
      </c>
      <c r="H2326" s="64">
        <f>ventas_b_mes11[[#This Row],[TOTAL]]/1.21</f>
        <v>0</v>
      </c>
      <c r="I2326" s="183">
        <f>ventas_b_mes11[[#This Row],[IMPORTE NETO]]*0.21</f>
        <v>0</v>
      </c>
      <c r="J2326" s="184"/>
      <c r="K2326" s="184"/>
      <c r="L2326" s="184"/>
      <c r="M2326" s="59"/>
    </row>
    <row r="2327" spans="2:13" x14ac:dyDescent="0.3">
      <c r="B2327" s="178"/>
      <c r="C2327" s="179"/>
      <c r="D2327" s="180"/>
      <c r="E2327" s="181"/>
      <c r="F2327" s="182"/>
      <c r="G2327" s="1" t="str">
        <f>IFERROR(IF(ventas_b_mes11[[#This Row],[CUIT]]="","-",VLOOKUP(ventas_b_mes11[[#This Row],[CUIT]],Lista_CUIT[#All],2,0)),"CUIT NO CARGADO")</f>
        <v>-</v>
      </c>
      <c r="H2327" s="64">
        <f>ventas_b_mes11[[#This Row],[TOTAL]]/1.21</f>
        <v>0</v>
      </c>
      <c r="I2327" s="183">
        <f>ventas_b_mes11[[#This Row],[IMPORTE NETO]]*0.21</f>
        <v>0</v>
      </c>
      <c r="J2327" s="184"/>
      <c r="K2327" s="184"/>
      <c r="L2327" s="184"/>
      <c r="M2327" s="59"/>
    </row>
    <row r="2328" spans="2:13" x14ac:dyDescent="0.3">
      <c r="B2328" s="178"/>
      <c r="C2328" s="179"/>
      <c r="D2328" s="180"/>
      <c r="E2328" s="181"/>
      <c r="F2328" s="182"/>
      <c r="G2328" s="1" t="str">
        <f>IFERROR(IF(ventas_b_mes11[[#This Row],[CUIT]]="","-",VLOOKUP(ventas_b_mes11[[#This Row],[CUIT]],Lista_CUIT[#All],2,0)),"CUIT NO CARGADO")</f>
        <v>-</v>
      </c>
      <c r="H2328" s="64">
        <f>ventas_b_mes11[[#This Row],[TOTAL]]/1.21</f>
        <v>0</v>
      </c>
      <c r="I2328" s="183">
        <f>ventas_b_mes11[[#This Row],[IMPORTE NETO]]*0.21</f>
        <v>0</v>
      </c>
      <c r="J2328" s="184"/>
      <c r="K2328" s="184"/>
      <c r="L2328" s="184"/>
      <c r="M2328" s="59"/>
    </row>
    <row r="2329" spans="2:13" x14ac:dyDescent="0.3">
      <c r="B2329" s="178"/>
      <c r="C2329" s="179"/>
      <c r="D2329" s="180"/>
      <c r="E2329" s="181"/>
      <c r="F2329" s="182"/>
      <c r="G2329" s="1" t="str">
        <f>IFERROR(IF(ventas_b_mes11[[#This Row],[CUIT]]="","-",VLOOKUP(ventas_b_mes11[[#This Row],[CUIT]],Lista_CUIT[#All],2,0)),"CUIT NO CARGADO")</f>
        <v>-</v>
      </c>
      <c r="H2329" s="64">
        <f>ventas_b_mes11[[#This Row],[TOTAL]]/1.21</f>
        <v>0</v>
      </c>
      <c r="I2329" s="183">
        <f>ventas_b_mes11[[#This Row],[IMPORTE NETO]]*0.21</f>
        <v>0</v>
      </c>
      <c r="J2329" s="184"/>
      <c r="K2329" s="184"/>
      <c r="L2329" s="184"/>
      <c r="M2329" s="59"/>
    </row>
    <row r="2330" spans="2:13" x14ac:dyDescent="0.3">
      <c r="B2330" s="178"/>
      <c r="C2330" s="179"/>
      <c r="D2330" s="180"/>
      <c r="E2330" s="181"/>
      <c r="F2330" s="182"/>
      <c r="G2330" s="1" t="str">
        <f>IFERROR(IF(ventas_b_mes11[[#This Row],[CUIT]]="","-",VLOOKUP(ventas_b_mes11[[#This Row],[CUIT]],Lista_CUIT[#All],2,0)),"CUIT NO CARGADO")</f>
        <v>-</v>
      </c>
      <c r="H2330" s="64">
        <f>ventas_b_mes11[[#This Row],[TOTAL]]/1.21</f>
        <v>0</v>
      </c>
      <c r="I2330" s="183">
        <f>ventas_b_mes11[[#This Row],[IMPORTE NETO]]*0.21</f>
        <v>0</v>
      </c>
      <c r="J2330" s="184"/>
      <c r="K2330" s="184"/>
      <c r="L2330" s="184"/>
      <c r="M2330" s="59"/>
    </row>
    <row r="2331" spans="2:13" x14ac:dyDescent="0.3">
      <c r="B2331" s="178"/>
      <c r="C2331" s="179"/>
      <c r="D2331" s="180"/>
      <c r="E2331" s="181"/>
      <c r="F2331" s="182"/>
      <c r="G2331" s="1" t="str">
        <f>IFERROR(IF(ventas_b_mes11[[#This Row],[CUIT]]="","-",VLOOKUP(ventas_b_mes11[[#This Row],[CUIT]],Lista_CUIT[#All],2,0)),"CUIT NO CARGADO")</f>
        <v>-</v>
      </c>
      <c r="H2331" s="64">
        <f>ventas_b_mes11[[#This Row],[TOTAL]]/1.21</f>
        <v>0</v>
      </c>
      <c r="I2331" s="183">
        <f>ventas_b_mes11[[#This Row],[IMPORTE NETO]]*0.21</f>
        <v>0</v>
      </c>
      <c r="J2331" s="184"/>
      <c r="K2331" s="184"/>
      <c r="L2331" s="184"/>
      <c r="M2331" s="59"/>
    </row>
    <row r="2332" spans="2:13" x14ac:dyDescent="0.3">
      <c r="B2332" s="178"/>
      <c r="C2332" s="179"/>
      <c r="D2332" s="180"/>
      <c r="E2332" s="181"/>
      <c r="F2332" s="182"/>
      <c r="G2332" s="1" t="str">
        <f>IFERROR(IF(ventas_b_mes11[[#This Row],[CUIT]]="","-",VLOOKUP(ventas_b_mes11[[#This Row],[CUIT]],Lista_CUIT[#All],2,0)),"CUIT NO CARGADO")</f>
        <v>-</v>
      </c>
      <c r="H2332" s="64">
        <f>ventas_b_mes11[[#This Row],[TOTAL]]/1.21</f>
        <v>0</v>
      </c>
      <c r="I2332" s="183">
        <f>ventas_b_mes11[[#This Row],[IMPORTE NETO]]*0.21</f>
        <v>0</v>
      </c>
      <c r="J2332" s="184"/>
      <c r="K2332" s="184"/>
      <c r="L2332" s="184"/>
      <c r="M2332" s="59"/>
    </row>
    <row r="2333" spans="2:13" x14ac:dyDescent="0.3">
      <c r="B2333" s="178"/>
      <c r="C2333" s="179"/>
      <c r="D2333" s="180"/>
      <c r="E2333" s="181"/>
      <c r="F2333" s="182"/>
      <c r="G2333" s="1" t="str">
        <f>IFERROR(IF(ventas_b_mes11[[#This Row],[CUIT]]="","-",VLOOKUP(ventas_b_mes11[[#This Row],[CUIT]],Lista_CUIT[#All],2,0)),"CUIT NO CARGADO")</f>
        <v>-</v>
      </c>
      <c r="H2333" s="64">
        <f>ventas_b_mes11[[#This Row],[TOTAL]]/1.21</f>
        <v>0</v>
      </c>
      <c r="I2333" s="183">
        <f>ventas_b_mes11[[#This Row],[IMPORTE NETO]]*0.21</f>
        <v>0</v>
      </c>
      <c r="J2333" s="184"/>
      <c r="K2333" s="184"/>
      <c r="L2333" s="184"/>
      <c r="M2333" s="59"/>
    </row>
    <row r="2334" spans="2:13" x14ac:dyDescent="0.3">
      <c r="B2334" s="178"/>
      <c r="C2334" s="179"/>
      <c r="D2334" s="180"/>
      <c r="E2334" s="181"/>
      <c r="F2334" s="182"/>
      <c r="G2334" s="1" t="str">
        <f>IFERROR(IF(ventas_b_mes11[[#This Row],[CUIT]]="","-",VLOOKUP(ventas_b_mes11[[#This Row],[CUIT]],Lista_CUIT[#All],2,0)),"CUIT NO CARGADO")</f>
        <v>-</v>
      </c>
      <c r="H2334" s="64">
        <f>ventas_b_mes11[[#This Row],[TOTAL]]/1.21</f>
        <v>0</v>
      </c>
      <c r="I2334" s="183">
        <f>ventas_b_mes11[[#This Row],[IMPORTE NETO]]*0.21</f>
        <v>0</v>
      </c>
      <c r="J2334" s="184"/>
      <c r="K2334" s="184"/>
      <c r="L2334" s="184"/>
      <c r="M2334" s="59"/>
    </row>
    <row r="2335" spans="2:13" x14ac:dyDescent="0.3">
      <c r="B2335" s="178"/>
      <c r="C2335" s="179"/>
      <c r="D2335" s="180"/>
      <c r="E2335" s="181"/>
      <c r="F2335" s="182"/>
      <c r="G2335" s="1" t="str">
        <f>IFERROR(IF(ventas_b_mes11[[#This Row],[CUIT]]="","-",VLOOKUP(ventas_b_mes11[[#This Row],[CUIT]],Lista_CUIT[#All],2,0)),"CUIT NO CARGADO")</f>
        <v>-</v>
      </c>
      <c r="H2335" s="64">
        <f>ventas_b_mes11[[#This Row],[TOTAL]]/1.21</f>
        <v>0</v>
      </c>
      <c r="I2335" s="183">
        <f>ventas_b_mes11[[#This Row],[IMPORTE NETO]]*0.21</f>
        <v>0</v>
      </c>
      <c r="J2335" s="184"/>
      <c r="K2335" s="184"/>
      <c r="L2335" s="184"/>
      <c r="M2335" s="59"/>
    </row>
    <row r="2336" spans="2:13" x14ac:dyDescent="0.3">
      <c r="B2336" s="178"/>
      <c r="C2336" s="179"/>
      <c r="D2336" s="180"/>
      <c r="E2336" s="181"/>
      <c r="F2336" s="182"/>
      <c r="G2336" s="1" t="str">
        <f>IFERROR(IF(ventas_b_mes11[[#This Row],[CUIT]]="","-",VLOOKUP(ventas_b_mes11[[#This Row],[CUIT]],Lista_CUIT[#All],2,0)),"CUIT NO CARGADO")</f>
        <v>-</v>
      </c>
      <c r="H2336" s="64">
        <f>ventas_b_mes11[[#This Row],[TOTAL]]/1.21</f>
        <v>0</v>
      </c>
      <c r="I2336" s="183">
        <f>ventas_b_mes11[[#This Row],[IMPORTE NETO]]*0.21</f>
        <v>0</v>
      </c>
      <c r="J2336" s="184"/>
      <c r="K2336" s="184"/>
      <c r="L2336" s="184"/>
      <c r="M2336" s="59"/>
    </row>
    <row r="2337" spans="2:13" x14ac:dyDescent="0.3">
      <c r="B2337" s="178"/>
      <c r="C2337" s="179"/>
      <c r="D2337" s="180"/>
      <c r="E2337" s="181"/>
      <c r="F2337" s="182"/>
      <c r="G2337" s="1" t="str">
        <f>IFERROR(IF(ventas_b_mes11[[#This Row],[CUIT]]="","-",VLOOKUP(ventas_b_mes11[[#This Row],[CUIT]],Lista_CUIT[#All],2,0)),"CUIT NO CARGADO")</f>
        <v>-</v>
      </c>
      <c r="H2337" s="64">
        <f>ventas_b_mes11[[#This Row],[TOTAL]]/1.21</f>
        <v>0</v>
      </c>
      <c r="I2337" s="183">
        <f>ventas_b_mes11[[#This Row],[IMPORTE NETO]]*0.21</f>
        <v>0</v>
      </c>
      <c r="J2337" s="184"/>
      <c r="K2337" s="184"/>
      <c r="L2337" s="184"/>
      <c r="M2337" s="59"/>
    </row>
    <row r="2338" spans="2:13" x14ac:dyDescent="0.3">
      <c r="B2338" s="178"/>
      <c r="C2338" s="179"/>
      <c r="D2338" s="180"/>
      <c r="E2338" s="181"/>
      <c r="F2338" s="182"/>
      <c r="G2338" s="1" t="str">
        <f>IFERROR(IF(ventas_b_mes11[[#This Row],[CUIT]]="","-",VLOOKUP(ventas_b_mes11[[#This Row],[CUIT]],Lista_CUIT[#All],2,0)),"CUIT NO CARGADO")</f>
        <v>-</v>
      </c>
      <c r="H2338" s="64">
        <f>ventas_b_mes11[[#This Row],[TOTAL]]/1.21</f>
        <v>0</v>
      </c>
      <c r="I2338" s="183">
        <f>ventas_b_mes11[[#This Row],[IMPORTE NETO]]*0.21</f>
        <v>0</v>
      </c>
      <c r="J2338" s="184"/>
      <c r="K2338" s="184"/>
      <c r="L2338" s="184"/>
      <c r="M2338" s="59"/>
    </row>
    <row r="2339" spans="2:13" x14ac:dyDescent="0.3">
      <c r="B2339" s="178"/>
      <c r="C2339" s="179"/>
      <c r="D2339" s="180"/>
      <c r="E2339" s="181"/>
      <c r="F2339" s="182"/>
      <c r="G2339" s="1" t="str">
        <f>IFERROR(IF(ventas_b_mes11[[#This Row],[CUIT]]="","-",VLOOKUP(ventas_b_mes11[[#This Row],[CUIT]],Lista_CUIT[#All],2,0)),"CUIT NO CARGADO")</f>
        <v>-</v>
      </c>
      <c r="H2339" s="64">
        <f>ventas_b_mes11[[#This Row],[TOTAL]]/1.21</f>
        <v>0</v>
      </c>
      <c r="I2339" s="183">
        <f>ventas_b_mes11[[#This Row],[IMPORTE NETO]]*0.21</f>
        <v>0</v>
      </c>
      <c r="J2339" s="184"/>
      <c r="K2339" s="184"/>
      <c r="L2339" s="184"/>
      <c r="M2339" s="59"/>
    </row>
    <row r="2340" spans="2:13" x14ac:dyDescent="0.3">
      <c r="B2340" s="178"/>
      <c r="C2340" s="179"/>
      <c r="D2340" s="180"/>
      <c r="E2340" s="181"/>
      <c r="F2340" s="182"/>
      <c r="G2340" s="1" t="str">
        <f>IFERROR(IF(ventas_b_mes11[[#This Row],[CUIT]]="","-",VLOOKUP(ventas_b_mes11[[#This Row],[CUIT]],Lista_CUIT[#All],2,0)),"CUIT NO CARGADO")</f>
        <v>-</v>
      </c>
      <c r="H2340" s="64">
        <f>ventas_b_mes11[[#This Row],[TOTAL]]/1.21</f>
        <v>0</v>
      </c>
      <c r="I2340" s="183">
        <f>ventas_b_mes11[[#This Row],[IMPORTE NETO]]*0.21</f>
        <v>0</v>
      </c>
      <c r="J2340" s="184"/>
      <c r="K2340" s="184"/>
      <c r="L2340" s="184"/>
      <c r="M2340" s="59"/>
    </row>
    <row r="2341" spans="2:13" x14ac:dyDescent="0.3">
      <c r="B2341" s="178"/>
      <c r="C2341" s="179"/>
      <c r="D2341" s="180"/>
      <c r="E2341" s="181"/>
      <c r="F2341" s="182"/>
      <c r="G2341" s="1" t="str">
        <f>IFERROR(IF(ventas_b_mes11[[#This Row],[CUIT]]="","-",VLOOKUP(ventas_b_mes11[[#This Row],[CUIT]],Lista_CUIT[#All],2,0)),"CUIT NO CARGADO")</f>
        <v>-</v>
      </c>
      <c r="H2341" s="64">
        <f>ventas_b_mes11[[#This Row],[TOTAL]]/1.21</f>
        <v>0</v>
      </c>
      <c r="I2341" s="183">
        <f>ventas_b_mes11[[#This Row],[IMPORTE NETO]]*0.21</f>
        <v>0</v>
      </c>
      <c r="J2341" s="184"/>
      <c r="K2341" s="184"/>
      <c r="L2341" s="184"/>
      <c r="M2341" s="59"/>
    </row>
    <row r="2342" spans="2:13" x14ac:dyDescent="0.3">
      <c r="B2342" s="178"/>
      <c r="C2342" s="179"/>
      <c r="D2342" s="180"/>
      <c r="E2342" s="181"/>
      <c r="F2342" s="182"/>
      <c r="G2342" s="1" t="str">
        <f>IFERROR(IF(ventas_b_mes11[[#This Row],[CUIT]]="","-",VLOOKUP(ventas_b_mes11[[#This Row],[CUIT]],Lista_CUIT[#All],2,0)),"CUIT NO CARGADO")</f>
        <v>-</v>
      </c>
      <c r="H2342" s="64">
        <f>ventas_b_mes11[[#This Row],[TOTAL]]/1.21</f>
        <v>0</v>
      </c>
      <c r="I2342" s="183">
        <f>ventas_b_mes11[[#This Row],[IMPORTE NETO]]*0.21</f>
        <v>0</v>
      </c>
      <c r="J2342" s="184"/>
      <c r="K2342" s="184"/>
      <c r="L2342" s="184"/>
      <c r="M2342" s="59"/>
    </row>
    <row r="2343" spans="2:13" x14ac:dyDescent="0.3">
      <c r="B2343" s="178"/>
      <c r="C2343" s="179"/>
      <c r="D2343" s="180"/>
      <c r="E2343" s="181"/>
      <c r="F2343" s="182"/>
      <c r="G2343" s="1" t="str">
        <f>IFERROR(IF(ventas_b_mes11[[#This Row],[CUIT]]="","-",VLOOKUP(ventas_b_mes11[[#This Row],[CUIT]],Lista_CUIT[#All],2,0)),"CUIT NO CARGADO")</f>
        <v>-</v>
      </c>
      <c r="H2343" s="64">
        <f>ventas_b_mes11[[#This Row],[TOTAL]]/1.21</f>
        <v>0</v>
      </c>
      <c r="I2343" s="183">
        <f>ventas_b_mes11[[#This Row],[IMPORTE NETO]]*0.21</f>
        <v>0</v>
      </c>
      <c r="J2343" s="184"/>
      <c r="K2343" s="184"/>
      <c r="L2343" s="184"/>
      <c r="M2343" s="59"/>
    </row>
    <row r="2344" spans="2:13" x14ac:dyDescent="0.3">
      <c r="B2344" s="178"/>
      <c r="C2344" s="179"/>
      <c r="D2344" s="180"/>
      <c r="E2344" s="181"/>
      <c r="F2344" s="182"/>
      <c r="G2344" s="1" t="str">
        <f>IFERROR(IF(ventas_b_mes11[[#This Row],[CUIT]]="","-",VLOOKUP(ventas_b_mes11[[#This Row],[CUIT]],Lista_CUIT[#All],2,0)),"CUIT NO CARGADO")</f>
        <v>-</v>
      </c>
      <c r="H2344" s="64">
        <f>ventas_b_mes11[[#This Row],[TOTAL]]/1.21</f>
        <v>0</v>
      </c>
      <c r="I2344" s="183">
        <f>ventas_b_mes11[[#This Row],[IMPORTE NETO]]*0.21</f>
        <v>0</v>
      </c>
      <c r="J2344" s="184"/>
      <c r="K2344" s="184"/>
      <c r="L2344" s="184"/>
      <c r="M2344" s="59"/>
    </row>
    <row r="2345" spans="2:13" x14ac:dyDescent="0.3">
      <c r="B2345" s="178"/>
      <c r="C2345" s="179"/>
      <c r="D2345" s="180"/>
      <c r="E2345" s="181"/>
      <c r="F2345" s="182"/>
      <c r="G2345" s="1" t="str">
        <f>IFERROR(IF(ventas_b_mes11[[#This Row],[CUIT]]="","-",VLOOKUP(ventas_b_mes11[[#This Row],[CUIT]],Lista_CUIT[#All],2,0)),"CUIT NO CARGADO")</f>
        <v>-</v>
      </c>
      <c r="H2345" s="64">
        <f>ventas_b_mes11[[#This Row],[TOTAL]]/1.21</f>
        <v>0</v>
      </c>
      <c r="I2345" s="183">
        <f>ventas_b_mes11[[#This Row],[IMPORTE NETO]]*0.21</f>
        <v>0</v>
      </c>
      <c r="J2345" s="184"/>
      <c r="K2345" s="184"/>
      <c r="L2345" s="184"/>
      <c r="M2345" s="59"/>
    </row>
    <row r="2346" spans="2:13" x14ac:dyDescent="0.3">
      <c r="B2346" s="178"/>
      <c r="C2346" s="179"/>
      <c r="D2346" s="180"/>
      <c r="E2346" s="181"/>
      <c r="F2346" s="182"/>
      <c r="G2346" s="1" t="str">
        <f>IFERROR(IF(ventas_b_mes11[[#This Row],[CUIT]]="","-",VLOOKUP(ventas_b_mes11[[#This Row],[CUIT]],Lista_CUIT[#All],2,0)),"CUIT NO CARGADO")</f>
        <v>-</v>
      </c>
      <c r="H2346" s="64">
        <f>ventas_b_mes11[[#This Row],[TOTAL]]/1.21</f>
        <v>0</v>
      </c>
      <c r="I2346" s="183">
        <f>ventas_b_mes11[[#This Row],[IMPORTE NETO]]*0.21</f>
        <v>0</v>
      </c>
      <c r="J2346" s="184"/>
      <c r="K2346" s="184"/>
      <c r="L2346" s="184"/>
      <c r="M2346" s="59"/>
    </row>
    <row r="2347" spans="2:13" x14ac:dyDescent="0.3">
      <c r="B2347" s="178"/>
      <c r="C2347" s="179"/>
      <c r="D2347" s="180"/>
      <c r="E2347" s="181"/>
      <c r="F2347" s="182"/>
      <c r="G2347" s="1" t="str">
        <f>IFERROR(IF(ventas_b_mes11[[#This Row],[CUIT]]="","-",VLOOKUP(ventas_b_mes11[[#This Row],[CUIT]],Lista_CUIT[#All],2,0)),"CUIT NO CARGADO")</f>
        <v>-</v>
      </c>
      <c r="H2347" s="64">
        <f>ventas_b_mes11[[#This Row],[TOTAL]]/1.21</f>
        <v>0</v>
      </c>
      <c r="I2347" s="183">
        <f>ventas_b_mes11[[#This Row],[IMPORTE NETO]]*0.21</f>
        <v>0</v>
      </c>
      <c r="J2347" s="184"/>
      <c r="K2347" s="184"/>
      <c r="L2347" s="184"/>
      <c r="M2347" s="59"/>
    </row>
    <row r="2348" spans="2:13" x14ac:dyDescent="0.3">
      <c r="B2348" s="178"/>
      <c r="C2348" s="179"/>
      <c r="D2348" s="180"/>
      <c r="E2348" s="181"/>
      <c r="F2348" s="182"/>
      <c r="G2348" s="1" t="str">
        <f>IFERROR(IF(ventas_b_mes11[[#This Row],[CUIT]]="","-",VLOOKUP(ventas_b_mes11[[#This Row],[CUIT]],Lista_CUIT[#All],2,0)),"CUIT NO CARGADO")</f>
        <v>-</v>
      </c>
      <c r="H2348" s="64">
        <f>ventas_b_mes11[[#This Row],[TOTAL]]/1.21</f>
        <v>0</v>
      </c>
      <c r="I2348" s="183">
        <f>ventas_b_mes11[[#This Row],[IMPORTE NETO]]*0.21</f>
        <v>0</v>
      </c>
      <c r="J2348" s="184"/>
      <c r="K2348" s="184"/>
      <c r="L2348" s="184"/>
      <c r="M2348" s="59"/>
    </row>
    <row r="2349" spans="2:13" x14ac:dyDescent="0.3">
      <c r="B2349" s="178"/>
      <c r="C2349" s="179"/>
      <c r="D2349" s="180"/>
      <c r="E2349" s="181"/>
      <c r="F2349" s="182"/>
      <c r="G2349" s="1" t="str">
        <f>IFERROR(IF(ventas_b_mes11[[#This Row],[CUIT]]="","-",VLOOKUP(ventas_b_mes11[[#This Row],[CUIT]],Lista_CUIT[#All],2,0)),"CUIT NO CARGADO")</f>
        <v>-</v>
      </c>
      <c r="H2349" s="64">
        <f>ventas_b_mes11[[#This Row],[TOTAL]]/1.21</f>
        <v>0</v>
      </c>
      <c r="I2349" s="183">
        <f>ventas_b_mes11[[#This Row],[IMPORTE NETO]]*0.21</f>
        <v>0</v>
      </c>
      <c r="J2349" s="184"/>
      <c r="K2349" s="184"/>
      <c r="L2349" s="184"/>
      <c r="M2349" s="59"/>
    </row>
    <row r="2350" spans="2:13" x14ac:dyDescent="0.3">
      <c r="B2350" s="178"/>
      <c r="C2350" s="179"/>
      <c r="D2350" s="180"/>
      <c r="E2350" s="181"/>
      <c r="F2350" s="182"/>
      <c r="G2350" s="1" t="str">
        <f>IFERROR(IF(ventas_b_mes11[[#This Row],[CUIT]]="","-",VLOOKUP(ventas_b_mes11[[#This Row],[CUIT]],Lista_CUIT[#All],2,0)),"CUIT NO CARGADO")</f>
        <v>-</v>
      </c>
      <c r="H2350" s="64">
        <f>ventas_b_mes11[[#This Row],[TOTAL]]/1.21</f>
        <v>0</v>
      </c>
      <c r="I2350" s="183">
        <f>ventas_b_mes11[[#This Row],[IMPORTE NETO]]*0.21</f>
        <v>0</v>
      </c>
      <c r="J2350" s="184"/>
      <c r="K2350" s="184"/>
      <c r="L2350" s="184"/>
      <c r="M2350" s="59"/>
    </row>
    <row r="2351" spans="2:13" x14ac:dyDescent="0.3">
      <c r="B2351" s="178"/>
      <c r="C2351" s="179"/>
      <c r="D2351" s="180"/>
      <c r="E2351" s="181"/>
      <c r="F2351" s="182"/>
      <c r="G2351" s="1" t="str">
        <f>IFERROR(IF(ventas_b_mes11[[#This Row],[CUIT]]="","-",VLOOKUP(ventas_b_mes11[[#This Row],[CUIT]],Lista_CUIT[#All],2,0)),"CUIT NO CARGADO")</f>
        <v>-</v>
      </c>
      <c r="H2351" s="64">
        <f>ventas_b_mes11[[#This Row],[TOTAL]]/1.21</f>
        <v>0</v>
      </c>
      <c r="I2351" s="183">
        <f>ventas_b_mes11[[#This Row],[IMPORTE NETO]]*0.21</f>
        <v>0</v>
      </c>
      <c r="J2351" s="184"/>
      <c r="K2351" s="184"/>
      <c r="L2351" s="184"/>
      <c r="M2351" s="59"/>
    </row>
    <row r="2352" spans="2:13" x14ac:dyDescent="0.3">
      <c r="B2352" s="178"/>
      <c r="C2352" s="179"/>
      <c r="D2352" s="180"/>
      <c r="E2352" s="181"/>
      <c r="F2352" s="182"/>
      <c r="G2352" s="1" t="str">
        <f>IFERROR(IF(ventas_b_mes11[[#This Row],[CUIT]]="","-",VLOOKUP(ventas_b_mes11[[#This Row],[CUIT]],Lista_CUIT[#All],2,0)),"CUIT NO CARGADO")</f>
        <v>-</v>
      </c>
      <c r="H2352" s="64">
        <f>ventas_b_mes11[[#This Row],[TOTAL]]/1.21</f>
        <v>0</v>
      </c>
      <c r="I2352" s="183">
        <f>ventas_b_mes11[[#This Row],[IMPORTE NETO]]*0.21</f>
        <v>0</v>
      </c>
      <c r="J2352" s="184"/>
      <c r="K2352" s="184"/>
      <c r="L2352" s="184"/>
      <c r="M2352" s="59"/>
    </row>
    <row r="2353" spans="2:13" x14ac:dyDescent="0.3">
      <c r="B2353" s="178"/>
      <c r="C2353" s="179"/>
      <c r="D2353" s="180"/>
      <c r="E2353" s="181"/>
      <c r="F2353" s="182"/>
      <c r="G2353" s="1" t="str">
        <f>IFERROR(IF(ventas_b_mes11[[#This Row],[CUIT]]="","-",VLOOKUP(ventas_b_mes11[[#This Row],[CUIT]],Lista_CUIT[#All],2,0)),"CUIT NO CARGADO")</f>
        <v>-</v>
      </c>
      <c r="H2353" s="64">
        <f>ventas_b_mes11[[#This Row],[TOTAL]]/1.21</f>
        <v>0</v>
      </c>
      <c r="I2353" s="183">
        <f>ventas_b_mes11[[#This Row],[IMPORTE NETO]]*0.21</f>
        <v>0</v>
      </c>
      <c r="J2353" s="184"/>
      <c r="K2353" s="184"/>
      <c r="L2353" s="184"/>
      <c r="M2353" s="59"/>
    </row>
    <row r="2354" spans="2:13" x14ac:dyDescent="0.3">
      <c r="B2354" s="178"/>
      <c r="C2354" s="179"/>
      <c r="D2354" s="180"/>
      <c r="E2354" s="181"/>
      <c r="F2354" s="182"/>
      <c r="G2354" s="1" t="str">
        <f>IFERROR(IF(ventas_b_mes11[[#This Row],[CUIT]]="","-",VLOOKUP(ventas_b_mes11[[#This Row],[CUIT]],Lista_CUIT[#All],2,0)),"CUIT NO CARGADO")</f>
        <v>-</v>
      </c>
      <c r="H2354" s="64">
        <f>ventas_b_mes11[[#This Row],[TOTAL]]/1.21</f>
        <v>0</v>
      </c>
      <c r="I2354" s="183">
        <f>ventas_b_mes11[[#This Row],[IMPORTE NETO]]*0.21</f>
        <v>0</v>
      </c>
      <c r="J2354" s="184"/>
      <c r="K2354" s="184"/>
      <c r="L2354" s="184"/>
      <c r="M2354" s="59"/>
    </row>
    <row r="2355" spans="2:13" x14ac:dyDescent="0.3">
      <c r="B2355" s="178"/>
      <c r="C2355" s="179"/>
      <c r="D2355" s="180"/>
      <c r="E2355" s="181"/>
      <c r="F2355" s="182"/>
      <c r="G2355" s="1" t="str">
        <f>IFERROR(IF(ventas_b_mes11[[#This Row],[CUIT]]="","-",VLOOKUP(ventas_b_mes11[[#This Row],[CUIT]],Lista_CUIT[#All],2,0)),"CUIT NO CARGADO")</f>
        <v>-</v>
      </c>
      <c r="H2355" s="64">
        <f>ventas_b_mes11[[#This Row],[TOTAL]]/1.21</f>
        <v>0</v>
      </c>
      <c r="I2355" s="183">
        <f>ventas_b_mes11[[#This Row],[IMPORTE NETO]]*0.21</f>
        <v>0</v>
      </c>
      <c r="J2355" s="184"/>
      <c r="K2355" s="184"/>
      <c r="L2355" s="184"/>
      <c r="M2355" s="59"/>
    </row>
    <row r="2356" spans="2:13" x14ac:dyDescent="0.3">
      <c r="B2356" s="178"/>
      <c r="C2356" s="179"/>
      <c r="D2356" s="180"/>
      <c r="E2356" s="181"/>
      <c r="F2356" s="182"/>
      <c r="G2356" s="1" t="str">
        <f>IFERROR(IF(ventas_b_mes11[[#This Row],[CUIT]]="","-",VLOOKUP(ventas_b_mes11[[#This Row],[CUIT]],Lista_CUIT[#All],2,0)),"CUIT NO CARGADO")</f>
        <v>-</v>
      </c>
      <c r="H2356" s="64">
        <f>ventas_b_mes11[[#This Row],[TOTAL]]/1.21</f>
        <v>0</v>
      </c>
      <c r="I2356" s="183">
        <f>ventas_b_mes11[[#This Row],[IMPORTE NETO]]*0.21</f>
        <v>0</v>
      </c>
      <c r="J2356" s="184"/>
      <c r="K2356" s="184"/>
      <c r="L2356" s="184"/>
      <c r="M2356" s="59"/>
    </row>
    <row r="2357" spans="2:13" x14ac:dyDescent="0.3">
      <c r="B2357" s="178"/>
      <c r="C2357" s="179"/>
      <c r="D2357" s="180"/>
      <c r="E2357" s="181"/>
      <c r="F2357" s="182"/>
      <c r="G2357" s="1" t="str">
        <f>IFERROR(IF(ventas_b_mes11[[#This Row],[CUIT]]="","-",VLOOKUP(ventas_b_mes11[[#This Row],[CUIT]],Lista_CUIT[#All],2,0)),"CUIT NO CARGADO")</f>
        <v>-</v>
      </c>
      <c r="H2357" s="64">
        <f>ventas_b_mes11[[#This Row],[TOTAL]]/1.21</f>
        <v>0</v>
      </c>
      <c r="I2357" s="183">
        <f>ventas_b_mes11[[#This Row],[IMPORTE NETO]]*0.21</f>
        <v>0</v>
      </c>
      <c r="J2357" s="184"/>
      <c r="K2357" s="184"/>
      <c r="L2357" s="184"/>
      <c r="M2357" s="59"/>
    </row>
    <row r="2358" spans="2:13" x14ac:dyDescent="0.3">
      <c r="B2358" s="178"/>
      <c r="C2358" s="179"/>
      <c r="D2358" s="180"/>
      <c r="E2358" s="181"/>
      <c r="F2358" s="182"/>
      <c r="G2358" s="1" t="str">
        <f>IFERROR(IF(ventas_b_mes11[[#This Row],[CUIT]]="","-",VLOOKUP(ventas_b_mes11[[#This Row],[CUIT]],Lista_CUIT[#All],2,0)),"CUIT NO CARGADO")</f>
        <v>-</v>
      </c>
      <c r="H2358" s="64">
        <f>ventas_b_mes11[[#This Row],[TOTAL]]/1.21</f>
        <v>0</v>
      </c>
      <c r="I2358" s="183">
        <f>ventas_b_mes11[[#This Row],[IMPORTE NETO]]*0.21</f>
        <v>0</v>
      </c>
      <c r="J2358" s="184"/>
      <c r="K2358" s="184"/>
      <c r="L2358" s="184"/>
      <c r="M2358" s="59"/>
    </row>
    <row r="2359" spans="2:13" x14ac:dyDescent="0.3">
      <c r="B2359" s="178"/>
      <c r="C2359" s="179"/>
      <c r="D2359" s="180"/>
      <c r="E2359" s="181"/>
      <c r="F2359" s="182"/>
      <c r="G2359" s="1" t="str">
        <f>IFERROR(IF(ventas_b_mes11[[#This Row],[CUIT]]="","-",VLOOKUP(ventas_b_mes11[[#This Row],[CUIT]],Lista_CUIT[#All],2,0)),"CUIT NO CARGADO")</f>
        <v>-</v>
      </c>
      <c r="H2359" s="64">
        <f>ventas_b_mes11[[#This Row],[TOTAL]]/1.21</f>
        <v>0</v>
      </c>
      <c r="I2359" s="183">
        <f>ventas_b_mes11[[#This Row],[IMPORTE NETO]]*0.21</f>
        <v>0</v>
      </c>
      <c r="J2359" s="184"/>
      <c r="K2359" s="184"/>
      <c r="L2359" s="184"/>
      <c r="M2359" s="59"/>
    </row>
    <row r="2360" spans="2:13" x14ac:dyDescent="0.3">
      <c r="B2360" s="178"/>
      <c r="C2360" s="179"/>
      <c r="D2360" s="180"/>
      <c r="E2360" s="181"/>
      <c r="F2360" s="182"/>
      <c r="G2360" s="1" t="str">
        <f>IFERROR(IF(ventas_b_mes11[[#This Row],[CUIT]]="","-",VLOOKUP(ventas_b_mes11[[#This Row],[CUIT]],Lista_CUIT[#All],2,0)),"CUIT NO CARGADO")</f>
        <v>-</v>
      </c>
      <c r="H2360" s="64">
        <f>ventas_b_mes11[[#This Row],[TOTAL]]/1.21</f>
        <v>0</v>
      </c>
      <c r="I2360" s="183">
        <f>ventas_b_mes11[[#This Row],[IMPORTE NETO]]*0.21</f>
        <v>0</v>
      </c>
      <c r="J2360" s="184"/>
      <c r="K2360" s="184"/>
      <c r="L2360" s="184"/>
      <c r="M2360" s="59"/>
    </row>
    <row r="2361" spans="2:13" x14ac:dyDescent="0.3">
      <c r="B2361" s="178"/>
      <c r="C2361" s="179"/>
      <c r="D2361" s="180"/>
      <c r="E2361" s="181"/>
      <c r="F2361" s="182"/>
      <c r="G2361" s="1" t="str">
        <f>IFERROR(IF(ventas_b_mes11[[#This Row],[CUIT]]="","-",VLOOKUP(ventas_b_mes11[[#This Row],[CUIT]],Lista_CUIT[#All],2,0)),"CUIT NO CARGADO")</f>
        <v>-</v>
      </c>
      <c r="H2361" s="64">
        <f>ventas_b_mes11[[#This Row],[TOTAL]]/1.21</f>
        <v>0</v>
      </c>
      <c r="I2361" s="183">
        <f>ventas_b_mes11[[#This Row],[IMPORTE NETO]]*0.21</f>
        <v>0</v>
      </c>
      <c r="J2361" s="184"/>
      <c r="K2361" s="184"/>
      <c r="L2361" s="184"/>
      <c r="M2361" s="59"/>
    </row>
    <row r="2362" spans="2:13" x14ac:dyDescent="0.3">
      <c r="B2362" s="178"/>
      <c r="C2362" s="179"/>
      <c r="D2362" s="180"/>
      <c r="E2362" s="181"/>
      <c r="F2362" s="182"/>
      <c r="G2362" s="1" t="str">
        <f>IFERROR(IF(ventas_b_mes11[[#This Row],[CUIT]]="","-",VLOOKUP(ventas_b_mes11[[#This Row],[CUIT]],Lista_CUIT[#All],2,0)),"CUIT NO CARGADO")</f>
        <v>-</v>
      </c>
      <c r="H2362" s="64">
        <f>ventas_b_mes11[[#This Row],[TOTAL]]/1.21</f>
        <v>0</v>
      </c>
      <c r="I2362" s="183">
        <f>ventas_b_mes11[[#This Row],[IMPORTE NETO]]*0.21</f>
        <v>0</v>
      </c>
      <c r="J2362" s="184"/>
      <c r="K2362" s="184"/>
      <c r="L2362" s="184"/>
      <c r="M2362" s="59"/>
    </row>
    <row r="2363" spans="2:13" x14ac:dyDescent="0.3">
      <c r="B2363" s="178"/>
      <c r="C2363" s="179"/>
      <c r="D2363" s="180"/>
      <c r="E2363" s="181"/>
      <c r="F2363" s="182"/>
      <c r="G2363" s="1" t="str">
        <f>IFERROR(IF(ventas_b_mes11[[#This Row],[CUIT]]="","-",VLOOKUP(ventas_b_mes11[[#This Row],[CUIT]],Lista_CUIT[#All],2,0)),"CUIT NO CARGADO")</f>
        <v>-</v>
      </c>
      <c r="H2363" s="64">
        <f>ventas_b_mes11[[#This Row],[TOTAL]]/1.21</f>
        <v>0</v>
      </c>
      <c r="I2363" s="183">
        <f>ventas_b_mes11[[#This Row],[IMPORTE NETO]]*0.21</f>
        <v>0</v>
      </c>
      <c r="J2363" s="184"/>
      <c r="K2363" s="184"/>
      <c r="L2363" s="184"/>
      <c r="M2363" s="59"/>
    </row>
    <row r="2364" spans="2:13" x14ac:dyDescent="0.3">
      <c r="B2364" s="178"/>
      <c r="C2364" s="179"/>
      <c r="D2364" s="180"/>
      <c r="E2364" s="181"/>
      <c r="F2364" s="182"/>
      <c r="G2364" s="1" t="str">
        <f>IFERROR(IF(ventas_b_mes11[[#This Row],[CUIT]]="","-",VLOOKUP(ventas_b_mes11[[#This Row],[CUIT]],Lista_CUIT[#All],2,0)),"CUIT NO CARGADO")</f>
        <v>-</v>
      </c>
      <c r="H2364" s="64">
        <f>ventas_b_mes11[[#This Row],[TOTAL]]/1.21</f>
        <v>0</v>
      </c>
      <c r="I2364" s="183">
        <f>ventas_b_mes11[[#This Row],[IMPORTE NETO]]*0.21</f>
        <v>0</v>
      </c>
      <c r="J2364" s="184"/>
      <c r="K2364" s="184"/>
      <c r="L2364" s="184"/>
      <c r="M2364" s="59"/>
    </row>
    <row r="2365" spans="2:13" x14ac:dyDescent="0.3">
      <c r="B2365" s="178"/>
      <c r="C2365" s="179"/>
      <c r="D2365" s="180"/>
      <c r="E2365" s="181"/>
      <c r="F2365" s="182"/>
      <c r="G2365" s="1" t="str">
        <f>IFERROR(IF(ventas_b_mes11[[#This Row],[CUIT]]="","-",VLOOKUP(ventas_b_mes11[[#This Row],[CUIT]],Lista_CUIT[#All],2,0)),"CUIT NO CARGADO")</f>
        <v>-</v>
      </c>
      <c r="H2365" s="64">
        <f>ventas_b_mes11[[#This Row],[TOTAL]]/1.21</f>
        <v>0</v>
      </c>
      <c r="I2365" s="183">
        <f>ventas_b_mes11[[#This Row],[IMPORTE NETO]]*0.21</f>
        <v>0</v>
      </c>
      <c r="J2365" s="184"/>
      <c r="K2365" s="184"/>
      <c r="L2365" s="184"/>
      <c r="M2365" s="59"/>
    </row>
    <row r="2366" spans="2:13" x14ac:dyDescent="0.3">
      <c r="B2366" s="178"/>
      <c r="C2366" s="179"/>
      <c r="D2366" s="180"/>
      <c r="E2366" s="181"/>
      <c r="F2366" s="182"/>
      <c r="G2366" s="1" t="str">
        <f>IFERROR(IF(ventas_b_mes11[[#This Row],[CUIT]]="","-",VLOOKUP(ventas_b_mes11[[#This Row],[CUIT]],Lista_CUIT[#All],2,0)),"CUIT NO CARGADO")</f>
        <v>-</v>
      </c>
      <c r="H2366" s="64">
        <f>ventas_b_mes11[[#This Row],[TOTAL]]/1.21</f>
        <v>0</v>
      </c>
      <c r="I2366" s="183">
        <f>ventas_b_mes11[[#This Row],[IMPORTE NETO]]*0.21</f>
        <v>0</v>
      </c>
      <c r="J2366" s="184"/>
      <c r="K2366" s="184"/>
      <c r="L2366" s="184"/>
      <c r="M2366" s="59"/>
    </row>
    <row r="2367" spans="2:13" x14ac:dyDescent="0.3">
      <c r="B2367" s="178"/>
      <c r="C2367" s="179"/>
      <c r="D2367" s="180"/>
      <c r="E2367" s="181"/>
      <c r="F2367" s="182"/>
      <c r="G2367" s="1" t="str">
        <f>IFERROR(IF(ventas_b_mes11[[#This Row],[CUIT]]="","-",VLOOKUP(ventas_b_mes11[[#This Row],[CUIT]],Lista_CUIT[#All],2,0)),"CUIT NO CARGADO")</f>
        <v>-</v>
      </c>
      <c r="H2367" s="64">
        <f>ventas_b_mes11[[#This Row],[TOTAL]]/1.21</f>
        <v>0</v>
      </c>
      <c r="I2367" s="183">
        <f>ventas_b_mes11[[#This Row],[IMPORTE NETO]]*0.21</f>
        <v>0</v>
      </c>
      <c r="J2367" s="184"/>
      <c r="K2367" s="184"/>
      <c r="L2367" s="184"/>
      <c r="M2367" s="59"/>
    </row>
    <row r="2368" spans="2:13" x14ac:dyDescent="0.3">
      <c r="B2368" s="178"/>
      <c r="C2368" s="179"/>
      <c r="D2368" s="180"/>
      <c r="E2368" s="181"/>
      <c r="F2368" s="182"/>
      <c r="G2368" s="1" t="str">
        <f>IFERROR(IF(ventas_b_mes11[[#This Row],[CUIT]]="","-",VLOOKUP(ventas_b_mes11[[#This Row],[CUIT]],Lista_CUIT[#All],2,0)),"CUIT NO CARGADO")</f>
        <v>-</v>
      </c>
      <c r="H2368" s="64">
        <f>ventas_b_mes11[[#This Row],[TOTAL]]/1.21</f>
        <v>0</v>
      </c>
      <c r="I2368" s="183">
        <f>ventas_b_mes11[[#This Row],[IMPORTE NETO]]*0.21</f>
        <v>0</v>
      </c>
      <c r="J2368" s="184"/>
      <c r="K2368" s="184"/>
      <c r="L2368" s="184"/>
      <c r="M2368" s="59"/>
    </row>
    <row r="2369" spans="2:13" x14ac:dyDescent="0.3">
      <c r="B2369" s="178"/>
      <c r="C2369" s="179"/>
      <c r="D2369" s="180"/>
      <c r="E2369" s="181"/>
      <c r="F2369" s="182"/>
      <c r="G2369" s="1" t="str">
        <f>IFERROR(IF(ventas_b_mes11[[#This Row],[CUIT]]="","-",VLOOKUP(ventas_b_mes11[[#This Row],[CUIT]],Lista_CUIT[#All],2,0)),"CUIT NO CARGADO")</f>
        <v>-</v>
      </c>
      <c r="H2369" s="64">
        <f>ventas_b_mes11[[#This Row],[TOTAL]]/1.21</f>
        <v>0</v>
      </c>
      <c r="I2369" s="183">
        <f>ventas_b_mes11[[#This Row],[IMPORTE NETO]]*0.21</f>
        <v>0</v>
      </c>
      <c r="J2369" s="184"/>
      <c r="K2369" s="184"/>
      <c r="L2369" s="184"/>
      <c r="M2369" s="59"/>
    </row>
    <row r="2370" spans="2:13" x14ac:dyDescent="0.3">
      <c r="B2370" s="178"/>
      <c r="C2370" s="179"/>
      <c r="D2370" s="180"/>
      <c r="E2370" s="181"/>
      <c r="F2370" s="182"/>
      <c r="G2370" s="1" t="str">
        <f>IFERROR(IF(ventas_b_mes11[[#This Row],[CUIT]]="","-",VLOOKUP(ventas_b_mes11[[#This Row],[CUIT]],Lista_CUIT[#All],2,0)),"CUIT NO CARGADO")</f>
        <v>-</v>
      </c>
      <c r="H2370" s="64">
        <f>ventas_b_mes11[[#This Row],[TOTAL]]/1.21</f>
        <v>0</v>
      </c>
      <c r="I2370" s="183">
        <f>ventas_b_mes11[[#This Row],[IMPORTE NETO]]*0.21</f>
        <v>0</v>
      </c>
      <c r="J2370" s="184"/>
      <c r="K2370" s="184"/>
      <c r="L2370" s="184"/>
      <c r="M2370" s="59"/>
    </row>
    <row r="2371" spans="2:13" x14ac:dyDescent="0.3">
      <c r="B2371" s="178"/>
      <c r="C2371" s="179"/>
      <c r="D2371" s="180"/>
      <c r="E2371" s="181"/>
      <c r="F2371" s="182"/>
      <c r="G2371" s="1" t="str">
        <f>IFERROR(IF(ventas_b_mes11[[#This Row],[CUIT]]="","-",VLOOKUP(ventas_b_mes11[[#This Row],[CUIT]],Lista_CUIT[#All],2,0)),"CUIT NO CARGADO")</f>
        <v>-</v>
      </c>
      <c r="H2371" s="64">
        <f>ventas_b_mes11[[#This Row],[TOTAL]]/1.21</f>
        <v>0</v>
      </c>
      <c r="I2371" s="183">
        <f>ventas_b_mes11[[#This Row],[IMPORTE NETO]]*0.21</f>
        <v>0</v>
      </c>
      <c r="J2371" s="184"/>
      <c r="K2371" s="184"/>
      <c r="L2371" s="184"/>
      <c r="M2371" s="59"/>
    </row>
    <row r="2372" spans="2:13" x14ac:dyDescent="0.3">
      <c r="B2372" s="178"/>
      <c r="C2372" s="179"/>
      <c r="D2372" s="180"/>
      <c r="E2372" s="181"/>
      <c r="F2372" s="182"/>
      <c r="G2372" s="1" t="str">
        <f>IFERROR(IF(ventas_b_mes11[[#This Row],[CUIT]]="","-",VLOOKUP(ventas_b_mes11[[#This Row],[CUIT]],Lista_CUIT[#All],2,0)),"CUIT NO CARGADO")</f>
        <v>-</v>
      </c>
      <c r="H2372" s="64">
        <f>ventas_b_mes11[[#This Row],[TOTAL]]/1.21</f>
        <v>0</v>
      </c>
      <c r="I2372" s="183">
        <f>ventas_b_mes11[[#This Row],[IMPORTE NETO]]*0.21</f>
        <v>0</v>
      </c>
      <c r="J2372" s="184"/>
      <c r="K2372" s="184"/>
      <c r="L2372" s="184"/>
      <c r="M2372" s="59"/>
    </row>
    <row r="2373" spans="2:13" x14ac:dyDescent="0.3">
      <c r="B2373" s="178"/>
      <c r="C2373" s="179"/>
      <c r="D2373" s="180"/>
      <c r="E2373" s="181"/>
      <c r="F2373" s="182"/>
      <c r="G2373" s="1" t="str">
        <f>IFERROR(IF(ventas_b_mes11[[#This Row],[CUIT]]="","-",VLOOKUP(ventas_b_mes11[[#This Row],[CUIT]],Lista_CUIT[#All],2,0)),"CUIT NO CARGADO")</f>
        <v>-</v>
      </c>
      <c r="H2373" s="64">
        <f>ventas_b_mes11[[#This Row],[TOTAL]]/1.21</f>
        <v>0</v>
      </c>
      <c r="I2373" s="183">
        <f>ventas_b_mes11[[#This Row],[IMPORTE NETO]]*0.21</f>
        <v>0</v>
      </c>
      <c r="J2373" s="184"/>
      <c r="K2373" s="184"/>
      <c r="L2373" s="184"/>
      <c r="M2373" s="59"/>
    </row>
    <row r="2374" spans="2:13" x14ac:dyDescent="0.3">
      <c r="B2374" s="178"/>
      <c r="C2374" s="179"/>
      <c r="D2374" s="180"/>
      <c r="E2374" s="181"/>
      <c r="F2374" s="182"/>
      <c r="G2374" s="1" t="str">
        <f>IFERROR(IF(ventas_b_mes11[[#This Row],[CUIT]]="","-",VLOOKUP(ventas_b_mes11[[#This Row],[CUIT]],Lista_CUIT[#All],2,0)),"CUIT NO CARGADO")</f>
        <v>-</v>
      </c>
      <c r="H2374" s="64">
        <f>ventas_b_mes11[[#This Row],[TOTAL]]/1.21</f>
        <v>0</v>
      </c>
      <c r="I2374" s="183">
        <f>ventas_b_mes11[[#This Row],[IMPORTE NETO]]*0.21</f>
        <v>0</v>
      </c>
      <c r="J2374" s="184"/>
      <c r="K2374" s="184"/>
      <c r="L2374" s="184"/>
      <c r="M2374" s="59"/>
    </row>
    <row r="2375" spans="2:13" x14ac:dyDescent="0.3">
      <c r="B2375" s="178"/>
      <c r="C2375" s="179"/>
      <c r="D2375" s="180"/>
      <c r="E2375" s="181"/>
      <c r="F2375" s="182"/>
      <c r="G2375" s="1" t="str">
        <f>IFERROR(IF(ventas_b_mes11[[#This Row],[CUIT]]="","-",VLOOKUP(ventas_b_mes11[[#This Row],[CUIT]],Lista_CUIT[#All],2,0)),"CUIT NO CARGADO")</f>
        <v>-</v>
      </c>
      <c r="H2375" s="64">
        <f>ventas_b_mes11[[#This Row],[TOTAL]]/1.21</f>
        <v>0</v>
      </c>
      <c r="I2375" s="183">
        <f>ventas_b_mes11[[#This Row],[IMPORTE NETO]]*0.21</f>
        <v>0</v>
      </c>
      <c r="J2375" s="184"/>
      <c r="K2375" s="184"/>
      <c r="L2375" s="184"/>
      <c r="M2375" s="59"/>
    </row>
    <row r="2376" spans="2:13" x14ac:dyDescent="0.3">
      <c r="B2376" s="178"/>
      <c r="C2376" s="179"/>
      <c r="D2376" s="180"/>
      <c r="E2376" s="181"/>
      <c r="F2376" s="182"/>
      <c r="G2376" s="1" t="str">
        <f>IFERROR(IF(ventas_b_mes11[[#This Row],[CUIT]]="","-",VLOOKUP(ventas_b_mes11[[#This Row],[CUIT]],Lista_CUIT[#All],2,0)),"CUIT NO CARGADO")</f>
        <v>-</v>
      </c>
      <c r="H2376" s="64">
        <f>ventas_b_mes11[[#This Row],[TOTAL]]/1.21</f>
        <v>0</v>
      </c>
      <c r="I2376" s="183">
        <f>ventas_b_mes11[[#This Row],[IMPORTE NETO]]*0.21</f>
        <v>0</v>
      </c>
      <c r="J2376" s="184"/>
      <c r="K2376" s="184"/>
      <c r="L2376" s="184"/>
      <c r="M2376" s="59"/>
    </row>
    <row r="2377" spans="2:13" x14ac:dyDescent="0.3">
      <c r="B2377" s="178"/>
      <c r="C2377" s="179"/>
      <c r="D2377" s="180"/>
      <c r="E2377" s="181"/>
      <c r="F2377" s="182"/>
      <c r="G2377" s="1" t="str">
        <f>IFERROR(IF(ventas_b_mes11[[#This Row],[CUIT]]="","-",VLOOKUP(ventas_b_mes11[[#This Row],[CUIT]],Lista_CUIT[#All],2,0)),"CUIT NO CARGADO")</f>
        <v>-</v>
      </c>
      <c r="H2377" s="64">
        <f>ventas_b_mes11[[#This Row],[TOTAL]]/1.21</f>
        <v>0</v>
      </c>
      <c r="I2377" s="183">
        <f>ventas_b_mes11[[#This Row],[IMPORTE NETO]]*0.21</f>
        <v>0</v>
      </c>
      <c r="J2377" s="184"/>
      <c r="K2377" s="184"/>
      <c r="L2377" s="184"/>
      <c r="M2377" s="59"/>
    </row>
    <row r="2378" spans="2:13" x14ac:dyDescent="0.3">
      <c r="B2378" s="178"/>
      <c r="C2378" s="179"/>
      <c r="D2378" s="180"/>
      <c r="E2378" s="181"/>
      <c r="F2378" s="182"/>
      <c r="G2378" s="1" t="str">
        <f>IFERROR(IF(ventas_b_mes11[[#This Row],[CUIT]]="","-",VLOOKUP(ventas_b_mes11[[#This Row],[CUIT]],Lista_CUIT[#All],2,0)),"CUIT NO CARGADO")</f>
        <v>-</v>
      </c>
      <c r="H2378" s="64">
        <f>ventas_b_mes11[[#This Row],[TOTAL]]/1.21</f>
        <v>0</v>
      </c>
      <c r="I2378" s="183">
        <f>ventas_b_mes11[[#This Row],[IMPORTE NETO]]*0.21</f>
        <v>0</v>
      </c>
      <c r="J2378" s="184"/>
      <c r="K2378" s="184"/>
      <c r="L2378" s="184"/>
      <c r="M2378" s="59"/>
    </row>
    <row r="2379" spans="2:13" x14ac:dyDescent="0.3">
      <c r="B2379" s="178"/>
      <c r="C2379" s="179"/>
      <c r="D2379" s="180"/>
      <c r="E2379" s="181"/>
      <c r="F2379" s="182"/>
      <c r="G2379" s="1" t="str">
        <f>IFERROR(IF(ventas_b_mes11[[#This Row],[CUIT]]="","-",VLOOKUP(ventas_b_mes11[[#This Row],[CUIT]],Lista_CUIT[#All],2,0)),"CUIT NO CARGADO")</f>
        <v>-</v>
      </c>
      <c r="H2379" s="64">
        <f>ventas_b_mes11[[#This Row],[TOTAL]]/1.21</f>
        <v>0</v>
      </c>
      <c r="I2379" s="183">
        <f>ventas_b_mes11[[#This Row],[IMPORTE NETO]]*0.21</f>
        <v>0</v>
      </c>
      <c r="J2379" s="184"/>
      <c r="K2379" s="184"/>
      <c r="L2379" s="184"/>
      <c r="M2379" s="59"/>
    </row>
    <row r="2380" spans="2:13" x14ac:dyDescent="0.3">
      <c r="B2380" s="178"/>
      <c r="C2380" s="179"/>
      <c r="D2380" s="180"/>
      <c r="E2380" s="181"/>
      <c r="F2380" s="182"/>
      <c r="G2380" s="1" t="str">
        <f>IFERROR(IF(ventas_b_mes11[[#This Row],[CUIT]]="","-",VLOOKUP(ventas_b_mes11[[#This Row],[CUIT]],Lista_CUIT[#All],2,0)),"CUIT NO CARGADO")</f>
        <v>-</v>
      </c>
      <c r="H2380" s="64">
        <f>ventas_b_mes11[[#This Row],[TOTAL]]/1.21</f>
        <v>0</v>
      </c>
      <c r="I2380" s="183">
        <f>ventas_b_mes11[[#This Row],[IMPORTE NETO]]*0.21</f>
        <v>0</v>
      </c>
      <c r="J2380" s="184"/>
      <c r="K2380" s="184"/>
      <c r="L2380" s="184"/>
      <c r="M2380" s="59"/>
    </row>
    <row r="2381" spans="2:13" x14ac:dyDescent="0.3">
      <c r="B2381" s="178"/>
      <c r="C2381" s="179"/>
      <c r="D2381" s="180"/>
      <c r="E2381" s="181"/>
      <c r="F2381" s="182"/>
      <c r="G2381" s="1" t="str">
        <f>IFERROR(IF(ventas_b_mes11[[#This Row],[CUIT]]="","-",VLOOKUP(ventas_b_mes11[[#This Row],[CUIT]],Lista_CUIT[#All],2,0)),"CUIT NO CARGADO")</f>
        <v>-</v>
      </c>
      <c r="H2381" s="64">
        <f>ventas_b_mes11[[#This Row],[TOTAL]]/1.21</f>
        <v>0</v>
      </c>
      <c r="I2381" s="183">
        <f>ventas_b_mes11[[#This Row],[IMPORTE NETO]]*0.21</f>
        <v>0</v>
      </c>
      <c r="J2381" s="184"/>
      <c r="K2381" s="184"/>
      <c r="L2381" s="184"/>
      <c r="M2381" s="59"/>
    </row>
    <row r="2382" spans="2:13" x14ac:dyDescent="0.3">
      <c r="B2382" s="178"/>
      <c r="C2382" s="179"/>
      <c r="D2382" s="180"/>
      <c r="E2382" s="181"/>
      <c r="F2382" s="182"/>
      <c r="G2382" s="1" t="str">
        <f>IFERROR(IF(ventas_b_mes11[[#This Row],[CUIT]]="","-",VLOOKUP(ventas_b_mes11[[#This Row],[CUIT]],Lista_CUIT[#All],2,0)),"CUIT NO CARGADO")</f>
        <v>-</v>
      </c>
      <c r="H2382" s="64">
        <f>ventas_b_mes11[[#This Row],[TOTAL]]/1.21</f>
        <v>0</v>
      </c>
      <c r="I2382" s="183">
        <f>ventas_b_mes11[[#This Row],[IMPORTE NETO]]*0.21</f>
        <v>0</v>
      </c>
      <c r="J2382" s="184"/>
      <c r="K2382" s="184"/>
      <c r="L2382" s="184"/>
      <c r="M2382" s="59"/>
    </row>
    <row r="2383" spans="2:13" x14ac:dyDescent="0.3">
      <c r="B2383" s="178"/>
      <c r="C2383" s="179"/>
      <c r="D2383" s="180"/>
      <c r="E2383" s="181"/>
      <c r="F2383" s="182"/>
      <c r="G2383" s="1" t="str">
        <f>IFERROR(IF(ventas_b_mes11[[#This Row],[CUIT]]="","-",VLOOKUP(ventas_b_mes11[[#This Row],[CUIT]],Lista_CUIT[#All],2,0)),"CUIT NO CARGADO")</f>
        <v>-</v>
      </c>
      <c r="H2383" s="64">
        <f>ventas_b_mes11[[#This Row],[TOTAL]]/1.21</f>
        <v>0</v>
      </c>
      <c r="I2383" s="183">
        <f>ventas_b_mes11[[#This Row],[IMPORTE NETO]]*0.21</f>
        <v>0</v>
      </c>
      <c r="J2383" s="184"/>
      <c r="K2383" s="184"/>
      <c r="L2383" s="184"/>
      <c r="M2383" s="59"/>
    </row>
    <row r="2384" spans="2:13" x14ac:dyDescent="0.3">
      <c r="B2384" s="178"/>
      <c r="C2384" s="179"/>
      <c r="D2384" s="180"/>
      <c r="E2384" s="181"/>
      <c r="F2384" s="182"/>
      <c r="G2384" s="1" t="str">
        <f>IFERROR(IF(ventas_b_mes11[[#This Row],[CUIT]]="","-",VLOOKUP(ventas_b_mes11[[#This Row],[CUIT]],Lista_CUIT[#All],2,0)),"CUIT NO CARGADO")</f>
        <v>-</v>
      </c>
      <c r="H2384" s="64">
        <f>ventas_b_mes11[[#This Row],[TOTAL]]/1.21</f>
        <v>0</v>
      </c>
      <c r="I2384" s="183">
        <f>ventas_b_mes11[[#This Row],[IMPORTE NETO]]*0.21</f>
        <v>0</v>
      </c>
      <c r="J2384" s="184"/>
      <c r="K2384" s="184"/>
      <c r="L2384" s="184"/>
      <c r="M2384" s="59"/>
    </row>
    <row r="2385" spans="2:13" x14ac:dyDescent="0.3">
      <c r="B2385" s="178"/>
      <c r="C2385" s="179"/>
      <c r="D2385" s="180"/>
      <c r="E2385" s="181"/>
      <c r="F2385" s="182"/>
      <c r="G2385" s="1" t="str">
        <f>IFERROR(IF(ventas_b_mes11[[#This Row],[CUIT]]="","-",VLOOKUP(ventas_b_mes11[[#This Row],[CUIT]],Lista_CUIT[#All],2,0)),"CUIT NO CARGADO")</f>
        <v>-</v>
      </c>
      <c r="H2385" s="64">
        <f>ventas_b_mes11[[#This Row],[TOTAL]]/1.21</f>
        <v>0</v>
      </c>
      <c r="I2385" s="183">
        <f>ventas_b_mes11[[#This Row],[IMPORTE NETO]]*0.21</f>
        <v>0</v>
      </c>
      <c r="J2385" s="184"/>
      <c r="K2385" s="184"/>
      <c r="L2385" s="184"/>
      <c r="M2385" s="59"/>
    </row>
    <row r="2386" spans="2:13" x14ac:dyDescent="0.3">
      <c r="B2386" s="178"/>
      <c r="C2386" s="179"/>
      <c r="D2386" s="180"/>
      <c r="E2386" s="181"/>
      <c r="F2386" s="182"/>
      <c r="G2386" s="1" t="str">
        <f>IFERROR(IF(ventas_b_mes11[[#This Row],[CUIT]]="","-",VLOOKUP(ventas_b_mes11[[#This Row],[CUIT]],Lista_CUIT[#All],2,0)),"CUIT NO CARGADO")</f>
        <v>-</v>
      </c>
      <c r="H2386" s="64">
        <f>ventas_b_mes11[[#This Row],[TOTAL]]/1.21</f>
        <v>0</v>
      </c>
      <c r="I2386" s="183">
        <f>ventas_b_mes11[[#This Row],[IMPORTE NETO]]*0.21</f>
        <v>0</v>
      </c>
      <c r="J2386" s="184"/>
      <c r="K2386" s="184"/>
      <c r="L2386" s="184"/>
      <c r="M2386" s="59"/>
    </row>
    <row r="2387" spans="2:13" x14ac:dyDescent="0.3">
      <c r="B2387" s="178"/>
      <c r="C2387" s="179"/>
      <c r="D2387" s="180"/>
      <c r="E2387" s="181"/>
      <c r="F2387" s="182"/>
      <c r="G2387" s="1" t="str">
        <f>IFERROR(IF(ventas_b_mes11[[#This Row],[CUIT]]="","-",VLOOKUP(ventas_b_mes11[[#This Row],[CUIT]],Lista_CUIT[#All],2,0)),"CUIT NO CARGADO")</f>
        <v>-</v>
      </c>
      <c r="H2387" s="64">
        <f>ventas_b_mes11[[#This Row],[TOTAL]]/1.21</f>
        <v>0</v>
      </c>
      <c r="I2387" s="183">
        <f>ventas_b_mes11[[#This Row],[IMPORTE NETO]]*0.21</f>
        <v>0</v>
      </c>
      <c r="J2387" s="184"/>
      <c r="K2387" s="184"/>
      <c r="L2387" s="184"/>
      <c r="M2387" s="59"/>
    </row>
    <row r="2388" spans="2:13" x14ac:dyDescent="0.3">
      <c r="B2388" s="178"/>
      <c r="C2388" s="179"/>
      <c r="D2388" s="180"/>
      <c r="E2388" s="181"/>
      <c r="F2388" s="182"/>
      <c r="G2388" s="1" t="str">
        <f>IFERROR(IF(ventas_b_mes11[[#This Row],[CUIT]]="","-",VLOOKUP(ventas_b_mes11[[#This Row],[CUIT]],Lista_CUIT[#All],2,0)),"CUIT NO CARGADO")</f>
        <v>-</v>
      </c>
      <c r="H2388" s="64">
        <f>ventas_b_mes11[[#This Row],[TOTAL]]/1.21</f>
        <v>0</v>
      </c>
      <c r="I2388" s="183">
        <f>ventas_b_mes11[[#This Row],[IMPORTE NETO]]*0.21</f>
        <v>0</v>
      </c>
      <c r="J2388" s="184"/>
      <c r="K2388" s="184"/>
      <c r="L2388" s="184"/>
      <c r="M2388" s="59"/>
    </row>
    <row r="2389" spans="2:13" x14ac:dyDescent="0.3">
      <c r="B2389" s="178"/>
      <c r="C2389" s="179"/>
      <c r="D2389" s="180"/>
      <c r="E2389" s="181"/>
      <c r="F2389" s="182"/>
      <c r="G2389" s="1" t="str">
        <f>IFERROR(IF(ventas_b_mes11[[#This Row],[CUIT]]="","-",VLOOKUP(ventas_b_mes11[[#This Row],[CUIT]],Lista_CUIT[#All],2,0)),"CUIT NO CARGADO")</f>
        <v>-</v>
      </c>
      <c r="H2389" s="64">
        <f>ventas_b_mes11[[#This Row],[TOTAL]]/1.21</f>
        <v>0</v>
      </c>
      <c r="I2389" s="183">
        <f>ventas_b_mes11[[#This Row],[IMPORTE NETO]]*0.21</f>
        <v>0</v>
      </c>
      <c r="J2389" s="184"/>
      <c r="K2389" s="184"/>
      <c r="L2389" s="184"/>
      <c r="M2389" s="59"/>
    </row>
    <row r="2390" spans="2:13" x14ac:dyDescent="0.3">
      <c r="B2390" s="178"/>
      <c r="C2390" s="179"/>
      <c r="D2390" s="180"/>
      <c r="E2390" s="181"/>
      <c r="F2390" s="182"/>
      <c r="G2390" s="1" t="str">
        <f>IFERROR(IF(ventas_b_mes11[[#This Row],[CUIT]]="","-",VLOOKUP(ventas_b_mes11[[#This Row],[CUIT]],Lista_CUIT[#All],2,0)),"CUIT NO CARGADO")</f>
        <v>-</v>
      </c>
      <c r="H2390" s="64">
        <f>ventas_b_mes11[[#This Row],[TOTAL]]/1.21</f>
        <v>0</v>
      </c>
      <c r="I2390" s="183">
        <f>ventas_b_mes11[[#This Row],[IMPORTE NETO]]*0.21</f>
        <v>0</v>
      </c>
      <c r="J2390" s="184"/>
      <c r="K2390" s="184"/>
      <c r="L2390" s="184"/>
      <c r="M2390" s="59"/>
    </row>
    <row r="2391" spans="2:13" x14ac:dyDescent="0.3">
      <c r="B2391" s="178"/>
      <c r="C2391" s="179"/>
      <c r="D2391" s="180"/>
      <c r="E2391" s="181"/>
      <c r="F2391" s="182"/>
      <c r="G2391" s="1" t="str">
        <f>IFERROR(IF(ventas_b_mes11[[#This Row],[CUIT]]="","-",VLOOKUP(ventas_b_mes11[[#This Row],[CUIT]],Lista_CUIT[#All],2,0)),"CUIT NO CARGADO")</f>
        <v>-</v>
      </c>
      <c r="H2391" s="64">
        <f>ventas_b_mes11[[#This Row],[TOTAL]]/1.21</f>
        <v>0</v>
      </c>
      <c r="I2391" s="183">
        <f>ventas_b_mes11[[#This Row],[IMPORTE NETO]]*0.21</f>
        <v>0</v>
      </c>
      <c r="J2391" s="184"/>
      <c r="K2391" s="184"/>
      <c r="L2391" s="184"/>
      <c r="M2391" s="59"/>
    </row>
    <row r="2392" spans="2:13" x14ac:dyDescent="0.3">
      <c r="B2392" s="178"/>
      <c r="C2392" s="179"/>
      <c r="D2392" s="180"/>
      <c r="E2392" s="181"/>
      <c r="F2392" s="182"/>
      <c r="G2392" s="1" t="str">
        <f>IFERROR(IF(ventas_b_mes11[[#This Row],[CUIT]]="","-",VLOOKUP(ventas_b_mes11[[#This Row],[CUIT]],Lista_CUIT[#All],2,0)),"CUIT NO CARGADO")</f>
        <v>-</v>
      </c>
      <c r="H2392" s="64">
        <f>ventas_b_mes11[[#This Row],[TOTAL]]/1.21</f>
        <v>0</v>
      </c>
      <c r="I2392" s="183">
        <f>ventas_b_mes11[[#This Row],[IMPORTE NETO]]*0.21</f>
        <v>0</v>
      </c>
      <c r="J2392" s="184"/>
      <c r="K2392" s="184"/>
      <c r="L2392" s="184"/>
      <c r="M2392" s="59"/>
    </row>
    <row r="2393" spans="2:13" x14ac:dyDescent="0.3">
      <c r="B2393" s="178"/>
      <c r="C2393" s="179"/>
      <c r="D2393" s="180"/>
      <c r="E2393" s="181"/>
      <c r="F2393" s="182"/>
      <c r="G2393" s="1" t="str">
        <f>IFERROR(IF(ventas_b_mes11[[#This Row],[CUIT]]="","-",VLOOKUP(ventas_b_mes11[[#This Row],[CUIT]],Lista_CUIT[#All],2,0)),"CUIT NO CARGADO")</f>
        <v>-</v>
      </c>
      <c r="H2393" s="64">
        <f>ventas_b_mes11[[#This Row],[TOTAL]]/1.21</f>
        <v>0</v>
      </c>
      <c r="I2393" s="183">
        <f>ventas_b_mes11[[#This Row],[IMPORTE NETO]]*0.21</f>
        <v>0</v>
      </c>
      <c r="J2393" s="184"/>
      <c r="K2393" s="184"/>
      <c r="L2393" s="184"/>
      <c r="M2393" s="59"/>
    </row>
    <row r="2394" spans="2:13" x14ac:dyDescent="0.3">
      <c r="B2394" s="178"/>
      <c r="C2394" s="179"/>
      <c r="D2394" s="180"/>
      <c r="E2394" s="181"/>
      <c r="F2394" s="182"/>
      <c r="G2394" s="1" t="str">
        <f>IFERROR(IF(ventas_b_mes11[[#This Row],[CUIT]]="","-",VLOOKUP(ventas_b_mes11[[#This Row],[CUIT]],Lista_CUIT[#All],2,0)),"CUIT NO CARGADO")</f>
        <v>-</v>
      </c>
      <c r="H2394" s="64">
        <f>ventas_b_mes11[[#This Row],[TOTAL]]/1.21</f>
        <v>0</v>
      </c>
      <c r="I2394" s="183">
        <f>ventas_b_mes11[[#This Row],[IMPORTE NETO]]*0.21</f>
        <v>0</v>
      </c>
      <c r="J2394" s="184"/>
      <c r="K2394" s="184"/>
      <c r="L2394" s="184"/>
      <c r="M2394" s="59"/>
    </row>
    <row r="2395" spans="2:13" x14ac:dyDescent="0.3">
      <c r="B2395" s="178"/>
      <c r="C2395" s="179"/>
      <c r="D2395" s="180"/>
      <c r="E2395" s="181"/>
      <c r="F2395" s="182"/>
      <c r="G2395" s="1" t="str">
        <f>IFERROR(IF(ventas_b_mes11[[#This Row],[CUIT]]="","-",VLOOKUP(ventas_b_mes11[[#This Row],[CUIT]],Lista_CUIT[#All],2,0)),"CUIT NO CARGADO")</f>
        <v>-</v>
      </c>
      <c r="H2395" s="64">
        <f>ventas_b_mes11[[#This Row],[TOTAL]]/1.21</f>
        <v>0</v>
      </c>
      <c r="I2395" s="183">
        <f>ventas_b_mes11[[#This Row],[IMPORTE NETO]]*0.21</f>
        <v>0</v>
      </c>
      <c r="J2395" s="184"/>
      <c r="K2395" s="184"/>
      <c r="L2395" s="184"/>
      <c r="M2395" s="59"/>
    </row>
    <row r="2396" spans="2:13" x14ac:dyDescent="0.3">
      <c r="B2396" s="178"/>
      <c r="C2396" s="179"/>
      <c r="D2396" s="180"/>
      <c r="E2396" s="181"/>
      <c r="F2396" s="182"/>
      <c r="G2396" s="1" t="str">
        <f>IFERROR(IF(ventas_b_mes11[[#This Row],[CUIT]]="","-",VLOOKUP(ventas_b_mes11[[#This Row],[CUIT]],Lista_CUIT[#All],2,0)),"CUIT NO CARGADO")</f>
        <v>-</v>
      </c>
      <c r="H2396" s="64">
        <f>ventas_b_mes11[[#This Row],[TOTAL]]/1.21</f>
        <v>0</v>
      </c>
      <c r="I2396" s="183">
        <f>ventas_b_mes11[[#This Row],[IMPORTE NETO]]*0.21</f>
        <v>0</v>
      </c>
      <c r="J2396" s="184"/>
      <c r="K2396" s="184"/>
      <c r="L2396" s="184"/>
      <c r="M2396" s="59"/>
    </row>
    <row r="2397" spans="2:13" x14ac:dyDescent="0.3">
      <c r="B2397" s="178"/>
      <c r="C2397" s="179"/>
      <c r="D2397" s="180"/>
      <c r="E2397" s="181"/>
      <c r="F2397" s="182"/>
      <c r="G2397" s="1" t="str">
        <f>IFERROR(IF(ventas_b_mes11[[#This Row],[CUIT]]="","-",VLOOKUP(ventas_b_mes11[[#This Row],[CUIT]],Lista_CUIT[#All],2,0)),"CUIT NO CARGADO")</f>
        <v>-</v>
      </c>
      <c r="H2397" s="64">
        <f>ventas_b_mes11[[#This Row],[TOTAL]]/1.21</f>
        <v>0</v>
      </c>
      <c r="I2397" s="183">
        <f>ventas_b_mes11[[#This Row],[IMPORTE NETO]]*0.21</f>
        <v>0</v>
      </c>
      <c r="J2397" s="184"/>
      <c r="K2397" s="184"/>
      <c r="L2397" s="184"/>
      <c r="M2397" s="59"/>
    </row>
    <row r="2398" spans="2:13" x14ac:dyDescent="0.3">
      <c r="B2398" s="178"/>
      <c r="C2398" s="179"/>
      <c r="D2398" s="180"/>
      <c r="E2398" s="181"/>
      <c r="F2398" s="182"/>
      <c r="G2398" s="1" t="str">
        <f>IFERROR(IF(ventas_b_mes11[[#This Row],[CUIT]]="","-",VLOOKUP(ventas_b_mes11[[#This Row],[CUIT]],Lista_CUIT[#All],2,0)),"CUIT NO CARGADO")</f>
        <v>-</v>
      </c>
      <c r="H2398" s="64">
        <f>ventas_b_mes11[[#This Row],[TOTAL]]/1.21</f>
        <v>0</v>
      </c>
      <c r="I2398" s="183">
        <f>ventas_b_mes11[[#This Row],[IMPORTE NETO]]*0.21</f>
        <v>0</v>
      </c>
      <c r="J2398" s="184"/>
      <c r="K2398" s="184"/>
      <c r="L2398" s="184"/>
      <c r="M2398" s="59"/>
    </row>
    <row r="2399" spans="2:13" x14ac:dyDescent="0.3">
      <c r="B2399" s="178"/>
      <c r="C2399" s="179"/>
      <c r="D2399" s="180"/>
      <c r="E2399" s="181"/>
      <c r="F2399" s="182"/>
      <c r="G2399" s="1" t="str">
        <f>IFERROR(IF(ventas_b_mes11[[#This Row],[CUIT]]="","-",VLOOKUP(ventas_b_mes11[[#This Row],[CUIT]],Lista_CUIT[#All],2,0)),"CUIT NO CARGADO")</f>
        <v>-</v>
      </c>
      <c r="H2399" s="64">
        <f>ventas_b_mes11[[#This Row],[TOTAL]]/1.21</f>
        <v>0</v>
      </c>
      <c r="I2399" s="183">
        <f>ventas_b_mes11[[#This Row],[IMPORTE NETO]]*0.21</f>
        <v>0</v>
      </c>
      <c r="J2399" s="184"/>
      <c r="K2399" s="184"/>
      <c r="L2399" s="184"/>
      <c r="M2399" s="59"/>
    </row>
    <row r="2400" spans="2:13" x14ac:dyDescent="0.3">
      <c r="B2400" s="178"/>
      <c r="C2400" s="179"/>
      <c r="D2400" s="180"/>
      <c r="E2400" s="181"/>
      <c r="F2400" s="182"/>
      <c r="G2400" s="1" t="str">
        <f>IFERROR(IF(ventas_b_mes11[[#This Row],[CUIT]]="","-",VLOOKUP(ventas_b_mes11[[#This Row],[CUIT]],Lista_CUIT[#All],2,0)),"CUIT NO CARGADO")</f>
        <v>-</v>
      </c>
      <c r="H2400" s="64">
        <f>ventas_b_mes11[[#This Row],[TOTAL]]/1.21</f>
        <v>0</v>
      </c>
      <c r="I2400" s="183">
        <f>ventas_b_mes11[[#This Row],[IMPORTE NETO]]*0.21</f>
        <v>0</v>
      </c>
      <c r="J2400" s="184"/>
      <c r="K2400" s="184"/>
      <c r="L2400" s="184"/>
      <c r="M2400" s="59"/>
    </row>
    <row r="2401" spans="2:13" x14ac:dyDescent="0.3">
      <c r="B2401" s="178"/>
      <c r="C2401" s="179"/>
      <c r="D2401" s="180"/>
      <c r="E2401" s="181"/>
      <c r="F2401" s="182"/>
      <c r="G2401" s="1" t="str">
        <f>IFERROR(IF(ventas_b_mes11[[#This Row],[CUIT]]="","-",VLOOKUP(ventas_b_mes11[[#This Row],[CUIT]],Lista_CUIT[#All],2,0)),"CUIT NO CARGADO")</f>
        <v>-</v>
      </c>
      <c r="H2401" s="64">
        <f>ventas_b_mes11[[#This Row],[TOTAL]]/1.21</f>
        <v>0</v>
      </c>
      <c r="I2401" s="183">
        <f>ventas_b_mes11[[#This Row],[IMPORTE NETO]]*0.21</f>
        <v>0</v>
      </c>
      <c r="J2401" s="184"/>
      <c r="K2401" s="184"/>
      <c r="L2401" s="184"/>
      <c r="M2401" s="59"/>
    </row>
    <row r="2402" spans="2:13" x14ac:dyDescent="0.3">
      <c r="B2402" s="178"/>
      <c r="C2402" s="179"/>
      <c r="D2402" s="180"/>
      <c r="E2402" s="181"/>
      <c r="F2402" s="182"/>
      <c r="G2402" s="1" t="str">
        <f>IFERROR(IF(ventas_b_mes11[[#This Row],[CUIT]]="","-",VLOOKUP(ventas_b_mes11[[#This Row],[CUIT]],Lista_CUIT[#All],2,0)),"CUIT NO CARGADO")</f>
        <v>-</v>
      </c>
      <c r="H2402" s="64">
        <f>ventas_b_mes11[[#This Row],[TOTAL]]/1.21</f>
        <v>0</v>
      </c>
      <c r="I2402" s="183">
        <f>ventas_b_mes11[[#This Row],[IMPORTE NETO]]*0.21</f>
        <v>0</v>
      </c>
      <c r="J2402" s="184"/>
      <c r="K2402" s="184"/>
      <c r="L2402" s="184"/>
      <c r="M2402" s="59"/>
    </row>
    <row r="2403" spans="2:13" x14ac:dyDescent="0.3">
      <c r="B2403" s="178"/>
      <c r="C2403" s="179"/>
      <c r="D2403" s="180"/>
      <c r="E2403" s="181"/>
      <c r="F2403" s="182"/>
      <c r="G2403" s="1" t="str">
        <f>IFERROR(IF(ventas_b_mes11[[#This Row],[CUIT]]="","-",VLOOKUP(ventas_b_mes11[[#This Row],[CUIT]],Lista_CUIT[#All],2,0)),"CUIT NO CARGADO")</f>
        <v>-</v>
      </c>
      <c r="H2403" s="64">
        <f>ventas_b_mes11[[#This Row],[TOTAL]]/1.21</f>
        <v>0</v>
      </c>
      <c r="I2403" s="183">
        <f>ventas_b_mes11[[#This Row],[IMPORTE NETO]]*0.21</f>
        <v>0</v>
      </c>
      <c r="J2403" s="184"/>
      <c r="K2403" s="184"/>
      <c r="L2403" s="184"/>
      <c r="M2403" s="59"/>
    </row>
    <row r="2404" spans="2:13" x14ac:dyDescent="0.3">
      <c r="B2404" s="178"/>
      <c r="C2404" s="179"/>
      <c r="D2404" s="180"/>
      <c r="E2404" s="181"/>
      <c r="F2404" s="182"/>
      <c r="G2404" s="1" t="str">
        <f>IFERROR(IF(ventas_b_mes11[[#This Row],[CUIT]]="","-",VLOOKUP(ventas_b_mes11[[#This Row],[CUIT]],Lista_CUIT[#All],2,0)),"CUIT NO CARGADO")</f>
        <v>-</v>
      </c>
      <c r="H2404" s="64">
        <f>ventas_b_mes11[[#This Row],[TOTAL]]/1.21</f>
        <v>0</v>
      </c>
      <c r="I2404" s="183">
        <f>ventas_b_mes11[[#This Row],[IMPORTE NETO]]*0.21</f>
        <v>0</v>
      </c>
      <c r="J2404" s="184"/>
      <c r="K2404" s="184"/>
      <c r="L2404" s="184"/>
      <c r="M2404" s="59"/>
    </row>
    <row r="2405" spans="2:13" x14ac:dyDescent="0.3">
      <c r="B2405" s="178"/>
      <c r="C2405" s="179"/>
      <c r="D2405" s="180"/>
      <c r="E2405" s="181"/>
      <c r="F2405" s="182"/>
      <c r="G2405" s="1" t="str">
        <f>IFERROR(IF(ventas_b_mes11[[#This Row],[CUIT]]="","-",VLOOKUP(ventas_b_mes11[[#This Row],[CUIT]],Lista_CUIT[#All],2,0)),"CUIT NO CARGADO")</f>
        <v>-</v>
      </c>
      <c r="H2405" s="64">
        <f>ventas_b_mes11[[#This Row],[TOTAL]]/1.21</f>
        <v>0</v>
      </c>
      <c r="I2405" s="183">
        <f>ventas_b_mes11[[#This Row],[IMPORTE NETO]]*0.21</f>
        <v>0</v>
      </c>
      <c r="J2405" s="184"/>
      <c r="K2405" s="184"/>
      <c r="L2405" s="184"/>
      <c r="M2405" s="59"/>
    </row>
    <row r="2406" spans="2:13" x14ac:dyDescent="0.3">
      <c r="B2406" s="178"/>
      <c r="C2406" s="179"/>
      <c r="D2406" s="180"/>
      <c r="E2406" s="181"/>
      <c r="F2406" s="182"/>
      <c r="G2406" s="1" t="str">
        <f>IFERROR(IF(ventas_b_mes11[[#This Row],[CUIT]]="","-",VLOOKUP(ventas_b_mes11[[#This Row],[CUIT]],Lista_CUIT[#All],2,0)),"CUIT NO CARGADO")</f>
        <v>-</v>
      </c>
      <c r="H2406" s="64">
        <f>ventas_b_mes11[[#This Row],[TOTAL]]/1.21</f>
        <v>0</v>
      </c>
      <c r="I2406" s="183">
        <f>ventas_b_mes11[[#This Row],[IMPORTE NETO]]*0.21</f>
        <v>0</v>
      </c>
      <c r="J2406" s="184"/>
      <c r="K2406" s="184"/>
      <c r="L2406" s="184"/>
      <c r="M2406" s="59"/>
    </row>
    <row r="2407" spans="2:13" x14ac:dyDescent="0.3">
      <c r="B2407" s="178"/>
      <c r="C2407" s="179"/>
      <c r="D2407" s="180"/>
      <c r="E2407" s="181"/>
      <c r="F2407" s="182"/>
      <c r="G2407" s="1" t="str">
        <f>IFERROR(IF(ventas_b_mes11[[#This Row],[CUIT]]="","-",VLOOKUP(ventas_b_mes11[[#This Row],[CUIT]],Lista_CUIT[#All],2,0)),"CUIT NO CARGADO")</f>
        <v>-</v>
      </c>
      <c r="H2407" s="64">
        <f>ventas_b_mes11[[#This Row],[TOTAL]]/1.21</f>
        <v>0</v>
      </c>
      <c r="I2407" s="183">
        <f>ventas_b_mes11[[#This Row],[IMPORTE NETO]]*0.21</f>
        <v>0</v>
      </c>
      <c r="J2407" s="184"/>
      <c r="K2407" s="184"/>
      <c r="L2407" s="184"/>
      <c r="M2407" s="59"/>
    </row>
    <row r="2408" spans="2:13" x14ac:dyDescent="0.3">
      <c r="B2408" s="178"/>
      <c r="C2408" s="179"/>
      <c r="D2408" s="180"/>
      <c r="E2408" s="181"/>
      <c r="F2408" s="182"/>
      <c r="G2408" s="1" t="str">
        <f>IFERROR(IF(ventas_b_mes11[[#This Row],[CUIT]]="","-",VLOOKUP(ventas_b_mes11[[#This Row],[CUIT]],Lista_CUIT[#All],2,0)),"CUIT NO CARGADO")</f>
        <v>-</v>
      </c>
      <c r="H2408" s="64">
        <f>ventas_b_mes11[[#This Row],[TOTAL]]/1.21</f>
        <v>0</v>
      </c>
      <c r="I2408" s="183">
        <f>ventas_b_mes11[[#This Row],[IMPORTE NETO]]*0.21</f>
        <v>0</v>
      </c>
      <c r="J2408" s="184"/>
      <c r="K2408" s="184"/>
      <c r="L2408" s="184"/>
      <c r="M2408" s="59"/>
    </row>
    <row r="2409" spans="2:13" x14ac:dyDescent="0.3">
      <c r="B2409" s="178"/>
      <c r="C2409" s="179"/>
      <c r="D2409" s="180"/>
      <c r="E2409" s="181"/>
      <c r="F2409" s="182"/>
      <c r="G2409" s="1" t="str">
        <f>IFERROR(IF(ventas_b_mes11[[#This Row],[CUIT]]="","-",VLOOKUP(ventas_b_mes11[[#This Row],[CUIT]],Lista_CUIT[#All],2,0)),"CUIT NO CARGADO")</f>
        <v>-</v>
      </c>
      <c r="H2409" s="64">
        <f>ventas_b_mes11[[#This Row],[TOTAL]]/1.21</f>
        <v>0</v>
      </c>
      <c r="I2409" s="183">
        <f>ventas_b_mes11[[#This Row],[IMPORTE NETO]]*0.21</f>
        <v>0</v>
      </c>
      <c r="J2409" s="184"/>
      <c r="K2409" s="184"/>
      <c r="L2409" s="184"/>
      <c r="M2409" s="59"/>
    </row>
    <row r="2410" spans="2:13" x14ac:dyDescent="0.3">
      <c r="B2410" s="178"/>
      <c r="C2410" s="179"/>
      <c r="D2410" s="180"/>
      <c r="E2410" s="181"/>
      <c r="F2410" s="182"/>
      <c r="G2410" s="1" t="str">
        <f>IFERROR(IF(ventas_b_mes11[[#This Row],[CUIT]]="","-",VLOOKUP(ventas_b_mes11[[#This Row],[CUIT]],Lista_CUIT[#All],2,0)),"CUIT NO CARGADO")</f>
        <v>-</v>
      </c>
      <c r="H2410" s="64">
        <f>ventas_b_mes11[[#This Row],[TOTAL]]/1.21</f>
        <v>0</v>
      </c>
      <c r="I2410" s="183">
        <f>ventas_b_mes11[[#This Row],[IMPORTE NETO]]*0.21</f>
        <v>0</v>
      </c>
      <c r="J2410" s="184"/>
      <c r="K2410" s="184"/>
      <c r="L2410" s="184"/>
      <c r="M2410" s="59"/>
    </row>
    <row r="2411" spans="2:13" x14ac:dyDescent="0.3">
      <c r="B2411" s="178"/>
      <c r="C2411" s="179"/>
      <c r="D2411" s="180"/>
      <c r="E2411" s="181"/>
      <c r="F2411" s="182"/>
      <c r="G2411" s="1" t="str">
        <f>IFERROR(IF(ventas_b_mes11[[#This Row],[CUIT]]="","-",VLOOKUP(ventas_b_mes11[[#This Row],[CUIT]],Lista_CUIT[#All],2,0)),"CUIT NO CARGADO")</f>
        <v>-</v>
      </c>
      <c r="H2411" s="64">
        <f>ventas_b_mes11[[#This Row],[TOTAL]]/1.21</f>
        <v>0</v>
      </c>
      <c r="I2411" s="183">
        <f>ventas_b_mes11[[#This Row],[IMPORTE NETO]]*0.21</f>
        <v>0</v>
      </c>
      <c r="J2411" s="184"/>
      <c r="K2411" s="184"/>
      <c r="L2411" s="184"/>
      <c r="M2411" s="59"/>
    </row>
    <row r="2412" spans="2:13" x14ac:dyDescent="0.3">
      <c r="B2412" s="178"/>
      <c r="C2412" s="179"/>
      <c r="D2412" s="180"/>
      <c r="E2412" s="181"/>
      <c r="F2412" s="182"/>
      <c r="G2412" s="1" t="str">
        <f>IFERROR(IF(ventas_b_mes11[[#This Row],[CUIT]]="","-",VLOOKUP(ventas_b_mes11[[#This Row],[CUIT]],Lista_CUIT[#All],2,0)),"CUIT NO CARGADO")</f>
        <v>-</v>
      </c>
      <c r="H2412" s="64">
        <f>ventas_b_mes11[[#This Row],[TOTAL]]/1.21</f>
        <v>0</v>
      </c>
      <c r="I2412" s="183">
        <f>ventas_b_mes11[[#This Row],[IMPORTE NETO]]*0.21</f>
        <v>0</v>
      </c>
      <c r="J2412" s="184"/>
      <c r="K2412" s="184"/>
      <c r="L2412" s="184"/>
      <c r="M2412" s="59"/>
    </row>
    <row r="2413" spans="2:13" x14ac:dyDescent="0.3">
      <c r="B2413" s="178"/>
      <c r="C2413" s="179"/>
      <c r="D2413" s="180"/>
      <c r="E2413" s="181"/>
      <c r="F2413" s="182"/>
      <c r="G2413" s="1" t="str">
        <f>IFERROR(IF(ventas_b_mes11[[#This Row],[CUIT]]="","-",VLOOKUP(ventas_b_mes11[[#This Row],[CUIT]],Lista_CUIT[#All],2,0)),"CUIT NO CARGADO")</f>
        <v>-</v>
      </c>
      <c r="H2413" s="64">
        <f>ventas_b_mes11[[#This Row],[TOTAL]]/1.21</f>
        <v>0</v>
      </c>
      <c r="I2413" s="183">
        <f>ventas_b_mes11[[#This Row],[IMPORTE NETO]]*0.21</f>
        <v>0</v>
      </c>
      <c r="J2413" s="184"/>
      <c r="K2413" s="184"/>
      <c r="L2413" s="184"/>
      <c r="M2413" s="59"/>
    </row>
    <row r="2414" spans="2:13" x14ac:dyDescent="0.3">
      <c r="B2414" s="178"/>
      <c r="C2414" s="179"/>
      <c r="D2414" s="180"/>
      <c r="E2414" s="181"/>
      <c r="F2414" s="182"/>
      <c r="G2414" s="1" t="str">
        <f>IFERROR(IF(ventas_b_mes11[[#This Row],[CUIT]]="","-",VLOOKUP(ventas_b_mes11[[#This Row],[CUIT]],Lista_CUIT[#All],2,0)),"CUIT NO CARGADO")</f>
        <v>-</v>
      </c>
      <c r="H2414" s="64">
        <f>ventas_b_mes11[[#This Row],[TOTAL]]/1.21</f>
        <v>0</v>
      </c>
      <c r="I2414" s="183">
        <f>ventas_b_mes11[[#This Row],[IMPORTE NETO]]*0.21</f>
        <v>0</v>
      </c>
      <c r="J2414" s="184"/>
      <c r="K2414" s="184"/>
      <c r="L2414" s="184"/>
      <c r="M2414" s="59"/>
    </row>
    <row r="2415" spans="2:13" x14ac:dyDescent="0.3">
      <c r="B2415" s="178"/>
      <c r="C2415" s="179"/>
      <c r="D2415" s="180"/>
      <c r="E2415" s="181"/>
      <c r="F2415" s="182"/>
      <c r="G2415" s="1" t="str">
        <f>IFERROR(IF(ventas_b_mes11[[#This Row],[CUIT]]="","-",VLOOKUP(ventas_b_mes11[[#This Row],[CUIT]],Lista_CUIT[#All],2,0)),"CUIT NO CARGADO")</f>
        <v>-</v>
      </c>
      <c r="H2415" s="64">
        <f>ventas_b_mes11[[#This Row],[TOTAL]]/1.21</f>
        <v>0</v>
      </c>
      <c r="I2415" s="183">
        <f>ventas_b_mes11[[#This Row],[IMPORTE NETO]]*0.21</f>
        <v>0</v>
      </c>
      <c r="J2415" s="184"/>
      <c r="K2415" s="184"/>
      <c r="L2415" s="184"/>
      <c r="M2415" s="59"/>
    </row>
    <row r="2416" spans="2:13" x14ac:dyDescent="0.3">
      <c r="B2416" s="178"/>
      <c r="C2416" s="179"/>
      <c r="D2416" s="180"/>
      <c r="E2416" s="181"/>
      <c r="F2416" s="182"/>
      <c r="G2416" s="1" t="str">
        <f>IFERROR(IF(ventas_b_mes11[[#This Row],[CUIT]]="","-",VLOOKUP(ventas_b_mes11[[#This Row],[CUIT]],Lista_CUIT[#All],2,0)),"CUIT NO CARGADO")</f>
        <v>-</v>
      </c>
      <c r="H2416" s="64">
        <f>ventas_b_mes11[[#This Row],[TOTAL]]/1.21</f>
        <v>0</v>
      </c>
      <c r="I2416" s="183">
        <f>ventas_b_mes11[[#This Row],[IMPORTE NETO]]*0.21</f>
        <v>0</v>
      </c>
      <c r="J2416" s="184"/>
      <c r="K2416" s="184"/>
      <c r="L2416" s="184"/>
      <c r="M2416" s="59"/>
    </row>
    <row r="2417" spans="2:13" x14ac:dyDescent="0.3">
      <c r="B2417" s="178"/>
      <c r="C2417" s="179"/>
      <c r="D2417" s="180"/>
      <c r="E2417" s="181"/>
      <c r="F2417" s="182"/>
      <c r="G2417" s="1" t="str">
        <f>IFERROR(IF(ventas_b_mes11[[#This Row],[CUIT]]="","-",VLOOKUP(ventas_b_mes11[[#This Row],[CUIT]],Lista_CUIT[#All],2,0)),"CUIT NO CARGADO")</f>
        <v>-</v>
      </c>
      <c r="H2417" s="64">
        <f>ventas_b_mes11[[#This Row],[TOTAL]]/1.21</f>
        <v>0</v>
      </c>
      <c r="I2417" s="183">
        <f>ventas_b_mes11[[#This Row],[IMPORTE NETO]]*0.21</f>
        <v>0</v>
      </c>
      <c r="J2417" s="184"/>
      <c r="K2417" s="184"/>
      <c r="L2417" s="184"/>
      <c r="M2417" s="59"/>
    </row>
    <row r="2418" spans="2:13" x14ac:dyDescent="0.3">
      <c r="B2418" s="178"/>
      <c r="C2418" s="179"/>
      <c r="D2418" s="180"/>
      <c r="E2418" s="181"/>
      <c r="F2418" s="182"/>
      <c r="G2418" s="1" t="str">
        <f>IFERROR(IF(ventas_b_mes11[[#This Row],[CUIT]]="","-",VLOOKUP(ventas_b_mes11[[#This Row],[CUIT]],Lista_CUIT[#All],2,0)),"CUIT NO CARGADO")</f>
        <v>-</v>
      </c>
      <c r="H2418" s="64">
        <f>ventas_b_mes11[[#This Row],[TOTAL]]/1.21</f>
        <v>0</v>
      </c>
      <c r="I2418" s="183">
        <f>ventas_b_mes11[[#This Row],[IMPORTE NETO]]*0.21</f>
        <v>0</v>
      </c>
      <c r="J2418" s="184"/>
      <c r="K2418" s="184"/>
      <c r="L2418" s="184"/>
      <c r="M2418" s="59"/>
    </row>
    <row r="2419" spans="2:13" x14ac:dyDescent="0.3">
      <c r="B2419" s="178"/>
      <c r="C2419" s="179"/>
      <c r="D2419" s="180"/>
      <c r="E2419" s="181"/>
      <c r="F2419" s="182"/>
      <c r="G2419" s="1" t="str">
        <f>IFERROR(IF(ventas_b_mes11[[#This Row],[CUIT]]="","-",VLOOKUP(ventas_b_mes11[[#This Row],[CUIT]],Lista_CUIT[#All],2,0)),"CUIT NO CARGADO")</f>
        <v>-</v>
      </c>
      <c r="H2419" s="64">
        <f>ventas_b_mes11[[#This Row],[TOTAL]]/1.21</f>
        <v>0</v>
      </c>
      <c r="I2419" s="183">
        <f>ventas_b_mes11[[#This Row],[IMPORTE NETO]]*0.21</f>
        <v>0</v>
      </c>
      <c r="J2419" s="184"/>
      <c r="K2419" s="184"/>
      <c r="L2419" s="184"/>
      <c r="M2419" s="59"/>
    </row>
    <row r="2420" spans="2:13" x14ac:dyDescent="0.3">
      <c r="B2420" s="178"/>
      <c r="C2420" s="179"/>
      <c r="D2420" s="180"/>
      <c r="E2420" s="181"/>
      <c r="F2420" s="182"/>
      <c r="G2420" s="1" t="str">
        <f>IFERROR(IF(ventas_b_mes11[[#This Row],[CUIT]]="","-",VLOOKUP(ventas_b_mes11[[#This Row],[CUIT]],Lista_CUIT[#All],2,0)),"CUIT NO CARGADO")</f>
        <v>-</v>
      </c>
      <c r="H2420" s="64">
        <f>ventas_b_mes11[[#This Row],[TOTAL]]/1.21</f>
        <v>0</v>
      </c>
      <c r="I2420" s="183">
        <f>ventas_b_mes11[[#This Row],[IMPORTE NETO]]*0.21</f>
        <v>0</v>
      </c>
      <c r="J2420" s="184"/>
      <c r="K2420" s="184"/>
      <c r="L2420" s="184"/>
      <c r="M2420" s="59"/>
    </row>
    <row r="2421" spans="2:13" x14ac:dyDescent="0.3">
      <c r="B2421" s="178"/>
      <c r="C2421" s="179"/>
      <c r="D2421" s="180"/>
      <c r="E2421" s="181"/>
      <c r="F2421" s="182"/>
      <c r="G2421" s="1" t="str">
        <f>IFERROR(IF(ventas_b_mes11[[#This Row],[CUIT]]="","-",VLOOKUP(ventas_b_mes11[[#This Row],[CUIT]],Lista_CUIT[#All],2,0)),"CUIT NO CARGADO")</f>
        <v>-</v>
      </c>
      <c r="H2421" s="64">
        <f>ventas_b_mes11[[#This Row],[TOTAL]]/1.21</f>
        <v>0</v>
      </c>
      <c r="I2421" s="183">
        <f>ventas_b_mes11[[#This Row],[IMPORTE NETO]]*0.21</f>
        <v>0</v>
      </c>
      <c r="J2421" s="184"/>
      <c r="K2421" s="184"/>
      <c r="L2421" s="184"/>
      <c r="M2421" s="59"/>
    </row>
    <row r="2422" spans="2:13" x14ac:dyDescent="0.3">
      <c r="B2422" s="178"/>
      <c r="C2422" s="179"/>
      <c r="D2422" s="180"/>
      <c r="E2422" s="181"/>
      <c r="F2422" s="182"/>
      <c r="G2422" s="1" t="str">
        <f>IFERROR(IF(ventas_b_mes11[[#This Row],[CUIT]]="","-",VLOOKUP(ventas_b_mes11[[#This Row],[CUIT]],Lista_CUIT[#All],2,0)),"CUIT NO CARGADO")</f>
        <v>-</v>
      </c>
      <c r="H2422" s="64">
        <f>ventas_b_mes11[[#This Row],[TOTAL]]/1.21</f>
        <v>0</v>
      </c>
      <c r="I2422" s="183">
        <f>ventas_b_mes11[[#This Row],[IMPORTE NETO]]*0.21</f>
        <v>0</v>
      </c>
      <c r="J2422" s="184"/>
      <c r="K2422" s="184"/>
      <c r="L2422" s="184"/>
      <c r="M2422" s="59"/>
    </row>
    <row r="2423" spans="2:13" x14ac:dyDescent="0.3">
      <c r="B2423" s="178"/>
      <c r="C2423" s="179"/>
      <c r="D2423" s="180"/>
      <c r="E2423" s="181"/>
      <c r="F2423" s="182"/>
      <c r="G2423" s="1" t="str">
        <f>IFERROR(IF(ventas_b_mes11[[#This Row],[CUIT]]="","-",VLOOKUP(ventas_b_mes11[[#This Row],[CUIT]],Lista_CUIT[#All],2,0)),"CUIT NO CARGADO")</f>
        <v>-</v>
      </c>
      <c r="H2423" s="64">
        <f>ventas_b_mes11[[#This Row],[TOTAL]]/1.21</f>
        <v>0</v>
      </c>
      <c r="I2423" s="183">
        <f>ventas_b_mes11[[#This Row],[IMPORTE NETO]]*0.21</f>
        <v>0</v>
      </c>
      <c r="J2423" s="184"/>
      <c r="K2423" s="184"/>
      <c r="L2423" s="184"/>
      <c r="M2423" s="59"/>
    </row>
    <row r="2424" spans="2:13" x14ac:dyDescent="0.3">
      <c r="B2424" s="178"/>
      <c r="C2424" s="179"/>
      <c r="D2424" s="180"/>
      <c r="E2424" s="181"/>
      <c r="F2424" s="182"/>
      <c r="G2424" s="1" t="str">
        <f>IFERROR(IF(ventas_b_mes11[[#This Row],[CUIT]]="","-",VLOOKUP(ventas_b_mes11[[#This Row],[CUIT]],Lista_CUIT[#All],2,0)),"CUIT NO CARGADO")</f>
        <v>-</v>
      </c>
      <c r="H2424" s="64">
        <f>ventas_b_mes11[[#This Row],[TOTAL]]/1.21</f>
        <v>0</v>
      </c>
      <c r="I2424" s="183">
        <f>ventas_b_mes11[[#This Row],[IMPORTE NETO]]*0.21</f>
        <v>0</v>
      </c>
      <c r="J2424" s="184"/>
      <c r="K2424" s="184"/>
      <c r="L2424" s="184"/>
      <c r="M2424" s="59"/>
    </row>
    <row r="2425" spans="2:13" x14ac:dyDescent="0.3">
      <c r="B2425" s="178"/>
      <c r="C2425" s="179"/>
      <c r="D2425" s="180"/>
      <c r="E2425" s="181"/>
      <c r="F2425" s="182"/>
      <c r="G2425" s="1" t="str">
        <f>IFERROR(IF(ventas_b_mes11[[#This Row],[CUIT]]="","-",VLOOKUP(ventas_b_mes11[[#This Row],[CUIT]],Lista_CUIT[#All],2,0)),"CUIT NO CARGADO")</f>
        <v>-</v>
      </c>
      <c r="H2425" s="64">
        <f>ventas_b_mes11[[#This Row],[TOTAL]]/1.21</f>
        <v>0</v>
      </c>
      <c r="I2425" s="183">
        <f>ventas_b_mes11[[#This Row],[IMPORTE NETO]]*0.21</f>
        <v>0</v>
      </c>
      <c r="J2425" s="184"/>
      <c r="K2425" s="184"/>
      <c r="L2425" s="184"/>
      <c r="M2425" s="59"/>
    </row>
    <row r="2426" spans="2:13" x14ac:dyDescent="0.3">
      <c r="B2426" s="178"/>
      <c r="C2426" s="179"/>
      <c r="D2426" s="180"/>
      <c r="E2426" s="181"/>
      <c r="F2426" s="182"/>
      <c r="G2426" s="1" t="str">
        <f>IFERROR(IF(ventas_b_mes11[[#This Row],[CUIT]]="","-",VLOOKUP(ventas_b_mes11[[#This Row],[CUIT]],Lista_CUIT[#All],2,0)),"CUIT NO CARGADO")</f>
        <v>-</v>
      </c>
      <c r="H2426" s="64">
        <f>ventas_b_mes11[[#This Row],[TOTAL]]/1.21</f>
        <v>0</v>
      </c>
      <c r="I2426" s="183">
        <f>ventas_b_mes11[[#This Row],[IMPORTE NETO]]*0.21</f>
        <v>0</v>
      </c>
      <c r="J2426" s="184"/>
      <c r="K2426" s="184"/>
      <c r="L2426" s="184"/>
      <c r="M2426" s="59"/>
    </row>
    <row r="2427" spans="2:13" x14ac:dyDescent="0.3">
      <c r="B2427" s="178"/>
      <c r="C2427" s="179"/>
      <c r="D2427" s="180"/>
      <c r="E2427" s="181"/>
      <c r="F2427" s="182"/>
      <c r="G2427" s="1" t="str">
        <f>IFERROR(IF(ventas_b_mes11[[#This Row],[CUIT]]="","-",VLOOKUP(ventas_b_mes11[[#This Row],[CUIT]],Lista_CUIT[#All],2,0)),"CUIT NO CARGADO")</f>
        <v>-</v>
      </c>
      <c r="H2427" s="64">
        <f>ventas_b_mes11[[#This Row],[TOTAL]]/1.21</f>
        <v>0</v>
      </c>
      <c r="I2427" s="183">
        <f>ventas_b_mes11[[#This Row],[IMPORTE NETO]]*0.21</f>
        <v>0</v>
      </c>
      <c r="J2427" s="184"/>
      <c r="K2427" s="184"/>
      <c r="L2427" s="184"/>
      <c r="M2427" s="59"/>
    </row>
    <row r="2428" spans="2:13" x14ac:dyDescent="0.3">
      <c r="B2428" s="178"/>
      <c r="C2428" s="179"/>
      <c r="D2428" s="180"/>
      <c r="E2428" s="181"/>
      <c r="F2428" s="182"/>
      <c r="G2428" s="1" t="str">
        <f>IFERROR(IF(ventas_b_mes11[[#This Row],[CUIT]]="","-",VLOOKUP(ventas_b_mes11[[#This Row],[CUIT]],Lista_CUIT[#All],2,0)),"CUIT NO CARGADO")</f>
        <v>-</v>
      </c>
      <c r="H2428" s="64">
        <f>ventas_b_mes11[[#This Row],[TOTAL]]/1.21</f>
        <v>0</v>
      </c>
      <c r="I2428" s="183">
        <f>ventas_b_mes11[[#This Row],[IMPORTE NETO]]*0.21</f>
        <v>0</v>
      </c>
      <c r="J2428" s="184"/>
      <c r="K2428" s="184"/>
      <c r="L2428" s="184"/>
      <c r="M2428" s="59"/>
    </row>
    <row r="2429" spans="2:13" x14ac:dyDescent="0.3">
      <c r="B2429" s="178"/>
      <c r="C2429" s="179"/>
      <c r="D2429" s="180"/>
      <c r="E2429" s="181"/>
      <c r="F2429" s="182"/>
      <c r="G2429" s="1" t="str">
        <f>IFERROR(IF(ventas_b_mes11[[#This Row],[CUIT]]="","-",VLOOKUP(ventas_b_mes11[[#This Row],[CUIT]],Lista_CUIT[#All],2,0)),"CUIT NO CARGADO")</f>
        <v>-</v>
      </c>
      <c r="H2429" s="64">
        <f>ventas_b_mes11[[#This Row],[TOTAL]]/1.21</f>
        <v>0</v>
      </c>
      <c r="I2429" s="183">
        <f>ventas_b_mes11[[#This Row],[IMPORTE NETO]]*0.21</f>
        <v>0</v>
      </c>
      <c r="J2429" s="184"/>
      <c r="K2429" s="184"/>
      <c r="L2429" s="184"/>
      <c r="M2429" s="59"/>
    </row>
    <row r="2430" spans="2:13" x14ac:dyDescent="0.3">
      <c r="B2430" s="178"/>
      <c r="C2430" s="179"/>
      <c r="D2430" s="180"/>
      <c r="E2430" s="181"/>
      <c r="F2430" s="182"/>
      <c r="G2430" s="1" t="str">
        <f>IFERROR(IF(ventas_b_mes11[[#This Row],[CUIT]]="","-",VLOOKUP(ventas_b_mes11[[#This Row],[CUIT]],Lista_CUIT[#All],2,0)),"CUIT NO CARGADO")</f>
        <v>-</v>
      </c>
      <c r="H2430" s="64">
        <f>ventas_b_mes11[[#This Row],[TOTAL]]/1.21</f>
        <v>0</v>
      </c>
      <c r="I2430" s="183">
        <f>ventas_b_mes11[[#This Row],[IMPORTE NETO]]*0.21</f>
        <v>0</v>
      </c>
      <c r="J2430" s="184"/>
      <c r="K2430" s="184"/>
      <c r="L2430" s="184"/>
      <c r="M2430" s="59"/>
    </row>
    <row r="2431" spans="2:13" x14ac:dyDescent="0.3">
      <c r="B2431" s="178"/>
      <c r="C2431" s="179"/>
      <c r="D2431" s="180"/>
      <c r="E2431" s="181"/>
      <c r="F2431" s="182"/>
      <c r="G2431" s="1" t="str">
        <f>IFERROR(IF(ventas_b_mes11[[#This Row],[CUIT]]="","-",VLOOKUP(ventas_b_mes11[[#This Row],[CUIT]],Lista_CUIT[#All],2,0)),"CUIT NO CARGADO")</f>
        <v>-</v>
      </c>
      <c r="H2431" s="64">
        <f>ventas_b_mes11[[#This Row],[TOTAL]]/1.21</f>
        <v>0</v>
      </c>
      <c r="I2431" s="183">
        <f>ventas_b_mes11[[#This Row],[IMPORTE NETO]]*0.21</f>
        <v>0</v>
      </c>
      <c r="J2431" s="184"/>
      <c r="K2431" s="184"/>
      <c r="L2431" s="184"/>
      <c r="M2431" s="59"/>
    </row>
    <row r="2432" spans="2:13" x14ac:dyDescent="0.3">
      <c r="B2432" s="178"/>
      <c r="C2432" s="179"/>
      <c r="D2432" s="180"/>
      <c r="E2432" s="181"/>
      <c r="F2432" s="182"/>
      <c r="G2432" s="1" t="str">
        <f>IFERROR(IF(ventas_b_mes11[[#This Row],[CUIT]]="","-",VLOOKUP(ventas_b_mes11[[#This Row],[CUIT]],Lista_CUIT[#All],2,0)),"CUIT NO CARGADO")</f>
        <v>-</v>
      </c>
      <c r="H2432" s="64">
        <f>ventas_b_mes11[[#This Row],[TOTAL]]/1.21</f>
        <v>0</v>
      </c>
      <c r="I2432" s="183">
        <f>ventas_b_mes11[[#This Row],[IMPORTE NETO]]*0.21</f>
        <v>0</v>
      </c>
      <c r="J2432" s="184"/>
      <c r="K2432" s="184"/>
      <c r="L2432" s="184"/>
      <c r="M2432" s="59"/>
    </row>
    <row r="2433" spans="2:13" x14ac:dyDescent="0.3">
      <c r="B2433" s="178"/>
      <c r="C2433" s="179"/>
      <c r="D2433" s="180"/>
      <c r="E2433" s="181"/>
      <c r="F2433" s="182"/>
      <c r="G2433" s="1" t="str">
        <f>IFERROR(IF(ventas_b_mes11[[#This Row],[CUIT]]="","-",VLOOKUP(ventas_b_mes11[[#This Row],[CUIT]],Lista_CUIT[#All],2,0)),"CUIT NO CARGADO")</f>
        <v>-</v>
      </c>
      <c r="H2433" s="64">
        <f>ventas_b_mes11[[#This Row],[TOTAL]]/1.21</f>
        <v>0</v>
      </c>
      <c r="I2433" s="183">
        <f>ventas_b_mes11[[#This Row],[IMPORTE NETO]]*0.21</f>
        <v>0</v>
      </c>
      <c r="J2433" s="184"/>
      <c r="K2433" s="184"/>
      <c r="L2433" s="184"/>
      <c r="M2433" s="59"/>
    </row>
    <row r="2434" spans="2:13" x14ac:dyDescent="0.3">
      <c r="B2434" s="178"/>
      <c r="C2434" s="179"/>
      <c r="D2434" s="180"/>
      <c r="E2434" s="181"/>
      <c r="F2434" s="182"/>
      <c r="G2434" s="1" t="str">
        <f>IFERROR(IF(ventas_b_mes11[[#This Row],[CUIT]]="","-",VLOOKUP(ventas_b_mes11[[#This Row],[CUIT]],Lista_CUIT[#All],2,0)),"CUIT NO CARGADO")</f>
        <v>-</v>
      </c>
      <c r="H2434" s="64">
        <f>ventas_b_mes11[[#This Row],[TOTAL]]/1.21</f>
        <v>0</v>
      </c>
      <c r="I2434" s="183">
        <f>ventas_b_mes11[[#This Row],[IMPORTE NETO]]*0.21</f>
        <v>0</v>
      </c>
      <c r="J2434" s="184"/>
      <c r="K2434" s="184"/>
      <c r="L2434" s="184"/>
      <c r="M2434" s="59"/>
    </row>
    <row r="2435" spans="2:13" x14ac:dyDescent="0.3">
      <c r="B2435" s="178"/>
      <c r="C2435" s="179"/>
      <c r="D2435" s="180"/>
      <c r="E2435" s="181"/>
      <c r="F2435" s="182"/>
      <c r="G2435" s="1" t="str">
        <f>IFERROR(IF(ventas_b_mes11[[#This Row],[CUIT]]="","-",VLOOKUP(ventas_b_mes11[[#This Row],[CUIT]],Lista_CUIT[#All],2,0)),"CUIT NO CARGADO")</f>
        <v>-</v>
      </c>
      <c r="H2435" s="64">
        <f>ventas_b_mes11[[#This Row],[TOTAL]]/1.21</f>
        <v>0</v>
      </c>
      <c r="I2435" s="183">
        <f>ventas_b_mes11[[#This Row],[IMPORTE NETO]]*0.21</f>
        <v>0</v>
      </c>
      <c r="J2435" s="184"/>
      <c r="K2435" s="184"/>
      <c r="L2435" s="184"/>
      <c r="M2435" s="59"/>
    </row>
    <row r="2436" spans="2:13" x14ac:dyDescent="0.3">
      <c r="B2436" s="178"/>
      <c r="C2436" s="179"/>
      <c r="D2436" s="180"/>
      <c r="E2436" s="181"/>
      <c r="F2436" s="182"/>
      <c r="G2436" s="1" t="str">
        <f>IFERROR(IF(ventas_b_mes11[[#This Row],[CUIT]]="","-",VLOOKUP(ventas_b_mes11[[#This Row],[CUIT]],Lista_CUIT[#All],2,0)),"CUIT NO CARGADO")</f>
        <v>-</v>
      </c>
      <c r="H2436" s="64">
        <f>ventas_b_mes11[[#This Row],[TOTAL]]/1.21</f>
        <v>0</v>
      </c>
      <c r="I2436" s="183">
        <f>ventas_b_mes11[[#This Row],[IMPORTE NETO]]*0.21</f>
        <v>0</v>
      </c>
      <c r="J2436" s="184"/>
      <c r="K2436" s="184"/>
      <c r="L2436" s="184"/>
      <c r="M2436" s="59"/>
    </row>
    <row r="2437" spans="2:13" x14ac:dyDescent="0.3">
      <c r="B2437" s="178"/>
      <c r="C2437" s="179"/>
      <c r="D2437" s="180"/>
      <c r="E2437" s="181"/>
      <c r="F2437" s="182"/>
      <c r="G2437" s="1" t="str">
        <f>IFERROR(IF(ventas_b_mes11[[#This Row],[CUIT]]="","-",VLOOKUP(ventas_b_mes11[[#This Row],[CUIT]],Lista_CUIT[#All],2,0)),"CUIT NO CARGADO")</f>
        <v>-</v>
      </c>
      <c r="H2437" s="64">
        <f>ventas_b_mes11[[#This Row],[TOTAL]]/1.21</f>
        <v>0</v>
      </c>
      <c r="I2437" s="183">
        <f>ventas_b_mes11[[#This Row],[IMPORTE NETO]]*0.21</f>
        <v>0</v>
      </c>
      <c r="J2437" s="184"/>
      <c r="K2437" s="184"/>
      <c r="L2437" s="184"/>
      <c r="M2437" s="59"/>
    </row>
    <row r="2438" spans="2:13" x14ac:dyDescent="0.3">
      <c r="B2438" s="178"/>
      <c r="C2438" s="179"/>
      <c r="D2438" s="180"/>
      <c r="E2438" s="181"/>
      <c r="F2438" s="182"/>
      <c r="G2438" s="1" t="str">
        <f>IFERROR(IF(ventas_b_mes11[[#This Row],[CUIT]]="","-",VLOOKUP(ventas_b_mes11[[#This Row],[CUIT]],Lista_CUIT[#All],2,0)),"CUIT NO CARGADO")</f>
        <v>-</v>
      </c>
      <c r="H2438" s="64">
        <f>ventas_b_mes11[[#This Row],[TOTAL]]/1.21</f>
        <v>0</v>
      </c>
      <c r="I2438" s="183">
        <f>ventas_b_mes11[[#This Row],[IMPORTE NETO]]*0.21</f>
        <v>0</v>
      </c>
      <c r="J2438" s="184"/>
      <c r="K2438" s="184"/>
      <c r="L2438" s="184"/>
      <c r="M2438" s="59"/>
    </row>
    <row r="2439" spans="2:13" x14ac:dyDescent="0.3">
      <c r="B2439" s="178"/>
      <c r="C2439" s="179"/>
      <c r="D2439" s="180"/>
      <c r="E2439" s="181"/>
      <c r="F2439" s="182"/>
      <c r="G2439" s="1" t="str">
        <f>IFERROR(IF(ventas_b_mes11[[#This Row],[CUIT]]="","-",VLOOKUP(ventas_b_mes11[[#This Row],[CUIT]],Lista_CUIT[#All],2,0)),"CUIT NO CARGADO")</f>
        <v>-</v>
      </c>
      <c r="H2439" s="64">
        <f>ventas_b_mes11[[#This Row],[TOTAL]]/1.21</f>
        <v>0</v>
      </c>
      <c r="I2439" s="183">
        <f>ventas_b_mes11[[#This Row],[IMPORTE NETO]]*0.21</f>
        <v>0</v>
      </c>
      <c r="J2439" s="184"/>
      <c r="K2439" s="184"/>
      <c r="L2439" s="184"/>
      <c r="M2439" s="59"/>
    </row>
    <row r="2440" spans="2:13" x14ac:dyDescent="0.3">
      <c r="B2440" s="178"/>
      <c r="C2440" s="179"/>
      <c r="D2440" s="180"/>
      <c r="E2440" s="181"/>
      <c r="F2440" s="182"/>
      <c r="G2440" s="1" t="str">
        <f>IFERROR(IF(ventas_b_mes11[[#This Row],[CUIT]]="","-",VLOOKUP(ventas_b_mes11[[#This Row],[CUIT]],Lista_CUIT[#All],2,0)),"CUIT NO CARGADO")</f>
        <v>-</v>
      </c>
      <c r="H2440" s="64">
        <f>ventas_b_mes11[[#This Row],[TOTAL]]/1.21</f>
        <v>0</v>
      </c>
      <c r="I2440" s="183">
        <f>ventas_b_mes11[[#This Row],[IMPORTE NETO]]*0.21</f>
        <v>0</v>
      </c>
      <c r="J2440" s="184"/>
      <c r="K2440" s="184"/>
      <c r="L2440" s="184"/>
      <c r="M2440" s="59"/>
    </row>
    <row r="2441" spans="2:13" x14ac:dyDescent="0.3">
      <c r="B2441" s="178"/>
      <c r="C2441" s="179"/>
      <c r="D2441" s="180"/>
      <c r="E2441" s="181"/>
      <c r="F2441" s="182"/>
      <c r="G2441" s="1" t="str">
        <f>IFERROR(IF(ventas_b_mes11[[#This Row],[CUIT]]="","-",VLOOKUP(ventas_b_mes11[[#This Row],[CUIT]],Lista_CUIT[#All],2,0)),"CUIT NO CARGADO")</f>
        <v>-</v>
      </c>
      <c r="H2441" s="64">
        <f>ventas_b_mes11[[#This Row],[TOTAL]]/1.21</f>
        <v>0</v>
      </c>
      <c r="I2441" s="183">
        <f>ventas_b_mes11[[#This Row],[IMPORTE NETO]]*0.21</f>
        <v>0</v>
      </c>
      <c r="J2441" s="184"/>
      <c r="K2441" s="184"/>
      <c r="L2441" s="184"/>
      <c r="M2441" s="59"/>
    </row>
    <row r="2442" spans="2:13" x14ac:dyDescent="0.3">
      <c r="B2442" s="178"/>
      <c r="C2442" s="179"/>
      <c r="D2442" s="180"/>
      <c r="E2442" s="181"/>
      <c r="F2442" s="182"/>
      <c r="G2442" s="1" t="str">
        <f>IFERROR(IF(ventas_b_mes11[[#This Row],[CUIT]]="","-",VLOOKUP(ventas_b_mes11[[#This Row],[CUIT]],Lista_CUIT[#All],2,0)),"CUIT NO CARGADO")</f>
        <v>-</v>
      </c>
      <c r="H2442" s="64">
        <f>ventas_b_mes11[[#This Row],[TOTAL]]/1.21</f>
        <v>0</v>
      </c>
      <c r="I2442" s="183">
        <f>ventas_b_mes11[[#This Row],[IMPORTE NETO]]*0.21</f>
        <v>0</v>
      </c>
      <c r="J2442" s="184"/>
      <c r="K2442" s="184"/>
      <c r="L2442" s="184"/>
      <c r="M2442" s="59"/>
    </row>
    <row r="2443" spans="2:13" x14ac:dyDescent="0.3">
      <c r="B2443" s="178"/>
      <c r="C2443" s="179"/>
      <c r="D2443" s="180"/>
      <c r="E2443" s="181"/>
      <c r="F2443" s="182"/>
      <c r="G2443" s="1" t="str">
        <f>IFERROR(IF(ventas_b_mes11[[#This Row],[CUIT]]="","-",VLOOKUP(ventas_b_mes11[[#This Row],[CUIT]],Lista_CUIT[#All],2,0)),"CUIT NO CARGADO")</f>
        <v>-</v>
      </c>
      <c r="H2443" s="64">
        <f>ventas_b_mes11[[#This Row],[TOTAL]]/1.21</f>
        <v>0</v>
      </c>
      <c r="I2443" s="183">
        <f>ventas_b_mes11[[#This Row],[IMPORTE NETO]]*0.21</f>
        <v>0</v>
      </c>
      <c r="J2443" s="184"/>
      <c r="K2443" s="184"/>
      <c r="L2443" s="184"/>
      <c r="M2443" s="59"/>
    </row>
    <row r="2444" spans="2:13" x14ac:dyDescent="0.3">
      <c r="B2444" s="178"/>
      <c r="C2444" s="179"/>
      <c r="D2444" s="180"/>
      <c r="E2444" s="181"/>
      <c r="F2444" s="182"/>
      <c r="G2444" s="1" t="str">
        <f>IFERROR(IF(ventas_b_mes11[[#This Row],[CUIT]]="","-",VLOOKUP(ventas_b_mes11[[#This Row],[CUIT]],Lista_CUIT[#All],2,0)),"CUIT NO CARGADO")</f>
        <v>-</v>
      </c>
      <c r="H2444" s="64">
        <f>ventas_b_mes11[[#This Row],[TOTAL]]/1.21</f>
        <v>0</v>
      </c>
      <c r="I2444" s="183">
        <f>ventas_b_mes11[[#This Row],[IMPORTE NETO]]*0.21</f>
        <v>0</v>
      </c>
      <c r="J2444" s="184"/>
      <c r="K2444" s="184"/>
      <c r="L2444" s="184"/>
      <c r="M2444" s="59"/>
    </row>
    <row r="2445" spans="2:13" x14ac:dyDescent="0.3">
      <c r="B2445" s="178"/>
      <c r="C2445" s="179"/>
      <c r="D2445" s="180"/>
      <c r="E2445" s="181"/>
      <c r="F2445" s="182"/>
      <c r="G2445" s="1" t="str">
        <f>IFERROR(IF(ventas_b_mes11[[#This Row],[CUIT]]="","-",VLOOKUP(ventas_b_mes11[[#This Row],[CUIT]],Lista_CUIT[#All],2,0)),"CUIT NO CARGADO")</f>
        <v>-</v>
      </c>
      <c r="H2445" s="64">
        <f>ventas_b_mes11[[#This Row],[TOTAL]]/1.21</f>
        <v>0</v>
      </c>
      <c r="I2445" s="183">
        <f>ventas_b_mes11[[#This Row],[IMPORTE NETO]]*0.21</f>
        <v>0</v>
      </c>
      <c r="J2445" s="184"/>
      <c r="K2445" s="184"/>
      <c r="L2445" s="184"/>
      <c r="M2445" s="59"/>
    </row>
    <row r="2446" spans="2:13" x14ac:dyDescent="0.3">
      <c r="B2446" s="178"/>
      <c r="C2446" s="179"/>
      <c r="D2446" s="180"/>
      <c r="E2446" s="181"/>
      <c r="F2446" s="182"/>
      <c r="G2446" s="1" t="str">
        <f>IFERROR(IF(ventas_b_mes11[[#This Row],[CUIT]]="","-",VLOOKUP(ventas_b_mes11[[#This Row],[CUIT]],Lista_CUIT[#All],2,0)),"CUIT NO CARGADO")</f>
        <v>-</v>
      </c>
      <c r="H2446" s="64">
        <f>ventas_b_mes11[[#This Row],[TOTAL]]/1.21</f>
        <v>0</v>
      </c>
      <c r="I2446" s="183">
        <f>ventas_b_mes11[[#This Row],[IMPORTE NETO]]*0.21</f>
        <v>0</v>
      </c>
      <c r="J2446" s="184"/>
      <c r="K2446" s="184"/>
      <c r="L2446" s="184"/>
      <c r="M2446" s="59"/>
    </row>
    <row r="2447" spans="2:13" x14ac:dyDescent="0.3">
      <c r="B2447" s="178"/>
      <c r="C2447" s="179"/>
      <c r="D2447" s="180"/>
      <c r="E2447" s="181"/>
      <c r="F2447" s="182"/>
      <c r="G2447" s="1" t="str">
        <f>IFERROR(IF(ventas_b_mes11[[#This Row],[CUIT]]="","-",VLOOKUP(ventas_b_mes11[[#This Row],[CUIT]],Lista_CUIT[#All],2,0)),"CUIT NO CARGADO")</f>
        <v>-</v>
      </c>
      <c r="H2447" s="64">
        <f>ventas_b_mes11[[#This Row],[TOTAL]]/1.21</f>
        <v>0</v>
      </c>
      <c r="I2447" s="183">
        <f>ventas_b_mes11[[#This Row],[IMPORTE NETO]]*0.21</f>
        <v>0</v>
      </c>
      <c r="J2447" s="184"/>
      <c r="K2447" s="184"/>
      <c r="L2447" s="184"/>
      <c r="M2447" s="59"/>
    </row>
    <row r="2448" spans="2:13" x14ac:dyDescent="0.3">
      <c r="B2448" s="178"/>
      <c r="C2448" s="179"/>
      <c r="D2448" s="180"/>
      <c r="E2448" s="181"/>
      <c r="F2448" s="182"/>
      <c r="G2448" s="1" t="str">
        <f>IFERROR(IF(ventas_b_mes11[[#This Row],[CUIT]]="","-",VLOOKUP(ventas_b_mes11[[#This Row],[CUIT]],Lista_CUIT[#All],2,0)),"CUIT NO CARGADO")</f>
        <v>-</v>
      </c>
      <c r="H2448" s="64">
        <f>ventas_b_mes11[[#This Row],[TOTAL]]/1.21</f>
        <v>0</v>
      </c>
      <c r="I2448" s="183">
        <f>ventas_b_mes11[[#This Row],[IMPORTE NETO]]*0.21</f>
        <v>0</v>
      </c>
      <c r="J2448" s="184"/>
      <c r="K2448" s="184"/>
      <c r="L2448" s="184"/>
      <c r="M2448" s="59"/>
    </row>
    <row r="2449" spans="2:13" x14ac:dyDescent="0.3">
      <c r="B2449" s="178"/>
      <c r="C2449" s="179"/>
      <c r="D2449" s="180"/>
      <c r="E2449" s="181"/>
      <c r="F2449" s="182"/>
      <c r="G2449" s="1" t="str">
        <f>IFERROR(IF(ventas_b_mes11[[#This Row],[CUIT]]="","-",VLOOKUP(ventas_b_mes11[[#This Row],[CUIT]],Lista_CUIT[#All],2,0)),"CUIT NO CARGADO")</f>
        <v>-</v>
      </c>
      <c r="H2449" s="64">
        <f>ventas_b_mes11[[#This Row],[TOTAL]]/1.21</f>
        <v>0</v>
      </c>
      <c r="I2449" s="183">
        <f>ventas_b_mes11[[#This Row],[IMPORTE NETO]]*0.21</f>
        <v>0</v>
      </c>
      <c r="J2449" s="184"/>
      <c r="K2449" s="184"/>
      <c r="L2449" s="184"/>
      <c r="M2449" s="59"/>
    </row>
    <row r="2450" spans="2:13" x14ac:dyDescent="0.3">
      <c r="B2450" s="178"/>
      <c r="C2450" s="179"/>
      <c r="D2450" s="180"/>
      <c r="E2450" s="181"/>
      <c r="F2450" s="182"/>
      <c r="G2450" s="1" t="str">
        <f>IFERROR(IF(ventas_b_mes11[[#This Row],[CUIT]]="","-",VLOOKUP(ventas_b_mes11[[#This Row],[CUIT]],Lista_CUIT[#All],2,0)),"CUIT NO CARGADO")</f>
        <v>-</v>
      </c>
      <c r="H2450" s="64">
        <f>ventas_b_mes11[[#This Row],[TOTAL]]/1.21</f>
        <v>0</v>
      </c>
      <c r="I2450" s="183">
        <f>ventas_b_mes11[[#This Row],[IMPORTE NETO]]*0.21</f>
        <v>0</v>
      </c>
      <c r="J2450" s="184"/>
      <c r="K2450" s="184"/>
      <c r="L2450" s="184"/>
      <c r="M2450" s="59"/>
    </row>
    <row r="2451" spans="2:13" x14ac:dyDescent="0.3">
      <c r="B2451" s="178"/>
      <c r="C2451" s="179"/>
      <c r="D2451" s="180"/>
      <c r="E2451" s="181"/>
      <c r="F2451" s="182"/>
      <c r="G2451" s="1" t="str">
        <f>IFERROR(IF(ventas_b_mes11[[#This Row],[CUIT]]="","-",VLOOKUP(ventas_b_mes11[[#This Row],[CUIT]],Lista_CUIT[#All],2,0)),"CUIT NO CARGADO")</f>
        <v>-</v>
      </c>
      <c r="H2451" s="64">
        <f>ventas_b_mes11[[#This Row],[TOTAL]]/1.21</f>
        <v>0</v>
      </c>
      <c r="I2451" s="183">
        <f>ventas_b_mes11[[#This Row],[IMPORTE NETO]]*0.21</f>
        <v>0</v>
      </c>
      <c r="J2451" s="184"/>
      <c r="K2451" s="184"/>
      <c r="L2451" s="184"/>
      <c r="M2451" s="59"/>
    </row>
    <row r="2452" spans="2:13" x14ac:dyDescent="0.3">
      <c r="B2452" s="178"/>
      <c r="C2452" s="179"/>
      <c r="D2452" s="180"/>
      <c r="E2452" s="181"/>
      <c r="F2452" s="182"/>
      <c r="G2452" s="1" t="str">
        <f>IFERROR(IF(ventas_b_mes11[[#This Row],[CUIT]]="","-",VLOOKUP(ventas_b_mes11[[#This Row],[CUIT]],Lista_CUIT[#All],2,0)),"CUIT NO CARGADO")</f>
        <v>-</v>
      </c>
      <c r="H2452" s="64">
        <f>ventas_b_mes11[[#This Row],[TOTAL]]/1.21</f>
        <v>0</v>
      </c>
      <c r="I2452" s="183">
        <f>ventas_b_mes11[[#This Row],[IMPORTE NETO]]*0.21</f>
        <v>0</v>
      </c>
      <c r="J2452" s="184"/>
      <c r="K2452" s="184"/>
      <c r="L2452" s="184"/>
      <c r="M2452" s="59"/>
    </row>
    <row r="2453" spans="2:13" x14ac:dyDescent="0.3">
      <c r="B2453" s="178"/>
      <c r="C2453" s="179"/>
      <c r="D2453" s="180"/>
      <c r="E2453" s="181"/>
      <c r="F2453" s="182"/>
      <c r="G2453" s="1" t="str">
        <f>IFERROR(IF(ventas_b_mes11[[#This Row],[CUIT]]="","-",VLOOKUP(ventas_b_mes11[[#This Row],[CUIT]],Lista_CUIT[#All],2,0)),"CUIT NO CARGADO")</f>
        <v>-</v>
      </c>
      <c r="H2453" s="64">
        <f>ventas_b_mes11[[#This Row],[TOTAL]]/1.21</f>
        <v>0</v>
      </c>
      <c r="I2453" s="183">
        <f>ventas_b_mes11[[#This Row],[IMPORTE NETO]]*0.21</f>
        <v>0</v>
      </c>
      <c r="J2453" s="184"/>
      <c r="K2453" s="184"/>
      <c r="L2453" s="184"/>
      <c r="M2453" s="59"/>
    </row>
    <row r="2454" spans="2:13" x14ac:dyDescent="0.3">
      <c r="B2454" s="178"/>
      <c r="C2454" s="179"/>
      <c r="D2454" s="180"/>
      <c r="E2454" s="181"/>
      <c r="F2454" s="182"/>
      <c r="G2454" s="1" t="str">
        <f>IFERROR(IF(ventas_b_mes11[[#This Row],[CUIT]]="","-",VLOOKUP(ventas_b_mes11[[#This Row],[CUIT]],Lista_CUIT[#All],2,0)),"CUIT NO CARGADO")</f>
        <v>-</v>
      </c>
      <c r="H2454" s="64">
        <f>ventas_b_mes11[[#This Row],[TOTAL]]/1.21</f>
        <v>0</v>
      </c>
      <c r="I2454" s="183">
        <f>ventas_b_mes11[[#This Row],[IMPORTE NETO]]*0.21</f>
        <v>0</v>
      </c>
      <c r="J2454" s="184"/>
      <c r="K2454" s="184"/>
      <c r="L2454" s="184"/>
      <c r="M2454" s="59"/>
    </row>
    <row r="2455" spans="2:13" x14ac:dyDescent="0.3">
      <c r="B2455" s="178"/>
      <c r="C2455" s="179"/>
      <c r="D2455" s="180"/>
      <c r="E2455" s="181"/>
      <c r="F2455" s="182"/>
      <c r="G2455" s="1" t="str">
        <f>IFERROR(IF(ventas_b_mes11[[#This Row],[CUIT]]="","-",VLOOKUP(ventas_b_mes11[[#This Row],[CUIT]],Lista_CUIT[#All],2,0)),"CUIT NO CARGADO")</f>
        <v>-</v>
      </c>
      <c r="H2455" s="64">
        <f>ventas_b_mes11[[#This Row],[TOTAL]]/1.21</f>
        <v>0</v>
      </c>
      <c r="I2455" s="183">
        <f>ventas_b_mes11[[#This Row],[IMPORTE NETO]]*0.21</f>
        <v>0</v>
      </c>
      <c r="J2455" s="184"/>
      <c r="K2455" s="184"/>
      <c r="L2455" s="184"/>
      <c r="M2455" s="59"/>
    </row>
    <row r="2456" spans="2:13" x14ac:dyDescent="0.3">
      <c r="B2456" s="178"/>
      <c r="C2456" s="179"/>
      <c r="D2456" s="180"/>
      <c r="E2456" s="181"/>
      <c r="F2456" s="182"/>
      <c r="G2456" s="1" t="str">
        <f>IFERROR(IF(ventas_b_mes11[[#This Row],[CUIT]]="","-",VLOOKUP(ventas_b_mes11[[#This Row],[CUIT]],Lista_CUIT[#All],2,0)),"CUIT NO CARGADO")</f>
        <v>-</v>
      </c>
      <c r="H2456" s="64">
        <f>ventas_b_mes11[[#This Row],[TOTAL]]/1.21</f>
        <v>0</v>
      </c>
      <c r="I2456" s="183">
        <f>ventas_b_mes11[[#This Row],[IMPORTE NETO]]*0.21</f>
        <v>0</v>
      </c>
      <c r="J2456" s="184"/>
      <c r="K2456" s="184"/>
      <c r="L2456" s="184"/>
      <c r="M2456" s="59"/>
    </row>
    <row r="2457" spans="2:13" x14ac:dyDescent="0.3">
      <c r="B2457" s="178"/>
      <c r="C2457" s="179"/>
      <c r="D2457" s="180"/>
      <c r="E2457" s="181"/>
      <c r="F2457" s="182"/>
      <c r="G2457" s="1" t="str">
        <f>IFERROR(IF(ventas_b_mes11[[#This Row],[CUIT]]="","-",VLOOKUP(ventas_b_mes11[[#This Row],[CUIT]],Lista_CUIT[#All],2,0)),"CUIT NO CARGADO")</f>
        <v>-</v>
      </c>
      <c r="H2457" s="64">
        <f>ventas_b_mes11[[#This Row],[TOTAL]]/1.21</f>
        <v>0</v>
      </c>
      <c r="I2457" s="183">
        <f>ventas_b_mes11[[#This Row],[IMPORTE NETO]]*0.21</f>
        <v>0</v>
      </c>
      <c r="J2457" s="184"/>
      <c r="K2457" s="184"/>
      <c r="L2457" s="184"/>
      <c r="M2457" s="59"/>
    </row>
    <row r="2458" spans="2:13" x14ac:dyDescent="0.3">
      <c r="B2458" s="178"/>
      <c r="C2458" s="179"/>
      <c r="D2458" s="180"/>
      <c r="E2458" s="181"/>
      <c r="F2458" s="182"/>
      <c r="G2458" s="1" t="str">
        <f>IFERROR(IF(ventas_b_mes11[[#This Row],[CUIT]]="","-",VLOOKUP(ventas_b_mes11[[#This Row],[CUIT]],Lista_CUIT[#All],2,0)),"CUIT NO CARGADO")</f>
        <v>-</v>
      </c>
      <c r="H2458" s="64">
        <f>ventas_b_mes11[[#This Row],[TOTAL]]/1.21</f>
        <v>0</v>
      </c>
      <c r="I2458" s="183">
        <f>ventas_b_mes11[[#This Row],[IMPORTE NETO]]*0.21</f>
        <v>0</v>
      </c>
      <c r="J2458" s="184"/>
      <c r="K2458" s="184"/>
      <c r="L2458" s="184"/>
      <c r="M2458" s="59"/>
    </row>
    <row r="2459" spans="2:13" x14ac:dyDescent="0.3">
      <c r="B2459" s="178"/>
      <c r="C2459" s="179"/>
      <c r="D2459" s="180"/>
      <c r="E2459" s="181"/>
      <c r="F2459" s="182"/>
      <c r="G2459" s="1" t="str">
        <f>IFERROR(IF(ventas_b_mes11[[#This Row],[CUIT]]="","-",VLOOKUP(ventas_b_mes11[[#This Row],[CUIT]],Lista_CUIT[#All],2,0)),"CUIT NO CARGADO")</f>
        <v>-</v>
      </c>
      <c r="H2459" s="64">
        <f>ventas_b_mes11[[#This Row],[TOTAL]]/1.21</f>
        <v>0</v>
      </c>
      <c r="I2459" s="183">
        <f>ventas_b_mes11[[#This Row],[IMPORTE NETO]]*0.21</f>
        <v>0</v>
      </c>
      <c r="J2459" s="184"/>
      <c r="K2459" s="184"/>
      <c r="L2459" s="184"/>
      <c r="M2459" s="59"/>
    </row>
    <row r="2460" spans="2:13" x14ac:dyDescent="0.3">
      <c r="B2460" s="178"/>
      <c r="C2460" s="179"/>
      <c r="D2460" s="180"/>
      <c r="E2460" s="181"/>
      <c r="F2460" s="182"/>
      <c r="G2460" s="1" t="str">
        <f>IFERROR(IF(ventas_b_mes11[[#This Row],[CUIT]]="","-",VLOOKUP(ventas_b_mes11[[#This Row],[CUIT]],Lista_CUIT[#All],2,0)),"CUIT NO CARGADO")</f>
        <v>-</v>
      </c>
      <c r="H2460" s="64">
        <f>ventas_b_mes11[[#This Row],[TOTAL]]/1.21</f>
        <v>0</v>
      </c>
      <c r="I2460" s="183">
        <f>ventas_b_mes11[[#This Row],[IMPORTE NETO]]*0.21</f>
        <v>0</v>
      </c>
      <c r="J2460" s="184"/>
      <c r="K2460" s="184"/>
      <c r="L2460" s="184"/>
      <c r="M2460" s="59"/>
    </row>
    <row r="2461" spans="2:13" x14ac:dyDescent="0.3">
      <c r="B2461" s="178"/>
      <c r="C2461" s="179"/>
      <c r="D2461" s="180"/>
      <c r="E2461" s="181"/>
      <c r="F2461" s="182"/>
      <c r="G2461" s="1" t="str">
        <f>IFERROR(IF(ventas_b_mes11[[#This Row],[CUIT]]="","-",VLOOKUP(ventas_b_mes11[[#This Row],[CUIT]],Lista_CUIT[#All],2,0)),"CUIT NO CARGADO")</f>
        <v>-</v>
      </c>
      <c r="H2461" s="64">
        <f>ventas_b_mes11[[#This Row],[TOTAL]]/1.21</f>
        <v>0</v>
      </c>
      <c r="I2461" s="183">
        <f>ventas_b_mes11[[#This Row],[IMPORTE NETO]]*0.21</f>
        <v>0</v>
      </c>
      <c r="J2461" s="184"/>
      <c r="K2461" s="184"/>
      <c r="L2461" s="184"/>
      <c r="M2461" s="59"/>
    </row>
    <row r="2462" spans="2:13" x14ac:dyDescent="0.3">
      <c r="B2462" s="178"/>
      <c r="C2462" s="179"/>
      <c r="D2462" s="180"/>
      <c r="E2462" s="181"/>
      <c r="F2462" s="182"/>
      <c r="G2462" s="1" t="str">
        <f>IFERROR(IF(ventas_b_mes11[[#This Row],[CUIT]]="","-",VLOOKUP(ventas_b_mes11[[#This Row],[CUIT]],Lista_CUIT[#All],2,0)),"CUIT NO CARGADO")</f>
        <v>-</v>
      </c>
      <c r="H2462" s="64">
        <f>ventas_b_mes11[[#This Row],[TOTAL]]/1.21</f>
        <v>0</v>
      </c>
      <c r="I2462" s="183">
        <f>ventas_b_mes11[[#This Row],[IMPORTE NETO]]*0.21</f>
        <v>0</v>
      </c>
      <c r="J2462" s="184"/>
      <c r="K2462" s="184"/>
      <c r="L2462" s="184"/>
      <c r="M2462" s="59"/>
    </row>
    <row r="2463" spans="2:13" x14ac:dyDescent="0.3">
      <c r="B2463" s="178"/>
      <c r="C2463" s="179"/>
      <c r="D2463" s="180"/>
      <c r="E2463" s="181"/>
      <c r="F2463" s="182"/>
      <c r="G2463" s="1" t="str">
        <f>IFERROR(IF(ventas_b_mes11[[#This Row],[CUIT]]="","-",VLOOKUP(ventas_b_mes11[[#This Row],[CUIT]],Lista_CUIT[#All],2,0)),"CUIT NO CARGADO")</f>
        <v>-</v>
      </c>
      <c r="H2463" s="64">
        <f>ventas_b_mes11[[#This Row],[TOTAL]]/1.21</f>
        <v>0</v>
      </c>
      <c r="I2463" s="183">
        <f>ventas_b_mes11[[#This Row],[IMPORTE NETO]]*0.21</f>
        <v>0</v>
      </c>
      <c r="J2463" s="184"/>
      <c r="K2463" s="184"/>
      <c r="L2463" s="184"/>
      <c r="M2463" s="59"/>
    </row>
    <row r="2464" spans="2:13" x14ac:dyDescent="0.3">
      <c r="B2464" s="178"/>
      <c r="C2464" s="179"/>
      <c r="D2464" s="180"/>
      <c r="E2464" s="181"/>
      <c r="F2464" s="182"/>
      <c r="G2464" s="1" t="str">
        <f>IFERROR(IF(ventas_b_mes11[[#This Row],[CUIT]]="","-",VLOOKUP(ventas_b_mes11[[#This Row],[CUIT]],Lista_CUIT[#All],2,0)),"CUIT NO CARGADO")</f>
        <v>-</v>
      </c>
      <c r="H2464" s="64">
        <f>ventas_b_mes11[[#This Row],[TOTAL]]/1.21</f>
        <v>0</v>
      </c>
      <c r="I2464" s="183">
        <f>ventas_b_mes11[[#This Row],[IMPORTE NETO]]*0.21</f>
        <v>0</v>
      </c>
      <c r="J2464" s="184"/>
      <c r="K2464" s="184"/>
      <c r="L2464" s="184"/>
      <c r="M2464" s="59"/>
    </row>
    <row r="2465" spans="2:13" x14ac:dyDescent="0.3">
      <c r="B2465" s="178"/>
      <c r="C2465" s="179"/>
      <c r="D2465" s="180"/>
      <c r="E2465" s="181"/>
      <c r="F2465" s="182"/>
      <c r="G2465" s="1" t="str">
        <f>IFERROR(IF(ventas_b_mes11[[#This Row],[CUIT]]="","-",VLOOKUP(ventas_b_mes11[[#This Row],[CUIT]],Lista_CUIT[#All],2,0)),"CUIT NO CARGADO")</f>
        <v>-</v>
      </c>
      <c r="H2465" s="64">
        <f>ventas_b_mes11[[#This Row],[TOTAL]]/1.21</f>
        <v>0</v>
      </c>
      <c r="I2465" s="183">
        <f>ventas_b_mes11[[#This Row],[IMPORTE NETO]]*0.21</f>
        <v>0</v>
      </c>
      <c r="J2465" s="184"/>
      <c r="K2465" s="184"/>
      <c r="L2465" s="184"/>
      <c r="M2465" s="59"/>
    </row>
    <row r="2466" spans="2:13" x14ac:dyDescent="0.3">
      <c r="B2466" s="178"/>
      <c r="C2466" s="179"/>
      <c r="D2466" s="180"/>
      <c r="E2466" s="181"/>
      <c r="F2466" s="182"/>
      <c r="G2466" s="1" t="str">
        <f>IFERROR(IF(ventas_b_mes11[[#This Row],[CUIT]]="","-",VLOOKUP(ventas_b_mes11[[#This Row],[CUIT]],Lista_CUIT[#All],2,0)),"CUIT NO CARGADO")</f>
        <v>-</v>
      </c>
      <c r="H2466" s="64">
        <f>ventas_b_mes11[[#This Row],[TOTAL]]/1.21</f>
        <v>0</v>
      </c>
      <c r="I2466" s="183">
        <f>ventas_b_mes11[[#This Row],[IMPORTE NETO]]*0.21</f>
        <v>0</v>
      </c>
      <c r="J2466" s="184"/>
      <c r="K2466" s="184"/>
      <c r="L2466" s="184"/>
      <c r="M2466" s="59"/>
    </row>
    <row r="2467" spans="2:13" x14ac:dyDescent="0.3">
      <c r="B2467" s="178"/>
      <c r="C2467" s="179"/>
      <c r="D2467" s="180"/>
      <c r="E2467" s="181"/>
      <c r="F2467" s="182"/>
      <c r="G2467" s="1" t="str">
        <f>IFERROR(IF(ventas_b_mes11[[#This Row],[CUIT]]="","-",VLOOKUP(ventas_b_mes11[[#This Row],[CUIT]],Lista_CUIT[#All],2,0)),"CUIT NO CARGADO")</f>
        <v>-</v>
      </c>
      <c r="H2467" s="64">
        <f>ventas_b_mes11[[#This Row],[TOTAL]]/1.21</f>
        <v>0</v>
      </c>
      <c r="I2467" s="183">
        <f>ventas_b_mes11[[#This Row],[IMPORTE NETO]]*0.21</f>
        <v>0</v>
      </c>
      <c r="J2467" s="184"/>
      <c r="K2467" s="184"/>
      <c r="L2467" s="184"/>
      <c r="M2467" s="59"/>
    </row>
    <row r="2468" spans="2:13" x14ac:dyDescent="0.3">
      <c r="B2468" s="178"/>
      <c r="C2468" s="179"/>
      <c r="D2468" s="180"/>
      <c r="E2468" s="181"/>
      <c r="F2468" s="182"/>
      <c r="G2468" s="1" t="str">
        <f>IFERROR(IF(ventas_b_mes11[[#This Row],[CUIT]]="","-",VLOOKUP(ventas_b_mes11[[#This Row],[CUIT]],Lista_CUIT[#All],2,0)),"CUIT NO CARGADO")</f>
        <v>-</v>
      </c>
      <c r="H2468" s="64">
        <f>ventas_b_mes11[[#This Row],[TOTAL]]/1.21</f>
        <v>0</v>
      </c>
      <c r="I2468" s="183">
        <f>ventas_b_mes11[[#This Row],[IMPORTE NETO]]*0.21</f>
        <v>0</v>
      </c>
      <c r="J2468" s="184"/>
      <c r="K2468" s="184"/>
      <c r="L2468" s="184"/>
      <c r="M2468" s="59"/>
    </row>
    <row r="2469" spans="2:13" x14ac:dyDescent="0.3">
      <c r="B2469" s="178"/>
      <c r="C2469" s="179"/>
      <c r="D2469" s="180"/>
      <c r="E2469" s="181"/>
      <c r="F2469" s="182"/>
      <c r="G2469" s="1" t="str">
        <f>IFERROR(IF(ventas_b_mes11[[#This Row],[CUIT]]="","-",VLOOKUP(ventas_b_mes11[[#This Row],[CUIT]],Lista_CUIT[#All],2,0)),"CUIT NO CARGADO")</f>
        <v>-</v>
      </c>
      <c r="H2469" s="64">
        <f>ventas_b_mes11[[#This Row],[TOTAL]]/1.21</f>
        <v>0</v>
      </c>
      <c r="I2469" s="183">
        <f>ventas_b_mes11[[#This Row],[IMPORTE NETO]]*0.21</f>
        <v>0</v>
      </c>
      <c r="J2469" s="184"/>
      <c r="K2469" s="184"/>
      <c r="L2469" s="184"/>
      <c r="M2469" s="59"/>
    </row>
    <row r="2470" spans="2:13" x14ac:dyDescent="0.3">
      <c r="B2470" s="178"/>
      <c r="C2470" s="179"/>
      <c r="D2470" s="180"/>
      <c r="E2470" s="181"/>
      <c r="F2470" s="182"/>
      <c r="G2470" s="1" t="str">
        <f>IFERROR(IF(ventas_b_mes11[[#This Row],[CUIT]]="","-",VLOOKUP(ventas_b_mes11[[#This Row],[CUIT]],Lista_CUIT[#All],2,0)),"CUIT NO CARGADO")</f>
        <v>-</v>
      </c>
      <c r="H2470" s="64">
        <f>ventas_b_mes11[[#This Row],[TOTAL]]/1.21</f>
        <v>0</v>
      </c>
      <c r="I2470" s="183">
        <f>ventas_b_mes11[[#This Row],[IMPORTE NETO]]*0.21</f>
        <v>0</v>
      </c>
      <c r="J2470" s="184"/>
      <c r="K2470" s="184"/>
      <c r="L2470" s="184"/>
      <c r="M2470" s="59"/>
    </row>
    <row r="2471" spans="2:13" x14ac:dyDescent="0.3">
      <c r="B2471" s="178"/>
      <c r="C2471" s="179"/>
      <c r="D2471" s="180"/>
      <c r="E2471" s="181"/>
      <c r="F2471" s="182"/>
      <c r="G2471" s="1" t="str">
        <f>IFERROR(IF(ventas_b_mes11[[#This Row],[CUIT]]="","-",VLOOKUP(ventas_b_mes11[[#This Row],[CUIT]],Lista_CUIT[#All],2,0)),"CUIT NO CARGADO")</f>
        <v>-</v>
      </c>
      <c r="H2471" s="64">
        <f>ventas_b_mes11[[#This Row],[TOTAL]]/1.21</f>
        <v>0</v>
      </c>
      <c r="I2471" s="183">
        <f>ventas_b_mes11[[#This Row],[IMPORTE NETO]]*0.21</f>
        <v>0</v>
      </c>
      <c r="J2471" s="184"/>
      <c r="K2471" s="184"/>
      <c r="L2471" s="184"/>
      <c r="M2471" s="59"/>
    </row>
    <row r="2472" spans="2:13" x14ac:dyDescent="0.3">
      <c r="B2472" s="178"/>
      <c r="C2472" s="179"/>
      <c r="D2472" s="180"/>
      <c r="E2472" s="181"/>
      <c r="F2472" s="182"/>
      <c r="G2472" s="1" t="str">
        <f>IFERROR(IF(ventas_b_mes11[[#This Row],[CUIT]]="","-",VLOOKUP(ventas_b_mes11[[#This Row],[CUIT]],Lista_CUIT[#All],2,0)),"CUIT NO CARGADO")</f>
        <v>-</v>
      </c>
      <c r="H2472" s="64">
        <f>ventas_b_mes11[[#This Row],[TOTAL]]/1.21</f>
        <v>0</v>
      </c>
      <c r="I2472" s="183">
        <f>ventas_b_mes11[[#This Row],[IMPORTE NETO]]*0.21</f>
        <v>0</v>
      </c>
      <c r="J2472" s="184"/>
      <c r="K2472" s="184"/>
      <c r="L2472" s="184"/>
      <c r="M2472" s="59"/>
    </row>
    <row r="2473" spans="2:13" x14ac:dyDescent="0.3">
      <c r="B2473" s="178"/>
      <c r="C2473" s="179"/>
      <c r="D2473" s="180"/>
      <c r="E2473" s="181"/>
      <c r="F2473" s="182"/>
      <c r="G2473" s="1" t="str">
        <f>IFERROR(IF(ventas_b_mes11[[#This Row],[CUIT]]="","-",VLOOKUP(ventas_b_mes11[[#This Row],[CUIT]],Lista_CUIT[#All],2,0)),"CUIT NO CARGADO")</f>
        <v>-</v>
      </c>
      <c r="H2473" s="64">
        <f>ventas_b_mes11[[#This Row],[TOTAL]]/1.21</f>
        <v>0</v>
      </c>
      <c r="I2473" s="183">
        <f>ventas_b_mes11[[#This Row],[IMPORTE NETO]]*0.21</f>
        <v>0</v>
      </c>
      <c r="J2473" s="184"/>
      <c r="K2473" s="184"/>
      <c r="L2473" s="184"/>
      <c r="M2473" s="59"/>
    </row>
    <row r="2474" spans="2:13" x14ac:dyDescent="0.3">
      <c r="B2474" s="178"/>
      <c r="C2474" s="179"/>
      <c r="D2474" s="180"/>
      <c r="E2474" s="181"/>
      <c r="F2474" s="182"/>
      <c r="G2474" s="1" t="str">
        <f>IFERROR(IF(ventas_b_mes11[[#This Row],[CUIT]]="","-",VLOOKUP(ventas_b_mes11[[#This Row],[CUIT]],Lista_CUIT[#All],2,0)),"CUIT NO CARGADO")</f>
        <v>-</v>
      </c>
      <c r="H2474" s="64">
        <f>ventas_b_mes11[[#This Row],[TOTAL]]/1.21</f>
        <v>0</v>
      </c>
      <c r="I2474" s="183">
        <f>ventas_b_mes11[[#This Row],[IMPORTE NETO]]*0.21</f>
        <v>0</v>
      </c>
      <c r="J2474" s="184"/>
      <c r="K2474" s="184"/>
      <c r="L2474" s="184"/>
      <c r="M2474" s="59"/>
    </row>
    <row r="2475" spans="2:13" x14ac:dyDescent="0.3">
      <c r="B2475" s="178"/>
      <c r="C2475" s="179"/>
      <c r="D2475" s="180"/>
      <c r="E2475" s="181"/>
      <c r="F2475" s="182"/>
      <c r="G2475" s="1" t="str">
        <f>IFERROR(IF(ventas_b_mes11[[#This Row],[CUIT]]="","-",VLOOKUP(ventas_b_mes11[[#This Row],[CUIT]],Lista_CUIT[#All],2,0)),"CUIT NO CARGADO")</f>
        <v>-</v>
      </c>
      <c r="H2475" s="64">
        <f>ventas_b_mes11[[#This Row],[TOTAL]]/1.21</f>
        <v>0</v>
      </c>
      <c r="I2475" s="183">
        <f>ventas_b_mes11[[#This Row],[IMPORTE NETO]]*0.21</f>
        <v>0</v>
      </c>
      <c r="J2475" s="184"/>
      <c r="K2475" s="184"/>
      <c r="L2475" s="184"/>
      <c r="M2475" s="59"/>
    </row>
    <row r="2476" spans="2:13" x14ac:dyDescent="0.3">
      <c r="B2476" s="178"/>
      <c r="C2476" s="179"/>
      <c r="D2476" s="180"/>
      <c r="E2476" s="181"/>
      <c r="F2476" s="182"/>
      <c r="G2476" s="1" t="str">
        <f>IFERROR(IF(ventas_b_mes11[[#This Row],[CUIT]]="","-",VLOOKUP(ventas_b_mes11[[#This Row],[CUIT]],Lista_CUIT[#All],2,0)),"CUIT NO CARGADO")</f>
        <v>-</v>
      </c>
      <c r="H2476" s="64">
        <f>ventas_b_mes11[[#This Row],[TOTAL]]/1.21</f>
        <v>0</v>
      </c>
      <c r="I2476" s="183">
        <f>ventas_b_mes11[[#This Row],[IMPORTE NETO]]*0.21</f>
        <v>0</v>
      </c>
      <c r="J2476" s="184"/>
      <c r="K2476" s="184"/>
      <c r="L2476" s="184"/>
      <c r="M2476" s="59"/>
    </row>
    <row r="2477" spans="2:13" x14ac:dyDescent="0.3">
      <c r="B2477" s="178"/>
      <c r="C2477" s="179"/>
      <c r="D2477" s="180"/>
      <c r="E2477" s="181"/>
      <c r="F2477" s="182"/>
      <c r="G2477" s="1" t="str">
        <f>IFERROR(IF(ventas_b_mes11[[#This Row],[CUIT]]="","-",VLOOKUP(ventas_b_mes11[[#This Row],[CUIT]],Lista_CUIT[#All],2,0)),"CUIT NO CARGADO")</f>
        <v>-</v>
      </c>
      <c r="H2477" s="64">
        <f>ventas_b_mes11[[#This Row],[TOTAL]]/1.21</f>
        <v>0</v>
      </c>
      <c r="I2477" s="183">
        <f>ventas_b_mes11[[#This Row],[IMPORTE NETO]]*0.21</f>
        <v>0</v>
      </c>
      <c r="J2477" s="184"/>
      <c r="K2477" s="184"/>
      <c r="L2477" s="184"/>
      <c r="M2477" s="59"/>
    </row>
    <row r="2478" spans="2:13" x14ac:dyDescent="0.3">
      <c r="B2478" s="178"/>
      <c r="C2478" s="179"/>
      <c r="D2478" s="180"/>
      <c r="E2478" s="181"/>
      <c r="F2478" s="182"/>
      <c r="G2478" s="1" t="str">
        <f>IFERROR(IF(ventas_b_mes11[[#This Row],[CUIT]]="","-",VLOOKUP(ventas_b_mes11[[#This Row],[CUIT]],Lista_CUIT[#All],2,0)),"CUIT NO CARGADO")</f>
        <v>-</v>
      </c>
      <c r="H2478" s="64">
        <f>ventas_b_mes11[[#This Row],[TOTAL]]/1.21</f>
        <v>0</v>
      </c>
      <c r="I2478" s="183">
        <f>ventas_b_mes11[[#This Row],[IMPORTE NETO]]*0.21</f>
        <v>0</v>
      </c>
      <c r="J2478" s="184"/>
      <c r="K2478" s="184"/>
      <c r="L2478" s="184"/>
      <c r="M2478" s="59"/>
    </row>
    <row r="2479" spans="2:13" x14ac:dyDescent="0.3">
      <c r="B2479" s="178"/>
      <c r="C2479" s="179"/>
      <c r="D2479" s="180"/>
      <c r="E2479" s="181"/>
      <c r="F2479" s="182"/>
      <c r="G2479" s="1" t="str">
        <f>IFERROR(IF(ventas_b_mes11[[#This Row],[CUIT]]="","-",VLOOKUP(ventas_b_mes11[[#This Row],[CUIT]],Lista_CUIT[#All],2,0)),"CUIT NO CARGADO")</f>
        <v>-</v>
      </c>
      <c r="H2479" s="64">
        <f>ventas_b_mes11[[#This Row],[TOTAL]]/1.21</f>
        <v>0</v>
      </c>
      <c r="I2479" s="183">
        <f>ventas_b_mes11[[#This Row],[IMPORTE NETO]]*0.21</f>
        <v>0</v>
      </c>
      <c r="J2479" s="184"/>
      <c r="K2479" s="184"/>
      <c r="L2479" s="184"/>
      <c r="M2479" s="59"/>
    </row>
    <row r="2480" spans="2:13" x14ac:dyDescent="0.3">
      <c r="B2480" s="178"/>
      <c r="C2480" s="179"/>
      <c r="D2480" s="180"/>
      <c r="E2480" s="181"/>
      <c r="F2480" s="182"/>
      <c r="G2480" s="1" t="str">
        <f>IFERROR(IF(ventas_b_mes11[[#This Row],[CUIT]]="","-",VLOOKUP(ventas_b_mes11[[#This Row],[CUIT]],Lista_CUIT[#All],2,0)),"CUIT NO CARGADO")</f>
        <v>-</v>
      </c>
      <c r="H2480" s="64">
        <f>ventas_b_mes11[[#This Row],[TOTAL]]/1.21</f>
        <v>0</v>
      </c>
      <c r="I2480" s="183">
        <f>ventas_b_mes11[[#This Row],[IMPORTE NETO]]*0.21</f>
        <v>0</v>
      </c>
      <c r="J2480" s="184"/>
      <c r="K2480" s="184"/>
      <c r="L2480" s="184"/>
      <c r="M2480" s="59"/>
    </row>
    <row r="2481" spans="2:13" x14ac:dyDescent="0.3">
      <c r="B2481" s="178"/>
      <c r="C2481" s="179"/>
      <c r="D2481" s="180"/>
      <c r="E2481" s="181"/>
      <c r="F2481" s="182"/>
      <c r="G2481" s="1" t="str">
        <f>IFERROR(IF(ventas_b_mes11[[#This Row],[CUIT]]="","-",VLOOKUP(ventas_b_mes11[[#This Row],[CUIT]],Lista_CUIT[#All],2,0)),"CUIT NO CARGADO")</f>
        <v>-</v>
      </c>
      <c r="H2481" s="64">
        <f>ventas_b_mes11[[#This Row],[TOTAL]]/1.21</f>
        <v>0</v>
      </c>
      <c r="I2481" s="183">
        <f>ventas_b_mes11[[#This Row],[IMPORTE NETO]]*0.21</f>
        <v>0</v>
      </c>
      <c r="J2481" s="184"/>
      <c r="K2481" s="184"/>
      <c r="L2481" s="184"/>
      <c r="M2481" s="59"/>
    </row>
    <row r="2482" spans="2:13" x14ac:dyDescent="0.3">
      <c r="B2482" s="178"/>
      <c r="C2482" s="179"/>
      <c r="D2482" s="180"/>
      <c r="E2482" s="181"/>
      <c r="F2482" s="182"/>
      <c r="G2482" s="1" t="str">
        <f>IFERROR(IF(ventas_b_mes11[[#This Row],[CUIT]]="","-",VLOOKUP(ventas_b_mes11[[#This Row],[CUIT]],Lista_CUIT[#All],2,0)),"CUIT NO CARGADO")</f>
        <v>-</v>
      </c>
      <c r="H2482" s="64">
        <f>ventas_b_mes11[[#This Row],[TOTAL]]/1.21</f>
        <v>0</v>
      </c>
      <c r="I2482" s="183">
        <f>ventas_b_mes11[[#This Row],[IMPORTE NETO]]*0.21</f>
        <v>0</v>
      </c>
      <c r="J2482" s="184"/>
      <c r="K2482" s="184"/>
      <c r="L2482" s="184"/>
      <c r="M2482" s="59"/>
    </row>
    <row r="2483" spans="2:13" x14ac:dyDescent="0.3">
      <c r="B2483" s="178"/>
      <c r="C2483" s="179"/>
      <c r="D2483" s="180"/>
      <c r="E2483" s="181"/>
      <c r="F2483" s="182"/>
      <c r="G2483" s="1" t="str">
        <f>IFERROR(IF(ventas_b_mes11[[#This Row],[CUIT]]="","-",VLOOKUP(ventas_b_mes11[[#This Row],[CUIT]],Lista_CUIT[#All],2,0)),"CUIT NO CARGADO")</f>
        <v>-</v>
      </c>
      <c r="H2483" s="64">
        <f>ventas_b_mes11[[#This Row],[TOTAL]]/1.21</f>
        <v>0</v>
      </c>
      <c r="I2483" s="183">
        <f>ventas_b_mes11[[#This Row],[IMPORTE NETO]]*0.21</f>
        <v>0</v>
      </c>
      <c r="J2483" s="184"/>
      <c r="K2483" s="184"/>
      <c r="L2483" s="184"/>
      <c r="M2483" s="59"/>
    </row>
    <row r="2484" spans="2:13" x14ac:dyDescent="0.3">
      <c r="B2484" s="178"/>
      <c r="C2484" s="179"/>
      <c r="D2484" s="180"/>
      <c r="E2484" s="181"/>
      <c r="F2484" s="182"/>
      <c r="G2484" s="1" t="str">
        <f>IFERROR(IF(ventas_b_mes11[[#This Row],[CUIT]]="","-",VLOOKUP(ventas_b_mes11[[#This Row],[CUIT]],Lista_CUIT[#All],2,0)),"CUIT NO CARGADO")</f>
        <v>-</v>
      </c>
      <c r="H2484" s="64">
        <f>ventas_b_mes11[[#This Row],[TOTAL]]/1.21</f>
        <v>0</v>
      </c>
      <c r="I2484" s="183">
        <f>ventas_b_mes11[[#This Row],[IMPORTE NETO]]*0.21</f>
        <v>0</v>
      </c>
      <c r="J2484" s="184"/>
      <c r="K2484" s="184"/>
      <c r="L2484" s="184"/>
      <c r="M2484" s="59"/>
    </row>
    <row r="2485" spans="2:13" x14ac:dyDescent="0.3">
      <c r="B2485" s="178"/>
      <c r="C2485" s="179"/>
      <c r="D2485" s="180"/>
      <c r="E2485" s="181"/>
      <c r="F2485" s="182"/>
      <c r="G2485" s="1" t="str">
        <f>IFERROR(IF(ventas_b_mes11[[#This Row],[CUIT]]="","-",VLOOKUP(ventas_b_mes11[[#This Row],[CUIT]],Lista_CUIT[#All],2,0)),"CUIT NO CARGADO")</f>
        <v>-</v>
      </c>
      <c r="H2485" s="64">
        <f>ventas_b_mes11[[#This Row],[TOTAL]]/1.21</f>
        <v>0</v>
      </c>
      <c r="I2485" s="183">
        <f>ventas_b_mes11[[#This Row],[IMPORTE NETO]]*0.21</f>
        <v>0</v>
      </c>
      <c r="J2485" s="184"/>
      <c r="K2485" s="184"/>
      <c r="L2485" s="184"/>
      <c r="M2485" s="59"/>
    </row>
    <row r="2486" spans="2:13" x14ac:dyDescent="0.3">
      <c r="B2486" s="178"/>
      <c r="C2486" s="179"/>
      <c r="D2486" s="180"/>
      <c r="E2486" s="181"/>
      <c r="F2486" s="182"/>
      <c r="G2486" s="1" t="str">
        <f>IFERROR(IF(ventas_b_mes11[[#This Row],[CUIT]]="","-",VLOOKUP(ventas_b_mes11[[#This Row],[CUIT]],Lista_CUIT[#All],2,0)),"CUIT NO CARGADO")</f>
        <v>-</v>
      </c>
      <c r="H2486" s="64">
        <f>ventas_b_mes11[[#This Row],[TOTAL]]/1.21</f>
        <v>0</v>
      </c>
      <c r="I2486" s="183">
        <f>ventas_b_mes11[[#This Row],[IMPORTE NETO]]*0.21</f>
        <v>0</v>
      </c>
      <c r="J2486" s="184"/>
      <c r="K2486" s="184"/>
      <c r="L2486" s="184"/>
      <c r="M2486" s="59"/>
    </row>
    <row r="2487" spans="2:13" x14ac:dyDescent="0.3">
      <c r="B2487" s="178"/>
      <c r="C2487" s="179"/>
      <c r="D2487" s="180"/>
      <c r="E2487" s="181"/>
      <c r="F2487" s="182"/>
      <c r="G2487" s="1" t="str">
        <f>IFERROR(IF(ventas_b_mes11[[#This Row],[CUIT]]="","-",VLOOKUP(ventas_b_mes11[[#This Row],[CUIT]],Lista_CUIT[#All],2,0)),"CUIT NO CARGADO")</f>
        <v>-</v>
      </c>
      <c r="H2487" s="64">
        <f>ventas_b_mes11[[#This Row],[TOTAL]]/1.21</f>
        <v>0</v>
      </c>
      <c r="I2487" s="183">
        <f>ventas_b_mes11[[#This Row],[IMPORTE NETO]]*0.21</f>
        <v>0</v>
      </c>
      <c r="J2487" s="184"/>
      <c r="K2487" s="184"/>
      <c r="L2487" s="184"/>
      <c r="M2487" s="59"/>
    </row>
    <row r="2488" spans="2:13" x14ac:dyDescent="0.3">
      <c r="B2488" s="178"/>
      <c r="C2488" s="179"/>
      <c r="D2488" s="180"/>
      <c r="E2488" s="181"/>
      <c r="F2488" s="182"/>
      <c r="G2488" s="1" t="str">
        <f>IFERROR(IF(ventas_b_mes11[[#This Row],[CUIT]]="","-",VLOOKUP(ventas_b_mes11[[#This Row],[CUIT]],Lista_CUIT[#All],2,0)),"CUIT NO CARGADO")</f>
        <v>-</v>
      </c>
      <c r="H2488" s="64">
        <f>ventas_b_mes11[[#This Row],[TOTAL]]/1.21</f>
        <v>0</v>
      </c>
      <c r="I2488" s="183">
        <f>ventas_b_mes11[[#This Row],[IMPORTE NETO]]*0.21</f>
        <v>0</v>
      </c>
      <c r="J2488" s="184"/>
      <c r="K2488" s="184"/>
      <c r="L2488" s="184"/>
      <c r="M2488" s="59"/>
    </row>
    <row r="2489" spans="2:13" x14ac:dyDescent="0.3">
      <c r="B2489" s="178"/>
      <c r="C2489" s="179"/>
      <c r="D2489" s="180"/>
      <c r="E2489" s="181"/>
      <c r="F2489" s="182"/>
      <c r="G2489" s="1" t="str">
        <f>IFERROR(IF(ventas_b_mes11[[#This Row],[CUIT]]="","-",VLOOKUP(ventas_b_mes11[[#This Row],[CUIT]],Lista_CUIT[#All],2,0)),"CUIT NO CARGADO")</f>
        <v>-</v>
      </c>
      <c r="H2489" s="64">
        <f>ventas_b_mes11[[#This Row],[TOTAL]]/1.21</f>
        <v>0</v>
      </c>
      <c r="I2489" s="183">
        <f>ventas_b_mes11[[#This Row],[IMPORTE NETO]]*0.21</f>
        <v>0</v>
      </c>
      <c r="J2489" s="184"/>
      <c r="K2489" s="184"/>
      <c r="L2489" s="184"/>
      <c r="M2489" s="59"/>
    </row>
    <row r="2490" spans="2:13" x14ac:dyDescent="0.3">
      <c r="B2490" s="178"/>
      <c r="C2490" s="179"/>
      <c r="D2490" s="180"/>
      <c r="E2490" s="181"/>
      <c r="F2490" s="182"/>
      <c r="G2490" s="1" t="str">
        <f>IFERROR(IF(ventas_b_mes11[[#This Row],[CUIT]]="","-",VLOOKUP(ventas_b_mes11[[#This Row],[CUIT]],Lista_CUIT[#All],2,0)),"CUIT NO CARGADO")</f>
        <v>-</v>
      </c>
      <c r="H2490" s="64">
        <f>ventas_b_mes11[[#This Row],[TOTAL]]/1.21</f>
        <v>0</v>
      </c>
      <c r="I2490" s="183">
        <f>ventas_b_mes11[[#This Row],[IMPORTE NETO]]*0.21</f>
        <v>0</v>
      </c>
      <c r="J2490" s="184"/>
      <c r="K2490" s="184"/>
      <c r="L2490" s="184"/>
      <c r="M2490" s="59"/>
    </row>
    <row r="2491" spans="2:13" x14ac:dyDescent="0.3">
      <c r="B2491" s="178"/>
      <c r="C2491" s="179"/>
      <c r="D2491" s="180"/>
      <c r="E2491" s="181"/>
      <c r="F2491" s="182"/>
      <c r="G2491" s="1" t="str">
        <f>IFERROR(IF(ventas_b_mes11[[#This Row],[CUIT]]="","-",VLOOKUP(ventas_b_mes11[[#This Row],[CUIT]],Lista_CUIT[#All],2,0)),"CUIT NO CARGADO")</f>
        <v>-</v>
      </c>
      <c r="H2491" s="64">
        <f>ventas_b_mes11[[#This Row],[TOTAL]]/1.21</f>
        <v>0</v>
      </c>
      <c r="I2491" s="183">
        <f>ventas_b_mes11[[#This Row],[IMPORTE NETO]]*0.21</f>
        <v>0</v>
      </c>
      <c r="J2491" s="184"/>
      <c r="K2491" s="184"/>
      <c r="L2491" s="184"/>
      <c r="M2491" s="59"/>
    </row>
    <row r="2492" spans="2:13" x14ac:dyDescent="0.3">
      <c r="B2492" s="178"/>
      <c r="C2492" s="179"/>
      <c r="D2492" s="180"/>
      <c r="E2492" s="181"/>
      <c r="F2492" s="182"/>
      <c r="G2492" s="1" t="str">
        <f>IFERROR(IF(ventas_b_mes11[[#This Row],[CUIT]]="","-",VLOOKUP(ventas_b_mes11[[#This Row],[CUIT]],Lista_CUIT[#All],2,0)),"CUIT NO CARGADO")</f>
        <v>-</v>
      </c>
      <c r="H2492" s="64">
        <f>ventas_b_mes11[[#This Row],[TOTAL]]/1.21</f>
        <v>0</v>
      </c>
      <c r="I2492" s="183">
        <f>ventas_b_mes11[[#This Row],[IMPORTE NETO]]*0.21</f>
        <v>0</v>
      </c>
      <c r="J2492" s="184"/>
      <c r="K2492" s="184"/>
      <c r="L2492" s="184"/>
      <c r="M2492" s="59"/>
    </row>
    <row r="2493" spans="2:13" x14ac:dyDescent="0.3">
      <c r="B2493" s="178"/>
      <c r="C2493" s="179"/>
      <c r="D2493" s="180"/>
      <c r="E2493" s="181"/>
      <c r="F2493" s="182"/>
      <c r="G2493" s="1" t="str">
        <f>IFERROR(IF(ventas_b_mes11[[#This Row],[CUIT]]="","-",VLOOKUP(ventas_b_mes11[[#This Row],[CUIT]],Lista_CUIT[#All],2,0)),"CUIT NO CARGADO")</f>
        <v>-</v>
      </c>
      <c r="H2493" s="64">
        <f>ventas_b_mes11[[#This Row],[TOTAL]]/1.21</f>
        <v>0</v>
      </c>
      <c r="I2493" s="183">
        <f>ventas_b_mes11[[#This Row],[IMPORTE NETO]]*0.21</f>
        <v>0</v>
      </c>
      <c r="J2493" s="184"/>
      <c r="K2493" s="184"/>
      <c r="L2493" s="184"/>
      <c r="M2493" s="59"/>
    </row>
    <row r="2494" spans="2:13" x14ac:dyDescent="0.3">
      <c r="B2494" s="178"/>
      <c r="C2494" s="179"/>
      <c r="D2494" s="180"/>
      <c r="E2494" s="181"/>
      <c r="F2494" s="182"/>
      <c r="G2494" s="1" t="str">
        <f>IFERROR(IF(ventas_b_mes11[[#This Row],[CUIT]]="","-",VLOOKUP(ventas_b_mes11[[#This Row],[CUIT]],Lista_CUIT[#All],2,0)),"CUIT NO CARGADO")</f>
        <v>-</v>
      </c>
      <c r="H2494" s="64">
        <f>ventas_b_mes11[[#This Row],[TOTAL]]/1.21</f>
        <v>0</v>
      </c>
      <c r="I2494" s="183">
        <f>ventas_b_mes11[[#This Row],[IMPORTE NETO]]*0.21</f>
        <v>0</v>
      </c>
      <c r="J2494" s="184"/>
      <c r="K2494" s="184"/>
      <c r="L2494" s="184"/>
      <c r="M2494" s="59"/>
    </row>
    <row r="2495" spans="2:13" x14ac:dyDescent="0.3">
      <c r="B2495" s="178"/>
      <c r="C2495" s="179"/>
      <c r="D2495" s="180"/>
      <c r="E2495" s="181"/>
      <c r="F2495" s="182"/>
      <c r="G2495" s="1" t="str">
        <f>IFERROR(IF(ventas_b_mes11[[#This Row],[CUIT]]="","-",VLOOKUP(ventas_b_mes11[[#This Row],[CUIT]],Lista_CUIT[#All],2,0)),"CUIT NO CARGADO")</f>
        <v>-</v>
      </c>
      <c r="H2495" s="64">
        <f>ventas_b_mes11[[#This Row],[TOTAL]]/1.21</f>
        <v>0</v>
      </c>
      <c r="I2495" s="183">
        <f>ventas_b_mes11[[#This Row],[IMPORTE NETO]]*0.21</f>
        <v>0</v>
      </c>
      <c r="J2495" s="184"/>
      <c r="K2495" s="184"/>
      <c r="L2495" s="184"/>
      <c r="M2495" s="59"/>
    </row>
    <row r="2496" spans="2:13" x14ac:dyDescent="0.3">
      <c r="B2496" s="178"/>
      <c r="C2496" s="179"/>
      <c r="D2496" s="180"/>
      <c r="E2496" s="181"/>
      <c r="F2496" s="182"/>
      <c r="G2496" s="1" t="str">
        <f>IFERROR(IF(ventas_b_mes11[[#This Row],[CUIT]]="","-",VLOOKUP(ventas_b_mes11[[#This Row],[CUIT]],Lista_CUIT[#All],2,0)),"CUIT NO CARGADO")</f>
        <v>-</v>
      </c>
      <c r="H2496" s="64">
        <f>ventas_b_mes11[[#This Row],[TOTAL]]/1.21</f>
        <v>0</v>
      </c>
      <c r="I2496" s="183">
        <f>ventas_b_mes11[[#This Row],[IMPORTE NETO]]*0.21</f>
        <v>0</v>
      </c>
      <c r="J2496" s="184"/>
      <c r="K2496" s="184"/>
      <c r="L2496" s="184"/>
      <c r="M2496" s="59"/>
    </row>
    <row r="2497" spans="2:13" x14ac:dyDescent="0.3">
      <c r="B2497" s="178"/>
      <c r="C2497" s="179"/>
      <c r="D2497" s="180"/>
      <c r="E2497" s="181"/>
      <c r="F2497" s="182"/>
      <c r="G2497" s="1" t="str">
        <f>IFERROR(IF(ventas_b_mes11[[#This Row],[CUIT]]="","-",VLOOKUP(ventas_b_mes11[[#This Row],[CUIT]],Lista_CUIT[#All],2,0)),"CUIT NO CARGADO")</f>
        <v>-</v>
      </c>
      <c r="H2497" s="64">
        <f>ventas_b_mes11[[#This Row],[TOTAL]]/1.21</f>
        <v>0</v>
      </c>
      <c r="I2497" s="183">
        <f>ventas_b_mes11[[#This Row],[IMPORTE NETO]]*0.21</f>
        <v>0</v>
      </c>
      <c r="J2497" s="184"/>
      <c r="K2497" s="184"/>
      <c r="L2497" s="184"/>
      <c r="M2497" s="59"/>
    </row>
    <row r="2498" spans="2:13" x14ac:dyDescent="0.3">
      <c r="B2498" s="178"/>
      <c r="C2498" s="179"/>
      <c r="D2498" s="180"/>
      <c r="E2498" s="181"/>
      <c r="F2498" s="182"/>
      <c r="G2498" s="1" t="str">
        <f>IFERROR(IF(ventas_b_mes11[[#This Row],[CUIT]]="","-",VLOOKUP(ventas_b_mes11[[#This Row],[CUIT]],Lista_CUIT[#All],2,0)),"CUIT NO CARGADO")</f>
        <v>-</v>
      </c>
      <c r="H2498" s="64">
        <f>ventas_b_mes11[[#This Row],[TOTAL]]/1.21</f>
        <v>0</v>
      </c>
      <c r="I2498" s="183">
        <f>ventas_b_mes11[[#This Row],[IMPORTE NETO]]*0.21</f>
        <v>0</v>
      </c>
      <c r="J2498" s="184"/>
      <c r="K2498" s="184"/>
      <c r="L2498" s="184"/>
      <c r="M2498" s="59"/>
    </row>
    <row r="2499" spans="2:13" x14ac:dyDescent="0.3">
      <c r="B2499" s="178"/>
      <c r="C2499" s="179"/>
      <c r="D2499" s="180"/>
      <c r="E2499" s="181"/>
      <c r="F2499" s="182"/>
      <c r="G2499" s="1" t="str">
        <f>IFERROR(IF(ventas_b_mes11[[#This Row],[CUIT]]="","-",VLOOKUP(ventas_b_mes11[[#This Row],[CUIT]],Lista_CUIT[#All],2,0)),"CUIT NO CARGADO")</f>
        <v>-</v>
      </c>
      <c r="H2499" s="64">
        <f>ventas_b_mes11[[#This Row],[TOTAL]]/1.21</f>
        <v>0</v>
      </c>
      <c r="I2499" s="183">
        <f>ventas_b_mes11[[#This Row],[IMPORTE NETO]]*0.21</f>
        <v>0</v>
      </c>
      <c r="J2499" s="184"/>
      <c r="K2499" s="184"/>
      <c r="L2499" s="184"/>
      <c r="M2499" s="59"/>
    </row>
    <row r="2500" spans="2:13" x14ac:dyDescent="0.3">
      <c r="B2500" s="178"/>
      <c r="C2500" s="179"/>
      <c r="D2500" s="180"/>
      <c r="E2500" s="181"/>
      <c r="F2500" s="182"/>
      <c r="G2500" s="1" t="str">
        <f>IFERROR(IF(ventas_b_mes11[[#This Row],[CUIT]]="","-",VLOOKUP(ventas_b_mes11[[#This Row],[CUIT]],Lista_CUIT[#All],2,0)),"CUIT NO CARGADO")</f>
        <v>-</v>
      </c>
      <c r="H2500" s="64">
        <f>ventas_b_mes11[[#This Row],[TOTAL]]/1.21</f>
        <v>0</v>
      </c>
      <c r="I2500" s="183">
        <f>ventas_b_mes11[[#This Row],[IMPORTE NETO]]*0.21</f>
        <v>0</v>
      </c>
      <c r="J2500" s="184"/>
      <c r="K2500" s="184"/>
      <c r="L2500" s="184"/>
      <c r="M2500" s="59"/>
    </row>
    <row r="2501" spans="2:13" x14ac:dyDescent="0.3">
      <c r="B2501" s="178"/>
      <c r="C2501" s="179"/>
      <c r="D2501" s="180"/>
      <c r="E2501" s="181"/>
      <c r="F2501" s="182"/>
      <c r="G2501" s="1" t="str">
        <f>IFERROR(IF(ventas_b_mes11[[#This Row],[CUIT]]="","-",VLOOKUP(ventas_b_mes11[[#This Row],[CUIT]],Lista_CUIT[#All],2,0)),"CUIT NO CARGADO")</f>
        <v>-</v>
      </c>
      <c r="H2501" s="64">
        <f>ventas_b_mes11[[#This Row],[TOTAL]]/1.21</f>
        <v>0</v>
      </c>
      <c r="I2501" s="183">
        <f>ventas_b_mes11[[#This Row],[IMPORTE NETO]]*0.21</f>
        <v>0</v>
      </c>
      <c r="J2501" s="184"/>
      <c r="K2501" s="184"/>
      <c r="L2501" s="184"/>
      <c r="M2501" s="59"/>
    </row>
    <row r="2502" spans="2:13" x14ac:dyDescent="0.3">
      <c r="B2502" s="178"/>
      <c r="C2502" s="179"/>
      <c r="D2502" s="180"/>
      <c r="E2502" s="181"/>
      <c r="F2502" s="182"/>
      <c r="G2502" s="1" t="str">
        <f>IFERROR(IF(ventas_b_mes11[[#This Row],[CUIT]]="","-",VLOOKUP(ventas_b_mes11[[#This Row],[CUIT]],Lista_CUIT[#All],2,0)),"CUIT NO CARGADO")</f>
        <v>-</v>
      </c>
      <c r="H2502" s="64">
        <f>ventas_b_mes11[[#This Row],[TOTAL]]/1.21</f>
        <v>0</v>
      </c>
      <c r="I2502" s="183">
        <f>ventas_b_mes11[[#This Row],[IMPORTE NETO]]*0.21</f>
        <v>0</v>
      </c>
      <c r="J2502" s="184"/>
      <c r="K2502" s="184"/>
      <c r="L2502" s="184"/>
      <c r="M2502" s="59"/>
    </row>
    <row r="2503" spans="2:13" x14ac:dyDescent="0.3">
      <c r="B2503" s="178"/>
      <c r="C2503" s="179"/>
      <c r="D2503" s="180"/>
      <c r="E2503" s="181"/>
      <c r="F2503" s="182"/>
      <c r="G2503" s="1" t="str">
        <f>IFERROR(IF(ventas_b_mes11[[#This Row],[CUIT]]="","-",VLOOKUP(ventas_b_mes11[[#This Row],[CUIT]],Lista_CUIT[#All],2,0)),"CUIT NO CARGADO")</f>
        <v>-</v>
      </c>
      <c r="H2503" s="64">
        <f>ventas_b_mes11[[#This Row],[TOTAL]]/1.21</f>
        <v>0</v>
      </c>
      <c r="I2503" s="183">
        <f>ventas_b_mes11[[#This Row],[IMPORTE NETO]]*0.21</f>
        <v>0</v>
      </c>
      <c r="J2503" s="184"/>
      <c r="K2503" s="184"/>
      <c r="L2503" s="184"/>
      <c r="M2503" s="59"/>
    </row>
    <row r="2504" spans="2:13" x14ac:dyDescent="0.3">
      <c r="B2504" s="178"/>
      <c r="C2504" s="179"/>
      <c r="D2504" s="180"/>
      <c r="E2504" s="181"/>
      <c r="F2504" s="182"/>
      <c r="G2504" s="1" t="str">
        <f>IFERROR(IF(ventas_b_mes11[[#This Row],[CUIT]]="","-",VLOOKUP(ventas_b_mes11[[#This Row],[CUIT]],Lista_CUIT[#All],2,0)),"CUIT NO CARGADO")</f>
        <v>-</v>
      </c>
      <c r="H2504" s="64">
        <f>ventas_b_mes11[[#This Row],[TOTAL]]/1.21</f>
        <v>0</v>
      </c>
      <c r="I2504" s="183">
        <f>ventas_b_mes11[[#This Row],[IMPORTE NETO]]*0.21</f>
        <v>0</v>
      </c>
      <c r="J2504" s="184"/>
      <c r="K2504" s="184"/>
      <c r="L2504" s="184"/>
      <c r="M2504" s="59"/>
    </row>
    <row r="2505" spans="2:13" x14ac:dyDescent="0.3">
      <c r="B2505" s="178"/>
      <c r="C2505" s="179"/>
      <c r="D2505" s="180"/>
      <c r="E2505" s="181"/>
      <c r="F2505" s="182"/>
      <c r="G2505" s="1" t="str">
        <f>IFERROR(IF(ventas_b_mes11[[#This Row],[CUIT]]="","-",VLOOKUP(ventas_b_mes11[[#This Row],[CUIT]],Lista_CUIT[#All],2,0)),"CUIT NO CARGADO")</f>
        <v>-</v>
      </c>
      <c r="H2505" s="64">
        <f>ventas_b_mes11[[#This Row],[TOTAL]]/1.21</f>
        <v>0</v>
      </c>
      <c r="I2505" s="183">
        <f>ventas_b_mes11[[#This Row],[IMPORTE NETO]]*0.21</f>
        <v>0</v>
      </c>
      <c r="J2505" s="184"/>
      <c r="K2505" s="184"/>
      <c r="L2505" s="184"/>
      <c r="M2505" s="59"/>
    </row>
    <row r="2506" spans="2:13" x14ac:dyDescent="0.3">
      <c r="B2506" s="178"/>
      <c r="C2506" s="179"/>
      <c r="D2506" s="180"/>
      <c r="E2506" s="181"/>
      <c r="F2506" s="182"/>
      <c r="G2506" s="1" t="str">
        <f>IFERROR(IF(ventas_b_mes11[[#This Row],[CUIT]]="","-",VLOOKUP(ventas_b_mes11[[#This Row],[CUIT]],Lista_CUIT[#All],2,0)),"CUIT NO CARGADO")</f>
        <v>-</v>
      </c>
      <c r="H2506" s="64">
        <f>ventas_b_mes11[[#This Row],[TOTAL]]/1.21</f>
        <v>0</v>
      </c>
      <c r="I2506" s="183">
        <f>ventas_b_mes11[[#This Row],[IMPORTE NETO]]*0.21</f>
        <v>0</v>
      </c>
      <c r="J2506" s="184"/>
      <c r="K2506" s="184"/>
      <c r="L2506" s="184"/>
      <c r="M2506" s="59"/>
    </row>
    <row r="2507" spans="2:13" x14ac:dyDescent="0.3">
      <c r="B2507" s="178"/>
      <c r="C2507" s="179"/>
      <c r="D2507" s="180"/>
      <c r="E2507" s="181"/>
      <c r="F2507" s="182"/>
      <c r="G2507" s="1" t="str">
        <f>IFERROR(IF(ventas_b_mes11[[#This Row],[CUIT]]="","-",VLOOKUP(ventas_b_mes11[[#This Row],[CUIT]],Lista_CUIT[#All],2,0)),"CUIT NO CARGADO")</f>
        <v>-</v>
      </c>
      <c r="H2507" s="64">
        <f>ventas_b_mes11[[#This Row],[TOTAL]]/1.21</f>
        <v>0</v>
      </c>
      <c r="I2507" s="183">
        <f>ventas_b_mes11[[#This Row],[IMPORTE NETO]]*0.21</f>
        <v>0</v>
      </c>
      <c r="J2507" s="184"/>
      <c r="K2507" s="184"/>
      <c r="L2507" s="184"/>
      <c r="M2507" s="59"/>
    </row>
    <row r="2508" spans="2:13" x14ac:dyDescent="0.3">
      <c r="B2508" s="178"/>
      <c r="C2508" s="179"/>
      <c r="D2508" s="180"/>
      <c r="E2508" s="181"/>
      <c r="F2508" s="182"/>
      <c r="G2508" s="1" t="str">
        <f>IFERROR(IF(ventas_b_mes11[[#This Row],[CUIT]]="","-",VLOOKUP(ventas_b_mes11[[#This Row],[CUIT]],Lista_CUIT[#All],2,0)),"CUIT NO CARGADO")</f>
        <v>-</v>
      </c>
      <c r="H2508" s="64">
        <f>ventas_b_mes11[[#This Row],[TOTAL]]/1.21</f>
        <v>0</v>
      </c>
      <c r="I2508" s="183">
        <f>ventas_b_mes11[[#This Row],[IMPORTE NETO]]*0.21</f>
        <v>0</v>
      </c>
      <c r="J2508" s="184"/>
      <c r="K2508" s="184"/>
      <c r="L2508" s="184"/>
      <c r="M2508" s="59"/>
    </row>
    <row r="2509" spans="2:13" x14ac:dyDescent="0.3">
      <c r="B2509" s="178"/>
      <c r="C2509" s="179"/>
      <c r="D2509" s="180"/>
      <c r="E2509" s="181"/>
      <c r="F2509" s="182"/>
      <c r="G2509" s="1" t="str">
        <f>IFERROR(IF(ventas_b_mes11[[#This Row],[CUIT]]="","-",VLOOKUP(ventas_b_mes11[[#This Row],[CUIT]],Lista_CUIT[#All],2,0)),"CUIT NO CARGADO")</f>
        <v>-</v>
      </c>
      <c r="H2509" s="64">
        <f>ventas_b_mes11[[#This Row],[TOTAL]]/1.21</f>
        <v>0</v>
      </c>
      <c r="I2509" s="183">
        <f>ventas_b_mes11[[#This Row],[IMPORTE NETO]]*0.21</f>
        <v>0</v>
      </c>
      <c r="J2509" s="184"/>
      <c r="K2509" s="184"/>
      <c r="L2509" s="184"/>
      <c r="M2509" s="59"/>
    </row>
    <row r="2510" spans="2:13" x14ac:dyDescent="0.3">
      <c r="B2510" s="178"/>
      <c r="C2510" s="179"/>
      <c r="D2510" s="180"/>
      <c r="E2510" s="181"/>
      <c r="F2510" s="182"/>
      <c r="G2510" s="1" t="str">
        <f>IFERROR(IF(ventas_b_mes11[[#This Row],[CUIT]]="","-",VLOOKUP(ventas_b_mes11[[#This Row],[CUIT]],Lista_CUIT[#All],2,0)),"CUIT NO CARGADO")</f>
        <v>-</v>
      </c>
      <c r="H2510" s="64">
        <f>ventas_b_mes11[[#This Row],[TOTAL]]/1.21</f>
        <v>0</v>
      </c>
      <c r="I2510" s="183">
        <f>ventas_b_mes11[[#This Row],[IMPORTE NETO]]*0.21</f>
        <v>0</v>
      </c>
      <c r="J2510" s="184"/>
      <c r="K2510" s="184"/>
      <c r="L2510" s="184"/>
      <c r="M2510" s="59"/>
    </row>
    <row r="2511" spans="2:13" x14ac:dyDescent="0.3">
      <c r="B2511" s="178"/>
      <c r="C2511" s="179"/>
      <c r="D2511" s="180"/>
      <c r="E2511" s="181"/>
      <c r="F2511" s="182"/>
      <c r="G2511" s="1" t="str">
        <f>IFERROR(IF(ventas_b_mes11[[#This Row],[CUIT]]="","-",VLOOKUP(ventas_b_mes11[[#This Row],[CUIT]],Lista_CUIT[#All],2,0)),"CUIT NO CARGADO")</f>
        <v>-</v>
      </c>
      <c r="H2511" s="64">
        <f>ventas_b_mes11[[#This Row],[TOTAL]]/1.21</f>
        <v>0</v>
      </c>
      <c r="I2511" s="183">
        <f>ventas_b_mes11[[#This Row],[IMPORTE NETO]]*0.21</f>
        <v>0</v>
      </c>
      <c r="J2511" s="184"/>
      <c r="K2511" s="184"/>
      <c r="L2511" s="184"/>
      <c r="M2511" s="59"/>
    </row>
    <row r="2512" spans="2:13" x14ac:dyDescent="0.3">
      <c r="B2512" s="178"/>
      <c r="C2512" s="179"/>
      <c r="D2512" s="180"/>
      <c r="E2512" s="181"/>
      <c r="F2512" s="182"/>
      <c r="G2512" s="1" t="str">
        <f>IFERROR(IF(ventas_b_mes11[[#This Row],[CUIT]]="","-",VLOOKUP(ventas_b_mes11[[#This Row],[CUIT]],Lista_CUIT[#All],2,0)),"CUIT NO CARGADO")</f>
        <v>-</v>
      </c>
      <c r="H2512" s="64">
        <f>ventas_b_mes11[[#This Row],[TOTAL]]/1.21</f>
        <v>0</v>
      </c>
      <c r="I2512" s="183">
        <f>ventas_b_mes11[[#This Row],[IMPORTE NETO]]*0.21</f>
        <v>0</v>
      </c>
      <c r="J2512" s="184"/>
      <c r="K2512" s="184"/>
      <c r="L2512" s="184"/>
      <c r="M2512" s="59"/>
    </row>
    <row r="2513" spans="2:13" x14ac:dyDescent="0.3">
      <c r="B2513" s="178"/>
      <c r="C2513" s="179"/>
      <c r="D2513" s="180"/>
      <c r="E2513" s="181"/>
      <c r="F2513" s="182"/>
      <c r="G2513" s="1" t="str">
        <f>IFERROR(IF(ventas_b_mes11[[#This Row],[CUIT]]="","-",VLOOKUP(ventas_b_mes11[[#This Row],[CUIT]],Lista_CUIT[#All],2,0)),"CUIT NO CARGADO")</f>
        <v>-</v>
      </c>
      <c r="H2513" s="64">
        <f>ventas_b_mes11[[#This Row],[TOTAL]]/1.21</f>
        <v>0</v>
      </c>
      <c r="I2513" s="183">
        <f>ventas_b_mes11[[#This Row],[IMPORTE NETO]]*0.21</f>
        <v>0</v>
      </c>
      <c r="J2513" s="184"/>
      <c r="K2513" s="184"/>
      <c r="L2513" s="184"/>
      <c r="M2513" s="59"/>
    </row>
    <row r="2514" spans="2:13" x14ac:dyDescent="0.3">
      <c r="B2514" s="178"/>
      <c r="C2514" s="179"/>
      <c r="D2514" s="180"/>
      <c r="E2514" s="181"/>
      <c r="F2514" s="182"/>
      <c r="G2514" s="1" t="str">
        <f>IFERROR(IF(ventas_b_mes11[[#This Row],[CUIT]]="","-",VLOOKUP(ventas_b_mes11[[#This Row],[CUIT]],Lista_CUIT[#All],2,0)),"CUIT NO CARGADO")</f>
        <v>-</v>
      </c>
      <c r="H2514" s="64">
        <f>ventas_b_mes11[[#This Row],[TOTAL]]/1.21</f>
        <v>0</v>
      </c>
      <c r="I2514" s="183">
        <f>ventas_b_mes11[[#This Row],[IMPORTE NETO]]*0.21</f>
        <v>0</v>
      </c>
      <c r="J2514" s="184"/>
      <c r="K2514" s="184"/>
      <c r="L2514" s="184"/>
      <c r="M2514" s="59"/>
    </row>
    <row r="2515" spans="2:13" x14ac:dyDescent="0.3">
      <c r="B2515" s="178"/>
      <c r="C2515" s="179"/>
      <c r="D2515" s="180"/>
      <c r="E2515" s="181"/>
      <c r="F2515" s="182"/>
      <c r="G2515" s="1" t="str">
        <f>IFERROR(IF(ventas_b_mes11[[#This Row],[CUIT]]="","-",VLOOKUP(ventas_b_mes11[[#This Row],[CUIT]],Lista_CUIT[#All],2,0)),"CUIT NO CARGADO")</f>
        <v>-</v>
      </c>
      <c r="H2515" s="64">
        <f>ventas_b_mes11[[#This Row],[TOTAL]]/1.21</f>
        <v>0</v>
      </c>
      <c r="I2515" s="183">
        <f>ventas_b_mes11[[#This Row],[IMPORTE NETO]]*0.21</f>
        <v>0</v>
      </c>
      <c r="J2515" s="184"/>
      <c r="K2515" s="184"/>
      <c r="L2515" s="184"/>
      <c r="M2515" s="59"/>
    </row>
    <row r="2516" spans="2:13" x14ac:dyDescent="0.3">
      <c r="B2516" s="178"/>
      <c r="C2516" s="179"/>
      <c r="D2516" s="180"/>
      <c r="E2516" s="181"/>
      <c r="F2516" s="182"/>
      <c r="G2516" s="1" t="str">
        <f>IFERROR(IF(ventas_b_mes11[[#This Row],[CUIT]]="","-",VLOOKUP(ventas_b_mes11[[#This Row],[CUIT]],Lista_CUIT[#All],2,0)),"CUIT NO CARGADO")</f>
        <v>-</v>
      </c>
      <c r="H2516" s="64">
        <f>ventas_b_mes11[[#This Row],[TOTAL]]/1.21</f>
        <v>0</v>
      </c>
      <c r="I2516" s="183">
        <f>ventas_b_mes11[[#This Row],[IMPORTE NETO]]*0.21</f>
        <v>0</v>
      </c>
      <c r="J2516" s="184"/>
      <c r="K2516" s="184"/>
      <c r="L2516" s="184"/>
      <c r="M2516" s="59"/>
    </row>
    <row r="2517" spans="2:13" x14ac:dyDescent="0.3">
      <c r="B2517" s="178"/>
      <c r="C2517" s="179"/>
      <c r="D2517" s="180"/>
      <c r="E2517" s="181"/>
      <c r="F2517" s="182"/>
      <c r="G2517" s="1" t="str">
        <f>IFERROR(IF(ventas_b_mes11[[#This Row],[CUIT]]="","-",VLOOKUP(ventas_b_mes11[[#This Row],[CUIT]],Lista_CUIT[#All],2,0)),"CUIT NO CARGADO")</f>
        <v>-</v>
      </c>
      <c r="H2517" s="64">
        <f>ventas_b_mes11[[#This Row],[TOTAL]]/1.21</f>
        <v>0</v>
      </c>
      <c r="I2517" s="183">
        <f>ventas_b_mes11[[#This Row],[IMPORTE NETO]]*0.21</f>
        <v>0</v>
      </c>
      <c r="J2517" s="184"/>
      <c r="K2517" s="184"/>
      <c r="L2517" s="184"/>
      <c r="M2517" s="59"/>
    </row>
    <row r="2518" spans="2:13" x14ac:dyDescent="0.3">
      <c r="B2518" s="178"/>
      <c r="C2518" s="179"/>
      <c r="D2518" s="180"/>
      <c r="E2518" s="181"/>
      <c r="F2518" s="182"/>
      <c r="G2518" s="1" t="str">
        <f>IFERROR(IF(ventas_b_mes11[[#This Row],[CUIT]]="","-",VLOOKUP(ventas_b_mes11[[#This Row],[CUIT]],Lista_CUIT[#All],2,0)),"CUIT NO CARGADO")</f>
        <v>-</v>
      </c>
      <c r="H2518" s="64">
        <f>ventas_b_mes11[[#This Row],[TOTAL]]/1.21</f>
        <v>0</v>
      </c>
      <c r="I2518" s="183">
        <f>ventas_b_mes11[[#This Row],[IMPORTE NETO]]*0.21</f>
        <v>0</v>
      </c>
      <c r="J2518" s="184"/>
      <c r="K2518" s="184"/>
      <c r="L2518" s="184"/>
      <c r="M2518" s="59"/>
    </row>
    <row r="2519" spans="2:13" x14ac:dyDescent="0.3">
      <c r="B2519" s="178"/>
      <c r="C2519" s="179"/>
      <c r="D2519" s="180"/>
      <c r="E2519" s="181"/>
      <c r="F2519" s="182"/>
      <c r="G2519" s="1" t="str">
        <f>IFERROR(IF(ventas_b_mes11[[#This Row],[CUIT]]="","-",VLOOKUP(ventas_b_mes11[[#This Row],[CUIT]],Lista_CUIT[#All],2,0)),"CUIT NO CARGADO")</f>
        <v>-</v>
      </c>
      <c r="H2519" s="64">
        <f>ventas_b_mes11[[#This Row],[TOTAL]]/1.21</f>
        <v>0</v>
      </c>
      <c r="I2519" s="183">
        <f>ventas_b_mes11[[#This Row],[IMPORTE NETO]]*0.21</f>
        <v>0</v>
      </c>
      <c r="J2519" s="184"/>
      <c r="K2519" s="184"/>
      <c r="L2519" s="184"/>
      <c r="M2519" s="59"/>
    </row>
    <row r="2520" spans="2:13" x14ac:dyDescent="0.3">
      <c r="B2520" s="178"/>
      <c r="C2520" s="179"/>
      <c r="D2520" s="180"/>
      <c r="E2520" s="181"/>
      <c r="F2520" s="182"/>
      <c r="G2520" s="1" t="str">
        <f>IFERROR(IF(ventas_b_mes11[[#This Row],[CUIT]]="","-",VLOOKUP(ventas_b_mes11[[#This Row],[CUIT]],Lista_CUIT[#All],2,0)),"CUIT NO CARGADO")</f>
        <v>-</v>
      </c>
      <c r="H2520" s="64">
        <f>ventas_b_mes11[[#This Row],[TOTAL]]/1.21</f>
        <v>0</v>
      </c>
      <c r="I2520" s="183">
        <f>ventas_b_mes11[[#This Row],[IMPORTE NETO]]*0.21</f>
        <v>0</v>
      </c>
      <c r="J2520" s="184"/>
      <c r="K2520" s="184"/>
      <c r="L2520" s="184"/>
      <c r="M2520" s="59"/>
    </row>
    <row r="2521" spans="2:13" x14ac:dyDescent="0.3">
      <c r="B2521" s="178"/>
      <c r="C2521" s="179"/>
      <c r="D2521" s="180"/>
      <c r="E2521" s="181"/>
      <c r="F2521" s="182"/>
      <c r="G2521" s="1" t="str">
        <f>IFERROR(IF(ventas_b_mes11[[#This Row],[CUIT]]="","-",VLOOKUP(ventas_b_mes11[[#This Row],[CUIT]],Lista_CUIT[#All],2,0)),"CUIT NO CARGADO")</f>
        <v>-</v>
      </c>
      <c r="H2521" s="64">
        <f>ventas_b_mes11[[#This Row],[TOTAL]]/1.21</f>
        <v>0</v>
      </c>
      <c r="I2521" s="183">
        <f>ventas_b_mes11[[#This Row],[IMPORTE NETO]]*0.21</f>
        <v>0</v>
      </c>
      <c r="J2521" s="184"/>
      <c r="K2521" s="184"/>
      <c r="L2521" s="184"/>
      <c r="M2521" s="59"/>
    </row>
    <row r="2522" spans="2:13" x14ac:dyDescent="0.3">
      <c r="B2522" s="178"/>
      <c r="C2522" s="179"/>
      <c r="D2522" s="180"/>
      <c r="E2522" s="181"/>
      <c r="F2522" s="182"/>
      <c r="G2522" s="1" t="str">
        <f>IFERROR(IF(ventas_b_mes11[[#This Row],[CUIT]]="","-",VLOOKUP(ventas_b_mes11[[#This Row],[CUIT]],Lista_CUIT[#All],2,0)),"CUIT NO CARGADO")</f>
        <v>-</v>
      </c>
      <c r="H2522" s="64">
        <f>ventas_b_mes11[[#This Row],[TOTAL]]/1.21</f>
        <v>0</v>
      </c>
      <c r="I2522" s="183">
        <f>ventas_b_mes11[[#This Row],[IMPORTE NETO]]*0.21</f>
        <v>0</v>
      </c>
      <c r="J2522" s="184"/>
      <c r="K2522" s="184"/>
      <c r="L2522" s="184"/>
      <c r="M2522" s="59"/>
    </row>
    <row r="2523" spans="2:13" x14ac:dyDescent="0.3">
      <c r="B2523" s="178"/>
      <c r="C2523" s="179"/>
      <c r="D2523" s="180"/>
      <c r="E2523" s="181"/>
      <c r="F2523" s="182"/>
      <c r="G2523" s="1" t="str">
        <f>IFERROR(IF(ventas_b_mes11[[#This Row],[CUIT]]="","-",VLOOKUP(ventas_b_mes11[[#This Row],[CUIT]],Lista_CUIT[#All],2,0)),"CUIT NO CARGADO")</f>
        <v>-</v>
      </c>
      <c r="H2523" s="64">
        <f>ventas_b_mes11[[#This Row],[TOTAL]]/1.21</f>
        <v>0</v>
      </c>
      <c r="I2523" s="183">
        <f>ventas_b_mes11[[#This Row],[IMPORTE NETO]]*0.21</f>
        <v>0</v>
      </c>
      <c r="J2523" s="184"/>
      <c r="K2523" s="184"/>
      <c r="L2523" s="184"/>
      <c r="M2523" s="59"/>
    </row>
    <row r="2524" spans="2:13" x14ac:dyDescent="0.3">
      <c r="B2524" s="178"/>
      <c r="C2524" s="179"/>
      <c r="D2524" s="180"/>
      <c r="E2524" s="181"/>
      <c r="F2524" s="182"/>
      <c r="G2524" s="1" t="str">
        <f>IFERROR(IF(ventas_b_mes11[[#This Row],[CUIT]]="","-",VLOOKUP(ventas_b_mes11[[#This Row],[CUIT]],Lista_CUIT[#All],2,0)),"CUIT NO CARGADO")</f>
        <v>-</v>
      </c>
      <c r="H2524" s="64">
        <f>ventas_b_mes11[[#This Row],[TOTAL]]/1.21</f>
        <v>0</v>
      </c>
      <c r="I2524" s="183">
        <f>ventas_b_mes11[[#This Row],[IMPORTE NETO]]*0.21</f>
        <v>0</v>
      </c>
      <c r="J2524" s="184"/>
      <c r="K2524" s="184"/>
      <c r="L2524" s="184"/>
      <c r="M2524" s="59"/>
    </row>
    <row r="2525" spans="2:13" x14ac:dyDescent="0.3">
      <c r="B2525" s="178"/>
      <c r="C2525" s="179"/>
      <c r="D2525" s="180"/>
      <c r="E2525" s="181"/>
      <c r="F2525" s="182"/>
      <c r="G2525" s="1" t="str">
        <f>IFERROR(IF(ventas_b_mes11[[#This Row],[CUIT]]="","-",VLOOKUP(ventas_b_mes11[[#This Row],[CUIT]],Lista_CUIT[#All],2,0)),"CUIT NO CARGADO")</f>
        <v>-</v>
      </c>
      <c r="H2525" s="64">
        <f>ventas_b_mes11[[#This Row],[TOTAL]]/1.21</f>
        <v>0</v>
      </c>
      <c r="I2525" s="183">
        <f>ventas_b_mes11[[#This Row],[IMPORTE NETO]]*0.21</f>
        <v>0</v>
      </c>
      <c r="J2525" s="184"/>
      <c r="K2525" s="184"/>
      <c r="L2525" s="184"/>
      <c r="M2525" s="59"/>
    </row>
    <row r="2526" spans="2:13" x14ac:dyDescent="0.3">
      <c r="B2526" s="178"/>
      <c r="C2526" s="179"/>
      <c r="D2526" s="180"/>
      <c r="E2526" s="181"/>
      <c r="F2526" s="182"/>
      <c r="G2526" s="1" t="str">
        <f>IFERROR(IF(ventas_b_mes11[[#This Row],[CUIT]]="","-",VLOOKUP(ventas_b_mes11[[#This Row],[CUIT]],Lista_CUIT[#All],2,0)),"CUIT NO CARGADO")</f>
        <v>-</v>
      </c>
      <c r="H2526" s="64">
        <f>ventas_b_mes11[[#This Row],[TOTAL]]/1.21</f>
        <v>0</v>
      </c>
      <c r="I2526" s="183">
        <f>ventas_b_mes11[[#This Row],[IMPORTE NETO]]*0.21</f>
        <v>0</v>
      </c>
      <c r="J2526" s="184"/>
      <c r="K2526" s="184"/>
      <c r="L2526" s="184"/>
      <c r="M2526" s="59"/>
    </row>
    <row r="2527" spans="2:13" x14ac:dyDescent="0.3">
      <c r="B2527" s="178"/>
      <c r="C2527" s="179"/>
      <c r="D2527" s="180"/>
      <c r="E2527" s="181"/>
      <c r="F2527" s="182"/>
      <c r="G2527" s="1" t="str">
        <f>IFERROR(IF(ventas_b_mes11[[#This Row],[CUIT]]="","-",VLOOKUP(ventas_b_mes11[[#This Row],[CUIT]],Lista_CUIT[#All],2,0)),"CUIT NO CARGADO")</f>
        <v>-</v>
      </c>
      <c r="H2527" s="64">
        <f>ventas_b_mes11[[#This Row],[TOTAL]]/1.21</f>
        <v>0</v>
      </c>
      <c r="I2527" s="183">
        <f>ventas_b_mes11[[#This Row],[IMPORTE NETO]]*0.21</f>
        <v>0</v>
      </c>
      <c r="J2527" s="184"/>
      <c r="K2527" s="184"/>
      <c r="L2527" s="184"/>
      <c r="M2527" s="59"/>
    </row>
    <row r="2528" spans="2:13" x14ac:dyDescent="0.3">
      <c r="B2528" s="178"/>
      <c r="C2528" s="179"/>
      <c r="D2528" s="180"/>
      <c r="E2528" s="181"/>
      <c r="F2528" s="182"/>
      <c r="G2528" s="1" t="str">
        <f>IFERROR(IF(ventas_b_mes11[[#This Row],[CUIT]]="","-",VLOOKUP(ventas_b_mes11[[#This Row],[CUIT]],Lista_CUIT[#All],2,0)),"CUIT NO CARGADO")</f>
        <v>-</v>
      </c>
      <c r="H2528" s="64">
        <f>ventas_b_mes11[[#This Row],[TOTAL]]/1.21</f>
        <v>0</v>
      </c>
      <c r="I2528" s="183">
        <f>ventas_b_mes11[[#This Row],[IMPORTE NETO]]*0.21</f>
        <v>0</v>
      </c>
      <c r="J2528" s="184"/>
      <c r="K2528" s="184"/>
      <c r="L2528" s="184"/>
      <c r="M2528" s="59"/>
    </row>
    <row r="2529" spans="2:13" x14ac:dyDescent="0.3">
      <c r="B2529" s="178"/>
      <c r="C2529" s="179"/>
      <c r="D2529" s="180"/>
      <c r="E2529" s="181"/>
      <c r="F2529" s="182"/>
      <c r="G2529" s="1" t="str">
        <f>IFERROR(IF(ventas_b_mes11[[#This Row],[CUIT]]="","-",VLOOKUP(ventas_b_mes11[[#This Row],[CUIT]],Lista_CUIT[#All],2,0)),"CUIT NO CARGADO")</f>
        <v>-</v>
      </c>
      <c r="H2529" s="64">
        <f>ventas_b_mes11[[#This Row],[TOTAL]]/1.21</f>
        <v>0</v>
      </c>
      <c r="I2529" s="183">
        <f>ventas_b_mes11[[#This Row],[IMPORTE NETO]]*0.21</f>
        <v>0</v>
      </c>
      <c r="J2529" s="184"/>
      <c r="K2529" s="184"/>
      <c r="L2529" s="184"/>
      <c r="M2529" s="59"/>
    </row>
    <row r="2530" spans="2:13" x14ac:dyDescent="0.3">
      <c r="B2530" s="178"/>
      <c r="C2530" s="179"/>
      <c r="D2530" s="180"/>
      <c r="E2530" s="181"/>
      <c r="F2530" s="182"/>
      <c r="G2530" s="1" t="str">
        <f>IFERROR(IF(ventas_b_mes11[[#This Row],[CUIT]]="","-",VLOOKUP(ventas_b_mes11[[#This Row],[CUIT]],Lista_CUIT[#All],2,0)),"CUIT NO CARGADO")</f>
        <v>-</v>
      </c>
      <c r="H2530" s="64">
        <f>ventas_b_mes11[[#This Row],[TOTAL]]/1.21</f>
        <v>0</v>
      </c>
      <c r="I2530" s="183">
        <f>ventas_b_mes11[[#This Row],[IMPORTE NETO]]*0.21</f>
        <v>0</v>
      </c>
      <c r="J2530" s="184"/>
      <c r="K2530" s="184"/>
      <c r="L2530" s="184"/>
      <c r="M2530" s="59"/>
    </row>
    <row r="2531" spans="2:13" x14ac:dyDescent="0.3">
      <c r="B2531" s="178"/>
      <c r="C2531" s="179"/>
      <c r="D2531" s="180"/>
      <c r="E2531" s="181"/>
      <c r="F2531" s="182"/>
      <c r="G2531" s="1" t="str">
        <f>IFERROR(IF(ventas_b_mes11[[#This Row],[CUIT]]="","-",VLOOKUP(ventas_b_mes11[[#This Row],[CUIT]],Lista_CUIT[#All],2,0)),"CUIT NO CARGADO")</f>
        <v>-</v>
      </c>
      <c r="H2531" s="64">
        <f>ventas_b_mes11[[#This Row],[TOTAL]]/1.21</f>
        <v>0</v>
      </c>
      <c r="I2531" s="183">
        <f>ventas_b_mes11[[#This Row],[IMPORTE NETO]]*0.21</f>
        <v>0</v>
      </c>
      <c r="J2531" s="184"/>
      <c r="K2531" s="184"/>
      <c r="L2531" s="184"/>
      <c r="M2531" s="59"/>
    </row>
    <row r="2532" spans="2:13" x14ac:dyDescent="0.3">
      <c r="B2532" s="178"/>
      <c r="C2532" s="179"/>
      <c r="D2532" s="180"/>
      <c r="E2532" s="181"/>
      <c r="F2532" s="182"/>
      <c r="G2532" s="1" t="str">
        <f>IFERROR(IF(ventas_b_mes11[[#This Row],[CUIT]]="","-",VLOOKUP(ventas_b_mes11[[#This Row],[CUIT]],Lista_CUIT[#All],2,0)),"CUIT NO CARGADO")</f>
        <v>-</v>
      </c>
      <c r="H2532" s="64">
        <f>ventas_b_mes11[[#This Row],[TOTAL]]/1.21</f>
        <v>0</v>
      </c>
      <c r="I2532" s="183">
        <f>ventas_b_mes11[[#This Row],[IMPORTE NETO]]*0.21</f>
        <v>0</v>
      </c>
      <c r="J2532" s="184"/>
      <c r="K2532" s="184"/>
      <c r="L2532" s="184"/>
      <c r="M2532" s="59"/>
    </row>
    <row r="2533" spans="2:13" x14ac:dyDescent="0.3">
      <c r="B2533" s="178"/>
      <c r="C2533" s="179"/>
      <c r="D2533" s="180"/>
      <c r="E2533" s="181"/>
      <c r="F2533" s="182"/>
      <c r="G2533" s="1" t="str">
        <f>IFERROR(IF(ventas_b_mes11[[#This Row],[CUIT]]="","-",VLOOKUP(ventas_b_mes11[[#This Row],[CUIT]],Lista_CUIT[#All],2,0)),"CUIT NO CARGADO")</f>
        <v>-</v>
      </c>
      <c r="H2533" s="64">
        <f>ventas_b_mes11[[#This Row],[TOTAL]]/1.21</f>
        <v>0</v>
      </c>
      <c r="I2533" s="183">
        <f>ventas_b_mes11[[#This Row],[IMPORTE NETO]]*0.21</f>
        <v>0</v>
      </c>
      <c r="J2533" s="184"/>
      <c r="K2533" s="184"/>
      <c r="L2533" s="184"/>
      <c r="M2533" s="59"/>
    </row>
    <row r="2534" spans="2:13" x14ac:dyDescent="0.3">
      <c r="B2534" s="178"/>
      <c r="C2534" s="179"/>
      <c r="D2534" s="180"/>
      <c r="E2534" s="181"/>
      <c r="F2534" s="182"/>
      <c r="G2534" s="1" t="str">
        <f>IFERROR(IF(ventas_b_mes11[[#This Row],[CUIT]]="","-",VLOOKUP(ventas_b_mes11[[#This Row],[CUIT]],Lista_CUIT[#All],2,0)),"CUIT NO CARGADO")</f>
        <v>-</v>
      </c>
      <c r="H2534" s="64">
        <f>ventas_b_mes11[[#This Row],[TOTAL]]/1.21</f>
        <v>0</v>
      </c>
      <c r="I2534" s="183">
        <f>ventas_b_mes11[[#This Row],[IMPORTE NETO]]*0.21</f>
        <v>0</v>
      </c>
      <c r="J2534" s="184"/>
      <c r="K2534" s="184"/>
      <c r="L2534" s="184"/>
      <c r="M2534" s="59"/>
    </row>
    <row r="2535" spans="2:13" x14ac:dyDescent="0.3">
      <c r="B2535" s="178"/>
      <c r="C2535" s="179"/>
      <c r="D2535" s="180"/>
      <c r="E2535" s="181"/>
      <c r="F2535" s="182"/>
      <c r="G2535" s="1" t="str">
        <f>IFERROR(IF(ventas_b_mes11[[#This Row],[CUIT]]="","-",VLOOKUP(ventas_b_mes11[[#This Row],[CUIT]],Lista_CUIT[#All],2,0)),"CUIT NO CARGADO")</f>
        <v>-</v>
      </c>
      <c r="H2535" s="64">
        <f>ventas_b_mes11[[#This Row],[TOTAL]]/1.21</f>
        <v>0</v>
      </c>
      <c r="I2535" s="183">
        <f>ventas_b_mes11[[#This Row],[IMPORTE NETO]]*0.21</f>
        <v>0</v>
      </c>
      <c r="J2535" s="184"/>
      <c r="K2535" s="184"/>
      <c r="L2535" s="184"/>
      <c r="M2535" s="59"/>
    </row>
    <row r="2536" spans="2:13" x14ac:dyDescent="0.3">
      <c r="B2536" s="178"/>
      <c r="C2536" s="179"/>
      <c r="D2536" s="180"/>
      <c r="E2536" s="181"/>
      <c r="F2536" s="182"/>
      <c r="G2536" s="1" t="str">
        <f>IFERROR(IF(ventas_b_mes11[[#This Row],[CUIT]]="","-",VLOOKUP(ventas_b_mes11[[#This Row],[CUIT]],Lista_CUIT[#All],2,0)),"CUIT NO CARGADO")</f>
        <v>-</v>
      </c>
      <c r="H2536" s="64">
        <f>ventas_b_mes11[[#This Row],[TOTAL]]/1.21</f>
        <v>0</v>
      </c>
      <c r="I2536" s="183">
        <f>ventas_b_mes11[[#This Row],[IMPORTE NETO]]*0.21</f>
        <v>0</v>
      </c>
      <c r="J2536" s="184"/>
      <c r="K2536" s="184"/>
      <c r="L2536" s="184"/>
      <c r="M2536" s="59"/>
    </row>
    <row r="2537" spans="2:13" x14ac:dyDescent="0.3">
      <c r="B2537" s="178"/>
      <c r="C2537" s="179"/>
      <c r="D2537" s="180"/>
      <c r="E2537" s="181"/>
      <c r="F2537" s="182"/>
      <c r="G2537" s="1" t="str">
        <f>IFERROR(IF(ventas_b_mes11[[#This Row],[CUIT]]="","-",VLOOKUP(ventas_b_mes11[[#This Row],[CUIT]],Lista_CUIT[#All],2,0)),"CUIT NO CARGADO")</f>
        <v>-</v>
      </c>
      <c r="H2537" s="64">
        <f>ventas_b_mes11[[#This Row],[TOTAL]]/1.21</f>
        <v>0</v>
      </c>
      <c r="I2537" s="183">
        <f>ventas_b_mes11[[#This Row],[IMPORTE NETO]]*0.21</f>
        <v>0</v>
      </c>
      <c r="J2537" s="184"/>
      <c r="K2537" s="184"/>
      <c r="L2537" s="184"/>
      <c r="M2537" s="59"/>
    </row>
    <row r="2538" spans="2:13" x14ac:dyDescent="0.3">
      <c r="B2538" s="178"/>
      <c r="C2538" s="179"/>
      <c r="D2538" s="180"/>
      <c r="E2538" s="181"/>
      <c r="F2538" s="182"/>
      <c r="G2538" s="1" t="str">
        <f>IFERROR(IF(ventas_b_mes11[[#This Row],[CUIT]]="","-",VLOOKUP(ventas_b_mes11[[#This Row],[CUIT]],Lista_CUIT[#All],2,0)),"CUIT NO CARGADO")</f>
        <v>-</v>
      </c>
      <c r="H2538" s="64">
        <f>ventas_b_mes11[[#This Row],[TOTAL]]/1.21</f>
        <v>0</v>
      </c>
      <c r="I2538" s="183">
        <f>ventas_b_mes11[[#This Row],[IMPORTE NETO]]*0.21</f>
        <v>0</v>
      </c>
      <c r="J2538" s="184"/>
      <c r="K2538" s="184"/>
      <c r="L2538" s="184"/>
      <c r="M2538" s="59"/>
    </row>
    <row r="2539" spans="2:13" x14ac:dyDescent="0.3">
      <c r="B2539" s="178"/>
      <c r="C2539" s="179"/>
      <c r="D2539" s="180"/>
      <c r="E2539" s="181"/>
      <c r="F2539" s="182"/>
      <c r="G2539" s="1" t="str">
        <f>IFERROR(IF(ventas_b_mes11[[#This Row],[CUIT]]="","-",VLOOKUP(ventas_b_mes11[[#This Row],[CUIT]],Lista_CUIT[#All],2,0)),"CUIT NO CARGADO")</f>
        <v>-</v>
      </c>
      <c r="H2539" s="64">
        <f>ventas_b_mes11[[#This Row],[TOTAL]]/1.21</f>
        <v>0</v>
      </c>
      <c r="I2539" s="183">
        <f>ventas_b_mes11[[#This Row],[IMPORTE NETO]]*0.21</f>
        <v>0</v>
      </c>
      <c r="J2539" s="184"/>
      <c r="K2539" s="184"/>
      <c r="L2539" s="184"/>
      <c r="M2539" s="59"/>
    </row>
    <row r="2540" spans="2:13" x14ac:dyDescent="0.3">
      <c r="B2540" s="178"/>
      <c r="C2540" s="179"/>
      <c r="D2540" s="180"/>
      <c r="E2540" s="181"/>
      <c r="F2540" s="182"/>
      <c r="G2540" s="1" t="str">
        <f>IFERROR(IF(ventas_b_mes11[[#This Row],[CUIT]]="","-",VLOOKUP(ventas_b_mes11[[#This Row],[CUIT]],Lista_CUIT[#All],2,0)),"CUIT NO CARGADO")</f>
        <v>-</v>
      </c>
      <c r="H2540" s="64">
        <f>ventas_b_mes11[[#This Row],[TOTAL]]/1.21</f>
        <v>0</v>
      </c>
      <c r="I2540" s="183">
        <f>ventas_b_mes11[[#This Row],[IMPORTE NETO]]*0.21</f>
        <v>0</v>
      </c>
      <c r="J2540" s="184"/>
      <c r="K2540" s="184"/>
      <c r="L2540" s="184"/>
      <c r="M2540" s="59"/>
    </row>
    <row r="2541" spans="2:13" x14ac:dyDescent="0.3">
      <c r="B2541" s="178"/>
      <c r="C2541" s="179"/>
      <c r="D2541" s="180"/>
      <c r="E2541" s="181"/>
      <c r="F2541" s="182"/>
      <c r="G2541" s="1" t="str">
        <f>IFERROR(IF(ventas_b_mes11[[#This Row],[CUIT]]="","-",VLOOKUP(ventas_b_mes11[[#This Row],[CUIT]],Lista_CUIT[#All],2,0)),"CUIT NO CARGADO")</f>
        <v>-</v>
      </c>
      <c r="H2541" s="64">
        <f>ventas_b_mes11[[#This Row],[TOTAL]]/1.21</f>
        <v>0</v>
      </c>
      <c r="I2541" s="183">
        <f>ventas_b_mes11[[#This Row],[IMPORTE NETO]]*0.21</f>
        <v>0</v>
      </c>
      <c r="J2541" s="184"/>
      <c r="K2541" s="184"/>
      <c r="L2541" s="184"/>
      <c r="M2541" s="59"/>
    </row>
    <row r="2542" spans="2:13" x14ac:dyDescent="0.3">
      <c r="B2542" s="178"/>
      <c r="C2542" s="179"/>
      <c r="D2542" s="180"/>
      <c r="E2542" s="181"/>
      <c r="F2542" s="182"/>
      <c r="G2542" s="1" t="str">
        <f>IFERROR(IF(ventas_b_mes11[[#This Row],[CUIT]]="","-",VLOOKUP(ventas_b_mes11[[#This Row],[CUIT]],Lista_CUIT[#All],2,0)),"CUIT NO CARGADO")</f>
        <v>-</v>
      </c>
      <c r="H2542" s="64">
        <f>ventas_b_mes11[[#This Row],[TOTAL]]/1.21</f>
        <v>0</v>
      </c>
      <c r="I2542" s="183">
        <f>ventas_b_mes11[[#This Row],[IMPORTE NETO]]*0.21</f>
        <v>0</v>
      </c>
      <c r="J2542" s="184"/>
      <c r="K2542" s="184"/>
      <c r="L2542" s="184"/>
      <c r="M2542" s="59"/>
    </row>
    <row r="2543" spans="2:13" x14ac:dyDescent="0.3">
      <c r="B2543" s="178"/>
      <c r="C2543" s="179"/>
      <c r="D2543" s="180"/>
      <c r="E2543" s="181"/>
      <c r="F2543" s="182"/>
      <c r="G2543" s="1" t="str">
        <f>IFERROR(IF(ventas_b_mes11[[#This Row],[CUIT]]="","-",VLOOKUP(ventas_b_mes11[[#This Row],[CUIT]],Lista_CUIT[#All],2,0)),"CUIT NO CARGADO")</f>
        <v>-</v>
      </c>
      <c r="H2543" s="64">
        <f>ventas_b_mes11[[#This Row],[TOTAL]]/1.21</f>
        <v>0</v>
      </c>
      <c r="I2543" s="183">
        <f>ventas_b_mes11[[#This Row],[IMPORTE NETO]]*0.21</f>
        <v>0</v>
      </c>
      <c r="J2543" s="184"/>
      <c r="K2543" s="184"/>
      <c r="L2543" s="184"/>
      <c r="M2543" s="59"/>
    </row>
    <row r="2544" spans="2:13" x14ac:dyDescent="0.3">
      <c r="B2544" s="178"/>
      <c r="C2544" s="179"/>
      <c r="D2544" s="180"/>
      <c r="E2544" s="181"/>
      <c r="F2544" s="182"/>
      <c r="G2544" s="1" t="str">
        <f>IFERROR(IF(ventas_b_mes11[[#This Row],[CUIT]]="","-",VLOOKUP(ventas_b_mes11[[#This Row],[CUIT]],Lista_CUIT[#All],2,0)),"CUIT NO CARGADO")</f>
        <v>-</v>
      </c>
      <c r="H2544" s="64">
        <f>ventas_b_mes11[[#This Row],[TOTAL]]/1.21</f>
        <v>0</v>
      </c>
      <c r="I2544" s="183">
        <f>ventas_b_mes11[[#This Row],[IMPORTE NETO]]*0.21</f>
        <v>0</v>
      </c>
      <c r="J2544" s="184"/>
      <c r="K2544" s="184"/>
      <c r="L2544" s="184"/>
      <c r="M2544" s="59"/>
    </row>
    <row r="2545" spans="2:13" x14ac:dyDescent="0.3">
      <c r="B2545" s="178"/>
      <c r="C2545" s="179"/>
      <c r="D2545" s="180"/>
      <c r="E2545" s="181"/>
      <c r="F2545" s="182"/>
      <c r="G2545" s="1" t="str">
        <f>IFERROR(IF(ventas_b_mes11[[#This Row],[CUIT]]="","-",VLOOKUP(ventas_b_mes11[[#This Row],[CUIT]],Lista_CUIT[#All],2,0)),"CUIT NO CARGADO")</f>
        <v>-</v>
      </c>
      <c r="H2545" s="64">
        <f>ventas_b_mes11[[#This Row],[TOTAL]]/1.21</f>
        <v>0</v>
      </c>
      <c r="I2545" s="183">
        <f>ventas_b_mes11[[#This Row],[IMPORTE NETO]]*0.21</f>
        <v>0</v>
      </c>
      <c r="J2545" s="184"/>
      <c r="K2545" s="184"/>
      <c r="L2545" s="184"/>
      <c r="M2545" s="59"/>
    </row>
    <row r="2546" spans="2:13" x14ac:dyDescent="0.3">
      <c r="B2546" s="178"/>
      <c r="C2546" s="179"/>
      <c r="D2546" s="180"/>
      <c r="E2546" s="181"/>
      <c r="F2546" s="182"/>
      <c r="G2546" s="1" t="str">
        <f>IFERROR(IF(ventas_b_mes11[[#This Row],[CUIT]]="","-",VLOOKUP(ventas_b_mes11[[#This Row],[CUIT]],Lista_CUIT[#All],2,0)),"CUIT NO CARGADO")</f>
        <v>-</v>
      </c>
      <c r="H2546" s="64">
        <f>ventas_b_mes11[[#This Row],[TOTAL]]/1.21</f>
        <v>0</v>
      </c>
      <c r="I2546" s="183">
        <f>ventas_b_mes11[[#This Row],[IMPORTE NETO]]*0.21</f>
        <v>0</v>
      </c>
      <c r="J2546" s="184"/>
      <c r="K2546" s="184"/>
      <c r="L2546" s="184"/>
      <c r="M2546" s="59"/>
    </row>
    <row r="2547" spans="2:13" x14ac:dyDescent="0.3">
      <c r="B2547" s="178"/>
      <c r="C2547" s="179"/>
      <c r="D2547" s="180"/>
      <c r="E2547" s="181"/>
      <c r="F2547" s="182"/>
      <c r="G2547" s="1" t="str">
        <f>IFERROR(IF(ventas_b_mes11[[#This Row],[CUIT]]="","-",VLOOKUP(ventas_b_mes11[[#This Row],[CUIT]],Lista_CUIT[#All],2,0)),"CUIT NO CARGADO")</f>
        <v>-</v>
      </c>
      <c r="H2547" s="64">
        <f>ventas_b_mes11[[#This Row],[TOTAL]]/1.21</f>
        <v>0</v>
      </c>
      <c r="I2547" s="183">
        <f>ventas_b_mes11[[#This Row],[IMPORTE NETO]]*0.21</f>
        <v>0</v>
      </c>
      <c r="J2547" s="184"/>
      <c r="K2547" s="184"/>
      <c r="L2547" s="184"/>
      <c r="M2547" s="59"/>
    </row>
    <row r="2548" spans="2:13" x14ac:dyDescent="0.3">
      <c r="B2548" s="178"/>
      <c r="C2548" s="179"/>
      <c r="D2548" s="180"/>
      <c r="E2548" s="181"/>
      <c r="F2548" s="182"/>
      <c r="G2548" s="1" t="str">
        <f>IFERROR(IF(ventas_b_mes11[[#This Row],[CUIT]]="","-",VLOOKUP(ventas_b_mes11[[#This Row],[CUIT]],Lista_CUIT[#All],2,0)),"CUIT NO CARGADO")</f>
        <v>-</v>
      </c>
      <c r="H2548" s="64">
        <f>ventas_b_mes11[[#This Row],[TOTAL]]/1.21</f>
        <v>0</v>
      </c>
      <c r="I2548" s="183">
        <f>ventas_b_mes11[[#This Row],[IMPORTE NETO]]*0.21</f>
        <v>0</v>
      </c>
      <c r="J2548" s="184"/>
      <c r="K2548" s="184"/>
      <c r="L2548" s="184"/>
      <c r="M2548" s="59"/>
    </row>
    <row r="2549" spans="2:13" x14ac:dyDescent="0.3">
      <c r="B2549" s="178"/>
      <c r="C2549" s="179"/>
      <c r="D2549" s="180"/>
      <c r="E2549" s="181"/>
      <c r="F2549" s="182"/>
      <c r="G2549" s="1" t="str">
        <f>IFERROR(IF(ventas_b_mes11[[#This Row],[CUIT]]="","-",VLOOKUP(ventas_b_mes11[[#This Row],[CUIT]],Lista_CUIT[#All],2,0)),"CUIT NO CARGADO")</f>
        <v>-</v>
      </c>
      <c r="H2549" s="64">
        <f>ventas_b_mes11[[#This Row],[TOTAL]]/1.21</f>
        <v>0</v>
      </c>
      <c r="I2549" s="183">
        <f>ventas_b_mes11[[#This Row],[IMPORTE NETO]]*0.21</f>
        <v>0</v>
      </c>
      <c r="J2549" s="184"/>
      <c r="K2549" s="184"/>
      <c r="L2549" s="184"/>
      <c r="M2549" s="59"/>
    </row>
    <row r="2550" spans="2:13" x14ac:dyDescent="0.3">
      <c r="B2550" s="178"/>
      <c r="C2550" s="179"/>
      <c r="D2550" s="180"/>
      <c r="E2550" s="181"/>
      <c r="F2550" s="182"/>
      <c r="G2550" s="1" t="str">
        <f>IFERROR(IF(ventas_b_mes11[[#This Row],[CUIT]]="","-",VLOOKUP(ventas_b_mes11[[#This Row],[CUIT]],Lista_CUIT[#All],2,0)),"CUIT NO CARGADO")</f>
        <v>-</v>
      </c>
      <c r="H2550" s="64">
        <f>ventas_b_mes11[[#This Row],[TOTAL]]/1.21</f>
        <v>0</v>
      </c>
      <c r="I2550" s="183">
        <f>ventas_b_mes11[[#This Row],[IMPORTE NETO]]*0.21</f>
        <v>0</v>
      </c>
      <c r="J2550" s="184"/>
      <c r="K2550" s="184"/>
      <c r="L2550" s="184"/>
      <c r="M2550" s="59"/>
    </row>
    <row r="2551" spans="2:13" x14ac:dyDescent="0.3">
      <c r="B2551" s="178"/>
      <c r="C2551" s="179"/>
      <c r="D2551" s="180"/>
      <c r="E2551" s="181"/>
      <c r="F2551" s="182"/>
      <c r="G2551" s="1" t="str">
        <f>IFERROR(IF(ventas_b_mes11[[#This Row],[CUIT]]="","-",VLOOKUP(ventas_b_mes11[[#This Row],[CUIT]],Lista_CUIT[#All],2,0)),"CUIT NO CARGADO")</f>
        <v>-</v>
      </c>
      <c r="H2551" s="64">
        <f>ventas_b_mes11[[#This Row],[TOTAL]]/1.21</f>
        <v>0</v>
      </c>
      <c r="I2551" s="183">
        <f>ventas_b_mes11[[#This Row],[IMPORTE NETO]]*0.21</f>
        <v>0</v>
      </c>
      <c r="J2551" s="184"/>
      <c r="K2551" s="184"/>
      <c r="L2551" s="184"/>
      <c r="M2551" s="59"/>
    </row>
    <row r="2552" spans="2:13" x14ac:dyDescent="0.3">
      <c r="B2552" s="178"/>
      <c r="C2552" s="179"/>
      <c r="D2552" s="180"/>
      <c r="E2552" s="181"/>
      <c r="F2552" s="182"/>
      <c r="G2552" s="1" t="str">
        <f>IFERROR(IF(ventas_b_mes11[[#This Row],[CUIT]]="","-",VLOOKUP(ventas_b_mes11[[#This Row],[CUIT]],Lista_CUIT[#All],2,0)),"CUIT NO CARGADO")</f>
        <v>-</v>
      </c>
      <c r="H2552" s="64">
        <f>ventas_b_mes11[[#This Row],[TOTAL]]/1.21</f>
        <v>0</v>
      </c>
      <c r="I2552" s="183">
        <f>ventas_b_mes11[[#This Row],[IMPORTE NETO]]*0.21</f>
        <v>0</v>
      </c>
      <c r="J2552" s="184"/>
      <c r="K2552" s="184"/>
      <c r="L2552" s="184"/>
      <c r="M2552" s="59"/>
    </row>
    <row r="2553" spans="2:13" x14ac:dyDescent="0.3">
      <c r="B2553" s="178"/>
      <c r="C2553" s="179"/>
      <c r="D2553" s="180"/>
      <c r="E2553" s="181"/>
      <c r="F2553" s="182"/>
      <c r="G2553" s="1" t="str">
        <f>IFERROR(IF(ventas_b_mes11[[#This Row],[CUIT]]="","-",VLOOKUP(ventas_b_mes11[[#This Row],[CUIT]],Lista_CUIT[#All],2,0)),"CUIT NO CARGADO")</f>
        <v>-</v>
      </c>
      <c r="H2553" s="64">
        <f>ventas_b_mes11[[#This Row],[TOTAL]]/1.21</f>
        <v>0</v>
      </c>
      <c r="I2553" s="183">
        <f>ventas_b_mes11[[#This Row],[IMPORTE NETO]]*0.21</f>
        <v>0</v>
      </c>
      <c r="J2553" s="184"/>
      <c r="K2553" s="184"/>
      <c r="L2553" s="184"/>
      <c r="M2553" s="59"/>
    </row>
    <row r="2554" spans="2:13" x14ac:dyDescent="0.3">
      <c r="B2554" s="178"/>
      <c r="C2554" s="179"/>
      <c r="D2554" s="180"/>
      <c r="E2554" s="181"/>
      <c r="F2554" s="182"/>
      <c r="G2554" s="1" t="str">
        <f>IFERROR(IF(ventas_b_mes11[[#This Row],[CUIT]]="","-",VLOOKUP(ventas_b_mes11[[#This Row],[CUIT]],Lista_CUIT[#All],2,0)),"CUIT NO CARGADO")</f>
        <v>-</v>
      </c>
      <c r="H2554" s="64">
        <f>ventas_b_mes11[[#This Row],[TOTAL]]/1.21</f>
        <v>0</v>
      </c>
      <c r="I2554" s="183">
        <f>ventas_b_mes11[[#This Row],[IMPORTE NETO]]*0.21</f>
        <v>0</v>
      </c>
      <c r="J2554" s="184"/>
      <c r="K2554" s="184"/>
      <c r="L2554" s="184"/>
      <c r="M2554" s="59"/>
    </row>
    <row r="2555" spans="2:13" x14ac:dyDescent="0.3">
      <c r="B2555" s="178"/>
      <c r="C2555" s="179"/>
      <c r="D2555" s="180"/>
      <c r="E2555" s="181"/>
      <c r="F2555" s="182"/>
      <c r="G2555" s="1" t="str">
        <f>IFERROR(IF(ventas_b_mes11[[#This Row],[CUIT]]="","-",VLOOKUP(ventas_b_mes11[[#This Row],[CUIT]],Lista_CUIT[#All],2,0)),"CUIT NO CARGADO")</f>
        <v>-</v>
      </c>
      <c r="H2555" s="64">
        <f>ventas_b_mes11[[#This Row],[TOTAL]]/1.21</f>
        <v>0</v>
      </c>
      <c r="I2555" s="183">
        <f>ventas_b_mes11[[#This Row],[IMPORTE NETO]]*0.21</f>
        <v>0</v>
      </c>
      <c r="J2555" s="184"/>
      <c r="K2555" s="184"/>
      <c r="L2555" s="184"/>
      <c r="M2555" s="59"/>
    </row>
    <row r="2556" spans="2:13" x14ac:dyDescent="0.3">
      <c r="B2556" s="178"/>
      <c r="C2556" s="179"/>
      <c r="D2556" s="180"/>
      <c r="E2556" s="181"/>
      <c r="F2556" s="182"/>
      <c r="G2556" s="1" t="str">
        <f>IFERROR(IF(ventas_b_mes11[[#This Row],[CUIT]]="","-",VLOOKUP(ventas_b_mes11[[#This Row],[CUIT]],Lista_CUIT[#All],2,0)),"CUIT NO CARGADO")</f>
        <v>-</v>
      </c>
      <c r="H2556" s="64">
        <f>ventas_b_mes11[[#This Row],[TOTAL]]/1.21</f>
        <v>0</v>
      </c>
      <c r="I2556" s="183">
        <f>ventas_b_mes11[[#This Row],[IMPORTE NETO]]*0.21</f>
        <v>0</v>
      </c>
      <c r="J2556" s="184"/>
      <c r="K2556" s="184"/>
      <c r="L2556" s="184"/>
      <c r="M2556" s="59"/>
    </row>
    <row r="2557" spans="2:13" x14ac:dyDescent="0.3">
      <c r="B2557" s="178"/>
      <c r="C2557" s="179"/>
      <c r="D2557" s="180"/>
      <c r="E2557" s="181"/>
      <c r="F2557" s="182"/>
      <c r="G2557" s="1" t="str">
        <f>IFERROR(IF(ventas_b_mes11[[#This Row],[CUIT]]="","-",VLOOKUP(ventas_b_mes11[[#This Row],[CUIT]],Lista_CUIT[#All],2,0)),"CUIT NO CARGADO")</f>
        <v>-</v>
      </c>
      <c r="H2557" s="64">
        <f>ventas_b_mes11[[#This Row],[TOTAL]]/1.21</f>
        <v>0</v>
      </c>
      <c r="I2557" s="183">
        <f>ventas_b_mes11[[#This Row],[IMPORTE NETO]]*0.21</f>
        <v>0</v>
      </c>
      <c r="J2557" s="184"/>
      <c r="K2557" s="184"/>
      <c r="L2557" s="184"/>
      <c r="M2557" s="59"/>
    </row>
    <row r="2558" spans="2:13" x14ac:dyDescent="0.3">
      <c r="B2558" s="178"/>
      <c r="C2558" s="179"/>
      <c r="D2558" s="180"/>
      <c r="E2558" s="181"/>
      <c r="F2558" s="182"/>
      <c r="G2558" s="1" t="str">
        <f>IFERROR(IF(ventas_b_mes11[[#This Row],[CUIT]]="","-",VLOOKUP(ventas_b_mes11[[#This Row],[CUIT]],Lista_CUIT[#All],2,0)),"CUIT NO CARGADO")</f>
        <v>-</v>
      </c>
      <c r="H2558" s="64">
        <f>ventas_b_mes11[[#This Row],[TOTAL]]/1.21</f>
        <v>0</v>
      </c>
      <c r="I2558" s="183">
        <f>ventas_b_mes11[[#This Row],[IMPORTE NETO]]*0.21</f>
        <v>0</v>
      </c>
      <c r="J2558" s="184"/>
      <c r="K2558" s="184"/>
      <c r="L2558" s="184"/>
      <c r="M2558" s="59"/>
    </row>
    <row r="2559" spans="2:13" x14ac:dyDescent="0.3">
      <c r="B2559" s="178"/>
      <c r="C2559" s="179"/>
      <c r="D2559" s="180"/>
      <c r="E2559" s="181"/>
      <c r="F2559" s="182"/>
      <c r="G2559" s="1" t="str">
        <f>IFERROR(IF(ventas_b_mes11[[#This Row],[CUIT]]="","-",VLOOKUP(ventas_b_mes11[[#This Row],[CUIT]],Lista_CUIT[#All],2,0)),"CUIT NO CARGADO")</f>
        <v>-</v>
      </c>
      <c r="H2559" s="64">
        <f>ventas_b_mes11[[#This Row],[TOTAL]]/1.21</f>
        <v>0</v>
      </c>
      <c r="I2559" s="183">
        <f>ventas_b_mes11[[#This Row],[IMPORTE NETO]]*0.21</f>
        <v>0</v>
      </c>
      <c r="J2559" s="184"/>
      <c r="K2559" s="184"/>
      <c r="L2559" s="184"/>
      <c r="M2559" s="59"/>
    </row>
    <row r="2560" spans="2:13" x14ac:dyDescent="0.3">
      <c r="B2560" s="178"/>
      <c r="C2560" s="179"/>
      <c r="D2560" s="180"/>
      <c r="E2560" s="181"/>
      <c r="F2560" s="182"/>
      <c r="G2560" s="1" t="str">
        <f>IFERROR(IF(ventas_b_mes11[[#This Row],[CUIT]]="","-",VLOOKUP(ventas_b_mes11[[#This Row],[CUIT]],Lista_CUIT[#All],2,0)),"CUIT NO CARGADO")</f>
        <v>-</v>
      </c>
      <c r="H2560" s="64">
        <f>ventas_b_mes11[[#This Row],[TOTAL]]/1.21</f>
        <v>0</v>
      </c>
      <c r="I2560" s="183">
        <f>ventas_b_mes11[[#This Row],[IMPORTE NETO]]*0.21</f>
        <v>0</v>
      </c>
      <c r="J2560" s="184"/>
      <c r="K2560" s="184"/>
      <c r="L2560" s="184"/>
      <c r="M2560" s="59"/>
    </row>
    <row r="2561" spans="2:13" x14ac:dyDescent="0.3">
      <c r="B2561" s="178"/>
      <c r="C2561" s="179"/>
      <c r="D2561" s="180"/>
      <c r="E2561" s="181"/>
      <c r="F2561" s="182"/>
      <c r="G2561" s="1" t="str">
        <f>IFERROR(IF(ventas_b_mes11[[#This Row],[CUIT]]="","-",VLOOKUP(ventas_b_mes11[[#This Row],[CUIT]],Lista_CUIT[#All],2,0)),"CUIT NO CARGADO")</f>
        <v>-</v>
      </c>
      <c r="H2561" s="64">
        <f>ventas_b_mes11[[#This Row],[TOTAL]]/1.21</f>
        <v>0</v>
      </c>
      <c r="I2561" s="183">
        <f>ventas_b_mes11[[#This Row],[IMPORTE NETO]]*0.21</f>
        <v>0</v>
      </c>
      <c r="J2561" s="184"/>
      <c r="K2561" s="184"/>
      <c r="L2561" s="184"/>
      <c r="M2561" s="59"/>
    </row>
    <row r="2562" spans="2:13" x14ac:dyDescent="0.3">
      <c r="B2562" s="178"/>
      <c r="C2562" s="179"/>
      <c r="D2562" s="180"/>
      <c r="E2562" s="181"/>
      <c r="F2562" s="182"/>
      <c r="G2562" s="1" t="str">
        <f>IFERROR(IF(ventas_b_mes11[[#This Row],[CUIT]]="","-",VLOOKUP(ventas_b_mes11[[#This Row],[CUIT]],Lista_CUIT[#All],2,0)),"CUIT NO CARGADO")</f>
        <v>-</v>
      </c>
      <c r="H2562" s="64">
        <f>ventas_b_mes11[[#This Row],[TOTAL]]/1.21</f>
        <v>0</v>
      </c>
      <c r="I2562" s="183">
        <f>ventas_b_mes11[[#This Row],[IMPORTE NETO]]*0.21</f>
        <v>0</v>
      </c>
      <c r="J2562" s="184"/>
      <c r="K2562" s="184"/>
      <c r="L2562" s="184"/>
      <c r="M2562" s="59"/>
    </row>
    <row r="2563" spans="2:13" x14ac:dyDescent="0.3">
      <c r="B2563" s="178"/>
      <c r="C2563" s="179"/>
      <c r="D2563" s="180"/>
      <c r="E2563" s="181"/>
      <c r="F2563" s="182"/>
      <c r="G2563" s="1" t="str">
        <f>IFERROR(IF(ventas_b_mes11[[#This Row],[CUIT]]="","-",VLOOKUP(ventas_b_mes11[[#This Row],[CUIT]],Lista_CUIT[#All],2,0)),"CUIT NO CARGADO")</f>
        <v>-</v>
      </c>
      <c r="H2563" s="64">
        <f>ventas_b_mes11[[#This Row],[TOTAL]]/1.21</f>
        <v>0</v>
      </c>
      <c r="I2563" s="183">
        <f>ventas_b_mes11[[#This Row],[IMPORTE NETO]]*0.21</f>
        <v>0</v>
      </c>
      <c r="J2563" s="184"/>
      <c r="K2563" s="184"/>
      <c r="L2563" s="184"/>
      <c r="M2563" s="59"/>
    </row>
    <row r="2564" spans="2:13" x14ac:dyDescent="0.3">
      <c r="B2564" s="178"/>
      <c r="C2564" s="179"/>
      <c r="D2564" s="180"/>
      <c r="E2564" s="181"/>
      <c r="F2564" s="182"/>
      <c r="G2564" s="1" t="str">
        <f>IFERROR(IF(ventas_b_mes11[[#This Row],[CUIT]]="","-",VLOOKUP(ventas_b_mes11[[#This Row],[CUIT]],Lista_CUIT[#All],2,0)),"CUIT NO CARGADO")</f>
        <v>-</v>
      </c>
      <c r="H2564" s="64">
        <f>ventas_b_mes11[[#This Row],[TOTAL]]/1.21</f>
        <v>0</v>
      </c>
      <c r="I2564" s="183">
        <f>ventas_b_mes11[[#This Row],[IMPORTE NETO]]*0.21</f>
        <v>0</v>
      </c>
      <c r="J2564" s="184"/>
      <c r="K2564" s="184"/>
      <c r="L2564" s="184"/>
      <c r="M2564" s="59"/>
    </row>
    <row r="2565" spans="2:13" x14ac:dyDescent="0.3">
      <c r="B2565" s="178"/>
      <c r="C2565" s="179"/>
      <c r="D2565" s="180"/>
      <c r="E2565" s="181"/>
      <c r="F2565" s="182"/>
      <c r="G2565" s="1" t="str">
        <f>IFERROR(IF(ventas_b_mes11[[#This Row],[CUIT]]="","-",VLOOKUP(ventas_b_mes11[[#This Row],[CUIT]],Lista_CUIT[#All],2,0)),"CUIT NO CARGADO")</f>
        <v>-</v>
      </c>
      <c r="H2565" s="64">
        <f>ventas_b_mes11[[#This Row],[TOTAL]]/1.21</f>
        <v>0</v>
      </c>
      <c r="I2565" s="183">
        <f>ventas_b_mes11[[#This Row],[IMPORTE NETO]]*0.21</f>
        <v>0</v>
      </c>
      <c r="J2565" s="184"/>
      <c r="K2565" s="184"/>
      <c r="L2565" s="184"/>
      <c r="M2565" s="59"/>
    </row>
    <row r="2566" spans="2:13" x14ac:dyDescent="0.3">
      <c r="B2566" s="178"/>
      <c r="C2566" s="179"/>
      <c r="D2566" s="180"/>
      <c r="E2566" s="181"/>
      <c r="F2566" s="182"/>
      <c r="G2566" s="1" t="str">
        <f>IFERROR(IF(ventas_b_mes11[[#This Row],[CUIT]]="","-",VLOOKUP(ventas_b_mes11[[#This Row],[CUIT]],Lista_CUIT[#All],2,0)),"CUIT NO CARGADO")</f>
        <v>-</v>
      </c>
      <c r="H2566" s="64">
        <f>ventas_b_mes11[[#This Row],[TOTAL]]/1.21</f>
        <v>0</v>
      </c>
      <c r="I2566" s="183">
        <f>ventas_b_mes11[[#This Row],[IMPORTE NETO]]*0.21</f>
        <v>0</v>
      </c>
      <c r="J2566" s="184"/>
      <c r="K2566" s="184"/>
      <c r="L2566" s="184"/>
      <c r="M2566" s="59"/>
    </row>
    <row r="2567" spans="2:13" x14ac:dyDescent="0.3">
      <c r="B2567" s="178"/>
      <c r="C2567" s="179"/>
      <c r="D2567" s="180"/>
      <c r="E2567" s="181"/>
      <c r="F2567" s="182"/>
      <c r="G2567" s="1" t="str">
        <f>IFERROR(IF(ventas_b_mes11[[#This Row],[CUIT]]="","-",VLOOKUP(ventas_b_mes11[[#This Row],[CUIT]],Lista_CUIT[#All],2,0)),"CUIT NO CARGADO")</f>
        <v>-</v>
      </c>
      <c r="H2567" s="64">
        <f>ventas_b_mes11[[#This Row],[TOTAL]]/1.21</f>
        <v>0</v>
      </c>
      <c r="I2567" s="183">
        <f>ventas_b_mes11[[#This Row],[IMPORTE NETO]]*0.21</f>
        <v>0</v>
      </c>
      <c r="J2567" s="184"/>
      <c r="K2567" s="184"/>
      <c r="L2567" s="184"/>
      <c r="M2567" s="59"/>
    </row>
    <row r="2568" spans="2:13" x14ac:dyDescent="0.3">
      <c r="B2568" s="178"/>
      <c r="C2568" s="179"/>
      <c r="D2568" s="180"/>
      <c r="E2568" s="181"/>
      <c r="F2568" s="182"/>
      <c r="G2568" s="1" t="str">
        <f>IFERROR(IF(ventas_b_mes11[[#This Row],[CUIT]]="","-",VLOOKUP(ventas_b_mes11[[#This Row],[CUIT]],Lista_CUIT[#All],2,0)),"CUIT NO CARGADO")</f>
        <v>-</v>
      </c>
      <c r="H2568" s="64">
        <f>ventas_b_mes11[[#This Row],[TOTAL]]/1.21</f>
        <v>0</v>
      </c>
      <c r="I2568" s="183">
        <f>ventas_b_mes11[[#This Row],[IMPORTE NETO]]*0.21</f>
        <v>0</v>
      </c>
      <c r="J2568" s="184"/>
      <c r="K2568" s="184"/>
      <c r="L2568" s="184"/>
      <c r="M2568" s="59"/>
    </row>
    <row r="2569" spans="2:13" x14ac:dyDescent="0.3">
      <c r="B2569" s="178"/>
      <c r="C2569" s="179"/>
      <c r="D2569" s="180"/>
      <c r="E2569" s="181"/>
      <c r="F2569" s="182"/>
      <c r="G2569" s="1" t="str">
        <f>IFERROR(IF(ventas_b_mes11[[#This Row],[CUIT]]="","-",VLOOKUP(ventas_b_mes11[[#This Row],[CUIT]],Lista_CUIT[#All],2,0)),"CUIT NO CARGADO")</f>
        <v>-</v>
      </c>
      <c r="H2569" s="64">
        <f>ventas_b_mes11[[#This Row],[TOTAL]]/1.21</f>
        <v>0</v>
      </c>
      <c r="I2569" s="183">
        <f>ventas_b_mes11[[#This Row],[IMPORTE NETO]]*0.21</f>
        <v>0</v>
      </c>
      <c r="J2569" s="184"/>
      <c r="K2569" s="184"/>
      <c r="L2569" s="184"/>
      <c r="M2569" s="59"/>
    </row>
    <row r="2570" spans="2:13" x14ac:dyDescent="0.3">
      <c r="B2570" s="178"/>
      <c r="C2570" s="179"/>
      <c r="D2570" s="180"/>
      <c r="E2570" s="181"/>
      <c r="F2570" s="182"/>
      <c r="G2570" s="1" t="str">
        <f>IFERROR(IF(ventas_b_mes11[[#This Row],[CUIT]]="","-",VLOOKUP(ventas_b_mes11[[#This Row],[CUIT]],Lista_CUIT[#All],2,0)),"CUIT NO CARGADO")</f>
        <v>-</v>
      </c>
      <c r="H2570" s="64">
        <f>ventas_b_mes11[[#This Row],[TOTAL]]/1.21</f>
        <v>0</v>
      </c>
      <c r="I2570" s="183">
        <f>ventas_b_mes11[[#This Row],[IMPORTE NETO]]*0.21</f>
        <v>0</v>
      </c>
      <c r="J2570" s="184"/>
      <c r="K2570" s="184"/>
      <c r="L2570" s="184"/>
      <c r="M2570" s="59"/>
    </row>
    <row r="2571" spans="2:13" x14ac:dyDescent="0.3">
      <c r="B2571" s="178"/>
      <c r="C2571" s="179"/>
      <c r="D2571" s="180"/>
      <c r="E2571" s="181"/>
      <c r="F2571" s="182"/>
      <c r="G2571" s="1" t="str">
        <f>IFERROR(IF(ventas_b_mes11[[#This Row],[CUIT]]="","-",VLOOKUP(ventas_b_mes11[[#This Row],[CUIT]],Lista_CUIT[#All],2,0)),"CUIT NO CARGADO")</f>
        <v>-</v>
      </c>
      <c r="H2571" s="64">
        <f>ventas_b_mes11[[#This Row],[TOTAL]]/1.21</f>
        <v>0</v>
      </c>
      <c r="I2571" s="183">
        <f>ventas_b_mes11[[#This Row],[IMPORTE NETO]]*0.21</f>
        <v>0</v>
      </c>
      <c r="J2571" s="184"/>
      <c r="K2571" s="184"/>
      <c r="L2571" s="184"/>
      <c r="M2571" s="59"/>
    </row>
    <row r="2572" spans="2:13" x14ac:dyDescent="0.3">
      <c r="B2572" s="178"/>
      <c r="C2572" s="179"/>
      <c r="D2572" s="180"/>
      <c r="E2572" s="181"/>
      <c r="F2572" s="182"/>
      <c r="G2572" s="1" t="str">
        <f>IFERROR(IF(ventas_b_mes11[[#This Row],[CUIT]]="","-",VLOOKUP(ventas_b_mes11[[#This Row],[CUIT]],Lista_CUIT[#All],2,0)),"CUIT NO CARGADO")</f>
        <v>-</v>
      </c>
      <c r="H2572" s="64">
        <f>ventas_b_mes11[[#This Row],[TOTAL]]/1.21</f>
        <v>0</v>
      </c>
      <c r="I2572" s="183">
        <f>ventas_b_mes11[[#This Row],[IMPORTE NETO]]*0.21</f>
        <v>0</v>
      </c>
      <c r="J2572" s="184"/>
      <c r="K2572" s="184"/>
      <c r="L2572" s="184"/>
      <c r="M2572" s="59"/>
    </row>
    <row r="2573" spans="2:13" x14ac:dyDescent="0.3">
      <c r="B2573" s="178"/>
      <c r="C2573" s="179"/>
      <c r="D2573" s="180"/>
      <c r="E2573" s="181"/>
      <c r="F2573" s="182"/>
      <c r="G2573" s="1" t="str">
        <f>IFERROR(IF(ventas_b_mes11[[#This Row],[CUIT]]="","-",VLOOKUP(ventas_b_mes11[[#This Row],[CUIT]],Lista_CUIT[#All],2,0)),"CUIT NO CARGADO")</f>
        <v>-</v>
      </c>
      <c r="H2573" s="64">
        <f>ventas_b_mes11[[#This Row],[TOTAL]]/1.21</f>
        <v>0</v>
      </c>
      <c r="I2573" s="183">
        <f>ventas_b_mes11[[#This Row],[IMPORTE NETO]]*0.21</f>
        <v>0</v>
      </c>
      <c r="J2573" s="184"/>
      <c r="K2573" s="184"/>
      <c r="L2573" s="184"/>
      <c r="M2573" s="59"/>
    </row>
    <row r="2574" spans="2:13" x14ac:dyDescent="0.3">
      <c r="B2574" s="178"/>
      <c r="C2574" s="179"/>
      <c r="D2574" s="180"/>
      <c r="E2574" s="181"/>
      <c r="F2574" s="182"/>
      <c r="G2574" s="1" t="str">
        <f>IFERROR(IF(ventas_b_mes11[[#This Row],[CUIT]]="","-",VLOOKUP(ventas_b_mes11[[#This Row],[CUIT]],Lista_CUIT[#All],2,0)),"CUIT NO CARGADO")</f>
        <v>-</v>
      </c>
      <c r="H2574" s="64">
        <f>ventas_b_mes11[[#This Row],[TOTAL]]/1.21</f>
        <v>0</v>
      </c>
      <c r="I2574" s="183">
        <f>ventas_b_mes11[[#This Row],[IMPORTE NETO]]*0.21</f>
        <v>0</v>
      </c>
      <c r="J2574" s="184"/>
      <c r="K2574" s="184"/>
      <c r="L2574" s="184"/>
      <c r="M2574" s="59"/>
    </row>
    <row r="2575" spans="2:13" x14ac:dyDescent="0.3">
      <c r="B2575" s="178"/>
      <c r="C2575" s="179"/>
      <c r="D2575" s="180"/>
      <c r="E2575" s="181"/>
      <c r="F2575" s="182"/>
      <c r="G2575" s="1" t="str">
        <f>IFERROR(IF(ventas_b_mes11[[#This Row],[CUIT]]="","-",VLOOKUP(ventas_b_mes11[[#This Row],[CUIT]],Lista_CUIT[#All],2,0)),"CUIT NO CARGADO")</f>
        <v>-</v>
      </c>
      <c r="H2575" s="64">
        <f>ventas_b_mes11[[#This Row],[TOTAL]]/1.21</f>
        <v>0</v>
      </c>
      <c r="I2575" s="183">
        <f>ventas_b_mes11[[#This Row],[IMPORTE NETO]]*0.21</f>
        <v>0</v>
      </c>
      <c r="J2575" s="184"/>
      <c r="K2575" s="184"/>
      <c r="L2575" s="184"/>
      <c r="M2575" s="59"/>
    </row>
    <row r="2576" spans="2:13" x14ac:dyDescent="0.3">
      <c r="B2576" s="178"/>
      <c r="C2576" s="179"/>
      <c r="D2576" s="180"/>
      <c r="E2576" s="181"/>
      <c r="F2576" s="182"/>
      <c r="G2576" s="1" t="str">
        <f>IFERROR(IF(ventas_b_mes11[[#This Row],[CUIT]]="","-",VLOOKUP(ventas_b_mes11[[#This Row],[CUIT]],Lista_CUIT[#All],2,0)),"CUIT NO CARGADO")</f>
        <v>-</v>
      </c>
      <c r="H2576" s="64">
        <f>ventas_b_mes11[[#This Row],[TOTAL]]/1.21</f>
        <v>0</v>
      </c>
      <c r="I2576" s="183">
        <f>ventas_b_mes11[[#This Row],[IMPORTE NETO]]*0.21</f>
        <v>0</v>
      </c>
      <c r="J2576" s="184"/>
      <c r="K2576" s="184"/>
      <c r="L2576" s="184"/>
      <c r="M2576" s="59"/>
    </row>
    <row r="2577" spans="2:13" x14ac:dyDescent="0.3">
      <c r="B2577" s="178"/>
      <c r="C2577" s="179"/>
      <c r="D2577" s="180"/>
      <c r="E2577" s="181"/>
      <c r="F2577" s="182"/>
      <c r="G2577" s="1" t="str">
        <f>IFERROR(IF(ventas_b_mes11[[#This Row],[CUIT]]="","-",VLOOKUP(ventas_b_mes11[[#This Row],[CUIT]],Lista_CUIT[#All],2,0)),"CUIT NO CARGADO")</f>
        <v>-</v>
      </c>
      <c r="H2577" s="64">
        <f>ventas_b_mes11[[#This Row],[TOTAL]]/1.21</f>
        <v>0</v>
      </c>
      <c r="I2577" s="183">
        <f>ventas_b_mes11[[#This Row],[IMPORTE NETO]]*0.21</f>
        <v>0</v>
      </c>
      <c r="J2577" s="184"/>
      <c r="K2577" s="184"/>
      <c r="L2577" s="184"/>
      <c r="M2577" s="59"/>
    </row>
    <row r="2578" spans="2:13" x14ac:dyDescent="0.3">
      <c r="B2578" s="178"/>
      <c r="C2578" s="179"/>
      <c r="D2578" s="180"/>
      <c r="E2578" s="181"/>
      <c r="F2578" s="182"/>
      <c r="G2578" s="1" t="str">
        <f>IFERROR(IF(ventas_b_mes11[[#This Row],[CUIT]]="","-",VLOOKUP(ventas_b_mes11[[#This Row],[CUIT]],Lista_CUIT[#All],2,0)),"CUIT NO CARGADO")</f>
        <v>-</v>
      </c>
      <c r="H2578" s="64">
        <f>ventas_b_mes11[[#This Row],[TOTAL]]/1.21</f>
        <v>0</v>
      </c>
      <c r="I2578" s="183">
        <f>ventas_b_mes11[[#This Row],[IMPORTE NETO]]*0.21</f>
        <v>0</v>
      </c>
      <c r="J2578" s="184"/>
      <c r="K2578" s="184"/>
      <c r="L2578" s="184"/>
      <c r="M2578" s="59"/>
    </row>
    <row r="2579" spans="2:13" x14ac:dyDescent="0.3">
      <c r="B2579" s="178"/>
      <c r="C2579" s="179"/>
      <c r="D2579" s="180"/>
      <c r="E2579" s="181"/>
      <c r="F2579" s="182"/>
      <c r="G2579" s="1" t="str">
        <f>IFERROR(IF(ventas_b_mes11[[#This Row],[CUIT]]="","-",VLOOKUP(ventas_b_mes11[[#This Row],[CUIT]],Lista_CUIT[#All],2,0)),"CUIT NO CARGADO")</f>
        <v>-</v>
      </c>
      <c r="H2579" s="64">
        <f>ventas_b_mes11[[#This Row],[TOTAL]]/1.21</f>
        <v>0</v>
      </c>
      <c r="I2579" s="183">
        <f>ventas_b_mes11[[#This Row],[IMPORTE NETO]]*0.21</f>
        <v>0</v>
      </c>
      <c r="J2579" s="184"/>
      <c r="K2579" s="184"/>
      <c r="L2579" s="184"/>
      <c r="M2579" s="59"/>
    </row>
    <row r="2580" spans="2:13" x14ac:dyDescent="0.3">
      <c r="B2580" s="178"/>
      <c r="C2580" s="179"/>
      <c r="D2580" s="180"/>
      <c r="E2580" s="181"/>
      <c r="F2580" s="182"/>
      <c r="G2580" s="1" t="str">
        <f>IFERROR(IF(ventas_b_mes11[[#This Row],[CUIT]]="","-",VLOOKUP(ventas_b_mes11[[#This Row],[CUIT]],Lista_CUIT[#All],2,0)),"CUIT NO CARGADO")</f>
        <v>-</v>
      </c>
      <c r="H2580" s="64">
        <f>ventas_b_mes11[[#This Row],[TOTAL]]/1.21</f>
        <v>0</v>
      </c>
      <c r="I2580" s="183">
        <f>ventas_b_mes11[[#This Row],[IMPORTE NETO]]*0.21</f>
        <v>0</v>
      </c>
      <c r="J2580" s="184"/>
      <c r="K2580" s="184"/>
      <c r="L2580" s="184"/>
      <c r="M2580" s="59"/>
    </row>
    <row r="2581" spans="2:13" x14ac:dyDescent="0.3">
      <c r="B2581" s="178"/>
      <c r="C2581" s="179"/>
      <c r="D2581" s="180"/>
      <c r="E2581" s="181"/>
      <c r="F2581" s="182"/>
      <c r="G2581" s="1" t="str">
        <f>IFERROR(IF(ventas_b_mes11[[#This Row],[CUIT]]="","-",VLOOKUP(ventas_b_mes11[[#This Row],[CUIT]],Lista_CUIT[#All],2,0)),"CUIT NO CARGADO")</f>
        <v>-</v>
      </c>
      <c r="H2581" s="64">
        <f>ventas_b_mes11[[#This Row],[TOTAL]]/1.21</f>
        <v>0</v>
      </c>
      <c r="I2581" s="183">
        <f>ventas_b_mes11[[#This Row],[IMPORTE NETO]]*0.21</f>
        <v>0</v>
      </c>
      <c r="J2581" s="184"/>
      <c r="K2581" s="184"/>
      <c r="L2581" s="184"/>
      <c r="M2581" s="59"/>
    </row>
    <row r="2582" spans="2:13" x14ac:dyDescent="0.3">
      <c r="B2582" s="178"/>
      <c r="C2582" s="179"/>
      <c r="D2582" s="180"/>
      <c r="E2582" s="181"/>
      <c r="F2582" s="182"/>
      <c r="G2582" s="1" t="str">
        <f>IFERROR(IF(ventas_b_mes11[[#This Row],[CUIT]]="","-",VLOOKUP(ventas_b_mes11[[#This Row],[CUIT]],Lista_CUIT[#All],2,0)),"CUIT NO CARGADO")</f>
        <v>-</v>
      </c>
      <c r="H2582" s="64">
        <f>ventas_b_mes11[[#This Row],[TOTAL]]/1.21</f>
        <v>0</v>
      </c>
      <c r="I2582" s="183">
        <f>ventas_b_mes11[[#This Row],[IMPORTE NETO]]*0.21</f>
        <v>0</v>
      </c>
      <c r="J2582" s="184"/>
      <c r="K2582" s="184"/>
      <c r="L2582" s="184"/>
      <c r="M2582" s="59"/>
    </row>
    <row r="2583" spans="2:13" x14ac:dyDescent="0.3">
      <c r="B2583" s="178"/>
      <c r="C2583" s="179"/>
      <c r="D2583" s="180"/>
      <c r="E2583" s="181"/>
      <c r="F2583" s="182"/>
      <c r="G2583" s="1" t="str">
        <f>IFERROR(IF(ventas_b_mes11[[#This Row],[CUIT]]="","-",VLOOKUP(ventas_b_mes11[[#This Row],[CUIT]],Lista_CUIT[#All],2,0)),"CUIT NO CARGADO")</f>
        <v>-</v>
      </c>
      <c r="H2583" s="64">
        <f>ventas_b_mes11[[#This Row],[TOTAL]]/1.21</f>
        <v>0</v>
      </c>
      <c r="I2583" s="183">
        <f>ventas_b_mes11[[#This Row],[IMPORTE NETO]]*0.21</f>
        <v>0</v>
      </c>
      <c r="J2583" s="184"/>
      <c r="K2583" s="184"/>
      <c r="L2583" s="184"/>
      <c r="M2583" s="59"/>
    </row>
    <row r="2584" spans="2:13" x14ac:dyDescent="0.3">
      <c r="B2584" s="178"/>
      <c r="C2584" s="179"/>
      <c r="D2584" s="180"/>
      <c r="E2584" s="181"/>
      <c r="F2584" s="182"/>
      <c r="G2584" s="1" t="str">
        <f>IFERROR(IF(ventas_b_mes11[[#This Row],[CUIT]]="","-",VLOOKUP(ventas_b_mes11[[#This Row],[CUIT]],Lista_CUIT[#All],2,0)),"CUIT NO CARGADO")</f>
        <v>-</v>
      </c>
      <c r="H2584" s="64">
        <f>ventas_b_mes11[[#This Row],[TOTAL]]/1.21</f>
        <v>0</v>
      </c>
      <c r="I2584" s="183">
        <f>ventas_b_mes11[[#This Row],[IMPORTE NETO]]*0.21</f>
        <v>0</v>
      </c>
      <c r="J2584" s="184"/>
      <c r="K2584" s="184"/>
      <c r="L2584" s="184"/>
      <c r="M2584" s="59"/>
    </row>
    <row r="2585" spans="2:13" x14ac:dyDescent="0.3">
      <c r="B2585" s="178"/>
      <c r="C2585" s="179"/>
      <c r="D2585" s="180"/>
      <c r="E2585" s="181"/>
      <c r="F2585" s="182"/>
      <c r="G2585" s="1" t="str">
        <f>IFERROR(IF(ventas_b_mes11[[#This Row],[CUIT]]="","-",VLOOKUP(ventas_b_mes11[[#This Row],[CUIT]],Lista_CUIT[#All],2,0)),"CUIT NO CARGADO")</f>
        <v>-</v>
      </c>
      <c r="H2585" s="64">
        <f>ventas_b_mes11[[#This Row],[TOTAL]]/1.21</f>
        <v>0</v>
      </c>
      <c r="I2585" s="183">
        <f>ventas_b_mes11[[#This Row],[IMPORTE NETO]]*0.21</f>
        <v>0</v>
      </c>
      <c r="J2585" s="184"/>
      <c r="K2585" s="184"/>
      <c r="L2585" s="184"/>
      <c r="M2585" s="59"/>
    </row>
    <row r="2586" spans="2:13" x14ac:dyDescent="0.3">
      <c r="B2586" s="178"/>
      <c r="C2586" s="179"/>
      <c r="D2586" s="180"/>
      <c r="E2586" s="181"/>
      <c r="F2586" s="182"/>
      <c r="G2586" s="1" t="str">
        <f>IFERROR(IF(ventas_b_mes11[[#This Row],[CUIT]]="","-",VLOOKUP(ventas_b_mes11[[#This Row],[CUIT]],Lista_CUIT[#All],2,0)),"CUIT NO CARGADO")</f>
        <v>-</v>
      </c>
      <c r="H2586" s="64">
        <f>ventas_b_mes11[[#This Row],[TOTAL]]/1.21</f>
        <v>0</v>
      </c>
      <c r="I2586" s="183">
        <f>ventas_b_mes11[[#This Row],[IMPORTE NETO]]*0.21</f>
        <v>0</v>
      </c>
      <c r="J2586" s="184"/>
      <c r="K2586" s="184"/>
      <c r="L2586" s="184"/>
      <c r="M2586" s="59"/>
    </row>
    <row r="2587" spans="2:13" x14ac:dyDescent="0.3">
      <c r="B2587" s="178"/>
      <c r="C2587" s="179"/>
      <c r="D2587" s="180"/>
      <c r="E2587" s="181"/>
      <c r="F2587" s="182"/>
      <c r="G2587" s="1" t="str">
        <f>IFERROR(IF(ventas_b_mes11[[#This Row],[CUIT]]="","-",VLOOKUP(ventas_b_mes11[[#This Row],[CUIT]],Lista_CUIT[#All],2,0)),"CUIT NO CARGADO")</f>
        <v>-</v>
      </c>
      <c r="H2587" s="64">
        <f>ventas_b_mes11[[#This Row],[TOTAL]]/1.21</f>
        <v>0</v>
      </c>
      <c r="I2587" s="183">
        <f>ventas_b_mes11[[#This Row],[IMPORTE NETO]]*0.21</f>
        <v>0</v>
      </c>
      <c r="J2587" s="184"/>
      <c r="K2587" s="184"/>
      <c r="L2587" s="184"/>
      <c r="M2587" s="59"/>
    </row>
    <row r="2588" spans="2:13" x14ac:dyDescent="0.3">
      <c r="B2588" s="178"/>
      <c r="C2588" s="179"/>
      <c r="D2588" s="180"/>
      <c r="E2588" s="181"/>
      <c r="F2588" s="182"/>
      <c r="G2588" s="1" t="str">
        <f>IFERROR(IF(ventas_b_mes11[[#This Row],[CUIT]]="","-",VLOOKUP(ventas_b_mes11[[#This Row],[CUIT]],Lista_CUIT[#All],2,0)),"CUIT NO CARGADO")</f>
        <v>-</v>
      </c>
      <c r="H2588" s="64">
        <f>ventas_b_mes11[[#This Row],[TOTAL]]/1.21</f>
        <v>0</v>
      </c>
      <c r="I2588" s="183">
        <f>ventas_b_mes11[[#This Row],[IMPORTE NETO]]*0.21</f>
        <v>0</v>
      </c>
      <c r="J2588" s="184"/>
      <c r="K2588" s="184"/>
      <c r="L2588" s="184"/>
      <c r="M2588" s="59"/>
    </row>
    <row r="2589" spans="2:13" x14ac:dyDescent="0.3">
      <c r="B2589" s="178"/>
      <c r="C2589" s="179"/>
      <c r="D2589" s="180"/>
      <c r="E2589" s="181"/>
      <c r="F2589" s="182"/>
      <c r="G2589" s="1" t="str">
        <f>IFERROR(IF(ventas_b_mes11[[#This Row],[CUIT]]="","-",VLOOKUP(ventas_b_mes11[[#This Row],[CUIT]],Lista_CUIT[#All],2,0)),"CUIT NO CARGADO")</f>
        <v>-</v>
      </c>
      <c r="H2589" s="64">
        <f>ventas_b_mes11[[#This Row],[TOTAL]]/1.21</f>
        <v>0</v>
      </c>
      <c r="I2589" s="183">
        <f>ventas_b_mes11[[#This Row],[IMPORTE NETO]]*0.21</f>
        <v>0</v>
      </c>
      <c r="J2589" s="184"/>
      <c r="K2589" s="184"/>
      <c r="L2589" s="184"/>
      <c r="M2589" s="59"/>
    </row>
    <row r="2590" spans="2:13" x14ac:dyDescent="0.3">
      <c r="B2590" s="178"/>
      <c r="C2590" s="179"/>
      <c r="D2590" s="180"/>
      <c r="E2590" s="181"/>
      <c r="F2590" s="182"/>
      <c r="G2590" s="1" t="str">
        <f>IFERROR(IF(ventas_b_mes11[[#This Row],[CUIT]]="","-",VLOOKUP(ventas_b_mes11[[#This Row],[CUIT]],Lista_CUIT[#All],2,0)),"CUIT NO CARGADO")</f>
        <v>-</v>
      </c>
      <c r="H2590" s="64">
        <f>ventas_b_mes11[[#This Row],[TOTAL]]/1.21</f>
        <v>0</v>
      </c>
      <c r="I2590" s="183">
        <f>ventas_b_mes11[[#This Row],[IMPORTE NETO]]*0.21</f>
        <v>0</v>
      </c>
      <c r="J2590" s="184"/>
      <c r="K2590" s="184"/>
      <c r="L2590" s="184"/>
      <c r="M2590" s="59"/>
    </row>
    <row r="2591" spans="2:13" x14ac:dyDescent="0.3">
      <c r="B2591" s="178"/>
      <c r="C2591" s="179"/>
      <c r="D2591" s="180"/>
      <c r="E2591" s="181"/>
      <c r="F2591" s="182"/>
      <c r="G2591" s="1" t="str">
        <f>IFERROR(IF(ventas_b_mes11[[#This Row],[CUIT]]="","-",VLOOKUP(ventas_b_mes11[[#This Row],[CUIT]],Lista_CUIT[#All],2,0)),"CUIT NO CARGADO")</f>
        <v>-</v>
      </c>
      <c r="H2591" s="64">
        <f>ventas_b_mes11[[#This Row],[TOTAL]]/1.21</f>
        <v>0</v>
      </c>
      <c r="I2591" s="183">
        <f>ventas_b_mes11[[#This Row],[IMPORTE NETO]]*0.21</f>
        <v>0</v>
      </c>
      <c r="J2591" s="184"/>
      <c r="K2591" s="184"/>
      <c r="L2591" s="184"/>
      <c r="M2591" s="59"/>
    </row>
    <row r="2592" spans="2:13" x14ac:dyDescent="0.3">
      <c r="B2592" s="178"/>
      <c r="C2592" s="179"/>
      <c r="D2592" s="180"/>
      <c r="E2592" s="181"/>
      <c r="F2592" s="182"/>
      <c r="G2592" s="1" t="str">
        <f>IFERROR(IF(ventas_b_mes11[[#This Row],[CUIT]]="","-",VLOOKUP(ventas_b_mes11[[#This Row],[CUIT]],Lista_CUIT[#All],2,0)),"CUIT NO CARGADO")</f>
        <v>-</v>
      </c>
      <c r="H2592" s="64">
        <f>ventas_b_mes11[[#This Row],[TOTAL]]/1.21</f>
        <v>0</v>
      </c>
      <c r="I2592" s="183">
        <f>ventas_b_mes11[[#This Row],[IMPORTE NETO]]*0.21</f>
        <v>0</v>
      </c>
      <c r="J2592" s="184"/>
      <c r="K2592" s="184"/>
      <c r="L2592" s="184"/>
      <c r="M2592" s="59"/>
    </row>
    <row r="2593" spans="2:13" x14ac:dyDescent="0.3">
      <c r="B2593" s="178"/>
      <c r="C2593" s="179"/>
      <c r="D2593" s="180"/>
      <c r="E2593" s="181"/>
      <c r="F2593" s="182"/>
      <c r="G2593" s="1" t="str">
        <f>IFERROR(IF(ventas_b_mes11[[#This Row],[CUIT]]="","-",VLOOKUP(ventas_b_mes11[[#This Row],[CUIT]],Lista_CUIT[#All],2,0)),"CUIT NO CARGADO")</f>
        <v>-</v>
      </c>
      <c r="H2593" s="64">
        <f>ventas_b_mes11[[#This Row],[TOTAL]]/1.21</f>
        <v>0</v>
      </c>
      <c r="I2593" s="183">
        <f>ventas_b_mes11[[#This Row],[IMPORTE NETO]]*0.21</f>
        <v>0</v>
      </c>
      <c r="J2593" s="184"/>
      <c r="K2593" s="184"/>
      <c r="L2593" s="184"/>
      <c r="M2593" s="59"/>
    </row>
    <row r="2594" spans="2:13" x14ac:dyDescent="0.3">
      <c r="B2594" s="178"/>
      <c r="C2594" s="179"/>
      <c r="D2594" s="180"/>
      <c r="E2594" s="181"/>
      <c r="F2594" s="182"/>
      <c r="G2594" s="1" t="str">
        <f>IFERROR(IF(ventas_b_mes11[[#This Row],[CUIT]]="","-",VLOOKUP(ventas_b_mes11[[#This Row],[CUIT]],Lista_CUIT[#All],2,0)),"CUIT NO CARGADO")</f>
        <v>-</v>
      </c>
      <c r="H2594" s="64">
        <f>ventas_b_mes11[[#This Row],[TOTAL]]/1.21</f>
        <v>0</v>
      </c>
      <c r="I2594" s="183">
        <f>ventas_b_mes11[[#This Row],[IMPORTE NETO]]*0.21</f>
        <v>0</v>
      </c>
      <c r="J2594" s="184"/>
      <c r="K2594" s="184"/>
      <c r="L2594" s="184"/>
      <c r="M2594" s="59"/>
    </row>
    <row r="2595" spans="2:13" x14ac:dyDescent="0.3">
      <c r="B2595" s="178"/>
      <c r="C2595" s="179"/>
      <c r="D2595" s="180"/>
      <c r="E2595" s="181"/>
      <c r="F2595" s="182"/>
      <c r="G2595" s="1" t="str">
        <f>IFERROR(IF(ventas_b_mes11[[#This Row],[CUIT]]="","-",VLOOKUP(ventas_b_mes11[[#This Row],[CUIT]],Lista_CUIT[#All],2,0)),"CUIT NO CARGADO")</f>
        <v>-</v>
      </c>
      <c r="H2595" s="64">
        <f>ventas_b_mes11[[#This Row],[TOTAL]]/1.21</f>
        <v>0</v>
      </c>
      <c r="I2595" s="183">
        <f>ventas_b_mes11[[#This Row],[IMPORTE NETO]]*0.21</f>
        <v>0</v>
      </c>
      <c r="J2595" s="184"/>
      <c r="K2595" s="184"/>
      <c r="L2595" s="184"/>
      <c r="M2595" s="59"/>
    </row>
    <row r="2596" spans="2:13" x14ac:dyDescent="0.3">
      <c r="B2596" s="178"/>
      <c r="C2596" s="179"/>
      <c r="D2596" s="180"/>
      <c r="E2596" s="181"/>
      <c r="F2596" s="182"/>
      <c r="G2596" s="1" t="str">
        <f>IFERROR(IF(ventas_b_mes11[[#This Row],[CUIT]]="","-",VLOOKUP(ventas_b_mes11[[#This Row],[CUIT]],Lista_CUIT[#All],2,0)),"CUIT NO CARGADO")</f>
        <v>-</v>
      </c>
      <c r="H2596" s="64">
        <f>ventas_b_mes11[[#This Row],[TOTAL]]/1.21</f>
        <v>0</v>
      </c>
      <c r="I2596" s="183">
        <f>ventas_b_mes11[[#This Row],[IMPORTE NETO]]*0.21</f>
        <v>0</v>
      </c>
      <c r="J2596" s="184"/>
      <c r="K2596" s="184"/>
      <c r="L2596" s="184"/>
      <c r="M2596" s="59"/>
    </row>
    <row r="2597" spans="2:13" x14ac:dyDescent="0.3">
      <c r="B2597" s="178"/>
      <c r="C2597" s="179"/>
      <c r="D2597" s="180"/>
      <c r="E2597" s="181"/>
      <c r="F2597" s="182"/>
      <c r="G2597" s="1" t="str">
        <f>IFERROR(IF(ventas_b_mes11[[#This Row],[CUIT]]="","-",VLOOKUP(ventas_b_mes11[[#This Row],[CUIT]],Lista_CUIT[#All],2,0)),"CUIT NO CARGADO")</f>
        <v>-</v>
      </c>
      <c r="H2597" s="64">
        <f>ventas_b_mes11[[#This Row],[TOTAL]]/1.21</f>
        <v>0</v>
      </c>
      <c r="I2597" s="183">
        <f>ventas_b_mes11[[#This Row],[IMPORTE NETO]]*0.21</f>
        <v>0</v>
      </c>
      <c r="J2597" s="184"/>
      <c r="K2597" s="184"/>
      <c r="L2597" s="184"/>
      <c r="M2597" s="59"/>
    </row>
    <row r="2598" spans="2:13" x14ac:dyDescent="0.3">
      <c r="B2598" s="178"/>
      <c r="C2598" s="179"/>
      <c r="D2598" s="180"/>
      <c r="E2598" s="181"/>
      <c r="F2598" s="182"/>
      <c r="G2598" s="1" t="str">
        <f>IFERROR(IF(ventas_b_mes11[[#This Row],[CUIT]]="","-",VLOOKUP(ventas_b_mes11[[#This Row],[CUIT]],Lista_CUIT[#All],2,0)),"CUIT NO CARGADO")</f>
        <v>-</v>
      </c>
      <c r="H2598" s="64">
        <f>ventas_b_mes11[[#This Row],[TOTAL]]/1.21</f>
        <v>0</v>
      </c>
      <c r="I2598" s="183">
        <f>ventas_b_mes11[[#This Row],[IMPORTE NETO]]*0.21</f>
        <v>0</v>
      </c>
      <c r="J2598" s="184"/>
      <c r="K2598" s="184"/>
      <c r="L2598" s="184"/>
      <c r="M2598" s="59"/>
    </row>
    <row r="2599" spans="2:13" x14ac:dyDescent="0.3">
      <c r="B2599" s="178"/>
      <c r="C2599" s="179"/>
      <c r="D2599" s="180"/>
      <c r="E2599" s="181"/>
      <c r="F2599" s="182"/>
      <c r="G2599" s="1" t="str">
        <f>IFERROR(IF(ventas_b_mes11[[#This Row],[CUIT]]="","-",VLOOKUP(ventas_b_mes11[[#This Row],[CUIT]],Lista_CUIT[#All],2,0)),"CUIT NO CARGADO")</f>
        <v>-</v>
      </c>
      <c r="H2599" s="64">
        <f>ventas_b_mes11[[#This Row],[TOTAL]]/1.21</f>
        <v>0</v>
      </c>
      <c r="I2599" s="183">
        <f>ventas_b_mes11[[#This Row],[IMPORTE NETO]]*0.21</f>
        <v>0</v>
      </c>
      <c r="J2599" s="184"/>
      <c r="K2599" s="184"/>
      <c r="L2599" s="184"/>
      <c r="M2599" s="59"/>
    </row>
    <row r="2600" spans="2:13" x14ac:dyDescent="0.3">
      <c r="B2600" s="178"/>
      <c r="C2600" s="179"/>
      <c r="D2600" s="180"/>
      <c r="E2600" s="181"/>
      <c r="F2600" s="182"/>
      <c r="G2600" s="1" t="str">
        <f>IFERROR(IF(ventas_b_mes11[[#This Row],[CUIT]]="","-",VLOOKUP(ventas_b_mes11[[#This Row],[CUIT]],Lista_CUIT[#All],2,0)),"CUIT NO CARGADO")</f>
        <v>-</v>
      </c>
      <c r="H2600" s="64">
        <f>ventas_b_mes11[[#This Row],[TOTAL]]/1.21</f>
        <v>0</v>
      </c>
      <c r="I2600" s="183">
        <f>ventas_b_mes11[[#This Row],[IMPORTE NETO]]*0.21</f>
        <v>0</v>
      </c>
      <c r="J2600" s="184"/>
      <c r="K2600" s="184"/>
      <c r="L2600" s="184"/>
      <c r="M2600" s="59"/>
    </row>
    <row r="2601" spans="2:13" x14ac:dyDescent="0.3">
      <c r="B2601" s="178"/>
      <c r="C2601" s="179"/>
      <c r="D2601" s="180"/>
      <c r="E2601" s="181"/>
      <c r="F2601" s="182"/>
      <c r="G2601" s="1" t="str">
        <f>IFERROR(IF(ventas_b_mes11[[#This Row],[CUIT]]="","-",VLOOKUP(ventas_b_mes11[[#This Row],[CUIT]],Lista_CUIT[#All],2,0)),"CUIT NO CARGADO")</f>
        <v>-</v>
      </c>
      <c r="H2601" s="64">
        <f>ventas_b_mes11[[#This Row],[TOTAL]]/1.21</f>
        <v>0</v>
      </c>
      <c r="I2601" s="183">
        <f>ventas_b_mes11[[#This Row],[IMPORTE NETO]]*0.21</f>
        <v>0</v>
      </c>
      <c r="J2601" s="184"/>
      <c r="K2601" s="184"/>
      <c r="L2601" s="184"/>
      <c r="M2601" s="59"/>
    </row>
    <row r="2602" spans="2:13" x14ac:dyDescent="0.3">
      <c r="B2602" s="178"/>
      <c r="C2602" s="179"/>
      <c r="D2602" s="180"/>
      <c r="E2602" s="181"/>
      <c r="F2602" s="182"/>
      <c r="G2602" s="1" t="str">
        <f>IFERROR(IF(ventas_b_mes11[[#This Row],[CUIT]]="","-",VLOOKUP(ventas_b_mes11[[#This Row],[CUIT]],Lista_CUIT[#All],2,0)),"CUIT NO CARGADO")</f>
        <v>-</v>
      </c>
      <c r="H2602" s="64">
        <f>ventas_b_mes11[[#This Row],[TOTAL]]/1.21</f>
        <v>0</v>
      </c>
      <c r="I2602" s="183">
        <f>ventas_b_mes11[[#This Row],[IMPORTE NETO]]*0.21</f>
        <v>0</v>
      </c>
      <c r="J2602" s="184"/>
      <c r="K2602" s="184"/>
      <c r="L2602" s="184"/>
      <c r="M2602" s="59"/>
    </row>
    <row r="2603" spans="2:13" x14ac:dyDescent="0.3">
      <c r="B2603" s="178"/>
      <c r="C2603" s="179"/>
      <c r="D2603" s="180"/>
      <c r="E2603" s="181"/>
      <c r="F2603" s="182"/>
      <c r="G2603" s="1" t="str">
        <f>IFERROR(IF(ventas_b_mes11[[#This Row],[CUIT]]="","-",VLOOKUP(ventas_b_mes11[[#This Row],[CUIT]],Lista_CUIT[#All],2,0)),"CUIT NO CARGADO")</f>
        <v>-</v>
      </c>
      <c r="H2603" s="64">
        <f>ventas_b_mes11[[#This Row],[TOTAL]]/1.21</f>
        <v>0</v>
      </c>
      <c r="I2603" s="183">
        <f>ventas_b_mes11[[#This Row],[IMPORTE NETO]]*0.21</f>
        <v>0</v>
      </c>
      <c r="J2603" s="184"/>
      <c r="K2603" s="184"/>
      <c r="L2603" s="184"/>
      <c r="M2603" s="59"/>
    </row>
    <row r="2604" spans="2:13" x14ac:dyDescent="0.3">
      <c r="B2604" s="178"/>
      <c r="C2604" s="179"/>
      <c r="D2604" s="180"/>
      <c r="E2604" s="181"/>
      <c r="F2604" s="182"/>
      <c r="G2604" s="1" t="str">
        <f>IFERROR(IF(ventas_b_mes11[[#This Row],[CUIT]]="","-",VLOOKUP(ventas_b_mes11[[#This Row],[CUIT]],Lista_CUIT[#All],2,0)),"CUIT NO CARGADO")</f>
        <v>-</v>
      </c>
      <c r="H2604" s="64">
        <f>ventas_b_mes11[[#This Row],[TOTAL]]/1.21</f>
        <v>0</v>
      </c>
      <c r="I2604" s="183">
        <f>ventas_b_mes11[[#This Row],[IMPORTE NETO]]*0.21</f>
        <v>0</v>
      </c>
      <c r="J2604" s="184"/>
      <c r="K2604" s="184"/>
      <c r="L2604" s="184"/>
      <c r="M2604" s="59"/>
    </row>
    <row r="2605" spans="2:13" x14ac:dyDescent="0.3">
      <c r="B2605" s="178"/>
      <c r="C2605" s="179"/>
      <c r="D2605" s="180"/>
      <c r="E2605" s="181"/>
      <c r="F2605" s="182"/>
      <c r="G2605" s="1" t="str">
        <f>IFERROR(IF(ventas_b_mes11[[#This Row],[CUIT]]="","-",VLOOKUP(ventas_b_mes11[[#This Row],[CUIT]],Lista_CUIT[#All],2,0)),"CUIT NO CARGADO")</f>
        <v>-</v>
      </c>
      <c r="H2605" s="64">
        <f>ventas_b_mes11[[#This Row],[TOTAL]]/1.21</f>
        <v>0</v>
      </c>
      <c r="I2605" s="183">
        <f>ventas_b_mes11[[#This Row],[IMPORTE NETO]]*0.21</f>
        <v>0</v>
      </c>
      <c r="J2605" s="184"/>
      <c r="K2605" s="184"/>
      <c r="L2605" s="184"/>
      <c r="M2605" s="59"/>
    </row>
    <row r="2606" spans="2:13" x14ac:dyDescent="0.3">
      <c r="B2606" s="178"/>
      <c r="C2606" s="179"/>
      <c r="D2606" s="180"/>
      <c r="E2606" s="181"/>
      <c r="F2606" s="182"/>
      <c r="G2606" s="1" t="str">
        <f>IFERROR(IF(ventas_b_mes11[[#This Row],[CUIT]]="","-",VLOOKUP(ventas_b_mes11[[#This Row],[CUIT]],Lista_CUIT[#All],2,0)),"CUIT NO CARGADO")</f>
        <v>-</v>
      </c>
      <c r="H2606" s="64">
        <f>ventas_b_mes11[[#This Row],[TOTAL]]/1.21</f>
        <v>0</v>
      </c>
      <c r="I2606" s="183">
        <f>ventas_b_mes11[[#This Row],[IMPORTE NETO]]*0.21</f>
        <v>0</v>
      </c>
      <c r="J2606" s="184"/>
      <c r="K2606" s="184"/>
      <c r="L2606" s="184"/>
      <c r="M2606" s="59"/>
    </row>
    <row r="2607" spans="2:13" x14ac:dyDescent="0.3">
      <c r="B2607" s="178"/>
      <c r="C2607" s="179"/>
      <c r="D2607" s="180"/>
      <c r="E2607" s="181"/>
      <c r="F2607" s="182"/>
      <c r="G2607" s="1" t="str">
        <f>IFERROR(IF(ventas_b_mes11[[#This Row],[CUIT]]="","-",VLOOKUP(ventas_b_mes11[[#This Row],[CUIT]],Lista_CUIT[#All],2,0)),"CUIT NO CARGADO")</f>
        <v>-</v>
      </c>
      <c r="H2607" s="64">
        <f>ventas_b_mes11[[#This Row],[TOTAL]]/1.21</f>
        <v>0</v>
      </c>
      <c r="I2607" s="183">
        <f>ventas_b_mes11[[#This Row],[IMPORTE NETO]]*0.21</f>
        <v>0</v>
      </c>
      <c r="J2607" s="184"/>
      <c r="K2607" s="184"/>
      <c r="L2607" s="184"/>
      <c r="M2607" s="59"/>
    </row>
    <row r="2608" spans="2:13" x14ac:dyDescent="0.3">
      <c r="B2608" s="178"/>
      <c r="C2608" s="179"/>
      <c r="D2608" s="180"/>
      <c r="E2608" s="181"/>
      <c r="F2608" s="182"/>
      <c r="G2608" s="1" t="str">
        <f>IFERROR(IF(ventas_b_mes11[[#This Row],[CUIT]]="","-",VLOOKUP(ventas_b_mes11[[#This Row],[CUIT]],Lista_CUIT[#All],2,0)),"CUIT NO CARGADO")</f>
        <v>-</v>
      </c>
      <c r="H2608" s="64">
        <f>ventas_b_mes11[[#This Row],[TOTAL]]/1.21</f>
        <v>0</v>
      </c>
      <c r="I2608" s="183">
        <f>ventas_b_mes11[[#This Row],[IMPORTE NETO]]*0.21</f>
        <v>0</v>
      </c>
      <c r="J2608" s="184"/>
      <c r="K2608" s="184"/>
      <c r="L2608" s="184"/>
      <c r="M2608" s="59"/>
    </row>
    <row r="2609" spans="2:13" x14ac:dyDescent="0.3">
      <c r="B2609" s="178"/>
      <c r="C2609" s="179"/>
      <c r="D2609" s="180"/>
      <c r="E2609" s="181"/>
      <c r="F2609" s="182"/>
      <c r="G2609" s="1" t="str">
        <f>IFERROR(IF(ventas_b_mes11[[#This Row],[CUIT]]="","-",VLOOKUP(ventas_b_mes11[[#This Row],[CUIT]],Lista_CUIT[#All],2,0)),"CUIT NO CARGADO")</f>
        <v>-</v>
      </c>
      <c r="H2609" s="64">
        <f>ventas_b_mes11[[#This Row],[TOTAL]]/1.21</f>
        <v>0</v>
      </c>
      <c r="I2609" s="183">
        <f>ventas_b_mes11[[#This Row],[IMPORTE NETO]]*0.21</f>
        <v>0</v>
      </c>
      <c r="J2609" s="184"/>
      <c r="K2609" s="184"/>
      <c r="L2609" s="184"/>
      <c r="M2609" s="59"/>
    </row>
    <row r="2610" spans="2:13" x14ac:dyDescent="0.3">
      <c r="B2610" s="178"/>
      <c r="C2610" s="179"/>
      <c r="D2610" s="180"/>
      <c r="E2610" s="181"/>
      <c r="F2610" s="182"/>
      <c r="G2610" s="1" t="str">
        <f>IFERROR(IF(ventas_b_mes11[[#This Row],[CUIT]]="","-",VLOOKUP(ventas_b_mes11[[#This Row],[CUIT]],Lista_CUIT[#All],2,0)),"CUIT NO CARGADO")</f>
        <v>-</v>
      </c>
      <c r="H2610" s="64">
        <f>ventas_b_mes11[[#This Row],[TOTAL]]/1.21</f>
        <v>0</v>
      </c>
      <c r="I2610" s="183">
        <f>ventas_b_mes11[[#This Row],[IMPORTE NETO]]*0.21</f>
        <v>0</v>
      </c>
      <c r="J2610" s="184"/>
      <c r="K2610" s="184"/>
      <c r="L2610" s="184"/>
      <c r="M2610" s="59"/>
    </row>
    <row r="2611" spans="2:13" x14ac:dyDescent="0.3">
      <c r="B2611" s="178"/>
      <c r="C2611" s="179"/>
      <c r="D2611" s="180"/>
      <c r="E2611" s="181"/>
      <c r="F2611" s="182"/>
      <c r="G2611" s="1" t="str">
        <f>IFERROR(IF(ventas_b_mes11[[#This Row],[CUIT]]="","-",VLOOKUP(ventas_b_mes11[[#This Row],[CUIT]],Lista_CUIT[#All],2,0)),"CUIT NO CARGADO")</f>
        <v>-</v>
      </c>
      <c r="H2611" s="64">
        <f>ventas_b_mes11[[#This Row],[TOTAL]]/1.21</f>
        <v>0</v>
      </c>
      <c r="I2611" s="183">
        <f>ventas_b_mes11[[#This Row],[IMPORTE NETO]]*0.21</f>
        <v>0</v>
      </c>
      <c r="J2611" s="184"/>
      <c r="K2611" s="184"/>
      <c r="L2611" s="184"/>
      <c r="M2611" s="59"/>
    </row>
    <row r="2612" spans="2:13" x14ac:dyDescent="0.3">
      <c r="B2612" s="178"/>
      <c r="C2612" s="179"/>
      <c r="D2612" s="180"/>
      <c r="E2612" s="181"/>
      <c r="F2612" s="182"/>
      <c r="G2612" s="1" t="str">
        <f>IFERROR(IF(ventas_b_mes11[[#This Row],[CUIT]]="","-",VLOOKUP(ventas_b_mes11[[#This Row],[CUIT]],Lista_CUIT[#All],2,0)),"CUIT NO CARGADO")</f>
        <v>-</v>
      </c>
      <c r="H2612" s="64">
        <f>ventas_b_mes11[[#This Row],[TOTAL]]/1.21</f>
        <v>0</v>
      </c>
      <c r="I2612" s="183">
        <f>ventas_b_mes11[[#This Row],[IMPORTE NETO]]*0.21</f>
        <v>0</v>
      </c>
      <c r="J2612" s="184"/>
      <c r="K2612" s="184"/>
      <c r="L2612" s="184"/>
      <c r="M2612" s="59"/>
    </row>
    <row r="2613" spans="2:13" x14ac:dyDescent="0.3">
      <c r="B2613" s="178"/>
      <c r="C2613" s="179"/>
      <c r="D2613" s="180"/>
      <c r="E2613" s="181"/>
      <c r="F2613" s="182"/>
      <c r="G2613" s="1" t="str">
        <f>IFERROR(IF(ventas_b_mes11[[#This Row],[CUIT]]="","-",VLOOKUP(ventas_b_mes11[[#This Row],[CUIT]],Lista_CUIT[#All],2,0)),"CUIT NO CARGADO")</f>
        <v>-</v>
      </c>
      <c r="H2613" s="64">
        <f>ventas_b_mes11[[#This Row],[TOTAL]]/1.21</f>
        <v>0</v>
      </c>
      <c r="I2613" s="183">
        <f>ventas_b_mes11[[#This Row],[IMPORTE NETO]]*0.21</f>
        <v>0</v>
      </c>
      <c r="J2613" s="184"/>
      <c r="K2613" s="184"/>
      <c r="L2613" s="184"/>
      <c r="M2613" s="59"/>
    </row>
    <row r="2614" spans="2:13" x14ac:dyDescent="0.3">
      <c r="B2614" s="178"/>
      <c r="C2614" s="179"/>
      <c r="D2614" s="180"/>
      <c r="E2614" s="181"/>
      <c r="F2614" s="182"/>
      <c r="G2614" s="1" t="str">
        <f>IFERROR(IF(ventas_b_mes11[[#This Row],[CUIT]]="","-",VLOOKUP(ventas_b_mes11[[#This Row],[CUIT]],Lista_CUIT[#All],2,0)),"CUIT NO CARGADO")</f>
        <v>-</v>
      </c>
      <c r="H2614" s="64">
        <f>ventas_b_mes11[[#This Row],[TOTAL]]/1.21</f>
        <v>0</v>
      </c>
      <c r="I2614" s="183">
        <f>ventas_b_mes11[[#This Row],[IMPORTE NETO]]*0.21</f>
        <v>0</v>
      </c>
      <c r="J2614" s="184"/>
      <c r="K2614" s="184"/>
      <c r="L2614" s="184"/>
      <c r="M2614" s="59"/>
    </row>
    <row r="2615" spans="2:13" x14ac:dyDescent="0.3">
      <c r="B2615" s="178"/>
      <c r="C2615" s="179"/>
      <c r="D2615" s="180"/>
      <c r="E2615" s="181"/>
      <c r="F2615" s="182"/>
      <c r="G2615" s="1" t="str">
        <f>IFERROR(IF(ventas_b_mes11[[#This Row],[CUIT]]="","-",VLOOKUP(ventas_b_mes11[[#This Row],[CUIT]],Lista_CUIT[#All],2,0)),"CUIT NO CARGADO")</f>
        <v>-</v>
      </c>
      <c r="H2615" s="64">
        <f>ventas_b_mes11[[#This Row],[TOTAL]]/1.21</f>
        <v>0</v>
      </c>
      <c r="I2615" s="183">
        <f>ventas_b_mes11[[#This Row],[IMPORTE NETO]]*0.21</f>
        <v>0</v>
      </c>
      <c r="J2615" s="184"/>
      <c r="K2615" s="184"/>
      <c r="L2615" s="184"/>
      <c r="M2615" s="59"/>
    </row>
    <row r="2616" spans="2:13" x14ac:dyDescent="0.3">
      <c r="B2616" s="178"/>
      <c r="C2616" s="179"/>
      <c r="D2616" s="180"/>
      <c r="E2616" s="181"/>
      <c r="F2616" s="182"/>
      <c r="G2616" s="1" t="str">
        <f>IFERROR(IF(ventas_b_mes11[[#This Row],[CUIT]]="","-",VLOOKUP(ventas_b_mes11[[#This Row],[CUIT]],Lista_CUIT[#All],2,0)),"CUIT NO CARGADO")</f>
        <v>-</v>
      </c>
      <c r="H2616" s="64">
        <f>ventas_b_mes11[[#This Row],[TOTAL]]/1.21</f>
        <v>0</v>
      </c>
      <c r="I2616" s="183">
        <f>ventas_b_mes11[[#This Row],[IMPORTE NETO]]*0.21</f>
        <v>0</v>
      </c>
      <c r="J2616" s="184"/>
      <c r="K2616" s="184"/>
      <c r="L2616" s="184"/>
      <c r="M2616" s="59"/>
    </row>
    <row r="2617" spans="2:13" x14ac:dyDescent="0.3">
      <c r="B2617" s="178"/>
      <c r="C2617" s="179"/>
      <c r="D2617" s="180"/>
      <c r="E2617" s="181"/>
      <c r="F2617" s="182"/>
      <c r="G2617" s="1" t="str">
        <f>IFERROR(IF(ventas_b_mes11[[#This Row],[CUIT]]="","-",VLOOKUP(ventas_b_mes11[[#This Row],[CUIT]],Lista_CUIT[#All],2,0)),"CUIT NO CARGADO")</f>
        <v>-</v>
      </c>
      <c r="H2617" s="64">
        <f>ventas_b_mes11[[#This Row],[TOTAL]]/1.21</f>
        <v>0</v>
      </c>
      <c r="I2617" s="183">
        <f>ventas_b_mes11[[#This Row],[IMPORTE NETO]]*0.21</f>
        <v>0</v>
      </c>
      <c r="J2617" s="184"/>
      <c r="K2617" s="184"/>
      <c r="L2617" s="184"/>
      <c r="M2617" s="59"/>
    </row>
    <row r="2618" spans="2:13" x14ac:dyDescent="0.3">
      <c r="B2618" s="178"/>
      <c r="C2618" s="179"/>
      <c r="D2618" s="180"/>
      <c r="E2618" s="181"/>
      <c r="F2618" s="182"/>
      <c r="G2618" s="1" t="str">
        <f>IFERROR(IF(ventas_b_mes11[[#This Row],[CUIT]]="","-",VLOOKUP(ventas_b_mes11[[#This Row],[CUIT]],Lista_CUIT[#All],2,0)),"CUIT NO CARGADO")</f>
        <v>-</v>
      </c>
      <c r="H2618" s="64">
        <f>ventas_b_mes11[[#This Row],[TOTAL]]/1.21</f>
        <v>0</v>
      </c>
      <c r="I2618" s="183">
        <f>ventas_b_mes11[[#This Row],[IMPORTE NETO]]*0.21</f>
        <v>0</v>
      </c>
      <c r="J2618" s="184"/>
      <c r="K2618" s="184"/>
      <c r="L2618" s="184"/>
      <c r="M2618" s="59"/>
    </row>
    <row r="2619" spans="2:13" x14ac:dyDescent="0.3">
      <c r="B2619" s="178"/>
      <c r="C2619" s="179"/>
      <c r="D2619" s="180"/>
      <c r="E2619" s="181"/>
      <c r="F2619" s="182"/>
      <c r="G2619" s="1" t="str">
        <f>IFERROR(IF(ventas_b_mes11[[#This Row],[CUIT]]="","-",VLOOKUP(ventas_b_mes11[[#This Row],[CUIT]],Lista_CUIT[#All],2,0)),"CUIT NO CARGADO")</f>
        <v>-</v>
      </c>
      <c r="H2619" s="64">
        <f>ventas_b_mes11[[#This Row],[TOTAL]]/1.21</f>
        <v>0</v>
      </c>
      <c r="I2619" s="183">
        <f>ventas_b_mes11[[#This Row],[IMPORTE NETO]]*0.21</f>
        <v>0</v>
      </c>
      <c r="J2619" s="184"/>
      <c r="K2619" s="184"/>
      <c r="L2619" s="184"/>
      <c r="M2619" s="59"/>
    </row>
    <row r="2620" spans="2:13" x14ac:dyDescent="0.3">
      <c r="B2620" s="178"/>
      <c r="C2620" s="179"/>
      <c r="D2620" s="180"/>
      <c r="E2620" s="181"/>
      <c r="F2620" s="182"/>
      <c r="G2620" s="1" t="str">
        <f>IFERROR(IF(ventas_b_mes11[[#This Row],[CUIT]]="","-",VLOOKUP(ventas_b_mes11[[#This Row],[CUIT]],Lista_CUIT[#All],2,0)),"CUIT NO CARGADO")</f>
        <v>-</v>
      </c>
      <c r="H2620" s="64">
        <f>ventas_b_mes11[[#This Row],[TOTAL]]/1.21</f>
        <v>0</v>
      </c>
      <c r="I2620" s="183">
        <f>ventas_b_mes11[[#This Row],[IMPORTE NETO]]*0.21</f>
        <v>0</v>
      </c>
      <c r="J2620" s="184"/>
      <c r="K2620" s="184"/>
      <c r="L2620" s="184"/>
      <c r="M2620" s="59"/>
    </row>
    <row r="2621" spans="2:13" x14ac:dyDescent="0.3">
      <c r="B2621" s="178"/>
      <c r="C2621" s="179"/>
      <c r="D2621" s="180"/>
      <c r="E2621" s="181"/>
      <c r="F2621" s="182"/>
      <c r="G2621" s="1" t="str">
        <f>IFERROR(IF(ventas_b_mes11[[#This Row],[CUIT]]="","-",VLOOKUP(ventas_b_mes11[[#This Row],[CUIT]],Lista_CUIT[#All],2,0)),"CUIT NO CARGADO")</f>
        <v>-</v>
      </c>
      <c r="H2621" s="64">
        <f>ventas_b_mes11[[#This Row],[TOTAL]]/1.21</f>
        <v>0</v>
      </c>
      <c r="I2621" s="183">
        <f>ventas_b_mes11[[#This Row],[IMPORTE NETO]]*0.21</f>
        <v>0</v>
      </c>
      <c r="J2621" s="184"/>
      <c r="K2621" s="184"/>
      <c r="L2621" s="184"/>
      <c r="M2621" s="59"/>
    </row>
    <row r="2622" spans="2:13" x14ac:dyDescent="0.3">
      <c r="B2622" s="178"/>
      <c r="C2622" s="179"/>
      <c r="D2622" s="180"/>
      <c r="E2622" s="181"/>
      <c r="F2622" s="182"/>
      <c r="G2622" s="1" t="str">
        <f>IFERROR(IF(ventas_b_mes11[[#This Row],[CUIT]]="","-",VLOOKUP(ventas_b_mes11[[#This Row],[CUIT]],Lista_CUIT[#All],2,0)),"CUIT NO CARGADO")</f>
        <v>-</v>
      </c>
      <c r="H2622" s="64">
        <f>ventas_b_mes11[[#This Row],[TOTAL]]/1.21</f>
        <v>0</v>
      </c>
      <c r="I2622" s="183">
        <f>ventas_b_mes11[[#This Row],[IMPORTE NETO]]*0.21</f>
        <v>0</v>
      </c>
      <c r="J2622" s="184"/>
      <c r="K2622" s="184"/>
      <c r="L2622" s="184"/>
      <c r="M2622" s="59"/>
    </row>
    <row r="2623" spans="2:13" x14ac:dyDescent="0.3">
      <c r="B2623" s="178"/>
      <c r="C2623" s="179"/>
      <c r="D2623" s="180"/>
      <c r="E2623" s="181"/>
      <c r="F2623" s="182"/>
      <c r="G2623" s="1" t="str">
        <f>IFERROR(IF(ventas_b_mes11[[#This Row],[CUIT]]="","-",VLOOKUP(ventas_b_mes11[[#This Row],[CUIT]],Lista_CUIT[#All],2,0)),"CUIT NO CARGADO")</f>
        <v>-</v>
      </c>
      <c r="H2623" s="64">
        <f>ventas_b_mes11[[#This Row],[TOTAL]]/1.21</f>
        <v>0</v>
      </c>
      <c r="I2623" s="183">
        <f>ventas_b_mes11[[#This Row],[IMPORTE NETO]]*0.21</f>
        <v>0</v>
      </c>
      <c r="J2623" s="184"/>
      <c r="K2623" s="184"/>
      <c r="L2623" s="184"/>
      <c r="M2623" s="59"/>
    </row>
    <row r="2624" spans="2:13" x14ac:dyDescent="0.3">
      <c r="B2624" s="178"/>
      <c r="C2624" s="179"/>
      <c r="D2624" s="180"/>
      <c r="E2624" s="181"/>
      <c r="F2624" s="182"/>
      <c r="G2624" s="1" t="str">
        <f>IFERROR(IF(ventas_b_mes11[[#This Row],[CUIT]]="","-",VLOOKUP(ventas_b_mes11[[#This Row],[CUIT]],Lista_CUIT[#All],2,0)),"CUIT NO CARGADO")</f>
        <v>-</v>
      </c>
      <c r="H2624" s="64">
        <f>ventas_b_mes11[[#This Row],[TOTAL]]/1.21</f>
        <v>0</v>
      </c>
      <c r="I2624" s="183">
        <f>ventas_b_mes11[[#This Row],[IMPORTE NETO]]*0.21</f>
        <v>0</v>
      </c>
      <c r="J2624" s="184"/>
      <c r="K2624" s="184"/>
      <c r="L2624" s="184"/>
      <c r="M2624" s="59"/>
    </row>
    <row r="2625" spans="2:13" x14ac:dyDescent="0.3">
      <c r="B2625" s="178"/>
      <c r="C2625" s="179"/>
      <c r="D2625" s="180"/>
      <c r="E2625" s="181"/>
      <c r="F2625" s="182"/>
      <c r="G2625" s="1" t="str">
        <f>IFERROR(IF(ventas_b_mes11[[#This Row],[CUIT]]="","-",VLOOKUP(ventas_b_mes11[[#This Row],[CUIT]],Lista_CUIT[#All],2,0)),"CUIT NO CARGADO")</f>
        <v>-</v>
      </c>
      <c r="H2625" s="64">
        <f>ventas_b_mes11[[#This Row],[TOTAL]]/1.21</f>
        <v>0</v>
      </c>
      <c r="I2625" s="183">
        <f>ventas_b_mes11[[#This Row],[IMPORTE NETO]]*0.21</f>
        <v>0</v>
      </c>
      <c r="J2625" s="184"/>
      <c r="K2625" s="184"/>
      <c r="L2625" s="184"/>
      <c r="M2625" s="59"/>
    </row>
    <row r="2626" spans="2:13" x14ac:dyDescent="0.3">
      <c r="B2626" s="178"/>
      <c r="C2626" s="179"/>
      <c r="D2626" s="180"/>
      <c r="E2626" s="181"/>
      <c r="F2626" s="182"/>
      <c r="G2626" s="1" t="str">
        <f>IFERROR(IF(ventas_b_mes11[[#This Row],[CUIT]]="","-",VLOOKUP(ventas_b_mes11[[#This Row],[CUIT]],Lista_CUIT[#All],2,0)),"CUIT NO CARGADO")</f>
        <v>-</v>
      </c>
      <c r="H2626" s="64">
        <f>ventas_b_mes11[[#This Row],[TOTAL]]/1.21</f>
        <v>0</v>
      </c>
      <c r="I2626" s="183">
        <f>ventas_b_mes11[[#This Row],[IMPORTE NETO]]*0.21</f>
        <v>0</v>
      </c>
      <c r="J2626" s="184"/>
      <c r="K2626" s="184"/>
      <c r="L2626" s="184"/>
      <c r="M2626" s="59"/>
    </row>
    <row r="2627" spans="2:13" x14ac:dyDescent="0.3">
      <c r="B2627" s="178"/>
      <c r="C2627" s="179"/>
      <c r="D2627" s="180"/>
      <c r="E2627" s="181"/>
      <c r="F2627" s="182"/>
      <c r="G2627" s="1" t="str">
        <f>IFERROR(IF(ventas_b_mes11[[#This Row],[CUIT]]="","-",VLOOKUP(ventas_b_mes11[[#This Row],[CUIT]],Lista_CUIT[#All],2,0)),"CUIT NO CARGADO")</f>
        <v>-</v>
      </c>
      <c r="H2627" s="64">
        <f>ventas_b_mes11[[#This Row],[TOTAL]]/1.21</f>
        <v>0</v>
      </c>
      <c r="I2627" s="183">
        <f>ventas_b_mes11[[#This Row],[IMPORTE NETO]]*0.21</f>
        <v>0</v>
      </c>
      <c r="J2627" s="184"/>
      <c r="K2627" s="184"/>
      <c r="L2627" s="184"/>
      <c r="M2627" s="59"/>
    </row>
    <row r="2628" spans="2:13" x14ac:dyDescent="0.3">
      <c r="B2628" s="178"/>
      <c r="C2628" s="179"/>
      <c r="D2628" s="180"/>
      <c r="E2628" s="181"/>
      <c r="F2628" s="182"/>
      <c r="G2628" s="1" t="str">
        <f>IFERROR(IF(ventas_b_mes11[[#This Row],[CUIT]]="","-",VLOOKUP(ventas_b_mes11[[#This Row],[CUIT]],Lista_CUIT[#All],2,0)),"CUIT NO CARGADO")</f>
        <v>-</v>
      </c>
      <c r="H2628" s="64">
        <f>ventas_b_mes11[[#This Row],[TOTAL]]/1.21</f>
        <v>0</v>
      </c>
      <c r="I2628" s="183">
        <f>ventas_b_mes11[[#This Row],[IMPORTE NETO]]*0.21</f>
        <v>0</v>
      </c>
      <c r="J2628" s="184"/>
      <c r="K2628" s="184"/>
      <c r="L2628" s="184"/>
      <c r="M2628" s="59"/>
    </row>
    <row r="2629" spans="2:13" x14ac:dyDescent="0.3">
      <c r="B2629" s="178"/>
      <c r="C2629" s="179"/>
      <c r="D2629" s="180"/>
      <c r="E2629" s="181"/>
      <c r="F2629" s="182"/>
      <c r="G2629" s="1" t="str">
        <f>IFERROR(IF(ventas_b_mes11[[#This Row],[CUIT]]="","-",VLOOKUP(ventas_b_mes11[[#This Row],[CUIT]],Lista_CUIT[#All],2,0)),"CUIT NO CARGADO")</f>
        <v>-</v>
      </c>
      <c r="H2629" s="64">
        <f>ventas_b_mes11[[#This Row],[TOTAL]]/1.21</f>
        <v>0</v>
      </c>
      <c r="I2629" s="183">
        <f>ventas_b_mes11[[#This Row],[IMPORTE NETO]]*0.21</f>
        <v>0</v>
      </c>
      <c r="J2629" s="184"/>
      <c r="K2629" s="184"/>
      <c r="L2629" s="184"/>
      <c r="M2629" s="59"/>
    </row>
    <row r="2630" spans="2:13" x14ac:dyDescent="0.3">
      <c r="B2630" s="178"/>
      <c r="C2630" s="179"/>
      <c r="D2630" s="180"/>
      <c r="E2630" s="181"/>
      <c r="F2630" s="182"/>
      <c r="G2630" s="1" t="str">
        <f>IFERROR(IF(ventas_b_mes11[[#This Row],[CUIT]]="","-",VLOOKUP(ventas_b_mes11[[#This Row],[CUIT]],Lista_CUIT[#All],2,0)),"CUIT NO CARGADO")</f>
        <v>-</v>
      </c>
      <c r="H2630" s="64">
        <f>ventas_b_mes11[[#This Row],[TOTAL]]/1.21</f>
        <v>0</v>
      </c>
      <c r="I2630" s="183">
        <f>ventas_b_mes11[[#This Row],[IMPORTE NETO]]*0.21</f>
        <v>0</v>
      </c>
      <c r="J2630" s="184"/>
      <c r="K2630" s="184"/>
      <c r="L2630" s="184"/>
      <c r="M2630" s="59"/>
    </row>
    <row r="2631" spans="2:13" x14ac:dyDescent="0.3">
      <c r="B2631" s="178"/>
      <c r="C2631" s="179"/>
      <c r="D2631" s="180"/>
      <c r="E2631" s="181"/>
      <c r="F2631" s="182"/>
      <c r="G2631" s="1" t="str">
        <f>IFERROR(IF(ventas_b_mes11[[#This Row],[CUIT]]="","-",VLOOKUP(ventas_b_mes11[[#This Row],[CUIT]],Lista_CUIT[#All],2,0)),"CUIT NO CARGADO")</f>
        <v>-</v>
      </c>
      <c r="H2631" s="64">
        <f>ventas_b_mes11[[#This Row],[TOTAL]]/1.21</f>
        <v>0</v>
      </c>
      <c r="I2631" s="183">
        <f>ventas_b_mes11[[#This Row],[IMPORTE NETO]]*0.21</f>
        <v>0</v>
      </c>
      <c r="J2631" s="184"/>
      <c r="K2631" s="184"/>
      <c r="L2631" s="184"/>
      <c r="M2631" s="59"/>
    </row>
    <row r="2632" spans="2:13" x14ac:dyDescent="0.3">
      <c r="B2632" s="178"/>
      <c r="C2632" s="179"/>
      <c r="D2632" s="180"/>
      <c r="E2632" s="181"/>
      <c r="F2632" s="182"/>
      <c r="G2632" s="1" t="str">
        <f>IFERROR(IF(ventas_b_mes11[[#This Row],[CUIT]]="","-",VLOOKUP(ventas_b_mes11[[#This Row],[CUIT]],Lista_CUIT[#All],2,0)),"CUIT NO CARGADO")</f>
        <v>-</v>
      </c>
      <c r="H2632" s="64">
        <f>ventas_b_mes11[[#This Row],[TOTAL]]/1.21</f>
        <v>0</v>
      </c>
      <c r="I2632" s="183">
        <f>ventas_b_mes11[[#This Row],[IMPORTE NETO]]*0.21</f>
        <v>0</v>
      </c>
      <c r="J2632" s="184"/>
      <c r="K2632" s="184"/>
      <c r="L2632" s="184"/>
      <c r="M2632" s="59"/>
    </row>
    <row r="2633" spans="2:13" x14ac:dyDescent="0.3">
      <c r="B2633" s="178"/>
      <c r="C2633" s="179"/>
      <c r="D2633" s="180"/>
      <c r="E2633" s="181"/>
      <c r="F2633" s="182"/>
      <c r="G2633" s="1" t="str">
        <f>IFERROR(IF(ventas_b_mes11[[#This Row],[CUIT]]="","-",VLOOKUP(ventas_b_mes11[[#This Row],[CUIT]],Lista_CUIT[#All],2,0)),"CUIT NO CARGADO")</f>
        <v>-</v>
      </c>
      <c r="H2633" s="64">
        <f>ventas_b_mes11[[#This Row],[TOTAL]]/1.21</f>
        <v>0</v>
      </c>
      <c r="I2633" s="183">
        <f>ventas_b_mes11[[#This Row],[IMPORTE NETO]]*0.21</f>
        <v>0</v>
      </c>
      <c r="J2633" s="184"/>
      <c r="K2633" s="184"/>
      <c r="L2633" s="184"/>
      <c r="M2633" s="59"/>
    </row>
    <row r="2634" spans="2:13" x14ac:dyDescent="0.3">
      <c r="B2634" s="178"/>
      <c r="C2634" s="179"/>
      <c r="D2634" s="180"/>
      <c r="E2634" s="181"/>
      <c r="F2634" s="182"/>
      <c r="G2634" s="1" t="str">
        <f>IFERROR(IF(ventas_b_mes11[[#This Row],[CUIT]]="","-",VLOOKUP(ventas_b_mes11[[#This Row],[CUIT]],Lista_CUIT[#All],2,0)),"CUIT NO CARGADO")</f>
        <v>-</v>
      </c>
      <c r="H2634" s="64">
        <f>ventas_b_mes11[[#This Row],[TOTAL]]/1.21</f>
        <v>0</v>
      </c>
      <c r="I2634" s="183">
        <f>ventas_b_mes11[[#This Row],[IMPORTE NETO]]*0.21</f>
        <v>0</v>
      </c>
      <c r="J2634" s="184"/>
      <c r="K2634" s="184"/>
      <c r="L2634" s="184"/>
      <c r="M2634" s="59"/>
    </row>
    <row r="2635" spans="2:13" x14ac:dyDescent="0.3">
      <c r="B2635" s="178"/>
      <c r="C2635" s="179"/>
      <c r="D2635" s="180"/>
      <c r="E2635" s="181"/>
      <c r="F2635" s="182"/>
      <c r="G2635" s="1" t="str">
        <f>IFERROR(IF(ventas_b_mes11[[#This Row],[CUIT]]="","-",VLOOKUP(ventas_b_mes11[[#This Row],[CUIT]],Lista_CUIT[#All],2,0)),"CUIT NO CARGADO")</f>
        <v>-</v>
      </c>
      <c r="H2635" s="64">
        <f>ventas_b_mes11[[#This Row],[TOTAL]]/1.21</f>
        <v>0</v>
      </c>
      <c r="I2635" s="183">
        <f>ventas_b_mes11[[#This Row],[IMPORTE NETO]]*0.21</f>
        <v>0</v>
      </c>
      <c r="J2635" s="184"/>
      <c r="K2635" s="184"/>
      <c r="L2635" s="184"/>
      <c r="M2635" s="59"/>
    </row>
    <row r="2636" spans="2:13" x14ac:dyDescent="0.3">
      <c r="B2636" s="178"/>
      <c r="C2636" s="179"/>
      <c r="D2636" s="180"/>
      <c r="E2636" s="181"/>
      <c r="F2636" s="182"/>
      <c r="G2636" s="1" t="str">
        <f>IFERROR(IF(ventas_b_mes11[[#This Row],[CUIT]]="","-",VLOOKUP(ventas_b_mes11[[#This Row],[CUIT]],Lista_CUIT[#All],2,0)),"CUIT NO CARGADO")</f>
        <v>-</v>
      </c>
      <c r="H2636" s="64">
        <f>ventas_b_mes11[[#This Row],[TOTAL]]/1.21</f>
        <v>0</v>
      </c>
      <c r="I2636" s="183">
        <f>ventas_b_mes11[[#This Row],[IMPORTE NETO]]*0.21</f>
        <v>0</v>
      </c>
      <c r="J2636" s="184"/>
      <c r="K2636" s="184"/>
      <c r="L2636" s="184"/>
      <c r="M2636" s="59"/>
    </row>
    <row r="2637" spans="2:13" x14ac:dyDescent="0.3">
      <c r="B2637" s="178"/>
      <c r="C2637" s="179"/>
      <c r="D2637" s="180"/>
      <c r="E2637" s="181"/>
      <c r="F2637" s="182"/>
      <c r="G2637" s="1" t="str">
        <f>IFERROR(IF(ventas_b_mes11[[#This Row],[CUIT]]="","-",VLOOKUP(ventas_b_mes11[[#This Row],[CUIT]],Lista_CUIT[#All],2,0)),"CUIT NO CARGADO")</f>
        <v>-</v>
      </c>
      <c r="H2637" s="64">
        <f>ventas_b_mes11[[#This Row],[TOTAL]]/1.21</f>
        <v>0</v>
      </c>
      <c r="I2637" s="183">
        <f>ventas_b_mes11[[#This Row],[IMPORTE NETO]]*0.21</f>
        <v>0</v>
      </c>
      <c r="J2637" s="184"/>
      <c r="K2637" s="184"/>
      <c r="L2637" s="184"/>
      <c r="M2637" s="59"/>
    </row>
    <row r="2638" spans="2:13" x14ac:dyDescent="0.3">
      <c r="B2638" s="178"/>
      <c r="C2638" s="179"/>
      <c r="D2638" s="180"/>
      <c r="E2638" s="181"/>
      <c r="F2638" s="182"/>
      <c r="G2638" s="1" t="str">
        <f>IFERROR(IF(ventas_b_mes11[[#This Row],[CUIT]]="","-",VLOOKUP(ventas_b_mes11[[#This Row],[CUIT]],Lista_CUIT[#All],2,0)),"CUIT NO CARGADO")</f>
        <v>-</v>
      </c>
      <c r="H2638" s="64">
        <f>ventas_b_mes11[[#This Row],[TOTAL]]/1.21</f>
        <v>0</v>
      </c>
      <c r="I2638" s="183">
        <f>ventas_b_mes11[[#This Row],[IMPORTE NETO]]*0.21</f>
        <v>0</v>
      </c>
      <c r="J2638" s="184"/>
      <c r="K2638" s="184"/>
      <c r="L2638" s="184"/>
      <c r="M2638" s="59"/>
    </row>
    <row r="2639" spans="2:13" x14ac:dyDescent="0.3">
      <c r="B2639" s="178"/>
      <c r="C2639" s="179"/>
      <c r="D2639" s="180"/>
      <c r="E2639" s="181"/>
      <c r="F2639" s="182"/>
      <c r="G2639" s="1" t="str">
        <f>IFERROR(IF(ventas_b_mes11[[#This Row],[CUIT]]="","-",VLOOKUP(ventas_b_mes11[[#This Row],[CUIT]],Lista_CUIT[#All],2,0)),"CUIT NO CARGADO")</f>
        <v>-</v>
      </c>
      <c r="H2639" s="64">
        <f>ventas_b_mes11[[#This Row],[TOTAL]]/1.21</f>
        <v>0</v>
      </c>
      <c r="I2639" s="183">
        <f>ventas_b_mes11[[#This Row],[IMPORTE NETO]]*0.21</f>
        <v>0</v>
      </c>
      <c r="J2639" s="184"/>
      <c r="K2639" s="184"/>
      <c r="L2639" s="184"/>
      <c r="M2639" s="59"/>
    </row>
    <row r="2640" spans="2:13" x14ac:dyDescent="0.3">
      <c r="B2640" s="178"/>
      <c r="C2640" s="179"/>
      <c r="D2640" s="180"/>
      <c r="E2640" s="181"/>
      <c r="F2640" s="182"/>
      <c r="G2640" s="1" t="str">
        <f>IFERROR(IF(ventas_b_mes11[[#This Row],[CUIT]]="","-",VLOOKUP(ventas_b_mes11[[#This Row],[CUIT]],Lista_CUIT[#All],2,0)),"CUIT NO CARGADO")</f>
        <v>-</v>
      </c>
      <c r="H2640" s="64">
        <f>ventas_b_mes11[[#This Row],[TOTAL]]/1.21</f>
        <v>0</v>
      </c>
      <c r="I2640" s="183">
        <f>ventas_b_mes11[[#This Row],[IMPORTE NETO]]*0.21</f>
        <v>0</v>
      </c>
      <c r="J2640" s="184"/>
      <c r="K2640" s="184"/>
      <c r="L2640" s="184"/>
      <c r="M2640" s="59"/>
    </row>
    <row r="2641" spans="2:13" x14ac:dyDescent="0.3">
      <c r="B2641" s="178"/>
      <c r="C2641" s="179"/>
      <c r="D2641" s="180"/>
      <c r="E2641" s="181"/>
      <c r="F2641" s="182"/>
      <c r="G2641" s="1" t="str">
        <f>IFERROR(IF(ventas_b_mes11[[#This Row],[CUIT]]="","-",VLOOKUP(ventas_b_mes11[[#This Row],[CUIT]],Lista_CUIT[#All],2,0)),"CUIT NO CARGADO")</f>
        <v>-</v>
      </c>
      <c r="H2641" s="64">
        <f>ventas_b_mes11[[#This Row],[TOTAL]]/1.21</f>
        <v>0</v>
      </c>
      <c r="I2641" s="183">
        <f>ventas_b_mes11[[#This Row],[IMPORTE NETO]]*0.21</f>
        <v>0</v>
      </c>
      <c r="J2641" s="184"/>
      <c r="K2641" s="184"/>
      <c r="L2641" s="184"/>
      <c r="M2641" s="59"/>
    </row>
    <row r="2642" spans="2:13" x14ac:dyDescent="0.3">
      <c r="B2642" s="178"/>
      <c r="C2642" s="179"/>
      <c r="D2642" s="180"/>
      <c r="E2642" s="181"/>
      <c r="F2642" s="182"/>
      <c r="G2642" s="1" t="str">
        <f>IFERROR(IF(ventas_b_mes11[[#This Row],[CUIT]]="","-",VLOOKUP(ventas_b_mes11[[#This Row],[CUIT]],Lista_CUIT[#All],2,0)),"CUIT NO CARGADO")</f>
        <v>-</v>
      </c>
      <c r="H2642" s="64">
        <f>ventas_b_mes11[[#This Row],[TOTAL]]/1.21</f>
        <v>0</v>
      </c>
      <c r="I2642" s="183">
        <f>ventas_b_mes11[[#This Row],[IMPORTE NETO]]*0.21</f>
        <v>0</v>
      </c>
      <c r="J2642" s="184"/>
      <c r="K2642" s="184"/>
      <c r="L2642" s="184"/>
      <c r="M2642" s="59"/>
    </row>
    <row r="2643" spans="2:13" x14ac:dyDescent="0.3">
      <c r="B2643" s="178"/>
      <c r="C2643" s="179"/>
      <c r="D2643" s="180"/>
      <c r="E2643" s="181"/>
      <c r="F2643" s="182"/>
      <c r="G2643" s="1" t="str">
        <f>IFERROR(IF(ventas_b_mes11[[#This Row],[CUIT]]="","-",VLOOKUP(ventas_b_mes11[[#This Row],[CUIT]],Lista_CUIT[#All],2,0)),"CUIT NO CARGADO")</f>
        <v>-</v>
      </c>
      <c r="H2643" s="64">
        <f>ventas_b_mes11[[#This Row],[TOTAL]]/1.21</f>
        <v>0</v>
      </c>
      <c r="I2643" s="183">
        <f>ventas_b_mes11[[#This Row],[IMPORTE NETO]]*0.21</f>
        <v>0</v>
      </c>
      <c r="J2643" s="184"/>
      <c r="K2643" s="184"/>
      <c r="L2643" s="184"/>
      <c r="M2643" s="59"/>
    </row>
    <row r="2644" spans="2:13" x14ac:dyDescent="0.3">
      <c r="B2644" s="178"/>
      <c r="C2644" s="179"/>
      <c r="D2644" s="180"/>
      <c r="E2644" s="181"/>
      <c r="F2644" s="182"/>
      <c r="G2644" s="1" t="str">
        <f>IFERROR(IF(ventas_b_mes11[[#This Row],[CUIT]]="","-",VLOOKUP(ventas_b_mes11[[#This Row],[CUIT]],Lista_CUIT[#All],2,0)),"CUIT NO CARGADO")</f>
        <v>-</v>
      </c>
      <c r="H2644" s="64">
        <f>ventas_b_mes11[[#This Row],[TOTAL]]/1.21</f>
        <v>0</v>
      </c>
      <c r="I2644" s="183">
        <f>ventas_b_mes11[[#This Row],[IMPORTE NETO]]*0.21</f>
        <v>0</v>
      </c>
      <c r="J2644" s="184"/>
      <c r="K2644" s="184"/>
      <c r="L2644" s="184"/>
      <c r="M2644" s="59"/>
    </row>
    <row r="2645" spans="2:13" x14ac:dyDescent="0.3">
      <c r="B2645" s="178"/>
      <c r="C2645" s="179"/>
      <c r="D2645" s="180"/>
      <c r="E2645" s="181"/>
      <c r="F2645" s="182"/>
      <c r="G2645" s="1" t="str">
        <f>IFERROR(IF(ventas_b_mes11[[#This Row],[CUIT]]="","-",VLOOKUP(ventas_b_mes11[[#This Row],[CUIT]],Lista_CUIT[#All],2,0)),"CUIT NO CARGADO")</f>
        <v>-</v>
      </c>
      <c r="H2645" s="64">
        <f>ventas_b_mes11[[#This Row],[TOTAL]]/1.21</f>
        <v>0</v>
      </c>
      <c r="I2645" s="183">
        <f>ventas_b_mes11[[#This Row],[IMPORTE NETO]]*0.21</f>
        <v>0</v>
      </c>
      <c r="J2645" s="184"/>
      <c r="K2645" s="184"/>
      <c r="L2645" s="184"/>
      <c r="M2645" s="59"/>
    </row>
    <row r="2646" spans="2:13" x14ac:dyDescent="0.3">
      <c r="B2646" s="178"/>
      <c r="C2646" s="179"/>
      <c r="D2646" s="180"/>
      <c r="E2646" s="181"/>
      <c r="F2646" s="182"/>
      <c r="G2646" s="1" t="str">
        <f>IFERROR(IF(ventas_b_mes11[[#This Row],[CUIT]]="","-",VLOOKUP(ventas_b_mes11[[#This Row],[CUIT]],Lista_CUIT[#All],2,0)),"CUIT NO CARGADO")</f>
        <v>-</v>
      </c>
      <c r="H2646" s="64">
        <f>ventas_b_mes11[[#This Row],[TOTAL]]/1.21</f>
        <v>0</v>
      </c>
      <c r="I2646" s="183">
        <f>ventas_b_mes11[[#This Row],[IMPORTE NETO]]*0.21</f>
        <v>0</v>
      </c>
      <c r="J2646" s="184"/>
      <c r="K2646" s="184"/>
      <c r="L2646" s="184"/>
      <c r="M2646" s="59"/>
    </row>
    <row r="2647" spans="2:13" x14ac:dyDescent="0.3">
      <c r="B2647" s="178"/>
      <c r="C2647" s="179"/>
      <c r="D2647" s="180"/>
      <c r="E2647" s="181"/>
      <c r="F2647" s="182"/>
      <c r="G2647" s="1" t="str">
        <f>IFERROR(IF(ventas_b_mes11[[#This Row],[CUIT]]="","-",VLOOKUP(ventas_b_mes11[[#This Row],[CUIT]],Lista_CUIT[#All],2,0)),"CUIT NO CARGADO")</f>
        <v>-</v>
      </c>
      <c r="H2647" s="64">
        <f>ventas_b_mes11[[#This Row],[TOTAL]]/1.21</f>
        <v>0</v>
      </c>
      <c r="I2647" s="183">
        <f>ventas_b_mes11[[#This Row],[IMPORTE NETO]]*0.21</f>
        <v>0</v>
      </c>
      <c r="J2647" s="184"/>
      <c r="K2647" s="184"/>
      <c r="L2647" s="184"/>
      <c r="M2647" s="59"/>
    </row>
    <row r="2648" spans="2:13" x14ac:dyDescent="0.3">
      <c r="B2648" s="178"/>
      <c r="C2648" s="179"/>
      <c r="D2648" s="180"/>
      <c r="E2648" s="181"/>
      <c r="F2648" s="182"/>
      <c r="G2648" s="1" t="str">
        <f>IFERROR(IF(ventas_b_mes11[[#This Row],[CUIT]]="","-",VLOOKUP(ventas_b_mes11[[#This Row],[CUIT]],Lista_CUIT[#All],2,0)),"CUIT NO CARGADO")</f>
        <v>-</v>
      </c>
      <c r="H2648" s="64">
        <f>ventas_b_mes11[[#This Row],[TOTAL]]/1.21</f>
        <v>0</v>
      </c>
      <c r="I2648" s="183">
        <f>ventas_b_mes11[[#This Row],[IMPORTE NETO]]*0.21</f>
        <v>0</v>
      </c>
      <c r="J2648" s="184"/>
      <c r="K2648" s="184"/>
      <c r="L2648" s="184"/>
      <c r="M2648" s="59"/>
    </row>
    <row r="2649" spans="2:13" x14ac:dyDescent="0.3">
      <c r="B2649" s="178"/>
      <c r="C2649" s="179"/>
      <c r="D2649" s="180"/>
      <c r="E2649" s="181"/>
      <c r="F2649" s="182"/>
      <c r="G2649" s="1" t="str">
        <f>IFERROR(IF(ventas_b_mes11[[#This Row],[CUIT]]="","-",VLOOKUP(ventas_b_mes11[[#This Row],[CUIT]],Lista_CUIT[#All],2,0)),"CUIT NO CARGADO")</f>
        <v>-</v>
      </c>
      <c r="H2649" s="64">
        <f>ventas_b_mes11[[#This Row],[TOTAL]]/1.21</f>
        <v>0</v>
      </c>
      <c r="I2649" s="183">
        <f>ventas_b_mes11[[#This Row],[IMPORTE NETO]]*0.21</f>
        <v>0</v>
      </c>
      <c r="J2649" s="184"/>
      <c r="K2649" s="184"/>
      <c r="L2649" s="184"/>
      <c r="M2649" s="59"/>
    </row>
    <row r="2650" spans="2:13" x14ac:dyDescent="0.3">
      <c r="B2650" s="178"/>
      <c r="C2650" s="179"/>
      <c r="D2650" s="180"/>
      <c r="E2650" s="181"/>
      <c r="F2650" s="182"/>
      <c r="G2650" s="1" t="str">
        <f>IFERROR(IF(ventas_b_mes11[[#This Row],[CUIT]]="","-",VLOOKUP(ventas_b_mes11[[#This Row],[CUIT]],Lista_CUIT[#All],2,0)),"CUIT NO CARGADO")</f>
        <v>-</v>
      </c>
      <c r="H2650" s="64">
        <f>ventas_b_mes11[[#This Row],[TOTAL]]/1.21</f>
        <v>0</v>
      </c>
      <c r="I2650" s="183">
        <f>ventas_b_mes11[[#This Row],[IMPORTE NETO]]*0.21</f>
        <v>0</v>
      </c>
      <c r="J2650" s="184"/>
      <c r="K2650" s="184"/>
      <c r="L2650" s="184"/>
      <c r="M2650" s="59"/>
    </row>
    <row r="2651" spans="2:13" x14ac:dyDescent="0.3">
      <c r="B2651" s="178"/>
      <c r="C2651" s="179"/>
      <c r="D2651" s="180"/>
      <c r="E2651" s="181"/>
      <c r="F2651" s="182"/>
      <c r="G2651" s="1" t="str">
        <f>IFERROR(IF(ventas_b_mes11[[#This Row],[CUIT]]="","-",VLOOKUP(ventas_b_mes11[[#This Row],[CUIT]],Lista_CUIT[#All],2,0)),"CUIT NO CARGADO")</f>
        <v>-</v>
      </c>
      <c r="H2651" s="64">
        <f>ventas_b_mes11[[#This Row],[TOTAL]]/1.21</f>
        <v>0</v>
      </c>
      <c r="I2651" s="183">
        <f>ventas_b_mes11[[#This Row],[IMPORTE NETO]]*0.21</f>
        <v>0</v>
      </c>
      <c r="J2651" s="184"/>
      <c r="K2651" s="184"/>
      <c r="L2651" s="184"/>
      <c r="M2651" s="59"/>
    </row>
    <row r="2652" spans="2:13" x14ac:dyDescent="0.3">
      <c r="B2652" s="178"/>
      <c r="C2652" s="179"/>
      <c r="D2652" s="180"/>
      <c r="E2652" s="181"/>
      <c r="F2652" s="182"/>
      <c r="G2652" s="1" t="str">
        <f>IFERROR(IF(ventas_b_mes11[[#This Row],[CUIT]]="","-",VLOOKUP(ventas_b_mes11[[#This Row],[CUIT]],Lista_CUIT[#All],2,0)),"CUIT NO CARGADO")</f>
        <v>-</v>
      </c>
      <c r="H2652" s="64">
        <f>ventas_b_mes11[[#This Row],[TOTAL]]/1.21</f>
        <v>0</v>
      </c>
      <c r="I2652" s="183">
        <f>ventas_b_mes11[[#This Row],[IMPORTE NETO]]*0.21</f>
        <v>0</v>
      </c>
      <c r="J2652" s="184"/>
      <c r="K2652" s="184"/>
      <c r="L2652" s="184"/>
      <c r="M2652" s="59"/>
    </row>
    <row r="2653" spans="2:13" x14ac:dyDescent="0.3">
      <c r="B2653" s="178"/>
      <c r="C2653" s="179"/>
      <c r="D2653" s="180"/>
      <c r="E2653" s="181"/>
      <c r="F2653" s="182"/>
      <c r="G2653" s="1" t="str">
        <f>IFERROR(IF(ventas_b_mes11[[#This Row],[CUIT]]="","-",VLOOKUP(ventas_b_mes11[[#This Row],[CUIT]],Lista_CUIT[#All],2,0)),"CUIT NO CARGADO")</f>
        <v>-</v>
      </c>
      <c r="H2653" s="64">
        <f>ventas_b_mes11[[#This Row],[TOTAL]]/1.21</f>
        <v>0</v>
      </c>
      <c r="I2653" s="183">
        <f>ventas_b_mes11[[#This Row],[IMPORTE NETO]]*0.21</f>
        <v>0</v>
      </c>
      <c r="J2653" s="184"/>
      <c r="K2653" s="184"/>
      <c r="L2653" s="184"/>
      <c r="M2653" s="59"/>
    </row>
    <row r="2654" spans="2:13" x14ac:dyDescent="0.3">
      <c r="B2654" s="178"/>
      <c r="C2654" s="179"/>
      <c r="D2654" s="180"/>
      <c r="E2654" s="181"/>
      <c r="F2654" s="182"/>
      <c r="G2654" s="1" t="str">
        <f>IFERROR(IF(ventas_b_mes11[[#This Row],[CUIT]]="","-",VLOOKUP(ventas_b_mes11[[#This Row],[CUIT]],Lista_CUIT[#All],2,0)),"CUIT NO CARGADO")</f>
        <v>-</v>
      </c>
      <c r="H2654" s="64">
        <f>ventas_b_mes11[[#This Row],[TOTAL]]/1.21</f>
        <v>0</v>
      </c>
      <c r="I2654" s="183">
        <f>ventas_b_mes11[[#This Row],[IMPORTE NETO]]*0.21</f>
        <v>0</v>
      </c>
      <c r="J2654" s="184"/>
      <c r="K2654" s="184"/>
      <c r="L2654" s="184"/>
      <c r="M2654" s="59"/>
    </row>
    <row r="2655" spans="2:13" x14ac:dyDescent="0.3">
      <c r="B2655" s="178"/>
      <c r="C2655" s="179"/>
      <c r="D2655" s="180"/>
      <c r="E2655" s="181"/>
      <c r="F2655" s="182"/>
      <c r="G2655" s="1" t="str">
        <f>IFERROR(IF(ventas_b_mes11[[#This Row],[CUIT]]="","-",VLOOKUP(ventas_b_mes11[[#This Row],[CUIT]],Lista_CUIT[#All],2,0)),"CUIT NO CARGADO")</f>
        <v>-</v>
      </c>
      <c r="H2655" s="64">
        <f>ventas_b_mes11[[#This Row],[TOTAL]]/1.21</f>
        <v>0</v>
      </c>
      <c r="I2655" s="183">
        <f>ventas_b_mes11[[#This Row],[IMPORTE NETO]]*0.21</f>
        <v>0</v>
      </c>
      <c r="J2655" s="184"/>
      <c r="K2655" s="184"/>
      <c r="L2655" s="184"/>
      <c r="M2655" s="59"/>
    </row>
    <row r="2656" spans="2:13" x14ac:dyDescent="0.3">
      <c r="B2656" s="178"/>
      <c r="C2656" s="179"/>
      <c r="D2656" s="180"/>
      <c r="E2656" s="181"/>
      <c r="F2656" s="182"/>
      <c r="G2656" s="1" t="str">
        <f>IFERROR(IF(ventas_b_mes11[[#This Row],[CUIT]]="","-",VLOOKUP(ventas_b_mes11[[#This Row],[CUIT]],Lista_CUIT[#All],2,0)),"CUIT NO CARGADO")</f>
        <v>-</v>
      </c>
      <c r="H2656" s="64">
        <f>ventas_b_mes11[[#This Row],[TOTAL]]/1.21</f>
        <v>0</v>
      </c>
      <c r="I2656" s="183">
        <f>ventas_b_mes11[[#This Row],[IMPORTE NETO]]*0.21</f>
        <v>0</v>
      </c>
      <c r="J2656" s="184"/>
      <c r="K2656" s="184"/>
      <c r="L2656" s="184"/>
      <c r="M2656" s="59"/>
    </row>
    <row r="2657" spans="2:13" x14ac:dyDescent="0.3">
      <c r="B2657" s="178"/>
      <c r="C2657" s="179"/>
      <c r="D2657" s="180"/>
      <c r="E2657" s="181"/>
      <c r="F2657" s="182"/>
      <c r="G2657" s="1" t="str">
        <f>IFERROR(IF(ventas_b_mes11[[#This Row],[CUIT]]="","-",VLOOKUP(ventas_b_mes11[[#This Row],[CUIT]],Lista_CUIT[#All],2,0)),"CUIT NO CARGADO")</f>
        <v>-</v>
      </c>
      <c r="H2657" s="64">
        <f>ventas_b_mes11[[#This Row],[TOTAL]]/1.21</f>
        <v>0</v>
      </c>
      <c r="I2657" s="183">
        <f>ventas_b_mes11[[#This Row],[IMPORTE NETO]]*0.21</f>
        <v>0</v>
      </c>
      <c r="J2657" s="184"/>
      <c r="K2657" s="184"/>
      <c r="L2657" s="184"/>
      <c r="M2657" s="59"/>
    </row>
    <row r="2658" spans="2:13" x14ac:dyDescent="0.3">
      <c r="B2658" s="178"/>
      <c r="C2658" s="179"/>
      <c r="D2658" s="180"/>
      <c r="E2658" s="181"/>
      <c r="F2658" s="182"/>
      <c r="G2658" s="1" t="str">
        <f>IFERROR(IF(ventas_b_mes11[[#This Row],[CUIT]]="","-",VLOOKUP(ventas_b_mes11[[#This Row],[CUIT]],Lista_CUIT[#All],2,0)),"CUIT NO CARGADO")</f>
        <v>-</v>
      </c>
      <c r="H2658" s="64">
        <f>ventas_b_mes11[[#This Row],[TOTAL]]/1.21</f>
        <v>0</v>
      </c>
      <c r="I2658" s="183">
        <f>ventas_b_mes11[[#This Row],[IMPORTE NETO]]*0.21</f>
        <v>0</v>
      </c>
      <c r="J2658" s="184"/>
      <c r="K2658" s="184"/>
      <c r="L2658" s="184"/>
      <c r="M2658" s="59"/>
    </row>
    <row r="2659" spans="2:13" x14ac:dyDescent="0.3">
      <c r="B2659" s="178"/>
      <c r="C2659" s="179"/>
      <c r="D2659" s="180"/>
      <c r="E2659" s="181"/>
      <c r="F2659" s="182"/>
      <c r="G2659" s="1" t="str">
        <f>IFERROR(IF(ventas_b_mes11[[#This Row],[CUIT]]="","-",VLOOKUP(ventas_b_mes11[[#This Row],[CUIT]],Lista_CUIT[#All],2,0)),"CUIT NO CARGADO")</f>
        <v>-</v>
      </c>
      <c r="H2659" s="64">
        <f>ventas_b_mes11[[#This Row],[TOTAL]]/1.21</f>
        <v>0</v>
      </c>
      <c r="I2659" s="183">
        <f>ventas_b_mes11[[#This Row],[IMPORTE NETO]]*0.21</f>
        <v>0</v>
      </c>
      <c r="J2659" s="184"/>
      <c r="K2659" s="184"/>
      <c r="L2659" s="184"/>
      <c r="M2659" s="59"/>
    </row>
    <row r="2660" spans="2:13" x14ac:dyDescent="0.3">
      <c r="B2660" s="178"/>
      <c r="C2660" s="179"/>
      <c r="D2660" s="180"/>
      <c r="E2660" s="181"/>
      <c r="F2660" s="182"/>
      <c r="G2660" s="1" t="str">
        <f>IFERROR(IF(ventas_b_mes11[[#This Row],[CUIT]]="","-",VLOOKUP(ventas_b_mes11[[#This Row],[CUIT]],Lista_CUIT[#All],2,0)),"CUIT NO CARGADO")</f>
        <v>-</v>
      </c>
      <c r="H2660" s="64">
        <f>ventas_b_mes11[[#This Row],[TOTAL]]/1.21</f>
        <v>0</v>
      </c>
      <c r="I2660" s="183">
        <f>ventas_b_mes11[[#This Row],[IMPORTE NETO]]*0.21</f>
        <v>0</v>
      </c>
      <c r="J2660" s="184"/>
      <c r="K2660" s="184"/>
      <c r="L2660" s="184"/>
      <c r="M2660" s="59"/>
    </row>
    <row r="2661" spans="2:13" x14ac:dyDescent="0.3">
      <c r="B2661" s="178"/>
      <c r="C2661" s="179"/>
      <c r="D2661" s="180"/>
      <c r="E2661" s="181"/>
      <c r="F2661" s="182"/>
      <c r="G2661" s="1" t="str">
        <f>IFERROR(IF(ventas_b_mes11[[#This Row],[CUIT]]="","-",VLOOKUP(ventas_b_mes11[[#This Row],[CUIT]],Lista_CUIT[#All],2,0)),"CUIT NO CARGADO")</f>
        <v>-</v>
      </c>
      <c r="H2661" s="64">
        <f>ventas_b_mes11[[#This Row],[TOTAL]]/1.21</f>
        <v>0</v>
      </c>
      <c r="I2661" s="183">
        <f>ventas_b_mes11[[#This Row],[IMPORTE NETO]]*0.21</f>
        <v>0</v>
      </c>
      <c r="J2661" s="184"/>
      <c r="K2661" s="184"/>
      <c r="L2661" s="184"/>
      <c r="M2661" s="59"/>
    </row>
    <row r="2662" spans="2:13" x14ac:dyDescent="0.3">
      <c r="B2662" s="178"/>
      <c r="C2662" s="179"/>
      <c r="D2662" s="180"/>
      <c r="E2662" s="181"/>
      <c r="F2662" s="182"/>
      <c r="G2662" s="1" t="str">
        <f>IFERROR(IF(ventas_b_mes11[[#This Row],[CUIT]]="","-",VLOOKUP(ventas_b_mes11[[#This Row],[CUIT]],Lista_CUIT[#All],2,0)),"CUIT NO CARGADO")</f>
        <v>-</v>
      </c>
      <c r="H2662" s="64">
        <f>ventas_b_mes11[[#This Row],[TOTAL]]/1.21</f>
        <v>0</v>
      </c>
      <c r="I2662" s="183">
        <f>ventas_b_mes11[[#This Row],[IMPORTE NETO]]*0.21</f>
        <v>0</v>
      </c>
      <c r="J2662" s="184"/>
      <c r="K2662" s="184"/>
      <c r="L2662" s="184"/>
      <c r="M2662" s="59"/>
    </row>
    <row r="2663" spans="2:13" x14ac:dyDescent="0.3">
      <c r="B2663" s="178"/>
      <c r="C2663" s="179"/>
      <c r="D2663" s="180"/>
      <c r="E2663" s="181"/>
      <c r="F2663" s="182"/>
      <c r="G2663" s="1" t="str">
        <f>IFERROR(IF(ventas_b_mes11[[#This Row],[CUIT]]="","-",VLOOKUP(ventas_b_mes11[[#This Row],[CUIT]],Lista_CUIT[#All],2,0)),"CUIT NO CARGADO")</f>
        <v>-</v>
      </c>
      <c r="H2663" s="64">
        <f>ventas_b_mes11[[#This Row],[TOTAL]]/1.21</f>
        <v>0</v>
      </c>
      <c r="I2663" s="183">
        <f>ventas_b_mes11[[#This Row],[IMPORTE NETO]]*0.21</f>
        <v>0</v>
      </c>
      <c r="J2663" s="184"/>
      <c r="K2663" s="184"/>
      <c r="L2663" s="184"/>
      <c r="M2663" s="59"/>
    </row>
    <row r="2664" spans="2:13" x14ac:dyDescent="0.3">
      <c r="B2664" s="178"/>
      <c r="C2664" s="179"/>
      <c r="D2664" s="180"/>
      <c r="E2664" s="181"/>
      <c r="F2664" s="182"/>
      <c r="G2664" s="1" t="str">
        <f>IFERROR(IF(ventas_b_mes11[[#This Row],[CUIT]]="","-",VLOOKUP(ventas_b_mes11[[#This Row],[CUIT]],Lista_CUIT[#All],2,0)),"CUIT NO CARGADO")</f>
        <v>-</v>
      </c>
      <c r="H2664" s="64">
        <f>ventas_b_mes11[[#This Row],[TOTAL]]/1.21</f>
        <v>0</v>
      </c>
      <c r="I2664" s="183">
        <f>ventas_b_mes11[[#This Row],[IMPORTE NETO]]*0.21</f>
        <v>0</v>
      </c>
      <c r="J2664" s="184"/>
      <c r="K2664" s="184"/>
      <c r="L2664" s="184"/>
      <c r="M2664" s="59"/>
    </row>
    <row r="2665" spans="2:13" x14ac:dyDescent="0.3">
      <c r="B2665" s="178"/>
      <c r="C2665" s="179"/>
      <c r="D2665" s="180"/>
      <c r="E2665" s="181"/>
      <c r="F2665" s="182"/>
      <c r="G2665" s="1" t="str">
        <f>IFERROR(IF(ventas_b_mes11[[#This Row],[CUIT]]="","-",VLOOKUP(ventas_b_mes11[[#This Row],[CUIT]],Lista_CUIT[#All],2,0)),"CUIT NO CARGADO")</f>
        <v>-</v>
      </c>
      <c r="H2665" s="64">
        <f>ventas_b_mes11[[#This Row],[TOTAL]]/1.21</f>
        <v>0</v>
      </c>
      <c r="I2665" s="183">
        <f>ventas_b_mes11[[#This Row],[IMPORTE NETO]]*0.21</f>
        <v>0</v>
      </c>
      <c r="J2665" s="184"/>
      <c r="K2665" s="184"/>
      <c r="L2665" s="184"/>
      <c r="M2665" s="59"/>
    </row>
    <row r="2666" spans="2:13" x14ac:dyDescent="0.3">
      <c r="B2666" s="178"/>
      <c r="C2666" s="179"/>
      <c r="D2666" s="180"/>
      <c r="E2666" s="181"/>
      <c r="F2666" s="182"/>
      <c r="G2666" s="1" t="str">
        <f>IFERROR(IF(ventas_b_mes11[[#This Row],[CUIT]]="","-",VLOOKUP(ventas_b_mes11[[#This Row],[CUIT]],Lista_CUIT[#All],2,0)),"CUIT NO CARGADO")</f>
        <v>-</v>
      </c>
      <c r="H2666" s="64">
        <f>ventas_b_mes11[[#This Row],[TOTAL]]/1.21</f>
        <v>0</v>
      </c>
      <c r="I2666" s="183">
        <f>ventas_b_mes11[[#This Row],[IMPORTE NETO]]*0.21</f>
        <v>0</v>
      </c>
      <c r="J2666" s="184"/>
      <c r="K2666" s="184"/>
      <c r="L2666" s="184"/>
      <c r="M2666" s="59"/>
    </row>
    <row r="2667" spans="2:13" x14ac:dyDescent="0.3">
      <c r="B2667" s="178"/>
      <c r="C2667" s="179"/>
      <c r="D2667" s="180"/>
      <c r="E2667" s="181"/>
      <c r="F2667" s="182"/>
      <c r="G2667" s="1" t="str">
        <f>IFERROR(IF(ventas_b_mes11[[#This Row],[CUIT]]="","-",VLOOKUP(ventas_b_mes11[[#This Row],[CUIT]],Lista_CUIT[#All],2,0)),"CUIT NO CARGADO")</f>
        <v>-</v>
      </c>
      <c r="H2667" s="64">
        <f>ventas_b_mes11[[#This Row],[TOTAL]]/1.21</f>
        <v>0</v>
      </c>
      <c r="I2667" s="183">
        <f>ventas_b_mes11[[#This Row],[IMPORTE NETO]]*0.21</f>
        <v>0</v>
      </c>
      <c r="J2667" s="184"/>
      <c r="K2667" s="184"/>
      <c r="L2667" s="184"/>
      <c r="M2667" s="59"/>
    </row>
    <row r="2668" spans="2:13" x14ac:dyDescent="0.3">
      <c r="B2668" s="178"/>
      <c r="C2668" s="179"/>
      <c r="D2668" s="180"/>
      <c r="E2668" s="181"/>
      <c r="F2668" s="182"/>
      <c r="G2668" s="1" t="str">
        <f>IFERROR(IF(ventas_b_mes11[[#This Row],[CUIT]]="","-",VLOOKUP(ventas_b_mes11[[#This Row],[CUIT]],Lista_CUIT[#All],2,0)),"CUIT NO CARGADO")</f>
        <v>-</v>
      </c>
      <c r="H2668" s="64">
        <f>ventas_b_mes11[[#This Row],[TOTAL]]/1.21</f>
        <v>0</v>
      </c>
      <c r="I2668" s="183">
        <f>ventas_b_mes11[[#This Row],[IMPORTE NETO]]*0.21</f>
        <v>0</v>
      </c>
      <c r="J2668" s="184"/>
      <c r="K2668" s="184"/>
      <c r="L2668" s="184"/>
      <c r="M2668" s="59"/>
    </row>
    <row r="2669" spans="2:13" x14ac:dyDescent="0.3">
      <c r="B2669" s="178"/>
      <c r="C2669" s="179"/>
      <c r="D2669" s="180"/>
      <c r="E2669" s="181"/>
      <c r="F2669" s="182"/>
      <c r="G2669" s="1" t="str">
        <f>IFERROR(IF(ventas_b_mes11[[#This Row],[CUIT]]="","-",VLOOKUP(ventas_b_mes11[[#This Row],[CUIT]],Lista_CUIT[#All],2,0)),"CUIT NO CARGADO")</f>
        <v>-</v>
      </c>
      <c r="H2669" s="64">
        <f>ventas_b_mes11[[#This Row],[TOTAL]]/1.21</f>
        <v>0</v>
      </c>
      <c r="I2669" s="183">
        <f>ventas_b_mes11[[#This Row],[IMPORTE NETO]]*0.21</f>
        <v>0</v>
      </c>
      <c r="J2669" s="184"/>
      <c r="K2669" s="184"/>
      <c r="L2669" s="184"/>
      <c r="M2669" s="59"/>
    </row>
    <row r="2670" spans="2:13" x14ac:dyDescent="0.3">
      <c r="B2670" s="178"/>
      <c r="C2670" s="179"/>
      <c r="D2670" s="180"/>
      <c r="E2670" s="181"/>
      <c r="F2670" s="182"/>
      <c r="G2670" s="1" t="str">
        <f>IFERROR(IF(ventas_b_mes11[[#This Row],[CUIT]]="","-",VLOOKUP(ventas_b_mes11[[#This Row],[CUIT]],Lista_CUIT[#All],2,0)),"CUIT NO CARGADO")</f>
        <v>-</v>
      </c>
      <c r="H2670" s="64">
        <f>ventas_b_mes11[[#This Row],[TOTAL]]/1.21</f>
        <v>0</v>
      </c>
      <c r="I2670" s="183">
        <f>ventas_b_mes11[[#This Row],[IMPORTE NETO]]*0.21</f>
        <v>0</v>
      </c>
      <c r="J2670" s="184"/>
      <c r="K2670" s="184"/>
      <c r="L2670" s="184"/>
      <c r="M2670" s="59"/>
    </row>
    <row r="2671" spans="2:13" x14ac:dyDescent="0.3">
      <c r="B2671" s="178"/>
      <c r="C2671" s="179"/>
      <c r="D2671" s="180"/>
      <c r="E2671" s="181"/>
      <c r="F2671" s="182"/>
      <c r="G2671" s="1" t="str">
        <f>IFERROR(IF(ventas_b_mes11[[#This Row],[CUIT]]="","-",VLOOKUP(ventas_b_mes11[[#This Row],[CUIT]],Lista_CUIT[#All],2,0)),"CUIT NO CARGADO")</f>
        <v>-</v>
      </c>
      <c r="H2671" s="64">
        <f>ventas_b_mes11[[#This Row],[TOTAL]]/1.21</f>
        <v>0</v>
      </c>
      <c r="I2671" s="183">
        <f>ventas_b_mes11[[#This Row],[IMPORTE NETO]]*0.21</f>
        <v>0</v>
      </c>
      <c r="J2671" s="184"/>
      <c r="K2671" s="184"/>
      <c r="L2671" s="184"/>
      <c r="M2671" s="59"/>
    </row>
    <row r="2672" spans="2:13" x14ac:dyDescent="0.3">
      <c r="B2672" s="178"/>
      <c r="C2672" s="179"/>
      <c r="D2672" s="180"/>
      <c r="E2672" s="181"/>
      <c r="F2672" s="182"/>
      <c r="G2672" s="1" t="str">
        <f>IFERROR(IF(ventas_b_mes11[[#This Row],[CUIT]]="","-",VLOOKUP(ventas_b_mes11[[#This Row],[CUIT]],Lista_CUIT[#All],2,0)),"CUIT NO CARGADO")</f>
        <v>-</v>
      </c>
      <c r="H2672" s="64">
        <f>ventas_b_mes11[[#This Row],[TOTAL]]/1.21</f>
        <v>0</v>
      </c>
      <c r="I2672" s="183">
        <f>ventas_b_mes11[[#This Row],[IMPORTE NETO]]*0.21</f>
        <v>0</v>
      </c>
      <c r="J2672" s="184"/>
      <c r="K2672" s="184"/>
      <c r="L2672" s="184"/>
      <c r="M2672" s="59"/>
    </row>
    <row r="2673" spans="2:13" x14ac:dyDescent="0.3">
      <c r="B2673" s="178"/>
      <c r="C2673" s="179"/>
      <c r="D2673" s="180"/>
      <c r="E2673" s="181"/>
      <c r="F2673" s="182"/>
      <c r="G2673" s="1" t="str">
        <f>IFERROR(IF(ventas_b_mes11[[#This Row],[CUIT]]="","-",VLOOKUP(ventas_b_mes11[[#This Row],[CUIT]],Lista_CUIT[#All],2,0)),"CUIT NO CARGADO")</f>
        <v>-</v>
      </c>
      <c r="H2673" s="64">
        <f>ventas_b_mes11[[#This Row],[TOTAL]]/1.21</f>
        <v>0</v>
      </c>
      <c r="I2673" s="183">
        <f>ventas_b_mes11[[#This Row],[IMPORTE NETO]]*0.21</f>
        <v>0</v>
      </c>
      <c r="J2673" s="184"/>
      <c r="K2673" s="184"/>
      <c r="L2673" s="184"/>
      <c r="M2673" s="59"/>
    </row>
    <row r="2674" spans="2:13" x14ac:dyDescent="0.3">
      <c r="B2674" s="178"/>
      <c r="C2674" s="179"/>
      <c r="D2674" s="180"/>
      <c r="E2674" s="181"/>
      <c r="F2674" s="182"/>
      <c r="G2674" s="1" t="str">
        <f>IFERROR(IF(ventas_b_mes11[[#This Row],[CUIT]]="","-",VLOOKUP(ventas_b_mes11[[#This Row],[CUIT]],Lista_CUIT[#All],2,0)),"CUIT NO CARGADO")</f>
        <v>-</v>
      </c>
      <c r="H2674" s="64">
        <f>ventas_b_mes11[[#This Row],[TOTAL]]/1.21</f>
        <v>0</v>
      </c>
      <c r="I2674" s="183">
        <f>ventas_b_mes11[[#This Row],[IMPORTE NETO]]*0.21</f>
        <v>0</v>
      </c>
      <c r="J2674" s="184"/>
      <c r="K2674" s="184"/>
      <c r="L2674" s="184"/>
      <c r="M2674" s="59"/>
    </row>
    <row r="2675" spans="2:13" x14ac:dyDescent="0.3">
      <c r="B2675" s="178"/>
      <c r="C2675" s="179"/>
      <c r="D2675" s="180"/>
      <c r="E2675" s="181"/>
      <c r="F2675" s="182"/>
      <c r="G2675" s="1" t="str">
        <f>IFERROR(IF(ventas_b_mes11[[#This Row],[CUIT]]="","-",VLOOKUP(ventas_b_mes11[[#This Row],[CUIT]],Lista_CUIT[#All],2,0)),"CUIT NO CARGADO")</f>
        <v>-</v>
      </c>
      <c r="H2675" s="64">
        <f>ventas_b_mes11[[#This Row],[TOTAL]]/1.21</f>
        <v>0</v>
      </c>
      <c r="I2675" s="183">
        <f>ventas_b_mes11[[#This Row],[IMPORTE NETO]]*0.21</f>
        <v>0</v>
      </c>
      <c r="J2675" s="184"/>
      <c r="K2675" s="184"/>
      <c r="L2675" s="184"/>
      <c r="M2675" s="59"/>
    </row>
    <row r="2676" spans="2:13" x14ac:dyDescent="0.3">
      <c r="B2676" s="178"/>
      <c r="C2676" s="179"/>
      <c r="D2676" s="180"/>
      <c r="E2676" s="181"/>
      <c r="F2676" s="182"/>
      <c r="G2676" s="1" t="str">
        <f>IFERROR(IF(ventas_b_mes11[[#This Row],[CUIT]]="","-",VLOOKUP(ventas_b_mes11[[#This Row],[CUIT]],Lista_CUIT[#All],2,0)),"CUIT NO CARGADO")</f>
        <v>-</v>
      </c>
      <c r="H2676" s="64">
        <f>ventas_b_mes11[[#This Row],[TOTAL]]/1.21</f>
        <v>0</v>
      </c>
      <c r="I2676" s="183">
        <f>ventas_b_mes11[[#This Row],[IMPORTE NETO]]*0.21</f>
        <v>0</v>
      </c>
      <c r="J2676" s="184"/>
      <c r="K2676" s="184"/>
      <c r="L2676" s="184"/>
      <c r="M2676" s="59"/>
    </row>
    <row r="2677" spans="2:13" x14ac:dyDescent="0.3">
      <c r="B2677" s="178"/>
      <c r="C2677" s="179"/>
      <c r="D2677" s="180"/>
      <c r="E2677" s="181"/>
      <c r="F2677" s="182"/>
      <c r="G2677" s="1" t="str">
        <f>IFERROR(IF(ventas_b_mes11[[#This Row],[CUIT]]="","-",VLOOKUP(ventas_b_mes11[[#This Row],[CUIT]],Lista_CUIT[#All],2,0)),"CUIT NO CARGADO")</f>
        <v>-</v>
      </c>
      <c r="H2677" s="64">
        <f>ventas_b_mes11[[#This Row],[TOTAL]]/1.21</f>
        <v>0</v>
      </c>
      <c r="I2677" s="183">
        <f>ventas_b_mes11[[#This Row],[IMPORTE NETO]]*0.21</f>
        <v>0</v>
      </c>
      <c r="J2677" s="184"/>
      <c r="K2677" s="184"/>
      <c r="L2677" s="184"/>
      <c r="M2677" s="59"/>
    </row>
    <row r="2678" spans="2:13" x14ac:dyDescent="0.3">
      <c r="B2678" s="178"/>
      <c r="C2678" s="179"/>
      <c r="D2678" s="180"/>
      <c r="E2678" s="181"/>
      <c r="F2678" s="182"/>
      <c r="G2678" s="1" t="str">
        <f>IFERROR(IF(ventas_b_mes11[[#This Row],[CUIT]]="","-",VLOOKUP(ventas_b_mes11[[#This Row],[CUIT]],Lista_CUIT[#All],2,0)),"CUIT NO CARGADO")</f>
        <v>-</v>
      </c>
      <c r="H2678" s="64">
        <f>ventas_b_mes11[[#This Row],[TOTAL]]/1.21</f>
        <v>0</v>
      </c>
      <c r="I2678" s="183">
        <f>ventas_b_mes11[[#This Row],[IMPORTE NETO]]*0.21</f>
        <v>0</v>
      </c>
      <c r="J2678" s="184"/>
      <c r="K2678" s="184"/>
      <c r="L2678" s="184"/>
      <c r="M2678" s="59"/>
    </row>
    <row r="2679" spans="2:13" x14ac:dyDescent="0.3">
      <c r="B2679" s="178"/>
      <c r="C2679" s="179"/>
      <c r="D2679" s="180"/>
      <c r="E2679" s="181"/>
      <c r="F2679" s="182"/>
      <c r="G2679" s="1" t="str">
        <f>IFERROR(IF(ventas_b_mes11[[#This Row],[CUIT]]="","-",VLOOKUP(ventas_b_mes11[[#This Row],[CUIT]],Lista_CUIT[#All],2,0)),"CUIT NO CARGADO")</f>
        <v>-</v>
      </c>
      <c r="H2679" s="64">
        <f>ventas_b_mes11[[#This Row],[TOTAL]]/1.21</f>
        <v>0</v>
      </c>
      <c r="I2679" s="183">
        <f>ventas_b_mes11[[#This Row],[IMPORTE NETO]]*0.21</f>
        <v>0</v>
      </c>
      <c r="J2679" s="184"/>
      <c r="K2679" s="184"/>
      <c r="L2679" s="184"/>
      <c r="M2679" s="59"/>
    </row>
    <row r="2680" spans="2:13" x14ac:dyDescent="0.3">
      <c r="B2680" s="178"/>
      <c r="C2680" s="179"/>
      <c r="D2680" s="180"/>
      <c r="E2680" s="181"/>
      <c r="F2680" s="182"/>
      <c r="G2680" s="1" t="str">
        <f>IFERROR(IF(ventas_b_mes11[[#This Row],[CUIT]]="","-",VLOOKUP(ventas_b_mes11[[#This Row],[CUIT]],Lista_CUIT[#All],2,0)),"CUIT NO CARGADO")</f>
        <v>-</v>
      </c>
      <c r="H2680" s="64">
        <f>ventas_b_mes11[[#This Row],[TOTAL]]/1.21</f>
        <v>0</v>
      </c>
      <c r="I2680" s="183">
        <f>ventas_b_mes11[[#This Row],[IMPORTE NETO]]*0.21</f>
        <v>0</v>
      </c>
      <c r="J2680" s="184"/>
      <c r="K2680" s="184"/>
      <c r="L2680" s="184"/>
      <c r="M2680" s="59"/>
    </row>
    <row r="2681" spans="2:13" x14ac:dyDescent="0.3">
      <c r="B2681" s="178"/>
      <c r="C2681" s="179"/>
      <c r="D2681" s="180"/>
      <c r="E2681" s="181"/>
      <c r="F2681" s="182"/>
      <c r="G2681" s="1" t="str">
        <f>IFERROR(IF(ventas_b_mes11[[#This Row],[CUIT]]="","-",VLOOKUP(ventas_b_mes11[[#This Row],[CUIT]],Lista_CUIT[#All],2,0)),"CUIT NO CARGADO")</f>
        <v>-</v>
      </c>
      <c r="H2681" s="64">
        <f>ventas_b_mes11[[#This Row],[TOTAL]]/1.21</f>
        <v>0</v>
      </c>
      <c r="I2681" s="183">
        <f>ventas_b_mes11[[#This Row],[IMPORTE NETO]]*0.21</f>
        <v>0</v>
      </c>
      <c r="J2681" s="184"/>
      <c r="K2681" s="184"/>
      <c r="L2681" s="184"/>
      <c r="M2681" s="59"/>
    </row>
    <row r="2682" spans="2:13" x14ac:dyDescent="0.3">
      <c r="B2682" s="178"/>
      <c r="C2682" s="179"/>
      <c r="D2682" s="180"/>
      <c r="E2682" s="181"/>
      <c r="F2682" s="182"/>
      <c r="G2682" s="1" t="str">
        <f>IFERROR(IF(ventas_b_mes11[[#This Row],[CUIT]]="","-",VLOOKUP(ventas_b_mes11[[#This Row],[CUIT]],Lista_CUIT[#All],2,0)),"CUIT NO CARGADO")</f>
        <v>-</v>
      </c>
      <c r="H2682" s="64">
        <f>ventas_b_mes11[[#This Row],[TOTAL]]/1.21</f>
        <v>0</v>
      </c>
      <c r="I2682" s="183">
        <f>ventas_b_mes11[[#This Row],[IMPORTE NETO]]*0.21</f>
        <v>0</v>
      </c>
      <c r="J2682" s="184"/>
      <c r="K2682" s="184"/>
      <c r="L2682" s="184"/>
      <c r="M2682" s="59"/>
    </row>
    <row r="2683" spans="2:13" x14ac:dyDescent="0.3">
      <c r="B2683" s="178"/>
      <c r="C2683" s="179"/>
      <c r="D2683" s="180"/>
      <c r="E2683" s="181"/>
      <c r="F2683" s="182"/>
      <c r="G2683" s="1" t="str">
        <f>IFERROR(IF(ventas_b_mes11[[#This Row],[CUIT]]="","-",VLOOKUP(ventas_b_mes11[[#This Row],[CUIT]],Lista_CUIT[#All],2,0)),"CUIT NO CARGADO")</f>
        <v>-</v>
      </c>
      <c r="H2683" s="64">
        <f>ventas_b_mes11[[#This Row],[TOTAL]]/1.21</f>
        <v>0</v>
      </c>
      <c r="I2683" s="183">
        <f>ventas_b_mes11[[#This Row],[IMPORTE NETO]]*0.21</f>
        <v>0</v>
      </c>
      <c r="J2683" s="184"/>
      <c r="K2683" s="184"/>
      <c r="L2683" s="184"/>
      <c r="M2683" s="59"/>
    </row>
    <row r="2684" spans="2:13" x14ac:dyDescent="0.3">
      <c r="B2684" s="178"/>
      <c r="C2684" s="179"/>
      <c r="D2684" s="180"/>
      <c r="E2684" s="181"/>
      <c r="F2684" s="182"/>
      <c r="G2684" s="1" t="str">
        <f>IFERROR(IF(ventas_b_mes11[[#This Row],[CUIT]]="","-",VLOOKUP(ventas_b_mes11[[#This Row],[CUIT]],Lista_CUIT[#All],2,0)),"CUIT NO CARGADO")</f>
        <v>-</v>
      </c>
      <c r="H2684" s="64">
        <f>ventas_b_mes11[[#This Row],[TOTAL]]/1.21</f>
        <v>0</v>
      </c>
      <c r="I2684" s="183">
        <f>ventas_b_mes11[[#This Row],[IMPORTE NETO]]*0.21</f>
        <v>0</v>
      </c>
      <c r="J2684" s="184"/>
      <c r="K2684" s="184"/>
      <c r="L2684" s="184"/>
      <c r="M2684" s="59"/>
    </row>
    <row r="2685" spans="2:13" x14ac:dyDescent="0.3">
      <c r="B2685" s="178"/>
      <c r="C2685" s="179"/>
      <c r="D2685" s="180"/>
      <c r="E2685" s="181"/>
      <c r="F2685" s="182"/>
      <c r="G2685" s="1" t="str">
        <f>IFERROR(IF(ventas_b_mes11[[#This Row],[CUIT]]="","-",VLOOKUP(ventas_b_mes11[[#This Row],[CUIT]],Lista_CUIT[#All],2,0)),"CUIT NO CARGADO")</f>
        <v>-</v>
      </c>
      <c r="H2685" s="64">
        <f>ventas_b_mes11[[#This Row],[TOTAL]]/1.21</f>
        <v>0</v>
      </c>
      <c r="I2685" s="183">
        <f>ventas_b_mes11[[#This Row],[IMPORTE NETO]]*0.21</f>
        <v>0</v>
      </c>
      <c r="J2685" s="184"/>
      <c r="K2685" s="184"/>
      <c r="L2685" s="184"/>
      <c r="M2685" s="59"/>
    </row>
    <row r="2686" spans="2:13" x14ac:dyDescent="0.3">
      <c r="B2686" s="178"/>
      <c r="C2686" s="179"/>
      <c r="D2686" s="180"/>
      <c r="E2686" s="181"/>
      <c r="F2686" s="182"/>
      <c r="G2686" s="1" t="str">
        <f>IFERROR(IF(ventas_b_mes11[[#This Row],[CUIT]]="","-",VLOOKUP(ventas_b_mes11[[#This Row],[CUIT]],Lista_CUIT[#All],2,0)),"CUIT NO CARGADO")</f>
        <v>-</v>
      </c>
      <c r="H2686" s="64">
        <f>ventas_b_mes11[[#This Row],[TOTAL]]/1.21</f>
        <v>0</v>
      </c>
      <c r="I2686" s="183">
        <f>ventas_b_mes11[[#This Row],[IMPORTE NETO]]*0.21</f>
        <v>0</v>
      </c>
      <c r="J2686" s="184"/>
      <c r="K2686" s="184"/>
      <c r="L2686" s="184"/>
      <c r="M2686" s="59"/>
    </row>
    <row r="2687" spans="2:13" x14ac:dyDescent="0.3">
      <c r="B2687" s="178"/>
      <c r="C2687" s="179"/>
      <c r="D2687" s="180"/>
      <c r="E2687" s="181"/>
      <c r="F2687" s="182"/>
      <c r="G2687" s="1" t="str">
        <f>IFERROR(IF(ventas_b_mes11[[#This Row],[CUIT]]="","-",VLOOKUP(ventas_b_mes11[[#This Row],[CUIT]],Lista_CUIT[#All],2,0)),"CUIT NO CARGADO")</f>
        <v>-</v>
      </c>
      <c r="H2687" s="64">
        <f>ventas_b_mes11[[#This Row],[TOTAL]]/1.21</f>
        <v>0</v>
      </c>
      <c r="I2687" s="183">
        <f>ventas_b_mes11[[#This Row],[IMPORTE NETO]]*0.21</f>
        <v>0</v>
      </c>
      <c r="J2687" s="184"/>
      <c r="K2687" s="184"/>
      <c r="L2687" s="184"/>
      <c r="M2687" s="59"/>
    </row>
    <row r="2688" spans="2:13" x14ac:dyDescent="0.3">
      <c r="B2688" s="178"/>
      <c r="C2688" s="179"/>
      <c r="D2688" s="180"/>
      <c r="E2688" s="181"/>
      <c r="F2688" s="182"/>
      <c r="G2688" s="1" t="str">
        <f>IFERROR(IF(ventas_b_mes11[[#This Row],[CUIT]]="","-",VLOOKUP(ventas_b_mes11[[#This Row],[CUIT]],Lista_CUIT[#All],2,0)),"CUIT NO CARGADO")</f>
        <v>-</v>
      </c>
      <c r="H2688" s="64">
        <f>ventas_b_mes11[[#This Row],[TOTAL]]/1.21</f>
        <v>0</v>
      </c>
      <c r="I2688" s="183">
        <f>ventas_b_mes11[[#This Row],[IMPORTE NETO]]*0.21</f>
        <v>0</v>
      </c>
      <c r="J2688" s="184"/>
      <c r="K2688" s="184"/>
      <c r="L2688" s="184"/>
      <c r="M2688" s="59"/>
    </row>
    <row r="2689" spans="2:13" x14ac:dyDescent="0.3">
      <c r="B2689" s="178"/>
      <c r="C2689" s="179"/>
      <c r="D2689" s="180"/>
      <c r="E2689" s="181"/>
      <c r="F2689" s="182"/>
      <c r="G2689" s="1" t="str">
        <f>IFERROR(IF(ventas_b_mes11[[#This Row],[CUIT]]="","-",VLOOKUP(ventas_b_mes11[[#This Row],[CUIT]],Lista_CUIT[#All],2,0)),"CUIT NO CARGADO")</f>
        <v>-</v>
      </c>
      <c r="H2689" s="64">
        <f>ventas_b_mes11[[#This Row],[TOTAL]]/1.21</f>
        <v>0</v>
      </c>
      <c r="I2689" s="183">
        <f>ventas_b_mes11[[#This Row],[IMPORTE NETO]]*0.21</f>
        <v>0</v>
      </c>
      <c r="J2689" s="184"/>
      <c r="K2689" s="184"/>
      <c r="L2689" s="184"/>
      <c r="M2689" s="59"/>
    </row>
    <row r="2690" spans="2:13" x14ac:dyDescent="0.3">
      <c r="B2690" s="178"/>
      <c r="C2690" s="179"/>
      <c r="D2690" s="180"/>
      <c r="E2690" s="181"/>
      <c r="F2690" s="182"/>
      <c r="G2690" s="1" t="str">
        <f>IFERROR(IF(ventas_b_mes11[[#This Row],[CUIT]]="","-",VLOOKUP(ventas_b_mes11[[#This Row],[CUIT]],Lista_CUIT[#All],2,0)),"CUIT NO CARGADO")</f>
        <v>-</v>
      </c>
      <c r="H2690" s="64">
        <f>ventas_b_mes11[[#This Row],[TOTAL]]/1.21</f>
        <v>0</v>
      </c>
      <c r="I2690" s="183">
        <f>ventas_b_mes11[[#This Row],[IMPORTE NETO]]*0.21</f>
        <v>0</v>
      </c>
      <c r="J2690" s="184"/>
      <c r="K2690" s="184"/>
      <c r="L2690" s="184"/>
      <c r="M2690" s="59"/>
    </row>
    <row r="2691" spans="2:13" x14ac:dyDescent="0.3">
      <c r="B2691" s="178"/>
      <c r="C2691" s="179"/>
      <c r="D2691" s="180"/>
      <c r="E2691" s="181"/>
      <c r="F2691" s="182"/>
      <c r="G2691" s="1" t="str">
        <f>IFERROR(IF(ventas_b_mes11[[#This Row],[CUIT]]="","-",VLOOKUP(ventas_b_mes11[[#This Row],[CUIT]],Lista_CUIT[#All],2,0)),"CUIT NO CARGADO")</f>
        <v>-</v>
      </c>
      <c r="H2691" s="64">
        <f>ventas_b_mes11[[#This Row],[TOTAL]]/1.21</f>
        <v>0</v>
      </c>
      <c r="I2691" s="183">
        <f>ventas_b_mes11[[#This Row],[IMPORTE NETO]]*0.21</f>
        <v>0</v>
      </c>
      <c r="J2691" s="184"/>
      <c r="K2691" s="184"/>
      <c r="L2691" s="184"/>
      <c r="M2691" s="59"/>
    </row>
    <row r="2692" spans="2:13" x14ac:dyDescent="0.3">
      <c r="B2692" s="178"/>
      <c r="C2692" s="179"/>
      <c r="D2692" s="180"/>
      <c r="E2692" s="181"/>
      <c r="F2692" s="182"/>
      <c r="G2692" s="1" t="str">
        <f>IFERROR(IF(ventas_b_mes11[[#This Row],[CUIT]]="","-",VLOOKUP(ventas_b_mes11[[#This Row],[CUIT]],Lista_CUIT[#All],2,0)),"CUIT NO CARGADO")</f>
        <v>-</v>
      </c>
      <c r="H2692" s="64">
        <f>ventas_b_mes11[[#This Row],[TOTAL]]/1.21</f>
        <v>0</v>
      </c>
      <c r="I2692" s="183">
        <f>ventas_b_mes11[[#This Row],[IMPORTE NETO]]*0.21</f>
        <v>0</v>
      </c>
      <c r="J2692" s="184"/>
      <c r="K2692" s="184"/>
      <c r="L2692" s="184"/>
      <c r="M2692" s="59"/>
    </row>
    <row r="2693" spans="2:13" x14ac:dyDescent="0.3">
      <c r="B2693" s="178"/>
      <c r="C2693" s="179"/>
      <c r="D2693" s="180"/>
      <c r="E2693" s="181"/>
      <c r="F2693" s="182"/>
      <c r="G2693" s="1" t="str">
        <f>IFERROR(IF(ventas_b_mes11[[#This Row],[CUIT]]="","-",VLOOKUP(ventas_b_mes11[[#This Row],[CUIT]],Lista_CUIT[#All],2,0)),"CUIT NO CARGADO")</f>
        <v>-</v>
      </c>
      <c r="H2693" s="64">
        <f>ventas_b_mes11[[#This Row],[TOTAL]]/1.21</f>
        <v>0</v>
      </c>
      <c r="I2693" s="183">
        <f>ventas_b_mes11[[#This Row],[IMPORTE NETO]]*0.21</f>
        <v>0</v>
      </c>
      <c r="J2693" s="184"/>
      <c r="K2693" s="184"/>
      <c r="L2693" s="184"/>
      <c r="M2693" s="59"/>
    </row>
    <row r="2694" spans="2:13" x14ac:dyDescent="0.3">
      <c r="B2694" s="178"/>
      <c r="C2694" s="179"/>
      <c r="D2694" s="180"/>
      <c r="E2694" s="181"/>
      <c r="F2694" s="182"/>
      <c r="G2694" s="1" t="str">
        <f>IFERROR(IF(ventas_b_mes11[[#This Row],[CUIT]]="","-",VLOOKUP(ventas_b_mes11[[#This Row],[CUIT]],Lista_CUIT[#All],2,0)),"CUIT NO CARGADO")</f>
        <v>-</v>
      </c>
      <c r="H2694" s="64">
        <f>ventas_b_mes11[[#This Row],[TOTAL]]/1.21</f>
        <v>0</v>
      </c>
      <c r="I2694" s="183">
        <f>ventas_b_mes11[[#This Row],[IMPORTE NETO]]*0.21</f>
        <v>0</v>
      </c>
      <c r="J2694" s="184"/>
      <c r="K2694" s="184"/>
      <c r="L2694" s="184"/>
      <c r="M2694" s="59"/>
    </row>
    <row r="2695" spans="2:13" x14ac:dyDescent="0.3">
      <c r="B2695" s="178"/>
      <c r="C2695" s="179"/>
      <c r="D2695" s="180"/>
      <c r="E2695" s="181"/>
      <c r="F2695" s="182"/>
      <c r="G2695" s="1" t="str">
        <f>IFERROR(IF(ventas_b_mes11[[#This Row],[CUIT]]="","-",VLOOKUP(ventas_b_mes11[[#This Row],[CUIT]],Lista_CUIT[#All],2,0)),"CUIT NO CARGADO")</f>
        <v>-</v>
      </c>
      <c r="H2695" s="64">
        <f>ventas_b_mes11[[#This Row],[TOTAL]]/1.21</f>
        <v>0</v>
      </c>
      <c r="I2695" s="183">
        <f>ventas_b_mes11[[#This Row],[IMPORTE NETO]]*0.21</f>
        <v>0</v>
      </c>
      <c r="J2695" s="184"/>
      <c r="K2695" s="184"/>
      <c r="L2695" s="184"/>
      <c r="M2695" s="59"/>
    </row>
    <row r="2696" spans="2:13" x14ac:dyDescent="0.3">
      <c r="B2696" s="178"/>
      <c r="C2696" s="179"/>
      <c r="D2696" s="180"/>
      <c r="E2696" s="181"/>
      <c r="F2696" s="182"/>
      <c r="G2696" s="1" t="str">
        <f>IFERROR(IF(ventas_b_mes11[[#This Row],[CUIT]]="","-",VLOOKUP(ventas_b_mes11[[#This Row],[CUIT]],Lista_CUIT[#All],2,0)),"CUIT NO CARGADO")</f>
        <v>-</v>
      </c>
      <c r="H2696" s="64">
        <f>ventas_b_mes11[[#This Row],[TOTAL]]/1.21</f>
        <v>0</v>
      </c>
      <c r="I2696" s="183">
        <f>ventas_b_mes11[[#This Row],[IMPORTE NETO]]*0.21</f>
        <v>0</v>
      </c>
      <c r="J2696" s="184"/>
      <c r="K2696" s="184"/>
      <c r="L2696" s="184"/>
      <c r="M2696" s="59"/>
    </row>
    <row r="2697" spans="2:13" x14ac:dyDescent="0.3">
      <c r="B2697" s="178"/>
      <c r="C2697" s="179"/>
      <c r="D2697" s="180"/>
      <c r="E2697" s="181"/>
      <c r="F2697" s="182"/>
      <c r="G2697" s="1" t="str">
        <f>IFERROR(IF(ventas_b_mes11[[#This Row],[CUIT]]="","-",VLOOKUP(ventas_b_mes11[[#This Row],[CUIT]],Lista_CUIT[#All],2,0)),"CUIT NO CARGADO")</f>
        <v>-</v>
      </c>
      <c r="H2697" s="64">
        <f>ventas_b_mes11[[#This Row],[TOTAL]]/1.21</f>
        <v>0</v>
      </c>
      <c r="I2697" s="183">
        <f>ventas_b_mes11[[#This Row],[IMPORTE NETO]]*0.21</f>
        <v>0</v>
      </c>
      <c r="J2697" s="184"/>
      <c r="K2697" s="184"/>
      <c r="L2697" s="184"/>
      <c r="M2697" s="59"/>
    </row>
    <row r="2698" spans="2:13" x14ac:dyDescent="0.3">
      <c r="B2698" s="178"/>
      <c r="C2698" s="179"/>
      <c r="D2698" s="180"/>
      <c r="E2698" s="181"/>
      <c r="F2698" s="182"/>
      <c r="G2698" s="1" t="str">
        <f>IFERROR(IF(ventas_b_mes11[[#This Row],[CUIT]]="","-",VLOOKUP(ventas_b_mes11[[#This Row],[CUIT]],Lista_CUIT[#All],2,0)),"CUIT NO CARGADO")</f>
        <v>-</v>
      </c>
      <c r="H2698" s="64">
        <f>ventas_b_mes11[[#This Row],[TOTAL]]/1.21</f>
        <v>0</v>
      </c>
      <c r="I2698" s="183">
        <f>ventas_b_mes11[[#This Row],[IMPORTE NETO]]*0.21</f>
        <v>0</v>
      </c>
      <c r="J2698" s="184"/>
      <c r="K2698" s="184"/>
      <c r="L2698" s="184"/>
      <c r="M2698" s="59"/>
    </row>
    <row r="2699" spans="2:13" x14ac:dyDescent="0.3">
      <c r="B2699" s="178"/>
      <c r="C2699" s="179"/>
      <c r="D2699" s="180"/>
      <c r="E2699" s="181"/>
      <c r="F2699" s="182"/>
      <c r="G2699" s="1" t="str">
        <f>IFERROR(IF(ventas_b_mes11[[#This Row],[CUIT]]="","-",VLOOKUP(ventas_b_mes11[[#This Row],[CUIT]],Lista_CUIT[#All],2,0)),"CUIT NO CARGADO")</f>
        <v>-</v>
      </c>
      <c r="H2699" s="64">
        <f>ventas_b_mes11[[#This Row],[TOTAL]]/1.21</f>
        <v>0</v>
      </c>
      <c r="I2699" s="183">
        <f>ventas_b_mes11[[#This Row],[IMPORTE NETO]]*0.21</f>
        <v>0</v>
      </c>
      <c r="J2699" s="184"/>
      <c r="K2699" s="184"/>
      <c r="L2699" s="184"/>
      <c r="M2699" s="59"/>
    </row>
    <row r="2700" spans="2:13" x14ac:dyDescent="0.3">
      <c r="B2700" s="178"/>
      <c r="C2700" s="179"/>
      <c r="D2700" s="180"/>
      <c r="E2700" s="181"/>
      <c r="F2700" s="182"/>
      <c r="G2700" s="1" t="str">
        <f>IFERROR(IF(ventas_b_mes11[[#This Row],[CUIT]]="","-",VLOOKUP(ventas_b_mes11[[#This Row],[CUIT]],Lista_CUIT[#All],2,0)),"CUIT NO CARGADO")</f>
        <v>-</v>
      </c>
      <c r="H2700" s="64">
        <f>ventas_b_mes11[[#This Row],[TOTAL]]/1.21</f>
        <v>0</v>
      </c>
      <c r="I2700" s="183">
        <f>ventas_b_mes11[[#This Row],[IMPORTE NETO]]*0.21</f>
        <v>0</v>
      </c>
      <c r="J2700" s="184"/>
      <c r="K2700" s="184"/>
      <c r="L2700" s="184"/>
      <c r="M2700" s="59"/>
    </row>
    <row r="2701" spans="2:13" x14ac:dyDescent="0.3">
      <c r="B2701" s="178"/>
      <c r="C2701" s="179"/>
      <c r="D2701" s="180"/>
      <c r="E2701" s="181"/>
      <c r="F2701" s="182"/>
      <c r="G2701" s="1" t="str">
        <f>IFERROR(IF(ventas_b_mes11[[#This Row],[CUIT]]="","-",VLOOKUP(ventas_b_mes11[[#This Row],[CUIT]],Lista_CUIT[#All],2,0)),"CUIT NO CARGADO")</f>
        <v>-</v>
      </c>
      <c r="H2701" s="64">
        <f>ventas_b_mes11[[#This Row],[TOTAL]]/1.21</f>
        <v>0</v>
      </c>
      <c r="I2701" s="183">
        <f>ventas_b_mes11[[#This Row],[IMPORTE NETO]]*0.21</f>
        <v>0</v>
      </c>
      <c r="J2701" s="184"/>
      <c r="K2701" s="184"/>
      <c r="L2701" s="184"/>
      <c r="M2701" s="59"/>
    </row>
    <row r="2702" spans="2:13" x14ac:dyDescent="0.3">
      <c r="B2702" s="178"/>
      <c r="C2702" s="179"/>
      <c r="D2702" s="180"/>
      <c r="E2702" s="181"/>
      <c r="F2702" s="182"/>
      <c r="G2702" s="1" t="str">
        <f>IFERROR(IF(ventas_b_mes11[[#This Row],[CUIT]]="","-",VLOOKUP(ventas_b_mes11[[#This Row],[CUIT]],Lista_CUIT[#All],2,0)),"CUIT NO CARGADO")</f>
        <v>-</v>
      </c>
      <c r="H2702" s="64">
        <f>ventas_b_mes11[[#This Row],[TOTAL]]/1.21</f>
        <v>0</v>
      </c>
      <c r="I2702" s="183">
        <f>ventas_b_mes11[[#This Row],[IMPORTE NETO]]*0.21</f>
        <v>0</v>
      </c>
      <c r="J2702" s="184"/>
      <c r="K2702" s="184"/>
      <c r="L2702" s="184"/>
      <c r="M2702" s="59"/>
    </row>
    <row r="2703" spans="2:13" x14ac:dyDescent="0.3">
      <c r="B2703" s="178"/>
      <c r="C2703" s="179"/>
      <c r="D2703" s="180"/>
      <c r="E2703" s="181"/>
      <c r="F2703" s="182"/>
      <c r="G2703" s="1" t="str">
        <f>IFERROR(IF(ventas_b_mes11[[#This Row],[CUIT]]="","-",VLOOKUP(ventas_b_mes11[[#This Row],[CUIT]],Lista_CUIT[#All],2,0)),"CUIT NO CARGADO")</f>
        <v>-</v>
      </c>
      <c r="H2703" s="64">
        <f>ventas_b_mes11[[#This Row],[TOTAL]]/1.21</f>
        <v>0</v>
      </c>
      <c r="I2703" s="183">
        <f>ventas_b_mes11[[#This Row],[IMPORTE NETO]]*0.21</f>
        <v>0</v>
      </c>
      <c r="J2703" s="184"/>
      <c r="K2703" s="184"/>
      <c r="L2703" s="184"/>
      <c r="M2703" s="59"/>
    </row>
    <row r="2704" spans="2:13" x14ac:dyDescent="0.3">
      <c r="B2704" s="178"/>
      <c r="C2704" s="179"/>
      <c r="D2704" s="180"/>
      <c r="E2704" s="181"/>
      <c r="F2704" s="182"/>
      <c r="G2704" s="1" t="str">
        <f>IFERROR(IF(ventas_b_mes11[[#This Row],[CUIT]]="","-",VLOOKUP(ventas_b_mes11[[#This Row],[CUIT]],Lista_CUIT[#All],2,0)),"CUIT NO CARGADO")</f>
        <v>-</v>
      </c>
      <c r="H2704" s="64">
        <f>ventas_b_mes11[[#This Row],[TOTAL]]/1.21</f>
        <v>0</v>
      </c>
      <c r="I2704" s="183">
        <f>ventas_b_mes11[[#This Row],[IMPORTE NETO]]*0.21</f>
        <v>0</v>
      </c>
      <c r="J2704" s="184"/>
      <c r="K2704" s="184"/>
      <c r="L2704" s="184"/>
      <c r="M2704" s="59"/>
    </row>
    <row r="2705" spans="2:13" x14ac:dyDescent="0.3">
      <c r="B2705" s="178"/>
      <c r="C2705" s="179"/>
      <c r="D2705" s="180"/>
      <c r="E2705" s="181"/>
      <c r="F2705" s="182"/>
      <c r="G2705" s="1" t="str">
        <f>IFERROR(IF(ventas_b_mes11[[#This Row],[CUIT]]="","-",VLOOKUP(ventas_b_mes11[[#This Row],[CUIT]],Lista_CUIT[#All],2,0)),"CUIT NO CARGADO")</f>
        <v>-</v>
      </c>
      <c r="H2705" s="64">
        <f>ventas_b_mes11[[#This Row],[TOTAL]]/1.21</f>
        <v>0</v>
      </c>
      <c r="I2705" s="183">
        <f>ventas_b_mes11[[#This Row],[IMPORTE NETO]]*0.21</f>
        <v>0</v>
      </c>
      <c r="J2705" s="184"/>
      <c r="K2705" s="184"/>
      <c r="L2705" s="184"/>
      <c r="M2705" s="59"/>
    </row>
    <row r="2706" spans="2:13" x14ac:dyDescent="0.3">
      <c r="B2706" s="178"/>
      <c r="C2706" s="179"/>
      <c r="D2706" s="180"/>
      <c r="E2706" s="181"/>
      <c r="F2706" s="182"/>
      <c r="G2706" s="1" t="str">
        <f>IFERROR(IF(ventas_b_mes11[[#This Row],[CUIT]]="","-",VLOOKUP(ventas_b_mes11[[#This Row],[CUIT]],Lista_CUIT[#All],2,0)),"CUIT NO CARGADO")</f>
        <v>-</v>
      </c>
      <c r="H2706" s="64">
        <f>ventas_b_mes11[[#This Row],[TOTAL]]/1.21</f>
        <v>0</v>
      </c>
      <c r="I2706" s="183">
        <f>ventas_b_mes11[[#This Row],[IMPORTE NETO]]*0.21</f>
        <v>0</v>
      </c>
      <c r="J2706" s="184"/>
      <c r="K2706" s="184"/>
      <c r="L2706" s="184"/>
      <c r="M2706" s="59"/>
    </row>
    <row r="2707" spans="2:13" x14ac:dyDescent="0.3">
      <c r="B2707" s="178"/>
      <c r="C2707" s="179"/>
      <c r="D2707" s="180"/>
      <c r="E2707" s="181"/>
      <c r="F2707" s="182"/>
      <c r="G2707" s="1" t="str">
        <f>IFERROR(IF(ventas_b_mes11[[#This Row],[CUIT]]="","-",VLOOKUP(ventas_b_mes11[[#This Row],[CUIT]],Lista_CUIT[#All],2,0)),"CUIT NO CARGADO")</f>
        <v>-</v>
      </c>
      <c r="H2707" s="64">
        <f>ventas_b_mes11[[#This Row],[TOTAL]]/1.21</f>
        <v>0</v>
      </c>
      <c r="I2707" s="183">
        <f>ventas_b_mes11[[#This Row],[IMPORTE NETO]]*0.21</f>
        <v>0</v>
      </c>
      <c r="J2707" s="184"/>
      <c r="K2707" s="184"/>
      <c r="L2707" s="184"/>
      <c r="M2707" s="59"/>
    </row>
    <row r="2708" spans="2:13" x14ac:dyDescent="0.3">
      <c r="B2708" s="178"/>
      <c r="C2708" s="179"/>
      <c r="D2708" s="180"/>
      <c r="E2708" s="181"/>
      <c r="F2708" s="182"/>
      <c r="G2708" s="1" t="str">
        <f>IFERROR(IF(ventas_b_mes11[[#This Row],[CUIT]]="","-",VLOOKUP(ventas_b_mes11[[#This Row],[CUIT]],Lista_CUIT[#All],2,0)),"CUIT NO CARGADO")</f>
        <v>-</v>
      </c>
      <c r="H2708" s="64">
        <f>ventas_b_mes11[[#This Row],[TOTAL]]/1.21</f>
        <v>0</v>
      </c>
      <c r="I2708" s="183">
        <f>ventas_b_mes11[[#This Row],[IMPORTE NETO]]*0.21</f>
        <v>0</v>
      </c>
      <c r="J2708" s="184"/>
      <c r="K2708" s="184"/>
      <c r="L2708" s="184"/>
      <c r="M2708" s="59"/>
    </row>
    <row r="2709" spans="2:13" x14ac:dyDescent="0.3">
      <c r="B2709" s="178"/>
      <c r="C2709" s="179"/>
      <c r="D2709" s="180"/>
      <c r="E2709" s="181"/>
      <c r="F2709" s="182"/>
      <c r="G2709" s="1" t="str">
        <f>IFERROR(IF(ventas_b_mes11[[#This Row],[CUIT]]="","-",VLOOKUP(ventas_b_mes11[[#This Row],[CUIT]],Lista_CUIT[#All],2,0)),"CUIT NO CARGADO")</f>
        <v>-</v>
      </c>
      <c r="H2709" s="64">
        <f>ventas_b_mes11[[#This Row],[TOTAL]]/1.21</f>
        <v>0</v>
      </c>
      <c r="I2709" s="183">
        <f>ventas_b_mes11[[#This Row],[IMPORTE NETO]]*0.21</f>
        <v>0</v>
      </c>
      <c r="J2709" s="184"/>
      <c r="K2709" s="184"/>
      <c r="L2709" s="184"/>
      <c r="M2709" s="59"/>
    </row>
    <row r="2710" spans="2:13" x14ac:dyDescent="0.3">
      <c r="B2710" s="178"/>
      <c r="C2710" s="179"/>
      <c r="D2710" s="180"/>
      <c r="E2710" s="181"/>
      <c r="F2710" s="182"/>
      <c r="G2710" s="1" t="str">
        <f>IFERROR(IF(ventas_b_mes11[[#This Row],[CUIT]]="","-",VLOOKUP(ventas_b_mes11[[#This Row],[CUIT]],Lista_CUIT[#All],2,0)),"CUIT NO CARGADO")</f>
        <v>-</v>
      </c>
      <c r="H2710" s="64">
        <f>ventas_b_mes11[[#This Row],[TOTAL]]/1.21</f>
        <v>0</v>
      </c>
      <c r="I2710" s="183">
        <f>ventas_b_mes11[[#This Row],[IMPORTE NETO]]*0.21</f>
        <v>0</v>
      </c>
      <c r="J2710" s="184"/>
      <c r="K2710" s="184"/>
      <c r="L2710" s="184"/>
      <c r="M2710" s="59"/>
    </row>
    <row r="2711" spans="2:13" x14ac:dyDescent="0.3">
      <c r="B2711" s="178"/>
      <c r="C2711" s="179"/>
      <c r="D2711" s="180"/>
      <c r="E2711" s="181"/>
      <c r="F2711" s="182"/>
      <c r="G2711" s="1" t="str">
        <f>IFERROR(IF(ventas_b_mes11[[#This Row],[CUIT]]="","-",VLOOKUP(ventas_b_mes11[[#This Row],[CUIT]],Lista_CUIT[#All],2,0)),"CUIT NO CARGADO")</f>
        <v>-</v>
      </c>
      <c r="H2711" s="64">
        <f>ventas_b_mes11[[#This Row],[TOTAL]]/1.21</f>
        <v>0</v>
      </c>
      <c r="I2711" s="183">
        <f>ventas_b_mes11[[#This Row],[IMPORTE NETO]]*0.21</f>
        <v>0</v>
      </c>
      <c r="J2711" s="184"/>
      <c r="K2711" s="184"/>
      <c r="L2711" s="184"/>
      <c r="M2711" s="59"/>
    </row>
    <row r="2712" spans="2:13" x14ac:dyDescent="0.3">
      <c r="B2712" s="178"/>
      <c r="C2712" s="179"/>
      <c r="D2712" s="180"/>
      <c r="E2712" s="181"/>
      <c r="F2712" s="182"/>
      <c r="G2712" s="1" t="str">
        <f>IFERROR(IF(ventas_b_mes11[[#This Row],[CUIT]]="","-",VLOOKUP(ventas_b_mes11[[#This Row],[CUIT]],Lista_CUIT[#All],2,0)),"CUIT NO CARGADO")</f>
        <v>-</v>
      </c>
      <c r="H2712" s="64">
        <f>ventas_b_mes11[[#This Row],[TOTAL]]/1.21</f>
        <v>0</v>
      </c>
      <c r="I2712" s="183">
        <f>ventas_b_mes11[[#This Row],[IMPORTE NETO]]*0.21</f>
        <v>0</v>
      </c>
      <c r="J2712" s="184"/>
      <c r="K2712" s="184"/>
      <c r="L2712" s="184"/>
      <c r="M2712" s="59"/>
    </row>
    <row r="2713" spans="2:13" x14ac:dyDescent="0.3">
      <c r="B2713" s="178"/>
      <c r="C2713" s="179"/>
      <c r="D2713" s="180"/>
      <c r="E2713" s="181"/>
      <c r="F2713" s="182"/>
      <c r="G2713" s="1" t="str">
        <f>IFERROR(IF(ventas_b_mes11[[#This Row],[CUIT]]="","-",VLOOKUP(ventas_b_mes11[[#This Row],[CUIT]],Lista_CUIT[#All],2,0)),"CUIT NO CARGADO")</f>
        <v>-</v>
      </c>
      <c r="H2713" s="64">
        <f>ventas_b_mes11[[#This Row],[TOTAL]]/1.21</f>
        <v>0</v>
      </c>
      <c r="I2713" s="183">
        <f>ventas_b_mes11[[#This Row],[IMPORTE NETO]]*0.21</f>
        <v>0</v>
      </c>
      <c r="J2713" s="184"/>
      <c r="K2713" s="184"/>
      <c r="L2713" s="184"/>
      <c r="M2713" s="59"/>
    </row>
    <row r="2714" spans="2:13" x14ac:dyDescent="0.3">
      <c r="B2714" s="178"/>
      <c r="C2714" s="179"/>
      <c r="D2714" s="180"/>
      <c r="E2714" s="181"/>
      <c r="F2714" s="182"/>
      <c r="G2714" s="1" t="str">
        <f>IFERROR(IF(ventas_b_mes11[[#This Row],[CUIT]]="","-",VLOOKUP(ventas_b_mes11[[#This Row],[CUIT]],Lista_CUIT[#All],2,0)),"CUIT NO CARGADO")</f>
        <v>-</v>
      </c>
      <c r="H2714" s="64">
        <f>ventas_b_mes11[[#This Row],[TOTAL]]/1.21</f>
        <v>0</v>
      </c>
      <c r="I2714" s="183">
        <f>ventas_b_mes11[[#This Row],[IMPORTE NETO]]*0.21</f>
        <v>0</v>
      </c>
      <c r="J2714" s="184"/>
      <c r="K2714" s="184"/>
      <c r="L2714" s="184"/>
      <c r="M2714" s="59"/>
    </row>
    <row r="2715" spans="2:13" x14ac:dyDescent="0.3">
      <c r="B2715" s="178"/>
      <c r="C2715" s="179"/>
      <c r="D2715" s="180"/>
      <c r="E2715" s="181"/>
      <c r="F2715" s="182"/>
      <c r="G2715" s="1" t="str">
        <f>IFERROR(IF(ventas_b_mes11[[#This Row],[CUIT]]="","-",VLOOKUP(ventas_b_mes11[[#This Row],[CUIT]],Lista_CUIT[#All],2,0)),"CUIT NO CARGADO")</f>
        <v>-</v>
      </c>
      <c r="H2715" s="64">
        <f>ventas_b_mes11[[#This Row],[TOTAL]]/1.21</f>
        <v>0</v>
      </c>
      <c r="I2715" s="183">
        <f>ventas_b_mes11[[#This Row],[IMPORTE NETO]]*0.21</f>
        <v>0</v>
      </c>
      <c r="J2715" s="184"/>
      <c r="K2715" s="184"/>
      <c r="L2715" s="184"/>
      <c r="M2715" s="59"/>
    </row>
    <row r="2716" spans="2:13" x14ac:dyDescent="0.3">
      <c r="B2716" s="178"/>
      <c r="C2716" s="179"/>
      <c r="D2716" s="180"/>
      <c r="E2716" s="181"/>
      <c r="F2716" s="182"/>
      <c r="G2716" s="1" t="str">
        <f>IFERROR(IF(ventas_b_mes11[[#This Row],[CUIT]]="","-",VLOOKUP(ventas_b_mes11[[#This Row],[CUIT]],Lista_CUIT[#All],2,0)),"CUIT NO CARGADO")</f>
        <v>-</v>
      </c>
      <c r="H2716" s="64">
        <f>ventas_b_mes11[[#This Row],[TOTAL]]/1.21</f>
        <v>0</v>
      </c>
      <c r="I2716" s="183">
        <f>ventas_b_mes11[[#This Row],[IMPORTE NETO]]*0.21</f>
        <v>0</v>
      </c>
      <c r="J2716" s="184"/>
      <c r="K2716" s="184"/>
      <c r="L2716" s="184"/>
      <c r="M2716" s="59"/>
    </row>
    <row r="2717" spans="2:13" x14ac:dyDescent="0.3">
      <c r="B2717" s="178"/>
      <c r="C2717" s="179"/>
      <c r="D2717" s="180"/>
      <c r="E2717" s="181"/>
      <c r="F2717" s="182"/>
      <c r="G2717" s="1" t="str">
        <f>IFERROR(IF(ventas_b_mes11[[#This Row],[CUIT]]="","-",VLOOKUP(ventas_b_mes11[[#This Row],[CUIT]],Lista_CUIT[#All],2,0)),"CUIT NO CARGADO")</f>
        <v>-</v>
      </c>
      <c r="H2717" s="64">
        <f>ventas_b_mes11[[#This Row],[TOTAL]]/1.21</f>
        <v>0</v>
      </c>
      <c r="I2717" s="183">
        <f>ventas_b_mes11[[#This Row],[IMPORTE NETO]]*0.21</f>
        <v>0</v>
      </c>
      <c r="J2717" s="184"/>
      <c r="K2717" s="184"/>
      <c r="L2717" s="184"/>
      <c r="M2717" s="59"/>
    </row>
    <row r="2718" spans="2:13" x14ac:dyDescent="0.3">
      <c r="B2718" s="178"/>
      <c r="C2718" s="179"/>
      <c r="D2718" s="180"/>
      <c r="E2718" s="181"/>
      <c r="F2718" s="182"/>
      <c r="G2718" s="1" t="str">
        <f>IFERROR(IF(ventas_b_mes11[[#This Row],[CUIT]]="","-",VLOOKUP(ventas_b_mes11[[#This Row],[CUIT]],Lista_CUIT[#All],2,0)),"CUIT NO CARGADO")</f>
        <v>-</v>
      </c>
      <c r="H2718" s="64">
        <f>ventas_b_mes11[[#This Row],[TOTAL]]/1.21</f>
        <v>0</v>
      </c>
      <c r="I2718" s="183">
        <f>ventas_b_mes11[[#This Row],[IMPORTE NETO]]*0.21</f>
        <v>0</v>
      </c>
      <c r="J2718" s="184"/>
      <c r="K2718" s="184"/>
      <c r="L2718" s="184"/>
      <c r="M2718" s="59"/>
    </row>
    <row r="2719" spans="2:13" x14ac:dyDescent="0.3">
      <c r="B2719" s="178"/>
      <c r="C2719" s="179"/>
      <c r="D2719" s="180"/>
      <c r="E2719" s="181"/>
      <c r="F2719" s="182"/>
      <c r="G2719" s="1" t="str">
        <f>IFERROR(IF(ventas_b_mes11[[#This Row],[CUIT]]="","-",VLOOKUP(ventas_b_mes11[[#This Row],[CUIT]],Lista_CUIT[#All],2,0)),"CUIT NO CARGADO")</f>
        <v>-</v>
      </c>
      <c r="H2719" s="64">
        <f>ventas_b_mes11[[#This Row],[TOTAL]]/1.21</f>
        <v>0</v>
      </c>
      <c r="I2719" s="183">
        <f>ventas_b_mes11[[#This Row],[IMPORTE NETO]]*0.21</f>
        <v>0</v>
      </c>
      <c r="J2719" s="184"/>
      <c r="K2719" s="184"/>
      <c r="L2719" s="184"/>
      <c r="M2719" s="59"/>
    </row>
    <row r="2720" spans="2:13" x14ac:dyDescent="0.3">
      <c r="B2720" s="178"/>
      <c r="C2720" s="179"/>
      <c r="D2720" s="180"/>
      <c r="E2720" s="181"/>
      <c r="F2720" s="182"/>
      <c r="G2720" s="1" t="str">
        <f>IFERROR(IF(ventas_b_mes11[[#This Row],[CUIT]]="","-",VLOOKUP(ventas_b_mes11[[#This Row],[CUIT]],Lista_CUIT[#All],2,0)),"CUIT NO CARGADO")</f>
        <v>-</v>
      </c>
      <c r="H2720" s="64">
        <f>ventas_b_mes11[[#This Row],[TOTAL]]/1.21</f>
        <v>0</v>
      </c>
      <c r="I2720" s="183">
        <f>ventas_b_mes11[[#This Row],[IMPORTE NETO]]*0.21</f>
        <v>0</v>
      </c>
      <c r="J2720" s="184"/>
      <c r="K2720" s="184"/>
      <c r="L2720" s="184"/>
      <c r="M2720" s="59"/>
    </row>
    <row r="2721" spans="2:13" x14ac:dyDescent="0.3">
      <c r="B2721" s="178"/>
      <c r="C2721" s="179"/>
      <c r="D2721" s="180"/>
      <c r="E2721" s="181"/>
      <c r="F2721" s="182"/>
      <c r="G2721" s="1" t="str">
        <f>IFERROR(IF(ventas_b_mes11[[#This Row],[CUIT]]="","-",VLOOKUP(ventas_b_mes11[[#This Row],[CUIT]],Lista_CUIT[#All],2,0)),"CUIT NO CARGADO")</f>
        <v>-</v>
      </c>
      <c r="H2721" s="64">
        <f>ventas_b_mes11[[#This Row],[TOTAL]]/1.21</f>
        <v>0</v>
      </c>
      <c r="I2721" s="183">
        <f>ventas_b_mes11[[#This Row],[IMPORTE NETO]]*0.21</f>
        <v>0</v>
      </c>
      <c r="J2721" s="184"/>
      <c r="K2721" s="184"/>
      <c r="L2721" s="184"/>
      <c r="M2721" s="59"/>
    </row>
    <row r="2722" spans="2:13" x14ac:dyDescent="0.3">
      <c r="B2722" s="178"/>
      <c r="C2722" s="179"/>
      <c r="D2722" s="180"/>
      <c r="E2722" s="181"/>
      <c r="F2722" s="182"/>
      <c r="G2722" s="1" t="str">
        <f>IFERROR(IF(ventas_b_mes11[[#This Row],[CUIT]]="","-",VLOOKUP(ventas_b_mes11[[#This Row],[CUIT]],Lista_CUIT[#All],2,0)),"CUIT NO CARGADO")</f>
        <v>-</v>
      </c>
      <c r="H2722" s="64">
        <f>ventas_b_mes11[[#This Row],[TOTAL]]/1.21</f>
        <v>0</v>
      </c>
      <c r="I2722" s="183">
        <f>ventas_b_mes11[[#This Row],[IMPORTE NETO]]*0.21</f>
        <v>0</v>
      </c>
      <c r="J2722" s="184"/>
      <c r="K2722" s="184"/>
      <c r="L2722" s="184"/>
      <c r="M2722" s="59"/>
    </row>
    <row r="2723" spans="2:13" x14ac:dyDescent="0.3">
      <c r="B2723" s="178"/>
      <c r="C2723" s="179"/>
      <c r="D2723" s="180"/>
      <c r="E2723" s="181"/>
      <c r="F2723" s="182"/>
      <c r="G2723" s="1" t="str">
        <f>IFERROR(IF(ventas_b_mes11[[#This Row],[CUIT]]="","-",VLOOKUP(ventas_b_mes11[[#This Row],[CUIT]],Lista_CUIT[#All],2,0)),"CUIT NO CARGADO")</f>
        <v>-</v>
      </c>
      <c r="H2723" s="64">
        <f>ventas_b_mes11[[#This Row],[TOTAL]]/1.21</f>
        <v>0</v>
      </c>
      <c r="I2723" s="183">
        <f>ventas_b_mes11[[#This Row],[IMPORTE NETO]]*0.21</f>
        <v>0</v>
      </c>
      <c r="J2723" s="184"/>
      <c r="K2723" s="184"/>
      <c r="L2723" s="184"/>
      <c r="M2723" s="59"/>
    </row>
    <row r="2724" spans="2:13" x14ac:dyDescent="0.3">
      <c r="B2724" s="178"/>
      <c r="C2724" s="179"/>
      <c r="D2724" s="180"/>
      <c r="E2724" s="181"/>
      <c r="F2724" s="182"/>
      <c r="G2724" s="1" t="str">
        <f>IFERROR(IF(ventas_b_mes11[[#This Row],[CUIT]]="","-",VLOOKUP(ventas_b_mes11[[#This Row],[CUIT]],Lista_CUIT[#All],2,0)),"CUIT NO CARGADO")</f>
        <v>-</v>
      </c>
      <c r="H2724" s="64">
        <f>ventas_b_mes11[[#This Row],[TOTAL]]/1.21</f>
        <v>0</v>
      </c>
      <c r="I2724" s="183">
        <f>ventas_b_mes11[[#This Row],[IMPORTE NETO]]*0.21</f>
        <v>0</v>
      </c>
      <c r="J2724" s="184"/>
      <c r="K2724" s="184"/>
      <c r="L2724" s="184"/>
      <c r="M2724" s="59"/>
    </row>
    <row r="2725" spans="2:13" x14ac:dyDescent="0.3">
      <c r="B2725" s="178"/>
      <c r="C2725" s="179"/>
      <c r="D2725" s="180"/>
      <c r="E2725" s="181"/>
      <c r="F2725" s="182"/>
      <c r="G2725" s="1" t="str">
        <f>IFERROR(IF(ventas_b_mes11[[#This Row],[CUIT]]="","-",VLOOKUP(ventas_b_mes11[[#This Row],[CUIT]],Lista_CUIT[#All],2,0)),"CUIT NO CARGADO")</f>
        <v>-</v>
      </c>
      <c r="H2725" s="64">
        <f>ventas_b_mes11[[#This Row],[TOTAL]]/1.21</f>
        <v>0</v>
      </c>
      <c r="I2725" s="183">
        <f>ventas_b_mes11[[#This Row],[IMPORTE NETO]]*0.21</f>
        <v>0</v>
      </c>
      <c r="J2725" s="184"/>
      <c r="K2725" s="184"/>
      <c r="L2725" s="184"/>
      <c r="M2725" s="59"/>
    </row>
    <row r="2726" spans="2:13" x14ac:dyDescent="0.3">
      <c r="B2726" s="178"/>
      <c r="C2726" s="179"/>
      <c r="D2726" s="180"/>
      <c r="E2726" s="181"/>
      <c r="F2726" s="182"/>
      <c r="G2726" s="1" t="str">
        <f>IFERROR(IF(ventas_b_mes11[[#This Row],[CUIT]]="","-",VLOOKUP(ventas_b_mes11[[#This Row],[CUIT]],Lista_CUIT[#All],2,0)),"CUIT NO CARGADO")</f>
        <v>-</v>
      </c>
      <c r="H2726" s="64">
        <f>ventas_b_mes11[[#This Row],[TOTAL]]/1.21</f>
        <v>0</v>
      </c>
      <c r="I2726" s="183">
        <f>ventas_b_mes11[[#This Row],[IMPORTE NETO]]*0.21</f>
        <v>0</v>
      </c>
      <c r="J2726" s="184"/>
      <c r="K2726" s="184"/>
      <c r="L2726" s="184"/>
      <c r="M2726" s="59"/>
    </row>
    <row r="2727" spans="2:13" x14ac:dyDescent="0.3">
      <c r="B2727" s="178"/>
      <c r="C2727" s="179"/>
      <c r="D2727" s="180"/>
      <c r="E2727" s="181"/>
      <c r="F2727" s="182"/>
      <c r="G2727" s="1" t="str">
        <f>IFERROR(IF(ventas_b_mes11[[#This Row],[CUIT]]="","-",VLOOKUP(ventas_b_mes11[[#This Row],[CUIT]],Lista_CUIT[#All],2,0)),"CUIT NO CARGADO")</f>
        <v>-</v>
      </c>
      <c r="H2727" s="64">
        <f>ventas_b_mes11[[#This Row],[TOTAL]]/1.21</f>
        <v>0</v>
      </c>
      <c r="I2727" s="183">
        <f>ventas_b_mes11[[#This Row],[IMPORTE NETO]]*0.21</f>
        <v>0</v>
      </c>
      <c r="J2727" s="184"/>
      <c r="K2727" s="184"/>
      <c r="L2727" s="184"/>
      <c r="M2727" s="59"/>
    </row>
    <row r="2728" spans="2:13" x14ac:dyDescent="0.3">
      <c r="B2728" s="178"/>
      <c r="C2728" s="179"/>
      <c r="D2728" s="180"/>
      <c r="E2728" s="181"/>
      <c r="F2728" s="182"/>
      <c r="G2728" s="1" t="str">
        <f>IFERROR(IF(ventas_b_mes11[[#This Row],[CUIT]]="","-",VLOOKUP(ventas_b_mes11[[#This Row],[CUIT]],Lista_CUIT[#All],2,0)),"CUIT NO CARGADO")</f>
        <v>-</v>
      </c>
      <c r="H2728" s="64">
        <f>ventas_b_mes11[[#This Row],[TOTAL]]/1.21</f>
        <v>0</v>
      </c>
      <c r="I2728" s="183">
        <f>ventas_b_mes11[[#This Row],[IMPORTE NETO]]*0.21</f>
        <v>0</v>
      </c>
      <c r="J2728" s="184"/>
      <c r="K2728" s="184"/>
      <c r="L2728" s="184"/>
      <c r="M2728" s="59"/>
    </row>
    <row r="2729" spans="2:13" x14ac:dyDescent="0.3">
      <c r="B2729" s="178"/>
      <c r="C2729" s="179"/>
      <c r="D2729" s="180"/>
      <c r="E2729" s="181"/>
      <c r="F2729" s="182"/>
      <c r="G2729" s="1" t="str">
        <f>IFERROR(IF(ventas_b_mes11[[#This Row],[CUIT]]="","-",VLOOKUP(ventas_b_mes11[[#This Row],[CUIT]],Lista_CUIT[#All],2,0)),"CUIT NO CARGADO")</f>
        <v>-</v>
      </c>
      <c r="H2729" s="64">
        <f>ventas_b_mes11[[#This Row],[TOTAL]]/1.21</f>
        <v>0</v>
      </c>
      <c r="I2729" s="183">
        <f>ventas_b_mes11[[#This Row],[IMPORTE NETO]]*0.21</f>
        <v>0</v>
      </c>
      <c r="J2729" s="184"/>
      <c r="K2729" s="184"/>
      <c r="L2729" s="184"/>
      <c r="M2729" s="59"/>
    </row>
    <row r="2730" spans="2:13" x14ac:dyDescent="0.3">
      <c r="B2730" s="178"/>
      <c r="C2730" s="179"/>
      <c r="D2730" s="180"/>
      <c r="E2730" s="181"/>
      <c r="F2730" s="182"/>
      <c r="G2730" s="1" t="str">
        <f>IFERROR(IF(ventas_b_mes11[[#This Row],[CUIT]]="","-",VLOOKUP(ventas_b_mes11[[#This Row],[CUIT]],Lista_CUIT[#All],2,0)),"CUIT NO CARGADO")</f>
        <v>-</v>
      </c>
      <c r="H2730" s="64">
        <f>ventas_b_mes11[[#This Row],[TOTAL]]/1.21</f>
        <v>0</v>
      </c>
      <c r="I2730" s="183">
        <f>ventas_b_mes11[[#This Row],[IMPORTE NETO]]*0.21</f>
        <v>0</v>
      </c>
      <c r="J2730" s="184"/>
      <c r="K2730" s="184"/>
      <c r="L2730" s="184"/>
      <c r="M2730" s="59"/>
    </row>
    <row r="2731" spans="2:13" x14ac:dyDescent="0.3">
      <c r="B2731" s="178"/>
      <c r="C2731" s="179"/>
      <c r="D2731" s="180"/>
      <c r="E2731" s="181"/>
      <c r="F2731" s="182"/>
      <c r="G2731" s="1" t="str">
        <f>IFERROR(IF(ventas_b_mes11[[#This Row],[CUIT]]="","-",VLOOKUP(ventas_b_mes11[[#This Row],[CUIT]],Lista_CUIT[#All],2,0)),"CUIT NO CARGADO")</f>
        <v>-</v>
      </c>
      <c r="H2731" s="64">
        <f>ventas_b_mes11[[#This Row],[TOTAL]]/1.21</f>
        <v>0</v>
      </c>
      <c r="I2731" s="183">
        <f>ventas_b_mes11[[#This Row],[IMPORTE NETO]]*0.21</f>
        <v>0</v>
      </c>
      <c r="J2731" s="184"/>
      <c r="K2731" s="184"/>
      <c r="L2731" s="184"/>
      <c r="M2731" s="59"/>
    </row>
    <row r="2732" spans="2:13" x14ac:dyDescent="0.3">
      <c r="B2732" s="178"/>
      <c r="C2732" s="179"/>
      <c r="D2732" s="180"/>
      <c r="E2732" s="181"/>
      <c r="F2732" s="182"/>
      <c r="G2732" s="1" t="str">
        <f>IFERROR(IF(ventas_b_mes11[[#This Row],[CUIT]]="","-",VLOOKUP(ventas_b_mes11[[#This Row],[CUIT]],Lista_CUIT[#All],2,0)),"CUIT NO CARGADO")</f>
        <v>-</v>
      </c>
      <c r="H2732" s="64">
        <f>ventas_b_mes11[[#This Row],[TOTAL]]/1.21</f>
        <v>0</v>
      </c>
      <c r="I2732" s="183">
        <f>ventas_b_mes11[[#This Row],[IMPORTE NETO]]*0.21</f>
        <v>0</v>
      </c>
      <c r="J2732" s="184"/>
      <c r="K2732" s="184"/>
      <c r="L2732" s="184"/>
      <c r="M2732" s="59"/>
    </row>
    <row r="2733" spans="2:13" x14ac:dyDescent="0.3">
      <c r="B2733" s="178"/>
      <c r="C2733" s="179"/>
      <c r="D2733" s="180"/>
      <c r="E2733" s="181"/>
      <c r="F2733" s="182"/>
      <c r="G2733" s="1" t="str">
        <f>IFERROR(IF(ventas_b_mes11[[#This Row],[CUIT]]="","-",VLOOKUP(ventas_b_mes11[[#This Row],[CUIT]],Lista_CUIT[#All],2,0)),"CUIT NO CARGADO")</f>
        <v>-</v>
      </c>
      <c r="H2733" s="64">
        <f>ventas_b_mes11[[#This Row],[TOTAL]]/1.21</f>
        <v>0</v>
      </c>
      <c r="I2733" s="183">
        <f>ventas_b_mes11[[#This Row],[IMPORTE NETO]]*0.21</f>
        <v>0</v>
      </c>
      <c r="J2733" s="184"/>
      <c r="K2733" s="184"/>
      <c r="L2733" s="184"/>
      <c r="M2733" s="59"/>
    </row>
    <row r="2734" spans="2:13" x14ac:dyDescent="0.3">
      <c r="B2734" s="178"/>
      <c r="C2734" s="179"/>
      <c r="D2734" s="180"/>
      <c r="E2734" s="181"/>
      <c r="F2734" s="182"/>
      <c r="G2734" s="1" t="str">
        <f>IFERROR(IF(ventas_b_mes11[[#This Row],[CUIT]]="","-",VLOOKUP(ventas_b_mes11[[#This Row],[CUIT]],Lista_CUIT[#All],2,0)),"CUIT NO CARGADO")</f>
        <v>-</v>
      </c>
      <c r="H2734" s="64">
        <f>ventas_b_mes11[[#This Row],[TOTAL]]/1.21</f>
        <v>0</v>
      </c>
      <c r="I2734" s="183">
        <f>ventas_b_mes11[[#This Row],[IMPORTE NETO]]*0.21</f>
        <v>0</v>
      </c>
      <c r="J2734" s="184"/>
      <c r="K2734" s="184"/>
      <c r="L2734" s="184"/>
      <c r="M2734" s="59"/>
    </row>
    <row r="2735" spans="2:13" x14ac:dyDescent="0.3">
      <c r="B2735" s="178"/>
      <c r="C2735" s="179"/>
      <c r="D2735" s="180"/>
      <c r="E2735" s="181"/>
      <c r="F2735" s="182"/>
      <c r="G2735" s="1" t="str">
        <f>IFERROR(IF(ventas_b_mes11[[#This Row],[CUIT]]="","-",VLOOKUP(ventas_b_mes11[[#This Row],[CUIT]],Lista_CUIT[#All],2,0)),"CUIT NO CARGADO")</f>
        <v>-</v>
      </c>
      <c r="H2735" s="64">
        <f>ventas_b_mes11[[#This Row],[TOTAL]]/1.21</f>
        <v>0</v>
      </c>
      <c r="I2735" s="183">
        <f>ventas_b_mes11[[#This Row],[IMPORTE NETO]]*0.21</f>
        <v>0</v>
      </c>
      <c r="J2735" s="184"/>
      <c r="K2735" s="184"/>
      <c r="L2735" s="184"/>
      <c r="M2735" s="59"/>
    </row>
    <row r="2736" spans="2:13" x14ac:dyDescent="0.3">
      <c r="B2736" s="178"/>
      <c r="C2736" s="179"/>
      <c r="D2736" s="180"/>
      <c r="E2736" s="181"/>
      <c r="F2736" s="182"/>
      <c r="G2736" s="1" t="str">
        <f>IFERROR(IF(ventas_b_mes11[[#This Row],[CUIT]]="","-",VLOOKUP(ventas_b_mes11[[#This Row],[CUIT]],Lista_CUIT[#All],2,0)),"CUIT NO CARGADO")</f>
        <v>-</v>
      </c>
      <c r="H2736" s="64">
        <f>ventas_b_mes11[[#This Row],[TOTAL]]/1.21</f>
        <v>0</v>
      </c>
      <c r="I2736" s="183">
        <f>ventas_b_mes11[[#This Row],[IMPORTE NETO]]*0.21</f>
        <v>0</v>
      </c>
      <c r="J2736" s="184"/>
      <c r="K2736" s="184"/>
      <c r="L2736" s="184"/>
      <c r="M2736" s="59"/>
    </row>
    <row r="2737" spans="2:13" x14ac:dyDescent="0.3">
      <c r="B2737" s="178"/>
      <c r="C2737" s="179"/>
      <c r="D2737" s="180"/>
      <c r="E2737" s="181"/>
      <c r="F2737" s="182"/>
      <c r="G2737" s="1" t="str">
        <f>IFERROR(IF(ventas_b_mes11[[#This Row],[CUIT]]="","-",VLOOKUP(ventas_b_mes11[[#This Row],[CUIT]],Lista_CUIT[#All],2,0)),"CUIT NO CARGADO")</f>
        <v>-</v>
      </c>
      <c r="H2737" s="64">
        <f>ventas_b_mes11[[#This Row],[TOTAL]]/1.21</f>
        <v>0</v>
      </c>
      <c r="I2737" s="183">
        <f>ventas_b_mes11[[#This Row],[IMPORTE NETO]]*0.21</f>
        <v>0</v>
      </c>
      <c r="J2737" s="184"/>
      <c r="K2737" s="184"/>
      <c r="L2737" s="184"/>
      <c r="M2737" s="59"/>
    </row>
    <row r="2738" spans="2:13" x14ac:dyDescent="0.3">
      <c r="B2738" s="178"/>
      <c r="C2738" s="179"/>
      <c r="D2738" s="180"/>
      <c r="E2738" s="181"/>
      <c r="F2738" s="182"/>
      <c r="G2738" s="1" t="str">
        <f>IFERROR(IF(ventas_b_mes11[[#This Row],[CUIT]]="","-",VLOOKUP(ventas_b_mes11[[#This Row],[CUIT]],Lista_CUIT[#All],2,0)),"CUIT NO CARGADO")</f>
        <v>-</v>
      </c>
      <c r="H2738" s="64">
        <f>ventas_b_mes11[[#This Row],[TOTAL]]/1.21</f>
        <v>0</v>
      </c>
      <c r="I2738" s="183">
        <f>ventas_b_mes11[[#This Row],[IMPORTE NETO]]*0.21</f>
        <v>0</v>
      </c>
      <c r="J2738" s="184"/>
      <c r="K2738" s="184"/>
      <c r="L2738" s="184"/>
      <c r="M2738" s="59"/>
    </row>
    <row r="2739" spans="2:13" x14ac:dyDescent="0.3">
      <c r="B2739" s="178"/>
      <c r="C2739" s="179"/>
      <c r="D2739" s="180"/>
      <c r="E2739" s="181"/>
      <c r="F2739" s="182"/>
      <c r="G2739" s="1" t="str">
        <f>IFERROR(IF(ventas_b_mes11[[#This Row],[CUIT]]="","-",VLOOKUP(ventas_b_mes11[[#This Row],[CUIT]],Lista_CUIT[#All],2,0)),"CUIT NO CARGADO")</f>
        <v>-</v>
      </c>
      <c r="H2739" s="64">
        <f>ventas_b_mes11[[#This Row],[TOTAL]]/1.21</f>
        <v>0</v>
      </c>
      <c r="I2739" s="183">
        <f>ventas_b_mes11[[#This Row],[IMPORTE NETO]]*0.21</f>
        <v>0</v>
      </c>
      <c r="J2739" s="184"/>
      <c r="K2739" s="184"/>
      <c r="L2739" s="184"/>
      <c r="M2739" s="59"/>
    </row>
    <row r="2740" spans="2:13" x14ac:dyDescent="0.3">
      <c r="B2740" s="178"/>
      <c r="C2740" s="179"/>
      <c r="D2740" s="180"/>
      <c r="E2740" s="181"/>
      <c r="F2740" s="182"/>
      <c r="G2740" s="1" t="str">
        <f>IFERROR(IF(ventas_b_mes11[[#This Row],[CUIT]]="","-",VLOOKUP(ventas_b_mes11[[#This Row],[CUIT]],Lista_CUIT[#All],2,0)),"CUIT NO CARGADO")</f>
        <v>-</v>
      </c>
      <c r="H2740" s="64">
        <f>ventas_b_mes11[[#This Row],[TOTAL]]/1.21</f>
        <v>0</v>
      </c>
      <c r="I2740" s="183">
        <f>ventas_b_mes11[[#This Row],[IMPORTE NETO]]*0.21</f>
        <v>0</v>
      </c>
      <c r="J2740" s="184"/>
      <c r="K2740" s="184"/>
      <c r="L2740" s="184"/>
      <c r="M2740" s="59"/>
    </row>
    <row r="2741" spans="2:13" x14ac:dyDescent="0.3">
      <c r="B2741" s="178"/>
      <c r="C2741" s="179"/>
      <c r="D2741" s="180"/>
      <c r="E2741" s="181"/>
      <c r="F2741" s="182"/>
      <c r="G2741" s="1" t="str">
        <f>IFERROR(IF(ventas_b_mes11[[#This Row],[CUIT]]="","-",VLOOKUP(ventas_b_mes11[[#This Row],[CUIT]],Lista_CUIT[#All],2,0)),"CUIT NO CARGADO")</f>
        <v>-</v>
      </c>
      <c r="H2741" s="64">
        <f>ventas_b_mes11[[#This Row],[TOTAL]]/1.21</f>
        <v>0</v>
      </c>
      <c r="I2741" s="183">
        <f>ventas_b_mes11[[#This Row],[IMPORTE NETO]]*0.21</f>
        <v>0</v>
      </c>
      <c r="J2741" s="184"/>
      <c r="K2741" s="184"/>
      <c r="L2741" s="184"/>
      <c r="M2741" s="59"/>
    </row>
    <row r="2742" spans="2:13" x14ac:dyDescent="0.3">
      <c r="B2742" s="178"/>
      <c r="C2742" s="179"/>
      <c r="D2742" s="180"/>
      <c r="E2742" s="181"/>
      <c r="F2742" s="182"/>
      <c r="G2742" s="1" t="str">
        <f>IFERROR(IF(ventas_b_mes11[[#This Row],[CUIT]]="","-",VLOOKUP(ventas_b_mes11[[#This Row],[CUIT]],Lista_CUIT[#All],2,0)),"CUIT NO CARGADO")</f>
        <v>-</v>
      </c>
      <c r="H2742" s="64">
        <f>ventas_b_mes11[[#This Row],[TOTAL]]/1.21</f>
        <v>0</v>
      </c>
      <c r="I2742" s="183">
        <f>ventas_b_mes11[[#This Row],[IMPORTE NETO]]*0.21</f>
        <v>0</v>
      </c>
      <c r="J2742" s="184"/>
      <c r="K2742" s="184"/>
      <c r="L2742" s="184"/>
      <c r="M2742" s="59"/>
    </row>
    <row r="2743" spans="2:13" x14ac:dyDescent="0.3">
      <c r="B2743" s="178"/>
      <c r="C2743" s="179"/>
      <c r="D2743" s="180"/>
      <c r="E2743" s="181"/>
      <c r="F2743" s="182"/>
      <c r="G2743" s="1" t="str">
        <f>IFERROR(IF(ventas_b_mes11[[#This Row],[CUIT]]="","-",VLOOKUP(ventas_b_mes11[[#This Row],[CUIT]],Lista_CUIT[#All],2,0)),"CUIT NO CARGADO")</f>
        <v>-</v>
      </c>
      <c r="H2743" s="64">
        <f>ventas_b_mes11[[#This Row],[TOTAL]]/1.21</f>
        <v>0</v>
      </c>
      <c r="I2743" s="183">
        <f>ventas_b_mes11[[#This Row],[IMPORTE NETO]]*0.21</f>
        <v>0</v>
      </c>
      <c r="J2743" s="184"/>
      <c r="K2743" s="184"/>
      <c r="L2743" s="184"/>
      <c r="M2743" s="59"/>
    </row>
    <row r="2744" spans="2:13" x14ac:dyDescent="0.3">
      <c r="B2744" s="178"/>
      <c r="C2744" s="179"/>
      <c r="D2744" s="180"/>
      <c r="E2744" s="181"/>
      <c r="F2744" s="182"/>
      <c r="G2744" s="1" t="str">
        <f>IFERROR(IF(ventas_b_mes11[[#This Row],[CUIT]]="","-",VLOOKUP(ventas_b_mes11[[#This Row],[CUIT]],Lista_CUIT[#All],2,0)),"CUIT NO CARGADO")</f>
        <v>-</v>
      </c>
      <c r="H2744" s="64">
        <f>ventas_b_mes11[[#This Row],[TOTAL]]/1.21</f>
        <v>0</v>
      </c>
      <c r="I2744" s="183">
        <f>ventas_b_mes11[[#This Row],[IMPORTE NETO]]*0.21</f>
        <v>0</v>
      </c>
      <c r="J2744" s="184"/>
      <c r="K2744" s="184"/>
      <c r="L2744" s="184"/>
      <c r="M2744" s="59"/>
    </row>
    <row r="2745" spans="2:13" x14ac:dyDescent="0.3">
      <c r="B2745" s="178"/>
      <c r="C2745" s="179"/>
      <c r="D2745" s="180"/>
      <c r="E2745" s="181"/>
      <c r="F2745" s="182"/>
      <c r="G2745" s="1" t="str">
        <f>IFERROR(IF(ventas_b_mes11[[#This Row],[CUIT]]="","-",VLOOKUP(ventas_b_mes11[[#This Row],[CUIT]],Lista_CUIT[#All],2,0)),"CUIT NO CARGADO")</f>
        <v>-</v>
      </c>
      <c r="H2745" s="64">
        <f>ventas_b_mes11[[#This Row],[TOTAL]]/1.21</f>
        <v>0</v>
      </c>
      <c r="I2745" s="183">
        <f>ventas_b_mes11[[#This Row],[IMPORTE NETO]]*0.21</f>
        <v>0</v>
      </c>
      <c r="J2745" s="184"/>
      <c r="K2745" s="184"/>
      <c r="L2745" s="184"/>
      <c r="M2745" s="59"/>
    </row>
    <row r="2746" spans="2:13" x14ac:dyDescent="0.3">
      <c r="B2746" s="178"/>
      <c r="C2746" s="179"/>
      <c r="D2746" s="180"/>
      <c r="E2746" s="181"/>
      <c r="F2746" s="182"/>
      <c r="G2746" s="1" t="str">
        <f>IFERROR(IF(ventas_b_mes11[[#This Row],[CUIT]]="","-",VLOOKUP(ventas_b_mes11[[#This Row],[CUIT]],Lista_CUIT[#All],2,0)),"CUIT NO CARGADO")</f>
        <v>-</v>
      </c>
      <c r="H2746" s="64">
        <f>ventas_b_mes11[[#This Row],[TOTAL]]/1.21</f>
        <v>0</v>
      </c>
      <c r="I2746" s="183">
        <f>ventas_b_mes11[[#This Row],[IMPORTE NETO]]*0.21</f>
        <v>0</v>
      </c>
      <c r="J2746" s="184"/>
      <c r="K2746" s="184"/>
      <c r="L2746" s="184"/>
      <c r="M2746" s="59"/>
    </row>
    <row r="2747" spans="2:13" x14ac:dyDescent="0.3">
      <c r="B2747" s="178"/>
      <c r="C2747" s="179"/>
      <c r="D2747" s="180"/>
      <c r="E2747" s="181"/>
      <c r="F2747" s="182"/>
      <c r="G2747" s="1" t="str">
        <f>IFERROR(IF(ventas_b_mes11[[#This Row],[CUIT]]="","-",VLOOKUP(ventas_b_mes11[[#This Row],[CUIT]],Lista_CUIT[#All],2,0)),"CUIT NO CARGADO")</f>
        <v>-</v>
      </c>
      <c r="H2747" s="64">
        <f>ventas_b_mes11[[#This Row],[TOTAL]]/1.21</f>
        <v>0</v>
      </c>
      <c r="I2747" s="183">
        <f>ventas_b_mes11[[#This Row],[IMPORTE NETO]]*0.21</f>
        <v>0</v>
      </c>
      <c r="J2747" s="184"/>
      <c r="K2747" s="184"/>
      <c r="L2747" s="184"/>
      <c r="M2747" s="59"/>
    </row>
    <row r="2748" spans="2:13" x14ac:dyDescent="0.3">
      <c r="B2748" s="178"/>
      <c r="C2748" s="179"/>
      <c r="D2748" s="180"/>
      <c r="E2748" s="181"/>
      <c r="F2748" s="182"/>
      <c r="G2748" s="1" t="str">
        <f>IFERROR(IF(ventas_b_mes11[[#This Row],[CUIT]]="","-",VLOOKUP(ventas_b_mes11[[#This Row],[CUIT]],Lista_CUIT[#All],2,0)),"CUIT NO CARGADO")</f>
        <v>-</v>
      </c>
      <c r="H2748" s="64">
        <f>ventas_b_mes11[[#This Row],[TOTAL]]/1.21</f>
        <v>0</v>
      </c>
      <c r="I2748" s="183">
        <f>ventas_b_mes11[[#This Row],[IMPORTE NETO]]*0.21</f>
        <v>0</v>
      </c>
      <c r="J2748" s="184"/>
      <c r="K2748" s="184"/>
      <c r="L2748" s="184"/>
      <c r="M2748" s="59"/>
    </row>
    <row r="2749" spans="2:13" x14ac:dyDescent="0.3">
      <c r="B2749" s="178"/>
      <c r="C2749" s="179"/>
      <c r="D2749" s="180"/>
      <c r="E2749" s="181"/>
      <c r="F2749" s="182"/>
      <c r="G2749" s="1" t="str">
        <f>IFERROR(IF(ventas_b_mes11[[#This Row],[CUIT]]="","-",VLOOKUP(ventas_b_mes11[[#This Row],[CUIT]],Lista_CUIT[#All],2,0)),"CUIT NO CARGADO")</f>
        <v>-</v>
      </c>
      <c r="H2749" s="64">
        <f>ventas_b_mes11[[#This Row],[TOTAL]]/1.21</f>
        <v>0</v>
      </c>
      <c r="I2749" s="183">
        <f>ventas_b_mes11[[#This Row],[IMPORTE NETO]]*0.21</f>
        <v>0</v>
      </c>
      <c r="J2749" s="184"/>
      <c r="K2749" s="184"/>
      <c r="L2749" s="184"/>
      <c r="M2749" s="59"/>
    </row>
    <row r="2750" spans="2:13" x14ac:dyDescent="0.3">
      <c r="B2750" s="178"/>
      <c r="C2750" s="179"/>
      <c r="D2750" s="180"/>
      <c r="E2750" s="181"/>
      <c r="F2750" s="182"/>
      <c r="G2750" s="1" t="str">
        <f>IFERROR(IF(ventas_b_mes11[[#This Row],[CUIT]]="","-",VLOOKUP(ventas_b_mes11[[#This Row],[CUIT]],Lista_CUIT[#All],2,0)),"CUIT NO CARGADO")</f>
        <v>-</v>
      </c>
      <c r="H2750" s="64">
        <f>ventas_b_mes11[[#This Row],[TOTAL]]/1.21</f>
        <v>0</v>
      </c>
      <c r="I2750" s="183">
        <f>ventas_b_mes11[[#This Row],[IMPORTE NETO]]*0.21</f>
        <v>0</v>
      </c>
      <c r="J2750" s="184"/>
      <c r="K2750" s="184"/>
      <c r="L2750" s="184"/>
      <c r="M2750" s="59"/>
    </row>
    <row r="2751" spans="2:13" x14ac:dyDescent="0.3">
      <c r="B2751" s="178"/>
      <c r="C2751" s="179"/>
      <c r="D2751" s="180"/>
      <c r="E2751" s="181"/>
      <c r="F2751" s="182"/>
      <c r="G2751" s="1" t="str">
        <f>IFERROR(IF(ventas_b_mes11[[#This Row],[CUIT]]="","-",VLOOKUP(ventas_b_mes11[[#This Row],[CUIT]],Lista_CUIT[#All],2,0)),"CUIT NO CARGADO")</f>
        <v>-</v>
      </c>
      <c r="H2751" s="64">
        <f>ventas_b_mes11[[#This Row],[TOTAL]]/1.21</f>
        <v>0</v>
      </c>
      <c r="I2751" s="183">
        <f>ventas_b_mes11[[#This Row],[IMPORTE NETO]]*0.21</f>
        <v>0</v>
      </c>
      <c r="J2751" s="184"/>
      <c r="K2751" s="184"/>
      <c r="L2751" s="184"/>
      <c r="M2751" s="59"/>
    </row>
    <row r="2752" spans="2:13" x14ac:dyDescent="0.3">
      <c r="B2752" s="178"/>
      <c r="C2752" s="179"/>
      <c r="D2752" s="180"/>
      <c r="E2752" s="181"/>
      <c r="F2752" s="182"/>
      <c r="G2752" s="1" t="str">
        <f>IFERROR(IF(ventas_b_mes11[[#This Row],[CUIT]]="","-",VLOOKUP(ventas_b_mes11[[#This Row],[CUIT]],Lista_CUIT[#All],2,0)),"CUIT NO CARGADO")</f>
        <v>-</v>
      </c>
      <c r="H2752" s="64">
        <f>ventas_b_mes11[[#This Row],[TOTAL]]/1.21</f>
        <v>0</v>
      </c>
      <c r="I2752" s="183">
        <f>ventas_b_mes11[[#This Row],[IMPORTE NETO]]*0.21</f>
        <v>0</v>
      </c>
      <c r="J2752" s="184"/>
      <c r="K2752" s="184"/>
      <c r="L2752" s="184"/>
      <c r="M2752" s="59"/>
    </row>
    <row r="2753" spans="2:13" x14ac:dyDescent="0.3">
      <c r="B2753" s="178"/>
      <c r="C2753" s="179"/>
      <c r="D2753" s="180"/>
      <c r="E2753" s="181"/>
      <c r="F2753" s="182"/>
      <c r="G2753" s="1" t="str">
        <f>IFERROR(IF(ventas_b_mes11[[#This Row],[CUIT]]="","-",VLOOKUP(ventas_b_mes11[[#This Row],[CUIT]],Lista_CUIT[#All],2,0)),"CUIT NO CARGADO")</f>
        <v>-</v>
      </c>
      <c r="H2753" s="64">
        <f>ventas_b_mes11[[#This Row],[TOTAL]]/1.21</f>
        <v>0</v>
      </c>
      <c r="I2753" s="183">
        <f>ventas_b_mes11[[#This Row],[IMPORTE NETO]]*0.21</f>
        <v>0</v>
      </c>
      <c r="J2753" s="184"/>
      <c r="K2753" s="184"/>
      <c r="L2753" s="184"/>
      <c r="M2753" s="59"/>
    </row>
    <row r="2754" spans="2:13" x14ac:dyDescent="0.3">
      <c r="B2754" s="178"/>
      <c r="C2754" s="179"/>
      <c r="D2754" s="180"/>
      <c r="E2754" s="181"/>
      <c r="F2754" s="182"/>
      <c r="G2754" s="1" t="str">
        <f>IFERROR(IF(ventas_b_mes11[[#This Row],[CUIT]]="","-",VLOOKUP(ventas_b_mes11[[#This Row],[CUIT]],Lista_CUIT[#All],2,0)),"CUIT NO CARGADO")</f>
        <v>-</v>
      </c>
      <c r="H2754" s="64">
        <f>ventas_b_mes11[[#This Row],[TOTAL]]/1.21</f>
        <v>0</v>
      </c>
      <c r="I2754" s="183">
        <f>ventas_b_mes11[[#This Row],[IMPORTE NETO]]*0.21</f>
        <v>0</v>
      </c>
      <c r="J2754" s="184"/>
      <c r="K2754" s="184"/>
      <c r="L2754" s="184"/>
      <c r="M2754" s="59"/>
    </row>
    <row r="2755" spans="2:13" x14ac:dyDescent="0.3">
      <c r="B2755" s="178"/>
      <c r="C2755" s="179"/>
      <c r="D2755" s="180"/>
      <c r="E2755" s="181"/>
      <c r="F2755" s="182"/>
      <c r="G2755" s="1" t="str">
        <f>IFERROR(IF(ventas_b_mes11[[#This Row],[CUIT]]="","-",VLOOKUP(ventas_b_mes11[[#This Row],[CUIT]],Lista_CUIT[#All],2,0)),"CUIT NO CARGADO")</f>
        <v>-</v>
      </c>
      <c r="H2755" s="64">
        <f>ventas_b_mes11[[#This Row],[TOTAL]]/1.21</f>
        <v>0</v>
      </c>
      <c r="I2755" s="183">
        <f>ventas_b_mes11[[#This Row],[IMPORTE NETO]]*0.21</f>
        <v>0</v>
      </c>
      <c r="J2755" s="184"/>
      <c r="K2755" s="184"/>
      <c r="L2755" s="184"/>
      <c r="M2755" s="59"/>
    </row>
    <row r="2756" spans="2:13" x14ac:dyDescent="0.3">
      <c r="B2756" s="178"/>
      <c r="C2756" s="179"/>
      <c r="D2756" s="180"/>
      <c r="E2756" s="181"/>
      <c r="F2756" s="182"/>
      <c r="G2756" s="1" t="str">
        <f>IFERROR(IF(ventas_b_mes11[[#This Row],[CUIT]]="","-",VLOOKUP(ventas_b_mes11[[#This Row],[CUIT]],Lista_CUIT[#All],2,0)),"CUIT NO CARGADO")</f>
        <v>-</v>
      </c>
      <c r="H2756" s="64">
        <f>ventas_b_mes11[[#This Row],[TOTAL]]/1.21</f>
        <v>0</v>
      </c>
      <c r="I2756" s="183">
        <f>ventas_b_mes11[[#This Row],[IMPORTE NETO]]*0.21</f>
        <v>0</v>
      </c>
      <c r="J2756" s="184"/>
      <c r="K2756" s="184"/>
      <c r="L2756" s="184"/>
      <c r="M2756" s="59"/>
    </row>
    <row r="2757" spans="2:13" x14ac:dyDescent="0.3">
      <c r="B2757" s="178"/>
      <c r="C2757" s="179"/>
      <c r="D2757" s="180"/>
      <c r="E2757" s="181"/>
      <c r="F2757" s="182"/>
      <c r="G2757" s="1" t="str">
        <f>IFERROR(IF(ventas_b_mes11[[#This Row],[CUIT]]="","-",VLOOKUP(ventas_b_mes11[[#This Row],[CUIT]],Lista_CUIT[#All],2,0)),"CUIT NO CARGADO")</f>
        <v>-</v>
      </c>
      <c r="H2757" s="64">
        <f>ventas_b_mes11[[#This Row],[TOTAL]]/1.21</f>
        <v>0</v>
      </c>
      <c r="I2757" s="183">
        <f>ventas_b_mes11[[#This Row],[IMPORTE NETO]]*0.21</f>
        <v>0</v>
      </c>
      <c r="J2757" s="184"/>
      <c r="K2757" s="184"/>
      <c r="L2757" s="184"/>
      <c r="M2757" s="59"/>
    </row>
    <row r="2758" spans="2:13" x14ac:dyDescent="0.3">
      <c r="B2758" s="178"/>
      <c r="C2758" s="179"/>
      <c r="D2758" s="180"/>
      <c r="E2758" s="181"/>
      <c r="F2758" s="182"/>
      <c r="G2758" s="1" t="str">
        <f>IFERROR(IF(ventas_b_mes11[[#This Row],[CUIT]]="","-",VLOOKUP(ventas_b_mes11[[#This Row],[CUIT]],Lista_CUIT[#All],2,0)),"CUIT NO CARGADO")</f>
        <v>-</v>
      </c>
      <c r="H2758" s="64">
        <f>ventas_b_mes11[[#This Row],[TOTAL]]/1.21</f>
        <v>0</v>
      </c>
      <c r="I2758" s="183">
        <f>ventas_b_mes11[[#This Row],[IMPORTE NETO]]*0.21</f>
        <v>0</v>
      </c>
      <c r="J2758" s="184"/>
      <c r="K2758" s="184"/>
      <c r="L2758" s="184"/>
      <c r="M2758" s="59"/>
    </row>
    <row r="2759" spans="2:13" x14ac:dyDescent="0.3">
      <c r="B2759" s="178"/>
      <c r="C2759" s="179"/>
      <c r="D2759" s="180"/>
      <c r="E2759" s="181"/>
      <c r="F2759" s="182"/>
      <c r="G2759" s="1" t="str">
        <f>IFERROR(IF(ventas_b_mes11[[#This Row],[CUIT]]="","-",VLOOKUP(ventas_b_mes11[[#This Row],[CUIT]],Lista_CUIT[#All],2,0)),"CUIT NO CARGADO")</f>
        <v>-</v>
      </c>
      <c r="H2759" s="64">
        <f>ventas_b_mes11[[#This Row],[TOTAL]]/1.21</f>
        <v>0</v>
      </c>
      <c r="I2759" s="183">
        <f>ventas_b_mes11[[#This Row],[IMPORTE NETO]]*0.21</f>
        <v>0</v>
      </c>
      <c r="J2759" s="184"/>
      <c r="K2759" s="184"/>
      <c r="L2759" s="184"/>
      <c r="M2759" s="59"/>
    </row>
    <row r="2760" spans="2:13" x14ac:dyDescent="0.3">
      <c r="B2760" s="178"/>
      <c r="C2760" s="179"/>
      <c r="D2760" s="180"/>
      <c r="E2760" s="181"/>
      <c r="F2760" s="182"/>
      <c r="G2760" s="1" t="str">
        <f>IFERROR(IF(ventas_b_mes11[[#This Row],[CUIT]]="","-",VLOOKUP(ventas_b_mes11[[#This Row],[CUIT]],Lista_CUIT[#All],2,0)),"CUIT NO CARGADO")</f>
        <v>-</v>
      </c>
      <c r="H2760" s="64">
        <f>ventas_b_mes11[[#This Row],[TOTAL]]/1.21</f>
        <v>0</v>
      </c>
      <c r="I2760" s="183">
        <f>ventas_b_mes11[[#This Row],[IMPORTE NETO]]*0.21</f>
        <v>0</v>
      </c>
      <c r="J2760" s="184"/>
      <c r="K2760" s="184"/>
      <c r="L2760" s="184"/>
      <c r="M2760" s="59"/>
    </row>
    <row r="2761" spans="2:13" x14ac:dyDescent="0.3">
      <c r="B2761" s="178"/>
      <c r="C2761" s="179"/>
      <c r="D2761" s="180"/>
      <c r="E2761" s="181"/>
      <c r="F2761" s="182"/>
      <c r="G2761" s="1" t="str">
        <f>IFERROR(IF(ventas_b_mes11[[#This Row],[CUIT]]="","-",VLOOKUP(ventas_b_mes11[[#This Row],[CUIT]],Lista_CUIT[#All],2,0)),"CUIT NO CARGADO")</f>
        <v>-</v>
      </c>
      <c r="H2761" s="64">
        <f>ventas_b_mes11[[#This Row],[TOTAL]]/1.21</f>
        <v>0</v>
      </c>
      <c r="I2761" s="183">
        <f>ventas_b_mes11[[#This Row],[IMPORTE NETO]]*0.21</f>
        <v>0</v>
      </c>
      <c r="J2761" s="184"/>
      <c r="K2761" s="184"/>
      <c r="L2761" s="184"/>
      <c r="M2761" s="59"/>
    </row>
    <row r="2762" spans="2:13" x14ac:dyDescent="0.3">
      <c r="B2762" s="178"/>
      <c r="C2762" s="179"/>
      <c r="D2762" s="180"/>
      <c r="E2762" s="181"/>
      <c r="F2762" s="182"/>
      <c r="G2762" s="1" t="str">
        <f>IFERROR(IF(ventas_b_mes11[[#This Row],[CUIT]]="","-",VLOOKUP(ventas_b_mes11[[#This Row],[CUIT]],Lista_CUIT[#All],2,0)),"CUIT NO CARGADO")</f>
        <v>-</v>
      </c>
      <c r="H2762" s="64">
        <f>ventas_b_mes11[[#This Row],[TOTAL]]/1.21</f>
        <v>0</v>
      </c>
      <c r="I2762" s="183">
        <f>ventas_b_mes11[[#This Row],[IMPORTE NETO]]*0.21</f>
        <v>0</v>
      </c>
      <c r="J2762" s="184"/>
      <c r="K2762" s="184"/>
      <c r="L2762" s="184"/>
      <c r="M2762" s="59"/>
    </row>
    <row r="2763" spans="2:13" x14ac:dyDescent="0.3">
      <c r="B2763" s="178"/>
      <c r="C2763" s="179"/>
      <c r="D2763" s="180"/>
      <c r="E2763" s="181"/>
      <c r="F2763" s="182"/>
      <c r="G2763" s="1" t="str">
        <f>IFERROR(IF(ventas_b_mes11[[#This Row],[CUIT]]="","-",VLOOKUP(ventas_b_mes11[[#This Row],[CUIT]],Lista_CUIT[#All],2,0)),"CUIT NO CARGADO")</f>
        <v>-</v>
      </c>
      <c r="H2763" s="64">
        <f>ventas_b_mes11[[#This Row],[TOTAL]]/1.21</f>
        <v>0</v>
      </c>
      <c r="I2763" s="183">
        <f>ventas_b_mes11[[#This Row],[IMPORTE NETO]]*0.21</f>
        <v>0</v>
      </c>
      <c r="J2763" s="184"/>
      <c r="K2763" s="184"/>
      <c r="L2763" s="184"/>
      <c r="M2763" s="59"/>
    </row>
    <row r="2764" spans="2:13" x14ac:dyDescent="0.3">
      <c r="B2764" s="178"/>
      <c r="C2764" s="179"/>
      <c r="D2764" s="180"/>
      <c r="E2764" s="181"/>
      <c r="F2764" s="182"/>
      <c r="G2764" s="1" t="str">
        <f>IFERROR(IF(ventas_b_mes11[[#This Row],[CUIT]]="","-",VLOOKUP(ventas_b_mes11[[#This Row],[CUIT]],Lista_CUIT[#All],2,0)),"CUIT NO CARGADO")</f>
        <v>-</v>
      </c>
      <c r="H2764" s="64">
        <f>ventas_b_mes11[[#This Row],[TOTAL]]/1.21</f>
        <v>0</v>
      </c>
      <c r="I2764" s="183">
        <f>ventas_b_mes11[[#This Row],[IMPORTE NETO]]*0.21</f>
        <v>0</v>
      </c>
      <c r="J2764" s="184"/>
      <c r="K2764" s="184"/>
      <c r="L2764" s="184"/>
      <c r="M2764" s="59"/>
    </row>
    <row r="2765" spans="2:13" x14ac:dyDescent="0.3">
      <c r="B2765" s="178"/>
      <c r="C2765" s="179"/>
      <c r="D2765" s="180"/>
      <c r="E2765" s="181"/>
      <c r="F2765" s="182"/>
      <c r="G2765" s="1" t="str">
        <f>IFERROR(IF(ventas_b_mes11[[#This Row],[CUIT]]="","-",VLOOKUP(ventas_b_mes11[[#This Row],[CUIT]],Lista_CUIT[#All],2,0)),"CUIT NO CARGADO")</f>
        <v>-</v>
      </c>
      <c r="H2765" s="64">
        <f>ventas_b_mes11[[#This Row],[TOTAL]]/1.21</f>
        <v>0</v>
      </c>
      <c r="I2765" s="183">
        <f>ventas_b_mes11[[#This Row],[IMPORTE NETO]]*0.21</f>
        <v>0</v>
      </c>
      <c r="J2765" s="184"/>
      <c r="K2765" s="184"/>
      <c r="L2765" s="184"/>
      <c r="M2765" s="59"/>
    </row>
    <row r="2766" spans="2:13" x14ac:dyDescent="0.3">
      <c r="B2766" s="178"/>
      <c r="C2766" s="179"/>
      <c r="D2766" s="180"/>
      <c r="E2766" s="181"/>
      <c r="F2766" s="182"/>
      <c r="G2766" s="1" t="str">
        <f>IFERROR(IF(ventas_b_mes11[[#This Row],[CUIT]]="","-",VLOOKUP(ventas_b_mes11[[#This Row],[CUIT]],Lista_CUIT[#All],2,0)),"CUIT NO CARGADO")</f>
        <v>-</v>
      </c>
      <c r="H2766" s="64">
        <f>ventas_b_mes11[[#This Row],[TOTAL]]/1.21</f>
        <v>0</v>
      </c>
      <c r="I2766" s="183">
        <f>ventas_b_mes11[[#This Row],[IMPORTE NETO]]*0.21</f>
        <v>0</v>
      </c>
      <c r="J2766" s="184"/>
      <c r="K2766" s="184"/>
      <c r="L2766" s="184"/>
      <c r="M2766" s="59"/>
    </row>
    <row r="2767" spans="2:13" x14ac:dyDescent="0.3">
      <c r="B2767" s="178"/>
      <c r="C2767" s="179"/>
      <c r="D2767" s="180"/>
      <c r="E2767" s="181"/>
      <c r="F2767" s="182"/>
      <c r="G2767" s="1" t="str">
        <f>IFERROR(IF(ventas_b_mes11[[#This Row],[CUIT]]="","-",VLOOKUP(ventas_b_mes11[[#This Row],[CUIT]],Lista_CUIT[#All],2,0)),"CUIT NO CARGADO")</f>
        <v>-</v>
      </c>
      <c r="H2767" s="64">
        <f>ventas_b_mes11[[#This Row],[TOTAL]]/1.21</f>
        <v>0</v>
      </c>
      <c r="I2767" s="183">
        <f>ventas_b_mes11[[#This Row],[IMPORTE NETO]]*0.21</f>
        <v>0</v>
      </c>
      <c r="J2767" s="184"/>
      <c r="K2767" s="184"/>
      <c r="L2767" s="184"/>
      <c r="M2767" s="59"/>
    </row>
    <row r="2768" spans="2:13" x14ac:dyDescent="0.3">
      <c r="B2768" s="178"/>
      <c r="C2768" s="179"/>
      <c r="D2768" s="180"/>
      <c r="E2768" s="181"/>
      <c r="F2768" s="182"/>
      <c r="G2768" s="1" t="str">
        <f>IFERROR(IF(ventas_b_mes11[[#This Row],[CUIT]]="","-",VLOOKUP(ventas_b_mes11[[#This Row],[CUIT]],Lista_CUIT[#All],2,0)),"CUIT NO CARGADO")</f>
        <v>-</v>
      </c>
      <c r="H2768" s="64">
        <f>ventas_b_mes11[[#This Row],[TOTAL]]/1.21</f>
        <v>0</v>
      </c>
      <c r="I2768" s="183">
        <f>ventas_b_mes11[[#This Row],[IMPORTE NETO]]*0.21</f>
        <v>0</v>
      </c>
      <c r="J2768" s="184"/>
      <c r="K2768" s="184"/>
      <c r="L2768" s="184"/>
      <c r="M2768" s="59"/>
    </row>
    <row r="2769" spans="2:13" x14ac:dyDescent="0.3">
      <c r="B2769" s="178"/>
      <c r="C2769" s="179"/>
      <c r="D2769" s="180"/>
      <c r="E2769" s="181"/>
      <c r="F2769" s="182"/>
      <c r="G2769" s="1" t="str">
        <f>IFERROR(IF(ventas_b_mes11[[#This Row],[CUIT]]="","-",VLOOKUP(ventas_b_mes11[[#This Row],[CUIT]],Lista_CUIT[#All],2,0)),"CUIT NO CARGADO")</f>
        <v>-</v>
      </c>
      <c r="H2769" s="64">
        <f>ventas_b_mes11[[#This Row],[TOTAL]]/1.21</f>
        <v>0</v>
      </c>
      <c r="I2769" s="183">
        <f>ventas_b_mes11[[#This Row],[IMPORTE NETO]]*0.21</f>
        <v>0</v>
      </c>
      <c r="J2769" s="184"/>
      <c r="K2769" s="184"/>
      <c r="L2769" s="184"/>
      <c r="M2769" s="59"/>
    </row>
    <row r="2770" spans="2:13" x14ac:dyDescent="0.3">
      <c r="B2770" s="178"/>
      <c r="C2770" s="179"/>
      <c r="D2770" s="180"/>
      <c r="E2770" s="181"/>
      <c r="F2770" s="182"/>
      <c r="G2770" s="1" t="str">
        <f>IFERROR(IF(ventas_b_mes11[[#This Row],[CUIT]]="","-",VLOOKUP(ventas_b_mes11[[#This Row],[CUIT]],Lista_CUIT[#All],2,0)),"CUIT NO CARGADO")</f>
        <v>-</v>
      </c>
      <c r="H2770" s="64">
        <f>ventas_b_mes11[[#This Row],[TOTAL]]/1.21</f>
        <v>0</v>
      </c>
      <c r="I2770" s="183">
        <f>ventas_b_mes11[[#This Row],[IMPORTE NETO]]*0.21</f>
        <v>0</v>
      </c>
      <c r="J2770" s="184"/>
      <c r="K2770" s="184"/>
      <c r="L2770" s="184"/>
      <c r="M2770" s="59"/>
    </row>
    <row r="2771" spans="2:13" x14ac:dyDescent="0.3">
      <c r="B2771" s="178"/>
      <c r="C2771" s="179"/>
      <c r="D2771" s="180"/>
      <c r="E2771" s="181"/>
      <c r="F2771" s="182"/>
      <c r="G2771" s="1" t="str">
        <f>IFERROR(IF(ventas_b_mes11[[#This Row],[CUIT]]="","-",VLOOKUP(ventas_b_mes11[[#This Row],[CUIT]],Lista_CUIT[#All],2,0)),"CUIT NO CARGADO")</f>
        <v>-</v>
      </c>
      <c r="H2771" s="64">
        <f>ventas_b_mes11[[#This Row],[TOTAL]]/1.21</f>
        <v>0</v>
      </c>
      <c r="I2771" s="183">
        <f>ventas_b_mes11[[#This Row],[IMPORTE NETO]]*0.21</f>
        <v>0</v>
      </c>
      <c r="J2771" s="184"/>
      <c r="K2771" s="184"/>
      <c r="L2771" s="184"/>
      <c r="M2771" s="59"/>
    </row>
    <row r="2772" spans="2:13" x14ac:dyDescent="0.3">
      <c r="B2772" s="178"/>
      <c r="C2772" s="179"/>
      <c r="D2772" s="180"/>
      <c r="E2772" s="181"/>
      <c r="F2772" s="182"/>
      <c r="G2772" s="1" t="str">
        <f>IFERROR(IF(ventas_b_mes11[[#This Row],[CUIT]]="","-",VLOOKUP(ventas_b_mes11[[#This Row],[CUIT]],Lista_CUIT[#All],2,0)),"CUIT NO CARGADO")</f>
        <v>-</v>
      </c>
      <c r="H2772" s="64">
        <f>ventas_b_mes11[[#This Row],[TOTAL]]/1.21</f>
        <v>0</v>
      </c>
      <c r="I2772" s="183">
        <f>ventas_b_mes11[[#This Row],[IMPORTE NETO]]*0.21</f>
        <v>0</v>
      </c>
      <c r="J2772" s="184"/>
      <c r="K2772" s="184"/>
      <c r="L2772" s="184"/>
      <c r="M2772" s="59"/>
    </row>
    <row r="2773" spans="2:13" x14ac:dyDescent="0.3">
      <c r="B2773" s="178"/>
      <c r="C2773" s="179"/>
      <c r="D2773" s="180"/>
      <c r="E2773" s="181"/>
      <c r="F2773" s="182"/>
      <c r="G2773" s="1" t="str">
        <f>IFERROR(IF(ventas_b_mes11[[#This Row],[CUIT]]="","-",VLOOKUP(ventas_b_mes11[[#This Row],[CUIT]],Lista_CUIT[#All],2,0)),"CUIT NO CARGADO")</f>
        <v>-</v>
      </c>
      <c r="H2773" s="64">
        <f>ventas_b_mes11[[#This Row],[TOTAL]]/1.21</f>
        <v>0</v>
      </c>
      <c r="I2773" s="183">
        <f>ventas_b_mes11[[#This Row],[IMPORTE NETO]]*0.21</f>
        <v>0</v>
      </c>
      <c r="J2773" s="184"/>
      <c r="K2773" s="184"/>
      <c r="L2773" s="184"/>
      <c r="M2773" s="59"/>
    </row>
    <row r="2774" spans="2:13" x14ac:dyDescent="0.3">
      <c r="B2774" s="178"/>
      <c r="C2774" s="179"/>
      <c r="D2774" s="180"/>
      <c r="E2774" s="181"/>
      <c r="F2774" s="182"/>
      <c r="G2774" s="1" t="str">
        <f>IFERROR(IF(ventas_b_mes11[[#This Row],[CUIT]]="","-",VLOOKUP(ventas_b_mes11[[#This Row],[CUIT]],Lista_CUIT[#All],2,0)),"CUIT NO CARGADO")</f>
        <v>-</v>
      </c>
      <c r="H2774" s="64">
        <f>ventas_b_mes11[[#This Row],[TOTAL]]/1.21</f>
        <v>0</v>
      </c>
      <c r="I2774" s="183">
        <f>ventas_b_mes11[[#This Row],[IMPORTE NETO]]*0.21</f>
        <v>0</v>
      </c>
      <c r="J2774" s="184"/>
      <c r="K2774" s="184"/>
      <c r="L2774" s="184"/>
      <c r="M2774" s="59"/>
    </row>
    <row r="2775" spans="2:13" x14ac:dyDescent="0.3">
      <c r="B2775" s="178"/>
      <c r="C2775" s="179"/>
      <c r="D2775" s="180"/>
      <c r="E2775" s="181"/>
      <c r="F2775" s="182"/>
      <c r="G2775" s="1" t="str">
        <f>IFERROR(IF(ventas_b_mes11[[#This Row],[CUIT]]="","-",VLOOKUP(ventas_b_mes11[[#This Row],[CUIT]],Lista_CUIT[#All],2,0)),"CUIT NO CARGADO")</f>
        <v>-</v>
      </c>
      <c r="H2775" s="64">
        <f>ventas_b_mes11[[#This Row],[TOTAL]]/1.21</f>
        <v>0</v>
      </c>
      <c r="I2775" s="183">
        <f>ventas_b_mes11[[#This Row],[IMPORTE NETO]]*0.21</f>
        <v>0</v>
      </c>
      <c r="J2775" s="184"/>
      <c r="K2775" s="184"/>
      <c r="L2775" s="184"/>
      <c r="M2775" s="59"/>
    </row>
    <row r="2776" spans="2:13" x14ac:dyDescent="0.3">
      <c r="B2776" s="178"/>
      <c r="C2776" s="179"/>
      <c r="D2776" s="180"/>
      <c r="E2776" s="181"/>
      <c r="F2776" s="182"/>
      <c r="G2776" s="1" t="str">
        <f>IFERROR(IF(ventas_b_mes11[[#This Row],[CUIT]]="","-",VLOOKUP(ventas_b_mes11[[#This Row],[CUIT]],Lista_CUIT[#All],2,0)),"CUIT NO CARGADO")</f>
        <v>-</v>
      </c>
      <c r="H2776" s="64">
        <f>ventas_b_mes11[[#This Row],[TOTAL]]/1.21</f>
        <v>0</v>
      </c>
      <c r="I2776" s="183">
        <f>ventas_b_mes11[[#This Row],[IMPORTE NETO]]*0.21</f>
        <v>0</v>
      </c>
      <c r="J2776" s="184"/>
      <c r="K2776" s="184"/>
      <c r="L2776" s="184"/>
      <c r="M2776" s="59"/>
    </row>
    <row r="2777" spans="2:13" x14ac:dyDescent="0.3">
      <c r="B2777" s="178"/>
      <c r="C2777" s="179"/>
      <c r="D2777" s="180"/>
      <c r="E2777" s="181"/>
      <c r="F2777" s="182"/>
      <c r="G2777" s="1" t="str">
        <f>IFERROR(IF(ventas_b_mes11[[#This Row],[CUIT]]="","-",VLOOKUP(ventas_b_mes11[[#This Row],[CUIT]],Lista_CUIT[#All],2,0)),"CUIT NO CARGADO")</f>
        <v>-</v>
      </c>
      <c r="H2777" s="64">
        <f>ventas_b_mes11[[#This Row],[TOTAL]]/1.21</f>
        <v>0</v>
      </c>
      <c r="I2777" s="183">
        <f>ventas_b_mes11[[#This Row],[IMPORTE NETO]]*0.21</f>
        <v>0</v>
      </c>
      <c r="J2777" s="184"/>
      <c r="K2777" s="184"/>
      <c r="L2777" s="184"/>
      <c r="M2777" s="59"/>
    </row>
    <row r="2778" spans="2:13" x14ac:dyDescent="0.3">
      <c r="B2778" s="178"/>
      <c r="C2778" s="179"/>
      <c r="D2778" s="180"/>
      <c r="E2778" s="181"/>
      <c r="F2778" s="182"/>
      <c r="G2778" s="1" t="str">
        <f>IFERROR(IF(ventas_b_mes11[[#This Row],[CUIT]]="","-",VLOOKUP(ventas_b_mes11[[#This Row],[CUIT]],Lista_CUIT[#All],2,0)),"CUIT NO CARGADO")</f>
        <v>-</v>
      </c>
      <c r="H2778" s="64">
        <f>ventas_b_mes11[[#This Row],[TOTAL]]/1.21</f>
        <v>0</v>
      </c>
      <c r="I2778" s="183">
        <f>ventas_b_mes11[[#This Row],[IMPORTE NETO]]*0.21</f>
        <v>0</v>
      </c>
      <c r="J2778" s="184"/>
      <c r="K2778" s="184"/>
      <c r="L2778" s="184"/>
      <c r="M2778" s="59"/>
    </row>
    <row r="2779" spans="2:13" x14ac:dyDescent="0.3">
      <c r="B2779" s="178"/>
      <c r="C2779" s="179"/>
      <c r="D2779" s="180"/>
      <c r="E2779" s="181"/>
      <c r="F2779" s="182"/>
      <c r="G2779" s="1" t="str">
        <f>IFERROR(IF(ventas_b_mes11[[#This Row],[CUIT]]="","-",VLOOKUP(ventas_b_mes11[[#This Row],[CUIT]],Lista_CUIT[#All],2,0)),"CUIT NO CARGADO")</f>
        <v>-</v>
      </c>
      <c r="H2779" s="64">
        <f>ventas_b_mes11[[#This Row],[TOTAL]]/1.21</f>
        <v>0</v>
      </c>
      <c r="I2779" s="183">
        <f>ventas_b_mes11[[#This Row],[IMPORTE NETO]]*0.21</f>
        <v>0</v>
      </c>
      <c r="J2779" s="184"/>
      <c r="K2779" s="184"/>
      <c r="L2779" s="184"/>
      <c r="M2779" s="59"/>
    </row>
    <row r="2780" spans="2:13" x14ac:dyDescent="0.3">
      <c r="B2780" s="178"/>
      <c r="C2780" s="179"/>
      <c r="D2780" s="180"/>
      <c r="E2780" s="181"/>
      <c r="F2780" s="182"/>
      <c r="G2780" s="1" t="str">
        <f>IFERROR(IF(ventas_b_mes11[[#This Row],[CUIT]]="","-",VLOOKUP(ventas_b_mes11[[#This Row],[CUIT]],Lista_CUIT[#All],2,0)),"CUIT NO CARGADO")</f>
        <v>-</v>
      </c>
      <c r="H2780" s="64">
        <f>ventas_b_mes11[[#This Row],[TOTAL]]/1.21</f>
        <v>0</v>
      </c>
      <c r="I2780" s="183">
        <f>ventas_b_mes11[[#This Row],[IMPORTE NETO]]*0.21</f>
        <v>0</v>
      </c>
      <c r="J2780" s="184"/>
      <c r="K2780" s="184"/>
      <c r="L2780" s="184"/>
      <c r="M2780" s="59"/>
    </row>
    <row r="2781" spans="2:13" x14ac:dyDescent="0.3">
      <c r="B2781" s="178"/>
      <c r="C2781" s="179"/>
      <c r="D2781" s="180"/>
      <c r="E2781" s="181"/>
      <c r="F2781" s="182"/>
      <c r="G2781" s="1" t="str">
        <f>IFERROR(IF(ventas_b_mes11[[#This Row],[CUIT]]="","-",VLOOKUP(ventas_b_mes11[[#This Row],[CUIT]],Lista_CUIT[#All],2,0)),"CUIT NO CARGADO")</f>
        <v>-</v>
      </c>
      <c r="H2781" s="64">
        <f>ventas_b_mes11[[#This Row],[TOTAL]]/1.21</f>
        <v>0</v>
      </c>
      <c r="I2781" s="183">
        <f>ventas_b_mes11[[#This Row],[IMPORTE NETO]]*0.21</f>
        <v>0</v>
      </c>
      <c r="J2781" s="184"/>
      <c r="K2781" s="184"/>
      <c r="L2781" s="184"/>
      <c r="M2781" s="59"/>
    </row>
    <row r="2782" spans="2:13" x14ac:dyDescent="0.3">
      <c r="B2782" s="178"/>
      <c r="C2782" s="179"/>
      <c r="D2782" s="180"/>
      <c r="E2782" s="181"/>
      <c r="F2782" s="182"/>
      <c r="G2782" s="1" t="str">
        <f>IFERROR(IF(ventas_b_mes11[[#This Row],[CUIT]]="","-",VLOOKUP(ventas_b_mes11[[#This Row],[CUIT]],Lista_CUIT[#All],2,0)),"CUIT NO CARGADO")</f>
        <v>-</v>
      </c>
      <c r="H2782" s="64">
        <f>ventas_b_mes11[[#This Row],[TOTAL]]/1.21</f>
        <v>0</v>
      </c>
      <c r="I2782" s="183">
        <f>ventas_b_mes11[[#This Row],[IMPORTE NETO]]*0.21</f>
        <v>0</v>
      </c>
      <c r="J2782" s="184"/>
      <c r="K2782" s="184"/>
      <c r="L2782" s="184"/>
      <c r="M2782" s="59"/>
    </row>
    <row r="2783" spans="2:13" x14ac:dyDescent="0.3">
      <c r="B2783" s="178"/>
      <c r="C2783" s="179"/>
      <c r="D2783" s="180"/>
      <c r="E2783" s="181"/>
      <c r="F2783" s="182"/>
      <c r="G2783" s="1" t="str">
        <f>IFERROR(IF(ventas_b_mes11[[#This Row],[CUIT]]="","-",VLOOKUP(ventas_b_mes11[[#This Row],[CUIT]],Lista_CUIT[#All],2,0)),"CUIT NO CARGADO")</f>
        <v>-</v>
      </c>
      <c r="H2783" s="64">
        <f>ventas_b_mes11[[#This Row],[TOTAL]]/1.21</f>
        <v>0</v>
      </c>
      <c r="I2783" s="183">
        <f>ventas_b_mes11[[#This Row],[IMPORTE NETO]]*0.21</f>
        <v>0</v>
      </c>
      <c r="J2783" s="184"/>
      <c r="K2783" s="184"/>
      <c r="L2783" s="184"/>
      <c r="M2783" s="59"/>
    </row>
    <row r="2784" spans="2:13" x14ac:dyDescent="0.3">
      <c r="B2784" s="178"/>
      <c r="C2784" s="179"/>
      <c r="D2784" s="180"/>
      <c r="E2784" s="181"/>
      <c r="F2784" s="182"/>
      <c r="G2784" s="1" t="str">
        <f>IFERROR(IF(ventas_b_mes11[[#This Row],[CUIT]]="","-",VLOOKUP(ventas_b_mes11[[#This Row],[CUIT]],Lista_CUIT[#All],2,0)),"CUIT NO CARGADO")</f>
        <v>-</v>
      </c>
      <c r="H2784" s="64">
        <f>ventas_b_mes11[[#This Row],[TOTAL]]/1.21</f>
        <v>0</v>
      </c>
      <c r="I2784" s="183">
        <f>ventas_b_mes11[[#This Row],[IMPORTE NETO]]*0.21</f>
        <v>0</v>
      </c>
      <c r="J2784" s="184"/>
      <c r="K2784" s="184"/>
      <c r="L2784" s="184"/>
      <c r="M2784" s="59"/>
    </row>
    <row r="2785" spans="2:13" x14ac:dyDescent="0.3">
      <c r="B2785" s="178"/>
      <c r="C2785" s="179"/>
      <c r="D2785" s="180"/>
      <c r="E2785" s="181"/>
      <c r="F2785" s="182"/>
      <c r="G2785" s="1" t="str">
        <f>IFERROR(IF(ventas_b_mes11[[#This Row],[CUIT]]="","-",VLOOKUP(ventas_b_mes11[[#This Row],[CUIT]],Lista_CUIT[#All],2,0)),"CUIT NO CARGADO")</f>
        <v>-</v>
      </c>
      <c r="H2785" s="64">
        <f>ventas_b_mes11[[#This Row],[TOTAL]]/1.21</f>
        <v>0</v>
      </c>
      <c r="I2785" s="183">
        <f>ventas_b_mes11[[#This Row],[IMPORTE NETO]]*0.21</f>
        <v>0</v>
      </c>
      <c r="J2785" s="184"/>
      <c r="K2785" s="184"/>
      <c r="L2785" s="184"/>
      <c r="M2785" s="59"/>
    </row>
    <row r="2786" spans="2:13" x14ac:dyDescent="0.3">
      <c r="B2786" s="178"/>
      <c r="C2786" s="179"/>
      <c r="D2786" s="180"/>
      <c r="E2786" s="181"/>
      <c r="F2786" s="182"/>
      <c r="G2786" s="1" t="str">
        <f>IFERROR(IF(ventas_b_mes11[[#This Row],[CUIT]]="","-",VLOOKUP(ventas_b_mes11[[#This Row],[CUIT]],Lista_CUIT[#All],2,0)),"CUIT NO CARGADO")</f>
        <v>-</v>
      </c>
      <c r="H2786" s="64">
        <f>ventas_b_mes11[[#This Row],[TOTAL]]/1.21</f>
        <v>0</v>
      </c>
      <c r="I2786" s="183">
        <f>ventas_b_mes11[[#This Row],[IMPORTE NETO]]*0.21</f>
        <v>0</v>
      </c>
      <c r="J2786" s="184"/>
      <c r="K2786" s="184"/>
      <c r="L2786" s="184"/>
      <c r="M2786" s="59"/>
    </row>
    <row r="2787" spans="2:13" x14ac:dyDescent="0.3">
      <c r="B2787" s="178"/>
      <c r="C2787" s="179"/>
      <c r="D2787" s="180"/>
      <c r="E2787" s="181"/>
      <c r="F2787" s="182"/>
      <c r="G2787" s="1" t="str">
        <f>IFERROR(IF(ventas_b_mes11[[#This Row],[CUIT]]="","-",VLOOKUP(ventas_b_mes11[[#This Row],[CUIT]],Lista_CUIT[#All],2,0)),"CUIT NO CARGADO")</f>
        <v>-</v>
      </c>
      <c r="H2787" s="64">
        <f>ventas_b_mes11[[#This Row],[TOTAL]]/1.21</f>
        <v>0</v>
      </c>
      <c r="I2787" s="183">
        <f>ventas_b_mes11[[#This Row],[IMPORTE NETO]]*0.21</f>
        <v>0</v>
      </c>
      <c r="J2787" s="184"/>
      <c r="K2787" s="184"/>
      <c r="L2787" s="184"/>
      <c r="M2787" s="59"/>
    </row>
    <row r="2788" spans="2:13" x14ac:dyDescent="0.3">
      <c r="B2788" s="178"/>
      <c r="C2788" s="179"/>
      <c r="D2788" s="180"/>
      <c r="E2788" s="181"/>
      <c r="F2788" s="182"/>
      <c r="G2788" s="1" t="str">
        <f>IFERROR(IF(ventas_b_mes11[[#This Row],[CUIT]]="","-",VLOOKUP(ventas_b_mes11[[#This Row],[CUIT]],Lista_CUIT[#All],2,0)),"CUIT NO CARGADO")</f>
        <v>-</v>
      </c>
      <c r="H2788" s="64">
        <f>ventas_b_mes11[[#This Row],[TOTAL]]/1.21</f>
        <v>0</v>
      </c>
      <c r="I2788" s="183">
        <f>ventas_b_mes11[[#This Row],[IMPORTE NETO]]*0.21</f>
        <v>0</v>
      </c>
      <c r="J2788" s="184"/>
      <c r="K2788" s="184"/>
      <c r="L2788" s="184"/>
      <c r="M2788" s="59"/>
    </row>
    <row r="2789" spans="2:13" x14ac:dyDescent="0.3">
      <c r="B2789" s="178"/>
      <c r="C2789" s="179"/>
      <c r="D2789" s="180"/>
      <c r="E2789" s="181"/>
      <c r="F2789" s="182"/>
      <c r="G2789" s="1" t="str">
        <f>IFERROR(IF(ventas_b_mes11[[#This Row],[CUIT]]="","-",VLOOKUP(ventas_b_mes11[[#This Row],[CUIT]],Lista_CUIT[#All],2,0)),"CUIT NO CARGADO")</f>
        <v>-</v>
      </c>
      <c r="H2789" s="64">
        <f>ventas_b_mes11[[#This Row],[TOTAL]]/1.21</f>
        <v>0</v>
      </c>
      <c r="I2789" s="183">
        <f>ventas_b_mes11[[#This Row],[IMPORTE NETO]]*0.21</f>
        <v>0</v>
      </c>
      <c r="J2789" s="184"/>
      <c r="K2789" s="184"/>
      <c r="L2789" s="184"/>
      <c r="M2789" s="59"/>
    </row>
    <row r="2790" spans="2:13" x14ac:dyDescent="0.3">
      <c r="B2790" s="178"/>
      <c r="C2790" s="179"/>
      <c r="D2790" s="180"/>
      <c r="E2790" s="181"/>
      <c r="F2790" s="182"/>
      <c r="G2790" s="1" t="str">
        <f>IFERROR(IF(ventas_b_mes11[[#This Row],[CUIT]]="","-",VLOOKUP(ventas_b_mes11[[#This Row],[CUIT]],Lista_CUIT[#All],2,0)),"CUIT NO CARGADO")</f>
        <v>-</v>
      </c>
      <c r="H2790" s="64">
        <f>ventas_b_mes11[[#This Row],[TOTAL]]/1.21</f>
        <v>0</v>
      </c>
      <c r="I2790" s="183">
        <f>ventas_b_mes11[[#This Row],[IMPORTE NETO]]*0.21</f>
        <v>0</v>
      </c>
      <c r="J2790" s="184"/>
      <c r="K2790" s="184"/>
      <c r="L2790" s="184"/>
      <c r="M2790" s="59"/>
    </row>
    <row r="2791" spans="2:13" x14ac:dyDescent="0.3">
      <c r="B2791" s="178"/>
      <c r="C2791" s="179"/>
      <c r="D2791" s="180"/>
      <c r="E2791" s="181"/>
      <c r="F2791" s="182"/>
      <c r="G2791" s="1" t="str">
        <f>IFERROR(IF(ventas_b_mes11[[#This Row],[CUIT]]="","-",VLOOKUP(ventas_b_mes11[[#This Row],[CUIT]],Lista_CUIT[#All],2,0)),"CUIT NO CARGADO")</f>
        <v>-</v>
      </c>
      <c r="H2791" s="64">
        <f>ventas_b_mes11[[#This Row],[TOTAL]]/1.21</f>
        <v>0</v>
      </c>
      <c r="I2791" s="183">
        <f>ventas_b_mes11[[#This Row],[IMPORTE NETO]]*0.21</f>
        <v>0</v>
      </c>
      <c r="J2791" s="184"/>
      <c r="K2791" s="184"/>
      <c r="L2791" s="184"/>
      <c r="M2791" s="59"/>
    </row>
    <row r="2792" spans="2:13" x14ac:dyDescent="0.3">
      <c r="B2792" s="178"/>
      <c r="C2792" s="179"/>
      <c r="D2792" s="180"/>
      <c r="E2792" s="181"/>
      <c r="F2792" s="182"/>
      <c r="G2792" s="1" t="str">
        <f>IFERROR(IF(ventas_b_mes11[[#This Row],[CUIT]]="","-",VLOOKUP(ventas_b_mes11[[#This Row],[CUIT]],Lista_CUIT[#All],2,0)),"CUIT NO CARGADO")</f>
        <v>-</v>
      </c>
      <c r="H2792" s="64">
        <f>ventas_b_mes11[[#This Row],[TOTAL]]/1.21</f>
        <v>0</v>
      </c>
      <c r="I2792" s="183">
        <f>ventas_b_mes11[[#This Row],[IMPORTE NETO]]*0.21</f>
        <v>0</v>
      </c>
      <c r="J2792" s="184"/>
      <c r="K2792" s="184"/>
      <c r="L2792" s="184"/>
      <c r="M2792" s="59"/>
    </row>
    <row r="2793" spans="2:13" x14ac:dyDescent="0.3">
      <c r="B2793" s="178"/>
      <c r="C2793" s="179"/>
      <c r="D2793" s="180"/>
      <c r="E2793" s="181"/>
      <c r="F2793" s="182"/>
      <c r="G2793" s="1" t="str">
        <f>IFERROR(IF(ventas_b_mes11[[#This Row],[CUIT]]="","-",VLOOKUP(ventas_b_mes11[[#This Row],[CUIT]],Lista_CUIT[#All],2,0)),"CUIT NO CARGADO")</f>
        <v>-</v>
      </c>
      <c r="H2793" s="64">
        <f>ventas_b_mes11[[#This Row],[TOTAL]]/1.21</f>
        <v>0</v>
      </c>
      <c r="I2793" s="183">
        <f>ventas_b_mes11[[#This Row],[IMPORTE NETO]]*0.21</f>
        <v>0</v>
      </c>
      <c r="J2793" s="184"/>
      <c r="K2793" s="184"/>
      <c r="L2793" s="184"/>
      <c r="M2793" s="59"/>
    </row>
    <row r="2794" spans="2:13" x14ac:dyDescent="0.3">
      <c r="B2794" s="178"/>
      <c r="C2794" s="179"/>
      <c r="D2794" s="180"/>
      <c r="E2794" s="181"/>
      <c r="F2794" s="182"/>
      <c r="G2794" s="1" t="str">
        <f>IFERROR(IF(ventas_b_mes11[[#This Row],[CUIT]]="","-",VLOOKUP(ventas_b_mes11[[#This Row],[CUIT]],Lista_CUIT[#All],2,0)),"CUIT NO CARGADO")</f>
        <v>-</v>
      </c>
      <c r="H2794" s="64">
        <f>ventas_b_mes11[[#This Row],[TOTAL]]/1.21</f>
        <v>0</v>
      </c>
      <c r="I2794" s="183">
        <f>ventas_b_mes11[[#This Row],[IMPORTE NETO]]*0.21</f>
        <v>0</v>
      </c>
      <c r="J2794" s="184"/>
      <c r="K2794" s="184"/>
      <c r="L2794" s="184"/>
      <c r="M2794" s="59"/>
    </row>
    <row r="2795" spans="2:13" x14ac:dyDescent="0.3">
      <c r="B2795" s="178"/>
      <c r="C2795" s="179"/>
      <c r="D2795" s="180"/>
      <c r="E2795" s="181"/>
      <c r="F2795" s="182"/>
      <c r="G2795" s="1" t="str">
        <f>IFERROR(IF(ventas_b_mes11[[#This Row],[CUIT]]="","-",VLOOKUP(ventas_b_mes11[[#This Row],[CUIT]],Lista_CUIT[#All],2,0)),"CUIT NO CARGADO")</f>
        <v>-</v>
      </c>
      <c r="H2795" s="64">
        <f>ventas_b_mes11[[#This Row],[TOTAL]]/1.21</f>
        <v>0</v>
      </c>
      <c r="I2795" s="183">
        <f>ventas_b_mes11[[#This Row],[IMPORTE NETO]]*0.21</f>
        <v>0</v>
      </c>
      <c r="J2795" s="184"/>
      <c r="K2795" s="184"/>
      <c r="L2795" s="184"/>
      <c r="M2795" s="59"/>
    </row>
    <row r="2796" spans="2:13" x14ac:dyDescent="0.3">
      <c r="B2796" s="178"/>
      <c r="C2796" s="179"/>
      <c r="D2796" s="180"/>
      <c r="E2796" s="181"/>
      <c r="F2796" s="182"/>
      <c r="G2796" s="1" t="str">
        <f>IFERROR(IF(ventas_b_mes11[[#This Row],[CUIT]]="","-",VLOOKUP(ventas_b_mes11[[#This Row],[CUIT]],Lista_CUIT[#All],2,0)),"CUIT NO CARGADO")</f>
        <v>-</v>
      </c>
      <c r="H2796" s="64">
        <f>ventas_b_mes11[[#This Row],[TOTAL]]/1.21</f>
        <v>0</v>
      </c>
      <c r="I2796" s="183">
        <f>ventas_b_mes11[[#This Row],[IMPORTE NETO]]*0.21</f>
        <v>0</v>
      </c>
      <c r="J2796" s="184"/>
      <c r="K2796" s="184"/>
      <c r="L2796" s="184"/>
      <c r="M2796" s="59"/>
    </row>
    <row r="2797" spans="2:13" x14ac:dyDescent="0.3">
      <c r="B2797" s="178"/>
      <c r="C2797" s="179"/>
      <c r="D2797" s="180"/>
      <c r="E2797" s="181"/>
      <c r="F2797" s="182"/>
      <c r="G2797" s="1" t="str">
        <f>IFERROR(IF(ventas_b_mes11[[#This Row],[CUIT]]="","-",VLOOKUP(ventas_b_mes11[[#This Row],[CUIT]],Lista_CUIT[#All],2,0)),"CUIT NO CARGADO")</f>
        <v>-</v>
      </c>
      <c r="H2797" s="64">
        <f>ventas_b_mes11[[#This Row],[TOTAL]]/1.21</f>
        <v>0</v>
      </c>
      <c r="I2797" s="183">
        <f>ventas_b_mes11[[#This Row],[IMPORTE NETO]]*0.21</f>
        <v>0</v>
      </c>
      <c r="J2797" s="184"/>
      <c r="K2797" s="184"/>
      <c r="L2797" s="184"/>
      <c r="M2797" s="59"/>
    </row>
    <row r="2798" spans="2:13" x14ac:dyDescent="0.3">
      <c r="B2798" s="178"/>
      <c r="C2798" s="179"/>
      <c r="D2798" s="180"/>
      <c r="E2798" s="181"/>
      <c r="F2798" s="182"/>
      <c r="G2798" s="1" t="str">
        <f>IFERROR(IF(ventas_b_mes11[[#This Row],[CUIT]]="","-",VLOOKUP(ventas_b_mes11[[#This Row],[CUIT]],Lista_CUIT[#All],2,0)),"CUIT NO CARGADO")</f>
        <v>-</v>
      </c>
      <c r="H2798" s="64">
        <f>ventas_b_mes11[[#This Row],[TOTAL]]/1.21</f>
        <v>0</v>
      </c>
      <c r="I2798" s="183">
        <f>ventas_b_mes11[[#This Row],[IMPORTE NETO]]*0.21</f>
        <v>0</v>
      </c>
      <c r="J2798" s="184"/>
      <c r="K2798" s="184"/>
      <c r="L2798" s="184"/>
      <c r="M2798" s="59"/>
    </row>
    <row r="2799" spans="2:13" x14ac:dyDescent="0.3">
      <c r="B2799" s="178"/>
      <c r="C2799" s="179"/>
      <c r="D2799" s="180"/>
      <c r="E2799" s="181"/>
      <c r="F2799" s="182"/>
      <c r="G2799" s="1" t="str">
        <f>IFERROR(IF(ventas_b_mes11[[#This Row],[CUIT]]="","-",VLOOKUP(ventas_b_mes11[[#This Row],[CUIT]],Lista_CUIT[#All],2,0)),"CUIT NO CARGADO")</f>
        <v>-</v>
      </c>
      <c r="H2799" s="64">
        <f>ventas_b_mes11[[#This Row],[TOTAL]]/1.21</f>
        <v>0</v>
      </c>
      <c r="I2799" s="183">
        <f>ventas_b_mes11[[#This Row],[IMPORTE NETO]]*0.21</f>
        <v>0</v>
      </c>
      <c r="J2799" s="184"/>
      <c r="K2799" s="184"/>
      <c r="L2799" s="184"/>
      <c r="M2799" s="59"/>
    </row>
    <row r="2800" spans="2:13" x14ac:dyDescent="0.3">
      <c r="B2800" s="178"/>
      <c r="C2800" s="179"/>
      <c r="D2800" s="180"/>
      <c r="E2800" s="181"/>
      <c r="F2800" s="182"/>
      <c r="G2800" s="1" t="str">
        <f>IFERROR(IF(ventas_b_mes11[[#This Row],[CUIT]]="","-",VLOOKUP(ventas_b_mes11[[#This Row],[CUIT]],Lista_CUIT[#All],2,0)),"CUIT NO CARGADO")</f>
        <v>-</v>
      </c>
      <c r="H2800" s="64">
        <f>ventas_b_mes11[[#This Row],[TOTAL]]/1.21</f>
        <v>0</v>
      </c>
      <c r="I2800" s="183">
        <f>ventas_b_mes11[[#This Row],[IMPORTE NETO]]*0.21</f>
        <v>0</v>
      </c>
      <c r="J2800" s="184"/>
      <c r="K2800" s="184"/>
      <c r="L2800" s="184"/>
      <c r="M2800" s="59"/>
    </row>
    <row r="2801" spans="2:13" x14ac:dyDescent="0.3">
      <c r="B2801" s="178"/>
      <c r="C2801" s="179"/>
      <c r="D2801" s="180"/>
      <c r="E2801" s="181"/>
      <c r="F2801" s="182"/>
      <c r="G2801" s="1" t="str">
        <f>IFERROR(IF(ventas_b_mes11[[#This Row],[CUIT]]="","-",VLOOKUP(ventas_b_mes11[[#This Row],[CUIT]],Lista_CUIT[#All],2,0)),"CUIT NO CARGADO")</f>
        <v>-</v>
      </c>
      <c r="H2801" s="64">
        <f>ventas_b_mes11[[#This Row],[TOTAL]]/1.21</f>
        <v>0</v>
      </c>
      <c r="I2801" s="183">
        <f>ventas_b_mes11[[#This Row],[IMPORTE NETO]]*0.21</f>
        <v>0</v>
      </c>
      <c r="J2801" s="184"/>
      <c r="K2801" s="184"/>
      <c r="L2801" s="184"/>
      <c r="M2801" s="59"/>
    </row>
    <row r="2802" spans="2:13" x14ac:dyDescent="0.3">
      <c r="B2802" s="178"/>
      <c r="C2802" s="179"/>
      <c r="D2802" s="180"/>
      <c r="E2802" s="181"/>
      <c r="F2802" s="182"/>
      <c r="G2802" s="1" t="str">
        <f>IFERROR(IF(ventas_b_mes11[[#This Row],[CUIT]]="","-",VLOOKUP(ventas_b_mes11[[#This Row],[CUIT]],Lista_CUIT[#All],2,0)),"CUIT NO CARGADO")</f>
        <v>-</v>
      </c>
      <c r="H2802" s="64">
        <f>ventas_b_mes11[[#This Row],[TOTAL]]/1.21</f>
        <v>0</v>
      </c>
      <c r="I2802" s="183">
        <f>ventas_b_mes11[[#This Row],[IMPORTE NETO]]*0.21</f>
        <v>0</v>
      </c>
      <c r="J2802" s="184"/>
      <c r="K2802" s="184"/>
      <c r="L2802" s="184"/>
      <c r="M2802" s="59"/>
    </row>
    <row r="2803" spans="2:13" x14ac:dyDescent="0.3">
      <c r="B2803" s="178"/>
      <c r="C2803" s="179"/>
      <c r="D2803" s="180"/>
      <c r="E2803" s="181"/>
      <c r="F2803" s="182"/>
      <c r="G2803" s="1" t="str">
        <f>IFERROR(IF(ventas_b_mes11[[#This Row],[CUIT]]="","-",VLOOKUP(ventas_b_mes11[[#This Row],[CUIT]],Lista_CUIT[#All],2,0)),"CUIT NO CARGADO")</f>
        <v>-</v>
      </c>
      <c r="H2803" s="64">
        <f>ventas_b_mes11[[#This Row],[TOTAL]]/1.21</f>
        <v>0</v>
      </c>
      <c r="I2803" s="183">
        <f>ventas_b_mes11[[#This Row],[IMPORTE NETO]]*0.21</f>
        <v>0</v>
      </c>
      <c r="J2803" s="184"/>
      <c r="K2803" s="184"/>
      <c r="L2803" s="184"/>
      <c r="M2803" s="59"/>
    </row>
    <row r="2804" spans="2:13" x14ac:dyDescent="0.3">
      <c r="B2804" s="178"/>
      <c r="C2804" s="179"/>
      <c r="D2804" s="180"/>
      <c r="E2804" s="181"/>
      <c r="F2804" s="182"/>
      <c r="G2804" s="1" t="str">
        <f>IFERROR(IF(ventas_b_mes11[[#This Row],[CUIT]]="","-",VLOOKUP(ventas_b_mes11[[#This Row],[CUIT]],Lista_CUIT[#All],2,0)),"CUIT NO CARGADO")</f>
        <v>-</v>
      </c>
      <c r="H2804" s="64">
        <f>ventas_b_mes11[[#This Row],[TOTAL]]/1.21</f>
        <v>0</v>
      </c>
      <c r="I2804" s="183">
        <f>ventas_b_mes11[[#This Row],[IMPORTE NETO]]*0.21</f>
        <v>0</v>
      </c>
      <c r="J2804" s="184"/>
      <c r="K2804" s="184"/>
      <c r="L2804" s="184"/>
      <c r="M2804" s="59"/>
    </row>
    <row r="2805" spans="2:13" x14ac:dyDescent="0.3">
      <c r="B2805" s="178"/>
      <c r="C2805" s="179"/>
      <c r="D2805" s="180"/>
      <c r="E2805" s="181"/>
      <c r="F2805" s="182"/>
      <c r="G2805" s="1" t="str">
        <f>IFERROR(IF(ventas_b_mes11[[#This Row],[CUIT]]="","-",VLOOKUP(ventas_b_mes11[[#This Row],[CUIT]],Lista_CUIT[#All],2,0)),"CUIT NO CARGADO")</f>
        <v>-</v>
      </c>
      <c r="H2805" s="64">
        <f>ventas_b_mes11[[#This Row],[TOTAL]]/1.21</f>
        <v>0</v>
      </c>
      <c r="I2805" s="183">
        <f>ventas_b_mes11[[#This Row],[IMPORTE NETO]]*0.21</f>
        <v>0</v>
      </c>
      <c r="J2805" s="184"/>
      <c r="K2805" s="184"/>
      <c r="L2805" s="184"/>
      <c r="M2805" s="59"/>
    </row>
    <row r="2806" spans="2:13" x14ac:dyDescent="0.3">
      <c r="B2806" s="178"/>
      <c r="C2806" s="179"/>
      <c r="D2806" s="180"/>
      <c r="E2806" s="181"/>
      <c r="F2806" s="182"/>
      <c r="G2806" s="1" t="str">
        <f>IFERROR(IF(ventas_b_mes11[[#This Row],[CUIT]]="","-",VLOOKUP(ventas_b_mes11[[#This Row],[CUIT]],Lista_CUIT[#All],2,0)),"CUIT NO CARGADO")</f>
        <v>-</v>
      </c>
      <c r="H2806" s="64">
        <f>ventas_b_mes11[[#This Row],[TOTAL]]/1.21</f>
        <v>0</v>
      </c>
      <c r="I2806" s="183">
        <f>ventas_b_mes11[[#This Row],[IMPORTE NETO]]*0.21</f>
        <v>0</v>
      </c>
      <c r="J2806" s="184"/>
      <c r="K2806" s="184"/>
      <c r="L2806" s="184"/>
      <c r="M2806" s="59"/>
    </row>
    <row r="2807" spans="2:13" x14ac:dyDescent="0.3">
      <c r="B2807" s="178"/>
      <c r="C2807" s="179"/>
      <c r="D2807" s="180"/>
      <c r="E2807" s="181"/>
      <c r="F2807" s="182"/>
      <c r="G2807" s="1" t="str">
        <f>IFERROR(IF(ventas_b_mes11[[#This Row],[CUIT]]="","-",VLOOKUP(ventas_b_mes11[[#This Row],[CUIT]],Lista_CUIT[#All],2,0)),"CUIT NO CARGADO")</f>
        <v>-</v>
      </c>
      <c r="H2807" s="64">
        <f>ventas_b_mes11[[#This Row],[TOTAL]]/1.21</f>
        <v>0</v>
      </c>
      <c r="I2807" s="183">
        <f>ventas_b_mes11[[#This Row],[IMPORTE NETO]]*0.21</f>
        <v>0</v>
      </c>
      <c r="J2807" s="184"/>
      <c r="K2807" s="184"/>
      <c r="L2807" s="184"/>
      <c r="M2807" s="59"/>
    </row>
    <row r="2808" spans="2:13" x14ac:dyDescent="0.3">
      <c r="B2808" s="178"/>
      <c r="C2808" s="179"/>
      <c r="D2808" s="180"/>
      <c r="E2808" s="181"/>
      <c r="F2808" s="182"/>
      <c r="G2808" s="1" t="str">
        <f>IFERROR(IF(ventas_b_mes11[[#This Row],[CUIT]]="","-",VLOOKUP(ventas_b_mes11[[#This Row],[CUIT]],Lista_CUIT[#All],2,0)),"CUIT NO CARGADO")</f>
        <v>-</v>
      </c>
      <c r="H2808" s="64">
        <f>ventas_b_mes11[[#This Row],[TOTAL]]/1.21</f>
        <v>0</v>
      </c>
      <c r="I2808" s="183">
        <f>ventas_b_mes11[[#This Row],[IMPORTE NETO]]*0.21</f>
        <v>0</v>
      </c>
      <c r="J2808" s="184"/>
      <c r="K2808" s="184"/>
      <c r="L2808" s="184"/>
      <c r="M2808" s="59"/>
    </row>
    <row r="2809" spans="2:13" x14ac:dyDescent="0.3">
      <c r="B2809" s="178"/>
      <c r="C2809" s="179"/>
      <c r="D2809" s="180"/>
      <c r="E2809" s="181"/>
      <c r="F2809" s="182"/>
      <c r="G2809" s="1" t="str">
        <f>IFERROR(IF(ventas_b_mes11[[#This Row],[CUIT]]="","-",VLOOKUP(ventas_b_mes11[[#This Row],[CUIT]],Lista_CUIT[#All],2,0)),"CUIT NO CARGADO")</f>
        <v>-</v>
      </c>
      <c r="H2809" s="64">
        <f>ventas_b_mes11[[#This Row],[TOTAL]]/1.21</f>
        <v>0</v>
      </c>
      <c r="I2809" s="183">
        <f>ventas_b_mes11[[#This Row],[IMPORTE NETO]]*0.21</f>
        <v>0</v>
      </c>
      <c r="J2809" s="184"/>
      <c r="K2809" s="184"/>
      <c r="L2809" s="184"/>
      <c r="M2809" s="59"/>
    </row>
    <row r="2810" spans="2:13" x14ac:dyDescent="0.3">
      <c r="B2810" s="178"/>
      <c r="C2810" s="179"/>
      <c r="D2810" s="180"/>
      <c r="E2810" s="181"/>
      <c r="F2810" s="182"/>
      <c r="G2810" s="1" t="str">
        <f>IFERROR(IF(ventas_b_mes11[[#This Row],[CUIT]]="","-",VLOOKUP(ventas_b_mes11[[#This Row],[CUIT]],Lista_CUIT[#All],2,0)),"CUIT NO CARGADO")</f>
        <v>-</v>
      </c>
      <c r="H2810" s="64">
        <f>ventas_b_mes11[[#This Row],[TOTAL]]/1.21</f>
        <v>0</v>
      </c>
      <c r="I2810" s="183">
        <f>ventas_b_mes11[[#This Row],[IMPORTE NETO]]*0.21</f>
        <v>0</v>
      </c>
      <c r="J2810" s="184"/>
      <c r="K2810" s="184"/>
      <c r="L2810" s="184"/>
      <c r="M2810" s="59"/>
    </row>
    <row r="2811" spans="2:13" x14ac:dyDescent="0.3">
      <c r="B2811" s="178"/>
      <c r="C2811" s="179"/>
      <c r="D2811" s="180"/>
      <c r="E2811" s="181"/>
      <c r="F2811" s="182"/>
      <c r="G2811" s="1" t="str">
        <f>IFERROR(IF(ventas_b_mes11[[#This Row],[CUIT]]="","-",VLOOKUP(ventas_b_mes11[[#This Row],[CUIT]],Lista_CUIT[#All],2,0)),"CUIT NO CARGADO")</f>
        <v>-</v>
      </c>
      <c r="H2811" s="64">
        <f>ventas_b_mes11[[#This Row],[TOTAL]]/1.21</f>
        <v>0</v>
      </c>
      <c r="I2811" s="183">
        <f>ventas_b_mes11[[#This Row],[IMPORTE NETO]]*0.21</f>
        <v>0</v>
      </c>
      <c r="J2811" s="184"/>
      <c r="K2811" s="184"/>
      <c r="L2811" s="184"/>
      <c r="M2811" s="59"/>
    </row>
    <row r="2812" spans="2:13" x14ac:dyDescent="0.3">
      <c r="B2812" s="178"/>
      <c r="C2812" s="179"/>
      <c r="D2812" s="180"/>
      <c r="E2812" s="181"/>
      <c r="F2812" s="182"/>
      <c r="G2812" s="1" t="str">
        <f>IFERROR(IF(ventas_b_mes11[[#This Row],[CUIT]]="","-",VLOOKUP(ventas_b_mes11[[#This Row],[CUIT]],Lista_CUIT[#All],2,0)),"CUIT NO CARGADO")</f>
        <v>-</v>
      </c>
      <c r="H2812" s="64">
        <f>ventas_b_mes11[[#This Row],[TOTAL]]/1.21</f>
        <v>0</v>
      </c>
      <c r="I2812" s="183">
        <f>ventas_b_mes11[[#This Row],[IMPORTE NETO]]*0.21</f>
        <v>0</v>
      </c>
      <c r="J2812" s="184"/>
      <c r="K2812" s="184"/>
      <c r="L2812" s="184"/>
      <c r="M2812" s="59"/>
    </row>
    <row r="2813" spans="2:13" x14ac:dyDescent="0.3">
      <c r="B2813" s="178"/>
      <c r="C2813" s="179"/>
      <c r="D2813" s="180"/>
      <c r="E2813" s="181"/>
      <c r="F2813" s="182"/>
      <c r="G2813" s="1" t="str">
        <f>IFERROR(IF(ventas_b_mes11[[#This Row],[CUIT]]="","-",VLOOKUP(ventas_b_mes11[[#This Row],[CUIT]],Lista_CUIT[#All],2,0)),"CUIT NO CARGADO")</f>
        <v>-</v>
      </c>
      <c r="H2813" s="64">
        <f>ventas_b_mes11[[#This Row],[TOTAL]]/1.21</f>
        <v>0</v>
      </c>
      <c r="I2813" s="183">
        <f>ventas_b_mes11[[#This Row],[IMPORTE NETO]]*0.21</f>
        <v>0</v>
      </c>
      <c r="J2813" s="184"/>
      <c r="K2813" s="184"/>
      <c r="L2813" s="184"/>
      <c r="M2813" s="59"/>
    </row>
    <row r="2814" spans="2:13" x14ac:dyDescent="0.3">
      <c r="B2814" s="178"/>
      <c r="C2814" s="179"/>
      <c r="D2814" s="180"/>
      <c r="E2814" s="181"/>
      <c r="F2814" s="182"/>
      <c r="G2814" s="1" t="str">
        <f>IFERROR(IF(ventas_b_mes11[[#This Row],[CUIT]]="","-",VLOOKUP(ventas_b_mes11[[#This Row],[CUIT]],Lista_CUIT[#All],2,0)),"CUIT NO CARGADO")</f>
        <v>-</v>
      </c>
      <c r="H2814" s="64">
        <f>ventas_b_mes11[[#This Row],[TOTAL]]/1.21</f>
        <v>0</v>
      </c>
      <c r="I2814" s="183">
        <f>ventas_b_mes11[[#This Row],[IMPORTE NETO]]*0.21</f>
        <v>0</v>
      </c>
      <c r="J2814" s="184"/>
      <c r="K2814" s="184"/>
      <c r="L2814" s="184"/>
      <c r="M2814" s="59"/>
    </row>
    <row r="2815" spans="2:13" x14ac:dyDescent="0.3">
      <c r="B2815" s="178"/>
      <c r="C2815" s="179"/>
      <c r="D2815" s="180"/>
      <c r="E2815" s="181"/>
      <c r="F2815" s="182"/>
      <c r="G2815" s="1" t="str">
        <f>IFERROR(IF(ventas_b_mes11[[#This Row],[CUIT]]="","-",VLOOKUP(ventas_b_mes11[[#This Row],[CUIT]],Lista_CUIT[#All],2,0)),"CUIT NO CARGADO")</f>
        <v>-</v>
      </c>
      <c r="H2815" s="64">
        <f>ventas_b_mes11[[#This Row],[TOTAL]]/1.21</f>
        <v>0</v>
      </c>
      <c r="I2815" s="183">
        <f>ventas_b_mes11[[#This Row],[IMPORTE NETO]]*0.21</f>
        <v>0</v>
      </c>
      <c r="J2815" s="184"/>
      <c r="K2815" s="184"/>
      <c r="L2815" s="184"/>
      <c r="M2815" s="59"/>
    </row>
    <row r="2816" spans="2:13" x14ac:dyDescent="0.3">
      <c r="B2816" s="178"/>
      <c r="C2816" s="179"/>
      <c r="D2816" s="180"/>
      <c r="E2816" s="181"/>
      <c r="F2816" s="182"/>
      <c r="G2816" s="1" t="str">
        <f>IFERROR(IF(ventas_b_mes11[[#This Row],[CUIT]]="","-",VLOOKUP(ventas_b_mes11[[#This Row],[CUIT]],Lista_CUIT[#All],2,0)),"CUIT NO CARGADO")</f>
        <v>-</v>
      </c>
      <c r="H2816" s="64">
        <f>ventas_b_mes11[[#This Row],[TOTAL]]/1.21</f>
        <v>0</v>
      </c>
      <c r="I2816" s="183">
        <f>ventas_b_mes11[[#This Row],[IMPORTE NETO]]*0.21</f>
        <v>0</v>
      </c>
      <c r="J2816" s="184"/>
      <c r="K2816" s="184"/>
      <c r="L2816" s="184"/>
      <c r="M2816" s="59"/>
    </row>
    <row r="2817" spans="2:13" x14ac:dyDescent="0.3">
      <c r="B2817" s="178"/>
      <c r="C2817" s="179"/>
      <c r="D2817" s="180"/>
      <c r="E2817" s="181"/>
      <c r="F2817" s="182"/>
      <c r="G2817" s="1" t="str">
        <f>IFERROR(IF(ventas_b_mes11[[#This Row],[CUIT]]="","-",VLOOKUP(ventas_b_mes11[[#This Row],[CUIT]],Lista_CUIT[#All],2,0)),"CUIT NO CARGADO")</f>
        <v>-</v>
      </c>
      <c r="H2817" s="64">
        <f>ventas_b_mes11[[#This Row],[TOTAL]]/1.21</f>
        <v>0</v>
      </c>
      <c r="I2817" s="183">
        <f>ventas_b_mes11[[#This Row],[IMPORTE NETO]]*0.21</f>
        <v>0</v>
      </c>
      <c r="J2817" s="184"/>
      <c r="K2817" s="184"/>
      <c r="L2817" s="184"/>
      <c r="M2817" s="59"/>
    </row>
    <row r="2818" spans="2:13" x14ac:dyDescent="0.3">
      <c r="B2818" s="178"/>
      <c r="C2818" s="179"/>
      <c r="D2818" s="180"/>
      <c r="E2818" s="181"/>
      <c r="F2818" s="182"/>
      <c r="G2818" s="1" t="str">
        <f>IFERROR(IF(ventas_b_mes11[[#This Row],[CUIT]]="","-",VLOOKUP(ventas_b_mes11[[#This Row],[CUIT]],Lista_CUIT[#All],2,0)),"CUIT NO CARGADO")</f>
        <v>-</v>
      </c>
      <c r="H2818" s="64">
        <f>ventas_b_mes11[[#This Row],[TOTAL]]/1.21</f>
        <v>0</v>
      </c>
      <c r="I2818" s="183">
        <f>ventas_b_mes11[[#This Row],[IMPORTE NETO]]*0.21</f>
        <v>0</v>
      </c>
      <c r="J2818" s="184"/>
      <c r="K2818" s="184"/>
      <c r="L2818" s="184"/>
      <c r="M2818" s="59"/>
    </row>
    <row r="2819" spans="2:13" x14ac:dyDescent="0.3">
      <c r="B2819" s="178"/>
      <c r="C2819" s="179"/>
      <c r="D2819" s="180"/>
      <c r="E2819" s="181"/>
      <c r="F2819" s="182"/>
      <c r="G2819" s="1" t="str">
        <f>IFERROR(IF(ventas_b_mes11[[#This Row],[CUIT]]="","-",VLOOKUP(ventas_b_mes11[[#This Row],[CUIT]],Lista_CUIT[#All],2,0)),"CUIT NO CARGADO")</f>
        <v>-</v>
      </c>
      <c r="H2819" s="64">
        <f>ventas_b_mes11[[#This Row],[TOTAL]]/1.21</f>
        <v>0</v>
      </c>
      <c r="I2819" s="183">
        <f>ventas_b_mes11[[#This Row],[IMPORTE NETO]]*0.21</f>
        <v>0</v>
      </c>
      <c r="J2819" s="184"/>
      <c r="K2819" s="184"/>
      <c r="L2819" s="184"/>
      <c r="M2819" s="59"/>
    </row>
    <row r="2820" spans="2:13" x14ac:dyDescent="0.3">
      <c r="B2820" s="178"/>
      <c r="C2820" s="179"/>
      <c r="D2820" s="180"/>
      <c r="E2820" s="181"/>
      <c r="F2820" s="182"/>
      <c r="G2820" s="1" t="str">
        <f>IFERROR(IF(ventas_b_mes11[[#This Row],[CUIT]]="","-",VLOOKUP(ventas_b_mes11[[#This Row],[CUIT]],Lista_CUIT[#All],2,0)),"CUIT NO CARGADO")</f>
        <v>-</v>
      </c>
      <c r="H2820" s="64">
        <f>ventas_b_mes11[[#This Row],[TOTAL]]/1.21</f>
        <v>0</v>
      </c>
      <c r="I2820" s="183">
        <f>ventas_b_mes11[[#This Row],[IMPORTE NETO]]*0.21</f>
        <v>0</v>
      </c>
      <c r="J2820" s="184"/>
      <c r="K2820" s="184"/>
      <c r="L2820" s="184"/>
      <c r="M2820" s="59"/>
    </row>
    <row r="2821" spans="2:13" x14ac:dyDescent="0.3">
      <c r="B2821" s="178"/>
      <c r="C2821" s="179"/>
      <c r="D2821" s="180"/>
      <c r="E2821" s="181"/>
      <c r="F2821" s="182"/>
      <c r="G2821" s="1" t="str">
        <f>IFERROR(IF(ventas_b_mes11[[#This Row],[CUIT]]="","-",VLOOKUP(ventas_b_mes11[[#This Row],[CUIT]],Lista_CUIT[#All],2,0)),"CUIT NO CARGADO")</f>
        <v>-</v>
      </c>
      <c r="H2821" s="64">
        <f>ventas_b_mes11[[#This Row],[TOTAL]]/1.21</f>
        <v>0</v>
      </c>
      <c r="I2821" s="183">
        <f>ventas_b_mes11[[#This Row],[IMPORTE NETO]]*0.21</f>
        <v>0</v>
      </c>
      <c r="J2821" s="184"/>
      <c r="K2821" s="184"/>
      <c r="L2821" s="184"/>
      <c r="M2821" s="59"/>
    </row>
    <row r="2822" spans="2:13" x14ac:dyDescent="0.3">
      <c r="B2822" s="178"/>
      <c r="C2822" s="179"/>
      <c r="D2822" s="180"/>
      <c r="E2822" s="181"/>
      <c r="F2822" s="182"/>
      <c r="G2822" s="1" t="str">
        <f>IFERROR(IF(ventas_b_mes11[[#This Row],[CUIT]]="","-",VLOOKUP(ventas_b_mes11[[#This Row],[CUIT]],Lista_CUIT[#All],2,0)),"CUIT NO CARGADO")</f>
        <v>-</v>
      </c>
      <c r="H2822" s="64">
        <f>ventas_b_mes11[[#This Row],[TOTAL]]/1.21</f>
        <v>0</v>
      </c>
      <c r="I2822" s="183">
        <f>ventas_b_mes11[[#This Row],[IMPORTE NETO]]*0.21</f>
        <v>0</v>
      </c>
      <c r="J2822" s="184"/>
      <c r="K2822" s="184"/>
      <c r="L2822" s="184"/>
      <c r="M2822" s="59"/>
    </row>
    <row r="2823" spans="2:13" x14ac:dyDescent="0.3">
      <c r="B2823" s="178"/>
      <c r="C2823" s="179"/>
      <c r="D2823" s="180"/>
      <c r="E2823" s="181"/>
      <c r="F2823" s="182"/>
      <c r="G2823" s="1" t="str">
        <f>IFERROR(IF(ventas_b_mes11[[#This Row],[CUIT]]="","-",VLOOKUP(ventas_b_mes11[[#This Row],[CUIT]],Lista_CUIT[#All],2,0)),"CUIT NO CARGADO")</f>
        <v>-</v>
      </c>
      <c r="H2823" s="64">
        <f>ventas_b_mes11[[#This Row],[TOTAL]]/1.21</f>
        <v>0</v>
      </c>
      <c r="I2823" s="183">
        <f>ventas_b_mes11[[#This Row],[IMPORTE NETO]]*0.21</f>
        <v>0</v>
      </c>
      <c r="J2823" s="184"/>
      <c r="K2823" s="184"/>
      <c r="L2823" s="184"/>
      <c r="M2823" s="59"/>
    </row>
    <row r="2824" spans="2:13" x14ac:dyDescent="0.3">
      <c r="B2824" s="178"/>
      <c r="C2824" s="179"/>
      <c r="D2824" s="180"/>
      <c r="E2824" s="181"/>
      <c r="F2824" s="182"/>
      <c r="G2824" s="1" t="str">
        <f>IFERROR(IF(ventas_b_mes11[[#This Row],[CUIT]]="","-",VLOOKUP(ventas_b_mes11[[#This Row],[CUIT]],Lista_CUIT[#All],2,0)),"CUIT NO CARGADO")</f>
        <v>-</v>
      </c>
      <c r="H2824" s="64">
        <f>ventas_b_mes11[[#This Row],[TOTAL]]/1.21</f>
        <v>0</v>
      </c>
      <c r="I2824" s="183">
        <f>ventas_b_mes11[[#This Row],[IMPORTE NETO]]*0.21</f>
        <v>0</v>
      </c>
      <c r="J2824" s="184"/>
      <c r="K2824" s="184"/>
      <c r="L2824" s="184"/>
      <c r="M2824" s="59"/>
    </row>
    <row r="2825" spans="2:13" x14ac:dyDescent="0.3">
      <c r="B2825" s="178"/>
      <c r="C2825" s="179"/>
      <c r="D2825" s="180"/>
      <c r="E2825" s="181"/>
      <c r="F2825" s="182"/>
      <c r="G2825" s="1" t="str">
        <f>IFERROR(IF(ventas_b_mes11[[#This Row],[CUIT]]="","-",VLOOKUP(ventas_b_mes11[[#This Row],[CUIT]],Lista_CUIT[#All],2,0)),"CUIT NO CARGADO")</f>
        <v>-</v>
      </c>
      <c r="H2825" s="64">
        <f>ventas_b_mes11[[#This Row],[TOTAL]]/1.21</f>
        <v>0</v>
      </c>
      <c r="I2825" s="183">
        <f>ventas_b_mes11[[#This Row],[IMPORTE NETO]]*0.21</f>
        <v>0</v>
      </c>
      <c r="J2825" s="184"/>
      <c r="K2825" s="184"/>
      <c r="L2825" s="184"/>
      <c r="M2825" s="59"/>
    </row>
    <row r="2826" spans="2:13" x14ac:dyDescent="0.3">
      <c r="B2826" s="178"/>
      <c r="C2826" s="179"/>
      <c r="D2826" s="180"/>
      <c r="E2826" s="181"/>
      <c r="F2826" s="182"/>
      <c r="G2826" s="1" t="str">
        <f>IFERROR(IF(ventas_b_mes11[[#This Row],[CUIT]]="","-",VLOOKUP(ventas_b_mes11[[#This Row],[CUIT]],Lista_CUIT[#All],2,0)),"CUIT NO CARGADO")</f>
        <v>-</v>
      </c>
      <c r="H2826" s="64">
        <f>ventas_b_mes11[[#This Row],[TOTAL]]/1.21</f>
        <v>0</v>
      </c>
      <c r="I2826" s="183">
        <f>ventas_b_mes11[[#This Row],[IMPORTE NETO]]*0.21</f>
        <v>0</v>
      </c>
      <c r="J2826" s="184"/>
      <c r="K2826" s="184"/>
      <c r="L2826" s="184"/>
      <c r="M2826" s="59"/>
    </row>
    <row r="2827" spans="2:13" x14ac:dyDescent="0.3">
      <c r="B2827" s="178"/>
      <c r="C2827" s="179"/>
      <c r="D2827" s="180"/>
      <c r="E2827" s="181"/>
      <c r="F2827" s="182"/>
      <c r="G2827" s="1" t="str">
        <f>IFERROR(IF(ventas_b_mes11[[#This Row],[CUIT]]="","-",VLOOKUP(ventas_b_mes11[[#This Row],[CUIT]],Lista_CUIT[#All],2,0)),"CUIT NO CARGADO")</f>
        <v>-</v>
      </c>
      <c r="H2827" s="64">
        <f>ventas_b_mes11[[#This Row],[TOTAL]]/1.21</f>
        <v>0</v>
      </c>
      <c r="I2827" s="183">
        <f>ventas_b_mes11[[#This Row],[IMPORTE NETO]]*0.21</f>
        <v>0</v>
      </c>
      <c r="J2827" s="184"/>
      <c r="K2827" s="184"/>
      <c r="L2827" s="184"/>
      <c r="M2827" s="59"/>
    </row>
    <row r="2828" spans="2:13" x14ac:dyDescent="0.3">
      <c r="B2828" s="178"/>
      <c r="C2828" s="179"/>
      <c r="D2828" s="180"/>
      <c r="E2828" s="181"/>
      <c r="F2828" s="182"/>
      <c r="G2828" s="1" t="str">
        <f>IFERROR(IF(ventas_b_mes11[[#This Row],[CUIT]]="","-",VLOOKUP(ventas_b_mes11[[#This Row],[CUIT]],Lista_CUIT[#All],2,0)),"CUIT NO CARGADO")</f>
        <v>-</v>
      </c>
      <c r="H2828" s="64">
        <f>ventas_b_mes11[[#This Row],[TOTAL]]/1.21</f>
        <v>0</v>
      </c>
      <c r="I2828" s="183">
        <f>ventas_b_mes11[[#This Row],[IMPORTE NETO]]*0.21</f>
        <v>0</v>
      </c>
      <c r="J2828" s="184"/>
      <c r="K2828" s="184"/>
      <c r="L2828" s="184"/>
      <c r="M2828" s="59"/>
    </row>
    <row r="2829" spans="2:13" x14ac:dyDescent="0.3">
      <c r="B2829" s="178"/>
      <c r="C2829" s="179"/>
      <c r="D2829" s="180"/>
      <c r="E2829" s="181"/>
      <c r="F2829" s="182"/>
      <c r="G2829" s="1" t="str">
        <f>IFERROR(IF(ventas_b_mes11[[#This Row],[CUIT]]="","-",VLOOKUP(ventas_b_mes11[[#This Row],[CUIT]],Lista_CUIT[#All],2,0)),"CUIT NO CARGADO")</f>
        <v>-</v>
      </c>
      <c r="H2829" s="64">
        <f>ventas_b_mes11[[#This Row],[TOTAL]]/1.21</f>
        <v>0</v>
      </c>
      <c r="I2829" s="183">
        <f>ventas_b_mes11[[#This Row],[IMPORTE NETO]]*0.21</f>
        <v>0</v>
      </c>
      <c r="J2829" s="184"/>
      <c r="K2829" s="184"/>
      <c r="L2829" s="184"/>
      <c r="M2829" s="59"/>
    </row>
    <row r="2830" spans="2:13" x14ac:dyDescent="0.3">
      <c r="B2830" s="178"/>
      <c r="C2830" s="179"/>
      <c r="D2830" s="180"/>
      <c r="E2830" s="181"/>
      <c r="F2830" s="182"/>
      <c r="G2830" s="1" t="str">
        <f>IFERROR(IF(ventas_b_mes11[[#This Row],[CUIT]]="","-",VLOOKUP(ventas_b_mes11[[#This Row],[CUIT]],Lista_CUIT[#All],2,0)),"CUIT NO CARGADO")</f>
        <v>-</v>
      </c>
      <c r="H2830" s="64">
        <f>ventas_b_mes11[[#This Row],[TOTAL]]/1.21</f>
        <v>0</v>
      </c>
      <c r="I2830" s="183">
        <f>ventas_b_mes11[[#This Row],[IMPORTE NETO]]*0.21</f>
        <v>0</v>
      </c>
      <c r="J2830" s="184"/>
      <c r="K2830" s="184"/>
      <c r="L2830" s="184"/>
      <c r="M2830" s="59"/>
    </row>
    <row r="2831" spans="2:13" x14ac:dyDescent="0.3">
      <c r="B2831" s="178"/>
      <c r="C2831" s="179"/>
      <c r="D2831" s="180"/>
      <c r="E2831" s="181"/>
      <c r="F2831" s="182"/>
      <c r="G2831" s="1" t="str">
        <f>IFERROR(IF(ventas_b_mes11[[#This Row],[CUIT]]="","-",VLOOKUP(ventas_b_mes11[[#This Row],[CUIT]],Lista_CUIT[#All],2,0)),"CUIT NO CARGADO")</f>
        <v>-</v>
      </c>
      <c r="H2831" s="64">
        <f>ventas_b_mes11[[#This Row],[TOTAL]]/1.21</f>
        <v>0</v>
      </c>
      <c r="I2831" s="183">
        <f>ventas_b_mes11[[#This Row],[IMPORTE NETO]]*0.21</f>
        <v>0</v>
      </c>
      <c r="J2831" s="184"/>
      <c r="K2831" s="184"/>
      <c r="L2831" s="184"/>
      <c r="M2831" s="59"/>
    </row>
    <row r="2832" spans="2:13" x14ac:dyDescent="0.3">
      <c r="B2832" s="178"/>
      <c r="C2832" s="179"/>
      <c r="D2832" s="180"/>
      <c r="E2832" s="181"/>
      <c r="F2832" s="182"/>
      <c r="G2832" s="1" t="str">
        <f>IFERROR(IF(ventas_b_mes11[[#This Row],[CUIT]]="","-",VLOOKUP(ventas_b_mes11[[#This Row],[CUIT]],Lista_CUIT[#All],2,0)),"CUIT NO CARGADO")</f>
        <v>-</v>
      </c>
      <c r="H2832" s="64">
        <f>ventas_b_mes11[[#This Row],[TOTAL]]/1.21</f>
        <v>0</v>
      </c>
      <c r="I2832" s="183">
        <f>ventas_b_mes11[[#This Row],[IMPORTE NETO]]*0.21</f>
        <v>0</v>
      </c>
      <c r="J2832" s="184"/>
      <c r="K2832" s="184"/>
      <c r="L2832" s="184"/>
      <c r="M2832" s="59"/>
    </row>
    <row r="2833" spans="2:13" x14ac:dyDescent="0.3">
      <c r="B2833" s="178"/>
      <c r="C2833" s="179"/>
      <c r="D2833" s="180"/>
      <c r="E2833" s="181"/>
      <c r="F2833" s="182"/>
      <c r="G2833" s="1" t="str">
        <f>IFERROR(IF(ventas_b_mes11[[#This Row],[CUIT]]="","-",VLOOKUP(ventas_b_mes11[[#This Row],[CUIT]],Lista_CUIT[#All],2,0)),"CUIT NO CARGADO")</f>
        <v>-</v>
      </c>
      <c r="H2833" s="64">
        <f>ventas_b_mes11[[#This Row],[TOTAL]]/1.21</f>
        <v>0</v>
      </c>
      <c r="I2833" s="183">
        <f>ventas_b_mes11[[#This Row],[IMPORTE NETO]]*0.21</f>
        <v>0</v>
      </c>
      <c r="J2833" s="184"/>
      <c r="K2833" s="184"/>
      <c r="L2833" s="184"/>
      <c r="M2833" s="59"/>
    </row>
    <row r="2834" spans="2:13" x14ac:dyDescent="0.3">
      <c r="B2834" s="178"/>
      <c r="C2834" s="179"/>
      <c r="D2834" s="180"/>
      <c r="E2834" s="181"/>
      <c r="F2834" s="182"/>
      <c r="G2834" s="1" t="str">
        <f>IFERROR(IF(ventas_b_mes11[[#This Row],[CUIT]]="","-",VLOOKUP(ventas_b_mes11[[#This Row],[CUIT]],Lista_CUIT[#All],2,0)),"CUIT NO CARGADO")</f>
        <v>-</v>
      </c>
      <c r="H2834" s="64">
        <f>ventas_b_mes11[[#This Row],[TOTAL]]/1.21</f>
        <v>0</v>
      </c>
      <c r="I2834" s="183">
        <f>ventas_b_mes11[[#This Row],[IMPORTE NETO]]*0.21</f>
        <v>0</v>
      </c>
      <c r="J2834" s="184"/>
      <c r="K2834" s="184"/>
      <c r="L2834" s="184"/>
      <c r="M2834" s="59"/>
    </row>
    <row r="2835" spans="2:13" x14ac:dyDescent="0.3">
      <c r="B2835" s="178"/>
      <c r="C2835" s="179"/>
      <c r="D2835" s="180"/>
      <c r="E2835" s="181"/>
      <c r="F2835" s="182"/>
      <c r="G2835" s="1" t="str">
        <f>IFERROR(IF(ventas_b_mes11[[#This Row],[CUIT]]="","-",VLOOKUP(ventas_b_mes11[[#This Row],[CUIT]],Lista_CUIT[#All],2,0)),"CUIT NO CARGADO")</f>
        <v>-</v>
      </c>
      <c r="H2835" s="64">
        <f>ventas_b_mes11[[#This Row],[TOTAL]]/1.21</f>
        <v>0</v>
      </c>
      <c r="I2835" s="183">
        <f>ventas_b_mes11[[#This Row],[IMPORTE NETO]]*0.21</f>
        <v>0</v>
      </c>
      <c r="J2835" s="184"/>
      <c r="K2835" s="184"/>
      <c r="L2835" s="184"/>
      <c r="M2835" s="59"/>
    </row>
    <row r="2836" spans="2:13" x14ac:dyDescent="0.3">
      <c r="B2836" s="178"/>
      <c r="C2836" s="179"/>
      <c r="D2836" s="180"/>
      <c r="E2836" s="181"/>
      <c r="F2836" s="182"/>
      <c r="G2836" s="1" t="str">
        <f>IFERROR(IF(ventas_b_mes11[[#This Row],[CUIT]]="","-",VLOOKUP(ventas_b_mes11[[#This Row],[CUIT]],Lista_CUIT[#All],2,0)),"CUIT NO CARGADO")</f>
        <v>-</v>
      </c>
      <c r="H2836" s="64">
        <f>ventas_b_mes11[[#This Row],[TOTAL]]/1.21</f>
        <v>0</v>
      </c>
      <c r="I2836" s="183">
        <f>ventas_b_mes11[[#This Row],[IMPORTE NETO]]*0.21</f>
        <v>0</v>
      </c>
      <c r="J2836" s="184"/>
      <c r="K2836" s="184"/>
      <c r="L2836" s="184"/>
      <c r="M2836" s="59"/>
    </row>
    <row r="2837" spans="2:13" x14ac:dyDescent="0.3">
      <c r="B2837" s="178"/>
      <c r="C2837" s="179"/>
      <c r="D2837" s="180"/>
      <c r="E2837" s="181"/>
      <c r="F2837" s="182"/>
      <c r="G2837" s="1" t="str">
        <f>IFERROR(IF(ventas_b_mes11[[#This Row],[CUIT]]="","-",VLOOKUP(ventas_b_mes11[[#This Row],[CUIT]],Lista_CUIT[#All],2,0)),"CUIT NO CARGADO")</f>
        <v>-</v>
      </c>
      <c r="H2837" s="64">
        <f>ventas_b_mes11[[#This Row],[TOTAL]]/1.21</f>
        <v>0</v>
      </c>
      <c r="I2837" s="183">
        <f>ventas_b_mes11[[#This Row],[IMPORTE NETO]]*0.21</f>
        <v>0</v>
      </c>
      <c r="J2837" s="184"/>
      <c r="K2837" s="184"/>
      <c r="L2837" s="184"/>
      <c r="M2837" s="59"/>
    </row>
    <row r="2838" spans="2:13" x14ac:dyDescent="0.3">
      <c r="B2838" s="178"/>
      <c r="C2838" s="179"/>
      <c r="D2838" s="180"/>
      <c r="E2838" s="181"/>
      <c r="F2838" s="182"/>
      <c r="G2838" s="1" t="str">
        <f>IFERROR(IF(ventas_b_mes11[[#This Row],[CUIT]]="","-",VLOOKUP(ventas_b_mes11[[#This Row],[CUIT]],Lista_CUIT[#All],2,0)),"CUIT NO CARGADO")</f>
        <v>-</v>
      </c>
      <c r="H2838" s="64">
        <f>ventas_b_mes11[[#This Row],[TOTAL]]/1.21</f>
        <v>0</v>
      </c>
      <c r="I2838" s="183">
        <f>ventas_b_mes11[[#This Row],[IMPORTE NETO]]*0.21</f>
        <v>0</v>
      </c>
      <c r="J2838" s="184"/>
      <c r="K2838" s="184"/>
      <c r="L2838" s="184"/>
      <c r="M2838" s="59"/>
    </row>
    <row r="2839" spans="2:13" x14ac:dyDescent="0.3">
      <c r="B2839" s="178"/>
      <c r="C2839" s="179"/>
      <c r="D2839" s="180"/>
      <c r="E2839" s="181"/>
      <c r="F2839" s="182"/>
      <c r="G2839" s="1" t="str">
        <f>IFERROR(IF(ventas_b_mes11[[#This Row],[CUIT]]="","-",VLOOKUP(ventas_b_mes11[[#This Row],[CUIT]],Lista_CUIT[#All],2,0)),"CUIT NO CARGADO")</f>
        <v>-</v>
      </c>
      <c r="H2839" s="64">
        <f>ventas_b_mes11[[#This Row],[TOTAL]]/1.21</f>
        <v>0</v>
      </c>
      <c r="I2839" s="183">
        <f>ventas_b_mes11[[#This Row],[IMPORTE NETO]]*0.21</f>
        <v>0</v>
      </c>
      <c r="J2839" s="184"/>
      <c r="K2839" s="184"/>
      <c r="L2839" s="184"/>
      <c r="M2839" s="59"/>
    </row>
    <row r="2840" spans="2:13" x14ac:dyDescent="0.3">
      <c r="B2840" s="178"/>
      <c r="C2840" s="179"/>
      <c r="D2840" s="180"/>
      <c r="E2840" s="181"/>
      <c r="F2840" s="182"/>
      <c r="G2840" s="1" t="str">
        <f>IFERROR(IF(ventas_b_mes11[[#This Row],[CUIT]]="","-",VLOOKUP(ventas_b_mes11[[#This Row],[CUIT]],Lista_CUIT[#All],2,0)),"CUIT NO CARGADO")</f>
        <v>-</v>
      </c>
      <c r="H2840" s="64">
        <f>ventas_b_mes11[[#This Row],[TOTAL]]/1.21</f>
        <v>0</v>
      </c>
      <c r="I2840" s="183">
        <f>ventas_b_mes11[[#This Row],[IMPORTE NETO]]*0.21</f>
        <v>0</v>
      </c>
      <c r="J2840" s="184"/>
      <c r="K2840" s="184"/>
      <c r="L2840" s="184"/>
      <c r="M2840" s="59"/>
    </row>
    <row r="2841" spans="2:13" x14ac:dyDescent="0.3">
      <c r="B2841" s="178"/>
      <c r="C2841" s="179"/>
      <c r="D2841" s="180"/>
      <c r="E2841" s="181"/>
      <c r="F2841" s="182"/>
      <c r="G2841" s="1" t="str">
        <f>IFERROR(IF(ventas_b_mes11[[#This Row],[CUIT]]="","-",VLOOKUP(ventas_b_mes11[[#This Row],[CUIT]],Lista_CUIT[#All],2,0)),"CUIT NO CARGADO")</f>
        <v>-</v>
      </c>
      <c r="H2841" s="64">
        <f>ventas_b_mes11[[#This Row],[TOTAL]]/1.21</f>
        <v>0</v>
      </c>
      <c r="I2841" s="183">
        <f>ventas_b_mes11[[#This Row],[IMPORTE NETO]]*0.21</f>
        <v>0</v>
      </c>
      <c r="J2841" s="184"/>
      <c r="K2841" s="184"/>
      <c r="L2841" s="184"/>
      <c r="M2841" s="59"/>
    </row>
    <row r="2842" spans="2:13" x14ac:dyDescent="0.3">
      <c r="B2842" s="178"/>
      <c r="C2842" s="179"/>
      <c r="D2842" s="180"/>
      <c r="E2842" s="181"/>
      <c r="F2842" s="182"/>
      <c r="G2842" s="1" t="str">
        <f>IFERROR(IF(ventas_b_mes11[[#This Row],[CUIT]]="","-",VLOOKUP(ventas_b_mes11[[#This Row],[CUIT]],Lista_CUIT[#All],2,0)),"CUIT NO CARGADO")</f>
        <v>-</v>
      </c>
      <c r="H2842" s="64">
        <f>ventas_b_mes11[[#This Row],[TOTAL]]/1.21</f>
        <v>0</v>
      </c>
      <c r="I2842" s="183">
        <f>ventas_b_mes11[[#This Row],[IMPORTE NETO]]*0.21</f>
        <v>0</v>
      </c>
      <c r="J2842" s="184"/>
      <c r="K2842" s="184"/>
      <c r="L2842" s="184"/>
      <c r="M2842" s="59"/>
    </row>
    <row r="2843" spans="2:13" x14ac:dyDescent="0.3">
      <c r="B2843" s="178"/>
      <c r="C2843" s="179"/>
      <c r="D2843" s="180"/>
      <c r="E2843" s="181"/>
      <c r="F2843" s="182"/>
      <c r="G2843" s="1" t="str">
        <f>IFERROR(IF(ventas_b_mes11[[#This Row],[CUIT]]="","-",VLOOKUP(ventas_b_mes11[[#This Row],[CUIT]],Lista_CUIT[#All],2,0)),"CUIT NO CARGADO")</f>
        <v>-</v>
      </c>
      <c r="H2843" s="64">
        <f>ventas_b_mes11[[#This Row],[TOTAL]]/1.21</f>
        <v>0</v>
      </c>
      <c r="I2843" s="183">
        <f>ventas_b_mes11[[#This Row],[IMPORTE NETO]]*0.21</f>
        <v>0</v>
      </c>
      <c r="J2843" s="184"/>
      <c r="K2843" s="184"/>
      <c r="L2843" s="184"/>
      <c r="M2843" s="59"/>
    </row>
    <row r="2844" spans="2:13" x14ac:dyDescent="0.3">
      <c r="B2844" s="178"/>
      <c r="C2844" s="179"/>
      <c r="D2844" s="180"/>
      <c r="E2844" s="181"/>
      <c r="F2844" s="182"/>
      <c r="G2844" s="1" t="str">
        <f>IFERROR(IF(ventas_b_mes11[[#This Row],[CUIT]]="","-",VLOOKUP(ventas_b_mes11[[#This Row],[CUIT]],Lista_CUIT[#All],2,0)),"CUIT NO CARGADO")</f>
        <v>-</v>
      </c>
      <c r="H2844" s="64">
        <f>ventas_b_mes11[[#This Row],[TOTAL]]/1.21</f>
        <v>0</v>
      </c>
      <c r="I2844" s="183">
        <f>ventas_b_mes11[[#This Row],[IMPORTE NETO]]*0.21</f>
        <v>0</v>
      </c>
      <c r="J2844" s="184"/>
      <c r="K2844" s="184"/>
      <c r="L2844" s="184"/>
      <c r="M2844" s="59"/>
    </row>
    <row r="2845" spans="2:13" x14ac:dyDescent="0.3">
      <c r="B2845" s="178"/>
      <c r="C2845" s="179"/>
      <c r="D2845" s="180"/>
      <c r="E2845" s="181"/>
      <c r="F2845" s="182"/>
      <c r="G2845" s="1" t="str">
        <f>IFERROR(IF(ventas_b_mes11[[#This Row],[CUIT]]="","-",VLOOKUP(ventas_b_mes11[[#This Row],[CUIT]],Lista_CUIT[#All],2,0)),"CUIT NO CARGADO")</f>
        <v>-</v>
      </c>
      <c r="H2845" s="64">
        <f>ventas_b_mes11[[#This Row],[TOTAL]]/1.21</f>
        <v>0</v>
      </c>
      <c r="I2845" s="183">
        <f>ventas_b_mes11[[#This Row],[IMPORTE NETO]]*0.21</f>
        <v>0</v>
      </c>
      <c r="J2845" s="184"/>
      <c r="K2845" s="184"/>
      <c r="L2845" s="184"/>
      <c r="M2845" s="59"/>
    </row>
    <row r="2846" spans="2:13" x14ac:dyDescent="0.3">
      <c r="B2846" s="178"/>
      <c r="C2846" s="179"/>
      <c r="D2846" s="180"/>
      <c r="E2846" s="181"/>
      <c r="F2846" s="182"/>
      <c r="G2846" s="1" t="str">
        <f>IFERROR(IF(ventas_b_mes11[[#This Row],[CUIT]]="","-",VLOOKUP(ventas_b_mes11[[#This Row],[CUIT]],Lista_CUIT[#All],2,0)),"CUIT NO CARGADO")</f>
        <v>-</v>
      </c>
      <c r="H2846" s="64">
        <f>ventas_b_mes11[[#This Row],[TOTAL]]/1.21</f>
        <v>0</v>
      </c>
      <c r="I2846" s="183">
        <f>ventas_b_mes11[[#This Row],[IMPORTE NETO]]*0.21</f>
        <v>0</v>
      </c>
      <c r="J2846" s="184"/>
      <c r="K2846" s="184"/>
      <c r="L2846" s="184"/>
      <c r="M2846" s="59"/>
    </row>
    <row r="2847" spans="2:13" x14ac:dyDescent="0.3">
      <c r="B2847" s="178"/>
      <c r="C2847" s="179"/>
      <c r="D2847" s="180"/>
      <c r="E2847" s="181"/>
      <c r="F2847" s="182"/>
      <c r="G2847" s="1" t="str">
        <f>IFERROR(IF(ventas_b_mes11[[#This Row],[CUIT]]="","-",VLOOKUP(ventas_b_mes11[[#This Row],[CUIT]],Lista_CUIT[#All],2,0)),"CUIT NO CARGADO")</f>
        <v>-</v>
      </c>
      <c r="H2847" s="64">
        <f>ventas_b_mes11[[#This Row],[TOTAL]]/1.21</f>
        <v>0</v>
      </c>
      <c r="I2847" s="183">
        <f>ventas_b_mes11[[#This Row],[IMPORTE NETO]]*0.21</f>
        <v>0</v>
      </c>
      <c r="J2847" s="184"/>
      <c r="K2847" s="184"/>
      <c r="L2847" s="184"/>
      <c r="M2847" s="59"/>
    </row>
    <row r="2848" spans="2:13" x14ac:dyDescent="0.3">
      <c r="B2848" s="178"/>
      <c r="C2848" s="179"/>
      <c r="D2848" s="180"/>
      <c r="E2848" s="181"/>
      <c r="F2848" s="182"/>
      <c r="G2848" s="1" t="str">
        <f>IFERROR(IF(ventas_b_mes11[[#This Row],[CUIT]]="","-",VLOOKUP(ventas_b_mes11[[#This Row],[CUIT]],Lista_CUIT[#All],2,0)),"CUIT NO CARGADO")</f>
        <v>-</v>
      </c>
      <c r="H2848" s="64">
        <f>ventas_b_mes11[[#This Row],[TOTAL]]/1.21</f>
        <v>0</v>
      </c>
      <c r="I2848" s="183">
        <f>ventas_b_mes11[[#This Row],[IMPORTE NETO]]*0.21</f>
        <v>0</v>
      </c>
      <c r="J2848" s="184"/>
      <c r="K2848" s="184"/>
      <c r="L2848" s="184"/>
      <c r="M2848" s="59"/>
    </row>
    <row r="2849" spans="2:13" x14ac:dyDescent="0.3">
      <c r="B2849" s="178"/>
      <c r="C2849" s="179"/>
      <c r="D2849" s="180"/>
      <c r="E2849" s="181"/>
      <c r="F2849" s="182"/>
      <c r="G2849" s="1" t="str">
        <f>IFERROR(IF(ventas_b_mes11[[#This Row],[CUIT]]="","-",VLOOKUP(ventas_b_mes11[[#This Row],[CUIT]],Lista_CUIT[#All],2,0)),"CUIT NO CARGADO")</f>
        <v>-</v>
      </c>
      <c r="H2849" s="64">
        <f>ventas_b_mes11[[#This Row],[TOTAL]]/1.21</f>
        <v>0</v>
      </c>
      <c r="I2849" s="183">
        <f>ventas_b_mes11[[#This Row],[IMPORTE NETO]]*0.21</f>
        <v>0</v>
      </c>
      <c r="J2849" s="184"/>
      <c r="K2849" s="184"/>
      <c r="L2849" s="184"/>
      <c r="M2849" s="59"/>
    </row>
    <row r="2850" spans="2:13" x14ac:dyDescent="0.3">
      <c r="B2850" s="178"/>
      <c r="C2850" s="179"/>
      <c r="D2850" s="180"/>
      <c r="E2850" s="181"/>
      <c r="F2850" s="182"/>
      <c r="G2850" s="1" t="str">
        <f>IFERROR(IF(ventas_b_mes11[[#This Row],[CUIT]]="","-",VLOOKUP(ventas_b_mes11[[#This Row],[CUIT]],Lista_CUIT[#All],2,0)),"CUIT NO CARGADO")</f>
        <v>-</v>
      </c>
      <c r="H2850" s="64">
        <f>ventas_b_mes11[[#This Row],[TOTAL]]/1.21</f>
        <v>0</v>
      </c>
      <c r="I2850" s="183">
        <f>ventas_b_mes11[[#This Row],[IMPORTE NETO]]*0.21</f>
        <v>0</v>
      </c>
      <c r="J2850" s="184"/>
      <c r="K2850" s="184"/>
      <c r="L2850" s="184"/>
      <c r="M2850" s="59"/>
    </row>
    <row r="2851" spans="2:13" x14ac:dyDescent="0.3">
      <c r="B2851" s="178"/>
      <c r="C2851" s="179"/>
      <c r="D2851" s="180"/>
      <c r="E2851" s="181"/>
      <c r="F2851" s="182"/>
      <c r="G2851" s="1" t="str">
        <f>IFERROR(IF(ventas_b_mes11[[#This Row],[CUIT]]="","-",VLOOKUP(ventas_b_mes11[[#This Row],[CUIT]],Lista_CUIT[#All],2,0)),"CUIT NO CARGADO")</f>
        <v>-</v>
      </c>
      <c r="H2851" s="64">
        <f>ventas_b_mes11[[#This Row],[TOTAL]]/1.21</f>
        <v>0</v>
      </c>
      <c r="I2851" s="183">
        <f>ventas_b_mes11[[#This Row],[IMPORTE NETO]]*0.21</f>
        <v>0</v>
      </c>
      <c r="J2851" s="184"/>
      <c r="K2851" s="184"/>
      <c r="L2851" s="184"/>
      <c r="M2851" s="59"/>
    </row>
    <row r="2852" spans="2:13" x14ac:dyDescent="0.3">
      <c r="B2852" s="178"/>
      <c r="C2852" s="179"/>
      <c r="D2852" s="180"/>
      <c r="E2852" s="181"/>
      <c r="F2852" s="182"/>
      <c r="G2852" s="1" t="str">
        <f>IFERROR(IF(ventas_b_mes11[[#This Row],[CUIT]]="","-",VLOOKUP(ventas_b_mes11[[#This Row],[CUIT]],Lista_CUIT[#All],2,0)),"CUIT NO CARGADO")</f>
        <v>-</v>
      </c>
      <c r="H2852" s="64">
        <f>ventas_b_mes11[[#This Row],[TOTAL]]/1.21</f>
        <v>0</v>
      </c>
      <c r="I2852" s="183">
        <f>ventas_b_mes11[[#This Row],[IMPORTE NETO]]*0.21</f>
        <v>0</v>
      </c>
      <c r="J2852" s="184"/>
      <c r="K2852" s="184"/>
      <c r="L2852" s="184"/>
      <c r="M2852" s="59"/>
    </row>
    <row r="2853" spans="2:13" x14ac:dyDescent="0.3">
      <c r="B2853" s="178"/>
      <c r="C2853" s="179"/>
      <c r="D2853" s="180"/>
      <c r="E2853" s="181"/>
      <c r="F2853" s="182"/>
      <c r="G2853" s="1" t="str">
        <f>IFERROR(IF(ventas_b_mes11[[#This Row],[CUIT]]="","-",VLOOKUP(ventas_b_mes11[[#This Row],[CUIT]],Lista_CUIT[#All],2,0)),"CUIT NO CARGADO")</f>
        <v>-</v>
      </c>
      <c r="H2853" s="64">
        <f>ventas_b_mes11[[#This Row],[TOTAL]]/1.21</f>
        <v>0</v>
      </c>
      <c r="I2853" s="183">
        <f>ventas_b_mes11[[#This Row],[IMPORTE NETO]]*0.21</f>
        <v>0</v>
      </c>
      <c r="J2853" s="184"/>
      <c r="K2853" s="184"/>
      <c r="L2853" s="184"/>
      <c r="M2853" s="59"/>
    </row>
    <row r="2854" spans="2:13" x14ac:dyDescent="0.3">
      <c r="B2854" s="178"/>
      <c r="C2854" s="179"/>
      <c r="D2854" s="180"/>
      <c r="E2854" s="181"/>
      <c r="F2854" s="182"/>
      <c r="G2854" s="1" t="str">
        <f>IFERROR(IF(ventas_b_mes11[[#This Row],[CUIT]]="","-",VLOOKUP(ventas_b_mes11[[#This Row],[CUIT]],Lista_CUIT[#All],2,0)),"CUIT NO CARGADO")</f>
        <v>-</v>
      </c>
      <c r="H2854" s="64">
        <f>ventas_b_mes11[[#This Row],[TOTAL]]/1.21</f>
        <v>0</v>
      </c>
      <c r="I2854" s="183">
        <f>ventas_b_mes11[[#This Row],[IMPORTE NETO]]*0.21</f>
        <v>0</v>
      </c>
      <c r="J2854" s="184"/>
      <c r="K2854" s="184"/>
      <c r="L2854" s="184"/>
      <c r="M2854" s="59"/>
    </row>
    <row r="2855" spans="2:13" x14ac:dyDescent="0.3">
      <c r="B2855" s="178"/>
      <c r="C2855" s="179"/>
      <c r="D2855" s="180"/>
      <c r="E2855" s="181"/>
      <c r="F2855" s="182"/>
      <c r="G2855" s="1" t="str">
        <f>IFERROR(IF(ventas_b_mes11[[#This Row],[CUIT]]="","-",VLOOKUP(ventas_b_mes11[[#This Row],[CUIT]],Lista_CUIT[#All],2,0)),"CUIT NO CARGADO")</f>
        <v>-</v>
      </c>
      <c r="H2855" s="64">
        <f>ventas_b_mes11[[#This Row],[TOTAL]]/1.21</f>
        <v>0</v>
      </c>
      <c r="I2855" s="183">
        <f>ventas_b_mes11[[#This Row],[IMPORTE NETO]]*0.21</f>
        <v>0</v>
      </c>
      <c r="J2855" s="184"/>
      <c r="K2855" s="184"/>
      <c r="L2855" s="184"/>
      <c r="M2855" s="59"/>
    </row>
    <row r="2856" spans="2:13" x14ac:dyDescent="0.3">
      <c r="B2856" s="178"/>
      <c r="C2856" s="179"/>
      <c r="D2856" s="180"/>
      <c r="E2856" s="181"/>
      <c r="F2856" s="182"/>
      <c r="G2856" s="1" t="str">
        <f>IFERROR(IF(ventas_b_mes11[[#This Row],[CUIT]]="","-",VLOOKUP(ventas_b_mes11[[#This Row],[CUIT]],Lista_CUIT[#All],2,0)),"CUIT NO CARGADO")</f>
        <v>-</v>
      </c>
      <c r="H2856" s="64">
        <f>ventas_b_mes11[[#This Row],[TOTAL]]/1.21</f>
        <v>0</v>
      </c>
      <c r="I2856" s="183">
        <f>ventas_b_mes11[[#This Row],[IMPORTE NETO]]*0.21</f>
        <v>0</v>
      </c>
      <c r="J2856" s="184"/>
      <c r="K2856" s="184"/>
      <c r="L2856" s="184"/>
      <c r="M2856" s="59"/>
    </row>
    <row r="2857" spans="2:13" x14ac:dyDescent="0.3">
      <c r="B2857" s="178"/>
      <c r="C2857" s="179"/>
      <c r="D2857" s="180"/>
      <c r="E2857" s="181"/>
      <c r="F2857" s="182"/>
      <c r="G2857" s="1" t="str">
        <f>IFERROR(IF(ventas_b_mes11[[#This Row],[CUIT]]="","-",VLOOKUP(ventas_b_mes11[[#This Row],[CUIT]],Lista_CUIT[#All],2,0)),"CUIT NO CARGADO")</f>
        <v>-</v>
      </c>
      <c r="H2857" s="64">
        <f>ventas_b_mes11[[#This Row],[TOTAL]]/1.21</f>
        <v>0</v>
      </c>
      <c r="I2857" s="183">
        <f>ventas_b_mes11[[#This Row],[IMPORTE NETO]]*0.21</f>
        <v>0</v>
      </c>
      <c r="J2857" s="184"/>
      <c r="K2857" s="184"/>
      <c r="L2857" s="184"/>
      <c r="M2857" s="59"/>
    </row>
    <row r="2858" spans="2:13" x14ac:dyDescent="0.3">
      <c r="B2858" s="178"/>
      <c r="C2858" s="179"/>
      <c r="D2858" s="180"/>
      <c r="E2858" s="181"/>
      <c r="F2858" s="182"/>
      <c r="G2858" s="1" t="str">
        <f>IFERROR(IF(ventas_b_mes11[[#This Row],[CUIT]]="","-",VLOOKUP(ventas_b_mes11[[#This Row],[CUIT]],Lista_CUIT[#All],2,0)),"CUIT NO CARGADO")</f>
        <v>-</v>
      </c>
      <c r="H2858" s="64">
        <f>ventas_b_mes11[[#This Row],[TOTAL]]/1.21</f>
        <v>0</v>
      </c>
      <c r="I2858" s="183">
        <f>ventas_b_mes11[[#This Row],[IMPORTE NETO]]*0.21</f>
        <v>0</v>
      </c>
      <c r="J2858" s="184"/>
      <c r="K2858" s="184"/>
      <c r="L2858" s="184"/>
      <c r="M2858" s="59"/>
    </row>
    <row r="2859" spans="2:13" x14ac:dyDescent="0.3">
      <c r="B2859" s="178"/>
      <c r="C2859" s="179"/>
      <c r="D2859" s="180"/>
      <c r="E2859" s="181"/>
      <c r="F2859" s="182"/>
      <c r="G2859" s="1" t="str">
        <f>IFERROR(IF(ventas_b_mes11[[#This Row],[CUIT]]="","-",VLOOKUP(ventas_b_mes11[[#This Row],[CUIT]],Lista_CUIT[#All],2,0)),"CUIT NO CARGADO")</f>
        <v>-</v>
      </c>
      <c r="H2859" s="64">
        <f>ventas_b_mes11[[#This Row],[TOTAL]]/1.21</f>
        <v>0</v>
      </c>
      <c r="I2859" s="183">
        <f>ventas_b_mes11[[#This Row],[IMPORTE NETO]]*0.21</f>
        <v>0</v>
      </c>
      <c r="J2859" s="184"/>
      <c r="K2859" s="184"/>
      <c r="L2859" s="184"/>
      <c r="M2859" s="59"/>
    </row>
    <row r="2860" spans="2:13" x14ac:dyDescent="0.3">
      <c r="B2860" s="178"/>
      <c r="C2860" s="179"/>
      <c r="D2860" s="180"/>
      <c r="E2860" s="181"/>
      <c r="F2860" s="182"/>
      <c r="G2860" s="1" t="str">
        <f>IFERROR(IF(ventas_b_mes11[[#This Row],[CUIT]]="","-",VLOOKUP(ventas_b_mes11[[#This Row],[CUIT]],Lista_CUIT[#All],2,0)),"CUIT NO CARGADO")</f>
        <v>-</v>
      </c>
      <c r="H2860" s="64">
        <f>ventas_b_mes11[[#This Row],[TOTAL]]/1.21</f>
        <v>0</v>
      </c>
      <c r="I2860" s="183">
        <f>ventas_b_mes11[[#This Row],[IMPORTE NETO]]*0.21</f>
        <v>0</v>
      </c>
      <c r="J2860" s="184"/>
      <c r="K2860" s="184"/>
      <c r="L2860" s="184"/>
      <c r="M2860" s="59"/>
    </row>
    <row r="2861" spans="2:13" x14ac:dyDescent="0.3">
      <c r="B2861" s="178"/>
      <c r="C2861" s="179"/>
      <c r="D2861" s="180"/>
      <c r="E2861" s="181"/>
      <c r="F2861" s="182"/>
      <c r="G2861" s="1" t="str">
        <f>IFERROR(IF(ventas_b_mes11[[#This Row],[CUIT]]="","-",VLOOKUP(ventas_b_mes11[[#This Row],[CUIT]],Lista_CUIT[#All],2,0)),"CUIT NO CARGADO")</f>
        <v>-</v>
      </c>
      <c r="H2861" s="64">
        <f>ventas_b_mes11[[#This Row],[TOTAL]]/1.21</f>
        <v>0</v>
      </c>
      <c r="I2861" s="183">
        <f>ventas_b_mes11[[#This Row],[IMPORTE NETO]]*0.21</f>
        <v>0</v>
      </c>
      <c r="J2861" s="184"/>
      <c r="K2861" s="184"/>
      <c r="L2861" s="184"/>
      <c r="M2861" s="59"/>
    </row>
    <row r="2862" spans="2:13" x14ac:dyDescent="0.3">
      <c r="B2862" s="178"/>
      <c r="C2862" s="179"/>
      <c r="D2862" s="180"/>
      <c r="E2862" s="181"/>
      <c r="F2862" s="182"/>
      <c r="G2862" s="1" t="str">
        <f>IFERROR(IF(ventas_b_mes11[[#This Row],[CUIT]]="","-",VLOOKUP(ventas_b_mes11[[#This Row],[CUIT]],Lista_CUIT[#All],2,0)),"CUIT NO CARGADO")</f>
        <v>-</v>
      </c>
      <c r="H2862" s="64">
        <f>ventas_b_mes11[[#This Row],[TOTAL]]/1.21</f>
        <v>0</v>
      </c>
      <c r="I2862" s="183">
        <f>ventas_b_mes11[[#This Row],[IMPORTE NETO]]*0.21</f>
        <v>0</v>
      </c>
      <c r="J2862" s="184"/>
      <c r="K2862" s="184"/>
      <c r="L2862" s="184"/>
      <c r="M2862" s="59"/>
    </row>
    <row r="2863" spans="2:13" x14ac:dyDescent="0.3">
      <c r="B2863" s="178"/>
      <c r="C2863" s="179"/>
      <c r="D2863" s="180"/>
      <c r="E2863" s="181"/>
      <c r="F2863" s="182"/>
      <c r="G2863" s="1" t="str">
        <f>IFERROR(IF(ventas_b_mes11[[#This Row],[CUIT]]="","-",VLOOKUP(ventas_b_mes11[[#This Row],[CUIT]],Lista_CUIT[#All],2,0)),"CUIT NO CARGADO")</f>
        <v>-</v>
      </c>
      <c r="H2863" s="64">
        <f>ventas_b_mes11[[#This Row],[TOTAL]]/1.21</f>
        <v>0</v>
      </c>
      <c r="I2863" s="183">
        <f>ventas_b_mes11[[#This Row],[IMPORTE NETO]]*0.21</f>
        <v>0</v>
      </c>
      <c r="J2863" s="184"/>
      <c r="K2863" s="184"/>
      <c r="L2863" s="184"/>
      <c r="M2863" s="59"/>
    </row>
    <row r="2864" spans="2:13" x14ac:dyDescent="0.3">
      <c r="B2864" s="178"/>
      <c r="C2864" s="179"/>
      <c r="D2864" s="180"/>
      <c r="E2864" s="181"/>
      <c r="F2864" s="182"/>
      <c r="G2864" s="1" t="str">
        <f>IFERROR(IF(ventas_b_mes11[[#This Row],[CUIT]]="","-",VLOOKUP(ventas_b_mes11[[#This Row],[CUIT]],Lista_CUIT[#All],2,0)),"CUIT NO CARGADO")</f>
        <v>-</v>
      </c>
      <c r="H2864" s="64">
        <f>ventas_b_mes11[[#This Row],[TOTAL]]/1.21</f>
        <v>0</v>
      </c>
      <c r="I2864" s="183">
        <f>ventas_b_mes11[[#This Row],[IMPORTE NETO]]*0.21</f>
        <v>0</v>
      </c>
      <c r="J2864" s="184"/>
      <c r="K2864" s="184"/>
      <c r="L2864" s="184"/>
      <c r="M2864" s="59"/>
    </row>
    <row r="2865" spans="2:13" x14ac:dyDescent="0.3">
      <c r="B2865" s="178"/>
      <c r="C2865" s="179"/>
      <c r="D2865" s="180"/>
      <c r="E2865" s="181"/>
      <c r="F2865" s="182"/>
      <c r="G2865" s="1" t="str">
        <f>IFERROR(IF(ventas_b_mes11[[#This Row],[CUIT]]="","-",VLOOKUP(ventas_b_mes11[[#This Row],[CUIT]],Lista_CUIT[#All],2,0)),"CUIT NO CARGADO")</f>
        <v>-</v>
      </c>
      <c r="H2865" s="64">
        <f>ventas_b_mes11[[#This Row],[TOTAL]]/1.21</f>
        <v>0</v>
      </c>
      <c r="I2865" s="183">
        <f>ventas_b_mes11[[#This Row],[IMPORTE NETO]]*0.21</f>
        <v>0</v>
      </c>
      <c r="J2865" s="184"/>
      <c r="K2865" s="184"/>
      <c r="L2865" s="184"/>
      <c r="M2865" s="59"/>
    </row>
    <row r="2866" spans="2:13" x14ac:dyDescent="0.3">
      <c r="B2866" s="178"/>
      <c r="C2866" s="179"/>
      <c r="D2866" s="180"/>
      <c r="E2866" s="181"/>
      <c r="F2866" s="182"/>
      <c r="G2866" s="1" t="str">
        <f>IFERROR(IF(ventas_b_mes11[[#This Row],[CUIT]]="","-",VLOOKUP(ventas_b_mes11[[#This Row],[CUIT]],Lista_CUIT[#All],2,0)),"CUIT NO CARGADO")</f>
        <v>-</v>
      </c>
      <c r="H2866" s="64">
        <f>ventas_b_mes11[[#This Row],[TOTAL]]/1.21</f>
        <v>0</v>
      </c>
      <c r="I2866" s="183">
        <f>ventas_b_mes11[[#This Row],[IMPORTE NETO]]*0.21</f>
        <v>0</v>
      </c>
      <c r="J2866" s="184"/>
      <c r="K2866" s="184"/>
      <c r="L2866" s="184"/>
      <c r="M2866" s="59"/>
    </row>
    <row r="2867" spans="2:13" x14ac:dyDescent="0.3">
      <c r="B2867" s="178"/>
      <c r="C2867" s="179"/>
      <c r="D2867" s="180"/>
      <c r="E2867" s="181"/>
      <c r="F2867" s="182"/>
      <c r="G2867" s="1" t="str">
        <f>IFERROR(IF(ventas_b_mes11[[#This Row],[CUIT]]="","-",VLOOKUP(ventas_b_mes11[[#This Row],[CUIT]],Lista_CUIT[#All],2,0)),"CUIT NO CARGADO")</f>
        <v>-</v>
      </c>
      <c r="H2867" s="64">
        <f>ventas_b_mes11[[#This Row],[TOTAL]]/1.21</f>
        <v>0</v>
      </c>
      <c r="I2867" s="183">
        <f>ventas_b_mes11[[#This Row],[IMPORTE NETO]]*0.21</f>
        <v>0</v>
      </c>
      <c r="J2867" s="184"/>
      <c r="K2867" s="184"/>
      <c r="L2867" s="184"/>
      <c r="M2867" s="59"/>
    </row>
    <row r="2868" spans="2:13" x14ac:dyDescent="0.3">
      <c r="B2868" s="178"/>
      <c r="C2868" s="179"/>
      <c r="D2868" s="180"/>
      <c r="E2868" s="181"/>
      <c r="F2868" s="182"/>
      <c r="G2868" s="1" t="str">
        <f>IFERROR(IF(ventas_b_mes11[[#This Row],[CUIT]]="","-",VLOOKUP(ventas_b_mes11[[#This Row],[CUIT]],Lista_CUIT[#All],2,0)),"CUIT NO CARGADO")</f>
        <v>-</v>
      </c>
      <c r="H2868" s="64">
        <f>ventas_b_mes11[[#This Row],[TOTAL]]/1.21</f>
        <v>0</v>
      </c>
      <c r="I2868" s="183">
        <f>ventas_b_mes11[[#This Row],[IMPORTE NETO]]*0.21</f>
        <v>0</v>
      </c>
      <c r="J2868" s="184"/>
      <c r="K2868" s="184"/>
      <c r="L2868" s="184"/>
      <c r="M2868" s="59"/>
    </row>
    <row r="2869" spans="2:13" x14ac:dyDescent="0.3">
      <c r="B2869" s="178"/>
      <c r="C2869" s="179"/>
      <c r="D2869" s="180"/>
      <c r="E2869" s="181"/>
      <c r="F2869" s="182"/>
      <c r="G2869" s="1" t="str">
        <f>IFERROR(IF(ventas_b_mes11[[#This Row],[CUIT]]="","-",VLOOKUP(ventas_b_mes11[[#This Row],[CUIT]],Lista_CUIT[#All],2,0)),"CUIT NO CARGADO")</f>
        <v>-</v>
      </c>
      <c r="H2869" s="64">
        <f>ventas_b_mes11[[#This Row],[TOTAL]]/1.21</f>
        <v>0</v>
      </c>
      <c r="I2869" s="183">
        <f>ventas_b_mes11[[#This Row],[IMPORTE NETO]]*0.21</f>
        <v>0</v>
      </c>
      <c r="J2869" s="184"/>
      <c r="K2869" s="184"/>
      <c r="L2869" s="184"/>
      <c r="M2869" s="59"/>
    </row>
    <row r="2870" spans="2:13" x14ac:dyDescent="0.3">
      <c r="B2870" s="178"/>
      <c r="C2870" s="179"/>
      <c r="D2870" s="180"/>
      <c r="E2870" s="181"/>
      <c r="F2870" s="182"/>
      <c r="G2870" s="1" t="str">
        <f>IFERROR(IF(ventas_b_mes11[[#This Row],[CUIT]]="","-",VLOOKUP(ventas_b_mes11[[#This Row],[CUIT]],Lista_CUIT[#All],2,0)),"CUIT NO CARGADO")</f>
        <v>-</v>
      </c>
      <c r="H2870" s="64">
        <f>ventas_b_mes11[[#This Row],[TOTAL]]/1.21</f>
        <v>0</v>
      </c>
      <c r="I2870" s="183">
        <f>ventas_b_mes11[[#This Row],[IMPORTE NETO]]*0.21</f>
        <v>0</v>
      </c>
      <c r="J2870" s="184"/>
      <c r="K2870" s="184"/>
      <c r="L2870" s="184"/>
      <c r="M2870" s="59"/>
    </row>
    <row r="2871" spans="2:13" x14ac:dyDescent="0.3">
      <c r="B2871" s="178"/>
      <c r="C2871" s="179"/>
      <c r="D2871" s="180"/>
      <c r="E2871" s="181"/>
      <c r="F2871" s="182"/>
      <c r="G2871" s="1" t="str">
        <f>IFERROR(IF(ventas_b_mes11[[#This Row],[CUIT]]="","-",VLOOKUP(ventas_b_mes11[[#This Row],[CUIT]],Lista_CUIT[#All],2,0)),"CUIT NO CARGADO")</f>
        <v>-</v>
      </c>
      <c r="H2871" s="64">
        <f>ventas_b_mes11[[#This Row],[TOTAL]]/1.21</f>
        <v>0</v>
      </c>
      <c r="I2871" s="183">
        <f>ventas_b_mes11[[#This Row],[IMPORTE NETO]]*0.21</f>
        <v>0</v>
      </c>
      <c r="J2871" s="184"/>
      <c r="K2871" s="184"/>
      <c r="L2871" s="184"/>
      <c r="M2871" s="59"/>
    </row>
    <row r="2872" spans="2:13" x14ac:dyDescent="0.3">
      <c r="B2872" s="178"/>
      <c r="C2872" s="179"/>
      <c r="D2872" s="180"/>
      <c r="E2872" s="181"/>
      <c r="F2872" s="182"/>
      <c r="G2872" s="1" t="str">
        <f>IFERROR(IF(ventas_b_mes11[[#This Row],[CUIT]]="","-",VLOOKUP(ventas_b_mes11[[#This Row],[CUIT]],Lista_CUIT[#All],2,0)),"CUIT NO CARGADO")</f>
        <v>-</v>
      </c>
      <c r="H2872" s="64">
        <f>ventas_b_mes11[[#This Row],[TOTAL]]/1.21</f>
        <v>0</v>
      </c>
      <c r="I2872" s="183">
        <f>ventas_b_mes11[[#This Row],[IMPORTE NETO]]*0.21</f>
        <v>0</v>
      </c>
      <c r="J2872" s="184"/>
      <c r="K2872" s="184"/>
      <c r="L2872" s="184"/>
      <c r="M2872" s="59"/>
    </row>
    <row r="2873" spans="2:13" x14ac:dyDescent="0.3">
      <c r="B2873" s="178"/>
      <c r="C2873" s="179"/>
      <c r="D2873" s="180"/>
      <c r="E2873" s="181"/>
      <c r="F2873" s="182"/>
      <c r="G2873" s="1" t="str">
        <f>IFERROR(IF(ventas_b_mes11[[#This Row],[CUIT]]="","-",VLOOKUP(ventas_b_mes11[[#This Row],[CUIT]],Lista_CUIT[#All],2,0)),"CUIT NO CARGADO")</f>
        <v>-</v>
      </c>
      <c r="H2873" s="64">
        <f>ventas_b_mes11[[#This Row],[TOTAL]]/1.21</f>
        <v>0</v>
      </c>
      <c r="I2873" s="183">
        <f>ventas_b_mes11[[#This Row],[IMPORTE NETO]]*0.21</f>
        <v>0</v>
      </c>
      <c r="J2873" s="184"/>
      <c r="K2873" s="184"/>
      <c r="L2873" s="184"/>
      <c r="M2873" s="59"/>
    </row>
    <row r="2874" spans="2:13" x14ac:dyDescent="0.3">
      <c r="B2874" s="178"/>
      <c r="C2874" s="179"/>
      <c r="D2874" s="180"/>
      <c r="E2874" s="181"/>
      <c r="F2874" s="182"/>
      <c r="G2874" s="1" t="str">
        <f>IFERROR(IF(ventas_b_mes11[[#This Row],[CUIT]]="","-",VLOOKUP(ventas_b_mes11[[#This Row],[CUIT]],Lista_CUIT[#All],2,0)),"CUIT NO CARGADO")</f>
        <v>-</v>
      </c>
      <c r="H2874" s="64">
        <f>ventas_b_mes11[[#This Row],[TOTAL]]/1.21</f>
        <v>0</v>
      </c>
      <c r="I2874" s="183">
        <f>ventas_b_mes11[[#This Row],[IMPORTE NETO]]*0.21</f>
        <v>0</v>
      </c>
      <c r="J2874" s="184"/>
      <c r="K2874" s="184"/>
      <c r="L2874" s="184"/>
      <c r="M2874" s="59"/>
    </row>
    <row r="2875" spans="2:13" x14ac:dyDescent="0.3">
      <c r="B2875" s="178"/>
      <c r="C2875" s="179"/>
      <c r="D2875" s="180"/>
      <c r="E2875" s="181"/>
      <c r="F2875" s="182"/>
      <c r="G2875" s="1" t="str">
        <f>IFERROR(IF(ventas_b_mes11[[#This Row],[CUIT]]="","-",VLOOKUP(ventas_b_mes11[[#This Row],[CUIT]],Lista_CUIT[#All],2,0)),"CUIT NO CARGADO")</f>
        <v>-</v>
      </c>
      <c r="H2875" s="64">
        <f>ventas_b_mes11[[#This Row],[TOTAL]]/1.21</f>
        <v>0</v>
      </c>
      <c r="I2875" s="183">
        <f>ventas_b_mes11[[#This Row],[IMPORTE NETO]]*0.21</f>
        <v>0</v>
      </c>
      <c r="J2875" s="184"/>
      <c r="K2875" s="184"/>
      <c r="L2875" s="184"/>
      <c r="M2875" s="59"/>
    </row>
    <row r="2876" spans="2:13" x14ac:dyDescent="0.3">
      <c r="B2876" s="178"/>
      <c r="C2876" s="179"/>
      <c r="D2876" s="180"/>
      <c r="E2876" s="181"/>
      <c r="F2876" s="182"/>
      <c r="G2876" s="1" t="str">
        <f>IFERROR(IF(ventas_b_mes11[[#This Row],[CUIT]]="","-",VLOOKUP(ventas_b_mes11[[#This Row],[CUIT]],Lista_CUIT[#All],2,0)),"CUIT NO CARGADO")</f>
        <v>-</v>
      </c>
      <c r="H2876" s="64">
        <f>ventas_b_mes11[[#This Row],[TOTAL]]/1.21</f>
        <v>0</v>
      </c>
      <c r="I2876" s="183">
        <f>ventas_b_mes11[[#This Row],[IMPORTE NETO]]*0.21</f>
        <v>0</v>
      </c>
      <c r="J2876" s="184"/>
      <c r="K2876" s="184"/>
      <c r="L2876" s="184"/>
      <c r="M2876" s="59"/>
    </row>
    <row r="2877" spans="2:13" x14ac:dyDescent="0.3">
      <c r="B2877" s="178"/>
      <c r="C2877" s="179"/>
      <c r="D2877" s="180"/>
      <c r="E2877" s="181"/>
      <c r="F2877" s="182"/>
      <c r="G2877" s="1" t="str">
        <f>IFERROR(IF(ventas_b_mes11[[#This Row],[CUIT]]="","-",VLOOKUP(ventas_b_mes11[[#This Row],[CUIT]],Lista_CUIT[#All],2,0)),"CUIT NO CARGADO")</f>
        <v>-</v>
      </c>
      <c r="H2877" s="64">
        <f>ventas_b_mes11[[#This Row],[TOTAL]]/1.21</f>
        <v>0</v>
      </c>
      <c r="I2877" s="183">
        <f>ventas_b_mes11[[#This Row],[IMPORTE NETO]]*0.21</f>
        <v>0</v>
      </c>
      <c r="J2877" s="184"/>
      <c r="K2877" s="184"/>
      <c r="L2877" s="184"/>
      <c r="M2877" s="59"/>
    </row>
    <row r="2878" spans="2:13" x14ac:dyDescent="0.3">
      <c r="B2878" s="178"/>
      <c r="C2878" s="179"/>
      <c r="D2878" s="180"/>
      <c r="E2878" s="181"/>
      <c r="F2878" s="182"/>
      <c r="G2878" s="1" t="str">
        <f>IFERROR(IF(ventas_b_mes11[[#This Row],[CUIT]]="","-",VLOOKUP(ventas_b_mes11[[#This Row],[CUIT]],Lista_CUIT[#All],2,0)),"CUIT NO CARGADO")</f>
        <v>-</v>
      </c>
      <c r="H2878" s="64">
        <f>ventas_b_mes11[[#This Row],[TOTAL]]/1.21</f>
        <v>0</v>
      </c>
      <c r="I2878" s="183">
        <f>ventas_b_mes11[[#This Row],[IMPORTE NETO]]*0.21</f>
        <v>0</v>
      </c>
      <c r="J2878" s="184"/>
      <c r="K2878" s="184"/>
      <c r="L2878" s="184"/>
      <c r="M2878" s="59"/>
    </row>
    <row r="2879" spans="2:13" x14ac:dyDescent="0.3">
      <c r="B2879" s="178"/>
      <c r="C2879" s="179"/>
      <c r="D2879" s="180"/>
      <c r="E2879" s="181"/>
      <c r="F2879" s="182"/>
      <c r="G2879" s="1" t="str">
        <f>IFERROR(IF(ventas_b_mes11[[#This Row],[CUIT]]="","-",VLOOKUP(ventas_b_mes11[[#This Row],[CUIT]],Lista_CUIT[#All],2,0)),"CUIT NO CARGADO")</f>
        <v>-</v>
      </c>
      <c r="H2879" s="64">
        <f>ventas_b_mes11[[#This Row],[TOTAL]]/1.21</f>
        <v>0</v>
      </c>
      <c r="I2879" s="183">
        <f>ventas_b_mes11[[#This Row],[IMPORTE NETO]]*0.21</f>
        <v>0</v>
      </c>
      <c r="J2879" s="184"/>
      <c r="K2879" s="184"/>
      <c r="L2879" s="184"/>
      <c r="M2879" s="59"/>
    </row>
    <row r="2880" spans="2:13" x14ac:dyDescent="0.3">
      <c r="B2880" s="178"/>
      <c r="C2880" s="179"/>
      <c r="D2880" s="180"/>
      <c r="E2880" s="181"/>
      <c r="F2880" s="182"/>
      <c r="G2880" s="1" t="str">
        <f>IFERROR(IF(ventas_b_mes11[[#This Row],[CUIT]]="","-",VLOOKUP(ventas_b_mes11[[#This Row],[CUIT]],Lista_CUIT[#All],2,0)),"CUIT NO CARGADO")</f>
        <v>-</v>
      </c>
      <c r="H2880" s="64">
        <f>ventas_b_mes11[[#This Row],[TOTAL]]/1.21</f>
        <v>0</v>
      </c>
      <c r="I2880" s="183">
        <f>ventas_b_mes11[[#This Row],[IMPORTE NETO]]*0.21</f>
        <v>0</v>
      </c>
      <c r="J2880" s="184"/>
      <c r="K2880" s="184"/>
      <c r="L2880" s="184"/>
      <c r="M2880" s="59"/>
    </row>
    <row r="2881" spans="2:13" x14ac:dyDescent="0.3">
      <c r="B2881" s="178"/>
      <c r="C2881" s="179"/>
      <c r="D2881" s="180"/>
      <c r="E2881" s="181"/>
      <c r="F2881" s="182"/>
      <c r="G2881" s="1" t="str">
        <f>IFERROR(IF(ventas_b_mes11[[#This Row],[CUIT]]="","-",VLOOKUP(ventas_b_mes11[[#This Row],[CUIT]],Lista_CUIT[#All],2,0)),"CUIT NO CARGADO")</f>
        <v>-</v>
      </c>
      <c r="H2881" s="64">
        <f>ventas_b_mes11[[#This Row],[TOTAL]]/1.21</f>
        <v>0</v>
      </c>
      <c r="I2881" s="183">
        <f>ventas_b_mes11[[#This Row],[IMPORTE NETO]]*0.21</f>
        <v>0</v>
      </c>
      <c r="J2881" s="184"/>
      <c r="K2881" s="184"/>
      <c r="L2881" s="184"/>
      <c r="M2881" s="59"/>
    </row>
    <row r="2882" spans="2:13" x14ac:dyDescent="0.3">
      <c r="B2882" s="178"/>
      <c r="C2882" s="179"/>
      <c r="D2882" s="180"/>
      <c r="E2882" s="181"/>
      <c r="F2882" s="182"/>
      <c r="G2882" s="1" t="str">
        <f>IFERROR(IF(ventas_b_mes11[[#This Row],[CUIT]]="","-",VLOOKUP(ventas_b_mes11[[#This Row],[CUIT]],Lista_CUIT[#All],2,0)),"CUIT NO CARGADO")</f>
        <v>-</v>
      </c>
      <c r="H2882" s="64">
        <f>ventas_b_mes11[[#This Row],[TOTAL]]/1.21</f>
        <v>0</v>
      </c>
      <c r="I2882" s="183">
        <f>ventas_b_mes11[[#This Row],[IMPORTE NETO]]*0.21</f>
        <v>0</v>
      </c>
      <c r="J2882" s="184"/>
      <c r="K2882" s="184"/>
      <c r="L2882" s="184"/>
      <c r="M2882" s="59"/>
    </row>
    <row r="2883" spans="2:13" x14ac:dyDescent="0.3">
      <c r="B2883" s="178"/>
      <c r="C2883" s="179"/>
      <c r="D2883" s="180"/>
      <c r="E2883" s="181"/>
      <c r="F2883" s="182"/>
      <c r="G2883" s="1" t="str">
        <f>IFERROR(IF(ventas_b_mes11[[#This Row],[CUIT]]="","-",VLOOKUP(ventas_b_mes11[[#This Row],[CUIT]],Lista_CUIT[#All],2,0)),"CUIT NO CARGADO")</f>
        <v>-</v>
      </c>
      <c r="H2883" s="64">
        <f>ventas_b_mes11[[#This Row],[TOTAL]]/1.21</f>
        <v>0</v>
      </c>
      <c r="I2883" s="183">
        <f>ventas_b_mes11[[#This Row],[IMPORTE NETO]]*0.21</f>
        <v>0</v>
      </c>
      <c r="J2883" s="184"/>
      <c r="K2883" s="184"/>
      <c r="L2883" s="184"/>
      <c r="M2883" s="59"/>
    </row>
    <row r="2884" spans="2:13" x14ac:dyDescent="0.3">
      <c r="B2884" s="178"/>
      <c r="C2884" s="179"/>
      <c r="D2884" s="180"/>
      <c r="E2884" s="181"/>
      <c r="F2884" s="182"/>
      <c r="G2884" s="1" t="str">
        <f>IFERROR(IF(ventas_b_mes11[[#This Row],[CUIT]]="","-",VLOOKUP(ventas_b_mes11[[#This Row],[CUIT]],Lista_CUIT[#All],2,0)),"CUIT NO CARGADO")</f>
        <v>-</v>
      </c>
      <c r="H2884" s="64">
        <f>ventas_b_mes11[[#This Row],[TOTAL]]/1.21</f>
        <v>0</v>
      </c>
      <c r="I2884" s="183">
        <f>ventas_b_mes11[[#This Row],[IMPORTE NETO]]*0.21</f>
        <v>0</v>
      </c>
      <c r="J2884" s="184"/>
      <c r="K2884" s="184"/>
      <c r="L2884" s="184"/>
      <c r="M2884" s="59"/>
    </row>
    <row r="2885" spans="2:13" x14ac:dyDescent="0.3">
      <c r="B2885" s="178"/>
      <c r="C2885" s="179"/>
      <c r="D2885" s="180"/>
      <c r="E2885" s="181"/>
      <c r="F2885" s="182"/>
      <c r="G2885" s="1" t="str">
        <f>IFERROR(IF(ventas_b_mes11[[#This Row],[CUIT]]="","-",VLOOKUP(ventas_b_mes11[[#This Row],[CUIT]],Lista_CUIT[#All],2,0)),"CUIT NO CARGADO")</f>
        <v>-</v>
      </c>
      <c r="H2885" s="64">
        <f>ventas_b_mes11[[#This Row],[TOTAL]]/1.21</f>
        <v>0</v>
      </c>
      <c r="I2885" s="183">
        <f>ventas_b_mes11[[#This Row],[IMPORTE NETO]]*0.21</f>
        <v>0</v>
      </c>
      <c r="J2885" s="184"/>
      <c r="K2885" s="184"/>
      <c r="L2885" s="184"/>
      <c r="M2885" s="59"/>
    </row>
    <row r="2886" spans="2:13" x14ac:dyDescent="0.3">
      <c r="B2886" s="178"/>
      <c r="C2886" s="179"/>
      <c r="D2886" s="180"/>
      <c r="E2886" s="181"/>
      <c r="F2886" s="182"/>
      <c r="G2886" s="1" t="str">
        <f>IFERROR(IF(ventas_b_mes11[[#This Row],[CUIT]]="","-",VLOOKUP(ventas_b_mes11[[#This Row],[CUIT]],Lista_CUIT[#All],2,0)),"CUIT NO CARGADO")</f>
        <v>-</v>
      </c>
      <c r="H2886" s="64">
        <f>ventas_b_mes11[[#This Row],[TOTAL]]/1.21</f>
        <v>0</v>
      </c>
      <c r="I2886" s="183">
        <f>ventas_b_mes11[[#This Row],[IMPORTE NETO]]*0.21</f>
        <v>0</v>
      </c>
      <c r="J2886" s="184"/>
      <c r="K2886" s="184"/>
      <c r="L2886" s="184"/>
      <c r="M2886" s="59"/>
    </row>
    <row r="2887" spans="2:13" x14ac:dyDescent="0.3">
      <c r="B2887" s="178"/>
      <c r="C2887" s="179"/>
      <c r="D2887" s="180"/>
      <c r="E2887" s="181"/>
      <c r="F2887" s="182"/>
      <c r="G2887" s="1" t="str">
        <f>IFERROR(IF(ventas_b_mes11[[#This Row],[CUIT]]="","-",VLOOKUP(ventas_b_mes11[[#This Row],[CUIT]],Lista_CUIT[#All],2,0)),"CUIT NO CARGADO")</f>
        <v>-</v>
      </c>
      <c r="H2887" s="64">
        <f>ventas_b_mes11[[#This Row],[TOTAL]]/1.21</f>
        <v>0</v>
      </c>
      <c r="I2887" s="183">
        <f>ventas_b_mes11[[#This Row],[IMPORTE NETO]]*0.21</f>
        <v>0</v>
      </c>
      <c r="J2887" s="184"/>
      <c r="K2887" s="184"/>
      <c r="L2887" s="184"/>
      <c r="M2887" s="59"/>
    </row>
    <row r="2888" spans="2:13" x14ac:dyDescent="0.3">
      <c r="B2888" s="178"/>
      <c r="C2888" s="179"/>
      <c r="D2888" s="180"/>
      <c r="E2888" s="181"/>
      <c r="F2888" s="182"/>
      <c r="G2888" s="1" t="str">
        <f>IFERROR(IF(ventas_b_mes11[[#This Row],[CUIT]]="","-",VLOOKUP(ventas_b_mes11[[#This Row],[CUIT]],Lista_CUIT[#All],2,0)),"CUIT NO CARGADO")</f>
        <v>-</v>
      </c>
      <c r="H2888" s="64">
        <f>ventas_b_mes11[[#This Row],[TOTAL]]/1.21</f>
        <v>0</v>
      </c>
      <c r="I2888" s="183">
        <f>ventas_b_mes11[[#This Row],[IMPORTE NETO]]*0.21</f>
        <v>0</v>
      </c>
      <c r="J2888" s="184"/>
      <c r="K2888" s="184"/>
      <c r="L2888" s="184"/>
      <c r="M2888" s="59"/>
    </row>
    <row r="2889" spans="2:13" x14ac:dyDescent="0.3">
      <c r="B2889" s="178"/>
      <c r="C2889" s="179"/>
      <c r="D2889" s="180"/>
      <c r="E2889" s="181"/>
      <c r="F2889" s="182"/>
      <c r="G2889" s="1" t="str">
        <f>IFERROR(IF(ventas_b_mes11[[#This Row],[CUIT]]="","-",VLOOKUP(ventas_b_mes11[[#This Row],[CUIT]],Lista_CUIT[#All],2,0)),"CUIT NO CARGADO")</f>
        <v>-</v>
      </c>
      <c r="H2889" s="64">
        <f>ventas_b_mes11[[#This Row],[TOTAL]]/1.21</f>
        <v>0</v>
      </c>
      <c r="I2889" s="183">
        <f>ventas_b_mes11[[#This Row],[IMPORTE NETO]]*0.21</f>
        <v>0</v>
      </c>
      <c r="J2889" s="184"/>
      <c r="K2889" s="184"/>
      <c r="L2889" s="184"/>
      <c r="M2889" s="59"/>
    </row>
    <row r="2890" spans="2:13" x14ac:dyDescent="0.3">
      <c r="B2890" s="178"/>
      <c r="C2890" s="179"/>
      <c r="D2890" s="180"/>
      <c r="E2890" s="181"/>
      <c r="F2890" s="182"/>
      <c r="G2890" s="1" t="str">
        <f>IFERROR(IF(ventas_b_mes11[[#This Row],[CUIT]]="","-",VLOOKUP(ventas_b_mes11[[#This Row],[CUIT]],Lista_CUIT[#All],2,0)),"CUIT NO CARGADO")</f>
        <v>-</v>
      </c>
      <c r="H2890" s="64">
        <f>ventas_b_mes11[[#This Row],[TOTAL]]/1.21</f>
        <v>0</v>
      </c>
      <c r="I2890" s="183">
        <f>ventas_b_mes11[[#This Row],[IMPORTE NETO]]*0.21</f>
        <v>0</v>
      </c>
      <c r="J2890" s="184"/>
      <c r="K2890" s="184"/>
      <c r="L2890" s="184"/>
      <c r="M2890" s="59"/>
    </row>
    <row r="2891" spans="2:13" x14ac:dyDescent="0.3">
      <c r="B2891" s="178"/>
      <c r="C2891" s="179"/>
      <c r="D2891" s="180"/>
      <c r="E2891" s="181"/>
      <c r="F2891" s="182"/>
      <c r="G2891" s="1" t="str">
        <f>IFERROR(IF(ventas_b_mes11[[#This Row],[CUIT]]="","-",VLOOKUP(ventas_b_mes11[[#This Row],[CUIT]],Lista_CUIT[#All],2,0)),"CUIT NO CARGADO")</f>
        <v>-</v>
      </c>
      <c r="H2891" s="64">
        <f>ventas_b_mes11[[#This Row],[TOTAL]]/1.21</f>
        <v>0</v>
      </c>
      <c r="I2891" s="183">
        <f>ventas_b_mes11[[#This Row],[IMPORTE NETO]]*0.21</f>
        <v>0</v>
      </c>
      <c r="J2891" s="184"/>
      <c r="K2891" s="184"/>
      <c r="L2891" s="184"/>
      <c r="M2891" s="59"/>
    </row>
    <row r="2892" spans="2:13" x14ac:dyDescent="0.3">
      <c r="B2892" s="178"/>
      <c r="C2892" s="179"/>
      <c r="D2892" s="180"/>
      <c r="E2892" s="181"/>
      <c r="F2892" s="182"/>
      <c r="G2892" s="1" t="str">
        <f>IFERROR(IF(ventas_b_mes11[[#This Row],[CUIT]]="","-",VLOOKUP(ventas_b_mes11[[#This Row],[CUIT]],Lista_CUIT[#All],2,0)),"CUIT NO CARGADO")</f>
        <v>-</v>
      </c>
      <c r="H2892" s="64">
        <f>ventas_b_mes11[[#This Row],[TOTAL]]/1.21</f>
        <v>0</v>
      </c>
      <c r="I2892" s="183">
        <f>ventas_b_mes11[[#This Row],[IMPORTE NETO]]*0.21</f>
        <v>0</v>
      </c>
      <c r="J2892" s="184"/>
      <c r="K2892" s="184"/>
      <c r="L2892" s="184"/>
      <c r="M2892" s="59"/>
    </row>
    <row r="2893" spans="2:13" x14ac:dyDescent="0.3">
      <c r="B2893" s="178"/>
      <c r="C2893" s="179"/>
      <c r="D2893" s="180"/>
      <c r="E2893" s="181"/>
      <c r="F2893" s="182"/>
      <c r="G2893" s="1" t="str">
        <f>IFERROR(IF(ventas_b_mes11[[#This Row],[CUIT]]="","-",VLOOKUP(ventas_b_mes11[[#This Row],[CUIT]],Lista_CUIT[#All],2,0)),"CUIT NO CARGADO")</f>
        <v>-</v>
      </c>
      <c r="H2893" s="64">
        <f>ventas_b_mes11[[#This Row],[TOTAL]]/1.21</f>
        <v>0</v>
      </c>
      <c r="I2893" s="183">
        <f>ventas_b_mes11[[#This Row],[IMPORTE NETO]]*0.21</f>
        <v>0</v>
      </c>
      <c r="J2893" s="184"/>
      <c r="K2893" s="184"/>
      <c r="L2893" s="184"/>
      <c r="M2893" s="59"/>
    </row>
    <row r="2894" spans="2:13" x14ac:dyDescent="0.3">
      <c r="B2894" s="178"/>
      <c r="C2894" s="179"/>
      <c r="D2894" s="180"/>
      <c r="E2894" s="181"/>
      <c r="F2894" s="182"/>
      <c r="G2894" s="1" t="str">
        <f>IFERROR(IF(ventas_b_mes11[[#This Row],[CUIT]]="","-",VLOOKUP(ventas_b_mes11[[#This Row],[CUIT]],Lista_CUIT[#All],2,0)),"CUIT NO CARGADO")</f>
        <v>-</v>
      </c>
      <c r="H2894" s="64">
        <f>ventas_b_mes11[[#This Row],[TOTAL]]/1.21</f>
        <v>0</v>
      </c>
      <c r="I2894" s="183">
        <f>ventas_b_mes11[[#This Row],[IMPORTE NETO]]*0.21</f>
        <v>0</v>
      </c>
      <c r="J2894" s="184"/>
      <c r="K2894" s="184"/>
      <c r="L2894" s="184"/>
      <c r="M2894" s="59"/>
    </row>
    <row r="2895" spans="2:13" x14ac:dyDescent="0.3">
      <c r="B2895" s="178"/>
      <c r="C2895" s="179"/>
      <c r="D2895" s="180"/>
      <c r="E2895" s="181"/>
      <c r="F2895" s="182"/>
      <c r="G2895" s="1" t="str">
        <f>IFERROR(IF(ventas_b_mes11[[#This Row],[CUIT]]="","-",VLOOKUP(ventas_b_mes11[[#This Row],[CUIT]],Lista_CUIT[#All],2,0)),"CUIT NO CARGADO")</f>
        <v>-</v>
      </c>
      <c r="H2895" s="64">
        <f>ventas_b_mes11[[#This Row],[TOTAL]]/1.21</f>
        <v>0</v>
      </c>
      <c r="I2895" s="183">
        <f>ventas_b_mes11[[#This Row],[IMPORTE NETO]]*0.21</f>
        <v>0</v>
      </c>
      <c r="J2895" s="184"/>
      <c r="K2895" s="184"/>
      <c r="L2895" s="184"/>
      <c r="M2895" s="59"/>
    </row>
    <row r="2896" spans="2:13" x14ac:dyDescent="0.3">
      <c r="B2896" s="178"/>
      <c r="C2896" s="179"/>
      <c r="D2896" s="180"/>
      <c r="E2896" s="181"/>
      <c r="F2896" s="182"/>
      <c r="G2896" s="1" t="str">
        <f>IFERROR(IF(ventas_b_mes11[[#This Row],[CUIT]]="","-",VLOOKUP(ventas_b_mes11[[#This Row],[CUIT]],Lista_CUIT[#All],2,0)),"CUIT NO CARGADO")</f>
        <v>-</v>
      </c>
      <c r="H2896" s="64">
        <f>ventas_b_mes11[[#This Row],[TOTAL]]/1.21</f>
        <v>0</v>
      </c>
      <c r="I2896" s="183">
        <f>ventas_b_mes11[[#This Row],[IMPORTE NETO]]*0.21</f>
        <v>0</v>
      </c>
      <c r="J2896" s="184"/>
      <c r="K2896" s="184"/>
      <c r="L2896" s="184"/>
      <c r="M2896" s="59"/>
    </row>
    <row r="2897" spans="2:13" x14ac:dyDescent="0.3">
      <c r="B2897" s="178"/>
      <c r="C2897" s="179"/>
      <c r="D2897" s="180"/>
      <c r="E2897" s="181"/>
      <c r="F2897" s="182"/>
      <c r="G2897" s="1" t="str">
        <f>IFERROR(IF(ventas_b_mes11[[#This Row],[CUIT]]="","-",VLOOKUP(ventas_b_mes11[[#This Row],[CUIT]],Lista_CUIT[#All],2,0)),"CUIT NO CARGADO")</f>
        <v>-</v>
      </c>
      <c r="H2897" s="64">
        <f>ventas_b_mes11[[#This Row],[TOTAL]]/1.21</f>
        <v>0</v>
      </c>
      <c r="I2897" s="183">
        <f>ventas_b_mes11[[#This Row],[IMPORTE NETO]]*0.21</f>
        <v>0</v>
      </c>
      <c r="J2897" s="184"/>
      <c r="K2897" s="184"/>
      <c r="L2897" s="184"/>
      <c r="M2897" s="59"/>
    </row>
    <row r="2898" spans="2:13" x14ac:dyDescent="0.3">
      <c r="B2898" s="178"/>
      <c r="C2898" s="179"/>
      <c r="D2898" s="180"/>
      <c r="E2898" s="181"/>
      <c r="F2898" s="182"/>
      <c r="G2898" s="1" t="str">
        <f>IFERROR(IF(ventas_b_mes11[[#This Row],[CUIT]]="","-",VLOOKUP(ventas_b_mes11[[#This Row],[CUIT]],Lista_CUIT[#All],2,0)),"CUIT NO CARGADO")</f>
        <v>-</v>
      </c>
      <c r="H2898" s="64">
        <f>ventas_b_mes11[[#This Row],[TOTAL]]/1.21</f>
        <v>0</v>
      </c>
      <c r="I2898" s="183">
        <f>ventas_b_mes11[[#This Row],[IMPORTE NETO]]*0.21</f>
        <v>0</v>
      </c>
      <c r="J2898" s="184"/>
      <c r="K2898" s="184"/>
      <c r="L2898" s="184"/>
      <c r="M2898" s="59"/>
    </row>
    <row r="2899" spans="2:13" x14ac:dyDescent="0.3">
      <c r="B2899" s="178"/>
      <c r="C2899" s="179"/>
      <c r="D2899" s="180"/>
      <c r="E2899" s="181"/>
      <c r="F2899" s="182"/>
      <c r="G2899" s="1" t="str">
        <f>IFERROR(IF(ventas_b_mes11[[#This Row],[CUIT]]="","-",VLOOKUP(ventas_b_mes11[[#This Row],[CUIT]],Lista_CUIT[#All],2,0)),"CUIT NO CARGADO")</f>
        <v>-</v>
      </c>
      <c r="H2899" s="64">
        <f>ventas_b_mes11[[#This Row],[TOTAL]]/1.21</f>
        <v>0</v>
      </c>
      <c r="I2899" s="183">
        <f>ventas_b_mes11[[#This Row],[IMPORTE NETO]]*0.21</f>
        <v>0</v>
      </c>
      <c r="J2899" s="184"/>
      <c r="K2899" s="184"/>
      <c r="L2899" s="184"/>
      <c r="M2899" s="59"/>
    </row>
    <row r="2900" spans="2:13" x14ac:dyDescent="0.3">
      <c r="B2900" s="178"/>
      <c r="C2900" s="179"/>
      <c r="D2900" s="180"/>
      <c r="E2900" s="181"/>
      <c r="F2900" s="182"/>
      <c r="G2900" s="1" t="str">
        <f>IFERROR(IF(ventas_b_mes11[[#This Row],[CUIT]]="","-",VLOOKUP(ventas_b_mes11[[#This Row],[CUIT]],Lista_CUIT[#All],2,0)),"CUIT NO CARGADO")</f>
        <v>-</v>
      </c>
      <c r="H2900" s="64">
        <f>ventas_b_mes11[[#This Row],[TOTAL]]/1.21</f>
        <v>0</v>
      </c>
      <c r="I2900" s="183">
        <f>ventas_b_mes11[[#This Row],[IMPORTE NETO]]*0.21</f>
        <v>0</v>
      </c>
      <c r="J2900" s="184"/>
      <c r="K2900" s="184"/>
      <c r="L2900" s="184"/>
      <c r="M2900" s="59"/>
    </row>
    <row r="2901" spans="2:13" x14ac:dyDescent="0.3">
      <c r="B2901" s="178"/>
      <c r="C2901" s="179"/>
      <c r="D2901" s="180"/>
      <c r="E2901" s="181"/>
      <c r="F2901" s="182"/>
      <c r="G2901" s="1" t="str">
        <f>IFERROR(IF(ventas_b_mes11[[#This Row],[CUIT]]="","-",VLOOKUP(ventas_b_mes11[[#This Row],[CUIT]],Lista_CUIT[#All],2,0)),"CUIT NO CARGADO")</f>
        <v>-</v>
      </c>
      <c r="H2901" s="64">
        <f>ventas_b_mes11[[#This Row],[TOTAL]]/1.21</f>
        <v>0</v>
      </c>
      <c r="I2901" s="183">
        <f>ventas_b_mes11[[#This Row],[IMPORTE NETO]]*0.21</f>
        <v>0</v>
      </c>
      <c r="J2901" s="184"/>
      <c r="K2901" s="184"/>
      <c r="L2901" s="184"/>
      <c r="M2901" s="59"/>
    </row>
    <row r="2902" spans="2:13" x14ac:dyDescent="0.3">
      <c r="B2902" s="178"/>
      <c r="C2902" s="179"/>
      <c r="D2902" s="180"/>
      <c r="E2902" s="181"/>
      <c r="F2902" s="182"/>
      <c r="G2902" s="1" t="str">
        <f>IFERROR(IF(ventas_b_mes11[[#This Row],[CUIT]]="","-",VLOOKUP(ventas_b_mes11[[#This Row],[CUIT]],Lista_CUIT[#All],2,0)),"CUIT NO CARGADO")</f>
        <v>-</v>
      </c>
      <c r="H2902" s="64">
        <f>ventas_b_mes11[[#This Row],[TOTAL]]/1.21</f>
        <v>0</v>
      </c>
      <c r="I2902" s="183">
        <f>ventas_b_mes11[[#This Row],[IMPORTE NETO]]*0.21</f>
        <v>0</v>
      </c>
      <c r="J2902" s="184"/>
      <c r="K2902" s="184"/>
      <c r="L2902" s="184"/>
      <c r="M2902" s="59"/>
    </row>
    <row r="2903" spans="2:13" x14ac:dyDescent="0.3">
      <c r="B2903" s="178"/>
      <c r="C2903" s="179"/>
      <c r="D2903" s="180"/>
      <c r="E2903" s="181"/>
      <c r="F2903" s="182"/>
      <c r="G2903" s="1" t="str">
        <f>IFERROR(IF(ventas_b_mes11[[#This Row],[CUIT]]="","-",VLOOKUP(ventas_b_mes11[[#This Row],[CUIT]],Lista_CUIT[#All],2,0)),"CUIT NO CARGADO")</f>
        <v>-</v>
      </c>
      <c r="H2903" s="64">
        <f>ventas_b_mes11[[#This Row],[TOTAL]]/1.21</f>
        <v>0</v>
      </c>
      <c r="I2903" s="183">
        <f>ventas_b_mes11[[#This Row],[IMPORTE NETO]]*0.21</f>
        <v>0</v>
      </c>
      <c r="J2903" s="184"/>
      <c r="K2903" s="184"/>
      <c r="L2903" s="184"/>
      <c r="M2903" s="59"/>
    </row>
    <row r="2904" spans="2:13" x14ac:dyDescent="0.3">
      <c r="B2904" s="178"/>
      <c r="C2904" s="179"/>
      <c r="D2904" s="180"/>
      <c r="E2904" s="181"/>
      <c r="F2904" s="182"/>
      <c r="G2904" s="1" t="str">
        <f>IFERROR(IF(ventas_b_mes11[[#This Row],[CUIT]]="","-",VLOOKUP(ventas_b_mes11[[#This Row],[CUIT]],Lista_CUIT[#All],2,0)),"CUIT NO CARGADO")</f>
        <v>-</v>
      </c>
      <c r="H2904" s="64">
        <f>ventas_b_mes11[[#This Row],[TOTAL]]/1.21</f>
        <v>0</v>
      </c>
      <c r="I2904" s="183">
        <f>ventas_b_mes11[[#This Row],[IMPORTE NETO]]*0.21</f>
        <v>0</v>
      </c>
      <c r="J2904" s="184"/>
      <c r="K2904" s="184"/>
      <c r="L2904" s="184"/>
      <c r="M2904" s="59"/>
    </row>
    <row r="2905" spans="2:13" x14ac:dyDescent="0.3">
      <c r="B2905" s="178"/>
      <c r="C2905" s="179"/>
      <c r="D2905" s="180"/>
      <c r="E2905" s="181"/>
      <c r="F2905" s="182"/>
      <c r="G2905" s="1" t="str">
        <f>IFERROR(IF(ventas_b_mes11[[#This Row],[CUIT]]="","-",VLOOKUP(ventas_b_mes11[[#This Row],[CUIT]],Lista_CUIT[#All],2,0)),"CUIT NO CARGADO")</f>
        <v>-</v>
      </c>
      <c r="H2905" s="64">
        <f>ventas_b_mes11[[#This Row],[TOTAL]]/1.21</f>
        <v>0</v>
      </c>
      <c r="I2905" s="183">
        <f>ventas_b_mes11[[#This Row],[IMPORTE NETO]]*0.21</f>
        <v>0</v>
      </c>
      <c r="J2905" s="184"/>
      <c r="K2905" s="184"/>
      <c r="L2905" s="184"/>
      <c r="M2905" s="59"/>
    </row>
    <row r="2906" spans="2:13" x14ac:dyDescent="0.3">
      <c r="B2906" s="178"/>
      <c r="C2906" s="179"/>
      <c r="D2906" s="180"/>
      <c r="E2906" s="181"/>
      <c r="F2906" s="182"/>
      <c r="G2906" s="1" t="str">
        <f>IFERROR(IF(ventas_b_mes11[[#This Row],[CUIT]]="","-",VLOOKUP(ventas_b_mes11[[#This Row],[CUIT]],Lista_CUIT[#All],2,0)),"CUIT NO CARGADO")</f>
        <v>-</v>
      </c>
      <c r="H2906" s="64">
        <f>ventas_b_mes11[[#This Row],[TOTAL]]/1.21</f>
        <v>0</v>
      </c>
      <c r="I2906" s="183">
        <f>ventas_b_mes11[[#This Row],[IMPORTE NETO]]*0.21</f>
        <v>0</v>
      </c>
      <c r="J2906" s="184"/>
      <c r="K2906" s="184"/>
      <c r="L2906" s="184"/>
      <c r="M2906" s="59"/>
    </row>
    <row r="2907" spans="2:13" x14ac:dyDescent="0.3">
      <c r="B2907" s="178"/>
      <c r="C2907" s="179"/>
      <c r="D2907" s="180"/>
      <c r="E2907" s="181"/>
      <c r="F2907" s="182"/>
      <c r="G2907" s="1" t="str">
        <f>IFERROR(IF(ventas_b_mes11[[#This Row],[CUIT]]="","-",VLOOKUP(ventas_b_mes11[[#This Row],[CUIT]],Lista_CUIT[#All],2,0)),"CUIT NO CARGADO")</f>
        <v>-</v>
      </c>
      <c r="H2907" s="64">
        <f>ventas_b_mes11[[#This Row],[TOTAL]]/1.21</f>
        <v>0</v>
      </c>
      <c r="I2907" s="183">
        <f>ventas_b_mes11[[#This Row],[IMPORTE NETO]]*0.21</f>
        <v>0</v>
      </c>
      <c r="J2907" s="184"/>
      <c r="K2907" s="184"/>
      <c r="L2907" s="184"/>
      <c r="M2907" s="59"/>
    </row>
    <row r="2908" spans="2:13" x14ac:dyDescent="0.3">
      <c r="B2908" s="178"/>
      <c r="C2908" s="179"/>
      <c r="D2908" s="180"/>
      <c r="E2908" s="181"/>
      <c r="F2908" s="182"/>
      <c r="G2908" s="1" t="str">
        <f>IFERROR(IF(ventas_b_mes11[[#This Row],[CUIT]]="","-",VLOOKUP(ventas_b_mes11[[#This Row],[CUIT]],Lista_CUIT[#All],2,0)),"CUIT NO CARGADO")</f>
        <v>-</v>
      </c>
      <c r="H2908" s="64">
        <f>ventas_b_mes11[[#This Row],[TOTAL]]/1.21</f>
        <v>0</v>
      </c>
      <c r="I2908" s="183">
        <f>ventas_b_mes11[[#This Row],[IMPORTE NETO]]*0.21</f>
        <v>0</v>
      </c>
      <c r="J2908" s="184"/>
      <c r="K2908" s="184"/>
      <c r="L2908" s="184"/>
      <c r="M2908" s="59"/>
    </row>
    <row r="2909" spans="2:13" x14ac:dyDescent="0.3">
      <c r="B2909" s="178"/>
      <c r="C2909" s="179"/>
      <c r="D2909" s="180"/>
      <c r="E2909" s="181"/>
      <c r="F2909" s="182"/>
      <c r="G2909" s="1" t="str">
        <f>IFERROR(IF(ventas_b_mes11[[#This Row],[CUIT]]="","-",VLOOKUP(ventas_b_mes11[[#This Row],[CUIT]],Lista_CUIT[#All],2,0)),"CUIT NO CARGADO")</f>
        <v>-</v>
      </c>
      <c r="H2909" s="64">
        <f>ventas_b_mes11[[#This Row],[TOTAL]]/1.21</f>
        <v>0</v>
      </c>
      <c r="I2909" s="183">
        <f>ventas_b_mes11[[#This Row],[IMPORTE NETO]]*0.21</f>
        <v>0</v>
      </c>
      <c r="J2909" s="184"/>
      <c r="K2909" s="184"/>
      <c r="L2909" s="184"/>
      <c r="M2909" s="59"/>
    </row>
    <row r="2910" spans="2:13" x14ac:dyDescent="0.3">
      <c r="B2910" s="178"/>
      <c r="C2910" s="179"/>
      <c r="D2910" s="180"/>
      <c r="E2910" s="181"/>
      <c r="F2910" s="182"/>
      <c r="G2910" s="1" t="str">
        <f>IFERROR(IF(ventas_b_mes11[[#This Row],[CUIT]]="","-",VLOOKUP(ventas_b_mes11[[#This Row],[CUIT]],Lista_CUIT[#All],2,0)),"CUIT NO CARGADO")</f>
        <v>-</v>
      </c>
      <c r="H2910" s="64">
        <f>ventas_b_mes11[[#This Row],[TOTAL]]/1.21</f>
        <v>0</v>
      </c>
      <c r="I2910" s="183">
        <f>ventas_b_mes11[[#This Row],[IMPORTE NETO]]*0.21</f>
        <v>0</v>
      </c>
      <c r="J2910" s="184"/>
      <c r="K2910" s="184"/>
      <c r="L2910" s="184"/>
      <c r="M2910" s="59"/>
    </row>
    <row r="2911" spans="2:13" x14ac:dyDescent="0.3">
      <c r="B2911" s="178"/>
      <c r="C2911" s="179"/>
      <c r="D2911" s="180"/>
      <c r="E2911" s="181"/>
      <c r="F2911" s="182"/>
      <c r="G2911" s="1" t="str">
        <f>IFERROR(IF(ventas_b_mes11[[#This Row],[CUIT]]="","-",VLOOKUP(ventas_b_mes11[[#This Row],[CUIT]],Lista_CUIT[#All],2,0)),"CUIT NO CARGADO")</f>
        <v>-</v>
      </c>
      <c r="H2911" s="64">
        <f>ventas_b_mes11[[#This Row],[TOTAL]]/1.21</f>
        <v>0</v>
      </c>
      <c r="I2911" s="183">
        <f>ventas_b_mes11[[#This Row],[IMPORTE NETO]]*0.21</f>
        <v>0</v>
      </c>
      <c r="J2911" s="184"/>
      <c r="K2911" s="184"/>
      <c r="L2911" s="184"/>
      <c r="M2911" s="59"/>
    </row>
    <row r="2912" spans="2:13" x14ac:dyDescent="0.3">
      <c r="B2912" s="178"/>
      <c r="C2912" s="179"/>
      <c r="D2912" s="180"/>
      <c r="E2912" s="181"/>
      <c r="F2912" s="182"/>
      <c r="G2912" s="1" t="str">
        <f>IFERROR(IF(ventas_b_mes11[[#This Row],[CUIT]]="","-",VLOOKUP(ventas_b_mes11[[#This Row],[CUIT]],Lista_CUIT[#All],2,0)),"CUIT NO CARGADO")</f>
        <v>-</v>
      </c>
      <c r="H2912" s="64">
        <f>ventas_b_mes11[[#This Row],[TOTAL]]/1.21</f>
        <v>0</v>
      </c>
      <c r="I2912" s="183">
        <f>ventas_b_mes11[[#This Row],[IMPORTE NETO]]*0.21</f>
        <v>0</v>
      </c>
      <c r="J2912" s="184"/>
      <c r="K2912" s="184"/>
      <c r="L2912" s="184"/>
      <c r="M2912" s="59"/>
    </row>
    <row r="2913" spans="2:13" x14ac:dyDescent="0.3">
      <c r="B2913" s="178"/>
      <c r="C2913" s="179"/>
      <c r="D2913" s="180"/>
      <c r="E2913" s="181"/>
      <c r="F2913" s="182"/>
      <c r="G2913" s="1" t="str">
        <f>IFERROR(IF(ventas_b_mes11[[#This Row],[CUIT]]="","-",VLOOKUP(ventas_b_mes11[[#This Row],[CUIT]],Lista_CUIT[#All],2,0)),"CUIT NO CARGADO")</f>
        <v>-</v>
      </c>
      <c r="H2913" s="64">
        <f>ventas_b_mes11[[#This Row],[TOTAL]]/1.21</f>
        <v>0</v>
      </c>
      <c r="I2913" s="183">
        <f>ventas_b_mes11[[#This Row],[IMPORTE NETO]]*0.21</f>
        <v>0</v>
      </c>
      <c r="J2913" s="184"/>
      <c r="K2913" s="184"/>
      <c r="L2913" s="184"/>
      <c r="M2913" s="59"/>
    </row>
    <row r="2914" spans="2:13" x14ac:dyDescent="0.3">
      <c r="B2914" s="178"/>
      <c r="C2914" s="179"/>
      <c r="D2914" s="180"/>
      <c r="E2914" s="181"/>
      <c r="F2914" s="182"/>
      <c r="G2914" s="1" t="str">
        <f>IFERROR(IF(ventas_b_mes11[[#This Row],[CUIT]]="","-",VLOOKUP(ventas_b_mes11[[#This Row],[CUIT]],Lista_CUIT[#All],2,0)),"CUIT NO CARGADO")</f>
        <v>-</v>
      </c>
      <c r="H2914" s="64">
        <f>ventas_b_mes11[[#This Row],[TOTAL]]/1.21</f>
        <v>0</v>
      </c>
      <c r="I2914" s="183">
        <f>ventas_b_mes11[[#This Row],[IMPORTE NETO]]*0.21</f>
        <v>0</v>
      </c>
      <c r="J2914" s="184"/>
      <c r="K2914" s="184"/>
      <c r="L2914" s="184"/>
      <c r="M2914" s="59"/>
    </row>
    <row r="2915" spans="2:13" x14ac:dyDescent="0.3">
      <c r="B2915" s="178"/>
      <c r="C2915" s="179"/>
      <c r="D2915" s="180"/>
      <c r="E2915" s="181"/>
      <c r="F2915" s="182"/>
      <c r="G2915" s="1" t="str">
        <f>IFERROR(IF(ventas_b_mes11[[#This Row],[CUIT]]="","-",VLOOKUP(ventas_b_mes11[[#This Row],[CUIT]],Lista_CUIT[#All],2,0)),"CUIT NO CARGADO")</f>
        <v>-</v>
      </c>
      <c r="H2915" s="64">
        <f>ventas_b_mes11[[#This Row],[TOTAL]]/1.21</f>
        <v>0</v>
      </c>
      <c r="I2915" s="183">
        <f>ventas_b_mes11[[#This Row],[IMPORTE NETO]]*0.21</f>
        <v>0</v>
      </c>
      <c r="J2915" s="184"/>
      <c r="K2915" s="184"/>
      <c r="L2915" s="184"/>
      <c r="M2915" s="59"/>
    </row>
    <row r="2916" spans="2:13" x14ac:dyDescent="0.3">
      <c r="B2916" s="178"/>
      <c r="C2916" s="179"/>
      <c r="D2916" s="180"/>
      <c r="E2916" s="181"/>
      <c r="F2916" s="182"/>
      <c r="G2916" s="1" t="str">
        <f>IFERROR(IF(ventas_b_mes11[[#This Row],[CUIT]]="","-",VLOOKUP(ventas_b_mes11[[#This Row],[CUIT]],Lista_CUIT[#All],2,0)),"CUIT NO CARGADO")</f>
        <v>-</v>
      </c>
      <c r="H2916" s="64">
        <f>ventas_b_mes11[[#This Row],[TOTAL]]/1.21</f>
        <v>0</v>
      </c>
      <c r="I2916" s="183">
        <f>ventas_b_mes11[[#This Row],[IMPORTE NETO]]*0.21</f>
        <v>0</v>
      </c>
      <c r="J2916" s="184"/>
      <c r="K2916" s="184"/>
      <c r="L2916" s="184"/>
      <c r="M2916" s="59"/>
    </row>
    <row r="2917" spans="2:13" x14ac:dyDescent="0.3">
      <c r="B2917" s="178"/>
      <c r="C2917" s="179"/>
      <c r="D2917" s="180"/>
      <c r="E2917" s="181"/>
      <c r="F2917" s="182"/>
      <c r="G2917" s="1" t="str">
        <f>IFERROR(IF(ventas_b_mes11[[#This Row],[CUIT]]="","-",VLOOKUP(ventas_b_mes11[[#This Row],[CUIT]],Lista_CUIT[#All],2,0)),"CUIT NO CARGADO")</f>
        <v>-</v>
      </c>
      <c r="H2917" s="64">
        <f>ventas_b_mes11[[#This Row],[TOTAL]]/1.21</f>
        <v>0</v>
      </c>
      <c r="I2917" s="183">
        <f>ventas_b_mes11[[#This Row],[IMPORTE NETO]]*0.21</f>
        <v>0</v>
      </c>
      <c r="J2917" s="184"/>
      <c r="K2917" s="184"/>
      <c r="L2917" s="184"/>
      <c r="M2917" s="59"/>
    </row>
    <row r="2918" spans="2:13" x14ac:dyDescent="0.3">
      <c r="B2918" s="178"/>
      <c r="C2918" s="179"/>
      <c r="D2918" s="180"/>
      <c r="E2918" s="181"/>
      <c r="F2918" s="182"/>
      <c r="G2918" s="1" t="str">
        <f>IFERROR(IF(ventas_b_mes11[[#This Row],[CUIT]]="","-",VLOOKUP(ventas_b_mes11[[#This Row],[CUIT]],Lista_CUIT[#All],2,0)),"CUIT NO CARGADO")</f>
        <v>-</v>
      </c>
      <c r="H2918" s="64">
        <f>ventas_b_mes11[[#This Row],[TOTAL]]/1.21</f>
        <v>0</v>
      </c>
      <c r="I2918" s="183">
        <f>ventas_b_mes11[[#This Row],[IMPORTE NETO]]*0.21</f>
        <v>0</v>
      </c>
      <c r="J2918" s="184"/>
      <c r="K2918" s="184"/>
      <c r="L2918" s="184"/>
      <c r="M2918" s="59"/>
    </row>
    <row r="2919" spans="2:13" x14ac:dyDescent="0.3">
      <c r="B2919" s="178"/>
      <c r="C2919" s="179"/>
      <c r="D2919" s="180"/>
      <c r="E2919" s="181"/>
      <c r="F2919" s="182"/>
      <c r="G2919" s="1" t="str">
        <f>IFERROR(IF(ventas_b_mes11[[#This Row],[CUIT]]="","-",VLOOKUP(ventas_b_mes11[[#This Row],[CUIT]],Lista_CUIT[#All],2,0)),"CUIT NO CARGADO")</f>
        <v>-</v>
      </c>
      <c r="H2919" s="64">
        <f>ventas_b_mes11[[#This Row],[TOTAL]]/1.21</f>
        <v>0</v>
      </c>
      <c r="I2919" s="183">
        <f>ventas_b_mes11[[#This Row],[IMPORTE NETO]]*0.21</f>
        <v>0</v>
      </c>
      <c r="J2919" s="184"/>
      <c r="K2919" s="184"/>
      <c r="L2919" s="184"/>
      <c r="M2919" s="59"/>
    </row>
    <row r="2920" spans="2:13" x14ac:dyDescent="0.3">
      <c r="B2920" s="178"/>
      <c r="C2920" s="179"/>
      <c r="D2920" s="180"/>
      <c r="E2920" s="181"/>
      <c r="F2920" s="182"/>
      <c r="G2920" s="1" t="str">
        <f>IFERROR(IF(ventas_b_mes11[[#This Row],[CUIT]]="","-",VLOOKUP(ventas_b_mes11[[#This Row],[CUIT]],Lista_CUIT[#All],2,0)),"CUIT NO CARGADO")</f>
        <v>-</v>
      </c>
      <c r="H2920" s="64">
        <f>ventas_b_mes11[[#This Row],[TOTAL]]/1.21</f>
        <v>0</v>
      </c>
      <c r="I2920" s="183">
        <f>ventas_b_mes11[[#This Row],[IMPORTE NETO]]*0.21</f>
        <v>0</v>
      </c>
      <c r="J2920" s="184"/>
      <c r="K2920" s="184"/>
      <c r="L2920" s="184"/>
      <c r="M2920" s="59"/>
    </row>
    <row r="2921" spans="2:13" x14ac:dyDescent="0.3">
      <c r="B2921" s="178"/>
      <c r="C2921" s="179"/>
      <c r="D2921" s="180"/>
      <c r="E2921" s="181"/>
      <c r="F2921" s="182"/>
      <c r="G2921" s="1" t="str">
        <f>IFERROR(IF(ventas_b_mes11[[#This Row],[CUIT]]="","-",VLOOKUP(ventas_b_mes11[[#This Row],[CUIT]],Lista_CUIT[#All],2,0)),"CUIT NO CARGADO")</f>
        <v>-</v>
      </c>
      <c r="H2921" s="64">
        <f>ventas_b_mes11[[#This Row],[TOTAL]]/1.21</f>
        <v>0</v>
      </c>
      <c r="I2921" s="183">
        <f>ventas_b_mes11[[#This Row],[IMPORTE NETO]]*0.21</f>
        <v>0</v>
      </c>
      <c r="J2921" s="184"/>
      <c r="K2921" s="184"/>
      <c r="L2921" s="184"/>
      <c r="M2921" s="59"/>
    </row>
    <row r="2922" spans="2:13" x14ac:dyDescent="0.3">
      <c r="B2922" s="178"/>
      <c r="C2922" s="179"/>
      <c r="D2922" s="180"/>
      <c r="E2922" s="181"/>
      <c r="F2922" s="182"/>
      <c r="G2922" s="1" t="str">
        <f>IFERROR(IF(ventas_b_mes11[[#This Row],[CUIT]]="","-",VLOOKUP(ventas_b_mes11[[#This Row],[CUIT]],Lista_CUIT[#All],2,0)),"CUIT NO CARGADO")</f>
        <v>-</v>
      </c>
      <c r="H2922" s="64">
        <f>ventas_b_mes11[[#This Row],[TOTAL]]/1.21</f>
        <v>0</v>
      </c>
      <c r="I2922" s="183">
        <f>ventas_b_mes11[[#This Row],[IMPORTE NETO]]*0.21</f>
        <v>0</v>
      </c>
      <c r="J2922" s="184"/>
      <c r="K2922" s="184"/>
      <c r="L2922" s="184"/>
      <c r="M2922" s="59"/>
    </row>
    <row r="2923" spans="2:13" x14ac:dyDescent="0.3">
      <c r="B2923" s="178"/>
      <c r="C2923" s="179"/>
      <c r="D2923" s="180"/>
      <c r="E2923" s="181"/>
      <c r="F2923" s="182"/>
      <c r="G2923" s="1" t="str">
        <f>IFERROR(IF(ventas_b_mes11[[#This Row],[CUIT]]="","-",VLOOKUP(ventas_b_mes11[[#This Row],[CUIT]],Lista_CUIT[#All],2,0)),"CUIT NO CARGADO")</f>
        <v>-</v>
      </c>
      <c r="H2923" s="64">
        <f>ventas_b_mes11[[#This Row],[TOTAL]]/1.21</f>
        <v>0</v>
      </c>
      <c r="I2923" s="183">
        <f>ventas_b_mes11[[#This Row],[IMPORTE NETO]]*0.21</f>
        <v>0</v>
      </c>
      <c r="J2923" s="184"/>
      <c r="K2923" s="184"/>
      <c r="L2923" s="184"/>
      <c r="M2923" s="59"/>
    </row>
    <row r="2924" spans="2:13" x14ac:dyDescent="0.3">
      <c r="B2924" s="178"/>
      <c r="C2924" s="179"/>
      <c r="D2924" s="180"/>
      <c r="E2924" s="181"/>
      <c r="F2924" s="182"/>
      <c r="G2924" s="1" t="str">
        <f>IFERROR(IF(ventas_b_mes11[[#This Row],[CUIT]]="","-",VLOOKUP(ventas_b_mes11[[#This Row],[CUIT]],Lista_CUIT[#All],2,0)),"CUIT NO CARGADO")</f>
        <v>-</v>
      </c>
      <c r="H2924" s="64">
        <f>ventas_b_mes11[[#This Row],[TOTAL]]/1.21</f>
        <v>0</v>
      </c>
      <c r="I2924" s="183">
        <f>ventas_b_mes11[[#This Row],[IMPORTE NETO]]*0.21</f>
        <v>0</v>
      </c>
      <c r="J2924" s="184"/>
      <c r="K2924" s="184"/>
      <c r="L2924" s="184"/>
      <c r="M2924" s="59"/>
    </row>
    <row r="2925" spans="2:13" x14ac:dyDescent="0.3">
      <c r="B2925" s="178"/>
      <c r="C2925" s="179"/>
      <c r="D2925" s="180"/>
      <c r="E2925" s="181"/>
      <c r="F2925" s="182"/>
      <c r="G2925" s="1" t="str">
        <f>IFERROR(IF(ventas_b_mes11[[#This Row],[CUIT]]="","-",VLOOKUP(ventas_b_mes11[[#This Row],[CUIT]],Lista_CUIT[#All],2,0)),"CUIT NO CARGADO")</f>
        <v>-</v>
      </c>
      <c r="H2925" s="64">
        <f>ventas_b_mes11[[#This Row],[TOTAL]]/1.21</f>
        <v>0</v>
      </c>
      <c r="I2925" s="183">
        <f>ventas_b_mes11[[#This Row],[IMPORTE NETO]]*0.21</f>
        <v>0</v>
      </c>
      <c r="J2925" s="184"/>
      <c r="K2925" s="184"/>
      <c r="L2925" s="184"/>
      <c r="M2925" s="59"/>
    </row>
    <row r="2926" spans="2:13" x14ac:dyDescent="0.3">
      <c r="B2926" s="178"/>
      <c r="C2926" s="179"/>
      <c r="D2926" s="180"/>
      <c r="E2926" s="181"/>
      <c r="F2926" s="182"/>
      <c r="G2926" s="1" t="str">
        <f>IFERROR(IF(ventas_b_mes11[[#This Row],[CUIT]]="","-",VLOOKUP(ventas_b_mes11[[#This Row],[CUIT]],Lista_CUIT[#All],2,0)),"CUIT NO CARGADO")</f>
        <v>-</v>
      </c>
      <c r="H2926" s="64">
        <f>ventas_b_mes11[[#This Row],[TOTAL]]/1.21</f>
        <v>0</v>
      </c>
      <c r="I2926" s="183">
        <f>ventas_b_mes11[[#This Row],[IMPORTE NETO]]*0.21</f>
        <v>0</v>
      </c>
      <c r="J2926" s="184"/>
      <c r="K2926" s="184"/>
      <c r="L2926" s="184"/>
      <c r="M2926" s="59"/>
    </row>
    <row r="2927" spans="2:13" x14ac:dyDescent="0.3">
      <c r="B2927" s="178"/>
      <c r="C2927" s="179"/>
      <c r="D2927" s="180"/>
      <c r="E2927" s="181"/>
      <c r="F2927" s="182"/>
      <c r="G2927" s="1" t="str">
        <f>IFERROR(IF(ventas_b_mes11[[#This Row],[CUIT]]="","-",VLOOKUP(ventas_b_mes11[[#This Row],[CUIT]],Lista_CUIT[#All],2,0)),"CUIT NO CARGADO")</f>
        <v>-</v>
      </c>
      <c r="H2927" s="64">
        <f>ventas_b_mes11[[#This Row],[TOTAL]]/1.21</f>
        <v>0</v>
      </c>
      <c r="I2927" s="183">
        <f>ventas_b_mes11[[#This Row],[IMPORTE NETO]]*0.21</f>
        <v>0</v>
      </c>
      <c r="J2927" s="184"/>
      <c r="K2927" s="184"/>
      <c r="L2927" s="184"/>
      <c r="M2927" s="59"/>
    </row>
    <row r="2928" spans="2:13" x14ac:dyDescent="0.3">
      <c r="B2928" s="178"/>
      <c r="C2928" s="179"/>
      <c r="D2928" s="180"/>
      <c r="E2928" s="181"/>
      <c r="F2928" s="182"/>
      <c r="G2928" s="1" t="str">
        <f>IFERROR(IF(ventas_b_mes11[[#This Row],[CUIT]]="","-",VLOOKUP(ventas_b_mes11[[#This Row],[CUIT]],Lista_CUIT[#All],2,0)),"CUIT NO CARGADO")</f>
        <v>-</v>
      </c>
      <c r="H2928" s="64">
        <f>ventas_b_mes11[[#This Row],[TOTAL]]/1.21</f>
        <v>0</v>
      </c>
      <c r="I2928" s="183">
        <f>ventas_b_mes11[[#This Row],[IMPORTE NETO]]*0.21</f>
        <v>0</v>
      </c>
      <c r="J2928" s="184"/>
      <c r="K2928" s="184"/>
      <c r="L2928" s="184"/>
      <c r="M2928" s="59"/>
    </row>
    <row r="2929" spans="2:13" x14ac:dyDescent="0.3">
      <c r="B2929" s="178"/>
      <c r="C2929" s="179"/>
      <c r="D2929" s="180"/>
      <c r="E2929" s="181"/>
      <c r="F2929" s="182"/>
      <c r="G2929" s="1" t="str">
        <f>IFERROR(IF(ventas_b_mes11[[#This Row],[CUIT]]="","-",VLOOKUP(ventas_b_mes11[[#This Row],[CUIT]],Lista_CUIT[#All],2,0)),"CUIT NO CARGADO")</f>
        <v>-</v>
      </c>
      <c r="H2929" s="64">
        <f>ventas_b_mes11[[#This Row],[TOTAL]]/1.21</f>
        <v>0</v>
      </c>
      <c r="I2929" s="183">
        <f>ventas_b_mes11[[#This Row],[IMPORTE NETO]]*0.21</f>
        <v>0</v>
      </c>
      <c r="J2929" s="184"/>
      <c r="K2929" s="184"/>
      <c r="L2929" s="184"/>
      <c r="M2929" s="59"/>
    </row>
    <row r="2930" spans="2:13" x14ac:dyDescent="0.3">
      <c r="B2930" s="178"/>
      <c r="C2930" s="179"/>
      <c r="D2930" s="180"/>
      <c r="E2930" s="181"/>
      <c r="F2930" s="182"/>
      <c r="G2930" s="1" t="str">
        <f>IFERROR(IF(ventas_b_mes11[[#This Row],[CUIT]]="","-",VLOOKUP(ventas_b_mes11[[#This Row],[CUIT]],Lista_CUIT[#All],2,0)),"CUIT NO CARGADO")</f>
        <v>-</v>
      </c>
      <c r="H2930" s="64">
        <f>ventas_b_mes11[[#This Row],[TOTAL]]/1.21</f>
        <v>0</v>
      </c>
      <c r="I2930" s="183">
        <f>ventas_b_mes11[[#This Row],[IMPORTE NETO]]*0.21</f>
        <v>0</v>
      </c>
      <c r="J2930" s="184"/>
      <c r="K2930" s="184"/>
      <c r="L2930" s="184"/>
      <c r="M2930" s="59"/>
    </row>
    <row r="2931" spans="2:13" x14ac:dyDescent="0.3">
      <c r="B2931" s="178"/>
      <c r="C2931" s="179"/>
      <c r="D2931" s="180"/>
      <c r="E2931" s="181"/>
      <c r="F2931" s="182"/>
      <c r="G2931" s="1" t="str">
        <f>IFERROR(IF(ventas_b_mes11[[#This Row],[CUIT]]="","-",VLOOKUP(ventas_b_mes11[[#This Row],[CUIT]],Lista_CUIT[#All],2,0)),"CUIT NO CARGADO")</f>
        <v>-</v>
      </c>
      <c r="H2931" s="64">
        <f>ventas_b_mes11[[#This Row],[TOTAL]]/1.21</f>
        <v>0</v>
      </c>
      <c r="I2931" s="183">
        <f>ventas_b_mes11[[#This Row],[IMPORTE NETO]]*0.21</f>
        <v>0</v>
      </c>
      <c r="J2931" s="184"/>
      <c r="K2931" s="184"/>
      <c r="L2931" s="184"/>
      <c r="M2931" s="59"/>
    </row>
    <row r="2932" spans="2:13" x14ac:dyDescent="0.3">
      <c r="B2932" s="178"/>
      <c r="C2932" s="179"/>
      <c r="D2932" s="180"/>
      <c r="E2932" s="181"/>
      <c r="F2932" s="182"/>
      <c r="G2932" s="1" t="str">
        <f>IFERROR(IF(ventas_b_mes11[[#This Row],[CUIT]]="","-",VLOOKUP(ventas_b_mes11[[#This Row],[CUIT]],Lista_CUIT[#All],2,0)),"CUIT NO CARGADO")</f>
        <v>-</v>
      </c>
      <c r="H2932" s="64">
        <f>ventas_b_mes11[[#This Row],[TOTAL]]/1.21</f>
        <v>0</v>
      </c>
      <c r="I2932" s="183">
        <f>ventas_b_mes11[[#This Row],[IMPORTE NETO]]*0.21</f>
        <v>0</v>
      </c>
      <c r="J2932" s="184"/>
      <c r="K2932" s="184"/>
      <c r="L2932" s="184"/>
      <c r="M2932" s="59"/>
    </row>
    <row r="2933" spans="2:13" x14ac:dyDescent="0.3">
      <c r="B2933" s="178"/>
      <c r="C2933" s="179"/>
      <c r="D2933" s="180"/>
      <c r="E2933" s="181"/>
      <c r="F2933" s="182"/>
      <c r="G2933" s="1" t="str">
        <f>IFERROR(IF(ventas_b_mes11[[#This Row],[CUIT]]="","-",VLOOKUP(ventas_b_mes11[[#This Row],[CUIT]],Lista_CUIT[#All],2,0)),"CUIT NO CARGADO")</f>
        <v>-</v>
      </c>
      <c r="H2933" s="64">
        <f>ventas_b_mes11[[#This Row],[TOTAL]]/1.21</f>
        <v>0</v>
      </c>
      <c r="I2933" s="183">
        <f>ventas_b_mes11[[#This Row],[IMPORTE NETO]]*0.21</f>
        <v>0</v>
      </c>
      <c r="J2933" s="184"/>
      <c r="K2933" s="184"/>
      <c r="L2933" s="184"/>
      <c r="M2933" s="59"/>
    </row>
    <row r="2934" spans="2:13" x14ac:dyDescent="0.3">
      <c r="B2934" s="178"/>
      <c r="C2934" s="179"/>
      <c r="D2934" s="180"/>
      <c r="E2934" s="181"/>
      <c r="F2934" s="182"/>
      <c r="G2934" s="1" t="str">
        <f>IFERROR(IF(ventas_b_mes11[[#This Row],[CUIT]]="","-",VLOOKUP(ventas_b_mes11[[#This Row],[CUIT]],Lista_CUIT[#All],2,0)),"CUIT NO CARGADO")</f>
        <v>-</v>
      </c>
      <c r="H2934" s="64">
        <f>ventas_b_mes11[[#This Row],[TOTAL]]/1.21</f>
        <v>0</v>
      </c>
      <c r="I2934" s="183">
        <f>ventas_b_mes11[[#This Row],[IMPORTE NETO]]*0.21</f>
        <v>0</v>
      </c>
      <c r="J2934" s="184"/>
      <c r="K2934" s="184"/>
      <c r="L2934" s="184"/>
      <c r="M2934" s="59"/>
    </row>
    <row r="2935" spans="2:13" x14ac:dyDescent="0.3">
      <c r="B2935" s="178"/>
      <c r="C2935" s="179"/>
      <c r="D2935" s="180"/>
      <c r="E2935" s="181"/>
      <c r="F2935" s="182"/>
      <c r="G2935" s="1" t="str">
        <f>IFERROR(IF(ventas_b_mes11[[#This Row],[CUIT]]="","-",VLOOKUP(ventas_b_mes11[[#This Row],[CUIT]],Lista_CUIT[#All],2,0)),"CUIT NO CARGADO")</f>
        <v>-</v>
      </c>
      <c r="H2935" s="64">
        <f>ventas_b_mes11[[#This Row],[TOTAL]]/1.21</f>
        <v>0</v>
      </c>
      <c r="I2935" s="183">
        <f>ventas_b_mes11[[#This Row],[IMPORTE NETO]]*0.21</f>
        <v>0</v>
      </c>
      <c r="J2935" s="184"/>
      <c r="K2935" s="184"/>
      <c r="L2935" s="184"/>
      <c r="M2935" s="59"/>
    </row>
    <row r="2936" spans="2:13" x14ac:dyDescent="0.3">
      <c r="B2936" s="178"/>
      <c r="C2936" s="179"/>
      <c r="D2936" s="180"/>
      <c r="E2936" s="181"/>
      <c r="F2936" s="182"/>
      <c r="G2936" s="1" t="str">
        <f>IFERROR(IF(ventas_b_mes11[[#This Row],[CUIT]]="","-",VLOOKUP(ventas_b_mes11[[#This Row],[CUIT]],Lista_CUIT[#All],2,0)),"CUIT NO CARGADO")</f>
        <v>-</v>
      </c>
      <c r="H2936" s="64">
        <f>ventas_b_mes11[[#This Row],[TOTAL]]/1.21</f>
        <v>0</v>
      </c>
      <c r="I2936" s="183">
        <f>ventas_b_mes11[[#This Row],[IMPORTE NETO]]*0.21</f>
        <v>0</v>
      </c>
      <c r="J2936" s="184"/>
      <c r="K2936" s="184"/>
      <c r="L2936" s="184"/>
      <c r="M2936" s="59"/>
    </row>
    <row r="2937" spans="2:13" x14ac:dyDescent="0.3">
      <c r="B2937" s="178"/>
      <c r="C2937" s="179"/>
      <c r="D2937" s="180"/>
      <c r="E2937" s="181"/>
      <c r="F2937" s="182"/>
      <c r="G2937" s="1" t="str">
        <f>IFERROR(IF(ventas_b_mes11[[#This Row],[CUIT]]="","-",VLOOKUP(ventas_b_mes11[[#This Row],[CUIT]],Lista_CUIT[#All],2,0)),"CUIT NO CARGADO")</f>
        <v>-</v>
      </c>
      <c r="H2937" s="64">
        <f>ventas_b_mes11[[#This Row],[TOTAL]]/1.21</f>
        <v>0</v>
      </c>
      <c r="I2937" s="183">
        <f>ventas_b_mes11[[#This Row],[IMPORTE NETO]]*0.21</f>
        <v>0</v>
      </c>
      <c r="J2937" s="184"/>
      <c r="K2937" s="184"/>
      <c r="L2937" s="184"/>
      <c r="M2937" s="59"/>
    </row>
    <row r="2938" spans="2:13" x14ac:dyDescent="0.3">
      <c r="B2938" s="178"/>
      <c r="C2938" s="179"/>
      <c r="D2938" s="180"/>
      <c r="E2938" s="181"/>
      <c r="F2938" s="182"/>
      <c r="G2938" s="1" t="str">
        <f>IFERROR(IF(ventas_b_mes11[[#This Row],[CUIT]]="","-",VLOOKUP(ventas_b_mes11[[#This Row],[CUIT]],Lista_CUIT[#All],2,0)),"CUIT NO CARGADO")</f>
        <v>-</v>
      </c>
      <c r="H2938" s="64">
        <f>ventas_b_mes11[[#This Row],[TOTAL]]/1.21</f>
        <v>0</v>
      </c>
      <c r="I2938" s="183">
        <f>ventas_b_mes11[[#This Row],[IMPORTE NETO]]*0.21</f>
        <v>0</v>
      </c>
      <c r="J2938" s="184"/>
      <c r="K2938" s="184"/>
      <c r="L2938" s="184"/>
      <c r="M2938" s="59"/>
    </row>
    <row r="2939" spans="2:13" x14ac:dyDescent="0.3">
      <c r="B2939" s="178"/>
      <c r="C2939" s="179"/>
      <c r="D2939" s="180"/>
      <c r="E2939" s="181"/>
      <c r="F2939" s="182"/>
      <c r="G2939" s="1" t="str">
        <f>IFERROR(IF(ventas_b_mes11[[#This Row],[CUIT]]="","-",VLOOKUP(ventas_b_mes11[[#This Row],[CUIT]],Lista_CUIT[#All],2,0)),"CUIT NO CARGADO")</f>
        <v>-</v>
      </c>
      <c r="H2939" s="64">
        <f>ventas_b_mes11[[#This Row],[TOTAL]]/1.21</f>
        <v>0</v>
      </c>
      <c r="I2939" s="183">
        <f>ventas_b_mes11[[#This Row],[IMPORTE NETO]]*0.21</f>
        <v>0</v>
      </c>
      <c r="J2939" s="184"/>
      <c r="K2939" s="184"/>
      <c r="L2939" s="184"/>
      <c r="M2939" s="59"/>
    </row>
    <row r="2940" spans="2:13" x14ac:dyDescent="0.3">
      <c r="B2940" s="178"/>
      <c r="C2940" s="179"/>
      <c r="D2940" s="180"/>
      <c r="E2940" s="181"/>
      <c r="F2940" s="182"/>
      <c r="G2940" s="1" t="str">
        <f>IFERROR(IF(ventas_b_mes11[[#This Row],[CUIT]]="","-",VLOOKUP(ventas_b_mes11[[#This Row],[CUIT]],Lista_CUIT[#All],2,0)),"CUIT NO CARGADO")</f>
        <v>-</v>
      </c>
      <c r="H2940" s="64">
        <f>ventas_b_mes11[[#This Row],[TOTAL]]/1.21</f>
        <v>0</v>
      </c>
      <c r="I2940" s="183">
        <f>ventas_b_mes11[[#This Row],[IMPORTE NETO]]*0.21</f>
        <v>0</v>
      </c>
      <c r="J2940" s="184"/>
      <c r="K2940" s="184"/>
      <c r="L2940" s="184"/>
      <c r="M2940" s="59"/>
    </row>
    <row r="2941" spans="2:13" x14ac:dyDescent="0.3">
      <c r="B2941" s="178"/>
      <c r="C2941" s="179"/>
      <c r="D2941" s="180"/>
      <c r="E2941" s="181"/>
      <c r="F2941" s="182"/>
      <c r="G2941" s="1" t="str">
        <f>IFERROR(IF(ventas_b_mes11[[#This Row],[CUIT]]="","-",VLOOKUP(ventas_b_mes11[[#This Row],[CUIT]],Lista_CUIT[#All],2,0)),"CUIT NO CARGADO")</f>
        <v>-</v>
      </c>
      <c r="H2941" s="64">
        <f>ventas_b_mes11[[#This Row],[TOTAL]]/1.21</f>
        <v>0</v>
      </c>
      <c r="I2941" s="183">
        <f>ventas_b_mes11[[#This Row],[IMPORTE NETO]]*0.21</f>
        <v>0</v>
      </c>
      <c r="J2941" s="184"/>
      <c r="K2941" s="184"/>
      <c r="L2941" s="184"/>
      <c r="M2941" s="59"/>
    </row>
    <row r="2942" spans="2:13" x14ac:dyDescent="0.3">
      <c r="B2942" s="178"/>
      <c r="C2942" s="179"/>
      <c r="D2942" s="180"/>
      <c r="E2942" s="181"/>
      <c r="F2942" s="182"/>
      <c r="G2942" s="1" t="str">
        <f>IFERROR(IF(ventas_b_mes11[[#This Row],[CUIT]]="","-",VLOOKUP(ventas_b_mes11[[#This Row],[CUIT]],Lista_CUIT[#All],2,0)),"CUIT NO CARGADO")</f>
        <v>-</v>
      </c>
      <c r="H2942" s="64">
        <f>ventas_b_mes11[[#This Row],[TOTAL]]/1.21</f>
        <v>0</v>
      </c>
      <c r="I2942" s="183">
        <f>ventas_b_mes11[[#This Row],[IMPORTE NETO]]*0.21</f>
        <v>0</v>
      </c>
      <c r="J2942" s="184"/>
      <c r="K2942" s="184"/>
      <c r="L2942" s="184"/>
      <c r="M2942" s="59"/>
    </row>
    <row r="2943" spans="2:13" x14ac:dyDescent="0.3">
      <c r="B2943" s="178"/>
      <c r="C2943" s="179"/>
      <c r="D2943" s="180"/>
      <c r="E2943" s="181"/>
      <c r="F2943" s="182"/>
      <c r="G2943" s="1" t="str">
        <f>IFERROR(IF(ventas_b_mes11[[#This Row],[CUIT]]="","-",VLOOKUP(ventas_b_mes11[[#This Row],[CUIT]],Lista_CUIT[#All],2,0)),"CUIT NO CARGADO")</f>
        <v>-</v>
      </c>
      <c r="H2943" s="64">
        <f>ventas_b_mes11[[#This Row],[TOTAL]]/1.21</f>
        <v>0</v>
      </c>
      <c r="I2943" s="183">
        <f>ventas_b_mes11[[#This Row],[IMPORTE NETO]]*0.21</f>
        <v>0</v>
      </c>
      <c r="J2943" s="184"/>
      <c r="K2943" s="184"/>
      <c r="L2943" s="184"/>
      <c r="M2943" s="59"/>
    </row>
    <row r="2944" spans="2:13" x14ac:dyDescent="0.3">
      <c r="B2944" s="178"/>
      <c r="C2944" s="179"/>
      <c r="D2944" s="180"/>
      <c r="E2944" s="181"/>
      <c r="F2944" s="182"/>
      <c r="G2944" s="1" t="str">
        <f>IFERROR(IF(ventas_b_mes11[[#This Row],[CUIT]]="","-",VLOOKUP(ventas_b_mes11[[#This Row],[CUIT]],Lista_CUIT[#All],2,0)),"CUIT NO CARGADO")</f>
        <v>-</v>
      </c>
      <c r="H2944" s="64">
        <f>ventas_b_mes11[[#This Row],[TOTAL]]/1.21</f>
        <v>0</v>
      </c>
      <c r="I2944" s="183">
        <f>ventas_b_mes11[[#This Row],[IMPORTE NETO]]*0.21</f>
        <v>0</v>
      </c>
      <c r="J2944" s="184"/>
      <c r="K2944" s="184"/>
      <c r="L2944" s="184"/>
      <c r="M2944" s="59"/>
    </row>
    <row r="2945" spans="2:13" x14ac:dyDescent="0.3">
      <c r="B2945" s="178"/>
      <c r="C2945" s="179"/>
      <c r="D2945" s="180"/>
      <c r="E2945" s="181"/>
      <c r="F2945" s="182"/>
      <c r="G2945" s="1" t="str">
        <f>IFERROR(IF(ventas_b_mes11[[#This Row],[CUIT]]="","-",VLOOKUP(ventas_b_mes11[[#This Row],[CUIT]],Lista_CUIT[#All],2,0)),"CUIT NO CARGADO")</f>
        <v>-</v>
      </c>
      <c r="H2945" s="64">
        <f>ventas_b_mes11[[#This Row],[TOTAL]]/1.21</f>
        <v>0</v>
      </c>
      <c r="I2945" s="183">
        <f>ventas_b_mes11[[#This Row],[IMPORTE NETO]]*0.21</f>
        <v>0</v>
      </c>
      <c r="J2945" s="184"/>
      <c r="K2945" s="184"/>
      <c r="L2945" s="184"/>
      <c r="M2945" s="59"/>
    </row>
    <row r="2946" spans="2:13" x14ac:dyDescent="0.3">
      <c r="B2946" s="178"/>
      <c r="C2946" s="179"/>
      <c r="D2946" s="180"/>
      <c r="E2946" s="181"/>
      <c r="F2946" s="182"/>
      <c r="G2946" s="1" t="str">
        <f>IFERROR(IF(ventas_b_mes11[[#This Row],[CUIT]]="","-",VLOOKUP(ventas_b_mes11[[#This Row],[CUIT]],Lista_CUIT[#All],2,0)),"CUIT NO CARGADO")</f>
        <v>-</v>
      </c>
      <c r="H2946" s="64">
        <f>ventas_b_mes11[[#This Row],[TOTAL]]/1.21</f>
        <v>0</v>
      </c>
      <c r="I2946" s="183">
        <f>ventas_b_mes11[[#This Row],[IMPORTE NETO]]*0.21</f>
        <v>0</v>
      </c>
      <c r="J2946" s="184"/>
      <c r="K2946" s="184"/>
      <c r="L2946" s="184"/>
      <c r="M2946" s="59"/>
    </row>
    <row r="2947" spans="2:13" x14ac:dyDescent="0.3">
      <c r="B2947" s="178"/>
      <c r="C2947" s="179"/>
      <c r="D2947" s="180"/>
      <c r="E2947" s="181"/>
      <c r="F2947" s="182"/>
      <c r="G2947" s="1" t="str">
        <f>IFERROR(IF(ventas_b_mes11[[#This Row],[CUIT]]="","-",VLOOKUP(ventas_b_mes11[[#This Row],[CUIT]],Lista_CUIT[#All],2,0)),"CUIT NO CARGADO")</f>
        <v>-</v>
      </c>
      <c r="H2947" s="64">
        <f>ventas_b_mes11[[#This Row],[TOTAL]]/1.21</f>
        <v>0</v>
      </c>
      <c r="I2947" s="183">
        <f>ventas_b_mes11[[#This Row],[IMPORTE NETO]]*0.21</f>
        <v>0</v>
      </c>
      <c r="J2947" s="184"/>
      <c r="K2947" s="184"/>
      <c r="L2947" s="184"/>
      <c r="M2947" s="59"/>
    </row>
    <row r="2948" spans="2:13" x14ac:dyDescent="0.3">
      <c r="B2948" s="178"/>
      <c r="C2948" s="179"/>
      <c r="D2948" s="180"/>
      <c r="E2948" s="181"/>
      <c r="F2948" s="182"/>
      <c r="G2948" s="1" t="str">
        <f>IFERROR(IF(ventas_b_mes11[[#This Row],[CUIT]]="","-",VLOOKUP(ventas_b_mes11[[#This Row],[CUIT]],Lista_CUIT[#All],2,0)),"CUIT NO CARGADO")</f>
        <v>-</v>
      </c>
      <c r="H2948" s="64">
        <f>ventas_b_mes11[[#This Row],[TOTAL]]/1.21</f>
        <v>0</v>
      </c>
      <c r="I2948" s="183">
        <f>ventas_b_mes11[[#This Row],[IMPORTE NETO]]*0.21</f>
        <v>0</v>
      </c>
      <c r="J2948" s="184"/>
      <c r="K2948" s="184"/>
      <c r="L2948" s="184"/>
      <c r="M2948" s="59"/>
    </row>
    <row r="2949" spans="2:13" x14ac:dyDescent="0.3">
      <c r="B2949" s="178"/>
      <c r="C2949" s="179"/>
      <c r="D2949" s="180"/>
      <c r="E2949" s="181"/>
      <c r="F2949" s="182"/>
      <c r="G2949" s="1" t="str">
        <f>IFERROR(IF(ventas_b_mes11[[#This Row],[CUIT]]="","-",VLOOKUP(ventas_b_mes11[[#This Row],[CUIT]],Lista_CUIT[#All],2,0)),"CUIT NO CARGADO")</f>
        <v>-</v>
      </c>
      <c r="H2949" s="64">
        <f>ventas_b_mes11[[#This Row],[TOTAL]]/1.21</f>
        <v>0</v>
      </c>
      <c r="I2949" s="183">
        <f>ventas_b_mes11[[#This Row],[IMPORTE NETO]]*0.21</f>
        <v>0</v>
      </c>
      <c r="J2949" s="184"/>
      <c r="K2949" s="184"/>
      <c r="L2949" s="184"/>
      <c r="M2949" s="59"/>
    </row>
    <row r="2950" spans="2:13" x14ac:dyDescent="0.3">
      <c r="B2950" s="178"/>
      <c r="C2950" s="179"/>
      <c r="D2950" s="180"/>
      <c r="E2950" s="181"/>
      <c r="F2950" s="182"/>
      <c r="G2950" s="1" t="str">
        <f>IFERROR(IF(ventas_b_mes11[[#This Row],[CUIT]]="","-",VLOOKUP(ventas_b_mes11[[#This Row],[CUIT]],Lista_CUIT[#All],2,0)),"CUIT NO CARGADO")</f>
        <v>-</v>
      </c>
      <c r="H2950" s="64">
        <f>ventas_b_mes11[[#This Row],[TOTAL]]/1.21</f>
        <v>0</v>
      </c>
      <c r="I2950" s="183">
        <f>ventas_b_mes11[[#This Row],[IMPORTE NETO]]*0.21</f>
        <v>0</v>
      </c>
      <c r="J2950" s="184"/>
      <c r="K2950" s="184"/>
      <c r="L2950" s="184"/>
      <c r="M2950" s="59"/>
    </row>
    <row r="2951" spans="2:13" x14ac:dyDescent="0.3">
      <c r="B2951" s="178"/>
      <c r="C2951" s="179"/>
      <c r="D2951" s="180"/>
      <c r="E2951" s="181"/>
      <c r="F2951" s="182"/>
      <c r="G2951" s="1" t="str">
        <f>IFERROR(IF(ventas_b_mes11[[#This Row],[CUIT]]="","-",VLOOKUP(ventas_b_mes11[[#This Row],[CUIT]],Lista_CUIT[#All],2,0)),"CUIT NO CARGADO")</f>
        <v>-</v>
      </c>
      <c r="H2951" s="64">
        <f>ventas_b_mes11[[#This Row],[TOTAL]]/1.21</f>
        <v>0</v>
      </c>
      <c r="I2951" s="183">
        <f>ventas_b_mes11[[#This Row],[IMPORTE NETO]]*0.21</f>
        <v>0</v>
      </c>
      <c r="J2951" s="184"/>
      <c r="K2951" s="184"/>
      <c r="L2951" s="184"/>
      <c r="M2951" s="59"/>
    </row>
    <row r="2952" spans="2:13" x14ac:dyDescent="0.3">
      <c r="B2952" s="178"/>
      <c r="C2952" s="179"/>
      <c r="D2952" s="180"/>
      <c r="E2952" s="181"/>
      <c r="F2952" s="182"/>
      <c r="G2952" s="1" t="str">
        <f>IFERROR(IF(ventas_b_mes11[[#This Row],[CUIT]]="","-",VLOOKUP(ventas_b_mes11[[#This Row],[CUIT]],Lista_CUIT[#All],2,0)),"CUIT NO CARGADO")</f>
        <v>-</v>
      </c>
      <c r="H2952" s="64">
        <f>ventas_b_mes11[[#This Row],[TOTAL]]/1.21</f>
        <v>0</v>
      </c>
      <c r="I2952" s="183">
        <f>ventas_b_mes11[[#This Row],[IMPORTE NETO]]*0.21</f>
        <v>0</v>
      </c>
      <c r="J2952" s="184"/>
      <c r="K2952" s="184"/>
      <c r="L2952" s="184"/>
      <c r="M2952" s="59"/>
    </row>
    <row r="2953" spans="2:13" x14ac:dyDescent="0.3">
      <c r="B2953" s="178"/>
      <c r="C2953" s="179"/>
      <c r="D2953" s="180"/>
      <c r="E2953" s="181"/>
      <c r="F2953" s="182"/>
      <c r="G2953" s="1" t="str">
        <f>IFERROR(IF(ventas_b_mes11[[#This Row],[CUIT]]="","-",VLOOKUP(ventas_b_mes11[[#This Row],[CUIT]],Lista_CUIT[#All],2,0)),"CUIT NO CARGADO")</f>
        <v>-</v>
      </c>
      <c r="H2953" s="64">
        <f>ventas_b_mes11[[#This Row],[TOTAL]]/1.21</f>
        <v>0</v>
      </c>
      <c r="I2953" s="183">
        <f>ventas_b_mes11[[#This Row],[IMPORTE NETO]]*0.21</f>
        <v>0</v>
      </c>
      <c r="J2953" s="184"/>
      <c r="K2953" s="184"/>
      <c r="L2953" s="184"/>
      <c r="M2953" s="59"/>
    </row>
    <row r="2954" spans="2:13" x14ac:dyDescent="0.3">
      <c r="B2954" s="178"/>
      <c r="C2954" s="179"/>
      <c r="D2954" s="180"/>
      <c r="E2954" s="181"/>
      <c r="F2954" s="182"/>
      <c r="G2954" s="1" t="str">
        <f>IFERROR(IF(ventas_b_mes11[[#This Row],[CUIT]]="","-",VLOOKUP(ventas_b_mes11[[#This Row],[CUIT]],Lista_CUIT[#All],2,0)),"CUIT NO CARGADO")</f>
        <v>-</v>
      </c>
      <c r="H2954" s="64">
        <f>ventas_b_mes11[[#This Row],[TOTAL]]/1.21</f>
        <v>0</v>
      </c>
      <c r="I2954" s="183">
        <f>ventas_b_mes11[[#This Row],[IMPORTE NETO]]*0.21</f>
        <v>0</v>
      </c>
      <c r="J2954" s="184"/>
      <c r="K2954" s="184"/>
      <c r="L2954" s="184"/>
      <c r="M2954" s="59"/>
    </row>
    <row r="2955" spans="2:13" x14ac:dyDescent="0.3">
      <c r="B2955" s="178"/>
      <c r="C2955" s="179"/>
      <c r="D2955" s="180"/>
      <c r="E2955" s="181"/>
      <c r="F2955" s="182"/>
      <c r="G2955" s="1" t="str">
        <f>IFERROR(IF(ventas_b_mes11[[#This Row],[CUIT]]="","-",VLOOKUP(ventas_b_mes11[[#This Row],[CUIT]],Lista_CUIT[#All],2,0)),"CUIT NO CARGADO")</f>
        <v>-</v>
      </c>
      <c r="H2955" s="64">
        <f>ventas_b_mes11[[#This Row],[TOTAL]]/1.21</f>
        <v>0</v>
      </c>
      <c r="I2955" s="183">
        <f>ventas_b_mes11[[#This Row],[IMPORTE NETO]]*0.21</f>
        <v>0</v>
      </c>
      <c r="J2955" s="184"/>
      <c r="K2955" s="184"/>
      <c r="L2955" s="184"/>
      <c r="M2955" s="59"/>
    </row>
    <row r="2956" spans="2:13" x14ac:dyDescent="0.3">
      <c r="B2956" s="178"/>
      <c r="C2956" s="179"/>
      <c r="D2956" s="180"/>
      <c r="E2956" s="181"/>
      <c r="F2956" s="182"/>
      <c r="G2956" s="1" t="str">
        <f>IFERROR(IF(ventas_b_mes11[[#This Row],[CUIT]]="","-",VLOOKUP(ventas_b_mes11[[#This Row],[CUIT]],Lista_CUIT[#All],2,0)),"CUIT NO CARGADO")</f>
        <v>-</v>
      </c>
      <c r="H2956" s="64">
        <f>ventas_b_mes11[[#This Row],[TOTAL]]/1.21</f>
        <v>0</v>
      </c>
      <c r="I2956" s="183">
        <f>ventas_b_mes11[[#This Row],[IMPORTE NETO]]*0.21</f>
        <v>0</v>
      </c>
      <c r="J2956" s="184"/>
      <c r="K2956" s="184"/>
      <c r="L2956" s="184"/>
      <c r="M2956" s="59"/>
    </row>
    <row r="2957" spans="2:13" x14ac:dyDescent="0.3">
      <c r="B2957" s="178"/>
      <c r="C2957" s="179"/>
      <c r="D2957" s="180"/>
      <c r="E2957" s="181"/>
      <c r="F2957" s="182"/>
      <c r="G2957" s="1" t="str">
        <f>IFERROR(IF(ventas_b_mes11[[#This Row],[CUIT]]="","-",VLOOKUP(ventas_b_mes11[[#This Row],[CUIT]],Lista_CUIT[#All],2,0)),"CUIT NO CARGADO")</f>
        <v>-</v>
      </c>
      <c r="H2957" s="64">
        <f>ventas_b_mes11[[#This Row],[TOTAL]]/1.21</f>
        <v>0</v>
      </c>
      <c r="I2957" s="183">
        <f>ventas_b_mes11[[#This Row],[IMPORTE NETO]]*0.21</f>
        <v>0</v>
      </c>
      <c r="J2957" s="184"/>
      <c r="K2957" s="184"/>
      <c r="L2957" s="184"/>
      <c r="M2957" s="59"/>
    </row>
    <row r="2958" spans="2:13" x14ac:dyDescent="0.3">
      <c r="B2958" s="178"/>
      <c r="C2958" s="179"/>
      <c r="D2958" s="180"/>
      <c r="E2958" s="181"/>
      <c r="F2958" s="182"/>
      <c r="G2958" s="1" t="str">
        <f>IFERROR(IF(ventas_b_mes11[[#This Row],[CUIT]]="","-",VLOOKUP(ventas_b_mes11[[#This Row],[CUIT]],Lista_CUIT[#All],2,0)),"CUIT NO CARGADO")</f>
        <v>-</v>
      </c>
      <c r="H2958" s="64">
        <f>ventas_b_mes11[[#This Row],[TOTAL]]/1.21</f>
        <v>0</v>
      </c>
      <c r="I2958" s="183">
        <f>ventas_b_mes11[[#This Row],[IMPORTE NETO]]*0.21</f>
        <v>0</v>
      </c>
      <c r="J2958" s="184"/>
      <c r="K2958" s="184"/>
      <c r="L2958" s="184"/>
      <c r="M2958" s="59"/>
    </row>
    <row r="2959" spans="2:13" x14ac:dyDescent="0.3">
      <c r="B2959" s="178"/>
      <c r="C2959" s="179"/>
      <c r="D2959" s="180"/>
      <c r="E2959" s="181"/>
      <c r="F2959" s="182"/>
      <c r="G2959" s="1" t="str">
        <f>IFERROR(IF(ventas_b_mes11[[#This Row],[CUIT]]="","-",VLOOKUP(ventas_b_mes11[[#This Row],[CUIT]],Lista_CUIT[#All],2,0)),"CUIT NO CARGADO")</f>
        <v>-</v>
      </c>
      <c r="H2959" s="64">
        <f>ventas_b_mes11[[#This Row],[TOTAL]]/1.21</f>
        <v>0</v>
      </c>
      <c r="I2959" s="183">
        <f>ventas_b_mes11[[#This Row],[IMPORTE NETO]]*0.21</f>
        <v>0</v>
      </c>
      <c r="J2959" s="184"/>
      <c r="K2959" s="184"/>
      <c r="L2959" s="184"/>
      <c r="M2959" s="59"/>
    </row>
    <row r="2960" spans="2:13" x14ac:dyDescent="0.3">
      <c r="B2960" s="178"/>
      <c r="C2960" s="179"/>
      <c r="D2960" s="180"/>
      <c r="E2960" s="181"/>
      <c r="F2960" s="182"/>
      <c r="G2960" s="1" t="str">
        <f>IFERROR(IF(ventas_b_mes11[[#This Row],[CUIT]]="","-",VLOOKUP(ventas_b_mes11[[#This Row],[CUIT]],Lista_CUIT[#All],2,0)),"CUIT NO CARGADO")</f>
        <v>-</v>
      </c>
      <c r="H2960" s="64">
        <f>ventas_b_mes11[[#This Row],[TOTAL]]/1.21</f>
        <v>0</v>
      </c>
      <c r="I2960" s="183">
        <f>ventas_b_mes11[[#This Row],[IMPORTE NETO]]*0.21</f>
        <v>0</v>
      </c>
      <c r="J2960" s="184"/>
      <c r="K2960" s="184"/>
      <c r="L2960" s="184"/>
      <c r="M2960" s="59"/>
    </row>
    <row r="2961" spans="2:13" x14ac:dyDescent="0.3">
      <c r="B2961" s="178"/>
      <c r="C2961" s="179"/>
      <c r="D2961" s="180"/>
      <c r="E2961" s="181"/>
      <c r="F2961" s="182"/>
      <c r="G2961" s="1" t="str">
        <f>IFERROR(IF(ventas_b_mes11[[#This Row],[CUIT]]="","-",VLOOKUP(ventas_b_mes11[[#This Row],[CUIT]],Lista_CUIT[#All],2,0)),"CUIT NO CARGADO")</f>
        <v>-</v>
      </c>
      <c r="H2961" s="64">
        <f>ventas_b_mes11[[#This Row],[TOTAL]]/1.21</f>
        <v>0</v>
      </c>
      <c r="I2961" s="183">
        <f>ventas_b_mes11[[#This Row],[IMPORTE NETO]]*0.21</f>
        <v>0</v>
      </c>
      <c r="J2961" s="184"/>
      <c r="K2961" s="184"/>
      <c r="L2961" s="184"/>
      <c r="M2961" s="59"/>
    </row>
    <row r="2962" spans="2:13" x14ac:dyDescent="0.3">
      <c r="B2962" s="178"/>
      <c r="C2962" s="179"/>
      <c r="D2962" s="180"/>
      <c r="E2962" s="181"/>
      <c r="F2962" s="182"/>
      <c r="G2962" s="1" t="str">
        <f>IFERROR(IF(ventas_b_mes11[[#This Row],[CUIT]]="","-",VLOOKUP(ventas_b_mes11[[#This Row],[CUIT]],Lista_CUIT[#All],2,0)),"CUIT NO CARGADO")</f>
        <v>-</v>
      </c>
      <c r="H2962" s="64">
        <f>ventas_b_mes11[[#This Row],[TOTAL]]/1.21</f>
        <v>0</v>
      </c>
      <c r="I2962" s="183">
        <f>ventas_b_mes11[[#This Row],[IMPORTE NETO]]*0.21</f>
        <v>0</v>
      </c>
      <c r="J2962" s="184"/>
      <c r="K2962" s="184"/>
      <c r="L2962" s="184"/>
      <c r="M2962" s="59"/>
    </row>
    <row r="2963" spans="2:13" x14ac:dyDescent="0.3">
      <c r="B2963" s="178"/>
      <c r="C2963" s="179"/>
      <c r="D2963" s="180"/>
      <c r="E2963" s="181"/>
      <c r="F2963" s="182"/>
      <c r="G2963" s="1" t="str">
        <f>IFERROR(IF(ventas_b_mes11[[#This Row],[CUIT]]="","-",VLOOKUP(ventas_b_mes11[[#This Row],[CUIT]],Lista_CUIT[#All],2,0)),"CUIT NO CARGADO")</f>
        <v>-</v>
      </c>
      <c r="H2963" s="64">
        <f>ventas_b_mes11[[#This Row],[TOTAL]]/1.21</f>
        <v>0</v>
      </c>
      <c r="I2963" s="183">
        <f>ventas_b_mes11[[#This Row],[IMPORTE NETO]]*0.21</f>
        <v>0</v>
      </c>
      <c r="J2963" s="184"/>
      <c r="K2963" s="184"/>
      <c r="L2963" s="184"/>
      <c r="M2963" s="59"/>
    </row>
    <row r="2964" spans="2:13" x14ac:dyDescent="0.3">
      <c r="B2964" s="178"/>
      <c r="C2964" s="179"/>
      <c r="D2964" s="180"/>
      <c r="E2964" s="181"/>
      <c r="F2964" s="182"/>
      <c r="G2964" s="1" t="str">
        <f>IFERROR(IF(ventas_b_mes11[[#This Row],[CUIT]]="","-",VLOOKUP(ventas_b_mes11[[#This Row],[CUIT]],Lista_CUIT[#All],2,0)),"CUIT NO CARGADO")</f>
        <v>-</v>
      </c>
      <c r="H2964" s="64">
        <f>ventas_b_mes11[[#This Row],[TOTAL]]/1.21</f>
        <v>0</v>
      </c>
      <c r="I2964" s="183">
        <f>ventas_b_mes11[[#This Row],[IMPORTE NETO]]*0.21</f>
        <v>0</v>
      </c>
      <c r="J2964" s="184"/>
      <c r="K2964" s="184"/>
      <c r="L2964" s="184"/>
      <c r="M2964" s="59"/>
    </row>
    <row r="2965" spans="2:13" x14ac:dyDescent="0.3">
      <c r="B2965" s="178"/>
      <c r="C2965" s="179"/>
      <c r="D2965" s="180"/>
      <c r="E2965" s="181"/>
      <c r="F2965" s="182"/>
      <c r="G2965" s="1" t="str">
        <f>IFERROR(IF(ventas_b_mes11[[#This Row],[CUIT]]="","-",VLOOKUP(ventas_b_mes11[[#This Row],[CUIT]],Lista_CUIT[#All],2,0)),"CUIT NO CARGADO")</f>
        <v>-</v>
      </c>
      <c r="H2965" s="64">
        <f>ventas_b_mes11[[#This Row],[TOTAL]]/1.21</f>
        <v>0</v>
      </c>
      <c r="I2965" s="183">
        <f>ventas_b_mes11[[#This Row],[IMPORTE NETO]]*0.21</f>
        <v>0</v>
      </c>
      <c r="J2965" s="184"/>
      <c r="K2965" s="184"/>
      <c r="L2965" s="184"/>
      <c r="M2965" s="59"/>
    </row>
    <row r="2966" spans="2:13" x14ac:dyDescent="0.3">
      <c r="B2966" s="178"/>
      <c r="C2966" s="179"/>
      <c r="D2966" s="180"/>
      <c r="E2966" s="181"/>
      <c r="F2966" s="182"/>
      <c r="G2966" s="1" t="str">
        <f>IFERROR(IF(ventas_b_mes11[[#This Row],[CUIT]]="","-",VLOOKUP(ventas_b_mes11[[#This Row],[CUIT]],Lista_CUIT[#All],2,0)),"CUIT NO CARGADO")</f>
        <v>-</v>
      </c>
      <c r="H2966" s="64">
        <f>ventas_b_mes11[[#This Row],[TOTAL]]/1.21</f>
        <v>0</v>
      </c>
      <c r="I2966" s="183">
        <f>ventas_b_mes11[[#This Row],[IMPORTE NETO]]*0.21</f>
        <v>0</v>
      </c>
      <c r="J2966" s="184"/>
      <c r="K2966" s="184"/>
      <c r="L2966" s="184"/>
      <c r="M2966" s="59"/>
    </row>
    <row r="2967" spans="2:13" x14ac:dyDescent="0.3">
      <c r="B2967" s="178"/>
      <c r="C2967" s="179"/>
      <c r="D2967" s="180"/>
      <c r="E2967" s="181"/>
      <c r="F2967" s="182"/>
      <c r="G2967" s="1" t="str">
        <f>IFERROR(IF(ventas_b_mes11[[#This Row],[CUIT]]="","-",VLOOKUP(ventas_b_mes11[[#This Row],[CUIT]],Lista_CUIT[#All],2,0)),"CUIT NO CARGADO")</f>
        <v>-</v>
      </c>
      <c r="H2967" s="64">
        <f>ventas_b_mes11[[#This Row],[TOTAL]]/1.21</f>
        <v>0</v>
      </c>
      <c r="I2967" s="183">
        <f>ventas_b_mes11[[#This Row],[IMPORTE NETO]]*0.21</f>
        <v>0</v>
      </c>
      <c r="J2967" s="184"/>
      <c r="K2967" s="184"/>
      <c r="L2967" s="184"/>
      <c r="M2967" s="59"/>
    </row>
    <row r="2968" spans="2:13" x14ac:dyDescent="0.3">
      <c r="B2968" s="178"/>
      <c r="C2968" s="179"/>
      <c r="D2968" s="180"/>
      <c r="E2968" s="181"/>
      <c r="F2968" s="182"/>
      <c r="G2968" s="1" t="str">
        <f>IFERROR(IF(ventas_b_mes11[[#This Row],[CUIT]]="","-",VLOOKUP(ventas_b_mes11[[#This Row],[CUIT]],Lista_CUIT[#All],2,0)),"CUIT NO CARGADO")</f>
        <v>-</v>
      </c>
      <c r="H2968" s="64">
        <f>ventas_b_mes11[[#This Row],[TOTAL]]/1.21</f>
        <v>0</v>
      </c>
      <c r="I2968" s="183">
        <f>ventas_b_mes11[[#This Row],[IMPORTE NETO]]*0.21</f>
        <v>0</v>
      </c>
      <c r="J2968" s="184"/>
      <c r="K2968" s="184"/>
      <c r="L2968" s="184"/>
      <c r="M2968" s="59"/>
    </row>
    <row r="2969" spans="2:13" x14ac:dyDescent="0.3">
      <c r="B2969" s="178"/>
      <c r="C2969" s="179"/>
      <c r="D2969" s="180"/>
      <c r="E2969" s="181"/>
      <c r="F2969" s="182"/>
      <c r="G2969" s="1" t="str">
        <f>IFERROR(IF(ventas_b_mes11[[#This Row],[CUIT]]="","-",VLOOKUP(ventas_b_mes11[[#This Row],[CUIT]],Lista_CUIT[#All],2,0)),"CUIT NO CARGADO")</f>
        <v>-</v>
      </c>
      <c r="H2969" s="64">
        <f>ventas_b_mes11[[#This Row],[TOTAL]]/1.21</f>
        <v>0</v>
      </c>
      <c r="I2969" s="183">
        <f>ventas_b_mes11[[#This Row],[IMPORTE NETO]]*0.21</f>
        <v>0</v>
      </c>
      <c r="J2969" s="184"/>
      <c r="K2969" s="184"/>
      <c r="L2969" s="184"/>
      <c r="M2969" s="59"/>
    </row>
    <row r="2970" spans="2:13" x14ac:dyDescent="0.3">
      <c r="B2970" s="178"/>
      <c r="C2970" s="179"/>
      <c r="D2970" s="180"/>
      <c r="E2970" s="181"/>
      <c r="F2970" s="182"/>
      <c r="G2970" s="1" t="str">
        <f>IFERROR(IF(ventas_b_mes11[[#This Row],[CUIT]]="","-",VLOOKUP(ventas_b_mes11[[#This Row],[CUIT]],Lista_CUIT[#All],2,0)),"CUIT NO CARGADO")</f>
        <v>-</v>
      </c>
      <c r="H2970" s="64">
        <f>ventas_b_mes11[[#This Row],[TOTAL]]/1.21</f>
        <v>0</v>
      </c>
      <c r="I2970" s="183">
        <f>ventas_b_mes11[[#This Row],[IMPORTE NETO]]*0.21</f>
        <v>0</v>
      </c>
      <c r="J2970" s="184"/>
      <c r="K2970" s="184"/>
      <c r="L2970" s="184"/>
      <c r="M2970" s="59"/>
    </row>
    <row r="2971" spans="2:13" x14ac:dyDescent="0.3">
      <c r="B2971" s="178"/>
      <c r="C2971" s="179"/>
      <c r="D2971" s="180"/>
      <c r="E2971" s="181"/>
      <c r="F2971" s="182"/>
      <c r="G2971" s="1" t="str">
        <f>IFERROR(IF(ventas_b_mes11[[#This Row],[CUIT]]="","-",VLOOKUP(ventas_b_mes11[[#This Row],[CUIT]],Lista_CUIT[#All],2,0)),"CUIT NO CARGADO")</f>
        <v>-</v>
      </c>
      <c r="H2971" s="64">
        <f>ventas_b_mes11[[#This Row],[TOTAL]]/1.21</f>
        <v>0</v>
      </c>
      <c r="I2971" s="183">
        <f>ventas_b_mes11[[#This Row],[IMPORTE NETO]]*0.21</f>
        <v>0</v>
      </c>
      <c r="J2971" s="184"/>
      <c r="K2971" s="184"/>
      <c r="L2971" s="184"/>
      <c r="M2971" s="59"/>
    </row>
    <row r="2972" spans="2:13" x14ac:dyDescent="0.3">
      <c r="B2972" s="178"/>
      <c r="C2972" s="179"/>
      <c r="D2972" s="180"/>
      <c r="E2972" s="181"/>
      <c r="F2972" s="182"/>
      <c r="G2972" s="1" t="str">
        <f>IFERROR(IF(ventas_b_mes11[[#This Row],[CUIT]]="","-",VLOOKUP(ventas_b_mes11[[#This Row],[CUIT]],Lista_CUIT[#All],2,0)),"CUIT NO CARGADO")</f>
        <v>-</v>
      </c>
      <c r="H2972" s="64">
        <f>ventas_b_mes11[[#This Row],[TOTAL]]/1.21</f>
        <v>0</v>
      </c>
      <c r="I2972" s="183">
        <f>ventas_b_mes11[[#This Row],[IMPORTE NETO]]*0.21</f>
        <v>0</v>
      </c>
      <c r="J2972" s="184"/>
      <c r="K2972" s="184"/>
      <c r="L2972" s="184"/>
      <c r="M2972" s="59"/>
    </row>
    <row r="2973" spans="2:13" x14ac:dyDescent="0.3">
      <c r="B2973" s="178"/>
      <c r="C2973" s="179"/>
      <c r="D2973" s="180"/>
      <c r="E2973" s="181"/>
      <c r="F2973" s="182"/>
      <c r="G2973" s="1" t="str">
        <f>IFERROR(IF(ventas_b_mes11[[#This Row],[CUIT]]="","-",VLOOKUP(ventas_b_mes11[[#This Row],[CUIT]],Lista_CUIT[#All],2,0)),"CUIT NO CARGADO")</f>
        <v>-</v>
      </c>
      <c r="H2973" s="64">
        <f>ventas_b_mes11[[#This Row],[TOTAL]]/1.21</f>
        <v>0</v>
      </c>
      <c r="I2973" s="183">
        <f>ventas_b_mes11[[#This Row],[IMPORTE NETO]]*0.21</f>
        <v>0</v>
      </c>
      <c r="J2973" s="184"/>
      <c r="K2973" s="184"/>
      <c r="L2973" s="184"/>
      <c r="M2973" s="59"/>
    </row>
    <row r="2974" spans="2:13" x14ac:dyDescent="0.3">
      <c r="B2974" s="178"/>
      <c r="C2974" s="179"/>
      <c r="D2974" s="180"/>
      <c r="E2974" s="181"/>
      <c r="F2974" s="182"/>
      <c r="G2974" s="1" t="str">
        <f>IFERROR(IF(ventas_b_mes11[[#This Row],[CUIT]]="","-",VLOOKUP(ventas_b_mes11[[#This Row],[CUIT]],Lista_CUIT[#All],2,0)),"CUIT NO CARGADO")</f>
        <v>-</v>
      </c>
      <c r="H2974" s="64">
        <f>ventas_b_mes11[[#This Row],[TOTAL]]/1.21</f>
        <v>0</v>
      </c>
      <c r="I2974" s="183">
        <f>ventas_b_mes11[[#This Row],[IMPORTE NETO]]*0.21</f>
        <v>0</v>
      </c>
      <c r="J2974" s="184"/>
      <c r="K2974" s="184"/>
      <c r="L2974" s="184"/>
      <c r="M2974" s="59"/>
    </row>
    <row r="2975" spans="2:13" x14ac:dyDescent="0.3">
      <c r="B2975" s="178"/>
      <c r="C2975" s="179"/>
      <c r="D2975" s="180"/>
      <c r="E2975" s="181"/>
      <c r="F2975" s="182"/>
      <c r="G2975" s="1" t="str">
        <f>IFERROR(IF(ventas_b_mes11[[#This Row],[CUIT]]="","-",VLOOKUP(ventas_b_mes11[[#This Row],[CUIT]],Lista_CUIT[#All],2,0)),"CUIT NO CARGADO")</f>
        <v>-</v>
      </c>
      <c r="H2975" s="64">
        <f>ventas_b_mes11[[#This Row],[TOTAL]]/1.21</f>
        <v>0</v>
      </c>
      <c r="I2975" s="183">
        <f>ventas_b_mes11[[#This Row],[IMPORTE NETO]]*0.21</f>
        <v>0</v>
      </c>
      <c r="J2975" s="184"/>
      <c r="K2975" s="184"/>
      <c r="L2975" s="184"/>
      <c r="M2975" s="59"/>
    </row>
    <row r="2976" spans="2:13" x14ac:dyDescent="0.3">
      <c r="B2976" s="178"/>
      <c r="C2976" s="179"/>
      <c r="D2976" s="180"/>
      <c r="E2976" s="181"/>
      <c r="F2976" s="182"/>
      <c r="G2976" s="1" t="str">
        <f>IFERROR(IF(ventas_b_mes11[[#This Row],[CUIT]]="","-",VLOOKUP(ventas_b_mes11[[#This Row],[CUIT]],Lista_CUIT[#All],2,0)),"CUIT NO CARGADO")</f>
        <v>-</v>
      </c>
      <c r="H2976" s="64">
        <f>ventas_b_mes11[[#This Row],[TOTAL]]/1.21</f>
        <v>0</v>
      </c>
      <c r="I2976" s="183">
        <f>ventas_b_mes11[[#This Row],[IMPORTE NETO]]*0.21</f>
        <v>0</v>
      </c>
      <c r="J2976" s="184"/>
      <c r="K2976" s="184"/>
      <c r="L2976" s="184"/>
      <c r="M2976" s="59"/>
    </row>
    <row r="2977" spans="2:13" x14ac:dyDescent="0.3">
      <c r="B2977" s="178"/>
      <c r="C2977" s="179"/>
      <c r="D2977" s="180"/>
      <c r="E2977" s="181"/>
      <c r="F2977" s="182"/>
      <c r="G2977" s="1" t="str">
        <f>IFERROR(IF(ventas_b_mes11[[#This Row],[CUIT]]="","-",VLOOKUP(ventas_b_mes11[[#This Row],[CUIT]],Lista_CUIT[#All],2,0)),"CUIT NO CARGADO")</f>
        <v>-</v>
      </c>
      <c r="H2977" s="64">
        <f>ventas_b_mes11[[#This Row],[TOTAL]]/1.21</f>
        <v>0</v>
      </c>
      <c r="I2977" s="183">
        <f>ventas_b_mes11[[#This Row],[IMPORTE NETO]]*0.21</f>
        <v>0</v>
      </c>
      <c r="J2977" s="184"/>
      <c r="K2977" s="184"/>
      <c r="L2977" s="184"/>
      <c r="M2977" s="59"/>
    </row>
    <row r="2978" spans="2:13" x14ac:dyDescent="0.3">
      <c r="B2978" s="178"/>
      <c r="C2978" s="179"/>
      <c r="D2978" s="180"/>
      <c r="E2978" s="181"/>
      <c r="F2978" s="182"/>
      <c r="G2978" s="1" t="str">
        <f>IFERROR(IF(ventas_b_mes11[[#This Row],[CUIT]]="","-",VLOOKUP(ventas_b_mes11[[#This Row],[CUIT]],Lista_CUIT[#All],2,0)),"CUIT NO CARGADO")</f>
        <v>-</v>
      </c>
      <c r="H2978" s="64">
        <f>ventas_b_mes11[[#This Row],[TOTAL]]/1.21</f>
        <v>0</v>
      </c>
      <c r="I2978" s="183">
        <f>ventas_b_mes11[[#This Row],[IMPORTE NETO]]*0.21</f>
        <v>0</v>
      </c>
      <c r="J2978" s="184"/>
      <c r="K2978" s="184"/>
      <c r="L2978" s="184"/>
      <c r="M2978" s="59"/>
    </row>
    <row r="2979" spans="2:13" x14ac:dyDescent="0.3">
      <c r="B2979" s="178"/>
      <c r="C2979" s="179"/>
      <c r="D2979" s="180"/>
      <c r="E2979" s="181"/>
      <c r="F2979" s="182"/>
      <c r="G2979" s="1" t="str">
        <f>IFERROR(IF(ventas_b_mes11[[#This Row],[CUIT]]="","-",VLOOKUP(ventas_b_mes11[[#This Row],[CUIT]],Lista_CUIT[#All],2,0)),"CUIT NO CARGADO")</f>
        <v>-</v>
      </c>
      <c r="H2979" s="64">
        <f>ventas_b_mes11[[#This Row],[TOTAL]]/1.21</f>
        <v>0</v>
      </c>
      <c r="I2979" s="183">
        <f>ventas_b_mes11[[#This Row],[IMPORTE NETO]]*0.21</f>
        <v>0</v>
      </c>
      <c r="J2979" s="184"/>
      <c r="K2979" s="184"/>
      <c r="L2979" s="184"/>
      <c r="M2979" s="59"/>
    </row>
    <row r="2980" spans="2:13" x14ac:dyDescent="0.3">
      <c r="B2980" s="178"/>
      <c r="C2980" s="179"/>
      <c r="D2980" s="180"/>
      <c r="E2980" s="181"/>
      <c r="F2980" s="182"/>
      <c r="G2980" s="1" t="str">
        <f>IFERROR(IF(ventas_b_mes11[[#This Row],[CUIT]]="","-",VLOOKUP(ventas_b_mes11[[#This Row],[CUIT]],Lista_CUIT[#All],2,0)),"CUIT NO CARGADO")</f>
        <v>-</v>
      </c>
      <c r="H2980" s="64">
        <f>ventas_b_mes11[[#This Row],[TOTAL]]/1.21</f>
        <v>0</v>
      </c>
      <c r="I2980" s="183">
        <f>ventas_b_mes11[[#This Row],[IMPORTE NETO]]*0.21</f>
        <v>0</v>
      </c>
      <c r="J2980" s="184"/>
      <c r="K2980" s="184"/>
      <c r="L2980" s="184"/>
      <c r="M2980" s="59"/>
    </row>
    <row r="2981" spans="2:13" x14ac:dyDescent="0.3">
      <c r="B2981" s="178"/>
      <c r="C2981" s="179"/>
      <c r="D2981" s="180"/>
      <c r="E2981" s="181"/>
      <c r="F2981" s="182"/>
      <c r="G2981" s="1" t="str">
        <f>IFERROR(IF(ventas_b_mes11[[#This Row],[CUIT]]="","-",VLOOKUP(ventas_b_mes11[[#This Row],[CUIT]],Lista_CUIT[#All],2,0)),"CUIT NO CARGADO")</f>
        <v>-</v>
      </c>
      <c r="H2981" s="64">
        <f>ventas_b_mes11[[#This Row],[TOTAL]]/1.21</f>
        <v>0</v>
      </c>
      <c r="I2981" s="183">
        <f>ventas_b_mes11[[#This Row],[IMPORTE NETO]]*0.21</f>
        <v>0</v>
      </c>
      <c r="J2981" s="184"/>
      <c r="K2981" s="184"/>
      <c r="L2981" s="184"/>
      <c r="M2981" s="59"/>
    </row>
    <row r="2982" spans="2:13" x14ac:dyDescent="0.3">
      <c r="B2982" s="178"/>
      <c r="C2982" s="179"/>
      <c r="D2982" s="180"/>
      <c r="E2982" s="181"/>
      <c r="F2982" s="182"/>
      <c r="G2982" s="1" t="str">
        <f>IFERROR(IF(ventas_b_mes11[[#This Row],[CUIT]]="","-",VLOOKUP(ventas_b_mes11[[#This Row],[CUIT]],Lista_CUIT[#All],2,0)),"CUIT NO CARGADO")</f>
        <v>-</v>
      </c>
      <c r="H2982" s="64">
        <f>ventas_b_mes11[[#This Row],[TOTAL]]/1.21</f>
        <v>0</v>
      </c>
      <c r="I2982" s="183">
        <f>ventas_b_mes11[[#This Row],[IMPORTE NETO]]*0.21</f>
        <v>0</v>
      </c>
      <c r="J2982" s="184"/>
      <c r="K2982" s="184"/>
      <c r="L2982" s="184"/>
      <c r="M2982" s="59"/>
    </row>
    <row r="2983" spans="2:13" x14ac:dyDescent="0.3">
      <c r="B2983" s="178"/>
      <c r="C2983" s="179"/>
      <c r="D2983" s="180"/>
      <c r="E2983" s="181"/>
      <c r="F2983" s="182"/>
      <c r="G2983" s="1" t="str">
        <f>IFERROR(IF(ventas_b_mes11[[#This Row],[CUIT]]="","-",VLOOKUP(ventas_b_mes11[[#This Row],[CUIT]],Lista_CUIT[#All],2,0)),"CUIT NO CARGADO")</f>
        <v>-</v>
      </c>
      <c r="H2983" s="64">
        <f>ventas_b_mes11[[#This Row],[TOTAL]]/1.21</f>
        <v>0</v>
      </c>
      <c r="I2983" s="183">
        <f>ventas_b_mes11[[#This Row],[IMPORTE NETO]]*0.21</f>
        <v>0</v>
      </c>
      <c r="J2983" s="184"/>
      <c r="K2983" s="184"/>
      <c r="L2983" s="184"/>
      <c r="M2983" s="59"/>
    </row>
    <row r="2984" spans="2:13" x14ac:dyDescent="0.3">
      <c r="B2984" s="178"/>
      <c r="C2984" s="179"/>
      <c r="D2984" s="180"/>
      <c r="E2984" s="181"/>
      <c r="F2984" s="182"/>
      <c r="G2984" s="1" t="str">
        <f>IFERROR(IF(ventas_b_mes11[[#This Row],[CUIT]]="","-",VLOOKUP(ventas_b_mes11[[#This Row],[CUIT]],Lista_CUIT[#All],2,0)),"CUIT NO CARGADO")</f>
        <v>-</v>
      </c>
      <c r="H2984" s="64">
        <f>ventas_b_mes11[[#This Row],[TOTAL]]/1.21</f>
        <v>0</v>
      </c>
      <c r="I2984" s="183">
        <f>ventas_b_mes11[[#This Row],[IMPORTE NETO]]*0.21</f>
        <v>0</v>
      </c>
      <c r="J2984" s="184"/>
      <c r="K2984" s="184"/>
      <c r="L2984" s="184"/>
      <c r="M2984" s="59"/>
    </row>
    <row r="2985" spans="2:13" x14ac:dyDescent="0.3">
      <c r="B2985" s="178"/>
      <c r="C2985" s="179"/>
      <c r="D2985" s="180"/>
      <c r="E2985" s="181"/>
      <c r="F2985" s="182"/>
      <c r="G2985" s="1" t="str">
        <f>IFERROR(IF(ventas_b_mes11[[#This Row],[CUIT]]="","-",VLOOKUP(ventas_b_mes11[[#This Row],[CUIT]],Lista_CUIT[#All],2,0)),"CUIT NO CARGADO")</f>
        <v>-</v>
      </c>
      <c r="H2985" s="64">
        <f>ventas_b_mes11[[#This Row],[TOTAL]]/1.21</f>
        <v>0</v>
      </c>
      <c r="I2985" s="183">
        <f>ventas_b_mes11[[#This Row],[IMPORTE NETO]]*0.21</f>
        <v>0</v>
      </c>
      <c r="J2985" s="184"/>
      <c r="K2985" s="184"/>
      <c r="L2985" s="184"/>
      <c r="M2985" s="59"/>
    </row>
    <row r="2986" spans="2:13" x14ac:dyDescent="0.3">
      <c r="B2986" s="178"/>
      <c r="C2986" s="179"/>
      <c r="D2986" s="180"/>
      <c r="E2986" s="181"/>
      <c r="F2986" s="182"/>
      <c r="G2986" s="1" t="str">
        <f>IFERROR(IF(ventas_b_mes11[[#This Row],[CUIT]]="","-",VLOOKUP(ventas_b_mes11[[#This Row],[CUIT]],Lista_CUIT[#All],2,0)),"CUIT NO CARGADO")</f>
        <v>-</v>
      </c>
      <c r="H2986" s="64">
        <f>ventas_b_mes11[[#This Row],[TOTAL]]/1.21</f>
        <v>0</v>
      </c>
      <c r="I2986" s="183">
        <f>ventas_b_mes11[[#This Row],[IMPORTE NETO]]*0.21</f>
        <v>0</v>
      </c>
      <c r="J2986" s="184"/>
      <c r="K2986" s="184"/>
      <c r="L2986" s="184"/>
      <c r="M2986" s="59"/>
    </row>
    <row r="2987" spans="2:13" x14ac:dyDescent="0.3">
      <c r="B2987" s="178"/>
      <c r="C2987" s="179"/>
      <c r="D2987" s="180"/>
      <c r="E2987" s="181"/>
      <c r="F2987" s="182"/>
      <c r="G2987" s="1" t="str">
        <f>IFERROR(IF(ventas_b_mes11[[#This Row],[CUIT]]="","-",VLOOKUP(ventas_b_mes11[[#This Row],[CUIT]],Lista_CUIT[#All],2,0)),"CUIT NO CARGADO")</f>
        <v>-</v>
      </c>
      <c r="H2987" s="64">
        <f>ventas_b_mes11[[#This Row],[TOTAL]]/1.21</f>
        <v>0</v>
      </c>
      <c r="I2987" s="183">
        <f>ventas_b_mes11[[#This Row],[IMPORTE NETO]]*0.21</f>
        <v>0</v>
      </c>
      <c r="J2987" s="184"/>
      <c r="K2987" s="184"/>
      <c r="L2987" s="184"/>
      <c r="M2987" s="59"/>
    </row>
    <row r="2988" spans="2:13" x14ac:dyDescent="0.3">
      <c r="B2988" s="178"/>
      <c r="C2988" s="179"/>
      <c r="D2988" s="180"/>
      <c r="E2988" s="181"/>
      <c r="F2988" s="182"/>
      <c r="G2988" s="1" t="str">
        <f>IFERROR(IF(ventas_b_mes11[[#This Row],[CUIT]]="","-",VLOOKUP(ventas_b_mes11[[#This Row],[CUIT]],Lista_CUIT[#All],2,0)),"CUIT NO CARGADO")</f>
        <v>-</v>
      </c>
      <c r="H2988" s="64">
        <f>ventas_b_mes11[[#This Row],[TOTAL]]/1.21</f>
        <v>0</v>
      </c>
      <c r="I2988" s="183">
        <f>ventas_b_mes11[[#This Row],[IMPORTE NETO]]*0.21</f>
        <v>0</v>
      </c>
      <c r="J2988" s="184"/>
      <c r="K2988" s="184"/>
      <c r="L2988" s="184"/>
      <c r="M2988" s="59"/>
    </row>
    <row r="2989" spans="2:13" x14ac:dyDescent="0.3">
      <c r="B2989" s="178"/>
      <c r="C2989" s="179"/>
      <c r="D2989" s="180"/>
      <c r="E2989" s="181"/>
      <c r="F2989" s="182"/>
      <c r="G2989" s="1" t="str">
        <f>IFERROR(IF(ventas_b_mes11[[#This Row],[CUIT]]="","-",VLOOKUP(ventas_b_mes11[[#This Row],[CUIT]],Lista_CUIT[#All],2,0)),"CUIT NO CARGADO")</f>
        <v>-</v>
      </c>
      <c r="H2989" s="64">
        <f>ventas_b_mes11[[#This Row],[TOTAL]]/1.21</f>
        <v>0</v>
      </c>
      <c r="I2989" s="183">
        <f>ventas_b_mes11[[#This Row],[IMPORTE NETO]]*0.21</f>
        <v>0</v>
      </c>
      <c r="J2989" s="184"/>
      <c r="K2989" s="184"/>
      <c r="L2989" s="184"/>
      <c r="M2989" s="59"/>
    </row>
    <row r="2990" spans="2:13" x14ac:dyDescent="0.3">
      <c r="B2990" s="178"/>
      <c r="C2990" s="179"/>
      <c r="D2990" s="180"/>
      <c r="E2990" s="181"/>
      <c r="F2990" s="182"/>
      <c r="G2990" s="1" t="str">
        <f>IFERROR(IF(ventas_b_mes11[[#This Row],[CUIT]]="","-",VLOOKUP(ventas_b_mes11[[#This Row],[CUIT]],Lista_CUIT[#All],2,0)),"CUIT NO CARGADO")</f>
        <v>-</v>
      </c>
      <c r="H2990" s="64">
        <f>ventas_b_mes11[[#This Row],[TOTAL]]/1.21</f>
        <v>0</v>
      </c>
      <c r="I2990" s="183">
        <f>ventas_b_mes11[[#This Row],[IMPORTE NETO]]*0.21</f>
        <v>0</v>
      </c>
      <c r="J2990" s="184"/>
      <c r="K2990" s="184"/>
      <c r="L2990" s="184"/>
      <c r="M2990" s="59"/>
    </row>
    <row r="2991" spans="2:13" x14ac:dyDescent="0.3">
      <c r="B2991" s="178"/>
      <c r="C2991" s="179"/>
      <c r="D2991" s="180"/>
      <c r="E2991" s="181"/>
      <c r="F2991" s="182"/>
      <c r="G2991" s="1" t="str">
        <f>IFERROR(IF(ventas_b_mes11[[#This Row],[CUIT]]="","-",VLOOKUP(ventas_b_mes11[[#This Row],[CUIT]],Lista_CUIT[#All],2,0)),"CUIT NO CARGADO")</f>
        <v>-</v>
      </c>
      <c r="H2991" s="64">
        <f>ventas_b_mes11[[#This Row],[TOTAL]]/1.21</f>
        <v>0</v>
      </c>
      <c r="I2991" s="183">
        <f>ventas_b_mes11[[#This Row],[IMPORTE NETO]]*0.21</f>
        <v>0</v>
      </c>
      <c r="J2991" s="184"/>
      <c r="K2991" s="184"/>
      <c r="L2991" s="184"/>
      <c r="M2991" s="59"/>
    </row>
    <row r="2992" spans="2:13" x14ac:dyDescent="0.3">
      <c r="B2992" s="178"/>
      <c r="C2992" s="179"/>
      <c r="D2992" s="180"/>
      <c r="E2992" s="181"/>
      <c r="F2992" s="182"/>
      <c r="G2992" s="1" t="str">
        <f>IFERROR(IF(ventas_b_mes11[[#This Row],[CUIT]]="","-",VLOOKUP(ventas_b_mes11[[#This Row],[CUIT]],Lista_CUIT[#All],2,0)),"CUIT NO CARGADO")</f>
        <v>-</v>
      </c>
      <c r="H2992" s="64">
        <f>ventas_b_mes11[[#This Row],[TOTAL]]/1.21</f>
        <v>0</v>
      </c>
      <c r="I2992" s="183">
        <f>ventas_b_mes11[[#This Row],[IMPORTE NETO]]*0.21</f>
        <v>0</v>
      </c>
      <c r="J2992" s="184"/>
      <c r="K2992" s="184"/>
      <c r="L2992" s="184"/>
      <c r="M2992" s="59"/>
    </row>
    <row r="2993" spans="2:13" x14ac:dyDescent="0.3">
      <c r="B2993" s="178"/>
      <c r="C2993" s="179"/>
      <c r="D2993" s="180"/>
      <c r="E2993" s="181"/>
      <c r="F2993" s="182"/>
      <c r="G2993" s="1" t="str">
        <f>IFERROR(IF(ventas_b_mes11[[#This Row],[CUIT]]="","-",VLOOKUP(ventas_b_mes11[[#This Row],[CUIT]],Lista_CUIT[#All],2,0)),"CUIT NO CARGADO")</f>
        <v>-</v>
      </c>
      <c r="H2993" s="64">
        <f>ventas_b_mes11[[#This Row],[TOTAL]]/1.21</f>
        <v>0</v>
      </c>
      <c r="I2993" s="183">
        <f>ventas_b_mes11[[#This Row],[IMPORTE NETO]]*0.21</f>
        <v>0</v>
      </c>
      <c r="J2993" s="184"/>
      <c r="K2993" s="184"/>
      <c r="L2993" s="184"/>
      <c r="M2993" s="59"/>
    </row>
    <row r="2994" spans="2:13" x14ac:dyDescent="0.3">
      <c r="B2994" s="178"/>
      <c r="C2994" s="179"/>
      <c r="D2994" s="180"/>
      <c r="E2994" s="181"/>
      <c r="F2994" s="182"/>
      <c r="G2994" s="1" t="str">
        <f>IFERROR(IF(ventas_b_mes11[[#This Row],[CUIT]]="","-",VLOOKUP(ventas_b_mes11[[#This Row],[CUIT]],Lista_CUIT[#All],2,0)),"CUIT NO CARGADO")</f>
        <v>-</v>
      </c>
      <c r="H2994" s="64">
        <f>ventas_b_mes11[[#This Row],[TOTAL]]/1.21</f>
        <v>0</v>
      </c>
      <c r="I2994" s="183">
        <f>ventas_b_mes11[[#This Row],[IMPORTE NETO]]*0.21</f>
        <v>0</v>
      </c>
      <c r="J2994" s="184"/>
      <c r="K2994" s="184"/>
      <c r="L2994" s="184"/>
      <c r="M2994" s="59"/>
    </row>
    <row r="2995" spans="2:13" x14ac:dyDescent="0.3">
      <c r="B2995" s="178"/>
      <c r="C2995" s="179"/>
      <c r="D2995" s="180"/>
      <c r="E2995" s="181"/>
      <c r="F2995" s="182"/>
      <c r="G2995" s="1" t="str">
        <f>IFERROR(IF(ventas_b_mes11[[#This Row],[CUIT]]="","-",VLOOKUP(ventas_b_mes11[[#This Row],[CUIT]],Lista_CUIT[#All],2,0)),"CUIT NO CARGADO")</f>
        <v>-</v>
      </c>
      <c r="H2995" s="64">
        <f>ventas_b_mes11[[#This Row],[TOTAL]]/1.21</f>
        <v>0</v>
      </c>
      <c r="I2995" s="183">
        <f>ventas_b_mes11[[#This Row],[IMPORTE NETO]]*0.21</f>
        <v>0</v>
      </c>
      <c r="J2995" s="184"/>
      <c r="K2995" s="184"/>
      <c r="L2995" s="184"/>
      <c r="M2995" s="59"/>
    </row>
    <row r="2996" spans="2:13" x14ac:dyDescent="0.3">
      <c r="B2996" s="178"/>
      <c r="C2996" s="179"/>
      <c r="D2996" s="180"/>
      <c r="E2996" s="181"/>
      <c r="F2996" s="182"/>
      <c r="G2996" s="1" t="str">
        <f>IFERROR(IF(ventas_b_mes11[[#This Row],[CUIT]]="","-",VLOOKUP(ventas_b_mes11[[#This Row],[CUIT]],Lista_CUIT[#All],2,0)),"CUIT NO CARGADO")</f>
        <v>-</v>
      </c>
      <c r="H2996" s="64">
        <f>ventas_b_mes11[[#This Row],[TOTAL]]/1.21</f>
        <v>0</v>
      </c>
      <c r="I2996" s="183">
        <f>ventas_b_mes11[[#This Row],[IMPORTE NETO]]*0.21</f>
        <v>0</v>
      </c>
      <c r="J2996" s="184"/>
      <c r="K2996" s="184"/>
      <c r="L2996" s="184"/>
      <c r="M2996" s="59"/>
    </row>
    <row r="2997" spans="2:13" x14ac:dyDescent="0.3">
      <c r="B2997" s="178"/>
      <c r="C2997" s="179"/>
      <c r="D2997" s="180"/>
      <c r="E2997" s="181"/>
      <c r="F2997" s="182"/>
      <c r="G2997" s="1" t="str">
        <f>IFERROR(IF(ventas_b_mes11[[#This Row],[CUIT]]="","-",VLOOKUP(ventas_b_mes11[[#This Row],[CUIT]],Lista_CUIT[#All],2,0)),"CUIT NO CARGADO")</f>
        <v>-</v>
      </c>
      <c r="H2997" s="64">
        <f>ventas_b_mes11[[#This Row],[TOTAL]]/1.21</f>
        <v>0</v>
      </c>
      <c r="I2997" s="183">
        <f>ventas_b_mes11[[#This Row],[IMPORTE NETO]]*0.21</f>
        <v>0</v>
      </c>
      <c r="J2997" s="184"/>
      <c r="K2997" s="184"/>
      <c r="L2997" s="184"/>
      <c r="M2997" s="59"/>
    </row>
    <row r="2998" spans="2:13" x14ac:dyDescent="0.3">
      <c r="B2998" s="178"/>
      <c r="C2998" s="179"/>
      <c r="D2998" s="180"/>
      <c r="E2998" s="181"/>
      <c r="F2998" s="182"/>
      <c r="G2998" s="1" t="str">
        <f>IFERROR(IF(ventas_b_mes11[[#This Row],[CUIT]]="","-",VLOOKUP(ventas_b_mes11[[#This Row],[CUIT]],Lista_CUIT[#All],2,0)),"CUIT NO CARGADO")</f>
        <v>-</v>
      </c>
      <c r="H2998" s="64">
        <f>ventas_b_mes11[[#This Row],[TOTAL]]/1.21</f>
        <v>0</v>
      </c>
      <c r="I2998" s="183">
        <f>ventas_b_mes11[[#This Row],[IMPORTE NETO]]*0.21</f>
        <v>0</v>
      </c>
      <c r="J2998" s="184"/>
      <c r="K2998" s="184"/>
      <c r="L2998" s="184"/>
      <c r="M2998" s="59"/>
    </row>
    <row r="2999" spans="2:13" x14ac:dyDescent="0.3">
      <c r="B2999" s="178"/>
      <c r="C2999" s="179"/>
      <c r="D2999" s="180"/>
      <c r="E2999" s="181"/>
      <c r="F2999" s="182"/>
      <c r="G2999" s="1" t="str">
        <f>IFERROR(IF(ventas_b_mes11[[#This Row],[CUIT]]="","-",VLOOKUP(ventas_b_mes11[[#This Row],[CUIT]],Lista_CUIT[#All],2,0)),"CUIT NO CARGADO")</f>
        <v>-</v>
      </c>
      <c r="H2999" s="64">
        <f>ventas_b_mes11[[#This Row],[TOTAL]]/1.21</f>
        <v>0</v>
      </c>
      <c r="I2999" s="183">
        <f>ventas_b_mes11[[#This Row],[IMPORTE NETO]]*0.21</f>
        <v>0</v>
      </c>
      <c r="J2999" s="184"/>
      <c r="K2999" s="184"/>
      <c r="L2999" s="184"/>
      <c r="M2999" s="59"/>
    </row>
    <row r="3000" spans="2:13" x14ac:dyDescent="0.3">
      <c r="B3000" s="178"/>
      <c r="C3000" s="179"/>
      <c r="D3000" s="180"/>
      <c r="E3000" s="181"/>
      <c r="F3000" s="182"/>
      <c r="G3000" s="1" t="str">
        <f>IFERROR(IF(ventas_b_mes11[[#This Row],[CUIT]]="","-",VLOOKUP(ventas_b_mes11[[#This Row],[CUIT]],Lista_CUIT[#All],2,0)),"CUIT NO CARGADO")</f>
        <v>-</v>
      </c>
      <c r="H3000" s="64">
        <f>ventas_b_mes11[[#This Row],[TOTAL]]/1.21</f>
        <v>0</v>
      </c>
      <c r="I3000" s="183">
        <f>ventas_b_mes11[[#This Row],[IMPORTE NETO]]*0.21</f>
        <v>0</v>
      </c>
      <c r="J3000" s="184"/>
      <c r="K3000" s="184"/>
      <c r="L3000" s="184"/>
      <c r="M3000" s="59"/>
    </row>
    <row r="3001" spans="2:13" x14ac:dyDescent="0.3">
      <c r="B3001" s="178"/>
      <c r="C3001" s="179"/>
      <c r="D3001" s="180"/>
      <c r="E3001" s="181"/>
      <c r="F3001" s="182"/>
      <c r="G3001" s="1" t="str">
        <f>IFERROR(IF(ventas_b_mes11[[#This Row],[CUIT]]="","-",VLOOKUP(ventas_b_mes11[[#This Row],[CUIT]],Lista_CUIT[#All],2,0)),"CUIT NO CARGADO")</f>
        <v>-</v>
      </c>
      <c r="H3001" s="64">
        <f>ventas_b_mes11[[#This Row],[TOTAL]]/1.21</f>
        <v>0</v>
      </c>
      <c r="I3001" s="183">
        <f>ventas_b_mes11[[#This Row],[IMPORTE NETO]]*0.21</f>
        <v>0</v>
      </c>
      <c r="J3001" s="184"/>
      <c r="K3001" s="184"/>
      <c r="L3001" s="184"/>
      <c r="M3001" s="59"/>
    </row>
    <row r="3002" spans="2:13" x14ac:dyDescent="0.3">
      <c r="B3002" s="178"/>
      <c r="C3002" s="179"/>
      <c r="D3002" s="180"/>
      <c r="E3002" s="181"/>
      <c r="F3002" s="182"/>
      <c r="G3002" s="1" t="str">
        <f>IFERROR(IF(ventas_b_mes11[[#This Row],[CUIT]]="","-",VLOOKUP(ventas_b_mes11[[#This Row],[CUIT]],Lista_CUIT[#All],2,0)),"CUIT NO CARGADO")</f>
        <v>-</v>
      </c>
      <c r="H3002" s="64">
        <f>ventas_b_mes11[[#This Row],[TOTAL]]/1.21</f>
        <v>0</v>
      </c>
      <c r="I3002" s="183">
        <f>ventas_b_mes11[[#This Row],[IMPORTE NETO]]*0.21</f>
        <v>0</v>
      </c>
      <c r="J3002" s="184"/>
      <c r="K3002" s="184"/>
      <c r="L3002" s="184"/>
      <c r="M3002" s="59"/>
    </row>
    <row r="3003" spans="2:13" x14ac:dyDescent="0.3">
      <c r="B3003" s="178"/>
      <c r="C3003" s="179"/>
      <c r="D3003" s="180"/>
      <c r="E3003" s="181"/>
      <c r="F3003" s="182"/>
      <c r="G3003" s="1" t="str">
        <f>IFERROR(IF(ventas_b_mes11[[#This Row],[CUIT]]="","-",VLOOKUP(ventas_b_mes11[[#This Row],[CUIT]],Lista_CUIT[#All],2,0)),"CUIT NO CARGADO")</f>
        <v>-</v>
      </c>
      <c r="H3003" s="64">
        <f>ventas_b_mes11[[#This Row],[TOTAL]]/1.21</f>
        <v>0</v>
      </c>
      <c r="I3003" s="183">
        <f>ventas_b_mes11[[#This Row],[IMPORTE NETO]]*0.21</f>
        <v>0</v>
      </c>
      <c r="J3003" s="184"/>
      <c r="K3003" s="184"/>
      <c r="L3003" s="184"/>
      <c r="M3003" s="59"/>
    </row>
    <row r="3004" spans="2:13" x14ac:dyDescent="0.3">
      <c r="B3004" s="178"/>
      <c r="C3004" s="179"/>
      <c r="D3004" s="180"/>
      <c r="E3004" s="181"/>
      <c r="F3004" s="182"/>
      <c r="G3004" s="1" t="str">
        <f>IFERROR(IF(ventas_b_mes11[[#This Row],[CUIT]]="","-",VLOOKUP(ventas_b_mes11[[#This Row],[CUIT]],Lista_CUIT[#All],2,0)),"CUIT NO CARGADO")</f>
        <v>-</v>
      </c>
      <c r="H3004" s="64">
        <f>ventas_b_mes11[[#This Row],[TOTAL]]/1.21</f>
        <v>0</v>
      </c>
      <c r="I3004" s="183">
        <f>ventas_b_mes11[[#This Row],[IMPORTE NETO]]*0.21</f>
        <v>0</v>
      </c>
      <c r="J3004" s="184"/>
      <c r="K3004" s="184"/>
      <c r="L3004" s="184"/>
      <c r="M3004" s="59"/>
    </row>
    <row r="3005" spans="2:13" x14ac:dyDescent="0.3">
      <c r="B3005" s="178"/>
      <c r="C3005" s="179"/>
      <c r="D3005" s="180"/>
      <c r="E3005" s="181"/>
      <c r="F3005" s="182"/>
      <c r="G3005" s="1" t="str">
        <f>IFERROR(IF(ventas_b_mes11[[#This Row],[CUIT]]="","-",VLOOKUP(ventas_b_mes11[[#This Row],[CUIT]],Lista_CUIT[#All],2,0)),"CUIT NO CARGADO")</f>
        <v>-</v>
      </c>
      <c r="H3005" s="64">
        <f>ventas_b_mes11[[#This Row],[TOTAL]]/1.21</f>
        <v>0</v>
      </c>
      <c r="I3005" s="183">
        <f>ventas_b_mes11[[#This Row],[IMPORTE NETO]]*0.21</f>
        <v>0</v>
      </c>
      <c r="J3005" s="184"/>
      <c r="K3005" s="184"/>
      <c r="L3005" s="184"/>
      <c r="M3005" s="59"/>
    </row>
    <row r="3006" spans="2:13" x14ac:dyDescent="0.3">
      <c r="B3006" s="178"/>
      <c r="C3006" s="179"/>
      <c r="D3006" s="180"/>
      <c r="E3006" s="181"/>
      <c r="F3006" s="182"/>
      <c r="G3006" s="1" t="str">
        <f>IFERROR(IF(ventas_b_mes11[[#This Row],[CUIT]]="","-",VLOOKUP(ventas_b_mes11[[#This Row],[CUIT]],Lista_CUIT[#All],2,0)),"CUIT NO CARGADO")</f>
        <v>-</v>
      </c>
      <c r="H3006" s="64">
        <f>ventas_b_mes11[[#This Row],[TOTAL]]/1.21</f>
        <v>0</v>
      </c>
      <c r="I3006" s="183">
        <f>ventas_b_mes11[[#This Row],[IMPORTE NETO]]*0.21</f>
        <v>0</v>
      </c>
      <c r="J3006" s="184"/>
      <c r="K3006" s="184"/>
      <c r="L3006" s="184"/>
      <c r="M3006" s="59"/>
    </row>
    <row r="3007" spans="2:13" x14ac:dyDescent="0.3">
      <c r="B3007" s="178"/>
      <c r="C3007" s="179"/>
      <c r="D3007" s="180"/>
      <c r="E3007" s="181"/>
      <c r="F3007" s="182"/>
      <c r="G3007" s="1" t="str">
        <f>IFERROR(IF(ventas_b_mes11[[#This Row],[CUIT]]="","-",VLOOKUP(ventas_b_mes11[[#This Row],[CUIT]],Lista_CUIT[#All],2,0)),"CUIT NO CARGADO")</f>
        <v>-</v>
      </c>
      <c r="H3007" s="64">
        <f>ventas_b_mes11[[#This Row],[TOTAL]]/1.21</f>
        <v>0</v>
      </c>
      <c r="I3007" s="183">
        <f>ventas_b_mes11[[#This Row],[IMPORTE NETO]]*0.21</f>
        <v>0</v>
      </c>
      <c r="J3007" s="184"/>
      <c r="K3007" s="184"/>
      <c r="L3007" s="184"/>
      <c r="M3007" s="59"/>
    </row>
    <row r="3008" spans="2:13" x14ac:dyDescent="0.3">
      <c r="B3008" s="178"/>
      <c r="C3008" s="179"/>
      <c r="D3008" s="180"/>
      <c r="E3008" s="181"/>
      <c r="F3008" s="182"/>
      <c r="G3008" s="1" t="str">
        <f>IFERROR(IF(ventas_b_mes11[[#This Row],[CUIT]]="","-",VLOOKUP(ventas_b_mes11[[#This Row],[CUIT]],Lista_CUIT[#All],2,0)),"CUIT NO CARGADO")</f>
        <v>-</v>
      </c>
      <c r="H3008" s="64">
        <f>ventas_b_mes11[[#This Row],[TOTAL]]/1.21</f>
        <v>0</v>
      </c>
      <c r="I3008" s="183">
        <f>ventas_b_mes11[[#This Row],[IMPORTE NETO]]*0.21</f>
        <v>0</v>
      </c>
      <c r="J3008" s="184"/>
      <c r="K3008" s="184"/>
      <c r="L3008" s="184"/>
      <c r="M3008" s="59"/>
    </row>
    <row r="3009" spans="2:13" x14ac:dyDescent="0.3">
      <c r="B3009" s="178"/>
      <c r="C3009" s="179"/>
      <c r="D3009" s="180"/>
      <c r="E3009" s="181"/>
      <c r="F3009" s="182"/>
      <c r="G3009" s="1" t="str">
        <f>IFERROR(IF(ventas_b_mes11[[#This Row],[CUIT]]="","-",VLOOKUP(ventas_b_mes11[[#This Row],[CUIT]],Lista_CUIT[#All],2,0)),"CUIT NO CARGADO")</f>
        <v>-</v>
      </c>
      <c r="H3009" s="64">
        <f>ventas_b_mes11[[#This Row],[TOTAL]]/1.21</f>
        <v>0</v>
      </c>
      <c r="I3009" s="183">
        <f>ventas_b_mes11[[#This Row],[IMPORTE NETO]]*0.21</f>
        <v>0</v>
      </c>
      <c r="J3009" s="184"/>
      <c r="K3009" s="184"/>
      <c r="L3009" s="184"/>
      <c r="M3009" s="59"/>
    </row>
    <row r="3010" spans="2:13" x14ac:dyDescent="0.3">
      <c r="B3010" s="178"/>
      <c r="C3010" s="179"/>
      <c r="D3010" s="180"/>
      <c r="E3010" s="181"/>
      <c r="F3010" s="182"/>
      <c r="G3010" s="1" t="str">
        <f>IFERROR(IF(ventas_b_mes11[[#This Row],[CUIT]]="","-",VLOOKUP(ventas_b_mes11[[#This Row],[CUIT]],Lista_CUIT[#All],2,0)),"CUIT NO CARGADO")</f>
        <v>-</v>
      </c>
      <c r="H3010" s="64">
        <f>ventas_b_mes11[[#This Row],[TOTAL]]/1.21</f>
        <v>0</v>
      </c>
      <c r="I3010" s="183">
        <f>ventas_b_mes11[[#This Row],[IMPORTE NETO]]*0.21</f>
        <v>0</v>
      </c>
      <c r="J3010" s="184"/>
      <c r="K3010" s="184"/>
      <c r="L3010" s="184"/>
      <c r="M3010" s="59"/>
    </row>
    <row r="3011" spans="2:13" x14ac:dyDescent="0.3">
      <c r="B3011" s="178"/>
      <c r="C3011" s="179"/>
      <c r="D3011" s="180"/>
      <c r="E3011" s="181"/>
      <c r="F3011" s="182"/>
      <c r="G3011" s="1" t="str">
        <f>IFERROR(IF(ventas_b_mes11[[#This Row],[CUIT]]="","-",VLOOKUP(ventas_b_mes11[[#This Row],[CUIT]],Lista_CUIT[#All],2,0)),"CUIT NO CARGADO")</f>
        <v>-</v>
      </c>
      <c r="H3011" s="64">
        <f>ventas_b_mes11[[#This Row],[TOTAL]]/1.21</f>
        <v>0</v>
      </c>
      <c r="I3011" s="183">
        <f>ventas_b_mes11[[#This Row],[IMPORTE NETO]]*0.21</f>
        <v>0</v>
      </c>
      <c r="J3011" s="184"/>
      <c r="K3011" s="184"/>
      <c r="L3011" s="184"/>
      <c r="M3011" s="59"/>
    </row>
    <row r="3012" spans="2:13" x14ac:dyDescent="0.3">
      <c r="B3012" s="178"/>
      <c r="C3012" s="179"/>
      <c r="D3012" s="180"/>
      <c r="E3012" s="181"/>
      <c r="F3012" s="182"/>
      <c r="G3012" s="1" t="str">
        <f>IFERROR(IF(ventas_b_mes11[[#This Row],[CUIT]]="","-",VLOOKUP(ventas_b_mes11[[#This Row],[CUIT]],Lista_CUIT[#All],2,0)),"CUIT NO CARGADO")</f>
        <v>-</v>
      </c>
      <c r="H3012" s="64">
        <f>ventas_b_mes11[[#This Row],[TOTAL]]/1.21</f>
        <v>0</v>
      </c>
      <c r="I3012" s="183">
        <f>ventas_b_mes11[[#This Row],[IMPORTE NETO]]*0.21</f>
        <v>0</v>
      </c>
      <c r="J3012" s="184"/>
      <c r="K3012" s="184"/>
      <c r="L3012" s="184"/>
      <c r="M3012" s="59"/>
    </row>
    <row r="3013" spans="2:13" x14ac:dyDescent="0.3">
      <c r="B3013" s="178"/>
      <c r="C3013" s="179"/>
      <c r="D3013" s="180"/>
      <c r="E3013" s="181"/>
      <c r="F3013" s="182"/>
      <c r="G3013" s="1" t="str">
        <f>IFERROR(IF(ventas_b_mes11[[#This Row],[CUIT]]="","-",VLOOKUP(ventas_b_mes11[[#This Row],[CUIT]],Lista_CUIT[#All],2,0)),"CUIT NO CARGADO")</f>
        <v>-</v>
      </c>
      <c r="H3013" s="64">
        <f>ventas_b_mes11[[#This Row],[TOTAL]]/1.21</f>
        <v>0</v>
      </c>
      <c r="I3013" s="183">
        <f>ventas_b_mes11[[#This Row],[IMPORTE NETO]]*0.21</f>
        <v>0</v>
      </c>
      <c r="J3013" s="184"/>
      <c r="K3013" s="184"/>
      <c r="L3013" s="184"/>
      <c r="M3013" s="59"/>
    </row>
    <row r="3014" spans="2:13" x14ac:dyDescent="0.3">
      <c r="B3014" s="178"/>
      <c r="C3014" s="179"/>
      <c r="D3014" s="180"/>
      <c r="E3014" s="181"/>
      <c r="F3014" s="182"/>
      <c r="G3014" s="1" t="str">
        <f>IFERROR(IF(ventas_b_mes11[[#This Row],[CUIT]]="","-",VLOOKUP(ventas_b_mes11[[#This Row],[CUIT]],Lista_CUIT[#All],2,0)),"CUIT NO CARGADO")</f>
        <v>-</v>
      </c>
      <c r="H3014" s="64">
        <f>ventas_b_mes11[[#This Row],[TOTAL]]/1.21</f>
        <v>0</v>
      </c>
      <c r="I3014" s="183">
        <f>ventas_b_mes11[[#This Row],[IMPORTE NETO]]*0.21</f>
        <v>0</v>
      </c>
      <c r="J3014" s="184"/>
      <c r="K3014" s="184"/>
      <c r="L3014" s="184"/>
      <c r="M3014" s="59"/>
    </row>
    <row r="3015" spans="2:13" x14ac:dyDescent="0.3">
      <c r="B3015" s="178"/>
      <c r="C3015" s="179"/>
      <c r="D3015" s="180"/>
      <c r="E3015" s="181"/>
      <c r="F3015" s="182"/>
      <c r="G3015" s="1" t="str">
        <f>IFERROR(IF(ventas_b_mes11[[#This Row],[CUIT]]="","-",VLOOKUP(ventas_b_mes11[[#This Row],[CUIT]],Lista_CUIT[#All],2,0)),"CUIT NO CARGADO")</f>
        <v>-</v>
      </c>
      <c r="H3015" s="64">
        <f>ventas_b_mes11[[#This Row],[TOTAL]]/1.21</f>
        <v>0</v>
      </c>
      <c r="I3015" s="183">
        <f>ventas_b_mes11[[#This Row],[IMPORTE NETO]]*0.21</f>
        <v>0</v>
      </c>
      <c r="J3015" s="184"/>
      <c r="K3015" s="184"/>
      <c r="L3015" s="184"/>
      <c r="M3015" s="59"/>
    </row>
    <row r="3016" spans="2:13" x14ac:dyDescent="0.3">
      <c r="B3016" s="178"/>
      <c r="C3016" s="179"/>
      <c r="D3016" s="180"/>
      <c r="E3016" s="181"/>
      <c r="F3016" s="182"/>
      <c r="G3016" s="1" t="str">
        <f>IFERROR(IF(ventas_b_mes11[[#This Row],[CUIT]]="","-",VLOOKUP(ventas_b_mes11[[#This Row],[CUIT]],Lista_CUIT[#All],2,0)),"CUIT NO CARGADO")</f>
        <v>-</v>
      </c>
      <c r="H3016" s="64">
        <f>ventas_b_mes11[[#This Row],[TOTAL]]/1.21</f>
        <v>0</v>
      </c>
      <c r="I3016" s="183">
        <f>ventas_b_mes11[[#This Row],[IMPORTE NETO]]*0.21</f>
        <v>0</v>
      </c>
      <c r="J3016" s="184"/>
      <c r="K3016" s="184"/>
      <c r="L3016" s="184"/>
      <c r="M3016" s="59"/>
    </row>
    <row r="3017" spans="2:13" x14ac:dyDescent="0.3">
      <c r="B3017" s="66" t="s">
        <v>103</v>
      </c>
      <c r="C3017" s="67"/>
      <c r="D3017" s="67"/>
      <c r="E3017" s="67"/>
      <c r="F3017" s="67"/>
      <c r="G3017" s="67"/>
      <c r="H3017" s="77">
        <f>SUBTOTAL(109,ventas_b_mes11[IMPORTE NETO])</f>
        <v>0</v>
      </c>
      <c r="I3017" s="77">
        <f>SUBTOTAL(109,ventas_b_mes11[IVA 21%])</f>
        <v>0</v>
      </c>
      <c r="J3017" s="78">
        <f>SUBTOTAL(109,ventas_b_mes11[IVA 10,5%])</f>
        <v>0</v>
      </c>
      <c r="K3017" s="78">
        <f>SUBTOTAL(109,ventas_b_mes11[EXENTO])</f>
        <v>0</v>
      </c>
      <c r="L3017" s="78">
        <f>SUBTOTAL(109,ventas_b_mes11[TOTAL])</f>
        <v>0</v>
      </c>
      <c r="M3017" s="68">
        <f>SUBTOTAL(103,ventas_b_mes11[Provincia])</f>
        <v>0</v>
      </c>
    </row>
    <row r="3018" spans="2:13" ht="15" thickBot="1" x14ac:dyDescent="0.35">
      <c r="B3018" s="193"/>
      <c r="C3018" s="193"/>
      <c r="D3018" s="193"/>
      <c r="E3018" s="193"/>
      <c r="F3018" s="193"/>
      <c r="G3018" s="193"/>
      <c r="H3018" s="199"/>
      <c r="I3018" s="199"/>
      <c r="J3018" s="200"/>
      <c r="K3018" s="200"/>
      <c r="L3018" s="200"/>
      <c r="M3018" s="194"/>
    </row>
    <row r="3019" spans="2:13" ht="15" thickTop="1" x14ac:dyDescent="0.3">
      <c r="C3019" s="651" t="s">
        <v>66</v>
      </c>
      <c r="D3019" s="651"/>
      <c r="E3019" s="651"/>
      <c r="F3019" s="651"/>
      <c r="G3019" s="651"/>
      <c r="H3019" s="32"/>
      <c r="I3019" s="32"/>
      <c r="J3019" s="32"/>
    </row>
    <row r="3020" spans="2:13" ht="15.6" x14ac:dyDescent="0.3">
      <c r="C3020" s="114" t="s">
        <v>67</v>
      </c>
      <c r="D3020" s="115" t="s">
        <v>68</v>
      </c>
      <c r="E3020" s="115" t="s">
        <v>105</v>
      </c>
      <c r="F3020" s="115" t="s">
        <v>3</v>
      </c>
      <c r="G3020" s="115" t="s">
        <v>4</v>
      </c>
      <c r="H3020" s="116" t="s">
        <v>69</v>
      </c>
      <c r="I3020" s="116" t="s">
        <v>70</v>
      </c>
      <c r="J3020" s="116" t="s">
        <v>71</v>
      </c>
      <c r="K3020" s="116" t="s">
        <v>72</v>
      </c>
      <c r="L3020" s="116" t="s">
        <v>73</v>
      </c>
    </row>
    <row r="3021" spans="2:13" x14ac:dyDescent="0.3">
      <c r="C3021" s="117"/>
      <c r="D3021" s="118"/>
      <c r="E3021" s="118"/>
      <c r="F3021" s="119"/>
      <c r="G3021" s="53" t="str">
        <f>IFERROR(IF(Retenciones_mes11[[#This Row],[CUIT]]="","-",VLOOKUP(Retenciones_mes11[[#This Row],[CUIT]],Lista_CUIT[#All],2,0)),"CUIT NO CARGADO")</f>
        <v>-</v>
      </c>
      <c r="H3021" s="120"/>
      <c r="I3021" s="120"/>
      <c r="J3021" s="120"/>
      <c r="K3021" s="120"/>
      <c r="L3021" s="120"/>
    </row>
    <row r="3022" spans="2:13" x14ac:dyDescent="0.3">
      <c r="C3022" s="117"/>
      <c r="D3022" s="118"/>
      <c r="E3022" s="118"/>
      <c r="F3022" s="119"/>
      <c r="G3022" s="53" t="str">
        <f>IFERROR(IF(Retenciones_mes11[[#This Row],[CUIT]]="","-",VLOOKUP(Retenciones_mes11[[#This Row],[CUIT]],Lista_CUIT[#All],2,0)),"CUIT NO CARGADO")</f>
        <v>-</v>
      </c>
      <c r="H3022" s="120"/>
      <c r="I3022" s="120"/>
      <c r="J3022" s="120"/>
      <c r="K3022" s="120"/>
      <c r="L3022" s="120"/>
    </row>
    <row r="3023" spans="2:13" x14ac:dyDescent="0.3">
      <c r="C3023" s="117"/>
      <c r="D3023" s="118"/>
      <c r="E3023" s="118"/>
      <c r="F3023" s="119"/>
      <c r="G3023" s="53" t="str">
        <f>IFERROR(IF(Retenciones_mes11[[#This Row],[CUIT]]="","-",VLOOKUP(Retenciones_mes11[[#This Row],[CUIT]],Lista_CUIT[#All],2,0)),"CUIT NO CARGADO")</f>
        <v>-</v>
      </c>
      <c r="H3023" s="120"/>
      <c r="I3023" s="120"/>
      <c r="J3023" s="120"/>
      <c r="K3023" s="120"/>
      <c r="L3023" s="120"/>
    </row>
    <row r="3024" spans="2:13" x14ac:dyDescent="0.3">
      <c r="C3024" s="117"/>
      <c r="D3024" s="118"/>
      <c r="E3024" s="118"/>
      <c r="F3024" s="119"/>
      <c r="G3024" s="53" t="str">
        <f>IFERROR(IF(Retenciones_mes11[[#This Row],[CUIT]]="","-",VLOOKUP(Retenciones_mes11[[#This Row],[CUIT]],Lista_CUIT[#All],2,0)),"CUIT NO CARGADO")</f>
        <v>-</v>
      </c>
      <c r="H3024" s="120"/>
      <c r="I3024" s="120"/>
      <c r="J3024" s="120"/>
      <c r="K3024" s="120"/>
      <c r="L3024" s="120"/>
    </row>
    <row r="3025" spans="3:7" x14ac:dyDescent="0.3">
      <c r="D3025" s="118"/>
      <c r="E3025" s="118"/>
      <c r="G3025" s="53" t="str">
        <f>IFERROR(IF(Retenciones_mes11[[#This Row],[CUIT]]="","-",VLOOKUP(Retenciones_mes11[[#This Row],[CUIT]],Lista_CUIT[#All],2,0)),"CUIT NO CARGADO")</f>
        <v>-</v>
      </c>
    </row>
    <row r="3026" spans="3:7" x14ac:dyDescent="0.3">
      <c r="C3026" s="33"/>
    </row>
  </sheetData>
  <mergeCells count="20">
    <mergeCell ref="P4:R4"/>
    <mergeCell ref="D158:L158"/>
    <mergeCell ref="B1:F1"/>
    <mergeCell ref="G1:M1"/>
    <mergeCell ref="N1:R1"/>
    <mergeCell ref="B3:E3"/>
    <mergeCell ref="G3:H3"/>
    <mergeCell ref="J3:K3"/>
    <mergeCell ref="M3:N3"/>
    <mergeCell ref="P3:R3"/>
    <mergeCell ref="C3019:G3019"/>
    <mergeCell ref="B4:E4"/>
    <mergeCell ref="G4:H4"/>
    <mergeCell ref="J4:K4"/>
    <mergeCell ref="M4:N4"/>
    <mergeCell ref="D167:K167"/>
    <mergeCell ref="B202:J202"/>
    <mergeCell ref="K202:M202"/>
    <mergeCell ref="B204:C204"/>
    <mergeCell ref="B396:C396"/>
  </mergeCells>
  <dataValidations count="13">
    <dataValidation type="whole" allowBlank="1" showInputMessage="1" showErrorMessage="1" sqref="D206:D393 D398:D3016 D9:D152 E169:E178" xr:uid="{00000000-0002-0000-0B00-000000000000}">
      <formula1>1</formula1>
      <formula2>9999</formula2>
    </dataValidation>
    <dataValidation type="whole" allowBlank="1" showInputMessage="1" showErrorMessage="1" sqref="E206:E393 E398:E3016 E9:E152 F169:F193" xr:uid="{00000000-0002-0000-0B00-000001000000}">
      <formula1>1</formula1>
      <formula2>99999999</formula2>
    </dataValidation>
    <dataValidation type="whole" allowBlank="1" showInputMessage="1" showErrorMessage="1" sqref="F130:F135 F206:F393 F407:F473 F9:F128 G169:G193" xr:uid="{00000000-0002-0000-0B00-000002000000}">
      <formula1>20000000000</formula1>
      <formula2>33999999999</formula2>
    </dataValidation>
    <dataValidation type="date" allowBlank="1" showInputMessage="1" showErrorMessage="1" sqref="D160:D162 B154:B157 B206:B393 B129 B398:B3016 B9:B126 D169:D193" xr:uid="{00000000-0002-0000-0B00-000003000000}">
      <formula1>40179</formula1>
      <formula2>TODAY()</formula2>
    </dataValidation>
    <dataValidation type="whole" allowBlank="1" showInputMessage="1" showErrorMessage="1" sqref="C154:C157 C206:C393 C9:C152" xr:uid="{00000000-0002-0000-0B00-000004000000}">
      <formula1>1</formula1>
      <formula2>3</formula2>
    </dataValidation>
    <dataValidation type="custom" allowBlank="1" showInputMessage="1" showErrorMessage="1" sqref="H212:K212 H210:K210 H208:K208 H206:K206 I207 I209 I211" xr:uid="{00000000-0002-0000-0B00-000005000000}">
      <formula1>IF($C206=3,H206&lt;0,H206&gt;=0)</formula1>
    </dataValidation>
    <dataValidation type="custom" allowBlank="1" showInputMessage="1" showErrorMessage="1" sqref="L206:L212" xr:uid="{00000000-0002-0000-0B00-000006000000}">
      <formula1>IF($C148=3,L148&lt;0,L148&gt;=0)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28:H130 H9:H126 I9:O152" xr:uid="{00000000-0002-0000-0B00-000007000000}">
      <formula1>IF($C9=3,H9&lt;0,H9&gt;=0)</formula1>
    </dataValidation>
    <dataValidation type="whole" allowBlank="1" showInputMessage="1" showErrorMessage="1" sqref="F398:F406" xr:uid="{00000000-0002-0000-0B00-000008000000}">
      <formula1>20000000000</formula1>
      <formula2>439000000000000</formula2>
    </dataValidation>
    <dataValidation type="custom" allowBlank="1" showInputMessage="1" showErrorMessage="1" sqref="H398:L2206 H2209:L2252" xr:uid="{00000000-0002-0000-0B00-000009000000}">
      <formula1>IF($C398=8,H398&lt;0,H398&gt;=0)</formula1>
    </dataValidation>
    <dataValidation type="custom" allowBlank="1" showInputMessage="1" showErrorMessage="1" sqref="H2207:L2207" xr:uid="{00000000-0002-0000-0B00-00000A000000}">
      <formula1>IF($C2208=8,H2207&lt;0,H2207&gt;=0)</formula1>
    </dataValidation>
    <dataValidation type="custom" allowBlank="1" showInputMessage="1" showErrorMessage="1" sqref="H2208:L2208" xr:uid="{00000000-0002-0000-0B00-00000B000000}">
      <formula1>IF(#REF!=8,H2208&lt;0,H2208&gt;=0)</formula1>
    </dataValidation>
    <dataValidation type="whole" allowBlank="1" showInputMessage="1" showErrorMessage="1" sqref="C398:C3016" xr:uid="{00000000-0002-0000-0B00-00000C000000}">
      <formula1>6</formula1>
      <formula2>8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  <pageSetUpPr fitToPage="1"/>
  </sheetPr>
  <dimension ref="A1:Z2568"/>
  <sheetViews>
    <sheetView showGridLines="0" topLeftCell="F182" zoomScale="70" zoomScaleNormal="70" workbookViewId="0">
      <selection activeCell="K184" sqref="K184:K189"/>
    </sheetView>
  </sheetViews>
  <sheetFormatPr baseColWidth="10" defaultColWidth="0" defaultRowHeight="14.4" x14ac:dyDescent="0.3"/>
  <cols>
    <col min="1" max="1" width="0.6640625" customWidth="1"/>
    <col min="2" max="2" width="8.88671875" customWidth="1"/>
    <col min="3" max="3" width="5.5546875" customWidth="1"/>
    <col min="4" max="4" width="19.109375" customWidth="1"/>
    <col min="5" max="5" width="12.88671875" customWidth="1"/>
    <col min="6" max="6" width="27" customWidth="1"/>
    <col min="7" max="7" width="26.6640625" customWidth="1"/>
    <col min="8" max="8" width="18.88671875" customWidth="1"/>
    <col min="9" max="9" width="18.33203125" customWidth="1"/>
    <col min="10" max="10" width="17.6640625" customWidth="1"/>
    <col min="11" max="11" width="18.44140625" customWidth="1"/>
    <col min="12" max="12" width="18.33203125" bestFit="1" customWidth="1"/>
    <col min="13" max="13" width="15.6640625" customWidth="1"/>
    <col min="14" max="14" width="18.88671875" bestFit="1" customWidth="1"/>
    <col min="15" max="15" width="18.5546875" customWidth="1"/>
    <col min="16" max="16" width="23.109375" customWidth="1"/>
    <col min="17" max="17" width="20.1093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56" t="str">
        <f>'Ene-23'!G1:M1</f>
        <v>EUROARGENTINA</v>
      </c>
      <c r="H1" s="656"/>
      <c r="I1" s="656"/>
      <c r="J1" s="656"/>
      <c r="K1" s="656"/>
      <c r="L1" s="656"/>
      <c r="M1" s="656"/>
      <c r="N1" s="652">
        <f>EDATE('Ene-23'!N1,11)</f>
        <v>45261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SUM(compras_mes123[[#Totals],[NETO GRAVADO]])+extracto_banco_mes1256[[#Totals],[NETO]]</f>
        <v>53899460.271428563</v>
      </c>
      <c r="C4" s="659"/>
      <c r="D4" s="659"/>
      <c r="E4" s="659"/>
      <c r="F4" s="39"/>
      <c r="G4" s="660">
        <f>compras_mes123[[#Totals],[IVA 21 %]]+compras_mes123[[#Totals],[IVA 27%]]+compras_mes123[[#Totals],[IVA 10,5%]]+extracto_banco_mes1256[[#Totals],[IVA 21%]]+extracto_banco_mes1256[[#Totals],[IVA 10,5%]]</f>
        <v>10977135.977200007</v>
      </c>
      <c r="H4" s="660"/>
      <c r="I4" s="39"/>
      <c r="J4" s="649">
        <f>venta_a_mes1254[[#Totals],[IMPORTE NETO]]+ventas_b_mes1255[[#Totals],[IMPORTE NETO]]</f>
        <v>0</v>
      </c>
      <c r="K4" s="649"/>
      <c r="L4" s="39"/>
      <c r="M4" s="649">
        <f>venta_a_mes1254[[#Totals],[IVA 21%]]+venta_a_mes1254[[#Totals],[IVA 10,5%]]+ventas_b_mes1255[[#Totals],[IVA 21%]]+ventas_b_mes1255[[#Totals],[IVA 10,5%]]</f>
        <v>0</v>
      </c>
      <c r="N4" s="649"/>
      <c r="O4" s="39"/>
      <c r="P4" s="662">
        <f>G4-M4</f>
        <v>10977135.977200007</v>
      </c>
      <c r="Q4" s="663"/>
      <c r="R4" s="66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45231</v>
      </c>
      <c r="C9" s="41">
        <v>1</v>
      </c>
      <c r="D9" s="42">
        <v>2188</v>
      </c>
      <c r="E9" s="43">
        <v>103175</v>
      </c>
      <c r="F9" s="44">
        <v>30548083156</v>
      </c>
      <c r="G9" s="45" t="str">
        <f>IFERROR(IF(compras_mes123[[#This Row],[CUIT]]="","-",VLOOKUP(compras_mes123[[#This Row],[CUIT]],Lista_CUIT[#All],2,0)),"CUIT NO CARGADO")</f>
        <v>COTO CENTRO INTEGRAL DE COMERCIALIZACION SOCIEDAD ANONIMA</v>
      </c>
      <c r="H9" s="46">
        <v>40557.97</v>
      </c>
      <c r="I9" s="85">
        <v>5975.96</v>
      </c>
      <c r="J9" s="85"/>
      <c r="K9" s="85">
        <v>1270.6099999999999</v>
      </c>
      <c r="L9" s="85">
        <v>879.72</v>
      </c>
      <c r="M9" s="85"/>
      <c r="N9" s="85">
        <v>1511.62</v>
      </c>
      <c r="O9" s="85">
        <v>1664.8</v>
      </c>
      <c r="P9" s="48">
        <f>SUM(compras_mes123[[#This Row],[NETO GRAVADO]:[Otros / No Grav.]])</f>
        <v>51860.680000000008</v>
      </c>
      <c r="Q9" s="49" t="str">
        <f>IFERROR(IF(compras_mes123[[#This Row],[CUIT]]="","-",VLOOKUP(compras_mes123[[#This Row],[CUIT]],Lista_CUIT[#All],3,0)),"CUIT NO CARGADO")</f>
        <v>GASTOS COMERCIALES</v>
      </c>
      <c r="R9" s="49">
        <f>IFERROR(IF(compras_mes123[[#This Row],[CUIT]]="","-",VLOOKUP(compras_mes123[[#This Row],[CUIT]],Lista_CUIT[#All],4,0)),"CUIT NO CARGADO")</f>
        <v>0</v>
      </c>
    </row>
    <row r="10" spans="1:26" x14ac:dyDescent="0.3">
      <c r="B10" s="40">
        <v>45231</v>
      </c>
      <c r="C10" s="41">
        <v>1</v>
      </c>
      <c r="D10" s="42">
        <v>5</v>
      </c>
      <c r="E10" s="43">
        <v>5839</v>
      </c>
      <c r="F10" s="44">
        <v>30711725608</v>
      </c>
      <c r="G10" s="45" t="str">
        <f>IFERROR(IF(compras_mes123[[#This Row],[CUIT]]="","-",VLOOKUP(compras_mes123[[#This Row],[CUIT]],Lista_CUIT[#All],2,0)),"CUIT NO CARGADO")</f>
        <v>LA IMPRENTA YA SA</v>
      </c>
      <c r="H10" s="46">
        <v>1549000</v>
      </c>
      <c r="I10" s="85">
        <f>IF(compras_mes123[[#This Row],[NETO GRAVADO]]="","",compras_mes123[[#This Row],[NETO GRAVADO]]*0.21)</f>
        <v>325290</v>
      </c>
      <c r="J10" s="85"/>
      <c r="K10" s="85"/>
      <c r="L10" s="85"/>
      <c r="M10" s="85"/>
      <c r="N10" s="85"/>
      <c r="O10" s="85"/>
      <c r="P10" s="48">
        <f>SUM(compras_mes123[[#This Row],[NETO GRAVADO]:[Otros / No Grav.]])</f>
        <v>1874290</v>
      </c>
      <c r="Q10" s="49">
        <f>IFERROR(IF(compras_mes123[[#This Row],[CUIT]]="","-",VLOOKUP(compras_mes123[[#This Row],[CUIT]],Lista_CUIT[#All],3,0)),"CUIT NO CARGADO")</f>
        <v>0</v>
      </c>
      <c r="R10" s="49">
        <f>IFERROR(IF(compras_mes123[[#This Row],[CUIT]]="","-",VLOOKUP(compras_mes123[[#This Row],[CUIT]],Lista_CUIT[#All],4,0)),"CUIT NO CARGADO")</f>
        <v>0</v>
      </c>
    </row>
    <row r="11" spans="1:26" x14ac:dyDescent="0.3">
      <c r="B11" s="40">
        <v>45231</v>
      </c>
      <c r="C11" s="41">
        <v>1</v>
      </c>
      <c r="D11" s="42">
        <v>6</v>
      </c>
      <c r="E11" s="43">
        <v>24148</v>
      </c>
      <c r="F11" s="44">
        <v>33640878679</v>
      </c>
      <c r="G11" s="45" t="str">
        <f>IFERROR(IF(compras_mes123[[#This Row],[CUIT]]="","-",VLOOKUP(compras_mes123[[#This Row],[CUIT]],Lista_CUIT[#All],2,0)),"CUIT NO CARGADO")</f>
        <v>DHACAM S R L</v>
      </c>
      <c r="H11" s="46">
        <v>430770</v>
      </c>
      <c r="I11" s="85">
        <f>IF(compras_mes123[[#This Row],[NETO GRAVADO]]="","",compras_mes123[[#This Row],[NETO GRAVADO]]*0.21)</f>
        <v>90461.7</v>
      </c>
      <c r="J11" s="85"/>
      <c r="K11" s="85"/>
      <c r="L11" s="85"/>
      <c r="M11" s="85"/>
      <c r="N11" s="85"/>
      <c r="O11" s="85"/>
      <c r="P11" s="48">
        <f>SUM(compras_mes123[[#This Row],[NETO GRAVADO]:[Otros / No Grav.]])</f>
        <v>521231.7</v>
      </c>
      <c r="Q11" s="49">
        <f>IFERROR(IF(compras_mes123[[#This Row],[CUIT]]="","-",VLOOKUP(compras_mes123[[#This Row],[CUIT]],Lista_CUIT[#All],3,0)),"CUIT NO CARGADO")</f>
        <v>0</v>
      </c>
      <c r="R11" s="49">
        <f>IFERROR(IF(compras_mes123[[#This Row],[CUIT]]="","-",VLOOKUP(compras_mes123[[#This Row],[CUIT]],Lista_CUIT[#All],4,0)),"CUIT NO CARGADO")</f>
        <v>0</v>
      </c>
    </row>
    <row r="12" spans="1:26" x14ac:dyDescent="0.3">
      <c r="B12" s="40">
        <v>45231</v>
      </c>
      <c r="C12" s="41">
        <v>1</v>
      </c>
      <c r="D12" s="42">
        <v>6</v>
      </c>
      <c r="E12" s="43">
        <v>2862</v>
      </c>
      <c r="F12" s="44">
        <v>30574603788</v>
      </c>
      <c r="G12" s="45" t="str">
        <f>IFERROR(IF(compras_mes123[[#This Row],[CUIT]]="","-",VLOOKUP(compras_mes123[[#This Row],[CUIT]],Lista_CUIT[#All],2,0)),"CUIT NO CARGADO")</f>
        <v>CODAC SRL</v>
      </c>
      <c r="H12" s="46">
        <v>2578470</v>
      </c>
      <c r="I12" s="85">
        <f>IF(compras_mes123[[#This Row],[NETO GRAVADO]]="","",compras_mes123[[#This Row],[NETO GRAVADO]]*0.21)</f>
        <v>541478.69999999995</v>
      </c>
      <c r="J12" s="85"/>
      <c r="K12" s="85"/>
      <c r="L12" s="85"/>
      <c r="M12" s="85"/>
      <c r="N12" s="85"/>
      <c r="O12" s="85"/>
      <c r="P12" s="48">
        <f>SUM(compras_mes123[[#This Row],[NETO GRAVADO]:[Otros / No Grav.]])</f>
        <v>3119948.7</v>
      </c>
      <c r="Q12" s="49" t="str">
        <f>IFERROR(IF(compras_mes123[[#This Row],[CUIT]]="","-",VLOOKUP(compras_mes123[[#This Row],[CUIT]],Lista_CUIT[#All],3,0)),"CUIT NO CARGADO")</f>
        <v>GASTOS COSMETICA</v>
      </c>
      <c r="R12" s="49" t="str">
        <f>IFERROR(IF(compras_mes123[[#This Row],[CUIT]]="","-",VLOOKUP(compras_mes123[[#This Row],[CUIT]],Lista_CUIT[#All],4,0)),"CUIT NO CARGADO")</f>
        <v>BUENOS AIRES</v>
      </c>
    </row>
    <row r="13" spans="1:26" x14ac:dyDescent="0.3">
      <c r="B13" s="40">
        <v>45231</v>
      </c>
      <c r="C13" s="41">
        <v>1</v>
      </c>
      <c r="D13" s="42">
        <v>7</v>
      </c>
      <c r="E13" s="43">
        <v>10711</v>
      </c>
      <c r="F13" s="44">
        <v>30715124919</v>
      </c>
      <c r="G13" s="45" t="str">
        <f>IFERROR(IF(compras_mes123[[#This Row],[CUIT]]="","-",VLOOKUP(compras_mes123[[#This Row],[CUIT]],Lista_CUIT[#All],2,0)),"CUIT NO CARGADO")</f>
        <v>CLEAN LAB SRL</v>
      </c>
      <c r="H13" s="46">
        <v>40871.06</v>
      </c>
      <c r="I13" s="85">
        <f>IF(compras_mes123[[#This Row],[NETO GRAVADO]]="","",compras_mes123[[#This Row],[NETO GRAVADO]]*0.21)</f>
        <v>8582.9225999999999</v>
      </c>
      <c r="J13" s="85"/>
      <c r="K13" s="85"/>
      <c r="L13" s="85"/>
      <c r="M13" s="85"/>
      <c r="N13" s="85"/>
      <c r="O13" s="85"/>
      <c r="P13" s="48">
        <f>SUM(compras_mes123[[#This Row],[NETO GRAVADO]:[Otros / No Grav.]])</f>
        <v>49453.982599999996</v>
      </c>
      <c r="Q13" s="49">
        <f>IFERROR(IF(compras_mes123[[#This Row],[CUIT]]="","-",VLOOKUP(compras_mes123[[#This Row],[CUIT]],Lista_CUIT[#All],3,0)),"CUIT NO CARGADO")</f>
        <v>0</v>
      </c>
      <c r="R13" s="49">
        <f>IFERROR(IF(compras_mes123[[#This Row],[CUIT]]="","-",VLOOKUP(compras_mes123[[#This Row],[CUIT]],Lista_CUIT[#All],4,0)),"CUIT NO CARGADO")</f>
        <v>0</v>
      </c>
    </row>
    <row r="14" spans="1:26" s="56" customFormat="1" ht="18.600000000000001" customHeight="1" x14ac:dyDescent="0.3">
      <c r="B14" s="40">
        <v>45231</v>
      </c>
      <c r="C14" s="41">
        <v>1</v>
      </c>
      <c r="D14" s="42">
        <v>5</v>
      </c>
      <c r="E14" s="43">
        <v>386</v>
      </c>
      <c r="F14" s="44">
        <v>30643993089</v>
      </c>
      <c r="G14" s="45" t="str">
        <f>IFERROR(IF(compras_mes123[[#This Row],[CUIT]]="","-",VLOOKUP(compras_mes123[[#This Row],[CUIT]],Lista_CUIT[#All],2,0)),"CUIT NO CARGADO")</f>
        <v>CORNEALENT PANAMERICANA SA</v>
      </c>
      <c r="H14" s="46">
        <v>28595.040000000001</v>
      </c>
      <c r="I14" s="85">
        <f>IF(compras_mes123[[#This Row],[NETO GRAVADO]]="","",compras_mes123[[#This Row],[NETO GRAVADO]]*0.21)</f>
        <v>6004.9583999999995</v>
      </c>
      <c r="J14" s="85"/>
      <c r="K14" s="85"/>
      <c r="L14" s="85"/>
      <c r="M14" s="85"/>
      <c r="N14" s="85"/>
      <c r="O14" s="85"/>
      <c r="P14" s="48">
        <f>SUM(compras_mes123[[#This Row],[NETO GRAVADO]:[Otros / No Grav.]])</f>
        <v>34599.998399999997</v>
      </c>
      <c r="Q14" s="49">
        <f>IFERROR(IF(compras_mes123[[#This Row],[CUIT]]="","-",VLOOKUP(compras_mes123[[#This Row],[CUIT]],Lista_CUIT[#All],3,0)),"CUIT NO CARGADO")</f>
        <v>0</v>
      </c>
      <c r="R14" s="49">
        <f>IFERROR(IF(compras_mes123[[#This Row],[CUIT]]="","-",VLOOKUP(compras_mes123[[#This Row],[CUIT]],Lista_CUIT[#All],4,0)),"CUIT NO CARGADO")</f>
        <v>0</v>
      </c>
    </row>
    <row r="15" spans="1:26" x14ac:dyDescent="0.3">
      <c r="B15" s="221">
        <v>45231</v>
      </c>
      <c r="C15" s="41">
        <v>1</v>
      </c>
      <c r="D15" s="222">
        <v>1</v>
      </c>
      <c r="E15" s="223">
        <v>429</v>
      </c>
      <c r="F15" s="44">
        <v>20131206144</v>
      </c>
      <c r="G15" s="224" t="str">
        <f>IFERROR(IF(compras_mes123[[#This Row],[CUIT]]="","-",VLOOKUP(compras_mes123[[#This Row],[CUIT]],Lista_CUIT[#All],2,0)),"CUIT NO CARGADO")</f>
        <v>CHAMORRO MANUEL</v>
      </c>
      <c r="H15" s="225">
        <v>300000</v>
      </c>
      <c r="I15" s="85">
        <f>IF(compras_mes123[[#This Row],[NETO GRAVADO]]="","",compras_mes123[[#This Row],[NETO GRAVADO]]*0.21)</f>
        <v>63000</v>
      </c>
      <c r="J15" s="226"/>
      <c r="K15" s="226"/>
      <c r="L15" s="226"/>
      <c r="M15" s="226"/>
      <c r="N15" s="226"/>
      <c r="O15" s="226"/>
      <c r="P15" s="227">
        <f>SUM(compras_mes123[[#This Row],[NETO GRAVADO]:[Otros / No Grav.]])</f>
        <v>363000</v>
      </c>
      <c r="Q15" s="228" t="str">
        <f>IFERROR(IF(compras_mes123[[#This Row],[CUIT]]="","-",VLOOKUP(compras_mes123[[#This Row],[CUIT]],Lista_CUIT[#All],3,0)),"CUIT NO CARGADO")</f>
        <v>Alquiler</v>
      </c>
      <c r="R15" s="228">
        <f>IFERROR(IF(compras_mes123[[#This Row],[CUIT]]="","-",VLOOKUP(compras_mes123[[#This Row],[CUIT]],Lista_CUIT[#All],4,0)),"CUIT NO CARGADO")</f>
        <v>0</v>
      </c>
    </row>
    <row r="16" spans="1:26" x14ac:dyDescent="0.3">
      <c r="B16" s="40">
        <v>45231</v>
      </c>
      <c r="C16" s="41">
        <v>1</v>
      </c>
      <c r="D16" s="42">
        <v>1</v>
      </c>
      <c r="E16" s="43">
        <v>888</v>
      </c>
      <c r="F16" s="44">
        <v>30716715716</v>
      </c>
      <c r="G16" s="45" t="str">
        <f>IFERROR(IF(compras_mes123[[#This Row],[CUIT]]="","-",VLOOKUP(compras_mes123[[#This Row],[CUIT]],Lista_CUIT[#All],2,0)),"CUIT NO CARGADO")</f>
        <v>LIVERPOOL EXPRESS SRL</v>
      </c>
      <c r="H16" s="46">
        <v>149850</v>
      </c>
      <c r="I16" s="85">
        <f>IF(compras_mes123[[#This Row],[NETO GRAVADO]]="","",compras_mes123[[#This Row],[NETO GRAVADO]]*0.21)</f>
        <v>31468.5</v>
      </c>
      <c r="J16" s="85"/>
      <c r="K16" s="85"/>
      <c r="L16" s="85"/>
      <c r="M16" s="85"/>
      <c r="N16" s="85"/>
      <c r="O16" s="85"/>
      <c r="P16" s="48">
        <f>SUM(compras_mes123[[#This Row],[NETO GRAVADO]:[Otros / No Grav.]])</f>
        <v>181318.5</v>
      </c>
      <c r="Q16" s="49">
        <f>IFERROR(IF(compras_mes123[[#This Row],[CUIT]]="","-",VLOOKUP(compras_mes123[[#This Row],[CUIT]],Lista_CUIT[#All],3,0)),"CUIT NO CARGADO")</f>
        <v>0</v>
      </c>
      <c r="R16" s="49">
        <f>IFERROR(IF(compras_mes123[[#This Row],[CUIT]]="","-",VLOOKUP(compras_mes123[[#This Row],[CUIT]],Lista_CUIT[#All],4,0)),"CUIT NO CARGADO")</f>
        <v>0</v>
      </c>
    </row>
    <row r="17" spans="2:18" ht="14.4" customHeight="1" x14ac:dyDescent="0.3">
      <c r="B17" s="40">
        <v>45231</v>
      </c>
      <c r="C17" s="41">
        <v>1</v>
      </c>
      <c r="D17" s="42">
        <v>2</v>
      </c>
      <c r="E17" s="43">
        <v>6641</v>
      </c>
      <c r="F17" s="44">
        <v>23180288899</v>
      </c>
      <c r="G17" s="45" t="str">
        <f>IFERROR(IF(compras_mes123[[#This Row],[CUIT]]="","-",VLOOKUP(compras_mes123[[#This Row],[CUIT]],Lista_CUIT[#All],2,0)),"CUIT NO CARGADO")</f>
        <v>ROMERO EMILIO</v>
      </c>
      <c r="H17" s="46">
        <v>630000</v>
      </c>
      <c r="I17" s="85">
        <f>IF(compras_mes123[[#This Row],[NETO GRAVADO]]="","",compras_mes123[[#This Row],[NETO GRAVADO]]*0.21)</f>
        <v>132300</v>
      </c>
      <c r="J17" s="85"/>
      <c r="K17" s="85"/>
      <c r="L17" s="85"/>
      <c r="M17" s="85"/>
      <c r="N17" s="85"/>
      <c r="O17" s="85">
        <v>18900</v>
      </c>
      <c r="P17" s="48">
        <f>SUM(compras_mes123[[#This Row],[NETO GRAVADO]:[Otros / No Grav.]])</f>
        <v>781200</v>
      </c>
      <c r="Q17" s="49">
        <f>IFERROR(IF(compras_mes123[[#This Row],[CUIT]]="","-",VLOOKUP(compras_mes123[[#This Row],[CUIT]],Lista_CUIT[#All],3,0)),"CUIT NO CARGADO")</f>
        <v>0</v>
      </c>
      <c r="R17" s="49">
        <f>IFERROR(IF(compras_mes123[[#This Row],[CUIT]]="","-",VLOOKUP(compras_mes123[[#This Row],[CUIT]],Lista_CUIT[#All],4,0)),"CUIT NO CARGADO")</f>
        <v>0</v>
      </c>
    </row>
    <row r="18" spans="2:18" x14ac:dyDescent="0.3">
      <c r="B18" s="230">
        <v>45231</v>
      </c>
      <c r="C18" s="41">
        <v>1</v>
      </c>
      <c r="D18" s="231">
        <v>1</v>
      </c>
      <c r="E18" s="232">
        <v>37</v>
      </c>
      <c r="F18" s="233">
        <v>30718148207</v>
      </c>
      <c r="G18" s="234" t="str">
        <f>IFERROR(IF(compras_mes123[[#This Row],[CUIT]]="","-",VLOOKUP(compras_mes123[[#This Row],[CUIT]],Lista_CUIT[#All],2,0)),"CUIT NO CARGADO")</f>
        <v>VIPA INTERNATIONAL S.R.L.</v>
      </c>
      <c r="H18" s="235">
        <v>1044900</v>
      </c>
      <c r="I18" s="85">
        <f>IF(compras_mes123[[#This Row],[NETO GRAVADO]]="","",compras_mes123[[#This Row],[NETO GRAVADO]]*0.21)</f>
        <v>219429</v>
      </c>
      <c r="J18" s="236"/>
      <c r="K18" s="236"/>
      <c r="L18" s="236"/>
      <c r="M18" s="236"/>
      <c r="N18" s="236"/>
      <c r="O18" s="236"/>
      <c r="P18" s="237">
        <f>SUM(compras_mes123[[#This Row],[NETO GRAVADO]:[Otros / No Grav.]])</f>
        <v>1264329</v>
      </c>
      <c r="Q18" s="238">
        <f>IFERROR(IF(compras_mes123[[#This Row],[CUIT]]="","-",VLOOKUP(compras_mes123[[#This Row],[CUIT]],Lista_CUIT[#All],3,0)),"CUIT NO CARGADO")</f>
        <v>0</v>
      </c>
      <c r="R18" s="238">
        <f>IFERROR(IF(compras_mes123[[#This Row],[CUIT]]="","-",VLOOKUP(compras_mes123[[#This Row],[CUIT]],Lista_CUIT[#All],4,0)),"CUIT NO CARGADO")</f>
        <v>0</v>
      </c>
    </row>
    <row r="19" spans="2:18" x14ac:dyDescent="0.3">
      <c r="B19" s="40">
        <v>45231</v>
      </c>
      <c r="C19" s="41">
        <v>1</v>
      </c>
      <c r="D19" s="42">
        <v>1</v>
      </c>
      <c r="E19" s="43">
        <v>889</v>
      </c>
      <c r="F19" s="44">
        <v>30716715716</v>
      </c>
      <c r="G19" s="45" t="str">
        <f>IFERROR(IF(compras_mes123[[#This Row],[CUIT]]="","-",VLOOKUP(compras_mes123[[#This Row],[CUIT]],Lista_CUIT[#All],2,0)),"CUIT NO CARGADO")</f>
        <v>LIVERPOOL EXPRESS SRL</v>
      </c>
      <c r="H19" s="46"/>
      <c r="I19" s="85" t="str">
        <f>IF(compras_mes123[[#This Row],[NETO GRAVADO]]="","",compras_mes123[[#This Row],[NETO GRAVADO]]*0.21)</f>
        <v/>
      </c>
      <c r="J19" s="85"/>
      <c r="K19" s="85"/>
      <c r="L19" s="85"/>
      <c r="M19" s="85"/>
      <c r="N19" s="85"/>
      <c r="O19" s="85">
        <v>66560</v>
      </c>
      <c r="P19" s="48">
        <f>SUM(compras_mes123[[#This Row],[NETO GRAVADO]:[Otros / No Grav.]])</f>
        <v>66560</v>
      </c>
      <c r="Q19" s="49">
        <f>IFERROR(IF(compras_mes123[[#This Row],[CUIT]]="","-",VLOOKUP(compras_mes123[[#This Row],[CUIT]],Lista_CUIT[#All],3,0)),"CUIT NO CARGADO")</f>
        <v>0</v>
      </c>
      <c r="R19" s="49">
        <f>IFERROR(IF(compras_mes123[[#This Row],[CUIT]]="","-",VLOOKUP(compras_mes123[[#This Row],[CUIT]],Lista_CUIT[#All],4,0)),"CUIT NO CARGADO")</f>
        <v>0</v>
      </c>
    </row>
    <row r="20" spans="2:18" ht="14.4" customHeight="1" x14ac:dyDescent="0.3">
      <c r="B20" s="40">
        <v>45232</v>
      </c>
      <c r="C20" s="41">
        <v>1</v>
      </c>
      <c r="D20" s="42">
        <v>6860</v>
      </c>
      <c r="E20" s="43">
        <v>24152</v>
      </c>
      <c r="F20" s="44">
        <v>30678774495</v>
      </c>
      <c r="G20" s="45" t="str">
        <f>IFERROR(IF(compras_mes123[[#This Row],[CUIT]]="","-",VLOOKUP(compras_mes123[[#This Row],[CUIT]],Lista_CUIT[#All],2,0)),"CUIT NO CARGADO")</f>
        <v>OPER. DE EST. DE SERV. SA</v>
      </c>
      <c r="H20" s="46">
        <v>8455.7099999999991</v>
      </c>
      <c r="I20" s="85">
        <f>IF(compras_mes123[[#This Row],[NETO GRAVADO]]="","",compras_mes123[[#This Row],[NETO GRAVADO]]*0.21)</f>
        <v>1775.6990999999998</v>
      </c>
      <c r="J20" s="85"/>
      <c r="K20" s="85"/>
      <c r="L20" s="85"/>
      <c r="M20" s="85"/>
      <c r="N20" s="85"/>
      <c r="O20" s="85">
        <v>868.8</v>
      </c>
      <c r="P20" s="48">
        <f>SUM(compras_mes123[[#This Row],[NETO GRAVADO]:[Otros / No Grav.]])</f>
        <v>11100.209099999998</v>
      </c>
      <c r="Q20" s="49" t="str">
        <f>IFERROR(IF(compras_mes123[[#This Row],[CUIT]]="","-",VLOOKUP(compras_mes123[[#This Row],[CUIT]],Lista_CUIT[#All],3,0)),"CUIT NO CARGADO")</f>
        <v>Combustibe</v>
      </c>
      <c r="R20" s="49">
        <f>IFERROR(IF(compras_mes123[[#This Row],[CUIT]]="","-",VLOOKUP(compras_mes123[[#This Row],[CUIT]],Lista_CUIT[#All],4,0)),"CUIT NO CARGADO")</f>
        <v>0</v>
      </c>
    </row>
    <row r="21" spans="2:18" ht="14.4" customHeight="1" x14ac:dyDescent="0.3">
      <c r="B21" s="40">
        <v>45232</v>
      </c>
      <c r="C21" s="41">
        <v>1</v>
      </c>
      <c r="D21" s="42">
        <v>2199</v>
      </c>
      <c r="E21" s="43">
        <v>25119</v>
      </c>
      <c r="F21" s="44">
        <v>30548083156</v>
      </c>
      <c r="G21" s="45" t="str">
        <f>IFERROR(IF(compras_mes123[[#This Row],[CUIT]]="","-",VLOOKUP(compras_mes123[[#This Row],[CUIT]],Lista_CUIT[#All],2,0)),"CUIT NO CARGADO")</f>
        <v>COTO CENTRO INTEGRAL DE COMERCIALIZACION SOCIEDAD ANONIMA</v>
      </c>
      <c r="H21" s="46">
        <v>11904.38</v>
      </c>
      <c r="I21" s="85">
        <v>566.24</v>
      </c>
      <c r="J21" s="85"/>
      <c r="K21" s="85">
        <v>966.84</v>
      </c>
      <c r="L21" s="85"/>
      <c r="M21" s="85"/>
      <c r="N21" s="85"/>
      <c r="O21" s="85">
        <v>715.27</v>
      </c>
      <c r="P21" s="48">
        <f>SUM(compras_mes123[[#This Row],[NETO GRAVADO]:[Otros / No Grav.]])</f>
        <v>14152.73</v>
      </c>
      <c r="Q21" s="49" t="str">
        <f>IFERROR(IF(compras_mes123[[#This Row],[CUIT]]="","-",VLOOKUP(compras_mes123[[#This Row],[CUIT]],Lista_CUIT[#All],3,0)),"CUIT NO CARGADO")</f>
        <v>GASTOS COMERCIALES</v>
      </c>
      <c r="R21" s="49">
        <f>IFERROR(IF(compras_mes123[[#This Row],[CUIT]]="","-",VLOOKUP(compras_mes123[[#This Row],[CUIT]],Lista_CUIT[#All],4,0)),"CUIT NO CARGADO")</f>
        <v>0</v>
      </c>
    </row>
    <row r="22" spans="2:18" ht="15" customHeight="1" x14ac:dyDescent="0.3">
      <c r="B22" s="40">
        <v>45232</v>
      </c>
      <c r="C22" s="41">
        <v>1</v>
      </c>
      <c r="D22" s="42">
        <v>4</v>
      </c>
      <c r="E22" s="43">
        <v>22727</v>
      </c>
      <c r="F22" s="44">
        <v>30552433595</v>
      </c>
      <c r="G22" s="45" t="str">
        <f>IFERROR(IF(compras_mes123[[#This Row],[CUIT]]="","-",VLOOKUP(compras_mes123[[#This Row],[CUIT]],Lista_CUIT[#All],2,0)),"CUIT NO CARGADO")</f>
        <v>PIROPLAST SRL</v>
      </c>
      <c r="H22" s="46">
        <v>1050995.25</v>
      </c>
      <c r="I22" s="85">
        <f>IF(compras_mes123[[#This Row],[NETO GRAVADO]]="","",compras_mes123[[#This Row],[NETO GRAVADO]]*0.21)</f>
        <v>220709.0025</v>
      </c>
      <c r="J22" s="85"/>
      <c r="K22" s="85"/>
      <c r="L22" s="85"/>
      <c r="M22" s="85"/>
      <c r="N22" s="85"/>
      <c r="O22" s="85"/>
      <c r="P22" s="48">
        <f>SUM(compras_mes123[[#This Row],[NETO GRAVADO]:[Otros / No Grav.]])</f>
        <v>1271704.2524999999</v>
      </c>
      <c r="Q22" s="49" t="str">
        <f>IFERROR(IF(compras_mes123[[#This Row],[CUIT]]="","-",VLOOKUP(compras_mes123[[#This Row],[CUIT]],Lista_CUIT[#All],3,0)),"CUIT NO CARGADO")</f>
        <v>Insumo</v>
      </c>
      <c r="R22" s="49">
        <f>IFERROR(IF(compras_mes123[[#This Row],[CUIT]]="","-",VLOOKUP(compras_mes123[[#This Row],[CUIT]],Lista_CUIT[#All],4,0)),"CUIT NO CARGADO")</f>
        <v>0</v>
      </c>
    </row>
    <row r="23" spans="2:18" ht="15" customHeight="1" x14ac:dyDescent="0.3">
      <c r="B23" s="40">
        <v>45232</v>
      </c>
      <c r="C23" s="41">
        <v>1</v>
      </c>
      <c r="D23" s="42">
        <v>6</v>
      </c>
      <c r="E23" s="43">
        <v>2867</v>
      </c>
      <c r="F23" s="44">
        <v>30574603788</v>
      </c>
      <c r="G23" s="45" t="str">
        <f>IFERROR(IF(compras_mes123[[#This Row],[CUIT]]="","-",VLOOKUP(compras_mes123[[#This Row],[CUIT]],Lista_CUIT[#All],2,0)),"CUIT NO CARGADO")</f>
        <v>CODAC SRL</v>
      </c>
      <c r="H23" s="46">
        <v>1615735</v>
      </c>
      <c r="I23" s="85">
        <f>IF(compras_mes123[[#This Row],[NETO GRAVADO]]="","",compras_mes123[[#This Row],[NETO GRAVADO]]*0.21)</f>
        <v>339304.35</v>
      </c>
      <c r="J23" s="85"/>
      <c r="K23" s="85"/>
      <c r="L23" s="85"/>
      <c r="M23" s="85"/>
      <c r="N23" s="85"/>
      <c r="O23" s="85"/>
      <c r="P23" s="48">
        <f>SUM(compras_mes123[[#This Row],[NETO GRAVADO]:[Otros / No Grav.]])</f>
        <v>1955039.35</v>
      </c>
      <c r="Q23" s="49" t="str">
        <f>IFERROR(IF(compras_mes123[[#This Row],[CUIT]]="","-",VLOOKUP(compras_mes123[[#This Row],[CUIT]],Lista_CUIT[#All],3,0)),"CUIT NO CARGADO")</f>
        <v>GASTOS COSMETICA</v>
      </c>
      <c r="R23" s="49" t="str">
        <f>IFERROR(IF(compras_mes123[[#This Row],[CUIT]]="","-",VLOOKUP(compras_mes123[[#This Row],[CUIT]],Lista_CUIT[#All],4,0)),"CUIT NO CARGADO")</f>
        <v>BUENOS AIRES</v>
      </c>
    </row>
    <row r="24" spans="2:18" ht="15" customHeight="1" x14ac:dyDescent="0.3">
      <c r="B24" s="40">
        <v>45232</v>
      </c>
      <c r="C24" s="41">
        <v>1</v>
      </c>
      <c r="D24" s="42">
        <v>4</v>
      </c>
      <c r="E24" s="43">
        <v>8336</v>
      </c>
      <c r="F24" s="44">
        <v>20283638783</v>
      </c>
      <c r="G24" s="45" t="str">
        <f>IFERROR(IF(compras_mes123[[#This Row],[CUIT]]="","-",VLOOKUP(compras_mes123[[#This Row],[CUIT]],Lista_CUIT[#All],2,0)),"CUIT NO CARGADO")</f>
        <v>GONZALEZ ALBERTO DANIEL</v>
      </c>
      <c r="H24" s="46">
        <v>31936.43</v>
      </c>
      <c r="I24" s="85">
        <f>IF(compras_mes123[[#This Row],[NETO GRAVADO]]="","",compras_mes123[[#This Row],[NETO GRAVADO]]*0.21)</f>
        <v>6706.6503000000002</v>
      </c>
      <c r="J24" s="85"/>
      <c r="K24" s="85"/>
      <c r="L24" s="85"/>
      <c r="M24" s="85"/>
      <c r="N24" s="85"/>
      <c r="O24" s="85"/>
      <c r="P24" s="48">
        <f>SUM(compras_mes123[[#This Row],[NETO GRAVADO]:[Otros / No Grav.]])</f>
        <v>38643.080300000001</v>
      </c>
      <c r="Q24" s="49">
        <f>IFERROR(IF(compras_mes123[[#This Row],[CUIT]]="","-",VLOOKUP(compras_mes123[[#This Row],[CUIT]],Lista_CUIT[#All],3,0)),"CUIT NO CARGADO")</f>
        <v>0</v>
      </c>
      <c r="R24" s="49">
        <f>IFERROR(IF(compras_mes123[[#This Row],[CUIT]]="","-",VLOOKUP(compras_mes123[[#This Row],[CUIT]],Lista_CUIT[#All],4,0)),"CUIT NO CARGADO")</f>
        <v>0</v>
      </c>
    </row>
    <row r="25" spans="2:18" ht="15" customHeight="1" x14ac:dyDescent="0.3">
      <c r="B25" s="40">
        <v>45232</v>
      </c>
      <c r="C25" s="41">
        <v>1</v>
      </c>
      <c r="D25" s="42">
        <v>2</v>
      </c>
      <c r="E25" s="43">
        <v>3494</v>
      </c>
      <c r="F25" s="44">
        <v>30629863571</v>
      </c>
      <c r="G25" s="45" t="str">
        <f>IFERROR(IF(compras_mes123[[#This Row],[CUIT]]="","-",VLOOKUP(compras_mes123[[#This Row],[CUIT]],Lista_CUIT[#All],2,0)),"CUIT NO CARGADO")</f>
        <v>TECNIMAR S R L</v>
      </c>
      <c r="H25" s="46">
        <v>988729.2</v>
      </c>
      <c r="I25" s="85">
        <f>IF(compras_mes123[[#This Row],[NETO GRAVADO]]="","",compras_mes123[[#This Row],[NETO GRAVADO]]*0.21)</f>
        <v>207633.13199999998</v>
      </c>
      <c r="J25" s="85"/>
      <c r="K25" s="85"/>
      <c r="L25" s="85"/>
      <c r="M25" s="85"/>
      <c r="N25" s="85"/>
      <c r="O25" s="85"/>
      <c r="P25" s="48">
        <f>SUM(compras_mes123[[#This Row],[NETO GRAVADO]:[Otros / No Grav.]])</f>
        <v>1196362.3319999999</v>
      </c>
      <c r="Q25" s="49" t="str">
        <f>IFERROR(IF(compras_mes123[[#This Row],[CUIT]]="","-",VLOOKUP(compras_mes123[[#This Row],[CUIT]],Lista_CUIT[#All],3,0)),"CUIT NO CARGADO")</f>
        <v>LABORATORIO</v>
      </c>
      <c r="R25" s="49">
        <f>IFERROR(IF(compras_mes123[[#This Row],[CUIT]]="","-",VLOOKUP(compras_mes123[[#This Row],[CUIT]],Lista_CUIT[#All],4,0)),"CUIT NO CARGADO")</f>
        <v>0</v>
      </c>
    </row>
    <row r="26" spans="2:18" ht="15" customHeight="1" x14ac:dyDescent="0.3">
      <c r="B26" s="40">
        <v>45232</v>
      </c>
      <c r="C26" s="41">
        <v>1</v>
      </c>
      <c r="D26" s="42">
        <v>1</v>
      </c>
      <c r="E26" s="43">
        <v>967</v>
      </c>
      <c r="F26" s="44">
        <v>27276370575</v>
      </c>
      <c r="G26" s="45" t="str">
        <f>IFERROR(IF(compras_mes123[[#This Row],[CUIT]]="","-",VLOOKUP(compras_mes123[[#This Row],[CUIT]],Lista_CUIT[#All],2,0)),"CUIT NO CARGADO")</f>
        <v>MAMANI PAULA ANALIA</v>
      </c>
      <c r="H26" s="46">
        <v>7588.14</v>
      </c>
      <c r="I26" s="85">
        <f>IF(compras_mes123[[#This Row],[NETO GRAVADO]]="","",compras_mes123[[#This Row],[NETO GRAVADO]]*0.21)</f>
        <v>1593.5093999999999</v>
      </c>
      <c r="J26" s="85"/>
      <c r="K26" s="85"/>
      <c r="L26" s="85"/>
      <c r="M26" s="85"/>
      <c r="N26" s="85"/>
      <c r="O26" s="85"/>
      <c r="P26" s="48">
        <f>SUM(compras_mes123[[#This Row],[NETO GRAVADO]:[Otros / No Grav.]])</f>
        <v>9181.6494000000002</v>
      </c>
      <c r="Q26" s="49">
        <f>IFERROR(IF(compras_mes123[[#This Row],[CUIT]]="","-",VLOOKUP(compras_mes123[[#This Row],[CUIT]],Lista_CUIT[#All],3,0)),"CUIT NO CARGADO")</f>
        <v>0</v>
      </c>
      <c r="R26" s="49">
        <f>IFERROR(IF(compras_mes123[[#This Row],[CUIT]]="","-",VLOOKUP(compras_mes123[[#This Row],[CUIT]],Lista_CUIT[#All],4,0)),"CUIT NO CARGADO")</f>
        <v>0</v>
      </c>
    </row>
    <row r="27" spans="2:18" x14ac:dyDescent="0.3">
      <c r="B27" s="40">
        <v>45233</v>
      </c>
      <c r="C27" s="41">
        <v>1</v>
      </c>
      <c r="D27" s="42">
        <v>5014</v>
      </c>
      <c r="E27" s="43">
        <v>515462</v>
      </c>
      <c r="F27" s="44">
        <v>30574876474</v>
      </c>
      <c r="G27" s="45" t="str">
        <f>IFERROR(IF(compras_mes123[[#This Row],[CUIT]]="","-",VLOOKUP(compras_mes123[[#This Row],[CUIT]],Lista_CUIT[#All],2,0)),"CUIT NO CARGADO")</f>
        <v>AUTOPISTAS URBANAS S A</v>
      </c>
      <c r="H27" s="46">
        <v>26398.920000000002</v>
      </c>
      <c r="I27" s="85">
        <v>5543.66</v>
      </c>
      <c r="J27" s="85"/>
      <c r="K27" s="85"/>
      <c r="L27" s="85"/>
      <c r="M27" s="85">
        <v>791.95</v>
      </c>
      <c r="N27" s="85"/>
      <c r="O27" s="85">
        <v>2639.82</v>
      </c>
      <c r="P27" s="48">
        <f>SUM(compras_mes123[[#This Row],[NETO GRAVADO]:[Otros / No Grav.]])</f>
        <v>35374.350000000006</v>
      </c>
      <c r="Q27" s="49">
        <f>IFERROR(IF(compras_mes123[[#This Row],[CUIT]]="","-",VLOOKUP(compras_mes123[[#This Row],[CUIT]],Lista_CUIT[#All],3,0)),"CUIT NO CARGADO")</f>
        <v>0</v>
      </c>
      <c r="R27" s="49">
        <f>IFERROR(IF(compras_mes123[[#This Row],[CUIT]]="","-",VLOOKUP(compras_mes123[[#This Row],[CUIT]],Lista_CUIT[#All],4,0)),"CUIT NO CARGADO")</f>
        <v>0</v>
      </c>
    </row>
    <row r="28" spans="2:18" x14ac:dyDescent="0.3">
      <c r="B28" s="40">
        <v>45233</v>
      </c>
      <c r="C28" s="41">
        <v>1</v>
      </c>
      <c r="D28" s="42">
        <v>10</v>
      </c>
      <c r="E28" s="43">
        <v>5252</v>
      </c>
      <c r="F28" s="44">
        <v>20217646414</v>
      </c>
      <c r="G28" s="45" t="str">
        <f>IFERROR(IF(compras_mes123[[#This Row],[CUIT]]="","-",VLOOKUP(compras_mes123[[#This Row],[CUIT]],Lista_CUIT[#All],2,0)),"CUIT NO CARGADO")</f>
        <v>FARBER HERMAN</v>
      </c>
      <c r="H28" s="46">
        <v>208845</v>
      </c>
      <c r="I28" s="85">
        <f>IF(compras_mes123[[#This Row],[NETO GRAVADO]]="","",compras_mes123[[#This Row],[NETO GRAVADO]]*0.21)</f>
        <v>43857.45</v>
      </c>
      <c r="J28" s="85"/>
      <c r="K28" s="85"/>
      <c r="L28" s="85"/>
      <c r="M28" s="85"/>
      <c r="N28" s="85"/>
      <c r="O28" s="85"/>
      <c r="P28" s="48">
        <f>SUM(compras_mes123[[#This Row],[NETO GRAVADO]:[Otros / No Grav.]])</f>
        <v>252702.45</v>
      </c>
      <c r="Q28" s="49">
        <f>IFERROR(IF(compras_mes123[[#This Row],[CUIT]]="","-",VLOOKUP(compras_mes123[[#This Row],[CUIT]],Lista_CUIT[#All],3,0)),"CUIT NO CARGADO")</f>
        <v>0</v>
      </c>
      <c r="R28" s="49">
        <f>IFERROR(IF(compras_mes123[[#This Row],[CUIT]]="","-",VLOOKUP(compras_mes123[[#This Row],[CUIT]],Lista_CUIT[#All],4,0)),"CUIT NO CARGADO")</f>
        <v>0</v>
      </c>
    </row>
    <row r="29" spans="2:18" x14ac:dyDescent="0.3">
      <c r="B29" s="230">
        <v>45233</v>
      </c>
      <c r="C29" s="41">
        <v>1</v>
      </c>
      <c r="D29" s="231">
        <v>4</v>
      </c>
      <c r="E29" s="232">
        <v>22738</v>
      </c>
      <c r="F29" s="233">
        <v>30552433595</v>
      </c>
      <c r="G29" s="234" t="str">
        <f>IFERROR(IF(compras_mes123[[#This Row],[CUIT]]="","-",VLOOKUP(compras_mes123[[#This Row],[CUIT]],Lista_CUIT[#All],2,0)),"CUIT NO CARGADO")</f>
        <v>PIROPLAST SRL</v>
      </c>
      <c r="H29" s="235">
        <v>4639281.68</v>
      </c>
      <c r="I29" s="85">
        <f>IF(compras_mes123[[#This Row],[NETO GRAVADO]]="","",compras_mes123[[#This Row],[NETO GRAVADO]]*0.21)</f>
        <v>974249.15279999992</v>
      </c>
      <c r="J29" s="236"/>
      <c r="K29" s="236"/>
      <c r="L29" s="236"/>
      <c r="M29" s="236"/>
      <c r="N29" s="236"/>
      <c r="O29" s="236"/>
      <c r="P29" s="237">
        <f>SUM(compras_mes123[[#This Row],[NETO GRAVADO]:[Otros / No Grav.]])</f>
        <v>5613530.8328</v>
      </c>
      <c r="Q29" s="238" t="str">
        <f>IFERROR(IF(compras_mes123[[#This Row],[CUIT]]="","-",VLOOKUP(compras_mes123[[#This Row],[CUIT]],Lista_CUIT[#All],3,0)),"CUIT NO CARGADO")</f>
        <v>Insumo</v>
      </c>
      <c r="R29" s="238">
        <f>IFERROR(IF(compras_mes123[[#This Row],[CUIT]]="","-",VLOOKUP(compras_mes123[[#This Row],[CUIT]],Lista_CUIT[#All],4,0)),"CUIT NO CARGADO")</f>
        <v>0</v>
      </c>
    </row>
    <row r="30" spans="2:18" x14ac:dyDescent="0.3">
      <c r="B30" s="40">
        <v>45233</v>
      </c>
      <c r="C30" s="41">
        <v>1</v>
      </c>
      <c r="D30" s="42">
        <v>711</v>
      </c>
      <c r="E30" s="43">
        <v>4951215</v>
      </c>
      <c r="F30" s="44">
        <v>30677237119</v>
      </c>
      <c r="G30" s="45" t="str">
        <f>IFERROR(IF(compras_mes123[[#This Row],[CUIT]]="","-",VLOOKUP(compras_mes123[[#This Row],[CUIT]],Lista_CUIT[#All],2,0)),"CUIT NO CARGADO")</f>
        <v>AUTOPISTAS DEL SOL S A</v>
      </c>
      <c r="H30" s="46">
        <v>3264.52</v>
      </c>
      <c r="I30" s="85">
        <v>685.48</v>
      </c>
      <c r="J30" s="85"/>
      <c r="K30" s="85"/>
      <c r="L30" s="85"/>
      <c r="M30" s="85"/>
      <c r="N30" s="85"/>
      <c r="O30" s="85">
        <v>97.94</v>
      </c>
      <c r="P30" s="48">
        <f>SUM(compras_mes123[[#This Row],[NETO GRAVADO]:[Otros / No Grav.]])</f>
        <v>4047.94</v>
      </c>
      <c r="Q30" s="49">
        <f>IFERROR(IF(compras_mes123[[#This Row],[CUIT]]="","-",VLOOKUP(compras_mes123[[#This Row],[CUIT]],Lista_CUIT[#All],3,0)),"CUIT NO CARGADO")</f>
        <v>0</v>
      </c>
      <c r="R30" s="49">
        <f>IFERROR(IF(compras_mes123[[#This Row],[CUIT]]="","-",VLOOKUP(compras_mes123[[#This Row],[CUIT]],Lista_CUIT[#All],4,0)),"CUIT NO CARGADO")</f>
        <v>0</v>
      </c>
    </row>
    <row r="31" spans="2:18" x14ac:dyDescent="0.3">
      <c r="B31" s="40">
        <v>45233</v>
      </c>
      <c r="C31" s="41">
        <v>1</v>
      </c>
      <c r="D31" s="42">
        <v>943</v>
      </c>
      <c r="E31" s="43">
        <v>1653991</v>
      </c>
      <c r="F31" s="44">
        <v>30639453975</v>
      </c>
      <c r="G31" s="45" t="str">
        <f>IFERROR(IF(compras_mes123[[#This Row],[CUIT]]="","-",VLOOKUP(compras_mes123[[#This Row],[CUIT]],Lista_CUIT[#All],2,0)),"CUIT NO CARGADO")</f>
        <v>TELEFONICA DE ARG S.A.</v>
      </c>
      <c r="H31" s="46">
        <v>32699.599999999999</v>
      </c>
      <c r="I31" s="85"/>
      <c r="J31" s="85">
        <v>8828.89</v>
      </c>
      <c r="K31" s="85"/>
      <c r="L31" s="85">
        <v>980.99</v>
      </c>
      <c r="M31" s="85"/>
      <c r="N31" s="85">
        <v>1961.98</v>
      </c>
      <c r="O31" s="85"/>
      <c r="P31" s="48">
        <f>SUM(compras_mes123[[#This Row],[NETO GRAVADO]:[Otros / No Grav.]])</f>
        <v>44471.46</v>
      </c>
      <c r="Q31" s="49" t="str">
        <f>IFERROR(IF(compras_mes123[[#This Row],[CUIT]]="","-",VLOOKUP(compras_mes123[[#This Row],[CUIT]],Lista_CUIT[#All],3,0)),"CUIT NO CARGADO")</f>
        <v>Servicios Gas, Luz, etc.</v>
      </c>
      <c r="R31" s="49">
        <f>IFERROR(IF(compras_mes123[[#This Row],[CUIT]]="","-",VLOOKUP(compras_mes123[[#This Row],[CUIT]],Lista_CUIT[#All],4,0)),"CUIT NO CARGADO")</f>
        <v>0</v>
      </c>
    </row>
    <row r="32" spans="2:18" x14ac:dyDescent="0.3">
      <c r="B32" s="40">
        <v>45233</v>
      </c>
      <c r="C32" s="41">
        <v>1</v>
      </c>
      <c r="D32" s="42">
        <v>629</v>
      </c>
      <c r="E32" s="43">
        <v>4621167</v>
      </c>
      <c r="F32" s="44">
        <v>30663498513</v>
      </c>
      <c r="G32" s="45" t="str">
        <f>IFERROR(IF(compras_mes123[[#This Row],[CUIT]]="","-",VLOOKUP(compras_mes123[[#This Row],[CUIT]],Lista_CUIT[#All],2,0)),"CUIT NO CARGADO")</f>
        <v>GRUPO CONCES. DEL OESTE SA</v>
      </c>
      <c r="H32" s="46">
        <v>3264.5</v>
      </c>
      <c r="I32" s="85">
        <v>685.5</v>
      </c>
      <c r="J32" s="85"/>
      <c r="K32" s="85"/>
      <c r="L32" s="85"/>
      <c r="M32" s="85"/>
      <c r="N32" s="85"/>
      <c r="O32" s="85"/>
      <c r="P32" s="48">
        <f>SUM(compras_mes123[[#This Row],[NETO GRAVADO]:[Otros / No Grav.]])</f>
        <v>3950</v>
      </c>
      <c r="Q32" s="49">
        <f>IFERROR(IF(compras_mes123[[#This Row],[CUIT]]="","-",VLOOKUP(compras_mes123[[#This Row],[CUIT]],Lista_CUIT[#All],3,0)),"CUIT NO CARGADO")</f>
        <v>0</v>
      </c>
      <c r="R32" s="49">
        <f>IFERROR(IF(compras_mes123[[#This Row],[CUIT]]="","-",VLOOKUP(compras_mes123[[#This Row],[CUIT]],Lista_CUIT[#All],4,0)),"CUIT NO CARGADO")</f>
        <v>0</v>
      </c>
    </row>
    <row r="33" spans="2:18" ht="16.95" customHeight="1" x14ac:dyDescent="0.3">
      <c r="B33" s="40">
        <v>45233</v>
      </c>
      <c r="C33" s="41">
        <v>1</v>
      </c>
      <c r="D33" s="42">
        <v>63</v>
      </c>
      <c r="E33" s="43">
        <v>2601435</v>
      </c>
      <c r="F33" s="44">
        <v>30640897267</v>
      </c>
      <c r="G33" s="45" t="str">
        <f>IFERROR(IF(compras_mes123[[#This Row],[CUIT]]="","-",VLOOKUP(compras_mes123[[#This Row],[CUIT]],Lista_CUIT[#All],2,0)),"CUIT NO CARGADO")</f>
        <v>TELECENTRO S.A.</v>
      </c>
      <c r="H33" s="46">
        <v>18390.41</v>
      </c>
      <c r="I33" s="85">
        <f>IF(compras_mes123[[#This Row],[NETO GRAVADO]]="","",compras_mes123[[#This Row],[NETO GRAVADO]]*0.21)</f>
        <v>3861.9860999999996</v>
      </c>
      <c r="J33" s="85"/>
      <c r="K33" s="85"/>
      <c r="L33" s="85">
        <v>551.71</v>
      </c>
      <c r="M33" s="85"/>
      <c r="N33" s="85">
        <v>1103.42</v>
      </c>
      <c r="O33" s="85"/>
      <c r="P33" s="48">
        <f>SUM(compras_mes123[[#This Row],[NETO GRAVADO]:[Otros / No Grav.]])</f>
        <v>23907.526099999995</v>
      </c>
      <c r="Q33" s="49">
        <f>IFERROR(IF(compras_mes123[[#This Row],[CUIT]]="","-",VLOOKUP(compras_mes123[[#This Row],[CUIT]],Lista_CUIT[#All],3,0)),"CUIT NO CARGADO")</f>
        <v>0</v>
      </c>
      <c r="R33" s="49">
        <f>IFERROR(IF(compras_mes123[[#This Row],[CUIT]]="","-",VLOOKUP(compras_mes123[[#This Row],[CUIT]],Lista_CUIT[#All],4,0)),"CUIT NO CARGADO")</f>
        <v>0</v>
      </c>
    </row>
    <row r="34" spans="2:18" x14ac:dyDescent="0.3">
      <c r="B34" s="40">
        <v>45233</v>
      </c>
      <c r="C34" s="41">
        <v>1</v>
      </c>
      <c r="D34" s="42">
        <v>63</v>
      </c>
      <c r="E34" s="43">
        <v>2602148</v>
      </c>
      <c r="F34" s="44">
        <v>30640897267</v>
      </c>
      <c r="G34" s="45" t="str">
        <f>IFERROR(IF(compras_mes123[[#This Row],[CUIT]]="","-",VLOOKUP(compras_mes123[[#This Row],[CUIT]],Lista_CUIT[#All],2,0)),"CUIT NO CARGADO")</f>
        <v>TELECENTRO S.A.</v>
      </c>
      <c r="H34" s="46">
        <v>18390.41</v>
      </c>
      <c r="I34" s="85">
        <f>IF(compras_mes123[[#This Row],[NETO GRAVADO]]="","",compras_mes123[[#This Row],[NETO GRAVADO]]*0.21)</f>
        <v>3861.9860999999996</v>
      </c>
      <c r="J34" s="85"/>
      <c r="K34" s="85"/>
      <c r="L34" s="85">
        <v>551.71</v>
      </c>
      <c r="M34" s="85"/>
      <c r="N34" s="85">
        <v>1103.42</v>
      </c>
      <c r="O34" s="85"/>
      <c r="P34" s="48">
        <f>SUM(compras_mes123[[#This Row],[NETO GRAVADO]:[Otros / No Grav.]])</f>
        <v>23907.526099999995</v>
      </c>
      <c r="Q34" s="49">
        <f>IFERROR(IF(compras_mes123[[#This Row],[CUIT]]="","-",VLOOKUP(compras_mes123[[#This Row],[CUIT]],Lista_CUIT[#All],3,0)),"CUIT NO CARGADO")</f>
        <v>0</v>
      </c>
      <c r="R34" s="49">
        <f>IFERROR(IF(compras_mes123[[#This Row],[CUIT]]="","-",VLOOKUP(compras_mes123[[#This Row],[CUIT]],Lista_CUIT[#All],4,0)),"CUIT NO CARGADO")</f>
        <v>0</v>
      </c>
    </row>
    <row r="35" spans="2:18" x14ac:dyDescent="0.3">
      <c r="B35" s="40">
        <v>45233</v>
      </c>
      <c r="C35" s="41">
        <v>1</v>
      </c>
      <c r="D35" s="42">
        <v>5</v>
      </c>
      <c r="E35" s="43">
        <v>806</v>
      </c>
      <c r="F35" s="44">
        <v>30716654105</v>
      </c>
      <c r="G35" s="45" t="str">
        <f>IFERROR(IF(compras_mes123[[#This Row],[CUIT]]="","-",VLOOKUP(compras_mes123[[#This Row],[CUIT]],Lista_CUIT[#All],2,0)),"CUIT NO CARGADO")</f>
        <v>CARNICA DEL NORTE S.R.L.</v>
      </c>
      <c r="H35" s="46">
        <v>6751.52</v>
      </c>
      <c r="I35" s="85"/>
      <c r="J35" s="85"/>
      <c r="K35" s="85">
        <v>708.91</v>
      </c>
      <c r="L35" s="85"/>
      <c r="M35" s="85"/>
      <c r="N35" s="85"/>
      <c r="O35" s="85"/>
      <c r="P35" s="48">
        <f>SUM(compras_mes123[[#This Row],[NETO GRAVADO]:[Otros / No Grav.]])</f>
        <v>7460.43</v>
      </c>
      <c r="Q35" s="49">
        <f>IFERROR(IF(compras_mes123[[#This Row],[CUIT]]="","-",VLOOKUP(compras_mes123[[#This Row],[CUIT]],Lista_CUIT[#All],3,0)),"CUIT NO CARGADO")</f>
        <v>0</v>
      </c>
      <c r="R35" s="49">
        <f>IFERROR(IF(compras_mes123[[#This Row],[CUIT]]="","-",VLOOKUP(compras_mes123[[#This Row],[CUIT]],Lista_CUIT[#All],4,0)),"CUIT NO CARGADO")</f>
        <v>0</v>
      </c>
    </row>
    <row r="36" spans="2:18" x14ac:dyDescent="0.3">
      <c r="B36" s="40">
        <v>45233</v>
      </c>
      <c r="C36" s="41">
        <v>1</v>
      </c>
      <c r="D36" s="42">
        <v>1</v>
      </c>
      <c r="E36" s="43">
        <v>97</v>
      </c>
      <c r="F36" s="44">
        <v>30716010313</v>
      </c>
      <c r="G36" s="45" t="str">
        <f>IFERROR(IF(compras_mes123[[#This Row],[CUIT]]="","-",VLOOKUP(compras_mes123[[#This Row],[CUIT]],Lista_CUIT[#All],2,0)),"CUIT NO CARGADO")</f>
        <v>H UNO 1469 S.A.</v>
      </c>
      <c r="H36" s="46">
        <v>46000</v>
      </c>
      <c r="I36" s="85">
        <f>IF(compras_mes123[[#This Row],[NETO GRAVADO]]="","",compras_mes123[[#This Row],[NETO GRAVADO]]*0.21)</f>
        <v>9660</v>
      </c>
      <c r="J36" s="85"/>
      <c r="K36" s="85"/>
      <c r="L36" s="85"/>
      <c r="M36" s="85"/>
      <c r="N36" s="85"/>
      <c r="O36" s="85"/>
      <c r="P36" s="48">
        <f>SUM(compras_mes123[[#This Row],[NETO GRAVADO]:[Otros / No Grav.]])</f>
        <v>55660</v>
      </c>
      <c r="Q36" s="49" t="str">
        <f>IFERROR(IF(compras_mes123[[#This Row],[CUIT]]="","-",VLOOKUP(compras_mes123[[#This Row],[CUIT]],Lista_CUIT[#All],3,0)),"CUIT NO CARGADO")</f>
        <v>Alquiler</v>
      </c>
      <c r="R36" s="49">
        <f>IFERROR(IF(compras_mes123[[#This Row],[CUIT]]="","-",VLOOKUP(compras_mes123[[#This Row],[CUIT]],Lista_CUIT[#All],4,0)),"CUIT NO CARGADO")</f>
        <v>0</v>
      </c>
    </row>
    <row r="37" spans="2:18" x14ac:dyDescent="0.3">
      <c r="B37" s="40">
        <v>45233</v>
      </c>
      <c r="C37" s="41">
        <v>1</v>
      </c>
      <c r="D37" s="42">
        <v>11</v>
      </c>
      <c r="E37" s="43">
        <v>25497</v>
      </c>
      <c r="F37" s="44">
        <v>30696131003</v>
      </c>
      <c r="G37" s="45" t="str">
        <f>IFERROR(IF(compras_mes123[[#This Row],[CUIT]]="","-",VLOOKUP(compras_mes123[[#This Row],[CUIT]],Lista_CUIT[#All],2,0)),"CUIT NO CARGADO")</f>
        <v>Petrolfe S.A.</v>
      </c>
      <c r="H37" s="46">
        <v>6070.95</v>
      </c>
      <c r="I37" s="85">
        <f>IF(compras_mes123[[#This Row],[NETO GRAVADO]]="","",compras_mes123[[#This Row],[NETO GRAVADO]]*0.21)</f>
        <v>1274.8995</v>
      </c>
      <c r="J37" s="85"/>
      <c r="K37" s="85"/>
      <c r="L37" s="85"/>
      <c r="M37" s="85"/>
      <c r="N37" s="85"/>
      <c r="O37" s="85">
        <v>749.13</v>
      </c>
      <c r="P37" s="48">
        <f>SUM(compras_mes123[[#This Row],[NETO GRAVADO]:[Otros / No Grav.]])</f>
        <v>8094.9795000000004</v>
      </c>
      <c r="Q37" s="49" t="str">
        <f>IFERROR(IF(compras_mes123[[#This Row],[CUIT]]="","-",VLOOKUP(compras_mes123[[#This Row],[CUIT]],Lista_CUIT[#All],3,0)),"CUIT NO CARGADO")</f>
        <v>Combustible</v>
      </c>
      <c r="R37" s="49">
        <f>IFERROR(IF(compras_mes123[[#This Row],[CUIT]]="","-",VLOOKUP(compras_mes123[[#This Row],[CUIT]],Lista_CUIT[#All],4,0)),"CUIT NO CARGADO")</f>
        <v>0</v>
      </c>
    </row>
    <row r="38" spans="2:18" x14ac:dyDescent="0.3">
      <c r="B38" s="40">
        <v>45234</v>
      </c>
      <c r="C38" s="41">
        <v>1</v>
      </c>
      <c r="D38" s="42">
        <v>4775</v>
      </c>
      <c r="E38" s="43">
        <v>1231</v>
      </c>
      <c r="F38" s="44">
        <v>30685849751</v>
      </c>
      <c r="G38" s="45" t="str">
        <f>IFERROR(IF(compras_mes123[[#This Row],[CUIT]]="","-",VLOOKUP(compras_mes123[[#This Row],[CUIT]],Lista_CUIT[#All],2,0)),"CUIT NO CARGADO")</f>
        <v>DIA ARGENTINA S A</v>
      </c>
      <c r="H38" s="46">
        <v>18798.78</v>
      </c>
      <c r="I38" s="85">
        <v>1761.25</v>
      </c>
      <c r="J38" s="85"/>
      <c r="K38" s="85">
        <v>993.5</v>
      </c>
      <c r="L38" s="85"/>
      <c r="M38" s="85"/>
      <c r="N38" s="85"/>
      <c r="O38" s="85"/>
      <c r="P38" s="48">
        <f>SUM(compras_mes123[[#This Row],[NETO GRAVADO]:[Otros / No Grav.]])</f>
        <v>21553.53</v>
      </c>
      <c r="Q38" s="49">
        <f>IFERROR(IF(compras_mes123[[#This Row],[CUIT]]="","-",VLOOKUP(compras_mes123[[#This Row],[CUIT]],Lista_CUIT[#All],3,0)),"CUIT NO CARGADO")</f>
        <v>0</v>
      </c>
      <c r="R38" s="49">
        <f>IFERROR(IF(compras_mes123[[#This Row],[CUIT]]="","-",VLOOKUP(compras_mes123[[#This Row],[CUIT]],Lista_CUIT[#All],4,0)),"CUIT NO CARGADO")</f>
        <v>0</v>
      </c>
    </row>
    <row r="39" spans="2:18" x14ac:dyDescent="0.3">
      <c r="B39" s="40">
        <v>45234</v>
      </c>
      <c r="C39" s="41">
        <v>1</v>
      </c>
      <c r="D39" s="42">
        <v>9</v>
      </c>
      <c r="E39" s="43">
        <v>345</v>
      </c>
      <c r="F39" s="44">
        <v>20134664518</v>
      </c>
      <c r="G39" s="45" t="str">
        <f>IFERROR(IF(compras_mes123[[#This Row],[CUIT]]="","-",VLOOKUP(compras_mes123[[#This Row],[CUIT]],Lista_CUIT[#All],2,0)),"CUIT NO CARGADO")</f>
        <v>HOKAMA SERGIO ENRIQUE</v>
      </c>
      <c r="H39" s="46">
        <v>19230.810000000001</v>
      </c>
      <c r="I39" s="85">
        <f>IF(compras_mes123[[#This Row],[NETO GRAVADO]]="","",compras_mes123[[#This Row],[NETO GRAVADO]]*0.21)</f>
        <v>4038.4701</v>
      </c>
      <c r="J39" s="85"/>
      <c r="K39" s="85"/>
      <c r="L39" s="85"/>
      <c r="M39" s="85"/>
      <c r="N39" s="85"/>
      <c r="O39" s="85"/>
      <c r="P39" s="48">
        <f>SUM(compras_mes123[[#This Row],[NETO GRAVADO]:[Otros / No Grav.]])</f>
        <v>23269.2801</v>
      </c>
      <c r="Q39" s="49" t="str">
        <f>IFERROR(IF(compras_mes123[[#This Row],[CUIT]]="","-",VLOOKUP(compras_mes123[[#This Row],[CUIT]],Lista_CUIT[#All],3,0)),"CUIT NO CARGADO")</f>
        <v>Gastos Varios</v>
      </c>
      <c r="R39" s="49" t="str">
        <f>IFERROR(IF(compras_mes123[[#This Row],[CUIT]]="","-",VLOOKUP(compras_mes123[[#This Row],[CUIT]],Lista_CUIT[#All],4,0)),"CUIT NO CARGADO")</f>
        <v>BUENOS AIRES</v>
      </c>
    </row>
    <row r="40" spans="2:18" x14ac:dyDescent="0.3">
      <c r="B40" s="40">
        <v>45234</v>
      </c>
      <c r="C40" s="41">
        <v>1</v>
      </c>
      <c r="D40" s="42">
        <v>6</v>
      </c>
      <c r="E40" s="43">
        <v>25</v>
      </c>
      <c r="F40" s="44">
        <v>30717906833</v>
      </c>
      <c r="G40" s="45" t="str">
        <f>IFERROR(IF(compras_mes123[[#This Row],[CUIT]]="","-",VLOOKUP(compras_mes123[[#This Row],[CUIT]],Lista_CUIT[#All],2,0)),"CUIT NO CARGADO")</f>
        <v>WALJUL</v>
      </c>
      <c r="H40" s="46">
        <v>12479.35</v>
      </c>
      <c r="I40" s="85">
        <f>IF(compras_mes123[[#This Row],[NETO GRAVADO]]="","",compras_mes123[[#This Row],[NETO GRAVADO]]*0.21)</f>
        <v>2620.6635000000001</v>
      </c>
      <c r="J40" s="85"/>
      <c r="K40" s="85"/>
      <c r="L40" s="85"/>
      <c r="M40" s="85"/>
      <c r="N40" s="85"/>
      <c r="O40" s="85"/>
      <c r="P40" s="48">
        <f>SUM(compras_mes123[[#This Row],[NETO GRAVADO]:[Otros / No Grav.]])</f>
        <v>15100.013500000001</v>
      </c>
      <c r="Q40" s="49">
        <f>IFERROR(IF(compras_mes123[[#This Row],[CUIT]]="","-",VLOOKUP(compras_mes123[[#This Row],[CUIT]],Lista_CUIT[#All],3,0)),"CUIT NO CARGADO")</f>
        <v>0</v>
      </c>
      <c r="R40" s="49">
        <f>IFERROR(IF(compras_mes123[[#This Row],[CUIT]]="","-",VLOOKUP(compras_mes123[[#This Row],[CUIT]],Lista_CUIT[#All],4,0)),"CUIT NO CARGADO")</f>
        <v>0</v>
      </c>
    </row>
    <row r="41" spans="2:18" x14ac:dyDescent="0.3">
      <c r="B41" s="40">
        <v>45234</v>
      </c>
      <c r="C41" s="41">
        <v>1</v>
      </c>
      <c r="D41" s="42">
        <v>2</v>
      </c>
      <c r="E41" s="43">
        <v>236</v>
      </c>
      <c r="F41" s="44">
        <v>27309896063</v>
      </c>
      <c r="G41" s="45" t="str">
        <f>IFERROR(IF(compras_mes123[[#This Row],[CUIT]]="","-",VLOOKUP(compras_mes123[[#This Row],[CUIT]],Lista_CUIT[#All],2,0)),"CUIT NO CARGADO")</f>
        <v>BATTELLINI MARIA SOLEDAD</v>
      </c>
      <c r="H41" s="46">
        <v>250000</v>
      </c>
      <c r="I41" s="85">
        <f>IF(compras_mes123[[#This Row],[NETO GRAVADO]]="","",compras_mes123[[#This Row],[NETO GRAVADO]]*0.21)</f>
        <v>52500</v>
      </c>
      <c r="J41" s="85"/>
      <c r="K41" s="85"/>
      <c r="L41" s="85"/>
      <c r="M41" s="85"/>
      <c r="N41" s="85"/>
      <c r="O41" s="85"/>
      <c r="P41" s="48">
        <f>SUM(compras_mes123[[#This Row],[NETO GRAVADO]:[Otros / No Grav.]])</f>
        <v>302500</v>
      </c>
      <c r="Q41" s="49">
        <f>IFERROR(IF(compras_mes123[[#This Row],[CUIT]]="","-",VLOOKUP(compras_mes123[[#This Row],[CUIT]],Lista_CUIT[#All],3,0)),"CUIT NO CARGADO")</f>
        <v>0</v>
      </c>
      <c r="R41" s="49">
        <f>IFERROR(IF(compras_mes123[[#This Row],[CUIT]]="","-",VLOOKUP(compras_mes123[[#This Row],[CUIT]],Lista_CUIT[#All],4,0)),"CUIT NO CARGADO")</f>
        <v>0</v>
      </c>
    </row>
    <row r="42" spans="2:18" x14ac:dyDescent="0.3">
      <c r="B42" s="40">
        <v>45234</v>
      </c>
      <c r="C42" s="41">
        <v>1</v>
      </c>
      <c r="D42" s="42">
        <v>12</v>
      </c>
      <c r="E42" s="43">
        <v>36495</v>
      </c>
      <c r="F42" s="44">
        <v>30696131003</v>
      </c>
      <c r="G42" s="45" t="str">
        <f>IFERROR(IF(compras_mes123[[#This Row],[CUIT]]="","-",VLOOKUP(compras_mes123[[#This Row],[CUIT]],Lista_CUIT[#All],2,0)),"CUIT NO CARGADO")</f>
        <v>Petrolfe S.A.</v>
      </c>
      <c r="H42" s="46">
        <v>55768.78</v>
      </c>
      <c r="I42" s="85">
        <f>IF(compras_mes123[[#This Row],[NETO GRAVADO]]="","",compras_mes123[[#This Row],[NETO GRAVADO]]*0.21)</f>
        <v>11711.443799999999</v>
      </c>
      <c r="J42" s="85"/>
      <c r="K42" s="85"/>
      <c r="L42" s="85"/>
      <c r="M42" s="85"/>
      <c r="N42" s="85"/>
      <c r="O42" s="85">
        <v>6423.07</v>
      </c>
      <c r="P42" s="48">
        <f>SUM(compras_mes123[[#This Row],[NETO GRAVADO]:[Otros / No Grav.]])</f>
        <v>73903.293799999985</v>
      </c>
      <c r="Q42" s="49" t="str">
        <f>IFERROR(IF(compras_mes123[[#This Row],[CUIT]]="","-",VLOOKUP(compras_mes123[[#This Row],[CUIT]],Lista_CUIT[#All],3,0)),"CUIT NO CARGADO")</f>
        <v>Combustible</v>
      </c>
      <c r="R42" s="49">
        <f>IFERROR(IF(compras_mes123[[#This Row],[CUIT]]="","-",VLOOKUP(compras_mes123[[#This Row],[CUIT]],Lista_CUIT[#All],4,0)),"CUIT NO CARGADO")</f>
        <v>0</v>
      </c>
    </row>
    <row r="43" spans="2:18" x14ac:dyDescent="0.3">
      <c r="B43" s="40">
        <v>45236</v>
      </c>
      <c r="C43" s="41">
        <v>1</v>
      </c>
      <c r="D43" s="42">
        <v>11</v>
      </c>
      <c r="E43" s="43">
        <v>75854</v>
      </c>
      <c r="F43" s="44">
        <v>30534051049</v>
      </c>
      <c r="G43" s="45" t="str">
        <f>IFERROR(IF(compras_mes123[[#This Row],[CUIT]]="","-",VLOOKUP(compras_mes123[[#This Row],[CUIT]],Lista_CUIT[#All],2,0)),"CUIT NO CARGADO")</f>
        <v>ELECTRO UNIVERSO - PLIN METAL S A</v>
      </c>
      <c r="H43" s="46">
        <v>1880</v>
      </c>
      <c r="I43" s="85">
        <f>IF(compras_mes123[[#This Row],[NETO GRAVADO]]="","",compras_mes123[[#This Row],[NETO GRAVADO]]*0.21)</f>
        <v>394.8</v>
      </c>
      <c r="J43" s="85"/>
      <c r="K43" s="85"/>
      <c r="L43" s="85"/>
      <c r="M43" s="85"/>
      <c r="N43" s="85"/>
      <c r="O43" s="85"/>
      <c r="P43" s="48">
        <f>SUM(compras_mes123[[#This Row],[NETO GRAVADO]:[Otros / No Grav.]])</f>
        <v>2274.8000000000002</v>
      </c>
      <c r="Q43" s="49">
        <f>IFERROR(IF(compras_mes123[[#This Row],[CUIT]]="","-",VLOOKUP(compras_mes123[[#This Row],[CUIT]],Lista_CUIT[#All],3,0)),"CUIT NO CARGADO")</f>
        <v>0</v>
      </c>
      <c r="R43" s="49">
        <f>IFERROR(IF(compras_mes123[[#This Row],[CUIT]]="","-",VLOOKUP(compras_mes123[[#This Row],[CUIT]],Lista_CUIT[#All],4,0)),"CUIT NO CARGADO")</f>
        <v>0</v>
      </c>
    </row>
    <row r="44" spans="2:18" x14ac:dyDescent="0.3">
      <c r="B44" s="230">
        <v>45236</v>
      </c>
      <c r="C44" s="41">
        <v>1</v>
      </c>
      <c r="D44" s="231">
        <v>2</v>
      </c>
      <c r="E44" s="232">
        <v>37180</v>
      </c>
      <c r="F44" s="233">
        <v>33714232199</v>
      </c>
      <c r="G44" s="234" t="str">
        <f>IFERROR(IF(compras_mes123[[#This Row],[CUIT]]="","-",VLOOKUP(compras_mes123[[#This Row],[CUIT]],Lista_CUIT[#All],2,0)),"CUIT NO CARGADO")</f>
        <v>NUAGE SYSTEMS S.A.</v>
      </c>
      <c r="H44" s="235">
        <v>66240</v>
      </c>
      <c r="I44" s="85">
        <f>IF(compras_mes123[[#This Row],[NETO GRAVADO]]="","",compras_mes123[[#This Row],[NETO GRAVADO]]*0.21)</f>
        <v>13910.4</v>
      </c>
      <c r="J44" s="236"/>
      <c r="K44" s="236"/>
      <c r="L44" s="236"/>
      <c r="M44" s="236"/>
      <c r="N44" s="236"/>
      <c r="O44" s="236"/>
      <c r="P44" s="237">
        <f>SUM(compras_mes123[[#This Row],[NETO GRAVADO]:[Otros / No Grav.]])</f>
        <v>80150.399999999994</v>
      </c>
      <c r="Q44" s="238">
        <f>IFERROR(IF(compras_mes123[[#This Row],[CUIT]]="","-",VLOOKUP(compras_mes123[[#This Row],[CUIT]],Lista_CUIT[#All],3,0)),"CUIT NO CARGADO")</f>
        <v>0</v>
      </c>
      <c r="R44" s="238">
        <f>IFERROR(IF(compras_mes123[[#This Row],[CUIT]]="","-",VLOOKUP(compras_mes123[[#This Row],[CUIT]],Lista_CUIT[#All],4,0)),"CUIT NO CARGADO")</f>
        <v>0</v>
      </c>
    </row>
    <row r="45" spans="2:18" x14ac:dyDescent="0.3">
      <c r="B45" s="40">
        <v>45236</v>
      </c>
      <c r="C45" s="41">
        <v>1</v>
      </c>
      <c r="D45" s="42">
        <v>11</v>
      </c>
      <c r="E45" s="43">
        <v>75851</v>
      </c>
      <c r="F45" s="44">
        <v>30534051049</v>
      </c>
      <c r="G45" s="45" t="str">
        <f>IFERROR(IF(compras_mes123[[#This Row],[CUIT]]="","-",VLOOKUP(compras_mes123[[#This Row],[CUIT]],Lista_CUIT[#All],2,0)),"CUIT NO CARGADO")</f>
        <v>ELECTRO UNIVERSO - PLIN METAL S A</v>
      </c>
      <c r="H45" s="46">
        <v>10551.54</v>
      </c>
      <c r="I45" s="85">
        <f>IF(compras_mes123[[#This Row],[NETO GRAVADO]]="","",compras_mes123[[#This Row],[NETO GRAVADO]]*0.21)</f>
        <v>2215.8234000000002</v>
      </c>
      <c r="J45" s="85"/>
      <c r="K45" s="85"/>
      <c r="L45" s="85"/>
      <c r="M45" s="85"/>
      <c r="N45" s="85"/>
      <c r="O45" s="85"/>
      <c r="P45" s="48">
        <f>SUM(compras_mes123[[#This Row],[NETO GRAVADO]:[Otros / No Grav.]])</f>
        <v>12767.363400000002</v>
      </c>
      <c r="Q45" s="49">
        <f>IFERROR(IF(compras_mes123[[#This Row],[CUIT]]="","-",VLOOKUP(compras_mes123[[#This Row],[CUIT]],Lista_CUIT[#All],3,0)),"CUIT NO CARGADO")</f>
        <v>0</v>
      </c>
      <c r="R45" s="49">
        <f>IFERROR(IF(compras_mes123[[#This Row],[CUIT]]="","-",VLOOKUP(compras_mes123[[#This Row],[CUIT]],Lista_CUIT[#All],4,0)),"CUIT NO CARGADO")</f>
        <v>0</v>
      </c>
    </row>
    <row r="46" spans="2:18" x14ac:dyDescent="0.3">
      <c r="B46" s="40">
        <v>45236</v>
      </c>
      <c r="C46" s="41">
        <v>1</v>
      </c>
      <c r="D46" s="42">
        <v>60</v>
      </c>
      <c r="E46" s="43">
        <v>60819</v>
      </c>
      <c r="F46" s="44">
        <v>30517345039</v>
      </c>
      <c r="G46" s="45" t="str">
        <f>IFERROR(IF(compras_mes123[[#This Row],[CUIT]]="","-",VLOOKUP(compras_mes123[[#This Row],[CUIT]],Lista_CUIT[#All],2,0)),"CUIT NO CARGADO")</f>
        <v>QUIMICA OESTE S.A.</v>
      </c>
      <c r="H46" s="46">
        <v>46272.299999999996</v>
      </c>
      <c r="I46" s="85">
        <f>IF(compras_mes123[[#This Row],[NETO GRAVADO]]="","",compras_mes123[[#This Row],[NETO GRAVADO]]*0.21)</f>
        <v>9717.1829999999991</v>
      </c>
      <c r="J46" s="85"/>
      <c r="K46" s="85"/>
      <c r="L46" s="85"/>
      <c r="M46" s="85"/>
      <c r="N46" s="85">
        <v>2777.7999999999997</v>
      </c>
      <c r="O46" s="85"/>
      <c r="P46" s="48">
        <f>SUM(compras_mes123[[#This Row],[NETO GRAVADO]:[Otros / No Grav.]])</f>
        <v>58767.282999999996</v>
      </c>
      <c r="Q46" s="49" t="str">
        <f>IFERROR(IF(compras_mes123[[#This Row],[CUIT]]="","-",VLOOKUP(compras_mes123[[#This Row],[CUIT]],Lista_CUIT[#All],3,0)),"CUIT NO CARGADO")</f>
        <v>Insumo</v>
      </c>
      <c r="R46" s="49">
        <f>IFERROR(IF(compras_mes123[[#This Row],[CUIT]]="","-",VLOOKUP(compras_mes123[[#This Row],[CUIT]],Lista_CUIT[#All],4,0)),"CUIT NO CARGADO")</f>
        <v>0</v>
      </c>
    </row>
    <row r="47" spans="2:18" x14ac:dyDescent="0.3">
      <c r="B47" s="40">
        <v>45236</v>
      </c>
      <c r="C47" s="41">
        <v>1</v>
      </c>
      <c r="D47" s="42">
        <v>2</v>
      </c>
      <c r="E47" s="43">
        <v>3498</v>
      </c>
      <c r="F47" s="44">
        <v>30629863571</v>
      </c>
      <c r="G47" s="45" t="str">
        <f>IFERROR(IF(compras_mes123[[#This Row],[CUIT]]="","-",VLOOKUP(compras_mes123[[#This Row],[CUIT]],Lista_CUIT[#All],2,0)),"CUIT NO CARGADO")</f>
        <v>TECNIMAR S R L</v>
      </c>
      <c r="H47" s="46">
        <v>1060200</v>
      </c>
      <c r="I47" s="85">
        <f>IF(compras_mes123[[#This Row],[NETO GRAVADO]]="","",compras_mes123[[#This Row],[NETO GRAVADO]]*0.21)</f>
        <v>222642</v>
      </c>
      <c r="J47" s="85"/>
      <c r="K47" s="85"/>
      <c r="L47" s="85"/>
      <c r="M47" s="85"/>
      <c r="N47" s="85"/>
      <c r="O47" s="85"/>
      <c r="P47" s="48">
        <f>SUM(compras_mes123[[#This Row],[NETO GRAVADO]:[Otros / No Grav.]])</f>
        <v>1282842</v>
      </c>
      <c r="Q47" s="49" t="str">
        <f>IFERROR(IF(compras_mes123[[#This Row],[CUIT]]="","-",VLOOKUP(compras_mes123[[#This Row],[CUIT]],Lista_CUIT[#All],3,0)),"CUIT NO CARGADO")</f>
        <v>LABORATORIO</v>
      </c>
      <c r="R47" s="49">
        <f>IFERROR(IF(compras_mes123[[#This Row],[CUIT]]="","-",VLOOKUP(compras_mes123[[#This Row],[CUIT]],Lista_CUIT[#All],4,0)),"CUIT NO CARGADO")</f>
        <v>0</v>
      </c>
    </row>
    <row r="48" spans="2:18" x14ac:dyDescent="0.3">
      <c r="B48" s="40">
        <v>45236</v>
      </c>
      <c r="C48" s="41">
        <v>1</v>
      </c>
      <c r="D48" s="42">
        <v>1</v>
      </c>
      <c r="E48" s="43">
        <v>2386</v>
      </c>
      <c r="F48" s="44">
        <v>27181689183</v>
      </c>
      <c r="G48" s="45" t="str">
        <f>IFERROR(IF(compras_mes123[[#This Row],[CUIT]]="","-",VLOOKUP(compras_mes123[[#This Row],[CUIT]],Lista_CUIT[#All],2,0)),"CUIT NO CARGADO")</f>
        <v>REPETTO MARIA FERNANDA</v>
      </c>
      <c r="H48" s="46">
        <v>134400</v>
      </c>
      <c r="I48" s="85">
        <f>IF(compras_mes123[[#This Row],[NETO GRAVADO]]="","",compras_mes123[[#This Row],[NETO GRAVADO]]*0.21)</f>
        <v>28224</v>
      </c>
      <c r="J48" s="85"/>
      <c r="K48" s="85"/>
      <c r="L48" s="85"/>
      <c r="M48" s="85"/>
      <c r="N48" s="85"/>
      <c r="O48" s="85"/>
      <c r="P48" s="48">
        <f>SUM(compras_mes123[[#This Row],[NETO GRAVADO]:[Otros / No Grav.]])</f>
        <v>162624</v>
      </c>
      <c r="Q48" s="49">
        <f>IFERROR(IF(compras_mes123[[#This Row],[CUIT]]="","-",VLOOKUP(compras_mes123[[#This Row],[CUIT]],Lista_CUIT[#All],3,0)),"CUIT NO CARGADO")</f>
        <v>0</v>
      </c>
      <c r="R48" s="49">
        <f>IFERROR(IF(compras_mes123[[#This Row],[CUIT]]="","-",VLOOKUP(compras_mes123[[#This Row],[CUIT]],Lista_CUIT[#All],4,0)),"CUIT NO CARGADO")</f>
        <v>0</v>
      </c>
    </row>
    <row r="49" spans="2:18" x14ac:dyDescent="0.3">
      <c r="B49" s="40">
        <v>45236</v>
      </c>
      <c r="C49" s="41">
        <v>3</v>
      </c>
      <c r="D49" s="42">
        <v>11</v>
      </c>
      <c r="E49" s="43">
        <v>24574</v>
      </c>
      <c r="F49" s="44">
        <v>30534051049</v>
      </c>
      <c r="G49" s="45" t="str">
        <f>IFERROR(IF(compras_mes123[[#This Row],[CUIT]]="","-",VLOOKUP(compras_mes123[[#This Row],[CUIT]],Lista_CUIT[#All],2,0)),"CUIT NO CARGADO")</f>
        <v>ELECTRO UNIVERSO - PLIN METAL S A</v>
      </c>
      <c r="H49" s="46">
        <v>-2311.8200000000002</v>
      </c>
      <c r="I49" s="85">
        <f>IF(compras_mes123[[#This Row],[NETO GRAVADO]]="","",compras_mes123[[#This Row],[NETO GRAVADO]]*0.21)</f>
        <v>-485.48220000000003</v>
      </c>
      <c r="J49" s="85"/>
      <c r="K49" s="85"/>
      <c r="L49" s="85"/>
      <c r="M49" s="85"/>
      <c r="N49" s="85"/>
      <c r="O49" s="85"/>
      <c r="P49" s="48">
        <f>SUM(compras_mes123[[#This Row],[NETO GRAVADO]:[Otros / No Grav.]])</f>
        <v>-2797.3022000000001</v>
      </c>
      <c r="Q49" s="49">
        <f>IFERROR(IF(compras_mes123[[#This Row],[CUIT]]="","-",VLOOKUP(compras_mes123[[#This Row],[CUIT]],Lista_CUIT[#All],3,0)),"CUIT NO CARGADO")</f>
        <v>0</v>
      </c>
      <c r="R49" s="49">
        <f>IFERROR(IF(compras_mes123[[#This Row],[CUIT]]="","-",VLOOKUP(compras_mes123[[#This Row],[CUIT]],Lista_CUIT[#All],4,0)),"CUIT NO CARGADO")</f>
        <v>0</v>
      </c>
    </row>
    <row r="50" spans="2:18" x14ac:dyDescent="0.3">
      <c r="B50" s="40">
        <v>45236</v>
      </c>
      <c r="C50" s="41">
        <v>3</v>
      </c>
      <c r="D50" s="42">
        <v>12</v>
      </c>
      <c r="E50" s="43">
        <v>188</v>
      </c>
      <c r="F50" s="44">
        <v>30696131003</v>
      </c>
      <c r="G50" s="45" t="str">
        <f>IFERROR(IF(compras_mes123[[#This Row],[CUIT]]="","-",VLOOKUP(compras_mes123[[#This Row],[CUIT]],Lista_CUIT[#All],2,0)),"CUIT NO CARGADO")</f>
        <v>Petrolfe S.A.</v>
      </c>
      <c r="H50" s="46">
        <v>-6070.95</v>
      </c>
      <c r="I50" s="85">
        <f>IF(compras_mes123[[#This Row],[NETO GRAVADO]]="","",compras_mes123[[#This Row],[NETO GRAVADO]]*0.21)</f>
        <v>-1274.8995</v>
      </c>
      <c r="J50" s="85"/>
      <c r="K50" s="85"/>
      <c r="L50" s="85"/>
      <c r="M50" s="85"/>
      <c r="N50" s="85"/>
      <c r="O50" s="85">
        <v>-749.13</v>
      </c>
      <c r="P50" s="48">
        <f>SUM(compras_mes123[[#This Row],[NETO GRAVADO]:[Otros / No Grav.]])</f>
        <v>-8094.9795000000004</v>
      </c>
      <c r="Q50" s="49" t="str">
        <f>IFERROR(IF(compras_mes123[[#This Row],[CUIT]]="","-",VLOOKUP(compras_mes123[[#This Row],[CUIT]],Lista_CUIT[#All],3,0)),"CUIT NO CARGADO")</f>
        <v>Combustible</v>
      </c>
      <c r="R50" s="49">
        <f>IFERROR(IF(compras_mes123[[#This Row],[CUIT]]="","-",VLOOKUP(compras_mes123[[#This Row],[CUIT]],Lista_CUIT[#All],4,0)),"CUIT NO CARGADO")</f>
        <v>0</v>
      </c>
    </row>
    <row r="51" spans="2:18" x14ac:dyDescent="0.3">
      <c r="B51" s="40">
        <v>45237</v>
      </c>
      <c r="C51" s="41">
        <v>1</v>
      </c>
      <c r="D51" s="42">
        <v>3</v>
      </c>
      <c r="E51" s="43">
        <v>17014</v>
      </c>
      <c r="F51" s="44">
        <v>33707953549</v>
      </c>
      <c r="G51" s="45" t="str">
        <f>IFERROR(IF(compras_mes123[[#This Row],[CUIT]]="","-",VLOOKUP(compras_mes123[[#This Row],[CUIT]],Lista_CUIT[#All],2,0)),"CUIT NO CARGADO")</f>
        <v>TELESMART</v>
      </c>
      <c r="H51" s="46">
        <v>8816</v>
      </c>
      <c r="I51" s="85">
        <f>IF(compras_mes123[[#This Row],[NETO GRAVADO]]="","",compras_mes123[[#This Row],[NETO GRAVADO]]*0.21)</f>
        <v>1851.36</v>
      </c>
      <c r="J51" s="85"/>
      <c r="K51" s="85"/>
      <c r="L51" s="85"/>
      <c r="M51" s="85"/>
      <c r="N51" s="85"/>
      <c r="O51" s="85"/>
      <c r="P51" s="48">
        <f>SUM(compras_mes123[[#This Row],[NETO GRAVADO]:[Otros / No Grav.]])</f>
        <v>10667.36</v>
      </c>
      <c r="Q51" s="49">
        <f>IFERROR(IF(compras_mes123[[#This Row],[CUIT]]="","-",VLOOKUP(compras_mes123[[#This Row],[CUIT]],Lista_CUIT[#All],3,0)),"CUIT NO CARGADO")</f>
        <v>0</v>
      </c>
      <c r="R51" s="49">
        <f>IFERROR(IF(compras_mes123[[#This Row],[CUIT]]="","-",VLOOKUP(compras_mes123[[#This Row],[CUIT]],Lista_CUIT[#All],4,0)),"CUIT NO CARGADO")</f>
        <v>0</v>
      </c>
    </row>
    <row r="52" spans="2:18" x14ac:dyDescent="0.3">
      <c r="B52" s="40">
        <v>45237</v>
      </c>
      <c r="C52" s="41">
        <v>1</v>
      </c>
      <c r="D52" s="42">
        <v>10</v>
      </c>
      <c r="E52" s="43">
        <v>2479</v>
      </c>
      <c r="F52" s="44">
        <v>20259150249</v>
      </c>
      <c r="G52" s="45" t="str">
        <f>IFERROR(IF(compras_mes123[[#This Row],[CUIT]]="","-",VLOOKUP(compras_mes123[[#This Row],[CUIT]],Lista_CUIT[#All],2,0)),"CUIT NO CARGADO")</f>
        <v>BIANCHI CRISTIAN MAXIMILIANO</v>
      </c>
      <c r="H52" s="46">
        <v>68329.52</v>
      </c>
      <c r="I52" s="85">
        <f>IF(compras_mes123[[#This Row],[NETO GRAVADO]]="","",compras_mes123[[#This Row],[NETO GRAVADO]]*0.21)</f>
        <v>14349.199200000001</v>
      </c>
      <c r="J52" s="85"/>
      <c r="K52" s="85"/>
      <c r="L52" s="85"/>
      <c r="M52" s="85"/>
      <c r="N52" s="85"/>
      <c r="O52" s="85"/>
      <c r="P52" s="48">
        <f>SUM(compras_mes123[[#This Row],[NETO GRAVADO]:[Otros / No Grav.]])</f>
        <v>82678.719200000007</v>
      </c>
      <c r="Q52" s="49">
        <f>IFERROR(IF(compras_mes123[[#This Row],[CUIT]]="","-",VLOOKUP(compras_mes123[[#This Row],[CUIT]],Lista_CUIT[#All],3,0)),"CUIT NO CARGADO")</f>
        <v>0</v>
      </c>
      <c r="R52" s="49">
        <f>IFERROR(IF(compras_mes123[[#This Row],[CUIT]]="","-",VLOOKUP(compras_mes123[[#This Row],[CUIT]],Lista_CUIT[#All],4,0)),"CUIT NO CARGADO")</f>
        <v>0</v>
      </c>
    </row>
    <row r="53" spans="2:18" x14ac:dyDescent="0.3">
      <c r="B53" s="40">
        <v>45237</v>
      </c>
      <c r="C53" s="41">
        <v>1</v>
      </c>
      <c r="D53" s="42">
        <v>6</v>
      </c>
      <c r="E53" s="43">
        <v>2873</v>
      </c>
      <c r="F53" s="44">
        <v>30574603788</v>
      </c>
      <c r="G53" s="45" t="str">
        <f>IFERROR(IF(compras_mes123[[#This Row],[CUIT]]="","-",VLOOKUP(compras_mes123[[#This Row],[CUIT]],Lista_CUIT[#All],2,0)),"CUIT NO CARGADO")</f>
        <v>CODAC SRL</v>
      </c>
      <c r="H53" s="46">
        <v>817245</v>
      </c>
      <c r="I53" s="85">
        <f>IF(compras_mes123[[#This Row],[NETO GRAVADO]]="","",compras_mes123[[#This Row],[NETO GRAVADO]]*0.21)</f>
        <v>171621.44999999998</v>
      </c>
      <c r="J53" s="85"/>
      <c r="K53" s="85"/>
      <c r="L53" s="85"/>
      <c r="M53" s="85"/>
      <c r="N53" s="85"/>
      <c r="O53" s="85"/>
      <c r="P53" s="48">
        <f>SUM(compras_mes123[[#This Row],[NETO GRAVADO]:[Otros / No Grav.]])</f>
        <v>988866.45</v>
      </c>
      <c r="Q53" s="49" t="str">
        <f>IFERROR(IF(compras_mes123[[#This Row],[CUIT]]="","-",VLOOKUP(compras_mes123[[#This Row],[CUIT]],Lista_CUIT[#All],3,0)),"CUIT NO CARGADO")</f>
        <v>GASTOS COSMETICA</v>
      </c>
      <c r="R53" s="49" t="str">
        <f>IFERROR(IF(compras_mes123[[#This Row],[CUIT]]="","-",VLOOKUP(compras_mes123[[#This Row],[CUIT]],Lista_CUIT[#All],4,0)),"CUIT NO CARGADO")</f>
        <v>BUENOS AIRES</v>
      </c>
    </row>
    <row r="54" spans="2:18" x14ac:dyDescent="0.3">
      <c r="B54" s="40">
        <v>45237</v>
      </c>
      <c r="C54" s="41">
        <v>1</v>
      </c>
      <c r="D54" s="42">
        <v>1678</v>
      </c>
      <c r="E54" s="43">
        <v>25057</v>
      </c>
      <c r="F54" s="44">
        <v>30589621499</v>
      </c>
      <c r="G54" s="45" t="str">
        <f>IFERROR(IF(compras_mes123[[#This Row],[CUIT]]="","-",VLOOKUP(compras_mes123[[#This Row],[CUIT]],Lista_CUIT[#All],2,0)),"CUIT NO CARGADO")</f>
        <v>MAKRO SA</v>
      </c>
      <c r="H54" s="46">
        <v>82531.02</v>
      </c>
      <c r="I54" s="85">
        <v>16147.92</v>
      </c>
      <c r="J54" s="85"/>
      <c r="K54" s="85">
        <v>591.79999999999995</v>
      </c>
      <c r="L54" s="85">
        <v>2391.39</v>
      </c>
      <c r="M54" s="85"/>
      <c r="N54" s="85">
        <v>4951.8599999999997</v>
      </c>
      <c r="O54" s="85"/>
      <c r="P54" s="48">
        <f>SUM(compras_mes123[[#This Row],[NETO GRAVADO]:[Otros / No Grav.]])</f>
        <v>106613.99</v>
      </c>
      <c r="Q54" s="49">
        <f>IFERROR(IF(compras_mes123[[#This Row],[CUIT]]="","-",VLOOKUP(compras_mes123[[#This Row],[CUIT]],Lista_CUIT[#All],3,0)),"CUIT NO CARGADO")</f>
        <v>0</v>
      </c>
      <c r="R54" s="49">
        <f>IFERROR(IF(compras_mes123[[#This Row],[CUIT]]="","-",VLOOKUP(compras_mes123[[#This Row],[CUIT]],Lista_CUIT[#All],4,0)),"CUIT NO CARGADO")</f>
        <v>0</v>
      </c>
    </row>
    <row r="55" spans="2:18" x14ac:dyDescent="0.3">
      <c r="B55" s="40">
        <v>45237</v>
      </c>
      <c r="C55" s="41">
        <v>1</v>
      </c>
      <c r="D55" s="42">
        <v>2</v>
      </c>
      <c r="E55" s="43">
        <v>3499</v>
      </c>
      <c r="F55" s="44">
        <v>30629863571</v>
      </c>
      <c r="G55" s="45" t="str">
        <f>IFERROR(IF(compras_mes123[[#This Row],[CUIT]]="","-",VLOOKUP(compras_mes123[[#This Row],[CUIT]],Lista_CUIT[#All],2,0)),"CUIT NO CARGADO")</f>
        <v>TECNIMAR S R L</v>
      </c>
      <c r="H55" s="46">
        <v>2076424.38</v>
      </c>
      <c r="I55" s="85">
        <f>IF(compras_mes123[[#This Row],[NETO GRAVADO]]="","",compras_mes123[[#This Row],[NETO GRAVADO]]*0.21)</f>
        <v>436049.11979999999</v>
      </c>
      <c r="J55" s="85"/>
      <c r="K55" s="85"/>
      <c r="L55" s="85"/>
      <c r="M55" s="85"/>
      <c r="N55" s="85"/>
      <c r="O55" s="85"/>
      <c r="P55" s="48">
        <f>SUM(compras_mes123[[#This Row],[NETO GRAVADO]:[Otros / No Grav.]])</f>
        <v>2512473.4997999999</v>
      </c>
      <c r="Q55" s="49" t="str">
        <f>IFERROR(IF(compras_mes123[[#This Row],[CUIT]]="","-",VLOOKUP(compras_mes123[[#This Row],[CUIT]],Lista_CUIT[#All],3,0)),"CUIT NO CARGADO")</f>
        <v>LABORATORIO</v>
      </c>
      <c r="R55" s="49">
        <f>IFERROR(IF(compras_mes123[[#This Row],[CUIT]]="","-",VLOOKUP(compras_mes123[[#This Row],[CUIT]],Lista_CUIT[#All],4,0)),"CUIT NO CARGADO")</f>
        <v>0</v>
      </c>
    </row>
    <row r="56" spans="2:18" x14ac:dyDescent="0.3">
      <c r="B56" s="40">
        <v>45237</v>
      </c>
      <c r="C56" s="41">
        <v>1</v>
      </c>
      <c r="D56" s="42">
        <v>14</v>
      </c>
      <c r="E56" s="43">
        <v>64</v>
      </c>
      <c r="F56" s="44">
        <v>33708943059</v>
      </c>
      <c r="G56" s="45" t="str">
        <f>IFERROR(IF(compras_mes123[[#This Row],[CUIT]]="","-",VLOOKUP(compras_mes123[[#This Row],[CUIT]],Lista_CUIT[#All],2,0)),"CUIT NO CARGADO")</f>
        <v>CRASSI SRL</v>
      </c>
      <c r="H56" s="46">
        <v>48413.22</v>
      </c>
      <c r="I56" s="85">
        <f>IF(compras_mes123[[#This Row],[NETO GRAVADO]]="","",compras_mes123[[#This Row],[NETO GRAVADO]]*0.21)</f>
        <v>10166.7762</v>
      </c>
      <c r="J56" s="85"/>
      <c r="K56" s="85"/>
      <c r="L56" s="85"/>
      <c r="M56" s="85"/>
      <c r="N56" s="85"/>
      <c r="O56" s="85"/>
      <c r="P56" s="48">
        <f>SUM(compras_mes123[[#This Row],[NETO GRAVADO]:[Otros / No Grav.]])</f>
        <v>58579.996200000001</v>
      </c>
      <c r="Q56" s="49">
        <f>IFERROR(IF(compras_mes123[[#This Row],[CUIT]]="","-",VLOOKUP(compras_mes123[[#This Row],[CUIT]],Lista_CUIT[#All],3,0)),"CUIT NO CARGADO")</f>
        <v>0</v>
      </c>
      <c r="R56" s="49">
        <f>IFERROR(IF(compras_mes123[[#This Row],[CUIT]]="","-",VLOOKUP(compras_mes123[[#This Row],[CUIT]],Lista_CUIT[#All],4,0)),"CUIT NO CARGADO")</f>
        <v>0</v>
      </c>
    </row>
    <row r="57" spans="2:18" x14ac:dyDescent="0.3">
      <c r="B57" s="40">
        <v>45238</v>
      </c>
      <c r="C57" s="41">
        <v>1</v>
      </c>
      <c r="D57" s="42">
        <v>1</v>
      </c>
      <c r="E57" s="43">
        <v>3000</v>
      </c>
      <c r="F57" s="44">
        <v>30718208692</v>
      </c>
      <c r="G57" s="45" t="str">
        <f>IFERROR(IF(compras_mes123[[#This Row],[CUIT]]="","-",VLOOKUP(compras_mes123[[#This Row],[CUIT]],Lista_CUIT[#All],2,0)),"CUIT NO CARGADO")</f>
        <v>UMP SOLUTIONS &amp; SUPPLIES SRL</v>
      </c>
      <c r="H57" s="46">
        <v>68736.56</v>
      </c>
      <c r="I57" s="85">
        <f>IF(compras_mes123[[#This Row],[NETO GRAVADO]]="","",compras_mes123[[#This Row],[NETO GRAVADO]]*0.21)</f>
        <v>14434.677599999999</v>
      </c>
      <c r="J57" s="85"/>
      <c r="K57" s="85"/>
      <c r="L57" s="85"/>
      <c r="M57" s="85"/>
      <c r="N57" s="85"/>
      <c r="O57" s="85"/>
      <c r="P57" s="48">
        <f>SUM(compras_mes123[[#This Row],[NETO GRAVADO]:[Otros / No Grav.]])</f>
        <v>83171.237599999993</v>
      </c>
      <c r="Q57" s="49">
        <f>IFERROR(IF(compras_mes123[[#This Row],[CUIT]]="","-",VLOOKUP(compras_mes123[[#This Row],[CUIT]],Lista_CUIT[#All],3,0)),"CUIT NO CARGADO")</f>
        <v>0</v>
      </c>
      <c r="R57" s="49">
        <f>IFERROR(IF(compras_mes123[[#This Row],[CUIT]]="","-",VLOOKUP(compras_mes123[[#This Row],[CUIT]],Lista_CUIT[#All],4,0)),"CUIT NO CARGADO")</f>
        <v>0</v>
      </c>
    </row>
    <row r="58" spans="2:18" x14ac:dyDescent="0.3">
      <c r="B58" s="40">
        <v>45238</v>
      </c>
      <c r="C58" s="41">
        <v>1</v>
      </c>
      <c r="D58" s="42">
        <v>5</v>
      </c>
      <c r="E58" s="43">
        <v>20612</v>
      </c>
      <c r="F58" s="44">
        <v>30616146447</v>
      </c>
      <c r="G58" s="45" t="str">
        <f>IFERROR(IF(compras_mes123[[#This Row],[CUIT]]="","-",VLOOKUP(compras_mes123[[#This Row],[CUIT]],Lista_CUIT[#All],2,0)),"CUIT NO CARGADO")</f>
        <v>EGEO SOCIEDAD DE RESPONSABILIDAD LIMITADA</v>
      </c>
      <c r="H58" s="46">
        <v>440000</v>
      </c>
      <c r="I58" s="85">
        <f>IF(compras_mes123[[#This Row],[NETO GRAVADO]]="","",compras_mes123[[#This Row],[NETO GRAVADO]]*0.21)</f>
        <v>92400</v>
      </c>
      <c r="J58" s="85"/>
      <c r="K58" s="85"/>
      <c r="L58" s="85"/>
      <c r="M58" s="85"/>
      <c r="N58" s="85"/>
      <c r="O58" s="85"/>
      <c r="P58" s="48">
        <f>SUM(compras_mes123[[#This Row],[NETO GRAVADO]:[Otros / No Grav.]])</f>
        <v>532400</v>
      </c>
      <c r="Q58" s="49">
        <f>IFERROR(IF(compras_mes123[[#This Row],[CUIT]]="","-",VLOOKUP(compras_mes123[[#This Row],[CUIT]],Lista_CUIT[#All],3,0)),"CUIT NO CARGADO")</f>
        <v>0</v>
      </c>
      <c r="R58" s="49">
        <f>IFERROR(IF(compras_mes123[[#This Row],[CUIT]]="","-",VLOOKUP(compras_mes123[[#This Row],[CUIT]],Lista_CUIT[#All],4,0)),"CUIT NO CARGADO")</f>
        <v>0</v>
      </c>
    </row>
    <row r="59" spans="2:18" x14ac:dyDescent="0.3">
      <c r="B59" s="40">
        <v>45238</v>
      </c>
      <c r="C59" s="41">
        <v>1</v>
      </c>
      <c r="D59" s="42">
        <v>4</v>
      </c>
      <c r="E59" s="43">
        <v>9378</v>
      </c>
      <c r="F59" s="44">
        <v>30694547903</v>
      </c>
      <c r="G59" s="45" t="str">
        <f>IFERROR(IF(compras_mes123[[#This Row],[CUIT]]="","-",VLOOKUP(compras_mes123[[#This Row],[CUIT]],Lista_CUIT[#All],2,0)),"CUIT NO CARGADO")</f>
        <v>MULTICAJAS S A</v>
      </c>
      <c r="H59" s="46">
        <v>635000</v>
      </c>
      <c r="I59" s="85">
        <f>IF(compras_mes123[[#This Row],[NETO GRAVADO]]="","",compras_mes123[[#This Row],[NETO GRAVADO]]*0.21)</f>
        <v>133350</v>
      </c>
      <c r="J59" s="85"/>
      <c r="K59" s="85"/>
      <c r="L59" s="85"/>
      <c r="M59" s="85"/>
      <c r="N59" s="85"/>
      <c r="O59" s="85"/>
      <c r="P59" s="48">
        <f>SUM(compras_mes123[[#This Row],[NETO GRAVADO]:[Otros / No Grav.]])</f>
        <v>768350</v>
      </c>
      <c r="Q59" s="49">
        <f>IFERROR(IF(compras_mes123[[#This Row],[CUIT]]="","-",VLOOKUP(compras_mes123[[#This Row],[CUIT]],Lista_CUIT[#All],3,0)),"CUIT NO CARGADO")</f>
        <v>0</v>
      </c>
      <c r="R59" s="49">
        <f>IFERROR(IF(compras_mes123[[#This Row],[CUIT]]="","-",VLOOKUP(compras_mes123[[#This Row],[CUIT]],Lista_CUIT[#All],4,0)),"CUIT NO CARGADO")</f>
        <v>0</v>
      </c>
    </row>
    <row r="60" spans="2:18" x14ac:dyDescent="0.3">
      <c r="B60" s="40">
        <v>45238</v>
      </c>
      <c r="C60" s="41">
        <v>1</v>
      </c>
      <c r="D60" s="42">
        <v>6850</v>
      </c>
      <c r="E60" s="43">
        <v>18130</v>
      </c>
      <c r="F60" s="44">
        <v>30678774495</v>
      </c>
      <c r="G60" s="45" t="str">
        <f>IFERROR(IF(compras_mes123[[#This Row],[CUIT]]="","-",VLOOKUP(compras_mes123[[#This Row],[CUIT]],Lista_CUIT[#All],2,0)),"CUIT NO CARGADO")</f>
        <v>OPER. DE EST. DE SERV. SA</v>
      </c>
      <c r="H60" s="46">
        <v>8207.6200000000008</v>
      </c>
      <c r="I60" s="85">
        <f>IF(compras_mes123[[#This Row],[NETO GRAVADO]]="","",compras_mes123[[#This Row],[NETO GRAVADO]]*0.21)</f>
        <v>1723.6002000000001</v>
      </c>
      <c r="J60" s="85"/>
      <c r="K60" s="85"/>
      <c r="L60" s="85"/>
      <c r="M60" s="85"/>
      <c r="N60" s="85"/>
      <c r="O60" s="85">
        <v>869.79</v>
      </c>
      <c r="P60" s="48">
        <f>SUM(compras_mes123[[#This Row],[NETO GRAVADO]:[Otros / No Grav.]])</f>
        <v>10801.010200000001</v>
      </c>
      <c r="Q60" s="49" t="str">
        <f>IFERROR(IF(compras_mes123[[#This Row],[CUIT]]="","-",VLOOKUP(compras_mes123[[#This Row],[CUIT]],Lista_CUIT[#All],3,0)),"CUIT NO CARGADO")</f>
        <v>Combustibe</v>
      </c>
      <c r="R60" s="49">
        <f>IFERROR(IF(compras_mes123[[#This Row],[CUIT]]="","-",VLOOKUP(compras_mes123[[#This Row],[CUIT]],Lista_CUIT[#All],4,0)),"CUIT NO CARGADO")</f>
        <v>0</v>
      </c>
    </row>
    <row r="61" spans="2:18" x14ac:dyDescent="0.3">
      <c r="B61" s="40">
        <v>45238</v>
      </c>
      <c r="C61" s="41">
        <v>1</v>
      </c>
      <c r="D61" s="42">
        <v>6</v>
      </c>
      <c r="E61" s="43">
        <v>24185</v>
      </c>
      <c r="F61" s="44">
        <v>33640878679</v>
      </c>
      <c r="G61" s="45" t="str">
        <f>IFERROR(IF(compras_mes123[[#This Row],[CUIT]]="","-",VLOOKUP(compras_mes123[[#This Row],[CUIT]],Lista_CUIT[#All],2,0)),"CUIT NO CARGADO")</f>
        <v>DHACAM S R L</v>
      </c>
      <c r="H61" s="46">
        <v>325620</v>
      </c>
      <c r="I61" s="85">
        <f>IF(compras_mes123[[#This Row],[NETO GRAVADO]]="","",compras_mes123[[#This Row],[NETO GRAVADO]]*0.21)</f>
        <v>68380.2</v>
      </c>
      <c r="J61" s="85"/>
      <c r="K61" s="85"/>
      <c r="L61" s="85"/>
      <c r="M61" s="85"/>
      <c r="N61" s="85"/>
      <c r="O61" s="85"/>
      <c r="P61" s="48">
        <f>SUM(compras_mes123[[#This Row],[NETO GRAVADO]:[Otros / No Grav.]])</f>
        <v>394000.2</v>
      </c>
      <c r="Q61" s="49">
        <f>IFERROR(IF(compras_mes123[[#This Row],[CUIT]]="","-",VLOOKUP(compras_mes123[[#This Row],[CUIT]],Lista_CUIT[#All],3,0)),"CUIT NO CARGADO")</f>
        <v>0</v>
      </c>
      <c r="R61" s="49">
        <f>IFERROR(IF(compras_mes123[[#This Row],[CUIT]]="","-",VLOOKUP(compras_mes123[[#This Row],[CUIT]],Lista_CUIT[#All],4,0)),"CUIT NO CARGADO")</f>
        <v>0</v>
      </c>
    </row>
    <row r="62" spans="2:18" x14ac:dyDescent="0.3">
      <c r="B62" s="40">
        <v>45238</v>
      </c>
      <c r="C62" s="41">
        <v>1</v>
      </c>
      <c r="D62" s="42">
        <v>6850</v>
      </c>
      <c r="E62" s="43">
        <v>18144</v>
      </c>
      <c r="F62" s="44">
        <v>30678774495</v>
      </c>
      <c r="G62" s="45" t="str">
        <f>IFERROR(IF(compras_mes123[[#This Row],[CUIT]]="","-",VLOOKUP(compras_mes123[[#This Row],[CUIT]],Lista_CUIT[#All],2,0)),"CUIT NO CARGADO")</f>
        <v>OPER. DE EST. DE SERV. SA</v>
      </c>
      <c r="H62" s="46">
        <v>2279.6799999999998</v>
      </c>
      <c r="I62" s="85">
        <f>IF(compras_mes123[[#This Row],[NETO GRAVADO]]="","",compras_mes123[[#This Row],[NETO GRAVADO]]*0.21)</f>
        <v>478.73279999999994</v>
      </c>
      <c r="J62" s="85"/>
      <c r="K62" s="85"/>
      <c r="L62" s="85"/>
      <c r="M62" s="85"/>
      <c r="N62" s="85"/>
      <c r="O62" s="85">
        <v>241.58</v>
      </c>
      <c r="P62" s="48">
        <f>SUM(compras_mes123[[#This Row],[NETO GRAVADO]:[Otros / No Grav.]])</f>
        <v>2999.9927999999995</v>
      </c>
      <c r="Q62" s="49" t="str">
        <f>IFERROR(IF(compras_mes123[[#This Row],[CUIT]]="","-",VLOOKUP(compras_mes123[[#This Row],[CUIT]],Lista_CUIT[#All],3,0)),"CUIT NO CARGADO")</f>
        <v>Combustibe</v>
      </c>
      <c r="R62" s="49">
        <f>IFERROR(IF(compras_mes123[[#This Row],[CUIT]]="","-",VLOOKUP(compras_mes123[[#This Row],[CUIT]],Lista_CUIT[#All],4,0)),"CUIT NO CARGADO")</f>
        <v>0</v>
      </c>
    </row>
    <row r="63" spans="2:18" x14ac:dyDescent="0.3">
      <c r="B63" s="40">
        <v>45238</v>
      </c>
      <c r="C63" s="41">
        <v>1</v>
      </c>
      <c r="D63" s="42">
        <v>2188</v>
      </c>
      <c r="E63" s="43">
        <v>103716</v>
      </c>
      <c r="F63" s="44">
        <v>30548083156</v>
      </c>
      <c r="G63" s="45" t="str">
        <f>IFERROR(IF(compras_mes123[[#This Row],[CUIT]]="","-",VLOOKUP(compras_mes123[[#This Row],[CUIT]],Lista_CUIT[#All],2,0)),"CUIT NO CARGADO")</f>
        <v>COTO CENTRO INTEGRAL DE COMERCIALIZACION SOCIEDAD ANONIMA</v>
      </c>
      <c r="H63" s="46">
        <v>15896.79</v>
      </c>
      <c r="I63" s="85">
        <v>2892.09</v>
      </c>
      <c r="J63" s="85"/>
      <c r="K63" s="85">
        <v>223.11</v>
      </c>
      <c r="L63" s="85">
        <v>430.97</v>
      </c>
      <c r="M63" s="85"/>
      <c r="N63" s="85">
        <v>963.63</v>
      </c>
      <c r="O63" s="85">
        <v>1132.02</v>
      </c>
      <c r="P63" s="48">
        <f>SUM(compras_mes123[[#This Row],[NETO GRAVADO]:[Otros / No Grav.]])</f>
        <v>21538.610000000004</v>
      </c>
      <c r="Q63" s="49" t="str">
        <f>IFERROR(IF(compras_mes123[[#This Row],[CUIT]]="","-",VLOOKUP(compras_mes123[[#This Row],[CUIT]],Lista_CUIT[#All],3,0)),"CUIT NO CARGADO")</f>
        <v>GASTOS COMERCIALES</v>
      </c>
      <c r="R63" s="49">
        <f>IFERROR(IF(compras_mes123[[#This Row],[CUIT]]="","-",VLOOKUP(compras_mes123[[#This Row],[CUIT]],Lista_CUIT[#All],4,0)),"CUIT NO CARGADO")</f>
        <v>0</v>
      </c>
    </row>
    <row r="64" spans="2:18" x14ac:dyDescent="0.3">
      <c r="B64" s="40">
        <v>45239</v>
      </c>
      <c r="C64" s="41">
        <v>1</v>
      </c>
      <c r="D64" s="42">
        <v>10</v>
      </c>
      <c r="E64" s="43">
        <v>11429</v>
      </c>
      <c r="F64" s="44">
        <v>30708157755</v>
      </c>
      <c r="G64" s="45" t="str">
        <f>IFERROR(IF(compras_mes123[[#This Row],[CUIT]]="","-",VLOOKUP(compras_mes123[[#This Row],[CUIT]],Lista_CUIT[#All],2,0)),"CUIT NO CARGADO")</f>
        <v>EXPOENVASE SRL</v>
      </c>
      <c r="H64" s="46">
        <v>233100</v>
      </c>
      <c r="I64" s="85">
        <f>IF(compras_mes123[[#This Row],[NETO GRAVADO]]="","",compras_mes123[[#This Row],[NETO GRAVADO]]*0.21)</f>
        <v>48951</v>
      </c>
      <c r="J64" s="85"/>
      <c r="K64" s="85"/>
      <c r="L64" s="85"/>
      <c r="M64" s="85"/>
      <c r="N64" s="85"/>
      <c r="O64" s="85"/>
      <c r="P64" s="48">
        <f>SUM(compras_mes123[[#This Row],[NETO GRAVADO]:[Otros / No Grav.]])</f>
        <v>282051</v>
      </c>
      <c r="Q64" s="49">
        <f>IFERROR(IF(compras_mes123[[#This Row],[CUIT]]="","-",VLOOKUP(compras_mes123[[#This Row],[CUIT]],Lista_CUIT[#All],3,0)),"CUIT NO CARGADO")</f>
        <v>0</v>
      </c>
      <c r="R64" s="49">
        <f>IFERROR(IF(compras_mes123[[#This Row],[CUIT]]="","-",VLOOKUP(compras_mes123[[#This Row],[CUIT]],Lista_CUIT[#All],4,0)),"CUIT NO CARGADO")</f>
        <v>0</v>
      </c>
    </row>
    <row r="65" spans="2:18" x14ac:dyDescent="0.3">
      <c r="B65" s="40">
        <v>45239</v>
      </c>
      <c r="C65" s="41">
        <v>1</v>
      </c>
      <c r="D65" s="42">
        <v>948</v>
      </c>
      <c r="E65" s="43">
        <v>1082470</v>
      </c>
      <c r="F65" s="44">
        <v>30639453975</v>
      </c>
      <c r="G65" s="45" t="str">
        <f>IFERROR(IF(compras_mes123[[#This Row],[CUIT]]="","-",VLOOKUP(compras_mes123[[#This Row],[CUIT]],Lista_CUIT[#All],2,0)),"CUIT NO CARGADO")</f>
        <v>TELEFONICA DE ARG S.A.</v>
      </c>
      <c r="H65" s="46">
        <v>9650.7199999999993</v>
      </c>
      <c r="I65" s="85"/>
      <c r="J65" s="85">
        <v>2605.69</v>
      </c>
      <c r="K65" s="85"/>
      <c r="L65" s="85">
        <v>289.52</v>
      </c>
      <c r="M65" s="85"/>
      <c r="N65" s="85">
        <v>579.04</v>
      </c>
      <c r="O65" s="85"/>
      <c r="P65" s="48">
        <f>SUM(compras_mes123[[#This Row],[NETO GRAVADO]:[Otros / No Grav.]])</f>
        <v>13124.970000000001</v>
      </c>
      <c r="Q65" s="49" t="str">
        <f>IFERROR(IF(compras_mes123[[#This Row],[CUIT]]="","-",VLOOKUP(compras_mes123[[#This Row],[CUIT]],Lista_CUIT[#All],3,0)),"CUIT NO CARGADO")</f>
        <v>Servicios Gas, Luz, etc.</v>
      </c>
      <c r="R65" s="49">
        <f>IFERROR(IF(compras_mes123[[#This Row],[CUIT]]="","-",VLOOKUP(compras_mes123[[#This Row],[CUIT]],Lista_CUIT[#All],4,0)),"CUIT NO CARGADO")</f>
        <v>0</v>
      </c>
    </row>
    <row r="66" spans="2:18" x14ac:dyDescent="0.3">
      <c r="B66" s="40">
        <v>45239</v>
      </c>
      <c r="C66" s="41">
        <v>1</v>
      </c>
      <c r="D66" s="42">
        <v>2</v>
      </c>
      <c r="E66" s="43">
        <v>3502</v>
      </c>
      <c r="F66" s="44">
        <v>30629863571</v>
      </c>
      <c r="G66" s="45" t="str">
        <f>IFERROR(IF(compras_mes123[[#This Row],[CUIT]]="","-",VLOOKUP(compras_mes123[[#This Row],[CUIT]],Lista_CUIT[#All],2,0)),"CUIT NO CARGADO")</f>
        <v>TECNIMAR S R L</v>
      </c>
      <c r="H66" s="46">
        <v>1122268</v>
      </c>
      <c r="I66" s="85">
        <f>IF(compras_mes123[[#This Row],[NETO GRAVADO]]="","",compras_mes123[[#This Row],[NETO GRAVADO]]*0.21)</f>
        <v>235676.28</v>
      </c>
      <c r="J66" s="85"/>
      <c r="K66" s="85"/>
      <c r="L66" s="85"/>
      <c r="M66" s="85"/>
      <c r="N66" s="85"/>
      <c r="O66" s="85"/>
      <c r="P66" s="48">
        <f>SUM(compras_mes123[[#This Row],[NETO GRAVADO]:[Otros / No Grav.]])</f>
        <v>1357944.28</v>
      </c>
      <c r="Q66" s="49" t="str">
        <f>IFERROR(IF(compras_mes123[[#This Row],[CUIT]]="","-",VLOOKUP(compras_mes123[[#This Row],[CUIT]],Lista_CUIT[#All],3,0)),"CUIT NO CARGADO")</f>
        <v>LABORATORIO</v>
      </c>
      <c r="R66" s="49">
        <f>IFERROR(IF(compras_mes123[[#This Row],[CUIT]]="","-",VLOOKUP(compras_mes123[[#This Row],[CUIT]],Lista_CUIT[#All],4,0)),"CUIT NO CARGADO")</f>
        <v>0</v>
      </c>
    </row>
    <row r="67" spans="2:18" x14ac:dyDescent="0.3">
      <c r="B67" s="40">
        <v>45240</v>
      </c>
      <c r="C67" s="41">
        <v>1</v>
      </c>
      <c r="D67" s="42">
        <v>6</v>
      </c>
      <c r="E67" s="43">
        <v>15042492</v>
      </c>
      <c r="F67" s="44">
        <v>30620177497</v>
      </c>
      <c r="G67" s="45" t="str">
        <f>IFERROR(IF(compras_mes123[[#This Row],[CUIT]]="","-",VLOOKUP(compras_mes123[[#This Row],[CUIT]],Lista_CUIT[#All],2,0)),"CUIT NO CARGADO")</f>
        <v>POSNET SRL</v>
      </c>
      <c r="H67" s="46">
        <v>26296.71</v>
      </c>
      <c r="I67" s="85">
        <f>IF(compras_mes123[[#This Row],[NETO GRAVADO]]="","",compras_mes123[[#This Row],[NETO GRAVADO]]*0.21)</f>
        <v>5522.3090999999995</v>
      </c>
      <c r="J67" s="85"/>
      <c r="K67" s="85"/>
      <c r="L67" s="85"/>
      <c r="M67" s="85"/>
      <c r="N67" s="85">
        <v>2366.6999999999998</v>
      </c>
      <c r="O67" s="85"/>
      <c r="P67" s="48">
        <f>SUM(compras_mes123[[#This Row],[NETO GRAVADO]:[Otros / No Grav.]])</f>
        <v>34185.719099999995</v>
      </c>
      <c r="Q67" s="49" t="str">
        <f>IFERROR(IF(compras_mes123[[#This Row],[CUIT]]="","-",VLOOKUP(compras_mes123[[#This Row],[CUIT]],Lista_CUIT[#All],3,0)),"CUIT NO CARGADO")</f>
        <v>Servicios Gas, Luz, etc.</v>
      </c>
      <c r="R67" s="49">
        <f>IFERROR(IF(compras_mes123[[#This Row],[CUIT]]="","-",VLOOKUP(compras_mes123[[#This Row],[CUIT]],Lista_CUIT[#All],4,0)),"CUIT NO CARGADO")</f>
        <v>0</v>
      </c>
    </row>
    <row r="68" spans="2:18" x14ac:dyDescent="0.3">
      <c r="B68" s="40">
        <v>45240</v>
      </c>
      <c r="C68" s="41">
        <v>1</v>
      </c>
      <c r="D68" s="42">
        <v>6</v>
      </c>
      <c r="E68" s="43">
        <v>15033044</v>
      </c>
      <c r="F68" s="44">
        <v>30620177497</v>
      </c>
      <c r="G68" s="45" t="str">
        <f>IFERROR(IF(compras_mes123[[#This Row],[CUIT]]="","-",VLOOKUP(compras_mes123[[#This Row],[CUIT]],Lista_CUIT[#All],2,0)),"CUIT NO CARGADO")</f>
        <v>POSNET SRL</v>
      </c>
      <c r="H68" s="46">
        <v>8765.57</v>
      </c>
      <c r="I68" s="85">
        <f>IF(compras_mes123[[#This Row],[NETO GRAVADO]]="","",compras_mes123[[#This Row],[NETO GRAVADO]]*0.21)</f>
        <v>1840.7696999999998</v>
      </c>
      <c r="J68" s="85"/>
      <c r="K68" s="85"/>
      <c r="L68" s="85"/>
      <c r="M68" s="85"/>
      <c r="N68" s="85">
        <v>788.9</v>
      </c>
      <c r="O68" s="85"/>
      <c r="P68" s="48">
        <f>SUM(compras_mes123[[#This Row],[NETO GRAVADO]:[Otros / No Grav.]])</f>
        <v>11395.2397</v>
      </c>
      <c r="Q68" s="49" t="str">
        <f>IFERROR(IF(compras_mes123[[#This Row],[CUIT]]="","-",VLOOKUP(compras_mes123[[#This Row],[CUIT]],Lista_CUIT[#All],3,0)),"CUIT NO CARGADO")</f>
        <v>Servicios Gas, Luz, etc.</v>
      </c>
      <c r="R68" s="49">
        <f>IFERROR(IF(compras_mes123[[#This Row],[CUIT]]="","-",VLOOKUP(compras_mes123[[#This Row],[CUIT]],Lista_CUIT[#All],4,0)),"CUIT NO CARGADO")</f>
        <v>0</v>
      </c>
    </row>
    <row r="69" spans="2:18" x14ac:dyDescent="0.3">
      <c r="B69" s="40">
        <v>45240</v>
      </c>
      <c r="C69" s="41">
        <v>1</v>
      </c>
      <c r="D69" s="42">
        <v>6</v>
      </c>
      <c r="E69" s="43">
        <v>15033064</v>
      </c>
      <c r="F69" s="44">
        <v>30620177497</v>
      </c>
      <c r="G69" s="45" t="str">
        <f>IFERROR(IF(compras_mes123[[#This Row],[CUIT]]="","-",VLOOKUP(compras_mes123[[#This Row],[CUIT]],Lista_CUIT[#All],2,0)),"CUIT NO CARGADO")</f>
        <v>POSNET SRL</v>
      </c>
      <c r="H69" s="46">
        <v>8765.57</v>
      </c>
      <c r="I69" s="85">
        <f>IF(compras_mes123[[#This Row],[NETO GRAVADO]]="","",compras_mes123[[#This Row],[NETO GRAVADO]]*0.21)</f>
        <v>1840.7696999999998</v>
      </c>
      <c r="J69" s="85"/>
      <c r="K69" s="85"/>
      <c r="L69" s="85"/>
      <c r="M69" s="85"/>
      <c r="N69" s="85">
        <v>788.9</v>
      </c>
      <c r="O69" s="85"/>
      <c r="P69" s="48">
        <f>SUM(compras_mes123[[#This Row],[NETO GRAVADO]:[Otros / No Grav.]])</f>
        <v>11395.2397</v>
      </c>
      <c r="Q69" s="49" t="str">
        <f>IFERROR(IF(compras_mes123[[#This Row],[CUIT]]="","-",VLOOKUP(compras_mes123[[#This Row],[CUIT]],Lista_CUIT[#All],3,0)),"CUIT NO CARGADO")</f>
        <v>Servicios Gas, Luz, etc.</v>
      </c>
      <c r="R69" s="49">
        <f>IFERROR(IF(compras_mes123[[#This Row],[CUIT]]="","-",VLOOKUP(compras_mes123[[#This Row],[CUIT]],Lista_CUIT[#All],4,0)),"CUIT NO CARGADO")</f>
        <v>0</v>
      </c>
    </row>
    <row r="70" spans="2:18" x14ac:dyDescent="0.3">
      <c r="B70" s="40">
        <v>45240</v>
      </c>
      <c r="C70" s="41">
        <v>1</v>
      </c>
      <c r="D70" s="42">
        <v>6</v>
      </c>
      <c r="E70" s="43">
        <v>15025626</v>
      </c>
      <c r="F70" s="44">
        <v>30620177497</v>
      </c>
      <c r="G70" s="45" t="str">
        <f>IFERROR(IF(compras_mes123[[#This Row],[CUIT]]="","-",VLOOKUP(compras_mes123[[#This Row],[CUIT]],Lista_CUIT[#All],2,0)),"CUIT NO CARGADO")</f>
        <v>POSNET SRL</v>
      </c>
      <c r="H70" s="46">
        <v>8765.57</v>
      </c>
      <c r="I70" s="85">
        <f>IF(compras_mes123[[#This Row],[NETO GRAVADO]]="","",compras_mes123[[#This Row],[NETO GRAVADO]]*0.21)</f>
        <v>1840.7696999999998</v>
      </c>
      <c r="J70" s="85"/>
      <c r="K70" s="85"/>
      <c r="L70" s="85"/>
      <c r="M70" s="85"/>
      <c r="N70" s="85">
        <v>788.9</v>
      </c>
      <c r="O70" s="85"/>
      <c r="P70" s="48">
        <f>SUM(compras_mes123[[#This Row],[NETO GRAVADO]:[Otros / No Grav.]])</f>
        <v>11395.2397</v>
      </c>
      <c r="Q70" s="49" t="str">
        <f>IFERROR(IF(compras_mes123[[#This Row],[CUIT]]="","-",VLOOKUP(compras_mes123[[#This Row],[CUIT]],Lista_CUIT[#All],3,0)),"CUIT NO CARGADO")</f>
        <v>Servicios Gas, Luz, etc.</v>
      </c>
      <c r="R70" s="49">
        <f>IFERROR(IF(compras_mes123[[#This Row],[CUIT]]="","-",VLOOKUP(compras_mes123[[#This Row],[CUIT]],Lista_CUIT[#All],4,0)),"CUIT NO CARGADO")</f>
        <v>0</v>
      </c>
    </row>
    <row r="71" spans="2:18" x14ac:dyDescent="0.3">
      <c r="B71" s="40">
        <v>45240</v>
      </c>
      <c r="C71" s="41">
        <v>1</v>
      </c>
      <c r="D71" s="42">
        <v>4</v>
      </c>
      <c r="E71" s="43">
        <v>8637</v>
      </c>
      <c r="F71" s="44">
        <v>30708637587</v>
      </c>
      <c r="G71" s="45" t="str">
        <f>IFERROR(IF(compras_mes123[[#This Row],[CUIT]]="","-",VLOOKUP(compras_mes123[[#This Row],[CUIT]],Lista_CUIT[#All],2,0)),"CUIT NO CARGADO")</f>
        <v>ASERRADERO JARDIN SRL</v>
      </c>
      <c r="H71" s="46">
        <v>34314.050000000003</v>
      </c>
      <c r="I71" s="85">
        <f>IF(compras_mes123[[#This Row],[NETO GRAVADO]]="","",compras_mes123[[#This Row],[NETO GRAVADO]]*0.21)</f>
        <v>7205.9504999999999</v>
      </c>
      <c r="J71" s="85"/>
      <c r="K71" s="85"/>
      <c r="L71" s="85"/>
      <c r="M71" s="85"/>
      <c r="N71" s="85"/>
      <c r="O71" s="85"/>
      <c r="P71" s="48">
        <f>SUM(compras_mes123[[#This Row],[NETO GRAVADO]:[Otros / No Grav.]])</f>
        <v>41520.000500000002</v>
      </c>
      <c r="Q71" s="49">
        <f>IFERROR(IF(compras_mes123[[#This Row],[CUIT]]="","-",VLOOKUP(compras_mes123[[#This Row],[CUIT]],Lista_CUIT[#All],3,0)),"CUIT NO CARGADO")</f>
        <v>0</v>
      </c>
      <c r="R71" s="49">
        <f>IFERROR(IF(compras_mes123[[#This Row],[CUIT]]="","-",VLOOKUP(compras_mes123[[#This Row],[CUIT]],Lista_CUIT[#All],4,0)),"CUIT NO CARGADO")</f>
        <v>0</v>
      </c>
    </row>
    <row r="72" spans="2:18" x14ac:dyDescent="0.3">
      <c r="B72" s="40">
        <v>45240</v>
      </c>
      <c r="C72" s="41">
        <v>1</v>
      </c>
      <c r="D72" s="42">
        <v>3</v>
      </c>
      <c r="E72" s="43">
        <v>1760</v>
      </c>
      <c r="F72" s="44">
        <v>30715434276</v>
      </c>
      <c r="G72" s="45" t="str">
        <f>IFERROR(IF(compras_mes123[[#This Row],[CUIT]]="","-",VLOOKUP(compras_mes123[[#This Row],[CUIT]],Lista_CUIT[#All],2,0)),"CUIT NO CARGADO")</f>
        <v>BRUAYAFA S.A.</v>
      </c>
      <c r="H72" s="46">
        <v>342500</v>
      </c>
      <c r="I72" s="85">
        <f>IF(compras_mes123[[#This Row],[NETO GRAVADO]]="","",compras_mes123[[#This Row],[NETO GRAVADO]]*0.21)</f>
        <v>71925</v>
      </c>
      <c r="J72" s="85"/>
      <c r="K72" s="85"/>
      <c r="L72" s="85"/>
      <c r="M72" s="85"/>
      <c r="N72" s="85"/>
      <c r="O72" s="85"/>
      <c r="P72" s="48">
        <f>SUM(compras_mes123[[#This Row],[NETO GRAVADO]:[Otros / No Grav.]])</f>
        <v>414425</v>
      </c>
      <c r="Q72" s="49">
        <f>IFERROR(IF(compras_mes123[[#This Row],[CUIT]]="","-",VLOOKUP(compras_mes123[[#This Row],[CUIT]],Lista_CUIT[#All],3,0)),"CUIT NO CARGADO")</f>
        <v>0</v>
      </c>
      <c r="R72" s="49">
        <f>IFERROR(IF(compras_mes123[[#This Row],[CUIT]]="","-",VLOOKUP(compras_mes123[[#This Row],[CUIT]],Lista_CUIT[#All],4,0)),"CUIT NO CARGADO")</f>
        <v>0</v>
      </c>
    </row>
    <row r="73" spans="2:18" x14ac:dyDescent="0.3">
      <c r="B73" s="40">
        <v>45240</v>
      </c>
      <c r="C73" s="41">
        <v>1</v>
      </c>
      <c r="D73" s="42">
        <v>10</v>
      </c>
      <c r="E73" s="43">
        <v>123947</v>
      </c>
      <c r="F73" s="44">
        <v>30711069360</v>
      </c>
      <c r="G73" s="45" t="str">
        <f>IFERROR(IF(compras_mes123[[#This Row],[CUIT]]="","-",VLOOKUP(compras_mes123[[#This Row],[CUIT]],Lista_CUIT[#All],2,0)),"CUIT NO CARGADO")</f>
        <v>BIDCOM SRL</v>
      </c>
      <c r="H73" s="46">
        <v>1643426.44</v>
      </c>
      <c r="I73" s="85"/>
      <c r="J73" s="85"/>
      <c r="K73" s="85">
        <v>172559.78</v>
      </c>
      <c r="L73" s="85"/>
      <c r="M73" s="85"/>
      <c r="N73" s="85">
        <v>98605.59</v>
      </c>
      <c r="O73" s="85"/>
      <c r="P73" s="48">
        <f>SUM(compras_mes123[[#This Row],[NETO GRAVADO]:[Otros / No Grav.]])</f>
        <v>1914591.81</v>
      </c>
      <c r="Q73" s="49">
        <f>IFERROR(IF(compras_mes123[[#This Row],[CUIT]]="","-",VLOOKUP(compras_mes123[[#This Row],[CUIT]],Lista_CUIT[#All],3,0)),"CUIT NO CARGADO")</f>
        <v>0</v>
      </c>
      <c r="R73" s="49">
        <f>IFERROR(IF(compras_mes123[[#This Row],[CUIT]]="","-",VLOOKUP(compras_mes123[[#This Row],[CUIT]],Lista_CUIT[#All],4,0)),"CUIT NO CARGADO")</f>
        <v>0</v>
      </c>
    </row>
    <row r="74" spans="2:18" x14ac:dyDescent="0.3">
      <c r="B74" s="40">
        <v>45240</v>
      </c>
      <c r="C74" s="41">
        <v>1</v>
      </c>
      <c r="D74" s="42">
        <v>6364</v>
      </c>
      <c r="E74" s="43">
        <v>7919340</v>
      </c>
      <c r="F74" s="44">
        <v>30639453738</v>
      </c>
      <c r="G74" s="45" t="str">
        <f>IFERROR(IF(compras_mes123[[#This Row],[CUIT]]="","-",VLOOKUP(compras_mes123[[#This Row],[CUIT]],Lista_CUIT[#All],2,0)),"CUIT NO CARGADO")</f>
        <v>TELECOM ARG SA</v>
      </c>
      <c r="H74" s="46">
        <v>81640.960000000006</v>
      </c>
      <c r="I74" s="85">
        <v>16825.82</v>
      </c>
      <c r="J74" s="85">
        <v>409.86</v>
      </c>
      <c r="K74" s="85"/>
      <c r="L74" s="85"/>
      <c r="M74" s="85">
        <v>2449.23</v>
      </c>
      <c r="N74" s="85">
        <v>4503.72</v>
      </c>
      <c r="O74" s="85">
        <v>79.89</v>
      </c>
      <c r="P74" s="48">
        <f>SUM(compras_mes123[[#This Row],[NETO GRAVADO]:[Otros / No Grav.]])</f>
        <v>105909.48</v>
      </c>
      <c r="Q74" s="49" t="str">
        <f>IFERROR(IF(compras_mes123[[#This Row],[CUIT]]="","-",VLOOKUP(compras_mes123[[#This Row],[CUIT]],Lista_CUIT[#All],3,0)),"CUIT NO CARGADO")</f>
        <v>Servicios Gas, Luz, etc.</v>
      </c>
      <c r="R74" s="49">
        <f>IFERROR(IF(compras_mes123[[#This Row],[CUIT]]="","-",VLOOKUP(compras_mes123[[#This Row],[CUIT]],Lista_CUIT[#All],4,0)),"CUIT NO CARGADO")</f>
        <v>0</v>
      </c>
    </row>
    <row r="75" spans="2:18" x14ac:dyDescent="0.3">
      <c r="B75" s="40">
        <v>45240</v>
      </c>
      <c r="C75" s="41">
        <v>1</v>
      </c>
      <c r="D75" s="42">
        <v>2</v>
      </c>
      <c r="E75" s="43">
        <v>3504</v>
      </c>
      <c r="F75" s="44">
        <v>30629863571</v>
      </c>
      <c r="G75" s="45" t="str">
        <f>IFERROR(IF(compras_mes123[[#This Row],[CUIT]]="","-",VLOOKUP(compras_mes123[[#This Row],[CUIT]],Lista_CUIT[#All],2,0)),"CUIT NO CARGADO")</f>
        <v>TECNIMAR S R L</v>
      </c>
      <c r="H75" s="46">
        <v>1569865</v>
      </c>
      <c r="I75" s="85">
        <f>IF(compras_mes123[[#This Row],[NETO GRAVADO]]="","",compras_mes123[[#This Row],[NETO GRAVADO]]*0.21)</f>
        <v>329671.64999999997</v>
      </c>
      <c r="J75" s="85"/>
      <c r="K75" s="85"/>
      <c r="L75" s="85"/>
      <c r="M75" s="85"/>
      <c r="N75" s="85"/>
      <c r="O75" s="85"/>
      <c r="P75" s="48">
        <f>SUM(compras_mes123[[#This Row],[NETO GRAVADO]:[Otros / No Grav.]])</f>
        <v>1899536.65</v>
      </c>
      <c r="Q75" s="49" t="str">
        <f>IFERROR(IF(compras_mes123[[#This Row],[CUIT]]="","-",VLOOKUP(compras_mes123[[#This Row],[CUIT]],Lista_CUIT[#All],3,0)),"CUIT NO CARGADO")</f>
        <v>LABORATORIO</v>
      </c>
      <c r="R75" s="49">
        <f>IFERROR(IF(compras_mes123[[#This Row],[CUIT]]="","-",VLOOKUP(compras_mes123[[#This Row],[CUIT]],Lista_CUIT[#All],4,0)),"CUIT NO CARGADO")</f>
        <v>0</v>
      </c>
    </row>
    <row r="76" spans="2:18" x14ac:dyDescent="0.3">
      <c r="B76" s="40">
        <v>45240</v>
      </c>
      <c r="C76" s="41">
        <v>1</v>
      </c>
      <c r="D76" s="42">
        <v>3</v>
      </c>
      <c r="E76" s="43">
        <v>222662</v>
      </c>
      <c r="F76" s="44">
        <v>30693293754</v>
      </c>
      <c r="G76" s="45" t="str">
        <f>IFERROR(IF(compras_mes123[[#This Row],[CUIT]]="","-",VLOOKUP(compras_mes123[[#This Row],[CUIT]],Lista_CUIT[#All],2,0)),"CUIT NO CARGADO")</f>
        <v>CPT INTEGRAL SA</v>
      </c>
      <c r="H76" s="46">
        <v>28263.64</v>
      </c>
      <c r="I76" s="85"/>
      <c r="J76" s="85">
        <f>compras_mes123[[#This Row],[NETO GRAVADO]]*0.27</f>
        <v>7631.1828000000005</v>
      </c>
      <c r="K76" s="85"/>
      <c r="L76" s="85"/>
      <c r="M76" s="85"/>
      <c r="N76" s="85">
        <v>1695.82</v>
      </c>
      <c r="O76" s="85"/>
      <c r="P76" s="48">
        <f>SUM(compras_mes123[[#This Row],[NETO GRAVADO]:[Otros / No Grav.]])</f>
        <v>37590.642800000001</v>
      </c>
      <c r="Q76" s="49">
        <f>IFERROR(IF(compras_mes123[[#This Row],[CUIT]]="","-",VLOOKUP(compras_mes123[[#This Row],[CUIT]],Lista_CUIT[#All],3,0)),"CUIT NO CARGADO")</f>
        <v>0</v>
      </c>
      <c r="R76" s="49">
        <f>IFERROR(IF(compras_mes123[[#This Row],[CUIT]]="","-",VLOOKUP(compras_mes123[[#This Row],[CUIT]],Lista_CUIT[#All],4,0)),"CUIT NO CARGADO")</f>
        <v>0</v>
      </c>
    </row>
    <row r="77" spans="2:18" x14ac:dyDescent="0.3">
      <c r="B77" s="588">
        <v>45240</v>
      </c>
      <c r="C77" s="41">
        <v>1</v>
      </c>
      <c r="D77" s="589">
        <v>6860</v>
      </c>
      <c r="E77" s="590">
        <v>24420</v>
      </c>
      <c r="F77" s="44">
        <v>30678774495</v>
      </c>
      <c r="G77" s="592" t="str">
        <f>IFERROR(IF(compras_mes123[[#This Row],[CUIT]]="","-",VLOOKUP(compras_mes123[[#This Row],[CUIT]],Lista_CUIT[#All],2,0)),"CUIT NO CARGADO")</f>
        <v>OPER. DE EST. DE SERV. SA</v>
      </c>
      <c r="H77" s="593">
        <v>10664.66</v>
      </c>
      <c r="I77" s="594">
        <f>IF(compras_mes123[[#This Row],[NETO GRAVADO]]="","",compras_mes123[[#This Row],[NETO GRAVADO]]*0.21)</f>
        <v>2239.5785999999998</v>
      </c>
      <c r="J77" s="594"/>
      <c r="K77" s="594"/>
      <c r="L77" s="594"/>
      <c r="M77" s="594"/>
      <c r="N77" s="594"/>
      <c r="O77" s="594">
        <v>1095.77</v>
      </c>
      <c r="P77" s="595">
        <f>SUM(compras_mes123[[#This Row],[NETO GRAVADO]:[Otros / No Grav.]])</f>
        <v>14000.008600000001</v>
      </c>
      <c r="Q77" s="596" t="str">
        <f>IFERROR(IF(compras_mes123[[#This Row],[CUIT]]="","-",VLOOKUP(compras_mes123[[#This Row],[CUIT]],Lista_CUIT[#All],3,0)),"CUIT NO CARGADO")</f>
        <v>Combustibe</v>
      </c>
      <c r="R77" s="596">
        <f>IFERROR(IF(compras_mes123[[#This Row],[CUIT]]="","-",VLOOKUP(compras_mes123[[#This Row],[CUIT]],Lista_CUIT[#All],4,0)),"CUIT NO CARGADO")</f>
        <v>0</v>
      </c>
    </row>
    <row r="78" spans="2:18" x14ac:dyDescent="0.3">
      <c r="B78" s="40">
        <v>45241</v>
      </c>
      <c r="C78" s="41">
        <v>1</v>
      </c>
      <c r="D78" s="42">
        <v>8279</v>
      </c>
      <c r="E78" s="43">
        <v>2670</v>
      </c>
      <c r="F78" s="44">
        <v>30590360763</v>
      </c>
      <c r="G78" s="45" t="str">
        <f>IFERROR(IF(compras_mes123[[#This Row],[CUIT]]="","-",VLOOKUP(compras_mes123[[#This Row],[CUIT]],Lista_CUIT[#All],2,0)),"CUIT NO CARGADO")</f>
        <v>CENCOSUD S.A</v>
      </c>
      <c r="H78" s="46">
        <v>8127.69</v>
      </c>
      <c r="I78" s="85">
        <f>IF(compras_mes123[[#This Row],[NETO GRAVADO]]="","",compras_mes123[[#This Row],[NETO GRAVADO]]*0.21)</f>
        <v>1706.8148999999999</v>
      </c>
      <c r="J78" s="85"/>
      <c r="K78" s="85"/>
      <c r="L78" s="85">
        <v>243.83</v>
      </c>
      <c r="M78" s="85"/>
      <c r="N78" s="85">
        <v>487.66</v>
      </c>
      <c r="O78" s="85"/>
      <c r="P78" s="48">
        <f>SUM(compras_mes123[[#This Row],[NETO GRAVADO]:[Otros / No Grav.]])</f>
        <v>10565.9949</v>
      </c>
      <c r="Q78" s="49" t="str">
        <f>IFERROR(IF(compras_mes123[[#This Row],[CUIT]]="","-",VLOOKUP(compras_mes123[[#This Row],[CUIT]],Lista_CUIT[#All],3,0)),"CUIT NO CARGADO")</f>
        <v>Gastos Varios</v>
      </c>
      <c r="R78" s="49">
        <f>IFERROR(IF(compras_mes123[[#This Row],[CUIT]]="","-",VLOOKUP(compras_mes123[[#This Row],[CUIT]],Lista_CUIT[#All],4,0)),"CUIT NO CARGADO")</f>
        <v>0</v>
      </c>
    </row>
    <row r="79" spans="2:18" x14ac:dyDescent="0.3">
      <c r="B79" s="40">
        <v>45241</v>
      </c>
      <c r="C79" s="41">
        <v>1</v>
      </c>
      <c r="D79" s="42">
        <v>16</v>
      </c>
      <c r="E79" s="43">
        <v>18855</v>
      </c>
      <c r="F79" s="44">
        <v>30553547942</v>
      </c>
      <c r="G79" s="45" t="str">
        <f>IFERROR(IF(compras_mes123[[#This Row],[CUIT]]="","-",VLOOKUP(compras_mes123[[#This Row],[CUIT]],Lista_CUIT[#All],2,0)),"CUIT NO CARGADO")</f>
        <v>PINTURERIAS MAFER SA</v>
      </c>
      <c r="H79" s="46">
        <v>7285.48</v>
      </c>
      <c r="I79" s="85">
        <f>IF(compras_mes123[[#This Row],[NETO GRAVADO]]="","",compras_mes123[[#This Row],[NETO GRAVADO]]*0.21)</f>
        <v>1529.9507999999998</v>
      </c>
      <c r="J79" s="85"/>
      <c r="K79" s="85"/>
      <c r="L79" s="85"/>
      <c r="M79" s="85"/>
      <c r="N79" s="85"/>
      <c r="O79" s="85"/>
      <c r="P79" s="48">
        <f>SUM(compras_mes123[[#This Row],[NETO GRAVADO]:[Otros / No Grav.]])</f>
        <v>8815.4308000000001</v>
      </c>
      <c r="Q79" s="49">
        <f>IFERROR(IF(compras_mes123[[#This Row],[CUIT]]="","-",VLOOKUP(compras_mes123[[#This Row],[CUIT]],Lista_CUIT[#All],3,0)),"CUIT NO CARGADO")</f>
        <v>0</v>
      </c>
      <c r="R79" s="49">
        <f>IFERROR(IF(compras_mes123[[#This Row],[CUIT]]="","-",VLOOKUP(compras_mes123[[#This Row],[CUIT]],Lista_CUIT[#All],4,0)),"CUIT NO CARGADO")</f>
        <v>0</v>
      </c>
    </row>
    <row r="80" spans="2:18" x14ac:dyDescent="0.3">
      <c r="B80" s="230">
        <v>45241</v>
      </c>
      <c r="C80" s="41">
        <v>1</v>
      </c>
      <c r="D80" s="231">
        <v>2199</v>
      </c>
      <c r="E80" s="232">
        <v>25294</v>
      </c>
      <c r="F80" s="233">
        <v>30548083156</v>
      </c>
      <c r="G80" s="234" t="str">
        <f>IFERROR(IF(compras_mes123[[#This Row],[CUIT]]="","-",VLOOKUP(compras_mes123[[#This Row],[CUIT]],Lista_CUIT[#All],2,0)),"CUIT NO CARGADO")</f>
        <v>COTO CENTRO INTEGRAL DE COMERCIALIZACION SOCIEDAD ANONIMA</v>
      </c>
      <c r="H80" s="235">
        <v>32689.21</v>
      </c>
      <c r="I80" s="85">
        <v>5797.37</v>
      </c>
      <c r="J80" s="236"/>
      <c r="K80" s="236">
        <v>533.67999999999995</v>
      </c>
      <c r="L80" s="236">
        <v>904.44</v>
      </c>
      <c r="M80" s="236"/>
      <c r="N80" s="236">
        <v>1808.98</v>
      </c>
      <c r="O80" s="236"/>
      <c r="P80" s="237">
        <f>SUM(compras_mes123[[#This Row],[NETO GRAVADO]:[Otros / No Grav.]])</f>
        <v>41733.680000000008</v>
      </c>
      <c r="Q80" s="238" t="str">
        <f>IFERROR(IF(compras_mes123[[#This Row],[CUIT]]="","-",VLOOKUP(compras_mes123[[#This Row],[CUIT]],Lista_CUIT[#All],3,0)),"CUIT NO CARGADO")</f>
        <v>GASTOS COMERCIALES</v>
      </c>
      <c r="R80" s="238">
        <f>IFERROR(IF(compras_mes123[[#This Row],[CUIT]]="","-",VLOOKUP(compras_mes123[[#This Row],[CUIT]],Lista_CUIT[#All],4,0)),"CUIT NO CARGADO")</f>
        <v>0</v>
      </c>
    </row>
    <row r="81" spans="2:18" x14ac:dyDescent="0.3">
      <c r="B81" s="40">
        <v>45241</v>
      </c>
      <c r="C81" s="41">
        <v>1</v>
      </c>
      <c r="D81" s="42">
        <v>5</v>
      </c>
      <c r="E81" s="43">
        <v>26940</v>
      </c>
      <c r="F81" s="44">
        <v>30663891142</v>
      </c>
      <c r="G81" s="45" t="str">
        <f>IFERROR(IF(compras_mes123[[#This Row],[CUIT]]="","-",VLOOKUP(compras_mes123[[#This Row],[CUIT]],Lista_CUIT[#All],2,0)),"CUIT NO CARGADO")</f>
        <v>HERRAJES MAGLIOLA  S A</v>
      </c>
      <c r="H81" s="46">
        <v>5156.6000000000004</v>
      </c>
      <c r="I81" s="85">
        <f>IF(compras_mes123[[#This Row],[NETO GRAVADO]]="","",compras_mes123[[#This Row],[NETO GRAVADO]]*0.21)</f>
        <v>1082.886</v>
      </c>
      <c r="J81" s="85"/>
      <c r="K81" s="85"/>
      <c r="L81" s="85"/>
      <c r="M81" s="85"/>
      <c r="N81" s="85"/>
      <c r="O81" s="85"/>
      <c r="P81" s="48">
        <f>SUM(compras_mes123[[#This Row],[NETO GRAVADO]:[Otros / No Grav.]])</f>
        <v>6239.4860000000008</v>
      </c>
      <c r="Q81" s="49">
        <f>IFERROR(IF(compras_mes123[[#This Row],[CUIT]]="","-",VLOOKUP(compras_mes123[[#This Row],[CUIT]],Lista_CUIT[#All],3,0)),"CUIT NO CARGADO")</f>
        <v>0</v>
      </c>
      <c r="R81" s="49">
        <f>IFERROR(IF(compras_mes123[[#This Row],[CUIT]]="","-",VLOOKUP(compras_mes123[[#This Row],[CUIT]],Lista_CUIT[#All],4,0)),"CUIT NO CARGADO")</f>
        <v>0</v>
      </c>
    </row>
    <row r="82" spans="2:18" x14ac:dyDescent="0.3">
      <c r="B82" s="40">
        <v>45241</v>
      </c>
      <c r="C82" s="41">
        <v>1</v>
      </c>
      <c r="D82" s="42">
        <v>6328</v>
      </c>
      <c r="E82" s="43">
        <v>707</v>
      </c>
      <c r="F82" s="44">
        <v>30638485733</v>
      </c>
      <c r="G82" s="45" t="str">
        <f>IFERROR(IF(compras_mes123[[#This Row],[CUIT]]="","-",VLOOKUP(compras_mes123[[#This Row],[CUIT]],Lista_CUIT[#All],2,0)),"CUIT NO CARGADO")</f>
        <v>DABRA SOCIEDAD ANONIMA</v>
      </c>
      <c r="H82" s="46">
        <v>68622.31</v>
      </c>
      <c r="I82" s="85">
        <f>IF(compras_mes123[[#This Row],[NETO GRAVADO]]="","",compras_mes123[[#This Row],[NETO GRAVADO]]*0.21)</f>
        <v>14410.685099999999</v>
      </c>
      <c r="J82" s="85"/>
      <c r="K82" s="85"/>
      <c r="L82" s="85">
        <v>4117.34</v>
      </c>
      <c r="M82" s="85"/>
      <c r="N82" s="85"/>
      <c r="O82" s="85"/>
      <c r="P82" s="48">
        <f>SUM(compras_mes123[[#This Row],[NETO GRAVADO]:[Otros / No Grav.]])</f>
        <v>87150.335099999997</v>
      </c>
      <c r="Q82" s="49">
        <f>IFERROR(IF(compras_mes123[[#This Row],[CUIT]]="","-",VLOOKUP(compras_mes123[[#This Row],[CUIT]],Lista_CUIT[#All],3,0)),"CUIT NO CARGADO")</f>
        <v>0</v>
      </c>
      <c r="R82" s="49">
        <f>IFERROR(IF(compras_mes123[[#This Row],[CUIT]]="","-",VLOOKUP(compras_mes123[[#This Row],[CUIT]],Lista_CUIT[#All],4,0)),"CUIT NO CARGADO")</f>
        <v>0</v>
      </c>
    </row>
    <row r="83" spans="2:18" x14ac:dyDescent="0.3">
      <c r="B83" s="40">
        <v>45241</v>
      </c>
      <c r="C83" s="41">
        <v>1</v>
      </c>
      <c r="D83" s="42">
        <v>32</v>
      </c>
      <c r="E83" s="43">
        <v>1966</v>
      </c>
      <c r="F83" s="44">
        <v>30696106068</v>
      </c>
      <c r="G83" s="45" t="str">
        <f>IFERROR(IF(compras_mes123[[#This Row],[CUIT]]="","-",VLOOKUP(compras_mes123[[#This Row],[CUIT]],Lista_CUIT[#All],2,0)),"CUIT NO CARGADO")</f>
        <v>PINTURERIAS LIBERATO SRL</v>
      </c>
      <c r="H83" s="46">
        <v>3170.6</v>
      </c>
      <c r="I83" s="85">
        <f>IF(compras_mes123[[#This Row],[NETO GRAVADO]]="","",compras_mes123[[#This Row],[NETO GRAVADO]]*0.21)</f>
        <v>665.82599999999991</v>
      </c>
      <c r="J83" s="85"/>
      <c r="K83" s="85"/>
      <c r="L83" s="85"/>
      <c r="M83" s="85"/>
      <c r="N83" s="85"/>
      <c r="O83" s="85"/>
      <c r="P83" s="48">
        <f>SUM(compras_mes123[[#This Row],[NETO GRAVADO]:[Otros / No Grav.]])</f>
        <v>3836.4259999999999</v>
      </c>
      <c r="Q83" s="49">
        <f>IFERROR(IF(compras_mes123[[#This Row],[CUIT]]="","-",VLOOKUP(compras_mes123[[#This Row],[CUIT]],Lista_CUIT[#All],3,0)),"CUIT NO CARGADO")</f>
        <v>0</v>
      </c>
      <c r="R83" s="49">
        <f>IFERROR(IF(compras_mes123[[#This Row],[CUIT]]="","-",VLOOKUP(compras_mes123[[#This Row],[CUIT]],Lista_CUIT[#All],4,0)),"CUIT NO CARGADO")</f>
        <v>0</v>
      </c>
    </row>
    <row r="84" spans="2:18" x14ac:dyDescent="0.3">
      <c r="B84" s="588">
        <v>45241</v>
      </c>
      <c r="C84" s="41">
        <v>1</v>
      </c>
      <c r="D84" s="589">
        <v>12</v>
      </c>
      <c r="E84" s="590">
        <v>36993</v>
      </c>
      <c r="F84" s="44">
        <v>30696131003</v>
      </c>
      <c r="G84" s="592" t="str">
        <f>IFERROR(IF(compras_mes123[[#This Row],[CUIT]]="","-",VLOOKUP(compras_mes123[[#This Row],[CUIT]],Lista_CUIT[#All],2,0)),"CUIT NO CARGADO")</f>
        <v>Petrolfe S.A.</v>
      </c>
      <c r="H84" s="593">
        <v>59464.5</v>
      </c>
      <c r="I84" s="594">
        <f>IF(compras_mes123[[#This Row],[NETO GRAVADO]]="","",compras_mes123[[#This Row],[NETO GRAVADO]]*0.21)</f>
        <v>12487.545</v>
      </c>
      <c r="J84" s="594"/>
      <c r="K84" s="594"/>
      <c r="L84" s="594"/>
      <c r="M84" s="594"/>
      <c r="N84" s="594"/>
      <c r="O84" s="594">
        <v>7058.78</v>
      </c>
      <c r="P84" s="595">
        <f>SUM(compras_mes123[[#This Row],[NETO GRAVADO]:[Otros / No Grav.]])</f>
        <v>79010.824999999997</v>
      </c>
      <c r="Q84" s="596" t="str">
        <f>IFERROR(IF(compras_mes123[[#This Row],[CUIT]]="","-",VLOOKUP(compras_mes123[[#This Row],[CUIT]],Lista_CUIT[#All],3,0)),"CUIT NO CARGADO")</f>
        <v>Combustible</v>
      </c>
      <c r="R84" s="596">
        <f>IFERROR(IF(compras_mes123[[#This Row],[CUIT]]="","-",VLOOKUP(compras_mes123[[#This Row],[CUIT]],Lista_CUIT[#All],4,0)),"CUIT NO CARGADO")</f>
        <v>0</v>
      </c>
    </row>
    <row r="85" spans="2:18" x14ac:dyDescent="0.3">
      <c r="B85" s="230">
        <v>45243</v>
      </c>
      <c r="C85" s="41">
        <v>1</v>
      </c>
      <c r="D85" s="231">
        <v>14</v>
      </c>
      <c r="E85" s="232">
        <v>10038</v>
      </c>
      <c r="F85" s="233">
        <v>30715186256</v>
      </c>
      <c r="G85" s="234" t="str">
        <f>IFERROR(IF(compras_mes123[[#This Row],[CUIT]]="","-",VLOOKUP(compras_mes123[[#This Row],[CUIT]],Lista_CUIT[#All],2,0)),"CUIT NO CARGADO")</f>
        <v>FRIGORIFICO ALIMENTIC</v>
      </c>
      <c r="H85" s="235">
        <v>23833.56</v>
      </c>
      <c r="I85" s="85">
        <v>1553.01</v>
      </c>
      <c r="J85" s="236"/>
      <c r="K85" s="236">
        <v>1726.02</v>
      </c>
      <c r="L85" s="236"/>
      <c r="M85" s="236"/>
      <c r="N85" s="236"/>
      <c r="O85" s="236"/>
      <c r="P85" s="237">
        <f>SUM(compras_mes123[[#This Row],[NETO GRAVADO]:[Otros / No Grav.]])</f>
        <v>27112.59</v>
      </c>
      <c r="Q85" s="238">
        <f>IFERROR(IF(compras_mes123[[#This Row],[CUIT]]="","-",VLOOKUP(compras_mes123[[#This Row],[CUIT]],Lista_CUIT[#All],3,0)),"CUIT NO CARGADO")</f>
        <v>0</v>
      </c>
      <c r="R85" s="238">
        <f>IFERROR(IF(compras_mes123[[#This Row],[CUIT]]="","-",VLOOKUP(compras_mes123[[#This Row],[CUIT]],Lista_CUIT[#All],4,0)),"CUIT NO CARGADO")</f>
        <v>0</v>
      </c>
    </row>
    <row r="86" spans="2:18" x14ac:dyDescent="0.3">
      <c r="B86" s="40">
        <v>45243</v>
      </c>
      <c r="C86" s="41">
        <v>1</v>
      </c>
      <c r="D86" s="42">
        <v>3</v>
      </c>
      <c r="E86" s="43">
        <v>3736</v>
      </c>
      <c r="F86" s="44">
        <v>30714618977</v>
      </c>
      <c r="G86" s="45" t="str">
        <f>IFERROR(IF(compras_mes123[[#This Row],[CUIT]]="","-",VLOOKUP(compras_mes123[[#This Row],[CUIT]],Lista_CUIT[#All],2,0)),"CUIT NO CARGADO")</f>
        <v>DISTRIBUIDORA N.G. S.A.</v>
      </c>
      <c r="H86" s="46">
        <v>781620</v>
      </c>
      <c r="I86" s="85">
        <f>IF(compras_mes123[[#This Row],[NETO GRAVADO]]="","",compras_mes123[[#This Row],[NETO GRAVADO]]*0.21)</f>
        <v>164140.19999999998</v>
      </c>
      <c r="J86" s="85"/>
      <c r="K86" s="85"/>
      <c r="L86" s="85"/>
      <c r="M86" s="85"/>
      <c r="N86" s="85"/>
      <c r="O86" s="85"/>
      <c r="P86" s="48">
        <f>SUM(compras_mes123[[#This Row],[NETO GRAVADO]:[Otros / No Grav.]])</f>
        <v>945760.2</v>
      </c>
      <c r="Q86" s="49">
        <f>IFERROR(IF(compras_mes123[[#This Row],[CUIT]]="","-",VLOOKUP(compras_mes123[[#This Row],[CUIT]],Lista_CUIT[#All],3,0)),"CUIT NO CARGADO")</f>
        <v>0</v>
      </c>
      <c r="R86" s="49">
        <f>IFERROR(IF(compras_mes123[[#This Row],[CUIT]]="","-",VLOOKUP(compras_mes123[[#This Row],[CUIT]],Lista_CUIT[#All],4,0)),"CUIT NO CARGADO")</f>
        <v>0</v>
      </c>
    </row>
    <row r="87" spans="2:18" x14ac:dyDescent="0.3">
      <c r="B87" s="230">
        <v>45243</v>
      </c>
      <c r="C87" s="41">
        <v>1</v>
      </c>
      <c r="D87" s="231">
        <v>14</v>
      </c>
      <c r="E87" s="232">
        <v>10039</v>
      </c>
      <c r="F87" s="233">
        <v>30715186256</v>
      </c>
      <c r="G87" s="234" t="str">
        <f>IFERROR(IF(compras_mes123[[#This Row],[CUIT]]="","-",VLOOKUP(compras_mes123[[#This Row],[CUIT]],Lista_CUIT[#All],2,0)),"CUIT NO CARGADO")</f>
        <v>FRIGORIFICO ALIMENTIC</v>
      </c>
      <c r="H87" s="235">
        <v>2710.75</v>
      </c>
      <c r="I87" s="85">
        <f>IF(compras_mes123[[#This Row],[NETO GRAVADO]]="","",compras_mes123[[#This Row],[NETO GRAVADO]]*0.21)</f>
        <v>569.25749999999994</v>
      </c>
      <c r="J87" s="236"/>
      <c r="K87" s="236"/>
      <c r="L87" s="236"/>
      <c r="M87" s="236"/>
      <c r="N87" s="236"/>
      <c r="O87" s="236"/>
      <c r="P87" s="237">
        <f>SUM(compras_mes123[[#This Row],[NETO GRAVADO]:[Otros / No Grav.]])</f>
        <v>3280.0074999999997</v>
      </c>
      <c r="Q87" s="238">
        <f>IFERROR(IF(compras_mes123[[#This Row],[CUIT]]="","-",VLOOKUP(compras_mes123[[#This Row],[CUIT]],Lista_CUIT[#All],3,0)),"CUIT NO CARGADO")</f>
        <v>0</v>
      </c>
      <c r="R87" s="238">
        <f>IFERROR(IF(compras_mes123[[#This Row],[CUIT]]="","-",VLOOKUP(compras_mes123[[#This Row],[CUIT]],Lista_CUIT[#All],4,0)),"CUIT NO CARGADO")</f>
        <v>0</v>
      </c>
    </row>
    <row r="88" spans="2:18" x14ac:dyDescent="0.3">
      <c r="B88" s="40">
        <v>45243</v>
      </c>
      <c r="C88" s="41">
        <v>1</v>
      </c>
      <c r="D88" s="42">
        <v>6</v>
      </c>
      <c r="E88" s="43">
        <v>13203</v>
      </c>
      <c r="F88" s="44">
        <v>30548690796</v>
      </c>
      <c r="G88" s="45" t="str">
        <f>IFERROR(IF(compras_mes123[[#This Row],[CUIT]]="","-",VLOOKUP(compras_mes123[[#This Row],[CUIT]],Lista_CUIT[#All],2,0)),"CUIT NO CARGADO")</f>
        <v>UNION QUIMICA ARGENTINA SRL</v>
      </c>
      <c r="H88" s="46">
        <v>497080</v>
      </c>
      <c r="I88" s="85">
        <f>IF(compras_mes123[[#This Row],[NETO GRAVADO]]="","",compras_mes123[[#This Row],[NETO GRAVADO]]*0.21)</f>
        <v>104386.8</v>
      </c>
      <c r="J88" s="85"/>
      <c r="K88" s="85"/>
      <c r="L88" s="85"/>
      <c r="M88" s="85"/>
      <c r="N88" s="85"/>
      <c r="O88" s="85"/>
      <c r="P88" s="48">
        <f>SUM(compras_mes123[[#This Row],[NETO GRAVADO]:[Otros / No Grav.]])</f>
        <v>601466.80000000005</v>
      </c>
      <c r="Q88" s="49">
        <f>IFERROR(IF(compras_mes123[[#This Row],[CUIT]]="","-",VLOOKUP(compras_mes123[[#This Row],[CUIT]],Lista_CUIT[#All],3,0)),"CUIT NO CARGADO")</f>
        <v>0</v>
      </c>
      <c r="R88" s="49">
        <f>IFERROR(IF(compras_mes123[[#This Row],[CUIT]]="","-",VLOOKUP(compras_mes123[[#This Row],[CUIT]],Lista_CUIT[#All],4,0)),"CUIT NO CARGADO")</f>
        <v>0</v>
      </c>
    </row>
    <row r="89" spans="2:18" x14ac:dyDescent="0.3">
      <c r="B89" s="40">
        <v>45243</v>
      </c>
      <c r="C89" s="41">
        <v>1</v>
      </c>
      <c r="D89" s="42">
        <v>2</v>
      </c>
      <c r="E89" s="43">
        <v>3505</v>
      </c>
      <c r="F89" s="44">
        <v>30629863571</v>
      </c>
      <c r="G89" s="45" t="str">
        <f>IFERROR(IF(compras_mes123[[#This Row],[CUIT]]="","-",VLOOKUP(compras_mes123[[#This Row],[CUIT]],Lista_CUIT[#All],2,0)),"CUIT NO CARGADO")</f>
        <v>TECNIMAR S R L</v>
      </c>
      <c r="H89" s="46">
        <v>2080692</v>
      </c>
      <c r="I89" s="85">
        <f>IF(compras_mes123[[#This Row],[NETO GRAVADO]]="","",compras_mes123[[#This Row],[NETO GRAVADO]]*0.21)</f>
        <v>436945.32</v>
      </c>
      <c r="J89" s="85"/>
      <c r="K89" s="85"/>
      <c r="L89" s="85"/>
      <c r="M89" s="85"/>
      <c r="N89" s="85"/>
      <c r="O89" s="85"/>
      <c r="P89" s="48">
        <f>SUM(compras_mes123[[#This Row],[NETO GRAVADO]:[Otros / No Grav.]])</f>
        <v>2517637.3199999998</v>
      </c>
      <c r="Q89" s="49" t="str">
        <f>IFERROR(IF(compras_mes123[[#This Row],[CUIT]]="","-",VLOOKUP(compras_mes123[[#This Row],[CUIT]],Lista_CUIT[#All],3,0)),"CUIT NO CARGADO")</f>
        <v>LABORATORIO</v>
      </c>
      <c r="R89" s="49">
        <f>IFERROR(IF(compras_mes123[[#This Row],[CUIT]]="","-",VLOOKUP(compras_mes123[[#This Row],[CUIT]],Lista_CUIT[#All],4,0)),"CUIT NO CARGADO")</f>
        <v>0</v>
      </c>
    </row>
    <row r="90" spans="2:18" x14ac:dyDescent="0.3">
      <c r="B90" s="40">
        <v>45243</v>
      </c>
      <c r="C90" s="41">
        <v>1</v>
      </c>
      <c r="D90" s="42">
        <v>5</v>
      </c>
      <c r="E90" s="600">
        <v>3001</v>
      </c>
      <c r="F90" s="44">
        <v>30702259890</v>
      </c>
      <c r="G90" s="45" t="str">
        <f>IFERROR(IF(compras_mes123[[#This Row],[CUIT]]="","-",VLOOKUP(compras_mes123[[#This Row],[CUIT]],Lista_CUIT[#All],2,0)),"CUIT NO CARGADO")</f>
        <v>FERREMUNDO SRL</v>
      </c>
      <c r="H90" s="46">
        <v>15537.19</v>
      </c>
      <c r="I90" s="85">
        <f>IF(compras_mes123[[#This Row],[NETO GRAVADO]]="","",compras_mes123[[#This Row],[NETO GRAVADO]]*0.21)</f>
        <v>3262.8099000000002</v>
      </c>
      <c r="J90" s="85"/>
      <c r="K90" s="85"/>
      <c r="L90" s="85"/>
      <c r="M90" s="85"/>
      <c r="N90" s="85"/>
      <c r="O90" s="85"/>
      <c r="P90" s="48">
        <f>SUM(compras_mes123[[#This Row],[NETO GRAVADO]:[Otros / No Grav.]])</f>
        <v>18799.999900000003</v>
      </c>
      <c r="Q90" s="49">
        <f>IFERROR(IF(compras_mes123[[#This Row],[CUIT]]="","-",VLOOKUP(compras_mes123[[#This Row],[CUIT]],Lista_CUIT[#All],3,0)),"CUIT NO CARGADO")</f>
        <v>0</v>
      </c>
      <c r="R90" s="49">
        <f>IFERROR(IF(compras_mes123[[#This Row],[CUIT]]="","-",VLOOKUP(compras_mes123[[#This Row],[CUIT]],Lista_CUIT[#All],4,0)),"CUIT NO CARGADO")</f>
        <v>0</v>
      </c>
    </row>
    <row r="91" spans="2:18" x14ac:dyDescent="0.3">
      <c r="B91" s="40">
        <v>45244</v>
      </c>
      <c r="C91" s="41">
        <v>1</v>
      </c>
      <c r="D91" s="42">
        <v>2188</v>
      </c>
      <c r="E91" s="43">
        <v>104216</v>
      </c>
      <c r="F91" s="44">
        <v>30548083156</v>
      </c>
      <c r="G91" s="45" t="str">
        <f>IFERROR(IF(compras_mes123[[#This Row],[CUIT]]="","-",VLOOKUP(compras_mes123[[#This Row],[CUIT]],Lista_CUIT[#All],2,0)),"CUIT NO CARGADO")</f>
        <v>COTO CENTRO INTEGRAL DE COMERCIALIZACION SOCIEDAD ANONIMA</v>
      </c>
      <c r="H91" s="46">
        <v>19369.980000000003</v>
      </c>
      <c r="I91" s="85">
        <v>3188.19</v>
      </c>
      <c r="J91" s="85"/>
      <c r="K91" s="85">
        <v>439.75</v>
      </c>
      <c r="L91" s="85">
        <v>483.61</v>
      </c>
      <c r="M91" s="85"/>
      <c r="N91" s="85">
        <v>1106.03</v>
      </c>
      <c r="O91" s="85">
        <v>884.92</v>
      </c>
      <c r="P91" s="48">
        <f>SUM(compras_mes123[[#This Row],[NETO GRAVADO]:[Otros / No Grav.]])</f>
        <v>25472.48</v>
      </c>
      <c r="Q91" s="49" t="str">
        <f>IFERROR(IF(compras_mes123[[#This Row],[CUIT]]="","-",VLOOKUP(compras_mes123[[#This Row],[CUIT]],Lista_CUIT[#All],3,0)),"CUIT NO CARGADO")</f>
        <v>GASTOS COMERCIALES</v>
      </c>
      <c r="R91" s="49">
        <f>IFERROR(IF(compras_mes123[[#This Row],[CUIT]]="","-",VLOOKUP(compras_mes123[[#This Row],[CUIT]],Lista_CUIT[#All],4,0)),"CUIT NO CARGADO")</f>
        <v>0</v>
      </c>
    </row>
    <row r="92" spans="2:18" x14ac:dyDescent="0.3">
      <c r="B92" s="40">
        <v>45245</v>
      </c>
      <c r="C92" s="41">
        <v>1</v>
      </c>
      <c r="D92" s="42">
        <v>16</v>
      </c>
      <c r="E92" s="43">
        <v>76105</v>
      </c>
      <c r="F92" s="44">
        <v>30706053812</v>
      </c>
      <c r="G92" s="45" t="str">
        <f>IFERROR(IF(compras_mes123[[#This Row],[CUIT]]="","-",VLOOKUP(compras_mes123[[#This Row],[CUIT]],Lista_CUIT[#All],2,0)),"CUIT NO CARGADO")</f>
        <v>BUMERAN.COM ARGENTINA SA</v>
      </c>
      <c r="H92" s="46">
        <v>98043</v>
      </c>
      <c r="I92" s="85">
        <f>IF(compras_mes123[[#This Row],[NETO GRAVADO]]="","",compras_mes123[[#This Row],[NETO GRAVADO]]*0.21)</f>
        <v>20589.03</v>
      </c>
      <c r="J92" s="85"/>
      <c r="K92" s="85"/>
      <c r="L92" s="85"/>
      <c r="M92" s="85"/>
      <c r="N92" s="85">
        <v>5882.58</v>
      </c>
      <c r="O92" s="85"/>
      <c r="P92" s="48">
        <f>SUM(compras_mes123[[#This Row],[NETO GRAVADO]:[Otros / No Grav.]])</f>
        <v>124514.61</v>
      </c>
      <c r="Q92" s="49">
        <f>IFERROR(IF(compras_mes123[[#This Row],[CUIT]]="","-",VLOOKUP(compras_mes123[[#This Row],[CUIT]],Lista_CUIT[#All],3,0)),"CUIT NO CARGADO")</f>
        <v>0</v>
      </c>
      <c r="R92" s="49">
        <f>IFERROR(IF(compras_mes123[[#This Row],[CUIT]]="","-",VLOOKUP(compras_mes123[[#This Row],[CUIT]],Lista_CUIT[#All],4,0)),"CUIT NO CARGADO")</f>
        <v>0</v>
      </c>
    </row>
    <row r="93" spans="2:18" x14ac:dyDescent="0.3">
      <c r="B93" s="40">
        <v>45245</v>
      </c>
      <c r="C93" s="41">
        <v>1</v>
      </c>
      <c r="D93" s="42">
        <v>2</v>
      </c>
      <c r="E93" s="43">
        <v>6985</v>
      </c>
      <c r="F93" s="44">
        <v>33714677239</v>
      </c>
      <c r="G93" s="45" t="str">
        <f>IFERROR(IF(compras_mes123[[#This Row],[CUIT]]="","-",VLOOKUP(compras_mes123[[#This Row],[CUIT]],Lista_CUIT[#All],2,0)),"CUIT NO CARGADO")</f>
        <v xml:space="preserve">BOMBAS VAPORIZADORAS </v>
      </c>
      <c r="H93" s="46">
        <v>534325</v>
      </c>
      <c r="I93" s="85">
        <f>IF(compras_mes123[[#This Row],[NETO GRAVADO]]="","",compras_mes123[[#This Row],[NETO GRAVADO]]*0.21)</f>
        <v>112208.25</v>
      </c>
      <c r="J93" s="85"/>
      <c r="K93" s="85"/>
      <c r="L93" s="85"/>
      <c r="M93" s="85"/>
      <c r="N93" s="85"/>
      <c r="O93" s="85"/>
      <c r="P93" s="48">
        <f>SUM(compras_mes123[[#This Row],[NETO GRAVADO]:[Otros / No Grav.]])</f>
        <v>646533.25</v>
      </c>
      <c r="Q93" s="49" t="str">
        <f>IFERROR(IF(compras_mes123[[#This Row],[CUIT]]="","-",VLOOKUP(compras_mes123[[#This Row],[CUIT]],Lista_CUIT[#All],3,0)),"CUIT NO CARGADO")</f>
        <v>GASTOS VEHICULO</v>
      </c>
      <c r="R93" s="49">
        <f>IFERROR(IF(compras_mes123[[#This Row],[CUIT]]="","-",VLOOKUP(compras_mes123[[#This Row],[CUIT]],Lista_CUIT[#All],4,0)),"CUIT NO CARGADO")</f>
        <v>0</v>
      </c>
    </row>
    <row r="94" spans="2:18" x14ac:dyDescent="0.3">
      <c r="B94" s="40">
        <v>45245</v>
      </c>
      <c r="C94" s="41">
        <v>1</v>
      </c>
      <c r="D94" s="42">
        <v>4264</v>
      </c>
      <c r="E94" s="43">
        <v>2960972</v>
      </c>
      <c r="F94" s="44">
        <v>30639453738</v>
      </c>
      <c r="G94" s="45" t="str">
        <f>IFERROR(IF(compras_mes123[[#This Row],[CUIT]]="","-",VLOOKUP(compras_mes123[[#This Row],[CUIT]],Lista_CUIT[#All],2,0)),"CUIT NO CARGADO")</f>
        <v>TELECOM ARG SA</v>
      </c>
      <c r="H94" s="46">
        <v>60849</v>
      </c>
      <c r="I94" s="85">
        <f>IF(compras_mes123[[#This Row],[NETO GRAVADO]]="","",compras_mes123[[#This Row],[NETO GRAVADO]]*0.21)</f>
        <v>12778.289999999999</v>
      </c>
      <c r="J94" s="85"/>
      <c r="K94" s="85"/>
      <c r="L94" s="85"/>
      <c r="M94" s="85"/>
      <c r="N94" s="85">
        <v>5476.41</v>
      </c>
      <c r="O94" s="85"/>
      <c r="P94" s="48">
        <f>SUM(compras_mes123[[#This Row],[NETO GRAVADO]:[Otros / No Grav.]])</f>
        <v>79103.7</v>
      </c>
      <c r="Q94" s="49" t="str">
        <f>IFERROR(IF(compras_mes123[[#This Row],[CUIT]]="","-",VLOOKUP(compras_mes123[[#This Row],[CUIT]],Lista_CUIT[#All],3,0)),"CUIT NO CARGADO")</f>
        <v>Servicios Gas, Luz, etc.</v>
      </c>
      <c r="R94" s="49">
        <f>IFERROR(IF(compras_mes123[[#This Row],[CUIT]]="","-",VLOOKUP(compras_mes123[[#This Row],[CUIT]],Lista_CUIT[#All],4,0)),"CUIT NO CARGADO")</f>
        <v>0</v>
      </c>
    </row>
    <row r="95" spans="2:18" x14ac:dyDescent="0.3">
      <c r="B95" s="230">
        <v>45245</v>
      </c>
      <c r="C95" s="41">
        <v>1</v>
      </c>
      <c r="D95" s="231">
        <v>4264</v>
      </c>
      <c r="E95" s="232">
        <v>2910536</v>
      </c>
      <c r="F95" s="233">
        <v>30639453738</v>
      </c>
      <c r="G95" s="234" t="str">
        <f>IFERROR(IF(compras_mes123[[#This Row],[CUIT]]="","-",VLOOKUP(compras_mes123[[#This Row],[CUIT]],Lista_CUIT[#All],2,0)),"CUIT NO CARGADO")</f>
        <v>TELECOM ARG SA</v>
      </c>
      <c r="H95" s="235">
        <v>23550</v>
      </c>
      <c r="I95" s="85">
        <f>IF(compras_mes123[[#This Row],[NETO GRAVADO]]="","",compras_mes123[[#This Row],[NETO GRAVADO]]*0.21)</f>
        <v>4945.5</v>
      </c>
      <c r="J95" s="236"/>
      <c r="K95" s="236"/>
      <c r="L95" s="236"/>
      <c r="M95" s="236"/>
      <c r="N95" s="236">
        <v>2119.5</v>
      </c>
      <c r="O95" s="236"/>
      <c r="P95" s="237">
        <f>SUM(compras_mes123[[#This Row],[NETO GRAVADO]:[Otros / No Grav.]])</f>
        <v>30615</v>
      </c>
      <c r="Q95" s="238" t="str">
        <f>IFERROR(IF(compras_mes123[[#This Row],[CUIT]]="","-",VLOOKUP(compras_mes123[[#This Row],[CUIT]],Lista_CUIT[#All],3,0)),"CUIT NO CARGADO")</f>
        <v>Servicios Gas, Luz, etc.</v>
      </c>
      <c r="R95" s="238">
        <f>IFERROR(IF(compras_mes123[[#This Row],[CUIT]]="","-",VLOOKUP(compras_mes123[[#This Row],[CUIT]],Lista_CUIT[#All],4,0)),"CUIT NO CARGADO")</f>
        <v>0</v>
      </c>
    </row>
    <row r="96" spans="2:18" x14ac:dyDescent="0.3">
      <c r="B96" s="230">
        <v>45245</v>
      </c>
      <c r="C96" s="41">
        <v>1</v>
      </c>
      <c r="D96" s="231">
        <v>4264</v>
      </c>
      <c r="E96" s="232">
        <v>2914978</v>
      </c>
      <c r="F96" s="233">
        <v>30639453738</v>
      </c>
      <c r="G96" s="234" t="str">
        <f>IFERROR(IF(compras_mes123[[#This Row],[CUIT]]="","-",VLOOKUP(compras_mes123[[#This Row],[CUIT]],Lista_CUIT[#All],2,0)),"CUIT NO CARGADO")</f>
        <v>TELECOM ARG SA</v>
      </c>
      <c r="H96" s="235">
        <v>17500</v>
      </c>
      <c r="I96" s="85">
        <f>IF(compras_mes123[[#This Row],[NETO GRAVADO]]="","",compras_mes123[[#This Row],[NETO GRAVADO]]*0.21)</f>
        <v>3675</v>
      </c>
      <c r="J96" s="236"/>
      <c r="K96" s="236"/>
      <c r="L96" s="236"/>
      <c r="M96" s="236"/>
      <c r="N96" s="236">
        <v>525</v>
      </c>
      <c r="O96" s="236"/>
      <c r="P96" s="237">
        <f>SUM(compras_mes123[[#This Row],[NETO GRAVADO]:[Otros / No Grav.]])</f>
        <v>21700</v>
      </c>
      <c r="Q96" s="238" t="str">
        <f>IFERROR(IF(compras_mes123[[#This Row],[CUIT]]="","-",VLOOKUP(compras_mes123[[#This Row],[CUIT]],Lista_CUIT[#All],3,0)),"CUIT NO CARGADO")</f>
        <v>Servicios Gas, Luz, etc.</v>
      </c>
      <c r="R96" s="238">
        <f>IFERROR(IF(compras_mes123[[#This Row],[CUIT]]="","-",VLOOKUP(compras_mes123[[#This Row],[CUIT]],Lista_CUIT[#All],4,0)),"CUIT NO CARGADO")</f>
        <v>0</v>
      </c>
    </row>
    <row r="97" spans="2:18" x14ac:dyDescent="0.3">
      <c r="B97" s="40">
        <v>45245</v>
      </c>
      <c r="C97" s="41">
        <v>1</v>
      </c>
      <c r="D97" s="42">
        <v>1</v>
      </c>
      <c r="E97" s="43">
        <v>192</v>
      </c>
      <c r="F97" s="44">
        <v>20077604627</v>
      </c>
      <c r="G97" s="45" t="str">
        <f>IFERROR(IF(compras_mes123[[#This Row],[CUIT]]="","-",VLOOKUP(compras_mes123[[#This Row],[CUIT]],Lista_CUIT[#All],2,0)),"CUIT NO CARGADO")</f>
        <v>OCAÑO ENRIQUE</v>
      </c>
      <c r="H97" s="46">
        <v>2531100</v>
      </c>
      <c r="I97" s="85">
        <f>IF(compras_mes123[[#This Row],[NETO GRAVADO]]="","",compras_mes123[[#This Row],[NETO GRAVADO]]*0.21)</f>
        <v>531531</v>
      </c>
      <c r="J97" s="85"/>
      <c r="K97" s="85"/>
      <c r="L97" s="85"/>
      <c r="M97" s="85"/>
      <c r="N97" s="85"/>
      <c r="O97" s="85"/>
      <c r="P97" s="48">
        <f>SUM(compras_mes123[[#This Row],[NETO GRAVADO]:[Otros / No Grav.]])</f>
        <v>3062631</v>
      </c>
      <c r="Q97" s="49">
        <f>IFERROR(IF(compras_mes123[[#This Row],[CUIT]]="","-",VLOOKUP(compras_mes123[[#This Row],[CUIT]],Lista_CUIT[#All],3,0)),"CUIT NO CARGADO")</f>
        <v>0</v>
      </c>
      <c r="R97" s="49">
        <f>IFERROR(IF(compras_mes123[[#This Row],[CUIT]]="","-",VLOOKUP(compras_mes123[[#This Row],[CUIT]],Lista_CUIT[#All],4,0)),"CUIT NO CARGADO")</f>
        <v>0</v>
      </c>
    </row>
    <row r="98" spans="2:18" x14ac:dyDescent="0.3">
      <c r="B98" s="40">
        <v>45245</v>
      </c>
      <c r="C98" s="41">
        <v>1</v>
      </c>
      <c r="D98" s="42">
        <v>2</v>
      </c>
      <c r="E98" s="43">
        <v>3507</v>
      </c>
      <c r="F98" s="44">
        <v>30629863571</v>
      </c>
      <c r="G98" s="45" t="str">
        <f>IFERROR(IF(compras_mes123[[#This Row],[CUIT]]="","-",VLOOKUP(compras_mes123[[#This Row],[CUIT]],Lista_CUIT[#All],2,0)),"CUIT NO CARGADO")</f>
        <v>TECNIMAR S R L</v>
      </c>
      <c r="H98" s="46">
        <v>2714230</v>
      </c>
      <c r="I98" s="85">
        <f>IF(compras_mes123[[#This Row],[NETO GRAVADO]]="","",compras_mes123[[#This Row],[NETO GRAVADO]]*0.21)</f>
        <v>569988.29999999993</v>
      </c>
      <c r="J98" s="85"/>
      <c r="K98" s="85"/>
      <c r="L98" s="85"/>
      <c r="M98" s="85"/>
      <c r="N98" s="85"/>
      <c r="O98" s="85"/>
      <c r="P98" s="48">
        <f>SUM(compras_mes123[[#This Row],[NETO GRAVADO]:[Otros / No Grav.]])</f>
        <v>3284218.3</v>
      </c>
      <c r="Q98" s="49" t="str">
        <f>IFERROR(IF(compras_mes123[[#This Row],[CUIT]]="","-",VLOOKUP(compras_mes123[[#This Row],[CUIT]],Lista_CUIT[#All],3,0)),"CUIT NO CARGADO")</f>
        <v>LABORATORIO</v>
      </c>
      <c r="R98" s="49">
        <f>IFERROR(IF(compras_mes123[[#This Row],[CUIT]]="","-",VLOOKUP(compras_mes123[[#This Row],[CUIT]],Lista_CUIT[#All],4,0)),"CUIT NO CARGADO")</f>
        <v>0</v>
      </c>
    </row>
    <row r="99" spans="2:18" x14ac:dyDescent="0.3">
      <c r="B99" s="40">
        <v>45245</v>
      </c>
      <c r="C99" s="41">
        <v>1</v>
      </c>
      <c r="D99" s="42">
        <v>6850</v>
      </c>
      <c r="E99" s="43">
        <v>18281</v>
      </c>
      <c r="F99" s="44">
        <v>30678774495</v>
      </c>
      <c r="G99" s="45" t="str">
        <f>IFERROR(IF(compras_mes123[[#This Row],[CUIT]]="","-",VLOOKUP(compras_mes123[[#This Row],[CUIT]],Lista_CUIT[#All],2,0)),"CUIT NO CARGADO")</f>
        <v>OPER. DE EST. DE SERV. SA</v>
      </c>
      <c r="H99" s="46">
        <v>2268.4699999999998</v>
      </c>
      <c r="I99" s="85">
        <f>IF(compras_mes123[[#This Row],[NETO GRAVADO]]="","",compras_mes123[[#This Row],[NETO GRAVADO]]*0.21)</f>
        <v>476.37869999999992</v>
      </c>
      <c r="J99" s="85"/>
      <c r="K99" s="85"/>
      <c r="L99" s="85"/>
      <c r="M99" s="85"/>
      <c r="N99" s="85"/>
      <c r="O99" s="85">
        <v>255.14</v>
      </c>
      <c r="P99" s="48">
        <f>SUM(compras_mes123[[#This Row],[NETO GRAVADO]:[Otros / No Grav.]])</f>
        <v>2999.9886999999994</v>
      </c>
      <c r="Q99" s="49" t="str">
        <f>IFERROR(IF(compras_mes123[[#This Row],[CUIT]]="","-",VLOOKUP(compras_mes123[[#This Row],[CUIT]],Lista_CUIT[#All],3,0)),"CUIT NO CARGADO")</f>
        <v>Combustibe</v>
      </c>
      <c r="R99" s="49">
        <f>IFERROR(IF(compras_mes123[[#This Row],[CUIT]]="","-",VLOOKUP(compras_mes123[[#This Row],[CUIT]],Lista_CUIT[#All],4,0)),"CUIT NO CARGADO")</f>
        <v>0</v>
      </c>
    </row>
    <row r="100" spans="2:18" x14ac:dyDescent="0.3">
      <c r="B100" s="40">
        <v>45246</v>
      </c>
      <c r="C100" s="41">
        <v>1</v>
      </c>
      <c r="D100" s="42">
        <v>7</v>
      </c>
      <c r="E100" s="43">
        <v>2037</v>
      </c>
      <c r="F100" s="44">
        <v>20134664518</v>
      </c>
      <c r="G100" s="45" t="str">
        <f>IFERROR(IF(compras_mes123[[#This Row],[CUIT]]="","-",VLOOKUP(compras_mes123[[#This Row],[CUIT]],Lista_CUIT[#All],2,0)),"CUIT NO CARGADO")</f>
        <v>HOKAMA SERGIO ENRIQUE</v>
      </c>
      <c r="H100" s="46">
        <v>15202.12</v>
      </c>
      <c r="I100" s="85">
        <f>IF(compras_mes123[[#This Row],[NETO GRAVADO]]="","",compras_mes123[[#This Row],[NETO GRAVADO]]*0.21)</f>
        <v>3192.4452000000001</v>
      </c>
      <c r="J100" s="85"/>
      <c r="K100" s="85"/>
      <c r="L100" s="85"/>
      <c r="M100" s="85"/>
      <c r="N100" s="85"/>
      <c r="O100" s="85"/>
      <c r="P100" s="48">
        <f>SUM(compras_mes123[[#This Row],[NETO GRAVADO]:[Otros / No Grav.]])</f>
        <v>18394.565200000001</v>
      </c>
      <c r="Q100" s="49" t="str">
        <f>IFERROR(IF(compras_mes123[[#This Row],[CUIT]]="","-",VLOOKUP(compras_mes123[[#This Row],[CUIT]],Lista_CUIT[#All],3,0)),"CUIT NO CARGADO")</f>
        <v>Gastos Varios</v>
      </c>
      <c r="R100" s="49" t="str">
        <f>IFERROR(IF(compras_mes123[[#This Row],[CUIT]]="","-",VLOOKUP(compras_mes123[[#This Row],[CUIT]],Lista_CUIT[#All],4,0)),"CUIT NO CARGADO")</f>
        <v>BUENOS AIRES</v>
      </c>
    </row>
    <row r="101" spans="2:18" x14ac:dyDescent="0.3">
      <c r="B101" s="40">
        <v>45246</v>
      </c>
      <c r="C101" s="41">
        <v>1</v>
      </c>
      <c r="D101" s="42">
        <v>4</v>
      </c>
      <c r="E101" s="43">
        <v>8668</v>
      </c>
      <c r="F101" s="44">
        <v>30708637587</v>
      </c>
      <c r="G101" s="45" t="str">
        <f>IFERROR(IF(compras_mes123[[#This Row],[CUIT]]="","-",VLOOKUP(compras_mes123[[#This Row],[CUIT]],Lista_CUIT[#All],2,0)),"CUIT NO CARGADO")</f>
        <v>ASERRADERO JARDIN SRL</v>
      </c>
      <c r="H101" s="46">
        <v>63041.32</v>
      </c>
      <c r="I101" s="85">
        <f>IF(compras_mes123[[#This Row],[NETO GRAVADO]]="","",compras_mes123[[#This Row],[NETO GRAVADO]]*0.21)</f>
        <v>13238.6772</v>
      </c>
      <c r="J101" s="85"/>
      <c r="K101" s="85"/>
      <c r="L101" s="85"/>
      <c r="M101" s="85"/>
      <c r="N101" s="85"/>
      <c r="O101" s="85"/>
      <c r="P101" s="48">
        <f>SUM(compras_mes123[[#This Row],[NETO GRAVADO]:[Otros / No Grav.]])</f>
        <v>76279.997199999998</v>
      </c>
      <c r="Q101" s="49">
        <f>IFERROR(IF(compras_mes123[[#This Row],[CUIT]]="","-",VLOOKUP(compras_mes123[[#This Row],[CUIT]],Lista_CUIT[#All],3,0)),"CUIT NO CARGADO")</f>
        <v>0</v>
      </c>
      <c r="R101" s="49">
        <f>IFERROR(IF(compras_mes123[[#This Row],[CUIT]]="","-",VLOOKUP(compras_mes123[[#This Row],[CUIT]],Lista_CUIT[#All],4,0)),"CUIT NO CARGADO")</f>
        <v>0</v>
      </c>
    </row>
    <row r="102" spans="2:18" x14ac:dyDescent="0.3">
      <c r="B102" s="40">
        <v>45246</v>
      </c>
      <c r="C102" s="41">
        <v>1</v>
      </c>
      <c r="D102" s="42">
        <v>4</v>
      </c>
      <c r="E102" s="43">
        <v>8669</v>
      </c>
      <c r="F102" s="44">
        <v>30708637587</v>
      </c>
      <c r="G102" s="45" t="str">
        <f>IFERROR(IF(compras_mes123[[#This Row],[CUIT]]="","-",VLOOKUP(compras_mes123[[#This Row],[CUIT]],Lista_CUIT[#All],2,0)),"CUIT NO CARGADO")</f>
        <v>ASERRADERO JARDIN SRL</v>
      </c>
      <c r="H102" s="46">
        <v>7685.95</v>
      </c>
      <c r="I102" s="85">
        <f>IF(compras_mes123[[#This Row],[NETO GRAVADO]]="","",compras_mes123[[#This Row],[NETO GRAVADO]]*0.21)</f>
        <v>1614.0494999999999</v>
      </c>
      <c r="J102" s="85"/>
      <c r="K102" s="85"/>
      <c r="L102" s="85"/>
      <c r="M102" s="85"/>
      <c r="N102" s="85"/>
      <c r="O102" s="85"/>
      <c r="P102" s="48">
        <f>SUM(compras_mes123[[#This Row],[NETO GRAVADO]:[Otros / No Grav.]])</f>
        <v>9299.9994999999999</v>
      </c>
      <c r="Q102" s="49">
        <f>IFERROR(IF(compras_mes123[[#This Row],[CUIT]]="","-",VLOOKUP(compras_mes123[[#This Row],[CUIT]],Lista_CUIT[#All],3,0)),"CUIT NO CARGADO")</f>
        <v>0</v>
      </c>
      <c r="R102" s="49">
        <f>IFERROR(IF(compras_mes123[[#This Row],[CUIT]]="","-",VLOOKUP(compras_mes123[[#This Row],[CUIT]],Lista_CUIT[#All],4,0)),"CUIT NO CARGADO")</f>
        <v>0</v>
      </c>
    </row>
    <row r="103" spans="2:18" x14ac:dyDescent="0.3">
      <c r="B103" s="40">
        <v>45246</v>
      </c>
      <c r="C103" s="41">
        <v>1</v>
      </c>
      <c r="D103" s="42">
        <v>2</v>
      </c>
      <c r="E103" s="43">
        <v>2068</v>
      </c>
      <c r="F103" s="44">
        <v>20184094526</v>
      </c>
      <c r="G103" s="45" t="str">
        <f>IFERROR(IF(compras_mes123[[#This Row],[CUIT]]="","-",VLOOKUP(compras_mes123[[#This Row],[CUIT]],Lista_CUIT[#All],2,0)),"CUIT NO CARGADO")</f>
        <v>DI BLASIO CARLOS DANIEL</v>
      </c>
      <c r="H103" s="46">
        <v>22000</v>
      </c>
      <c r="I103" s="85">
        <f>IF(compras_mes123[[#This Row],[NETO GRAVADO]]="","",compras_mes123[[#This Row],[NETO GRAVADO]]*0.21)</f>
        <v>4620</v>
      </c>
      <c r="J103" s="85"/>
      <c r="K103" s="85"/>
      <c r="L103" s="85"/>
      <c r="M103" s="85"/>
      <c r="N103" s="85"/>
      <c r="O103" s="85"/>
      <c r="P103" s="48">
        <f>SUM(compras_mes123[[#This Row],[NETO GRAVADO]:[Otros / No Grav.]])</f>
        <v>26620</v>
      </c>
      <c r="Q103" s="49">
        <f>IFERROR(IF(compras_mes123[[#This Row],[CUIT]]="","-",VLOOKUP(compras_mes123[[#This Row],[CUIT]],Lista_CUIT[#All],3,0)),"CUIT NO CARGADO")</f>
        <v>0</v>
      </c>
      <c r="R103" s="49">
        <f>IFERROR(IF(compras_mes123[[#This Row],[CUIT]]="","-",VLOOKUP(compras_mes123[[#This Row],[CUIT]],Lista_CUIT[#All],4,0)),"CUIT NO CARGADO")</f>
        <v>0</v>
      </c>
    </row>
    <row r="104" spans="2:18" x14ac:dyDescent="0.3">
      <c r="B104" s="40">
        <v>45246</v>
      </c>
      <c r="C104" s="41">
        <v>1</v>
      </c>
      <c r="D104" s="42">
        <v>2</v>
      </c>
      <c r="E104" s="43">
        <v>3513</v>
      </c>
      <c r="F104" s="44">
        <v>30629863571</v>
      </c>
      <c r="G104" s="45" t="str">
        <f>IFERROR(IF(compras_mes123[[#This Row],[CUIT]]="","-",VLOOKUP(compras_mes123[[#This Row],[CUIT]],Lista_CUIT[#All],2,0)),"CUIT NO CARGADO")</f>
        <v>TECNIMAR S R L</v>
      </c>
      <c r="H104" s="46">
        <v>1166400</v>
      </c>
      <c r="I104" s="85">
        <f>IF(compras_mes123[[#This Row],[NETO GRAVADO]]="","",compras_mes123[[#This Row],[NETO GRAVADO]]*0.21)</f>
        <v>244944</v>
      </c>
      <c r="J104" s="85"/>
      <c r="K104" s="85"/>
      <c r="L104" s="85"/>
      <c r="M104" s="85"/>
      <c r="N104" s="85"/>
      <c r="O104" s="85"/>
      <c r="P104" s="48">
        <f>SUM(compras_mes123[[#This Row],[NETO GRAVADO]:[Otros / No Grav.]])</f>
        <v>1411344</v>
      </c>
      <c r="Q104" s="49" t="str">
        <f>IFERROR(IF(compras_mes123[[#This Row],[CUIT]]="","-",VLOOKUP(compras_mes123[[#This Row],[CUIT]],Lista_CUIT[#All],3,0)),"CUIT NO CARGADO")</f>
        <v>LABORATORIO</v>
      </c>
      <c r="R104" s="49">
        <f>IFERROR(IF(compras_mes123[[#This Row],[CUIT]]="","-",VLOOKUP(compras_mes123[[#This Row],[CUIT]],Lista_CUIT[#All],4,0)),"CUIT NO CARGADO")</f>
        <v>0</v>
      </c>
    </row>
    <row r="105" spans="2:18" x14ac:dyDescent="0.3">
      <c r="B105" s="40">
        <v>45247</v>
      </c>
      <c r="C105" s="41">
        <v>1</v>
      </c>
      <c r="D105" s="42">
        <v>629</v>
      </c>
      <c r="E105" s="43">
        <v>4660703</v>
      </c>
      <c r="F105" s="44">
        <v>30663498513</v>
      </c>
      <c r="G105" s="45" t="str">
        <f>IFERROR(IF(compras_mes123[[#This Row],[CUIT]]="","-",VLOOKUP(compras_mes123[[#This Row],[CUIT]],Lista_CUIT[#All],2,0)),"CUIT NO CARGADO")</f>
        <v>GRUPO CONCES. DEL OESTE SA</v>
      </c>
      <c r="H105" s="46">
        <v>4504.18</v>
      </c>
      <c r="I105" s="85">
        <f>IF(compras_mes123[[#This Row],[NETO GRAVADO]]="","",compras_mes123[[#This Row],[NETO GRAVADO]]*0.21)</f>
        <v>945.87779999999998</v>
      </c>
      <c r="J105" s="85"/>
      <c r="K105" s="85"/>
      <c r="L105" s="85"/>
      <c r="M105" s="85"/>
      <c r="N105" s="85"/>
      <c r="O105" s="85"/>
      <c r="P105" s="48">
        <f>SUM(compras_mes123[[#This Row],[NETO GRAVADO]:[Otros / No Grav.]])</f>
        <v>5450.0578000000005</v>
      </c>
      <c r="Q105" s="49">
        <f>IFERROR(IF(compras_mes123[[#This Row],[CUIT]]="","-",VLOOKUP(compras_mes123[[#This Row],[CUIT]],Lista_CUIT[#All],3,0)),"CUIT NO CARGADO")</f>
        <v>0</v>
      </c>
      <c r="R105" s="49">
        <f>IFERROR(IF(compras_mes123[[#This Row],[CUIT]]="","-",VLOOKUP(compras_mes123[[#This Row],[CUIT]],Lista_CUIT[#All],4,0)),"CUIT NO CARGADO")</f>
        <v>0</v>
      </c>
    </row>
    <row r="106" spans="2:18" x14ac:dyDescent="0.3">
      <c r="B106" s="40">
        <v>45247</v>
      </c>
      <c r="C106" s="41">
        <v>1</v>
      </c>
      <c r="D106" s="42">
        <v>4487</v>
      </c>
      <c r="E106" s="43">
        <v>185</v>
      </c>
      <c r="F106" s="44">
        <v>30685849751</v>
      </c>
      <c r="G106" s="45" t="str">
        <f>IFERROR(IF(compras_mes123[[#This Row],[CUIT]]="","-",VLOOKUP(compras_mes123[[#This Row],[CUIT]],Lista_CUIT[#All],2,0)),"CUIT NO CARGADO")</f>
        <v>DIA ARGENTINA S A</v>
      </c>
      <c r="H106" s="46">
        <v>17744.54</v>
      </c>
      <c r="I106" s="85">
        <v>3264.73</v>
      </c>
      <c r="J106" s="85"/>
      <c r="K106" s="85">
        <v>63.23</v>
      </c>
      <c r="L106" s="85"/>
      <c r="M106" s="85"/>
      <c r="N106" s="85"/>
      <c r="O106" s="85"/>
      <c r="P106" s="48">
        <f>SUM(compras_mes123[[#This Row],[NETO GRAVADO]:[Otros / No Grav.]])</f>
        <v>21072.5</v>
      </c>
      <c r="Q106" s="49">
        <f>IFERROR(IF(compras_mes123[[#This Row],[CUIT]]="","-",VLOOKUP(compras_mes123[[#This Row],[CUIT]],Lista_CUIT[#All],3,0)),"CUIT NO CARGADO")</f>
        <v>0</v>
      </c>
      <c r="R106" s="49">
        <f>IFERROR(IF(compras_mes123[[#This Row],[CUIT]]="","-",VLOOKUP(compras_mes123[[#This Row],[CUIT]],Lista_CUIT[#All],4,0)),"CUIT NO CARGADO")</f>
        <v>0</v>
      </c>
    </row>
    <row r="107" spans="2:18" x14ac:dyDescent="0.3">
      <c r="B107" s="40">
        <v>45247</v>
      </c>
      <c r="C107" s="41">
        <v>1</v>
      </c>
      <c r="D107" s="42">
        <v>711</v>
      </c>
      <c r="E107" s="43">
        <v>5009188</v>
      </c>
      <c r="F107" s="44">
        <v>30677237119</v>
      </c>
      <c r="G107" s="45" t="str">
        <f>IFERROR(IF(compras_mes123[[#This Row],[CUIT]]="","-",VLOOKUP(compras_mes123[[#This Row],[CUIT]],Lista_CUIT[#All],2,0)),"CUIT NO CARGADO")</f>
        <v>AUTOPISTAS DEL SOL S A</v>
      </c>
      <c r="H107" s="46">
        <v>4049.65</v>
      </c>
      <c r="I107" s="85">
        <v>850.35</v>
      </c>
      <c r="J107" s="85"/>
      <c r="K107" s="85"/>
      <c r="L107" s="85"/>
      <c r="M107" s="85"/>
      <c r="N107" s="85"/>
      <c r="O107" s="85">
        <v>121.49</v>
      </c>
      <c r="P107" s="48">
        <f>SUM(compras_mes123[[#This Row],[NETO GRAVADO]:[Otros / No Grav.]])</f>
        <v>5021.49</v>
      </c>
      <c r="Q107" s="49">
        <f>IFERROR(IF(compras_mes123[[#This Row],[CUIT]]="","-",VLOOKUP(compras_mes123[[#This Row],[CUIT]],Lista_CUIT[#All],3,0)),"CUIT NO CARGADO")</f>
        <v>0</v>
      </c>
      <c r="R107" s="49">
        <f>IFERROR(IF(compras_mes123[[#This Row],[CUIT]]="","-",VLOOKUP(compras_mes123[[#This Row],[CUIT]],Lista_CUIT[#All],4,0)),"CUIT NO CARGADO")</f>
        <v>0</v>
      </c>
    </row>
    <row r="108" spans="2:18" x14ac:dyDescent="0.3">
      <c r="B108" s="40">
        <v>45247</v>
      </c>
      <c r="C108" s="41">
        <v>1</v>
      </c>
      <c r="D108" s="42">
        <v>10</v>
      </c>
      <c r="E108" s="43">
        <v>7638</v>
      </c>
      <c r="F108" s="44">
        <v>20357275882</v>
      </c>
      <c r="G108" s="45" t="str">
        <f>IFERROR(IF(compras_mes123[[#This Row],[CUIT]]="","-",VLOOKUP(compras_mes123[[#This Row],[CUIT]],Lista_CUIT[#All],2,0)),"CUIT NO CARGADO")</f>
        <v>ANTEDORO JEREMIAS FABIAN</v>
      </c>
      <c r="H108" s="46">
        <v>26192.959999999999</v>
      </c>
      <c r="I108" s="85">
        <f>IF(compras_mes123[[#This Row],[NETO GRAVADO]]="","",compras_mes123[[#This Row],[NETO GRAVADO]]*0.21)</f>
        <v>5500.5216</v>
      </c>
      <c r="J108" s="85"/>
      <c r="K108" s="85"/>
      <c r="L108" s="85"/>
      <c r="M108" s="85"/>
      <c r="N108" s="85"/>
      <c r="O108" s="85"/>
      <c r="P108" s="48">
        <f>SUM(compras_mes123[[#This Row],[NETO GRAVADO]:[Otros / No Grav.]])</f>
        <v>31693.481599999999</v>
      </c>
      <c r="Q108" s="49">
        <f>IFERROR(IF(compras_mes123[[#This Row],[CUIT]]="","-",VLOOKUP(compras_mes123[[#This Row],[CUIT]],Lista_CUIT[#All],3,0)),"CUIT NO CARGADO")</f>
        <v>0</v>
      </c>
      <c r="R108" s="49">
        <f>IFERROR(IF(compras_mes123[[#This Row],[CUIT]]="","-",VLOOKUP(compras_mes123[[#This Row],[CUIT]],Lista_CUIT[#All],4,0)),"CUIT NO CARGADO")</f>
        <v>0</v>
      </c>
    </row>
    <row r="109" spans="2:18" x14ac:dyDescent="0.3">
      <c r="B109" s="40">
        <v>45247</v>
      </c>
      <c r="C109" s="41">
        <v>1</v>
      </c>
      <c r="D109" s="42">
        <v>6854</v>
      </c>
      <c r="E109" s="43">
        <v>12055</v>
      </c>
      <c r="F109" s="44">
        <v>30678774495</v>
      </c>
      <c r="G109" s="45" t="str">
        <f>IFERROR(IF(compras_mes123[[#This Row],[CUIT]]="","-",VLOOKUP(compras_mes123[[#This Row],[CUIT]],Lista_CUIT[#All],2,0)),"CUIT NO CARGADO")</f>
        <v>OPER. DE EST. DE SERV. SA</v>
      </c>
      <c r="H109" s="46">
        <v>6276.12</v>
      </c>
      <c r="I109" s="85">
        <f>IF(compras_mes123[[#This Row],[NETO GRAVADO]]="","",compras_mes123[[#This Row],[NETO GRAVADO]]*0.21)</f>
        <v>1317.9851999999998</v>
      </c>
      <c r="J109" s="85"/>
      <c r="K109" s="85"/>
      <c r="L109" s="85"/>
      <c r="M109" s="85"/>
      <c r="N109" s="85"/>
      <c r="O109" s="85">
        <v>705.9</v>
      </c>
      <c r="P109" s="48">
        <f>SUM(compras_mes123[[#This Row],[NETO GRAVADO]:[Otros / No Grav.]])</f>
        <v>8300.0051999999996</v>
      </c>
      <c r="Q109" s="49" t="str">
        <f>IFERROR(IF(compras_mes123[[#This Row],[CUIT]]="","-",VLOOKUP(compras_mes123[[#This Row],[CUIT]],Lista_CUIT[#All],3,0)),"CUIT NO CARGADO")</f>
        <v>Combustibe</v>
      </c>
      <c r="R109" s="49">
        <f>IFERROR(IF(compras_mes123[[#This Row],[CUIT]]="","-",VLOOKUP(compras_mes123[[#This Row],[CUIT]],Lista_CUIT[#All],4,0)),"CUIT NO CARGADO")</f>
        <v>0</v>
      </c>
    </row>
    <row r="110" spans="2:18" x14ac:dyDescent="0.3">
      <c r="B110" s="40">
        <v>45247</v>
      </c>
      <c r="C110" s="41">
        <v>1</v>
      </c>
      <c r="D110" s="42">
        <v>26</v>
      </c>
      <c r="E110" s="43">
        <v>56989</v>
      </c>
      <c r="F110" s="44">
        <v>30544110035</v>
      </c>
      <c r="G110" s="45" t="str">
        <f>IFERROR(IF(compras_mes123[[#This Row],[CUIT]]="","-",VLOOKUP(compras_mes123[[#This Row],[CUIT]],Lista_CUIT[#All],2,0)),"CUIT NO CARGADO")</f>
        <v>EXPRESO SANTA ROSA S A </v>
      </c>
      <c r="H110" s="46">
        <v>5313.28</v>
      </c>
      <c r="I110" s="85">
        <f>IF(compras_mes123[[#This Row],[NETO GRAVADO]]="","",compras_mes123[[#This Row],[NETO GRAVADO]]*0.21)</f>
        <v>1115.7887999999998</v>
      </c>
      <c r="J110" s="85"/>
      <c r="K110" s="85"/>
      <c r="L110" s="85"/>
      <c r="M110" s="85"/>
      <c r="N110" s="85"/>
      <c r="O110" s="85"/>
      <c r="P110" s="48">
        <f>SUM(compras_mes123[[#This Row],[NETO GRAVADO]:[Otros / No Grav.]])</f>
        <v>6429.0687999999991</v>
      </c>
      <c r="Q110" s="49">
        <f>IFERROR(IF(compras_mes123[[#This Row],[CUIT]]="","-",VLOOKUP(compras_mes123[[#This Row],[CUIT]],Lista_CUIT[#All],3,0)),"CUIT NO CARGADO")</f>
        <v>0</v>
      </c>
      <c r="R110" s="49">
        <f>IFERROR(IF(compras_mes123[[#This Row],[CUIT]]="","-",VLOOKUP(compras_mes123[[#This Row],[CUIT]],Lista_CUIT[#All],4,0)),"CUIT NO CARGADO")</f>
        <v>0</v>
      </c>
    </row>
    <row r="111" spans="2:18" x14ac:dyDescent="0.3">
      <c r="B111" s="40">
        <v>45247</v>
      </c>
      <c r="C111" s="41">
        <v>1</v>
      </c>
      <c r="D111" s="42">
        <v>5014</v>
      </c>
      <c r="E111" s="43">
        <v>530312</v>
      </c>
      <c r="F111" s="44">
        <v>30574876474</v>
      </c>
      <c r="G111" s="45" t="str">
        <f>IFERROR(IF(compras_mes123[[#This Row],[CUIT]]="","-",VLOOKUP(compras_mes123[[#This Row],[CUIT]],Lista_CUIT[#All],2,0)),"CUIT NO CARGADO")</f>
        <v>AUTOPISTAS URBANAS S A</v>
      </c>
      <c r="H111" s="46">
        <v>30176.68</v>
      </c>
      <c r="I111" s="85">
        <v>6336.93</v>
      </c>
      <c r="J111" s="85"/>
      <c r="K111" s="85"/>
      <c r="L111" s="85"/>
      <c r="M111" s="85">
        <v>905.28</v>
      </c>
      <c r="N111" s="85"/>
      <c r="O111" s="85">
        <v>3017.59</v>
      </c>
      <c r="P111" s="48">
        <f>SUM(compras_mes123[[#This Row],[NETO GRAVADO]:[Otros / No Grav.]])</f>
        <v>40436.479999999996</v>
      </c>
      <c r="Q111" s="49">
        <f>IFERROR(IF(compras_mes123[[#This Row],[CUIT]]="","-",VLOOKUP(compras_mes123[[#This Row],[CUIT]],Lista_CUIT[#All],3,0)),"CUIT NO CARGADO")</f>
        <v>0</v>
      </c>
      <c r="R111" s="49">
        <f>IFERROR(IF(compras_mes123[[#This Row],[CUIT]]="","-",VLOOKUP(compras_mes123[[#This Row],[CUIT]],Lista_CUIT[#All],4,0)),"CUIT NO CARGADO")</f>
        <v>0</v>
      </c>
    </row>
    <row r="112" spans="2:18" x14ac:dyDescent="0.3">
      <c r="B112" s="40">
        <v>45247</v>
      </c>
      <c r="C112" s="41">
        <v>1</v>
      </c>
      <c r="D112" s="42">
        <v>4</v>
      </c>
      <c r="E112" s="43">
        <v>22943</v>
      </c>
      <c r="F112" s="44">
        <v>30552433595</v>
      </c>
      <c r="G112" s="45" t="str">
        <f>IFERROR(IF(compras_mes123[[#This Row],[CUIT]]="","-",VLOOKUP(compras_mes123[[#This Row],[CUIT]],Lista_CUIT[#All],2,0)),"CUIT NO CARGADO")</f>
        <v>PIROPLAST SRL</v>
      </c>
      <c r="H112" s="46">
        <v>1346442.08</v>
      </c>
      <c r="I112" s="85">
        <f>IF(compras_mes123[[#This Row],[NETO GRAVADO]]="","",compras_mes123[[#This Row],[NETO GRAVADO]]*0.21)</f>
        <v>282752.83679999999</v>
      </c>
      <c r="J112" s="85"/>
      <c r="K112" s="85"/>
      <c r="L112" s="85"/>
      <c r="M112" s="85"/>
      <c r="N112" s="85"/>
      <c r="O112" s="85"/>
      <c r="P112" s="48">
        <f>SUM(compras_mes123[[#This Row],[NETO GRAVADO]:[Otros / No Grav.]])</f>
        <v>1629194.9168</v>
      </c>
      <c r="Q112" s="49" t="str">
        <f>IFERROR(IF(compras_mes123[[#This Row],[CUIT]]="","-",VLOOKUP(compras_mes123[[#This Row],[CUIT]],Lista_CUIT[#All],3,0)),"CUIT NO CARGADO")</f>
        <v>Insumo</v>
      </c>
      <c r="R112" s="49">
        <f>IFERROR(IF(compras_mes123[[#This Row],[CUIT]]="","-",VLOOKUP(compras_mes123[[#This Row],[CUIT]],Lista_CUIT[#All],4,0)),"CUIT NO CARGADO")</f>
        <v>0</v>
      </c>
    </row>
    <row r="113" spans="2:18" x14ac:dyDescent="0.3">
      <c r="B113" s="40">
        <v>45247</v>
      </c>
      <c r="C113" s="41">
        <v>1</v>
      </c>
      <c r="D113" s="42">
        <v>11</v>
      </c>
      <c r="E113" s="43">
        <v>621</v>
      </c>
      <c r="F113" s="44">
        <v>20383253528</v>
      </c>
      <c r="G113" s="45" t="str">
        <f>IFERROR(IF(compras_mes123[[#This Row],[CUIT]]="","-",VLOOKUP(compras_mes123[[#This Row],[CUIT]],Lista_CUIT[#All],2,0)),"CUIT NO CARGADO")</f>
        <v>ELIAS AGUSTIN FARIAS DUARTE</v>
      </c>
      <c r="H113" s="46">
        <v>132954</v>
      </c>
      <c r="I113" s="85">
        <f>IF(compras_mes123[[#This Row],[NETO GRAVADO]]="","",compras_mes123[[#This Row],[NETO GRAVADO]]*0.21)</f>
        <v>27920.34</v>
      </c>
      <c r="J113" s="85"/>
      <c r="K113" s="85"/>
      <c r="L113" s="85"/>
      <c r="M113" s="85"/>
      <c r="N113" s="85"/>
      <c r="O113" s="85"/>
      <c r="P113" s="48">
        <f>SUM(compras_mes123[[#This Row],[NETO GRAVADO]:[Otros / No Grav.]])</f>
        <v>160874.34</v>
      </c>
      <c r="Q113" s="49">
        <f>IFERROR(IF(compras_mes123[[#This Row],[CUIT]]="","-",VLOOKUP(compras_mes123[[#This Row],[CUIT]],Lista_CUIT[#All],3,0)),"CUIT NO CARGADO")</f>
        <v>0</v>
      </c>
      <c r="R113" s="49">
        <f>IFERROR(IF(compras_mes123[[#This Row],[CUIT]]="","-",VLOOKUP(compras_mes123[[#This Row],[CUIT]],Lista_CUIT[#All],4,0)),"CUIT NO CARGADO")</f>
        <v>0</v>
      </c>
    </row>
    <row r="114" spans="2:18" x14ac:dyDescent="0.3">
      <c r="B114" s="40">
        <v>45247</v>
      </c>
      <c r="C114" s="41">
        <v>1</v>
      </c>
      <c r="D114" s="42">
        <v>1</v>
      </c>
      <c r="E114" s="43">
        <v>698</v>
      </c>
      <c r="F114" s="44">
        <v>30715048066</v>
      </c>
      <c r="G114" s="45" t="str">
        <f>IFERROR(IF(compras_mes123[[#This Row],[CUIT]]="","-",VLOOKUP(compras_mes123[[#This Row],[CUIT]],Lista_CUIT[#All],2,0)),"CUIT NO CARGADO")</f>
        <v>ROLLS Y EMPANADAS SA</v>
      </c>
      <c r="H114" s="46">
        <v>389100</v>
      </c>
      <c r="I114" s="85">
        <f>IF(compras_mes123[[#This Row],[NETO GRAVADO]]="","",compras_mes123[[#This Row],[NETO GRAVADO]]*0.21)</f>
        <v>81711</v>
      </c>
      <c r="J114" s="85"/>
      <c r="K114" s="85"/>
      <c r="L114" s="85"/>
      <c r="M114" s="85"/>
      <c r="N114" s="85"/>
      <c r="O114" s="85"/>
      <c r="P114" s="48">
        <f>SUM(compras_mes123[[#This Row],[NETO GRAVADO]:[Otros / No Grav.]])</f>
        <v>470811</v>
      </c>
      <c r="Q114" s="49" t="str">
        <f>IFERROR(IF(compras_mes123[[#This Row],[CUIT]]="","-",VLOOKUP(compras_mes123[[#This Row],[CUIT]],Lista_CUIT[#All],3,0)),"CUIT NO CARGADO")</f>
        <v>CATERING</v>
      </c>
      <c r="R114" s="49">
        <f>IFERROR(IF(compras_mes123[[#This Row],[CUIT]]="","-",VLOOKUP(compras_mes123[[#This Row],[CUIT]],Lista_CUIT[#All],4,0)),"CUIT NO CARGADO")</f>
        <v>0</v>
      </c>
    </row>
    <row r="115" spans="2:18" x14ac:dyDescent="0.3">
      <c r="B115" s="40">
        <v>45247</v>
      </c>
      <c r="C115" s="41">
        <v>1</v>
      </c>
      <c r="D115" s="42">
        <v>1</v>
      </c>
      <c r="E115" s="43">
        <v>699</v>
      </c>
      <c r="F115" s="44">
        <v>30715048066</v>
      </c>
      <c r="G115" s="45" t="str">
        <f>IFERROR(IF(compras_mes123[[#This Row],[CUIT]]="","-",VLOOKUP(compras_mes123[[#This Row],[CUIT]],Lista_CUIT[#All],2,0)),"CUIT NO CARGADO")</f>
        <v>ROLLS Y EMPANADAS SA</v>
      </c>
      <c r="H115" s="46">
        <v>407300</v>
      </c>
      <c r="I115" s="85">
        <f>IF(compras_mes123[[#This Row],[NETO GRAVADO]]="","",compras_mes123[[#This Row],[NETO GRAVADO]]*0.21)</f>
        <v>85533</v>
      </c>
      <c r="J115" s="85"/>
      <c r="K115" s="85"/>
      <c r="L115" s="85"/>
      <c r="M115" s="85"/>
      <c r="N115" s="85"/>
      <c r="O115" s="85"/>
      <c r="P115" s="48">
        <f>SUM(compras_mes123[[#This Row],[NETO GRAVADO]:[Otros / No Grav.]])</f>
        <v>492833</v>
      </c>
      <c r="Q115" s="49" t="str">
        <f>IFERROR(IF(compras_mes123[[#This Row],[CUIT]]="","-",VLOOKUP(compras_mes123[[#This Row],[CUIT]],Lista_CUIT[#All],3,0)),"CUIT NO CARGADO")</f>
        <v>CATERING</v>
      </c>
      <c r="R115" s="49">
        <f>IFERROR(IF(compras_mes123[[#This Row],[CUIT]]="","-",VLOOKUP(compras_mes123[[#This Row],[CUIT]],Lista_CUIT[#All],4,0)),"CUIT NO CARGADO")</f>
        <v>0</v>
      </c>
    </row>
    <row r="116" spans="2:18" x14ac:dyDescent="0.3">
      <c r="B116" s="40">
        <v>45247</v>
      </c>
      <c r="C116" s="41">
        <v>1</v>
      </c>
      <c r="D116" s="42">
        <v>3</v>
      </c>
      <c r="E116" s="43">
        <v>1001</v>
      </c>
      <c r="F116" s="44">
        <v>23142556499</v>
      </c>
      <c r="G116" s="45" t="str">
        <f>IFERROR(IF(compras_mes123[[#This Row],[CUIT]]="","-",VLOOKUP(compras_mes123[[#This Row],[CUIT]],Lista_CUIT[#All],2,0)),"CUIT NO CARGADO")</f>
        <v>URRUTIA DANIEL ALBERTO</v>
      </c>
      <c r="H116" s="46">
        <v>7933.89</v>
      </c>
      <c r="I116" s="85">
        <f>IF(compras_mes123[[#This Row],[NETO GRAVADO]]="","",compras_mes123[[#This Row],[NETO GRAVADO]]*0.21)</f>
        <v>1666.1169</v>
      </c>
      <c r="J116" s="85"/>
      <c r="K116" s="85"/>
      <c r="L116" s="85"/>
      <c r="M116" s="85"/>
      <c r="N116" s="85"/>
      <c r="O116" s="85"/>
      <c r="P116" s="48">
        <f>SUM(compras_mes123[[#This Row],[NETO GRAVADO]:[Otros / No Grav.]])</f>
        <v>9600.0069000000003</v>
      </c>
      <c r="Q116" s="49">
        <f>IFERROR(IF(compras_mes123[[#This Row],[CUIT]]="","-",VLOOKUP(compras_mes123[[#This Row],[CUIT]],Lista_CUIT[#All],3,0)),"CUIT NO CARGADO")</f>
        <v>0</v>
      </c>
      <c r="R116" s="49">
        <f>IFERROR(IF(compras_mes123[[#This Row],[CUIT]]="","-",VLOOKUP(compras_mes123[[#This Row],[CUIT]],Lista_CUIT[#All],4,0)),"CUIT NO CARGADO")</f>
        <v>0</v>
      </c>
    </row>
    <row r="117" spans="2:18" x14ac:dyDescent="0.3">
      <c r="B117" s="40">
        <v>45248</v>
      </c>
      <c r="C117" s="41">
        <v>1</v>
      </c>
      <c r="D117" s="42">
        <v>12</v>
      </c>
      <c r="E117" s="43">
        <v>37507</v>
      </c>
      <c r="F117" s="44">
        <v>30696131003</v>
      </c>
      <c r="G117" s="45" t="str">
        <f>IFERROR(IF(compras_mes123[[#This Row],[CUIT]]="","-",VLOOKUP(compras_mes123[[#This Row],[CUIT]],Lista_CUIT[#All],2,0)),"CUIT NO CARGADO")</f>
        <v>Petrolfe S.A.</v>
      </c>
      <c r="H117" s="46">
        <v>39683.379999999997</v>
      </c>
      <c r="I117" s="85">
        <f>IF(compras_mes123[[#This Row],[NETO GRAVADO]]="","",compras_mes123[[#This Row],[NETO GRAVADO]]*0.21)</f>
        <v>8333.5097999999998</v>
      </c>
      <c r="J117" s="85"/>
      <c r="K117" s="85"/>
      <c r="L117" s="85"/>
      <c r="M117" s="85"/>
      <c r="N117" s="85"/>
      <c r="O117" s="85">
        <v>4993.3999999999996</v>
      </c>
      <c r="P117" s="48">
        <f>SUM(compras_mes123[[#This Row],[NETO GRAVADO]:[Otros / No Grav.]])</f>
        <v>53010.289799999999</v>
      </c>
      <c r="Q117" s="49" t="str">
        <f>IFERROR(IF(compras_mes123[[#This Row],[CUIT]]="","-",VLOOKUP(compras_mes123[[#This Row],[CUIT]],Lista_CUIT[#All],3,0)),"CUIT NO CARGADO")</f>
        <v>Combustible</v>
      </c>
      <c r="R117" s="49">
        <f>IFERROR(IF(compras_mes123[[#This Row],[CUIT]]="","-",VLOOKUP(compras_mes123[[#This Row],[CUIT]],Lista_CUIT[#All],4,0)),"CUIT NO CARGADO")</f>
        <v>0</v>
      </c>
    </row>
    <row r="118" spans="2:18" x14ac:dyDescent="0.3">
      <c r="B118" s="40">
        <v>45249</v>
      </c>
      <c r="C118" s="41">
        <v>1</v>
      </c>
      <c r="D118" s="42">
        <v>9</v>
      </c>
      <c r="E118" s="43">
        <v>389</v>
      </c>
      <c r="F118" s="44">
        <v>20134664518</v>
      </c>
      <c r="G118" s="45" t="str">
        <f>IFERROR(IF(compras_mes123[[#This Row],[CUIT]]="","-",VLOOKUP(compras_mes123[[#This Row],[CUIT]],Lista_CUIT[#All],2,0)),"CUIT NO CARGADO")</f>
        <v>HOKAMA SERGIO ENRIQUE</v>
      </c>
      <c r="H118" s="46">
        <v>15777.87</v>
      </c>
      <c r="I118" s="85">
        <f>IF(compras_mes123[[#This Row],[NETO GRAVADO]]="","",compras_mes123[[#This Row],[NETO GRAVADO]]*0.21)</f>
        <v>3313.3526999999999</v>
      </c>
      <c r="J118" s="85"/>
      <c r="K118" s="85"/>
      <c r="L118" s="85"/>
      <c r="M118" s="85"/>
      <c r="N118" s="85"/>
      <c r="O118" s="85"/>
      <c r="P118" s="48">
        <f>SUM(compras_mes123[[#This Row],[NETO GRAVADO]:[Otros / No Grav.]])</f>
        <v>19091.222700000002</v>
      </c>
      <c r="Q118" s="49" t="str">
        <f>IFERROR(IF(compras_mes123[[#This Row],[CUIT]]="","-",VLOOKUP(compras_mes123[[#This Row],[CUIT]],Lista_CUIT[#All],3,0)),"CUIT NO CARGADO")</f>
        <v>Gastos Varios</v>
      </c>
      <c r="R118" s="49" t="str">
        <f>IFERROR(IF(compras_mes123[[#This Row],[CUIT]]="","-",VLOOKUP(compras_mes123[[#This Row],[CUIT]],Lista_CUIT[#All],4,0)),"CUIT NO CARGADO")</f>
        <v>BUENOS AIRES</v>
      </c>
    </row>
    <row r="119" spans="2:18" x14ac:dyDescent="0.3">
      <c r="B119" s="40">
        <v>45250</v>
      </c>
      <c r="C119" s="41">
        <v>1</v>
      </c>
      <c r="D119" s="42">
        <v>113</v>
      </c>
      <c r="E119" s="43">
        <v>3394371</v>
      </c>
      <c r="F119" s="44">
        <v>30577207190</v>
      </c>
      <c r="G119" s="45" t="str">
        <f>IFERROR(IF(compras_mes123[[#This Row],[CUIT]]="","-",VLOOKUP(compras_mes123[[#This Row],[CUIT]],Lista_CUIT[#All],2,0)),"CUIT NO CARGADO")</f>
        <v>COORDINACION ECOLOGICA AREA METROPOLITANA SOCIEDAD DEL ESTADO</v>
      </c>
      <c r="H119" s="46">
        <v>2654.54</v>
      </c>
      <c r="I119" s="85">
        <f>IF(compras_mes123[[#This Row],[NETO GRAVADO]]="","",compras_mes123[[#This Row],[NETO GRAVADO]]*0.21)</f>
        <v>557.45339999999999</v>
      </c>
      <c r="J119" s="85"/>
      <c r="K119" s="85"/>
      <c r="L119" s="85">
        <v>79.64</v>
      </c>
      <c r="M119" s="85"/>
      <c r="N119" s="85"/>
      <c r="O119" s="85"/>
      <c r="P119" s="48">
        <f>SUM(compras_mes123[[#This Row],[NETO GRAVADO]:[Otros / No Grav.]])</f>
        <v>3291.6333999999997</v>
      </c>
      <c r="Q119" s="49">
        <f>IFERROR(IF(compras_mes123[[#This Row],[CUIT]]="","-",VLOOKUP(compras_mes123[[#This Row],[CUIT]],Lista_CUIT[#All],3,0)),"CUIT NO CARGADO")</f>
        <v>0</v>
      </c>
      <c r="R119" s="49">
        <f>IFERROR(IF(compras_mes123[[#This Row],[CUIT]]="","-",VLOOKUP(compras_mes123[[#This Row],[CUIT]],Lista_CUIT[#All],4,0)),"CUIT NO CARGADO")</f>
        <v>0</v>
      </c>
    </row>
    <row r="120" spans="2:18" x14ac:dyDescent="0.3">
      <c r="B120" s="40">
        <v>45251</v>
      </c>
      <c r="C120" s="41">
        <v>1</v>
      </c>
      <c r="D120" s="42">
        <v>2004</v>
      </c>
      <c r="E120" s="43">
        <v>108154</v>
      </c>
      <c r="F120" s="44">
        <v>30516186670</v>
      </c>
      <c r="G120" s="45" t="str">
        <f>IFERROR(IF(compras_mes123[[#This Row],[CUIT]]="","-",VLOOKUP(compras_mes123[[#This Row],[CUIT]],Lista_CUIT[#All],2,0)),"CUIT NO CARGADO")</f>
        <v>DEHEZA S.A.I.C.F. e I.</v>
      </c>
      <c r="H120" s="46">
        <v>2284.65</v>
      </c>
      <c r="I120" s="85">
        <f>IF(compras_mes123[[#This Row],[NETO GRAVADO]]="","",compras_mes123[[#This Row],[NETO GRAVADO]]*0.21)</f>
        <v>479.7765</v>
      </c>
      <c r="J120" s="85"/>
      <c r="K120" s="85"/>
      <c r="L120" s="85">
        <v>68.540000000000006</v>
      </c>
      <c r="M120" s="85">
        <v>235.56</v>
      </c>
      <c r="N120" s="85"/>
      <c r="O120" s="85"/>
      <c r="P120" s="48">
        <f>SUM(compras_mes123[[#This Row],[NETO GRAVADO]:[Otros / No Grav.]])</f>
        <v>3068.5264999999999</v>
      </c>
      <c r="Q120" s="49" t="str">
        <f>IFERROR(IF(compras_mes123[[#This Row],[CUIT]]="","-",VLOOKUP(compras_mes123[[#This Row],[CUIT]],Lista_CUIT[#All],3,0)),"CUIT NO CARGADO")</f>
        <v>COMBUSTIBLE</v>
      </c>
      <c r="R120" s="49" t="str">
        <f>IFERROR(IF(compras_mes123[[#This Row],[CUIT]]="","-",VLOOKUP(compras_mes123[[#This Row],[CUIT]],Lista_CUIT[#All],4,0)),"CUIT NO CARGADO")</f>
        <v>CABA</v>
      </c>
    </row>
    <row r="121" spans="2:18" x14ac:dyDescent="0.3">
      <c r="B121" s="40">
        <v>45251</v>
      </c>
      <c r="C121" s="41">
        <v>1</v>
      </c>
      <c r="D121" s="42">
        <v>301</v>
      </c>
      <c r="E121" s="43">
        <v>67928</v>
      </c>
      <c r="F121" s="44">
        <v>30686978350</v>
      </c>
      <c r="G121" s="45" t="str">
        <f>IFERROR(IF(compras_mes123[[#This Row],[CUIT]]="","-",VLOOKUP(compras_mes123[[#This Row],[CUIT]],Lista_CUIT[#All],2,0)),"CUIT NO CARGADO")</f>
        <v>SPEED BUSINESS S. A.</v>
      </c>
      <c r="H121" s="46">
        <v>5190.08</v>
      </c>
      <c r="I121" s="85">
        <f>IF(compras_mes123[[#This Row],[NETO GRAVADO]]="","",compras_mes123[[#This Row],[NETO GRAVADO]]*0.21)</f>
        <v>1089.9168</v>
      </c>
      <c r="J121" s="85"/>
      <c r="K121" s="85"/>
      <c r="L121" s="85"/>
      <c r="M121" s="85"/>
      <c r="N121" s="85"/>
      <c r="O121" s="85"/>
      <c r="P121" s="48">
        <f>SUM(compras_mes123[[#This Row],[NETO GRAVADO]:[Otros / No Grav.]])</f>
        <v>6279.9967999999999</v>
      </c>
      <c r="Q121" s="49">
        <f>IFERROR(IF(compras_mes123[[#This Row],[CUIT]]="","-",VLOOKUP(compras_mes123[[#This Row],[CUIT]],Lista_CUIT[#All],3,0)),"CUIT NO CARGADO")</f>
        <v>0</v>
      </c>
      <c r="R121" s="49">
        <f>IFERROR(IF(compras_mes123[[#This Row],[CUIT]]="","-",VLOOKUP(compras_mes123[[#This Row],[CUIT]],Lista_CUIT[#All],4,0)),"CUIT NO CARGADO")</f>
        <v>0</v>
      </c>
    </row>
    <row r="122" spans="2:18" x14ac:dyDescent="0.3">
      <c r="B122" s="40">
        <v>45251</v>
      </c>
      <c r="C122" s="41">
        <v>1</v>
      </c>
      <c r="D122" s="42">
        <v>2</v>
      </c>
      <c r="E122" s="43">
        <v>3514</v>
      </c>
      <c r="F122" s="44">
        <v>30629863571</v>
      </c>
      <c r="G122" s="45" t="str">
        <f>IFERROR(IF(compras_mes123[[#This Row],[CUIT]]="","-",VLOOKUP(compras_mes123[[#This Row],[CUIT]],Lista_CUIT[#All],2,0)),"CUIT NO CARGADO")</f>
        <v>TECNIMAR S R L</v>
      </c>
      <c r="H122" s="46">
        <v>1522371</v>
      </c>
      <c r="I122" s="85">
        <f>IF(compras_mes123[[#This Row],[NETO GRAVADO]]="","",compras_mes123[[#This Row],[NETO GRAVADO]]*0.21)</f>
        <v>319697.90999999997</v>
      </c>
      <c r="J122" s="85"/>
      <c r="K122" s="85"/>
      <c r="L122" s="85"/>
      <c r="M122" s="85"/>
      <c r="N122" s="85"/>
      <c r="O122" s="85"/>
      <c r="P122" s="48">
        <f>SUM(compras_mes123[[#This Row],[NETO GRAVADO]:[Otros / No Grav.]])</f>
        <v>1842068.91</v>
      </c>
      <c r="Q122" s="49" t="str">
        <f>IFERROR(IF(compras_mes123[[#This Row],[CUIT]]="","-",VLOOKUP(compras_mes123[[#This Row],[CUIT]],Lista_CUIT[#All],3,0)),"CUIT NO CARGADO")</f>
        <v>LABORATORIO</v>
      </c>
      <c r="R122" s="49">
        <f>IFERROR(IF(compras_mes123[[#This Row],[CUIT]]="","-",VLOOKUP(compras_mes123[[#This Row],[CUIT]],Lista_CUIT[#All],4,0)),"CUIT NO CARGADO")</f>
        <v>0</v>
      </c>
    </row>
    <row r="123" spans="2:18" x14ac:dyDescent="0.3">
      <c r="B123" s="40">
        <v>45251</v>
      </c>
      <c r="C123" s="41">
        <v>2</v>
      </c>
      <c r="D123" s="42">
        <v>6</v>
      </c>
      <c r="E123" s="43">
        <v>573</v>
      </c>
      <c r="F123" s="44">
        <v>30548690796</v>
      </c>
      <c r="G123" s="45" t="str">
        <f>IFERROR(IF(compras_mes123[[#This Row],[CUIT]]="","-",VLOOKUP(compras_mes123[[#This Row],[CUIT]],Lista_CUIT[#All],2,0)),"CUIT NO CARGADO")</f>
        <v>UNION QUIMICA ARGENTINA SRL</v>
      </c>
      <c r="H123" s="46">
        <v>4936.8</v>
      </c>
      <c r="I123" s="85">
        <f>IF(compras_mes123[[#This Row],[NETO GRAVADO]]="","",compras_mes123[[#This Row],[NETO GRAVADO]]*0.21)</f>
        <v>1036.7280000000001</v>
      </c>
      <c r="J123" s="85"/>
      <c r="K123" s="85"/>
      <c r="L123" s="85"/>
      <c r="M123" s="85"/>
      <c r="N123" s="85"/>
      <c r="O123" s="85"/>
      <c r="P123" s="48">
        <f>SUM(compras_mes123[[#This Row],[NETO GRAVADO]:[Otros / No Grav.]])</f>
        <v>5973.5280000000002</v>
      </c>
      <c r="Q123" s="49">
        <f>IFERROR(IF(compras_mes123[[#This Row],[CUIT]]="","-",VLOOKUP(compras_mes123[[#This Row],[CUIT]],Lista_CUIT[#All],3,0)),"CUIT NO CARGADO")</f>
        <v>0</v>
      </c>
      <c r="R123" s="49">
        <f>IFERROR(IF(compras_mes123[[#This Row],[CUIT]]="","-",VLOOKUP(compras_mes123[[#This Row],[CUIT]],Lista_CUIT[#All],4,0)),"CUIT NO CARGADO")</f>
        <v>0</v>
      </c>
    </row>
    <row r="124" spans="2:18" x14ac:dyDescent="0.3">
      <c r="B124" s="40">
        <v>45252</v>
      </c>
      <c r="C124" s="41">
        <v>1</v>
      </c>
      <c r="D124" s="42">
        <v>2</v>
      </c>
      <c r="E124" s="43">
        <v>399</v>
      </c>
      <c r="F124" s="44">
        <v>30717768511</v>
      </c>
      <c r="G124" s="45" t="str">
        <f>IFERROR(IF(compras_mes123[[#This Row],[CUIT]]="","-",VLOOKUP(compras_mes123[[#This Row],[CUIT]],Lista_CUIT[#All],2,0)),"CUIT NO CARGADO")</f>
        <v>DEALER S. CAP I SECC IV</v>
      </c>
      <c r="H124" s="46">
        <v>117670.17</v>
      </c>
      <c r="I124" s="85">
        <f>IF(compras_mes123[[#This Row],[NETO GRAVADO]]="","",compras_mes123[[#This Row],[NETO GRAVADO]]*0.21)</f>
        <v>24710.735699999997</v>
      </c>
      <c r="J124" s="85"/>
      <c r="K124" s="85"/>
      <c r="L124" s="85"/>
      <c r="M124" s="85"/>
      <c r="N124" s="85"/>
      <c r="O124" s="85"/>
      <c r="P124" s="48">
        <f>SUM(compras_mes123[[#This Row],[NETO GRAVADO]:[Otros / No Grav.]])</f>
        <v>142380.9057</v>
      </c>
      <c r="Q124" s="49">
        <f>IFERROR(IF(compras_mes123[[#This Row],[CUIT]]="","-",VLOOKUP(compras_mes123[[#This Row],[CUIT]],Lista_CUIT[#All],3,0)),"CUIT NO CARGADO")</f>
        <v>0</v>
      </c>
      <c r="R124" s="49">
        <f>IFERROR(IF(compras_mes123[[#This Row],[CUIT]]="","-",VLOOKUP(compras_mes123[[#This Row],[CUIT]],Lista_CUIT[#All],4,0)),"CUIT NO CARGADO")</f>
        <v>0</v>
      </c>
    </row>
    <row r="125" spans="2:18" x14ac:dyDescent="0.3">
      <c r="B125" s="40">
        <v>45252</v>
      </c>
      <c r="C125" s="41">
        <v>1</v>
      </c>
      <c r="D125" s="42">
        <v>2</v>
      </c>
      <c r="E125" s="43">
        <v>93</v>
      </c>
      <c r="F125" s="44">
        <v>30717924548</v>
      </c>
      <c r="G125" s="45" t="str">
        <f>IFERROR(IF(compras_mes123[[#This Row],[CUIT]]="","-",VLOOKUP(compras_mes123[[#This Row],[CUIT]],Lista_CUIT[#All],2,0)),"CUIT NO CARGADO")</f>
        <v>GRUPO LEDUFT SA</v>
      </c>
      <c r="H125" s="46">
        <v>24801.65</v>
      </c>
      <c r="I125" s="85">
        <f>IF(compras_mes123[[#This Row],[NETO GRAVADO]]="","",compras_mes123[[#This Row],[NETO GRAVADO]]*0.21)</f>
        <v>5208.3465000000006</v>
      </c>
      <c r="J125" s="85"/>
      <c r="K125" s="85"/>
      <c r="L125" s="85"/>
      <c r="M125" s="85"/>
      <c r="N125" s="85"/>
      <c r="O125" s="85"/>
      <c r="P125" s="48">
        <f>SUM(compras_mes123[[#This Row],[NETO GRAVADO]:[Otros / No Grav.]])</f>
        <v>30009.996500000001</v>
      </c>
      <c r="Q125" s="49">
        <f>IFERROR(IF(compras_mes123[[#This Row],[CUIT]]="","-",VLOOKUP(compras_mes123[[#This Row],[CUIT]],Lista_CUIT[#All],3,0)),"CUIT NO CARGADO")</f>
        <v>0</v>
      </c>
      <c r="R125" s="49">
        <f>IFERROR(IF(compras_mes123[[#This Row],[CUIT]]="","-",VLOOKUP(compras_mes123[[#This Row],[CUIT]],Lista_CUIT[#All],4,0)),"CUIT NO CARGADO")</f>
        <v>0</v>
      </c>
    </row>
    <row r="126" spans="2:18" x14ac:dyDescent="0.3">
      <c r="B126" s="40">
        <v>45252</v>
      </c>
      <c r="C126" s="41">
        <v>1</v>
      </c>
      <c r="D126" s="42">
        <v>1</v>
      </c>
      <c r="E126" s="43">
        <v>2768</v>
      </c>
      <c r="F126" s="44">
        <v>30716154102</v>
      </c>
      <c r="G126" s="45" t="str">
        <f>IFERROR(IF(compras_mes123[[#This Row],[CUIT]]="","-",VLOOKUP(compras_mes123[[#This Row],[CUIT]],Lista_CUIT[#All],2,0)),"CUIT NO CARGADO")</f>
        <v>IDZONE SRL</v>
      </c>
      <c r="H126" s="46">
        <v>194407.2</v>
      </c>
      <c r="I126" s="85">
        <f>IF(compras_mes123[[#This Row],[NETO GRAVADO]]="","",compras_mes123[[#This Row],[NETO GRAVADO]]*0.21)</f>
        <v>40825.512000000002</v>
      </c>
      <c r="J126" s="85"/>
      <c r="K126" s="85"/>
      <c r="L126" s="85"/>
      <c r="M126" s="85"/>
      <c r="N126" s="85"/>
      <c r="O126" s="85"/>
      <c r="P126" s="48">
        <f>SUM(compras_mes123[[#This Row],[NETO GRAVADO]:[Otros / No Grav.]])</f>
        <v>235232.712</v>
      </c>
      <c r="Q126" s="49">
        <f>IFERROR(IF(compras_mes123[[#This Row],[CUIT]]="","-",VLOOKUP(compras_mes123[[#This Row],[CUIT]],Lista_CUIT[#All],3,0)),"CUIT NO CARGADO")</f>
        <v>0</v>
      </c>
      <c r="R126" s="49">
        <f>IFERROR(IF(compras_mes123[[#This Row],[CUIT]]="","-",VLOOKUP(compras_mes123[[#This Row],[CUIT]],Lista_CUIT[#All],4,0)),"CUIT NO CARGADO")</f>
        <v>0</v>
      </c>
    </row>
    <row r="127" spans="2:18" x14ac:dyDescent="0.3">
      <c r="B127" s="40">
        <v>45252</v>
      </c>
      <c r="C127" s="41">
        <v>1</v>
      </c>
      <c r="D127" s="42">
        <v>3</v>
      </c>
      <c r="E127" s="43">
        <v>23</v>
      </c>
      <c r="F127" s="44">
        <v>27235174451</v>
      </c>
      <c r="G127" s="45" t="str">
        <f>IFERROR(IF(compras_mes123[[#This Row],[CUIT]]="","-",VLOOKUP(compras_mes123[[#This Row],[CUIT]],Lista_CUIT[#All],2,0)),"CUIT NO CARGADO")</f>
        <v>SOTO DELAPORTE KARINA IRENE</v>
      </c>
      <c r="H127" s="46">
        <v>504930</v>
      </c>
      <c r="I127" s="85">
        <f>IF(compras_mes123[[#This Row],[NETO GRAVADO]]="","",compras_mes123[[#This Row],[NETO GRAVADO]]*0.21)</f>
        <v>106035.3</v>
      </c>
      <c r="J127" s="85"/>
      <c r="K127" s="85"/>
      <c r="L127" s="85"/>
      <c r="M127" s="85"/>
      <c r="N127" s="85"/>
      <c r="O127" s="85"/>
      <c r="P127" s="48">
        <f>SUM(compras_mes123[[#This Row],[NETO GRAVADO]:[Otros / No Grav.]])</f>
        <v>610965.30000000005</v>
      </c>
      <c r="Q127" s="49">
        <f>IFERROR(IF(compras_mes123[[#This Row],[CUIT]]="","-",VLOOKUP(compras_mes123[[#This Row],[CUIT]],Lista_CUIT[#All],3,0)),"CUIT NO CARGADO")</f>
        <v>0</v>
      </c>
      <c r="R127" s="49">
        <f>IFERROR(IF(compras_mes123[[#This Row],[CUIT]]="","-",VLOOKUP(compras_mes123[[#This Row],[CUIT]],Lista_CUIT[#All],4,0)),"CUIT NO CARGADO")</f>
        <v>0</v>
      </c>
    </row>
    <row r="128" spans="2:18" x14ac:dyDescent="0.3">
      <c r="B128" s="40">
        <v>45252</v>
      </c>
      <c r="C128" s="41">
        <v>1</v>
      </c>
      <c r="D128" s="42">
        <v>4</v>
      </c>
      <c r="E128" s="43">
        <v>96</v>
      </c>
      <c r="F128" s="44">
        <v>27185805854</v>
      </c>
      <c r="G128" s="45" t="str">
        <f>IFERROR(IF(compras_mes123[[#This Row],[CUIT]]="","-",VLOOKUP(compras_mes123[[#This Row],[CUIT]],Lista_CUIT[#All],2,0)),"CUIT NO CARGADO")</f>
        <v>PANELLA MARIA CAROLINA</v>
      </c>
      <c r="H128" s="46">
        <v>175000</v>
      </c>
      <c r="I128" s="85">
        <f>IF(compras_mes123[[#This Row],[NETO GRAVADO]]="","",compras_mes123[[#This Row],[NETO GRAVADO]]*0.21)</f>
        <v>36750</v>
      </c>
      <c r="J128" s="85"/>
      <c r="K128" s="85"/>
      <c r="L128" s="85"/>
      <c r="M128" s="85"/>
      <c r="N128" s="85"/>
      <c r="O128" s="85"/>
      <c r="P128" s="48">
        <f>SUM(compras_mes123[[#This Row],[NETO GRAVADO]:[Otros / No Grav.]])</f>
        <v>211750</v>
      </c>
      <c r="Q128" s="49">
        <f>IFERROR(IF(compras_mes123[[#This Row],[CUIT]]="","-",VLOOKUP(compras_mes123[[#This Row],[CUIT]],Lista_CUIT[#All],3,0)),"CUIT NO CARGADO")</f>
        <v>0</v>
      </c>
      <c r="R128" s="49">
        <f>IFERROR(IF(compras_mes123[[#This Row],[CUIT]]="","-",VLOOKUP(compras_mes123[[#This Row],[CUIT]],Lista_CUIT[#All],4,0)),"CUIT NO CARGADO")</f>
        <v>0</v>
      </c>
    </row>
    <row r="129" spans="1:18" x14ac:dyDescent="0.3">
      <c r="B129" s="40">
        <v>45252</v>
      </c>
      <c r="C129" s="41">
        <v>1</v>
      </c>
      <c r="D129" s="42">
        <v>4</v>
      </c>
      <c r="E129" s="43">
        <v>97</v>
      </c>
      <c r="F129" s="44">
        <v>27185805854</v>
      </c>
      <c r="G129" s="45" t="str">
        <f>IFERROR(IF(compras_mes123[[#This Row],[CUIT]]="","-",VLOOKUP(compras_mes123[[#This Row],[CUIT]],Lista_CUIT[#All],2,0)),"CUIT NO CARGADO")</f>
        <v>PANELLA MARIA CAROLINA</v>
      </c>
      <c r="H129" s="46">
        <v>322500</v>
      </c>
      <c r="I129" s="85">
        <f>IF(compras_mes123[[#This Row],[NETO GRAVADO]]="","",compras_mes123[[#This Row],[NETO GRAVADO]]*0.21)</f>
        <v>67725</v>
      </c>
      <c r="J129" s="85"/>
      <c r="K129" s="85"/>
      <c r="L129" s="85"/>
      <c r="M129" s="85"/>
      <c r="N129" s="85"/>
      <c r="O129" s="85"/>
      <c r="P129" s="48">
        <f>SUM(compras_mes123[[#This Row],[NETO GRAVADO]:[Otros / No Grav.]])</f>
        <v>390225</v>
      </c>
      <c r="Q129" s="49">
        <f>IFERROR(IF(compras_mes123[[#This Row],[CUIT]]="","-",VLOOKUP(compras_mes123[[#This Row],[CUIT]],Lista_CUIT[#All],3,0)),"CUIT NO CARGADO")</f>
        <v>0</v>
      </c>
      <c r="R129" s="49">
        <f>IFERROR(IF(compras_mes123[[#This Row],[CUIT]]="","-",VLOOKUP(compras_mes123[[#This Row],[CUIT]],Lista_CUIT[#All],4,0)),"CUIT NO CARGADO")</f>
        <v>0</v>
      </c>
    </row>
    <row r="130" spans="1:18" x14ac:dyDescent="0.3">
      <c r="B130" s="40">
        <v>45252</v>
      </c>
      <c r="C130" s="41">
        <v>1</v>
      </c>
      <c r="D130" s="42">
        <v>2</v>
      </c>
      <c r="E130" s="43">
        <v>8210</v>
      </c>
      <c r="F130" s="44">
        <v>30714284963</v>
      </c>
      <c r="G130" s="45" t="str">
        <f>IFERROR(IF(compras_mes123[[#This Row],[CUIT]]="","-",VLOOKUP(compras_mes123[[#This Row],[CUIT]],Lista_CUIT[#All],2,0)),"CUIT NO CARGADO")</f>
        <v>ENGYMAN SRL</v>
      </c>
      <c r="H130" s="46">
        <v>65500</v>
      </c>
      <c r="I130" s="85">
        <f>IF(compras_mes123[[#This Row],[NETO GRAVADO]]="","",compras_mes123[[#This Row],[NETO GRAVADO]]*0.21)</f>
        <v>13755</v>
      </c>
      <c r="J130" s="85"/>
      <c r="K130" s="85"/>
      <c r="L130" s="85"/>
      <c r="M130" s="85"/>
      <c r="N130" s="85"/>
      <c r="O130" s="85"/>
      <c r="P130" s="48">
        <f>SUM(compras_mes123[[#This Row],[NETO GRAVADO]:[Otros / No Grav.]])</f>
        <v>79255</v>
      </c>
      <c r="Q130" s="49">
        <f>IFERROR(IF(compras_mes123[[#This Row],[CUIT]]="","-",VLOOKUP(compras_mes123[[#This Row],[CUIT]],Lista_CUIT[#All],3,0)),"CUIT NO CARGADO")</f>
        <v>0</v>
      </c>
      <c r="R130" s="49">
        <f>IFERROR(IF(compras_mes123[[#This Row],[CUIT]]="","-",VLOOKUP(compras_mes123[[#This Row],[CUIT]],Lista_CUIT[#All],4,0)),"CUIT NO CARGADO")</f>
        <v>0</v>
      </c>
    </row>
    <row r="131" spans="1:18" x14ac:dyDescent="0.3">
      <c r="B131" s="40">
        <v>45252</v>
      </c>
      <c r="C131" s="41">
        <v>1</v>
      </c>
      <c r="D131" s="42">
        <v>2</v>
      </c>
      <c r="E131" s="43">
        <v>3515</v>
      </c>
      <c r="F131" s="44">
        <v>30629863571</v>
      </c>
      <c r="G131" s="45" t="str">
        <f>IFERROR(IF(compras_mes123[[#This Row],[CUIT]]="","-",VLOOKUP(compras_mes123[[#This Row],[CUIT]],Lista_CUIT[#All],2,0)),"CUIT NO CARGADO")</f>
        <v>TECNIMAR S R L</v>
      </c>
      <c r="H131" s="46">
        <v>1165956</v>
      </c>
      <c r="I131" s="85">
        <f>IF(compras_mes123[[#This Row],[NETO GRAVADO]]="","",compras_mes123[[#This Row],[NETO GRAVADO]]*0.21)</f>
        <v>244850.75999999998</v>
      </c>
      <c r="J131" s="85"/>
      <c r="K131" s="85"/>
      <c r="L131" s="85"/>
      <c r="M131" s="85"/>
      <c r="N131" s="85"/>
      <c r="O131" s="85"/>
      <c r="P131" s="48">
        <f>SUM(compras_mes123[[#This Row],[NETO GRAVADO]:[Otros / No Grav.]])</f>
        <v>1410806.76</v>
      </c>
      <c r="Q131" s="49" t="str">
        <f>IFERROR(IF(compras_mes123[[#This Row],[CUIT]]="","-",VLOOKUP(compras_mes123[[#This Row],[CUIT]],Lista_CUIT[#All],3,0)),"CUIT NO CARGADO")</f>
        <v>LABORATORIO</v>
      </c>
      <c r="R131" s="49">
        <f>IFERROR(IF(compras_mes123[[#This Row],[CUIT]]="","-",VLOOKUP(compras_mes123[[#This Row],[CUIT]],Lista_CUIT[#All],4,0)),"CUIT NO CARGADO")</f>
        <v>0</v>
      </c>
    </row>
    <row r="132" spans="1:18" x14ac:dyDescent="0.3">
      <c r="B132" s="40">
        <v>45252</v>
      </c>
      <c r="C132" s="41">
        <v>2</v>
      </c>
      <c r="D132" s="42">
        <v>1</v>
      </c>
      <c r="E132" s="43">
        <v>123</v>
      </c>
      <c r="F132" s="44">
        <v>30716154102</v>
      </c>
      <c r="G132" s="45" t="str">
        <f>IFERROR(IF(compras_mes123[[#This Row],[CUIT]]="","-",VLOOKUP(compras_mes123[[#This Row],[CUIT]],Lista_CUIT[#All],2,0)),"CUIT NO CARGADO")</f>
        <v>IDZONE SRL</v>
      </c>
      <c r="H132" s="46">
        <v>3267.79</v>
      </c>
      <c r="I132" s="85">
        <f>IF(compras_mes123[[#This Row],[NETO GRAVADO]]="","",compras_mes123[[#This Row],[NETO GRAVADO]]*0.21)</f>
        <v>686.23590000000002</v>
      </c>
      <c r="J132" s="85"/>
      <c r="K132" s="85"/>
      <c r="L132" s="85"/>
      <c r="M132" s="85"/>
      <c r="N132" s="85"/>
      <c r="O132" s="85"/>
      <c r="P132" s="48">
        <f>SUM(compras_mes123[[#This Row],[NETO GRAVADO]:[Otros / No Grav.]])</f>
        <v>3954.0259000000001</v>
      </c>
      <c r="Q132" s="49">
        <f>IFERROR(IF(compras_mes123[[#This Row],[CUIT]]="","-",VLOOKUP(compras_mes123[[#This Row],[CUIT]],Lista_CUIT[#All],3,0)),"CUIT NO CARGADO")</f>
        <v>0</v>
      </c>
      <c r="R132" s="49">
        <f>IFERROR(IF(compras_mes123[[#This Row],[CUIT]]="","-",VLOOKUP(compras_mes123[[#This Row],[CUIT]],Lista_CUIT[#All],4,0)),"CUIT NO CARGADO")</f>
        <v>0</v>
      </c>
    </row>
    <row r="133" spans="1:18" x14ac:dyDescent="0.3">
      <c r="A133">
        <v>3</v>
      </c>
      <c r="B133" s="40">
        <v>45253</v>
      </c>
      <c r="C133" s="41">
        <v>1</v>
      </c>
      <c r="D133" s="42">
        <v>3034</v>
      </c>
      <c r="E133" s="43">
        <v>4986815</v>
      </c>
      <c r="F133" s="44">
        <v>30708574836</v>
      </c>
      <c r="G133" s="45" t="str">
        <f>IFERROR(IF(compras_mes123[[#This Row],[CUIT]]="","-",VLOOKUP(compras_mes123[[#This Row],[CUIT]],Lista_CUIT[#All],2,0)),"CUIT NO CARGADO")</f>
        <v>CORREO OFICIAL DE LA REPUBLICA ARGENTINA SOCIEDAD ANONIMA</v>
      </c>
      <c r="H133" s="46">
        <v>2430.64</v>
      </c>
      <c r="I133" s="85">
        <f>IF(compras_mes123[[#This Row],[NETO GRAVADO]]="","",compras_mes123[[#This Row],[NETO GRAVADO]]*0.21)</f>
        <v>510.43439999999998</v>
      </c>
      <c r="J133" s="85"/>
      <c r="K133" s="85"/>
      <c r="L133" s="85"/>
      <c r="M133" s="85"/>
      <c r="N133" s="85"/>
      <c r="O133" s="85"/>
      <c r="P133" s="48">
        <f>SUM(compras_mes123[[#This Row],[NETO GRAVADO]:[Otros / No Grav.]])</f>
        <v>2941.0744</v>
      </c>
      <c r="Q133" s="49" t="str">
        <f>IFERROR(IF(compras_mes123[[#This Row],[CUIT]]="","-",VLOOKUP(compras_mes123[[#This Row],[CUIT]],Lista_CUIT[#All],3,0)),"CUIT NO CARGADO")</f>
        <v>MESAJERIA</v>
      </c>
      <c r="R133" s="49">
        <f>IFERROR(IF(compras_mes123[[#This Row],[CUIT]]="","-",VLOOKUP(compras_mes123[[#This Row],[CUIT]],Lista_CUIT[#All],4,0)),"CUIT NO CARGADO")</f>
        <v>0</v>
      </c>
    </row>
    <row r="134" spans="1:18" x14ac:dyDescent="0.3">
      <c r="B134" s="40">
        <v>45253</v>
      </c>
      <c r="C134" s="41">
        <v>1</v>
      </c>
      <c r="D134" s="42">
        <v>700</v>
      </c>
      <c r="E134" s="43">
        <v>1289663</v>
      </c>
      <c r="F134" s="44">
        <v>30715804812</v>
      </c>
      <c r="G134" s="45" t="str">
        <f>IFERROR(IF(compras_mes123[[#This Row],[CUIT]]="","-",VLOOKUP(compras_mes123[[#This Row],[CUIT]],Lista_CUIT[#All],2,0)),"CUIT NO CARGADO")</f>
        <v>CORREDORES VIALES SOCIEDAD ANONIMA</v>
      </c>
      <c r="H134" s="46">
        <v>1198.3499999999999</v>
      </c>
      <c r="I134" s="85">
        <f>IF(compras_mes123[[#This Row],[NETO GRAVADO]]="","",compras_mes123[[#This Row],[NETO GRAVADO]]*0.21)</f>
        <v>251.65349999999998</v>
      </c>
      <c r="J134" s="85"/>
      <c r="K134" s="85"/>
      <c r="L134" s="85"/>
      <c r="M134" s="85"/>
      <c r="N134" s="85"/>
      <c r="O134" s="85"/>
      <c r="P134" s="48">
        <f>SUM(compras_mes123[[#This Row],[NETO GRAVADO]:[Otros / No Grav.]])</f>
        <v>1450.0034999999998</v>
      </c>
      <c r="Q134" s="49">
        <f>IFERROR(IF(compras_mes123[[#This Row],[CUIT]]="","-",VLOOKUP(compras_mes123[[#This Row],[CUIT]],Lista_CUIT[#All],3,0)),"CUIT NO CARGADO")</f>
        <v>0</v>
      </c>
      <c r="R134" s="49">
        <f>IFERROR(IF(compras_mes123[[#This Row],[CUIT]]="","-",VLOOKUP(compras_mes123[[#This Row],[CUIT]],Lista_CUIT[#All],4,0)),"CUIT NO CARGADO")</f>
        <v>0</v>
      </c>
    </row>
    <row r="135" spans="1:18" x14ac:dyDescent="0.3">
      <c r="B135" s="40">
        <v>45253</v>
      </c>
      <c r="C135" s="41">
        <v>1</v>
      </c>
      <c r="D135" s="42">
        <v>4</v>
      </c>
      <c r="E135" s="43">
        <v>1604</v>
      </c>
      <c r="F135" s="44">
        <v>30716642913</v>
      </c>
      <c r="G135" s="45" t="str">
        <f>IFERROR(IF(compras_mes123[[#This Row],[CUIT]]="","-",VLOOKUP(compras_mes123[[#This Row],[CUIT]],Lista_CUIT[#All],2,0)),"CUIT NO CARGADO")</f>
        <v>NOVU SRL</v>
      </c>
      <c r="H135" s="46">
        <v>40415.26</v>
      </c>
      <c r="I135" s="85"/>
      <c r="J135" s="85"/>
      <c r="K135" s="85">
        <v>4243.6000000000004</v>
      </c>
      <c r="L135" s="85"/>
      <c r="M135" s="85"/>
      <c r="N135" s="85"/>
      <c r="O135" s="85"/>
      <c r="P135" s="48">
        <f>SUM(compras_mes123[[#This Row],[NETO GRAVADO]:[Otros / No Grav.]])</f>
        <v>44658.86</v>
      </c>
      <c r="Q135" s="49">
        <f>IFERROR(IF(compras_mes123[[#This Row],[CUIT]]="","-",VLOOKUP(compras_mes123[[#This Row],[CUIT]],Lista_CUIT[#All],3,0)),"CUIT NO CARGADO")</f>
        <v>0</v>
      </c>
      <c r="R135" s="49">
        <f>IFERROR(IF(compras_mes123[[#This Row],[CUIT]]="","-",VLOOKUP(compras_mes123[[#This Row],[CUIT]],Lista_CUIT[#All],4,0)),"CUIT NO CARGADO")</f>
        <v>0</v>
      </c>
    </row>
    <row r="136" spans="1:18" x14ac:dyDescent="0.3">
      <c r="B136" s="40">
        <v>45253</v>
      </c>
      <c r="C136" s="41">
        <v>1</v>
      </c>
      <c r="D136" s="42">
        <v>2</v>
      </c>
      <c r="E136" s="43">
        <v>3516</v>
      </c>
      <c r="F136" s="44">
        <v>30629863571</v>
      </c>
      <c r="G136" s="45" t="str">
        <f>IFERROR(IF(compras_mes123[[#This Row],[CUIT]]="","-",VLOOKUP(compras_mes123[[#This Row],[CUIT]],Lista_CUIT[#All],2,0)),"CUIT NO CARGADO")</f>
        <v>TECNIMAR S R L</v>
      </c>
      <c r="H136" s="46">
        <v>2555410</v>
      </c>
      <c r="I136" s="85">
        <f>IF(compras_mes123[[#This Row],[NETO GRAVADO]]="","",compras_mes123[[#This Row],[NETO GRAVADO]]*0.21)</f>
        <v>536636.1</v>
      </c>
      <c r="J136" s="85"/>
      <c r="K136" s="85"/>
      <c r="L136" s="85"/>
      <c r="M136" s="85"/>
      <c r="N136" s="85"/>
      <c r="O136" s="85"/>
      <c r="P136" s="48">
        <f>SUM(compras_mes123[[#This Row],[NETO GRAVADO]:[Otros / No Grav.]])</f>
        <v>3092046.1</v>
      </c>
      <c r="Q136" s="49" t="str">
        <f>IFERROR(IF(compras_mes123[[#This Row],[CUIT]]="","-",VLOOKUP(compras_mes123[[#This Row],[CUIT]],Lista_CUIT[#All],3,0)),"CUIT NO CARGADO")</f>
        <v>LABORATORIO</v>
      </c>
      <c r="R136" s="49">
        <f>IFERROR(IF(compras_mes123[[#This Row],[CUIT]]="","-",VLOOKUP(compras_mes123[[#This Row],[CUIT]],Lista_CUIT[#All],4,0)),"CUIT NO CARGADO")</f>
        <v>0</v>
      </c>
    </row>
    <row r="137" spans="1:18" x14ac:dyDescent="0.3">
      <c r="B137" s="40">
        <v>45253</v>
      </c>
      <c r="C137" s="41">
        <v>1</v>
      </c>
      <c r="D137" s="42">
        <v>23</v>
      </c>
      <c r="E137" s="600">
        <v>21843</v>
      </c>
      <c r="F137" s="44">
        <v>30515800219</v>
      </c>
      <c r="G137" s="45" t="str">
        <f>IFERROR(IF(compras_mes123[[#This Row],[CUIT]]="","-",VLOOKUP(compras_mes123[[#This Row],[CUIT]],Lista_CUIT[#All],2,0)),"CUIT NO CARGADO")</f>
        <v>INCAT SRL</v>
      </c>
      <c r="H137" s="46">
        <v>7483.3</v>
      </c>
      <c r="I137" s="85">
        <f>IF(compras_mes123[[#This Row],[NETO GRAVADO]]="","",compras_mes123[[#This Row],[NETO GRAVADO]]*0.21)</f>
        <v>1571.4929999999999</v>
      </c>
      <c r="J137" s="85"/>
      <c r="K137" s="85"/>
      <c r="L137" s="85"/>
      <c r="M137" s="85"/>
      <c r="N137" s="85"/>
      <c r="O137" s="85">
        <v>945.83</v>
      </c>
      <c r="P137" s="48">
        <f>SUM(compras_mes123[[#This Row],[NETO GRAVADO]:[Otros / No Grav.]])</f>
        <v>10000.623</v>
      </c>
      <c r="Q137" s="49" t="str">
        <f>IFERROR(IF(compras_mes123[[#This Row],[CUIT]]="","-",VLOOKUP(compras_mes123[[#This Row],[CUIT]],Lista_CUIT[#All],3,0)),"CUIT NO CARGADO")</f>
        <v>Combustibe</v>
      </c>
      <c r="R137" s="49" t="str">
        <f>IFERROR(IF(compras_mes123[[#This Row],[CUIT]]="","-",VLOOKUP(compras_mes123[[#This Row],[CUIT]],Lista_CUIT[#All],4,0)),"CUIT NO CARGADO")</f>
        <v>CABA</v>
      </c>
    </row>
    <row r="138" spans="1:18" x14ac:dyDescent="0.3">
      <c r="B138" s="40">
        <v>45254</v>
      </c>
      <c r="C138" s="41">
        <v>1</v>
      </c>
      <c r="D138" s="42">
        <v>8010</v>
      </c>
      <c r="E138" s="43">
        <v>31680</v>
      </c>
      <c r="F138" s="44">
        <v>30678774495</v>
      </c>
      <c r="G138" s="45" t="str">
        <f>IFERROR(IF(compras_mes123[[#This Row],[CUIT]]="","-",VLOOKUP(compras_mes123[[#This Row],[CUIT]],Lista_CUIT[#All],2,0)),"CUIT NO CARGADO")</f>
        <v>OPER. DE EST. DE SERV. SA</v>
      </c>
      <c r="H138" s="46">
        <v>7354.94</v>
      </c>
      <c r="I138" s="85">
        <f>IF(compras_mes123[[#This Row],[NETO GRAVADO]]="","",compras_mes123[[#This Row],[NETO GRAVADO]]*0.21)</f>
        <v>1544.5373999999999</v>
      </c>
      <c r="J138" s="85"/>
      <c r="K138" s="85"/>
      <c r="L138" s="85"/>
      <c r="M138" s="85"/>
      <c r="N138" s="85"/>
      <c r="O138" s="85">
        <v>802.51</v>
      </c>
      <c r="P138" s="48">
        <f>SUM(compras_mes123[[#This Row],[NETO GRAVADO]:[Otros / No Grav.]])</f>
        <v>9701.9874</v>
      </c>
      <c r="Q138" s="49" t="str">
        <f>IFERROR(IF(compras_mes123[[#This Row],[CUIT]]="","-",VLOOKUP(compras_mes123[[#This Row],[CUIT]],Lista_CUIT[#All],3,0)),"CUIT NO CARGADO")</f>
        <v>Combustibe</v>
      </c>
      <c r="R138" s="49">
        <f>IFERROR(IF(compras_mes123[[#This Row],[CUIT]]="","-",VLOOKUP(compras_mes123[[#This Row],[CUIT]],Lista_CUIT[#All],4,0)),"CUIT NO CARGADO")</f>
        <v>0</v>
      </c>
    </row>
    <row r="139" spans="1:18" x14ac:dyDescent="0.3">
      <c r="B139" s="40">
        <v>45254</v>
      </c>
      <c r="C139" s="41">
        <v>1</v>
      </c>
      <c r="D139" s="42">
        <v>5</v>
      </c>
      <c r="E139" s="43">
        <v>2906588</v>
      </c>
      <c r="F139" s="44">
        <v>30702652975</v>
      </c>
      <c r="G139" s="45" t="str">
        <f>IFERROR(IF(compras_mes123[[#This Row],[CUIT]]="","-",VLOOKUP(compras_mes123[[#This Row],[CUIT]],Lista_CUIT[#All],2,0)),"CUIT NO CARGADO")</f>
        <v>NSS SA</v>
      </c>
      <c r="H139" s="46">
        <v>14976.58</v>
      </c>
      <c r="I139" s="85">
        <f>IF(compras_mes123[[#This Row],[NETO GRAVADO]]="","",compras_mes123[[#This Row],[NETO GRAVADO]]*0.21)</f>
        <v>3145.0817999999999</v>
      </c>
      <c r="J139" s="85"/>
      <c r="K139" s="85"/>
      <c r="L139" s="85"/>
      <c r="M139" s="85"/>
      <c r="N139" s="85">
        <v>898.59</v>
      </c>
      <c r="O139" s="85"/>
      <c r="P139" s="48">
        <f>SUM(compras_mes123[[#This Row],[NETO GRAVADO]:[Otros / No Grav.]])</f>
        <v>19020.251800000002</v>
      </c>
      <c r="Q139" s="49" t="str">
        <f>IFERROR(IF(compras_mes123[[#This Row],[CUIT]]="","-",VLOOKUP(compras_mes123[[#This Row],[CUIT]],Lista_CUIT[#All],3,0)),"CUIT NO CARGADO")</f>
        <v>Servicios Gas, Luz, etc.</v>
      </c>
      <c r="R139" s="49">
        <f>IFERROR(IF(compras_mes123[[#This Row],[CUIT]]="","-",VLOOKUP(compras_mes123[[#This Row],[CUIT]],Lista_CUIT[#All],4,0)),"CUIT NO CARGADO")</f>
        <v>0</v>
      </c>
    </row>
    <row r="140" spans="1:18" x14ac:dyDescent="0.3">
      <c r="B140" s="40">
        <v>45254</v>
      </c>
      <c r="C140" s="41">
        <v>1</v>
      </c>
      <c r="D140" s="42">
        <v>2188</v>
      </c>
      <c r="E140" s="43">
        <v>105149</v>
      </c>
      <c r="F140" s="44">
        <v>30548083156</v>
      </c>
      <c r="G140" s="45" t="str">
        <f>IFERROR(IF(compras_mes123[[#This Row],[CUIT]]="","-",VLOOKUP(compras_mes123[[#This Row],[CUIT]],Lista_CUIT[#All],2,0)),"CUIT NO CARGADO")</f>
        <v>COTO CENTRO INTEGRAL DE COMERCIALIZACION SOCIEDAD ANONIMA</v>
      </c>
      <c r="H140" s="46">
        <v>27248.03</v>
      </c>
      <c r="I140" s="85">
        <v>5477.63</v>
      </c>
      <c r="J140" s="85"/>
      <c r="K140" s="85">
        <v>122.23</v>
      </c>
      <c r="L140" s="85"/>
      <c r="M140" s="85"/>
      <c r="N140" s="85"/>
      <c r="O140" s="85">
        <v>2343.89</v>
      </c>
      <c r="P140" s="48">
        <f>SUM(compras_mes123[[#This Row],[NETO GRAVADO]:[Otros / No Grav.]])</f>
        <v>35191.78</v>
      </c>
      <c r="Q140" s="49" t="str">
        <f>IFERROR(IF(compras_mes123[[#This Row],[CUIT]]="","-",VLOOKUP(compras_mes123[[#This Row],[CUIT]],Lista_CUIT[#All],3,0)),"CUIT NO CARGADO")</f>
        <v>GASTOS COMERCIALES</v>
      </c>
      <c r="R140" s="49">
        <f>IFERROR(IF(compras_mes123[[#This Row],[CUIT]]="","-",VLOOKUP(compras_mes123[[#This Row],[CUIT]],Lista_CUIT[#All],4,0)),"CUIT NO CARGADO")</f>
        <v>0</v>
      </c>
    </row>
    <row r="141" spans="1:18" x14ac:dyDescent="0.3">
      <c r="B141" s="40">
        <v>45254</v>
      </c>
      <c r="C141" s="41">
        <v>1</v>
      </c>
      <c r="D141" s="42">
        <v>583</v>
      </c>
      <c r="E141" s="43">
        <v>5064</v>
      </c>
      <c r="F141" s="44">
        <v>30590360763</v>
      </c>
      <c r="G141" s="45" t="str">
        <f>IFERROR(IF(compras_mes123[[#This Row],[CUIT]]="","-",VLOOKUP(compras_mes123[[#This Row],[CUIT]],Lista_CUIT[#All],2,0)),"CUIT NO CARGADO")</f>
        <v>CENCOSUD S.A</v>
      </c>
      <c r="H141" s="46">
        <v>16322.31</v>
      </c>
      <c r="I141" s="85">
        <f>IF(compras_mes123[[#This Row],[NETO GRAVADO]]="","",compras_mes123[[#This Row],[NETO GRAVADO]]*0.21)</f>
        <v>3427.6850999999997</v>
      </c>
      <c r="J141" s="85"/>
      <c r="K141" s="85"/>
      <c r="L141" s="85">
        <v>489.67</v>
      </c>
      <c r="M141" s="85"/>
      <c r="N141" s="85">
        <v>979.34</v>
      </c>
      <c r="O141" s="85"/>
      <c r="P141" s="48">
        <f>SUM(compras_mes123[[#This Row],[NETO GRAVADO]:[Otros / No Grav.]])</f>
        <v>21219.005099999998</v>
      </c>
      <c r="Q141" s="49" t="str">
        <f>IFERROR(IF(compras_mes123[[#This Row],[CUIT]]="","-",VLOOKUP(compras_mes123[[#This Row],[CUIT]],Lista_CUIT[#All],3,0)),"CUIT NO CARGADO")</f>
        <v>Gastos Varios</v>
      </c>
      <c r="R141" s="49">
        <f>IFERROR(IF(compras_mes123[[#This Row],[CUIT]]="","-",VLOOKUP(compras_mes123[[#This Row],[CUIT]],Lista_CUIT[#All],4,0)),"CUIT NO CARGADO")</f>
        <v>0</v>
      </c>
    </row>
    <row r="142" spans="1:18" x14ac:dyDescent="0.3">
      <c r="B142" s="40">
        <v>45254</v>
      </c>
      <c r="C142" s="41">
        <v>1</v>
      </c>
      <c r="D142" s="42">
        <v>2</v>
      </c>
      <c r="E142" s="43">
        <v>2788</v>
      </c>
      <c r="F142" s="44">
        <v>20240305128</v>
      </c>
      <c r="G142" s="45" t="str">
        <f>IFERROR(IF(compras_mes123[[#This Row],[CUIT]]="","-",VLOOKUP(compras_mes123[[#This Row],[CUIT]],Lista_CUIT[#All],2,0)),"CUIT NO CARGADO")</f>
        <v>Abraldes Diego Roberto</v>
      </c>
      <c r="H142" s="46">
        <v>48300</v>
      </c>
      <c r="I142" s="85">
        <f>IF(compras_mes123[[#This Row],[NETO GRAVADO]]="","",compras_mes123[[#This Row],[NETO GRAVADO]]*0.21)</f>
        <v>10143</v>
      </c>
      <c r="J142" s="85"/>
      <c r="K142" s="85"/>
      <c r="L142" s="85"/>
      <c r="M142" s="85"/>
      <c r="N142" s="85"/>
      <c r="O142" s="85"/>
      <c r="P142" s="48">
        <f>SUM(compras_mes123[[#This Row],[NETO GRAVADO]:[Otros / No Grav.]])</f>
        <v>58443</v>
      </c>
      <c r="Q142" s="49">
        <f>IFERROR(IF(compras_mes123[[#This Row],[CUIT]]="","-",VLOOKUP(compras_mes123[[#This Row],[CUIT]],Lista_CUIT[#All],3,0)),"CUIT NO CARGADO")</f>
        <v>0</v>
      </c>
      <c r="R142" s="49">
        <f>IFERROR(IF(compras_mes123[[#This Row],[CUIT]]="","-",VLOOKUP(compras_mes123[[#This Row],[CUIT]],Lista_CUIT[#All],4,0)),"CUIT NO CARGADO")</f>
        <v>0</v>
      </c>
    </row>
    <row r="143" spans="1:18" x14ac:dyDescent="0.3">
      <c r="B143" s="221">
        <v>45254</v>
      </c>
      <c r="C143" s="41">
        <v>1</v>
      </c>
      <c r="D143" s="222">
        <v>2</v>
      </c>
      <c r="E143" s="223">
        <v>2787</v>
      </c>
      <c r="F143" s="44">
        <v>20240305128</v>
      </c>
      <c r="G143" s="224" t="str">
        <f>IFERROR(IF(compras_mes123[[#This Row],[CUIT]]="","-",VLOOKUP(compras_mes123[[#This Row],[CUIT]],Lista_CUIT[#All],2,0)),"CUIT NO CARGADO")</f>
        <v>Abraldes Diego Roberto</v>
      </c>
      <c r="H143" s="225">
        <v>28130</v>
      </c>
      <c r="I143" s="85">
        <f>IF(compras_mes123[[#This Row],[NETO GRAVADO]]="","",compras_mes123[[#This Row],[NETO GRAVADO]]*0.21)</f>
        <v>5907.3</v>
      </c>
      <c r="J143" s="226"/>
      <c r="K143" s="226"/>
      <c r="L143" s="226"/>
      <c r="M143" s="226"/>
      <c r="N143" s="226"/>
      <c r="O143" s="226"/>
      <c r="P143" s="227">
        <f>SUM(compras_mes123[[#This Row],[NETO GRAVADO]:[Otros / No Grav.]])</f>
        <v>34037.300000000003</v>
      </c>
      <c r="Q143" s="228">
        <f>IFERROR(IF(compras_mes123[[#This Row],[CUIT]]="","-",VLOOKUP(compras_mes123[[#This Row],[CUIT]],Lista_CUIT[#All],3,0)),"CUIT NO CARGADO")</f>
        <v>0</v>
      </c>
      <c r="R143" s="228">
        <f>IFERROR(IF(compras_mes123[[#This Row],[CUIT]]="","-",VLOOKUP(compras_mes123[[#This Row],[CUIT]],Lista_CUIT[#All],4,0)),"CUIT NO CARGADO")</f>
        <v>0</v>
      </c>
    </row>
    <row r="144" spans="1:18" x14ac:dyDescent="0.3">
      <c r="B144" s="40">
        <v>45254</v>
      </c>
      <c r="C144" s="41">
        <v>3</v>
      </c>
      <c r="D144" s="42">
        <v>2</v>
      </c>
      <c r="E144" s="43">
        <v>58</v>
      </c>
      <c r="F144" s="44">
        <v>20240305128</v>
      </c>
      <c r="G144" s="45" t="str">
        <f>IFERROR(IF(compras_mes123[[#This Row],[CUIT]]="","-",VLOOKUP(compras_mes123[[#This Row],[CUIT]],Lista_CUIT[#All],2,0)),"CUIT NO CARGADO")</f>
        <v>Abraldes Diego Roberto</v>
      </c>
      <c r="H144" s="46">
        <v>-28130</v>
      </c>
      <c r="I144" s="85">
        <f>IF(compras_mes123[[#This Row],[NETO GRAVADO]]="","",compras_mes123[[#This Row],[NETO GRAVADO]]*0.21)</f>
        <v>-5907.3</v>
      </c>
      <c r="J144" s="85"/>
      <c r="K144" s="85"/>
      <c r="L144" s="85"/>
      <c r="M144" s="85"/>
      <c r="N144" s="85"/>
      <c r="O144" s="85"/>
      <c r="P144" s="48">
        <f>SUM(compras_mes123[[#This Row],[NETO GRAVADO]:[Otros / No Grav.]])</f>
        <v>-34037.300000000003</v>
      </c>
      <c r="Q144" s="49">
        <f>IFERROR(IF(compras_mes123[[#This Row],[CUIT]]="","-",VLOOKUP(compras_mes123[[#This Row],[CUIT]],Lista_CUIT[#All],3,0)),"CUIT NO CARGADO")</f>
        <v>0</v>
      </c>
      <c r="R144" s="49">
        <f>IFERROR(IF(compras_mes123[[#This Row],[CUIT]]="","-",VLOOKUP(compras_mes123[[#This Row],[CUIT]],Lista_CUIT[#All],4,0)),"CUIT NO CARGADO")</f>
        <v>0</v>
      </c>
    </row>
    <row r="145" spans="2:18" x14ac:dyDescent="0.3">
      <c r="B145" s="40">
        <v>45254</v>
      </c>
      <c r="C145" s="41">
        <v>1</v>
      </c>
      <c r="D145" s="42">
        <v>8</v>
      </c>
      <c r="E145" s="43">
        <v>22705</v>
      </c>
      <c r="F145" s="44">
        <v>30707963804</v>
      </c>
      <c r="G145" s="45" t="str">
        <f>IFERROR(IF(compras_mes123[[#This Row],[CUIT]]="","-",VLOOKUP(compras_mes123[[#This Row],[CUIT]],Lista_CUIT[#All],2,0)),"CUIT NO CARGADO")</f>
        <v>BELCOMSUR SA</v>
      </c>
      <c r="H145" s="46">
        <v>4710.76</v>
      </c>
      <c r="I145" s="85">
        <f>IF(compras_mes123[[#This Row],[NETO GRAVADO]]="","",compras_mes123[[#This Row],[NETO GRAVADO]]*0.21)</f>
        <v>989.25959999999998</v>
      </c>
      <c r="J145" s="85"/>
      <c r="K145" s="85"/>
      <c r="L145" s="85"/>
      <c r="M145" s="85"/>
      <c r="N145" s="85"/>
      <c r="O145" s="85"/>
      <c r="P145" s="48">
        <f>SUM(compras_mes123[[#This Row],[NETO GRAVADO]:[Otros / No Grav.]])</f>
        <v>5700.0196000000005</v>
      </c>
      <c r="Q145" s="49">
        <f>IFERROR(IF(compras_mes123[[#This Row],[CUIT]]="","-",VLOOKUP(compras_mes123[[#This Row],[CUIT]],Lista_CUIT[#All],3,0)),"CUIT NO CARGADO")</f>
        <v>0</v>
      </c>
      <c r="R145" s="49">
        <f>IFERROR(IF(compras_mes123[[#This Row],[CUIT]]="","-",VLOOKUP(compras_mes123[[#This Row],[CUIT]],Lista_CUIT[#All],4,0)),"CUIT NO CARGADO")</f>
        <v>0</v>
      </c>
    </row>
    <row r="146" spans="2:18" x14ac:dyDescent="0.3">
      <c r="B146" s="40">
        <v>45255</v>
      </c>
      <c r="C146" s="41">
        <v>1</v>
      </c>
      <c r="D146" s="42">
        <v>2199</v>
      </c>
      <c r="E146" s="43">
        <v>25589</v>
      </c>
      <c r="F146" s="44">
        <v>30548083156</v>
      </c>
      <c r="G146" s="45" t="str">
        <f>IFERROR(IF(compras_mes123[[#This Row],[CUIT]]="","-",VLOOKUP(compras_mes123[[#This Row],[CUIT]],Lista_CUIT[#All],2,0)),"CUIT NO CARGADO")</f>
        <v>COTO CENTRO INTEGRAL DE COMERCIALIZACION SOCIEDAD ANONIMA</v>
      </c>
      <c r="H146" s="46">
        <v>52257.24</v>
      </c>
      <c r="I146" s="85">
        <v>6844.82</v>
      </c>
      <c r="J146" s="85"/>
      <c r="K146" s="85">
        <v>2064.6</v>
      </c>
      <c r="L146" s="85">
        <v>1196.5899999999999</v>
      </c>
      <c r="M146" s="85"/>
      <c r="N146" s="85">
        <v>2333.48</v>
      </c>
      <c r="O146" s="85"/>
      <c r="P146" s="48">
        <f>SUM(compras_mes123[[#This Row],[NETO GRAVADO]:[Otros / No Grav.]])</f>
        <v>64696.729999999996</v>
      </c>
      <c r="Q146" s="49" t="str">
        <f>IFERROR(IF(compras_mes123[[#This Row],[CUIT]]="","-",VLOOKUP(compras_mes123[[#This Row],[CUIT]],Lista_CUIT[#All],3,0)),"CUIT NO CARGADO")</f>
        <v>GASTOS COMERCIALES</v>
      </c>
      <c r="R146" s="49">
        <f>IFERROR(IF(compras_mes123[[#This Row],[CUIT]]="","-",VLOOKUP(compras_mes123[[#This Row],[CUIT]],Lista_CUIT[#All],4,0)),"CUIT NO CARGADO")</f>
        <v>0</v>
      </c>
    </row>
    <row r="147" spans="2:18" x14ac:dyDescent="0.3">
      <c r="B147" s="40">
        <v>45255</v>
      </c>
      <c r="C147" s="41">
        <v>1</v>
      </c>
      <c r="D147" s="42">
        <v>12</v>
      </c>
      <c r="E147" s="43">
        <v>38040</v>
      </c>
      <c r="F147" s="44">
        <v>30696131003</v>
      </c>
      <c r="G147" s="45" t="str">
        <f>IFERROR(IF(compras_mes123[[#This Row],[CUIT]]="","-",VLOOKUP(compras_mes123[[#This Row],[CUIT]],Lista_CUIT[#All],2,0)),"CUIT NO CARGADO")</f>
        <v>Petrolfe S.A.</v>
      </c>
      <c r="H147" s="46">
        <v>43838.44</v>
      </c>
      <c r="I147" s="85">
        <f>IF(compras_mes123[[#This Row],[NETO GRAVADO]]="","",compras_mes123[[#This Row],[NETO GRAVADO]]*0.21)</f>
        <v>9206.0724000000009</v>
      </c>
      <c r="J147" s="85"/>
      <c r="K147" s="85"/>
      <c r="L147" s="85"/>
      <c r="M147" s="85"/>
      <c r="N147" s="85"/>
      <c r="O147" s="85">
        <v>4766.8500000000004</v>
      </c>
      <c r="P147" s="48">
        <f>SUM(compras_mes123[[#This Row],[NETO GRAVADO]:[Otros / No Grav.]])</f>
        <v>57811.362400000005</v>
      </c>
      <c r="Q147" s="49" t="str">
        <f>IFERROR(IF(compras_mes123[[#This Row],[CUIT]]="","-",VLOOKUP(compras_mes123[[#This Row],[CUIT]],Lista_CUIT[#All],3,0)),"CUIT NO CARGADO")</f>
        <v>Combustible</v>
      </c>
      <c r="R147" s="49">
        <f>IFERROR(IF(compras_mes123[[#This Row],[CUIT]]="","-",VLOOKUP(compras_mes123[[#This Row],[CUIT]],Lista_CUIT[#All],4,0)),"CUIT NO CARGADO")</f>
        <v>0</v>
      </c>
    </row>
    <row r="148" spans="2:18" x14ac:dyDescent="0.3">
      <c r="B148" s="40">
        <v>45256</v>
      </c>
      <c r="C148" s="41">
        <v>1</v>
      </c>
      <c r="D148" s="42">
        <v>7996</v>
      </c>
      <c r="E148" s="43">
        <v>25516</v>
      </c>
      <c r="F148" s="44">
        <v>30678774495</v>
      </c>
      <c r="G148" s="45" t="str">
        <f>IFERROR(IF(compras_mes123[[#This Row],[CUIT]]="","-",VLOOKUP(compras_mes123[[#This Row],[CUIT]],Lista_CUIT[#All],2,0)),"CUIT NO CARGADO")</f>
        <v>OPER. DE EST. DE SERV. SA</v>
      </c>
      <c r="H148" s="46">
        <v>18094.75</v>
      </c>
      <c r="I148" s="85">
        <f>IF(compras_mes123[[#This Row],[NETO GRAVADO]]="","",compras_mes123[[#This Row],[NETO GRAVADO]]*0.21)</f>
        <v>3799.8975</v>
      </c>
      <c r="J148" s="85"/>
      <c r="K148" s="85"/>
      <c r="L148" s="85"/>
      <c r="M148" s="85"/>
      <c r="N148" s="85"/>
      <c r="O148" s="85">
        <v>1705.34</v>
      </c>
      <c r="P148" s="48">
        <f>SUM(compras_mes123[[#This Row],[NETO GRAVADO]:[Otros / No Grav.]])</f>
        <v>23599.987499999999</v>
      </c>
      <c r="Q148" s="49" t="str">
        <f>IFERROR(IF(compras_mes123[[#This Row],[CUIT]]="","-",VLOOKUP(compras_mes123[[#This Row],[CUIT]],Lista_CUIT[#All],3,0)),"CUIT NO CARGADO")</f>
        <v>Combustibe</v>
      </c>
      <c r="R148" s="49">
        <f>IFERROR(IF(compras_mes123[[#This Row],[CUIT]]="","-",VLOOKUP(compras_mes123[[#This Row],[CUIT]],Lista_CUIT[#All],4,0)),"CUIT NO CARGADO")</f>
        <v>0</v>
      </c>
    </row>
    <row r="149" spans="2:18" x14ac:dyDescent="0.3">
      <c r="B149" s="40">
        <v>45257</v>
      </c>
      <c r="C149" s="41">
        <v>1</v>
      </c>
      <c r="D149" s="42">
        <v>3</v>
      </c>
      <c r="E149" s="43">
        <v>3750</v>
      </c>
      <c r="F149" s="44">
        <v>30714618977</v>
      </c>
      <c r="G149" s="45" t="str">
        <f>IFERROR(IF(compras_mes123[[#This Row],[CUIT]]="","-",VLOOKUP(compras_mes123[[#This Row],[CUIT]],Lista_CUIT[#All],2,0)),"CUIT NO CARGADO")</f>
        <v>DISTRIBUIDORA N.G. S.A.</v>
      </c>
      <c r="H149" s="46">
        <v>93794.4</v>
      </c>
      <c r="I149" s="85">
        <f>IF(compras_mes123[[#This Row],[NETO GRAVADO]]="","",compras_mes123[[#This Row],[NETO GRAVADO]]*0.21)</f>
        <v>19696.823999999997</v>
      </c>
      <c r="J149" s="85"/>
      <c r="K149" s="85"/>
      <c r="L149" s="85"/>
      <c r="M149" s="85"/>
      <c r="N149" s="85"/>
      <c r="O149" s="85"/>
      <c r="P149" s="48">
        <f>SUM(compras_mes123[[#This Row],[NETO GRAVADO]:[Otros / No Grav.]])</f>
        <v>113491.22399999999</v>
      </c>
      <c r="Q149" s="49">
        <f>IFERROR(IF(compras_mes123[[#This Row],[CUIT]]="","-",VLOOKUP(compras_mes123[[#This Row],[CUIT]],Lista_CUIT[#All],3,0)),"CUIT NO CARGADO")</f>
        <v>0</v>
      </c>
      <c r="R149" s="49">
        <f>IFERROR(IF(compras_mes123[[#This Row],[CUIT]]="","-",VLOOKUP(compras_mes123[[#This Row],[CUIT]],Lista_CUIT[#All],4,0)),"CUIT NO CARGADO")</f>
        <v>0</v>
      </c>
    </row>
    <row r="150" spans="2:18" x14ac:dyDescent="0.3">
      <c r="B150" s="40">
        <v>45257</v>
      </c>
      <c r="C150" s="41">
        <v>1</v>
      </c>
      <c r="D150" s="42">
        <v>6</v>
      </c>
      <c r="E150" s="43">
        <v>2907</v>
      </c>
      <c r="F150" s="44">
        <v>30574603788</v>
      </c>
      <c r="G150" s="45" t="str">
        <f>IFERROR(IF(compras_mes123[[#This Row],[CUIT]]="","-",VLOOKUP(compras_mes123[[#This Row],[CUIT]],Lista_CUIT[#All],2,0)),"CUIT NO CARGADO")</f>
        <v>CODAC SRL</v>
      </c>
      <c r="H150" s="46">
        <v>481425</v>
      </c>
      <c r="I150" s="85">
        <f>IF(compras_mes123[[#This Row],[NETO GRAVADO]]="","",compras_mes123[[#This Row],[NETO GRAVADO]]*0.21)</f>
        <v>101099.25</v>
      </c>
      <c r="J150" s="85"/>
      <c r="K150" s="85"/>
      <c r="L150" s="85"/>
      <c r="M150" s="85"/>
      <c r="N150" s="85"/>
      <c r="O150" s="85"/>
      <c r="P150" s="48">
        <f>SUM(compras_mes123[[#This Row],[NETO GRAVADO]:[Otros / No Grav.]])</f>
        <v>582524.25</v>
      </c>
      <c r="Q150" s="49" t="str">
        <f>IFERROR(IF(compras_mes123[[#This Row],[CUIT]]="","-",VLOOKUP(compras_mes123[[#This Row],[CUIT]],Lista_CUIT[#All],3,0)),"CUIT NO CARGADO")</f>
        <v>GASTOS COSMETICA</v>
      </c>
      <c r="R150" s="49" t="str">
        <f>IFERROR(IF(compras_mes123[[#This Row],[CUIT]]="","-",VLOOKUP(compras_mes123[[#This Row],[CUIT]],Lista_CUIT[#All],4,0)),"CUIT NO CARGADO")</f>
        <v>BUENOS AIRES</v>
      </c>
    </row>
    <row r="151" spans="2:18" x14ac:dyDescent="0.3">
      <c r="B151" s="40">
        <v>45257</v>
      </c>
      <c r="C151" s="41">
        <v>1</v>
      </c>
      <c r="D151" s="42">
        <v>4</v>
      </c>
      <c r="E151" s="43">
        <v>9433</v>
      </c>
      <c r="F151" s="44">
        <v>30694547903</v>
      </c>
      <c r="G151" s="45" t="str">
        <f>IFERROR(IF(compras_mes123[[#This Row],[CUIT]]="","-",VLOOKUP(compras_mes123[[#This Row],[CUIT]],Lista_CUIT[#All],2,0)),"CUIT NO CARGADO")</f>
        <v>MULTICAJAS S A</v>
      </c>
      <c r="H151" s="46">
        <v>301530</v>
      </c>
      <c r="I151" s="85">
        <f>IF(compras_mes123[[#This Row],[NETO GRAVADO]]="","",compras_mes123[[#This Row],[NETO GRAVADO]]*0.21)</f>
        <v>63321.299999999996</v>
      </c>
      <c r="J151" s="85"/>
      <c r="K151" s="85"/>
      <c r="L151" s="85"/>
      <c r="M151" s="85"/>
      <c r="N151" s="85"/>
      <c r="O151" s="85"/>
      <c r="P151" s="48">
        <f>SUM(compras_mes123[[#This Row],[NETO GRAVADO]:[Otros / No Grav.]])</f>
        <v>364851.3</v>
      </c>
      <c r="Q151" s="49">
        <f>IFERROR(IF(compras_mes123[[#This Row],[CUIT]]="","-",VLOOKUP(compras_mes123[[#This Row],[CUIT]],Lista_CUIT[#All],3,0)),"CUIT NO CARGADO")</f>
        <v>0</v>
      </c>
      <c r="R151" s="49">
        <f>IFERROR(IF(compras_mes123[[#This Row],[CUIT]]="","-",VLOOKUP(compras_mes123[[#This Row],[CUIT]],Lista_CUIT[#All],4,0)),"CUIT NO CARGADO")</f>
        <v>0</v>
      </c>
    </row>
    <row r="152" spans="2:18" x14ac:dyDescent="0.3">
      <c r="B152" s="40">
        <v>45257</v>
      </c>
      <c r="C152" s="41">
        <v>1</v>
      </c>
      <c r="D152" s="42">
        <v>6</v>
      </c>
      <c r="E152" s="43">
        <v>16359</v>
      </c>
      <c r="F152" s="44">
        <v>30709457523</v>
      </c>
      <c r="G152" s="45" t="str">
        <f>IFERROR(IF(compras_mes123[[#This Row],[CUIT]]="","-",VLOOKUP(compras_mes123[[#This Row],[CUIT]],Lista_CUIT[#All],2,0)),"CUIT NO CARGADO")</f>
        <v>TENDEX SA</v>
      </c>
      <c r="H152" s="46">
        <v>482351.76</v>
      </c>
      <c r="I152" s="85"/>
      <c r="J152" s="85"/>
      <c r="K152" s="85">
        <v>50646.94</v>
      </c>
      <c r="L152" s="85"/>
      <c r="M152" s="85"/>
      <c r="N152" s="85"/>
      <c r="O152" s="85"/>
      <c r="P152" s="48">
        <f>SUM(compras_mes123[[#This Row],[NETO GRAVADO]:[Otros / No Grav.]])</f>
        <v>532998.69999999995</v>
      </c>
      <c r="Q152" s="49">
        <f>IFERROR(IF(compras_mes123[[#This Row],[CUIT]]="","-",VLOOKUP(compras_mes123[[#This Row],[CUIT]],Lista_CUIT[#All],3,0)),"CUIT NO CARGADO")</f>
        <v>0</v>
      </c>
      <c r="R152" s="49">
        <f>IFERROR(IF(compras_mes123[[#This Row],[CUIT]]="","-",VLOOKUP(compras_mes123[[#This Row],[CUIT]],Lista_CUIT[#All],4,0)),"CUIT NO CARGADO")</f>
        <v>0</v>
      </c>
    </row>
    <row r="153" spans="2:18" x14ac:dyDescent="0.3">
      <c r="B153" s="40">
        <v>45257</v>
      </c>
      <c r="C153" s="41">
        <v>1</v>
      </c>
      <c r="D153" s="42">
        <v>6852</v>
      </c>
      <c r="E153" s="43">
        <v>20374</v>
      </c>
      <c r="F153" s="44">
        <v>30678774495</v>
      </c>
      <c r="G153" s="45" t="str">
        <f>IFERROR(IF(compras_mes123[[#This Row],[CUIT]]="","-",VLOOKUP(compras_mes123[[#This Row],[CUIT]],Lista_CUIT[#All],2,0)),"CUIT NO CARGADO")</f>
        <v>OPER. DE EST. DE SERV. SA</v>
      </c>
      <c r="H153" s="46">
        <v>2294.98</v>
      </c>
      <c r="I153" s="85">
        <f>IF(compras_mes123[[#This Row],[NETO GRAVADO]]="","",compras_mes123[[#This Row],[NETO GRAVADO]]*0.21)</f>
        <v>481.94579999999996</v>
      </c>
      <c r="J153" s="85"/>
      <c r="K153" s="85"/>
      <c r="L153" s="85"/>
      <c r="M153" s="85"/>
      <c r="N153" s="85"/>
      <c r="O153" s="85">
        <v>223.07</v>
      </c>
      <c r="P153" s="48">
        <f>SUM(compras_mes123[[#This Row],[NETO GRAVADO]:[Otros / No Grav.]])</f>
        <v>2999.9958000000001</v>
      </c>
      <c r="Q153" s="49" t="str">
        <f>IFERROR(IF(compras_mes123[[#This Row],[CUIT]]="","-",VLOOKUP(compras_mes123[[#This Row],[CUIT]],Lista_CUIT[#All],3,0)),"CUIT NO CARGADO")</f>
        <v>Combustibe</v>
      </c>
      <c r="R153" s="49">
        <f>IFERROR(IF(compras_mes123[[#This Row],[CUIT]]="","-",VLOOKUP(compras_mes123[[#This Row],[CUIT]],Lista_CUIT[#All],4,0)),"CUIT NO CARGADO")</f>
        <v>0</v>
      </c>
    </row>
    <row r="154" spans="2:18" x14ac:dyDescent="0.3">
      <c r="B154" s="40">
        <v>45257</v>
      </c>
      <c r="C154" s="41">
        <v>1</v>
      </c>
      <c r="D154" s="42">
        <v>6</v>
      </c>
      <c r="E154" s="43">
        <v>9118</v>
      </c>
      <c r="F154" s="44">
        <v>33710167309</v>
      </c>
      <c r="G154" s="45" t="str">
        <f>IFERROR(IF(compras_mes123[[#This Row],[CUIT]]="","-",VLOOKUP(compras_mes123[[#This Row],[CUIT]],Lista_CUIT[#All],2,0)),"CUIT NO CARGADO")</f>
        <v>MAT. ESCO SA</v>
      </c>
      <c r="H154" s="46">
        <v>27272.74</v>
      </c>
      <c r="I154" s="85">
        <f>IF(compras_mes123[[#This Row],[NETO GRAVADO]]="","",compras_mes123[[#This Row],[NETO GRAVADO]]*0.21)</f>
        <v>5727.2754000000004</v>
      </c>
      <c r="J154" s="85"/>
      <c r="K154" s="85"/>
      <c r="L154" s="85"/>
      <c r="M154" s="85"/>
      <c r="N154" s="85"/>
      <c r="O154" s="85"/>
      <c r="P154" s="48">
        <f>SUM(compras_mes123[[#This Row],[NETO GRAVADO]:[Otros / No Grav.]])</f>
        <v>33000.015400000004</v>
      </c>
      <c r="Q154" s="49">
        <f>IFERROR(IF(compras_mes123[[#This Row],[CUIT]]="","-",VLOOKUP(compras_mes123[[#This Row],[CUIT]],Lista_CUIT[#All],3,0)),"CUIT NO CARGADO")</f>
        <v>0</v>
      </c>
      <c r="R154" s="49">
        <f>IFERROR(IF(compras_mes123[[#This Row],[CUIT]]="","-",VLOOKUP(compras_mes123[[#This Row],[CUIT]],Lista_CUIT[#All],4,0)),"CUIT NO CARGADO")</f>
        <v>0</v>
      </c>
    </row>
    <row r="155" spans="2:18" x14ac:dyDescent="0.3">
      <c r="B155" s="40">
        <v>45257</v>
      </c>
      <c r="C155" s="41">
        <v>1</v>
      </c>
      <c r="D155" s="42">
        <v>3</v>
      </c>
      <c r="E155" s="43">
        <v>6685</v>
      </c>
      <c r="F155" s="44">
        <v>30708006420</v>
      </c>
      <c r="G155" s="45" t="str">
        <f>IFERROR(IF(compras_mes123[[#This Row],[CUIT]]="","-",VLOOKUP(compras_mes123[[#This Row],[CUIT]],Lista_CUIT[#All],2,0)),"CUIT NO CARGADO")</f>
        <v>MEDILEA S.A.</v>
      </c>
      <c r="H155" s="46">
        <v>953555</v>
      </c>
      <c r="I155" s="85">
        <f>IF(compras_mes123[[#This Row],[NETO GRAVADO]]="","",compras_mes123[[#This Row],[NETO GRAVADO]]*0.21)</f>
        <v>200246.55</v>
      </c>
      <c r="J155" s="85"/>
      <c r="K155" s="85"/>
      <c r="L155" s="85"/>
      <c r="M155" s="85"/>
      <c r="N155" s="85"/>
      <c r="O155" s="85"/>
      <c r="P155" s="48">
        <f>SUM(compras_mes123[[#This Row],[NETO GRAVADO]:[Otros / No Grav.]])</f>
        <v>1153801.55</v>
      </c>
      <c r="Q155" s="49">
        <f>IFERROR(IF(compras_mes123[[#This Row],[CUIT]]="","-",VLOOKUP(compras_mes123[[#This Row],[CUIT]],Lista_CUIT[#All],3,0)),"CUIT NO CARGADO")</f>
        <v>0</v>
      </c>
      <c r="R155" s="49">
        <f>IFERROR(IF(compras_mes123[[#This Row],[CUIT]]="","-",VLOOKUP(compras_mes123[[#This Row],[CUIT]],Lista_CUIT[#All],4,0)),"CUIT NO CARGADO")</f>
        <v>0</v>
      </c>
    </row>
    <row r="156" spans="2:18" x14ac:dyDescent="0.3">
      <c r="B156" s="221">
        <v>45257</v>
      </c>
      <c r="C156" s="41">
        <v>1</v>
      </c>
      <c r="D156" s="222">
        <v>2</v>
      </c>
      <c r="E156" s="223">
        <v>3521</v>
      </c>
      <c r="F156" s="44">
        <v>30629863571</v>
      </c>
      <c r="G156" s="224" t="str">
        <f>IFERROR(IF(compras_mes123[[#This Row],[CUIT]]="","-",VLOOKUP(compras_mes123[[#This Row],[CUIT]],Lista_CUIT[#All],2,0)),"CUIT NO CARGADO")</f>
        <v>TECNIMAR S R L</v>
      </c>
      <c r="H156" s="46">
        <v>938742</v>
      </c>
      <c r="I156" s="85">
        <f>IF(compras_mes123[[#This Row],[NETO GRAVADO]]="","",compras_mes123[[#This Row],[NETO GRAVADO]]*0.21)</f>
        <v>197135.82</v>
      </c>
      <c r="J156" s="226"/>
      <c r="K156" s="226"/>
      <c r="L156" s="226"/>
      <c r="M156" s="226"/>
      <c r="N156" s="226"/>
      <c r="O156" s="226"/>
      <c r="P156" s="227">
        <f>SUM(compras_mes123[[#This Row],[NETO GRAVADO]:[Otros / No Grav.]])</f>
        <v>1135877.82</v>
      </c>
      <c r="Q156" s="228" t="str">
        <f>IFERROR(IF(compras_mes123[[#This Row],[CUIT]]="","-",VLOOKUP(compras_mes123[[#This Row],[CUIT]],Lista_CUIT[#All],3,0)),"CUIT NO CARGADO")</f>
        <v>LABORATORIO</v>
      </c>
      <c r="R156" s="228">
        <f>IFERROR(IF(compras_mes123[[#This Row],[CUIT]]="","-",VLOOKUP(compras_mes123[[#This Row],[CUIT]],Lista_CUIT[#All],4,0)),"CUIT NO CARGADO")</f>
        <v>0</v>
      </c>
    </row>
    <row r="157" spans="2:18" x14ac:dyDescent="0.3">
      <c r="B157" s="40">
        <v>45257</v>
      </c>
      <c r="C157" s="41">
        <v>3</v>
      </c>
      <c r="D157" s="42">
        <v>3</v>
      </c>
      <c r="E157" s="43">
        <v>295</v>
      </c>
      <c r="F157" s="44">
        <v>30708006420</v>
      </c>
      <c r="G157" s="45" t="str">
        <f>IFERROR(IF(compras_mes123[[#This Row],[CUIT]]="","-",VLOOKUP(compras_mes123[[#This Row],[CUIT]],Lista_CUIT[#All],2,0)),"CUIT NO CARGADO")</f>
        <v>MEDILEA S.A.</v>
      </c>
      <c r="H157" s="46">
        <v>-953555</v>
      </c>
      <c r="I157" s="85">
        <f>IF(compras_mes123[[#This Row],[NETO GRAVADO]]="","",compras_mes123[[#This Row],[NETO GRAVADO]]*0.21)</f>
        <v>-200246.55</v>
      </c>
      <c r="J157" s="85"/>
      <c r="K157" s="85"/>
      <c r="L157" s="85"/>
      <c r="M157" s="85"/>
      <c r="N157" s="85"/>
      <c r="O157" s="85"/>
      <c r="P157" s="48">
        <f>SUM(compras_mes123[[#This Row],[NETO GRAVADO]:[Otros / No Grav.]])</f>
        <v>-1153801.55</v>
      </c>
      <c r="Q157" s="49">
        <f>IFERROR(IF(compras_mes123[[#This Row],[CUIT]]="","-",VLOOKUP(compras_mes123[[#This Row],[CUIT]],Lista_CUIT[#All],3,0)),"CUIT NO CARGADO")</f>
        <v>0</v>
      </c>
      <c r="R157" s="49">
        <f>IFERROR(IF(compras_mes123[[#This Row],[CUIT]]="","-",VLOOKUP(compras_mes123[[#This Row],[CUIT]],Lista_CUIT[#All],4,0)),"CUIT NO CARGADO")</f>
        <v>0</v>
      </c>
    </row>
    <row r="158" spans="2:18" x14ac:dyDescent="0.3">
      <c r="B158" s="40">
        <v>45258</v>
      </c>
      <c r="C158" s="41">
        <v>1</v>
      </c>
      <c r="D158" s="42">
        <v>7</v>
      </c>
      <c r="E158" s="43">
        <v>1490</v>
      </c>
      <c r="F158" s="44">
        <v>20282218802</v>
      </c>
      <c r="G158" s="45" t="str">
        <f>IFERROR(IF(compras_mes123[[#This Row],[CUIT]]="","-",VLOOKUP(compras_mes123[[#This Row],[CUIT]],Lista_CUIT[#All],2,0)),"CUIT NO CARGADO")</f>
        <v>CARRIZO GUSTAVO ADRIAN</v>
      </c>
      <c r="H158" s="46">
        <v>16108.26</v>
      </c>
      <c r="I158" s="85">
        <f>IF(compras_mes123[[#This Row],[NETO GRAVADO]]="","",compras_mes123[[#This Row],[NETO GRAVADO]]*0.21)</f>
        <v>3382.7345999999998</v>
      </c>
      <c r="J158" s="85"/>
      <c r="K158" s="85"/>
      <c r="L158" s="85"/>
      <c r="M158" s="85"/>
      <c r="N158" s="85"/>
      <c r="O158" s="85"/>
      <c r="P158" s="48">
        <f>SUM(compras_mes123[[#This Row],[NETO GRAVADO]:[Otros / No Grav.]])</f>
        <v>19490.994599999998</v>
      </c>
      <c r="Q158" s="49">
        <f>IFERROR(IF(compras_mes123[[#This Row],[CUIT]]="","-",VLOOKUP(compras_mes123[[#This Row],[CUIT]],Lista_CUIT[#All],3,0)),"CUIT NO CARGADO")</f>
        <v>0</v>
      </c>
      <c r="R158" s="49">
        <f>IFERROR(IF(compras_mes123[[#This Row],[CUIT]]="","-",VLOOKUP(compras_mes123[[#This Row],[CUIT]],Lista_CUIT[#All],4,0)),"CUIT NO CARGADO")</f>
        <v>0</v>
      </c>
    </row>
    <row r="159" spans="2:18" x14ac:dyDescent="0.3">
      <c r="B159" s="40">
        <v>45258</v>
      </c>
      <c r="C159" s="41">
        <v>1</v>
      </c>
      <c r="D159" s="42">
        <v>4</v>
      </c>
      <c r="E159" s="43">
        <v>44543</v>
      </c>
      <c r="F159" s="44">
        <v>30709863076</v>
      </c>
      <c r="G159" s="45" t="str">
        <f>IFERROR(IF(compras_mes123[[#This Row],[CUIT]]="","-",VLOOKUP(compras_mes123[[#This Row],[CUIT]],Lista_CUIT[#All],2,0)),"CUIT NO CARGADO")</f>
        <v>INDUSTRIAS PLASTICOS SALTA S.R.L.</v>
      </c>
      <c r="H159" s="46">
        <v>234000</v>
      </c>
      <c r="I159" s="85">
        <f>IF(compras_mes123[[#This Row],[NETO GRAVADO]]="","",compras_mes123[[#This Row],[NETO GRAVADO]]*0.21)</f>
        <v>49140</v>
      </c>
      <c r="J159" s="85"/>
      <c r="K159" s="85"/>
      <c r="L159" s="85"/>
      <c r="M159" s="85"/>
      <c r="N159" s="85"/>
      <c r="O159" s="85"/>
      <c r="P159" s="48">
        <f>SUM(compras_mes123[[#This Row],[NETO GRAVADO]:[Otros / No Grav.]])</f>
        <v>283140</v>
      </c>
      <c r="Q159" s="49">
        <f>IFERROR(IF(compras_mes123[[#This Row],[CUIT]]="","-",VLOOKUP(compras_mes123[[#This Row],[CUIT]],Lista_CUIT[#All],3,0)),"CUIT NO CARGADO")</f>
        <v>0</v>
      </c>
      <c r="R159" s="49">
        <f>IFERROR(IF(compras_mes123[[#This Row],[CUIT]]="","-",VLOOKUP(compras_mes123[[#This Row],[CUIT]],Lista_CUIT[#All],4,0)),"CUIT NO CARGADO")</f>
        <v>0</v>
      </c>
    </row>
    <row r="160" spans="2:18" x14ac:dyDescent="0.3">
      <c r="B160" s="40">
        <v>45258</v>
      </c>
      <c r="C160" s="41">
        <v>1</v>
      </c>
      <c r="D160" s="42">
        <v>5</v>
      </c>
      <c r="E160" s="43">
        <v>745</v>
      </c>
      <c r="F160" s="44">
        <v>30714905313</v>
      </c>
      <c r="G160" s="45" t="str">
        <f>IFERROR(IF(compras_mes123[[#This Row],[CUIT]]="","-",VLOOKUP(compras_mes123[[#This Row],[CUIT]],Lista_CUIT[#All],2,0)),"CUIT NO CARGADO")</f>
        <v>BARRI EMILIANO Y BARRI FEDERICO SH</v>
      </c>
      <c r="H160" s="46">
        <v>22311.81</v>
      </c>
      <c r="I160" s="85">
        <f>IF(compras_mes123[[#This Row],[NETO GRAVADO]]="","",compras_mes123[[#This Row],[NETO GRAVADO]]*0.21)</f>
        <v>4685.4800999999998</v>
      </c>
      <c r="J160" s="85"/>
      <c r="K160" s="85"/>
      <c r="L160" s="85"/>
      <c r="M160" s="85"/>
      <c r="N160" s="85"/>
      <c r="O160" s="85"/>
      <c r="P160" s="48">
        <f>SUM(compras_mes123[[#This Row],[NETO GRAVADO]:[Otros / No Grav.]])</f>
        <v>26997.290100000002</v>
      </c>
      <c r="Q160" s="49">
        <f>IFERROR(IF(compras_mes123[[#This Row],[CUIT]]="","-",VLOOKUP(compras_mes123[[#This Row],[CUIT]],Lista_CUIT[#All],3,0)),"CUIT NO CARGADO")</f>
        <v>0</v>
      </c>
      <c r="R160" s="49">
        <f>IFERROR(IF(compras_mes123[[#This Row],[CUIT]]="","-",VLOOKUP(compras_mes123[[#This Row],[CUIT]],Lista_CUIT[#All],4,0)),"CUIT NO CARGADO")</f>
        <v>0</v>
      </c>
    </row>
    <row r="161" spans="2:18" s="239" customFormat="1" x14ac:dyDescent="0.3">
      <c r="B161" s="40">
        <v>45258</v>
      </c>
      <c r="C161" s="41">
        <v>1</v>
      </c>
      <c r="D161" s="42">
        <v>301</v>
      </c>
      <c r="E161" s="43">
        <v>68540</v>
      </c>
      <c r="F161" s="44">
        <v>30686978350</v>
      </c>
      <c r="G161" s="45" t="str">
        <f>IFERROR(IF(compras_mes123[[#This Row],[CUIT]]="","-",VLOOKUP(compras_mes123[[#This Row],[CUIT]],Lista_CUIT[#All],2,0)),"CUIT NO CARGADO")</f>
        <v>SPEED BUSINESS S. A.</v>
      </c>
      <c r="H161" s="46">
        <v>5347.11</v>
      </c>
      <c r="I161" s="85">
        <f>IF(compras_mes123[[#This Row],[NETO GRAVADO]]="","",compras_mes123[[#This Row],[NETO GRAVADO]]*0.21)</f>
        <v>1122.8930999999998</v>
      </c>
      <c r="J161" s="85"/>
      <c r="K161" s="85"/>
      <c r="L161" s="85"/>
      <c r="M161" s="85"/>
      <c r="N161" s="85"/>
      <c r="O161" s="85"/>
      <c r="P161" s="48">
        <f>SUM(compras_mes123[[#This Row],[NETO GRAVADO]:[Otros / No Grav.]])</f>
        <v>6470.0030999999999</v>
      </c>
      <c r="Q161" s="49">
        <f>IFERROR(IF(compras_mes123[[#This Row],[CUIT]]="","-",VLOOKUP(compras_mes123[[#This Row],[CUIT]],Lista_CUIT[#All],3,0)),"CUIT NO CARGADO")</f>
        <v>0</v>
      </c>
      <c r="R161" s="49">
        <f>IFERROR(IF(compras_mes123[[#This Row],[CUIT]]="","-",VLOOKUP(compras_mes123[[#This Row],[CUIT]],Lista_CUIT[#All],4,0)),"CUIT NO CARGADO")</f>
        <v>0</v>
      </c>
    </row>
    <row r="162" spans="2:18" x14ac:dyDescent="0.3">
      <c r="B162" s="40">
        <v>45258</v>
      </c>
      <c r="C162" s="41">
        <v>1</v>
      </c>
      <c r="D162" s="42">
        <v>3</v>
      </c>
      <c r="E162" s="43">
        <v>1006</v>
      </c>
      <c r="F162" s="44">
        <v>23142556499</v>
      </c>
      <c r="G162" s="45" t="str">
        <f>IFERROR(IF(compras_mes123[[#This Row],[CUIT]]="","-",VLOOKUP(compras_mes123[[#This Row],[CUIT]],Lista_CUIT[#All],2,0)),"CUIT NO CARGADO")</f>
        <v>URRUTIA DANIEL ALBERTO</v>
      </c>
      <c r="H162" s="46">
        <v>14380.17</v>
      </c>
      <c r="I162" s="85">
        <f>IF(compras_mes123[[#This Row],[NETO GRAVADO]]="","",compras_mes123[[#This Row],[NETO GRAVADO]]*0.21)</f>
        <v>3019.8357000000001</v>
      </c>
      <c r="J162" s="85"/>
      <c r="K162" s="85"/>
      <c r="L162" s="85"/>
      <c r="M162" s="85"/>
      <c r="N162" s="85"/>
      <c r="O162" s="85"/>
      <c r="P162" s="48">
        <f>SUM(compras_mes123[[#This Row],[NETO GRAVADO]:[Otros / No Grav.]])</f>
        <v>17400.005700000002</v>
      </c>
      <c r="Q162" s="49">
        <f>IFERROR(IF(compras_mes123[[#This Row],[CUIT]]="","-",VLOOKUP(compras_mes123[[#This Row],[CUIT]],Lista_CUIT[#All],3,0)),"CUIT NO CARGADO")</f>
        <v>0</v>
      </c>
      <c r="R162" s="49">
        <f>IFERROR(IF(compras_mes123[[#This Row],[CUIT]]="","-",VLOOKUP(compras_mes123[[#This Row],[CUIT]],Lista_CUIT[#All],4,0)),"CUIT NO CARGADO")</f>
        <v>0</v>
      </c>
    </row>
    <row r="163" spans="2:18" x14ac:dyDescent="0.3">
      <c r="B163" s="40">
        <v>45259</v>
      </c>
      <c r="C163" s="41">
        <v>1</v>
      </c>
      <c r="D163" s="42">
        <v>3</v>
      </c>
      <c r="E163" s="43">
        <v>31325</v>
      </c>
      <c r="F163" s="44">
        <v>30716389681</v>
      </c>
      <c r="G163" s="45" t="str">
        <f>IFERROR(IF(compras_mes123[[#This Row],[CUIT]]="","-",VLOOKUP(compras_mes123[[#This Row],[CUIT]],Lista_CUIT[#All],2,0)),"CUIT NO CARGADO")</f>
        <v>CRAFTERS ARG SAS</v>
      </c>
      <c r="H163" s="46">
        <v>13638.63</v>
      </c>
      <c r="I163" s="85">
        <f>IF(compras_mes123[[#This Row],[NETO GRAVADO]]="","",compras_mes123[[#This Row],[NETO GRAVADO]]*0.21)</f>
        <v>2864.1122999999998</v>
      </c>
      <c r="J163" s="85"/>
      <c r="K163" s="85"/>
      <c r="L163" s="85"/>
      <c r="M163" s="85"/>
      <c r="N163" s="85"/>
      <c r="O163" s="85"/>
      <c r="P163" s="48">
        <f>SUM(compras_mes123[[#This Row],[NETO GRAVADO]:[Otros / No Grav.]])</f>
        <v>16502.742299999998</v>
      </c>
      <c r="Q163" s="49">
        <f>IFERROR(IF(compras_mes123[[#This Row],[CUIT]]="","-",VLOOKUP(compras_mes123[[#This Row],[CUIT]],Lista_CUIT[#All],3,0)),"CUIT NO CARGADO")</f>
        <v>0</v>
      </c>
      <c r="R163" s="49">
        <f>IFERROR(IF(compras_mes123[[#This Row],[CUIT]]="","-",VLOOKUP(compras_mes123[[#This Row],[CUIT]],Lista_CUIT[#All],4,0)),"CUIT NO CARGADO")</f>
        <v>0</v>
      </c>
    </row>
    <row r="164" spans="2:18" x14ac:dyDescent="0.3">
      <c r="B164" s="40">
        <v>45259</v>
      </c>
      <c r="C164" s="41">
        <v>1</v>
      </c>
      <c r="D164" s="42">
        <v>15</v>
      </c>
      <c r="E164" s="43">
        <v>26724</v>
      </c>
      <c r="F164" s="44">
        <v>30715239104</v>
      </c>
      <c r="G164" s="45" t="str">
        <f>IFERROR(IF(compras_mes123[[#This Row],[CUIT]]="","-",VLOOKUP(compras_mes123[[#This Row],[CUIT]],Lista_CUIT[#All],2,0)),"CUIT NO CARGADO")</f>
        <v>SASSON ALBERTO,SASSON MAURICIO ENRIQUE, SASSON EMILIA NADIA</v>
      </c>
      <c r="H164" s="46">
        <v>16115.7</v>
      </c>
      <c r="I164" s="85">
        <f>IF(compras_mes123[[#This Row],[NETO GRAVADO]]="","",compras_mes123[[#This Row],[NETO GRAVADO]]*0.21)</f>
        <v>3384.297</v>
      </c>
      <c r="J164" s="85"/>
      <c r="K164" s="85"/>
      <c r="L164" s="85"/>
      <c r="M164" s="85"/>
      <c r="N164" s="85"/>
      <c r="O164" s="85"/>
      <c r="P164" s="48">
        <f>SUM(compras_mes123[[#This Row],[NETO GRAVADO]:[Otros / No Grav.]])</f>
        <v>19499.996999999999</v>
      </c>
      <c r="Q164" s="49">
        <f>IFERROR(IF(compras_mes123[[#This Row],[CUIT]]="","-",VLOOKUP(compras_mes123[[#This Row],[CUIT]],Lista_CUIT[#All],3,0)),"CUIT NO CARGADO")</f>
        <v>0</v>
      </c>
      <c r="R164" s="49">
        <f>IFERROR(IF(compras_mes123[[#This Row],[CUIT]]="","-",VLOOKUP(compras_mes123[[#This Row],[CUIT]],Lista_CUIT[#All],4,0)),"CUIT NO CARGADO")</f>
        <v>0</v>
      </c>
    </row>
    <row r="165" spans="2:18" x14ac:dyDescent="0.3">
      <c r="B165" s="40">
        <v>45259</v>
      </c>
      <c r="C165" s="41">
        <v>1</v>
      </c>
      <c r="D165" s="42">
        <v>3</v>
      </c>
      <c r="E165" s="43">
        <v>31326</v>
      </c>
      <c r="F165" s="44">
        <v>30716389681</v>
      </c>
      <c r="G165" s="45" t="str">
        <f>IFERROR(IF(compras_mes123[[#This Row],[CUIT]]="","-",VLOOKUP(compras_mes123[[#This Row],[CUIT]],Lista_CUIT[#All],2,0)),"CUIT NO CARGADO")</f>
        <v>CRAFTERS ARG SAS</v>
      </c>
      <c r="H165" s="46">
        <v>16948.759999999998</v>
      </c>
      <c r="I165" s="85">
        <f>IF(compras_mes123[[#This Row],[NETO GRAVADO]]="","",compras_mes123[[#This Row],[NETO GRAVADO]]*0.21)</f>
        <v>3559.2395999999994</v>
      </c>
      <c r="J165" s="85"/>
      <c r="K165" s="85"/>
      <c r="L165" s="85"/>
      <c r="M165" s="85"/>
      <c r="N165" s="85"/>
      <c r="O165" s="85"/>
      <c r="P165" s="48">
        <f>SUM(compras_mes123[[#This Row],[NETO GRAVADO]:[Otros / No Grav.]])</f>
        <v>20507.999599999999</v>
      </c>
      <c r="Q165" s="49">
        <f>IFERROR(IF(compras_mes123[[#This Row],[CUIT]]="","-",VLOOKUP(compras_mes123[[#This Row],[CUIT]],Lista_CUIT[#All],3,0)),"CUIT NO CARGADO")</f>
        <v>0</v>
      </c>
      <c r="R165" s="49">
        <f>IFERROR(IF(compras_mes123[[#This Row],[CUIT]]="","-",VLOOKUP(compras_mes123[[#This Row],[CUIT]],Lista_CUIT[#All],4,0)),"CUIT NO CARGADO")</f>
        <v>0</v>
      </c>
    </row>
    <row r="166" spans="2:18" x14ac:dyDescent="0.3">
      <c r="B166" s="40">
        <v>45259</v>
      </c>
      <c r="C166" s="41">
        <v>1</v>
      </c>
      <c r="D166" s="42">
        <v>7</v>
      </c>
      <c r="E166" s="43">
        <v>11405</v>
      </c>
      <c r="F166" s="44">
        <v>30715124919</v>
      </c>
      <c r="G166" s="45" t="str">
        <f>IFERROR(IF(compras_mes123[[#This Row],[CUIT]]="","-",VLOOKUP(compras_mes123[[#This Row],[CUIT]],Lista_CUIT[#All],2,0)),"CUIT NO CARGADO")</f>
        <v>CLEAN LAB SRL</v>
      </c>
      <c r="H166" s="46">
        <v>52893.38</v>
      </c>
      <c r="I166" s="85">
        <f>IF(compras_mes123[[#This Row],[NETO GRAVADO]]="","",compras_mes123[[#This Row],[NETO GRAVADO]]*0.21)</f>
        <v>11107.609799999998</v>
      </c>
      <c r="J166" s="85"/>
      <c r="K166" s="85"/>
      <c r="L166" s="85"/>
      <c r="M166" s="85"/>
      <c r="N166" s="85"/>
      <c r="O166" s="85"/>
      <c r="P166" s="48">
        <f>SUM(compras_mes123[[#This Row],[NETO GRAVADO]:[Otros / No Grav.]])</f>
        <v>64000.989799999996</v>
      </c>
      <c r="Q166" s="49">
        <f>IFERROR(IF(compras_mes123[[#This Row],[CUIT]]="","-",VLOOKUP(compras_mes123[[#This Row],[CUIT]],Lista_CUIT[#All],3,0)),"CUIT NO CARGADO")</f>
        <v>0</v>
      </c>
      <c r="R166" s="49">
        <f>IFERROR(IF(compras_mes123[[#This Row],[CUIT]]="","-",VLOOKUP(compras_mes123[[#This Row],[CUIT]],Lista_CUIT[#All],4,0)),"CUIT NO CARGADO")</f>
        <v>0</v>
      </c>
    </row>
    <row r="167" spans="2:18" x14ac:dyDescent="0.3">
      <c r="B167" s="588">
        <v>45259</v>
      </c>
      <c r="C167" s="41">
        <v>1</v>
      </c>
      <c r="D167" s="589">
        <v>7</v>
      </c>
      <c r="E167" s="590">
        <v>11406</v>
      </c>
      <c r="F167" s="591">
        <v>30715124919</v>
      </c>
      <c r="G167" s="592" t="str">
        <f>IFERROR(IF(compras_mes123[[#This Row],[CUIT]]="","-",VLOOKUP(compras_mes123[[#This Row],[CUIT]],Lista_CUIT[#All],2,0)),"CUIT NO CARGADO")</f>
        <v>CLEAN LAB SRL</v>
      </c>
      <c r="H167" s="593">
        <v>13960.34</v>
      </c>
      <c r="I167" s="594">
        <f>IF(compras_mes123[[#This Row],[NETO GRAVADO]]="","",compras_mes123[[#This Row],[NETO GRAVADO]]*0.21)</f>
        <v>2931.6713999999997</v>
      </c>
      <c r="J167" s="594"/>
      <c r="K167" s="594"/>
      <c r="L167" s="594"/>
      <c r="M167" s="594"/>
      <c r="N167" s="594"/>
      <c r="O167" s="594"/>
      <c r="P167" s="595">
        <f>SUM(compras_mes123[[#This Row],[NETO GRAVADO]:[Otros / No Grav.]])</f>
        <v>16892.011399999999</v>
      </c>
      <c r="Q167" s="596">
        <f>IFERROR(IF(compras_mes123[[#This Row],[CUIT]]="","-",VLOOKUP(compras_mes123[[#This Row],[CUIT]],Lista_CUIT[#All],3,0)),"CUIT NO CARGADO")</f>
        <v>0</v>
      </c>
      <c r="R167" s="596">
        <f>IFERROR(IF(compras_mes123[[#This Row],[CUIT]]="","-",VLOOKUP(compras_mes123[[#This Row],[CUIT]],Lista_CUIT[#All],4,0)),"CUIT NO CARGADO")</f>
        <v>0</v>
      </c>
    </row>
    <row r="168" spans="2:18" x14ac:dyDescent="0.3">
      <c r="B168" s="588">
        <v>45259</v>
      </c>
      <c r="C168" s="41">
        <v>1</v>
      </c>
      <c r="D168" s="589">
        <v>42</v>
      </c>
      <c r="E168" s="590">
        <v>909</v>
      </c>
      <c r="F168" s="591">
        <v>30696676026</v>
      </c>
      <c r="G168" s="592" t="str">
        <f>IFERROR(IF(compras_mes123[[#This Row],[CUIT]]="","-",VLOOKUP(compras_mes123[[#This Row],[CUIT]],Lista_CUIT[#All],2,0)),"CUIT NO CARGADO")</f>
        <v>EL UNIVERSO DEL CONTROL REMOTO SRL</v>
      </c>
      <c r="H168" s="593">
        <v>26926.39</v>
      </c>
      <c r="I168" s="594">
        <v>492.68</v>
      </c>
      <c r="J168" s="594"/>
      <c r="K168" s="594">
        <v>2580.9299999999998</v>
      </c>
      <c r="L168" s="594"/>
      <c r="M168" s="594"/>
      <c r="N168" s="594"/>
      <c r="O168" s="594"/>
      <c r="P168" s="595">
        <f>SUM(compras_mes123[[#This Row],[NETO GRAVADO]:[Otros / No Grav.]])</f>
        <v>30000</v>
      </c>
      <c r="Q168" s="596">
        <f>IFERROR(IF(compras_mes123[[#This Row],[CUIT]]="","-",VLOOKUP(compras_mes123[[#This Row],[CUIT]],Lista_CUIT[#All],3,0)),"CUIT NO CARGADO")</f>
        <v>0</v>
      </c>
      <c r="R168" s="596">
        <f>IFERROR(IF(compras_mes123[[#This Row],[CUIT]]="","-",VLOOKUP(compras_mes123[[#This Row],[CUIT]],Lista_CUIT[#All],4,0)),"CUIT NO CARGADO")</f>
        <v>0</v>
      </c>
    </row>
    <row r="169" spans="2:18" x14ac:dyDescent="0.3">
      <c r="B169" s="588">
        <v>45259</v>
      </c>
      <c r="C169" s="41">
        <v>1</v>
      </c>
      <c r="D169" s="589">
        <v>7</v>
      </c>
      <c r="E169" s="590">
        <v>11433</v>
      </c>
      <c r="F169" s="591">
        <v>30715124919</v>
      </c>
      <c r="G169" s="592" t="str">
        <f>IFERROR(IF(compras_mes123[[#This Row],[CUIT]]="","-",VLOOKUP(compras_mes123[[#This Row],[CUIT]],Lista_CUIT[#All],2,0)),"CUIT NO CARGADO")</f>
        <v>CLEAN LAB SRL</v>
      </c>
      <c r="H169" s="593">
        <v>66345.460000000006</v>
      </c>
      <c r="I169" s="594">
        <f>IF(compras_mes123[[#This Row],[NETO GRAVADO]]="","",compras_mes123[[#This Row],[NETO GRAVADO]]*0.21)</f>
        <v>13932.546600000001</v>
      </c>
      <c r="J169" s="594"/>
      <c r="K169" s="594"/>
      <c r="L169" s="594"/>
      <c r="M169" s="594"/>
      <c r="N169" s="594"/>
      <c r="O169" s="594"/>
      <c r="P169" s="595">
        <f>SUM(compras_mes123[[#This Row],[NETO GRAVADO]:[Otros / No Grav.]])</f>
        <v>80278.006600000008</v>
      </c>
      <c r="Q169" s="596">
        <f>IFERROR(IF(compras_mes123[[#This Row],[CUIT]]="","-",VLOOKUP(compras_mes123[[#This Row],[CUIT]],Lista_CUIT[#All],3,0)),"CUIT NO CARGADO")</f>
        <v>0</v>
      </c>
      <c r="R169" s="596">
        <f>IFERROR(IF(compras_mes123[[#This Row],[CUIT]]="","-",VLOOKUP(compras_mes123[[#This Row],[CUIT]],Lista_CUIT[#All],4,0)),"CUIT NO CARGADO")</f>
        <v>0</v>
      </c>
    </row>
    <row r="170" spans="2:18" x14ac:dyDescent="0.3">
      <c r="B170" s="588">
        <v>45259</v>
      </c>
      <c r="C170" s="41">
        <v>1</v>
      </c>
      <c r="D170" s="589">
        <v>4</v>
      </c>
      <c r="E170" s="590">
        <v>9453</v>
      </c>
      <c r="F170" s="591">
        <v>30694547903</v>
      </c>
      <c r="G170" s="592" t="str">
        <f>IFERROR(IF(compras_mes123[[#This Row],[CUIT]]="","-",VLOOKUP(compras_mes123[[#This Row],[CUIT]],Lista_CUIT[#All],2,0)),"CUIT NO CARGADO")</f>
        <v>MULTICAJAS S A</v>
      </c>
      <c r="H170" s="593">
        <v>382356</v>
      </c>
      <c r="I170" s="594">
        <f>IF(compras_mes123[[#This Row],[NETO GRAVADO]]="","",compras_mes123[[#This Row],[NETO GRAVADO]]*0.21)</f>
        <v>80294.759999999995</v>
      </c>
      <c r="J170" s="594"/>
      <c r="K170" s="594"/>
      <c r="L170" s="594"/>
      <c r="M170" s="594"/>
      <c r="N170" s="594"/>
      <c r="O170" s="594"/>
      <c r="P170" s="595">
        <f>SUM(compras_mes123[[#This Row],[NETO GRAVADO]:[Otros / No Grav.]])</f>
        <v>462650.76</v>
      </c>
      <c r="Q170" s="596">
        <f>IFERROR(IF(compras_mes123[[#This Row],[CUIT]]="","-",VLOOKUP(compras_mes123[[#This Row],[CUIT]],Lista_CUIT[#All],3,0)),"CUIT NO CARGADO")</f>
        <v>0</v>
      </c>
      <c r="R170" s="596">
        <f>IFERROR(IF(compras_mes123[[#This Row],[CUIT]]="","-",VLOOKUP(compras_mes123[[#This Row],[CUIT]],Lista_CUIT[#All],4,0)),"CUIT NO CARGADO")</f>
        <v>0</v>
      </c>
    </row>
    <row r="171" spans="2:18" x14ac:dyDescent="0.3">
      <c r="B171" s="588">
        <v>45259</v>
      </c>
      <c r="C171" s="41">
        <v>1</v>
      </c>
      <c r="D171" s="589">
        <v>27</v>
      </c>
      <c r="E171" s="590">
        <v>1890601</v>
      </c>
      <c r="F171" s="591">
        <v>30703088534</v>
      </c>
      <c r="G171" s="592" t="str">
        <f>IFERROR(IF(compras_mes123[[#This Row],[CUIT]]="","-",VLOOKUP(compras_mes123[[#This Row],[CUIT]],Lista_CUIT[#All],2,0)),"CUIT NO CARGADO")</f>
        <v>MERCADO LIBRE SRL</v>
      </c>
      <c r="H171" s="593">
        <v>532273.98</v>
      </c>
      <c r="I171" s="594">
        <f>IF(compras_mes123[[#This Row],[NETO GRAVADO]]="","",compras_mes123[[#This Row],[NETO GRAVADO]]*0.21)</f>
        <v>111777.5358</v>
      </c>
      <c r="J171" s="594"/>
      <c r="K171" s="594"/>
      <c r="L171" s="594"/>
      <c r="M171" s="594"/>
      <c r="N171" s="594"/>
      <c r="O171" s="594">
        <v>53227.42</v>
      </c>
      <c r="P171" s="595">
        <f>SUM(compras_mes123[[#This Row],[NETO GRAVADO]:[Otros / No Grav.]])</f>
        <v>697278.93579999998</v>
      </c>
      <c r="Q171" s="596" t="str">
        <f>IFERROR(IF(compras_mes123[[#This Row],[CUIT]]="","-",VLOOKUP(compras_mes123[[#This Row],[CUIT]],Lista_CUIT[#All],3,0)),"CUIT NO CARGADO")</f>
        <v>Gastos Varios</v>
      </c>
      <c r="R171" s="596" t="str">
        <f>IFERROR(IF(compras_mes123[[#This Row],[CUIT]]="","-",VLOOKUP(compras_mes123[[#This Row],[CUIT]],Lista_CUIT[#All],4,0)),"CUIT NO CARGADO")</f>
        <v>CABA</v>
      </c>
    </row>
    <row r="172" spans="2:18" x14ac:dyDescent="0.3">
      <c r="B172" s="588">
        <v>45259</v>
      </c>
      <c r="C172" s="41">
        <v>1</v>
      </c>
      <c r="D172" s="589">
        <v>2</v>
      </c>
      <c r="E172" s="590">
        <v>3525</v>
      </c>
      <c r="F172" s="591">
        <v>30629863571</v>
      </c>
      <c r="G172" s="592" t="str">
        <f>IFERROR(IF(compras_mes123[[#This Row],[CUIT]]="","-",VLOOKUP(compras_mes123[[#This Row],[CUIT]],Lista_CUIT[#All],2,0)),"CUIT NO CARGADO")</f>
        <v>TECNIMAR S R L</v>
      </c>
      <c r="H172" s="593">
        <v>1518369.5</v>
      </c>
      <c r="I172" s="594">
        <f>IF(compras_mes123[[#This Row],[NETO GRAVADO]]="","",compras_mes123[[#This Row],[NETO GRAVADO]]*0.21)</f>
        <v>318857.59499999997</v>
      </c>
      <c r="J172" s="594"/>
      <c r="K172" s="594"/>
      <c r="L172" s="594"/>
      <c r="M172" s="594"/>
      <c r="N172" s="594"/>
      <c r="O172" s="594"/>
      <c r="P172" s="595">
        <f>SUM(compras_mes123[[#This Row],[NETO GRAVADO]:[Otros / No Grav.]])</f>
        <v>1837227.095</v>
      </c>
      <c r="Q172" s="596" t="str">
        <f>IFERROR(IF(compras_mes123[[#This Row],[CUIT]]="","-",VLOOKUP(compras_mes123[[#This Row],[CUIT]],Lista_CUIT[#All],3,0)),"CUIT NO CARGADO")</f>
        <v>LABORATORIO</v>
      </c>
      <c r="R172" s="596">
        <f>IFERROR(IF(compras_mes123[[#This Row],[CUIT]]="","-",VLOOKUP(compras_mes123[[#This Row],[CUIT]],Lista_CUIT[#All],4,0)),"CUIT NO CARGADO")</f>
        <v>0</v>
      </c>
    </row>
    <row r="173" spans="2:18" x14ac:dyDescent="0.3">
      <c r="B173" s="40">
        <v>45259</v>
      </c>
      <c r="C173" s="41">
        <v>3</v>
      </c>
      <c r="D173" s="42">
        <v>27</v>
      </c>
      <c r="E173" s="43">
        <v>82978</v>
      </c>
      <c r="F173" s="44">
        <v>30703088534</v>
      </c>
      <c r="G173" s="45" t="str">
        <f>IFERROR(IF(compras_mes123[[#This Row],[CUIT]]="","-",VLOOKUP(compras_mes123[[#This Row],[CUIT]],Lista_CUIT[#All],2,0)),"CUIT NO CARGADO")</f>
        <v>MERCADO LIBRE SRL</v>
      </c>
      <c r="H173" s="46">
        <v>-149.59</v>
      </c>
      <c r="I173" s="85">
        <f>IF(compras_mes123[[#This Row],[NETO GRAVADO]]="","",compras_mes123[[#This Row],[NETO GRAVADO]]*0.21)</f>
        <v>-31.413899999999998</v>
      </c>
      <c r="J173" s="85"/>
      <c r="K173" s="85"/>
      <c r="L173" s="85"/>
      <c r="M173" s="85"/>
      <c r="N173" s="85"/>
      <c r="O173" s="85">
        <v>-5.99</v>
      </c>
      <c r="P173" s="48">
        <f>SUM(compras_mes123[[#This Row],[NETO GRAVADO]:[Otros / No Grav.]])</f>
        <v>-186.9939</v>
      </c>
      <c r="Q173" s="49" t="str">
        <f>IFERROR(IF(compras_mes123[[#This Row],[CUIT]]="","-",VLOOKUP(compras_mes123[[#This Row],[CUIT]],Lista_CUIT[#All],3,0)),"CUIT NO CARGADO")</f>
        <v>Gastos Varios</v>
      </c>
      <c r="R173" s="49" t="str">
        <f>IFERROR(IF(compras_mes123[[#This Row],[CUIT]]="","-",VLOOKUP(compras_mes123[[#This Row],[CUIT]],Lista_CUIT[#All],4,0)),"CUIT NO CARGADO")</f>
        <v>CABA</v>
      </c>
    </row>
    <row r="174" spans="2:18" x14ac:dyDescent="0.3">
      <c r="B174" s="588">
        <v>45260</v>
      </c>
      <c r="C174" s="41">
        <v>1</v>
      </c>
      <c r="D174" s="589">
        <v>2</v>
      </c>
      <c r="E174" s="590">
        <v>1941</v>
      </c>
      <c r="F174" s="591">
        <v>30538514191</v>
      </c>
      <c r="G174" s="592" t="str">
        <f>IFERROR(IF(compras_mes123[[#This Row],[CUIT]]="","-",VLOOKUP(compras_mes123[[#This Row],[CUIT]],Lista_CUIT[#All],2,0)),"CUIT NO CARGADO")</f>
        <v>EDUARDO S CAZALA SACIFel</v>
      </c>
      <c r="H174" s="593">
        <v>16800</v>
      </c>
      <c r="I174" s="594">
        <f>IF(compras_mes123[[#This Row],[NETO GRAVADO]]="","",compras_mes123[[#This Row],[NETO GRAVADO]]*0.21)</f>
        <v>3528</v>
      </c>
      <c r="J174" s="594"/>
      <c r="K174" s="594"/>
      <c r="L174" s="594"/>
      <c r="M174" s="594"/>
      <c r="N174" s="594"/>
      <c r="O174" s="594"/>
      <c r="P174" s="595">
        <f>SUM(compras_mes123[[#This Row],[NETO GRAVADO]:[Otros / No Grav.]])</f>
        <v>20328</v>
      </c>
      <c r="Q174" s="596">
        <f>IFERROR(IF(compras_mes123[[#This Row],[CUIT]]="","-",VLOOKUP(compras_mes123[[#This Row],[CUIT]],Lista_CUIT[#All],3,0)),"CUIT NO CARGADO")</f>
        <v>0</v>
      </c>
      <c r="R174" s="596">
        <f>IFERROR(IF(compras_mes123[[#This Row],[CUIT]]="","-",VLOOKUP(compras_mes123[[#This Row],[CUIT]],Lista_CUIT[#All],4,0)),"CUIT NO CARGADO")</f>
        <v>0</v>
      </c>
    </row>
    <row r="175" spans="2:18" x14ac:dyDescent="0.3">
      <c r="B175" s="588">
        <v>45260</v>
      </c>
      <c r="C175" s="41">
        <v>1</v>
      </c>
      <c r="D175" s="589">
        <v>50</v>
      </c>
      <c r="E175" s="590">
        <v>3357306</v>
      </c>
      <c r="F175" s="591">
        <v>30714112836</v>
      </c>
      <c r="G175" s="592" t="str">
        <f>IFERROR(IF(compras_mes123[[#This Row],[CUIT]]="","-",VLOOKUP(compras_mes123[[#This Row],[CUIT]],Lista_CUIT[#All],2,0)),"CUIT NO CARGADO")</f>
        <v>AUTOPISTAS DE BS AS</v>
      </c>
      <c r="H175" s="593">
        <v>18028.919999999998</v>
      </c>
      <c r="I175" s="594">
        <f>IF(compras_mes123[[#This Row],[NETO GRAVADO]]="","",compras_mes123[[#This Row],[NETO GRAVADO]]*0.21)</f>
        <v>3786.0731999999994</v>
      </c>
      <c r="J175" s="594"/>
      <c r="K175" s="594"/>
      <c r="L175" s="594">
        <v>540.87</v>
      </c>
      <c r="M175" s="594"/>
      <c r="N175" s="594"/>
      <c r="O175" s="594"/>
      <c r="P175" s="595">
        <f>SUM(compras_mes123[[#This Row],[NETO GRAVADO]:[Otros / No Grav.]])</f>
        <v>22355.863199999996</v>
      </c>
      <c r="Q175" s="596">
        <f>IFERROR(IF(compras_mes123[[#This Row],[CUIT]]="","-",VLOOKUP(compras_mes123[[#This Row],[CUIT]],Lista_CUIT[#All],3,0)),"CUIT NO CARGADO")</f>
        <v>0</v>
      </c>
      <c r="R175" s="596">
        <f>IFERROR(IF(compras_mes123[[#This Row],[CUIT]]="","-",VLOOKUP(compras_mes123[[#This Row],[CUIT]],Lista_CUIT[#All],4,0)),"CUIT NO CARGADO")</f>
        <v>0</v>
      </c>
    </row>
    <row r="176" spans="2:18" x14ac:dyDescent="0.3">
      <c r="B176" s="40"/>
      <c r="C176" s="41"/>
      <c r="D176" s="42"/>
      <c r="E176" s="43"/>
      <c r="F176" s="44"/>
      <c r="G176" s="45" t="str">
        <f>IFERROR(IF(compras_mes123[[#This Row],[CUIT]]="","-",VLOOKUP(compras_mes123[[#This Row],[CUIT]],Lista_CUIT[#All],2,0)),"CUIT NO CARGADO")</f>
        <v>-</v>
      </c>
      <c r="H176" s="46"/>
      <c r="I176" s="85" t="str">
        <f>IF(compras_mes123[[#This Row],[NETO GRAVADO]]="","",compras_mes123[[#This Row],[NETO GRAVADO]]*0.21)</f>
        <v/>
      </c>
      <c r="J176" s="85"/>
      <c r="K176" s="85"/>
      <c r="L176" s="85"/>
      <c r="M176" s="85"/>
      <c r="N176" s="85"/>
      <c r="O176" s="85"/>
      <c r="P176" s="48">
        <f>SUM(compras_mes123[[#This Row],[NETO GRAVADO]:[Otros / No Grav.]])</f>
        <v>0</v>
      </c>
      <c r="Q176" s="49" t="str">
        <f>IFERROR(IF(compras_mes123[[#This Row],[CUIT]]="","-",VLOOKUP(compras_mes123[[#This Row],[CUIT]],Lista_CUIT[#All],3,0)),"CUIT NO CARGADO")</f>
        <v>-</v>
      </c>
      <c r="R176" s="49" t="str">
        <f>IFERROR(IF(compras_mes123[[#This Row],[CUIT]]="","-",VLOOKUP(compras_mes123[[#This Row],[CUIT]],Lista_CUIT[#All],4,0)),"CUIT NO CARGADO")</f>
        <v>-</v>
      </c>
    </row>
    <row r="177" spans="2:18" x14ac:dyDescent="0.3">
      <c r="B177" s="555" t="s">
        <v>103</v>
      </c>
      <c r="C177" s="555"/>
      <c r="D177" s="555"/>
      <c r="E177" s="555"/>
      <c r="F177" s="555"/>
      <c r="G177" s="556"/>
      <c r="H177" s="557">
        <f>SUBTOTAL(109,compras_mes123[NETO GRAVADO])</f>
        <v>52451520.699999988</v>
      </c>
      <c r="I177" s="557">
        <f>SUBTOTAL(109,compras_mes123[IVA 21 %])</f>
        <v>10519665.444400009</v>
      </c>
      <c r="J177" s="557">
        <f>SUBTOTAL(109,compras_mes123[IVA 27%])</f>
        <v>19475.622800000001</v>
      </c>
      <c r="K177" s="557">
        <f>SUBTOTAL(109,compras_mes123[IVA 10,5%])</f>
        <v>239735.53</v>
      </c>
      <c r="L177" s="557">
        <f>SUBTOTAL(109,compras_mes123[PERC. IVA])</f>
        <v>14200.540000000003</v>
      </c>
      <c r="M177" s="557">
        <f>SUBTOTAL(109,compras_mes123[PERC IIBB 
BS AS])</f>
        <v>4382.0200000000004</v>
      </c>
      <c r="N177" s="557">
        <f>SUBTOTAL(109,compras_mes123[PERC. IIBB CABA])</f>
        <v>146108.87</v>
      </c>
      <c r="O177" s="557">
        <f>SUBTOTAL(109,compras_mes123[Otros / No Grav.])</f>
        <v>182334.89</v>
      </c>
      <c r="P177" s="557">
        <f>SUBTOTAL(109,compras_mes123[TOTAL])</f>
        <v>63577423.617199965</v>
      </c>
      <c r="Q177" s="555"/>
      <c r="R177" s="555"/>
    </row>
    <row r="178" spans="2:18" x14ac:dyDescent="0.3">
      <c r="B178" s="40"/>
      <c r="C178" s="41"/>
      <c r="D178" s="42"/>
      <c r="E178" s="43"/>
      <c r="F178" s="44"/>
      <c r="G178" s="45"/>
      <c r="H178" s="46"/>
      <c r="I178" s="47"/>
      <c r="J178" s="47"/>
      <c r="K178" s="47"/>
      <c r="L178" s="47"/>
      <c r="M178" s="47"/>
      <c r="N178" s="47"/>
      <c r="O178" s="47"/>
      <c r="P178" s="48"/>
      <c r="Q178" s="49"/>
      <c r="R178" s="49"/>
    </row>
    <row r="179" spans="2:18" x14ac:dyDescent="0.3">
      <c r="B179" s="40"/>
      <c r="C179" s="41"/>
      <c r="D179" s="42"/>
      <c r="E179" s="43"/>
      <c r="F179" s="44"/>
      <c r="G179" s="45"/>
      <c r="H179" s="46"/>
      <c r="I179" s="47"/>
      <c r="J179" s="47"/>
      <c r="K179" s="47"/>
      <c r="L179" s="47"/>
      <c r="M179" s="47"/>
      <c r="N179" s="47"/>
      <c r="O179" s="47"/>
      <c r="P179" s="48"/>
      <c r="Q179" s="49"/>
      <c r="R179" s="49"/>
    </row>
    <row r="180" spans="2:18" x14ac:dyDescent="0.3">
      <c r="B180" s="40"/>
      <c r="C180" s="41"/>
      <c r="D180" s="42"/>
      <c r="E180" s="43"/>
      <c r="F180" s="44"/>
      <c r="G180" s="45"/>
      <c r="H180" s="46"/>
      <c r="I180" s="47"/>
      <c r="J180" s="47"/>
      <c r="K180" s="47"/>
      <c r="L180" s="47"/>
      <c r="M180" s="47"/>
      <c r="N180" s="47"/>
      <c r="O180" s="47"/>
      <c r="P180" s="48"/>
      <c r="Q180" s="49"/>
      <c r="R180" s="49"/>
    </row>
    <row r="181" spans="2:18" x14ac:dyDescent="0.3">
      <c r="B181" s="40"/>
      <c r="C181" s="41"/>
      <c r="D181" s="42"/>
      <c r="E181" s="43"/>
      <c r="F181" s="44"/>
      <c r="G181" s="45"/>
      <c r="H181" s="46"/>
      <c r="I181" s="47"/>
      <c r="J181" s="47"/>
      <c r="K181" s="47"/>
      <c r="L181" s="47"/>
    </row>
    <row r="182" spans="2:18" ht="21" x14ac:dyDescent="0.3">
      <c r="D182" s="653" t="s">
        <v>15</v>
      </c>
      <c r="E182" s="653"/>
      <c r="F182" s="653"/>
      <c r="G182" s="653"/>
      <c r="H182" s="653"/>
      <c r="I182" s="653"/>
      <c r="J182" s="653"/>
      <c r="K182" s="653"/>
      <c r="L182" s="653"/>
    </row>
    <row r="183" spans="2:18" ht="15.6" x14ac:dyDescent="0.3">
      <c r="D183" s="73" t="s">
        <v>0</v>
      </c>
      <c r="E183" s="74" t="s">
        <v>26</v>
      </c>
      <c r="F183" s="74" t="s">
        <v>16</v>
      </c>
      <c r="G183" s="74" t="s">
        <v>5</v>
      </c>
      <c r="H183" s="74" t="s">
        <v>17</v>
      </c>
      <c r="I183" s="74" t="s">
        <v>7</v>
      </c>
      <c r="J183" s="75" t="s">
        <v>18</v>
      </c>
      <c r="K183" s="75" t="s">
        <v>19</v>
      </c>
      <c r="L183" s="76" t="s">
        <v>20</v>
      </c>
    </row>
    <row r="184" spans="2:18" x14ac:dyDescent="0.3">
      <c r="D184" s="50">
        <v>45260</v>
      </c>
      <c r="E184" s="208">
        <v>30112023</v>
      </c>
      <c r="F184" s="534" t="s">
        <v>2055</v>
      </c>
      <c r="G184" s="81">
        <f>extracto_banco_mes1256[[#This Row],[IVA 21%]]*100/21</f>
        <v>44111.523809523809</v>
      </c>
      <c r="H184" s="81">
        <v>9263.42</v>
      </c>
      <c r="I184" s="81"/>
      <c r="J184" s="81">
        <v>19266.64</v>
      </c>
      <c r="K184" s="81">
        <v>1228.58</v>
      </c>
      <c r="L184" s="81"/>
    </row>
    <row r="185" spans="2:18" x14ac:dyDescent="0.3">
      <c r="D185" s="50">
        <v>45260</v>
      </c>
      <c r="E185" s="208">
        <v>30202311</v>
      </c>
      <c r="F185" s="534" t="s">
        <v>1933</v>
      </c>
      <c r="G185" s="81">
        <f>extracto_banco_mes1256[[#This Row],[IVA 21%]]*100/21+extracto_banco_mes1256[[#This Row],[IVA 10,5%]]*100/10.5</f>
        <v>23832.809523809527</v>
      </c>
      <c r="H185" s="81">
        <v>1392.5900000000001</v>
      </c>
      <c r="I185" s="81">
        <v>1806.15</v>
      </c>
      <c r="J185" s="81"/>
      <c r="K185" s="81">
        <v>258.02999999999997</v>
      </c>
      <c r="L185" s="81"/>
    </row>
    <row r="186" spans="2:18" x14ac:dyDescent="0.3">
      <c r="D186" s="50">
        <v>45260</v>
      </c>
      <c r="E186" s="208">
        <v>11302023</v>
      </c>
      <c r="F186" s="534" t="s">
        <v>116</v>
      </c>
      <c r="G186" s="81">
        <f>extracto_banco_mes1256[[#This Row],[IVA 21%]]*100/21</f>
        <v>810.85714285714289</v>
      </c>
      <c r="H186" s="81">
        <v>170.28</v>
      </c>
      <c r="I186" s="81"/>
      <c r="J186" s="81">
        <v>4524.93</v>
      </c>
      <c r="K186" s="81"/>
      <c r="L186" s="81"/>
    </row>
    <row r="187" spans="2:18" x14ac:dyDescent="0.3">
      <c r="D187" s="50">
        <v>45260</v>
      </c>
      <c r="E187" s="208">
        <v>30232011</v>
      </c>
      <c r="F187" s="534" t="s">
        <v>2056</v>
      </c>
      <c r="G187" s="81">
        <f>extracto_banco_mes1256[[#This Row],[IVA 21%]]*100/21</f>
        <v>54600</v>
      </c>
      <c r="H187" s="81">
        <v>11466</v>
      </c>
      <c r="I187" s="81"/>
      <c r="J187" s="81"/>
      <c r="K187" s="81">
        <v>1638</v>
      </c>
      <c r="L187" s="81"/>
    </row>
    <row r="188" spans="2:18" x14ac:dyDescent="0.3">
      <c r="D188" s="50">
        <v>45260</v>
      </c>
      <c r="E188" s="208">
        <v>11202303</v>
      </c>
      <c r="F188" s="534" t="s">
        <v>117</v>
      </c>
      <c r="G188" s="81">
        <f>extracto_banco_mes1256[[#This Row],[IVA 21%]]*100/21+extracto_banco_mes1256[[#This Row],[IVA 10,5%]]*100/10.5</f>
        <v>1230537.3333333335</v>
      </c>
      <c r="H188" s="81">
        <v>50409.280000000013</v>
      </c>
      <c r="I188" s="81">
        <v>104001.78000000001</v>
      </c>
      <c r="J188" s="81"/>
      <c r="K188" s="81">
        <v>22973.089999999997</v>
      </c>
      <c r="L188" s="81"/>
    </row>
    <row r="189" spans="2:18" x14ac:dyDescent="0.3">
      <c r="D189" s="50">
        <v>45260</v>
      </c>
      <c r="E189" s="208">
        <v>11202003</v>
      </c>
      <c r="F189" s="534" t="s">
        <v>2057</v>
      </c>
      <c r="G189" s="81">
        <f>extracto_banco_mes1256[[#This Row],[IVA 21%]]*100/21</f>
        <v>1700</v>
      </c>
      <c r="H189" s="81">
        <v>357</v>
      </c>
      <c r="I189" s="81"/>
      <c r="J189" s="81"/>
      <c r="K189" s="81"/>
      <c r="L189" s="81"/>
    </row>
    <row r="190" spans="2:18" x14ac:dyDescent="0.3">
      <c r="D190" s="50">
        <v>45260</v>
      </c>
      <c r="E190" s="208">
        <v>20231133</v>
      </c>
      <c r="F190" s="534" t="s">
        <v>115</v>
      </c>
      <c r="G190" s="81">
        <f>extracto_banco_mes1256[[#This Row],[IVA 21%]]*100/21</f>
        <v>77154.190476190459</v>
      </c>
      <c r="H190" s="81">
        <v>16202.379999999997</v>
      </c>
      <c r="I190" s="81"/>
      <c r="J190" s="81"/>
      <c r="K190" s="81">
        <v>2105.0299999999997</v>
      </c>
      <c r="L190" s="81"/>
    </row>
    <row r="191" spans="2:18" x14ac:dyDescent="0.3">
      <c r="D191" s="50">
        <v>45260</v>
      </c>
      <c r="E191" s="208">
        <v>20233311</v>
      </c>
      <c r="F191" s="534" t="s">
        <v>118</v>
      </c>
      <c r="G191" s="81">
        <f>extracto_banco_mes1256[[#This Row],[IVA 21%]]*100/21</f>
        <v>13692.857142857143</v>
      </c>
      <c r="H191" s="81">
        <v>2875.5</v>
      </c>
      <c r="I191" s="81"/>
      <c r="J191" s="81"/>
      <c r="K191" s="81">
        <v>393.75</v>
      </c>
      <c r="L191" s="81"/>
    </row>
    <row r="192" spans="2:18" x14ac:dyDescent="0.3">
      <c r="D192" s="50">
        <v>45260</v>
      </c>
      <c r="E192" s="208">
        <v>20112330</v>
      </c>
      <c r="F192" s="534" t="s">
        <v>2058</v>
      </c>
      <c r="G192" s="81">
        <f>extracto_banco_mes1256[[#This Row],[IVA 21%]]*100/21</f>
        <v>1500</v>
      </c>
      <c r="H192" s="81">
        <v>315</v>
      </c>
      <c r="I192" s="81"/>
      <c r="J192" s="81"/>
      <c r="K192" s="81"/>
      <c r="L192" s="81"/>
    </row>
    <row r="193" spans="4:12" x14ac:dyDescent="0.3">
      <c r="D193" s="50"/>
      <c r="E193" s="208"/>
      <c r="F193" s="80"/>
      <c r="G193" s="81"/>
      <c r="H193" s="81"/>
      <c r="I193" s="81"/>
      <c r="J193" s="81"/>
      <c r="K193" s="81"/>
      <c r="L193" s="81"/>
    </row>
    <row r="194" spans="4:12" x14ac:dyDescent="0.3">
      <c r="D194" s="82" t="s">
        <v>103</v>
      </c>
      <c r="E194" s="80"/>
      <c r="F194" s="80"/>
      <c r="G194" s="83">
        <f>SUBTOTAL(109,extracto_banco_mes1256[NETO])</f>
        <v>1447939.5714285716</v>
      </c>
      <c r="H194" s="83">
        <f>SUBTOTAL(109,extracto_banco_mes1256[IVA 21%])</f>
        <v>92451.450000000012</v>
      </c>
      <c r="I194" s="83">
        <f>SUBTOTAL(109,extracto_banco_mes1256[IVA 10,5%])</f>
        <v>105807.93000000001</v>
      </c>
      <c r="J194" s="83">
        <f>SUBTOTAL(109,extracto_banco_mes1256[RET IIBB CABA])</f>
        <v>23791.57</v>
      </c>
      <c r="K194" s="83">
        <f>SUBTOTAL(109,extracto_banco_mes1256[PERC IVA])</f>
        <v>28596.479999999996</v>
      </c>
      <c r="L194" s="83">
        <f>SUBTOTAL(109,extracto_banco_mes1256[PERC IIBB])</f>
        <v>0</v>
      </c>
    </row>
    <row r="195" spans="4:12" x14ac:dyDescent="0.3">
      <c r="I195" s="601">
        <f>H188/100*21</f>
        <v>10585.948800000002</v>
      </c>
    </row>
    <row r="198" spans="4:12" ht="21" x14ac:dyDescent="0.3">
      <c r="D198" s="653" t="s">
        <v>1141</v>
      </c>
      <c r="E198" s="653"/>
      <c r="F198" s="653"/>
      <c r="G198" s="653"/>
      <c r="H198" s="653"/>
      <c r="I198" s="653"/>
      <c r="J198" s="653"/>
      <c r="K198" s="653"/>
    </row>
    <row r="199" spans="4:12" x14ac:dyDescent="0.3">
      <c r="D199" s="51" t="s">
        <v>0</v>
      </c>
      <c r="E199" s="51" t="s">
        <v>2</v>
      </c>
      <c r="F199" s="51" t="s">
        <v>74</v>
      </c>
      <c r="G199" s="51" t="s">
        <v>3</v>
      </c>
      <c r="H199" s="51" t="s">
        <v>4</v>
      </c>
      <c r="I199" s="52" t="s">
        <v>10</v>
      </c>
      <c r="J199" s="51" t="s">
        <v>13</v>
      </c>
      <c r="K199" s="51" t="s">
        <v>38</v>
      </c>
    </row>
    <row r="200" spans="4:12" x14ac:dyDescent="0.3">
      <c r="D200" s="597">
        <v>45231</v>
      </c>
      <c r="E200" s="589">
        <v>2</v>
      </c>
      <c r="F200" s="590">
        <v>37</v>
      </c>
      <c r="G200" s="591">
        <v>20231009524</v>
      </c>
      <c r="H200" s="597" t="str">
        <f>IFERROR(IF(factura_c_mes1242[[#This Row],[CUIT]]="","-",VLOOKUP(factura_c_mes1242[[#This Row],[CUIT]],Lista_CUIT[#All],2,0)),"CUIT NO CARGADO")</f>
        <v>RAMOS PATRICIO SEBASTIAN</v>
      </c>
      <c r="I200" s="599">
        <v>800000</v>
      </c>
      <c r="J200" s="596" t="str">
        <f>IFERROR(IF(factura_c_mes1242[[#This Row],[CUIT]]="","-",VLOOKUP(factura_c_mes1242[[#This Row],[CUIT]],Lista_CUIT[#All],3,0)),"CUIT NO CARGADO")</f>
        <v>Insumo</v>
      </c>
      <c r="K200" s="596" t="str">
        <f>IFERROR(IF(factura_c_mes1242[[#This Row],[CUIT]]="","-",VLOOKUP(factura_c_mes1242[[#This Row],[CUIT]],Lista_CUIT[#All],4,0)),"CUIT NO CARGADO")</f>
        <v>BUENOS AIRES</v>
      </c>
    </row>
    <row r="201" spans="4:12" x14ac:dyDescent="0.3">
      <c r="D201" s="597">
        <v>45232</v>
      </c>
      <c r="E201" s="589">
        <v>3</v>
      </c>
      <c r="F201" s="590">
        <v>788</v>
      </c>
      <c r="G201" s="591">
        <v>20086277523</v>
      </c>
      <c r="H201" s="597" t="str">
        <f>IFERROR(IF(factura_c_mes1242[[#This Row],[CUIT]]="","-",VLOOKUP(factura_c_mes1242[[#This Row],[CUIT]],Lista_CUIT[#All],2,0)),"CUIT NO CARGADO")</f>
        <v>BOTINDARI JUAN CARLOS</v>
      </c>
      <c r="I201" s="599">
        <v>115000</v>
      </c>
      <c r="J201" s="596" t="str">
        <f>IFERROR(IF(factura_c_mes1242[[#This Row],[CUIT]]="","-",VLOOKUP(factura_c_mes1242[[#This Row],[CUIT]],Lista_CUIT[#All],3,0)),"CUIT NO CARGADO")</f>
        <v>HONORARIOS</v>
      </c>
      <c r="K201" s="596" t="str">
        <f>IFERROR(IF(factura_c_mes1242[[#This Row],[CUIT]]="","-",VLOOKUP(factura_c_mes1242[[#This Row],[CUIT]],Lista_CUIT[#All],4,0)),"CUIT NO CARGADO")</f>
        <v>CABA</v>
      </c>
    </row>
    <row r="202" spans="4:12" x14ac:dyDescent="0.3">
      <c r="D202" s="597">
        <v>45233</v>
      </c>
      <c r="E202" s="589">
        <v>1</v>
      </c>
      <c r="F202" s="590">
        <v>8</v>
      </c>
      <c r="G202" s="591">
        <v>20394167216</v>
      </c>
      <c r="H202" s="597" t="str">
        <f>IFERROR(IF(factura_c_mes1242[[#This Row],[CUIT]]="","-",VLOOKUP(factura_c_mes1242[[#This Row],[CUIT]],Lista_CUIT[#All],2,0)),"CUIT NO CARGADO")</f>
        <v>CASTILLO SANTIAGO JESUS</v>
      </c>
      <c r="I202" s="599">
        <v>200000</v>
      </c>
      <c r="J202" s="596">
        <f>IFERROR(IF(factura_c_mes1242[[#This Row],[CUIT]]="","-",VLOOKUP(factura_c_mes1242[[#This Row],[CUIT]],Lista_CUIT[#All],3,0)),"CUIT NO CARGADO")</f>
        <v>0</v>
      </c>
      <c r="K202" s="596">
        <f>IFERROR(IF(factura_c_mes1242[[#This Row],[CUIT]]="","-",VLOOKUP(factura_c_mes1242[[#This Row],[CUIT]],Lista_CUIT[#All],4,0)),"CUIT NO CARGADO")</f>
        <v>0</v>
      </c>
    </row>
    <row r="203" spans="4:12" x14ac:dyDescent="0.3">
      <c r="D203" s="597">
        <v>45233</v>
      </c>
      <c r="E203" s="589">
        <v>3</v>
      </c>
      <c r="F203" s="590">
        <v>225</v>
      </c>
      <c r="G203" s="591">
        <v>20226549758</v>
      </c>
      <c r="H203" s="597" t="str">
        <f>IFERROR(IF(factura_c_mes1242[[#This Row],[CUIT]]="","-",VLOOKUP(factura_c_mes1242[[#This Row],[CUIT]],Lista_CUIT[#All],2,0)),"CUIT NO CARGADO")</f>
        <v>JANEIRO VERONICA BELEN</v>
      </c>
      <c r="I203" s="599">
        <v>160000</v>
      </c>
      <c r="J203" s="596">
        <f>IFERROR(IF(factura_c_mes1242[[#This Row],[CUIT]]="","-",VLOOKUP(factura_c_mes1242[[#This Row],[CUIT]],Lista_CUIT[#All],3,0)),"CUIT NO CARGADO")</f>
        <v>0</v>
      </c>
      <c r="K203" s="596">
        <f>IFERROR(IF(factura_c_mes1242[[#This Row],[CUIT]]="","-",VLOOKUP(factura_c_mes1242[[#This Row],[CUIT]],Lista_CUIT[#All],4,0)),"CUIT NO CARGADO")</f>
        <v>0</v>
      </c>
    </row>
    <row r="204" spans="4:12" x14ac:dyDescent="0.3">
      <c r="D204" s="597">
        <v>45233</v>
      </c>
      <c r="E204" s="589">
        <v>2</v>
      </c>
      <c r="F204" s="590">
        <v>3823</v>
      </c>
      <c r="G204" s="591">
        <v>20136536320</v>
      </c>
      <c r="H204" s="597" t="str">
        <f>IFERROR(IF(factura_c_mes1242[[#This Row],[CUIT]]="","-",VLOOKUP(factura_c_mes1242[[#This Row],[CUIT]],Lista_CUIT[#All],2,0)),"CUIT NO CARGADO")</f>
        <v>FONTENLA ERNESTO MARIO</v>
      </c>
      <c r="I204" s="599">
        <v>340</v>
      </c>
      <c r="J204" s="596" t="str">
        <f>IFERROR(IF(factura_c_mes1242[[#This Row],[CUIT]]="","-",VLOOKUP(factura_c_mes1242[[#This Row],[CUIT]],Lista_CUIT[#All],3,0)),"CUIT NO CARGADO")</f>
        <v>INSUMO</v>
      </c>
      <c r="K204" s="596" t="str">
        <f>IFERROR(IF(factura_c_mes1242[[#This Row],[CUIT]]="","-",VLOOKUP(factura_c_mes1242[[#This Row],[CUIT]],Lista_CUIT[#All],4,0)),"CUIT NO CARGADO")</f>
        <v>CABA</v>
      </c>
    </row>
    <row r="205" spans="4:12" x14ac:dyDescent="0.3">
      <c r="D205" s="50">
        <v>45233</v>
      </c>
      <c r="E205" s="589">
        <v>7</v>
      </c>
      <c r="F205" s="590">
        <v>343918</v>
      </c>
      <c r="G205" s="591">
        <v>20259150249</v>
      </c>
      <c r="H205" s="50" t="str">
        <f>IFERROR(IF(factura_c_mes1242[[#This Row],[CUIT]]="","-",VLOOKUP(factura_c_mes1242[[#This Row],[CUIT]],Lista_CUIT[#All],2,0)),"CUIT NO CARGADO")</f>
        <v>BIANCHI CRISTIAN MAXIMILIANO</v>
      </c>
      <c r="I205" s="598">
        <v>82678.720000000001</v>
      </c>
      <c r="J205" s="596">
        <f>IFERROR(IF(factura_c_mes1242[[#This Row],[CUIT]]="","-",VLOOKUP(factura_c_mes1242[[#This Row],[CUIT]],Lista_CUIT[#All],3,0)),"CUIT NO CARGADO")</f>
        <v>0</v>
      </c>
      <c r="K205" s="596">
        <f>IFERROR(IF(factura_c_mes1242[[#This Row],[CUIT]]="","-",VLOOKUP(factura_c_mes1242[[#This Row],[CUIT]],Lista_CUIT[#All],4,0)),"CUIT NO CARGADO")</f>
        <v>0</v>
      </c>
    </row>
    <row r="206" spans="4:12" x14ac:dyDescent="0.3">
      <c r="D206" s="597">
        <v>45236</v>
      </c>
      <c r="E206" s="589">
        <v>2</v>
      </c>
      <c r="F206" s="590">
        <v>266</v>
      </c>
      <c r="G206" s="591">
        <v>23319210954</v>
      </c>
      <c r="H206" s="597" t="str">
        <f>IFERROR(IF(factura_c_mes1242[[#This Row],[CUIT]]="","-",VLOOKUP(factura_c_mes1242[[#This Row],[CUIT]],Lista_CUIT[#All],2,0)),"CUIT NO CARGADO")</f>
        <v>CAFFARATTI ROMINA PAOLA</v>
      </c>
      <c r="I206" s="599">
        <v>60950</v>
      </c>
      <c r="J206" s="596" t="str">
        <f>IFERROR(IF(factura_c_mes1242[[#This Row],[CUIT]]="","-",VLOOKUP(factura_c_mes1242[[#This Row],[CUIT]],Lista_CUIT[#All],3,0)),"CUIT NO CARGADO")</f>
        <v>HONORARIOS</v>
      </c>
      <c r="K206" s="596">
        <f>IFERROR(IF(factura_c_mes1242[[#This Row],[CUIT]]="","-",VLOOKUP(factura_c_mes1242[[#This Row],[CUIT]],Lista_CUIT[#All],4,0)),"CUIT NO CARGADO")</f>
        <v>0</v>
      </c>
    </row>
    <row r="207" spans="4:12" x14ac:dyDescent="0.3">
      <c r="D207" s="597">
        <v>45237</v>
      </c>
      <c r="E207" s="589">
        <v>2</v>
      </c>
      <c r="F207" s="590">
        <v>3828</v>
      </c>
      <c r="G207" s="591">
        <v>20136536320</v>
      </c>
      <c r="H207" s="597" t="str">
        <f>IFERROR(IF(factura_c_mes1242[[#This Row],[CUIT]]="","-",VLOOKUP(factura_c_mes1242[[#This Row],[CUIT]],Lista_CUIT[#All],2,0)),"CUIT NO CARGADO")</f>
        <v>FONTENLA ERNESTO MARIO</v>
      </c>
      <c r="I207" s="599">
        <v>820</v>
      </c>
      <c r="J207" s="596" t="str">
        <f>IFERROR(IF(factura_c_mes1242[[#This Row],[CUIT]]="","-",VLOOKUP(factura_c_mes1242[[#This Row],[CUIT]],Lista_CUIT[#All],3,0)),"CUIT NO CARGADO")</f>
        <v>INSUMO</v>
      </c>
      <c r="K207" s="596" t="str">
        <f>IFERROR(IF(factura_c_mes1242[[#This Row],[CUIT]]="","-",VLOOKUP(factura_c_mes1242[[#This Row],[CUIT]],Lista_CUIT[#All],4,0)),"CUIT NO CARGADO")</f>
        <v>CABA</v>
      </c>
    </row>
    <row r="208" spans="4:12" x14ac:dyDescent="0.3">
      <c r="D208" s="597">
        <v>45238</v>
      </c>
      <c r="E208" s="589">
        <v>3</v>
      </c>
      <c r="F208" s="590">
        <v>442</v>
      </c>
      <c r="G208" s="591">
        <v>20210551574</v>
      </c>
      <c r="H208" s="597" t="str">
        <f>IFERROR(IF(factura_c_mes1242[[#This Row],[CUIT]]="","-",VLOOKUP(factura_c_mes1242[[#This Row],[CUIT]],Lista_CUIT[#All],2,0)),"CUIT NO CARGADO")</f>
        <v>REUS JORGE DIEGO</v>
      </c>
      <c r="I208" s="599">
        <v>75000</v>
      </c>
      <c r="J208" s="596" t="str">
        <f>IFERROR(IF(factura_c_mes1242[[#This Row],[CUIT]]="","-",VLOOKUP(factura_c_mes1242[[#This Row],[CUIT]],Lista_CUIT[#All],3,0)),"CUIT NO CARGADO")</f>
        <v>HONORARIOS PROFESIONALES</v>
      </c>
      <c r="K208" s="596">
        <f>IFERROR(IF(factura_c_mes1242[[#This Row],[CUIT]]="","-",VLOOKUP(factura_c_mes1242[[#This Row],[CUIT]],Lista_CUIT[#All],4,0)),"CUIT NO CARGADO")</f>
        <v>0</v>
      </c>
    </row>
    <row r="209" spans="4:11" x14ac:dyDescent="0.3">
      <c r="D209" s="597">
        <v>45240</v>
      </c>
      <c r="E209" s="589">
        <v>2</v>
      </c>
      <c r="F209" s="590">
        <v>3836</v>
      </c>
      <c r="G209" s="591">
        <v>20136536320</v>
      </c>
      <c r="H209" s="597" t="str">
        <f>IFERROR(IF(factura_c_mes1242[[#This Row],[CUIT]]="","-",VLOOKUP(factura_c_mes1242[[#This Row],[CUIT]],Lista_CUIT[#All],2,0)),"CUIT NO CARGADO")</f>
        <v>FONTENLA ERNESTO MARIO</v>
      </c>
      <c r="I209" s="599">
        <v>1200</v>
      </c>
      <c r="J209" s="596" t="str">
        <f>IFERROR(IF(factura_c_mes1242[[#This Row],[CUIT]]="","-",VLOOKUP(factura_c_mes1242[[#This Row],[CUIT]],Lista_CUIT[#All],3,0)),"CUIT NO CARGADO")</f>
        <v>INSUMO</v>
      </c>
      <c r="K209" s="596" t="str">
        <f>IFERROR(IF(factura_c_mes1242[[#This Row],[CUIT]]="","-",VLOOKUP(factura_c_mes1242[[#This Row],[CUIT]],Lista_CUIT[#All],4,0)),"CUIT NO CARGADO")</f>
        <v>CABA</v>
      </c>
    </row>
    <row r="210" spans="4:11" x14ac:dyDescent="0.3">
      <c r="D210" s="597">
        <v>45240</v>
      </c>
      <c r="E210" s="589">
        <v>2</v>
      </c>
      <c r="F210" s="590">
        <v>3841</v>
      </c>
      <c r="G210" s="591">
        <v>20136536320</v>
      </c>
      <c r="H210" s="597" t="str">
        <f>IFERROR(IF(factura_c_mes1242[[#This Row],[CUIT]]="","-",VLOOKUP(factura_c_mes1242[[#This Row],[CUIT]],Lista_CUIT[#All],2,0)),"CUIT NO CARGADO")</f>
        <v>FONTENLA ERNESTO MARIO</v>
      </c>
      <c r="I210" s="599">
        <v>1500</v>
      </c>
      <c r="J210" s="596" t="str">
        <f>IFERROR(IF(factura_c_mes1242[[#This Row],[CUIT]]="","-",VLOOKUP(factura_c_mes1242[[#This Row],[CUIT]],Lista_CUIT[#All],3,0)),"CUIT NO CARGADO")</f>
        <v>INSUMO</v>
      </c>
      <c r="K210" s="596" t="str">
        <f>IFERROR(IF(factura_c_mes1242[[#This Row],[CUIT]]="","-",VLOOKUP(factura_c_mes1242[[#This Row],[CUIT]],Lista_CUIT[#All],4,0)),"CUIT NO CARGADO")</f>
        <v>CABA</v>
      </c>
    </row>
    <row r="211" spans="4:11" x14ac:dyDescent="0.3">
      <c r="D211" s="597">
        <v>45241</v>
      </c>
      <c r="E211" s="589">
        <v>5</v>
      </c>
      <c r="F211" s="590">
        <v>1257</v>
      </c>
      <c r="G211" s="591">
        <v>30663891142</v>
      </c>
      <c r="H211" s="597" t="str">
        <f>IFERROR(IF(factura_c_mes1242[[#This Row],[CUIT]]="","-",VLOOKUP(factura_c_mes1242[[#This Row],[CUIT]],Lista_CUIT[#All],2,0)),"CUIT NO CARGADO")</f>
        <v>HERRAJES MAGLIOLA  S A</v>
      </c>
      <c r="I211" s="599">
        <v>-6239.49</v>
      </c>
      <c r="J211" s="596">
        <f>IFERROR(IF(factura_c_mes1242[[#This Row],[CUIT]]="","-",VLOOKUP(factura_c_mes1242[[#This Row],[CUIT]],Lista_CUIT[#All],3,0)),"CUIT NO CARGADO")</f>
        <v>0</v>
      </c>
      <c r="K211" s="596">
        <f>IFERROR(IF(factura_c_mes1242[[#This Row],[CUIT]]="","-",VLOOKUP(factura_c_mes1242[[#This Row],[CUIT]],Lista_CUIT[#All],4,0)),"CUIT NO CARGADO")</f>
        <v>0</v>
      </c>
    </row>
    <row r="212" spans="4:11" x14ac:dyDescent="0.3">
      <c r="D212" s="597">
        <v>45241</v>
      </c>
      <c r="E212" s="589">
        <v>5</v>
      </c>
      <c r="F212" s="590">
        <v>1258</v>
      </c>
      <c r="G212" s="591">
        <v>30663891142</v>
      </c>
      <c r="H212" s="597" t="str">
        <f>IFERROR(IF(factura_c_mes1242[[#This Row],[CUIT]]="","-",VLOOKUP(factura_c_mes1242[[#This Row],[CUIT]],Lista_CUIT[#All],2,0)),"CUIT NO CARGADO")</f>
        <v>HERRAJES MAGLIOLA  S A</v>
      </c>
      <c r="I212" s="599">
        <v>-6239.49</v>
      </c>
      <c r="J212" s="596">
        <f>IFERROR(IF(factura_c_mes1242[[#This Row],[CUIT]]="","-",VLOOKUP(factura_c_mes1242[[#This Row],[CUIT]],Lista_CUIT[#All],3,0)),"CUIT NO CARGADO")</f>
        <v>0</v>
      </c>
      <c r="K212" s="596">
        <f>IFERROR(IF(factura_c_mes1242[[#This Row],[CUIT]]="","-",VLOOKUP(factura_c_mes1242[[#This Row],[CUIT]],Lista_CUIT[#All],4,0)),"CUIT NO CARGADO")</f>
        <v>0</v>
      </c>
    </row>
    <row r="213" spans="4:11" x14ac:dyDescent="0.3">
      <c r="D213" s="50">
        <v>45241</v>
      </c>
      <c r="E213" s="589">
        <v>5</v>
      </c>
      <c r="F213" s="590">
        <v>55982</v>
      </c>
      <c r="G213" s="591">
        <v>30663891142</v>
      </c>
      <c r="H213" s="50" t="str">
        <f>IFERROR(IF(factura_c_mes1242[[#This Row],[CUIT]]="","-",VLOOKUP(factura_c_mes1242[[#This Row],[CUIT]],Lista_CUIT[#All],2,0)),"CUIT NO CARGADO")</f>
        <v>HERRAJES MAGLIOLA  S A</v>
      </c>
      <c r="I213" s="598">
        <v>6239.49</v>
      </c>
      <c r="J213" s="596">
        <f>IFERROR(IF(factura_c_mes1242[[#This Row],[CUIT]]="","-",VLOOKUP(factura_c_mes1242[[#This Row],[CUIT]],Lista_CUIT[#All],3,0)),"CUIT NO CARGADO")</f>
        <v>0</v>
      </c>
      <c r="K213" s="596">
        <f>IFERROR(IF(factura_c_mes1242[[#This Row],[CUIT]]="","-",VLOOKUP(factura_c_mes1242[[#This Row],[CUIT]],Lista_CUIT[#All],4,0)),"CUIT NO CARGADO")</f>
        <v>0</v>
      </c>
    </row>
    <row r="214" spans="4:11" x14ac:dyDescent="0.3">
      <c r="D214" s="50">
        <v>45241</v>
      </c>
      <c r="E214" s="589">
        <v>5</v>
      </c>
      <c r="F214" s="590">
        <v>55983</v>
      </c>
      <c r="G214" s="591">
        <v>30663891142</v>
      </c>
      <c r="H214" s="50" t="str">
        <f>IFERROR(IF(factura_c_mes1242[[#This Row],[CUIT]]="","-",VLOOKUP(factura_c_mes1242[[#This Row],[CUIT]],Lista_CUIT[#All],2,0)),"CUIT NO CARGADO")</f>
        <v>HERRAJES MAGLIOLA  S A</v>
      </c>
      <c r="I214" s="598">
        <v>6239.49</v>
      </c>
      <c r="J214" s="596">
        <f>IFERROR(IF(factura_c_mes1242[[#This Row],[CUIT]]="","-",VLOOKUP(factura_c_mes1242[[#This Row],[CUIT]],Lista_CUIT[#All],3,0)),"CUIT NO CARGADO")</f>
        <v>0</v>
      </c>
      <c r="K214" s="596">
        <f>IFERROR(IF(factura_c_mes1242[[#This Row],[CUIT]]="","-",VLOOKUP(factura_c_mes1242[[#This Row],[CUIT]],Lista_CUIT[#All],4,0)),"CUIT NO CARGADO")</f>
        <v>0</v>
      </c>
    </row>
    <row r="215" spans="4:11" x14ac:dyDescent="0.3">
      <c r="D215" s="597">
        <v>45243</v>
      </c>
      <c r="E215" s="589">
        <v>2</v>
      </c>
      <c r="F215" s="590">
        <v>3846</v>
      </c>
      <c r="G215" s="591">
        <v>20136536320</v>
      </c>
      <c r="H215" s="597" t="str">
        <f>IFERROR(IF(factura_c_mes1242[[#This Row],[CUIT]]="","-",VLOOKUP(factura_c_mes1242[[#This Row],[CUIT]],Lista_CUIT[#All],2,0)),"CUIT NO CARGADO")</f>
        <v>FONTENLA ERNESTO MARIO</v>
      </c>
      <c r="I215" s="599">
        <v>900</v>
      </c>
      <c r="J215" s="596" t="str">
        <f>IFERROR(IF(factura_c_mes1242[[#This Row],[CUIT]]="","-",VLOOKUP(factura_c_mes1242[[#This Row],[CUIT]],Lista_CUIT[#All],3,0)),"CUIT NO CARGADO")</f>
        <v>INSUMO</v>
      </c>
      <c r="K215" s="596" t="str">
        <f>IFERROR(IF(factura_c_mes1242[[#This Row],[CUIT]]="","-",VLOOKUP(factura_c_mes1242[[#This Row],[CUIT]],Lista_CUIT[#All],4,0)),"CUIT NO CARGADO")</f>
        <v>CABA</v>
      </c>
    </row>
    <row r="216" spans="4:11" x14ac:dyDescent="0.3">
      <c r="D216" s="597">
        <v>45245</v>
      </c>
      <c r="E216" s="589">
        <v>3</v>
      </c>
      <c r="F216" s="590">
        <v>725</v>
      </c>
      <c r="G216" s="591">
        <v>20173025557</v>
      </c>
      <c r="H216" s="597" t="str">
        <f>IFERROR(IF(factura_c_mes1242[[#This Row],[CUIT]]="","-",VLOOKUP(factura_c_mes1242[[#This Row],[CUIT]],Lista_CUIT[#All],2,0)),"CUIT NO CARGADO")</f>
        <v>MARAUDA HECTOR</v>
      </c>
      <c r="I216" s="599">
        <v>2400</v>
      </c>
      <c r="J216" s="596">
        <f>IFERROR(IF(factura_c_mes1242[[#This Row],[CUIT]]="","-",VLOOKUP(factura_c_mes1242[[#This Row],[CUIT]],Lista_CUIT[#All],3,0)),"CUIT NO CARGADO")</f>
        <v>0</v>
      </c>
      <c r="K216" s="596">
        <f>IFERROR(IF(factura_c_mes1242[[#This Row],[CUIT]]="","-",VLOOKUP(factura_c_mes1242[[#This Row],[CUIT]],Lista_CUIT[#All],4,0)),"CUIT NO CARGADO")</f>
        <v>0</v>
      </c>
    </row>
    <row r="217" spans="4:11" x14ac:dyDescent="0.3">
      <c r="D217" s="597">
        <v>45246</v>
      </c>
      <c r="E217" s="589">
        <v>2</v>
      </c>
      <c r="F217" s="590">
        <v>3088</v>
      </c>
      <c r="G217" s="591">
        <v>20206480409</v>
      </c>
      <c r="H217" s="597" t="str">
        <f>IFERROR(IF(factura_c_mes1242[[#This Row],[CUIT]]="","-",VLOOKUP(factura_c_mes1242[[#This Row],[CUIT]],Lista_CUIT[#All],2,0)),"CUIT NO CARGADO")</f>
        <v>GRACIA SANDRO EDUARDO</v>
      </c>
      <c r="I217" s="599">
        <v>900</v>
      </c>
      <c r="J217" s="596" t="str">
        <f>IFERROR(IF(factura_c_mes1242[[#This Row],[CUIT]]="","-",VLOOKUP(factura_c_mes1242[[#This Row],[CUIT]],Lista_CUIT[#All],3,0)),"CUIT NO CARGADO")</f>
        <v>Gastos Varios</v>
      </c>
      <c r="K217" s="596" t="str">
        <f>IFERROR(IF(factura_c_mes1242[[#This Row],[CUIT]]="","-",VLOOKUP(factura_c_mes1242[[#This Row],[CUIT]],Lista_CUIT[#All],4,0)),"CUIT NO CARGADO")</f>
        <v>CABA</v>
      </c>
    </row>
    <row r="218" spans="4:11" x14ac:dyDescent="0.3">
      <c r="D218" s="597">
        <v>45246</v>
      </c>
      <c r="E218" s="589">
        <v>2</v>
      </c>
      <c r="F218" s="590">
        <v>3854</v>
      </c>
      <c r="G218" s="591">
        <v>20136536320</v>
      </c>
      <c r="H218" s="597" t="str">
        <f>IFERROR(IF(factura_c_mes1242[[#This Row],[CUIT]]="","-",VLOOKUP(factura_c_mes1242[[#This Row],[CUIT]],Lista_CUIT[#All],2,0)),"CUIT NO CARGADO")</f>
        <v>FONTENLA ERNESTO MARIO</v>
      </c>
      <c r="I218" s="599">
        <v>2760</v>
      </c>
      <c r="J218" s="596" t="str">
        <f>IFERROR(IF(factura_c_mes1242[[#This Row],[CUIT]]="","-",VLOOKUP(factura_c_mes1242[[#This Row],[CUIT]],Lista_CUIT[#All],3,0)),"CUIT NO CARGADO")</f>
        <v>INSUMO</v>
      </c>
      <c r="K218" s="596" t="str">
        <f>IFERROR(IF(factura_c_mes1242[[#This Row],[CUIT]]="","-",VLOOKUP(factura_c_mes1242[[#This Row],[CUIT]],Lista_CUIT[#All],4,0)),"CUIT NO CARGADO")</f>
        <v>CABA</v>
      </c>
    </row>
    <row r="219" spans="4:11" x14ac:dyDescent="0.3">
      <c r="D219" s="597">
        <v>45248</v>
      </c>
      <c r="E219" s="589">
        <v>2</v>
      </c>
      <c r="F219" s="590">
        <v>3859</v>
      </c>
      <c r="G219" s="591">
        <v>20136536320</v>
      </c>
      <c r="H219" s="597" t="str">
        <f>IFERROR(IF(factura_c_mes1242[[#This Row],[CUIT]]="","-",VLOOKUP(factura_c_mes1242[[#This Row],[CUIT]],Lista_CUIT[#All],2,0)),"CUIT NO CARGADO")</f>
        <v>FONTENLA ERNESTO MARIO</v>
      </c>
      <c r="I219" s="599">
        <v>5000</v>
      </c>
      <c r="J219" s="596" t="str">
        <f>IFERROR(IF(factura_c_mes1242[[#This Row],[CUIT]]="","-",VLOOKUP(factura_c_mes1242[[#This Row],[CUIT]],Lista_CUIT[#All],3,0)),"CUIT NO CARGADO")</f>
        <v>INSUMO</v>
      </c>
      <c r="K219" s="596" t="str">
        <f>IFERROR(IF(factura_c_mes1242[[#This Row],[CUIT]]="","-",VLOOKUP(factura_c_mes1242[[#This Row],[CUIT]],Lista_CUIT[#All],4,0)),"CUIT NO CARGADO")</f>
        <v>CABA</v>
      </c>
    </row>
    <row r="220" spans="4:11" x14ac:dyDescent="0.3">
      <c r="D220" s="597">
        <v>45251</v>
      </c>
      <c r="E220" s="589">
        <v>1</v>
      </c>
      <c r="F220" s="590">
        <v>30</v>
      </c>
      <c r="G220" s="591">
        <v>20176922363</v>
      </c>
      <c r="H220" s="597" t="str">
        <f>IFERROR(IF(factura_c_mes1242[[#This Row],[CUIT]]="","-",VLOOKUP(factura_c_mes1242[[#This Row],[CUIT]],Lista_CUIT[#All],2,0)),"CUIT NO CARGADO")</f>
        <v>CASTILLO JUAN RAMON</v>
      </c>
      <c r="I220" s="599">
        <v>560000</v>
      </c>
      <c r="J220" s="596">
        <f>IFERROR(IF(factura_c_mes1242[[#This Row],[CUIT]]="","-",VLOOKUP(factura_c_mes1242[[#This Row],[CUIT]],Lista_CUIT[#All],3,0)),"CUIT NO CARGADO")</f>
        <v>0</v>
      </c>
      <c r="K220" s="596">
        <f>IFERROR(IF(factura_c_mes1242[[#This Row],[CUIT]]="","-",VLOOKUP(factura_c_mes1242[[#This Row],[CUIT]],Lista_CUIT[#All],4,0)),"CUIT NO CARGADO")</f>
        <v>0</v>
      </c>
    </row>
    <row r="221" spans="4:11" x14ac:dyDescent="0.3">
      <c r="D221" s="597">
        <v>45251</v>
      </c>
      <c r="E221" s="589">
        <v>1</v>
      </c>
      <c r="F221" s="590">
        <v>31</v>
      </c>
      <c r="G221" s="591">
        <v>20176922363</v>
      </c>
      <c r="H221" s="597" t="str">
        <f>IFERROR(IF(factura_c_mes1242[[#This Row],[CUIT]]="","-",VLOOKUP(factura_c_mes1242[[#This Row],[CUIT]],Lista_CUIT[#All],2,0)),"CUIT NO CARGADO")</f>
        <v>CASTILLO JUAN RAMON</v>
      </c>
      <c r="I221" s="599">
        <v>290000</v>
      </c>
      <c r="J221" s="596">
        <f>IFERROR(IF(factura_c_mes1242[[#This Row],[CUIT]]="","-",VLOOKUP(factura_c_mes1242[[#This Row],[CUIT]],Lista_CUIT[#All],3,0)),"CUIT NO CARGADO")</f>
        <v>0</v>
      </c>
      <c r="K221" s="596">
        <f>IFERROR(IF(factura_c_mes1242[[#This Row],[CUIT]]="","-",VLOOKUP(factura_c_mes1242[[#This Row],[CUIT]],Lista_CUIT[#All],4,0)),"CUIT NO CARGADO")</f>
        <v>0</v>
      </c>
    </row>
    <row r="222" spans="4:11" x14ac:dyDescent="0.3">
      <c r="D222" s="597">
        <v>45251</v>
      </c>
      <c r="E222" s="589">
        <v>1</v>
      </c>
      <c r="F222" s="590">
        <v>32</v>
      </c>
      <c r="G222" s="591">
        <v>20176922363</v>
      </c>
      <c r="H222" s="597" t="str">
        <f>IFERROR(IF(factura_c_mes1242[[#This Row],[CUIT]]="","-",VLOOKUP(factura_c_mes1242[[#This Row],[CUIT]],Lista_CUIT[#All],2,0)),"CUIT NO CARGADO")</f>
        <v>CASTILLO JUAN RAMON</v>
      </c>
      <c r="I222" s="599">
        <v>330000</v>
      </c>
      <c r="J222" s="596">
        <f>IFERROR(IF(factura_c_mes1242[[#This Row],[CUIT]]="","-",VLOOKUP(factura_c_mes1242[[#This Row],[CUIT]],Lista_CUIT[#All],3,0)),"CUIT NO CARGADO")</f>
        <v>0</v>
      </c>
      <c r="K222" s="596">
        <f>IFERROR(IF(factura_c_mes1242[[#This Row],[CUIT]]="","-",VLOOKUP(factura_c_mes1242[[#This Row],[CUIT]],Lista_CUIT[#All],4,0)),"CUIT NO CARGADO")</f>
        <v>0</v>
      </c>
    </row>
    <row r="223" spans="4:11" x14ac:dyDescent="0.3">
      <c r="D223" s="597">
        <v>45251</v>
      </c>
      <c r="E223" s="589">
        <v>2</v>
      </c>
      <c r="F223" s="590">
        <v>3860</v>
      </c>
      <c r="G223" s="591">
        <v>20136536320</v>
      </c>
      <c r="H223" s="597" t="str">
        <f>IFERROR(IF(factura_c_mes1242[[#This Row],[CUIT]]="","-",VLOOKUP(factura_c_mes1242[[#This Row],[CUIT]],Lista_CUIT[#All],2,0)),"CUIT NO CARGADO")</f>
        <v>FONTENLA ERNESTO MARIO</v>
      </c>
      <c r="I223" s="599">
        <v>300</v>
      </c>
      <c r="J223" s="596" t="str">
        <f>IFERROR(IF(factura_c_mes1242[[#This Row],[CUIT]]="","-",VLOOKUP(factura_c_mes1242[[#This Row],[CUIT]],Lista_CUIT[#All],3,0)),"CUIT NO CARGADO")</f>
        <v>INSUMO</v>
      </c>
      <c r="K223" s="596" t="str">
        <f>IFERROR(IF(factura_c_mes1242[[#This Row],[CUIT]]="","-",VLOOKUP(factura_c_mes1242[[#This Row],[CUIT]],Lista_CUIT[#All],4,0)),"CUIT NO CARGADO")</f>
        <v>CABA</v>
      </c>
    </row>
    <row r="224" spans="4:11" x14ac:dyDescent="0.3">
      <c r="D224" s="597">
        <v>45252</v>
      </c>
      <c r="E224" s="589">
        <v>2</v>
      </c>
      <c r="F224" s="590">
        <v>3</v>
      </c>
      <c r="G224" s="591">
        <v>20183101456</v>
      </c>
      <c r="H224" s="597" t="str">
        <f>IFERROR(IF(factura_c_mes1242[[#This Row],[CUIT]]="","-",VLOOKUP(factura_c_mes1242[[#This Row],[CUIT]],Lista_CUIT[#All],2,0)),"CUIT NO CARGADO")</f>
        <v>BASUALDO JORGE RAMON</v>
      </c>
      <c r="I224" s="599">
        <v>180000</v>
      </c>
      <c r="J224" s="596">
        <f>IFERROR(IF(factura_c_mes1242[[#This Row],[CUIT]]="","-",VLOOKUP(factura_c_mes1242[[#This Row],[CUIT]],Lista_CUIT[#All],3,0)),"CUIT NO CARGADO")</f>
        <v>0</v>
      </c>
      <c r="K224" s="596">
        <f>IFERROR(IF(factura_c_mes1242[[#This Row],[CUIT]]="","-",VLOOKUP(factura_c_mes1242[[#This Row],[CUIT]],Lista_CUIT[#All],4,0)),"CUIT NO CARGADO")</f>
        <v>0</v>
      </c>
    </row>
    <row r="225" spans="2:18" x14ac:dyDescent="0.3">
      <c r="D225" s="597">
        <v>45252</v>
      </c>
      <c r="E225" s="589">
        <v>2</v>
      </c>
      <c r="F225" s="590">
        <v>3874</v>
      </c>
      <c r="G225" s="591">
        <v>20136536320</v>
      </c>
      <c r="H225" s="597" t="str">
        <f>IFERROR(IF(factura_c_mes1242[[#This Row],[CUIT]]="","-",VLOOKUP(factura_c_mes1242[[#This Row],[CUIT]],Lista_CUIT[#All],2,0)),"CUIT NO CARGADO")</f>
        <v>FONTENLA ERNESTO MARIO</v>
      </c>
      <c r="I225" s="599">
        <v>4800</v>
      </c>
      <c r="J225" s="596" t="str">
        <f>IFERROR(IF(factura_c_mes1242[[#This Row],[CUIT]]="","-",VLOOKUP(factura_c_mes1242[[#This Row],[CUIT]],Lista_CUIT[#All],3,0)),"CUIT NO CARGADO")</f>
        <v>INSUMO</v>
      </c>
      <c r="K225" s="596" t="str">
        <f>IFERROR(IF(factura_c_mes1242[[#This Row],[CUIT]]="","-",VLOOKUP(factura_c_mes1242[[#This Row],[CUIT]],Lista_CUIT[#All],4,0)),"CUIT NO CARGADO")</f>
        <v>CABA</v>
      </c>
    </row>
    <row r="226" spans="2:18" x14ac:dyDescent="0.3">
      <c r="D226" s="597">
        <v>45252</v>
      </c>
      <c r="E226" s="589">
        <v>2</v>
      </c>
      <c r="F226" s="590">
        <v>3875</v>
      </c>
      <c r="G226" s="591">
        <v>20136536320</v>
      </c>
      <c r="H226" s="597" t="str">
        <f>IFERROR(IF(factura_c_mes1242[[#This Row],[CUIT]]="","-",VLOOKUP(factura_c_mes1242[[#This Row],[CUIT]],Lista_CUIT[#All],2,0)),"CUIT NO CARGADO")</f>
        <v>FONTENLA ERNESTO MARIO</v>
      </c>
      <c r="I226" s="599">
        <v>3050</v>
      </c>
      <c r="J226" s="596" t="str">
        <f>IFERROR(IF(factura_c_mes1242[[#This Row],[CUIT]]="","-",VLOOKUP(factura_c_mes1242[[#This Row],[CUIT]],Lista_CUIT[#All],3,0)),"CUIT NO CARGADO")</f>
        <v>INSUMO</v>
      </c>
      <c r="K226" s="596" t="str">
        <f>IFERROR(IF(factura_c_mes1242[[#This Row],[CUIT]]="","-",VLOOKUP(factura_c_mes1242[[#This Row],[CUIT]],Lista_CUIT[#All],4,0)),"CUIT NO CARGADO")</f>
        <v>CABA</v>
      </c>
    </row>
    <row r="227" spans="2:18" x14ac:dyDescent="0.3">
      <c r="D227" s="597">
        <v>45253</v>
      </c>
      <c r="E227" s="589">
        <v>2</v>
      </c>
      <c r="F227" s="590">
        <v>3876</v>
      </c>
      <c r="G227" s="591">
        <v>20136536320</v>
      </c>
      <c r="H227" s="597" t="str">
        <f>IFERROR(IF(factura_c_mes1242[[#This Row],[CUIT]]="","-",VLOOKUP(factura_c_mes1242[[#This Row],[CUIT]],Lista_CUIT[#All],2,0)),"CUIT NO CARGADO")</f>
        <v>FONTENLA ERNESTO MARIO</v>
      </c>
      <c r="I227" s="599">
        <v>3040</v>
      </c>
      <c r="J227" s="596" t="str">
        <f>IFERROR(IF(factura_c_mes1242[[#This Row],[CUIT]]="","-",VLOOKUP(factura_c_mes1242[[#This Row],[CUIT]],Lista_CUIT[#All],3,0)),"CUIT NO CARGADO")</f>
        <v>INSUMO</v>
      </c>
      <c r="K227" s="596" t="str">
        <f>IFERROR(IF(factura_c_mes1242[[#This Row],[CUIT]]="","-",VLOOKUP(factura_c_mes1242[[#This Row],[CUIT]],Lista_CUIT[#All],4,0)),"CUIT NO CARGADO")</f>
        <v>CABA</v>
      </c>
    </row>
    <row r="228" spans="2:18" x14ac:dyDescent="0.3">
      <c r="D228" s="597">
        <v>45253</v>
      </c>
      <c r="E228" s="589">
        <v>2</v>
      </c>
      <c r="F228" s="590">
        <v>3878</v>
      </c>
      <c r="G228" s="591">
        <v>20136536320</v>
      </c>
      <c r="H228" s="597" t="str">
        <f>IFERROR(IF(factura_c_mes1242[[#This Row],[CUIT]]="","-",VLOOKUP(factura_c_mes1242[[#This Row],[CUIT]],Lista_CUIT[#All],2,0)),"CUIT NO CARGADO")</f>
        <v>FONTENLA ERNESTO MARIO</v>
      </c>
      <c r="I228" s="599">
        <v>300</v>
      </c>
      <c r="J228" s="596" t="str">
        <f>IFERROR(IF(factura_c_mes1242[[#This Row],[CUIT]]="","-",VLOOKUP(factura_c_mes1242[[#This Row],[CUIT]],Lista_CUIT[#All],3,0)),"CUIT NO CARGADO")</f>
        <v>INSUMO</v>
      </c>
      <c r="K228" s="596" t="str">
        <f>IFERROR(IF(factura_c_mes1242[[#This Row],[CUIT]]="","-",VLOOKUP(factura_c_mes1242[[#This Row],[CUIT]],Lista_CUIT[#All],4,0)),"CUIT NO CARGADO")</f>
        <v>CABA</v>
      </c>
    </row>
    <row r="229" spans="2:18" x14ac:dyDescent="0.3">
      <c r="D229" s="597">
        <v>45255</v>
      </c>
      <c r="E229" s="589">
        <v>2</v>
      </c>
      <c r="F229" s="590">
        <v>3879</v>
      </c>
      <c r="G229" s="591">
        <v>20136536320</v>
      </c>
      <c r="H229" s="597" t="str">
        <f>IFERROR(IF(factura_c_mes1242[[#This Row],[CUIT]]="","-",VLOOKUP(factura_c_mes1242[[#This Row],[CUIT]],Lista_CUIT[#All],2,0)),"CUIT NO CARGADO")</f>
        <v>FONTENLA ERNESTO MARIO</v>
      </c>
      <c r="I229" s="599">
        <v>600</v>
      </c>
      <c r="J229" s="596" t="str">
        <f>IFERROR(IF(factura_c_mes1242[[#This Row],[CUIT]]="","-",VLOOKUP(factura_c_mes1242[[#This Row],[CUIT]],Lista_CUIT[#All],3,0)),"CUIT NO CARGADO")</f>
        <v>INSUMO</v>
      </c>
      <c r="K229" s="596" t="str">
        <f>IFERROR(IF(factura_c_mes1242[[#This Row],[CUIT]]="","-",VLOOKUP(factura_c_mes1242[[#This Row],[CUIT]],Lista_CUIT[#All],4,0)),"CUIT NO CARGADO")</f>
        <v>CABA</v>
      </c>
    </row>
    <row r="230" spans="2:18" x14ac:dyDescent="0.3">
      <c r="D230" s="50">
        <v>45257</v>
      </c>
      <c r="E230" s="589">
        <v>8</v>
      </c>
      <c r="F230" s="590">
        <v>498</v>
      </c>
      <c r="G230" s="591">
        <v>27409592487</v>
      </c>
      <c r="H230" s="50" t="str">
        <f>IFERROR(IF(factura_c_mes1242[[#This Row],[CUIT]]="","-",VLOOKUP(factura_c_mes1242[[#This Row],[CUIT]],Lista_CUIT[#All],2,0)),"CUIT NO CARGADO")</f>
        <v>BAUDONE ANTONELLA AGOSTINA</v>
      </c>
      <c r="I230" s="598">
        <v>166400</v>
      </c>
      <c r="J230" s="596">
        <f>IFERROR(IF(factura_c_mes1242[[#This Row],[CUIT]]="","-",VLOOKUP(factura_c_mes1242[[#This Row],[CUIT]],Lista_CUIT[#All],3,0)),"CUIT NO CARGADO")</f>
        <v>0</v>
      </c>
      <c r="K230" s="596">
        <f>IFERROR(IF(factura_c_mes1242[[#This Row],[CUIT]]="","-",VLOOKUP(factura_c_mes1242[[#This Row],[CUIT]],Lista_CUIT[#All],4,0)),"CUIT NO CARGADO")</f>
        <v>0</v>
      </c>
    </row>
    <row r="231" spans="2:18" ht="17.100000000000001" customHeight="1" x14ac:dyDescent="0.3">
      <c r="D231" s="50">
        <v>45257</v>
      </c>
      <c r="E231" s="589">
        <v>2</v>
      </c>
      <c r="F231" s="590">
        <v>3881</v>
      </c>
      <c r="G231" s="591">
        <v>20136536320</v>
      </c>
      <c r="H231" s="50" t="str">
        <f>IFERROR(IF(factura_c_mes1242[[#This Row],[CUIT]]="","-",VLOOKUP(factura_c_mes1242[[#This Row],[CUIT]],Lista_CUIT[#All],2,0)),"CUIT NO CARGADO")</f>
        <v>FONTENLA ERNESTO MARIO</v>
      </c>
      <c r="I231" s="598">
        <v>6000</v>
      </c>
      <c r="J231" s="596" t="str">
        <f>IFERROR(IF(factura_c_mes1242[[#This Row],[CUIT]]="","-",VLOOKUP(factura_c_mes1242[[#This Row],[CUIT]],Lista_CUIT[#All],3,0)),"CUIT NO CARGADO")</f>
        <v>INSUMO</v>
      </c>
      <c r="K231" s="596" t="str">
        <f>IFERROR(IF(factura_c_mes1242[[#This Row],[CUIT]]="","-",VLOOKUP(factura_c_mes1242[[#This Row],[CUIT]],Lista_CUIT[#All],4,0)),"CUIT NO CARGADO")</f>
        <v>CABA</v>
      </c>
    </row>
    <row r="232" spans="2:18" ht="17.100000000000001" customHeight="1" x14ac:dyDescent="0.3">
      <c r="D232" s="50">
        <v>45257</v>
      </c>
      <c r="E232" s="589">
        <v>2</v>
      </c>
      <c r="F232" s="590">
        <v>3882</v>
      </c>
      <c r="G232" s="591">
        <v>20136536320</v>
      </c>
      <c r="H232" s="50" t="str">
        <f>IFERROR(IF(factura_c_mes1242[[#This Row],[CUIT]]="","-",VLOOKUP(factura_c_mes1242[[#This Row],[CUIT]],Lista_CUIT[#All],2,0)),"CUIT NO CARGADO")</f>
        <v>FONTENLA ERNESTO MARIO</v>
      </c>
      <c r="I232" s="598">
        <v>300</v>
      </c>
      <c r="J232" s="596" t="str">
        <f>IFERROR(IF(factura_c_mes1242[[#This Row],[CUIT]]="","-",VLOOKUP(factura_c_mes1242[[#This Row],[CUIT]],Lista_CUIT[#All],3,0)),"CUIT NO CARGADO")</f>
        <v>INSUMO</v>
      </c>
      <c r="K232" s="596" t="str">
        <f>IFERROR(IF(factura_c_mes1242[[#This Row],[CUIT]]="","-",VLOOKUP(factura_c_mes1242[[#This Row],[CUIT]],Lista_CUIT[#All],4,0)),"CUIT NO CARGADO")</f>
        <v>CABA</v>
      </c>
    </row>
    <row r="233" spans="2:18" ht="17.100000000000001" customHeight="1" x14ac:dyDescent="0.3">
      <c r="D233" s="50">
        <v>45259</v>
      </c>
      <c r="E233" s="589">
        <v>1</v>
      </c>
      <c r="F233" s="590">
        <v>75</v>
      </c>
      <c r="G233" s="591">
        <v>20383353263</v>
      </c>
      <c r="H233" s="50" t="str">
        <f>IFERROR(IF(factura_c_mes1242[[#This Row],[CUIT]]="","-",VLOOKUP(factura_c_mes1242[[#This Row],[CUIT]],Lista_CUIT[#All],2,0)),"CUIT NO CARGADO")</f>
        <v>LOZA MIGUEL MATEO</v>
      </c>
      <c r="I233" s="598">
        <v>48000</v>
      </c>
      <c r="J233" s="596">
        <f>IFERROR(IF(factura_c_mes1242[[#This Row],[CUIT]]="","-",VLOOKUP(factura_c_mes1242[[#This Row],[CUIT]],Lista_CUIT[#All],3,0)),"CUIT NO CARGADO")</f>
        <v>0</v>
      </c>
      <c r="K233" s="596">
        <f>IFERROR(IF(factura_c_mes1242[[#This Row],[CUIT]]="","-",VLOOKUP(factura_c_mes1242[[#This Row],[CUIT]],Lista_CUIT[#All],4,0)),"CUIT NO CARGADO")</f>
        <v>0</v>
      </c>
    </row>
    <row r="234" spans="2:18" ht="17.100000000000001" customHeight="1" x14ac:dyDescent="0.3">
      <c r="D234" s="597">
        <v>45260</v>
      </c>
      <c r="E234" s="589">
        <v>4</v>
      </c>
      <c r="F234" s="590">
        <v>334</v>
      </c>
      <c r="G234" s="591">
        <v>23222942934</v>
      </c>
      <c r="H234" s="597" t="str">
        <f>IFERROR(IF(factura_c_mes1242[[#This Row],[CUIT]]="","-",VLOOKUP(factura_c_mes1242[[#This Row],[CUIT]],Lista_CUIT[#All],2,0)),"CUIT NO CARGADO")</f>
        <v>FIORI SILVIA LORENA</v>
      </c>
      <c r="I234" s="599">
        <v>6000</v>
      </c>
      <c r="J234" s="596">
        <f>IFERROR(IF(factura_c_mes1242[[#This Row],[CUIT]]="","-",VLOOKUP(factura_c_mes1242[[#This Row],[CUIT]],Lista_CUIT[#All],3,0)),"CUIT NO CARGADO")</f>
        <v>0</v>
      </c>
      <c r="K234" s="596">
        <f>IFERROR(IF(factura_c_mes1242[[#This Row],[CUIT]]="","-",VLOOKUP(factura_c_mes1242[[#This Row],[CUIT]],Lista_CUIT[#All],4,0)),"CUIT NO CARGADO")</f>
        <v>0</v>
      </c>
    </row>
    <row r="235" spans="2:18" x14ac:dyDescent="0.3">
      <c r="D235" s="50">
        <v>45260</v>
      </c>
      <c r="E235" s="589">
        <v>2</v>
      </c>
      <c r="F235" s="590">
        <v>3884</v>
      </c>
      <c r="G235" s="591">
        <v>20136536320</v>
      </c>
      <c r="H235" s="50" t="str">
        <f>IFERROR(IF(factura_c_mes1242[[#This Row],[CUIT]]="","-",VLOOKUP(factura_c_mes1242[[#This Row],[CUIT]],Lista_CUIT[#All],2,0)),"CUIT NO CARGADO")</f>
        <v>FONTENLA ERNESTO MARIO</v>
      </c>
      <c r="I235" s="598">
        <v>200</v>
      </c>
      <c r="J235" s="596" t="str">
        <f>IFERROR(IF(factura_c_mes1242[[#This Row],[CUIT]]="","-",VLOOKUP(factura_c_mes1242[[#This Row],[CUIT]],Lista_CUIT[#All],3,0)),"CUIT NO CARGADO")</f>
        <v>INSUMO</v>
      </c>
      <c r="K235" s="596" t="str">
        <f>IFERROR(IF(factura_c_mes1242[[#This Row],[CUIT]]="","-",VLOOKUP(factura_c_mes1242[[#This Row],[CUIT]],Lista_CUIT[#All],4,0)),"CUIT NO CARGADO")</f>
        <v>CABA</v>
      </c>
    </row>
    <row r="236" spans="2:18" ht="17.100000000000001" customHeight="1" x14ac:dyDescent="0.3">
      <c r="D236" s="50"/>
      <c r="E236" s="50"/>
      <c r="F236" s="50"/>
      <c r="G236" s="50"/>
      <c r="H236" s="50" t="str">
        <f>IFERROR(IF(factura_c_mes1242[[#This Row],[CUIT]]="","-",VLOOKUP(factura_c_mes1242[[#This Row],[CUIT]],Lista_CUIT[#All],2,0)),"CUIT NO CARGADO")</f>
        <v>-</v>
      </c>
      <c r="I236" s="598"/>
      <c r="J236" s="596" t="str">
        <f>IFERROR(IF(factura_c_mes1242[[#This Row],[CUIT]]="","-",VLOOKUP(factura_c_mes1242[[#This Row],[CUIT]],Lista_CUIT[#All],3,0)),"CUIT NO CARGADO")</f>
        <v>-</v>
      </c>
      <c r="K236" s="596" t="str">
        <f>IFERROR(IF(factura_c_mes1242[[#This Row],[CUIT]]="","-",VLOOKUP(factura_c_mes1242[[#This Row],[CUIT]],Lista_CUIT[#All],4,0)),"CUIT NO CARGADO")</f>
        <v>-</v>
      </c>
    </row>
    <row r="237" spans="2:18" x14ac:dyDescent="0.3">
      <c r="D237" s="50"/>
      <c r="E237" s="50"/>
      <c r="F237" s="50"/>
      <c r="G237" s="50"/>
      <c r="H237" s="50" t="str">
        <f>IFERROR(IF(factura_c_mes1242[[#This Row],[CUIT]]="","-",VLOOKUP(factura_c_mes1242[[#This Row],[CUIT]],Lista_CUIT[#All],2,0)),"CUIT NO CARGADO")</f>
        <v>-</v>
      </c>
      <c r="I237" s="598"/>
      <c r="J237" s="50" t="str">
        <f>IFERROR(IF(factura_c_mes1242[[#This Row],[CUIT]]="","-",VLOOKUP(factura_c_mes1242[[#This Row],[CUIT]],Lista_CUIT[#All],3,0)),"CUIT NO CARGADO")</f>
        <v>-</v>
      </c>
      <c r="K237" s="50" t="str">
        <f>IFERROR(IF(factura_c_mes1242[[#This Row],[CUIT]]="","-",VLOOKUP(factura_c_mes1242[[#This Row],[CUIT]],Lista_CUIT[#All],4,0)),"CUIT NO CARGADO")</f>
        <v>-</v>
      </c>
    </row>
    <row r="238" spans="2:18" x14ac:dyDescent="0.3">
      <c r="B238" s="56"/>
      <c r="C238" s="56"/>
      <c r="D238" s="55" t="s">
        <v>103</v>
      </c>
      <c r="E238" s="55"/>
      <c r="F238" s="55"/>
      <c r="G238" s="55"/>
      <c r="H238" s="57"/>
      <c r="I238" s="58">
        <f>SUBTOTAL(109,factura_c_mes1242[TOTAL])</f>
        <v>3108438.7199999997</v>
      </c>
      <c r="J238" s="55"/>
      <c r="K238" s="55"/>
      <c r="L238" s="56"/>
      <c r="M238" s="56"/>
      <c r="N238" s="56"/>
      <c r="O238" s="56"/>
      <c r="P238" s="56"/>
      <c r="Q238" s="56"/>
      <c r="R238" s="56"/>
    </row>
    <row r="243" spans="2:13" ht="25.8" x14ac:dyDescent="0.3">
      <c r="B243" s="661" t="s">
        <v>29</v>
      </c>
      <c r="C243" s="661"/>
      <c r="D243" s="661"/>
      <c r="E243" s="661"/>
      <c r="F243" s="661"/>
      <c r="G243" s="661"/>
      <c r="H243" s="661"/>
      <c r="I243" s="661"/>
      <c r="J243" s="661"/>
      <c r="K243" s="657">
        <f>N1</f>
        <v>45261</v>
      </c>
      <c r="L243" s="657"/>
      <c r="M243" s="657"/>
    </row>
    <row r="245" spans="2:13" ht="21" x14ac:dyDescent="0.3">
      <c r="B245" s="654" t="s">
        <v>30</v>
      </c>
      <c r="C245" s="654"/>
    </row>
    <row r="246" spans="2:13" ht="15.6" x14ac:dyDescent="0.3">
      <c r="B246" s="60" t="s">
        <v>0</v>
      </c>
      <c r="C246" s="61" t="s">
        <v>1</v>
      </c>
      <c r="D246" s="61" t="s">
        <v>21</v>
      </c>
      <c r="E246" s="61" t="s">
        <v>22</v>
      </c>
      <c r="F246" s="61" t="s">
        <v>3</v>
      </c>
      <c r="G246" s="61" t="s">
        <v>4</v>
      </c>
      <c r="H246" s="61" t="s">
        <v>23</v>
      </c>
      <c r="I246" s="61" t="s">
        <v>17</v>
      </c>
      <c r="J246" s="61" t="s">
        <v>7</v>
      </c>
      <c r="K246" s="61" t="s">
        <v>24</v>
      </c>
      <c r="L246" s="61" t="s">
        <v>10</v>
      </c>
      <c r="M246" s="62" t="s">
        <v>38</v>
      </c>
    </row>
    <row r="247" spans="2:13" x14ac:dyDescent="0.3">
      <c r="B247" s="40"/>
      <c r="C247" s="41"/>
      <c r="D247" s="42"/>
      <c r="E247" s="43"/>
      <c r="F247" s="44"/>
      <c r="G247" s="99" t="str">
        <f>IFERROR(IF(venta_a_mes1254[[#This Row],[CUIT]]="","-",VLOOKUP(venta_a_mes1254[[#This Row],[CUIT]],Lista_CUIT[#All],2,0)),"CUIT NO CARGADO")</f>
        <v>-</v>
      </c>
      <c r="H247" s="100"/>
      <c r="I247" s="101">
        <f>venta_a_mes1254[[#This Row],[IMPORTE NETO]]*0.21</f>
        <v>0</v>
      </c>
      <c r="J247" s="65"/>
      <c r="K247" s="65"/>
      <c r="L247" s="65">
        <f>SUM(venta_a_mes1254[[#This Row],[IMPORTE NETO]:[EXENTO]])</f>
        <v>0</v>
      </c>
      <c r="M247" s="59"/>
    </row>
    <row r="248" spans="2:13" x14ac:dyDescent="0.3">
      <c r="B248" s="40"/>
      <c r="C248" s="41"/>
      <c r="D248" s="42"/>
      <c r="E248" s="43"/>
      <c r="F248" s="44"/>
      <c r="G248" s="99" t="str">
        <f>IFERROR(IF(venta_a_mes1254[[#This Row],[CUIT]]="","-",VLOOKUP(venta_a_mes1254[[#This Row],[CUIT]],Lista_CUIT[#All],2,0)),"CUIT NO CARGADO")</f>
        <v>-</v>
      </c>
      <c r="H248" s="100"/>
      <c r="I248" s="101">
        <f>venta_a_mes1254[[#This Row],[IMPORTE NETO]]*0.21</f>
        <v>0</v>
      </c>
      <c r="J248" s="65"/>
      <c r="K248" s="65"/>
      <c r="L248" s="65">
        <f>SUM(venta_a_mes1254[[#This Row],[IMPORTE NETO]:[EXENTO]])</f>
        <v>0</v>
      </c>
      <c r="M248" s="59"/>
    </row>
    <row r="249" spans="2:13" x14ac:dyDescent="0.3">
      <c r="B249" s="40"/>
      <c r="C249" s="41"/>
      <c r="D249" s="42"/>
      <c r="E249" s="43"/>
      <c r="F249" s="44"/>
      <c r="G249" s="99" t="str">
        <f>IFERROR(IF(venta_a_mes1254[[#This Row],[CUIT]]="","-",VLOOKUP(venta_a_mes1254[[#This Row],[CUIT]],Lista_CUIT[#All],2,0)),"CUIT NO CARGADO")</f>
        <v>-</v>
      </c>
      <c r="H249" s="100"/>
      <c r="I249" s="101">
        <f>venta_a_mes1254[[#This Row],[IMPORTE NETO]]*0.21</f>
        <v>0</v>
      </c>
      <c r="J249" s="65"/>
      <c r="K249" s="65"/>
      <c r="L249" s="65">
        <f>SUM(venta_a_mes1254[[#This Row],[IMPORTE NETO]:[EXENTO]])</f>
        <v>0</v>
      </c>
      <c r="M249" s="59"/>
    </row>
    <row r="250" spans="2:13" x14ac:dyDescent="0.3">
      <c r="B250" s="40"/>
      <c r="C250" s="41"/>
      <c r="D250" s="42"/>
      <c r="E250" s="43"/>
      <c r="F250" s="44"/>
      <c r="G250" s="99" t="str">
        <f>IFERROR(IF(venta_a_mes1254[[#This Row],[CUIT]]="","-",VLOOKUP(venta_a_mes1254[[#This Row],[CUIT]],Lista_CUIT[#All],2,0)),"CUIT NO CARGADO")</f>
        <v>-</v>
      </c>
      <c r="H250" s="100"/>
      <c r="I250" s="101">
        <f>venta_a_mes1254[[#This Row],[IMPORTE NETO]]*0.21</f>
        <v>0</v>
      </c>
      <c r="J250" s="65"/>
      <c r="K250" s="65"/>
      <c r="L250" s="65">
        <f>SUM(venta_a_mes1254[[#This Row],[IMPORTE NETO]:[EXENTO]])</f>
        <v>0</v>
      </c>
      <c r="M250" s="59"/>
    </row>
    <row r="251" spans="2:13" x14ac:dyDescent="0.3">
      <c r="B251" s="40"/>
      <c r="C251" s="41"/>
      <c r="D251" s="42"/>
      <c r="E251" s="43"/>
      <c r="F251" s="44"/>
      <c r="G251" s="99" t="str">
        <f>IFERROR(IF(venta_a_mes1254[[#This Row],[CUIT]]="","-",VLOOKUP(venta_a_mes1254[[#This Row],[CUIT]],Lista_CUIT[#All],2,0)),"CUIT NO CARGADO")</f>
        <v>-</v>
      </c>
      <c r="H251" s="100"/>
      <c r="I251" s="101">
        <f>venta_a_mes1254[[#This Row],[IMPORTE NETO]]*0.21</f>
        <v>0</v>
      </c>
      <c r="J251" s="65"/>
      <c r="K251" s="65"/>
      <c r="L251" s="65">
        <f>SUM(venta_a_mes1254[[#This Row],[IMPORTE NETO]:[EXENTO]])</f>
        <v>0</v>
      </c>
      <c r="M251" s="59"/>
    </row>
    <row r="252" spans="2:13" x14ac:dyDescent="0.3">
      <c r="B252" s="40"/>
      <c r="C252" s="41"/>
      <c r="D252" s="42"/>
      <c r="E252" s="43"/>
      <c r="F252" s="44"/>
      <c r="G252" s="99" t="str">
        <f>IFERROR(IF(venta_a_mes1254[[#This Row],[CUIT]]="","-",VLOOKUP(venta_a_mes1254[[#This Row],[CUIT]],Lista_CUIT[#All],2,0)),"CUIT NO CARGADO")</f>
        <v>-</v>
      </c>
      <c r="H252" s="100"/>
      <c r="I252" s="101">
        <f>venta_a_mes1254[[#This Row],[IMPORTE NETO]]*0.21</f>
        <v>0</v>
      </c>
      <c r="J252" s="65"/>
      <c r="K252" s="65"/>
      <c r="L252" s="65">
        <f>SUM(venta_a_mes1254[[#This Row],[IMPORTE NETO]:[EXENTO]])</f>
        <v>0</v>
      </c>
      <c r="M252" s="59"/>
    </row>
    <row r="253" spans="2:13" x14ac:dyDescent="0.3">
      <c r="B253" s="40"/>
      <c r="C253" s="41"/>
      <c r="D253" s="42"/>
      <c r="E253" s="43"/>
      <c r="F253" s="44"/>
      <c r="G253" s="99" t="str">
        <f>IFERROR(IF(venta_a_mes1254[[#This Row],[CUIT]]="","-",VLOOKUP(venta_a_mes1254[[#This Row],[CUIT]],Lista_CUIT[#All],2,0)),"CUIT NO CARGADO")</f>
        <v>-</v>
      </c>
      <c r="H253" s="100"/>
      <c r="I253" s="101">
        <f>venta_a_mes1254[[#This Row],[IMPORTE NETO]]*0.21</f>
        <v>0</v>
      </c>
      <c r="J253" s="65"/>
      <c r="K253" s="65"/>
      <c r="L253" s="65">
        <f>SUM(venta_a_mes1254[[#This Row],[IMPORTE NETO]:[EXENTO]])</f>
        <v>0</v>
      </c>
      <c r="M253" s="63"/>
    </row>
    <row r="254" spans="2:13" x14ac:dyDescent="0.3">
      <c r="B254" s="102"/>
      <c r="C254" s="41"/>
      <c r="D254" s="104"/>
      <c r="E254" s="105"/>
      <c r="F254" s="106"/>
      <c r="G254" s="99" t="str">
        <f>IFERROR(IF(venta_a_mes1254[[#This Row],[CUIT]]="","-",VLOOKUP(venta_a_mes1254[[#This Row],[CUIT]],Lista_CUIT[#All],2,0)),"CUIT NO CARGADO")</f>
        <v>-</v>
      </c>
      <c r="H254" s="107"/>
      <c r="I254" s="108">
        <f>venta_a_mes1254[[#This Row],[IMPORTE NETO]]*0.21</f>
        <v>0</v>
      </c>
      <c r="J254" s="72"/>
      <c r="K254" s="72"/>
      <c r="L254" s="72">
        <f>SUM(venta_a_mes1254[[#This Row],[IMPORTE NETO]:[EXENTO]])</f>
        <v>0</v>
      </c>
      <c r="M254" s="63"/>
    </row>
    <row r="255" spans="2:13" x14ac:dyDescent="0.3">
      <c r="B255" s="109"/>
      <c r="C255" s="41"/>
      <c r="D255" s="111"/>
      <c r="E255" s="112"/>
      <c r="F255" s="113"/>
      <c r="G255" s="99" t="str">
        <f>IFERROR(IF(venta_a_mes1254[[#This Row],[CUIT]]="","-",VLOOKUP(venta_a_mes1254[[#This Row],[CUIT]],Lista_CUIT[#All],2,0)),"CUIT NO CARGADO")</f>
        <v>-</v>
      </c>
      <c r="H255" s="100"/>
      <c r="I255" s="101">
        <f>venta_a_mes1254[[#This Row],[IMPORTE NETO]]*0.21</f>
        <v>0</v>
      </c>
      <c r="J255" s="65"/>
      <c r="K255" s="65"/>
      <c r="L255" s="65">
        <f>SUM(venta_a_mes1254[[#This Row],[IMPORTE NETO]:[EXENTO]])</f>
        <v>0</v>
      </c>
      <c r="M255" s="59"/>
    </row>
    <row r="256" spans="2:13" x14ac:dyDescent="0.3">
      <c r="B256" s="102"/>
      <c r="C256" s="41"/>
      <c r="D256" s="104"/>
      <c r="E256" s="105"/>
      <c r="F256" s="106"/>
      <c r="G256" s="177" t="str">
        <f>IFERROR(IF(venta_a_mes1254[[#This Row],[CUIT]]="","-",VLOOKUP(venta_a_mes1254[[#This Row],[CUIT]],Lista_CUIT[#All],2,0)),"CUIT NO CARGADO")</f>
        <v>-</v>
      </c>
      <c r="H256" s="107"/>
      <c r="I256" s="108">
        <f>venta_a_mes1254[[#This Row],[IMPORTE NETO]]*0.21</f>
        <v>0</v>
      </c>
      <c r="J256" s="72"/>
      <c r="K256" s="72"/>
      <c r="L256" s="72">
        <f>SUM(venta_a_mes1254[[#This Row],[IMPORTE NETO]:[EXENTO]])</f>
        <v>0</v>
      </c>
      <c r="M256" s="63"/>
    </row>
    <row r="257" spans="2:13" x14ac:dyDescent="0.3">
      <c r="B257" s="102"/>
      <c r="C257" s="41"/>
      <c r="D257" s="104"/>
      <c r="E257" s="105"/>
      <c r="F257" s="106"/>
      <c r="G257" s="177" t="str">
        <f>IFERROR(IF(venta_a_mes1254[[#This Row],[CUIT]]="","-",VLOOKUP(venta_a_mes1254[[#This Row],[CUIT]],Lista_CUIT[#All],2,0)),"CUIT NO CARGADO")</f>
        <v>-</v>
      </c>
      <c r="H257" s="107"/>
      <c r="I257" s="108">
        <f>venta_a_mes1254[[#This Row],[IMPORTE NETO]]*0.21</f>
        <v>0</v>
      </c>
      <c r="J257" s="72"/>
      <c r="K257" s="72"/>
      <c r="L257" s="72">
        <f>SUM(venta_a_mes1254[[#This Row],[IMPORTE NETO]:[EXENTO]])</f>
        <v>0</v>
      </c>
      <c r="M257" s="63"/>
    </row>
    <row r="258" spans="2:13" x14ac:dyDescent="0.3">
      <c r="B258" s="109"/>
      <c r="C258" s="41"/>
      <c r="D258" s="111"/>
      <c r="E258" s="112"/>
      <c r="F258" s="113"/>
      <c r="G258" s="99" t="str">
        <f>IFERROR(IF(venta_a_mes1254[[#This Row],[CUIT]]="","-",VLOOKUP(venta_a_mes1254[[#This Row],[CUIT]],Lista_CUIT[#All],2,0)),"CUIT NO CARGADO")</f>
        <v>-</v>
      </c>
      <c r="H258" s="100"/>
      <c r="I258" s="101">
        <f>venta_a_mes1254[[#This Row],[IMPORTE NETO]]*0.21</f>
        <v>0</v>
      </c>
      <c r="J258" s="65"/>
      <c r="K258" s="65"/>
      <c r="L258" s="65">
        <f>SUM(venta_a_mes1254[[#This Row],[IMPORTE NETO]:[EXENTO]])</f>
        <v>0</v>
      </c>
      <c r="M258" s="59"/>
    </row>
    <row r="259" spans="2:13" x14ac:dyDescent="0.3">
      <c r="B259" s="109"/>
      <c r="C259" s="41"/>
      <c r="D259" s="111"/>
      <c r="E259" s="112"/>
      <c r="F259" s="113"/>
      <c r="G259" s="99" t="str">
        <f>IFERROR(IF(venta_a_mes1254[[#This Row],[CUIT]]="","-",VLOOKUP(venta_a_mes1254[[#This Row],[CUIT]],Lista_CUIT[#All],2,0)),"CUIT NO CARGADO")</f>
        <v>-</v>
      </c>
      <c r="H259" s="100"/>
      <c r="I259" s="101">
        <f>venta_a_mes1254[[#This Row],[IMPORTE NETO]]*0.21</f>
        <v>0</v>
      </c>
      <c r="J259" s="65"/>
      <c r="K259" s="65"/>
      <c r="L259" s="65">
        <f>SUM(venta_a_mes1254[[#This Row],[IMPORTE NETO]:[EXENTO]])</f>
        <v>0</v>
      </c>
      <c r="M259" s="59"/>
    </row>
    <row r="260" spans="2:13" x14ac:dyDescent="0.3">
      <c r="B260" s="109"/>
      <c r="C260" s="41"/>
      <c r="D260" s="111"/>
      <c r="E260" s="112"/>
      <c r="F260" s="113"/>
      <c r="G260" s="99" t="str">
        <f>IFERROR(IF(venta_a_mes1254[[#This Row],[CUIT]]="","-",VLOOKUP(venta_a_mes1254[[#This Row],[CUIT]],Lista_CUIT[#All],2,0)),"CUIT NO CARGADO")</f>
        <v>-</v>
      </c>
      <c r="H260" s="100"/>
      <c r="I260" s="101">
        <f>venta_a_mes1254[[#This Row],[IMPORTE NETO]]*0.21</f>
        <v>0</v>
      </c>
      <c r="J260" s="65"/>
      <c r="K260" s="65"/>
      <c r="L260" s="65">
        <f>SUM(venta_a_mes1254[[#This Row],[IMPORTE NETO]:[EXENTO]])</f>
        <v>0</v>
      </c>
      <c r="M260" s="59"/>
    </row>
    <row r="261" spans="2:13" x14ac:dyDescent="0.3">
      <c r="B261" s="109"/>
      <c r="C261" s="41"/>
      <c r="D261" s="111"/>
      <c r="E261" s="112"/>
      <c r="F261" s="113"/>
      <c r="G261" s="99" t="str">
        <f>IFERROR(IF(venta_a_mes1254[[#This Row],[CUIT]]="","-",VLOOKUP(venta_a_mes1254[[#This Row],[CUIT]],Lista_CUIT[#All],2,0)),"CUIT NO CARGADO")</f>
        <v>-</v>
      </c>
      <c r="H261" s="100"/>
      <c r="I261" s="101">
        <f>venta_a_mes1254[[#This Row],[IMPORTE NETO]]*0.21</f>
        <v>0</v>
      </c>
      <c r="J261" s="65"/>
      <c r="K261" s="65"/>
      <c r="L261" s="65">
        <f>SUM(venta_a_mes1254[[#This Row],[IMPORTE NETO]:[EXENTO]])</f>
        <v>0</v>
      </c>
      <c r="M261" s="59"/>
    </row>
    <row r="262" spans="2:13" x14ac:dyDescent="0.3">
      <c r="B262" s="109"/>
      <c r="C262" s="41"/>
      <c r="D262" s="111"/>
      <c r="E262" s="112"/>
      <c r="F262" s="113"/>
      <c r="G262" s="99" t="str">
        <f>IFERROR(IF(venta_a_mes1254[[#This Row],[CUIT]]="","-",VLOOKUP(venta_a_mes1254[[#This Row],[CUIT]],Lista_CUIT[#All],2,0)),"CUIT NO CARGADO")</f>
        <v>-</v>
      </c>
      <c r="H262" s="100"/>
      <c r="I262" s="101">
        <f>venta_a_mes1254[[#This Row],[IMPORTE NETO]]*0.21</f>
        <v>0</v>
      </c>
      <c r="J262" s="65"/>
      <c r="K262" s="65"/>
      <c r="L262" s="65">
        <f>SUM(venta_a_mes1254[[#This Row],[IMPORTE NETO]:[EXENTO]])</f>
        <v>0</v>
      </c>
      <c r="M262" s="59"/>
    </row>
    <row r="263" spans="2:13" x14ac:dyDescent="0.3">
      <c r="B263" s="109"/>
      <c r="C263" s="41"/>
      <c r="D263" s="111"/>
      <c r="E263" s="112"/>
      <c r="F263" s="113"/>
      <c r="G263" s="99" t="str">
        <f>IFERROR(IF(venta_a_mes1254[[#This Row],[CUIT]]="","-",VLOOKUP(venta_a_mes1254[[#This Row],[CUIT]],Lista_CUIT[#All],2,0)),"CUIT NO CARGADO")</f>
        <v>-</v>
      </c>
      <c r="H263" s="100"/>
      <c r="I263" s="101">
        <f>venta_a_mes1254[[#This Row],[IMPORTE NETO]]*0.21</f>
        <v>0</v>
      </c>
      <c r="J263" s="65"/>
      <c r="K263" s="65"/>
      <c r="L263" s="65">
        <f>SUM(venta_a_mes1254[[#This Row],[IMPORTE NETO]:[EXENTO]])</f>
        <v>0</v>
      </c>
      <c r="M263" s="59"/>
    </row>
    <row r="264" spans="2:13" x14ac:dyDescent="0.3">
      <c r="B264" s="109"/>
      <c r="C264" s="41"/>
      <c r="D264" s="111"/>
      <c r="E264" s="112"/>
      <c r="F264" s="113"/>
      <c r="G264" s="99" t="str">
        <f>IFERROR(IF(venta_a_mes1254[[#This Row],[CUIT]]="","-",VLOOKUP(venta_a_mes1254[[#This Row],[CUIT]],Lista_CUIT[#All],2,0)),"CUIT NO CARGADO")</f>
        <v>-</v>
      </c>
      <c r="H264" s="100"/>
      <c r="I264" s="101">
        <f>venta_a_mes1254[[#This Row],[IMPORTE NETO]]*0.21</f>
        <v>0</v>
      </c>
      <c r="J264" s="65"/>
      <c r="K264" s="65"/>
      <c r="L264" s="65">
        <f>SUM(venta_a_mes1254[[#This Row],[IMPORTE NETO]:[EXENTO]])</f>
        <v>0</v>
      </c>
      <c r="M264" s="59"/>
    </row>
    <row r="265" spans="2:13" x14ac:dyDescent="0.3">
      <c r="B265" s="109"/>
      <c r="C265" s="41"/>
      <c r="D265" s="111"/>
      <c r="E265" s="112"/>
      <c r="F265" s="113"/>
      <c r="G265" s="99" t="str">
        <f>IFERROR(IF(venta_a_mes1254[[#This Row],[CUIT]]="","-",VLOOKUP(venta_a_mes1254[[#This Row],[CUIT]],Lista_CUIT[#All],2,0)),"CUIT NO CARGADO")</f>
        <v>-</v>
      </c>
      <c r="H265" s="100"/>
      <c r="I265" s="101">
        <f>venta_a_mes1254[[#This Row],[IMPORTE NETO]]*0.21</f>
        <v>0</v>
      </c>
      <c r="J265" s="65"/>
      <c r="K265" s="65"/>
      <c r="L265" s="65">
        <f>SUM(venta_a_mes1254[[#This Row],[IMPORTE NETO]:[EXENTO]])</f>
        <v>0</v>
      </c>
      <c r="M265" s="59"/>
    </row>
    <row r="266" spans="2:13" x14ac:dyDescent="0.3">
      <c r="B266" s="109"/>
      <c r="C266" s="41"/>
      <c r="D266" s="111"/>
      <c r="E266" s="112"/>
      <c r="F266" s="113"/>
      <c r="G266" s="99" t="str">
        <f>IFERROR(IF(venta_a_mes1254[[#This Row],[CUIT]]="","-",VLOOKUP(venta_a_mes1254[[#This Row],[CUIT]],Lista_CUIT[#All],2,0)),"CUIT NO CARGADO")</f>
        <v>-</v>
      </c>
      <c r="H266" s="100"/>
      <c r="I266" s="101">
        <f>venta_a_mes1254[[#This Row],[IMPORTE NETO]]*0.21</f>
        <v>0</v>
      </c>
      <c r="J266" s="65"/>
      <c r="K266" s="65"/>
      <c r="L266" s="65">
        <f>SUM(venta_a_mes1254[[#This Row],[IMPORTE NETO]:[EXENTO]])</f>
        <v>0</v>
      </c>
      <c r="M266" s="59"/>
    </row>
    <row r="267" spans="2:13" x14ac:dyDescent="0.3">
      <c r="B267" s="109"/>
      <c r="C267" s="41"/>
      <c r="D267" s="111"/>
      <c r="E267" s="112"/>
      <c r="F267" s="113"/>
      <c r="G267" s="99" t="str">
        <f>IFERROR(IF(venta_a_mes1254[[#This Row],[CUIT]]="","-",VLOOKUP(venta_a_mes1254[[#This Row],[CUIT]],Lista_CUIT[#All],2,0)),"CUIT NO CARGADO")</f>
        <v>-</v>
      </c>
      <c r="H267" s="100"/>
      <c r="I267" s="101">
        <f>venta_a_mes1254[[#This Row],[IMPORTE NETO]]*0.21</f>
        <v>0</v>
      </c>
      <c r="J267" s="65"/>
      <c r="K267" s="65"/>
      <c r="L267" s="65">
        <f>SUM(venta_a_mes1254[[#This Row],[IMPORTE NETO]:[EXENTO]])</f>
        <v>0</v>
      </c>
      <c r="M267" s="59"/>
    </row>
    <row r="268" spans="2:13" x14ac:dyDescent="0.3">
      <c r="B268" s="109"/>
      <c r="C268" s="41"/>
      <c r="D268" s="111"/>
      <c r="E268" s="112"/>
      <c r="F268" s="113"/>
      <c r="G268" s="99" t="str">
        <f>IFERROR(IF(venta_a_mes1254[[#This Row],[CUIT]]="","-",VLOOKUP(venta_a_mes1254[[#This Row],[CUIT]],Lista_CUIT[#All],2,0)),"CUIT NO CARGADO")</f>
        <v>-</v>
      </c>
      <c r="H268" s="100"/>
      <c r="I268" s="101">
        <f>venta_a_mes1254[[#This Row],[IMPORTE NETO]]*0.21</f>
        <v>0</v>
      </c>
      <c r="J268" s="65"/>
      <c r="K268" s="65"/>
      <c r="L268" s="65">
        <f>SUM(venta_a_mes1254[[#This Row],[IMPORTE NETO]:[EXENTO]])</f>
        <v>0</v>
      </c>
      <c r="M268" s="59"/>
    </row>
    <row r="269" spans="2:13" x14ac:dyDescent="0.3">
      <c r="B269" s="109"/>
      <c r="C269" s="41"/>
      <c r="D269" s="111"/>
      <c r="E269" s="112"/>
      <c r="F269" s="113"/>
      <c r="G269" s="99" t="str">
        <f>IFERROR(IF(venta_a_mes1254[[#This Row],[CUIT]]="","-",VLOOKUP(venta_a_mes1254[[#This Row],[CUIT]],Lista_CUIT[#All],2,0)),"CUIT NO CARGADO")</f>
        <v>-</v>
      </c>
      <c r="H269" s="100"/>
      <c r="I269" s="101">
        <f>venta_a_mes1254[[#This Row],[IMPORTE NETO]]*0.21</f>
        <v>0</v>
      </c>
      <c r="J269" s="65"/>
      <c r="K269" s="65"/>
      <c r="L269" s="65">
        <f>SUM(venta_a_mes1254[[#This Row],[IMPORTE NETO]:[EXENTO]])</f>
        <v>0</v>
      </c>
      <c r="M269" s="59"/>
    </row>
    <row r="270" spans="2:13" x14ac:dyDescent="0.3">
      <c r="B270" s="109"/>
      <c r="C270" s="41"/>
      <c r="D270" s="111"/>
      <c r="E270" s="112"/>
      <c r="F270" s="113"/>
      <c r="G270" s="99" t="str">
        <f>IFERROR(IF(venta_a_mes1254[[#This Row],[CUIT]]="","-",VLOOKUP(venta_a_mes1254[[#This Row],[CUIT]],Lista_CUIT[#All],2,0)),"CUIT NO CARGADO")</f>
        <v>-</v>
      </c>
      <c r="H270" s="100"/>
      <c r="I270" s="101">
        <f>venta_a_mes1254[[#This Row],[IMPORTE NETO]]*0.21</f>
        <v>0</v>
      </c>
      <c r="J270" s="65"/>
      <c r="K270" s="65"/>
      <c r="L270" s="65">
        <f>SUM(venta_a_mes1254[[#This Row],[IMPORTE NETO]:[EXENTO]])</f>
        <v>0</v>
      </c>
      <c r="M270" s="59"/>
    </row>
    <row r="271" spans="2:13" x14ac:dyDescent="0.3">
      <c r="B271" s="109"/>
      <c r="C271" s="41"/>
      <c r="D271" s="111"/>
      <c r="E271" s="112"/>
      <c r="F271" s="113"/>
      <c r="G271" s="99" t="str">
        <f>IFERROR(IF(venta_a_mes1254[[#This Row],[CUIT]]="","-",VLOOKUP(venta_a_mes1254[[#This Row],[CUIT]],Lista_CUIT[#All],2,0)),"CUIT NO CARGADO")</f>
        <v>-</v>
      </c>
      <c r="H271" s="100"/>
      <c r="I271" s="101">
        <f>venta_a_mes1254[[#This Row],[IMPORTE NETO]]*0.21</f>
        <v>0</v>
      </c>
      <c r="J271" s="65"/>
      <c r="K271" s="65"/>
      <c r="L271" s="65">
        <f>SUM(venta_a_mes1254[[#This Row],[IMPORTE NETO]:[EXENTO]])</f>
        <v>0</v>
      </c>
      <c r="M271" s="59"/>
    </row>
    <row r="272" spans="2:13" x14ac:dyDescent="0.3">
      <c r="B272" s="109"/>
      <c r="C272" s="41"/>
      <c r="D272" s="111"/>
      <c r="E272" s="112"/>
      <c r="F272" s="113"/>
      <c r="G272" s="99" t="str">
        <f>IFERROR(IF(venta_a_mes1254[[#This Row],[CUIT]]="","-",VLOOKUP(venta_a_mes1254[[#This Row],[CUIT]],Lista_CUIT[#All],2,0)),"CUIT NO CARGADO")</f>
        <v>-</v>
      </c>
      <c r="H272" s="100"/>
      <c r="I272" s="101">
        <f>venta_a_mes1254[[#This Row],[IMPORTE NETO]]*0.21</f>
        <v>0</v>
      </c>
      <c r="J272" s="65"/>
      <c r="K272" s="65"/>
      <c r="L272" s="65">
        <f>SUM(venta_a_mes1254[[#This Row],[IMPORTE NETO]:[EXENTO]])</f>
        <v>0</v>
      </c>
      <c r="M272" s="59"/>
    </row>
    <row r="273" spans="2:13" x14ac:dyDescent="0.3">
      <c r="B273" s="109"/>
      <c r="C273" s="41"/>
      <c r="D273" s="111"/>
      <c r="E273" s="112"/>
      <c r="F273" s="113"/>
      <c r="G273" s="99" t="str">
        <f>IFERROR(IF(venta_a_mes1254[[#This Row],[CUIT]]="","-",VLOOKUP(venta_a_mes1254[[#This Row],[CUIT]],Lista_CUIT[#All],2,0)),"CUIT NO CARGADO")</f>
        <v>-</v>
      </c>
      <c r="H273" s="100"/>
      <c r="I273" s="101">
        <f>venta_a_mes1254[[#This Row],[IMPORTE NETO]]*0.21</f>
        <v>0</v>
      </c>
      <c r="J273" s="65"/>
      <c r="K273" s="65"/>
      <c r="L273" s="65">
        <f>SUM(venta_a_mes1254[[#This Row],[IMPORTE NETO]:[EXENTO]])</f>
        <v>0</v>
      </c>
      <c r="M273" s="59"/>
    </row>
    <row r="274" spans="2:13" x14ac:dyDescent="0.3">
      <c r="B274" s="109"/>
      <c r="C274" s="41"/>
      <c r="D274" s="111"/>
      <c r="E274" s="112"/>
      <c r="F274" s="113"/>
      <c r="G274" s="99" t="str">
        <f>IFERROR(IF(venta_a_mes1254[[#This Row],[CUIT]]="","-",VLOOKUP(venta_a_mes1254[[#This Row],[CUIT]],Lista_CUIT[#All],2,0)),"CUIT NO CARGADO")</f>
        <v>-</v>
      </c>
      <c r="H274" s="100"/>
      <c r="I274" s="101">
        <f>venta_a_mes1254[[#This Row],[IMPORTE NETO]]*0.21</f>
        <v>0</v>
      </c>
      <c r="J274" s="65"/>
      <c r="K274" s="65"/>
      <c r="L274" s="65">
        <f>SUM(venta_a_mes1254[[#This Row],[IMPORTE NETO]:[EXENTO]])</f>
        <v>0</v>
      </c>
      <c r="M274" s="59"/>
    </row>
    <row r="275" spans="2:13" x14ac:dyDescent="0.3">
      <c r="B275" s="109"/>
      <c r="C275" s="41"/>
      <c r="D275" s="111"/>
      <c r="E275" s="112"/>
      <c r="F275" s="113"/>
      <c r="G275" s="99" t="str">
        <f>IFERROR(IF(venta_a_mes1254[[#This Row],[CUIT]]="","-",VLOOKUP(venta_a_mes1254[[#This Row],[CUIT]],Lista_CUIT[#All],2,0)),"CUIT NO CARGADO")</f>
        <v>-</v>
      </c>
      <c r="H275" s="100"/>
      <c r="I275" s="101">
        <f>venta_a_mes1254[[#This Row],[IMPORTE NETO]]*0.21</f>
        <v>0</v>
      </c>
      <c r="J275" s="65"/>
      <c r="K275" s="65"/>
      <c r="L275" s="65">
        <f>SUM(venta_a_mes1254[[#This Row],[IMPORTE NETO]:[EXENTO]])</f>
        <v>0</v>
      </c>
      <c r="M275" s="59"/>
    </row>
    <row r="276" spans="2:13" x14ac:dyDescent="0.3">
      <c r="B276" s="109"/>
      <c r="C276" s="41"/>
      <c r="D276" s="111"/>
      <c r="E276" s="112"/>
      <c r="F276" s="113"/>
      <c r="G276" s="99" t="str">
        <f>IFERROR(IF(venta_a_mes1254[[#This Row],[CUIT]]="","-",VLOOKUP(venta_a_mes1254[[#This Row],[CUIT]],Lista_CUIT[#All],2,0)),"CUIT NO CARGADO")</f>
        <v>-</v>
      </c>
      <c r="H276" s="100"/>
      <c r="I276" s="101">
        <f>venta_a_mes1254[[#This Row],[IMPORTE NETO]]*0.21</f>
        <v>0</v>
      </c>
      <c r="J276" s="65"/>
      <c r="K276" s="65"/>
      <c r="L276" s="65">
        <f>SUM(venta_a_mes1254[[#This Row],[IMPORTE NETO]:[EXENTO]])</f>
        <v>0</v>
      </c>
      <c r="M276" s="59"/>
    </row>
    <row r="277" spans="2:13" x14ac:dyDescent="0.3">
      <c r="B277" s="109"/>
      <c r="C277" s="41"/>
      <c r="D277" s="111"/>
      <c r="E277" s="112"/>
      <c r="F277" s="113"/>
      <c r="G277" s="99" t="str">
        <f>IFERROR(IF(venta_a_mes1254[[#This Row],[CUIT]]="","-",VLOOKUP(venta_a_mes1254[[#This Row],[CUIT]],Lista_CUIT[#All],2,0)),"CUIT NO CARGADO")</f>
        <v>-</v>
      </c>
      <c r="H277" s="100"/>
      <c r="I277" s="101">
        <f>venta_a_mes1254[[#This Row],[IMPORTE NETO]]*0.21</f>
        <v>0</v>
      </c>
      <c r="J277" s="65"/>
      <c r="K277" s="65"/>
      <c r="L277" s="65">
        <f>SUM(venta_a_mes1254[[#This Row],[IMPORTE NETO]:[EXENTO]])</f>
        <v>0</v>
      </c>
      <c r="M277" s="59"/>
    </row>
    <row r="278" spans="2:13" x14ac:dyDescent="0.3">
      <c r="B278" s="109"/>
      <c r="C278" s="41"/>
      <c r="D278" s="111"/>
      <c r="E278" s="112"/>
      <c r="F278" s="113"/>
      <c r="G278" s="99" t="str">
        <f>IFERROR(IF(venta_a_mes1254[[#This Row],[CUIT]]="","-",VLOOKUP(venta_a_mes1254[[#This Row],[CUIT]],Lista_CUIT[#All],2,0)),"CUIT NO CARGADO")</f>
        <v>-</v>
      </c>
      <c r="H278" s="100"/>
      <c r="I278" s="101">
        <f>venta_a_mes1254[[#This Row],[IMPORTE NETO]]*0.21</f>
        <v>0</v>
      </c>
      <c r="J278" s="65"/>
      <c r="K278" s="65"/>
      <c r="L278" s="65">
        <f>SUM(venta_a_mes1254[[#This Row],[IMPORTE NETO]:[EXENTO]])</f>
        <v>0</v>
      </c>
      <c r="M278" s="59"/>
    </row>
    <row r="279" spans="2:13" x14ac:dyDescent="0.3">
      <c r="B279" s="109"/>
      <c r="C279" s="41"/>
      <c r="D279" s="111"/>
      <c r="E279" s="112"/>
      <c r="F279" s="113"/>
      <c r="G279" s="99" t="str">
        <f>IFERROR(IF(venta_a_mes1254[[#This Row],[CUIT]]="","-",VLOOKUP(venta_a_mes1254[[#This Row],[CUIT]],Lista_CUIT[#All],2,0)),"CUIT NO CARGADO")</f>
        <v>-</v>
      </c>
      <c r="H279" s="100"/>
      <c r="I279" s="101">
        <f>venta_a_mes1254[[#This Row],[IMPORTE NETO]]*0.21</f>
        <v>0</v>
      </c>
      <c r="J279" s="65"/>
      <c r="K279" s="65"/>
      <c r="L279" s="65">
        <f>SUM(venta_a_mes1254[[#This Row],[IMPORTE NETO]:[EXENTO]])</f>
        <v>0</v>
      </c>
      <c r="M279" s="59"/>
    </row>
    <row r="280" spans="2:13" x14ac:dyDescent="0.3">
      <c r="B280" s="109"/>
      <c r="C280" s="41"/>
      <c r="D280" s="111"/>
      <c r="E280" s="112"/>
      <c r="F280" s="113"/>
      <c r="G280" s="99" t="str">
        <f>IFERROR(IF(venta_a_mes1254[[#This Row],[CUIT]]="","-",VLOOKUP(venta_a_mes1254[[#This Row],[CUIT]],Lista_CUIT[#All],2,0)),"CUIT NO CARGADO")</f>
        <v>-</v>
      </c>
      <c r="H280" s="100"/>
      <c r="I280" s="101">
        <f>venta_a_mes1254[[#This Row],[IMPORTE NETO]]*0.21</f>
        <v>0</v>
      </c>
      <c r="J280" s="65"/>
      <c r="K280" s="65"/>
      <c r="L280" s="65">
        <f>SUM(venta_a_mes1254[[#This Row],[IMPORTE NETO]:[EXENTO]])</f>
        <v>0</v>
      </c>
      <c r="M280" s="59"/>
    </row>
    <row r="281" spans="2:13" x14ac:dyDescent="0.3">
      <c r="B281" s="109"/>
      <c r="C281" s="41"/>
      <c r="D281" s="111"/>
      <c r="E281" s="112"/>
      <c r="F281" s="113"/>
      <c r="G281" s="99" t="str">
        <f>IFERROR(IF(venta_a_mes1254[[#This Row],[CUIT]]="","-",VLOOKUP(venta_a_mes1254[[#This Row],[CUIT]],Lista_CUIT[#All],2,0)),"CUIT NO CARGADO")</f>
        <v>-</v>
      </c>
      <c r="H281" s="100"/>
      <c r="I281" s="101">
        <f>venta_a_mes1254[[#This Row],[IMPORTE NETO]]*0.21</f>
        <v>0</v>
      </c>
      <c r="J281" s="65"/>
      <c r="K281" s="65"/>
      <c r="L281" s="65">
        <f>SUM(venta_a_mes1254[[#This Row],[IMPORTE NETO]:[EXENTO]])</f>
        <v>0</v>
      </c>
      <c r="M281" s="59"/>
    </row>
    <row r="282" spans="2:13" x14ac:dyDescent="0.3">
      <c r="B282" s="109"/>
      <c r="C282" s="41"/>
      <c r="D282" s="111"/>
      <c r="E282" s="112"/>
      <c r="F282" s="113"/>
      <c r="G282" s="99" t="str">
        <f>IFERROR(IF(venta_a_mes1254[[#This Row],[CUIT]]="","-",VLOOKUP(venta_a_mes1254[[#This Row],[CUIT]],Lista_CUIT[#All],2,0)),"CUIT NO CARGADO")</f>
        <v>-</v>
      </c>
      <c r="H282" s="100"/>
      <c r="I282" s="101">
        <f>venta_a_mes1254[[#This Row],[IMPORTE NETO]]*0.21</f>
        <v>0</v>
      </c>
      <c r="J282" s="65"/>
      <c r="K282" s="65"/>
      <c r="L282" s="65">
        <f>SUM(venta_a_mes1254[[#This Row],[IMPORTE NETO]:[EXENTO]])</f>
        <v>0</v>
      </c>
      <c r="M282" s="59"/>
    </row>
    <row r="283" spans="2:13" x14ac:dyDescent="0.3">
      <c r="B283" s="109"/>
      <c r="C283" s="41"/>
      <c r="D283" s="111"/>
      <c r="E283" s="112"/>
      <c r="F283" s="113"/>
      <c r="G283" s="99" t="str">
        <f>IFERROR(IF(venta_a_mes1254[[#This Row],[CUIT]]="","-",VLOOKUP(venta_a_mes1254[[#This Row],[CUIT]],Lista_CUIT[#All],2,0)),"CUIT NO CARGADO")</f>
        <v>-</v>
      </c>
      <c r="H283" s="100"/>
      <c r="I283" s="101">
        <f>venta_a_mes1254[[#This Row],[IMPORTE NETO]]*0.21</f>
        <v>0</v>
      </c>
      <c r="J283" s="65"/>
      <c r="K283" s="65"/>
      <c r="L283" s="65">
        <f>SUM(venta_a_mes1254[[#This Row],[IMPORTE NETO]:[EXENTO]])</f>
        <v>0</v>
      </c>
      <c r="M283" s="59"/>
    </row>
    <row r="284" spans="2:13" x14ac:dyDescent="0.3">
      <c r="B284" s="109"/>
      <c r="C284" s="41"/>
      <c r="D284" s="111"/>
      <c r="E284" s="112"/>
      <c r="F284" s="113"/>
      <c r="G284" s="99" t="str">
        <f>IFERROR(IF(venta_a_mes1254[[#This Row],[CUIT]]="","-",VLOOKUP(venta_a_mes1254[[#This Row],[CUIT]],Lista_CUIT[#All],2,0)),"CUIT NO CARGADO")</f>
        <v>-</v>
      </c>
      <c r="H284" s="100"/>
      <c r="I284" s="101">
        <f>venta_a_mes1254[[#This Row],[IMPORTE NETO]]*0.21</f>
        <v>0</v>
      </c>
      <c r="J284" s="65"/>
      <c r="K284" s="65"/>
      <c r="L284" s="65">
        <f>SUM(venta_a_mes1254[[#This Row],[IMPORTE NETO]:[EXENTO]])</f>
        <v>0</v>
      </c>
      <c r="M284" s="59"/>
    </row>
    <row r="285" spans="2:13" x14ac:dyDescent="0.3">
      <c r="B285" s="109"/>
      <c r="C285" s="41"/>
      <c r="D285" s="111"/>
      <c r="E285" s="112"/>
      <c r="F285" s="113"/>
      <c r="G285" s="99" t="str">
        <f>IFERROR(IF(venta_a_mes1254[[#This Row],[CUIT]]="","-",VLOOKUP(venta_a_mes1254[[#This Row],[CUIT]],Lista_CUIT[#All],2,0)),"CUIT NO CARGADO")</f>
        <v>-</v>
      </c>
      <c r="H285" s="100"/>
      <c r="I285" s="101">
        <f>venta_a_mes1254[[#This Row],[IMPORTE NETO]]*0.21</f>
        <v>0</v>
      </c>
      <c r="J285" s="65"/>
      <c r="K285" s="65"/>
      <c r="L285" s="65">
        <f>SUM(venta_a_mes1254[[#This Row],[IMPORTE NETO]:[EXENTO]])</f>
        <v>0</v>
      </c>
      <c r="M285" s="59"/>
    </row>
    <row r="286" spans="2:13" x14ac:dyDescent="0.3">
      <c r="B286" s="109"/>
      <c r="C286" s="41"/>
      <c r="D286" s="111"/>
      <c r="E286" s="112"/>
      <c r="F286" s="113"/>
      <c r="G286" s="99" t="str">
        <f>IFERROR(IF(venta_a_mes1254[[#This Row],[CUIT]]="","-",VLOOKUP(venta_a_mes1254[[#This Row],[CUIT]],Lista_CUIT[#All],2,0)),"CUIT NO CARGADO")</f>
        <v>-</v>
      </c>
      <c r="H286" s="100"/>
      <c r="I286" s="101">
        <f>venta_a_mes1254[[#This Row],[IMPORTE NETO]]*0.21</f>
        <v>0</v>
      </c>
      <c r="J286" s="65"/>
      <c r="K286" s="65"/>
      <c r="L286" s="65">
        <f>SUM(venta_a_mes1254[[#This Row],[IMPORTE NETO]:[EXENTO]])</f>
        <v>0</v>
      </c>
      <c r="M286" s="59"/>
    </row>
    <row r="287" spans="2:13" x14ac:dyDescent="0.3">
      <c r="B287" s="109"/>
      <c r="C287" s="41"/>
      <c r="D287" s="111"/>
      <c r="E287" s="112"/>
      <c r="F287" s="113"/>
      <c r="G287" s="99" t="str">
        <f>IFERROR(IF(venta_a_mes1254[[#This Row],[CUIT]]="","-",VLOOKUP(venta_a_mes1254[[#This Row],[CUIT]],Lista_CUIT[#All],2,0)),"CUIT NO CARGADO")</f>
        <v>-</v>
      </c>
      <c r="H287" s="100"/>
      <c r="I287" s="101">
        <f>venta_a_mes1254[[#This Row],[IMPORTE NETO]]*0.21</f>
        <v>0</v>
      </c>
      <c r="J287" s="65"/>
      <c r="K287" s="65"/>
      <c r="L287" s="65">
        <f>SUM(venta_a_mes1254[[#This Row],[IMPORTE NETO]:[EXENTO]])</f>
        <v>0</v>
      </c>
      <c r="M287" s="59"/>
    </row>
    <row r="288" spans="2:13" x14ac:dyDescent="0.3">
      <c r="B288" s="109"/>
      <c r="C288" s="41"/>
      <c r="D288" s="111"/>
      <c r="E288" s="112"/>
      <c r="F288" s="113"/>
      <c r="G288" s="99" t="str">
        <f>IFERROR(IF(venta_a_mes1254[[#This Row],[CUIT]]="","-",VLOOKUP(venta_a_mes1254[[#This Row],[CUIT]],Lista_CUIT[#All],2,0)),"CUIT NO CARGADO")</f>
        <v>-</v>
      </c>
      <c r="H288" s="100"/>
      <c r="I288" s="101">
        <f>venta_a_mes1254[[#This Row],[IMPORTE NETO]]*0.21</f>
        <v>0</v>
      </c>
      <c r="J288" s="65"/>
      <c r="K288" s="65"/>
      <c r="L288" s="65">
        <f>SUM(venta_a_mes1254[[#This Row],[IMPORTE NETO]:[EXENTO]])</f>
        <v>0</v>
      </c>
      <c r="M288" s="59"/>
    </row>
    <row r="289" spans="2:13" x14ac:dyDescent="0.3">
      <c r="B289" s="109"/>
      <c r="C289" s="41"/>
      <c r="D289" s="111"/>
      <c r="E289" s="112"/>
      <c r="F289" s="113"/>
      <c r="G289" s="99" t="str">
        <f>IFERROR(IF(venta_a_mes1254[[#This Row],[CUIT]]="","-",VLOOKUP(venta_a_mes1254[[#This Row],[CUIT]],Lista_CUIT[#All],2,0)),"CUIT NO CARGADO")</f>
        <v>-</v>
      </c>
      <c r="H289" s="100"/>
      <c r="I289" s="101">
        <f>venta_a_mes1254[[#This Row],[IMPORTE NETO]]*0.21</f>
        <v>0</v>
      </c>
      <c r="J289" s="65"/>
      <c r="K289" s="65"/>
      <c r="L289" s="65">
        <f>SUM(venta_a_mes1254[[#This Row],[IMPORTE NETO]:[EXENTO]])</f>
        <v>0</v>
      </c>
      <c r="M289" s="59"/>
    </row>
    <row r="290" spans="2:13" x14ac:dyDescent="0.3">
      <c r="B290" s="109"/>
      <c r="C290" s="41"/>
      <c r="D290" s="111"/>
      <c r="E290" s="112"/>
      <c r="F290" s="113"/>
      <c r="G290" s="99" t="str">
        <f>IFERROR(IF(venta_a_mes1254[[#This Row],[CUIT]]="","-",VLOOKUP(venta_a_mes1254[[#This Row],[CUIT]],Lista_CUIT[#All],2,0)),"CUIT NO CARGADO")</f>
        <v>-</v>
      </c>
      <c r="H290" s="100"/>
      <c r="I290" s="101">
        <f>venta_a_mes1254[[#This Row],[IMPORTE NETO]]*0.21</f>
        <v>0</v>
      </c>
      <c r="J290" s="65"/>
      <c r="K290" s="65"/>
      <c r="L290" s="65">
        <f>SUM(venta_a_mes1254[[#This Row],[IMPORTE NETO]:[EXENTO]])</f>
        <v>0</v>
      </c>
      <c r="M290" s="59"/>
    </row>
    <row r="291" spans="2:13" x14ac:dyDescent="0.3">
      <c r="B291" s="109"/>
      <c r="C291" s="41"/>
      <c r="D291" s="111"/>
      <c r="E291" s="112"/>
      <c r="F291" s="113"/>
      <c r="G291" s="99" t="str">
        <f>IFERROR(IF(venta_a_mes1254[[#This Row],[CUIT]]="","-",VLOOKUP(venta_a_mes1254[[#This Row],[CUIT]],Lista_CUIT[#All],2,0)),"CUIT NO CARGADO")</f>
        <v>-</v>
      </c>
      <c r="H291" s="100"/>
      <c r="I291" s="101">
        <f>venta_a_mes1254[[#This Row],[IMPORTE NETO]]*0.21</f>
        <v>0</v>
      </c>
      <c r="J291" s="65"/>
      <c r="K291" s="65"/>
      <c r="L291" s="65">
        <f>SUM(venta_a_mes1254[[#This Row],[IMPORTE NETO]:[EXENTO]])</f>
        <v>0</v>
      </c>
      <c r="M291" s="59"/>
    </row>
    <row r="292" spans="2:13" x14ac:dyDescent="0.3">
      <c r="B292" s="109"/>
      <c r="C292" s="41"/>
      <c r="D292" s="111"/>
      <c r="E292" s="112"/>
      <c r="F292" s="113"/>
      <c r="G292" s="99" t="str">
        <f>IFERROR(IF(venta_a_mes1254[[#This Row],[CUIT]]="","-",VLOOKUP(venta_a_mes1254[[#This Row],[CUIT]],Lista_CUIT[#All],2,0)),"CUIT NO CARGADO")</f>
        <v>-</v>
      </c>
      <c r="H292" s="100"/>
      <c r="I292" s="101">
        <f>venta_a_mes1254[[#This Row],[IMPORTE NETO]]*0.21</f>
        <v>0</v>
      </c>
      <c r="J292" s="65"/>
      <c r="K292" s="65"/>
      <c r="L292" s="65">
        <f>SUM(venta_a_mes1254[[#This Row],[IMPORTE NETO]:[EXENTO]])</f>
        <v>0</v>
      </c>
      <c r="M292" s="59"/>
    </row>
    <row r="293" spans="2:13" x14ac:dyDescent="0.3">
      <c r="B293" s="109"/>
      <c r="C293" s="41"/>
      <c r="D293" s="111"/>
      <c r="E293" s="112"/>
      <c r="F293" s="113"/>
      <c r="G293" s="99" t="str">
        <f>IFERROR(IF(venta_a_mes1254[[#This Row],[CUIT]]="","-",VLOOKUP(venta_a_mes1254[[#This Row],[CUIT]],Lista_CUIT[#All],2,0)),"CUIT NO CARGADO")</f>
        <v>-</v>
      </c>
      <c r="H293" s="100"/>
      <c r="I293" s="101">
        <f>venta_a_mes1254[[#This Row],[IMPORTE NETO]]*0.21</f>
        <v>0</v>
      </c>
      <c r="J293" s="65"/>
      <c r="K293" s="65"/>
      <c r="L293" s="65">
        <f>SUM(venta_a_mes1254[[#This Row],[IMPORTE NETO]:[EXENTO]])</f>
        <v>0</v>
      </c>
      <c r="M293" s="59"/>
    </row>
    <row r="294" spans="2:13" x14ac:dyDescent="0.3">
      <c r="B294" s="109"/>
      <c r="C294" s="41"/>
      <c r="D294" s="111"/>
      <c r="E294" s="112"/>
      <c r="F294" s="113"/>
      <c r="G294" s="99" t="str">
        <f>IFERROR(IF(venta_a_mes1254[[#This Row],[CUIT]]="","-",VLOOKUP(venta_a_mes1254[[#This Row],[CUIT]],Lista_CUIT[#All],2,0)),"CUIT NO CARGADO")</f>
        <v>-</v>
      </c>
      <c r="H294" s="100"/>
      <c r="I294" s="101">
        <f>venta_a_mes1254[[#This Row],[IMPORTE NETO]]*0.21</f>
        <v>0</v>
      </c>
      <c r="J294" s="65"/>
      <c r="K294" s="65"/>
      <c r="L294" s="65">
        <f>SUM(venta_a_mes1254[[#This Row],[IMPORTE NETO]:[EXENTO]])</f>
        <v>0</v>
      </c>
      <c r="M294" s="59"/>
    </row>
    <row r="295" spans="2:13" x14ac:dyDescent="0.3">
      <c r="B295" s="109"/>
      <c r="C295" s="41"/>
      <c r="D295" s="111"/>
      <c r="E295" s="112"/>
      <c r="F295" s="113"/>
      <c r="G295" s="99" t="str">
        <f>IFERROR(IF(venta_a_mes1254[[#This Row],[CUIT]]="","-",VLOOKUP(venta_a_mes1254[[#This Row],[CUIT]],Lista_CUIT[#All],2,0)),"CUIT NO CARGADO")</f>
        <v>-</v>
      </c>
      <c r="H295" s="100"/>
      <c r="I295" s="101">
        <f>venta_a_mes1254[[#This Row],[IMPORTE NETO]]*0.21</f>
        <v>0</v>
      </c>
      <c r="J295" s="65"/>
      <c r="K295" s="65"/>
      <c r="L295" s="65">
        <f>SUM(venta_a_mes1254[[#This Row],[IMPORTE NETO]:[EXENTO]])</f>
        <v>0</v>
      </c>
      <c r="M295" s="59"/>
    </row>
    <row r="296" spans="2:13" x14ac:dyDescent="0.3">
      <c r="B296" s="109"/>
      <c r="C296" s="41"/>
      <c r="D296" s="111"/>
      <c r="E296" s="112"/>
      <c r="F296" s="113"/>
      <c r="G296" s="99" t="str">
        <f>IFERROR(IF(venta_a_mes1254[[#This Row],[CUIT]]="","-",VLOOKUP(venta_a_mes1254[[#This Row],[CUIT]],Lista_CUIT[#All],2,0)),"CUIT NO CARGADO")</f>
        <v>-</v>
      </c>
      <c r="H296" s="100"/>
      <c r="I296" s="101">
        <f>venta_a_mes1254[[#This Row],[IMPORTE NETO]]*0.21</f>
        <v>0</v>
      </c>
      <c r="J296" s="65"/>
      <c r="K296" s="65"/>
      <c r="L296" s="65">
        <f>SUM(venta_a_mes1254[[#This Row],[IMPORTE NETO]:[EXENTO]])</f>
        <v>0</v>
      </c>
      <c r="M296" s="59"/>
    </row>
    <row r="297" spans="2:13" x14ac:dyDescent="0.3">
      <c r="B297" s="109"/>
      <c r="C297" s="41"/>
      <c r="D297" s="111"/>
      <c r="E297" s="112"/>
      <c r="F297" s="113"/>
      <c r="G297" s="99" t="str">
        <f>IFERROR(IF(venta_a_mes1254[[#This Row],[CUIT]]="","-",VLOOKUP(venta_a_mes1254[[#This Row],[CUIT]],Lista_CUIT[#All],2,0)),"CUIT NO CARGADO")</f>
        <v>-</v>
      </c>
      <c r="H297" s="100"/>
      <c r="I297" s="101">
        <f>venta_a_mes1254[[#This Row],[IMPORTE NETO]]*0.21</f>
        <v>0</v>
      </c>
      <c r="J297" s="65"/>
      <c r="K297" s="65"/>
      <c r="L297" s="65">
        <f>SUM(venta_a_mes1254[[#This Row],[IMPORTE NETO]:[EXENTO]])</f>
        <v>0</v>
      </c>
      <c r="M297" s="59"/>
    </row>
    <row r="298" spans="2:13" x14ac:dyDescent="0.3">
      <c r="B298" s="109"/>
      <c r="C298" s="41"/>
      <c r="D298" s="111"/>
      <c r="E298" s="112"/>
      <c r="F298" s="113"/>
      <c r="G298" s="99" t="str">
        <f>IFERROR(IF(venta_a_mes1254[[#This Row],[CUIT]]="","-",VLOOKUP(venta_a_mes1254[[#This Row],[CUIT]],Lista_CUIT[#All],2,0)),"CUIT NO CARGADO")</f>
        <v>-</v>
      </c>
      <c r="H298" s="100"/>
      <c r="I298" s="101">
        <f>venta_a_mes1254[[#This Row],[IMPORTE NETO]]*0.21</f>
        <v>0</v>
      </c>
      <c r="J298" s="65"/>
      <c r="K298" s="65"/>
      <c r="L298" s="65">
        <f>SUM(venta_a_mes1254[[#This Row],[IMPORTE NETO]:[EXENTO]])</f>
        <v>0</v>
      </c>
      <c r="M298" s="59"/>
    </row>
    <row r="299" spans="2:13" x14ac:dyDescent="0.3">
      <c r="B299" s="109"/>
      <c r="C299" s="41"/>
      <c r="D299" s="111"/>
      <c r="E299" s="112"/>
      <c r="F299" s="113"/>
      <c r="G299" s="99" t="str">
        <f>IFERROR(IF(venta_a_mes1254[[#This Row],[CUIT]]="","-",VLOOKUP(venta_a_mes1254[[#This Row],[CUIT]],Lista_CUIT[#All],2,0)),"CUIT NO CARGADO")</f>
        <v>-</v>
      </c>
      <c r="H299" s="100"/>
      <c r="I299" s="101">
        <f>venta_a_mes1254[[#This Row],[IMPORTE NETO]]*0.21</f>
        <v>0</v>
      </c>
      <c r="J299" s="65"/>
      <c r="K299" s="65"/>
      <c r="L299" s="65">
        <f>SUM(venta_a_mes1254[[#This Row],[IMPORTE NETO]:[EXENTO]])</f>
        <v>0</v>
      </c>
      <c r="M299" s="59"/>
    </row>
    <row r="300" spans="2:13" x14ac:dyDescent="0.3">
      <c r="B300" s="109"/>
      <c r="C300" s="41"/>
      <c r="D300" s="111"/>
      <c r="E300" s="112"/>
      <c r="F300" s="113"/>
      <c r="G300" s="99" t="str">
        <f>IFERROR(IF(venta_a_mes1254[[#This Row],[CUIT]]="","-",VLOOKUP(venta_a_mes1254[[#This Row],[CUIT]],Lista_CUIT[#All],2,0)),"CUIT NO CARGADO")</f>
        <v>-</v>
      </c>
      <c r="H300" s="100"/>
      <c r="I300" s="101">
        <f>venta_a_mes1254[[#This Row],[IMPORTE NETO]]*0.21</f>
        <v>0</v>
      </c>
      <c r="J300" s="65"/>
      <c r="K300" s="65"/>
      <c r="L300" s="65">
        <f>SUM(venta_a_mes1254[[#This Row],[IMPORTE NETO]:[EXENTO]])</f>
        <v>0</v>
      </c>
      <c r="M300" s="59"/>
    </row>
    <row r="301" spans="2:13" x14ac:dyDescent="0.3">
      <c r="B301" s="109"/>
      <c r="C301" s="41"/>
      <c r="D301" s="111"/>
      <c r="E301" s="112"/>
      <c r="F301" s="113"/>
      <c r="G301" s="99" t="str">
        <f>IFERROR(IF(venta_a_mes1254[[#This Row],[CUIT]]="","-",VLOOKUP(venta_a_mes1254[[#This Row],[CUIT]],Lista_CUIT[#All],2,0)),"CUIT NO CARGADO")</f>
        <v>-</v>
      </c>
      <c r="H301" s="100"/>
      <c r="I301" s="101">
        <f>venta_a_mes1254[[#This Row],[IMPORTE NETO]]*0.21</f>
        <v>0</v>
      </c>
      <c r="J301" s="65"/>
      <c r="K301" s="65"/>
      <c r="L301" s="65">
        <f>SUM(venta_a_mes1254[[#This Row],[IMPORTE NETO]:[EXENTO]])</f>
        <v>0</v>
      </c>
      <c r="M301" s="59"/>
    </row>
    <row r="302" spans="2:13" x14ac:dyDescent="0.3">
      <c r="B302" s="109"/>
      <c r="C302" s="41"/>
      <c r="D302" s="111"/>
      <c r="E302" s="112"/>
      <c r="F302" s="113"/>
      <c r="G302" s="99" t="str">
        <f>IFERROR(IF(venta_a_mes1254[[#This Row],[CUIT]]="","-",VLOOKUP(venta_a_mes1254[[#This Row],[CUIT]],Lista_CUIT[#All],2,0)),"CUIT NO CARGADO")</f>
        <v>-</v>
      </c>
      <c r="H302" s="100"/>
      <c r="I302" s="101">
        <f>venta_a_mes1254[[#This Row],[IMPORTE NETO]]*0.21</f>
        <v>0</v>
      </c>
      <c r="J302" s="65"/>
      <c r="K302" s="65"/>
      <c r="L302" s="65">
        <f>SUM(venta_a_mes1254[[#This Row],[IMPORTE NETO]:[EXENTO]])</f>
        <v>0</v>
      </c>
      <c r="M302" s="59"/>
    </row>
    <row r="303" spans="2:13" x14ac:dyDescent="0.3">
      <c r="B303" s="109"/>
      <c r="C303" s="41"/>
      <c r="D303" s="111"/>
      <c r="E303" s="112"/>
      <c r="F303" s="113"/>
      <c r="G303" s="99" t="str">
        <f>IFERROR(IF(venta_a_mes1254[[#This Row],[CUIT]]="","-",VLOOKUP(venta_a_mes1254[[#This Row],[CUIT]],Lista_CUIT[#All],2,0)),"CUIT NO CARGADO")</f>
        <v>-</v>
      </c>
      <c r="H303" s="100"/>
      <c r="I303" s="101">
        <f>venta_a_mes1254[[#This Row],[IMPORTE NETO]]*0.21</f>
        <v>0</v>
      </c>
      <c r="J303" s="65"/>
      <c r="K303" s="65"/>
      <c r="L303" s="65">
        <f>SUM(venta_a_mes1254[[#This Row],[IMPORTE NETO]:[EXENTO]])</f>
        <v>0</v>
      </c>
      <c r="M303" s="59"/>
    </row>
    <row r="304" spans="2:13" x14ac:dyDescent="0.3">
      <c r="B304" s="109"/>
      <c r="C304" s="41"/>
      <c r="D304" s="111"/>
      <c r="E304" s="112"/>
      <c r="F304" s="113"/>
      <c r="G304" s="99" t="str">
        <f>IFERROR(IF(venta_a_mes1254[[#This Row],[CUIT]]="","-",VLOOKUP(venta_a_mes1254[[#This Row],[CUIT]],Lista_CUIT[#All],2,0)),"CUIT NO CARGADO")</f>
        <v>-</v>
      </c>
      <c r="H304" s="100"/>
      <c r="I304" s="101">
        <f>venta_a_mes1254[[#This Row],[IMPORTE NETO]]*0.21</f>
        <v>0</v>
      </c>
      <c r="J304" s="65"/>
      <c r="K304" s="65"/>
      <c r="L304" s="65">
        <f>SUM(venta_a_mes1254[[#This Row],[IMPORTE NETO]:[EXENTO]])</f>
        <v>0</v>
      </c>
      <c r="M304" s="59"/>
    </row>
    <row r="305" spans="2:13" x14ac:dyDescent="0.3">
      <c r="B305" s="109"/>
      <c r="C305" s="41"/>
      <c r="D305" s="111"/>
      <c r="E305" s="112"/>
      <c r="F305" s="113"/>
      <c r="G305" s="99" t="str">
        <f>IFERROR(IF(venta_a_mes1254[[#This Row],[CUIT]]="","-",VLOOKUP(venta_a_mes1254[[#This Row],[CUIT]],Lista_CUIT[#All],2,0)),"CUIT NO CARGADO")</f>
        <v>-</v>
      </c>
      <c r="H305" s="100"/>
      <c r="I305" s="101">
        <f>venta_a_mes1254[[#This Row],[IMPORTE NETO]]*0.21</f>
        <v>0</v>
      </c>
      <c r="J305" s="65"/>
      <c r="K305" s="65"/>
      <c r="L305" s="65">
        <f>SUM(venta_a_mes1254[[#This Row],[IMPORTE NETO]:[EXENTO]])</f>
        <v>0</v>
      </c>
      <c r="M305" s="59"/>
    </row>
    <row r="306" spans="2:13" x14ac:dyDescent="0.3">
      <c r="B306" s="109"/>
      <c r="C306" s="41"/>
      <c r="D306" s="111"/>
      <c r="E306" s="112"/>
      <c r="F306" s="113"/>
      <c r="G306" s="99" t="str">
        <f>IFERROR(IF(venta_a_mes1254[[#This Row],[CUIT]]="","-",VLOOKUP(venta_a_mes1254[[#This Row],[CUIT]],Lista_CUIT[#All],2,0)),"CUIT NO CARGADO")</f>
        <v>-</v>
      </c>
      <c r="H306" s="100"/>
      <c r="I306" s="101">
        <f>venta_a_mes1254[[#This Row],[IMPORTE NETO]]*0.21</f>
        <v>0</v>
      </c>
      <c r="J306" s="65"/>
      <c r="K306" s="65"/>
      <c r="L306" s="65">
        <f>SUM(venta_a_mes1254[[#This Row],[IMPORTE NETO]:[EXENTO]])</f>
        <v>0</v>
      </c>
      <c r="M306" s="59"/>
    </row>
    <row r="307" spans="2:13" x14ac:dyDescent="0.3">
      <c r="B307" s="109"/>
      <c r="C307" s="41"/>
      <c r="D307" s="111"/>
      <c r="E307" s="112"/>
      <c r="F307" s="113"/>
      <c r="G307" s="99" t="str">
        <f>IFERROR(IF(venta_a_mes1254[[#This Row],[CUIT]]="","-",VLOOKUP(venta_a_mes1254[[#This Row],[CUIT]],Lista_CUIT[#All],2,0)),"CUIT NO CARGADO")</f>
        <v>-</v>
      </c>
      <c r="H307" s="100"/>
      <c r="I307" s="101">
        <f>venta_a_mes1254[[#This Row],[IMPORTE NETO]]*0.21</f>
        <v>0</v>
      </c>
      <c r="J307" s="65"/>
      <c r="K307" s="65"/>
      <c r="L307" s="65">
        <f>SUM(venta_a_mes1254[[#This Row],[IMPORTE NETO]:[EXENTO]])</f>
        <v>0</v>
      </c>
      <c r="M307" s="59"/>
    </row>
    <row r="308" spans="2:13" x14ac:dyDescent="0.3">
      <c r="B308" s="109"/>
      <c r="C308" s="41"/>
      <c r="D308" s="111"/>
      <c r="E308" s="112"/>
      <c r="F308" s="113"/>
      <c r="G308" s="99" t="str">
        <f>IFERROR(IF(venta_a_mes1254[[#This Row],[CUIT]]="","-",VLOOKUP(venta_a_mes1254[[#This Row],[CUIT]],Lista_CUIT[#All],2,0)),"CUIT NO CARGADO")</f>
        <v>-</v>
      </c>
      <c r="H308" s="100"/>
      <c r="I308" s="101">
        <f>venta_a_mes1254[[#This Row],[IMPORTE NETO]]*0.21</f>
        <v>0</v>
      </c>
      <c r="J308" s="65"/>
      <c r="K308" s="65"/>
      <c r="L308" s="65">
        <f>SUM(venta_a_mes1254[[#This Row],[IMPORTE NETO]:[EXENTO]])</f>
        <v>0</v>
      </c>
      <c r="M308" s="59"/>
    </row>
    <row r="309" spans="2:13" x14ac:dyDescent="0.3">
      <c r="B309" s="109"/>
      <c r="C309" s="41"/>
      <c r="D309" s="111"/>
      <c r="E309" s="112"/>
      <c r="F309" s="113"/>
      <c r="G309" s="99" t="str">
        <f>IFERROR(IF(venta_a_mes1254[[#This Row],[CUIT]]="","-",VLOOKUP(venta_a_mes1254[[#This Row],[CUIT]],Lista_CUIT[#All],2,0)),"CUIT NO CARGADO")</f>
        <v>-</v>
      </c>
      <c r="H309" s="100"/>
      <c r="I309" s="101">
        <f>venta_a_mes1254[[#This Row],[IMPORTE NETO]]*0.21</f>
        <v>0</v>
      </c>
      <c r="J309" s="65"/>
      <c r="K309" s="65"/>
      <c r="L309" s="65">
        <f>SUM(venta_a_mes1254[[#This Row],[IMPORTE NETO]:[EXENTO]])</f>
        <v>0</v>
      </c>
      <c r="M309" s="59"/>
    </row>
    <row r="310" spans="2:13" x14ac:dyDescent="0.3">
      <c r="B310" s="109"/>
      <c r="C310" s="41"/>
      <c r="D310" s="111"/>
      <c r="E310" s="112"/>
      <c r="F310" s="113"/>
      <c r="G310" s="99" t="str">
        <f>IFERROR(IF(venta_a_mes1254[[#This Row],[CUIT]]="","-",VLOOKUP(venta_a_mes1254[[#This Row],[CUIT]],Lista_CUIT[#All],2,0)),"CUIT NO CARGADO")</f>
        <v>-</v>
      </c>
      <c r="H310" s="100"/>
      <c r="I310" s="101">
        <f>venta_a_mes1254[[#This Row],[IMPORTE NETO]]*0.21</f>
        <v>0</v>
      </c>
      <c r="J310" s="65"/>
      <c r="K310" s="65"/>
      <c r="L310" s="65">
        <f>SUM(venta_a_mes1254[[#This Row],[IMPORTE NETO]:[EXENTO]])</f>
        <v>0</v>
      </c>
      <c r="M310" s="59"/>
    </row>
    <row r="311" spans="2:13" x14ac:dyDescent="0.3">
      <c r="B311" s="109"/>
      <c r="C311" s="41"/>
      <c r="D311" s="111"/>
      <c r="E311" s="112"/>
      <c r="F311" s="113"/>
      <c r="G311" s="99" t="str">
        <f>IFERROR(IF(venta_a_mes1254[[#This Row],[CUIT]]="","-",VLOOKUP(venta_a_mes1254[[#This Row],[CUIT]],Lista_CUIT[#All],2,0)),"CUIT NO CARGADO")</f>
        <v>-</v>
      </c>
      <c r="H311" s="100"/>
      <c r="I311" s="101">
        <f>venta_a_mes1254[[#This Row],[IMPORTE NETO]]*0.21</f>
        <v>0</v>
      </c>
      <c r="J311" s="65"/>
      <c r="K311" s="65"/>
      <c r="L311" s="65">
        <f>SUM(venta_a_mes1254[[#This Row],[IMPORTE NETO]:[EXENTO]])</f>
        <v>0</v>
      </c>
      <c r="M311" s="59"/>
    </row>
    <row r="312" spans="2:13" x14ac:dyDescent="0.3">
      <c r="B312" s="109"/>
      <c r="C312" s="41"/>
      <c r="D312" s="111"/>
      <c r="E312" s="112"/>
      <c r="F312" s="113"/>
      <c r="G312" s="99" t="str">
        <f>IFERROR(IF(venta_a_mes1254[[#This Row],[CUIT]]="","-",VLOOKUP(venta_a_mes1254[[#This Row],[CUIT]],Lista_CUIT[#All],2,0)),"CUIT NO CARGADO")</f>
        <v>-</v>
      </c>
      <c r="H312" s="100"/>
      <c r="I312" s="101">
        <f>venta_a_mes1254[[#This Row],[IMPORTE NETO]]*0.21</f>
        <v>0</v>
      </c>
      <c r="J312" s="65"/>
      <c r="K312" s="65"/>
      <c r="L312" s="65">
        <f>SUM(venta_a_mes1254[[#This Row],[IMPORTE NETO]:[EXENTO]])</f>
        <v>0</v>
      </c>
      <c r="M312" s="59"/>
    </row>
    <row r="313" spans="2:13" x14ac:dyDescent="0.3">
      <c r="B313" s="109"/>
      <c r="C313" s="41"/>
      <c r="D313" s="111"/>
      <c r="E313" s="112"/>
      <c r="F313" s="113"/>
      <c r="G313" s="99" t="str">
        <f>IFERROR(IF(venta_a_mes1254[[#This Row],[CUIT]]="","-",VLOOKUP(venta_a_mes1254[[#This Row],[CUIT]],Lista_CUIT[#All],2,0)),"CUIT NO CARGADO")</f>
        <v>-</v>
      </c>
      <c r="H313" s="100"/>
      <c r="I313" s="101">
        <f>venta_a_mes1254[[#This Row],[IMPORTE NETO]]*0.21</f>
        <v>0</v>
      </c>
      <c r="J313" s="65"/>
      <c r="K313" s="65"/>
      <c r="L313" s="65">
        <f>SUM(venta_a_mes1254[[#This Row],[IMPORTE NETO]:[EXENTO]])</f>
        <v>0</v>
      </c>
      <c r="M313" s="59"/>
    </row>
    <row r="314" spans="2:13" x14ac:dyDescent="0.3">
      <c r="B314" s="109"/>
      <c r="C314" s="41"/>
      <c r="D314" s="111"/>
      <c r="E314" s="112"/>
      <c r="F314" s="113"/>
      <c r="G314" s="99" t="str">
        <f>IFERROR(IF(venta_a_mes1254[[#This Row],[CUIT]]="","-",VLOOKUP(venta_a_mes1254[[#This Row],[CUIT]],Lista_CUIT[#All],2,0)),"CUIT NO CARGADO")</f>
        <v>-</v>
      </c>
      <c r="H314" s="100"/>
      <c r="I314" s="101">
        <f>venta_a_mes1254[[#This Row],[IMPORTE NETO]]*0.21</f>
        <v>0</v>
      </c>
      <c r="J314" s="65"/>
      <c r="K314" s="65"/>
      <c r="L314" s="65">
        <f>SUM(venta_a_mes1254[[#This Row],[IMPORTE NETO]:[EXENTO]])</f>
        <v>0</v>
      </c>
      <c r="M314" s="59"/>
    </row>
    <row r="315" spans="2:13" x14ac:dyDescent="0.3">
      <c r="B315" s="109"/>
      <c r="C315" s="41"/>
      <c r="D315" s="111"/>
      <c r="E315" s="112"/>
      <c r="F315" s="113"/>
      <c r="G315" s="99" t="str">
        <f>IFERROR(IF(venta_a_mes1254[[#This Row],[CUIT]]="","-",VLOOKUP(venta_a_mes1254[[#This Row],[CUIT]],Lista_CUIT[#All],2,0)),"CUIT NO CARGADO")</f>
        <v>-</v>
      </c>
      <c r="H315" s="100"/>
      <c r="I315" s="101">
        <f>venta_a_mes1254[[#This Row],[IMPORTE NETO]]*0.21</f>
        <v>0</v>
      </c>
      <c r="J315" s="65"/>
      <c r="K315" s="65"/>
      <c r="L315" s="65">
        <f>SUM(venta_a_mes1254[[#This Row],[IMPORTE NETO]:[EXENTO]])</f>
        <v>0</v>
      </c>
      <c r="M315" s="59"/>
    </row>
    <row r="316" spans="2:13" x14ac:dyDescent="0.3">
      <c r="B316" s="109"/>
      <c r="C316" s="41"/>
      <c r="D316" s="111"/>
      <c r="E316" s="112"/>
      <c r="F316" s="113"/>
      <c r="G316" s="99" t="str">
        <f>IFERROR(IF(venta_a_mes1254[[#This Row],[CUIT]]="","-",VLOOKUP(venta_a_mes1254[[#This Row],[CUIT]],Lista_CUIT[#All],2,0)),"CUIT NO CARGADO")</f>
        <v>-</v>
      </c>
      <c r="H316" s="100"/>
      <c r="I316" s="101">
        <f>venta_a_mes1254[[#This Row],[IMPORTE NETO]]*0.21</f>
        <v>0</v>
      </c>
      <c r="J316" s="65"/>
      <c r="K316" s="65"/>
      <c r="L316" s="65">
        <f>SUM(venta_a_mes1254[[#This Row],[IMPORTE NETO]:[EXENTO]])</f>
        <v>0</v>
      </c>
      <c r="M316" s="59"/>
    </row>
    <row r="317" spans="2:13" x14ac:dyDescent="0.3">
      <c r="B317" s="109"/>
      <c r="C317" s="41"/>
      <c r="D317" s="111"/>
      <c r="E317" s="112"/>
      <c r="F317" s="113"/>
      <c r="G317" s="99" t="str">
        <f>IFERROR(IF(venta_a_mes1254[[#This Row],[CUIT]]="","-",VLOOKUP(venta_a_mes1254[[#This Row],[CUIT]],Lista_CUIT[#All],2,0)),"CUIT NO CARGADO")</f>
        <v>-</v>
      </c>
      <c r="H317" s="100"/>
      <c r="I317" s="101">
        <f>venta_a_mes1254[[#This Row],[IMPORTE NETO]]*0.21</f>
        <v>0</v>
      </c>
      <c r="J317" s="65"/>
      <c r="K317" s="65"/>
      <c r="L317" s="65">
        <f>SUM(venta_a_mes1254[[#This Row],[IMPORTE NETO]:[EXENTO]])</f>
        <v>0</v>
      </c>
      <c r="M317" s="59"/>
    </row>
    <row r="318" spans="2:13" x14ac:dyDescent="0.3">
      <c r="B318" s="109"/>
      <c r="C318" s="41"/>
      <c r="D318" s="111"/>
      <c r="E318" s="112"/>
      <c r="F318" s="113"/>
      <c r="G318" s="99" t="str">
        <f>IFERROR(IF(venta_a_mes1254[[#This Row],[CUIT]]="","-",VLOOKUP(venta_a_mes1254[[#This Row],[CUIT]],Lista_CUIT[#All],2,0)),"CUIT NO CARGADO")</f>
        <v>-</v>
      </c>
      <c r="H318" s="100"/>
      <c r="I318" s="101">
        <f>venta_a_mes1254[[#This Row],[IMPORTE NETO]]*0.21</f>
        <v>0</v>
      </c>
      <c r="J318" s="65"/>
      <c r="K318" s="65"/>
      <c r="L318" s="65">
        <f>SUM(venta_a_mes1254[[#This Row],[IMPORTE NETO]:[EXENTO]])</f>
        <v>0</v>
      </c>
      <c r="M318" s="59"/>
    </row>
    <row r="319" spans="2:13" x14ac:dyDescent="0.3">
      <c r="B319" s="109"/>
      <c r="C319" s="41"/>
      <c r="D319" s="111"/>
      <c r="E319" s="112"/>
      <c r="F319" s="113"/>
      <c r="G319" s="99" t="str">
        <f>IFERROR(IF(venta_a_mes1254[[#This Row],[CUIT]]="","-",VLOOKUP(venta_a_mes1254[[#This Row],[CUIT]],Lista_CUIT[#All],2,0)),"CUIT NO CARGADO")</f>
        <v>-</v>
      </c>
      <c r="H319" s="100"/>
      <c r="I319" s="101">
        <f>venta_a_mes1254[[#This Row],[IMPORTE NETO]]*0.21</f>
        <v>0</v>
      </c>
      <c r="J319" s="65"/>
      <c r="K319" s="65"/>
      <c r="L319" s="65">
        <f>SUM(venta_a_mes1254[[#This Row],[IMPORTE NETO]:[EXENTO]])</f>
        <v>0</v>
      </c>
      <c r="M319" s="59"/>
    </row>
    <row r="320" spans="2:13" x14ac:dyDescent="0.3">
      <c r="B320" s="109"/>
      <c r="C320" s="41"/>
      <c r="D320" s="111"/>
      <c r="E320" s="112"/>
      <c r="F320" s="113"/>
      <c r="G320" s="99" t="str">
        <f>IFERROR(IF(venta_a_mes1254[[#This Row],[CUIT]]="","-",VLOOKUP(venta_a_mes1254[[#This Row],[CUIT]],Lista_CUIT[#All],2,0)),"CUIT NO CARGADO")</f>
        <v>-</v>
      </c>
      <c r="H320" s="100"/>
      <c r="I320" s="101">
        <f>venta_a_mes1254[[#This Row],[IMPORTE NETO]]*0.21</f>
        <v>0</v>
      </c>
      <c r="J320" s="65"/>
      <c r="K320" s="65"/>
      <c r="L320" s="65">
        <f>SUM(venta_a_mes1254[[#This Row],[IMPORTE NETO]:[EXENTO]])</f>
        <v>0</v>
      </c>
      <c r="M320" s="59"/>
    </row>
    <row r="321" spans="2:13" x14ac:dyDescent="0.3">
      <c r="B321" s="109"/>
      <c r="C321" s="41"/>
      <c r="D321" s="111"/>
      <c r="E321" s="112"/>
      <c r="F321" s="113"/>
      <c r="G321" s="99" t="str">
        <f>IFERROR(IF(venta_a_mes1254[[#This Row],[CUIT]]="","-",VLOOKUP(venta_a_mes1254[[#This Row],[CUIT]],Lista_CUIT[#All],2,0)),"CUIT NO CARGADO")</f>
        <v>-</v>
      </c>
      <c r="H321" s="100"/>
      <c r="I321" s="101">
        <f>venta_a_mes1254[[#This Row],[IMPORTE NETO]]*0.21</f>
        <v>0</v>
      </c>
      <c r="J321" s="65"/>
      <c r="K321" s="65"/>
      <c r="L321" s="65">
        <f>SUM(venta_a_mes1254[[#This Row],[IMPORTE NETO]:[EXENTO]])</f>
        <v>0</v>
      </c>
      <c r="M321" s="59"/>
    </row>
    <row r="322" spans="2:13" x14ac:dyDescent="0.3">
      <c r="B322" s="109"/>
      <c r="C322" s="41"/>
      <c r="D322" s="111"/>
      <c r="E322" s="112"/>
      <c r="F322" s="113"/>
      <c r="G322" s="99" t="str">
        <f>IFERROR(IF(venta_a_mes1254[[#This Row],[CUIT]]="","-",VLOOKUP(venta_a_mes1254[[#This Row],[CUIT]],Lista_CUIT[#All],2,0)),"CUIT NO CARGADO")</f>
        <v>-</v>
      </c>
      <c r="H322" s="100"/>
      <c r="I322" s="101">
        <f>venta_a_mes1254[[#This Row],[IMPORTE NETO]]*0.21</f>
        <v>0</v>
      </c>
      <c r="J322" s="65"/>
      <c r="K322" s="65"/>
      <c r="L322" s="65">
        <f>SUM(venta_a_mes1254[[#This Row],[IMPORTE NETO]:[EXENTO]])</f>
        <v>0</v>
      </c>
      <c r="M322" s="59"/>
    </row>
    <row r="323" spans="2:13" x14ac:dyDescent="0.3">
      <c r="B323" s="109"/>
      <c r="C323" s="41"/>
      <c r="D323" s="111"/>
      <c r="E323" s="112"/>
      <c r="F323" s="113"/>
      <c r="G323" s="99" t="str">
        <f>IFERROR(IF(venta_a_mes1254[[#This Row],[CUIT]]="","-",VLOOKUP(venta_a_mes1254[[#This Row],[CUIT]],Lista_CUIT[#All],2,0)),"CUIT NO CARGADO")</f>
        <v>-</v>
      </c>
      <c r="H323" s="100"/>
      <c r="I323" s="101">
        <f>venta_a_mes1254[[#This Row],[IMPORTE NETO]]*0.21</f>
        <v>0</v>
      </c>
      <c r="J323" s="65"/>
      <c r="K323" s="65"/>
      <c r="L323" s="65">
        <f>SUM(venta_a_mes1254[[#This Row],[IMPORTE NETO]:[EXENTO]])</f>
        <v>0</v>
      </c>
      <c r="M323" s="59"/>
    </row>
    <row r="324" spans="2:13" x14ac:dyDescent="0.3">
      <c r="B324" s="109"/>
      <c r="C324" s="41"/>
      <c r="D324" s="111"/>
      <c r="E324" s="112"/>
      <c r="F324" s="113"/>
      <c r="G324" s="99" t="str">
        <f>IFERROR(IF(venta_a_mes1254[[#This Row],[CUIT]]="","-",VLOOKUP(venta_a_mes1254[[#This Row],[CUIT]],Lista_CUIT[#All],2,0)),"CUIT NO CARGADO")</f>
        <v>-</v>
      </c>
      <c r="H324" s="100"/>
      <c r="I324" s="101">
        <f>venta_a_mes1254[[#This Row],[IMPORTE NETO]]*0.21</f>
        <v>0</v>
      </c>
      <c r="J324" s="65"/>
      <c r="K324" s="65"/>
      <c r="L324" s="65">
        <f>SUM(venta_a_mes1254[[#This Row],[IMPORTE NETO]:[EXENTO]])</f>
        <v>0</v>
      </c>
      <c r="M324" s="59"/>
    </row>
    <row r="325" spans="2:13" x14ac:dyDescent="0.3">
      <c r="B325" s="109"/>
      <c r="C325" s="41"/>
      <c r="D325" s="111"/>
      <c r="E325" s="112"/>
      <c r="F325" s="113"/>
      <c r="G325" s="99" t="str">
        <f>IFERROR(IF(venta_a_mes1254[[#This Row],[CUIT]]="","-",VLOOKUP(venta_a_mes1254[[#This Row],[CUIT]],Lista_CUIT[#All],2,0)),"CUIT NO CARGADO")</f>
        <v>-</v>
      </c>
      <c r="H325" s="100"/>
      <c r="I325" s="101">
        <f>venta_a_mes1254[[#This Row],[IMPORTE NETO]]*0.21</f>
        <v>0</v>
      </c>
      <c r="J325" s="65"/>
      <c r="K325" s="65"/>
      <c r="L325" s="65">
        <f>SUM(venta_a_mes1254[[#This Row],[IMPORTE NETO]:[EXENTO]])</f>
        <v>0</v>
      </c>
      <c r="M325" s="59"/>
    </row>
    <row r="326" spans="2:13" x14ac:dyDescent="0.3">
      <c r="B326" s="109"/>
      <c r="C326" s="41"/>
      <c r="D326" s="111"/>
      <c r="E326" s="112"/>
      <c r="F326" s="113"/>
      <c r="G326" s="99" t="str">
        <f>IFERROR(IF(venta_a_mes1254[[#This Row],[CUIT]]="","-",VLOOKUP(venta_a_mes1254[[#This Row],[CUIT]],Lista_CUIT[#All],2,0)),"CUIT NO CARGADO")</f>
        <v>-</v>
      </c>
      <c r="H326" s="100"/>
      <c r="I326" s="101">
        <f>venta_a_mes1254[[#This Row],[IMPORTE NETO]]*0.21</f>
        <v>0</v>
      </c>
      <c r="J326" s="65"/>
      <c r="K326" s="65"/>
      <c r="L326" s="65">
        <f>SUM(venta_a_mes1254[[#This Row],[IMPORTE NETO]:[EXENTO]])</f>
        <v>0</v>
      </c>
      <c r="M326" s="59"/>
    </row>
    <row r="327" spans="2:13" x14ac:dyDescent="0.3">
      <c r="B327" s="109"/>
      <c r="C327" s="41"/>
      <c r="D327" s="111"/>
      <c r="E327" s="112"/>
      <c r="F327" s="113"/>
      <c r="G327" s="99" t="str">
        <f>IFERROR(IF(venta_a_mes1254[[#This Row],[CUIT]]="","-",VLOOKUP(venta_a_mes1254[[#This Row],[CUIT]],Lista_CUIT[#All],2,0)),"CUIT NO CARGADO")</f>
        <v>-</v>
      </c>
      <c r="H327" s="100"/>
      <c r="I327" s="101">
        <f>venta_a_mes1254[[#This Row],[IMPORTE NETO]]*0.21</f>
        <v>0</v>
      </c>
      <c r="J327" s="65"/>
      <c r="K327" s="65"/>
      <c r="L327" s="65">
        <f>SUM(venta_a_mes1254[[#This Row],[IMPORTE NETO]:[EXENTO]])</f>
        <v>0</v>
      </c>
      <c r="M327" s="59"/>
    </row>
    <row r="328" spans="2:13" x14ac:dyDescent="0.3">
      <c r="B328" s="109"/>
      <c r="C328" s="41"/>
      <c r="D328" s="111"/>
      <c r="E328" s="112"/>
      <c r="F328" s="113"/>
      <c r="G328" s="99" t="str">
        <f>IFERROR(IF(venta_a_mes1254[[#This Row],[CUIT]]="","-",VLOOKUP(venta_a_mes1254[[#This Row],[CUIT]],Lista_CUIT[#All],2,0)),"CUIT NO CARGADO")</f>
        <v>-</v>
      </c>
      <c r="H328" s="100"/>
      <c r="I328" s="101">
        <f>venta_a_mes1254[[#This Row],[IMPORTE NETO]]*0.21</f>
        <v>0</v>
      </c>
      <c r="J328" s="65"/>
      <c r="K328" s="65"/>
      <c r="L328" s="65">
        <f>SUM(venta_a_mes1254[[#This Row],[IMPORTE NETO]:[EXENTO]])</f>
        <v>0</v>
      </c>
      <c r="M328" s="59"/>
    </row>
    <row r="329" spans="2:13" x14ac:dyDescent="0.3">
      <c r="B329" s="109"/>
      <c r="C329" s="41"/>
      <c r="D329" s="111"/>
      <c r="E329" s="112"/>
      <c r="F329" s="113"/>
      <c r="G329" s="99" t="str">
        <f>IFERROR(IF(venta_a_mes1254[[#This Row],[CUIT]]="","-",VLOOKUP(venta_a_mes1254[[#This Row],[CUIT]],Lista_CUIT[#All],2,0)),"CUIT NO CARGADO")</f>
        <v>-</v>
      </c>
      <c r="H329" s="100"/>
      <c r="I329" s="101">
        <f>venta_a_mes1254[[#This Row],[IMPORTE NETO]]*0.21</f>
        <v>0</v>
      </c>
      <c r="J329" s="65"/>
      <c r="K329" s="65"/>
      <c r="L329" s="65">
        <f>SUM(venta_a_mes1254[[#This Row],[IMPORTE NETO]:[EXENTO]])</f>
        <v>0</v>
      </c>
      <c r="M329" s="59"/>
    </row>
    <row r="330" spans="2:13" x14ac:dyDescent="0.3">
      <c r="B330" s="109"/>
      <c r="C330" s="41"/>
      <c r="D330" s="111"/>
      <c r="E330" s="112"/>
      <c r="F330" s="113"/>
      <c r="G330" s="99" t="str">
        <f>IFERROR(IF(venta_a_mes1254[[#This Row],[CUIT]]="","-",VLOOKUP(venta_a_mes1254[[#This Row],[CUIT]],Lista_CUIT[#All],2,0)),"CUIT NO CARGADO")</f>
        <v>-</v>
      </c>
      <c r="H330" s="100"/>
      <c r="I330" s="101">
        <f>venta_a_mes1254[[#This Row],[IMPORTE NETO]]*0.21</f>
        <v>0</v>
      </c>
      <c r="J330" s="65"/>
      <c r="K330" s="65"/>
      <c r="L330" s="65">
        <f>SUM(venta_a_mes1254[[#This Row],[IMPORTE NETO]:[EXENTO]])</f>
        <v>0</v>
      </c>
      <c r="M330" s="59"/>
    </row>
    <row r="331" spans="2:13" x14ac:dyDescent="0.3">
      <c r="B331" s="109"/>
      <c r="C331" s="41"/>
      <c r="D331" s="111"/>
      <c r="E331" s="112"/>
      <c r="F331" s="113"/>
      <c r="G331" s="99" t="str">
        <f>IFERROR(IF(venta_a_mes1254[[#This Row],[CUIT]]="","-",VLOOKUP(venta_a_mes1254[[#This Row],[CUIT]],Lista_CUIT[#All],2,0)),"CUIT NO CARGADO")</f>
        <v>-</v>
      </c>
      <c r="H331" s="100"/>
      <c r="I331" s="101">
        <f>venta_a_mes1254[[#This Row],[IMPORTE NETO]]*0.21</f>
        <v>0</v>
      </c>
      <c r="J331" s="65"/>
      <c r="K331" s="65"/>
      <c r="L331" s="65">
        <f>SUM(venta_a_mes1254[[#This Row],[IMPORTE NETO]:[EXENTO]])</f>
        <v>0</v>
      </c>
      <c r="M331" s="59"/>
    </row>
    <row r="332" spans="2:13" x14ac:dyDescent="0.3">
      <c r="B332" s="109"/>
      <c r="C332" s="41"/>
      <c r="D332" s="111"/>
      <c r="E332" s="112"/>
      <c r="F332" s="113"/>
      <c r="G332" s="99" t="str">
        <f>IFERROR(IF(venta_a_mes1254[[#This Row],[CUIT]]="","-",VLOOKUP(venta_a_mes1254[[#This Row],[CUIT]],Lista_CUIT[#All],2,0)),"CUIT NO CARGADO")</f>
        <v>-</v>
      </c>
      <c r="H332" s="100"/>
      <c r="I332" s="101">
        <f>venta_a_mes1254[[#This Row],[IMPORTE NETO]]*0.21</f>
        <v>0</v>
      </c>
      <c r="J332" s="65"/>
      <c r="K332" s="65"/>
      <c r="L332" s="65">
        <f>SUM(venta_a_mes1254[[#This Row],[IMPORTE NETO]:[EXENTO]])</f>
        <v>0</v>
      </c>
      <c r="M332" s="59"/>
    </row>
    <row r="333" spans="2:13" x14ac:dyDescent="0.3">
      <c r="B333" s="109"/>
      <c r="C333" s="41"/>
      <c r="D333" s="111"/>
      <c r="E333" s="112"/>
      <c r="F333" s="113"/>
      <c r="G333" s="99" t="str">
        <f>IFERROR(IF(venta_a_mes1254[[#This Row],[CUIT]]="","-",VLOOKUP(venta_a_mes1254[[#This Row],[CUIT]],Lista_CUIT[#All],2,0)),"CUIT NO CARGADO")</f>
        <v>-</v>
      </c>
      <c r="H333" s="100"/>
      <c r="I333" s="101">
        <f>venta_a_mes1254[[#This Row],[IMPORTE NETO]]*0.21</f>
        <v>0</v>
      </c>
      <c r="J333" s="65"/>
      <c r="K333" s="65"/>
      <c r="L333" s="65">
        <f>SUM(venta_a_mes1254[[#This Row],[IMPORTE NETO]:[EXENTO]])</f>
        <v>0</v>
      </c>
      <c r="M333" s="59"/>
    </row>
    <row r="334" spans="2:13" x14ac:dyDescent="0.3">
      <c r="B334" s="109"/>
      <c r="C334" s="41"/>
      <c r="D334" s="111"/>
      <c r="E334" s="112"/>
      <c r="F334" s="113"/>
      <c r="G334" s="99" t="str">
        <f>IFERROR(IF(venta_a_mes1254[[#This Row],[CUIT]]="","-",VLOOKUP(venta_a_mes1254[[#This Row],[CUIT]],Lista_CUIT[#All],2,0)),"CUIT NO CARGADO")</f>
        <v>-</v>
      </c>
      <c r="H334" s="100"/>
      <c r="I334" s="101">
        <f>venta_a_mes1254[[#This Row],[IMPORTE NETO]]*0.21</f>
        <v>0</v>
      </c>
      <c r="J334" s="65"/>
      <c r="K334" s="65"/>
      <c r="L334" s="65">
        <f>SUM(venta_a_mes1254[[#This Row],[IMPORTE NETO]:[EXENTO]])</f>
        <v>0</v>
      </c>
      <c r="M334" s="59"/>
    </row>
    <row r="335" spans="2:13" x14ac:dyDescent="0.3">
      <c r="B335" s="109"/>
      <c r="C335" s="41"/>
      <c r="D335" s="111"/>
      <c r="E335" s="112"/>
      <c r="F335" s="113"/>
      <c r="G335" s="99" t="str">
        <f>IFERROR(IF(venta_a_mes1254[[#This Row],[CUIT]]="","-",VLOOKUP(venta_a_mes1254[[#This Row],[CUIT]],Lista_CUIT[#All],2,0)),"CUIT NO CARGADO")</f>
        <v>-</v>
      </c>
      <c r="H335" s="100"/>
      <c r="I335" s="101">
        <f>venta_a_mes1254[[#This Row],[IMPORTE NETO]]*0.21</f>
        <v>0</v>
      </c>
      <c r="J335" s="65"/>
      <c r="K335" s="65"/>
      <c r="L335" s="65">
        <f>SUM(venta_a_mes1254[[#This Row],[IMPORTE NETO]:[EXENTO]])</f>
        <v>0</v>
      </c>
      <c r="M335" s="59"/>
    </row>
    <row r="336" spans="2:13" x14ac:dyDescent="0.3">
      <c r="B336" s="109"/>
      <c r="C336" s="41"/>
      <c r="D336" s="111"/>
      <c r="E336" s="112"/>
      <c r="F336" s="113"/>
      <c r="G336" s="99" t="str">
        <f>IFERROR(IF(venta_a_mes1254[[#This Row],[CUIT]]="","-",VLOOKUP(venta_a_mes1254[[#This Row],[CUIT]],Lista_CUIT[#All],2,0)),"CUIT NO CARGADO")</f>
        <v>-</v>
      </c>
      <c r="H336" s="100"/>
      <c r="I336" s="101">
        <f>venta_a_mes1254[[#This Row],[IMPORTE NETO]]*0.21</f>
        <v>0</v>
      </c>
      <c r="J336" s="65"/>
      <c r="K336" s="65"/>
      <c r="L336" s="65">
        <f>SUM(venta_a_mes1254[[#This Row],[IMPORTE NETO]:[EXENTO]])</f>
        <v>0</v>
      </c>
      <c r="M336" s="59"/>
    </row>
    <row r="337" spans="2:13" x14ac:dyDescent="0.3">
      <c r="B337" s="109"/>
      <c r="C337" s="41"/>
      <c r="D337" s="111"/>
      <c r="E337" s="112"/>
      <c r="F337" s="113"/>
      <c r="G337" s="99" t="str">
        <f>IFERROR(IF(venta_a_mes1254[[#This Row],[CUIT]]="","-",VLOOKUP(venta_a_mes1254[[#This Row],[CUIT]],Lista_CUIT[#All],2,0)),"CUIT NO CARGADO")</f>
        <v>-</v>
      </c>
      <c r="H337" s="100"/>
      <c r="I337" s="101">
        <f>venta_a_mes1254[[#This Row],[IMPORTE NETO]]*0.21</f>
        <v>0</v>
      </c>
      <c r="J337" s="65"/>
      <c r="K337" s="65"/>
      <c r="L337" s="65">
        <f>SUM(venta_a_mes1254[[#This Row],[IMPORTE NETO]:[EXENTO]])</f>
        <v>0</v>
      </c>
      <c r="M337" s="59"/>
    </row>
    <row r="338" spans="2:13" x14ac:dyDescent="0.3">
      <c r="B338" s="109"/>
      <c r="C338" s="41"/>
      <c r="D338" s="111"/>
      <c r="E338" s="112"/>
      <c r="F338" s="113"/>
      <c r="G338" s="99" t="str">
        <f>IFERROR(IF(venta_a_mes1254[[#This Row],[CUIT]]="","-",VLOOKUP(venta_a_mes1254[[#This Row],[CUIT]],Lista_CUIT[#All],2,0)),"CUIT NO CARGADO")</f>
        <v>-</v>
      </c>
      <c r="H338" s="100"/>
      <c r="I338" s="101">
        <f>venta_a_mes1254[[#This Row],[IMPORTE NETO]]*0.21</f>
        <v>0</v>
      </c>
      <c r="J338" s="65"/>
      <c r="K338" s="65"/>
      <c r="L338" s="65">
        <f>SUM(venta_a_mes1254[[#This Row],[IMPORTE NETO]:[EXENTO]])</f>
        <v>0</v>
      </c>
      <c r="M338" s="59"/>
    </row>
    <row r="339" spans="2:13" x14ac:dyDescent="0.3">
      <c r="B339" s="109"/>
      <c r="C339" s="41"/>
      <c r="D339" s="111"/>
      <c r="E339" s="112"/>
      <c r="F339" s="113"/>
      <c r="G339" s="99" t="str">
        <f>IFERROR(IF(venta_a_mes1254[[#This Row],[CUIT]]="","-",VLOOKUP(venta_a_mes1254[[#This Row],[CUIT]],Lista_CUIT[#All],2,0)),"CUIT NO CARGADO")</f>
        <v>-</v>
      </c>
      <c r="H339" s="100"/>
      <c r="I339" s="101">
        <f>venta_a_mes1254[[#This Row],[IMPORTE NETO]]*0.21</f>
        <v>0</v>
      </c>
      <c r="J339" s="65"/>
      <c r="K339" s="65"/>
      <c r="L339" s="65">
        <f>SUM(venta_a_mes1254[[#This Row],[IMPORTE NETO]:[EXENTO]])</f>
        <v>0</v>
      </c>
      <c r="M339" s="59"/>
    </row>
    <row r="340" spans="2:13" x14ac:dyDescent="0.3">
      <c r="B340" s="109"/>
      <c r="C340" s="41"/>
      <c r="D340" s="111"/>
      <c r="E340" s="112"/>
      <c r="F340" s="113"/>
      <c r="G340" s="99" t="str">
        <f>IFERROR(IF(venta_a_mes1254[[#This Row],[CUIT]]="","-",VLOOKUP(venta_a_mes1254[[#This Row],[CUIT]],Lista_CUIT[#All],2,0)),"CUIT NO CARGADO")</f>
        <v>-</v>
      </c>
      <c r="H340" s="100"/>
      <c r="I340" s="101">
        <f>venta_a_mes1254[[#This Row],[IMPORTE NETO]]*0.21</f>
        <v>0</v>
      </c>
      <c r="J340" s="65"/>
      <c r="K340" s="65"/>
      <c r="L340" s="65">
        <f>SUM(venta_a_mes1254[[#This Row],[IMPORTE NETO]:[EXENTO]])</f>
        <v>0</v>
      </c>
      <c r="M340" s="59"/>
    </row>
    <row r="341" spans="2:13" x14ac:dyDescent="0.3">
      <c r="B341" s="109"/>
      <c r="C341" s="41"/>
      <c r="D341" s="111"/>
      <c r="E341" s="112"/>
      <c r="F341" s="113"/>
      <c r="G341" s="99" t="str">
        <f>IFERROR(IF(venta_a_mes1254[[#This Row],[CUIT]]="","-",VLOOKUP(venta_a_mes1254[[#This Row],[CUIT]],Lista_CUIT[#All],2,0)),"CUIT NO CARGADO")</f>
        <v>-</v>
      </c>
      <c r="H341" s="100"/>
      <c r="I341" s="101">
        <f>venta_a_mes1254[[#This Row],[IMPORTE NETO]]*0.21</f>
        <v>0</v>
      </c>
      <c r="J341" s="65"/>
      <c r="K341" s="65"/>
      <c r="L341" s="65">
        <f>SUM(venta_a_mes1254[[#This Row],[IMPORTE NETO]:[EXENTO]])</f>
        <v>0</v>
      </c>
      <c r="M341" s="59"/>
    </row>
    <row r="342" spans="2:13" x14ac:dyDescent="0.3">
      <c r="B342" s="109"/>
      <c r="C342" s="41"/>
      <c r="D342" s="111"/>
      <c r="E342" s="112"/>
      <c r="F342" s="113"/>
      <c r="G342" s="99" t="str">
        <f>IFERROR(IF(venta_a_mes1254[[#This Row],[CUIT]]="","-",VLOOKUP(venta_a_mes1254[[#This Row],[CUIT]],Lista_CUIT[#All],2,0)),"CUIT NO CARGADO")</f>
        <v>-</v>
      </c>
      <c r="H342" s="100"/>
      <c r="I342" s="101">
        <f>venta_a_mes1254[[#This Row],[IMPORTE NETO]]*0.21</f>
        <v>0</v>
      </c>
      <c r="J342" s="65"/>
      <c r="K342" s="65"/>
      <c r="L342" s="65">
        <f>SUM(venta_a_mes1254[[#This Row],[IMPORTE NETO]:[EXENTO]])</f>
        <v>0</v>
      </c>
      <c r="M342" s="59"/>
    </row>
    <row r="343" spans="2:13" x14ac:dyDescent="0.3">
      <c r="B343" s="109"/>
      <c r="C343" s="41"/>
      <c r="D343" s="111"/>
      <c r="E343" s="112"/>
      <c r="F343" s="113"/>
      <c r="G343" s="99" t="str">
        <f>IFERROR(IF(venta_a_mes1254[[#This Row],[CUIT]]="","-",VLOOKUP(venta_a_mes1254[[#This Row],[CUIT]],Lista_CUIT[#All],2,0)),"CUIT NO CARGADO")</f>
        <v>-</v>
      </c>
      <c r="H343" s="100"/>
      <c r="I343" s="101">
        <f>venta_a_mes1254[[#This Row],[IMPORTE NETO]]*0.21</f>
        <v>0</v>
      </c>
      <c r="J343" s="65"/>
      <c r="K343" s="65"/>
      <c r="L343" s="65">
        <f>SUM(venta_a_mes1254[[#This Row],[IMPORTE NETO]:[EXENTO]])</f>
        <v>0</v>
      </c>
      <c r="M343" s="59"/>
    </row>
    <row r="344" spans="2:13" x14ac:dyDescent="0.3">
      <c r="B344" s="109"/>
      <c r="C344" s="41"/>
      <c r="D344" s="111"/>
      <c r="E344" s="112"/>
      <c r="F344" s="113"/>
      <c r="G344" s="99" t="str">
        <f>IFERROR(IF(venta_a_mes1254[[#This Row],[CUIT]]="","-",VLOOKUP(venta_a_mes1254[[#This Row],[CUIT]],Lista_CUIT[#All],2,0)),"CUIT NO CARGADO")</f>
        <v>-</v>
      </c>
      <c r="H344" s="100"/>
      <c r="I344" s="101">
        <f>venta_a_mes1254[[#This Row],[IMPORTE NETO]]*0.21</f>
        <v>0</v>
      </c>
      <c r="J344" s="65"/>
      <c r="K344" s="65"/>
      <c r="L344" s="65">
        <f>SUM(venta_a_mes1254[[#This Row],[IMPORTE NETO]:[EXENTO]])</f>
        <v>0</v>
      </c>
      <c r="M344" s="59"/>
    </row>
    <row r="345" spans="2:13" x14ac:dyDescent="0.3">
      <c r="B345" s="109"/>
      <c r="C345" s="41"/>
      <c r="D345" s="111"/>
      <c r="E345" s="112"/>
      <c r="F345" s="113"/>
      <c r="G345" s="99" t="str">
        <f>IFERROR(IF(venta_a_mes1254[[#This Row],[CUIT]]="","-",VLOOKUP(venta_a_mes1254[[#This Row],[CUIT]],Lista_CUIT[#All],2,0)),"CUIT NO CARGADO")</f>
        <v>-</v>
      </c>
      <c r="H345" s="100"/>
      <c r="I345" s="101">
        <f>venta_a_mes1254[[#This Row],[IMPORTE NETO]]*0.21</f>
        <v>0</v>
      </c>
      <c r="J345" s="65"/>
      <c r="K345" s="65"/>
      <c r="L345" s="65">
        <f>SUM(venta_a_mes1254[[#This Row],[IMPORTE NETO]:[EXENTO]])</f>
        <v>0</v>
      </c>
      <c r="M345" s="59"/>
    </row>
    <row r="346" spans="2:13" x14ac:dyDescent="0.3">
      <c r="B346" s="109"/>
      <c r="C346" s="41"/>
      <c r="D346" s="111"/>
      <c r="E346" s="112"/>
      <c r="F346" s="113"/>
      <c r="G346" s="99" t="str">
        <f>IFERROR(IF(venta_a_mes1254[[#This Row],[CUIT]]="","-",VLOOKUP(venta_a_mes1254[[#This Row],[CUIT]],Lista_CUIT[#All],2,0)),"CUIT NO CARGADO")</f>
        <v>-</v>
      </c>
      <c r="H346" s="100"/>
      <c r="I346" s="101">
        <f>venta_a_mes1254[[#This Row],[IMPORTE NETO]]*0.21</f>
        <v>0</v>
      </c>
      <c r="J346" s="65"/>
      <c r="K346" s="65"/>
      <c r="L346" s="65">
        <f>SUM(venta_a_mes1254[[#This Row],[IMPORTE NETO]:[EXENTO]])</f>
        <v>0</v>
      </c>
      <c r="M346" s="59"/>
    </row>
    <row r="347" spans="2:13" x14ac:dyDescent="0.3">
      <c r="B347" s="109"/>
      <c r="C347" s="41"/>
      <c r="D347" s="111"/>
      <c r="E347" s="112"/>
      <c r="F347" s="113"/>
      <c r="G347" s="99" t="str">
        <f>IFERROR(IF(venta_a_mes1254[[#This Row],[CUIT]]="","-",VLOOKUP(venta_a_mes1254[[#This Row],[CUIT]],Lista_CUIT[#All],2,0)),"CUIT NO CARGADO")</f>
        <v>-</v>
      </c>
      <c r="H347" s="100"/>
      <c r="I347" s="101">
        <f>venta_a_mes1254[[#This Row],[IMPORTE NETO]]*0.21</f>
        <v>0</v>
      </c>
      <c r="J347" s="65"/>
      <c r="K347" s="65"/>
      <c r="L347" s="65">
        <f>SUM(venta_a_mes1254[[#This Row],[IMPORTE NETO]:[EXENTO]])</f>
        <v>0</v>
      </c>
      <c r="M347" s="59"/>
    </row>
    <row r="348" spans="2:13" x14ac:dyDescent="0.3">
      <c r="B348" s="109"/>
      <c r="C348" s="41"/>
      <c r="D348" s="111"/>
      <c r="E348" s="112"/>
      <c r="F348" s="113"/>
      <c r="G348" s="99" t="str">
        <f>IFERROR(IF(venta_a_mes1254[[#This Row],[CUIT]]="","-",VLOOKUP(venta_a_mes1254[[#This Row],[CUIT]],Lista_CUIT[#All],2,0)),"CUIT NO CARGADO")</f>
        <v>-</v>
      </c>
      <c r="H348" s="100"/>
      <c r="I348" s="101">
        <f>venta_a_mes1254[[#This Row],[IMPORTE NETO]]*0.21</f>
        <v>0</v>
      </c>
      <c r="J348" s="65"/>
      <c r="K348" s="65"/>
      <c r="L348" s="65">
        <f>SUM(venta_a_mes1254[[#This Row],[IMPORTE NETO]:[EXENTO]])</f>
        <v>0</v>
      </c>
      <c r="M348" s="59"/>
    </row>
    <row r="349" spans="2:13" x14ac:dyDescent="0.3">
      <c r="B349" s="109"/>
      <c r="C349" s="41"/>
      <c r="D349" s="111"/>
      <c r="E349" s="112"/>
      <c r="F349" s="113"/>
      <c r="G349" s="99" t="str">
        <f>IFERROR(IF(venta_a_mes1254[[#This Row],[CUIT]]="","-",VLOOKUP(venta_a_mes1254[[#This Row],[CUIT]],Lista_CUIT[#All],2,0)),"CUIT NO CARGADO")</f>
        <v>-</v>
      </c>
      <c r="H349" s="100"/>
      <c r="I349" s="101">
        <f>venta_a_mes1254[[#This Row],[IMPORTE NETO]]*0.21</f>
        <v>0</v>
      </c>
      <c r="J349" s="65"/>
      <c r="K349" s="65"/>
      <c r="L349" s="65">
        <f>SUM(venta_a_mes1254[[#This Row],[IMPORTE NETO]:[EXENTO]])</f>
        <v>0</v>
      </c>
      <c r="M349" s="59"/>
    </row>
    <row r="350" spans="2:13" x14ac:dyDescent="0.3">
      <c r="B350" s="109"/>
      <c r="C350" s="41"/>
      <c r="D350" s="111"/>
      <c r="E350" s="112"/>
      <c r="F350" s="113"/>
      <c r="G350" s="99" t="str">
        <f>IFERROR(IF(venta_a_mes1254[[#This Row],[CUIT]]="","-",VLOOKUP(venta_a_mes1254[[#This Row],[CUIT]],Lista_CUIT[#All],2,0)),"CUIT NO CARGADO")</f>
        <v>-</v>
      </c>
      <c r="H350" s="100"/>
      <c r="I350" s="101">
        <f>venta_a_mes1254[[#This Row],[IMPORTE NETO]]*0.21</f>
        <v>0</v>
      </c>
      <c r="J350" s="65"/>
      <c r="K350" s="65"/>
      <c r="L350" s="65">
        <f>SUM(venta_a_mes1254[[#This Row],[IMPORTE NETO]:[EXENTO]])</f>
        <v>0</v>
      </c>
      <c r="M350" s="59"/>
    </row>
    <row r="351" spans="2:13" x14ac:dyDescent="0.3">
      <c r="B351" s="109"/>
      <c r="C351" s="41"/>
      <c r="D351" s="111"/>
      <c r="E351" s="112"/>
      <c r="F351" s="113"/>
      <c r="G351" s="99" t="str">
        <f>IFERROR(IF(venta_a_mes1254[[#This Row],[CUIT]]="","-",VLOOKUP(venta_a_mes1254[[#This Row],[CUIT]],Lista_CUIT[#All],2,0)),"CUIT NO CARGADO")</f>
        <v>-</v>
      </c>
      <c r="H351" s="100"/>
      <c r="I351" s="101">
        <f>venta_a_mes1254[[#This Row],[IMPORTE NETO]]*0.21</f>
        <v>0</v>
      </c>
      <c r="J351" s="65"/>
      <c r="K351" s="65"/>
      <c r="L351" s="65">
        <f>SUM(venta_a_mes1254[[#This Row],[IMPORTE NETO]:[EXENTO]])</f>
        <v>0</v>
      </c>
      <c r="M351" s="59"/>
    </row>
    <row r="352" spans="2:13" x14ac:dyDescent="0.3">
      <c r="B352" s="109"/>
      <c r="C352" s="41"/>
      <c r="D352" s="111"/>
      <c r="E352" s="112"/>
      <c r="F352" s="113"/>
      <c r="G352" s="99" t="str">
        <f>IFERROR(IF(venta_a_mes1254[[#This Row],[CUIT]]="","-",VLOOKUP(venta_a_mes1254[[#This Row],[CUIT]],Lista_CUIT[#All],2,0)),"CUIT NO CARGADO")</f>
        <v>-</v>
      </c>
      <c r="H352" s="100"/>
      <c r="I352" s="101">
        <f>venta_a_mes1254[[#This Row],[IMPORTE NETO]]*0.21</f>
        <v>0</v>
      </c>
      <c r="J352" s="65"/>
      <c r="K352" s="65"/>
      <c r="L352" s="65">
        <f>SUM(venta_a_mes1254[[#This Row],[IMPORTE NETO]:[EXENTO]])</f>
        <v>0</v>
      </c>
      <c r="M352" s="59"/>
    </row>
    <row r="353" spans="2:13" x14ac:dyDescent="0.3">
      <c r="B353" s="109"/>
      <c r="C353" s="41"/>
      <c r="D353" s="111"/>
      <c r="E353" s="112"/>
      <c r="F353" s="113"/>
      <c r="G353" s="99" t="str">
        <f>IFERROR(IF(venta_a_mes1254[[#This Row],[CUIT]]="","-",VLOOKUP(venta_a_mes1254[[#This Row],[CUIT]],Lista_CUIT[#All],2,0)),"CUIT NO CARGADO")</f>
        <v>-</v>
      </c>
      <c r="H353" s="100"/>
      <c r="I353" s="101">
        <f>venta_a_mes1254[[#This Row],[IMPORTE NETO]]*0.21</f>
        <v>0</v>
      </c>
      <c r="J353" s="65"/>
      <c r="K353" s="65"/>
      <c r="L353" s="65">
        <f>SUM(venta_a_mes1254[[#This Row],[IMPORTE NETO]:[EXENTO]])</f>
        <v>0</v>
      </c>
      <c r="M353" s="59"/>
    </row>
    <row r="354" spans="2:13" x14ac:dyDescent="0.3">
      <c r="B354" s="109"/>
      <c r="C354" s="41"/>
      <c r="D354" s="111"/>
      <c r="E354" s="112"/>
      <c r="F354" s="113"/>
      <c r="G354" s="99" t="str">
        <f>IFERROR(IF(venta_a_mes1254[[#This Row],[CUIT]]="","-",VLOOKUP(venta_a_mes1254[[#This Row],[CUIT]],Lista_CUIT[#All],2,0)),"CUIT NO CARGADO")</f>
        <v>-</v>
      </c>
      <c r="H354" s="100"/>
      <c r="I354" s="101">
        <f>venta_a_mes1254[[#This Row],[IMPORTE NETO]]*0.21</f>
        <v>0</v>
      </c>
      <c r="J354" s="65"/>
      <c r="K354" s="65"/>
      <c r="L354" s="65">
        <f>SUM(venta_a_mes1254[[#This Row],[IMPORTE NETO]:[EXENTO]])</f>
        <v>0</v>
      </c>
      <c r="M354" s="59"/>
    </row>
    <row r="355" spans="2:13" x14ac:dyDescent="0.3">
      <c r="B355" s="109"/>
      <c r="C355" s="41"/>
      <c r="D355" s="111"/>
      <c r="E355" s="112"/>
      <c r="F355" s="113"/>
      <c r="G355" s="99" t="str">
        <f>IFERROR(IF(venta_a_mes1254[[#This Row],[CUIT]]="","-",VLOOKUP(venta_a_mes1254[[#This Row],[CUIT]],Lista_CUIT[#All],2,0)),"CUIT NO CARGADO")</f>
        <v>-</v>
      </c>
      <c r="H355" s="100"/>
      <c r="I355" s="101">
        <f>venta_a_mes1254[[#This Row],[IMPORTE NETO]]*0.21</f>
        <v>0</v>
      </c>
      <c r="J355" s="65"/>
      <c r="K355" s="65"/>
      <c r="L355" s="65">
        <f>SUM(venta_a_mes1254[[#This Row],[IMPORTE NETO]:[EXENTO]])</f>
        <v>0</v>
      </c>
      <c r="M355" s="59"/>
    </row>
    <row r="356" spans="2:13" x14ac:dyDescent="0.3">
      <c r="B356" s="109"/>
      <c r="C356" s="41"/>
      <c r="D356" s="111"/>
      <c r="E356" s="112"/>
      <c r="F356" s="113"/>
      <c r="G356" s="99" t="str">
        <f>IFERROR(IF(venta_a_mes1254[[#This Row],[CUIT]]="","-",VLOOKUP(venta_a_mes1254[[#This Row],[CUIT]],Lista_CUIT[#All],2,0)),"CUIT NO CARGADO")</f>
        <v>-</v>
      </c>
      <c r="H356" s="100"/>
      <c r="I356" s="101">
        <f>venta_a_mes1254[[#This Row],[IMPORTE NETO]]*0.21</f>
        <v>0</v>
      </c>
      <c r="J356" s="65"/>
      <c r="K356" s="65"/>
      <c r="L356" s="65">
        <f>SUM(venta_a_mes1254[[#This Row],[IMPORTE NETO]:[EXENTO]])</f>
        <v>0</v>
      </c>
      <c r="M356" s="59"/>
    </row>
    <row r="357" spans="2:13" x14ac:dyDescent="0.3">
      <c r="B357" s="109"/>
      <c r="C357" s="41"/>
      <c r="D357" s="111"/>
      <c r="E357" s="112"/>
      <c r="F357" s="113"/>
      <c r="G357" s="99" t="str">
        <f>IFERROR(IF(venta_a_mes1254[[#This Row],[CUIT]]="","-",VLOOKUP(venta_a_mes1254[[#This Row],[CUIT]],Lista_CUIT[#All],2,0)),"CUIT NO CARGADO")</f>
        <v>-</v>
      </c>
      <c r="H357" s="100"/>
      <c r="I357" s="101">
        <f>venta_a_mes1254[[#This Row],[IMPORTE NETO]]*0.21</f>
        <v>0</v>
      </c>
      <c r="J357" s="65"/>
      <c r="K357" s="65"/>
      <c r="L357" s="65">
        <f>SUM(venta_a_mes1254[[#This Row],[IMPORTE NETO]:[EXENTO]])</f>
        <v>0</v>
      </c>
      <c r="M357" s="59"/>
    </row>
    <row r="358" spans="2:13" x14ac:dyDescent="0.3">
      <c r="B358" s="109"/>
      <c r="C358" s="41"/>
      <c r="D358" s="111"/>
      <c r="E358" s="112"/>
      <c r="F358" s="113"/>
      <c r="G358" s="99" t="str">
        <f>IFERROR(IF(venta_a_mes1254[[#This Row],[CUIT]]="","-",VLOOKUP(venta_a_mes1254[[#This Row],[CUIT]],Lista_CUIT[#All],2,0)),"CUIT NO CARGADO")</f>
        <v>-</v>
      </c>
      <c r="H358" s="100"/>
      <c r="I358" s="101">
        <f>venta_a_mes1254[[#This Row],[IMPORTE NETO]]*0.21</f>
        <v>0</v>
      </c>
      <c r="J358" s="65"/>
      <c r="K358" s="65"/>
      <c r="L358" s="65">
        <f>SUM(venta_a_mes1254[[#This Row],[IMPORTE NETO]:[EXENTO]])</f>
        <v>0</v>
      </c>
      <c r="M358" s="59"/>
    </row>
    <row r="359" spans="2:13" x14ac:dyDescent="0.3">
      <c r="B359" s="109"/>
      <c r="C359" s="41"/>
      <c r="D359" s="111"/>
      <c r="E359" s="112"/>
      <c r="F359" s="113"/>
      <c r="G359" s="99" t="str">
        <f>IFERROR(IF(venta_a_mes1254[[#This Row],[CUIT]]="","-",VLOOKUP(venta_a_mes1254[[#This Row],[CUIT]],Lista_CUIT[#All],2,0)),"CUIT NO CARGADO")</f>
        <v>-</v>
      </c>
      <c r="H359" s="100"/>
      <c r="I359" s="101">
        <f>venta_a_mes1254[[#This Row],[IMPORTE NETO]]*0.21</f>
        <v>0</v>
      </c>
      <c r="J359" s="65"/>
      <c r="K359" s="65"/>
      <c r="L359" s="65">
        <f>SUM(venta_a_mes1254[[#This Row],[IMPORTE NETO]:[EXENTO]])</f>
        <v>0</v>
      </c>
      <c r="M359" s="59"/>
    </row>
    <row r="360" spans="2:13" x14ac:dyDescent="0.3">
      <c r="B360" s="109"/>
      <c r="C360" s="41"/>
      <c r="D360" s="111"/>
      <c r="E360" s="112"/>
      <c r="F360" s="113"/>
      <c r="G360" s="99" t="str">
        <f>IFERROR(IF(venta_a_mes1254[[#This Row],[CUIT]]="","-",VLOOKUP(venta_a_mes1254[[#This Row],[CUIT]],Lista_CUIT[#All],2,0)),"CUIT NO CARGADO")</f>
        <v>-</v>
      </c>
      <c r="H360" s="100"/>
      <c r="I360" s="101">
        <f>venta_a_mes1254[[#This Row],[IMPORTE NETO]]*0.21</f>
        <v>0</v>
      </c>
      <c r="J360" s="65"/>
      <c r="K360" s="65"/>
      <c r="L360" s="65">
        <f>SUM(venta_a_mes1254[[#This Row],[IMPORTE NETO]:[EXENTO]])</f>
        <v>0</v>
      </c>
      <c r="M360" s="59"/>
    </row>
    <row r="361" spans="2:13" x14ac:dyDescent="0.3">
      <c r="B361" s="109"/>
      <c r="C361" s="41"/>
      <c r="D361" s="111"/>
      <c r="E361" s="112"/>
      <c r="F361" s="113"/>
      <c r="G361" s="99" t="str">
        <f>IFERROR(IF(venta_a_mes1254[[#This Row],[CUIT]]="","-",VLOOKUP(venta_a_mes1254[[#This Row],[CUIT]],Lista_CUIT[#All],2,0)),"CUIT NO CARGADO")</f>
        <v>-</v>
      </c>
      <c r="H361" s="100"/>
      <c r="I361" s="101">
        <f>venta_a_mes1254[[#This Row],[IMPORTE NETO]]*0.21</f>
        <v>0</v>
      </c>
      <c r="J361" s="65"/>
      <c r="K361" s="65"/>
      <c r="L361" s="65">
        <f>SUM(venta_a_mes1254[[#This Row],[IMPORTE NETO]:[EXENTO]])</f>
        <v>0</v>
      </c>
      <c r="M361" s="59"/>
    </row>
    <row r="362" spans="2:13" x14ac:dyDescent="0.3">
      <c r="B362" s="109"/>
      <c r="C362" s="41"/>
      <c r="D362" s="111"/>
      <c r="E362" s="112"/>
      <c r="F362" s="113"/>
      <c r="G362" s="99" t="str">
        <f>IFERROR(IF(venta_a_mes1254[[#This Row],[CUIT]]="","-",VLOOKUP(venta_a_mes1254[[#This Row],[CUIT]],Lista_CUIT[#All],2,0)),"CUIT NO CARGADO")</f>
        <v>-</v>
      </c>
      <c r="H362" s="100"/>
      <c r="I362" s="101">
        <f>venta_a_mes1254[[#This Row],[IMPORTE NETO]]*0.21</f>
        <v>0</v>
      </c>
      <c r="J362" s="65"/>
      <c r="K362" s="65"/>
      <c r="L362" s="65">
        <f>SUM(venta_a_mes1254[[#This Row],[IMPORTE NETO]:[EXENTO]])</f>
        <v>0</v>
      </c>
      <c r="M362" s="59"/>
    </row>
    <row r="363" spans="2:13" x14ac:dyDescent="0.3">
      <c r="B363" s="109"/>
      <c r="C363" s="41"/>
      <c r="D363" s="111"/>
      <c r="E363" s="112"/>
      <c r="F363" s="113"/>
      <c r="G363" s="99" t="str">
        <f>IFERROR(IF(venta_a_mes1254[[#This Row],[CUIT]]="","-",VLOOKUP(venta_a_mes1254[[#This Row],[CUIT]],Lista_CUIT[#All],2,0)),"CUIT NO CARGADO")</f>
        <v>-</v>
      </c>
      <c r="H363" s="100"/>
      <c r="I363" s="101">
        <f>venta_a_mes1254[[#This Row],[IMPORTE NETO]]*0.21</f>
        <v>0</v>
      </c>
      <c r="J363" s="65"/>
      <c r="K363" s="65"/>
      <c r="L363" s="65">
        <f>SUM(venta_a_mes1254[[#This Row],[IMPORTE NETO]:[EXENTO]])</f>
        <v>0</v>
      </c>
      <c r="M363" s="59"/>
    </row>
    <row r="364" spans="2:13" x14ac:dyDescent="0.3">
      <c r="B364" s="109"/>
      <c r="C364" s="41"/>
      <c r="D364" s="111"/>
      <c r="E364" s="112"/>
      <c r="F364" s="113"/>
      <c r="G364" s="99" t="str">
        <f>IFERROR(IF(venta_a_mes1254[[#This Row],[CUIT]]="","-",VLOOKUP(venta_a_mes1254[[#This Row],[CUIT]],Lista_CUIT[#All],2,0)),"CUIT NO CARGADO")</f>
        <v>-</v>
      </c>
      <c r="H364" s="100"/>
      <c r="I364" s="101">
        <f>venta_a_mes1254[[#This Row],[IMPORTE NETO]]*0.21</f>
        <v>0</v>
      </c>
      <c r="J364" s="65"/>
      <c r="K364" s="65"/>
      <c r="L364" s="65">
        <f>SUM(venta_a_mes1254[[#This Row],[IMPORTE NETO]:[EXENTO]])</f>
        <v>0</v>
      </c>
      <c r="M364" s="59"/>
    </row>
    <row r="365" spans="2:13" x14ac:dyDescent="0.3">
      <c r="B365" s="109"/>
      <c r="C365" s="41"/>
      <c r="D365" s="111"/>
      <c r="E365" s="112"/>
      <c r="F365" s="113"/>
      <c r="G365" s="99" t="str">
        <f>IFERROR(IF(venta_a_mes1254[[#This Row],[CUIT]]="","-",VLOOKUP(venta_a_mes1254[[#This Row],[CUIT]],Lista_CUIT[#All],2,0)),"CUIT NO CARGADO")</f>
        <v>-</v>
      </c>
      <c r="H365" s="100"/>
      <c r="I365" s="101">
        <f>venta_a_mes1254[[#This Row],[IMPORTE NETO]]*0.21</f>
        <v>0</v>
      </c>
      <c r="J365" s="65"/>
      <c r="K365" s="65"/>
      <c r="L365" s="65">
        <f>SUM(venta_a_mes1254[[#This Row],[IMPORTE NETO]:[EXENTO]])</f>
        <v>0</v>
      </c>
      <c r="M365" s="59"/>
    </row>
    <row r="366" spans="2:13" x14ac:dyDescent="0.3">
      <c r="B366" s="109"/>
      <c r="C366" s="41"/>
      <c r="D366" s="111"/>
      <c r="E366" s="112"/>
      <c r="F366" s="113"/>
      <c r="G366" s="99" t="str">
        <f>IFERROR(IF(venta_a_mes1254[[#This Row],[CUIT]]="","-",VLOOKUP(venta_a_mes1254[[#This Row],[CUIT]],Lista_CUIT[#All],2,0)),"CUIT NO CARGADO")</f>
        <v>-</v>
      </c>
      <c r="H366" s="100"/>
      <c r="I366" s="101">
        <f>venta_a_mes1254[[#This Row],[IMPORTE NETO]]*0.21</f>
        <v>0</v>
      </c>
      <c r="J366" s="65"/>
      <c r="K366" s="65"/>
      <c r="L366" s="65">
        <f>SUM(venta_a_mes1254[[#This Row],[IMPORTE NETO]:[EXENTO]])</f>
        <v>0</v>
      </c>
      <c r="M366" s="59"/>
    </row>
    <row r="367" spans="2:13" x14ac:dyDescent="0.3">
      <c r="B367" s="109"/>
      <c r="C367" s="41"/>
      <c r="D367" s="111"/>
      <c r="E367" s="112"/>
      <c r="F367" s="113"/>
      <c r="G367" s="99" t="str">
        <f>IFERROR(IF(venta_a_mes1254[[#This Row],[CUIT]]="","-",VLOOKUP(venta_a_mes1254[[#This Row],[CUIT]],Lista_CUIT[#All],2,0)),"CUIT NO CARGADO")</f>
        <v>-</v>
      </c>
      <c r="H367" s="100"/>
      <c r="I367" s="101">
        <f>venta_a_mes1254[[#This Row],[IMPORTE NETO]]*0.21</f>
        <v>0</v>
      </c>
      <c r="J367" s="65"/>
      <c r="K367" s="65"/>
      <c r="L367" s="65">
        <f>SUM(venta_a_mes1254[[#This Row],[IMPORTE NETO]:[EXENTO]])</f>
        <v>0</v>
      </c>
      <c r="M367" s="59"/>
    </row>
    <row r="368" spans="2:13" x14ac:dyDescent="0.3">
      <c r="B368" s="109"/>
      <c r="C368" s="41"/>
      <c r="D368" s="111"/>
      <c r="E368" s="112"/>
      <c r="F368" s="113"/>
      <c r="G368" s="99" t="str">
        <f>IFERROR(IF(venta_a_mes1254[[#This Row],[CUIT]]="","-",VLOOKUP(venta_a_mes1254[[#This Row],[CUIT]],Lista_CUIT[#All],2,0)),"CUIT NO CARGADO")</f>
        <v>-</v>
      </c>
      <c r="H368" s="100"/>
      <c r="I368" s="101">
        <f>venta_a_mes1254[[#This Row],[IMPORTE NETO]]*0.21</f>
        <v>0</v>
      </c>
      <c r="J368" s="65"/>
      <c r="K368" s="65"/>
      <c r="L368" s="65">
        <f>SUM(venta_a_mes1254[[#This Row],[IMPORTE NETO]:[EXENTO]])</f>
        <v>0</v>
      </c>
      <c r="M368" s="59"/>
    </row>
    <row r="369" spans="2:13" x14ac:dyDescent="0.3">
      <c r="B369" s="109"/>
      <c r="C369" s="41"/>
      <c r="D369" s="111"/>
      <c r="E369" s="112"/>
      <c r="F369" s="113"/>
      <c r="G369" s="99" t="str">
        <f>IFERROR(IF(venta_a_mes1254[[#This Row],[CUIT]]="","-",VLOOKUP(venta_a_mes1254[[#This Row],[CUIT]],Lista_CUIT[#All],2,0)),"CUIT NO CARGADO")</f>
        <v>-</v>
      </c>
      <c r="H369" s="100"/>
      <c r="I369" s="101">
        <f>venta_a_mes1254[[#This Row],[IMPORTE NETO]]*0.21</f>
        <v>0</v>
      </c>
      <c r="J369" s="65"/>
      <c r="K369" s="65"/>
      <c r="L369" s="65">
        <f>SUM(venta_a_mes1254[[#This Row],[IMPORTE NETO]:[EXENTO]])</f>
        <v>0</v>
      </c>
      <c r="M369" s="59"/>
    </row>
    <row r="370" spans="2:13" x14ac:dyDescent="0.3">
      <c r="B370" s="109"/>
      <c r="C370" s="41"/>
      <c r="D370" s="111"/>
      <c r="E370" s="112"/>
      <c r="F370" s="113"/>
      <c r="G370" s="99" t="str">
        <f>IFERROR(IF(venta_a_mes1254[[#This Row],[CUIT]]="","-",VLOOKUP(venta_a_mes1254[[#This Row],[CUIT]],Lista_CUIT[#All],2,0)),"CUIT NO CARGADO")</f>
        <v>-</v>
      </c>
      <c r="H370" s="100"/>
      <c r="I370" s="101">
        <f>venta_a_mes1254[[#This Row],[IMPORTE NETO]]*0.21</f>
        <v>0</v>
      </c>
      <c r="J370" s="65"/>
      <c r="K370" s="65"/>
      <c r="L370" s="65">
        <f>SUM(venta_a_mes1254[[#This Row],[IMPORTE NETO]:[EXENTO]])</f>
        <v>0</v>
      </c>
      <c r="M370" s="59"/>
    </row>
    <row r="371" spans="2:13" x14ac:dyDescent="0.3">
      <c r="B371" s="109"/>
      <c r="C371" s="41"/>
      <c r="D371" s="111"/>
      <c r="E371" s="112"/>
      <c r="F371" s="113"/>
      <c r="G371" s="99" t="str">
        <f>IFERROR(IF(venta_a_mes1254[[#This Row],[CUIT]]="","-",VLOOKUP(venta_a_mes1254[[#This Row],[CUIT]],Lista_CUIT[#All],2,0)),"CUIT NO CARGADO")</f>
        <v>-</v>
      </c>
      <c r="H371" s="100"/>
      <c r="I371" s="101">
        <f>venta_a_mes1254[[#This Row],[IMPORTE NETO]]*0.21</f>
        <v>0</v>
      </c>
      <c r="J371" s="65"/>
      <c r="K371" s="65"/>
      <c r="L371" s="65">
        <f>SUM(venta_a_mes1254[[#This Row],[IMPORTE NETO]:[EXENTO]])</f>
        <v>0</v>
      </c>
      <c r="M371" s="59"/>
    </row>
    <row r="372" spans="2:13" x14ac:dyDescent="0.3">
      <c r="B372" s="109"/>
      <c r="C372" s="41"/>
      <c r="D372" s="111"/>
      <c r="E372" s="112"/>
      <c r="F372" s="113"/>
      <c r="G372" s="99" t="str">
        <f>IFERROR(IF(venta_a_mes1254[[#This Row],[CUIT]]="","-",VLOOKUP(venta_a_mes1254[[#This Row],[CUIT]],Lista_CUIT[#All],2,0)),"CUIT NO CARGADO")</f>
        <v>-</v>
      </c>
      <c r="H372" s="100"/>
      <c r="I372" s="101">
        <f>venta_a_mes1254[[#This Row],[IMPORTE NETO]]*0.21</f>
        <v>0</v>
      </c>
      <c r="J372" s="65"/>
      <c r="K372" s="65"/>
      <c r="L372" s="65">
        <f>SUM(venta_a_mes1254[[#This Row],[IMPORTE NETO]:[EXENTO]])</f>
        <v>0</v>
      </c>
      <c r="M372" s="59"/>
    </row>
    <row r="373" spans="2:13" x14ac:dyDescent="0.3">
      <c r="B373" s="109"/>
      <c r="C373" s="41"/>
      <c r="D373" s="111"/>
      <c r="E373" s="112"/>
      <c r="F373" s="113"/>
      <c r="G373" s="99" t="str">
        <f>IFERROR(IF(venta_a_mes1254[[#This Row],[CUIT]]="","-",VLOOKUP(venta_a_mes1254[[#This Row],[CUIT]],Lista_CUIT[#All],2,0)),"CUIT NO CARGADO")</f>
        <v>-</v>
      </c>
      <c r="H373" s="100"/>
      <c r="I373" s="101">
        <f>venta_a_mes1254[[#This Row],[IMPORTE NETO]]*0.21</f>
        <v>0</v>
      </c>
      <c r="J373" s="65"/>
      <c r="K373" s="65"/>
      <c r="L373" s="65">
        <f>SUM(venta_a_mes1254[[#This Row],[IMPORTE NETO]:[EXENTO]])</f>
        <v>0</v>
      </c>
      <c r="M373" s="59"/>
    </row>
    <row r="374" spans="2:13" x14ac:dyDescent="0.3">
      <c r="B374" s="109"/>
      <c r="C374" s="41"/>
      <c r="D374" s="111"/>
      <c r="E374" s="112"/>
      <c r="F374" s="113"/>
      <c r="G374" s="99" t="str">
        <f>IFERROR(IF(venta_a_mes1254[[#This Row],[CUIT]]="","-",VLOOKUP(venta_a_mes1254[[#This Row],[CUIT]],Lista_CUIT[#All],2,0)),"CUIT NO CARGADO")</f>
        <v>-</v>
      </c>
      <c r="H374" s="100"/>
      <c r="I374" s="101">
        <f>venta_a_mes1254[[#This Row],[IMPORTE NETO]]*0.21</f>
        <v>0</v>
      </c>
      <c r="J374" s="65"/>
      <c r="K374" s="65"/>
      <c r="L374" s="65">
        <f>SUM(venta_a_mes1254[[#This Row],[IMPORTE NETO]:[EXENTO]])</f>
        <v>0</v>
      </c>
      <c r="M374" s="59"/>
    </row>
    <row r="375" spans="2:13" x14ac:dyDescent="0.3">
      <c r="B375" s="109"/>
      <c r="C375" s="41"/>
      <c r="D375" s="111"/>
      <c r="E375" s="112"/>
      <c r="F375" s="113"/>
      <c r="G375" s="99" t="str">
        <f>IFERROR(IF(venta_a_mes1254[[#This Row],[CUIT]]="","-",VLOOKUP(venta_a_mes1254[[#This Row],[CUIT]],Lista_CUIT[#All],2,0)),"CUIT NO CARGADO")</f>
        <v>-</v>
      </c>
      <c r="H375" s="100"/>
      <c r="I375" s="101">
        <f>venta_a_mes1254[[#This Row],[IMPORTE NETO]]*0.21</f>
        <v>0</v>
      </c>
      <c r="J375" s="65"/>
      <c r="K375" s="65"/>
      <c r="L375" s="65">
        <f>SUM(venta_a_mes1254[[#This Row],[IMPORTE NETO]:[EXENTO]])</f>
        <v>0</v>
      </c>
      <c r="M375" s="59"/>
    </row>
    <row r="376" spans="2:13" x14ac:dyDescent="0.3">
      <c r="B376" s="109"/>
      <c r="C376" s="41"/>
      <c r="D376" s="111"/>
      <c r="E376" s="112"/>
      <c r="F376" s="113"/>
      <c r="G376" s="99" t="str">
        <f>IFERROR(IF(venta_a_mes1254[[#This Row],[CUIT]]="","-",VLOOKUP(venta_a_mes1254[[#This Row],[CUIT]],Lista_CUIT[#All],2,0)),"CUIT NO CARGADO")</f>
        <v>-</v>
      </c>
      <c r="H376" s="100"/>
      <c r="I376" s="101">
        <f>venta_a_mes1254[[#This Row],[IMPORTE NETO]]*0.21</f>
        <v>0</v>
      </c>
      <c r="J376" s="65"/>
      <c r="K376" s="65"/>
      <c r="L376" s="65">
        <f>SUM(venta_a_mes1254[[#This Row],[IMPORTE NETO]:[EXENTO]])</f>
        <v>0</v>
      </c>
      <c r="M376" s="59"/>
    </row>
    <row r="377" spans="2:13" x14ac:dyDescent="0.3">
      <c r="B377" s="109"/>
      <c r="C377" s="41"/>
      <c r="D377" s="111"/>
      <c r="E377" s="112"/>
      <c r="F377" s="113"/>
      <c r="G377" s="99" t="str">
        <f>IFERROR(IF(venta_a_mes1254[[#This Row],[CUIT]]="","-",VLOOKUP(venta_a_mes1254[[#This Row],[CUIT]],Lista_CUIT[#All],2,0)),"CUIT NO CARGADO")</f>
        <v>-</v>
      </c>
      <c r="H377" s="100"/>
      <c r="I377" s="101">
        <f>venta_a_mes1254[[#This Row],[IMPORTE NETO]]*0.21</f>
        <v>0</v>
      </c>
      <c r="J377" s="65"/>
      <c r="K377" s="65"/>
      <c r="L377" s="65">
        <f>SUM(venta_a_mes1254[[#This Row],[IMPORTE NETO]:[EXENTO]])</f>
        <v>0</v>
      </c>
      <c r="M377" s="59"/>
    </row>
    <row r="378" spans="2:13" x14ac:dyDescent="0.3">
      <c r="B378" s="109"/>
      <c r="C378" s="41"/>
      <c r="D378" s="111"/>
      <c r="E378" s="112"/>
      <c r="F378" s="113"/>
      <c r="G378" s="99" t="str">
        <f>IFERROR(IF(venta_a_mes1254[[#This Row],[CUIT]]="","-",VLOOKUP(venta_a_mes1254[[#This Row],[CUIT]],Lista_CUIT[#All],2,0)),"CUIT NO CARGADO")</f>
        <v>-</v>
      </c>
      <c r="H378" s="100"/>
      <c r="I378" s="101">
        <f>venta_a_mes1254[[#This Row],[IMPORTE NETO]]*0.21</f>
        <v>0</v>
      </c>
      <c r="J378" s="65"/>
      <c r="K378" s="65"/>
      <c r="L378" s="65">
        <f>SUM(venta_a_mes1254[[#This Row],[IMPORTE NETO]:[EXENTO]])</f>
        <v>0</v>
      </c>
      <c r="M378" s="59"/>
    </row>
    <row r="379" spans="2:13" x14ac:dyDescent="0.3">
      <c r="B379" s="109"/>
      <c r="C379" s="41"/>
      <c r="D379" s="111"/>
      <c r="E379" s="112"/>
      <c r="F379" s="113"/>
      <c r="G379" s="99" t="str">
        <f>IFERROR(IF(venta_a_mes1254[[#This Row],[CUIT]]="","-",VLOOKUP(venta_a_mes1254[[#This Row],[CUIT]],Lista_CUIT[#All],2,0)),"CUIT NO CARGADO")</f>
        <v>-</v>
      </c>
      <c r="H379" s="100"/>
      <c r="I379" s="101">
        <f>venta_a_mes1254[[#This Row],[IMPORTE NETO]]*0.21</f>
        <v>0</v>
      </c>
      <c r="J379" s="65"/>
      <c r="K379" s="65"/>
      <c r="L379" s="65">
        <f>SUM(venta_a_mes1254[[#This Row],[IMPORTE NETO]:[EXENTO]])</f>
        <v>0</v>
      </c>
      <c r="M379" s="59"/>
    </row>
    <row r="380" spans="2:13" x14ac:dyDescent="0.3">
      <c r="B380" s="109"/>
      <c r="C380" s="41"/>
      <c r="D380" s="111"/>
      <c r="E380" s="112"/>
      <c r="F380" s="113"/>
      <c r="G380" s="99" t="str">
        <f>IFERROR(IF(venta_a_mes1254[[#This Row],[CUIT]]="","-",VLOOKUP(venta_a_mes1254[[#This Row],[CUIT]],Lista_CUIT[#All],2,0)),"CUIT NO CARGADO")</f>
        <v>-</v>
      </c>
      <c r="H380" s="100"/>
      <c r="I380" s="101">
        <f>venta_a_mes1254[[#This Row],[IMPORTE NETO]]*0.21</f>
        <v>0</v>
      </c>
      <c r="J380" s="65"/>
      <c r="K380" s="65"/>
      <c r="L380" s="65">
        <f>SUM(venta_a_mes1254[[#This Row],[IMPORTE NETO]:[EXENTO]])</f>
        <v>0</v>
      </c>
      <c r="M380" s="59"/>
    </row>
    <row r="381" spans="2:13" x14ac:dyDescent="0.3">
      <c r="B381" s="109"/>
      <c r="C381" s="41"/>
      <c r="D381" s="111"/>
      <c r="E381" s="112"/>
      <c r="F381" s="113"/>
      <c r="G381" s="99" t="str">
        <f>IFERROR(IF(venta_a_mes1254[[#This Row],[CUIT]]="","-",VLOOKUP(venta_a_mes1254[[#This Row],[CUIT]],Lista_CUIT[#All],2,0)),"CUIT NO CARGADO")</f>
        <v>-</v>
      </c>
      <c r="H381" s="100"/>
      <c r="I381" s="101">
        <f>venta_a_mes1254[[#This Row],[IMPORTE NETO]]*0.21</f>
        <v>0</v>
      </c>
      <c r="J381" s="65"/>
      <c r="K381" s="65"/>
      <c r="L381" s="65">
        <f>SUM(venta_a_mes1254[[#This Row],[IMPORTE NETO]:[EXENTO]])</f>
        <v>0</v>
      </c>
      <c r="M381" s="59"/>
    </row>
    <row r="382" spans="2:13" x14ac:dyDescent="0.3">
      <c r="B382" s="109"/>
      <c r="C382" s="41"/>
      <c r="D382" s="111"/>
      <c r="E382" s="112"/>
      <c r="F382" s="113"/>
      <c r="G382" s="99" t="str">
        <f>IFERROR(IF(venta_a_mes1254[[#This Row],[CUIT]]="","-",VLOOKUP(venta_a_mes1254[[#This Row],[CUIT]],Lista_CUIT[#All],2,0)),"CUIT NO CARGADO")</f>
        <v>-</v>
      </c>
      <c r="H382" s="100"/>
      <c r="I382" s="101">
        <f>venta_a_mes1254[[#This Row],[IMPORTE NETO]]*0.21</f>
        <v>0</v>
      </c>
      <c r="J382" s="65"/>
      <c r="K382" s="65"/>
      <c r="L382" s="65">
        <f>SUM(venta_a_mes1254[[#This Row],[IMPORTE NETO]:[EXENTO]])</f>
        <v>0</v>
      </c>
      <c r="M382" s="59"/>
    </row>
    <row r="383" spans="2:13" x14ac:dyDescent="0.3">
      <c r="B383" s="109"/>
      <c r="C383" s="41"/>
      <c r="D383" s="111"/>
      <c r="E383" s="112"/>
      <c r="F383" s="113"/>
      <c r="G383" s="99" t="str">
        <f>IFERROR(IF(venta_a_mes1254[[#This Row],[CUIT]]="","-",VLOOKUP(venta_a_mes1254[[#This Row],[CUIT]],Lista_CUIT[#All],2,0)),"CUIT NO CARGADO")</f>
        <v>-</v>
      </c>
      <c r="H383" s="100"/>
      <c r="I383" s="101">
        <f>venta_a_mes1254[[#This Row],[IMPORTE NETO]]*0.21</f>
        <v>0</v>
      </c>
      <c r="J383" s="65"/>
      <c r="K383" s="65"/>
      <c r="L383" s="65">
        <f>SUM(venta_a_mes1254[[#This Row],[IMPORTE NETO]:[EXENTO]])</f>
        <v>0</v>
      </c>
      <c r="M383" s="59"/>
    </row>
    <row r="384" spans="2:13" x14ac:dyDescent="0.3">
      <c r="B384" s="109"/>
      <c r="C384" s="41"/>
      <c r="D384" s="111"/>
      <c r="E384" s="112"/>
      <c r="F384" s="113"/>
      <c r="G384" s="99" t="str">
        <f>IFERROR(IF(venta_a_mes1254[[#This Row],[CUIT]]="","-",VLOOKUP(venta_a_mes1254[[#This Row],[CUIT]],Lista_CUIT[#All],2,0)),"CUIT NO CARGADO")</f>
        <v>-</v>
      </c>
      <c r="H384" s="100"/>
      <c r="I384" s="101">
        <f>venta_a_mes1254[[#This Row],[IMPORTE NETO]]*0.21</f>
        <v>0</v>
      </c>
      <c r="J384" s="65"/>
      <c r="K384" s="65"/>
      <c r="L384" s="65">
        <f>SUM(venta_a_mes1254[[#This Row],[IMPORTE NETO]:[EXENTO]])</f>
        <v>0</v>
      </c>
      <c r="M384" s="59"/>
    </row>
    <row r="385" spans="2:13" x14ac:dyDescent="0.3">
      <c r="B385" s="109"/>
      <c r="C385" s="41"/>
      <c r="D385" s="111"/>
      <c r="E385" s="112"/>
      <c r="F385" s="113"/>
      <c r="G385" s="99" t="str">
        <f>IFERROR(IF(venta_a_mes1254[[#This Row],[CUIT]]="","-",VLOOKUP(venta_a_mes1254[[#This Row],[CUIT]],Lista_CUIT[#All],2,0)),"CUIT NO CARGADO")</f>
        <v>-</v>
      </c>
      <c r="H385" s="100"/>
      <c r="I385" s="101">
        <f>venta_a_mes1254[[#This Row],[IMPORTE NETO]]*0.21</f>
        <v>0</v>
      </c>
      <c r="J385" s="65"/>
      <c r="K385" s="65"/>
      <c r="L385" s="65">
        <f>SUM(venta_a_mes1254[[#This Row],[IMPORTE NETO]:[EXENTO]])</f>
        <v>0</v>
      </c>
      <c r="M385" s="59"/>
    </row>
    <row r="386" spans="2:13" x14ac:dyDescent="0.3">
      <c r="B386" s="109"/>
      <c r="C386" s="41"/>
      <c r="D386" s="111"/>
      <c r="E386" s="112"/>
      <c r="F386" s="113"/>
      <c r="G386" s="99" t="str">
        <f>IFERROR(IF(venta_a_mes1254[[#This Row],[CUIT]]="","-",VLOOKUP(venta_a_mes1254[[#This Row],[CUIT]],Lista_CUIT[#All],2,0)),"CUIT NO CARGADO")</f>
        <v>-</v>
      </c>
      <c r="H386" s="100"/>
      <c r="I386" s="101">
        <f>venta_a_mes1254[[#This Row],[IMPORTE NETO]]*0.21</f>
        <v>0</v>
      </c>
      <c r="J386" s="65"/>
      <c r="K386" s="65"/>
      <c r="L386" s="65">
        <f>SUM(venta_a_mes1254[[#This Row],[IMPORTE NETO]:[EXENTO]])</f>
        <v>0</v>
      </c>
      <c r="M386" s="59"/>
    </row>
    <row r="387" spans="2:13" x14ac:dyDescent="0.3">
      <c r="B387" s="109"/>
      <c r="C387" s="41"/>
      <c r="D387" s="111"/>
      <c r="E387" s="112"/>
      <c r="F387" s="113"/>
      <c r="G387" s="99" t="str">
        <f>IFERROR(IF(venta_a_mes1254[[#This Row],[CUIT]]="","-",VLOOKUP(venta_a_mes1254[[#This Row],[CUIT]],Lista_CUIT[#All],2,0)),"CUIT NO CARGADO")</f>
        <v>-</v>
      </c>
      <c r="H387" s="100"/>
      <c r="I387" s="101">
        <f>venta_a_mes1254[[#This Row],[IMPORTE NETO]]*0.21</f>
        <v>0</v>
      </c>
      <c r="J387" s="65"/>
      <c r="K387" s="65"/>
      <c r="L387" s="65">
        <f>SUM(venta_a_mes1254[[#This Row],[IMPORTE NETO]:[EXENTO]])</f>
        <v>0</v>
      </c>
      <c r="M387" s="59"/>
    </row>
    <row r="388" spans="2:13" x14ac:dyDescent="0.3">
      <c r="B388" s="109"/>
      <c r="C388" s="41"/>
      <c r="D388" s="111"/>
      <c r="E388" s="112"/>
      <c r="F388" s="113"/>
      <c r="G388" s="99" t="str">
        <f>IFERROR(IF(venta_a_mes1254[[#This Row],[CUIT]]="","-",VLOOKUP(venta_a_mes1254[[#This Row],[CUIT]],Lista_CUIT[#All],2,0)),"CUIT NO CARGADO")</f>
        <v>-</v>
      </c>
      <c r="H388" s="100"/>
      <c r="I388" s="101">
        <f>venta_a_mes1254[[#This Row],[IMPORTE NETO]]*0.21</f>
        <v>0</v>
      </c>
      <c r="J388" s="65"/>
      <c r="K388" s="65"/>
      <c r="L388" s="65">
        <f>SUM(venta_a_mes1254[[#This Row],[IMPORTE NETO]:[EXENTO]])</f>
        <v>0</v>
      </c>
      <c r="M388" s="59"/>
    </row>
    <row r="389" spans="2:13" x14ac:dyDescent="0.3">
      <c r="B389" s="109"/>
      <c r="C389" s="41"/>
      <c r="D389" s="111"/>
      <c r="E389" s="112"/>
      <c r="F389" s="113"/>
      <c r="G389" s="99" t="str">
        <f>IFERROR(IF(venta_a_mes1254[[#This Row],[CUIT]]="","-",VLOOKUP(venta_a_mes1254[[#This Row],[CUIT]],Lista_CUIT[#All],2,0)),"CUIT NO CARGADO")</f>
        <v>-</v>
      </c>
      <c r="H389" s="100"/>
      <c r="I389" s="101">
        <f>venta_a_mes1254[[#This Row],[IMPORTE NETO]]*0.21</f>
        <v>0</v>
      </c>
      <c r="J389" s="65"/>
      <c r="K389" s="65"/>
      <c r="L389" s="65">
        <f>SUM(venta_a_mes1254[[#This Row],[IMPORTE NETO]:[EXENTO]])</f>
        <v>0</v>
      </c>
      <c r="M389" s="59"/>
    </row>
    <row r="390" spans="2:13" x14ac:dyDescent="0.3">
      <c r="B390" s="109"/>
      <c r="C390" s="41"/>
      <c r="D390" s="111"/>
      <c r="E390" s="112"/>
      <c r="F390" s="113"/>
      <c r="G390" s="99" t="str">
        <f>IFERROR(IF(venta_a_mes1254[[#This Row],[CUIT]]="","-",VLOOKUP(venta_a_mes1254[[#This Row],[CUIT]],Lista_CUIT[#All],2,0)),"CUIT NO CARGADO")</f>
        <v>-</v>
      </c>
      <c r="H390" s="100"/>
      <c r="I390" s="101">
        <f>venta_a_mes1254[[#This Row],[IMPORTE NETO]]*0.21</f>
        <v>0</v>
      </c>
      <c r="J390" s="65"/>
      <c r="K390" s="65"/>
      <c r="L390" s="65">
        <f>SUM(venta_a_mes1254[[#This Row],[IMPORTE NETO]:[EXENTO]])</f>
        <v>0</v>
      </c>
      <c r="M390" s="59"/>
    </row>
    <row r="391" spans="2:13" x14ac:dyDescent="0.3">
      <c r="B391" s="109"/>
      <c r="C391" s="41"/>
      <c r="D391" s="111"/>
      <c r="E391" s="112"/>
      <c r="F391" s="113"/>
      <c r="G391" s="99" t="str">
        <f>IFERROR(IF(venta_a_mes1254[[#This Row],[CUIT]]="","-",VLOOKUP(venta_a_mes1254[[#This Row],[CUIT]],Lista_CUIT[#All],2,0)),"CUIT NO CARGADO")</f>
        <v>-</v>
      </c>
      <c r="H391" s="100"/>
      <c r="I391" s="101">
        <f>venta_a_mes1254[[#This Row],[IMPORTE NETO]]*0.21</f>
        <v>0</v>
      </c>
      <c r="J391" s="65"/>
      <c r="K391" s="65"/>
      <c r="L391" s="65">
        <f>SUM(venta_a_mes1254[[#This Row],[IMPORTE NETO]:[EXENTO]])</f>
        <v>0</v>
      </c>
      <c r="M391" s="59"/>
    </row>
    <row r="392" spans="2:13" x14ac:dyDescent="0.3">
      <c r="B392" s="109"/>
      <c r="C392" s="41"/>
      <c r="D392" s="111"/>
      <c r="E392" s="112"/>
      <c r="F392" s="113"/>
      <c r="G392" s="99" t="str">
        <f>IFERROR(IF(venta_a_mes1254[[#This Row],[CUIT]]="","-",VLOOKUP(venta_a_mes1254[[#This Row],[CUIT]],Lista_CUIT[#All],2,0)),"CUIT NO CARGADO")</f>
        <v>-</v>
      </c>
      <c r="H392" s="100"/>
      <c r="I392" s="101">
        <f>venta_a_mes1254[[#This Row],[IMPORTE NETO]]*0.21</f>
        <v>0</v>
      </c>
      <c r="J392" s="65"/>
      <c r="K392" s="65"/>
      <c r="L392" s="65">
        <f>SUM(venta_a_mes1254[[#This Row],[IMPORTE NETO]:[EXENTO]])</f>
        <v>0</v>
      </c>
      <c r="M392" s="59"/>
    </row>
    <row r="393" spans="2:13" x14ac:dyDescent="0.3">
      <c r="B393" s="109"/>
      <c r="C393" s="41"/>
      <c r="D393" s="111"/>
      <c r="E393" s="112"/>
      <c r="F393" s="113"/>
      <c r="G393" s="99" t="str">
        <f>IFERROR(IF(venta_a_mes1254[[#This Row],[CUIT]]="","-",VLOOKUP(venta_a_mes1254[[#This Row],[CUIT]],Lista_CUIT[#All],2,0)),"CUIT NO CARGADO")</f>
        <v>-</v>
      </c>
      <c r="H393" s="100"/>
      <c r="I393" s="101">
        <f>venta_a_mes1254[[#This Row],[IMPORTE NETO]]*0.21</f>
        <v>0</v>
      </c>
      <c r="J393" s="65"/>
      <c r="K393" s="65"/>
      <c r="L393" s="65">
        <f>SUM(venta_a_mes1254[[#This Row],[IMPORTE NETO]:[EXENTO]])</f>
        <v>0</v>
      </c>
      <c r="M393" s="59"/>
    </row>
    <row r="394" spans="2:13" x14ac:dyDescent="0.3">
      <c r="B394" s="109"/>
      <c r="C394" s="41"/>
      <c r="D394" s="111"/>
      <c r="E394" s="112"/>
      <c r="F394" s="113"/>
      <c r="G394" s="99" t="str">
        <f>IFERROR(IF(venta_a_mes1254[[#This Row],[CUIT]]="","-",VLOOKUP(venta_a_mes1254[[#This Row],[CUIT]],Lista_CUIT[#All],2,0)),"CUIT NO CARGADO")</f>
        <v>-</v>
      </c>
      <c r="H394" s="100"/>
      <c r="I394" s="101">
        <f>venta_a_mes1254[[#This Row],[IMPORTE NETO]]*0.21</f>
        <v>0</v>
      </c>
      <c r="J394" s="65"/>
      <c r="K394" s="65"/>
      <c r="L394" s="65">
        <f>SUM(venta_a_mes1254[[#This Row],[IMPORTE NETO]:[EXENTO]])</f>
        <v>0</v>
      </c>
      <c r="M394" s="59"/>
    </row>
    <row r="395" spans="2:13" x14ac:dyDescent="0.3">
      <c r="B395" s="109"/>
      <c r="C395" s="41"/>
      <c r="D395" s="111"/>
      <c r="E395" s="112"/>
      <c r="F395" s="113"/>
      <c r="G395" s="99" t="str">
        <f>IFERROR(IF(venta_a_mes1254[[#This Row],[CUIT]]="","-",VLOOKUP(venta_a_mes1254[[#This Row],[CUIT]],Lista_CUIT[#All],2,0)),"CUIT NO CARGADO")</f>
        <v>-</v>
      </c>
      <c r="H395" s="100"/>
      <c r="I395" s="101">
        <f>venta_a_mes1254[[#This Row],[IMPORTE NETO]]*0.21</f>
        <v>0</v>
      </c>
      <c r="J395" s="65"/>
      <c r="K395" s="65"/>
      <c r="L395" s="65">
        <f>SUM(venta_a_mes1254[[#This Row],[IMPORTE NETO]:[EXENTO]])</f>
        <v>0</v>
      </c>
      <c r="M395" s="59"/>
    </row>
    <row r="396" spans="2:13" x14ac:dyDescent="0.3">
      <c r="B396" s="109"/>
      <c r="C396" s="41"/>
      <c r="D396" s="111"/>
      <c r="E396" s="112"/>
      <c r="F396" s="113"/>
      <c r="G396" s="99" t="str">
        <f>IFERROR(IF(venta_a_mes1254[[#This Row],[CUIT]]="","-",VLOOKUP(venta_a_mes1254[[#This Row],[CUIT]],Lista_CUIT[#All],2,0)),"CUIT NO CARGADO")</f>
        <v>-</v>
      </c>
      <c r="H396" s="100"/>
      <c r="I396" s="101">
        <f>venta_a_mes1254[[#This Row],[IMPORTE NETO]]*0.21</f>
        <v>0</v>
      </c>
      <c r="J396" s="65"/>
      <c r="K396" s="65"/>
      <c r="L396" s="65">
        <f>SUM(venta_a_mes1254[[#This Row],[IMPORTE NETO]:[EXENTO]])</f>
        <v>0</v>
      </c>
      <c r="M396" s="59"/>
    </row>
    <row r="397" spans="2:13" x14ac:dyDescent="0.3">
      <c r="B397" s="109"/>
      <c r="C397" s="41"/>
      <c r="D397" s="111"/>
      <c r="E397" s="112"/>
      <c r="F397" s="113"/>
      <c r="G397" s="99" t="str">
        <f>IFERROR(IF(venta_a_mes1254[[#This Row],[CUIT]]="","-",VLOOKUP(venta_a_mes1254[[#This Row],[CUIT]],Lista_CUIT[#All],2,0)),"CUIT NO CARGADO")</f>
        <v>-</v>
      </c>
      <c r="H397" s="100"/>
      <c r="I397" s="101">
        <f>venta_a_mes1254[[#This Row],[IMPORTE NETO]]*0.21</f>
        <v>0</v>
      </c>
      <c r="J397" s="65"/>
      <c r="K397" s="65"/>
      <c r="L397" s="65">
        <f>SUM(venta_a_mes1254[[#This Row],[IMPORTE NETO]:[EXENTO]])</f>
        <v>0</v>
      </c>
      <c r="M397" s="59"/>
    </row>
    <row r="398" spans="2:13" x14ac:dyDescent="0.3">
      <c r="B398" s="109"/>
      <c r="C398" s="41"/>
      <c r="D398" s="111"/>
      <c r="E398" s="112"/>
      <c r="F398" s="113"/>
      <c r="G398" s="99" t="str">
        <f>IFERROR(IF(venta_a_mes1254[[#This Row],[CUIT]]="","-",VLOOKUP(venta_a_mes1254[[#This Row],[CUIT]],Lista_CUIT[#All],2,0)),"CUIT NO CARGADO")</f>
        <v>-</v>
      </c>
      <c r="H398" s="100"/>
      <c r="I398" s="101">
        <f>venta_a_mes1254[[#This Row],[IMPORTE NETO]]*0.21</f>
        <v>0</v>
      </c>
      <c r="J398" s="65"/>
      <c r="K398" s="65"/>
      <c r="L398" s="65">
        <f>SUM(venta_a_mes1254[[#This Row],[IMPORTE NETO]:[EXENTO]])</f>
        <v>0</v>
      </c>
      <c r="M398" s="59"/>
    </row>
    <row r="399" spans="2:13" x14ac:dyDescent="0.3">
      <c r="B399" s="109"/>
      <c r="C399" s="41"/>
      <c r="D399" s="111"/>
      <c r="E399" s="112"/>
      <c r="F399" s="113"/>
      <c r="G399" s="99" t="str">
        <f>IFERROR(IF(venta_a_mes1254[[#This Row],[CUIT]]="","-",VLOOKUP(venta_a_mes1254[[#This Row],[CUIT]],Lista_CUIT[#All],2,0)),"CUIT NO CARGADO")</f>
        <v>-</v>
      </c>
      <c r="H399" s="100"/>
      <c r="I399" s="101">
        <f>venta_a_mes1254[[#This Row],[IMPORTE NETO]]*0.21</f>
        <v>0</v>
      </c>
      <c r="J399" s="65"/>
      <c r="K399" s="65"/>
      <c r="L399" s="65">
        <f>SUM(venta_a_mes1254[[#This Row],[IMPORTE NETO]:[EXENTO]])</f>
        <v>0</v>
      </c>
      <c r="M399" s="59"/>
    </row>
    <row r="400" spans="2:13" x14ac:dyDescent="0.3">
      <c r="B400" s="109"/>
      <c r="C400" s="41"/>
      <c r="D400" s="111"/>
      <c r="E400" s="112"/>
      <c r="F400" s="113"/>
      <c r="G400" s="99" t="str">
        <f>IFERROR(IF(venta_a_mes1254[[#This Row],[CUIT]]="","-",VLOOKUP(venta_a_mes1254[[#This Row],[CUIT]],Lista_CUIT[#All],2,0)),"CUIT NO CARGADO")</f>
        <v>-</v>
      </c>
      <c r="H400" s="100"/>
      <c r="I400" s="101">
        <f>venta_a_mes1254[[#This Row],[IMPORTE NETO]]*0.21</f>
        <v>0</v>
      </c>
      <c r="J400" s="65"/>
      <c r="K400" s="65"/>
      <c r="L400" s="65">
        <f>SUM(venta_a_mes1254[[#This Row],[IMPORTE NETO]:[EXENTO]])</f>
        <v>0</v>
      </c>
      <c r="M400" s="59"/>
    </row>
    <row r="401" spans="2:13" x14ac:dyDescent="0.3">
      <c r="B401" s="109"/>
      <c r="C401" s="41"/>
      <c r="D401" s="111"/>
      <c r="E401" s="112"/>
      <c r="F401" s="113"/>
      <c r="G401" s="99" t="str">
        <f>IFERROR(IF(venta_a_mes1254[[#This Row],[CUIT]]="","-",VLOOKUP(venta_a_mes1254[[#This Row],[CUIT]],Lista_CUIT[#All],2,0)),"CUIT NO CARGADO")</f>
        <v>-</v>
      </c>
      <c r="H401" s="100"/>
      <c r="I401" s="101">
        <f>venta_a_mes1254[[#This Row],[IMPORTE NETO]]*0.21</f>
        <v>0</v>
      </c>
      <c r="J401" s="65"/>
      <c r="K401" s="65"/>
      <c r="L401" s="65">
        <f>SUM(venta_a_mes1254[[#This Row],[IMPORTE NETO]:[EXENTO]])</f>
        <v>0</v>
      </c>
      <c r="M401" s="59"/>
    </row>
    <row r="402" spans="2:13" x14ac:dyDescent="0.3">
      <c r="B402" s="109"/>
      <c r="C402" s="41"/>
      <c r="D402" s="111"/>
      <c r="E402" s="112"/>
      <c r="F402" s="113"/>
      <c r="G402" s="99" t="str">
        <f>IFERROR(IF(venta_a_mes1254[[#This Row],[CUIT]]="","-",VLOOKUP(venta_a_mes1254[[#This Row],[CUIT]],Lista_CUIT[#All],2,0)),"CUIT NO CARGADO")</f>
        <v>-</v>
      </c>
      <c r="H402" s="100"/>
      <c r="I402" s="101">
        <f>venta_a_mes1254[[#This Row],[IMPORTE NETO]]*0.21</f>
        <v>0</v>
      </c>
      <c r="J402" s="65"/>
      <c r="K402" s="65"/>
      <c r="L402" s="65">
        <f>SUM(venta_a_mes1254[[#This Row],[IMPORTE NETO]:[EXENTO]])</f>
        <v>0</v>
      </c>
      <c r="M402" s="59"/>
    </row>
    <row r="403" spans="2:13" x14ac:dyDescent="0.3">
      <c r="B403" s="109"/>
      <c r="C403" s="41"/>
      <c r="D403" s="111"/>
      <c r="E403" s="112"/>
      <c r="F403" s="113"/>
      <c r="G403" s="99" t="str">
        <f>IFERROR(IF(venta_a_mes1254[[#This Row],[CUIT]]="","-",VLOOKUP(venta_a_mes1254[[#This Row],[CUIT]],Lista_CUIT[#All],2,0)),"CUIT NO CARGADO")</f>
        <v>-</v>
      </c>
      <c r="H403" s="100"/>
      <c r="I403" s="101">
        <f>venta_a_mes1254[[#This Row],[IMPORTE NETO]]*0.21</f>
        <v>0</v>
      </c>
      <c r="J403" s="65"/>
      <c r="K403" s="65"/>
      <c r="L403" s="65">
        <f>SUM(venta_a_mes1254[[#This Row],[IMPORTE NETO]:[EXENTO]])</f>
        <v>0</v>
      </c>
      <c r="M403" s="59"/>
    </row>
    <row r="404" spans="2:13" x14ac:dyDescent="0.3">
      <c r="B404" s="109"/>
      <c r="C404" s="41"/>
      <c r="D404" s="111"/>
      <c r="E404" s="112"/>
      <c r="F404" s="113"/>
      <c r="G404" s="99" t="str">
        <f>IFERROR(IF(venta_a_mes1254[[#This Row],[CUIT]]="","-",VLOOKUP(venta_a_mes1254[[#This Row],[CUIT]],Lista_CUIT[#All],2,0)),"CUIT NO CARGADO")</f>
        <v>-</v>
      </c>
      <c r="H404" s="100"/>
      <c r="I404" s="101">
        <f>venta_a_mes1254[[#This Row],[IMPORTE NETO]]*0.21</f>
        <v>0</v>
      </c>
      <c r="J404" s="65"/>
      <c r="K404" s="65"/>
      <c r="L404" s="65">
        <f>SUM(venta_a_mes1254[[#This Row],[IMPORTE NETO]:[EXENTO]])</f>
        <v>0</v>
      </c>
      <c r="M404" s="59"/>
    </row>
    <row r="405" spans="2:13" x14ac:dyDescent="0.3">
      <c r="B405" s="109"/>
      <c r="C405" s="41"/>
      <c r="D405" s="111"/>
      <c r="E405" s="112"/>
      <c r="F405" s="113"/>
      <c r="G405" s="99" t="str">
        <f>IFERROR(IF(venta_a_mes1254[[#This Row],[CUIT]]="","-",VLOOKUP(venta_a_mes1254[[#This Row],[CUIT]],Lista_CUIT[#All],2,0)),"CUIT NO CARGADO")</f>
        <v>-</v>
      </c>
      <c r="H405" s="100"/>
      <c r="I405" s="101">
        <f>venta_a_mes1254[[#This Row],[IMPORTE NETO]]*0.21</f>
        <v>0</v>
      </c>
      <c r="J405" s="65"/>
      <c r="K405" s="65"/>
      <c r="L405" s="65">
        <f>SUM(venta_a_mes1254[[#This Row],[IMPORTE NETO]:[EXENTO]])</f>
        <v>0</v>
      </c>
      <c r="M405" s="59"/>
    </row>
    <row r="406" spans="2:13" x14ac:dyDescent="0.3">
      <c r="B406" s="109"/>
      <c r="C406" s="41"/>
      <c r="D406" s="111"/>
      <c r="E406" s="112"/>
      <c r="F406" s="113"/>
      <c r="G406" s="99" t="str">
        <f>IFERROR(IF(venta_a_mes1254[[#This Row],[CUIT]]="","-",VLOOKUP(venta_a_mes1254[[#This Row],[CUIT]],Lista_CUIT[#All],2,0)),"CUIT NO CARGADO")</f>
        <v>-</v>
      </c>
      <c r="H406" s="100"/>
      <c r="I406" s="101">
        <f>venta_a_mes1254[[#This Row],[IMPORTE NETO]]*0.21</f>
        <v>0</v>
      </c>
      <c r="J406" s="65"/>
      <c r="K406" s="65"/>
      <c r="L406" s="65">
        <f>SUM(venta_a_mes1254[[#This Row],[IMPORTE NETO]:[EXENTO]])</f>
        <v>0</v>
      </c>
      <c r="M406" s="59"/>
    </row>
    <row r="407" spans="2:13" x14ac:dyDescent="0.3">
      <c r="B407" s="109"/>
      <c r="C407" s="41"/>
      <c r="D407" s="111"/>
      <c r="E407" s="112"/>
      <c r="F407" s="113"/>
      <c r="G407" s="99" t="str">
        <f>IFERROR(IF(venta_a_mes1254[[#This Row],[CUIT]]="","-",VLOOKUP(venta_a_mes1254[[#This Row],[CUIT]],Lista_CUIT[#All],2,0)),"CUIT NO CARGADO")</f>
        <v>-</v>
      </c>
      <c r="H407" s="100"/>
      <c r="I407" s="101">
        <f>venta_a_mes1254[[#This Row],[IMPORTE NETO]]*0.21</f>
        <v>0</v>
      </c>
      <c r="J407" s="65"/>
      <c r="K407" s="65"/>
      <c r="L407" s="65">
        <f>SUM(venta_a_mes1254[[#This Row],[IMPORTE NETO]:[EXENTO]])</f>
        <v>0</v>
      </c>
      <c r="M407" s="59"/>
    </row>
    <row r="408" spans="2:13" x14ac:dyDescent="0.3">
      <c r="B408" s="109"/>
      <c r="C408" s="41"/>
      <c r="D408" s="111"/>
      <c r="E408" s="112"/>
      <c r="F408" s="113"/>
      <c r="G408" s="99" t="str">
        <f>IFERROR(IF(venta_a_mes1254[[#This Row],[CUIT]]="","-",VLOOKUP(venta_a_mes1254[[#This Row],[CUIT]],Lista_CUIT[#All],2,0)),"CUIT NO CARGADO")</f>
        <v>-</v>
      </c>
      <c r="H408" s="100"/>
      <c r="I408" s="101">
        <f>venta_a_mes1254[[#This Row],[IMPORTE NETO]]*0.21</f>
        <v>0</v>
      </c>
      <c r="J408" s="65"/>
      <c r="K408" s="65"/>
      <c r="L408" s="65">
        <f>SUM(venta_a_mes1254[[#This Row],[IMPORTE NETO]:[EXENTO]])</f>
        <v>0</v>
      </c>
      <c r="M408" s="59"/>
    </row>
    <row r="409" spans="2:13" x14ac:dyDescent="0.3">
      <c r="B409" s="109"/>
      <c r="C409" s="41"/>
      <c r="D409" s="111"/>
      <c r="E409" s="112"/>
      <c r="F409" s="113"/>
      <c r="G409" s="99" t="str">
        <f>IFERROR(IF(venta_a_mes1254[[#This Row],[CUIT]]="","-",VLOOKUP(venta_a_mes1254[[#This Row],[CUIT]],Lista_CUIT[#All],2,0)),"CUIT NO CARGADO")</f>
        <v>-</v>
      </c>
      <c r="H409" s="100"/>
      <c r="I409" s="101">
        <f>venta_a_mes1254[[#This Row],[IMPORTE NETO]]*0.21</f>
        <v>0</v>
      </c>
      <c r="J409" s="65"/>
      <c r="K409" s="65"/>
      <c r="L409" s="65">
        <f>SUM(venta_a_mes1254[[#This Row],[IMPORTE NETO]:[EXENTO]])</f>
        <v>0</v>
      </c>
      <c r="M409" s="59"/>
    </row>
    <row r="410" spans="2:13" x14ac:dyDescent="0.3">
      <c r="B410" s="109"/>
      <c r="C410" s="41"/>
      <c r="D410" s="111"/>
      <c r="E410" s="112"/>
      <c r="F410" s="113"/>
      <c r="G410" s="99" t="str">
        <f>IFERROR(IF(venta_a_mes1254[[#This Row],[CUIT]]="","-",VLOOKUP(venta_a_mes1254[[#This Row],[CUIT]],Lista_CUIT[#All],2,0)),"CUIT NO CARGADO")</f>
        <v>-</v>
      </c>
      <c r="H410" s="100"/>
      <c r="I410" s="101">
        <f>venta_a_mes1254[[#This Row],[IMPORTE NETO]]*0.21</f>
        <v>0</v>
      </c>
      <c r="J410" s="65"/>
      <c r="K410" s="65"/>
      <c r="L410" s="65">
        <f>SUM(venta_a_mes1254[[#This Row],[IMPORTE NETO]:[EXENTO]])</f>
        <v>0</v>
      </c>
      <c r="M410" s="59"/>
    </row>
    <row r="411" spans="2:13" x14ac:dyDescent="0.3">
      <c r="B411" s="109"/>
      <c r="C411" s="41"/>
      <c r="D411" s="111"/>
      <c r="E411" s="112"/>
      <c r="F411" s="113"/>
      <c r="G411" s="99" t="str">
        <f>IFERROR(IF(venta_a_mes1254[[#This Row],[CUIT]]="","-",VLOOKUP(venta_a_mes1254[[#This Row],[CUIT]],Lista_CUIT[#All],2,0)),"CUIT NO CARGADO")</f>
        <v>-</v>
      </c>
      <c r="H411" s="100"/>
      <c r="I411" s="101">
        <f>venta_a_mes1254[[#This Row],[IMPORTE NETO]]*0.21</f>
        <v>0</v>
      </c>
      <c r="J411" s="65"/>
      <c r="K411" s="65"/>
      <c r="L411" s="65">
        <f>SUM(venta_a_mes1254[[#This Row],[IMPORTE NETO]:[EXENTO]])</f>
        <v>0</v>
      </c>
      <c r="M411" s="59"/>
    </row>
    <row r="412" spans="2:13" x14ac:dyDescent="0.3">
      <c r="B412" s="109"/>
      <c r="C412" s="41"/>
      <c r="D412" s="111"/>
      <c r="E412" s="112"/>
      <c r="F412" s="113"/>
      <c r="G412" s="99" t="str">
        <f>IFERROR(IF(venta_a_mes1254[[#This Row],[CUIT]]="","-",VLOOKUP(venta_a_mes1254[[#This Row],[CUIT]],Lista_CUIT[#All],2,0)),"CUIT NO CARGADO")</f>
        <v>-</v>
      </c>
      <c r="H412" s="100"/>
      <c r="I412" s="101">
        <f>venta_a_mes1254[[#This Row],[IMPORTE NETO]]*0.21</f>
        <v>0</v>
      </c>
      <c r="J412" s="65"/>
      <c r="K412" s="65"/>
      <c r="L412" s="65">
        <f>SUM(venta_a_mes1254[[#This Row],[IMPORTE NETO]:[EXENTO]])</f>
        <v>0</v>
      </c>
      <c r="M412" s="59"/>
    </row>
    <row r="413" spans="2:13" x14ac:dyDescent="0.3">
      <c r="B413" s="109"/>
      <c r="C413" s="41"/>
      <c r="D413" s="111"/>
      <c r="E413" s="112"/>
      <c r="F413" s="113"/>
      <c r="G413" s="99" t="str">
        <f>IFERROR(IF(venta_a_mes1254[[#This Row],[CUIT]]="","-",VLOOKUP(venta_a_mes1254[[#This Row],[CUIT]],Lista_CUIT[#All],2,0)),"CUIT NO CARGADO")</f>
        <v>-</v>
      </c>
      <c r="H413" s="100"/>
      <c r="I413" s="101">
        <f>venta_a_mes1254[[#This Row],[IMPORTE NETO]]*0.21</f>
        <v>0</v>
      </c>
      <c r="J413" s="65"/>
      <c r="K413" s="65"/>
      <c r="L413" s="65">
        <f>SUM(venta_a_mes1254[[#This Row],[IMPORTE NETO]:[EXENTO]])</f>
        <v>0</v>
      </c>
      <c r="M413" s="59"/>
    </row>
    <row r="414" spans="2:13" x14ac:dyDescent="0.3">
      <c r="B414" s="109"/>
      <c r="C414" s="41"/>
      <c r="D414" s="111"/>
      <c r="E414" s="112"/>
      <c r="F414" s="113"/>
      <c r="G414" s="99" t="str">
        <f>IFERROR(IF(venta_a_mes1254[[#This Row],[CUIT]]="","-",VLOOKUP(venta_a_mes1254[[#This Row],[CUIT]],Lista_CUIT[#All],2,0)),"CUIT NO CARGADO")</f>
        <v>-</v>
      </c>
      <c r="H414" s="100"/>
      <c r="I414" s="101">
        <f>venta_a_mes1254[[#This Row],[IMPORTE NETO]]*0.21</f>
        <v>0</v>
      </c>
      <c r="J414" s="65"/>
      <c r="K414" s="65"/>
      <c r="L414" s="65">
        <f>SUM(venta_a_mes1254[[#This Row],[IMPORTE NETO]:[EXENTO]])</f>
        <v>0</v>
      </c>
      <c r="M414" s="59"/>
    </row>
    <row r="415" spans="2:13" x14ac:dyDescent="0.3">
      <c r="B415" s="109"/>
      <c r="C415" s="41"/>
      <c r="D415" s="111"/>
      <c r="E415" s="112"/>
      <c r="F415" s="113"/>
      <c r="G415" s="99" t="str">
        <f>IFERROR(IF(venta_a_mes1254[[#This Row],[CUIT]]="","-",VLOOKUP(venta_a_mes1254[[#This Row],[CUIT]],Lista_CUIT[#All],2,0)),"CUIT NO CARGADO")</f>
        <v>-</v>
      </c>
      <c r="H415" s="100"/>
      <c r="I415" s="101">
        <f>venta_a_mes1254[[#This Row],[IMPORTE NETO]]*0.21</f>
        <v>0</v>
      </c>
      <c r="J415" s="65"/>
      <c r="K415" s="65"/>
      <c r="L415" s="65">
        <f>SUM(venta_a_mes1254[[#This Row],[IMPORTE NETO]:[EXENTO]])</f>
        <v>0</v>
      </c>
      <c r="M415" s="59"/>
    </row>
    <row r="416" spans="2:13" x14ac:dyDescent="0.3">
      <c r="B416" s="109"/>
      <c r="C416" s="41"/>
      <c r="D416" s="111"/>
      <c r="E416" s="112"/>
      <c r="F416" s="113"/>
      <c r="G416" s="99" t="str">
        <f>IFERROR(IF(venta_a_mes1254[[#This Row],[CUIT]]="","-",VLOOKUP(venta_a_mes1254[[#This Row],[CUIT]],Lista_CUIT[#All],2,0)),"CUIT NO CARGADO")</f>
        <v>-</v>
      </c>
      <c r="H416" s="100"/>
      <c r="I416" s="101">
        <f>venta_a_mes1254[[#This Row],[IMPORTE NETO]]*0.21</f>
        <v>0</v>
      </c>
      <c r="J416" s="65"/>
      <c r="K416" s="65"/>
      <c r="L416" s="65">
        <f>SUM(venta_a_mes1254[[#This Row],[IMPORTE NETO]:[EXENTO]])</f>
        <v>0</v>
      </c>
      <c r="M416" s="59"/>
    </row>
    <row r="417" spans="2:13" x14ac:dyDescent="0.3">
      <c r="B417" s="109"/>
      <c r="C417" s="41"/>
      <c r="D417" s="111"/>
      <c r="E417" s="112"/>
      <c r="F417" s="113"/>
      <c r="G417" s="99" t="str">
        <f>IFERROR(IF(venta_a_mes1254[[#This Row],[CUIT]]="","-",VLOOKUP(venta_a_mes1254[[#This Row],[CUIT]],Lista_CUIT[#All],2,0)),"CUIT NO CARGADO")</f>
        <v>-</v>
      </c>
      <c r="H417" s="100"/>
      <c r="I417" s="101">
        <f>venta_a_mes1254[[#This Row],[IMPORTE NETO]]*0.21</f>
        <v>0</v>
      </c>
      <c r="J417" s="65"/>
      <c r="K417" s="65"/>
      <c r="L417" s="65">
        <f>SUM(venta_a_mes1254[[#This Row],[IMPORTE NETO]:[EXENTO]])</f>
        <v>0</v>
      </c>
      <c r="M417" s="59"/>
    </row>
    <row r="418" spans="2:13" x14ac:dyDescent="0.3">
      <c r="B418" s="109"/>
      <c r="C418" s="41"/>
      <c r="D418" s="111"/>
      <c r="E418" s="112"/>
      <c r="F418" s="113"/>
      <c r="G418" s="99" t="str">
        <f>IFERROR(IF(venta_a_mes1254[[#This Row],[CUIT]]="","-",VLOOKUP(venta_a_mes1254[[#This Row],[CUIT]],Lista_CUIT[#All],2,0)),"CUIT NO CARGADO")</f>
        <v>-</v>
      </c>
      <c r="H418" s="100"/>
      <c r="I418" s="101">
        <f>venta_a_mes1254[[#This Row],[IMPORTE NETO]]*0.21</f>
        <v>0</v>
      </c>
      <c r="J418" s="65"/>
      <c r="K418" s="65"/>
      <c r="L418" s="65">
        <f>SUM(venta_a_mes1254[[#This Row],[IMPORTE NETO]:[EXENTO]])</f>
        <v>0</v>
      </c>
      <c r="M418" s="59"/>
    </row>
    <row r="419" spans="2:13" x14ac:dyDescent="0.3">
      <c r="B419" s="109"/>
      <c r="C419" s="41"/>
      <c r="D419" s="111"/>
      <c r="E419" s="112"/>
      <c r="F419" s="113"/>
      <c r="G419" s="99" t="str">
        <f>IFERROR(IF(venta_a_mes1254[[#This Row],[CUIT]]="","-",VLOOKUP(venta_a_mes1254[[#This Row],[CUIT]],Lista_CUIT[#All],2,0)),"CUIT NO CARGADO")</f>
        <v>-</v>
      </c>
      <c r="H419" s="100"/>
      <c r="I419" s="101">
        <f>venta_a_mes1254[[#This Row],[IMPORTE NETO]]*0.21</f>
        <v>0</v>
      </c>
      <c r="J419" s="65"/>
      <c r="K419" s="65"/>
      <c r="L419" s="65">
        <f>SUM(venta_a_mes1254[[#This Row],[IMPORTE NETO]:[EXENTO]])</f>
        <v>0</v>
      </c>
      <c r="M419" s="59"/>
    </row>
    <row r="420" spans="2:13" x14ac:dyDescent="0.3">
      <c r="B420" s="109"/>
      <c r="C420" s="41"/>
      <c r="D420" s="111"/>
      <c r="E420" s="112"/>
      <c r="F420" s="113"/>
      <c r="G420" s="99" t="str">
        <f>IFERROR(IF(venta_a_mes1254[[#This Row],[CUIT]]="","-",VLOOKUP(venta_a_mes1254[[#This Row],[CUIT]],Lista_CUIT[#All],2,0)),"CUIT NO CARGADO")</f>
        <v>-</v>
      </c>
      <c r="H420" s="100"/>
      <c r="I420" s="101">
        <f>venta_a_mes1254[[#This Row],[IMPORTE NETO]]*0.21</f>
        <v>0</v>
      </c>
      <c r="J420" s="65"/>
      <c r="K420" s="65"/>
      <c r="L420" s="65">
        <f>SUM(venta_a_mes1254[[#This Row],[IMPORTE NETO]:[EXENTO]])</f>
        <v>0</v>
      </c>
      <c r="M420" s="59"/>
    </row>
    <row r="421" spans="2:13" x14ac:dyDescent="0.3">
      <c r="B421" s="109"/>
      <c r="C421" s="41"/>
      <c r="D421" s="111"/>
      <c r="E421" s="112"/>
      <c r="F421" s="113"/>
      <c r="G421" s="99" t="str">
        <f>IFERROR(IF(venta_a_mes1254[[#This Row],[CUIT]]="","-",VLOOKUP(venta_a_mes1254[[#This Row],[CUIT]],Lista_CUIT[#All],2,0)),"CUIT NO CARGADO")</f>
        <v>-</v>
      </c>
      <c r="H421" s="100"/>
      <c r="I421" s="101">
        <f>venta_a_mes1254[[#This Row],[IMPORTE NETO]]*0.21</f>
        <v>0</v>
      </c>
      <c r="J421" s="65"/>
      <c r="K421" s="65"/>
      <c r="L421" s="65">
        <f>SUM(venta_a_mes1254[[#This Row],[IMPORTE NETO]:[EXENTO]])</f>
        <v>0</v>
      </c>
      <c r="M421" s="59"/>
    </row>
    <row r="422" spans="2:13" x14ac:dyDescent="0.3">
      <c r="B422" s="109"/>
      <c r="C422" s="41"/>
      <c r="D422" s="111"/>
      <c r="E422" s="112"/>
      <c r="F422" s="113"/>
      <c r="G422" s="99" t="str">
        <f>IFERROR(IF(venta_a_mes1254[[#This Row],[CUIT]]="","-",VLOOKUP(venta_a_mes1254[[#This Row],[CUIT]],Lista_CUIT[#All],2,0)),"CUIT NO CARGADO")</f>
        <v>-</v>
      </c>
      <c r="H422" s="100"/>
      <c r="I422" s="101">
        <f>venta_a_mes1254[[#This Row],[IMPORTE NETO]]*0.21</f>
        <v>0</v>
      </c>
      <c r="J422" s="65"/>
      <c r="K422" s="65"/>
      <c r="L422" s="65">
        <f>SUM(venta_a_mes1254[[#This Row],[IMPORTE NETO]:[EXENTO]])</f>
        <v>0</v>
      </c>
      <c r="M422" s="59"/>
    </row>
    <row r="423" spans="2:13" x14ac:dyDescent="0.3">
      <c r="B423" s="109"/>
      <c r="C423" s="41"/>
      <c r="D423" s="111"/>
      <c r="E423" s="112"/>
      <c r="F423" s="113"/>
      <c r="G423" s="99" t="str">
        <f>IFERROR(IF(venta_a_mes1254[[#This Row],[CUIT]]="","-",VLOOKUP(venta_a_mes1254[[#This Row],[CUIT]],Lista_CUIT[#All],2,0)),"CUIT NO CARGADO")</f>
        <v>-</v>
      </c>
      <c r="H423" s="100"/>
      <c r="I423" s="101">
        <f>venta_a_mes1254[[#This Row],[IMPORTE NETO]]*0.21</f>
        <v>0</v>
      </c>
      <c r="J423" s="65"/>
      <c r="K423" s="65"/>
      <c r="L423" s="65">
        <f>SUM(venta_a_mes1254[[#This Row],[IMPORTE NETO]:[EXENTO]])</f>
        <v>0</v>
      </c>
      <c r="M423" s="59"/>
    </row>
    <row r="424" spans="2:13" x14ac:dyDescent="0.3">
      <c r="B424" s="109"/>
      <c r="C424" s="41"/>
      <c r="D424" s="111"/>
      <c r="E424" s="112"/>
      <c r="F424" s="113"/>
      <c r="G424" s="99" t="str">
        <f>IFERROR(IF(venta_a_mes1254[[#This Row],[CUIT]]="","-",VLOOKUP(venta_a_mes1254[[#This Row],[CUIT]],Lista_CUIT[#All],2,0)),"CUIT NO CARGADO")</f>
        <v>-</v>
      </c>
      <c r="H424" s="100"/>
      <c r="I424" s="101">
        <f>venta_a_mes1254[[#This Row],[IMPORTE NETO]]*0.21</f>
        <v>0</v>
      </c>
      <c r="J424" s="65"/>
      <c r="K424" s="65"/>
      <c r="L424" s="65">
        <f>SUM(venta_a_mes1254[[#This Row],[IMPORTE NETO]:[EXENTO]])</f>
        <v>0</v>
      </c>
      <c r="M424" s="59"/>
    </row>
    <row r="425" spans="2:13" x14ac:dyDescent="0.3">
      <c r="B425" s="109"/>
      <c r="C425" s="41"/>
      <c r="D425" s="111"/>
      <c r="E425" s="112"/>
      <c r="F425" s="113"/>
      <c r="G425" s="99" t="str">
        <f>IFERROR(IF(venta_a_mes1254[[#This Row],[CUIT]]="","-",VLOOKUP(venta_a_mes1254[[#This Row],[CUIT]],Lista_CUIT[#All],2,0)),"CUIT NO CARGADO")</f>
        <v>-</v>
      </c>
      <c r="H425" s="100"/>
      <c r="I425" s="101">
        <f>venta_a_mes1254[[#This Row],[IMPORTE NETO]]*0.21</f>
        <v>0</v>
      </c>
      <c r="J425" s="65"/>
      <c r="K425" s="65"/>
      <c r="L425" s="65">
        <f>SUM(venta_a_mes1254[[#This Row],[IMPORTE NETO]:[EXENTO]])</f>
        <v>0</v>
      </c>
      <c r="M425" s="59"/>
    </row>
    <row r="426" spans="2:13" x14ac:dyDescent="0.3">
      <c r="B426" s="109"/>
      <c r="C426" s="41"/>
      <c r="D426" s="111"/>
      <c r="E426" s="112"/>
      <c r="F426" s="113"/>
      <c r="G426" s="99" t="str">
        <f>IFERROR(IF(venta_a_mes1254[[#This Row],[CUIT]]="","-",VLOOKUP(venta_a_mes1254[[#This Row],[CUIT]],Lista_CUIT[#All],2,0)),"CUIT NO CARGADO")</f>
        <v>-</v>
      </c>
      <c r="H426" s="100"/>
      <c r="I426" s="101">
        <f>venta_a_mes1254[[#This Row],[IMPORTE NETO]]*0.21</f>
        <v>0</v>
      </c>
      <c r="J426" s="65"/>
      <c r="K426" s="65"/>
      <c r="L426" s="65">
        <f>SUM(venta_a_mes1254[[#This Row],[IMPORTE NETO]:[EXENTO]])</f>
        <v>0</v>
      </c>
      <c r="M426" s="59"/>
    </row>
    <row r="427" spans="2:13" x14ac:dyDescent="0.3">
      <c r="B427" s="109"/>
      <c r="C427" s="41"/>
      <c r="D427" s="111"/>
      <c r="E427" s="112"/>
      <c r="F427" s="113"/>
      <c r="G427" s="99" t="str">
        <f>IFERROR(IF(venta_a_mes1254[[#This Row],[CUIT]]="","-",VLOOKUP(venta_a_mes1254[[#This Row],[CUIT]],Lista_CUIT[#All],2,0)),"CUIT NO CARGADO")</f>
        <v>-</v>
      </c>
      <c r="H427" s="100"/>
      <c r="I427" s="101">
        <f>venta_a_mes1254[[#This Row],[IMPORTE NETO]]*0.21</f>
        <v>0</v>
      </c>
      <c r="J427" s="65"/>
      <c r="K427" s="65"/>
      <c r="L427" s="65">
        <f>SUM(venta_a_mes1254[[#This Row],[IMPORTE NETO]:[EXENTO]])</f>
        <v>0</v>
      </c>
      <c r="M427" s="59"/>
    </row>
    <row r="428" spans="2:13" x14ac:dyDescent="0.3">
      <c r="B428" s="109"/>
      <c r="C428" s="41"/>
      <c r="D428" s="111"/>
      <c r="E428" s="112"/>
      <c r="F428" s="113"/>
      <c r="G428" s="99" t="str">
        <f>IFERROR(IF(venta_a_mes1254[[#This Row],[CUIT]]="","-",VLOOKUP(venta_a_mes1254[[#This Row],[CUIT]],Lista_CUIT[#All],2,0)),"CUIT NO CARGADO")</f>
        <v>-</v>
      </c>
      <c r="H428" s="100"/>
      <c r="I428" s="101">
        <f>venta_a_mes1254[[#This Row],[IMPORTE NETO]]*0.21</f>
        <v>0</v>
      </c>
      <c r="J428" s="65"/>
      <c r="K428" s="65"/>
      <c r="L428" s="65">
        <f>SUM(venta_a_mes1254[[#This Row],[IMPORTE NETO]:[EXENTO]])</f>
        <v>0</v>
      </c>
      <c r="M428" s="59"/>
    </row>
    <row r="429" spans="2:13" x14ac:dyDescent="0.3">
      <c r="B429" s="109"/>
      <c r="C429" s="41"/>
      <c r="D429" s="111"/>
      <c r="E429" s="112"/>
      <c r="F429" s="113"/>
      <c r="G429" s="99" t="str">
        <f>IFERROR(IF(venta_a_mes1254[[#This Row],[CUIT]]="","-",VLOOKUP(venta_a_mes1254[[#This Row],[CUIT]],Lista_CUIT[#All],2,0)),"CUIT NO CARGADO")</f>
        <v>-</v>
      </c>
      <c r="H429" s="100"/>
      <c r="I429" s="101">
        <f>venta_a_mes1254[[#This Row],[IMPORTE NETO]]*0.21</f>
        <v>0</v>
      </c>
      <c r="J429" s="65"/>
      <c r="K429" s="65"/>
      <c r="L429" s="65">
        <f>SUM(venta_a_mes1254[[#This Row],[IMPORTE NETO]:[EXENTO]])</f>
        <v>0</v>
      </c>
      <c r="M429" s="59"/>
    </row>
    <row r="430" spans="2:13" x14ac:dyDescent="0.3">
      <c r="B430" s="109"/>
      <c r="C430" s="41"/>
      <c r="D430" s="111"/>
      <c r="E430" s="112"/>
      <c r="F430" s="113"/>
      <c r="G430" s="99" t="str">
        <f>IFERROR(IF(venta_a_mes1254[[#This Row],[CUIT]]="","-",VLOOKUP(venta_a_mes1254[[#This Row],[CUIT]],Lista_CUIT[#All],2,0)),"CUIT NO CARGADO")</f>
        <v>-</v>
      </c>
      <c r="H430" s="100"/>
      <c r="I430" s="101">
        <f>venta_a_mes1254[[#This Row],[IMPORTE NETO]]*0.21</f>
        <v>0</v>
      </c>
      <c r="J430" s="65"/>
      <c r="K430" s="65"/>
      <c r="L430" s="65">
        <f>SUM(venta_a_mes1254[[#This Row],[IMPORTE NETO]:[EXENTO]])</f>
        <v>0</v>
      </c>
      <c r="M430" s="59"/>
    </row>
    <row r="431" spans="2:13" x14ac:dyDescent="0.3">
      <c r="B431" s="109"/>
      <c r="C431" s="41"/>
      <c r="D431" s="111"/>
      <c r="E431" s="112"/>
      <c r="F431" s="113"/>
      <c r="G431" s="99" t="str">
        <f>IFERROR(IF(venta_a_mes1254[[#This Row],[CUIT]]="","-",VLOOKUP(venta_a_mes1254[[#This Row],[CUIT]],Lista_CUIT[#All],2,0)),"CUIT NO CARGADO")</f>
        <v>-</v>
      </c>
      <c r="H431" s="100"/>
      <c r="I431" s="101">
        <f>venta_a_mes1254[[#This Row],[IMPORTE NETO]]*0.21</f>
        <v>0</v>
      </c>
      <c r="J431" s="65"/>
      <c r="K431" s="65"/>
      <c r="L431" s="65">
        <f>SUM(venta_a_mes1254[[#This Row],[IMPORTE NETO]:[EXENTO]])</f>
        <v>0</v>
      </c>
      <c r="M431" s="59"/>
    </row>
    <row r="432" spans="2:13" x14ac:dyDescent="0.3">
      <c r="B432" s="109"/>
      <c r="C432" s="41"/>
      <c r="D432" s="111"/>
      <c r="E432" s="112"/>
      <c r="F432" s="113"/>
      <c r="G432" s="99" t="str">
        <f>IFERROR(IF(venta_a_mes1254[[#This Row],[CUIT]]="","-",VLOOKUP(venta_a_mes1254[[#This Row],[CUIT]],Lista_CUIT[#All],2,0)),"CUIT NO CARGADO")</f>
        <v>-</v>
      </c>
      <c r="H432" s="100"/>
      <c r="I432" s="101">
        <f>venta_a_mes1254[[#This Row],[IMPORTE NETO]]*0.21</f>
        <v>0</v>
      </c>
      <c r="J432" s="65"/>
      <c r="K432" s="65"/>
      <c r="L432" s="65">
        <f>SUM(venta_a_mes1254[[#This Row],[IMPORTE NETO]:[EXENTO]])</f>
        <v>0</v>
      </c>
      <c r="M432" s="59"/>
    </row>
    <row r="433" spans="2:13" x14ac:dyDescent="0.3">
      <c r="B433" s="109"/>
      <c r="C433" s="41"/>
      <c r="D433" s="111"/>
      <c r="E433" s="112"/>
      <c r="F433" s="113"/>
      <c r="G433" s="99" t="str">
        <f>IFERROR(IF(venta_a_mes1254[[#This Row],[CUIT]]="","-",VLOOKUP(venta_a_mes1254[[#This Row],[CUIT]],Lista_CUIT[#All],2,0)),"CUIT NO CARGADO")</f>
        <v>-</v>
      </c>
      <c r="H433" s="100"/>
      <c r="I433" s="101">
        <f>venta_a_mes1254[[#This Row],[IMPORTE NETO]]*0.21</f>
        <v>0</v>
      </c>
      <c r="J433" s="65"/>
      <c r="K433" s="65"/>
      <c r="L433" s="65">
        <f>SUM(venta_a_mes1254[[#This Row],[IMPORTE NETO]:[EXENTO]])</f>
        <v>0</v>
      </c>
      <c r="M433" s="59"/>
    </row>
    <row r="434" spans="2:13" x14ac:dyDescent="0.3">
      <c r="B434" s="66" t="s">
        <v>103</v>
      </c>
      <c r="C434" s="67"/>
      <c r="D434" s="67"/>
      <c r="E434" s="67"/>
      <c r="F434" s="67"/>
      <c r="G434" s="67"/>
      <c r="H434" s="69">
        <f>SUBTOTAL(109,venta_a_mes1254[IMPORTE NETO])</f>
        <v>0</v>
      </c>
      <c r="I434" s="70">
        <f>SUBTOTAL(109,venta_a_mes1254[IVA 21%])</f>
        <v>0</v>
      </c>
      <c r="J434" s="71">
        <f>SUBTOTAL(109,venta_a_mes1254[IVA 10,5%])</f>
        <v>0</v>
      </c>
      <c r="K434" s="71">
        <f>SUBTOTAL(109,venta_a_mes1254[EXENTO])</f>
        <v>0</v>
      </c>
      <c r="L434" s="71">
        <f>SUBTOTAL(109,venta_a_mes1254[TOTAL])</f>
        <v>0</v>
      </c>
      <c r="M434" s="68">
        <f>SUBTOTAL(103,venta_a_mes1254[Provincia])</f>
        <v>0</v>
      </c>
    </row>
    <row r="435" spans="2:13" x14ac:dyDescent="0.3">
      <c r="B435" s="193"/>
      <c r="C435" s="193"/>
      <c r="D435" s="193"/>
      <c r="E435" s="193"/>
      <c r="F435" s="193"/>
      <c r="G435" s="193"/>
      <c r="H435" s="195"/>
      <c r="I435" s="196"/>
      <c r="J435" s="197"/>
      <c r="K435" s="197"/>
      <c r="L435" s="197"/>
      <c r="M435" s="194"/>
    </row>
    <row r="436" spans="2:13" ht="21" x14ac:dyDescent="0.3">
      <c r="B436" s="654" t="s">
        <v>31</v>
      </c>
      <c r="C436" s="654"/>
    </row>
    <row r="437" spans="2:13" ht="15.6" x14ac:dyDescent="0.3">
      <c r="B437" s="60" t="s">
        <v>0</v>
      </c>
      <c r="C437" s="61" t="s">
        <v>1</v>
      </c>
      <c r="D437" s="61" t="s">
        <v>21</v>
      </c>
      <c r="E437" s="61" t="s">
        <v>22</v>
      </c>
      <c r="F437" s="61" t="s">
        <v>3</v>
      </c>
      <c r="G437" s="61" t="s">
        <v>4</v>
      </c>
      <c r="H437" s="61" t="s">
        <v>23</v>
      </c>
      <c r="I437" s="61" t="s">
        <v>17</v>
      </c>
      <c r="J437" s="61" t="s">
        <v>7</v>
      </c>
      <c r="K437" s="61" t="s">
        <v>24</v>
      </c>
      <c r="L437" s="61" t="s">
        <v>10</v>
      </c>
      <c r="M437" s="62" t="s">
        <v>38</v>
      </c>
    </row>
    <row r="438" spans="2:13" x14ac:dyDescent="0.3">
      <c r="B438" s="178"/>
      <c r="C438" s="179"/>
      <c r="D438" s="180"/>
      <c r="E438" s="181"/>
      <c r="F438" s="182"/>
      <c r="G438" s="1" t="str">
        <f>IFERROR(IF(ventas_b_mes1255[[#This Row],[CUIT]]="","-",VLOOKUP(ventas_b_mes1255[[#This Row],[CUIT]],Lista_CUIT[#All],2,0)),"CUIT NO CARGADO")</f>
        <v>-</v>
      </c>
      <c r="H438" s="100">
        <f>ventas_b_mes1255[[#This Row],[TOTAL]]/1.21</f>
        <v>0</v>
      </c>
      <c r="I438" s="64">
        <f>ventas_b_mes1255[[#This Row],[IMPORTE NETO]]*0.21</f>
        <v>0</v>
      </c>
      <c r="J438" s="184"/>
      <c r="K438" s="184"/>
      <c r="L438" s="184"/>
      <c r="M438" s="59"/>
    </row>
    <row r="439" spans="2:13" x14ac:dyDescent="0.3">
      <c r="B439" s="178"/>
      <c r="C439" s="179"/>
      <c r="D439" s="180"/>
      <c r="E439" s="181"/>
      <c r="F439" s="182"/>
      <c r="G439" s="1" t="str">
        <f>IFERROR(IF(ventas_b_mes1255[[#This Row],[CUIT]]="","-",VLOOKUP(ventas_b_mes1255[[#This Row],[CUIT]],Lista_CUIT[#All],2,0)),"CUIT NO CARGADO")</f>
        <v>-</v>
      </c>
      <c r="H439" s="100">
        <f>ventas_b_mes1255[[#This Row],[TOTAL]]/1.21</f>
        <v>0</v>
      </c>
      <c r="I439" s="64">
        <f>ventas_b_mes1255[[#This Row],[IMPORTE NETO]]*0.21</f>
        <v>0</v>
      </c>
      <c r="J439" s="184"/>
      <c r="K439" s="184"/>
      <c r="L439" s="184"/>
      <c r="M439" s="59"/>
    </row>
    <row r="440" spans="2:13" x14ac:dyDescent="0.3">
      <c r="B440" s="178"/>
      <c r="C440" s="179"/>
      <c r="D440" s="180"/>
      <c r="E440" s="181"/>
      <c r="F440" s="182"/>
      <c r="G440" s="1" t="str">
        <f>IFERROR(IF(ventas_b_mes1255[[#This Row],[CUIT]]="","-",VLOOKUP(ventas_b_mes1255[[#This Row],[CUIT]],Lista_CUIT[#All],2,0)),"CUIT NO CARGADO")</f>
        <v>-</v>
      </c>
      <c r="H440" s="100">
        <f>ventas_b_mes1255[[#This Row],[TOTAL]]/1.21</f>
        <v>0</v>
      </c>
      <c r="I440" s="64">
        <f>ventas_b_mes1255[[#This Row],[IMPORTE NETO]]*0.21</f>
        <v>0</v>
      </c>
      <c r="J440" s="184"/>
      <c r="K440" s="184"/>
      <c r="L440" s="184"/>
      <c r="M440" s="59"/>
    </row>
    <row r="441" spans="2:13" x14ac:dyDescent="0.3">
      <c r="B441" s="178"/>
      <c r="C441" s="179"/>
      <c r="D441" s="180"/>
      <c r="E441" s="181"/>
      <c r="F441" s="182"/>
      <c r="G441" s="1" t="str">
        <f>IFERROR(IF(ventas_b_mes1255[[#This Row],[CUIT]]="","-",VLOOKUP(ventas_b_mes1255[[#This Row],[CUIT]],Lista_CUIT[#All],2,0)),"CUIT NO CARGADO")</f>
        <v>-</v>
      </c>
      <c r="H441" s="100">
        <f>ventas_b_mes1255[[#This Row],[TOTAL]]/1.21</f>
        <v>0</v>
      </c>
      <c r="I441" s="64">
        <f>ventas_b_mes1255[[#This Row],[IMPORTE NETO]]*0.21</f>
        <v>0</v>
      </c>
      <c r="J441" s="184"/>
      <c r="K441" s="184"/>
      <c r="L441" s="184"/>
      <c r="M441" s="59"/>
    </row>
    <row r="442" spans="2:13" x14ac:dyDescent="0.3">
      <c r="B442" s="178"/>
      <c r="C442" s="179"/>
      <c r="D442" s="180"/>
      <c r="E442" s="181"/>
      <c r="F442" s="182"/>
      <c r="G442" s="1" t="str">
        <f>IFERROR(IF(ventas_b_mes1255[[#This Row],[CUIT]]="","-",VLOOKUP(ventas_b_mes1255[[#This Row],[CUIT]],Lista_CUIT[#All],2,0)),"CUIT NO CARGADO")</f>
        <v>-</v>
      </c>
      <c r="H442" s="100">
        <f>ventas_b_mes1255[[#This Row],[TOTAL]]/1.21</f>
        <v>0</v>
      </c>
      <c r="I442" s="64">
        <f>ventas_b_mes1255[[#This Row],[IMPORTE NETO]]*0.21</f>
        <v>0</v>
      </c>
      <c r="J442" s="184"/>
      <c r="K442" s="184"/>
      <c r="L442" s="184"/>
      <c r="M442" s="59"/>
    </row>
    <row r="443" spans="2:13" x14ac:dyDescent="0.3">
      <c r="B443" s="178"/>
      <c r="C443" s="179"/>
      <c r="D443" s="180"/>
      <c r="E443" s="181"/>
      <c r="F443" s="182"/>
      <c r="G443" s="1" t="str">
        <f>IFERROR(IF(ventas_b_mes1255[[#This Row],[CUIT]]="","-",VLOOKUP(ventas_b_mes1255[[#This Row],[CUIT]],Lista_CUIT[#All],2,0)),"CUIT NO CARGADO")</f>
        <v>-</v>
      </c>
      <c r="H443" s="100">
        <f>ventas_b_mes1255[[#This Row],[TOTAL]]/1.21</f>
        <v>0</v>
      </c>
      <c r="I443" s="64">
        <f>ventas_b_mes1255[[#This Row],[IMPORTE NETO]]*0.21</f>
        <v>0</v>
      </c>
      <c r="J443" s="184"/>
      <c r="K443" s="184"/>
      <c r="L443" s="184"/>
      <c r="M443" s="59"/>
    </row>
    <row r="444" spans="2:13" x14ac:dyDescent="0.3">
      <c r="B444" s="178"/>
      <c r="C444" s="179"/>
      <c r="D444" s="180"/>
      <c r="E444" s="181"/>
      <c r="F444" s="182"/>
      <c r="G444" s="1" t="str">
        <f>IFERROR(IF(ventas_b_mes1255[[#This Row],[CUIT]]="","-",VLOOKUP(ventas_b_mes1255[[#This Row],[CUIT]],Lista_CUIT[#All],2,0)),"CUIT NO CARGADO")</f>
        <v>-</v>
      </c>
      <c r="H444" s="100">
        <f>ventas_b_mes1255[[#This Row],[TOTAL]]/1.21</f>
        <v>0</v>
      </c>
      <c r="I444" s="64">
        <f>ventas_b_mes1255[[#This Row],[IMPORTE NETO]]*0.21</f>
        <v>0</v>
      </c>
      <c r="J444" s="184"/>
      <c r="K444" s="184"/>
      <c r="L444" s="184"/>
      <c r="M444" s="59"/>
    </row>
    <row r="445" spans="2:13" x14ac:dyDescent="0.3">
      <c r="B445" s="178"/>
      <c r="C445" s="179"/>
      <c r="D445" s="180"/>
      <c r="E445" s="181"/>
      <c r="F445" s="182"/>
      <c r="G445" s="1" t="str">
        <f>IFERROR(IF(ventas_b_mes1255[[#This Row],[CUIT]]="","-",VLOOKUP(ventas_b_mes1255[[#This Row],[CUIT]],Lista_CUIT[#All],2,0)),"CUIT NO CARGADO")</f>
        <v>-</v>
      </c>
      <c r="H445" s="100">
        <f>ventas_b_mes1255[[#This Row],[TOTAL]]/1.21</f>
        <v>0</v>
      </c>
      <c r="I445" s="64">
        <f>ventas_b_mes1255[[#This Row],[IMPORTE NETO]]*0.21</f>
        <v>0</v>
      </c>
      <c r="J445" s="184"/>
      <c r="K445" s="184"/>
      <c r="L445" s="184"/>
      <c r="M445" s="59"/>
    </row>
    <row r="446" spans="2:13" x14ac:dyDescent="0.3">
      <c r="B446" s="178"/>
      <c r="C446" s="179"/>
      <c r="D446" s="180"/>
      <c r="E446" s="181"/>
      <c r="F446" s="182"/>
      <c r="G446" s="1" t="str">
        <f>IFERROR(IF(ventas_b_mes1255[[#This Row],[CUIT]]="","-",VLOOKUP(ventas_b_mes1255[[#This Row],[CUIT]],Lista_CUIT[#All],2,0)),"CUIT NO CARGADO")</f>
        <v>-</v>
      </c>
      <c r="H446" s="100">
        <f>ventas_b_mes1255[[#This Row],[TOTAL]]/1.21</f>
        <v>0</v>
      </c>
      <c r="I446" s="64">
        <f>ventas_b_mes1255[[#This Row],[IMPORTE NETO]]*0.21</f>
        <v>0</v>
      </c>
      <c r="J446" s="184"/>
      <c r="K446" s="184"/>
      <c r="L446" s="184"/>
      <c r="M446" s="59"/>
    </row>
    <row r="447" spans="2:13" x14ac:dyDescent="0.3">
      <c r="B447" s="178"/>
      <c r="C447" s="179"/>
      <c r="D447" s="180"/>
      <c r="E447" s="181"/>
      <c r="F447" s="182"/>
      <c r="G447" s="1" t="str">
        <f>IFERROR(IF(ventas_b_mes1255[[#This Row],[CUIT]]="","-",VLOOKUP(ventas_b_mes1255[[#This Row],[CUIT]],Lista_CUIT[#All],2,0)),"CUIT NO CARGADO")</f>
        <v>-</v>
      </c>
      <c r="H447" s="100">
        <f>ventas_b_mes1255[[#This Row],[TOTAL]]/1.21</f>
        <v>0</v>
      </c>
      <c r="I447" s="64">
        <f>ventas_b_mes1255[[#This Row],[IMPORTE NETO]]*0.21</f>
        <v>0</v>
      </c>
      <c r="J447" s="184"/>
      <c r="K447" s="184"/>
      <c r="L447" s="184"/>
      <c r="M447" s="59"/>
    </row>
    <row r="448" spans="2:13" x14ac:dyDescent="0.3">
      <c r="B448" s="178"/>
      <c r="C448" s="179"/>
      <c r="D448" s="180"/>
      <c r="E448" s="181"/>
      <c r="F448" s="182"/>
      <c r="G448" s="1" t="str">
        <f>IFERROR(IF(ventas_b_mes1255[[#This Row],[CUIT]]="","-",VLOOKUP(ventas_b_mes1255[[#This Row],[CUIT]],Lista_CUIT[#All],2,0)),"CUIT NO CARGADO")</f>
        <v>-</v>
      </c>
      <c r="H448" s="100">
        <f>ventas_b_mes1255[[#This Row],[TOTAL]]/1.21</f>
        <v>0</v>
      </c>
      <c r="I448" s="64">
        <f>ventas_b_mes1255[[#This Row],[IMPORTE NETO]]*0.21</f>
        <v>0</v>
      </c>
      <c r="J448" s="184"/>
      <c r="K448" s="184"/>
      <c r="L448" s="184"/>
      <c r="M448" s="59"/>
    </row>
    <row r="449" spans="2:13" x14ac:dyDescent="0.3">
      <c r="B449" s="178"/>
      <c r="C449" s="179"/>
      <c r="D449" s="180"/>
      <c r="E449" s="181"/>
      <c r="F449" s="182"/>
      <c r="G449" s="1" t="str">
        <f>IFERROR(IF(ventas_b_mes1255[[#This Row],[CUIT]]="","-",VLOOKUP(ventas_b_mes1255[[#This Row],[CUIT]],Lista_CUIT[#All],2,0)),"CUIT NO CARGADO")</f>
        <v>-</v>
      </c>
      <c r="H449" s="100">
        <f>ventas_b_mes1255[[#This Row],[TOTAL]]/1.21</f>
        <v>0</v>
      </c>
      <c r="I449" s="64">
        <f>ventas_b_mes1255[[#This Row],[IMPORTE NETO]]*0.21</f>
        <v>0</v>
      </c>
      <c r="J449" s="184"/>
      <c r="K449" s="184"/>
      <c r="L449" s="184"/>
      <c r="M449" s="59"/>
    </row>
    <row r="450" spans="2:13" x14ac:dyDescent="0.3">
      <c r="B450" s="178"/>
      <c r="C450" s="179"/>
      <c r="D450" s="180"/>
      <c r="E450" s="181"/>
      <c r="F450" s="182"/>
      <c r="G450" s="1" t="str">
        <f>IFERROR(IF(ventas_b_mes1255[[#This Row],[CUIT]]="","-",VLOOKUP(ventas_b_mes1255[[#This Row],[CUIT]],Lista_CUIT[#All],2,0)),"CUIT NO CARGADO")</f>
        <v>-</v>
      </c>
      <c r="H450" s="100">
        <f>ventas_b_mes1255[[#This Row],[TOTAL]]/1.21</f>
        <v>0</v>
      </c>
      <c r="I450" s="64">
        <f>ventas_b_mes1255[[#This Row],[IMPORTE NETO]]*0.21</f>
        <v>0</v>
      </c>
      <c r="J450" s="184"/>
      <c r="K450" s="184"/>
      <c r="L450" s="184"/>
      <c r="M450" s="59"/>
    </row>
    <row r="451" spans="2:13" x14ac:dyDescent="0.3">
      <c r="B451" s="178"/>
      <c r="C451" s="179"/>
      <c r="D451" s="180"/>
      <c r="E451" s="181"/>
      <c r="F451" s="182"/>
      <c r="G451" s="1" t="str">
        <f>IFERROR(IF(ventas_b_mes1255[[#This Row],[CUIT]]="","-",VLOOKUP(ventas_b_mes1255[[#This Row],[CUIT]],Lista_CUIT[#All],2,0)),"CUIT NO CARGADO")</f>
        <v>-</v>
      </c>
      <c r="H451" s="100">
        <f>ventas_b_mes1255[[#This Row],[TOTAL]]/1.21</f>
        <v>0</v>
      </c>
      <c r="I451" s="64">
        <f>ventas_b_mes1255[[#This Row],[IMPORTE NETO]]*0.21</f>
        <v>0</v>
      </c>
      <c r="J451" s="184"/>
      <c r="K451" s="184"/>
      <c r="L451" s="184"/>
      <c r="M451" s="59"/>
    </row>
    <row r="452" spans="2:13" x14ac:dyDescent="0.3">
      <c r="B452" s="178"/>
      <c r="C452" s="179"/>
      <c r="D452" s="180"/>
      <c r="E452" s="181"/>
      <c r="F452" s="182"/>
      <c r="G452" s="1" t="str">
        <f>IFERROR(IF(ventas_b_mes1255[[#This Row],[CUIT]]="","-",VLOOKUP(ventas_b_mes1255[[#This Row],[CUIT]],Lista_CUIT[#All],2,0)),"CUIT NO CARGADO")</f>
        <v>-</v>
      </c>
      <c r="H452" s="100">
        <f>ventas_b_mes1255[[#This Row],[TOTAL]]/1.21</f>
        <v>0</v>
      </c>
      <c r="I452" s="64">
        <f>ventas_b_mes1255[[#This Row],[IMPORTE NETO]]*0.21</f>
        <v>0</v>
      </c>
      <c r="J452" s="184"/>
      <c r="K452" s="184"/>
      <c r="L452" s="184"/>
      <c r="M452" s="59"/>
    </row>
    <row r="453" spans="2:13" x14ac:dyDescent="0.3">
      <c r="B453" s="178"/>
      <c r="C453" s="179"/>
      <c r="D453" s="180"/>
      <c r="E453" s="181"/>
      <c r="F453" s="182"/>
      <c r="G453" s="1" t="str">
        <f>IFERROR(IF(ventas_b_mes1255[[#This Row],[CUIT]]="","-",VLOOKUP(ventas_b_mes1255[[#This Row],[CUIT]],Lista_CUIT[#All],2,0)),"CUIT NO CARGADO")</f>
        <v>-</v>
      </c>
      <c r="H453" s="100">
        <f>ventas_b_mes1255[[#This Row],[TOTAL]]/1.21</f>
        <v>0</v>
      </c>
      <c r="I453" s="64">
        <f>ventas_b_mes1255[[#This Row],[IMPORTE NETO]]*0.21</f>
        <v>0</v>
      </c>
      <c r="J453" s="184"/>
      <c r="K453" s="184"/>
      <c r="L453" s="184"/>
      <c r="M453" s="59"/>
    </row>
    <row r="454" spans="2:13" x14ac:dyDescent="0.3">
      <c r="B454" s="178"/>
      <c r="C454" s="179"/>
      <c r="D454" s="180"/>
      <c r="E454" s="181"/>
      <c r="F454" s="182"/>
      <c r="G454" s="1" t="str">
        <f>IFERROR(IF(ventas_b_mes1255[[#This Row],[CUIT]]="","-",VLOOKUP(ventas_b_mes1255[[#This Row],[CUIT]],Lista_CUIT[#All],2,0)),"CUIT NO CARGADO")</f>
        <v>-</v>
      </c>
      <c r="H454" s="100">
        <f>ventas_b_mes1255[[#This Row],[TOTAL]]/1.21</f>
        <v>0</v>
      </c>
      <c r="I454" s="64">
        <f>ventas_b_mes1255[[#This Row],[IMPORTE NETO]]*0.21</f>
        <v>0</v>
      </c>
      <c r="J454" s="184"/>
      <c r="K454" s="184"/>
      <c r="L454" s="184"/>
      <c r="M454" s="59"/>
    </row>
    <row r="455" spans="2:13" x14ac:dyDescent="0.3">
      <c r="B455" s="178"/>
      <c r="C455" s="179"/>
      <c r="D455" s="180"/>
      <c r="E455" s="181"/>
      <c r="F455" s="182"/>
      <c r="G455" s="1" t="str">
        <f>IFERROR(IF(ventas_b_mes1255[[#This Row],[CUIT]]="","-",VLOOKUP(ventas_b_mes1255[[#This Row],[CUIT]],Lista_CUIT[#All],2,0)),"CUIT NO CARGADO")</f>
        <v>-</v>
      </c>
      <c r="H455" s="100">
        <f>ventas_b_mes1255[[#This Row],[TOTAL]]/1.21</f>
        <v>0</v>
      </c>
      <c r="I455" s="64">
        <f>ventas_b_mes1255[[#This Row],[IMPORTE NETO]]*0.21</f>
        <v>0</v>
      </c>
      <c r="J455" s="184"/>
      <c r="K455" s="184"/>
      <c r="L455" s="184"/>
      <c r="M455" s="59"/>
    </row>
    <row r="456" spans="2:13" x14ac:dyDescent="0.3">
      <c r="B456" s="178"/>
      <c r="C456" s="179"/>
      <c r="D456" s="180"/>
      <c r="E456" s="181"/>
      <c r="F456" s="182"/>
      <c r="G456" s="1" t="str">
        <f>IFERROR(IF(ventas_b_mes1255[[#This Row],[CUIT]]="","-",VLOOKUP(ventas_b_mes1255[[#This Row],[CUIT]],Lista_CUIT[#All],2,0)),"CUIT NO CARGADO")</f>
        <v>-</v>
      </c>
      <c r="H456" s="100">
        <f>ventas_b_mes1255[[#This Row],[TOTAL]]/1.21</f>
        <v>0</v>
      </c>
      <c r="I456" s="64">
        <f>ventas_b_mes1255[[#This Row],[IMPORTE NETO]]*0.21</f>
        <v>0</v>
      </c>
      <c r="J456" s="184"/>
      <c r="K456" s="184"/>
      <c r="L456" s="184"/>
      <c r="M456" s="59"/>
    </row>
    <row r="457" spans="2:13" x14ac:dyDescent="0.3">
      <c r="B457" s="178"/>
      <c r="C457" s="179"/>
      <c r="D457" s="180"/>
      <c r="E457" s="181"/>
      <c r="F457" s="182"/>
      <c r="G457" s="1" t="str">
        <f>IFERROR(IF(ventas_b_mes1255[[#This Row],[CUIT]]="","-",VLOOKUP(ventas_b_mes1255[[#This Row],[CUIT]],Lista_CUIT[#All],2,0)),"CUIT NO CARGADO")</f>
        <v>-</v>
      </c>
      <c r="H457" s="100">
        <f>ventas_b_mes1255[[#This Row],[TOTAL]]/1.21</f>
        <v>0</v>
      </c>
      <c r="I457" s="64">
        <f>ventas_b_mes1255[[#This Row],[IMPORTE NETO]]*0.21</f>
        <v>0</v>
      </c>
      <c r="J457" s="184"/>
      <c r="K457" s="184"/>
      <c r="L457" s="184"/>
      <c r="M457" s="59"/>
    </row>
    <row r="458" spans="2:13" x14ac:dyDescent="0.3">
      <c r="B458" s="178"/>
      <c r="C458" s="179"/>
      <c r="D458" s="180"/>
      <c r="E458" s="181"/>
      <c r="F458" s="182"/>
      <c r="G458" s="1" t="str">
        <f>IFERROR(IF(ventas_b_mes1255[[#This Row],[CUIT]]="","-",VLOOKUP(ventas_b_mes1255[[#This Row],[CUIT]],Lista_CUIT[#All],2,0)),"CUIT NO CARGADO")</f>
        <v>-</v>
      </c>
      <c r="H458" s="100">
        <f>ventas_b_mes1255[[#This Row],[TOTAL]]/1.21</f>
        <v>0</v>
      </c>
      <c r="I458" s="64">
        <f>ventas_b_mes1255[[#This Row],[IMPORTE NETO]]*0.21</f>
        <v>0</v>
      </c>
      <c r="J458" s="184"/>
      <c r="K458" s="184"/>
      <c r="L458" s="184"/>
      <c r="M458" s="59"/>
    </row>
    <row r="459" spans="2:13" x14ac:dyDescent="0.3">
      <c r="B459" s="178"/>
      <c r="C459" s="179"/>
      <c r="D459" s="180"/>
      <c r="E459" s="181"/>
      <c r="F459" s="182"/>
      <c r="G459" s="1" t="str">
        <f>IFERROR(IF(ventas_b_mes1255[[#This Row],[CUIT]]="","-",VLOOKUP(ventas_b_mes1255[[#This Row],[CUIT]],Lista_CUIT[#All],2,0)),"CUIT NO CARGADO")</f>
        <v>-</v>
      </c>
      <c r="H459" s="100">
        <f>ventas_b_mes1255[[#This Row],[TOTAL]]/1.21</f>
        <v>0</v>
      </c>
      <c r="I459" s="64">
        <f>ventas_b_mes1255[[#This Row],[IMPORTE NETO]]*0.21</f>
        <v>0</v>
      </c>
      <c r="J459" s="184"/>
      <c r="K459" s="184"/>
      <c r="L459" s="184"/>
      <c r="M459" s="59"/>
    </row>
    <row r="460" spans="2:13" x14ac:dyDescent="0.3">
      <c r="B460" s="178"/>
      <c r="C460" s="179"/>
      <c r="D460" s="180"/>
      <c r="E460" s="181"/>
      <c r="F460" s="182"/>
      <c r="G460" s="1" t="str">
        <f>IFERROR(IF(ventas_b_mes1255[[#This Row],[CUIT]]="","-",VLOOKUP(ventas_b_mes1255[[#This Row],[CUIT]],Lista_CUIT[#All],2,0)),"CUIT NO CARGADO")</f>
        <v>-</v>
      </c>
      <c r="H460" s="100">
        <f>ventas_b_mes1255[[#This Row],[TOTAL]]/1.21</f>
        <v>0</v>
      </c>
      <c r="I460" s="64">
        <f>ventas_b_mes1255[[#This Row],[IMPORTE NETO]]*0.21</f>
        <v>0</v>
      </c>
      <c r="J460" s="184"/>
      <c r="K460" s="184"/>
      <c r="L460" s="184"/>
      <c r="M460" s="59"/>
    </row>
    <row r="461" spans="2:13" x14ac:dyDescent="0.3">
      <c r="B461" s="178"/>
      <c r="C461" s="179"/>
      <c r="D461" s="180"/>
      <c r="E461" s="181"/>
      <c r="F461" s="182"/>
      <c r="G461" s="1" t="str">
        <f>IFERROR(IF(ventas_b_mes1255[[#This Row],[CUIT]]="","-",VLOOKUP(ventas_b_mes1255[[#This Row],[CUIT]],Lista_CUIT[#All],2,0)),"CUIT NO CARGADO")</f>
        <v>-</v>
      </c>
      <c r="H461" s="100">
        <f>ventas_b_mes1255[[#This Row],[TOTAL]]/1.21</f>
        <v>0</v>
      </c>
      <c r="I461" s="64">
        <f>ventas_b_mes1255[[#This Row],[IMPORTE NETO]]*0.21</f>
        <v>0</v>
      </c>
      <c r="J461" s="184"/>
      <c r="K461" s="184"/>
      <c r="L461" s="184"/>
      <c r="M461" s="59"/>
    </row>
    <row r="462" spans="2:13" x14ac:dyDescent="0.3">
      <c r="B462" s="178"/>
      <c r="C462" s="179"/>
      <c r="D462" s="180"/>
      <c r="E462" s="181"/>
      <c r="F462" s="182"/>
      <c r="G462" s="1" t="str">
        <f>IFERROR(IF(ventas_b_mes1255[[#This Row],[CUIT]]="","-",VLOOKUP(ventas_b_mes1255[[#This Row],[CUIT]],Lista_CUIT[#All],2,0)),"CUIT NO CARGADO")</f>
        <v>-</v>
      </c>
      <c r="H462" s="100">
        <f>ventas_b_mes1255[[#This Row],[TOTAL]]/1.21</f>
        <v>0</v>
      </c>
      <c r="I462" s="64">
        <f>ventas_b_mes1255[[#This Row],[IMPORTE NETO]]*0.21</f>
        <v>0</v>
      </c>
      <c r="J462" s="184"/>
      <c r="K462" s="184"/>
      <c r="L462" s="184"/>
      <c r="M462" s="59"/>
    </row>
    <row r="463" spans="2:13" x14ac:dyDescent="0.3">
      <c r="B463" s="178"/>
      <c r="C463" s="179"/>
      <c r="D463" s="180"/>
      <c r="E463" s="181"/>
      <c r="F463" s="182"/>
      <c r="G463" s="1" t="str">
        <f>IFERROR(IF(ventas_b_mes1255[[#This Row],[CUIT]]="","-",VLOOKUP(ventas_b_mes1255[[#This Row],[CUIT]],Lista_CUIT[#All],2,0)),"CUIT NO CARGADO")</f>
        <v>-</v>
      </c>
      <c r="H463" s="100">
        <f>ventas_b_mes1255[[#This Row],[TOTAL]]/1.21</f>
        <v>0</v>
      </c>
      <c r="I463" s="64">
        <f>ventas_b_mes1255[[#This Row],[IMPORTE NETO]]*0.21</f>
        <v>0</v>
      </c>
      <c r="J463" s="184"/>
      <c r="K463" s="184"/>
      <c r="L463" s="184"/>
      <c r="M463" s="59"/>
    </row>
    <row r="464" spans="2:13" x14ac:dyDescent="0.3">
      <c r="B464" s="178"/>
      <c r="C464" s="179"/>
      <c r="D464" s="180"/>
      <c r="E464" s="181"/>
      <c r="F464" s="182"/>
      <c r="G464" s="1" t="str">
        <f>IFERROR(IF(ventas_b_mes1255[[#This Row],[CUIT]]="","-",VLOOKUP(ventas_b_mes1255[[#This Row],[CUIT]],Lista_CUIT[#All],2,0)),"CUIT NO CARGADO")</f>
        <v>-</v>
      </c>
      <c r="H464" s="100">
        <f>ventas_b_mes1255[[#This Row],[TOTAL]]/1.21</f>
        <v>0</v>
      </c>
      <c r="I464" s="64">
        <f>ventas_b_mes1255[[#This Row],[IMPORTE NETO]]*0.21</f>
        <v>0</v>
      </c>
      <c r="J464" s="184"/>
      <c r="K464" s="184"/>
      <c r="L464" s="184"/>
      <c r="M464" s="59"/>
    </row>
    <row r="465" spans="2:13" x14ac:dyDescent="0.3">
      <c r="B465" s="178"/>
      <c r="C465" s="179"/>
      <c r="D465" s="180"/>
      <c r="E465" s="181"/>
      <c r="F465" s="182"/>
      <c r="G465" s="1" t="str">
        <f>IFERROR(IF(ventas_b_mes1255[[#This Row],[CUIT]]="","-",VLOOKUP(ventas_b_mes1255[[#This Row],[CUIT]],Lista_CUIT[#All],2,0)),"CUIT NO CARGADO")</f>
        <v>-</v>
      </c>
      <c r="H465" s="100">
        <f>ventas_b_mes1255[[#This Row],[TOTAL]]/1.21</f>
        <v>0</v>
      </c>
      <c r="I465" s="64">
        <f>ventas_b_mes1255[[#This Row],[IMPORTE NETO]]*0.21</f>
        <v>0</v>
      </c>
      <c r="J465" s="184"/>
      <c r="K465" s="184"/>
      <c r="L465" s="184"/>
      <c r="M465" s="59"/>
    </row>
    <row r="466" spans="2:13" x14ac:dyDescent="0.3">
      <c r="B466" s="178"/>
      <c r="C466" s="179"/>
      <c r="D466" s="180"/>
      <c r="E466" s="181"/>
      <c r="F466" s="182"/>
      <c r="G466" s="1" t="str">
        <f>IFERROR(IF(ventas_b_mes1255[[#This Row],[CUIT]]="","-",VLOOKUP(ventas_b_mes1255[[#This Row],[CUIT]],Lista_CUIT[#All],2,0)),"CUIT NO CARGADO")</f>
        <v>-</v>
      </c>
      <c r="H466" s="100">
        <f>ventas_b_mes1255[[#This Row],[TOTAL]]/1.21</f>
        <v>0</v>
      </c>
      <c r="I466" s="64">
        <f>ventas_b_mes1255[[#This Row],[IMPORTE NETO]]*0.21</f>
        <v>0</v>
      </c>
      <c r="J466" s="184"/>
      <c r="K466" s="184"/>
      <c r="L466" s="184"/>
      <c r="M466" s="59"/>
    </row>
    <row r="467" spans="2:13" x14ac:dyDescent="0.3">
      <c r="B467" s="178"/>
      <c r="C467" s="179"/>
      <c r="D467" s="180"/>
      <c r="E467" s="181"/>
      <c r="F467" s="182"/>
      <c r="G467" s="1" t="str">
        <f>IFERROR(IF(ventas_b_mes1255[[#This Row],[CUIT]]="","-",VLOOKUP(ventas_b_mes1255[[#This Row],[CUIT]],Lista_CUIT[#All],2,0)),"CUIT NO CARGADO")</f>
        <v>-</v>
      </c>
      <c r="H467" s="100">
        <f>ventas_b_mes1255[[#This Row],[TOTAL]]/1.21</f>
        <v>0</v>
      </c>
      <c r="I467" s="64">
        <f>ventas_b_mes1255[[#This Row],[IMPORTE NETO]]*0.21</f>
        <v>0</v>
      </c>
      <c r="J467" s="184"/>
      <c r="K467" s="184"/>
      <c r="L467" s="184"/>
      <c r="M467" s="59"/>
    </row>
    <row r="468" spans="2:13" x14ac:dyDescent="0.3">
      <c r="B468" s="178"/>
      <c r="C468" s="179"/>
      <c r="D468" s="180"/>
      <c r="E468" s="181"/>
      <c r="F468" s="182"/>
      <c r="G468" s="1" t="str">
        <f>IFERROR(IF(ventas_b_mes1255[[#This Row],[CUIT]]="","-",VLOOKUP(ventas_b_mes1255[[#This Row],[CUIT]],Lista_CUIT[#All],2,0)),"CUIT NO CARGADO")</f>
        <v>-</v>
      </c>
      <c r="H468" s="100">
        <f>ventas_b_mes1255[[#This Row],[TOTAL]]/1.21</f>
        <v>0</v>
      </c>
      <c r="I468" s="64">
        <f>ventas_b_mes1255[[#This Row],[IMPORTE NETO]]*0.21</f>
        <v>0</v>
      </c>
      <c r="J468" s="184"/>
      <c r="K468" s="184"/>
      <c r="L468" s="184"/>
      <c r="M468" s="59"/>
    </row>
    <row r="469" spans="2:13" x14ac:dyDescent="0.3">
      <c r="B469" s="178"/>
      <c r="C469" s="179"/>
      <c r="D469" s="180"/>
      <c r="E469" s="181"/>
      <c r="F469" s="182"/>
      <c r="G469" s="1" t="str">
        <f>IFERROR(IF(ventas_b_mes1255[[#This Row],[CUIT]]="","-",VLOOKUP(ventas_b_mes1255[[#This Row],[CUIT]],Lista_CUIT[#All],2,0)),"CUIT NO CARGADO")</f>
        <v>-</v>
      </c>
      <c r="H469" s="100">
        <f>ventas_b_mes1255[[#This Row],[TOTAL]]/1.21</f>
        <v>0</v>
      </c>
      <c r="I469" s="64">
        <f>ventas_b_mes1255[[#This Row],[IMPORTE NETO]]*0.21</f>
        <v>0</v>
      </c>
      <c r="J469" s="184"/>
      <c r="K469" s="184"/>
      <c r="L469" s="184"/>
      <c r="M469" s="59"/>
    </row>
    <row r="470" spans="2:13" x14ac:dyDescent="0.3">
      <c r="B470" s="178"/>
      <c r="C470" s="179"/>
      <c r="D470" s="180"/>
      <c r="E470" s="181"/>
      <c r="F470" s="182"/>
      <c r="G470" s="1" t="str">
        <f>IFERROR(IF(ventas_b_mes1255[[#This Row],[CUIT]]="","-",VLOOKUP(ventas_b_mes1255[[#This Row],[CUIT]],Lista_CUIT[#All],2,0)),"CUIT NO CARGADO")</f>
        <v>-</v>
      </c>
      <c r="H470" s="100">
        <f>ventas_b_mes1255[[#This Row],[TOTAL]]/1.21</f>
        <v>0</v>
      </c>
      <c r="I470" s="64">
        <f>ventas_b_mes1255[[#This Row],[IMPORTE NETO]]*0.21</f>
        <v>0</v>
      </c>
      <c r="J470" s="184"/>
      <c r="K470" s="184"/>
      <c r="L470" s="184"/>
      <c r="M470" s="59"/>
    </row>
    <row r="471" spans="2:13" x14ac:dyDescent="0.3">
      <c r="B471" s="178"/>
      <c r="C471" s="179"/>
      <c r="D471" s="180"/>
      <c r="E471" s="181"/>
      <c r="F471" s="182"/>
      <c r="G471" s="1" t="str">
        <f>IFERROR(IF(ventas_b_mes1255[[#This Row],[CUIT]]="","-",VLOOKUP(ventas_b_mes1255[[#This Row],[CUIT]],Lista_CUIT[#All],2,0)),"CUIT NO CARGADO")</f>
        <v>-</v>
      </c>
      <c r="H471" s="100">
        <f>ventas_b_mes1255[[#This Row],[TOTAL]]/1.21</f>
        <v>0</v>
      </c>
      <c r="I471" s="64">
        <f>ventas_b_mes1255[[#This Row],[IMPORTE NETO]]*0.21</f>
        <v>0</v>
      </c>
      <c r="J471" s="184"/>
      <c r="K471" s="184"/>
      <c r="L471" s="184"/>
      <c r="M471" s="59"/>
    </row>
    <row r="472" spans="2:13" x14ac:dyDescent="0.3">
      <c r="B472" s="178"/>
      <c r="C472" s="179"/>
      <c r="D472" s="180"/>
      <c r="E472" s="181"/>
      <c r="F472" s="182"/>
      <c r="G472" s="1" t="str">
        <f>IFERROR(IF(ventas_b_mes1255[[#This Row],[CUIT]]="","-",VLOOKUP(ventas_b_mes1255[[#This Row],[CUIT]],Lista_CUIT[#All],2,0)),"CUIT NO CARGADO")</f>
        <v>-</v>
      </c>
      <c r="H472" s="100">
        <f>ventas_b_mes1255[[#This Row],[TOTAL]]/1.21</f>
        <v>0</v>
      </c>
      <c r="I472" s="64">
        <f>ventas_b_mes1255[[#This Row],[IMPORTE NETO]]*0.21</f>
        <v>0</v>
      </c>
      <c r="J472" s="184"/>
      <c r="K472" s="184"/>
      <c r="L472" s="184"/>
      <c r="M472" s="59"/>
    </row>
    <row r="473" spans="2:13" x14ac:dyDescent="0.3">
      <c r="B473" s="178"/>
      <c r="C473" s="179"/>
      <c r="D473" s="180"/>
      <c r="E473" s="181"/>
      <c r="F473" s="182"/>
      <c r="G473" s="1" t="str">
        <f>IFERROR(IF(ventas_b_mes1255[[#This Row],[CUIT]]="","-",VLOOKUP(ventas_b_mes1255[[#This Row],[CUIT]],Lista_CUIT[#All],2,0)),"CUIT NO CARGADO")</f>
        <v>-</v>
      </c>
      <c r="H473" s="100">
        <f>ventas_b_mes1255[[#This Row],[TOTAL]]/1.21</f>
        <v>0</v>
      </c>
      <c r="I473" s="64">
        <f>ventas_b_mes1255[[#This Row],[IMPORTE NETO]]*0.21</f>
        <v>0</v>
      </c>
      <c r="J473" s="184"/>
      <c r="K473" s="184"/>
      <c r="L473" s="184"/>
      <c r="M473" s="59"/>
    </row>
    <row r="474" spans="2:13" x14ac:dyDescent="0.3">
      <c r="B474" s="178"/>
      <c r="C474" s="179"/>
      <c r="D474" s="180"/>
      <c r="E474" s="181"/>
      <c r="F474" s="182"/>
      <c r="G474" s="1" t="str">
        <f>IFERROR(IF(ventas_b_mes1255[[#This Row],[CUIT]]="","-",VLOOKUP(ventas_b_mes1255[[#This Row],[CUIT]],Lista_CUIT[#All],2,0)),"CUIT NO CARGADO")</f>
        <v>-</v>
      </c>
      <c r="H474" s="100">
        <f>ventas_b_mes1255[[#This Row],[TOTAL]]/1.21</f>
        <v>0</v>
      </c>
      <c r="I474" s="64">
        <f>ventas_b_mes1255[[#This Row],[IMPORTE NETO]]*0.21</f>
        <v>0</v>
      </c>
      <c r="J474" s="184"/>
      <c r="K474" s="184"/>
      <c r="L474" s="184"/>
      <c r="M474" s="59"/>
    </row>
    <row r="475" spans="2:13" x14ac:dyDescent="0.3">
      <c r="B475" s="178"/>
      <c r="C475" s="179"/>
      <c r="D475" s="180"/>
      <c r="E475" s="181"/>
      <c r="F475" s="182"/>
      <c r="G475" s="1" t="str">
        <f>IFERROR(IF(ventas_b_mes1255[[#This Row],[CUIT]]="","-",VLOOKUP(ventas_b_mes1255[[#This Row],[CUIT]],Lista_CUIT[#All],2,0)),"CUIT NO CARGADO")</f>
        <v>-</v>
      </c>
      <c r="H475" s="100">
        <f>ventas_b_mes1255[[#This Row],[TOTAL]]/1.21</f>
        <v>0</v>
      </c>
      <c r="I475" s="64">
        <f>ventas_b_mes1255[[#This Row],[IMPORTE NETO]]*0.21</f>
        <v>0</v>
      </c>
      <c r="J475" s="184"/>
      <c r="K475" s="184"/>
      <c r="L475" s="184"/>
      <c r="M475" s="59"/>
    </row>
    <row r="476" spans="2:13" x14ac:dyDescent="0.3">
      <c r="B476" s="178"/>
      <c r="C476" s="179"/>
      <c r="D476" s="180"/>
      <c r="E476" s="181"/>
      <c r="F476" s="182"/>
      <c r="G476" s="1" t="str">
        <f>IFERROR(IF(ventas_b_mes1255[[#This Row],[CUIT]]="","-",VLOOKUP(ventas_b_mes1255[[#This Row],[CUIT]],Lista_CUIT[#All],2,0)),"CUIT NO CARGADO")</f>
        <v>-</v>
      </c>
      <c r="H476" s="100">
        <f>ventas_b_mes1255[[#This Row],[TOTAL]]/1.21</f>
        <v>0</v>
      </c>
      <c r="I476" s="64">
        <f>ventas_b_mes1255[[#This Row],[IMPORTE NETO]]*0.21</f>
        <v>0</v>
      </c>
      <c r="J476" s="184"/>
      <c r="K476" s="184"/>
      <c r="L476" s="184"/>
      <c r="M476" s="59"/>
    </row>
    <row r="477" spans="2:13" x14ac:dyDescent="0.3">
      <c r="B477" s="178"/>
      <c r="C477" s="179"/>
      <c r="D477" s="180"/>
      <c r="E477" s="181"/>
      <c r="F477" s="182"/>
      <c r="G477" s="1" t="str">
        <f>IFERROR(IF(ventas_b_mes1255[[#This Row],[CUIT]]="","-",VLOOKUP(ventas_b_mes1255[[#This Row],[CUIT]],Lista_CUIT[#All],2,0)),"CUIT NO CARGADO")</f>
        <v>-</v>
      </c>
      <c r="H477" s="100">
        <f>ventas_b_mes1255[[#This Row],[TOTAL]]/1.21</f>
        <v>0</v>
      </c>
      <c r="I477" s="64">
        <f>ventas_b_mes1255[[#This Row],[IMPORTE NETO]]*0.21</f>
        <v>0</v>
      </c>
      <c r="J477" s="184"/>
      <c r="K477" s="184"/>
      <c r="L477" s="184"/>
      <c r="M477" s="59"/>
    </row>
    <row r="478" spans="2:13" x14ac:dyDescent="0.3">
      <c r="B478" s="178"/>
      <c r="C478" s="179"/>
      <c r="D478" s="180"/>
      <c r="E478" s="181"/>
      <c r="F478" s="182"/>
      <c r="G478" s="1" t="str">
        <f>IFERROR(IF(ventas_b_mes1255[[#This Row],[CUIT]]="","-",VLOOKUP(ventas_b_mes1255[[#This Row],[CUIT]],Lista_CUIT[#All],2,0)),"CUIT NO CARGADO")</f>
        <v>-</v>
      </c>
      <c r="H478" s="100">
        <f>ventas_b_mes1255[[#This Row],[TOTAL]]/1.21</f>
        <v>0</v>
      </c>
      <c r="I478" s="64">
        <f>ventas_b_mes1255[[#This Row],[IMPORTE NETO]]*0.21</f>
        <v>0</v>
      </c>
      <c r="J478" s="184"/>
      <c r="K478" s="184"/>
      <c r="L478" s="184"/>
      <c r="M478" s="59"/>
    </row>
    <row r="479" spans="2:13" x14ac:dyDescent="0.3">
      <c r="B479" s="178"/>
      <c r="C479" s="179"/>
      <c r="D479" s="180"/>
      <c r="E479" s="181"/>
      <c r="F479" s="182"/>
      <c r="G479" s="1" t="str">
        <f>IFERROR(IF(ventas_b_mes1255[[#This Row],[CUIT]]="","-",VLOOKUP(ventas_b_mes1255[[#This Row],[CUIT]],Lista_CUIT[#All],2,0)),"CUIT NO CARGADO")</f>
        <v>-</v>
      </c>
      <c r="H479" s="100">
        <f>ventas_b_mes1255[[#This Row],[TOTAL]]/1.21</f>
        <v>0</v>
      </c>
      <c r="I479" s="64">
        <f>ventas_b_mes1255[[#This Row],[IMPORTE NETO]]*0.21</f>
        <v>0</v>
      </c>
      <c r="J479" s="184"/>
      <c r="K479" s="184"/>
      <c r="L479" s="184"/>
      <c r="M479" s="59"/>
    </row>
    <row r="480" spans="2:13" x14ac:dyDescent="0.3">
      <c r="B480" s="178"/>
      <c r="C480" s="179"/>
      <c r="D480" s="180"/>
      <c r="E480" s="181"/>
      <c r="F480" s="182"/>
      <c r="G480" s="1" t="str">
        <f>IFERROR(IF(ventas_b_mes1255[[#This Row],[CUIT]]="","-",VLOOKUP(ventas_b_mes1255[[#This Row],[CUIT]],Lista_CUIT[#All],2,0)),"CUIT NO CARGADO")</f>
        <v>-</v>
      </c>
      <c r="H480" s="100">
        <f>ventas_b_mes1255[[#This Row],[TOTAL]]/1.21</f>
        <v>0</v>
      </c>
      <c r="I480" s="64">
        <f>ventas_b_mes1255[[#This Row],[IMPORTE NETO]]*0.21</f>
        <v>0</v>
      </c>
      <c r="J480" s="184"/>
      <c r="K480" s="184"/>
      <c r="L480" s="184"/>
      <c r="M480" s="59"/>
    </row>
    <row r="481" spans="2:13" x14ac:dyDescent="0.3">
      <c r="B481" s="178"/>
      <c r="C481" s="179"/>
      <c r="D481" s="180"/>
      <c r="E481" s="181"/>
      <c r="F481" s="182"/>
      <c r="G481" s="1" t="str">
        <f>IFERROR(IF(ventas_b_mes1255[[#This Row],[CUIT]]="","-",VLOOKUP(ventas_b_mes1255[[#This Row],[CUIT]],Lista_CUIT[#All],2,0)),"CUIT NO CARGADO")</f>
        <v>-</v>
      </c>
      <c r="H481" s="100">
        <f>ventas_b_mes1255[[#This Row],[TOTAL]]/1.21</f>
        <v>0</v>
      </c>
      <c r="I481" s="64">
        <f>ventas_b_mes1255[[#This Row],[IMPORTE NETO]]*0.21</f>
        <v>0</v>
      </c>
      <c r="J481" s="184"/>
      <c r="K481" s="184"/>
      <c r="L481" s="184"/>
      <c r="M481" s="59"/>
    </row>
    <row r="482" spans="2:13" x14ac:dyDescent="0.3">
      <c r="B482" s="178"/>
      <c r="C482" s="179"/>
      <c r="D482" s="180"/>
      <c r="E482" s="181"/>
      <c r="F482" s="182"/>
      <c r="G482" s="1" t="str">
        <f>IFERROR(IF(ventas_b_mes1255[[#This Row],[CUIT]]="","-",VLOOKUP(ventas_b_mes1255[[#This Row],[CUIT]],Lista_CUIT[#All],2,0)),"CUIT NO CARGADO")</f>
        <v>-</v>
      </c>
      <c r="H482" s="100">
        <f>ventas_b_mes1255[[#This Row],[TOTAL]]/1.21</f>
        <v>0</v>
      </c>
      <c r="I482" s="64">
        <f>ventas_b_mes1255[[#This Row],[IMPORTE NETO]]*0.21</f>
        <v>0</v>
      </c>
      <c r="J482" s="184"/>
      <c r="K482" s="184"/>
      <c r="L482" s="184"/>
      <c r="M482" s="59"/>
    </row>
    <row r="483" spans="2:13" x14ac:dyDescent="0.3">
      <c r="B483" s="178"/>
      <c r="C483" s="179"/>
      <c r="D483" s="180"/>
      <c r="E483" s="181"/>
      <c r="F483" s="182"/>
      <c r="G483" s="1" t="str">
        <f>IFERROR(IF(ventas_b_mes1255[[#This Row],[CUIT]]="","-",VLOOKUP(ventas_b_mes1255[[#This Row],[CUIT]],Lista_CUIT[#All],2,0)),"CUIT NO CARGADO")</f>
        <v>-</v>
      </c>
      <c r="H483" s="100">
        <f>ventas_b_mes1255[[#This Row],[TOTAL]]/1.21</f>
        <v>0</v>
      </c>
      <c r="I483" s="64">
        <f>ventas_b_mes1255[[#This Row],[IMPORTE NETO]]*0.21</f>
        <v>0</v>
      </c>
      <c r="J483" s="184"/>
      <c r="K483" s="184"/>
      <c r="L483" s="184"/>
      <c r="M483" s="59"/>
    </row>
    <row r="484" spans="2:13" x14ac:dyDescent="0.3">
      <c r="B484" s="178"/>
      <c r="C484" s="179"/>
      <c r="D484" s="180"/>
      <c r="E484" s="181"/>
      <c r="F484" s="182"/>
      <c r="G484" s="1" t="str">
        <f>IFERROR(IF(ventas_b_mes1255[[#This Row],[CUIT]]="","-",VLOOKUP(ventas_b_mes1255[[#This Row],[CUIT]],Lista_CUIT[#All],2,0)),"CUIT NO CARGADO")</f>
        <v>-</v>
      </c>
      <c r="H484" s="100">
        <f>ventas_b_mes1255[[#This Row],[TOTAL]]/1.21</f>
        <v>0</v>
      </c>
      <c r="I484" s="64">
        <f>ventas_b_mes1255[[#This Row],[IMPORTE NETO]]*0.21</f>
        <v>0</v>
      </c>
      <c r="J484" s="184"/>
      <c r="K484" s="184"/>
      <c r="L484" s="184"/>
      <c r="M484" s="59"/>
    </row>
    <row r="485" spans="2:13" x14ac:dyDescent="0.3">
      <c r="B485" s="178"/>
      <c r="C485" s="179"/>
      <c r="D485" s="180"/>
      <c r="E485" s="181"/>
      <c r="F485" s="182"/>
      <c r="G485" s="1" t="str">
        <f>IFERROR(IF(ventas_b_mes1255[[#This Row],[CUIT]]="","-",VLOOKUP(ventas_b_mes1255[[#This Row],[CUIT]],Lista_CUIT[#All],2,0)),"CUIT NO CARGADO")</f>
        <v>-</v>
      </c>
      <c r="H485" s="100">
        <f>ventas_b_mes1255[[#This Row],[TOTAL]]/1.21</f>
        <v>0</v>
      </c>
      <c r="I485" s="64">
        <f>ventas_b_mes1255[[#This Row],[IMPORTE NETO]]*0.21</f>
        <v>0</v>
      </c>
      <c r="J485" s="184"/>
      <c r="K485" s="184"/>
      <c r="L485" s="184"/>
      <c r="M485" s="59"/>
    </row>
    <row r="486" spans="2:13" x14ac:dyDescent="0.3">
      <c r="B486" s="178"/>
      <c r="C486" s="179"/>
      <c r="D486" s="180"/>
      <c r="E486" s="181"/>
      <c r="F486" s="182"/>
      <c r="G486" s="1" t="str">
        <f>IFERROR(IF(ventas_b_mes1255[[#This Row],[CUIT]]="","-",VLOOKUP(ventas_b_mes1255[[#This Row],[CUIT]],Lista_CUIT[#All],2,0)),"CUIT NO CARGADO")</f>
        <v>-</v>
      </c>
      <c r="H486" s="100">
        <f>ventas_b_mes1255[[#This Row],[TOTAL]]/1.21</f>
        <v>0</v>
      </c>
      <c r="I486" s="64">
        <f>ventas_b_mes1255[[#This Row],[IMPORTE NETO]]*0.21</f>
        <v>0</v>
      </c>
      <c r="J486" s="184"/>
      <c r="K486" s="184"/>
      <c r="L486" s="184"/>
      <c r="M486" s="59"/>
    </row>
    <row r="487" spans="2:13" x14ac:dyDescent="0.3">
      <c r="B487" s="178"/>
      <c r="C487" s="179"/>
      <c r="D487" s="180"/>
      <c r="E487" s="181"/>
      <c r="F487" s="182"/>
      <c r="G487" s="1" t="str">
        <f>IFERROR(IF(ventas_b_mes1255[[#This Row],[CUIT]]="","-",VLOOKUP(ventas_b_mes1255[[#This Row],[CUIT]],Lista_CUIT[#All],2,0)),"CUIT NO CARGADO")</f>
        <v>-</v>
      </c>
      <c r="H487" s="100">
        <f>ventas_b_mes1255[[#This Row],[TOTAL]]/1.21</f>
        <v>0</v>
      </c>
      <c r="I487" s="64">
        <f>ventas_b_mes1255[[#This Row],[IMPORTE NETO]]*0.21</f>
        <v>0</v>
      </c>
      <c r="J487" s="184"/>
      <c r="K487" s="184"/>
      <c r="L487" s="184"/>
      <c r="M487" s="59"/>
    </row>
    <row r="488" spans="2:13" x14ac:dyDescent="0.3">
      <c r="B488" s="178"/>
      <c r="C488" s="179"/>
      <c r="D488" s="180"/>
      <c r="E488" s="181"/>
      <c r="F488" s="182"/>
      <c r="G488" s="1" t="str">
        <f>IFERROR(IF(ventas_b_mes1255[[#This Row],[CUIT]]="","-",VLOOKUP(ventas_b_mes1255[[#This Row],[CUIT]],Lista_CUIT[#All],2,0)),"CUIT NO CARGADO")</f>
        <v>-</v>
      </c>
      <c r="H488" s="100">
        <f>ventas_b_mes1255[[#This Row],[TOTAL]]/1.21</f>
        <v>0</v>
      </c>
      <c r="I488" s="64">
        <f>ventas_b_mes1255[[#This Row],[IMPORTE NETO]]*0.21</f>
        <v>0</v>
      </c>
      <c r="J488" s="184"/>
      <c r="K488" s="184"/>
      <c r="L488" s="184"/>
      <c r="M488" s="59"/>
    </row>
    <row r="489" spans="2:13" x14ac:dyDescent="0.3">
      <c r="B489" s="178"/>
      <c r="C489" s="179"/>
      <c r="D489" s="180"/>
      <c r="E489" s="181"/>
      <c r="F489" s="182"/>
      <c r="G489" s="1" t="str">
        <f>IFERROR(IF(ventas_b_mes1255[[#This Row],[CUIT]]="","-",VLOOKUP(ventas_b_mes1255[[#This Row],[CUIT]],Lista_CUIT[#All],2,0)),"CUIT NO CARGADO")</f>
        <v>-</v>
      </c>
      <c r="H489" s="100">
        <f>ventas_b_mes1255[[#This Row],[TOTAL]]/1.21</f>
        <v>0</v>
      </c>
      <c r="I489" s="64">
        <f>ventas_b_mes1255[[#This Row],[IMPORTE NETO]]*0.21</f>
        <v>0</v>
      </c>
      <c r="J489" s="184"/>
      <c r="K489" s="184"/>
      <c r="L489" s="184"/>
      <c r="M489" s="59"/>
    </row>
    <row r="490" spans="2:13" x14ac:dyDescent="0.3">
      <c r="B490" s="178"/>
      <c r="C490" s="179"/>
      <c r="D490" s="180"/>
      <c r="E490" s="181"/>
      <c r="F490" s="182"/>
      <c r="G490" s="1" t="str">
        <f>IFERROR(IF(ventas_b_mes1255[[#This Row],[CUIT]]="","-",VLOOKUP(ventas_b_mes1255[[#This Row],[CUIT]],Lista_CUIT[#All],2,0)),"CUIT NO CARGADO")</f>
        <v>-</v>
      </c>
      <c r="H490" s="100">
        <f>ventas_b_mes1255[[#This Row],[TOTAL]]/1.21</f>
        <v>0</v>
      </c>
      <c r="I490" s="64">
        <f>ventas_b_mes1255[[#This Row],[IMPORTE NETO]]*0.21</f>
        <v>0</v>
      </c>
      <c r="J490" s="184"/>
      <c r="K490" s="184"/>
      <c r="L490" s="184"/>
      <c r="M490" s="59"/>
    </row>
    <row r="491" spans="2:13" x14ac:dyDescent="0.3">
      <c r="B491" s="178"/>
      <c r="C491" s="179"/>
      <c r="D491" s="180"/>
      <c r="E491" s="181"/>
      <c r="F491" s="182"/>
      <c r="G491" s="1" t="str">
        <f>IFERROR(IF(ventas_b_mes1255[[#This Row],[CUIT]]="","-",VLOOKUP(ventas_b_mes1255[[#This Row],[CUIT]],Lista_CUIT[#All],2,0)),"CUIT NO CARGADO")</f>
        <v>-</v>
      </c>
      <c r="H491" s="100">
        <f>ventas_b_mes1255[[#This Row],[TOTAL]]/1.21</f>
        <v>0</v>
      </c>
      <c r="I491" s="64">
        <f>ventas_b_mes1255[[#This Row],[IMPORTE NETO]]*0.21</f>
        <v>0</v>
      </c>
      <c r="J491" s="184"/>
      <c r="K491" s="184"/>
      <c r="L491" s="184"/>
      <c r="M491" s="59"/>
    </row>
    <row r="492" spans="2:13" x14ac:dyDescent="0.3">
      <c r="B492" s="178"/>
      <c r="C492" s="179"/>
      <c r="D492" s="180"/>
      <c r="E492" s="181"/>
      <c r="F492" s="182"/>
      <c r="G492" s="1" t="str">
        <f>IFERROR(IF(ventas_b_mes1255[[#This Row],[CUIT]]="","-",VLOOKUP(ventas_b_mes1255[[#This Row],[CUIT]],Lista_CUIT[#All],2,0)),"CUIT NO CARGADO")</f>
        <v>-</v>
      </c>
      <c r="H492" s="100">
        <f>ventas_b_mes1255[[#This Row],[TOTAL]]/1.21</f>
        <v>0</v>
      </c>
      <c r="I492" s="64">
        <f>ventas_b_mes1255[[#This Row],[IMPORTE NETO]]*0.21</f>
        <v>0</v>
      </c>
      <c r="J492" s="184"/>
      <c r="K492" s="184"/>
      <c r="L492" s="184"/>
      <c r="M492" s="59"/>
    </row>
    <row r="493" spans="2:13" x14ac:dyDescent="0.3">
      <c r="B493" s="178"/>
      <c r="C493" s="179"/>
      <c r="D493" s="180"/>
      <c r="E493" s="181"/>
      <c r="F493" s="182"/>
      <c r="G493" s="1" t="str">
        <f>IFERROR(IF(ventas_b_mes1255[[#This Row],[CUIT]]="","-",VLOOKUP(ventas_b_mes1255[[#This Row],[CUIT]],Lista_CUIT[#All],2,0)),"CUIT NO CARGADO")</f>
        <v>-</v>
      </c>
      <c r="H493" s="100">
        <f>ventas_b_mes1255[[#This Row],[TOTAL]]/1.21</f>
        <v>0</v>
      </c>
      <c r="I493" s="64">
        <f>ventas_b_mes1255[[#This Row],[IMPORTE NETO]]*0.21</f>
        <v>0</v>
      </c>
      <c r="J493" s="184"/>
      <c r="K493" s="184"/>
      <c r="L493" s="184"/>
      <c r="M493" s="59"/>
    </row>
    <row r="494" spans="2:13" x14ac:dyDescent="0.3">
      <c r="B494" s="178"/>
      <c r="C494" s="179"/>
      <c r="D494" s="180"/>
      <c r="E494" s="181"/>
      <c r="F494" s="182"/>
      <c r="G494" s="1" t="str">
        <f>IFERROR(IF(ventas_b_mes1255[[#This Row],[CUIT]]="","-",VLOOKUP(ventas_b_mes1255[[#This Row],[CUIT]],Lista_CUIT[#All],2,0)),"CUIT NO CARGADO")</f>
        <v>-</v>
      </c>
      <c r="H494" s="100">
        <f>ventas_b_mes1255[[#This Row],[TOTAL]]/1.21</f>
        <v>0</v>
      </c>
      <c r="I494" s="64">
        <f>ventas_b_mes1255[[#This Row],[IMPORTE NETO]]*0.21</f>
        <v>0</v>
      </c>
      <c r="J494" s="184"/>
      <c r="K494" s="184"/>
      <c r="L494" s="184"/>
      <c r="M494" s="59"/>
    </row>
    <row r="495" spans="2:13" x14ac:dyDescent="0.3">
      <c r="B495" s="178"/>
      <c r="C495" s="179"/>
      <c r="D495" s="180"/>
      <c r="E495" s="181"/>
      <c r="F495" s="182"/>
      <c r="G495" s="1" t="str">
        <f>IFERROR(IF(ventas_b_mes1255[[#This Row],[CUIT]]="","-",VLOOKUP(ventas_b_mes1255[[#This Row],[CUIT]],Lista_CUIT[#All],2,0)),"CUIT NO CARGADO")</f>
        <v>-</v>
      </c>
      <c r="H495" s="100">
        <f>ventas_b_mes1255[[#This Row],[TOTAL]]/1.21</f>
        <v>0</v>
      </c>
      <c r="I495" s="64">
        <f>ventas_b_mes1255[[#This Row],[IMPORTE NETO]]*0.21</f>
        <v>0</v>
      </c>
      <c r="J495" s="184"/>
      <c r="K495" s="184"/>
      <c r="L495" s="184"/>
      <c r="M495" s="59"/>
    </row>
    <row r="496" spans="2:13" x14ac:dyDescent="0.3">
      <c r="B496" s="178"/>
      <c r="C496" s="179"/>
      <c r="D496" s="180"/>
      <c r="E496" s="181"/>
      <c r="F496" s="182"/>
      <c r="G496" s="1" t="str">
        <f>IFERROR(IF(ventas_b_mes1255[[#This Row],[CUIT]]="","-",VLOOKUP(ventas_b_mes1255[[#This Row],[CUIT]],Lista_CUIT[#All],2,0)),"CUIT NO CARGADO")</f>
        <v>-</v>
      </c>
      <c r="H496" s="100">
        <f>ventas_b_mes1255[[#This Row],[TOTAL]]/1.21</f>
        <v>0</v>
      </c>
      <c r="I496" s="64">
        <f>ventas_b_mes1255[[#This Row],[IMPORTE NETO]]*0.21</f>
        <v>0</v>
      </c>
      <c r="J496" s="184"/>
      <c r="K496" s="184"/>
      <c r="L496" s="184"/>
      <c r="M496" s="59"/>
    </row>
    <row r="497" spans="2:13" x14ac:dyDescent="0.3">
      <c r="B497" s="178"/>
      <c r="C497" s="179"/>
      <c r="D497" s="180"/>
      <c r="E497" s="181"/>
      <c r="F497" s="182"/>
      <c r="G497" s="1" t="str">
        <f>IFERROR(IF(ventas_b_mes1255[[#This Row],[CUIT]]="","-",VLOOKUP(ventas_b_mes1255[[#This Row],[CUIT]],Lista_CUIT[#All],2,0)),"CUIT NO CARGADO")</f>
        <v>-</v>
      </c>
      <c r="H497" s="100">
        <f>ventas_b_mes1255[[#This Row],[TOTAL]]/1.21</f>
        <v>0</v>
      </c>
      <c r="I497" s="64">
        <f>ventas_b_mes1255[[#This Row],[IMPORTE NETO]]*0.21</f>
        <v>0</v>
      </c>
      <c r="J497" s="184"/>
      <c r="K497" s="184"/>
      <c r="L497" s="184"/>
      <c r="M497" s="59"/>
    </row>
    <row r="498" spans="2:13" x14ac:dyDescent="0.3">
      <c r="B498" s="178"/>
      <c r="C498" s="179"/>
      <c r="D498" s="180"/>
      <c r="E498" s="181"/>
      <c r="F498" s="182"/>
      <c r="G498" s="1" t="str">
        <f>IFERROR(IF(ventas_b_mes1255[[#This Row],[CUIT]]="","-",VLOOKUP(ventas_b_mes1255[[#This Row],[CUIT]],Lista_CUIT[#All],2,0)),"CUIT NO CARGADO")</f>
        <v>-</v>
      </c>
      <c r="H498" s="100">
        <f>ventas_b_mes1255[[#This Row],[TOTAL]]/1.21</f>
        <v>0</v>
      </c>
      <c r="I498" s="64">
        <f>ventas_b_mes1255[[#This Row],[IMPORTE NETO]]*0.21</f>
        <v>0</v>
      </c>
      <c r="J498" s="184"/>
      <c r="K498" s="184"/>
      <c r="L498" s="184"/>
      <c r="M498" s="59"/>
    </row>
    <row r="499" spans="2:13" x14ac:dyDescent="0.3">
      <c r="B499" s="178"/>
      <c r="C499" s="179"/>
      <c r="D499" s="180"/>
      <c r="E499" s="181"/>
      <c r="F499" s="182"/>
      <c r="G499" s="1" t="str">
        <f>IFERROR(IF(ventas_b_mes1255[[#This Row],[CUIT]]="","-",VLOOKUP(ventas_b_mes1255[[#This Row],[CUIT]],Lista_CUIT[#All],2,0)),"CUIT NO CARGADO")</f>
        <v>-</v>
      </c>
      <c r="H499" s="100">
        <f>ventas_b_mes1255[[#This Row],[TOTAL]]/1.21</f>
        <v>0</v>
      </c>
      <c r="I499" s="64">
        <f>ventas_b_mes1255[[#This Row],[IMPORTE NETO]]*0.21</f>
        <v>0</v>
      </c>
      <c r="J499" s="184"/>
      <c r="K499" s="184"/>
      <c r="L499" s="184"/>
      <c r="M499" s="59"/>
    </row>
    <row r="500" spans="2:13" x14ac:dyDescent="0.3">
      <c r="B500" s="178"/>
      <c r="C500" s="179"/>
      <c r="D500" s="180"/>
      <c r="E500" s="181"/>
      <c r="F500" s="182"/>
      <c r="G500" s="1" t="str">
        <f>IFERROR(IF(ventas_b_mes1255[[#This Row],[CUIT]]="","-",VLOOKUP(ventas_b_mes1255[[#This Row],[CUIT]],Lista_CUIT[#All],2,0)),"CUIT NO CARGADO")</f>
        <v>-</v>
      </c>
      <c r="H500" s="100">
        <f>ventas_b_mes1255[[#This Row],[TOTAL]]/1.21</f>
        <v>0</v>
      </c>
      <c r="I500" s="64">
        <f>ventas_b_mes1255[[#This Row],[IMPORTE NETO]]*0.21</f>
        <v>0</v>
      </c>
      <c r="J500" s="184"/>
      <c r="K500" s="184"/>
      <c r="L500" s="184"/>
      <c r="M500" s="59"/>
    </row>
    <row r="501" spans="2:13" x14ac:dyDescent="0.3">
      <c r="B501" s="178"/>
      <c r="C501" s="179"/>
      <c r="D501" s="180"/>
      <c r="E501" s="181"/>
      <c r="F501" s="182"/>
      <c r="G501" s="1" t="str">
        <f>IFERROR(IF(ventas_b_mes1255[[#This Row],[CUIT]]="","-",VLOOKUP(ventas_b_mes1255[[#This Row],[CUIT]],Lista_CUIT[#All],2,0)),"CUIT NO CARGADO")</f>
        <v>-</v>
      </c>
      <c r="H501" s="100">
        <f>ventas_b_mes1255[[#This Row],[TOTAL]]/1.21</f>
        <v>0</v>
      </c>
      <c r="I501" s="64">
        <f>ventas_b_mes1255[[#This Row],[IMPORTE NETO]]*0.21</f>
        <v>0</v>
      </c>
      <c r="J501" s="184"/>
      <c r="K501" s="184"/>
      <c r="L501" s="184"/>
      <c r="M501" s="59"/>
    </row>
    <row r="502" spans="2:13" x14ac:dyDescent="0.3">
      <c r="B502" s="178"/>
      <c r="C502" s="179"/>
      <c r="D502" s="180"/>
      <c r="E502" s="181"/>
      <c r="F502" s="182"/>
      <c r="G502" s="1" t="str">
        <f>IFERROR(IF(ventas_b_mes1255[[#This Row],[CUIT]]="","-",VLOOKUP(ventas_b_mes1255[[#This Row],[CUIT]],Lista_CUIT[#All],2,0)),"CUIT NO CARGADO")</f>
        <v>-</v>
      </c>
      <c r="H502" s="100">
        <f>ventas_b_mes1255[[#This Row],[TOTAL]]/1.21</f>
        <v>0</v>
      </c>
      <c r="I502" s="64">
        <f>ventas_b_mes1255[[#This Row],[IMPORTE NETO]]*0.21</f>
        <v>0</v>
      </c>
      <c r="J502" s="184"/>
      <c r="K502" s="184"/>
      <c r="L502" s="184"/>
      <c r="M502" s="59"/>
    </row>
    <row r="503" spans="2:13" x14ac:dyDescent="0.3">
      <c r="B503" s="178"/>
      <c r="C503" s="179"/>
      <c r="D503" s="180"/>
      <c r="E503" s="181"/>
      <c r="F503" s="182"/>
      <c r="G503" s="1" t="str">
        <f>IFERROR(IF(ventas_b_mes1255[[#This Row],[CUIT]]="","-",VLOOKUP(ventas_b_mes1255[[#This Row],[CUIT]],Lista_CUIT[#All],2,0)),"CUIT NO CARGADO")</f>
        <v>-</v>
      </c>
      <c r="H503" s="100">
        <f>ventas_b_mes1255[[#This Row],[TOTAL]]/1.21</f>
        <v>0</v>
      </c>
      <c r="I503" s="64">
        <f>ventas_b_mes1255[[#This Row],[IMPORTE NETO]]*0.21</f>
        <v>0</v>
      </c>
      <c r="J503" s="184"/>
      <c r="K503" s="184"/>
      <c r="L503" s="184"/>
      <c r="M503" s="59"/>
    </row>
    <row r="504" spans="2:13" x14ac:dyDescent="0.3">
      <c r="B504" s="178"/>
      <c r="C504" s="179"/>
      <c r="D504" s="180"/>
      <c r="E504" s="181"/>
      <c r="F504" s="182"/>
      <c r="G504" s="1" t="str">
        <f>IFERROR(IF(ventas_b_mes1255[[#This Row],[CUIT]]="","-",VLOOKUP(ventas_b_mes1255[[#This Row],[CUIT]],Lista_CUIT[#All],2,0)),"CUIT NO CARGADO")</f>
        <v>-</v>
      </c>
      <c r="H504" s="100">
        <f>ventas_b_mes1255[[#This Row],[TOTAL]]/1.21</f>
        <v>0</v>
      </c>
      <c r="I504" s="64">
        <f>ventas_b_mes1255[[#This Row],[IMPORTE NETO]]*0.21</f>
        <v>0</v>
      </c>
      <c r="J504" s="184"/>
      <c r="K504" s="184"/>
      <c r="L504" s="184"/>
      <c r="M504" s="59"/>
    </row>
    <row r="505" spans="2:13" x14ac:dyDescent="0.3">
      <c r="B505" s="178"/>
      <c r="C505" s="179"/>
      <c r="D505" s="180"/>
      <c r="E505" s="181"/>
      <c r="F505" s="182"/>
      <c r="G505" s="1" t="str">
        <f>IFERROR(IF(ventas_b_mes1255[[#This Row],[CUIT]]="","-",VLOOKUP(ventas_b_mes1255[[#This Row],[CUIT]],Lista_CUIT[#All],2,0)),"CUIT NO CARGADO")</f>
        <v>-</v>
      </c>
      <c r="H505" s="100">
        <f>ventas_b_mes1255[[#This Row],[TOTAL]]/1.21</f>
        <v>0</v>
      </c>
      <c r="I505" s="64">
        <f>ventas_b_mes1255[[#This Row],[IMPORTE NETO]]*0.21</f>
        <v>0</v>
      </c>
      <c r="J505" s="184"/>
      <c r="K505" s="184"/>
      <c r="L505" s="184"/>
      <c r="M505" s="59"/>
    </row>
    <row r="506" spans="2:13" x14ac:dyDescent="0.3">
      <c r="B506" s="178"/>
      <c r="C506" s="179"/>
      <c r="D506" s="180"/>
      <c r="E506" s="181"/>
      <c r="F506" s="182"/>
      <c r="G506" s="1" t="str">
        <f>IFERROR(IF(ventas_b_mes1255[[#This Row],[CUIT]]="","-",VLOOKUP(ventas_b_mes1255[[#This Row],[CUIT]],Lista_CUIT[#All],2,0)),"CUIT NO CARGADO")</f>
        <v>-</v>
      </c>
      <c r="H506" s="100">
        <f>ventas_b_mes1255[[#This Row],[TOTAL]]/1.21</f>
        <v>0</v>
      </c>
      <c r="I506" s="64">
        <f>ventas_b_mes1255[[#This Row],[IMPORTE NETO]]*0.21</f>
        <v>0</v>
      </c>
      <c r="J506" s="184"/>
      <c r="K506" s="184"/>
      <c r="L506" s="184"/>
      <c r="M506" s="59"/>
    </row>
    <row r="507" spans="2:13" x14ac:dyDescent="0.3">
      <c r="B507" s="178"/>
      <c r="C507" s="179"/>
      <c r="D507" s="180"/>
      <c r="E507" s="181"/>
      <c r="F507" s="182"/>
      <c r="G507" s="1" t="str">
        <f>IFERROR(IF(ventas_b_mes1255[[#This Row],[CUIT]]="","-",VLOOKUP(ventas_b_mes1255[[#This Row],[CUIT]],Lista_CUIT[#All],2,0)),"CUIT NO CARGADO")</f>
        <v>-</v>
      </c>
      <c r="H507" s="100">
        <f>ventas_b_mes1255[[#This Row],[TOTAL]]/1.21</f>
        <v>0</v>
      </c>
      <c r="I507" s="64">
        <f>ventas_b_mes1255[[#This Row],[IMPORTE NETO]]*0.21</f>
        <v>0</v>
      </c>
      <c r="J507" s="184"/>
      <c r="K507" s="184"/>
      <c r="L507" s="184"/>
      <c r="M507" s="59"/>
    </row>
    <row r="508" spans="2:13" x14ac:dyDescent="0.3">
      <c r="B508" s="178"/>
      <c r="C508" s="179"/>
      <c r="D508" s="180"/>
      <c r="E508" s="181"/>
      <c r="F508" s="182"/>
      <c r="G508" s="1" t="str">
        <f>IFERROR(IF(ventas_b_mes1255[[#This Row],[CUIT]]="","-",VLOOKUP(ventas_b_mes1255[[#This Row],[CUIT]],Lista_CUIT[#All],2,0)),"CUIT NO CARGADO")</f>
        <v>-</v>
      </c>
      <c r="H508" s="100">
        <f>ventas_b_mes1255[[#This Row],[TOTAL]]/1.21</f>
        <v>0</v>
      </c>
      <c r="I508" s="64">
        <f>ventas_b_mes1255[[#This Row],[IMPORTE NETO]]*0.21</f>
        <v>0</v>
      </c>
      <c r="J508" s="184"/>
      <c r="K508" s="184"/>
      <c r="L508" s="184"/>
      <c r="M508" s="59"/>
    </row>
    <row r="509" spans="2:13" x14ac:dyDescent="0.3">
      <c r="B509" s="178"/>
      <c r="C509" s="179"/>
      <c r="D509" s="180"/>
      <c r="E509" s="181"/>
      <c r="F509" s="182"/>
      <c r="G509" s="1" t="str">
        <f>IFERROR(IF(ventas_b_mes1255[[#This Row],[CUIT]]="","-",VLOOKUP(ventas_b_mes1255[[#This Row],[CUIT]],Lista_CUIT[#All],2,0)),"CUIT NO CARGADO")</f>
        <v>-</v>
      </c>
      <c r="H509" s="100">
        <f>ventas_b_mes1255[[#This Row],[TOTAL]]/1.21</f>
        <v>0</v>
      </c>
      <c r="I509" s="64">
        <f>ventas_b_mes1255[[#This Row],[IMPORTE NETO]]*0.21</f>
        <v>0</v>
      </c>
      <c r="J509" s="184"/>
      <c r="K509" s="184"/>
      <c r="L509" s="184"/>
      <c r="M509" s="59"/>
    </row>
    <row r="510" spans="2:13" x14ac:dyDescent="0.3">
      <c r="B510" s="178"/>
      <c r="C510" s="179"/>
      <c r="D510" s="180"/>
      <c r="E510" s="181"/>
      <c r="F510" s="182"/>
      <c r="G510" s="1" t="str">
        <f>IFERROR(IF(ventas_b_mes1255[[#This Row],[CUIT]]="","-",VLOOKUP(ventas_b_mes1255[[#This Row],[CUIT]],Lista_CUIT[#All],2,0)),"CUIT NO CARGADO")</f>
        <v>-</v>
      </c>
      <c r="H510" s="100">
        <f>ventas_b_mes1255[[#This Row],[TOTAL]]/1.21</f>
        <v>0</v>
      </c>
      <c r="I510" s="64">
        <f>ventas_b_mes1255[[#This Row],[IMPORTE NETO]]*0.21</f>
        <v>0</v>
      </c>
      <c r="J510" s="184"/>
      <c r="K510" s="184"/>
      <c r="L510" s="184"/>
      <c r="M510" s="59"/>
    </row>
    <row r="511" spans="2:13" x14ac:dyDescent="0.3">
      <c r="B511" s="178"/>
      <c r="C511" s="179"/>
      <c r="D511" s="180"/>
      <c r="E511" s="181"/>
      <c r="F511" s="182"/>
      <c r="G511" s="1" t="str">
        <f>IFERROR(IF(ventas_b_mes1255[[#This Row],[CUIT]]="","-",VLOOKUP(ventas_b_mes1255[[#This Row],[CUIT]],Lista_CUIT[#All],2,0)),"CUIT NO CARGADO")</f>
        <v>-</v>
      </c>
      <c r="H511" s="100">
        <f>ventas_b_mes1255[[#This Row],[TOTAL]]/1.21</f>
        <v>0</v>
      </c>
      <c r="I511" s="64">
        <f>ventas_b_mes1255[[#This Row],[IMPORTE NETO]]*0.21</f>
        <v>0</v>
      </c>
      <c r="J511" s="184"/>
      <c r="K511" s="184"/>
      <c r="L511" s="184"/>
      <c r="M511" s="59"/>
    </row>
    <row r="512" spans="2:13" x14ac:dyDescent="0.3">
      <c r="B512" s="178"/>
      <c r="C512" s="179"/>
      <c r="D512" s="180"/>
      <c r="E512" s="181"/>
      <c r="F512" s="182"/>
      <c r="G512" s="1" t="str">
        <f>IFERROR(IF(ventas_b_mes1255[[#This Row],[CUIT]]="","-",VLOOKUP(ventas_b_mes1255[[#This Row],[CUIT]],Lista_CUIT[#All],2,0)),"CUIT NO CARGADO")</f>
        <v>-</v>
      </c>
      <c r="H512" s="100">
        <f>ventas_b_mes1255[[#This Row],[TOTAL]]/1.21</f>
        <v>0</v>
      </c>
      <c r="I512" s="64">
        <f>ventas_b_mes1255[[#This Row],[IMPORTE NETO]]*0.21</f>
        <v>0</v>
      </c>
      <c r="J512" s="184"/>
      <c r="K512" s="184"/>
      <c r="L512" s="184"/>
      <c r="M512" s="59"/>
    </row>
    <row r="513" spans="2:13" x14ac:dyDescent="0.3">
      <c r="B513" s="178"/>
      <c r="C513" s="179"/>
      <c r="D513" s="180"/>
      <c r="E513" s="181"/>
      <c r="F513" s="182"/>
      <c r="G513" s="1" t="str">
        <f>IFERROR(IF(ventas_b_mes1255[[#This Row],[CUIT]]="","-",VLOOKUP(ventas_b_mes1255[[#This Row],[CUIT]],Lista_CUIT[#All],2,0)),"CUIT NO CARGADO")</f>
        <v>-</v>
      </c>
      <c r="H513" s="100">
        <f>ventas_b_mes1255[[#This Row],[TOTAL]]/1.21</f>
        <v>0</v>
      </c>
      <c r="I513" s="64">
        <f>ventas_b_mes1255[[#This Row],[IMPORTE NETO]]*0.21</f>
        <v>0</v>
      </c>
      <c r="J513" s="184"/>
      <c r="K513" s="184"/>
      <c r="L513" s="184"/>
      <c r="M513" s="59"/>
    </row>
    <row r="514" spans="2:13" x14ac:dyDescent="0.3">
      <c r="B514" s="178"/>
      <c r="C514" s="179"/>
      <c r="D514" s="180"/>
      <c r="E514" s="181"/>
      <c r="F514" s="182"/>
      <c r="G514" s="1" t="str">
        <f>IFERROR(IF(ventas_b_mes1255[[#This Row],[CUIT]]="","-",VLOOKUP(ventas_b_mes1255[[#This Row],[CUIT]],Lista_CUIT[#All],2,0)),"CUIT NO CARGADO")</f>
        <v>-</v>
      </c>
      <c r="H514" s="100">
        <f>ventas_b_mes1255[[#This Row],[TOTAL]]/1.21</f>
        <v>0</v>
      </c>
      <c r="I514" s="64">
        <f>ventas_b_mes1255[[#This Row],[IMPORTE NETO]]*0.21</f>
        <v>0</v>
      </c>
      <c r="J514" s="184"/>
      <c r="K514" s="184"/>
      <c r="L514" s="184"/>
      <c r="M514" s="59"/>
    </row>
    <row r="515" spans="2:13" x14ac:dyDescent="0.3">
      <c r="B515" s="178"/>
      <c r="C515" s="179"/>
      <c r="D515" s="180"/>
      <c r="E515" s="181"/>
      <c r="F515" s="182"/>
      <c r="G515" s="1" t="str">
        <f>IFERROR(IF(ventas_b_mes1255[[#This Row],[CUIT]]="","-",VLOOKUP(ventas_b_mes1255[[#This Row],[CUIT]],Lista_CUIT[#All],2,0)),"CUIT NO CARGADO")</f>
        <v>-</v>
      </c>
      <c r="H515" s="100">
        <f>ventas_b_mes1255[[#This Row],[TOTAL]]/1.21</f>
        <v>0</v>
      </c>
      <c r="I515" s="64">
        <f>ventas_b_mes1255[[#This Row],[IMPORTE NETO]]*0.21</f>
        <v>0</v>
      </c>
      <c r="J515" s="184"/>
      <c r="K515" s="184"/>
      <c r="L515" s="184"/>
      <c r="M515" s="59"/>
    </row>
    <row r="516" spans="2:13" x14ac:dyDescent="0.3">
      <c r="B516" s="178"/>
      <c r="C516" s="179"/>
      <c r="D516" s="180"/>
      <c r="E516" s="181"/>
      <c r="F516" s="182"/>
      <c r="G516" s="1" t="str">
        <f>IFERROR(IF(ventas_b_mes1255[[#This Row],[CUIT]]="","-",VLOOKUP(ventas_b_mes1255[[#This Row],[CUIT]],Lista_CUIT[#All],2,0)),"CUIT NO CARGADO")</f>
        <v>-</v>
      </c>
      <c r="H516" s="100">
        <f>ventas_b_mes1255[[#This Row],[TOTAL]]/1.21</f>
        <v>0</v>
      </c>
      <c r="I516" s="64">
        <f>ventas_b_mes1255[[#This Row],[IMPORTE NETO]]*0.21</f>
        <v>0</v>
      </c>
      <c r="J516" s="184"/>
      <c r="K516" s="184"/>
      <c r="L516" s="184"/>
      <c r="M516" s="59"/>
    </row>
    <row r="517" spans="2:13" x14ac:dyDescent="0.3">
      <c r="B517" s="178"/>
      <c r="C517" s="179"/>
      <c r="D517" s="180"/>
      <c r="E517" s="181"/>
      <c r="F517" s="182"/>
      <c r="G517" s="1" t="str">
        <f>IFERROR(IF(ventas_b_mes1255[[#This Row],[CUIT]]="","-",VLOOKUP(ventas_b_mes1255[[#This Row],[CUIT]],Lista_CUIT[#All],2,0)),"CUIT NO CARGADO")</f>
        <v>-</v>
      </c>
      <c r="H517" s="100">
        <f>ventas_b_mes1255[[#This Row],[TOTAL]]/1.21</f>
        <v>0</v>
      </c>
      <c r="I517" s="64">
        <f>ventas_b_mes1255[[#This Row],[IMPORTE NETO]]*0.21</f>
        <v>0</v>
      </c>
      <c r="J517" s="184"/>
      <c r="K517" s="184"/>
      <c r="L517" s="184"/>
      <c r="M517" s="59"/>
    </row>
    <row r="518" spans="2:13" x14ac:dyDescent="0.3">
      <c r="B518" s="178"/>
      <c r="C518" s="179"/>
      <c r="D518" s="180"/>
      <c r="E518" s="181"/>
      <c r="F518" s="182"/>
      <c r="G518" s="1" t="str">
        <f>IFERROR(IF(ventas_b_mes1255[[#This Row],[CUIT]]="","-",VLOOKUP(ventas_b_mes1255[[#This Row],[CUIT]],Lista_CUIT[#All],2,0)),"CUIT NO CARGADO")</f>
        <v>-</v>
      </c>
      <c r="H518" s="100">
        <f>ventas_b_mes1255[[#This Row],[TOTAL]]/1.21</f>
        <v>0</v>
      </c>
      <c r="I518" s="64">
        <f>ventas_b_mes1255[[#This Row],[IMPORTE NETO]]*0.21</f>
        <v>0</v>
      </c>
      <c r="J518" s="184"/>
      <c r="K518" s="184"/>
      <c r="L518" s="184"/>
      <c r="M518" s="59"/>
    </row>
    <row r="519" spans="2:13" x14ac:dyDescent="0.3">
      <c r="B519" s="178"/>
      <c r="C519" s="179"/>
      <c r="D519" s="180"/>
      <c r="E519" s="181"/>
      <c r="F519" s="182"/>
      <c r="G519" s="1" t="str">
        <f>IFERROR(IF(ventas_b_mes1255[[#This Row],[CUIT]]="","-",VLOOKUP(ventas_b_mes1255[[#This Row],[CUIT]],Lista_CUIT[#All],2,0)),"CUIT NO CARGADO")</f>
        <v>-</v>
      </c>
      <c r="H519" s="100">
        <f>ventas_b_mes1255[[#This Row],[TOTAL]]/1.21</f>
        <v>0</v>
      </c>
      <c r="I519" s="64">
        <f>ventas_b_mes1255[[#This Row],[IMPORTE NETO]]*0.21</f>
        <v>0</v>
      </c>
      <c r="J519" s="184"/>
      <c r="K519" s="184"/>
      <c r="L519" s="184"/>
      <c r="M519" s="59"/>
    </row>
    <row r="520" spans="2:13" x14ac:dyDescent="0.3">
      <c r="B520" s="178"/>
      <c r="C520" s="179"/>
      <c r="D520" s="180"/>
      <c r="E520" s="181"/>
      <c r="F520" s="182"/>
      <c r="G520" s="1" t="str">
        <f>IFERROR(IF(ventas_b_mes1255[[#This Row],[CUIT]]="","-",VLOOKUP(ventas_b_mes1255[[#This Row],[CUIT]],Lista_CUIT[#All],2,0)),"CUIT NO CARGADO")</f>
        <v>-</v>
      </c>
      <c r="H520" s="100">
        <f>ventas_b_mes1255[[#This Row],[TOTAL]]/1.21</f>
        <v>0</v>
      </c>
      <c r="I520" s="64">
        <f>ventas_b_mes1255[[#This Row],[IMPORTE NETO]]*0.21</f>
        <v>0</v>
      </c>
      <c r="J520" s="184"/>
      <c r="K520" s="184"/>
      <c r="L520" s="184"/>
      <c r="M520" s="59"/>
    </row>
    <row r="521" spans="2:13" x14ac:dyDescent="0.3">
      <c r="B521" s="178"/>
      <c r="C521" s="179"/>
      <c r="D521" s="180"/>
      <c r="E521" s="181"/>
      <c r="F521" s="182"/>
      <c r="G521" s="1" t="str">
        <f>IFERROR(IF(ventas_b_mes1255[[#This Row],[CUIT]]="","-",VLOOKUP(ventas_b_mes1255[[#This Row],[CUIT]],Lista_CUIT[#All],2,0)),"CUIT NO CARGADO")</f>
        <v>-</v>
      </c>
      <c r="H521" s="100">
        <f>ventas_b_mes1255[[#This Row],[TOTAL]]/1.21</f>
        <v>0</v>
      </c>
      <c r="I521" s="64">
        <f>ventas_b_mes1255[[#This Row],[IMPORTE NETO]]*0.21</f>
        <v>0</v>
      </c>
      <c r="J521" s="184"/>
      <c r="K521" s="184"/>
      <c r="L521" s="184"/>
      <c r="M521" s="59"/>
    </row>
    <row r="522" spans="2:13" x14ac:dyDescent="0.3">
      <c r="B522" s="178"/>
      <c r="C522" s="179"/>
      <c r="D522" s="180"/>
      <c r="E522" s="181"/>
      <c r="F522" s="182"/>
      <c r="G522" s="1" t="str">
        <f>IFERROR(IF(ventas_b_mes1255[[#This Row],[CUIT]]="","-",VLOOKUP(ventas_b_mes1255[[#This Row],[CUIT]],Lista_CUIT[#All],2,0)),"CUIT NO CARGADO")</f>
        <v>-</v>
      </c>
      <c r="H522" s="100">
        <f>ventas_b_mes1255[[#This Row],[TOTAL]]/1.21</f>
        <v>0</v>
      </c>
      <c r="I522" s="64">
        <f>ventas_b_mes1255[[#This Row],[IMPORTE NETO]]*0.21</f>
        <v>0</v>
      </c>
      <c r="J522" s="184"/>
      <c r="K522" s="184"/>
      <c r="L522" s="184"/>
      <c r="M522" s="59"/>
    </row>
    <row r="523" spans="2:13" x14ac:dyDescent="0.3">
      <c r="B523" s="178"/>
      <c r="C523" s="179"/>
      <c r="D523" s="180"/>
      <c r="E523" s="181"/>
      <c r="F523" s="182"/>
      <c r="G523" s="1" t="str">
        <f>IFERROR(IF(ventas_b_mes1255[[#This Row],[CUIT]]="","-",VLOOKUP(ventas_b_mes1255[[#This Row],[CUIT]],Lista_CUIT[#All],2,0)),"CUIT NO CARGADO")</f>
        <v>-</v>
      </c>
      <c r="H523" s="100">
        <f>ventas_b_mes1255[[#This Row],[TOTAL]]/1.21</f>
        <v>0</v>
      </c>
      <c r="I523" s="64">
        <f>ventas_b_mes1255[[#This Row],[IMPORTE NETO]]*0.21</f>
        <v>0</v>
      </c>
      <c r="J523" s="184"/>
      <c r="K523" s="184"/>
      <c r="L523" s="184"/>
      <c r="M523" s="59"/>
    </row>
    <row r="524" spans="2:13" x14ac:dyDescent="0.3">
      <c r="B524" s="178"/>
      <c r="C524" s="179"/>
      <c r="D524" s="180"/>
      <c r="E524" s="181"/>
      <c r="F524" s="182"/>
      <c r="G524" s="1" t="str">
        <f>IFERROR(IF(ventas_b_mes1255[[#This Row],[CUIT]]="","-",VLOOKUP(ventas_b_mes1255[[#This Row],[CUIT]],Lista_CUIT[#All],2,0)),"CUIT NO CARGADO")</f>
        <v>-</v>
      </c>
      <c r="H524" s="100">
        <f>ventas_b_mes1255[[#This Row],[TOTAL]]/1.21</f>
        <v>0</v>
      </c>
      <c r="I524" s="64">
        <f>ventas_b_mes1255[[#This Row],[IMPORTE NETO]]*0.21</f>
        <v>0</v>
      </c>
      <c r="J524" s="184"/>
      <c r="K524" s="184"/>
      <c r="L524" s="184"/>
      <c r="M524" s="59"/>
    </row>
    <row r="525" spans="2:13" x14ac:dyDescent="0.3">
      <c r="B525" s="178"/>
      <c r="C525" s="179"/>
      <c r="D525" s="180"/>
      <c r="E525" s="181"/>
      <c r="F525" s="182"/>
      <c r="G525" s="1" t="str">
        <f>IFERROR(IF(ventas_b_mes1255[[#This Row],[CUIT]]="","-",VLOOKUP(ventas_b_mes1255[[#This Row],[CUIT]],Lista_CUIT[#All],2,0)),"CUIT NO CARGADO")</f>
        <v>-</v>
      </c>
      <c r="H525" s="100">
        <f>ventas_b_mes1255[[#This Row],[TOTAL]]/1.21</f>
        <v>0</v>
      </c>
      <c r="I525" s="64">
        <f>ventas_b_mes1255[[#This Row],[IMPORTE NETO]]*0.21</f>
        <v>0</v>
      </c>
      <c r="J525" s="184"/>
      <c r="K525" s="184"/>
      <c r="L525" s="184"/>
      <c r="M525" s="59"/>
    </row>
    <row r="526" spans="2:13" x14ac:dyDescent="0.3">
      <c r="B526" s="178"/>
      <c r="C526" s="179"/>
      <c r="D526" s="180"/>
      <c r="E526" s="181"/>
      <c r="F526" s="182"/>
      <c r="G526" s="1" t="str">
        <f>IFERROR(IF(ventas_b_mes1255[[#This Row],[CUIT]]="","-",VLOOKUP(ventas_b_mes1255[[#This Row],[CUIT]],Lista_CUIT[#All],2,0)),"CUIT NO CARGADO")</f>
        <v>-</v>
      </c>
      <c r="H526" s="100">
        <f>ventas_b_mes1255[[#This Row],[TOTAL]]/1.21</f>
        <v>0</v>
      </c>
      <c r="I526" s="64">
        <f>ventas_b_mes1255[[#This Row],[IMPORTE NETO]]*0.21</f>
        <v>0</v>
      </c>
      <c r="J526" s="184"/>
      <c r="K526" s="184"/>
      <c r="L526" s="184"/>
      <c r="M526" s="59"/>
    </row>
    <row r="527" spans="2:13" x14ac:dyDescent="0.3">
      <c r="B527" s="178"/>
      <c r="C527" s="179"/>
      <c r="D527" s="180"/>
      <c r="E527" s="181"/>
      <c r="F527" s="182"/>
      <c r="G527" s="1" t="str">
        <f>IFERROR(IF(ventas_b_mes1255[[#This Row],[CUIT]]="","-",VLOOKUP(ventas_b_mes1255[[#This Row],[CUIT]],Lista_CUIT[#All],2,0)),"CUIT NO CARGADO")</f>
        <v>-</v>
      </c>
      <c r="H527" s="100">
        <f>ventas_b_mes1255[[#This Row],[TOTAL]]/1.21</f>
        <v>0</v>
      </c>
      <c r="I527" s="64">
        <f>ventas_b_mes1255[[#This Row],[IMPORTE NETO]]*0.21</f>
        <v>0</v>
      </c>
      <c r="J527" s="184"/>
      <c r="K527" s="184"/>
      <c r="L527" s="184"/>
      <c r="M527" s="59"/>
    </row>
    <row r="528" spans="2:13" x14ac:dyDescent="0.3">
      <c r="B528" s="178"/>
      <c r="C528" s="179"/>
      <c r="D528" s="180"/>
      <c r="E528" s="181"/>
      <c r="F528" s="182"/>
      <c r="G528" s="1" t="str">
        <f>IFERROR(IF(ventas_b_mes1255[[#This Row],[CUIT]]="","-",VLOOKUP(ventas_b_mes1255[[#This Row],[CUIT]],Lista_CUIT[#All],2,0)),"CUIT NO CARGADO")</f>
        <v>-</v>
      </c>
      <c r="H528" s="100">
        <f>ventas_b_mes1255[[#This Row],[TOTAL]]/1.21</f>
        <v>0</v>
      </c>
      <c r="I528" s="64">
        <f>ventas_b_mes1255[[#This Row],[IMPORTE NETO]]*0.21</f>
        <v>0</v>
      </c>
      <c r="J528" s="184"/>
      <c r="K528" s="184"/>
      <c r="L528" s="184"/>
      <c r="M528" s="59"/>
    </row>
    <row r="529" spans="2:13" x14ac:dyDescent="0.3">
      <c r="B529" s="178"/>
      <c r="C529" s="179"/>
      <c r="D529" s="180"/>
      <c r="E529" s="181"/>
      <c r="F529" s="182"/>
      <c r="G529" s="1" t="str">
        <f>IFERROR(IF(ventas_b_mes1255[[#This Row],[CUIT]]="","-",VLOOKUP(ventas_b_mes1255[[#This Row],[CUIT]],Lista_CUIT[#All],2,0)),"CUIT NO CARGADO")</f>
        <v>-</v>
      </c>
      <c r="H529" s="100">
        <f>ventas_b_mes1255[[#This Row],[TOTAL]]/1.21</f>
        <v>0</v>
      </c>
      <c r="I529" s="64">
        <f>ventas_b_mes1255[[#This Row],[IMPORTE NETO]]*0.21</f>
        <v>0</v>
      </c>
      <c r="J529" s="184"/>
      <c r="K529" s="184"/>
      <c r="L529" s="184"/>
      <c r="M529" s="59"/>
    </row>
    <row r="530" spans="2:13" x14ac:dyDescent="0.3">
      <c r="B530" s="178"/>
      <c r="C530" s="179"/>
      <c r="D530" s="180"/>
      <c r="E530" s="181"/>
      <c r="F530" s="182"/>
      <c r="G530" s="1" t="str">
        <f>IFERROR(IF(ventas_b_mes1255[[#This Row],[CUIT]]="","-",VLOOKUP(ventas_b_mes1255[[#This Row],[CUIT]],Lista_CUIT[#All],2,0)),"CUIT NO CARGADO")</f>
        <v>-</v>
      </c>
      <c r="H530" s="100">
        <f>ventas_b_mes1255[[#This Row],[TOTAL]]/1.21</f>
        <v>0</v>
      </c>
      <c r="I530" s="64">
        <f>ventas_b_mes1255[[#This Row],[IMPORTE NETO]]*0.21</f>
        <v>0</v>
      </c>
      <c r="J530" s="184"/>
      <c r="K530" s="184"/>
      <c r="L530" s="184"/>
      <c r="M530" s="59"/>
    </row>
    <row r="531" spans="2:13" x14ac:dyDescent="0.3">
      <c r="B531" s="178"/>
      <c r="C531" s="179"/>
      <c r="D531" s="180"/>
      <c r="E531" s="181"/>
      <c r="F531" s="182"/>
      <c r="G531" s="1" t="str">
        <f>IFERROR(IF(ventas_b_mes1255[[#This Row],[CUIT]]="","-",VLOOKUP(ventas_b_mes1255[[#This Row],[CUIT]],Lista_CUIT[#All],2,0)),"CUIT NO CARGADO")</f>
        <v>-</v>
      </c>
      <c r="H531" s="100">
        <f>ventas_b_mes1255[[#This Row],[TOTAL]]/1.21</f>
        <v>0</v>
      </c>
      <c r="I531" s="64">
        <f>ventas_b_mes1255[[#This Row],[IMPORTE NETO]]*0.21</f>
        <v>0</v>
      </c>
      <c r="J531" s="184"/>
      <c r="K531" s="184"/>
      <c r="L531" s="184"/>
      <c r="M531" s="59"/>
    </row>
    <row r="532" spans="2:13" x14ac:dyDescent="0.3">
      <c r="B532" s="178"/>
      <c r="C532" s="179"/>
      <c r="D532" s="180"/>
      <c r="E532" s="181"/>
      <c r="F532" s="182"/>
      <c r="G532" s="1" t="str">
        <f>IFERROR(IF(ventas_b_mes1255[[#This Row],[CUIT]]="","-",VLOOKUP(ventas_b_mes1255[[#This Row],[CUIT]],Lista_CUIT[#All],2,0)),"CUIT NO CARGADO")</f>
        <v>-</v>
      </c>
      <c r="H532" s="100">
        <f>ventas_b_mes1255[[#This Row],[TOTAL]]/1.21</f>
        <v>0</v>
      </c>
      <c r="I532" s="64">
        <f>ventas_b_mes1255[[#This Row],[IMPORTE NETO]]*0.21</f>
        <v>0</v>
      </c>
      <c r="J532" s="184"/>
      <c r="K532" s="184"/>
      <c r="L532" s="184"/>
      <c r="M532" s="59"/>
    </row>
    <row r="533" spans="2:13" x14ac:dyDescent="0.3">
      <c r="B533" s="178"/>
      <c r="C533" s="179"/>
      <c r="D533" s="180"/>
      <c r="E533" s="181"/>
      <c r="F533" s="182"/>
      <c r="G533" s="1" t="str">
        <f>IFERROR(IF(ventas_b_mes1255[[#This Row],[CUIT]]="","-",VLOOKUP(ventas_b_mes1255[[#This Row],[CUIT]],Lista_CUIT[#All],2,0)),"CUIT NO CARGADO")</f>
        <v>-</v>
      </c>
      <c r="H533" s="100">
        <f>ventas_b_mes1255[[#This Row],[TOTAL]]/1.21</f>
        <v>0</v>
      </c>
      <c r="I533" s="64">
        <f>ventas_b_mes1255[[#This Row],[IMPORTE NETO]]*0.21</f>
        <v>0</v>
      </c>
      <c r="J533" s="184"/>
      <c r="K533" s="184"/>
      <c r="L533" s="184"/>
      <c r="M533" s="59"/>
    </row>
    <row r="534" spans="2:13" x14ac:dyDescent="0.3">
      <c r="B534" s="178"/>
      <c r="C534" s="179"/>
      <c r="D534" s="180"/>
      <c r="E534" s="181"/>
      <c r="F534" s="182"/>
      <c r="G534" s="1" t="str">
        <f>IFERROR(IF(ventas_b_mes1255[[#This Row],[CUIT]]="","-",VLOOKUP(ventas_b_mes1255[[#This Row],[CUIT]],Lista_CUIT[#All],2,0)),"CUIT NO CARGADO")</f>
        <v>-</v>
      </c>
      <c r="H534" s="100">
        <f>ventas_b_mes1255[[#This Row],[TOTAL]]/1.21</f>
        <v>0</v>
      </c>
      <c r="I534" s="64">
        <f>ventas_b_mes1255[[#This Row],[IMPORTE NETO]]*0.21</f>
        <v>0</v>
      </c>
      <c r="J534" s="184"/>
      <c r="K534" s="184"/>
      <c r="L534" s="184"/>
      <c r="M534" s="59"/>
    </row>
    <row r="535" spans="2:13" x14ac:dyDescent="0.3">
      <c r="B535" s="178"/>
      <c r="C535" s="179"/>
      <c r="D535" s="180"/>
      <c r="E535" s="181"/>
      <c r="F535" s="182"/>
      <c r="G535" s="1" t="str">
        <f>IFERROR(IF(ventas_b_mes1255[[#This Row],[CUIT]]="","-",VLOOKUP(ventas_b_mes1255[[#This Row],[CUIT]],Lista_CUIT[#All],2,0)),"CUIT NO CARGADO")</f>
        <v>-</v>
      </c>
      <c r="H535" s="100">
        <f>ventas_b_mes1255[[#This Row],[TOTAL]]/1.21</f>
        <v>0</v>
      </c>
      <c r="I535" s="64">
        <f>ventas_b_mes1255[[#This Row],[IMPORTE NETO]]*0.21</f>
        <v>0</v>
      </c>
      <c r="J535" s="184"/>
      <c r="K535" s="184"/>
      <c r="L535" s="184"/>
      <c r="M535" s="59"/>
    </row>
    <row r="536" spans="2:13" x14ac:dyDescent="0.3">
      <c r="B536" s="178"/>
      <c r="C536" s="179"/>
      <c r="D536" s="180"/>
      <c r="E536" s="181"/>
      <c r="F536" s="182"/>
      <c r="G536" s="1" t="str">
        <f>IFERROR(IF(ventas_b_mes1255[[#This Row],[CUIT]]="","-",VLOOKUP(ventas_b_mes1255[[#This Row],[CUIT]],Lista_CUIT[#All],2,0)),"CUIT NO CARGADO")</f>
        <v>-</v>
      </c>
      <c r="H536" s="100">
        <f>ventas_b_mes1255[[#This Row],[TOTAL]]/1.21</f>
        <v>0</v>
      </c>
      <c r="I536" s="64">
        <f>ventas_b_mes1255[[#This Row],[IMPORTE NETO]]*0.21</f>
        <v>0</v>
      </c>
      <c r="J536" s="184"/>
      <c r="K536" s="184"/>
      <c r="L536" s="184"/>
      <c r="M536" s="59"/>
    </row>
    <row r="537" spans="2:13" x14ac:dyDescent="0.3">
      <c r="B537" s="178"/>
      <c r="C537" s="179"/>
      <c r="D537" s="180"/>
      <c r="E537" s="181"/>
      <c r="F537" s="182"/>
      <c r="G537" s="1" t="str">
        <f>IFERROR(IF(ventas_b_mes1255[[#This Row],[CUIT]]="","-",VLOOKUP(ventas_b_mes1255[[#This Row],[CUIT]],Lista_CUIT[#All],2,0)),"CUIT NO CARGADO")</f>
        <v>-</v>
      </c>
      <c r="H537" s="100">
        <f>ventas_b_mes1255[[#This Row],[TOTAL]]/1.21</f>
        <v>0</v>
      </c>
      <c r="I537" s="64">
        <f>ventas_b_mes1255[[#This Row],[IMPORTE NETO]]*0.21</f>
        <v>0</v>
      </c>
      <c r="J537" s="184"/>
      <c r="K537" s="184"/>
      <c r="L537" s="184"/>
      <c r="M537" s="59"/>
    </row>
    <row r="538" spans="2:13" x14ac:dyDescent="0.3">
      <c r="B538" s="178"/>
      <c r="C538" s="179"/>
      <c r="D538" s="180"/>
      <c r="E538" s="181"/>
      <c r="F538" s="182"/>
      <c r="G538" s="1" t="str">
        <f>IFERROR(IF(ventas_b_mes1255[[#This Row],[CUIT]]="","-",VLOOKUP(ventas_b_mes1255[[#This Row],[CUIT]],Lista_CUIT[#All],2,0)),"CUIT NO CARGADO")</f>
        <v>-</v>
      </c>
      <c r="H538" s="100">
        <f>ventas_b_mes1255[[#This Row],[TOTAL]]/1.21</f>
        <v>0</v>
      </c>
      <c r="I538" s="64">
        <f>ventas_b_mes1255[[#This Row],[IMPORTE NETO]]*0.21</f>
        <v>0</v>
      </c>
      <c r="J538" s="184"/>
      <c r="K538" s="184"/>
      <c r="L538" s="184"/>
      <c r="M538" s="59"/>
    </row>
    <row r="539" spans="2:13" x14ac:dyDescent="0.3">
      <c r="B539" s="178"/>
      <c r="C539" s="179"/>
      <c r="D539" s="180"/>
      <c r="E539" s="181"/>
      <c r="F539" s="182"/>
      <c r="G539" s="1" t="str">
        <f>IFERROR(IF(ventas_b_mes1255[[#This Row],[CUIT]]="","-",VLOOKUP(ventas_b_mes1255[[#This Row],[CUIT]],Lista_CUIT[#All],2,0)),"CUIT NO CARGADO")</f>
        <v>-</v>
      </c>
      <c r="H539" s="100">
        <f>ventas_b_mes1255[[#This Row],[TOTAL]]/1.21</f>
        <v>0</v>
      </c>
      <c r="I539" s="64">
        <f>ventas_b_mes1255[[#This Row],[IMPORTE NETO]]*0.21</f>
        <v>0</v>
      </c>
      <c r="J539" s="184"/>
      <c r="K539" s="184"/>
      <c r="L539" s="184"/>
      <c r="M539" s="59"/>
    </row>
    <row r="540" spans="2:13" x14ac:dyDescent="0.3">
      <c r="B540" s="178"/>
      <c r="C540" s="179"/>
      <c r="D540" s="180"/>
      <c r="E540" s="181"/>
      <c r="F540" s="182"/>
      <c r="G540" s="1" t="str">
        <f>IFERROR(IF(ventas_b_mes1255[[#This Row],[CUIT]]="","-",VLOOKUP(ventas_b_mes1255[[#This Row],[CUIT]],Lista_CUIT[#All],2,0)),"CUIT NO CARGADO")</f>
        <v>-</v>
      </c>
      <c r="H540" s="100">
        <f>ventas_b_mes1255[[#This Row],[TOTAL]]/1.21</f>
        <v>0</v>
      </c>
      <c r="I540" s="64">
        <f>ventas_b_mes1255[[#This Row],[IMPORTE NETO]]*0.21</f>
        <v>0</v>
      </c>
      <c r="J540" s="184"/>
      <c r="K540" s="184"/>
      <c r="L540" s="184"/>
      <c r="M540" s="59"/>
    </row>
    <row r="541" spans="2:13" x14ac:dyDescent="0.3">
      <c r="B541" s="178"/>
      <c r="C541" s="179"/>
      <c r="D541" s="180"/>
      <c r="E541" s="181"/>
      <c r="F541" s="182"/>
      <c r="G541" s="1" t="str">
        <f>IFERROR(IF(ventas_b_mes1255[[#This Row],[CUIT]]="","-",VLOOKUP(ventas_b_mes1255[[#This Row],[CUIT]],Lista_CUIT[#All],2,0)),"CUIT NO CARGADO")</f>
        <v>-</v>
      </c>
      <c r="H541" s="100">
        <f>ventas_b_mes1255[[#This Row],[TOTAL]]/1.21</f>
        <v>0</v>
      </c>
      <c r="I541" s="64">
        <f>ventas_b_mes1255[[#This Row],[IMPORTE NETO]]*0.21</f>
        <v>0</v>
      </c>
      <c r="J541" s="184"/>
      <c r="K541" s="184"/>
      <c r="L541" s="184"/>
      <c r="M541" s="59"/>
    </row>
    <row r="542" spans="2:13" x14ac:dyDescent="0.3">
      <c r="B542" s="178"/>
      <c r="C542" s="179"/>
      <c r="D542" s="180"/>
      <c r="E542" s="181"/>
      <c r="F542" s="182"/>
      <c r="G542" s="1" t="str">
        <f>IFERROR(IF(ventas_b_mes1255[[#This Row],[CUIT]]="","-",VLOOKUP(ventas_b_mes1255[[#This Row],[CUIT]],Lista_CUIT[#All],2,0)),"CUIT NO CARGADO")</f>
        <v>-</v>
      </c>
      <c r="H542" s="100">
        <f>ventas_b_mes1255[[#This Row],[TOTAL]]/1.21</f>
        <v>0</v>
      </c>
      <c r="I542" s="64">
        <f>ventas_b_mes1255[[#This Row],[IMPORTE NETO]]*0.21</f>
        <v>0</v>
      </c>
      <c r="J542" s="184"/>
      <c r="K542" s="184"/>
      <c r="L542" s="184"/>
      <c r="M542" s="59"/>
    </row>
    <row r="543" spans="2:13" x14ac:dyDescent="0.3">
      <c r="B543" s="178"/>
      <c r="C543" s="179"/>
      <c r="D543" s="180"/>
      <c r="E543" s="181"/>
      <c r="F543" s="182"/>
      <c r="G543" s="1" t="str">
        <f>IFERROR(IF(ventas_b_mes1255[[#This Row],[CUIT]]="","-",VLOOKUP(ventas_b_mes1255[[#This Row],[CUIT]],Lista_CUIT[#All],2,0)),"CUIT NO CARGADO")</f>
        <v>-</v>
      </c>
      <c r="H543" s="100">
        <f>ventas_b_mes1255[[#This Row],[TOTAL]]/1.21</f>
        <v>0</v>
      </c>
      <c r="I543" s="64">
        <f>ventas_b_mes1255[[#This Row],[IMPORTE NETO]]*0.21</f>
        <v>0</v>
      </c>
      <c r="J543" s="184"/>
      <c r="K543" s="184"/>
      <c r="L543" s="184"/>
      <c r="M543" s="59"/>
    </row>
    <row r="544" spans="2:13" x14ac:dyDescent="0.3">
      <c r="B544" s="178"/>
      <c r="C544" s="179"/>
      <c r="D544" s="180"/>
      <c r="E544" s="181"/>
      <c r="F544" s="182"/>
      <c r="G544" s="1" t="str">
        <f>IFERROR(IF(ventas_b_mes1255[[#This Row],[CUIT]]="","-",VLOOKUP(ventas_b_mes1255[[#This Row],[CUIT]],Lista_CUIT[#All],2,0)),"CUIT NO CARGADO")</f>
        <v>-</v>
      </c>
      <c r="H544" s="100">
        <f>ventas_b_mes1255[[#This Row],[TOTAL]]/1.21</f>
        <v>0</v>
      </c>
      <c r="I544" s="64">
        <f>ventas_b_mes1255[[#This Row],[IMPORTE NETO]]*0.21</f>
        <v>0</v>
      </c>
      <c r="J544" s="184"/>
      <c r="K544" s="184"/>
      <c r="L544" s="184"/>
      <c r="M544" s="59"/>
    </row>
    <row r="545" spans="2:13" x14ac:dyDescent="0.3">
      <c r="B545" s="178"/>
      <c r="C545" s="179"/>
      <c r="D545" s="180"/>
      <c r="E545" s="181"/>
      <c r="F545" s="182"/>
      <c r="G545" s="1" t="str">
        <f>IFERROR(IF(ventas_b_mes1255[[#This Row],[CUIT]]="","-",VLOOKUP(ventas_b_mes1255[[#This Row],[CUIT]],Lista_CUIT[#All],2,0)),"CUIT NO CARGADO")</f>
        <v>-</v>
      </c>
      <c r="H545" s="100">
        <f>ventas_b_mes1255[[#This Row],[TOTAL]]/1.21</f>
        <v>0</v>
      </c>
      <c r="I545" s="64">
        <f>ventas_b_mes1255[[#This Row],[IMPORTE NETO]]*0.21</f>
        <v>0</v>
      </c>
      <c r="J545" s="184"/>
      <c r="K545" s="184"/>
      <c r="L545" s="184"/>
      <c r="M545" s="59"/>
    </row>
    <row r="546" spans="2:13" x14ac:dyDescent="0.3">
      <c r="B546" s="178"/>
      <c r="C546" s="179"/>
      <c r="D546" s="180"/>
      <c r="E546" s="181"/>
      <c r="F546" s="182"/>
      <c r="G546" s="1" t="str">
        <f>IFERROR(IF(ventas_b_mes1255[[#This Row],[CUIT]]="","-",VLOOKUP(ventas_b_mes1255[[#This Row],[CUIT]],Lista_CUIT[#All],2,0)),"CUIT NO CARGADO")</f>
        <v>-</v>
      </c>
      <c r="H546" s="100">
        <f>ventas_b_mes1255[[#This Row],[TOTAL]]/1.21</f>
        <v>0</v>
      </c>
      <c r="I546" s="64">
        <f>ventas_b_mes1255[[#This Row],[IMPORTE NETO]]*0.21</f>
        <v>0</v>
      </c>
      <c r="J546" s="184"/>
      <c r="K546" s="184"/>
      <c r="L546" s="184"/>
      <c r="M546" s="59"/>
    </row>
    <row r="547" spans="2:13" x14ac:dyDescent="0.3">
      <c r="B547" s="178"/>
      <c r="C547" s="179"/>
      <c r="D547" s="180"/>
      <c r="E547" s="181"/>
      <c r="F547" s="182"/>
      <c r="G547" s="1" t="str">
        <f>IFERROR(IF(ventas_b_mes1255[[#This Row],[CUIT]]="","-",VLOOKUP(ventas_b_mes1255[[#This Row],[CUIT]],Lista_CUIT[#All],2,0)),"CUIT NO CARGADO")</f>
        <v>-</v>
      </c>
      <c r="H547" s="100">
        <f>ventas_b_mes1255[[#This Row],[TOTAL]]/1.21</f>
        <v>0</v>
      </c>
      <c r="I547" s="64">
        <f>ventas_b_mes1255[[#This Row],[IMPORTE NETO]]*0.21</f>
        <v>0</v>
      </c>
      <c r="J547" s="184"/>
      <c r="K547" s="184"/>
      <c r="L547" s="184"/>
      <c r="M547" s="59"/>
    </row>
    <row r="548" spans="2:13" x14ac:dyDescent="0.3">
      <c r="B548" s="178"/>
      <c r="C548" s="179"/>
      <c r="D548" s="180"/>
      <c r="E548" s="181"/>
      <c r="F548" s="182"/>
      <c r="G548" s="1" t="str">
        <f>IFERROR(IF(ventas_b_mes1255[[#This Row],[CUIT]]="","-",VLOOKUP(ventas_b_mes1255[[#This Row],[CUIT]],Lista_CUIT[#All],2,0)),"CUIT NO CARGADO")</f>
        <v>-</v>
      </c>
      <c r="H548" s="100">
        <f>ventas_b_mes1255[[#This Row],[TOTAL]]/1.21</f>
        <v>0</v>
      </c>
      <c r="I548" s="64">
        <f>ventas_b_mes1255[[#This Row],[IMPORTE NETO]]*0.21</f>
        <v>0</v>
      </c>
      <c r="J548" s="184"/>
      <c r="K548" s="184"/>
      <c r="L548" s="184"/>
      <c r="M548" s="59"/>
    </row>
    <row r="549" spans="2:13" x14ac:dyDescent="0.3">
      <c r="B549" s="40"/>
      <c r="C549" s="179"/>
      <c r="D549" s="42"/>
      <c r="E549" s="43"/>
      <c r="F549" s="113"/>
      <c r="G549" s="1" t="str">
        <f>IFERROR(IF(ventas_b_mes1255[[#This Row],[CUIT]]="","-",VLOOKUP(ventas_b_mes1255[[#This Row],[CUIT]],Lista_CUIT[#All],2,0)),"CUIT NO CARGADO")</f>
        <v>-</v>
      </c>
      <c r="H549" s="100">
        <f>ventas_b_mes1255[[#This Row],[TOTAL]]/1.21</f>
        <v>0</v>
      </c>
      <c r="I549" s="64">
        <f>ventas_b_mes1255[[#This Row],[IMPORTE NETO]]*0.21</f>
        <v>0</v>
      </c>
      <c r="J549" s="64"/>
      <c r="K549" s="64"/>
      <c r="L549" s="64"/>
      <c r="M549" s="59"/>
    </row>
    <row r="550" spans="2:13" x14ac:dyDescent="0.3">
      <c r="B550" s="40"/>
      <c r="C550" s="179"/>
      <c r="D550" s="42"/>
      <c r="E550" s="43"/>
      <c r="F550" s="113"/>
      <c r="G550" s="1" t="str">
        <f>IFERROR(IF(ventas_b_mes1255[[#This Row],[CUIT]]="","-",VLOOKUP(ventas_b_mes1255[[#This Row],[CUIT]],Lista_CUIT[#All],2,0)),"CUIT NO CARGADO")</f>
        <v>-</v>
      </c>
      <c r="H550" s="100">
        <f>ventas_b_mes1255[[#This Row],[TOTAL]]/1.21</f>
        <v>0</v>
      </c>
      <c r="I550" s="64">
        <f>ventas_b_mes1255[[#This Row],[IMPORTE NETO]]*0.21</f>
        <v>0</v>
      </c>
      <c r="J550" s="64"/>
      <c r="K550" s="64"/>
      <c r="L550" s="64"/>
      <c r="M550" s="59"/>
    </row>
    <row r="551" spans="2:13" x14ac:dyDescent="0.3">
      <c r="B551" s="40"/>
      <c r="C551" s="179"/>
      <c r="D551" s="42"/>
      <c r="E551" s="43"/>
      <c r="F551" s="113"/>
      <c r="G551" s="1" t="str">
        <f>IFERROR(IF(ventas_b_mes1255[[#This Row],[CUIT]]="","-",VLOOKUP(ventas_b_mes1255[[#This Row],[CUIT]],Lista_CUIT[#All],2,0)),"CUIT NO CARGADO")</f>
        <v>-</v>
      </c>
      <c r="H551" s="100">
        <f>ventas_b_mes1255[[#This Row],[TOTAL]]/1.21</f>
        <v>0</v>
      </c>
      <c r="I551" s="64">
        <f>ventas_b_mes1255[[#This Row],[IMPORTE NETO]]*0.21</f>
        <v>0</v>
      </c>
      <c r="J551" s="64"/>
      <c r="K551" s="64"/>
      <c r="L551" s="64"/>
      <c r="M551" s="59"/>
    </row>
    <row r="552" spans="2:13" x14ac:dyDescent="0.3">
      <c r="B552" s="40"/>
      <c r="C552" s="179"/>
      <c r="D552" s="42"/>
      <c r="E552" s="43"/>
      <c r="F552" s="113"/>
      <c r="G552" s="1" t="str">
        <f>IFERROR(IF(ventas_b_mes1255[[#This Row],[CUIT]]="","-",VLOOKUP(ventas_b_mes1255[[#This Row],[CUIT]],Lista_CUIT[#All],2,0)),"CUIT NO CARGADO")</f>
        <v>-</v>
      </c>
      <c r="H552" s="100">
        <f>ventas_b_mes1255[[#This Row],[TOTAL]]/1.21</f>
        <v>0</v>
      </c>
      <c r="I552" s="64">
        <f>ventas_b_mes1255[[#This Row],[IMPORTE NETO]]*0.21</f>
        <v>0</v>
      </c>
      <c r="J552" s="64"/>
      <c r="K552" s="64"/>
      <c r="L552" s="64"/>
      <c r="M552" s="59"/>
    </row>
    <row r="553" spans="2:13" x14ac:dyDescent="0.3">
      <c r="B553" s="40"/>
      <c r="C553" s="179"/>
      <c r="D553" s="42"/>
      <c r="E553" s="43"/>
      <c r="F553" s="113"/>
      <c r="G553" s="1" t="str">
        <f>IFERROR(IF(ventas_b_mes1255[[#This Row],[CUIT]]="","-",VLOOKUP(ventas_b_mes1255[[#This Row],[CUIT]],Lista_CUIT[#All],2,0)),"CUIT NO CARGADO")</f>
        <v>-</v>
      </c>
      <c r="H553" s="100">
        <f>ventas_b_mes1255[[#This Row],[TOTAL]]/1.21</f>
        <v>0</v>
      </c>
      <c r="I553" s="64">
        <f>ventas_b_mes1255[[#This Row],[IMPORTE NETO]]*0.21</f>
        <v>0</v>
      </c>
      <c r="J553" s="64"/>
      <c r="K553" s="64"/>
      <c r="L553" s="64"/>
      <c r="M553" s="59"/>
    </row>
    <row r="554" spans="2:13" x14ac:dyDescent="0.3">
      <c r="B554" s="40"/>
      <c r="C554" s="179"/>
      <c r="D554" s="42"/>
      <c r="E554" s="43"/>
      <c r="F554" s="113"/>
      <c r="G554" s="1" t="str">
        <f>IFERROR(IF(ventas_b_mes1255[[#This Row],[CUIT]]="","-",VLOOKUP(ventas_b_mes1255[[#This Row],[CUIT]],Lista_CUIT[#All],2,0)),"CUIT NO CARGADO")</f>
        <v>-</v>
      </c>
      <c r="H554" s="100">
        <f>ventas_b_mes1255[[#This Row],[TOTAL]]/1.21</f>
        <v>0</v>
      </c>
      <c r="I554" s="64">
        <f>ventas_b_mes1255[[#This Row],[IMPORTE NETO]]*0.21</f>
        <v>0</v>
      </c>
      <c r="J554" s="64"/>
      <c r="K554" s="64"/>
      <c r="L554" s="64"/>
      <c r="M554" s="59"/>
    </row>
    <row r="555" spans="2:13" x14ac:dyDescent="0.3">
      <c r="B555" s="178"/>
      <c r="C555" s="179"/>
      <c r="D555" s="180"/>
      <c r="E555" s="181"/>
      <c r="F555" s="182"/>
      <c r="G555" s="1" t="str">
        <f>IFERROR(IF(ventas_b_mes1255[[#This Row],[CUIT]]="","-",VLOOKUP(ventas_b_mes1255[[#This Row],[CUIT]],Lista_CUIT[#All],2,0)),"CUIT NO CARGADO")</f>
        <v>-</v>
      </c>
      <c r="H555" s="100">
        <f>ventas_b_mes1255[[#This Row],[TOTAL]]/1.21</f>
        <v>0</v>
      </c>
      <c r="I555" s="64">
        <f>ventas_b_mes1255[[#This Row],[IMPORTE NETO]]*0.21</f>
        <v>0</v>
      </c>
      <c r="J555" s="184"/>
      <c r="K555" s="184"/>
      <c r="L555" s="184"/>
      <c r="M555" s="59"/>
    </row>
    <row r="556" spans="2:13" x14ac:dyDescent="0.3">
      <c r="B556" s="178"/>
      <c r="C556" s="179"/>
      <c r="D556" s="180"/>
      <c r="E556" s="181"/>
      <c r="F556" s="182"/>
      <c r="G556" s="1" t="str">
        <f>IFERROR(IF(ventas_b_mes1255[[#This Row],[CUIT]]="","-",VLOOKUP(ventas_b_mes1255[[#This Row],[CUIT]],Lista_CUIT[#All],2,0)),"CUIT NO CARGADO")</f>
        <v>-</v>
      </c>
      <c r="H556" s="100">
        <f>ventas_b_mes1255[[#This Row],[TOTAL]]/1.21</f>
        <v>0</v>
      </c>
      <c r="I556" s="64">
        <f>ventas_b_mes1255[[#This Row],[IMPORTE NETO]]*0.21</f>
        <v>0</v>
      </c>
      <c r="J556" s="184"/>
      <c r="K556" s="184"/>
      <c r="L556" s="184"/>
      <c r="M556" s="59"/>
    </row>
    <row r="557" spans="2:13" x14ac:dyDescent="0.3">
      <c r="B557" s="178"/>
      <c r="C557" s="179"/>
      <c r="D557" s="180"/>
      <c r="E557" s="181"/>
      <c r="F557" s="182"/>
      <c r="G557" s="1" t="str">
        <f>IFERROR(IF(ventas_b_mes1255[[#This Row],[CUIT]]="","-",VLOOKUP(ventas_b_mes1255[[#This Row],[CUIT]],Lista_CUIT[#All],2,0)),"CUIT NO CARGADO")</f>
        <v>-</v>
      </c>
      <c r="H557" s="100">
        <f>ventas_b_mes1255[[#This Row],[TOTAL]]/1.21</f>
        <v>0</v>
      </c>
      <c r="I557" s="64">
        <f>ventas_b_mes1255[[#This Row],[IMPORTE NETO]]*0.21</f>
        <v>0</v>
      </c>
      <c r="J557" s="184"/>
      <c r="K557" s="184"/>
      <c r="L557" s="184"/>
      <c r="M557" s="59"/>
    </row>
    <row r="558" spans="2:13" x14ac:dyDescent="0.3">
      <c r="B558" s="178"/>
      <c r="C558" s="179"/>
      <c r="D558" s="180"/>
      <c r="E558" s="181"/>
      <c r="F558" s="182"/>
      <c r="G558" s="1" t="str">
        <f>IFERROR(IF(ventas_b_mes1255[[#This Row],[CUIT]]="","-",VLOOKUP(ventas_b_mes1255[[#This Row],[CUIT]],Lista_CUIT[#All],2,0)),"CUIT NO CARGADO")</f>
        <v>-</v>
      </c>
      <c r="H558" s="100">
        <f>ventas_b_mes1255[[#This Row],[TOTAL]]/1.21</f>
        <v>0</v>
      </c>
      <c r="I558" s="64">
        <f>ventas_b_mes1255[[#This Row],[IMPORTE NETO]]*0.21</f>
        <v>0</v>
      </c>
      <c r="J558" s="184"/>
      <c r="K558" s="184"/>
      <c r="L558" s="184"/>
      <c r="M558" s="59"/>
    </row>
    <row r="559" spans="2:13" x14ac:dyDescent="0.3">
      <c r="B559" s="178"/>
      <c r="C559" s="179"/>
      <c r="D559" s="180"/>
      <c r="E559" s="181"/>
      <c r="F559" s="182"/>
      <c r="G559" s="1" t="str">
        <f>IFERROR(IF(ventas_b_mes1255[[#This Row],[CUIT]]="","-",VLOOKUP(ventas_b_mes1255[[#This Row],[CUIT]],Lista_CUIT[#All],2,0)),"CUIT NO CARGADO")</f>
        <v>-</v>
      </c>
      <c r="H559" s="100">
        <f>ventas_b_mes1255[[#This Row],[TOTAL]]/1.21</f>
        <v>0</v>
      </c>
      <c r="I559" s="64">
        <f>ventas_b_mes1255[[#This Row],[IMPORTE NETO]]*0.21</f>
        <v>0</v>
      </c>
      <c r="J559" s="184"/>
      <c r="K559" s="184"/>
      <c r="L559" s="184"/>
      <c r="M559" s="59"/>
    </row>
    <row r="560" spans="2:13" x14ac:dyDescent="0.3">
      <c r="B560" s="178"/>
      <c r="C560" s="179"/>
      <c r="D560" s="180"/>
      <c r="E560" s="181"/>
      <c r="F560" s="182"/>
      <c r="G560" s="1" t="str">
        <f>IFERROR(IF(ventas_b_mes1255[[#This Row],[CUIT]]="","-",VLOOKUP(ventas_b_mes1255[[#This Row],[CUIT]],Lista_CUIT[#All],2,0)),"CUIT NO CARGADO")</f>
        <v>-</v>
      </c>
      <c r="H560" s="100">
        <f>ventas_b_mes1255[[#This Row],[TOTAL]]/1.21</f>
        <v>0</v>
      </c>
      <c r="I560" s="64">
        <f>ventas_b_mes1255[[#This Row],[IMPORTE NETO]]*0.21</f>
        <v>0</v>
      </c>
      <c r="J560" s="184"/>
      <c r="K560" s="184"/>
      <c r="L560" s="184"/>
      <c r="M560" s="59"/>
    </row>
    <row r="561" spans="2:13" x14ac:dyDescent="0.3">
      <c r="B561" s="178"/>
      <c r="C561" s="179"/>
      <c r="D561" s="180"/>
      <c r="E561" s="181"/>
      <c r="F561" s="182"/>
      <c r="G561" s="1" t="str">
        <f>IFERROR(IF(ventas_b_mes1255[[#This Row],[CUIT]]="","-",VLOOKUP(ventas_b_mes1255[[#This Row],[CUIT]],Lista_CUIT[#All],2,0)),"CUIT NO CARGADO")</f>
        <v>-</v>
      </c>
      <c r="H561" s="100">
        <f>ventas_b_mes1255[[#This Row],[TOTAL]]/1.21</f>
        <v>0</v>
      </c>
      <c r="I561" s="64">
        <f>ventas_b_mes1255[[#This Row],[IMPORTE NETO]]*0.21</f>
        <v>0</v>
      </c>
      <c r="J561" s="184"/>
      <c r="K561" s="184"/>
      <c r="L561" s="184"/>
      <c r="M561" s="59"/>
    </row>
    <row r="562" spans="2:13" x14ac:dyDescent="0.3">
      <c r="B562" s="178"/>
      <c r="C562" s="179"/>
      <c r="D562" s="180"/>
      <c r="E562" s="181"/>
      <c r="F562" s="182"/>
      <c r="G562" s="1" t="str">
        <f>IFERROR(IF(ventas_b_mes1255[[#This Row],[CUIT]]="","-",VLOOKUP(ventas_b_mes1255[[#This Row],[CUIT]],Lista_CUIT[#All],2,0)),"CUIT NO CARGADO")</f>
        <v>-</v>
      </c>
      <c r="H562" s="100">
        <f>ventas_b_mes1255[[#This Row],[TOTAL]]/1.21</f>
        <v>0</v>
      </c>
      <c r="I562" s="64">
        <f>ventas_b_mes1255[[#This Row],[IMPORTE NETO]]*0.21</f>
        <v>0</v>
      </c>
      <c r="J562" s="184"/>
      <c r="K562" s="184"/>
      <c r="L562" s="184"/>
      <c r="M562" s="59"/>
    </row>
    <row r="563" spans="2:13" x14ac:dyDescent="0.3">
      <c r="B563" s="178"/>
      <c r="C563" s="179"/>
      <c r="D563" s="180"/>
      <c r="E563" s="181"/>
      <c r="F563" s="182"/>
      <c r="G563" s="1" t="str">
        <f>IFERROR(IF(ventas_b_mes1255[[#This Row],[CUIT]]="","-",VLOOKUP(ventas_b_mes1255[[#This Row],[CUIT]],Lista_CUIT[#All],2,0)),"CUIT NO CARGADO")</f>
        <v>-</v>
      </c>
      <c r="H563" s="100">
        <f>ventas_b_mes1255[[#This Row],[TOTAL]]/1.21</f>
        <v>0</v>
      </c>
      <c r="I563" s="64">
        <f>ventas_b_mes1255[[#This Row],[IMPORTE NETO]]*0.21</f>
        <v>0</v>
      </c>
      <c r="J563" s="184"/>
      <c r="K563" s="184"/>
      <c r="L563" s="184"/>
      <c r="M563" s="59"/>
    </row>
    <row r="564" spans="2:13" x14ac:dyDescent="0.3">
      <c r="B564" s="178"/>
      <c r="C564" s="179"/>
      <c r="D564" s="180"/>
      <c r="E564" s="181"/>
      <c r="F564" s="182"/>
      <c r="G564" s="1" t="str">
        <f>IFERROR(IF(ventas_b_mes1255[[#This Row],[CUIT]]="","-",VLOOKUP(ventas_b_mes1255[[#This Row],[CUIT]],Lista_CUIT[#All],2,0)),"CUIT NO CARGADO")</f>
        <v>-</v>
      </c>
      <c r="H564" s="100">
        <f>ventas_b_mes1255[[#This Row],[TOTAL]]/1.21</f>
        <v>0</v>
      </c>
      <c r="I564" s="64">
        <f>ventas_b_mes1255[[#This Row],[IMPORTE NETO]]*0.21</f>
        <v>0</v>
      </c>
      <c r="J564" s="184"/>
      <c r="K564" s="184"/>
      <c r="L564" s="184"/>
      <c r="M564" s="59"/>
    </row>
    <row r="565" spans="2:13" x14ac:dyDescent="0.3">
      <c r="B565" s="178"/>
      <c r="C565" s="179"/>
      <c r="D565" s="180"/>
      <c r="E565" s="181"/>
      <c r="F565" s="182"/>
      <c r="G565" s="1" t="str">
        <f>IFERROR(IF(ventas_b_mes1255[[#This Row],[CUIT]]="","-",VLOOKUP(ventas_b_mes1255[[#This Row],[CUIT]],Lista_CUIT[#All],2,0)),"CUIT NO CARGADO")</f>
        <v>-</v>
      </c>
      <c r="H565" s="100">
        <f>ventas_b_mes1255[[#This Row],[TOTAL]]/1.21</f>
        <v>0</v>
      </c>
      <c r="I565" s="64">
        <f>ventas_b_mes1255[[#This Row],[IMPORTE NETO]]*0.21</f>
        <v>0</v>
      </c>
      <c r="J565" s="184"/>
      <c r="K565" s="184"/>
      <c r="L565" s="184"/>
      <c r="M565" s="59"/>
    </row>
    <row r="566" spans="2:13" x14ac:dyDescent="0.3">
      <c r="B566" s="178"/>
      <c r="C566" s="179"/>
      <c r="D566" s="180"/>
      <c r="E566" s="181"/>
      <c r="F566" s="182"/>
      <c r="G566" s="1" t="str">
        <f>IFERROR(IF(ventas_b_mes1255[[#This Row],[CUIT]]="","-",VLOOKUP(ventas_b_mes1255[[#This Row],[CUIT]],Lista_CUIT[#All],2,0)),"CUIT NO CARGADO")</f>
        <v>-</v>
      </c>
      <c r="H566" s="100">
        <f>ventas_b_mes1255[[#This Row],[TOTAL]]/1.21</f>
        <v>0</v>
      </c>
      <c r="I566" s="64">
        <f>ventas_b_mes1255[[#This Row],[IMPORTE NETO]]*0.21</f>
        <v>0</v>
      </c>
      <c r="J566" s="184"/>
      <c r="K566" s="184"/>
      <c r="L566" s="184"/>
      <c r="M566" s="59"/>
    </row>
    <row r="567" spans="2:13" x14ac:dyDescent="0.3">
      <c r="B567" s="178"/>
      <c r="C567" s="179"/>
      <c r="D567" s="180"/>
      <c r="E567" s="181"/>
      <c r="F567" s="182"/>
      <c r="G567" s="1" t="str">
        <f>IFERROR(IF(ventas_b_mes1255[[#This Row],[CUIT]]="","-",VLOOKUP(ventas_b_mes1255[[#This Row],[CUIT]],Lista_CUIT[#All],2,0)),"CUIT NO CARGADO")</f>
        <v>-</v>
      </c>
      <c r="H567" s="100">
        <f>ventas_b_mes1255[[#This Row],[TOTAL]]/1.21</f>
        <v>0</v>
      </c>
      <c r="I567" s="64">
        <f>ventas_b_mes1255[[#This Row],[IMPORTE NETO]]*0.21</f>
        <v>0</v>
      </c>
      <c r="J567" s="184"/>
      <c r="K567" s="184"/>
      <c r="L567" s="184"/>
      <c r="M567" s="59"/>
    </row>
    <row r="568" spans="2:13" x14ac:dyDescent="0.3">
      <c r="B568" s="178"/>
      <c r="C568" s="179"/>
      <c r="D568" s="180"/>
      <c r="E568" s="181"/>
      <c r="F568" s="182"/>
      <c r="G568" s="1" t="str">
        <f>IFERROR(IF(ventas_b_mes1255[[#This Row],[CUIT]]="","-",VLOOKUP(ventas_b_mes1255[[#This Row],[CUIT]],Lista_CUIT[#All],2,0)),"CUIT NO CARGADO")</f>
        <v>-</v>
      </c>
      <c r="H568" s="100">
        <f>ventas_b_mes1255[[#This Row],[TOTAL]]/1.21</f>
        <v>0</v>
      </c>
      <c r="I568" s="64">
        <f>ventas_b_mes1255[[#This Row],[IMPORTE NETO]]*0.21</f>
        <v>0</v>
      </c>
      <c r="J568" s="184"/>
      <c r="K568" s="184"/>
      <c r="L568" s="184"/>
      <c r="M568" s="59"/>
    </row>
    <row r="569" spans="2:13" x14ac:dyDescent="0.3">
      <c r="B569" s="178"/>
      <c r="C569" s="179"/>
      <c r="D569" s="180"/>
      <c r="E569" s="181"/>
      <c r="F569" s="182"/>
      <c r="G569" s="1" t="str">
        <f>IFERROR(IF(ventas_b_mes1255[[#This Row],[CUIT]]="","-",VLOOKUP(ventas_b_mes1255[[#This Row],[CUIT]],Lista_CUIT[#All],2,0)),"CUIT NO CARGADO")</f>
        <v>-</v>
      </c>
      <c r="H569" s="100">
        <f>ventas_b_mes1255[[#This Row],[TOTAL]]/1.21</f>
        <v>0</v>
      </c>
      <c r="I569" s="64">
        <f>ventas_b_mes1255[[#This Row],[IMPORTE NETO]]*0.21</f>
        <v>0</v>
      </c>
      <c r="J569" s="184"/>
      <c r="K569" s="184"/>
      <c r="L569" s="184"/>
      <c r="M569" s="59"/>
    </row>
    <row r="570" spans="2:13" x14ac:dyDescent="0.3">
      <c r="B570" s="178"/>
      <c r="C570" s="179"/>
      <c r="D570" s="180"/>
      <c r="E570" s="181"/>
      <c r="F570" s="182"/>
      <c r="G570" s="1" t="str">
        <f>IFERROR(IF(ventas_b_mes1255[[#This Row],[CUIT]]="","-",VLOOKUP(ventas_b_mes1255[[#This Row],[CUIT]],Lista_CUIT[#All],2,0)),"CUIT NO CARGADO")</f>
        <v>-</v>
      </c>
      <c r="H570" s="100">
        <f>ventas_b_mes1255[[#This Row],[TOTAL]]/1.21</f>
        <v>0</v>
      </c>
      <c r="I570" s="64">
        <f>ventas_b_mes1255[[#This Row],[IMPORTE NETO]]*0.21</f>
        <v>0</v>
      </c>
      <c r="J570" s="184"/>
      <c r="K570" s="184"/>
      <c r="L570" s="184"/>
      <c r="M570" s="59"/>
    </row>
    <row r="571" spans="2:13" x14ac:dyDescent="0.3">
      <c r="B571" s="178"/>
      <c r="C571" s="179"/>
      <c r="D571" s="180"/>
      <c r="E571" s="181"/>
      <c r="F571" s="182"/>
      <c r="G571" s="1" t="str">
        <f>IFERROR(IF(ventas_b_mes1255[[#This Row],[CUIT]]="","-",VLOOKUP(ventas_b_mes1255[[#This Row],[CUIT]],Lista_CUIT[#All],2,0)),"CUIT NO CARGADO")</f>
        <v>-</v>
      </c>
      <c r="H571" s="100">
        <f>ventas_b_mes1255[[#This Row],[TOTAL]]/1.21</f>
        <v>0</v>
      </c>
      <c r="I571" s="64">
        <f>ventas_b_mes1255[[#This Row],[IMPORTE NETO]]*0.21</f>
        <v>0</v>
      </c>
      <c r="J571" s="184"/>
      <c r="K571" s="184"/>
      <c r="L571" s="184"/>
      <c r="M571" s="59"/>
    </row>
    <row r="572" spans="2:13" x14ac:dyDescent="0.3">
      <c r="B572" s="178"/>
      <c r="C572" s="179"/>
      <c r="D572" s="180"/>
      <c r="E572" s="181"/>
      <c r="F572" s="182"/>
      <c r="G572" s="1" t="str">
        <f>IFERROR(IF(ventas_b_mes1255[[#This Row],[CUIT]]="","-",VLOOKUP(ventas_b_mes1255[[#This Row],[CUIT]],Lista_CUIT[#All],2,0)),"CUIT NO CARGADO")</f>
        <v>-</v>
      </c>
      <c r="H572" s="100">
        <f>ventas_b_mes1255[[#This Row],[TOTAL]]/1.21</f>
        <v>0</v>
      </c>
      <c r="I572" s="64">
        <f>ventas_b_mes1255[[#This Row],[IMPORTE NETO]]*0.21</f>
        <v>0</v>
      </c>
      <c r="J572" s="184"/>
      <c r="K572" s="184"/>
      <c r="L572" s="184"/>
      <c r="M572" s="59"/>
    </row>
    <row r="573" spans="2:13" x14ac:dyDescent="0.3">
      <c r="B573" s="178"/>
      <c r="C573" s="179"/>
      <c r="D573" s="180"/>
      <c r="E573" s="181"/>
      <c r="F573" s="182"/>
      <c r="G573" s="1" t="str">
        <f>IFERROR(IF(ventas_b_mes1255[[#This Row],[CUIT]]="","-",VLOOKUP(ventas_b_mes1255[[#This Row],[CUIT]],Lista_CUIT[#All],2,0)),"CUIT NO CARGADO")</f>
        <v>-</v>
      </c>
      <c r="H573" s="100">
        <f>ventas_b_mes1255[[#This Row],[TOTAL]]/1.21</f>
        <v>0</v>
      </c>
      <c r="I573" s="64">
        <f>ventas_b_mes1255[[#This Row],[IMPORTE NETO]]*0.21</f>
        <v>0</v>
      </c>
      <c r="J573" s="184"/>
      <c r="K573" s="184"/>
      <c r="L573" s="184"/>
      <c r="M573" s="59"/>
    </row>
    <row r="574" spans="2:13" x14ac:dyDescent="0.3">
      <c r="B574" s="178"/>
      <c r="C574" s="179"/>
      <c r="D574" s="180"/>
      <c r="E574" s="181"/>
      <c r="F574" s="182"/>
      <c r="G574" s="1" t="str">
        <f>IFERROR(IF(ventas_b_mes1255[[#This Row],[CUIT]]="","-",VLOOKUP(ventas_b_mes1255[[#This Row],[CUIT]],Lista_CUIT[#All],2,0)),"CUIT NO CARGADO")</f>
        <v>-</v>
      </c>
      <c r="H574" s="100">
        <f>ventas_b_mes1255[[#This Row],[TOTAL]]/1.21</f>
        <v>0</v>
      </c>
      <c r="I574" s="64">
        <f>ventas_b_mes1255[[#This Row],[IMPORTE NETO]]*0.21</f>
        <v>0</v>
      </c>
      <c r="J574" s="184"/>
      <c r="K574" s="184"/>
      <c r="L574" s="184"/>
      <c r="M574" s="59"/>
    </row>
    <row r="575" spans="2:13" x14ac:dyDescent="0.3">
      <c r="B575" s="178"/>
      <c r="C575" s="179"/>
      <c r="D575" s="180"/>
      <c r="E575" s="181"/>
      <c r="F575" s="182"/>
      <c r="G575" s="1" t="str">
        <f>IFERROR(IF(ventas_b_mes1255[[#This Row],[CUIT]]="","-",VLOOKUP(ventas_b_mes1255[[#This Row],[CUIT]],Lista_CUIT[#All],2,0)),"CUIT NO CARGADO")</f>
        <v>-</v>
      </c>
      <c r="H575" s="100">
        <f>ventas_b_mes1255[[#This Row],[TOTAL]]/1.21</f>
        <v>0</v>
      </c>
      <c r="I575" s="64">
        <f>ventas_b_mes1255[[#This Row],[IMPORTE NETO]]*0.21</f>
        <v>0</v>
      </c>
      <c r="J575" s="184"/>
      <c r="K575" s="184"/>
      <c r="L575" s="184"/>
      <c r="M575" s="59"/>
    </row>
    <row r="576" spans="2:13" x14ac:dyDescent="0.3">
      <c r="B576" s="178"/>
      <c r="C576" s="179"/>
      <c r="D576" s="180"/>
      <c r="E576" s="181"/>
      <c r="F576" s="182"/>
      <c r="G576" s="1" t="str">
        <f>IFERROR(IF(ventas_b_mes1255[[#This Row],[CUIT]]="","-",VLOOKUP(ventas_b_mes1255[[#This Row],[CUIT]],Lista_CUIT[#All],2,0)),"CUIT NO CARGADO")</f>
        <v>-</v>
      </c>
      <c r="H576" s="100">
        <f>ventas_b_mes1255[[#This Row],[TOTAL]]/1.21</f>
        <v>0</v>
      </c>
      <c r="I576" s="64">
        <f>ventas_b_mes1255[[#This Row],[IMPORTE NETO]]*0.21</f>
        <v>0</v>
      </c>
      <c r="J576" s="184"/>
      <c r="K576" s="184"/>
      <c r="L576" s="184"/>
      <c r="M576" s="59"/>
    </row>
    <row r="577" spans="2:13" x14ac:dyDescent="0.3">
      <c r="B577" s="178"/>
      <c r="C577" s="179"/>
      <c r="D577" s="180"/>
      <c r="E577" s="181"/>
      <c r="F577" s="182"/>
      <c r="G577" s="1" t="str">
        <f>IFERROR(IF(ventas_b_mes1255[[#This Row],[CUIT]]="","-",VLOOKUP(ventas_b_mes1255[[#This Row],[CUIT]],Lista_CUIT[#All],2,0)),"CUIT NO CARGADO")</f>
        <v>-</v>
      </c>
      <c r="H577" s="100">
        <f>ventas_b_mes1255[[#This Row],[TOTAL]]/1.21</f>
        <v>0</v>
      </c>
      <c r="I577" s="64">
        <f>ventas_b_mes1255[[#This Row],[IMPORTE NETO]]*0.21</f>
        <v>0</v>
      </c>
      <c r="J577" s="184"/>
      <c r="K577" s="184"/>
      <c r="L577" s="184"/>
      <c r="M577" s="59"/>
    </row>
    <row r="578" spans="2:13" x14ac:dyDescent="0.3">
      <c r="B578" s="178"/>
      <c r="C578" s="179"/>
      <c r="D578" s="180"/>
      <c r="E578" s="181"/>
      <c r="F578" s="182"/>
      <c r="G578" s="1" t="str">
        <f>IFERROR(IF(ventas_b_mes1255[[#This Row],[CUIT]]="","-",VLOOKUP(ventas_b_mes1255[[#This Row],[CUIT]],Lista_CUIT[#All],2,0)),"CUIT NO CARGADO")</f>
        <v>-</v>
      </c>
      <c r="H578" s="100">
        <f>ventas_b_mes1255[[#This Row],[TOTAL]]/1.21</f>
        <v>0</v>
      </c>
      <c r="I578" s="64">
        <f>ventas_b_mes1255[[#This Row],[IMPORTE NETO]]*0.21</f>
        <v>0</v>
      </c>
      <c r="J578" s="184"/>
      <c r="K578" s="184"/>
      <c r="L578" s="184"/>
      <c r="M578" s="59"/>
    </row>
    <row r="579" spans="2:13" x14ac:dyDescent="0.3">
      <c r="B579" s="178"/>
      <c r="C579" s="179"/>
      <c r="D579" s="180"/>
      <c r="E579" s="181"/>
      <c r="F579" s="182"/>
      <c r="G579" s="1" t="str">
        <f>IFERROR(IF(ventas_b_mes1255[[#This Row],[CUIT]]="","-",VLOOKUP(ventas_b_mes1255[[#This Row],[CUIT]],Lista_CUIT[#All],2,0)),"CUIT NO CARGADO")</f>
        <v>-</v>
      </c>
      <c r="H579" s="100">
        <f>ventas_b_mes1255[[#This Row],[TOTAL]]/1.21</f>
        <v>0</v>
      </c>
      <c r="I579" s="64">
        <f>ventas_b_mes1255[[#This Row],[IMPORTE NETO]]*0.21</f>
        <v>0</v>
      </c>
      <c r="J579" s="184"/>
      <c r="K579" s="184"/>
      <c r="L579" s="184"/>
      <c r="M579" s="59"/>
    </row>
    <row r="580" spans="2:13" x14ac:dyDescent="0.3">
      <c r="B580" s="178"/>
      <c r="C580" s="179"/>
      <c r="D580" s="180"/>
      <c r="E580" s="181"/>
      <c r="F580" s="182"/>
      <c r="G580" s="1" t="str">
        <f>IFERROR(IF(ventas_b_mes1255[[#This Row],[CUIT]]="","-",VLOOKUP(ventas_b_mes1255[[#This Row],[CUIT]],Lista_CUIT[#All],2,0)),"CUIT NO CARGADO")</f>
        <v>-</v>
      </c>
      <c r="H580" s="100">
        <f>ventas_b_mes1255[[#This Row],[TOTAL]]/1.21</f>
        <v>0</v>
      </c>
      <c r="I580" s="64">
        <f>ventas_b_mes1255[[#This Row],[IMPORTE NETO]]*0.21</f>
        <v>0</v>
      </c>
      <c r="J580" s="184"/>
      <c r="K580" s="184"/>
      <c r="L580" s="184"/>
      <c r="M580" s="59"/>
    </row>
    <row r="581" spans="2:13" x14ac:dyDescent="0.3">
      <c r="B581" s="178"/>
      <c r="C581" s="179"/>
      <c r="D581" s="180"/>
      <c r="E581" s="181"/>
      <c r="F581" s="182"/>
      <c r="G581" s="1" t="str">
        <f>IFERROR(IF(ventas_b_mes1255[[#This Row],[CUIT]]="","-",VLOOKUP(ventas_b_mes1255[[#This Row],[CUIT]],Lista_CUIT[#All],2,0)),"CUIT NO CARGADO")</f>
        <v>-</v>
      </c>
      <c r="H581" s="100">
        <f>ventas_b_mes1255[[#This Row],[TOTAL]]/1.21</f>
        <v>0</v>
      </c>
      <c r="I581" s="64">
        <f>ventas_b_mes1255[[#This Row],[IMPORTE NETO]]*0.21</f>
        <v>0</v>
      </c>
      <c r="J581" s="184"/>
      <c r="K581" s="184"/>
      <c r="L581" s="184"/>
      <c r="M581" s="59"/>
    </row>
    <row r="582" spans="2:13" x14ac:dyDescent="0.3">
      <c r="B582" s="178"/>
      <c r="C582" s="179"/>
      <c r="D582" s="180"/>
      <c r="E582" s="181"/>
      <c r="F582" s="182"/>
      <c r="G582" s="1" t="str">
        <f>IFERROR(IF(ventas_b_mes1255[[#This Row],[CUIT]]="","-",VLOOKUP(ventas_b_mes1255[[#This Row],[CUIT]],Lista_CUIT[#All],2,0)),"CUIT NO CARGADO")</f>
        <v>-</v>
      </c>
      <c r="H582" s="100">
        <f>ventas_b_mes1255[[#This Row],[TOTAL]]/1.21</f>
        <v>0</v>
      </c>
      <c r="I582" s="64">
        <f>ventas_b_mes1255[[#This Row],[IMPORTE NETO]]*0.21</f>
        <v>0</v>
      </c>
      <c r="J582" s="184"/>
      <c r="K582" s="184"/>
      <c r="L582" s="184"/>
      <c r="M582" s="59"/>
    </row>
    <row r="583" spans="2:13" x14ac:dyDescent="0.3">
      <c r="B583" s="178"/>
      <c r="C583" s="179"/>
      <c r="D583" s="180"/>
      <c r="E583" s="181"/>
      <c r="F583" s="182"/>
      <c r="G583" s="1" t="str">
        <f>IFERROR(IF(ventas_b_mes1255[[#This Row],[CUIT]]="","-",VLOOKUP(ventas_b_mes1255[[#This Row],[CUIT]],Lista_CUIT[#All],2,0)),"CUIT NO CARGADO")</f>
        <v>-</v>
      </c>
      <c r="H583" s="100">
        <f>ventas_b_mes1255[[#This Row],[TOTAL]]/1.21</f>
        <v>0</v>
      </c>
      <c r="I583" s="64">
        <f>ventas_b_mes1255[[#This Row],[IMPORTE NETO]]*0.21</f>
        <v>0</v>
      </c>
      <c r="J583" s="184"/>
      <c r="K583" s="184"/>
      <c r="L583" s="184"/>
      <c r="M583" s="59"/>
    </row>
    <row r="584" spans="2:13" x14ac:dyDescent="0.3">
      <c r="B584" s="178"/>
      <c r="C584" s="179"/>
      <c r="D584" s="180"/>
      <c r="E584" s="181"/>
      <c r="F584" s="182"/>
      <c r="G584" s="1" t="str">
        <f>IFERROR(IF(ventas_b_mes1255[[#This Row],[CUIT]]="","-",VLOOKUP(ventas_b_mes1255[[#This Row],[CUIT]],Lista_CUIT[#All],2,0)),"CUIT NO CARGADO")</f>
        <v>-</v>
      </c>
      <c r="H584" s="100">
        <f>ventas_b_mes1255[[#This Row],[TOTAL]]/1.21</f>
        <v>0</v>
      </c>
      <c r="I584" s="64">
        <f>ventas_b_mes1255[[#This Row],[IMPORTE NETO]]*0.21</f>
        <v>0</v>
      </c>
      <c r="J584" s="184"/>
      <c r="K584" s="184"/>
      <c r="L584" s="184"/>
      <c r="M584" s="59"/>
    </row>
    <row r="585" spans="2:13" x14ac:dyDescent="0.3">
      <c r="B585" s="178"/>
      <c r="C585" s="179"/>
      <c r="D585" s="180"/>
      <c r="E585" s="181"/>
      <c r="F585" s="182"/>
      <c r="G585" s="1" t="str">
        <f>IFERROR(IF(ventas_b_mes1255[[#This Row],[CUIT]]="","-",VLOOKUP(ventas_b_mes1255[[#This Row],[CUIT]],Lista_CUIT[#All],2,0)),"CUIT NO CARGADO")</f>
        <v>-</v>
      </c>
      <c r="H585" s="100">
        <f>ventas_b_mes1255[[#This Row],[TOTAL]]/1.21</f>
        <v>0</v>
      </c>
      <c r="I585" s="64">
        <f>ventas_b_mes1255[[#This Row],[IMPORTE NETO]]*0.21</f>
        <v>0</v>
      </c>
      <c r="J585" s="184"/>
      <c r="K585" s="184"/>
      <c r="L585" s="184"/>
      <c r="M585" s="59"/>
    </row>
    <row r="586" spans="2:13" x14ac:dyDescent="0.3">
      <c r="B586" s="178"/>
      <c r="C586" s="179"/>
      <c r="D586" s="180"/>
      <c r="E586" s="181"/>
      <c r="F586" s="182"/>
      <c r="G586" s="1" t="str">
        <f>IFERROR(IF(ventas_b_mes1255[[#This Row],[CUIT]]="","-",VLOOKUP(ventas_b_mes1255[[#This Row],[CUIT]],Lista_CUIT[#All],2,0)),"CUIT NO CARGADO")</f>
        <v>-</v>
      </c>
      <c r="H586" s="100">
        <f>ventas_b_mes1255[[#This Row],[TOTAL]]/1.21</f>
        <v>0</v>
      </c>
      <c r="I586" s="64">
        <f>ventas_b_mes1255[[#This Row],[IMPORTE NETO]]*0.21</f>
        <v>0</v>
      </c>
      <c r="J586" s="184"/>
      <c r="K586" s="184"/>
      <c r="L586" s="184"/>
      <c r="M586" s="59"/>
    </row>
    <row r="587" spans="2:13" x14ac:dyDescent="0.3">
      <c r="B587" s="178"/>
      <c r="C587" s="179"/>
      <c r="D587" s="180"/>
      <c r="E587" s="181"/>
      <c r="F587" s="182"/>
      <c r="G587" s="1" t="str">
        <f>IFERROR(IF(ventas_b_mes1255[[#This Row],[CUIT]]="","-",VLOOKUP(ventas_b_mes1255[[#This Row],[CUIT]],Lista_CUIT[#All],2,0)),"CUIT NO CARGADO")</f>
        <v>-</v>
      </c>
      <c r="H587" s="100">
        <f>ventas_b_mes1255[[#This Row],[TOTAL]]/1.21</f>
        <v>0</v>
      </c>
      <c r="I587" s="64">
        <f>ventas_b_mes1255[[#This Row],[IMPORTE NETO]]*0.21</f>
        <v>0</v>
      </c>
      <c r="J587" s="184"/>
      <c r="K587" s="184"/>
      <c r="L587" s="184"/>
      <c r="M587" s="59"/>
    </row>
    <row r="588" spans="2:13" x14ac:dyDescent="0.3">
      <c r="B588" s="178"/>
      <c r="C588" s="179"/>
      <c r="D588" s="180"/>
      <c r="E588" s="181"/>
      <c r="F588" s="182"/>
      <c r="G588" s="1" t="str">
        <f>IFERROR(IF(ventas_b_mes1255[[#This Row],[CUIT]]="","-",VLOOKUP(ventas_b_mes1255[[#This Row],[CUIT]],Lista_CUIT[#All],2,0)),"CUIT NO CARGADO")</f>
        <v>-</v>
      </c>
      <c r="H588" s="100">
        <f>ventas_b_mes1255[[#This Row],[TOTAL]]/1.21</f>
        <v>0</v>
      </c>
      <c r="I588" s="64">
        <f>ventas_b_mes1255[[#This Row],[IMPORTE NETO]]*0.21</f>
        <v>0</v>
      </c>
      <c r="J588" s="184"/>
      <c r="K588" s="184"/>
      <c r="L588" s="184"/>
      <c r="M588" s="59"/>
    </row>
    <row r="589" spans="2:13" x14ac:dyDescent="0.3">
      <c r="B589" s="178"/>
      <c r="C589" s="179"/>
      <c r="D589" s="180"/>
      <c r="E589" s="181"/>
      <c r="F589" s="182"/>
      <c r="G589" s="1" t="str">
        <f>IFERROR(IF(ventas_b_mes1255[[#This Row],[CUIT]]="","-",VLOOKUP(ventas_b_mes1255[[#This Row],[CUIT]],Lista_CUIT[#All],2,0)),"CUIT NO CARGADO")</f>
        <v>-</v>
      </c>
      <c r="H589" s="100">
        <f>ventas_b_mes1255[[#This Row],[TOTAL]]/1.21</f>
        <v>0</v>
      </c>
      <c r="I589" s="64">
        <f>ventas_b_mes1255[[#This Row],[IMPORTE NETO]]*0.21</f>
        <v>0</v>
      </c>
      <c r="J589" s="184"/>
      <c r="K589" s="184"/>
      <c r="L589" s="184"/>
      <c r="M589" s="59"/>
    </row>
    <row r="590" spans="2:13" x14ac:dyDescent="0.3">
      <c r="B590" s="178"/>
      <c r="C590" s="179"/>
      <c r="D590" s="180"/>
      <c r="E590" s="181"/>
      <c r="F590" s="182"/>
      <c r="G590" s="1" t="str">
        <f>IFERROR(IF(ventas_b_mes1255[[#This Row],[CUIT]]="","-",VLOOKUP(ventas_b_mes1255[[#This Row],[CUIT]],Lista_CUIT[#All],2,0)),"CUIT NO CARGADO")</f>
        <v>-</v>
      </c>
      <c r="H590" s="100">
        <f>ventas_b_mes1255[[#This Row],[TOTAL]]/1.21</f>
        <v>0</v>
      </c>
      <c r="I590" s="64">
        <f>ventas_b_mes1255[[#This Row],[IMPORTE NETO]]*0.21</f>
        <v>0</v>
      </c>
      <c r="J590" s="184"/>
      <c r="K590" s="184"/>
      <c r="L590" s="184"/>
      <c r="M590" s="59"/>
    </row>
    <row r="591" spans="2:13" x14ac:dyDescent="0.3">
      <c r="B591" s="178"/>
      <c r="C591" s="179"/>
      <c r="D591" s="180"/>
      <c r="E591" s="181"/>
      <c r="F591" s="182"/>
      <c r="G591" s="1" t="str">
        <f>IFERROR(IF(ventas_b_mes1255[[#This Row],[CUIT]]="","-",VLOOKUP(ventas_b_mes1255[[#This Row],[CUIT]],Lista_CUIT[#All],2,0)),"CUIT NO CARGADO")</f>
        <v>-</v>
      </c>
      <c r="H591" s="100">
        <f>ventas_b_mes1255[[#This Row],[TOTAL]]/1.21</f>
        <v>0</v>
      </c>
      <c r="I591" s="64">
        <f>ventas_b_mes1255[[#This Row],[IMPORTE NETO]]*0.21</f>
        <v>0</v>
      </c>
      <c r="J591" s="184"/>
      <c r="K591" s="184"/>
      <c r="L591" s="184"/>
      <c r="M591" s="59"/>
    </row>
    <row r="592" spans="2:13" x14ac:dyDescent="0.3">
      <c r="B592" s="178"/>
      <c r="C592" s="179"/>
      <c r="D592" s="180"/>
      <c r="E592" s="181"/>
      <c r="F592" s="182"/>
      <c r="G592" s="1" t="str">
        <f>IFERROR(IF(ventas_b_mes1255[[#This Row],[CUIT]]="","-",VLOOKUP(ventas_b_mes1255[[#This Row],[CUIT]],Lista_CUIT[#All],2,0)),"CUIT NO CARGADO")</f>
        <v>-</v>
      </c>
      <c r="H592" s="100">
        <f>ventas_b_mes1255[[#This Row],[TOTAL]]/1.21</f>
        <v>0</v>
      </c>
      <c r="I592" s="64">
        <f>ventas_b_mes1255[[#This Row],[IMPORTE NETO]]*0.21</f>
        <v>0</v>
      </c>
      <c r="J592" s="184"/>
      <c r="K592" s="184"/>
      <c r="L592" s="184"/>
      <c r="M592" s="59"/>
    </row>
    <row r="593" spans="2:13" x14ac:dyDescent="0.3">
      <c r="B593" s="178"/>
      <c r="C593" s="179"/>
      <c r="D593" s="180"/>
      <c r="E593" s="181"/>
      <c r="F593" s="182"/>
      <c r="G593" s="1" t="str">
        <f>IFERROR(IF(ventas_b_mes1255[[#This Row],[CUIT]]="","-",VLOOKUP(ventas_b_mes1255[[#This Row],[CUIT]],Lista_CUIT[#All],2,0)),"CUIT NO CARGADO")</f>
        <v>-</v>
      </c>
      <c r="H593" s="100">
        <f>ventas_b_mes1255[[#This Row],[TOTAL]]/1.21</f>
        <v>0</v>
      </c>
      <c r="I593" s="64">
        <f>ventas_b_mes1255[[#This Row],[IMPORTE NETO]]*0.21</f>
        <v>0</v>
      </c>
      <c r="J593" s="184"/>
      <c r="K593" s="184"/>
      <c r="L593" s="184"/>
      <c r="M593" s="59"/>
    </row>
    <row r="594" spans="2:13" x14ac:dyDescent="0.3">
      <c r="B594" s="178"/>
      <c r="C594" s="179"/>
      <c r="D594" s="180"/>
      <c r="E594" s="181"/>
      <c r="F594" s="182"/>
      <c r="G594" s="1" t="str">
        <f>IFERROR(IF(ventas_b_mes1255[[#This Row],[CUIT]]="","-",VLOOKUP(ventas_b_mes1255[[#This Row],[CUIT]],Lista_CUIT[#All],2,0)),"CUIT NO CARGADO")</f>
        <v>-</v>
      </c>
      <c r="H594" s="100">
        <f>ventas_b_mes1255[[#This Row],[TOTAL]]/1.21</f>
        <v>0</v>
      </c>
      <c r="I594" s="64">
        <f>ventas_b_mes1255[[#This Row],[IMPORTE NETO]]*0.21</f>
        <v>0</v>
      </c>
      <c r="J594" s="184"/>
      <c r="K594" s="184"/>
      <c r="L594" s="184"/>
      <c r="M594" s="59"/>
    </row>
    <row r="595" spans="2:13" x14ac:dyDescent="0.3">
      <c r="B595" s="178"/>
      <c r="C595" s="179"/>
      <c r="D595" s="180"/>
      <c r="E595" s="181"/>
      <c r="F595" s="182"/>
      <c r="G595" s="1" t="str">
        <f>IFERROR(IF(ventas_b_mes1255[[#This Row],[CUIT]]="","-",VLOOKUP(ventas_b_mes1255[[#This Row],[CUIT]],Lista_CUIT[#All],2,0)),"CUIT NO CARGADO")</f>
        <v>-</v>
      </c>
      <c r="H595" s="100">
        <f>ventas_b_mes1255[[#This Row],[TOTAL]]/1.21</f>
        <v>0</v>
      </c>
      <c r="I595" s="64">
        <f>ventas_b_mes1255[[#This Row],[IMPORTE NETO]]*0.21</f>
        <v>0</v>
      </c>
      <c r="J595" s="184"/>
      <c r="K595" s="184"/>
      <c r="L595" s="184"/>
      <c r="M595" s="59"/>
    </row>
    <row r="596" spans="2:13" x14ac:dyDescent="0.3">
      <c r="B596" s="178"/>
      <c r="C596" s="179"/>
      <c r="D596" s="180"/>
      <c r="E596" s="181"/>
      <c r="F596" s="182"/>
      <c r="G596" s="1" t="str">
        <f>IFERROR(IF(ventas_b_mes1255[[#This Row],[CUIT]]="","-",VLOOKUP(ventas_b_mes1255[[#This Row],[CUIT]],Lista_CUIT[#All],2,0)),"CUIT NO CARGADO")</f>
        <v>-</v>
      </c>
      <c r="H596" s="100">
        <f>ventas_b_mes1255[[#This Row],[TOTAL]]/1.21</f>
        <v>0</v>
      </c>
      <c r="I596" s="64">
        <f>ventas_b_mes1255[[#This Row],[IMPORTE NETO]]*0.21</f>
        <v>0</v>
      </c>
      <c r="J596" s="184"/>
      <c r="K596" s="184"/>
      <c r="L596" s="184"/>
      <c r="M596" s="59"/>
    </row>
    <row r="597" spans="2:13" x14ac:dyDescent="0.3">
      <c r="B597" s="178"/>
      <c r="C597" s="179"/>
      <c r="D597" s="180"/>
      <c r="E597" s="181"/>
      <c r="F597" s="182"/>
      <c r="G597" s="1" t="str">
        <f>IFERROR(IF(ventas_b_mes1255[[#This Row],[CUIT]]="","-",VLOOKUP(ventas_b_mes1255[[#This Row],[CUIT]],Lista_CUIT[#All],2,0)),"CUIT NO CARGADO")</f>
        <v>-</v>
      </c>
      <c r="H597" s="100">
        <f>ventas_b_mes1255[[#This Row],[TOTAL]]/1.21</f>
        <v>0</v>
      </c>
      <c r="I597" s="64">
        <f>ventas_b_mes1255[[#This Row],[IMPORTE NETO]]*0.21</f>
        <v>0</v>
      </c>
      <c r="J597" s="184"/>
      <c r="K597" s="184"/>
      <c r="L597" s="184"/>
      <c r="M597" s="59"/>
    </row>
    <row r="598" spans="2:13" x14ac:dyDescent="0.3">
      <c r="B598" s="178"/>
      <c r="C598" s="179"/>
      <c r="D598" s="180"/>
      <c r="E598" s="181"/>
      <c r="F598" s="182"/>
      <c r="G598" s="1" t="str">
        <f>IFERROR(IF(ventas_b_mes1255[[#This Row],[CUIT]]="","-",VLOOKUP(ventas_b_mes1255[[#This Row],[CUIT]],Lista_CUIT[#All],2,0)),"CUIT NO CARGADO")</f>
        <v>-</v>
      </c>
      <c r="H598" s="100">
        <f>ventas_b_mes1255[[#This Row],[TOTAL]]/1.21</f>
        <v>0</v>
      </c>
      <c r="I598" s="64">
        <f>ventas_b_mes1255[[#This Row],[IMPORTE NETO]]*0.21</f>
        <v>0</v>
      </c>
      <c r="J598" s="184"/>
      <c r="K598" s="184"/>
      <c r="L598" s="184"/>
      <c r="M598" s="59"/>
    </row>
    <row r="599" spans="2:13" x14ac:dyDescent="0.3">
      <c r="B599" s="178"/>
      <c r="C599" s="179"/>
      <c r="D599" s="180"/>
      <c r="E599" s="181"/>
      <c r="F599" s="182"/>
      <c r="G599" s="1" t="str">
        <f>IFERROR(IF(ventas_b_mes1255[[#This Row],[CUIT]]="","-",VLOOKUP(ventas_b_mes1255[[#This Row],[CUIT]],Lista_CUIT[#All],2,0)),"CUIT NO CARGADO")</f>
        <v>-</v>
      </c>
      <c r="H599" s="100">
        <f>ventas_b_mes1255[[#This Row],[TOTAL]]/1.21</f>
        <v>0</v>
      </c>
      <c r="I599" s="64">
        <f>ventas_b_mes1255[[#This Row],[IMPORTE NETO]]*0.21</f>
        <v>0</v>
      </c>
      <c r="J599" s="184"/>
      <c r="K599" s="184"/>
      <c r="L599" s="184"/>
      <c r="M599" s="59"/>
    </row>
    <row r="600" spans="2:13" x14ac:dyDescent="0.3">
      <c r="B600" s="178"/>
      <c r="C600" s="179"/>
      <c r="D600" s="180"/>
      <c r="E600" s="181"/>
      <c r="F600" s="182"/>
      <c r="G600" s="1" t="str">
        <f>IFERROR(IF(ventas_b_mes1255[[#This Row],[CUIT]]="","-",VLOOKUP(ventas_b_mes1255[[#This Row],[CUIT]],Lista_CUIT[#All],2,0)),"CUIT NO CARGADO")</f>
        <v>-</v>
      </c>
      <c r="H600" s="100">
        <f>ventas_b_mes1255[[#This Row],[TOTAL]]/1.21</f>
        <v>0</v>
      </c>
      <c r="I600" s="64">
        <f>ventas_b_mes1255[[#This Row],[IMPORTE NETO]]*0.21</f>
        <v>0</v>
      </c>
      <c r="J600" s="184"/>
      <c r="K600" s="184"/>
      <c r="L600" s="184"/>
      <c r="M600" s="59"/>
    </row>
    <row r="601" spans="2:13" x14ac:dyDescent="0.3">
      <c r="B601" s="178"/>
      <c r="C601" s="179"/>
      <c r="D601" s="180"/>
      <c r="E601" s="181"/>
      <c r="F601" s="182"/>
      <c r="G601" s="1" t="str">
        <f>IFERROR(IF(ventas_b_mes1255[[#This Row],[CUIT]]="","-",VLOOKUP(ventas_b_mes1255[[#This Row],[CUIT]],Lista_CUIT[#All],2,0)),"CUIT NO CARGADO")</f>
        <v>-</v>
      </c>
      <c r="H601" s="100">
        <f>ventas_b_mes1255[[#This Row],[TOTAL]]/1.21</f>
        <v>0</v>
      </c>
      <c r="I601" s="64">
        <f>ventas_b_mes1255[[#This Row],[IMPORTE NETO]]*0.21</f>
        <v>0</v>
      </c>
      <c r="J601" s="184"/>
      <c r="K601" s="184"/>
      <c r="L601" s="184"/>
      <c r="M601" s="59"/>
    </row>
    <row r="602" spans="2:13" x14ac:dyDescent="0.3">
      <c r="B602" s="178"/>
      <c r="C602" s="179"/>
      <c r="D602" s="180"/>
      <c r="E602" s="181"/>
      <c r="F602" s="182"/>
      <c r="G602" s="1" t="str">
        <f>IFERROR(IF(ventas_b_mes1255[[#This Row],[CUIT]]="","-",VLOOKUP(ventas_b_mes1255[[#This Row],[CUIT]],Lista_CUIT[#All],2,0)),"CUIT NO CARGADO")</f>
        <v>-</v>
      </c>
      <c r="H602" s="100">
        <f>ventas_b_mes1255[[#This Row],[TOTAL]]/1.21</f>
        <v>0</v>
      </c>
      <c r="I602" s="64">
        <f>ventas_b_mes1255[[#This Row],[IMPORTE NETO]]*0.21</f>
        <v>0</v>
      </c>
      <c r="J602" s="184"/>
      <c r="K602" s="184"/>
      <c r="L602" s="184"/>
      <c r="M602" s="59"/>
    </row>
    <row r="603" spans="2:13" x14ac:dyDescent="0.3">
      <c r="B603" s="178"/>
      <c r="C603" s="179"/>
      <c r="D603" s="180"/>
      <c r="E603" s="181"/>
      <c r="F603" s="182"/>
      <c r="G603" s="1" t="str">
        <f>IFERROR(IF(ventas_b_mes1255[[#This Row],[CUIT]]="","-",VLOOKUP(ventas_b_mes1255[[#This Row],[CUIT]],Lista_CUIT[#All],2,0)),"CUIT NO CARGADO")</f>
        <v>-</v>
      </c>
      <c r="H603" s="100">
        <f>ventas_b_mes1255[[#This Row],[TOTAL]]/1.21</f>
        <v>0</v>
      </c>
      <c r="I603" s="64">
        <f>ventas_b_mes1255[[#This Row],[IMPORTE NETO]]*0.21</f>
        <v>0</v>
      </c>
      <c r="J603" s="184"/>
      <c r="K603" s="184"/>
      <c r="L603" s="184"/>
      <c r="M603" s="59"/>
    </row>
    <row r="604" spans="2:13" x14ac:dyDescent="0.3">
      <c r="B604" s="178"/>
      <c r="C604" s="179"/>
      <c r="D604" s="180"/>
      <c r="E604" s="181"/>
      <c r="F604" s="182"/>
      <c r="G604" s="1" t="str">
        <f>IFERROR(IF(ventas_b_mes1255[[#This Row],[CUIT]]="","-",VLOOKUP(ventas_b_mes1255[[#This Row],[CUIT]],Lista_CUIT[#All],2,0)),"CUIT NO CARGADO")</f>
        <v>-</v>
      </c>
      <c r="H604" s="100">
        <f>ventas_b_mes1255[[#This Row],[TOTAL]]/1.21</f>
        <v>0</v>
      </c>
      <c r="I604" s="64">
        <f>ventas_b_mes1255[[#This Row],[IMPORTE NETO]]*0.21</f>
        <v>0</v>
      </c>
      <c r="J604" s="184"/>
      <c r="K604" s="184"/>
      <c r="L604" s="184"/>
      <c r="M604" s="59"/>
    </row>
    <row r="605" spans="2:13" x14ac:dyDescent="0.3">
      <c r="B605" s="178"/>
      <c r="C605" s="179"/>
      <c r="D605" s="180"/>
      <c r="E605" s="181"/>
      <c r="F605" s="182"/>
      <c r="G605" s="1" t="str">
        <f>IFERROR(IF(ventas_b_mes1255[[#This Row],[CUIT]]="","-",VLOOKUP(ventas_b_mes1255[[#This Row],[CUIT]],Lista_CUIT[#All],2,0)),"CUIT NO CARGADO")</f>
        <v>-</v>
      </c>
      <c r="H605" s="100">
        <f>ventas_b_mes1255[[#This Row],[TOTAL]]/1.21</f>
        <v>0</v>
      </c>
      <c r="I605" s="64">
        <f>ventas_b_mes1255[[#This Row],[IMPORTE NETO]]*0.21</f>
        <v>0</v>
      </c>
      <c r="J605" s="184"/>
      <c r="K605" s="184"/>
      <c r="L605" s="184"/>
      <c r="M605" s="59"/>
    </row>
    <row r="606" spans="2:13" x14ac:dyDescent="0.3">
      <c r="B606" s="178"/>
      <c r="C606" s="179"/>
      <c r="D606" s="180"/>
      <c r="E606" s="181"/>
      <c r="F606" s="182"/>
      <c r="G606" s="1" t="str">
        <f>IFERROR(IF(ventas_b_mes1255[[#This Row],[CUIT]]="","-",VLOOKUP(ventas_b_mes1255[[#This Row],[CUIT]],Lista_CUIT[#All],2,0)),"CUIT NO CARGADO")</f>
        <v>-</v>
      </c>
      <c r="H606" s="100">
        <f>ventas_b_mes1255[[#This Row],[TOTAL]]/1.21</f>
        <v>0</v>
      </c>
      <c r="I606" s="64">
        <f>ventas_b_mes1255[[#This Row],[IMPORTE NETO]]*0.21</f>
        <v>0</v>
      </c>
      <c r="J606" s="184"/>
      <c r="K606" s="184"/>
      <c r="L606" s="184"/>
      <c r="M606" s="59"/>
    </row>
    <row r="607" spans="2:13" x14ac:dyDescent="0.3">
      <c r="B607" s="178"/>
      <c r="C607" s="179"/>
      <c r="D607" s="180"/>
      <c r="E607" s="181"/>
      <c r="F607" s="182"/>
      <c r="G607" s="1" t="str">
        <f>IFERROR(IF(ventas_b_mes1255[[#This Row],[CUIT]]="","-",VLOOKUP(ventas_b_mes1255[[#This Row],[CUIT]],Lista_CUIT[#All],2,0)),"CUIT NO CARGADO")</f>
        <v>-</v>
      </c>
      <c r="H607" s="100">
        <f>ventas_b_mes1255[[#This Row],[TOTAL]]/1.21</f>
        <v>0</v>
      </c>
      <c r="I607" s="64">
        <f>ventas_b_mes1255[[#This Row],[IMPORTE NETO]]*0.21</f>
        <v>0</v>
      </c>
      <c r="J607" s="184"/>
      <c r="K607" s="184"/>
      <c r="L607" s="184"/>
      <c r="M607" s="59"/>
    </row>
    <row r="608" spans="2:13" x14ac:dyDescent="0.3">
      <c r="B608" s="178"/>
      <c r="C608" s="179"/>
      <c r="D608" s="180"/>
      <c r="E608" s="181"/>
      <c r="F608" s="182"/>
      <c r="G608" s="1" t="str">
        <f>IFERROR(IF(ventas_b_mes1255[[#This Row],[CUIT]]="","-",VLOOKUP(ventas_b_mes1255[[#This Row],[CUIT]],Lista_CUIT[#All],2,0)),"CUIT NO CARGADO")</f>
        <v>-</v>
      </c>
      <c r="H608" s="100">
        <f>ventas_b_mes1255[[#This Row],[TOTAL]]/1.21</f>
        <v>0</v>
      </c>
      <c r="I608" s="64">
        <f>ventas_b_mes1255[[#This Row],[IMPORTE NETO]]*0.21</f>
        <v>0</v>
      </c>
      <c r="J608" s="184"/>
      <c r="K608" s="184"/>
      <c r="L608" s="184"/>
      <c r="M608" s="59"/>
    </row>
    <row r="609" spans="2:13" x14ac:dyDescent="0.3">
      <c r="B609" s="178"/>
      <c r="C609" s="179"/>
      <c r="D609" s="180"/>
      <c r="E609" s="181"/>
      <c r="F609" s="182"/>
      <c r="G609" s="1" t="str">
        <f>IFERROR(IF(ventas_b_mes1255[[#This Row],[CUIT]]="","-",VLOOKUP(ventas_b_mes1255[[#This Row],[CUIT]],Lista_CUIT[#All],2,0)),"CUIT NO CARGADO")</f>
        <v>-</v>
      </c>
      <c r="H609" s="100">
        <f>ventas_b_mes1255[[#This Row],[TOTAL]]/1.21</f>
        <v>0</v>
      </c>
      <c r="I609" s="64">
        <f>ventas_b_mes1255[[#This Row],[IMPORTE NETO]]*0.21</f>
        <v>0</v>
      </c>
      <c r="J609" s="184"/>
      <c r="K609" s="184"/>
      <c r="L609" s="184"/>
      <c r="M609" s="59"/>
    </row>
    <row r="610" spans="2:13" x14ac:dyDescent="0.3">
      <c r="B610" s="178"/>
      <c r="C610" s="179"/>
      <c r="D610" s="180"/>
      <c r="E610" s="181"/>
      <c r="F610" s="182"/>
      <c r="G610" s="1" t="str">
        <f>IFERROR(IF(ventas_b_mes1255[[#This Row],[CUIT]]="","-",VLOOKUP(ventas_b_mes1255[[#This Row],[CUIT]],Lista_CUIT[#All],2,0)),"CUIT NO CARGADO")</f>
        <v>-</v>
      </c>
      <c r="H610" s="100">
        <f>ventas_b_mes1255[[#This Row],[TOTAL]]/1.21</f>
        <v>0</v>
      </c>
      <c r="I610" s="64">
        <f>ventas_b_mes1255[[#This Row],[IMPORTE NETO]]*0.21</f>
        <v>0</v>
      </c>
      <c r="J610" s="184"/>
      <c r="K610" s="184"/>
      <c r="L610" s="184"/>
      <c r="M610" s="59"/>
    </row>
    <row r="611" spans="2:13" x14ac:dyDescent="0.3">
      <c r="B611" s="178"/>
      <c r="C611" s="179"/>
      <c r="D611" s="180"/>
      <c r="E611" s="181"/>
      <c r="F611" s="182"/>
      <c r="G611" s="1" t="str">
        <f>IFERROR(IF(ventas_b_mes1255[[#This Row],[CUIT]]="","-",VLOOKUP(ventas_b_mes1255[[#This Row],[CUIT]],Lista_CUIT[#All],2,0)),"CUIT NO CARGADO")</f>
        <v>-</v>
      </c>
      <c r="H611" s="100">
        <f>ventas_b_mes1255[[#This Row],[TOTAL]]/1.21</f>
        <v>0</v>
      </c>
      <c r="I611" s="64">
        <f>ventas_b_mes1255[[#This Row],[IMPORTE NETO]]*0.21</f>
        <v>0</v>
      </c>
      <c r="J611" s="184"/>
      <c r="K611" s="184"/>
      <c r="L611" s="184"/>
      <c r="M611" s="59"/>
    </row>
    <row r="612" spans="2:13" x14ac:dyDescent="0.3">
      <c r="B612" s="178"/>
      <c r="C612" s="179"/>
      <c r="D612" s="180"/>
      <c r="E612" s="181"/>
      <c r="F612" s="182"/>
      <c r="G612" s="1" t="str">
        <f>IFERROR(IF(ventas_b_mes1255[[#This Row],[CUIT]]="","-",VLOOKUP(ventas_b_mes1255[[#This Row],[CUIT]],Lista_CUIT[#All],2,0)),"CUIT NO CARGADO")</f>
        <v>-</v>
      </c>
      <c r="H612" s="100">
        <f>ventas_b_mes1255[[#This Row],[TOTAL]]/1.21</f>
        <v>0</v>
      </c>
      <c r="I612" s="64">
        <f>ventas_b_mes1255[[#This Row],[IMPORTE NETO]]*0.21</f>
        <v>0</v>
      </c>
      <c r="J612" s="184"/>
      <c r="K612" s="184"/>
      <c r="L612" s="184"/>
      <c r="M612" s="59"/>
    </row>
    <row r="613" spans="2:13" x14ac:dyDescent="0.3">
      <c r="B613" s="178"/>
      <c r="C613" s="179"/>
      <c r="D613" s="180"/>
      <c r="E613" s="181"/>
      <c r="F613" s="182"/>
      <c r="G613" s="1" t="str">
        <f>IFERROR(IF(ventas_b_mes1255[[#This Row],[CUIT]]="","-",VLOOKUP(ventas_b_mes1255[[#This Row],[CUIT]],Lista_CUIT[#All],2,0)),"CUIT NO CARGADO")</f>
        <v>-</v>
      </c>
      <c r="H613" s="100">
        <f>ventas_b_mes1255[[#This Row],[TOTAL]]/1.21</f>
        <v>0</v>
      </c>
      <c r="I613" s="64">
        <f>ventas_b_mes1255[[#This Row],[IMPORTE NETO]]*0.21</f>
        <v>0</v>
      </c>
      <c r="J613" s="184"/>
      <c r="K613" s="184"/>
      <c r="L613" s="184"/>
      <c r="M613" s="59"/>
    </row>
    <row r="614" spans="2:13" x14ac:dyDescent="0.3">
      <c r="B614" s="178"/>
      <c r="C614" s="179"/>
      <c r="D614" s="180"/>
      <c r="E614" s="181"/>
      <c r="F614" s="182"/>
      <c r="G614" s="1" t="str">
        <f>IFERROR(IF(ventas_b_mes1255[[#This Row],[CUIT]]="","-",VLOOKUP(ventas_b_mes1255[[#This Row],[CUIT]],Lista_CUIT[#All],2,0)),"CUIT NO CARGADO")</f>
        <v>-</v>
      </c>
      <c r="H614" s="100">
        <f>ventas_b_mes1255[[#This Row],[TOTAL]]/1.21</f>
        <v>0</v>
      </c>
      <c r="I614" s="64">
        <f>ventas_b_mes1255[[#This Row],[IMPORTE NETO]]*0.21</f>
        <v>0</v>
      </c>
      <c r="J614" s="184"/>
      <c r="K614" s="184"/>
      <c r="L614" s="184"/>
      <c r="M614" s="59"/>
    </row>
    <row r="615" spans="2:13" x14ac:dyDescent="0.3">
      <c r="B615" s="178"/>
      <c r="C615" s="179"/>
      <c r="D615" s="180"/>
      <c r="E615" s="181"/>
      <c r="F615" s="182"/>
      <c r="G615" s="1" t="str">
        <f>IFERROR(IF(ventas_b_mes1255[[#This Row],[CUIT]]="","-",VLOOKUP(ventas_b_mes1255[[#This Row],[CUIT]],Lista_CUIT[#All],2,0)),"CUIT NO CARGADO")</f>
        <v>-</v>
      </c>
      <c r="H615" s="100">
        <f>ventas_b_mes1255[[#This Row],[TOTAL]]/1.21</f>
        <v>0</v>
      </c>
      <c r="I615" s="64">
        <f>ventas_b_mes1255[[#This Row],[IMPORTE NETO]]*0.21</f>
        <v>0</v>
      </c>
      <c r="J615" s="184"/>
      <c r="K615" s="184"/>
      <c r="L615" s="184"/>
      <c r="M615" s="59"/>
    </row>
    <row r="616" spans="2:13" x14ac:dyDescent="0.3">
      <c r="B616" s="178"/>
      <c r="C616" s="179"/>
      <c r="D616" s="180"/>
      <c r="E616" s="181"/>
      <c r="F616" s="182"/>
      <c r="G616" s="1" t="str">
        <f>IFERROR(IF(ventas_b_mes1255[[#This Row],[CUIT]]="","-",VLOOKUP(ventas_b_mes1255[[#This Row],[CUIT]],Lista_CUIT[#All],2,0)),"CUIT NO CARGADO")</f>
        <v>-</v>
      </c>
      <c r="H616" s="100">
        <f>ventas_b_mes1255[[#This Row],[TOTAL]]/1.21</f>
        <v>0</v>
      </c>
      <c r="I616" s="64">
        <f>ventas_b_mes1255[[#This Row],[IMPORTE NETO]]*0.21</f>
        <v>0</v>
      </c>
      <c r="J616" s="184"/>
      <c r="K616" s="184"/>
      <c r="L616" s="184"/>
      <c r="M616" s="59"/>
    </row>
    <row r="617" spans="2:13" x14ac:dyDescent="0.3">
      <c r="B617" s="178"/>
      <c r="C617" s="179"/>
      <c r="D617" s="180"/>
      <c r="E617" s="181"/>
      <c r="F617" s="182"/>
      <c r="G617" s="1" t="str">
        <f>IFERROR(IF(ventas_b_mes1255[[#This Row],[CUIT]]="","-",VLOOKUP(ventas_b_mes1255[[#This Row],[CUIT]],Lista_CUIT[#All],2,0)),"CUIT NO CARGADO")</f>
        <v>-</v>
      </c>
      <c r="H617" s="100">
        <f>ventas_b_mes1255[[#This Row],[TOTAL]]/1.21</f>
        <v>0</v>
      </c>
      <c r="I617" s="64">
        <f>ventas_b_mes1255[[#This Row],[IMPORTE NETO]]*0.21</f>
        <v>0</v>
      </c>
      <c r="J617" s="184"/>
      <c r="K617" s="184"/>
      <c r="L617" s="184"/>
      <c r="M617" s="59"/>
    </row>
    <row r="618" spans="2:13" x14ac:dyDescent="0.3">
      <c r="B618" s="178"/>
      <c r="C618" s="179"/>
      <c r="D618" s="180"/>
      <c r="E618" s="181"/>
      <c r="F618" s="182"/>
      <c r="G618" s="1" t="str">
        <f>IFERROR(IF(ventas_b_mes1255[[#This Row],[CUIT]]="","-",VLOOKUP(ventas_b_mes1255[[#This Row],[CUIT]],Lista_CUIT[#All],2,0)),"CUIT NO CARGADO")</f>
        <v>-</v>
      </c>
      <c r="H618" s="100">
        <f>ventas_b_mes1255[[#This Row],[TOTAL]]/1.21</f>
        <v>0</v>
      </c>
      <c r="I618" s="64">
        <f>ventas_b_mes1255[[#This Row],[IMPORTE NETO]]*0.21</f>
        <v>0</v>
      </c>
      <c r="J618" s="184"/>
      <c r="K618" s="184"/>
      <c r="L618" s="184"/>
      <c r="M618" s="59"/>
    </row>
    <row r="619" spans="2:13" x14ac:dyDescent="0.3">
      <c r="B619" s="178"/>
      <c r="C619" s="179"/>
      <c r="D619" s="180"/>
      <c r="E619" s="181"/>
      <c r="F619" s="182"/>
      <c r="G619" s="1" t="str">
        <f>IFERROR(IF(ventas_b_mes1255[[#This Row],[CUIT]]="","-",VLOOKUP(ventas_b_mes1255[[#This Row],[CUIT]],Lista_CUIT[#All],2,0)),"CUIT NO CARGADO")</f>
        <v>-</v>
      </c>
      <c r="H619" s="100">
        <f>ventas_b_mes1255[[#This Row],[TOTAL]]/1.21</f>
        <v>0</v>
      </c>
      <c r="I619" s="64">
        <f>ventas_b_mes1255[[#This Row],[IMPORTE NETO]]*0.21</f>
        <v>0</v>
      </c>
      <c r="J619" s="184"/>
      <c r="K619" s="184"/>
      <c r="L619" s="184"/>
      <c r="M619" s="59"/>
    </row>
    <row r="620" spans="2:13" x14ac:dyDescent="0.3">
      <c r="B620" s="178"/>
      <c r="C620" s="179"/>
      <c r="D620" s="180"/>
      <c r="E620" s="181"/>
      <c r="F620" s="182"/>
      <c r="G620" s="1" t="str">
        <f>IFERROR(IF(ventas_b_mes1255[[#This Row],[CUIT]]="","-",VLOOKUP(ventas_b_mes1255[[#This Row],[CUIT]],Lista_CUIT[#All],2,0)),"CUIT NO CARGADO")</f>
        <v>-</v>
      </c>
      <c r="H620" s="100">
        <f>ventas_b_mes1255[[#This Row],[TOTAL]]/1.21</f>
        <v>0</v>
      </c>
      <c r="I620" s="64">
        <f>ventas_b_mes1255[[#This Row],[IMPORTE NETO]]*0.21</f>
        <v>0</v>
      </c>
      <c r="J620" s="184"/>
      <c r="K620" s="184"/>
      <c r="L620" s="184"/>
      <c r="M620" s="59"/>
    </row>
    <row r="621" spans="2:13" x14ac:dyDescent="0.3">
      <c r="B621" s="178"/>
      <c r="C621" s="179"/>
      <c r="D621" s="180"/>
      <c r="E621" s="181"/>
      <c r="F621" s="182"/>
      <c r="G621" s="1" t="str">
        <f>IFERROR(IF(ventas_b_mes1255[[#This Row],[CUIT]]="","-",VLOOKUP(ventas_b_mes1255[[#This Row],[CUIT]],Lista_CUIT[#All],2,0)),"CUIT NO CARGADO")</f>
        <v>-</v>
      </c>
      <c r="H621" s="100">
        <f>ventas_b_mes1255[[#This Row],[TOTAL]]/1.21</f>
        <v>0</v>
      </c>
      <c r="I621" s="64">
        <f>ventas_b_mes1255[[#This Row],[IMPORTE NETO]]*0.21</f>
        <v>0</v>
      </c>
      <c r="J621" s="184"/>
      <c r="K621" s="184"/>
      <c r="L621" s="184"/>
      <c r="M621" s="59"/>
    </row>
    <row r="622" spans="2:13" x14ac:dyDescent="0.3">
      <c r="B622" s="178"/>
      <c r="C622" s="179"/>
      <c r="D622" s="180"/>
      <c r="E622" s="181"/>
      <c r="F622" s="182"/>
      <c r="G622" s="1" t="str">
        <f>IFERROR(IF(ventas_b_mes1255[[#This Row],[CUIT]]="","-",VLOOKUP(ventas_b_mes1255[[#This Row],[CUIT]],Lista_CUIT[#All],2,0)),"CUIT NO CARGADO")</f>
        <v>-</v>
      </c>
      <c r="H622" s="100">
        <f>ventas_b_mes1255[[#This Row],[TOTAL]]/1.21</f>
        <v>0</v>
      </c>
      <c r="I622" s="64">
        <f>ventas_b_mes1255[[#This Row],[IMPORTE NETO]]*0.21</f>
        <v>0</v>
      </c>
      <c r="J622" s="184"/>
      <c r="K622" s="184"/>
      <c r="L622" s="184"/>
      <c r="M622" s="59"/>
    </row>
    <row r="623" spans="2:13" x14ac:dyDescent="0.3">
      <c r="B623" s="178"/>
      <c r="C623" s="179"/>
      <c r="D623" s="180"/>
      <c r="E623" s="181"/>
      <c r="F623" s="182"/>
      <c r="G623" s="1" t="str">
        <f>IFERROR(IF(ventas_b_mes1255[[#This Row],[CUIT]]="","-",VLOOKUP(ventas_b_mes1255[[#This Row],[CUIT]],Lista_CUIT[#All],2,0)),"CUIT NO CARGADO")</f>
        <v>-</v>
      </c>
      <c r="H623" s="100">
        <f>ventas_b_mes1255[[#This Row],[TOTAL]]/1.21</f>
        <v>0</v>
      </c>
      <c r="I623" s="64">
        <f>ventas_b_mes1255[[#This Row],[IMPORTE NETO]]*0.21</f>
        <v>0</v>
      </c>
      <c r="J623" s="184"/>
      <c r="K623" s="184"/>
      <c r="L623" s="184"/>
      <c r="M623" s="59"/>
    </row>
    <row r="624" spans="2:13" x14ac:dyDescent="0.3">
      <c r="B624" s="178"/>
      <c r="C624" s="179"/>
      <c r="D624" s="180"/>
      <c r="E624" s="181"/>
      <c r="F624" s="182"/>
      <c r="G624" s="1" t="str">
        <f>IFERROR(IF(ventas_b_mes1255[[#This Row],[CUIT]]="","-",VLOOKUP(ventas_b_mes1255[[#This Row],[CUIT]],Lista_CUIT[#All],2,0)),"CUIT NO CARGADO")</f>
        <v>-</v>
      </c>
      <c r="H624" s="100">
        <f>ventas_b_mes1255[[#This Row],[TOTAL]]/1.21</f>
        <v>0</v>
      </c>
      <c r="I624" s="64">
        <f>ventas_b_mes1255[[#This Row],[IMPORTE NETO]]*0.21</f>
        <v>0</v>
      </c>
      <c r="J624" s="184"/>
      <c r="K624" s="184"/>
      <c r="L624" s="184"/>
      <c r="M624" s="59"/>
    </row>
    <row r="625" spans="2:13" x14ac:dyDescent="0.3">
      <c r="B625" s="178"/>
      <c r="C625" s="179"/>
      <c r="D625" s="180"/>
      <c r="E625" s="181"/>
      <c r="F625" s="182"/>
      <c r="G625" s="1" t="str">
        <f>IFERROR(IF(ventas_b_mes1255[[#This Row],[CUIT]]="","-",VLOOKUP(ventas_b_mes1255[[#This Row],[CUIT]],Lista_CUIT[#All],2,0)),"CUIT NO CARGADO")</f>
        <v>-</v>
      </c>
      <c r="H625" s="100">
        <f>ventas_b_mes1255[[#This Row],[TOTAL]]/1.21</f>
        <v>0</v>
      </c>
      <c r="I625" s="64">
        <f>ventas_b_mes1255[[#This Row],[IMPORTE NETO]]*0.21</f>
        <v>0</v>
      </c>
      <c r="J625" s="184"/>
      <c r="K625" s="184"/>
      <c r="L625" s="184"/>
      <c r="M625" s="59"/>
    </row>
    <row r="626" spans="2:13" x14ac:dyDescent="0.3">
      <c r="B626" s="178"/>
      <c r="C626" s="179"/>
      <c r="D626" s="180"/>
      <c r="E626" s="181"/>
      <c r="F626" s="182"/>
      <c r="G626" s="1" t="str">
        <f>IFERROR(IF(ventas_b_mes1255[[#This Row],[CUIT]]="","-",VLOOKUP(ventas_b_mes1255[[#This Row],[CUIT]],Lista_CUIT[#All],2,0)),"CUIT NO CARGADO")</f>
        <v>-</v>
      </c>
      <c r="H626" s="100">
        <f>ventas_b_mes1255[[#This Row],[TOTAL]]/1.21</f>
        <v>0</v>
      </c>
      <c r="I626" s="64">
        <f>ventas_b_mes1255[[#This Row],[IMPORTE NETO]]*0.21</f>
        <v>0</v>
      </c>
      <c r="J626" s="184"/>
      <c r="K626" s="184"/>
      <c r="L626" s="184"/>
      <c r="M626" s="59"/>
    </row>
    <row r="627" spans="2:13" x14ac:dyDescent="0.3">
      <c r="B627" s="178"/>
      <c r="C627" s="179"/>
      <c r="D627" s="180"/>
      <c r="E627" s="181"/>
      <c r="F627" s="182"/>
      <c r="G627" s="1" t="str">
        <f>IFERROR(IF(ventas_b_mes1255[[#This Row],[CUIT]]="","-",VLOOKUP(ventas_b_mes1255[[#This Row],[CUIT]],Lista_CUIT[#All],2,0)),"CUIT NO CARGADO")</f>
        <v>-</v>
      </c>
      <c r="H627" s="100">
        <f>ventas_b_mes1255[[#This Row],[TOTAL]]/1.21</f>
        <v>0</v>
      </c>
      <c r="I627" s="64">
        <f>ventas_b_mes1255[[#This Row],[IMPORTE NETO]]*0.21</f>
        <v>0</v>
      </c>
      <c r="J627" s="184"/>
      <c r="K627" s="184"/>
      <c r="L627" s="184"/>
      <c r="M627" s="59"/>
    </row>
    <row r="628" spans="2:13" x14ac:dyDescent="0.3">
      <c r="B628" s="178"/>
      <c r="C628" s="179"/>
      <c r="D628" s="180"/>
      <c r="E628" s="181"/>
      <c r="F628" s="182"/>
      <c r="G628" s="1" t="str">
        <f>IFERROR(IF(ventas_b_mes1255[[#This Row],[CUIT]]="","-",VLOOKUP(ventas_b_mes1255[[#This Row],[CUIT]],Lista_CUIT[#All],2,0)),"CUIT NO CARGADO")</f>
        <v>-</v>
      </c>
      <c r="H628" s="100">
        <f>ventas_b_mes1255[[#This Row],[TOTAL]]/1.21</f>
        <v>0</v>
      </c>
      <c r="I628" s="64">
        <f>ventas_b_mes1255[[#This Row],[IMPORTE NETO]]*0.21</f>
        <v>0</v>
      </c>
      <c r="J628" s="184"/>
      <c r="K628" s="184"/>
      <c r="L628" s="184"/>
      <c r="M628" s="59"/>
    </row>
    <row r="629" spans="2:13" x14ac:dyDescent="0.3">
      <c r="B629" s="178"/>
      <c r="C629" s="179"/>
      <c r="D629" s="180"/>
      <c r="E629" s="181"/>
      <c r="F629" s="182"/>
      <c r="G629" s="1" t="str">
        <f>IFERROR(IF(ventas_b_mes1255[[#This Row],[CUIT]]="","-",VLOOKUP(ventas_b_mes1255[[#This Row],[CUIT]],Lista_CUIT[#All],2,0)),"CUIT NO CARGADO")</f>
        <v>-</v>
      </c>
      <c r="H629" s="100">
        <f>ventas_b_mes1255[[#This Row],[TOTAL]]/1.21</f>
        <v>0</v>
      </c>
      <c r="I629" s="64">
        <f>ventas_b_mes1255[[#This Row],[IMPORTE NETO]]*0.21</f>
        <v>0</v>
      </c>
      <c r="J629" s="184"/>
      <c r="K629" s="184"/>
      <c r="L629" s="184"/>
      <c r="M629" s="59"/>
    </row>
    <row r="630" spans="2:13" x14ac:dyDescent="0.3">
      <c r="B630" s="178"/>
      <c r="C630" s="179"/>
      <c r="D630" s="180"/>
      <c r="E630" s="181"/>
      <c r="F630" s="182"/>
      <c r="G630" s="1" t="str">
        <f>IFERROR(IF(ventas_b_mes1255[[#This Row],[CUIT]]="","-",VLOOKUP(ventas_b_mes1255[[#This Row],[CUIT]],Lista_CUIT[#All],2,0)),"CUIT NO CARGADO")</f>
        <v>-</v>
      </c>
      <c r="H630" s="100">
        <f>ventas_b_mes1255[[#This Row],[TOTAL]]/1.21</f>
        <v>0</v>
      </c>
      <c r="I630" s="64">
        <f>ventas_b_mes1255[[#This Row],[IMPORTE NETO]]*0.21</f>
        <v>0</v>
      </c>
      <c r="J630" s="184"/>
      <c r="K630" s="184"/>
      <c r="L630" s="184"/>
      <c r="M630" s="59"/>
    </row>
    <row r="631" spans="2:13" x14ac:dyDescent="0.3">
      <c r="B631" s="178"/>
      <c r="C631" s="179"/>
      <c r="D631" s="180"/>
      <c r="E631" s="181"/>
      <c r="F631" s="182"/>
      <c r="G631" s="1" t="str">
        <f>IFERROR(IF(ventas_b_mes1255[[#This Row],[CUIT]]="","-",VLOOKUP(ventas_b_mes1255[[#This Row],[CUIT]],Lista_CUIT[#All],2,0)),"CUIT NO CARGADO")</f>
        <v>-</v>
      </c>
      <c r="H631" s="100">
        <f>ventas_b_mes1255[[#This Row],[TOTAL]]/1.21</f>
        <v>0</v>
      </c>
      <c r="I631" s="64">
        <f>ventas_b_mes1255[[#This Row],[IMPORTE NETO]]*0.21</f>
        <v>0</v>
      </c>
      <c r="J631" s="184"/>
      <c r="K631" s="184"/>
      <c r="L631" s="184"/>
      <c r="M631" s="59"/>
    </row>
    <row r="632" spans="2:13" x14ac:dyDescent="0.3">
      <c r="B632" s="178"/>
      <c r="C632" s="179"/>
      <c r="D632" s="180"/>
      <c r="E632" s="181"/>
      <c r="F632" s="182"/>
      <c r="G632" s="1" t="str">
        <f>IFERROR(IF(ventas_b_mes1255[[#This Row],[CUIT]]="","-",VLOOKUP(ventas_b_mes1255[[#This Row],[CUIT]],Lista_CUIT[#All],2,0)),"CUIT NO CARGADO")</f>
        <v>-</v>
      </c>
      <c r="H632" s="100">
        <f>ventas_b_mes1255[[#This Row],[TOTAL]]/1.21</f>
        <v>0</v>
      </c>
      <c r="I632" s="64">
        <f>ventas_b_mes1255[[#This Row],[IMPORTE NETO]]*0.21</f>
        <v>0</v>
      </c>
      <c r="J632" s="184"/>
      <c r="K632" s="184"/>
      <c r="L632" s="184"/>
      <c r="M632" s="59"/>
    </row>
    <row r="633" spans="2:13" x14ac:dyDescent="0.3">
      <c r="B633" s="178"/>
      <c r="C633" s="179"/>
      <c r="D633" s="180"/>
      <c r="E633" s="181"/>
      <c r="F633" s="182"/>
      <c r="G633" s="1" t="str">
        <f>IFERROR(IF(ventas_b_mes1255[[#This Row],[CUIT]]="","-",VLOOKUP(ventas_b_mes1255[[#This Row],[CUIT]],Lista_CUIT[#All],2,0)),"CUIT NO CARGADO")</f>
        <v>-</v>
      </c>
      <c r="H633" s="100">
        <f>ventas_b_mes1255[[#This Row],[TOTAL]]/1.21</f>
        <v>0</v>
      </c>
      <c r="I633" s="64">
        <f>ventas_b_mes1255[[#This Row],[IMPORTE NETO]]*0.21</f>
        <v>0</v>
      </c>
      <c r="J633" s="184"/>
      <c r="K633" s="184"/>
      <c r="L633" s="184"/>
      <c r="M633" s="59"/>
    </row>
    <row r="634" spans="2:13" x14ac:dyDescent="0.3">
      <c r="B634" s="178"/>
      <c r="C634" s="179"/>
      <c r="D634" s="180"/>
      <c r="E634" s="181"/>
      <c r="F634" s="182"/>
      <c r="G634" s="1" t="str">
        <f>IFERROR(IF(ventas_b_mes1255[[#This Row],[CUIT]]="","-",VLOOKUP(ventas_b_mes1255[[#This Row],[CUIT]],Lista_CUIT[#All],2,0)),"CUIT NO CARGADO")</f>
        <v>-</v>
      </c>
      <c r="H634" s="100">
        <f>ventas_b_mes1255[[#This Row],[TOTAL]]/1.21</f>
        <v>0</v>
      </c>
      <c r="I634" s="64">
        <f>ventas_b_mes1255[[#This Row],[IMPORTE NETO]]*0.21</f>
        <v>0</v>
      </c>
      <c r="J634" s="184"/>
      <c r="K634" s="184"/>
      <c r="L634" s="184"/>
      <c r="M634" s="59"/>
    </row>
    <row r="635" spans="2:13" x14ac:dyDescent="0.3">
      <c r="B635" s="178"/>
      <c r="C635" s="179"/>
      <c r="D635" s="180"/>
      <c r="E635" s="181"/>
      <c r="F635" s="182"/>
      <c r="G635" s="1" t="str">
        <f>IFERROR(IF(ventas_b_mes1255[[#This Row],[CUIT]]="","-",VLOOKUP(ventas_b_mes1255[[#This Row],[CUIT]],Lista_CUIT[#All],2,0)),"CUIT NO CARGADO")</f>
        <v>-</v>
      </c>
      <c r="H635" s="100">
        <f>ventas_b_mes1255[[#This Row],[TOTAL]]/1.21</f>
        <v>0</v>
      </c>
      <c r="I635" s="64">
        <f>ventas_b_mes1255[[#This Row],[IMPORTE NETO]]*0.21</f>
        <v>0</v>
      </c>
      <c r="J635" s="184"/>
      <c r="K635" s="184"/>
      <c r="L635" s="184"/>
      <c r="M635" s="59"/>
    </row>
    <row r="636" spans="2:13" x14ac:dyDescent="0.3">
      <c r="B636" s="178"/>
      <c r="C636" s="179"/>
      <c r="D636" s="180"/>
      <c r="E636" s="181"/>
      <c r="F636" s="182"/>
      <c r="G636" s="1" t="str">
        <f>IFERROR(IF(ventas_b_mes1255[[#This Row],[CUIT]]="","-",VLOOKUP(ventas_b_mes1255[[#This Row],[CUIT]],Lista_CUIT[#All],2,0)),"CUIT NO CARGADO")</f>
        <v>-</v>
      </c>
      <c r="H636" s="100">
        <f>ventas_b_mes1255[[#This Row],[TOTAL]]/1.21</f>
        <v>0</v>
      </c>
      <c r="I636" s="64">
        <f>ventas_b_mes1255[[#This Row],[IMPORTE NETO]]*0.21</f>
        <v>0</v>
      </c>
      <c r="J636" s="184"/>
      <c r="K636" s="184"/>
      <c r="L636" s="184"/>
      <c r="M636" s="59"/>
    </row>
    <row r="637" spans="2:13" x14ac:dyDescent="0.3">
      <c r="B637" s="178"/>
      <c r="C637" s="179"/>
      <c r="D637" s="180"/>
      <c r="E637" s="181"/>
      <c r="F637" s="182"/>
      <c r="G637" s="1" t="str">
        <f>IFERROR(IF(ventas_b_mes1255[[#This Row],[CUIT]]="","-",VLOOKUP(ventas_b_mes1255[[#This Row],[CUIT]],Lista_CUIT[#All],2,0)),"CUIT NO CARGADO")</f>
        <v>-</v>
      </c>
      <c r="H637" s="100">
        <f>ventas_b_mes1255[[#This Row],[TOTAL]]/1.21</f>
        <v>0</v>
      </c>
      <c r="I637" s="64">
        <f>ventas_b_mes1255[[#This Row],[IMPORTE NETO]]*0.21</f>
        <v>0</v>
      </c>
      <c r="J637" s="184"/>
      <c r="K637" s="184"/>
      <c r="L637" s="184"/>
      <c r="M637" s="59"/>
    </row>
    <row r="638" spans="2:13" x14ac:dyDescent="0.3">
      <c r="B638" s="178"/>
      <c r="C638" s="179"/>
      <c r="D638" s="180"/>
      <c r="E638" s="181"/>
      <c r="F638" s="182"/>
      <c r="G638" s="1" t="str">
        <f>IFERROR(IF(ventas_b_mes1255[[#This Row],[CUIT]]="","-",VLOOKUP(ventas_b_mes1255[[#This Row],[CUIT]],Lista_CUIT[#All],2,0)),"CUIT NO CARGADO")</f>
        <v>-</v>
      </c>
      <c r="H638" s="100">
        <f>ventas_b_mes1255[[#This Row],[TOTAL]]/1.21</f>
        <v>0</v>
      </c>
      <c r="I638" s="64">
        <f>ventas_b_mes1255[[#This Row],[IMPORTE NETO]]*0.21</f>
        <v>0</v>
      </c>
      <c r="J638" s="184"/>
      <c r="K638" s="184"/>
      <c r="L638" s="184"/>
      <c r="M638" s="59"/>
    </row>
    <row r="639" spans="2:13" x14ac:dyDescent="0.3">
      <c r="B639" s="178"/>
      <c r="C639" s="179"/>
      <c r="D639" s="180"/>
      <c r="E639" s="181"/>
      <c r="F639" s="182"/>
      <c r="G639" s="1" t="str">
        <f>IFERROR(IF(ventas_b_mes1255[[#This Row],[CUIT]]="","-",VLOOKUP(ventas_b_mes1255[[#This Row],[CUIT]],Lista_CUIT[#All],2,0)),"CUIT NO CARGADO")</f>
        <v>-</v>
      </c>
      <c r="H639" s="100">
        <f>ventas_b_mes1255[[#This Row],[TOTAL]]/1.21</f>
        <v>0</v>
      </c>
      <c r="I639" s="64">
        <f>ventas_b_mes1255[[#This Row],[IMPORTE NETO]]*0.21</f>
        <v>0</v>
      </c>
      <c r="J639" s="184"/>
      <c r="K639" s="184"/>
      <c r="L639" s="184"/>
      <c r="M639" s="59"/>
    </row>
    <row r="640" spans="2:13" x14ac:dyDescent="0.3">
      <c r="B640" s="178"/>
      <c r="C640" s="179"/>
      <c r="D640" s="180"/>
      <c r="E640" s="181"/>
      <c r="F640" s="182"/>
      <c r="G640" s="1" t="str">
        <f>IFERROR(IF(ventas_b_mes1255[[#This Row],[CUIT]]="","-",VLOOKUP(ventas_b_mes1255[[#This Row],[CUIT]],Lista_CUIT[#All],2,0)),"CUIT NO CARGADO")</f>
        <v>-</v>
      </c>
      <c r="H640" s="100">
        <f>ventas_b_mes1255[[#This Row],[TOTAL]]/1.21</f>
        <v>0</v>
      </c>
      <c r="I640" s="64">
        <f>ventas_b_mes1255[[#This Row],[IMPORTE NETO]]*0.21</f>
        <v>0</v>
      </c>
      <c r="J640" s="184"/>
      <c r="K640" s="184"/>
      <c r="L640" s="184"/>
      <c r="M640" s="59"/>
    </row>
    <row r="641" spans="2:13" x14ac:dyDescent="0.3">
      <c r="B641" s="178"/>
      <c r="C641" s="179"/>
      <c r="D641" s="180"/>
      <c r="E641" s="181"/>
      <c r="F641" s="182"/>
      <c r="G641" s="1" t="str">
        <f>IFERROR(IF(ventas_b_mes1255[[#This Row],[CUIT]]="","-",VLOOKUP(ventas_b_mes1255[[#This Row],[CUIT]],Lista_CUIT[#All],2,0)),"CUIT NO CARGADO")</f>
        <v>-</v>
      </c>
      <c r="H641" s="100">
        <f>ventas_b_mes1255[[#This Row],[TOTAL]]/1.21</f>
        <v>0</v>
      </c>
      <c r="I641" s="64">
        <f>ventas_b_mes1255[[#This Row],[IMPORTE NETO]]*0.21</f>
        <v>0</v>
      </c>
      <c r="J641" s="184"/>
      <c r="K641" s="184"/>
      <c r="L641" s="184"/>
      <c r="M641" s="59"/>
    </row>
    <row r="642" spans="2:13" x14ac:dyDescent="0.3">
      <c r="B642" s="178"/>
      <c r="C642" s="179"/>
      <c r="D642" s="180"/>
      <c r="E642" s="181"/>
      <c r="F642" s="182"/>
      <c r="G642" s="1" t="str">
        <f>IFERROR(IF(ventas_b_mes1255[[#This Row],[CUIT]]="","-",VLOOKUP(ventas_b_mes1255[[#This Row],[CUIT]],Lista_CUIT[#All],2,0)),"CUIT NO CARGADO")</f>
        <v>-</v>
      </c>
      <c r="H642" s="100">
        <f>ventas_b_mes1255[[#This Row],[TOTAL]]/1.21</f>
        <v>0</v>
      </c>
      <c r="I642" s="64">
        <f>ventas_b_mes1255[[#This Row],[IMPORTE NETO]]*0.21</f>
        <v>0</v>
      </c>
      <c r="J642" s="184"/>
      <c r="K642" s="184"/>
      <c r="L642" s="184"/>
      <c r="M642" s="59"/>
    </row>
    <row r="643" spans="2:13" x14ac:dyDescent="0.3">
      <c r="B643" s="178"/>
      <c r="C643" s="179"/>
      <c r="D643" s="180"/>
      <c r="E643" s="181"/>
      <c r="F643" s="182"/>
      <c r="G643" s="1" t="str">
        <f>IFERROR(IF(ventas_b_mes1255[[#This Row],[CUIT]]="","-",VLOOKUP(ventas_b_mes1255[[#This Row],[CUIT]],Lista_CUIT[#All],2,0)),"CUIT NO CARGADO")</f>
        <v>-</v>
      </c>
      <c r="H643" s="100">
        <f>ventas_b_mes1255[[#This Row],[TOTAL]]/1.21</f>
        <v>0</v>
      </c>
      <c r="I643" s="64">
        <f>ventas_b_mes1255[[#This Row],[IMPORTE NETO]]*0.21</f>
        <v>0</v>
      </c>
      <c r="J643" s="184"/>
      <c r="K643" s="184"/>
      <c r="L643" s="184"/>
      <c r="M643" s="59"/>
    </row>
    <row r="644" spans="2:13" x14ac:dyDescent="0.3">
      <c r="B644" s="178"/>
      <c r="C644" s="179"/>
      <c r="D644" s="180"/>
      <c r="E644" s="181"/>
      <c r="F644" s="182"/>
      <c r="G644" s="1" t="str">
        <f>IFERROR(IF(ventas_b_mes1255[[#This Row],[CUIT]]="","-",VLOOKUP(ventas_b_mes1255[[#This Row],[CUIT]],Lista_CUIT[#All],2,0)),"CUIT NO CARGADO")</f>
        <v>-</v>
      </c>
      <c r="H644" s="100">
        <f>ventas_b_mes1255[[#This Row],[TOTAL]]/1.21</f>
        <v>0</v>
      </c>
      <c r="I644" s="64">
        <f>ventas_b_mes1255[[#This Row],[IMPORTE NETO]]*0.21</f>
        <v>0</v>
      </c>
      <c r="J644" s="184"/>
      <c r="K644" s="184"/>
      <c r="L644" s="184"/>
      <c r="M644" s="59"/>
    </row>
    <row r="645" spans="2:13" x14ac:dyDescent="0.3">
      <c r="B645" s="178"/>
      <c r="C645" s="179"/>
      <c r="D645" s="180"/>
      <c r="E645" s="181"/>
      <c r="F645" s="182"/>
      <c r="G645" s="1" t="str">
        <f>IFERROR(IF(ventas_b_mes1255[[#This Row],[CUIT]]="","-",VLOOKUP(ventas_b_mes1255[[#This Row],[CUIT]],Lista_CUIT[#All],2,0)),"CUIT NO CARGADO")</f>
        <v>-</v>
      </c>
      <c r="H645" s="100">
        <f>ventas_b_mes1255[[#This Row],[TOTAL]]/1.21</f>
        <v>0</v>
      </c>
      <c r="I645" s="64">
        <f>ventas_b_mes1255[[#This Row],[IMPORTE NETO]]*0.21</f>
        <v>0</v>
      </c>
      <c r="J645" s="184"/>
      <c r="K645" s="184"/>
      <c r="L645" s="184"/>
      <c r="M645" s="59"/>
    </row>
    <row r="646" spans="2:13" x14ac:dyDescent="0.3">
      <c r="B646" s="178"/>
      <c r="C646" s="179"/>
      <c r="D646" s="180"/>
      <c r="E646" s="181"/>
      <c r="F646" s="182"/>
      <c r="G646" s="1" t="str">
        <f>IFERROR(IF(ventas_b_mes1255[[#This Row],[CUIT]]="","-",VLOOKUP(ventas_b_mes1255[[#This Row],[CUIT]],Lista_CUIT[#All],2,0)),"CUIT NO CARGADO")</f>
        <v>-</v>
      </c>
      <c r="H646" s="100">
        <f>ventas_b_mes1255[[#This Row],[TOTAL]]/1.21</f>
        <v>0</v>
      </c>
      <c r="I646" s="64">
        <f>ventas_b_mes1255[[#This Row],[IMPORTE NETO]]*0.21</f>
        <v>0</v>
      </c>
      <c r="J646" s="184"/>
      <c r="K646" s="184"/>
      <c r="L646" s="184"/>
      <c r="M646" s="59"/>
    </row>
    <row r="647" spans="2:13" x14ac:dyDescent="0.3">
      <c r="B647" s="178"/>
      <c r="C647" s="179"/>
      <c r="D647" s="180"/>
      <c r="E647" s="181"/>
      <c r="F647" s="182"/>
      <c r="G647" s="1" t="str">
        <f>IFERROR(IF(ventas_b_mes1255[[#This Row],[CUIT]]="","-",VLOOKUP(ventas_b_mes1255[[#This Row],[CUIT]],Lista_CUIT[#All],2,0)),"CUIT NO CARGADO")</f>
        <v>-</v>
      </c>
      <c r="H647" s="100">
        <f>ventas_b_mes1255[[#This Row],[TOTAL]]/1.21</f>
        <v>0</v>
      </c>
      <c r="I647" s="64">
        <f>ventas_b_mes1255[[#This Row],[IMPORTE NETO]]*0.21</f>
        <v>0</v>
      </c>
      <c r="J647" s="184"/>
      <c r="K647" s="184"/>
      <c r="L647" s="184"/>
      <c r="M647" s="59"/>
    </row>
    <row r="648" spans="2:13" x14ac:dyDescent="0.3">
      <c r="B648" s="178"/>
      <c r="C648" s="179"/>
      <c r="D648" s="180"/>
      <c r="E648" s="181"/>
      <c r="F648" s="182"/>
      <c r="G648" s="1" t="str">
        <f>IFERROR(IF(ventas_b_mes1255[[#This Row],[CUIT]]="","-",VLOOKUP(ventas_b_mes1255[[#This Row],[CUIT]],Lista_CUIT[#All],2,0)),"CUIT NO CARGADO")</f>
        <v>-</v>
      </c>
      <c r="H648" s="100">
        <f>ventas_b_mes1255[[#This Row],[TOTAL]]/1.21</f>
        <v>0</v>
      </c>
      <c r="I648" s="64">
        <f>ventas_b_mes1255[[#This Row],[IMPORTE NETO]]*0.21</f>
        <v>0</v>
      </c>
      <c r="J648" s="184"/>
      <c r="K648" s="184"/>
      <c r="L648" s="184"/>
      <c r="M648" s="59"/>
    </row>
    <row r="649" spans="2:13" x14ac:dyDescent="0.3">
      <c r="B649" s="178"/>
      <c r="C649" s="179"/>
      <c r="D649" s="180"/>
      <c r="E649" s="181"/>
      <c r="F649" s="182"/>
      <c r="G649" s="1" t="str">
        <f>IFERROR(IF(ventas_b_mes1255[[#This Row],[CUIT]]="","-",VLOOKUP(ventas_b_mes1255[[#This Row],[CUIT]],Lista_CUIT[#All],2,0)),"CUIT NO CARGADO")</f>
        <v>-</v>
      </c>
      <c r="H649" s="100">
        <f>ventas_b_mes1255[[#This Row],[TOTAL]]/1.21</f>
        <v>0</v>
      </c>
      <c r="I649" s="64">
        <f>ventas_b_mes1255[[#This Row],[IMPORTE NETO]]*0.21</f>
        <v>0</v>
      </c>
      <c r="J649" s="184"/>
      <c r="K649" s="184"/>
      <c r="L649" s="184"/>
      <c r="M649" s="59"/>
    </row>
    <row r="650" spans="2:13" x14ac:dyDescent="0.3">
      <c r="B650" s="178"/>
      <c r="C650" s="179"/>
      <c r="D650" s="180"/>
      <c r="E650" s="181"/>
      <c r="F650" s="182"/>
      <c r="G650" s="1" t="str">
        <f>IFERROR(IF(ventas_b_mes1255[[#This Row],[CUIT]]="","-",VLOOKUP(ventas_b_mes1255[[#This Row],[CUIT]],Lista_CUIT[#All],2,0)),"CUIT NO CARGADO")</f>
        <v>-</v>
      </c>
      <c r="H650" s="100">
        <f>ventas_b_mes1255[[#This Row],[TOTAL]]/1.21</f>
        <v>0</v>
      </c>
      <c r="I650" s="64">
        <f>ventas_b_mes1255[[#This Row],[IMPORTE NETO]]*0.21</f>
        <v>0</v>
      </c>
      <c r="J650" s="184"/>
      <c r="K650" s="184"/>
      <c r="L650" s="184"/>
      <c r="M650" s="59"/>
    </row>
    <row r="651" spans="2:13" x14ac:dyDescent="0.3">
      <c r="B651" s="178"/>
      <c r="C651" s="179"/>
      <c r="D651" s="180"/>
      <c r="E651" s="181"/>
      <c r="F651" s="182"/>
      <c r="G651" s="1" t="str">
        <f>IFERROR(IF(ventas_b_mes1255[[#This Row],[CUIT]]="","-",VLOOKUP(ventas_b_mes1255[[#This Row],[CUIT]],Lista_CUIT[#All],2,0)),"CUIT NO CARGADO")</f>
        <v>-</v>
      </c>
      <c r="H651" s="100">
        <f>ventas_b_mes1255[[#This Row],[TOTAL]]/1.21</f>
        <v>0</v>
      </c>
      <c r="I651" s="64">
        <f>ventas_b_mes1255[[#This Row],[IMPORTE NETO]]*0.21</f>
        <v>0</v>
      </c>
      <c r="J651" s="184"/>
      <c r="K651" s="184"/>
      <c r="L651" s="184"/>
      <c r="M651" s="59"/>
    </row>
    <row r="652" spans="2:13" x14ac:dyDescent="0.3">
      <c r="B652" s="178"/>
      <c r="C652" s="179"/>
      <c r="D652" s="180"/>
      <c r="E652" s="181"/>
      <c r="F652" s="182"/>
      <c r="G652" s="1" t="str">
        <f>IFERROR(IF(ventas_b_mes1255[[#This Row],[CUIT]]="","-",VLOOKUP(ventas_b_mes1255[[#This Row],[CUIT]],Lista_CUIT[#All],2,0)),"CUIT NO CARGADO")</f>
        <v>-</v>
      </c>
      <c r="H652" s="100">
        <f>ventas_b_mes1255[[#This Row],[TOTAL]]/1.21</f>
        <v>0</v>
      </c>
      <c r="I652" s="64">
        <f>ventas_b_mes1255[[#This Row],[IMPORTE NETO]]*0.21</f>
        <v>0</v>
      </c>
      <c r="J652" s="184"/>
      <c r="K652" s="184"/>
      <c r="L652" s="184"/>
      <c r="M652" s="59"/>
    </row>
    <row r="653" spans="2:13" x14ac:dyDescent="0.3">
      <c r="B653" s="178"/>
      <c r="C653" s="179"/>
      <c r="D653" s="180"/>
      <c r="E653" s="181"/>
      <c r="F653" s="182"/>
      <c r="G653" s="1" t="str">
        <f>IFERROR(IF(ventas_b_mes1255[[#This Row],[CUIT]]="","-",VLOOKUP(ventas_b_mes1255[[#This Row],[CUIT]],Lista_CUIT[#All],2,0)),"CUIT NO CARGADO")</f>
        <v>-</v>
      </c>
      <c r="H653" s="100">
        <f>ventas_b_mes1255[[#This Row],[TOTAL]]/1.21</f>
        <v>0</v>
      </c>
      <c r="I653" s="64">
        <f>ventas_b_mes1255[[#This Row],[IMPORTE NETO]]*0.21</f>
        <v>0</v>
      </c>
      <c r="J653" s="184"/>
      <c r="K653" s="184"/>
      <c r="L653" s="184"/>
      <c r="M653" s="59"/>
    </row>
    <row r="654" spans="2:13" x14ac:dyDescent="0.3">
      <c r="B654" s="178"/>
      <c r="C654" s="179"/>
      <c r="D654" s="180"/>
      <c r="E654" s="181"/>
      <c r="F654" s="182"/>
      <c r="G654" s="1" t="str">
        <f>IFERROR(IF(ventas_b_mes1255[[#This Row],[CUIT]]="","-",VLOOKUP(ventas_b_mes1255[[#This Row],[CUIT]],Lista_CUIT[#All],2,0)),"CUIT NO CARGADO")</f>
        <v>-</v>
      </c>
      <c r="H654" s="100">
        <f>ventas_b_mes1255[[#This Row],[TOTAL]]/1.21</f>
        <v>0</v>
      </c>
      <c r="I654" s="64">
        <f>ventas_b_mes1255[[#This Row],[IMPORTE NETO]]*0.21</f>
        <v>0</v>
      </c>
      <c r="J654" s="184"/>
      <c r="K654" s="184"/>
      <c r="L654" s="184"/>
      <c r="M654" s="59"/>
    </row>
    <row r="655" spans="2:13" x14ac:dyDescent="0.3">
      <c r="B655" s="178"/>
      <c r="C655" s="179"/>
      <c r="D655" s="180"/>
      <c r="E655" s="181"/>
      <c r="F655" s="182"/>
      <c r="G655" s="1" t="str">
        <f>IFERROR(IF(ventas_b_mes1255[[#This Row],[CUIT]]="","-",VLOOKUP(ventas_b_mes1255[[#This Row],[CUIT]],Lista_CUIT[#All],2,0)),"CUIT NO CARGADO")</f>
        <v>-</v>
      </c>
      <c r="H655" s="100">
        <f>ventas_b_mes1255[[#This Row],[TOTAL]]/1.21</f>
        <v>0</v>
      </c>
      <c r="I655" s="64">
        <f>ventas_b_mes1255[[#This Row],[IMPORTE NETO]]*0.21</f>
        <v>0</v>
      </c>
      <c r="J655" s="184"/>
      <c r="K655" s="184"/>
      <c r="L655" s="184"/>
      <c r="M655" s="59"/>
    </row>
    <row r="656" spans="2:13" x14ac:dyDescent="0.3">
      <c r="B656" s="178"/>
      <c r="C656" s="179"/>
      <c r="D656" s="180"/>
      <c r="E656" s="181"/>
      <c r="F656" s="182"/>
      <c r="G656" s="1" t="str">
        <f>IFERROR(IF(ventas_b_mes1255[[#This Row],[CUIT]]="","-",VLOOKUP(ventas_b_mes1255[[#This Row],[CUIT]],Lista_CUIT[#All],2,0)),"CUIT NO CARGADO")</f>
        <v>-</v>
      </c>
      <c r="H656" s="100">
        <f>ventas_b_mes1255[[#This Row],[TOTAL]]/1.21</f>
        <v>0</v>
      </c>
      <c r="I656" s="64">
        <f>ventas_b_mes1255[[#This Row],[IMPORTE NETO]]*0.21</f>
        <v>0</v>
      </c>
      <c r="J656" s="184"/>
      <c r="K656" s="184"/>
      <c r="L656" s="184"/>
      <c r="M656" s="59"/>
    </row>
    <row r="657" spans="2:13" x14ac:dyDescent="0.3">
      <c r="B657" s="178"/>
      <c r="C657" s="179"/>
      <c r="D657" s="180"/>
      <c r="E657" s="181"/>
      <c r="F657" s="182"/>
      <c r="G657" s="1" t="str">
        <f>IFERROR(IF(ventas_b_mes1255[[#This Row],[CUIT]]="","-",VLOOKUP(ventas_b_mes1255[[#This Row],[CUIT]],Lista_CUIT[#All],2,0)),"CUIT NO CARGADO")</f>
        <v>-</v>
      </c>
      <c r="H657" s="100">
        <f>ventas_b_mes1255[[#This Row],[TOTAL]]/1.21</f>
        <v>0</v>
      </c>
      <c r="I657" s="64">
        <f>ventas_b_mes1255[[#This Row],[IMPORTE NETO]]*0.21</f>
        <v>0</v>
      </c>
      <c r="J657" s="184"/>
      <c r="K657" s="184"/>
      <c r="L657" s="184"/>
      <c r="M657" s="59"/>
    </row>
    <row r="658" spans="2:13" x14ac:dyDescent="0.3">
      <c r="B658" s="178"/>
      <c r="C658" s="179"/>
      <c r="D658" s="180"/>
      <c r="E658" s="181"/>
      <c r="F658" s="182"/>
      <c r="G658" s="1" t="str">
        <f>IFERROR(IF(ventas_b_mes1255[[#This Row],[CUIT]]="","-",VLOOKUP(ventas_b_mes1255[[#This Row],[CUIT]],Lista_CUIT[#All],2,0)),"CUIT NO CARGADO")</f>
        <v>-</v>
      </c>
      <c r="H658" s="100">
        <f>ventas_b_mes1255[[#This Row],[TOTAL]]/1.21</f>
        <v>0</v>
      </c>
      <c r="I658" s="64">
        <f>ventas_b_mes1255[[#This Row],[IMPORTE NETO]]*0.21</f>
        <v>0</v>
      </c>
      <c r="J658" s="184"/>
      <c r="K658" s="184"/>
      <c r="L658" s="184"/>
      <c r="M658" s="59"/>
    </row>
    <row r="659" spans="2:13" x14ac:dyDescent="0.3">
      <c r="B659" s="178"/>
      <c r="C659" s="179"/>
      <c r="D659" s="180"/>
      <c r="E659" s="181"/>
      <c r="F659" s="182"/>
      <c r="G659" s="1" t="str">
        <f>IFERROR(IF(ventas_b_mes1255[[#This Row],[CUIT]]="","-",VLOOKUP(ventas_b_mes1255[[#This Row],[CUIT]],Lista_CUIT[#All],2,0)),"CUIT NO CARGADO")</f>
        <v>-</v>
      </c>
      <c r="H659" s="100">
        <f>ventas_b_mes1255[[#This Row],[TOTAL]]/1.21</f>
        <v>0</v>
      </c>
      <c r="I659" s="64">
        <f>ventas_b_mes1255[[#This Row],[IMPORTE NETO]]*0.21</f>
        <v>0</v>
      </c>
      <c r="J659" s="184"/>
      <c r="K659" s="184"/>
      <c r="L659" s="184"/>
      <c r="M659" s="59"/>
    </row>
    <row r="660" spans="2:13" x14ac:dyDescent="0.3">
      <c r="B660" s="178"/>
      <c r="C660" s="179"/>
      <c r="D660" s="180"/>
      <c r="E660" s="181"/>
      <c r="F660" s="182"/>
      <c r="G660" s="1" t="str">
        <f>IFERROR(IF(ventas_b_mes1255[[#This Row],[CUIT]]="","-",VLOOKUP(ventas_b_mes1255[[#This Row],[CUIT]],Lista_CUIT[#All],2,0)),"CUIT NO CARGADO")</f>
        <v>-</v>
      </c>
      <c r="H660" s="100">
        <f>ventas_b_mes1255[[#This Row],[TOTAL]]/1.21</f>
        <v>0</v>
      </c>
      <c r="I660" s="64">
        <f>ventas_b_mes1255[[#This Row],[IMPORTE NETO]]*0.21</f>
        <v>0</v>
      </c>
      <c r="J660" s="184"/>
      <c r="K660" s="184"/>
      <c r="L660" s="184"/>
      <c r="M660" s="59"/>
    </row>
    <row r="661" spans="2:13" x14ac:dyDescent="0.3">
      <c r="B661" s="178"/>
      <c r="C661" s="179"/>
      <c r="D661" s="180"/>
      <c r="E661" s="181"/>
      <c r="F661" s="182"/>
      <c r="G661" s="1" t="str">
        <f>IFERROR(IF(ventas_b_mes1255[[#This Row],[CUIT]]="","-",VLOOKUP(ventas_b_mes1255[[#This Row],[CUIT]],Lista_CUIT[#All],2,0)),"CUIT NO CARGADO")</f>
        <v>-</v>
      </c>
      <c r="H661" s="100">
        <f>ventas_b_mes1255[[#This Row],[TOTAL]]/1.21</f>
        <v>0</v>
      </c>
      <c r="I661" s="64">
        <f>ventas_b_mes1255[[#This Row],[IMPORTE NETO]]*0.21</f>
        <v>0</v>
      </c>
      <c r="J661" s="184"/>
      <c r="K661" s="184"/>
      <c r="L661" s="184"/>
      <c r="M661" s="59"/>
    </row>
    <row r="662" spans="2:13" x14ac:dyDescent="0.3">
      <c r="B662" s="178"/>
      <c r="C662" s="179"/>
      <c r="D662" s="180"/>
      <c r="E662" s="181"/>
      <c r="F662" s="182"/>
      <c r="G662" s="1" t="str">
        <f>IFERROR(IF(ventas_b_mes1255[[#This Row],[CUIT]]="","-",VLOOKUP(ventas_b_mes1255[[#This Row],[CUIT]],Lista_CUIT[#All],2,0)),"CUIT NO CARGADO")</f>
        <v>-</v>
      </c>
      <c r="H662" s="100">
        <f>ventas_b_mes1255[[#This Row],[TOTAL]]/1.21</f>
        <v>0</v>
      </c>
      <c r="I662" s="64">
        <f>ventas_b_mes1255[[#This Row],[IMPORTE NETO]]*0.21</f>
        <v>0</v>
      </c>
      <c r="J662" s="184"/>
      <c r="K662" s="184"/>
      <c r="L662" s="184"/>
      <c r="M662" s="59"/>
    </row>
    <row r="663" spans="2:13" x14ac:dyDescent="0.3">
      <c r="B663" s="178"/>
      <c r="C663" s="179"/>
      <c r="D663" s="180"/>
      <c r="E663" s="181"/>
      <c r="F663" s="182"/>
      <c r="G663" s="1" t="str">
        <f>IFERROR(IF(ventas_b_mes1255[[#This Row],[CUIT]]="","-",VLOOKUP(ventas_b_mes1255[[#This Row],[CUIT]],Lista_CUIT[#All],2,0)),"CUIT NO CARGADO")</f>
        <v>-</v>
      </c>
      <c r="H663" s="100">
        <f>ventas_b_mes1255[[#This Row],[TOTAL]]/1.21</f>
        <v>0</v>
      </c>
      <c r="I663" s="64">
        <f>ventas_b_mes1255[[#This Row],[IMPORTE NETO]]*0.21</f>
        <v>0</v>
      </c>
      <c r="J663" s="184"/>
      <c r="K663" s="184"/>
      <c r="L663" s="184"/>
      <c r="M663" s="59"/>
    </row>
    <row r="664" spans="2:13" x14ac:dyDescent="0.3">
      <c r="B664" s="178"/>
      <c r="C664" s="179"/>
      <c r="D664" s="180"/>
      <c r="E664" s="181"/>
      <c r="F664" s="182"/>
      <c r="G664" s="1" t="str">
        <f>IFERROR(IF(ventas_b_mes1255[[#This Row],[CUIT]]="","-",VLOOKUP(ventas_b_mes1255[[#This Row],[CUIT]],Lista_CUIT[#All],2,0)),"CUIT NO CARGADO")</f>
        <v>-</v>
      </c>
      <c r="H664" s="100">
        <f>ventas_b_mes1255[[#This Row],[TOTAL]]/1.21</f>
        <v>0</v>
      </c>
      <c r="I664" s="64">
        <f>ventas_b_mes1255[[#This Row],[IMPORTE NETO]]*0.21</f>
        <v>0</v>
      </c>
      <c r="J664" s="184"/>
      <c r="K664" s="184"/>
      <c r="L664" s="184"/>
      <c r="M664" s="59"/>
    </row>
    <row r="665" spans="2:13" x14ac:dyDescent="0.3">
      <c r="B665" s="178"/>
      <c r="C665" s="179"/>
      <c r="D665" s="180"/>
      <c r="E665" s="181"/>
      <c r="F665" s="182"/>
      <c r="G665" s="1" t="str">
        <f>IFERROR(IF(ventas_b_mes1255[[#This Row],[CUIT]]="","-",VLOOKUP(ventas_b_mes1255[[#This Row],[CUIT]],Lista_CUIT[#All],2,0)),"CUIT NO CARGADO")</f>
        <v>-</v>
      </c>
      <c r="H665" s="100">
        <f>ventas_b_mes1255[[#This Row],[TOTAL]]/1.21</f>
        <v>0</v>
      </c>
      <c r="I665" s="64">
        <f>ventas_b_mes1255[[#This Row],[IMPORTE NETO]]*0.21</f>
        <v>0</v>
      </c>
      <c r="J665" s="184"/>
      <c r="K665" s="184"/>
      <c r="L665" s="184"/>
      <c r="M665" s="59"/>
    </row>
    <row r="666" spans="2:13" x14ac:dyDescent="0.3">
      <c r="B666" s="178"/>
      <c r="C666" s="179"/>
      <c r="D666" s="180"/>
      <c r="E666" s="181"/>
      <c r="F666" s="182"/>
      <c r="G666" s="1" t="str">
        <f>IFERROR(IF(ventas_b_mes1255[[#This Row],[CUIT]]="","-",VLOOKUP(ventas_b_mes1255[[#This Row],[CUIT]],Lista_CUIT[#All],2,0)),"CUIT NO CARGADO")</f>
        <v>-</v>
      </c>
      <c r="H666" s="100">
        <f>ventas_b_mes1255[[#This Row],[TOTAL]]/1.21</f>
        <v>0</v>
      </c>
      <c r="I666" s="64">
        <f>ventas_b_mes1255[[#This Row],[IMPORTE NETO]]*0.21</f>
        <v>0</v>
      </c>
      <c r="J666" s="184"/>
      <c r="K666" s="184"/>
      <c r="L666" s="184"/>
      <c r="M666" s="59"/>
    </row>
    <row r="667" spans="2:13" x14ac:dyDescent="0.3">
      <c r="B667" s="178"/>
      <c r="C667" s="179"/>
      <c r="D667" s="180"/>
      <c r="E667" s="181"/>
      <c r="F667" s="182"/>
      <c r="G667" s="1" t="str">
        <f>IFERROR(IF(ventas_b_mes1255[[#This Row],[CUIT]]="","-",VLOOKUP(ventas_b_mes1255[[#This Row],[CUIT]],Lista_CUIT[#All],2,0)),"CUIT NO CARGADO")</f>
        <v>-</v>
      </c>
      <c r="H667" s="100">
        <f>ventas_b_mes1255[[#This Row],[TOTAL]]/1.21</f>
        <v>0</v>
      </c>
      <c r="I667" s="64">
        <f>ventas_b_mes1255[[#This Row],[IMPORTE NETO]]*0.21</f>
        <v>0</v>
      </c>
      <c r="J667" s="184"/>
      <c r="K667" s="184"/>
      <c r="L667" s="184"/>
      <c r="M667" s="59"/>
    </row>
    <row r="668" spans="2:13" x14ac:dyDescent="0.3">
      <c r="B668" s="178"/>
      <c r="C668" s="179"/>
      <c r="D668" s="180"/>
      <c r="E668" s="181"/>
      <c r="F668" s="182"/>
      <c r="G668" s="1" t="str">
        <f>IFERROR(IF(ventas_b_mes1255[[#This Row],[CUIT]]="","-",VLOOKUP(ventas_b_mes1255[[#This Row],[CUIT]],Lista_CUIT[#All],2,0)),"CUIT NO CARGADO")</f>
        <v>-</v>
      </c>
      <c r="H668" s="100">
        <f>ventas_b_mes1255[[#This Row],[TOTAL]]/1.21</f>
        <v>0</v>
      </c>
      <c r="I668" s="64">
        <f>ventas_b_mes1255[[#This Row],[IMPORTE NETO]]*0.21</f>
        <v>0</v>
      </c>
      <c r="J668" s="184"/>
      <c r="K668" s="184"/>
      <c r="L668" s="184"/>
      <c r="M668" s="59"/>
    </row>
    <row r="669" spans="2:13" x14ac:dyDescent="0.3">
      <c r="B669" s="178"/>
      <c r="C669" s="179"/>
      <c r="D669" s="180"/>
      <c r="E669" s="181"/>
      <c r="F669" s="182"/>
      <c r="G669" s="1" t="str">
        <f>IFERROR(IF(ventas_b_mes1255[[#This Row],[CUIT]]="","-",VLOOKUP(ventas_b_mes1255[[#This Row],[CUIT]],Lista_CUIT[#All],2,0)),"CUIT NO CARGADO")</f>
        <v>-</v>
      </c>
      <c r="H669" s="100">
        <f>ventas_b_mes1255[[#This Row],[TOTAL]]/1.21</f>
        <v>0</v>
      </c>
      <c r="I669" s="64">
        <f>ventas_b_mes1255[[#This Row],[IMPORTE NETO]]*0.21</f>
        <v>0</v>
      </c>
      <c r="J669" s="184"/>
      <c r="K669" s="184"/>
      <c r="L669" s="184"/>
      <c r="M669" s="59"/>
    </row>
    <row r="670" spans="2:13" x14ac:dyDescent="0.3">
      <c r="B670" s="178"/>
      <c r="C670" s="179"/>
      <c r="D670" s="180"/>
      <c r="E670" s="181"/>
      <c r="F670" s="182"/>
      <c r="G670" s="1" t="str">
        <f>IFERROR(IF(ventas_b_mes1255[[#This Row],[CUIT]]="","-",VLOOKUP(ventas_b_mes1255[[#This Row],[CUIT]],Lista_CUIT[#All],2,0)),"CUIT NO CARGADO")</f>
        <v>-</v>
      </c>
      <c r="H670" s="100">
        <f>ventas_b_mes1255[[#This Row],[TOTAL]]/1.21</f>
        <v>0</v>
      </c>
      <c r="I670" s="64">
        <f>ventas_b_mes1255[[#This Row],[IMPORTE NETO]]*0.21</f>
        <v>0</v>
      </c>
      <c r="J670" s="184"/>
      <c r="K670" s="184"/>
      <c r="L670" s="184"/>
      <c r="M670" s="59"/>
    </row>
    <row r="671" spans="2:13" x14ac:dyDescent="0.3">
      <c r="B671" s="178"/>
      <c r="C671" s="179"/>
      <c r="D671" s="180"/>
      <c r="E671" s="181"/>
      <c r="F671" s="182"/>
      <c r="G671" s="1" t="str">
        <f>IFERROR(IF(ventas_b_mes1255[[#This Row],[CUIT]]="","-",VLOOKUP(ventas_b_mes1255[[#This Row],[CUIT]],Lista_CUIT[#All],2,0)),"CUIT NO CARGADO")</f>
        <v>-</v>
      </c>
      <c r="H671" s="100">
        <f>ventas_b_mes1255[[#This Row],[TOTAL]]/1.21</f>
        <v>0</v>
      </c>
      <c r="I671" s="64">
        <f>ventas_b_mes1255[[#This Row],[IMPORTE NETO]]*0.21</f>
        <v>0</v>
      </c>
      <c r="J671" s="184"/>
      <c r="K671" s="184"/>
      <c r="L671" s="184"/>
      <c r="M671" s="59"/>
    </row>
    <row r="672" spans="2:13" x14ac:dyDescent="0.3">
      <c r="B672" s="178"/>
      <c r="C672" s="179"/>
      <c r="D672" s="180"/>
      <c r="E672" s="181"/>
      <c r="F672" s="182"/>
      <c r="G672" s="1" t="str">
        <f>IFERROR(IF(ventas_b_mes1255[[#This Row],[CUIT]]="","-",VLOOKUP(ventas_b_mes1255[[#This Row],[CUIT]],Lista_CUIT[#All],2,0)),"CUIT NO CARGADO")</f>
        <v>-</v>
      </c>
      <c r="H672" s="100">
        <f>ventas_b_mes1255[[#This Row],[TOTAL]]/1.21</f>
        <v>0</v>
      </c>
      <c r="I672" s="64">
        <f>ventas_b_mes1255[[#This Row],[IMPORTE NETO]]*0.21</f>
        <v>0</v>
      </c>
      <c r="J672" s="184"/>
      <c r="K672" s="184"/>
      <c r="L672" s="184"/>
      <c r="M672" s="59"/>
    </row>
    <row r="673" spans="2:13" x14ac:dyDescent="0.3">
      <c r="B673" s="178"/>
      <c r="C673" s="179"/>
      <c r="D673" s="180"/>
      <c r="E673" s="181"/>
      <c r="F673" s="182"/>
      <c r="G673" s="1" t="str">
        <f>IFERROR(IF(ventas_b_mes1255[[#This Row],[CUIT]]="","-",VLOOKUP(ventas_b_mes1255[[#This Row],[CUIT]],Lista_CUIT[#All],2,0)),"CUIT NO CARGADO")</f>
        <v>-</v>
      </c>
      <c r="H673" s="100">
        <f>ventas_b_mes1255[[#This Row],[TOTAL]]/1.21</f>
        <v>0</v>
      </c>
      <c r="I673" s="64">
        <f>ventas_b_mes1255[[#This Row],[IMPORTE NETO]]*0.21</f>
        <v>0</v>
      </c>
      <c r="J673" s="184"/>
      <c r="K673" s="184"/>
      <c r="L673" s="184"/>
      <c r="M673" s="59"/>
    </row>
    <row r="674" spans="2:13" x14ac:dyDescent="0.3">
      <c r="B674" s="178"/>
      <c r="C674" s="179"/>
      <c r="D674" s="180"/>
      <c r="E674" s="181"/>
      <c r="F674" s="182"/>
      <c r="G674" s="1" t="str">
        <f>IFERROR(IF(ventas_b_mes1255[[#This Row],[CUIT]]="","-",VLOOKUP(ventas_b_mes1255[[#This Row],[CUIT]],Lista_CUIT[#All],2,0)),"CUIT NO CARGADO")</f>
        <v>-</v>
      </c>
      <c r="H674" s="100">
        <f>ventas_b_mes1255[[#This Row],[TOTAL]]/1.21</f>
        <v>0</v>
      </c>
      <c r="I674" s="64">
        <f>ventas_b_mes1255[[#This Row],[IMPORTE NETO]]*0.21</f>
        <v>0</v>
      </c>
      <c r="J674" s="184"/>
      <c r="K674" s="184"/>
      <c r="L674" s="184"/>
      <c r="M674" s="59"/>
    </row>
    <row r="675" spans="2:13" x14ac:dyDescent="0.3">
      <c r="B675" s="178"/>
      <c r="C675" s="179"/>
      <c r="D675" s="180"/>
      <c r="E675" s="181"/>
      <c r="F675" s="182"/>
      <c r="G675" s="1" t="str">
        <f>IFERROR(IF(ventas_b_mes1255[[#This Row],[CUIT]]="","-",VLOOKUP(ventas_b_mes1255[[#This Row],[CUIT]],Lista_CUIT[#All],2,0)),"CUIT NO CARGADO")</f>
        <v>-</v>
      </c>
      <c r="H675" s="100">
        <f>ventas_b_mes1255[[#This Row],[TOTAL]]/1.21</f>
        <v>0</v>
      </c>
      <c r="I675" s="64">
        <f>ventas_b_mes1255[[#This Row],[IMPORTE NETO]]*0.21</f>
        <v>0</v>
      </c>
      <c r="J675" s="184"/>
      <c r="K675" s="184"/>
      <c r="L675" s="184"/>
      <c r="M675" s="59"/>
    </row>
    <row r="676" spans="2:13" x14ac:dyDescent="0.3">
      <c r="B676" s="178"/>
      <c r="C676" s="179"/>
      <c r="D676" s="180"/>
      <c r="E676" s="181"/>
      <c r="F676" s="182"/>
      <c r="G676" s="1" t="str">
        <f>IFERROR(IF(ventas_b_mes1255[[#This Row],[CUIT]]="","-",VLOOKUP(ventas_b_mes1255[[#This Row],[CUIT]],Lista_CUIT[#All],2,0)),"CUIT NO CARGADO")</f>
        <v>-</v>
      </c>
      <c r="H676" s="100">
        <f>ventas_b_mes1255[[#This Row],[TOTAL]]/1.21</f>
        <v>0</v>
      </c>
      <c r="I676" s="64">
        <f>ventas_b_mes1255[[#This Row],[IMPORTE NETO]]*0.21</f>
        <v>0</v>
      </c>
      <c r="J676" s="184"/>
      <c r="K676" s="184"/>
      <c r="L676" s="184"/>
      <c r="M676" s="59"/>
    </row>
    <row r="677" spans="2:13" x14ac:dyDescent="0.3">
      <c r="B677" s="178"/>
      <c r="C677" s="179"/>
      <c r="D677" s="180"/>
      <c r="E677" s="181"/>
      <c r="F677" s="182"/>
      <c r="G677" s="1" t="str">
        <f>IFERROR(IF(ventas_b_mes1255[[#This Row],[CUIT]]="","-",VLOOKUP(ventas_b_mes1255[[#This Row],[CUIT]],Lista_CUIT[#All],2,0)),"CUIT NO CARGADO")</f>
        <v>-</v>
      </c>
      <c r="H677" s="100">
        <f>ventas_b_mes1255[[#This Row],[TOTAL]]/1.21</f>
        <v>0</v>
      </c>
      <c r="I677" s="64">
        <f>ventas_b_mes1255[[#This Row],[IMPORTE NETO]]*0.21</f>
        <v>0</v>
      </c>
      <c r="J677" s="184"/>
      <c r="K677" s="184"/>
      <c r="L677" s="184"/>
      <c r="M677" s="59"/>
    </row>
    <row r="678" spans="2:13" x14ac:dyDescent="0.3">
      <c r="B678" s="178"/>
      <c r="C678" s="179"/>
      <c r="D678" s="180"/>
      <c r="E678" s="181"/>
      <c r="F678" s="182"/>
      <c r="G678" s="1" t="str">
        <f>IFERROR(IF(ventas_b_mes1255[[#This Row],[CUIT]]="","-",VLOOKUP(ventas_b_mes1255[[#This Row],[CUIT]],Lista_CUIT[#All],2,0)),"CUIT NO CARGADO")</f>
        <v>-</v>
      </c>
      <c r="H678" s="100">
        <f>ventas_b_mes1255[[#This Row],[TOTAL]]/1.21</f>
        <v>0</v>
      </c>
      <c r="I678" s="64">
        <f>ventas_b_mes1255[[#This Row],[IMPORTE NETO]]*0.21</f>
        <v>0</v>
      </c>
      <c r="J678" s="184"/>
      <c r="K678" s="184"/>
      <c r="L678" s="184"/>
      <c r="M678" s="59"/>
    </row>
    <row r="679" spans="2:13" x14ac:dyDescent="0.3">
      <c r="B679" s="178"/>
      <c r="C679" s="179"/>
      <c r="D679" s="180"/>
      <c r="E679" s="181"/>
      <c r="F679" s="182"/>
      <c r="G679" s="1" t="str">
        <f>IFERROR(IF(ventas_b_mes1255[[#This Row],[CUIT]]="","-",VLOOKUP(ventas_b_mes1255[[#This Row],[CUIT]],Lista_CUIT[#All],2,0)),"CUIT NO CARGADO")</f>
        <v>-</v>
      </c>
      <c r="H679" s="100">
        <f>ventas_b_mes1255[[#This Row],[TOTAL]]/1.21</f>
        <v>0</v>
      </c>
      <c r="I679" s="64">
        <f>ventas_b_mes1255[[#This Row],[IMPORTE NETO]]*0.21</f>
        <v>0</v>
      </c>
      <c r="J679" s="184"/>
      <c r="K679" s="184"/>
      <c r="L679" s="184"/>
      <c r="M679" s="59"/>
    </row>
    <row r="680" spans="2:13" x14ac:dyDescent="0.3">
      <c r="B680" s="178"/>
      <c r="C680" s="179"/>
      <c r="D680" s="180"/>
      <c r="E680" s="181"/>
      <c r="F680" s="182"/>
      <c r="G680" s="1" t="str">
        <f>IFERROR(IF(ventas_b_mes1255[[#This Row],[CUIT]]="","-",VLOOKUP(ventas_b_mes1255[[#This Row],[CUIT]],Lista_CUIT[#All],2,0)),"CUIT NO CARGADO")</f>
        <v>-</v>
      </c>
      <c r="H680" s="100">
        <f>ventas_b_mes1255[[#This Row],[TOTAL]]/1.21</f>
        <v>0</v>
      </c>
      <c r="I680" s="64">
        <f>ventas_b_mes1255[[#This Row],[IMPORTE NETO]]*0.21</f>
        <v>0</v>
      </c>
      <c r="J680" s="184"/>
      <c r="K680" s="184"/>
      <c r="L680" s="184"/>
      <c r="M680" s="59"/>
    </row>
    <row r="681" spans="2:13" x14ac:dyDescent="0.3">
      <c r="B681" s="178"/>
      <c r="C681" s="179"/>
      <c r="D681" s="180"/>
      <c r="E681" s="181"/>
      <c r="F681" s="182"/>
      <c r="G681" s="1" t="str">
        <f>IFERROR(IF(ventas_b_mes1255[[#This Row],[CUIT]]="","-",VLOOKUP(ventas_b_mes1255[[#This Row],[CUIT]],Lista_CUIT[#All],2,0)),"CUIT NO CARGADO")</f>
        <v>-</v>
      </c>
      <c r="H681" s="100">
        <f>ventas_b_mes1255[[#This Row],[TOTAL]]/1.21</f>
        <v>0</v>
      </c>
      <c r="I681" s="64">
        <f>ventas_b_mes1255[[#This Row],[IMPORTE NETO]]*0.21</f>
        <v>0</v>
      </c>
      <c r="J681" s="184"/>
      <c r="K681" s="184"/>
      <c r="L681" s="184"/>
      <c r="M681" s="59"/>
    </row>
    <row r="682" spans="2:13" x14ac:dyDescent="0.3">
      <c r="B682" s="178"/>
      <c r="C682" s="179"/>
      <c r="D682" s="180"/>
      <c r="E682" s="181"/>
      <c r="F682" s="182"/>
      <c r="G682" s="1" t="str">
        <f>IFERROR(IF(ventas_b_mes1255[[#This Row],[CUIT]]="","-",VLOOKUP(ventas_b_mes1255[[#This Row],[CUIT]],Lista_CUIT[#All],2,0)),"CUIT NO CARGADO")</f>
        <v>-</v>
      </c>
      <c r="H682" s="100">
        <f>ventas_b_mes1255[[#This Row],[TOTAL]]/1.21</f>
        <v>0</v>
      </c>
      <c r="I682" s="64">
        <f>ventas_b_mes1255[[#This Row],[IMPORTE NETO]]*0.21</f>
        <v>0</v>
      </c>
      <c r="J682" s="184"/>
      <c r="K682" s="184"/>
      <c r="L682" s="184"/>
      <c r="M682" s="59"/>
    </row>
    <row r="683" spans="2:13" x14ac:dyDescent="0.3">
      <c r="B683" s="178"/>
      <c r="C683" s="179"/>
      <c r="D683" s="180"/>
      <c r="E683" s="181"/>
      <c r="F683" s="182"/>
      <c r="G683" s="1" t="str">
        <f>IFERROR(IF(ventas_b_mes1255[[#This Row],[CUIT]]="","-",VLOOKUP(ventas_b_mes1255[[#This Row],[CUIT]],Lista_CUIT[#All],2,0)),"CUIT NO CARGADO")</f>
        <v>-</v>
      </c>
      <c r="H683" s="100">
        <f>ventas_b_mes1255[[#This Row],[TOTAL]]/1.21</f>
        <v>0</v>
      </c>
      <c r="I683" s="64">
        <f>ventas_b_mes1255[[#This Row],[IMPORTE NETO]]*0.21</f>
        <v>0</v>
      </c>
      <c r="J683" s="184"/>
      <c r="K683" s="184"/>
      <c r="L683" s="184"/>
      <c r="M683" s="59"/>
    </row>
    <row r="684" spans="2:13" x14ac:dyDescent="0.3">
      <c r="B684" s="178"/>
      <c r="C684" s="179"/>
      <c r="D684" s="180"/>
      <c r="E684" s="181"/>
      <c r="F684" s="182"/>
      <c r="G684" s="1" t="str">
        <f>IFERROR(IF(ventas_b_mes1255[[#This Row],[CUIT]]="","-",VLOOKUP(ventas_b_mes1255[[#This Row],[CUIT]],Lista_CUIT[#All],2,0)),"CUIT NO CARGADO")</f>
        <v>-</v>
      </c>
      <c r="H684" s="100">
        <f>ventas_b_mes1255[[#This Row],[TOTAL]]/1.21</f>
        <v>0</v>
      </c>
      <c r="I684" s="64">
        <f>ventas_b_mes1255[[#This Row],[IMPORTE NETO]]*0.21</f>
        <v>0</v>
      </c>
      <c r="J684" s="184"/>
      <c r="K684" s="184"/>
      <c r="L684" s="184"/>
      <c r="M684" s="59"/>
    </row>
    <row r="685" spans="2:13" x14ac:dyDescent="0.3">
      <c r="B685" s="178"/>
      <c r="C685" s="179"/>
      <c r="D685" s="180"/>
      <c r="E685" s="181"/>
      <c r="F685" s="182"/>
      <c r="G685" s="1" t="str">
        <f>IFERROR(IF(ventas_b_mes1255[[#This Row],[CUIT]]="","-",VLOOKUP(ventas_b_mes1255[[#This Row],[CUIT]],Lista_CUIT[#All],2,0)),"CUIT NO CARGADO")</f>
        <v>-</v>
      </c>
      <c r="H685" s="100">
        <f>ventas_b_mes1255[[#This Row],[TOTAL]]/1.21</f>
        <v>0</v>
      </c>
      <c r="I685" s="64">
        <f>ventas_b_mes1255[[#This Row],[IMPORTE NETO]]*0.21</f>
        <v>0</v>
      </c>
      <c r="J685" s="184"/>
      <c r="K685" s="184"/>
      <c r="L685" s="184"/>
      <c r="M685" s="59"/>
    </row>
    <row r="686" spans="2:13" x14ac:dyDescent="0.3">
      <c r="B686" s="178"/>
      <c r="C686" s="179"/>
      <c r="D686" s="180"/>
      <c r="E686" s="181"/>
      <c r="F686" s="182"/>
      <c r="G686" s="1" t="str">
        <f>IFERROR(IF(ventas_b_mes1255[[#This Row],[CUIT]]="","-",VLOOKUP(ventas_b_mes1255[[#This Row],[CUIT]],Lista_CUIT[#All],2,0)),"CUIT NO CARGADO")</f>
        <v>-</v>
      </c>
      <c r="H686" s="100">
        <f>ventas_b_mes1255[[#This Row],[TOTAL]]/1.21</f>
        <v>0</v>
      </c>
      <c r="I686" s="64">
        <f>ventas_b_mes1255[[#This Row],[IMPORTE NETO]]*0.21</f>
        <v>0</v>
      </c>
      <c r="J686" s="184"/>
      <c r="K686" s="184"/>
      <c r="L686" s="184"/>
      <c r="M686" s="59"/>
    </row>
    <row r="687" spans="2:13" x14ac:dyDescent="0.3">
      <c r="B687" s="178"/>
      <c r="C687" s="179"/>
      <c r="D687" s="180"/>
      <c r="E687" s="181"/>
      <c r="F687" s="182"/>
      <c r="G687" s="1" t="str">
        <f>IFERROR(IF(ventas_b_mes1255[[#This Row],[CUIT]]="","-",VLOOKUP(ventas_b_mes1255[[#This Row],[CUIT]],Lista_CUIT[#All],2,0)),"CUIT NO CARGADO")</f>
        <v>-</v>
      </c>
      <c r="H687" s="100">
        <f>ventas_b_mes1255[[#This Row],[TOTAL]]/1.21</f>
        <v>0</v>
      </c>
      <c r="I687" s="64">
        <f>ventas_b_mes1255[[#This Row],[IMPORTE NETO]]*0.21</f>
        <v>0</v>
      </c>
      <c r="J687" s="184"/>
      <c r="K687" s="184"/>
      <c r="L687" s="184"/>
      <c r="M687" s="59"/>
    </row>
    <row r="688" spans="2:13" x14ac:dyDescent="0.3">
      <c r="B688" s="178"/>
      <c r="C688" s="179"/>
      <c r="D688" s="180"/>
      <c r="E688" s="181"/>
      <c r="F688" s="182"/>
      <c r="G688" s="1" t="str">
        <f>IFERROR(IF(ventas_b_mes1255[[#This Row],[CUIT]]="","-",VLOOKUP(ventas_b_mes1255[[#This Row],[CUIT]],Lista_CUIT[#All],2,0)),"CUIT NO CARGADO")</f>
        <v>-</v>
      </c>
      <c r="H688" s="100">
        <f>ventas_b_mes1255[[#This Row],[TOTAL]]/1.21</f>
        <v>0</v>
      </c>
      <c r="I688" s="64">
        <f>ventas_b_mes1255[[#This Row],[IMPORTE NETO]]*0.21</f>
        <v>0</v>
      </c>
      <c r="J688" s="184"/>
      <c r="K688" s="184"/>
      <c r="L688" s="184"/>
      <c r="M688" s="59"/>
    </row>
    <row r="689" spans="2:13" x14ac:dyDescent="0.3">
      <c r="B689" s="178"/>
      <c r="C689" s="179"/>
      <c r="D689" s="180"/>
      <c r="E689" s="181"/>
      <c r="F689" s="182"/>
      <c r="G689" s="1" t="str">
        <f>IFERROR(IF(ventas_b_mes1255[[#This Row],[CUIT]]="","-",VLOOKUP(ventas_b_mes1255[[#This Row],[CUIT]],Lista_CUIT[#All],2,0)),"CUIT NO CARGADO")</f>
        <v>-</v>
      </c>
      <c r="H689" s="100">
        <f>ventas_b_mes1255[[#This Row],[TOTAL]]/1.21</f>
        <v>0</v>
      </c>
      <c r="I689" s="64">
        <f>ventas_b_mes1255[[#This Row],[IMPORTE NETO]]*0.21</f>
        <v>0</v>
      </c>
      <c r="J689" s="184"/>
      <c r="K689" s="184"/>
      <c r="L689" s="184"/>
      <c r="M689" s="59"/>
    </row>
    <row r="690" spans="2:13" x14ac:dyDescent="0.3">
      <c r="B690" s="178"/>
      <c r="C690" s="179"/>
      <c r="D690" s="180"/>
      <c r="E690" s="181"/>
      <c r="F690" s="182"/>
      <c r="G690" s="1" t="str">
        <f>IFERROR(IF(ventas_b_mes1255[[#This Row],[CUIT]]="","-",VLOOKUP(ventas_b_mes1255[[#This Row],[CUIT]],Lista_CUIT[#All],2,0)),"CUIT NO CARGADO")</f>
        <v>-</v>
      </c>
      <c r="H690" s="100">
        <f>ventas_b_mes1255[[#This Row],[TOTAL]]/1.21</f>
        <v>0</v>
      </c>
      <c r="I690" s="64">
        <f>ventas_b_mes1255[[#This Row],[IMPORTE NETO]]*0.21</f>
        <v>0</v>
      </c>
      <c r="J690" s="184"/>
      <c r="K690" s="184"/>
      <c r="L690" s="184"/>
      <c r="M690" s="59"/>
    </row>
    <row r="691" spans="2:13" x14ac:dyDescent="0.3">
      <c r="B691" s="178"/>
      <c r="C691" s="179"/>
      <c r="D691" s="180"/>
      <c r="E691" s="181"/>
      <c r="F691" s="182"/>
      <c r="G691" s="1" t="str">
        <f>IFERROR(IF(ventas_b_mes1255[[#This Row],[CUIT]]="","-",VLOOKUP(ventas_b_mes1255[[#This Row],[CUIT]],Lista_CUIT[#All],2,0)),"CUIT NO CARGADO")</f>
        <v>-</v>
      </c>
      <c r="H691" s="100">
        <f>ventas_b_mes1255[[#This Row],[TOTAL]]/1.21</f>
        <v>0</v>
      </c>
      <c r="I691" s="64">
        <f>ventas_b_mes1255[[#This Row],[IMPORTE NETO]]*0.21</f>
        <v>0</v>
      </c>
      <c r="J691" s="184"/>
      <c r="K691" s="184"/>
      <c r="L691" s="184"/>
      <c r="M691" s="59"/>
    </row>
    <row r="692" spans="2:13" x14ac:dyDescent="0.3">
      <c r="B692" s="178"/>
      <c r="C692" s="179"/>
      <c r="D692" s="180"/>
      <c r="E692" s="181"/>
      <c r="F692" s="182"/>
      <c r="G692" s="1" t="str">
        <f>IFERROR(IF(ventas_b_mes1255[[#This Row],[CUIT]]="","-",VLOOKUP(ventas_b_mes1255[[#This Row],[CUIT]],Lista_CUIT[#All],2,0)),"CUIT NO CARGADO")</f>
        <v>-</v>
      </c>
      <c r="H692" s="100">
        <f>ventas_b_mes1255[[#This Row],[TOTAL]]/1.21</f>
        <v>0</v>
      </c>
      <c r="I692" s="64">
        <f>ventas_b_mes1255[[#This Row],[IMPORTE NETO]]*0.21</f>
        <v>0</v>
      </c>
      <c r="J692" s="184"/>
      <c r="K692" s="184"/>
      <c r="L692" s="184"/>
      <c r="M692" s="59"/>
    </row>
    <row r="693" spans="2:13" x14ac:dyDescent="0.3">
      <c r="B693" s="178"/>
      <c r="C693" s="179"/>
      <c r="D693" s="180"/>
      <c r="E693" s="181"/>
      <c r="F693" s="182"/>
      <c r="G693" s="1" t="str">
        <f>IFERROR(IF(ventas_b_mes1255[[#This Row],[CUIT]]="","-",VLOOKUP(ventas_b_mes1255[[#This Row],[CUIT]],Lista_CUIT[#All],2,0)),"CUIT NO CARGADO")</f>
        <v>-</v>
      </c>
      <c r="H693" s="100">
        <f>ventas_b_mes1255[[#This Row],[TOTAL]]/1.21</f>
        <v>0</v>
      </c>
      <c r="I693" s="64">
        <f>ventas_b_mes1255[[#This Row],[IMPORTE NETO]]*0.21</f>
        <v>0</v>
      </c>
      <c r="J693" s="184"/>
      <c r="K693" s="184"/>
      <c r="L693" s="184"/>
      <c r="M693" s="59"/>
    </row>
    <row r="694" spans="2:13" x14ac:dyDescent="0.3">
      <c r="B694" s="178"/>
      <c r="C694" s="179"/>
      <c r="D694" s="180"/>
      <c r="E694" s="181"/>
      <c r="F694" s="182"/>
      <c r="G694" s="1" t="str">
        <f>IFERROR(IF(ventas_b_mes1255[[#This Row],[CUIT]]="","-",VLOOKUP(ventas_b_mes1255[[#This Row],[CUIT]],Lista_CUIT[#All],2,0)),"CUIT NO CARGADO")</f>
        <v>-</v>
      </c>
      <c r="H694" s="100">
        <f>ventas_b_mes1255[[#This Row],[TOTAL]]/1.21</f>
        <v>0</v>
      </c>
      <c r="I694" s="64">
        <f>ventas_b_mes1255[[#This Row],[IMPORTE NETO]]*0.21</f>
        <v>0</v>
      </c>
      <c r="J694" s="184"/>
      <c r="K694" s="184"/>
      <c r="L694" s="184"/>
      <c r="M694" s="59"/>
    </row>
    <row r="695" spans="2:13" x14ac:dyDescent="0.3">
      <c r="B695" s="178"/>
      <c r="C695" s="179"/>
      <c r="D695" s="180"/>
      <c r="E695" s="181"/>
      <c r="F695" s="182"/>
      <c r="G695" s="1" t="str">
        <f>IFERROR(IF(ventas_b_mes1255[[#This Row],[CUIT]]="","-",VLOOKUP(ventas_b_mes1255[[#This Row],[CUIT]],Lista_CUIT[#All],2,0)),"CUIT NO CARGADO")</f>
        <v>-</v>
      </c>
      <c r="H695" s="100">
        <f>ventas_b_mes1255[[#This Row],[TOTAL]]/1.21</f>
        <v>0</v>
      </c>
      <c r="I695" s="64">
        <f>ventas_b_mes1255[[#This Row],[IMPORTE NETO]]*0.21</f>
        <v>0</v>
      </c>
      <c r="J695" s="184"/>
      <c r="K695" s="184"/>
      <c r="L695" s="184"/>
      <c r="M695" s="59"/>
    </row>
    <row r="696" spans="2:13" x14ac:dyDescent="0.3">
      <c r="B696" s="178"/>
      <c r="C696" s="179"/>
      <c r="D696" s="180"/>
      <c r="E696" s="181"/>
      <c r="F696" s="182"/>
      <c r="G696" s="1" t="str">
        <f>IFERROR(IF(ventas_b_mes1255[[#This Row],[CUIT]]="","-",VLOOKUP(ventas_b_mes1255[[#This Row],[CUIT]],Lista_CUIT[#All],2,0)),"CUIT NO CARGADO")</f>
        <v>-</v>
      </c>
      <c r="H696" s="100">
        <f>ventas_b_mes1255[[#This Row],[TOTAL]]/1.21</f>
        <v>0</v>
      </c>
      <c r="I696" s="64">
        <f>ventas_b_mes1255[[#This Row],[IMPORTE NETO]]*0.21</f>
        <v>0</v>
      </c>
      <c r="J696" s="184"/>
      <c r="K696" s="184"/>
      <c r="L696" s="184"/>
      <c r="M696" s="59"/>
    </row>
    <row r="697" spans="2:13" x14ac:dyDescent="0.3">
      <c r="B697" s="178"/>
      <c r="C697" s="179"/>
      <c r="D697" s="180"/>
      <c r="E697" s="181"/>
      <c r="F697" s="182"/>
      <c r="G697" s="1" t="str">
        <f>IFERROR(IF(ventas_b_mes1255[[#This Row],[CUIT]]="","-",VLOOKUP(ventas_b_mes1255[[#This Row],[CUIT]],Lista_CUIT[#All],2,0)),"CUIT NO CARGADO")</f>
        <v>-</v>
      </c>
      <c r="H697" s="100">
        <f>ventas_b_mes1255[[#This Row],[TOTAL]]/1.21</f>
        <v>0</v>
      </c>
      <c r="I697" s="64">
        <f>ventas_b_mes1255[[#This Row],[IMPORTE NETO]]*0.21</f>
        <v>0</v>
      </c>
      <c r="J697" s="184"/>
      <c r="K697" s="184"/>
      <c r="L697" s="184"/>
      <c r="M697" s="59"/>
    </row>
    <row r="698" spans="2:13" x14ac:dyDescent="0.3">
      <c r="B698" s="178"/>
      <c r="C698" s="179"/>
      <c r="D698" s="180"/>
      <c r="E698" s="181"/>
      <c r="F698" s="182"/>
      <c r="G698" s="1" t="str">
        <f>IFERROR(IF(ventas_b_mes1255[[#This Row],[CUIT]]="","-",VLOOKUP(ventas_b_mes1255[[#This Row],[CUIT]],Lista_CUIT[#All],2,0)),"CUIT NO CARGADO")</f>
        <v>-</v>
      </c>
      <c r="H698" s="100">
        <f>ventas_b_mes1255[[#This Row],[TOTAL]]/1.21</f>
        <v>0</v>
      </c>
      <c r="I698" s="64">
        <f>ventas_b_mes1255[[#This Row],[IMPORTE NETO]]*0.21</f>
        <v>0</v>
      </c>
      <c r="J698" s="184"/>
      <c r="K698" s="184"/>
      <c r="L698" s="184"/>
      <c r="M698" s="59"/>
    </row>
    <row r="699" spans="2:13" x14ac:dyDescent="0.3">
      <c r="B699" s="178"/>
      <c r="C699" s="179"/>
      <c r="D699" s="180"/>
      <c r="E699" s="181"/>
      <c r="F699" s="182"/>
      <c r="G699" s="1" t="str">
        <f>IFERROR(IF(ventas_b_mes1255[[#This Row],[CUIT]]="","-",VLOOKUP(ventas_b_mes1255[[#This Row],[CUIT]],Lista_CUIT[#All],2,0)),"CUIT NO CARGADO")</f>
        <v>-</v>
      </c>
      <c r="H699" s="100">
        <f>ventas_b_mes1255[[#This Row],[TOTAL]]/1.21</f>
        <v>0</v>
      </c>
      <c r="I699" s="64">
        <f>ventas_b_mes1255[[#This Row],[IMPORTE NETO]]*0.21</f>
        <v>0</v>
      </c>
      <c r="J699" s="184"/>
      <c r="K699" s="184"/>
      <c r="L699" s="184"/>
      <c r="M699" s="59"/>
    </row>
    <row r="700" spans="2:13" x14ac:dyDescent="0.3">
      <c r="B700" s="178"/>
      <c r="C700" s="179"/>
      <c r="D700" s="180"/>
      <c r="E700" s="181"/>
      <c r="F700" s="182"/>
      <c r="G700" s="1" t="str">
        <f>IFERROR(IF(ventas_b_mes1255[[#This Row],[CUIT]]="","-",VLOOKUP(ventas_b_mes1255[[#This Row],[CUIT]],Lista_CUIT[#All],2,0)),"CUIT NO CARGADO")</f>
        <v>-</v>
      </c>
      <c r="H700" s="100">
        <f>ventas_b_mes1255[[#This Row],[TOTAL]]/1.21</f>
        <v>0</v>
      </c>
      <c r="I700" s="64">
        <f>ventas_b_mes1255[[#This Row],[IMPORTE NETO]]*0.21</f>
        <v>0</v>
      </c>
      <c r="J700" s="184"/>
      <c r="K700" s="184"/>
      <c r="L700" s="184"/>
      <c r="M700" s="59"/>
    </row>
    <row r="701" spans="2:13" x14ac:dyDescent="0.3">
      <c r="B701" s="178"/>
      <c r="C701" s="179"/>
      <c r="D701" s="180"/>
      <c r="E701" s="181"/>
      <c r="F701" s="182"/>
      <c r="G701" s="1" t="str">
        <f>IFERROR(IF(ventas_b_mes1255[[#This Row],[CUIT]]="","-",VLOOKUP(ventas_b_mes1255[[#This Row],[CUIT]],Lista_CUIT[#All],2,0)),"CUIT NO CARGADO")</f>
        <v>-</v>
      </c>
      <c r="H701" s="100">
        <f>ventas_b_mes1255[[#This Row],[TOTAL]]/1.21</f>
        <v>0</v>
      </c>
      <c r="I701" s="64">
        <f>ventas_b_mes1255[[#This Row],[IMPORTE NETO]]*0.21</f>
        <v>0</v>
      </c>
      <c r="J701" s="184"/>
      <c r="K701" s="184"/>
      <c r="L701" s="184"/>
      <c r="M701" s="59"/>
    </row>
    <row r="702" spans="2:13" x14ac:dyDescent="0.3">
      <c r="B702" s="178"/>
      <c r="C702" s="179"/>
      <c r="D702" s="180"/>
      <c r="E702" s="181"/>
      <c r="F702" s="182"/>
      <c r="G702" s="1" t="str">
        <f>IFERROR(IF(ventas_b_mes1255[[#This Row],[CUIT]]="","-",VLOOKUP(ventas_b_mes1255[[#This Row],[CUIT]],Lista_CUIT[#All],2,0)),"CUIT NO CARGADO")</f>
        <v>-</v>
      </c>
      <c r="H702" s="100">
        <f>ventas_b_mes1255[[#This Row],[TOTAL]]/1.21</f>
        <v>0</v>
      </c>
      <c r="I702" s="64">
        <f>ventas_b_mes1255[[#This Row],[IMPORTE NETO]]*0.21</f>
        <v>0</v>
      </c>
      <c r="J702" s="184"/>
      <c r="K702" s="184"/>
      <c r="L702" s="184"/>
      <c r="M702" s="59"/>
    </row>
    <row r="703" spans="2:13" x14ac:dyDescent="0.3">
      <c r="B703" s="178"/>
      <c r="C703" s="179"/>
      <c r="D703" s="180"/>
      <c r="E703" s="181"/>
      <c r="F703" s="182"/>
      <c r="G703" s="1" t="str">
        <f>IFERROR(IF(ventas_b_mes1255[[#This Row],[CUIT]]="","-",VLOOKUP(ventas_b_mes1255[[#This Row],[CUIT]],Lista_CUIT[#All],2,0)),"CUIT NO CARGADO")</f>
        <v>-</v>
      </c>
      <c r="H703" s="100">
        <f>ventas_b_mes1255[[#This Row],[TOTAL]]/1.21</f>
        <v>0</v>
      </c>
      <c r="I703" s="64">
        <f>ventas_b_mes1255[[#This Row],[IMPORTE NETO]]*0.21</f>
        <v>0</v>
      </c>
      <c r="J703" s="184"/>
      <c r="K703" s="184"/>
      <c r="L703" s="184"/>
      <c r="M703" s="59"/>
    </row>
    <row r="704" spans="2:13" x14ac:dyDescent="0.3">
      <c r="B704" s="178"/>
      <c r="C704" s="179"/>
      <c r="D704" s="180"/>
      <c r="E704" s="181"/>
      <c r="F704" s="182"/>
      <c r="G704" s="1" t="str">
        <f>IFERROR(IF(ventas_b_mes1255[[#This Row],[CUIT]]="","-",VLOOKUP(ventas_b_mes1255[[#This Row],[CUIT]],Lista_CUIT[#All],2,0)),"CUIT NO CARGADO")</f>
        <v>-</v>
      </c>
      <c r="H704" s="100">
        <f>ventas_b_mes1255[[#This Row],[TOTAL]]/1.21</f>
        <v>0</v>
      </c>
      <c r="I704" s="64">
        <f>ventas_b_mes1255[[#This Row],[IMPORTE NETO]]*0.21</f>
        <v>0</v>
      </c>
      <c r="J704" s="184"/>
      <c r="K704" s="184"/>
      <c r="L704" s="184"/>
      <c r="M704" s="59"/>
    </row>
    <row r="705" spans="2:13" x14ac:dyDescent="0.3">
      <c r="B705" s="178"/>
      <c r="C705" s="179"/>
      <c r="D705" s="180"/>
      <c r="E705" s="181"/>
      <c r="F705" s="182"/>
      <c r="G705" s="1" t="str">
        <f>IFERROR(IF(ventas_b_mes1255[[#This Row],[CUIT]]="","-",VLOOKUP(ventas_b_mes1255[[#This Row],[CUIT]],Lista_CUIT[#All],2,0)),"CUIT NO CARGADO")</f>
        <v>-</v>
      </c>
      <c r="H705" s="100">
        <f>ventas_b_mes1255[[#This Row],[TOTAL]]/1.21</f>
        <v>0</v>
      </c>
      <c r="I705" s="64">
        <f>ventas_b_mes1255[[#This Row],[IMPORTE NETO]]*0.21</f>
        <v>0</v>
      </c>
      <c r="J705" s="184"/>
      <c r="K705" s="184"/>
      <c r="L705" s="184"/>
      <c r="M705" s="59"/>
    </row>
    <row r="706" spans="2:13" x14ac:dyDescent="0.3">
      <c r="B706" s="178"/>
      <c r="C706" s="179"/>
      <c r="D706" s="180"/>
      <c r="E706" s="181"/>
      <c r="F706" s="182"/>
      <c r="G706" s="1" t="str">
        <f>IFERROR(IF(ventas_b_mes1255[[#This Row],[CUIT]]="","-",VLOOKUP(ventas_b_mes1255[[#This Row],[CUIT]],Lista_CUIT[#All],2,0)),"CUIT NO CARGADO")</f>
        <v>-</v>
      </c>
      <c r="H706" s="100">
        <f>ventas_b_mes1255[[#This Row],[TOTAL]]/1.21</f>
        <v>0</v>
      </c>
      <c r="I706" s="64">
        <f>ventas_b_mes1255[[#This Row],[IMPORTE NETO]]*0.21</f>
        <v>0</v>
      </c>
      <c r="J706" s="184"/>
      <c r="K706" s="184"/>
      <c r="L706" s="184"/>
      <c r="M706" s="59"/>
    </row>
    <row r="707" spans="2:13" x14ac:dyDescent="0.3">
      <c r="B707" s="178"/>
      <c r="C707" s="179"/>
      <c r="D707" s="180"/>
      <c r="E707" s="181"/>
      <c r="F707" s="182"/>
      <c r="G707" s="1" t="str">
        <f>IFERROR(IF(ventas_b_mes1255[[#This Row],[CUIT]]="","-",VLOOKUP(ventas_b_mes1255[[#This Row],[CUIT]],Lista_CUIT[#All],2,0)),"CUIT NO CARGADO")</f>
        <v>-</v>
      </c>
      <c r="H707" s="100">
        <f>ventas_b_mes1255[[#This Row],[TOTAL]]/1.21</f>
        <v>0</v>
      </c>
      <c r="I707" s="64">
        <f>ventas_b_mes1255[[#This Row],[IMPORTE NETO]]*0.21</f>
        <v>0</v>
      </c>
      <c r="J707" s="184"/>
      <c r="K707" s="184"/>
      <c r="L707" s="184"/>
      <c r="M707" s="59"/>
    </row>
    <row r="708" spans="2:13" x14ac:dyDescent="0.3">
      <c r="B708" s="178"/>
      <c r="C708" s="179"/>
      <c r="D708" s="180"/>
      <c r="E708" s="181"/>
      <c r="F708" s="182"/>
      <c r="G708" s="1" t="str">
        <f>IFERROR(IF(ventas_b_mes1255[[#This Row],[CUIT]]="","-",VLOOKUP(ventas_b_mes1255[[#This Row],[CUIT]],Lista_CUIT[#All],2,0)),"CUIT NO CARGADO")</f>
        <v>-</v>
      </c>
      <c r="H708" s="100">
        <f>ventas_b_mes1255[[#This Row],[TOTAL]]/1.21</f>
        <v>0</v>
      </c>
      <c r="I708" s="64">
        <f>ventas_b_mes1255[[#This Row],[IMPORTE NETO]]*0.21</f>
        <v>0</v>
      </c>
      <c r="J708" s="184"/>
      <c r="K708" s="184"/>
      <c r="L708" s="184"/>
      <c r="M708" s="59"/>
    </row>
    <row r="709" spans="2:13" x14ac:dyDescent="0.3">
      <c r="B709" s="178"/>
      <c r="C709" s="179"/>
      <c r="D709" s="180"/>
      <c r="E709" s="181"/>
      <c r="F709" s="182"/>
      <c r="G709" s="1" t="str">
        <f>IFERROR(IF(ventas_b_mes1255[[#This Row],[CUIT]]="","-",VLOOKUP(ventas_b_mes1255[[#This Row],[CUIT]],Lista_CUIT[#All],2,0)),"CUIT NO CARGADO")</f>
        <v>-</v>
      </c>
      <c r="H709" s="100">
        <f>ventas_b_mes1255[[#This Row],[TOTAL]]/1.21</f>
        <v>0</v>
      </c>
      <c r="I709" s="64">
        <f>ventas_b_mes1255[[#This Row],[IMPORTE NETO]]*0.21</f>
        <v>0</v>
      </c>
      <c r="J709" s="184"/>
      <c r="K709" s="184"/>
      <c r="L709" s="184"/>
      <c r="M709" s="59"/>
    </row>
    <row r="710" spans="2:13" x14ac:dyDescent="0.3">
      <c r="B710" s="178"/>
      <c r="C710" s="179"/>
      <c r="D710" s="180"/>
      <c r="E710" s="181"/>
      <c r="F710" s="182"/>
      <c r="G710" s="1" t="str">
        <f>IFERROR(IF(ventas_b_mes1255[[#This Row],[CUIT]]="","-",VLOOKUP(ventas_b_mes1255[[#This Row],[CUIT]],Lista_CUIT[#All],2,0)),"CUIT NO CARGADO")</f>
        <v>-</v>
      </c>
      <c r="H710" s="100">
        <f>ventas_b_mes1255[[#This Row],[TOTAL]]/1.21</f>
        <v>0</v>
      </c>
      <c r="I710" s="64">
        <f>ventas_b_mes1255[[#This Row],[IMPORTE NETO]]*0.21</f>
        <v>0</v>
      </c>
      <c r="J710" s="184"/>
      <c r="K710" s="184"/>
      <c r="L710" s="184"/>
      <c r="M710" s="59"/>
    </row>
    <row r="711" spans="2:13" x14ac:dyDescent="0.3">
      <c r="B711" s="178"/>
      <c r="C711" s="179"/>
      <c r="D711" s="180"/>
      <c r="E711" s="181"/>
      <c r="F711" s="182"/>
      <c r="G711" s="1" t="str">
        <f>IFERROR(IF(ventas_b_mes1255[[#This Row],[CUIT]]="","-",VLOOKUP(ventas_b_mes1255[[#This Row],[CUIT]],Lista_CUIT[#All],2,0)),"CUIT NO CARGADO")</f>
        <v>-</v>
      </c>
      <c r="H711" s="100">
        <f>ventas_b_mes1255[[#This Row],[TOTAL]]/1.21</f>
        <v>0</v>
      </c>
      <c r="I711" s="64">
        <f>ventas_b_mes1255[[#This Row],[IMPORTE NETO]]*0.21</f>
        <v>0</v>
      </c>
      <c r="J711" s="184"/>
      <c r="K711" s="184"/>
      <c r="L711" s="184"/>
      <c r="M711" s="59"/>
    </row>
    <row r="712" spans="2:13" x14ac:dyDescent="0.3">
      <c r="B712" s="178"/>
      <c r="C712" s="179"/>
      <c r="D712" s="180"/>
      <c r="E712" s="181"/>
      <c r="F712" s="182"/>
      <c r="G712" s="1" t="str">
        <f>IFERROR(IF(ventas_b_mes1255[[#This Row],[CUIT]]="","-",VLOOKUP(ventas_b_mes1255[[#This Row],[CUIT]],Lista_CUIT[#All],2,0)),"CUIT NO CARGADO")</f>
        <v>-</v>
      </c>
      <c r="H712" s="100">
        <f>ventas_b_mes1255[[#This Row],[TOTAL]]/1.21</f>
        <v>0</v>
      </c>
      <c r="I712" s="64">
        <f>ventas_b_mes1255[[#This Row],[IMPORTE NETO]]*0.21</f>
        <v>0</v>
      </c>
      <c r="J712" s="184"/>
      <c r="K712" s="184"/>
      <c r="L712" s="184"/>
      <c r="M712" s="59"/>
    </row>
    <row r="713" spans="2:13" x14ac:dyDescent="0.3">
      <c r="B713" s="178"/>
      <c r="C713" s="179"/>
      <c r="D713" s="180"/>
      <c r="E713" s="181"/>
      <c r="F713" s="182"/>
      <c r="G713" s="1" t="str">
        <f>IFERROR(IF(ventas_b_mes1255[[#This Row],[CUIT]]="","-",VLOOKUP(ventas_b_mes1255[[#This Row],[CUIT]],Lista_CUIT[#All],2,0)),"CUIT NO CARGADO")</f>
        <v>-</v>
      </c>
      <c r="H713" s="100">
        <f>ventas_b_mes1255[[#This Row],[TOTAL]]/1.21</f>
        <v>0</v>
      </c>
      <c r="I713" s="64">
        <f>ventas_b_mes1255[[#This Row],[IMPORTE NETO]]*0.21</f>
        <v>0</v>
      </c>
      <c r="J713" s="184"/>
      <c r="K713" s="184"/>
      <c r="L713" s="184"/>
      <c r="M713" s="59"/>
    </row>
    <row r="714" spans="2:13" x14ac:dyDescent="0.3">
      <c r="B714" s="178"/>
      <c r="C714" s="179"/>
      <c r="D714" s="180"/>
      <c r="E714" s="181"/>
      <c r="F714" s="182"/>
      <c r="G714" s="1" t="str">
        <f>IFERROR(IF(ventas_b_mes1255[[#This Row],[CUIT]]="","-",VLOOKUP(ventas_b_mes1255[[#This Row],[CUIT]],Lista_CUIT[#All],2,0)),"CUIT NO CARGADO")</f>
        <v>-</v>
      </c>
      <c r="H714" s="100">
        <f>ventas_b_mes1255[[#This Row],[TOTAL]]/1.21</f>
        <v>0</v>
      </c>
      <c r="I714" s="64">
        <f>ventas_b_mes1255[[#This Row],[IMPORTE NETO]]*0.21</f>
        <v>0</v>
      </c>
      <c r="J714" s="184"/>
      <c r="K714" s="184"/>
      <c r="L714" s="184"/>
      <c r="M714" s="59"/>
    </row>
    <row r="715" spans="2:13" x14ac:dyDescent="0.3">
      <c r="B715" s="178"/>
      <c r="C715" s="179"/>
      <c r="D715" s="180"/>
      <c r="E715" s="181"/>
      <c r="F715" s="182"/>
      <c r="G715" s="1" t="str">
        <f>IFERROR(IF(ventas_b_mes1255[[#This Row],[CUIT]]="","-",VLOOKUP(ventas_b_mes1255[[#This Row],[CUIT]],Lista_CUIT[#All],2,0)),"CUIT NO CARGADO")</f>
        <v>-</v>
      </c>
      <c r="H715" s="100">
        <f>ventas_b_mes1255[[#This Row],[TOTAL]]/1.21</f>
        <v>0</v>
      </c>
      <c r="I715" s="64">
        <f>ventas_b_mes1255[[#This Row],[IMPORTE NETO]]*0.21</f>
        <v>0</v>
      </c>
      <c r="J715" s="184"/>
      <c r="K715" s="184"/>
      <c r="L715" s="184"/>
      <c r="M715" s="59"/>
    </row>
    <row r="716" spans="2:13" x14ac:dyDescent="0.3">
      <c r="B716" s="178"/>
      <c r="C716" s="179"/>
      <c r="D716" s="180"/>
      <c r="E716" s="181"/>
      <c r="F716" s="182"/>
      <c r="G716" s="1" t="str">
        <f>IFERROR(IF(ventas_b_mes1255[[#This Row],[CUIT]]="","-",VLOOKUP(ventas_b_mes1255[[#This Row],[CUIT]],Lista_CUIT[#All],2,0)),"CUIT NO CARGADO")</f>
        <v>-</v>
      </c>
      <c r="H716" s="100">
        <f>ventas_b_mes1255[[#This Row],[TOTAL]]/1.21</f>
        <v>0</v>
      </c>
      <c r="I716" s="64">
        <f>ventas_b_mes1255[[#This Row],[IMPORTE NETO]]*0.21</f>
        <v>0</v>
      </c>
      <c r="J716" s="184"/>
      <c r="K716" s="184"/>
      <c r="L716" s="184"/>
      <c r="M716" s="59"/>
    </row>
    <row r="717" spans="2:13" x14ac:dyDescent="0.3">
      <c r="B717" s="178"/>
      <c r="C717" s="179"/>
      <c r="D717" s="180"/>
      <c r="E717" s="181"/>
      <c r="F717" s="182"/>
      <c r="G717" s="1" t="str">
        <f>IFERROR(IF(ventas_b_mes1255[[#This Row],[CUIT]]="","-",VLOOKUP(ventas_b_mes1255[[#This Row],[CUIT]],Lista_CUIT[#All],2,0)),"CUIT NO CARGADO")</f>
        <v>-</v>
      </c>
      <c r="H717" s="100">
        <f>ventas_b_mes1255[[#This Row],[TOTAL]]/1.21</f>
        <v>0</v>
      </c>
      <c r="I717" s="64">
        <f>ventas_b_mes1255[[#This Row],[IMPORTE NETO]]*0.21</f>
        <v>0</v>
      </c>
      <c r="J717" s="184"/>
      <c r="K717" s="184"/>
      <c r="L717" s="184"/>
      <c r="M717" s="59"/>
    </row>
    <row r="718" spans="2:13" x14ac:dyDescent="0.3">
      <c r="B718" s="178"/>
      <c r="C718" s="179"/>
      <c r="D718" s="180"/>
      <c r="E718" s="181"/>
      <c r="F718" s="182"/>
      <c r="G718" s="1" t="str">
        <f>IFERROR(IF(ventas_b_mes1255[[#This Row],[CUIT]]="","-",VLOOKUP(ventas_b_mes1255[[#This Row],[CUIT]],Lista_CUIT[#All],2,0)),"CUIT NO CARGADO")</f>
        <v>-</v>
      </c>
      <c r="H718" s="100">
        <f>ventas_b_mes1255[[#This Row],[TOTAL]]/1.21</f>
        <v>0</v>
      </c>
      <c r="I718" s="64">
        <f>ventas_b_mes1255[[#This Row],[IMPORTE NETO]]*0.21</f>
        <v>0</v>
      </c>
      <c r="J718" s="184"/>
      <c r="K718" s="184"/>
      <c r="L718" s="184"/>
      <c r="M718" s="59"/>
    </row>
    <row r="719" spans="2:13" x14ac:dyDescent="0.3">
      <c r="B719" s="178"/>
      <c r="C719" s="179"/>
      <c r="D719" s="180"/>
      <c r="E719" s="181"/>
      <c r="F719" s="182"/>
      <c r="G719" s="1" t="str">
        <f>IFERROR(IF(ventas_b_mes1255[[#This Row],[CUIT]]="","-",VLOOKUP(ventas_b_mes1255[[#This Row],[CUIT]],Lista_CUIT[#All],2,0)),"CUIT NO CARGADO")</f>
        <v>-</v>
      </c>
      <c r="H719" s="100">
        <f>ventas_b_mes1255[[#This Row],[TOTAL]]/1.21</f>
        <v>0</v>
      </c>
      <c r="I719" s="64">
        <f>ventas_b_mes1255[[#This Row],[IMPORTE NETO]]*0.21</f>
        <v>0</v>
      </c>
      <c r="J719" s="184"/>
      <c r="K719" s="184"/>
      <c r="L719" s="184"/>
      <c r="M719" s="59"/>
    </row>
    <row r="720" spans="2:13" x14ac:dyDescent="0.3">
      <c r="B720" s="178"/>
      <c r="C720" s="179"/>
      <c r="D720" s="180"/>
      <c r="E720" s="181"/>
      <c r="F720" s="182"/>
      <c r="G720" s="1" t="str">
        <f>IFERROR(IF(ventas_b_mes1255[[#This Row],[CUIT]]="","-",VLOOKUP(ventas_b_mes1255[[#This Row],[CUIT]],Lista_CUIT[#All],2,0)),"CUIT NO CARGADO")</f>
        <v>-</v>
      </c>
      <c r="H720" s="100">
        <f>ventas_b_mes1255[[#This Row],[TOTAL]]/1.21</f>
        <v>0</v>
      </c>
      <c r="I720" s="64">
        <f>ventas_b_mes1255[[#This Row],[IMPORTE NETO]]*0.21</f>
        <v>0</v>
      </c>
      <c r="J720" s="184"/>
      <c r="K720" s="184"/>
      <c r="L720" s="184"/>
      <c r="M720" s="59"/>
    </row>
    <row r="721" spans="2:13" x14ac:dyDescent="0.3">
      <c r="B721" s="178"/>
      <c r="C721" s="179"/>
      <c r="D721" s="180"/>
      <c r="E721" s="181"/>
      <c r="F721" s="182"/>
      <c r="G721" s="1" t="str">
        <f>IFERROR(IF(ventas_b_mes1255[[#This Row],[CUIT]]="","-",VLOOKUP(ventas_b_mes1255[[#This Row],[CUIT]],Lista_CUIT[#All],2,0)),"CUIT NO CARGADO")</f>
        <v>-</v>
      </c>
      <c r="H721" s="100">
        <f>ventas_b_mes1255[[#This Row],[TOTAL]]/1.21</f>
        <v>0</v>
      </c>
      <c r="I721" s="64">
        <f>ventas_b_mes1255[[#This Row],[IMPORTE NETO]]*0.21</f>
        <v>0</v>
      </c>
      <c r="J721" s="184"/>
      <c r="K721" s="184"/>
      <c r="L721" s="184"/>
      <c r="M721" s="59"/>
    </row>
    <row r="722" spans="2:13" x14ac:dyDescent="0.3">
      <c r="B722" s="178"/>
      <c r="C722" s="179"/>
      <c r="D722" s="180"/>
      <c r="E722" s="181"/>
      <c r="F722" s="182"/>
      <c r="G722" s="1" t="str">
        <f>IFERROR(IF(ventas_b_mes1255[[#This Row],[CUIT]]="","-",VLOOKUP(ventas_b_mes1255[[#This Row],[CUIT]],Lista_CUIT[#All],2,0)),"CUIT NO CARGADO")</f>
        <v>-</v>
      </c>
      <c r="H722" s="100">
        <f>ventas_b_mes1255[[#This Row],[TOTAL]]/1.21</f>
        <v>0</v>
      </c>
      <c r="I722" s="64">
        <f>ventas_b_mes1255[[#This Row],[IMPORTE NETO]]*0.21</f>
        <v>0</v>
      </c>
      <c r="J722" s="184"/>
      <c r="K722" s="184"/>
      <c r="L722" s="184"/>
      <c r="M722" s="59"/>
    </row>
    <row r="723" spans="2:13" x14ac:dyDescent="0.3">
      <c r="B723" s="178"/>
      <c r="C723" s="179"/>
      <c r="D723" s="180"/>
      <c r="E723" s="181"/>
      <c r="F723" s="182"/>
      <c r="G723" s="1" t="str">
        <f>IFERROR(IF(ventas_b_mes1255[[#This Row],[CUIT]]="","-",VLOOKUP(ventas_b_mes1255[[#This Row],[CUIT]],Lista_CUIT[#All],2,0)),"CUIT NO CARGADO")</f>
        <v>-</v>
      </c>
      <c r="H723" s="100">
        <f>ventas_b_mes1255[[#This Row],[TOTAL]]/1.21</f>
        <v>0</v>
      </c>
      <c r="I723" s="64">
        <f>ventas_b_mes1255[[#This Row],[IMPORTE NETO]]*0.21</f>
        <v>0</v>
      </c>
      <c r="J723" s="184"/>
      <c r="K723" s="184"/>
      <c r="L723" s="184"/>
      <c r="M723" s="59"/>
    </row>
    <row r="724" spans="2:13" x14ac:dyDescent="0.3">
      <c r="B724" s="178"/>
      <c r="C724" s="179"/>
      <c r="D724" s="180"/>
      <c r="E724" s="181"/>
      <c r="F724" s="182"/>
      <c r="G724" s="1" t="str">
        <f>IFERROR(IF(ventas_b_mes1255[[#This Row],[CUIT]]="","-",VLOOKUP(ventas_b_mes1255[[#This Row],[CUIT]],Lista_CUIT[#All],2,0)),"CUIT NO CARGADO")</f>
        <v>-</v>
      </c>
      <c r="H724" s="100">
        <f>ventas_b_mes1255[[#This Row],[TOTAL]]/1.21</f>
        <v>0</v>
      </c>
      <c r="I724" s="64">
        <f>ventas_b_mes1255[[#This Row],[IMPORTE NETO]]*0.21</f>
        <v>0</v>
      </c>
      <c r="J724" s="184"/>
      <c r="K724" s="184"/>
      <c r="L724" s="184"/>
      <c r="M724" s="59"/>
    </row>
    <row r="725" spans="2:13" x14ac:dyDescent="0.3">
      <c r="B725" s="178"/>
      <c r="C725" s="179"/>
      <c r="D725" s="180"/>
      <c r="E725" s="181"/>
      <c r="F725" s="182"/>
      <c r="G725" s="1" t="str">
        <f>IFERROR(IF(ventas_b_mes1255[[#This Row],[CUIT]]="","-",VLOOKUP(ventas_b_mes1255[[#This Row],[CUIT]],Lista_CUIT[#All],2,0)),"CUIT NO CARGADO")</f>
        <v>-</v>
      </c>
      <c r="H725" s="100">
        <f>ventas_b_mes1255[[#This Row],[TOTAL]]/1.21</f>
        <v>0</v>
      </c>
      <c r="I725" s="64">
        <f>ventas_b_mes1255[[#This Row],[IMPORTE NETO]]*0.21</f>
        <v>0</v>
      </c>
      <c r="J725" s="184"/>
      <c r="K725" s="184"/>
      <c r="L725" s="184"/>
      <c r="M725" s="59"/>
    </row>
    <row r="726" spans="2:13" x14ac:dyDescent="0.3">
      <c r="B726" s="185"/>
      <c r="C726" s="179"/>
      <c r="D726" s="186"/>
      <c r="E726" s="187"/>
      <c r="F726" s="113"/>
      <c r="G726" s="189" t="str">
        <f>IFERROR(IF(ventas_b_mes1255[[#This Row],[CUIT]]="","-",VLOOKUP(ventas_b_mes1255[[#This Row],[CUIT]],Lista_CUIT[#All],2,0)),"CUIT NO CARGADO")</f>
        <v>-</v>
      </c>
      <c r="H726" s="100">
        <f>ventas_b_mes1255[[#This Row],[TOTAL]]/1.21</f>
        <v>0</v>
      </c>
      <c r="I726" s="64">
        <f>ventas_b_mes1255[[#This Row],[IMPORTE NETO]]*0.21</f>
        <v>0</v>
      </c>
      <c r="J726" s="192"/>
      <c r="K726" s="192"/>
      <c r="L726" s="192"/>
      <c r="M726" s="63"/>
    </row>
    <row r="727" spans="2:13" x14ac:dyDescent="0.3">
      <c r="B727" s="185"/>
      <c r="C727" s="179"/>
      <c r="D727" s="186"/>
      <c r="E727" s="187"/>
      <c r="F727" s="113"/>
      <c r="G727" s="189" t="str">
        <f>IFERROR(IF(ventas_b_mes1255[[#This Row],[CUIT]]="","-",VLOOKUP(ventas_b_mes1255[[#This Row],[CUIT]],Lista_CUIT[#All],2,0)),"CUIT NO CARGADO")</f>
        <v>-</v>
      </c>
      <c r="H727" s="100">
        <f>ventas_b_mes1255[[#This Row],[TOTAL]]/1.21</f>
        <v>0</v>
      </c>
      <c r="I727" s="64">
        <f>ventas_b_mes1255[[#This Row],[IMPORTE NETO]]*0.21</f>
        <v>0</v>
      </c>
      <c r="J727" s="192"/>
      <c r="K727" s="192"/>
      <c r="L727" s="192"/>
      <c r="M727" s="63"/>
    </row>
    <row r="728" spans="2:13" x14ac:dyDescent="0.3">
      <c r="B728" s="185"/>
      <c r="C728" s="179"/>
      <c r="D728" s="186"/>
      <c r="E728" s="187"/>
      <c r="F728" s="113"/>
      <c r="G728" s="189" t="str">
        <f>IFERROR(IF(ventas_b_mes1255[[#This Row],[CUIT]]="","-",VLOOKUP(ventas_b_mes1255[[#This Row],[CUIT]],Lista_CUIT[#All],2,0)),"CUIT NO CARGADO")</f>
        <v>-</v>
      </c>
      <c r="H728" s="100">
        <f>ventas_b_mes1255[[#This Row],[TOTAL]]/1.21</f>
        <v>0</v>
      </c>
      <c r="I728" s="64">
        <f>ventas_b_mes1255[[#This Row],[IMPORTE NETO]]*0.21</f>
        <v>0</v>
      </c>
      <c r="J728" s="192"/>
      <c r="K728" s="192"/>
      <c r="L728" s="192"/>
      <c r="M728" s="63"/>
    </row>
    <row r="729" spans="2:13" x14ac:dyDescent="0.3">
      <c r="B729" s="185"/>
      <c r="C729" s="179"/>
      <c r="D729" s="186"/>
      <c r="E729" s="187"/>
      <c r="F729" s="113"/>
      <c r="G729" s="189" t="str">
        <f>IFERROR(IF(ventas_b_mes1255[[#This Row],[CUIT]]="","-",VLOOKUP(ventas_b_mes1255[[#This Row],[CUIT]],Lista_CUIT[#All],2,0)),"CUIT NO CARGADO")</f>
        <v>-</v>
      </c>
      <c r="H729" s="100">
        <f>ventas_b_mes1255[[#This Row],[TOTAL]]/1.21</f>
        <v>0</v>
      </c>
      <c r="I729" s="64">
        <f>ventas_b_mes1255[[#This Row],[IMPORTE NETO]]*0.21</f>
        <v>0</v>
      </c>
      <c r="J729" s="192"/>
      <c r="K729" s="192"/>
      <c r="L729" s="192"/>
      <c r="M729" s="63"/>
    </row>
    <row r="730" spans="2:13" x14ac:dyDescent="0.3">
      <c r="B730" s="185"/>
      <c r="C730" s="179"/>
      <c r="D730" s="186"/>
      <c r="E730" s="187"/>
      <c r="F730" s="113"/>
      <c r="G730" s="189" t="str">
        <f>IFERROR(IF(ventas_b_mes1255[[#This Row],[CUIT]]="","-",VLOOKUP(ventas_b_mes1255[[#This Row],[CUIT]],Lista_CUIT[#All],2,0)),"CUIT NO CARGADO")</f>
        <v>-</v>
      </c>
      <c r="H730" s="100">
        <f>ventas_b_mes1255[[#This Row],[TOTAL]]/1.21</f>
        <v>0</v>
      </c>
      <c r="I730" s="64">
        <f>ventas_b_mes1255[[#This Row],[IMPORTE NETO]]*0.21</f>
        <v>0</v>
      </c>
      <c r="J730" s="192"/>
      <c r="K730" s="192"/>
      <c r="L730" s="192"/>
      <c r="M730" s="63"/>
    </row>
    <row r="731" spans="2:13" x14ac:dyDescent="0.3">
      <c r="B731" s="185"/>
      <c r="C731" s="179"/>
      <c r="D731" s="186"/>
      <c r="E731" s="187"/>
      <c r="F731" s="113"/>
      <c r="G731" s="189" t="str">
        <f>IFERROR(IF(ventas_b_mes1255[[#This Row],[CUIT]]="","-",VLOOKUP(ventas_b_mes1255[[#This Row],[CUIT]],Lista_CUIT[#All],2,0)),"CUIT NO CARGADO")</f>
        <v>-</v>
      </c>
      <c r="H731" s="100">
        <f>ventas_b_mes1255[[#This Row],[TOTAL]]/1.21</f>
        <v>0</v>
      </c>
      <c r="I731" s="64">
        <f>ventas_b_mes1255[[#This Row],[IMPORTE NETO]]*0.21</f>
        <v>0</v>
      </c>
      <c r="J731" s="192"/>
      <c r="K731" s="192"/>
      <c r="L731" s="192"/>
      <c r="M731" s="63"/>
    </row>
    <row r="732" spans="2:13" x14ac:dyDescent="0.3">
      <c r="B732" s="185"/>
      <c r="C732" s="179"/>
      <c r="D732" s="186"/>
      <c r="E732" s="187"/>
      <c r="F732" s="113"/>
      <c r="G732" s="189" t="str">
        <f>IFERROR(IF(ventas_b_mes1255[[#This Row],[CUIT]]="","-",VLOOKUP(ventas_b_mes1255[[#This Row],[CUIT]],Lista_CUIT[#All],2,0)),"CUIT NO CARGADO")</f>
        <v>-</v>
      </c>
      <c r="H732" s="100">
        <f>ventas_b_mes1255[[#This Row],[TOTAL]]/1.21</f>
        <v>0</v>
      </c>
      <c r="I732" s="64">
        <f>ventas_b_mes1255[[#This Row],[IMPORTE NETO]]*0.21</f>
        <v>0</v>
      </c>
      <c r="J732" s="192"/>
      <c r="K732" s="192"/>
      <c r="L732" s="192"/>
      <c r="M732" s="63"/>
    </row>
    <row r="733" spans="2:13" x14ac:dyDescent="0.3">
      <c r="B733" s="178"/>
      <c r="C733" s="179"/>
      <c r="D733" s="180"/>
      <c r="E733" s="181"/>
      <c r="F733" s="113"/>
      <c r="G733" s="1" t="str">
        <f>IFERROR(IF(ventas_b_mes1255[[#This Row],[CUIT]]="","-",VLOOKUP(ventas_b_mes1255[[#This Row],[CUIT]],Lista_CUIT[#All],2,0)),"CUIT NO CARGADO")</f>
        <v>-</v>
      </c>
      <c r="H733" s="100">
        <f>ventas_b_mes1255[[#This Row],[TOTAL]]/1.21</f>
        <v>0</v>
      </c>
      <c r="I733" s="64">
        <f>ventas_b_mes1255[[#This Row],[IMPORTE NETO]]*0.21</f>
        <v>0</v>
      </c>
      <c r="J733" s="184"/>
      <c r="K733" s="184"/>
      <c r="L733" s="184"/>
      <c r="M733" s="59"/>
    </row>
    <row r="734" spans="2:13" x14ac:dyDescent="0.3">
      <c r="B734" s="178"/>
      <c r="C734" s="179"/>
      <c r="D734" s="180"/>
      <c r="E734" s="181"/>
      <c r="F734" s="113"/>
      <c r="G734" s="1" t="str">
        <f>IFERROR(IF(ventas_b_mes1255[[#This Row],[CUIT]]="","-",VLOOKUP(ventas_b_mes1255[[#This Row],[CUIT]],Lista_CUIT[#All],2,0)),"CUIT NO CARGADO")</f>
        <v>-</v>
      </c>
      <c r="H734" s="100">
        <f>ventas_b_mes1255[[#This Row],[TOTAL]]/1.21</f>
        <v>0</v>
      </c>
      <c r="I734" s="64">
        <f>ventas_b_mes1255[[#This Row],[IMPORTE NETO]]*0.21</f>
        <v>0</v>
      </c>
      <c r="J734" s="184"/>
      <c r="K734" s="184"/>
      <c r="L734" s="184"/>
      <c r="M734" s="59"/>
    </row>
    <row r="735" spans="2:13" x14ac:dyDescent="0.3">
      <c r="B735" s="178"/>
      <c r="C735" s="179"/>
      <c r="D735" s="180"/>
      <c r="E735" s="181"/>
      <c r="F735" s="113"/>
      <c r="G735" s="1" t="str">
        <f>IFERROR(IF(ventas_b_mes1255[[#This Row],[CUIT]]="","-",VLOOKUP(ventas_b_mes1255[[#This Row],[CUIT]],Lista_CUIT[#All],2,0)),"CUIT NO CARGADO")</f>
        <v>-</v>
      </c>
      <c r="H735" s="100">
        <f>ventas_b_mes1255[[#This Row],[TOTAL]]/1.21</f>
        <v>0</v>
      </c>
      <c r="I735" s="64">
        <f>ventas_b_mes1255[[#This Row],[IMPORTE NETO]]*0.21</f>
        <v>0</v>
      </c>
      <c r="J735" s="184"/>
      <c r="K735" s="184"/>
      <c r="L735" s="184"/>
      <c r="M735" s="59"/>
    </row>
    <row r="736" spans="2:13" x14ac:dyDescent="0.3">
      <c r="B736" s="178"/>
      <c r="C736" s="179"/>
      <c r="D736" s="180"/>
      <c r="E736" s="181"/>
      <c r="F736" s="113"/>
      <c r="G736" s="1" t="str">
        <f>IFERROR(IF(ventas_b_mes1255[[#This Row],[CUIT]]="","-",VLOOKUP(ventas_b_mes1255[[#This Row],[CUIT]],Lista_CUIT[#All],2,0)),"CUIT NO CARGADO")</f>
        <v>-</v>
      </c>
      <c r="H736" s="100">
        <f>ventas_b_mes1255[[#This Row],[TOTAL]]/1.21</f>
        <v>0</v>
      </c>
      <c r="I736" s="64">
        <f>ventas_b_mes1255[[#This Row],[IMPORTE NETO]]*0.21</f>
        <v>0</v>
      </c>
      <c r="J736" s="184"/>
      <c r="K736" s="184"/>
      <c r="L736" s="184"/>
      <c r="M736" s="59"/>
    </row>
    <row r="737" spans="2:13" x14ac:dyDescent="0.3">
      <c r="B737" s="178"/>
      <c r="C737" s="179"/>
      <c r="D737" s="180"/>
      <c r="E737" s="181"/>
      <c r="F737" s="113"/>
      <c r="G737" s="1" t="str">
        <f>IFERROR(IF(ventas_b_mes1255[[#This Row],[CUIT]]="","-",VLOOKUP(ventas_b_mes1255[[#This Row],[CUIT]],Lista_CUIT[#All],2,0)),"CUIT NO CARGADO")</f>
        <v>-</v>
      </c>
      <c r="H737" s="100">
        <f>ventas_b_mes1255[[#This Row],[TOTAL]]/1.21</f>
        <v>0</v>
      </c>
      <c r="I737" s="64">
        <f>ventas_b_mes1255[[#This Row],[IMPORTE NETO]]*0.21</f>
        <v>0</v>
      </c>
      <c r="J737" s="184"/>
      <c r="K737" s="184"/>
      <c r="L737" s="184"/>
      <c r="M737" s="59"/>
    </row>
    <row r="738" spans="2:13" x14ac:dyDescent="0.3">
      <c r="B738" s="178"/>
      <c r="C738" s="179"/>
      <c r="D738" s="180"/>
      <c r="E738" s="181"/>
      <c r="F738" s="113"/>
      <c r="G738" s="1" t="str">
        <f>IFERROR(IF(ventas_b_mes1255[[#This Row],[CUIT]]="","-",VLOOKUP(ventas_b_mes1255[[#This Row],[CUIT]],Lista_CUIT[#All],2,0)),"CUIT NO CARGADO")</f>
        <v>-</v>
      </c>
      <c r="H738" s="100">
        <f>ventas_b_mes1255[[#This Row],[TOTAL]]/1.21</f>
        <v>0</v>
      </c>
      <c r="I738" s="64">
        <f>ventas_b_mes1255[[#This Row],[IMPORTE NETO]]*0.21</f>
        <v>0</v>
      </c>
      <c r="J738" s="184"/>
      <c r="K738" s="184"/>
      <c r="L738" s="184"/>
      <c r="M738" s="59"/>
    </row>
    <row r="739" spans="2:13" x14ac:dyDescent="0.3">
      <c r="B739" s="178"/>
      <c r="C739" s="179"/>
      <c r="D739" s="180"/>
      <c r="E739" s="181"/>
      <c r="F739" s="113"/>
      <c r="G739" s="1" t="str">
        <f>IFERROR(IF(ventas_b_mes1255[[#This Row],[CUIT]]="","-",VLOOKUP(ventas_b_mes1255[[#This Row],[CUIT]],Lista_CUIT[#All],2,0)),"CUIT NO CARGADO")</f>
        <v>-</v>
      </c>
      <c r="H739" s="100">
        <f>ventas_b_mes1255[[#This Row],[TOTAL]]/1.21</f>
        <v>0</v>
      </c>
      <c r="I739" s="64">
        <f>ventas_b_mes1255[[#This Row],[IMPORTE NETO]]*0.21</f>
        <v>0</v>
      </c>
      <c r="J739" s="184"/>
      <c r="K739" s="184"/>
      <c r="L739" s="184"/>
      <c r="M739" s="59"/>
    </row>
    <row r="740" spans="2:13" x14ac:dyDescent="0.3">
      <c r="B740" s="178"/>
      <c r="C740" s="179"/>
      <c r="D740" s="180"/>
      <c r="E740" s="181"/>
      <c r="F740" s="113"/>
      <c r="G740" s="1" t="str">
        <f>IFERROR(IF(ventas_b_mes1255[[#This Row],[CUIT]]="","-",VLOOKUP(ventas_b_mes1255[[#This Row],[CUIT]],Lista_CUIT[#All],2,0)),"CUIT NO CARGADO")</f>
        <v>-</v>
      </c>
      <c r="H740" s="100">
        <f>ventas_b_mes1255[[#This Row],[TOTAL]]/1.21</f>
        <v>0</v>
      </c>
      <c r="I740" s="64">
        <f>ventas_b_mes1255[[#This Row],[IMPORTE NETO]]*0.21</f>
        <v>0</v>
      </c>
      <c r="J740" s="184"/>
      <c r="K740" s="184"/>
      <c r="L740" s="184"/>
      <c r="M740" s="59"/>
    </row>
    <row r="741" spans="2:13" x14ac:dyDescent="0.3">
      <c r="B741" s="178"/>
      <c r="C741" s="179"/>
      <c r="D741" s="180"/>
      <c r="E741" s="181"/>
      <c r="F741" s="113"/>
      <c r="G741" s="1" t="str">
        <f>IFERROR(IF(ventas_b_mes1255[[#This Row],[CUIT]]="","-",VLOOKUP(ventas_b_mes1255[[#This Row],[CUIT]],Lista_CUIT[#All],2,0)),"CUIT NO CARGADO")</f>
        <v>-</v>
      </c>
      <c r="H741" s="100">
        <f>ventas_b_mes1255[[#This Row],[TOTAL]]/1.21</f>
        <v>0</v>
      </c>
      <c r="I741" s="64">
        <f>ventas_b_mes1255[[#This Row],[IMPORTE NETO]]*0.21</f>
        <v>0</v>
      </c>
      <c r="J741" s="184"/>
      <c r="K741" s="184"/>
      <c r="L741" s="184"/>
      <c r="M741" s="59"/>
    </row>
    <row r="742" spans="2:13" x14ac:dyDescent="0.3">
      <c r="B742" s="178"/>
      <c r="C742" s="179"/>
      <c r="D742" s="180"/>
      <c r="E742" s="181"/>
      <c r="F742" s="113"/>
      <c r="G742" s="1" t="str">
        <f>IFERROR(IF(ventas_b_mes1255[[#This Row],[CUIT]]="","-",VLOOKUP(ventas_b_mes1255[[#This Row],[CUIT]],Lista_CUIT[#All],2,0)),"CUIT NO CARGADO")</f>
        <v>-</v>
      </c>
      <c r="H742" s="100">
        <f>ventas_b_mes1255[[#This Row],[TOTAL]]/1.21</f>
        <v>0</v>
      </c>
      <c r="I742" s="64">
        <f>ventas_b_mes1255[[#This Row],[IMPORTE NETO]]*0.21</f>
        <v>0</v>
      </c>
      <c r="J742" s="184"/>
      <c r="K742" s="184"/>
      <c r="L742" s="184"/>
      <c r="M742" s="59"/>
    </row>
    <row r="743" spans="2:13" x14ac:dyDescent="0.3">
      <c r="B743" s="178"/>
      <c r="C743" s="179"/>
      <c r="D743" s="180"/>
      <c r="E743" s="181"/>
      <c r="F743" s="113"/>
      <c r="G743" s="1" t="str">
        <f>IFERROR(IF(ventas_b_mes1255[[#This Row],[CUIT]]="","-",VLOOKUP(ventas_b_mes1255[[#This Row],[CUIT]],Lista_CUIT[#All],2,0)),"CUIT NO CARGADO")</f>
        <v>-</v>
      </c>
      <c r="H743" s="100">
        <f>ventas_b_mes1255[[#This Row],[TOTAL]]/1.21</f>
        <v>0</v>
      </c>
      <c r="I743" s="64">
        <f>ventas_b_mes1255[[#This Row],[IMPORTE NETO]]*0.21</f>
        <v>0</v>
      </c>
      <c r="J743" s="184"/>
      <c r="K743" s="184"/>
      <c r="L743" s="184"/>
      <c r="M743" s="59"/>
    </row>
    <row r="744" spans="2:13" x14ac:dyDescent="0.3">
      <c r="B744" s="178"/>
      <c r="C744" s="179"/>
      <c r="D744" s="180"/>
      <c r="E744" s="181"/>
      <c r="F744" s="113"/>
      <c r="G744" s="1" t="str">
        <f>IFERROR(IF(ventas_b_mes1255[[#This Row],[CUIT]]="","-",VLOOKUP(ventas_b_mes1255[[#This Row],[CUIT]],Lista_CUIT[#All],2,0)),"CUIT NO CARGADO")</f>
        <v>-</v>
      </c>
      <c r="H744" s="100">
        <f>ventas_b_mes1255[[#This Row],[TOTAL]]/1.21</f>
        <v>0</v>
      </c>
      <c r="I744" s="64">
        <f>ventas_b_mes1255[[#This Row],[IMPORTE NETO]]*0.21</f>
        <v>0</v>
      </c>
      <c r="J744" s="184"/>
      <c r="K744" s="184"/>
      <c r="L744" s="184"/>
      <c r="M744" s="59"/>
    </row>
    <row r="745" spans="2:13" x14ac:dyDescent="0.3">
      <c r="B745" s="178"/>
      <c r="C745" s="179"/>
      <c r="D745" s="180"/>
      <c r="E745" s="181"/>
      <c r="F745" s="113"/>
      <c r="G745" s="1" t="str">
        <f>IFERROR(IF(ventas_b_mes1255[[#This Row],[CUIT]]="","-",VLOOKUP(ventas_b_mes1255[[#This Row],[CUIT]],Lista_CUIT[#All],2,0)),"CUIT NO CARGADO")</f>
        <v>-</v>
      </c>
      <c r="H745" s="100">
        <f>ventas_b_mes1255[[#This Row],[TOTAL]]/1.21</f>
        <v>0</v>
      </c>
      <c r="I745" s="64">
        <f>ventas_b_mes1255[[#This Row],[IMPORTE NETO]]*0.21</f>
        <v>0</v>
      </c>
      <c r="J745" s="184"/>
      <c r="K745" s="184"/>
      <c r="L745" s="184"/>
      <c r="M745" s="59"/>
    </row>
    <row r="746" spans="2:13" x14ac:dyDescent="0.3">
      <c r="B746" s="178"/>
      <c r="C746" s="179"/>
      <c r="D746" s="180"/>
      <c r="E746" s="181"/>
      <c r="F746" s="113"/>
      <c r="G746" s="1" t="str">
        <f>IFERROR(IF(ventas_b_mes1255[[#This Row],[CUIT]]="","-",VLOOKUP(ventas_b_mes1255[[#This Row],[CUIT]],Lista_CUIT[#All],2,0)),"CUIT NO CARGADO")</f>
        <v>-</v>
      </c>
      <c r="H746" s="100">
        <f>ventas_b_mes1255[[#This Row],[TOTAL]]/1.21</f>
        <v>0</v>
      </c>
      <c r="I746" s="64">
        <f>ventas_b_mes1255[[#This Row],[IMPORTE NETO]]*0.21</f>
        <v>0</v>
      </c>
      <c r="J746" s="184"/>
      <c r="K746" s="184"/>
      <c r="L746" s="184"/>
      <c r="M746" s="59"/>
    </row>
    <row r="747" spans="2:13" x14ac:dyDescent="0.3">
      <c r="B747" s="178"/>
      <c r="C747" s="179"/>
      <c r="D747" s="180"/>
      <c r="E747" s="181"/>
      <c r="F747" s="113"/>
      <c r="G747" s="1" t="str">
        <f>IFERROR(IF(ventas_b_mes1255[[#This Row],[CUIT]]="","-",VLOOKUP(ventas_b_mes1255[[#This Row],[CUIT]],Lista_CUIT[#All],2,0)),"CUIT NO CARGADO")</f>
        <v>-</v>
      </c>
      <c r="H747" s="100">
        <f>ventas_b_mes1255[[#This Row],[TOTAL]]/1.21</f>
        <v>0</v>
      </c>
      <c r="I747" s="64">
        <f>ventas_b_mes1255[[#This Row],[IMPORTE NETO]]*0.21</f>
        <v>0</v>
      </c>
      <c r="J747" s="184"/>
      <c r="K747" s="184"/>
      <c r="L747" s="184"/>
      <c r="M747" s="59"/>
    </row>
    <row r="748" spans="2:13" x14ac:dyDescent="0.3">
      <c r="B748" s="178"/>
      <c r="C748" s="179"/>
      <c r="D748" s="180"/>
      <c r="E748" s="181"/>
      <c r="F748" s="113"/>
      <c r="G748" s="1" t="str">
        <f>IFERROR(IF(ventas_b_mes1255[[#This Row],[CUIT]]="","-",VLOOKUP(ventas_b_mes1255[[#This Row],[CUIT]],Lista_CUIT[#All],2,0)),"CUIT NO CARGADO")</f>
        <v>-</v>
      </c>
      <c r="H748" s="100">
        <f>ventas_b_mes1255[[#This Row],[TOTAL]]/1.21</f>
        <v>0</v>
      </c>
      <c r="I748" s="64">
        <f>ventas_b_mes1255[[#This Row],[IMPORTE NETO]]*0.21</f>
        <v>0</v>
      </c>
      <c r="J748" s="184"/>
      <c r="K748" s="184"/>
      <c r="L748" s="184"/>
      <c r="M748" s="59"/>
    </row>
    <row r="749" spans="2:13" x14ac:dyDescent="0.3">
      <c r="B749" s="178"/>
      <c r="C749" s="179"/>
      <c r="D749" s="180"/>
      <c r="E749" s="181"/>
      <c r="F749" s="113"/>
      <c r="G749" s="1" t="str">
        <f>IFERROR(IF(ventas_b_mes1255[[#This Row],[CUIT]]="","-",VLOOKUP(ventas_b_mes1255[[#This Row],[CUIT]],Lista_CUIT[#All],2,0)),"CUIT NO CARGADO")</f>
        <v>-</v>
      </c>
      <c r="H749" s="100">
        <f>ventas_b_mes1255[[#This Row],[TOTAL]]/1.21</f>
        <v>0</v>
      </c>
      <c r="I749" s="64">
        <f>ventas_b_mes1255[[#This Row],[IMPORTE NETO]]*0.21</f>
        <v>0</v>
      </c>
      <c r="J749" s="184"/>
      <c r="K749" s="184"/>
      <c r="L749" s="184"/>
      <c r="M749" s="59"/>
    </row>
    <row r="750" spans="2:13" x14ac:dyDescent="0.3">
      <c r="B750" s="178"/>
      <c r="C750" s="179"/>
      <c r="D750" s="180"/>
      <c r="E750" s="181"/>
      <c r="F750" s="113"/>
      <c r="G750" s="1" t="str">
        <f>IFERROR(IF(ventas_b_mes1255[[#This Row],[CUIT]]="","-",VLOOKUP(ventas_b_mes1255[[#This Row],[CUIT]],Lista_CUIT[#All],2,0)),"CUIT NO CARGADO")</f>
        <v>-</v>
      </c>
      <c r="H750" s="100">
        <f>ventas_b_mes1255[[#This Row],[TOTAL]]/1.21</f>
        <v>0</v>
      </c>
      <c r="I750" s="64">
        <f>ventas_b_mes1255[[#This Row],[IMPORTE NETO]]*0.21</f>
        <v>0</v>
      </c>
      <c r="J750" s="184"/>
      <c r="K750" s="184"/>
      <c r="L750" s="184"/>
      <c r="M750" s="59"/>
    </row>
    <row r="751" spans="2:13" x14ac:dyDescent="0.3">
      <c r="B751" s="178"/>
      <c r="C751" s="179"/>
      <c r="D751" s="180"/>
      <c r="E751" s="181"/>
      <c r="F751" s="113"/>
      <c r="G751" s="1" t="str">
        <f>IFERROR(IF(ventas_b_mes1255[[#This Row],[CUIT]]="","-",VLOOKUP(ventas_b_mes1255[[#This Row],[CUIT]],Lista_CUIT[#All],2,0)),"CUIT NO CARGADO")</f>
        <v>-</v>
      </c>
      <c r="H751" s="100">
        <f>ventas_b_mes1255[[#This Row],[TOTAL]]/1.21</f>
        <v>0</v>
      </c>
      <c r="I751" s="64">
        <f>ventas_b_mes1255[[#This Row],[IMPORTE NETO]]*0.21</f>
        <v>0</v>
      </c>
      <c r="J751" s="184"/>
      <c r="K751" s="184"/>
      <c r="L751" s="184"/>
      <c r="M751" s="59"/>
    </row>
    <row r="752" spans="2:13" x14ac:dyDescent="0.3">
      <c r="B752" s="178"/>
      <c r="C752" s="179"/>
      <c r="D752" s="180"/>
      <c r="E752" s="181"/>
      <c r="F752" s="113"/>
      <c r="G752" s="1" t="str">
        <f>IFERROR(IF(ventas_b_mes1255[[#This Row],[CUIT]]="","-",VLOOKUP(ventas_b_mes1255[[#This Row],[CUIT]],Lista_CUIT[#All],2,0)),"CUIT NO CARGADO")</f>
        <v>-</v>
      </c>
      <c r="H752" s="100">
        <f>ventas_b_mes1255[[#This Row],[TOTAL]]/1.21</f>
        <v>0</v>
      </c>
      <c r="I752" s="64">
        <f>ventas_b_mes1255[[#This Row],[IMPORTE NETO]]*0.21</f>
        <v>0</v>
      </c>
      <c r="J752" s="184"/>
      <c r="K752" s="184"/>
      <c r="L752" s="184"/>
      <c r="M752" s="59"/>
    </row>
    <row r="753" spans="2:13" x14ac:dyDescent="0.3">
      <c r="B753" s="178"/>
      <c r="C753" s="179"/>
      <c r="D753" s="180"/>
      <c r="E753" s="181"/>
      <c r="F753" s="113"/>
      <c r="G753" s="1" t="str">
        <f>IFERROR(IF(ventas_b_mes1255[[#This Row],[CUIT]]="","-",VLOOKUP(ventas_b_mes1255[[#This Row],[CUIT]],Lista_CUIT[#All],2,0)),"CUIT NO CARGADO")</f>
        <v>-</v>
      </c>
      <c r="H753" s="100">
        <f>ventas_b_mes1255[[#This Row],[TOTAL]]/1.21</f>
        <v>0</v>
      </c>
      <c r="I753" s="64">
        <f>ventas_b_mes1255[[#This Row],[IMPORTE NETO]]*0.21</f>
        <v>0</v>
      </c>
      <c r="J753" s="184"/>
      <c r="K753" s="184"/>
      <c r="L753" s="184"/>
      <c r="M753" s="59"/>
    </row>
    <row r="754" spans="2:13" x14ac:dyDescent="0.3">
      <c r="B754" s="178"/>
      <c r="C754" s="179"/>
      <c r="D754" s="180"/>
      <c r="E754" s="181"/>
      <c r="F754" s="113"/>
      <c r="G754" s="1" t="str">
        <f>IFERROR(IF(ventas_b_mes1255[[#This Row],[CUIT]]="","-",VLOOKUP(ventas_b_mes1255[[#This Row],[CUIT]],Lista_CUIT[#All],2,0)),"CUIT NO CARGADO")</f>
        <v>-</v>
      </c>
      <c r="H754" s="100">
        <f>ventas_b_mes1255[[#This Row],[TOTAL]]/1.21</f>
        <v>0</v>
      </c>
      <c r="I754" s="64">
        <f>ventas_b_mes1255[[#This Row],[IMPORTE NETO]]*0.21</f>
        <v>0</v>
      </c>
      <c r="J754" s="184"/>
      <c r="K754" s="184"/>
      <c r="L754" s="184"/>
      <c r="M754" s="59"/>
    </row>
    <row r="755" spans="2:13" x14ac:dyDescent="0.3">
      <c r="B755" s="178"/>
      <c r="C755" s="179"/>
      <c r="D755" s="180"/>
      <c r="E755" s="181"/>
      <c r="F755" s="113"/>
      <c r="G755" s="1" t="str">
        <f>IFERROR(IF(ventas_b_mes1255[[#This Row],[CUIT]]="","-",VLOOKUP(ventas_b_mes1255[[#This Row],[CUIT]],Lista_CUIT[#All],2,0)),"CUIT NO CARGADO")</f>
        <v>-</v>
      </c>
      <c r="H755" s="100">
        <f>ventas_b_mes1255[[#This Row],[TOTAL]]/1.21</f>
        <v>0</v>
      </c>
      <c r="I755" s="64">
        <f>ventas_b_mes1255[[#This Row],[IMPORTE NETO]]*0.21</f>
        <v>0</v>
      </c>
      <c r="J755" s="184"/>
      <c r="K755" s="184"/>
      <c r="L755" s="184"/>
      <c r="M755" s="59"/>
    </row>
    <row r="756" spans="2:13" x14ac:dyDescent="0.3">
      <c r="B756" s="178"/>
      <c r="C756" s="179"/>
      <c r="D756" s="180"/>
      <c r="E756" s="181"/>
      <c r="F756" s="113"/>
      <c r="G756" s="1" t="str">
        <f>IFERROR(IF(ventas_b_mes1255[[#This Row],[CUIT]]="","-",VLOOKUP(ventas_b_mes1255[[#This Row],[CUIT]],Lista_CUIT[#All],2,0)),"CUIT NO CARGADO")</f>
        <v>-</v>
      </c>
      <c r="H756" s="100">
        <f>ventas_b_mes1255[[#This Row],[TOTAL]]/1.21</f>
        <v>0</v>
      </c>
      <c r="I756" s="64">
        <f>ventas_b_mes1255[[#This Row],[IMPORTE NETO]]*0.21</f>
        <v>0</v>
      </c>
      <c r="J756" s="184"/>
      <c r="K756" s="184"/>
      <c r="L756" s="184"/>
      <c r="M756" s="59"/>
    </row>
    <row r="757" spans="2:13" x14ac:dyDescent="0.3">
      <c r="B757" s="178"/>
      <c r="C757" s="179"/>
      <c r="D757" s="180"/>
      <c r="E757" s="181"/>
      <c r="F757" s="113"/>
      <c r="G757" s="1" t="str">
        <f>IFERROR(IF(ventas_b_mes1255[[#This Row],[CUIT]]="","-",VLOOKUP(ventas_b_mes1255[[#This Row],[CUIT]],Lista_CUIT[#All],2,0)),"CUIT NO CARGADO")</f>
        <v>-</v>
      </c>
      <c r="H757" s="100">
        <f>ventas_b_mes1255[[#This Row],[TOTAL]]/1.21</f>
        <v>0</v>
      </c>
      <c r="I757" s="64">
        <f>ventas_b_mes1255[[#This Row],[IMPORTE NETO]]*0.21</f>
        <v>0</v>
      </c>
      <c r="J757" s="184"/>
      <c r="K757" s="184"/>
      <c r="L757" s="184"/>
      <c r="M757" s="59"/>
    </row>
    <row r="758" spans="2:13" x14ac:dyDescent="0.3">
      <c r="B758" s="178"/>
      <c r="C758" s="179"/>
      <c r="D758" s="180"/>
      <c r="E758" s="181"/>
      <c r="F758" s="113"/>
      <c r="G758" s="1" t="str">
        <f>IFERROR(IF(ventas_b_mes1255[[#This Row],[CUIT]]="","-",VLOOKUP(ventas_b_mes1255[[#This Row],[CUIT]],Lista_CUIT[#All],2,0)),"CUIT NO CARGADO")</f>
        <v>-</v>
      </c>
      <c r="H758" s="100">
        <f>ventas_b_mes1255[[#This Row],[TOTAL]]/1.21</f>
        <v>0</v>
      </c>
      <c r="I758" s="64">
        <f>ventas_b_mes1255[[#This Row],[IMPORTE NETO]]*0.21</f>
        <v>0</v>
      </c>
      <c r="J758" s="184"/>
      <c r="K758" s="184"/>
      <c r="L758" s="184"/>
      <c r="M758" s="59"/>
    </row>
    <row r="759" spans="2:13" x14ac:dyDescent="0.3">
      <c r="B759" s="178"/>
      <c r="C759" s="179"/>
      <c r="D759" s="180"/>
      <c r="E759" s="181"/>
      <c r="F759" s="113"/>
      <c r="G759" s="1" t="str">
        <f>IFERROR(IF(ventas_b_mes1255[[#This Row],[CUIT]]="","-",VLOOKUP(ventas_b_mes1255[[#This Row],[CUIT]],Lista_CUIT[#All],2,0)),"CUIT NO CARGADO")</f>
        <v>-</v>
      </c>
      <c r="H759" s="100">
        <f>ventas_b_mes1255[[#This Row],[TOTAL]]/1.21</f>
        <v>0</v>
      </c>
      <c r="I759" s="64">
        <f>ventas_b_mes1255[[#This Row],[IMPORTE NETO]]*0.21</f>
        <v>0</v>
      </c>
      <c r="J759" s="184"/>
      <c r="K759" s="184"/>
      <c r="L759" s="184"/>
      <c r="M759" s="59"/>
    </row>
    <row r="760" spans="2:13" x14ac:dyDescent="0.3">
      <c r="B760" s="178"/>
      <c r="C760" s="179"/>
      <c r="D760" s="180"/>
      <c r="E760" s="181"/>
      <c r="F760" s="113"/>
      <c r="G760" s="1" t="str">
        <f>IFERROR(IF(ventas_b_mes1255[[#This Row],[CUIT]]="","-",VLOOKUP(ventas_b_mes1255[[#This Row],[CUIT]],Lista_CUIT[#All],2,0)),"CUIT NO CARGADO")</f>
        <v>-</v>
      </c>
      <c r="H760" s="100">
        <f>ventas_b_mes1255[[#This Row],[TOTAL]]/1.21</f>
        <v>0</v>
      </c>
      <c r="I760" s="64">
        <f>ventas_b_mes1255[[#This Row],[IMPORTE NETO]]*0.21</f>
        <v>0</v>
      </c>
      <c r="J760" s="184"/>
      <c r="K760" s="184"/>
      <c r="L760" s="184"/>
      <c r="M760" s="59"/>
    </row>
    <row r="761" spans="2:13" x14ac:dyDescent="0.3">
      <c r="B761" s="178"/>
      <c r="C761" s="179"/>
      <c r="D761" s="180"/>
      <c r="E761" s="181"/>
      <c r="F761" s="113"/>
      <c r="G761" s="1" t="str">
        <f>IFERROR(IF(ventas_b_mes1255[[#This Row],[CUIT]]="","-",VLOOKUP(ventas_b_mes1255[[#This Row],[CUIT]],Lista_CUIT[#All],2,0)),"CUIT NO CARGADO")</f>
        <v>-</v>
      </c>
      <c r="H761" s="100">
        <f>ventas_b_mes1255[[#This Row],[TOTAL]]/1.21</f>
        <v>0</v>
      </c>
      <c r="I761" s="64">
        <f>ventas_b_mes1255[[#This Row],[IMPORTE NETO]]*0.21</f>
        <v>0</v>
      </c>
      <c r="J761" s="184"/>
      <c r="K761" s="184"/>
      <c r="L761" s="184"/>
      <c r="M761" s="59"/>
    </row>
    <row r="762" spans="2:13" x14ac:dyDescent="0.3">
      <c r="B762" s="178"/>
      <c r="C762" s="179"/>
      <c r="D762" s="180"/>
      <c r="E762" s="181"/>
      <c r="F762" s="113"/>
      <c r="G762" s="1" t="str">
        <f>IFERROR(IF(ventas_b_mes1255[[#This Row],[CUIT]]="","-",VLOOKUP(ventas_b_mes1255[[#This Row],[CUIT]],Lista_CUIT[#All],2,0)),"CUIT NO CARGADO")</f>
        <v>-</v>
      </c>
      <c r="H762" s="100">
        <f>ventas_b_mes1255[[#This Row],[TOTAL]]/1.21</f>
        <v>0</v>
      </c>
      <c r="I762" s="64">
        <f>ventas_b_mes1255[[#This Row],[IMPORTE NETO]]*0.21</f>
        <v>0</v>
      </c>
      <c r="J762" s="184"/>
      <c r="K762" s="184"/>
      <c r="L762" s="184"/>
      <c r="M762" s="59"/>
    </row>
    <row r="763" spans="2:13" x14ac:dyDescent="0.3">
      <c r="B763" s="178"/>
      <c r="C763" s="179"/>
      <c r="D763" s="180"/>
      <c r="E763" s="181"/>
      <c r="F763" s="113"/>
      <c r="G763" s="1" t="str">
        <f>IFERROR(IF(ventas_b_mes1255[[#This Row],[CUIT]]="","-",VLOOKUP(ventas_b_mes1255[[#This Row],[CUIT]],Lista_CUIT[#All],2,0)),"CUIT NO CARGADO")</f>
        <v>-</v>
      </c>
      <c r="H763" s="100">
        <f>ventas_b_mes1255[[#This Row],[TOTAL]]/1.21</f>
        <v>0</v>
      </c>
      <c r="I763" s="64">
        <f>ventas_b_mes1255[[#This Row],[IMPORTE NETO]]*0.21</f>
        <v>0</v>
      </c>
      <c r="J763" s="184"/>
      <c r="K763" s="184"/>
      <c r="L763" s="184"/>
      <c r="M763" s="59"/>
    </row>
    <row r="764" spans="2:13" x14ac:dyDescent="0.3">
      <c r="B764" s="178"/>
      <c r="C764" s="179"/>
      <c r="D764" s="180"/>
      <c r="E764" s="181"/>
      <c r="F764" s="113"/>
      <c r="G764" s="1" t="str">
        <f>IFERROR(IF(ventas_b_mes1255[[#This Row],[CUIT]]="","-",VLOOKUP(ventas_b_mes1255[[#This Row],[CUIT]],Lista_CUIT[#All],2,0)),"CUIT NO CARGADO")</f>
        <v>-</v>
      </c>
      <c r="H764" s="100">
        <f>ventas_b_mes1255[[#This Row],[TOTAL]]/1.21</f>
        <v>0</v>
      </c>
      <c r="I764" s="64">
        <f>ventas_b_mes1255[[#This Row],[IMPORTE NETO]]*0.21</f>
        <v>0</v>
      </c>
      <c r="J764" s="184"/>
      <c r="K764" s="184"/>
      <c r="L764" s="184"/>
      <c r="M764" s="59"/>
    </row>
    <row r="765" spans="2:13" x14ac:dyDescent="0.3">
      <c r="B765" s="178"/>
      <c r="C765" s="179"/>
      <c r="D765" s="180"/>
      <c r="E765" s="181"/>
      <c r="F765" s="113"/>
      <c r="G765" s="1" t="str">
        <f>IFERROR(IF(ventas_b_mes1255[[#This Row],[CUIT]]="","-",VLOOKUP(ventas_b_mes1255[[#This Row],[CUIT]],Lista_CUIT[#All],2,0)),"CUIT NO CARGADO")</f>
        <v>-</v>
      </c>
      <c r="H765" s="100">
        <f>ventas_b_mes1255[[#This Row],[TOTAL]]/1.21</f>
        <v>0</v>
      </c>
      <c r="I765" s="64">
        <f>ventas_b_mes1255[[#This Row],[IMPORTE NETO]]*0.21</f>
        <v>0</v>
      </c>
      <c r="J765" s="184"/>
      <c r="K765" s="184"/>
      <c r="L765" s="184"/>
      <c r="M765" s="59"/>
    </row>
    <row r="766" spans="2:13" x14ac:dyDescent="0.3">
      <c r="B766" s="178"/>
      <c r="C766" s="179"/>
      <c r="D766" s="180"/>
      <c r="E766" s="181"/>
      <c r="F766" s="113"/>
      <c r="G766" s="1" t="str">
        <f>IFERROR(IF(ventas_b_mes1255[[#This Row],[CUIT]]="","-",VLOOKUP(ventas_b_mes1255[[#This Row],[CUIT]],Lista_CUIT[#All],2,0)),"CUIT NO CARGADO")</f>
        <v>-</v>
      </c>
      <c r="H766" s="100">
        <f>ventas_b_mes1255[[#This Row],[TOTAL]]/1.21</f>
        <v>0</v>
      </c>
      <c r="I766" s="64">
        <f>ventas_b_mes1255[[#This Row],[IMPORTE NETO]]*0.21</f>
        <v>0</v>
      </c>
      <c r="J766" s="184"/>
      <c r="K766" s="184"/>
      <c r="L766" s="184"/>
      <c r="M766" s="59"/>
    </row>
    <row r="767" spans="2:13" x14ac:dyDescent="0.3">
      <c r="B767" s="178"/>
      <c r="C767" s="179"/>
      <c r="D767" s="180"/>
      <c r="E767" s="181"/>
      <c r="F767" s="113"/>
      <c r="G767" s="1" t="str">
        <f>IFERROR(IF(ventas_b_mes1255[[#This Row],[CUIT]]="","-",VLOOKUP(ventas_b_mes1255[[#This Row],[CUIT]],Lista_CUIT[#All],2,0)),"CUIT NO CARGADO")</f>
        <v>-</v>
      </c>
      <c r="H767" s="100">
        <f>ventas_b_mes1255[[#This Row],[TOTAL]]/1.21</f>
        <v>0</v>
      </c>
      <c r="I767" s="64">
        <f>ventas_b_mes1255[[#This Row],[IMPORTE NETO]]*0.21</f>
        <v>0</v>
      </c>
      <c r="J767" s="184"/>
      <c r="K767" s="184"/>
      <c r="L767" s="184"/>
      <c r="M767" s="59"/>
    </row>
    <row r="768" spans="2:13" x14ac:dyDescent="0.3">
      <c r="B768" s="178"/>
      <c r="C768" s="179"/>
      <c r="D768" s="180"/>
      <c r="E768" s="181"/>
      <c r="F768" s="113"/>
      <c r="G768" s="1" t="str">
        <f>IFERROR(IF(ventas_b_mes1255[[#This Row],[CUIT]]="","-",VLOOKUP(ventas_b_mes1255[[#This Row],[CUIT]],Lista_CUIT[#All],2,0)),"CUIT NO CARGADO")</f>
        <v>-</v>
      </c>
      <c r="H768" s="100">
        <f>ventas_b_mes1255[[#This Row],[TOTAL]]/1.21</f>
        <v>0</v>
      </c>
      <c r="I768" s="64">
        <f>ventas_b_mes1255[[#This Row],[IMPORTE NETO]]*0.21</f>
        <v>0</v>
      </c>
      <c r="J768" s="184"/>
      <c r="K768" s="184"/>
      <c r="L768" s="184"/>
      <c r="M768" s="59"/>
    </row>
    <row r="769" spans="2:13" x14ac:dyDescent="0.3">
      <c r="B769" s="178"/>
      <c r="C769" s="179"/>
      <c r="D769" s="180"/>
      <c r="E769" s="181"/>
      <c r="F769" s="113"/>
      <c r="G769" s="1" t="str">
        <f>IFERROR(IF(ventas_b_mes1255[[#This Row],[CUIT]]="","-",VLOOKUP(ventas_b_mes1255[[#This Row],[CUIT]],Lista_CUIT[#All],2,0)),"CUIT NO CARGADO")</f>
        <v>-</v>
      </c>
      <c r="H769" s="100">
        <f>ventas_b_mes1255[[#This Row],[TOTAL]]/1.21</f>
        <v>0</v>
      </c>
      <c r="I769" s="64">
        <f>ventas_b_mes1255[[#This Row],[IMPORTE NETO]]*0.21</f>
        <v>0</v>
      </c>
      <c r="J769" s="184"/>
      <c r="K769" s="184"/>
      <c r="L769" s="184"/>
      <c r="M769" s="59"/>
    </row>
    <row r="770" spans="2:13" x14ac:dyDescent="0.3">
      <c r="B770" s="178"/>
      <c r="C770" s="179"/>
      <c r="D770" s="180"/>
      <c r="E770" s="181"/>
      <c r="F770" s="113"/>
      <c r="G770" s="1" t="str">
        <f>IFERROR(IF(ventas_b_mes1255[[#This Row],[CUIT]]="","-",VLOOKUP(ventas_b_mes1255[[#This Row],[CUIT]],Lista_CUIT[#All],2,0)),"CUIT NO CARGADO")</f>
        <v>-</v>
      </c>
      <c r="H770" s="100">
        <f>ventas_b_mes1255[[#This Row],[TOTAL]]/1.21</f>
        <v>0</v>
      </c>
      <c r="I770" s="64">
        <f>ventas_b_mes1255[[#This Row],[IMPORTE NETO]]*0.21</f>
        <v>0</v>
      </c>
      <c r="J770" s="184"/>
      <c r="K770" s="184"/>
      <c r="L770" s="184"/>
      <c r="M770" s="59"/>
    </row>
    <row r="771" spans="2:13" x14ac:dyDescent="0.3">
      <c r="B771" s="178"/>
      <c r="C771" s="179"/>
      <c r="D771" s="180"/>
      <c r="E771" s="181"/>
      <c r="F771" s="113"/>
      <c r="G771" s="1" t="str">
        <f>IFERROR(IF(ventas_b_mes1255[[#This Row],[CUIT]]="","-",VLOOKUP(ventas_b_mes1255[[#This Row],[CUIT]],Lista_CUIT[#All],2,0)),"CUIT NO CARGADO")</f>
        <v>-</v>
      </c>
      <c r="H771" s="100">
        <f>ventas_b_mes1255[[#This Row],[TOTAL]]/1.21</f>
        <v>0</v>
      </c>
      <c r="I771" s="64">
        <f>ventas_b_mes1255[[#This Row],[IMPORTE NETO]]*0.21</f>
        <v>0</v>
      </c>
      <c r="J771" s="184"/>
      <c r="K771" s="184"/>
      <c r="L771" s="184"/>
      <c r="M771" s="59"/>
    </row>
    <row r="772" spans="2:13" x14ac:dyDescent="0.3">
      <c r="B772" s="178"/>
      <c r="C772" s="179"/>
      <c r="D772" s="180"/>
      <c r="E772" s="181"/>
      <c r="F772" s="113"/>
      <c r="G772" s="1" t="str">
        <f>IFERROR(IF(ventas_b_mes1255[[#This Row],[CUIT]]="","-",VLOOKUP(ventas_b_mes1255[[#This Row],[CUIT]],Lista_CUIT[#All],2,0)),"CUIT NO CARGADO")</f>
        <v>-</v>
      </c>
      <c r="H772" s="100">
        <f>ventas_b_mes1255[[#This Row],[TOTAL]]/1.21</f>
        <v>0</v>
      </c>
      <c r="I772" s="64">
        <f>ventas_b_mes1255[[#This Row],[IMPORTE NETO]]*0.21</f>
        <v>0</v>
      </c>
      <c r="J772" s="184"/>
      <c r="K772" s="184"/>
      <c r="L772" s="184"/>
      <c r="M772" s="59"/>
    </row>
    <row r="773" spans="2:13" x14ac:dyDescent="0.3">
      <c r="B773" s="178"/>
      <c r="C773" s="179"/>
      <c r="D773" s="180"/>
      <c r="E773" s="181"/>
      <c r="F773" s="113"/>
      <c r="G773" s="1" t="str">
        <f>IFERROR(IF(ventas_b_mes1255[[#This Row],[CUIT]]="","-",VLOOKUP(ventas_b_mes1255[[#This Row],[CUIT]],Lista_CUIT[#All],2,0)),"CUIT NO CARGADO")</f>
        <v>-</v>
      </c>
      <c r="H773" s="100">
        <f>ventas_b_mes1255[[#This Row],[TOTAL]]/1.21</f>
        <v>0</v>
      </c>
      <c r="I773" s="64">
        <f>ventas_b_mes1255[[#This Row],[IMPORTE NETO]]*0.21</f>
        <v>0</v>
      </c>
      <c r="J773" s="184"/>
      <c r="K773" s="184"/>
      <c r="L773" s="184"/>
      <c r="M773" s="59"/>
    </row>
    <row r="774" spans="2:13" x14ac:dyDescent="0.3">
      <c r="B774" s="178"/>
      <c r="C774" s="179"/>
      <c r="D774" s="180"/>
      <c r="E774" s="181"/>
      <c r="F774" s="113"/>
      <c r="G774" s="1" t="str">
        <f>IFERROR(IF(ventas_b_mes1255[[#This Row],[CUIT]]="","-",VLOOKUP(ventas_b_mes1255[[#This Row],[CUIT]],Lista_CUIT[#All],2,0)),"CUIT NO CARGADO")</f>
        <v>-</v>
      </c>
      <c r="H774" s="100">
        <f>ventas_b_mes1255[[#This Row],[TOTAL]]/1.21</f>
        <v>0</v>
      </c>
      <c r="I774" s="64">
        <f>ventas_b_mes1255[[#This Row],[IMPORTE NETO]]*0.21</f>
        <v>0</v>
      </c>
      <c r="J774" s="184"/>
      <c r="K774" s="184"/>
      <c r="L774" s="184"/>
      <c r="M774" s="59"/>
    </row>
    <row r="775" spans="2:13" x14ac:dyDescent="0.3">
      <c r="B775" s="178"/>
      <c r="C775" s="179"/>
      <c r="D775" s="180"/>
      <c r="E775" s="181"/>
      <c r="F775" s="113"/>
      <c r="G775" s="1" t="str">
        <f>IFERROR(IF(ventas_b_mes1255[[#This Row],[CUIT]]="","-",VLOOKUP(ventas_b_mes1255[[#This Row],[CUIT]],Lista_CUIT[#All],2,0)),"CUIT NO CARGADO")</f>
        <v>-</v>
      </c>
      <c r="H775" s="100">
        <f>ventas_b_mes1255[[#This Row],[TOTAL]]/1.21</f>
        <v>0</v>
      </c>
      <c r="I775" s="64">
        <f>ventas_b_mes1255[[#This Row],[IMPORTE NETO]]*0.21</f>
        <v>0</v>
      </c>
      <c r="J775" s="184"/>
      <c r="K775" s="184"/>
      <c r="L775" s="184"/>
      <c r="M775" s="59"/>
    </row>
    <row r="776" spans="2:13" x14ac:dyDescent="0.3">
      <c r="B776" s="178"/>
      <c r="C776" s="179"/>
      <c r="D776" s="180"/>
      <c r="E776" s="181"/>
      <c r="F776" s="113"/>
      <c r="G776" s="1" t="str">
        <f>IFERROR(IF(ventas_b_mes1255[[#This Row],[CUIT]]="","-",VLOOKUP(ventas_b_mes1255[[#This Row],[CUIT]],Lista_CUIT[#All],2,0)),"CUIT NO CARGADO")</f>
        <v>-</v>
      </c>
      <c r="H776" s="100">
        <f>ventas_b_mes1255[[#This Row],[TOTAL]]/1.21</f>
        <v>0</v>
      </c>
      <c r="I776" s="64">
        <f>ventas_b_mes1255[[#This Row],[IMPORTE NETO]]*0.21</f>
        <v>0</v>
      </c>
      <c r="J776" s="184"/>
      <c r="K776" s="184"/>
      <c r="L776" s="184"/>
      <c r="M776" s="59"/>
    </row>
    <row r="777" spans="2:13" x14ac:dyDescent="0.3">
      <c r="B777" s="178"/>
      <c r="C777" s="179"/>
      <c r="D777" s="180"/>
      <c r="E777" s="181"/>
      <c r="F777" s="113"/>
      <c r="G777" s="1" t="str">
        <f>IFERROR(IF(ventas_b_mes1255[[#This Row],[CUIT]]="","-",VLOOKUP(ventas_b_mes1255[[#This Row],[CUIT]],Lista_CUIT[#All],2,0)),"CUIT NO CARGADO")</f>
        <v>-</v>
      </c>
      <c r="H777" s="100">
        <f>ventas_b_mes1255[[#This Row],[TOTAL]]/1.21</f>
        <v>0</v>
      </c>
      <c r="I777" s="64">
        <f>ventas_b_mes1255[[#This Row],[IMPORTE NETO]]*0.21</f>
        <v>0</v>
      </c>
      <c r="J777" s="184"/>
      <c r="K777" s="184"/>
      <c r="L777" s="184"/>
      <c r="M777" s="59"/>
    </row>
    <row r="778" spans="2:13" x14ac:dyDescent="0.3">
      <c r="B778" s="178"/>
      <c r="C778" s="179"/>
      <c r="D778" s="180"/>
      <c r="E778" s="181"/>
      <c r="F778" s="113"/>
      <c r="G778" s="1" t="str">
        <f>IFERROR(IF(ventas_b_mes1255[[#This Row],[CUIT]]="","-",VLOOKUP(ventas_b_mes1255[[#This Row],[CUIT]],Lista_CUIT[#All],2,0)),"CUIT NO CARGADO")</f>
        <v>-</v>
      </c>
      <c r="H778" s="100">
        <f>ventas_b_mes1255[[#This Row],[TOTAL]]/1.21</f>
        <v>0</v>
      </c>
      <c r="I778" s="64">
        <f>ventas_b_mes1255[[#This Row],[IMPORTE NETO]]*0.21</f>
        <v>0</v>
      </c>
      <c r="J778" s="184"/>
      <c r="K778" s="184"/>
      <c r="L778" s="184"/>
      <c r="M778" s="59"/>
    </row>
    <row r="779" spans="2:13" x14ac:dyDescent="0.3">
      <c r="B779" s="178"/>
      <c r="C779" s="179"/>
      <c r="D779" s="180"/>
      <c r="E779" s="181"/>
      <c r="F779" s="113"/>
      <c r="G779" s="1" t="str">
        <f>IFERROR(IF(ventas_b_mes1255[[#This Row],[CUIT]]="","-",VLOOKUP(ventas_b_mes1255[[#This Row],[CUIT]],Lista_CUIT[#All],2,0)),"CUIT NO CARGADO")</f>
        <v>-</v>
      </c>
      <c r="H779" s="100">
        <f>ventas_b_mes1255[[#This Row],[TOTAL]]/1.21</f>
        <v>0</v>
      </c>
      <c r="I779" s="64">
        <f>ventas_b_mes1255[[#This Row],[IMPORTE NETO]]*0.21</f>
        <v>0</v>
      </c>
      <c r="J779" s="184"/>
      <c r="K779" s="184"/>
      <c r="L779" s="184"/>
      <c r="M779" s="59"/>
    </row>
    <row r="780" spans="2:13" x14ac:dyDescent="0.3">
      <c r="B780" s="178"/>
      <c r="C780" s="179"/>
      <c r="D780" s="180"/>
      <c r="E780" s="181"/>
      <c r="F780" s="113"/>
      <c r="G780" s="1" t="str">
        <f>IFERROR(IF(ventas_b_mes1255[[#This Row],[CUIT]]="","-",VLOOKUP(ventas_b_mes1255[[#This Row],[CUIT]],Lista_CUIT[#All],2,0)),"CUIT NO CARGADO")</f>
        <v>-</v>
      </c>
      <c r="H780" s="100">
        <f>ventas_b_mes1255[[#This Row],[TOTAL]]/1.21</f>
        <v>0</v>
      </c>
      <c r="I780" s="64">
        <f>ventas_b_mes1255[[#This Row],[IMPORTE NETO]]*0.21</f>
        <v>0</v>
      </c>
      <c r="J780" s="184"/>
      <c r="K780" s="184"/>
      <c r="L780" s="184"/>
      <c r="M780" s="59"/>
    </row>
    <row r="781" spans="2:13" x14ac:dyDescent="0.3">
      <c r="B781" s="178"/>
      <c r="C781" s="179"/>
      <c r="D781" s="180"/>
      <c r="E781" s="181"/>
      <c r="F781" s="113"/>
      <c r="G781" s="1" t="str">
        <f>IFERROR(IF(ventas_b_mes1255[[#This Row],[CUIT]]="","-",VLOOKUP(ventas_b_mes1255[[#This Row],[CUIT]],Lista_CUIT[#All],2,0)),"CUIT NO CARGADO")</f>
        <v>-</v>
      </c>
      <c r="H781" s="100">
        <f>ventas_b_mes1255[[#This Row],[TOTAL]]/1.21</f>
        <v>0</v>
      </c>
      <c r="I781" s="64">
        <f>ventas_b_mes1255[[#This Row],[IMPORTE NETO]]*0.21</f>
        <v>0</v>
      </c>
      <c r="J781" s="184"/>
      <c r="K781" s="184"/>
      <c r="L781" s="184"/>
      <c r="M781" s="59"/>
    </row>
    <row r="782" spans="2:13" x14ac:dyDescent="0.3">
      <c r="B782" s="178"/>
      <c r="C782" s="179"/>
      <c r="D782" s="180"/>
      <c r="E782" s="181"/>
      <c r="F782" s="113"/>
      <c r="G782" s="1" t="str">
        <f>IFERROR(IF(ventas_b_mes1255[[#This Row],[CUIT]]="","-",VLOOKUP(ventas_b_mes1255[[#This Row],[CUIT]],Lista_CUIT[#All],2,0)),"CUIT NO CARGADO")</f>
        <v>-</v>
      </c>
      <c r="H782" s="100">
        <f>ventas_b_mes1255[[#This Row],[TOTAL]]/1.21</f>
        <v>0</v>
      </c>
      <c r="I782" s="64">
        <f>ventas_b_mes1255[[#This Row],[IMPORTE NETO]]*0.21</f>
        <v>0</v>
      </c>
      <c r="J782" s="184"/>
      <c r="K782" s="184"/>
      <c r="L782" s="184"/>
      <c r="M782" s="59"/>
    </row>
    <row r="783" spans="2:13" x14ac:dyDescent="0.3">
      <c r="B783" s="178"/>
      <c r="C783" s="179"/>
      <c r="D783" s="180"/>
      <c r="E783" s="181"/>
      <c r="F783" s="113"/>
      <c r="G783" s="1" t="str">
        <f>IFERROR(IF(ventas_b_mes1255[[#This Row],[CUIT]]="","-",VLOOKUP(ventas_b_mes1255[[#This Row],[CUIT]],Lista_CUIT[#All],2,0)),"CUIT NO CARGADO")</f>
        <v>-</v>
      </c>
      <c r="H783" s="100">
        <f>ventas_b_mes1255[[#This Row],[TOTAL]]/1.21</f>
        <v>0</v>
      </c>
      <c r="I783" s="64">
        <f>ventas_b_mes1255[[#This Row],[IMPORTE NETO]]*0.21</f>
        <v>0</v>
      </c>
      <c r="J783" s="184"/>
      <c r="K783" s="184"/>
      <c r="L783" s="184"/>
      <c r="M783" s="59"/>
    </row>
    <row r="784" spans="2:13" x14ac:dyDescent="0.3">
      <c r="B784" s="178"/>
      <c r="C784" s="179"/>
      <c r="D784" s="180"/>
      <c r="E784" s="181"/>
      <c r="F784" s="113"/>
      <c r="G784" s="1" t="str">
        <f>IFERROR(IF(ventas_b_mes1255[[#This Row],[CUIT]]="","-",VLOOKUP(ventas_b_mes1255[[#This Row],[CUIT]],Lista_CUIT[#All],2,0)),"CUIT NO CARGADO")</f>
        <v>-</v>
      </c>
      <c r="H784" s="100">
        <f>ventas_b_mes1255[[#This Row],[TOTAL]]/1.21</f>
        <v>0</v>
      </c>
      <c r="I784" s="64">
        <f>ventas_b_mes1255[[#This Row],[IMPORTE NETO]]*0.21</f>
        <v>0</v>
      </c>
      <c r="J784" s="184"/>
      <c r="K784" s="184"/>
      <c r="L784" s="184"/>
      <c r="M784" s="59"/>
    </row>
    <row r="785" spans="2:13" x14ac:dyDescent="0.3">
      <c r="B785" s="178"/>
      <c r="C785" s="179"/>
      <c r="D785" s="180"/>
      <c r="E785" s="181"/>
      <c r="F785" s="113"/>
      <c r="G785" s="1" t="str">
        <f>IFERROR(IF(ventas_b_mes1255[[#This Row],[CUIT]]="","-",VLOOKUP(ventas_b_mes1255[[#This Row],[CUIT]],Lista_CUIT[#All],2,0)),"CUIT NO CARGADO")</f>
        <v>-</v>
      </c>
      <c r="H785" s="100">
        <f>ventas_b_mes1255[[#This Row],[TOTAL]]/1.21</f>
        <v>0</v>
      </c>
      <c r="I785" s="64">
        <f>ventas_b_mes1255[[#This Row],[IMPORTE NETO]]*0.21</f>
        <v>0</v>
      </c>
      <c r="J785" s="184"/>
      <c r="K785" s="184"/>
      <c r="L785" s="184"/>
      <c r="M785" s="59"/>
    </row>
    <row r="786" spans="2:13" x14ac:dyDescent="0.3">
      <c r="B786" s="178"/>
      <c r="C786" s="179"/>
      <c r="D786" s="180"/>
      <c r="E786" s="181"/>
      <c r="F786" s="113"/>
      <c r="G786" s="1" t="str">
        <f>IFERROR(IF(ventas_b_mes1255[[#This Row],[CUIT]]="","-",VLOOKUP(ventas_b_mes1255[[#This Row],[CUIT]],Lista_CUIT[#All],2,0)),"CUIT NO CARGADO")</f>
        <v>-</v>
      </c>
      <c r="H786" s="100">
        <f>ventas_b_mes1255[[#This Row],[TOTAL]]/1.21</f>
        <v>0</v>
      </c>
      <c r="I786" s="64">
        <f>ventas_b_mes1255[[#This Row],[IMPORTE NETO]]*0.21</f>
        <v>0</v>
      </c>
      <c r="J786" s="184"/>
      <c r="K786" s="184"/>
      <c r="L786" s="184"/>
      <c r="M786" s="59"/>
    </row>
    <row r="787" spans="2:13" x14ac:dyDescent="0.3">
      <c r="B787" s="178"/>
      <c r="C787" s="179"/>
      <c r="D787" s="180"/>
      <c r="E787" s="181"/>
      <c r="F787" s="113"/>
      <c r="G787" s="1" t="str">
        <f>IFERROR(IF(ventas_b_mes1255[[#This Row],[CUIT]]="","-",VLOOKUP(ventas_b_mes1255[[#This Row],[CUIT]],Lista_CUIT[#All],2,0)),"CUIT NO CARGADO")</f>
        <v>-</v>
      </c>
      <c r="H787" s="100">
        <f>ventas_b_mes1255[[#This Row],[TOTAL]]/1.21</f>
        <v>0</v>
      </c>
      <c r="I787" s="64">
        <f>ventas_b_mes1255[[#This Row],[IMPORTE NETO]]*0.21</f>
        <v>0</v>
      </c>
      <c r="J787" s="184"/>
      <c r="K787" s="184"/>
      <c r="L787" s="184"/>
      <c r="M787" s="59"/>
    </row>
    <row r="788" spans="2:13" x14ac:dyDescent="0.3">
      <c r="B788" s="178"/>
      <c r="C788" s="179"/>
      <c r="D788" s="180"/>
      <c r="E788" s="181"/>
      <c r="F788" s="113"/>
      <c r="G788" s="1" t="str">
        <f>IFERROR(IF(ventas_b_mes1255[[#This Row],[CUIT]]="","-",VLOOKUP(ventas_b_mes1255[[#This Row],[CUIT]],Lista_CUIT[#All],2,0)),"CUIT NO CARGADO")</f>
        <v>-</v>
      </c>
      <c r="H788" s="100">
        <f>ventas_b_mes1255[[#This Row],[TOTAL]]/1.21</f>
        <v>0</v>
      </c>
      <c r="I788" s="64">
        <f>ventas_b_mes1255[[#This Row],[IMPORTE NETO]]*0.21</f>
        <v>0</v>
      </c>
      <c r="J788" s="184"/>
      <c r="K788" s="184"/>
      <c r="L788" s="184"/>
      <c r="M788" s="59"/>
    </row>
    <row r="789" spans="2:13" x14ac:dyDescent="0.3">
      <c r="B789" s="178"/>
      <c r="C789" s="179"/>
      <c r="D789" s="180"/>
      <c r="E789" s="181"/>
      <c r="F789" s="113"/>
      <c r="G789" s="1" t="str">
        <f>IFERROR(IF(ventas_b_mes1255[[#This Row],[CUIT]]="","-",VLOOKUP(ventas_b_mes1255[[#This Row],[CUIT]],Lista_CUIT[#All],2,0)),"CUIT NO CARGADO")</f>
        <v>-</v>
      </c>
      <c r="H789" s="100">
        <f>ventas_b_mes1255[[#This Row],[TOTAL]]/1.21</f>
        <v>0</v>
      </c>
      <c r="I789" s="64">
        <f>ventas_b_mes1255[[#This Row],[IMPORTE NETO]]*0.21</f>
        <v>0</v>
      </c>
      <c r="J789" s="184"/>
      <c r="K789" s="184"/>
      <c r="L789" s="184"/>
      <c r="M789" s="59"/>
    </row>
    <row r="790" spans="2:13" x14ac:dyDescent="0.3">
      <c r="B790" s="178"/>
      <c r="C790" s="179"/>
      <c r="D790" s="180"/>
      <c r="E790" s="181"/>
      <c r="F790" s="113"/>
      <c r="G790" s="1" t="str">
        <f>IFERROR(IF(ventas_b_mes1255[[#This Row],[CUIT]]="","-",VLOOKUP(ventas_b_mes1255[[#This Row],[CUIT]],Lista_CUIT[#All],2,0)),"CUIT NO CARGADO")</f>
        <v>-</v>
      </c>
      <c r="H790" s="100">
        <f>ventas_b_mes1255[[#This Row],[TOTAL]]/1.21</f>
        <v>0</v>
      </c>
      <c r="I790" s="64">
        <f>ventas_b_mes1255[[#This Row],[IMPORTE NETO]]*0.21</f>
        <v>0</v>
      </c>
      <c r="J790" s="184"/>
      <c r="K790" s="184"/>
      <c r="L790" s="184"/>
      <c r="M790" s="59"/>
    </row>
    <row r="791" spans="2:13" x14ac:dyDescent="0.3">
      <c r="B791" s="178"/>
      <c r="C791" s="179"/>
      <c r="D791" s="180"/>
      <c r="E791" s="181"/>
      <c r="F791" s="113"/>
      <c r="G791" s="1" t="str">
        <f>IFERROR(IF(ventas_b_mes1255[[#This Row],[CUIT]]="","-",VLOOKUP(ventas_b_mes1255[[#This Row],[CUIT]],Lista_CUIT[#All],2,0)),"CUIT NO CARGADO")</f>
        <v>-</v>
      </c>
      <c r="H791" s="100">
        <f>ventas_b_mes1255[[#This Row],[TOTAL]]/1.21</f>
        <v>0</v>
      </c>
      <c r="I791" s="64">
        <f>ventas_b_mes1255[[#This Row],[IMPORTE NETO]]*0.21</f>
        <v>0</v>
      </c>
      <c r="J791" s="184"/>
      <c r="K791" s="184"/>
      <c r="L791" s="184"/>
      <c r="M791" s="59"/>
    </row>
    <row r="792" spans="2:13" x14ac:dyDescent="0.3">
      <c r="B792" s="178"/>
      <c r="C792" s="179"/>
      <c r="D792" s="180"/>
      <c r="E792" s="181"/>
      <c r="F792" s="113"/>
      <c r="G792" s="1" t="str">
        <f>IFERROR(IF(ventas_b_mes1255[[#This Row],[CUIT]]="","-",VLOOKUP(ventas_b_mes1255[[#This Row],[CUIT]],Lista_CUIT[#All],2,0)),"CUIT NO CARGADO")</f>
        <v>-</v>
      </c>
      <c r="H792" s="100">
        <f>ventas_b_mes1255[[#This Row],[TOTAL]]/1.21</f>
        <v>0</v>
      </c>
      <c r="I792" s="64">
        <f>ventas_b_mes1255[[#This Row],[IMPORTE NETO]]*0.21</f>
        <v>0</v>
      </c>
      <c r="J792" s="184"/>
      <c r="K792" s="184"/>
      <c r="L792" s="184"/>
      <c r="M792" s="59"/>
    </row>
    <row r="793" spans="2:13" x14ac:dyDescent="0.3">
      <c r="B793" s="178"/>
      <c r="C793" s="179"/>
      <c r="D793" s="180"/>
      <c r="E793" s="181"/>
      <c r="F793" s="113"/>
      <c r="G793" s="1" t="str">
        <f>IFERROR(IF(ventas_b_mes1255[[#This Row],[CUIT]]="","-",VLOOKUP(ventas_b_mes1255[[#This Row],[CUIT]],Lista_CUIT[#All],2,0)),"CUIT NO CARGADO")</f>
        <v>-</v>
      </c>
      <c r="H793" s="100">
        <f>ventas_b_mes1255[[#This Row],[TOTAL]]/1.21</f>
        <v>0</v>
      </c>
      <c r="I793" s="64">
        <f>ventas_b_mes1255[[#This Row],[IMPORTE NETO]]*0.21</f>
        <v>0</v>
      </c>
      <c r="J793" s="184"/>
      <c r="K793" s="184"/>
      <c r="L793" s="184"/>
      <c r="M793" s="59"/>
    </row>
    <row r="794" spans="2:13" x14ac:dyDescent="0.3">
      <c r="B794" s="178"/>
      <c r="C794" s="179"/>
      <c r="D794" s="180"/>
      <c r="E794" s="181"/>
      <c r="F794" s="113"/>
      <c r="G794" s="1" t="str">
        <f>IFERROR(IF(ventas_b_mes1255[[#This Row],[CUIT]]="","-",VLOOKUP(ventas_b_mes1255[[#This Row],[CUIT]],Lista_CUIT[#All],2,0)),"CUIT NO CARGADO")</f>
        <v>-</v>
      </c>
      <c r="H794" s="100">
        <f>ventas_b_mes1255[[#This Row],[TOTAL]]/1.21</f>
        <v>0</v>
      </c>
      <c r="I794" s="64">
        <f>ventas_b_mes1255[[#This Row],[IMPORTE NETO]]*0.21</f>
        <v>0</v>
      </c>
      <c r="J794" s="184"/>
      <c r="K794" s="184"/>
      <c r="L794" s="184"/>
      <c r="M794" s="59"/>
    </row>
    <row r="795" spans="2:13" x14ac:dyDescent="0.3">
      <c r="B795" s="178"/>
      <c r="C795" s="179"/>
      <c r="D795" s="180"/>
      <c r="E795" s="181"/>
      <c r="F795" s="113"/>
      <c r="G795" s="1" t="str">
        <f>IFERROR(IF(ventas_b_mes1255[[#This Row],[CUIT]]="","-",VLOOKUP(ventas_b_mes1255[[#This Row],[CUIT]],Lista_CUIT[#All],2,0)),"CUIT NO CARGADO")</f>
        <v>-</v>
      </c>
      <c r="H795" s="100">
        <f>ventas_b_mes1255[[#This Row],[TOTAL]]/1.21</f>
        <v>0</v>
      </c>
      <c r="I795" s="64">
        <f>ventas_b_mes1255[[#This Row],[IMPORTE NETO]]*0.21</f>
        <v>0</v>
      </c>
      <c r="J795" s="184"/>
      <c r="K795" s="184"/>
      <c r="L795" s="184"/>
      <c r="M795" s="59"/>
    </row>
    <row r="796" spans="2:13" x14ac:dyDescent="0.3">
      <c r="B796" s="178"/>
      <c r="C796" s="179"/>
      <c r="D796" s="180"/>
      <c r="E796" s="181"/>
      <c r="F796" s="113"/>
      <c r="G796" s="1" t="str">
        <f>IFERROR(IF(ventas_b_mes1255[[#This Row],[CUIT]]="","-",VLOOKUP(ventas_b_mes1255[[#This Row],[CUIT]],Lista_CUIT[#All],2,0)),"CUIT NO CARGADO")</f>
        <v>-</v>
      </c>
      <c r="H796" s="100">
        <f>ventas_b_mes1255[[#This Row],[TOTAL]]/1.21</f>
        <v>0</v>
      </c>
      <c r="I796" s="64">
        <f>ventas_b_mes1255[[#This Row],[IMPORTE NETO]]*0.21</f>
        <v>0</v>
      </c>
      <c r="J796" s="184"/>
      <c r="K796" s="184"/>
      <c r="L796" s="184"/>
      <c r="M796" s="59"/>
    </row>
    <row r="797" spans="2:13" x14ac:dyDescent="0.3">
      <c r="B797" s="178"/>
      <c r="C797" s="179"/>
      <c r="D797" s="180"/>
      <c r="E797" s="181"/>
      <c r="F797" s="113"/>
      <c r="G797" s="1" t="str">
        <f>IFERROR(IF(ventas_b_mes1255[[#This Row],[CUIT]]="","-",VLOOKUP(ventas_b_mes1255[[#This Row],[CUIT]],Lista_CUIT[#All],2,0)),"CUIT NO CARGADO")</f>
        <v>-</v>
      </c>
      <c r="H797" s="100">
        <f>ventas_b_mes1255[[#This Row],[TOTAL]]/1.21</f>
        <v>0</v>
      </c>
      <c r="I797" s="64">
        <f>ventas_b_mes1255[[#This Row],[IMPORTE NETO]]*0.21</f>
        <v>0</v>
      </c>
      <c r="J797" s="184"/>
      <c r="K797" s="184"/>
      <c r="L797" s="184"/>
      <c r="M797" s="59"/>
    </row>
    <row r="798" spans="2:13" x14ac:dyDescent="0.3">
      <c r="B798" s="178"/>
      <c r="C798" s="179"/>
      <c r="D798" s="180"/>
      <c r="E798" s="181"/>
      <c r="F798" s="113"/>
      <c r="G798" s="1" t="str">
        <f>IFERROR(IF(ventas_b_mes1255[[#This Row],[CUIT]]="","-",VLOOKUP(ventas_b_mes1255[[#This Row],[CUIT]],Lista_CUIT[#All],2,0)),"CUIT NO CARGADO")</f>
        <v>-</v>
      </c>
      <c r="H798" s="100">
        <f>ventas_b_mes1255[[#This Row],[TOTAL]]/1.21</f>
        <v>0</v>
      </c>
      <c r="I798" s="64">
        <f>ventas_b_mes1255[[#This Row],[IMPORTE NETO]]*0.21</f>
        <v>0</v>
      </c>
      <c r="J798" s="184"/>
      <c r="K798" s="184"/>
      <c r="L798" s="184"/>
      <c r="M798" s="59"/>
    </row>
    <row r="799" spans="2:13" x14ac:dyDescent="0.3">
      <c r="B799" s="178"/>
      <c r="C799" s="179"/>
      <c r="D799" s="180"/>
      <c r="E799" s="181"/>
      <c r="F799" s="113"/>
      <c r="G799" s="1" t="str">
        <f>IFERROR(IF(ventas_b_mes1255[[#This Row],[CUIT]]="","-",VLOOKUP(ventas_b_mes1255[[#This Row],[CUIT]],Lista_CUIT[#All],2,0)),"CUIT NO CARGADO")</f>
        <v>-</v>
      </c>
      <c r="H799" s="100">
        <f>ventas_b_mes1255[[#This Row],[TOTAL]]/1.21</f>
        <v>0</v>
      </c>
      <c r="I799" s="64">
        <f>ventas_b_mes1255[[#This Row],[IMPORTE NETO]]*0.21</f>
        <v>0</v>
      </c>
      <c r="J799" s="184"/>
      <c r="K799" s="184"/>
      <c r="L799" s="184"/>
      <c r="M799" s="59"/>
    </row>
    <row r="800" spans="2:13" x14ac:dyDescent="0.3">
      <c r="B800" s="178"/>
      <c r="C800" s="179"/>
      <c r="D800" s="180"/>
      <c r="E800" s="181"/>
      <c r="F800" s="113"/>
      <c r="G800" s="1" t="str">
        <f>IFERROR(IF(ventas_b_mes1255[[#This Row],[CUIT]]="","-",VLOOKUP(ventas_b_mes1255[[#This Row],[CUIT]],Lista_CUIT[#All],2,0)),"CUIT NO CARGADO")</f>
        <v>-</v>
      </c>
      <c r="H800" s="100">
        <f>ventas_b_mes1255[[#This Row],[TOTAL]]/1.21</f>
        <v>0</v>
      </c>
      <c r="I800" s="64">
        <f>ventas_b_mes1255[[#This Row],[IMPORTE NETO]]*0.21</f>
        <v>0</v>
      </c>
      <c r="J800" s="184"/>
      <c r="K800" s="184"/>
      <c r="L800" s="184"/>
      <c r="M800" s="59"/>
    </row>
    <row r="801" spans="2:13" x14ac:dyDescent="0.3">
      <c r="B801" s="178"/>
      <c r="C801" s="179"/>
      <c r="D801" s="180"/>
      <c r="E801" s="181"/>
      <c r="F801" s="113"/>
      <c r="G801" s="1" t="str">
        <f>IFERROR(IF(ventas_b_mes1255[[#This Row],[CUIT]]="","-",VLOOKUP(ventas_b_mes1255[[#This Row],[CUIT]],Lista_CUIT[#All],2,0)),"CUIT NO CARGADO")</f>
        <v>-</v>
      </c>
      <c r="H801" s="100">
        <f>ventas_b_mes1255[[#This Row],[TOTAL]]/1.21</f>
        <v>0</v>
      </c>
      <c r="I801" s="64">
        <f>ventas_b_mes1255[[#This Row],[IMPORTE NETO]]*0.21</f>
        <v>0</v>
      </c>
      <c r="J801" s="184"/>
      <c r="K801" s="184"/>
      <c r="L801" s="184"/>
      <c r="M801" s="59"/>
    </row>
    <row r="802" spans="2:13" x14ac:dyDescent="0.3">
      <c r="B802" s="178"/>
      <c r="C802" s="179"/>
      <c r="D802" s="180"/>
      <c r="E802" s="181"/>
      <c r="F802" s="113"/>
      <c r="G802" s="1" t="str">
        <f>IFERROR(IF(ventas_b_mes1255[[#This Row],[CUIT]]="","-",VLOOKUP(ventas_b_mes1255[[#This Row],[CUIT]],Lista_CUIT[#All],2,0)),"CUIT NO CARGADO")</f>
        <v>-</v>
      </c>
      <c r="H802" s="100">
        <f>ventas_b_mes1255[[#This Row],[TOTAL]]/1.21</f>
        <v>0</v>
      </c>
      <c r="I802" s="64">
        <f>ventas_b_mes1255[[#This Row],[IMPORTE NETO]]*0.21</f>
        <v>0</v>
      </c>
      <c r="J802" s="184"/>
      <c r="K802" s="184"/>
      <c r="L802" s="184"/>
      <c r="M802" s="59"/>
    </row>
    <row r="803" spans="2:13" x14ac:dyDescent="0.3">
      <c r="B803" s="178"/>
      <c r="C803" s="179"/>
      <c r="D803" s="180"/>
      <c r="E803" s="181"/>
      <c r="F803" s="113"/>
      <c r="G803" s="1" t="str">
        <f>IFERROR(IF(ventas_b_mes1255[[#This Row],[CUIT]]="","-",VLOOKUP(ventas_b_mes1255[[#This Row],[CUIT]],Lista_CUIT[#All],2,0)),"CUIT NO CARGADO")</f>
        <v>-</v>
      </c>
      <c r="H803" s="100">
        <f>ventas_b_mes1255[[#This Row],[TOTAL]]/1.21</f>
        <v>0</v>
      </c>
      <c r="I803" s="64">
        <f>ventas_b_mes1255[[#This Row],[IMPORTE NETO]]*0.21</f>
        <v>0</v>
      </c>
      <c r="J803" s="184"/>
      <c r="K803" s="184"/>
      <c r="L803" s="184"/>
      <c r="M803" s="59"/>
    </row>
    <row r="804" spans="2:13" x14ac:dyDescent="0.3">
      <c r="B804" s="178"/>
      <c r="C804" s="179"/>
      <c r="D804" s="180"/>
      <c r="E804" s="181"/>
      <c r="F804" s="113"/>
      <c r="G804" s="1" t="str">
        <f>IFERROR(IF(ventas_b_mes1255[[#This Row],[CUIT]]="","-",VLOOKUP(ventas_b_mes1255[[#This Row],[CUIT]],Lista_CUIT[#All],2,0)),"CUIT NO CARGADO")</f>
        <v>-</v>
      </c>
      <c r="H804" s="100">
        <f>ventas_b_mes1255[[#This Row],[TOTAL]]/1.21</f>
        <v>0</v>
      </c>
      <c r="I804" s="64">
        <f>ventas_b_mes1255[[#This Row],[IMPORTE NETO]]*0.21</f>
        <v>0</v>
      </c>
      <c r="J804" s="184"/>
      <c r="K804" s="184"/>
      <c r="L804" s="184"/>
      <c r="M804" s="59"/>
    </row>
    <row r="805" spans="2:13" x14ac:dyDescent="0.3">
      <c r="B805" s="178"/>
      <c r="C805" s="179"/>
      <c r="D805" s="180"/>
      <c r="E805" s="181"/>
      <c r="F805" s="113"/>
      <c r="G805" s="1" t="str">
        <f>IFERROR(IF(ventas_b_mes1255[[#This Row],[CUIT]]="","-",VLOOKUP(ventas_b_mes1255[[#This Row],[CUIT]],Lista_CUIT[#All],2,0)),"CUIT NO CARGADO")</f>
        <v>-</v>
      </c>
      <c r="H805" s="100">
        <f>ventas_b_mes1255[[#This Row],[TOTAL]]/1.21</f>
        <v>0</v>
      </c>
      <c r="I805" s="64">
        <f>ventas_b_mes1255[[#This Row],[IMPORTE NETO]]*0.21</f>
        <v>0</v>
      </c>
      <c r="J805" s="184"/>
      <c r="K805" s="184"/>
      <c r="L805" s="184"/>
      <c r="M805" s="59"/>
    </row>
    <row r="806" spans="2:13" x14ac:dyDescent="0.3">
      <c r="B806" s="178"/>
      <c r="C806" s="179"/>
      <c r="D806" s="180"/>
      <c r="E806" s="181"/>
      <c r="F806" s="113"/>
      <c r="G806" s="1" t="str">
        <f>IFERROR(IF(ventas_b_mes1255[[#This Row],[CUIT]]="","-",VLOOKUP(ventas_b_mes1255[[#This Row],[CUIT]],Lista_CUIT[#All],2,0)),"CUIT NO CARGADO")</f>
        <v>-</v>
      </c>
      <c r="H806" s="100">
        <f>ventas_b_mes1255[[#This Row],[TOTAL]]/1.21</f>
        <v>0</v>
      </c>
      <c r="I806" s="64">
        <f>ventas_b_mes1255[[#This Row],[IMPORTE NETO]]*0.21</f>
        <v>0</v>
      </c>
      <c r="J806" s="184"/>
      <c r="K806" s="184"/>
      <c r="L806" s="184"/>
      <c r="M806" s="59"/>
    </row>
    <row r="807" spans="2:13" x14ac:dyDescent="0.3">
      <c r="B807" s="178"/>
      <c r="C807" s="179"/>
      <c r="D807" s="180"/>
      <c r="E807" s="181"/>
      <c r="F807" s="113"/>
      <c r="G807" s="1" t="str">
        <f>IFERROR(IF(ventas_b_mes1255[[#This Row],[CUIT]]="","-",VLOOKUP(ventas_b_mes1255[[#This Row],[CUIT]],Lista_CUIT[#All],2,0)),"CUIT NO CARGADO")</f>
        <v>-</v>
      </c>
      <c r="H807" s="100">
        <f>ventas_b_mes1255[[#This Row],[TOTAL]]/1.21</f>
        <v>0</v>
      </c>
      <c r="I807" s="64">
        <f>ventas_b_mes1255[[#This Row],[IMPORTE NETO]]*0.21</f>
        <v>0</v>
      </c>
      <c r="J807" s="184"/>
      <c r="K807" s="184"/>
      <c r="L807" s="184"/>
      <c r="M807" s="59"/>
    </row>
    <row r="808" spans="2:13" x14ac:dyDescent="0.3">
      <c r="B808" s="178"/>
      <c r="C808" s="179"/>
      <c r="D808" s="180"/>
      <c r="E808" s="181"/>
      <c r="F808" s="113"/>
      <c r="G808" s="1" t="str">
        <f>IFERROR(IF(ventas_b_mes1255[[#This Row],[CUIT]]="","-",VLOOKUP(ventas_b_mes1255[[#This Row],[CUIT]],Lista_CUIT[#All],2,0)),"CUIT NO CARGADO")</f>
        <v>-</v>
      </c>
      <c r="H808" s="100">
        <f>ventas_b_mes1255[[#This Row],[TOTAL]]/1.21</f>
        <v>0</v>
      </c>
      <c r="I808" s="64">
        <f>ventas_b_mes1255[[#This Row],[IMPORTE NETO]]*0.21</f>
        <v>0</v>
      </c>
      <c r="J808" s="184"/>
      <c r="K808" s="184"/>
      <c r="L808" s="184"/>
      <c r="M808" s="59"/>
    </row>
    <row r="809" spans="2:13" x14ac:dyDescent="0.3">
      <c r="B809" s="178"/>
      <c r="C809" s="179"/>
      <c r="D809" s="180"/>
      <c r="E809" s="181"/>
      <c r="F809" s="113"/>
      <c r="G809" s="1" t="str">
        <f>IFERROR(IF(ventas_b_mes1255[[#This Row],[CUIT]]="","-",VLOOKUP(ventas_b_mes1255[[#This Row],[CUIT]],Lista_CUIT[#All],2,0)),"CUIT NO CARGADO")</f>
        <v>-</v>
      </c>
      <c r="H809" s="100">
        <f>ventas_b_mes1255[[#This Row],[TOTAL]]/1.21</f>
        <v>0</v>
      </c>
      <c r="I809" s="64">
        <f>ventas_b_mes1255[[#This Row],[IMPORTE NETO]]*0.21</f>
        <v>0</v>
      </c>
      <c r="J809" s="184"/>
      <c r="K809" s="184"/>
      <c r="L809" s="184"/>
      <c r="M809" s="59"/>
    </row>
    <row r="810" spans="2:13" x14ac:dyDescent="0.3">
      <c r="B810" s="178"/>
      <c r="C810" s="179"/>
      <c r="D810" s="180"/>
      <c r="E810" s="181"/>
      <c r="F810" s="113"/>
      <c r="G810" s="1" t="str">
        <f>IFERROR(IF(ventas_b_mes1255[[#This Row],[CUIT]]="","-",VLOOKUP(ventas_b_mes1255[[#This Row],[CUIT]],Lista_CUIT[#All],2,0)),"CUIT NO CARGADO")</f>
        <v>-</v>
      </c>
      <c r="H810" s="100">
        <f>ventas_b_mes1255[[#This Row],[TOTAL]]/1.21</f>
        <v>0</v>
      </c>
      <c r="I810" s="64">
        <f>ventas_b_mes1255[[#This Row],[IMPORTE NETO]]*0.21</f>
        <v>0</v>
      </c>
      <c r="J810" s="184"/>
      <c r="K810" s="184"/>
      <c r="L810" s="184"/>
      <c r="M810" s="59"/>
    </row>
    <row r="811" spans="2:13" x14ac:dyDescent="0.3">
      <c r="B811" s="178"/>
      <c r="C811" s="179"/>
      <c r="D811" s="180"/>
      <c r="E811" s="181"/>
      <c r="F811" s="113"/>
      <c r="G811" s="1" t="str">
        <f>IFERROR(IF(ventas_b_mes1255[[#This Row],[CUIT]]="","-",VLOOKUP(ventas_b_mes1255[[#This Row],[CUIT]],Lista_CUIT[#All],2,0)),"CUIT NO CARGADO")</f>
        <v>-</v>
      </c>
      <c r="H811" s="100">
        <f>ventas_b_mes1255[[#This Row],[TOTAL]]/1.21</f>
        <v>0</v>
      </c>
      <c r="I811" s="64">
        <f>ventas_b_mes1255[[#This Row],[IMPORTE NETO]]*0.21</f>
        <v>0</v>
      </c>
      <c r="J811" s="184"/>
      <c r="K811" s="184"/>
      <c r="L811" s="184"/>
      <c r="M811" s="59"/>
    </row>
    <row r="812" spans="2:13" x14ac:dyDescent="0.3">
      <c r="B812" s="178"/>
      <c r="C812" s="179"/>
      <c r="D812" s="180"/>
      <c r="E812" s="181"/>
      <c r="F812" s="113"/>
      <c r="G812" s="1" t="str">
        <f>IFERROR(IF(ventas_b_mes1255[[#This Row],[CUIT]]="","-",VLOOKUP(ventas_b_mes1255[[#This Row],[CUIT]],Lista_CUIT[#All],2,0)),"CUIT NO CARGADO")</f>
        <v>-</v>
      </c>
      <c r="H812" s="100">
        <f>ventas_b_mes1255[[#This Row],[TOTAL]]/1.21</f>
        <v>0</v>
      </c>
      <c r="I812" s="64">
        <f>ventas_b_mes1255[[#This Row],[IMPORTE NETO]]*0.21</f>
        <v>0</v>
      </c>
      <c r="J812" s="184"/>
      <c r="K812" s="184"/>
      <c r="L812" s="184"/>
      <c r="M812" s="59"/>
    </row>
    <row r="813" spans="2:13" x14ac:dyDescent="0.3">
      <c r="B813" s="178"/>
      <c r="C813" s="179"/>
      <c r="D813" s="180"/>
      <c r="E813" s="181"/>
      <c r="F813" s="113"/>
      <c r="G813" s="1" t="str">
        <f>IFERROR(IF(ventas_b_mes1255[[#This Row],[CUIT]]="","-",VLOOKUP(ventas_b_mes1255[[#This Row],[CUIT]],Lista_CUIT[#All],2,0)),"CUIT NO CARGADO")</f>
        <v>-</v>
      </c>
      <c r="H813" s="100">
        <f>ventas_b_mes1255[[#This Row],[TOTAL]]/1.21</f>
        <v>0</v>
      </c>
      <c r="I813" s="64">
        <f>ventas_b_mes1255[[#This Row],[IMPORTE NETO]]*0.21</f>
        <v>0</v>
      </c>
      <c r="J813" s="184"/>
      <c r="K813" s="184"/>
      <c r="L813" s="184"/>
      <c r="M813" s="59"/>
    </row>
    <row r="814" spans="2:13" x14ac:dyDescent="0.3">
      <c r="B814" s="178"/>
      <c r="C814" s="179"/>
      <c r="D814" s="180"/>
      <c r="E814" s="181"/>
      <c r="F814" s="113"/>
      <c r="G814" s="1" t="str">
        <f>IFERROR(IF(ventas_b_mes1255[[#This Row],[CUIT]]="","-",VLOOKUP(ventas_b_mes1255[[#This Row],[CUIT]],Lista_CUIT[#All],2,0)),"CUIT NO CARGADO")</f>
        <v>-</v>
      </c>
      <c r="H814" s="100">
        <f>ventas_b_mes1255[[#This Row],[TOTAL]]/1.21</f>
        <v>0</v>
      </c>
      <c r="I814" s="64">
        <f>ventas_b_mes1255[[#This Row],[IMPORTE NETO]]*0.21</f>
        <v>0</v>
      </c>
      <c r="J814" s="184"/>
      <c r="K814" s="184"/>
      <c r="L814" s="184"/>
      <c r="M814" s="59"/>
    </row>
    <row r="815" spans="2:13" x14ac:dyDescent="0.3">
      <c r="B815" s="178"/>
      <c r="C815" s="179"/>
      <c r="D815" s="180"/>
      <c r="E815" s="181"/>
      <c r="F815" s="113"/>
      <c r="G815" s="1" t="str">
        <f>IFERROR(IF(ventas_b_mes1255[[#This Row],[CUIT]]="","-",VLOOKUP(ventas_b_mes1255[[#This Row],[CUIT]],Lista_CUIT[#All],2,0)),"CUIT NO CARGADO")</f>
        <v>-</v>
      </c>
      <c r="H815" s="100">
        <f>ventas_b_mes1255[[#This Row],[TOTAL]]/1.21</f>
        <v>0</v>
      </c>
      <c r="I815" s="64">
        <f>ventas_b_mes1255[[#This Row],[IMPORTE NETO]]*0.21</f>
        <v>0</v>
      </c>
      <c r="J815" s="184"/>
      <c r="K815" s="184"/>
      <c r="L815" s="184"/>
      <c r="M815" s="59"/>
    </row>
    <row r="816" spans="2:13" x14ac:dyDescent="0.3">
      <c r="B816" s="178"/>
      <c r="C816" s="179"/>
      <c r="D816" s="180"/>
      <c r="E816" s="181"/>
      <c r="F816" s="113"/>
      <c r="G816" s="1" t="str">
        <f>IFERROR(IF(ventas_b_mes1255[[#This Row],[CUIT]]="","-",VLOOKUP(ventas_b_mes1255[[#This Row],[CUIT]],Lista_CUIT[#All],2,0)),"CUIT NO CARGADO")</f>
        <v>-</v>
      </c>
      <c r="H816" s="100">
        <f>ventas_b_mes1255[[#This Row],[TOTAL]]/1.21</f>
        <v>0</v>
      </c>
      <c r="I816" s="64">
        <f>ventas_b_mes1255[[#This Row],[IMPORTE NETO]]*0.21</f>
        <v>0</v>
      </c>
      <c r="J816" s="184"/>
      <c r="K816" s="184"/>
      <c r="L816" s="184"/>
      <c r="M816" s="59"/>
    </row>
    <row r="817" spans="2:13" x14ac:dyDescent="0.3">
      <c r="B817" s="178"/>
      <c r="C817" s="179"/>
      <c r="D817" s="180"/>
      <c r="E817" s="181"/>
      <c r="F817" s="113"/>
      <c r="G817" s="1" t="str">
        <f>IFERROR(IF(ventas_b_mes1255[[#This Row],[CUIT]]="","-",VLOOKUP(ventas_b_mes1255[[#This Row],[CUIT]],Lista_CUIT[#All],2,0)),"CUIT NO CARGADO")</f>
        <v>-</v>
      </c>
      <c r="H817" s="100">
        <f>ventas_b_mes1255[[#This Row],[TOTAL]]/1.21</f>
        <v>0</v>
      </c>
      <c r="I817" s="64">
        <f>ventas_b_mes1255[[#This Row],[IMPORTE NETO]]*0.21</f>
        <v>0</v>
      </c>
      <c r="J817" s="184"/>
      <c r="K817" s="184"/>
      <c r="L817" s="184"/>
      <c r="M817" s="59"/>
    </row>
    <row r="818" spans="2:13" x14ac:dyDescent="0.3">
      <c r="B818" s="178"/>
      <c r="C818" s="179"/>
      <c r="D818" s="180"/>
      <c r="E818" s="181"/>
      <c r="F818" s="113"/>
      <c r="G818" s="1" t="str">
        <f>IFERROR(IF(ventas_b_mes1255[[#This Row],[CUIT]]="","-",VLOOKUP(ventas_b_mes1255[[#This Row],[CUIT]],Lista_CUIT[#All],2,0)),"CUIT NO CARGADO")</f>
        <v>-</v>
      </c>
      <c r="H818" s="100">
        <f>ventas_b_mes1255[[#This Row],[TOTAL]]/1.21</f>
        <v>0</v>
      </c>
      <c r="I818" s="64">
        <f>ventas_b_mes1255[[#This Row],[IMPORTE NETO]]*0.21</f>
        <v>0</v>
      </c>
      <c r="J818" s="184"/>
      <c r="K818" s="184"/>
      <c r="L818" s="184"/>
      <c r="M818" s="59"/>
    </row>
    <row r="819" spans="2:13" x14ac:dyDescent="0.3">
      <c r="B819" s="178"/>
      <c r="C819" s="179"/>
      <c r="D819" s="180"/>
      <c r="E819" s="181"/>
      <c r="F819" s="113"/>
      <c r="G819" s="1" t="str">
        <f>IFERROR(IF(ventas_b_mes1255[[#This Row],[CUIT]]="","-",VLOOKUP(ventas_b_mes1255[[#This Row],[CUIT]],Lista_CUIT[#All],2,0)),"CUIT NO CARGADO")</f>
        <v>-</v>
      </c>
      <c r="H819" s="100">
        <f>ventas_b_mes1255[[#This Row],[TOTAL]]/1.21</f>
        <v>0</v>
      </c>
      <c r="I819" s="64">
        <f>ventas_b_mes1255[[#This Row],[IMPORTE NETO]]*0.21</f>
        <v>0</v>
      </c>
      <c r="J819" s="184"/>
      <c r="K819" s="184"/>
      <c r="L819" s="184"/>
      <c r="M819" s="59"/>
    </row>
    <row r="820" spans="2:13" x14ac:dyDescent="0.3">
      <c r="B820" s="178"/>
      <c r="C820" s="179"/>
      <c r="D820" s="180"/>
      <c r="E820" s="181"/>
      <c r="F820" s="113"/>
      <c r="G820" s="1" t="str">
        <f>IFERROR(IF(ventas_b_mes1255[[#This Row],[CUIT]]="","-",VLOOKUP(ventas_b_mes1255[[#This Row],[CUIT]],Lista_CUIT[#All],2,0)),"CUIT NO CARGADO")</f>
        <v>-</v>
      </c>
      <c r="H820" s="100">
        <f>ventas_b_mes1255[[#This Row],[TOTAL]]/1.21</f>
        <v>0</v>
      </c>
      <c r="I820" s="64">
        <f>ventas_b_mes1255[[#This Row],[IMPORTE NETO]]*0.21</f>
        <v>0</v>
      </c>
      <c r="J820" s="184"/>
      <c r="K820" s="184"/>
      <c r="L820" s="184"/>
      <c r="M820" s="59"/>
    </row>
    <row r="821" spans="2:13" x14ac:dyDescent="0.3">
      <c r="B821" s="178"/>
      <c r="C821" s="179"/>
      <c r="D821" s="180"/>
      <c r="E821" s="181"/>
      <c r="F821" s="113"/>
      <c r="G821" s="1" t="str">
        <f>IFERROR(IF(ventas_b_mes1255[[#This Row],[CUIT]]="","-",VLOOKUP(ventas_b_mes1255[[#This Row],[CUIT]],Lista_CUIT[#All],2,0)),"CUIT NO CARGADO")</f>
        <v>-</v>
      </c>
      <c r="H821" s="100">
        <f>ventas_b_mes1255[[#This Row],[TOTAL]]/1.21</f>
        <v>0</v>
      </c>
      <c r="I821" s="64">
        <f>ventas_b_mes1255[[#This Row],[IMPORTE NETO]]*0.21</f>
        <v>0</v>
      </c>
      <c r="J821" s="184"/>
      <c r="K821" s="184"/>
      <c r="L821" s="184"/>
      <c r="M821" s="59"/>
    </row>
    <row r="822" spans="2:13" x14ac:dyDescent="0.3">
      <c r="B822" s="178"/>
      <c r="C822" s="179"/>
      <c r="D822" s="180"/>
      <c r="E822" s="181"/>
      <c r="F822" s="113"/>
      <c r="G822" s="1" t="str">
        <f>IFERROR(IF(ventas_b_mes1255[[#This Row],[CUIT]]="","-",VLOOKUP(ventas_b_mes1255[[#This Row],[CUIT]],Lista_CUIT[#All],2,0)),"CUIT NO CARGADO")</f>
        <v>-</v>
      </c>
      <c r="H822" s="100">
        <f>ventas_b_mes1255[[#This Row],[TOTAL]]/1.21</f>
        <v>0</v>
      </c>
      <c r="I822" s="64">
        <f>ventas_b_mes1255[[#This Row],[IMPORTE NETO]]*0.21</f>
        <v>0</v>
      </c>
      <c r="J822" s="184"/>
      <c r="K822" s="184"/>
      <c r="L822" s="184"/>
      <c r="M822" s="59"/>
    </row>
    <row r="823" spans="2:13" x14ac:dyDescent="0.3">
      <c r="B823" s="178"/>
      <c r="C823" s="179"/>
      <c r="D823" s="180"/>
      <c r="E823" s="181"/>
      <c r="F823" s="113"/>
      <c r="G823" s="1" t="str">
        <f>IFERROR(IF(ventas_b_mes1255[[#This Row],[CUIT]]="","-",VLOOKUP(ventas_b_mes1255[[#This Row],[CUIT]],Lista_CUIT[#All],2,0)),"CUIT NO CARGADO")</f>
        <v>-</v>
      </c>
      <c r="H823" s="100">
        <f>ventas_b_mes1255[[#This Row],[TOTAL]]/1.21</f>
        <v>0</v>
      </c>
      <c r="I823" s="64">
        <f>ventas_b_mes1255[[#This Row],[IMPORTE NETO]]*0.21</f>
        <v>0</v>
      </c>
      <c r="J823" s="184"/>
      <c r="K823" s="184"/>
      <c r="L823" s="184"/>
      <c r="M823" s="59"/>
    </row>
    <row r="824" spans="2:13" x14ac:dyDescent="0.3">
      <c r="B824" s="178"/>
      <c r="C824" s="179"/>
      <c r="D824" s="180"/>
      <c r="E824" s="181"/>
      <c r="F824" s="113"/>
      <c r="G824" s="1" t="str">
        <f>IFERROR(IF(ventas_b_mes1255[[#This Row],[CUIT]]="","-",VLOOKUP(ventas_b_mes1255[[#This Row],[CUIT]],Lista_CUIT[#All],2,0)),"CUIT NO CARGADO")</f>
        <v>-</v>
      </c>
      <c r="H824" s="100">
        <f>ventas_b_mes1255[[#This Row],[TOTAL]]/1.21</f>
        <v>0</v>
      </c>
      <c r="I824" s="64">
        <f>ventas_b_mes1255[[#This Row],[IMPORTE NETO]]*0.21</f>
        <v>0</v>
      </c>
      <c r="J824" s="184"/>
      <c r="K824" s="184"/>
      <c r="L824" s="184"/>
      <c r="M824" s="59"/>
    </row>
    <row r="825" spans="2:13" x14ac:dyDescent="0.3">
      <c r="B825" s="178"/>
      <c r="C825" s="179"/>
      <c r="D825" s="180"/>
      <c r="E825" s="181"/>
      <c r="F825" s="113"/>
      <c r="G825" s="1" t="str">
        <f>IFERROR(IF(ventas_b_mes1255[[#This Row],[CUIT]]="","-",VLOOKUP(ventas_b_mes1255[[#This Row],[CUIT]],Lista_CUIT[#All],2,0)),"CUIT NO CARGADO")</f>
        <v>-</v>
      </c>
      <c r="H825" s="100">
        <f>ventas_b_mes1255[[#This Row],[TOTAL]]/1.21</f>
        <v>0</v>
      </c>
      <c r="I825" s="64">
        <f>ventas_b_mes1255[[#This Row],[IMPORTE NETO]]*0.21</f>
        <v>0</v>
      </c>
      <c r="J825" s="184"/>
      <c r="K825" s="184"/>
      <c r="L825" s="184"/>
      <c r="M825" s="59"/>
    </row>
    <row r="826" spans="2:13" x14ac:dyDescent="0.3">
      <c r="B826" s="178"/>
      <c r="C826" s="179"/>
      <c r="D826" s="180"/>
      <c r="E826" s="181"/>
      <c r="F826" s="113"/>
      <c r="G826" s="1" t="str">
        <f>IFERROR(IF(ventas_b_mes1255[[#This Row],[CUIT]]="","-",VLOOKUP(ventas_b_mes1255[[#This Row],[CUIT]],Lista_CUIT[#All],2,0)),"CUIT NO CARGADO")</f>
        <v>-</v>
      </c>
      <c r="H826" s="100">
        <f>ventas_b_mes1255[[#This Row],[TOTAL]]/1.21</f>
        <v>0</v>
      </c>
      <c r="I826" s="64">
        <f>ventas_b_mes1255[[#This Row],[IMPORTE NETO]]*0.21</f>
        <v>0</v>
      </c>
      <c r="J826" s="184"/>
      <c r="K826" s="184"/>
      <c r="L826" s="184"/>
      <c r="M826" s="59"/>
    </row>
    <row r="827" spans="2:13" x14ac:dyDescent="0.3">
      <c r="B827" s="178"/>
      <c r="C827" s="179"/>
      <c r="D827" s="180"/>
      <c r="E827" s="181"/>
      <c r="F827" s="113"/>
      <c r="G827" s="1" t="str">
        <f>IFERROR(IF(ventas_b_mes1255[[#This Row],[CUIT]]="","-",VLOOKUP(ventas_b_mes1255[[#This Row],[CUIT]],Lista_CUIT[#All],2,0)),"CUIT NO CARGADO")</f>
        <v>-</v>
      </c>
      <c r="H827" s="100">
        <f>ventas_b_mes1255[[#This Row],[TOTAL]]/1.21</f>
        <v>0</v>
      </c>
      <c r="I827" s="64">
        <f>ventas_b_mes1255[[#This Row],[IMPORTE NETO]]*0.21</f>
        <v>0</v>
      </c>
      <c r="J827" s="184"/>
      <c r="K827" s="184"/>
      <c r="L827" s="184"/>
      <c r="M827" s="59"/>
    </row>
    <row r="828" spans="2:13" x14ac:dyDescent="0.3">
      <c r="B828" s="178"/>
      <c r="C828" s="179"/>
      <c r="D828" s="180"/>
      <c r="E828" s="181"/>
      <c r="F828" s="113"/>
      <c r="G828" s="1" t="str">
        <f>IFERROR(IF(ventas_b_mes1255[[#This Row],[CUIT]]="","-",VLOOKUP(ventas_b_mes1255[[#This Row],[CUIT]],Lista_CUIT[#All],2,0)),"CUIT NO CARGADO")</f>
        <v>-</v>
      </c>
      <c r="H828" s="100">
        <f>ventas_b_mes1255[[#This Row],[TOTAL]]/1.21</f>
        <v>0</v>
      </c>
      <c r="I828" s="64">
        <f>ventas_b_mes1255[[#This Row],[IMPORTE NETO]]*0.21</f>
        <v>0</v>
      </c>
      <c r="J828" s="184"/>
      <c r="K828" s="184"/>
      <c r="L828" s="184"/>
      <c r="M828" s="59"/>
    </row>
    <row r="829" spans="2:13" x14ac:dyDescent="0.3">
      <c r="B829" s="178"/>
      <c r="C829" s="179"/>
      <c r="D829" s="180"/>
      <c r="E829" s="181"/>
      <c r="F829" s="113"/>
      <c r="G829" s="1" t="str">
        <f>IFERROR(IF(ventas_b_mes1255[[#This Row],[CUIT]]="","-",VLOOKUP(ventas_b_mes1255[[#This Row],[CUIT]],Lista_CUIT[#All],2,0)),"CUIT NO CARGADO")</f>
        <v>-</v>
      </c>
      <c r="H829" s="100">
        <f>ventas_b_mes1255[[#This Row],[TOTAL]]/1.21</f>
        <v>0</v>
      </c>
      <c r="I829" s="64">
        <f>ventas_b_mes1255[[#This Row],[IMPORTE NETO]]*0.21</f>
        <v>0</v>
      </c>
      <c r="J829" s="184"/>
      <c r="K829" s="184"/>
      <c r="L829" s="184"/>
      <c r="M829" s="59"/>
    </row>
    <row r="830" spans="2:13" x14ac:dyDescent="0.3">
      <c r="B830" s="178"/>
      <c r="C830" s="179"/>
      <c r="D830" s="180"/>
      <c r="E830" s="181"/>
      <c r="F830" s="113"/>
      <c r="G830" s="1" t="str">
        <f>IFERROR(IF(ventas_b_mes1255[[#This Row],[CUIT]]="","-",VLOOKUP(ventas_b_mes1255[[#This Row],[CUIT]],Lista_CUIT[#All],2,0)),"CUIT NO CARGADO")</f>
        <v>-</v>
      </c>
      <c r="H830" s="100">
        <f>ventas_b_mes1255[[#This Row],[TOTAL]]/1.21</f>
        <v>0</v>
      </c>
      <c r="I830" s="64">
        <f>ventas_b_mes1255[[#This Row],[IMPORTE NETO]]*0.21</f>
        <v>0</v>
      </c>
      <c r="J830" s="184"/>
      <c r="K830" s="184"/>
      <c r="L830" s="184"/>
      <c r="M830" s="59"/>
    </row>
    <row r="831" spans="2:13" x14ac:dyDescent="0.3">
      <c r="B831" s="178"/>
      <c r="C831" s="179"/>
      <c r="D831" s="180"/>
      <c r="E831" s="181"/>
      <c r="F831" s="113"/>
      <c r="G831" s="1" t="str">
        <f>IFERROR(IF(ventas_b_mes1255[[#This Row],[CUIT]]="","-",VLOOKUP(ventas_b_mes1255[[#This Row],[CUIT]],Lista_CUIT[#All],2,0)),"CUIT NO CARGADO")</f>
        <v>-</v>
      </c>
      <c r="H831" s="100">
        <f>ventas_b_mes1255[[#This Row],[TOTAL]]/1.21</f>
        <v>0</v>
      </c>
      <c r="I831" s="64">
        <f>ventas_b_mes1255[[#This Row],[IMPORTE NETO]]*0.21</f>
        <v>0</v>
      </c>
      <c r="J831" s="184"/>
      <c r="K831" s="184"/>
      <c r="L831" s="184"/>
      <c r="M831" s="59"/>
    </row>
    <row r="832" spans="2:13" x14ac:dyDescent="0.3">
      <c r="B832" s="178"/>
      <c r="C832" s="179"/>
      <c r="D832" s="180"/>
      <c r="E832" s="181"/>
      <c r="F832" s="113"/>
      <c r="G832" s="1" t="str">
        <f>IFERROR(IF(ventas_b_mes1255[[#This Row],[CUIT]]="","-",VLOOKUP(ventas_b_mes1255[[#This Row],[CUIT]],Lista_CUIT[#All],2,0)),"CUIT NO CARGADO")</f>
        <v>-</v>
      </c>
      <c r="H832" s="100">
        <f>ventas_b_mes1255[[#This Row],[TOTAL]]/1.21</f>
        <v>0</v>
      </c>
      <c r="I832" s="64">
        <f>ventas_b_mes1255[[#This Row],[IMPORTE NETO]]*0.21</f>
        <v>0</v>
      </c>
      <c r="J832" s="184"/>
      <c r="K832" s="184"/>
      <c r="L832" s="184"/>
      <c r="M832" s="59"/>
    </row>
    <row r="833" spans="2:13" x14ac:dyDescent="0.3">
      <c r="B833" s="178"/>
      <c r="C833" s="179"/>
      <c r="D833" s="180"/>
      <c r="E833" s="181"/>
      <c r="F833" s="113"/>
      <c r="G833" s="1" t="str">
        <f>IFERROR(IF(ventas_b_mes1255[[#This Row],[CUIT]]="","-",VLOOKUP(ventas_b_mes1255[[#This Row],[CUIT]],Lista_CUIT[#All],2,0)),"CUIT NO CARGADO")</f>
        <v>-</v>
      </c>
      <c r="H833" s="100">
        <f>ventas_b_mes1255[[#This Row],[TOTAL]]/1.21</f>
        <v>0</v>
      </c>
      <c r="I833" s="64">
        <f>ventas_b_mes1255[[#This Row],[IMPORTE NETO]]*0.21</f>
        <v>0</v>
      </c>
      <c r="J833" s="184"/>
      <c r="K833" s="184"/>
      <c r="L833" s="184"/>
      <c r="M833" s="59"/>
    </row>
    <row r="834" spans="2:13" x14ac:dyDescent="0.3">
      <c r="B834" s="178"/>
      <c r="C834" s="179"/>
      <c r="D834" s="180"/>
      <c r="E834" s="181"/>
      <c r="F834" s="113"/>
      <c r="G834" s="1" t="str">
        <f>IFERROR(IF(ventas_b_mes1255[[#This Row],[CUIT]]="","-",VLOOKUP(ventas_b_mes1255[[#This Row],[CUIT]],Lista_CUIT[#All],2,0)),"CUIT NO CARGADO")</f>
        <v>-</v>
      </c>
      <c r="H834" s="100">
        <f>ventas_b_mes1255[[#This Row],[TOTAL]]/1.21</f>
        <v>0</v>
      </c>
      <c r="I834" s="64">
        <f>ventas_b_mes1255[[#This Row],[IMPORTE NETO]]*0.21</f>
        <v>0</v>
      </c>
      <c r="J834" s="184"/>
      <c r="K834" s="184"/>
      <c r="L834" s="184"/>
      <c r="M834" s="59"/>
    </row>
    <row r="835" spans="2:13" x14ac:dyDescent="0.3">
      <c r="B835" s="178"/>
      <c r="C835" s="179"/>
      <c r="D835" s="180"/>
      <c r="E835" s="181"/>
      <c r="F835" s="113"/>
      <c r="G835" s="1" t="str">
        <f>IFERROR(IF(ventas_b_mes1255[[#This Row],[CUIT]]="","-",VLOOKUP(ventas_b_mes1255[[#This Row],[CUIT]],Lista_CUIT[#All],2,0)),"CUIT NO CARGADO")</f>
        <v>-</v>
      </c>
      <c r="H835" s="100">
        <f>ventas_b_mes1255[[#This Row],[TOTAL]]/1.21</f>
        <v>0</v>
      </c>
      <c r="I835" s="64">
        <f>ventas_b_mes1255[[#This Row],[IMPORTE NETO]]*0.21</f>
        <v>0</v>
      </c>
      <c r="J835" s="184"/>
      <c r="K835" s="184"/>
      <c r="L835" s="184"/>
      <c r="M835" s="59"/>
    </row>
    <row r="836" spans="2:13" x14ac:dyDescent="0.3">
      <c r="B836" s="178"/>
      <c r="C836" s="179"/>
      <c r="D836" s="180"/>
      <c r="E836" s="181"/>
      <c r="F836" s="113"/>
      <c r="G836" s="1" t="str">
        <f>IFERROR(IF(ventas_b_mes1255[[#This Row],[CUIT]]="","-",VLOOKUP(ventas_b_mes1255[[#This Row],[CUIT]],Lista_CUIT[#All],2,0)),"CUIT NO CARGADO")</f>
        <v>-</v>
      </c>
      <c r="H836" s="100">
        <f>ventas_b_mes1255[[#This Row],[TOTAL]]/1.21</f>
        <v>0</v>
      </c>
      <c r="I836" s="64">
        <f>ventas_b_mes1255[[#This Row],[IMPORTE NETO]]*0.21</f>
        <v>0</v>
      </c>
      <c r="J836" s="184"/>
      <c r="K836" s="184"/>
      <c r="L836" s="184"/>
      <c r="M836" s="59"/>
    </row>
    <row r="837" spans="2:13" x14ac:dyDescent="0.3">
      <c r="B837" s="178"/>
      <c r="C837" s="179"/>
      <c r="D837" s="180"/>
      <c r="E837" s="181"/>
      <c r="F837" s="113"/>
      <c r="G837" s="1" t="str">
        <f>IFERROR(IF(ventas_b_mes1255[[#This Row],[CUIT]]="","-",VLOOKUP(ventas_b_mes1255[[#This Row],[CUIT]],Lista_CUIT[#All],2,0)),"CUIT NO CARGADO")</f>
        <v>-</v>
      </c>
      <c r="H837" s="100">
        <f>ventas_b_mes1255[[#This Row],[TOTAL]]/1.21</f>
        <v>0</v>
      </c>
      <c r="I837" s="64">
        <f>ventas_b_mes1255[[#This Row],[IMPORTE NETO]]*0.21</f>
        <v>0</v>
      </c>
      <c r="J837" s="184"/>
      <c r="K837" s="184"/>
      <c r="L837" s="184"/>
      <c r="M837" s="59"/>
    </row>
    <row r="838" spans="2:13" x14ac:dyDescent="0.3">
      <c r="B838" s="178"/>
      <c r="C838" s="179"/>
      <c r="D838" s="180"/>
      <c r="E838" s="181"/>
      <c r="F838" s="113"/>
      <c r="G838" s="1" t="str">
        <f>IFERROR(IF(ventas_b_mes1255[[#This Row],[CUIT]]="","-",VLOOKUP(ventas_b_mes1255[[#This Row],[CUIT]],Lista_CUIT[#All],2,0)),"CUIT NO CARGADO")</f>
        <v>-</v>
      </c>
      <c r="H838" s="100">
        <f>ventas_b_mes1255[[#This Row],[TOTAL]]/1.21</f>
        <v>0</v>
      </c>
      <c r="I838" s="64">
        <f>ventas_b_mes1255[[#This Row],[IMPORTE NETO]]*0.21</f>
        <v>0</v>
      </c>
      <c r="J838" s="184"/>
      <c r="K838" s="184"/>
      <c r="L838" s="184"/>
      <c r="M838" s="59"/>
    </row>
    <row r="839" spans="2:13" x14ac:dyDescent="0.3">
      <c r="B839" s="178"/>
      <c r="C839" s="179"/>
      <c r="D839" s="180"/>
      <c r="E839" s="181"/>
      <c r="F839" s="113"/>
      <c r="G839" s="1" t="str">
        <f>IFERROR(IF(ventas_b_mes1255[[#This Row],[CUIT]]="","-",VLOOKUP(ventas_b_mes1255[[#This Row],[CUIT]],Lista_CUIT[#All],2,0)),"CUIT NO CARGADO")</f>
        <v>-</v>
      </c>
      <c r="H839" s="100">
        <f>ventas_b_mes1255[[#This Row],[TOTAL]]/1.21</f>
        <v>0</v>
      </c>
      <c r="I839" s="64">
        <f>ventas_b_mes1255[[#This Row],[IMPORTE NETO]]*0.21</f>
        <v>0</v>
      </c>
      <c r="J839" s="184"/>
      <c r="K839" s="184"/>
      <c r="L839" s="184"/>
      <c r="M839" s="59"/>
    </row>
    <row r="840" spans="2:13" x14ac:dyDescent="0.3">
      <c r="B840" s="178"/>
      <c r="C840" s="179"/>
      <c r="D840" s="180"/>
      <c r="E840" s="181"/>
      <c r="F840" s="113"/>
      <c r="G840" s="1" t="str">
        <f>IFERROR(IF(ventas_b_mes1255[[#This Row],[CUIT]]="","-",VLOOKUP(ventas_b_mes1255[[#This Row],[CUIT]],Lista_CUIT[#All],2,0)),"CUIT NO CARGADO")</f>
        <v>-</v>
      </c>
      <c r="H840" s="100">
        <f>ventas_b_mes1255[[#This Row],[TOTAL]]/1.21</f>
        <v>0</v>
      </c>
      <c r="I840" s="64">
        <f>ventas_b_mes1255[[#This Row],[IMPORTE NETO]]*0.21</f>
        <v>0</v>
      </c>
      <c r="J840" s="184"/>
      <c r="K840" s="184"/>
      <c r="L840" s="184"/>
      <c r="M840" s="59"/>
    </row>
    <row r="841" spans="2:13" x14ac:dyDescent="0.3">
      <c r="B841" s="178"/>
      <c r="C841" s="179"/>
      <c r="D841" s="180"/>
      <c r="E841" s="181"/>
      <c r="F841" s="113"/>
      <c r="G841" s="1" t="str">
        <f>IFERROR(IF(ventas_b_mes1255[[#This Row],[CUIT]]="","-",VLOOKUP(ventas_b_mes1255[[#This Row],[CUIT]],Lista_CUIT[#All],2,0)),"CUIT NO CARGADO")</f>
        <v>-</v>
      </c>
      <c r="H841" s="100">
        <f>ventas_b_mes1255[[#This Row],[TOTAL]]/1.21</f>
        <v>0</v>
      </c>
      <c r="I841" s="64">
        <f>ventas_b_mes1255[[#This Row],[IMPORTE NETO]]*0.21</f>
        <v>0</v>
      </c>
      <c r="J841" s="184"/>
      <c r="K841" s="184"/>
      <c r="L841" s="184"/>
      <c r="M841" s="59"/>
    </row>
    <row r="842" spans="2:13" x14ac:dyDescent="0.3">
      <c r="B842" s="178"/>
      <c r="C842" s="179"/>
      <c r="D842" s="180"/>
      <c r="E842" s="181"/>
      <c r="F842" s="113"/>
      <c r="G842" s="1" t="str">
        <f>IFERROR(IF(ventas_b_mes1255[[#This Row],[CUIT]]="","-",VLOOKUP(ventas_b_mes1255[[#This Row],[CUIT]],Lista_CUIT[#All],2,0)),"CUIT NO CARGADO")</f>
        <v>-</v>
      </c>
      <c r="H842" s="100">
        <f>ventas_b_mes1255[[#This Row],[TOTAL]]/1.21</f>
        <v>0</v>
      </c>
      <c r="I842" s="64">
        <f>ventas_b_mes1255[[#This Row],[IMPORTE NETO]]*0.21</f>
        <v>0</v>
      </c>
      <c r="J842" s="184"/>
      <c r="K842" s="184"/>
      <c r="L842" s="184"/>
      <c r="M842" s="59"/>
    </row>
    <row r="843" spans="2:13" x14ac:dyDescent="0.3">
      <c r="B843" s="178"/>
      <c r="C843" s="179"/>
      <c r="D843" s="180"/>
      <c r="E843" s="181"/>
      <c r="F843" s="113"/>
      <c r="G843" s="1" t="str">
        <f>IFERROR(IF(ventas_b_mes1255[[#This Row],[CUIT]]="","-",VLOOKUP(ventas_b_mes1255[[#This Row],[CUIT]],Lista_CUIT[#All],2,0)),"CUIT NO CARGADO")</f>
        <v>-</v>
      </c>
      <c r="H843" s="100">
        <f>ventas_b_mes1255[[#This Row],[TOTAL]]/1.21</f>
        <v>0</v>
      </c>
      <c r="I843" s="64">
        <f>ventas_b_mes1255[[#This Row],[IMPORTE NETO]]*0.21</f>
        <v>0</v>
      </c>
      <c r="J843" s="184"/>
      <c r="K843" s="184"/>
      <c r="L843" s="184"/>
      <c r="M843" s="59"/>
    </row>
    <row r="844" spans="2:13" x14ac:dyDescent="0.3">
      <c r="B844" s="178"/>
      <c r="C844" s="179"/>
      <c r="D844" s="180"/>
      <c r="E844" s="181"/>
      <c r="F844" s="113"/>
      <c r="G844" s="1" t="str">
        <f>IFERROR(IF(ventas_b_mes1255[[#This Row],[CUIT]]="","-",VLOOKUP(ventas_b_mes1255[[#This Row],[CUIT]],Lista_CUIT[#All],2,0)),"CUIT NO CARGADO")</f>
        <v>-</v>
      </c>
      <c r="H844" s="100">
        <f>ventas_b_mes1255[[#This Row],[TOTAL]]/1.21</f>
        <v>0</v>
      </c>
      <c r="I844" s="64">
        <f>ventas_b_mes1255[[#This Row],[IMPORTE NETO]]*0.21</f>
        <v>0</v>
      </c>
      <c r="J844" s="184"/>
      <c r="K844" s="184"/>
      <c r="L844" s="184"/>
      <c r="M844" s="59"/>
    </row>
    <row r="845" spans="2:13" x14ac:dyDescent="0.3">
      <c r="B845" s="178"/>
      <c r="C845" s="179"/>
      <c r="D845" s="180"/>
      <c r="E845" s="181"/>
      <c r="F845" s="113"/>
      <c r="G845" s="1" t="str">
        <f>IFERROR(IF(ventas_b_mes1255[[#This Row],[CUIT]]="","-",VLOOKUP(ventas_b_mes1255[[#This Row],[CUIT]],Lista_CUIT[#All],2,0)),"CUIT NO CARGADO")</f>
        <v>-</v>
      </c>
      <c r="H845" s="100">
        <f>ventas_b_mes1255[[#This Row],[TOTAL]]/1.21</f>
        <v>0</v>
      </c>
      <c r="I845" s="64">
        <f>ventas_b_mes1255[[#This Row],[IMPORTE NETO]]*0.21</f>
        <v>0</v>
      </c>
      <c r="J845" s="184"/>
      <c r="K845" s="184"/>
      <c r="L845" s="184"/>
      <c r="M845" s="59"/>
    </row>
    <row r="846" spans="2:13" x14ac:dyDescent="0.3">
      <c r="B846" s="178"/>
      <c r="C846" s="179"/>
      <c r="D846" s="180"/>
      <c r="E846" s="181"/>
      <c r="F846" s="113"/>
      <c r="G846" s="1" t="str">
        <f>IFERROR(IF(ventas_b_mes1255[[#This Row],[CUIT]]="","-",VLOOKUP(ventas_b_mes1255[[#This Row],[CUIT]],Lista_CUIT[#All],2,0)),"CUIT NO CARGADO")</f>
        <v>-</v>
      </c>
      <c r="H846" s="100">
        <f>ventas_b_mes1255[[#This Row],[TOTAL]]/1.21</f>
        <v>0</v>
      </c>
      <c r="I846" s="64">
        <f>ventas_b_mes1255[[#This Row],[IMPORTE NETO]]*0.21</f>
        <v>0</v>
      </c>
      <c r="J846" s="184"/>
      <c r="K846" s="184"/>
      <c r="L846" s="184"/>
      <c r="M846" s="59"/>
    </row>
    <row r="847" spans="2:13" x14ac:dyDescent="0.3">
      <c r="B847" s="178"/>
      <c r="C847" s="179"/>
      <c r="D847" s="180"/>
      <c r="E847" s="181"/>
      <c r="F847" s="113"/>
      <c r="G847" s="1" t="str">
        <f>IFERROR(IF(ventas_b_mes1255[[#This Row],[CUIT]]="","-",VLOOKUP(ventas_b_mes1255[[#This Row],[CUIT]],Lista_CUIT[#All],2,0)),"CUIT NO CARGADO")</f>
        <v>-</v>
      </c>
      <c r="H847" s="100">
        <f>ventas_b_mes1255[[#This Row],[TOTAL]]/1.21</f>
        <v>0</v>
      </c>
      <c r="I847" s="64">
        <f>ventas_b_mes1255[[#This Row],[IMPORTE NETO]]*0.21</f>
        <v>0</v>
      </c>
      <c r="J847" s="184"/>
      <c r="K847" s="184"/>
      <c r="L847" s="184"/>
      <c r="M847" s="59"/>
    </row>
    <row r="848" spans="2:13" x14ac:dyDescent="0.3">
      <c r="B848" s="178"/>
      <c r="C848" s="179"/>
      <c r="D848" s="180"/>
      <c r="E848" s="181"/>
      <c r="F848" s="113"/>
      <c r="G848" s="1" t="str">
        <f>IFERROR(IF(ventas_b_mes1255[[#This Row],[CUIT]]="","-",VLOOKUP(ventas_b_mes1255[[#This Row],[CUIT]],Lista_CUIT[#All],2,0)),"CUIT NO CARGADO")</f>
        <v>-</v>
      </c>
      <c r="H848" s="100">
        <f>ventas_b_mes1255[[#This Row],[TOTAL]]/1.21</f>
        <v>0</v>
      </c>
      <c r="I848" s="64">
        <f>ventas_b_mes1255[[#This Row],[IMPORTE NETO]]*0.21</f>
        <v>0</v>
      </c>
      <c r="J848" s="184"/>
      <c r="K848" s="184"/>
      <c r="L848" s="184"/>
      <c r="M848" s="59"/>
    </row>
    <row r="849" spans="2:13" x14ac:dyDescent="0.3">
      <c r="B849" s="178"/>
      <c r="C849" s="179"/>
      <c r="D849" s="180"/>
      <c r="E849" s="181"/>
      <c r="F849" s="113"/>
      <c r="G849" s="1" t="str">
        <f>IFERROR(IF(ventas_b_mes1255[[#This Row],[CUIT]]="","-",VLOOKUP(ventas_b_mes1255[[#This Row],[CUIT]],Lista_CUIT[#All],2,0)),"CUIT NO CARGADO")</f>
        <v>-</v>
      </c>
      <c r="H849" s="100">
        <f>ventas_b_mes1255[[#This Row],[TOTAL]]/1.21</f>
        <v>0</v>
      </c>
      <c r="I849" s="64">
        <f>ventas_b_mes1255[[#This Row],[IMPORTE NETO]]*0.21</f>
        <v>0</v>
      </c>
      <c r="J849" s="184"/>
      <c r="K849" s="184"/>
      <c r="L849" s="184"/>
      <c r="M849" s="59"/>
    </row>
    <row r="850" spans="2:13" x14ac:dyDescent="0.3">
      <c r="B850" s="178"/>
      <c r="C850" s="179"/>
      <c r="D850" s="180"/>
      <c r="E850" s="181"/>
      <c r="F850" s="113"/>
      <c r="G850" s="1" t="str">
        <f>IFERROR(IF(ventas_b_mes1255[[#This Row],[CUIT]]="","-",VLOOKUP(ventas_b_mes1255[[#This Row],[CUIT]],Lista_CUIT[#All],2,0)),"CUIT NO CARGADO")</f>
        <v>-</v>
      </c>
      <c r="H850" s="100">
        <f>ventas_b_mes1255[[#This Row],[TOTAL]]/1.21</f>
        <v>0</v>
      </c>
      <c r="I850" s="64">
        <f>ventas_b_mes1255[[#This Row],[IMPORTE NETO]]*0.21</f>
        <v>0</v>
      </c>
      <c r="J850" s="184"/>
      <c r="K850" s="184"/>
      <c r="L850" s="184"/>
      <c r="M850" s="59"/>
    </row>
    <row r="851" spans="2:13" x14ac:dyDescent="0.3">
      <c r="B851" s="178"/>
      <c r="C851" s="179"/>
      <c r="D851" s="180"/>
      <c r="E851" s="181"/>
      <c r="F851" s="113"/>
      <c r="G851" s="1" t="str">
        <f>IFERROR(IF(ventas_b_mes1255[[#This Row],[CUIT]]="","-",VLOOKUP(ventas_b_mes1255[[#This Row],[CUIT]],Lista_CUIT[#All],2,0)),"CUIT NO CARGADO")</f>
        <v>-</v>
      </c>
      <c r="H851" s="100">
        <f>ventas_b_mes1255[[#This Row],[TOTAL]]/1.21</f>
        <v>0</v>
      </c>
      <c r="I851" s="64">
        <f>ventas_b_mes1255[[#This Row],[IMPORTE NETO]]*0.21</f>
        <v>0</v>
      </c>
      <c r="J851" s="184"/>
      <c r="K851" s="184"/>
      <c r="L851" s="184"/>
      <c r="M851" s="59"/>
    </row>
    <row r="852" spans="2:13" x14ac:dyDescent="0.3">
      <c r="B852" s="178"/>
      <c r="C852" s="179"/>
      <c r="D852" s="180"/>
      <c r="E852" s="181"/>
      <c r="F852" s="113"/>
      <c r="G852" s="1" t="str">
        <f>IFERROR(IF(ventas_b_mes1255[[#This Row],[CUIT]]="","-",VLOOKUP(ventas_b_mes1255[[#This Row],[CUIT]],Lista_CUIT[#All],2,0)),"CUIT NO CARGADO")</f>
        <v>-</v>
      </c>
      <c r="H852" s="100">
        <f>ventas_b_mes1255[[#This Row],[TOTAL]]/1.21</f>
        <v>0</v>
      </c>
      <c r="I852" s="64">
        <f>ventas_b_mes1255[[#This Row],[IMPORTE NETO]]*0.21</f>
        <v>0</v>
      </c>
      <c r="J852" s="184"/>
      <c r="K852" s="184"/>
      <c r="L852" s="184"/>
      <c r="M852" s="59"/>
    </row>
    <row r="853" spans="2:13" x14ac:dyDescent="0.3">
      <c r="B853" s="178"/>
      <c r="C853" s="179"/>
      <c r="D853" s="180"/>
      <c r="E853" s="181"/>
      <c r="F853" s="113"/>
      <c r="G853" s="1" t="str">
        <f>IFERROR(IF(ventas_b_mes1255[[#This Row],[CUIT]]="","-",VLOOKUP(ventas_b_mes1255[[#This Row],[CUIT]],Lista_CUIT[#All],2,0)),"CUIT NO CARGADO")</f>
        <v>-</v>
      </c>
      <c r="H853" s="100">
        <f>ventas_b_mes1255[[#This Row],[TOTAL]]/1.21</f>
        <v>0</v>
      </c>
      <c r="I853" s="64">
        <f>ventas_b_mes1255[[#This Row],[IMPORTE NETO]]*0.21</f>
        <v>0</v>
      </c>
      <c r="J853" s="184"/>
      <c r="K853" s="184"/>
      <c r="L853" s="184"/>
      <c r="M853" s="59"/>
    </row>
    <row r="854" spans="2:13" x14ac:dyDescent="0.3">
      <c r="B854" s="178"/>
      <c r="C854" s="179"/>
      <c r="D854" s="180"/>
      <c r="E854" s="181"/>
      <c r="F854" s="113"/>
      <c r="G854" s="1" t="str">
        <f>IFERROR(IF(ventas_b_mes1255[[#This Row],[CUIT]]="","-",VLOOKUP(ventas_b_mes1255[[#This Row],[CUIT]],Lista_CUIT[#All],2,0)),"CUIT NO CARGADO")</f>
        <v>-</v>
      </c>
      <c r="H854" s="100">
        <f>ventas_b_mes1255[[#This Row],[TOTAL]]/1.21</f>
        <v>0</v>
      </c>
      <c r="I854" s="64">
        <f>ventas_b_mes1255[[#This Row],[IMPORTE NETO]]*0.21</f>
        <v>0</v>
      </c>
      <c r="J854" s="184"/>
      <c r="K854" s="184"/>
      <c r="L854" s="184"/>
      <c r="M854" s="59"/>
    </row>
    <row r="855" spans="2:13" x14ac:dyDescent="0.3">
      <c r="B855" s="178"/>
      <c r="C855" s="179"/>
      <c r="D855" s="180"/>
      <c r="E855" s="181"/>
      <c r="F855" s="113"/>
      <c r="G855" s="1" t="str">
        <f>IFERROR(IF(ventas_b_mes1255[[#This Row],[CUIT]]="","-",VLOOKUP(ventas_b_mes1255[[#This Row],[CUIT]],Lista_CUIT[#All],2,0)),"CUIT NO CARGADO")</f>
        <v>-</v>
      </c>
      <c r="H855" s="100">
        <f>ventas_b_mes1255[[#This Row],[TOTAL]]/1.21</f>
        <v>0</v>
      </c>
      <c r="I855" s="64">
        <f>ventas_b_mes1255[[#This Row],[IMPORTE NETO]]*0.21</f>
        <v>0</v>
      </c>
      <c r="J855" s="184"/>
      <c r="K855" s="184"/>
      <c r="L855" s="184"/>
      <c r="M855" s="59"/>
    </row>
    <row r="856" spans="2:13" x14ac:dyDescent="0.3">
      <c r="B856" s="178"/>
      <c r="C856" s="179"/>
      <c r="D856" s="180"/>
      <c r="E856" s="181"/>
      <c r="F856" s="113"/>
      <c r="G856" s="1" t="str">
        <f>IFERROR(IF(ventas_b_mes1255[[#This Row],[CUIT]]="","-",VLOOKUP(ventas_b_mes1255[[#This Row],[CUIT]],Lista_CUIT[#All],2,0)),"CUIT NO CARGADO")</f>
        <v>-</v>
      </c>
      <c r="H856" s="100">
        <f>ventas_b_mes1255[[#This Row],[TOTAL]]/1.21</f>
        <v>0</v>
      </c>
      <c r="I856" s="64">
        <f>ventas_b_mes1255[[#This Row],[IMPORTE NETO]]*0.21</f>
        <v>0</v>
      </c>
      <c r="J856" s="184"/>
      <c r="K856" s="184"/>
      <c r="L856" s="184"/>
      <c r="M856" s="59"/>
    </row>
    <row r="857" spans="2:13" x14ac:dyDescent="0.3">
      <c r="B857" s="178"/>
      <c r="C857" s="179"/>
      <c r="D857" s="180"/>
      <c r="E857" s="181"/>
      <c r="F857" s="113"/>
      <c r="G857" s="1" t="str">
        <f>IFERROR(IF(ventas_b_mes1255[[#This Row],[CUIT]]="","-",VLOOKUP(ventas_b_mes1255[[#This Row],[CUIT]],Lista_CUIT[#All],2,0)),"CUIT NO CARGADO")</f>
        <v>-</v>
      </c>
      <c r="H857" s="100">
        <f>ventas_b_mes1255[[#This Row],[TOTAL]]/1.21</f>
        <v>0</v>
      </c>
      <c r="I857" s="64">
        <f>ventas_b_mes1255[[#This Row],[IMPORTE NETO]]*0.21</f>
        <v>0</v>
      </c>
      <c r="J857" s="184"/>
      <c r="K857" s="184"/>
      <c r="L857" s="184"/>
      <c r="M857" s="59"/>
    </row>
    <row r="858" spans="2:13" x14ac:dyDescent="0.3">
      <c r="B858" s="178"/>
      <c r="C858" s="179"/>
      <c r="D858" s="180"/>
      <c r="E858" s="181"/>
      <c r="F858" s="113"/>
      <c r="G858" s="1" t="str">
        <f>IFERROR(IF(ventas_b_mes1255[[#This Row],[CUIT]]="","-",VLOOKUP(ventas_b_mes1255[[#This Row],[CUIT]],Lista_CUIT[#All],2,0)),"CUIT NO CARGADO")</f>
        <v>-</v>
      </c>
      <c r="H858" s="100">
        <f>ventas_b_mes1255[[#This Row],[TOTAL]]/1.21</f>
        <v>0</v>
      </c>
      <c r="I858" s="64">
        <f>ventas_b_mes1255[[#This Row],[IMPORTE NETO]]*0.21</f>
        <v>0</v>
      </c>
      <c r="J858" s="184"/>
      <c r="K858" s="184"/>
      <c r="L858" s="184"/>
      <c r="M858" s="59"/>
    </row>
    <row r="859" spans="2:13" x14ac:dyDescent="0.3">
      <c r="B859" s="178"/>
      <c r="C859" s="179"/>
      <c r="D859" s="180"/>
      <c r="E859" s="181"/>
      <c r="F859" s="113"/>
      <c r="G859" s="1" t="str">
        <f>IFERROR(IF(ventas_b_mes1255[[#This Row],[CUIT]]="","-",VLOOKUP(ventas_b_mes1255[[#This Row],[CUIT]],Lista_CUIT[#All],2,0)),"CUIT NO CARGADO")</f>
        <v>-</v>
      </c>
      <c r="H859" s="100">
        <f>ventas_b_mes1255[[#This Row],[TOTAL]]/1.21</f>
        <v>0</v>
      </c>
      <c r="I859" s="64">
        <f>ventas_b_mes1255[[#This Row],[IMPORTE NETO]]*0.21</f>
        <v>0</v>
      </c>
      <c r="J859" s="184"/>
      <c r="K859" s="184"/>
      <c r="L859" s="184"/>
      <c r="M859" s="59"/>
    </row>
    <row r="860" spans="2:13" x14ac:dyDescent="0.3">
      <c r="B860" s="178"/>
      <c r="C860" s="179"/>
      <c r="D860" s="180"/>
      <c r="E860" s="181"/>
      <c r="F860" s="113"/>
      <c r="G860" s="1" t="str">
        <f>IFERROR(IF(ventas_b_mes1255[[#This Row],[CUIT]]="","-",VLOOKUP(ventas_b_mes1255[[#This Row],[CUIT]],Lista_CUIT[#All],2,0)),"CUIT NO CARGADO")</f>
        <v>-</v>
      </c>
      <c r="H860" s="100">
        <f>ventas_b_mes1255[[#This Row],[TOTAL]]/1.21</f>
        <v>0</v>
      </c>
      <c r="I860" s="64">
        <f>ventas_b_mes1255[[#This Row],[IMPORTE NETO]]*0.21</f>
        <v>0</v>
      </c>
      <c r="J860" s="184"/>
      <c r="K860" s="184"/>
      <c r="L860" s="184"/>
      <c r="M860" s="59"/>
    </row>
    <row r="861" spans="2:13" x14ac:dyDescent="0.3">
      <c r="B861" s="178"/>
      <c r="C861" s="179"/>
      <c r="D861" s="180"/>
      <c r="E861" s="181"/>
      <c r="F861" s="113"/>
      <c r="G861" s="1" t="str">
        <f>IFERROR(IF(ventas_b_mes1255[[#This Row],[CUIT]]="","-",VLOOKUP(ventas_b_mes1255[[#This Row],[CUIT]],Lista_CUIT[#All],2,0)),"CUIT NO CARGADO")</f>
        <v>-</v>
      </c>
      <c r="H861" s="100">
        <f>ventas_b_mes1255[[#This Row],[TOTAL]]/1.21</f>
        <v>0</v>
      </c>
      <c r="I861" s="64">
        <f>ventas_b_mes1255[[#This Row],[IMPORTE NETO]]*0.21</f>
        <v>0</v>
      </c>
      <c r="J861" s="184"/>
      <c r="K861" s="184"/>
      <c r="L861" s="184"/>
      <c r="M861" s="59"/>
    </row>
    <row r="862" spans="2:13" x14ac:dyDescent="0.3">
      <c r="B862" s="178"/>
      <c r="C862" s="179"/>
      <c r="D862" s="180"/>
      <c r="E862" s="181"/>
      <c r="F862" s="113"/>
      <c r="G862" s="1" t="str">
        <f>IFERROR(IF(ventas_b_mes1255[[#This Row],[CUIT]]="","-",VLOOKUP(ventas_b_mes1255[[#This Row],[CUIT]],Lista_CUIT[#All],2,0)),"CUIT NO CARGADO")</f>
        <v>-</v>
      </c>
      <c r="H862" s="100">
        <f>ventas_b_mes1255[[#This Row],[TOTAL]]/1.21</f>
        <v>0</v>
      </c>
      <c r="I862" s="64">
        <f>ventas_b_mes1255[[#This Row],[IMPORTE NETO]]*0.21</f>
        <v>0</v>
      </c>
      <c r="J862" s="184"/>
      <c r="K862" s="184"/>
      <c r="L862" s="184"/>
      <c r="M862" s="59"/>
    </row>
    <row r="863" spans="2:13" x14ac:dyDescent="0.3">
      <c r="B863" s="178"/>
      <c r="C863" s="179"/>
      <c r="D863" s="180"/>
      <c r="E863" s="181"/>
      <c r="F863" s="113"/>
      <c r="G863" s="1" t="str">
        <f>IFERROR(IF(ventas_b_mes1255[[#This Row],[CUIT]]="","-",VLOOKUP(ventas_b_mes1255[[#This Row],[CUIT]],Lista_CUIT[#All],2,0)),"CUIT NO CARGADO")</f>
        <v>-</v>
      </c>
      <c r="H863" s="100">
        <f>ventas_b_mes1255[[#This Row],[TOTAL]]/1.21</f>
        <v>0</v>
      </c>
      <c r="I863" s="64">
        <f>ventas_b_mes1255[[#This Row],[IMPORTE NETO]]*0.21</f>
        <v>0</v>
      </c>
      <c r="J863" s="184"/>
      <c r="K863" s="184"/>
      <c r="L863" s="184"/>
      <c r="M863" s="59"/>
    </row>
    <row r="864" spans="2:13" x14ac:dyDescent="0.3">
      <c r="B864" s="178"/>
      <c r="C864" s="179"/>
      <c r="D864" s="180"/>
      <c r="E864" s="181"/>
      <c r="F864" s="113"/>
      <c r="G864" s="1" t="str">
        <f>IFERROR(IF(ventas_b_mes1255[[#This Row],[CUIT]]="","-",VLOOKUP(ventas_b_mes1255[[#This Row],[CUIT]],Lista_CUIT[#All],2,0)),"CUIT NO CARGADO")</f>
        <v>-</v>
      </c>
      <c r="H864" s="100">
        <f>ventas_b_mes1255[[#This Row],[TOTAL]]/1.21</f>
        <v>0</v>
      </c>
      <c r="I864" s="64">
        <f>ventas_b_mes1255[[#This Row],[IMPORTE NETO]]*0.21</f>
        <v>0</v>
      </c>
      <c r="J864" s="184"/>
      <c r="K864" s="184"/>
      <c r="L864" s="184"/>
      <c r="M864" s="59"/>
    </row>
    <row r="865" spans="2:13" x14ac:dyDescent="0.3">
      <c r="B865" s="178"/>
      <c r="C865" s="179"/>
      <c r="D865" s="180"/>
      <c r="E865" s="181"/>
      <c r="F865" s="113"/>
      <c r="G865" s="1" t="str">
        <f>IFERROR(IF(ventas_b_mes1255[[#This Row],[CUIT]]="","-",VLOOKUP(ventas_b_mes1255[[#This Row],[CUIT]],Lista_CUIT[#All],2,0)),"CUIT NO CARGADO")</f>
        <v>-</v>
      </c>
      <c r="H865" s="100">
        <f>ventas_b_mes1255[[#This Row],[TOTAL]]/1.21</f>
        <v>0</v>
      </c>
      <c r="I865" s="64">
        <f>ventas_b_mes1255[[#This Row],[IMPORTE NETO]]*0.21</f>
        <v>0</v>
      </c>
      <c r="J865" s="184"/>
      <c r="K865" s="184"/>
      <c r="L865" s="184"/>
      <c r="M865" s="59"/>
    </row>
    <row r="866" spans="2:13" x14ac:dyDescent="0.3">
      <c r="B866" s="178"/>
      <c r="C866" s="179"/>
      <c r="D866" s="180"/>
      <c r="E866" s="181"/>
      <c r="F866" s="113"/>
      <c r="G866" s="1" t="str">
        <f>IFERROR(IF(ventas_b_mes1255[[#This Row],[CUIT]]="","-",VLOOKUP(ventas_b_mes1255[[#This Row],[CUIT]],Lista_CUIT[#All],2,0)),"CUIT NO CARGADO")</f>
        <v>-</v>
      </c>
      <c r="H866" s="100">
        <f>ventas_b_mes1255[[#This Row],[TOTAL]]/1.21</f>
        <v>0</v>
      </c>
      <c r="I866" s="64">
        <f>ventas_b_mes1255[[#This Row],[IMPORTE NETO]]*0.21</f>
        <v>0</v>
      </c>
      <c r="J866" s="184"/>
      <c r="K866" s="184"/>
      <c r="L866" s="184"/>
      <c r="M866" s="59"/>
    </row>
    <row r="867" spans="2:13" x14ac:dyDescent="0.3">
      <c r="B867" s="178"/>
      <c r="C867" s="179"/>
      <c r="D867" s="180"/>
      <c r="E867" s="181"/>
      <c r="F867" s="113"/>
      <c r="G867" s="1" t="str">
        <f>IFERROR(IF(ventas_b_mes1255[[#This Row],[CUIT]]="","-",VLOOKUP(ventas_b_mes1255[[#This Row],[CUIT]],Lista_CUIT[#All],2,0)),"CUIT NO CARGADO")</f>
        <v>-</v>
      </c>
      <c r="H867" s="100">
        <f>ventas_b_mes1255[[#This Row],[TOTAL]]/1.21</f>
        <v>0</v>
      </c>
      <c r="I867" s="64">
        <f>ventas_b_mes1255[[#This Row],[IMPORTE NETO]]*0.21</f>
        <v>0</v>
      </c>
      <c r="J867" s="184"/>
      <c r="K867" s="184"/>
      <c r="L867" s="184"/>
      <c r="M867" s="59"/>
    </row>
    <row r="868" spans="2:13" x14ac:dyDescent="0.3">
      <c r="B868" s="178"/>
      <c r="C868" s="179"/>
      <c r="D868" s="180"/>
      <c r="E868" s="181"/>
      <c r="F868" s="113"/>
      <c r="G868" s="1" t="str">
        <f>IFERROR(IF(ventas_b_mes1255[[#This Row],[CUIT]]="","-",VLOOKUP(ventas_b_mes1255[[#This Row],[CUIT]],Lista_CUIT[#All],2,0)),"CUIT NO CARGADO")</f>
        <v>-</v>
      </c>
      <c r="H868" s="100">
        <f>ventas_b_mes1255[[#This Row],[TOTAL]]/1.21</f>
        <v>0</v>
      </c>
      <c r="I868" s="64">
        <f>ventas_b_mes1255[[#This Row],[IMPORTE NETO]]*0.21</f>
        <v>0</v>
      </c>
      <c r="J868" s="184"/>
      <c r="K868" s="184"/>
      <c r="L868" s="184"/>
      <c r="M868" s="59"/>
    </row>
    <row r="869" spans="2:13" x14ac:dyDescent="0.3">
      <c r="B869" s="178"/>
      <c r="C869" s="179"/>
      <c r="D869" s="180"/>
      <c r="E869" s="181"/>
      <c r="F869" s="113"/>
      <c r="G869" s="1" t="str">
        <f>IFERROR(IF(ventas_b_mes1255[[#This Row],[CUIT]]="","-",VLOOKUP(ventas_b_mes1255[[#This Row],[CUIT]],Lista_CUIT[#All],2,0)),"CUIT NO CARGADO")</f>
        <v>-</v>
      </c>
      <c r="H869" s="100">
        <f>ventas_b_mes1255[[#This Row],[TOTAL]]/1.21</f>
        <v>0</v>
      </c>
      <c r="I869" s="64">
        <f>ventas_b_mes1255[[#This Row],[IMPORTE NETO]]*0.21</f>
        <v>0</v>
      </c>
      <c r="J869" s="184"/>
      <c r="K869" s="184"/>
      <c r="L869" s="184"/>
      <c r="M869" s="59"/>
    </row>
    <row r="870" spans="2:13" x14ac:dyDescent="0.3">
      <c r="B870" s="178"/>
      <c r="C870" s="179"/>
      <c r="D870" s="180"/>
      <c r="E870" s="181"/>
      <c r="F870" s="113"/>
      <c r="G870" s="1" t="str">
        <f>IFERROR(IF(ventas_b_mes1255[[#This Row],[CUIT]]="","-",VLOOKUP(ventas_b_mes1255[[#This Row],[CUIT]],Lista_CUIT[#All],2,0)),"CUIT NO CARGADO")</f>
        <v>-</v>
      </c>
      <c r="H870" s="100">
        <f>ventas_b_mes1255[[#This Row],[TOTAL]]/1.21</f>
        <v>0</v>
      </c>
      <c r="I870" s="64">
        <f>ventas_b_mes1255[[#This Row],[IMPORTE NETO]]*0.21</f>
        <v>0</v>
      </c>
      <c r="J870" s="184"/>
      <c r="K870" s="184"/>
      <c r="L870" s="184"/>
      <c r="M870" s="59"/>
    </row>
    <row r="871" spans="2:13" x14ac:dyDescent="0.3">
      <c r="B871" s="178"/>
      <c r="C871" s="179"/>
      <c r="D871" s="180"/>
      <c r="E871" s="181"/>
      <c r="F871" s="113"/>
      <c r="G871" s="1" t="str">
        <f>IFERROR(IF(ventas_b_mes1255[[#This Row],[CUIT]]="","-",VLOOKUP(ventas_b_mes1255[[#This Row],[CUIT]],Lista_CUIT[#All],2,0)),"CUIT NO CARGADO")</f>
        <v>-</v>
      </c>
      <c r="H871" s="100">
        <f>ventas_b_mes1255[[#This Row],[TOTAL]]/1.21</f>
        <v>0</v>
      </c>
      <c r="I871" s="64">
        <f>ventas_b_mes1255[[#This Row],[IMPORTE NETO]]*0.21</f>
        <v>0</v>
      </c>
      <c r="J871" s="184"/>
      <c r="K871" s="184"/>
      <c r="L871" s="184"/>
      <c r="M871" s="59"/>
    </row>
    <row r="872" spans="2:13" x14ac:dyDescent="0.3">
      <c r="B872" s="178"/>
      <c r="C872" s="179"/>
      <c r="D872" s="180"/>
      <c r="E872" s="181"/>
      <c r="F872" s="113"/>
      <c r="G872" s="1" t="str">
        <f>IFERROR(IF(ventas_b_mes1255[[#This Row],[CUIT]]="","-",VLOOKUP(ventas_b_mes1255[[#This Row],[CUIT]],Lista_CUIT[#All],2,0)),"CUIT NO CARGADO")</f>
        <v>-</v>
      </c>
      <c r="H872" s="100">
        <f>ventas_b_mes1255[[#This Row],[TOTAL]]/1.21</f>
        <v>0</v>
      </c>
      <c r="I872" s="64">
        <f>ventas_b_mes1255[[#This Row],[IMPORTE NETO]]*0.21</f>
        <v>0</v>
      </c>
      <c r="J872" s="184"/>
      <c r="K872" s="184"/>
      <c r="L872" s="184"/>
      <c r="M872" s="59"/>
    </row>
    <row r="873" spans="2:13" x14ac:dyDescent="0.3">
      <c r="B873" s="178"/>
      <c r="C873" s="179"/>
      <c r="D873" s="180"/>
      <c r="E873" s="181"/>
      <c r="F873" s="113"/>
      <c r="G873" s="1" t="str">
        <f>IFERROR(IF(ventas_b_mes1255[[#This Row],[CUIT]]="","-",VLOOKUP(ventas_b_mes1255[[#This Row],[CUIT]],Lista_CUIT[#All],2,0)),"CUIT NO CARGADO")</f>
        <v>-</v>
      </c>
      <c r="H873" s="100">
        <f>ventas_b_mes1255[[#This Row],[TOTAL]]/1.21</f>
        <v>0</v>
      </c>
      <c r="I873" s="64">
        <f>ventas_b_mes1255[[#This Row],[IMPORTE NETO]]*0.21</f>
        <v>0</v>
      </c>
      <c r="J873" s="184"/>
      <c r="K873" s="184"/>
      <c r="L873" s="184"/>
      <c r="M873" s="59"/>
    </row>
    <row r="874" spans="2:13" x14ac:dyDescent="0.3">
      <c r="B874" s="178"/>
      <c r="C874" s="179"/>
      <c r="D874" s="180"/>
      <c r="E874" s="181"/>
      <c r="F874" s="113"/>
      <c r="G874" s="1" t="str">
        <f>IFERROR(IF(ventas_b_mes1255[[#This Row],[CUIT]]="","-",VLOOKUP(ventas_b_mes1255[[#This Row],[CUIT]],Lista_CUIT[#All],2,0)),"CUIT NO CARGADO")</f>
        <v>-</v>
      </c>
      <c r="H874" s="100">
        <f>ventas_b_mes1255[[#This Row],[TOTAL]]/1.21</f>
        <v>0</v>
      </c>
      <c r="I874" s="64">
        <f>ventas_b_mes1255[[#This Row],[IMPORTE NETO]]*0.21</f>
        <v>0</v>
      </c>
      <c r="J874" s="184"/>
      <c r="K874" s="184"/>
      <c r="L874" s="184"/>
      <c r="M874" s="59"/>
    </row>
    <row r="875" spans="2:13" x14ac:dyDescent="0.3">
      <c r="B875" s="178"/>
      <c r="C875" s="179"/>
      <c r="D875" s="180"/>
      <c r="E875" s="181"/>
      <c r="F875" s="113"/>
      <c r="G875" s="1" t="str">
        <f>IFERROR(IF(ventas_b_mes1255[[#This Row],[CUIT]]="","-",VLOOKUP(ventas_b_mes1255[[#This Row],[CUIT]],Lista_CUIT[#All],2,0)),"CUIT NO CARGADO")</f>
        <v>-</v>
      </c>
      <c r="H875" s="100">
        <f>ventas_b_mes1255[[#This Row],[TOTAL]]/1.21</f>
        <v>0</v>
      </c>
      <c r="I875" s="64">
        <f>ventas_b_mes1255[[#This Row],[IMPORTE NETO]]*0.21</f>
        <v>0</v>
      </c>
      <c r="J875" s="184"/>
      <c r="K875" s="184"/>
      <c r="L875" s="184"/>
      <c r="M875" s="59"/>
    </row>
    <row r="876" spans="2:13" x14ac:dyDescent="0.3">
      <c r="B876" s="178"/>
      <c r="C876" s="179"/>
      <c r="D876" s="180"/>
      <c r="E876" s="181"/>
      <c r="F876" s="113"/>
      <c r="G876" s="1" t="str">
        <f>IFERROR(IF(ventas_b_mes1255[[#This Row],[CUIT]]="","-",VLOOKUP(ventas_b_mes1255[[#This Row],[CUIT]],Lista_CUIT[#All],2,0)),"CUIT NO CARGADO")</f>
        <v>-</v>
      </c>
      <c r="H876" s="100">
        <f>ventas_b_mes1255[[#This Row],[TOTAL]]/1.21</f>
        <v>0</v>
      </c>
      <c r="I876" s="64">
        <f>ventas_b_mes1255[[#This Row],[IMPORTE NETO]]*0.21</f>
        <v>0</v>
      </c>
      <c r="J876" s="184"/>
      <c r="K876" s="184"/>
      <c r="L876" s="184"/>
      <c r="M876" s="59"/>
    </row>
    <row r="877" spans="2:13" x14ac:dyDescent="0.3">
      <c r="B877" s="178"/>
      <c r="C877" s="179"/>
      <c r="D877" s="180"/>
      <c r="E877" s="181"/>
      <c r="F877" s="113"/>
      <c r="G877" s="1" t="str">
        <f>IFERROR(IF(ventas_b_mes1255[[#This Row],[CUIT]]="","-",VLOOKUP(ventas_b_mes1255[[#This Row],[CUIT]],Lista_CUIT[#All],2,0)),"CUIT NO CARGADO")</f>
        <v>-</v>
      </c>
      <c r="H877" s="100">
        <f>ventas_b_mes1255[[#This Row],[TOTAL]]/1.21</f>
        <v>0</v>
      </c>
      <c r="I877" s="64">
        <f>ventas_b_mes1255[[#This Row],[IMPORTE NETO]]*0.21</f>
        <v>0</v>
      </c>
      <c r="J877" s="184"/>
      <c r="K877" s="184"/>
      <c r="L877" s="184"/>
      <c r="M877" s="59"/>
    </row>
    <row r="878" spans="2:13" x14ac:dyDescent="0.3">
      <c r="B878" s="178"/>
      <c r="C878" s="179"/>
      <c r="D878" s="180"/>
      <c r="E878" s="181"/>
      <c r="F878" s="113"/>
      <c r="G878" s="1" t="str">
        <f>IFERROR(IF(ventas_b_mes1255[[#This Row],[CUIT]]="","-",VLOOKUP(ventas_b_mes1255[[#This Row],[CUIT]],Lista_CUIT[#All],2,0)),"CUIT NO CARGADO")</f>
        <v>-</v>
      </c>
      <c r="H878" s="100">
        <f>ventas_b_mes1255[[#This Row],[TOTAL]]/1.21</f>
        <v>0</v>
      </c>
      <c r="I878" s="64">
        <f>ventas_b_mes1255[[#This Row],[IMPORTE NETO]]*0.21</f>
        <v>0</v>
      </c>
      <c r="J878" s="184"/>
      <c r="K878" s="184"/>
      <c r="L878" s="184"/>
      <c r="M878" s="59"/>
    </row>
    <row r="879" spans="2:13" x14ac:dyDescent="0.3">
      <c r="B879" s="178"/>
      <c r="C879" s="179"/>
      <c r="D879" s="180"/>
      <c r="E879" s="181"/>
      <c r="F879" s="113"/>
      <c r="G879" s="1" t="str">
        <f>IFERROR(IF(ventas_b_mes1255[[#This Row],[CUIT]]="","-",VLOOKUP(ventas_b_mes1255[[#This Row],[CUIT]],Lista_CUIT[#All],2,0)),"CUIT NO CARGADO")</f>
        <v>-</v>
      </c>
      <c r="H879" s="100">
        <f>ventas_b_mes1255[[#This Row],[TOTAL]]/1.21</f>
        <v>0</v>
      </c>
      <c r="I879" s="64">
        <f>ventas_b_mes1255[[#This Row],[IMPORTE NETO]]*0.21</f>
        <v>0</v>
      </c>
      <c r="J879" s="184"/>
      <c r="K879" s="184"/>
      <c r="L879" s="184"/>
      <c r="M879" s="59"/>
    </row>
    <row r="880" spans="2:13" x14ac:dyDescent="0.3">
      <c r="B880" s="178"/>
      <c r="C880" s="179"/>
      <c r="D880" s="180"/>
      <c r="E880" s="181"/>
      <c r="F880" s="113"/>
      <c r="G880" s="1" t="str">
        <f>IFERROR(IF(ventas_b_mes1255[[#This Row],[CUIT]]="","-",VLOOKUP(ventas_b_mes1255[[#This Row],[CUIT]],Lista_CUIT[#All],2,0)),"CUIT NO CARGADO")</f>
        <v>-</v>
      </c>
      <c r="H880" s="100">
        <f>ventas_b_mes1255[[#This Row],[TOTAL]]/1.21</f>
        <v>0</v>
      </c>
      <c r="I880" s="64">
        <f>ventas_b_mes1255[[#This Row],[IMPORTE NETO]]*0.21</f>
        <v>0</v>
      </c>
      <c r="J880" s="184"/>
      <c r="K880" s="184"/>
      <c r="L880" s="184"/>
      <c r="M880" s="59"/>
    </row>
    <row r="881" spans="2:13" x14ac:dyDescent="0.3">
      <c r="B881" s="178"/>
      <c r="C881" s="179"/>
      <c r="D881" s="180"/>
      <c r="E881" s="181"/>
      <c r="F881" s="113"/>
      <c r="G881" s="1" t="str">
        <f>IFERROR(IF(ventas_b_mes1255[[#This Row],[CUIT]]="","-",VLOOKUP(ventas_b_mes1255[[#This Row],[CUIT]],Lista_CUIT[#All],2,0)),"CUIT NO CARGADO")</f>
        <v>-</v>
      </c>
      <c r="H881" s="100">
        <f>ventas_b_mes1255[[#This Row],[TOTAL]]/1.21</f>
        <v>0</v>
      </c>
      <c r="I881" s="64">
        <f>ventas_b_mes1255[[#This Row],[IMPORTE NETO]]*0.21</f>
        <v>0</v>
      </c>
      <c r="J881" s="184"/>
      <c r="K881" s="184"/>
      <c r="L881" s="184"/>
      <c r="M881" s="59"/>
    </row>
    <row r="882" spans="2:13" x14ac:dyDescent="0.3">
      <c r="B882" s="178"/>
      <c r="C882" s="179"/>
      <c r="D882" s="180"/>
      <c r="E882" s="181"/>
      <c r="F882" s="113"/>
      <c r="G882" s="1" t="str">
        <f>IFERROR(IF(ventas_b_mes1255[[#This Row],[CUIT]]="","-",VLOOKUP(ventas_b_mes1255[[#This Row],[CUIT]],Lista_CUIT[#All],2,0)),"CUIT NO CARGADO")</f>
        <v>-</v>
      </c>
      <c r="H882" s="100">
        <f>ventas_b_mes1255[[#This Row],[TOTAL]]/1.21</f>
        <v>0</v>
      </c>
      <c r="I882" s="64">
        <f>ventas_b_mes1255[[#This Row],[IMPORTE NETO]]*0.21</f>
        <v>0</v>
      </c>
      <c r="J882" s="184"/>
      <c r="K882" s="184"/>
      <c r="L882" s="184"/>
      <c r="M882" s="59"/>
    </row>
    <row r="883" spans="2:13" x14ac:dyDescent="0.3">
      <c r="B883" s="178"/>
      <c r="C883" s="179"/>
      <c r="D883" s="180"/>
      <c r="E883" s="181"/>
      <c r="F883" s="113"/>
      <c r="G883" s="1" t="str">
        <f>IFERROR(IF(ventas_b_mes1255[[#This Row],[CUIT]]="","-",VLOOKUP(ventas_b_mes1255[[#This Row],[CUIT]],Lista_CUIT[#All],2,0)),"CUIT NO CARGADO")</f>
        <v>-</v>
      </c>
      <c r="H883" s="100">
        <f>ventas_b_mes1255[[#This Row],[TOTAL]]/1.21</f>
        <v>0</v>
      </c>
      <c r="I883" s="64">
        <f>ventas_b_mes1255[[#This Row],[IMPORTE NETO]]*0.21</f>
        <v>0</v>
      </c>
      <c r="J883" s="184"/>
      <c r="K883" s="184"/>
      <c r="L883" s="184"/>
      <c r="M883" s="59"/>
    </row>
    <row r="884" spans="2:13" x14ac:dyDescent="0.3">
      <c r="B884" s="178"/>
      <c r="C884" s="179"/>
      <c r="D884" s="180"/>
      <c r="E884" s="181"/>
      <c r="F884" s="113"/>
      <c r="G884" s="1" t="str">
        <f>IFERROR(IF(ventas_b_mes1255[[#This Row],[CUIT]]="","-",VLOOKUP(ventas_b_mes1255[[#This Row],[CUIT]],Lista_CUIT[#All],2,0)),"CUIT NO CARGADO")</f>
        <v>-</v>
      </c>
      <c r="H884" s="100">
        <f>ventas_b_mes1255[[#This Row],[TOTAL]]/1.21</f>
        <v>0</v>
      </c>
      <c r="I884" s="64">
        <f>ventas_b_mes1255[[#This Row],[IMPORTE NETO]]*0.21</f>
        <v>0</v>
      </c>
      <c r="J884" s="184"/>
      <c r="K884" s="184"/>
      <c r="L884" s="184"/>
      <c r="M884" s="59"/>
    </row>
    <row r="885" spans="2:13" x14ac:dyDescent="0.3">
      <c r="B885" s="178"/>
      <c r="C885" s="179"/>
      <c r="D885" s="180"/>
      <c r="E885" s="181"/>
      <c r="F885" s="113"/>
      <c r="G885" s="1" t="str">
        <f>IFERROR(IF(ventas_b_mes1255[[#This Row],[CUIT]]="","-",VLOOKUP(ventas_b_mes1255[[#This Row],[CUIT]],Lista_CUIT[#All],2,0)),"CUIT NO CARGADO")</f>
        <v>-</v>
      </c>
      <c r="H885" s="100">
        <f>ventas_b_mes1255[[#This Row],[TOTAL]]/1.21</f>
        <v>0</v>
      </c>
      <c r="I885" s="64">
        <f>ventas_b_mes1255[[#This Row],[IMPORTE NETO]]*0.21</f>
        <v>0</v>
      </c>
      <c r="J885" s="184"/>
      <c r="K885" s="184"/>
      <c r="L885" s="184"/>
      <c r="M885" s="59"/>
    </row>
    <row r="886" spans="2:13" x14ac:dyDescent="0.3">
      <c r="B886" s="178"/>
      <c r="C886" s="179"/>
      <c r="D886" s="180"/>
      <c r="E886" s="181"/>
      <c r="F886" s="113"/>
      <c r="G886" s="1" t="str">
        <f>IFERROR(IF(ventas_b_mes1255[[#This Row],[CUIT]]="","-",VLOOKUP(ventas_b_mes1255[[#This Row],[CUIT]],Lista_CUIT[#All],2,0)),"CUIT NO CARGADO")</f>
        <v>-</v>
      </c>
      <c r="H886" s="100">
        <f>ventas_b_mes1255[[#This Row],[TOTAL]]/1.21</f>
        <v>0</v>
      </c>
      <c r="I886" s="64">
        <f>ventas_b_mes1255[[#This Row],[IMPORTE NETO]]*0.21</f>
        <v>0</v>
      </c>
      <c r="J886" s="184"/>
      <c r="K886" s="184"/>
      <c r="L886" s="184"/>
      <c r="M886" s="59"/>
    </row>
    <row r="887" spans="2:13" x14ac:dyDescent="0.3">
      <c r="B887" s="178"/>
      <c r="C887" s="179"/>
      <c r="D887" s="180"/>
      <c r="E887" s="181"/>
      <c r="F887" s="113"/>
      <c r="G887" s="1" t="str">
        <f>IFERROR(IF(ventas_b_mes1255[[#This Row],[CUIT]]="","-",VLOOKUP(ventas_b_mes1255[[#This Row],[CUIT]],Lista_CUIT[#All],2,0)),"CUIT NO CARGADO")</f>
        <v>-</v>
      </c>
      <c r="H887" s="100">
        <f>ventas_b_mes1255[[#This Row],[TOTAL]]/1.21</f>
        <v>0</v>
      </c>
      <c r="I887" s="64">
        <f>ventas_b_mes1255[[#This Row],[IMPORTE NETO]]*0.21</f>
        <v>0</v>
      </c>
      <c r="J887" s="184"/>
      <c r="K887" s="184"/>
      <c r="L887" s="184"/>
      <c r="M887" s="59"/>
    </row>
    <row r="888" spans="2:13" x14ac:dyDescent="0.3">
      <c r="B888" s="178"/>
      <c r="C888" s="179"/>
      <c r="D888" s="180"/>
      <c r="E888" s="181"/>
      <c r="F888" s="113"/>
      <c r="G888" s="1" t="str">
        <f>IFERROR(IF(ventas_b_mes1255[[#This Row],[CUIT]]="","-",VLOOKUP(ventas_b_mes1255[[#This Row],[CUIT]],Lista_CUIT[#All],2,0)),"CUIT NO CARGADO")</f>
        <v>-</v>
      </c>
      <c r="H888" s="100">
        <f>ventas_b_mes1255[[#This Row],[TOTAL]]/1.21</f>
        <v>0</v>
      </c>
      <c r="I888" s="64">
        <f>ventas_b_mes1255[[#This Row],[IMPORTE NETO]]*0.21</f>
        <v>0</v>
      </c>
      <c r="J888" s="184"/>
      <c r="K888" s="184"/>
      <c r="L888" s="184"/>
      <c r="M888" s="59"/>
    </row>
    <row r="889" spans="2:13" x14ac:dyDescent="0.3">
      <c r="B889" s="178"/>
      <c r="C889" s="179"/>
      <c r="D889" s="180"/>
      <c r="E889" s="181"/>
      <c r="F889" s="113"/>
      <c r="G889" s="1" t="str">
        <f>IFERROR(IF(ventas_b_mes1255[[#This Row],[CUIT]]="","-",VLOOKUP(ventas_b_mes1255[[#This Row],[CUIT]],Lista_CUIT[#All],2,0)),"CUIT NO CARGADO")</f>
        <v>-</v>
      </c>
      <c r="H889" s="100">
        <f>ventas_b_mes1255[[#This Row],[TOTAL]]/1.21</f>
        <v>0</v>
      </c>
      <c r="I889" s="64">
        <f>ventas_b_mes1255[[#This Row],[IMPORTE NETO]]*0.21</f>
        <v>0</v>
      </c>
      <c r="J889" s="184"/>
      <c r="K889" s="184"/>
      <c r="L889" s="184"/>
      <c r="M889" s="59"/>
    </row>
    <row r="890" spans="2:13" x14ac:dyDescent="0.3">
      <c r="B890" s="178"/>
      <c r="C890" s="179"/>
      <c r="D890" s="180"/>
      <c r="E890" s="181"/>
      <c r="F890" s="113"/>
      <c r="G890" s="1" t="str">
        <f>IFERROR(IF(ventas_b_mes1255[[#This Row],[CUIT]]="","-",VLOOKUP(ventas_b_mes1255[[#This Row],[CUIT]],Lista_CUIT[#All],2,0)),"CUIT NO CARGADO")</f>
        <v>-</v>
      </c>
      <c r="H890" s="100">
        <f>ventas_b_mes1255[[#This Row],[TOTAL]]/1.21</f>
        <v>0</v>
      </c>
      <c r="I890" s="64">
        <f>ventas_b_mes1255[[#This Row],[IMPORTE NETO]]*0.21</f>
        <v>0</v>
      </c>
      <c r="J890" s="184"/>
      <c r="K890" s="184"/>
      <c r="L890" s="184"/>
      <c r="M890" s="59"/>
    </row>
    <row r="891" spans="2:13" x14ac:dyDescent="0.3">
      <c r="B891" s="178"/>
      <c r="C891" s="179"/>
      <c r="D891" s="180"/>
      <c r="E891" s="181"/>
      <c r="F891" s="113"/>
      <c r="G891" s="1" t="str">
        <f>IFERROR(IF(ventas_b_mes1255[[#This Row],[CUIT]]="","-",VLOOKUP(ventas_b_mes1255[[#This Row],[CUIT]],Lista_CUIT[#All],2,0)),"CUIT NO CARGADO")</f>
        <v>-</v>
      </c>
      <c r="H891" s="100">
        <f>ventas_b_mes1255[[#This Row],[TOTAL]]/1.21</f>
        <v>0</v>
      </c>
      <c r="I891" s="64">
        <f>ventas_b_mes1255[[#This Row],[IMPORTE NETO]]*0.21</f>
        <v>0</v>
      </c>
      <c r="J891" s="184"/>
      <c r="K891" s="184"/>
      <c r="L891" s="184"/>
      <c r="M891" s="59"/>
    </row>
    <row r="892" spans="2:13" x14ac:dyDescent="0.3">
      <c r="B892" s="178"/>
      <c r="C892" s="179"/>
      <c r="D892" s="180"/>
      <c r="E892" s="181"/>
      <c r="F892" s="113"/>
      <c r="G892" s="1" t="str">
        <f>IFERROR(IF(ventas_b_mes1255[[#This Row],[CUIT]]="","-",VLOOKUP(ventas_b_mes1255[[#This Row],[CUIT]],Lista_CUIT[#All],2,0)),"CUIT NO CARGADO")</f>
        <v>-</v>
      </c>
      <c r="H892" s="100">
        <f>ventas_b_mes1255[[#This Row],[TOTAL]]/1.21</f>
        <v>0</v>
      </c>
      <c r="I892" s="64">
        <f>ventas_b_mes1255[[#This Row],[IMPORTE NETO]]*0.21</f>
        <v>0</v>
      </c>
      <c r="J892" s="184"/>
      <c r="K892" s="184"/>
      <c r="L892" s="184"/>
      <c r="M892" s="59"/>
    </row>
    <row r="893" spans="2:13" x14ac:dyDescent="0.3">
      <c r="B893" s="178"/>
      <c r="C893" s="179"/>
      <c r="D893" s="180"/>
      <c r="E893" s="181"/>
      <c r="F893" s="113"/>
      <c r="G893" s="1" t="str">
        <f>IFERROR(IF(ventas_b_mes1255[[#This Row],[CUIT]]="","-",VLOOKUP(ventas_b_mes1255[[#This Row],[CUIT]],Lista_CUIT[#All],2,0)),"CUIT NO CARGADO")</f>
        <v>-</v>
      </c>
      <c r="H893" s="100">
        <f>ventas_b_mes1255[[#This Row],[TOTAL]]/1.21</f>
        <v>0</v>
      </c>
      <c r="I893" s="64">
        <f>ventas_b_mes1255[[#This Row],[IMPORTE NETO]]*0.21</f>
        <v>0</v>
      </c>
      <c r="J893" s="184"/>
      <c r="K893" s="184"/>
      <c r="L893" s="184"/>
      <c r="M893" s="59"/>
    </row>
    <row r="894" spans="2:13" x14ac:dyDescent="0.3">
      <c r="B894" s="178"/>
      <c r="C894" s="179"/>
      <c r="D894" s="180"/>
      <c r="E894" s="181"/>
      <c r="F894" s="113"/>
      <c r="G894" s="1" t="str">
        <f>IFERROR(IF(ventas_b_mes1255[[#This Row],[CUIT]]="","-",VLOOKUP(ventas_b_mes1255[[#This Row],[CUIT]],Lista_CUIT[#All],2,0)),"CUIT NO CARGADO")</f>
        <v>-</v>
      </c>
      <c r="H894" s="100">
        <f>ventas_b_mes1255[[#This Row],[TOTAL]]/1.21</f>
        <v>0</v>
      </c>
      <c r="I894" s="64">
        <f>ventas_b_mes1255[[#This Row],[IMPORTE NETO]]*0.21</f>
        <v>0</v>
      </c>
      <c r="J894" s="184"/>
      <c r="K894" s="184"/>
      <c r="L894" s="184"/>
      <c r="M894" s="59"/>
    </row>
    <row r="895" spans="2:13" x14ac:dyDescent="0.3">
      <c r="B895" s="178"/>
      <c r="C895" s="179"/>
      <c r="D895" s="180"/>
      <c r="E895" s="181"/>
      <c r="F895" s="113"/>
      <c r="G895" s="1" t="str">
        <f>IFERROR(IF(ventas_b_mes1255[[#This Row],[CUIT]]="","-",VLOOKUP(ventas_b_mes1255[[#This Row],[CUIT]],Lista_CUIT[#All],2,0)),"CUIT NO CARGADO")</f>
        <v>-</v>
      </c>
      <c r="H895" s="100">
        <f>ventas_b_mes1255[[#This Row],[TOTAL]]/1.21</f>
        <v>0</v>
      </c>
      <c r="I895" s="64">
        <f>ventas_b_mes1255[[#This Row],[IMPORTE NETO]]*0.21</f>
        <v>0</v>
      </c>
      <c r="J895" s="184"/>
      <c r="K895" s="184"/>
      <c r="L895" s="184"/>
      <c r="M895" s="59"/>
    </row>
    <row r="896" spans="2:13" x14ac:dyDescent="0.3">
      <c r="B896" s="178"/>
      <c r="C896" s="179"/>
      <c r="D896" s="180"/>
      <c r="E896" s="181"/>
      <c r="F896" s="113"/>
      <c r="G896" s="1" t="str">
        <f>IFERROR(IF(ventas_b_mes1255[[#This Row],[CUIT]]="","-",VLOOKUP(ventas_b_mes1255[[#This Row],[CUIT]],Lista_CUIT[#All],2,0)),"CUIT NO CARGADO")</f>
        <v>-</v>
      </c>
      <c r="H896" s="100">
        <f>ventas_b_mes1255[[#This Row],[TOTAL]]/1.21</f>
        <v>0</v>
      </c>
      <c r="I896" s="64">
        <f>ventas_b_mes1255[[#This Row],[IMPORTE NETO]]*0.21</f>
        <v>0</v>
      </c>
      <c r="J896" s="184"/>
      <c r="K896" s="184"/>
      <c r="L896" s="184"/>
      <c r="M896" s="59"/>
    </row>
    <row r="897" spans="2:13" x14ac:dyDescent="0.3">
      <c r="B897" s="178"/>
      <c r="C897" s="41"/>
      <c r="D897" s="180"/>
      <c r="E897" s="181"/>
      <c r="F897" s="113"/>
      <c r="G897" s="1" t="str">
        <f>IFERROR(IF(ventas_b_mes1255[[#This Row],[CUIT]]="","-",VLOOKUP(ventas_b_mes1255[[#This Row],[CUIT]],Lista_CUIT[#All],2,0)),"CUIT NO CARGADO")</f>
        <v>-</v>
      </c>
      <c r="H897" s="100">
        <f>ventas_b_mes1255[[#This Row],[TOTAL]]/1.21</f>
        <v>0</v>
      </c>
      <c r="I897" s="64">
        <f>ventas_b_mes1255[[#This Row],[IMPORTE NETO]]*0.21</f>
        <v>0</v>
      </c>
      <c r="J897" s="184"/>
      <c r="K897" s="184"/>
      <c r="L897" s="184"/>
      <c r="M897" s="59"/>
    </row>
    <row r="898" spans="2:13" x14ac:dyDescent="0.3">
      <c r="B898" s="178"/>
      <c r="C898" s="41"/>
      <c r="D898" s="180"/>
      <c r="E898" s="181"/>
      <c r="F898" s="113"/>
      <c r="G898" s="1" t="str">
        <f>IFERROR(IF(ventas_b_mes1255[[#This Row],[CUIT]]="","-",VLOOKUP(ventas_b_mes1255[[#This Row],[CUIT]],Lista_CUIT[#All],2,0)),"CUIT NO CARGADO")</f>
        <v>-</v>
      </c>
      <c r="H898" s="100">
        <f>ventas_b_mes1255[[#This Row],[TOTAL]]/1.21</f>
        <v>0</v>
      </c>
      <c r="I898" s="64">
        <f>ventas_b_mes1255[[#This Row],[IMPORTE NETO]]*0.21</f>
        <v>0</v>
      </c>
      <c r="J898" s="184"/>
      <c r="K898" s="184"/>
      <c r="L898" s="184"/>
      <c r="M898" s="59"/>
    </row>
    <row r="899" spans="2:13" x14ac:dyDescent="0.3">
      <c r="B899" s="178"/>
      <c r="C899" s="41"/>
      <c r="D899" s="180"/>
      <c r="E899" s="181"/>
      <c r="F899" s="113"/>
      <c r="G899" s="1" t="str">
        <f>IFERROR(IF(ventas_b_mes1255[[#This Row],[CUIT]]="","-",VLOOKUP(ventas_b_mes1255[[#This Row],[CUIT]],Lista_CUIT[#All],2,0)),"CUIT NO CARGADO")</f>
        <v>-</v>
      </c>
      <c r="H899" s="100">
        <f>ventas_b_mes1255[[#This Row],[TOTAL]]/1.21</f>
        <v>0</v>
      </c>
      <c r="I899" s="64">
        <f>ventas_b_mes1255[[#This Row],[IMPORTE NETO]]*0.21</f>
        <v>0</v>
      </c>
      <c r="J899" s="184"/>
      <c r="K899" s="184"/>
      <c r="L899" s="184"/>
      <c r="M899" s="59"/>
    </row>
    <row r="900" spans="2:13" x14ac:dyDescent="0.3">
      <c r="B900" s="178"/>
      <c r="C900" s="41"/>
      <c r="D900" s="180"/>
      <c r="E900" s="181"/>
      <c r="F900" s="113"/>
      <c r="G900" s="1" t="str">
        <f>IFERROR(IF(ventas_b_mes1255[[#This Row],[CUIT]]="","-",VLOOKUP(ventas_b_mes1255[[#This Row],[CUIT]],Lista_CUIT[#All],2,0)),"CUIT NO CARGADO")</f>
        <v>-</v>
      </c>
      <c r="H900" s="100">
        <f>ventas_b_mes1255[[#This Row],[TOTAL]]/1.21</f>
        <v>0</v>
      </c>
      <c r="I900" s="64">
        <f>ventas_b_mes1255[[#This Row],[IMPORTE NETO]]*0.21</f>
        <v>0</v>
      </c>
      <c r="J900" s="184"/>
      <c r="K900" s="184"/>
      <c r="L900" s="184"/>
      <c r="M900" s="59"/>
    </row>
    <row r="901" spans="2:13" x14ac:dyDescent="0.3">
      <c r="B901" s="178"/>
      <c r="C901" s="41"/>
      <c r="D901" s="180"/>
      <c r="E901" s="181"/>
      <c r="F901" s="113"/>
      <c r="G901" s="1" t="str">
        <f>IFERROR(IF(ventas_b_mes1255[[#This Row],[CUIT]]="","-",VLOOKUP(ventas_b_mes1255[[#This Row],[CUIT]],Lista_CUIT[#All],2,0)),"CUIT NO CARGADO")</f>
        <v>-</v>
      </c>
      <c r="H901" s="100">
        <f>ventas_b_mes1255[[#This Row],[TOTAL]]/1.21</f>
        <v>0</v>
      </c>
      <c r="I901" s="64">
        <f>ventas_b_mes1255[[#This Row],[IMPORTE NETO]]*0.21</f>
        <v>0</v>
      </c>
      <c r="J901" s="184"/>
      <c r="K901" s="184"/>
      <c r="L901" s="184"/>
      <c r="M901" s="59"/>
    </row>
    <row r="902" spans="2:13" x14ac:dyDescent="0.3">
      <c r="B902" s="178"/>
      <c r="C902" s="41"/>
      <c r="D902" s="180"/>
      <c r="E902" s="181"/>
      <c r="F902" s="113"/>
      <c r="G902" s="1" t="str">
        <f>IFERROR(IF(ventas_b_mes1255[[#This Row],[CUIT]]="","-",VLOOKUP(ventas_b_mes1255[[#This Row],[CUIT]],Lista_CUIT[#All],2,0)),"CUIT NO CARGADO")</f>
        <v>-</v>
      </c>
      <c r="H902" s="100">
        <f>ventas_b_mes1255[[#This Row],[TOTAL]]/1.21</f>
        <v>0</v>
      </c>
      <c r="I902" s="64">
        <f>ventas_b_mes1255[[#This Row],[IMPORTE NETO]]*0.21</f>
        <v>0</v>
      </c>
      <c r="J902" s="184"/>
      <c r="K902" s="184"/>
      <c r="L902" s="184"/>
      <c r="M902" s="59"/>
    </row>
    <row r="903" spans="2:13" x14ac:dyDescent="0.3">
      <c r="B903" s="178"/>
      <c r="C903" s="41"/>
      <c r="D903" s="180"/>
      <c r="E903" s="181"/>
      <c r="F903" s="113"/>
      <c r="G903" s="1" t="str">
        <f>IFERROR(IF(ventas_b_mes1255[[#This Row],[CUIT]]="","-",VLOOKUP(ventas_b_mes1255[[#This Row],[CUIT]],Lista_CUIT[#All],2,0)),"CUIT NO CARGADO")</f>
        <v>-</v>
      </c>
      <c r="H903" s="100">
        <f>ventas_b_mes1255[[#This Row],[TOTAL]]/1.21</f>
        <v>0</v>
      </c>
      <c r="I903" s="64">
        <f>ventas_b_mes1255[[#This Row],[IMPORTE NETO]]*0.21</f>
        <v>0</v>
      </c>
      <c r="J903" s="184"/>
      <c r="K903" s="184"/>
      <c r="L903" s="184"/>
      <c r="M903" s="59"/>
    </row>
    <row r="904" spans="2:13" x14ac:dyDescent="0.3">
      <c r="B904" s="178"/>
      <c r="C904" s="41"/>
      <c r="D904" s="180"/>
      <c r="E904" s="181"/>
      <c r="F904" s="113"/>
      <c r="G904" s="1" t="str">
        <f>IFERROR(IF(ventas_b_mes1255[[#This Row],[CUIT]]="","-",VLOOKUP(ventas_b_mes1255[[#This Row],[CUIT]],Lista_CUIT[#All],2,0)),"CUIT NO CARGADO")</f>
        <v>-</v>
      </c>
      <c r="H904" s="100">
        <f>ventas_b_mes1255[[#This Row],[TOTAL]]/1.21</f>
        <v>0</v>
      </c>
      <c r="I904" s="64">
        <f>ventas_b_mes1255[[#This Row],[IMPORTE NETO]]*0.21</f>
        <v>0</v>
      </c>
      <c r="J904" s="184"/>
      <c r="K904" s="184"/>
      <c r="L904" s="184"/>
      <c r="M904" s="59"/>
    </row>
    <row r="905" spans="2:13" x14ac:dyDescent="0.3">
      <c r="B905" s="178"/>
      <c r="C905" s="41"/>
      <c r="D905" s="180"/>
      <c r="E905" s="181"/>
      <c r="F905" s="113"/>
      <c r="G905" s="1" t="str">
        <f>IFERROR(IF(ventas_b_mes1255[[#This Row],[CUIT]]="","-",VLOOKUP(ventas_b_mes1255[[#This Row],[CUIT]],Lista_CUIT[#All],2,0)),"CUIT NO CARGADO")</f>
        <v>-</v>
      </c>
      <c r="H905" s="100">
        <f>ventas_b_mes1255[[#This Row],[TOTAL]]/1.21</f>
        <v>0</v>
      </c>
      <c r="I905" s="64">
        <f>ventas_b_mes1255[[#This Row],[IMPORTE NETO]]*0.21</f>
        <v>0</v>
      </c>
      <c r="J905" s="184"/>
      <c r="K905" s="184"/>
      <c r="L905" s="184"/>
      <c r="M905" s="59"/>
    </row>
    <row r="906" spans="2:13" x14ac:dyDescent="0.3">
      <c r="B906" s="178"/>
      <c r="C906" s="41"/>
      <c r="D906" s="180"/>
      <c r="E906" s="181"/>
      <c r="F906" s="113"/>
      <c r="G906" s="1" t="str">
        <f>IFERROR(IF(ventas_b_mes1255[[#This Row],[CUIT]]="","-",VLOOKUP(ventas_b_mes1255[[#This Row],[CUIT]],Lista_CUIT[#All],2,0)),"CUIT NO CARGADO")</f>
        <v>-</v>
      </c>
      <c r="H906" s="100">
        <f>ventas_b_mes1255[[#This Row],[TOTAL]]/1.21</f>
        <v>0</v>
      </c>
      <c r="I906" s="64">
        <f>ventas_b_mes1255[[#This Row],[IMPORTE NETO]]*0.21</f>
        <v>0</v>
      </c>
      <c r="J906" s="184"/>
      <c r="K906" s="184"/>
      <c r="L906" s="184"/>
      <c r="M906" s="59"/>
    </row>
    <row r="907" spans="2:13" x14ac:dyDescent="0.3">
      <c r="B907" s="178"/>
      <c r="C907" s="41"/>
      <c r="D907" s="180"/>
      <c r="E907" s="181"/>
      <c r="F907" s="113"/>
      <c r="G907" s="1" t="str">
        <f>IFERROR(IF(ventas_b_mes1255[[#This Row],[CUIT]]="","-",VLOOKUP(ventas_b_mes1255[[#This Row],[CUIT]],Lista_CUIT[#All],2,0)),"CUIT NO CARGADO")</f>
        <v>-</v>
      </c>
      <c r="H907" s="100">
        <f>ventas_b_mes1255[[#This Row],[TOTAL]]/1.21</f>
        <v>0</v>
      </c>
      <c r="I907" s="64">
        <f>ventas_b_mes1255[[#This Row],[IMPORTE NETO]]*0.21</f>
        <v>0</v>
      </c>
      <c r="J907" s="184"/>
      <c r="K907" s="184"/>
      <c r="L907" s="184"/>
      <c r="M907" s="59"/>
    </row>
    <row r="908" spans="2:13" x14ac:dyDescent="0.3">
      <c r="B908" s="178"/>
      <c r="C908" s="41"/>
      <c r="D908" s="180"/>
      <c r="E908" s="181"/>
      <c r="F908" s="113"/>
      <c r="G908" s="1" t="str">
        <f>IFERROR(IF(ventas_b_mes1255[[#This Row],[CUIT]]="","-",VLOOKUP(ventas_b_mes1255[[#This Row],[CUIT]],Lista_CUIT[#All],2,0)),"CUIT NO CARGADO")</f>
        <v>-</v>
      </c>
      <c r="H908" s="100">
        <f>ventas_b_mes1255[[#This Row],[TOTAL]]/1.21</f>
        <v>0</v>
      </c>
      <c r="I908" s="64">
        <f>ventas_b_mes1255[[#This Row],[IMPORTE NETO]]*0.21</f>
        <v>0</v>
      </c>
      <c r="J908" s="184"/>
      <c r="K908" s="184"/>
      <c r="L908" s="184"/>
      <c r="M908" s="59"/>
    </row>
    <row r="909" spans="2:13" x14ac:dyDescent="0.3">
      <c r="B909" s="178"/>
      <c r="C909" s="41"/>
      <c r="D909" s="180"/>
      <c r="E909" s="181"/>
      <c r="F909" s="113"/>
      <c r="G909" s="1" t="str">
        <f>IFERROR(IF(ventas_b_mes1255[[#This Row],[CUIT]]="","-",VLOOKUP(ventas_b_mes1255[[#This Row],[CUIT]],Lista_CUIT[#All],2,0)),"CUIT NO CARGADO")</f>
        <v>-</v>
      </c>
      <c r="H909" s="100">
        <f>ventas_b_mes1255[[#This Row],[TOTAL]]/1.21</f>
        <v>0</v>
      </c>
      <c r="I909" s="64">
        <f>ventas_b_mes1255[[#This Row],[IMPORTE NETO]]*0.21</f>
        <v>0</v>
      </c>
      <c r="J909" s="184"/>
      <c r="K909" s="184"/>
      <c r="L909" s="184"/>
      <c r="M909" s="59"/>
    </row>
    <row r="910" spans="2:13" x14ac:dyDescent="0.3">
      <c r="B910" s="178"/>
      <c r="C910" s="41"/>
      <c r="D910" s="180"/>
      <c r="E910" s="181"/>
      <c r="F910" s="113"/>
      <c r="G910" s="1" t="str">
        <f>IFERROR(IF(ventas_b_mes1255[[#This Row],[CUIT]]="","-",VLOOKUP(ventas_b_mes1255[[#This Row],[CUIT]],Lista_CUIT[#All],2,0)),"CUIT NO CARGADO")</f>
        <v>-</v>
      </c>
      <c r="H910" s="100">
        <f>ventas_b_mes1255[[#This Row],[TOTAL]]/1.21</f>
        <v>0</v>
      </c>
      <c r="I910" s="64">
        <f>ventas_b_mes1255[[#This Row],[IMPORTE NETO]]*0.21</f>
        <v>0</v>
      </c>
      <c r="J910" s="184"/>
      <c r="K910" s="184"/>
      <c r="L910" s="184"/>
      <c r="M910" s="59"/>
    </row>
    <row r="911" spans="2:13" x14ac:dyDescent="0.3">
      <c r="B911" s="178"/>
      <c r="C911" s="41"/>
      <c r="D911" s="180"/>
      <c r="E911" s="181"/>
      <c r="F911" s="113"/>
      <c r="G911" s="1" t="str">
        <f>IFERROR(IF(ventas_b_mes1255[[#This Row],[CUIT]]="","-",VLOOKUP(ventas_b_mes1255[[#This Row],[CUIT]],Lista_CUIT[#All],2,0)),"CUIT NO CARGADO")</f>
        <v>-</v>
      </c>
      <c r="H911" s="100">
        <f>ventas_b_mes1255[[#This Row],[TOTAL]]/1.21</f>
        <v>0</v>
      </c>
      <c r="I911" s="64">
        <f>ventas_b_mes1255[[#This Row],[IMPORTE NETO]]*0.21</f>
        <v>0</v>
      </c>
      <c r="J911" s="184"/>
      <c r="K911" s="184"/>
      <c r="L911" s="184"/>
      <c r="M911" s="59"/>
    </row>
    <row r="912" spans="2:13" x14ac:dyDescent="0.3">
      <c r="B912" s="178"/>
      <c r="C912" s="41"/>
      <c r="D912" s="180"/>
      <c r="E912" s="181"/>
      <c r="F912" s="113"/>
      <c r="G912" s="1" t="str">
        <f>IFERROR(IF(ventas_b_mes1255[[#This Row],[CUIT]]="","-",VLOOKUP(ventas_b_mes1255[[#This Row],[CUIT]],Lista_CUIT[#All],2,0)),"CUIT NO CARGADO")</f>
        <v>-</v>
      </c>
      <c r="H912" s="100">
        <f>ventas_b_mes1255[[#This Row],[TOTAL]]/1.21</f>
        <v>0</v>
      </c>
      <c r="I912" s="64">
        <f>ventas_b_mes1255[[#This Row],[IMPORTE NETO]]*0.21</f>
        <v>0</v>
      </c>
      <c r="J912" s="184"/>
      <c r="K912" s="184"/>
      <c r="L912" s="184"/>
      <c r="M912" s="59"/>
    </row>
    <row r="913" spans="2:13" x14ac:dyDescent="0.3">
      <c r="B913" s="178"/>
      <c r="C913" s="41"/>
      <c r="D913" s="180"/>
      <c r="E913" s="181"/>
      <c r="F913" s="113"/>
      <c r="G913" s="1" t="str">
        <f>IFERROR(IF(ventas_b_mes1255[[#This Row],[CUIT]]="","-",VLOOKUP(ventas_b_mes1255[[#This Row],[CUIT]],Lista_CUIT[#All],2,0)),"CUIT NO CARGADO")</f>
        <v>-</v>
      </c>
      <c r="H913" s="100">
        <f>ventas_b_mes1255[[#This Row],[TOTAL]]/1.21</f>
        <v>0</v>
      </c>
      <c r="I913" s="64">
        <f>ventas_b_mes1255[[#This Row],[IMPORTE NETO]]*0.21</f>
        <v>0</v>
      </c>
      <c r="J913" s="184"/>
      <c r="K913" s="184"/>
      <c r="L913" s="184"/>
      <c r="M913" s="59"/>
    </row>
    <row r="914" spans="2:13" x14ac:dyDescent="0.3">
      <c r="B914" s="178"/>
      <c r="C914" s="41"/>
      <c r="D914" s="180"/>
      <c r="E914" s="181"/>
      <c r="F914" s="113"/>
      <c r="G914" s="1" t="str">
        <f>IFERROR(IF(ventas_b_mes1255[[#This Row],[CUIT]]="","-",VLOOKUP(ventas_b_mes1255[[#This Row],[CUIT]],Lista_CUIT[#All],2,0)),"CUIT NO CARGADO")</f>
        <v>-</v>
      </c>
      <c r="H914" s="100">
        <f>ventas_b_mes1255[[#This Row],[TOTAL]]/1.21</f>
        <v>0</v>
      </c>
      <c r="I914" s="64">
        <f>ventas_b_mes1255[[#This Row],[IMPORTE NETO]]*0.21</f>
        <v>0</v>
      </c>
      <c r="J914" s="184"/>
      <c r="K914" s="184"/>
      <c r="L914" s="184"/>
      <c r="M914" s="59"/>
    </row>
    <row r="915" spans="2:13" x14ac:dyDescent="0.3">
      <c r="B915" s="178"/>
      <c r="C915" s="41"/>
      <c r="D915" s="180"/>
      <c r="E915" s="181"/>
      <c r="F915" s="113"/>
      <c r="G915" s="1" t="str">
        <f>IFERROR(IF(ventas_b_mes1255[[#This Row],[CUIT]]="","-",VLOOKUP(ventas_b_mes1255[[#This Row],[CUIT]],Lista_CUIT[#All],2,0)),"CUIT NO CARGADO")</f>
        <v>-</v>
      </c>
      <c r="H915" s="100">
        <f>ventas_b_mes1255[[#This Row],[TOTAL]]/1.21</f>
        <v>0</v>
      </c>
      <c r="I915" s="64">
        <f>ventas_b_mes1255[[#This Row],[IMPORTE NETO]]*0.21</f>
        <v>0</v>
      </c>
      <c r="J915" s="184"/>
      <c r="K915" s="184"/>
      <c r="L915" s="184"/>
      <c r="M915" s="59"/>
    </row>
    <row r="916" spans="2:13" x14ac:dyDescent="0.3">
      <c r="B916" s="178"/>
      <c r="C916" s="41"/>
      <c r="D916" s="180"/>
      <c r="E916" s="181"/>
      <c r="F916" s="113"/>
      <c r="G916" s="1" t="str">
        <f>IFERROR(IF(ventas_b_mes1255[[#This Row],[CUIT]]="","-",VLOOKUP(ventas_b_mes1255[[#This Row],[CUIT]],Lista_CUIT[#All],2,0)),"CUIT NO CARGADO")</f>
        <v>-</v>
      </c>
      <c r="H916" s="100">
        <f>ventas_b_mes1255[[#This Row],[TOTAL]]/1.21</f>
        <v>0</v>
      </c>
      <c r="I916" s="64">
        <f>ventas_b_mes1255[[#This Row],[IMPORTE NETO]]*0.21</f>
        <v>0</v>
      </c>
      <c r="J916" s="184"/>
      <c r="K916" s="184"/>
      <c r="L916" s="184"/>
      <c r="M916" s="59"/>
    </row>
    <row r="917" spans="2:13" x14ac:dyDescent="0.3">
      <c r="B917" s="178"/>
      <c r="C917" s="41"/>
      <c r="D917" s="180"/>
      <c r="E917" s="181"/>
      <c r="F917" s="113"/>
      <c r="G917" s="1" t="str">
        <f>IFERROR(IF(ventas_b_mes1255[[#This Row],[CUIT]]="","-",VLOOKUP(ventas_b_mes1255[[#This Row],[CUIT]],Lista_CUIT[#All],2,0)),"CUIT NO CARGADO")</f>
        <v>-</v>
      </c>
      <c r="H917" s="100">
        <f>ventas_b_mes1255[[#This Row],[TOTAL]]/1.21</f>
        <v>0</v>
      </c>
      <c r="I917" s="64">
        <f>ventas_b_mes1255[[#This Row],[IMPORTE NETO]]*0.21</f>
        <v>0</v>
      </c>
      <c r="J917" s="184"/>
      <c r="K917" s="184"/>
      <c r="L917" s="184"/>
      <c r="M917" s="59"/>
    </row>
    <row r="918" spans="2:13" x14ac:dyDescent="0.3">
      <c r="B918" s="178"/>
      <c r="C918" s="41"/>
      <c r="D918" s="180"/>
      <c r="E918" s="181"/>
      <c r="F918" s="113"/>
      <c r="G918" s="1" t="str">
        <f>IFERROR(IF(ventas_b_mes1255[[#This Row],[CUIT]]="","-",VLOOKUP(ventas_b_mes1255[[#This Row],[CUIT]],Lista_CUIT[#All],2,0)),"CUIT NO CARGADO")</f>
        <v>-</v>
      </c>
      <c r="H918" s="100">
        <f>ventas_b_mes1255[[#This Row],[TOTAL]]/1.21</f>
        <v>0</v>
      </c>
      <c r="I918" s="64">
        <f>ventas_b_mes1255[[#This Row],[IMPORTE NETO]]*0.21</f>
        <v>0</v>
      </c>
      <c r="J918" s="184"/>
      <c r="K918" s="184"/>
      <c r="L918" s="184"/>
      <c r="M918" s="59"/>
    </row>
    <row r="919" spans="2:13" x14ac:dyDescent="0.3">
      <c r="B919" s="178"/>
      <c r="C919" s="41"/>
      <c r="D919" s="180"/>
      <c r="E919" s="181"/>
      <c r="F919" s="113"/>
      <c r="G919" s="1" t="str">
        <f>IFERROR(IF(ventas_b_mes1255[[#This Row],[CUIT]]="","-",VLOOKUP(ventas_b_mes1255[[#This Row],[CUIT]],Lista_CUIT[#All],2,0)),"CUIT NO CARGADO")</f>
        <v>-</v>
      </c>
      <c r="H919" s="100">
        <f>ventas_b_mes1255[[#This Row],[TOTAL]]/1.21</f>
        <v>0</v>
      </c>
      <c r="I919" s="64">
        <f>ventas_b_mes1255[[#This Row],[IMPORTE NETO]]*0.21</f>
        <v>0</v>
      </c>
      <c r="J919" s="184"/>
      <c r="K919" s="184"/>
      <c r="L919" s="184"/>
      <c r="M919" s="59"/>
    </row>
    <row r="920" spans="2:13" x14ac:dyDescent="0.3">
      <c r="B920" s="178"/>
      <c r="C920" s="41"/>
      <c r="D920" s="180"/>
      <c r="E920" s="181"/>
      <c r="F920" s="113"/>
      <c r="G920" s="1" t="str">
        <f>IFERROR(IF(ventas_b_mes1255[[#This Row],[CUIT]]="","-",VLOOKUP(ventas_b_mes1255[[#This Row],[CUIT]],Lista_CUIT[#All],2,0)),"CUIT NO CARGADO")</f>
        <v>-</v>
      </c>
      <c r="H920" s="100">
        <f>ventas_b_mes1255[[#This Row],[TOTAL]]/1.21</f>
        <v>0</v>
      </c>
      <c r="I920" s="64">
        <f>ventas_b_mes1255[[#This Row],[IMPORTE NETO]]*0.21</f>
        <v>0</v>
      </c>
      <c r="J920" s="184"/>
      <c r="K920" s="184"/>
      <c r="L920" s="184"/>
      <c r="M920" s="59"/>
    </row>
    <row r="921" spans="2:13" x14ac:dyDescent="0.3">
      <c r="B921" s="178"/>
      <c r="C921" s="41"/>
      <c r="D921" s="180"/>
      <c r="E921" s="181"/>
      <c r="F921" s="113"/>
      <c r="G921" s="1" t="str">
        <f>IFERROR(IF(ventas_b_mes1255[[#This Row],[CUIT]]="","-",VLOOKUP(ventas_b_mes1255[[#This Row],[CUIT]],Lista_CUIT[#All],2,0)),"CUIT NO CARGADO")</f>
        <v>-</v>
      </c>
      <c r="H921" s="100">
        <f>ventas_b_mes1255[[#This Row],[TOTAL]]/1.21</f>
        <v>0</v>
      </c>
      <c r="I921" s="64">
        <f>ventas_b_mes1255[[#This Row],[IMPORTE NETO]]*0.21</f>
        <v>0</v>
      </c>
      <c r="J921" s="184"/>
      <c r="K921" s="184"/>
      <c r="L921" s="184"/>
      <c r="M921" s="59"/>
    </row>
    <row r="922" spans="2:13" x14ac:dyDescent="0.3">
      <c r="B922" s="178"/>
      <c r="C922" s="41"/>
      <c r="D922" s="180"/>
      <c r="E922" s="181"/>
      <c r="F922" s="113"/>
      <c r="G922" s="1" t="str">
        <f>IFERROR(IF(ventas_b_mes1255[[#This Row],[CUIT]]="","-",VLOOKUP(ventas_b_mes1255[[#This Row],[CUIT]],Lista_CUIT[#All],2,0)),"CUIT NO CARGADO")</f>
        <v>-</v>
      </c>
      <c r="H922" s="100">
        <f>ventas_b_mes1255[[#This Row],[TOTAL]]/1.21</f>
        <v>0</v>
      </c>
      <c r="I922" s="64">
        <f>ventas_b_mes1255[[#This Row],[IMPORTE NETO]]*0.21</f>
        <v>0</v>
      </c>
      <c r="J922" s="184"/>
      <c r="K922" s="184"/>
      <c r="L922" s="184"/>
      <c r="M922" s="59"/>
    </row>
    <row r="923" spans="2:13" x14ac:dyDescent="0.3">
      <c r="B923" s="178"/>
      <c r="C923" s="41"/>
      <c r="D923" s="180"/>
      <c r="E923" s="181"/>
      <c r="F923" s="113"/>
      <c r="G923" s="1" t="str">
        <f>IFERROR(IF(ventas_b_mes1255[[#This Row],[CUIT]]="","-",VLOOKUP(ventas_b_mes1255[[#This Row],[CUIT]],Lista_CUIT[#All],2,0)),"CUIT NO CARGADO")</f>
        <v>-</v>
      </c>
      <c r="H923" s="100">
        <f>ventas_b_mes1255[[#This Row],[TOTAL]]/1.21</f>
        <v>0</v>
      </c>
      <c r="I923" s="64">
        <f>ventas_b_mes1255[[#This Row],[IMPORTE NETO]]*0.21</f>
        <v>0</v>
      </c>
      <c r="J923" s="184"/>
      <c r="K923" s="184"/>
      <c r="L923" s="184"/>
      <c r="M923" s="59"/>
    </row>
    <row r="924" spans="2:13" x14ac:dyDescent="0.3">
      <c r="B924" s="178"/>
      <c r="C924" s="41"/>
      <c r="D924" s="180"/>
      <c r="E924" s="181"/>
      <c r="F924" s="113"/>
      <c r="G924" s="1" t="str">
        <f>IFERROR(IF(ventas_b_mes1255[[#This Row],[CUIT]]="","-",VLOOKUP(ventas_b_mes1255[[#This Row],[CUIT]],Lista_CUIT[#All],2,0)),"CUIT NO CARGADO")</f>
        <v>-</v>
      </c>
      <c r="H924" s="100">
        <f>ventas_b_mes1255[[#This Row],[TOTAL]]/1.21</f>
        <v>0</v>
      </c>
      <c r="I924" s="64">
        <f>ventas_b_mes1255[[#This Row],[IMPORTE NETO]]*0.21</f>
        <v>0</v>
      </c>
      <c r="J924" s="184"/>
      <c r="K924" s="184"/>
      <c r="L924" s="184"/>
      <c r="M924" s="59"/>
    </row>
    <row r="925" spans="2:13" x14ac:dyDescent="0.3">
      <c r="B925" s="178"/>
      <c r="C925" s="41"/>
      <c r="D925" s="180"/>
      <c r="E925" s="181"/>
      <c r="F925" s="113"/>
      <c r="G925" s="1" t="str">
        <f>IFERROR(IF(ventas_b_mes1255[[#This Row],[CUIT]]="","-",VLOOKUP(ventas_b_mes1255[[#This Row],[CUIT]],Lista_CUIT[#All],2,0)),"CUIT NO CARGADO")</f>
        <v>-</v>
      </c>
      <c r="H925" s="100">
        <f>ventas_b_mes1255[[#This Row],[TOTAL]]/1.21</f>
        <v>0</v>
      </c>
      <c r="I925" s="64">
        <f>ventas_b_mes1255[[#This Row],[IMPORTE NETO]]*0.21</f>
        <v>0</v>
      </c>
      <c r="J925" s="184"/>
      <c r="K925" s="184"/>
      <c r="L925" s="184"/>
      <c r="M925" s="59"/>
    </row>
    <row r="926" spans="2:13" x14ac:dyDescent="0.3">
      <c r="B926" s="178"/>
      <c r="C926" s="41"/>
      <c r="D926" s="180"/>
      <c r="E926" s="181"/>
      <c r="F926" s="113"/>
      <c r="G926" s="1" t="str">
        <f>IFERROR(IF(ventas_b_mes1255[[#This Row],[CUIT]]="","-",VLOOKUP(ventas_b_mes1255[[#This Row],[CUIT]],Lista_CUIT[#All],2,0)),"CUIT NO CARGADO")</f>
        <v>-</v>
      </c>
      <c r="H926" s="100">
        <f>ventas_b_mes1255[[#This Row],[TOTAL]]/1.21</f>
        <v>0</v>
      </c>
      <c r="I926" s="64">
        <f>ventas_b_mes1255[[#This Row],[IMPORTE NETO]]*0.21</f>
        <v>0</v>
      </c>
      <c r="J926" s="184"/>
      <c r="K926" s="184"/>
      <c r="L926" s="184"/>
      <c r="M926" s="59"/>
    </row>
    <row r="927" spans="2:13" x14ac:dyDescent="0.3">
      <c r="B927" s="178"/>
      <c r="C927" s="41"/>
      <c r="D927" s="180"/>
      <c r="E927" s="181"/>
      <c r="F927" s="113"/>
      <c r="G927" s="1" t="str">
        <f>IFERROR(IF(ventas_b_mes1255[[#This Row],[CUIT]]="","-",VLOOKUP(ventas_b_mes1255[[#This Row],[CUIT]],Lista_CUIT[#All],2,0)),"CUIT NO CARGADO")</f>
        <v>-</v>
      </c>
      <c r="H927" s="100">
        <f>ventas_b_mes1255[[#This Row],[TOTAL]]/1.21</f>
        <v>0</v>
      </c>
      <c r="I927" s="64">
        <f>ventas_b_mes1255[[#This Row],[IMPORTE NETO]]*0.21</f>
        <v>0</v>
      </c>
      <c r="J927" s="184"/>
      <c r="K927" s="184"/>
      <c r="L927" s="184"/>
      <c r="M927" s="59"/>
    </row>
    <row r="928" spans="2:13" x14ac:dyDescent="0.3">
      <c r="B928" s="178"/>
      <c r="C928" s="41"/>
      <c r="D928" s="180"/>
      <c r="E928" s="181"/>
      <c r="F928" s="113"/>
      <c r="G928" s="1" t="str">
        <f>IFERROR(IF(ventas_b_mes1255[[#This Row],[CUIT]]="","-",VLOOKUP(ventas_b_mes1255[[#This Row],[CUIT]],Lista_CUIT[#All],2,0)),"CUIT NO CARGADO")</f>
        <v>-</v>
      </c>
      <c r="H928" s="100">
        <f>ventas_b_mes1255[[#This Row],[TOTAL]]/1.21</f>
        <v>0</v>
      </c>
      <c r="I928" s="64">
        <f>ventas_b_mes1255[[#This Row],[IMPORTE NETO]]*0.21</f>
        <v>0</v>
      </c>
      <c r="J928" s="184"/>
      <c r="K928" s="184"/>
      <c r="L928" s="184"/>
      <c r="M928" s="59"/>
    </row>
    <row r="929" spans="2:13" x14ac:dyDescent="0.3">
      <c r="B929" s="178"/>
      <c r="C929" s="41"/>
      <c r="D929" s="180"/>
      <c r="E929" s="181"/>
      <c r="F929" s="113"/>
      <c r="G929" s="1" t="str">
        <f>IFERROR(IF(ventas_b_mes1255[[#This Row],[CUIT]]="","-",VLOOKUP(ventas_b_mes1255[[#This Row],[CUIT]],Lista_CUIT[#All],2,0)),"CUIT NO CARGADO")</f>
        <v>-</v>
      </c>
      <c r="H929" s="100">
        <f>ventas_b_mes1255[[#This Row],[TOTAL]]/1.21</f>
        <v>0</v>
      </c>
      <c r="I929" s="64">
        <f>ventas_b_mes1255[[#This Row],[IMPORTE NETO]]*0.21</f>
        <v>0</v>
      </c>
      <c r="J929" s="184"/>
      <c r="K929" s="184"/>
      <c r="L929" s="184"/>
      <c r="M929" s="59"/>
    </row>
    <row r="930" spans="2:13" x14ac:dyDescent="0.3">
      <c r="B930" s="178"/>
      <c r="C930" s="41"/>
      <c r="D930" s="180"/>
      <c r="E930" s="181"/>
      <c r="F930" s="113"/>
      <c r="G930" s="1" t="str">
        <f>IFERROR(IF(ventas_b_mes1255[[#This Row],[CUIT]]="","-",VLOOKUP(ventas_b_mes1255[[#This Row],[CUIT]],Lista_CUIT[#All],2,0)),"CUIT NO CARGADO")</f>
        <v>-</v>
      </c>
      <c r="H930" s="100">
        <f>ventas_b_mes1255[[#This Row],[TOTAL]]/1.21</f>
        <v>0</v>
      </c>
      <c r="I930" s="64">
        <f>ventas_b_mes1255[[#This Row],[IMPORTE NETO]]*0.21</f>
        <v>0</v>
      </c>
      <c r="J930" s="184"/>
      <c r="K930" s="184"/>
      <c r="L930" s="184"/>
      <c r="M930" s="59"/>
    </row>
    <row r="931" spans="2:13" x14ac:dyDescent="0.3">
      <c r="B931" s="178"/>
      <c r="C931" s="41"/>
      <c r="D931" s="180"/>
      <c r="E931" s="181"/>
      <c r="F931" s="113"/>
      <c r="G931" s="1" t="str">
        <f>IFERROR(IF(ventas_b_mes1255[[#This Row],[CUIT]]="","-",VLOOKUP(ventas_b_mes1255[[#This Row],[CUIT]],Lista_CUIT[#All],2,0)),"CUIT NO CARGADO")</f>
        <v>-</v>
      </c>
      <c r="H931" s="100">
        <f>ventas_b_mes1255[[#This Row],[TOTAL]]/1.21</f>
        <v>0</v>
      </c>
      <c r="I931" s="64">
        <f>ventas_b_mes1255[[#This Row],[IMPORTE NETO]]*0.21</f>
        <v>0</v>
      </c>
      <c r="J931" s="184"/>
      <c r="K931" s="184"/>
      <c r="L931" s="184"/>
      <c r="M931" s="59"/>
    </row>
    <row r="932" spans="2:13" x14ac:dyDescent="0.3">
      <c r="B932" s="178"/>
      <c r="C932" s="41"/>
      <c r="D932" s="180"/>
      <c r="E932" s="181"/>
      <c r="F932" s="113"/>
      <c r="G932" s="1" t="str">
        <f>IFERROR(IF(ventas_b_mes1255[[#This Row],[CUIT]]="","-",VLOOKUP(ventas_b_mes1255[[#This Row],[CUIT]],Lista_CUIT[#All],2,0)),"CUIT NO CARGADO")</f>
        <v>-</v>
      </c>
      <c r="H932" s="100">
        <f>ventas_b_mes1255[[#This Row],[TOTAL]]/1.21</f>
        <v>0</v>
      </c>
      <c r="I932" s="64">
        <f>ventas_b_mes1255[[#This Row],[IMPORTE NETO]]*0.21</f>
        <v>0</v>
      </c>
      <c r="J932" s="184"/>
      <c r="K932" s="184"/>
      <c r="L932" s="184"/>
      <c r="M932" s="59"/>
    </row>
    <row r="933" spans="2:13" x14ac:dyDescent="0.3">
      <c r="B933" s="178"/>
      <c r="C933" s="41"/>
      <c r="D933" s="180"/>
      <c r="E933" s="181"/>
      <c r="F933" s="113"/>
      <c r="G933" s="1" t="str">
        <f>IFERROR(IF(ventas_b_mes1255[[#This Row],[CUIT]]="","-",VLOOKUP(ventas_b_mes1255[[#This Row],[CUIT]],Lista_CUIT[#All],2,0)),"CUIT NO CARGADO")</f>
        <v>-</v>
      </c>
      <c r="H933" s="100">
        <f>ventas_b_mes1255[[#This Row],[TOTAL]]/1.21</f>
        <v>0</v>
      </c>
      <c r="I933" s="64">
        <f>ventas_b_mes1255[[#This Row],[IMPORTE NETO]]*0.21</f>
        <v>0</v>
      </c>
      <c r="J933" s="184"/>
      <c r="K933" s="184"/>
      <c r="L933" s="184"/>
      <c r="M933" s="59"/>
    </row>
    <row r="934" spans="2:13" x14ac:dyDescent="0.3">
      <c r="B934" s="178"/>
      <c r="C934" s="41"/>
      <c r="D934" s="180"/>
      <c r="E934" s="181"/>
      <c r="F934" s="113"/>
      <c r="G934" s="1" t="str">
        <f>IFERROR(IF(ventas_b_mes1255[[#This Row],[CUIT]]="","-",VLOOKUP(ventas_b_mes1255[[#This Row],[CUIT]],Lista_CUIT[#All],2,0)),"CUIT NO CARGADO")</f>
        <v>-</v>
      </c>
      <c r="H934" s="100">
        <f>ventas_b_mes1255[[#This Row],[TOTAL]]/1.21</f>
        <v>0</v>
      </c>
      <c r="I934" s="64">
        <f>ventas_b_mes1255[[#This Row],[IMPORTE NETO]]*0.21</f>
        <v>0</v>
      </c>
      <c r="J934" s="184"/>
      <c r="K934" s="184"/>
      <c r="L934" s="184"/>
      <c r="M934" s="59"/>
    </row>
    <row r="935" spans="2:13" x14ac:dyDescent="0.3">
      <c r="B935" s="178"/>
      <c r="C935" s="41"/>
      <c r="D935" s="180"/>
      <c r="E935" s="181"/>
      <c r="F935" s="113"/>
      <c r="G935" s="1" t="str">
        <f>IFERROR(IF(ventas_b_mes1255[[#This Row],[CUIT]]="","-",VLOOKUP(ventas_b_mes1255[[#This Row],[CUIT]],Lista_CUIT[#All],2,0)),"CUIT NO CARGADO")</f>
        <v>-</v>
      </c>
      <c r="H935" s="100">
        <f>ventas_b_mes1255[[#This Row],[TOTAL]]/1.21</f>
        <v>0</v>
      </c>
      <c r="I935" s="64">
        <f>ventas_b_mes1255[[#This Row],[IMPORTE NETO]]*0.21</f>
        <v>0</v>
      </c>
      <c r="J935" s="184"/>
      <c r="K935" s="184"/>
      <c r="L935" s="184"/>
      <c r="M935" s="59"/>
    </row>
    <row r="936" spans="2:13" x14ac:dyDescent="0.3">
      <c r="B936" s="178"/>
      <c r="C936" s="41"/>
      <c r="D936" s="180"/>
      <c r="E936" s="181"/>
      <c r="F936" s="113"/>
      <c r="G936" s="1" t="str">
        <f>IFERROR(IF(ventas_b_mes1255[[#This Row],[CUIT]]="","-",VLOOKUP(ventas_b_mes1255[[#This Row],[CUIT]],Lista_CUIT[#All],2,0)),"CUIT NO CARGADO")</f>
        <v>-</v>
      </c>
      <c r="H936" s="100">
        <f>ventas_b_mes1255[[#This Row],[TOTAL]]/1.21</f>
        <v>0</v>
      </c>
      <c r="I936" s="64">
        <f>ventas_b_mes1255[[#This Row],[IMPORTE NETO]]*0.21</f>
        <v>0</v>
      </c>
      <c r="J936" s="184"/>
      <c r="K936" s="184"/>
      <c r="L936" s="184"/>
      <c r="M936" s="59"/>
    </row>
    <row r="937" spans="2:13" x14ac:dyDescent="0.3">
      <c r="B937" s="178"/>
      <c r="C937" s="41"/>
      <c r="D937" s="180"/>
      <c r="E937" s="181"/>
      <c r="F937" s="113"/>
      <c r="G937" s="1" t="str">
        <f>IFERROR(IF(ventas_b_mes1255[[#This Row],[CUIT]]="","-",VLOOKUP(ventas_b_mes1255[[#This Row],[CUIT]],Lista_CUIT[#All],2,0)),"CUIT NO CARGADO")</f>
        <v>-</v>
      </c>
      <c r="H937" s="100">
        <f>ventas_b_mes1255[[#This Row],[TOTAL]]/1.21</f>
        <v>0</v>
      </c>
      <c r="I937" s="64">
        <f>ventas_b_mes1255[[#This Row],[IMPORTE NETO]]*0.21</f>
        <v>0</v>
      </c>
      <c r="J937" s="184"/>
      <c r="K937" s="184"/>
      <c r="L937" s="184"/>
      <c r="M937" s="59"/>
    </row>
    <row r="938" spans="2:13" x14ac:dyDescent="0.3">
      <c r="B938" s="178"/>
      <c r="C938" s="41"/>
      <c r="D938" s="180"/>
      <c r="E938" s="181"/>
      <c r="F938" s="113"/>
      <c r="G938" s="1" t="str">
        <f>IFERROR(IF(ventas_b_mes1255[[#This Row],[CUIT]]="","-",VLOOKUP(ventas_b_mes1255[[#This Row],[CUIT]],Lista_CUIT[#All],2,0)),"CUIT NO CARGADO")</f>
        <v>-</v>
      </c>
      <c r="H938" s="100">
        <f>ventas_b_mes1255[[#This Row],[TOTAL]]/1.21</f>
        <v>0</v>
      </c>
      <c r="I938" s="64">
        <f>ventas_b_mes1255[[#This Row],[IMPORTE NETO]]*0.21</f>
        <v>0</v>
      </c>
      <c r="J938" s="184"/>
      <c r="K938" s="184"/>
      <c r="L938" s="184"/>
      <c r="M938" s="59"/>
    </row>
    <row r="939" spans="2:13" x14ac:dyDescent="0.3">
      <c r="B939" s="178"/>
      <c r="C939" s="41"/>
      <c r="D939" s="180"/>
      <c r="E939" s="181"/>
      <c r="F939" s="113"/>
      <c r="G939" s="1" t="str">
        <f>IFERROR(IF(ventas_b_mes1255[[#This Row],[CUIT]]="","-",VLOOKUP(ventas_b_mes1255[[#This Row],[CUIT]],Lista_CUIT[#All],2,0)),"CUIT NO CARGADO")</f>
        <v>-</v>
      </c>
      <c r="H939" s="100">
        <f>ventas_b_mes1255[[#This Row],[TOTAL]]/1.21</f>
        <v>0</v>
      </c>
      <c r="I939" s="64">
        <f>ventas_b_mes1255[[#This Row],[IMPORTE NETO]]*0.21</f>
        <v>0</v>
      </c>
      <c r="J939" s="184"/>
      <c r="K939" s="184"/>
      <c r="L939" s="184"/>
      <c r="M939" s="59"/>
    </row>
    <row r="940" spans="2:13" x14ac:dyDescent="0.3">
      <c r="B940" s="178"/>
      <c r="C940" s="41"/>
      <c r="D940" s="180"/>
      <c r="E940" s="181"/>
      <c r="F940" s="113"/>
      <c r="G940" s="1" t="str">
        <f>IFERROR(IF(ventas_b_mes1255[[#This Row],[CUIT]]="","-",VLOOKUP(ventas_b_mes1255[[#This Row],[CUIT]],Lista_CUIT[#All],2,0)),"CUIT NO CARGADO")</f>
        <v>-</v>
      </c>
      <c r="H940" s="100">
        <f>ventas_b_mes1255[[#This Row],[TOTAL]]/1.21</f>
        <v>0</v>
      </c>
      <c r="I940" s="64">
        <f>ventas_b_mes1255[[#This Row],[IMPORTE NETO]]*0.21</f>
        <v>0</v>
      </c>
      <c r="J940" s="184"/>
      <c r="K940" s="184"/>
      <c r="L940" s="184"/>
      <c r="M940" s="59"/>
    </row>
    <row r="941" spans="2:13" x14ac:dyDescent="0.3">
      <c r="B941" s="178"/>
      <c r="C941" s="41"/>
      <c r="D941" s="180"/>
      <c r="E941" s="181"/>
      <c r="F941" s="113"/>
      <c r="G941" s="1" t="str">
        <f>IFERROR(IF(ventas_b_mes1255[[#This Row],[CUIT]]="","-",VLOOKUP(ventas_b_mes1255[[#This Row],[CUIT]],Lista_CUIT[#All],2,0)),"CUIT NO CARGADO")</f>
        <v>-</v>
      </c>
      <c r="H941" s="100">
        <f>ventas_b_mes1255[[#This Row],[TOTAL]]/1.21</f>
        <v>0</v>
      </c>
      <c r="I941" s="64">
        <f>ventas_b_mes1255[[#This Row],[IMPORTE NETO]]*0.21</f>
        <v>0</v>
      </c>
      <c r="J941" s="184"/>
      <c r="K941" s="184"/>
      <c r="L941" s="184"/>
      <c r="M941" s="59"/>
    </row>
    <row r="942" spans="2:13" x14ac:dyDescent="0.3">
      <c r="B942" s="178"/>
      <c r="C942" s="41"/>
      <c r="D942" s="180"/>
      <c r="E942" s="181"/>
      <c r="F942" s="113"/>
      <c r="G942" s="1" t="str">
        <f>IFERROR(IF(ventas_b_mes1255[[#This Row],[CUIT]]="","-",VLOOKUP(ventas_b_mes1255[[#This Row],[CUIT]],Lista_CUIT[#All],2,0)),"CUIT NO CARGADO")</f>
        <v>-</v>
      </c>
      <c r="H942" s="100">
        <f>ventas_b_mes1255[[#This Row],[TOTAL]]/1.21</f>
        <v>0</v>
      </c>
      <c r="I942" s="64">
        <f>ventas_b_mes1255[[#This Row],[IMPORTE NETO]]*0.21</f>
        <v>0</v>
      </c>
      <c r="J942" s="184"/>
      <c r="K942" s="184"/>
      <c r="L942" s="184"/>
      <c r="M942" s="59"/>
    </row>
    <row r="943" spans="2:13" x14ac:dyDescent="0.3">
      <c r="B943" s="178"/>
      <c r="C943" s="41"/>
      <c r="D943" s="180"/>
      <c r="E943" s="181"/>
      <c r="F943" s="113"/>
      <c r="G943" s="1" t="str">
        <f>IFERROR(IF(ventas_b_mes1255[[#This Row],[CUIT]]="","-",VLOOKUP(ventas_b_mes1255[[#This Row],[CUIT]],Lista_CUIT[#All],2,0)),"CUIT NO CARGADO")</f>
        <v>-</v>
      </c>
      <c r="H943" s="100">
        <f>ventas_b_mes1255[[#This Row],[TOTAL]]/1.21</f>
        <v>0</v>
      </c>
      <c r="I943" s="64">
        <f>ventas_b_mes1255[[#This Row],[IMPORTE NETO]]*0.21</f>
        <v>0</v>
      </c>
      <c r="J943" s="184"/>
      <c r="K943" s="184"/>
      <c r="L943" s="184"/>
      <c r="M943" s="59"/>
    </row>
    <row r="944" spans="2:13" x14ac:dyDescent="0.3">
      <c r="B944" s="178"/>
      <c r="C944" s="41"/>
      <c r="D944" s="180"/>
      <c r="E944" s="181"/>
      <c r="F944" s="113"/>
      <c r="G944" s="1" t="str">
        <f>IFERROR(IF(ventas_b_mes1255[[#This Row],[CUIT]]="","-",VLOOKUP(ventas_b_mes1255[[#This Row],[CUIT]],Lista_CUIT[#All],2,0)),"CUIT NO CARGADO")</f>
        <v>-</v>
      </c>
      <c r="H944" s="100">
        <f>ventas_b_mes1255[[#This Row],[TOTAL]]/1.21</f>
        <v>0</v>
      </c>
      <c r="I944" s="64">
        <f>ventas_b_mes1255[[#This Row],[IMPORTE NETO]]*0.21</f>
        <v>0</v>
      </c>
      <c r="J944" s="184"/>
      <c r="K944" s="184"/>
      <c r="L944" s="184"/>
      <c r="M944" s="59"/>
    </row>
    <row r="945" spans="2:13" x14ac:dyDescent="0.3">
      <c r="B945" s="178"/>
      <c r="C945" s="41"/>
      <c r="D945" s="180"/>
      <c r="E945" s="181"/>
      <c r="F945" s="113"/>
      <c r="G945" s="1" t="str">
        <f>IFERROR(IF(ventas_b_mes1255[[#This Row],[CUIT]]="","-",VLOOKUP(ventas_b_mes1255[[#This Row],[CUIT]],Lista_CUIT[#All],2,0)),"CUIT NO CARGADO")</f>
        <v>-</v>
      </c>
      <c r="H945" s="100">
        <f>ventas_b_mes1255[[#This Row],[TOTAL]]/1.21</f>
        <v>0</v>
      </c>
      <c r="I945" s="64">
        <f>ventas_b_mes1255[[#This Row],[IMPORTE NETO]]*0.21</f>
        <v>0</v>
      </c>
      <c r="J945" s="184"/>
      <c r="K945" s="184"/>
      <c r="L945" s="184"/>
      <c r="M945" s="59"/>
    </row>
    <row r="946" spans="2:13" x14ac:dyDescent="0.3">
      <c r="B946" s="178"/>
      <c r="C946" s="41"/>
      <c r="D946" s="180"/>
      <c r="E946" s="181"/>
      <c r="F946" s="113"/>
      <c r="G946" s="1" t="str">
        <f>IFERROR(IF(ventas_b_mes1255[[#This Row],[CUIT]]="","-",VLOOKUP(ventas_b_mes1255[[#This Row],[CUIT]],Lista_CUIT[#All],2,0)),"CUIT NO CARGADO")</f>
        <v>-</v>
      </c>
      <c r="H946" s="100">
        <f>ventas_b_mes1255[[#This Row],[TOTAL]]/1.21</f>
        <v>0</v>
      </c>
      <c r="I946" s="64">
        <f>ventas_b_mes1255[[#This Row],[IMPORTE NETO]]*0.21</f>
        <v>0</v>
      </c>
      <c r="J946" s="184"/>
      <c r="K946" s="184"/>
      <c r="L946" s="184"/>
      <c r="M946" s="59"/>
    </row>
    <row r="947" spans="2:13" x14ac:dyDescent="0.3">
      <c r="B947" s="178"/>
      <c r="C947" s="41"/>
      <c r="D947" s="180"/>
      <c r="E947" s="181"/>
      <c r="F947" s="113"/>
      <c r="G947" s="1" t="str">
        <f>IFERROR(IF(ventas_b_mes1255[[#This Row],[CUIT]]="","-",VLOOKUP(ventas_b_mes1255[[#This Row],[CUIT]],Lista_CUIT[#All],2,0)),"CUIT NO CARGADO")</f>
        <v>-</v>
      </c>
      <c r="H947" s="100">
        <f>ventas_b_mes1255[[#This Row],[TOTAL]]/1.21</f>
        <v>0</v>
      </c>
      <c r="I947" s="64">
        <f>ventas_b_mes1255[[#This Row],[IMPORTE NETO]]*0.21</f>
        <v>0</v>
      </c>
      <c r="J947" s="184"/>
      <c r="K947" s="184"/>
      <c r="L947" s="184"/>
      <c r="M947" s="59"/>
    </row>
    <row r="948" spans="2:13" x14ac:dyDescent="0.3">
      <c r="B948" s="178"/>
      <c r="C948" s="41"/>
      <c r="D948" s="180"/>
      <c r="E948" s="181"/>
      <c r="F948" s="113"/>
      <c r="G948" s="1" t="str">
        <f>IFERROR(IF(ventas_b_mes1255[[#This Row],[CUIT]]="","-",VLOOKUP(ventas_b_mes1255[[#This Row],[CUIT]],Lista_CUIT[#All],2,0)),"CUIT NO CARGADO")</f>
        <v>-</v>
      </c>
      <c r="H948" s="100">
        <f>ventas_b_mes1255[[#This Row],[TOTAL]]/1.21</f>
        <v>0</v>
      </c>
      <c r="I948" s="64">
        <f>ventas_b_mes1255[[#This Row],[IMPORTE NETO]]*0.21</f>
        <v>0</v>
      </c>
      <c r="J948" s="184"/>
      <c r="K948" s="184"/>
      <c r="L948" s="184"/>
      <c r="M948" s="59"/>
    </row>
    <row r="949" spans="2:13" x14ac:dyDescent="0.3">
      <c r="B949" s="178"/>
      <c r="C949" s="41"/>
      <c r="D949" s="180"/>
      <c r="E949" s="181"/>
      <c r="F949" s="113"/>
      <c r="G949" s="1" t="str">
        <f>IFERROR(IF(ventas_b_mes1255[[#This Row],[CUIT]]="","-",VLOOKUP(ventas_b_mes1255[[#This Row],[CUIT]],Lista_CUIT[#All],2,0)),"CUIT NO CARGADO")</f>
        <v>-</v>
      </c>
      <c r="H949" s="100">
        <f>ventas_b_mes1255[[#This Row],[TOTAL]]/1.21</f>
        <v>0</v>
      </c>
      <c r="I949" s="64">
        <f>ventas_b_mes1255[[#This Row],[IMPORTE NETO]]*0.21</f>
        <v>0</v>
      </c>
      <c r="J949" s="184"/>
      <c r="K949" s="184"/>
      <c r="L949" s="184"/>
      <c r="M949" s="59"/>
    </row>
    <row r="950" spans="2:13" x14ac:dyDescent="0.3">
      <c r="B950" s="178"/>
      <c r="C950" s="41"/>
      <c r="D950" s="180"/>
      <c r="E950" s="181"/>
      <c r="F950" s="113"/>
      <c r="G950" s="1" t="str">
        <f>IFERROR(IF(ventas_b_mes1255[[#This Row],[CUIT]]="","-",VLOOKUP(ventas_b_mes1255[[#This Row],[CUIT]],Lista_CUIT[#All],2,0)),"CUIT NO CARGADO")</f>
        <v>-</v>
      </c>
      <c r="H950" s="100">
        <f>ventas_b_mes1255[[#This Row],[TOTAL]]/1.21</f>
        <v>0</v>
      </c>
      <c r="I950" s="64">
        <f>ventas_b_mes1255[[#This Row],[IMPORTE NETO]]*0.21</f>
        <v>0</v>
      </c>
      <c r="J950" s="184"/>
      <c r="K950" s="184"/>
      <c r="L950" s="184"/>
      <c r="M950" s="59"/>
    </row>
    <row r="951" spans="2:13" x14ac:dyDescent="0.3">
      <c r="B951" s="178"/>
      <c r="C951" s="41"/>
      <c r="D951" s="180"/>
      <c r="E951" s="181"/>
      <c r="F951" s="113"/>
      <c r="G951" s="1" t="str">
        <f>IFERROR(IF(ventas_b_mes1255[[#This Row],[CUIT]]="","-",VLOOKUP(ventas_b_mes1255[[#This Row],[CUIT]],Lista_CUIT[#All],2,0)),"CUIT NO CARGADO")</f>
        <v>-</v>
      </c>
      <c r="H951" s="100">
        <f>ventas_b_mes1255[[#This Row],[TOTAL]]/1.21</f>
        <v>0</v>
      </c>
      <c r="I951" s="64">
        <f>ventas_b_mes1255[[#This Row],[IMPORTE NETO]]*0.21</f>
        <v>0</v>
      </c>
      <c r="J951" s="184"/>
      <c r="K951" s="184"/>
      <c r="L951" s="184"/>
      <c r="M951" s="59"/>
    </row>
    <row r="952" spans="2:13" x14ac:dyDescent="0.3">
      <c r="B952" s="178"/>
      <c r="C952" s="41"/>
      <c r="D952" s="180"/>
      <c r="E952" s="181"/>
      <c r="F952" s="113"/>
      <c r="G952" s="1" t="str">
        <f>IFERROR(IF(ventas_b_mes1255[[#This Row],[CUIT]]="","-",VLOOKUP(ventas_b_mes1255[[#This Row],[CUIT]],Lista_CUIT[#All],2,0)),"CUIT NO CARGADO")</f>
        <v>-</v>
      </c>
      <c r="H952" s="100">
        <f>ventas_b_mes1255[[#This Row],[TOTAL]]/1.21</f>
        <v>0</v>
      </c>
      <c r="I952" s="64">
        <f>ventas_b_mes1255[[#This Row],[IMPORTE NETO]]*0.21</f>
        <v>0</v>
      </c>
      <c r="J952" s="184"/>
      <c r="K952" s="184"/>
      <c r="L952" s="184"/>
      <c r="M952" s="59"/>
    </row>
    <row r="953" spans="2:13" x14ac:dyDescent="0.3">
      <c r="B953" s="178"/>
      <c r="C953" s="41"/>
      <c r="D953" s="180"/>
      <c r="E953" s="181"/>
      <c r="F953" s="113"/>
      <c r="G953" s="1" t="str">
        <f>IFERROR(IF(ventas_b_mes1255[[#This Row],[CUIT]]="","-",VLOOKUP(ventas_b_mes1255[[#This Row],[CUIT]],Lista_CUIT[#All],2,0)),"CUIT NO CARGADO")</f>
        <v>-</v>
      </c>
      <c r="H953" s="100">
        <f>ventas_b_mes1255[[#This Row],[TOTAL]]/1.21</f>
        <v>0</v>
      </c>
      <c r="I953" s="64">
        <f>ventas_b_mes1255[[#This Row],[IMPORTE NETO]]*0.21</f>
        <v>0</v>
      </c>
      <c r="J953" s="184"/>
      <c r="K953" s="184"/>
      <c r="L953" s="184"/>
      <c r="M953" s="59"/>
    </row>
    <row r="954" spans="2:13" x14ac:dyDescent="0.3">
      <c r="B954" s="178"/>
      <c r="C954" s="41"/>
      <c r="D954" s="180"/>
      <c r="E954" s="181"/>
      <c r="F954" s="113"/>
      <c r="G954" s="1" t="str">
        <f>IFERROR(IF(ventas_b_mes1255[[#This Row],[CUIT]]="","-",VLOOKUP(ventas_b_mes1255[[#This Row],[CUIT]],Lista_CUIT[#All],2,0)),"CUIT NO CARGADO")</f>
        <v>-</v>
      </c>
      <c r="H954" s="100">
        <f>ventas_b_mes1255[[#This Row],[TOTAL]]/1.21</f>
        <v>0</v>
      </c>
      <c r="I954" s="64">
        <f>ventas_b_mes1255[[#This Row],[IMPORTE NETO]]*0.21</f>
        <v>0</v>
      </c>
      <c r="J954" s="184"/>
      <c r="K954" s="184"/>
      <c r="L954" s="184"/>
      <c r="M954" s="59"/>
    </row>
    <row r="955" spans="2:13" x14ac:dyDescent="0.3">
      <c r="B955" s="178"/>
      <c r="C955" s="41"/>
      <c r="D955" s="180"/>
      <c r="E955" s="181"/>
      <c r="F955" s="113"/>
      <c r="G955" s="1" t="str">
        <f>IFERROR(IF(ventas_b_mes1255[[#This Row],[CUIT]]="","-",VLOOKUP(ventas_b_mes1255[[#This Row],[CUIT]],Lista_CUIT[#All],2,0)),"CUIT NO CARGADO")</f>
        <v>-</v>
      </c>
      <c r="H955" s="100">
        <f>ventas_b_mes1255[[#This Row],[TOTAL]]/1.21</f>
        <v>0</v>
      </c>
      <c r="I955" s="64">
        <f>ventas_b_mes1255[[#This Row],[IMPORTE NETO]]*0.21</f>
        <v>0</v>
      </c>
      <c r="J955" s="184"/>
      <c r="K955" s="184"/>
      <c r="L955" s="184"/>
      <c r="M955" s="59"/>
    </row>
    <row r="956" spans="2:13" x14ac:dyDescent="0.3">
      <c r="B956" s="178"/>
      <c r="C956" s="41"/>
      <c r="D956" s="180"/>
      <c r="E956" s="181"/>
      <c r="F956" s="113"/>
      <c r="G956" s="1" t="str">
        <f>IFERROR(IF(ventas_b_mes1255[[#This Row],[CUIT]]="","-",VLOOKUP(ventas_b_mes1255[[#This Row],[CUIT]],Lista_CUIT[#All],2,0)),"CUIT NO CARGADO")</f>
        <v>-</v>
      </c>
      <c r="H956" s="100">
        <f>ventas_b_mes1255[[#This Row],[TOTAL]]/1.21</f>
        <v>0</v>
      </c>
      <c r="I956" s="64">
        <f>ventas_b_mes1255[[#This Row],[IMPORTE NETO]]*0.21</f>
        <v>0</v>
      </c>
      <c r="J956" s="184"/>
      <c r="K956" s="184"/>
      <c r="L956" s="184"/>
      <c r="M956" s="59"/>
    </row>
    <row r="957" spans="2:13" x14ac:dyDescent="0.3">
      <c r="B957" s="178"/>
      <c r="C957" s="41"/>
      <c r="D957" s="180"/>
      <c r="E957" s="181"/>
      <c r="F957" s="113"/>
      <c r="G957" s="1" t="str">
        <f>IFERROR(IF(ventas_b_mes1255[[#This Row],[CUIT]]="","-",VLOOKUP(ventas_b_mes1255[[#This Row],[CUIT]],Lista_CUIT[#All],2,0)),"CUIT NO CARGADO")</f>
        <v>-</v>
      </c>
      <c r="H957" s="100">
        <f>ventas_b_mes1255[[#This Row],[TOTAL]]/1.21</f>
        <v>0</v>
      </c>
      <c r="I957" s="64">
        <f>ventas_b_mes1255[[#This Row],[IMPORTE NETO]]*0.21</f>
        <v>0</v>
      </c>
      <c r="J957" s="184"/>
      <c r="K957" s="184"/>
      <c r="L957" s="184"/>
      <c r="M957" s="59"/>
    </row>
    <row r="958" spans="2:13" x14ac:dyDescent="0.3">
      <c r="B958" s="178"/>
      <c r="C958" s="41"/>
      <c r="D958" s="180"/>
      <c r="E958" s="181"/>
      <c r="F958" s="113"/>
      <c r="G958" s="1" t="str">
        <f>IFERROR(IF(ventas_b_mes1255[[#This Row],[CUIT]]="","-",VLOOKUP(ventas_b_mes1255[[#This Row],[CUIT]],Lista_CUIT[#All],2,0)),"CUIT NO CARGADO")</f>
        <v>-</v>
      </c>
      <c r="H958" s="100">
        <f>ventas_b_mes1255[[#This Row],[TOTAL]]/1.21</f>
        <v>0</v>
      </c>
      <c r="I958" s="64">
        <f>ventas_b_mes1255[[#This Row],[IMPORTE NETO]]*0.21</f>
        <v>0</v>
      </c>
      <c r="J958" s="184"/>
      <c r="K958" s="184"/>
      <c r="L958" s="184"/>
      <c r="M958" s="59"/>
    </row>
    <row r="959" spans="2:13" x14ac:dyDescent="0.3">
      <c r="B959" s="178"/>
      <c r="C959" s="41"/>
      <c r="D959" s="180"/>
      <c r="E959" s="181"/>
      <c r="F959" s="113"/>
      <c r="G959" s="1" t="str">
        <f>IFERROR(IF(ventas_b_mes1255[[#This Row],[CUIT]]="","-",VLOOKUP(ventas_b_mes1255[[#This Row],[CUIT]],Lista_CUIT[#All],2,0)),"CUIT NO CARGADO")</f>
        <v>-</v>
      </c>
      <c r="H959" s="100">
        <f>ventas_b_mes1255[[#This Row],[TOTAL]]/1.21</f>
        <v>0</v>
      </c>
      <c r="I959" s="64">
        <f>ventas_b_mes1255[[#This Row],[IMPORTE NETO]]*0.21</f>
        <v>0</v>
      </c>
      <c r="J959" s="184"/>
      <c r="K959" s="184"/>
      <c r="L959" s="184"/>
      <c r="M959" s="59"/>
    </row>
    <row r="960" spans="2:13" x14ac:dyDescent="0.3">
      <c r="B960" s="178"/>
      <c r="C960" s="41"/>
      <c r="D960" s="180"/>
      <c r="E960" s="181"/>
      <c r="F960" s="113"/>
      <c r="G960" s="1" t="str">
        <f>IFERROR(IF(ventas_b_mes1255[[#This Row],[CUIT]]="","-",VLOOKUP(ventas_b_mes1255[[#This Row],[CUIT]],Lista_CUIT[#All],2,0)),"CUIT NO CARGADO")</f>
        <v>-</v>
      </c>
      <c r="H960" s="100">
        <f>ventas_b_mes1255[[#This Row],[TOTAL]]/1.21</f>
        <v>0</v>
      </c>
      <c r="I960" s="64">
        <f>ventas_b_mes1255[[#This Row],[IMPORTE NETO]]*0.21</f>
        <v>0</v>
      </c>
      <c r="J960" s="184"/>
      <c r="K960" s="184"/>
      <c r="L960" s="184"/>
      <c r="M960" s="59"/>
    </row>
    <row r="961" spans="2:13" x14ac:dyDescent="0.3">
      <c r="B961" s="178"/>
      <c r="C961" s="41"/>
      <c r="D961" s="180"/>
      <c r="E961" s="181"/>
      <c r="F961" s="113"/>
      <c r="G961" s="1" t="str">
        <f>IFERROR(IF(ventas_b_mes1255[[#This Row],[CUIT]]="","-",VLOOKUP(ventas_b_mes1255[[#This Row],[CUIT]],Lista_CUIT[#All],2,0)),"CUIT NO CARGADO")</f>
        <v>-</v>
      </c>
      <c r="H961" s="100">
        <f>ventas_b_mes1255[[#This Row],[TOTAL]]/1.21</f>
        <v>0</v>
      </c>
      <c r="I961" s="64">
        <f>ventas_b_mes1255[[#This Row],[IMPORTE NETO]]*0.21</f>
        <v>0</v>
      </c>
      <c r="J961" s="184"/>
      <c r="K961" s="184"/>
      <c r="L961" s="184"/>
      <c r="M961" s="59"/>
    </row>
    <row r="962" spans="2:13" x14ac:dyDescent="0.3">
      <c r="B962" s="178"/>
      <c r="C962" s="41"/>
      <c r="D962" s="180"/>
      <c r="E962" s="181"/>
      <c r="F962" s="113"/>
      <c r="G962" s="1" t="str">
        <f>IFERROR(IF(ventas_b_mes1255[[#This Row],[CUIT]]="","-",VLOOKUP(ventas_b_mes1255[[#This Row],[CUIT]],Lista_CUIT[#All],2,0)),"CUIT NO CARGADO")</f>
        <v>-</v>
      </c>
      <c r="H962" s="100">
        <f>ventas_b_mes1255[[#This Row],[TOTAL]]/1.21</f>
        <v>0</v>
      </c>
      <c r="I962" s="64">
        <f>ventas_b_mes1255[[#This Row],[IMPORTE NETO]]*0.21</f>
        <v>0</v>
      </c>
      <c r="J962" s="184"/>
      <c r="K962" s="184"/>
      <c r="L962" s="184"/>
      <c r="M962" s="59"/>
    </row>
    <row r="963" spans="2:13" x14ac:dyDescent="0.3">
      <c r="B963" s="178"/>
      <c r="C963" s="41"/>
      <c r="D963" s="180"/>
      <c r="E963" s="181"/>
      <c r="F963" s="113"/>
      <c r="G963" s="1" t="str">
        <f>IFERROR(IF(ventas_b_mes1255[[#This Row],[CUIT]]="","-",VLOOKUP(ventas_b_mes1255[[#This Row],[CUIT]],Lista_CUIT[#All],2,0)),"CUIT NO CARGADO")</f>
        <v>-</v>
      </c>
      <c r="H963" s="100">
        <f>ventas_b_mes1255[[#This Row],[TOTAL]]/1.21</f>
        <v>0</v>
      </c>
      <c r="I963" s="64">
        <f>ventas_b_mes1255[[#This Row],[IMPORTE NETO]]*0.21</f>
        <v>0</v>
      </c>
      <c r="J963" s="184"/>
      <c r="K963" s="184"/>
      <c r="L963" s="184"/>
      <c r="M963" s="59"/>
    </row>
    <row r="964" spans="2:13" x14ac:dyDescent="0.3">
      <c r="B964" s="178"/>
      <c r="C964" s="41"/>
      <c r="D964" s="180"/>
      <c r="E964" s="181"/>
      <c r="F964" s="113"/>
      <c r="G964" s="1" t="str">
        <f>IFERROR(IF(ventas_b_mes1255[[#This Row],[CUIT]]="","-",VLOOKUP(ventas_b_mes1255[[#This Row],[CUIT]],Lista_CUIT[#All],2,0)),"CUIT NO CARGADO")</f>
        <v>-</v>
      </c>
      <c r="H964" s="100">
        <f>ventas_b_mes1255[[#This Row],[TOTAL]]/1.21</f>
        <v>0</v>
      </c>
      <c r="I964" s="64">
        <f>ventas_b_mes1255[[#This Row],[IMPORTE NETO]]*0.21</f>
        <v>0</v>
      </c>
      <c r="J964" s="184"/>
      <c r="K964" s="184"/>
      <c r="L964" s="184"/>
      <c r="M964" s="59"/>
    </row>
    <row r="965" spans="2:13" x14ac:dyDescent="0.3">
      <c r="B965" s="178"/>
      <c r="C965" s="41"/>
      <c r="D965" s="180"/>
      <c r="E965" s="181"/>
      <c r="F965" s="182"/>
      <c r="G965" s="1" t="str">
        <f>IFERROR(IF(ventas_b_mes1255[[#This Row],[CUIT]]="","-",VLOOKUP(ventas_b_mes1255[[#This Row],[CUIT]],Lista_CUIT[#All],2,0)),"CUIT NO CARGADO")</f>
        <v>-</v>
      </c>
      <c r="H965" s="100">
        <f>ventas_b_mes1255[[#This Row],[TOTAL]]/1.21</f>
        <v>0</v>
      </c>
      <c r="I965" s="64">
        <f>ventas_b_mes1255[[#This Row],[IMPORTE NETO]]*0.21</f>
        <v>0</v>
      </c>
      <c r="J965" s="184"/>
      <c r="K965" s="184"/>
      <c r="L965" s="184"/>
      <c r="M965" s="59"/>
    </row>
    <row r="966" spans="2:13" x14ac:dyDescent="0.3">
      <c r="B966" s="178"/>
      <c r="C966" s="41"/>
      <c r="D966" s="180"/>
      <c r="E966" s="181"/>
      <c r="F966" s="182"/>
      <c r="G966" s="1" t="str">
        <f>IFERROR(IF(ventas_b_mes1255[[#This Row],[CUIT]]="","-",VLOOKUP(ventas_b_mes1255[[#This Row],[CUIT]],Lista_CUIT[#All],2,0)),"CUIT NO CARGADO")</f>
        <v>-</v>
      </c>
      <c r="H966" s="100">
        <f>ventas_b_mes1255[[#This Row],[TOTAL]]/1.21</f>
        <v>0</v>
      </c>
      <c r="I966" s="64">
        <f>ventas_b_mes1255[[#This Row],[IMPORTE NETO]]*0.21</f>
        <v>0</v>
      </c>
      <c r="J966" s="184"/>
      <c r="K966" s="184"/>
      <c r="L966" s="184"/>
      <c r="M966" s="59"/>
    </row>
    <row r="967" spans="2:13" x14ac:dyDescent="0.3">
      <c r="B967" s="178"/>
      <c r="C967" s="41"/>
      <c r="D967" s="180"/>
      <c r="E967" s="181"/>
      <c r="F967" s="182"/>
      <c r="G967" s="1" t="str">
        <f>IFERROR(IF(ventas_b_mes1255[[#This Row],[CUIT]]="","-",VLOOKUP(ventas_b_mes1255[[#This Row],[CUIT]],Lista_CUIT[#All],2,0)),"CUIT NO CARGADO")</f>
        <v>-</v>
      </c>
      <c r="H967" s="100">
        <f>ventas_b_mes1255[[#This Row],[TOTAL]]/1.21</f>
        <v>0</v>
      </c>
      <c r="I967" s="64">
        <f>ventas_b_mes1255[[#This Row],[IMPORTE NETO]]*0.21</f>
        <v>0</v>
      </c>
      <c r="J967" s="184"/>
      <c r="K967" s="184"/>
      <c r="L967" s="184"/>
      <c r="M967" s="59"/>
    </row>
    <row r="968" spans="2:13" x14ac:dyDescent="0.3">
      <c r="B968" s="178"/>
      <c r="C968" s="41"/>
      <c r="D968" s="180"/>
      <c r="E968" s="181"/>
      <c r="F968" s="182"/>
      <c r="G968" s="1" t="str">
        <f>IFERROR(IF(ventas_b_mes1255[[#This Row],[CUIT]]="","-",VLOOKUP(ventas_b_mes1255[[#This Row],[CUIT]],Lista_CUIT[#All],2,0)),"CUIT NO CARGADO")</f>
        <v>-</v>
      </c>
      <c r="H968" s="100">
        <f>ventas_b_mes1255[[#This Row],[TOTAL]]/1.21</f>
        <v>0</v>
      </c>
      <c r="I968" s="64">
        <f>ventas_b_mes1255[[#This Row],[IMPORTE NETO]]*0.21</f>
        <v>0</v>
      </c>
      <c r="J968" s="184"/>
      <c r="K968" s="184"/>
      <c r="L968" s="184"/>
      <c r="M968" s="59"/>
    </row>
    <row r="969" spans="2:13" x14ac:dyDescent="0.3">
      <c r="B969" s="178"/>
      <c r="C969" s="41"/>
      <c r="D969" s="180"/>
      <c r="E969" s="181"/>
      <c r="F969" s="182"/>
      <c r="G969" s="1" t="str">
        <f>IFERROR(IF(ventas_b_mes1255[[#This Row],[CUIT]]="","-",VLOOKUP(ventas_b_mes1255[[#This Row],[CUIT]],Lista_CUIT[#All],2,0)),"CUIT NO CARGADO")</f>
        <v>-</v>
      </c>
      <c r="H969" s="100">
        <f>ventas_b_mes1255[[#This Row],[TOTAL]]/1.21</f>
        <v>0</v>
      </c>
      <c r="I969" s="64">
        <f>ventas_b_mes1255[[#This Row],[IMPORTE NETO]]*0.21</f>
        <v>0</v>
      </c>
      <c r="J969" s="184"/>
      <c r="K969" s="184"/>
      <c r="L969" s="184"/>
      <c r="M969" s="59"/>
    </row>
    <row r="970" spans="2:13" x14ac:dyDescent="0.3">
      <c r="B970" s="178"/>
      <c r="C970" s="41"/>
      <c r="D970" s="180"/>
      <c r="E970" s="181"/>
      <c r="F970" s="182"/>
      <c r="G970" s="1" t="str">
        <f>IFERROR(IF(ventas_b_mes1255[[#This Row],[CUIT]]="","-",VLOOKUP(ventas_b_mes1255[[#This Row],[CUIT]],Lista_CUIT[#All],2,0)),"CUIT NO CARGADO")</f>
        <v>-</v>
      </c>
      <c r="H970" s="100">
        <f>ventas_b_mes1255[[#This Row],[TOTAL]]/1.21</f>
        <v>0</v>
      </c>
      <c r="I970" s="64">
        <f>ventas_b_mes1255[[#This Row],[IMPORTE NETO]]*0.21</f>
        <v>0</v>
      </c>
      <c r="J970" s="184"/>
      <c r="K970" s="184"/>
      <c r="L970" s="184"/>
      <c r="M970" s="59"/>
    </row>
    <row r="971" spans="2:13" x14ac:dyDescent="0.3">
      <c r="B971" s="178"/>
      <c r="C971" s="41"/>
      <c r="D971" s="180"/>
      <c r="E971" s="181"/>
      <c r="F971" s="182"/>
      <c r="G971" s="1" t="str">
        <f>IFERROR(IF(ventas_b_mes1255[[#This Row],[CUIT]]="","-",VLOOKUP(ventas_b_mes1255[[#This Row],[CUIT]],Lista_CUIT[#All],2,0)),"CUIT NO CARGADO")</f>
        <v>-</v>
      </c>
      <c r="H971" s="100">
        <f>ventas_b_mes1255[[#This Row],[TOTAL]]/1.21</f>
        <v>0</v>
      </c>
      <c r="I971" s="64">
        <f>ventas_b_mes1255[[#This Row],[IMPORTE NETO]]*0.21</f>
        <v>0</v>
      </c>
      <c r="J971" s="184"/>
      <c r="K971" s="184"/>
      <c r="L971" s="184"/>
      <c r="M971" s="59"/>
    </row>
    <row r="972" spans="2:13" x14ac:dyDescent="0.3">
      <c r="B972" s="178"/>
      <c r="C972" s="41"/>
      <c r="D972" s="180"/>
      <c r="E972" s="181"/>
      <c r="F972" s="182"/>
      <c r="G972" s="1" t="str">
        <f>IFERROR(IF(ventas_b_mes1255[[#This Row],[CUIT]]="","-",VLOOKUP(ventas_b_mes1255[[#This Row],[CUIT]],Lista_CUIT[#All],2,0)),"CUIT NO CARGADO")</f>
        <v>-</v>
      </c>
      <c r="H972" s="100">
        <f>ventas_b_mes1255[[#This Row],[TOTAL]]/1.21</f>
        <v>0</v>
      </c>
      <c r="I972" s="64">
        <f>ventas_b_mes1255[[#This Row],[IMPORTE NETO]]*0.21</f>
        <v>0</v>
      </c>
      <c r="J972" s="184"/>
      <c r="K972" s="184"/>
      <c r="L972" s="184"/>
      <c r="M972" s="59"/>
    </row>
    <row r="973" spans="2:13" x14ac:dyDescent="0.3">
      <c r="B973" s="178"/>
      <c r="C973" s="41"/>
      <c r="D973" s="180"/>
      <c r="E973" s="181"/>
      <c r="F973" s="182"/>
      <c r="G973" s="1" t="str">
        <f>IFERROR(IF(ventas_b_mes1255[[#This Row],[CUIT]]="","-",VLOOKUP(ventas_b_mes1255[[#This Row],[CUIT]],Lista_CUIT[#All],2,0)),"CUIT NO CARGADO")</f>
        <v>-</v>
      </c>
      <c r="H973" s="100">
        <f>ventas_b_mes1255[[#This Row],[TOTAL]]/1.21</f>
        <v>0</v>
      </c>
      <c r="I973" s="64">
        <f>ventas_b_mes1255[[#This Row],[IMPORTE NETO]]*0.21</f>
        <v>0</v>
      </c>
      <c r="J973" s="184"/>
      <c r="K973" s="184"/>
      <c r="L973" s="184"/>
      <c r="M973" s="59"/>
    </row>
    <row r="974" spans="2:13" x14ac:dyDescent="0.3">
      <c r="B974" s="178"/>
      <c r="C974" s="41"/>
      <c r="D974" s="180"/>
      <c r="E974" s="181"/>
      <c r="F974" s="182"/>
      <c r="G974" s="1" t="str">
        <f>IFERROR(IF(ventas_b_mes1255[[#This Row],[CUIT]]="","-",VLOOKUP(ventas_b_mes1255[[#This Row],[CUIT]],Lista_CUIT[#All],2,0)),"CUIT NO CARGADO")</f>
        <v>-</v>
      </c>
      <c r="H974" s="100">
        <f>ventas_b_mes1255[[#This Row],[TOTAL]]/1.21</f>
        <v>0</v>
      </c>
      <c r="I974" s="64">
        <f>ventas_b_mes1255[[#This Row],[IMPORTE NETO]]*0.21</f>
        <v>0</v>
      </c>
      <c r="J974" s="184"/>
      <c r="K974" s="184"/>
      <c r="L974" s="184"/>
      <c r="M974" s="59"/>
    </row>
    <row r="975" spans="2:13" x14ac:dyDescent="0.3">
      <c r="B975" s="178"/>
      <c r="C975" s="41"/>
      <c r="D975" s="180"/>
      <c r="E975" s="181"/>
      <c r="F975" s="182"/>
      <c r="G975" s="1" t="str">
        <f>IFERROR(IF(ventas_b_mes1255[[#This Row],[CUIT]]="","-",VLOOKUP(ventas_b_mes1255[[#This Row],[CUIT]],Lista_CUIT[#All],2,0)),"CUIT NO CARGADO")</f>
        <v>-</v>
      </c>
      <c r="H975" s="100">
        <f>ventas_b_mes1255[[#This Row],[TOTAL]]/1.21</f>
        <v>0</v>
      </c>
      <c r="I975" s="64">
        <f>ventas_b_mes1255[[#This Row],[IMPORTE NETO]]*0.21</f>
        <v>0</v>
      </c>
      <c r="J975" s="184"/>
      <c r="K975" s="184"/>
      <c r="L975" s="184"/>
      <c r="M975" s="59"/>
    </row>
    <row r="976" spans="2:13" x14ac:dyDescent="0.3">
      <c r="B976" s="178"/>
      <c r="C976" s="41"/>
      <c r="D976" s="180"/>
      <c r="E976" s="181"/>
      <c r="F976" s="182"/>
      <c r="G976" s="1" t="str">
        <f>IFERROR(IF(ventas_b_mes1255[[#This Row],[CUIT]]="","-",VLOOKUP(ventas_b_mes1255[[#This Row],[CUIT]],Lista_CUIT[#All],2,0)),"CUIT NO CARGADO")</f>
        <v>-</v>
      </c>
      <c r="H976" s="100">
        <f>ventas_b_mes1255[[#This Row],[TOTAL]]/1.21</f>
        <v>0</v>
      </c>
      <c r="I976" s="64">
        <f>ventas_b_mes1255[[#This Row],[IMPORTE NETO]]*0.21</f>
        <v>0</v>
      </c>
      <c r="J976" s="184"/>
      <c r="K976" s="184"/>
      <c r="L976" s="184"/>
      <c r="M976" s="59"/>
    </row>
    <row r="977" spans="2:13" x14ac:dyDescent="0.3">
      <c r="B977" s="178"/>
      <c r="C977" s="41"/>
      <c r="D977" s="180"/>
      <c r="E977" s="181"/>
      <c r="F977" s="182"/>
      <c r="G977" s="1" t="str">
        <f>IFERROR(IF(ventas_b_mes1255[[#This Row],[CUIT]]="","-",VLOOKUP(ventas_b_mes1255[[#This Row],[CUIT]],Lista_CUIT[#All],2,0)),"CUIT NO CARGADO")</f>
        <v>-</v>
      </c>
      <c r="H977" s="100">
        <f>ventas_b_mes1255[[#This Row],[TOTAL]]/1.21</f>
        <v>0</v>
      </c>
      <c r="I977" s="64">
        <f>ventas_b_mes1255[[#This Row],[IMPORTE NETO]]*0.21</f>
        <v>0</v>
      </c>
      <c r="J977" s="184"/>
      <c r="K977" s="184"/>
      <c r="L977" s="184"/>
      <c r="M977" s="59"/>
    </row>
    <row r="978" spans="2:13" x14ac:dyDescent="0.3">
      <c r="B978" s="178"/>
      <c r="C978" s="41"/>
      <c r="D978" s="180"/>
      <c r="E978" s="181"/>
      <c r="F978" s="182"/>
      <c r="G978" s="1" t="str">
        <f>IFERROR(IF(ventas_b_mes1255[[#This Row],[CUIT]]="","-",VLOOKUP(ventas_b_mes1255[[#This Row],[CUIT]],Lista_CUIT[#All],2,0)),"CUIT NO CARGADO")</f>
        <v>-</v>
      </c>
      <c r="H978" s="100">
        <f>ventas_b_mes1255[[#This Row],[TOTAL]]/1.21</f>
        <v>0</v>
      </c>
      <c r="I978" s="64">
        <f>ventas_b_mes1255[[#This Row],[IMPORTE NETO]]*0.21</f>
        <v>0</v>
      </c>
      <c r="J978" s="184"/>
      <c r="K978" s="184"/>
      <c r="L978" s="184"/>
      <c r="M978" s="59"/>
    </row>
    <row r="979" spans="2:13" x14ac:dyDescent="0.3">
      <c r="B979" s="178"/>
      <c r="C979" s="41"/>
      <c r="D979" s="180"/>
      <c r="E979" s="181"/>
      <c r="F979" s="182"/>
      <c r="G979" s="1" t="str">
        <f>IFERROR(IF(ventas_b_mes1255[[#This Row],[CUIT]]="","-",VLOOKUP(ventas_b_mes1255[[#This Row],[CUIT]],Lista_CUIT[#All],2,0)),"CUIT NO CARGADO")</f>
        <v>-</v>
      </c>
      <c r="H979" s="100">
        <f>ventas_b_mes1255[[#This Row],[TOTAL]]/1.21</f>
        <v>0</v>
      </c>
      <c r="I979" s="64">
        <f>ventas_b_mes1255[[#This Row],[IMPORTE NETO]]*0.21</f>
        <v>0</v>
      </c>
      <c r="J979" s="184"/>
      <c r="K979" s="184"/>
      <c r="L979" s="184"/>
      <c r="M979" s="59"/>
    </row>
    <row r="980" spans="2:13" x14ac:dyDescent="0.3">
      <c r="B980" s="178"/>
      <c r="C980" s="41"/>
      <c r="D980" s="180"/>
      <c r="E980" s="181"/>
      <c r="F980" s="182"/>
      <c r="G980" s="1" t="str">
        <f>IFERROR(IF(ventas_b_mes1255[[#This Row],[CUIT]]="","-",VLOOKUP(ventas_b_mes1255[[#This Row],[CUIT]],Lista_CUIT[#All],2,0)),"CUIT NO CARGADO")</f>
        <v>-</v>
      </c>
      <c r="H980" s="100">
        <f>ventas_b_mes1255[[#This Row],[TOTAL]]/1.21</f>
        <v>0</v>
      </c>
      <c r="I980" s="64">
        <f>ventas_b_mes1255[[#This Row],[IMPORTE NETO]]*0.21</f>
        <v>0</v>
      </c>
      <c r="J980" s="184"/>
      <c r="K980" s="184"/>
      <c r="L980" s="184"/>
      <c r="M980" s="59"/>
    </row>
    <row r="981" spans="2:13" x14ac:dyDescent="0.3">
      <c r="B981" s="178"/>
      <c r="C981" s="41"/>
      <c r="D981" s="180"/>
      <c r="E981" s="181"/>
      <c r="F981" s="182"/>
      <c r="G981" s="1" t="str">
        <f>IFERROR(IF(ventas_b_mes1255[[#This Row],[CUIT]]="","-",VLOOKUP(ventas_b_mes1255[[#This Row],[CUIT]],Lista_CUIT[#All],2,0)),"CUIT NO CARGADO")</f>
        <v>-</v>
      </c>
      <c r="H981" s="100">
        <f>ventas_b_mes1255[[#This Row],[TOTAL]]/1.21</f>
        <v>0</v>
      </c>
      <c r="I981" s="64">
        <f>ventas_b_mes1255[[#This Row],[IMPORTE NETO]]*0.21</f>
        <v>0</v>
      </c>
      <c r="J981" s="184"/>
      <c r="K981" s="184"/>
      <c r="L981" s="184"/>
      <c r="M981" s="59"/>
    </row>
    <row r="982" spans="2:13" x14ac:dyDescent="0.3">
      <c r="B982" s="178"/>
      <c r="C982" s="41"/>
      <c r="D982" s="180"/>
      <c r="E982" s="181"/>
      <c r="F982" s="182"/>
      <c r="G982" s="1" t="str">
        <f>IFERROR(IF(ventas_b_mes1255[[#This Row],[CUIT]]="","-",VLOOKUP(ventas_b_mes1255[[#This Row],[CUIT]],Lista_CUIT[#All],2,0)),"CUIT NO CARGADO")</f>
        <v>-</v>
      </c>
      <c r="H982" s="100">
        <f>ventas_b_mes1255[[#This Row],[TOTAL]]/1.21</f>
        <v>0</v>
      </c>
      <c r="I982" s="64">
        <f>ventas_b_mes1255[[#This Row],[IMPORTE NETO]]*0.21</f>
        <v>0</v>
      </c>
      <c r="J982" s="184"/>
      <c r="K982" s="184"/>
      <c r="L982" s="184"/>
      <c r="M982" s="59"/>
    </row>
    <row r="983" spans="2:13" x14ac:dyDescent="0.3">
      <c r="B983" s="178"/>
      <c r="C983" s="41"/>
      <c r="D983" s="180"/>
      <c r="E983" s="181"/>
      <c r="F983" s="182"/>
      <c r="G983" s="1" t="str">
        <f>IFERROR(IF(ventas_b_mes1255[[#This Row],[CUIT]]="","-",VLOOKUP(ventas_b_mes1255[[#This Row],[CUIT]],Lista_CUIT[#All],2,0)),"CUIT NO CARGADO")</f>
        <v>-</v>
      </c>
      <c r="H983" s="100">
        <f>ventas_b_mes1255[[#This Row],[TOTAL]]/1.21</f>
        <v>0</v>
      </c>
      <c r="I983" s="64">
        <f>ventas_b_mes1255[[#This Row],[IMPORTE NETO]]*0.21</f>
        <v>0</v>
      </c>
      <c r="J983" s="184"/>
      <c r="K983" s="184"/>
      <c r="L983" s="184"/>
      <c r="M983" s="59"/>
    </row>
    <row r="984" spans="2:13" x14ac:dyDescent="0.3">
      <c r="B984" s="178"/>
      <c r="C984" s="41"/>
      <c r="D984" s="180"/>
      <c r="E984" s="181"/>
      <c r="F984" s="182"/>
      <c r="G984" s="1" t="str">
        <f>IFERROR(IF(ventas_b_mes1255[[#This Row],[CUIT]]="","-",VLOOKUP(ventas_b_mes1255[[#This Row],[CUIT]],Lista_CUIT[#All],2,0)),"CUIT NO CARGADO")</f>
        <v>-</v>
      </c>
      <c r="H984" s="100">
        <f>ventas_b_mes1255[[#This Row],[TOTAL]]/1.21</f>
        <v>0</v>
      </c>
      <c r="I984" s="64">
        <f>ventas_b_mes1255[[#This Row],[IMPORTE NETO]]*0.21</f>
        <v>0</v>
      </c>
      <c r="J984" s="184"/>
      <c r="K984" s="184"/>
      <c r="L984" s="184"/>
      <c r="M984" s="59"/>
    </row>
    <row r="985" spans="2:13" x14ac:dyDescent="0.3">
      <c r="B985" s="178"/>
      <c r="C985" s="41"/>
      <c r="D985" s="180"/>
      <c r="E985" s="181"/>
      <c r="F985" s="182"/>
      <c r="G985" s="1" t="str">
        <f>IFERROR(IF(ventas_b_mes1255[[#This Row],[CUIT]]="","-",VLOOKUP(ventas_b_mes1255[[#This Row],[CUIT]],Lista_CUIT[#All],2,0)),"CUIT NO CARGADO")</f>
        <v>-</v>
      </c>
      <c r="H985" s="100">
        <f>ventas_b_mes1255[[#This Row],[TOTAL]]/1.21</f>
        <v>0</v>
      </c>
      <c r="I985" s="64">
        <f>ventas_b_mes1255[[#This Row],[IMPORTE NETO]]*0.21</f>
        <v>0</v>
      </c>
      <c r="J985" s="184"/>
      <c r="K985" s="184"/>
      <c r="L985" s="184"/>
      <c r="M985" s="59"/>
    </row>
    <row r="986" spans="2:13" x14ac:dyDescent="0.3">
      <c r="B986" s="178"/>
      <c r="C986" s="41"/>
      <c r="D986" s="180"/>
      <c r="E986" s="181"/>
      <c r="F986" s="182"/>
      <c r="G986" s="1" t="str">
        <f>IFERROR(IF(ventas_b_mes1255[[#This Row],[CUIT]]="","-",VLOOKUP(ventas_b_mes1255[[#This Row],[CUIT]],Lista_CUIT[#All],2,0)),"CUIT NO CARGADO")</f>
        <v>-</v>
      </c>
      <c r="H986" s="100">
        <f>ventas_b_mes1255[[#This Row],[TOTAL]]/1.21</f>
        <v>0</v>
      </c>
      <c r="I986" s="64">
        <f>ventas_b_mes1255[[#This Row],[IMPORTE NETO]]*0.21</f>
        <v>0</v>
      </c>
      <c r="J986" s="184"/>
      <c r="K986" s="184"/>
      <c r="L986" s="184"/>
      <c r="M986" s="59"/>
    </row>
    <row r="987" spans="2:13" x14ac:dyDescent="0.3">
      <c r="B987" s="178"/>
      <c r="C987" s="41"/>
      <c r="D987" s="180"/>
      <c r="E987" s="181"/>
      <c r="F987" s="182"/>
      <c r="G987" s="1" t="str">
        <f>IFERROR(IF(ventas_b_mes1255[[#This Row],[CUIT]]="","-",VLOOKUP(ventas_b_mes1255[[#This Row],[CUIT]],Lista_CUIT[#All],2,0)),"CUIT NO CARGADO")</f>
        <v>-</v>
      </c>
      <c r="H987" s="100">
        <f>ventas_b_mes1255[[#This Row],[TOTAL]]/1.21</f>
        <v>0</v>
      </c>
      <c r="I987" s="64">
        <f>ventas_b_mes1255[[#This Row],[IMPORTE NETO]]*0.21</f>
        <v>0</v>
      </c>
      <c r="J987" s="184"/>
      <c r="K987" s="184"/>
      <c r="L987" s="184"/>
      <c r="M987" s="59"/>
    </row>
    <row r="988" spans="2:13" x14ac:dyDescent="0.3">
      <c r="B988" s="178"/>
      <c r="C988" s="41"/>
      <c r="D988" s="180"/>
      <c r="E988" s="181"/>
      <c r="F988" s="182"/>
      <c r="G988" s="1" t="str">
        <f>IFERROR(IF(ventas_b_mes1255[[#This Row],[CUIT]]="","-",VLOOKUP(ventas_b_mes1255[[#This Row],[CUIT]],Lista_CUIT[#All],2,0)),"CUIT NO CARGADO")</f>
        <v>-</v>
      </c>
      <c r="H988" s="100">
        <f>ventas_b_mes1255[[#This Row],[TOTAL]]/1.21</f>
        <v>0</v>
      </c>
      <c r="I988" s="64">
        <f>ventas_b_mes1255[[#This Row],[IMPORTE NETO]]*0.21</f>
        <v>0</v>
      </c>
      <c r="J988" s="184"/>
      <c r="K988" s="184"/>
      <c r="L988" s="184"/>
      <c r="M988" s="59"/>
    </row>
    <row r="989" spans="2:13" x14ac:dyDescent="0.3">
      <c r="B989" s="178"/>
      <c r="C989" s="41"/>
      <c r="D989" s="180"/>
      <c r="E989" s="181"/>
      <c r="F989" s="182"/>
      <c r="G989" s="1" t="str">
        <f>IFERROR(IF(ventas_b_mes1255[[#This Row],[CUIT]]="","-",VLOOKUP(ventas_b_mes1255[[#This Row],[CUIT]],Lista_CUIT[#All],2,0)),"CUIT NO CARGADO")</f>
        <v>-</v>
      </c>
      <c r="H989" s="100">
        <f>ventas_b_mes1255[[#This Row],[TOTAL]]/1.21</f>
        <v>0</v>
      </c>
      <c r="I989" s="64">
        <f>ventas_b_mes1255[[#This Row],[IMPORTE NETO]]*0.21</f>
        <v>0</v>
      </c>
      <c r="J989" s="184"/>
      <c r="K989" s="184"/>
      <c r="L989" s="184"/>
      <c r="M989" s="59"/>
    </row>
    <row r="990" spans="2:13" x14ac:dyDescent="0.3">
      <c r="B990" s="178"/>
      <c r="C990" s="41"/>
      <c r="D990" s="180"/>
      <c r="E990" s="181"/>
      <c r="F990" s="182"/>
      <c r="G990" s="1" t="str">
        <f>IFERROR(IF(ventas_b_mes1255[[#This Row],[CUIT]]="","-",VLOOKUP(ventas_b_mes1255[[#This Row],[CUIT]],Lista_CUIT[#All],2,0)),"CUIT NO CARGADO")</f>
        <v>-</v>
      </c>
      <c r="H990" s="100">
        <f>ventas_b_mes1255[[#This Row],[TOTAL]]/1.21</f>
        <v>0</v>
      </c>
      <c r="I990" s="64">
        <f>ventas_b_mes1255[[#This Row],[IMPORTE NETO]]*0.21</f>
        <v>0</v>
      </c>
      <c r="J990" s="184"/>
      <c r="K990" s="184"/>
      <c r="L990" s="184"/>
      <c r="M990" s="59"/>
    </row>
    <row r="991" spans="2:13" x14ac:dyDescent="0.3">
      <c r="B991" s="178"/>
      <c r="C991" s="41"/>
      <c r="D991" s="180"/>
      <c r="E991" s="181"/>
      <c r="F991" s="182"/>
      <c r="G991" s="1" t="str">
        <f>IFERROR(IF(ventas_b_mes1255[[#This Row],[CUIT]]="","-",VLOOKUP(ventas_b_mes1255[[#This Row],[CUIT]],Lista_CUIT[#All],2,0)),"CUIT NO CARGADO")</f>
        <v>-</v>
      </c>
      <c r="H991" s="100">
        <f>ventas_b_mes1255[[#This Row],[TOTAL]]/1.21</f>
        <v>0</v>
      </c>
      <c r="I991" s="64">
        <f>ventas_b_mes1255[[#This Row],[IMPORTE NETO]]*0.21</f>
        <v>0</v>
      </c>
      <c r="J991" s="184"/>
      <c r="K991" s="184"/>
      <c r="L991" s="184"/>
      <c r="M991" s="59"/>
    </row>
    <row r="992" spans="2:13" x14ac:dyDescent="0.3">
      <c r="B992" s="178"/>
      <c r="C992" s="41"/>
      <c r="D992" s="180"/>
      <c r="E992" s="181"/>
      <c r="F992" s="182"/>
      <c r="G992" s="1" t="str">
        <f>IFERROR(IF(ventas_b_mes1255[[#This Row],[CUIT]]="","-",VLOOKUP(ventas_b_mes1255[[#This Row],[CUIT]],Lista_CUIT[#All],2,0)),"CUIT NO CARGADO")</f>
        <v>-</v>
      </c>
      <c r="H992" s="100">
        <f>ventas_b_mes1255[[#This Row],[TOTAL]]/1.21</f>
        <v>0</v>
      </c>
      <c r="I992" s="64">
        <f>ventas_b_mes1255[[#This Row],[IMPORTE NETO]]*0.21</f>
        <v>0</v>
      </c>
      <c r="J992" s="184"/>
      <c r="K992" s="184"/>
      <c r="L992" s="184"/>
      <c r="M992" s="59"/>
    </row>
    <row r="993" spans="2:13" x14ac:dyDescent="0.3">
      <c r="B993" s="178"/>
      <c r="C993" s="41"/>
      <c r="D993" s="180"/>
      <c r="E993" s="181"/>
      <c r="F993" s="182"/>
      <c r="G993" s="1" t="str">
        <f>IFERROR(IF(ventas_b_mes1255[[#This Row],[CUIT]]="","-",VLOOKUP(ventas_b_mes1255[[#This Row],[CUIT]],Lista_CUIT[#All],2,0)),"CUIT NO CARGADO")</f>
        <v>-</v>
      </c>
      <c r="H993" s="100">
        <f>ventas_b_mes1255[[#This Row],[TOTAL]]/1.21</f>
        <v>0</v>
      </c>
      <c r="I993" s="64">
        <f>ventas_b_mes1255[[#This Row],[IMPORTE NETO]]*0.21</f>
        <v>0</v>
      </c>
      <c r="J993" s="184"/>
      <c r="K993" s="184"/>
      <c r="L993" s="184"/>
      <c r="M993" s="59"/>
    </row>
    <row r="994" spans="2:13" x14ac:dyDescent="0.3">
      <c r="B994" s="178"/>
      <c r="C994" s="41"/>
      <c r="D994" s="180"/>
      <c r="E994" s="181"/>
      <c r="F994" s="182"/>
      <c r="G994" s="1" t="str">
        <f>IFERROR(IF(ventas_b_mes1255[[#This Row],[CUIT]]="","-",VLOOKUP(ventas_b_mes1255[[#This Row],[CUIT]],Lista_CUIT[#All],2,0)),"CUIT NO CARGADO")</f>
        <v>-</v>
      </c>
      <c r="H994" s="100">
        <f>ventas_b_mes1255[[#This Row],[TOTAL]]/1.21</f>
        <v>0</v>
      </c>
      <c r="I994" s="64">
        <f>ventas_b_mes1255[[#This Row],[IMPORTE NETO]]*0.21</f>
        <v>0</v>
      </c>
      <c r="J994" s="184"/>
      <c r="K994" s="184"/>
      <c r="L994" s="184"/>
      <c r="M994" s="59"/>
    </row>
    <row r="995" spans="2:13" x14ac:dyDescent="0.3">
      <c r="B995" s="178"/>
      <c r="C995" s="41"/>
      <c r="D995" s="180"/>
      <c r="E995" s="181"/>
      <c r="F995" s="182"/>
      <c r="G995" s="1" t="str">
        <f>IFERROR(IF(ventas_b_mes1255[[#This Row],[CUIT]]="","-",VLOOKUP(ventas_b_mes1255[[#This Row],[CUIT]],Lista_CUIT[#All],2,0)),"CUIT NO CARGADO")</f>
        <v>-</v>
      </c>
      <c r="H995" s="100">
        <f>ventas_b_mes1255[[#This Row],[TOTAL]]/1.21</f>
        <v>0</v>
      </c>
      <c r="I995" s="64">
        <f>ventas_b_mes1255[[#This Row],[IMPORTE NETO]]*0.21</f>
        <v>0</v>
      </c>
      <c r="J995" s="184"/>
      <c r="K995" s="184"/>
      <c r="L995" s="184"/>
      <c r="M995" s="59"/>
    </row>
    <row r="996" spans="2:13" x14ac:dyDescent="0.3">
      <c r="B996" s="178"/>
      <c r="C996" s="41"/>
      <c r="D996" s="180"/>
      <c r="E996" s="181"/>
      <c r="F996" s="182"/>
      <c r="G996" s="1" t="str">
        <f>IFERROR(IF(ventas_b_mes1255[[#This Row],[CUIT]]="","-",VLOOKUP(ventas_b_mes1255[[#This Row],[CUIT]],Lista_CUIT[#All],2,0)),"CUIT NO CARGADO")</f>
        <v>-</v>
      </c>
      <c r="H996" s="100">
        <f>ventas_b_mes1255[[#This Row],[TOTAL]]/1.21</f>
        <v>0</v>
      </c>
      <c r="I996" s="64">
        <f>ventas_b_mes1255[[#This Row],[IMPORTE NETO]]*0.21</f>
        <v>0</v>
      </c>
      <c r="J996" s="184"/>
      <c r="K996" s="184"/>
      <c r="L996" s="184"/>
      <c r="M996" s="59"/>
    </row>
    <row r="997" spans="2:13" x14ac:dyDescent="0.3">
      <c r="B997" s="178"/>
      <c r="C997" s="41"/>
      <c r="D997" s="180"/>
      <c r="E997" s="181"/>
      <c r="F997" s="182"/>
      <c r="G997" s="1" t="str">
        <f>IFERROR(IF(ventas_b_mes1255[[#This Row],[CUIT]]="","-",VLOOKUP(ventas_b_mes1255[[#This Row],[CUIT]],Lista_CUIT[#All],2,0)),"CUIT NO CARGADO")</f>
        <v>-</v>
      </c>
      <c r="H997" s="100">
        <f>ventas_b_mes1255[[#This Row],[TOTAL]]/1.21</f>
        <v>0</v>
      </c>
      <c r="I997" s="64">
        <f>ventas_b_mes1255[[#This Row],[IMPORTE NETO]]*0.21</f>
        <v>0</v>
      </c>
      <c r="J997" s="184"/>
      <c r="K997" s="184"/>
      <c r="L997" s="184"/>
      <c r="M997" s="59"/>
    </row>
    <row r="998" spans="2:13" x14ac:dyDescent="0.3">
      <c r="B998" s="178"/>
      <c r="C998" s="41"/>
      <c r="D998" s="180"/>
      <c r="E998" s="181"/>
      <c r="F998" s="182"/>
      <c r="G998" s="1" t="str">
        <f>IFERROR(IF(ventas_b_mes1255[[#This Row],[CUIT]]="","-",VLOOKUP(ventas_b_mes1255[[#This Row],[CUIT]],Lista_CUIT[#All],2,0)),"CUIT NO CARGADO")</f>
        <v>-</v>
      </c>
      <c r="H998" s="100">
        <f>ventas_b_mes1255[[#This Row],[TOTAL]]/1.21</f>
        <v>0</v>
      </c>
      <c r="I998" s="64">
        <f>ventas_b_mes1255[[#This Row],[IMPORTE NETO]]*0.21</f>
        <v>0</v>
      </c>
      <c r="J998" s="184"/>
      <c r="K998" s="184"/>
      <c r="L998" s="184"/>
      <c r="M998" s="59"/>
    </row>
    <row r="999" spans="2:13" x14ac:dyDescent="0.3">
      <c r="B999" s="178"/>
      <c r="C999" s="41"/>
      <c r="D999" s="180"/>
      <c r="E999" s="181"/>
      <c r="F999" s="182"/>
      <c r="G999" s="1" t="str">
        <f>IFERROR(IF(ventas_b_mes1255[[#This Row],[CUIT]]="","-",VLOOKUP(ventas_b_mes1255[[#This Row],[CUIT]],Lista_CUIT[#All],2,0)),"CUIT NO CARGADO")</f>
        <v>-</v>
      </c>
      <c r="H999" s="100">
        <f>ventas_b_mes1255[[#This Row],[TOTAL]]/1.21</f>
        <v>0</v>
      </c>
      <c r="I999" s="64">
        <f>ventas_b_mes1255[[#This Row],[IMPORTE NETO]]*0.21</f>
        <v>0</v>
      </c>
      <c r="J999" s="184"/>
      <c r="K999" s="184"/>
      <c r="L999" s="184"/>
      <c r="M999" s="59"/>
    </row>
    <row r="1000" spans="2:13" x14ac:dyDescent="0.3">
      <c r="B1000" s="178"/>
      <c r="C1000" s="41"/>
      <c r="D1000" s="180"/>
      <c r="E1000" s="181"/>
      <c r="F1000" s="182"/>
      <c r="G1000" s="1" t="str">
        <f>IFERROR(IF(ventas_b_mes1255[[#This Row],[CUIT]]="","-",VLOOKUP(ventas_b_mes1255[[#This Row],[CUIT]],Lista_CUIT[#All],2,0)),"CUIT NO CARGADO")</f>
        <v>-</v>
      </c>
      <c r="H1000" s="100">
        <f>ventas_b_mes1255[[#This Row],[TOTAL]]/1.21</f>
        <v>0</v>
      </c>
      <c r="I1000" s="64">
        <f>ventas_b_mes1255[[#This Row],[IMPORTE NETO]]*0.21</f>
        <v>0</v>
      </c>
      <c r="J1000" s="184"/>
      <c r="K1000" s="184"/>
      <c r="L1000" s="184"/>
      <c r="M1000" s="59"/>
    </row>
    <row r="1001" spans="2:13" x14ac:dyDescent="0.3">
      <c r="B1001" s="178"/>
      <c r="C1001" s="41"/>
      <c r="D1001" s="180"/>
      <c r="E1001" s="181"/>
      <c r="F1001" s="182"/>
      <c r="G1001" s="1" t="str">
        <f>IFERROR(IF(ventas_b_mes1255[[#This Row],[CUIT]]="","-",VLOOKUP(ventas_b_mes1255[[#This Row],[CUIT]],Lista_CUIT[#All],2,0)),"CUIT NO CARGADO")</f>
        <v>-</v>
      </c>
      <c r="H1001" s="100">
        <f>ventas_b_mes1255[[#This Row],[TOTAL]]/1.21</f>
        <v>0</v>
      </c>
      <c r="I1001" s="64">
        <f>ventas_b_mes1255[[#This Row],[IMPORTE NETO]]*0.21</f>
        <v>0</v>
      </c>
      <c r="J1001" s="184"/>
      <c r="K1001" s="184"/>
      <c r="L1001" s="184"/>
      <c r="M1001" s="59"/>
    </row>
    <row r="1002" spans="2:13" x14ac:dyDescent="0.3">
      <c r="B1002" s="178"/>
      <c r="C1002" s="41"/>
      <c r="D1002" s="180"/>
      <c r="E1002" s="181"/>
      <c r="F1002" s="182"/>
      <c r="G1002" s="1" t="str">
        <f>IFERROR(IF(ventas_b_mes1255[[#This Row],[CUIT]]="","-",VLOOKUP(ventas_b_mes1255[[#This Row],[CUIT]],Lista_CUIT[#All],2,0)),"CUIT NO CARGADO")</f>
        <v>-</v>
      </c>
      <c r="H1002" s="100">
        <f>ventas_b_mes1255[[#This Row],[TOTAL]]/1.21</f>
        <v>0</v>
      </c>
      <c r="I1002" s="64">
        <f>ventas_b_mes1255[[#This Row],[IMPORTE NETO]]*0.21</f>
        <v>0</v>
      </c>
      <c r="J1002" s="184"/>
      <c r="K1002" s="184"/>
      <c r="L1002" s="184"/>
      <c r="M1002" s="59"/>
    </row>
    <row r="1003" spans="2:13" x14ac:dyDescent="0.3">
      <c r="B1003" s="178"/>
      <c r="C1003" s="41"/>
      <c r="D1003" s="180"/>
      <c r="E1003" s="181"/>
      <c r="F1003" s="182"/>
      <c r="G1003" s="1" t="str">
        <f>IFERROR(IF(ventas_b_mes1255[[#This Row],[CUIT]]="","-",VLOOKUP(ventas_b_mes1255[[#This Row],[CUIT]],Lista_CUIT[#All],2,0)),"CUIT NO CARGADO")</f>
        <v>-</v>
      </c>
      <c r="H1003" s="100">
        <f>ventas_b_mes1255[[#This Row],[TOTAL]]/1.21</f>
        <v>0</v>
      </c>
      <c r="I1003" s="64">
        <f>ventas_b_mes1255[[#This Row],[IMPORTE NETO]]*0.21</f>
        <v>0</v>
      </c>
      <c r="J1003" s="184"/>
      <c r="K1003" s="184"/>
      <c r="L1003" s="184"/>
      <c r="M1003" s="59"/>
    </row>
    <row r="1004" spans="2:13" x14ac:dyDescent="0.3">
      <c r="B1004" s="178"/>
      <c r="C1004" s="41"/>
      <c r="D1004" s="180"/>
      <c r="E1004" s="181"/>
      <c r="F1004" s="182"/>
      <c r="G1004" s="1" t="str">
        <f>IFERROR(IF(ventas_b_mes1255[[#This Row],[CUIT]]="","-",VLOOKUP(ventas_b_mes1255[[#This Row],[CUIT]],Lista_CUIT[#All],2,0)),"CUIT NO CARGADO")</f>
        <v>-</v>
      </c>
      <c r="H1004" s="100">
        <f>ventas_b_mes1255[[#This Row],[TOTAL]]/1.21</f>
        <v>0</v>
      </c>
      <c r="I1004" s="64">
        <f>ventas_b_mes1255[[#This Row],[IMPORTE NETO]]*0.21</f>
        <v>0</v>
      </c>
      <c r="J1004" s="184"/>
      <c r="K1004" s="184"/>
      <c r="L1004" s="184"/>
      <c r="M1004" s="59"/>
    </row>
    <row r="1005" spans="2:13" x14ac:dyDescent="0.3">
      <c r="B1005" s="178"/>
      <c r="C1005" s="41"/>
      <c r="D1005" s="180"/>
      <c r="E1005" s="181"/>
      <c r="F1005" s="182"/>
      <c r="G1005" s="1" t="str">
        <f>IFERROR(IF(ventas_b_mes1255[[#This Row],[CUIT]]="","-",VLOOKUP(ventas_b_mes1255[[#This Row],[CUIT]],Lista_CUIT[#All],2,0)),"CUIT NO CARGADO")</f>
        <v>-</v>
      </c>
      <c r="H1005" s="100">
        <f>ventas_b_mes1255[[#This Row],[TOTAL]]/1.21</f>
        <v>0</v>
      </c>
      <c r="I1005" s="64">
        <f>ventas_b_mes1255[[#This Row],[IMPORTE NETO]]*0.21</f>
        <v>0</v>
      </c>
      <c r="J1005" s="184"/>
      <c r="K1005" s="184"/>
      <c r="L1005" s="184"/>
      <c r="M1005" s="59"/>
    </row>
    <row r="1006" spans="2:13" x14ac:dyDescent="0.3">
      <c r="B1006" s="178"/>
      <c r="C1006" s="41"/>
      <c r="D1006" s="180"/>
      <c r="E1006" s="181"/>
      <c r="F1006" s="182"/>
      <c r="G1006" s="1" t="str">
        <f>IFERROR(IF(ventas_b_mes1255[[#This Row],[CUIT]]="","-",VLOOKUP(ventas_b_mes1255[[#This Row],[CUIT]],Lista_CUIT[#All],2,0)),"CUIT NO CARGADO")</f>
        <v>-</v>
      </c>
      <c r="H1006" s="100">
        <f>ventas_b_mes1255[[#This Row],[TOTAL]]/1.21</f>
        <v>0</v>
      </c>
      <c r="I1006" s="64">
        <f>ventas_b_mes1255[[#This Row],[IMPORTE NETO]]*0.21</f>
        <v>0</v>
      </c>
      <c r="J1006" s="184"/>
      <c r="K1006" s="184"/>
      <c r="L1006" s="184"/>
      <c r="M1006" s="59"/>
    </row>
    <row r="1007" spans="2:13" x14ac:dyDescent="0.3">
      <c r="B1007" s="178"/>
      <c r="C1007" s="41"/>
      <c r="D1007" s="180"/>
      <c r="E1007" s="181"/>
      <c r="F1007" s="182"/>
      <c r="G1007" s="1" t="str">
        <f>IFERROR(IF(ventas_b_mes1255[[#This Row],[CUIT]]="","-",VLOOKUP(ventas_b_mes1255[[#This Row],[CUIT]],Lista_CUIT[#All],2,0)),"CUIT NO CARGADO")</f>
        <v>-</v>
      </c>
      <c r="H1007" s="100">
        <f>ventas_b_mes1255[[#This Row],[TOTAL]]/1.21</f>
        <v>0</v>
      </c>
      <c r="I1007" s="64">
        <f>ventas_b_mes1255[[#This Row],[IMPORTE NETO]]*0.21</f>
        <v>0</v>
      </c>
      <c r="J1007" s="184"/>
      <c r="K1007" s="184"/>
      <c r="L1007" s="184"/>
      <c r="M1007" s="59"/>
    </row>
    <row r="1008" spans="2:13" x14ac:dyDescent="0.3">
      <c r="B1008" s="178"/>
      <c r="C1008" s="41"/>
      <c r="D1008" s="180"/>
      <c r="E1008" s="181"/>
      <c r="F1008" s="182"/>
      <c r="G1008" s="1" t="str">
        <f>IFERROR(IF(ventas_b_mes1255[[#This Row],[CUIT]]="","-",VLOOKUP(ventas_b_mes1255[[#This Row],[CUIT]],Lista_CUIT[#All],2,0)),"CUIT NO CARGADO")</f>
        <v>-</v>
      </c>
      <c r="H1008" s="100">
        <f>ventas_b_mes1255[[#This Row],[TOTAL]]/1.21</f>
        <v>0</v>
      </c>
      <c r="I1008" s="64">
        <f>ventas_b_mes1255[[#This Row],[IMPORTE NETO]]*0.21</f>
        <v>0</v>
      </c>
      <c r="J1008" s="184"/>
      <c r="K1008" s="184"/>
      <c r="L1008" s="184"/>
      <c r="M1008" s="59"/>
    </row>
    <row r="1009" spans="2:13" x14ac:dyDescent="0.3">
      <c r="B1009" s="178"/>
      <c r="C1009" s="41"/>
      <c r="D1009" s="180"/>
      <c r="E1009" s="181"/>
      <c r="F1009" s="182"/>
      <c r="G1009" s="1" t="str">
        <f>IFERROR(IF(ventas_b_mes1255[[#This Row],[CUIT]]="","-",VLOOKUP(ventas_b_mes1255[[#This Row],[CUIT]],Lista_CUIT[#All],2,0)),"CUIT NO CARGADO")</f>
        <v>-</v>
      </c>
      <c r="H1009" s="100">
        <f>ventas_b_mes1255[[#This Row],[TOTAL]]/1.21</f>
        <v>0</v>
      </c>
      <c r="I1009" s="64">
        <f>ventas_b_mes1255[[#This Row],[IMPORTE NETO]]*0.21</f>
        <v>0</v>
      </c>
      <c r="J1009" s="184"/>
      <c r="K1009" s="184"/>
      <c r="L1009" s="184"/>
      <c r="M1009" s="59"/>
    </row>
    <row r="1010" spans="2:13" x14ac:dyDescent="0.3">
      <c r="B1010" s="178"/>
      <c r="C1010" s="41"/>
      <c r="D1010" s="180"/>
      <c r="E1010" s="181"/>
      <c r="F1010" s="182"/>
      <c r="G1010" s="1" t="str">
        <f>IFERROR(IF(ventas_b_mes1255[[#This Row],[CUIT]]="","-",VLOOKUP(ventas_b_mes1255[[#This Row],[CUIT]],Lista_CUIT[#All],2,0)),"CUIT NO CARGADO")</f>
        <v>-</v>
      </c>
      <c r="H1010" s="100">
        <f>ventas_b_mes1255[[#This Row],[TOTAL]]/1.21</f>
        <v>0</v>
      </c>
      <c r="I1010" s="64">
        <f>ventas_b_mes1255[[#This Row],[IMPORTE NETO]]*0.21</f>
        <v>0</v>
      </c>
      <c r="J1010" s="184"/>
      <c r="K1010" s="184"/>
      <c r="L1010" s="184"/>
      <c r="M1010" s="59"/>
    </row>
    <row r="1011" spans="2:13" x14ac:dyDescent="0.3">
      <c r="B1011" s="178"/>
      <c r="C1011" s="41"/>
      <c r="D1011" s="180"/>
      <c r="E1011" s="181"/>
      <c r="F1011" s="182"/>
      <c r="G1011" s="1" t="str">
        <f>IFERROR(IF(ventas_b_mes1255[[#This Row],[CUIT]]="","-",VLOOKUP(ventas_b_mes1255[[#This Row],[CUIT]],Lista_CUIT[#All],2,0)),"CUIT NO CARGADO")</f>
        <v>-</v>
      </c>
      <c r="H1011" s="100">
        <f>ventas_b_mes1255[[#This Row],[TOTAL]]/1.21</f>
        <v>0</v>
      </c>
      <c r="I1011" s="64">
        <f>ventas_b_mes1255[[#This Row],[IMPORTE NETO]]*0.21</f>
        <v>0</v>
      </c>
      <c r="J1011" s="184"/>
      <c r="K1011" s="184"/>
      <c r="L1011" s="184"/>
      <c r="M1011" s="59"/>
    </row>
    <row r="1012" spans="2:13" x14ac:dyDescent="0.3">
      <c r="B1012" s="178"/>
      <c r="C1012" s="41"/>
      <c r="D1012" s="180"/>
      <c r="E1012" s="181"/>
      <c r="F1012" s="182"/>
      <c r="G1012" s="1" t="str">
        <f>IFERROR(IF(ventas_b_mes1255[[#This Row],[CUIT]]="","-",VLOOKUP(ventas_b_mes1255[[#This Row],[CUIT]],Lista_CUIT[#All],2,0)),"CUIT NO CARGADO")</f>
        <v>-</v>
      </c>
      <c r="H1012" s="100">
        <f>ventas_b_mes1255[[#This Row],[TOTAL]]/1.21</f>
        <v>0</v>
      </c>
      <c r="I1012" s="64">
        <f>ventas_b_mes1255[[#This Row],[IMPORTE NETO]]*0.21</f>
        <v>0</v>
      </c>
      <c r="J1012" s="184"/>
      <c r="K1012" s="184"/>
      <c r="L1012" s="184"/>
      <c r="M1012" s="59"/>
    </row>
    <row r="1013" spans="2:13" x14ac:dyDescent="0.3">
      <c r="B1013" s="178"/>
      <c r="C1013" s="41"/>
      <c r="D1013" s="180"/>
      <c r="E1013" s="181"/>
      <c r="F1013" s="182"/>
      <c r="G1013" s="1" t="str">
        <f>IFERROR(IF(ventas_b_mes1255[[#This Row],[CUIT]]="","-",VLOOKUP(ventas_b_mes1255[[#This Row],[CUIT]],Lista_CUIT[#All],2,0)),"CUIT NO CARGADO")</f>
        <v>-</v>
      </c>
      <c r="H1013" s="100">
        <f>ventas_b_mes1255[[#This Row],[TOTAL]]/1.21</f>
        <v>0</v>
      </c>
      <c r="I1013" s="64">
        <f>ventas_b_mes1255[[#This Row],[IMPORTE NETO]]*0.21</f>
        <v>0</v>
      </c>
      <c r="J1013" s="184"/>
      <c r="K1013" s="184"/>
      <c r="L1013" s="184"/>
      <c r="M1013" s="59"/>
    </row>
    <row r="1014" spans="2:13" x14ac:dyDescent="0.3">
      <c r="B1014" s="178"/>
      <c r="C1014" s="41"/>
      <c r="D1014" s="180"/>
      <c r="E1014" s="181"/>
      <c r="F1014" s="182"/>
      <c r="G1014" s="1" t="str">
        <f>IFERROR(IF(ventas_b_mes1255[[#This Row],[CUIT]]="","-",VLOOKUP(ventas_b_mes1255[[#This Row],[CUIT]],Lista_CUIT[#All],2,0)),"CUIT NO CARGADO")</f>
        <v>-</v>
      </c>
      <c r="H1014" s="100">
        <f>ventas_b_mes1255[[#This Row],[TOTAL]]/1.21</f>
        <v>0</v>
      </c>
      <c r="I1014" s="64">
        <f>ventas_b_mes1255[[#This Row],[IMPORTE NETO]]*0.21</f>
        <v>0</v>
      </c>
      <c r="J1014" s="184"/>
      <c r="K1014" s="184"/>
      <c r="L1014" s="184"/>
      <c r="M1014" s="59"/>
    </row>
    <row r="1015" spans="2:13" x14ac:dyDescent="0.3">
      <c r="B1015" s="178"/>
      <c r="C1015" s="41"/>
      <c r="D1015" s="180"/>
      <c r="E1015" s="181"/>
      <c r="F1015" s="182"/>
      <c r="G1015" s="1" t="str">
        <f>IFERROR(IF(ventas_b_mes1255[[#This Row],[CUIT]]="","-",VLOOKUP(ventas_b_mes1255[[#This Row],[CUIT]],Lista_CUIT[#All],2,0)),"CUIT NO CARGADO")</f>
        <v>-</v>
      </c>
      <c r="H1015" s="100">
        <f>ventas_b_mes1255[[#This Row],[TOTAL]]/1.21</f>
        <v>0</v>
      </c>
      <c r="I1015" s="64">
        <f>ventas_b_mes1255[[#This Row],[IMPORTE NETO]]*0.21</f>
        <v>0</v>
      </c>
      <c r="J1015" s="184"/>
      <c r="K1015" s="184"/>
      <c r="L1015" s="184"/>
      <c r="M1015" s="59"/>
    </row>
    <row r="1016" spans="2:13" x14ac:dyDescent="0.3">
      <c r="B1016" s="178"/>
      <c r="C1016" s="41"/>
      <c r="D1016" s="180"/>
      <c r="E1016" s="181"/>
      <c r="F1016" s="182"/>
      <c r="G1016" s="1" t="str">
        <f>IFERROR(IF(ventas_b_mes1255[[#This Row],[CUIT]]="","-",VLOOKUP(ventas_b_mes1255[[#This Row],[CUIT]],Lista_CUIT[#All],2,0)),"CUIT NO CARGADO")</f>
        <v>-</v>
      </c>
      <c r="H1016" s="100">
        <f>ventas_b_mes1255[[#This Row],[TOTAL]]/1.21</f>
        <v>0</v>
      </c>
      <c r="I1016" s="64">
        <f>ventas_b_mes1255[[#This Row],[IMPORTE NETO]]*0.21</f>
        <v>0</v>
      </c>
      <c r="J1016" s="184"/>
      <c r="K1016" s="184"/>
      <c r="L1016" s="184"/>
      <c r="M1016" s="59"/>
    </row>
    <row r="1017" spans="2:13" x14ac:dyDescent="0.3">
      <c r="B1017" s="178"/>
      <c r="C1017" s="41"/>
      <c r="D1017" s="180"/>
      <c r="E1017" s="181"/>
      <c r="F1017" s="182"/>
      <c r="G1017" s="1" t="str">
        <f>IFERROR(IF(ventas_b_mes1255[[#This Row],[CUIT]]="","-",VLOOKUP(ventas_b_mes1255[[#This Row],[CUIT]],Lista_CUIT[#All],2,0)),"CUIT NO CARGADO")</f>
        <v>-</v>
      </c>
      <c r="H1017" s="100">
        <f>ventas_b_mes1255[[#This Row],[TOTAL]]/1.21</f>
        <v>0</v>
      </c>
      <c r="I1017" s="64">
        <f>ventas_b_mes1255[[#This Row],[IMPORTE NETO]]*0.21</f>
        <v>0</v>
      </c>
      <c r="J1017" s="184"/>
      <c r="K1017" s="184"/>
      <c r="L1017" s="184"/>
      <c r="M1017" s="59"/>
    </row>
    <row r="1018" spans="2:13" x14ac:dyDescent="0.3">
      <c r="B1018" s="178"/>
      <c r="C1018" s="41"/>
      <c r="D1018" s="180"/>
      <c r="E1018" s="181"/>
      <c r="F1018" s="182"/>
      <c r="G1018" s="1" t="str">
        <f>IFERROR(IF(ventas_b_mes1255[[#This Row],[CUIT]]="","-",VLOOKUP(ventas_b_mes1255[[#This Row],[CUIT]],Lista_CUIT[#All],2,0)),"CUIT NO CARGADO")</f>
        <v>-</v>
      </c>
      <c r="H1018" s="100">
        <f>ventas_b_mes1255[[#This Row],[TOTAL]]/1.21</f>
        <v>0</v>
      </c>
      <c r="I1018" s="64">
        <f>ventas_b_mes1255[[#This Row],[IMPORTE NETO]]*0.21</f>
        <v>0</v>
      </c>
      <c r="J1018" s="184"/>
      <c r="K1018" s="184"/>
      <c r="L1018" s="184"/>
      <c r="M1018" s="59"/>
    </row>
    <row r="1019" spans="2:13" x14ac:dyDescent="0.3">
      <c r="B1019" s="178"/>
      <c r="C1019" s="41"/>
      <c r="D1019" s="180"/>
      <c r="E1019" s="181"/>
      <c r="F1019" s="182"/>
      <c r="G1019" s="1" t="str">
        <f>IFERROR(IF(ventas_b_mes1255[[#This Row],[CUIT]]="","-",VLOOKUP(ventas_b_mes1255[[#This Row],[CUIT]],Lista_CUIT[#All],2,0)),"CUIT NO CARGADO")</f>
        <v>-</v>
      </c>
      <c r="H1019" s="100">
        <f>ventas_b_mes1255[[#This Row],[TOTAL]]/1.21</f>
        <v>0</v>
      </c>
      <c r="I1019" s="64">
        <f>ventas_b_mes1255[[#This Row],[IMPORTE NETO]]*0.21</f>
        <v>0</v>
      </c>
      <c r="J1019" s="184"/>
      <c r="K1019" s="184"/>
      <c r="L1019" s="184"/>
      <c r="M1019" s="59"/>
    </row>
    <row r="1020" spans="2:13" x14ac:dyDescent="0.3">
      <c r="B1020" s="178"/>
      <c r="C1020" s="41"/>
      <c r="D1020" s="180"/>
      <c r="E1020" s="181"/>
      <c r="F1020" s="182"/>
      <c r="G1020" s="1" t="str">
        <f>IFERROR(IF(ventas_b_mes1255[[#This Row],[CUIT]]="","-",VLOOKUP(ventas_b_mes1255[[#This Row],[CUIT]],Lista_CUIT[#All],2,0)),"CUIT NO CARGADO")</f>
        <v>-</v>
      </c>
      <c r="H1020" s="100">
        <f>ventas_b_mes1255[[#This Row],[TOTAL]]/1.21</f>
        <v>0</v>
      </c>
      <c r="I1020" s="64">
        <f>ventas_b_mes1255[[#This Row],[IMPORTE NETO]]*0.21</f>
        <v>0</v>
      </c>
      <c r="J1020" s="184"/>
      <c r="K1020" s="184"/>
      <c r="L1020" s="184"/>
      <c r="M1020" s="59"/>
    </row>
    <row r="1021" spans="2:13" x14ac:dyDescent="0.3">
      <c r="B1021" s="178"/>
      <c r="C1021" s="41"/>
      <c r="D1021" s="180"/>
      <c r="E1021" s="181"/>
      <c r="F1021" s="182"/>
      <c r="G1021" s="1" t="str">
        <f>IFERROR(IF(ventas_b_mes1255[[#This Row],[CUIT]]="","-",VLOOKUP(ventas_b_mes1255[[#This Row],[CUIT]],Lista_CUIT[#All],2,0)),"CUIT NO CARGADO")</f>
        <v>-</v>
      </c>
      <c r="H1021" s="100">
        <f>ventas_b_mes1255[[#This Row],[TOTAL]]/1.21</f>
        <v>0</v>
      </c>
      <c r="I1021" s="64">
        <f>ventas_b_mes1255[[#This Row],[IMPORTE NETO]]*0.21</f>
        <v>0</v>
      </c>
      <c r="J1021" s="184"/>
      <c r="K1021" s="184"/>
      <c r="L1021" s="184"/>
      <c r="M1021" s="59"/>
    </row>
    <row r="1022" spans="2:13" x14ac:dyDescent="0.3">
      <c r="B1022" s="178"/>
      <c r="C1022" s="41"/>
      <c r="D1022" s="180"/>
      <c r="E1022" s="181"/>
      <c r="F1022" s="182"/>
      <c r="G1022" s="1" t="str">
        <f>IFERROR(IF(ventas_b_mes1255[[#This Row],[CUIT]]="","-",VLOOKUP(ventas_b_mes1255[[#This Row],[CUIT]],Lista_CUIT[#All],2,0)),"CUIT NO CARGADO")</f>
        <v>-</v>
      </c>
      <c r="H1022" s="100">
        <f>ventas_b_mes1255[[#This Row],[TOTAL]]/1.21</f>
        <v>0</v>
      </c>
      <c r="I1022" s="64">
        <f>ventas_b_mes1255[[#This Row],[IMPORTE NETO]]*0.21</f>
        <v>0</v>
      </c>
      <c r="J1022" s="184"/>
      <c r="K1022" s="184"/>
      <c r="L1022" s="184"/>
      <c r="M1022" s="59"/>
    </row>
    <row r="1023" spans="2:13" x14ac:dyDescent="0.3">
      <c r="B1023" s="178"/>
      <c r="C1023" s="41"/>
      <c r="D1023" s="180"/>
      <c r="E1023" s="181"/>
      <c r="F1023" s="182"/>
      <c r="G1023" s="1" t="str">
        <f>IFERROR(IF(ventas_b_mes1255[[#This Row],[CUIT]]="","-",VLOOKUP(ventas_b_mes1255[[#This Row],[CUIT]],Lista_CUIT[#All],2,0)),"CUIT NO CARGADO")</f>
        <v>-</v>
      </c>
      <c r="H1023" s="100">
        <f>ventas_b_mes1255[[#This Row],[TOTAL]]/1.21</f>
        <v>0</v>
      </c>
      <c r="I1023" s="64">
        <f>ventas_b_mes1255[[#This Row],[IMPORTE NETO]]*0.21</f>
        <v>0</v>
      </c>
      <c r="J1023" s="184"/>
      <c r="K1023" s="184"/>
      <c r="L1023" s="184"/>
      <c r="M1023" s="59"/>
    </row>
    <row r="1024" spans="2:13" x14ac:dyDescent="0.3">
      <c r="B1024" s="178"/>
      <c r="C1024" s="41"/>
      <c r="D1024" s="180"/>
      <c r="E1024" s="181"/>
      <c r="F1024" s="182"/>
      <c r="G1024" s="1" t="str">
        <f>IFERROR(IF(ventas_b_mes1255[[#This Row],[CUIT]]="","-",VLOOKUP(ventas_b_mes1255[[#This Row],[CUIT]],Lista_CUIT[#All],2,0)),"CUIT NO CARGADO")</f>
        <v>-</v>
      </c>
      <c r="H1024" s="100">
        <f>ventas_b_mes1255[[#This Row],[TOTAL]]/1.21</f>
        <v>0</v>
      </c>
      <c r="I1024" s="64">
        <f>ventas_b_mes1255[[#This Row],[IMPORTE NETO]]*0.21</f>
        <v>0</v>
      </c>
      <c r="J1024" s="184"/>
      <c r="K1024" s="184"/>
      <c r="L1024" s="184"/>
      <c r="M1024" s="59"/>
    </row>
    <row r="1025" spans="2:13" x14ac:dyDescent="0.3">
      <c r="B1025" s="178"/>
      <c r="C1025" s="41"/>
      <c r="D1025" s="180"/>
      <c r="E1025" s="181"/>
      <c r="F1025" s="182"/>
      <c r="G1025" s="1" t="str">
        <f>IFERROR(IF(ventas_b_mes1255[[#This Row],[CUIT]]="","-",VLOOKUP(ventas_b_mes1255[[#This Row],[CUIT]],Lista_CUIT[#All],2,0)),"CUIT NO CARGADO")</f>
        <v>-</v>
      </c>
      <c r="H1025" s="100">
        <f>ventas_b_mes1255[[#This Row],[TOTAL]]/1.21</f>
        <v>0</v>
      </c>
      <c r="I1025" s="64">
        <f>ventas_b_mes1255[[#This Row],[IMPORTE NETO]]*0.21</f>
        <v>0</v>
      </c>
      <c r="J1025" s="184"/>
      <c r="K1025" s="184"/>
      <c r="L1025" s="184"/>
      <c r="M1025" s="59"/>
    </row>
    <row r="1026" spans="2:13" x14ac:dyDescent="0.3">
      <c r="B1026" s="178"/>
      <c r="C1026" s="41"/>
      <c r="D1026" s="180"/>
      <c r="E1026" s="181"/>
      <c r="F1026" s="182"/>
      <c r="G1026" s="1" t="str">
        <f>IFERROR(IF(ventas_b_mes1255[[#This Row],[CUIT]]="","-",VLOOKUP(ventas_b_mes1255[[#This Row],[CUIT]],Lista_CUIT[#All],2,0)),"CUIT NO CARGADO")</f>
        <v>-</v>
      </c>
      <c r="H1026" s="100">
        <f>ventas_b_mes1255[[#This Row],[TOTAL]]/1.21</f>
        <v>0</v>
      </c>
      <c r="I1026" s="64">
        <f>ventas_b_mes1255[[#This Row],[IMPORTE NETO]]*0.21</f>
        <v>0</v>
      </c>
      <c r="J1026" s="184"/>
      <c r="K1026" s="184"/>
      <c r="L1026" s="184"/>
      <c r="M1026" s="59"/>
    </row>
    <row r="1027" spans="2:13" x14ac:dyDescent="0.3">
      <c r="B1027" s="178"/>
      <c r="C1027" s="41"/>
      <c r="D1027" s="180"/>
      <c r="E1027" s="181"/>
      <c r="F1027" s="182"/>
      <c r="G1027" s="1" t="str">
        <f>IFERROR(IF(ventas_b_mes1255[[#This Row],[CUIT]]="","-",VLOOKUP(ventas_b_mes1255[[#This Row],[CUIT]],Lista_CUIT[#All],2,0)),"CUIT NO CARGADO")</f>
        <v>-</v>
      </c>
      <c r="H1027" s="100">
        <f>ventas_b_mes1255[[#This Row],[TOTAL]]/1.21</f>
        <v>0</v>
      </c>
      <c r="I1027" s="64">
        <f>ventas_b_mes1255[[#This Row],[IMPORTE NETO]]*0.21</f>
        <v>0</v>
      </c>
      <c r="J1027" s="184"/>
      <c r="K1027" s="184"/>
      <c r="L1027" s="184"/>
      <c r="M1027" s="59"/>
    </row>
    <row r="1028" spans="2:13" x14ac:dyDescent="0.3">
      <c r="B1028" s="178"/>
      <c r="C1028" s="41"/>
      <c r="D1028" s="180"/>
      <c r="E1028" s="181"/>
      <c r="F1028" s="182"/>
      <c r="G1028" s="1" t="str">
        <f>IFERROR(IF(ventas_b_mes1255[[#This Row],[CUIT]]="","-",VLOOKUP(ventas_b_mes1255[[#This Row],[CUIT]],Lista_CUIT[#All],2,0)),"CUIT NO CARGADO")</f>
        <v>-</v>
      </c>
      <c r="H1028" s="100">
        <f>ventas_b_mes1255[[#This Row],[TOTAL]]/1.21</f>
        <v>0</v>
      </c>
      <c r="I1028" s="64">
        <f>ventas_b_mes1255[[#This Row],[IMPORTE NETO]]*0.21</f>
        <v>0</v>
      </c>
      <c r="J1028" s="184"/>
      <c r="K1028" s="184"/>
      <c r="L1028" s="184"/>
      <c r="M1028" s="59"/>
    </row>
    <row r="1029" spans="2:13" x14ac:dyDescent="0.3">
      <c r="B1029" s="178"/>
      <c r="C1029" s="41"/>
      <c r="D1029" s="180"/>
      <c r="E1029" s="181"/>
      <c r="F1029" s="182"/>
      <c r="G1029" s="1" t="str">
        <f>IFERROR(IF(ventas_b_mes1255[[#This Row],[CUIT]]="","-",VLOOKUP(ventas_b_mes1255[[#This Row],[CUIT]],Lista_CUIT[#All],2,0)),"CUIT NO CARGADO")</f>
        <v>-</v>
      </c>
      <c r="H1029" s="100">
        <f>ventas_b_mes1255[[#This Row],[TOTAL]]/1.21</f>
        <v>0</v>
      </c>
      <c r="I1029" s="64">
        <f>ventas_b_mes1255[[#This Row],[IMPORTE NETO]]*0.21</f>
        <v>0</v>
      </c>
      <c r="J1029" s="184"/>
      <c r="K1029" s="184"/>
      <c r="L1029" s="184"/>
      <c r="M1029" s="59"/>
    </row>
    <row r="1030" spans="2:13" x14ac:dyDescent="0.3">
      <c r="B1030" s="178"/>
      <c r="C1030" s="41"/>
      <c r="D1030" s="180"/>
      <c r="E1030" s="181"/>
      <c r="F1030" s="182"/>
      <c r="G1030" s="1" t="str">
        <f>IFERROR(IF(ventas_b_mes1255[[#This Row],[CUIT]]="","-",VLOOKUP(ventas_b_mes1255[[#This Row],[CUIT]],Lista_CUIT[#All],2,0)),"CUIT NO CARGADO")</f>
        <v>-</v>
      </c>
      <c r="H1030" s="100">
        <f>ventas_b_mes1255[[#This Row],[TOTAL]]/1.21</f>
        <v>0</v>
      </c>
      <c r="I1030" s="64">
        <f>ventas_b_mes1255[[#This Row],[IMPORTE NETO]]*0.21</f>
        <v>0</v>
      </c>
      <c r="J1030" s="184"/>
      <c r="K1030" s="184"/>
      <c r="L1030" s="184"/>
      <c r="M1030" s="59"/>
    </row>
    <row r="1031" spans="2:13" x14ac:dyDescent="0.3">
      <c r="B1031" s="178"/>
      <c r="C1031" s="41"/>
      <c r="D1031" s="180"/>
      <c r="E1031" s="181"/>
      <c r="F1031" s="182"/>
      <c r="G1031" s="1" t="str">
        <f>IFERROR(IF(ventas_b_mes1255[[#This Row],[CUIT]]="","-",VLOOKUP(ventas_b_mes1255[[#This Row],[CUIT]],Lista_CUIT[#All],2,0)),"CUIT NO CARGADO")</f>
        <v>-</v>
      </c>
      <c r="H1031" s="100">
        <f>ventas_b_mes1255[[#This Row],[TOTAL]]/1.21</f>
        <v>0</v>
      </c>
      <c r="I1031" s="64">
        <f>ventas_b_mes1255[[#This Row],[IMPORTE NETO]]*0.21</f>
        <v>0</v>
      </c>
      <c r="J1031" s="184"/>
      <c r="K1031" s="184"/>
      <c r="L1031" s="184"/>
      <c r="M1031" s="59"/>
    </row>
    <row r="1032" spans="2:13" x14ac:dyDescent="0.3">
      <c r="B1032" s="178"/>
      <c r="C1032" s="41"/>
      <c r="D1032" s="180"/>
      <c r="E1032" s="181"/>
      <c r="F1032" s="182"/>
      <c r="G1032" s="1" t="str">
        <f>IFERROR(IF(ventas_b_mes1255[[#This Row],[CUIT]]="","-",VLOOKUP(ventas_b_mes1255[[#This Row],[CUIT]],Lista_CUIT[#All],2,0)),"CUIT NO CARGADO")</f>
        <v>-</v>
      </c>
      <c r="H1032" s="100">
        <f>ventas_b_mes1255[[#This Row],[TOTAL]]/1.21</f>
        <v>0</v>
      </c>
      <c r="I1032" s="64">
        <f>ventas_b_mes1255[[#This Row],[IMPORTE NETO]]*0.21</f>
        <v>0</v>
      </c>
      <c r="J1032" s="184"/>
      <c r="K1032" s="184"/>
      <c r="L1032" s="184"/>
      <c r="M1032" s="59"/>
    </row>
    <row r="1033" spans="2:13" x14ac:dyDescent="0.3">
      <c r="B1033" s="178"/>
      <c r="C1033" s="41"/>
      <c r="D1033" s="180"/>
      <c r="E1033" s="181"/>
      <c r="F1033" s="182"/>
      <c r="G1033" s="1" t="str">
        <f>IFERROR(IF(ventas_b_mes1255[[#This Row],[CUIT]]="","-",VLOOKUP(ventas_b_mes1255[[#This Row],[CUIT]],Lista_CUIT[#All],2,0)),"CUIT NO CARGADO")</f>
        <v>-</v>
      </c>
      <c r="H1033" s="100">
        <f>ventas_b_mes1255[[#This Row],[TOTAL]]/1.21</f>
        <v>0</v>
      </c>
      <c r="I1033" s="64">
        <f>ventas_b_mes1255[[#This Row],[IMPORTE NETO]]*0.21</f>
        <v>0</v>
      </c>
      <c r="J1033" s="184"/>
      <c r="K1033" s="184"/>
      <c r="L1033" s="184"/>
      <c r="M1033" s="59"/>
    </row>
    <row r="1034" spans="2:13" x14ac:dyDescent="0.3">
      <c r="B1034" s="178"/>
      <c r="C1034" s="41"/>
      <c r="D1034" s="180"/>
      <c r="E1034" s="181"/>
      <c r="F1034" s="182"/>
      <c r="G1034" s="1" t="str">
        <f>IFERROR(IF(ventas_b_mes1255[[#This Row],[CUIT]]="","-",VLOOKUP(ventas_b_mes1255[[#This Row],[CUIT]],Lista_CUIT[#All],2,0)),"CUIT NO CARGADO")</f>
        <v>-</v>
      </c>
      <c r="H1034" s="100">
        <f>ventas_b_mes1255[[#This Row],[TOTAL]]/1.21</f>
        <v>0</v>
      </c>
      <c r="I1034" s="64">
        <f>ventas_b_mes1255[[#This Row],[IMPORTE NETO]]*0.21</f>
        <v>0</v>
      </c>
      <c r="J1034" s="184"/>
      <c r="K1034" s="184"/>
      <c r="L1034" s="184"/>
      <c r="M1034" s="59"/>
    </row>
    <row r="1035" spans="2:13" x14ac:dyDescent="0.3">
      <c r="B1035" s="178"/>
      <c r="C1035" s="41"/>
      <c r="D1035" s="180"/>
      <c r="E1035" s="181"/>
      <c r="F1035" s="182"/>
      <c r="G1035" s="1" t="str">
        <f>IFERROR(IF(ventas_b_mes1255[[#This Row],[CUIT]]="","-",VLOOKUP(ventas_b_mes1255[[#This Row],[CUIT]],Lista_CUIT[#All],2,0)),"CUIT NO CARGADO")</f>
        <v>-</v>
      </c>
      <c r="H1035" s="100">
        <f>ventas_b_mes1255[[#This Row],[TOTAL]]/1.21</f>
        <v>0</v>
      </c>
      <c r="I1035" s="64">
        <f>ventas_b_mes1255[[#This Row],[IMPORTE NETO]]*0.21</f>
        <v>0</v>
      </c>
      <c r="J1035" s="184"/>
      <c r="K1035" s="184"/>
      <c r="L1035" s="184"/>
      <c r="M1035" s="59"/>
    </row>
    <row r="1036" spans="2:13" x14ac:dyDescent="0.3">
      <c r="B1036" s="178"/>
      <c r="C1036" s="41"/>
      <c r="D1036" s="180"/>
      <c r="E1036" s="181"/>
      <c r="F1036" s="182"/>
      <c r="G1036" s="1" t="str">
        <f>IFERROR(IF(ventas_b_mes1255[[#This Row],[CUIT]]="","-",VLOOKUP(ventas_b_mes1255[[#This Row],[CUIT]],Lista_CUIT[#All],2,0)),"CUIT NO CARGADO")</f>
        <v>-</v>
      </c>
      <c r="H1036" s="100">
        <f>ventas_b_mes1255[[#This Row],[TOTAL]]/1.21</f>
        <v>0</v>
      </c>
      <c r="I1036" s="64">
        <f>ventas_b_mes1255[[#This Row],[IMPORTE NETO]]*0.21</f>
        <v>0</v>
      </c>
      <c r="J1036" s="184"/>
      <c r="K1036" s="184"/>
      <c r="L1036" s="184"/>
      <c r="M1036" s="59"/>
    </row>
    <row r="1037" spans="2:13" x14ac:dyDescent="0.3">
      <c r="B1037" s="178"/>
      <c r="C1037" s="41"/>
      <c r="D1037" s="180"/>
      <c r="E1037" s="181"/>
      <c r="F1037" s="182"/>
      <c r="G1037" s="1" t="str">
        <f>IFERROR(IF(ventas_b_mes1255[[#This Row],[CUIT]]="","-",VLOOKUP(ventas_b_mes1255[[#This Row],[CUIT]],Lista_CUIT[#All],2,0)),"CUIT NO CARGADO")</f>
        <v>-</v>
      </c>
      <c r="H1037" s="100">
        <f>ventas_b_mes1255[[#This Row],[TOTAL]]/1.21</f>
        <v>0</v>
      </c>
      <c r="I1037" s="64">
        <f>ventas_b_mes1255[[#This Row],[IMPORTE NETO]]*0.21</f>
        <v>0</v>
      </c>
      <c r="J1037" s="184"/>
      <c r="K1037" s="184"/>
      <c r="L1037" s="184"/>
      <c r="M1037" s="59"/>
    </row>
    <row r="1038" spans="2:13" x14ac:dyDescent="0.3">
      <c r="B1038" s="178"/>
      <c r="C1038" s="41"/>
      <c r="D1038" s="180"/>
      <c r="E1038" s="181"/>
      <c r="F1038" s="182"/>
      <c r="G1038" s="1" t="str">
        <f>IFERROR(IF(ventas_b_mes1255[[#This Row],[CUIT]]="","-",VLOOKUP(ventas_b_mes1255[[#This Row],[CUIT]],Lista_CUIT[#All],2,0)),"CUIT NO CARGADO")</f>
        <v>-</v>
      </c>
      <c r="H1038" s="100">
        <f>ventas_b_mes1255[[#This Row],[TOTAL]]/1.21</f>
        <v>0</v>
      </c>
      <c r="I1038" s="64">
        <f>ventas_b_mes1255[[#This Row],[IMPORTE NETO]]*0.21</f>
        <v>0</v>
      </c>
      <c r="J1038" s="184"/>
      <c r="K1038" s="184"/>
      <c r="L1038" s="184"/>
      <c r="M1038" s="59"/>
    </row>
    <row r="1039" spans="2:13" x14ac:dyDescent="0.3">
      <c r="B1039" s="178"/>
      <c r="C1039" s="41"/>
      <c r="D1039" s="180"/>
      <c r="E1039" s="181"/>
      <c r="F1039" s="182"/>
      <c r="G1039" s="1" t="str">
        <f>IFERROR(IF(ventas_b_mes1255[[#This Row],[CUIT]]="","-",VLOOKUP(ventas_b_mes1255[[#This Row],[CUIT]],Lista_CUIT[#All],2,0)),"CUIT NO CARGADO")</f>
        <v>-</v>
      </c>
      <c r="H1039" s="100">
        <f>ventas_b_mes1255[[#This Row],[TOTAL]]/1.21</f>
        <v>0</v>
      </c>
      <c r="I1039" s="64">
        <f>ventas_b_mes1255[[#This Row],[IMPORTE NETO]]*0.21</f>
        <v>0</v>
      </c>
      <c r="J1039" s="184"/>
      <c r="K1039" s="184"/>
      <c r="L1039" s="184"/>
      <c r="M1039" s="59"/>
    </row>
    <row r="1040" spans="2:13" x14ac:dyDescent="0.3">
      <c r="B1040" s="178"/>
      <c r="C1040" s="41"/>
      <c r="D1040" s="180"/>
      <c r="E1040" s="181"/>
      <c r="F1040" s="182"/>
      <c r="G1040" s="1" t="str">
        <f>IFERROR(IF(ventas_b_mes1255[[#This Row],[CUIT]]="","-",VLOOKUP(ventas_b_mes1255[[#This Row],[CUIT]],Lista_CUIT[#All],2,0)),"CUIT NO CARGADO")</f>
        <v>-</v>
      </c>
      <c r="H1040" s="100">
        <f>ventas_b_mes1255[[#This Row],[TOTAL]]/1.21</f>
        <v>0</v>
      </c>
      <c r="I1040" s="64">
        <f>ventas_b_mes1255[[#This Row],[IMPORTE NETO]]*0.21</f>
        <v>0</v>
      </c>
      <c r="J1040" s="184"/>
      <c r="K1040" s="184"/>
      <c r="L1040" s="184"/>
      <c r="M1040" s="59"/>
    </row>
    <row r="1041" spans="2:13" x14ac:dyDescent="0.3">
      <c r="B1041" s="178"/>
      <c r="C1041" s="41"/>
      <c r="D1041" s="180"/>
      <c r="E1041" s="181"/>
      <c r="F1041" s="182"/>
      <c r="G1041" s="1" t="str">
        <f>IFERROR(IF(ventas_b_mes1255[[#This Row],[CUIT]]="","-",VLOOKUP(ventas_b_mes1255[[#This Row],[CUIT]],Lista_CUIT[#All],2,0)),"CUIT NO CARGADO")</f>
        <v>-</v>
      </c>
      <c r="H1041" s="100">
        <f>ventas_b_mes1255[[#This Row],[TOTAL]]/1.21</f>
        <v>0</v>
      </c>
      <c r="I1041" s="64">
        <f>ventas_b_mes1255[[#This Row],[IMPORTE NETO]]*0.21</f>
        <v>0</v>
      </c>
      <c r="J1041" s="184"/>
      <c r="K1041" s="184"/>
      <c r="L1041" s="184"/>
      <c r="M1041" s="59"/>
    </row>
    <row r="1042" spans="2:13" x14ac:dyDescent="0.3">
      <c r="B1042" s="178"/>
      <c r="C1042" s="41"/>
      <c r="D1042" s="180"/>
      <c r="E1042" s="181"/>
      <c r="F1042" s="182"/>
      <c r="G1042" s="1" t="str">
        <f>IFERROR(IF(ventas_b_mes1255[[#This Row],[CUIT]]="","-",VLOOKUP(ventas_b_mes1255[[#This Row],[CUIT]],Lista_CUIT[#All],2,0)),"CUIT NO CARGADO")</f>
        <v>-</v>
      </c>
      <c r="H1042" s="100">
        <f>ventas_b_mes1255[[#This Row],[TOTAL]]/1.21</f>
        <v>0</v>
      </c>
      <c r="I1042" s="64">
        <f>ventas_b_mes1255[[#This Row],[IMPORTE NETO]]*0.21</f>
        <v>0</v>
      </c>
      <c r="J1042" s="184"/>
      <c r="K1042" s="184"/>
      <c r="L1042" s="184"/>
      <c r="M1042" s="59"/>
    </row>
    <row r="1043" spans="2:13" x14ac:dyDescent="0.3">
      <c r="B1043" s="178"/>
      <c r="C1043" s="41"/>
      <c r="D1043" s="180"/>
      <c r="E1043" s="181"/>
      <c r="F1043" s="182"/>
      <c r="G1043" s="1" t="str">
        <f>IFERROR(IF(ventas_b_mes1255[[#This Row],[CUIT]]="","-",VLOOKUP(ventas_b_mes1255[[#This Row],[CUIT]],Lista_CUIT[#All],2,0)),"CUIT NO CARGADO")</f>
        <v>-</v>
      </c>
      <c r="H1043" s="100">
        <f>ventas_b_mes1255[[#This Row],[TOTAL]]/1.21</f>
        <v>0</v>
      </c>
      <c r="I1043" s="64">
        <f>ventas_b_mes1255[[#This Row],[IMPORTE NETO]]*0.21</f>
        <v>0</v>
      </c>
      <c r="J1043" s="184"/>
      <c r="K1043" s="184"/>
      <c r="L1043" s="184"/>
      <c r="M1043" s="59"/>
    </row>
    <row r="1044" spans="2:13" x14ac:dyDescent="0.3">
      <c r="B1044" s="178"/>
      <c r="C1044" s="41"/>
      <c r="D1044" s="180"/>
      <c r="E1044" s="181"/>
      <c r="F1044" s="182"/>
      <c r="G1044" s="1" t="str">
        <f>IFERROR(IF(ventas_b_mes1255[[#This Row],[CUIT]]="","-",VLOOKUP(ventas_b_mes1255[[#This Row],[CUIT]],Lista_CUIT[#All],2,0)),"CUIT NO CARGADO")</f>
        <v>-</v>
      </c>
      <c r="H1044" s="100">
        <f>ventas_b_mes1255[[#This Row],[TOTAL]]/1.21</f>
        <v>0</v>
      </c>
      <c r="I1044" s="64">
        <f>ventas_b_mes1255[[#This Row],[IMPORTE NETO]]*0.21</f>
        <v>0</v>
      </c>
      <c r="J1044" s="184"/>
      <c r="K1044" s="184"/>
      <c r="L1044" s="184"/>
      <c r="M1044" s="59"/>
    </row>
    <row r="1045" spans="2:13" x14ac:dyDescent="0.3">
      <c r="B1045" s="178"/>
      <c r="C1045" s="41"/>
      <c r="D1045" s="180"/>
      <c r="E1045" s="181"/>
      <c r="F1045" s="182"/>
      <c r="G1045" s="1" t="str">
        <f>IFERROR(IF(ventas_b_mes1255[[#This Row],[CUIT]]="","-",VLOOKUP(ventas_b_mes1255[[#This Row],[CUIT]],Lista_CUIT[#All],2,0)),"CUIT NO CARGADO")</f>
        <v>-</v>
      </c>
      <c r="H1045" s="100">
        <f>ventas_b_mes1255[[#This Row],[TOTAL]]/1.21</f>
        <v>0</v>
      </c>
      <c r="I1045" s="64">
        <f>ventas_b_mes1255[[#This Row],[IMPORTE NETO]]*0.21</f>
        <v>0</v>
      </c>
      <c r="J1045" s="184"/>
      <c r="K1045" s="184"/>
      <c r="L1045" s="184"/>
      <c r="M1045" s="59"/>
    </row>
    <row r="1046" spans="2:13" x14ac:dyDescent="0.3">
      <c r="B1046" s="178"/>
      <c r="C1046" s="41"/>
      <c r="D1046" s="180"/>
      <c r="E1046" s="181"/>
      <c r="F1046" s="182"/>
      <c r="G1046" s="1" t="str">
        <f>IFERROR(IF(ventas_b_mes1255[[#This Row],[CUIT]]="","-",VLOOKUP(ventas_b_mes1255[[#This Row],[CUIT]],Lista_CUIT[#All],2,0)),"CUIT NO CARGADO")</f>
        <v>-</v>
      </c>
      <c r="H1046" s="100">
        <f>ventas_b_mes1255[[#This Row],[TOTAL]]/1.21</f>
        <v>0</v>
      </c>
      <c r="I1046" s="64">
        <f>ventas_b_mes1255[[#This Row],[IMPORTE NETO]]*0.21</f>
        <v>0</v>
      </c>
      <c r="J1046" s="184"/>
      <c r="K1046" s="184"/>
      <c r="L1046" s="184"/>
      <c r="M1046" s="59"/>
    </row>
    <row r="1047" spans="2:13" x14ac:dyDescent="0.3">
      <c r="B1047" s="178"/>
      <c r="C1047" s="41"/>
      <c r="D1047" s="180"/>
      <c r="E1047" s="181"/>
      <c r="F1047" s="182"/>
      <c r="G1047" s="1" t="str">
        <f>IFERROR(IF(ventas_b_mes1255[[#This Row],[CUIT]]="","-",VLOOKUP(ventas_b_mes1255[[#This Row],[CUIT]],Lista_CUIT[#All],2,0)),"CUIT NO CARGADO")</f>
        <v>-</v>
      </c>
      <c r="H1047" s="100">
        <f>ventas_b_mes1255[[#This Row],[TOTAL]]/1.21</f>
        <v>0</v>
      </c>
      <c r="I1047" s="64">
        <f>ventas_b_mes1255[[#This Row],[IMPORTE NETO]]*0.21</f>
        <v>0</v>
      </c>
      <c r="J1047" s="184"/>
      <c r="K1047" s="184"/>
      <c r="L1047" s="184"/>
      <c r="M1047" s="59"/>
    </row>
    <row r="1048" spans="2:13" x14ac:dyDescent="0.3">
      <c r="B1048" s="178"/>
      <c r="C1048" s="41"/>
      <c r="D1048" s="180"/>
      <c r="E1048" s="181"/>
      <c r="F1048" s="182"/>
      <c r="G1048" s="1" t="str">
        <f>IFERROR(IF(ventas_b_mes1255[[#This Row],[CUIT]]="","-",VLOOKUP(ventas_b_mes1255[[#This Row],[CUIT]],Lista_CUIT[#All],2,0)),"CUIT NO CARGADO")</f>
        <v>-</v>
      </c>
      <c r="H1048" s="100">
        <f>ventas_b_mes1255[[#This Row],[TOTAL]]/1.21</f>
        <v>0</v>
      </c>
      <c r="I1048" s="64">
        <f>ventas_b_mes1255[[#This Row],[IMPORTE NETO]]*0.21</f>
        <v>0</v>
      </c>
      <c r="J1048" s="184"/>
      <c r="K1048" s="184"/>
      <c r="L1048" s="184"/>
      <c r="M1048" s="59"/>
    </row>
    <row r="1049" spans="2:13" x14ac:dyDescent="0.3">
      <c r="B1049" s="178"/>
      <c r="C1049" s="41"/>
      <c r="D1049" s="180"/>
      <c r="E1049" s="181"/>
      <c r="F1049" s="182"/>
      <c r="G1049" s="1" t="str">
        <f>IFERROR(IF(ventas_b_mes1255[[#This Row],[CUIT]]="","-",VLOOKUP(ventas_b_mes1255[[#This Row],[CUIT]],Lista_CUIT[#All],2,0)),"CUIT NO CARGADO")</f>
        <v>-</v>
      </c>
      <c r="H1049" s="100">
        <f>ventas_b_mes1255[[#This Row],[TOTAL]]/1.21</f>
        <v>0</v>
      </c>
      <c r="I1049" s="64">
        <f>ventas_b_mes1255[[#This Row],[IMPORTE NETO]]*0.21</f>
        <v>0</v>
      </c>
      <c r="J1049" s="184"/>
      <c r="K1049" s="184"/>
      <c r="L1049" s="184"/>
      <c r="M1049" s="59"/>
    </row>
    <row r="1050" spans="2:13" x14ac:dyDescent="0.3">
      <c r="B1050" s="178"/>
      <c r="C1050" s="41"/>
      <c r="D1050" s="180"/>
      <c r="E1050" s="181"/>
      <c r="F1050" s="182"/>
      <c r="G1050" s="1" t="str">
        <f>IFERROR(IF(ventas_b_mes1255[[#This Row],[CUIT]]="","-",VLOOKUP(ventas_b_mes1255[[#This Row],[CUIT]],Lista_CUIT[#All],2,0)),"CUIT NO CARGADO")</f>
        <v>-</v>
      </c>
      <c r="H1050" s="100">
        <f>ventas_b_mes1255[[#This Row],[TOTAL]]/1.21</f>
        <v>0</v>
      </c>
      <c r="I1050" s="64">
        <f>ventas_b_mes1255[[#This Row],[IMPORTE NETO]]*0.21</f>
        <v>0</v>
      </c>
      <c r="J1050" s="184"/>
      <c r="K1050" s="184"/>
      <c r="L1050" s="184"/>
      <c r="M1050" s="59"/>
    </row>
    <row r="1051" spans="2:13" x14ac:dyDescent="0.3">
      <c r="B1051" s="178"/>
      <c r="C1051" s="41"/>
      <c r="D1051" s="180"/>
      <c r="E1051" s="181"/>
      <c r="F1051" s="182"/>
      <c r="G1051" s="1" t="str">
        <f>IFERROR(IF(ventas_b_mes1255[[#This Row],[CUIT]]="","-",VLOOKUP(ventas_b_mes1255[[#This Row],[CUIT]],Lista_CUIT[#All],2,0)),"CUIT NO CARGADO")</f>
        <v>-</v>
      </c>
      <c r="H1051" s="100">
        <f>ventas_b_mes1255[[#This Row],[TOTAL]]/1.21</f>
        <v>0</v>
      </c>
      <c r="I1051" s="64">
        <f>ventas_b_mes1255[[#This Row],[IMPORTE NETO]]*0.21</f>
        <v>0</v>
      </c>
      <c r="J1051" s="184"/>
      <c r="K1051" s="184"/>
      <c r="L1051" s="184"/>
      <c r="M1051" s="59"/>
    </row>
    <row r="1052" spans="2:13" x14ac:dyDescent="0.3">
      <c r="B1052" s="178"/>
      <c r="C1052" s="41"/>
      <c r="D1052" s="180"/>
      <c r="E1052" s="181"/>
      <c r="F1052" s="182"/>
      <c r="G1052" s="1" t="str">
        <f>IFERROR(IF(ventas_b_mes1255[[#This Row],[CUIT]]="","-",VLOOKUP(ventas_b_mes1255[[#This Row],[CUIT]],Lista_CUIT[#All],2,0)),"CUIT NO CARGADO")</f>
        <v>-</v>
      </c>
      <c r="H1052" s="100">
        <f>ventas_b_mes1255[[#This Row],[TOTAL]]/1.21</f>
        <v>0</v>
      </c>
      <c r="I1052" s="64">
        <f>ventas_b_mes1255[[#This Row],[IMPORTE NETO]]*0.21</f>
        <v>0</v>
      </c>
      <c r="J1052" s="184"/>
      <c r="K1052" s="184"/>
      <c r="L1052" s="184"/>
      <c r="M1052" s="59"/>
    </row>
    <row r="1053" spans="2:13" x14ac:dyDescent="0.3">
      <c r="B1053" s="178"/>
      <c r="C1053" s="41"/>
      <c r="D1053" s="180"/>
      <c r="E1053" s="181"/>
      <c r="F1053" s="182"/>
      <c r="G1053" s="1" t="str">
        <f>IFERROR(IF(ventas_b_mes1255[[#This Row],[CUIT]]="","-",VLOOKUP(ventas_b_mes1255[[#This Row],[CUIT]],Lista_CUIT[#All],2,0)),"CUIT NO CARGADO")</f>
        <v>-</v>
      </c>
      <c r="H1053" s="100">
        <f>ventas_b_mes1255[[#This Row],[TOTAL]]/1.21</f>
        <v>0</v>
      </c>
      <c r="I1053" s="64">
        <f>ventas_b_mes1255[[#This Row],[IMPORTE NETO]]*0.21</f>
        <v>0</v>
      </c>
      <c r="J1053" s="184"/>
      <c r="K1053" s="184"/>
      <c r="L1053" s="184"/>
      <c r="M1053" s="59"/>
    </row>
    <row r="1054" spans="2:13" x14ac:dyDescent="0.3">
      <c r="B1054" s="178"/>
      <c r="C1054" s="41"/>
      <c r="D1054" s="180"/>
      <c r="E1054" s="181"/>
      <c r="F1054" s="182"/>
      <c r="G1054" s="1" t="str">
        <f>IFERROR(IF(ventas_b_mes1255[[#This Row],[CUIT]]="","-",VLOOKUP(ventas_b_mes1255[[#This Row],[CUIT]],Lista_CUIT[#All],2,0)),"CUIT NO CARGADO")</f>
        <v>-</v>
      </c>
      <c r="H1054" s="100">
        <f>ventas_b_mes1255[[#This Row],[TOTAL]]/1.21</f>
        <v>0</v>
      </c>
      <c r="I1054" s="64">
        <f>ventas_b_mes1255[[#This Row],[IMPORTE NETO]]*0.21</f>
        <v>0</v>
      </c>
      <c r="J1054" s="184"/>
      <c r="K1054" s="184"/>
      <c r="L1054" s="184"/>
      <c r="M1054" s="59"/>
    </row>
    <row r="1055" spans="2:13" x14ac:dyDescent="0.3">
      <c r="B1055" s="178"/>
      <c r="C1055" s="41"/>
      <c r="D1055" s="180"/>
      <c r="E1055" s="181"/>
      <c r="F1055" s="182"/>
      <c r="G1055" s="1" t="str">
        <f>IFERROR(IF(ventas_b_mes1255[[#This Row],[CUIT]]="","-",VLOOKUP(ventas_b_mes1255[[#This Row],[CUIT]],Lista_CUIT[#All],2,0)),"CUIT NO CARGADO")</f>
        <v>-</v>
      </c>
      <c r="H1055" s="100">
        <f>ventas_b_mes1255[[#This Row],[TOTAL]]/1.21</f>
        <v>0</v>
      </c>
      <c r="I1055" s="64">
        <f>ventas_b_mes1255[[#This Row],[IMPORTE NETO]]*0.21</f>
        <v>0</v>
      </c>
      <c r="J1055" s="184"/>
      <c r="K1055" s="184"/>
      <c r="L1055" s="184"/>
      <c r="M1055" s="59"/>
    </row>
    <row r="1056" spans="2:13" x14ac:dyDescent="0.3">
      <c r="B1056" s="178"/>
      <c r="C1056" s="41"/>
      <c r="D1056" s="180"/>
      <c r="E1056" s="181"/>
      <c r="F1056" s="182"/>
      <c r="G1056" s="1" t="str">
        <f>IFERROR(IF(ventas_b_mes1255[[#This Row],[CUIT]]="","-",VLOOKUP(ventas_b_mes1255[[#This Row],[CUIT]],Lista_CUIT[#All],2,0)),"CUIT NO CARGADO")</f>
        <v>-</v>
      </c>
      <c r="H1056" s="100">
        <f>ventas_b_mes1255[[#This Row],[TOTAL]]/1.21</f>
        <v>0</v>
      </c>
      <c r="I1056" s="64">
        <f>ventas_b_mes1255[[#This Row],[IMPORTE NETO]]*0.21</f>
        <v>0</v>
      </c>
      <c r="J1056" s="184"/>
      <c r="K1056" s="184"/>
      <c r="L1056" s="184"/>
      <c r="M1056" s="59"/>
    </row>
    <row r="1057" spans="2:13" x14ac:dyDescent="0.3">
      <c r="B1057" s="178"/>
      <c r="C1057" s="41"/>
      <c r="D1057" s="180"/>
      <c r="E1057" s="181"/>
      <c r="F1057" s="182"/>
      <c r="G1057" s="1" t="str">
        <f>IFERROR(IF(ventas_b_mes1255[[#This Row],[CUIT]]="","-",VLOOKUP(ventas_b_mes1255[[#This Row],[CUIT]],Lista_CUIT[#All],2,0)),"CUIT NO CARGADO")</f>
        <v>-</v>
      </c>
      <c r="H1057" s="100">
        <f>ventas_b_mes1255[[#This Row],[TOTAL]]/1.21</f>
        <v>0</v>
      </c>
      <c r="I1057" s="64">
        <f>ventas_b_mes1255[[#This Row],[IMPORTE NETO]]*0.21</f>
        <v>0</v>
      </c>
      <c r="J1057" s="184"/>
      <c r="K1057" s="184"/>
      <c r="L1057" s="184"/>
      <c r="M1057" s="59"/>
    </row>
    <row r="1058" spans="2:13" x14ac:dyDescent="0.3">
      <c r="B1058" s="178"/>
      <c r="C1058" s="41"/>
      <c r="D1058" s="180"/>
      <c r="E1058" s="181"/>
      <c r="F1058" s="182"/>
      <c r="G1058" s="1" t="str">
        <f>IFERROR(IF(ventas_b_mes1255[[#This Row],[CUIT]]="","-",VLOOKUP(ventas_b_mes1255[[#This Row],[CUIT]],Lista_CUIT[#All],2,0)),"CUIT NO CARGADO")</f>
        <v>-</v>
      </c>
      <c r="H1058" s="100">
        <f>ventas_b_mes1255[[#This Row],[TOTAL]]/1.21</f>
        <v>0</v>
      </c>
      <c r="I1058" s="64">
        <f>ventas_b_mes1255[[#This Row],[IMPORTE NETO]]*0.21</f>
        <v>0</v>
      </c>
      <c r="J1058" s="184"/>
      <c r="K1058" s="184"/>
      <c r="L1058" s="184"/>
      <c r="M1058" s="59"/>
    </row>
    <row r="1059" spans="2:13" x14ac:dyDescent="0.3">
      <c r="B1059" s="178"/>
      <c r="C1059" s="41"/>
      <c r="D1059" s="180"/>
      <c r="E1059" s="181"/>
      <c r="F1059" s="182"/>
      <c r="G1059" s="1" t="str">
        <f>IFERROR(IF(ventas_b_mes1255[[#This Row],[CUIT]]="","-",VLOOKUP(ventas_b_mes1255[[#This Row],[CUIT]],Lista_CUIT[#All],2,0)),"CUIT NO CARGADO")</f>
        <v>-</v>
      </c>
      <c r="H1059" s="100">
        <f>ventas_b_mes1255[[#This Row],[TOTAL]]/1.21</f>
        <v>0</v>
      </c>
      <c r="I1059" s="64">
        <f>ventas_b_mes1255[[#This Row],[IMPORTE NETO]]*0.21</f>
        <v>0</v>
      </c>
      <c r="J1059" s="184"/>
      <c r="K1059" s="184"/>
      <c r="L1059" s="184"/>
      <c r="M1059" s="59"/>
    </row>
    <row r="1060" spans="2:13" x14ac:dyDescent="0.3">
      <c r="B1060" s="178"/>
      <c r="C1060" s="41"/>
      <c r="D1060" s="180"/>
      <c r="E1060" s="181"/>
      <c r="F1060" s="182"/>
      <c r="G1060" s="1" t="str">
        <f>IFERROR(IF(ventas_b_mes1255[[#This Row],[CUIT]]="","-",VLOOKUP(ventas_b_mes1255[[#This Row],[CUIT]],Lista_CUIT[#All],2,0)),"CUIT NO CARGADO")</f>
        <v>-</v>
      </c>
      <c r="H1060" s="100">
        <f>ventas_b_mes1255[[#This Row],[TOTAL]]/1.21</f>
        <v>0</v>
      </c>
      <c r="I1060" s="64">
        <f>ventas_b_mes1255[[#This Row],[IMPORTE NETO]]*0.21</f>
        <v>0</v>
      </c>
      <c r="J1060" s="184"/>
      <c r="K1060" s="184"/>
      <c r="L1060" s="184"/>
      <c r="M1060" s="59"/>
    </row>
    <row r="1061" spans="2:13" x14ac:dyDescent="0.3">
      <c r="B1061" s="178"/>
      <c r="C1061" s="41"/>
      <c r="D1061" s="180"/>
      <c r="E1061" s="181"/>
      <c r="F1061" s="182"/>
      <c r="G1061" s="1" t="str">
        <f>IFERROR(IF(ventas_b_mes1255[[#This Row],[CUIT]]="","-",VLOOKUP(ventas_b_mes1255[[#This Row],[CUIT]],Lista_CUIT[#All],2,0)),"CUIT NO CARGADO")</f>
        <v>-</v>
      </c>
      <c r="H1061" s="100">
        <f>ventas_b_mes1255[[#This Row],[TOTAL]]/1.21</f>
        <v>0</v>
      </c>
      <c r="I1061" s="64">
        <f>ventas_b_mes1255[[#This Row],[IMPORTE NETO]]*0.21</f>
        <v>0</v>
      </c>
      <c r="J1061" s="184"/>
      <c r="K1061" s="184"/>
      <c r="L1061" s="184"/>
      <c r="M1061" s="59"/>
    </row>
    <row r="1062" spans="2:13" x14ac:dyDescent="0.3">
      <c r="B1062" s="178"/>
      <c r="C1062" s="41"/>
      <c r="D1062" s="180"/>
      <c r="E1062" s="181"/>
      <c r="F1062" s="182"/>
      <c r="G1062" s="1" t="str">
        <f>IFERROR(IF(ventas_b_mes1255[[#This Row],[CUIT]]="","-",VLOOKUP(ventas_b_mes1255[[#This Row],[CUIT]],Lista_CUIT[#All],2,0)),"CUIT NO CARGADO")</f>
        <v>-</v>
      </c>
      <c r="H1062" s="100">
        <f>ventas_b_mes1255[[#This Row],[TOTAL]]/1.21</f>
        <v>0</v>
      </c>
      <c r="I1062" s="64">
        <f>ventas_b_mes1255[[#This Row],[IMPORTE NETO]]*0.21</f>
        <v>0</v>
      </c>
      <c r="J1062" s="184"/>
      <c r="K1062" s="184"/>
      <c r="L1062" s="184"/>
      <c r="M1062" s="59"/>
    </row>
    <row r="1063" spans="2:13" x14ac:dyDescent="0.3">
      <c r="B1063" s="178"/>
      <c r="C1063" s="41"/>
      <c r="D1063" s="180"/>
      <c r="E1063" s="181"/>
      <c r="F1063" s="182"/>
      <c r="G1063" s="1" t="str">
        <f>IFERROR(IF(ventas_b_mes1255[[#This Row],[CUIT]]="","-",VLOOKUP(ventas_b_mes1255[[#This Row],[CUIT]],Lista_CUIT[#All],2,0)),"CUIT NO CARGADO")</f>
        <v>-</v>
      </c>
      <c r="H1063" s="100">
        <f>ventas_b_mes1255[[#This Row],[TOTAL]]/1.21</f>
        <v>0</v>
      </c>
      <c r="I1063" s="64">
        <f>ventas_b_mes1255[[#This Row],[IMPORTE NETO]]*0.21</f>
        <v>0</v>
      </c>
      <c r="J1063" s="184"/>
      <c r="K1063" s="184"/>
      <c r="L1063" s="184"/>
      <c r="M1063" s="59"/>
    </row>
    <row r="1064" spans="2:13" x14ac:dyDescent="0.3">
      <c r="B1064" s="178"/>
      <c r="C1064" s="41"/>
      <c r="D1064" s="180"/>
      <c r="E1064" s="181"/>
      <c r="F1064" s="182"/>
      <c r="G1064" s="1" t="str">
        <f>IFERROR(IF(ventas_b_mes1255[[#This Row],[CUIT]]="","-",VLOOKUP(ventas_b_mes1255[[#This Row],[CUIT]],Lista_CUIT[#All],2,0)),"CUIT NO CARGADO")</f>
        <v>-</v>
      </c>
      <c r="H1064" s="100">
        <f>ventas_b_mes1255[[#This Row],[TOTAL]]/1.21</f>
        <v>0</v>
      </c>
      <c r="I1064" s="64">
        <f>ventas_b_mes1255[[#This Row],[IMPORTE NETO]]*0.21</f>
        <v>0</v>
      </c>
      <c r="J1064" s="184"/>
      <c r="K1064" s="184"/>
      <c r="L1064" s="184"/>
      <c r="M1064" s="59"/>
    </row>
    <row r="1065" spans="2:13" x14ac:dyDescent="0.3">
      <c r="B1065" s="178"/>
      <c r="C1065" s="41"/>
      <c r="D1065" s="180"/>
      <c r="E1065" s="181"/>
      <c r="F1065" s="182"/>
      <c r="G1065" s="1" t="str">
        <f>IFERROR(IF(ventas_b_mes1255[[#This Row],[CUIT]]="","-",VLOOKUP(ventas_b_mes1255[[#This Row],[CUIT]],Lista_CUIT[#All],2,0)),"CUIT NO CARGADO")</f>
        <v>-</v>
      </c>
      <c r="H1065" s="100">
        <f>ventas_b_mes1255[[#This Row],[TOTAL]]/1.21</f>
        <v>0</v>
      </c>
      <c r="I1065" s="64">
        <f>ventas_b_mes1255[[#This Row],[IMPORTE NETO]]*0.21</f>
        <v>0</v>
      </c>
      <c r="J1065" s="184"/>
      <c r="K1065" s="184"/>
      <c r="L1065" s="184"/>
      <c r="M1065" s="59"/>
    </row>
    <row r="1066" spans="2:13" x14ac:dyDescent="0.3">
      <c r="B1066" s="178"/>
      <c r="C1066" s="41"/>
      <c r="D1066" s="180"/>
      <c r="E1066" s="181"/>
      <c r="F1066" s="182"/>
      <c r="G1066" s="1" t="str">
        <f>IFERROR(IF(ventas_b_mes1255[[#This Row],[CUIT]]="","-",VLOOKUP(ventas_b_mes1255[[#This Row],[CUIT]],Lista_CUIT[#All],2,0)),"CUIT NO CARGADO")</f>
        <v>-</v>
      </c>
      <c r="H1066" s="100">
        <f>ventas_b_mes1255[[#This Row],[TOTAL]]/1.21</f>
        <v>0</v>
      </c>
      <c r="I1066" s="64">
        <f>ventas_b_mes1255[[#This Row],[IMPORTE NETO]]*0.21</f>
        <v>0</v>
      </c>
      <c r="J1066" s="184"/>
      <c r="K1066" s="184"/>
      <c r="L1066" s="184"/>
      <c r="M1066" s="59"/>
    </row>
    <row r="1067" spans="2:13" x14ac:dyDescent="0.3">
      <c r="B1067" s="178"/>
      <c r="C1067" s="41"/>
      <c r="D1067" s="180"/>
      <c r="E1067" s="181"/>
      <c r="F1067" s="182"/>
      <c r="G1067" s="1" t="str">
        <f>IFERROR(IF(ventas_b_mes1255[[#This Row],[CUIT]]="","-",VLOOKUP(ventas_b_mes1255[[#This Row],[CUIT]],Lista_CUIT[#All],2,0)),"CUIT NO CARGADO")</f>
        <v>-</v>
      </c>
      <c r="H1067" s="100">
        <f>ventas_b_mes1255[[#This Row],[TOTAL]]/1.21</f>
        <v>0</v>
      </c>
      <c r="I1067" s="64">
        <f>ventas_b_mes1255[[#This Row],[IMPORTE NETO]]*0.21</f>
        <v>0</v>
      </c>
      <c r="J1067" s="184"/>
      <c r="K1067" s="184"/>
      <c r="L1067" s="184"/>
      <c r="M1067" s="59"/>
    </row>
    <row r="1068" spans="2:13" x14ac:dyDescent="0.3">
      <c r="B1068" s="178"/>
      <c r="C1068" s="41"/>
      <c r="D1068" s="180"/>
      <c r="E1068" s="181"/>
      <c r="F1068" s="182"/>
      <c r="G1068" s="1" t="str">
        <f>IFERROR(IF(ventas_b_mes1255[[#This Row],[CUIT]]="","-",VLOOKUP(ventas_b_mes1255[[#This Row],[CUIT]],Lista_CUIT[#All],2,0)),"CUIT NO CARGADO")</f>
        <v>-</v>
      </c>
      <c r="H1068" s="100">
        <f>ventas_b_mes1255[[#This Row],[TOTAL]]/1.21</f>
        <v>0</v>
      </c>
      <c r="I1068" s="64">
        <f>ventas_b_mes1255[[#This Row],[IMPORTE NETO]]*0.21</f>
        <v>0</v>
      </c>
      <c r="J1068" s="184"/>
      <c r="K1068" s="184"/>
      <c r="L1068" s="184"/>
      <c r="M1068" s="59"/>
    </row>
    <row r="1069" spans="2:13" x14ac:dyDescent="0.3">
      <c r="B1069" s="178"/>
      <c r="C1069" s="41"/>
      <c r="D1069" s="180"/>
      <c r="E1069" s="181"/>
      <c r="F1069" s="182"/>
      <c r="G1069" s="1" t="str">
        <f>IFERROR(IF(ventas_b_mes1255[[#This Row],[CUIT]]="","-",VLOOKUP(ventas_b_mes1255[[#This Row],[CUIT]],Lista_CUIT[#All],2,0)),"CUIT NO CARGADO")</f>
        <v>-</v>
      </c>
      <c r="H1069" s="100">
        <f>ventas_b_mes1255[[#This Row],[TOTAL]]/1.21</f>
        <v>0</v>
      </c>
      <c r="I1069" s="64">
        <f>ventas_b_mes1255[[#This Row],[IMPORTE NETO]]*0.21</f>
        <v>0</v>
      </c>
      <c r="J1069" s="184"/>
      <c r="K1069" s="184"/>
      <c r="L1069" s="184"/>
      <c r="M1069" s="59"/>
    </row>
    <row r="1070" spans="2:13" x14ac:dyDescent="0.3">
      <c r="B1070" s="178"/>
      <c r="C1070" s="41"/>
      <c r="D1070" s="180"/>
      <c r="E1070" s="181"/>
      <c r="F1070" s="182"/>
      <c r="G1070" s="1" t="str">
        <f>IFERROR(IF(ventas_b_mes1255[[#This Row],[CUIT]]="","-",VLOOKUP(ventas_b_mes1255[[#This Row],[CUIT]],Lista_CUIT[#All],2,0)),"CUIT NO CARGADO")</f>
        <v>-</v>
      </c>
      <c r="H1070" s="100">
        <f>ventas_b_mes1255[[#This Row],[TOTAL]]/1.21</f>
        <v>0</v>
      </c>
      <c r="I1070" s="64">
        <f>ventas_b_mes1255[[#This Row],[IMPORTE NETO]]*0.21</f>
        <v>0</v>
      </c>
      <c r="J1070" s="184"/>
      <c r="K1070" s="184"/>
      <c r="L1070" s="184"/>
      <c r="M1070" s="59"/>
    </row>
    <row r="1071" spans="2:13" x14ac:dyDescent="0.3">
      <c r="B1071" s="178"/>
      <c r="C1071" s="41"/>
      <c r="D1071" s="180"/>
      <c r="E1071" s="181"/>
      <c r="F1071" s="182"/>
      <c r="G1071" s="1" t="str">
        <f>IFERROR(IF(ventas_b_mes1255[[#This Row],[CUIT]]="","-",VLOOKUP(ventas_b_mes1255[[#This Row],[CUIT]],Lista_CUIT[#All],2,0)),"CUIT NO CARGADO")</f>
        <v>-</v>
      </c>
      <c r="H1071" s="100">
        <f>ventas_b_mes1255[[#This Row],[TOTAL]]/1.21</f>
        <v>0</v>
      </c>
      <c r="I1071" s="64">
        <f>ventas_b_mes1255[[#This Row],[IMPORTE NETO]]*0.21</f>
        <v>0</v>
      </c>
      <c r="J1071" s="184"/>
      <c r="K1071" s="184"/>
      <c r="L1071" s="184"/>
      <c r="M1071" s="59"/>
    </row>
    <row r="1072" spans="2:13" x14ac:dyDescent="0.3">
      <c r="B1072" s="178"/>
      <c r="C1072" s="41"/>
      <c r="D1072" s="180"/>
      <c r="E1072" s="181"/>
      <c r="F1072" s="182"/>
      <c r="G1072" s="1" t="str">
        <f>IFERROR(IF(ventas_b_mes1255[[#This Row],[CUIT]]="","-",VLOOKUP(ventas_b_mes1255[[#This Row],[CUIT]],Lista_CUIT[#All],2,0)),"CUIT NO CARGADO")</f>
        <v>-</v>
      </c>
      <c r="H1072" s="100">
        <f>ventas_b_mes1255[[#This Row],[TOTAL]]/1.21</f>
        <v>0</v>
      </c>
      <c r="I1072" s="64">
        <f>ventas_b_mes1255[[#This Row],[IMPORTE NETO]]*0.21</f>
        <v>0</v>
      </c>
      <c r="J1072" s="184"/>
      <c r="K1072" s="184"/>
      <c r="L1072" s="184"/>
      <c r="M1072" s="59"/>
    </row>
    <row r="1073" spans="2:13" x14ac:dyDescent="0.3">
      <c r="B1073" s="178"/>
      <c r="C1073" s="41"/>
      <c r="D1073" s="180"/>
      <c r="E1073" s="181"/>
      <c r="F1073" s="182"/>
      <c r="G1073" s="1" t="str">
        <f>IFERROR(IF(ventas_b_mes1255[[#This Row],[CUIT]]="","-",VLOOKUP(ventas_b_mes1255[[#This Row],[CUIT]],Lista_CUIT[#All],2,0)),"CUIT NO CARGADO")</f>
        <v>-</v>
      </c>
      <c r="H1073" s="100">
        <f>ventas_b_mes1255[[#This Row],[TOTAL]]/1.21</f>
        <v>0</v>
      </c>
      <c r="I1073" s="64">
        <f>ventas_b_mes1255[[#This Row],[IMPORTE NETO]]*0.21</f>
        <v>0</v>
      </c>
      <c r="J1073" s="184"/>
      <c r="K1073" s="184"/>
      <c r="L1073" s="184"/>
      <c r="M1073" s="59"/>
    </row>
    <row r="1074" spans="2:13" x14ac:dyDescent="0.3">
      <c r="B1074" s="178"/>
      <c r="C1074" s="41"/>
      <c r="D1074" s="180"/>
      <c r="E1074" s="181"/>
      <c r="F1074" s="182"/>
      <c r="G1074" s="1" t="str">
        <f>IFERROR(IF(ventas_b_mes1255[[#This Row],[CUIT]]="","-",VLOOKUP(ventas_b_mes1255[[#This Row],[CUIT]],Lista_CUIT[#All],2,0)),"CUIT NO CARGADO")</f>
        <v>-</v>
      </c>
      <c r="H1074" s="100">
        <f>ventas_b_mes1255[[#This Row],[TOTAL]]/1.21</f>
        <v>0</v>
      </c>
      <c r="I1074" s="64">
        <f>ventas_b_mes1255[[#This Row],[IMPORTE NETO]]*0.21</f>
        <v>0</v>
      </c>
      <c r="J1074" s="184"/>
      <c r="K1074" s="184"/>
      <c r="L1074" s="184"/>
      <c r="M1074" s="59"/>
    </row>
    <row r="1075" spans="2:13" x14ac:dyDescent="0.3">
      <c r="B1075" s="178"/>
      <c r="C1075" s="41"/>
      <c r="D1075" s="180"/>
      <c r="E1075" s="181"/>
      <c r="F1075" s="182"/>
      <c r="G1075" s="1" t="str">
        <f>IFERROR(IF(ventas_b_mes1255[[#This Row],[CUIT]]="","-",VLOOKUP(ventas_b_mes1255[[#This Row],[CUIT]],Lista_CUIT[#All],2,0)),"CUIT NO CARGADO")</f>
        <v>-</v>
      </c>
      <c r="H1075" s="100">
        <f>ventas_b_mes1255[[#This Row],[TOTAL]]/1.21</f>
        <v>0</v>
      </c>
      <c r="I1075" s="64">
        <f>ventas_b_mes1255[[#This Row],[IMPORTE NETO]]*0.21</f>
        <v>0</v>
      </c>
      <c r="J1075" s="184"/>
      <c r="K1075" s="184"/>
      <c r="L1075" s="184"/>
      <c r="M1075" s="59"/>
    </row>
    <row r="1076" spans="2:13" x14ac:dyDescent="0.3">
      <c r="B1076" s="178"/>
      <c r="C1076" s="41"/>
      <c r="D1076" s="180"/>
      <c r="E1076" s="181"/>
      <c r="F1076" s="182"/>
      <c r="G1076" s="1" t="str">
        <f>IFERROR(IF(ventas_b_mes1255[[#This Row],[CUIT]]="","-",VLOOKUP(ventas_b_mes1255[[#This Row],[CUIT]],Lista_CUIT[#All],2,0)),"CUIT NO CARGADO")</f>
        <v>-</v>
      </c>
      <c r="H1076" s="100">
        <f>ventas_b_mes1255[[#This Row],[TOTAL]]/1.21</f>
        <v>0</v>
      </c>
      <c r="I1076" s="64">
        <f>ventas_b_mes1255[[#This Row],[IMPORTE NETO]]*0.21</f>
        <v>0</v>
      </c>
      <c r="J1076" s="184"/>
      <c r="K1076" s="184"/>
      <c r="L1076" s="184"/>
      <c r="M1076" s="59"/>
    </row>
    <row r="1077" spans="2:13" x14ac:dyDescent="0.3">
      <c r="B1077" s="178"/>
      <c r="C1077" s="41"/>
      <c r="D1077" s="180"/>
      <c r="E1077" s="181"/>
      <c r="F1077" s="182"/>
      <c r="G1077" s="1" t="str">
        <f>IFERROR(IF(ventas_b_mes1255[[#This Row],[CUIT]]="","-",VLOOKUP(ventas_b_mes1255[[#This Row],[CUIT]],Lista_CUIT[#All],2,0)),"CUIT NO CARGADO")</f>
        <v>-</v>
      </c>
      <c r="H1077" s="100">
        <f>ventas_b_mes1255[[#This Row],[TOTAL]]/1.21</f>
        <v>0</v>
      </c>
      <c r="I1077" s="64">
        <f>ventas_b_mes1255[[#This Row],[IMPORTE NETO]]*0.21</f>
        <v>0</v>
      </c>
      <c r="J1077" s="184"/>
      <c r="K1077" s="184"/>
      <c r="L1077" s="184"/>
      <c r="M1077" s="59"/>
    </row>
    <row r="1078" spans="2:13" x14ac:dyDescent="0.3">
      <c r="B1078" s="178"/>
      <c r="C1078" s="41"/>
      <c r="D1078" s="180"/>
      <c r="E1078" s="181"/>
      <c r="F1078" s="182"/>
      <c r="G1078" s="1" t="str">
        <f>IFERROR(IF(ventas_b_mes1255[[#This Row],[CUIT]]="","-",VLOOKUP(ventas_b_mes1255[[#This Row],[CUIT]],Lista_CUIT[#All],2,0)),"CUIT NO CARGADO")</f>
        <v>-</v>
      </c>
      <c r="H1078" s="100">
        <f>ventas_b_mes1255[[#This Row],[TOTAL]]/1.21</f>
        <v>0</v>
      </c>
      <c r="I1078" s="64">
        <f>ventas_b_mes1255[[#This Row],[IMPORTE NETO]]*0.21</f>
        <v>0</v>
      </c>
      <c r="J1078" s="184"/>
      <c r="K1078" s="184"/>
      <c r="L1078" s="184"/>
      <c r="M1078" s="59"/>
    </row>
    <row r="1079" spans="2:13" x14ac:dyDescent="0.3">
      <c r="B1079" s="178"/>
      <c r="C1079" s="41"/>
      <c r="D1079" s="180"/>
      <c r="E1079" s="181"/>
      <c r="F1079" s="182"/>
      <c r="G1079" s="1" t="str">
        <f>IFERROR(IF(ventas_b_mes1255[[#This Row],[CUIT]]="","-",VLOOKUP(ventas_b_mes1255[[#This Row],[CUIT]],Lista_CUIT[#All],2,0)),"CUIT NO CARGADO")</f>
        <v>-</v>
      </c>
      <c r="H1079" s="100">
        <f>ventas_b_mes1255[[#This Row],[TOTAL]]/1.21</f>
        <v>0</v>
      </c>
      <c r="I1079" s="64">
        <f>ventas_b_mes1255[[#This Row],[IMPORTE NETO]]*0.21</f>
        <v>0</v>
      </c>
      <c r="J1079" s="184"/>
      <c r="K1079" s="184"/>
      <c r="L1079" s="184"/>
      <c r="M1079" s="59"/>
    </row>
    <row r="1080" spans="2:13" x14ac:dyDescent="0.3">
      <c r="B1080" s="178"/>
      <c r="C1080" s="41"/>
      <c r="D1080" s="180"/>
      <c r="E1080" s="181"/>
      <c r="F1080" s="182"/>
      <c r="G1080" s="1" t="str">
        <f>IFERROR(IF(ventas_b_mes1255[[#This Row],[CUIT]]="","-",VLOOKUP(ventas_b_mes1255[[#This Row],[CUIT]],Lista_CUIT[#All],2,0)),"CUIT NO CARGADO")</f>
        <v>-</v>
      </c>
      <c r="H1080" s="100">
        <f>ventas_b_mes1255[[#This Row],[TOTAL]]/1.21</f>
        <v>0</v>
      </c>
      <c r="I1080" s="64">
        <f>ventas_b_mes1255[[#This Row],[IMPORTE NETO]]*0.21</f>
        <v>0</v>
      </c>
      <c r="J1080" s="184"/>
      <c r="K1080" s="184"/>
      <c r="L1080" s="184"/>
      <c r="M1080" s="59"/>
    </row>
    <row r="1081" spans="2:13" x14ac:dyDescent="0.3">
      <c r="B1081" s="178"/>
      <c r="C1081" s="41"/>
      <c r="D1081" s="180"/>
      <c r="E1081" s="181"/>
      <c r="F1081" s="182"/>
      <c r="G1081" s="1" t="str">
        <f>IFERROR(IF(ventas_b_mes1255[[#This Row],[CUIT]]="","-",VLOOKUP(ventas_b_mes1255[[#This Row],[CUIT]],Lista_CUIT[#All],2,0)),"CUIT NO CARGADO")</f>
        <v>-</v>
      </c>
      <c r="H1081" s="100">
        <f>ventas_b_mes1255[[#This Row],[TOTAL]]/1.21</f>
        <v>0</v>
      </c>
      <c r="I1081" s="64">
        <f>ventas_b_mes1255[[#This Row],[IMPORTE NETO]]*0.21</f>
        <v>0</v>
      </c>
      <c r="J1081" s="184"/>
      <c r="K1081" s="184"/>
      <c r="L1081" s="184"/>
      <c r="M1081" s="59"/>
    </row>
    <row r="1082" spans="2:13" x14ac:dyDescent="0.3">
      <c r="B1082" s="178"/>
      <c r="C1082" s="41"/>
      <c r="D1082" s="180"/>
      <c r="E1082" s="181"/>
      <c r="F1082" s="182"/>
      <c r="G1082" s="1" t="str">
        <f>IFERROR(IF(ventas_b_mes1255[[#This Row],[CUIT]]="","-",VLOOKUP(ventas_b_mes1255[[#This Row],[CUIT]],Lista_CUIT[#All],2,0)),"CUIT NO CARGADO")</f>
        <v>-</v>
      </c>
      <c r="H1082" s="100">
        <f>ventas_b_mes1255[[#This Row],[TOTAL]]/1.21</f>
        <v>0</v>
      </c>
      <c r="I1082" s="64">
        <f>ventas_b_mes1255[[#This Row],[IMPORTE NETO]]*0.21</f>
        <v>0</v>
      </c>
      <c r="J1082" s="184"/>
      <c r="K1082" s="184"/>
      <c r="L1082" s="184"/>
      <c r="M1082" s="59"/>
    </row>
    <row r="1083" spans="2:13" x14ac:dyDescent="0.3">
      <c r="B1083" s="178"/>
      <c r="C1083" s="41"/>
      <c r="D1083" s="180"/>
      <c r="E1083" s="181"/>
      <c r="F1083" s="182"/>
      <c r="G1083" s="1" t="str">
        <f>IFERROR(IF(ventas_b_mes1255[[#This Row],[CUIT]]="","-",VLOOKUP(ventas_b_mes1255[[#This Row],[CUIT]],Lista_CUIT[#All],2,0)),"CUIT NO CARGADO")</f>
        <v>-</v>
      </c>
      <c r="H1083" s="100">
        <f>ventas_b_mes1255[[#This Row],[TOTAL]]/1.21</f>
        <v>0</v>
      </c>
      <c r="I1083" s="64">
        <f>ventas_b_mes1255[[#This Row],[IMPORTE NETO]]*0.21</f>
        <v>0</v>
      </c>
      <c r="J1083" s="184"/>
      <c r="K1083" s="184"/>
      <c r="L1083" s="184"/>
      <c r="M1083" s="59"/>
    </row>
    <row r="1084" spans="2:13" x14ac:dyDescent="0.3">
      <c r="B1084" s="178"/>
      <c r="C1084" s="41"/>
      <c r="D1084" s="180"/>
      <c r="E1084" s="181"/>
      <c r="F1084" s="182"/>
      <c r="G1084" s="1" t="str">
        <f>IFERROR(IF(ventas_b_mes1255[[#This Row],[CUIT]]="","-",VLOOKUP(ventas_b_mes1255[[#This Row],[CUIT]],Lista_CUIT[#All],2,0)),"CUIT NO CARGADO")</f>
        <v>-</v>
      </c>
      <c r="H1084" s="100">
        <f>ventas_b_mes1255[[#This Row],[TOTAL]]/1.21</f>
        <v>0</v>
      </c>
      <c r="I1084" s="64">
        <f>ventas_b_mes1255[[#This Row],[IMPORTE NETO]]*0.21</f>
        <v>0</v>
      </c>
      <c r="J1084" s="184"/>
      <c r="K1084" s="184"/>
      <c r="L1084" s="184"/>
      <c r="M1084" s="59"/>
    </row>
    <row r="1085" spans="2:13" x14ac:dyDescent="0.3">
      <c r="B1085" s="178"/>
      <c r="C1085" s="41"/>
      <c r="D1085" s="180"/>
      <c r="E1085" s="181"/>
      <c r="F1085" s="182"/>
      <c r="G1085" s="1" t="str">
        <f>IFERROR(IF(ventas_b_mes1255[[#This Row],[CUIT]]="","-",VLOOKUP(ventas_b_mes1255[[#This Row],[CUIT]],Lista_CUIT[#All],2,0)),"CUIT NO CARGADO")</f>
        <v>-</v>
      </c>
      <c r="H1085" s="100">
        <f>ventas_b_mes1255[[#This Row],[TOTAL]]/1.21</f>
        <v>0</v>
      </c>
      <c r="I1085" s="64">
        <f>ventas_b_mes1255[[#This Row],[IMPORTE NETO]]*0.21</f>
        <v>0</v>
      </c>
      <c r="J1085" s="184"/>
      <c r="K1085" s="184"/>
      <c r="L1085" s="184"/>
      <c r="M1085" s="59"/>
    </row>
    <row r="1086" spans="2:13" x14ac:dyDescent="0.3">
      <c r="B1086" s="178"/>
      <c r="C1086" s="41"/>
      <c r="D1086" s="180"/>
      <c r="E1086" s="181"/>
      <c r="F1086" s="182"/>
      <c r="G1086" s="1" t="str">
        <f>IFERROR(IF(ventas_b_mes1255[[#This Row],[CUIT]]="","-",VLOOKUP(ventas_b_mes1255[[#This Row],[CUIT]],Lista_CUIT[#All],2,0)),"CUIT NO CARGADO")</f>
        <v>-</v>
      </c>
      <c r="H1086" s="100">
        <f>ventas_b_mes1255[[#This Row],[TOTAL]]/1.21</f>
        <v>0</v>
      </c>
      <c r="I1086" s="64">
        <f>ventas_b_mes1255[[#This Row],[IMPORTE NETO]]*0.21</f>
        <v>0</v>
      </c>
      <c r="J1086" s="184"/>
      <c r="K1086" s="184"/>
      <c r="L1086" s="184"/>
      <c r="M1086" s="59"/>
    </row>
    <row r="1087" spans="2:13" x14ac:dyDescent="0.3">
      <c r="B1087" s="178"/>
      <c r="C1087" s="41"/>
      <c r="D1087" s="180"/>
      <c r="E1087" s="181"/>
      <c r="F1087" s="182"/>
      <c r="G1087" s="1" t="str">
        <f>IFERROR(IF(ventas_b_mes1255[[#This Row],[CUIT]]="","-",VLOOKUP(ventas_b_mes1255[[#This Row],[CUIT]],Lista_CUIT[#All],2,0)),"CUIT NO CARGADO")</f>
        <v>-</v>
      </c>
      <c r="H1087" s="100">
        <f>ventas_b_mes1255[[#This Row],[TOTAL]]/1.21</f>
        <v>0</v>
      </c>
      <c r="I1087" s="64">
        <f>ventas_b_mes1255[[#This Row],[IMPORTE NETO]]*0.21</f>
        <v>0</v>
      </c>
      <c r="J1087" s="184"/>
      <c r="K1087" s="184"/>
      <c r="L1087" s="184"/>
      <c r="M1087" s="59"/>
    </row>
    <row r="1088" spans="2:13" x14ac:dyDescent="0.3">
      <c r="B1088" s="178"/>
      <c r="C1088" s="41"/>
      <c r="D1088" s="180"/>
      <c r="E1088" s="181"/>
      <c r="F1088" s="182"/>
      <c r="G1088" s="1" t="str">
        <f>IFERROR(IF(ventas_b_mes1255[[#This Row],[CUIT]]="","-",VLOOKUP(ventas_b_mes1255[[#This Row],[CUIT]],Lista_CUIT[#All],2,0)),"CUIT NO CARGADO")</f>
        <v>-</v>
      </c>
      <c r="H1088" s="100">
        <f>ventas_b_mes1255[[#This Row],[TOTAL]]/1.21</f>
        <v>0</v>
      </c>
      <c r="I1088" s="64">
        <f>ventas_b_mes1255[[#This Row],[IMPORTE NETO]]*0.21</f>
        <v>0</v>
      </c>
      <c r="J1088" s="184"/>
      <c r="K1088" s="184"/>
      <c r="L1088" s="184"/>
      <c r="M1088" s="59"/>
    </row>
    <row r="1089" spans="2:13" x14ac:dyDescent="0.3">
      <c r="B1089" s="178"/>
      <c r="C1089" s="41"/>
      <c r="D1089" s="180"/>
      <c r="E1089" s="181"/>
      <c r="F1089" s="182"/>
      <c r="G1089" s="1" t="str">
        <f>IFERROR(IF(ventas_b_mes1255[[#This Row],[CUIT]]="","-",VLOOKUP(ventas_b_mes1255[[#This Row],[CUIT]],Lista_CUIT[#All],2,0)),"CUIT NO CARGADO")</f>
        <v>-</v>
      </c>
      <c r="H1089" s="100">
        <f>ventas_b_mes1255[[#This Row],[TOTAL]]/1.21</f>
        <v>0</v>
      </c>
      <c r="I1089" s="64">
        <f>ventas_b_mes1255[[#This Row],[IMPORTE NETO]]*0.21</f>
        <v>0</v>
      </c>
      <c r="J1089" s="184"/>
      <c r="K1089" s="184"/>
      <c r="L1089" s="184"/>
      <c r="M1089" s="59"/>
    </row>
    <row r="1090" spans="2:13" x14ac:dyDescent="0.3">
      <c r="B1090" s="178"/>
      <c r="C1090" s="41"/>
      <c r="D1090" s="180"/>
      <c r="E1090" s="181"/>
      <c r="F1090" s="182"/>
      <c r="G1090" s="1" t="str">
        <f>IFERROR(IF(ventas_b_mes1255[[#This Row],[CUIT]]="","-",VLOOKUP(ventas_b_mes1255[[#This Row],[CUIT]],Lista_CUIT[#All],2,0)),"CUIT NO CARGADO")</f>
        <v>-</v>
      </c>
      <c r="H1090" s="100">
        <f>ventas_b_mes1255[[#This Row],[TOTAL]]/1.21</f>
        <v>0</v>
      </c>
      <c r="I1090" s="64">
        <f>ventas_b_mes1255[[#This Row],[IMPORTE NETO]]*0.21</f>
        <v>0</v>
      </c>
      <c r="J1090" s="184"/>
      <c r="K1090" s="184"/>
      <c r="L1090" s="184"/>
      <c r="M1090" s="59"/>
    </row>
    <row r="1091" spans="2:13" x14ac:dyDescent="0.3">
      <c r="B1091" s="178"/>
      <c r="C1091" s="41"/>
      <c r="D1091" s="180"/>
      <c r="E1091" s="181"/>
      <c r="F1091" s="182"/>
      <c r="G1091" s="1" t="str">
        <f>IFERROR(IF(ventas_b_mes1255[[#This Row],[CUIT]]="","-",VLOOKUP(ventas_b_mes1255[[#This Row],[CUIT]],Lista_CUIT[#All],2,0)),"CUIT NO CARGADO")</f>
        <v>-</v>
      </c>
      <c r="H1091" s="100">
        <f>ventas_b_mes1255[[#This Row],[TOTAL]]/1.21</f>
        <v>0</v>
      </c>
      <c r="I1091" s="64">
        <f>ventas_b_mes1255[[#This Row],[IMPORTE NETO]]*0.21</f>
        <v>0</v>
      </c>
      <c r="J1091" s="184"/>
      <c r="K1091" s="184"/>
      <c r="L1091" s="184"/>
      <c r="M1091" s="59"/>
    </row>
    <row r="1092" spans="2:13" x14ac:dyDescent="0.3">
      <c r="B1092" s="178"/>
      <c r="C1092" s="41"/>
      <c r="D1092" s="180"/>
      <c r="E1092" s="181"/>
      <c r="F1092" s="182"/>
      <c r="G1092" s="1" t="str">
        <f>IFERROR(IF(ventas_b_mes1255[[#This Row],[CUIT]]="","-",VLOOKUP(ventas_b_mes1255[[#This Row],[CUIT]],Lista_CUIT[#All],2,0)),"CUIT NO CARGADO")</f>
        <v>-</v>
      </c>
      <c r="H1092" s="100">
        <f>ventas_b_mes1255[[#This Row],[TOTAL]]/1.21</f>
        <v>0</v>
      </c>
      <c r="I1092" s="64">
        <f>ventas_b_mes1255[[#This Row],[IMPORTE NETO]]*0.21</f>
        <v>0</v>
      </c>
      <c r="J1092" s="184"/>
      <c r="K1092" s="184"/>
      <c r="L1092" s="184"/>
      <c r="M1092" s="59"/>
    </row>
    <row r="1093" spans="2:13" x14ac:dyDescent="0.3">
      <c r="B1093" s="178"/>
      <c r="C1093" s="41"/>
      <c r="D1093" s="180"/>
      <c r="E1093" s="181"/>
      <c r="F1093" s="182"/>
      <c r="G1093" s="1" t="str">
        <f>IFERROR(IF(ventas_b_mes1255[[#This Row],[CUIT]]="","-",VLOOKUP(ventas_b_mes1255[[#This Row],[CUIT]],Lista_CUIT[#All],2,0)),"CUIT NO CARGADO")</f>
        <v>-</v>
      </c>
      <c r="H1093" s="100">
        <f>ventas_b_mes1255[[#This Row],[TOTAL]]/1.21</f>
        <v>0</v>
      </c>
      <c r="I1093" s="64">
        <f>ventas_b_mes1255[[#This Row],[IMPORTE NETO]]*0.21</f>
        <v>0</v>
      </c>
      <c r="J1093" s="184"/>
      <c r="K1093" s="184"/>
      <c r="L1093" s="184"/>
      <c r="M1093" s="59"/>
    </row>
    <row r="1094" spans="2:13" x14ac:dyDescent="0.3">
      <c r="B1094" s="178"/>
      <c r="C1094" s="41"/>
      <c r="D1094" s="180"/>
      <c r="E1094" s="181"/>
      <c r="F1094" s="182"/>
      <c r="G1094" s="1" t="str">
        <f>IFERROR(IF(ventas_b_mes1255[[#This Row],[CUIT]]="","-",VLOOKUP(ventas_b_mes1255[[#This Row],[CUIT]],Lista_CUIT[#All],2,0)),"CUIT NO CARGADO")</f>
        <v>-</v>
      </c>
      <c r="H1094" s="100">
        <f>ventas_b_mes1255[[#This Row],[TOTAL]]/1.21</f>
        <v>0</v>
      </c>
      <c r="I1094" s="64">
        <f>ventas_b_mes1255[[#This Row],[IMPORTE NETO]]*0.21</f>
        <v>0</v>
      </c>
      <c r="J1094" s="184"/>
      <c r="K1094" s="184"/>
      <c r="L1094" s="184"/>
      <c r="M1094" s="59"/>
    </row>
    <row r="1095" spans="2:13" x14ac:dyDescent="0.3">
      <c r="B1095" s="178"/>
      <c r="C1095" s="41"/>
      <c r="D1095" s="180"/>
      <c r="E1095" s="181"/>
      <c r="F1095" s="182"/>
      <c r="G1095" s="1" t="str">
        <f>IFERROR(IF(ventas_b_mes1255[[#This Row],[CUIT]]="","-",VLOOKUP(ventas_b_mes1255[[#This Row],[CUIT]],Lista_CUIT[#All],2,0)),"CUIT NO CARGADO")</f>
        <v>-</v>
      </c>
      <c r="H1095" s="100">
        <f>ventas_b_mes1255[[#This Row],[TOTAL]]/1.21</f>
        <v>0</v>
      </c>
      <c r="I1095" s="64">
        <f>ventas_b_mes1255[[#This Row],[IMPORTE NETO]]*0.21</f>
        <v>0</v>
      </c>
      <c r="J1095" s="184"/>
      <c r="K1095" s="184"/>
      <c r="L1095" s="184"/>
      <c r="M1095" s="59"/>
    </row>
    <row r="1096" spans="2:13" x14ac:dyDescent="0.3">
      <c r="B1096" s="178"/>
      <c r="C1096" s="41"/>
      <c r="D1096" s="180"/>
      <c r="E1096" s="181"/>
      <c r="F1096" s="182"/>
      <c r="G1096" s="1" t="str">
        <f>IFERROR(IF(ventas_b_mes1255[[#This Row],[CUIT]]="","-",VLOOKUP(ventas_b_mes1255[[#This Row],[CUIT]],Lista_CUIT[#All],2,0)),"CUIT NO CARGADO")</f>
        <v>-</v>
      </c>
      <c r="H1096" s="100">
        <f>ventas_b_mes1255[[#This Row],[TOTAL]]/1.21</f>
        <v>0</v>
      </c>
      <c r="I1096" s="64">
        <f>ventas_b_mes1255[[#This Row],[IMPORTE NETO]]*0.21</f>
        <v>0</v>
      </c>
      <c r="J1096" s="184"/>
      <c r="K1096" s="184"/>
      <c r="L1096" s="184"/>
      <c r="M1096" s="59"/>
    </row>
    <row r="1097" spans="2:13" x14ac:dyDescent="0.3">
      <c r="B1097" s="178"/>
      <c r="C1097" s="41"/>
      <c r="D1097" s="180"/>
      <c r="E1097" s="181"/>
      <c r="F1097" s="182"/>
      <c r="G1097" s="1" t="str">
        <f>IFERROR(IF(ventas_b_mes1255[[#This Row],[CUIT]]="","-",VLOOKUP(ventas_b_mes1255[[#This Row],[CUIT]],Lista_CUIT[#All],2,0)),"CUIT NO CARGADO")</f>
        <v>-</v>
      </c>
      <c r="H1097" s="100">
        <f>ventas_b_mes1255[[#This Row],[TOTAL]]/1.21</f>
        <v>0</v>
      </c>
      <c r="I1097" s="64">
        <f>ventas_b_mes1255[[#This Row],[IMPORTE NETO]]*0.21</f>
        <v>0</v>
      </c>
      <c r="J1097" s="184"/>
      <c r="K1097" s="184"/>
      <c r="L1097" s="184"/>
      <c r="M1097" s="59"/>
    </row>
    <row r="1098" spans="2:13" x14ac:dyDescent="0.3">
      <c r="B1098" s="178"/>
      <c r="C1098" s="41"/>
      <c r="D1098" s="180"/>
      <c r="E1098" s="181"/>
      <c r="F1098" s="182"/>
      <c r="G1098" s="1" t="str">
        <f>IFERROR(IF(ventas_b_mes1255[[#This Row],[CUIT]]="","-",VLOOKUP(ventas_b_mes1255[[#This Row],[CUIT]],Lista_CUIT[#All],2,0)),"CUIT NO CARGADO")</f>
        <v>-</v>
      </c>
      <c r="H1098" s="100">
        <f>ventas_b_mes1255[[#This Row],[TOTAL]]/1.21</f>
        <v>0</v>
      </c>
      <c r="I1098" s="64">
        <f>ventas_b_mes1255[[#This Row],[IMPORTE NETO]]*0.21</f>
        <v>0</v>
      </c>
      <c r="J1098" s="184"/>
      <c r="K1098" s="184"/>
      <c r="L1098" s="184"/>
      <c r="M1098" s="59"/>
    </row>
    <row r="1099" spans="2:13" x14ac:dyDescent="0.3">
      <c r="B1099" s="178"/>
      <c r="C1099" s="41"/>
      <c r="D1099" s="180"/>
      <c r="E1099" s="181"/>
      <c r="F1099" s="182"/>
      <c r="G1099" s="1" t="str">
        <f>IFERROR(IF(ventas_b_mes1255[[#This Row],[CUIT]]="","-",VLOOKUP(ventas_b_mes1255[[#This Row],[CUIT]],Lista_CUIT[#All],2,0)),"CUIT NO CARGADO")</f>
        <v>-</v>
      </c>
      <c r="H1099" s="100">
        <f>ventas_b_mes1255[[#This Row],[TOTAL]]/1.21</f>
        <v>0</v>
      </c>
      <c r="I1099" s="64">
        <f>ventas_b_mes1255[[#This Row],[IMPORTE NETO]]*0.21</f>
        <v>0</v>
      </c>
      <c r="J1099" s="184"/>
      <c r="K1099" s="184"/>
      <c r="L1099" s="184"/>
      <c r="M1099" s="59"/>
    </row>
    <row r="1100" spans="2:13" x14ac:dyDescent="0.3">
      <c r="B1100" s="178"/>
      <c r="C1100" s="41"/>
      <c r="D1100" s="180"/>
      <c r="E1100" s="181"/>
      <c r="F1100" s="182"/>
      <c r="G1100" s="1" t="str">
        <f>IFERROR(IF(ventas_b_mes1255[[#This Row],[CUIT]]="","-",VLOOKUP(ventas_b_mes1255[[#This Row],[CUIT]],Lista_CUIT[#All],2,0)),"CUIT NO CARGADO")</f>
        <v>-</v>
      </c>
      <c r="H1100" s="100">
        <f>ventas_b_mes1255[[#This Row],[TOTAL]]/1.21</f>
        <v>0</v>
      </c>
      <c r="I1100" s="64">
        <f>ventas_b_mes1255[[#This Row],[IMPORTE NETO]]*0.21</f>
        <v>0</v>
      </c>
      <c r="J1100" s="184"/>
      <c r="K1100" s="184"/>
      <c r="L1100" s="184"/>
      <c r="M1100" s="59"/>
    </row>
    <row r="1101" spans="2:13" x14ac:dyDescent="0.3">
      <c r="B1101" s="178"/>
      <c r="C1101" s="41"/>
      <c r="D1101" s="180"/>
      <c r="E1101" s="181"/>
      <c r="F1101" s="182"/>
      <c r="G1101" s="1" t="str">
        <f>IFERROR(IF(ventas_b_mes1255[[#This Row],[CUIT]]="","-",VLOOKUP(ventas_b_mes1255[[#This Row],[CUIT]],Lista_CUIT[#All],2,0)),"CUIT NO CARGADO")</f>
        <v>-</v>
      </c>
      <c r="H1101" s="100">
        <f>ventas_b_mes1255[[#This Row],[TOTAL]]/1.21</f>
        <v>0</v>
      </c>
      <c r="I1101" s="64">
        <f>ventas_b_mes1255[[#This Row],[IMPORTE NETO]]*0.21</f>
        <v>0</v>
      </c>
      <c r="J1101" s="184"/>
      <c r="K1101" s="184"/>
      <c r="L1101" s="184"/>
      <c r="M1101" s="59"/>
    </row>
    <row r="1102" spans="2:13" x14ac:dyDescent="0.3">
      <c r="B1102" s="178"/>
      <c r="C1102" s="41"/>
      <c r="D1102" s="180"/>
      <c r="E1102" s="181"/>
      <c r="F1102" s="182"/>
      <c r="G1102" s="1" t="str">
        <f>IFERROR(IF(ventas_b_mes1255[[#This Row],[CUIT]]="","-",VLOOKUP(ventas_b_mes1255[[#This Row],[CUIT]],Lista_CUIT[#All],2,0)),"CUIT NO CARGADO")</f>
        <v>-</v>
      </c>
      <c r="H1102" s="100">
        <f>ventas_b_mes1255[[#This Row],[TOTAL]]/1.21</f>
        <v>0</v>
      </c>
      <c r="I1102" s="64">
        <f>ventas_b_mes1255[[#This Row],[IMPORTE NETO]]*0.21</f>
        <v>0</v>
      </c>
      <c r="J1102" s="184"/>
      <c r="K1102" s="184"/>
      <c r="L1102" s="184"/>
      <c r="M1102" s="59"/>
    </row>
    <row r="1103" spans="2:13" x14ac:dyDescent="0.3">
      <c r="B1103" s="178"/>
      <c r="C1103" s="41"/>
      <c r="D1103" s="180"/>
      <c r="E1103" s="181"/>
      <c r="F1103" s="182"/>
      <c r="G1103" s="1" t="str">
        <f>IFERROR(IF(ventas_b_mes1255[[#This Row],[CUIT]]="","-",VLOOKUP(ventas_b_mes1255[[#This Row],[CUIT]],Lista_CUIT[#All],2,0)),"CUIT NO CARGADO")</f>
        <v>-</v>
      </c>
      <c r="H1103" s="100">
        <f>ventas_b_mes1255[[#This Row],[TOTAL]]/1.21</f>
        <v>0</v>
      </c>
      <c r="I1103" s="64">
        <f>ventas_b_mes1255[[#This Row],[IMPORTE NETO]]*0.21</f>
        <v>0</v>
      </c>
      <c r="J1103" s="184"/>
      <c r="K1103" s="184"/>
      <c r="L1103" s="184"/>
      <c r="M1103" s="59"/>
    </row>
    <row r="1104" spans="2:13" x14ac:dyDescent="0.3">
      <c r="B1104" s="178"/>
      <c r="C1104" s="41"/>
      <c r="D1104" s="180"/>
      <c r="E1104" s="181"/>
      <c r="F1104" s="182"/>
      <c r="G1104" s="1" t="str">
        <f>IFERROR(IF(ventas_b_mes1255[[#This Row],[CUIT]]="","-",VLOOKUP(ventas_b_mes1255[[#This Row],[CUIT]],Lista_CUIT[#All],2,0)),"CUIT NO CARGADO")</f>
        <v>-</v>
      </c>
      <c r="H1104" s="100">
        <f>ventas_b_mes1255[[#This Row],[TOTAL]]/1.21</f>
        <v>0</v>
      </c>
      <c r="I1104" s="64">
        <f>ventas_b_mes1255[[#This Row],[IMPORTE NETO]]*0.21</f>
        <v>0</v>
      </c>
      <c r="J1104" s="184"/>
      <c r="K1104" s="184"/>
      <c r="L1104" s="184"/>
      <c r="M1104" s="59"/>
    </row>
    <row r="1105" spans="2:13" x14ac:dyDescent="0.3">
      <c r="B1105" s="178"/>
      <c r="C1105" s="41"/>
      <c r="D1105" s="180"/>
      <c r="E1105" s="181"/>
      <c r="F1105" s="182"/>
      <c r="G1105" s="1" t="str">
        <f>IFERROR(IF(ventas_b_mes1255[[#This Row],[CUIT]]="","-",VLOOKUP(ventas_b_mes1255[[#This Row],[CUIT]],Lista_CUIT[#All],2,0)),"CUIT NO CARGADO")</f>
        <v>-</v>
      </c>
      <c r="H1105" s="100">
        <f>ventas_b_mes1255[[#This Row],[TOTAL]]/1.21</f>
        <v>0</v>
      </c>
      <c r="I1105" s="64">
        <f>ventas_b_mes1255[[#This Row],[IMPORTE NETO]]*0.21</f>
        <v>0</v>
      </c>
      <c r="J1105" s="184"/>
      <c r="K1105" s="184"/>
      <c r="L1105" s="184"/>
      <c r="M1105" s="59"/>
    </row>
    <row r="1106" spans="2:13" x14ac:dyDescent="0.3">
      <c r="B1106" s="178"/>
      <c r="C1106" s="41"/>
      <c r="D1106" s="180"/>
      <c r="E1106" s="181"/>
      <c r="F1106" s="182"/>
      <c r="G1106" s="1" t="str">
        <f>IFERROR(IF(ventas_b_mes1255[[#This Row],[CUIT]]="","-",VLOOKUP(ventas_b_mes1255[[#This Row],[CUIT]],Lista_CUIT[#All],2,0)),"CUIT NO CARGADO")</f>
        <v>-</v>
      </c>
      <c r="H1106" s="100">
        <f>ventas_b_mes1255[[#This Row],[TOTAL]]/1.21</f>
        <v>0</v>
      </c>
      <c r="I1106" s="64">
        <f>ventas_b_mes1255[[#This Row],[IMPORTE NETO]]*0.21</f>
        <v>0</v>
      </c>
      <c r="J1106" s="184"/>
      <c r="K1106" s="184"/>
      <c r="L1106" s="184"/>
      <c r="M1106" s="59"/>
    </row>
    <row r="1107" spans="2:13" x14ac:dyDescent="0.3">
      <c r="B1107" s="178"/>
      <c r="C1107" s="41"/>
      <c r="D1107" s="180"/>
      <c r="E1107" s="181"/>
      <c r="F1107" s="182"/>
      <c r="G1107" s="1" t="str">
        <f>IFERROR(IF(ventas_b_mes1255[[#This Row],[CUIT]]="","-",VLOOKUP(ventas_b_mes1255[[#This Row],[CUIT]],Lista_CUIT[#All],2,0)),"CUIT NO CARGADO")</f>
        <v>-</v>
      </c>
      <c r="H1107" s="100">
        <f>ventas_b_mes1255[[#This Row],[TOTAL]]/1.21</f>
        <v>0</v>
      </c>
      <c r="I1107" s="64">
        <f>ventas_b_mes1255[[#This Row],[IMPORTE NETO]]*0.21</f>
        <v>0</v>
      </c>
      <c r="J1107" s="184"/>
      <c r="K1107" s="184"/>
      <c r="L1107" s="184"/>
      <c r="M1107" s="59"/>
    </row>
    <row r="1108" spans="2:13" x14ac:dyDescent="0.3">
      <c r="B1108" s="178"/>
      <c r="C1108" s="41"/>
      <c r="D1108" s="180"/>
      <c r="E1108" s="181"/>
      <c r="F1108" s="182"/>
      <c r="G1108" s="1" t="str">
        <f>IFERROR(IF(ventas_b_mes1255[[#This Row],[CUIT]]="","-",VLOOKUP(ventas_b_mes1255[[#This Row],[CUIT]],Lista_CUIT[#All],2,0)),"CUIT NO CARGADO")</f>
        <v>-</v>
      </c>
      <c r="H1108" s="100">
        <f>ventas_b_mes1255[[#This Row],[TOTAL]]/1.21</f>
        <v>0</v>
      </c>
      <c r="I1108" s="64">
        <f>ventas_b_mes1255[[#This Row],[IMPORTE NETO]]*0.21</f>
        <v>0</v>
      </c>
      <c r="J1108" s="184"/>
      <c r="K1108" s="184"/>
      <c r="L1108" s="184"/>
      <c r="M1108" s="59"/>
    </row>
    <row r="1109" spans="2:13" x14ac:dyDescent="0.3">
      <c r="B1109" s="178"/>
      <c r="C1109" s="41"/>
      <c r="D1109" s="180"/>
      <c r="E1109" s="181"/>
      <c r="F1109" s="182"/>
      <c r="G1109" s="1" t="str">
        <f>IFERROR(IF(ventas_b_mes1255[[#This Row],[CUIT]]="","-",VLOOKUP(ventas_b_mes1255[[#This Row],[CUIT]],Lista_CUIT[#All],2,0)),"CUIT NO CARGADO")</f>
        <v>-</v>
      </c>
      <c r="H1109" s="100">
        <f>ventas_b_mes1255[[#This Row],[TOTAL]]/1.21</f>
        <v>0</v>
      </c>
      <c r="I1109" s="64">
        <f>ventas_b_mes1255[[#This Row],[IMPORTE NETO]]*0.21</f>
        <v>0</v>
      </c>
      <c r="J1109" s="184"/>
      <c r="K1109" s="184"/>
      <c r="L1109" s="184"/>
      <c r="M1109" s="59"/>
    </row>
    <row r="1110" spans="2:13" x14ac:dyDescent="0.3">
      <c r="B1110" s="178"/>
      <c r="C1110" s="41"/>
      <c r="D1110" s="180"/>
      <c r="E1110" s="181"/>
      <c r="F1110" s="182"/>
      <c r="G1110" s="1" t="str">
        <f>IFERROR(IF(ventas_b_mes1255[[#This Row],[CUIT]]="","-",VLOOKUP(ventas_b_mes1255[[#This Row],[CUIT]],Lista_CUIT[#All],2,0)),"CUIT NO CARGADO")</f>
        <v>-</v>
      </c>
      <c r="H1110" s="100">
        <f>ventas_b_mes1255[[#This Row],[TOTAL]]/1.21</f>
        <v>0</v>
      </c>
      <c r="I1110" s="64">
        <f>ventas_b_mes1255[[#This Row],[IMPORTE NETO]]*0.21</f>
        <v>0</v>
      </c>
      <c r="J1110" s="184"/>
      <c r="K1110" s="184"/>
      <c r="L1110" s="184"/>
      <c r="M1110" s="59"/>
    </row>
    <row r="1111" spans="2:13" x14ac:dyDescent="0.3">
      <c r="B1111" s="178"/>
      <c r="C1111" s="41"/>
      <c r="D1111" s="180"/>
      <c r="E1111" s="181"/>
      <c r="F1111" s="182"/>
      <c r="G1111" s="1" t="str">
        <f>IFERROR(IF(ventas_b_mes1255[[#This Row],[CUIT]]="","-",VLOOKUP(ventas_b_mes1255[[#This Row],[CUIT]],Lista_CUIT[#All],2,0)),"CUIT NO CARGADO")</f>
        <v>-</v>
      </c>
      <c r="H1111" s="100">
        <f>ventas_b_mes1255[[#This Row],[TOTAL]]/1.21</f>
        <v>0</v>
      </c>
      <c r="I1111" s="64">
        <f>ventas_b_mes1255[[#This Row],[IMPORTE NETO]]*0.21</f>
        <v>0</v>
      </c>
      <c r="J1111" s="184"/>
      <c r="K1111" s="184"/>
      <c r="L1111" s="184"/>
      <c r="M1111" s="59"/>
    </row>
    <row r="1112" spans="2:13" x14ac:dyDescent="0.3">
      <c r="B1112" s="178"/>
      <c r="C1112" s="41"/>
      <c r="D1112" s="180"/>
      <c r="E1112" s="181"/>
      <c r="F1112" s="182"/>
      <c r="G1112" s="1" t="str">
        <f>IFERROR(IF(ventas_b_mes1255[[#This Row],[CUIT]]="","-",VLOOKUP(ventas_b_mes1255[[#This Row],[CUIT]],Lista_CUIT[#All],2,0)),"CUIT NO CARGADO")</f>
        <v>-</v>
      </c>
      <c r="H1112" s="100">
        <f>ventas_b_mes1255[[#This Row],[TOTAL]]/1.21</f>
        <v>0</v>
      </c>
      <c r="I1112" s="64">
        <f>ventas_b_mes1255[[#This Row],[IMPORTE NETO]]*0.21</f>
        <v>0</v>
      </c>
      <c r="J1112" s="184"/>
      <c r="K1112" s="184"/>
      <c r="L1112" s="184"/>
      <c r="M1112" s="59"/>
    </row>
    <row r="1113" spans="2:13" x14ac:dyDescent="0.3">
      <c r="B1113" s="178"/>
      <c r="C1113" s="41"/>
      <c r="D1113" s="180"/>
      <c r="E1113" s="181"/>
      <c r="F1113" s="182"/>
      <c r="G1113" s="1" t="str">
        <f>IFERROR(IF(ventas_b_mes1255[[#This Row],[CUIT]]="","-",VLOOKUP(ventas_b_mes1255[[#This Row],[CUIT]],Lista_CUIT[#All],2,0)),"CUIT NO CARGADO")</f>
        <v>-</v>
      </c>
      <c r="H1113" s="100">
        <f>ventas_b_mes1255[[#This Row],[TOTAL]]/1.21</f>
        <v>0</v>
      </c>
      <c r="I1113" s="64">
        <f>ventas_b_mes1255[[#This Row],[IMPORTE NETO]]*0.21</f>
        <v>0</v>
      </c>
      <c r="J1113" s="184"/>
      <c r="K1113" s="184"/>
      <c r="L1113" s="184"/>
      <c r="M1113" s="59"/>
    </row>
    <row r="1114" spans="2:13" x14ac:dyDescent="0.3">
      <c r="B1114" s="178"/>
      <c r="C1114" s="41"/>
      <c r="D1114" s="180"/>
      <c r="E1114" s="181"/>
      <c r="F1114" s="182"/>
      <c r="G1114" s="1" t="str">
        <f>IFERROR(IF(ventas_b_mes1255[[#This Row],[CUIT]]="","-",VLOOKUP(ventas_b_mes1255[[#This Row],[CUIT]],Lista_CUIT[#All],2,0)),"CUIT NO CARGADO")</f>
        <v>-</v>
      </c>
      <c r="H1114" s="100">
        <f>ventas_b_mes1255[[#This Row],[TOTAL]]/1.21</f>
        <v>0</v>
      </c>
      <c r="I1114" s="64">
        <f>ventas_b_mes1255[[#This Row],[IMPORTE NETO]]*0.21</f>
        <v>0</v>
      </c>
      <c r="J1114" s="184"/>
      <c r="K1114" s="184"/>
      <c r="L1114" s="184"/>
      <c r="M1114" s="59"/>
    </row>
    <row r="1115" spans="2:13" x14ac:dyDescent="0.3">
      <c r="B1115" s="178"/>
      <c r="C1115" s="41"/>
      <c r="D1115" s="180"/>
      <c r="E1115" s="181"/>
      <c r="F1115" s="182"/>
      <c r="G1115" s="1" t="str">
        <f>IFERROR(IF(ventas_b_mes1255[[#This Row],[CUIT]]="","-",VLOOKUP(ventas_b_mes1255[[#This Row],[CUIT]],Lista_CUIT[#All],2,0)),"CUIT NO CARGADO")</f>
        <v>-</v>
      </c>
      <c r="H1115" s="100">
        <f>ventas_b_mes1255[[#This Row],[TOTAL]]/1.21</f>
        <v>0</v>
      </c>
      <c r="I1115" s="64">
        <f>ventas_b_mes1255[[#This Row],[IMPORTE NETO]]*0.21</f>
        <v>0</v>
      </c>
      <c r="J1115" s="184"/>
      <c r="K1115" s="184"/>
      <c r="L1115" s="184"/>
      <c r="M1115" s="59"/>
    </row>
    <row r="1116" spans="2:13" x14ac:dyDescent="0.3">
      <c r="B1116" s="178"/>
      <c r="C1116" s="41"/>
      <c r="D1116" s="180"/>
      <c r="E1116" s="181"/>
      <c r="F1116" s="182"/>
      <c r="G1116" s="1" t="str">
        <f>IFERROR(IF(ventas_b_mes1255[[#This Row],[CUIT]]="","-",VLOOKUP(ventas_b_mes1255[[#This Row],[CUIT]],Lista_CUIT[#All],2,0)),"CUIT NO CARGADO")</f>
        <v>-</v>
      </c>
      <c r="H1116" s="100">
        <f>ventas_b_mes1255[[#This Row],[TOTAL]]/1.21</f>
        <v>0</v>
      </c>
      <c r="I1116" s="64">
        <f>ventas_b_mes1255[[#This Row],[IMPORTE NETO]]*0.21</f>
        <v>0</v>
      </c>
      <c r="J1116" s="184"/>
      <c r="K1116" s="184"/>
      <c r="L1116" s="184"/>
      <c r="M1116" s="59"/>
    </row>
    <row r="1117" spans="2:13" x14ac:dyDescent="0.3">
      <c r="B1117" s="178"/>
      <c r="C1117" s="41"/>
      <c r="D1117" s="180"/>
      <c r="E1117" s="181"/>
      <c r="F1117" s="182"/>
      <c r="G1117" s="1" t="str">
        <f>IFERROR(IF(ventas_b_mes1255[[#This Row],[CUIT]]="","-",VLOOKUP(ventas_b_mes1255[[#This Row],[CUIT]],Lista_CUIT[#All],2,0)),"CUIT NO CARGADO")</f>
        <v>-</v>
      </c>
      <c r="H1117" s="100">
        <f>ventas_b_mes1255[[#This Row],[TOTAL]]/1.21</f>
        <v>0</v>
      </c>
      <c r="I1117" s="64">
        <f>ventas_b_mes1255[[#This Row],[IMPORTE NETO]]*0.21</f>
        <v>0</v>
      </c>
      <c r="J1117" s="184"/>
      <c r="K1117" s="184"/>
      <c r="L1117" s="184"/>
      <c r="M1117" s="59"/>
    </row>
    <row r="1118" spans="2:13" x14ac:dyDescent="0.3">
      <c r="B1118" s="178"/>
      <c r="C1118" s="41"/>
      <c r="D1118" s="180"/>
      <c r="E1118" s="181"/>
      <c r="F1118" s="182"/>
      <c r="G1118" s="1" t="str">
        <f>IFERROR(IF(ventas_b_mes1255[[#This Row],[CUIT]]="","-",VLOOKUP(ventas_b_mes1255[[#This Row],[CUIT]],Lista_CUIT[#All],2,0)),"CUIT NO CARGADO")</f>
        <v>-</v>
      </c>
      <c r="H1118" s="100">
        <f>ventas_b_mes1255[[#This Row],[TOTAL]]/1.21</f>
        <v>0</v>
      </c>
      <c r="I1118" s="64">
        <f>ventas_b_mes1255[[#This Row],[IMPORTE NETO]]*0.21</f>
        <v>0</v>
      </c>
      <c r="J1118" s="184"/>
      <c r="K1118" s="184"/>
      <c r="L1118" s="184"/>
      <c r="M1118" s="59"/>
    </row>
    <row r="1119" spans="2:13" x14ac:dyDescent="0.3">
      <c r="B1119" s="178"/>
      <c r="C1119" s="41"/>
      <c r="D1119" s="180"/>
      <c r="E1119" s="181"/>
      <c r="F1119" s="182"/>
      <c r="G1119" s="1" t="str">
        <f>IFERROR(IF(ventas_b_mes1255[[#This Row],[CUIT]]="","-",VLOOKUP(ventas_b_mes1255[[#This Row],[CUIT]],Lista_CUIT[#All],2,0)),"CUIT NO CARGADO")</f>
        <v>-</v>
      </c>
      <c r="H1119" s="100">
        <f>ventas_b_mes1255[[#This Row],[TOTAL]]/1.21</f>
        <v>0</v>
      </c>
      <c r="I1119" s="64">
        <f>ventas_b_mes1255[[#This Row],[IMPORTE NETO]]*0.21</f>
        <v>0</v>
      </c>
      <c r="J1119" s="184"/>
      <c r="K1119" s="184"/>
      <c r="L1119" s="184"/>
      <c r="M1119" s="59"/>
    </row>
    <row r="1120" spans="2:13" x14ac:dyDescent="0.3">
      <c r="B1120" s="178"/>
      <c r="C1120" s="41"/>
      <c r="D1120" s="180"/>
      <c r="E1120" s="181"/>
      <c r="F1120" s="182"/>
      <c r="G1120" s="1" t="str">
        <f>IFERROR(IF(ventas_b_mes1255[[#This Row],[CUIT]]="","-",VLOOKUP(ventas_b_mes1255[[#This Row],[CUIT]],Lista_CUIT[#All],2,0)),"CUIT NO CARGADO")</f>
        <v>-</v>
      </c>
      <c r="H1120" s="100">
        <f>ventas_b_mes1255[[#This Row],[TOTAL]]/1.21</f>
        <v>0</v>
      </c>
      <c r="I1120" s="64">
        <f>ventas_b_mes1255[[#This Row],[IMPORTE NETO]]*0.21</f>
        <v>0</v>
      </c>
      <c r="J1120" s="184"/>
      <c r="K1120" s="184"/>
      <c r="L1120" s="184"/>
      <c r="M1120" s="59"/>
    </row>
    <row r="1121" spans="2:13" x14ac:dyDescent="0.3">
      <c r="B1121" s="178"/>
      <c r="C1121" s="41"/>
      <c r="D1121" s="180"/>
      <c r="E1121" s="181"/>
      <c r="F1121" s="182"/>
      <c r="G1121" s="1" t="str">
        <f>IFERROR(IF(ventas_b_mes1255[[#This Row],[CUIT]]="","-",VLOOKUP(ventas_b_mes1255[[#This Row],[CUIT]],Lista_CUIT[#All],2,0)),"CUIT NO CARGADO")</f>
        <v>-</v>
      </c>
      <c r="H1121" s="100">
        <f>ventas_b_mes1255[[#This Row],[TOTAL]]/1.21</f>
        <v>0</v>
      </c>
      <c r="I1121" s="64">
        <f>ventas_b_mes1255[[#This Row],[IMPORTE NETO]]*0.21</f>
        <v>0</v>
      </c>
      <c r="J1121" s="184"/>
      <c r="K1121" s="184"/>
      <c r="L1121" s="184"/>
      <c r="M1121" s="59"/>
    </row>
    <row r="1122" spans="2:13" x14ac:dyDescent="0.3">
      <c r="B1122" s="178"/>
      <c r="C1122" s="41"/>
      <c r="D1122" s="180"/>
      <c r="E1122" s="181"/>
      <c r="F1122" s="182"/>
      <c r="G1122" s="1" t="str">
        <f>IFERROR(IF(ventas_b_mes1255[[#This Row],[CUIT]]="","-",VLOOKUP(ventas_b_mes1255[[#This Row],[CUIT]],Lista_CUIT[#All],2,0)),"CUIT NO CARGADO")</f>
        <v>-</v>
      </c>
      <c r="H1122" s="100">
        <f>ventas_b_mes1255[[#This Row],[TOTAL]]/1.21</f>
        <v>0</v>
      </c>
      <c r="I1122" s="64">
        <f>ventas_b_mes1255[[#This Row],[IMPORTE NETO]]*0.21</f>
        <v>0</v>
      </c>
      <c r="J1122" s="184"/>
      <c r="K1122" s="184"/>
      <c r="L1122" s="184"/>
      <c r="M1122" s="59"/>
    </row>
    <row r="1123" spans="2:13" x14ac:dyDescent="0.3">
      <c r="B1123" s="178"/>
      <c r="C1123" s="41"/>
      <c r="D1123" s="180"/>
      <c r="E1123" s="181"/>
      <c r="F1123" s="182"/>
      <c r="G1123" s="1" t="str">
        <f>IFERROR(IF(ventas_b_mes1255[[#This Row],[CUIT]]="","-",VLOOKUP(ventas_b_mes1255[[#This Row],[CUIT]],Lista_CUIT[#All],2,0)),"CUIT NO CARGADO")</f>
        <v>-</v>
      </c>
      <c r="H1123" s="100">
        <f>ventas_b_mes1255[[#This Row],[TOTAL]]/1.21</f>
        <v>0</v>
      </c>
      <c r="I1123" s="64">
        <f>ventas_b_mes1255[[#This Row],[IMPORTE NETO]]*0.21</f>
        <v>0</v>
      </c>
      <c r="J1123" s="184"/>
      <c r="K1123" s="184"/>
      <c r="L1123" s="184"/>
      <c r="M1123" s="59"/>
    </row>
    <row r="1124" spans="2:13" x14ac:dyDescent="0.3">
      <c r="B1124" s="178"/>
      <c r="C1124" s="41"/>
      <c r="D1124" s="180"/>
      <c r="E1124" s="181"/>
      <c r="F1124" s="182"/>
      <c r="G1124" s="1" t="str">
        <f>IFERROR(IF(ventas_b_mes1255[[#This Row],[CUIT]]="","-",VLOOKUP(ventas_b_mes1255[[#This Row],[CUIT]],Lista_CUIT[#All],2,0)),"CUIT NO CARGADO")</f>
        <v>-</v>
      </c>
      <c r="H1124" s="100">
        <f>ventas_b_mes1255[[#This Row],[TOTAL]]/1.21</f>
        <v>0</v>
      </c>
      <c r="I1124" s="64">
        <f>ventas_b_mes1255[[#This Row],[IMPORTE NETO]]*0.21</f>
        <v>0</v>
      </c>
      <c r="J1124" s="184"/>
      <c r="K1124" s="184"/>
      <c r="L1124" s="184"/>
      <c r="M1124" s="59"/>
    </row>
    <row r="1125" spans="2:13" x14ac:dyDescent="0.3">
      <c r="B1125" s="178"/>
      <c r="C1125" s="41"/>
      <c r="D1125" s="180"/>
      <c r="E1125" s="181"/>
      <c r="F1125" s="182"/>
      <c r="G1125" s="1" t="str">
        <f>IFERROR(IF(ventas_b_mes1255[[#This Row],[CUIT]]="","-",VLOOKUP(ventas_b_mes1255[[#This Row],[CUIT]],Lista_CUIT[#All],2,0)),"CUIT NO CARGADO")</f>
        <v>-</v>
      </c>
      <c r="H1125" s="100">
        <f>ventas_b_mes1255[[#This Row],[TOTAL]]/1.21</f>
        <v>0</v>
      </c>
      <c r="I1125" s="64">
        <f>ventas_b_mes1255[[#This Row],[IMPORTE NETO]]*0.21</f>
        <v>0</v>
      </c>
      <c r="J1125" s="184"/>
      <c r="K1125" s="184"/>
      <c r="L1125" s="184"/>
      <c r="M1125" s="59"/>
    </row>
    <row r="1126" spans="2:13" x14ac:dyDescent="0.3">
      <c r="B1126" s="178"/>
      <c r="C1126" s="41"/>
      <c r="D1126" s="180"/>
      <c r="E1126" s="181"/>
      <c r="F1126" s="182"/>
      <c r="G1126" s="1" t="str">
        <f>IFERROR(IF(ventas_b_mes1255[[#This Row],[CUIT]]="","-",VLOOKUP(ventas_b_mes1255[[#This Row],[CUIT]],Lista_CUIT[#All],2,0)),"CUIT NO CARGADO")</f>
        <v>-</v>
      </c>
      <c r="H1126" s="100">
        <f>ventas_b_mes1255[[#This Row],[TOTAL]]/1.21</f>
        <v>0</v>
      </c>
      <c r="I1126" s="64">
        <f>ventas_b_mes1255[[#This Row],[IMPORTE NETO]]*0.21</f>
        <v>0</v>
      </c>
      <c r="J1126" s="184"/>
      <c r="K1126" s="184"/>
      <c r="L1126" s="184"/>
      <c r="M1126" s="59"/>
    </row>
    <row r="1127" spans="2:13" x14ac:dyDescent="0.3">
      <c r="B1127" s="178"/>
      <c r="C1127" s="41"/>
      <c r="D1127" s="180"/>
      <c r="E1127" s="181"/>
      <c r="F1127" s="182"/>
      <c r="G1127" s="1" t="str">
        <f>IFERROR(IF(ventas_b_mes1255[[#This Row],[CUIT]]="","-",VLOOKUP(ventas_b_mes1255[[#This Row],[CUIT]],Lista_CUIT[#All],2,0)),"CUIT NO CARGADO")</f>
        <v>-</v>
      </c>
      <c r="H1127" s="100">
        <f>ventas_b_mes1255[[#This Row],[TOTAL]]/1.21</f>
        <v>0</v>
      </c>
      <c r="I1127" s="64">
        <f>ventas_b_mes1255[[#This Row],[IMPORTE NETO]]*0.21</f>
        <v>0</v>
      </c>
      <c r="J1127" s="184"/>
      <c r="K1127" s="184"/>
      <c r="L1127" s="184"/>
      <c r="M1127" s="59"/>
    </row>
    <row r="1128" spans="2:13" x14ac:dyDescent="0.3">
      <c r="B1128" s="178"/>
      <c r="C1128" s="41"/>
      <c r="D1128" s="180"/>
      <c r="E1128" s="181"/>
      <c r="F1128" s="182"/>
      <c r="G1128" s="1" t="str">
        <f>IFERROR(IF(ventas_b_mes1255[[#This Row],[CUIT]]="","-",VLOOKUP(ventas_b_mes1255[[#This Row],[CUIT]],Lista_CUIT[#All],2,0)),"CUIT NO CARGADO")</f>
        <v>-</v>
      </c>
      <c r="H1128" s="100">
        <f>ventas_b_mes1255[[#This Row],[TOTAL]]/1.21</f>
        <v>0</v>
      </c>
      <c r="I1128" s="64">
        <f>ventas_b_mes1255[[#This Row],[IMPORTE NETO]]*0.21</f>
        <v>0</v>
      </c>
      <c r="J1128" s="184"/>
      <c r="K1128" s="184"/>
      <c r="L1128" s="184"/>
      <c r="M1128" s="59"/>
    </row>
    <row r="1129" spans="2:13" x14ac:dyDescent="0.3">
      <c r="B1129" s="178"/>
      <c r="C1129" s="41"/>
      <c r="D1129" s="180"/>
      <c r="E1129" s="181"/>
      <c r="F1129" s="182"/>
      <c r="G1129" s="1" t="str">
        <f>IFERROR(IF(ventas_b_mes1255[[#This Row],[CUIT]]="","-",VLOOKUP(ventas_b_mes1255[[#This Row],[CUIT]],Lista_CUIT[#All],2,0)),"CUIT NO CARGADO")</f>
        <v>-</v>
      </c>
      <c r="H1129" s="100">
        <f>ventas_b_mes1255[[#This Row],[TOTAL]]/1.21</f>
        <v>0</v>
      </c>
      <c r="I1129" s="64">
        <f>ventas_b_mes1255[[#This Row],[IMPORTE NETO]]*0.21</f>
        <v>0</v>
      </c>
      <c r="J1129" s="184"/>
      <c r="K1129" s="184"/>
      <c r="L1129" s="184"/>
      <c r="M1129" s="59"/>
    </row>
    <row r="1130" spans="2:13" x14ac:dyDescent="0.3">
      <c r="B1130" s="178"/>
      <c r="C1130" s="41"/>
      <c r="D1130" s="180"/>
      <c r="E1130" s="181"/>
      <c r="F1130" s="182"/>
      <c r="G1130" s="1" t="str">
        <f>IFERROR(IF(ventas_b_mes1255[[#This Row],[CUIT]]="","-",VLOOKUP(ventas_b_mes1255[[#This Row],[CUIT]],Lista_CUIT[#All],2,0)),"CUIT NO CARGADO")</f>
        <v>-</v>
      </c>
      <c r="H1130" s="100">
        <f>ventas_b_mes1255[[#This Row],[TOTAL]]/1.21</f>
        <v>0</v>
      </c>
      <c r="I1130" s="64">
        <f>ventas_b_mes1255[[#This Row],[IMPORTE NETO]]*0.21</f>
        <v>0</v>
      </c>
      <c r="J1130" s="184"/>
      <c r="K1130" s="184"/>
      <c r="L1130" s="184"/>
      <c r="M1130" s="59"/>
    </row>
    <row r="1131" spans="2:13" x14ac:dyDescent="0.3">
      <c r="B1131" s="178"/>
      <c r="C1131" s="41"/>
      <c r="D1131" s="180"/>
      <c r="E1131" s="181"/>
      <c r="F1131" s="182"/>
      <c r="G1131" s="1" t="str">
        <f>IFERROR(IF(ventas_b_mes1255[[#This Row],[CUIT]]="","-",VLOOKUP(ventas_b_mes1255[[#This Row],[CUIT]],Lista_CUIT[#All],2,0)),"CUIT NO CARGADO")</f>
        <v>-</v>
      </c>
      <c r="H1131" s="100">
        <f>ventas_b_mes1255[[#This Row],[TOTAL]]/1.21</f>
        <v>0</v>
      </c>
      <c r="I1131" s="64">
        <f>ventas_b_mes1255[[#This Row],[IMPORTE NETO]]*0.21</f>
        <v>0</v>
      </c>
      <c r="J1131" s="184"/>
      <c r="K1131" s="184"/>
      <c r="L1131" s="184"/>
      <c r="M1131" s="59"/>
    </row>
    <row r="1132" spans="2:13" x14ac:dyDescent="0.3">
      <c r="B1132" s="178"/>
      <c r="C1132" s="41"/>
      <c r="D1132" s="180"/>
      <c r="E1132" s="181"/>
      <c r="F1132" s="182"/>
      <c r="G1132" s="1" t="str">
        <f>IFERROR(IF(ventas_b_mes1255[[#This Row],[CUIT]]="","-",VLOOKUP(ventas_b_mes1255[[#This Row],[CUIT]],Lista_CUIT[#All],2,0)),"CUIT NO CARGADO")</f>
        <v>-</v>
      </c>
      <c r="H1132" s="100">
        <f>ventas_b_mes1255[[#This Row],[TOTAL]]/1.21</f>
        <v>0</v>
      </c>
      <c r="I1132" s="64">
        <f>ventas_b_mes1255[[#This Row],[IMPORTE NETO]]*0.21</f>
        <v>0</v>
      </c>
      <c r="J1132" s="184"/>
      <c r="K1132" s="184"/>
      <c r="L1132" s="184"/>
      <c r="M1132" s="59"/>
    </row>
    <row r="1133" spans="2:13" x14ac:dyDescent="0.3">
      <c r="B1133" s="178"/>
      <c r="C1133" s="41"/>
      <c r="D1133" s="180"/>
      <c r="E1133" s="181"/>
      <c r="F1133" s="182"/>
      <c r="G1133" s="1" t="str">
        <f>IFERROR(IF(ventas_b_mes1255[[#This Row],[CUIT]]="","-",VLOOKUP(ventas_b_mes1255[[#This Row],[CUIT]],Lista_CUIT[#All],2,0)),"CUIT NO CARGADO")</f>
        <v>-</v>
      </c>
      <c r="H1133" s="100">
        <f>ventas_b_mes1255[[#This Row],[TOTAL]]/1.21</f>
        <v>0</v>
      </c>
      <c r="I1133" s="64">
        <f>ventas_b_mes1255[[#This Row],[IMPORTE NETO]]*0.21</f>
        <v>0</v>
      </c>
      <c r="J1133" s="184"/>
      <c r="K1133" s="184"/>
      <c r="L1133" s="184"/>
      <c r="M1133" s="59"/>
    </row>
    <row r="1134" spans="2:13" x14ac:dyDescent="0.3">
      <c r="B1134" s="178"/>
      <c r="C1134" s="41"/>
      <c r="D1134" s="180"/>
      <c r="E1134" s="181"/>
      <c r="F1134" s="182"/>
      <c r="G1134" s="1" t="str">
        <f>IFERROR(IF(ventas_b_mes1255[[#This Row],[CUIT]]="","-",VLOOKUP(ventas_b_mes1255[[#This Row],[CUIT]],Lista_CUIT[#All],2,0)),"CUIT NO CARGADO")</f>
        <v>-</v>
      </c>
      <c r="H1134" s="100">
        <f>ventas_b_mes1255[[#This Row],[TOTAL]]/1.21</f>
        <v>0</v>
      </c>
      <c r="I1134" s="64">
        <f>ventas_b_mes1255[[#This Row],[IMPORTE NETO]]*0.21</f>
        <v>0</v>
      </c>
      <c r="J1134" s="184"/>
      <c r="K1134" s="184"/>
      <c r="L1134" s="184"/>
      <c r="M1134" s="59"/>
    </row>
    <row r="1135" spans="2:13" x14ac:dyDescent="0.3">
      <c r="B1135" s="178"/>
      <c r="C1135" s="41"/>
      <c r="D1135" s="180"/>
      <c r="E1135" s="181"/>
      <c r="F1135" s="182"/>
      <c r="G1135" s="1" t="str">
        <f>IFERROR(IF(ventas_b_mes1255[[#This Row],[CUIT]]="","-",VLOOKUP(ventas_b_mes1255[[#This Row],[CUIT]],Lista_CUIT[#All],2,0)),"CUIT NO CARGADO")</f>
        <v>-</v>
      </c>
      <c r="H1135" s="100">
        <f>ventas_b_mes1255[[#This Row],[TOTAL]]/1.21</f>
        <v>0</v>
      </c>
      <c r="I1135" s="64">
        <f>ventas_b_mes1255[[#This Row],[IMPORTE NETO]]*0.21</f>
        <v>0</v>
      </c>
      <c r="J1135" s="184"/>
      <c r="K1135" s="184"/>
      <c r="L1135" s="184"/>
      <c r="M1135" s="59"/>
    </row>
    <row r="1136" spans="2:13" x14ac:dyDescent="0.3">
      <c r="B1136" s="178"/>
      <c r="C1136" s="41"/>
      <c r="D1136" s="180"/>
      <c r="E1136" s="181"/>
      <c r="F1136" s="182"/>
      <c r="G1136" s="1" t="str">
        <f>IFERROR(IF(ventas_b_mes1255[[#This Row],[CUIT]]="","-",VLOOKUP(ventas_b_mes1255[[#This Row],[CUIT]],Lista_CUIT[#All],2,0)),"CUIT NO CARGADO")</f>
        <v>-</v>
      </c>
      <c r="H1136" s="100">
        <f>ventas_b_mes1255[[#This Row],[TOTAL]]/1.21</f>
        <v>0</v>
      </c>
      <c r="I1136" s="64">
        <f>ventas_b_mes1255[[#This Row],[IMPORTE NETO]]*0.21</f>
        <v>0</v>
      </c>
      <c r="J1136" s="184"/>
      <c r="K1136" s="184"/>
      <c r="L1136" s="184"/>
      <c r="M1136" s="59"/>
    </row>
    <row r="1137" spans="2:13" x14ac:dyDescent="0.3">
      <c r="B1137" s="178"/>
      <c r="C1137" s="41"/>
      <c r="D1137" s="180"/>
      <c r="E1137" s="181"/>
      <c r="F1137" s="182"/>
      <c r="G1137" s="1" t="str">
        <f>IFERROR(IF(ventas_b_mes1255[[#This Row],[CUIT]]="","-",VLOOKUP(ventas_b_mes1255[[#This Row],[CUIT]],Lista_CUIT[#All],2,0)),"CUIT NO CARGADO")</f>
        <v>-</v>
      </c>
      <c r="H1137" s="100">
        <f>ventas_b_mes1255[[#This Row],[TOTAL]]/1.21</f>
        <v>0</v>
      </c>
      <c r="I1137" s="64">
        <f>ventas_b_mes1255[[#This Row],[IMPORTE NETO]]*0.21</f>
        <v>0</v>
      </c>
      <c r="J1137" s="184"/>
      <c r="K1137" s="184"/>
      <c r="L1137" s="184"/>
      <c r="M1137" s="59"/>
    </row>
    <row r="1138" spans="2:13" x14ac:dyDescent="0.3">
      <c r="B1138" s="178"/>
      <c r="C1138" s="41"/>
      <c r="D1138" s="180"/>
      <c r="E1138" s="181"/>
      <c r="F1138" s="182"/>
      <c r="G1138" s="1" t="str">
        <f>IFERROR(IF(ventas_b_mes1255[[#This Row],[CUIT]]="","-",VLOOKUP(ventas_b_mes1255[[#This Row],[CUIT]],Lista_CUIT[#All],2,0)),"CUIT NO CARGADO")</f>
        <v>-</v>
      </c>
      <c r="H1138" s="100">
        <f>ventas_b_mes1255[[#This Row],[TOTAL]]/1.21</f>
        <v>0</v>
      </c>
      <c r="I1138" s="64">
        <f>ventas_b_mes1255[[#This Row],[IMPORTE NETO]]*0.21</f>
        <v>0</v>
      </c>
      <c r="J1138" s="184"/>
      <c r="K1138" s="184"/>
      <c r="L1138" s="184"/>
      <c r="M1138" s="59"/>
    </row>
    <row r="1139" spans="2:13" x14ac:dyDescent="0.3">
      <c r="B1139" s="178"/>
      <c r="C1139" s="41"/>
      <c r="D1139" s="180"/>
      <c r="E1139" s="181"/>
      <c r="F1139" s="182"/>
      <c r="G1139" s="1" t="str">
        <f>IFERROR(IF(ventas_b_mes1255[[#This Row],[CUIT]]="","-",VLOOKUP(ventas_b_mes1255[[#This Row],[CUIT]],Lista_CUIT[#All],2,0)),"CUIT NO CARGADO")</f>
        <v>-</v>
      </c>
      <c r="H1139" s="100">
        <f>ventas_b_mes1255[[#This Row],[TOTAL]]/1.21</f>
        <v>0</v>
      </c>
      <c r="I1139" s="64">
        <f>ventas_b_mes1255[[#This Row],[IMPORTE NETO]]*0.21</f>
        <v>0</v>
      </c>
      <c r="J1139" s="184"/>
      <c r="K1139" s="184"/>
      <c r="L1139" s="184"/>
      <c r="M1139" s="59"/>
    </row>
    <row r="1140" spans="2:13" x14ac:dyDescent="0.3">
      <c r="B1140" s="178"/>
      <c r="C1140" s="41"/>
      <c r="D1140" s="180"/>
      <c r="E1140" s="181"/>
      <c r="F1140" s="182"/>
      <c r="G1140" s="1" t="str">
        <f>IFERROR(IF(ventas_b_mes1255[[#This Row],[CUIT]]="","-",VLOOKUP(ventas_b_mes1255[[#This Row],[CUIT]],Lista_CUIT[#All],2,0)),"CUIT NO CARGADO")</f>
        <v>-</v>
      </c>
      <c r="H1140" s="100">
        <f>ventas_b_mes1255[[#This Row],[TOTAL]]/1.21</f>
        <v>0</v>
      </c>
      <c r="I1140" s="64">
        <f>ventas_b_mes1255[[#This Row],[IMPORTE NETO]]*0.21</f>
        <v>0</v>
      </c>
      <c r="J1140" s="184"/>
      <c r="K1140" s="184"/>
      <c r="L1140" s="184"/>
      <c r="M1140" s="59"/>
    </row>
    <row r="1141" spans="2:13" x14ac:dyDescent="0.3">
      <c r="B1141" s="178"/>
      <c r="C1141" s="41"/>
      <c r="D1141" s="180"/>
      <c r="E1141" s="181"/>
      <c r="F1141" s="182"/>
      <c r="G1141" s="1" t="str">
        <f>IFERROR(IF(ventas_b_mes1255[[#This Row],[CUIT]]="","-",VLOOKUP(ventas_b_mes1255[[#This Row],[CUIT]],Lista_CUIT[#All],2,0)),"CUIT NO CARGADO")</f>
        <v>-</v>
      </c>
      <c r="H1141" s="100">
        <f>ventas_b_mes1255[[#This Row],[TOTAL]]/1.21</f>
        <v>0</v>
      </c>
      <c r="I1141" s="64">
        <f>ventas_b_mes1255[[#This Row],[IMPORTE NETO]]*0.21</f>
        <v>0</v>
      </c>
      <c r="J1141" s="184"/>
      <c r="K1141" s="184"/>
      <c r="L1141" s="184"/>
      <c r="M1141" s="59"/>
    </row>
    <row r="1142" spans="2:13" x14ac:dyDescent="0.3">
      <c r="B1142" s="178"/>
      <c r="C1142" s="41"/>
      <c r="D1142" s="180"/>
      <c r="E1142" s="181"/>
      <c r="F1142" s="182"/>
      <c r="G1142" s="1" t="str">
        <f>IFERROR(IF(ventas_b_mes1255[[#This Row],[CUIT]]="","-",VLOOKUP(ventas_b_mes1255[[#This Row],[CUIT]],Lista_CUIT[#All],2,0)),"CUIT NO CARGADO")</f>
        <v>-</v>
      </c>
      <c r="H1142" s="100">
        <f>ventas_b_mes1255[[#This Row],[TOTAL]]/1.21</f>
        <v>0</v>
      </c>
      <c r="I1142" s="64">
        <f>ventas_b_mes1255[[#This Row],[IMPORTE NETO]]*0.21</f>
        <v>0</v>
      </c>
      <c r="J1142" s="184"/>
      <c r="K1142" s="184"/>
      <c r="L1142" s="184"/>
      <c r="M1142" s="59"/>
    </row>
    <row r="1143" spans="2:13" x14ac:dyDescent="0.3">
      <c r="B1143" s="178"/>
      <c r="C1143" s="41"/>
      <c r="D1143" s="180"/>
      <c r="E1143" s="181"/>
      <c r="F1143" s="182"/>
      <c r="G1143" s="1" t="str">
        <f>IFERROR(IF(ventas_b_mes1255[[#This Row],[CUIT]]="","-",VLOOKUP(ventas_b_mes1255[[#This Row],[CUIT]],Lista_CUIT[#All],2,0)),"CUIT NO CARGADO")</f>
        <v>-</v>
      </c>
      <c r="H1143" s="100">
        <f>ventas_b_mes1255[[#This Row],[TOTAL]]/1.21</f>
        <v>0</v>
      </c>
      <c r="I1143" s="64">
        <f>ventas_b_mes1255[[#This Row],[IMPORTE NETO]]*0.21</f>
        <v>0</v>
      </c>
      <c r="J1143" s="184"/>
      <c r="K1143" s="184"/>
      <c r="L1143" s="184"/>
      <c r="M1143" s="59"/>
    </row>
    <row r="1144" spans="2:13" x14ac:dyDescent="0.3">
      <c r="B1144" s="178"/>
      <c r="C1144" s="41"/>
      <c r="D1144" s="180"/>
      <c r="E1144" s="181"/>
      <c r="F1144" s="182"/>
      <c r="G1144" s="1" t="str">
        <f>IFERROR(IF(ventas_b_mes1255[[#This Row],[CUIT]]="","-",VLOOKUP(ventas_b_mes1255[[#This Row],[CUIT]],Lista_CUIT[#All],2,0)),"CUIT NO CARGADO")</f>
        <v>-</v>
      </c>
      <c r="H1144" s="100">
        <f>ventas_b_mes1255[[#This Row],[TOTAL]]/1.21</f>
        <v>0</v>
      </c>
      <c r="I1144" s="64">
        <f>ventas_b_mes1255[[#This Row],[IMPORTE NETO]]*0.21</f>
        <v>0</v>
      </c>
      <c r="J1144" s="184"/>
      <c r="K1144" s="184"/>
      <c r="L1144" s="184"/>
      <c r="M1144" s="59"/>
    </row>
    <row r="1145" spans="2:13" x14ac:dyDescent="0.3">
      <c r="B1145" s="178"/>
      <c r="C1145" s="41"/>
      <c r="D1145" s="180"/>
      <c r="E1145" s="181"/>
      <c r="F1145" s="182"/>
      <c r="G1145" s="1" t="str">
        <f>IFERROR(IF(ventas_b_mes1255[[#This Row],[CUIT]]="","-",VLOOKUP(ventas_b_mes1255[[#This Row],[CUIT]],Lista_CUIT[#All],2,0)),"CUIT NO CARGADO")</f>
        <v>-</v>
      </c>
      <c r="H1145" s="100">
        <f>ventas_b_mes1255[[#This Row],[TOTAL]]/1.21</f>
        <v>0</v>
      </c>
      <c r="I1145" s="64">
        <f>ventas_b_mes1255[[#This Row],[IMPORTE NETO]]*0.21</f>
        <v>0</v>
      </c>
      <c r="J1145" s="184"/>
      <c r="K1145" s="184"/>
      <c r="L1145" s="184"/>
      <c r="M1145" s="59"/>
    </row>
    <row r="1146" spans="2:13" x14ac:dyDescent="0.3">
      <c r="B1146" s="178"/>
      <c r="C1146" s="41"/>
      <c r="D1146" s="180"/>
      <c r="E1146" s="181"/>
      <c r="F1146" s="182"/>
      <c r="G1146" s="1" t="str">
        <f>IFERROR(IF(ventas_b_mes1255[[#This Row],[CUIT]]="","-",VLOOKUP(ventas_b_mes1255[[#This Row],[CUIT]],Lista_CUIT[#All],2,0)),"CUIT NO CARGADO")</f>
        <v>-</v>
      </c>
      <c r="H1146" s="100">
        <f>ventas_b_mes1255[[#This Row],[TOTAL]]/1.21</f>
        <v>0</v>
      </c>
      <c r="I1146" s="64">
        <f>ventas_b_mes1255[[#This Row],[IMPORTE NETO]]*0.21</f>
        <v>0</v>
      </c>
      <c r="J1146" s="184"/>
      <c r="K1146" s="184"/>
      <c r="L1146" s="184"/>
      <c r="M1146" s="59"/>
    </row>
    <row r="1147" spans="2:13" x14ac:dyDescent="0.3">
      <c r="B1147" s="178"/>
      <c r="C1147" s="41"/>
      <c r="D1147" s="180"/>
      <c r="E1147" s="181"/>
      <c r="F1147" s="182"/>
      <c r="G1147" s="1" t="str">
        <f>IFERROR(IF(ventas_b_mes1255[[#This Row],[CUIT]]="","-",VLOOKUP(ventas_b_mes1255[[#This Row],[CUIT]],Lista_CUIT[#All],2,0)),"CUIT NO CARGADO")</f>
        <v>-</v>
      </c>
      <c r="H1147" s="100">
        <f>ventas_b_mes1255[[#This Row],[TOTAL]]/1.21</f>
        <v>0</v>
      </c>
      <c r="I1147" s="64">
        <f>ventas_b_mes1255[[#This Row],[IMPORTE NETO]]*0.21</f>
        <v>0</v>
      </c>
      <c r="J1147" s="184"/>
      <c r="K1147" s="184"/>
      <c r="L1147" s="184"/>
      <c r="M1147" s="59"/>
    </row>
    <row r="1148" spans="2:13" x14ac:dyDescent="0.3">
      <c r="B1148" s="178"/>
      <c r="C1148" s="41"/>
      <c r="D1148" s="180"/>
      <c r="E1148" s="181"/>
      <c r="F1148" s="182"/>
      <c r="G1148" s="1" t="str">
        <f>IFERROR(IF(ventas_b_mes1255[[#This Row],[CUIT]]="","-",VLOOKUP(ventas_b_mes1255[[#This Row],[CUIT]],Lista_CUIT[#All],2,0)),"CUIT NO CARGADO")</f>
        <v>-</v>
      </c>
      <c r="H1148" s="100">
        <f>ventas_b_mes1255[[#This Row],[TOTAL]]/1.21</f>
        <v>0</v>
      </c>
      <c r="I1148" s="64">
        <f>ventas_b_mes1255[[#This Row],[IMPORTE NETO]]*0.21</f>
        <v>0</v>
      </c>
      <c r="J1148" s="184"/>
      <c r="K1148" s="184"/>
      <c r="L1148" s="184"/>
      <c r="M1148" s="59"/>
    </row>
    <row r="1149" spans="2:13" x14ac:dyDescent="0.3">
      <c r="B1149" s="178"/>
      <c r="C1149" s="41"/>
      <c r="D1149" s="180"/>
      <c r="E1149" s="181"/>
      <c r="F1149" s="182"/>
      <c r="G1149" s="1" t="str">
        <f>IFERROR(IF(ventas_b_mes1255[[#This Row],[CUIT]]="","-",VLOOKUP(ventas_b_mes1255[[#This Row],[CUIT]],Lista_CUIT[#All],2,0)),"CUIT NO CARGADO")</f>
        <v>-</v>
      </c>
      <c r="H1149" s="100">
        <f>ventas_b_mes1255[[#This Row],[TOTAL]]/1.21</f>
        <v>0</v>
      </c>
      <c r="I1149" s="64">
        <f>ventas_b_mes1255[[#This Row],[IMPORTE NETO]]*0.21</f>
        <v>0</v>
      </c>
      <c r="J1149" s="184"/>
      <c r="K1149" s="184"/>
      <c r="L1149" s="184"/>
      <c r="M1149" s="59"/>
    </row>
    <row r="1150" spans="2:13" x14ac:dyDescent="0.3">
      <c r="B1150" s="178"/>
      <c r="C1150" s="41"/>
      <c r="D1150" s="180"/>
      <c r="E1150" s="181"/>
      <c r="F1150" s="182"/>
      <c r="G1150" s="1" t="str">
        <f>IFERROR(IF(ventas_b_mes1255[[#This Row],[CUIT]]="","-",VLOOKUP(ventas_b_mes1255[[#This Row],[CUIT]],Lista_CUIT[#All],2,0)),"CUIT NO CARGADO")</f>
        <v>-</v>
      </c>
      <c r="H1150" s="100">
        <f>ventas_b_mes1255[[#This Row],[TOTAL]]/1.21</f>
        <v>0</v>
      </c>
      <c r="I1150" s="64">
        <f>ventas_b_mes1255[[#This Row],[IMPORTE NETO]]*0.21</f>
        <v>0</v>
      </c>
      <c r="J1150" s="184"/>
      <c r="K1150" s="184"/>
      <c r="L1150" s="184"/>
      <c r="M1150" s="59"/>
    </row>
    <row r="1151" spans="2:13" x14ac:dyDescent="0.3">
      <c r="B1151" s="178"/>
      <c r="C1151" s="41"/>
      <c r="D1151" s="180"/>
      <c r="E1151" s="181"/>
      <c r="F1151" s="182"/>
      <c r="G1151" s="1" t="str">
        <f>IFERROR(IF(ventas_b_mes1255[[#This Row],[CUIT]]="","-",VLOOKUP(ventas_b_mes1255[[#This Row],[CUIT]],Lista_CUIT[#All],2,0)),"CUIT NO CARGADO")</f>
        <v>-</v>
      </c>
      <c r="H1151" s="100">
        <f>ventas_b_mes1255[[#This Row],[TOTAL]]/1.21</f>
        <v>0</v>
      </c>
      <c r="I1151" s="64">
        <f>ventas_b_mes1255[[#This Row],[IMPORTE NETO]]*0.21</f>
        <v>0</v>
      </c>
      <c r="J1151" s="184"/>
      <c r="K1151" s="184"/>
      <c r="L1151" s="184"/>
      <c r="M1151" s="59"/>
    </row>
    <row r="1152" spans="2:13" x14ac:dyDescent="0.3">
      <c r="B1152" s="178"/>
      <c r="C1152" s="41"/>
      <c r="D1152" s="180"/>
      <c r="E1152" s="181"/>
      <c r="F1152" s="182"/>
      <c r="G1152" s="1" t="str">
        <f>IFERROR(IF(ventas_b_mes1255[[#This Row],[CUIT]]="","-",VLOOKUP(ventas_b_mes1255[[#This Row],[CUIT]],Lista_CUIT[#All],2,0)),"CUIT NO CARGADO")</f>
        <v>-</v>
      </c>
      <c r="H1152" s="100">
        <f>ventas_b_mes1255[[#This Row],[TOTAL]]/1.21</f>
        <v>0</v>
      </c>
      <c r="I1152" s="64">
        <f>ventas_b_mes1255[[#This Row],[IMPORTE NETO]]*0.21</f>
        <v>0</v>
      </c>
      <c r="J1152" s="184"/>
      <c r="K1152" s="184"/>
      <c r="L1152" s="184"/>
      <c r="M1152" s="59"/>
    </row>
    <row r="1153" spans="2:13" x14ac:dyDescent="0.3">
      <c r="B1153" s="178"/>
      <c r="C1153" s="41"/>
      <c r="D1153" s="180"/>
      <c r="E1153" s="181"/>
      <c r="F1153" s="182"/>
      <c r="G1153" s="1" t="str">
        <f>IFERROR(IF(ventas_b_mes1255[[#This Row],[CUIT]]="","-",VLOOKUP(ventas_b_mes1255[[#This Row],[CUIT]],Lista_CUIT[#All],2,0)),"CUIT NO CARGADO")</f>
        <v>-</v>
      </c>
      <c r="H1153" s="100">
        <f>ventas_b_mes1255[[#This Row],[TOTAL]]/1.21</f>
        <v>0</v>
      </c>
      <c r="I1153" s="64">
        <f>ventas_b_mes1255[[#This Row],[IMPORTE NETO]]*0.21</f>
        <v>0</v>
      </c>
      <c r="J1153" s="184"/>
      <c r="K1153" s="184"/>
      <c r="L1153" s="184"/>
      <c r="M1153" s="59"/>
    </row>
    <row r="1154" spans="2:13" x14ac:dyDescent="0.3">
      <c r="B1154" s="178"/>
      <c r="C1154" s="41"/>
      <c r="D1154" s="180"/>
      <c r="E1154" s="181"/>
      <c r="F1154" s="182"/>
      <c r="G1154" s="1" t="str">
        <f>IFERROR(IF(ventas_b_mes1255[[#This Row],[CUIT]]="","-",VLOOKUP(ventas_b_mes1255[[#This Row],[CUIT]],Lista_CUIT[#All],2,0)),"CUIT NO CARGADO")</f>
        <v>-</v>
      </c>
      <c r="H1154" s="100">
        <f>ventas_b_mes1255[[#This Row],[TOTAL]]/1.21</f>
        <v>0</v>
      </c>
      <c r="I1154" s="64">
        <f>ventas_b_mes1255[[#This Row],[IMPORTE NETO]]*0.21</f>
        <v>0</v>
      </c>
      <c r="J1154" s="184"/>
      <c r="K1154" s="184"/>
      <c r="L1154" s="184"/>
      <c r="M1154" s="59"/>
    </row>
    <row r="1155" spans="2:13" x14ac:dyDescent="0.3">
      <c r="B1155" s="178"/>
      <c r="C1155" s="41"/>
      <c r="D1155" s="180"/>
      <c r="E1155" s="181"/>
      <c r="F1155" s="182"/>
      <c r="G1155" s="1" t="str">
        <f>IFERROR(IF(ventas_b_mes1255[[#This Row],[CUIT]]="","-",VLOOKUP(ventas_b_mes1255[[#This Row],[CUIT]],Lista_CUIT[#All],2,0)),"CUIT NO CARGADO")</f>
        <v>-</v>
      </c>
      <c r="H1155" s="100">
        <f>ventas_b_mes1255[[#This Row],[TOTAL]]/1.21</f>
        <v>0</v>
      </c>
      <c r="I1155" s="64">
        <f>ventas_b_mes1255[[#This Row],[IMPORTE NETO]]*0.21</f>
        <v>0</v>
      </c>
      <c r="J1155" s="184"/>
      <c r="K1155" s="184"/>
      <c r="L1155" s="184"/>
      <c r="M1155" s="59"/>
    </row>
    <row r="1156" spans="2:13" x14ac:dyDescent="0.3">
      <c r="B1156" s="178"/>
      <c r="C1156" s="41"/>
      <c r="D1156" s="180"/>
      <c r="E1156" s="181"/>
      <c r="F1156" s="182"/>
      <c r="G1156" s="1" t="str">
        <f>IFERROR(IF(ventas_b_mes1255[[#This Row],[CUIT]]="","-",VLOOKUP(ventas_b_mes1255[[#This Row],[CUIT]],Lista_CUIT[#All],2,0)),"CUIT NO CARGADO")</f>
        <v>-</v>
      </c>
      <c r="H1156" s="100">
        <f>ventas_b_mes1255[[#This Row],[TOTAL]]/1.21</f>
        <v>0</v>
      </c>
      <c r="I1156" s="64">
        <f>ventas_b_mes1255[[#This Row],[IMPORTE NETO]]*0.21</f>
        <v>0</v>
      </c>
      <c r="J1156" s="184"/>
      <c r="K1156" s="184"/>
      <c r="L1156" s="184"/>
      <c r="M1156" s="59"/>
    </row>
    <row r="1157" spans="2:13" x14ac:dyDescent="0.3">
      <c r="B1157" s="178"/>
      <c r="C1157" s="41"/>
      <c r="D1157" s="180"/>
      <c r="E1157" s="181"/>
      <c r="F1157" s="182"/>
      <c r="G1157" s="1" t="str">
        <f>IFERROR(IF(ventas_b_mes1255[[#This Row],[CUIT]]="","-",VLOOKUP(ventas_b_mes1255[[#This Row],[CUIT]],Lista_CUIT[#All],2,0)),"CUIT NO CARGADO")</f>
        <v>-</v>
      </c>
      <c r="H1157" s="100">
        <f>ventas_b_mes1255[[#This Row],[TOTAL]]/1.21</f>
        <v>0</v>
      </c>
      <c r="I1157" s="64">
        <f>ventas_b_mes1255[[#This Row],[IMPORTE NETO]]*0.21</f>
        <v>0</v>
      </c>
      <c r="J1157" s="184"/>
      <c r="K1157" s="184"/>
      <c r="L1157" s="184"/>
      <c r="M1157" s="59"/>
    </row>
    <row r="1158" spans="2:13" x14ac:dyDescent="0.3">
      <c r="B1158" s="178"/>
      <c r="C1158" s="41"/>
      <c r="D1158" s="180"/>
      <c r="E1158" s="181"/>
      <c r="F1158" s="182"/>
      <c r="G1158" s="1" t="str">
        <f>IFERROR(IF(ventas_b_mes1255[[#This Row],[CUIT]]="","-",VLOOKUP(ventas_b_mes1255[[#This Row],[CUIT]],Lista_CUIT[#All],2,0)),"CUIT NO CARGADO")</f>
        <v>-</v>
      </c>
      <c r="H1158" s="100">
        <f>ventas_b_mes1255[[#This Row],[TOTAL]]/1.21</f>
        <v>0</v>
      </c>
      <c r="I1158" s="64">
        <f>ventas_b_mes1255[[#This Row],[IMPORTE NETO]]*0.21</f>
        <v>0</v>
      </c>
      <c r="J1158" s="184"/>
      <c r="K1158" s="184"/>
      <c r="L1158" s="184"/>
      <c r="M1158" s="59"/>
    </row>
    <row r="1159" spans="2:13" x14ac:dyDescent="0.3">
      <c r="B1159" s="178"/>
      <c r="C1159" s="41"/>
      <c r="D1159" s="180"/>
      <c r="E1159" s="181"/>
      <c r="F1159" s="182"/>
      <c r="G1159" s="1" t="str">
        <f>IFERROR(IF(ventas_b_mes1255[[#This Row],[CUIT]]="","-",VLOOKUP(ventas_b_mes1255[[#This Row],[CUIT]],Lista_CUIT[#All],2,0)),"CUIT NO CARGADO")</f>
        <v>-</v>
      </c>
      <c r="H1159" s="100">
        <f>ventas_b_mes1255[[#This Row],[TOTAL]]/1.21</f>
        <v>0</v>
      </c>
      <c r="I1159" s="64">
        <f>ventas_b_mes1255[[#This Row],[IMPORTE NETO]]*0.21</f>
        <v>0</v>
      </c>
      <c r="J1159" s="184"/>
      <c r="K1159" s="184"/>
      <c r="L1159" s="184"/>
      <c r="M1159" s="59"/>
    </row>
    <row r="1160" spans="2:13" x14ac:dyDescent="0.3">
      <c r="B1160" s="178"/>
      <c r="C1160" s="41"/>
      <c r="D1160" s="180"/>
      <c r="E1160" s="181"/>
      <c r="F1160" s="182"/>
      <c r="G1160" s="1" t="str">
        <f>IFERROR(IF(ventas_b_mes1255[[#This Row],[CUIT]]="","-",VLOOKUP(ventas_b_mes1255[[#This Row],[CUIT]],Lista_CUIT[#All],2,0)),"CUIT NO CARGADO")</f>
        <v>-</v>
      </c>
      <c r="H1160" s="100">
        <f>ventas_b_mes1255[[#This Row],[TOTAL]]/1.21</f>
        <v>0</v>
      </c>
      <c r="I1160" s="64">
        <f>ventas_b_mes1255[[#This Row],[IMPORTE NETO]]*0.21</f>
        <v>0</v>
      </c>
      <c r="J1160" s="184"/>
      <c r="K1160" s="184"/>
      <c r="L1160" s="184"/>
      <c r="M1160" s="59"/>
    </row>
    <row r="1161" spans="2:13" x14ac:dyDescent="0.3">
      <c r="B1161" s="178"/>
      <c r="C1161" s="41"/>
      <c r="D1161" s="180"/>
      <c r="E1161" s="181"/>
      <c r="F1161" s="182"/>
      <c r="G1161" s="1" t="str">
        <f>IFERROR(IF(ventas_b_mes1255[[#This Row],[CUIT]]="","-",VLOOKUP(ventas_b_mes1255[[#This Row],[CUIT]],Lista_CUIT[#All],2,0)),"CUIT NO CARGADO")</f>
        <v>-</v>
      </c>
      <c r="H1161" s="100">
        <f>ventas_b_mes1255[[#This Row],[TOTAL]]/1.21</f>
        <v>0</v>
      </c>
      <c r="I1161" s="64">
        <f>ventas_b_mes1255[[#This Row],[IMPORTE NETO]]*0.21</f>
        <v>0</v>
      </c>
      <c r="J1161" s="184"/>
      <c r="K1161" s="184"/>
      <c r="L1161" s="184"/>
      <c r="M1161" s="59"/>
    </row>
    <row r="1162" spans="2:13" x14ac:dyDescent="0.3">
      <c r="B1162" s="178"/>
      <c r="C1162" s="41"/>
      <c r="D1162" s="180"/>
      <c r="E1162" s="181"/>
      <c r="F1162" s="182"/>
      <c r="G1162" s="1" t="str">
        <f>IFERROR(IF(ventas_b_mes1255[[#This Row],[CUIT]]="","-",VLOOKUP(ventas_b_mes1255[[#This Row],[CUIT]],Lista_CUIT[#All],2,0)),"CUIT NO CARGADO")</f>
        <v>-</v>
      </c>
      <c r="H1162" s="100">
        <f>ventas_b_mes1255[[#This Row],[TOTAL]]/1.21</f>
        <v>0</v>
      </c>
      <c r="I1162" s="64">
        <f>ventas_b_mes1255[[#This Row],[IMPORTE NETO]]*0.21</f>
        <v>0</v>
      </c>
      <c r="J1162" s="184"/>
      <c r="K1162" s="184"/>
      <c r="L1162" s="184"/>
      <c r="M1162" s="59"/>
    </row>
    <row r="1163" spans="2:13" x14ac:dyDescent="0.3">
      <c r="B1163" s="178"/>
      <c r="C1163" s="41"/>
      <c r="D1163" s="180"/>
      <c r="E1163" s="181"/>
      <c r="F1163" s="182"/>
      <c r="G1163" s="1" t="str">
        <f>IFERROR(IF(ventas_b_mes1255[[#This Row],[CUIT]]="","-",VLOOKUP(ventas_b_mes1255[[#This Row],[CUIT]],Lista_CUIT[#All],2,0)),"CUIT NO CARGADO")</f>
        <v>-</v>
      </c>
      <c r="H1163" s="100">
        <f>ventas_b_mes1255[[#This Row],[TOTAL]]/1.21</f>
        <v>0</v>
      </c>
      <c r="I1163" s="64">
        <f>ventas_b_mes1255[[#This Row],[IMPORTE NETO]]*0.21</f>
        <v>0</v>
      </c>
      <c r="J1163" s="184"/>
      <c r="K1163" s="184"/>
      <c r="L1163" s="184"/>
      <c r="M1163" s="59"/>
    </row>
    <row r="1164" spans="2:13" x14ac:dyDescent="0.3">
      <c r="B1164" s="178"/>
      <c r="C1164" s="41"/>
      <c r="D1164" s="180"/>
      <c r="E1164" s="181"/>
      <c r="F1164" s="182"/>
      <c r="G1164" s="1" t="str">
        <f>IFERROR(IF(ventas_b_mes1255[[#This Row],[CUIT]]="","-",VLOOKUP(ventas_b_mes1255[[#This Row],[CUIT]],Lista_CUIT[#All],2,0)),"CUIT NO CARGADO")</f>
        <v>-</v>
      </c>
      <c r="H1164" s="100">
        <f>ventas_b_mes1255[[#This Row],[TOTAL]]/1.21</f>
        <v>0</v>
      </c>
      <c r="I1164" s="64">
        <f>ventas_b_mes1255[[#This Row],[IMPORTE NETO]]*0.21</f>
        <v>0</v>
      </c>
      <c r="J1164" s="184"/>
      <c r="K1164" s="184"/>
      <c r="L1164" s="184"/>
      <c r="M1164" s="59"/>
    </row>
    <row r="1165" spans="2:13" x14ac:dyDescent="0.3">
      <c r="B1165" s="178"/>
      <c r="C1165" s="41"/>
      <c r="D1165" s="180"/>
      <c r="E1165" s="181"/>
      <c r="F1165" s="182"/>
      <c r="G1165" s="1" t="str">
        <f>IFERROR(IF(ventas_b_mes1255[[#This Row],[CUIT]]="","-",VLOOKUP(ventas_b_mes1255[[#This Row],[CUIT]],Lista_CUIT[#All],2,0)),"CUIT NO CARGADO")</f>
        <v>-</v>
      </c>
      <c r="H1165" s="100">
        <f>ventas_b_mes1255[[#This Row],[TOTAL]]/1.21</f>
        <v>0</v>
      </c>
      <c r="I1165" s="64">
        <f>ventas_b_mes1255[[#This Row],[IMPORTE NETO]]*0.21</f>
        <v>0</v>
      </c>
      <c r="J1165" s="184"/>
      <c r="K1165" s="184"/>
      <c r="L1165" s="184"/>
      <c r="M1165" s="59"/>
    </row>
    <row r="1166" spans="2:13" x14ac:dyDescent="0.3">
      <c r="B1166" s="178"/>
      <c r="C1166" s="41"/>
      <c r="D1166" s="180"/>
      <c r="E1166" s="181"/>
      <c r="F1166" s="182"/>
      <c r="G1166" s="1" t="str">
        <f>IFERROR(IF(ventas_b_mes1255[[#This Row],[CUIT]]="","-",VLOOKUP(ventas_b_mes1255[[#This Row],[CUIT]],Lista_CUIT[#All],2,0)),"CUIT NO CARGADO")</f>
        <v>-</v>
      </c>
      <c r="H1166" s="100">
        <f>ventas_b_mes1255[[#This Row],[TOTAL]]/1.21</f>
        <v>0</v>
      </c>
      <c r="I1166" s="64">
        <f>ventas_b_mes1255[[#This Row],[IMPORTE NETO]]*0.21</f>
        <v>0</v>
      </c>
      <c r="J1166" s="184"/>
      <c r="K1166" s="184"/>
      <c r="L1166" s="184"/>
      <c r="M1166" s="59"/>
    </row>
    <row r="1167" spans="2:13" x14ac:dyDescent="0.3">
      <c r="B1167" s="178"/>
      <c r="C1167" s="41"/>
      <c r="D1167" s="180"/>
      <c r="E1167" s="181"/>
      <c r="F1167" s="182"/>
      <c r="G1167" s="1" t="str">
        <f>IFERROR(IF(ventas_b_mes1255[[#This Row],[CUIT]]="","-",VLOOKUP(ventas_b_mes1255[[#This Row],[CUIT]],Lista_CUIT[#All],2,0)),"CUIT NO CARGADO")</f>
        <v>-</v>
      </c>
      <c r="H1167" s="100">
        <f>ventas_b_mes1255[[#This Row],[TOTAL]]/1.21</f>
        <v>0</v>
      </c>
      <c r="I1167" s="64">
        <f>ventas_b_mes1255[[#This Row],[IMPORTE NETO]]*0.21</f>
        <v>0</v>
      </c>
      <c r="J1167" s="184"/>
      <c r="K1167" s="184"/>
      <c r="L1167" s="184"/>
      <c r="M1167" s="59"/>
    </row>
    <row r="1168" spans="2:13" x14ac:dyDescent="0.3">
      <c r="B1168" s="178"/>
      <c r="C1168" s="41"/>
      <c r="D1168" s="180"/>
      <c r="E1168" s="181"/>
      <c r="F1168" s="182"/>
      <c r="G1168" s="1" t="str">
        <f>IFERROR(IF(ventas_b_mes1255[[#This Row],[CUIT]]="","-",VLOOKUP(ventas_b_mes1255[[#This Row],[CUIT]],Lista_CUIT[#All],2,0)),"CUIT NO CARGADO")</f>
        <v>-</v>
      </c>
      <c r="H1168" s="100">
        <f>ventas_b_mes1255[[#This Row],[TOTAL]]/1.21</f>
        <v>0</v>
      </c>
      <c r="I1168" s="64">
        <f>ventas_b_mes1255[[#This Row],[IMPORTE NETO]]*0.21</f>
        <v>0</v>
      </c>
      <c r="J1168" s="184"/>
      <c r="K1168" s="184"/>
      <c r="L1168" s="184"/>
      <c r="M1168" s="59"/>
    </row>
    <row r="1169" spans="2:13" x14ac:dyDescent="0.3">
      <c r="B1169" s="178"/>
      <c r="C1169" s="41"/>
      <c r="D1169" s="180"/>
      <c r="E1169" s="181"/>
      <c r="F1169" s="182"/>
      <c r="G1169" s="1" t="str">
        <f>IFERROR(IF(ventas_b_mes1255[[#This Row],[CUIT]]="","-",VLOOKUP(ventas_b_mes1255[[#This Row],[CUIT]],Lista_CUIT[#All],2,0)),"CUIT NO CARGADO")</f>
        <v>-</v>
      </c>
      <c r="H1169" s="100">
        <f>ventas_b_mes1255[[#This Row],[TOTAL]]/1.21</f>
        <v>0</v>
      </c>
      <c r="I1169" s="64">
        <f>ventas_b_mes1255[[#This Row],[IMPORTE NETO]]*0.21</f>
        <v>0</v>
      </c>
      <c r="J1169" s="184"/>
      <c r="K1169" s="184"/>
      <c r="L1169" s="184"/>
      <c r="M1169" s="59"/>
    </row>
    <row r="1170" spans="2:13" x14ac:dyDescent="0.3">
      <c r="B1170" s="178"/>
      <c r="C1170" s="41"/>
      <c r="D1170" s="180"/>
      <c r="E1170" s="181"/>
      <c r="F1170" s="182"/>
      <c r="G1170" s="1" t="str">
        <f>IFERROR(IF(ventas_b_mes1255[[#This Row],[CUIT]]="","-",VLOOKUP(ventas_b_mes1255[[#This Row],[CUIT]],Lista_CUIT[#All],2,0)),"CUIT NO CARGADO")</f>
        <v>-</v>
      </c>
      <c r="H1170" s="100">
        <f>ventas_b_mes1255[[#This Row],[TOTAL]]/1.21</f>
        <v>0</v>
      </c>
      <c r="I1170" s="64">
        <f>ventas_b_mes1255[[#This Row],[IMPORTE NETO]]*0.21</f>
        <v>0</v>
      </c>
      <c r="J1170" s="184"/>
      <c r="K1170" s="184"/>
      <c r="L1170" s="184"/>
      <c r="M1170" s="59"/>
    </row>
    <row r="1171" spans="2:13" x14ac:dyDescent="0.3">
      <c r="B1171" s="178"/>
      <c r="C1171" s="41"/>
      <c r="D1171" s="180"/>
      <c r="E1171" s="181"/>
      <c r="F1171" s="182"/>
      <c r="G1171" s="1" t="str">
        <f>IFERROR(IF(ventas_b_mes1255[[#This Row],[CUIT]]="","-",VLOOKUP(ventas_b_mes1255[[#This Row],[CUIT]],Lista_CUIT[#All],2,0)),"CUIT NO CARGADO")</f>
        <v>-</v>
      </c>
      <c r="H1171" s="100">
        <f>ventas_b_mes1255[[#This Row],[TOTAL]]/1.21</f>
        <v>0</v>
      </c>
      <c r="I1171" s="64">
        <f>ventas_b_mes1255[[#This Row],[IMPORTE NETO]]*0.21</f>
        <v>0</v>
      </c>
      <c r="J1171" s="184"/>
      <c r="K1171" s="184"/>
      <c r="L1171" s="184"/>
      <c r="M1171" s="59"/>
    </row>
    <row r="1172" spans="2:13" x14ac:dyDescent="0.3">
      <c r="B1172" s="178"/>
      <c r="C1172" s="41"/>
      <c r="D1172" s="180"/>
      <c r="E1172" s="181"/>
      <c r="F1172" s="182"/>
      <c r="G1172" s="1" t="str">
        <f>IFERROR(IF(ventas_b_mes1255[[#This Row],[CUIT]]="","-",VLOOKUP(ventas_b_mes1255[[#This Row],[CUIT]],Lista_CUIT[#All],2,0)),"CUIT NO CARGADO")</f>
        <v>-</v>
      </c>
      <c r="H1172" s="100">
        <f>ventas_b_mes1255[[#This Row],[TOTAL]]/1.21</f>
        <v>0</v>
      </c>
      <c r="I1172" s="64">
        <f>ventas_b_mes1255[[#This Row],[IMPORTE NETO]]*0.21</f>
        <v>0</v>
      </c>
      <c r="J1172" s="184"/>
      <c r="K1172" s="184"/>
      <c r="L1172" s="184"/>
      <c r="M1172" s="59"/>
    </row>
    <row r="1173" spans="2:13" x14ac:dyDescent="0.3">
      <c r="B1173" s="178"/>
      <c r="C1173" s="41"/>
      <c r="D1173" s="180"/>
      <c r="E1173" s="181"/>
      <c r="F1173" s="182"/>
      <c r="G1173" s="1" t="str">
        <f>IFERROR(IF(ventas_b_mes1255[[#This Row],[CUIT]]="","-",VLOOKUP(ventas_b_mes1255[[#This Row],[CUIT]],Lista_CUIT[#All],2,0)),"CUIT NO CARGADO")</f>
        <v>-</v>
      </c>
      <c r="H1173" s="100">
        <f>ventas_b_mes1255[[#This Row],[TOTAL]]/1.21</f>
        <v>0</v>
      </c>
      <c r="I1173" s="64">
        <f>ventas_b_mes1255[[#This Row],[IMPORTE NETO]]*0.21</f>
        <v>0</v>
      </c>
      <c r="J1173" s="184"/>
      <c r="K1173" s="184"/>
      <c r="L1173" s="184"/>
      <c r="M1173" s="59"/>
    </row>
    <row r="1174" spans="2:13" x14ac:dyDescent="0.3">
      <c r="B1174" s="178"/>
      <c r="C1174" s="41"/>
      <c r="D1174" s="180"/>
      <c r="E1174" s="181"/>
      <c r="F1174" s="182"/>
      <c r="G1174" s="1" t="str">
        <f>IFERROR(IF(ventas_b_mes1255[[#This Row],[CUIT]]="","-",VLOOKUP(ventas_b_mes1255[[#This Row],[CUIT]],Lista_CUIT[#All],2,0)),"CUIT NO CARGADO")</f>
        <v>-</v>
      </c>
      <c r="H1174" s="100">
        <f>ventas_b_mes1255[[#This Row],[TOTAL]]/1.21</f>
        <v>0</v>
      </c>
      <c r="I1174" s="64">
        <f>ventas_b_mes1255[[#This Row],[IMPORTE NETO]]*0.21</f>
        <v>0</v>
      </c>
      <c r="J1174" s="184"/>
      <c r="K1174" s="184"/>
      <c r="L1174" s="184"/>
      <c r="M1174" s="59"/>
    </row>
    <row r="1175" spans="2:13" x14ac:dyDescent="0.3">
      <c r="B1175" s="178"/>
      <c r="C1175" s="41"/>
      <c r="D1175" s="180"/>
      <c r="E1175" s="181"/>
      <c r="F1175" s="182"/>
      <c r="G1175" s="1" t="str">
        <f>IFERROR(IF(ventas_b_mes1255[[#This Row],[CUIT]]="","-",VLOOKUP(ventas_b_mes1255[[#This Row],[CUIT]],Lista_CUIT[#All],2,0)),"CUIT NO CARGADO")</f>
        <v>-</v>
      </c>
      <c r="H1175" s="100">
        <f>ventas_b_mes1255[[#This Row],[TOTAL]]/1.21</f>
        <v>0</v>
      </c>
      <c r="I1175" s="64">
        <f>ventas_b_mes1255[[#This Row],[IMPORTE NETO]]*0.21</f>
        <v>0</v>
      </c>
      <c r="J1175" s="184"/>
      <c r="K1175" s="184"/>
      <c r="L1175" s="184"/>
      <c r="M1175" s="59"/>
    </row>
    <row r="1176" spans="2:13" x14ac:dyDescent="0.3">
      <c r="B1176" s="178"/>
      <c r="C1176" s="41"/>
      <c r="D1176" s="180"/>
      <c r="E1176" s="181"/>
      <c r="F1176" s="182"/>
      <c r="G1176" s="1" t="str">
        <f>IFERROR(IF(ventas_b_mes1255[[#This Row],[CUIT]]="","-",VLOOKUP(ventas_b_mes1255[[#This Row],[CUIT]],Lista_CUIT[#All],2,0)),"CUIT NO CARGADO")</f>
        <v>-</v>
      </c>
      <c r="H1176" s="100">
        <f>ventas_b_mes1255[[#This Row],[TOTAL]]/1.21</f>
        <v>0</v>
      </c>
      <c r="I1176" s="64">
        <f>ventas_b_mes1255[[#This Row],[IMPORTE NETO]]*0.21</f>
        <v>0</v>
      </c>
      <c r="J1176" s="184"/>
      <c r="K1176" s="184"/>
      <c r="L1176" s="184"/>
      <c r="M1176" s="59"/>
    </row>
    <row r="1177" spans="2:13" x14ac:dyDescent="0.3">
      <c r="B1177" s="178"/>
      <c r="C1177" s="41"/>
      <c r="D1177" s="180"/>
      <c r="E1177" s="181"/>
      <c r="F1177" s="182"/>
      <c r="G1177" s="1" t="str">
        <f>IFERROR(IF(ventas_b_mes1255[[#This Row],[CUIT]]="","-",VLOOKUP(ventas_b_mes1255[[#This Row],[CUIT]],Lista_CUIT[#All],2,0)),"CUIT NO CARGADO")</f>
        <v>-</v>
      </c>
      <c r="H1177" s="100">
        <f>ventas_b_mes1255[[#This Row],[TOTAL]]/1.21</f>
        <v>0</v>
      </c>
      <c r="I1177" s="64">
        <f>ventas_b_mes1255[[#This Row],[IMPORTE NETO]]*0.21</f>
        <v>0</v>
      </c>
      <c r="J1177" s="184"/>
      <c r="K1177" s="184"/>
      <c r="L1177" s="184"/>
      <c r="M1177" s="59"/>
    </row>
    <row r="1178" spans="2:13" x14ac:dyDescent="0.3">
      <c r="B1178" s="178"/>
      <c r="C1178" s="41"/>
      <c r="D1178" s="180"/>
      <c r="E1178" s="181"/>
      <c r="F1178" s="182"/>
      <c r="G1178" s="1" t="str">
        <f>IFERROR(IF(ventas_b_mes1255[[#This Row],[CUIT]]="","-",VLOOKUP(ventas_b_mes1255[[#This Row],[CUIT]],Lista_CUIT[#All],2,0)),"CUIT NO CARGADO")</f>
        <v>-</v>
      </c>
      <c r="H1178" s="100">
        <f>ventas_b_mes1255[[#This Row],[TOTAL]]/1.21</f>
        <v>0</v>
      </c>
      <c r="I1178" s="64">
        <f>ventas_b_mes1255[[#This Row],[IMPORTE NETO]]*0.21</f>
        <v>0</v>
      </c>
      <c r="J1178" s="184"/>
      <c r="K1178" s="184"/>
      <c r="L1178" s="184"/>
      <c r="M1178" s="59"/>
    </row>
    <row r="1179" spans="2:13" x14ac:dyDescent="0.3">
      <c r="B1179" s="178"/>
      <c r="C1179" s="41"/>
      <c r="D1179" s="180"/>
      <c r="E1179" s="181"/>
      <c r="F1179" s="182"/>
      <c r="G1179" s="1" t="str">
        <f>IFERROR(IF(ventas_b_mes1255[[#This Row],[CUIT]]="","-",VLOOKUP(ventas_b_mes1255[[#This Row],[CUIT]],Lista_CUIT[#All],2,0)),"CUIT NO CARGADO")</f>
        <v>-</v>
      </c>
      <c r="H1179" s="100">
        <f>ventas_b_mes1255[[#This Row],[TOTAL]]/1.21</f>
        <v>0</v>
      </c>
      <c r="I1179" s="64">
        <f>ventas_b_mes1255[[#This Row],[IMPORTE NETO]]*0.21</f>
        <v>0</v>
      </c>
      <c r="J1179" s="184"/>
      <c r="K1179" s="184"/>
      <c r="L1179" s="184"/>
      <c r="M1179" s="59"/>
    </row>
    <row r="1180" spans="2:13" x14ac:dyDescent="0.3">
      <c r="B1180" s="178"/>
      <c r="C1180" s="41"/>
      <c r="D1180" s="180"/>
      <c r="E1180" s="181"/>
      <c r="F1180" s="182"/>
      <c r="G1180" s="1" t="str">
        <f>IFERROR(IF(ventas_b_mes1255[[#This Row],[CUIT]]="","-",VLOOKUP(ventas_b_mes1255[[#This Row],[CUIT]],Lista_CUIT[#All],2,0)),"CUIT NO CARGADO")</f>
        <v>-</v>
      </c>
      <c r="H1180" s="100">
        <f>ventas_b_mes1255[[#This Row],[TOTAL]]/1.21</f>
        <v>0</v>
      </c>
      <c r="I1180" s="64">
        <f>ventas_b_mes1255[[#This Row],[IMPORTE NETO]]*0.21</f>
        <v>0</v>
      </c>
      <c r="J1180" s="184"/>
      <c r="K1180" s="184"/>
      <c r="L1180" s="184"/>
      <c r="M1180" s="59"/>
    </row>
    <row r="1181" spans="2:13" x14ac:dyDescent="0.3">
      <c r="B1181" s="178"/>
      <c r="C1181" s="41"/>
      <c r="D1181" s="180"/>
      <c r="E1181" s="181"/>
      <c r="F1181" s="182"/>
      <c r="G1181" s="1" t="str">
        <f>IFERROR(IF(ventas_b_mes1255[[#This Row],[CUIT]]="","-",VLOOKUP(ventas_b_mes1255[[#This Row],[CUIT]],Lista_CUIT[#All],2,0)),"CUIT NO CARGADO")</f>
        <v>-</v>
      </c>
      <c r="H1181" s="100">
        <f>ventas_b_mes1255[[#This Row],[TOTAL]]/1.21</f>
        <v>0</v>
      </c>
      <c r="I1181" s="64">
        <f>ventas_b_mes1255[[#This Row],[IMPORTE NETO]]*0.21</f>
        <v>0</v>
      </c>
      <c r="J1181" s="184"/>
      <c r="K1181" s="184"/>
      <c r="L1181" s="184"/>
      <c r="M1181" s="59"/>
    </row>
    <row r="1182" spans="2:13" x14ac:dyDescent="0.3">
      <c r="B1182" s="178"/>
      <c r="C1182" s="41"/>
      <c r="D1182" s="180"/>
      <c r="E1182" s="181"/>
      <c r="F1182" s="182"/>
      <c r="G1182" s="1" t="str">
        <f>IFERROR(IF(ventas_b_mes1255[[#This Row],[CUIT]]="","-",VLOOKUP(ventas_b_mes1255[[#This Row],[CUIT]],Lista_CUIT[#All],2,0)),"CUIT NO CARGADO")</f>
        <v>-</v>
      </c>
      <c r="H1182" s="100">
        <f>ventas_b_mes1255[[#This Row],[TOTAL]]/1.21</f>
        <v>0</v>
      </c>
      <c r="I1182" s="64">
        <f>ventas_b_mes1255[[#This Row],[IMPORTE NETO]]*0.21</f>
        <v>0</v>
      </c>
      <c r="J1182" s="184"/>
      <c r="K1182" s="184"/>
      <c r="L1182" s="184"/>
      <c r="M1182" s="59"/>
    </row>
    <row r="1183" spans="2:13" x14ac:dyDescent="0.3">
      <c r="B1183" s="178"/>
      <c r="C1183" s="41"/>
      <c r="D1183" s="180"/>
      <c r="E1183" s="181"/>
      <c r="F1183" s="182"/>
      <c r="G1183" s="1" t="str">
        <f>IFERROR(IF(ventas_b_mes1255[[#This Row],[CUIT]]="","-",VLOOKUP(ventas_b_mes1255[[#This Row],[CUIT]],Lista_CUIT[#All],2,0)),"CUIT NO CARGADO")</f>
        <v>-</v>
      </c>
      <c r="H1183" s="100">
        <f>ventas_b_mes1255[[#This Row],[TOTAL]]/1.21</f>
        <v>0</v>
      </c>
      <c r="I1183" s="64">
        <f>ventas_b_mes1255[[#This Row],[IMPORTE NETO]]*0.21</f>
        <v>0</v>
      </c>
      <c r="J1183" s="184"/>
      <c r="K1183" s="184"/>
      <c r="L1183" s="184"/>
      <c r="M1183" s="59"/>
    </row>
    <row r="1184" spans="2:13" x14ac:dyDescent="0.3">
      <c r="B1184" s="178"/>
      <c r="C1184" s="41"/>
      <c r="D1184" s="180"/>
      <c r="E1184" s="181"/>
      <c r="F1184" s="182"/>
      <c r="G1184" s="1" t="str">
        <f>IFERROR(IF(ventas_b_mes1255[[#This Row],[CUIT]]="","-",VLOOKUP(ventas_b_mes1255[[#This Row],[CUIT]],Lista_CUIT[#All],2,0)),"CUIT NO CARGADO")</f>
        <v>-</v>
      </c>
      <c r="H1184" s="100">
        <f>ventas_b_mes1255[[#This Row],[TOTAL]]/1.21</f>
        <v>0</v>
      </c>
      <c r="I1184" s="64">
        <f>ventas_b_mes1255[[#This Row],[IMPORTE NETO]]*0.21</f>
        <v>0</v>
      </c>
      <c r="J1184" s="184"/>
      <c r="K1184" s="184"/>
      <c r="L1184" s="184"/>
      <c r="M1184" s="59"/>
    </row>
    <row r="1185" spans="2:13" x14ac:dyDescent="0.3">
      <c r="B1185" s="178"/>
      <c r="C1185" s="41"/>
      <c r="D1185" s="180"/>
      <c r="E1185" s="181"/>
      <c r="F1185" s="182"/>
      <c r="G1185" s="1" t="str">
        <f>IFERROR(IF(ventas_b_mes1255[[#This Row],[CUIT]]="","-",VLOOKUP(ventas_b_mes1255[[#This Row],[CUIT]],Lista_CUIT[#All],2,0)),"CUIT NO CARGADO")</f>
        <v>-</v>
      </c>
      <c r="H1185" s="100">
        <f>ventas_b_mes1255[[#This Row],[TOTAL]]/1.21</f>
        <v>0</v>
      </c>
      <c r="I1185" s="64">
        <f>ventas_b_mes1255[[#This Row],[IMPORTE NETO]]*0.21</f>
        <v>0</v>
      </c>
      <c r="J1185" s="184"/>
      <c r="K1185" s="184"/>
      <c r="L1185" s="184"/>
      <c r="M1185" s="59"/>
    </row>
    <row r="1186" spans="2:13" x14ac:dyDescent="0.3">
      <c r="B1186" s="178"/>
      <c r="C1186" s="41"/>
      <c r="D1186" s="180"/>
      <c r="E1186" s="181"/>
      <c r="F1186" s="182"/>
      <c r="G1186" s="1" t="str">
        <f>IFERROR(IF(ventas_b_mes1255[[#This Row],[CUIT]]="","-",VLOOKUP(ventas_b_mes1255[[#This Row],[CUIT]],Lista_CUIT[#All],2,0)),"CUIT NO CARGADO")</f>
        <v>-</v>
      </c>
      <c r="H1186" s="100">
        <f>ventas_b_mes1255[[#This Row],[TOTAL]]/1.21</f>
        <v>0</v>
      </c>
      <c r="I1186" s="64">
        <f>ventas_b_mes1255[[#This Row],[IMPORTE NETO]]*0.21</f>
        <v>0</v>
      </c>
      <c r="J1186" s="184"/>
      <c r="K1186" s="184"/>
      <c r="L1186" s="184"/>
      <c r="M1186" s="59"/>
    </row>
    <row r="1187" spans="2:13" x14ac:dyDescent="0.3">
      <c r="B1187" s="178"/>
      <c r="C1187" s="41"/>
      <c r="D1187" s="180"/>
      <c r="E1187" s="181"/>
      <c r="F1187" s="182"/>
      <c r="G1187" s="1" t="str">
        <f>IFERROR(IF(ventas_b_mes1255[[#This Row],[CUIT]]="","-",VLOOKUP(ventas_b_mes1255[[#This Row],[CUIT]],Lista_CUIT[#All],2,0)),"CUIT NO CARGADO")</f>
        <v>-</v>
      </c>
      <c r="H1187" s="100">
        <f>ventas_b_mes1255[[#This Row],[TOTAL]]/1.21</f>
        <v>0</v>
      </c>
      <c r="I1187" s="64">
        <f>ventas_b_mes1255[[#This Row],[IMPORTE NETO]]*0.21</f>
        <v>0</v>
      </c>
      <c r="J1187" s="184"/>
      <c r="K1187" s="184"/>
      <c r="L1187" s="184"/>
      <c r="M1187" s="59"/>
    </row>
    <row r="1188" spans="2:13" x14ac:dyDescent="0.3">
      <c r="B1188" s="178"/>
      <c r="C1188" s="41"/>
      <c r="D1188" s="180"/>
      <c r="E1188" s="181"/>
      <c r="F1188" s="182"/>
      <c r="G1188" s="1" t="str">
        <f>IFERROR(IF(ventas_b_mes1255[[#This Row],[CUIT]]="","-",VLOOKUP(ventas_b_mes1255[[#This Row],[CUIT]],Lista_CUIT[#All],2,0)),"CUIT NO CARGADO")</f>
        <v>-</v>
      </c>
      <c r="H1188" s="100">
        <f>ventas_b_mes1255[[#This Row],[TOTAL]]/1.21</f>
        <v>0</v>
      </c>
      <c r="I1188" s="64">
        <f>ventas_b_mes1255[[#This Row],[IMPORTE NETO]]*0.21</f>
        <v>0</v>
      </c>
      <c r="J1188" s="184"/>
      <c r="K1188" s="184"/>
      <c r="L1188" s="184"/>
      <c r="M1188" s="59"/>
    </row>
    <row r="1189" spans="2:13" x14ac:dyDescent="0.3">
      <c r="B1189" s="178"/>
      <c r="C1189" s="41"/>
      <c r="D1189" s="180"/>
      <c r="E1189" s="181"/>
      <c r="F1189" s="182"/>
      <c r="G1189" s="1" t="str">
        <f>IFERROR(IF(ventas_b_mes1255[[#This Row],[CUIT]]="","-",VLOOKUP(ventas_b_mes1255[[#This Row],[CUIT]],Lista_CUIT[#All],2,0)),"CUIT NO CARGADO")</f>
        <v>-</v>
      </c>
      <c r="H1189" s="100">
        <f>ventas_b_mes1255[[#This Row],[TOTAL]]/1.21</f>
        <v>0</v>
      </c>
      <c r="I1189" s="64">
        <f>ventas_b_mes1255[[#This Row],[IMPORTE NETO]]*0.21</f>
        <v>0</v>
      </c>
      <c r="J1189" s="184"/>
      <c r="K1189" s="184"/>
      <c r="L1189" s="184"/>
      <c r="M1189" s="59"/>
    </row>
    <row r="1190" spans="2:13" x14ac:dyDescent="0.3">
      <c r="B1190" s="178"/>
      <c r="C1190" s="41"/>
      <c r="D1190" s="180"/>
      <c r="E1190" s="181"/>
      <c r="F1190" s="182"/>
      <c r="G1190" s="1" t="str">
        <f>IFERROR(IF(ventas_b_mes1255[[#This Row],[CUIT]]="","-",VLOOKUP(ventas_b_mes1255[[#This Row],[CUIT]],Lista_CUIT[#All],2,0)),"CUIT NO CARGADO")</f>
        <v>-</v>
      </c>
      <c r="H1190" s="100">
        <f>ventas_b_mes1255[[#This Row],[TOTAL]]/1.21</f>
        <v>0</v>
      </c>
      <c r="I1190" s="64">
        <f>ventas_b_mes1255[[#This Row],[IMPORTE NETO]]*0.21</f>
        <v>0</v>
      </c>
      <c r="J1190" s="184"/>
      <c r="K1190" s="184"/>
      <c r="L1190" s="184"/>
      <c r="M1190" s="59"/>
    </row>
    <row r="1191" spans="2:13" x14ac:dyDescent="0.3">
      <c r="B1191" s="178"/>
      <c r="C1191" s="41"/>
      <c r="D1191" s="180"/>
      <c r="E1191" s="181"/>
      <c r="F1191" s="182"/>
      <c r="G1191" s="1" t="str">
        <f>IFERROR(IF(ventas_b_mes1255[[#This Row],[CUIT]]="","-",VLOOKUP(ventas_b_mes1255[[#This Row],[CUIT]],Lista_CUIT[#All],2,0)),"CUIT NO CARGADO")</f>
        <v>-</v>
      </c>
      <c r="H1191" s="100">
        <f>ventas_b_mes1255[[#This Row],[TOTAL]]/1.21</f>
        <v>0</v>
      </c>
      <c r="I1191" s="64">
        <f>ventas_b_mes1255[[#This Row],[IMPORTE NETO]]*0.21</f>
        <v>0</v>
      </c>
      <c r="J1191" s="184"/>
      <c r="K1191" s="184"/>
      <c r="L1191" s="184"/>
      <c r="M1191" s="59"/>
    </row>
    <row r="1192" spans="2:13" x14ac:dyDescent="0.3">
      <c r="B1192" s="178"/>
      <c r="C1192" s="41"/>
      <c r="D1192" s="180"/>
      <c r="E1192" s="181"/>
      <c r="F1192" s="182"/>
      <c r="G1192" s="1" t="str">
        <f>IFERROR(IF(ventas_b_mes1255[[#This Row],[CUIT]]="","-",VLOOKUP(ventas_b_mes1255[[#This Row],[CUIT]],Lista_CUIT[#All],2,0)),"CUIT NO CARGADO")</f>
        <v>-</v>
      </c>
      <c r="H1192" s="100">
        <f>ventas_b_mes1255[[#This Row],[TOTAL]]/1.21</f>
        <v>0</v>
      </c>
      <c r="I1192" s="64">
        <f>ventas_b_mes1255[[#This Row],[IMPORTE NETO]]*0.21</f>
        <v>0</v>
      </c>
      <c r="J1192" s="184"/>
      <c r="K1192" s="184"/>
      <c r="L1192" s="184"/>
      <c r="M1192" s="59"/>
    </row>
    <row r="1193" spans="2:13" x14ac:dyDescent="0.3">
      <c r="B1193" s="178"/>
      <c r="C1193" s="41"/>
      <c r="D1193" s="180"/>
      <c r="E1193" s="181"/>
      <c r="F1193" s="182"/>
      <c r="G1193" s="1" t="str">
        <f>IFERROR(IF(ventas_b_mes1255[[#This Row],[CUIT]]="","-",VLOOKUP(ventas_b_mes1255[[#This Row],[CUIT]],Lista_CUIT[#All],2,0)),"CUIT NO CARGADO")</f>
        <v>-</v>
      </c>
      <c r="H1193" s="100">
        <f>ventas_b_mes1255[[#This Row],[TOTAL]]/1.21</f>
        <v>0</v>
      </c>
      <c r="I1193" s="64">
        <f>ventas_b_mes1255[[#This Row],[IMPORTE NETO]]*0.21</f>
        <v>0</v>
      </c>
      <c r="J1193" s="184"/>
      <c r="K1193" s="184"/>
      <c r="L1193" s="184"/>
      <c r="M1193" s="59"/>
    </row>
    <row r="1194" spans="2:13" x14ac:dyDescent="0.3">
      <c r="B1194" s="178"/>
      <c r="C1194" s="41"/>
      <c r="D1194" s="180"/>
      <c r="E1194" s="181"/>
      <c r="F1194" s="182"/>
      <c r="G1194" s="1" t="str">
        <f>IFERROR(IF(ventas_b_mes1255[[#This Row],[CUIT]]="","-",VLOOKUP(ventas_b_mes1255[[#This Row],[CUIT]],Lista_CUIT[#All],2,0)),"CUIT NO CARGADO")</f>
        <v>-</v>
      </c>
      <c r="H1194" s="100">
        <f>ventas_b_mes1255[[#This Row],[TOTAL]]/1.21</f>
        <v>0</v>
      </c>
      <c r="I1194" s="64">
        <f>ventas_b_mes1255[[#This Row],[IMPORTE NETO]]*0.21</f>
        <v>0</v>
      </c>
      <c r="J1194" s="184"/>
      <c r="K1194" s="184"/>
      <c r="L1194" s="184"/>
      <c r="M1194" s="59"/>
    </row>
    <row r="1195" spans="2:13" x14ac:dyDescent="0.3">
      <c r="B1195" s="178"/>
      <c r="C1195" s="41"/>
      <c r="D1195" s="180"/>
      <c r="E1195" s="181"/>
      <c r="F1195" s="182"/>
      <c r="G1195" s="1" t="str">
        <f>IFERROR(IF(ventas_b_mes1255[[#This Row],[CUIT]]="","-",VLOOKUP(ventas_b_mes1255[[#This Row],[CUIT]],Lista_CUIT[#All],2,0)),"CUIT NO CARGADO")</f>
        <v>-</v>
      </c>
      <c r="H1195" s="100">
        <f>ventas_b_mes1255[[#This Row],[TOTAL]]/1.21</f>
        <v>0</v>
      </c>
      <c r="I1195" s="64">
        <f>ventas_b_mes1255[[#This Row],[IMPORTE NETO]]*0.21</f>
        <v>0</v>
      </c>
      <c r="J1195" s="184"/>
      <c r="K1195" s="184"/>
      <c r="L1195" s="184"/>
      <c r="M1195" s="59"/>
    </row>
    <row r="1196" spans="2:13" x14ac:dyDescent="0.3">
      <c r="B1196" s="178"/>
      <c r="C1196" s="41"/>
      <c r="D1196" s="180"/>
      <c r="E1196" s="181"/>
      <c r="F1196" s="182"/>
      <c r="G1196" s="1" t="str">
        <f>IFERROR(IF(ventas_b_mes1255[[#This Row],[CUIT]]="","-",VLOOKUP(ventas_b_mes1255[[#This Row],[CUIT]],Lista_CUIT[#All],2,0)),"CUIT NO CARGADO")</f>
        <v>-</v>
      </c>
      <c r="H1196" s="100">
        <f>ventas_b_mes1255[[#This Row],[TOTAL]]/1.21</f>
        <v>0</v>
      </c>
      <c r="I1196" s="64">
        <f>ventas_b_mes1255[[#This Row],[IMPORTE NETO]]*0.21</f>
        <v>0</v>
      </c>
      <c r="J1196" s="184"/>
      <c r="K1196" s="184"/>
      <c r="L1196" s="184"/>
      <c r="M1196" s="59"/>
    </row>
    <row r="1197" spans="2:13" x14ac:dyDescent="0.3">
      <c r="B1197" s="178"/>
      <c r="C1197" s="41"/>
      <c r="D1197" s="180"/>
      <c r="E1197" s="181"/>
      <c r="F1197" s="182"/>
      <c r="G1197" s="1" t="str">
        <f>IFERROR(IF(ventas_b_mes1255[[#This Row],[CUIT]]="","-",VLOOKUP(ventas_b_mes1255[[#This Row],[CUIT]],Lista_CUIT[#All],2,0)),"CUIT NO CARGADO")</f>
        <v>-</v>
      </c>
      <c r="H1197" s="100">
        <f>ventas_b_mes1255[[#This Row],[TOTAL]]/1.21</f>
        <v>0</v>
      </c>
      <c r="I1197" s="64">
        <f>ventas_b_mes1255[[#This Row],[IMPORTE NETO]]*0.21</f>
        <v>0</v>
      </c>
      <c r="J1197" s="184"/>
      <c r="K1197" s="184"/>
      <c r="L1197" s="184"/>
      <c r="M1197" s="59"/>
    </row>
    <row r="1198" spans="2:13" x14ac:dyDescent="0.3">
      <c r="B1198" s="178"/>
      <c r="C1198" s="41"/>
      <c r="D1198" s="180"/>
      <c r="E1198" s="181"/>
      <c r="F1198" s="182"/>
      <c r="G1198" s="1" t="str">
        <f>IFERROR(IF(ventas_b_mes1255[[#This Row],[CUIT]]="","-",VLOOKUP(ventas_b_mes1255[[#This Row],[CUIT]],Lista_CUIT[#All],2,0)),"CUIT NO CARGADO")</f>
        <v>-</v>
      </c>
      <c r="H1198" s="100">
        <f>ventas_b_mes1255[[#This Row],[TOTAL]]/1.21</f>
        <v>0</v>
      </c>
      <c r="I1198" s="64">
        <f>ventas_b_mes1255[[#This Row],[IMPORTE NETO]]*0.21</f>
        <v>0</v>
      </c>
      <c r="J1198" s="184"/>
      <c r="K1198" s="184"/>
      <c r="L1198" s="184"/>
      <c r="M1198" s="59"/>
    </row>
    <row r="1199" spans="2:13" x14ac:dyDescent="0.3">
      <c r="B1199" s="178"/>
      <c r="C1199" s="41"/>
      <c r="D1199" s="180"/>
      <c r="E1199" s="181"/>
      <c r="F1199" s="182"/>
      <c r="G1199" s="1" t="str">
        <f>IFERROR(IF(ventas_b_mes1255[[#This Row],[CUIT]]="","-",VLOOKUP(ventas_b_mes1255[[#This Row],[CUIT]],Lista_CUIT[#All],2,0)),"CUIT NO CARGADO")</f>
        <v>-</v>
      </c>
      <c r="H1199" s="100">
        <f>ventas_b_mes1255[[#This Row],[TOTAL]]/1.21</f>
        <v>0</v>
      </c>
      <c r="I1199" s="64">
        <f>ventas_b_mes1255[[#This Row],[IMPORTE NETO]]*0.21</f>
        <v>0</v>
      </c>
      <c r="J1199" s="184"/>
      <c r="K1199" s="184"/>
      <c r="L1199" s="184"/>
      <c r="M1199" s="59"/>
    </row>
    <row r="1200" spans="2:13" x14ac:dyDescent="0.3">
      <c r="B1200" s="178"/>
      <c r="C1200" s="41"/>
      <c r="D1200" s="180"/>
      <c r="E1200" s="181"/>
      <c r="F1200" s="182"/>
      <c r="G1200" s="1" t="str">
        <f>IFERROR(IF(ventas_b_mes1255[[#This Row],[CUIT]]="","-",VLOOKUP(ventas_b_mes1255[[#This Row],[CUIT]],Lista_CUIT[#All],2,0)),"CUIT NO CARGADO")</f>
        <v>-</v>
      </c>
      <c r="H1200" s="100">
        <f>ventas_b_mes1255[[#This Row],[TOTAL]]/1.21</f>
        <v>0</v>
      </c>
      <c r="I1200" s="64">
        <f>ventas_b_mes1255[[#This Row],[IMPORTE NETO]]*0.21</f>
        <v>0</v>
      </c>
      <c r="J1200" s="184"/>
      <c r="K1200" s="184"/>
      <c r="L1200" s="184"/>
      <c r="M1200" s="59"/>
    </row>
    <row r="1201" spans="2:13" x14ac:dyDescent="0.3">
      <c r="B1201" s="178"/>
      <c r="C1201" s="41"/>
      <c r="D1201" s="180"/>
      <c r="E1201" s="181"/>
      <c r="F1201" s="182"/>
      <c r="G1201" s="1" t="str">
        <f>IFERROR(IF(ventas_b_mes1255[[#This Row],[CUIT]]="","-",VLOOKUP(ventas_b_mes1255[[#This Row],[CUIT]],Lista_CUIT[#All],2,0)),"CUIT NO CARGADO")</f>
        <v>-</v>
      </c>
      <c r="H1201" s="100">
        <f>ventas_b_mes1255[[#This Row],[TOTAL]]/1.21</f>
        <v>0</v>
      </c>
      <c r="I1201" s="64">
        <f>ventas_b_mes1255[[#This Row],[IMPORTE NETO]]*0.21</f>
        <v>0</v>
      </c>
      <c r="J1201" s="184"/>
      <c r="K1201" s="184"/>
      <c r="L1201" s="184"/>
      <c r="M1201" s="59"/>
    </row>
    <row r="1202" spans="2:13" x14ac:dyDescent="0.3">
      <c r="B1202" s="178"/>
      <c r="C1202" s="41"/>
      <c r="D1202" s="180"/>
      <c r="E1202" s="181"/>
      <c r="F1202" s="182"/>
      <c r="G1202" s="1" t="str">
        <f>IFERROR(IF(ventas_b_mes1255[[#This Row],[CUIT]]="","-",VLOOKUP(ventas_b_mes1255[[#This Row],[CUIT]],Lista_CUIT[#All],2,0)),"CUIT NO CARGADO")</f>
        <v>-</v>
      </c>
      <c r="H1202" s="100">
        <f>ventas_b_mes1255[[#This Row],[TOTAL]]/1.21</f>
        <v>0</v>
      </c>
      <c r="I1202" s="64">
        <f>ventas_b_mes1255[[#This Row],[IMPORTE NETO]]*0.21</f>
        <v>0</v>
      </c>
      <c r="J1202" s="184"/>
      <c r="K1202" s="184"/>
      <c r="L1202" s="184"/>
      <c r="M1202" s="59"/>
    </row>
    <row r="1203" spans="2:13" x14ac:dyDescent="0.3">
      <c r="B1203" s="178"/>
      <c r="C1203" s="41"/>
      <c r="D1203" s="180"/>
      <c r="E1203" s="181"/>
      <c r="F1203" s="182"/>
      <c r="G1203" s="1" t="str">
        <f>IFERROR(IF(ventas_b_mes1255[[#This Row],[CUIT]]="","-",VLOOKUP(ventas_b_mes1255[[#This Row],[CUIT]],Lista_CUIT[#All],2,0)),"CUIT NO CARGADO")</f>
        <v>-</v>
      </c>
      <c r="H1203" s="100">
        <f>ventas_b_mes1255[[#This Row],[TOTAL]]/1.21</f>
        <v>0</v>
      </c>
      <c r="I1203" s="64">
        <f>ventas_b_mes1255[[#This Row],[IMPORTE NETO]]*0.21</f>
        <v>0</v>
      </c>
      <c r="J1203" s="184"/>
      <c r="K1203" s="184"/>
      <c r="L1203" s="184"/>
      <c r="M1203" s="59"/>
    </row>
    <row r="1204" spans="2:13" x14ac:dyDescent="0.3">
      <c r="B1204" s="178"/>
      <c r="C1204" s="41"/>
      <c r="D1204" s="180"/>
      <c r="E1204" s="181"/>
      <c r="F1204" s="182"/>
      <c r="G1204" s="1" t="str">
        <f>IFERROR(IF(ventas_b_mes1255[[#This Row],[CUIT]]="","-",VLOOKUP(ventas_b_mes1255[[#This Row],[CUIT]],Lista_CUIT[#All],2,0)),"CUIT NO CARGADO")</f>
        <v>-</v>
      </c>
      <c r="H1204" s="100">
        <f>ventas_b_mes1255[[#This Row],[TOTAL]]/1.21</f>
        <v>0</v>
      </c>
      <c r="I1204" s="64">
        <f>ventas_b_mes1255[[#This Row],[IMPORTE NETO]]*0.21</f>
        <v>0</v>
      </c>
      <c r="J1204" s="184"/>
      <c r="K1204" s="184"/>
      <c r="L1204" s="184"/>
      <c r="M1204" s="59"/>
    </row>
    <row r="1205" spans="2:13" x14ac:dyDescent="0.3">
      <c r="B1205" s="178"/>
      <c r="C1205" s="41"/>
      <c r="D1205" s="180"/>
      <c r="E1205" s="181"/>
      <c r="F1205" s="182"/>
      <c r="G1205" s="1" t="str">
        <f>IFERROR(IF(ventas_b_mes1255[[#This Row],[CUIT]]="","-",VLOOKUP(ventas_b_mes1255[[#This Row],[CUIT]],Lista_CUIT[#All],2,0)),"CUIT NO CARGADO")</f>
        <v>-</v>
      </c>
      <c r="H1205" s="100">
        <f>ventas_b_mes1255[[#This Row],[TOTAL]]/1.21</f>
        <v>0</v>
      </c>
      <c r="I1205" s="64">
        <f>ventas_b_mes1255[[#This Row],[IMPORTE NETO]]*0.21</f>
        <v>0</v>
      </c>
      <c r="J1205" s="184"/>
      <c r="K1205" s="184"/>
      <c r="L1205" s="184"/>
      <c r="M1205" s="59"/>
    </row>
    <row r="1206" spans="2:13" x14ac:dyDescent="0.3">
      <c r="B1206" s="178"/>
      <c r="C1206" s="41"/>
      <c r="D1206" s="180"/>
      <c r="E1206" s="181"/>
      <c r="F1206" s="182"/>
      <c r="G1206" s="1" t="str">
        <f>IFERROR(IF(ventas_b_mes1255[[#This Row],[CUIT]]="","-",VLOOKUP(ventas_b_mes1255[[#This Row],[CUIT]],Lista_CUIT[#All],2,0)),"CUIT NO CARGADO")</f>
        <v>-</v>
      </c>
      <c r="H1206" s="100">
        <f>ventas_b_mes1255[[#This Row],[TOTAL]]/1.21</f>
        <v>0</v>
      </c>
      <c r="I1206" s="64">
        <f>ventas_b_mes1255[[#This Row],[IMPORTE NETO]]*0.21</f>
        <v>0</v>
      </c>
      <c r="J1206" s="184"/>
      <c r="K1206" s="184"/>
      <c r="L1206" s="184"/>
      <c r="M1206" s="59"/>
    </row>
    <row r="1207" spans="2:13" x14ac:dyDescent="0.3">
      <c r="B1207" s="178"/>
      <c r="C1207" s="41"/>
      <c r="D1207" s="180"/>
      <c r="E1207" s="181"/>
      <c r="F1207" s="182"/>
      <c r="G1207" s="1" t="str">
        <f>IFERROR(IF(ventas_b_mes1255[[#This Row],[CUIT]]="","-",VLOOKUP(ventas_b_mes1255[[#This Row],[CUIT]],Lista_CUIT[#All],2,0)),"CUIT NO CARGADO")</f>
        <v>-</v>
      </c>
      <c r="H1207" s="100">
        <f>ventas_b_mes1255[[#This Row],[TOTAL]]/1.21</f>
        <v>0</v>
      </c>
      <c r="I1207" s="64">
        <f>ventas_b_mes1255[[#This Row],[IMPORTE NETO]]*0.21</f>
        <v>0</v>
      </c>
      <c r="J1207" s="184"/>
      <c r="K1207" s="184"/>
      <c r="L1207" s="184"/>
      <c r="M1207" s="59"/>
    </row>
    <row r="1208" spans="2:13" x14ac:dyDescent="0.3">
      <c r="B1208" s="178"/>
      <c r="C1208" s="41"/>
      <c r="D1208" s="180"/>
      <c r="E1208" s="181"/>
      <c r="F1208" s="182"/>
      <c r="G1208" s="1" t="str">
        <f>IFERROR(IF(ventas_b_mes1255[[#This Row],[CUIT]]="","-",VLOOKUP(ventas_b_mes1255[[#This Row],[CUIT]],Lista_CUIT[#All],2,0)),"CUIT NO CARGADO")</f>
        <v>-</v>
      </c>
      <c r="H1208" s="100">
        <f>ventas_b_mes1255[[#This Row],[TOTAL]]/1.21</f>
        <v>0</v>
      </c>
      <c r="I1208" s="64">
        <f>ventas_b_mes1255[[#This Row],[IMPORTE NETO]]*0.21</f>
        <v>0</v>
      </c>
      <c r="J1208" s="184"/>
      <c r="K1208" s="184"/>
      <c r="L1208" s="184"/>
      <c r="M1208" s="59"/>
    </row>
    <row r="1209" spans="2:13" x14ac:dyDescent="0.3">
      <c r="B1209" s="178"/>
      <c r="C1209" s="41"/>
      <c r="D1209" s="180"/>
      <c r="E1209" s="181"/>
      <c r="F1209" s="182"/>
      <c r="G1209" s="1" t="str">
        <f>IFERROR(IF(ventas_b_mes1255[[#This Row],[CUIT]]="","-",VLOOKUP(ventas_b_mes1255[[#This Row],[CUIT]],Lista_CUIT[#All],2,0)),"CUIT NO CARGADO")</f>
        <v>-</v>
      </c>
      <c r="H1209" s="100">
        <f>ventas_b_mes1255[[#This Row],[TOTAL]]/1.21</f>
        <v>0</v>
      </c>
      <c r="I1209" s="64">
        <f>ventas_b_mes1255[[#This Row],[IMPORTE NETO]]*0.21</f>
        <v>0</v>
      </c>
      <c r="J1209" s="184"/>
      <c r="K1209" s="184"/>
      <c r="L1209" s="184"/>
      <c r="M1209" s="59"/>
    </row>
    <row r="1210" spans="2:13" x14ac:dyDescent="0.3">
      <c r="B1210" s="178"/>
      <c r="C1210" s="41"/>
      <c r="D1210" s="180"/>
      <c r="E1210" s="181"/>
      <c r="F1210" s="182"/>
      <c r="G1210" s="1" t="str">
        <f>IFERROR(IF(ventas_b_mes1255[[#This Row],[CUIT]]="","-",VLOOKUP(ventas_b_mes1255[[#This Row],[CUIT]],Lista_CUIT[#All],2,0)),"CUIT NO CARGADO")</f>
        <v>-</v>
      </c>
      <c r="H1210" s="100">
        <f>ventas_b_mes1255[[#This Row],[TOTAL]]/1.21</f>
        <v>0</v>
      </c>
      <c r="I1210" s="64">
        <f>ventas_b_mes1255[[#This Row],[IMPORTE NETO]]*0.21</f>
        <v>0</v>
      </c>
      <c r="J1210" s="184"/>
      <c r="K1210" s="184"/>
      <c r="L1210" s="184"/>
      <c r="M1210" s="59"/>
    </row>
    <row r="1211" spans="2:13" x14ac:dyDescent="0.3">
      <c r="B1211" s="178"/>
      <c r="C1211" s="41"/>
      <c r="D1211" s="180"/>
      <c r="E1211" s="181"/>
      <c r="F1211" s="182"/>
      <c r="G1211" s="1" t="str">
        <f>IFERROR(IF(ventas_b_mes1255[[#This Row],[CUIT]]="","-",VLOOKUP(ventas_b_mes1255[[#This Row],[CUIT]],Lista_CUIT[#All],2,0)),"CUIT NO CARGADO")</f>
        <v>-</v>
      </c>
      <c r="H1211" s="100">
        <f>ventas_b_mes1255[[#This Row],[TOTAL]]/1.21</f>
        <v>0</v>
      </c>
      <c r="I1211" s="64">
        <f>ventas_b_mes1255[[#This Row],[IMPORTE NETO]]*0.21</f>
        <v>0</v>
      </c>
      <c r="J1211" s="184"/>
      <c r="K1211" s="184"/>
      <c r="L1211" s="184"/>
      <c r="M1211" s="59"/>
    </row>
    <row r="1212" spans="2:13" x14ac:dyDescent="0.3">
      <c r="B1212" s="178"/>
      <c r="C1212" s="41"/>
      <c r="D1212" s="180"/>
      <c r="E1212" s="181"/>
      <c r="F1212" s="182"/>
      <c r="G1212" s="1" t="str">
        <f>IFERROR(IF(ventas_b_mes1255[[#This Row],[CUIT]]="","-",VLOOKUP(ventas_b_mes1255[[#This Row],[CUIT]],Lista_CUIT[#All],2,0)),"CUIT NO CARGADO")</f>
        <v>-</v>
      </c>
      <c r="H1212" s="100">
        <f>ventas_b_mes1255[[#This Row],[TOTAL]]/1.21</f>
        <v>0</v>
      </c>
      <c r="I1212" s="64">
        <f>ventas_b_mes1255[[#This Row],[IMPORTE NETO]]*0.21</f>
        <v>0</v>
      </c>
      <c r="J1212" s="184"/>
      <c r="K1212" s="184"/>
      <c r="L1212" s="184"/>
      <c r="M1212" s="59"/>
    </row>
    <row r="1213" spans="2:13" x14ac:dyDescent="0.3">
      <c r="B1213" s="178"/>
      <c r="C1213" s="41"/>
      <c r="D1213" s="180"/>
      <c r="E1213" s="181"/>
      <c r="F1213" s="182"/>
      <c r="G1213" s="1" t="str">
        <f>IFERROR(IF(ventas_b_mes1255[[#This Row],[CUIT]]="","-",VLOOKUP(ventas_b_mes1255[[#This Row],[CUIT]],Lista_CUIT[#All],2,0)),"CUIT NO CARGADO")</f>
        <v>-</v>
      </c>
      <c r="H1213" s="100">
        <f>ventas_b_mes1255[[#This Row],[TOTAL]]/1.21</f>
        <v>0</v>
      </c>
      <c r="I1213" s="64">
        <f>ventas_b_mes1255[[#This Row],[IMPORTE NETO]]*0.21</f>
        <v>0</v>
      </c>
      <c r="J1213" s="184"/>
      <c r="K1213" s="184"/>
      <c r="L1213" s="184"/>
      <c r="M1213" s="59"/>
    </row>
    <row r="1214" spans="2:13" x14ac:dyDescent="0.3">
      <c r="B1214" s="178"/>
      <c r="C1214" s="41"/>
      <c r="D1214" s="180"/>
      <c r="E1214" s="181"/>
      <c r="F1214" s="182"/>
      <c r="G1214" s="1" t="str">
        <f>IFERROR(IF(ventas_b_mes1255[[#This Row],[CUIT]]="","-",VLOOKUP(ventas_b_mes1255[[#This Row],[CUIT]],Lista_CUIT[#All],2,0)),"CUIT NO CARGADO")</f>
        <v>-</v>
      </c>
      <c r="H1214" s="100">
        <f>ventas_b_mes1255[[#This Row],[TOTAL]]/1.21</f>
        <v>0</v>
      </c>
      <c r="I1214" s="64">
        <f>ventas_b_mes1255[[#This Row],[IMPORTE NETO]]*0.21</f>
        <v>0</v>
      </c>
      <c r="J1214" s="184"/>
      <c r="K1214" s="184"/>
      <c r="L1214" s="184"/>
      <c r="M1214" s="59"/>
    </row>
    <row r="1215" spans="2:13" x14ac:dyDescent="0.3">
      <c r="B1215" s="178"/>
      <c r="C1215" s="41"/>
      <c r="D1215" s="180"/>
      <c r="E1215" s="181"/>
      <c r="F1215" s="182"/>
      <c r="G1215" s="1" t="str">
        <f>IFERROR(IF(ventas_b_mes1255[[#This Row],[CUIT]]="","-",VLOOKUP(ventas_b_mes1255[[#This Row],[CUIT]],Lista_CUIT[#All],2,0)),"CUIT NO CARGADO")</f>
        <v>-</v>
      </c>
      <c r="H1215" s="100">
        <f>ventas_b_mes1255[[#This Row],[TOTAL]]/1.21</f>
        <v>0</v>
      </c>
      <c r="I1215" s="64">
        <f>ventas_b_mes1255[[#This Row],[IMPORTE NETO]]*0.21</f>
        <v>0</v>
      </c>
      <c r="J1215" s="184"/>
      <c r="K1215" s="184"/>
      <c r="L1215" s="184"/>
      <c r="M1215" s="59"/>
    </row>
    <row r="1216" spans="2:13" x14ac:dyDescent="0.3">
      <c r="B1216" s="178"/>
      <c r="C1216" s="41"/>
      <c r="D1216" s="180"/>
      <c r="E1216" s="181"/>
      <c r="F1216" s="182"/>
      <c r="G1216" s="1" t="str">
        <f>IFERROR(IF(ventas_b_mes1255[[#This Row],[CUIT]]="","-",VLOOKUP(ventas_b_mes1255[[#This Row],[CUIT]],Lista_CUIT[#All],2,0)),"CUIT NO CARGADO")</f>
        <v>-</v>
      </c>
      <c r="H1216" s="100">
        <f>ventas_b_mes1255[[#This Row],[TOTAL]]/1.21</f>
        <v>0</v>
      </c>
      <c r="I1216" s="64">
        <f>ventas_b_mes1255[[#This Row],[IMPORTE NETO]]*0.21</f>
        <v>0</v>
      </c>
      <c r="J1216" s="184"/>
      <c r="K1216" s="184"/>
      <c r="L1216" s="184"/>
      <c r="M1216" s="59"/>
    </row>
    <row r="1217" spans="2:13" x14ac:dyDescent="0.3">
      <c r="B1217" s="178"/>
      <c r="C1217" s="41"/>
      <c r="D1217" s="180"/>
      <c r="E1217" s="181"/>
      <c r="F1217" s="182"/>
      <c r="G1217" s="1" t="str">
        <f>IFERROR(IF(ventas_b_mes1255[[#This Row],[CUIT]]="","-",VLOOKUP(ventas_b_mes1255[[#This Row],[CUIT]],Lista_CUIT[#All],2,0)),"CUIT NO CARGADO")</f>
        <v>-</v>
      </c>
      <c r="H1217" s="100">
        <f>ventas_b_mes1255[[#This Row],[TOTAL]]/1.21</f>
        <v>0</v>
      </c>
      <c r="I1217" s="64">
        <f>ventas_b_mes1255[[#This Row],[IMPORTE NETO]]*0.21</f>
        <v>0</v>
      </c>
      <c r="J1217" s="184"/>
      <c r="K1217" s="184"/>
      <c r="L1217" s="184"/>
      <c r="M1217" s="59"/>
    </row>
    <row r="1218" spans="2:13" x14ac:dyDescent="0.3">
      <c r="B1218" s="178"/>
      <c r="C1218" s="41"/>
      <c r="D1218" s="180"/>
      <c r="E1218" s="181"/>
      <c r="F1218" s="182"/>
      <c r="G1218" s="1" t="str">
        <f>IFERROR(IF(ventas_b_mes1255[[#This Row],[CUIT]]="","-",VLOOKUP(ventas_b_mes1255[[#This Row],[CUIT]],Lista_CUIT[#All],2,0)),"CUIT NO CARGADO")</f>
        <v>-</v>
      </c>
      <c r="H1218" s="100">
        <f>ventas_b_mes1255[[#This Row],[TOTAL]]/1.21</f>
        <v>0</v>
      </c>
      <c r="I1218" s="64">
        <f>ventas_b_mes1255[[#This Row],[IMPORTE NETO]]*0.21</f>
        <v>0</v>
      </c>
      <c r="J1218" s="184"/>
      <c r="K1218" s="184"/>
      <c r="L1218" s="184"/>
      <c r="M1218" s="59"/>
    </row>
    <row r="1219" spans="2:13" x14ac:dyDescent="0.3">
      <c r="B1219" s="178"/>
      <c r="C1219" s="41"/>
      <c r="D1219" s="180"/>
      <c r="E1219" s="181"/>
      <c r="F1219" s="182"/>
      <c r="G1219" s="1" t="str">
        <f>IFERROR(IF(ventas_b_mes1255[[#This Row],[CUIT]]="","-",VLOOKUP(ventas_b_mes1255[[#This Row],[CUIT]],Lista_CUIT[#All],2,0)),"CUIT NO CARGADO")</f>
        <v>-</v>
      </c>
      <c r="H1219" s="100">
        <f>ventas_b_mes1255[[#This Row],[TOTAL]]/1.21</f>
        <v>0</v>
      </c>
      <c r="I1219" s="64">
        <f>ventas_b_mes1255[[#This Row],[IMPORTE NETO]]*0.21</f>
        <v>0</v>
      </c>
      <c r="J1219" s="184"/>
      <c r="K1219" s="184"/>
      <c r="L1219" s="184"/>
      <c r="M1219" s="59"/>
    </row>
    <row r="1220" spans="2:13" x14ac:dyDescent="0.3">
      <c r="B1220" s="178"/>
      <c r="C1220" s="41"/>
      <c r="D1220" s="180"/>
      <c r="E1220" s="181"/>
      <c r="F1220" s="182"/>
      <c r="G1220" s="1" t="str">
        <f>IFERROR(IF(ventas_b_mes1255[[#This Row],[CUIT]]="","-",VLOOKUP(ventas_b_mes1255[[#This Row],[CUIT]],Lista_CUIT[#All],2,0)),"CUIT NO CARGADO")</f>
        <v>-</v>
      </c>
      <c r="H1220" s="100">
        <f>ventas_b_mes1255[[#This Row],[TOTAL]]/1.21</f>
        <v>0</v>
      </c>
      <c r="I1220" s="64">
        <f>ventas_b_mes1255[[#This Row],[IMPORTE NETO]]*0.21</f>
        <v>0</v>
      </c>
      <c r="J1220" s="184"/>
      <c r="K1220" s="184"/>
      <c r="L1220" s="184"/>
      <c r="M1220" s="59"/>
    </row>
    <row r="1221" spans="2:13" x14ac:dyDescent="0.3">
      <c r="B1221" s="178"/>
      <c r="C1221" s="41"/>
      <c r="D1221" s="180"/>
      <c r="E1221" s="181"/>
      <c r="F1221" s="182"/>
      <c r="G1221" s="1" t="str">
        <f>IFERROR(IF(ventas_b_mes1255[[#This Row],[CUIT]]="","-",VLOOKUP(ventas_b_mes1255[[#This Row],[CUIT]],Lista_CUIT[#All],2,0)),"CUIT NO CARGADO")</f>
        <v>-</v>
      </c>
      <c r="H1221" s="100">
        <f>ventas_b_mes1255[[#This Row],[TOTAL]]/1.21</f>
        <v>0</v>
      </c>
      <c r="I1221" s="64">
        <f>ventas_b_mes1255[[#This Row],[IMPORTE NETO]]*0.21</f>
        <v>0</v>
      </c>
      <c r="J1221" s="184"/>
      <c r="K1221" s="184"/>
      <c r="L1221" s="184"/>
      <c r="M1221" s="59"/>
    </row>
    <row r="1222" spans="2:13" x14ac:dyDescent="0.3">
      <c r="B1222" s="178"/>
      <c r="C1222" s="41"/>
      <c r="D1222" s="180"/>
      <c r="E1222" s="181"/>
      <c r="F1222" s="182"/>
      <c r="G1222" s="1" t="str">
        <f>IFERROR(IF(ventas_b_mes1255[[#This Row],[CUIT]]="","-",VLOOKUP(ventas_b_mes1255[[#This Row],[CUIT]],Lista_CUIT[#All],2,0)),"CUIT NO CARGADO")</f>
        <v>-</v>
      </c>
      <c r="H1222" s="100">
        <f>ventas_b_mes1255[[#This Row],[TOTAL]]/1.21</f>
        <v>0</v>
      </c>
      <c r="I1222" s="64">
        <f>ventas_b_mes1255[[#This Row],[IMPORTE NETO]]*0.21</f>
        <v>0</v>
      </c>
      <c r="J1222" s="184"/>
      <c r="K1222" s="184"/>
      <c r="L1222" s="184"/>
      <c r="M1222" s="59"/>
    </row>
    <row r="1223" spans="2:13" x14ac:dyDescent="0.3">
      <c r="B1223" s="178"/>
      <c r="C1223" s="41"/>
      <c r="D1223" s="180"/>
      <c r="E1223" s="181"/>
      <c r="F1223" s="182"/>
      <c r="G1223" s="1" t="str">
        <f>IFERROR(IF(ventas_b_mes1255[[#This Row],[CUIT]]="","-",VLOOKUP(ventas_b_mes1255[[#This Row],[CUIT]],Lista_CUIT[#All],2,0)),"CUIT NO CARGADO")</f>
        <v>-</v>
      </c>
      <c r="H1223" s="100">
        <f>ventas_b_mes1255[[#This Row],[TOTAL]]/1.21</f>
        <v>0</v>
      </c>
      <c r="I1223" s="64">
        <f>ventas_b_mes1255[[#This Row],[IMPORTE NETO]]*0.21</f>
        <v>0</v>
      </c>
      <c r="J1223" s="184"/>
      <c r="K1223" s="184"/>
      <c r="L1223" s="184"/>
      <c r="M1223" s="59"/>
    </row>
    <row r="1224" spans="2:13" x14ac:dyDescent="0.3">
      <c r="B1224" s="178"/>
      <c r="C1224" s="41"/>
      <c r="D1224" s="180"/>
      <c r="E1224" s="181"/>
      <c r="F1224" s="182"/>
      <c r="G1224" s="1" t="str">
        <f>IFERROR(IF(ventas_b_mes1255[[#This Row],[CUIT]]="","-",VLOOKUP(ventas_b_mes1255[[#This Row],[CUIT]],Lista_CUIT[#All],2,0)),"CUIT NO CARGADO")</f>
        <v>-</v>
      </c>
      <c r="H1224" s="100">
        <f>ventas_b_mes1255[[#This Row],[TOTAL]]/1.21</f>
        <v>0</v>
      </c>
      <c r="I1224" s="64">
        <f>ventas_b_mes1255[[#This Row],[IMPORTE NETO]]*0.21</f>
        <v>0</v>
      </c>
      <c r="J1224" s="184"/>
      <c r="K1224" s="184"/>
      <c r="L1224" s="184"/>
      <c r="M1224" s="59"/>
    </row>
    <row r="1225" spans="2:13" x14ac:dyDescent="0.3">
      <c r="B1225" s="178"/>
      <c r="C1225" s="41"/>
      <c r="D1225" s="180"/>
      <c r="E1225" s="181"/>
      <c r="F1225" s="182"/>
      <c r="G1225" s="1" t="str">
        <f>IFERROR(IF(ventas_b_mes1255[[#This Row],[CUIT]]="","-",VLOOKUP(ventas_b_mes1255[[#This Row],[CUIT]],Lista_CUIT[#All],2,0)),"CUIT NO CARGADO")</f>
        <v>-</v>
      </c>
      <c r="H1225" s="100">
        <f>ventas_b_mes1255[[#This Row],[TOTAL]]/1.21</f>
        <v>0</v>
      </c>
      <c r="I1225" s="64">
        <f>ventas_b_mes1255[[#This Row],[IMPORTE NETO]]*0.21</f>
        <v>0</v>
      </c>
      <c r="J1225" s="184"/>
      <c r="K1225" s="184"/>
      <c r="L1225" s="184"/>
      <c r="M1225" s="59"/>
    </row>
    <row r="1226" spans="2:13" x14ac:dyDescent="0.3">
      <c r="B1226" s="178"/>
      <c r="C1226" s="41"/>
      <c r="D1226" s="180"/>
      <c r="E1226" s="181"/>
      <c r="F1226" s="182"/>
      <c r="G1226" s="1" t="str">
        <f>IFERROR(IF(ventas_b_mes1255[[#This Row],[CUIT]]="","-",VLOOKUP(ventas_b_mes1255[[#This Row],[CUIT]],Lista_CUIT[#All],2,0)),"CUIT NO CARGADO")</f>
        <v>-</v>
      </c>
      <c r="H1226" s="100">
        <f>ventas_b_mes1255[[#This Row],[TOTAL]]/1.21</f>
        <v>0</v>
      </c>
      <c r="I1226" s="64">
        <f>ventas_b_mes1255[[#This Row],[IMPORTE NETO]]*0.21</f>
        <v>0</v>
      </c>
      <c r="J1226" s="184"/>
      <c r="K1226" s="184"/>
      <c r="L1226" s="184"/>
      <c r="M1226" s="59"/>
    </row>
    <row r="1227" spans="2:13" x14ac:dyDescent="0.3">
      <c r="B1227" s="178"/>
      <c r="C1227" s="41"/>
      <c r="D1227" s="180"/>
      <c r="E1227" s="181"/>
      <c r="F1227" s="182"/>
      <c r="G1227" s="1" t="str">
        <f>IFERROR(IF(ventas_b_mes1255[[#This Row],[CUIT]]="","-",VLOOKUP(ventas_b_mes1255[[#This Row],[CUIT]],Lista_CUIT[#All],2,0)),"CUIT NO CARGADO")</f>
        <v>-</v>
      </c>
      <c r="H1227" s="100">
        <f>ventas_b_mes1255[[#This Row],[TOTAL]]/1.21</f>
        <v>0</v>
      </c>
      <c r="I1227" s="64">
        <f>ventas_b_mes1255[[#This Row],[IMPORTE NETO]]*0.21</f>
        <v>0</v>
      </c>
      <c r="J1227" s="184"/>
      <c r="K1227" s="184"/>
      <c r="L1227" s="184"/>
      <c r="M1227" s="59"/>
    </row>
    <row r="1228" spans="2:13" x14ac:dyDescent="0.3">
      <c r="B1228" s="178"/>
      <c r="C1228" s="41"/>
      <c r="D1228" s="180"/>
      <c r="E1228" s="181"/>
      <c r="F1228" s="182"/>
      <c r="G1228" s="1" t="str">
        <f>IFERROR(IF(ventas_b_mes1255[[#This Row],[CUIT]]="","-",VLOOKUP(ventas_b_mes1255[[#This Row],[CUIT]],Lista_CUIT[#All],2,0)),"CUIT NO CARGADO")</f>
        <v>-</v>
      </c>
      <c r="H1228" s="100">
        <f>ventas_b_mes1255[[#This Row],[TOTAL]]/1.21</f>
        <v>0</v>
      </c>
      <c r="I1228" s="64">
        <f>ventas_b_mes1255[[#This Row],[IMPORTE NETO]]*0.21</f>
        <v>0</v>
      </c>
      <c r="J1228" s="184"/>
      <c r="K1228" s="184"/>
      <c r="L1228" s="184"/>
      <c r="M1228" s="59"/>
    </row>
    <row r="1229" spans="2:13" x14ac:dyDescent="0.3">
      <c r="B1229" s="178"/>
      <c r="C1229" s="41"/>
      <c r="D1229" s="180"/>
      <c r="E1229" s="181"/>
      <c r="F1229" s="182"/>
      <c r="G1229" s="1" t="str">
        <f>IFERROR(IF(ventas_b_mes1255[[#This Row],[CUIT]]="","-",VLOOKUP(ventas_b_mes1255[[#This Row],[CUIT]],Lista_CUIT[#All],2,0)),"CUIT NO CARGADO")</f>
        <v>-</v>
      </c>
      <c r="H1229" s="100">
        <f>ventas_b_mes1255[[#This Row],[TOTAL]]/1.21</f>
        <v>0</v>
      </c>
      <c r="I1229" s="64">
        <f>ventas_b_mes1255[[#This Row],[IMPORTE NETO]]*0.21</f>
        <v>0</v>
      </c>
      <c r="J1229" s="184"/>
      <c r="K1229" s="184"/>
      <c r="L1229" s="184"/>
      <c r="M1229" s="59"/>
    </row>
    <row r="1230" spans="2:13" x14ac:dyDescent="0.3">
      <c r="B1230" s="178"/>
      <c r="C1230" s="41"/>
      <c r="D1230" s="180"/>
      <c r="E1230" s="181"/>
      <c r="F1230" s="182"/>
      <c r="G1230" s="1" t="str">
        <f>IFERROR(IF(ventas_b_mes1255[[#This Row],[CUIT]]="","-",VLOOKUP(ventas_b_mes1255[[#This Row],[CUIT]],Lista_CUIT[#All],2,0)),"CUIT NO CARGADO")</f>
        <v>-</v>
      </c>
      <c r="H1230" s="100">
        <f>ventas_b_mes1255[[#This Row],[TOTAL]]/1.21</f>
        <v>0</v>
      </c>
      <c r="I1230" s="64">
        <f>ventas_b_mes1255[[#This Row],[IMPORTE NETO]]*0.21</f>
        <v>0</v>
      </c>
      <c r="J1230" s="184"/>
      <c r="K1230" s="184"/>
      <c r="L1230" s="184"/>
      <c r="M1230" s="59"/>
    </row>
    <row r="1231" spans="2:13" x14ac:dyDescent="0.3">
      <c r="B1231" s="178"/>
      <c r="C1231" s="41"/>
      <c r="D1231" s="180"/>
      <c r="E1231" s="181"/>
      <c r="F1231" s="182"/>
      <c r="G1231" s="1" t="str">
        <f>IFERROR(IF(ventas_b_mes1255[[#This Row],[CUIT]]="","-",VLOOKUP(ventas_b_mes1255[[#This Row],[CUIT]],Lista_CUIT[#All],2,0)),"CUIT NO CARGADO")</f>
        <v>-</v>
      </c>
      <c r="H1231" s="100">
        <f>ventas_b_mes1255[[#This Row],[TOTAL]]/1.21</f>
        <v>0</v>
      </c>
      <c r="I1231" s="64">
        <f>ventas_b_mes1255[[#This Row],[IMPORTE NETO]]*0.21</f>
        <v>0</v>
      </c>
      <c r="J1231" s="184"/>
      <c r="K1231" s="184"/>
      <c r="L1231" s="184"/>
      <c r="M1231" s="59"/>
    </row>
    <row r="1232" spans="2:13" x14ac:dyDescent="0.3">
      <c r="B1232" s="178"/>
      <c r="C1232" s="41"/>
      <c r="D1232" s="180"/>
      <c r="E1232" s="181"/>
      <c r="F1232" s="182"/>
      <c r="G1232" s="1" t="str">
        <f>IFERROR(IF(ventas_b_mes1255[[#This Row],[CUIT]]="","-",VLOOKUP(ventas_b_mes1255[[#This Row],[CUIT]],Lista_CUIT[#All],2,0)),"CUIT NO CARGADO")</f>
        <v>-</v>
      </c>
      <c r="H1232" s="100">
        <f>ventas_b_mes1255[[#This Row],[TOTAL]]/1.21</f>
        <v>0</v>
      </c>
      <c r="I1232" s="64">
        <f>ventas_b_mes1255[[#This Row],[IMPORTE NETO]]*0.21</f>
        <v>0</v>
      </c>
      <c r="J1232" s="184"/>
      <c r="K1232" s="184"/>
      <c r="L1232" s="184"/>
      <c r="M1232" s="59"/>
    </row>
    <row r="1233" spans="2:13" x14ac:dyDescent="0.3">
      <c r="B1233" s="178"/>
      <c r="C1233" s="41"/>
      <c r="D1233" s="180"/>
      <c r="E1233" s="181"/>
      <c r="F1233" s="182"/>
      <c r="G1233" s="1" t="str">
        <f>IFERROR(IF(ventas_b_mes1255[[#This Row],[CUIT]]="","-",VLOOKUP(ventas_b_mes1255[[#This Row],[CUIT]],Lista_CUIT[#All],2,0)),"CUIT NO CARGADO")</f>
        <v>-</v>
      </c>
      <c r="H1233" s="100">
        <f>ventas_b_mes1255[[#This Row],[TOTAL]]/1.21</f>
        <v>0</v>
      </c>
      <c r="I1233" s="64">
        <f>ventas_b_mes1255[[#This Row],[IMPORTE NETO]]*0.21</f>
        <v>0</v>
      </c>
      <c r="J1233" s="184"/>
      <c r="K1233" s="184"/>
      <c r="L1233" s="184"/>
      <c r="M1233" s="59"/>
    </row>
    <row r="1234" spans="2:13" x14ac:dyDescent="0.3">
      <c r="B1234" s="178"/>
      <c r="C1234" s="41"/>
      <c r="D1234" s="180"/>
      <c r="E1234" s="181"/>
      <c r="F1234" s="182"/>
      <c r="G1234" s="1" t="str">
        <f>IFERROR(IF(ventas_b_mes1255[[#This Row],[CUIT]]="","-",VLOOKUP(ventas_b_mes1255[[#This Row],[CUIT]],Lista_CUIT[#All],2,0)),"CUIT NO CARGADO")</f>
        <v>-</v>
      </c>
      <c r="H1234" s="100">
        <f>ventas_b_mes1255[[#This Row],[TOTAL]]/1.21</f>
        <v>0</v>
      </c>
      <c r="I1234" s="64">
        <f>ventas_b_mes1255[[#This Row],[IMPORTE NETO]]*0.21</f>
        <v>0</v>
      </c>
      <c r="J1234" s="184"/>
      <c r="K1234" s="184"/>
      <c r="L1234" s="184"/>
      <c r="M1234" s="59"/>
    </row>
    <row r="1235" spans="2:13" x14ac:dyDescent="0.3">
      <c r="B1235" s="178"/>
      <c r="C1235" s="41"/>
      <c r="D1235" s="180"/>
      <c r="E1235" s="181"/>
      <c r="F1235" s="182"/>
      <c r="G1235" s="1" t="str">
        <f>IFERROR(IF(ventas_b_mes1255[[#This Row],[CUIT]]="","-",VLOOKUP(ventas_b_mes1255[[#This Row],[CUIT]],Lista_CUIT[#All],2,0)),"CUIT NO CARGADO")</f>
        <v>-</v>
      </c>
      <c r="H1235" s="100">
        <f>ventas_b_mes1255[[#This Row],[TOTAL]]/1.21</f>
        <v>0</v>
      </c>
      <c r="I1235" s="64">
        <f>ventas_b_mes1255[[#This Row],[IMPORTE NETO]]*0.21</f>
        <v>0</v>
      </c>
      <c r="J1235" s="184"/>
      <c r="K1235" s="184"/>
      <c r="L1235" s="184"/>
      <c r="M1235" s="59"/>
    </row>
    <row r="1236" spans="2:13" x14ac:dyDescent="0.3">
      <c r="B1236" s="178"/>
      <c r="C1236" s="41"/>
      <c r="D1236" s="180"/>
      <c r="E1236" s="181"/>
      <c r="F1236" s="182"/>
      <c r="G1236" s="1" t="str">
        <f>IFERROR(IF(ventas_b_mes1255[[#This Row],[CUIT]]="","-",VLOOKUP(ventas_b_mes1255[[#This Row],[CUIT]],Lista_CUIT[#All],2,0)),"CUIT NO CARGADO")</f>
        <v>-</v>
      </c>
      <c r="H1236" s="100">
        <f>ventas_b_mes1255[[#This Row],[TOTAL]]/1.21</f>
        <v>0</v>
      </c>
      <c r="I1236" s="64">
        <f>ventas_b_mes1255[[#This Row],[IMPORTE NETO]]*0.21</f>
        <v>0</v>
      </c>
      <c r="J1236" s="184"/>
      <c r="K1236" s="184"/>
      <c r="L1236" s="184"/>
      <c r="M1236" s="59"/>
    </row>
    <row r="1237" spans="2:13" x14ac:dyDescent="0.3">
      <c r="B1237" s="178"/>
      <c r="C1237" s="41"/>
      <c r="D1237" s="180"/>
      <c r="E1237" s="181"/>
      <c r="F1237" s="182"/>
      <c r="G1237" s="1" t="str">
        <f>IFERROR(IF(ventas_b_mes1255[[#This Row],[CUIT]]="","-",VLOOKUP(ventas_b_mes1255[[#This Row],[CUIT]],Lista_CUIT[#All],2,0)),"CUIT NO CARGADO")</f>
        <v>-</v>
      </c>
      <c r="H1237" s="100">
        <f>ventas_b_mes1255[[#This Row],[TOTAL]]/1.21</f>
        <v>0</v>
      </c>
      <c r="I1237" s="64">
        <f>ventas_b_mes1255[[#This Row],[IMPORTE NETO]]*0.21</f>
        <v>0</v>
      </c>
      <c r="J1237" s="184"/>
      <c r="K1237" s="184"/>
      <c r="L1237" s="184"/>
      <c r="M1237" s="59"/>
    </row>
    <row r="1238" spans="2:13" x14ac:dyDescent="0.3">
      <c r="B1238" s="178"/>
      <c r="C1238" s="41"/>
      <c r="D1238" s="180"/>
      <c r="E1238" s="181"/>
      <c r="F1238" s="182"/>
      <c r="G1238" s="1" t="str">
        <f>IFERROR(IF(ventas_b_mes1255[[#This Row],[CUIT]]="","-",VLOOKUP(ventas_b_mes1255[[#This Row],[CUIT]],Lista_CUIT[#All],2,0)),"CUIT NO CARGADO")</f>
        <v>-</v>
      </c>
      <c r="H1238" s="100">
        <f>ventas_b_mes1255[[#This Row],[TOTAL]]/1.21</f>
        <v>0</v>
      </c>
      <c r="I1238" s="64">
        <f>ventas_b_mes1255[[#This Row],[IMPORTE NETO]]*0.21</f>
        <v>0</v>
      </c>
      <c r="J1238" s="184"/>
      <c r="K1238" s="184"/>
      <c r="L1238" s="184"/>
      <c r="M1238" s="59"/>
    </row>
    <row r="1239" spans="2:13" x14ac:dyDescent="0.3">
      <c r="B1239" s="178"/>
      <c r="C1239" s="41"/>
      <c r="D1239" s="180"/>
      <c r="E1239" s="181"/>
      <c r="F1239" s="182"/>
      <c r="G1239" s="1" t="str">
        <f>IFERROR(IF(ventas_b_mes1255[[#This Row],[CUIT]]="","-",VLOOKUP(ventas_b_mes1255[[#This Row],[CUIT]],Lista_CUIT[#All],2,0)),"CUIT NO CARGADO")</f>
        <v>-</v>
      </c>
      <c r="H1239" s="100">
        <f>ventas_b_mes1255[[#This Row],[TOTAL]]/1.21</f>
        <v>0</v>
      </c>
      <c r="I1239" s="64">
        <f>ventas_b_mes1255[[#This Row],[IMPORTE NETO]]*0.21</f>
        <v>0</v>
      </c>
      <c r="J1239" s="184"/>
      <c r="K1239" s="184"/>
      <c r="L1239" s="184"/>
      <c r="M1239" s="59"/>
    </row>
    <row r="1240" spans="2:13" x14ac:dyDescent="0.3">
      <c r="B1240" s="178"/>
      <c r="C1240" s="41"/>
      <c r="D1240" s="180"/>
      <c r="E1240" s="181"/>
      <c r="F1240" s="182"/>
      <c r="G1240" s="1" t="str">
        <f>IFERROR(IF(ventas_b_mes1255[[#This Row],[CUIT]]="","-",VLOOKUP(ventas_b_mes1255[[#This Row],[CUIT]],Lista_CUIT[#All],2,0)),"CUIT NO CARGADO")</f>
        <v>-</v>
      </c>
      <c r="H1240" s="100">
        <f>ventas_b_mes1255[[#This Row],[TOTAL]]/1.21</f>
        <v>0</v>
      </c>
      <c r="I1240" s="64">
        <f>ventas_b_mes1255[[#This Row],[IMPORTE NETO]]*0.21</f>
        <v>0</v>
      </c>
      <c r="J1240" s="184"/>
      <c r="K1240" s="184"/>
      <c r="L1240" s="184"/>
      <c r="M1240" s="59"/>
    </row>
    <row r="1241" spans="2:13" x14ac:dyDescent="0.3">
      <c r="B1241" s="178"/>
      <c r="C1241" s="41"/>
      <c r="D1241" s="180"/>
      <c r="E1241" s="181"/>
      <c r="F1241" s="182"/>
      <c r="G1241" s="1" t="str">
        <f>IFERROR(IF(ventas_b_mes1255[[#This Row],[CUIT]]="","-",VLOOKUP(ventas_b_mes1255[[#This Row],[CUIT]],Lista_CUIT[#All],2,0)),"CUIT NO CARGADO")</f>
        <v>-</v>
      </c>
      <c r="H1241" s="100">
        <f>ventas_b_mes1255[[#This Row],[TOTAL]]/1.21</f>
        <v>0</v>
      </c>
      <c r="I1241" s="64">
        <f>ventas_b_mes1255[[#This Row],[IMPORTE NETO]]*0.21</f>
        <v>0</v>
      </c>
      <c r="J1241" s="184"/>
      <c r="K1241" s="184"/>
      <c r="L1241" s="184"/>
      <c r="M1241" s="59"/>
    </row>
    <row r="1242" spans="2:13" x14ac:dyDescent="0.3">
      <c r="B1242" s="178"/>
      <c r="C1242" s="41"/>
      <c r="D1242" s="180"/>
      <c r="E1242" s="181"/>
      <c r="F1242" s="182"/>
      <c r="G1242" s="1" t="str">
        <f>IFERROR(IF(ventas_b_mes1255[[#This Row],[CUIT]]="","-",VLOOKUP(ventas_b_mes1255[[#This Row],[CUIT]],Lista_CUIT[#All],2,0)),"CUIT NO CARGADO")</f>
        <v>-</v>
      </c>
      <c r="H1242" s="100">
        <f>ventas_b_mes1255[[#This Row],[TOTAL]]/1.21</f>
        <v>0</v>
      </c>
      <c r="I1242" s="64">
        <f>ventas_b_mes1255[[#This Row],[IMPORTE NETO]]*0.21</f>
        <v>0</v>
      </c>
      <c r="J1242" s="184"/>
      <c r="K1242" s="184"/>
      <c r="L1242" s="184"/>
      <c r="M1242" s="59"/>
    </row>
    <row r="1243" spans="2:13" x14ac:dyDescent="0.3">
      <c r="B1243" s="178"/>
      <c r="C1243" s="41"/>
      <c r="D1243" s="180"/>
      <c r="E1243" s="181"/>
      <c r="F1243" s="182"/>
      <c r="G1243" s="1" t="str">
        <f>IFERROR(IF(ventas_b_mes1255[[#This Row],[CUIT]]="","-",VLOOKUP(ventas_b_mes1255[[#This Row],[CUIT]],Lista_CUIT[#All],2,0)),"CUIT NO CARGADO")</f>
        <v>-</v>
      </c>
      <c r="H1243" s="100">
        <f>ventas_b_mes1255[[#This Row],[TOTAL]]/1.21</f>
        <v>0</v>
      </c>
      <c r="I1243" s="64">
        <f>ventas_b_mes1255[[#This Row],[IMPORTE NETO]]*0.21</f>
        <v>0</v>
      </c>
      <c r="J1243" s="184"/>
      <c r="K1243" s="184"/>
      <c r="L1243" s="184"/>
      <c r="M1243" s="59"/>
    </row>
    <row r="1244" spans="2:13" x14ac:dyDescent="0.3">
      <c r="B1244" s="178"/>
      <c r="C1244" s="41"/>
      <c r="D1244" s="180"/>
      <c r="E1244" s="181"/>
      <c r="F1244" s="182"/>
      <c r="G1244" s="1" t="str">
        <f>IFERROR(IF(ventas_b_mes1255[[#This Row],[CUIT]]="","-",VLOOKUP(ventas_b_mes1255[[#This Row],[CUIT]],Lista_CUIT[#All],2,0)),"CUIT NO CARGADO")</f>
        <v>-</v>
      </c>
      <c r="H1244" s="100">
        <f>ventas_b_mes1255[[#This Row],[TOTAL]]/1.21</f>
        <v>0</v>
      </c>
      <c r="I1244" s="64">
        <f>ventas_b_mes1255[[#This Row],[IMPORTE NETO]]*0.21</f>
        <v>0</v>
      </c>
      <c r="J1244" s="184"/>
      <c r="K1244" s="184"/>
      <c r="L1244" s="184"/>
      <c r="M1244" s="59"/>
    </row>
    <row r="1245" spans="2:13" x14ac:dyDescent="0.3">
      <c r="B1245" s="178"/>
      <c r="C1245" s="41"/>
      <c r="D1245" s="180"/>
      <c r="E1245" s="181"/>
      <c r="F1245" s="182"/>
      <c r="G1245" s="1" t="str">
        <f>IFERROR(IF(ventas_b_mes1255[[#This Row],[CUIT]]="","-",VLOOKUP(ventas_b_mes1255[[#This Row],[CUIT]],Lista_CUIT[#All],2,0)),"CUIT NO CARGADO")</f>
        <v>-</v>
      </c>
      <c r="H1245" s="100">
        <f>ventas_b_mes1255[[#This Row],[TOTAL]]/1.21</f>
        <v>0</v>
      </c>
      <c r="I1245" s="64">
        <f>ventas_b_mes1255[[#This Row],[IMPORTE NETO]]*0.21</f>
        <v>0</v>
      </c>
      <c r="J1245" s="184"/>
      <c r="K1245" s="184"/>
      <c r="L1245" s="184"/>
      <c r="M1245" s="59"/>
    </row>
    <row r="1246" spans="2:13" x14ac:dyDescent="0.3">
      <c r="B1246" s="178"/>
      <c r="C1246" s="41"/>
      <c r="D1246" s="180"/>
      <c r="E1246" s="181"/>
      <c r="F1246" s="182"/>
      <c r="G1246" s="1" t="str">
        <f>IFERROR(IF(ventas_b_mes1255[[#This Row],[CUIT]]="","-",VLOOKUP(ventas_b_mes1255[[#This Row],[CUIT]],Lista_CUIT[#All],2,0)),"CUIT NO CARGADO")</f>
        <v>-</v>
      </c>
      <c r="H1246" s="100">
        <f>ventas_b_mes1255[[#This Row],[TOTAL]]/1.21</f>
        <v>0</v>
      </c>
      <c r="I1246" s="64">
        <f>ventas_b_mes1255[[#This Row],[IMPORTE NETO]]*0.21</f>
        <v>0</v>
      </c>
      <c r="J1246" s="184"/>
      <c r="K1246" s="184"/>
      <c r="L1246" s="184"/>
      <c r="M1246" s="59"/>
    </row>
    <row r="1247" spans="2:13" x14ac:dyDescent="0.3">
      <c r="B1247" s="178"/>
      <c r="C1247" s="41"/>
      <c r="D1247" s="180"/>
      <c r="E1247" s="181"/>
      <c r="F1247" s="182"/>
      <c r="G1247" s="1" t="str">
        <f>IFERROR(IF(ventas_b_mes1255[[#This Row],[CUIT]]="","-",VLOOKUP(ventas_b_mes1255[[#This Row],[CUIT]],Lista_CUIT[#All],2,0)),"CUIT NO CARGADO")</f>
        <v>-</v>
      </c>
      <c r="H1247" s="100">
        <f>ventas_b_mes1255[[#This Row],[TOTAL]]/1.21</f>
        <v>0</v>
      </c>
      <c r="I1247" s="64">
        <f>ventas_b_mes1255[[#This Row],[IMPORTE NETO]]*0.21</f>
        <v>0</v>
      </c>
      <c r="J1247" s="184"/>
      <c r="K1247" s="184"/>
      <c r="L1247" s="184"/>
      <c r="M1247" s="59"/>
    </row>
    <row r="1248" spans="2:13" x14ac:dyDescent="0.3">
      <c r="B1248" s="178"/>
      <c r="C1248" s="41"/>
      <c r="D1248" s="180"/>
      <c r="E1248" s="181"/>
      <c r="F1248" s="182"/>
      <c r="G1248" s="1" t="str">
        <f>IFERROR(IF(ventas_b_mes1255[[#This Row],[CUIT]]="","-",VLOOKUP(ventas_b_mes1255[[#This Row],[CUIT]],Lista_CUIT[#All],2,0)),"CUIT NO CARGADO")</f>
        <v>-</v>
      </c>
      <c r="H1248" s="100">
        <f>ventas_b_mes1255[[#This Row],[TOTAL]]/1.21</f>
        <v>0</v>
      </c>
      <c r="I1248" s="64">
        <f>ventas_b_mes1255[[#This Row],[IMPORTE NETO]]*0.21</f>
        <v>0</v>
      </c>
      <c r="J1248" s="184"/>
      <c r="K1248" s="184"/>
      <c r="L1248" s="184"/>
      <c r="M1248" s="59"/>
    </row>
    <row r="1249" spans="2:13" x14ac:dyDescent="0.3">
      <c r="B1249" s="178"/>
      <c r="C1249" s="41"/>
      <c r="D1249" s="180"/>
      <c r="E1249" s="181"/>
      <c r="F1249" s="182"/>
      <c r="G1249" s="1" t="str">
        <f>IFERROR(IF(ventas_b_mes1255[[#This Row],[CUIT]]="","-",VLOOKUP(ventas_b_mes1255[[#This Row],[CUIT]],Lista_CUIT[#All],2,0)),"CUIT NO CARGADO")</f>
        <v>-</v>
      </c>
      <c r="H1249" s="100">
        <f>ventas_b_mes1255[[#This Row],[TOTAL]]/1.21</f>
        <v>0</v>
      </c>
      <c r="I1249" s="64">
        <f>ventas_b_mes1255[[#This Row],[IMPORTE NETO]]*0.21</f>
        <v>0</v>
      </c>
      <c r="J1249" s="184"/>
      <c r="K1249" s="184"/>
      <c r="L1249" s="184"/>
      <c r="M1249" s="59"/>
    </row>
    <row r="1250" spans="2:13" x14ac:dyDescent="0.3">
      <c r="B1250" s="178"/>
      <c r="C1250" s="41"/>
      <c r="D1250" s="180"/>
      <c r="E1250" s="181"/>
      <c r="F1250" s="182"/>
      <c r="G1250" s="1" t="str">
        <f>IFERROR(IF(ventas_b_mes1255[[#This Row],[CUIT]]="","-",VLOOKUP(ventas_b_mes1255[[#This Row],[CUIT]],Lista_CUIT[#All],2,0)),"CUIT NO CARGADO")</f>
        <v>-</v>
      </c>
      <c r="H1250" s="100">
        <f>ventas_b_mes1255[[#This Row],[TOTAL]]/1.21</f>
        <v>0</v>
      </c>
      <c r="I1250" s="64">
        <f>ventas_b_mes1255[[#This Row],[IMPORTE NETO]]*0.21</f>
        <v>0</v>
      </c>
      <c r="J1250" s="184"/>
      <c r="K1250" s="184"/>
      <c r="L1250" s="184"/>
      <c r="M1250" s="59"/>
    </row>
    <row r="1251" spans="2:13" x14ac:dyDescent="0.3">
      <c r="B1251" s="178"/>
      <c r="C1251" s="41"/>
      <c r="D1251" s="180"/>
      <c r="E1251" s="181"/>
      <c r="F1251" s="182"/>
      <c r="G1251" s="1" t="str">
        <f>IFERROR(IF(ventas_b_mes1255[[#This Row],[CUIT]]="","-",VLOOKUP(ventas_b_mes1255[[#This Row],[CUIT]],Lista_CUIT[#All],2,0)),"CUIT NO CARGADO")</f>
        <v>-</v>
      </c>
      <c r="H1251" s="100">
        <f>ventas_b_mes1255[[#This Row],[TOTAL]]/1.21</f>
        <v>0</v>
      </c>
      <c r="I1251" s="64">
        <f>ventas_b_mes1255[[#This Row],[IMPORTE NETO]]*0.21</f>
        <v>0</v>
      </c>
      <c r="J1251" s="184"/>
      <c r="K1251" s="184"/>
      <c r="L1251" s="184"/>
      <c r="M1251" s="59"/>
    </row>
    <row r="1252" spans="2:13" x14ac:dyDescent="0.3">
      <c r="B1252" s="178"/>
      <c r="C1252" s="41"/>
      <c r="D1252" s="180"/>
      <c r="E1252" s="181"/>
      <c r="F1252" s="182"/>
      <c r="G1252" s="1" t="str">
        <f>IFERROR(IF(ventas_b_mes1255[[#This Row],[CUIT]]="","-",VLOOKUP(ventas_b_mes1255[[#This Row],[CUIT]],Lista_CUIT[#All],2,0)),"CUIT NO CARGADO")</f>
        <v>-</v>
      </c>
      <c r="H1252" s="100">
        <f>ventas_b_mes1255[[#This Row],[TOTAL]]/1.21</f>
        <v>0</v>
      </c>
      <c r="I1252" s="64">
        <f>ventas_b_mes1255[[#This Row],[IMPORTE NETO]]*0.21</f>
        <v>0</v>
      </c>
      <c r="J1252" s="184"/>
      <c r="K1252" s="184"/>
      <c r="L1252" s="184"/>
      <c r="M1252" s="59"/>
    </row>
    <row r="1253" spans="2:13" x14ac:dyDescent="0.3">
      <c r="B1253" s="178"/>
      <c r="C1253" s="41"/>
      <c r="D1253" s="180"/>
      <c r="E1253" s="181"/>
      <c r="F1253" s="182"/>
      <c r="G1253" s="1" t="str">
        <f>IFERROR(IF(ventas_b_mes1255[[#This Row],[CUIT]]="","-",VLOOKUP(ventas_b_mes1255[[#This Row],[CUIT]],Lista_CUIT[#All],2,0)),"CUIT NO CARGADO")</f>
        <v>-</v>
      </c>
      <c r="H1253" s="100">
        <f>ventas_b_mes1255[[#This Row],[TOTAL]]/1.21</f>
        <v>0</v>
      </c>
      <c r="I1253" s="64">
        <f>ventas_b_mes1255[[#This Row],[IMPORTE NETO]]*0.21</f>
        <v>0</v>
      </c>
      <c r="J1253" s="184"/>
      <c r="K1253" s="184"/>
      <c r="L1253" s="184"/>
      <c r="M1253" s="59"/>
    </row>
    <row r="1254" spans="2:13" x14ac:dyDescent="0.3">
      <c r="B1254" s="178"/>
      <c r="C1254" s="41"/>
      <c r="D1254" s="180"/>
      <c r="E1254" s="181"/>
      <c r="F1254" s="182"/>
      <c r="G1254" s="1" t="str">
        <f>IFERROR(IF(ventas_b_mes1255[[#This Row],[CUIT]]="","-",VLOOKUP(ventas_b_mes1255[[#This Row],[CUIT]],Lista_CUIT[#All],2,0)),"CUIT NO CARGADO")</f>
        <v>-</v>
      </c>
      <c r="H1254" s="100">
        <f>ventas_b_mes1255[[#This Row],[TOTAL]]/1.21</f>
        <v>0</v>
      </c>
      <c r="I1254" s="64">
        <f>ventas_b_mes1255[[#This Row],[IMPORTE NETO]]*0.21</f>
        <v>0</v>
      </c>
      <c r="J1254" s="184"/>
      <c r="K1254" s="184"/>
      <c r="L1254" s="184"/>
      <c r="M1254" s="59"/>
    </row>
    <row r="1255" spans="2:13" x14ac:dyDescent="0.3">
      <c r="B1255" s="178"/>
      <c r="C1255" s="41"/>
      <c r="D1255" s="180"/>
      <c r="E1255" s="181"/>
      <c r="F1255" s="182"/>
      <c r="G1255" s="1" t="str">
        <f>IFERROR(IF(ventas_b_mes1255[[#This Row],[CUIT]]="","-",VLOOKUP(ventas_b_mes1255[[#This Row],[CUIT]],Lista_CUIT[#All],2,0)),"CUIT NO CARGADO")</f>
        <v>-</v>
      </c>
      <c r="H1255" s="100">
        <f>ventas_b_mes1255[[#This Row],[TOTAL]]/1.21</f>
        <v>0</v>
      </c>
      <c r="I1255" s="64">
        <f>ventas_b_mes1255[[#This Row],[IMPORTE NETO]]*0.21</f>
        <v>0</v>
      </c>
      <c r="J1255" s="184"/>
      <c r="K1255" s="184"/>
      <c r="L1255" s="184"/>
      <c r="M1255" s="59"/>
    </row>
    <row r="1256" spans="2:13" x14ac:dyDescent="0.3">
      <c r="B1256" s="178"/>
      <c r="C1256" s="41"/>
      <c r="D1256" s="180"/>
      <c r="E1256" s="181"/>
      <c r="F1256" s="182"/>
      <c r="G1256" s="1" t="str">
        <f>IFERROR(IF(ventas_b_mes1255[[#This Row],[CUIT]]="","-",VLOOKUP(ventas_b_mes1255[[#This Row],[CUIT]],Lista_CUIT[#All],2,0)),"CUIT NO CARGADO")</f>
        <v>-</v>
      </c>
      <c r="H1256" s="100">
        <f>ventas_b_mes1255[[#This Row],[TOTAL]]/1.21</f>
        <v>0</v>
      </c>
      <c r="I1256" s="64">
        <f>ventas_b_mes1255[[#This Row],[IMPORTE NETO]]*0.21</f>
        <v>0</v>
      </c>
      <c r="J1256" s="184"/>
      <c r="K1256" s="184"/>
      <c r="L1256" s="184"/>
      <c r="M1256" s="59"/>
    </row>
    <row r="1257" spans="2:13" x14ac:dyDescent="0.3">
      <c r="B1257" s="178"/>
      <c r="C1257" s="41"/>
      <c r="D1257" s="180"/>
      <c r="E1257" s="181"/>
      <c r="F1257" s="182"/>
      <c r="G1257" s="1" t="str">
        <f>IFERROR(IF(ventas_b_mes1255[[#This Row],[CUIT]]="","-",VLOOKUP(ventas_b_mes1255[[#This Row],[CUIT]],Lista_CUIT[#All],2,0)),"CUIT NO CARGADO")</f>
        <v>-</v>
      </c>
      <c r="H1257" s="100">
        <f>ventas_b_mes1255[[#This Row],[TOTAL]]/1.21</f>
        <v>0</v>
      </c>
      <c r="I1257" s="64">
        <f>ventas_b_mes1255[[#This Row],[IMPORTE NETO]]*0.21</f>
        <v>0</v>
      </c>
      <c r="J1257" s="184"/>
      <c r="K1257" s="184"/>
      <c r="L1257" s="184"/>
      <c r="M1257" s="59"/>
    </row>
    <row r="1258" spans="2:13" x14ac:dyDescent="0.3">
      <c r="B1258" s="178"/>
      <c r="C1258" s="41"/>
      <c r="D1258" s="180"/>
      <c r="E1258" s="181"/>
      <c r="F1258" s="182"/>
      <c r="G1258" s="1" t="str">
        <f>IFERROR(IF(ventas_b_mes1255[[#This Row],[CUIT]]="","-",VLOOKUP(ventas_b_mes1255[[#This Row],[CUIT]],Lista_CUIT[#All],2,0)),"CUIT NO CARGADO")</f>
        <v>-</v>
      </c>
      <c r="H1258" s="100">
        <f>ventas_b_mes1255[[#This Row],[TOTAL]]/1.21</f>
        <v>0</v>
      </c>
      <c r="I1258" s="64">
        <f>ventas_b_mes1255[[#This Row],[IMPORTE NETO]]*0.21</f>
        <v>0</v>
      </c>
      <c r="J1258" s="184"/>
      <c r="K1258" s="184"/>
      <c r="L1258" s="184"/>
      <c r="M1258" s="59"/>
    </row>
    <row r="1259" spans="2:13" x14ac:dyDescent="0.3">
      <c r="B1259" s="178"/>
      <c r="C1259" s="41"/>
      <c r="D1259" s="180"/>
      <c r="E1259" s="181"/>
      <c r="F1259" s="182"/>
      <c r="G1259" s="1" t="str">
        <f>IFERROR(IF(ventas_b_mes1255[[#This Row],[CUIT]]="","-",VLOOKUP(ventas_b_mes1255[[#This Row],[CUIT]],Lista_CUIT[#All],2,0)),"CUIT NO CARGADO")</f>
        <v>-</v>
      </c>
      <c r="H1259" s="100">
        <f>ventas_b_mes1255[[#This Row],[TOTAL]]/1.21</f>
        <v>0</v>
      </c>
      <c r="I1259" s="64">
        <f>ventas_b_mes1255[[#This Row],[IMPORTE NETO]]*0.21</f>
        <v>0</v>
      </c>
      <c r="J1259" s="184"/>
      <c r="K1259" s="184"/>
      <c r="L1259" s="184"/>
      <c r="M1259" s="59"/>
    </row>
    <row r="1260" spans="2:13" x14ac:dyDescent="0.3">
      <c r="B1260" s="178"/>
      <c r="C1260" s="41"/>
      <c r="D1260" s="180"/>
      <c r="E1260" s="181"/>
      <c r="F1260" s="182"/>
      <c r="G1260" s="1" t="str">
        <f>IFERROR(IF(ventas_b_mes1255[[#This Row],[CUIT]]="","-",VLOOKUP(ventas_b_mes1255[[#This Row],[CUIT]],Lista_CUIT[#All],2,0)),"CUIT NO CARGADO")</f>
        <v>-</v>
      </c>
      <c r="H1260" s="100">
        <f>ventas_b_mes1255[[#This Row],[TOTAL]]/1.21</f>
        <v>0</v>
      </c>
      <c r="I1260" s="64">
        <f>ventas_b_mes1255[[#This Row],[IMPORTE NETO]]*0.21</f>
        <v>0</v>
      </c>
      <c r="J1260" s="184"/>
      <c r="K1260" s="184"/>
      <c r="L1260" s="184"/>
      <c r="M1260" s="59"/>
    </row>
    <row r="1261" spans="2:13" x14ac:dyDescent="0.3">
      <c r="B1261" s="178"/>
      <c r="C1261" s="41"/>
      <c r="D1261" s="180"/>
      <c r="E1261" s="181"/>
      <c r="F1261" s="182"/>
      <c r="G1261" s="1" t="str">
        <f>IFERROR(IF(ventas_b_mes1255[[#This Row],[CUIT]]="","-",VLOOKUP(ventas_b_mes1255[[#This Row],[CUIT]],Lista_CUIT[#All],2,0)),"CUIT NO CARGADO")</f>
        <v>-</v>
      </c>
      <c r="H1261" s="100">
        <f>ventas_b_mes1255[[#This Row],[TOTAL]]/1.21</f>
        <v>0</v>
      </c>
      <c r="I1261" s="64">
        <f>ventas_b_mes1255[[#This Row],[IMPORTE NETO]]*0.21</f>
        <v>0</v>
      </c>
      <c r="J1261" s="184"/>
      <c r="K1261" s="184"/>
      <c r="L1261" s="184"/>
      <c r="M1261" s="59"/>
    </row>
    <row r="1262" spans="2:13" x14ac:dyDescent="0.3">
      <c r="B1262" s="178"/>
      <c r="C1262" s="41"/>
      <c r="D1262" s="180"/>
      <c r="E1262" s="181"/>
      <c r="F1262" s="182"/>
      <c r="G1262" s="1" t="str">
        <f>IFERROR(IF(ventas_b_mes1255[[#This Row],[CUIT]]="","-",VLOOKUP(ventas_b_mes1255[[#This Row],[CUIT]],Lista_CUIT[#All],2,0)),"CUIT NO CARGADO")</f>
        <v>-</v>
      </c>
      <c r="H1262" s="100">
        <f>ventas_b_mes1255[[#This Row],[TOTAL]]/1.21</f>
        <v>0</v>
      </c>
      <c r="I1262" s="64">
        <f>ventas_b_mes1255[[#This Row],[IMPORTE NETO]]*0.21</f>
        <v>0</v>
      </c>
      <c r="J1262" s="184"/>
      <c r="K1262" s="184"/>
      <c r="L1262" s="184"/>
      <c r="M1262" s="59"/>
    </row>
    <row r="1263" spans="2:13" x14ac:dyDescent="0.3">
      <c r="B1263" s="178"/>
      <c r="C1263" s="41"/>
      <c r="D1263" s="180"/>
      <c r="E1263" s="181"/>
      <c r="F1263" s="182"/>
      <c r="G1263" s="1" t="str">
        <f>IFERROR(IF(ventas_b_mes1255[[#This Row],[CUIT]]="","-",VLOOKUP(ventas_b_mes1255[[#This Row],[CUIT]],Lista_CUIT[#All],2,0)),"CUIT NO CARGADO")</f>
        <v>-</v>
      </c>
      <c r="H1263" s="100">
        <f>ventas_b_mes1255[[#This Row],[TOTAL]]/1.21</f>
        <v>0</v>
      </c>
      <c r="I1263" s="64">
        <f>ventas_b_mes1255[[#This Row],[IMPORTE NETO]]*0.21</f>
        <v>0</v>
      </c>
      <c r="J1263" s="184"/>
      <c r="K1263" s="184"/>
      <c r="L1263" s="184"/>
      <c r="M1263" s="59"/>
    </row>
    <row r="1264" spans="2:13" x14ac:dyDescent="0.3">
      <c r="B1264" s="178"/>
      <c r="C1264" s="41"/>
      <c r="D1264" s="180"/>
      <c r="E1264" s="181"/>
      <c r="F1264" s="182"/>
      <c r="G1264" s="1" t="str">
        <f>IFERROR(IF(ventas_b_mes1255[[#This Row],[CUIT]]="","-",VLOOKUP(ventas_b_mes1255[[#This Row],[CUIT]],Lista_CUIT[#All],2,0)),"CUIT NO CARGADO")</f>
        <v>-</v>
      </c>
      <c r="H1264" s="100">
        <f>ventas_b_mes1255[[#This Row],[TOTAL]]/1.21</f>
        <v>0</v>
      </c>
      <c r="I1264" s="64">
        <f>ventas_b_mes1255[[#This Row],[IMPORTE NETO]]*0.21</f>
        <v>0</v>
      </c>
      <c r="J1264" s="184"/>
      <c r="K1264" s="184"/>
      <c r="L1264" s="184"/>
      <c r="M1264" s="59"/>
    </row>
    <row r="1265" spans="2:13" x14ac:dyDescent="0.3">
      <c r="B1265" s="178"/>
      <c r="C1265" s="41"/>
      <c r="D1265" s="180"/>
      <c r="E1265" s="181"/>
      <c r="F1265" s="182"/>
      <c r="G1265" s="1" t="str">
        <f>IFERROR(IF(ventas_b_mes1255[[#This Row],[CUIT]]="","-",VLOOKUP(ventas_b_mes1255[[#This Row],[CUIT]],Lista_CUIT[#All],2,0)),"CUIT NO CARGADO")</f>
        <v>-</v>
      </c>
      <c r="H1265" s="100">
        <f>ventas_b_mes1255[[#This Row],[TOTAL]]/1.21</f>
        <v>0</v>
      </c>
      <c r="I1265" s="64">
        <f>ventas_b_mes1255[[#This Row],[IMPORTE NETO]]*0.21</f>
        <v>0</v>
      </c>
      <c r="J1265" s="184"/>
      <c r="K1265" s="184"/>
      <c r="L1265" s="184"/>
      <c r="M1265" s="59"/>
    </row>
    <row r="1266" spans="2:13" x14ac:dyDescent="0.3">
      <c r="B1266" s="178"/>
      <c r="C1266" s="41"/>
      <c r="D1266" s="180"/>
      <c r="E1266" s="181"/>
      <c r="F1266" s="182"/>
      <c r="G1266" s="1" t="str">
        <f>IFERROR(IF(ventas_b_mes1255[[#This Row],[CUIT]]="","-",VLOOKUP(ventas_b_mes1255[[#This Row],[CUIT]],Lista_CUIT[#All],2,0)),"CUIT NO CARGADO")</f>
        <v>-</v>
      </c>
      <c r="H1266" s="100">
        <f>ventas_b_mes1255[[#This Row],[TOTAL]]/1.21</f>
        <v>0</v>
      </c>
      <c r="I1266" s="64">
        <f>ventas_b_mes1255[[#This Row],[IMPORTE NETO]]*0.21</f>
        <v>0</v>
      </c>
      <c r="J1266" s="184"/>
      <c r="K1266" s="184"/>
      <c r="L1266" s="184"/>
      <c r="M1266" s="59"/>
    </row>
    <row r="1267" spans="2:13" x14ac:dyDescent="0.3">
      <c r="B1267" s="178"/>
      <c r="C1267" s="41"/>
      <c r="D1267" s="180"/>
      <c r="E1267" s="181"/>
      <c r="F1267" s="182"/>
      <c r="G1267" s="1" t="str">
        <f>IFERROR(IF(ventas_b_mes1255[[#This Row],[CUIT]]="","-",VLOOKUP(ventas_b_mes1255[[#This Row],[CUIT]],Lista_CUIT[#All],2,0)),"CUIT NO CARGADO")</f>
        <v>-</v>
      </c>
      <c r="H1267" s="100">
        <f>ventas_b_mes1255[[#This Row],[TOTAL]]/1.21</f>
        <v>0</v>
      </c>
      <c r="I1267" s="64">
        <f>ventas_b_mes1255[[#This Row],[IMPORTE NETO]]*0.21</f>
        <v>0</v>
      </c>
      <c r="J1267" s="184"/>
      <c r="K1267" s="184"/>
      <c r="L1267" s="184"/>
      <c r="M1267" s="59"/>
    </row>
    <row r="1268" spans="2:13" x14ac:dyDescent="0.3">
      <c r="B1268" s="178"/>
      <c r="C1268" s="41"/>
      <c r="D1268" s="180"/>
      <c r="E1268" s="181"/>
      <c r="F1268" s="182"/>
      <c r="G1268" s="1" t="str">
        <f>IFERROR(IF(ventas_b_mes1255[[#This Row],[CUIT]]="","-",VLOOKUP(ventas_b_mes1255[[#This Row],[CUIT]],Lista_CUIT[#All],2,0)),"CUIT NO CARGADO")</f>
        <v>-</v>
      </c>
      <c r="H1268" s="100">
        <f>ventas_b_mes1255[[#This Row],[TOTAL]]/1.21</f>
        <v>0</v>
      </c>
      <c r="I1268" s="64">
        <f>ventas_b_mes1255[[#This Row],[IMPORTE NETO]]*0.21</f>
        <v>0</v>
      </c>
      <c r="J1268" s="184"/>
      <c r="K1268" s="184"/>
      <c r="L1268" s="184"/>
      <c r="M1268" s="59"/>
    </row>
    <row r="1269" spans="2:13" x14ac:dyDescent="0.3">
      <c r="B1269" s="178"/>
      <c r="C1269" s="41"/>
      <c r="D1269" s="180"/>
      <c r="E1269" s="181"/>
      <c r="F1269" s="182"/>
      <c r="G1269" s="1" t="str">
        <f>IFERROR(IF(ventas_b_mes1255[[#This Row],[CUIT]]="","-",VLOOKUP(ventas_b_mes1255[[#This Row],[CUIT]],Lista_CUIT[#All],2,0)),"CUIT NO CARGADO")</f>
        <v>-</v>
      </c>
      <c r="H1269" s="100">
        <f>ventas_b_mes1255[[#This Row],[TOTAL]]/1.21</f>
        <v>0</v>
      </c>
      <c r="I1269" s="64">
        <f>ventas_b_mes1255[[#This Row],[IMPORTE NETO]]*0.21</f>
        <v>0</v>
      </c>
      <c r="J1269" s="184"/>
      <c r="K1269" s="184"/>
      <c r="L1269" s="184"/>
      <c r="M1269" s="59"/>
    </row>
    <row r="1270" spans="2:13" x14ac:dyDescent="0.3">
      <c r="B1270" s="178"/>
      <c r="C1270" s="41"/>
      <c r="D1270" s="180"/>
      <c r="E1270" s="181"/>
      <c r="F1270" s="182"/>
      <c r="G1270" s="1" t="str">
        <f>IFERROR(IF(ventas_b_mes1255[[#This Row],[CUIT]]="","-",VLOOKUP(ventas_b_mes1255[[#This Row],[CUIT]],Lista_CUIT[#All],2,0)),"CUIT NO CARGADO")</f>
        <v>-</v>
      </c>
      <c r="H1270" s="100">
        <f>ventas_b_mes1255[[#This Row],[TOTAL]]/1.21</f>
        <v>0</v>
      </c>
      <c r="I1270" s="64">
        <f>ventas_b_mes1255[[#This Row],[IMPORTE NETO]]*0.21</f>
        <v>0</v>
      </c>
      <c r="J1270" s="184"/>
      <c r="K1270" s="184"/>
      <c r="L1270" s="184"/>
      <c r="M1270" s="59"/>
    </row>
    <row r="1271" spans="2:13" x14ac:dyDescent="0.3">
      <c r="B1271" s="178"/>
      <c r="C1271" s="41"/>
      <c r="D1271" s="180"/>
      <c r="E1271" s="181"/>
      <c r="F1271" s="182"/>
      <c r="G1271" s="1" t="str">
        <f>IFERROR(IF(ventas_b_mes1255[[#This Row],[CUIT]]="","-",VLOOKUP(ventas_b_mes1255[[#This Row],[CUIT]],Lista_CUIT[#All],2,0)),"CUIT NO CARGADO")</f>
        <v>-</v>
      </c>
      <c r="H1271" s="100">
        <f>ventas_b_mes1255[[#This Row],[TOTAL]]/1.21</f>
        <v>0</v>
      </c>
      <c r="I1271" s="64">
        <f>ventas_b_mes1255[[#This Row],[IMPORTE NETO]]*0.21</f>
        <v>0</v>
      </c>
      <c r="J1271" s="184"/>
      <c r="K1271" s="184"/>
      <c r="L1271" s="184"/>
      <c r="M1271" s="59"/>
    </row>
    <row r="1272" spans="2:13" x14ac:dyDescent="0.3">
      <c r="B1272" s="178"/>
      <c r="C1272" s="41"/>
      <c r="D1272" s="180"/>
      <c r="E1272" s="181"/>
      <c r="F1272" s="182"/>
      <c r="G1272" s="1" t="str">
        <f>IFERROR(IF(ventas_b_mes1255[[#This Row],[CUIT]]="","-",VLOOKUP(ventas_b_mes1255[[#This Row],[CUIT]],Lista_CUIT[#All],2,0)),"CUIT NO CARGADO")</f>
        <v>-</v>
      </c>
      <c r="H1272" s="100">
        <f>ventas_b_mes1255[[#This Row],[TOTAL]]/1.21</f>
        <v>0</v>
      </c>
      <c r="I1272" s="64">
        <f>ventas_b_mes1255[[#This Row],[IMPORTE NETO]]*0.21</f>
        <v>0</v>
      </c>
      <c r="J1272" s="184"/>
      <c r="K1272" s="184"/>
      <c r="L1272" s="184"/>
      <c r="M1272" s="59"/>
    </row>
    <row r="1273" spans="2:13" x14ac:dyDescent="0.3">
      <c r="B1273" s="178"/>
      <c r="C1273" s="41"/>
      <c r="D1273" s="180"/>
      <c r="E1273" s="181"/>
      <c r="F1273" s="182"/>
      <c r="G1273" s="1" t="str">
        <f>IFERROR(IF(ventas_b_mes1255[[#This Row],[CUIT]]="","-",VLOOKUP(ventas_b_mes1255[[#This Row],[CUIT]],Lista_CUIT[#All],2,0)),"CUIT NO CARGADO")</f>
        <v>-</v>
      </c>
      <c r="H1273" s="100">
        <f>ventas_b_mes1255[[#This Row],[TOTAL]]/1.21</f>
        <v>0</v>
      </c>
      <c r="I1273" s="64">
        <f>ventas_b_mes1255[[#This Row],[IMPORTE NETO]]*0.21</f>
        <v>0</v>
      </c>
      <c r="J1273" s="184"/>
      <c r="K1273" s="184"/>
      <c r="L1273" s="184"/>
      <c r="M1273" s="59"/>
    </row>
    <row r="1274" spans="2:13" x14ac:dyDescent="0.3">
      <c r="B1274" s="178"/>
      <c r="C1274" s="41"/>
      <c r="D1274" s="180"/>
      <c r="E1274" s="181"/>
      <c r="F1274" s="182"/>
      <c r="G1274" s="1" t="str">
        <f>IFERROR(IF(ventas_b_mes1255[[#This Row],[CUIT]]="","-",VLOOKUP(ventas_b_mes1255[[#This Row],[CUIT]],Lista_CUIT[#All],2,0)),"CUIT NO CARGADO")</f>
        <v>-</v>
      </c>
      <c r="H1274" s="100">
        <f>ventas_b_mes1255[[#This Row],[TOTAL]]/1.21</f>
        <v>0</v>
      </c>
      <c r="I1274" s="64">
        <f>ventas_b_mes1255[[#This Row],[IMPORTE NETO]]*0.21</f>
        <v>0</v>
      </c>
      <c r="J1274" s="184"/>
      <c r="K1274" s="184"/>
      <c r="L1274" s="184"/>
      <c r="M1274" s="59"/>
    </row>
    <row r="1275" spans="2:13" x14ac:dyDescent="0.3">
      <c r="B1275" s="178"/>
      <c r="C1275" s="41"/>
      <c r="D1275" s="180"/>
      <c r="E1275" s="181"/>
      <c r="F1275" s="182"/>
      <c r="G1275" s="1" t="str">
        <f>IFERROR(IF(ventas_b_mes1255[[#This Row],[CUIT]]="","-",VLOOKUP(ventas_b_mes1255[[#This Row],[CUIT]],Lista_CUIT[#All],2,0)),"CUIT NO CARGADO")</f>
        <v>-</v>
      </c>
      <c r="H1275" s="100">
        <f>ventas_b_mes1255[[#This Row],[TOTAL]]/1.21</f>
        <v>0</v>
      </c>
      <c r="I1275" s="64">
        <f>ventas_b_mes1255[[#This Row],[IMPORTE NETO]]*0.21</f>
        <v>0</v>
      </c>
      <c r="J1275" s="184"/>
      <c r="K1275" s="184"/>
      <c r="L1275" s="184"/>
      <c r="M1275" s="59"/>
    </row>
    <row r="1276" spans="2:13" x14ac:dyDescent="0.3">
      <c r="B1276" s="178"/>
      <c r="C1276" s="41"/>
      <c r="D1276" s="180"/>
      <c r="E1276" s="181"/>
      <c r="F1276" s="182"/>
      <c r="G1276" s="1" t="str">
        <f>IFERROR(IF(ventas_b_mes1255[[#This Row],[CUIT]]="","-",VLOOKUP(ventas_b_mes1255[[#This Row],[CUIT]],Lista_CUIT[#All],2,0)),"CUIT NO CARGADO")</f>
        <v>-</v>
      </c>
      <c r="H1276" s="100">
        <f>ventas_b_mes1255[[#This Row],[TOTAL]]/1.21</f>
        <v>0</v>
      </c>
      <c r="I1276" s="64">
        <f>ventas_b_mes1255[[#This Row],[IMPORTE NETO]]*0.21</f>
        <v>0</v>
      </c>
      <c r="J1276" s="184"/>
      <c r="K1276" s="184"/>
      <c r="L1276" s="184"/>
      <c r="M1276" s="59"/>
    </row>
    <row r="1277" spans="2:13" x14ac:dyDescent="0.3">
      <c r="B1277" s="178"/>
      <c r="C1277" s="41"/>
      <c r="D1277" s="180"/>
      <c r="E1277" s="181"/>
      <c r="F1277" s="182"/>
      <c r="G1277" s="1" t="str">
        <f>IFERROR(IF(ventas_b_mes1255[[#This Row],[CUIT]]="","-",VLOOKUP(ventas_b_mes1255[[#This Row],[CUIT]],Lista_CUIT[#All],2,0)),"CUIT NO CARGADO")</f>
        <v>-</v>
      </c>
      <c r="H1277" s="100">
        <f>ventas_b_mes1255[[#This Row],[TOTAL]]/1.21</f>
        <v>0</v>
      </c>
      <c r="I1277" s="64">
        <f>ventas_b_mes1255[[#This Row],[IMPORTE NETO]]*0.21</f>
        <v>0</v>
      </c>
      <c r="J1277" s="184"/>
      <c r="K1277" s="184"/>
      <c r="L1277" s="184"/>
      <c r="M1277" s="59"/>
    </row>
    <row r="1278" spans="2:13" x14ac:dyDescent="0.3">
      <c r="B1278" s="178"/>
      <c r="C1278" s="41"/>
      <c r="D1278" s="180"/>
      <c r="E1278" s="181"/>
      <c r="F1278" s="182"/>
      <c r="G1278" s="1" t="str">
        <f>IFERROR(IF(ventas_b_mes1255[[#This Row],[CUIT]]="","-",VLOOKUP(ventas_b_mes1255[[#This Row],[CUIT]],Lista_CUIT[#All],2,0)),"CUIT NO CARGADO")</f>
        <v>-</v>
      </c>
      <c r="H1278" s="100">
        <f>ventas_b_mes1255[[#This Row],[TOTAL]]/1.21</f>
        <v>0</v>
      </c>
      <c r="I1278" s="64">
        <f>ventas_b_mes1255[[#This Row],[IMPORTE NETO]]*0.21</f>
        <v>0</v>
      </c>
      <c r="J1278" s="184"/>
      <c r="K1278" s="184"/>
      <c r="L1278" s="184"/>
      <c r="M1278" s="59"/>
    </row>
    <row r="1279" spans="2:13" x14ac:dyDescent="0.3">
      <c r="B1279" s="178"/>
      <c r="C1279" s="41"/>
      <c r="D1279" s="180"/>
      <c r="E1279" s="181"/>
      <c r="F1279" s="182"/>
      <c r="G1279" s="1" t="str">
        <f>IFERROR(IF(ventas_b_mes1255[[#This Row],[CUIT]]="","-",VLOOKUP(ventas_b_mes1255[[#This Row],[CUIT]],Lista_CUIT[#All],2,0)),"CUIT NO CARGADO")</f>
        <v>-</v>
      </c>
      <c r="H1279" s="100">
        <f>ventas_b_mes1255[[#This Row],[TOTAL]]/1.21</f>
        <v>0</v>
      </c>
      <c r="I1279" s="64">
        <f>ventas_b_mes1255[[#This Row],[IMPORTE NETO]]*0.21</f>
        <v>0</v>
      </c>
      <c r="J1279" s="184"/>
      <c r="K1279" s="184"/>
      <c r="L1279" s="184"/>
      <c r="M1279" s="59"/>
    </row>
    <row r="1280" spans="2:13" x14ac:dyDescent="0.3">
      <c r="B1280" s="178"/>
      <c r="C1280" s="41"/>
      <c r="D1280" s="180"/>
      <c r="E1280" s="181"/>
      <c r="F1280" s="182"/>
      <c r="G1280" s="1" t="str">
        <f>IFERROR(IF(ventas_b_mes1255[[#This Row],[CUIT]]="","-",VLOOKUP(ventas_b_mes1255[[#This Row],[CUIT]],Lista_CUIT[#All],2,0)),"CUIT NO CARGADO")</f>
        <v>-</v>
      </c>
      <c r="H1280" s="100">
        <f>ventas_b_mes1255[[#This Row],[TOTAL]]/1.21</f>
        <v>0</v>
      </c>
      <c r="I1280" s="64">
        <f>ventas_b_mes1255[[#This Row],[IMPORTE NETO]]*0.21</f>
        <v>0</v>
      </c>
      <c r="J1280" s="184"/>
      <c r="K1280" s="184"/>
      <c r="L1280" s="184"/>
      <c r="M1280" s="59"/>
    </row>
    <row r="1281" spans="2:13" x14ac:dyDescent="0.3">
      <c r="B1281" s="178"/>
      <c r="C1281" s="41"/>
      <c r="D1281" s="180"/>
      <c r="E1281" s="181"/>
      <c r="F1281" s="182"/>
      <c r="G1281" s="1" t="str">
        <f>IFERROR(IF(ventas_b_mes1255[[#This Row],[CUIT]]="","-",VLOOKUP(ventas_b_mes1255[[#This Row],[CUIT]],Lista_CUIT[#All],2,0)),"CUIT NO CARGADO")</f>
        <v>-</v>
      </c>
      <c r="H1281" s="100">
        <f>ventas_b_mes1255[[#This Row],[TOTAL]]/1.21</f>
        <v>0</v>
      </c>
      <c r="I1281" s="64">
        <f>ventas_b_mes1255[[#This Row],[IMPORTE NETO]]*0.21</f>
        <v>0</v>
      </c>
      <c r="J1281" s="184"/>
      <c r="K1281" s="184"/>
      <c r="L1281" s="184"/>
      <c r="M1281" s="59"/>
    </row>
    <row r="1282" spans="2:13" x14ac:dyDescent="0.3">
      <c r="B1282" s="178"/>
      <c r="C1282" s="41"/>
      <c r="D1282" s="180"/>
      <c r="E1282" s="181"/>
      <c r="F1282" s="182"/>
      <c r="G1282" s="1" t="str">
        <f>IFERROR(IF(ventas_b_mes1255[[#This Row],[CUIT]]="","-",VLOOKUP(ventas_b_mes1255[[#This Row],[CUIT]],Lista_CUIT[#All],2,0)),"CUIT NO CARGADO")</f>
        <v>-</v>
      </c>
      <c r="H1282" s="100">
        <f>ventas_b_mes1255[[#This Row],[TOTAL]]/1.21</f>
        <v>0</v>
      </c>
      <c r="I1282" s="64">
        <f>ventas_b_mes1255[[#This Row],[IMPORTE NETO]]*0.21</f>
        <v>0</v>
      </c>
      <c r="J1282" s="184"/>
      <c r="K1282" s="184"/>
      <c r="L1282" s="184"/>
      <c r="M1282" s="59"/>
    </row>
    <row r="1283" spans="2:13" x14ac:dyDescent="0.3">
      <c r="B1283" s="178"/>
      <c r="C1283" s="41"/>
      <c r="D1283" s="180"/>
      <c r="E1283" s="181"/>
      <c r="F1283" s="182"/>
      <c r="G1283" s="1" t="str">
        <f>IFERROR(IF(ventas_b_mes1255[[#This Row],[CUIT]]="","-",VLOOKUP(ventas_b_mes1255[[#This Row],[CUIT]],Lista_CUIT[#All],2,0)),"CUIT NO CARGADO")</f>
        <v>-</v>
      </c>
      <c r="H1283" s="100">
        <f>ventas_b_mes1255[[#This Row],[TOTAL]]/1.21</f>
        <v>0</v>
      </c>
      <c r="I1283" s="64">
        <f>ventas_b_mes1255[[#This Row],[IMPORTE NETO]]*0.21</f>
        <v>0</v>
      </c>
      <c r="J1283" s="184"/>
      <c r="K1283" s="184"/>
      <c r="L1283" s="184"/>
      <c r="M1283" s="59"/>
    </row>
    <row r="1284" spans="2:13" x14ac:dyDescent="0.3">
      <c r="B1284" s="178"/>
      <c r="C1284" s="41"/>
      <c r="D1284" s="180"/>
      <c r="E1284" s="181"/>
      <c r="F1284" s="182"/>
      <c r="G1284" s="1" t="str">
        <f>IFERROR(IF(ventas_b_mes1255[[#This Row],[CUIT]]="","-",VLOOKUP(ventas_b_mes1255[[#This Row],[CUIT]],Lista_CUIT[#All],2,0)),"CUIT NO CARGADO")</f>
        <v>-</v>
      </c>
      <c r="H1284" s="100">
        <f>ventas_b_mes1255[[#This Row],[TOTAL]]/1.21</f>
        <v>0</v>
      </c>
      <c r="I1284" s="64">
        <f>ventas_b_mes1255[[#This Row],[IMPORTE NETO]]*0.21</f>
        <v>0</v>
      </c>
      <c r="J1284" s="184"/>
      <c r="K1284" s="184"/>
      <c r="L1284" s="184"/>
      <c r="M1284" s="59"/>
    </row>
    <row r="1285" spans="2:13" x14ac:dyDescent="0.3">
      <c r="B1285" s="178"/>
      <c r="C1285" s="41"/>
      <c r="D1285" s="180"/>
      <c r="E1285" s="181"/>
      <c r="F1285" s="182"/>
      <c r="G1285" s="1" t="str">
        <f>IFERROR(IF(ventas_b_mes1255[[#This Row],[CUIT]]="","-",VLOOKUP(ventas_b_mes1255[[#This Row],[CUIT]],Lista_CUIT[#All],2,0)),"CUIT NO CARGADO")</f>
        <v>-</v>
      </c>
      <c r="H1285" s="100">
        <f>ventas_b_mes1255[[#This Row],[TOTAL]]/1.21</f>
        <v>0</v>
      </c>
      <c r="I1285" s="64">
        <f>ventas_b_mes1255[[#This Row],[IMPORTE NETO]]*0.21</f>
        <v>0</v>
      </c>
      <c r="J1285" s="184"/>
      <c r="K1285" s="184"/>
      <c r="L1285" s="184"/>
      <c r="M1285" s="59"/>
    </row>
    <row r="1286" spans="2:13" x14ac:dyDescent="0.3">
      <c r="B1286" s="178"/>
      <c r="C1286" s="41"/>
      <c r="D1286" s="180"/>
      <c r="E1286" s="181"/>
      <c r="F1286" s="182"/>
      <c r="G1286" s="1" t="str">
        <f>IFERROR(IF(ventas_b_mes1255[[#This Row],[CUIT]]="","-",VLOOKUP(ventas_b_mes1255[[#This Row],[CUIT]],Lista_CUIT[#All],2,0)),"CUIT NO CARGADO")</f>
        <v>-</v>
      </c>
      <c r="H1286" s="100">
        <f>ventas_b_mes1255[[#This Row],[TOTAL]]/1.21</f>
        <v>0</v>
      </c>
      <c r="I1286" s="64">
        <f>ventas_b_mes1255[[#This Row],[IMPORTE NETO]]*0.21</f>
        <v>0</v>
      </c>
      <c r="J1286" s="184"/>
      <c r="K1286" s="184"/>
      <c r="L1286" s="184"/>
      <c r="M1286" s="59"/>
    </row>
    <row r="1287" spans="2:13" x14ac:dyDescent="0.3">
      <c r="B1287" s="178"/>
      <c r="C1287" s="41"/>
      <c r="D1287" s="180"/>
      <c r="E1287" s="181"/>
      <c r="F1287" s="182"/>
      <c r="G1287" s="1" t="str">
        <f>IFERROR(IF(ventas_b_mes1255[[#This Row],[CUIT]]="","-",VLOOKUP(ventas_b_mes1255[[#This Row],[CUIT]],Lista_CUIT[#All],2,0)),"CUIT NO CARGADO")</f>
        <v>-</v>
      </c>
      <c r="H1287" s="100">
        <f>ventas_b_mes1255[[#This Row],[TOTAL]]/1.21</f>
        <v>0</v>
      </c>
      <c r="I1287" s="64">
        <f>ventas_b_mes1255[[#This Row],[IMPORTE NETO]]*0.21</f>
        <v>0</v>
      </c>
      <c r="J1287" s="184"/>
      <c r="K1287" s="184"/>
      <c r="L1287" s="184"/>
      <c r="M1287" s="59"/>
    </row>
    <row r="1288" spans="2:13" x14ac:dyDescent="0.3">
      <c r="B1288" s="178"/>
      <c r="C1288" s="41"/>
      <c r="D1288" s="180"/>
      <c r="E1288" s="181"/>
      <c r="F1288" s="182"/>
      <c r="G1288" s="1" t="str">
        <f>IFERROR(IF(ventas_b_mes1255[[#This Row],[CUIT]]="","-",VLOOKUP(ventas_b_mes1255[[#This Row],[CUIT]],Lista_CUIT[#All],2,0)),"CUIT NO CARGADO")</f>
        <v>-</v>
      </c>
      <c r="H1288" s="100">
        <f>ventas_b_mes1255[[#This Row],[TOTAL]]/1.21</f>
        <v>0</v>
      </c>
      <c r="I1288" s="64">
        <f>ventas_b_mes1255[[#This Row],[IMPORTE NETO]]*0.21</f>
        <v>0</v>
      </c>
      <c r="J1288" s="184"/>
      <c r="K1288" s="184"/>
      <c r="L1288" s="184"/>
      <c r="M1288" s="59"/>
    </row>
    <row r="1289" spans="2:13" x14ac:dyDescent="0.3">
      <c r="B1289" s="178"/>
      <c r="C1289" s="41"/>
      <c r="D1289" s="180"/>
      <c r="E1289" s="181"/>
      <c r="F1289" s="182"/>
      <c r="G1289" s="1" t="str">
        <f>IFERROR(IF(ventas_b_mes1255[[#This Row],[CUIT]]="","-",VLOOKUP(ventas_b_mes1255[[#This Row],[CUIT]],Lista_CUIT[#All],2,0)),"CUIT NO CARGADO")</f>
        <v>-</v>
      </c>
      <c r="H1289" s="100">
        <f>ventas_b_mes1255[[#This Row],[TOTAL]]/1.21</f>
        <v>0</v>
      </c>
      <c r="I1289" s="64">
        <f>ventas_b_mes1255[[#This Row],[IMPORTE NETO]]*0.21</f>
        <v>0</v>
      </c>
      <c r="J1289" s="184"/>
      <c r="K1289" s="184"/>
      <c r="L1289" s="184"/>
      <c r="M1289" s="59"/>
    </row>
    <row r="1290" spans="2:13" x14ac:dyDescent="0.3">
      <c r="B1290" s="178"/>
      <c r="C1290" s="41"/>
      <c r="D1290" s="180"/>
      <c r="E1290" s="181"/>
      <c r="F1290" s="182"/>
      <c r="G1290" s="1" t="str">
        <f>IFERROR(IF(ventas_b_mes1255[[#This Row],[CUIT]]="","-",VLOOKUP(ventas_b_mes1255[[#This Row],[CUIT]],Lista_CUIT[#All],2,0)),"CUIT NO CARGADO")</f>
        <v>-</v>
      </c>
      <c r="H1290" s="100">
        <f>ventas_b_mes1255[[#This Row],[TOTAL]]/1.21</f>
        <v>0</v>
      </c>
      <c r="I1290" s="64">
        <f>ventas_b_mes1255[[#This Row],[IMPORTE NETO]]*0.21</f>
        <v>0</v>
      </c>
      <c r="J1290" s="184"/>
      <c r="K1290" s="184"/>
      <c r="L1290" s="184"/>
      <c r="M1290" s="59"/>
    </row>
    <row r="1291" spans="2:13" x14ac:dyDescent="0.3">
      <c r="B1291" s="178"/>
      <c r="C1291" s="41"/>
      <c r="D1291" s="180"/>
      <c r="E1291" s="181"/>
      <c r="F1291" s="182"/>
      <c r="G1291" s="1" t="str">
        <f>IFERROR(IF(ventas_b_mes1255[[#This Row],[CUIT]]="","-",VLOOKUP(ventas_b_mes1255[[#This Row],[CUIT]],Lista_CUIT[#All],2,0)),"CUIT NO CARGADO")</f>
        <v>-</v>
      </c>
      <c r="H1291" s="100">
        <f>ventas_b_mes1255[[#This Row],[TOTAL]]/1.21</f>
        <v>0</v>
      </c>
      <c r="I1291" s="64">
        <f>ventas_b_mes1255[[#This Row],[IMPORTE NETO]]*0.21</f>
        <v>0</v>
      </c>
      <c r="J1291" s="184"/>
      <c r="K1291" s="184"/>
      <c r="L1291" s="184"/>
      <c r="M1291" s="59"/>
    </row>
    <row r="1292" spans="2:13" x14ac:dyDescent="0.3">
      <c r="B1292" s="178"/>
      <c r="C1292" s="41"/>
      <c r="D1292" s="180"/>
      <c r="E1292" s="181"/>
      <c r="F1292" s="182"/>
      <c r="G1292" s="1" t="str">
        <f>IFERROR(IF(ventas_b_mes1255[[#This Row],[CUIT]]="","-",VLOOKUP(ventas_b_mes1255[[#This Row],[CUIT]],Lista_CUIT[#All],2,0)),"CUIT NO CARGADO")</f>
        <v>-</v>
      </c>
      <c r="H1292" s="100">
        <f>ventas_b_mes1255[[#This Row],[TOTAL]]/1.21</f>
        <v>0</v>
      </c>
      <c r="I1292" s="64">
        <f>ventas_b_mes1255[[#This Row],[IMPORTE NETO]]*0.21</f>
        <v>0</v>
      </c>
      <c r="J1292" s="184"/>
      <c r="K1292" s="184"/>
      <c r="L1292" s="184"/>
      <c r="M1292" s="59"/>
    </row>
    <row r="1293" spans="2:13" x14ac:dyDescent="0.3">
      <c r="B1293" s="178"/>
      <c r="C1293" s="41"/>
      <c r="D1293" s="180"/>
      <c r="E1293" s="181"/>
      <c r="F1293" s="182"/>
      <c r="G1293" s="1" t="str">
        <f>IFERROR(IF(ventas_b_mes1255[[#This Row],[CUIT]]="","-",VLOOKUP(ventas_b_mes1255[[#This Row],[CUIT]],Lista_CUIT[#All],2,0)),"CUIT NO CARGADO")</f>
        <v>-</v>
      </c>
      <c r="H1293" s="100">
        <f>ventas_b_mes1255[[#This Row],[TOTAL]]/1.21</f>
        <v>0</v>
      </c>
      <c r="I1293" s="64">
        <f>ventas_b_mes1255[[#This Row],[IMPORTE NETO]]*0.21</f>
        <v>0</v>
      </c>
      <c r="J1293" s="184"/>
      <c r="K1293" s="184"/>
      <c r="L1293" s="184"/>
      <c r="M1293" s="59"/>
    </row>
    <row r="1294" spans="2:13" x14ac:dyDescent="0.3">
      <c r="B1294" s="178"/>
      <c r="C1294" s="41"/>
      <c r="D1294" s="180"/>
      <c r="E1294" s="181"/>
      <c r="F1294" s="182"/>
      <c r="G1294" s="1" t="str">
        <f>IFERROR(IF(ventas_b_mes1255[[#This Row],[CUIT]]="","-",VLOOKUP(ventas_b_mes1255[[#This Row],[CUIT]],Lista_CUIT[#All],2,0)),"CUIT NO CARGADO")</f>
        <v>-</v>
      </c>
      <c r="H1294" s="100">
        <f>ventas_b_mes1255[[#This Row],[TOTAL]]/1.21</f>
        <v>0</v>
      </c>
      <c r="I1294" s="64">
        <f>ventas_b_mes1255[[#This Row],[IMPORTE NETO]]*0.21</f>
        <v>0</v>
      </c>
      <c r="J1294" s="184"/>
      <c r="K1294" s="184"/>
      <c r="L1294" s="184"/>
      <c r="M1294" s="59"/>
    </row>
    <row r="1295" spans="2:13" x14ac:dyDescent="0.3">
      <c r="B1295" s="178"/>
      <c r="C1295" s="41"/>
      <c r="D1295" s="180"/>
      <c r="E1295" s="181"/>
      <c r="F1295" s="182"/>
      <c r="G1295" s="1" t="str">
        <f>IFERROR(IF(ventas_b_mes1255[[#This Row],[CUIT]]="","-",VLOOKUP(ventas_b_mes1255[[#This Row],[CUIT]],Lista_CUIT[#All],2,0)),"CUIT NO CARGADO")</f>
        <v>-</v>
      </c>
      <c r="H1295" s="100">
        <f>ventas_b_mes1255[[#This Row],[TOTAL]]/1.21</f>
        <v>0</v>
      </c>
      <c r="I1295" s="64">
        <f>ventas_b_mes1255[[#This Row],[IMPORTE NETO]]*0.21</f>
        <v>0</v>
      </c>
      <c r="J1295" s="184"/>
      <c r="K1295" s="184"/>
      <c r="L1295" s="184"/>
      <c r="M1295" s="59"/>
    </row>
    <row r="1296" spans="2:13" x14ac:dyDescent="0.3">
      <c r="B1296" s="178"/>
      <c r="C1296" s="41"/>
      <c r="D1296" s="180"/>
      <c r="E1296" s="181"/>
      <c r="F1296" s="182"/>
      <c r="G1296" s="1" t="str">
        <f>IFERROR(IF(ventas_b_mes1255[[#This Row],[CUIT]]="","-",VLOOKUP(ventas_b_mes1255[[#This Row],[CUIT]],Lista_CUIT[#All],2,0)),"CUIT NO CARGADO")</f>
        <v>-</v>
      </c>
      <c r="H1296" s="100">
        <f>ventas_b_mes1255[[#This Row],[TOTAL]]/1.21</f>
        <v>0</v>
      </c>
      <c r="I1296" s="64">
        <f>ventas_b_mes1255[[#This Row],[IMPORTE NETO]]*0.21</f>
        <v>0</v>
      </c>
      <c r="J1296" s="184"/>
      <c r="K1296" s="184"/>
      <c r="L1296" s="184"/>
      <c r="M1296" s="59"/>
    </row>
    <row r="1297" spans="2:13" x14ac:dyDescent="0.3">
      <c r="B1297" s="178"/>
      <c r="C1297" s="41"/>
      <c r="D1297" s="180"/>
      <c r="E1297" s="181"/>
      <c r="F1297" s="182"/>
      <c r="G1297" s="1" t="str">
        <f>IFERROR(IF(ventas_b_mes1255[[#This Row],[CUIT]]="","-",VLOOKUP(ventas_b_mes1255[[#This Row],[CUIT]],Lista_CUIT[#All],2,0)),"CUIT NO CARGADO")</f>
        <v>-</v>
      </c>
      <c r="H1297" s="100">
        <f>ventas_b_mes1255[[#This Row],[TOTAL]]/1.21</f>
        <v>0</v>
      </c>
      <c r="I1297" s="64">
        <f>ventas_b_mes1255[[#This Row],[IMPORTE NETO]]*0.21</f>
        <v>0</v>
      </c>
      <c r="J1297" s="184"/>
      <c r="K1297" s="184"/>
      <c r="L1297" s="184"/>
      <c r="M1297" s="59"/>
    </row>
    <row r="1298" spans="2:13" x14ac:dyDescent="0.3">
      <c r="B1298" s="178"/>
      <c r="C1298" s="41"/>
      <c r="D1298" s="180"/>
      <c r="E1298" s="181"/>
      <c r="F1298" s="182"/>
      <c r="G1298" s="1" t="str">
        <f>IFERROR(IF(ventas_b_mes1255[[#This Row],[CUIT]]="","-",VLOOKUP(ventas_b_mes1255[[#This Row],[CUIT]],Lista_CUIT[#All],2,0)),"CUIT NO CARGADO")</f>
        <v>-</v>
      </c>
      <c r="H1298" s="100">
        <f>ventas_b_mes1255[[#This Row],[TOTAL]]/1.21</f>
        <v>0</v>
      </c>
      <c r="I1298" s="64">
        <f>ventas_b_mes1255[[#This Row],[IMPORTE NETO]]*0.21</f>
        <v>0</v>
      </c>
      <c r="J1298" s="184"/>
      <c r="K1298" s="184"/>
      <c r="L1298" s="184"/>
      <c r="M1298" s="59"/>
    </row>
    <row r="1299" spans="2:13" x14ac:dyDescent="0.3">
      <c r="B1299" s="178"/>
      <c r="C1299" s="41"/>
      <c r="D1299" s="180"/>
      <c r="E1299" s="181"/>
      <c r="F1299" s="182"/>
      <c r="G1299" s="1" t="str">
        <f>IFERROR(IF(ventas_b_mes1255[[#This Row],[CUIT]]="","-",VLOOKUP(ventas_b_mes1255[[#This Row],[CUIT]],Lista_CUIT[#All],2,0)),"CUIT NO CARGADO")</f>
        <v>-</v>
      </c>
      <c r="H1299" s="100">
        <f>ventas_b_mes1255[[#This Row],[TOTAL]]/1.21</f>
        <v>0</v>
      </c>
      <c r="I1299" s="64">
        <f>ventas_b_mes1255[[#This Row],[IMPORTE NETO]]*0.21</f>
        <v>0</v>
      </c>
      <c r="J1299" s="184"/>
      <c r="K1299" s="184"/>
      <c r="L1299" s="184"/>
      <c r="M1299" s="59"/>
    </row>
    <row r="1300" spans="2:13" x14ac:dyDescent="0.3">
      <c r="B1300" s="178"/>
      <c r="C1300" s="41"/>
      <c r="D1300" s="180"/>
      <c r="E1300" s="181"/>
      <c r="F1300" s="182"/>
      <c r="G1300" s="1" t="str">
        <f>IFERROR(IF(ventas_b_mes1255[[#This Row],[CUIT]]="","-",VLOOKUP(ventas_b_mes1255[[#This Row],[CUIT]],Lista_CUIT[#All],2,0)),"CUIT NO CARGADO")</f>
        <v>-</v>
      </c>
      <c r="H1300" s="100">
        <f>ventas_b_mes1255[[#This Row],[TOTAL]]/1.21</f>
        <v>0</v>
      </c>
      <c r="I1300" s="64">
        <f>ventas_b_mes1255[[#This Row],[IMPORTE NETO]]*0.21</f>
        <v>0</v>
      </c>
      <c r="J1300" s="184"/>
      <c r="K1300" s="184"/>
      <c r="L1300" s="184"/>
      <c r="M1300" s="59"/>
    </row>
    <row r="1301" spans="2:13" x14ac:dyDescent="0.3">
      <c r="B1301" s="178"/>
      <c r="C1301" s="41"/>
      <c r="D1301" s="180"/>
      <c r="E1301" s="181"/>
      <c r="F1301" s="182"/>
      <c r="G1301" s="1" t="str">
        <f>IFERROR(IF(ventas_b_mes1255[[#This Row],[CUIT]]="","-",VLOOKUP(ventas_b_mes1255[[#This Row],[CUIT]],Lista_CUIT[#All],2,0)),"CUIT NO CARGADO")</f>
        <v>-</v>
      </c>
      <c r="H1301" s="100">
        <f>ventas_b_mes1255[[#This Row],[TOTAL]]/1.21</f>
        <v>0</v>
      </c>
      <c r="I1301" s="64">
        <f>ventas_b_mes1255[[#This Row],[IMPORTE NETO]]*0.21</f>
        <v>0</v>
      </c>
      <c r="J1301" s="184"/>
      <c r="K1301" s="184"/>
      <c r="L1301" s="184"/>
      <c r="M1301" s="59"/>
    </row>
    <row r="1302" spans="2:13" x14ac:dyDescent="0.3">
      <c r="B1302" s="178"/>
      <c r="C1302" s="41"/>
      <c r="D1302" s="180"/>
      <c r="E1302" s="181"/>
      <c r="F1302" s="182"/>
      <c r="G1302" s="1" t="str">
        <f>IFERROR(IF(ventas_b_mes1255[[#This Row],[CUIT]]="","-",VLOOKUP(ventas_b_mes1255[[#This Row],[CUIT]],Lista_CUIT[#All],2,0)),"CUIT NO CARGADO")</f>
        <v>-</v>
      </c>
      <c r="H1302" s="100">
        <f>ventas_b_mes1255[[#This Row],[TOTAL]]/1.21</f>
        <v>0</v>
      </c>
      <c r="I1302" s="64">
        <f>ventas_b_mes1255[[#This Row],[IMPORTE NETO]]*0.21</f>
        <v>0</v>
      </c>
      <c r="J1302" s="184"/>
      <c r="K1302" s="184"/>
      <c r="L1302" s="184"/>
      <c r="M1302" s="59"/>
    </row>
    <row r="1303" spans="2:13" x14ac:dyDescent="0.3">
      <c r="B1303" s="178"/>
      <c r="C1303" s="41"/>
      <c r="D1303" s="180"/>
      <c r="E1303" s="181"/>
      <c r="F1303" s="182"/>
      <c r="G1303" s="1" t="str">
        <f>IFERROR(IF(ventas_b_mes1255[[#This Row],[CUIT]]="","-",VLOOKUP(ventas_b_mes1255[[#This Row],[CUIT]],Lista_CUIT[#All],2,0)),"CUIT NO CARGADO")</f>
        <v>-</v>
      </c>
      <c r="H1303" s="100">
        <f>ventas_b_mes1255[[#This Row],[TOTAL]]/1.21</f>
        <v>0</v>
      </c>
      <c r="I1303" s="64">
        <f>ventas_b_mes1255[[#This Row],[IMPORTE NETO]]*0.21</f>
        <v>0</v>
      </c>
      <c r="J1303" s="184"/>
      <c r="K1303" s="184"/>
      <c r="L1303" s="184"/>
      <c r="M1303" s="59"/>
    </row>
    <row r="1304" spans="2:13" x14ac:dyDescent="0.3">
      <c r="B1304" s="178"/>
      <c r="C1304" s="41"/>
      <c r="D1304" s="180"/>
      <c r="E1304" s="181"/>
      <c r="F1304" s="182"/>
      <c r="G1304" s="1" t="str">
        <f>IFERROR(IF(ventas_b_mes1255[[#This Row],[CUIT]]="","-",VLOOKUP(ventas_b_mes1255[[#This Row],[CUIT]],Lista_CUIT[#All],2,0)),"CUIT NO CARGADO")</f>
        <v>-</v>
      </c>
      <c r="H1304" s="100">
        <f>ventas_b_mes1255[[#This Row],[TOTAL]]/1.21</f>
        <v>0</v>
      </c>
      <c r="I1304" s="64">
        <f>ventas_b_mes1255[[#This Row],[IMPORTE NETO]]*0.21</f>
        <v>0</v>
      </c>
      <c r="J1304" s="184"/>
      <c r="K1304" s="184"/>
      <c r="L1304" s="184"/>
      <c r="M1304" s="59"/>
    </row>
    <row r="1305" spans="2:13" x14ac:dyDescent="0.3">
      <c r="B1305" s="178"/>
      <c r="C1305" s="41"/>
      <c r="D1305" s="180"/>
      <c r="E1305" s="181"/>
      <c r="F1305" s="182"/>
      <c r="G1305" s="1" t="str">
        <f>IFERROR(IF(ventas_b_mes1255[[#This Row],[CUIT]]="","-",VLOOKUP(ventas_b_mes1255[[#This Row],[CUIT]],Lista_CUIT[#All],2,0)),"CUIT NO CARGADO")</f>
        <v>-</v>
      </c>
      <c r="H1305" s="100">
        <f>ventas_b_mes1255[[#This Row],[TOTAL]]/1.21</f>
        <v>0</v>
      </c>
      <c r="I1305" s="64">
        <f>ventas_b_mes1255[[#This Row],[IMPORTE NETO]]*0.21</f>
        <v>0</v>
      </c>
      <c r="J1305" s="184"/>
      <c r="K1305" s="184"/>
      <c r="L1305" s="184"/>
      <c r="M1305" s="59"/>
    </row>
    <row r="1306" spans="2:13" x14ac:dyDescent="0.3">
      <c r="B1306" s="178"/>
      <c r="C1306" s="41"/>
      <c r="D1306" s="180"/>
      <c r="E1306" s="181"/>
      <c r="F1306" s="182"/>
      <c r="G1306" s="1" t="str">
        <f>IFERROR(IF(ventas_b_mes1255[[#This Row],[CUIT]]="","-",VLOOKUP(ventas_b_mes1255[[#This Row],[CUIT]],Lista_CUIT[#All],2,0)),"CUIT NO CARGADO")</f>
        <v>-</v>
      </c>
      <c r="H1306" s="100">
        <f>ventas_b_mes1255[[#This Row],[TOTAL]]/1.21</f>
        <v>0</v>
      </c>
      <c r="I1306" s="64">
        <f>ventas_b_mes1255[[#This Row],[IMPORTE NETO]]*0.21</f>
        <v>0</v>
      </c>
      <c r="J1306" s="184"/>
      <c r="K1306" s="184"/>
      <c r="L1306" s="184"/>
      <c r="M1306" s="59"/>
    </row>
    <row r="1307" spans="2:13" x14ac:dyDescent="0.3">
      <c r="B1307" s="178"/>
      <c r="C1307" s="41"/>
      <c r="D1307" s="180"/>
      <c r="E1307" s="181"/>
      <c r="F1307" s="182"/>
      <c r="G1307" s="1" t="str">
        <f>IFERROR(IF(ventas_b_mes1255[[#This Row],[CUIT]]="","-",VLOOKUP(ventas_b_mes1255[[#This Row],[CUIT]],Lista_CUIT[#All],2,0)),"CUIT NO CARGADO")</f>
        <v>-</v>
      </c>
      <c r="H1307" s="100">
        <f>ventas_b_mes1255[[#This Row],[TOTAL]]/1.21</f>
        <v>0</v>
      </c>
      <c r="I1307" s="64">
        <f>ventas_b_mes1255[[#This Row],[IMPORTE NETO]]*0.21</f>
        <v>0</v>
      </c>
      <c r="J1307" s="184"/>
      <c r="K1307" s="184"/>
      <c r="L1307" s="184"/>
      <c r="M1307" s="59"/>
    </row>
    <row r="1308" spans="2:13" x14ac:dyDescent="0.3">
      <c r="B1308" s="178"/>
      <c r="C1308" s="41"/>
      <c r="D1308" s="180"/>
      <c r="E1308" s="181"/>
      <c r="F1308" s="182"/>
      <c r="G1308" s="1" t="str">
        <f>IFERROR(IF(ventas_b_mes1255[[#This Row],[CUIT]]="","-",VLOOKUP(ventas_b_mes1255[[#This Row],[CUIT]],Lista_CUIT[#All],2,0)),"CUIT NO CARGADO")</f>
        <v>-</v>
      </c>
      <c r="H1308" s="100">
        <f>ventas_b_mes1255[[#This Row],[TOTAL]]/1.21</f>
        <v>0</v>
      </c>
      <c r="I1308" s="64">
        <f>ventas_b_mes1255[[#This Row],[IMPORTE NETO]]*0.21</f>
        <v>0</v>
      </c>
      <c r="J1308" s="184"/>
      <c r="K1308" s="184"/>
      <c r="L1308" s="184"/>
      <c r="M1308" s="59"/>
    </row>
    <row r="1309" spans="2:13" x14ac:dyDescent="0.3">
      <c r="B1309" s="178"/>
      <c r="C1309" s="41"/>
      <c r="D1309" s="180"/>
      <c r="E1309" s="181"/>
      <c r="F1309" s="182"/>
      <c r="G1309" s="1" t="str">
        <f>IFERROR(IF(ventas_b_mes1255[[#This Row],[CUIT]]="","-",VLOOKUP(ventas_b_mes1255[[#This Row],[CUIT]],Lista_CUIT[#All],2,0)),"CUIT NO CARGADO")</f>
        <v>-</v>
      </c>
      <c r="H1309" s="100">
        <f>ventas_b_mes1255[[#This Row],[TOTAL]]/1.21</f>
        <v>0</v>
      </c>
      <c r="I1309" s="64">
        <f>ventas_b_mes1255[[#This Row],[IMPORTE NETO]]*0.21</f>
        <v>0</v>
      </c>
      <c r="J1309" s="184"/>
      <c r="K1309" s="184"/>
      <c r="L1309" s="184"/>
      <c r="M1309" s="59"/>
    </row>
    <row r="1310" spans="2:13" x14ac:dyDescent="0.3">
      <c r="B1310" s="178"/>
      <c r="C1310" s="41"/>
      <c r="D1310" s="180"/>
      <c r="E1310" s="181"/>
      <c r="F1310" s="182"/>
      <c r="G1310" s="1" t="str">
        <f>IFERROR(IF(ventas_b_mes1255[[#This Row],[CUIT]]="","-",VLOOKUP(ventas_b_mes1255[[#This Row],[CUIT]],Lista_CUIT[#All],2,0)),"CUIT NO CARGADO")</f>
        <v>-</v>
      </c>
      <c r="H1310" s="100">
        <f>ventas_b_mes1255[[#This Row],[TOTAL]]/1.21</f>
        <v>0</v>
      </c>
      <c r="I1310" s="64">
        <f>ventas_b_mes1255[[#This Row],[IMPORTE NETO]]*0.21</f>
        <v>0</v>
      </c>
      <c r="J1310" s="184"/>
      <c r="K1310" s="184"/>
      <c r="L1310" s="184"/>
      <c r="M1310" s="59"/>
    </row>
    <row r="1311" spans="2:13" x14ac:dyDescent="0.3">
      <c r="B1311" s="178"/>
      <c r="C1311" s="41"/>
      <c r="D1311" s="180"/>
      <c r="E1311" s="181"/>
      <c r="F1311" s="182"/>
      <c r="G1311" s="1" t="str">
        <f>IFERROR(IF(ventas_b_mes1255[[#This Row],[CUIT]]="","-",VLOOKUP(ventas_b_mes1255[[#This Row],[CUIT]],Lista_CUIT[#All],2,0)),"CUIT NO CARGADO")</f>
        <v>-</v>
      </c>
      <c r="H1311" s="100">
        <f>ventas_b_mes1255[[#This Row],[TOTAL]]/1.21</f>
        <v>0</v>
      </c>
      <c r="I1311" s="64">
        <f>ventas_b_mes1255[[#This Row],[IMPORTE NETO]]*0.21</f>
        <v>0</v>
      </c>
      <c r="J1311" s="184"/>
      <c r="K1311" s="184"/>
      <c r="L1311" s="184"/>
      <c r="M1311" s="59"/>
    </row>
    <row r="1312" spans="2:13" x14ac:dyDescent="0.3">
      <c r="B1312" s="178"/>
      <c r="C1312" s="41"/>
      <c r="D1312" s="180"/>
      <c r="E1312" s="181"/>
      <c r="F1312" s="182"/>
      <c r="G1312" s="1" t="str">
        <f>IFERROR(IF(ventas_b_mes1255[[#This Row],[CUIT]]="","-",VLOOKUP(ventas_b_mes1255[[#This Row],[CUIT]],Lista_CUIT[#All],2,0)),"CUIT NO CARGADO")</f>
        <v>-</v>
      </c>
      <c r="H1312" s="100">
        <f>ventas_b_mes1255[[#This Row],[TOTAL]]/1.21</f>
        <v>0</v>
      </c>
      <c r="I1312" s="64">
        <f>ventas_b_mes1255[[#This Row],[IMPORTE NETO]]*0.21</f>
        <v>0</v>
      </c>
      <c r="J1312" s="184"/>
      <c r="K1312" s="184"/>
      <c r="L1312" s="184"/>
      <c r="M1312" s="59"/>
    </row>
    <row r="1313" spans="2:13" x14ac:dyDescent="0.3">
      <c r="B1313" s="178"/>
      <c r="C1313" s="41"/>
      <c r="D1313" s="180"/>
      <c r="E1313" s="181"/>
      <c r="F1313" s="182"/>
      <c r="G1313" s="1" t="str">
        <f>IFERROR(IF(ventas_b_mes1255[[#This Row],[CUIT]]="","-",VLOOKUP(ventas_b_mes1255[[#This Row],[CUIT]],Lista_CUIT[#All],2,0)),"CUIT NO CARGADO")</f>
        <v>-</v>
      </c>
      <c r="H1313" s="100">
        <f>ventas_b_mes1255[[#This Row],[TOTAL]]/1.21</f>
        <v>0</v>
      </c>
      <c r="I1313" s="64">
        <f>ventas_b_mes1255[[#This Row],[IMPORTE NETO]]*0.21</f>
        <v>0</v>
      </c>
      <c r="J1313" s="184"/>
      <c r="K1313" s="184"/>
      <c r="L1313" s="184"/>
      <c r="M1313" s="59"/>
    </row>
    <row r="1314" spans="2:13" x14ac:dyDescent="0.3">
      <c r="B1314" s="178"/>
      <c r="C1314" s="41"/>
      <c r="D1314" s="180"/>
      <c r="E1314" s="181"/>
      <c r="F1314" s="182"/>
      <c r="G1314" s="1" t="str">
        <f>IFERROR(IF(ventas_b_mes1255[[#This Row],[CUIT]]="","-",VLOOKUP(ventas_b_mes1255[[#This Row],[CUIT]],Lista_CUIT[#All],2,0)),"CUIT NO CARGADO")</f>
        <v>-</v>
      </c>
      <c r="H1314" s="100">
        <f>ventas_b_mes1255[[#This Row],[TOTAL]]/1.21</f>
        <v>0</v>
      </c>
      <c r="I1314" s="64">
        <f>ventas_b_mes1255[[#This Row],[IMPORTE NETO]]*0.21</f>
        <v>0</v>
      </c>
      <c r="J1314" s="184"/>
      <c r="K1314" s="184"/>
      <c r="L1314" s="184"/>
      <c r="M1314" s="59"/>
    </row>
    <row r="1315" spans="2:13" x14ac:dyDescent="0.3">
      <c r="B1315" s="178"/>
      <c r="C1315" s="41"/>
      <c r="D1315" s="180"/>
      <c r="E1315" s="181"/>
      <c r="F1315" s="182"/>
      <c r="G1315" s="1" t="str">
        <f>IFERROR(IF(ventas_b_mes1255[[#This Row],[CUIT]]="","-",VLOOKUP(ventas_b_mes1255[[#This Row],[CUIT]],Lista_CUIT[#All],2,0)),"CUIT NO CARGADO")</f>
        <v>-</v>
      </c>
      <c r="H1315" s="100">
        <f>ventas_b_mes1255[[#This Row],[TOTAL]]/1.21</f>
        <v>0</v>
      </c>
      <c r="I1315" s="64">
        <f>ventas_b_mes1255[[#This Row],[IMPORTE NETO]]*0.21</f>
        <v>0</v>
      </c>
      <c r="J1315" s="184"/>
      <c r="K1315" s="184"/>
      <c r="L1315" s="184"/>
      <c r="M1315" s="59"/>
    </row>
    <row r="1316" spans="2:13" x14ac:dyDescent="0.3">
      <c r="B1316" s="178"/>
      <c r="C1316" s="41"/>
      <c r="D1316" s="180"/>
      <c r="E1316" s="181"/>
      <c r="F1316" s="182"/>
      <c r="G1316" s="1" t="str">
        <f>IFERROR(IF(ventas_b_mes1255[[#This Row],[CUIT]]="","-",VLOOKUP(ventas_b_mes1255[[#This Row],[CUIT]],Lista_CUIT[#All],2,0)),"CUIT NO CARGADO")</f>
        <v>-</v>
      </c>
      <c r="H1316" s="100">
        <f>ventas_b_mes1255[[#This Row],[TOTAL]]/1.21</f>
        <v>0</v>
      </c>
      <c r="I1316" s="64">
        <f>ventas_b_mes1255[[#This Row],[IMPORTE NETO]]*0.21</f>
        <v>0</v>
      </c>
      <c r="J1316" s="184"/>
      <c r="K1316" s="184"/>
      <c r="L1316" s="184"/>
      <c r="M1316" s="59"/>
    </row>
    <row r="1317" spans="2:13" x14ac:dyDescent="0.3">
      <c r="B1317" s="178"/>
      <c r="C1317" s="41"/>
      <c r="D1317" s="180"/>
      <c r="E1317" s="181"/>
      <c r="F1317" s="182"/>
      <c r="G1317" s="1" t="str">
        <f>IFERROR(IF(ventas_b_mes1255[[#This Row],[CUIT]]="","-",VLOOKUP(ventas_b_mes1255[[#This Row],[CUIT]],Lista_CUIT[#All],2,0)),"CUIT NO CARGADO")</f>
        <v>-</v>
      </c>
      <c r="H1317" s="100">
        <f>ventas_b_mes1255[[#This Row],[TOTAL]]/1.21</f>
        <v>0</v>
      </c>
      <c r="I1317" s="64">
        <f>ventas_b_mes1255[[#This Row],[IMPORTE NETO]]*0.21</f>
        <v>0</v>
      </c>
      <c r="J1317" s="184"/>
      <c r="K1317" s="184"/>
      <c r="L1317" s="184"/>
      <c r="M1317" s="59"/>
    </row>
    <row r="1318" spans="2:13" x14ac:dyDescent="0.3">
      <c r="B1318" s="178"/>
      <c r="C1318" s="41"/>
      <c r="D1318" s="180"/>
      <c r="E1318" s="181"/>
      <c r="F1318" s="182"/>
      <c r="G1318" s="1" t="str">
        <f>IFERROR(IF(ventas_b_mes1255[[#This Row],[CUIT]]="","-",VLOOKUP(ventas_b_mes1255[[#This Row],[CUIT]],Lista_CUIT[#All],2,0)),"CUIT NO CARGADO")</f>
        <v>-</v>
      </c>
      <c r="H1318" s="100">
        <f>ventas_b_mes1255[[#This Row],[TOTAL]]/1.21</f>
        <v>0</v>
      </c>
      <c r="I1318" s="64">
        <f>ventas_b_mes1255[[#This Row],[IMPORTE NETO]]*0.21</f>
        <v>0</v>
      </c>
      <c r="J1318" s="184"/>
      <c r="K1318" s="184"/>
      <c r="L1318" s="184"/>
      <c r="M1318" s="59"/>
    </row>
    <row r="1319" spans="2:13" x14ac:dyDescent="0.3">
      <c r="B1319" s="178"/>
      <c r="C1319" s="41"/>
      <c r="D1319" s="180"/>
      <c r="E1319" s="181"/>
      <c r="F1319" s="182"/>
      <c r="G1319" s="1" t="str">
        <f>IFERROR(IF(ventas_b_mes1255[[#This Row],[CUIT]]="","-",VLOOKUP(ventas_b_mes1255[[#This Row],[CUIT]],Lista_CUIT[#All],2,0)),"CUIT NO CARGADO")</f>
        <v>-</v>
      </c>
      <c r="H1319" s="100">
        <f>ventas_b_mes1255[[#This Row],[TOTAL]]/1.21</f>
        <v>0</v>
      </c>
      <c r="I1319" s="64">
        <f>ventas_b_mes1255[[#This Row],[IMPORTE NETO]]*0.21</f>
        <v>0</v>
      </c>
      <c r="J1319" s="184"/>
      <c r="K1319" s="184"/>
      <c r="L1319" s="184"/>
      <c r="M1319" s="59"/>
    </row>
    <row r="1320" spans="2:13" x14ac:dyDescent="0.3">
      <c r="B1320" s="178"/>
      <c r="C1320" s="41"/>
      <c r="D1320" s="180"/>
      <c r="E1320" s="181"/>
      <c r="F1320" s="182"/>
      <c r="G1320" s="1" t="str">
        <f>IFERROR(IF(ventas_b_mes1255[[#This Row],[CUIT]]="","-",VLOOKUP(ventas_b_mes1255[[#This Row],[CUIT]],Lista_CUIT[#All],2,0)),"CUIT NO CARGADO")</f>
        <v>-</v>
      </c>
      <c r="H1320" s="100">
        <f>ventas_b_mes1255[[#This Row],[TOTAL]]/1.21</f>
        <v>0</v>
      </c>
      <c r="I1320" s="64">
        <f>ventas_b_mes1255[[#This Row],[IMPORTE NETO]]*0.21</f>
        <v>0</v>
      </c>
      <c r="J1320" s="184"/>
      <c r="K1320" s="184"/>
      <c r="L1320" s="184"/>
      <c r="M1320" s="59"/>
    </row>
    <row r="1321" spans="2:13" x14ac:dyDescent="0.3">
      <c r="B1321" s="178"/>
      <c r="C1321" s="41"/>
      <c r="D1321" s="180"/>
      <c r="E1321" s="181"/>
      <c r="F1321" s="182"/>
      <c r="G1321" s="1" t="str">
        <f>IFERROR(IF(ventas_b_mes1255[[#This Row],[CUIT]]="","-",VLOOKUP(ventas_b_mes1255[[#This Row],[CUIT]],Lista_CUIT[#All],2,0)),"CUIT NO CARGADO")</f>
        <v>-</v>
      </c>
      <c r="H1321" s="100">
        <f>ventas_b_mes1255[[#This Row],[TOTAL]]/1.21</f>
        <v>0</v>
      </c>
      <c r="I1321" s="64">
        <f>ventas_b_mes1255[[#This Row],[IMPORTE NETO]]*0.21</f>
        <v>0</v>
      </c>
      <c r="J1321" s="184"/>
      <c r="K1321" s="184"/>
      <c r="L1321" s="184"/>
      <c r="M1321" s="59"/>
    </row>
    <row r="1322" spans="2:13" x14ac:dyDescent="0.3">
      <c r="B1322" s="178"/>
      <c r="C1322" s="41"/>
      <c r="D1322" s="180"/>
      <c r="E1322" s="181"/>
      <c r="F1322" s="182"/>
      <c r="G1322" s="1" t="str">
        <f>IFERROR(IF(ventas_b_mes1255[[#This Row],[CUIT]]="","-",VLOOKUP(ventas_b_mes1255[[#This Row],[CUIT]],Lista_CUIT[#All],2,0)),"CUIT NO CARGADO")</f>
        <v>-</v>
      </c>
      <c r="H1322" s="100">
        <f>ventas_b_mes1255[[#This Row],[TOTAL]]/1.21</f>
        <v>0</v>
      </c>
      <c r="I1322" s="64">
        <f>ventas_b_mes1255[[#This Row],[IMPORTE NETO]]*0.21</f>
        <v>0</v>
      </c>
      <c r="J1322" s="184"/>
      <c r="K1322" s="184"/>
      <c r="L1322" s="184"/>
      <c r="M1322" s="59"/>
    </row>
    <row r="1323" spans="2:13" x14ac:dyDescent="0.3">
      <c r="B1323" s="178"/>
      <c r="C1323" s="41"/>
      <c r="D1323" s="180"/>
      <c r="E1323" s="181"/>
      <c r="F1323" s="182"/>
      <c r="G1323" s="1" t="str">
        <f>IFERROR(IF(ventas_b_mes1255[[#This Row],[CUIT]]="","-",VLOOKUP(ventas_b_mes1255[[#This Row],[CUIT]],Lista_CUIT[#All],2,0)),"CUIT NO CARGADO")</f>
        <v>-</v>
      </c>
      <c r="H1323" s="100">
        <f>ventas_b_mes1255[[#This Row],[TOTAL]]/1.21</f>
        <v>0</v>
      </c>
      <c r="I1323" s="64">
        <f>ventas_b_mes1255[[#This Row],[IMPORTE NETO]]*0.21</f>
        <v>0</v>
      </c>
      <c r="J1323" s="184"/>
      <c r="K1323" s="184"/>
      <c r="L1323" s="184"/>
      <c r="M1323" s="59"/>
    </row>
    <row r="1324" spans="2:13" x14ac:dyDescent="0.3">
      <c r="B1324" s="178"/>
      <c r="C1324" s="41"/>
      <c r="D1324" s="180"/>
      <c r="E1324" s="181"/>
      <c r="F1324" s="182"/>
      <c r="G1324" s="1" t="str">
        <f>IFERROR(IF(ventas_b_mes1255[[#This Row],[CUIT]]="","-",VLOOKUP(ventas_b_mes1255[[#This Row],[CUIT]],Lista_CUIT[#All],2,0)),"CUIT NO CARGADO")</f>
        <v>-</v>
      </c>
      <c r="H1324" s="100">
        <f>ventas_b_mes1255[[#This Row],[TOTAL]]/1.21</f>
        <v>0</v>
      </c>
      <c r="I1324" s="64">
        <f>ventas_b_mes1255[[#This Row],[IMPORTE NETO]]*0.21</f>
        <v>0</v>
      </c>
      <c r="J1324" s="184"/>
      <c r="K1324" s="184"/>
      <c r="L1324" s="184"/>
      <c r="M1324" s="59"/>
    </row>
    <row r="1325" spans="2:13" x14ac:dyDescent="0.3">
      <c r="B1325" s="178"/>
      <c r="C1325" s="41"/>
      <c r="D1325" s="180"/>
      <c r="E1325" s="181"/>
      <c r="F1325" s="182"/>
      <c r="G1325" s="1" t="str">
        <f>IFERROR(IF(ventas_b_mes1255[[#This Row],[CUIT]]="","-",VLOOKUP(ventas_b_mes1255[[#This Row],[CUIT]],Lista_CUIT[#All],2,0)),"CUIT NO CARGADO")</f>
        <v>-</v>
      </c>
      <c r="H1325" s="100">
        <f>ventas_b_mes1255[[#This Row],[TOTAL]]/1.21</f>
        <v>0</v>
      </c>
      <c r="I1325" s="64">
        <f>ventas_b_mes1255[[#This Row],[IMPORTE NETO]]*0.21</f>
        <v>0</v>
      </c>
      <c r="J1325" s="184"/>
      <c r="K1325" s="184"/>
      <c r="L1325" s="184"/>
      <c r="M1325" s="59"/>
    </row>
    <row r="1326" spans="2:13" x14ac:dyDescent="0.3">
      <c r="B1326" s="178"/>
      <c r="C1326" s="41"/>
      <c r="D1326" s="180"/>
      <c r="E1326" s="181"/>
      <c r="F1326" s="182"/>
      <c r="G1326" s="1" t="str">
        <f>IFERROR(IF(ventas_b_mes1255[[#This Row],[CUIT]]="","-",VLOOKUP(ventas_b_mes1255[[#This Row],[CUIT]],Lista_CUIT[#All],2,0)),"CUIT NO CARGADO")</f>
        <v>-</v>
      </c>
      <c r="H1326" s="100">
        <f>ventas_b_mes1255[[#This Row],[TOTAL]]/1.21</f>
        <v>0</v>
      </c>
      <c r="I1326" s="64">
        <f>ventas_b_mes1255[[#This Row],[IMPORTE NETO]]*0.21</f>
        <v>0</v>
      </c>
      <c r="J1326" s="184"/>
      <c r="K1326" s="184"/>
      <c r="L1326" s="184"/>
      <c r="M1326" s="59"/>
    </row>
    <row r="1327" spans="2:13" x14ac:dyDescent="0.3">
      <c r="B1327" s="178"/>
      <c r="C1327" s="41"/>
      <c r="D1327" s="180"/>
      <c r="E1327" s="181"/>
      <c r="F1327" s="182"/>
      <c r="G1327" s="1" t="str">
        <f>IFERROR(IF(ventas_b_mes1255[[#This Row],[CUIT]]="","-",VLOOKUP(ventas_b_mes1255[[#This Row],[CUIT]],Lista_CUIT[#All],2,0)),"CUIT NO CARGADO")</f>
        <v>-</v>
      </c>
      <c r="H1327" s="100">
        <f>ventas_b_mes1255[[#This Row],[TOTAL]]/1.21</f>
        <v>0</v>
      </c>
      <c r="I1327" s="64">
        <f>ventas_b_mes1255[[#This Row],[IMPORTE NETO]]*0.21</f>
        <v>0</v>
      </c>
      <c r="J1327" s="184"/>
      <c r="K1327" s="184"/>
      <c r="L1327" s="184"/>
      <c r="M1327" s="59"/>
    </row>
    <row r="1328" spans="2:13" x14ac:dyDescent="0.3">
      <c r="B1328" s="178"/>
      <c r="C1328" s="41"/>
      <c r="D1328" s="180"/>
      <c r="E1328" s="181"/>
      <c r="F1328" s="182"/>
      <c r="G1328" s="1" t="str">
        <f>IFERROR(IF(ventas_b_mes1255[[#This Row],[CUIT]]="","-",VLOOKUP(ventas_b_mes1255[[#This Row],[CUIT]],Lista_CUIT[#All],2,0)),"CUIT NO CARGADO")</f>
        <v>-</v>
      </c>
      <c r="H1328" s="100">
        <f>ventas_b_mes1255[[#This Row],[TOTAL]]/1.21</f>
        <v>0</v>
      </c>
      <c r="I1328" s="64">
        <f>ventas_b_mes1255[[#This Row],[IMPORTE NETO]]*0.21</f>
        <v>0</v>
      </c>
      <c r="J1328" s="184"/>
      <c r="K1328" s="184"/>
      <c r="L1328" s="184"/>
      <c r="M1328" s="59"/>
    </row>
    <row r="1329" spans="2:13" x14ac:dyDescent="0.3">
      <c r="B1329" s="178"/>
      <c r="C1329" s="41"/>
      <c r="D1329" s="180"/>
      <c r="E1329" s="181"/>
      <c r="F1329" s="182"/>
      <c r="G1329" s="1" t="str">
        <f>IFERROR(IF(ventas_b_mes1255[[#This Row],[CUIT]]="","-",VLOOKUP(ventas_b_mes1255[[#This Row],[CUIT]],Lista_CUIT[#All],2,0)),"CUIT NO CARGADO")</f>
        <v>-</v>
      </c>
      <c r="H1329" s="100">
        <f>ventas_b_mes1255[[#This Row],[TOTAL]]/1.21</f>
        <v>0</v>
      </c>
      <c r="I1329" s="64">
        <f>ventas_b_mes1255[[#This Row],[IMPORTE NETO]]*0.21</f>
        <v>0</v>
      </c>
      <c r="J1329" s="184"/>
      <c r="K1329" s="184"/>
      <c r="L1329" s="184"/>
      <c r="M1329" s="59"/>
    </row>
    <row r="1330" spans="2:13" x14ac:dyDescent="0.3">
      <c r="B1330" s="178"/>
      <c r="C1330" s="41"/>
      <c r="D1330" s="180"/>
      <c r="E1330" s="181"/>
      <c r="F1330" s="182"/>
      <c r="G1330" s="1" t="str">
        <f>IFERROR(IF(ventas_b_mes1255[[#This Row],[CUIT]]="","-",VLOOKUP(ventas_b_mes1255[[#This Row],[CUIT]],Lista_CUIT[#All],2,0)),"CUIT NO CARGADO")</f>
        <v>-</v>
      </c>
      <c r="H1330" s="100">
        <f>ventas_b_mes1255[[#This Row],[TOTAL]]/1.21</f>
        <v>0</v>
      </c>
      <c r="I1330" s="64">
        <f>ventas_b_mes1255[[#This Row],[IMPORTE NETO]]*0.21</f>
        <v>0</v>
      </c>
      <c r="J1330" s="184"/>
      <c r="K1330" s="184"/>
      <c r="L1330" s="184"/>
      <c r="M1330" s="59"/>
    </row>
    <row r="1331" spans="2:13" x14ac:dyDescent="0.3">
      <c r="B1331" s="178"/>
      <c r="C1331" s="41"/>
      <c r="D1331" s="180"/>
      <c r="E1331" s="181"/>
      <c r="F1331" s="182"/>
      <c r="G1331" s="1" t="str">
        <f>IFERROR(IF(ventas_b_mes1255[[#This Row],[CUIT]]="","-",VLOOKUP(ventas_b_mes1255[[#This Row],[CUIT]],Lista_CUIT[#All],2,0)),"CUIT NO CARGADO")</f>
        <v>-</v>
      </c>
      <c r="H1331" s="100">
        <f>ventas_b_mes1255[[#This Row],[TOTAL]]/1.21</f>
        <v>0</v>
      </c>
      <c r="I1331" s="64">
        <f>ventas_b_mes1255[[#This Row],[IMPORTE NETO]]*0.21</f>
        <v>0</v>
      </c>
      <c r="J1331" s="184"/>
      <c r="K1331" s="184"/>
      <c r="L1331" s="184"/>
      <c r="M1331" s="59"/>
    </row>
    <row r="1332" spans="2:13" x14ac:dyDescent="0.3">
      <c r="B1332" s="178"/>
      <c r="C1332" s="41"/>
      <c r="D1332" s="180"/>
      <c r="E1332" s="181"/>
      <c r="F1332" s="182"/>
      <c r="G1332" s="1" t="str">
        <f>IFERROR(IF(ventas_b_mes1255[[#This Row],[CUIT]]="","-",VLOOKUP(ventas_b_mes1255[[#This Row],[CUIT]],Lista_CUIT[#All],2,0)),"CUIT NO CARGADO")</f>
        <v>-</v>
      </c>
      <c r="H1332" s="100">
        <f>ventas_b_mes1255[[#This Row],[TOTAL]]/1.21</f>
        <v>0</v>
      </c>
      <c r="I1332" s="64">
        <f>ventas_b_mes1255[[#This Row],[IMPORTE NETO]]*0.21</f>
        <v>0</v>
      </c>
      <c r="J1332" s="184"/>
      <c r="K1332" s="184"/>
      <c r="L1332" s="184"/>
      <c r="M1332" s="59"/>
    </row>
    <row r="1333" spans="2:13" x14ac:dyDescent="0.3">
      <c r="B1333" s="178"/>
      <c r="C1333" s="41"/>
      <c r="D1333" s="180"/>
      <c r="E1333" s="181"/>
      <c r="F1333" s="182"/>
      <c r="G1333" s="1" t="str">
        <f>IFERROR(IF(ventas_b_mes1255[[#This Row],[CUIT]]="","-",VLOOKUP(ventas_b_mes1255[[#This Row],[CUIT]],Lista_CUIT[#All],2,0)),"CUIT NO CARGADO")</f>
        <v>-</v>
      </c>
      <c r="H1333" s="100">
        <f>ventas_b_mes1255[[#This Row],[TOTAL]]/1.21</f>
        <v>0</v>
      </c>
      <c r="I1333" s="64">
        <f>ventas_b_mes1255[[#This Row],[IMPORTE NETO]]*0.21</f>
        <v>0</v>
      </c>
      <c r="J1333" s="184"/>
      <c r="K1333" s="184"/>
      <c r="L1333" s="184"/>
      <c r="M1333" s="59"/>
    </row>
    <row r="1334" spans="2:13" x14ac:dyDescent="0.3">
      <c r="B1334" s="178"/>
      <c r="C1334" s="41"/>
      <c r="D1334" s="180"/>
      <c r="E1334" s="181"/>
      <c r="F1334" s="182"/>
      <c r="G1334" s="1" t="str">
        <f>IFERROR(IF(ventas_b_mes1255[[#This Row],[CUIT]]="","-",VLOOKUP(ventas_b_mes1255[[#This Row],[CUIT]],Lista_CUIT[#All],2,0)),"CUIT NO CARGADO")</f>
        <v>-</v>
      </c>
      <c r="H1334" s="100">
        <f>ventas_b_mes1255[[#This Row],[TOTAL]]/1.21</f>
        <v>0</v>
      </c>
      <c r="I1334" s="64">
        <f>ventas_b_mes1255[[#This Row],[IMPORTE NETO]]*0.21</f>
        <v>0</v>
      </c>
      <c r="J1334" s="184"/>
      <c r="K1334" s="184"/>
      <c r="L1334" s="184"/>
      <c r="M1334" s="59"/>
    </row>
    <row r="1335" spans="2:13" x14ac:dyDescent="0.3">
      <c r="B1335" s="178"/>
      <c r="C1335" s="41"/>
      <c r="D1335" s="180"/>
      <c r="E1335" s="181"/>
      <c r="F1335" s="182"/>
      <c r="G1335" s="1" t="str">
        <f>IFERROR(IF(ventas_b_mes1255[[#This Row],[CUIT]]="","-",VLOOKUP(ventas_b_mes1255[[#This Row],[CUIT]],Lista_CUIT[#All],2,0)),"CUIT NO CARGADO")</f>
        <v>-</v>
      </c>
      <c r="H1335" s="100">
        <f>ventas_b_mes1255[[#This Row],[TOTAL]]/1.21</f>
        <v>0</v>
      </c>
      <c r="I1335" s="64">
        <f>ventas_b_mes1255[[#This Row],[IMPORTE NETO]]*0.21</f>
        <v>0</v>
      </c>
      <c r="J1335" s="184"/>
      <c r="K1335" s="184"/>
      <c r="L1335" s="184"/>
      <c r="M1335" s="59"/>
    </row>
    <row r="1336" spans="2:13" x14ac:dyDescent="0.3">
      <c r="B1336" s="178"/>
      <c r="C1336" s="41"/>
      <c r="D1336" s="180"/>
      <c r="E1336" s="181"/>
      <c r="F1336" s="182"/>
      <c r="G1336" s="1" t="str">
        <f>IFERROR(IF(ventas_b_mes1255[[#This Row],[CUIT]]="","-",VLOOKUP(ventas_b_mes1255[[#This Row],[CUIT]],Lista_CUIT[#All],2,0)),"CUIT NO CARGADO")</f>
        <v>-</v>
      </c>
      <c r="H1336" s="100">
        <f>ventas_b_mes1255[[#This Row],[TOTAL]]/1.21</f>
        <v>0</v>
      </c>
      <c r="I1336" s="64">
        <f>ventas_b_mes1255[[#This Row],[IMPORTE NETO]]*0.21</f>
        <v>0</v>
      </c>
      <c r="J1336" s="184"/>
      <c r="K1336" s="184"/>
      <c r="L1336" s="184"/>
      <c r="M1336" s="59"/>
    </row>
    <row r="1337" spans="2:13" x14ac:dyDescent="0.3">
      <c r="B1337" s="178"/>
      <c r="C1337" s="41"/>
      <c r="D1337" s="180"/>
      <c r="E1337" s="181"/>
      <c r="F1337" s="182"/>
      <c r="G1337" s="1" t="str">
        <f>IFERROR(IF(ventas_b_mes1255[[#This Row],[CUIT]]="","-",VLOOKUP(ventas_b_mes1255[[#This Row],[CUIT]],Lista_CUIT[#All],2,0)),"CUIT NO CARGADO")</f>
        <v>-</v>
      </c>
      <c r="H1337" s="100">
        <f>ventas_b_mes1255[[#This Row],[TOTAL]]/1.21</f>
        <v>0</v>
      </c>
      <c r="I1337" s="64">
        <f>ventas_b_mes1255[[#This Row],[IMPORTE NETO]]*0.21</f>
        <v>0</v>
      </c>
      <c r="J1337" s="184"/>
      <c r="K1337" s="184"/>
      <c r="L1337" s="184"/>
      <c r="M1337" s="59"/>
    </row>
    <row r="1338" spans="2:13" x14ac:dyDescent="0.3">
      <c r="B1338" s="178"/>
      <c r="C1338" s="41"/>
      <c r="D1338" s="180"/>
      <c r="E1338" s="181"/>
      <c r="F1338" s="182"/>
      <c r="G1338" s="1" t="str">
        <f>IFERROR(IF(ventas_b_mes1255[[#This Row],[CUIT]]="","-",VLOOKUP(ventas_b_mes1255[[#This Row],[CUIT]],Lista_CUIT[#All],2,0)),"CUIT NO CARGADO")</f>
        <v>-</v>
      </c>
      <c r="H1338" s="100">
        <f>ventas_b_mes1255[[#This Row],[TOTAL]]/1.21</f>
        <v>0</v>
      </c>
      <c r="I1338" s="64">
        <f>ventas_b_mes1255[[#This Row],[IMPORTE NETO]]*0.21</f>
        <v>0</v>
      </c>
      <c r="J1338" s="184"/>
      <c r="K1338" s="184"/>
      <c r="L1338" s="184"/>
      <c r="M1338" s="59"/>
    </row>
    <row r="1339" spans="2:13" x14ac:dyDescent="0.3">
      <c r="B1339" s="178"/>
      <c r="C1339" s="41"/>
      <c r="D1339" s="180"/>
      <c r="E1339" s="181"/>
      <c r="F1339" s="182"/>
      <c r="G1339" s="1" t="str">
        <f>IFERROR(IF(ventas_b_mes1255[[#This Row],[CUIT]]="","-",VLOOKUP(ventas_b_mes1255[[#This Row],[CUIT]],Lista_CUIT[#All],2,0)),"CUIT NO CARGADO")</f>
        <v>-</v>
      </c>
      <c r="H1339" s="100">
        <f>ventas_b_mes1255[[#This Row],[TOTAL]]/1.21</f>
        <v>0</v>
      </c>
      <c r="I1339" s="64">
        <f>ventas_b_mes1255[[#This Row],[IMPORTE NETO]]*0.21</f>
        <v>0</v>
      </c>
      <c r="J1339" s="184"/>
      <c r="K1339" s="184"/>
      <c r="L1339" s="184"/>
      <c r="M1339" s="59"/>
    </row>
    <row r="1340" spans="2:13" x14ac:dyDescent="0.3">
      <c r="B1340" s="178"/>
      <c r="C1340" s="41"/>
      <c r="D1340" s="180"/>
      <c r="E1340" s="181"/>
      <c r="F1340" s="182"/>
      <c r="G1340" s="1" t="str">
        <f>IFERROR(IF(ventas_b_mes1255[[#This Row],[CUIT]]="","-",VLOOKUP(ventas_b_mes1255[[#This Row],[CUIT]],Lista_CUIT[#All],2,0)),"CUIT NO CARGADO")</f>
        <v>-</v>
      </c>
      <c r="H1340" s="100">
        <f>ventas_b_mes1255[[#This Row],[TOTAL]]/1.21</f>
        <v>0</v>
      </c>
      <c r="I1340" s="64">
        <f>ventas_b_mes1255[[#This Row],[IMPORTE NETO]]*0.21</f>
        <v>0</v>
      </c>
      <c r="J1340" s="184"/>
      <c r="K1340" s="184"/>
      <c r="L1340" s="184"/>
      <c r="M1340" s="59"/>
    </row>
    <row r="1341" spans="2:13" x14ac:dyDescent="0.3">
      <c r="B1341" s="178"/>
      <c r="C1341" s="41"/>
      <c r="D1341" s="180"/>
      <c r="E1341" s="181"/>
      <c r="F1341" s="182"/>
      <c r="G1341" s="1" t="str">
        <f>IFERROR(IF(ventas_b_mes1255[[#This Row],[CUIT]]="","-",VLOOKUP(ventas_b_mes1255[[#This Row],[CUIT]],Lista_CUIT[#All],2,0)),"CUIT NO CARGADO")</f>
        <v>-</v>
      </c>
      <c r="H1341" s="100">
        <f>ventas_b_mes1255[[#This Row],[TOTAL]]/1.21</f>
        <v>0</v>
      </c>
      <c r="I1341" s="64">
        <f>ventas_b_mes1255[[#This Row],[IMPORTE NETO]]*0.21</f>
        <v>0</v>
      </c>
      <c r="J1341" s="184"/>
      <c r="K1341" s="184"/>
      <c r="L1341" s="184"/>
      <c r="M1341" s="59"/>
    </row>
    <row r="1342" spans="2:13" x14ac:dyDescent="0.3">
      <c r="B1342" s="178"/>
      <c r="C1342" s="41"/>
      <c r="D1342" s="180"/>
      <c r="E1342" s="181"/>
      <c r="F1342" s="182"/>
      <c r="G1342" s="1" t="str">
        <f>IFERROR(IF(ventas_b_mes1255[[#This Row],[CUIT]]="","-",VLOOKUP(ventas_b_mes1255[[#This Row],[CUIT]],Lista_CUIT[#All],2,0)),"CUIT NO CARGADO")</f>
        <v>-</v>
      </c>
      <c r="H1342" s="100">
        <f>ventas_b_mes1255[[#This Row],[TOTAL]]/1.21</f>
        <v>0</v>
      </c>
      <c r="I1342" s="64">
        <f>ventas_b_mes1255[[#This Row],[IMPORTE NETO]]*0.21</f>
        <v>0</v>
      </c>
      <c r="J1342" s="184"/>
      <c r="K1342" s="184"/>
      <c r="L1342" s="184"/>
      <c r="M1342" s="59"/>
    </row>
    <row r="1343" spans="2:13" x14ac:dyDescent="0.3">
      <c r="B1343" s="178"/>
      <c r="C1343" s="41"/>
      <c r="D1343" s="180"/>
      <c r="E1343" s="181"/>
      <c r="F1343" s="182"/>
      <c r="G1343" s="1" t="str">
        <f>IFERROR(IF(ventas_b_mes1255[[#This Row],[CUIT]]="","-",VLOOKUP(ventas_b_mes1255[[#This Row],[CUIT]],Lista_CUIT[#All],2,0)),"CUIT NO CARGADO")</f>
        <v>-</v>
      </c>
      <c r="H1343" s="100">
        <f>ventas_b_mes1255[[#This Row],[TOTAL]]/1.21</f>
        <v>0</v>
      </c>
      <c r="I1343" s="64">
        <f>ventas_b_mes1255[[#This Row],[IMPORTE NETO]]*0.21</f>
        <v>0</v>
      </c>
      <c r="J1343" s="184"/>
      <c r="K1343" s="184"/>
      <c r="L1343" s="184"/>
      <c r="M1343" s="59"/>
    </row>
    <row r="1344" spans="2:13" x14ac:dyDescent="0.3">
      <c r="B1344" s="178"/>
      <c r="C1344" s="41"/>
      <c r="D1344" s="180"/>
      <c r="E1344" s="181"/>
      <c r="F1344" s="182"/>
      <c r="G1344" s="1" t="str">
        <f>IFERROR(IF(ventas_b_mes1255[[#This Row],[CUIT]]="","-",VLOOKUP(ventas_b_mes1255[[#This Row],[CUIT]],Lista_CUIT[#All],2,0)),"CUIT NO CARGADO")</f>
        <v>-</v>
      </c>
      <c r="H1344" s="100">
        <f>ventas_b_mes1255[[#This Row],[TOTAL]]/1.21</f>
        <v>0</v>
      </c>
      <c r="I1344" s="64">
        <f>ventas_b_mes1255[[#This Row],[IMPORTE NETO]]*0.21</f>
        <v>0</v>
      </c>
      <c r="J1344" s="184"/>
      <c r="K1344" s="184"/>
      <c r="L1344" s="184"/>
      <c r="M1344" s="59"/>
    </row>
    <row r="1345" spans="2:13" x14ac:dyDescent="0.3">
      <c r="B1345" s="178"/>
      <c r="C1345" s="41"/>
      <c r="D1345" s="180"/>
      <c r="E1345" s="181"/>
      <c r="F1345" s="182"/>
      <c r="G1345" s="1" t="str">
        <f>IFERROR(IF(ventas_b_mes1255[[#This Row],[CUIT]]="","-",VLOOKUP(ventas_b_mes1255[[#This Row],[CUIT]],Lista_CUIT[#All],2,0)),"CUIT NO CARGADO")</f>
        <v>-</v>
      </c>
      <c r="H1345" s="100">
        <f>ventas_b_mes1255[[#This Row],[TOTAL]]/1.21</f>
        <v>0</v>
      </c>
      <c r="I1345" s="64">
        <f>ventas_b_mes1255[[#This Row],[IMPORTE NETO]]*0.21</f>
        <v>0</v>
      </c>
      <c r="J1345" s="184"/>
      <c r="K1345" s="184"/>
      <c r="L1345" s="184"/>
      <c r="M1345" s="59"/>
    </row>
    <row r="1346" spans="2:13" x14ac:dyDescent="0.3">
      <c r="B1346" s="178"/>
      <c r="C1346" s="41"/>
      <c r="D1346" s="180"/>
      <c r="E1346" s="181"/>
      <c r="F1346" s="182"/>
      <c r="G1346" s="1" t="str">
        <f>IFERROR(IF(ventas_b_mes1255[[#This Row],[CUIT]]="","-",VLOOKUP(ventas_b_mes1255[[#This Row],[CUIT]],Lista_CUIT[#All],2,0)),"CUIT NO CARGADO")</f>
        <v>-</v>
      </c>
      <c r="H1346" s="100">
        <f>ventas_b_mes1255[[#This Row],[TOTAL]]/1.21</f>
        <v>0</v>
      </c>
      <c r="I1346" s="64">
        <f>ventas_b_mes1255[[#This Row],[IMPORTE NETO]]*0.21</f>
        <v>0</v>
      </c>
      <c r="J1346" s="184"/>
      <c r="K1346" s="184"/>
      <c r="L1346" s="184"/>
      <c r="M1346" s="59"/>
    </row>
    <row r="1347" spans="2:13" x14ac:dyDescent="0.3">
      <c r="B1347" s="178"/>
      <c r="C1347" s="41"/>
      <c r="D1347" s="180"/>
      <c r="E1347" s="181"/>
      <c r="F1347" s="182"/>
      <c r="G1347" s="1" t="str">
        <f>IFERROR(IF(ventas_b_mes1255[[#This Row],[CUIT]]="","-",VLOOKUP(ventas_b_mes1255[[#This Row],[CUIT]],Lista_CUIT[#All],2,0)),"CUIT NO CARGADO")</f>
        <v>-</v>
      </c>
      <c r="H1347" s="100">
        <f>ventas_b_mes1255[[#This Row],[TOTAL]]/1.21</f>
        <v>0</v>
      </c>
      <c r="I1347" s="64">
        <f>ventas_b_mes1255[[#This Row],[IMPORTE NETO]]*0.21</f>
        <v>0</v>
      </c>
      <c r="J1347" s="184"/>
      <c r="K1347" s="184"/>
      <c r="L1347" s="184"/>
      <c r="M1347" s="59"/>
    </row>
    <row r="1348" spans="2:13" x14ac:dyDescent="0.3">
      <c r="B1348" s="178"/>
      <c r="C1348" s="41"/>
      <c r="D1348" s="180"/>
      <c r="E1348" s="181"/>
      <c r="F1348" s="182"/>
      <c r="G1348" s="1" t="str">
        <f>IFERROR(IF(ventas_b_mes1255[[#This Row],[CUIT]]="","-",VLOOKUP(ventas_b_mes1255[[#This Row],[CUIT]],Lista_CUIT[#All],2,0)),"CUIT NO CARGADO")</f>
        <v>-</v>
      </c>
      <c r="H1348" s="100">
        <f>ventas_b_mes1255[[#This Row],[TOTAL]]/1.21</f>
        <v>0</v>
      </c>
      <c r="I1348" s="64">
        <f>ventas_b_mes1255[[#This Row],[IMPORTE NETO]]*0.21</f>
        <v>0</v>
      </c>
      <c r="J1348" s="184"/>
      <c r="K1348" s="184"/>
      <c r="L1348" s="184"/>
      <c r="M1348" s="59"/>
    </row>
    <row r="1349" spans="2:13" x14ac:dyDescent="0.3">
      <c r="B1349" s="178"/>
      <c r="C1349" s="41"/>
      <c r="D1349" s="180"/>
      <c r="E1349" s="181"/>
      <c r="F1349" s="182"/>
      <c r="G1349" s="1" t="str">
        <f>IFERROR(IF(ventas_b_mes1255[[#This Row],[CUIT]]="","-",VLOOKUP(ventas_b_mes1255[[#This Row],[CUIT]],Lista_CUIT[#All],2,0)),"CUIT NO CARGADO")</f>
        <v>-</v>
      </c>
      <c r="H1349" s="100">
        <f>ventas_b_mes1255[[#This Row],[TOTAL]]/1.21</f>
        <v>0</v>
      </c>
      <c r="I1349" s="64">
        <f>ventas_b_mes1255[[#This Row],[IMPORTE NETO]]*0.21</f>
        <v>0</v>
      </c>
      <c r="J1349" s="184"/>
      <c r="K1349" s="184"/>
      <c r="L1349" s="184"/>
      <c r="M1349" s="59"/>
    </row>
    <row r="1350" spans="2:13" x14ac:dyDescent="0.3">
      <c r="B1350" s="178"/>
      <c r="C1350" s="41"/>
      <c r="D1350" s="180"/>
      <c r="E1350" s="181"/>
      <c r="F1350" s="182"/>
      <c r="G1350" s="1" t="str">
        <f>IFERROR(IF(ventas_b_mes1255[[#This Row],[CUIT]]="","-",VLOOKUP(ventas_b_mes1255[[#This Row],[CUIT]],Lista_CUIT[#All],2,0)),"CUIT NO CARGADO")</f>
        <v>-</v>
      </c>
      <c r="H1350" s="100">
        <f>ventas_b_mes1255[[#This Row],[TOTAL]]/1.21</f>
        <v>0</v>
      </c>
      <c r="I1350" s="64">
        <f>ventas_b_mes1255[[#This Row],[IMPORTE NETO]]*0.21</f>
        <v>0</v>
      </c>
      <c r="J1350" s="184"/>
      <c r="K1350" s="184"/>
      <c r="L1350" s="184"/>
      <c r="M1350" s="59"/>
    </row>
    <row r="1351" spans="2:13" x14ac:dyDescent="0.3">
      <c r="B1351" s="178"/>
      <c r="C1351" s="41"/>
      <c r="D1351" s="180"/>
      <c r="E1351" s="181"/>
      <c r="F1351" s="182"/>
      <c r="G1351" s="1" t="str">
        <f>IFERROR(IF(ventas_b_mes1255[[#This Row],[CUIT]]="","-",VLOOKUP(ventas_b_mes1255[[#This Row],[CUIT]],Lista_CUIT[#All],2,0)),"CUIT NO CARGADO")</f>
        <v>-</v>
      </c>
      <c r="H1351" s="100">
        <f>ventas_b_mes1255[[#This Row],[TOTAL]]/1.21</f>
        <v>0</v>
      </c>
      <c r="I1351" s="64">
        <f>ventas_b_mes1255[[#This Row],[IMPORTE NETO]]*0.21</f>
        <v>0</v>
      </c>
      <c r="J1351" s="184"/>
      <c r="K1351" s="184"/>
      <c r="L1351" s="184"/>
      <c r="M1351" s="59"/>
    </row>
    <row r="1352" spans="2:13" x14ac:dyDescent="0.3">
      <c r="B1352" s="178"/>
      <c r="C1352" s="41"/>
      <c r="D1352" s="180"/>
      <c r="E1352" s="181"/>
      <c r="F1352" s="182"/>
      <c r="G1352" s="1" t="str">
        <f>IFERROR(IF(ventas_b_mes1255[[#This Row],[CUIT]]="","-",VLOOKUP(ventas_b_mes1255[[#This Row],[CUIT]],Lista_CUIT[#All],2,0)),"CUIT NO CARGADO")</f>
        <v>-</v>
      </c>
      <c r="H1352" s="100">
        <f>ventas_b_mes1255[[#This Row],[TOTAL]]/1.21</f>
        <v>0</v>
      </c>
      <c r="I1352" s="64">
        <f>ventas_b_mes1255[[#This Row],[IMPORTE NETO]]*0.21</f>
        <v>0</v>
      </c>
      <c r="J1352" s="184"/>
      <c r="K1352" s="184"/>
      <c r="L1352" s="184"/>
      <c r="M1352" s="59"/>
    </row>
    <row r="1353" spans="2:13" x14ac:dyDescent="0.3">
      <c r="B1353" s="178"/>
      <c r="C1353" s="41"/>
      <c r="D1353" s="180"/>
      <c r="E1353" s="181"/>
      <c r="F1353" s="182"/>
      <c r="G1353" s="1" t="str">
        <f>IFERROR(IF(ventas_b_mes1255[[#This Row],[CUIT]]="","-",VLOOKUP(ventas_b_mes1255[[#This Row],[CUIT]],Lista_CUIT[#All],2,0)),"CUIT NO CARGADO")</f>
        <v>-</v>
      </c>
      <c r="H1353" s="100">
        <f>ventas_b_mes1255[[#This Row],[TOTAL]]/1.21</f>
        <v>0</v>
      </c>
      <c r="I1353" s="64">
        <f>ventas_b_mes1255[[#This Row],[IMPORTE NETO]]*0.21</f>
        <v>0</v>
      </c>
      <c r="J1353" s="184"/>
      <c r="K1353" s="184"/>
      <c r="L1353" s="184"/>
      <c r="M1353" s="59"/>
    </row>
    <row r="1354" spans="2:13" x14ac:dyDescent="0.3">
      <c r="B1354" s="178"/>
      <c r="C1354" s="41"/>
      <c r="D1354" s="180"/>
      <c r="E1354" s="181"/>
      <c r="F1354" s="182"/>
      <c r="G1354" s="1" t="str">
        <f>IFERROR(IF(ventas_b_mes1255[[#This Row],[CUIT]]="","-",VLOOKUP(ventas_b_mes1255[[#This Row],[CUIT]],Lista_CUIT[#All],2,0)),"CUIT NO CARGADO")</f>
        <v>-</v>
      </c>
      <c r="H1354" s="100">
        <f>ventas_b_mes1255[[#This Row],[TOTAL]]/1.21</f>
        <v>0</v>
      </c>
      <c r="I1354" s="64">
        <f>ventas_b_mes1255[[#This Row],[IMPORTE NETO]]*0.21</f>
        <v>0</v>
      </c>
      <c r="J1354" s="184"/>
      <c r="K1354" s="184"/>
      <c r="L1354" s="184"/>
      <c r="M1354" s="59"/>
    </row>
    <row r="1355" spans="2:13" x14ac:dyDescent="0.3">
      <c r="B1355" s="178"/>
      <c r="C1355" s="41"/>
      <c r="D1355" s="180"/>
      <c r="E1355" s="181"/>
      <c r="F1355" s="182"/>
      <c r="G1355" s="1" t="str">
        <f>IFERROR(IF(ventas_b_mes1255[[#This Row],[CUIT]]="","-",VLOOKUP(ventas_b_mes1255[[#This Row],[CUIT]],Lista_CUIT[#All],2,0)),"CUIT NO CARGADO")</f>
        <v>-</v>
      </c>
      <c r="H1355" s="100">
        <f>ventas_b_mes1255[[#This Row],[TOTAL]]/1.21</f>
        <v>0</v>
      </c>
      <c r="I1355" s="64">
        <f>ventas_b_mes1255[[#This Row],[IMPORTE NETO]]*0.21</f>
        <v>0</v>
      </c>
      <c r="J1355" s="184"/>
      <c r="K1355" s="184"/>
      <c r="L1355" s="184"/>
      <c r="M1355" s="59"/>
    </row>
    <row r="1356" spans="2:13" x14ac:dyDescent="0.3">
      <c r="B1356" s="178"/>
      <c r="C1356" s="41"/>
      <c r="D1356" s="180"/>
      <c r="E1356" s="181"/>
      <c r="F1356" s="182"/>
      <c r="G1356" s="1" t="str">
        <f>IFERROR(IF(ventas_b_mes1255[[#This Row],[CUIT]]="","-",VLOOKUP(ventas_b_mes1255[[#This Row],[CUIT]],Lista_CUIT[#All],2,0)),"CUIT NO CARGADO")</f>
        <v>-</v>
      </c>
      <c r="H1356" s="100">
        <f>ventas_b_mes1255[[#This Row],[TOTAL]]/1.21</f>
        <v>0</v>
      </c>
      <c r="I1356" s="64">
        <f>ventas_b_mes1255[[#This Row],[IMPORTE NETO]]*0.21</f>
        <v>0</v>
      </c>
      <c r="J1356" s="184"/>
      <c r="K1356" s="184"/>
      <c r="L1356" s="184"/>
      <c r="M1356" s="59"/>
    </row>
    <row r="1357" spans="2:13" x14ac:dyDescent="0.3">
      <c r="B1357" s="178"/>
      <c r="C1357" s="41"/>
      <c r="D1357" s="180"/>
      <c r="E1357" s="181"/>
      <c r="F1357" s="182"/>
      <c r="G1357" s="1" t="str">
        <f>IFERROR(IF(ventas_b_mes1255[[#This Row],[CUIT]]="","-",VLOOKUP(ventas_b_mes1255[[#This Row],[CUIT]],Lista_CUIT[#All],2,0)),"CUIT NO CARGADO")</f>
        <v>-</v>
      </c>
      <c r="H1357" s="100">
        <f>ventas_b_mes1255[[#This Row],[TOTAL]]/1.21</f>
        <v>0</v>
      </c>
      <c r="I1357" s="64">
        <f>ventas_b_mes1255[[#This Row],[IMPORTE NETO]]*0.21</f>
        <v>0</v>
      </c>
      <c r="J1357" s="184"/>
      <c r="K1357" s="184"/>
      <c r="L1357" s="184"/>
      <c r="M1357" s="59"/>
    </row>
    <row r="1358" spans="2:13" x14ac:dyDescent="0.3">
      <c r="B1358" s="178"/>
      <c r="C1358" s="41"/>
      <c r="D1358" s="180"/>
      <c r="E1358" s="181"/>
      <c r="F1358" s="182"/>
      <c r="G1358" s="1" t="str">
        <f>IFERROR(IF(ventas_b_mes1255[[#This Row],[CUIT]]="","-",VLOOKUP(ventas_b_mes1255[[#This Row],[CUIT]],Lista_CUIT[#All],2,0)),"CUIT NO CARGADO")</f>
        <v>-</v>
      </c>
      <c r="H1358" s="100">
        <f>ventas_b_mes1255[[#This Row],[TOTAL]]/1.21</f>
        <v>0</v>
      </c>
      <c r="I1358" s="64">
        <f>ventas_b_mes1255[[#This Row],[IMPORTE NETO]]*0.21</f>
        <v>0</v>
      </c>
      <c r="J1358" s="184"/>
      <c r="K1358" s="184"/>
      <c r="L1358" s="184"/>
      <c r="M1358" s="59"/>
    </row>
    <row r="1359" spans="2:13" x14ac:dyDescent="0.3">
      <c r="B1359" s="178"/>
      <c r="C1359" s="41"/>
      <c r="D1359" s="180"/>
      <c r="E1359" s="181"/>
      <c r="F1359" s="182"/>
      <c r="G1359" s="1" t="str">
        <f>IFERROR(IF(ventas_b_mes1255[[#This Row],[CUIT]]="","-",VLOOKUP(ventas_b_mes1255[[#This Row],[CUIT]],Lista_CUIT[#All],2,0)),"CUIT NO CARGADO")</f>
        <v>-</v>
      </c>
      <c r="H1359" s="100">
        <f>ventas_b_mes1255[[#This Row],[TOTAL]]/1.21</f>
        <v>0</v>
      </c>
      <c r="I1359" s="64">
        <f>ventas_b_mes1255[[#This Row],[IMPORTE NETO]]*0.21</f>
        <v>0</v>
      </c>
      <c r="J1359" s="184"/>
      <c r="K1359" s="184"/>
      <c r="L1359" s="184"/>
      <c r="M1359" s="59"/>
    </row>
    <row r="1360" spans="2:13" x14ac:dyDescent="0.3">
      <c r="B1360" s="178"/>
      <c r="C1360" s="41"/>
      <c r="D1360" s="180"/>
      <c r="E1360" s="181"/>
      <c r="F1360" s="182"/>
      <c r="G1360" s="1" t="str">
        <f>IFERROR(IF(ventas_b_mes1255[[#This Row],[CUIT]]="","-",VLOOKUP(ventas_b_mes1255[[#This Row],[CUIT]],Lista_CUIT[#All],2,0)),"CUIT NO CARGADO")</f>
        <v>-</v>
      </c>
      <c r="H1360" s="100">
        <f>ventas_b_mes1255[[#This Row],[TOTAL]]/1.21</f>
        <v>0</v>
      </c>
      <c r="I1360" s="64">
        <f>ventas_b_mes1255[[#This Row],[IMPORTE NETO]]*0.21</f>
        <v>0</v>
      </c>
      <c r="J1360" s="184"/>
      <c r="K1360" s="184"/>
      <c r="L1360" s="184"/>
      <c r="M1360" s="59"/>
    </row>
    <row r="1361" spans="2:13" x14ac:dyDescent="0.3">
      <c r="B1361" s="178"/>
      <c r="C1361" s="41"/>
      <c r="D1361" s="180"/>
      <c r="E1361" s="181"/>
      <c r="F1361" s="182"/>
      <c r="G1361" s="1" t="str">
        <f>IFERROR(IF(ventas_b_mes1255[[#This Row],[CUIT]]="","-",VLOOKUP(ventas_b_mes1255[[#This Row],[CUIT]],Lista_CUIT[#All],2,0)),"CUIT NO CARGADO")</f>
        <v>-</v>
      </c>
      <c r="H1361" s="100">
        <f>ventas_b_mes1255[[#This Row],[TOTAL]]/1.21</f>
        <v>0</v>
      </c>
      <c r="I1361" s="64">
        <f>ventas_b_mes1255[[#This Row],[IMPORTE NETO]]*0.21</f>
        <v>0</v>
      </c>
      <c r="J1361" s="184"/>
      <c r="K1361" s="184"/>
      <c r="L1361" s="184"/>
      <c r="M1361" s="59"/>
    </row>
    <row r="1362" spans="2:13" x14ac:dyDescent="0.3">
      <c r="B1362" s="178"/>
      <c r="C1362" s="41"/>
      <c r="D1362" s="180"/>
      <c r="E1362" s="181"/>
      <c r="F1362" s="182"/>
      <c r="G1362" s="1" t="str">
        <f>IFERROR(IF(ventas_b_mes1255[[#This Row],[CUIT]]="","-",VLOOKUP(ventas_b_mes1255[[#This Row],[CUIT]],Lista_CUIT[#All],2,0)),"CUIT NO CARGADO")</f>
        <v>-</v>
      </c>
      <c r="H1362" s="100">
        <f>ventas_b_mes1255[[#This Row],[TOTAL]]/1.21</f>
        <v>0</v>
      </c>
      <c r="I1362" s="64">
        <f>ventas_b_mes1255[[#This Row],[IMPORTE NETO]]*0.21</f>
        <v>0</v>
      </c>
      <c r="J1362" s="184"/>
      <c r="K1362" s="184"/>
      <c r="L1362" s="184"/>
      <c r="M1362" s="59"/>
    </row>
    <row r="1363" spans="2:13" x14ac:dyDescent="0.3">
      <c r="B1363" s="178"/>
      <c r="C1363" s="41"/>
      <c r="D1363" s="180"/>
      <c r="E1363" s="181"/>
      <c r="F1363" s="182"/>
      <c r="G1363" s="1" t="str">
        <f>IFERROR(IF(ventas_b_mes1255[[#This Row],[CUIT]]="","-",VLOOKUP(ventas_b_mes1255[[#This Row],[CUIT]],Lista_CUIT[#All],2,0)),"CUIT NO CARGADO")</f>
        <v>-</v>
      </c>
      <c r="H1363" s="100">
        <f>ventas_b_mes1255[[#This Row],[TOTAL]]/1.21</f>
        <v>0</v>
      </c>
      <c r="I1363" s="64">
        <f>ventas_b_mes1255[[#This Row],[IMPORTE NETO]]*0.21</f>
        <v>0</v>
      </c>
      <c r="J1363" s="184"/>
      <c r="K1363" s="184"/>
      <c r="L1363" s="184"/>
      <c r="M1363" s="59"/>
    </row>
    <row r="1364" spans="2:13" x14ac:dyDescent="0.3">
      <c r="B1364" s="178"/>
      <c r="C1364" s="41"/>
      <c r="D1364" s="180"/>
      <c r="E1364" s="181"/>
      <c r="F1364" s="182"/>
      <c r="G1364" s="1" t="str">
        <f>IFERROR(IF(ventas_b_mes1255[[#This Row],[CUIT]]="","-",VLOOKUP(ventas_b_mes1255[[#This Row],[CUIT]],Lista_CUIT[#All],2,0)),"CUIT NO CARGADO")</f>
        <v>-</v>
      </c>
      <c r="H1364" s="100">
        <f>ventas_b_mes1255[[#This Row],[TOTAL]]/1.21</f>
        <v>0</v>
      </c>
      <c r="I1364" s="64">
        <f>ventas_b_mes1255[[#This Row],[IMPORTE NETO]]*0.21</f>
        <v>0</v>
      </c>
      <c r="J1364" s="184"/>
      <c r="K1364" s="184"/>
      <c r="L1364" s="184"/>
      <c r="M1364" s="59"/>
    </row>
    <row r="1365" spans="2:13" x14ac:dyDescent="0.3">
      <c r="B1365" s="178"/>
      <c r="C1365" s="41"/>
      <c r="D1365" s="180"/>
      <c r="E1365" s="181"/>
      <c r="F1365" s="182"/>
      <c r="G1365" s="1" t="str">
        <f>IFERROR(IF(ventas_b_mes1255[[#This Row],[CUIT]]="","-",VLOOKUP(ventas_b_mes1255[[#This Row],[CUIT]],Lista_CUIT[#All],2,0)),"CUIT NO CARGADO")</f>
        <v>-</v>
      </c>
      <c r="H1365" s="100">
        <f>ventas_b_mes1255[[#This Row],[TOTAL]]/1.21</f>
        <v>0</v>
      </c>
      <c r="I1365" s="64">
        <f>ventas_b_mes1255[[#This Row],[IMPORTE NETO]]*0.21</f>
        <v>0</v>
      </c>
      <c r="J1365" s="184"/>
      <c r="K1365" s="184"/>
      <c r="L1365" s="184"/>
      <c r="M1365" s="59"/>
    </row>
    <row r="1366" spans="2:13" x14ac:dyDescent="0.3">
      <c r="B1366" s="178"/>
      <c r="C1366" s="41"/>
      <c r="D1366" s="180"/>
      <c r="E1366" s="181"/>
      <c r="F1366" s="182"/>
      <c r="G1366" s="1" t="str">
        <f>IFERROR(IF(ventas_b_mes1255[[#This Row],[CUIT]]="","-",VLOOKUP(ventas_b_mes1255[[#This Row],[CUIT]],Lista_CUIT[#All],2,0)),"CUIT NO CARGADO")</f>
        <v>-</v>
      </c>
      <c r="H1366" s="100">
        <f>ventas_b_mes1255[[#This Row],[TOTAL]]/1.21</f>
        <v>0</v>
      </c>
      <c r="I1366" s="64">
        <f>ventas_b_mes1255[[#This Row],[IMPORTE NETO]]*0.21</f>
        <v>0</v>
      </c>
      <c r="J1366" s="184"/>
      <c r="K1366" s="184"/>
      <c r="L1366" s="184"/>
      <c r="M1366" s="59"/>
    </row>
    <row r="1367" spans="2:13" x14ac:dyDescent="0.3">
      <c r="B1367" s="178"/>
      <c r="C1367" s="41"/>
      <c r="D1367" s="180"/>
      <c r="E1367" s="181"/>
      <c r="F1367" s="182"/>
      <c r="G1367" s="1" t="str">
        <f>IFERROR(IF(ventas_b_mes1255[[#This Row],[CUIT]]="","-",VLOOKUP(ventas_b_mes1255[[#This Row],[CUIT]],Lista_CUIT[#All],2,0)),"CUIT NO CARGADO")</f>
        <v>-</v>
      </c>
      <c r="H1367" s="100">
        <f>ventas_b_mes1255[[#This Row],[TOTAL]]/1.21</f>
        <v>0</v>
      </c>
      <c r="I1367" s="64">
        <f>ventas_b_mes1255[[#This Row],[IMPORTE NETO]]*0.21</f>
        <v>0</v>
      </c>
      <c r="J1367" s="184"/>
      <c r="K1367" s="184"/>
      <c r="L1367" s="184"/>
      <c r="M1367" s="59"/>
    </row>
    <row r="1368" spans="2:13" x14ac:dyDescent="0.3">
      <c r="B1368" s="178"/>
      <c r="C1368" s="41"/>
      <c r="D1368" s="180"/>
      <c r="E1368" s="181"/>
      <c r="F1368" s="182"/>
      <c r="G1368" s="1" t="str">
        <f>IFERROR(IF(ventas_b_mes1255[[#This Row],[CUIT]]="","-",VLOOKUP(ventas_b_mes1255[[#This Row],[CUIT]],Lista_CUIT[#All],2,0)),"CUIT NO CARGADO")</f>
        <v>-</v>
      </c>
      <c r="H1368" s="100">
        <f>ventas_b_mes1255[[#This Row],[TOTAL]]/1.21</f>
        <v>0</v>
      </c>
      <c r="I1368" s="64">
        <f>ventas_b_mes1255[[#This Row],[IMPORTE NETO]]*0.21</f>
        <v>0</v>
      </c>
      <c r="J1368" s="184"/>
      <c r="K1368" s="184"/>
      <c r="L1368" s="184"/>
      <c r="M1368" s="59"/>
    </row>
    <row r="1369" spans="2:13" x14ac:dyDescent="0.3">
      <c r="B1369" s="178"/>
      <c r="C1369" s="41"/>
      <c r="D1369" s="180"/>
      <c r="E1369" s="181"/>
      <c r="F1369" s="182"/>
      <c r="G1369" s="1" t="str">
        <f>IFERROR(IF(ventas_b_mes1255[[#This Row],[CUIT]]="","-",VLOOKUP(ventas_b_mes1255[[#This Row],[CUIT]],Lista_CUIT[#All],2,0)),"CUIT NO CARGADO")</f>
        <v>-</v>
      </c>
      <c r="H1369" s="100">
        <f>ventas_b_mes1255[[#This Row],[TOTAL]]/1.21</f>
        <v>0</v>
      </c>
      <c r="I1369" s="64">
        <f>ventas_b_mes1255[[#This Row],[IMPORTE NETO]]*0.21</f>
        <v>0</v>
      </c>
      <c r="J1369" s="184"/>
      <c r="K1369" s="184"/>
      <c r="L1369" s="184"/>
      <c r="M1369" s="59"/>
    </row>
    <row r="1370" spans="2:13" x14ac:dyDescent="0.3">
      <c r="B1370" s="178"/>
      <c r="C1370" s="41"/>
      <c r="D1370" s="180"/>
      <c r="E1370" s="181"/>
      <c r="F1370" s="182"/>
      <c r="G1370" s="1" t="str">
        <f>IFERROR(IF(ventas_b_mes1255[[#This Row],[CUIT]]="","-",VLOOKUP(ventas_b_mes1255[[#This Row],[CUIT]],Lista_CUIT[#All],2,0)),"CUIT NO CARGADO")</f>
        <v>-</v>
      </c>
      <c r="H1370" s="100">
        <f>ventas_b_mes1255[[#This Row],[TOTAL]]/1.21</f>
        <v>0</v>
      </c>
      <c r="I1370" s="64">
        <f>ventas_b_mes1255[[#This Row],[IMPORTE NETO]]*0.21</f>
        <v>0</v>
      </c>
      <c r="J1370" s="184"/>
      <c r="K1370" s="184"/>
      <c r="L1370" s="184"/>
      <c r="M1370" s="59"/>
    </row>
    <row r="1371" spans="2:13" x14ac:dyDescent="0.3">
      <c r="B1371" s="178"/>
      <c r="C1371" s="41"/>
      <c r="D1371" s="180"/>
      <c r="E1371" s="181"/>
      <c r="F1371" s="182"/>
      <c r="G1371" s="1" t="str">
        <f>IFERROR(IF(ventas_b_mes1255[[#This Row],[CUIT]]="","-",VLOOKUP(ventas_b_mes1255[[#This Row],[CUIT]],Lista_CUIT[#All],2,0)),"CUIT NO CARGADO")</f>
        <v>-</v>
      </c>
      <c r="H1371" s="100">
        <f>ventas_b_mes1255[[#This Row],[TOTAL]]/1.21</f>
        <v>0</v>
      </c>
      <c r="I1371" s="64">
        <f>ventas_b_mes1255[[#This Row],[IMPORTE NETO]]*0.21</f>
        <v>0</v>
      </c>
      <c r="J1371" s="184"/>
      <c r="K1371" s="184"/>
      <c r="L1371" s="184"/>
      <c r="M1371" s="59"/>
    </row>
    <row r="1372" spans="2:13" x14ac:dyDescent="0.3">
      <c r="B1372" s="178"/>
      <c r="C1372" s="41"/>
      <c r="D1372" s="180"/>
      <c r="E1372" s="181"/>
      <c r="F1372" s="182"/>
      <c r="G1372" s="1" t="str">
        <f>IFERROR(IF(ventas_b_mes1255[[#This Row],[CUIT]]="","-",VLOOKUP(ventas_b_mes1255[[#This Row],[CUIT]],Lista_CUIT[#All],2,0)),"CUIT NO CARGADO")</f>
        <v>-</v>
      </c>
      <c r="H1372" s="100">
        <f>ventas_b_mes1255[[#This Row],[TOTAL]]/1.21</f>
        <v>0</v>
      </c>
      <c r="I1372" s="64">
        <f>ventas_b_mes1255[[#This Row],[IMPORTE NETO]]*0.21</f>
        <v>0</v>
      </c>
      <c r="J1372" s="184"/>
      <c r="K1372" s="184"/>
      <c r="L1372" s="184"/>
      <c r="M1372" s="59"/>
    </row>
    <row r="1373" spans="2:13" x14ac:dyDescent="0.3">
      <c r="B1373" s="178"/>
      <c r="C1373" s="41"/>
      <c r="D1373" s="180"/>
      <c r="E1373" s="181"/>
      <c r="F1373" s="182"/>
      <c r="G1373" s="1" t="str">
        <f>IFERROR(IF(ventas_b_mes1255[[#This Row],[CUIT]]="","-",VLOOKUP(ventas_b_mes1255[[#This Row],[CUIT]],Lista_CUIT[#All],2,0)),"CUIT NO CARGADO")</f>
        <v>-</v>
      </c>
      <c r="H1373" s="100">
        <f>ventas_b_mes1255[[#This Row],[TOTAL]]/1.21</f>
        <v>0</v>
      </c>
      <c r="I1373" s="64">
        <f>ventas_b_mes1255[[#This Row],[IMPORTE NETO]]*0.21</f>
        <v>0</v>
      </c>
      <c r="J1373" s="184"/>
      <c r="K1373" s="184"/>
      <c r="L1373" s="184"/>
      <c r="M1373" s="59"/>
    </row>
    <row r="1374" spans="2:13" x14ac:dyDescent="0.3">
      <c r="B1374" s="178"/>
      <c r="C1374" s="41"/>
      <c r="D1374" s="180"/>
      <c r="E1374" s="181"/>
      <c r="F1374" s="182"/>
      <c r="G1374" s="1" t="str">
        <f>IFERROR(IF(ventas_b_mes1255[[#This Row],[CUIT]]="","-",VLOOKUP(ventas_b_mes1255[[#This Row],[CUIT]],Lista_CUIT[#All],2,0)),"CUIT NO CARGADO")</f>
        <v>-</v>
      </c>
      <c r="H1374" s="100">
        <f>ventas_b_mes1255[[#This Row],[TOTAL]]/1.21</f>
        <v>0</v>
      </c>
      <c r="I1374" s="64">
        <f>ventas_b_mes1255[[#This Row],[IMPORTE NETO]]*0.21</f>
        <v>0</v>
      </c>
      <c r="J1374" s="184"/>
      <c r="K1374" s="184"/>
      <c r="L1374" s="184"/>
      <c r="M1374" s="59"/>
    </row>
    <row r="1375" spans="2:13" x14ac:dyDescent="0.3">
      <c r="B1375" s="178"/>
      <c r="C1375" s="41"/>
      <c r="D1375" s="180"/>
      <c r="E1375" s="181"/>
      <c r="F1375" s="182"/>
      <c r="G1375" s="1" t="str">
        <f>IFERROR(IF(ventas_b_mes1255[[#This Row],[CUIT]]="","-",VLOOKUP(ventas_b_mes1255[[#This Row],[CUIT]],Lista_CUIT[#All],2,0)),"CUIT NO CARGADO")</f>
        <v>-</v>
      </c>
      <c r="H1375" s="100">
        <f>ventas_b_mes1255[[#This Row],[TOTAL]]/1.21</f>
        <v>0</v>
      </c>
      <c r="I1375" s="64">
        <f>ventas_b_mes1255[[#This Row],[IMPORTE NETO]]*0.21</f>
        <v>0</v>
      </c>
      <c r="J1375" s="184"/>
      <c r="K1375" s="184"/>
      <c r="L1375" s="184"/>
      <c r="M1375" s="59"/>
    </row>
    <row r="1376" spans="2:13" x14ac:dyDescent="0.3">
      <c r="B1376" s="178"/>
      <c r="C1376" s="41"/>
      <c r="D1376" s="180"/>
      <c r="E1376" s="181"/>
      <c r="F1376" s="182"/>
      <c r="G1376" s="1" t="str">
        <f>IFERROR(IF(ventas_b_mes1255[[#This Row],[CUIT]]="","-",VLOOKUP(ventas_b_mes1255[[#This Row],[CUIT]],Lista_CUIT[#All],2,0)),"CUIT NO CARGADO")</f>
        <v>-</v>
      </c>
      <c r="H1376" s="100">
        <f>ventas_b_mes1255[[#This Row],[TOTAL]]/1.21</f>
        <v>0</v>
      </c>
      <c r="I1376" s="64">
        <f>ventas_b_mes1255[[#This Row],[IMPORTE NETO]]*0.21</f>
        <v>0</v>
      </c>
      <c r="J1376" s="184"/>
      <c r="K1376" s="184"/>
      <c r="L1376" s="184"/>
      <c r="M1376" s="59"/>
    </row>
    <row r="1377" spans="2:13" x14ac:dyDescent="0.3">
      <c r="B1377" s="178"/>
      <c r="C1377" s="41"/>
      <c r="D1377" s="180"/>
      <c r="E1377" s="181"/>
      <c r="F1377" s="182"/>
      <c r="G1377" s="1" t="str">
        <f>IFERROR(IF(ventas_b_mes1255[[#This Row],[CUIT]]="","-",VLOOKUP(ventas_b_mes1255[[#This Row],[CUIT]],Lista_CUIT[#All],2,0)),"CUIT NO CARGADO")</f>
        <v>-</v>
      </c>
      <c r="H1377" s="100">
        <f>ventas_b_mes1255[[#This Row],[TOTAL]]/1.21</f>
        <v>0</v>
      </c>
      <c r="I1377" s="64">
        <f>ventas_b_mes1255[[#This Row],[IMPORTE NETO]]*0.21</f>
        <v>0</v>
      </c>
      <c r="J1377" s="184"/>
      <c r="K1377" s="184"/>
      <c r="L1377" s="184"/>
      <c r="M1377" s="59"/>
    </row>
    <row r="1378" spans="2:13" x14ac:dyDescent="0.3">
      <c r="B1378" s="178"/>
      <c r="C1378" s="41"/>
      <c r="D1378" s="180"/>
      <c r="E1378" s="181"/>
      <c r="F1378" s="182"/>
      <c r="G1378" s="1" t="str">
        <f>IFERROR(IF(ventas_b_mes1255[[#This Row],[CUIT]]="","-",VLOOKUP(ventas_b_mes1255[[#This Row],[CUIT]],Lista_CUIT[#All],2,0)),"CUIT NO CARGADO")</f>
        <v>-</v>
      </c>
      <c r="H1378" s="100">
        <f>ventas_b_mes1255[[#This Row],[TOTAL]]/1.21</f>
        <v>0</v>
      </c>
      <c r="I1378" s="64">
        <f>ventas_b_mes1255[[#This Row],[IMPORTE NETO]]*0.21</f>
        <v>0</v>
      </c>
      <c r="J1378" s="184"/>
      <c r="K1378" s="184"/>
      <c r="L1378" s="184"/>
      <c r="M1378" s="59"/>
    </row>
    <row r="1379" spans="2:13" x14ac:dyDescent="0.3">
      <c r="B1379" s="178"/>
      <c r="C1379" s="41"/>
      <c r="D1379" s="180"/>
      <c r="E1379" s="181"/>
      <c r="F1379" s="182"/>
      <c r="G1379" s="1" t="str">
        <f>IFERROR(IF(ventas_b_mes1255[[#This Row],[CUIT]]="","-",VLOOKUP(ventas_b_mes1255[[#This Row],[CUIT]],Lista_CUIT[#All],2,0)),"CUIT NO CARGADO")</f>
        <v>-</v>
      </c>
      <c r="H1379" s="100">
        <f>ventas_b_mes1255[[#This Row],[TOTAL]]/1.21</f>
        <v>0</v>
      </c>
      <c r="I1379" s="64">
        <f>ventas_b_mes1255[[#This Row],[IMPORTE NETO]]*0.21</f>
        <v>0</v>
      </c>
      <c r="J1379" s="184"/>
      <c r="K1379" s="184"/>
      <c r="L1379" s="184"/>
      <c r="M1379" s="59"/>
    </row>
    <row r="1380" spans="2:13" x14ac:dyDescent="0.3">
      <c r="B1380" s="178"/>
      <c r="C1380" s="41"/>
      <c r="D1380" s="180"/>
      <c r="E1380" s="181"/>
      <c r="F1380" s="182"/>
      <c r="G1380" s="1" t="str">
        <f>IFERROR(IF(ventas_b_mes1255[[#This Row],[CUIT]]="","-",VLOOKUP(ventas_b_mes1255[[#This Row],[CUIT]],Lista_CUIT[#All],2,0)),"CUIT NO CARGADO")</f>
        <v>-</v>
      </c>
      <c r="H1380" s="100">
        <f>ventas_b_mes1255[[#This Row],[TOTAL]]/1.21</f>
        <v>0</v>
      </c>
      <c r="I1380" s="64">
        <f>ventas_b_mes1255[[#This Row],[IMPORTE NETO]]*0.21</f>
        <v>0</v>
      </c>
      <c r="J1380" s="184"/>
      <c r="K1380" s="184"/>
      <c r="L1380" s="184"/>
      <c r="M1380" s="59"/>
    </row>
    <row r="1381" spans="2:13" x14ac:dyDescent="0.3">
      <c r="B1381" s="178"/>
      <c r="C1381" s="41"/>
      <c r="D1381" s="180"/>
      <c r="E1381" s="181"/>
      <c r="F1381" s="182"/>
      <c r="G1381" s="1" t="str">
        <f>IFERROR(IF(ventas_b_mes1255[[#This Row],[CUIT]]="","-",VLOOKUP(ventas_b_mes1255[[#This Row],[CUIT]],Lista_CUIT[#All],2,0)),"CUIT NO CARGADO")</f>
        <v>-</v>
      </c>
      <c r="H1381" s="100">
        <f>ventas_b_mes1255[[#This Row],[TOTAL]]/1.21</f>
        <v>0</v>
      </c>
      <c r="I1381" s="64">
        <f>ventas_b_mes1255[[#This Row],[IMPORTE NETO]]*0.21</f>
        <v>0</v>
      </c>
      <c r="J1381" s="184"/>
      <c r="K1381" s="184"/>
      <c r="L1381" s="184"/>
      <c r="M1381" s="59"/>
    </row>
    <row r="1382" spans="2:13" x14ac:dyDescent="0.3">
      <c r="B1382" s="178"/>
      <c r="C1382" s="41"/>
      <c r="D1382" s="180"/>
      <c r="E1382" s="181"/>
      <c r="F1382" s="182"/>
      <c r="G1382" s="1" t="str">
        <f>IFERROR(IF(ventas_b_mes1255[[#This Row],[CUIT]]="","-",VLOOKUP(ventas_b_mes1255[[#This Row],[CUIT]],Lista_CUIT[#All],2,0)),"CUIT NO CARGADO")</f>
        <v>-</v>
      </c>
      <c r="H1382" s="100">
        <f>ventas_b_mes1255[[#This Row],[TOTAL]]/1.21</f>
        <v>0</v>
      </c>
      <c r="I1382" s="64">
        <f>ventas_b_mes1255[[#This Row],[IMPORTE NETO]]*0.21</f>
        <v>0</v>
      </c>
      <c r="J1382" s="184"/>
      <c r="K1382" s="184"/>
      <c r="L1382" s="184"/>
      <c r="M1382" s="59"/>
    </row>
    <row r="1383" spans="2:13" x14ac:dyDescent="0.3">
      <c r="B1383" s="178"/>
      <c r="C1383" s="41"/>
      <c r="D1383" s="180"/>
      <c r="E1383" s="181"/>
      <c r="F1383" s="182"/>
      <c r="G1383" s="1" t="str">
        <f>IFERROR(IF(ventas_b_mes1255[[#This Row],[CUIT]]="","-",VLOOKUP(ventas_b_mes1255[[#This Row],[CUIT]],Lista_CUIT[#All],2,0)),"CUIT NO CARGADO")</f>
        <v>-</v>
      </c>
      <c r="H1383" s="100">
        <f>ventas_b_mes1255[[#This Row],[TOTAL]]/1.21</f>
        <v>0</v>
      </c>
      <c r="I1383" s="64">
        <f>ventas_b_mes1255[[#This Row],[IMPORTE NETO]]*0.21</f>
        <v>0</v>
      </c>
      <c r="J1383" s="184"/>
      <c r="K1383" s="184"/>
      <c r="L1383" s="184"/>
      <c r="M1383" s="59"/>
    </row>
    <row r="1384" spans="2:13" x14ac:dyDescent="0.3">
      <c r="B1384" s="178"/>
      <c r="C1384" s="41"/>
      <c r="D1384" s="180"/>
      <c r="E1384" s="181"/>
      <c r="F1384" s="182"/>
      <c r="G1384" s="1" t="str">
        <f>IFERROR(IF(ventas_b_mes1255[[#This Row],[CUIT]]="","-",VLOOKUP(ventas_b_mes1255[[#This Row],[CUIT]],Lista_CUIT[#All],2,0)),"CUIT NO CARGADO")</f>
        <v>-</v>
      </c>
      <c r="H1384" s="100">
        <f>ventas_b_mes1255[[#This Row],[TOTAL]]/1.21</f>
        <v>0</v>
      </c>
      <c r="I1384" s="64">
        <f>ventas_b_mes1255[[#This Row],[IMPORTE NETO]]*0.21</f>
        <v>0</v>
      </c>
      <c r="J1384" s="184"/>
      <c r="K1384" s="184"/>
      <c r="L1384" s="184"/>
      <c r="M1384" s="59"/>
    </row>
    <row r="1385" spans="2:13" x14ac:dyDescent="0.3">
      <c r="B1385" s="178"/>
      <c r="C1385" s="41"/>
      <c r="D1385" s="180"/>
      <c r="E1385" s="181"/>
      <c r="F1385" s="182"/>
      <c r="G1385" s="1" t="str">
        <f>IFERROR(IF(ventas_b_mes1255[[#This Row],[CUIT]]="","-",VLOOKUP(ventas_b_mes1255[[#This Row],[CUIT]],Lista_CUIT[#All],2,0)),"CUIT NO CARGADO")</f>
        <v>-</v>
      </c>
      <c r="H1385" s="100">
        <f>ventas_b_mes1255[[#This Row],[TOTAL]]/1.21</f>
        <v>0</v>
      </c>
      <c r="I1385" s="64">
        <f>ventas_b_mes1255[[#This Row],[IMPORTE NETO]]*0.21</f>
        <v>0</v>
      </c>
      <c r="J1385" s="184"/>
      <c r="K1385" s="184"/>
      <c r="L1385" s="184"/>
      <c r="M1385" s="59"/>
    </row>
    <row r="1386" spans="2:13" x14ac:dyDescent="0.3">
      <c r="B1386" s="178"/>
      <c r="C1386" s="41"/>
      <c r="D1386" s="180"/>
      <c r="E1386" s="181"/>
      <c r="F1386" s="182"/>
      <c r="G1386" s="1" t="str">
        <f>IFERROR(IF(ventas_b_mes1255[[#This Row],[CUIT]]="","-",VLOOKUP(ventas_b_mes1255[[#This Row],[CUIT]],Lista_CUIT[#All],2,0)),"CUIT NO CARGADO")</f>
        <v>-</v>
      </c>
      <c r="H1386" s="100">
        <f>ventas_b_mes1255[[#This Row],[TOTAL]]/1.21</f>
        <v>0</v>
      </c>
      <c r="I1386" s="64">
        <f>ventas_b_mes1255[[#This Row],[IMPORTE NETO]]*0.21</f>
        <v>0</v>
      </c>
      <c r="J1386" s="184"/>
      <c r="K1386" s="184"/>
      <c r="L1386" s="184"/>
      <c r="M1386" s="59"/>
    </row>
    <row r="1387" spans="2:13" x14ac:dyDescent="0.3">
      <c r="B1387" s="178"/>
      <c r="C1387" s="41"/>
      <c r="D1387" s="180"/>
      <c r="E1387" s="181"/>
      <c r="F1387" s="182"/>
      <c r="G1387" s="1" t="str">
        <f>IFERROR(IF(ventas_b_mes1255[[#This Row],[CUIT]]="","-",VLOOKUP(ventas_b_mes1255[[#This Row],[CUIT]],Lista_CUIT[#All],2,0)),"CUIT NO CARGADO")</f>
        <v>-</v>
      </c>
      <c r="H1387" s="100">
        <f>ventas_b_mes1255[[#This Row],[TOTAL]]/1.21</f>
        <v>0</v>
      </c>
      <c r="I1387" s="64">
        <f>ventas_b_mes1255[[#This Row],[IMPORTE NETO]]*0.21</f>
        <v>0</v>
      </c>
      <c r="J1387" s="184"/>
      <c r="K1387" s="184"/>
      <c r="L1387" s="184"/>
      <c r="M1387" s="59"/>
    </row>
    <row r="1388" spans="2:13" x14ac:dyDescent="0.3">
      <c r="B1388" s="178"/>
      <c r="C1388" s="41"/>
      <c r="D1388" s="180"/>
      <c r="E1388" s="181"/>
      <c r="F1388" s="182"/>
      <c r="G1388" s="1" t="str">
        <f>IFERROR(IF(ventas_b_mes1255[[#This Row],[CUIT]]="","-",VLOOKUP(ventas_b_mes1255[[#This Row],[CUIT]],Lista_CUIT[#All],2,0)),"CUIT NO CARGADO")</f>
        <v>-</v>
      </c>
      <c r="H1388" s="100">
        <f>ventas_b_mes1255[[#This Row],[TOTAL]]/1.21</f>
        <v>0</v>
      </c>
      <c r="I1388" s="64">
        <f>ventas_b_mes1255[[#This Row],[IMPORTE NETO]]*0.21</f>
        <v>0</v>
      </c>
      <c r="J1388" s="184"/>
      <c r="K1388" s="184"/>
      <c r="L1388" s="184"/>
      <c r="M1388" s="59"/>
    </row>
    <row r="1389" spans="2:13" x14ac:dyDescent="0.3">
      <c r="B1389" s="178"/>
      <c r="C1389" s="41"/>
      <c r="D1389" s="180"/>
      <c r="E1389" s="181"/>
      <c r="F1389" s="182"/>
      <c r="G1389" s="1" t="str">
        <f>IFERROR(IF(ventas_b_mes1255[[#This Row],[CUIT]]="","-",VLOOKUP(ventas_b_mes1255[[#This Row],[CUIT]],Lista_CUIT[#All],2,0)),"CUIT NO CARGADO")</f>
        <v>-</v>
      </c>
      <c r="H1389" s="100">
        <f>ventas_b_mes1255[[#This Row],[TOTAL]]/1.21</f>
        <v>0</v>
      </c>
      <c r="I1389" s="64">
        <f>ventas_b_mes1255[[#This Row],[IMPORTE NETO]]*0.21</f>
        <v>0</v>
      </c>
      <c r="J1389" s="184"/>
      <c r="K1389" s="184"/>
      <c r="L1389" s="184"/>
      <c r="M1389" s="59"/>
    </row>
    <row r="1390" spans="2:13" x14ac:dyDescent="0.3">
      <c r="B1390" s="178"/>
      <c r="C1390" s="41"/>
      <c r="D1390" s="180"/>
      <c r="E1390" s="181"/>
      <c r="F1390" s="182"/>
      <c r="G1390" s="1" t="str">
        <f>IFERROR(IF(ventas_b_mes1255[[#This Row],[CUIT]]="","-",VLOOKUP(ventas_b_mes1255[[#This Row],[CUIT]],Lista_CUIT[#All],2,0)),"CUIT NO CARGADO")</f>
        <v>-</v>
      </c>
      <c r="H1390" s="100">
        <f>ventas_b_mes1255[[#This Row],[TOTAL]]/1.21</f>
        <v>0</v>
      </c>
      <c r="I1390" s="64">
        <f>ventas_b_mes1255[[#This Row],[IMPORTE NETO]]*0.21</f>
        <v>0</v>
      </c>
      <c r="J1390" s="184"/>
      <c r="K1390" s="184"/>
      <c r="L1390" s="184"/>
      <c r="M1390" s="59"/>
    </row>
    <row r="1391" spans="2:13" x14ac:dyDescent="0.3">
      <c r="B1391" s="178"/>
      <c r="C1391" s="41"/>
      <c r="D1391" s="180"/>
      <c r="E1391" s="181"/>
      <c r="F1391" s="182"/>
      <c r="G1391" s="1" t="str">
        <f>IFERROR(IF(ventas_b_mes1255[[#This Row],[CUIT]]="","-",VLOOKUP(ventas_b_mes1255[[#This Row],[CUIT]],Lista_CUIT[#All],2,0)),"CUIT NO CARGADO")</f>
        <v>-</v>
      </c>
      <c r="H1391" s="100">
        <f>ventas_b_mes1255[[#This Row],[TOTAL]]/1.21</f>
        <v>0</v>
      </c>
      <c r="I1391" s="64">
        <f>ventas_b_mes1255[[#This Row],[IMPORTE NETO]]*0.21</f>
        <v>0</v>
      </c>
      <c r="J1391" s="184"/>
      <c r="K1391" s="184"/>
      <c r="L1391" s="184"/>
      <c r="M1391" s="59"/>
    </row>
    <row r="1392" spans="2:13" x14ac:dyDescent="0.3">
      <c r="B1392" s="178"/>
      <c r="C1392" s="41"/>
      <c r="D1392" s="180"/>
      <c r="E1392" s="181"/>
      <c r="F1392" s="182"/>
      <c r="G1392" s="1" t="str">
        <f>IFERROR(IF(ventas_b_mes1255[[#This Row],[CUIT]]="","-",VLOOKUP(ventas_b_mes1255[[#This Row],[CUIT]],Lista_CUIT[#All],2,0)),"CUIT NO CARGADO")</f>
        <v>-</v>
      </c>
      <c r="H1392" s="100">
        <f>ventas_b_mes1255[[#This Row],[TOTAL]]/1.21</f>
        <v>0</v>
      </c>
      <c r="I1392" s="64">
        <f>ventas_b_mes1255[[#This Row],[IMPORTE NETO]]*0.21</f>
        <v>0</v>
      </c>
      <c r="J1392" s="184"/>
      <c r="K1392" s="184"/>
      <c r="L1392" s="184"/>
      <c r="M1392" s="59"/>
    </row>
    <row r="1393" spans="2:13" x14ac:dyDescent="0.3">
      <c r="B1393" s="178"/>
      <c r="C1393" s="41"/>
      <c r="D1393" s="180"/>
      <c r="E1393" s="181"/>
      <c r="F1393" s="182"/>
      <c r="G1393" s="1" t="str">
        <f>IFERROR(IF(ventas_b_mes1255[[#This Row],[CUIT]]="","-",VLOOKUP(ventas_b_mes1255[[#This Row],[CUIT]],Lista_CUIT[#All],2,0)),"CUIT NO CARGADO")</f>
        <v>-</v>
      </c>
      <c r="H1393" s="100">
        <f>ventas_b_mes1255[[#This Row],[TOTAL]]/1.21</f>
        <v>0</v>
      </c>
      <c r="I1393" s="64">
        <f>ventas_b_mes1255[[#This Row],[IMPORTE NETO]]*0.21</f>
        <v>0</v>
      </c>
      <c r="J1393" s="184"/>
      <c r="K1393" s="184"/>
      <c r="L1393" s="184"/>
      <c r="M1393" s="59"/>
    </row>
    <row r="1394" spans="2:13" x14ac:dyDescent="0.3">
      <c r="B1394" s="178"/>
      <c r="C1394" s="41"/>
      <c r="D1394" s="180"/>
      <c r="E1394" s="181"/>
      <c r="F1394" s="182"/>
      <c r="G1394" s="1" t="str">
        <f>IFERROR(IF(ventas_b_mes1255[[#This Row],[CUIT]]="","-",VLOOKUP(ventas_b_mes1255[[#This Row],[CUIT]],Lista_CUIT[#All],2,0)),"CUIT NO CARGADO")</f>
        <v>-</v>
      </c>
      <c r="H1394" s="100">
        <f>ventas_b_mes1255[[#This Row],[TOTAL]]/1.21</f>
        <v>0</v>
      </c>
      <c r="I1394" s="64">
        <f>ventas_b_mes1255[[#This Row],[IMPORTE NETO]]*0.21</f>
        <v>0</v>
      </c>
      <c r="J1394" s="184"/>
      <c r="K1394" s="184"/>
      <c r="L1394" s="184"/>
      <c r="M1394" s="59"/>
    </row>
    <row r="1395" spans="2:13" x14ac:dyDescent="0.3">
      <c r="B1395" s="178"/>
      <c r="C1395" s="41"/>
      <c r="D1395" s="180"/>
      <c r="E1395" s="181"/>
      <c r="F1395" s="182"/>
      <c r="G1395" s="1" t="str">
        <f>IFERROR(IF(ventas_b_mes1255[[#This Row],[CUIT]]="","-",VLOOKUP(ventas_b_mes1255[[#This Row],[CUIT]],Lista_CUIT[#All],2,0)),"CUIT NO CARGADO")</f>
        <v>-</v>
      </c>
      <c r="H1395" s="100">
        <f>ventas_b_mes1255[[#This Row],[TOTAL]]/1.21</f>
        <v>0</v>
      </c>
      <c r="I1395" s="64">
        <f>ventas_b_mes1255[[#This Row],[IMPORTE NETO]]*0.21</f>
        <v>0</v>
      </c>
      <c r="J1395" s="184"/>
      <c r="K1395" s="184"/>
      <c r="L1395" s="184"/>
      <c r="M1395" s="59"/>
    </row>
    <row r="1396" spans="2:13" x14ac:dyDescent="0.3">
      <c r="B1396" s="178"/>
      <c r="C1396" s="41"/>
      <c r="D1396" s="180"/>
      <c r="E1396" s="181"/>
      <c r="F1396" s="182"/>
      <c r="G1396" s="1" t="str">
        <f>IFERROR(IF(ventas_b_mes1255[[#This Row],[CUIT]]="","-",VLOOKUP(ventas_b_mes1255[[#This Row],[CUIT]],Lista_CUIT[#All],2,0)),"CUIT NO CARGADO")</f>
        <v>-</v>
      </c>
      <c r="H1396" s="100">
        <f>ventas_b_mes1255[[#This Row],[TOTAL]]/1.21</f>
        <v>0</v>
      </c>
      <c r="I1396" s="64">
        <f>ventas_b_mes1255[[#This Row],[IMPORTE NETO]]*0.21</f>
        <v>0</v>
      </c>
      <c r="J1396" s="184"/>
      <c r="K1396" s="184"/>
      <c r="L1396" s="184"/>
      <c r="M1396" s="59"/>
    </row>
    <row r="1397" spans="2:13" x14ac:dyDescent="0.3">
      <c r="B1397" s="178"/>
      <c r="C1397" s="41"/>
      <c r="D1397" s="180"/>
      <c r="E1397" s="181"/>
      <c r="F1397" s="182"/>
      <c r="G1397" s="1" t="str">
        <f>IFERROR(IF(ventas_b_mes1255[[#This Row],[CUIT]]="","-",VLOOKUP(ventas_b_mes1255[[#This Row],[CUIT]],Lista_CUIT[#All],2,0)),"CUIT NO CARGADO")</f>
        <v>-</v>
      </c>
      <c r="H1397" s="100">
        <f>ventas_b_mes1255[[#This Row],[TOTAL]]/1.21</f>
        <v>0</v>
      </c>
      <c r="I1397" s="64">
        <f>ventas_b_mes1255[[#This Row],[IMPORTE NETO]]*0.21</f>
        <v>0</v>
      </c>
      <c r="J1397" s="184"/>
      <c r="K1397" s="184"/>
      <c r="L1397" s="184"/>
      <c r="M1397" s="59"/>
    </row>
    <row r="1398" spans="2:13" x14ac:dyDescent="0.3">
      <c r="B1398" s="178"/>
      <c r="C1398" s="41"/>
      <c r="D1398" s="180"/>
      <c r="E1398" s="181"/>
      <c r="F1398" s="182"/>
      <c r="G1398" s="1" t="str">
        <f>IFERROR(IF(ventas_b_mes1255[[#This Row],[CUIT]]="","-",VLOOKUP(ventas_b_mes1255[[#This Row],[CUIT]],Lista_CUIT[#All],2,0)),"CUIT NO CARGADO")</f>
        <v>-</v>
      </c>
      <c r="H1398" s="100">
        <f>ventas_b_mes1255[[#This Row],[TOTAL]]/1.21</f>
        <v>0</v>
      </c>
      <c r="I1398" s="64">
        <f>ventas_b_mes1255[[#This Row],[IMPORTE NETO]]*0.21</f>
        <v>0</v>
      </c>
      <c r="J1398" s="184"/>
      <c r="K1398" s="184"/>
      <c r="L1398" s="184"/>
      <c r="M1398" s="59"/>
    </row>
    <row r="1399" spans="2:13" x14ac:dyDescent="0.3">
      <c r="B1399" s="178"/>
      <c r="C1399" s="41"/>
      <c r="D1399" s="180"/>
      <c r="E1399" s="181"/>
      <c r="F1399" s="182"/>
      <c r="G1399" s="1" t="str">
        <f>IFERROR(IF(ventas_b_mes1255[[#This Row],[CUIT]]="","-",VLOOKUP(ventas_b_mes1255[[#This Row],[CUIT]],Lista_CUIT[#All],2,0)),"CUIT NO CARGADO")</f>
        <v>-</v>
      </c>
      <c r="H1399" s="100">
        <f>ventas_b_mes1255[[#This Row],[TOTAL]]/1.21</f>
        <v>0</v>
      </c>
      <c r="I1399" s="64">
        <f>ventas_b_mes1255[[#This Row],[IMPORTE NETO]]*0.21</f>
        <v>0</v>
      </c>
      <c r="J1399" s="184"/>
      <c r="K1399" s="184"/>
      <c r="L1399" s="184"/>
      <c r="M1399" s="59"/>
    </row>
    <row r="1400" spans="2:13" x14ac:dyDescent="0.3">
      <c r="B1400" s="178"/>
      <c r="C1400" s="41"/>
      <c r="D1400" s="180"/>
      <c r="E1400" s="181"/>
      <c r="F1400" s="182"/>
      <c r="G1400" s="1" t="str">
        <f>IFERROR(IF(ventas_b_mes1255[[#This Row],[CUIT]]="","-",VLOOKUP(ventas_b_mes1255[[#This Row],[CUIT]],Lista_CUIT[#All],2,0)),"CUIT NO CARGADO")</f>
        <v>-</v>
      </c>
      <c r="H1400" s="100">
        <f>ventas_b_mes1255[[#This Row],[TOTAL]]/1.21</f>
        <v>0</v>
      </c>
      <c r="I1400" s="64">
        <f>ventas_b_mes1255[[#This Row],[IMPORTE NETO]]*0.21</f>
        <v>0</v>
      </c>
      <c r="J1400" s="184"/>
      <c r="K1400" s="184"/>
      <c r="L1400" s="184"/>
      <c r="M1400" s="59"/>
    </row>
    <row r="1401" spans="2:13" x14ac:dyDescent="0.3">
      <c r="B1401" s="178"/>
      <c r="C1401" s="41"/>
      <c r="D1401" s="180"/>
      <c r="E1401" s="181"/>
      <c r="F1401" s="182"/>
      <c r="G1401" s="1" t="str">
        <f>IFERROR(IF(ventas_b_mes1255[[#This Row],[CUIT]]="","-",VLOOKUP(ventas_b_mes1255[[#This Row],[CUIT]],Lista_CUIT[#All],2,0)),"CUIT NO CARGADO")</f>
        <v>-</v>
      </c>
      <c r="H1401" s="100">
        <f>ventas_b_mes1255[[#This Row],[TOTAL]]/1.21</f>
        <v>0</v>
      </c>
      <c r="I1401" s="64">
        <f>ventas_b_mes1255[[#This Row],[IMPORTE NETO]]*0.21</f>
        <v>0</v>
      </c>
      <c r="J1401" s="184"/>
      <c r="K1401" s="184"/>
      <c r="L1401" s="184"/>
      <c r="M1401" s="59"/>
    </row>
    <row r="1402" spans="2:13" x14ac:dyDescent="0.3">
      <c r="B1402" s="178"/>
      <c r="C1402" s="41"/>
      <c r="D1402" s="180"/>
      <c r="E1402" s="181"/>
      <c r="F1402" s="182"/>
      <c r="G1402" s="1" t="str">
        <f>IFERROR(IF(ventas_b_mes1255[[#This Row],[CUIT]]="","-",VLOOKUP(ventas_b_mes1255[[#This Row],[CUIT]],Lista_CUIT[#All],2,0)),"CUIT NO CARGADO")</f>
        <v>-</v>
      </c>
      <c r="H1402" s="100">
        <f>ventas_b_mes1255[[#This Row],[TOTAL]]/1.21</f>
        <v>0</v>
      </c>
      <c r="I1402" s="64">
        <f>ventas_b_mes1255[[#This Row],[IMPORTE NETO]]*0.21</f>
        <v>0</v>
      </c>
      <c r="J1402" s="184"/>
      <c r="K1402" s="184"/>
      <c r="L1402" s="184"/>
      <c r="M1402" s="59"/>
    </row>
    <row r="1403" spans="2:13" x14ac:dyDescent="0.3">
      <c r="B1403" s="178"/>
      <c r="C1403" s="41"/>
      <c r="D1403" s="180"/>
      <c r="E1403" s="181"/>
      <c r="F1403" s="182"/>
      <c r="G1403" s="1" t="str">
        <f>IFERROR(IF(ventas_b_mes1255[[#This Row],[CUIT]]="","-",VLOOKUP(ventas_b_mes1255[[#This Row],[CUIT]],Lista_CUIT[#All],2,0)),"CUIT NO CARGADO")</f>
        <v>-</v>
      </c>
      <c r="H1403" s="100">
        <f>ventas_b_mes1255[[#This Row],[TOTAL]]/1.21</f>
        <v>0</v>
      </c>
      <c r="I1403" s="64">
        <f>ventas_b_mes1255[[#This Row],[IMPORTE NETO]]*0.21</f>
        <v>0</v>
      </c>
      <c r="J1403" s="184"/>
      <c r="K1403" s="184"/>
      <c r="L1403" s="184"/>
      <c r="M1403" s="59"/>
    </row>
    <row r="1404" spans="2:13" x14ac:dyDescent="0.3">
      <c r="B1404" s="178"/>
      <c r="C1404" s="41"/>
      <c r="D1404" s="180"/>
      <c r="E1404" s="181"/>
      <c r="F1404" s="182"/>
      <c r="G1404" s="1" t="str">
        <f>IFERROR(IF(ventas_b_mes1255[[#This Row],[CUIT]]="","-",VLOOKUP(ventas_b_mes1255[[#This Row],[CUIT]],Lista_CUIT[#All],2,0)),"CUIT NO CARGADO")</f>
        <v>-</v>
      </c>
      <c r="H1404" s="100">
        <f>ventas_b_mes1255[[#This Row],[TOTAL]]/1.21</f>
        <v>0</v>
      </c>
      <c r="I1404" s="64">
        <f>ventas_b_mes1255[[#This Row],[IMPORTE NETO]]*0.21</f>
        <v>0</v>
      </c>
      <c r="J1404" s="184"/>
      <c r="K1404" s="184"/>
      <c r="L1404" s="184"/>
      <c r="M1404" s="59"/>
    </row>
    <row r="1405" spans="2:13" x14ac:dyDescent="0.3">
      <c r="B1405" s="178"/>
      <c r="C1405" s="41"/>
      <c r="D1405" s="180"/>
      <c r="E1405" s="181"/>
      <c r="F1405" s="182"/>
      <c r="G1405" s="1" t="str">
        <f>IFERROR(IF(ventas_b_mes1255[[#This Row],[CUIT]]="","-",VLOOKUP(ventas_b_mes1255[[#This Row],[CUIT]],Lista_CUIT[#All],2,0)),"CUIT NO CARGADO")</f>
        <v>-</v>
      </c>
      <c r="H1405" s="100">
        <f>ventas_b_mes1255[[#This Row],[TOTAL]]/1.21</f>
        <v>0</v>
      </c>
      <c r="I1405" s="64">
        <f>ventas_b_mes1255[[#This Row],[IMPORTE NETO]]*0.21</f>
        <v>0</v>
      </c>
      <c r="J1405" s="184"/>
      <c r="K1405" s="184"/>
      <c r="L1405" s="184"/>
      <c r="M1405" s="59"/>
    </row>
    <row r="1406" spans="2:13" x14ac:dyDescent="0.3">
      <c r="B1406" s="178"/>
      <c r="C1406" s="41"/>
      <c r="D1406" s="180"/>
      <c r="E1406" s="181"/>
      <c r="F1406" s="182"/>
      <c r="G1406" s="1" t="str">
        <f>IFERROR(IF(ventas_b_mes1255[[#This Row],[CUIT]]="","-",VLOOKUP(ventas_b_mes1255[[#This Row],[CUIT]],Lista_CUIT[#All],2,0)),"CUIT NO CARGADO")</f>
        <v>-</v>
      </c>
      <c r="H1406" s="100">
        <f>ventas_b_mes1255[[#This Row],[TOTAL]]/1.21</f>
        <v>0</v>
      </c>
      <c r="I1406" s="64">
        <f>ventas_b_mes1255[[#This Row],[IMPORTE NETO]]*0.21</f>
        <v>0</v>
      </c>
      <c r="J1406" s="184"/>
      <c r="K1406" s="184"/>
      <c r="L1406" s="184"/>
      <c r="M1406" s="59"/>
    </row>
    <row r="1407" spans="2:13" x14ac:dyDescent="0.3">
      <c r="B1407" s="178"/>
      <c r="C1407" s="41"/>
      <c r="D1407" s="180"/>
      <c r="E1407" s="181"/>
      <c r="F1407" s="182"/>
      <c r="G1407" s="1" t="str">
        <f>IFERROR(IF(ventas_b_mes1255[[#This Row],[CUIT]]="","-",VLOOKUP(ventas_b_mes1255[[#This Row],[CUIT]],Lista_CUIT[#All],2,0)),"CUIT NO CARGADO")</f>
        <v>-</v>
      </c>
      <c r="H1407" s="100">
        <f>ventas_b_mes1255[[#This Row],[TOTAL]]/1.21</f>
        <v>0</v>
      </c>
      <c r="I1407" s="64">
        <f>ventas_b_mes1255[[#This Row],[IMPORTE NETO]]*0.21</f>
        <v>0</v>
      </c>
      <c r="J1407" s="184"/>
      <c r="K1407" s="184"/>
      <c r="L1407" s="184"/>
      <c r="M1407" s="59"/>
    </row>
    <row r="1408" spans="2:13" x14ac:dyDescent="0.3">
      <c r="B1408" s="178"/>
      <c r="C1408" s="41"/>
      <c r="D1408" s="180"/>
      <c r="E1408" s="181"/>
      <c r="F1408" s="182"/>
      <c r="G1408" s="1" t="str">
        <f>IFERROR(IF(ventas_b_mes1255[[#This Row],[CUIT]]="","-",VLOOKUP(ventas_b_mes1255[[#This Row],[CUIT]],Lista_CUIT[#All],2,0)),"CUIT NO CARGADO")</f>
        <v>-</v>
      </c>
      <c r="H1408" s="100">
        <f>ventas_b_mes1255[[#This Row],[TOTAL]]/1.21</f>
        <v>0</v>
      </c>
      <c r="I1408" s="64">
        <f>ventas_b_mes1255[[#This Row],[IMPORTE NETO]]*0.21</f>
        <v>0</v>
      </c>
      <c r="J1408" s="184"/>
      <c r="K1408" s="184"/>
      <c r="L1408" s="184"/>
      <c r="M1408" s="59"/>
    </row>
    <row r="1409" spans="2:13" x14ac:dyDescent="0.3">
      <c r="B1409" s="178"/>
      <c r="C1409" s="41"/>
      <c r="D1409" s="180"/>
      <c r="E1409" s="181"/>
      <c r="F1409" s="182"/>
      <c r="G1409" s="1" t="str">
        <f>IFERROR(IF(ventas_b_mes1255[[#This Row],[CUIT]]="","-",VLOOKUP(ventas_b_mes1255[[#This Row],[CUIT]],Lista_CUIT[#All],2,0)),"CUIT NO CARGADO")</f>
        <v>-</v>
      </c>
      <c r="H1409" s="100">
        <f>ventas_b_mes1255[[#This Row],[TOTAL]]/1.21</f>
        <v>0</v>
      </c>
      <c r="I1409" s="64">
        <f>ventas_b_mes1255[[#This Row],[IMPORTE NETO]]*0.21</f>
        <v>0</v>
      </c>
      <c r="J1409" s="184"/>
      <c r="K1409" s="184"/>
      <c r="L1409" s="184"/>
      <c r="M1409" s="59"/>
    </row>
    <row r="1410" spans="2:13" x14ac:dyDescent="0.3">
      <c r="B1410" s="178"/>
      <c r="C1410" s="41"/>
      <c r="D1410" s="180"/>
      <c r="E1410" s="181"/>
      <c r="F1410" s="182"/>
      <c r="G1410" s="1" t="str">
        <f>IFERROR(IF(ventas_b_mes1255[[#This Row],[CUIT]]="","-",VLOOKUP(ventas_b_mes1255[[#This Row],[CUIT]],Lista_CUIT[#All],2,0)),"CUIT NO CARGADO")</f>
        <v>-</v>
      </c>
      <c r="H1410" s="100">
        <f>ventas_b_mes1255[[#This Row],[TOTAL]]/1.21</f>
        <v>0</v>
      </c>
      <c r="I1410" s="64">
        <f>ventas_b_mes1255[[#This Row],[IMPORTE NETO]]*0.21</f>
        <v>0</v>
      </c>
      <c r="J1410" s="184"/>
      <c r="K1410" s="184"/>
      <c r="L1410" s="184"/>
      <c r="M1410" s="59"/>
    </row>
    <row r="1411" spans="2:13" x14ac:dyDescent="0.3">
      <c r="B1411" s="178"/>
      <c r="C1411" s="41"/>
      <c r="D1411" s="180"/>
      <c r="E1411" s="181"/>
      <c r="F1411" s="182"/>
      <c r="G1411" s="1" t="str">
        <f>IFERROR(IF(ventas_b_mes1255[[#This Row],[CUIT]]="","-",VLOOKUP(ventas_b_mes1255[[#This Row],[CUIT]],Lista_CUIT[#All],2,0)),"CUIT NO CARGADO")</f>
        <v>-</v>
      </c>
      <c r="H1411" s="100">
        <f>ventas_b_mes1255[[#This Row],[TOTAL]]/1.21</f>
        <v>0</v>
      </c>
      <c r="I1411" s="64">
        <f>ventas_b_mes1255[[#This Row],[IMPORTE NETO]]*0.21</f>
        <v>0</v>
      </c>
      <c r="J1411" s="184"/>
      <c r="K1411" s="184"/>
      <c r="L1411" s="184"/>
      <c r="M1411" s="59"/>
    </row>
    <row r="1412" spans="2:13" x14ac:dyDescent="0.3">
      <c r="B1412" s="178"/>
      <c r="C1412" s="41"/>
      <c r="D1412" s="180"/>
      <c r="E1412" s="181"/>
      <c r="F1412" s="182"/>
      <c r="G1412" s="1" t="str">
        <f>IFERROR(IF(ventas_b_mes1255[[#This Row],[CUIT]]="","-",VLOOKUP(ventas_b_mes1255[[#This Row],[CUIT]],Lista_CUIT[#All],2,0)),"CUIT NO CARGADO")</f>
        <v>-</v>
      </c>
      <c r="H1412" s="100">
        <f>ventas_b_mes1255[[#This Row],[TOTAL]]/1.21</f>
        <v>0</v>
      </c>
      <c r="I1412" s="64">
        <f>ventas_b_mes1255[[#This Row],[IMPORTE NETO]]*0.21</f>
        <v>0</v>
      </c>
      <c r="J1412" s="184"/>
      <c r="K1412" s="184"/>
      <c r="L1412" s="184"/>
      <c r="M1412" s="59"/>
    </row>
    <row r="1413" spans="2:13" x14ac:dyDescent="0.3">
      <c r="B1413" s="178"/>
      <c r="C1413" s="41"/>
      <c r="D1413" s="180"/>
      <c r="E1413" s="181"/>
      <c r="F1413" s="182"/>
      <c r="G1413" s="1" t="str">
        <f>IFERROR(IF(ventas_b_mes1255[[#This Row],[CUIT]]="","-",VLOOKUP(ventas_b_mes1255[[#This Row],[CUIT]],Lista_CUIT[#All],2,0)),"CUIT NO CARGADO")</f>
        <v>-</v>
      </c>
      <c r="H1413" s="100">
        <f>ventas_b_mes1255[[#This Row],[TOTAL]]/1.21</f>
        <v>0</v>
      </c>
      <c r="I1413" s="64">
        <f>ventas_b_mes1255[[#This Row],[IMPORTE NETO]]*0.21</f>
        <v>0</v>
      </c>
      <c r="J1413" s="184"/>
      <c r="K1413" s="184"/>
      <c r="L1413" s="184"/>
      <c r="M1413" s="59"/>
    </row>
    <row r="1414" spans="2:13" x14ac:dyDescent="0.3">
      <c r="B1414" s="178"/>
      <c r="C1414" s="41"/>
      <c r="D1414" s="180"/>
      <c r="E1414" s="181"/>
      <c r="F1414" s="182"/>
      <c r="G1414" s="1" t="str">
        <f>IFERROR(IF(ventas_b_mes1255[[#This Row],[CUIT]]="","-",VLOOKUP(ventas_b_mes1255[[#This Row],[CUIT]],Lista_CUIT[#All],2,0)),"CUIT NO CARGADO")</f>
        <v>-</v>
      </c>
      <c r="H1414" s="100">
        <f>ventas_b_mes1255[[#This Row],[TOTAL]]/1.21</f>
        <v>0</v>
      </c>
      <c r="I1414" s="64">
        <f>ventas_b_mes1255[[#This Row],[IMPORTE NETO]]*0.21</f>
        <v>0</v>
      </c>
      <c r="J1414" s="184"/>
      <c r="K1414" s="184"/>
      <c r="L1414" s="184"/>
      <c r="M1414" s="59"/>
    </row>
    <row r="1415" spans="2:13" x14ac:dyDescent="0.3">
      <c r="B1415" s="178"/>
      <c r="C1415" s="41"/>
      <c r="D1415" s="180"/>
      <c r="E1415" s="181"/>
      <c r="F1415" s="182"/>
      <c r="G1415" s="1" t="str">
        <f>IFERROR(IF(ventas_b_mes1255[[#This Row],[CUIT]]="","-",VLOOKUP(ventas_b_mes1255[[#This Row],[CUIT]],Lista_CUIT[#All],2,0)),"CUIT NO CARGADO")</f>
        <v>-</v>
      </c>
      <c r="H1415" s="100">
        <f>ventas_b_mes1255[[#This Row],[TOTAL]]/1.21</f>
        <v>0</v>
      </c>
      <c r="I1415" s="64">
        <f>ventas_b_mes1255[[#This Row],[IMPORTE NETO]]*0.21</f>
        <v>0</v>
      </c>
      <c r="J1415" s="184"/>
      <c r="K1415" s="184"/>
      <c r="L1415" s="184"/>
      <c r="M1415" s="59"/>
    </row>
    <row r="1416" spans="2:13" x14ac:dyDescent="0.3">
      <c r="B1416" s="178"/>
      <c r="C1416" s="41"/>
      <c r="D1416" s="180"/>
      <c r="E1416" s="181"/>
      <c r="F1416" s="182"/>
      <c r="G1416" s="1" t="str">
        <f>IFERROR(IF(ventas_b_mes1255[[#This Row],[CUIT]]="","-",VLOOKUP(ventas_b_mes1255[[#This Row],[CUIT]],Lista_CUIT[#All],2,0)),"CUIT NO CARGADO")</f>
        <v>-</v>
      </c>
      <c r="H1416" s="100">
        <f>ventas_b_mes1255[[#This Row],[TOTAL]]/1.21</f>
        <v>0</v>
      </c>
      <c r="I1416" s="64">
        <f>ventas_b_mes1255[[#This Row],[IMPORTE NETO]]*0.21</f>
        <v>0</v>
      </c>
      <c r="J1416" s="184"/>
      <c r="K1416" s="184"/>
      <c r="L1416" s="184"/>
      <c r="M1416" s="59"/>
    </row>
    <row r="1417" spans="2:13" x14ac:dyDescent="0.3">
      <c r="B1417" s="178"/>
      <c r="C1417" s="41"/>
      <c r="D1417" s="180"/>
      <c r="E1417" s="181"/>
      <c r="F1417" s="182"/>
      <c r="G1417" s="1" t="str">
        <f>IFERROR(IF(ventas_b_mes1255[[#This Row],[CUIT]]="","-",VLOOKUP(ventas_b_mes1255[[#This Row],[CUIT]],Lista_CUIT[#All],2,0)),"CUIT NO CARGADO")</f>
        <v>-</v>
      </c>
      <c r="H1417" s="100">
        <f>ventas_b_mes1255[[#This Row],[TOTAL]]/1.21</f>
        <v>0</v>
      </c>
      <c r="I1417" s="64">
        <f>ventas_b_mes1255[[#This Row],[IMPORTE NETO]]*0.21</f>
        <v>0</v>
      </c>
      <c r="J1417" s="184"/>
      <c r="K1417" s="184"/>
      <c r="L1417" s="184"/>
      <c r="M1417" s="59"/>
    </row>
    <row r="1418" spans="2:13" x14ac:dyDescent="0.3">
      <c r="B1418" s="178"/>
      <c r="C1418" s="41"/>
      <c r="D1418" s="180"/>
      <c r="E1418" s="181"/>
      <c r="F1418" s="182"/>
      <c r="G1418" s="1" t="str">
        <f>IFERROR(IF(ventas_b_mes1255[[#This Row],[CUIT]]="","-",VLOOKUP(ventas_b_mes1255[[#This Row],[CUIT]],Lista_CUIT[#All],2,0)),"CUIT NO CARGADO")</f>
        <v>-</v>
      </c>
      <c r="H1418" s="100">
        <f>ventas_b_mes1255[[#This Row],[TOTAL]]/1.21</f>
        <v>0</v>
      </c>
      <c r="I1418" s="64">
        <f>ventas_b_mes1255[[#This Row],[IMPORTE NETO]]*0.21</f>
        <v>0</v>
      </c>
      <c r="J1418" s="184"/>
      <c r="K1418" s="184"/>
      <c r="L1418" s="184"/>
      <c r="M1418" s="59"/>
    </row>
    <row r="1419" spans="2:13" x14ac:dyDescent="0.3">
      <c r="B1419" s="178"/>
      <c r="C1419" s="41"/>
      <c r="D1419" s="180"/>
      <c r="E1419" s="181"/>
      <c r="F1419" s="182"/>
      <c r="G1419" s="1" t="str">
        <f>IFERROR(IF(ventas_b_mes1255[[#This Row],[CUIT]]="","-",VLOOKUP(ventas_b_mes1255[[#This Row],[CUIT]],Lista_CUIT[#All],2,0)),"CUIT NO CARGADO")</f>
        <v>-</v>
      </c>
      <c r="H1419" s="100">
        <f>ventas_b_mes1255[[#This Row],[TOTAL]]/1.21</f>
        <v>0</v>
      </c>
      <c r="I1419" s="64">
        <f>ventas_b_mes1255[[#This Row],[IMPORTE NETO]]*0.21</f>
        <v>0</v>
      </c>
      <c r="J1419" s="184"/>
      <c r="K1419" s="184"/>
      <c r="L1419" s="184"/>
      <c r="M1419" s="59"/>
    </row>
    <row r="1420" spans="2:13" x14ac:dyDescent="0.3">
      <c r="B1420" s="178"/>
      <c r="C1420" s="41"/>
      <c r="D1420" s="180"/>
      <c r="E1420" s="181"/>
      <c r="F1420" s="182"/>
      <c r="G1420" s="1" t="str">
        <f>IFERROR(IF(ventas_b_mes1255[[#This Row],[CUIT]]="","-",VLOOKUP(ventas_b_mes1255[[#This Row],[CUIT]],Lista_CUIT[#All],2,0)),"CUIT NO CARGADO")</f>
        <v>-</v>
      </c>
      <c r="H1420" s="100">
        <f>ventas_b_mes1255[[#This Row],[TOTAL]]/1.21</f>
        <v>0</v>
      </c>
      <c r="I1420" s="64">
        <f>ventas_b_mes1255[[#This Row],[IMPORTE NETO]]*0.21</f>
        <v>0</v>
      </c>
      <c r="J1420" s="184"/>
      <c r="K1420" s="184"/>
      <c r="L1420" s="184"/>
      <c r="M1420" s="59"/>
    </row>
    <row r="1421" spans="2:13" x14ac:dyDescent="0.3">
      <c r="B1421" s="178"/>
      <c r="C1421" s="41"/>
      <c r="D1421" s="180"/>
      <c r="E1421" s="181"/>
      <c r="F1421" s="182"/>
      <c r="G1421" s="1" t="str">
        <f>IFERROR(IF(ventas_b_mes1255[[#This Row],[CUIT]]="","-",VLOOKUP(ventas_b_mes1255[[#This Row],[CUIT]],Lista_CUIT[#All],2,0)),"CUIT NO CARGADO")</f>
        <v>-</v>
      </c>
      <c r="H1421" s="100">
        <f>ventas_b_mes1255[[#This Row],[TOTAL]]/1.21</f>
        <v>0</v>
      </c>
      <c r="I1421" s="64">
        <f>ventas_b_mes1255[[#This Row],[IMPORTE NETO]]*0.21</f>
        <v>0</v>
      </c>
      <c r="J1421" s="184"/>
      <c r="K1421" s="184"/>
      <c r="L1421" s="184"/>
      <c r="M1421" s="59"/>
    </row>
    <row r="1422" spans="2:13" x14ac:dyDescent="0.3">
      <c r="B1422" s="178"/>
      <c r="C1422" s="41"/>
      <c r="D1422" s="180"/>
      <c r="E1422" s="181"/>
      <c r="F1422" s="182"/>
      <c r="G1422" s="1" t="str">
        <f>IFERROR(IF(ventas_b_mes1255[[#This Row],[CUIT]]="","-",VLOOKUP(ventas_b_mes1255[[#This Row],[CUIT]],Lista_CUIT[#All],2,0)),"CUIT NO CARGADO")</f>
        <v>-</v>
      </c>
      <c r="H1422" s="100">
        <f>ventas_b_mes1255[[#This Row],[TOTAL]]/1.21</f>
        <v>0</v>
      </c>
      <c r="I1422" s="64">
        <f>ventas_b_mes1255[[#This Row],[IMPORTE NETO]]*0.21</f>
        <v>0</v>
      </c>
      <c r="J1422" s="184"/>
      <c r="K1422" s="184"/>
      <c r="L1422" s="184"/>
      <c r="M1422" s="59"/>
    </row>
    <row r="1423" spans="2:13" x14ac:dyDescent="0.3">
      <c r="B1423" s="178"/>
      <c r="C1423" s="41"/>
      <c r="D1423" s="180"/>
      <c r="E1423" s="181"/>
      <c r="F1423" s="182"/>
      <c r="G1423" s="1" t="str">
        <f>IFERROR(IF(ventas_b_mes1255[[#This Row],[CUIT]]="","-",VLOOKUP(ventas_b_mes1255[[#This Row],[CUIT]],Lista_CUIT[#All],2,0)),"CUIT NO CARGADO")</f>
        <v>-</v>
      </c>
      <c r="H1423" s="100">
        <f>ventas_b_mes1255[[#This Row],[TOTAL]]/1.21</f>
        <v>0</v>
      </c>
      <c r="I1423" s="64">
        <f>ventas_b_mes1255[[#This Row],[IMPORTE NETO]]*0.21</f>
        <v>0</v>
      </c>
      <c r="J1423" s="184"/>
      <c r="K1423" s="184"/>
      <c r="L1423" s="184"/>
      <c r="M1423" s="59"/>
    </row>
    <row r="1424" spans="2:13" x14ac:dyDescent="0.3">
      <c r="B1424" s="178"/>
      <c r="C1424" s="41"/>
      <c r="D1424" s="180"/>
      <c r="E1424" s="181"/>
      <c r="F1424" s="182"/>
      <c r="G1424" s="1" t="str">
        <f>IFERROR(IF(ventas_b_mes1255[[#This Row],[CUIT]]="","-",VLOOKUP(ventas_b_mes1255[[#This Row],[CUIT]],Lista_CUIT[#All],2,0)),"CUIT NO CARGADO")</f>
        <v>-</v>
      </c>
      <c r="H1424" s="100">
        <f>ventas_b_mes1255[[#This Row],[TOTAL]]/1.21</f>
        <v>0</v>
      </c>
      <c r="I1424" s="64">
        <f>ventas_b_mes1255[[#This Row],[IMPORTE NETO]]*0.21</f>
        <v>0</v>
      </c>
      <c r="J1424" s="184"/>
      <c r="K1424" s="184"/>
      <c r="L1424" s="184"/>
      <c r="M1424" s="59"/>
    </row>
    <row r="1425" spans="2:13" x14ac:dyDescent="0.3">
      <c r="B1425" s="178"/>
      <c r="C1425" s="41"/>
      <c r="D1425" s="180"/>
      <c r="E1425" s="181"/>
      <c r="F1425" s="182"/>
      <c r="G1425" s="1" t="str">
        <f>IFERROR(IF(ventas_b_mes1255[[#This Row],[CUIT]]="","-",VLOOKUP(ventas_b_mes1255[[#This Row],[CUIT]],Lista_CUIT[#All],2,0)),"CUIT NO CARGADO")</f>
        <v>-</v>
      </c>
      <c r="H1425" s="100">
        <f>ventas_b_mes1255[[#This Row],[TOTAL]]/1.21</f>
        <v>0</v>
      </c>
      <c r="I1425" s="64">
        <f>ventas_b_mes1255[[#This Row],[IMPORTE NETO]]*0.21</f>
        <v>0</v>
      </c>
      <c r="J1425" s="184"/>
      <c r="K1425" s="184"/>
      <c r="L1425" s="184"/>
      <c r="M1425" s="59"/>
    </row>
    <row r="1426" spans="2:13" x14ac:dyDescent="0.3">
      <c r="B1426" s="178"/>
      <c r="C1426" s="41"/>
      <c r="D1426" s="180"/>
      <c r="E1426" s="181"/>
      <c r="F1426" s="182"/>
      <c r="G1426" s="1" t="str">
        <f>IFERROR(IF(ventas_b_mes1255[[#This Row],[CUIT]]="","-",VLOOKUP(ventas_b_mes1255[[#This Row],[CUIT]],Lista_CUIT[#All],2,0)),"CUIT NO CARGADO")</f>
        <v>-</v>
      </c>
      <c r="H1426" s="100">
        <f>ventas_b_mes1255[[#This Row],[TOTAL]]/1.21</f>
        <v>0</v>
      </c>
      <c r="I1426" s="64">
        <f>ventas_b_mes1255[[#This Row],[IMPORTE NETO]]*0.21</f>
        <v>0</v>
      </c>
      <c r="J1426" s="184"/>
      <c r="K1426" s="184"/>
      <c r="L1426" s="184"/>
      <c r="M1426" s="59"/>
    </row>
    <row r="1427" spans="2:13" x14ac:dyDescent="0.3">
      <c r="B1427" s="178"/>
      <c r="C1427" s="41"/>
      <c r="D1427" s="180"/>
      <c r="E1427" s="181"/>
      <c r="F1427" s="182"/>
      <c r="G1427" s="1" t="str">
        <f>IFERROR(IF(ventas_b_mes1255[[#This Row],[CUIT]]="","-",VLOOKUP(ventas_b_mes1255[[#This Row],[CUIT]],Lista_CUIT[#All],2,0)),"CUIT NO CARGADO")</f>
        <v>-</v>
      </c>
      <c r="H1427" s="100">
        <f>ventas_b_mes1255[[#This Row],[TOTAL]]/1.21</f>
        <v>0</v>
      </c>
      <c r="I1427" s="64">
        <f>ventas_b_mes1255[[#This Row],[IMPORTE NETO]]*0.21</f>
        <v>0</v>
      </c>
      <c r="J1427" s="184"/>
      <c r="K1427" s="184"/>
      <c r="L1427" s="184"/>
      <c r="M1427" s="59"/>
    </row>
    <row r="1428" spans="2:13" x14ac:dyDescent="0.3">
      <c r="B1428" s="178"/>
      <c r="C1428" s="41"/>
      <c r="D1428" s="180"/>
      <c r="E1428" s="181"/>
      <c r="F1428" s="182"/>
      <c r="G1428" s="1" t="str">
        <f>IFERROR(IF(ventas_b_mes1255[[#This Row],[CUIT]]="","-",VLOOKUP(ventas_b_mes1255[[#This Row],[CUIT]],Lista_CUIT[#All],2,0)),"CUIT NO CARGADO")</f>
        <v>-</v>
      </c>
      <c r="H1428" s="100">
        <f>ventas_b_mes1255[[#This Row],[TOTAL]]/1.21</f>
        <v>0</v>
      </c>
      <c r="I1428" s="64">
        <f>ventas_b_mes1255[[#This Row],[IMPORTE NETO]]*0.21</f>
        <v>0</v>
      </c>
      <c r="J1428" s="184"/>
      <c r="K1428" s="184"/>
      <c r="L1428" s="184"/>
      <c r="M1428" s="59"/>
    </row>
    <row r="1429" spans="2:13" x14ac:dyDescent="0.3">
      <c r="B1429" s="178"/>
      <c r="C1429" s="41"/>
      <c r="D1429" s="180"/>
      <c r="E1429" s="181"/>
      <c r="F1429" s="182"/>
      <c r="G1429" s="1" t="str">
        <f>IFERROR(IF(ventas_b_mes1255[[#This Row],[CUIT]]="","-",VLOOKUP(ventas_b_mes1255[[#This Row],[CUIT]],Lista_CUIT[#All],2,0)),"CUIT NO CARGADO")</f>
        <v>-</v>
      </c>
      <c r="H1429" s="100">
        <f>ventas_b_mes1255[[#This Row],[TOTAL]]/1.21</f>
        <v>0</v>
      </c>
      <c r="I1429" s="64">
        <f>ventas_b_mes1255[[#This Row],[IMPORTE NETO]]*0.21</f>
        <v>0</v>
      </c>
      <c r="J1429" s="184"/>
      <c r="K1429" s="184"/>
      <c r="L1429" s="184"/>
      <c r="M1429" s="59"/>
    </row>
    <row r="1430" spans="2:13" x14ac:dyDescent="0.3">
      <c r="B1430" s="178"/>
      <c r="C1430" s="41"/>
      <c r="D1430" s="180"/>
      <c r="E1430" s="181"/>
      <c r="F1430" s="182"/>
      <c r="G1430" s="1" t="str">
        <f>IFERROR(IF(ventas_b_mes1255[[#This Row],[CUIT]]="","-",VLOOKUP(ventas_b_mes1255[[#This Row],[CUIT]],Lista_CUIT[#All],2,0)),"CUIT NO CARGADO")</f>
        <v>-</v>
      </c>
      <c r="H1430" s="100">
        <f>ventas_b_mes1255[[#This Row],[TOTAL]]/1.21</f>
        <v>0</v>
      </c>
      <c r="I1430" s="64">
        <f>ventas_b_mes1255[[#This Row],[IMPORTE NETO]]*0.21</f>
        <v>0</v>
      </c>
      <c r="J1430" s="184"/>
      <c r="K1430" s="184"/>
      <c r="L1430" s="184"/>
      <c r="M1430" s="59"/>
    </row>
    <row r="1431" spans="2:13" x14ac:dyDescent="0.3">
      <c r="B1431" s="178"/>
      <c r="C1431" s="41"/>
      <c r="D1431" s="180"/>
      <c r="E1431" s="181"/>
      <c r="F1431" s="182"/>
      <c r="G1431" s="1" t="str">
        <f>IFERROR(IF(ventas_b_mes1255[[#This Row],[CUIT]]="","-",VLOOKUP(ventas_b_mes1255[[#This Row],[CUIT]],Lista_CUIT[#All],2,0)),"CUIT NO CARGADO")</f>
        <v>-</v>
      </c>
      <c r="H1431" s="100">
        <f>ventas_b_mes1255[[#This Row],[TOTAL]]/1.21</f>
        <v>0</v>
      </c>
      <c r="I1431" s="64">
        <f>ventas_b_mes1255[[#This Row],[IMPORTE NETO]]*0.21</f>
        <v>0</v>
      </c>
      <c r="J1431" s="184"/>
      <c r="K1431" s="184"/>
      <c r="L1431" s="184"/>
      <c r="M1431" s="59"/>
    </row>
    <row r="1432" spans="2:13" x14ac:dyDescent="0.3">
      <c r="B1432" s="178"/>
      <c r="C1432" s="41"/>
      <c r="D1432" s="180"/>
      <c r="E1432" s="181"/>
      <c r="F1432" s="182"/>
      <c r="G1432" s="1" t="str">
        <f>IFERROR(IF(ventas_b_mes1255[[#This Row],[CUIT]]="","-",VLOOKUP(ventas_b_mes1255[[#This Row],[CUIT]],Lista_CUIT[#All],2,0)),"CUIT NO CARGADO")</f>
        <v>-</v>
      </c>
      <c r="H1432" s="100">
        <f>ventas_b_mes1255[[#This Row],[TOTAL]]/1.21</f>
        <v>0</v>
      </c>
      <c r="I1432" s="64">
        <f>ventas_b_mes1255[[#This Row],[IMPORTE NETO]]*0.21</f>
        <v>0</v>
      </c>
      <c r="J1432" s="184"/>
      <c r="K1432" s="184"/>
      <c r="L1432" s="184"/>
      <c r="M1432" s="59"/>
    </row>
    <row r="1433" spans="2:13" x14ac:dyDescent="0.3">
      <c r="B1433" s="178"/>
      <c r="C1433" s="41"/>
      <c r="D1433" s="180"/>
      <c r="E1433" s="181"/>
      <c r="F1433" s="182"/>
      <c r="G1433" s="1" t="str">
        <f>IFERROR(IF(ventas_b_mes1255[[#This Row],[CUIT]]="","-",VLOOKUP(ventas_b_mes1255[[#This Row],[CUIT]],Lista_CUIT[#All],2,0)),"CUIT NO CARGADO")</f>
        <v>-</v>
      </c>
      <c r="H1433" s="100">
        <f>ventas_b_mes1255[[#This Row],[TOTAL]]/1.21</f>
        <v>0</v>
      </c>
      <c r="I1433" s="64">
        <f>ventas_b_mes1255[[#This Row],[IMPORTE NETO]]*0.21</f>
        <v>0</v>
      </c>
      <c r="J1433" s="184"/>
      <c r="K1433" s="184"/>
      <c r="L1433" s="184"/>
      <c r="M1433" s="59"/>
    </row>
    <row r="1434" spans="2:13" x14ac:dyDescent="0.3">
      <c r="B1434" s="178"/>
      <c r="C1434" s="41"/>
      <c r="D1434" s="180"/>
      <c r="E1434" s="181"/>
      <c r="F1434" s="182"/>
      <c r="G1434" s="1" t="str">
        <f>IFERROR(IF(ventas_b_mes1255[[#This Row],[CUIT]]="","-",VLOOKUP(ventas_b_mes1255[[#This Row],[CUIT]],Lista_CUIT[#All],2,0)),"CUIT NO CARGADO")</f>
        <v>-</v>
      </c>
      <c r="H1434" s="100">
        <f>ventas_b_mes1255[[#This Row],[TOTAL]]/1.21</f>
        <v>0</v>
      </c>
      <c r="I1434" s="64">
        <f>ventas_b_mes1255[[#This Row],[IMPORTE NETO]]*0.21</f>
        <v>0</v>
      </c>
      <c r="J1434" s="184"/>
      <c r="K1434" s="184"/>
      <c r="L1434" s="184"/>
      <c r="M1434" s="59"/>
    </row>
    <row r="1435" spans="2:13" x14ac:dyDescent="0.3">
      <c r="B1435" s="178"/>
      <c r="C1435" s="41"/>
      <c r="D1435" s="180"/>
      <c r="E1435" s="181"/>
      <c r="F1435" s="182"/>
      <c r="G1435" s="1" t="str">
        <f>IFERROR(IF(ventas_b_mes1255[[#This Row],[CUIT]]="","-",VLOOKUP(ventas_b_mes1255[[#This Row],[CUIT]],Lista_CUIT[#All],2,0)),"CUIT NO CARGADO")</f>
        <v>-</v>
      </c>
      <c r="H1435" s="100">
        <f>ventas_b_mes1255[[#This Row],[TOTAL]]/1.21</f>
        <v>0</v>
      </c>
      <c r="I1435" s="64">
        <f>ventas_b_mes1255[[#This Row],[IMPORTE NETO]]*0.21</f>
        <v>0</v>
      </c>
      <c r="J1435" s="184"/>
      <c r="K1435" s="184"/>
      <c r="L1435" s="184"/>
      <c r="M1435" s="59"/>
    </row>
    <row r="1436" spans="2:13" x14ac:dyDescent="0.3">
      <c r="B1436" s="178"/>
      <c r="C1436" s="41"/>
      <c r="D1436" s="180"/>
      <c r="E1436" s="181"/>
      <c r="F1436" s="182"/>
      <c r="G1436" s="1" t="str">
        <f>IFERROR(IF(ventas_b_mes1255[[#This Row],[CUIT]]="","-",VLOOKUP(ventas_b_mes1255[[#This Row],[CUIT]],Lista_CUIT[#All],2,0)),"CUIT NO CARGADO")</f>
        <v>-</v>
      </c>
      <c r="H1436" s="100">
        <f>ventas_b_mes1255[[#This Row],[TOTAL]]/1.21</f>
        <v>0</v>
      </c>
      <c r="I1436" s="64">
        <f>ventas_b_mes1255[[#This Row],[IMPORTE NETO]]*0.21</f>
        <v>0</v>
      </c>
      <c r="J1436" s="184"/>
      <c r="K1436" s="184"/>
      <c r="L1436" s="184"/>
      <c r="M1436" s="59"/>
    </row>
    <row r="1437" spans="2:13" x14ac:dyDescent="0.3">
      <c r="B1437" s="178"/>
      <c r="C1437" s="41"/>
      <c r="D1437" s="180"/>
      <c r="E1437" s="181"/>
      <c r="F1437" s="182"/>
      <c r="G1437" s="1" t="str">
        <f>IFERROR(IF(ventas_b_mes1255[[#This Row],[CUIT]]="","-",VLOOKUP(ventas_b_mes1255[[#This Row],[CUIT]],Lista_CUIT[#All],2,0)),"CUIT NO CARGADO")</f>
        <v>-</v>
      </c>
      <c r="H1437" s="100">
        <f>ventas_b_mes1255[[#This Row],[TOTAL]]/1.21</f>
        <v>0</v>
      </c>
      <c r="I1437" s="64">
        <f>ventas_b_mes1255[[#This Row],[IMPORTE NETO]]*0.21</f>
        <v>0</v>
      </c>
      <c r="J1437" s="184"/>
      <c r="K1437" s="184"/>
      <c r="L1437" s="184"/>
      <c r="M1437" s="59"/>
    </row>
    <row r="1438" spans="2:13" x14ac:dyDescent="0.3">
      <c r="B1438" s="178"/>
      <c r="C1438" s="41"/>
      <c r="D1438" s="180"/>
      <c r="E1438" s="181"/>
      <c r="F1438" s="182"/>
      <c r="G1438" s="1" t="str">
        <f>IFERROR(IF(ventas_b_mes1255[[#This Row],[CUIT]]="","-",VLOOKUP(ventas_b_mes1255[[#This Row],[CUIT]],Lista_CUIT[#All],2,0)),"CUIT NO CARGADO")</f>
        <v>-</v>
      </c>
      <c r="H1438" s="100">
        <f>ventas_b_mes1255[[#This Row],[TOTAL]]/1.21</f>
        <v>0</v>
      </c>
      <c r="I1438" s="64">
        <f>ventas_b_mes1255[[#This Row],[IMPORTE NETO]]*0.21</f>
        <v>0</v>
      </c>
      <c r="J1438" s="184"/>
      <c r="K1438" s="184"/>
      <c r="L1438" s="184"/>
      <c r="M1438" s="59"/>
    </row>
    <row r="1439" spans="2:13" x14ac:dyDescent="0.3">
      <c r="B1439" s="178"/>
      <c r="C1439" s="41"/>
      <c r="D1439" s="180"/>
      <c r="E1439" s="181"/>
      <c r="F1439" s="182"/>
      <c r="G1439" s="1" t="str">
        <f>IFERROR(IF(ventas_b_mes1255[[#This Row],[CUIT]]="","-",VLOOKUP(ventas_b_mes1255[[#This Row],[CUIT]],Lista_CUIT[#All],2,0)),"CUIT NO CARGADO")</f>
        <v>-</v>
      </c>
      <c r="H1439" s="100">
        <f>ventas_b_mes1255[[#This Row],[TOTAL]]/1.21</f>
        <v>0</v>
      </c>
      <c r="I1439" s="64">
        <f>ventas_b_mes1255[[#This Row],[IMPORTE NETO]]*0.21</f>
        <v>0</v>
      </c>
      <c r="J1439" s="184"/>
      <c r="K1439" s="184"/>
      <c r="L1439" s="184"/>
      <c r="M1439" s="59"/>
    </row>
    <row r="1440" spans="2:13" x14ac:dyDescent="0.3">
      <c r="B1440" s="178"/>
      <c r="C1440" s="41"/>
      <c r="D1440" s="180"/>
      <c r="E1440" s="181"/>
      <c r="F1440" s="182"/>
      <c r="G1440" s="1" t="str">
        <f>IFERROR(IF(ventas_b_mes1255[[#This Row],[CUIT]]="","-",VLOOKUP(ventas_b_mes1255[[#This Row],[CUIT]],Lista_CUIT[#All],2,0)),"CUIT NO CARGADO")</f>
        <v>-</v>
      </c>
      <c r="H1440" s="100">
        <f>ventas_b_mes1255[[#This Row],[TOTAL]]/1.21</f>
        <v>0</v>
      </c>
      <c r="I1440" s="64">
        <f>ventas_b_mes1255[[#This Row],[IMPORTE NETO]]*0.21</f>
        <v>0</v>
      </c>
      <c r="J1440" s="184"/>
      <c r="K1440" s="184"/>
      <c r="L1440" s="184"/>
      <c r="M1440" s="59"/>
    </row>
    <row r="1441" spans="2:13" x14ac:dyDescent="0.3">
      <c r="B1441" s="178"/>
      <c r="C1441" s="41"/>
      <c r="D1441" s="180"/>
      <c r="E1441" s="181"/>
      <c r="F1441" s="182"/>
      <c r="G1441" s="1" t="str">
        <f>IFERROR(IF(ventas_b_mes1255[[#This Row],[CUIT]]="","-",VLOOKUP(ventas_b_mes1255[[#This Row],[CUIT]],Lista_CUIT[#All],2,0)),"CUIT NO CARGADO")</f>
        <v>-</v>
      </c>
      <c r="H1441" s="100">
        <f>ventas_b_mes1255[[#This Row],[TOTAL]]/1.21</f>
        <v>0</v>
      </c>
      <c r="I1441" s="64">
        <f>ventas_b_mes1255[[#This Row],[IMPORTE NETO]]*0.21</f>
        <v>0</v>
      </c>
      <c r="J1441" s="184"/>
      <c r="K1441" s="184"/>
      <c r="L1441" s="184"/>
      <c r="M1441" s="59"/>
    </row>
    <row r="1442" spans="2:13" x14ac:dyDescent="0.3">
      <c r="B1442" s="178"/>
      <c r="C1442" s="41"/>
      <c r="D1442" s="180"/>
      <c r="E1442" s="181"/>
      <c r="F1442" s="182"/>
      <c r="G1442" s="1" t="str">
        <f>IFERROR(IF(ventas_b_mes1255[[#This Row],[CUIT]]="","-",VLOOKUP(ventas_b_mes1255[[#This Row],[CUIT]],Lista_CUIT[#All],2,0)),"CUIT NO CARGADO")</f>
        <v>-</v>
      </c>
      <c r="H1442" s="100">
        <f>ventas_b_mes1255[[#This Row],[TOTAL]]/1.21</f>
        <v>0</v>
      </c>
      <c r="I1442" s="64">
        <f>ventas_b_mes1255[[#This Row],[IMPORTE NETO]]*0.21</f>
        <v>0</v>
      </c>
      <c r="J1442" s="184"/>
      <c r="K1442" s="184"/>
      <c r="L1442" s="184"/>
      <c r="M1442" s="59"/>
    </row>
    <row r="1443" spans="2:13" x14ac:dyDescent="0.3">
      <c r="B1443" s="178"/>
      <c r="C1443" s="41"/>
      <c r="D1443" s="180"/>
      <c r="E1443" s="181"/>
      <c r="F1443" s="182"/>
      <c r="G1443" s="1" t="str">
        <f>IFERROR(IF(ventas_b_mes1255[[#This Row],[CUIT]]="","-",VLOOKUP(ventas_b_mes1255[[#This Row],[CUIT]],Lista_CUIT[#All],2,0)),"CUIT NO CARGADO")</f>
        <v>-</v>
      </c>
      <c r="H1443" s="100">
        <f>ventas_b_mes1255[[#This Row],[TOTAL]]/1.21</f>
        <v>0</v>
      </c>
      <c r="I1443" s="64">
        <f>ventas_b_mes1255[[#This Row],[IMPORTE NETO]]*0.21</f>
        <v>0</v>
      </c>
      <c r="J1443" s="184"/>
      <c r="K1443" s="184"/>
      <c r="L1443" s="184"/>
      <c r="M1443" s="59"/>
    </row>
    <row r="1444" spans="2:13" x14ac:dyDescent="0.3">
      <c r="B1444" s="178"/>
      <c r="C1444" s="41"/>
      <c r="D1444" s="180"/>
      <c r="E1444" s="181"/>
      <c r="F1444" s="182"/>
      <c r="G1444" s="1" t="str">
        <f>IFERROR(IF(ventas_b_mes1255[[#This Row],[CUIT]]="","-",VLOOKUP(ventas_b_mes1255[[#This Row],[CUIT]],Lista_CUIT[#All],2,0)),"CUIT NO CARGADO")</f>
        <v>-</v>
      </c>
      <c r="H1444" s="100">
        <f>ventas_b_mes1255[[#This Row],[TOTAL]]/1.21</f>
        <v>0</v>
      </c>
      <c r="I1444" s="64">
        <f>ventas_b_mes1255[[#This Row],[IMPORTE NETO]]*0.21</f>
        <v>0</v>
      </c>
      <c r="J1444" s="184"/>
      <c r="K1444" s="184"/>
      <c r="L1444" s="184"/>
      <c r="M1444" s="59"/>
    </row>
    <row r="1445" spans="2:13" x14ac:dyDescent="0.3">
      <c r="B1445" s="178"/>
      <c r="C1445" s="41"/>
      <c r="D1445" s="180"/>
      <c r="E1445" s="181"/>
      <c r="F1445" s="182"/>
      <c r="G1445" s="1" t="str">
        <f>IFERROR(IF(ventas_b_mes1255[[#This Row],[CUIT]]="","-",VLOOKUP(ventas_b_mes1255[[#This Row],[CUIT]],Lista_CUIT[#All],2,0)),"CUIT NO CARGADO")</f>
        <v>-</v>
      </c>
      <c r="H1445" s="100">
        <f>ventas_b_mes1255[[#This Row],[TOTAL]]/1.21</f>
        <v>0</v>
      </c>
      <c r="I1445" s="64">
        <f>ventas_b_mes1255[[#This Row],[IMPORTE NETO]]*0.21</f>
        <v>0</v>
      </c>
      <c r="J1445" s="184"/>
      <c r="K1445" s="184"/>
      <c r="L1445" s="184"/>
      <c r="M1445" s="59"/>
    </row>
    <row r="1446" spans="2:13" x14ac:dyDescent="0.3">
      <c r="B1446" s="178"/>
      <c r="C1446" s="41"/>
      <c r="D1446" s="180"/>
      <c r="E1446" s="181"/>
      <c r="F1446" s="182"/>
      <c r="G1446" s="1" t="str">
        <f>IFERROR(IF(ventas_b_mes1255[[#This Row],[CUIT]]="","-",VLOOKUP(ventas_b_mes1255[[#This Row],[CUIT]],Lista_CUIT[#All],2,0)),"CUIT NO CARGADO")</f>
        <v>-</v>
      </c>
      <c r="H1446" s="100">
        <f>ventas_b_mes1255[[#This Row],[TOTAL]]/1.21</f>
        <v>0</v>
      </c>
      <c r="I1446" s="64">
        <f>ventas_b_mes1255[[#This Row],[IMPORTE NETO]]*0.21</f>
        <v>0</v>
      </c>
      <c r="J1446" s="184"/>
      <c r="K1446" s="184"/>
      <c r="L1446" s="184"/>
      <c r="M1446" s="59"/>
    </row>
    <row r="1447" spans="2:13" x14ac:dyDescent="0.3">
      <c r="B1447" s="178"/>
      <c r="C1447" s="41"/>
      <c r="D1447" s="180"/>
      <c r="E1447" s="181"/>
      <c r="F1447" s="182"/>
      <c r="G1447" s="1" t="str">
        <f>IFERROR(IF(ventas_b_mes1255[[#This Row],[CUIT]]="","-",VLOOKUP(ventas_b_mes1255[[#This Row],[CUIT]],Lista_CUIT[#All],2,0)),"CUIT NO CARGADO")</f>
        <v>-</v>
      </c>
      <c r="H1447" s="100">
        <f>ventas_b_mes1255[[#This Row],[TOTAL]]/1.21</f>
        <v>0</v>
      </c>
      <c r="I1447" s="64">
        <f>ventas_b_mes1255[[#This Row],[IMPORTE NETO]]*0.21</f>
        <v>0</v>
      </c>
      <c r="J1447" s="184"/>
      <c r="K1447" s="184"/>
      <c r="L1447" s="184"/>
      <c r="M1447" s="59"/>
    </row>
    <row r="1448" spans="2:13" x14ac:dyDescent="0.3">
      <c r="B1448" s="178"/>
      <c r="C1448" s="41"/>
      <c r="D1448" s="180"/>
      <c r="E1448" s="181"/>
      <c r="F1448" s="182"/>
      <c r="G1448" s="1" t="str">
        <f>IFERROR(IF(ventas_b_mes1255[[#This Row],[CUIT]]="","-",VLOOKUP(ventas_b_mes1255[[#This Row],[CUIT]],Lista_CUIT[#All],2,0)),"CUIT NO CARGADO")</f>
        <v>-</v>
      </c>
      <c r="H1448" s="100">
        <f>ventas_b_mes1255[[#This Row],[TOTAL]]/1.21</f>
        <v>0</v>
      </c>
      <c r="I1448" s="64">
        <f>ventas_b_mes1255[[#This Row],[IMPORTE NETO]]*0.21</f>
        <v>0</v>
      </c>
      <c r="J1448" s="184"/>
      <c r="K1448" s="184"/>
      <c r="L1448" s="184"/>
      <c r="M1448" s="59"/>
    </row>
    <row r="1449" spans="2:13" x14ac:dyDescent="0.3">
      <c r="B1449" s="178"/>
      <c r="C1449" s="41"/>
      <c r="D1449" s="180"/>
      <c r="E1449" s="181"/>
      <c r="F1449" s="182"/>
      <c r="G1449" s="1" t="str">
        <f>IFERROR(IF(ventas_b_mes1255[[#This Row],[CUIT]]="","-",VLOOKUP(ventas_b_mes1255[[#This Row],[CUIT]],Lista_CUIT[#All],2,0)),"CUIT NO CARGADO")</f>
        <v>-</v>
      </c>
      <c r="H1449" s="100">
        <f>ventas_b_mes1255[[#This Row],[TOTAL]]/1.21</f>
        <v>0</v>
      </c>
      <c r="I1449" s="64">
        <f>ventas_b_mes1255[[#This Row],[IMPORTE NETO]]*0.21</f>
        <v>0</v>
      </c>
      <c r="J1449" s="184"/>
      <c r="K1449" s="184"/>
      <c r="L1449" s="184"/>
      <c r="M1449" s="59"/>
    </row>
    <row r="1450" spans="2:13" x14ac:dyDescent="0.3">
      <c r="B1450" s="178"/>
      <c r="C1450" s="41"/>
      <c r="D1450" s="180"/>
      <c r="E1450" s="181"/>
      <c r="F1450" s="182"/>
      <c r="G1450" s="1" t="str">
        <f>IFERROR(IF(ventas_b_mes1255[[#This Row],[CUIT]]="","-",VLOOKUP(ventas_b_mes1255[[#This Row],[CUIT]],Lista_CUIT[#All],2,0)),"CUIT NO CARGADO")</f>
        <v>-</v>
      </c>
      <c r="H1450" s="100">
        <f>ventas_b_mes1255[[#This Row],[TOTAL]]/1.21</f>
        <v>0</v>
      </c>
      <c r="I1450" s="64">
        <f>ventas_b_mes1255[[#This Row],[IMPORTE NETO]]*0.21</f>
        <v>0</v>
      </c>
      <c r="J1450" s="184"/>
      <c r="K1450" s="184"/>
      <c r="L1450" s="184"/>
      <c r="M1450" s="59"/>
    </row>
    <row r="1451" spans="2:13" x14ac:dyDescent="0.3">
      <c r="B1451" s="178"/>
      <c r="C1451" s="41"/>
      <c r="D1451" s="180"/>
      <c r="E1451" s="181"/>
      <c r="F1451" s="182"/>
      <c r="G1451" s="1" t="str">
        <f>IFERROR(IF(ventas_b_mes1255[[#This Row],[CUIT]]="","-",VLOOKUP(ventas_b_mes1255[[#This Row],[CUIT]],Lista_CUIT[#All],2,0)),"CUIT NO CARGADO")</f>
        <v>-</v>
      </c>
      <c r="H1451" s="100">
        <f>ventas_b_mes1255[[#This Row],[TOTAL]]/1.21</f>
        <v>0</v>
      </c>
      <c r="I1451" s="64">
        <f>ventas_b_mes1255[[#This Row],[IMPORTE NETO]]*0.21</f>
        <v>0</v>
      </c>
      <c r="J1451" s="184"/>
      <c r="K1451" s="184"/>
      <c r="L1451" s="184"/>
      <c r="M1451" s="59"/>
    </row>
    <row r="1452" spans="2:13" x14ac:dyDescent="0.3">
      <c r="B1452" s="178"/>
      <c r="C1452" s="41"/>
      <c r="D1452" s="180"/>
      <c r="E1452" s="181"/>
      <c r="F1452" s="182"/>
      <c r="G1452" s="1" t="str">
        <f>IFERROR(IF(ventas_b_mes1255[[#This Row],[CUIT]]="","-",VLOOKUP(ventas_b_mes1255[[#This Row],[CUIT]],Lista_CUIT[#All],2,0)),"CUIT NO CARGADO")</f>
        <v>-</v>
      </c>
      <c r="H1452" s="100">
        <f>ventas_b_mes1255[[#This Row],[TOTAL]]/1.21</f>
        <v>0</v>
      </c>
      <c r="I1452" s="64">
        <f>ventas_b_mes1255[[#This Row],[IMPORTE NETO]]*0.21</f>
        <v>0</v>
      </c>
      <c r="J1452" s="184"/>
      <c r="K1452" s="184"/>
      <c r="L1452" s="184"/>
      <c r="M1452" s="59"/>
    </row>
    <row r="1453" spans="2:13" x14ac:dyDescent="0.3">
      <c r="B1453" s="178"/>
      <c r="C1453" s="41"/>
      <c r="D1453" s="180"/>
      <c r="E1453" s="181"/>
      <c r="F1453" s="182"/>
      <c r="G1453" s="1" t="str">
        <f>IFERROR(IF(ventas_b_mes1255[[#This Row],[CUIT]]="","-",VLOOKUP(ventas_b_mes1255[[#This Row],[CUIT]],Lista_CUIT[#All],2,0)),"CUIT NO CARGADO")</f>
        <v>-</v>
      </c>
      <c r="H1453" s="100">
        <f>ventas_b_mes1255[[#This Row],[TOTAL]]/1.21</f>
        <v>0</v>
      </c>
      <c r="I1453" s="64">
        <f>ventas_b_mes1255[[#This Row],[IMPORTE NETO]]*0.21</f>
        <v>0</v>
      </c>
      <c r="J1453" s="184"/>
      <c r="K1453" s="184"/>
      <c r="L1453" s="184"/>
      <c r="M1453" s="59"/>
    </row>
    <row r="1454" spans="2:13" x14ac:dyDescent="0.3">
      <c r="B1454" s="178"/>
      <c r="C1454" s="41"/>
      <c r="D1454" s="180"/>
      <c r="E1454" s="181"/>
      <c r="F1454" s="182"/>
      <c r="G1454" s="1" t="str">
        <f>IFERROR(IF(ventas_b_mes1255[[#This Row],[CUIT]]="","-",VLOOKUP(ventas_b_mes1255[[#This Row],[CUIT]],Lista_CUIT[#All],2,0)),"CUIT NO CARGADO")</f>
        <v>-</v>
      </c>
      <c r="H1454" s="100">
        <f>ventas_b_mes1255[[#This Row],[TOTAL]]/1.21</f>
        <v>0</v>
      </c>
      <c r="I1454" s="64">
        <f>ventas_b_mes1255[[#This Row],[IMPORTE NETO]]*0.21</f>
        <v>0</v>
      </c>
      <c r="J1454" s="184"/>
      <c r="K1454" s="184"/>
      <c r="L1454" s="184"/>
      <c r="M1454" s="59"/>
    </row>
    <row r="1455" spans="2:13" x14ac:dyDescent="0.3">
      <c r="B1455" s="178"/>
      <c r="C1455" s="41"/>
      <c r="D1455" s="180"/>
      <c r="E1455" s="181"/>
      <c r="F1455" s="182"/>
      <c r="G1455" s="1" t="str">
        <f>IFERROR(IF(ventas_b_mes1255[[#This Row],[CUIT]]="","-",VLOOKUP(ventas_b_mes1255[[#This Row],[CUIT]],Lista_CUIT[#All],2,0)),"CUIT NO CARGADO")</f>
        <v>-</v>
      </c>
      <c r="H1455" s="100">
        <f>ventas_b_mes1255[[#This Row],[TOTAL]]/1.21</f>
        <v>0</v>
      </c>
      <c r="I1455" s="64">
        <f>ventas_b_mes1255[[#This Row],[IMPORTE NETO]]*0.21</f>
        <v>0</v>
      </c>
      <c r="J1455" s="184"/>
      <c r="K1455" s="184"/>
      <c r="L1455" s="184"/>
      <c r="M1455" s="59"/>
    </row>
    <row r="1456" spans="2:13" x14ac:dyDescent="0.3">
      <c r="B1456" s="178"/>
      <c r="C1456" s="41"/>
      <c r="D1456" s="180"/>
      <c r="E1456" s="181"/>
      <c r="F1456" s="182"/>
      <c r="G1456" s="1" t="str">
        <f>IFERROR(IF(ventas_b_mes1255[[#This Row],[CUIT]]="","-",VLOOKUP(ventas_b_mes1255[[#This Row],[CUIT]],Lista_CUIT[#All],2,0)),"CUIT NO CARGADO")</f>
        <v>-</v>
      </c>
      <c r="H1456" s="100">
        <f>ventas_b_mes1255[[#This Row],[TOTAL]]/1.21</f>
        <v>0</v>
      </c>
      <c r="I1456" s="64">
        <f>ventas_b_mes1255[[#This Row],[IMPORTE NETO]]*0.21</f>
        <v>0</v>
      </c>
      <c r="J1456" s="184"/>
      <c r="K1456" s="184"/>
      <c r="L1456" s="184"/>
      <c r="M1456" s="59"/>
    </row>
    <row r="1457" spans="2:13" x14ac:dyDescent="0.3">
      <c r="B1457" s="178"/>
      <c r="C1457" s="41"/>
      <c r="D1457" s="180"/>
      <c r="E1457" s="181"/>
      <c r="F1457" s="182"/>
      <c r="G1457" s="1" t="str">
        <f>IFERROR(IF(ventas_b_mes1255[[#This Row],[CUIT]]="","-",VLOOKUP(ventas_b_mes1255[[#This Row],[CUIT]],Lista_CUIT[#All],2,0)),"CUIT NO CARGADO")</f>
        <v>-</v>
      </c>
      <c r="H1457" s="100">
        <f>ventas_b_mes1255[[#This Row],[TOTAL]]/1.21</f>
        <v>0</v>
      </c>
      <c r="I1457" s="64">
        <f>ventas_b_mes1255[[#This Row],[IMPORTE NETO]]*0.21</f>
        <v>0</v>
      </c>
      <c r="J1457" s="184"/>
      <c r="K1457" s="184"/>
      <c r="L1457" s="184"/>
      <c r="M1457" s="59"/>
    </row>
    <row r="1458" spans="2:13" x14ac:dyDescent="0.3">
      <c r="B1458" s="178"/>
      <c r="C1458" s="41"/>
      <c r="D1458" s="180"/>
      <c r="E1458" s="181"/>
      <c r="F1458" s="182"/>
      <c r="G1458" s="1" t="str">
        <f>IFERROR(IF(ventas_b_mes1255[[#This Row],[CUIT]]="","-",VLOOKUP(ventas_b_mes1255[[#This Row],[CUIT]],Lista_CUIT[#All],2,0)),"CUIT NO CARGADO")</f>
        <v>-</v>
      </c>
      <c r="H1458" s="100">
        <f>ventas_b_mes1255[[#This Row],[TOTAL]]/1.21</f>
        <v>0</v>
      </c>
      <c r="I1458" s="64">
        <f>ventas_b_mes1255[[#This Row],[IMPORTE NETO]]*0.21</f>
        <v>0</v>
      </c>
      <c r="J1458" s="184"/>
      <c r="K1458" s="184"/>
      <c r="L1458" s="184"/>
      <c r="M1458" s="59"/>
    </row>
    <row r="1459" spans="2:13" x14ac:dyDescent="0.3">
      <c r="B1459" s="178"/>
      <c r="C1459" s="41"/>
      <c r="D1459" s="180"/>
      <c r="E1459" s="181"/>
      <c r="F1459" s="182"/>
      <c r="G1459" s="1" t="str">
        <f>IFERROR(IF(ventas_b_mes1255[[#This Row],[CUIT]]="","-",VLOOKUP(ventas_b_mes1255[[#This Row],[CUIT]],Lista_CUIT[#All],2,0)),"CUIT NO CARGADO")</f>
        <v>-</v>
      </c>
      <c r="H1459" s="100">
        <f>ventas_b_mes1255[[#This Row],[TOTAL]]/1.21</f>
        <v>0</v>
      </c>
      <c r="I1459" s="64">
        <f>ventas_b_mes1255[[#This Row],[IMPORTE NETO]]*0.21</f>
        <v>0</v>
      </c>
      <c r="J1459" s="184"/>
      <c r="K1459" s="184"/>
      <c r="L1459" s="184"/>
      <c r="M1459" s="59"/>
    </row>
    <row r="1460" spans="2:13" x14ac:dyDescent="0.3">
      <c r="B1460" s="178"/>
      <c r="C1460" s="41"/>
      <c r="D1460" s="180"/>
      <c r="E1460" s="181"/>
      <c r="F1460" s="182"/>
      <c r="G1460" s="1" t="str">
        <f>IFERROR(IF(ventas_b_mes1255[[#This Row],[CUIT]]="","-",VLOOKUP(ventas_b_mes1255[[#This Row],[CUIT]],Lista_CUIT[#All],2,0)),"CUIT NO CARGADO")</f>
        <v>-</v>
      </c>
      <c r="H1460" s="100">
        <f>ventas_b_mes1255[[#This Row],[TOTAL]]/1.21</f>
        <v>0</v>
      </c>
      <c r="I1460" s="64">
        <f>ventas_b_mes1255[[#This Row],[IMPORTE NETO]]*0.21</f>
        <v>0</v>
      </c>
      <c r="J1460" s="184"/>
      <c r="K1460" s="184"/>
      <c r="L1460" s="184"/>
      <c r="M1460" s="59"/>
    </row>
    <row r="1461" spans="2:13" x14ac:dyDescent="0.3">
      <c r="B1461" s="178"/>
      <c r="C1461" s="41"/>
      <c r="D1461" s="180"/>
      <c r="E1461" s="181"/>
      <c r="F1461" s="182"/>
      <c r="G1461" s="1" t="str">
        <f>IFERROR(IF(ventas_b_mes1255[[#This Row],[CUIT]]="","-",VLOOKUP(ventas_b_mes1255[[#This Row],[CUIT]],Lista_CUIT[#All],2,0)),"CUIT NO CARGADO")</f>
        <v>-</v>
      </c>
      <c r="H1461" s="100">
        <f>ventas_b_mes1255[[#This Row],[TOTAL]]/1.21</f>
        <v>0</v>
      </c>
      <c r="I1461" s="64">
        <f>ventas_b_mes1255[[#This Row],[IMPORTE NETO]]*0.21</f>
        <v>0</v>
      </c>
      <c r="J1461" s="184"/>
      <c r="K1461" s="184"/>
      <c r="L1461" s="184"/>
      <c r="M1461" s="59"/>
    </row>
    <row r="1462" spans="2:13" x14ac:dyDescent="0.3">
      <c r="B1462" s="178"/>
      <c r="C1462" s="41"/>
      <c r="D1462" s="180"/>
      <c r="E1462" s="181"/>
      <c r="F1462" s="182"/>
      <c r="G1462" s="1" t="str">
        <f>IFERROR(IF(ventas_b_mes1255[[#This Row],[CUIT]]="","-",VLOOKUP(ventas_b_mes1255[[#This Row],[CUIT]],Lista_CUIT[#All],2,0)),"CUIT NO CARGADO")</f>
        <v>-</v>
      </c>
      <c r="H1462" s="100">
        <f>ventas_b_mes1255[[#This Row],[TOTAL]]/1.21</f>
        <v>0</v>
      </c>
      <c r="I1462" s="64">
        <f>ventas_b_mes1255[[#This Row],[IMPORTE NETO]]*0.21</f>
        <v>0</v>
      </c>
      <c r="J1462" s="184"/>
      <c r="K1462" s="184"/>
      <c r="L1462" s="184"/>
      <c r="M1462" s="59"/>
    </row>
    <row r="1463" spans="2:13" x14ac:dyDescent="0.3">
      <c r="B1463" s="178"/>
      <c r="C1463" s="41"/>
      <c r="D1463" s="180"/>
      <c r="E1463" s="181"/>
      <c r="F1463" s="182"/>
      <c r="G1463" s="1" t="str">
        <f>IFERROR(IF(ventas_b_mes1255[[#This Row],[CUIT]]="","-",VLOOKUP(ventas_b_mes1255[[#This Row],[CUIT]],Lista_CUIT[#All],2,0)),"CUIT NO CARGADO")</f>
        <v>-</v>
      </c>
      <c r="H1463" s="100">
        <f>ventas_b_mes1255[[#This Row],[TOTAL]]/1.21</f>
        <v>0</v>
      </c>
      <c r="I1463" s="64">
        <f>ventas_b_mes1255[[#This Row],[IMPORTE NETO]]*0.21</f>
        <v>0</v>
      </c>
      <c r="J1463" s="184"/>
      <c r="K1463" s="184"/>
      <c r="L1463" s="184"/>
      <c r="M1463" s="59"/>
    </row>
    <row r="1464" spans="2:13" x14ac:dyDescent="0.3">
      <c r="B1464" s="178"/>
      <c r="C1464" s="41"/>
      <c r="D1464" s="180"/>
      <c r="E1464" s="181"/>
      <c r="F1464" s="182"/>
      <c r="G1464" s="1" t="str">
        <f>IFERROR(IF(ventas_b_mes1255[[#This Row],[CUIT]]="","-",VLOOKUP(ventas_b_mes1255[[#This Row],[CUIT]],Lista_CUIT[#All],2,0)),"CUIT NO CARGADO")</f>
        <v>-</v>
      </c>
      <c r="H1464" s="100">
        <f>ventas_b_mes1255[[#This Row],[TOTAL]]/1.21</f>
        <v>0</v>
      </c>
      <c r="I1464" s="64">
        <f>ventas_b_mes1255[[#This Row],[IMPORTE NETO]]*0.21</f>
        <v>0</v>
      </c>
      <c r="J1464" s="184"/>
      <c r="K1464" s="184"/>
      <c r="L1464" s="184"/>
      <c r="M1464" s="59"/>
    </row>
    <row r="1465" spans="2:13" x14ac:dyDescent="0.3">
      <c r="B1465" s="178"/>
      <c r="C1465" s="41"/>
      <c r="D1465" s="180"/>
      <c r="E1465" s="181"/>
      <c r="F1465" s="182"/>
      <c r="G1465" s="1" t="str">
        <f>IFERROR(IF(ventas_b_mes1255[[#This Row],[CUIT]]="","-",VLOOKUP(ventas_b_mes1255[[#This Row],[CUIT]],Lista_CUIT[#All],2,0)),"CUIT NO CARGADO")</f>
        <v>-</v>
      </c>
      <c r="H1465" s="100">
        <f>ventas_b_mes1255[[#This Row],[TOTAL]]/1.21</f>
        <v>0</v>
      </c>
      <c r="I1465" s="64">
        <f>ventas_b_mes1255[[#This Row],[IMPORTE NETO]]*0.21</f>
        <v>0</v>
      </c>
      <c r="J1465" s="184"/>
      <c r="K1465" s="184"/>
      <c r="L1465" s="184"/>
      <c r="M1465" s="59"/>
    </row>
    <row r="1466" spans="2:13" x14ac:dyDescent="0.3">
      <c r="B1466" s="178"/>
      <c r="C1466" s="41"/>
      <c r="D1466" s="180"/>
      <c r="E1466" s="181"/>
      <c r="F1466" s="182"/>
      <c r="G1466" s="1" t="str">
        <f>IFERROR(IF(ventas_b_mes1255[[#This Row],[CUIT]]="","-",VLOOKUP(ventas_b_mes1255[[#This Row],[CUIT]],Lista_CUIT[#All],2,0)),"CUIT NO CARGADO")</f>
        <v>-</v>
      </c>
      <c r="H1466" s="100">
        <f>ventas_b_mes1255[[#This Row],[TOTAL]]/1.21</f>
        <v>0</v>
      </c>
      <c r="I1466" s="64">
        <f>ventas_b_mes1255[[#This Row],[IMPORTE NETO]]*0.21</f>
        <v>0</v>
      </c>
      <c r="J1466" s="184"/>
      <c r="K1466" s="184"/>
      <c r="L1466" s="184"/>
      <c r="M1466" s="59"/>
    </row>
    <row r="1467" spans="2:13" x14ac:dyDescent="0.3">
      <c r="B1467" s="178"/>
      <c r="C1467" s="41"/>
      <c r="D1467" s="180"/>
      <c r="E1467" s="181"/>
      <c r="F1467" s="182"/>
      <c r="G1467" s="1" t="str">
        <f>IFERROR(IF(ventas_b_mes1255[[#This Row],[CUIT]]="","-",VLOOKUP(ventas_b_mes1255[[#This Row],[CUIT]],Lista_CUIT[#All],2,0)),"CUIT NO CARGADO")</f>
        <v>-</v>
      </c>
      <c r="H1467" s="100">
        <f>ventas_b_mes1255[[#This Row],[TOTAL]]/1.21</f>
        <v>0</v>
      </c>
      <c r="I1467" s="64">
        <f>ventas_b_mes1255[[#This Row],[IMPORTE NETO]]*0.21</f>
        <v>0</v>
      </c>
      <c r="J1467" s="184"/>
      <c r="K1467" s="184"/>
      <c r="L1467" s="184"/>
      <c r="M1467" s="59"/>
    </row>
    <row r="1468" spans="2:13" x14ac:dyDescent="0.3">
      <c r="B1468" s="178"/>
      <c r="C1468" s="41"/>
      <c r="D1468" s="180"/>
      <c r="E1468" s="181"/>
      <c r="F1468" s="182"/>
      <c r="G1468" s="1" t="str">
        <f>IFERROR(IF(ventas_b_mes1255[[#This Row],[CUIT]]="","-",VLOOKUP(ventas_b_mes1255[[#This Row],[CUIT]],Lista_CUIT[#All],2,0)),"CUIT NO CARGADO")</f>
        <v>-</v>
      </c>
      <c r="H1468" s="100">
        <f>ventas_b_mes1255[[#This Row],[TOTAL]]/1.21</f>
        <v>0</v>
      </c>
      <c r="I1468" s="64">
        <f>ventas_b_mes1255[[#This Row],[IMPORTE NETO]]*0.21</f>
        <v>0</v>
      </c>
      <c r="J1468" s="184"/>
      <c r="K1468" s="184"/>
      <c r="L1468" s="184"/>
      <c r="M1468" s="59"/>
    </row>
    <row r="1469" spans="2:13" x14ac:dyDescent="0.3">
      <c r="B1469" s="178"/>
      <c r="C1469" s="41"/>
      <c r="D1469" s="180"/>
      <c r="E1469" s="181"/>
      <c r="F1469" s="182"/>
      <c r="G1469" s="1" t="str">
        <f>IFERROR(IF(ventas_b_mes1255[[#This Row],[CUIT]]="","-",VLOOKUP(ventas_b_mes1255[[#This Row],[CUIT]],Lista_CUIT[#All],2,0)),"CUIT NO CARGADO")</f>
        <v>-</v>
      </c>
      <c r="H1469" s="100">
        <f>ventas_b_mes1255[[#This Row],[TOTAL]]/1.21</f>
        <v>0</v>
      </c>
      <c r="I1469" s="64">
        <f>ventas_b_mes1255[[#This Row],[IMPORTE NETO]]*0.21</f>
        <v>0</v>
      </c>
      <c r="J1469" s="184"/>
      <c r="K1469" s="184"/>
      <c r="L1469" s="184"/>
      <c r="M1469" s="59"/>
    </row>
    <row r="1470" spans="2:13" x14ac:dyDescent="0.3">
      <c r="B1470" s="178"/>
      <c r="C1470" s="41"/>
      <c r="D1470" s="180"/>
      <c r="E1470" s="181"/>
      <c r="F1470" s="182"/>
      <c r="G1470" s="1" t="str">
        <f>IFERROR(IF(ventas_b_mes1255[[#This Row],[CUIT]]="","-",VLOOKUP(ventas_b_mes1255[[#This Row],[CUIT]],Lista_CUIT[#All],2,0)),"CUIT NO CARGADO")</f>
        <v>-</v>
      </c>
      <c r="H1470" s="100">
        <f>ventas_b_mes1255[[#This Row],[TOTAL]]/1.21</f>
        <v>0</v>
      </c>
      <c r="I1470" s="64">
        <f>ventas_b_mes1255[[#This Row],[IMPORTE NETO]]*0.21</f>
        <v>0</v>
      </c>
      <c r="J1470" s="184"/>
      <c r="K1470" s="184"/>
      <c r="L1470" s="184"/>
      <c r="M1470" s="59"/>
    </row>
    <row r="1471" spans="2:13" x14ac:dyDescent="0.3">
      <c r="B1471" s="178"/>
      <c r="C1471" s="41"/>
      <c r="D1471" s="180"/>
      <c r="E1471" s="181"/>
      <c r="F1471" s="182"/>
      <c r="G1471" s="1" t="str">
        <f>IFERROR(IF(ventas_b_mes1255[[#This Row],[CUIT]]="","-",VLOOKUP(ventas_b_mes1255[[#This Row],[CUIT]],Lista_CUIT[#All],2,0)),"CUIT NO CARGADO")</f>
        <v>-</v>
      </c>
      <c r="H1471" s="100">
        <f>ventas_b_mes1255[[#This Row],[TOTAL]]/1.21</f>
        <v>0</v>
      </c>
      <c r="I1471" s="64">
        <f>ventas_b_mes1255[[#This Row],[IMPORTE NETO]]*0.21</f>
        <v>0</v>
      </c>
      <c r="J1471" s="184"/>
      <c r="K1471" s="184"/>
      <c r="L1471" s="184"/>
      <c r="M1471" s="59"/>
    </row>
    <row r="1472" spans="2:13" x14ac:dyDescent="0.3">
      <c r="B1472" s="178"/>
      <c r="C1472" s="41"/>
      <c r="D1472" s="180"/>
      <c r="E1472" s="181"/>
      <c r="F1472" s="182"/>
      <c r="G1472" s="1" t="str">
        <f>IFERROR(IF(ventas_b_mes1255[[#This Row],[CUIT]]="","-",VLOOKUP(ventas_b_mes1255[[#This Row],[CUIT]],Lista_CUIT[#All],2,0)),"CUIT NO CARGADO")</f>
        <v>-</v>
      </c>
      <c r="H1472" s="100">
        <f>ventas_b_mes1255[[#This Row],[TOTAL]]/1.21</f>
        <v>0</v>
      </c>
      <c r="I1472" s="64">
        <f>ventas_b_mes1255[[#This Row],[IMPORTE NETO]]*0.21</f>
        <v>0</v>
      </c>
      <c r="J1472" s="184"/>
      <c r="K1472" s="184"/>
      <c r="L1472" s="184"/>
      <c r="M1472" s="59"/>
    </row>
    <row r="1473" spans="2:13" x14ac:dyDescent="0.3">
      <c r="B1473" s="178"/>
      <c r="C1473" s="41"/>
      <c r="D1473" s="180"/>
      <c r="E1473" s="181"/>
      <c r="F1473" s="182"/>
      <c r="G1473" s="1" t="str">
        <f>IFERROR(IF(ventas_b_mes1255[[#This Row],[CUIT]]="","-",VLOOKUP(ventas_b_mes1255[[#This Row],[CUIT]],Lista_CUIT[#All],2,0)),"CUIT NO CARGADO")</f>
        <v>-</v>
      </c>
      <c r="H1473" s="100">
        <f>ventas_b_mes1255[[#This Row],[TOTAL]]/1.21</f>
        <v>0</v>
      </c>
      <c r="I1473" s="64">
        <f>ventas_b_mes1255[[#This Row],[IMPORTE NETO]]*0.21</f>
        <v>0</v>
      </c>
      <c r="J1473" s="184"/>
      <c r="K1473" s="184"/>
      <c r="L1473" s="184"/>
      <c r="M1473" s="59"/>
    </row>
    <row r="1474" spans="2:13" x14ac:dyDescent="0.3">
      <c r="B1474" s="178"/>
      <c r="C1474" s="41"/>
      <c r="D1474" s="180"/>
      <c r="E1474" s="181"/>
      <c r="F1474" s="182"/>
      <c r="G1474" s="1" t="str">
        <f>IFERROR(IF(ventas_b_mes1255[[#This Row],[CUIT]]="","-",VLOOKUP(ventas_b_mes1255[[#This Row],[CUIT]],Lista_CUIT[#All],2,0)),"CUIT NO CARGADO")</f>
        <v>-</v>
      </c>
      <c r="H1474" s="100">
        <f>ventas_b_mes1255[[#This Row],[TOTAL]]/1.21</f>
        <v>0</v>
      </c>
      <c r="I1474" s="64">
        <f>ventas_b_mes1255[[#This Row],[IMPORTE NETO]]*0.21</f>
        <v>0</v>
      </c>
      <c r="J1474" s="184"/>
      <c r="K1474" s="184"/>
      <c r="L1474" s="184"/>
      <c r="M1474" s="59"/>
    </row>
    <row r="1475" spans="2:13" x14ac:dyDescent="0.3">
      <c r="B1475" s="178"/>
      <c r="C1475" s="41"/>
      <c r="D1475" s="180"/>
      <c r="E1475" s="181"/>
      <c r="F1475" s="182"/>
      <c r="G1475" s="1" t="str">
        <f>IFERROR(IF(ventas_b_mes1255[[#This Row],[CUIT]]="","-",VLOOKUP(ventas_b_mes1255[[#This Row],[CUIT]],Lista_CUIT[#All],2,0)),"CUIT NO CARGADO")</f>
        <v>-</v>
      </c>
      <c r="H1475" s="100">
        <f>ventas_b_mes1255[[#This Row],[TOTAL]]/1.21</f>
        <v>0</v>
      </c>
      <c r="I1475" s="64">
        <f>ventas_b_mes1255[[#This Row],[IMPORTE NETO]]*0.21</f>
        <v>0</v>
      </c>
      <c r="J1475" s="184"/>
      <c r="K1475" s="184"/>
      <c r="L1475" s="184"/>
      <c r="M1475" s="59"/>
    </row>
    <row r="1476" spans="2:13" x14ac:dyDescent="0.3">
      <c r="B1476" s="178"/>
      <c r="C1476" s="41"/>
      <c r="D1476" s="180"/>
      <c r="E1476" s="181"/>
      <c r="F1476" s="182"/>
      <c r="G1476" s="1" t="str">
        <f>IFERROR(IF(ventas_b_mes1255[[#This Row],[CUIT]]="","-",VLOOKUP(ventas_b_mes1255[[#This Row],[CUIT]],Lista_CUIT[#All],2,0)),"CUIT NO CARGADO")</f>
        <v>-</v>
      </c>
      <c r="H1476" s="100">
        <f>ventas_b_mes1255[[#This Row],[TOTAL]]/1.21</f>
        <v>0</v>
      </c>
      <c r="I1476" s="64">
        <f>ventas_b_mes1255[[#This Row],[IMPORTE NETO]]*0.21</f>
        <v>0</v>
      </c>
      <c r="J1476" s="184"/>
      <c r="K1476" s="184"/>
      <c r="L1476" s="184"/>
      <c r="M1476" s="59"/>
    </row>
    <row r="1477" spans="2:13" x14ac:dyDescent="0.3">
      <c r="B1477" s="178"/>
      <c r="C1477" s="41"/>
      <c r="D1477" s="180"/>
      <c r="E1477" s="181"/>
      <c r="F1477" s="182"/>
      <c r="G1477" s="1" t="str">
        <f>IFERROR(IF(ventas_b_mes1255[[#This Row],[CUIT]]="","-",VLOOKUP(ventas_b_mes1255[[#This Row],[CUIT]],Lista_CUIT[#All],2,0)),"CUIT NO CARGADO")</f>
        <v>-</v>
      </c>
      <c r="H1477" s="100">
        <f>ventas_b_mes1255[[#This Row],[TOTAL]]/1.21</f>
        <v>0</v>
      </c>
      <c r="I1477" s="64">
        <f>ventas_b_mes1255[[#This Row],[IMPORTE NETO]]*0.21</f>
        <v>0</v>
      </c>
      <c r="J1477" s="184"/>
      <c r="K1477" s="184"/>
      <c r="L1477" s="184"/>
      <c r="M1477" s="59"/>
    </row>
    <row r="1478" spans="2:13" x14ac:dyDescent="0.3">
      <c r="B1478" s="178"/>
      <c r="C1478" s="41"/>
      <c r="D1478" s="180"/>
      <c r="E1478" s="181"/>
      <c r="F1478" s="182"/>
      <c r="G1478" s="1" t="str">
        <f>IFERROR(IF(ventas_b_mes1255[[#This Row],[CUIT]]="","-",VLOOKUP(ventas_b_mes1255[[#This Row],[CUIT]],Lista_CUIT[#All],2,0)),"CUIT NO CARGADO")</f>
        <v>-</v>
      </c>
      <c r="H1478" s="100">
        <f>ventas_b_mes1255[[#This Row],[TOTAL]]/1.21</f>
        <v>0</v>
      </c>
      <c r="I1478" s="64">
        <f>ventas_b_mes1255[[#This Row],[IMPORTE NETO]]*0.21</f>
        <v>0</v>
      </c>
      <c r="J1478" s="184"/>
      <c r="K1478" s="184"/>
      <c r="L1478" s="184"/>
      <c r="M1478" s="59"/>
    </row>
    <row r="1479" spans="2:13" x14ac:dyDescent="0.3">
      <c r="B1479" s="178"/>
      <c r="C1479" s="41"/>
      <c r="D1479" s="180"/>
      <c r="E1479" s="181"/>
      <c r="F1479" s="182"/>
      <c r="G1479" s="1" t="str">
        <f>IFERROR(IF(ventas_b_mes1255[[#This Row],[CUIT]]="","-",VLOOKUP(ventas_b_mes1255[[#This Row],[CUIT]],Lista_CUIT[#All],2,0)),"CUIT NO CARGADO")</f>
        <v>-</v>
      </c>
      <c r="H1479" s="100">
        <f>ventas_b_mes1255[[#This Row],[TOTAL]]/1.21</f>
        <v>0</v>
      </c>
      <c r="I1479" s="64">
        <f>ventas_b_mes1255[[#This Row],[IMPORTE NETO]]*0.21</f>
        <v>0</v>
      </c>
      <c r="J1479" s="184"/>
      <c r="K1479" s="184"/>
      <c r="L1479" s="184"/>
      <c r="M1479" s="59"/>
    </row>
    <row r="1480" spans="2:13" x14ac:dyDescent="0.3">
      <c r="B1480" s="178"/>
      <c r="C1480" s="41"/>
      <c r="D1480" s="180"/>
      <c r="E1480" s="181"/>
      <c r="F1480" s="182"/>
      <c r="G1480" s="1" t="str">
        <f>IFERROR(IF(ventas_b_mes1255[[#This Row],[CUIT]]="","-",VLOOKUP(ventas_b_mes1255[[#This Row],[CUIT]],Lista_CUIT[#All],2,0)),"CUIT NO CARGADO")</f>
        <v>-</v>
      </c>
      <c r="H1480" s="100">
        <f>ventas_b_mes1255[[#This Row],[TOTAL]]/1.21</f>
        <v>0</v>
      </c>
      <c r="I1480" s="64">
        <f>ventas_b_mes1255[[#This Row],[IMPORTE NETO]]*0.21</f>
        <v>0</v>
      </c>
      <c r="J1480" s="184"/>
      <c r="K1480" s="184"/>
      <c r="L1480" s="184"/>
      <c r="M1480" s="59"/>
    </row>
    <row r="1481" spans="2:13" x14ac:dyDescent="0.3">
      <c r="B1481" s="178"/>
      <c r="C1481" s="41"/>
      <c r="D1481" s="180"/>
      <c r="E1481" s="181"/>
      <c r="F1481" s="182"/>
      <c r="G1481" s="1" t="str">
        <f>IFERROR(IF(ventas_b_mes1255[[#This Row],[CUIT]]="","-",VLOOKUP(ventas_b_mes1255[[#This Row],[CUIT]],Lista_CUIT[#All],2,0)),"CUIT NO CARGADO")</f>
        <v>-</v>
      </c>
      <c r="H1481" s="100">
        <f>ventas_b_mes1255[[#This Row],[TOTAL]]/1.21</f>
        <v>0</v>
      </c>
      <c r="I1481" s="64">
        <f>ventas_b_mes1255[[#This Row],[IMPORTE NETO]]*0.21</f>
        <v>0</v>
      </c>
      <c r="J1481" s="184"/>
      <c r="K1481" s="184"/>
      <c r="L1481" s="184"/>
      <c r="M1481" s="59"/>
    </row>
    <row r="1482" spans="2:13" x14ac:dyDescent="0.3">
      <c r="B1482" s="178"/>
      <c r="C1482" s="41"/>
      <c r="D1482" s="180"/>
      <c r="E1482" s="181"/>
      <c r="F1482" s="182"/>
      <c r="G1482" s="1" t="str">
        <f>IFERROR(IF(ventas_b_mes1255[[#This Row],[CUIT]]="","-",VLOOKUP(ventas_b_mes1255[[#This Row],[CUIT]],Lista_CUIT[#All],2,0)),"CUIT NO CARGADO")</f>
        <v>-</v>
      </c>
      <c r="H1482" s="100">
        <f>ventas_b_mes1255[[#This Row],[TOTAL]]/1.21</f>
        <v>0</v>
      </c>
      <c r="I1482" s="64">
        <f>ventas_b_mes1255[[#This Row],[IMPORTE NETO]]*0.21</f>
        <v>0</v>
      </c>
      <c r="J1482" s="184"/>
      <c r="K1482" s="184"/>
      <c r="L1482" s="184"/>
      <c r="M1482" s="59"/>
    </row>
    <row r="1483" spans="2:13" x14ac:dyDescent="0.3">
      <c r="B1483" s="178"/>
      <c r="C1483" s="41"/>
      <c r="D1483" s="180"/>
      <c r="E1483" s="181"/>
      <c r="F1483" s="182"/>
      <c r="G1483" s="1" t="str">
        <f>IFERROR(IF(ventas_b_mes1255[[#This Row],[CUIT]]="","-",VLOOKUP(ventas_b_mes1255[[#This Row],[CUIT]],Lista_CUIT[#All],2,0)),"CUIT NO CARGADO")</f>
        <v>-</v>
      </c>
      <c r="H1483" s="100">
        <f>ventas_b_mes1255[[#This Row],[TOTAL]]/1.21</f>
        <v>0</v>
      </c>
      <c r="I1483" s="64">
        <f>ventas_b_mes1255[[#This Row],[IMPORTE NETO]]*0.21</f>
        <v>0</v>
      </c>
      <c r="J1483" s="184"/>
      <c r="K1483" s="184"/>
      <c r="L1483" s="184"/>
      <c r="M1483" s="59"/>
    </row>
    <row r="1484" spans="2:13" x14ac:dyDescent="0.3">
      <c r="B1484" s="178"/>
      <c r="C1484" s="41"/>
      <c r="D1484" s="180"/>
      <c r="E1484" s="181"/>
      <c r="F1484" s="182"/>
      <c r="G1484" s="1" t="str">
        <f>IFERROR(IF(ventas_b_mes1255[[#This Row],[CUIT]]="","-",VLOOKUP(ventas_b_mes1255[[#This Row],[CUIT]],Lista_CUIT[#All],2,0)),"CUIT NO CARGADO")</f>
        <v>-</v>
      </c>
      <c r="H1484" s="100">
        <f>ventas_b_mes1255[[#This Row],[TOTAL]]/1.21</f>
        <v>0</v>
      </c>
      <c r="I1484" s="64">
        <f>ventas_b_mes1255[[#This Row],[IMPORTE NETO]]*0.21</f>
        <v>0</v>
      </c>
      <c r="J1484" s="184"/>
      <c r="K1484" s="184"/>
      <c r="L1484" s="184"/>
      <c r="M1484" s="59"/>
    </row>
    <row r="1485" spans="2:13" x14ac:dyDescent="0.3">
      <c r="B1485" s="178"/>
      <c r="C1485" s="41"/>
      <c r="D1485" s="180"/>
      <c r="E1485" s="181"/>
      <c r="F1485" s="182"/>
      <c r="G1485" s="1" t="str">
        <f>IFERROR(IF(ventas_b_mes1255[[#This Row],[CUIT]]="","-",VLOOKUP(ventas_b_mes1255[[#This Row],[CUIT]],Lista_CUIT[#All],2,0)),"CUIT NO CARGADO")</f>
        <v>-</v>
      </c>
      <c r="H1485" s="100">
        <f>ventas_b_mes1255[[#This Row],[TOTAL]]/1.21</f>
        <v>0</v>
      </c>
      <c r="I1485" s="64">
        <f>ventas_b_mes1255[[#This Row],[IMPORTE NETO]]*0.21</f>
        <v>0</v>
      </c>
      <c r="J1485" s="184"/>
      <c r="K1485" s="184"/>
      <c r="L1485" s="184"/>
      <c r="M1485" s="59"/>
    </row>
    <row r="1486" spans="2:13" x14ac:dyDescent="0.3">
      <c r="B1486" s="178"/>
      <c r="C1486" s="41"/>
      <c r="D1486" s="180"/>
      <c r="E1486" s="181"/>
      <c r="F1486" s="182"/>
      <c r="G1486" s="1" t="str">
        <f>IFERROR(IF(ventas_b_mes1255[[#This Row],[CUIT]]="","-",VLOOKUP(ventas_b_mes1255[[#This Row],[CUIT]],Lista_CUIT[#All],2,0)),"CUIT NO CARGADO")</f>
        <v>-</v>
      </c>
      <c r="H1486" s="100">
        <f>ventas_b_mes1255[[#This Row],[TOTAL]]/1.21</f>
        <v>0</v>
      </c>
      <c r="I1486" s="64">
        <f>ventas_b_mes1255[[#This Row],[IMPORTE NETO]]*0.21</f>
        <v>0</v>
      </c>
      <c r="J1486" s="184"/>
      <c r="K1486" s="184"/>
      <c r="L1486" s="184"/>
      <c r="M1486" s="59"/>
    </row>
    <row r="1487" spans="2:13" x14ac:dyDescent="0.3">
      <c r="B1487" s="178"/>
      <c r="C1487" s="41"/>
      <c r="D1487" s="180"/>
      <c r="E1487" s="181"/>
      <c r="F1487" s="182"/>
      <c r="G1487" s="1" t="str">
        <f>IFERROR(IF(ventas_b_mes1255[[#This Row],[CUIT]]="","-",VLOOKUP(ventas_b_mes1255[[#This Row],[CUIT]],Lista_CUIT[#All],2,0)),"CUIT NO CARGADO")</f>
        <v>-</v>
      </c>
      <c r="H1487" s="100">
        <f>ventas_b_mes1255[[#This Row],[TOTAL]]/1.21</f>
        <v>0</v>
      </c>
      <c r="I1487" s="64">
        <f>ventas_b_mes1255[[#This Row],[IMPORTE NETO]]*0.21</f>
        <v>0</v>
      </c>
      <c r="J1487" s="184"/>
      <c r="K1487" s="184"/>
      <c r="L1487" s="184"/>
      <c r="M1487" s="59"/>
    </row>
    <row r="1488" spans="2:13" x14ac:dyDescent="0.3">
      <c r="B1488" s="178"/>
      <c r="C1488" s="41"/>
      <c r="D1488" s="180"/>
      <c r="E1488" s="181"/>
      <c r="F1488" s="182"/>
      <c r="G1488" s="1" t="str">
        <f>IFERROR(IF(ventas_b_mes1255[[#This Row],[CUIT]]="","-",VLOOKUP(ventas_b_mes1255[[#This Row],[CUIT]],Lista_CUIT[#All],2,0)),"CUIT NO CARGADO")</f>
        <v>-</v>
      </c>
      <c r="H1488" s="100">
        <f>ventas_b_mes1255[[#This Row],[TOTAL]]/1.21</f>
        <v>0</v>
      </c>
      <c r="I1488" s="64">
        <f>ventas_b_mes1255[[#This Row],[IMPORTE NETO]]*0.21</f>
        <v>0</v>
      </c>
      <c r="J1488" s="184"/>
      <c r="K1488" s="184"/>
      <c r="L1488" s="184"/>
      <c r="M1488" s="59"/>
    </row>
    <row r="1489" spans="2:13" x14ac:dyDescent="0.3">
      <c r="B1489" s="178"/>
      <c r="C1489" s="41"/>
      <c r="D1489" s="180"/>
      <c r="E1489" s="181"/>
      <c r="F1489" s="182"/>
      <c r="G1489" s="1" t="str">
        <f>IFERROR(IF(ventas_b_mes1255[[#This Row],[CUIT]]="","-",VLOOKUP(ventas_b_mes1255[[#This Row],[CUIT]],Lista_CUIT[#All],2,0)),"CUIT NO CARGADO")</f>
        <v>-</v>
      </c>
      <c r="H1489" s="100">
        <f>ventas_b_mes1255[[#This Row],[TOTAL]]/1.21</f>
        <v>0</v>
      </c>
      <c r="I1489" s="64">
        <f>ventas_b_mes1255[[#This Row],[IMPORTE NETO]]*0.21</f>
        <v>0</v>
      </c>
      <c r="J1489" s="184"/>
      <c r="K1489" s="184"/>
      <c r="L1489" s="184"/>
      <c r="M1489" s="59"/>
    </row>
    <row r="1490" spans="2:13" x14ac:dyDescent="0.3">
      <c r="B1490" s="178"/>
      <c r="C1490" s="41"/>
      <c r="D1490" s="180"/>
      <c r="E1490" s="181"/>
      <c r="F1490" s="182"/>
      <c r="G1490" s="1" t="str">
        <f>IFERROR(IF(ventas_b_mes1255[[#This Row],[CUIT]]="","-",VLOOKUP(ventas_b_mes1255[[#This Row],[CUIT]],Lista_CUIT[#All],2,0)),"CUIT NO CARGADO")</f>
        <v>-</v>
      </c>
      <c r="H1490" s="100">
        <f>ventas_b_mes1255[[#This Row],[TOTAL]]/1.21</f>
        <v>0</v>
      </c>
      <c r="I1490" s="64">
        <f>ventas_b_mes1255[[#This Row],[IMPORTE NETO]]*0.21</f>
        <v>0</v>
      </c>
      <c r="J1490" s="184"/>
      <c r="K1490" s="184"/>
      <c r="L1490" s="184"/>
      <c r="M1490" s="59"/>
    </row>
    <row r="1491" spans="2:13" x14ac:dyDescent="0.3">
      <c r="B1491" s="178"/>
      <c r="C1491" s="41"/>
      <c r="D1491" s="180"/>
      <c r="E1491" s="181"/>
      <c r="F1491" s="182"/>
      <c r="G1491" s="1" t="str">
        <f>IFERROR(IF(ventas_b_mes1255[[#This Row],[CUIT]]="","-",VLOOKUP(ventas_b_mes1255[[#This Row],[CUIT]],Lista_CUIT[#All],2,0)),"CUIT NO CARGADO")</f>
        <v>-</v>
      </c>
      <c r="H1491" s="100">
        <f>ventas_b_mes1255[[#This Row],[TOTAL]]/1.21</f>
        <v>0</v>
      </c>
      <c r="I1491" s="64">
        <f>ventas_b_mes1255[[#This Row],[IMPORTE NETO]]*0.21</f>
        <v>0</v>
      </c>
      <c r="J1491" s="184"/>
      <c r="K1491" s="184"/>
      <c r="L1491" s="184"/>
      <c r="M1491" s="59"/>
    </row>
    <row r="1492" spans="2:13" x14ac:dyDescent="0.3">
      <c r="B1492" s="178"/>
      <c r="C1492" s="41"/>
      <c r="D1492" s="180"/>
      <c r="E1492" s="181"/>
      <c r="F1492" s="182"/>
      <c r="G1492" s="1" t="str">
        <f>IFERROR(IF(ventas_b_mes1255[[#This Row],[CUIT]]="","-",VLOOKUP(ventas_b_mes1255[[#This Row],[CUIT]],Lista_CUIT[#All],2,0)),"CUIT NO CARGADO")</f>
        <v>-</v>
      </c>
      <c r="H1492" s="100">
        <f>ventas_b_mes1255[[#This Row],[TOTAL]]/1.21</f>
        <v>0</v>
      </c>
      <c r="I1492" s="64">
        <f>ventas_b_mes1255[[#This Row],[IMPORTE NETO]]*0.21</f>
        <v>0</v>
      </c>
      <c r="J1492" s="184"/>
      <c r="K1492" s="184"/>
      <c r="L1492" s="184"/>
      <c r="M1492" s="59"/>
    </row>
    <row r="1493" spans="2:13" x14ac:dyDescent="0.3">
      <c r="B1493" s="178"/>
      <c r="C1493" s="41"/>
      <c r="D1493" s="180"/>
      <c r="E1493" s="181"/>
      <c r="F1493" s="182"/>
      <c r="G1493" s="1" t="str">
        <f>IFERROR(IF(ventas_b_mes1255[[#This Row],[CUIT]]="","-",VLOOKUP(ventas_b_mes1255[[#This Row],[CUIT]],Lista_CUIT[#All],2,0)),"CUIT NO CARGADO")</f>
        <v>-</v>
      </c>
      <c r="H1493" s="100">
        <f>ventas_b_mes1255[[#This Row],[TOTAL]]/1.21</f>
        <v>0</v>
      </c>
      <c r="I1493" s="64">
        <f>ventas_b_mes1255[[#This Row],[IMPORTE NETO]]*0.21</f>
        <v>0</v>
      </c>
      <c r="J1493" s="184"/>
      <c r="K1493" s="184"/>
      <c r="L1493" s="184"/>
      <c r="M1493" s="59"/>
    </row>
    <row r="1494" spans="2:13" x14ac:dyDescent="0.3">
      <c r="B1494" s="178"/>
      <c r="C1494" s="41"/>
      <c r="D1494" s="180"/>
      <c r="E1494" s="181"/>
      <c r="F1494" s="182"/>
      <c r="G1494" s="1" t="str">
        <f>IFERROR(IF(ventas_b_mes1255[[#This Row],[CUIT]]="","-",VLOOKUP(ventas_b_mes1255[[#This Row],[CUIT]],Lista_CUIT[#All],2,0)),"CUIT NO CARGADO")</f>
        <v>-</v>
      </c>
      <c r="H1494" s="100">
        <f>ventas_b_mes1255[[#This Row],[TOTAL]]/1.21</f>
        <v>0</v>
      </c>
      <c r="I1494" s="64">
        <f>ventas_b_mes1255[[#This Row],[IMPORTE NETO]]*0.21</f>
        <v>0</v>
      </c>
      <c r="J1494" s="184"/>
      <c r="K1494" s="184"/>
      <c r="L1494" s="184"/>
      <c r="M1494" s="59"/>
    </row>
    <row r="1495" spans="2:13" x14ac:dyDescent="0.3">
      <c r="B1495" s="178"/>
      <c r="C1495" s="41"/>
      <c r="D1495" s="180"/>
      <c r="E1495" s="181"/>
      <c r="F1495" s="182"/>
      <c r="G1495" s="1" t="str">
        <f>IFERROR(IF(ventas_b_mes1255[[#This Row],[CUIT]]="","-",VLOOKUP(ventas_b_mes1255[[#This Row],[CUIT]],Lista_CUIT[#All],2,0)),"CUIT NO CARGADO")</f>
        <v>-</v>
      </c>
      <c r="H1495" s="100">
        <f>ventas_b_mes1255[[#This Row],[TOTAL]]/1.21</f>
        <v>0</v>
      </c>
      <c r="I1495" s="64">
        <f>ventas_b_mes1255[[#This Row],[IMPORTE NETO]]*0.21</f>
        <v>0</v>
      </c>
      <c r="J1495" s="184"/>
      <c r="K1495" s="184"/>
      <c r="L1495" s="184"/>
      <c r="M1495" s="59"/>
    </row>
    <row r="1496" spans="2:13" x14ac:dyDescent="0.3">
      <c r="B1496" s="178"/>
      <c r="C1496" s="41"/>
      <c r="D1496" s="180"/>
      <c r="E1496" s="181"/>
      <c r="F1496" s="182"/>
      <c r="G1496" s="1" t="str">
        <f>IFERROR(IF(ventas_b_mes1255[[#This Row],[CUIT]]="","-",VLOOKUP(ventas_b_mes1255[[#This Row],[CUIT]],Lista_CUIT[#All],2,0)),"CUIT NO CARGADO")</f>
        <v>-</v>
      </c>
      <c r="H1496" s="100">
        <f>ventas_b_mes1255[[#This Row],[TOTAL]]/1.21</f>
        <v>0</v>
      </c>
      <c r="I1496" s="64">
        <f>ventas_b_mes1255[[#This Row],[IMPORTE NETO]]*0.21</f>
        <v>0</v>
      </c>
      <c r="J1496" s="184"/>
      <c r="K1496" s="184"/>
      <c r="L1496" s="184"/>
      <c r="M1496" s="59"/>
    </row>
    <row r="1497" spans="2:13" x14ac:dyDescent="0.3">
      <c r="B1497" s="178"/>
      <c r="C1497" s="41"/>
      <c r="D1497" s="180"/>
      <c r="E1497" s="181"/>
      <c r="F1497" s="182"/>
      <c r="G1497" s="1" t="str">
        <f>IFERROR(IF(ventas_b_mes1255[[#This Row],[CUIT]]="","-",VLOOKUP(ventas_b_mes1255[[#This Row],[CUIT]],Lista_CUIT[#All],2,0)),"CUIT NO CARGADO")</f>
        <v>-</v>
      </c>
      <c r="H1497" s="100">
        <f>ventas_b_mes1255[[#This Row],[TOTAL]]/1.21</f>
        <v>0</v>
      </c>
      <c r="I1497" s="64">
        <f>ventas_b_mes1255[[#This Row],[IMPORTE NETO]]*0.21</f>
        <v>0</v>
      </c>
      <c r="J1497" s="184"/>
      <c r="K1497" s="184"/>
      <c r="L1497" s="184"/>
      <c r="M1497" s="59"/>
    </row>
    <row r="1498" spans="2:13" x14ac:dyDescent="0.3">
      <c r="B1498" s="178"/>
      <c r="C1498" s="41"/>
      <c r="D1498" s="180"/>
      <c r="E1498" s="181"/>
      <c r="F1498" s="182"/>
      <c r="G1498" s="1" t="str">
        <f>IFERROR(IF(ventas_b_mes1255[[#This Row],[CUIT]]="","-",VLOOKUP(ventas_b_mes1255[[#This Row],[CUIT]],Lista_CUIT[#All],2,0)),"CUIT NO CARGADO")</f>
        <v>-</v>
      </c>
      <c r="H1498" s="100">
        <f>ventas_b_mes1255[[#This Row],[TOTAL]]/1.21</f>
        <v>0</v>
      </c>
      <c r="I1498" s="64">
        <f>ventas_b_mes1255[[#This Row],[IMPORTE NETO]]*0.21</f>
        <v>0</v>
      </c>
      <c r="J1498" s="184"/>
      <c r="K1498" s="184"/>
      <c r="L1498" s="184"/>
      <c r="M1498" s="59"/>
    </row>
    <row r="1499" spans="2:13" x14ac:dyDescent="0.3">
      <c r="B1499" s="178"/>
      <c r="C1499" s="41"/>
      <c r="D1499" s="180"/>
      <c r="E1499" s="181"/>
      <c r="F1499" s="182"/>
      <c r="G1499" s="1" t="str">
        <f>IFERROR(IF(ventas_b_mes1255[[#This Row],[CUIT]]="","-",VLOOKUP(ventas_b_mes1255[[#This Row],[CUIT]],Lista_CUIT[#All],2,0)),"CUIT NO CARGADO")</f>
        <v>-</v>
      </c>
      <c r="H1499" s="100">
        <f>ventas_b_mes1255[[#This Row],[TOTAL]]/1.21</f>
        <v>0</v>
      </c>
      <c r="I1499" s="64">
        <f>ventas_b_mes1255[[#This Row],[IMPORTE NETO]]*0.21</f>
        <v>0</v>
      </c>
      <c r="J1499" s="184"/>
      <c r="K1499" s="184"/>
      <c r="L1499" s="184"/>
      <c r="M1499" s="59"/>
    </row>
    <row r="1500" spans="2:13" x14ac:dyDescent="0.3">
      <c r="B1500" s="178"/>
      <c r="C1500" s="41"/>
      <c r="D1500" s="180"/>
      <c r="E1500" s="181"/>
      <c r="F1500" s="182"/>
      <c r="G1500" s="1" t="str">
        <f>IFERROR(IF(ventas_b_mes1255[[#This Row],[CUIT]]="","-",VLOOKUP(ventas_b_mes1255[[#This Row],[CUIT]],Lista_CUIT[#All],2,0)),"CUIT NO CARGADO")</f>
        <v>-</v>
      </c>
      <c r="H1500" s="100">
        <f>ventas_b_mes1255[[#This Row],[TOTAL]]/1.21</f>
        <v>0</v>
      </c>
      <c r="I1500" s="64">
        <f>ventas_b_mes1255[[#This Row],[IMPORTE NETO]]*0.21</f>
        <v>0</v>
      </c>
      <c r="J1500" s="184"/>
      <c r="K1500" s="184"/>
      <c r="L1500" s="184"/>
      <c r="M1500" s="59"/>
    </row>
    <row r="1501" spans="2:13" x14ac:dyDescent="0.3">
      <c r="B1501" s="178"/>
      <c r="C1501" s="41"/>
      <c r="D1501" s="180"/>
      <c r="E1501" s="181"/>
      <c r="F1501" s="182"/>
      <c r="G1501" s="1" t="str">
        <f>IFERROR(IF(ventas_b_mes1255[[#This Row],[CUIT]]="","-",VLOOKUP(ventas_b_mes1255[[#This Row],[CUIT]],Lista_CUIT[#All],2,0)),"CUIT NO CARGADO")</f>
        <v>-</v>
      </c>
      <c r="H1501" s="100">
        <f>ventas_b_mes1255[[#This Row],[TOTAL]]/1.21</f>
        <v>0</v>
      </c>
      <c r="I1501" s="64">
        <f>ventas_b_mes1255[[#This Row],[IMPORTE NETO]]*0.21</f>
        <v>0</v>
      </c>
      <c r="J1501" s="184"/>
      <c r="K1501" s="184"/>
      <c r="L1501" s="184"/>
      <c r="M1501" s="59"/>
    </row>
    <row r="1502" spans="2:13" x14ac:dyDescent="0.3">
      <c r="B1502" s="178"/>
      <c r="C1502" s="41"/>
      <c r="D1502" s="180"/>
      <c r="E1502" s="181"/>
      <c r="F1502" s="182"/>
      <c r="G1502" s="1" t="str">
        <f>IFERROR(IF(ventas_b_mes1255[[#This Row],[CUIT]]="","-",VLOOKUP(ventas_b_mes1255[[#This Row],[CUIT]],Lista_CUIT[#All],2,0)),"CUIT NO CARGADO")</f>
        <v>-</v>
      </c>
      <c r="H1502" s="100">
        <f>ventas_b_mes1255[[#This Row],[TOTAL]]/1.21</f>
        <v>0</v>
      </c>
      <c r="I1502" s="64">
        <f>ventas_b_mes1255[[#This Row],[IMPORTE NETO]]*0.21</f>
        <v>0</v>
      </c>
      <c r="J1502" s="184"/>
      <c r="K1502" s="184"/>
      <c r="L1502" s="184"/>
      <c r="M1502" s="59"/>
    </row>
    <row r="1503" spans="2:13" x14ac:dyDescent="0.3">
      <c r="B1503" s="178"/>
      <c r="C1503" s="41"/>
      <c r="D1503" s="180"/>
      <c r="E1503" s="181"/>
      <c r="F1503" s="182"/>
      <c r="G1503" s="1" t="str">
        <f>IFERROR(IF(ventas_b_mes1255[[#This Row],[CUIT]]="","-",VLOOKUP(ventas_b_mes1255[[#This Row],[CUIT]],Lista_CUIT[#All],2,0)),"CUIT NO CARGADO")</f>
        <v>-</v>
      </c>
      <c r="H1503" s="100">
        <f>ventas_b_mes1255[[#This Row],[TOTAL]]/1.21</f>
        <v>0</v>
      </c>
      <c r="I1503" s="64">
        <f>ventas_b_mes1255[[#This Row],[IMPORTE NETO]]*0.21</f>
        <v>0</v>
      </c>
      <c r="J1503" s="184"/>
      <c r="K1503" s="184"/>
      <c r="L1503" s="184"/>
      <c r="M1503" s="59"/>
    </row>
    <row r="1504" spans="2:13" x14ac:dyDescent="0.3">
      <c r="B1504" s="178"/>
      <c r="C1504" s="41"/>
      <c r="D1504" s="180"/>
      <c r="E1504" s="181"/>
      <c r="F1504" s="182"/>
      <c r="G1504" s="1" t="str">
        <f>IFERROR(IF(ventas_b_mes1255[[#This Row],[CUIT]]="","-",VLOOKUP(ventas_b_mes1255[[#This Row],[CUIT]],Lista_CUIT[#All],2,0)),"CUIT NO CARGADO")</f>
        <v>-</v>
      </c>
      <c r="H1504" s="100">
        <f>ventas_b_mes1255[[#This Row],[TOTAL]]/1.21</f>
        <v>0</v>
      </c>
      <c r="I1504" s="64">
        <f>ventas_b_mes1255[[#This Row],[IMPORTE NETO]]*0.21</f>
        <v>0</v>
      </c>
      <c r="J1504" s="184"/>
      <c r="K1504" s="184"/>
      <c r="L1504" s="184"/>
      <c r="M1504" s="59"/>
    </row>
    <row r="1505" spans="2:13" x14ac:dyDescent="0.3">
      <c r="B1505" s="178"/>
      <c r="C1505" s="41"/>
      <c r="D1505" s="180"/>
      <c r="E1505" s="181"/>
      <c r="F1505" s="182"/>
      <c r="G1505" s="1" t="str">
        <f>IFERROR(IF(ventas_b_mes1255[[#This Row],[CUIT]]="","-",VLOOKUP(ventas_b_mes1255[[#This Row],[CUIT]],Lista_CUIT[#All],2,0)),"CUIT NO CARGADO")</f>
        <v>-</v>
      </c>
      <c r="H1505" s="100">
        <f>ventas_b_mes1255[[#This Row],[TOTAL]]/1.21</f>
        <v>0</v>
      </c>
      <c r="I1505" s="64">
        <f>ventas_b_mes1255[[#This Row],[IMPORTE NETO]]*0.21</f>
        <v>0</v>
      </c>
      <c r="J1505" s="184"/>
      <c r="K1505" s="184"/>
      <c r="L1505" s="184"/>
      <c r="M1505" s="59"/>
    </row>
    <row r="1506" spans="2:13" x14ac:dyDescent="0.3">
      <c r="B1506" s="178"/>
      <c r="C1506" s="41"/>
      <c r="D1506" s="180"/>
      <c r="E1506" s="181"/>
      <c r="F1506" s="182"/>
      <c r="G1506" s="1" t="str">
        <f>IFERROR(IF(ventas_b_mes1255[[#This Row],[CUIT]]="","-",VLOOKUP(ventas_b_mes1255[[#This Row],[CUIT]],Lista_CUIT[#All],2,0)),"CUIT NO CARGADO")</f>
        <v>-</v>
      </c>
      <c r="H1506" s="100">
        <f>ventas_b_mes1255[[#This Row],[TOTAL]]/1.21</f>
        <v>0</v>
      </c>
      <c r="I1506" s="64">
        <f>ventas_b_mes1255[[#This Row],[IMPORTE NETO]]*0.21</f>
        <v>0</v>
      </c>
      <c r="J1506" s="184"/>
      <c r="K1506" s="184"/>
      <c r="L1506" s="184"/>
      <c r="M1506" s="59"/>
    </row>
    <row r="1507" spans="2:13" x14ac:dyDescent="0.3">
      <c r="B1507" s="178"/>
      <c r="C1507" s="41"/>
      <c r="D1507" s="180"/>
      <c r="E1507" s="181"/>
      <c r="F1507" s="182"/>
      <c r="G1507" s="1" t="str">
        <f>IFERROR(IF(ventas_b_mes1255[[#This Row],[CUIT]]="","-",VLOOKUP(ventas_b_mes1255[[#This Row],[CUIT]],Lista_CUIT[#All],2,0)),"CUIT NO CARGADO")</f>
        <v>-</v>
      </c>
      <c r="H1507" s="100">
        <f>ventas_b_mes1255[[#This Row],[TOTAL]]/1.21</f>
        <v>0</v>
      </c>
      <c r="I1507" s="64">
        <f>ventas_b_mes1255[[#This Row],[IMPORTE NETO]]*0.21</f>
        <v>0</v>
      </c>
      <c r="J1507" s="184"/>
      <c r="K1507" s="184"/>
      <c r="L1507" s="184"/>
      <c r="M1507" s="59"/>
    </row>
    <row r="1508" spans="2:13" x14ac:dyDescent="0.3">
      <c r="B1508" s="178"/>
      <c r="C1508" s="41"/>
      <c r="D1508" s="180"/>
      <c r="E1508" s="181"/>
      <c r="F1508" s="182"/>
      <c r="G1508" s="1" t="str">
        <f>IFERROR(IF(ventas_b_mes1255[[#This Row],[CUIT]]="","-",VLOOKUP(ventas_b_mes1255[[#This Row],[CUIT]],Lista_CUIT[#All],2,0)),"CUIT NO CARGADO")</f>
        <v>-</v>
      </c>
      <c r="H1508" s="100">
        <f>ventas_b_mes1255[[#This Row],[TOTAL]]/1.21</f>
        <v>0</v>
      </c>
      <c r="I1508" s="64">
        <f>ventas_b_mes1255[[#This Row],[IMPORTE NETO]]*0.21</f>
        <v>0</v>
      </c>
      <c r="J1508" s="184"/>
      <c r="K1508" s="184"/>
      <c r="L1508" s="184"/>
      <c r="M1508" s="59"/>
    </row>
    <row r="1509" spans="2:13" x14ac:dyDescent="0.3">
      <c r="B1509" s="178"/>
      <c r="C1509" s="41"/>
      <c r="D1509" s="180"/>
      <c r="E1509" s="181"/>
      <c r="F1509" s="182"/>
      <c r="G1509" s="1" t="str">
        <f>IFERROR(IF(ventas_b_mes1255[[#This Row],[CUIT]]="","-",VLOOKUP(ventas_b_mes1255[[#This Row],[CUIT]],Lista_CUIT[#All],2,0)),"CUIT NO CARGADO")</f>
        <v>-</v>
      </c>
      <c r="H1509" s="100">
        <f>ventas_b_mes1255[[#This Row],[TOTAL]]/1.21</f>
        <v>0</v>
      </c>
      <c r="I1509" s="64">
        <f>ventas_b_mes1255[[#This Row],[IMPORTE NETO]]*0.21</f>
        <v>0</v>
      </c>
      <c r="J1509" s="184"/>
      <c r="K1509" s="184"/>
      <c r="L1509" s="184"/>
      <c r="M1509" s="59"/>
    </row>
    <row r="1510" spans="2:13" x14ac:dyDescent="0.3">
      <c r="B1510" s="178"/>
      <c r="C1510" s="41"/>
      <c r="D1510" s="180"/>
      <c r="E1510" s="181"/>
      <c r="F1510" s="182"/>
      <c r="G1510" s="1" t="str">
        <f>IFERROR(IF(ventas_b_mes1255[[#This Row],[CUIT]]="","-",VLOOKUP(ventas_b_mes1255[[#This Row],[CUIT]],Lista_CUIT[#All],2,0)),"CUIT NO CARGADO")</f>
        <v>-</v>
      </c>
      <c r="H1510" s="100">
        <f>ventas_b_mes1255[[#This Row],[TOTAL]]/1.21</f>
        <v>0</v>
      </c>
      <c r="I1510" s="64">
        <f>ventas_b_mes1255[[#This Row],[IMPORTE NETO]]*0.21</f>
        <v>0</v>
      </c>
      <c r="J1510" s="184"/>
      <c r="K1510" s="184"/>
      <c r="L1510" s="184"/>
      <c r="M1510" s="59"/>
    </row>
    <row r="1511" spans="2:13" x14ac:dyDescent="0.3">
      <c r="B1511" s="178"/>
      <c r="C1511" s="41"/>
      <c r="D1511" s="180"/>
      <c r="E1511" s="181"/>
      <c r="F1511" s="182"/>
      <c r="G1511" s="1" t="str">
        <f>IFERROR(IF(ventas_b_mes1255[[#This Row],[CUIT]]="","-",VLOOKUP(ventas_b_mes1255[[#This Row],[CUIT]],Lista_CUIT[#All],2,0)),"CUIT NO CARGADO")</f>
        <v>-</v>
      </c>
      <c r="H1511" s="100">
        <f>ventas_b_mes1255[[#This Row],[TOTAL]]/1.21</f>
        <v>0</v>
      </c>
      <c r="I1511" s="64">
        <f>ventas_b_mes1255[[#This Row],[IMPORTE NETO]]*0.21</f>
        <v>0</v>
      </c>
      <c r="J1511" s="184"/>
      <c r="K1511" s="184"/>
      <c r="L1511" s="184"/>
      <c r="M1511" s="59"/>
    </row>
    <row r="1512" spans="2:13" x14ac:dyDescent="0.3">
      <c r="B1512" s="178"/>
      <c r="C1512" s="41"/>
      <c r="D1512" s="180"/>
      <c r="E1512" s="181"/>
      <c r="F1512" s="182"/>
      <c r="G1512" s="1" t="str">
        <f>IFERROR(IF(ventas_b_mes1255[[#This Row],[CUIT]]="","-",VLOOKUP(ventas_b_mes1255[[#This Row],[CUIT]],Lista_CUIT[#All],2,0)),"CUIT NO CARGADO")</f>
        <v>-</v>
      </c>
      <c r="H1512" s="100">
        <f>ventas_b_mes1255[[#This Row],[TOTAL]]/1.21</f>
        <v>0</v>
      </c>
      <c r="I1512" s="64">
        <f>ventas_b_mes1255[[#This Row],[IMPORTE NETO]]*0.21</f>
        <v>0</v>
      </c>
      <c r="J1512" s="184"/>
      <c r="K1512" s="184"/>
      <c r="L1512" s="184"/>
      <c r="M1512" s="59"/>
    </row>
    <row r="1513" spans="2:13" x14ac:dyDescent="0.3">
      <c r="B1513" s="178"/>
      <c r="C1513" s="41"/>
      <c r="D1513" s="180"/>
      <c r="E1513" s="181"/>
      <c r="F1513" s="182"/>
      <c r="G1513" s="1" t="str">
        <f>IFERROR(IF(ventas_b_mes1255[[#This Row],[CUIT]]="","-",VLOOKUP(ventas_b_mes1255[[#This Row],[CUIT]],Lista_CUIT[#All],2,0)),"CUIT NO CARGADO")</f>
        <v>-</v>
      </c>
      <c r="H1513" s="100">
        <f>ventas_b_mes1255[[#This Row],[TOTAL]]/1.21</f>
        <v>0</v>
      </c>
      <c r="I1513" s="64">
        <f>ventas_b_mes1255[[#This Row],[IMPORTE NETO]]*0.21</f>
        <v>0</v>
      </c>
      <c r="J1513" s="184"/>
      <c r="K1513" s="184"/>
      <c r="L1513" s="184"/>
      <c r="M1513" s="59"/>
    </row>
    <row r="1514" spans="2:13" x14ac:dyDescent="0.3">
      <c r="B1514" s="178"/>
      <c r="C1514" s="41"/>
      <c r="D1514" s="180"/>
      <c r="E1514" s="181"/>
      <c r="F1514" s="182"/>
      <c r="G1514" s="1" t="str">
        <f>IFERROR(IF(ventas_b_mes1255[[#This Row],[CUIT]]="","-",VLOOKUP(ventas_b_mes1255[[#This Row],[CUIT]],Lista_CUIT[#All],2,0)),"CUIT NO CARGADO")</f>
        <v>-</v>
      </c>
      <c r="H1514" s="100">
        <f>ventas_b_mes1255[[#This Row],[TOTAL]]/1.21</f>
        <v>0</v>
      </c>
      <c r="I1514" s="64">
        <f>ventas_b_mes1255[[#This Row],[IMPORTE NETO]]*0.21</f>
        <v>0</v>
      </c>
      <c r="J1514" s="184"/>
      <c r="K1514" s="184"/>
      <c r="L1514" s="184"/>
      <c r="M1514" s="59"/>
    </row>
    <row r="1515" spans="2:13" x14ac:dyDescent="0.3">
      <c r="B1515" s="178"/>
      <c r="C1515" s="41"/>
      <c r="D1515" s="180"/>
      <c r="E1515" s="181"/>
      <c r="F1515" s="182"/>
      <c r="G1515" s="1" t="str">
        <f>IFERROR(IF(ventas_b_mes1255[[#This Row],[CUIT]]="","-",VLOOKUP(ventas_b_mes1255[[#This Row],[CUIT]],Lista_CUIT[#All],2,0)),"CUIT NO CARGADO")</f>
        <v>-</v>
      </c>
      <c r="H1515" s="100">
        <f>ventas_b_mes1255[[#This Row],[TOTAL]]/1.21</f>
        <v>0</v>
      </c>
      <c r="I1515" s="64">
        <f>ventas_b_mes1255[[#This Row],[IMPORTE NETO]]*0.21</f>
        <v>0</v>
      </c>
      <c r="J1515" s="184"/>
      <c r="K1515" s="184"/>
      <c r="L1515" s="184"/>
      <c r="M1515" s="59"/>
    </row>
    <row r="1516" spans="2:13" x14ac:dyDescent="0.3">
      <c r="B1516" s="178"/>
      <c r="C1516" s="41"/>
      <c r="D1516" s="180"/>
      <c r="E1516" s="181"/>
      <c r="F1516" s="182"/>
      <c r="G1516" s="1" t="str">
        <f>IFERROR(IF(ventas_b_mes1255[[#This Row],[CUIT]]="","-",VLOOKUP(ventas_b_mes1255[[#This Row],[CUIT]],Lista_CUIT[#All],2,0)),"CUIT NO CARGADO")</f>
        <v>-</v>
      </c>
      <c r="H1516" s="100">
        <f>ventas_b_mes1255[[#This Row],[TOTAL]]/1.21</f>
        <v>0</v>
      </c>
      <c r="I1516" s="64">
        <f>ventas_b_mes1255[[#This Row],[IMPORTE NETO]]*0.21</f>
        <v>0</v>
      </c>
      <c r="J1516" s="184"/>
      <c r="K1516" s="184"/>
      <c r="L1516" s="184"/>
      <c r="M1516" s="59"/>
    </row>
    <row r="1517" spans="2:13" x14ac:dyDescent="0.3">
      <c r="B1517" s="178"/>
      <c r="C1517" s="41"/>
      <c r="D1517" s="180"/>
      <c r="E1517" s="181"/>
      <c r="F1517" s="182"/>
      <c r="G1517" s="1" t="str">
        <f>IFERROR(IF(ventas_b_mes1255[[#This Row],[CUIT]]="","-",VLOOKUP(ventas_b_mes1255[[#This Row],[CUIT]],Lista_CUIT[#All],2,0)),"CUIT NO CARGADO")</f>
        <v>-</v>
      </c>
      <c r="H1517" s="100">
        <f>ventas_b_mes1255[[#This Row],[TOTAL]]/1.21</f>
        <v>0</v>
      </c>
      <c r="I1517" s="64">
        <f>ventas_b_mes1255[[#This Row],[IMPORTE NETO]]*0.21</f>
        <v>0</v>
      </c>
      <c r="J1517" s="184"/>
      <c r="K1517" s="184"/>
      <c r="L1517" s="184"/>
      <c r="M1517" s="59"/>
    </row>
    <row r="1518" spans="2:13" x14ac:dyDescent="0.3">
      <c r="B1518" s="178"/>
      <c r="C1518" s="41"/>
      <c r="D1518" s="180"/>
      <c r="E1518" s="181"/>
      <c r="F1518" s="182"/>
      <c r="G1518" s="1" t="str">
        <f>IFERROR(IF(ventas_b_mes1255[[#This Row],[CUIT]]="","-",VLOOKUP(ventas_b_mes1255[[#This Row],[CUIT]],Lista_CUIT[#All],2,0)),"CUIT NO CARGADO")</f>
        <v>-</v>
      </c>
      <c r="H1518" s="100">
        <f>ventas_b_mes1255[[#This Row],[TOTAL]]/1.21</f>
        <v>0</v>
      </c>
      <c r="I1518" s="64">
        <f>ventas_b_mes1255[[#This Row],[IMPORTE NETO]]*0.21</f>
        <v>0</v>
      </c>
      <c r="J1518" s="184"/>
      <c r="K1518" s="184"/>
      <c r="L1518" s="184"/>
      <c r="M1518" s="59"/>
    </row>
    <row r="1519" spans="2:13" x14ac:dyDescent="0.3">
      <c r="B1519" s="178"/>
      <c r="C1519" s="41"/>
      <c r="D1519" s="180"/>
      <c r="E1519" s="181"/>
      <c r="F1519" s="182"/>
      <c r="G1519" s="1" t="str">
        <f>IFERROR(IF(ventas_b_mes1255[[#This Row],[CUIT]]="","-",VLOOKUP(ventas_b_mes1255[[#This Row],[CUIT]],Lista_CUIT[#All],2,0)),"CUIT NO CARGADO")</f>
        <v>-</v>
      </c>
      <c r="H1519" s="100">
        <f>ventas_b_mes1255[[#This Row],[TOTAL]]/1.21</f>
        <v>0</v>
      </c>
      <c r="I1519" s="64">
        <f>ventas_b_mes1255[[#This Row],[IMPORTE NETO]]*0.21</f>
        <v>0</v>
      </c>
      <c r="J1519" s="184"/>
      <c r="K1519" s="184"/>
      <c r="L1519" s="184"/>
      <c r="M1519" s="59"/>
    </row>
    <row r="1520" spans="2:13" x14ac:dyDescent="0.3">
      <c r="B1520" s="178"/>
      <c r="C1520" s="41"/>
      <c r="D1520" s="180"/>
      <c r="E1520" s="181"/>
      <c r="F1520" s="182"/>
      <c r="G1520" s="1" t="str">
        <f>IFERROR(IF(ventas_b_mes1255[[#This Row],[CUIT]]="","-",VLOOKUP(ventas_b_mes1255[[#This Row],[CUIT]],Lista_CUIT[#All],2,0)),"CUIT NO CARGADO")</f>
        <v>-</v>
      </c>
      <c r="H1520" s="100">
        <f>ventas_b_mes1255[[#This Row],[TOTAL]]/1.21</f>
        <v>0</v>
      </c>
      <c r="I1520" s="64">
        <f>ventas_b_mes1255[[#This Row],[IMPORTE NETO]]*0.21</f>
        <v>0</v>
      </c>
      <c r="J1520" s="184"/>
      <c r="K1520" s="184"/>
      <c r="L1520" s="184"/>
      <c r="M1520" s="59"/>
    </row>
    <row r="1521" spans="2:13" x14ac:dyDescent="0.3">
      <c r="B1521" s="178"/>
      <c r="C1521" s="41"/>
      <c r="D1521" s="180"/>
      <c r="E1521" s="181"/>
      <c r="F1521" s="182"/>
      <c r="G1521" s="1" t="str">
        <f>IFERROR(IF(ventas_b_mes1255[[#This Row],[CUIT]]="","-",VLOOKUP(ventas_b_mes1255[[#This Row],[CUIT]],Lista_CUIT[#All],2,0)),"CUIT NO CARGADO")</f>
        <v>-</v>
      </c>
      <c r="H1521" s="100">
        <f>ventas_b_mes1255[[#This Row],[TOTAL]]/1.21</f>
        <v>0</v>
      </c>
      <c r="I1521" s="64">
        <f>ventas_b_mes1255[[#This Row],[IMPORTE NETO]]*0.21</f>
        <v>0</v>
      </c>
      <c r="J1521" s="184"/>
      <c r="K1521" s="184"/>
      <c r="L1521" s="184"/>
      <c r="M1521" s="59"/>
    </row>
    <row r="1522" spans="2:13" x14ac:dyDescent="0.3">
      <c r="B1522" s="178"/>
      <c r="C1522" s="41"/>
      <c r="D1522" s="180"/>
      <c r="E1522" s="181"/>
      <c r="F1522" s="182"/>
      <c r="G1522" s="1" t="str">
        <f>IFERROR(IF(ventas_b_mes1255[[#This Row],[CUIT]]="","-",VLOOKUP(ventas_b_mes1255[[#This Row],[CUIT]],Lista_CUIT[#All],2,0)),"CUIT NO CARGADO")</f>
        <v>-</v>
      </c>
      <c r="H1522" s="100">
        <f>ventas_b_mes1255[[#This Row],[TOTAL]]/1.21</f>
        <v>0</v>
      </c>
      <c r="I1522" s="64">
        <f>ventas_b_mes1255[[#This Row],[IMPORTE NETO]]*0.21</f>
        <v>0</v>
      </c>
      <c r="J1522" s="184"/>
      <c r="K1522" s="184"/>
      <c r="L1522" s="184"/>
      <c r="M1522" s="59"/>
    </row>
    <row r="1523" spans="2:13" x14ac:dyDescent="0.3">
      <c r="B1523" s="178"/>
      <c r="C1523" s="41"/>
      <c r="D1523" s="180"/>
      <c r="E1523" s="181"/>
      <c r="F1523" s="182"/>
      <c r="G1523" s="1" t="str">
        <f>IFERROR(IF(ventas_b_mes1255[[#This Row],[CUIT]]="","-",VLOOKUP(ventas_b_mes1255[[#This Row],[CUIT]],Lista_CUIT[#All],2,0)),"CUIT NO CARGADO")</f>
        <v>-</v>
      </c>
      <c r="H1523" s="100">
        <f>ventas_b_mes1255[[#This Row],[TOTAL]]/1.21</f>
        <v>0</v>
      </c>
      <c r="I1523" s="64">
        <f>ventas_b_mes1255[[#This Row],[IMPORTE NETO]]*0.21</f>
        <v>0</v>
      </c>
      <c r="J1523" s="184"/>
      <c r="K1523" s="184"/>
      <c r="L1523" s="184"/>
      <c r="M1523" s="59"/>
    </row>
    <row r="1524" spans="2:13" x14ac:dyDescent="0.3">
      <c r="B1524" s="178"/>
      <c r="C1524" s="41"/>
      <c r="D1524" s="180"/>
      <c r="E1524" s="181"/>
      <c r="F1524" s="182"/>
      <c r="G1524" s="1" t="str">
        <f>IFERROR(IF(ventas_b_mes1255[[#This Row],[CUIT]]="","-",VLOOKUP(ventas_b_mes1255[[#This Row],[CUIT]],Lista_CUIT[#All],2,0)),"CUIT NO CARGADO")</f>
        <v>-</v>
      </c>
      <c r="H1524" s="100">
        <f>ventas_b_mes1255[[#This Row],[TOTAL]]/1.21</f>
        <v>0</v>
      </c>
      <c r="I1524" s="64">
        <f>ventas_b_mes1255[[#This Row],[IMPORTE NETO]]*0.21</f>
        <v>0</v>
      </c>
      <c r="J1524" s="184"/>
      <c r="K1524" s="184"/>
      <c r="L1524" s="184"/>
      <c r="M1524" s="59"/>
    </row>
    <row r="1525" spans="2:13" x14ac:dyDescent="0.3">
      <c r="B1525" s="178"/>
      <c r="C1525" s="41"/>
      <c r="D1525" s="180"/>
      <c r="E1525" s="181"/>
      <c r="F1525" s="182"/>
      <c r="G1525" s="1" t="str">
        <f>IFERROR(IF(ventas_b_mes1255[[#This Row],[CUIT]]="","-",VLOOKUP(ventas_b_mes1255[[#This Row],[CUIT]],Lista_CUIT[#All],2,0)),"CUIT NO CARGADO")</f>
        <v>-</v>
      </c>
      <c r="H1525" s="100">
        <f>ventas_b_mes1255[[#This Row],[TOTAL]]/1.21</f>
        <v>0</v>
      </c>
      <c r="I1525" s="64">
        <f>ventas_b_mes1255[[#This Row],[IMPORTE NETO]]*0.21</f>
        <v>0</v>
      </c>
      <c r="J1525" s="184"/>
      <c r="K1525" s="184"/>
      <c r="L1525" s="184"/>
      <c r="M1525" s="59"/>
    </row>
    <row r="1526" spans="2:13" x14ac:dyDescent="0.3">
      <c r="B1526" s="178"/>
      <c r="C1526" s="41"/>
      <c r="D1526" s="180"/>
      <c r="E1526" s="181"/>
      <c r="F1526" s="182"/>
      <c r="G1526" s="1" t="str">
        <f>IFERROR(IF(ventas_b_mes1255[[#This Row],[CUIT]]="","-",VLOOKUP(ventas_b_mes1255[[#This Row],[CUIT]],Lista_CUIT[#All],2,0)),"CUIT NO CARGADO")</f>
        <v>-</v>
      </c>
      <c r="H1526" s="100">
        <f>ventas_b_mes1255[[#This Row],[TOTAL]]/1.21</f>
        <v>0</v>
      </c>
      <c r="I1526" s="64">
        <f>ventas_b_mes1255[[#This Row],[IMPORTE NETO]]*0.21</f>
        <v>0</v>
      </c>
      <c r="J1526" s="184"/>
      <c r="K1526" s="184"/>
      <c r="L1526" s="184"/>
      <c r="M1526" s="59"/>
    </row>
    <row r="1527" spans="2:13" x14ac:dyDescent="0.3">
      <c r="B1527" s="178"/>
      <c r="C1527" s="41"/>
      <c r="D1527" s="180"/>
      <c r="E1527" s="181"/>
      <c r="F1527" s="182"/>
      <c r="G1527" s="1" t="str">
        <f>IFERROR(IF(ventas_b_mes1255[[#This Row],[CUIT]]="","-",VLOOKUP(ventas_b_mes1255[[#This Row],[CUIT]],Lista_CUIT[#All],2,0)),"CUIT NO CARGADO")</f>
        <v>-</v>
      </c>
      <c r="H1527" s="100">
        <f>ventas_b_mes1255[[#This Row],[TOTAL]]/1.21</f>
        <v>0</v>
      </c>
      <c r="I1527" s="64">
        <f>ventas_b_mes1255[[#This Row],[IMPORTE NETO]]*0.21</f>
        <v>0</v>
      </c>
      <c r="J1527" s="184"/>
      <c r="K1527" s="184"/>
      <c r="L1527" s="184"/>
      <c r="M1527" s="59"/>
    </row>
    <row r="1528" spans="2:13" x14ac:dyDescent="0.3">
      <c r="B1528" s="178"/>
      <c r="C1528" s="41"/>
      <c r="D1528" s="180"/>
      <c r="E1528" s="181"/>
      <c r="F1528" s="182"/>
      <c r="G1528" s="1" t="str">
        <f>IFERROR(IF(ventas_b_mes1255[[#This Row],[CUIT]]="","-",VLOOKUP(ventas_b_mes1255[[#This Row],[CUIT]],Lista_CUIT[#All],2,0)),"CUIT NO CARGADO")</f>
        <v>-</v>
      </c>
      <c r="H1528" s="100">
        <f>ventas_b_mes1255[[#This Row],[TOTAL]]/1.21</f>
        <v>0</v>
      </c>
      <c r="I1528" s="64">
        <f>ventas_b_mes1255[[#This Row],[IMPORTE NETO]]*0.21</f>
        <v>0</v>
      </c>
      <c r="J1528" s="184"/>
      <c r="K1528" s="184"/>
      <c r="L1528" s="184"/>
      <c r="M1528" s="59"/>
    </row>
    <row r="1529" spans="2:13" x14ac:dyDescent="0.3">
      <c r="B1529" s="178"/>
      <c r="C1529" s="41"/>
      <c r="D1529" s="180"/>
      <c r="E1529" s="181"/>
      <c r="F1529" s="182"/>
      <c r="G1529" s="1" t="str">
        <f>IFERROR(IF(ventas_b_mes1255[[#This Row],[CUIT]]="","-",VLOOKUP(ventas_b_mes1255[[#This Row],[CUIT]],Lista_CUIT[#All],2,0)),"CUIT NO CARGADO")</f>
        <v>-</v>
      </c>
      <c r="H1529" s="100">
        <f>ventas_b_mes1255[[#This Row],[TOTAL]]/1.21</f>
        <v>0</v>
      </c>
      <c r="I1529" s="64">
        <f>ventas_b_mes1255[[#This Row],[IMPORTE NETO]]*0.21</f>
        <v>0</v>
      </c>
      <c r="J1529" s="184"/>
      <c r="K1529" s="184"/>
      <c r="L1529" s="184"/>
      <c r="M1529" s="59"/>
    </row>
    <row r="1530" spans="2:13" x14ac:dyDescent="0.3">
      <c r="B1530" s="178"/>
      <c r="C1530" s="41"/>
      <c r="D1530" s="180"/>
      <c r="E1530" s="181"/>
      <c r="F1530" s="182"/>
      <c r="G1530" s="1" t="str">
        <f>IFERROR(IF(ventas_b_mes1255[[#This Row],[CUIT]]="","-",VLOOKUP(ventas_b_mes1255[[#This Row],[CUIT]],Lista_CUIT[#All],2,0)),"CUIT NO CARGADO")</f>
        <v>-</v>
      </c>
      <c r="H1530" s="100">
        <f>ventas_b_mes1255[[#This Row],[TOTAL]]/1.21</f>
        <v>0</v>
      </c>
      <c r="I1530" s="64">
        <f>ventas_b_mes1255[[#This Row],[IMPORTE NETO]]*0.21</f>
        <v>0</v>
      </c>
      <c r="J1530" s="184"/>
      <c r="K1530" s="184"/>
      <c r="L1530" s="184"/>
      <c r="M1530" s="59"/>
    </row>
    <row r="1531" spans="2:13" x14ac:dyDescent="0.3">
      <c r="B1531" s="178"/>
      <c r="C1531" s="41"/>
      <c r="D1531" s="180"/>
      <c r="E1531" s="181"/>
      <c r="F1531" s="182"/>
      <c r="G1531" s="1" t="str">
        <f>IFERROR(IF(ventas_b_mes1255[[#This Row],[CUIT]]="","-",VLOOKUP(ventas_b_mes1255[[#This Row],[CUIT]],Lista_CUIT[#All],2,0)),"CUIT NO CARGADO")</f>
        <v>-</v>
      </c>
      <c r="H1531" s="100">
        <f>ventas_b_mes1255[[#This Row],[TOTAL]]/1.21</f>
        <v>0</v>
      </c>
      <c r="I1531" s="64">
        <f>ventas_b_mes1255[[#This Row],[IMPORTE NETO]]*0.21</f>
        <v>0</v>
      </c>
      <c r="J1531" s="184"/>
      <c r="K1531" s="184"/>
      <c r="L1531" s="184"/>
      <c r="M1531" s="59"/>
    </row>
    <row r="1532" spans="2:13" x14ac:dyDescent="0.3">
      <c r="B1532" s="178"/>
      <c r="C1532" s="41"/>
      <c r="D1532" s="180"/>
      <c r="E1532" s="181"/>
      <c r="F1532" s="182"/>
      <c r="G1532" s="1" t="str">
        <f>IFERROR(IF(ventas_b_mes1255[[#This Row],[CUIT]]="","-",VLOOKUP(ventas_b_mes1255[[#This Row],[CUIT]],Lista_CUIT[#All],2,0)),"CUIT NO CARGADO")</f>
        <v>-</v>
      </c>
      <c r="H1532" s="100">
        <f>ventas_b_mes1255[[#This Row],[TOTAL]]/1.21</f>
        <v>0</v>
      </c>
      <c r="I1532" s="64">
        <f>ventas_b_mes1255[[#This Row],[IMPORTE NETO]]*0.21</f>
        <v>0</v>
      </c>
      <c r="J1532" s="184"/>
      <c r="K1532" s="184"/>
      <c r="L1532" s="184"/>
      <c r="M1532" s="59"/>
    </row>
    <row r="1533" spans="2:13" x14ac:dyDescent="0.3">
      <c r="B1533" s="178"/>
      <c r="C1533" s="41"/>
      <c r="D1533" s="180"/>
      <c r="E1533" s="181"/>
      <c r="F1533" s="182"/>
      <c r="G1533" s="1" t="str">
        <f>IFERROR(IF(ventas_b_mes1255[[#This Row],[CUIT]]="","-",VLOOKUP(ventas_b_mes1255[[#This Row],[CUIT]],Lista_CUIT[#All],2,0)),"CUIT NO CARGADO")</f>
        <v>-</v>
      </c>
      <c r="H1533" s="100">
        <f>ventas_b_mes1255[[#This Row],[TOTAL]]/1.21</f>
        <v>0</v>
      </c>
      <c r="I1533" s="64">
        <f>ventas_b_mes1255[[#This Row],[IMPORTE NETO]]*0.21</f>
        <v>0</v>
      </c>
      <c r="J1533" s="184"/>
      <c r="K1533" s="184"/>
      <c r="L1533" s="184"/>
      <c r="M1533" s="59"/>
    </row>
    <row r="1534" spans="2:13" x14ac:dyDescent="0.3">
      <c r="B1534" s="178"/>
      <c r="C1534" s="41"/>
      <c r="D1534" s="180"/>
      <c r="E1534" s="181"/>
      <c r="F1534" s="182"/>
      <c r="G1534" s="1" t="str">
        <f>IFERROR(IF(ventas_b_mes1255[[#This Row],[CUIT]]="","-",VLOOKUP(ventas_b_mes1255[[#This Row],[CUIT]],Lista_CUIT[#All],2,0)),"CUIT NO CARGADO")</f>
        <v>-</v>
      </c>
      <c r="H1534" s="100">
        <f>ventas_b_mes1255[[#This Row],[TOTAL]]/1.21</f>
        <v>0</v>
      </c>
      <c r="I1534" s="64">
        <f>ventas_b_mes1255[[#This Row],[IMPORTE NETO]]*0.21</f>
        <v>0</v>
      </c>
      <c r="J1534" s="184"/>
      <c r="K1534" s="184"/>
      <c r="L1534" s="184"/>
      <c r="M1534" s="59"/>
    </row>
    <row r="1535" spans="2:13" x14ac:dyDescent="0.3">
      <c r="B1535" s="178"/>
      <c r="C1535" s="41"/>
      <c r="D1535" s="180"/>
      <c r="E1535" s="181"/>
      <c r="F1535" s="182"/>
      <c r="G1535" s="1" t="str">
        <f>IFERROR(IF(ventas_b_mes1255[[#This Row],[CUIT]]="","-",VLOOKUP(ventas_b_mes1255[[#This Row],[CUIT]],Lista_CUIT[#All],2,0)),"CUIT NO CARGADO")</f>
        <v>-</v>
      </c>
      <c r="H1535" s="100">
        <f>ventas_b_mes1255[[#This Row],[TOTAL]]/1.21</f>
        <v>0</v>
      </c>
      <c r="I1535" s="64">
        <f>ventas_b_mes1255[[#This Row],[IMPORTE NETO]]*0.21</f>
        <v>0</v>
      </c>
      <c r="J1535" s="184"/>
      <c r="K1535" s="184"/>
      <c r="L1535" s="184"/>
      <c r="M1535" s="59"/>
    </row>
    <row r="1536" spans="2:13" x14ac:dyDescent="0.3">
      <c r="B1536" s="178"/>
      <c r="C1536" s="41"/>
      <c r="D1536" s="180"/>
      <c r="E1536" s="181"/>
      <c r="F1536" s="182"/>
      <c r="G1536" s="1" t="str">
        <f>IFERROR(IF(ventas_b_mes1255[[#This Row],[CUIT]]="","-",VLOOKUP(ventas_b_mes1255[[#This Row],[CUIT]],Lista_CUIT[#All],2,0)),"CUIT NO CARGADO")</f>
        <v>-</v>
      </c>
      <c r="H1536" s="100">
        <f>ventas_b_mes1255[[#This Row],[TOTAL]]/1.21</f>
        <v>0</v>
      </c>
      <c r="I1536" s="64">
        <f>ventas_b_mes1255[[#This Row],[IMPORTE NETO]]*0.21</f>
        <v>0</v>
      </c>
      <c r="J1536" s="184"/>
      <c r="K1536" s="184"/>
      <c r="L1536" s="184"/>
      <c r="M1536" s="59"/>
    </row>
    <row r="1537" spans="2:13" x14ac:dyDescent="0.3">
      <c r="B1537" s="178"/>
      <c r="C1537" s="41"/>
      <c r="D1537" s="180"/>
      <c r="E1537" s="181"/>
      <c r="F1537" s="182"/>
      <c r="G1537" s="1" t="str">
        <f>IFERROR(IF(ventas_b_mes1255[[#This Row],[CUIT]]="","-",VLOOKUP(ventas_b_mes1255[[#This Row],[CUIT]],Lista_CUIT[#All],2,0)),"CUIT NO CARGADO")</f>
        <v>-</v>
      </c>
      <c r="H1537" s="100">
        <f>ventas_b_mes1255[[#This Row],[TOTAL]]/1.21</f>
        <v>0</v>
      </c>
      <c r="I1537" s="64">
        <f>ventas_b_mes1255[[#This Row],[IMPORTE NETO]]*0.21</f>
        <v>0</v>
      </c>
      <c r="J1537" s="184"/>
      <c r="K1537" s="184"/>
      <c r="L1537" s="184"/>
      <c r="M1537" s="59"/>
    </row>
    <row r="1538" spans="2:13" x14ac:dyDescent="0.3">
      <c r="B1538" s="178"/>
      <c r="C1538" s="41"/>
      <c r="D1538" s="180"/>
      <c r="E1538" s="181"/>
      <c r="F1538" s="182"/>
      <c r="G1538" s="1" t="str">
        <f>IFERROR(IF(ventas_b_mes1255[[#This Row],[CUIT]]="","-",VLOOKUP(ventas_b_mes1255[[#This Row],[CUIT]],Lista_CUIT[#All],2,0)),"CUIT NO CARGADO")</f>
        <v>-</v>
      </c>
      <c r="H1538" s="100">
        <f>ventas_b_mes1255[[#This Row],[TOTAL]]/1.21</f>
        <v>0</v>
      </c>
      <c r="I1538" s="64">
        <f>ventas_b_mes1255[[#This Row],[IMPORTE NETO]]*0.21</f>
        <v>0</v>
      </c>
      <c r="J1538" s="184"/>
      <c r="K1538" s="184"/>
      <c r="L1538" s="184"/>
      <c r="M1538" s="59"/>
    </row>
    <row r="1539" spans="2:13" x14ac:dyDescent="0.3">
      <c r="B1539" s="178"/>
      <c r="C1539" s="41"/>
      <c r="D1539" s="180"/>
      <c r="E1539" s="181"/>
      <c r="F1539" s="182"/>
      <c r="G1539" s="1" t="str">
        <f>IFERROR(IF(ventas_b_mes1255[[#This Row],[CUIT]]="","-",VLOOKUP(ventas_b_mes1255[[#This Row],[CUIT]],Lista_CUIT[#All],2,0)),"CUIT NO CARGADO")</f>
        <v>-</v>
      </c>
      <c r="H1539" s="100">
        <f>ventas_b_mes1255[[#This Row],[TOTAL]]/1.21</f>
        <v>0</v>
      </c>
      <c r="I1539" s="64">
        <f>ventas_b_mes1255[[#This Row],[IMPORTE NETO]]*0.21</f>
        <v>0</v>
      </c>
      <c r="J1539" s="184"/>
      <c r="K1539" s="184"/>
      <c r="L1539" s="184"/>
      <c r="M1539" s="59"/>
    </row>
    <row r="1540" spans="2:13" x14ac:dyDescent="0.3">
      <c r="B1540" s="178"/>
      <c r="C1540" s="41"/>
      <c r="D1540" s="180"/>
      <c r="E1540" s="181"/>
      <c r="F1540" s="182"/>
      <c r="G1540" s="1" t="str">
        <f>IFERROR(IF(ventas_b_mes1255[[#This Row],[CUIT]]="","-",VLOOKUP(ventas_b_mes1255[[#This Row],[CUIT]],Lista_CUIT[#All],2,0)),"CUIT NO CARGADO")</f>
        <v>-</v>
      </c>
      <c r="H1540" s="100">
        <f>ventas_b_mes1255[[#This Row],[TOTAL]]/1.21</f>
        <v>0</v>
      </c>
      <c r="I1540" s="64">
        <f>ventas_b_mes1255[[#This Row],[IMPORTE NETO]]*0.21</f>
        <v>0</v>
      </c>
      <c r="J1540" s="184"/>
      <c r="K1540" s="184"/>
      <c r="L1540" s="184"/>
      <c r="M1540" s="59"/>
    </row>
    <row r="1541" spans="2:13" x14ac:dyDescent="0.3">
      <c r="B1541" s="178"/>
      <c r="C1541" s="41"/>
      <c r="D1541" s="180"/>
      <c r="E1541" s="181"/>
      <c r="F1541" s="182"/>
      <c r="G1541" s="1" t="str">
        <f>IFERROR(IF(ventas_b_mes1255[[#This Row],[CUIT]]="","-",VLOOKUP(ventas_b_mes1255[[#This Row],[CUIT]],Lista_CUIT[#All],2,0)),"CUIT NO CARGADO")</f>
        <v>-</v>
      </c>
      <c r="H1541" s="100">
        <f>ventas_b_mes1255[[#This Row],[TOTAL]]/1.21</f>
        <v>0</v>
      </c>
      <c r="I1541" s="64">
        <f>ventas_b_mes1255[[#This Row],[IMPORTE NETO]]*0.21</f>
        <v>0</v>
      </c>
      <c r="J1541" s="184"/>
      <c r="K1541" s="184"/>
      <c r="L1541" s="184"/>
      <c r="M1541" s="59"/>
    </row>
    <row r="1542" spans="2:13" x14ac:dyDescent="0.3">
      <c r="B1542" s="178"/>
      <c r="C1542" s="41"/>
      <c r="D1542" s="180"/>
      <c r="E1542" s="181"/>
      <c r="F1542" s="182"/>
      <c r="G1542" s="1" t="str">
        <f>IFERROR(IF(ventas_b_mes1255[[#This Row],[CUIT]]="","-",VLOOKUP(ventas_b_mes1255[[#This Row],[CUIT]],Lista_CUIT[#All],2,0)),"CUIT NO CARGADO")</f>
        <v>-</v>
      </c>
      <c r="H1542" s="100">
        <f>ventas_b_mes1255[[#This Row],[TOTAL]]/1.21</f>
        <v>0</v>
      </c>
      <c r="I1542" s="64">
        <f>ventas_b_mes1255[[#This Row],[IMPORTE NETO]]*0.21</f>
        <v>0</v>
      </c>
      <c r="J1542" s="184"/>
      <c r="K1542" s="184"/>
      <c r="L1542" s="184"/>
      <c r="M1542" s="59"/>
    </row>
    <row r="1543" spans="2:13" x14ac:dyDescent="0.3">
      <c r="B1543" s="178"/>
      <c r="C1543" s="41"/>
      <c r="D1543" s="180"/>
      <c r="E1543" s="181"/>
      <c r="F1543" s="182"/>
      <c r="G1543" s="1" t="str">
        <f>IFERROR(IF(ventas_b_mes1255[[#This Row],[CUIT]]="","-",VLOOKUP(ventas_b_mes1255[[#This Row],[CUIT]],Lista_CUIT[#All],2,0)),"CUIT NO CARGADO")</f>
        <v>-</v>
      </c>
      <c r="H1543" s="100">
        <f>ventas_b_mes1255[[#This Row],[TOTAL]]/1.21</f>
        <v>0</v>
      </c>
      <c r="I1543" s="64">
        <f>ventas_b_mes1255[[#This Row],[IMPORTE NETO]]*0.21</f>
        <v>0</v>
      </c>
      <c r="J1543" s="184"/>
      <c r="K1543" s="184"/>
      <c r="L1543" s="184"/>
      <c r="M1543" s="59"/>
    </row>
    <row r="1544" spans="2:13" x14ac:dyDescent="0.3">
      <c r="B1544" s="178"/>
      <c r="C1544" s="41"/>
      <c r="D1544" s="180"/>
      <c r="E1544" s="181"/>
      <c r="F1544" s="182"/>
      <c r="G1544" s="1" t="str">
        <f>IFERROR(IF(ventas_b_mes1255[[#This Row],[CUIT]]="","-",VLOOKUP(ventas_b_mes1255[[#This Row],[CUIT]],Lista_CUIT[#All],2,0)),"CUIT NO CARGADO")</f>
        <v>-</v>
      </c>
      <c r="H1544" s="100">
        <f>ventas_b_mes1255[[#This Row],[TOTAL]]/1.21</f>
        <v>0</v>
      </c>
      <c r="I1544" s="64">
        <f>ventas_b_mes1255[[#This Row],[IMPORTE NETO]]*0.21</f>
        <v>0</v>
      </c>
      <c r="J1544" s="184"/>
      <c r="K1544" s="184"/>
      <c r="L1544" s="184"/>
      <c r="M1544" s="59"/>
    </row>
    <row r="1545" spans="2:13" x14ac:dyDescent="0.3">
      <c r="B1545" s="178"/>
      <c r="C1545" s="41"/>
      <c r="D1545" s="180"/>
      <c r="E1545" s="181"/>
      <c r="F1545" s="182"/>
      <c r="G1545" s="1" t="str">
        <f>IFERROR(IF(ventas_b_mes1255[[#This Row],[CUIT]]="","-",VLOOKUP(ventas_b_mes1255[[#This Row],[CUIT]],Lista_CUIT[#All],2,0)),"CUIT NO CARGADO")</f>
        <v>-</v>
      </c>
      <c r="H1545" s="100">
        <f>ventas_b_mes1255[[#This Row],[TOTAL]]/1.21</f>
        <v>0</v>
      </c>
      <c r="I1545" s="64">
        <f>ventas_b_mes1255[[#This Row],[IMPORTE NETO]]*0.21</f>
        <v>0</v>
      </c>
      <c r="J1545" s="184"/>
      <c r="K1545" s="184"/>
      <c r="L1545" s="184"/>
      <c r="M1545" s="59"/>
    </row>
    <row r="1546" spans="2:13" x14ac:dyDescent="0.3">
      <c r="B1546" s="178"/>
      <c r="C1546" s="41"/>
      <c r="D1546" s="180"/>
      <c r="E1546" s="181"/>
      <c r="F1546" s="182"/>
      <c r="G1546" s="1" t="str">
        <f>IFERROR(IF(ventas_b_mes1255[[#This Row],[CUIT]]="","-",VLOOKUP(ventas_b_mes1255[[#This Row],[CUIT]],Lista_CUIT[#All],2,0)),"CUIT NO CARGADO")</f>
        <v>-</v>
      </c>
      <c r="H1546" s="100">
        <f>ventas_b_mes1255[[#This Row],[TOTAL]]/1.21</f>
        <v>0</v>
      </c>
      <c r="I1546" s="64">
        <f>ventas_b_mes1255[[#This Row],[IMPORTE NETO]]*0.21</f>
        <v>0</v>
      </c>
      <c r="J1546" s="184"/>
      <c r="K1546" s="184"/>
      <c r="L1546" s="184"/>
      <c r="M1546" s="59"/>
    </row>
    <row r="1547" spans="2:13" x14ac:dyDescent="0.3">
      <c r="B1547" s="178"/>
      <c r="C1547" s="41"/>
      <c r="D1547" s="180"/>
      <c r="E1547" s="181"/>
      <c r="F1547" s="182"/>
      <c r="G1547" s="1" t="str">
        <f>IFERROR(IF(ventas_b_mes1255[[#This Row],[CUIT]]="","-",VLOOKUP(ventas_b_mes1255[[#This Row],[CUIT]],Lista_CUIT[#All],2,0)),"CUIT NO CARGADO")</f>
        <v>-</v>
      </c>
      <c r="H1547" s="100">
        <f>ventas_b_mes1255[[#This Row],[TOTAL]]/1.21</f>
        <v>0</v>
      </c>
      <c r="I1547" s="64">
        <f>ventas_b_mes1255[[#This Row],[IMPORTE NETO]]*0.21</f>
        <v>0</v>
      </c>
      <c r="J1547" s="184"/>
      <c r="K1547" s="184"/>
      <c r="L1547" s="184"/>
      <c r="M1547" s="59"/>
    </row>
    <row r="1548" spans="2:13" x14ac:dyDescent="0.3">
      <c r="B1548" s="178"/>
      <c r="C1548" s="41"/>
      <c r="D1548" s="180"/>
      <c r="E1548" s="181"/>
      <c r="F1548" s="182"/>
      <c r="G1548" s="1" t="str">
        <f>IFERROR(IF(ventas_b_mes1255[[#This Row],[CUIT]]="","-",VLOOKUP(ventas_b_mes1255[[#This Row],[CUIT]],Lista_CUIT[#All],2,0)),"CUIT NO CARGADO")</f>
        <v>-</v>
      </c>
      <c r="H1548" s="100">
        <f>ventas_b_mes1255[[#This Row],[TOTAL]]/1.21</f>
        <v>0</v>
      </c>
      <c r="I1548" s="64">
        <f>ventas_b_mes1255[[#This Row],[IMPORTE NETO]]*0.21</f>
        <v>0</v>
      </c>
      <c r="J1548" s="184"/>
      <c r="K1548" s="184"/>
      <c r="L1548" s="184"/>
      <c r="M1548" s="59"/>
    </row>
    <row r="1549" spans="2:13" x14ac:dyDescent="0.3">
      <c r="B1549" s="178"/>
      <c r="C1549" s="41"/>
      <c r="D1549" s="180"/>
      <c r="E1549" s="181"/>
      <c r="F1549" s="182"/>
      <c r="G1549" s="1" t="str">
        <f>IFERROR(IF(ventas_b_mes1255[[#This Row],[CUIT]]="","-",VLOOKUP(ventas_b_mes1255[[#This Row],[CUIT]],Lista_CUIT[#All],2,0)),"CUIT NO CARGADO")</f>
        <v>-</v>
      </c>
      <c r="H1549" s="100">
        <f>ventas_b_mes1255[[#This Row],[TOTAL]]/1.21</f>
        <v>0</v>
      </c>
      <c r="I1549" s="64">
        <f>ventas_b_mes1255[[#This Row],[IMPORTE NETO]]*0.21</f>
        <v>0</v>
      </c>
      <c r="J1549" s="184"/>
      <c r="K1549" s="184"/>
      <c r="L1549" s="184"/>
      <c r="M1549" s="59"/>
    </row>
    <row r="1550" spans="2:13" x14ac:dyDescent="0.3">
      <c r="B1550" s="178"/>
      <c r="C1550" s="41"/>
      <c r="D1550" s="180"/>
      <c r="E1550" s="181"/>
      <c r="F1550" s="182"/>
      <c r="G1550" s="1" t="str">
        <f>IFERROR(IF(ventas_b_mes1255[[#This Row],[CUIT]]="","-",VLOOKUP(ventas_b_mes1255[[#This Row],[CUIT]],Lista_CUIT[#All],2,0)),"CUIT NO CARGADO")</f>
        <v>-</v>
      </c>
      <c r="H1550" s="100">
        <f>ventas_b_mes1255[[#This Row],[TOTAL]]/1.21</f>
        <v>0</v>
      </c>
      <c r="I1550" s="64">
        <f>ventas_b_mes1255[[#This Row],[IMPORTE NETO]]*0.21</f>
        <v>0</v>
      </c>
      <c r="J1550" s="184"/>
      <c r="K1550" s="184"/>
      <c r="L1550" s="184"/>
      <c r="M1550" s="59"/>
    </row>
    <row r="1551" spans="2:13" x14ac:dyDescent="0.3">
      <c r="B1551" s="178"/>
      <c r="C1551" s="41"/>
      <c r="D1551" s="180"/>
      <c r="E1551" s="181"/>
      <c r="F1551" s="182"/>
      <c r="G1551" s="1" t="str">
        <f>IFERROR(IF(ventas_b_mes1255[[#This Row],[CUIT]]="","-",VLOOKUP(ventas_b_mes1255[[#This Row],[CUIT]],Lista_CUIT[#All],2,0)),"CUIT NO CARGADO")</f>
        <v>-</v>
      </c>
      <c r="H1551" s="100">
        <f>ventas_b_mes1255[[#This Row],[TOTAL]]/1.21</f>
        <v>0</v>
      </c>
      <c r="I1551" s="64">
        <f>ventas_b_mes1255[[#This Row],[IMPORTE NETO]]*0.21</f>
        <v>0</v>
      </c>
      <c r="J1551" s="184"/>
      <c r="K1551" s="184"/>
      <c r="L1551" s="184"/>
      <c r="M1551" s="59"/>
    </row>
    <row r="1552" spans="2:13" x14ac:dyDescent="0.3">
      <c r="B1552" s="178"/>
      <c r="C1552" s="41"/>
      <c r="D1552" s="180"/>
      <c r="E1552" s="181"/>
      <c r="F1552" s="182"/>
      <c r="G1552" s="1" t="str">
        <f>IFERROR(IF(ventas_b_mes1255[[#This Row],[CUIT]]="","-",VLOOKUP(ventas_b_mes1255[[#This Row],[CUIT]],Lista_CUIT[#All],2,0)),"CUIT NO CARGADO")</f>
        <v>-</v>
      </c>
      <c r="H1552" s="100">
        <f>ventas_b_mes1255[[#This Row],[TOTAL]]/1.21</f>
        <v>0</v>
      </c>
      <c r="I1552" s="64">
        <f>ventas_b_mes1255[[#This Row],[IMPORTE NETO]]*0.21</f>
        <v>0</v>
      </c>
      <c r="J1552" s="184"/>
      <c r="K1552" s="184"/>
      <c r="L1552" s="184"/>
      <c r="M1552" s="59"/>
    </row>
    <row r="1553" spans="2:13" x14ac:dyDescent="0.3">
      <c r="B1553" s="178"/>
      <c r="C1553" s="41"/>
      <c r="D1553" s="180"/>
      <c r="E1553" s="181"/>
      <c r="F1553" s="182"/>
      <c r="G1553" s="1" t="str">
        <f>IFERROR(IF(ventas_b_mes1255[[#This Row],[CUIT]]="","-",VLOOKUP(ventas_b_mes1255[[#This Row],[CUIT]],Lista_CUIT[#All],2,0)),"CUIT NO CARGADO")</f>
        <v>-</v>
      </c>
      <c r="H1553" s="100">
        <f>ventas_b_mes1255[[#This Row],[TOTAL]]/1.21</f>
        <v>0</v>
      </c>
      <c r="I1553" s="64">
        <f>ventas_b_mes1255[[#This Row],[IMPORTE NETO]]*0.21</f>
        <v>0</v>
      </c>
      <c r="J1553" s="184"/>
      <c r="K1553" s="184"/>
      <c r="L1553" s="184"/>
      <c r="M1553" s="59"/>
    </row>
    <row r="1554" spans="2:13" x14ac:dyDescent="0.3">
      <c r="B1554" s="178"/>
      <c r="C1554" s="41"/>
      <c r="D1554" s="180"/>
      <c r="E1554" s="181"/>
      <c r="F1554" s="182"/>
      <c r="G1554" s="1" t="str">
        <f>IFERROR(IF(ventas_b_mes1255[[#This Row],[CUIT]]="","-",VLOOKUP(ventas_b_mes1255[[#This Row],[CUIT]],Lista_CUIT[#All],2,0)),"CUIT NO CARGADO")</f>
        <v>-</v>
      </c>
      <c r="H1554" s="100">
        <f>ventas_b_mes1255[[#This Row],[TOTAL]]/1.21</f>
        <v>0</v>
      </c>
      <c r="I1554" s="64">
        <f>ventas_b_mes1255[[#This Row],[IMPORTE NETO]]*0.21</f>
        <v>0</v>
      </c>
      <c r="J1554" s="184"/>
      <c r="K1554" s="184"/>
      <c r="L1554" s="184"/>
      <c r="M1554" s="59"/>
    </row>
    <row r="1555" spans="2:13" x14ac:dyDescent="0.3">
      <c r="B1555" s="178"/>
      <c r="C1555" s="41"/>
      <c r="D1555" s="180"/>
      <c r="E1555" s="181"/>
      <c r="F1555" s="182"/>
      <c r="G1555" s="1" t="str">
        <f>IFERROR(IF(ventas_b_mes1255[[#This Row],[CUIT]]="","-",VLOOKUP(ventas_b_mes1255[[#This Row],[CUIT]],Lista_CUIT[#All],2,0)),"CUIT NO CARGADO")</f>
        <v>-</v>
      </c>
      <c r="H1555" s="100">
        <f>ventas_b_mes1255[[#This Row],[TOTAL]]/1.21</f>
        <v>0</v>
      </c>
      <c r="I1555" s="64">
        <f>ventas_b_mes1255[[#This Row],[IMPORTE NETO]]*0.21</f>
        <v>0</v>
      </c>
      <c r="J1555" s="184"/>
      <c r="K1555" s="184"/>
      <c r="L1555" s="184"/>
      <c r="M1555" s="59"/>
    </row>
    <row r="1556" spans="2:13" x14ac:dyDescent="0.3">
      <c r="B1556" s="178"/>
      <c r="C1556" s="41"/>
      <c r="D1556" s="180"/>
      <c r="E1556" s="181"/>
      <c r="F1556" s="182"/>
      <c r="G1556" s="1" t="str">
        <f>IFERROR(IF(ventas_b_mes1255[[#This Row],[CUIT]]="","-",VLOOKUP(ventas_b_mes1255[[#This Row],[CUIT]],Lista_CUIT[#All],2,0)),"CUIT NO CARGADO")</f>
        <v>-</v>
      </c>
      <c r="H1556" s="100">
        <f>ventas_b_mes1255[[#This Row],[TOTAL]]/1.21</f>
        <v>0</v>
      </c>
      <c r="I1556" s="64">
        <f>ventas_b_mes1255[[#This Row],[IMPORTE NETO]]*0.21</f>
        <v>0</v>
      </c>
      <c r="J1556" s="184"/>
      <c r="K1556" s="184"/>
      <c r="L1556" s="184"/>
      <c r="M1556" s="59"/>
    </row>
    <row r="1557" spans="2:13" x14ac:dyDescent="0.3">
      <c r="B1557" s="178"/>
      <c r="C1557" s="41"/>
      <c r="D1557" s="180"/>
      <c r="E1557" s="181"/>
      <c r="F1557" s="182"/>
      <c r="G1557" s="1" t="str">
        <f>IFERROR(IF(ventas_b_mes1255[[#This Row],[CUIT]]="","-",VLOOKUP(ventas_b_mes1255[[#This Row],[CUIT]],Lista_CUIT[#All],2,0)),"CUIT NO CARGADO")</f>
        <v>-</v>
      </c>
      <c r="H1557" s="100">
        <f>ventas_b_mes1255[[#This Row],[TOTAL]]/1.21</f>
        <v>0</v>
      </c>
      <c r="I1557" s="64">
        <f>ventas_b_mes1255[[#This Row],[IMPORTE NETO]]*0.21</f>
        <v>0</v>
      </c>
      <c r="J1557" s="184"/>
      <c r="K1557" s="184"/>
      <c r="L1557" s="184"/>
      <c r="M1557" s="59"/>
    </row>
    <row r="1558" spans="2:13" x14ac:dyDescent="0.3">
      <c r="B1558" s="178"/>
      <c r="C1558" s="41"/>
      <c r="D1558" s="180"/>
      <c r="E1558" s="181"/>
      <c r="F1558" s="182"/>
      <c r="G1558" s="1" t="str">
        <f>IFERROR(IF(ventas_b_mes1255[[#This Row],[CUIT]]="","-",VLOOKUP(ventas_b_mes1255[[#This Row],[CUIT]],Lista_CUIT[#All],2,0)),"CUIT NO CARGADO")</f>
        <v>-</v>
      </c>
      <c r="H1558" s="100">
        <f>ventas_b_mes1255[[#This Row],[TOTAL]]/1.21</f>
        <v>0</v>
      </c>
      <c r="I1558" s="64">
        <f>ventas_b_mes1255[[#This Row],[IMPORTE NETO]]*0.21</f>
        <v>0</v>
      </c>
      <c r="J1558" s="184"/>
      <c r="K1558" s="184"/>
      <c r="L1558" s="184"/>
      <c r="M1558" s="59"/>
    </row>
    <row r="1559" spans="2:13" x14ac:dyDescent="0.3">
      <c r="B1559" s="178"/>
      <c r="C1559" s="41"/>
      <c r="D1559" s="180"/>
      <c r="E1559" s="181"/>
      <c r="F1559" s="182"/>
      <c r="G1559" s="1" t="str">
        <f>IFERROR(IF(ventas_b_mes1255[[#This Row],[CUIT]]="","-",VLOOKUP(ventas_b_mes1255[[#This Row],[CUIT]],Lista_CUIT[#All],2,0)),"CUIT NO CARGADO")</f>
        <v>-</v>
      </c>
      <c r="H1559" s="100">
        <f>ventas_b_mes1255[[#This Row],[TOTAL]]/1.21</f>
        <v>0</v>
      </c>
      <c r="I1559" s="64">
        <f>ventas_b_mes1255[[#This Row],[IMPORTE NETO]]*0.21</f>
        <v>0</v>
      </c>
      <c r="J1559" s="184"/>
      <c r="K1559" s="184"/>
      <c r="L1559" s="184"/>
      <c r="M1559" s="59"/>
    </row>
    <row r="1560" spans="2:13" x14ac:dyDescent="0.3">
      <c r="B1560" s="178"/>
      <c r="C1560" s="41"/>
      <c r="D1560" s="180"/>
      <c r="E1560" s="181"/>
      <c r="F1560" s="182"/>
      <c r="G1560" s="1" t="str">
        <f>IFERROR(IF(ventas_b_mes1255[[#This Row],[CUIT]]="","-",VLOOKUP(ventas_b_mes1255[[#This Row],[CUIT]],Lista_CUIT[#All],2,0)),"CUIT NO CARGADO")</f>
        <v>-</v>
      </c>
      <c r="H1560" s="100">
        <f>ventas_b_mes1255[[#This Row],[TOTAL]]/1.21</f>
        <v>0</v>
      </c>
      <c r="I1560" s="64">
        <f>ventas_b_mes1255[[#This Row],[IMPORTE NETO]]*0.21</f>
        <v>0</v>
      </c>
      <c r="J1560" s="184"/>
      <c r="K1560" s="184"/>
      <c r="L1560" s="184"/>
      <c r="M1560" s="59"/>
    </row>
    <row r="1561" spans="2:13" x14ac:dyDescent="0.3">
      <c r="B1561" s="178"/>
      <c r="C1561" s="41"/>
      <c r="D1561" s="180"/>
      <c r="E1561" s="181"/>
      <c r="F1561" s="182"/>
      <c r="G1561" s="1" t="str">
        <f>IFERROR(IF(ventas_b_mes1255[[#This Row],[CUIT]]="","-",VLOOKUP(ventas_b_mes1255[[#This Row],[CUIT]],Lista_CUIT[#All],2,0)),"CUIT NO CARGADO")</f>
        <v>-</v>
      </c>
      <c r="H1561" s="100">
        <f>ventas_b_mes1255[[#This Row],[TOTAL]]/1.21</f>
        <v>0</v>
      </c>
      <c r="I1561" s="64">
        <f>ventas_b_mes1255[[#This Row],[IMPORTE NETO]]*0.21</f>
        <v>0</v>
      </c>
      <c r="J1561" s="184"/>
      <c r="K1561" s="184"/>
      <c r="L1561" s="184"/>
      <c r="M1561" s="59"/>
    </row>
    <row r="1562" spans="2:13" x14ac:dyDescent="0.3">
      <c r="B1562" s="178"/>
      <c r="C1562" s="41"/>
      <c r="D1562" s="180"/>
      <c r="E1562" s="181"/>
      <c r="F1562" s="182"/>
      <c r="G1562" s="1" t="str">
        <f>IFERROR(IF(ventas_b_mes1255[[#This Row],[CUIT]]="","-",VLOOKUP(ventas_b_mes1255[[#This Row],[CUIT]],Lista_CUIT[#All],2,0)),"CUIT NO CARGADO")</f>
        <v>-</v>
      </c>
      <c r="H1562" s="100">
        <f>ventas_b_mes1255[[#This Row],[TOTAL]]/1.21</f>
        <v>0</v>
      </c>
      <c r="I1562" s="64">
        <f>ventas_b_mes1255[[#This Row],[IMPORTE NETO]]*0.21</f>
        <v>0</v>
      </c>
      <c r="J1562" s="184"/>
      <c r="K1562" s="184"/>
      <c r="L1562" s="184"/>
      <c r="M1562" s="59"/>
    </row>
    <row r="1563" spans="2:13" x14ac:dyDescent="0.3">
      <c r="B1563" s="178"/>
      <c r="C1563" s="41"/>
      <c r="D1563" s="180"/>
      <c r="E1563" s="181"/>
      <c r="F1563" s="182"/>
      <c r="G1563" s="1" t="str">
        <f>IFERROR(IF(ventas_b_mes1255[[#This Row],[CUIT]]="","-",VLOOKUP(ventas_b_mes1255[[#This Row],[CUIT]],Lista_CUIT[#All],2,0)),"CUIT NO CARGADO")</f>
        <v>-</v>
      </c>
      <c r="H1563" s="100">
        <f>ventas_b_mes1255[[#This Row],[TOTAL]]/1.21</f>
        <v>0</v>
      </c>
      <c r="I1563" s="64">
        <f>ventas_b_mes1255[[#This Row],[IMPORTE NETO]]*0.21</f>
        <v>0</v>
      </c>
      <c r="J1563" s="184"/>
      <c r="K1563" s="184"/>
      <c r="L1563" s="184"/>
      <c r="M1563" s="59"/>
    </row>
    <row r="1564" spans="2:13" x14ac:dyDescent="0.3">
      <c r="B1564" s="178"/>
      <c r="C1564" s="41"/>
      <c r="D1564" s="180"/>
      <c r="E1564" s="181"/>
      <c r="F1564" s="182"/>
      <c r="G1564" s="1" t="str">
        <f>IFERROR(IF(ventas_b_mes1255[[#This Row],[CUIT]]="","-",VLOOKUP(ventas_b_mes1255[[#This Row],[CUIT]],Lista_CUIT[#All],2,0)),"CUIT NO CARGADO")</f>
        <v>-</v>
      </c>
      <c r="H1564" s="100">
        <f>ventas_b_mes1255[[#This Row],[TOTAL]]/1.21</f>
        <v>0</v>
      </c>
      <c r="I1564" s="64">
        <f>ventas_b_mes1255[[#This Row],[IMPORTE NETO]]*0.21</f>
        <v>0</v>
      </c>
      <c r="J1564" s="184"/>
      <c r="K1564" s="184"/>
      <c r="L1564" s="184"/>
      <c r="M1564" s="59"/>
    </row>
    <row r="1565" spans="2:13" x14ac:dyDescent="0.3">
      <c r="B1565" s="178"/>
      <c r="C1565" s="41"/>
      <c r="D1565" s="180"/>
      <c r="E1565" s="181"/>
      <c r="F1565" s="182"/>
      <c r="G1565" s="1" t="str">
        <f>IFERROR(IF(ventas_b_mes1255[[#This Row],[CUIT]]="","-",VLOOKUP(ventas_b_mes1255[[#This Row],[CUIT]],Lista_CUIT[#All],2,0)),"CUIT NO CARGADO")</f>
        <v>-</v>
      </c>
      <c r="H1565" s="100">
        <f>ventas_b_mes1255[[#This Row],[TOTAL]]/1.21</f>
        <v>0</v>
      </c>
      <c r="I1565" s="64">
        <f>ventas_b_mes1255[[#This Row],[IMPORTE NETO]]*0.21</f>
        <v>0</v>
      </c>
      <c r="J1565" s="184"/>
      <c r="K1565" s="184"/>
      <c r="L1565" s="184"/>
      <c r="M1565" s="59"/>
    </row>
    <row r="1566" spans="2:13" x14ac:dyDescent="0.3">
      <c r="B1566" s="178"/>
      <c r="C1566" s="41"/>
      <c r="D1566" s="180"/>
      <c r="E1566" s="181"/>
      <c r="F1566" s="182"/>
      <c r="G1566" s="1" t="str">
        <f>IFERROR(IF(ventas_b_mes1255[[#This Row],[CUIT]]="","-",VLOOKUP(ventas_b_mes1255[[#This Row],[CUIT]],Lista_CUIT[#All],2,0)),"CUIT NO CARGADO")</f>
        <v>-</v>
      </c>
      <c r="H1566" s="100">
        <f>ventas_b_mes1255[[#This Row],[TOTAL]]/1.21</f>
        <v>0</v>
      </c>
      <c r="I1566" s="64">
        <f>ventas_b_mes1255[[#This Row],[IMPORTE NETO]]*0.21</f>
        <v>0</v>
      </c>
      <c r="J1566" s="184"/>
      <c r="K1566" s="184"/>
      <c r="L1566" s="184"/>
      <c r="M1566" s="59"/>
    </row>
    <row r="1567" spans="2:13" x14ac:dyDescent="0.3">
      <c r="B1567" s="178"/>
      <c r="C1567" s="41"/>
      <c r="D1567" s="180"/>
      <c r="E1567" s="181"/>
      <c r="F1567" s="182"/>
      <c r="G1567" s="1" t="str">
        <f>IFERROR(IF(ventas_b_mes1255[[#This Row],[CUIT]]="","-",VLOOKUP(ventas_b_mes1255[[#This Row],[CUIT]],Lista_CUIT[#All],2,0)),"CUIT NO CARGADO")</f>
        <v>-</v>
      </c>
      <c r="H1567" s="100">
        <f>ventas_b_mes1255[[#This Row],[TOTAL]]/1.21</f>
        <v>0</v>
      </c>
      <c r="I1567" s="64">
        <f>ventas_b_mes1255[[#This Row],[IMPORTE NETO]]*0.21</f>
        <v>0</v>
      </c>
      <c r="J1567" s="184"/>
      <c r="K1567" s="184"/>
      <c r="L1567" s="184"/>
      <c r="M1567" s="59"/>
    </row>
    <row r="1568" spans="2:13" x14ac:dyDescent="0.3">
      <c r="B1568" s="178"/>
      <c r="C1568" s="41"/>
      <c r="D1568" s="180"/>
      <c r="E1568" s="181"/>
      <c r="F1568" s="182"/>
      <c r="G1568" s="1" t="str">
        <f>IFERROR(IF(ventas_b_mes1255[[#This Row],[CUIT]]="","-",VLOOKUP(ventas_b_mes1255[[#This Row],[CUIT]],Lista_CUIT[#All],2,0)),"CUIT NO CARGADO")</f>
        <v>-</v>
      </c>
      <c r="H1568" s="100">
        <f>ventas_b_mes1255[[#This Row],[TOTAL]]/1.21</f>
        <v>0</v>
      </c>
      <c r="I1568" s="64">
        <f>ventas_b_mes1255[[#This Row],[IMPORTE NETO]]*0.21</f>
        <v>0</v>
      </c>
      <c r="J1568" s="184"/>
      <c r="K1568" s="184"/>
      <c r="L1568" s="184"/>
      <c r="M1568" s="59"/>
    </row>
    <row r="1569" spans="2:13" x14ac:dyDescent="0.3">
      <c r="B1569" s="178"/>
      <c r="C1569" s="41"/>
      <c r="D1569" s="180"/>
      <c r="E1569" s="181"/>
      <c r="F1569" s="182"/>
      <c r="G1569" s="1" t="str">
        <f>IFERROR(IF(ventas_b_mes1255[[#This Row],[CUIT]]="","-",VLOOKUP(ventas_b_mes1255[[#This Row],[CUIT]],Lista_CUIT[#All],2,0)),"CUIT NO CARGADO")</f>
        <v>-</v>
      </c>
      <c r="H1569" s="100">
        <f>ventas_b_mes1255[[#This Row],[TOTAL]]/1.21</f>
        <v>0</v>
      </c>
      <c r="I1569" s="64">
        <f>ventas_b_mes1255[[#This Row],[IMPORTE NETO]]*0.21</f>
        <v>0</v>
      </c>
      <c r="J1569" s="184"/>
      <c r="K1569" s="184"/>
      <c r="L1569" s="184"/>
      <c r="M1569" s="59"/>
    </row>
    <row r="1570" spans="2:13" x14ac:dyDescent="0.3">
      <c r="B1570" s="178"/>
      <c r="C1570" s="41"/>
      <c r="D1570" s="180"/>
      <c r="E1570" s="181"/>
      <c r="F1570" s="182"/>
      <c r="G1570" s="1" t="str">
        <f>IFERROR(IF(ventas_b_mes1255[[#This Row],[CUIT]]="","-",VLOOKUP(ventas_b_mes1255[[#This Row],[CUIT]],Lista_CUIT[#All],2,0)),"CUIT NO CARGADO")</f>
        <v>-</v>
      </c>
      <c r="H1570" s="100">
        <f>ventas_b_mes1255[[#This Row],[TOTAL]]/1.21</f>
        <v>0</v>
      </c>
      <c r="I1570" s="64">
        <f>ventas_b_mes1255[[#This Row],[IMPORTE NETO]]*0.21</f>
        <v>0</v>
      </c>
      <c r="J1570" s="184"/>
      <c r="K1570" s="184"/>
      <c r="L1570" s="184"/>
      <c r="M1570" s="59"/>
    </row>
    <row r="1571" spans="2:13" x14ac:dyDescent="0.3">
      <c r="B1571" s="178"/>
      <c r="C1571" s="41"/>
      <c r="D1571" s="180"/>
      <c r="E1571" s="181"/>
      <c r="F1571" s="182"/>
      <c r="G1571" s="1" t="str">
        <f>IFERROR(IF(ventas_b_mes1255[[#This Row],[CUIT]]="","-",VLOOKUP(ventas_b_mes1255[[#This Row],[CUIT]],Lista_CUIT[#All],2,0)),"CUIT NO CARGADO")</f>
        <v>-</v>
      </c>
      <c r="H1571" s="100">
        <f>ventas_b_mes1255[[#This Row],[TOTAL]]/1.21</f>
        <v>0</v>
      </c>
      <c r="I1571" s="64">
        <f>ventas_b_mes1255[[#This Row],[IMPORTE NETO]]*0.21</f>
        <v>0</v>
      </c>
      <c r="J1571" s="184"/>
      <c r="K1571" s="184"/>
      <c r="L1571" s="184"/>
      <c r="M1571" s="59"/>
    </row>
    <row r="1572" spans="2:13" x14ac:dyDescent="0.3">
      <c r="B1572" s="178"/>
      <c r="C1572" s="41"/>
      <c r="D1572" s="180"/>
      <c r="E1572" s="181"/>
      <c r="F1572" s="182"/>
      <c r="G1572" s="1" t="str">
        <f>IFERROR(IF(ventas_b_mes1255[[#This Row],[CUIT]]="","-",VLOOKUP(ventas_b_mes1255[[#This Row],[CUIT]],Lista_CUIT[#All],2,0)),"CUIT NO CARGADO")</f>
        <v>-</v>
      </c>
      <c r="H1572" s="100">
        <f>ventas_b_mes1255[[#This Row],[TOTAL]]/1.21</f>
        <v>0</v>
      </c>
      <c r="I1572" s="64">
        <f>ventas_b_mes1255[[#This Row],[IMPORTE NETO]]*0.21</f>
        <v>0</v>
      </c>
      <c r="J1572" s="184"/>
      <c r="K1572" s="184"/>
      <c r="L1572" s="184"/>
      <c r="M1572" s="59"/>
    </row>
    <row r="1573" spans="2:13" x14ac:dyDescent="0.3">
      <c r="B1573" s="178"/>
      <c r="C1573" s="41"/>
      <c r="D1573" s="180"/>
      <c r="E1573" s="181"/>
      <c r="F1573" s="182"/>
      <c r="G1573" s="1" t="str">
        <f>IFERROR(IF(ventas_b_mes1255[[#This Row],[CUIT]]="","-",VLOOKUP(ventas_b_mes1255[[#This Row],[CUIT]],Lista_CUIT[#All],2,0)),"CUIT NO CARGADO")</f>
        <v>-</v>
      </c>
      <c r="H1573" s="100">
        <f>ventas_b_mes1255[[#This Row],[TOTAL]]/1.21</f>
        <v>0</v>
      </c>
      <c r="I1573" s="64">
        <f>ventas_b_mes1255[[#This Row],[IMPORTE NETO]]*0.21</f>
        <v>0</v>
      </c>
      <c r="J1573" s="184"/>
      <c r="K1573" s="184"/>
      <c r="L1573" s="184"/>
      <c r="M1573" s="59"/>
    </row>
    <row r="1574" spans="2:13" x14ac:dyDescent="0.3">
      <c r="B1574" s="178"/>
      <c r="C1574" s="41"/>
      <c r="D1574" s="180"/>
      <c r="E1574" s="181"/>
      <c r="F1574" s="182"/>
      <c r="G1574" s="1" t="str">
        <f>IFERROR(IF(ventas_b_mes1255[[#This Row],[CUIT]]="","-",VLOOKUP(ventas_b_mes1255[[#This Row],[CUIT]],Lista_CUIT[#All],2,0)),"CUIT NO CARGADO")</f>
        <v>-</v>
      </c>
      <c r="H1574" s="100">
        <f>ventas_b_mes1255[[#This Row],[TOTAL]]/1.21</f>
        <v>0</v>
      </c>
      <c r="I1574" s="64">
        <f>ventas_b_mes1255[[#This Row],[IMPORTE NETO]]*0.21</f>
        <v>0</v>
      </c>
      <c r="J1574" s="184"/>
      <c r="K1574" s="184"/>
      <c r="L1574" s="184"/>
      <c r="M1574" s="59"/>
    </row>
    <row r="1575" spans="2:13" x14ac:dyDescent="0.3">
      <c r="B1575" s="178"/>
      <c r="C1575" s="41"/>
      <c r="D1575" s="180"/>
      <c r="E1575" s="181"/>
      <c r="F1575" s="182"/>
      <c r="G1575" s="1" t="str">
        <f>IFERROR(IF(ventas_b_mes1255[[#This Row],[CUIT]]="","-",VLOOKUP(ventas_b_mes1255[[#This Row],[CUIT]],Lista_CUIT[#All],2,0)),"CUIT NO CARGADO")</f>
        <v>-</v>
      </c>
      <c r="H1575" s="100">
        <f>ventas_b_mes1255[[#This Row],[TOTAL]]/1.21</f>
        <v>0</v>
      </c>
      <c r="I1575" s="64">
        <f>ventas_b_mes1255[[#This Row],[IMPORTE NETO]]*0.21</f>
        <v>0</v>
      </c>
      <c r="J1575" s="184"/>
      <c r="K1575" s="184"/>
      <c r="L1575" s="184"/>
      <c r="M1575" s="59"/>
    </row>
    <row r="1576" spans="2:13" x14ac:dyDescent="0.3">
      <c r="B1576" s="178"/>
      <c r="C1576" s="41"/>
      <c r="D1576" s="180"/>
      <c r="E1576" s="181"/>
      <c r="F1576" s="182"/>
      <c r="G1576" s="1" t="str">
        <f>IFERROR(IF(ventas_b_mes1255[[#This Row],[CUIT]]="","-",VLOOKUP(ventas_b_mes1255[[#This Row],[CUIT]],Lista_CUIT[#All],2,0)),"CUIT NO CARGADO")</f>
        <v>-</v>
      </c>
      <c r="H1576" s="100">
        <f>ventas_b_mes1255[[#This Row],[TOTAL]]/1.21</f>
        <v>0</v>
      </c>
      <c r="I1576" s="64">
        <f>ventas_b_mes1255[[#This Row],[IMPORTE NETO]]*0.21</f>
        <v>0</v>
      </c>
      <c r="J1576" s="184"/>
      <c r="K1576" s="184"/>
      <c r="L1576" s="184"/>
      <c r="M1576" s="59"/>
    </row>
    <row r="1577" spans="2:13" x14ac:dyDescent="0.3">
      <c r="B1577" s="178"/>
      <c r="C1577" s="41"/>
      <c r="D1577" s="180"/>
      <c r="E1577" s="181"/>
      <c r="F1577" s="182"/>
      <c r="G1577" s="1" t="str">
        <f>IFERROR(IF(ventas_b_mes1255[[#This Row],[CUIT]]="","-",VLOOKUP(ventas_b_mes1255[[#This Row],[CUIT]],Lista_CUIT[#All],2,0)),"CUIT NO CARGADO")</f>
        <v>-</v>
      </c>
      <c r="H1577" s="100">
        <f>ventas_b_mes1255[[#This Row],[TOTAL]]/1.21</f>
        <v>0</v>
      </c>
      <c r="I1577" s="64">
        <f>ventas_b_mes1255[[#This Row],[IMPORTE NETO]]*0.21</f>
        <v>0</v>
      </c>
      <c r="J1577" s="184"/>
      <c r="K1577" s="184"/>
      <c r="L1577" s="184"/>
      <c r="M1577" s="59"/>
    </row>
    <row r="1578" spans="2:13" x14ac:dyDescent="0.3">
      <c r="B1578" s="178"/>
      <c r="C1578" s="41"/>
      <c r="D1578" s="180"/>
      <c r="E1578" s="181"/>
      <c r="F1578" s="182"/>
      <c r="G1578" s="1" t="str">
        <f>IFERROR(IF(ventas_b_mes1255[[#This Row],[CUIT]]="","-",VLOOKUP(ventas_b_mes1255[[#This Row],[CUIT]],Lista_CUIT[#All],2,0)),"CUIT NO CARGADO")</f>
        <v>-</v>
      </c>
      <c r="H1578" s="100">
        <f>ventas_b_mes1255[[#This Row],[TOTAL]]/1.21</f>
        <v>0</v>
      </c>
      <c r="I1578" s="64">
        <f>ventas_b_mes1255[[#This Row],[IMPORTE NETO]]*0.21</f>
        <v>0</v>
      </c>
      <c r="J1578" s="184"/>
      <c r="K1578" s="184"/>
      <c r="L1578" s="184"/>
      <c r="M1578" s="59"/>
    </row>
    <row r="1579" spans="2:13" x14ac:dyDescent="0.3">
      <c r="B1579" s="178"/>
      <c r="C1579" s="41"/>
      <c r="D1579" s="180"/>
      <c r="E1579" s="181"/>
      <c r="F1579" s="182"/>
      <c r="G1579" s="1" t="str">
        <f>IFERROR(IF(ventas_b_mes1255[[#This Row],[CUIT]]="","-",VLOOKUP(ventas_b_mes1255[[#This Row],[CUIT]],Lista_CUIT[#All],2,0)),"CUIT NO CARGADO")</f>
        <v>-</v>
      </c>
      <c r="H1579" s="100">
        <f>ventas_b_mes1255[[#This Row],[TOTAL]]/1.21</f>
        <v>0</v>
      </c>
      <c r="I1579" s="64">
        <f>ventas_b_mes1255[[#This Row],[IMPORTE NETO]]*0.21</f>
        <v>0</v>
      </c>
      <c r="J1579" s="184"/>
      <c r="K1579" s="184"/>
      <c r="L1579" s="184"/>
      <c r="M1579" s="59"/>
    </row>
    <row r="1580" spans="2:13" x14ac:dyDescent="0.3">
      <c r="B1580" s="178"/>
      <c r="C1580" s="41"/>
      <c r="D1580" s="180"/>
      <c r="E1580" s="181"/>
      <c r="F1580" s="182"/>
      <c r="G1580" s="1" t="str">
        <f>IFERROR(IF(ventas_b_mes1255[[#This Row],[CUIT]]="","-",VLOOKUP(ventas_b_mes1255[[#This Row],[CUIT]],Lista_CUIT[#All],2,0)),"CUIT NO CARGADO")</f>
        <v>-</v>
      </c>
      <c r="H1580" s="100">
        <f>ventas_b_mes1255[[#This Row],[TOTAL]]/1.21</f>
        <v>0</v>
      </c>
      <c r="I1580" s="64">
        <f>ventas_b_mes1255[[#This Row],[IMPORTE NETO]]*0.21</f>
        <v>0</v>
      </c>
      <c r="J1580" s="184"/>
      <c r="K1580" s="184"/>
      <c r="L1580" s="184"/>
      <c r="M1580" s="59"/>
    </row>
    <row r="1581" spans="2:13" x14ac:dyDescent="0.3">
      <c r="B1581" s="178"/>
      <c r="C1581" s="41"/>
      <c r="D1581" s="180"/>
      <c r="E1581" s="181"/>
      <c r="F1581" s="182"/>
      <c r="G1581" s="1" t="str">
        <f>IFERROR(IF(ventas_b_mes1255[[#This Row],[CUIT]]="","-",VLOOKUP(ventas_b_mes1255[[#This Row],[CUIT]],Lista_CUIT[#All],2,0)),"CUIT NO CARGADO")</f>
        <v>-</v>
      </c>
      <c r="H1581" s="100">
        <f>ventas_b_mes1255[[#This Row],[TOTAL]]/1.21</f>
        <v>0</v>
      </c>
      <c r="I1581" s="64">
        <f>ventas_b_mes1255[[#This Row],[IMPORTE NETO]]*0.21</f>
        <v>0</v>
      </c>
      <c r="J1581" s="184"/>
      <c r="K1581" s="184"/>
      <c r="L1581" s="184"/>
      <c r="M1581" s="59"/>
    </row>
    <row r="1582" spans="2:13" x14ac:dyDescent="0.3">
      <c r="B1582" s="178"/>
      <c r="C1582" s="41"/>
      <c r="D1582" s="180"/>
      <c r="E1582" s="181"/>
      <c r="F1582" s="182"/>
      <c r="G1582" s="1" t="str">
        <f>IFERROR(IF(ventas_b_mes1255[[#This Row],[CUIT]]="","-",VLOOKUP(ventas_b_mes1255[[#This Row],[CUIT]],Lista_CUIT[#All],2,0)),"CUIT NO CARGADO")</f>
        <v>-</v>
      </c>
      <c r="H1582" s="100">
        <f>ventas_b_mes1255[[#This Row],[TOTAL]]/1.21</f>
        <v>0</v>
      </c>
      <c r="I1582" s="64">
        <f>ventas_b_mes1255[[#This Row],[IMPORTE NETO]]*0.21</f>
        <v>0</v>
      </c>
      <c r="J1582" s="184"/>
      <c r="K1582" s="184"/>
      <c r="L1582" s="184"/>
      <c r="M1582" s="59"/>
    </row>
    <row r="1583" spans="2:13" x14ac:dyDescent="0.3">
      <c r="B1583" s="178"/>
      <c r="C1583" s="41"/>
      <c r="D1583" s="180"/>
      <c r="E1583" s="181"/>
      <c r="F1583" s="182"/>
      <c r="G1583" s="1" t="str">
        <f>IFERROR(IF(ventas_b_mes1255[[#This Row],[CUIT]]="","-",VLOOKUP(ventas_b_mes1255[[#This Row],[CUIT]],Lista_CUIT[#All],2,0)),"CUIT NO CARGADO")</f>
        <v>-</v>
      </c>
      <c r="H1583" s="100">
        <f>ventas_b_mes1255[[#This Row],[TOTAL]]/1.21</f>
        <v>0</v>
      </c>
      <c r="I1583" s="64">
        <f>ventas_b_mes1255[[#This Row],[IMPORTE NETO]]*0.21</f>
        <v>0</v>
      </c>
      <c r="J1583" s="184"/>
      <c r="K1583" s="184"/>
      <c r="L1583" s="184"/>
      <c r="M1583" s="59"/>
    </row>
    <row r="1584" spans="2:13" x14ac:dyDescent="0.3">
      <c r="B1584" s="178"/>
      <c r="C1584" s="41"/>
      <c r="D1584" s="180"/>
      <c r="E1584" s="181"/>
      <c r="F1584" s="182"/>
      <c r="G1584" s="1" t="str">
        <f>IFERROR(IF(ventas_b_mes1255[[#This Row],[CUIT]]="","-",VLOOKUP(ventas_b_mes1255[[#This Row],[CUIT]],Lista_CUIT[#All],2,0)),"CUIT NO CARGADO")</f>
        <v>-</v>
      </c>
      <c r="H1584" s="100">
        <f>ventas_b_mes1255[[#This Row],[TOTAL]]/1.21</f>
        <v>0</v>
      </c>
      <c r="I1584" s="64">
        <f>ventas_b_mes1255[[#This Row],[IMPORTE NETO]]*0.21</f>
        <v>0</v>
      </c>
      <c r="J1584" s="184"/>
      <c r="K1584" s="184"/>
      <c r="L1584" s="184"/>
      <c r="M1584" s="59"/>
    </row>
    <row r="1585" spans="2:13" x14ac:dyDescent="0.3">
      <c r="B1585" s="178"/>
      <c r="C1585" s="41"/>
      <c r="D1585" s="180"/>
      <c r="E1585" s="181"/>
      <c r="F1585" s="182"/>
      <c r="G1585" s="1" t="str">
        <f>IFERROR(IF(ventas_b_mes1255[[#This Row],[CUIT]]="","-",VLOOKUP(ventas_b_mes1255[[#This Row],[CUIT]],Lista_CUIT[#All],2,0)),"CUIT NO CARGADO")</f>
        <v>-</v>
      </c>
      <c r="H1585" s="100">
        <f>ventas_b_mes1255[[#This Row],[TOTAL]]/1.21</f>
        <v>0</v>
      </c>
      <c r="I1585" s="64">
        <f>ventas_b_mes1255[[#This Row],[IMPORTE NETO]]*0.21</f>
        <v>0</v>
      </c>
      <c r="J1585" s="184"/>
      <c r="K1585" s="184"/>
      <c r="L1585" s="184"/>
      <c r="M1585" s="59"/>
    </row>
    <row r="1586" spans="2:13" x14ac:dyDescent="0.3">
      <c r="B1586" s="178"/>
      <c r="C1586" s="41"/>
      <c r="D1586" s="180"/>
      <c r="E1586" s="181"/>
      <c r="F1586" s="182"/>
      <c r="G1586" s="1" t="str">
        <f>IFERROR(IF(ventas_b_mes1255[[#This Row],[CUIT]]="","-",VLOOKUP(ventas_b_mes1255[[#This Row],[CUIT]],Lista_CUIT[#All],2,0)),"CUIT NO CARGADO")</f>
        <v>-</v>
      </c>
      <c r="H1586" s="100">
        <f>ventas_b_mes1255[[#This Row],[TOTAL]]/1.21</f>
        <v>0</v>
      </c>
      <c r="I1586" s="64">
        <f>ventas_b_mes1255[[#This Row],[IMPORTE NETO]]*0.21</f>
        <v>0</v>
      </c>
      <c r="J1586" s="184"/>
      <c r="K1586" s="184"/>
      <c r="L1586" s="184"/>
      <c r="M1586" s="59"/>
    </row>
    <row r="1587" spans="2:13" x14ac:dyDescent="0.3">
      <c r="B1587" s="178"/>
      <c r="C1587" s="41"/>
      <c r="D1587" s="180"/>
      <c r="E1587" s="181"/>
      <c r="F1587" s="182"/>
      <c r="G1587" s="1" t="str">
        <f>IFERROR(IF(ventas_b_mes1255[[#This Row],[CUIT]]="","-",VLOOKUP(ventas_b_mes1255[[#This Row],[CUIT]],Lista_CUIT[#All],2,0)),"CUIT NO CARGADO")</f>
        <v>-</v>
      </c>
      <c r="H1587" s="100">
        <f>ventas_b_mes1255[[#This Row],[TOTAL]]/1.21</f>
        <v>0</v>
      </c>
      <c r="I1587" s="64">
        <f>ventas_b_mes1255[[#This Row],[IMPORTE NETO]]*0.21</f>
        <v>0</v>
      </c>
      <c r="J1587" s="184"/>
      <c r="K1587" s="184"/>
      <c r="L1587" s="184"/>
      <c r="M1587" s="59"/>
    </row>
    <row r="1588" spans="2:13" x14ac:dyDescent="0.3">
      <c r="B1588" s="178"/>
      <c r="C1588" s="41"/>
      <c r="D1588" s="180"/>
      <c r="E1588" s="181"/>
      <c r="F1588" s="182"/>
      <c r="G1588" s="1" t="str">
        <f>IFERROR(IF(ventas_b_mes1255[[#This Row],[CUIT]]="","-",VLOOKUP(ventas_b_mes1255[[#This Row],[CUIT]],Lista_CUIT[#All],2,0)),"CUIT NO CARGADO")</f>
        <v>-</v>
      </c>
      <c r="H1588" s="100">
        <f>ventas_b_mes1255[[#This Row],[TOTAL]]/1.21</f>
        <v>0</v>
      </c>
      <c r="I1588" s="64">
        <f>ventas_b_mes1255[[#This Row],[IMPORTE NETO]]*0.21</f>
        <v>0</v>
      </c>
      <c r="J1588" s="184"/>
      <c r="K1588" s="184"/>
      <c r="L1588" s="184"/>
      <c r="M1588" s="59"/>
    </row>
    <row r="1589" spans="2:13" x14ac:dyDescent="0.3">
      <c r="B1589" s="178"/>
      <c r="C1589" s="41"/>
      <c r="D1589" s="180"/>
      <c r="E1589" s="181"/>
      <c r="F1589" s="182"/>
      <c r="G1589" s="1" t="str">
        <f>IFERROR(IF(ventas_b_mes1255[[#This Row],[CUIT]]="","-",VLOOKUP(ventas_b_mes1255[[#This Row],[CUIT]],Lista_CUIT[#All],2,0)),"CUIT NO CARGADO")</f>
        <v>-</v>
      </c>
      <c r="H1589" s="100">
        <f>ventas_b_mes1255[[#This Row],[TOTAL]]/1.21</f>
        <v>0</v>
      </c>
      <c r="I1589" s="64">
        <f>ventas_b_mes1255[[#This Row],[IMPORTE NETO]]*0.21</f>
        <v>0</v>
      </c>
      <c r="J1589" s="184"/>
      <c r="K1589" s="184"/>
      <c r="L1589" s="184"/>
      <c r="M1589" s="59"/>
    </row>
    <row r="1590" spans="2:13" x14ac:dyDescent="0.3">
      <c r="B1590" s="178"/>
      <c r="C1590" s="41"/>
      <c r="D1590" s="180"/>
      <c r="E1590" s="181"/>
      <c r="F1590" s="182"/>
      <c r="G1590" s="1" t="str">
        <f>IFERROR(IF(ventas_b_mes1255[[#This Row],[CUIT]]="","-",VLOOKUP(ventas_b_mes1255[[#This Row],[CUIT]],Lista_CUIT[#All],2,0)),"CUIT NO CARGADO")</f>
        <v>-</v>
      </c>
      <c r="H1590" s="100">
        <f>ventas_b_mes1255[[#This Row],[TOTAL]]/1.21</f>
        <v>0</v>
      </c>
      <c r="I1590" s="64">
        <f>ventas_b_mes1255[[#This Row],[IMPORTE NETO]]*0.21</f>
        <v>0</v>
      </c>
      <c r="J1590" s="184"/>
      <c r="K1590" s="184"/>
      <c r="L1590" s="184"/>
      <c r="M1590" s="59"/>
    </row>
    <row r="1591" spans="2:13" x14ac:dyDescent="0.3">
      <c r="B1591" s="178"/>
      <c r="C1591" s="41"/>
      <c r="D1591" s="180"/>
      <c r="E1591" s="181"/>
      <c r="F1591" s="182"/>
      <c r="G1591" s="1" t="str">
        <f>IFERROR(IF(ventas_b_mes1255[[#This Row],[CUIT]]="","-",VLOOKUP(ventas_b_mes1255[[#This Row],[CUIT]],Lista_CUIT[#All],2,0)),"CUIT NO CARGADO")</f>
        <v>-</v>
      </c>
      <c r="H1591" s="100">
        <f>ventas_b_mes1255[[#This Row],[TOTAL]]/1.21</f>
        <v>0</v>
      </c>
      <c r="I1591" s="64">
        <f>ventas_b_mes1255[[#This Row],[IMPORTE NETO]]*0.21</f>
        <v>0</v>
      </c>
      <c r="J1591" s="184"/>
      <c r="K1591" s="184"/>
      <c r="L1591" s="184"/>
      <c r="M1591" s="59"/>
    </row>
    <row r="1592" spans="2:13" x14ac:dyDescent="0.3">
      <c r="B1592" s="178"/>
      <c r="C1592" s="41"/>
      <c r="D1592" s="180"/>
      <c r="E1592" s="181"/>
      <c r="F1592" s="182"/>
      <c r="G1592" s="1" t="str">
        <f>IFERROR(IF(ventas_b_mes1255[[#This Row],[CUIT]]="","-",VLOOKUP(ventas_b_mes1255[[#This Row],[CUIT]],Lista_CUIT[#All],2,0)),"CUIT NO CARGADO")</f>
        <v>-</v>
      </c>
      <c r="H1592" s="100">
        <f>ventas_b_mes1255[[#This Row],[TOTAL]]/1.21</f>
        <v>0</v>
      </c>
      <c r="I1592" s="64">
        <f>ventas_b_mes1255[[#This Row],[IMPORTE NETO]]*0.21</f>
        <v>0</v>
      </c>
      <c r="J1592" s="184"/>
      <c r="K1592" s="184"/>
      <c r="L1592" s="184"/>
      <c r="M1592" s="59"/>
    </row>
    <row r="1593" spans="2:13" x14ac:dyDescent="0.3">
      <c r="B1593" s="178"/>
      <c r="C1593" s="41"/>
      <c r="D1593" s="180"/>
      <c r="E1593" s="181"/>
      <c r="F1593" s="182"/>
      <c r="G1593" s="1" t="str">
        <f>IFERROR(IF(ventas_b_mes1255[[#This Row],[CUIT]]="","-",VLOOKUP(ventas_b_mes1255[[#This Row],[CUIT]],Lista_CUIT[#All],2,0)),"CUIT NO CARGADO")</f>
        <v>-</v>
      </c>
      <c r="H1593" s="100">
        <f>ventas_b_mes1255[[#This Row],[TOTAL]]/1.21</f>
        <v>0</v>
      </c>
      <c r="I1593" s="64">
        <f>ventas_b_mes1255[[#This Row],[IMPORTE NETO]]*0.21</f>
        <v>0</v>
      </c>
      <c r="J1593" s="184"/>
      <c r="K1593" s="184"/>
      <c r="L1593" s="184"/>
      <c r="M1593" s="59"/>
    </row>
    <row r="1594" spans="2:13" x14ac:dyDescent="0.3">
      <c r="B1594" s="178"/>
      <c r="C1594" s="41"/>
      <c r="D1594" s="180"/>
      <c r="E1594" s="181"/>
      <c r="F1594" s="182"/>
      <c r="G1594" s="1" t="str">
        <f>IFERROR(IF(ventas_b_mes1255[[#This Row],[CUIT]]="","-",VLOOKUP(ventas_b_mes1255[[#This Row],[CUIT]],Lista_CUIT[#All],2,0)),"CUIT NO CARGADO")</f>
        <v>-</v>
      </c>
      <c r="H1594" s="100">
        <f>ventas_b_mes1255[[#This Row],[TOTAL]]/1.21</f>
        <v>0</v>
      </c>
      <c r="I1594" s="64">
        <f>ventas_b_mes1255[[#This Row],[IMPORTE NETO]]*0.21</f>
        <v>0</v>
      </c>
      <c r="J1594" s="184"/>
      <c r="K1594" s="184"/>
      <c r="L1594" s="184"/>
      <c r="M1594" s="59"/>
    </row>
    <row r="1595" spans="2:13" x14ac:dyDescent="0.3">
      <c r="B1595" s="178"/>
      <c r="C1595" s="41"/>
      <c r="D1595" s="180"/>
      <c r="E1595" s="181"/>
      <c r="F1595" s="182"/>
      <c r="G1595" s="1" t="str">
        <f>IFERROR(IF(ventas_b_mes1255[[#This Row],[CUIT]]="","-",VLOOKUP(ventas_b_mes1255[[#This Row],[CUIT]],Lista_CUIT[#All],2,0)),"CUIT NO CARGADO")</f>
        <v>-</v>
      </c>
      <c r="H1595" s="100">
        <f>ventas_b_mes1255[[#This Row],[TOTAL]]/1.21</f>
        <v>0</v>
      </c>
      <c r="I1595" s="64">
        <f>ventas_b_mes1255[[#This Row],[IMPORTE NETO]]*0.21</f>
        <v>0</v>
      </c>
      <c r="J1595" s="184"/>
      <c r="K1595" s="184"/>
      <c r="L1595" s="184"/>
      <c r="M1595" s="59"/>
    </row>
    <row r="1596" spans="2:13" x14ac:dyDescent="0.3">
      <c r="B1596" s="178"/>
      <c r="C1596" s="41"/>
      <c r="D1596" s="180"/>
      <c r="E1596" s="181"/>
      <c r="F1596" s="182"/>
      <c r="G1596" s="1" t="str">
        <f>IFERROR(IF(ventas_b_mes1255[[#This Row],[CUIT]]="","-",VLOOKUP(ventas_b_mes1255[[#This Row],[CUIT]],Lista_CUIT[#All],2,0)),"CUIT NO CARGADO")</f>
        <v>-</v>
      </c>
      <c r="H1596" s="100">
        <f>ventas_b_mes1255[[#This Row],[TOTAL]]/1.21</f>
        <v>0</v>
      </c>
      <c r="I1596" s="64">
        <f>ventas_b_mes1255[[#This Row],[IMPORTE NETO]]*0.21</f>
        <v>0</v>
      </c>
      <c r="J1596" s="184"/>
      <c r="K1596" s="184"/>
      <c r="L1596" s="184"/>
      <c r="M1596" s="59"/>
    </row>
    <row r="1597" spans="2:13" x14ac:dyDescent="0.3">
      <c r="B1597" s="178"/>
      <c r="C1597" s="41"/>
      <c r="D1597" s="180"/>
      <c r="E1597" s="181"/>
      <c r="F1597" s="182"/>
      <c r="G1597" s="1" t="str">
        <f>IFERROR(IF(ventas_b_mes1255[[#This Row],[CUIT]]="","-",VLOOKUP(ventas_b_mes1255[[#This Row],[CUIT]],Lista_CUIT[#All],2,0)),"CUIT NO CARGADO")</f>
        <v>-</v>
      </c>
      <c r="H1597" s="100">
        <f>ventas_b_mes1255[[#This Row],[TOTAL]]/1.21</f>
        <v>0</v>
      </c>
      <c r="I1597" s="64">
        <f>ventas_b_mes1255[[#This Row],[IMPORTE NETO]]*0.21</f>
        <v>0</v>
      </c>
      <c r="J1597" s="184"/>
      <c r="K1597" s="184"/>
      <c r="L1597" s="184"/>
      <c r="M1597" s="59"/>
    </row>
    <row r="1598" spans="2:13" x14ac:dyDescent="0.3">
      <c r="B1598" s="178"/>
      <c r="C1598" s="41"/>
      <c r="D1598" s="180"/>
      <c r="E1598" s="181"/>
      <c r="F1598" s="182"/>
      <c r="G1598" s="1" t="str">
        <f>IFERROR(IF(ventas_b_mes1255[[#This Row],[CUIT]]="","-",VLOOKUP(ventas_b_mes1255[[#This Row],[CUIT]],Lista_CUIT[#All],2,0)),"CUIT NO CARGADO")</f>
        <v>-</v>
      </c>
      <c r="H1598" s="100">
        <f>ventas_b_mes1255[[#This Row],[TOTAL]]/1.21</f>
        <v>0</v>
      </c>
      <c r="I1598" s="64">
        <f>ventas_b_mes1255[[#This Row],[IMPORTE NETO]]*0.21</f>
        <v>0</v>
      </c>
      <c r="J1598" s="184"/>
      <c r="K1598" s="184"/>
      <c r="L1598" s="184"/>
      <c r="M1598" s="59"/>
    </row>
    <row r="1599" spans="2:13" x14ac:dyDescent="0.3">
      <c r="B1599" s="178"/>
      <c r="C1599" s="41"/>
      <c r="D1599" s="180"/>
      <c r="E1599" s="181"/>
      <c r="F1599" s="182"/>
      <c r="G1599" s="1" t="str">
        <f>IFERROR(IF(ventas_b_mes1255[[#This Row],[CUIT]]="","-",VLOOKUP(ventas_b_mes1255[[#This Row],[CUIT]],Lista_CUIT[#All],2,0)),"CUIT NO CARGADO")</f>
        <v>-</v>
      </c>
      <c r="H1599" s="100">
        <f>ventas_b_mes1255[[#This Row],[TOTAL]]/1.21</f>
        <v>0</v>
      </c>
      <c r="I1599" s="64">
        <f>ventas_b_mes1255[[#This Row],[IMPORTE NETO]]*0.21</f>
        <v>0</v>
      </c>
      <c r="J1599" s="184"/>
      <c r="K1599" s="184"/>
      <c r="L1599" s="184"/>
      <c r="M1599" s="59"/>
    </row>
    <row r="1600" spans="2:13" x14ac:dyDescent="0.3">
      <c r="B1600" s="178"/>
      <c r="C1600" s="41"/>
      <c r="D1600" s="180"/>
      <c r="E1600" s="181"/>
      <c r="F1600" s="182"/>
      <c r="G1600" s="1" t="str">
        <f>IFERROR(IF(ventas_b_mes1255[[#This Row],[CUIT]]="","-",VLOOKUP(ventas_b_mes1255[[#This Row],[CUIT]],Lista_CUIT[#All],2,0)),"CUIT NO CARGADO")</f>
        <v>-</v>
      </c>
      <c r="H1600" s="100">
        <f>ventas_b_mes1255[[#This Row],[TOTAL]]/1.21</f>
        <v>0</v>
      </c>
      <c r="I1600" s="64">
        <f>ventas_b_mes1255[[#This Row],[IMPORTE NETO]]*0.21</f>
        <v>0</v>
      </c>
      <c r="J1600" s="184"/>
      <c r="K1600" s="184"/>
      <c r="L1600" s="184"/>
      <c r="M1600" s="59"/>
    </row>
    <row r="1601" spans="2:13" x14ac:dyDescent="0.3">
      <c r="B1601" s="178"/>
      <c r="C1601" s="41"/>
      <c r="D1601" s="180"/>
      <c r="E1601" s="181"/>
      <c r="F1601" s="182"/>
      <c r="G1601" s="1" t="str">
        <f>IFERROR(IF(ventas_b_mes1255[[#This Row],[CUIT]]="","-",VLOOKUP(ventas_b_mes1255[[#This Row],[CUIT]],Lista_CUIT[#All],2,0)),"CUIT NO CARGADO")</f>
        <v>-</v>
      </c>
      <c r="H1601" s="100">
        <f>ventas_b_mes1255[[#This Row],[TOTAL]]/1.21</f>
        <v>0</v>
      </c>
      <c r="I1601" s="64">
        <f>ventas_b_mes1255[[#This Row],[IMPORTE NETO]]*0.21</f>
        <v>0</v>
      </c>
      <c r="J1601" s="184"/>
      <c r="K1601" s="184"/>
      <c r="L1601" s="184"/>
      <c r="M1601" s="59"/>
    </row>
    <row r="1602" spans="2:13" x14ac:dyDescent="0.3">
      <c r="B1602" s="178"/>
      <c r="C1602" s="41"/>
      <c r="D1602" s="180"/>
      <c r="E1602" s="181"/>
      <c r="F1602" s="182"/>
      <c r="G1602" s="1" t="str">
        <f>IFERROR(IF(ventas_b_mes1255[[#This Row],[CUIT]]="","-",VLOOKUP(ventas_b_mes1255[[#This Row],[CUIT]],Lista_CUIT[#All],2,0)),"CUIT NO CARGADO")</f>
        <v>-</v>
      </c>
      <c r="H1602" s="100">
        <f>ventas_b_mes1255[[#This Row],[TOTAL]]/1.21</f>
        <v>0</v>
      </c>
      <c r="I1602" s="64">
        <f>ventas_b_mes1255[[#This Row],[IMPORTE NETO]]*0.21</f>
        <v>0</v>
      </c>
      <c r="J1602" s="184"/>
      <c r="K1602" s="184"/>
      <c r="L1602" s="184"/>
      <c r="M1602" s="59"/>
    </row>
    <row r="1603" spans="2:13" x14ac:dyDescent="0.3">
      <c r="B1603" s="178"/>
      <c r="C1603" s="41"/>
      <c r="D1603" s="180"/>
      <c r="E1603" s="181"/>
      <c r="F1603" s="182"/>
      <c r="G1603" s="1" t="str">
        <f>IFERROR(IF(ventas_b_mes1255[[#This Row],[CUIT]]="","-",VLOOKUP(ventas_b_mes1255[[#This Row],[CUIT]],Lista_CUIT[#All],2,0)),"CUIT NO CARGADO")</f>
        <v>-</v>
      </c>
      <c r="H1603" s="100">
        <f>ventas_b_mes1255[[#This Row],[TOTAL]]/1.21</f>
        <v>0</v>
      </c>
      <c r="I1603" s="64">
        <f>ventas_b_mes1255[[#This Row],[IMPORTE NETO]]*0.21</f>
        <v>0</v>
      </c>
      <c r="J1603" s="184"/>
      <c r="K1603" s="184"/>
      <c r="L1603" s="184"/>
      <c r="M1603" s="59"/>
    </row>
    <row r="1604" spans="2:13" x14ac:dyDescent="0.3">
      <c r="B1604" s="178"/>
      <c r="C1604" s="41"/>
      <c r="D1604" s="180"/>
      <c r="E1604" s="181"/>
      <c r="F1604" s="182"/>
      <c r="G1604" s="1" t="str">
        <f>IFERROR(IF(ventas_b_mes1255[[#This Row],[CUIT]]="","-",VLOOKUP(ventas_b_mes1255[[#This Row],[CUIT]],Lista_CUIT[#All],2,0)),"CUIT NO CARGADO")</f>
        <v>-</v>
      </c>
      <c r="H1604" s="100">
        <f>ventas_b_mes1255[[#This Row],[TOTAL]]/1.21</f>
        <v>0</v>
      </c>
      <c r="I1604" s="64">
        <f>ventas_b_mes1255[[#This Row],[IMPORTE NETO]]*0.21</f>
        <v>0</v>
      </c>
      <c r="J1604" s="184"/>
      <c r="K1604" s="184"/>
      <c r="L1604" s="184"/>
      <c r="M1604" s="59"/>
    </row>
    <row r="1605" spans="2:13" x14ac:dyDescent="0.3">
      <c r="B1605" s="178"/>
      <c r="C1605" s="41"/>
      <c r="D1605" s="180"/>
      <c r="E1605" s="181"/>
      <c r="F1605" s="182"/>
      <c r="G1605" s="1" t="str">
        <f>IFERROR(IF(ventas_b_mes1255[[#This Row],[CUIT]]="","-",VLOOKUP(ventas_b_mes1255[[#This Row],[CUIT]],Lista_CUIT[#All],2,0)),"CUIT NO CARGADO")</f>
        <v>-</v>
      </c>
      <c r="H1605" s="100">
        <f>ventas_b_mes1255[[#This Row],[TOTAL]]/1.21</f>
        <v>0</v>
      </c>
      <c r="I1605" s="64">
        <f>ventas_b_mes1255[[#This Row],[IMPORTE NETO]]*0.21</f>
        <v>0</v>
      </c>
      <c r="J1605" s="184"/>
      <c r="K1605" s="184"/>
      <c r="L1605" s="184"/>
      <c r="M1605" s="59"/>
    </row>
    <row r="1606" spans="2:13" x14ac:dyDescent="0.3">
      <c r="B1606" s="178"/>
      <c r="C1606" s="41"/>
      <c r="D1606" s="180"/>
      <c r="E1606" s="181"/>
      <c r="F1606" s="182"/>
      <c r="G1606" s="1" t="str">
        <f>IFERROR(IF(ventas_b_mes1255[[#This Row],[CUIT]]="","-",VLOOKUP(ventas_b_mes1255[[#This Row],[CUIT]],Lista_CUIT[#All],2,0)),"CUIT NO CARGADO")</f>
        <v>-</v>
      </c>
      <c r="H1606" s="100">
        <f>ventas_b_mes1255[[#This Row],[TOTAL]]/1.21</f>
        <v>0</v>
      </c>
      <c r="I1606" s="64">
        <f>ventas_b_mes1255[[#This Row],[IMPORTE NETO]]*0.21</f>
        <v>0</v>
      </c>
      <c r="J1606" s="184"/>
      <c r="K1606" s="184"/>
      <c r="L1606" s="184"/>
      <c r="M1606" s="59"/>
    </row>
    <row r="1607" spans="2:13" x14ac:dyDescent="0.3">
      <c r="B1607" s="178"/>
      <c r="C1607" s="41"/>
      <c r="D1607" s="180"/>
      <c r="E1607" s="181"/>
      <c r="F1607" s="182"/>
      <c r="G1607" s="1" t="str">
        <f>IFERROR(IF(ventas_b_mes1255[[#This Row],[CUIT]]="","-",VLOOKUP(ventas_b_mes1255[[#This Row],[CUIT]],Lista_CUIT[#All],2,0)),"CUIT NO CARGADO")</f>
        <v>-</v>
      </c>
      <c r="H1607" s="100">
        <f>ventas_b_mes1255[[#This Row],[TOTAL]]/1.21</f>
        <v>0</v>
      </c>
      <c r="I1607" s="64">
        <f>ventas_b_mes1255[[#This Row],[IMPORTE NETO]]*0.21</f>
        <v>0</v>
      </c>
      <c r="J1607" s="184"/>
      <c r="K1607" s="184"/>
      <c r="L1607" s="184"/>
      <c r="M1607" s="59"/>
    </row>
    <row r="1608" spans="2:13" x14ac:dyDescent="0.3">
      <c r="B1608" s="178"/>
      <c r="C1608" s="41"/>
      <c r="D1608" s="180"/>
      <c r="E1608" s="181"/>
      <c r="F1608" s="182"/>
      <c r="G1608" s="1" t="str">
        <f>IFERROR(IF(ventas_b_mes1255[[#This Row],[CUIT]]="","-",VLOOKUP(ventas_b_mes1255[[#This Row],[CUIT]],Lista_CUIT[#All],2,0)),"CUIT NO CARGADO")</f>
        <v>-</v>
      </c>
      <c r="H1608" s="100">
        <f>ventas_b_mes1255[[#This Row],[TOTAL]]/1.21</f>
        <v>0</v>
      </c>
      <c r="I1608" s="64">
        <f>ventas_b_mes1255[[#This Row],[IMPORTE NETO]]*0.21</f>
        <v>0</v>
      </c>
      <c r="J1608" s="184"/>
      <c r="K1608" s="184"/>
      <c r="L1608" s="184"/>
      <c r="M1608" s="59"/>
    </row>
    <row r="1609" spans="2:13" x14ac:dyDescent="0.3">
      <c r="B1609" s="178"/>
      <c r="C1609" s="41"/>
      <c r="D1609" s="180"/>
      <c r="E1609" s="181"/>
      <c r="F1609" s="182"/>
      <c r="G1609" s="1" t="str">
        <f>IFERROR(IF(ventas_b_mes1255[[#This Row],[CUIT]]="","-",VLOOKUP(ventas_b_mes1255[[#This Row],[CUIT]],Lista_CUIT[#All],2,0)),"CUIT NO CARGADO")</f>
        <v>-</v>
      </c>
      <c r="H1609" s="100">
        <f>ventas_b_mes1255[[#This Row],[TOTAL]]/1.21</f>
        <v>0</v>
      </c>
      <c r="I1609" s="64">
        <f>ventas_b_mes1255[[#This Row],[IMPORTE NETO]]*0.21</f>
        <v>0</v>
      </c>
      <c r="J1609" s="184"/>
      <c r="K1609" s="184"/>
      <c r="L1609" s="184"/>
      <c r="M1609" s="59"/>
    </row>
    <row r="1610" spans="2:13" x14ac:dyDescent="0.3">
      <c r="B1610" s="178"/>
      <c r="C1610" s="41"/>
      <c r="D1610" s="180"/>
      <c r="E1610" s="181"/>
      <c r="F1610" s="182"/>
      <c r="G1610" s="1" t="str">
        <f>IFERROR(IF(ventas_b_mes1255[[#This Row],[CUIT]]="","-",VLOOKUP(ventas_b_mes1255[[#This Row],[CUIT]],Lista_CUIT[#All],2,0)),"CUIT NO CARGADO")</f>
        <v>-</v>
      </c>
      <c r="H1610" s="100">
        <f>ventas_b_mes1255[[#This Row],[TOTAL]]/1.21</f>
        <v>0</v>
      </c>
      <c r="I1610" s="64">
        <f>ventas_b_mes1255[[#This Row],[IMPORTE NETO]]*0.21</f>
        <v>0</v>
      </c>
      <c r="J1610" s="184"/>
      <c r="K1610" s="184"/>
      <c r="L1610" s="184"/>
      <c r="M1610" s="59"/>
    </row>
    <row r="1611" spans="2:13" x14ac:dyDescent="0.3">
      <c r="B1611" s="178"/>
      <c r="C1611" s="41"/>
      <c r="D1611" s="180"/>
      <c r="E1611" s="181"/>
      <c r="F1611" s="182"/>
      <c r="G1611" s="1" t="str">
        <f>IFERROR(IF(ventas_b_mes1255[[#This Row],[CUIT]]="","-",VLOOKUP(ventas_b_mes1255[[#This Row],[CUIT]],Lista_CUIT[#All],2,0)),"CUIT NO CARGADO")</f>
        <v>-</v>
      </c>
      <c r="H1611" s="100">
        <f>ventas_b_mes1255[[#This Row],[TOTAL]]/1.21</f>
        <v>0</v>
      </c>
      <c r="I1611" s="64">
        <f>ventas_b_mes1255[[#This Row],[IMPORTE NETO]]*0.21</f>
        <v>0</v>
      </c>
      <c r="J1611" s="184"/>
      <c r="K1611" s="184"/>
      <c r="L1611" s="184"/>
      <c r="M1611" s="59"/>
    </row>
    <row r="1612" spans="2:13" x14ac:dyDescent="0.3">
      <c r="B1612" s="178"/>
      <c r="C1612" s="41"/>
      <c r="D1612" s="180"/>
      <c r="E1612" s="181"/>
      <c r="F1612" s="182"/>
      <c r="G1612" s="1" t="str">
        <f>IFERROR(IF(ventas_b_mes1255[[#This Row],[CUIT]]="","-",VLOOKUP(ventas_b_mes1255[[#This Row],[CUIT]],Lista_CUIT[#All],2,0)),"CUIT NO CARGADO")</f>
        <v>-</v>
      </c>
      <c r="H1612" s="100">
        <f>ventas_b_mes1255[[#This Row],[TOTAL]]/1.21</f>
        <v>0</v>
      </c>
      <c r="I1612" s="64">
        <f>ventas_b_mes1255[[#This Row],[IMPORTE NETO]]*0.21</f>
        <v>0</v>
      </c>
      <c r="J1612" s="184"/>
      <c r="K1612" s="184"/>
      <c r="L1612" s="184"/>
      <c r="M1612" s="59"/>
    </row>
    <row r="1613" spans="2:13" x14ac:dyDescent="0.3">
      <c r="B1613" s="178"/>
      <c r="C1613" s="41"/>
      <c r="D1613" s="180"/>
      <c r="E1613" s="181"/>
      <c r="F1613" s="182"/>
      <c r="G1613" s="1" t="str">
        <f>IFERROR(IF(ventas_b_mes1255[[#This Row],[CUIT]]="","-",VLOOKUP(ventas_b_mes1255[[#This Row],[CUIT]],Lista_CUIT[#All],2,0)),"CUIT NO CARGADO")</f>
        <v>-</v>
      </c>
      <c r="H1613" s="100">
        <f>ventas_b_mes1255[[#This Row],[TOTAL]]/1.21</f>
        <v>0</v>
      </c>
      <c r="I1613" s="64">
        <f>ventas_b_mes1255[[#This Row],[IMPORTE NETO]]*0.21</f>
        <v>0</v>
      </c>
      <c r="J1613" s="184"/>
      <c r="K1613" s="184"/>
      <c r="L1613" s="184"/>
      <c r="M1613" s="59"/>
    </row>
    <row r="1614" spans="2:13" x14ac:dyDescent="0.3">
      <c r="B1614" s="178"/>
      <c r="C1614" s="41"/>
      <c r="D1614" s="180"/>
      <c r="E1614" s="181"/>
      <c r="F1614" s="182"/>
      <c r="G1614" s="1" t="str">
        <f>IFERROR(IF(ventas_b_mes1255[[#This Row],[CUIT]]="","-",VLOOKUP(ventas_b_mes1255[[#This Row],[CUIT]],Lista_CUIT[#All],2,0)),"CUIT NO CARGADO")</f>
        <v>-</v>
      </c>
      <c r="H1614" s="100">
        <f>ventas_b_mes1255[[#This Row],[TOTAL]]/1.21</f>
        <v>0</v>
      </c>
      <c r="I1614" s="64">
        <f>ventas_b_mes1255[[#This Row],[IMPORTE NETO]]*0.21</f>
        <v>0</v>
      </c>
      <c r="J1614" s="184"/>
      <c r="K1614" s="184"/>
      <c r="L1614" s="184"/>
      <c r="M1614" s="59"/>
    </row>
    <row r="1615" spans="2:13" x14ac:dyDescent="0.3">
      <c r="B1615" s="178"/>
      <c r="C1615" s="41"/>
      <c r="D1615" s="180"/>
      <c r="E1615" s="181"/>
      <c r="F1615" s="182"/>
      <c r="G1615" s="1" t="str">
        <f>IFERROR(IF(ventas_b_mes1255[[#This Row],[CUIT]]="","-",VLOOKUP(ventas_b_mes1255[[#This Row],[CUIT]],Lista_CUIT[#All],2,0)),"CUIT NO CARGADO")</f>
        <v>-</v>
      </c>
      <c r="H1615" s="100">
        <f>ventas_b_mes1255[[#This Row],[TOTAL]]/1.21</f>
        <v>0</v>
      </c>
      <c r="I1615" s="64">
        <f>ventas_b_mes1255[[#This Row],[IMPORTE NETO]]*0.21</f>
        <v>0</v>
      </c>
      <c r="J1615" s="184"/>
      <c r="K1615" s="184"/>
      <c r="L1615" s="184"/>
      <c r="M1615" s="59"/>
    </row>
    <row r="1616" spans="2:13" x14ac:dyDescent="0.3">
      <c r="B1616" s="178"/>
      <c r="C1616" s="41"/>
      <c r="D1616" s="180"/>
      <c r="E1616" s="181"/>
      <c r="F1616" s="182"/>
      <c r="G1616" s="1" t="str">
        <f>IFERROR(IF(ventas_b_mes1255[[#This Row],[CUIT]]="","-",VLOOKUP(ventas_b_mes1255[[#This Row],[CUIT]],Lista_CUIT[#All],2,0)),"CUIT NO CARGADO")</f>
        <v>-</v>
      </c>
      <c r="H1616" s="100">
        <f>ventas_b_mes1255[[#This Row],[TOTAL]]/1.21</f>
        <v>0</v>
      </c>
      <c r="I1616" s="64">
        <f>ventas_b_mes1255[[#This Row],[IMPORTE NETO]]*0.21</f>
        <v>0</v>
      </c>
      <c r="J1616" s="184"/>
      <c r="K1616" s="184"/>
      <c r="L1616" s="184"/>
      <c r="M1616" s="59"/>
    </row>
    <row r="1617" spans="2:13" x14ac:dyDescent="0.3">
      <c r="B1617" s="178"/>
      <c r="C1617" s="41"/>
      <c r="D1617" s="180"/>
      <c r="E1617" s="181"/>
      <c r="F1617" s="182"/>
      <c r="G1617" s="1" t="str">
        <f>IFERROR(IF(ventas_b_mes1255[[#This Row],[CUIT]]="","-",VLOOKUP(ventas_b_mes1255[[#This Row],[CUIT]],Lista_CUIT[#All],2,0)),"CUIT NO CARGADO")</f>
        <v>-</v>
      </c>
      <c r="H1617" s="100">
        <f>ventas_b_mes1255[[#This Row],[TOTAL]]/1.21</f>
        <v>0</v>
      </c>
      <c r="I1617" s="64">
        <f>ventas_b_mes1255[[#This Row],[IMPORTE NETO]]*0.21</f>
        <v>0</v>
      </c>
      <c r="J1617" s="184"/>
      <c r="K1617" s="184"/>
      <c r="L1617" s="184"/>
      <c r="M1617" s="59"/>
    </row>
    <row r="1618" spans="2:13" x14ac:dyDescent="0.3">
      <c r="B1618" s="178"/>
      <c r="C1618" s="41"/>
      <c r="D1618" s="180"/>
      <c r="E1618" s="181"/>
      <c r="F1618" s="182"/>
      <c r="G1618" s="1" t="str">
        <f>IFERROR(IF(ventas_b_mes1255[[#This Row],[CUIT]]="","-",VLOOKUP(ventas_b_mes1255[[#This Row],[CUIT]],Lista_CUIT[#All],2,0)),"CUIT NO CARGADO")</f>
        <v>-</v>
      </c>
      <c r="H1618" s="100">
        <f>ventas_b_mes1255[[#This Row],[TOTAL]]/1.21</f>
        <v>0</v>
      </c>
      <c r="I1618" s="64">
        <f>ventas_b_mes1255[[#This Row],[IMPORTE NETO]]*0.21</f>
        <v>0</v>
      </c>
      <c r="J1618" s="184"/>
      <c r="K1618" s="184"/>
      <c r="L1618" s="184"/>
      <c r="M1618" s="59"/>
    </row>
    <row r="1619" spans="2:13" x14ac:dyDescent="0.3">
      <c r="B1619" s="178"/>
      <c r="C1619" s="41"/>
      <c r="D1619" s="180"/>
      <c r="E1619" s="181"/>
      <c r="F1619" s="182"/>
      <c r="G1619" s="1" t="str">
        <f>IFERROR(IF(ventas_b_mes1255[[#This Row],[CUIT]]="","-",VLOOKUP(ventas_b_mes1255[[#This Row],[CUIT]],Lista_CUIT[#All],2,0)),"CUIT NO CARGADO")</f>
        <v>-</v>
      </c>
      <c r="H1619" s="100">
        <f>ventas_b_mes1255[[#This Row],[TOTAL]]/1.21</f>
        <v>0</v>
      </c>
      <c r="I1619" s="64">
        <f>ventas_b_mes1255[[#This Row],[IMPORTE NETO]]*0.21</f>
        <v>0</v>
      </c>
      <c r="J1619" s="184"/>
      <c r="K1619" s="184"/>
      <c r="L1619" s="184"/>
      <c r="M1619" s="59"/>
    </row>
    <row r="1620" spans="2:13" x14ac:dyDescent="0.3">
      <c r="B1620" s="178"/>
      <c r="C1620" s="41"/>
      <c r="D1620" s="180"/>
      <c r="E1620" s="181"/>
      <c r="F1620" s="182"/>
      <c r="G1620" s="1" t="str">
        <f>IFERROR(IF(ventas_b_mes1255[[#This Row],[CUIT]]="","-",VLOOKUP(ventas_b_mes1255[[#This Row],[CUIT]],Lista_CUIT[#All],2,0)),"CUIT NO CARGADO")</f>
        <v>-</v>
      </c>
      <c r="H1620" s="100">
        <f>ventas_b_mes1255[[#This Row],[TOTAL]]/1.21</f>
        <v>0</v>
      </c>
      <c r="I1620" s="64">
        <f>ventas_b_mes1255[[#This Row],[IMPORTE NETO]]*0.21</f>
        <v>0</v>
      </c>
      <c r="J1620" s="184"/>
      <c r="K1620" s="184"/>
      <c r="L1620" s="184"/>
      <c r="M1620" s="59"/>
    </row>
    <row r="1621" spans="2:13" x14ac:dyDescent="0.3">
      <c r="B1621" s="178"/>
      <c r="C1621" s="41"/>
      <c r="D1621" s="180"/>
      <c r="E1621" s="181"/>
      <c r="F1621" s="182"/>
      <c r="G1621" s="1" t="str">
        <f>IFERROR(IF(ventas_b_mes1255[[#This Row],[CUIT]]="","-",VLOOKUP(ventas_b_mes1255[[#This Row],[CUIT]],Lista_CUIT[#All],2,0)),"CUIT NO CARGADO")</f>
        <v>-</v>
      </c>
      <c r="H1621" s="100">
        <f>ventas_b_mes1255[[#This Row],[TOTAL]]/1.21</f>
        <v>0</v>
      </c>
      <c r="I1621" s="64">
        <f>ventas_b_mes1255[[#This Row],[IMPORTE NETO]]*0.21</f>
        <v>0</v>
      </c>
      <c r="J1621" s="184"/>
      <c r="K1621" s="184"/>
      <c r="L1621" s="184"/>
      <c r="M1621" s="59"/>
    </row>
    <row r="1622" spans="2:13" x14ac:dyDescent="0.3">
      <c r="B1622" s="178"/>
      <c r="C1622" s="41"/>
      <c r="D1622" s="180"/>
      <c r="E1622" s="181"/>
      <c r="F1622" s="182"/>
      <c r="G1622" s="1" t="str">
        <f>IFERROR(IF(ventas_b_mes1255[[#This Row],[CUIT]]="","-",VLOOKUP(ventas_b_mes1255[[#This Row],[CUIT]],Lista_CUIT[#All],2,0)),"CUIT NO CARGADO")</f>
        <v>-</v>
      </c>
      <c r="H1622" s="100">
        <f>ventas_b_mes1255[[#This Row],[TOTAL]]/1.21</f>
        <v>0</v>
      </c>
      <c r="I1622" s="64">
        <f>ventas_b_mes1255[[#This Row],[IMPORTE NETO]]*0.21</f>
        <v>0</v>
      </c>
      <c r="J1622" s="184"/>
      <c r="K1622" s="184"/>
      <c r="L1622" s="184"/>
      <c r="M1622" s="59"/>
    </row>
    <row r="1623" spans="2:13" x14ac:dyDescent="0.3">
      <c r="B1623" s="178"/>
      <c r="C1623" s="41"/>
      <c r="D1623" s="180"/>
      <c r="E1623" s="181"/>
      <c r="F1623" s="182"/>
      <c r="G1623" s="1" t="str">
        <f>IFERROR(IF(ventas_b_mes1255[[#This Row],[CUIT]]="","-",VLOOKUP(ventas_b_mes1255[[#This Row],[CUIT]],Lista_CUIT[#All],2,0)),"CUIT NO CARGADO")</f>
        <v>-</v>
      </c>
      <c r="H1623" s="100">
        <f>ventas_b_mes1255[[#This Row],[TOTAL]]/1.21</f>
        <v>0</v>
      </c>
      <c r="I1623" s="64">
        <f>ventas_b_mes1255[[#This Row],[IMPORTE NETO]]*0.21</f>
        <v>0</v>
      </c>
      <c r="J1623" s="184"/>
      <c r="K1623" s="184"/>
      <c r="L1623" s="184"/>
      <c r="M1623" s="59"/>
    </row>
    <row r="1624" spans="2:13" x14ac:dyDescent="0.3">
      <c r="B1624" s="178"/>
      <c r="C1624" s="41"/>
      <c r="D1624" s="180"/>
      <c r="E1624" s="181"/>
      <c r="F1624" s="182"/>
      <c r="G1624" s="1" t="str">
        <f>IFERROR(IF(ventas_b_mes1255[[#This Row],[CUIT]]="","-",VLOOKUP(ventas_b_mes1255[[#This Row],[CUIT]],Lista_CUIT[#All],2,0)),"CUIT NO CARGADO")</f>
        <v>-</v>
      </c>
      <c r="H1624" s="100">
        <f>ventas_b_mes1255[[#This Row],[TOTAL]]/1.21</f>
        <v>0</v>
      </c>
      <c r="I1624" s="64">
        <f>ventas_b_mes1255[[#This Row],[IMPORTE NETO]]*0.21</f>
        <v>0</v>
      </c>
      <c r="J1624" s="184"/>
      <c r="K1624" s="184"/>
      <c r="L1624" s="184"/>
      <c r="M1624" s="59"/>
    </row>
    <row r="1625" spans="2:13" x14ac:dyDescent="0.3">
      <c r="B1625" s="178"/>
      <c r="C1625" s="41"/>
      <c r="D1625" s="180"/>
      <c r="E1625" s="181"/>
      <c r="F1625" s="182"/>
      <c r="G1625" s="1" t="str">
        <f>IFERROR(IF(ventas_b_mes1255[[#This Row],[CUIT]]="","-",VLOOKUP(ventas_b_mes1255[[#This Row],[CUIT]],Lista_CUIT[#All],2,0)),"CUIT NO CARGADO")</f>
        <v>-</v>
      </c>
      <c r="H1625" s="100">
        <f>ventas_b_mes1255[[#This Row],[TOTAL]]/1.21</f>
        <v>0</v>
      </c>
      <c r="I1625" s="64">
        <f>ventas_b_mes1255[[#This Row],[IMPORTE NETO]]*0.21</f>
        <v>0</v>
      </c>
      <c r="J1625" s="184"/>
      <c r="K1625" s="184"/>
      <c r="L1625" s="184"/>
      <c r="M1625" s="59"/>
    </row>
    <row r="1626" spans="2:13" x14ac:dyDescent="0.3">
      <c r="B1626" s="178"/>
      <c r="C1626" s="41"/>
      <c r="D1626" s="180"/>
      <c r="E1626" s="181"/>
      <c r="F1626" s="182"/>
      <c r="G1626" s="1" t="str">
        <f>IFERROR(IF(ventas_b_mes1255[[#This Row],[CUIT]]="","-",VLOOKUP(ventas_b_mes1255[[#This Row],[CUIT]],Lista_CUIT[#All],2,0)),"CUIT NO CARGADO")</f>
        <v>-</v>
      </c>
      <c r="H1626" s="100">
        <f>ventas_b_mes1255[[#This Row],[TOTAL]]/1.21</f>
        <v>0</v>
      </c>
      <c r="I1626" s="64">
        <f>ventas_b_mes1255[[#This Row],[IMPORTE NETO]]*0.21</f>
        <v>0</v>
      </c>
      <c r="J1626" s="184"/>
      <c r="K1626" s="184"/>
      <c r="L1626" s="184"/>
      <c r="M1626" s="59"/>
    </row>
    <row r="1627" spans="2:13" x14ac:dyDescent="0.3">
      <c r="B1627" s="178"/>
      <c r="C1627" s="41"/>
      <c r="D1627" s="180"/>
      <c r="E1627" s="181"/>
      <c r="F1627" s="182"/>
      <c r="G1627" s="1" t="str">
        <f>IFERROR(IF(ventas_b_mes1255[[#This Row],[CUIT]]="","-",VLOOKUP(ventas_b_mes1255[[#This Row],[CUIT]],Lista_CUIT[#All],2,0)),"CUIT NO CARGADO")</f>
        <v>-</v>
      </c>
      <c r="H1627" s="100">
        <f>ventas_b_mes1255[[#This Row],[TOTAL]]/1.21</f>
        <v>0</v>
      </c>
      <c r="I1627" s="64">
        <f>ventas_b_mes1255[[#This Row],[IMPORTE NETO]]*0.21</f>
        <v>0</v>
      </c>
      <c r="J1627" s="184"/>
      <c r="K1627" s="184"/>
      <c r="L1627" s="184"/>
      <c r="M1627" s="59"/>
    </row>
    <row r="1628" spans="2:13" x14ac:dyDescent="0.3">
      <c r="B1628" s="178"/>
      <c r="C1628" s="41"/>
      <c r="D1628" s="180"/>
      <c r="E1628" s="181"/>
      <c r="F1628" s="182"/>
      <c r="G1628" s="1" t="str">
        <f>IFERROR(IF(ventas_b_mes1255[[#This Row],[CUIT]]="","-",VLOOKUP(ventas_b_mes1255[[#This Row],[CUIT]],Lista_CUIT[#All],2,0)),"CUIT NO CARGADO")</f>
        <v>-</v>
      </c>
      <c r="H1628" s="100">
        <f>ventas_b_mes1255[[#This Row],[TOTAL]]/1.21</f>
        <v>0</v>
      </c>
      <c r="I1628" s="64">
        <f>ventas_b_mes1255[[#This Row],[IMPORTE NETO]]*0.21</f>
        <v>0</v>
      </c>
      <c r="J1628" s="184"/>
      <c r="K1628" s="184"/>
      <c r="L1628" s="184"/>
      <c r="M1628" s="59"/>
    </row>
    <row r="1629" spans="2:13" x14ac:dyDescent="0.3">
      <c r="B1629" s="178"/>
      <c r="C1629" s="41"/>
      <c r="D1629" s="180"/>
      <c r="E1629" s="181"/>
      <c r="F1629" s="182"/>
      <c r="G1629" s="1" t="str">
        <f>IFERROR(IF(ventas_b_mes1255[[#This Row],[CUIT]]="","-",VLOOKUP(ventas_b_mes1255[[#This Row],[CUIT]],Lista_CUIT[#All],2,0)),"CUIT NO CARGADO")</f>
        <v>-</v>
      </c>
      <c r="H1629" s="100">
        <f>ventas_b_mes1255[[#This Row],[TOTAL]]/1.21</f>
        <v>0</v>
      </c>
      <c r="I1629" s="64">
        <f>ventas_b_mes1255[[#This Row],[IMPORTE NETO]]*0.21</f>
        <v>0</v>
      </c>
      <c r="J1629" s="184"/>
      <c r="K1629" s="184"/>
      <c r="L1629" s="184"/>
      <c r="M1629" s="59"/>
    </row>
    <row r="1630" spans="2:13" x14ac:dyDescent="0.3">
      <c r="B1630" s="178"/>
      <c r="C1630" s="41"/>
      <c r="D1630" s="180"/>
      <c r="E1630" s="181"/>
      <c r="F1630" s="182"/>
      <c r="G1630" s="1" t="str">
        <f>IFERROR(IF(ventas_b_mes1255[[#This Row],[CUIT]]="","-",VLOOKUP(ventas_b_mes1255[[#This Row],[CUIT]],Lista_CUIT[#All],2,0)),"CUIT NO CARGADO")</f>
        <v>-</v>
      </c>
      <c r="H1630" s="100">
        <f>ventas_b_mes1255[[#This Row],[TOTAL]]/1.21</f>
        <v>0</v>
      </c>
      <c r="I1630" s="64">
        <f>ventas_b_mes1255[[#This Row],[IMPORTE NETO]]*0.21</f>
        <v>0</v>
      </c>
      <c r="J1630" s="184"/>
      <c r="K1630" s="184"/>
      <c r="L1630" s="184"/>
      <c r="M1630" s="59"/>
    </row>
    <row r="1631" spans="2:13" x14ac:dyDescent="0.3">
      <c r="B1631" s="178"/>
      <c r="C1631" s="41"/>
      <c r="D1631" s="180"/>
      <c r="E1631" s="181"/>
      <c r="F1631" s="182"/>
      <c r="G1631" s="1" t="str">
        <f>IFERROR(IF(ventas_b_mes1255[[#This Row],[CUIT]]="","-",VLOOKUP(ventas_b_mes1255[[#This Row],[CUIT]],Lista_CUIT[#All],2,0)),"CUIT NO CARGADO")</f>
        <v>-</v>
      </c>
      <c r="H1631" s="100">
        <f>ventas_b_mes1255[[#This Row],[TOTAL]]/1.21</f>
        <v>0</v>
      </c>
      <c r="I1631" s="64">
        <f>ventas_b_mes1255[[#This Row],[IMPORTE NETO]]*0.21</f>
        <v>0</v>
      </c>
      <c r="J1631" s="184"/>
      <c r="K1631" s="184"/>
      <c r="L1631" s="184"/>
      <c r="M1631" s="59"/>
    </row>
    <row r="1632" spans="2:13" x14ac:dyDescent="0.3">
      <c r="B1632" s="178"/>
      <c r="C1632" s="41"/>
      <c r="D1632" s="180"/>
      <c r="E1632" s="181"/>
      <c r="F1632" s="182"/>
      <c r="G1632" s="1" t="str">
        <f>IFERROR(IF(ventas_b_mes1255[[#This Row],[CUIT]]="","-",VLOOKUP(ventas_b_mes1255[[#This Row],[CUIT]],Lista_CUIT[#All],2,0)),"CUIT NO CARGADO")</f>
        <v>-</v>
      </c>
      <c r="H1632" s="100">
        <f>ventas_b_mes1255[[#This Row],[TOTAL]]/1.21</f>
        <v>0</v>
      </c>
      <c r="I1632" s="64"/>
      <c r="J1632" s="184"/>
      <c r="K1632" s="184"/>
      <c r="L1632" s="184"/>
      <c r="M1632" s="59"/>
    </row>
    <row r="1633" spans="2:13" x14ac:dyDescent="0.3">
      <c r="B1633" s="178"/>
      <c r="C1633" s="41"/>
      <c r="D1633" s="180"/>
      <c r="E1633" s="181"/>
      <c r="F1633" s="182"/>
      <c r="G1633" s="1" t="str">
        <f>IFERROR(IF(ventas_b_mes1255[[#This Row],[CUIT]]="","-",VLOOKUP(ventas_b_mes1255[[#This Row],[CUIT]],Lista_CUIT[#All],2,0)),"CUIT NO CARGADO")</f>
        <v>-</v>
      </c>
      <c r="H1633" s="100">
        <f>ventas_b_mes1255[[#This Row],[TOTAL]]/1.21</f>
        <v>0</v>
      </c>
      <c r="I1633" s="64">
        <f>ventas_b_mes1255[[#This Row],[IMPORTE NETO]]*0.21</f>
        <v>0</v>
      </c>
      <c r="J1633" s="184"/>
      <c r="K1633" s="184"/>
      <c r="L1633" s="184"/>
      <c r="M1633" s="59"/>
    </row>
    <row r="1634" spans="2:13" x14ac:dyDescent="0.3">
      <c r="B1634" s="178"/>
      <c r="C1634" s="41"/>
      <c r="D1634" s="180"/>
      <c r="E1634" s="181"/>
      <c r="F1634" s="182"/>
      <c r="G1634" s="1" t="str">
        <f>IFERROR(IF(ventas_b_mes1255[[#This Row],[CUIT]]="","-",VLOOKUP(ventas_b_mes1255[[#This Row],[CUIT]],Lista_CUIT[#All],2,0)),"CUIT NO CARGADO")</f>
        <v>-</v>
      </c>
      <c r="H1634" s="100">
        <f>ventas_b_mes1255[[#This Row],[TOTAL]]/1.21</f>
        <v>0</v>
      </c>
      <c r="I1634" s="64">
        <f>ventas_b_mes1255[[#This Row],[IMPORTE NETO]]*0.21</f>
        <v>0</v>
      </c>
      <c r="J1634" s="184"/>
      <c r="K1634" s="184"/>
      <c r="L1634" s="184"/>
      <c r="M1634" s="59"/>
    </row>
    <row r="1635" spans="2:13" x14ac:dyDescent="0.3">
      <c r="B1635" s="178"/>
      <c r="C1635" s="41"/>
      <c r="D1635" s="180"/>
      <c r="E1635" s="181"/>
      <c r="F1635" s="182"/>
      <c r="G1635" s="1" t="str">
        <f>IFERROR(IF(ventas_b_mes1255[[#This Row],[CUIT]]="","-",VLOOKUP(ventas_b_mes1255[[#This Row],[CUIT]],Lista_CUIT[#All],2,0)),"CUIT NO CARGADO")</f>
        <v>-</v>
      </c>
      <c r="H1635" s="100">
        <f>ventas_b_mes1255[[#This Row],[TOTAL]]/1.21</f>
        <v>0</v>
      </c>
      <c r="I1635" s="64">
        <f>ventas_b_mes1255[[#This Row],[IMPORTE NETO]]*0.21</f>
        <v>0</v>
      </c>
      <c r="J1635" s="184"/>
      <c r="K1635" s="184"/>
      <c r="L1635" s="184"/>
      <c r="M1635" s="59"/>
    </row>
    <row r="1636" spans="2:13" x14ac:dyDescent="0.3">
      <c r="B1636" s="178"/>
      <c r="C1636" s="41"/>
      <c r="D1636" s="180"/>
      <c r="E1636" s="181"/>
      <c r="F1636" s="182"/>
      <c r="G1636" s="1" t="str">
        <f>IFERROR(IF(ventas_b_mes1255[[#This Row],[CUIT]]="","-",VLOOKUP(ventas_b_mes1255[[#This Row],[CUIT]],Lista_CUIT[#All],2,0)),"CUIT NO CARGADO")</f>
        <v>-</v>
      </c>
      <c r="H1636" s="100">
        <f>ventas_b_mes1255[[#This Row],[TOTAL]]/1.21</f>
        <v>0</v>
      </c>
      <c r="I1636" s="64">
        <f>ventas_b_mes1255[[#This Row],[IMPORTE NETO]]*0.21</f>
        <v>0</v>
      </c>
      <c r="J1636" s="184"/>
      <c r="K1636" s="184"/>
      <c r="L1636" s="184"/>
      <c r="M1636" s="59"/>
    </row>
    <row r="1637" spans="2:13" x14ac:dyDescent="0.3">
      <c r="B1637" s="178"/>
      <c r="C1637" s="41"/>
      <c r="D1637" s="180"/>
      <c r="E1637" s="181"/>
      <c r="F1637" s="182"/>
      <c r="G1637" s="1" t="str">
        <f>IFERROR(IF(ventas_b_mes1255[[#This Row],[CUIT]]="","-",VLOOKUP(ventas_b_mes1255[[#This Row],[CUIT]],Lista_CUIT[#All],2,0)),"CUIT NO CARGADO")</f>
        <v>-</v>
      </c>
      <c r="H1637" s="100">
        <f>ventas_b_mes1255[[#This Row],[TOTAL]]/1.21</f>
        <v>0</v>
      </c>
      <c r="I1637" s="64">
        <f>ventas_b_mes1255[[#This Row],[IMPORTE NETO]]*0.21</f>
        <v>0</v>
      </c>
      <c r="J1637" s="184"/>
      <c r="K1637" s="184"/>
      <c r="L1637" s="184"/>
      <c r="M1637" s="59"/>
    </row>
    <row r="1638" spans="2:13" x14ac:dyDescent="0.3">
      <c r="B1638" s="178"/>
      <c r="C1638" s="41"/>
      <c r="D1638" s="180"/>
      <c r="E1638" s="181"/>
      <c r="F1638" s="182"/>
      <c r="G1638" s="1" t="str">
        <f>IFERROR(IF(ventas_b_mes1255[[#This Row],[CUIT]]="","-",VLOOKUP(ventas_b_mes1255[[#This Row],[CUIT]],Lista_CUIT[#All],2,0)),"CUIT NO CARGADO")</f>
        <v>-</v>
      </c>
      <c r="H1638" s="100">
        <f>ventas_b_mes1255[[#This Row],[TOTAL]]/1.21</f>
        <v>0</v>
      </c>
      <c r="I1638" s="64">
        <f>ventas_b_mes1255[[#This Row],[IMPORTE NETO]]*0.21</f>
        <v>0</v>
      </c>
      <c r="J1638" s="184"/>
      <c r="K1638" s="184"/>
      <c r="L1638" s="184"/>
      <c r="M1638" s="59"/>
    </row>
    <row r="1639" spans="2:13" x14ac:dyDescent="0.3">
      <c r="B1639" s="178"/>
      <c r="C1639" s="41"/>
      <c r="D1639" s="180"/>
      <c r="E1639" s="181"/>
      <c r="F1639" s="182"/>
      <c r="G1639" s="1" t="str">
        <f>IFERROR(IF(ventas_b_mes1255[[#This Row],[CUIT]]="","-",VLOOKUP(ventas_b_mes1255[[#This Row],[CUIT]],Lista_CUIT[#All],2,0)),"CUIT NO CARGADO")</f>
        <v>-</v>
      </c>
      <c r="H1639" s="100">
        <f>ventas_b_mes1255[[#This Row],[TOTAL]]/1.21</f>
        <v>0</v>
      </c>
      <c r="I1639" s="64">
        <f>ventas_b_mes1255[[#This Row],[IMPORTE NETO]]*0.21</f>
        <v>0</v>
      </c>
      <c r="J1639" s="184"/>
      <c r="K1639" s="184"/>
      <c r="L1639" s="184"/>
      <c r="M1639" s="59"/>
    </row>
    <row r="1640" spans="2:13" x14ac:dyDescent="0.3">
      <c r="B1640" s="178"/>
      <c r="C1640" s="41"/>
      <c r="D1640" s="180"/>
      <c r="E1640" s="181"/>
      <c r="F1640" s="182"/>
      <c r="G1640" s="1" t="str">
        <f>IFERROR(IF(ventas_b_mes1255[[#This Row],[CUIT]]="","-",VLOOKUP(ventas_b_mes1255[[#This Row],[CUIT]],Lista_CUIT[#All],2,0)),"CUIT NO CARGADO")</f>
        <v>-</v>
      </c>
      <c r="H1640" s="100">
        <f>ventas_b_mes1255[[#This Row],[TOTAL]]/1.21</f>
        <v>0</v>
      </c>
      <c r="I1640" s="64">
        <f>ventas_b_mes1255[[#This Row],[IMPORTE NETO]]*0.21</f>
        <v>0</v>
      </c>
      <c r="J1640" s="184"/>
      <c r="K1640" s="184"/>
      <c r="L1640" s="184"/>
      <c r="M1640" s="59"/>
    </row>
    <row r="1641" spans="2:13" x14ac:dyDescent="0.3">
      <c r="B1641" s="178"/>
      <c r="C1641" s="41"/>
      <c r="D1641" s="180"/>
      <c r="E1641" s="181"/>
      <c r="F1641" s="182"/>
      <c r="G1641" s="1" t="str">
        <f>IFERROR(IF(ventas_b_mes1255[[#This Row],[CUIT]]="","-",VLOOKUP(ventas_b_mes1255[[#This Row],[CUIT]],Lista_CUIT[#All],2,0)),"CUIT NO CARGADO")</f>
        <v>-</v>
      </c>
      <c r="H1641" s="100">
        <f>ventas_b_mes1255[[#This Row],[TOTAL]]/1.21</f>
        <v>0</v>
      </c>
      <c r="I1641" s="64">
        <f>ventas_b_mes1255[[#This Row],[IMPORTE NETO]]*0.21</f>
        <v>0</v>
      </c>
      <c r="J1641" s="184"/>
      <c r="K1641" s="184"/>
      <c r="L1641" s="184"/>
      <c r="M1641" s="59"/>
    </row>
    <row r="1642" spans="2:13" x14ac:dyDescent="0.3">
      <c r="B1642" s="178"/>
      <c r="C1642" s="41"/>
      <c r="D1642" s="180"/>
      <c r="E1642" s="181"/>
      <c r="F1642" s="182"/>
      <c r="G1642" s="1" t="str">
        <f>IFERROR(IF(ventas_b_mes1255[[#This Row],[CUIT]]="","-",VLOOKUP(ventas_b_mes1255[[#This Row],[CUIT]],Lista_CUIT[#All],2,0)),"CUIT NO CARGADO")</f>
        <v>-</v>
      </c>
      <c r="H1642" s="100">
        <f>ventas_b_mes1255[[#This Row],[TOTAL]]/1.21</f>
        <v>0</v>
      </c>
      <c r="I1642" s="64">
        <f>ventas_b_mes1255[[#This Row],[IMPORTE NETO]]*0.21</f>
        <v>0</v>
      </c>
      <c r="J1642" s="184"/>
      <c r="K1642" s="184"/>
      <c r="L1642" s="184"/>
      <c r="M1642" s="59"/>
    </row>
    <row r="1643" spans="2:13" x14ac:dyDescent="0.3">
      <c r="B1643" s="178"/>
      <c r="C1643" s="41"/>
      <c r="D1643" s="180"/>
      <c r="E1643" s="181"/>
      <c r="F1643" s="182"/>
      <c r="G1643" s="1" t="str">
        <f>IFERROR(IF(ventas_b_mes1255[[#This Row],[CUIT]]="","-",VLOOKUP(ventas_b_mes1255[[#This Row],[CUIT]],Lista_CUIT[#All],2,0)),"CUIT NO CARGADO")</f>
        <v>-</v>
      </c>
      <c r="H1643" s="100">
        <f>ventas_b_mes1255[[#This Row],[TOTAL]]/1.21</f>
        <v>0</v>
      </c>
      <c r="I1643" s="64">
        <f>ventas_b_mes1255[[#This Row],[IMPORTE NETO]]*0.21</f>
        <v>0</v>
      </c>
      <c r="J1643" s="184"/>
      <c r="K1643" s="184"/>
      <c r="L1643" s="184"/>
      <c r="M1643" s="59"/>
    </row>
    <row r="1644" spans="2:13" x14ac:dyDescent="0.3">
      <c r="B1644" s="178"/>
      <c r="C1644" s="41"/>
      <c r="D1644" s="180"/>
      <c r="E1644" s="181"/>
      <c r="F1644" s="182"/>
      <c r="G1644" s="1" t="str">
        <f>IFERROR(IF(ventas_b_mes1255[[#This Row],[CUIT]]="","-",VLOOKUP(ventas_b_mes1255[[#This Row],[CUIT]],Lista_CUIT[#All],2,0)),"CUIT NO CARGADO")</f>
        <v>-</v>
      </c>
      <c r="H1644" s="100">
        <f>ventas_b_mes1255[[#This Row],[TOTAL]]/1.21</f>
        <v>0</v>
      </c>
      <c r="I1644" s="64">
        <f>ventas_b_mes1255[[#This Row],[IMPORTE NETO]]*0.21</f>
        <v>0</v>
      </c>
      <c r="J1644" s="184"/>
      <c r="K1644" s="184"/>
      <c r="L1644" s="184"/>
      <c r="M1644" s="59"/>
    </row>
    <row r="1645" spans="2:13" x14ac:dyDescent="0.3">
      <c r="B1645" s="178"/>
      <c r="C1645" s="41"/>
      <c r="D1645" s="180"/>
      <c r="E1645" s="181"/>
      <c r="F1645" s="182"/>
      <c r="G1645" s="1" t="str">
        <f>IFERROR(IF(ventas_b_mes1255[[#This Row],[CUIT]]="","-",VLOOKUP(ventas_b_mes1255[[#This Row],[CUIT]],Lista_CUIT[#All],2,0)),"CUIT NO CARGADO")</f>
        <v>-</v>
      </c>
      <c r="H1645" s="100">
        <f>ventas_b_mes1255[[#This Row],[TOTAL]]/1.21</f>
        <v>0</v>
      </c>
      <c r="I1645" s="64">
        <f>ventas_b_mes1255[[#This Row],[IMPORTE NETO]]*0.21</f>
        <v>0</v>
      </c>
      <c r="J1645" s="184"/>
      <c r="K1645" s="184"/>
      <c r="L1645" s="184"/>
      <c r="M1645" s="59"/>
    </row>
    <row r="1646" spans="2:13" x14ac:dyDescent="0.3">
      <c r="B1646" s="178"/>
      <c r="C1646" s="41"/>
      <c r="D1646" s="180"/>
      <c r="E1646" s="181"/>
      <c r="F1646" s="182"/>
      <c r="G1646" s="1" t="str">
        <f>IFERROR(IF(ventas_b_mes1255[[#This Row],[CUIT]]="","-",VLOOKUP(ventas_b_mes1255[[#This Row],[CUIT]],Lista_CUIT[#All],2,0)),"CUIT NO CARGADO")</f>
        <v>-</v>
      </c>
      <c r="H1646" s="100">
        <f>ventas_b_mes1255[[#This Row],[TOTAL]]/1.21</f>
        <v>0</v>
      </c>
      <c r="I1646" s="64">
        <f>ventas_b_mes1255[[#This Row],[IMPORTE NETO]]*0.21</f>
        <v>0</v>
      </c>
      <c r="J1646" s="184"/>
      <c r="K1646" s="184"/>
      <c r="L1646" s="184"/>
      <c r="M1646" s="59"/>
    </row>
    <row r="1647" spans="2:13" x14ac:dyDescent="0.3">
      <c r="B1647" s="178"/>
      <c r="C1647" s="41"/>
      <c r="D1647" s="180"/>
      <c r="E1647" s="181"/>
      <c r="F1647" s="182"/>
      <c r="G1647" s="1" t="str">
        <f>IFERROR(IF(ventas_b_mes1255[[#This Row],[CUIT]]="","-",VLOOKUP(ventas_b_mes1255[[#This Row],[CUIT]],Lista_CUIT[#All],2,0)),"CUIT NO CARGADO")</f>
        <v>-</v>
      </c>
      <c r="H1647" s="100">
        <f>ventas_b_mes1255[[#This Row],[TOTAL]]/1.21</f>
        <v>0</v>
      </c>
      <c r="I1647" s="64">
        <f>ventas_b_mes1255[[#This Row],[IMPORTE NETO]]*0.21</f>
        <v>0</v>
      </c>
      <c r="J1647" s="184"/>
      <c r="K1647" s="184"/>
      <c r="L1647" s="184"/>
      <c r="M1647" s="59"/>
    </row>
    <row r="1648" spans="2:13" x14ac:dyDescent="0.3">
      <c r="B1648" s="178"/>
      <c r="C1648" s="41"/>
      <c r="D1648" s="180"/>
      <c r="E1648" s="181"/>
      <c r="F1648" s="182"/>
      <c r="G1648" s="1" t="str">
        <f>IFERROR(IF(ventas_b_mes1255[[#This Row],[CUIT]]="","-",VLOOKUP(ventas_b_mes1255[[#This Row],[CUIT]],Lista_CUIT[#All],2,0)),"CUIT NO CARGADO")</f>
        <v>-</v>
      </c>
      <c r="H1648" s="100">
        <f>ventas_b_mes1255[[#This Row],[TOTAL]]/1.21</f>
        <v>0</v>
      </c>
      <c r="I1648" s="64">
        <f>ventas_b_mes1255[[#This Row],[IMPORTE NETO]]*0.21</f>
        <v>0</v>
      </c>
      <c r="J1648" s="184"/>
      <c r="K1648" s="184"/>
      <c r="L1648" s="184"/>
      <c r="M1648" s="59"/>
    </row>
    <row r="1649" spans="2:13" x14ac:dyDescent="0.3">
      <c r="B1649" s="178"/>
      <c r="C1649" s="41"/>
      <c r="D1649" s="180"/>
      <c r="E1649" s="181"/>
      <c r="F1649" s="182"/>
      <c r="G1649" s="1" t="str">
        <f>IFERROR(IF(ventas_b_mes1255[[#This Row],[CUIT]]="","-",VLOOKUP(ventas_b_mes1255[[#This Row],[CUIT]],Lista_CUIT[#All],2,0)),"CUIT NO CARGADO")</f>
        <v>-</v>
      </c>
      <c r="H1649" s="100">
        <f>ventas_b_mes1255[[#This Row],[TOTAL]]/1.21</f>
        <v>0</v>
      </c>
      <c r="I1649" s="64">
        <f>ventas_b_mes1255[[#This Row],[IMPORTE NETO]]*0.21</f>
        <v>0</v>
      </c>
      <c r="J1649" s="184"/>
      <c r="K1649" s="184"/>
      <c r="L1649" s="184"/>
      <c r="M1649" s="59"/>
    </row>
    <row r="1650" spans="2:13" x14ac:dyDescent="0.3">
      <c r="B1650" s="178"/>
      <c r="C1650" s="41"/>
      <c r="D1650" s="180"/>
      <c r="E1650" s="181"/>
      <c r="F1650" s="182"/>
      <c r="G1650" s="1" t="str">
        <f>IFERROR(IF(ventas_b_mes1255[[#This Row],[CUIT]]="","-",VLOOKUP(ventas_b_mes1255[[#This Row],[CUIT]],Lista_CUIT[#All],2,0)),"CUIT NO CARGADO")</f>
        <v>-</v>
      </c>
      <c r="H1650" s="100">
        <f>ventas_b_mes1255[[#This Row],[TOTAL]]/1.21</f>
        <v>0</v>
      </c>
      <c r="I1650" s="64">
        <f>ventas_b_mes1255[[#This Row],[IMPORTE NETO]]*0.21</f>
        <v>0</v>
      </c>
      <c r="J1650" s="184"/>
      <c r="K1650" s="184"/>
      <c r="L1650" s="184"/>
      <c r="M1650" s="59"/>
    </row>
    <row r="1651" spans="2:13" x14ac:dyDescent="0.3">
      <c r="B1651" s="178"/>
      <c r="C1651" s="41"/>
      <c r="D1651" s="180"/>
      <c r="E1651" s="181"/>
      <c r="F1651" s="182"/>
      <c r="G1651" s="1" t="str">
        <f>IFERROR(IF(ventas_b_mes1255[[#This Row],[CUIT]]="","-",VLOOKUP(ventas_b_mes1255[[#This Row],[CUIT]],Lista_CUIT[#All],2,0)),"CUIT NO CARGADO")</f>
        <v>-</v>
      </c>
      <c r="H1651" s="100">
        <f>ventas_b_mes1255[[#This Row],[TOTAL]]/1.21</f>
        <v>0</v>
      </c>
      <c r="I1651" s="64">
        <f>ventas_b_mes1255[[#This Row],[IMPORTE NETO]]*0.21</f>
        <v>0</v>
      </c>
      <c r="J1651" s="184"/>
      <c r="K1651" s="184"/>
      <c r="L1651" s="184"/>
      <c r="M1651" s="59"/>
    </row>
    <row r="1652" spans="2:13" x14ac:dyDescent="0.3">
      <c r="B1652" s="178"/>
      <c r="C1652" s="41"/>
      <c r="D1652" s="180"/>
      <c r="E1652" s="181"/>
      <c r="F1652" s="182"/>
      <c r="G1652" s="1" t="str">
        <f>IFERROR(IF(ventas_b_mes1255[[#This Row],[CUIT]]="","-",VLOOKUP(ventas_b_mes1255[[#This Row],[CUIT]],Lista_CUIT[#All],2,0)),"CUIT NO CARGADO")</f>
        <v>-</v>
      </c>
      <c r="H1652" s="100">
        <f>ventas_b_mes1255[[#This Row],[TOTAL]]/1.21</f>
        <v>0</v>
      </c>
      <c r="I1652" s="64">
        <f>ventas_b_mes1255[[#This Row],[IMPORTE NETO]]*0.21</f>
        <v>0</v>
      </c>
      <c r="J1652" s="184"/>
      <c r="K1652" s="184"/>
      <c r="L1652" s="184"/>
      <c r="M1652" s="59"/>
    </row>
    <row r="1653" spans="2:13" x14ac:dyDescent="0.3">
      <c r="B1653" s="178"/>
      <c r="C1653" s="41"/>
      <c r="D1653" s="180"/>
      <c r="E1653" s="181"/>
      <c r="F1653" s="182"/>
      <c r="G1653" s="1" t="str">
        <f>IFERROR(IF(ventas_b_mes1255[[#This Row],[CUIT]]="","-",VLOOKUP(ventas_b_mes1255[[#This Row],[CUIT]],Lista_CUIT[#All],2,0)),"CUIT NO CARGADO")</f>
        <v>-</v>
      </c>
      <c r="H1653" s="100">
        <f>ventas_b_mes1255[[#This Row],[TOTAL]]/1.21</f>
        <v>0</v>
      </c>
      <c r="I1653" s="64">
        <f>ventas_b_mes1255[[#This Row],[IMPORTE NETO]]*0.21</f>
        <v>0</v>
      </c>
      <c r="J1653" s="184"/>
      <c r="K1653" s="184"/>
      <c r="L1653" s="184"/>
      <c r="M1653" s="59"/>
    </row>
    <row r="1654" spans="2:13" x14ac:dyDescent="0.3">
      <c r="B1654" s="178"/>
      <c r="C1654" s="41"/>
      <c r="D1654" s="180"/>
      <c r="E1654" s="181"/>
      <c r="F1654" s="182"/>
      <c r="G1654" s="1" t="str">
        <f>IFERROR(IF(ventas_b_mes1255[[#This Row],[CUIT]]="","-",VLOOKUP(ventas_b_mes1255[[#This Row],[CUIT]],Lista_CUIT[#All],2,0)),"CUIT NO CARGADO")</f>
        <v>-</v>
      </c>
      <c r="H1654" s="100">
        <f>ventas_b_mes1255[[#This Row],[TOTAL]]/1.21</f>
        <v>0</v>
      </c>
      <c r="I1654" s="64">
        <f>ventas_b_mes1255[[#This Row],[IMPORTE NETO]]*0.21</f>
        <v>0</v>
      </c>
      <c r="J1654" s="184"/>
      <c r="K1654" s="184"/>
      <c r="L1654" s="184"/>
      <c r="M1654" s="59"/>
    </row>
    <row r="1655" spans="2:13" x14ac:dyDescent="0.3">
      <c r="B1655" s="178"/>
      <c r="C1655" s="41"/>
      <c r="D1655" s="180"/>
      <c r="E1655" s="181"/>
      <c r="F1655" s="182"/>
      <c r="G1655" s="1" t="str">
        <f>IFERROR(IF(ventas_b_mes1255[[#This Row],[CUIT]]="","-",VLOOKUP(ventas_b_mes1255[[#This Row],[CUIT]],Lista_CUIT[#All],2,0)),"CUIT NO CARGADO")</f>
        <v>-</v>
      </c>
      <c r="H1655" s="100">
        <f>ventas_b_mes1255[[#This Row],[TOTAL]]/1.21</f>
        <v>0</v>
      </c>
      <c r="I1655" s="64">
        <f>ventas_b_mes1255[[#This Row],[IMPORTE NETO]]*0.21</f>
        <v>0</v>
      </c>
      <c r="J1655" s="184"/>
      <c r="K1655" s="184"/>
      <c r="L1655" s="184"/>
      <c r="M1655" s="59"/>
    </row>
    <row r="1656" spans="2:13" x14ac:dyDescent="0.3">
      <c r="B1656" s="178"/>
      <c r="C1656" s="41"/>
      <c r="D1656" s="180"/>
      <c r="E1656" s="181"/>
      <c r="F1656" s="182"/>
      <c r="G1656" s="1" t="str">
        <f>IFERROR(IF(ventas_b_mes1255[[#This Row],[CUIT]]="","-",VLOOKUP(ventas_b_mes1255[[#This Row],[CUIT]],Lista_CUIT[#All],2,0)),"CUIT NO CARGADO")</f>
        <v>-</v>
      </c>
      <c r="H1656" s="100">
        <f>ventas_b_mes1255[[#This Row],[TOTAL]]/1.21</f>
        <v>0</v>
      </c>
      <c r="I1656" s="64">
        <f>ventas_b_mes1255[[#This Row],[IMPORTE NETO]]*0.21</f>
        <v>0</v>
      </c>
      <c r="J1656" s="184"/>
      <c r="K1656" s="184"/>
      <c r="L1656" s="184"/>
      <c r="M1656" s="59"/>
    </row>
    <row r="1657" spans="2:13" x14ac:dyDescent="0.3">
      <c r="B1657" s="178"/>
      <c r="C1657" s="41"/>
      <c r="D1657" s="180"/>
      <c r="E1657" s="181"/>
      <c r="F1657" s="182"/>
      <c r="G1657" s="1" t="str">
        <f>IFERROR(IF(ventas_b_mes1255[[#This Row],[CUIT]]="","-",VLOOKUP(ventas_b_mes1255[[#This Row],[CUIT]],Lista_CUIT[#All],2,0)),"CUIT NO CARGADO")</f>
        <v>-</v>
      </c>
      <c r="H1657" s="100">
        <f>ventas_b_mes1255[[#This Row],[TOTAL]]/1.21</f>
        <v>0</v>
      </c>
      <c r="I1657" s="64">
        <f>ventas_b_mes1255[[#This Row],[IMPORTE NETO]]*0.21</f>
        <v>0</v>
      </c>
      <c r="J1657" s="184"/>
      <c r="K1657" s="184"/>
      <c r="L1657" s="184"/>
      <c r="M1657" s="59"/>
    </row>
    <row r="1658" spans="2:13" x14ac:dyDescent="0.3">
      <c r="B1658" s="178"/>
      <c r="C1658" s="41"/>
      <c r="D1658" s="180"/>
      <c r="E1658" s="181"/>
      <c r="F1658" s="182"/>
      <c r="G1658" s="1" t="str">
        <f>IFERROR(IF(ventas_b_mes1255[[#This Row],[CUIT]]="","-",VLOOKUP(ventas_b_mes1255[[#This Row],[CUIT]],Lista_CUIT[#All],2,0)),"CUIT NO CARGADO")</f>
        <v>-</v>
      </c>
      <c r="H1658" s="100">
        <f>ventas_b_mes1255[[#This Row],[TOTAL]]/1.21</f>
        <v>0</v>
      </c>
      <c r="I1658" s="64">
        <f>ventas_b_mes1255[[#This Row],[IMPORTE NETO]]*0.21</f>
        <v>0</v>
      </c>
      <c r="J1658" s="184"/>
      <c r="K1658" s="184"/>
      <c r="L1658" s="184"/>
      <c r="M1658" s="59"/>
    </row>
    <row r="1659" spans="2:13" x14ac:dyDescent="0.3">
      <c r="B1659" s="178"/>
      <c r="C1659" s="41"/>
      <c r="D1659" s="180"/>
      <c r="E1659" s="181"/>
      <c r="F1659" s="182"/>
      <c r="G1659" s="1" t="str">
        <f>IFERROR(IF(ventas_b_mes1255[[#This Row],[CUIT]]="","-",VLOOKUP(ventas_b_mes1255[[#This Row],[CUIT]],Lista_CUIT[#All],2,0)),"CUIT NO CARGADO")</f>
        <v>-</v>
      </c>
      <c r="H1659" s="100">
        <f>ventas_b_mes1255[[#This Row],[TOTAL]]/1.21</f>
        <v>0</v>
      </c>
      <c r="I1659" s="64">
        <f>ventas_b_mes1255[[#This Row],[IMPORTE NETO]]*0.21</f>
        <v>0</v>
      </c>
      <c r="J1659" s="184"/>
      <c r="K1659" s="184"/>
      <c r="L1659" s="184"/>
      <c r="M1659" s="59"/>
    </row>
    <row r="1660" spans="2:13" x14ac:dyDescent="0.3">
      <c r="B1660" s="178"/>
      <c r="C1660" s="41"/>
      <c r="D1660" s="180"/>
      <c r="E1660" s="181"/>
      <c r="F1660" s="182"/>
      <c r="G1660" s="1" t="str">
        <f>IFERROR(IF(ventas_b_mes1255[[#This Row],[CUIT]]="","-",VLOOKUP(ventas_b_mes1255[[#This Row],[CUIT]],Lista_CUIT[#All],2,0)),"CUIT NO CARGADO")</f>
        <v>-</v>
      </c>
      <c r="H1660" s="100">
        <f>ventas_b_mes1255[[#This Row],[TOTAL]]/1.21</f>
        <v>0</v>
      </c>
      <c r="I1660" s="64">
        <f>ventas_b_mes1255[[#This Row],[IMPORTE NETO]]*0.21</f>
        <v>0</v>
      </c>
      <c r="J1660" s="184"/>
      <c r="K1660" s="184"/>
      <c r="L1660" s="184"/>
      <c r="M1660" s="59"/>
    </row>
    <row r="1661" spans="2:13" x14ac:dyDescent="0.3">
      <c r="B1661" s="178"/>
      <c r="C1661" s="41"/>
      <c r="D1661" s="180"/>
      <c r="E1661" s="181"/>
      <c r="F1661" s="182"/>
      <c r="G1661" s="1" t="str">
        <f>IFERROR(IF(ventas_b_mes1255[[#This Row],[CUIT]]="","-",VLOOKUP(ventas_b_mes1255[[#This Row],[CUIT]],Lista_CUIT[#All],2,0)),"CUIT NO CARGADO")</f>
        <v>-</v>
      </c>
      <c r="H1661" s="100">
        <f>ventas_b_mes1255[[#This Row],[TOTAL]]/1.21</f>
        <v>0</v>
      </c>
      <c r="I1661" s="64">
        <f>ventas_b_mes1255[[#This Row],[IMPORTE NETO]]*0.21</f>
        <v>0</v>
      </c>
      <c r="J1661" s="184"/>
      <c r="K1661" s="184"/>
      <c r="L1661" s="184"/>
      <c r="M1661" s="59"/>
    </row>
    <row r="1662" spans="2:13" x14ac:dyDescent="0.3">
      <c r="B1662" s="178"/>
      <c r="C1662" s="41"/>
      <c r="D1662" s="180"/>
      <c r="E1662" s="181"/>
      <c r="F1662" s="182"/>
      <c r="G1662" s="1" t="str">
        <f>IFERROR(IF(ventas_b_mes1255[[#This Row],[CUIT]]="","-",VLOOKUP(ventas_b_mes1255[[#This Row],[CUIT]],Lista_CUIT[#All],2,0)),"CUIT NO CARGADO")</f>
        <v>-</v>
      </c>
      <c r="H1662" s="100">
        <f>ventas_b_mes1255[[#This Row],[TOTAL]]/1.21</f>
        <v>0</v>
      </c>
      <c r="I1662" s="64">
        <f>ventas_b_mes1255[[#This Row],[IMPORTE NETO]]*0.21</f>
        <v>0</v>
      </c>
      <c r="J1662" s="184"/>
      <c r="K1662" s="184"/>
      <c r="L1662" s="184"/>
      <c r="M1662" s="59"/>
    </row>
    <row r="1663" spans="2:13" x14ac:dyDescent="0.3">
      <c r="B1663" s="178"/>
      <c r="C1663" s="41"/>
      <c r="D1663" s="180"/>
      <c r="E1663" s="181"/>
      <c r="F1663" s="182"/>
      <c r="G1663" s="1" t="str">
        <f>IFERROR(IF(ventas_b_mes1255[[#This Row],[CUIT]]="","-",VLOOKUP(ventas_b_mes1255[[#This Row],[CUIT]],Lista_CUIT[#All],2,0)),"CUIT NO CARGADO")</f>
        <v>-</v>
      </c>
      <c r="H1663" s="100">
        <f>ventas_b_mes1255[[#This Row],[TOTAL]]/1.21</f>
        <v>0</v>
      </c>
      <c r="I1663" s="64">
        <f>ventas_b_mes1255[[#This Row],[IMPORTE NETO]]*0.21</f>
        <v>0</v>
      </c>
      <c r="J1663" s="184"/>
      <c r="K1663" s="184"/>
      <c r="L1663" s="184"/>
      <c r="M1663" s="59"/>
    </row>
    <row r="1664" spans="2:13" x14ac:dyDescent="0.3">
      <c r="B1664" s="178"/>
      <c r="C1664" s="41"/>
      <c r="D1664" s="180"/>
      <c r="E1664" s="181"/>
      <c r="F1664" s="182"/>
      <c r="G1664" s="1" t="str">
        <f>IFERROR(IF(ventas_b_mes1255[[#This Row],[CUIT]]="","-",VLOOKUP(ventas_b_mes1255[[#This Row],[CUIT]],Lista_CUIT[#All],2,0)),"CUIT NO CARGADO")</f>
        <v>-</v>
      </c>
      <c r="H1664" s="100">
        <f>ventas_b_mes1255[[#This Row],[TOTAL]]/1.21</f>
        <v>0</v>
      </c>
      <c r="I1664" s="64">
        <f>ventas_b_mes1255[[#This Row],[IMPORTE NETO]]*0.21</f>
        <v>0</v>
      </c>
      <c r="J1664" s="184"/>
      <c r="K1664" s="184"/>
      <c r="L1664" s="184"/>
      <c r="M1664" s="59"/>
    </row>
    <row r="1665" spans="2:13" x14ac:dyDescent="0.3">
      <c r="B1665" s="178"/>
      <c r="C1665" s="41"/>
      <c r="D1665" s="180"/>
      <c r="E1665" s="181"/>
      <c r="F1665" s="182"/>
      <c r="G1665" s="1" t="str">
        <f>IFERROR(IF(ventas_b_mes1255[[#This Row],[CUIT]]="","-",VLOOKUP(ventas_b_mes1255[[#This Row],[CUIT]],Lista_CUIT[#All],2,0)),"CUIT NO CARGADO")</f>
        <v>-</v>
      </c>
      <c r="H1665" s="100">
        <f>ventas_b_mes1255[[#This Row],[TOTAL]]/1.21</f>
        <v>0</v>
      </c>
      <c r="I1665" s="64">
        <f>ventas_b_mes1255[[#This Row],[IMPORTE NETO]]*0.21</f>
        <v>0</v>
      </c>
      <c r="J1665" s="184"/>
      <c r="K1665" s="184"/>
      <c r="L1665" s="184"/>
      <c r="M1665" s="59"/>
    </row>
    <row r="1666" spans="2:13" x14ac:dyDescent="0.3">
      <c r="B1666" s="178"/>
      <c r="C1666" s="41"/>
      <c r="D1666" s="180"/>
      <c r="E1666" s="181"/>
      <c r="F1666" s="182"/>
      <c r="G1666" s="1" t="str">
        <f>IFERROR(IF(ventas_b_mes1255[[#This Row],[CUIT]]="","-",VLOOKUP(ventas_b_mes1255[[#This Row],[CUIT]],Lista_CUIT[#All],2,0)),"CUIT NO CARGADO")</f>
        <v>-</v>
      </c>
      <c r="H1666" s="100">
        <f>ventas_b_mes1255[[#This Row],[TOTAL]]/1.21</f>
        <v>0</v>
      </c>
      <c r="I1666" s="64">
        <f>ventas_b_mes1255[[#This Row],[IMPORTE NETO]]*0.21</f>
        <v>0</v>
      </c>
      <c r="J1666" s="184"/>
      <c r="K1666" s="184"/>
      <c r="L1666" s="184"/>
      <c r="M1666" s="59"/>
    </row>
    <row r="1667" spans="2:13" x14ac:dyDescent="0.3">
      <c r="B1667" s="178"/>
      <c r="C1667" s="41"/>
      <c r="D1667" s="180"/>
      <c r="E1667" s="181"/>
      <c r="F1667" s="182"/>
      <c r="G1667" s="1" t="str">
        <f>IFERROR(IF(ventas_b_mes1255[[#This Row],[CUIT]]="","-",VLOOKUP(ventas_b_mes1255[[#This Row],[CUIT]],Lista_CUIT[#All],2,0)),"CUIT NO CARGADO")</f>
        <v>-</v>
      </c>
      <c r="H1667" s="100">
        <f>ventas_b_mes1255[[#This Row],[TOTAL]]/1.21</f>
        <v>0</v>
      </c>
      <c r="I1667" s="64">
        <f>ventas_b_mes1255[[#This Row],[IMPORTE NETO]]*0.21</f>
        <v>0</v>
      </c>
      <c r="J1667" s="184"/>
      <c r="K1667" s="184"/>
      <c r="L1667" s="184"/>
      <c r="M1667" s="59"/>
    </row>
    <row r="1668" spans="2:13" x14ac:dyDescent="0.3">
      <c r="B1668" s="178"/>
      <c r="C1668" s="41"/>
      <c r="D1668" s="180"/>
      <c r="E1668" s="181"/>
      <c r="F1668" s="182"/>
      <c r="G1668" s="1" t="str">
        <f>IFERROR(IF(ventas_b_mes1255[[#This Row],[CUIT]]="","-",VLOOKUP(ventas_b_mes1255[[#This Row],[CUIT]],Lista_CUIT[#All],2,0)),"CUIT NO CARGADO")</f>
        <v>-</v>
      </c>
      <c r="H1668" s="100">
        <f>ventas_b_mes1255[[#This Row],[TOTAL]]/1.21</f>
        <v>0</v>
      </c>
      <c r="I1668" s="64">
        <f>ventas_b_mes1255[[#This Row],[IMPORTE NETO]]*0.21</f>
        <v>0</v>
      </c>
      <c r="J1668" s="184"/>
      <c r="K1668" s="184"/>
      <c r="L1668" s="184"/>
      <c r="M1668" s="59"/>
    </row>
    <row r="1669" spans="2:13" x14ac:dyDescent="0.3">
      <c r="B1669" s="178"/>
      <c r="C1669" s="41"/>
      <c r="D1669" s="180"/>
      <c r="E1669" s="181"/>
      <c r="F1669" s="182"/>
      <c r="G1669" s="1" t="str">
        <f>IFERROR(IF(ventas_b_mes1255[[#This Row],[CUIT]]="","-",VLOOKUP(ventas_b_mes1255[[#This Row],[CUIT]],Lista_CUIT[#All],2,0)),"CUIT NO CARGADO")</f>
        <v>-</v>
      </c>
      <c r="H1669" s="100">
        <f>ventas_b_mes1255[[#This Row],[TOTAL]]/1.21</f>
        <v>0</v>
      </c>
      <c r="I1669" s="64">
        <f>ventas_b_mes1255[[#This Row],[IMPORTE NETO]]*0.21</f>
        <v>0</v>
      </c>
      <c r="J1669" s="184"/>
      <c r="K1669" s="184"/>
      <c r="L1669" s="184"/>
      <c r="M1669" s="59"/>
    </row>
    <row r="1670" spans="2:13" x14ac:dyDescent="0.3">
      <c r="B1670" s="178"/>
      <c r="C1670" s="41"/>
      <c r="D1670" s="180"/>
      <c r="E1670" s="181"/>
      <c r="F1670" s="182"/>
      <c r="G1670" s="1" t="str">
        <f>IFERROR(IF(ventas_b_mes1255[[#This Row],[CUIT]]="","-",VLOOKUP(ventas_b_mes1255[[#This Row],[CUIT]],Lista_CUIT[#All],2,0)),"CUIT NO CARGADO")</f>
        <v>-</v>
      </c>
      <c r="H1670" s="100">
        <f>ventas_b_mes1255[[#This Row],[TOTAL]]/1.21</f>
        <v>0</v>
      </c>
      <c r="I1670" s="64">
        <f>ventas_b_mes1255[[#This Row],[IMPORTE NETO]]*0.21</f>
        <v>0</v>
      </c>
      <c r="J1670" s="184"/>
      <c r="K1670" s="184"/>
      <c r="L1670" s="184"/>
      <c r="M1670" s="59"/>
    </row>
    <row r="1671" spans="2:13" x14ac:dyDescent="0.3">
      <c r="B1671" s="178"/>
      <c r="C1671" s="41"/>
      <c r="D1671" s="180"/>
      <c r="E1671" s="181"/>
      <c r="F1671" s="182"/>
      <c r="G1671" s="1" t="str">
        <f>IFERROR(IF(ventas_b_mes1255[[#This Row],[CUIT]]="","-",VLOOKUP(ventas_b_mes1255[[#This Row],[CUIT]],Lista_CUIT[#All],2,0)),"CUIT NO CARGADO")</f>
        <v>-</v>
      </c>
      <c r="H1671" s="100">
        <f>ventas_b_mes1255[[#This Row],[TOTAL]]/1.21</f>
        <v>0</v>
      </c>
      <c r="I1671" s="64">
        <f>ventas_b_mes1255[[#This Row],[IMPORTE NETO]]*0.21</f>
        <v>0</v>
      </c>
      <c r="J1671" s="184"/>
      <c r="K1671" s="184"/>
      <c r="L1671" s="184"/>
      <c r="M1671" s="59"/>
    </row>
    <row r="1672" spans="2:13" x14ac:dyDescent="0.3">
      <c r="B1672" s="178"/>
      <c r="C1672" s="41"/>
      <c r="D1672" s="180"/>
      <c r="E1672" s="181"/>
      <c r="F1672" s="182"/>
      <c r="G1672" s="1" t="str">
        <f>IFERROR(IF(ventas_b_mes1255[[#This Row],[CUIT]]="","-",VLOOKUP(ventas_b_mes1255[[#This Row],[CUIT]],Lista_CUIT[#All],2,0)),"CUIT NO CARGADO")</f>
        <v>-</v>
      </c>
      <c r="H1672" s="100">
        <f>ventas_b_mes1255[[#This Row],[TOTAL]]/1.21</f>
        <v>0</v>
      </c>
      <c r="I1672" s="64">
        <f>ventas_b_mes1255[[#This Row],[IMPORTE NETO]]*0.21</f>
        <v>0</v>
      </c>
      <c r="J1672" s="184"/>
      <c r="K1672" s="184"/>
      <c r="L1672" s="184"/>
      <c r="M1672" s="59"/>
    </row>
    <row r="1673" spans="2:13" x14ac:dyDescent="0.3">
      <c r="B1673" s="178"/>
      <c r="C1673" s="41"/>
      <c r="D1673" s="180"/>
      <c r="E1673" s="181"/>
      <c r="F1673" s="182"/>
      <c r="G1673" s="1" t="str">
        <f>IFERROR(IF(ventas_b_mes1255[[#This Row],[CUIT]]="","-",VLOOKUP(ventas_b_mes1255[[#This Row],[CUIT]],Lista_CUIT[#All],2,0)),"CUIT NO CARGADO")</f>
        <v>-</v>
      </c>
      <c r="H1673" s="100">
        <f>ventas_b_mes1255[[#This Row],[TOTAL]]/1.21</f>
        <v>0</v>
      </c>
      <c r="I1673" s="64">
        <f>ventas_b_mes1255[[#This Row],[IMPORTE NETO]]*0.21</f>
        <v>0</v>
      </c>
      <c r="J1673" s="184"/>
      <c r="K1673" s="184"/>
      <c r="L1673" s="184"/>
      <c r="M1673" s="59"/>
    </row>
    <row r="1674" spans="2:13" x14ac:dyDescent="0.3">
      <c r="B1674" s="178"/>
      <c r="C1674" s="41"/>
      <c r="D1674" s="180"/>
      <c r="E1674" s="181"/>
      <c r="F1674" s="182"/>
      <c r="G1674" s="1" t="str">
        <f>IFERROR(IF(ventas_b_mes1255[[#This Row],[CUIT]]="","-",VLOOKUP(ventas_b_mes1255[[#This Row],[CUIT]],Lista_CUIT[#All],2,0)),"CUIT NO CARGADO")</f>
        <v>-</v>
      </c>
      <c r="H1674" s="100">
        <f>ventas_b_mes1255[[#This Row],[TOTAL]]/1.21</f>
        <v>0</v>
      </c>
      <c r="I1674" s="64">
        <f>ventas_b_mes1255[[#This Row],[IMPORTE NETO]]*0.21</f>
        <v>0</v>
      </c>
      <c r="J1674" s="184"/>
      <c r="K1674" s="184"/>
      <c r="L1674" s="184"/>
      <c r="M1674" s="59"/>
    </row>
    <row r="1675" spans="2:13" x14ac:dyDescent="0.3">
      <c r="B1675" s="178"/>
      <c r="C1675" s="41"/>
      <c r="D1675" s="180"/>
      <c r="E1675" s="181"/>
      <c r="F1675" s="182"/>
      <c r="G1675" s="1" t="str">
        <f>IFERROR(IF(ventas_b_mes1255[[#This Row],[CUIT]]="","-",VLOOKUP(ventas_b_mes1255[[#This Row],[CUIT]],Lista_CUIT[#All],2,0)),"CUIT NO CARGADO")</f>
        <v>-</v>
      </c>
      <c r="H1675" s="100">
        <f>ventas_b_mes1255[[#This Row],[TOTAL]]/1.21</f>
        <v>0</v>
      </c>
      <c r="I1675" s="64">
        <f>ventas_b_mes1255[[#This Row],[IMPORTE NETO]]*0.21</f>
        <v>0</v>
      </c>
      <c r="J1675" s="184"/>
      <c r="K1675" s="184"/>
      <c r="L1675" s="184"/>
      <c r="M1675" s="59"/>
    </row>
    <row r="1676" spans="2:13" x14ac:dyDescent="0.3">
      <c r="B1676" s="178"/>
      <c r="C1676" s="41"/>
      <c r="D1676" s="180"/>
      <c r="E1676" s="181"/>
      <c r="F1676" s="182"/>
      <c r="G1676" s="1" t="str">
        <f>IFERROR(IF(ventas_b_mes1255[[#This Row],[CUIT]]="","-",VLOOKUP(ventas_b_mes1255[[#This Row],[CUIT]],Lista_CUIT[#All],2,0)),"CUIT NO CARGADO")</f>
        <v>-</v>
      </c>
      <c r="H1676" s="100">
        <f>ventas_b_mes1255[[#This Row],[TOTAL]]/1.21</f>
        <v>0</v>
      </c>
      <c r="I1676" s="64">
        <f>ventas_b_mes1255[[#This Row],[IMPORTE NETO]]*0.21</f>
        <v>0</v>
      </c>
      <c r="J1676" s="184"/>
      <c r="K1676" s="184"/>
      <c r="L1676" s="184"/>
      <c r="M1676" s="59"/>
    </row>
    <row r="1677" spans="2:13" x14ac:dyDescent="0.3">
      <c r="B1677" s="178"/>
      <c r="C1677" s="41"/>
      <c r="D1677" s="180"/>
      <c r="E1677" s="181"/>
      <c r="F1677" s="182"/>
      <c r="G1677" s="1" t="str">
        <f>IFERROR(IF(ventas_b_mes1255[[#This Row],[CUIT]]="","-",VLOOKUP(ventas_b_mes1255[[#This Row],[CUIT]],Lista_CUIT[#All],2,0)),"CUIT NO CARGADO")</f>
        <v>-</v>
      </c>
      <c r="H1677" s="100">
        <f>ventas_b_mes1255[[#This Row],[TOTAL]]/1.21</f>
        <v>0</v>
      </c>
      <c r="I1677" s="64">
        <f>ventas_b_mes1255[[#This Row],[IMPORTE NETO]]*0.21</f>
        <v>0</v>
      </c>
      <c r="J1677" s="184"/>
      <c r="K1677" s="184"/>
      <c r="L1677" s="184"/>
      <c r="M1677" s="59"/>
    </row>
    <row r="1678" spans="2:13" x14ac:dyDescent="0.3">
      <c r="B1678" s="178"/>
      <c r="C1678" s="41"/>
      <c r="D1678" s="180"/>
      <c r="E1678" s="181"/>
      <c r="F1678" s="182"/>
      <c r="G1678" s="1" t="str">
        <f>IFERROR(IF(ventas_b_mes1255[[#This Row],[CUIT]]="","-",VLOOKUP(ventas_b_mes1255[[#This Row],[CUIT]],Lista_CUIT[#All],2,0)),"CUIT NO CARGADO")</f>
        <v>-</v>
      </c>
      <c r="H1678" s="100">
        <f>ventas_b_mes1255[[#This Row],[TOTAL]]/1.21</f>
        <v>0</v>
      </c>
      <c r="I1678" s="64">
        <f>ventas_b_mes1255[[#This Row],[IMPORTE NETO]]*0.21</f>
        <v>0</v>
      </c>
      <c r="J1678" s="184"/>
      <c r="K1678" s="184"/>
      <c r="L1678" s="184"/>
      <c r="M1678" s="59"/>
    </row>
    <row r="1679" spans="2:13" x14ac:dyDescent="0.3">
      <c r="B1679" s="178"/>
      <c r="C1679" s="41"/>
      <c r="D1679" s="180"/>
      <c r="E1679" s="181"/>
      <c r="F1679" s="182"/>
      <c r="G1679" s="1" t="str">
        <f>IFERROR(IF(ventas_b_mes1255[[#This Row],[CUIT]]="","-",VLOOKUP(ventas_b_mes1255[[#This Row],[CUIT]],Lista_CUIT[#All],2,0)),"CUIT NO CARGADO")</f>
        <v>-</v>
      </c>
      <c r="H1679" s="100">
        <f>ventas_b_mes1255[[#This Row],[TOTAL]]/1.21</f>
        <v>0</v>
      </c>
      <c r="I1679" s="64">
        <f>ventas_b_mes1255[[#This Row],[IMPORTE NETO]]*0.21</f>
        <v>0</v>
      </c>
      <c r="J1679" s="184"/>
      <c r="K1679" s="184"/>
      <c r="L1679" s="184"/>
      <c r="M1679" s="59"/>
    </row>
    <row r="1680" spans="2:13" x14ac:dyDescent="0.3">
      <c r="B1680" s="178"/>
      <c r="C1680" s="41"/>
      <c r="D1680" s="180"/>
      <c r="E1680" s="181"/>
      <c r="F1680" s="182"/>
      <c r="G1680" s="1" t="str">
        <f>IFERROR(IF(ventas_b_mes1255[[#This Row],[CUIT]]="","-",VLOOKUP(ventas_b_mes1255[[#This Row],[CUIT]],Lista_CUIT[#All],2,0)),"CUIT NO CARGADO")</f>
        <v>-</v>
      </c>
      <c r="H1680" s="100">
        <f>ventas_b_mes1255[[#This Row],[TOTAL]]/1.21</f>
        <v>0</v>
      </c>
      <c r="I1680" s="64">
        <f>ventas_b_mes1255[[#This Row],[IMPORTE NETO]]*0.21</f>
        <v>0</v>
      </c>
      <c r="J1680" s="184"/>
      <c r="K1680" s="184"/>
      <c r="L1680" s="184"/>
      <c r="M1680" s="59"/>
    </row>
    <row r="1681" spans="2:13" x14ac:dyDescent="0.3">
      <c r="B1681" s="178"/>
      <c r="C1681" s="41"/>
      <c r="D1681" s="180"/>
      <c r="E1681" s="181"/>
      <c r="F1681" s="182"/>
      <c r="G1681" s="1" t="str">
        <f>IFERROR(IF(ventas_b_mes1255[[#This Row],[CUIT]]="","-",VLOOKUP(ventas_b_mes1255[[#This Row],[CUIT]],Lista_CUIT[#All],2,0)),"CUIT NO CARGADO")</f>
        <v>-</v>
      </c>
      <c r="H1681" s="100">
        <f>ventas_b_mes1255[[#This Row],[TOTAL]]/1.21</f>
        <v>0</v>
      </c>
      <c r="I1681" s="64">
        <f>ventas_b_mes1255[[#This Row],[IMPORTE NETO]]*0.21</f>
        <v>0</v>
      </c>
      <c r="J1681" s="184"/>
      <c r="K1681" s="184"/>
      <c r="L1681" s="184"/>
      <c r="M1681" s="59"/>
    </row>
    <row r="1682" spans="2:13" x14ac:dyDescent="0.3">
      <c r="B1682" s="178"/>
      <c r="C1682" s="41"/>
      <c r="D1682" s="180"/>
      <c r="E1682" s="181"/>
      <c r="F1682" s="182"/>
      <c r="G1682" s="1" t="str">
        <f>IFERROR(IF(ventas_b_mes1255[[#This Row],[CUIT]]="","-",VLOOKUP(ventas_b_mes1255[[#This Row],[CUIT]],Lista_CUIT[#All],2,0)),"CUIT NO CARGADO")</f>
        <v>-</v>
      </c>
      <c r="H1682" s="100">
        <f>ventas_b_mes1255[[#This Row],[TOTAL]]/1.21</f>
        <v>0</v>
      </c>
      <c r="I1682" s="64">
        <f>ventas_b_mes1255[[#This Row],[IMPORTE NETO]]*0.21</f>
        <v>0</v>
      </c>
      <c r="J1682" s="184"/>
      <c r="K1682" s="184"/>
      <c r="L1682" s="184"/>
      <c r="M1682" s="59"/>
    </row>
    <row r="1683" spans="2:13" x14ac:dyDescent="0.3">
      <c r="B1683" s="178"/>
      <c r="C1683" s="41"/>
      <c r="D1683" s="180"/>
      <c r="E1683" s="181"/>
      <c r="F1683" s="182"/>
      <c r="G1683" s="1" t="str">
        <f>IFERROR(IF(ventas_b_mes1255[[#This Row],[CUIT]]="","-",VLOOKUP(ventas_b_mes1255[[#This Row],[CUIT]],Lista_CUIT[#All],2,0)),"CUIT NO CARGADO")</f>
        <v>-</v>
      </c>
      <c r="H1683" s="100">
        <f>ventas_b_mes1255[[#This Row],[TOTAL]]/1.21</f>
        <v>0</v>
      </c>
      <c r="I1683" s="64">
        <f>ventas_b_mes1255[[#This Row],[IMPORTE NETO]]*0.21</f>
        <v>0</v>
      </c>
      <c r="J1683" s="184"/>
      <c r="K1683" s="184"/>
      <c r="L1683" s="184"/>
      <c r="M1683" s="59"/>
    </row>
    <row r="1684" spans="2:13" x14ac:dyDescent="0.3">
      <c r="B1684" s="178"/>
      <c r="C1684" s="41"/>
      <c r="D1684" s="180"/>
      <c r="E1684" s="181"/>
      <c r="F1684" s="182"/>
      <c r="G1684" s="1" t="str">
        <f>IFERROR(IF(ventas_b_mes1255[[#This Row],[CUIT]]="","-",VLOOKUP(ventas_b_mes1255[[#This Row],[CUIT]],Lista_CUIT[#All],2,0)),"CUIT NO CARGADO")</f>
        <v>-</v>
      </c>
      <c r="H1684" s="100">
        <f>ventas_b_mes1255[[#This Row],[TOTAL]]/1.21</f>
        <v>0</v>
      </c>
      <c r="I1684" s="64">
        <f>ventas_b_mes1255[[#This Row],[IMPORTE NETO]]*0.21</f>
        <v>0</v>
      </c>
      <c r="J1684" s="184"/>
      <c r="K1684" s="184"/>
      <c r="L1684" s="184"/>
      <c r="M1684" s="59"/>
    </row>
    <row r="1685" spans="2:13" x14ac:dyDescent="0.3">
      <c r="B1685" s="178"/>
      <c r="C1685" s="41"/>
      <c r="D1685" s="180"/>
      <c r="E1685" s="181"/>
      <c r="F1685" s="182"/>
      <c r="G1685" s="1" t="str">
        <f>IFERROR(IF(ventas_b_mes1255[[#This Row],[CUIT]]="","-",VLOOKUP(ventas_b_mes1255[[#This Row],[CUIT]],Lista_CUIT[#All],2,0)),"CUIT NO CARGADO")</f>
        <v>-</v>
      </c>
      <c r="H1685" s="100">
        <f>ventas_b_mes1255[[#This Row],[TOTAL]]/1.21</f>
        <v>0</v>
      </c>
      <c r="I1685" s="64">
        <f>ventas_b_mes1255[[#This Row],[IMPORTE NETO]]*0.21</f>
        <v>0</v>
      </c>
      <c r="J1685" s="184"/>
      <c r="K1685" s="184"/>
      <c r="L1685" s="184"/>
      <c r="M1685" s="59"/>
    </row>
    <row r="1686" spans="2:13" x14ac:dyDescent="0.3">
      <c r="B1686" s="178"/>
      <c r="C1686" s="41"/>
      <c r="D1686" s="180"/>
      <c r="E1686" s="181"/>
      <c r="F1686" s="182"/>
      <c r="G1686" s="1" t="str">
        <f>IFERROR(IF(ventas_b_mes1255[[#This Row],[CUIT]]="","-",VLOOKUP(ventas_b_mes1255[[#This Row],[CUIT]],Lista_CUIT[#All],2,0)),"CUIT NO CARGADO")</f>
        <v>-</v>
      </c>
      <c r="H1686" s="100">
        <f>ventas_b_mes1255[[#This Row],[TOTAL]]/1.21</f>
        <v>0</v>
      </c>
      <c r="I1686" s="64">
        <f>ventas_b_mes1255[[#This Row],[IMPORTE NETO]]*0.21</f>
        <v>0</v>
      </c>
      <c r="J1686" s="184"/>
      <c r="K1686" s="184"/>
      <c r="L1686" s="184"/>
      <c r="M1686" s="59"/>
    </row>
    <row r="1687" spans="2:13" x14ac:dyDescent="0.3">
      <c r="B1687" s="178"/>
      <c r="C1687" s="41"/>
      <c r="D1687" s="180"/>
      <c r="E1687" s="181"/>
      <c r="F1687" s="182"/>
      <c r="G1687" s="1" t="str">
        <f>IFERROR(IF(ventas_b_mes1255[[#This Row],[CUIT]]="","-",VLOOKUP(ventas_b_mes1255[[#This Row],[CUIT]],Lista_CUIT[#All],2,0)),"CUIT NO CARGADO")</f>
        <v>-</v>
      </c>
      <c r="H1687" s="100">
        <f>ventas_b_mes1255[[#This Row],[TOTAL]]/1.21</f>
        <v>0</v>
      </c>
      <c r="I1687" s="64">
        <f>ventas_b_mes1255[[#This Row],[IMPORTE NETO]]*0.21</f>
        <v>0</v>
      </c>
      <c r="J1687" s="184"/>
      <c r="K1687" s="184"/>
      <c r="L1687" s="184"/>
      <c r="M1687" s="59"/>
    </row>
    <row r="1688" spans="2:13" x14ac:dyDescent="0.3">
      <c r="B1688" s="178"/>
      <c r="C1688" s="41"/>
      <c r="D1688" s="180"/>
      <c r="E1688" s="181"/>
      <c r="F1688" s="182"/>
      <c r="G1688" s="1" t="str">
        <f>IFERROR(IF(ventas_b_mes1255[[#This Row],[CUIT]]="","-",VLOOKUP(ventas_b_mes1255[[#This Row],[CUIT]],Lista_CUIT[#All],2,0)),"CUIT NO CARGADO")</f>
        <v>-</v>
      </c>
      <c r="H1688" s="100">
        <f>ventas_b_mes1255[[#This Row],[TOTAL]]/1.21</f>
        <v>0</v>
      </c>
      <c r="I1688" s="64">
        <f>ventas_b_mes1255[[#This Row],[IMPORTE NETO]]*0.21</f>
        <v>0</v>
      </c>
      <c r="J1688" s="184"/>
      <c r="K1688" s="184"/>
      <c r="L1688" s="184"/>
      <c r="M1688" s="59"/>
    </row>
    <row r="1689" spans="2:13" x14ac:dyDescent="0.3">
      <c r="B1689" s="178"/>
      <c r="C1689" s="41"/>
      <c r="D1689" s="180"/>
      <c r="E1689" s="181"/>
      <c r="F1689" s="182"/>
      <c r="G1689" s="1" t="str">
        <f>IFERROR(IF(ventas_b_mes1255[[#This Row],[CUIT]]="","-",VLOOKUP(ventas_b_mes1255[[#This Row],[CUIT]],Lista_CUIT[#All],2,0)),"CUIT NO CARGADO")</f>
        <v>-</v>
      </c>
      <c r="H1689" s="100">
        <f>ventas_b_mes1255[[#This Row],[TOTAL]]/1.21</f>
        <v>0</v>
      </c>
      <c r="I1689" s="64">
        <f>ventas_b_mes1255[[#This Row],[IMPORTE NETO]]*0.21</f>
        <v>0</v>
      </c>
      <c r="J1689" s="184"/>
      <c r="K1689" s="184"/>
      <c r="L1689" s="184"/>
      <c r="M1689" s="59"/>
    </row>
    <row r="1690" spans="2:13" x14ac:dyDescent="0.3">
      <c r="B1690" s="178"/>
      <c r="C1690" s="41"/>
      <c r="D1690" s="180"/>
      <c r="E1690" s="181"/>
      <c r="F1690" s="182"/>
      <c r="G1690" s="1" t="str">
        <f>IFERROR(IF(ventas_b_mes1255[[#This Row],[CUIT]]="","-",VLOOKUP(ventas_b_mes1255[[#This Row],[CUIT]],Lista_CUIT[#All],2,0)),"CUIT NO CARGADO")</f>
        <v>-</v>
      </c>
      <c r="H1690" s="100">
        <f>ventas_b_mes1255[[#This Row],[TOTAL]]/1.21</f>
        <v>0</v>
      </c>
      <c r="I1690" s="64">
        <f>ventas_b_mes1255[[#This Row],[IMPORTE NETO]]*0.21</f>
        <v>0</v>
      </c>
      <c r="J1690" s="184"/>
      <c r="K1690" s="184"/>
      <c r="L1690" s="184"/>
      <c r="M1690" s="59"/>
    </row>
    <row r="1691" spans="2:13" x14ac:dyDescent="0.3">
      <c r="B1691" s="178"/>
      <c r="C1691" s="41"/>
      <c r="D1691" s="180"/>
      <c r="E1691" s="181"/>
      <c r="F1691" s="182"/>
      <c r="G1691" s="1" t="str">
        <f>IFERROR(IF(ventas_b_mes1255[[#This Row],[CUIT]]="","-",VLOOKUP(ventas_b_mes1255[[#This Row],[CUIT]],Lista_CUIT[#All],2,0)),"CUIT NO CARGADO")</f>
        <v>-</v>
      </c>
      <c r="H1691" s="100">
        <f>ventas_b_mes1255[[#This Row],[TOTAL]]/1.21</f>
        <v>0</v>
      </c>
      <c r="I1691" s="64">
        <f>ventas_b_mes1255[[#This Row],[IMPORTE NETO]]*0.21</f>
        <v>0</v>
      </c>
      <c r="J1691" s="184"/>
      <c r="K1691" s="184"/>
      <c r="L1691" s="184"/>
      <c r="M1691" s="59"/>
    </row>
    <row r="1692" spans="2:13" x14ac:dyDescent="0.3">
      <c r="B1692" s="178"/>
      <c r="C1692" s="41"/>
      <c r="D1692" s="180"/>
      <c r="E1692" s="181"/>
      <c r="F1692" s="182"/>
      <c r="G1692" s="1" t="str">
        <f>IFERROR(IF(ventas_b_mes1255[[#This Row],[CUIT]]="","-",VLOOKUP(ventas_b_mes1255[[#This Row],[CUIT]],Lista_CUIT[#All],2,0)),"CUIT NO CARGADO")</f>
        <v>-</v>
      </c>
      <c r="H1692" s="100">
        <f>ventas_b_mes1255[[#This Row],[TOTAL]]/1.21</f>
        <v>0</v>
      </c>
      <c r="I1692" s="64">
        <f>ventas_b_mes1255[[#This Row],[IMPORTE NETO]]*0.21</f>
        <v>0</v>
      </c>
      <c r="J1692" s="184"/>
      <c r="K1692" s="184"/>
      <c r="L1692" s="184"/>
      <c r="M1692" s="59"/>
    </row>
    <row r="1693" spans="2:13" x14ac:dyDescent="0.3">
      <c r="B1693" s="178"/>
      <c r="C1693" s="41"/>
      <c r="D1693" s="180"/>
      <c r="E1693" s="181"/>
      <c r="F1693" s="182"/>
      <c r="G1693" s="1" t="str">
        <f>IFERROR(IF(ventas_b_mes1255[[#This Row],[CUIT]]="","-",VLOOKUP(ventas_b_mes1255[[#This Row],[CUIT]],Lista_CUIT[#All],2,0)),"CUIT NO CARGADO")</f>
        <v>-</v>
      </c>
      <c r="H1693" s="100">
        <f>ventas_b_mes1255[[#This Row],[TOTAL]]/1.21</f>
        <v>0</v>
      </c>
      <c r="I1693" s="64">
        <f>ventas_b_mes1255[[#This Row],[IMPORTE NETO]]*0.21</f>
        <v>0</v>
      </c>
      <c r="J1693" s="184"/>
      <c r="K1693" s="184"/>
      <c r="L1693" s="184"/>
      <c r="M1693" s="59"/>
    </row>
    <row r="1694" spans="2:13" x14ac:dyDescent="0.3">
      <c r="B1694" s="178"/>
      <c r="C1694" s="41"/>
      <c r="D1694" s="180"/>
      <c r="E1694" s="181"/>
      <c r="F1694" s="182"/>
      <c r="G1694" s="1" t="str">
        <f>IFERROR(IF(ventas_b_mes1255[[#This Row],[CUIT]]="","-",VLOOKUP(ventas_b_mes1255[[#This Row],[CUIT]],Lista_CUIT[#All],2,0)),"CUIT NO CARGADO")</f>
        <v>-</v>
      </c>
      <c r="H1694" s="100">
        <f>ventas_b_mes1255[[#This Row],[TOTAL]]/1.21</f>
        <v>0</v>
      </c>
      <c r="I1694" s="64">
        <f>ventas_b_mes1255[[#This Row],[IMPORTE NETO]]*0.21</f>
        <v>0</v>
      </c>
      <c r="J1694" s="184"/>
      <c r="K1694" s="184"/>
      <c r="L1694" s="184"/>
      <c r="M1694" s="59"/>
    </row>
    <row r="1695" spans="2:13" x14ac:dyDescent="0.3">
      <c r="B1695" s="178"/>
      <c r="C1695" s="41"/>
      <c r="D1695" s="180"/>
      <c r="E1695" s="181"/>
      <c r="F1695" s="182"/>
      <c r="G1695" s="1" t="str">
        <f>IFERROR(IF(ventas_b_mes1255[[#This Row],[CUIT]]="","-",VLOOKUP(ventas_b_mes1255[[#This Row],[CUIT]],Lista_CUIT[#All],2,0)),"CUIT NO CARGADO")</f>
        <v>-</v>
      </c>
      <c r="H1695" s="100">
        <f>ventas_b_mes1255[[#This Row],[TOTAL]]/1.21</f>
        <v>0</v>
      </c>
      <c r="I1695" s="64">
        <f>ventas_b_mes1255[[#This Row],[IMPORTE NETO]]*0.21</f>
        <v>0</v>
      </c>
      <c r="J1695" s="184"/>
      <c r="K1695" s="184"/>
      <c r="L1695" s="184"/>
      <c r="M1695" s="59"/>
    </row>
    <row r="1696" spans="2:13" x14ac:dyDescent="0.3">
      <c r="B1696" s="178"/>
      <c r="C1696" s="41"/>
      <c r="D1696" s="180"/>
      <c r="E1696" s="181"/>
      <c r="F1696" s="182"/>
      <c r="G1696" s="1" t="str">
        <f>IFERROR(IF(ventas_b_mes1255[[#This Row],[CUIT]]="","-",VLOOKUP(ventas_b_mes1255[[#This Row],[CUIT]],Lista_CUIT[#All],2,0)),"CUIT NO CARGADO")</f>
        <v>-</v>
      </c>
      <c r="H1696" s="100">
        <f>ventas_b_mes1255[[#This Row],[TOTAL]]/1.21</f>
        <v>0</v>
      </c>
      <c r="I1696" s="64">
        <f>ventas_b_mes1255[[#This Row],[IMPORTE NETO]]*0.21</f>
        <v>0</v>
      </c>
      <c r="J1696" s="184"/>
      <c r="K1696" s="184"/>
      <c r="L1696" s="184"/>
      <c r="M1696" s="59"/>
    </row>
    <row r="1697" spans="2:13" x14ac:dyDescent="0.3">
      <c r="B1697" s="178"/>
      <c r="C1697" s="41"/>
      <c r="D1697" s="180"/>
      <c r="E1697" s="181"/>
      <c r="F1697" s="182"/>
      <c r="G1697" s="1" t="str">
        <f>IFERROR(IF(ventas_b_mes1255[[#This Row],[CUIT]]="","-",VLOOKUP(ventas_b_mes1255[[#This Row],[CUIT]],Lista_CUIT[#All],2,0)),"CUIT NO CARGADO")</f>
        <v>-</v>
      </c>
      <c r="H1697" s="100">
        <f>ventas_b_mes1255[[#This Row],[TOTAL]]/1.21</f>
        <v>0</v>
      </c>
      <c r="I1697" s="64">
        <f>ventas_b_mes1255[[#This Row],[IMPORTE NETO]]*0.21</f>
        <v>0</v>
      </c>
      <c r="J1697" s="184"/>
      <c r="K1697" s="184"/>
      <c r="L1697" s="184"/>
      <c r="M1697" s="59"/>
    </row>
    <row r="1698" spans="2:13" x14ac:dyDescent="0.3">
      <c r="B1698" s="178"/>
      <c r="C1698" s="41"/>
      <c r="D1698" s="180"/>
      <c r="E1698" s="181"/>
      <c r="F1698" s="182"/>
      <c r="G1698" s="1" t="str">
        <f>IFERROR(IF(ventas_b_mes1255[[#This Row],[CUIT]]="","-",VLOOKUP(ventas_b_mes1255[[#This Row],[CUIT]],Lista_CUIT[#All],2,0)),"CUIT NO CARGADO")</f>
        <v>-</v>
      </c>
      <c r="H1698" s="100">
        <f>ventas_b_mes1255[[#This Row],[TOTAL]]/1.21</f>
        <v>0</v>
      </c>
      <c r="I1698" s="64">
        <f>ventas_b_mes1255[[#This Row],[IMPORTE NETO]]*0.21</f>
        <v>0</v>
      </c>
      <c r="J1698" s="184"/>
      <c r="K1698" s="184"/>
      <c r="L1698" s="184"/>
      <c r="M1698" s="59"/>
    </row>
    <row r="1699" spans="2:13" x14ac:dyDescent="0.3">
      <c r="B1699" s="178"/>
      <c r="C1699" s="41"/>
      <c r="D1699" s="180"/>
      <c r="E1699" s="181"/>
      <c r="F1699" s="182"/>
      <c r="G1699" s="1" t="str">
        <f>IFERROR(IF(ventas_b_mes1255[[#This Row],[CUIT]]="","-",VLOOKUP(ventas_b_mes1255[[#This Row],[CUIT]],Lista_CUIT[#All],2,0)),"CUIT NO CARGADO")</f>
        <v>-</v>
      </c>
      <c r="H1699" s="100">
        <f>ventas_b_mes1255[[#This Row],[TOTAL]]/1.21</f>
        <v>0</v>
      </c>
      <c r="I1699" s="64">
        <f>ventas_b_mes1255[[#This Row],[IMPORTE NETO]]*0.21</f>
        <v>0</v>
      </c>
      <c r="J1699" s="184"/>
      <c r="K1699" s="184"/>
      <c r="L1699" s="184"/>
      <c r="M1699" s="59"/>
    </row>
    <row r="1700" spans="2:13" x14ac:dyDescent="0.3">
      <c r="B1700" s="178"/>
      <c r="C1700" s="41"/>
      <c r="D1700" s="180"/>
      <c r="E1700" s="181"/>
      <c r="F1700" s="182"/>
      <c r="G1700" s="1" t="str">
        <f>IFERROR(IF(ventas_b_mes1255[[#This Row],[CUIT]]="","-",VLOOKUP(ventas_b_mes1255[[#This Row],[CUIT]],Lista_CUIT[#All],2,0)),"CUIT NO CARGADO")</f>
        <v>-</v>
      </c>
      <c r="H1700" s="100">
        <f>ventas_b_mes1255[[#This Row],[TOTAL]]/1.21</f>
        <v>0</v>
      </c>
      <c r="I1700" s="64">
        <f>ventas_b_mes1255[[#This Row],[IMPORTE NETO]]*0.21</f>
        <v>0</v>
      </c>
      <c r="J1700" s="184"/>
      <c r="K1700" s="184"/>
      <c r="L1700" s="184"/>
      <c r="M1700" s="59"/>
    </row>
    <row r="1701" spans="2:13" x14ac:dyDescent="0.3">
      <c r="B1701" s="178"/>
      <c r="C1701" s="41"/>
      <c r="D1701" s="180"/>
      <c r="E1701" s="181"/>
      <c r="F1701" s="182"/>
      <c r="G1701" s="1" t="str">
        <f>IFERROR(IF(ventas_b_mes1255[[#This Row],[CUIT]]="","-",VLOOKUP(ventas_b_mes1255[[#This Row],[CUIT]],Lista_CUIT[#All],2,0)),"CUIT NO CARGADO")</f>
        <v>-</v>
      </c>
      <c r="H1701" s="100">
        <f>ventas_b_mes1255[[#This Row],[TOTAL]]/1.21</f>
        <v>0</v>
      </c>
      <c r="I1701" s="64">
        <f>ventas_b_mes1255[[#This Row],[IMPORTE NETO]]*0.21</f>
        <v>0</v>
      </c>
      <c r="J1701" s="184"/>
      <c r="K1701" s="184"/>
      <c r="L1701" s="184"/>
      <c r="M1701" s="59"/>
    </row>
    <row r="1702" spans="2:13" x14ac:dyDescent="0.3">
      <c r="B1702" s="178"/>
      <c r="C1702" s="41"/>
      <c r="D1702" s="180"/>
      <c r="E1702" s="181"/>
      <c r="F1702" s="182"/>
      <c r="G1702" s="1" t="str">
        <f>IFERROR(IF(ventas_b_mes1255[[#This Row],[CUIT]]="","-",VLOOKUP(ventas_b_mes1255[[#This Row],[CUIT]],Lista_CUIT[#All],2,0)),"CUIT NO CARGADO")</f>
        <v>-</v>
      </c>
      <c r="H1702" s="100">
        <f>ventas_b_mes1255[[#This Row],[TOTAL]]/1.21</f>
        <v>0</v>
      </c>
      <c r="I1702" s="64">
        <f>ventas_b_mes1255[[#This Row],[IMPORTE NETO]]*0.21</f>
        <v>0</v>
      </c>
      <c r="J1702" s="184"/>
      <c r="K1702" s="184"/>
      <c r="L1702" s="184"/>
      <c r="M1702" s="59"/>
    </row>
    <row r="1703" spans="2:13" x14ac:dyDescent="0.3">
      <c r="B1703" s="178"/>
      <c r="C1703" s="41"/>
      <c r="D1703" s="180"/>
      <c r="E1703" s="181"/>
      <c r="F1703" s="182"/>
      <c r="G1703" s="1" t="str">
        <f>IFERROR(IF(ventas_b_mes1255[[#This Row],[CUIT]]="","-",VLOOKUP(ventas_b_mes1255[[#This Row],[CUIT]],Lista_CUIT[#All],2,0)),"CUIT NO CARGADO")</f>
        <v>-</v>
      </c>
      <c r="H1703" s="100">
        <f>ventas_b_mes1255[[#This Row],[TOTAL]]/1.21</f>
        <v>0</v>
      </c>
      <c r="I1703" s="64">
        <f>ventas_b_mes1255[[#This Row],[IMPORTE NETO]]*0.21</f>
        <v>0</v>
      </c>
      <c r="J1703" s="184"/>
      <c r="K1703" s="184"/>
      <c r="L1703" s="184"/>
      <c r="M1703" s="59"/>
    </row>
    <row r="1704" spans="2:13" x14ac:dyDescent="0.3">
      <c r="B1704" s="178"/>
      <c r="C1704" s="41"/>
      <c r="D1704" s="180"/>
      <c r="E1704" s="181"/>
      <c r="F1704" s="182"/>
      <c r="G1704" s="1" t="str">
        <f>IFERROR(IF(ventas_b_mes1255[[#This Row],[CUIT]]="","-",VLOOKUP(ventas_b_mes1255[[#This Row],[CUIT]],Lista_CUIT[#All],2,0)),"CUIT NO CARGADO")</f>
        <v>-</v>
      </c>
      <c r="H1704" s="100">
        <f>ventas_b_mes1255[[#This Row],[TOTAL]]/1.21</f>
        <v>0</v>
      </c>
      <c r="I1704" s="64">
        <f>ventas_b_mes1255[[#This Row],[IMPORTE NETO]]*0.21</f>
        <v>0</v>
      </c>
      <c r="J1704" s="184"/>
      <c r="K1704" s="184"/>
      <c r="L1704" s="184"/>
      <c r="M1704" s="59"/>
    </row>
    <row r="1705" spans="2:13" x14ac:dyDescent="0.3">
      <c r="B1705" s="178"/>
      <c r="C1705" s="41"/>
      <c r="D1705" s="180"/>
      <c r="E1705" s="181"/>
      <c r="F1705" s="182"/>
      <c r="G1705" s="1" t="str">
        <f>IFERROR(IF(ventas_b_mes1255[[#This Row],[CUIT]]="","-",VLOOKUP(ventas_b_mes1255[[#This Row],[CUIT]],Lista_CUIT[#All],2,0)),"CUIT NO CARGADO")</f>
        <v>-</v>
      </c>
      <c r="H1705" s="100">
        <f>ventas_b_mes1255[[#This Row],[TOTAL]]/1.21</f>
        <v>0</v>
      </c>
      <c r="I1705" s="64">
        <f>ventas_b_mes1255[[#This Row],[IMPORTE NETO]]*0.21</f>
        <v>0</v>
      </c>
      <c r="J1705" s="184"/>
      <c r="K1705" s="184"/>
      <c r="L1705" s="184"/>
      <c r="M1705" s="59"/>
    </row>
    <row r="1706" spans="2:13" x14ac:dyDescent="0.3">
      <c r="B1706" s="178"/>
      <c r="C1706" s="41"/>
      <c r="D1706" s="180"/>
      <c r="E1706" s="181"/>
      <c r="F1706" s="182"/>
      <c r="G1706" s="1" t="str">
        <f>IFERROR(IF(ventas_b_mes1255[[#This Row],[CUIT]]="","-",VLOOKUP(ventas_b_mes1255[[#This Row],[CUIT]],Lista_CUIT[#All],2,0)),"CUIT NO CARGADO")</f>
        <v>-</v>
      </c>
      <c r="H1706" s="100">
        <f>ventas_b_mes1255[[#This Row],[TOTAL]]/1.21</f>
        <v>0</v>
      </c>
      <c r="I1706" s="64">
        <f>ventas_b_mes1255[[#This Row],[IMPORTE NETO]]*0.21</f>
        <v>0</v>
      </c>
      <c r="J1706" s="184"/>
      <c r="K1706" s="184"/>
      <c r="L1706" s="184"/>
      <c r="M1706" s="59"/>
    </row>
    <row r="1707" spans="2:13" x14ac:dyDescent="0.3">
      <c r="B1707" s="178"/>
      <c r="C1707" s="41"/>
      <c r="D1707" s="180"/>
      <c r="E1707" s="181"/>
      <c r="F1707" s="182"/>
      <c r="G1707" s="1" t="str">
        <f>IFERROR(IF(ventas_b_mes1255[[#This Row],[CUIT]]="","-",VLOOKUP(ventas_b_mes1255[[#This Row],[CUIT]],Lista_CUIT[#All],2,0)),"CUIT NO CARGADO")</f>
        <v>-</v>
      </c>
      <c r="H1707" s="100">
        <f>ventas_b_mes1255[[#This Row],[TOTAL]]/1.21</f>
        <v>0</v>
      </c>
      <c r="I1707" s="64">
        <f>ventas_b_mes1255[[#This Row],[IMPORTE NETO]]*0.21</f>
        <v>0</v>
      </c>
      <c r="J1707" s="184"/>
      <c r="K1707" s="184"/>
      <c r="L1707" s="184"/>
      <c r="M1707" s="59"/>
    </row>
    <row r="1708" spans="2:13" x14ac:dyDescent="0.3">
      <c r="B1708" s="178"/>
      <c r="C1708" s="41"/>
      <c r="D1708" s="180"/>
      <c r="E1708" s="181"/>
      <c r="F1708" s="182"/>
      <c r="G1708" s="1" t="str">
        <f>IFERROR(IF(ventas_b_mes1255[[#This Row],[CUIT]]="","-",VLOOKUP(ventas_b_mes1255[[#This Row],[CUIT]],Lista_CUIT[#All],2,0)),"CUIT NO CARGADO")</f>
        <v>-</v>
      </c>
      <c r="H1708" s="100">
        <f>ventas_b_mes1255[[#This Row],[TOTAL]]/1.21</f>
        <v>0</v>
      </c>
      <c r="I1708" s="64">
        <f>ventas_b_mes1255[[#This Row],[IMPORTE NETO]]*0.21</f>
        <v>0</v>
      </c>
      <c r="J1708" s="184"/>
      <c r="K1708" s="184"/>
      <c r="L1708" s="184"/>
      <c r="M1708" s="59"/>
    </row>
    <row r="1709" spans="2:13" x14ac:dyDescent="0.3">
      <c r="B1709" s="178"/>
      <c r="C1709" s="41"/>
      <c r="D1709" s="180"/>
      <c r="E1709" s="181"/>
      <c r="F1709" s="182"/>
      <c r="G1709" s="1" t="str">
        <f>IFERROR(IF(ventas_b_mes1255[[#This Row],[CUIT]]="","-",VLOOKUP(ventas_b_mes1255[[#This Row],[CUIT]],Lista_CUIT[#All],2,0)),"CUIT NO CARGADO")</f>
        <v>-</v>
      </c>
      <c r="H1709" s="100">
        <f>ventas_b_mes1255[[#This Row],[TOTAL]]/1.21</f>
        <v>0</v>
      </c>
      <c r="I1709" s="64">
        <f>ventas_b_mes1255[[#This Row],[IMPORTE NETO]]*0.21</f>
        <v>0</v>
      </c>
      <c r="J1709" s="184"/>
      <c r="K1709" s="184"/>
      <c r="L1709" s="184"/>
      <c r="M1709" s="59"/>
    </row>
    <row r="1710" spans="2:13" x14ac:dyDescent="0.3">
      <c r="B1710" s="178"/>
      <c r="C1710" s="41"/>
      <c r="D1710" s="180"/>
      <c r="E1710" s="181"/>
      <c r="F1710" s="182"/>
      <c r="G1710" s="1" t="str">
        <f>IFERROR(IF(ventas_b_mes1255[[#This Row],[CUIT]]="","-",VLOOKUP(ventas_b_mes1255[[#This Row],[CUIT]],Lista_CUIT[#All],2,0)),"CUIT NO CARGADO")</f>
        <v>-</v>
      </c>
      <c r="H1710" s="100">
        <f>ventas_b_mes1255[[#This Row],[TOTAL]]/1.21</f>
        <v>0</v>
      </c>
      <c r="I1710" s="64">
        <f>ventas_b_mes1255[[#This Row],[IMPORTE NETO]]*0.21</f>
        <v>0</v>
      </c>
      <c r="J1710" s="184"/>
      <c r="K1710" s="184"/>
      <c r="L1710" s="184"/>
      <c r="M1710" s="59"/>
    </row>
    <row r="1711" spans="2:13" x14ac:dyDescent="0.3">
      <c r="B1711" s="178"/>
      <c r="C1711" s="41"/>
      <c r="D1711" s="180"/>
      <c r="E1711" s="181"/>
      <c r="F1711" s="182"/>
      <c r="G1711" s="1" t="str">
        <f>IFERROR(IF(ventas_b_mes1255[[#This Row],[CUIT]]="","-",VLOOKUP(ventas_b_mes1255[[#This Row],[CUIT]],Lista_CUIT[#All],2,0)),"CUIT NO CARGADO")</f>
        <v>-</v>
      </c>
      <c r="H1711" s="100">
        <f>ventas_b_mes1255[[#This Row],[TOTAL]]/1.21</f>
        <v>0</v>
      </c>
      <c r="I1711" s="64">
        <f>ventas_b_mes1255[[#This Row],[IMPORTE NETO]]*0.21</f>
        <v>0</v>
      </c>
      <c r="J1711" s="184"/>
      <c r="K1711" s="184"/>
      <c r="L1711" s="184"/>
      <c r="M1711" s="59"/>
    </row>
    <row r="1712" spans="2:13" x14ac:dyDescent="0.3">
      <c r="B1712" s="178"/>
      <c r="C1712" s="41"/>
      <c r="D1712" s="180"/>
      <c r="E1712" s="181"/>
      <c r="F1712" s="182"/>
      <c r="G1712" s="1" t="str">
        <f>IFERROR(IF(ventas_b_mes1255[[#This Row],[CUIT]]="","-",VLOOKUP(ventas_b_mes1255[[#This Row],[CUIT]],Lista_CUIT[#All],2,0)),"CUIT NO CARGADO")</f>
        <v>-</v>
      </c>
      <c r="H1712" s="100">
        <f>ventas_b_mes1255[[#This Row],[TOTAL]]/1.21</f>
        <v>0</v>
      </c>
      <c r="I1712" s="64">
        <f>ventas_b_mes1255[[#This Row],[IMPORTE NETO]]*0.21</f>
        <v>0</v>
      </c>
      <c r="J1712" s="184"/>
      <c r="K1712" s="184"/>
      <c r="L1712" s="184"/>
      <c r="M1712" s="59"/>
    </row>
    <row r="1713" spans="2:13" x14ac:dyDescent="0.3">
      <c r="B1713" s="178"/>
      <c r="C1713" s="41"/>
      <c r="D1713" s="180"/>
      <c r="E1713" s="181"/>
      <c r="F1713" s="182"/>
      <c r="G1713" s="1" t="str">
        <f>IFERROR(IF(ventas_b_mes1255[[#This Row],[CUIT]]="","-",VLOOKUP(ventas_b_mes1255[[#This Row],[CUIT]],Lista_CUIT[#All],2,0)),"CUIT NO CARGADO")</f>
        <v>-</v>
      </c>
      <c r="H1713" s="100">
        <f>ventas_b_mes1255[[#This Row],[TOTAL]]/1.21</f>
        <v>0</v>
      </c>
      <c r="I1713" s="64">
        <f>ventas_b_mes1255[[#This Row],[IMPORTE NETO]]*0.21</f>
        <v>0</v>
      </c>
      <c r="J1713" s="184"/>
      <c r="K1713" s="184"/>
      <c r="L1713" s="184"/>
      <c r="M1713" s="59"/>
    </row>
    <row r="1714" spans="2:13" x14ac:dyDescent="0.3">
      <c r="B1714" s="178"/>
      <c r="C1714" s="41"/>
      <c r="D1714" s="180"/>
      <c r="E1714" s="181"/>
      <c r="F1714" s="182"/>
      <c r="G1714" s="1" t="str">
        <f>IFERROR(IF(ventas_b_mes1255[[#This Row],[CUIT]]="","-",VLOOKUP(ventas_b_mes1255[[#This Row],[CUIT]],Lista_CUIT[#All],2,0)),"CUIT NO CARGADO")</f>
        <v>-</v>
      </c>
      <c r="H1714" s="100">
        <f>ventas_b_mes1255[[#This Row],[TOTAL]]/1.21</f>
        <v>0</v>
      </c>
      <c r="I1714" s="64">
        <f>ventas_b_mes1255[[#This Row],[IMPORTE NETO]]*0.21</f>
        <v>0</v>
      </c>
      <c r="J1714" s="184"/>
      <c r="K1714" s="184"/>
      <c r="L1714" s="184"/>
      <c r="M1714" s="59"/>
    </row>
    <row r="1715" spans="2:13" x14ac:dyDescent="0.3">
      <c r="B1715" s="178"/>
      <c r="C1715" s="41"/>
      <c r="D1715" s="180"/>
      <c r="E1715" s="181"/>
      <c r="F1715" s="182"/>
      <c r="G1715" s="1" t="str">
        <f>IFERROR(IF(ventas_b_mes1255[[#This Row],[CUIT]]="","-",VLOOKUP(ventas_b_mes1255[[#This Row],[CUIT]],Lista_CUIT[#All],2,0)),"CUIT NO CARGADO")</f>
        <v>-</v>
      </c>
      <c r="H1715" s="100">
        <f>ventas_b_mes1255[[#This Row],[TOTAL]]/1.21</f>
        <v>0</v>
      </c>
      <c r="I1715" s="64">
        <f>ventas_b_mes1255[[#This Row],[IMPORTE NETO]]*0.21</f>
        <v>0</v>
      </c>
      <c r="J1715" s="184"/>
      <c r="K1715" s="184"/>
      <c r="L1715" s="184"/>
      <c r="M1715" s="59"/>
    </row>
    <row r="1716" spans="2:13" x14ac:dyDescent="0.3">
      <c r="B1716" s="178"/>
      <c r="C1716" s="41"/>
      <c r="D1716" s="180"/>
      <c r="E1716" s="181"/>
      <c r="F1716" s="182"/>
      <c r="G1716" s="1" t="str">
        <f>IFERROR(IF(ventas_b_mes1255[[#This Row],[CUIT]]="","-",VLOOKUP(ventas_b_mes1255[[#This Row],[CUIT]],Lista_CUIT[#All],2,0)),"CUIT NO CARGADO")</f>
        <v>-</v>
      </c>
      <c r="H1716" s="100">
        <f>ventas_b_mes1255[[#This Row],[TOTAL]]/1.21</f>
        <v>0</v>
      </c>
      <c r="I1716" s="64">
        <f>ventas_b_mes1255[[#This Row],[IMPORTE NETO]]*0.21</f>
        <v>0</v>
      </c>
      <c r="J1716" s="184"/>
      <c r="K1716" s="184"/>
      <c r="L1716" s="184"/>
      <c r="M1716" s="59"/>
    </row>
    <row r="1717" spans="2:13" x14ac:dyDescent="0.3">
      <c r="B1717" s="178"/>
      <c r="C1717" s="41"/>
      <c r="D1717" s="180"/>
      <c r="E1717" s="181"/>
      <c r="F1717" s="182"/>
      <c r="G1717" s="1" t="str">
        <f>IFERROR(IF(ventas_b_mes1255[[#This Row],[CUIT]]="","-",VLOOKUP(ventas_b_mes1255[[#This Row],[CUIT]],Lista_CUIT[#All],2,0)),"CUIT NO CARGADO")</f>
        <v>-</v>
      </c>
      <c r="H1717" s="100">
        <f>ventas_b_mes1255[[#This Row],[TOTAL]]/1.21</f>
        <v>0</v>
      </c>
      <c r="I1717" s="64">
        <f>ventas_b_mes1255[[#This Row],[IMPORTE NETO]]*0.21</f>
        <v>0</v>
      </c>
      <c r="J1717" s="184"/>
      <c r="K1717" s="184"/>
      <c r="L1717" s="184"/>
      <c r="M1717" s="59"/>
    </row>
    <row r="1718" spans="2:13" x14ac:dyDescent="0.3">
      <c r="B1718" s="178"/>
      <c r="C1718" s="41"/>
      <c r="D1718" s="180"/>
      <c r="E1718" s="181"/>
      <c r="F1718" s="182"/>
      <c r="G1718" s="1" t="str">
        <f>IFERROR(IF(ventas_b_mes1255[[#This Row],[CUIT]]="","-",VLOOKUP(ventas_b_mes1255[[#This Row],[CUIT]],Lista_CUIT[#All],2,0)),"CUIT NO CARGADO")</f>
        <v>-</v>
      </c>
      <c r="H1718" s="100">
        <f>ventas_b_mes1255[[#This Row],[TOTAL]]/1.21</f>
        <v>0</v>
      </c>
      <c r="I1718" s="64">
        <f>ventas_b_mes1255[[#This Row],[IMPORTE NETO]]*0.21</f>
        <v>0</v>
      </c>
      <c r="J1718" s="184"/>
      <c r="K1718" s="184"/>
      <c r="L1718" s="184"/>
      <c r="M1718" s="59"/>
    </row>
    <row r="1719" spans="2:13" x14ac:dyDescent="0.3">
      <c r="B1719" s="178"/>
      <c r="C1719" s="41"/>
      <c r="D1719" s="180"/>
      <c r="E1719" s="181"/>
      <c r="F1719" s="182"/>
      <c r="G1719" s="1" t="str">
        <f>IFERROR(IF(ventas_b_mes1255[[#This Row],[CUIT]]="","-",VLOOKUP(ventas_b_mes1255[[#This Row],[CUIT]],Lista_CUIT[#All],2,0)),"CUIT NO CARGADO")</f>
        <v>-</v>
      </c>
      <c r="H1719" s="100">
        <f>ventas_b_mes1255[[#This Row],[TOTAL]]/1.21</f>
        <v>0</v>
      </c>
      <c r="I1719" s="64">
        <f>ventas_b_mes1255[[#This Row],[IMPORTE NETO]]*0.21</f>
        <v>0</v>
      </c>
      <c r="J1719" s="184"/>
      <c r="K1719" s="184"/>
      <c r="L1719" s="184"/>
      <c r="M1719" s="59"/>
    </row>
    <row r="1720" spans="2:13" x14ac:dyDescent="0.3">
      <c r="B1720" s="178"/>
      <c r="C1720" s="41"/>
      <c r="D1720" s="180"/>
      <c r="E1720" s="181"/>
      <c r="F1720" s="182"/>
      <c r="G1720" s="1" t="str">
        <f>IFERROR(IF(ventas_b_mes1255[[#This Row],[CUIT]]="","-",VLOOKUP(ventas_b_mes1255[[#This Row],[CUIT]],Lista_CUIT[#All],2,0)),"CUIT NO CARGADO")</f>
        <v>-</v>
      </c>
      <c r="H1720" s="100">
        <f>ventas_b_mes1255[[#This Row],[TOTAL]]/1.21</f>
        <v>0</v>
      </c>
      <c r="I1720" s="64">
        <f>ventas_b_mes1255[[#This Row],[IMPORTE NETO]]*0.21</f>
        <v>0</v>
      </c>
      <c r="J1720" s="184"/>
      <c r="K1720" s="184"/>
      <c r="L1720" s="184"/>
      <c r="M1720" s="59"/>
    </row>
    <row r="1721" spans="2:13" x14ac:dyDescent="0.3">
      <c r="B1721" s="178"/>
      <c r="C1721" s="41"/>
      <c r="D1721" s="180"/>
      <c r="E1721" s="181"/>
      <c r="F1721" s="182"/>
      <c r="G1721" s="1" t="str">
        <f>IFERROR(IF(ventas_b_mes1255[[#This Row],[CUIT]]="","-",VLOOKUP(ventas_b_mes1255[[#This Row],[CUIT]],Lista_CUIT[#All],2,0)),"CUIT NO CARGADO")</f>
        <v>-</v>
      </c>
      <c r="H1721" s="100">
        <f>ventas_b_mes1255[[#This Row],[TOTAL]]/1.21</f>
        <v>0</v>
      </c>
      <c r="I1721" s="64">
        <f>ventas_b_mes1255[[#This Row],[IMPORTE NETO]]*0.21</f>
        <v>0</v>
      </c>
      <c r="J1721" s="184"/>
      <c r="K1721" s="184"/>
      <c r="L1721" s="184"/>
      <c r="M1721" s="59"/>
    </row>
    <row r="1722" spans="2:13" x14ac:dyDescent="0.3">
      <c r="B1722" s="178"/>
      <c r="C1722" s="41"/>
      <c r="D1722" s="180"/>
      <c r="E1722" s="181"/>
      <c r="F1722" s="182"/>
      <c r="G1722" s="1" t="str">
        <f>IFERROR(IF(ventas_b_mes1255[[#This Row],[CUIT]]="","-",VLOOKUP(ventas_b_mes1255[[#This Row],[CUIT]],Lista_CUIT[#All],2,0)),"CUIT NO CARGADO")</f>
        <v>-</v>
      </c>
      <c r="H1722" s="100">
        <f>ventas_b_mes1255[[#This Row],[TOTAL]]/1.21</f>
        <v>0</v>
      </c>
      <c r="I1722" s="64">
        <f>ventas_b_mes1255[[#This Row],[IMPORTE NETO]]*0.21</f>
        <v>0</v>
      </c>
      <c r="J1722" s="184"/>
      <c r="K1722" s="184"/>
      <c r="L1722" s="184"/>
      <c r="M1722" s="59"/>
    </row>
    <row r="1723" spans="2:13" x14ac:dyDescent="0.3">
      <c r="B1723" s="178"/>
      <c r="C1723" s="41"/>
      <c r="D1723" s="180"/>
      <c r="E1723" s="181"/>
      <c r="F1723" s="182"/>
      <c r="G1723" s="1" t="str">
        <f>IFERROR(IF(ventas_b_mes1255[[#This Row],[CUIT]]="","-",VLOOKUP(ventas_b_mes1255[[#This Row],[CUIT]],Lista_CUIT[#All],2,0)),"CUIT NO CARGADO")</f>
        <v>-</v>
      </c>
      <c r="H1723" s="100">
        <f>ventas_b_mes1255[[#This Row],[TOTAL]]/1.21</f>
        <v>0</v>
      </c>
      <c r="I1723" s="64">
        <f>ventas_b_mes1255[[#This Row],[IMPORTE NETO]]*0.21</f>
        <v>0</v>
      </c>
      <c r="J1723" s="184"/>
      <c r="K1723" s="184"/>
      <c r="L1723" s="184"/>
      <c r="M1723" s="59"/>
    </row>
    <row r="1724" spans="2:13" x14ac:dyDescent="0.3">
      <c r="B1724" s="178"/>
      <c r="C1724" s="41"/>
      <c r="D1724" s="180"/>
      <c r="E1724" s="181"/>
      <c r="F1724" s="182"/>
      <c r="G1724" s="1" t="str">
        <f>IFERROR(IF(ventas_b_mes1255[[#This Row],[CUIT]]="","-",VLOOKUP(ventas_b_mes1255[[#This Row],[CUIT]],Lista_CUIT[#All],2,0)),"CUIT NO CARGADO")</f>
        <v>-</v>
      </c>
      <c r="H1724" s="100">
        <f>ventas_b_mes1255[[#This Row],[TOTAL]]/1.21</f>
        <v>0</v>
      </c>
      <c r="I1724" s="64">
        <f>ventas_b_mes1255[[#This Row],[IMPORTE NETO]]*0.21</f>
        <v>0</v>
      </c>
      <c r="J1724" s="184"/>
      <c r="K1724" s="184"/>
      <c r="L1724" s="184"/>
      <c r="M1724" s="59"/>
    </row>
    <row r="1725" spans="2:13" x14ac:dyDescent="0.3">
      <c r="B1725" s="178"/>
      <c r="C1725" s="41"/>
      <c r="D1725" s="180"/>
      <c r="E1725" s="181"/>
      <c r="F1725" s="182"/>
      <c r="G1725" s="1" t="str">
        <f>IFERROR(IF(ventas_b_mes1255[[#This Row],[CUIT]]="","-",VLOOKUP(ventas_b_mes1255[[#This Row],[CUIT]],Lista_CUIT[#All],2,0)),"CUIT NO CARGADO")</f>
        <v>-</v>
      </c>
      <c r="H1725" s="100">
        <f>ventas_b_mes1255[[#This Row],[TOTAL]]/1.21</f>
        <v>0</v>
      </c>
      <c r="I1725" s="64">
        <f>ventas_b_mes1255[[#This Row],[IMPORTE NETO]]*0.21</f>
        <v>0</v>
      </c>
      <c r="J1725" s="184"/>
      <c r="K1725" s="184"/>
      <c r="L1725" s="184"/>
      <c r="M1725" s="59"/>
    </row>
    <row r="1726" spans="2:13" x14ac:dyDescent="0.3">
      <c r="B1726" s="178"/>
      <c r="C1726" s="41"/>
      <c r="D1726" s="180"/>
      <c r="E1726" s="181"/>
      <c r="F1726" s="182"/>
      <c r="G1726" s="1" t="str">
        <f>IFERROR(IF(ventas_b_mes1255[[#This Row],[CUIT]]="","-",VLOOKUP(ventas_b_mes1255[[#This Row],[CUIT]],Lista_CUIT[#All],2,0)),"CUIT NO CARGADO")</f>
        <v>-</v>
      </c>
      <c r="H1726" s="100">
        <f>ventas_b_mes1255[[#This Row],[TOTAL]]/1.21</f>
        <v>0</v>
      </c>
      <c r="I1726" s="64">
        <f>ventas_b_mes1255[[#This Row],[IMPORTE NETO]]*0.21</f>
        <v>0</v>
      </c>
      <c r="J1726" s="184"/>
      <c r="K1726" s="184"/>
      <c r="L1726" s="184"/>
      <c r="M1726" s="59"/>
    </row>
    <row r="1727" spans="2:13" x14ac:dyDescent="0.3">
      <c r="B1727" s="178"/>
      <c r="C1727" s="41"/>
      <c r="D1727" s="180"/>
      <c r="E1727" s="181"/>
      <c r="F1727" s="182"/>
      <c r="G1727" s="1" t="str">
        <f>IFERROR(IF(ventas_b_mes1255[[#This Row],[CUIT]]="","-",VLOOKUP(ventas_b_mes1255[[#This Row],[CUIT]],Lista_CUIT[#All],2,0)),"CUIT NO CARGADO")</f>
        <v>-</v>
      </c>
      <c r="H1727" s="100">
        <f>ventas_b_mes1255[[#This Row],[TOTAL]]/1.21</f>
        <v>0</v>
      </c>
      <c r="I1727" s="64">
        <f>ventas_b_mes1255[[#This Row],[IMPORTE NETO]]*0.21</f>
        <v>0</v>
      </c>
      <c r="J1727" s="184"/>
      <c r="K1727" s="184"/>
      <c r="L1727" s="184"/>
      <c r="M1727" s="59"/>
    </row>
    <row r="1728" spans="2:13" x14ac:dyDescent="0.3">
      <c r="B1728" s="178"/>
      <c r="C1728" s="41"/>
      <c r="D1728" s="180"/>
      <c r="E1728" s="181"/>
      <c r="F1728" s="182"/>
      <c r="G1728" s="1" t="str">
        <f>IFERROR(IF(ventas_b_mes1255[[#This Row],[CUIT]]="","-",VLOOKUP(ventas_b_mes1255[[#This Row],[CUIT]],Lista_CUIT[#All],2,0)),"CUIT NO CARGADO")</f>
        <v>-</v>
      </c>
      <c r="H1728" s="100">
        <f>ventas_b_mes1255[[#This Row],[TOTAL]]/1.21</f>
        <v>0</v>
      </c>
      <c r="I1728" s="64">
        <f>ventas_b_mes1255[[#This Row],[IMPORTE NETO]]*0.21</f>
        <v>0</v>
      </c>
      <c r="J1728" s="184"/>
      <c r="K1728" s="184"/>
      <c r="L1728" s="184"/>
      <c r="M1728" s="59"/>
    </row>
    <row r="1729" spans="2:13" x14ac:dyDescent="0.3">
      <c r="B1729" s="178"/>
      <c r="C1729" s="41"/>
      <c r="D1729" s="180"/>
      <c r="E1729" s="181"/>
      <c r="F1729" s="182"/>
      <c r="G1729" s="1" t="str">
        <f>IFERROR(IF(ventas_b_mes1255[[#This Row],[CUIT]]="","-",VLOOKUP(ventas_b_mes1255[[#This Row],[CUIT]],Lista_CUIT[#All],2,0)),"CUIT NO CARGADO")</f>
        <v>-</v>
      </c>
      <c r="H1729" s="100">
        <f>ventas_b_mes1255[[#This Row],[TOTAL]]/1.21</f>
        <v>0</v>
      </c>
      <c r="I1729" s="64">
        <f>ventas_b_mes1255[[#This Row],[IMPORTE NETO]]*0.21</f>
        <v>0</v>
      </c>
      <c r="J1729" s="184"/>
      <c r="K1729" s="184"/>
      <c r="L1729" s="184"/>
      <c r="M1729" s="59"/>
    </row>
    <row r="1730" spans="2:13" x14ac:dyDescent="0.3">
      <c r="B1730" s="178"/>
      <c r="C1730" s="41"/>
      <c r="D1730" s="180"/>
      <c r="E1730" s="181"/>
      <c r="F1730" s="182"/>
      <c r="G1730" s="1" t="str">
        <f>IFERROR(IF(ventas_b_mes1255[[#This Row],[CUIT]]="","-",VLOOKUP(ventas_b_mes1255[[#This Row],[CUIT]],Lista_CUIT[#All],2,0)),"CUIT NO CARGADO")</f>
        <v>-</v>
      </c>
      <c r="H1730" s="100">
        <f>ventas_b_mes1255[[#This Row],[TOTAL]]/1.21</f>
        <v>0</v>
      </c>
      <c r="I1730" s="64">
        <f>ventas_b_mes1255[[#This Row],[IMPORTE NETO]]*0.21</f>
        <v>0</v>
      </c>
      <c r="J1730" s="184"/>
      <c r="K1730" s="184"/>
      <c r="L1730" s="184"/>
      <c r="M1730" s="59"/>
    </row>
    <row r="1731" spans="2:13" x14ac:dyDescent="0.3">
      <c r="B1731" s="178"/>
      <c r="C1731" s="41"/>
      <c r="D1731" s="180"/>
      <c r="E1731" s="181"/>
      <c r="F1731" s="182"/>
      <c r="G1731" s="1" t="str">
        <f>IFERROR(IF(ventas_b_mes1255[[#This Row],[CUIT]]="","-",VLOOKUP(ventas_b_mes1255[[#This Row],[CUIT]],Lista_CUIT[#All],2,0)),"CUIT NO CARGADO")</f>
        <v>-</v>
      </c>
      <c r="H1731" s="100">
        <f>ventas_b_mes1255[[#This Row],[TOTAL]]/1.21</f>
        <v>0</v>
      </c>
      <c r="I1731" s="64">
        <f>ventas_b_mes1255[[#This Row],[IMPORTE NETO]]*0.21</f>
        <v>0</v>
      </c>
      <c r="J1731" s="184"/>
      <c r="K1731" s="184"/>
      <c r="L1731" s="184"/>
      <c r="M1731" s="59"/>
    </row>
    <row r="1732" spans="2:13" x14ac:dyDescent="0.3">
      <c r="B1732" s="178"/>
      <c r="C1732" s="41"/>
      <c r="D1732" s="180"/>
      <c r="E1732" s="181"/>
      <c r="F1732" s="182"/>
      <c r="G1732" s="1" t="str">
        <f>IFERROR(IF(ventas_b_mes1255[[#This Row],[CUIT]]="","-",VLOOKUP(ventas_b_mes1255[[#This Row],[CUIT]],Lista_CUIT[#All],2,0)),"CUIT NO CARGADO")</f>
        <v>-</v>
      </c>
      <c r="H1732" s="100">
        <f>ventas_b_mes1255[[#This Row],[TOTAL]]/1.21</f>
        <v>0</v>
      </c>
      <c r="I1732" s="64">
        <f>ventas_b_mes1255[[#This Row],[IMPORTE NETO]]*0.21</f>
        <v>0</v>
      </c>
      <c r="J1732" s="184"/>
      <c r="K1732" s="184"/>
      <c r="L1732" s="184"/>
      <c r="M1732" s="59"/>
    </row>
    <row r="1733" spans="2:13" x14ac:dyDescent="0.3">
      <c r="B1733" s="178"/>
      <c r="C1733" s="41"/>
      <c r="D1733" s="180"/>
      <c r="E1733" s="181"/>
      <c r="F1733" s="182"/>
      <c r="G1733" s="1" t="str">
        <f>IFERROR(IF(ventas_b_mes1255[[#This Row],[CUIT]]="","-",VLOOKUP(ventas_b_mes1255[[#This Row],[CUIT]],Lista_CUIT[#All],2,0)),"CUIT NO CARGADO")</f>
        <v>-</v>
      </c>
      <c r="H1733" s="100">
        <f>ventas_b_mes1255[[#This Row],[TOTAL]]/1.21</f>
        <v>0</v>
      </c>
      <c r="I1733" s="64">
        <f>ventas_b_mes1255[[#This Row],[IMPORTE NETO]]*0.21</f>
        <v>0</v>
      </c>
      <c r="J1733" s="184"/>
      <c r="K1733" s="184"/>
      <c r="L1733" s="184"/>
      <c r="M1733" s="59"/>
    </row>
    <row r="1734" spans="2:13" x14ac:dyDescent="0.3">
      <c r="B1734" s="178"/>
      <c r="C1734" s="41"/>
      <c r="D1734" s="180"/>
      <c r="E1734" s="181"/>
      <c r="F1734" s="182"/>
      <c r="G1734" s="1" t="str">
        <f>IFERROR(IF(ventas_b_mes1255[[#This Row],[CUIT]]="","-",VLOOKUP(ventas_b_mes1255[[#This Row],[CUIT]],Lista_CUIT[#All],2,0)),"CUIT NO CARGADO")</f>
        <v>-</v>
      </c>
      <c r="H1734" s="100">
        <f>ventas_b_mes1255[[#This Row],[TOTAL]]/1.21</f>
        <v>0</v>
      </c>
      <c r="I1734" s="64">
        <f>ventas_b_mes1255[[#This Row],[IMPORTE NETO]]*0.21</f>
        <v>0</v>
      </c>
      <c r="J1734" s="184"/>
      <c r="K1734" s="184"/>
      <c r="L1734" s="184"/>
      <c r="M1734" s="59"/>
    </row>
    <row r="1735" spans="2:13" x14ac:dyDescent="0.3">
      <c r="B1735" s="178"/>
      <c r="C1735" s="41"/>
      <c r="D1735" s="180"/>
      <c r="E1735" s="181"/>
      <c r="F1735" s="182"/>
      <c r="G1735" s="1" t="str">
        <f>IFERROR(IF(ventas_b_mes1255[[#This Row],[CUIT]]="","-",VLOOKUP(ventas_b_mes1255[[#This Row],[CUIT]],Lista_CUIT[#All],2,0)),"CUIT NO CARGADO")</f>
        <v>-</v>
      </c>
      <c r="H1735" s="100">
        <f>ventas_b_mes1255[[#This Row],[TOTAL]]/1.21</f>
        <v>0</v>
      </c>
      <c r="I1735" s="64">
        <f>ventas_b_mes1255[[#This Row],[IMPORTE NETO]]*0.21</f>
        <v>0</v>
      </c>
      <c r="J1735" s="184"/>
      <c r="K1735" s="184"/>
      <c r="L1735" s="184"/>
      <c r="M1735" s="59"/>
    </row>
    <row r="1736" spans="2:13" x14ac:dyDescent="0.3">
      <c r="B1736" s="178"/>
      <c r="C1736" s="41"/>
      <c r="D1736" s="180"/>
      <c r="E1736" s="181"/>
      <c r="F1736" s="182"/>
      <c r="G1736" s="1" t="str">
        <f>IFERROR(IF(ventas_b_mes1255[[#This Row],[CUIT]]="","-",VLOOKUP(ventas_b_mes1255[[#This Row],[CUIT]],Lista_CUIT[#All],2,0)),"CUIT NO CARGADO")</f>
        <v>-</v>
      </c>
      <c r="H1736" s="100">
        <f>ventas_b_mes1255[[#This Row],[TOTAL]]/1.21</f>
        <v>0</v>
      </c>
      <c r="I1736" s="64">
        <f>ventas_b_mes1255[[#This Row],[IMPORTE NETO]]*0.21</f>
        <v>0</v>
      </c>
      <c r="J1736" s="184"/>
      <c r="K1736" s="184"/>
      <c r="L1736" s="184"/>
      <c r="M1736" s="59"/>
    </row>
    <row r="1737" spans="2:13" x14ac:dyDescent="0.3">
      <c r="B1737" s="178"/>
      <c r="C1737" s="41"/>
      <c r="D1737" s="180"/>
      <c r="E1737" s="181"/>
      <c r="F1737" s="182"/>
      <c r="G1737" s="1" t="str">
        <f>IFERROR(IF(ventas_b_mes1255[[#This Row],[CUIT]]="","-",VLOOKUP(ventas_b_mes1255[[#This Row],[CUIT]],Lista_CUIT[#All],2,0)),"CUIT NO CARGADO")</f>
        <v>-</v>
      </c>
      <c r="H1737" s="100">
        <f>ventas_b_mes1255[[#This Row],[TOTAL]]/1.21</f>
        <v>0</v>
      </c>
      <c r="I1737" s="64">
        <f>ventas_b_mes1255[[#This Row],[IMPORTE NETO]]*0.21</f>
        <v>0</v>
      </c>
      <c r="J1737" s="184"/>
      <c r="K1737" s="184"/>
      <c r="L1737" s="184"/>
      <c r="M1737" s="59"/>
    </row>
    <row r="1738" spans="2:13" x14ac:dyDescent="0.3">
      <c r="B1738" s="178"/>
      <c r="C1738" s="41"/>
      <c r="D1738" s="180"/>
      <c r="E1738" s="181"/>
      <c r="F1738" s="182"/>
      <c r="G1738" s="1" t="str">
        <f>IFERROR(IF(ventas_b_mes1255[[#This Row],[CUIT]]="","-",VLOOKUP(ventas_b_mes1255[[#This Row],[CUIT]],Lista_CUIT[#All],2,0)),"CUIT NO CARGADO")</f>
        <v>-</v>
      </c>
      <c r="H1738" s="100">
        <f>ventas_b_mes1255[[#This Row],[TOTAL]]/1.21</f>
        <v>0</v>
      </c>
      <c r="I1738" s="64">
        <f>ventas_b_mes1255[[#This Row],[IMPORTE NETO]]*0.21</f>
        <v>0</v>
      </c>
      <c r="J1738" s="184"/>
      <c r="K1738" s="184"/>
      <c r="L1738" s="184"/>
      <c r="M1738" s="59"/>
    </row>
    <row r="1739" spans="2:13" x14ac:dyDescent="0.3">
      <c r="B1739" s="178"/>
      <c r="C1739" s="41"/>
      <c r="D1739" s="180"/>
      <c r="E1739" s="181"/>
      <c r="F1739" s="182"/>
      <c r="G1739" s="1" t="str">
        <f>IFERROR(IF(ventas_b_mes1255[[#This Row],[CUIT]]="","-",VLOOKUP(ventas_b_mes1255[[#This Row],[CUIT]],Lista_CUIT[#All],2,0)),"CUIT NO CARGADO")</f>
        <v>-</v>
      </c>
      <c r="H1739" s="100">
        <f>ventas_b_mes1255[[#This Row],[TOTAL]]/1.21</f>
        <v>0</v>
      </c>
      <c r="I1739" s="64">
        <f>ventas_b_mes1255[[#This Row],[IMPORTE NETO]]*0.21</f>
        <v>0</v>
      </c>
      <c r="J1739" s="184"/>
      <c r="K1739" s="184"/>
      <c r="L1739" s="184"/>
      <c r="M1739" s="59"/>
    </row>
    <row r="1740" spans="2:13" x14ac:dyDescent="0.3">
      <c r="B1740" s="178"/>
      <c r="C1740" s="41"/>
      <c r="D1740" s="180"/>
      <c r="E1740" s="181"/>
      <c r="F1740" s="182"/>
      <c r="G1740" s="1" t="str">
        <f>IFERROR(IF(ventas_b_mes1255[[#This Row],[CUIT]]="","-",VLOOKUP(ventas_b_mes1255[[#This Row],[CUIT]],Lista_CUIT[#All],2,0)),"CUIT NO CARGADO")</f>
        <v>-</v>
      </c>
      <c r="H1740" s="100">
        <f>ventas_b_mes1255[[#This Row],[TOTAL]]/1.21</f>
        <v>0</v>
      </c>
      <c r="I1740" s="64">
        <f>ventas_b_mes1255[[#This Row],[IMPORTE NETO]]*0.21</f>
        <v>0</v>
      </c>
      <c r="J1740" s="184"/>
      <c r="K1740" s="184"/>
      <c r="L1740" s="184"/>
      <c r="M1740" s="59"/>
    </row>
    <row r="1741" spans="2:13" x14ac:dyDescent="0.3">
      <c r="B1741" s="178"/>
      <c r="C1741" s="41"/>
      <c r="D1741" s="180"/>
      <c r="E1741" s="181"/>
      <c r="F1741" s="182"/>
      <c r="G1741" s="1" t="str">
        <f>IFERROR(IF(ventas_b_mes1255[[#This Row],[CUIT]]="","-",VLOOKUP(ventas_b_mes1255[[#This Row],[CUIT]],Lista_CUIT[#All],2,0)),"CUIT NO CARGADO")</f>
        <v>-</v>
      </c>
      <c r="H1741" s="100">
        <f>ventas_b_mes1255[[#This Row],[TOTAL]]/1.21</f>
        <v>0</v>
      </c>
      <c r="I1741" s="64">
        <f>ventas_b_mes1255[[#This Row],[IMPORTE NETO]]*0.21</f>
        <v>0</v>
      </c>
      <c r="J1741" s="184"/>
      <c r="K1741" s="184"/>
      <c r="L1741" s="184"/>
      <c r="M1741" s="59"/>
    </row>
    <row r="1742" spans="2:13" x14ac:dyDescent="0.3">
      <c r="B1742" s="178"/>
      <c r="C1742" s="41"/>
      <c r="D1742" s="180"/>
      <c r="E1742" s="181"/>
      <c r="F1742" s="182"/>
      <c r="G1742" s="1" t="str">
        <f>IFERROR(IF(ventas_b_mes1255[[#This Row],[CUIT]]="","-",VLOOKUP(ventas_b_mes1255[[#This Row],[CUIT]],Lista_CUIT[#All],2,0)),"CUIT NO CARGADO")</f>
        <v>-</v>
      </c>
      <c r="H1742" s="100">
        <f>ventas_b_mes1255[[#This Row],[TOTAL]]/1.21</f>
        <v>0</v>
      </c>
      <c r="I1742" s="64">
        <f>ventas_b_mes1255[[#This Row],[IMPORTE NETO]]*0.21</f>
        <v>0</v>
      </c>
      <c r="J1742" s="184"/>
      <c r="K1742" s="184"/>
      <c r="L1742" s="184"/>
      <c r="M1742" s="59"/>
    </row>
    <row r="1743" spans="2:13" x14ac:dyDescent="0.3">
      <c r="B1743" s="178"/>
      <c r="C1743" s="41"/>
      <c r="D1743" s="180"/>
      <c r="E1743" s="181"/>
      <c r="F1743" s="182"/>
      <c r="G1743" s="1" t="str">
        <f>IFERROR(IF(ventas_b_mes1255[[#This Row],[CUIT]]="","-",VLOOKUP(ventas_b_mes1255[[#This Row],[CUIT]],Lista_CUIT[#All],2,0)),"CUIT NO CARGADO")</f>
        <v>-</v>
      </c>
      <c r="H1743" s="100">
        <f>ventas_b_mes1255[[#This Row],[TOTAL]]/1.21</f>
        <v>0</v>
      </c>
      <c r="I1743" s="64">
        <f>ventas_b_mes1255[[#This Row],[IMPORTE NETO]]*0.21</f>
        <v>0</v>
      </c>
      <c r="J1743" s="184"/>
      <c r="K1743" s="184"/>
      <c r="L1743" s="184"/>
      <c r="M1743" s="59"/>
    </row>
    <row r="1744" spans="2:13" x14ac:dyDescent="0.3">
      <c r="B1744" s="178"/>
      <c r="C1744" s="41"/>
      <c r="D1744" s="180"/>
      <c r="E1744" s="181"/>
      <c r="F1744" s="182"/>
      <c r="G1744" s="1" t="str">
        <f>IFERROR(IF(ventas_b_mes1255[[#This Row],[CUIT]]="","-",VLOOKUP(ventas_b_mes1255[[#This Row],[CUIT]],Lista_CUIT[#All],2,0)),"CUIT NO CARGADO")</f>
        <v>-</v>
      </c>
      <c r="H1744" s="100">
        <f>ventas_b_mes1255[[#This Row],[TOTAL]]/1.21</f>
        <v>0</v>
      </c>
      <c r="I1744" s="64">
        <f>ventas_b_mes1255[[#This Row],[IMPORTE NETO]]*0.21</f>
        <v>0</v>
      </c>
      <c r="J1744" s="184"/>
      <c r="K1744" s="184"/>
      <c r="L1744" s="184"/>
      <c r="M1744" s="59"/>
    </row>
    <row r="1745" spans="2:13" x14ac:dyDescent="0.3">
      <c r="B1745" s="178"/>
      <c r="C1745" s="41"/>
      <c r="D1745" s="180"/>
      <c r="E1745" s="181"/>
      <c r="F1745" s="182"/>
      <c r="G1745" s="1" t="str">
        <f>IFERROR(IF(ventas_b_mes1255[[#This Row],[CUIT]]="","-",VLOOKUP(ventas_b_mes1255[[#This Row],[CUIT]],Lista_CUIT[#All],2,0)),"CUIT NO CARGADO")</f>
        <v>-</v>
      </c>
      <c r="H1745" s="100">
        <f>ventas_b_mes1255[[#This Row],[TOTAL]]/1.21</f>
        <v>0</v>
      </c>
      <c r="I1745" s="64">
        <f>ventas_b_mes1255[[#This Row],[IMPORTE NETO]]*0.21</f>
        <v>0</v>
      </c>
      <c r="J1745" s="184"/>
      <c r="K1745" s="184"/>
      <c r="L1745" s="184"/>
      <c r="M1745" s="59"/>
    </row>
    <row r="1746" spans="2:13" x14ac:dyDescent="0.3">
      <c r="B1746" s="178"/>
      <c r="C1746" s="41"/>
      <c r="D1746" s="180"/>
      <c r="E1746" s="181"/>
      <c r="F1746" s="182"/>
      <c r="G1746" s="1" t="str">
        <f>IFERROR(IF(ventas_b_mes1255[[#This Row],[CUIT]]="","-",VLOOKUP(ventas_b_mes1255[[#This Row],[CUIT]],Lista_CUIT[#All],2,0)),"CUIT NO CARGADO")</f>
        <v>-</v>
      </c>
      <c r="H1746" s="100">
        <f>ventas_b_mes1255[[#This Row],[TOTAL]]/1.21</f>
        <v>0</v>
      </c>
      <c r="I1746" s="64">
        <f>ventas_b_mes1255[[#This Row],[IMPORTE NETO]]*0.21</f>
        <v>0</v>
      </c>
      <c r="J1746" s="184"/>
      <c r="K1746" s="184"/>
      <c r="L1746" s="184"/>
      <c r="M1746" s="59"/>
    </row>
    <row r="1747" spans="2:13" x14ac:dyDescent="0.3">
      <c r="B1747" s="178"/>
      <c r="C1747" s="41"/>
      <c r="D1747" s="180"/>
      <c r="E1747" s="181"/>
      <c r="F1747" s="182"/>
      <c r="G1747" s="1" t="str">
        <f>IFERROR(IF(ventas_b_mes1255[[#This Row],[CUIT]]="","-",VLOOKUP(ventas_b_mes1255[[#This Row],[CUIT]],Lista_CUIT[#All],2,0)),"CUIT NO CARGADO")</f>
        <v>-</v>
      </c>
      <c r="H1747" s="100">
        <f>ventas_b_mes1255[[#This Row],[TOTAL]]/1.21</f>
        <v>0</v>
      </c>
      <c r="I1747" s="64">
        <f>ventas_b_mes1255[[#This Row],[IMPORTE NETO]]*0.21</f>
        <v>0</v>
      </c>
      <c r="J1747" s="184"/>
      <c r="K1747" s="184"/>
      <c r="L1747" s="184"/>
      <c r="M1747" s="59"/>
    </row>
    <row r="1748" spans="2:13" x14ac:dyDescent="0.3">
      <c r="B1748" s="178"/>
      <c r="C1748" s="41"/>
      <c r="D1748" s="180"/>
      <c r="E1748" s="181"/>
      <c r="F1748" s="182"/>
      <c r="G1748" s="1" t="str">
        <f>IFERROR(IF(ventas_b_mes1255[[#This Row],[CUIT]]="","-",VLOOKUP(ventas_b_mes1255[[#This Row],[CUIT]],Lista_CUIT[#All],2,0)),"CUIT NO CARGADO")</f>
        <v>-</v>
      </c>
      <c r="H1748" s="100">
        <f>ventas_b_mes1255[[#This Row],[TOTAL]]/1.21</f>
        <v>0</v>
      </c>
      <c r="I1748" s="64">
        <f>ventas_b_mes1255[[#This Row],[IMPORTE NETO]]*0.21</f>
        <v>0</v>
      </c>
      <c r="J1748" s="184"/>
      <c r="K1748" s="184"/>
      <c r="L1748" s="184"/>
      <c r="M1748" s="59"/>
    </row>
    <row r="1749" spans="2:13" x14ac:dyDescent="0.3">
      <c r="B1749" s="178"/>
      <c r="C1749" s="41"/>
      <c r="D1749" s="180"/>
      <c r="E1749" s="181"/>
      <c r="F1749" s="182"/>
      <c r="G1749" s="1" t="str">
        <f>IFERROR(IF(ventas_b_mes1255[[#This Row],[CUIT]]="","-",VLOOKUP(ventas_b_mes1255[[#This Row],[CUIT]],Lista_CUIT[#All],2,0)),"CUIT NO CARGADO")</f>
        <v>-</v>
      </c>
      <c r="H1749" s="100">
        <f>ventas_b_mes1255[[#This Row],[TOTAL]]/1.21</f>
        <v>0</v>
      </c>
      <c r="I1749" s="64">
        <f>ventas_b_mes1255[[#This Row],[IMPORTE NETO]]*0.21</f>
        <v>0</v>
      </c>
      <c r="J1749" s="184"/>
      <c r="K1749" s="184"/>
      <c r="L1749" s="184"/>
      <c r="M1749" s="59"/>
    </row>
    <row r="1750" spans="2:13" x14ac:dyDescent="0.3">
      <c r="B1750" s="178"/>
      <c r="C1750" s="41"/>
      <c r="D1750" s="180"/>
      <c r="E1750" s="181"/>
      <c r="F1750" s="182"/>
      <c r="G1750" s="1" t="str">
        <f>IFERROR(IF(ventas_b_mes1255[[#This Row],[CUIT]]="","-",VLOOKUP(ventas_b_mes1255[[#This Row],[CUIT]],Lista_CUIT[#All],2,0)),"CUIT NO CARGADO")</f>
        <v>-</v>
      </c>
      <c r="H1750" s="100">
        <f>ventas_b_mes1255[[#This Row],[TOTAL]]/1.21</f>
        <v>0</v>
      </c>
      <c r="I1750" s="64">
        <f>ventas_b_mes1255[[#This Row],[IMPORTE NETO]]*0.21</f>
        <v>0</v>
      </c>
      <c r="J1750" s="184"/>
      <c r="K1750" s="184"/>
      <c r="L1750" s="184"/>
      <c r="M1750" s="59"/>
    </row>
    <row r="1751" spans="2:13" x14ac:dyDescent="0.3">
      <c r="B1751" s="178"/>
      <c r="C1751" s="41"/>
      <c r="D1751" s="180"/>
      <c r="E1751" s="181"/>
      <c r="F1751" s="182"/>
      <c r="G1751" s="1" t="str">
        <f>IFERROR(IF(ventas_b_mes1255[[#This Row],[CUIT]]="","-",VLOOKUP(ventas_b_mes1255[[#This Row],[CUIT]],Lista_CUIT[#All],2,0)),"CUIT NO CARGADO")</f>
        <v>-</v>
      </c>
      <c r="H1751" s="100">
        <f>ventas_b_mes1255[[#This Row],[TOTAL]]/1.21</f>
        <v>0</v>
      </c>
      <c r="I1751" s="64">
        <f>ventas_b_mes1255[[#This Row],[IMPORTE NETO]]*0.21</f>
        <v>0</v>
      </c>
      <c r="J1751" s="184"/>
      <c r="K1751" s="184"/>
      <c r="L1751" s="184"/>
      <c r="M1751" s="59"/>
    </row>
    <row r="1752" spans="2:13" x14ac:dyDescent="0.3">
      <c r="B1752" s="178"/>
      <c r="C1752" s="41"/>
      <c r="D1752" s="180"/>
      <c r="E1752" s="181"/>
      <c r="F1752" s="182"/>
      <c r="G1752" s="1" t="str">
        <f>IFERROR(IF(ventas_b_mes1255[[#This Row],[CUIT]]="","-",VLOOKUP(ventas_b_mes1255[[#This Row],[CUIT]],Lista_CUIT[#All],2,0)),"CUIT NO CARGADO")</f>
        <v>-</v>
      </c>
      <c r="H1752" s="100">
        <f>ventas_b_mes1255[[#This Row],[TOTAL]]/1.21</f>
        <v>0</v>
      </c>
      <c r="I1752" s="64">
        <f>ventas_b_mes1255[[#This Row],[IMPORTE NETO]]*0.21</f>
        <v>0</v>
      </c>
      <c r="J1752" s="184"/>
      <c r="K1752" s="184"/>
      <c r="L1752" s="184"/>
      <c r="M1752" s="59"/>
    </row>
    <row r="1753" spans="2:13" x14ac:dyDescent="0.3">
      <c r="B1753" s="178"/>
      <c r="C1753" s="41"/>
      <c r="D1753" s="180"/>
      <c r="E1753" s="181"/>
      <c r="F1753" s="182"/>
      <c r="G1753" s="1" t="str">
        <f>IFERROR(IF(ventas_b_mes1255[[#This Row],[CUIT]]="","-",VLOOKUP(ventas_b_mes1255[[#This Row],[CUIT]],Lista_CUIT[#All],2,0)),"CUIT NO CARGADO")</f>
        <v>-</v>
      </c>
      <c r="H1753" s="100">
        <f>ventas_b_mes1255[[#This Row],[TOTAL]]/1.21</f>
        <v>0</v>
      </c>
      <c r="I1753" s="64">
        <f>ventas_b_mes1255[[#This Row],[IMPORTE NETO]]*0.21</f>
        <v>0</v>
      </c>
      <c r="J1753" s="184"/>
      <c r="K1753" s="184"/>
      <c r="L1753" s="184"/>
      <c r="M1753" s="59"/>
    </row>
    <row r="1754" spans="2:13" x14ac:dyDescent="0.3">
      <c r="B1754" s="178"/>
      <c r="C1754" s="41"/>
      <c r="D1754" s="180"/>
      <c r="E1754" s="181"/>
      <c r="F1754" s="182"/>
      <c r="G1754" s="1" t="str">
        <f>IFERROR(IF(ventas_b_mes1255[[#This Row],[CUIT]]="","-",VLOOKUP(ventas_b_mes1255[[#This Row],[CUIT]],Lista_CUIT[#All],2,0)),"CUIT NO CARGADO")</f>
        <v>-</v>
      </c>
      <c r="H1754" s="100">
        <f>ventas_b_mes1255[[#This Row],[TOTAL]]/1.21</f>
        <v>0</v>
      </c>
      <c r="I1754" s="64">
        <f>ventas_b_mes1255[[#This Row],[IMPORTE NETO]]*0.21</f>
        <v>0</v>
      </c>
      <c r="J1754" s="184"/>
      <c r="K1754" s="184"/>
      <c r="L1754" s="184"/>
      <c r="M1754" s="59"/>
    </row>
    <row r="1755" spans="2:13" x14ac:dyDescent="0.3">
      <c r="B1755" s="178"/>
      <c r="C1755" s="41"/>
      <c r="D1755" s="180"/>
      <c r="E1755" s="181"/>
      <c r="F1755" s="182"/>
      <c r="G1755" s="1" t="str">
        <f>IFERROR(IF(ventas_b_mes1255[[#This Row],[CUIT]]="","-",VLOOKUP(ventas_b_mes1255[[#This Row],[CUIT]],Lista_CUIT[#All],2,0)),"CUIT NO CARGADO")</f>
        <v>-</v>
      </c>
      <c r="H1755" s="100">
        <f>ventas_b_mes1255[[#This Row],[TOTAL]]/1.21</f>
        <v>0</v>
      </c>
      <c r="I1755" s="64">
        <f>ventas_b_mes1255[[#This Row],[IMPORTE NETO]]*0.21</f>
        <v>0</v>
      </c>
      <c r="J1755" s="184"/>
      <c r="K1755" s="184"/>
      <c r="L1755" s="184"/>
      <c r="M1755" s="59"/>
    </row>
    <row r="1756" spans="2:13" x14ac:dyDescent="0.3">
      <c r="B1756" s="178"/>
      <c r="C1756" s="41"/>
      <c r="D1756" s="180"/>
      <c r="E1756" s="181"/>
      <c r="F1756" s="182"/>
      <c r="G1756" s="1" t="str">
        <f>IFERROR(IF(ventas_b_mes1255[[#This Row],[CUIT]]="","-",VLOOKUP(ventas_b_mes1255[[#This Row],[CUIT]],Lista_CUIT[#All],2,0)),"CUIT NO CARGADO")</f>
        <v>-</v>
      </c>
      <c r="H1756" s="100">
        <f>ventas_b_mes1255[[#This Row],[TOTAL]]/1.21</f>
        <v>0</v>
      </c>
      <c r="I1756" s="64">
        <f>ventas_b_mes1255[[#This Row],[IMPORTE NETO]]*0.21</f>
        <v>0</v>
      </c>
      <c r="J1756" s="184"/>
      <c r="K1756" s="184"/>
      <c r="L1756" s="184"/>
      <c r="M1756" s="59"/>
    </row>
    <row r="1757" spans="2:13" x14ac:dyDescent="0.3">
      <c r="B1757" s="178"/>
      <c r="C1757" s="41"/>
      <c r="D1757" s="180"/>
      <c r="E1757" s="181"/>
      <c r="F1757" s="182"/>
      <c r="G1757" s="1" t="str">
        <f>IFERROR(IF(ventas_b_mes1255[[#This Row],[CUIT]]="","-",VLOOKUP(ventas_b_mes1255[[#This Row],[CUIT]],Lista_CUIT[#All],2,0)),"CUIT NO CARGADO")</f>
        <v>-</v>
      </c>
      <c r="H1757" s="100">
        <f>ventas_b_mes1255[[#This Row],[TOTAL]]/1.21</f>
        <v>0</v>
      </c>
      <c r="I1757" s="64">
        <f>ventas_b_mes1255[[#This Row],[IMPORTE NETO]]*0.21</f>
        <v>0</v>
      </c>
      <c r="J1757" s="184"/>
      <c r="K1757" s="184"/>
      <c r="L1757" s="184"/>
      <c r="M1757" s="59"/>
    </row>
    <row r="1758" spans="2:13" x14ac:dyDescent="0.3">
      <c r="B1758" s="178"/>
      <c r="C1758" s="41"/>
      <c r="D1758" s="180"/>
      <c r="E1758" s="181"/>
      <c r="F1758" s="182"/>
      <c r="G1758" s="1" t="str">
        <f>IFERROR(IF(ventas_b_mes1255[[#This Row],[CUIT]]="","-",VLOOKUP(ventas_b_mes1255[[#This Row],[CUIT]],Lista_CUIT[#All],2,0)),"CUIT NO CARGADO")</f>
        <v>-</v>
      </c>
      <c r="H1758" s="100">
        <f>ventas_b_mes1255[[#This Row],[TOTAL]]/1.21</f>
        <v>0</v>
      </c>
      <c r="I1758" s="64">
        <f>ventas_b_mes1255[[#This Row],[IMPORTE NETO]]*0.21</f>
        <v>0</v>
      </c>
      <c r="J1758" s="184"/>
      <c r="K1758" s="184"/>
      <c r="L1758" s="184"/>
      <c r="M1758" s="59"/>
    </row>
    <row r="1759" spans="2:13" x14ac:dyDescent="0.3">
      <c r="B1759" s="178"/>
      <c r="C1759" s="41"/>
      <c r="D1759" s="180"/>
      <c r="E1759" s="181"/>
      <c r="F1759" s="182"/>
      <c r="G1759" s="1" t="str">
        <f>IFERROR(IF(ventas_b_mes1255[[#This Row],[CUIT]]="","-",VLOOKUP(ventas_b_mes1255[[#This Row],[CUIT]],Lista_CUIT[#All],2,0)),"CUIT NO CARGADO")</f>
        <v>-</v>
      </c>
      <c r="H1759" s="100">
        <f>ventas_b_mes1255[[#This Row],[TOTAL]]/1.21</f>
        <v>0</v>
      </c>
      <c r="I1759" s="64">
        <f>ventas_b_mes1255[[#This Row],[IMPORTE NETO]]*0.21</f>
        <v>0</v>
      </c>
      <c r="J1759" s="184"/>
      <c r="K1759" s="184"/>
      <c r="L1759" s="184"/>
      <c r="M1759" s="59"/>
    </row>
    <row r="1760" spans="2:13" x14ac:dyDescent="0.3">
      <c r="B1760" s="178"/>
      <c r="C1760" s="41"/>
      <c r="D1760" s="180"/>
      <c r="E1760" s="181"/>
      <c r="F1760" s="182"/>
      <c r="G1760" s="1" t="str">
        <f>IFERROR(IF(ventas_b_mes1255[[#This Row],[CUIT]]="","-",VLOOKUP(ventas_b_mes1255[[#This Row],[CUIT]],Lista_CUIT[#All],2,0)),"CUIT NO CARGADO")</f>
        <v>-</v>
      </c>
      <c r="H1760" s="100">
        <f>ventas_b_mes1255[[#This Row],[TOTAL]]/1.21</f>
        <v>0</v>
      </c>
      <c r="I1760" s="64">
        <f>ventas_b_mes1255[[#This Row],[IMPORTE NETO]]*0.21</f>
        <v>0</v>
      </c>
      <c r="J1760" s="184"/>
      <c r="K1760" s="184"/>
      <c r="L1760" s="184"/>
      <c r="M1760" s="59"/>
    </row>
    <row r="1761" spans="2:13" x14ac:dyDescent="0.3">
      <c r="B1761" s="178"/>
      <c r="C1761" s="41"/>
      <c r="D1761" s="180"/>
      <c r="E1761" s="181"/>
      <c r="F1761" s="182"/>
      <c r="G1761" s="1" t="str">
        <f>IFERROR(IF(ventas_b_mes1255[[#This Row],[CUIT]]="","-",VLOOKUP(ventas_b_mes1255[[#This Row],[CUIT]],Lista_CUIT[#All],2,0)),"CUIT NO CARGADO")</f>
        <v>-</v>
      </c>
      <c r="H1761" s="100">
        <f>ventas_b_mes1255[[#This Row],[TOTAL]]/1.21</f>
        <v>0</v>
      </c>
      <c r="I1761" s="64">
        <f>ventas_b_mes1255[[#This Row],[IMPORTE NETO]]*0.21</f>
        <v>0</v>
      </c>
      <c r="J1761" s="184"/>
      <c r="K1761" s="184"/>
      <c r="L1761" s="184"/>
      <c r="M1761" s="59"/>
    </row>
    <row r="1762" spans="2:13" x14ac:dyDescent="0.3">
      <c r="B1762" s="178"/>
      <c r="C1762" s="41"/>
      <c r="D1762" s="180"/>
      <c r="E1762" s="181"/>
      <c r="F1762" s="182"/>
      <c r="G1762" s="1" t="str">
        <f>IFERROR(IF(ventas_b_mes1255[[#This Row],[CUIT]]="","-",VLOOKUP(ventas_b_mes1255[[#This Row],[CUIT]],Lista_CUIT[#All],2,0)),"CUIT NO CARGADO")</f>
        <v>-</v>
      </c>
      <c r="H1762" s="100">
        <f>ventas_b_mes1255[[#This Row],[TOTAL]]/1.21</f>
        <v>0</v>
      </c>
      <c r="I1762" s="64">
        <f>ventas_b_mes1255[[#This Row],[IMPORTE NETO]]*0.21</f>
        <v>0</v>
      </c>
      <c r="J1762" s="184"/>
      <c r="K1762" s="184"/>
      <c r="L1762" s="184"/>
      <c r="M1762" s="59"/>
    </row>
    <row r="1763" spans="2:13" x14ac:dyDescent="0.3">
      <c r="B1763" s="178"/>
      <c r="C1763" s="41"/>
      <c r="D1763" s="180"/>
      <c r="E1763" s="181"/>
      <c r="F1763" s="182"/>
      <c r="G1763" s="1" t="str">
        <f>IFERROR(IF(ventas_b_mes1255[[#This Row],[CUIT]]="","-",VLOOKUP(ventas_b_mes1255[[#This Row],[CUIT]],Lista_CUIT[#All],2,0)),"CUIT NO CARGADO")</f>
        <v>-</v>
      </c>
      <c r="H1763" s="100">
        <f>ventas_b_mes1255[[#This Row],[TOTAL]]/1.21</f>
        <v>0</v>
      </c>
      <c r="I1763" s="64">
        <f>ventas_b_mes1255[[#This Row],[IMPORTE NETO]]*0.21</f>
        <v>0</v>
      </c>
      <c r="J1763" s="184"/>
      <c r="K1763" s="184"/>
      <c r="L1763" s="184"/>
      <c r="M1763" s="59"/>
    </row>
    <row r="1764" spans="2:13" x14ac:dyDescent="0.3">
      <c r="B1764" s="178"/>
      <c r="C1764" s="41"/>
      <c r="D1764" s="180"/>
      <c r="E1764" s="181"/>
      <c r="F1764" s="182"/>
      <c r="G1764" s="1" t="str">
        <f>IFERROR(IF(ventas_b_mes1255[[#This Row],[CUIT]]="","-",VLOOKUP(ventas_b_mes1255[[#This Row],[CUIT]],Lista_CUIT[#All],2,0)),"CUIT NO CARGADO")</f>
        <v>-</v>
      </c>
      <c r="H1764" s="100">
        <f>ventas_b_mes1255[[#This Row],[TOTAL]]/1.21</f>
        <v>0</v>
      </c>
      <c r="I1764" s="64">
        <f>ventas_b_mes1255[[#This Row],[IMPORTE NETO]]*0.21</f>
        <v>0</v>
      </c>
      <c r="J1764" s="184"/>
      <c r="K1764" s="184"/>
      <c r="L1764" s="184"/>
      <c r="M1764" s="59"/>
    </row>
    <row r="1765" spans="2:13" x14ac:dyDescent="0.3">
      <c r="B1765" s="178"/>
      <c r="C1765" s="41"/>
      <c r="D1765" s="180"/>
      <c r="E1765" s="181"/>
      <c r="F1765" s="182"/>
      <c r="G1765" s="1" t="str">
        <f>IFERROR(IF(ventas_b_mes1255[[#This Row],[CUIT]]="","-",VLOOKUP(ventas_b_mes1255[[#This Row],[CUIT]],Lista_CUIT[#All],2,0)),"CUIT NO CARGADO")</f>
        <v>-</v>
      </c>
      <c r="H1765" s="100">
        <f>ventas_b_mes1255[[#This Row],[TOTAL]]/1.21</f>
        <v>0</v>
      </c>
      <c r="I1765" s="64">
        <f>ventas_b_mes1255[[#This Row],[IMPORTE NETO]]*0.21</f>
        <v>0</v>
      </c>
      <c r="J1765" s="184"/>
      <c r="K1765" s="184"/>
      <c r="L1765" s="184"/>
      <c r="M1765" s="59"/>
    </row>
    <row r="1766" spans="2:13" x14ac:dyDescent="0.3">
      <c r="B1766" s="178"/>
      <c r="C1766" s="41"/>
      <c r="D1766" s="180"/>
      <c r="E1766" s="181"/>
      <c r="F1766" s="182"/>
      <c r="G1766" s="1" t="str">
        <f>IFERROR(IF(ventas_b_mes1255[[#This Row],[CUIT]]="","-",VLOOKUP(ventas_b_mes1255[[#This Row],[CUIT]],Lista_CUIT[#All],2,0)),"CUIT NO CARGADO")</f>
        <v>-</v>
      </c>
      <c r="H1766" s="100">
        <f>ventas_b_mes1255[[#This Row],[TOTAL]]/1.21</f>
        <v>0</v>
      </c>
      <c r="I1766" s="64">
        <f>ventas_b_mes1255[[#This Row],[IMPORTE NETO]]*0.21</f>
        <v>0</v>
      </c>
      <c r="J1766" s="184"/>
      <c r="K1766" s="184"/>
      <c r="L1766" s="184"/>
      <c r="M1766" s="59"/>
    </row>
    <row r="1767" spans="2:13" x14ac:dyDescent="0.3">
      <c r="B1767" s="178"/>
      <c r="C1767" s="41"/>
      <c r="D1767" s="180"/>
      <c r="E1767" s="181"/>
      <c r="F1767" s="182"/>
      <c r="G1767" s="1" t="str">
        <f>IFERROR(IF(ventas_b_mes1255[[#This Row],[CUIT]]="","-",VLOOKUP(ventas_b_mes1255[[#This Row],[CUIT]],Lista_CUIT[#All],2,0)),"CUIT NO CARGADO")</f>
        <v>-</v>
      </c>
      <c r="H1767" s="100">
        <f>ventas_b_mes1255[[#This Row],[TOTAL]]/1.21</f>
        <v>0</v>
      </c>
      <c r="I1767" s="64">
        <f>ventas_b_mes1255[[#This Row],[IMPORTE NETO]]*0.21</f>
        <v>0</v>
      </c>
      <c r="J1767" s="184"/>
      <c r="K1767" s="184"/>
      <c r="L1767" s="184"/>
      <c r="M1767" s="59"/>
    </row>
    <row r="1768" spans="2:13" x14ac:dyDescent="0.3">
      <c r="B1768" s="178"/>
      <c r="C1768" s="41"/>
      <c r="D1768" s="180"/>
      <c r="E1768" s="181"/>
      <c r="F1768" s="182"/>
      <c r="G1768" s="1" t="str">
        <f>IFERROR(IF(ventas_b_mes1255[[#This Row],[CUIT]]="","-",VLOOKUP(ventas_b_mes1255[[#This Row],[CUIT]],Lista_CUIT[#All],2,0)),"CUIT NO CARGADO")</f>
        <v>-</v>
      </c>
      <c r="H1768" s="100">
        <f>ventas_b_mes1255[[#This Row],[TOTAL]]/1.21</f>
        <v>0</v>
      </c>
      <c r="I1768" s="64">
        <f>ventas_b_mes1255[[#This Row],[IMPORTE NETO]]*0.21</f>
        <v>0</v>
      </c>
      <c r="J1768" s="184"/>
      <c r="K1768" s="184"/>
      <c r="L1768" s="184"/>
      <c r="M1768" s="59"/>
    </row>
    <row r="1769" spans="2:13" x14ac:dyDescent="0.3">
      <c r="B1769" s="178"/>
      <c r="C1769" s="41"/>
      <c r="D1769" s="180"/>
      <c r="E1769" s="181"/>
      <c r="F1769" s="182"/>
      <c r="G1769" s="1" t="str">
        <f>IFERROR(IF(ventas_b_mes1255[[#This Row],[CUIT]]="","-",VLOOKUP(ventas_b_mes1255[[#This Row],[CUIT]],Lista_CUIT[#All],2,0)),"CUIT NO CARGADO")</f>
        <v>-</v>
      </c>
      <c r="H1769" s="100">
        <f>ventas_b_mes1255[[#This Row],[TOTAL]]/1.21</f>
        <v>0</v>
      </c>
      <c r="I1769" s="64">
        <f>ventas_b_mes1255[[#This Row],[IMPORTE NETO]]*0.21</f>
        <v>0</v>
      </c>
      <c r="J1769" s="184"/>
      <c r="K1769" s="184"/>
      <c r="L1769" s="184"/>
      <c r="M1769" s="59"/>
    </row>
    <row r="1770" spans="2:13" x14ac:dyDescent="0.3">
      <c r="B1770" s="178"/>
      <c r="C1770" s="41"/>
      <c r="D1770" s="180"/>
      <c r="E1770" s="181"/>
      <c r="F1770" s="182"/>
      <c r="G1770" s="1" t="str">
        <f>IFERROR(IF(ventas_b_mes1255[[#This Row],[CUIT]]="","-",VLOOKUP(ventas_b_mes1255[[#This Row],[CUIT]],Lista_CUIT[#All],2,0)),"CUIT NO CARGADO")</f>
        <v>-</v>
      </c>
      <c r="H1770" s="100">
        <f>ventas_b_mes1255[[#This Row],[TOTAL]]/1.21</f>
        <v>0</v>
      </c>
      <c r="I1770" s="64">
        <f>ventas_b_mes1255[[#This Row],[IMPORTE NETO]]*0.21</f>
        <v>0</v>
      </c>
      <c r="J1770" s="184"/>
      <c r="K1770" s="184"/>
      <c r="L1770" s="184"/>
      <c r="M1770" s="59"/>
    </row>
    <row r="1771" spans="2:13" x14ac:dyDescent="0.3">
      <c r="B1771" s="178"/>
      <c r="C1771" s="41"/>
      <c r="D1771" s="180"/>
      <c r="E1771" s="181"/>
      <c r="F1771" s="182"/>
      <c r="G1771" s="1" t="str">
        <f>IFERROR(IF(ventas_b_mes1255[[#This Row],[CUIT]]="","-",VLOOKUP(ventas_b_mes1255[[#This Row],[CUIT]],Lista_CUIT[#All],2,0)),"CUIT NO CARGADO")</f>
        <v>-</v>
      </c>
      <c r="H1771" s="100">
        <f>ventas_b_mes1255[[#This Row],[TOTAL]]/1.21</f>
        <v>0</v>
      </c>
      <c r="I1771" s="64">
        <f>ventas_b_mes1255[[#This Row],[IMPORTE NETO]]*0.21</f>
        <v>0</v>
      </c>
      <c r="J1771" s="184"/>
      <c r="K1771" s="184"/>
      <c r="L1771" s="184"/>
      <c r="M1771" s="59"/>
    </row>
    <row r="1772" spans="2:13" x14ac:dyDescent="0.3">
      <c r="B1772" s="178"/>
      <c r="C1772" s="41"/>
      <c r="D1772" s="180"/>
      <c r="E1772" s="181"/>
      <c r="F1772" s="182"/>
      <c r="G1772" s="1" t="str">
        <f>IFERROR(IF(ventas_b_mes1255[[#This Row],[CUIT]]="","-",VLOOKUP(ventas_b_mes1255[[#This Row],[CUIT]],Lista_CUIT[#All],2,0)),"CUIT NO CARGADO")</f>
        <v>-</v>
      </c>
      <c r="H1772" s="100">
        <f>ventas_b_mes1255[[#This Row],[TOTAL]]/1.21</f>
        <v>0</v>
      </c>
      <c r="I1772" s="64">
        <f>ventas_b_mes1255[[#This Row],[IMPORTE NETO]]*0.21</f>
        <v>0</v>
      </c>
      <c r="J1772" s="184"/>
      <c r="K1772" s="184"/>
      <c r="L1772" s="184"/>
      <c r="M1772" s="59"/>
    </row>
    <row r="1773" spans="2:13" x14ac:dyDescent="0.3">
      <c r="B1773" s="178"/>
      <c r="C1773" s="41"/>
      <c r="D1773" s="180"/>
      <c r="E1773" s="181"/>
      <c r="F1773" s="182"/>
      <c r="G1773" s="1" t="str">
        <f>IFERROR(IF(ventas_b_mes1255[[#This Row],[CUIT]]="","-",VLOOKUP(ventas_b_mes1255[[#This Row],[CUIT]],Lista_CUIT[#All],2,0)),"CUIT NO CARGADO")</f>
        <v>-</v>
      </c>
      <c r="H1773" s="100">
        <f>ventas_b_mes1255[[#This Row],[TOTAL]]/1.21</f>
        <v>0</v>
      </c>
      <c r="I1773" s="64">
        <f>ventas_b_mes1255[[#This Row],[IMPORTE NETO]]*0.21</f>
        <v>0</v>
      </c>
      <c r="J1773" s="184"/>
      <c r="K1773" s="184"/>
      <c r="L1773" s="184"/>
      <c r="M1773" s="59"/>
    </row>
    <row r="1774" spans="2:13" x14ac:dyDescent="0.3">
      <c r="B1774" s="178"/>
      <c r="C1774" s="41"/>
      <c r="D1774" s="180"/>
      <c r="E1774" s="181"/>
      <c r="F1774" s="182"/>
      <c r="G1774" s="1" t="str">
        <f>IFERROR(IF(ventas_b_mes1255[[#This Row],[CUIT]]="","-",VLOOKUP(ventas_b_mes1255[[#This Row],[CUIT]],Lista_CUIT[#All],2,0)),"CUIT NO CARGADO")</f>
        <v>-</v>
      </c>
      <c r="H1774" s="100">
        <f>ventas_b_mes1255[[#This Row],[TOTAL]]/1.21</f>
        <v>0</v>
      </c>
      <c r="I1774" s="64">
        <f>ventas_b_mes1255[[#This Row],[IMPORTE NETO]]*0.21</f>
        <v>0</v>
      </c>
      <c r="J1774" s="184"/>
      <c r="K1774" s="184"/>
      <c r="L1774" s="184"/>
      <c r="M1774" s="59"/>
    </row>
    <row r="1775" spans="2:13" x14ac:dyDescent="0.3">
      <c r="B1775" s="178"/>
      <c r="C1775" s="41"/>
      <c r="D1775" s="180"/>
      <c r="E1775" s="181"/>
      <c r="F1775" s="182"/>
      <c r="G1775" s="1" t="str">
        <f>IFERROR(IF(ventas_b_mes1255[[#This Row],[CUIT]]="","-",VLOOKUP(ventas_b_mes1255[[#This Row],[CUIT]],Lista_CUIT[#All],2,0)),"CUIT NO CARGADO")</f>
        <v>-</v>
      </c>
      <c r="H1775" s="100">
        <f>ventas_b_mes1255[[#This Row],[TOTAL]]/1.21</f>
        <v>0</v>
      </c>
      <c r="I1775" s="64">
        <f>ventas_b_mes1255[[#This Row],[IMPORTE NETO]]*0.21</f>
        <v>0</v>
      </c>
      <c r="J1775" s="184"/>
      <c r="K1775" s="184"/>
      <c r="L1775" s="184"/>
      <c r="M1775" s="59"/>
    </row>
    <row r="1776" spans="2:13" x14ac:dyDescent="0.3">
      <c r="B1776" s="178"/>
      <c r="C1776" s="41"/>
      <c r="D1776" s="180"/>
      <c r="E1776" s="181"/>
      <c r="F1776" s="182"/>
      <c r="G1776" s="1" t="str">
        <f>IFERROR(IF(ventas_b_mes1255[[#This Row],[CUIT]]="","-",VLOOKUP(ventas_b_mes1255[[#This Row],[CUIT]],Lista_CUIT[#All],2,0)),"CUIT NO CARGADO")</f>
        <v>-</v>
      </c>
      <c r="H1776" s="100">
        <f>ventas_b_mes1255[[#This Row],[TOTAL]]/1.21</f>
        <v>0</v>
      </c>
      <c r="I1776" s="64">
        <f>ventas_b_mes1255[[#This Row],[IMPORTE NETO]]*0.21</f>
        <v>0</v>
      </c>
      <c r="J1776" s="184"/>
      <c r="K1776" s="184"/>
      <c r="L1776" s="184"/>
      <c r="M1776" s="59"/>
    </row>
    <row r="1777" spans="2:13" x14ac:dyDescent="0.3">
      <c r="B1777" s="178"/>
      <c r="C1777" s="41"/>
      <c r="D1777" s="180"/>
      <c r="E1777" s="181"/>
      <c r="F1777" s="182"/>
      <c r="G1777" s="1" t="str">
        <f>IFERROR(IF(ventas_b_mes1255[[#This Row],[CUIT]]="","-",VLOOKUP(ventas_b_mes1255[[#This Row],[CUIT]],Lista_CUIT[#All],2,0)),"CUIT NO CARGADO")</f>
        <v>-</v>
      </c>
      <c r="H1777" s="100">
        <f>ventas_b_mes1255[[#This Row],[TOTAL]]/1.21</f>
        <v>0</v>
      </c>
      <c r="I1777" s="64">
        <f>ventas_b_mes1255[[#This Row],[IMPORTE NETO]]*0.21</f>
        <v>0</v>
      </c>
      <c r="J1777" s="184"/>
      <c r="K1777" s="184"/>
      <c r="L1777" s="184"/>
      <c r="M1777" s="59"/>
    </row>
    <row r="1778" spans="2:13" x14ac:dyDescent="0.3">
      <c r="B1778" s="178"/>
      <c r="C1778" s="41"/>
      <c r="D1778" s="180"/>
      <c r="E1778" s="181"/>
      <c r="F1778" s="182"/>
      <c r="G1778" s="1" t="str">
        <f>IFERROR(IF(ventas_b_mes1255[[#This Row],[CUIT]]="","-",VLOOKUP(ventas_b_mes1255[[#This Row],[CUIT]],Lista_CUIT[#All],2,0)),"CUIT NO CARGADO")</f>
        <v>-</v>
      </c>
      <c r="H1778" s="100">
        <f>ventas_b_mes1255[[#This Row],[TOTAL]]/1.21</f>
        <v>0</v>
      </c>
      <c r="I1778" s="64">
        <f>ventas_b_mes1255[[#This Row],[IMPORTE NETO]]*0.21</f>
        <v>0</v>
      </c>
      <c r="J1778" s="184"/>
      <c r="K1778" s="184"/>
      <c r="L1778" s="184"/>
      <c r="M1778" s="59"/>
    </row>
    <row r="1779" spans="2:13" x14ac:dyDescent="0.3">
      <c r="B1779" s="178"/>
      <c r="C1779" s="41"/>
      <c r="D1779" s="180"/>
      <c r="E1779" s="181"/>
      <c r="F1779" s="182"/>
      <c r="G1779" s="1" t="str">
        <f>IFERROR(IF(ventas_b_mes1255[[#This Row],[CUIT]]="","-",VLOOKUP(ventas_b_mes1255[[#This Row],[CUIT]],Lista_CUIT[#All],2,0)),"CUIT NO CARGADO")</f>
        <v>-</v>
      </c>
      <c r="H1779" s="100">
        <f>ventas_b_mes1255[[#This Row],[TOTAL]]/1.21</f>
        <v>0</v>
      </c>
      <c r="I1779" s="64">
        <f>ventas_b_mes1255[[#This Row],[IMPORTE NETO]]*0.21</f>
        <v>0</v>
      </c>
      <c r="J1779" s="184"/>
      <c r="K1779" s="184"/>
      <c r="L1779" s="184"/>
      <c r="M1779" s="59"/>
    </row>
    <row r="1780" spans="2:13" x14ac:dyDescent="0.3">
      <c r="B1780" s="178"/>
      <c r="C1780" s="41"/>
      <c r="D1780" s="180"/>
      <c r="E1780" s="181"/>
      <c r="F1780" s="182"/>
      <c r="G1780" s="1" t="str">
        <f>IFERROR(IF(ventas_b_mes1255[[#This Row],[CUIT]]="","-",VLOOKUP(ventas_b_mes1255[[#This Row],[CUIT]],Lista_CUIT[#All],2,0)),"CUIT NO CARGADO")</f>
        <v>-</v>
      </c>
      <c r="H1780" s="100">
        <f>ventas_b_mes1255[[#This Row],[TOTAL]]/1.21</f>
        <v>0</v>
      </c>
      <c r="I1780" s="64">
        <f>ventas_b_mes1255[[#This Row],[IMPORTE NETO]]*0.21</f>
        <v>0</v>
      </c>
      <c r="J1780" s="184"/>
      <c r="K1780" s="184"/>
      <c r="L1780" s="184"/>
      <c r="M1780" s="59"/>
    </row>
    <row r="1781" spans="2:13" x14ac:dyDescent="0.3">
      <c r="B1781" s="178"/>
      <c r="C1781" s="41"/>
      <c r="D1781" s="180"/>
      <c r="E1781" s="181"/>
      <c r="F1781" s="182"/>
      <c r="G1781" s="1" t="str">
        <f>IFERROR(IF(ventas_b_mes1255[[#This Row],[CUIT]]="","-",VLOOKUP(ventas_b_mes1255[[#This Row],[CUIT]],Lista_CUIT[#All],2,0)),"CUIT NO CARGADO")</f>
        <v>-</v>
      </c>
      <c r="H1781" s="100">
        <f>ventas_b_mes1255[[#This Row],[TOTAL]]/1.21</f>
        <v>0</v>
      </c>
      <c r="I1781" s="64">
        <f>ventas_b_mes1255[[#This Row],[IMPORTE NETO]]*0.21</f>
        <v>0</v>
      </c>
      <c r="J1781" s="184"/>
      <c r="K1781" s="184"/>
      <c r="L1781" s="184"/>
      <c r="M1781" s="59"/>
    </row>
    <row r="1782" spans="2:13" x14ac:dyDescent="0.3">
      <c r="B1782" s="178"/>
      <c r="C1782" s="41"/>
      <c r="D1782" s="180"/>
      <c r="E1782" s="181"/>
      <c r="F1782" s="182"/>
      <c r="G1782" s="1" t="str">
        <f>IFERROR(IF(ventas_b_mes1255[[#This Row],[CUIT]]="","-",VLOOKUP(ventas_b_mes1255[[#This Row],[CUIT]],Lista_CUIT[#All],2,0)),"CUIT NO CARGADO")</f>
        <v>-</v>
      </c>
      <c r="H1782" s="100">
        <f>ventas_b_mes1255[[#This Row],[TOTAL]]/1.21</f>
        <v>0</v>
      </c>
      <c r="I1782" s="64">
        <f>ventas_b_mes1255[[#This Row],[IMPORTE NETO]]*0.21</f>
        <v>0</v>
      </c>
      <c r="J1782" s="184"/>
      <c r="K1782" s="184"/>
      <c r="L1782" s="184"/>
      <c r="M1782" s="59"/>
    </row>
    <row r="1783" spans="2:13" x14ac:dyDescent="0.3">
      <c r="B1783" s="178"/>
      <c r="C1783" s="41"/>
      <c r="D1783" s="180"/>
      <c r="E1783" s="181"/>
      <c r="F1783" s="182"/>
      <c r="G1783" s="1" t="str">
        <f>IFERROR(IF(ventas_b_mes1255[[#This Row],[CUIT]]="","-",VLOOKUP(ventas_b_mes1255[[#This Row],[CUIT]],Lista_CUIT[#All],2,0)),"CUIT NO CARGADO")</f>
        <v>-</v>
      </c>
      <c r="H1783" s="100">
        <f>ventas_b_mes1255[[#This Row],[TOTAL]]/1.21</f>
        <v>0</v>
      </c>
      <c r="I1783" s="64">
        <f>ventas_b_mes1255[[#This Row],[IMPORTE NETO]]*0.21</f>
        <v>0</v>
      </c>
      <c r="J1783" s="184"/>
      <c r="K1783" s="184"/>
      <c r="L1783" s="184"/>
      <c r="M1783" s="59"/>
    </row>
    <row r="1784" spans="2:13" x14ac:dyDescent="0.3">
      <c r="B1784" s="178"/>
      <c r="C1784" s="41"/>
      <c r="D1784" s="180"/>
      <c r="E1784" s="181"/>
      <c r="F1784" s="182"/>
      <c r="G1784" s="1" t="str">
        <f>IFERROR(IF(ventas_b_mes1255[[#This Row],[CUIT]]="","-",VLOOKUP(ventas_b_mes1255[[#This Row],[CUIT]],Lista_CUIT[#All],2,0)),"CUIT NO CARGADO")</f>
        <v>-</v>
      </c>
      <c r="H1784" s="100">
        <f>ventas_b_mes1255[[#This Row],[TOTAL]]/1.21</f>
        <v>0</v>
      </c>
      <c r="I1784" s="64">
        <f>ventas_b_mes1255[[#This Row],[IMPORTE NETO]]*0.21</f>
        <v>0</v>
      </c>
      <c r="J1784" s="184"/>
      <c r="K1784" s="184"/>
      <c r="L1784" s="184"/>
      <c r="M1784" s="59"/>
    </row>
    <row r="1785" spans="2:13" x14ac:dyDescent="0.3">
      <c r="B1785" s="178"/>
      <c r="C1785" s="41"/>
      <c r="D1785" s="180"/>
      <c r="E1785" s="181"/>
      <c r="F1785" s="182"/>
      <c r="G1785" s="1" t="str">
        <f>IFERROR(IF(ventas_b_mes1255[[#This Row],[CUIT]]="","-",VLOOKUP(ventas_b_mes1255[[#This Row],[CUIT]],Lista_CUIT[#All],2,0)),"CUIT NO CARGADO")</f>
        <v>-</v>
      </c>
      <c r="H1785" s="100">
        <f>ventas_b_mes1255[[#This Row],[TOTAL]]/1.21</f>
        <v>0</v>
      </c>
      <c r="I1785" s="64">
        <f>ventas_b_mes1255[[#This Row],[IMPORTE NETO]]*0.21</f>
        <v>0</v>
      </c>
      <c r="J1785" s="184"/>
      <c r="K1785" s="184"/>
      <c r="L1785" s="184"/>
      <c r="M1785" s="59"/>
    </row>
    <row r="1786" spans="2:13" x14ac:dyDescent="0.3">
      <c r="B1786" s="178"/>
      <c r="C1786" s="41"/>
      <c r="D1786" s="180"/>
      <c r="E1786" s="181"/>
      <c r="F1786" s="182"/>
      <c r="G1786" s="1" t="str">
        <f>IFERROR(IF(ventas_b_mes1255[[#This Row],[CUIT]]="","-",VLOOKUP(ventas_b_mes1255[[#This Row],[CUIT]],Lista_CUIT[#All],2,0)),"CUIT NO CARGADO")</f>
        <v>-</v>
      </c>
      <c r="H1786" s="100">
        <f>ventas_b_mes1255[[#This Row],[TOTAL]]/1.21</f>
        <v>0</v>
      </c>
      <c r="I1786" s="64">
        <f>ventas_b_mes1255[[#This Row],[IMPORTE NETO]]*0.21</f>
        <v>0</v>
      </c>
      <c r="J1786" s="184"/>
      <c r="K1786" s="184"/>
      <c r="L1786" s="184"/>
      <c r="M1786" s="59"/>
    </row>
    <row r="1787" spans="2:13" x14ac:dyDescent="0.3">
      <c r="B1787" s="178"/>
      <c r="C1787" s="41"/>
      <c r="D1787" s="180"/>
      <c r="E1787" s="181"/>
      <c r="F1787" s="182"/>
      <c r="G1787" s="1" t="str">
        <f>IFERROR(IF(ventas_b_mes1255[[#This Row],[CUIT]]="","-",VLOOKUP(ventas_b_mes1255[[#This Row],[CUIT]],Lista_CUIT[#All],2,0)),"CUIT NO CARGADO")</f>
        <v>-</v>
      </c>
      <c r="H1787" s="100">
        <f>ventas_b_mes1255[[#This Row],[TOTAL]]/1.21</f>
        <v>0</v>
      </c>
      <c r="I1787" s="64">
        <f>ventas_b_mes1255[[#This Row],[IMPORTE NETO]]*0.21</f>
        <v>0</v>
      </c>
      <c r="J1787" s="184"/>
      <c r="K1787" s="184"/>
      <c r="L1787" s="184"/>
      <c r="M1787" s="59"/>
    </row>
    <row r="1788" spans="2:13" x14ac:dyDescent="0.3">
      <c r="B1788" s="178"/>
      <c r="C1788" s="41"/>
      <c r="D1788" s="180"/>
      <c r="E1788" s="181"/>
      <c r="F1788" s="182"/>
      <c r="G1788" s="1" t="str">
        <f>IFERROR(IF(ventas_b_mes1255[[#This Row],[CUIT]]="","-",VLOOKUP(ventas_b_mes1255[[#This Row],[CUIT]],Lista_CUIT[#All],2,0)),"CUIT NO CARGADO")</f>
        <v>-</v>
      </c>
      <c r="H1788" s="100">
        <f>ventas_b_mes1255[[#This Row],[TOTAL]]/1.21</f>
        <v>0</v>
      </c>
      <c r="I1788" s="64">
        <f>ventas_b_mes1255[[#This Row],[IMPORTE NETO]]*0.21</f>
        <v>0</v>
      </c>
      <c r="J1788" s="184"/>
      <c r="K1788" s="184"/>
      <c r="L1788" s="184"/>
      <c r="M1788" s="59"/>
    </row>
    <row r="1789" spans="2:13" x14ac:dyDescent="0.3">
      <c r="B1789" s="178"/>
      <c r="C1789" s="41"/>
      <c r="D1789" s="180"/>
      <c r="E1789" s="181"/>
      <c r="F1789" s="182"/>
      <c r="G1789" s="1" t="str">
        <f>IFERROR(IF(ventas_b_mes1255[[#This Row],[CUIT]]="","-",VLOOKUP(ventas_b_mes1255[[#This Row],[CUIT]],Lista_CUIT[#All],2,0)),"CUIT NO CARGADO")</f>
        <v>-</v>
      </c>
      <c r="H1789" s="100">
        <f>ventas_b_mes1255[[#This Row],[TOTAL]]/1.21</f>
        <v>0</v>
      </c>
      <c r="I1789" s="64">
        <f>ventas_b_mes1255[[#This Row],[IMPORTE NETO]]*0.21</f>
        <v>0</v>
      </c>
      <c r="J1789" s="184"/>
      <c r="K1789" s="184"/>
      <c r="L1789" s="184"/>
      <c r="M1789" s="59"/>
    </row>
    <row r="1790" spans="2:13" x14ac:dyDescent="0.3">
      <c r="B1790" s="178"/>
      <c r="C1790" s="41"/>
      <c r="D1790" s="180"/>
      <c r="E1790" s="181"/>
      <c r="F1790" s="182"/>
      <c r="G1790" s="1" t="str">
        <f>IFERROR(IF(ventas_b_mes1255[[#This Row],[CUIT]]="","-",VLOOKUP(ventas_b_mes1255[[#This Row],[CUIT]],Lista_CUIT[#All],2,0)),"CUIT NO CARGADO")</f>
        <v>-</v>
      </c>
      <c r="H1790" s="100">
        <f>ventas_b_mes1255[[#This Row],[TOTAL]]/1.21</f>
        <v>0</v>
      </c>
      <c r="I1790" s="64">
        <f>ventas_b_mes1255[[#This Row],[IMPORTE NETO]]*0.21</f>
        <v>0</v>
      </c>
      <c r="J1790" s="184"/>
      <c r="K1790" s="184"/>
      <c r="L1790" s="184"/>
      <c r="M1790" s="59"/>
    </row>
    <row r="1791" spans="2:13" x14ac:dyDescent="0.3">
      <c r="B1791" s="178"/>
      <c r="C1791" s="41"/>
      <c r="D1791" s="180"/>
      <c r="E1791" s="181"/>
      <c r="F1791" s="182"/>
      <c r="G1791" s="1" t="str">
        <f>IFERROR(IF(ventas_b_mes1255[[#This Row],[CUIT]]="","-",VLOOKUP(ventas_b_mes1255[[#This Row],[CUIT]],Lista_CUIT[#All],2,0)),"CUIT NO CARGADO")</f>
        <v>-</v>
      </c>
      <c r="H1791" s="100">
        <f>ventas_b_mes1255[[#This Row],[TOTAL]]/1.21</f>
        <v>0</v>
      </c>
      <c r="I1791" s="64">
        <f>ventas_b_mes1255[[#This Row],[IMPORTE NETO]]*0.21</f>
        <v>0</v>
      </c>
      <c r="J1791" s="184"/>
      <c r="K1791" s="184"/>
      <c r="L1791" s="184"/>
      <c r="M1791" s="59"/>
    </row>
    <row r="1792" spans="2:13" x14ac:dyDescent="0.3">
      <c r="B1792" s="178"/>
      <c r="C1792" s="41"/>
      <c r="D1792" s="180"/>
      <c r="E1792" s="181"/>
      <c r="F1792" s="182"/>
      <c r="G1792" s="1" t="str">
        <f>IFERROR(IF(ventas_b_mes1255[[#This Row],[CUIT]]="","-",VLOOKUP(ventas_b_mes1255[[#This Row],[CUIT]],Lista_CUIT[#All],2,0)),"CUIT NO CARGADO")</f>
        <v>-</v>
      </c>
      <c r="H1792" s="100">
        <f>ventas_b_mes1255[[#This Row],[TOTAL]]/1.21</f>
        <v>0</v>
      </c>
      <c r="I1792" s="64">
        <f>ventas_b_mes1255[[#This Row],[IMPORTE NETO]]*0.21</f>
        <v>0</v>
      </c>
      <c r="J1792" s="184"/>
      <c r="K1792" s="184"/>
      <c r="L1792" s="184"/>
      <c r="M1792" s="59"/>
    </row>
    <row r="1793" spans="2:13" x14ac:dyDescent="0.3">
      <c r="B1793" s="178"/>
      <c r="C1793" s="41"/>
      <c r="D1793" s="180"/>
      <c r="E1793" s="181"/>
      <c r="F1793" s="182"/>
      <c r="G1793" s="1" t="str">
        <f>IFERROR(IF(ventas_b_mes1255[[#This Row],[CUIT]]="","-",VLOOKUP(ventas_b_mes1255[[#This Row],[CUIT]],Lista_CUIT[#All],2,0)),"CUIT NO CARGADO")</f>
        <v>-</v>
      </c>
      <c r="H1793" s="100">
        <f>ventas_b_mes1255[[#This Row],[TOTAL]]/1.21</f>
        <v>0</v>
      </c>
      <c r="I1793" s="64">
        <f>ventas_b_mes1255[[#This Row],[IMPORTE NETO]]*0.21</f>
        <v>0</v>
      </c>
      <c r="J1793" s="184"/>
      <c r="K1793" s="184"/>
      <c r="L1793" s="184"/>
      <c r="M1793" s="59"/>
    </row>
    <row r="1794" spans="2:13" x14ac:dyDescent="0.3">
      <c r="B1794" s="178"/>
      <c r="C1794" s="41"/>
      <c r="D1794" s="180"/>
      <c r="E1794" s="181"/>
      <c r="F1794" s="182"/>
      <c r="G1794" s="1" t="str">
        <f>IFERROR(IF(ventas_b_mes1255[[#This Row],[CUIT]]="","-",VLOOKUP(ventas_b_mes1255[[#This Row],[CUIT]],Lista_CUIT[#All],2,0)),"CUIT NO CARGADO")</f>
        <v>-</v>
      </c>
      <c r="H1794" s="100">
        <f>ventas_b_mes1255[[#This Row],[TOTAL]]/1.21</f>
        <v>0</v>
      </c>
      <c r="I1794" s="64">
        <f>ventas_b_mes1255[[#This Row],[IMPORTE NETO]]*0.21</f>
        <v>0</v>
      </c>
      <c r="J1794" s="184"/>
      <c r="K1794" s="184"/>
      <c r="L1794" s="184"/>
      <c r="M1794" s="59"/>
    </row>
    <row r="1795" spans="2:13" x14ac:dyDescent="0.3">
      <c r="B1795" s="178"/>
      <c r="C1795" s="41"/>
      <c r="D1795" s="180"/>
      <c r="E1795" s="181"/>
      <c r="F1795" s="182"/>
      <c r="G1795" s="1" t="str">
        <f>IFERROR(IF(ventas_b_mes1255[[#This Row],[CUIT]]="","-",VLOOKUP(ventas_b_mes1255[[#This Row],[CUIT]],Lista_CUIT[#All],2,0)),"CUIT NO CARGADO")</f>
        <v>-</v>
      </c>
      <c r="H1795" s="100">
        <f>ventas_b_mes1255[[#This Row],[TOTAL]]/1.21</f>
        <v>0</v>
      </c>
      <c r="I1795" s="64">
        <f>ventas_b_mes1255[[#This Row],[IMPORTE NETO]]*0.21</f>
        <v>0</v>
      </c>
      <c r="J1795" s="184"/>
      <c r="K1795" s="184"/>
      <c r="L1795" s="184"/>
      <c r="M1795" s="59"/>
    </row>
    <row r="1796" spans="2:13" x14ac:dyDescent="0.3">
      <c r="B1796" s="178"/>
      <c r="C1796" s="41"/>
      <c r="D1796" s="180"/>
      <c r="E1796" s="181"/>
      <c r="F1796" s="182"/>
      <c r="G1796" s="1" t="str">
        <f>IFERROR(IF(ventas_b_mes1255[[#This Row],[CUIT]]="","-",VLOOKUP(ventas_b_mes1255[[#This Row],[CUIT]],Lista_CUIT[#All],2,0)),"CUIT NO CARGADO")</f>
        <v>-</v>
      </c>
      <c r="H1796" s="100">
        <f>ventas_b_mes1255[[#This Row],[TOTAL]]/1.21</f>
        <v>0</v>
      </c>
      <c r="I1796" s="64">
        <f>ventas_b_mes1255[[#This Row],[IMPORTE NETO]]*0.21</f>
        <v>0</v>
      </c>
      <c r="J1796" s="184"/>
      <c r="K1796" s="184"/>
      <c r="L1796" s="184"/>
      <c r="M1796" s="59"/>
    </row>
    <row r="1797" spans="2:13" x14ac:dyDescent="0.3">
      <c r="B1797" s="178"/>
      <c r="C1797" s="41"/>
      <c r="D1797" s="180"/>
      <c r="E1797" s="181"/>
      <c r="F1797" s="182"/>
      <c r="G1797" s="1" t="str">
        <f>IFERROR(IF(ventas_b_mes1255[[#This Row],[CUIT]]="","-",VLOOKUP(ventas_b_mes1255[[#This Row],[CUIT]],Lista_CUIT[#All],2,0)),"CUIT NO CARGADO")</f>
        <v>-</v>
      </c>
      <c r="H1797" s="100">
        <f>ventas_b_mes1255[[#This Row],[TOTAL]]/1.21</f>
        <v>0</v>
      </c>
      <c r="I1797" s="64">
        <f>ventas_b_mes1255[[#This Row],[IMPORTE NETO]]*0.21</f>
        <v>0</v>
      </c>
      <c r="J1797" s="184"/>
      <c r="K1797" s="184"/>
      <c r="L1797" s="184"/>
      <c r="M1797" s="59"/>
    </row>
    <row r="1798" spans="2:13" x14ac:dyDescent="0.3">
      <c r="B1798" s="178"/>
      <c r="C1798" s="41"/>
      <c r="D1798" s="180"/>
      <c r="E1798" s="181"/>
      <c r="F1798" s="182"/>
      <c r="G1798" s="1" t="str">
        <f>IFERROR(IF(ventas_b_mes1255[[#This Row],[CUIT]]="","-",VLOOKUP(ventas_b_mes1255[[#This Row],[CUIT]],Lista_CUIT[#All],2,0)),"CUIT NO CARGADO")</f>
        <v>-</v>
      </c>
      <c r="H1798" s="100">
        <f>ventas_b_mes1255[[#This Row],[TOTAL]]/1.21</f>
        <v>0</v>
      </c>
      <c r="I1798" s="64">
        <f>ventas_b_mes1255[[#This Row],[IMPORTE NETO]]*0.21</f>
        <v>0</v>
      </c>
      <c r="J1798" s="184"/>
      <c r="K1798" s="184"/>
      <c r="L1798" s="184"/>
      <c r="M1798" s="59"/>
    </row>
    <row r="1799" spans="2:13" x14ac:dyDescent="0.3">
      <c r="B1799" s="178"/>
      <c r="C1799" s="41"/>
      <c r="D1799" s="180"/>
      <c r="E1799" s="181"/>
      <c r="F1799" s="182"/>
      <c r="G1799" s="1" t="str">
        <f>IFERROR(IF(ventas_b_mes1255[[#This Row],[CUIT]]="","-",VLOOKUP(ventas_b_mes1255[[#This Row],[CUIT]],Lista_CUIT[#All],2,0)),"CUIT NO CARGADO")</f>
        <v>-</v>
      </c>
      <c r="H1799" s="100">
        <f>ventas_b_mes1255[[#This Row],[TOTAL]]/1.21</f>
        <v>0</v>
      </c>
      <c r="I1799" s="64">
        <f>ventas_b_mes1255[[#This Row],[IMPORTE NETO]]*0.21</f>
        <v>0</v>
      </c>
      <c r="J1799" s="184"/>
      <c r="K1799" s="184"/>
      <c r="L1799" s="184"/>
      <c r="M1799" s="59"/>
    </row>
    <row r="1800" spans="2:13" x14ac:dyDescent="0.3">
      <c r="B1800" s="178"/>
      <c r="C1800" s="41"/>
      <c r="D1800" s="180"/>
      <c r="E1800" s="181"/>
      <c r="F1800" s="182"/>
      <c r="G1800" s="1" t="str">
        <f>IFERROR(IF(ventas_b_mes1255[[#This Row],[CUIT]]="","-",VLOOKUP(ventas_b_mes1255[[#This Row],[CUIT]],Lista_CUIT[#All],2,0)),"CUIT NO CARGADO")</f>
        <v>-</v>
      </c>
      <c r="H1800" s="100">
        <f>ventas_b_mes1255[[#This Row],[TOTAL]]/1.21</f>
        <v>0</v>
      </c>
      <c r="I1800" s="64">
        <f>ventas_b_mes1255[[#This Row],[IMPORTE NETO]]*0.21</f>
        <v>0</v>
      </c>
      <c r="J1800" s="184"/>
      <c r="K1800" s="184"/>
      <c r="L1800" s="184"/>
      <c r="M1800" s="59"/>
    </row>
    <row r="1801" spans="2:13" x14ac:dyDescent="0.3">
      <c r="B1801" s="178"/>
      <c r="C1801" s="41"/>
      <c r="D1801" s="180"/>
      <c r="E1801" s="181"/>
      <c r="F1801" s="182"/>
      <c r="G1801" s="1" t="str">
        <f>IFERROR(IF(ventas_b_mes1255[[#This Row],[CUIT]]="","-",VLOOKUP(ventas_b_mes1255[[#This Row],[CUIT]],Lista_CUIT[#All],2,0)),"CUIT NO CARGADO")</f>
        <v>-</v>
      </c>
      <c r="H1801" s="100">
        <f>ventas_b_mes1255[[#This Row],[TOTAL]]/1.21</f>
        <v>0</v>
      </c>
      <c r="I1801" s="64">
        <f>ventas_b_mes1255[[#This Row],[IMPORTE NETO]]*0.21</f>
        <v>0</v>
      </c>
      <c r="J1801" s="184"/>
      <c r="K1801" s="184"/>
      <c r="L1801" s="184"/>
      <c r="M1801" s="59"/>
    </row>
    <row r="1802" spans="2:13" x14ac:dyDescent="0.3">
      <c r="B1802" s="178"/>
      <c r="C1802" s="41"/>
      <c r="D1802" s="180"/>
      <c r="E1802" s="181"/>
      <c r="F1802" s="182"/>
      <c r="G1802" s="1" t="str">
        <f>IFERROR(IF(ventas_b_mes1255[[#This Row],[CUIT]]="","-",VLOOKUP(ventas_b_mes1255[[#This Row],[CUIT]],Lista_CUIT[#All],2,0)),"CUIT NO CARGADO")</f>
        <v>-</v>
      </c>
      <c r="H1802" s="100">
        <f>ventas_b_mes1255[[#This Row],[TOTAL]]/1.21</f>
        <v>0</v>
      </c>
      <c r="I1802" s="64">
        <f>ventas_b_mes1255[[#This Row],[IMPORTE NETO]]*0.21</f>
        <v>0</v>
      </c>
      <c r="J1802" s="184"/>
      <c r="K1802" s="184"/>
      <c r="L1802" s="184"/>
      <c r="M1802" s="59"/>
    </row>
    <row r="1803" spans="2:13" x14ac:dyDescent="0.3">
      <c r="B1803" s="178"/>
      <c r="C1803" s="41"/>
      <c r="D1803" s="180"/>
      <c r="E1803" s="181"/>
      <c r="F1803" s="182"/>
      <c r="G1803" s="1" t="str">
        <f>IFERROR(IF(ventas_b_mes1255[[#This Row],[CUIT]]="","-",VLOOKUP(ventas_b_mes1255[[#This Row],[CUIT]],Lista_CUIT[#All],2,0)),"CUIT NO CARGADO")</f>
        <v>-</v>
      </c>
      <c r="H1803" s="100">
        <f>ventas_b_mes1255[[#This Row],[TOTAL]]/1.21</f>
        <v>0</v>
      </c>
      <c r="I1803" s="64">
        <f>ventas_b_mes1255[[#This Row],[IMPORTE NETO]]*0.21</f>
        <v>0</v>
      </c>
      <c r="J1803" s="184"/>
      <c r="K1803" s="184"/>
      <c r="L1803" s="184"/>
      <c r="M1803" s="59"/>
    </row>
    <row r="1804" spans="2:13" x14ac:dyDescent="0.3">
      <c r="B1804" s="178"/>
      <c r="C1804" s="41"/>
      <c r="D1804" s="180"/>
      <c r="E1804" s="181"/>
      <c r="F1804" s="182"/>
      <c r="G1804" s="1" t="str">
        <f>IFERROR(IF(ventas_b_mes1255[[#This Row],[CUIT]]="","-",VLOOKUP(ventas_b_mes1255[[#This Row],[CUIT]],Lista_CUIT[#All],2,0)),"CUIT NO CARGADO")</f>
        <v>-</v>
      </c>
      <c r="H1804" s="100">
        <f>ventas_b_mes1255[[#This Row],[TOTAL]]/1.21</f>
        <v>0</v>
      </c>
      <c r="I1804" s="64">
        <f>ventas_b_mes1255[[#This Row],[IMPORTE NETO]]*0.21</f>
        <v>0</v>
      </c>
      <c r="J1804" s="184"/>
      <c r="K1804" s="184"/>
      <c r="L1804" s="184"/>
      <c r="M1804" s="59"/>
    </row>
    <row r="1805" spans="2:13" x14ac:dyDescent="0.3">
      <c r="B1805" s="178"/>
      <c r="C1805" s="41"/>
      <c r="D1805" s="180"/>
      <c r="E1805" s="181"/>
      <c r="F1805" s="182"/>
      <c r="G1805" s="1" t="str">
        <f>IFERROR(IF(ventas_b_mes1255[[#This Row],[CUIT]]="","-",VLOOKUP(ventas_b_mes1255[[#This Row],[CUIT]],Lista_CUIT[#All],2,0)),"CUIT NO CARGADO")</f>
        <v>-</v>
      </c>
      <c r="H1805" s="100">
        <f>ventas_b_mes1255[[#This Row],[TOTAL]]/1.21</f>
        <v>0</v>
      </c>
      <c r="I1805" s="64">
        <f>ventas_b_mes1255[[#This Row],[IMPORTE NETO]]*0.21</f>
        <v>0</v>
      </c>
      <c r="J1805" s="184"/>
      <c r="K1805" s="184"/>
      <c r="L1805" s="184"/>
      <c r="M1805" s="59"/>
    </row>
    <row r="1806" spans="2:13" x14ac:dyDescent="0.3">
      <c r="B1806" s="178"/>
      <c r="C1806" s="41"/>
      <c r="D1806" s="180"/>
      <c r="E1806" s="181"/>
      <c r="F1806" s="182"/>
      <c r="G1806" s="1" t="str">
        <f>IFERROR(IF(ventas_b_mes1255[[#This Row],[CUIT]]="","-",VLOOKUP(ventas_b_mes1255[[#This Row],[CUIT]],Lista_CUIT[#All],2,0)),"CUIT NO CARGADO")</f>
        <v>-</v>
      </c>
      <c r="H1806" s="100">
        <f>ventas_b_mes1255[[#This Row],[TOTAL]]/1.21</f>
        <v>0</v>
      </c>
      <c r="I1806" s="64">
        <f>ventas_b_mes1255[[#This Row],[IMPORTE NETO]]*0.21</f>
        <v>0</v>
      </c>
      <c r="J1806" s="184"/>
      <c r="K1806" s="184"/>
      <c r="L1806" s="184"/>
      <c r="M1806" s="59"/>
    </row>
    <row r="1807" spans="2:13" x14ac:dyDescent="0.3">
      <c r="B1807" s="178"/>
      <c r="C1807" s="41"/>
      <c r="D1807" s="180"/>
      <c r="E1807" s="181"/>
      <c r="F1807" s="182"/>
      <c r="G1807" s="1" t="str">
        <f>IFERROR(IF(ventas_b_mes1255[[#This Row],[CUIT]]="","-",VLOOKUP(ventas_b_mes1255[[#This Row],[CUIT]],Lista_CUIT[#All],2,0)),"CUIT NO CARGADO")</f>
        <v>-</v>
      </c>
      <c r="H1807" s="100">
        <f>ventas_b_mes1255[[#This Row],[TOTAL]]/1.21</f>
        <v>0</v>
      </c>
      <c r="I1807" s="64">
        <f>ventas_b_mes1255[[#This Row],[IMPORTE NETO]]*0.21</f>
        <v>0</v>
      </c>
      <c r="J1807" s="184"/>
      <c r="K1807" s="184"/>
      <c r="L1807" s="184"/>
      <c r="M1807" s="59"/>
    </row>
    <row r="1808" spans="2:13" x14ac:dyDescent="0.3">
      <c r="B1808" s="178"/>
      <c r="C1808" s="41"/>
      <c r="D1808" s="180"/>
      <c r="E1808" s="181"/>
      <c r="F1808" s="182"/>
      <c r="G1808" s="1" t="str">
        <f>IFERROR(IF(ventas_b_mes1255[[#This Row],[CUIT]]="","-",VLOOKUP(ventas_b_mes1255[[#This Row],[CUIT]],Lista_CUIT[#All],2,0)),"CUIT NO CARGADO")</f>
        <v>-</v>
      </c>
      <c r="H1808" s="100">
        <f>ventas_b_mes1255[[#This Row],[TOTAL]]/1.21</f>
        <v>0</v>
      </c>
      <c r="I1808" s="64">
        <f>ventas_b_mes1255[[#This Row],[IMPORTE NETO]]*0.21</f>
        <v>0</v>
      </c>
      <c r="J1808" s="184"/>
      <c r="K1808" s="184"/>
      <c r="L1808" s="184"/>
      <c r="M1808" s="59"/>
    </row>
    <row r="1809" spans="2:13" x14ac:dyDescent="0.3">
      <c r="B1809" s="178"/>
      <c r="C1809" s="41"/>
      <c r="D1809" s="180"/>
      <c r="E1809" s="181"/>
      <c r="F1809" s="182"/>
      <c r="G1809" s="1" t="str">
        <f>IFERROR(IF(ventas_b_mes1255[[#This Row],[CUIT]]="","-",VLOOKUP(ventas_b_mes1255[[#This Row],[CUIT]],Lista_CUIT[#All],2,0)),"CUIT NO CARGADO")</f>
        <v>-</v>
      </c>
      <c r="H1809" s="100">
        <f>ventas_b_mes1255[[#This Row],[TOTAL]]/1.21</f>
        <v>0</v>
      </c>
      <c r="I1809" s="64">
        <f>ventas_b_mes1255[[#This Row],[IMPORTE NETO]]*0.21</f>
        <v>0</v>
      </c>
      <c r="J1809" s="184"/>
      <c r="K1809" s="184"/>
      <c r="L1809" s="184"/>
      <c r="M1809" s="59"/>
    </row>
    <row r="1810" spans="2:13" x14ac:dyDescent="0.3">
      <c r="B1810" s="178"/>
      <c r="C1810" s="41"/>
      <c r="D1810" s="180"/>
      <c r="E1810" s="181"/>
      <c r="F1810" s="182"/>
      <c r="G1810" s="1" t="str">
        <f>IFERROR(IF(ventas_b_mes1255[[#This Row],[CUIT]]="","-",VLOOKUP(ventas_b_mes1255[[#This Row],[CUIT]],Lista_CUIT[#All],2,0)),"CUIT NO CARGADO")</f>
        <v>-</v>
      </c>
      <c r="H1810" s="100">
        <f>ventas_b_mes1255[[#This Row],[TOTAL]]/1.21</f>
        <v>0</v>
      </c>
      <c r="I1810" s="64">
        <f>ventas_b_mes1255[[#This Row],[IMPORTE NETO]]*0.21</f>
        <v>0</v>
      </c>
      <c r="J1810" s="184"/>
      <c r="K1810" s="184"/>
      <c r="L1810" s="184"/>
      <c r="M1810" s="59"/>
    </row>
    <row r="1811" spans="2:13" x14ac:dyDescent="0.3">
      <c r="B1811" s="178"/>
      <c r="C1811" s="41"/>
      <c r="D1811" s="180"/>
      <c r="E1811" s="181"/>
      <c r="F1811" s="182"/>
      <c r="G1811" s="1" t="str">
        <f>IFERROR(IF(ventas_b_mes1255[[#This Row],[CUIT]]="","-",VLOOKUP(ventas_b_mes1255[[#This Row],[CUIT]],Lista_CUIT[#All],2,0)),"CUIT NO CARGADO")</f>
        <v>-</v>
      </c>
      <c r="H1811" s="100">
        <f>ventas_b_mes1255[[#This Row],[TOTAL]]/1.21</f>
        <v>0</v>
      </c>
      <c r="I1811" s="64">
        <f>ventas_b_mes1255[[#This Row],[IMPORTE NETO]]*0.21</f>
        <v>0</v>
      </c>
      <c r="J1811" s="184"/>
      <c r="K1811" s="184"/>
      <c r="L1811" s="184"/>
      <c r="M1811" s="59"/>
    </row>
    <row r="1812" spans="2:13" x14ac:dyDescent="0.3">
      <c r="B1812" s="178"/>
      <c r="C1812" s="41"/>
      <c r="D1812" s="180"/>
      <c r="E1812" s="181"/>
      <c r="F1812" s="182"/>
      <c r="G1812" s="1" t="str">
        <f>IFERROR(IF(ventas_b_mes1255[[#This Row],[CUIT]]="","-",VLOOKUP(ventas_b_mes1255[[#This Row],[CUIT]],Lista_CUIT[#All],2,0)),"CUIT NO CARGADO")</f>
        <v>-</v>
      </c>
      <c r="H1812" s="100">
        <f>ventas_b_mes1255[[#This Row],[TOTAL]]/1.21</f>
        <v>0</v>
      </c>
      <c r="I1812" s="64">
        <f>ventas_b_mes1255[[#This Row],[IMPORTE NETO]]*0.21</f>
        <v>0</v>
      </c>
      <c r="J1812" s="184"/>
      <c r="K1812" s="184"/>
      <c r="L1812" s="184"/>
      <c r="M1812" s="59"/>
    </row>
    <row r="1813" spans="2:13" x14ac:dyDescent="0.3">
      <c r="B1813" s="178"/>
      <c r="C1813" s="41"/>
      <c r="D1813" s="180"/>
      <c r="E1813" s="181"/>
      <c r="F1813" s="182"/>
      <c r="G1813" s="1" t="str">
        <f>IFERROR(IF(ventas_b_mes1255[[#This Row],[CUIT]]="","-",VLOOKUP(ventas_b_mes1255[[#This Row],[CUIT]],Lista_CUIT[#All],2,0)),"CUIT NO CARGADO")</f>
        <v>-</v>
      </c>
      <c r="H1813" s="100">
        <f>ventas_b_mes1255[[#This Row],[TOTAL]]/1.21</f>
        <v>0</v>
      </c>
      <c r="I1813" s="64">
        <f>ventas_b_mes1255[[#This Row],[IMPORTE NETO]]*0.21</f>
        <v>0</v>
      </c>
      <c r="J1813" s="184"/>
      <c r="K1813" s="184"/>
      <c r="L1813" s="184"/>
      <c r="M1813" s="59"/>
    </row>
    <row r="1814" spans="2:13" x14ac:dyDescent="0.3">
      <c r="B1814" s="178"/>
      <c r="C1814" s="41"/>
      <c r="D1814" s="180"/>
      <c r="E1814" s="181"/>
      <c r="F1814" s="182"/>
      <c r="G1814" s="1" t="str">
        <f>IFERROR(IF(ventas_b_mes1255[[#This Row],[CUIT]]="","-",VLOOKUP(ventas_b_mes1255[[#This Row],[CUIT]],Lista_CUIT[#All],2,0)),"CUIT NO CARGADO")</f>
        <v>-</v>
      </c>
      <c r="H1814" s="100">
        <f>ventas_b_mes1255[[#This Row],[TOTAL]]/1.21</f>
        <v>0</v>
      </c>
      <c r="I1814" s="64">
        <f>ventas_b_mes1255[[#This Row],[IMPORTE NETO]]*0.21</f>
        <v>0</v>
      </c>
      <c r="J1814" s="184"/>
      <c r="K1814" s="184"/>
      <c r="L1814" s="184"/>
      <c r="M1814" s="59"/>
    </row>
    <row r="1815" spans="2:13" x14ac:dyDescent="0.3">
      <c r="B1815" s="178"/>
      <c r="C1815" s="41"/>
      <c r="D1815" s="180"/>
      <c r="E1815" s="181"/>
      <c r="F1815" s="182"/>
      <c r="G1815" s="1" t="str">
        <f>IFERROR(IF(ventas_b_mes1255[[#This Row],[CUIT]]="","-",VLOOKUP(ventas_b_mes1255[[#This Row],[CUIT]],Lista_CUIT[#All],2,0)),"CUIT NO CARGADO")</f>
        <v>-</v>
      </c>
      <c r="H1815" s="100">
        <f>ventas_b_mes1255[[#This Row],[TOTAL]]/1.21</f>
        <v>0</v>
      </c>
      <c r="I1815" s="64">
        <f>ventas_b_mes1255[[#This Row],[IMPORTE NETO]]*0.21</f>
        <v>0</v>
      </c>
      <c r="J1815" s="184"/>
      <c r="K1815" s="184"/>
      <c r="L1815" s="184"/>
      <c r="M1815" s="59"/>
    </row>
    <row r="1816" spans="2:13" x14ac:dyDescent="0.3">
      <c r="B1816" s="178"/>
      <c r="C1816" s="41"/>
      <c r="D1816" s="180"/>
      <c r="E1816" s="181"/>
      <c r="F1816" s="182"/>
      <c r="G1816" s="1" t="str">
        <f>IFERROR(IF(ventas_b_mes1255[[#This Row],[CUIT]]="","-",VLOOKUP(ventas_b_mes1255[[#This Row],[CUIT]],Lista_CUIT[#All],2,0)),"CUIT NO CARGADO")</f>
        <v>-</v>
      </c>
      <c r="H1816" s="100">
        <f>ventas_b_mes1255[[#This Row],[TOTAL]]/1.21</f>
        <v>0</v>
      </c>
      <c r="I1816" s="64">
        <f>ventas_b_mes1255[[#This Row],[IMPORTE NETO]]*0.21</f>
        <v>0</v>
      </c>
      <c r="J1816" s="184"/>
      <c r="K1816" s="184"/>
      <c r="L1816" s="184"/>
      <c r="M1816" s="59"/>
    </row>
    <row r="1817" spans="2:13" x14ac:dyDescent="0.3">
      <c r="B1817" s="178"/>
      <c r="C1817" s="41"/>
      <c r="D1817" s="180"/>
      <c r="E1817" s="181"/>
      <c r="F1817" s="182"/>
      <c r="G1817" s="1" t="str">
        <f>IFERROR(IF(ventas_b_mes1255[[#This Row],[CUIT]]="","-",VLOOKUP(ventas_b_mes1255[[#This Row],[CUIT]],Lista_CUIT[#All],2,0)),"CUIT NO CARGADO")</f>
        <v>-</v>
      </c>
      <c r="H1817" s="100">
        <f>ventas_b_mes1255[[#This Row],[TOTAL]]/1.21</f>
        <v>0</v>
      </c>
      <c r="I1817" s="64">
        <f>ventas_b_mes1255[[#This Row],[IMPORTE NETO]]*0.21</f>
        <v>0</v>
      </c>
      <c r="J1817" s="184"/>
      <c r="K1817" s="184"/>
      <c r="L1817" s="184"/>
      <c r="M1817" s="59"/>
    </row>
    <row r="1818" spans="2:13" x14ac:dyDescent="0.3">
      <c r="B1818" s="178"/>
      <c r="C1818" s="41"/>
      <c r="D1818" s="180"/>
      <c r="E1818" s="181"/>
      <c r="F1818" s="182"/>
      <c r="G1818" s="1" t="str">
        <f>IFERROR(IF(ventas_b_mes1255[[#This Row],[CUIT]]="","-",VLOOKUP(ventas_b_mes1255[[#This Row],[CUIT]],Lista_CUIT[#All],2,0)),"CUIT NO CARGADO")</f>
        <v>-</v>
      </c>
      <c r="H1818" s="100">
        <f>ventas_b_mes1255[[#This Row],[TOTAL]]/1.21</f>
        <v>0</v>
      </c>
      <c r="I1818" s="64">
        <f>ventas_b_mes1255[[#This Row],[IMPORTE NETO]]*0.21</f>
        <v>0</v>
      </c>
      <c r="J1818" s="184"/>
      <c r="K1818" s="184"/>
      <c r="L1818" s="184"/>
      <c r="M1818" s="59"/>
    </row>
    <row r="1819" spans="2:13" x14ac:dyDescent="0.3">
      <c r="B1819" s="178"/>
      <c r="C1819" s="41"/>
      <c r="D1819" s="180"/>
      <c r="E1819" s="181"/>
      <c r="F1819" s="182"/>
      <c r="G1819" s="1" t="str">
        <f>IFERROR(IF(ventas_b_mes1255[[#This Row],[CUIT]]="","-",VLOOKUP(ventas_b_mes1255[[#This Row],[CUIT]],Lista_CUIT[#All],2,0)),"CUIT NO CARGADO")</f>
        <v>-</v>
      </c>
      <c r="H1819" s="100">
        <f>ventas_b_mes1255[[#This Row],[TOTAL]]/1.21</f>
        <v>0</v>
      </c>
      <c r="I1819" s="64">
        <f>ventas_b_mes1255[[#This Row],[IMPORTE NETO]]*0.21</f>
        <v>0</v>
      </c>
      <c r="J1819" s="184"/>
      <c r="K1819" s="184"/>
      <c r="L1819" s="184"/>
      <c r="M1819" s="59"/>
    </row>
    <row r="1820" spans="2:13" x14ac:dyDescent="0.3">
      <c r="B1820" s="178"/>
      <c r="C1820" s="41"/>
      <c r="D1820" s="180"/>
      <c r="E1820" s="181"/>
      <c r="F1820" s="182"/>
      <c r="G1820" s="1" t="str">
        <f>IFERROR(IF(ventas_b_mes1255[[#This Row],[CUIT]]="","-",VLOOKUP(ventas_b_mes1255[[#This Row],[CUIT]],Lista_CUIT[#All],2,0)),"CUIT NO CARGADO")</f>
        <v>-</v>
      </c>
      <c r="H1820" s="100">
        <f>ventas_b_mes1255[[#This Row],[TOTAL]]/1.21</f>
        <v>0</v>
      </c>
      <c r="I1820" s="64">
        <f>ventas_b_mes1255[[#This Row],[IMPORTE NETO]]*0.21</f>
        <v>0</v>
      </c>
      <c r="J1820" s="184"/>
      <c r="K1820" s="184"/>
      <c r="L1820" s="184"/>
      <c r="M1820" s="59"/>
    </row>
    <row r="1821" spans="2:13" x14ac:dyDescent="0.3">
      <c r="B1821" s="178"/>
      <c r="C1821" s="41"/>
      <c r="D1821" s="180"/>
      <c r="E1821" s="181"/>
      <c r="F1821" s="182"/>
      <c r="G1821" s="1" t="str">
        <f>IFERROR(IF(ventas_b_mes1255[[#This Row],[CUIT]]="","-",VLOOKUP(ventas_b_mes1255[[#This Row],[CUIT]],Lista_CUIT[#All],2,0)),"CUIT NO CARGADO")</f>
        <v>-</v>
      </c>
      <c r="H1821" s="100">
        <f>ventas_b_mes1255[[#This Row],[TOTAL]]/1.21</f>
        <v>0</v>
      </c>
      <c r="I1821" s="64">
        <f>ventas_b_mes1255[[#This Row],[IMPORTE NETO]]*0.21</f>
        <v>0</v>
      </c>
      <c r="J1821" s="184"/>
      <c r="K1821" s="184"/>
      <c r="L1821" s="184"/>
      <c r="M1821" s="59"/>
    </row>
    <row r="1822" spans="2:13" x14ac:dyDescent="0.3">
      <c r="B1822" s="178"/>
      <c r="C1822" s="41"/>
      <c r="D1822" s="180"/>
      <c r="E1822" s="181"/>
      <c r="F1822" s="182"/>
      <c r="G1822" s="1" t="str">
        <f>IFERROR(IF(ventas_b_mes1255[[#This Row],[CUIT]]="","-",VLOOKUP(ventas_b_mes1255[[#This Row],[CUIT]],Lista_CUIT[#All],2,0)),"CUIT NO CARGADO")</f>
        <v>-</v>
      </c>
      <c r="H1822" s="100">
        <f>ventas_b_mes1255[[#This Row],[TOTAL]]/1.21</f>
        <v>0</v>
      </c>
      <c r="I1822" s="64">
        <f>ventas_b_mes1255[[#This Row],[IMPORTE NETO]]*0.21</f>
        <v>0</v>
      </c>
      <c r="J1822" s="184"/>
      <c r="K1822" s="184"/>
      <c r="L1822" s="184"/>
      <c r="M1822" s="59"/>
    </row>
    <row r="1823" spans="2:13" x14ac:dyDescent="0.3">
      <c r="B1823" s="178"/>
      <c r="C1823" s="41"/>
      <c r="D1823" s="180"/>
      <c r="E1823" s="181"/>
      <c r="F1823" s="182"/>
      <c r="G1823" s="1" t="str">
        <f>IFERROR(IF(ventas_b_mes1255[[#This Row],[CUIT]]="","-",VLOOKUP(ventas_b_mes1255[[#This Row],[CUIT]],Lista_CUIT[#All],2,0)),"CUIT NO CARGADO")</f>
        <v>-</v>
      </c>
      <c r="H1823" s="100">
        <f>ventas_b_mes1255[[#This Row],[TOTAL]]/1.21</f>
        <v>0</v>
      </c>
      <c r="I1823" s="64">
        <f>ventas_b_mes1255[[#This Row],[IMPORTE NETO]]*0.21</f>
        <v>0</v>
      </c>
      <c r="J1823" s="184"/>
      <c r="K1823" s="184"/>
      <c r="L1823" s="184"/>
      <c r="M1823" s="59"/>
    </row>
    <row r="1824" spans="2:13" x14ac:dyDescent="0.3">
      <c r="B1824" s="178"/>
      <c r="C1824" s="41"/>
      <c r="D1824" s="180"/>
      <c r="E1824" s="181"/>
      <c r="F1824" s="182"/>
      <c r="G1824" s="1" t="str">
        <f>IFERROR(IF(ventas_b_mes1255[[#This Row],[CUIT]]="","-",VLOOKUP(ventas_b_mes1255[[#This Row],[CUIT]],Lista_CUIT[#All],2,0)),"CUIT NO CARGADO")</f>
        <v>-</v>
      </c>
      <c r="H1824" s="100">
        <f>ventas_b_mes1255[[#This Row],[TOTAL]]/1.21</f>
        <v>0</v>
      </c>
      <c r="I1824" s="64">
        <f>ventas_b_mes1255[[#This Row],[IMPORTE NETO]]*0.21</f>
        <v>0</v>
      </c>
      <c r="J1824" s="184"/>
      <c r="K1824" s="184"/>
      <c r="L1824" s="184"/>
      <c r="M1824" s="59"/>
    </row>
    <row r="1825" spans="2:13" x14ac:dyDescent="0.3">
      <c r="B1825" s="178"/>
      <c r="C1825" s="41"/>
      <c r="D1825" s="180"/>
      <c r="E1825" s="181"/>
      <c r="F1825" s="182"/>
      <c r="G1825" s="1" t="str">
        <f>IFERROR(IF(ventas_b_mes1255[[#This Row],[CUIT]]="","-",VLOOKUP(ventas_b_mes1255[[#This Row],[CUIT]],Lista_CUIT[#All],2,0)),"CUIT NO CARGADO")</f>
        <v>-</v>
      </c>
      <c r="H1825" s="100">
        <f>ventas_b_mes1255[[#This Row],[TOTAL]]/1.21</f>
        <v>0</v>
      </c>
      <c r="I1825" s="64">
        <f>ventas_b_mes1255[[#This Row],[IMPORTE NETO]]*0.21</f>
        <v>0</v>
      </c>
      <c r="J1825" s="184"/>
      <c r="K1825" s="184"/>
      <c r="L1825" s="184"/>
      <c r="M1825" s="59"/>
    </row>
    <row r="1826" spans="2:13" x14ac:dyDescent="0.3">
      <c r="B1826" s="178"/>
      <c r="C1826" s="41"/>
      <c r="D1826" s="180"/>
      <c r="E1826" s="181"/>
      <c r="F1826" s="182"/>
      <c r="G1826" s="1" t="str">
        <f>IFERROR(IF(ventas_b_mes1255[[#This Row],[CUIT]]="","-",VLOOKUP(ventas_b_mes1255[[#This Row],[CUIT]],Lista_CUIT[#All],2,0)),"CUIT NO CARGADO")</f>
        <v>-</v>
      </c>
      <c r="H1826" s="100">
        <f>ventas_b_mes1255[[#This Row],[TOTAL]]/1.21</f>
        <v>0</v>
      </c>
      <c r="I1826" s="64">
        <f>ventas_b_mes1255[[#This Row],[IMPORTE NETO]]*0.21</f>
        <v>0</v>
      </c>
      <c r="J1826" s="184"/>
      <c r="K1826" s="184"/>
      <c r="L1826" s="184"/>
      <c r="M1826" s="59"/>
    </row>
    <row r="1827" spans="2:13" x14ac:dyDescent="0.3">
      <c r="B1827" s="178"/>
      <c r="C1827" s="41"/>
      <c r="D1827" s="180"/>
      <c r="E1827" s="181"/>
      <c r="F1827" s="182"/>
      <c r="G1827" s="1" t="str">
        <f>IFERROR(IF(ventas_b_mes1255[[#This Row],[CUIT]]="","-",VLOOKUP(ventas_b_mes1255[[#This Row],[CUIT]],Lista_CUIT[#All],2,0)),"CUIT NO CARGADO")</f>
        <v>-</v>
      </c>
      <c r="H1827" s="100">
        <f>ventas_b_mes1255[[#This Row],[TOTAL]]/1.21</f>
        <v>0</v>
      </c>
      <c r="I1827" s="64">
        <f>ventas_b_mes1255[[#This Row],[IMPORTE NETO]]*0.21</f>
        <v>0</v>
      </c>
      <c r="J1827" s="184"/>
      <c r="K1827" s="184"/>
      <c r="L1827" s="184"/>
      <c r="M1827" s="59"/>
    </row>
    <row r="1828" spans="2:13" x14ac:dyDescent="0.3">
      <c r="B1828" s="178"/>
      <c r="C1828" s="41"/>
      <c r="D1828" s="180"/>
      <c r="E1828" s="181"/>
      <c r="F1828" s="182"/>
      <c r="G1828" s="1" t="str">
        <f>IFERROR(IF(ventas_b_mes1255[[#This Row],[CUIT]]="","-",VLOOKUP(ventas_b_mes1255[[#This Row],[CUIT]],Lista_CUIT[#All],2,0)),"CUIT NO CARGADO")</f>
        <v>-</v>
      </c>
      <c r="H1828" s="100">
        <f>ventas_b_mes1255[[#This Row],[TOTAL]]/1.21</f>
        <v>0</v>
      </c>
      <c r="I1828" s="64">
        <f>ventas_b_mes1255[[#This Row],[IMPORTE NETO]]*0.21</f>
        <v>0</v>
      </c>
      <c r="J1828" s="184"/>
      <c r="K1828" s="184"/>
      <c r="L1828" s="184"/>
      <c r="M1828" s="59"/>
    </row>
    <row r="1829" spans="2:13" x14ac:dyDescent="0.3">
      <c r="B1829" s="178"/>
      <c r="C1829" s="41"/>
      <c r="D1829" s="180"/>
      <c r="E1829" s="181"/>
      <c r="F1829" s="182"/>
      <c r="G1829" s="1" t="str">
        <f>IFERROR(IF(ventas_b_mes1255[[#This Row],[CUIT]]="","-",VLOOKUP(ventas_b_mes1255[[#This Row],[CUIT]],Lista_CUIT[#All],2,0)),"CUIT NO CARGADO")</f>
        <v>-</v>
      </c>
      <c r="H1829" s="100">
        <f>ventas_b_mes1255[[#This Row],[TOTAL]]/1.21</f>
        <v>0</v>
      </c>
      <c r="I1829" s="64">
        <f>ventas_b_mes1255[[#This Row],[IMPORTE NETO]]*0.21</f>
        <v>0</v>
      </c>
      <c r="J1829" s="184"/>
      <c r="K1829" s="184"/>
      <c r="L1829" s="184"/>
      <c r="M1829" s="59"/>
    </row>
    <row r="1830" spans="2:13" x14ac:dyDescent="0.3">
      <c r="B1830" s="178"/>
      <c r="C1830" s="41"/>
      <c r="D1830" s="180"/>
      <c r="E1830" s="181"/>
      <c r="F1830" s="182"/>
      <c r="G1830" s="1" t="str">
        <f>IFERROR(IF(ventas_b_mes1255[[#This Row],[CUIT]]="","-",VLOOKUP(ventas_b_mes1255[[#This Row],[CUIT]],Lista_CUIT[#All],2,0)),"CUIT NO CARGADO")</f>
        <v>-</v>
      </c>
      <c r="H1830" s="100">
        <f>ventas_b_mes1255[[#This Row],[TOTAL]]/1.21</f>
        <v>0</v>
      </c>
      <c r="I1830" s="64">
        <f>ventas_b_mes1255[[#This Row],[IMPORTE NETO]]*0.21</f>
        <v>0</v>
      </c>
      <c r="J1830" s="184"/>
      <c r="K1830" s="184"/>
      <c r="L1830" s="184"/>
      <c r="M1830" s="59"/>
    </row>
    <row r="1831" spans="2:13" x14ac:dyDescent="0.3">
      <c r="B1831" s="178"/>
      <c r="C1831" s="41"/>
      <c r="D1831" s="180"/>
      <c r="E1831" s="181"/>
      <c r="F1831" s="182"/>
      <c r="G1831" s="1" t="str">
        <f>IFERROR(IF(ventas_b_mes1255[[#This Row],[CUIT]]="","-",VLOOKUP(ventas_b_mes1255[[#This Row],[CUIT]],Lista_CUIT[#All],2,0)),"CUIT NO CARGADO")</f>
        <v>-</v>
      </c>
      <c r="H1831" s="100">
        <f>ventas_b_mes1255[[#This Row],[TOTAL]]/1.21</f>
        <v>0</v>
      </c>
      <c r="I1831" s="64">
        <f>ventas_b_mes1255[[#This Row],[IMPORTE NETO]]*0.21</f>
        <v>0</v>
      </c>
      <c r="J1831" s="184"/>
      <c r="K1831" s="184"/>
      <c r="L1831" s="184"/>
      <c r="M1831" s="59"/>
    </row>
    <row r="1832" spans="2:13" x14ac:dyDescent="0.3">
      <c r="B1832" s="178"/>
      <c r="C1832" s="41"/>
      <c r="D1832" s="180"/>
      <c r="E1832" s="181"/>
      <c r="F1832" s="182"/>
      <c r="G1832" s="1" t="str">
        <f>IFERROR(IF(ventas_b_mes1255[[#This Row],[CUIT]]="","-",VLOOKUP(ventas_b_mes1255[[#This Row],[CUIT]],Lista_CUIT[#All],2,0)),"CUIT NO CARGADO")</f>
        <v>-</v>
      </c>
      <c r="H1832" s="100">
        <f>ventas_b_mes1255[[#This Row],[TOTAL]]/1.21</f>
        <v>0</v>
      </c>
      <c r="I1832" s="64">
        <f>ventas_b_mes1255[[#This Row],[IMPORTE NETO]]*0.21</f>
        <v>0</v>
      </c>
      <c r="J1832" s="184"/>
      <c r="K1832" s="184"/>
      <c r="L1832" s="184"/>
      <c r="M1832" s="59"/>
    </row>
    <row r="1833" spans="2:13" x14ac:dyDescent="0.3">
      <c r="B1833" s="178"/>
      <c r="C1833" s="41"/>
      <c r="D1833" s="180"/>
      <c r="E1833" s="181"/>
      <c r="F1833" s="182"/>
      <c r="G1833" s="1" t="str">
        <f>IFERROR(IF(ventas_b_mes1255[[#This Row],[CUIT]]="","-",VLOOKUP(ventas_b_mes1255[[#This Row],[CUIT]],Lista_CUIT[#All],2,0)),"CUIT NO CARGADO")</f>
        <v>-</v>
      </c>
      <c r="H1833" s="100">
        <f>ventas_b_mes1255[[#This Row],[TOTAL]]/1.21</f>
        <v>0</v>
      </c>
      <c r="I1833" s="64">
        <f>ventas_b_mes1255[[#This Row],[IMPORTE NETO]]*0.21</f>
        <v>0</v>
      </c>
      <c r="J1833" s="184"/>
      <c r="K1833" s="184"/>
      <c r="L1833" s="184"/>
      <c r="M1833" s="59"/>
    </row>
    <row r="1834" spans="2:13" x14ac:dyDescent="0.3">
      <c r="B1834" s="178"/>
      <c r="C1834" s="41"/>
      <c r="D1834" s="180"/>
      <c r="E1834" s="181"/>
      <c r="F1834" s="182"/>
      <c r="G1834" s="1" t="str">
        <f>IFERROR(IF(ventas_b_mes1255[[#This Row],[CUIT]]="","-",VLOOKUP(ventas_b_mes1255[[#This Row],[CUIT]],Lista_CUIT[#All],2,0)),"CUIT NO CARGADO")</f>
        <v>-</v>
      </c>
      <c r="H1834" s="100">
        <f>ventas_b_mes1255[[#This Row],[TOTAL]]/1.21</f>
        <v>0</v>
      </c>
      <c r="I1834" s="64">
        <f>ventas_b_mes1255[[#This Row],[IMPORTE NETO]]*0.21</f>
        <v>0</v>
      </c>
      <c r="J1834" s="184"/>
      <c r="K1834" s="184"/>
      <c r="L1834" s="184"/>
      <c r="M1834" s="59"/>
    </row>
    <row r="1835" spans="2:13" x14ac:dyDescent="0.3">
      <c r="B1835" s="178"/>
      <c r="C1835" s="41"/>
      <c r="D1835" s="180"/>
      <c r="E1835" s="181"/>
      <c r="F1835" s="182"/>
      <c r="G1835" s="1" t="str">
        <f>IFERROR(IF(ventas_b_mes1255[[#This Row],[CUIT]]="","-",VLOOKUP(ventas_b_mes1255[[#This Row],[CUIT]],Lista_CUIT[#All],2,0)),"CUIT NO CARGADO")</f>
        <v>-</v>
      </c>
      <c r="H1835" s="100">
        <f>ventas_b_mes1255[[#This Row],[TOTAL]]/1.21</f>
        <v>0</v>
      </c>
      <c r="I1835" s="64">
        <f>ventas_b_mes1255[[#This Row],[IMPORTE NETO]]*0.21</f>
        <v>0</v>
      </c>
      <c r="J1835" s="184"/>
      <c r="K1835" s="184"/>
      <c r="L1835" s="184"/>
      <c r="M1835" s="59"/>
    </row>
    <row r="1836" spans="2:13" x14ac:dyDescent="0.3">
      <c r="B1836" s="178"/>
      <c r="C1836" s="41"/>
      <c r="D1836" s="180"/>
      <c r="E1836" s="181"/>
      <c r="F1836" s="182"/>
      <c r="G1836" s="1" t="str">
        <f>IFERROR(IF(ventas_b_mes1255[[#This Row],[CUIT]]="","-",VLOOKUP(ventas_b_mes1255[[#This Row],[CUIT]],Lista_CUIT[#All],2,0)),"CUIT NO CARGADO")</f>
        <v>-</v>
      </c>
      <c r="H1836" s="100">
        <f>ventas_b_mes1255[[#This Row],[TOTAL]]/1.21</f>
        <v>0</v>
      </c>
      <c r="I1836" s="64">
        <f>ventas_b_mes1255[[#This Row],[IMPORTE NETO]]*0.21</f>
        <v>0</v>
      </c>
      <c r="J1836" s="184"/>
      <c r="K1836" s="184"/>
      <c r="L1836" s="184"/>
      <c r="M1836" s="59"/>
    </row>
    <row r="1837" spans="2:13" x14ac:dyDescent="0.3">
      <c r="B1837" s="178"/>
      <c r="C1837" s="41"/>
      <c r="D1837" s="180"/>
      <c r="E1837" s="181"/>
      <c r="F1837" s="182"/>
      <c r="G1837" s="1" t="str">
        <f>IFERROR(IF(ventas_b_mes1255[[#This Row],[CUIT]]="","-",VLOOKUP(ventas_b_mes1255[[#This Row],[CUIT]],Lista_CUIT[#All],2,0)),"CUIT NO CARGADO")</f>
        <v>-</v>
      </c>
      <c r="H1837" s="100">
        <f>ventas_b_mes1255[[#This Row],[TOTAL]]/1.21</f>
        <v>0</v>
      </c>
      <c r="I1837" s="64">
        <f>ventas_b_mes1255[[#This Row],[IMPORTE NETO]]*0.21</f>
        <v>0</v>
      </c>
      <c r="J1837" s="184"/>
      <c r="K1837" s="184"/>
      <c r="L1837" s="184"/>
      <c r="M1837" s="59"/>
    </row>
    <row r="1838" spans="2:13" x14ac:dyDescent="0.3">
      <c r="B1838" s="178"/>
      <c r="C1838" s="41"/>
      <c r="D1838" s="180"/>
      <c r="E1838" s="181"/>
      <c r="F1838" s="182"/>
      <c r="G1838" s="1" t="str">
        <f>IFERROR(IF(ventas_b_mes1255[[#This Row],[CUIT]]="","-",VLOOKUP(ventas_b_mes1255[[#This Row],[CUIT]],Lista_CUIT[#All],2,0)),"CUIT NO CARGADO")</f>
        <v>-</v>
      </c>
      <c r="H1838" s="100">
        <f>ventas_b_mes1255[[#This Row],[TOTAL]]/1.21</f>
        <v>0</v>
      </c>
      <c r="I1838" s="64">
        <f>ventas_b_mes1255[[#This Row],[IMPORTE NETO]]*0.21</f>
        <v>0</v>
      </c>
      <c r="J1838" s="184"/>
      <c r="K1838" s="184"/>
      <c r="L1838" s="184"/>
      <c r="M1838" s="59"/>
    </row>
    <row r="1839" spans="2:13" x14ac:dyDescent="0.3">
      <c r="B1839" s="178"/>
      <c r="C1839" s="41"/>
      <c r="D1839" s="180"/>
      <c r="E1839" s="181"/>
      <c r="F1839" s="182"/>
      <c r="G1839" s="1" t="str">
        <f>IFERROR(IF(ventas_b_mes1255[[#This Row],[CUIT]]="","-",VLOOKUP(ventas_b_mes1255[[#This Row],[CUIT]],Lista_CUIT[#All],2,0)),"CUIT NO CARGADO")</f>
        <v>-</v>
      </c>
      <c r="H1839" s="100">
        <f>ventas_b_mes1255[[#This Row],[TOTAL]]/1.21</f>
        <v>0</v>
      </c>
      <c r="I1839" s="64">
        <f>ventas_b_mes1255[[#This Row],[IMPORTE NETO]]*0.21</f>
        <v>0</v>
      </c>
      <c r="J1839" s="184"/>
      <c r="K1839" s="184"/>
      <c r="L1839" s="184"/>
      <c r="M1839" s="59"/>
    </row>
    <row r="1840" spans="2:13" x14ac:dyDescent="0.3">
      <c r="B1840" s="178"/>
      <c r="C1840" s="41"/>
      <c r="D1840" s="180"/>
      <c r="E1840" s="181"/>
      <c r="F1840" s="182"/>
      <c r="G1840" s="1" t="str">
        <f>IFERROR(IF(ventas_b_mes1255[[#This Row],[CUIT]]="","-",VLOOKUP(ventas_b_mes1255[[#This Row],[CUIT]],Lista_CUIT[#All],2,0)),"CUIT NO CARGADO")</f>
        <v>-</v>
      </c>
      <c r="H1840" s="100">
        <f>ventas_b_mes1255[[#This Row],[TOTAL]]/1.21</f>
        <v>0</v>
      </c>
      <c r="I1840" s="64">
        <f>ventas_b_mes1255[[#This Row],[IMPORTE NETO]]*0.21</f>
        <v>0</v>
      </c>
      <c r="J1840" s="184"/>
      <c r="K1840" s="184"/>
      <c r="L1840" s="184"/>
      <c r="M1840" s="59"/>
    </row>
    <row r="1841" spans="2:13" x14ac:dyDescent="0.3">
      <c r="B1841" s="178"/>
      <c r="C1841" s="41"/>
      <c r="D1841" s="180"/>
      <c r="E1841" s="181"/>
      <c r="F1841" s="182"/>
      <c r="G1841" s="1" t="str">
        <f>IFERROR(IF(ventas_b_mes1255[[#This Row],[CUIT]]="","-",VLOOKUP(ventas_b_mes1255[[#This Row],[CUIT]],Lista_CUIT[#All],2,0)),"CUIT NO CARGADO")</f>
        <v>-</v>
      </c>
      <c r="H1841" s="100">
        <f>ventas_b_mes1255[[#This Row],[TOTAL]]/1.21</f>
        <v>0</v>
      </c>
      <c r="I1841" s="64">
        <f>ventas_b_mes1255[[#This Row],[IMPORTE NETO]]*0.21</f>
        <v>0</v>
      </c>
      <c r="J1841" s="184"/>
      <c r="K1841" s="184"/>
      <c r="L1841" s="184"/>
      <c r="M1841" s="59"/>
    </row>
    <row r="1842" spans="2:13" x14ac:dyDescent="0.3">
      <c r="B1842" s="178"/>
      <c r="C1842" s="41"/>
      <c r="D1842" s="180"/>
      <c r="E1842" s="181"/>
      <c r="F1842" s="182"/>
      <c r="G1842" s="1" t="str">
        <f>IFERROR(IF(ventas_b_mes1255[[#This Row],[CUIT]]="","-",VLOOKUP(ventas_b_mes1255[[#This Row],[CUIT]],Lista_CUIT[#All],2,0)),"CUIT NO CARGADO")</f>
        <v>-</v>
      </c>
      <c r="H1842" s="100">
        <f>ventas_b_mes1255[[#This Row],[TOTAL]]/1.21</f>
        <v>0</v>
      </c>
      <c r="I1842" s="64">
        <f>ventas_b_mes1255[[#This Row],[IMPORTE NETO]]*0.21</f>
        <v>0</v>
      </c>
      <c r="J1842" s="184"/>
      <c r="K1842" s="184"/>
      <c r="L1842" s="184"/>
      <c r="M1842" s="59"/>
    </row>
    <row r="1843" spans="2:13" x14ac:dyDescent="0.3">
      <c r="B1843" s="178"/>
      <c r="C1843" s="41"/>
      <c r="D1843" s="180"/>
      <c r="E1843" s="181"/>
      <c r="F1843" s="182"/>
      <c r="G1843" s="1" t="str">
        <f>IFERROR(IF(ventas_b_mes1255[[#This Row],[CUIT]]="","-",VLOOKUP(ventas_b_mes1255[[#This Row],[CUIT]],Lista_CUIT[#All],2,0)),"CUIT NO CARGADO")</f>
        <v>-</v>
      </c>
      <c r="H1843" s="100">
        <f>ventas_b_mes1255[[#This Row],[TOTAL]]/1.21</f>
        <v>0</v>
      </c>
      <c r="I1843" s="64">
        <f>ventas_b_mes1255[[#This Row],[IMPORTE NETO]]*0.21</f>
        <v>0</v>
      </c>
      <c r="J1843" s="184"/>
      <c r="K1843" s="184"/>
      <c r="L1843" s="184"/>
      <c r="M1843" s="59"/>
    </row>
    <row r="1844" spans="2:13" x14ac:dyDescent="0.3">
      <c r="B1844" s="178"/>
      <c r="C1844" s="41"/>
      <c r="D1844" s="180"/>
      <c r="E1844" s="181"/>
      <c r="F1844" s="182"/>
      <c r="G1844" s="1" t="str">
        <f>IFERROR(IF(ventas_b_mes1255[[#This Row],[CUIT]]="","-",VLOOKUP(ventas_b_mes1255[[#This Row],[CUIT]],Lista_CUIT[#All],2,0)),"CUIT NO CARGADO")</f>
        <v>-</v>
      </c>
      <c r="H1844" s="100">
        <f>ventas_b_mes1255[[#This Row],[TOTAL]]/1.21</f>
        <v>0</v>
      </c>
      <c r="I1844" s="64">
        <f>ventas_b_mes1255[[#This Row],[IMPORTE NETO]]*0.21</f>
        <v>0</v>
      </c>
      <c r="J1844" s="184"/>
      <c r="K1844" s="184"/>
      <c r="L1844" s="184"/>
      <c r="M1844" s="59"/>
    </row>
    <row r="1845" spans="2:13" x14ac:dyDescent="0.3">
      <c r="B1845" s="178"/>
      <c r="C1845" s="41"/>
      <c r="D1845" s="180"/>
      <c r="E1845" s="181"/>
      <c r="F1845" s="182"/>
      <c r="G1845" s="1" t="str">
        <f>IFERROR(IF(ventas_b_mes1255[[#This Row],[CUIT]]="","-",VLOOKUP(ventas_b_mes1255[[#This Row],[CUIT]],Lista_CUIT[#All],2,0)),"CUIT NO CARGADO")</f>
        <v>-</v>
      </c>
      <c r="H1845" s="100">
        <f>ventas_b_mes1255[[#This Row],[TOTAL]]/1.21</f>
        <v>0</v>
      </c>
      <c r="I1845" s="64">
        <f>ventas_b_mes1255[[#This Row],[IMPORTE NETO]]*0.21</f>
        <v>0</v>
      </c>
      <c r="J1845" s="184"/>
      <c r="K1845" s="184"/>
      <c r="L1845" s="184"/>
      <c r="M1845" s="59"/>
    </row>
    <row r="1846" spans="2:13" x14ac:dyDescent="0.3">
      <c r="B1846" s="178"/>
      <c r="C1846" s="41"/>
      <c r="D1846" s="180"/>
      <c r="E1846" s="181"/>
      <c r="F1846" s="182"/>
      <c r="G1846" s="1" t="str">
        <f>IFERROR(IF(ventas_b_mes1255[[#This Row],[CUIT]]="","-",VLOOKUP(ventas_b_mes1255[[#This Row],[CUIT]],Lista_CUIT[#All],2,0)),"CUIT NO CARGADO")</f>
        <v>-</v>
      </c>
      <c r="H1846" s="100">
        <f>ventas_b_mes1255[[#This Row],[TOTAL]]/1.21</f>
        <v>0</v>
      </c>
      <c r="I1846" s="64">
        <f>ventas_b_mes1255[[#This Row],[IMPORTE NETO]]*0.21</f>
        <v>0</v>
      </c>
      <c r="J1846" s="184"/>
      <c r="K1846" s="184"/>
      <c r="L1846" s="184"/>
      <c r="M1846" s="59"/>
    </row>
    <row r="1847" spans="2:13" x14ac:dyDescent="0.3">
      <c r="B1847" s="178"/>
      <c r="C1847" s="41"/>
      <c r="D1847" s="180"/>
      <c r="E1847" s="181"/>
      <c r="F1847" s="182"/>
      <c r="G1847" s="1" t="str">
        <f>IFERROR(IF(ventas_b_mes1255[[#This Row],[CUIT]]="","-",VLOOKUP(ventas_b_mes1255[[#This Row],[CUIT]],Lista_CUIT[#All],2,0)),"CUIT NO CARGADO")</f>
        <v>-</v>
      </c>
      <c r="H1847" s="100">
        <f>ventas_b_mes1255[[#This Row],[TOTAL]]/1.21</f>
        <v>0</v>
      </c>
      <c r="I1847" s="64">
        <f>ventas_b_mes1255[[#This Row],[IMPORTE NETO]]*0.21</f>
        <v>0</v>
      </c>
      <c r="J1847" s="184"/>
      <c r="K1847" s="184"/>
      <c r="L1847" s="184"/>
      <c r="M1847" s="59"/>
    </row>
    <row r="1848" spans="2:13" x14ac:dyDescent="0.3">
      <c r="B1848" s="178"/>
      <c r="C1848" s="41"/>
      <c r="D1848" s="180"/>
      <c r="E1848" s="181"/>
      <c r="F1848" s="182"/>
      <c r="G1848" s="1" t="str">
        <f>IFERROR(IF(ventas_b_mes1255[[#This Row],[CUIT]]="","-",VLOOKUP(ventas_b_mes1255[[#This Row],[CUIT]],Lista_CUIT[#All],2,0)),"CUIT NO CARGADO")</f>
        <v>-</v>
      </c>
      <c r="H1848" s="100">
        <f>ventas_b_mes1255[[#This Row],[TOTAL]]/1.21</f>
        <v>0</v>
      </c>
      <c r="I1848" s="64">
        <f>ventas_b_mes1255[[#This Row],[IMPORTE NETO]]*0.21</f>
        <v>0</v>
      </c>
      <c r="J1848" s="184"/>
      <c r="K1848" s="184"/>
      <c r="L1848" s="184"/>
      <c r="M1848" s="59"/>
    </row>
    <row r="1849" spans="2:13" x14ac:dyDescent="0.3">
      <c r="B1849" s="178"/>
      <c r="C1849" s="41"/>
      <c r="D1849" s="180"/>
      <c r="E1849" s="181"/>
      <c r="F1849" s="182"/>
      <c r="G1849" s="1" t="str">
        <f>IFERROR(IF(ventas_b_mes1255[[#This Row],[CUIT]]="","-",VLOOKUP(ventas_b_mes1255[[#This Row],[CUIT]],Lista_CUIT[#All],2,0)),"CUIT NO CARGADO")</f>
        <v>-</v>
      </c>
      <c r="H1849" s="100">
        <f>ventas_b_mes1255[[#This Row],[TOTAL]]/1.21</f>
        <v>0</v>
      </c>
      <c r="I1849" s="64">
        <f>ventas_b_mes1255[[#This Row],[IMPORTE NETO]]*0.21</f>
        <v>0</v>
      </c>
      <c r="J1849" s="184"/>
      <c r="K1849" s="184"/>
      <c r="L1849" s="184"/>
      <c r="M1849" s="59"/>
    </row>
    <row r="1850" spans="2:13" x14ac:dyDescent="0.3">
      <c r="B1850" s="178"/>
      <c r="C1850" s="41"/>
      <c r="D1850" s="180"/>
      <c r="E1850" s="181"/>
      <c r="F1850" s="182"/>
      <c r="G1850" s="1" t="str">
        <f>IFERROR(IF(ventas_b_mes1255[[#This Row],[CUIT]]="","-",VLOOKUP(ventas_b_mes1255[[#This Row],[CUIT]],Lista_CUIT[#All],2,0)),"CUIT NO CARGADO")</f>
        <v>-</v>
      </c>
      <c r="H1850" s="100">
        <f>ventas_b_mes1255[[#This Row],[TOTAL]]/1.21</f>
        <v>0</v>
      </c>
      <c r="I1850" s="64">
        <f>ventas_b_mes1255[[#This Row],[IMPORTE NETO]]*0.21</f>
        <v>0</v>
      </c>
      <c r="J1850" s="184"/>
      <c r="K1850" s="184"/>
      <c r="L1850" s="184"/>
      <c r="M1850" s="59"/>
    </row>
    <row r="1851" spans="2:13" x14ac:dyDescent="0.3">
      <c r="B1851" s="178"/>
      <c r="C1851" s="41"/>
      <c r="D1851" s="180"/>
      <c r="E1851" s="181"/>
      <c r="F1851" s="182"/>
      <c r="G1851" s="1" t="str">
        <f>IFERROR(IF(ventas_b_mes1255[[#This Row],[CUIT]]="","-",VLOOKUP(ventas_b_mes1255[[#This Row],[CUIT]],Lista_CUIT[#All],2,0)),"CUIT NO CARGADO")</f>
        <v>-</v>
      </c>
      <c r="H1851" s="100">
        <f>ventas_b_mes1255[[#This Row],[TOTAL]]/1.21</f>
        <v>0</v>
      </c>
      <c r="I1851" s="64">
        <f>ventas_b_mes1255[[#This Row],[IMPORTE NETO]]*0.21</f>
        <v>0</v>
      </c>
      <c r="J1851" s="184"/>
      <c r="K1851" s="184"/>
      <c r="L1851" s="184"/>
      <c r="M1851" s="59"/>
    </row>
    <row r="1852" spans="2:13" x14ac:dyDescent="0.3">
      <c r="B1852" s="178"/>
      <c r="C1852" s="41"/>
      <c r="D1852" s="180"/>
      <c r="E1852" s="181"/>
      <c r="F1852" s="182"/>
      <c r="G1852" s="1" t="str">
        <f>IFERROR(IF(ventas_b_mes1255[[#This Row],[CUIT]]="","-",VLOOKUP(ventas_b_mes1255[[#This Row],[CUIT]],Lista_CUIT[#All],2,0)),"CUIT NO CARGADO")</f>
        <v>-</v>
      </c>
      <c r="H1852" s="100">
        <f>ventas_b_mes1255[[#This Row],[TOTAL]]/1.21</f>
        <v>0</v>
      </c>
      <c r="I1852" s="64">
        <f>ventas_b_mes1255[[#This Row],[IMPORTE NETO]]*0.21</f>
        <v>0</v>
      </c>
      <c r="J1852" s="184"/>
      <c r="K1852" s="184"/>
      <c r="L1852" s="184"/>
      <c r="M1852" s="59"/>
    </row>
    <row r="1853" spans="2:13" x14ac:dyDescent="0.3">
      <c r="B1853" s="178"/>
      <c r="C1853" s="41"/>
      <c r="D1853" s="180"/>
      <c r="E1853" s="181"/>
      <c r="F1853" s="182"/>
      <c r="G1853" s="1" t="str">
        <f>IFERROR(IF(ventas_b_mes1255[[#This Row],[CUIT]]="","-",VLOOKUP(ventas_b_mes1255[[#This Row],[CUIT]],Lista_CUIT[#All],2,0)),"CUIT NO CARGADO")</f>
        <v>-</v>
      </c>
      <c r="H1853" s="100">
        <f>ventas_b_mes1255[[#This Row],[TOTAL]]/1.21</f>
        <v>0</v>
      </c>
      <c r="I1853" s="64">
        <f>ventas_b_mes1255[[#This Row],[IMPORTE NETO]]*0.21</f>
        <v>0</v>
      </c>
      <c r="J1853" s="184"/>
      <c r="K1853" s="184"/>
      <c r="L1853" s="184"/>
      <c r="M1853" s="59"/>
    </row>
    <row r="1854" spans="2:13" x14ac:dyDescent="0.3">
      <c r="B1854" s="178"/>
      <c r="C1854" s="41"/>
      <c r="D1854" s="180"/>
      <c r="E1854" s="181"/>
      <c r="F1854" s="182"/>
      <c r="G1854" s="1" t="str">
        <f>IFERROR(IF(ventas_b_mes1255[[#This Row],[CUIT]]="","-",VLOOKUP(ventas_b_mes1255[[#This Row],[CUIT]],Lista_CUIT[#All],2,0)),"CUIT NO CARGADO")</f>
        <v>-</v>
      </c>
      <c r="H1854" s="100">
        <f>ventas_b_mes1255[[#This Row],[TOTAL]]/1.21</f>
        <v>0</v>
      </c>
      <c r="I1854" s="64">
        <f>ventas_b_mes1255[[#This Row],[IMPORTE NETO]]*0.21</f>
        <v>0</v>
      </c>
      <c r="J1854" s="184"/>
      <c r="K1854" s="184"/>
      <c r="L1854" s="184"/>
      <c r="M1854" s="59"/>
    </row>
    <row r="1855" spans="2:13" x14ac:dyDescent="0.3">
      <c r="B1855" s="178"/>
      <c r="C1855" s="41"/>
      <c r="D1855" s="180"/>
      <c r="E1855" s="181"/>
      <c r="F1855" s="182"/>
      <c r="G1855" s="1" t="str">
        <f>IFERROR(IF(ventas_b_mes1255[[#This Row],[CUIT]]="","-",VLOOKUP(ventas_b_mes1255[[#This Row],[CUIT]],Lista_CUIT[#All],2,0)),"CUIT NO CARGADO")</f>
        <v>-</v>
      </c>
      <c r="H1855" s="100">
        <f>ventas_b_mes1255[[#This Row],[TOTAL]]/1.21</f>
        <v>0</v>
      </c>
      <c r="I1855" s="64">
        <f>ventas_b_mes1255[[#This Row],[IMPORTE NETO]]*0.21</f>
        <v>0</v>
      </c>
      <c r="J1855" s="184"/>
      <c r="K1855" s="184"/>
      <c r="L1855" s="184"/>
      <c r="M1855" s="59"/>
    </row>
    <row r="1856" spans="2:13" x14ac:dyDescent="0.3">
      <c r="B1856" s="178"/>
      <c r="C1856" s="41"/>
      <c r="D1856" s="180"/>
      <c r="E1856" s="181"/>
      <c r="F1856" s="182"/>
      <c r="G1856" s="1" t="str">
        <f>IFERROR(IF(ventas_b_mes1255[[#This Row],[CUIT]]="","-",VLOOKUP(ventas_b_mes1255[[#This Row],[CUIT]],Lista_CUIT[#All],2,0)),"CUIT NO CARGADO")</f>
        <v>-</v>
      </c>
      <c r="H1856" s="100">
        <f>ventas_b_mes1255[[#This Row],[TOTAL]]/1.21</f>
        <v>0</v>
      </c>
      <c r="I1856" s="64">
        <f>ventas_b_mes1255[[#This Row],[IMPORTE NETO]]*0.21</f>
        <v>0</v>
      </c>
      <c r="J1856" s="184"/>
      <c r="K1856" s="184"/>
      <c r="L1856" s="184"/>
      <c r="M1856" s="59"/>
    </row>
    <row r="1857" spans="2:13" x14ac:dyDescent="0.3">
      <c r="B1857" s="178"/>
      <c r="C1857" s="41"/>
      <c r="D1857" s="180"/>
      <c r="E1857" s="181"/>
      <c r="F1857" s="182"/>
      <c r="G1857" s="1" t="str">
        <f>IFERROR(IF(ventas_b_mes1255[[#This Row],[CUIT]]="","-",VLOOKUP(ventas_b_mes1255[[#This Row],[CUIT]],Lista_CUIT[#All],2,0)),"CUIT NO CARGADO")</f>
        <v>-</v>
      </c>
      <c r="H1857" s="100">
        <f>ventas_b_mes1255[[#This Row],[TOTAL]]/1.21</f>
        <v>0</v>
      </c>
      <c r="I1857" s="64">
        <f>ventas_b_mes1255[[#This Row],[IMPORTE NETO]]*0.21</f>
        <v>0</v>
      </c>
      <c r="J1857" s="184"/>
      <c r="K1857" s="184"/>
      <c r="L1857" s="184"/>
      <c r="M1857" s="59"/>
    </row>
    <row r="1858" spans="2:13" x14ac:dyDescent="0.3">
      <c r="B1858" s="178"/>
      <c r="C1858" s="41"/>
      <c r="D1858" s="180"/>
      <c r="E1858" s="181"/>
      <c r="F1858" s="182"/>
      <c r="G1858" s="1" t="str">
        <f>IFERROR(IF(ventas_b_mes1255[[#This Row],[CUIT]]="","-",VLOOKUP(ventas_b_mes1255[[#This Row],[CUIT]],Lista_CUIT[#All],2,0)),"CUIT NO CARGADO")</f>
        <v>-</v>
      </c>
      <c r="H1858" s="100">
        <f>ventas_b_mes1255[[#This Row],[TOTAL]]/1.21</f>
        <v>0</v>
      </c>
      <c r="I1858" s="64">
        <f>ventas_b_mes1255[[#This Row],[IMPORTE NETO]]*0.21</f>
        <v>0</v>
      </c>
      <c r="J1858" s="184"/>
      <c r="K1858" s="184"/>
      <c r="L1858" s="184"/>
      <c r="M1858" s="59"/>
    </row>
    <row r="1859" spans="2:13" x14ac:dyDescent="0.3">
      <c r="B1859" s="178"/>
      <c r="C1859" s="41"/>
      <c r="D1859" s="180"/>
      <c r="E1859" s="181"/>
      <c r="F1859" s="182"/>
      <c r="G1859" s="1" t="str">
        <f>IFERROR(IF(ventas_b_mes1255[[#This Row],[CUIT]]="","-",VLOOKUP(ventas_b_mes1255[[#This Row],[CUIT]],Lista_CUIT[#All],2,0)),"CUIT NO CARGADO")</f>
        <v>-</v>
      </c>
      <c r="H1859" s="100">
        <f>ventas_b_mes1255[[#This Row],[TOTAL]]/1.21</f>
        <v>0</v>
      </c>
      <c r="I1859" s="64">
        <f>ventas_b_mes1255[[#This Row],[IMPORTE NETO]]*0.21</f>
        <v>0</v>
      </c>
      <c r="J1859" s="184"/>
      <c r="K1859" s="184"/>
      <c r="L1859" s="184"/>
      <c r="M1859" s="59"/>
    </row>
    <row r="1860" spans="2:13" x14ac:dyDescent="0.3">
      <c r="B1860" s="178"/>
      <c r="C1860" s="41"/>
      <c r="D1860" s="180"/>
      <c r="E1860" s="181"/>
      <c r="F1860" s="182"/>
      <c r="G1860" s="1" t="str">
        <f>IFERROR(IF(ventas_b_mes1255[[#This Row],[CUIT]]="","-",VLOOKUP(ventas_b_mes1255[[#This Row],[CUIT]],Lista_CUIT[#All],2,0)),"CUIT NO CARGADO")</f>
        <v>-</v>
      </c>
      <c r="H1860" s="100">
        <f>ventas_b_mes1255[[#This Row],[TOTAL]]/1.21</f>
        <v>0</v>
      </c>
      <c r="I1860" s="64">
        <f>ventas_b_mes1255[[#This Row],[IMPORTE NETO]]*0.21</f>
        <v>0</v>
      </c>
      <c r="J1860" s="184"/>
      <c r="K1860" s="184"/>
      <c r="L1860" s="184"/>
      <c r="M1860" s="59"/>
    </row>
    <row r="1861" spans="2:13" x14ac:dyDescent="0.3">
      <c r="B1861" s="178"/>
      <c r="C1861" s="41"/>
      <c r="D1861" s="180"/>
      <c r="E1861" s="181"/>
      <c r="F1861" s="182"/>
      <c r="G1861" s="1" t="str">
        <f>IFERROR(IF(ventas_b_mes1255[[#This Row],[CUIT]]="","-",VLOOKUP(ventas_b_mes1255[[#This Row],[CUIT]],Lista_CUIT[#All],2,0)),"CUIT NO CARGADO")</f>
        <v>-</v>
      </c>
      <c r="H1861" s="100">
        <f>ventas_b_mes1255[[#This Row],[TOTAL]]/1.21</f>
        <v>0</v>
      </c>
      <c r="I1861" s="64">
        <f>ventas_b_mes1255[[#This Row],[IMPORTE NETO]]*0.21</f>
        <v>0</v>
      </c>
      <c r="J1861" s="184"/>
      <c r="K1861" s="184"/>
      <c r="L1861" s="184"/>
      <c r="M1861" s="59"/>
    </row>
    <row r="1862" spans="2:13" x14ac:dyDescent="0.3">
      <c r="B1862" s="178"/>
      <c r="C1862" s="41"/>
      <c r="D1862" s="180"/>
      <c r="E1862" s="181"/>
      <c r="F1862" s="182"/>
      <c r="G1862" s="1" t="str">
        <f>IFERROR(IF(ventas_b_mes1255[[#This Row],[CUIT]]="","-",VLOOKUP(ventas_b_mes1255[[#This Row],[CUIT]],Lista_CUIT[#All],2,0)),"CUIT NO CARGADO")</f>
        <v>-</v>
      </c>
      <c r="H1862" s="100">
        <f>ventas_b_mes1255[[#This Row],[TOTAL]]/1.21</f>
        <v>0</v>
      </c>
      <c r="I1862" s="64">
        <f>ventas_b_mes1255[[#This Row],[IMPORTE NETO]]*0.21</f>
        <v>0</v>
      </c>
      <c r="J1862" s="184"/>
      <c r="K1862" s="184"/>
      <c r="L1862" s="184"/>
      <c r="M1862" s="59"/>
    </row>
    <row r="1863" spans="2:13" x14ac:dyDescent="0.3">
      <c r="B1863" s="178"/>
      <c r="C1863" s="41"/>
      <c r="D1863" s="180"/>
      <c r="E1863" s="181"/>
      <c r="F1863" s="182"/>
      <c r="G1863" s="1" t="str">
        <f>IFERROR(IF(ventas_b_mes1255[[#This Row],[CUIT]]="","-",VLOOKUP(ventas_b_mes1255[[#This Row],[CUIT]],Lista_CUIT[#All],2,0)),"CUIT NO CARGADO")</f>
        <v>-</v>
      </c>
      <c r="H1863" s="100">
        <f>ventas_b_mes1255[[#This Row],[TOTAL]]/1.21</f>
        <v>0</v>
      </c>
      <c r="I1863" s="64">
        <f>ventas_b_mes1255[[#This Row],[IMPORTE NETO]]*0.21</f>
        <v>0</v>
      </c>
      <c r="J1863" s="184"/>
      <c r="K1863" s="184"/>
      <c r="L1863" s="184"/>
      <c r="M1863" s="59"/>
    </row>
    <row r="1864" spans="2:13" x14ac:dyDescent="0.3">
      <c r="B1864" s="178"/>
      <c r="C1864" s="41"/>
      <c r="D1864" s="180"/>
      <c r="E1864" s="181"/>
      <c r="F1864" s="182"/>
      <c r="G1864" s="1" t="str">
        <f>IFERROR(IF(ventas_b_mes1255[[#This Row],[CUIT]]="","-",VLOOKUP(ventas_b_mes1255[[#This Row],[CUIT]],Lista_CUIT[#All],2,0)),"CUIT NO CARGADO")</f>
        <v>-</v>
      </c>
      <c r="H1864" s="100">
        <f>ventas_b_mes1255[[#This Row],[TOTAL]]/1.21</f>
        <v>0</v>
      </c>
      <c r="I1864" s="64">
        <f>ventas_b_mes1255[[#This Row],[IMPORTE NETO]]*0.21</f>
        <v>0</v>
      </c>
      <c r="J1864" s="184"/>
      <c r="K1864" s="184"/>
      <c r="L1864" s="184"/>
      <c r="M1864" s="59"/>
    </row>
    <row r="1865" spans="2:13" x14ac:dyDescent="0.3">
      <c r="B1865" s="178"/>
      <c r="C1865" s="41"/>
      <c r="D1865" s="180"/>
      <c r="E1865" s="181"/>
      <c r="F1865" s="182"/>
      <c r="G1865" s="1" t="str">
        <f>IFERROR(IF(ventas_b_mes1255[[#This Row],[CUIT]]="","-",VLOOKUP(ventas_b_mes1255[[#This Row],[CUIT]],Lista_CUIT[#All],2,0)),"CUIT NO CARGADO")</f>
        <v>-</v>
      </c>
      <c r="H1865" s="100">
        <f>ventas_b_mes1255[[#This Row],[TOTAL]]/1.21</f>
        <v>0</v>
      </c>
      <c r="I1865" s="64">
        <f>ventas_b_mes1255[[#This Row],[IMPORTE NETO]]*0.21</f>
        <v>0</v>
      </c>
      <c r="J1865" s="184"/>
      <c r="K1865" s="184"/>
      <c r="L1865" s="184"/>
      <c r="M1865" s="59"/>
    </row>
    <row r="1866" spans="2:13" x14ac:dyDescent="0.3">
      <c r="B1866" s="178"/>
      <c r="C1866" s="41"/>
      <c r="D1866" s="180"/>
      <c r="E1866" s="181"/>
      <c r="F1866" s="182"/>
      <c r="G1866" s="1" t="str">
        <f>IFERROR(IF(ventas_b_mes1255[[#This Row],[CUIT]]="","-",VLOOKUP(ventas_b_mes1255[[#This Row],[CUIT]],Lista_CUIT[#All],2,0)),"CUIT NO CARGADO")</f>
        <v>-</v>
      </c>
      <c r="H1866" s="100">
        <f>ventas_b_mes1255[[#This Row],[TOTAL]]/1.21</f>
        <v>0</v>
      </c>
      <c r="I1866" s="64">
        <f>ventas_b_mes1255[[#This Row],[IMPORTE NETO]]*0.21</f>
        <v>0</v>
      </c>
      <c r="J1866" s="184"/>
      <c r="K1866" s="184"/>
      <c r="L1866" s="184"/>
      <c r="M1866" s="59"/>
    </row>
    <row r="1867" spans="2:13" x14ac:dyDescent="0.3">
      <c r="B1867" s="178"/>
      <c r="C1867" s="41"/>
      <c r="D1867" s="180"/>
      <c r="E1867" s="181"/>
      <c r="F1867" s="182"/>
      <c r="G1867" s="1" t="str">
        <f>IFERROR(IF(ventas_b_mes1255[[#This Row],[CUIT]]="","-",VLOOKUP(ventas_b_mes1255[[#This Row],[CUIT]],Lista_CUIT[#All],2,0)),"CUIT NO CARGADO")</f>
        <v>-</v>
      </c>
      <c r="H1867" s="100">
        <f>ventas_b_mes1255[[#This Row],[TOTAL]]/1.21</f>
        <v>0</v>
      </c>
      <c r="I1867" s="64">
        <f>ventas_b_mes1255[[#This Row],[IMPORTE NETO]]*0.21</f>
        <v>0</v>
      </c>
      <c r="J1867" s="184"/>
      <c r="K1867" s="184"/>
      <c r="L1867" s="184"/>
      <c r="M1867" s="59"/>
    </row>
    <row r="1868" spans="2:13" x14ac:dyDescent="0.3">
      <c r="B1868" s="178"/>
      <c r="C1868" s="41"/>
      <c r="D1868" s="180"/>
      <c r="E1868" s="181"/>
      <c r="F1868" s="182"/>
      <c r="G1868" s="1" t="str">
        <f>IFERROR(IF(ventas_b_mes1255[[#This Row],[CUIT]]="","-",VLOOKUP(ventas_b_mes1255[[#This Row],[CUIT]],Lista_CUIT[#All],2,0)),"CUIT NO CARGADO")</f>
        <v>-</v>
      </c>
      <c r="H1868" s="100">
        <f>ventas_b_mes1255[[#This Row],[TOTAL]]/1.21</f>
        <v>0</v>
      </c>
      <c r="I1868" s="64">
        <f>ventas_b_mes1255[[#This Row],[IMPORTE NETO]]*0.21</f>
        <v>0</v>
      </c>
      <c r="J1868" s="184"/>
      <c r="K1868" s="184"/>
      <c r="L1868" s="184"/>
      <c r="M1868" s="59"/>
    </row>
    <row r="1869" spans="2:13" x14ac:dyDescent="0.3">
      <c r="B1869" s="178"/>
      <c r="C1869" s="41"/>
      <c r="D1869" s="180"/>
      <c r="E1869" s="181"/>
      <c r="F1869" s="182"/>
      <c r="G1869" s="1" t="str">
        <f>IFERROR(IF(ventas_b_mes1255[[#This Row],[CUIT]]="","-",VLOOKUP(ventas_b_mes1255[[#This Row],[CUIT]],Lista_CUIT[#All],2,0)),"CUIT NO CARGADO")</f>
        <v>-</v>
      </c>
      <c r="H1869" s="100">
        <f>ventas_b_mes1255[[#This Row],[TOTAL]]/1.21</f>
        <v>0</v>
      </c>
      <c r="I1869" s="64">
        <f>ventas_b_mes1255[[#This Row],[IMPORTE NETO]]*0.21</f>
        <v>0</v>
      </c>
      <c r="J1869" s="184"/>
      <c r="K1869" s="184"/>
      <c r="L1869" s="184"/>
      <c r="M1869" s="59"/>
    </row>
    <row r="1870" spans="2:13" x14ac:dyDescent="0.3">
      <c r="B1870" s="178"/>
      <c r="C1870" s="41"/>
      <c r="D1870" s="180"/>
      <c r="E1870" s="181"/>
      <c r="F1870" s="182"/>
      <c r="G1870" s="1" t="str">
        <f>IFERROR(IF(ventas_b_mes1255[[#This Row],[CUIT]]="","-",VLOOKUP(ventas_b_mes1255[[#This Row],[CUIT]],Lista_CUIT[#All],2,0)),"CUIT NO CARGADO")</f>
        <v>-</v>
      </c>
      <c r="H1870" s="100">
        <f>ventas_b_mes1255[[#This Row],[TOTAL]]/1.21</f>
        <v>0</v>
      </c>
      <c r="I1870" s="64">
        <f>ventas_b_mes1255[[#This Row],[IMPORTE NETO]]*0.21</f>
        <v>0</v>
      </c>
      <c r="J1870" s="184"/>
      <c r="K1870" s="184"/>
      <c r="L1870" s="184"/>
      <c r="M1870" s="59"/>
    </row>
    <row r="1871" spans="2:13" x14ac:dyDescent="0.3">
      <c r="B1871" s="178"/>
      <c r="C1871" s="41"/>
      <c r="D1871" s="180"/>
      <c r="E1871" s="181"/>
      <c r="F1871" s="182"/>
      <c r="G1871" s="1" t="str">
        <f>IFERROR(IF(ventas_b_mes1255[[#This Row],[CUIT]]="","-",VLOOKUP(ventas_b_mes1255[[#This Row],[CUIT]],Lista_CUIT[#All],2,0)),"CUIT NO CARGADO")</f>
        <v>-</v>
      </c>
      <c r="H1871" s="100">
        <f>ventas_b_mes1255[[#This Row],[TOTAL]]/1.21</f>
        <v>0</v>
      </c>
      <c r="I1871" s="64">
        <f>ventas_b_mes1255[[#This Row],[IMPORTE NETO]]*0.21</f>
        <v>0</v>
      </c>
      <c r="J1871" s="184"/>
      <c r="K1871" s="184"/>
      <c r="L1871" s="184"/>
      <c r="M1871" s="59"/>
    </row>
    <row r="1872" spans="2:13" x14ac:dyDescent="0.3">
      <c r="B1872" s="178"/>
      <c r="C1872" s="41"/>
      <c r="D1872" s="180"/>
      <c r="E1872" s="181"/>
      <c r="F1872" s="182"/>
      <c r="G1872" s="1" t="str">
        <f>IFERROR(IF(ventas_b_mes1255[[#This Row],[CUIT]]="","-",VLOOKUP(ventas_b_mes1255[[#This Row],[CUIT]],Lista_CUIT[#All],2,0)),"CUIT NO CARGADO")</f>
        <v>-</v>
      </c>
      <c r="H1872" s="100">
        <f>ventas_b_mes1255[[#This Row],[TOTAL]]/1.21</f>
        <v>0</v>
      </c>
      <c r="I1872" s="64">
        <f>ventas_b_mes1255[[#This Row],[IMPORTE NETO]]*0.21</f>
        <v>0</v>
      </c>
      <c r="J1872" s="184"/>
      <c r="K1872" s="184"/>
      <c r="L1872" s="184"/>
      <c r="M1872" s="59"/>
    </row>
    <row r="1873" spans="2:13" x14ac:dyDescent="0.3">
      <c r="B1873" s="178"/>
      <c r="C1873" s="41"/>
      <c r="D1873" s="180"/>
      <c r="E1873" s="181"/>
      <c r="F1873" s="182"/>
      <c r="G1873" s="1" t="str">
        <f>IFERROR(IF(ventas_b_mes1255[[#This Row],[CUIT]]="","-",VLOOKUP(ventas_b_mes1255[[#This Row],[CUIT]],Lista_CUIT[#All],2,0)),"CUIT NO CARGADO")</f>
        <v>-</v>
      </c>
      <c r="H1873" s="100">
        <f>ventas_b_mes1255[[#This Row],[TOTAL]]/1.21</f>
        <v>0</v>
      </c>
      <c r="I1873" s="64">
        <f>ventas_b_mes1255[[#This Row],[IMPORTE NETO]]*0.21</f>
        <v>0</v>
      </c>
      <c r="J1873" s="184"/>
      <c r="K1873" s="184"/>
      <c r="L1873" s="184"/>
      <c r="M1873" s="59"/>
    </row>
    <row r="1874" spans="2:13" x14ac:dyDescent="0.3">
      <c r="B1874" s="178"/>
      <c r="C1874" s="41"/>
      <c r="D1874" s="180"/>
      <c r="E1874" s="181"/>
      <c r="F1874" s="182"/>
      <c r="G1874" s="1" t="str">
        <f>IFERROR(IF(ventas_b_mes1255[[#This Row],[CUIT]]="","-",VLOOKUP(ventas_b_mes1255[[#This Row],[CUIT]],Lista_CUIT[#All],2,0)),"CUIT NO CARGADO")</f>
        <v>-</v>
      </c>
      <c r="H1874" s="100">
        <f>ventas_b_mes1255[[#This Row],[TOTAL]]/1.21</f>
        <v>0</v>
      </c>
      <c r="I1874" s="64">
        <f>ventas_b_mes1255[[#This Row],[IMPORTE NETO]]*0.21</f>
        <v>0</v>
      </c>
      <c r="J1874" s="184"/>
      <c r="K1874" s="184"/>
      <c r="L1874" s="184"/>
      <c r="M1874" s="59"/>
    </row>
    <row r="1875" spans="2:13" x14ac:dyDescent="0.3">
      <c r="B1875" s="178"/>
      <c r="C1875" s="41"/>
      <c r="D1875" s="180"/>
      <c r="E1875" s="181"/>
      <c r="F1875" s="182"/>
      <c r="G1875" s="1" t="str">
        <f>IFERROR(IF(ventas_b_mes1255[[#This Row],[CUIT]]="","-",VLOOKUP(ventas_b_mes1255[[#This Row],[CUIT]],Lista_CUIT[#All],2,0)),"CUIT NO CARGADO")</f>
        <v>-</v>
      </c>
      <c r="H1875" s="100">
        <f>ventas_b_mes1255[[#This Row],[TOTAL]]/1.21</f>
        <v>0</v>
      </c>
      <c r="I1875" s="64">
        <f>ventas_b_mes1255[[#This Row],[IMPORTE NETO]]*0.21</f>
        <v>0</v>
      </c>
      <c r="J1875" s="184"/>
      <c r="K1875" s="184"/>
      <c r="L1875" s="184"/>
      <c r="M1875" s="59"/>
    </row>
    <row r="1876" spans="2:13" x14ac:dyDescent="0.3">
      <c r="B1876" s="178"/>
      <c r="C1876" s="41"/>
      <c r="D1876" s="180"/>
      <c r="E1876" s="181"/>
      <c r="F1876" s="182"/>
      <c r="G1876" s="1" t="str">
        <f>IFERROR(IF(ventas_b_mes1255[[#This Row],[CUIT]]="","-",VLOOKUP(ventas_b_mes1255[[#This Row],[CUIT]],Lista_CUIT[#All],2,0)),"CUIT NO CARGADO")</f>
        <v>-</v>
      </c>
      <c r="H1876" s="100">
        <f>ventas_b_mes1255[[#This Row],[TOTAL]]/1.21</f>
        <v>0</v>
      </c>
      <c r="I1876" s="64">
        <f>ventas_b_mes1255[[#This Row],[IMPORTE NETO]]*0.21</f>
        <v>0</v>
      </c>
      <c r="J1876" s="184"/>
      <c r="K1876" s="184"/>
      <c r="L1876" s="184"/>
      <c r="M1876" s="59"/>
    </row>
    <row r="1877" spans="2:13" x14ac:dyDescent="0.3">
      <c r="B1877" s="178"/>
      <c r="C1877" s="41"/>
      <c r="D1877" s="180"/>
      <c r="E1877" s="181"/>
      <c r="F1877" s="182"/>
      <c r="G1877" s="1" t="str">
        <f>IFERROR(IF(ventas_b_mes1255[[#This Row],[CUIT]]="","-",VLOOKUP(ventas_b_mes1255[[#This Row],[CUIT]],Lista_CUIT[#All],2,0)),"CUIT NO CARGADO")</f>
        <v>-</v>
      </c>
      <c r="H1877" s="100">
        <f>ventas_b_mes1255[[#This Row],[TOTAL]]/1.21</f>
        <v>0</v>
      </c>
      <c r="I1877" s="64">
        <f>ventas_b_mes1255[[#This Row],[IMPORTE NETO]]*0.21</f>
        <v>0</v>
      </c>
      <c r="J1877" s="184"/>
      <c r="K1877" s="184"/>
      <c r="L1877" s="184"/>
      <c r="M1877" s="59"/>
    </row>
    <row r="1878" spans="2:13" x14ac:dyDescent="0.3">
      <c r="B1878" s="178"/>
      <c r="C1878" s="41"/>
      <c r="D1878" s="180"/>
      <c r="E1878" s="181"/>
      <c r="F1878" s="182"/>
      <c r="G1878" s="1" t="str">
        <f>IFERROR(IF(ventas_b_mes1255[[#This Row],[CUIT]]="","-",VLOOKUP(ventas_b_mes1255[[#This Row],[CUIT]],Lista_CUIT[#All],2,0)),"CUIT NO CARGADO")</f>
        <v>-</v>
      </c>
      <c r="H1878" s="100">
        <f>ventas_b_mes1255[[#This Row],[TOTAL]]/1.21</f>
        <v>0</v>
      </c>
      <c r="I1878" s="64">
        <f>ventas_b_mes1255[[#This Row],[IMPORTE NETO]]*0.21</f>
        <v>0</v>
      </c>
      <c r="J1878" s="184"/>
      <c r="K1878" s="184"/>
      <c r="L1878" s="184"/>
      <c r="M1878" s="59"/>
    </row>
    <row r="1879" spans="2:13" x14ac:dyDescent="0.3">
      <c r="B1879" s="178"/>
      <c r="C1879" s="41"/>
      <c r="D1879" s="180"/>
      <c r="E1879" s="181"/>
      <c r="F1879" s="182"/>
      <c r="G1879" s="1" t="str">
        <f>IFERROR(IF(ventas_b_mes1255[[#This Row],[CUIT]]="","-",VLOOKUP(ventas_b_mes1255[[#This Row],[CUIT]],Lista_CUIT[#All],2,0)),"CUIT NO CARGADO")</f>
        <v>-</v>
      </c>
      <c r="H1879" s="100">
        <f>ventas_b_mes1255[[#This Row],[TOTAL]]/1.21</f>
        <v>0</v>
      </c>
      <c r="I1879" s="64">
        <f>ventas_b_mes1255[[#This Row],[IMPORTE NETO]]*0.21</f>
        <v>0</v>
      </c>
      <c r="J1879" s="184"/>
      <c r="K1879" s="184"/>
      <c r="L1879" s="184"/>
      <c r="M1879" s="59"/>
    </row>
    <row r="1880" spans="2:13" x14ac:dyDescent="0.3">
      <c r="B1880" s="178"/>
      <c r="C1880" s="41"/>
      <c r="D1880" s="180"/>
      <c r="E1880" s="181"/>
      <c r="F1880" s="182"/>
      <c r="G1880" s="1" t="str">
        <f>IFERROR(IF(ventas_b_mes1255[[#This Row],[CUIT]]="","-",VLOOKUP(ventas_b_mes1255[[#This Row],[CUIT]],Lista_CUIT[#All],2,0)),"CUIT NO CARGADO")</f>
        <v>-</v>
      </c>
      <c r="H1880" s="100">
        <f>ventas_b_mes1255[[#This Row],[TOTAL]]/1.21</f>
        <v>0</v>
      </c>
      <c r="I1880" s="64">
        <f>ventas_b_mes1255[[#This Row],[IMPORTE NETO]]*0.21</f>
        <v>0</v>
      </c>
      <c r="J1880" s="184"/>
      <c r="K1880" s="184"/>
      <c r="L1880" s="184"/>
      <c r="M1880" s="59"/>
    </row>
    <row r="1881" spans="2:13" x14ac:dyDescent="0.3">
      <c r="B1881" s="178"/>
      <c r="C1881" s="41"/>
      <c r="D1881" s="180"/>
      <c r="E1881" s="181"/>
      <c r="F1881" s="182"/>
      <c r="G1881" s="1" t="str">
        <f>IFERROR(IF(ventas_b_mes1255[[#This Row],[CUIT]]="","-",VLOOKUP(ventas_b_mes1255[[#This Row],[CUIT]],Lista_CUIT[#All],2,0)),"CUIT NO CARGADO")</f>
        <v>-</v>
      </c>
      <c r="H1881" s="100">
        <f>ventas_b_mes1255[[#This Row],[TOTAL]]/1.21</f>
        <v>0</v>
      </c>
      <c r="I1881" s="64">
        <f>ventas_b_mes1255[[#This Row],[IMPORTE NETO]]*0.21</f>
        <v>0</v>
      </c>
      <c r="J1881" s="184"/>
      <c r="K1881" s="184"/>
      <c r="L1881" s="184"/>
      <c r="M1881" s="59"/>
    </row>
    <row r="1882" spans="2:13" x14ac:dyDescent="0.3">
      <c r="B1882" s="178"/>
      <c r="C1882" s="41"/>
      <c r="D1882" s="180"/>
      <c r="E1882" s="181"/>
      <c r="F1882" s="182"/>
      <c r="G1882" s="1" t="str">
        <f>IFERROR(IF(ventas_b_mes1255[[#This Row],[CUIT]]="","-",VLOOKUP(ventas_b_mes1255[[#This Row],[CUIT]],Lista_CUIT[#All],2,0)),"CUIT NO CARGADO")</f>
        <v>-</v>
      </c>
      <c r="H1882" s="100">
        <f>ventas_b_mes1255[[#This Row],[TOTAL]]/1.21</f>
        <v>0</v>
      </c>
      <c r="I1882" s="64">
        <f>ventas_b_mes1255[[#This Row],[IMPORTE NETO]]*0.21</f>
        <v>0</v>
      </c>
      <c r="J1882" s="184"/>
      <c r="K1882" s="184"/>
      <c r="L1882" s="184"/>
      <c r="M1882" s="59"/>
    </row>
    <row r="1883" spans="2:13" x14ac:dyDescent="0.3">
      <c r="B1883" s="178"/>
      <c r="C1883" s="41"/>
      <c r="D1883" s="180"/>
      <c r="E1883" s="181"/>
      <c r="F1883" s="182"/>
      <c r="G1883" s="1" t="str">
        <f>IFERROR(IF(ventas_b_mes1255[[#This Row],[CUIT]]="","-",VLOOKUP(ventas_b_mes1255[[#This Row],[CUIT]],Lista_CUIT[#All],2,0)),"CUIT NO CARGADO")</f>
        <v>-</v>
      </c>
      <c r="H1883" s="100">
        <f>ventas_b_mes1255[[#This Row],[TOTAL]]/1.21</f>
        <v>0</v>
      </c>
      <c r="I1883" s="64">
        <f>ventas_b_mes1255[[#This Row],[IMPORTE NETO]]*0.21</f>
        <v>0</v>
      </c>
      <c r="J1883" s="184"/>
      <c r="K1883" s="184"/>
      <c r="L1883" s="184"/>
      <c r="M1883" s="59"/>
    </row>
    <row r="1884" spans="2:13" x14ac:dyDescent="0.3">
      <c r="B1884" s="178"/>
      <c r="C1884" s="41"/>
      <c r="D1884" s="180"/>
      <c r="E1884" s="181"/>
      <c r="F1884" s="182"/>
      <c r="G1884" s="1" t="str">
        <f>IFERROR(IF(ventas_b_mes1255[[#This Row],[CUIT]]="","-",VLOOKUP(ventas_b_mes1255[[#This Row],[CUIT]],Lista_CUIT[#All],2,0)),"CUIT NO CARGADO")</f>
        <v>-</v>
      </c>
      <c r="H1884" s="100">
        <f>ventas_b_mes1255[[#This Row],[TOTAL]]/1.21</f>
        <v>0</v>
      </c>
      <c r="I1884" s="64">
        <f>ventas_b_mes1255[[#This Row],[IMPORTE NETO]]*0.21</f>
        <v>0</v>
      </c>
      <c r="J1884" s="184"/>
      <c r="K1884" s="184"/>
      <c r="L1884" s="184"/>
      <c r="M1884" s="59"/>
    </row>
    <row r="1885" spans="2:13" x14ac:dyDescent="0.3">
      <c r="B1885" s="178"/>
      <c r="C1885" s="41"/>
      <c r="D1885" s="180"/>
      <c r="E1885" s="181"/>
      <c r="F1885" s="182"/>
      <c r="G1885" s="1" t="str">
        <f>IFERROR(IF(ventas_b_mes1255[[#This Row],[CUIT]]="","-",VLOOKUP(ventas_b_mes1255[[#This Row],[CUIT]],Lista_CUIT[#All],2,0)),"CUIT NO CARGADO")</f>
        <v>-</v>
      </c>
      <c r="H1885" s="100">
        <f>ventas_b_mes1255[[#This Row],[TOTAL]]/1.21</f>
        <v>0</v>
      </c>
      <c r="I1885" s="64">
        <f>ventas_b_mes1255[[#This Row],[IMPORTE NETO]]*0.21</f>
        <v>0</v>
      </c>
      <c r="J1885" s="184"/>
      <c r="K1885" s="184"/>
      <c r="L1885" s="184"/>
      <c r="M1885" s="59"/>
    </row>
    <row r="1886" spans="2:13" x14ac:dyDescent="0.3">
      <c r="B1886" s="178"/>
      <c r="C1886" s="41"/>
      <c r="D1886" s="180"/>
      <c r="E1886" s="181"/>
      <c r="F1886" s="182"/>
      <c r="G1886" s="1" t="str">
        <f>IFERROR(IF(ventas_b_mes1255[[#This Row],[CUIT]]="","-",VLOOKUP(ventas_b_mes1255[[#This Row],[CUIT]],Lista_CUIT[#All],2,0)),"CUIT NO CARGADO")</f>
        <v>-</v>
      </c>
      <c r="H1886" s="100">
        <f>ventas_b_mes1255[[#This Row],[TOTAL]]/1.21</f>
        <v>0</v>
      </c>
      <c r="I1886" s="64">
        <f>ventas_b_mes1255[[#This Row],[IMPORTE NETO]]*0.21</f>
        <v>0</v>
      </c>
      <c r="J1886" s="184"/>
      <c r="K1886" s="184"/>
      <c r="L1886" s="184"/>
      <c r="M1886" s="59"/>
    </row>
    <row r="1887" spans="2:13" x14ac:dyDescent="0.3">
      <c r="B1887" s="178"/>
      <c r="C1887" s="41"/>
      <c r="D1887" s="180"/>
      <c r="E1887" s="181"/>
      <c r="F1887" s="182"/>
      <c r="G1887" s="1" t="str">
        <f>IFERROR(IF(ventas_b_mes1255[[#This Row],[CUIT]]="","-",VLOOKUP(ventas_b_mes1255[[#This Row],[CUIT]],Lista_CUIT[#All],2,0)),"CUIT NO CARGADO")</f>
        <v>-</v>
      </c>
      <c r="H1887" s="100">
        <f>ventas_b_mes1255[[#This Row],[TOTAL]]/1.21</f>
        <v>0</v>
      </c>
      <c r="I1887" s="64">
        <f>ventas_b_mes1255[[#This Row],[IMPORTE NETO]]*0.21</f>
        <v>0</v>
      </c>
      <c r="J1887" s="184"/>
      <c r="K1887" s="184"/>
      <c r="L1887" s="184"/>
      <c r="M1887" s="59"/>
    </row>
    <row r="1888" spans="2:13" x14ac:dyDescent="0.3">
      <c r="B1888" s="178"/>
      <c r="C1888" s="41"/>
      <c r="D1888" s="180"/>
      <c r="E1888" s="181"/>
      <c r="F1888" s="182"/>
      <c r="G1888" s="1" t="str">
        <f>IFERROR(IF(ventas_b_mes1255[[#This Row],[CUIT]]="","-",VLOOKUP(ventas_b_mes1255[[#This Row],[CUIT]],Lista_CUIT[#All],2,0)),"CUIT NO CARGADO")</f>
        <v>-</v>
      </c>
      <c r="H1888" s="100">
        <f>ventas_b_mes1255[[#This Row],[TOTAL]]/1.21</f>
        <v>0</v>
      </c>
      <c r="I1888" s="64">
        <f>ventas_b_mes1255[[#This Row],[IMPORTE NETO]]*0.21</f>
        <v>0</v>
      </c>
      <c r="J1888" s="184"/>
      <c r="K1888" s="184"/>
      <c r="L1888" s="184"/>
      <c r="M1888" s="59"/>
    </row>
    <row r="1889" spans="2:13" x14ac:dyDescent="0.3">
      <c r="B1889" s="178"/>
      <c r="C1889" s="41"/>
      <c r="D1889" s="180"/>
      <c r="E1889" s="181"/>
      <c r="F1889" s="182"/>
      <c r="G1889" s="1" t="str">
        <f>IFERROR(IF(ventas_b_mes1255[[#This Row],[CUIT]]="","-",VLOOKUP(ventas_b_mes1255[[#This Row],[CUIT]],Lista_CUIT[#All],2,0)),"CUIT NO CARGADO")</f>
        <v>-</v>
      </c>
      <c r="H1889" s="100">
        <f>ventas_b_mes1255[[#This Row],[TOTAL]]/1.21</f>
        <v>0</v>
      </c>
      <c r="I1889" s="64">
        <f>ventas_b_mes1255[[#This Row],[IMPORTE NETO]]*0.21</f>
        <v>0</v>
      </c>
      <c r="J1889" s="184"/>
      <c r="K1889" s="184"/>
      <c r="L1889" s="184"/>
      <c r="M1889" s="59"/>
    </row>
    <row r="1890" spans="2:13" x14ac:dyDescent="0.3">
      <c r="B1890" s="178"/>
      <c r="C1890" s="41"/>
      <c r="D1890" s="180"/>
      <c r="E1890" s="181"/>
      <c r="F1890" s="182"/>
      <c r="G1890" s="1" t="str">
        <f>IFERROR(IF(ventas_b_mes1255[[#This Row],[CUIT]]="","-",VLOOKUP(ventas_b_mes1255[[#This Row],[CUIT]],Lista_CUIT[#All],2,0)),"CUIT NO CARGADO")</f>
        <v>-</v>
      </c>
      <c r="H1890" s="100">
        <f>ventas_b_mes1255[[#This Row],[TOTAL]]/1.21</f>
        <v>0</v>
      </c>
      <c r="I1890" s="64">
        <f>ventas_b_mes1255[[#This Row],[IMPORTE NETO]]*0.21</f>
        <v>0</v>
      </c>
      <c r="J1890" s="184"/>
      <c r="K1890" s="184"/>
      <c r="L1890" s="184"/>
      <c r="M1890" s="59"/>
    </row>
    <row r="1891" spans="2:13" x14ac:dyDescent="0.3">
      <c r="B1891" s="178"/>
      <c r="C1891" s="41"/>
      <c r="D1891" s="180"/>
      <c r="E1891" s="181"/>
      <c r="F1891" s="182"/>
      <c r="G1891" s="1" t="str">
        <f>IFERROR(IF(ventas_b_mes1255[[#This Row],[CUIT]]="","-",VLOOKUP(ventas_b_mes1255[[#This Row],[CUIT]],Lista_CUIT[#All],2,0)),"CUIT NO CARGADO")</f>
        <v>-</v>
      </c>
      <c r="H1891" s="100">
        <f>ventas_b_mes1255[[#This Row],[TOTAL]]/1.21</f>
        <v>0</v>
      </c>
      <c r="I1891" s="64">
        <f>ventas_b_mes1255[[#This Row],[IMPORTE NETO]]*0.21</f>
        <v>0</v>
      </c>
      <c r="J1891" s="184"/>
      <c r="K1891" s="184"/>
      <c r="L1891" s="184"/>
      <c r="M1891" s="59"/>
    </row>
    <row r="1892" spans="2:13" x14ac:dyDescent="0.3">
      <c r="B1892" s="178"/>
      <c r="C1892" s="41"/>
      <c r="D1892" s="180"/>
      <c r="E1892" s="181"/>
      <c r="F1892" s="182"/>
      <c r="G1892" s="1" t="str">
        <f>IFERROR(IF(ventas_b_mes1255[[#This Row],[CUIT]]="","-",VLOOKUP(ventas_b_mes1255[[#This Row],[CUIT]],Lista_CUIT[#All],2,0)),"CUIT NO CARGADO")</f>
        <v>-</v>
      </c>
      <c r="H1892" s="100">
        <f>ventas_b_mes1255[[#This Row],[TOTAL]]/1.21</f>
        <v>0</v>
      </c>
      <c r="I1892" s="64">
        <f>ventas_b_mes1255[[#This Row],[IMPORTE NETO]]*0.21</f>
        <v>0</v>
      </c>
      <c r="J1892" s="184"/>
      <c r="K1892" s="184"/>
      <c r="L1892" s="184"/>
      <c r="M1892" s="59"/>
    </row>
    <row r="1893" spans="2:13" x14ac:dyDescent="0.3">
      <c r="B1893" s="178"/>
      <c r="C1893" s="41"/>
      <c r="D1893" s="180"/>
      <c r="E1893" s="181"/>
      <c r="F1893" s="182"/>
      <c r="G1893" s="1" t="str">
        <f>IFERROR(IF(ventas_b_mes1255[[#This Row],[CUIT]]="","-",VLOOKUP(ventas_b_mes1255[[#This Row],[CUIT]],Lista_CUIT[#All],2,0)),"CUIT NO CARGADO")</f>
        <v>-</v>
      </c>
      <c r="H1893" s="100">
        <f>ventas_b_mes1255[[#This Row],[TOTAL]]/1.21</f>
        <v>0</v>
      </c>
      <c r="I1893" s="64">
        <f>ventas_b_mes1255[[#This Row],[IMPORTE NETO]]*0.21</f>
        <v>0</v>
      </c>
      <c r="J1893" s="184"/>
      <c r="K1893" s="184"/>
      <c r="L1893" s="184"/>
      <c r="M1893" s="59"/>
    </row>
    <row r="1894" spans="2:13" x14ac:dyDescent="0.3">
      <c r="B1894" s="178"/>
      <c r="C1894" s="41"/>
      <c r="D1894" s="180"/>
      <c r="E1894" s="181"/>
      <c r="F1894" s="182"/>
      <c r="G1894" s="1" t="str">
        <f>IFERROR(IF(ventas_b_mes1255[[#This Row],[CUIT]]="","-",VLOOKUP(ventas_b_mes1255[[#This Row],[CUIT]],Lista_CUIT[#All],2,0)),"CUIT NO CARGADO")</f>
        <v>-</v>
      </c>
      <c r="H1894" s="100">
        <f>ventas_b_mes1255[[#This Row],[TOTAL]]/1.21</f>
        <v>0</v>
      </c>
      <c r="I1894" s="64">
        <f>ventas_b_mes1255[[#This Row],[IMPORTE NETO]]*0.21</f>
        <v>0</v>
      </c>
      <c r="J1894" s="184"/>
      <c r="K1894" s="184"/>
      <c r="L1894" s="184"/>
      <c r="M1894" s="59"/>
    </row>
    <row r="1895" spans="2:13" x14ac:dyDescent="0.3">
      <c r="B1895" s="178"/>
      <c r="C1895" s="41"/>
      <c r="D1895" s="180"/>
      <c r="E1895" s="181"/>
      <c r="F1895" s="182"/>
      <c r="G1895" s="1" t="str">
        <f>IFERROR(IF(ventas_b_mes1255[[#This Row],[CUIT]]="","-",VLOOKUP(ventas_b_mes1255[[#This Row],[CUIT]],Lista_CUIT[#All],2,0)),"CUIT NO CARGADO")</f>
        <v>-</v>
      </c>
      <c r="H1895" s="100">
        <f>ventas_b_mes1255[[#This Row],[TOTAL]]/1.21</f>
        <v>0</v>
      </c>
      <c r="I1895" s="64">
        <f>ventas_b_mes1255[[#This Row],[IMPORTE NETO]]*0.21</f>
        <v>0</v>
      </c>
      <c r="J1895" s="184"/>
      <c r="K1895" s="184"/>
      <c r="L1895" s="184"/>
      <c r="M1895" s="59"/>
    </row>
    <row r="1896" spans="2:13" x14ac:dyDescent="0.3">
      <c r="B1896" s="178"/>
      <c r="C1896" s="41"/>
      <c r="D1896" s="180"/>
      <c r="E1896" s="181"/>
      <c r="F1896" s="182"/>
      <c r="G1896" s="1" t="str">
        <f>IFERROR(IF(ventas_b_mes1255[[#This Row],[CUIT]]="","-",VLOOKUP(ventas_b_mes1255[[#This Row],[CUIT]],Lista_CUIT[#All],2,0)),"CUIT NO CARGADO")</f>
        <v>-</v>
      </c>
      <c r="H1896" s="100">
        <f>ventas_b_mes1255[[#This Row],[TOTAL]]/1.21</f>
        <v>0</v>
      </c>
      <c r="I1896" s="64">
        <f>ventas_b_mes1255[[#This Row],[IMPORTE NETO]]*0.21</f>
        <v>0</v>
      </c>
      <c r="J1896" s="184"/>
      <c r="K1896" s="184"/>
      <c r="L1896" s="184"/>
      <c r="M1896" s="59"/>
    </row>
    <row r="1897" spans="2:13" x14ac:dyDescent="0.3">
      <c r="B1897" s="178"/>
      <c r="C1897" s="41"/>
      <c r="D1897" s="180"/>
      <c r="E1897" s="181"/>
      <c r="F1897" s="182"/>
      <c r="G1897" s="1" t="str">
        <f>IFERROR(IF(ventas_b_mes1255[[#This Row],[CUIT]]="","-",VLOOKUP(ventas_b_mes1255[[#This Row],[CUIT]],Lista_CUIT[#All],2,0)),"CUIT NO CARGADO")</f>
        <v>-</v>
      </c>
      <c r="H1897" s="100">
        <f>ventas_b_mes1255[[#This Row],[TOTAL]]/1.21</f>
        <v>0</v>
      </c>
      <c r="I1897" s="64">
        <f>ventas_b_mes1255[[#This Row],[IMPORTE NETO]]*0.21</f>
        <v>0</v>
      </c>
      <c r="J1897" s="184"/>
      <c r="K1897" s="184"/>
      <c r="L1897" s="184"/>
      <c r="M1897" s="59"/>
    </row>
    <row r="1898" spans="2:13" x14ac:dyDescent="0.3">
      <c r="B1898" s="178"/>
      <c r="C1898" s="41"/>
      <c r="D1898" s="180"/>
      <c r="E1898" s="181"/>
      <c r="F1898" s="182"/>
      <c r="G1898" s="1" t="str">
        <f>IFERROR(IF(ventas_b_mes1255[[#This Row],[CUIT]]="","-",VLOOKUP(ventas_b_mes1255[[#This Row],[CUIT]],Lista_CUIT[#All],2,0)),"CUIT NO CARGADO")</f>
        <v>-</v>
      </c>
      <c r="H1898" s="100">
        <f>ventas_b_mes1255[[#This Row],[TOTAL]]/1.21</f>
        <v>0</v>
      </c>
      <c r="I1898" s="64">
        <f>ventas_b_mes1255[[#This Row],[IMPORTE NETO]]*0.21</f>
        <v>0</v>
      </c>
      <c r="J1898" s="184"/>
      <c r="K1898" s="184"/>
      <c r="L1898" s="184"/>
      <c r="M1898" s="59"/>
    </row>
    <row r="1899" spans="2:13" x14ac:dyDescent="0.3">
      <c r="B1899" s="178"/>
      <c r="C1899" s="41"/>
      <c r="D1899" s="180"/>
      <c r="E1899" s="181"/>
      <c r="F1899" s="182"/>
      <c r="G1899" s="1" t="str">
        <f>IFERROR(IF(ventas_b_mes1255[[#This Row],[CUIT]]="","-",VLOOKUP(ventas_b_mes1255[[#This Row],[CUIT]],Lista_CUIT[#All],2,0)),"CUIT NO CARGADO")</f>
        <v>-</v>
      </c>
      <c r="H1899" s="100">
        <f>ventas_b_mes1255[[#This Row],[TOTAL]]/1.21</f>
        <v>0</v>
      </c>
      <c r="I1899" s="64">
        <f>ventas_b_mes1255[[#This Row],[IMPORTE NETO]]*0.21</f>
        <v>0</v>
      </c>
      <c r="J1899" s="184"/>
      <c r="K1899" s="184"/>
      <c r="L1899" s="184"/>
      <c r="M1899" s="59"/>
    </row>
    <row r="1900" spans="2:13" x14ac:dyDescent="0.3">
      <c r="B1900" s="178"/>
      <c r="C1900" s="41"/>
      <c r="D1900" s="180"/>
      <c r="E1900" s="181"/>
      <c r="F1900" s="182"/>
      <c r="G1900" s="1" t="str">
        <f>IFERROR(IF(ventas_b_mes1255[[#This Row],[CUIT]]="","-",VLOOKUP(ventas_b_mes1255[[#This Row],[CUIT]],Lista_CUIT[#All],2,0)),"CUIT NO CARGADO")</f>
        <v>-</v>
      </c>
      <c r="H1900" s="100">
        <f>ventas_b_mes1255[[#This Row],[TOTAL]]/1.21</f>
        <v>0</v>
      </c>
      <c r="I1900" s="64">
        <f>ventas_b_mes1255[[#This Row],[IMPORTE NETO]]*0.21</f>
        <v>0</v>
      </c>
      <c r="J1900" s="184"/>
      <c r="K1900" s="184"/>
      <c r="L1900" s="184"/>
      <c r="M1900" s="59"/>
    </row>
    <row r="1901" spans="2:13" x14ac:dyDescent="0.3">
      <c r="B1901" s="178"/>
      <c r="C1901" s="41"/>
      <c r="D1901" s="180"/>
      <c r="E1901" s="181"/>
      <c r="F1901" s="182"/>
      <c r="G1901" s="1" t="str">
        <f>IFERROR(IF(ventas_b_mes1255[[#This Row],[CUIT]]="","-",VLOOKUP(ventas_b_mes1255[[#This Row],[CUIT]],Lista_CUIT[#All],2,0)),"CUIT NO CARGADO")</f>
        <v>-</v>
      </c>
      <c r="H1901" s="100">
        <f>ventas_b_mes1255[[#This Row],[TOTAL]]/1.21</f>
        <v>0</v>
      </c>
      <c r="I1901" s="64">
        <f>ventas_b_mes1255[[#This Row],[IMPORTE NETO]]*0.21</f>
        <v>0</v>
      </c>
      <c r="J1901" s="184"/>
      <c r="K1901" s="184"/>
      <c r="L1901" s="184"/>
      <c r="M1901" s="59"/>
    </row>
    <row r="1902" spans="2:13" x14ac:dyDescent="0.3">
      <c r="B1902" s="178"/>
      <c r="C1902" s="41"/>
      <c r="D1902" s="180"/>
      <c r="E1902" s="181"/>
      <c r="F1902" s="182"/>
      <c r="G1902" s="1" t="str">
        <f>IFERROR(IF(ventas_b_mes1255[[#This Row],[CUIT]]="","-",VLOOKUP(ventas_b_mes1255[[#This Row],[CUIT]],Lista_CUIT[#All],2,0)),"CUIT NO CARGADO")</f>
        <v>-</v>
      </c>
      <c r="H1902" s="100">
        <f>ventas_b_mes1255[[#This Row],[TOTAL]]/1.21</f>
        <v>0</v>
      </c>
      <c r="I1902" s="64">
        <f>ventas_b_mes1255[[#This Row],[IMPORTE NETO]]*0.21</f>
        <v>0</v>
      </c>
      <c r="J1902" s="184"/>
      <c r="K1902" s="184"/>
      <c r="L1902" s="184"/>
      <c r="M1902" s="59"/>
    </row>
    <row r="1903" spans="2:13" x14ac:dyDescent="0.3">
      <c r="B1903" s="178"/>
      <c r="C1903" s="41"/>
      <c r="D1903" s="180"/>
      <c r="E1903" s="181"/>
      <c r="F1903" s="182"/>
      <c r="G1903" s="1" t="str">
        <f>IFERROR(IF(ventas_b_mes1255[[#This Row],[CUIT]]="","-",VLOOKUP(ventas_b_mes1255[[#This Row],[CUIT]],Lista_CUIT[#All],2,0)),"CUIT NO CARGADO")</f>
        <v>-</v>
      </c>
      <c r="H1903" s="100">
        <f>ventas_b_mes1255[[#This Row],[TOTAL]]/1.21</f>
        <v>0</v>
      </c>
      <c r="I1903" s="64">
        <f>ventas_b_mes1255[[#This Row],[IMPORTE NETO]]*0.21</f>
        <v>0</v>
      </c>
      <c r="J1903" s="184"/>
      <c r="K1903" s="184"/>
      <c r="L1903" s="184"/>
      <c r="M1903" s="59"/>
    </row>
    <row r="1904" spans="2:13" x14ac:dyDescent="0.3">
      <c r="B1904" s="178"/>
      <c r="C1904" s="41"/>
      <c r="D1904" s="180"/>
      <c r="E1904" s="181"/>
      <c r="F1904" s="182"/>
      <c r="G1904" s="1" t="str">
        <f>IFERROR(IF(ventas_b_mes1255[[#This Row],[CUIT]]="","-",VLOOKUP(ventas_b_mes1255[[#This Row],[CUIT]],Lista_CUIT[#All],2,0)),"CUIT NO CARGADO")</f>
        <v>-</v>
      </c>
      <c r="H1904" s="100">
        <f>ventas_b_mes1255[[#This Row],[TOTAL]]/1.21</f>
        <v>0</v>
      </c>
      <c r="I1904" s="64">
        <f>ventas_b_mes1255[[#This Row],[IMPORTE NETO]]*0.21</f>
        <v>0</v>
      </c>
      <c r="J1904" s="184"/>
      <c r="K1904" s="184"/>
      <c r="L1904" s="184"/>
      <c r="M1904" s="59"/>
    </row>
    <row r="1905" spans="2:13" x14ac:dyDescent="0.3">
      <c r="B1905" s="178"/>
      <c r="C1905" s="41"/>
      <c r="D1905" s="180"/>
      <c r="E1905" s="181"/>
      <c r="F1905" s="182"/>
      <c r="G1905" s="1" t="str">
        <f>IFERROR(IF(ventas_b_mes1255[[#This Row],[CUIT]]="","-",VLOOKUP(ventas_b_mes1255[[#This Row],[CUIT]],Lista_CUIT[#All],2,0)),"CUIT NO CARGADO")</f>
        <v>-</v>
      </c>
      <c r="H1905" s="100">
        <f>ventas_b_mes1255[[#This Row],[TOTAL]]/1.21</f>
        <v>0</v>
      </c>
      <c r="I1905" s="64">
        <f>ventas_b_mes1255[[#This Row],[IMPORTE NETO]]*0.21</f>
        <v>0</v>
      </c>
      <c r="J1905" s="184"/>
      <c r="K1905" s="184"/>
      <c r="L1905" s="184"/>
      <c r="M1905" s="59"/>
    </row>
    <row r="1906" spans="2:13" x14ac:dyDescent="0.3">
      <c r="B1906" s="178"/>
      <c r="C1906" s="41"/>
      <c r="D1906" s="180"/>
      <c r="E1906" s="181"/>
      <c r="F1906" s="182"/>
      <c r="G1906" s="1" t="str">
        <f>IFERROR(IF(ventas_b_mes1255[[#This Row],[CUIT]]="","-",VLOOKUP(ventas_b_mes1255[[#This Row],[CUIT]],Lista_CUIT[#All],2,0)),"CUIT NO CARGADO")</f>
        <v>-</v>
      </c>
      <c r="H1906" s="100">
        <f>ventas_b_mes1255[[#This Row],[TOTAL]]/1.21</f>
        <v>0</v>
      </c>
      <c r="I1906" s="64">
        <f>ventas_b_mes1255[[#This Row],[IMPORTE NETO]]*0.21</f>
        <v>0</v>
      </c>
      <c r="J1906" s="184"/>
      <c r="K1906" s="184"/>
      <c r="L1906" s="184"/>
      <c r="M1906" s="59"/>
    </row>
    <row r="1907" spans="2:13" x14ac:dyDescent="0.3">
      <c r="B1907" s="178"/>
      <c r="C1907" s="41"/>
      <c r="D1907" s="180"/>
      <c r="E1907" s="181"/>
      <c r="F1907" s="182"/>
      <c r="G1907" s="1" t="str">
        <f>IFERROR(IF(ventas_b_mes1255[[#This Row],[CUIT]]="","-",VLOOKUP(ventas_b_mes1255[[#This Row],[CUIT]],Lista_CUIT[#All],2,0)),"CUIT NO CARGADO")</f>
        <v>-</v>
      </c>
      <c r="H1907" s="100">
        <f>ventas_b_mes1255[[#This Row],[TOTAL]]/1.21</f>
        <v>0</v>
      </c>
      <c r="I1907" s="64">
        <f>ventas_b_mes1255[[#This Row],[IMPORTE NETO]]*0.21</f>
        <v>0</v>
      </c>
      <c r="J1907" s="184"/>
      <c r="K1907" s="184"/>
      <c r="L1907" s="184"/>
      <c r="M1907" s="59"/>
    </row>
    <row r="1908" spans="2:13" x14ac:dyDescent="0.3">
      <c r="B1908" s="178"/>
      <c r="C1908" s="41"/>
      <c r="D1908" s="180"/>
      <c r="E1908" s="181"/>
      <c r="F1908" s="182"/>
      <c r="G1908" s="1" t="str">
        <f>IFERROR(IF(ventas_b_mes1255[[#This Row],[CUIT]]="","-",VLOOKUP(ventas_b_mes1255[[#This Row],[CUIT]],Lista_CUIT[#All],2,0)),"CUIT NO CARGADO")</f>
        <v>-</v>
      </c>
      <c r="H1908" s="100">
        <f>ventas_b_mes1255[[#This Row],[TOTAL]]/1.21</f>
        <v>0</v>
      </c>
      <c r="I1908" s="64">
        <f>ventas_b_mes1255[[#This Row],[IMPORTE NETO]]*0.21</f>
        <v>0</v>
      </c>
      <c r="J1908" s="184"/>
      <c r="K1908" s="184"/>
      <c r="L1908" s="184"/>
      <c r="M1908" s="59"/>
    </row>
    <row r="1909" spans="2:13" x14ac:dyDescent="0.3">
      <c r="B1909" s="178"/>
      <c r="C1909" s="41"/>
      <c r="D1909" s="180"/>
      <c r="E1909" s="181"/>
      <c r="F1909" s="182"/>
      <c r="G1909" s="1" t="str">
        <f>IFERROR(IF(ventas_b_mes1255[[#This Row],[CUIT]]="","-",VLOOKUP(ventas_b_mes1255[[#This Row],[CUIT]],Lista_CUIT[#All],2,0)),"CUIT NO CARGADO")</f>
        <v>-</v>
      </c>
      <c r="H1909" s="100">
        <f>ventas_b_mes1255[[#This Row],[TOTAL]]/1.21</f>
        <v>0</v>
      </c>
      <c r="I1909" s="64">
        <f>ventas_b_mes1255[[#This Row],[IMPORTE NETO]]*0.21</f>
        <v>0</v>
      </c>
      <c r="J1909" s="184"/>
      <c r="K1909" s="184"/>
      <c r="L1909" s="184"/>
      <c r="M1909" s="59"/>
    </row>
    <row r="1910" spans="2:13" x14ac:dyDescent="0.3">
      <c r="B1910" s="178"/>
      <c r="C1910" s="41"/>
      <c r="D1910" s="180"/>
      <c r="E1910" s="181"/>
      <c r="F1910" s="182"/>
      <c r="G1910" s="1" t="str">
        <f>IFERROR(IF(ventas_b_mes1255[[#This Row],[CUIT]]="","-",VLOOKUP(ventas_b_mes1255[[#This Row],[CUIT]],Lista_CUIT[#All],2,0)),"CUIT NO CARGADO")</f>
        <v>-</v>
      </c>
      <c r="H1910" s="100">
        <f>ventas_b_mes1255[[#This Row],[TOTAL]]/1.21</f>
        <v>0</v>
      </c>
      <c r="I1910" s="64">
        <f>ventas_b_mes1255[[#This Row],[IMPORTE NETO]]*0.21</f>
        <v>0</v>
      </c>
      <c r="J1910" s="184"/>
      <c r="K1910" s="184"/>
      <c r="L1910" s="184"/>
      <c r="M1910" s="59"/>
    </row>
    <row r="1911" spans="2:13" x14ac:dyDescent="0.3">
      <c r="B1911" s="178"/>
      <c r="C1911" s="41"/>
      <c r="D1911" s="180"/>
      <c r="E1911" s="181"/>
      <c r="F1911" s="182"/>
      <c r="G1911" s="1" t="str">
        <f>IFERROR(IF(ventas_b_mes1255[[#This Row],[CUIT]]="","-",VLOOKUP(ventas_b_mes1255[[#This Row],[CUIT]],Lista_CUIT[#All],2,0)),"CUIT NO CARGADO")</f>
        <v>-</v>
      </c>
      <c r="H1911" s="100">
        <f>ventas_b_mes1255[[#This Row],[TOTAL]]/1.21</f>
        <v>0</v>
      </c>
      <c r="I1911" s="64">
        <f>ventas_b_mes1255[[#This Row],[IMPORTE NETO]]*0.21</f>
        <v>0</v>
      </c>
      <c r="J1911" s="184"/>
      <c r="K1911" s="184"/>
      <c r="L1911" s="184"/>
      <c r="M1911" s="59"/>
    </row>
    <row r="1912" spans="2:13" x14ac:dyDescent="0.3">
      <c r="B1912" s="178"/>
      <c r="C1912" s="41"/>
      <c r="D1912" s="180"/>
      <c r="E1912" s="181"/>
      <c r="F1912" s="182"/>
      <c r="G1912" s="1" t="str">
        <f>IFERROR(IF(ventas_b_mes1255[[#This Row],[CUIT]]="","-",VLOOKUP(ventas_b_mes1255[[#This Row],[CUIT]],Lista_CUIT[#All],2,0)),"CUIT NO CARGADO")</f>
        <v>-</v>
      </c>
      <c r="H1912" s="100">
        <f>ventas_b_mes1255[[#This Row],[TOTAL]]/1.21</f>
        <v>0</v>
      </c>
      <c r="I1912" s="64">
        <f>ventas_b_mes1255[[#This Row],[IMPORTE NETO]]*0.21</f>
        <v>0</v>
      </c>
      <c r="J1912" s="184"/>
      <c r="K1912" s="184"/>
      <c r="L1912" s="184"/>
      <c r="M1912" s="59"/>
    </row>
    <row r="1913" spans="2:13" x14ac:dyDescent="0.3">
      <c r="B1913" s="178"/>
      <c r="C1913" s="41"/>
      <c r="D1913" s="180"/>
      <c r="E1913" s="181"/>
      <c r="F1913" s="182"/>
      <c r="G1913" s="1" t="str">
        <f>IFERROR(IF(ventas_b_mes1255[[#This Row],[CUIT]]="","-",VLOOKUP(ventas_b_mes1255[[#This Row],[CUIT]],Lista_CUIT[#All],2,0)),"CUIT NO CARGADO")</f>
        <v>-</v>
      </c>
      <c r="H1913" s="100">
        <f>ventas_b_mes1255[[#This Row],[TOTAL]]/1.21</f>
        <v>0</v>
      </c>
      <c r="I1913" s="64">
        <f>ventas_b_mes1255[[#This Row],[IMPORTE NETO]]*0.21</f>
        <v>0</v>
      </c>
      <c r="J1913" s="184"/>
      <c r="K1913" s="184"/>
      <c r="L1913" s="184"/>
      <c r="M1913" s="59"/>
    </row>
    <row r="1914" spans="2:13" x14ac:dyDescent="0.3">
      <c r="B1914" s="178"/>
      <c r="C1914" s="41"/>
      <c r="D1914" s="180"/>
      <c r="E1914" s="181"/>
      <c r="F1914" s="182"/>
      <c r="G1914" s="1" t="str">
        <f>IFERROR(IF(ventas_b_mes1255[[#This Row],[CUIT]]="","-",VLOOKUP(ventas_b_mes1255[[#This Row],[CUIT]],Lista_CUIT[#All],2,0)),"CUIT NO CARGADO")</f>
        <v>-</v>
      </c>
      <c r="H1914" s="100">
        <f>ventas_b_mes1255[[#This Row],[TOTAL]]/1.21</f>
        <v>0</v>
      </c>
      <c r="I1914" s="64">
        <f>ventas_b_mes1255[[#This Row],[IMPORTE NETO]]*0.21</f>
        <v>0</v>
      </c>
      <c r="J1914" s="184"/>
      <c r="K1914" s="184"/>
      <c r="L1914" s="184"/>
      <c r="M1914" s="59"/>
    </row>
    <row r="1915" spans="2:13" x14ac:dyDescent="0.3">
      <c r="B1915" s="178"/>
      <c r="C1915" s="41"/>
      <c r="D1915" s="180"/>
      <c r="E1915" s="181"/>
      <c r="F1915" s="182"/>
      <c r="G1915" s="1" t="str">
        <f>IFERROR(IF(ventas_b_mes1255[[#This Row],[CUIT]]="","-",VLOOKUP(ventas_b_mes1255[[#This Row],[CUIT]],Lista_CUIT[#All],2,0)),"CUIT NO CARGADO")</f>
        <v>-</v>
      </c>
      <c r="H1915" s="100">
        <f>ventas_b_mes1255[[#This Row],[TOTAL]]/1.21</f>
        <v>0</v>
      </c>
      <c r="I1915" s="64">
        <f>ventas_b_mes1255[[#This Row],[IMPORTE NETO]]*0.21</f>
        <v>0</v>
      </c>
      <c r="J1915" s="184"/>
      <c r="K1915" s="184"/>
      <c r="L1915" s="184"/>
      <c r="M1915" s="59"/>
    </row>
    <row r="1916" spans="2:13" x14ac:dyDescent="0.3">
      <c r="B1916" s="178"/>
      <c r="C1916" s="41"/>
      <c r="D1916" s="180"/>
      <c r="E1916" s="181"/>
      <c r="F1916" s="182"/>
      <c r="G1916" s="1" t="str">
        <f>IFERROR(IF(ventas_b_mes1255[[#This Row],[CUIT]]="","-",VLOOKUP(ventas_b_mes1255[[#This Row],[CUIT]],Lista_CUIT[#All],2,0)),"CUIT NO CARGADO")</f>
        <v>-</v>
      </c>
      <c r="H1916" s="100">
        <f>ventas_b_mes1255[[#This Row],[TOTAL]]/1.21</f>
        <v>0</v>
      </c>
      <c r="I1916" s="64">
        <f>ventas_b_mes1255[[#This Row],[IMPORTE NETO]]*0.21</f>
        <v>0</v>
      </c>
      <c r="J1916" s="184"/>
      <c r="K1916" s="184"/>
      <c r="L1916" s="184"/>
      <c r="M1916" s="59"/>
    </row>
    <row r="1917" spans="2:13" x14ac:dyDescent="0.3">
      <c r="B1917" s="178"/>
      <c r="C1917" s="41"/>
      <c r="D1917" s="180"/>
      <c r="E1917" s="181"/>
      <c r="F1917" s="182"/>
      <c r="G1917" s="1" t="str">
        <f>IFERROR(IF(ventas_b_mes1255[[#This Row],[CUIT]]="","-",VLOOKUP(ventas_b_mes1255[[#This Row],[CUIT]],Lista_CUIT[#All],2,0)),"CUIT NO CARGADO")</f>
        <v>-</v>
      </c>
      <c r="H1917" s="100">
        <f>ventas_b_mes1255[[#This Row],[TOTAL]]/1.21</f>
        <v>0</v>
      </c>
      <c r="I1917" s="64">
        <f>ventas_b_mes1255[[#This Row],[IMPORTE NETO]]*0.21</f>
        <v>0</v>
      </c>
      <c r="J1917" s="184"/>
      <c r="K1917" s="184"/>
      <c r="L1917" s="184"/>
      <c r="M1917" s="59"/>
    </row>
    <row r="1918" spans="2:13" x14ac:dyDescent="0.3">
      <c r="B1918" s="178"/>
      <c r="C1918" s="41"/>
      <c r="D1918" s="180"/>
      <c r="E1918" s="181"/>
      <c r="F1918" s="182"/>
      <c r="G1918" s="1" t="str">
        <f>IFERROR(IF(ventas_b_mes1255[[#This Row],[CUIT]]="","-",VLOOKUP(ventas_b_mes1255[[#This Row],[CUIT]],Lista_CUIT[#All],2,0)),"CUIT NO CARGADO")</f>
        <v>-</v>
      </c>
      <c r="H1918" s="100">
        <f>ventas_b_mes1255[[#This Row],[TOTAL]]/1.21</f>
        <v>0</v>
      </c>
      <c r="I1918" s="64">
        <f>ventas_b_mes1255[[#This Row],[IMPORTE NETO]]*0.21</f>
        <v>0</v>
      </c>
      <c r="J1918" s="184"/>
      <c r="K1918" s="184"/>
      <c r="L1918" s="184"/>
      <c r="M1918" s="59"/>
    </row>
    <row r="1919" spans="2:13" x14ac:dyDescent="0.3">
      <c r="B1919" s="178"/>
      <c r="C1919" s="41"/>
      <c r="D1919" s="180"/>
      <c r="E1919" s="181"/>
      <c r="F1919" s="182"/>
      <c r="G1919" s="1" t="str">
        <f>IFERROR(IF(ventas_b_mes1255[[#This Row],[CUIT]]="","-",VLOOKUP(ventas_b_mes1255[[#This Row],[CUIT]],Lista_CUIT[#All],2,0)),"CUIT NO CARGADO")</f>
        <v>-</v>
      </c>
      <c r="H1919" s="100">
        <f>ventas_b_mes1255[[#This Row],[TOTAL]]/1.21</f>
        <v>0</v>
      </c>
      <c r="I1919" s="64">
        <f>ventas_b_mes1255[[#This Row],[IMPORTE NETO]]*0.21</f>
        <v>0</v>
      </c>
      <c r="J1919" s="184"/>
      <c r="K1919" s="184"/>
      <c r="L1919" s="184"/>
      <c r="M1919" s="59"/>
    </row>
    <row r="1920" spans="2:13" x14ac:dyDescent="0.3">
      <c r="B1920" s="178"/>
      <c r="C1920" s="41"/>
      <c r="D1920" s="180"/>
      <c r="E1920" s="181"/>
      <c r="F1920" s="182"/>
      <c r="G1920" s="1" t="str">
        <f>IFERROR(IF(ventas_b_mes1255[[#This Row],[CUIT]]="","-",VLOOKUP(ventas_b_mes1255[[#This Row],[CUIT]],Lista_CUIT[#All],2,0)),"CUIT NO CARGADO")</f>
        <v>-</v>
      </c>
      <c r="H1920" s="100">
        <f>ventas_b_mes1255[[#This Row],[TOTAL]]/1.21</f>
        <v>0</v>
      </c>
      <c r="I1920" s="64">
        <f>ventas_b_mes1255[[#This Row],[IMPORTE NETO]]*0.21</f>
        <v>0</v>
      </c>
      <c r="J1920" s="184"/>
      <c r="K1920" s="184"/>
      <c r="L1920" s="184"/>
      <c r="M1920" s="59"/>
    </row>
    <row r="1921" spans="2:13" x14ac:dyDescent="0.3">
      <c r="B1921" s="178"/>
      <c r="C1921" s="41"/>
      <c r="D1921" s="180"/>
      <c r="E1921" s="181"/>
      <c r="F1921" s="182"/>
      <c r="G1921" s="1" t="str">
        <f>IFERROR(IF(ventas_b_mes1255[[#This Row],[CUIT]]="","-",VLOOKUP(ventas_b_mes1255[[#This Row],[CUIT]],Lista_CUIT[#All],2,0)),"CUIT NO CARGADO")</f>
        <v>-</v>
      </c>
      <c r="H1921" s="100">
        <f>ventas_b_mes1255[[#This Row],[TOTAL]]/1.21</f>
        <v>0</v>
      </c>
      <c r="I1921" s="64">
        <f>ventas_b_mes1255[[#This Row],[IMPORTE NETO]]*0.21</f>
        <v>0</v>
      </c>
      <c r="J1921" s="184"/>
      <c r="K1921" s="184"/>
      <c r="L1921" s="184"/>
      <c r="M1921" s="59"/>
    </row>
    <row r="1922" spans="2:13" x14ac:dyDescent="0.3">
      <c r="B1922" s="178"/>
      <c r="C1922" s="41"/>
      <c r="D1922" s="180"/>
      <c r="E1922" s="181"/>
      <c r="F1922" s="182"/>
      <c r="G1922" s="1" t="str">
        <f>IFERROR(IF(ventas_b_mes1255[[#This Row],[CUIT]]="","-",VLOOKUP(ventas_b_mes1255[[#This Row],[CUIT]],Lista_CUIT[#All],2,0)),"CUIT NO CARGADO")</f>
        <v>-</v>
      </c>
      <c r="H1922" s="100">
        <f>ventas_b_mes1255[[#This Row],[TOTAL]]/1.21</f>
        <v>0</v>
      </c>
      <c r="I1922" s="64">
        <f>ventas_b_mes1255[[#This Row],[IMPORTE NETO]]*0.21</f>
        <v>0</v>
      </c>
      <c r="J1922" s="184"/>
      <c r="K1922" s="184"/>
      <c r="L1922" s="184"/>
      <c r="M1922" s="59"/>
    </row>
    <row r="1923" spans="2:13" x14ac:dyDescent="0.3">
      <c r="B1923" s="178"/>
      <c r="C1923" s="41"/>
      <c r="D1923" s="180"/>
      <c r="E1923" s="181"/>
      <c r="F1923" s="182"/>
      <c r="G1923" s="1" t="str">
        <f>IFERROR(IF(ventas_b_mes1255[[#This Row],[CUIT]]="","-",VLOOKUP(ventas_b_mes1255[[#This Row],[CUIT]],Lista_CUIT[#All],2,0)),"CUIT NO CARGADO")</f>
        <v>-</v>
      </c>
      <c r="H1923" s="100">
        <f>ventas_b_mes1255[[#This Row],[TOTAL]]/1.21</f>
        <v>0</v>
      </c>
      <c r="I1923" s="64">
        <f>ventas_b_mes1255[[#This Row],[IMPORTE NETO]]*0.21</f>
        <v>0</v>
      </c>
      <c r="J1923" s="184"/>
      <c r="K1923" s="184"/>
      <c r="L1923" s="184"/>
      <c r="M1923" s="59"/>
    </row>
    <row r="1924" spans="2:13" x14ac:dyDescent="0.3">
      <c r="B1924" s="178"/>
      <c r="C1924" s="41"/>
      <c r="D1924" s="180"/>
      <c r="E1924" s="181"/>
      <c r="F1924" s="182"/>
      <c r="G1924" s="1" t="str">
        <f>IFERROR(IF(ventas_b_mes1255[[#This Row],[CUIT]]="","-",VLOOKUP(ventas_b_mes1255[[#This Row],[CUIT]],Lista_CUIT[#All],2,0)),"CUIT NO CARGADO")</f>
        <v>-</v>
      </c>
      <c r="H1924" s="100">
        <f>ventas_b_mes1255[[#This Row],[TOTAL]]/1.21</f>
        <v>0</v>
      </c>
      <c r="I1924" s="64">
        <f>ventas_b_mes1255[[#This Row],[IMPORTE NETO]]*0.21</f>
        <v>0</v>
      </c>
      <c r="J1924" s="184"/>
      <c r="K1924" s="184"/>
      <c r="L1924" s="184"/>
      <c r="M1924" s="59"/>
    </row>
    <row r="1925" spans="2:13" x14ac:dyDescent="0.3">
      <c r="B1925" s="178"/>
      <c r="C1925" s="41"/>
      <c r="D1925" s="180"/>
      <c r="E1925" s="181"/>
      <c r="F1925" s="182"/>
      <c r="G1925" s="1" t="str">
        <f>IFERROR(IF(ventas_b_mes1255[[#This Row],[CUIT]]="","-",VLOOKUP(ventas_b_mes1255[[#This Row],[CUIT]],Lista_CUIT[#All],2,0)),"CUIT NO CARGADO")</f>
        <v>-</v>
      </c>
      <c r="H1925" s="100">
        <f>ventas_b_mes1255[[#This Row],[TOTAL]]/1.21</f>
        <v>0</v>
      </c>
      <c r="I1925" s="64">
        <f>ventas_b_mes1255[[#This Row],[IMPORTE NETO]]*0.21</f>
        <v>0</v>
      </c>
      <c r="J1925" s="184"/>
      <c r="K1925" s="184"/>
      <c r="L1925" s="184"/>
      <c r="M1925" s="59"/>
    </row>
    <row r="1926" spans="2:13" x14ac:dyDescent="0.3">
      <c r="B1926" s="178"/>
      <c r="C1926" s="41"/>
      <c r="D1926" s="180"/>
      <c r="E1926" s="181"/>
      <c r="F1926" s="182"/>
      <c r="G1926" s="1" t="str">
        <f>IFERROR(IF(ventas_b_mes1255[[#This Row],[CUIT]]="","-",VLOOKUP(ventas_b_mes1255[[#This Row],[CUIT]],Lista_CUIT[#All],2,0)),"CUIT NO CARGADO")</f>
        <v>-</v>
      </c>
      <c r="H1926" s="100">
        <f>ventas_b_mes1255[[#This Row],[TOTAL]]/1.21</f>
        <v>0</v>
      </c>
      <c r="I1926" s="64">
        <f>ventas_b_mes1255[[#This Row],[IMPORTE NETO]]*0.21</f>
        <v>0</v>
      </c>
      <c r="J1926" s="184"/>
      <c r="K1926" s="184"/>
      <c r="L1926" s="184"/>
      <c r="M1926" s="59"/>
    </row>
    <row r="1927" spans="2:13" x14ac:dyDescent="0.3">
      <c r="B1927" s="178"/>
      <c r="C1927" s="41"/>
      <c r="D1927" s="180"/>
      <c r="E1927" s="181"/>
      <c r="F1927" s="182"/>
      <c r="G1927" s="1" t="str">
        <f>IFERROR(IF(ventas_b_mes1255[[#This Row],[CUIT]]="","-",VLOOKUP(ventas_b_mes1255[[#This Row],[CUIT]],Lista_CUIT[#All],2,0)),"CUIT NO CARGADO")</f>
        <v>-</v>
      </c>
      <c r="H1927" s="100">
        <f>ventas_b_mes1255[[#This Row],[TOTAL]]/1.21</f>
        <v>0</v>
      </c>
      <c r="I1927" s="64">
        <f>ventas_b_mes1255[[#This Row],[IMPORTE NETO]]*0.21</f>
        <v>0</v>
      </c>
      <c r="J1927" s="184"/>
      <c r="K1927" s="184"/>
      <c r="L1927" s="184"/>
      <c r="M1927" s="59"/>
    </row>
    <row r="1928" spans="2:13" x14ac:dyDescent="0.3">
      <c r="B1928" s="178"/>
      <c r="C1928" s="41"/>
      <c r="D1928" s="180"/>
      <c r="E1928" s="181"/>
      <c r="F1928" s="182"/>
      <c r="G1928" s="1" t="str">
        <f>IFERROR(IF(ventas_b_mes1255[[#This Row],[CUIT]]="","-",VLOOKUP(ventas_b_mes1255[[#This Row],[CUIT]],Lista_CUIT[#All],2,0)),"CUIT NO CARGADO")</f>
        <v>-</v>
      </c>
      <c r="H1928" s="100">
        <f>ventas_b_mes1255[[#This Row],[TOTAL]]/1.21</f>
        <v>0</v>
      </c>
      <c r="I1928" s="64">
        <f>ventas_b_mes1255[[#This Row],[IMPORTE NETO]]*0.21</f>
        <v>0</v>
      </c>
      <c r="J1928" s="184"/>
      <c r="K1928" s="184"/>
      <c r="L1928" s="184"/>
      <c r="M1928" s="59"/>
    </row>
    <row r="1929" spans="2:13" x14ac:dyDescent="0.3">
      <c r="B1929" s="178"/>
      <c r="C1929" s="41"/>
      <c r="D1929" s="180"/>
      <c r="E1929" s="181"/>
      <c r="F1929" s="182"/>
      <c r="G1929" s="1" t="str">
        <f>IFERROR(IF(ventas_b_mes1255[[#This Row],[CUIT]]="","-",VLOOKUP(ventas_b_mes1255[[#This Row],[CUIT]],Lista_CUIT[#All],2,0)),"CUIT NO CARGADO")</f>
        <v>-</v>
      </c>
      <c r="H1929" s="100">
        <f>ventas_b_mes1255[[#This Row],[TOTAL]]/1.21</f>
        <v>0</v>
      </c>
      <c r="I1929" s="64">
        <f>ventas_b_mes1255[[#This Row],[IMPORTE NETO]]*0.21</f>
        <v>0</v>
      </c>
      <c r="J1929" s="184"/>
      <c r="K1929" s="184"/>
      <c r="L1929" s="184"/>
      <c r="M1929" s="59"/>
    </row>
    <row r="1930" spans="2:13" x14ac:dyDescent="0.3">
      <c r="B1930" s="178"/>
      <c r="C1930" s="41"/>
      <c r="D1930" s="180"/>
      <c r="E1930" s="181"/>
      <c r="F1930" s="182"/>
      <c r="G1930" s="1" t="str">
        <f>IFERROR(IF(ventas_b_mes1255[[#This Row],[CUIT]]="","-",VLOOKUP(ventas_b_mes1255[[#This Row],[CUIT]],Lista_CUIT[#All],2,0)),"CUIT NO CARGADO")</f>
        <v>-</v>
      </c>
      <c r="H1930" s="100">
        <f>ventas_b_mes1255[[#This Row],[TOTAL]]/1.21</f>
        <v>0</v>
      </c>
      <c r="I1930" s="64">
        <f>ventas_b_mes1255[[#This Row],[IMPORTE NETO]]*0.21</f>
        <v>0</v>
      </c>
      <c r="J1930" s="184"/>
      <c r="K1930" s="184"/>
      <c r="L1930" s="184"/>
      <c r="M1930" s="59"/>
    </row>
    <row r="1931" spans="2:13" x14ac:dyDescent="0.3">
      <c r="B1931" s="178"/>
      <c r="C1931" s="41"/>
      <c r="D1931" s="180"/>
      <c r="E1931" s="181"/>
      <c r="F1931" s="182"/>
      <c r="G1931" s="1" t="str">
        <f>IFERROR(IF(ventas_b_mes1255[[#This Row],[CUIT]]="","-",VLOOKUP(ventas_b_mes1255[[#This Row],[CUIT]],Lista_CUIT[#All],2,0)),"CUIT NO CARGADO")</f>
        <v>-</v>
      </c>
      <c r="H1931" s="100">
        <f>ventas_b_mes1255[[#This Row],[TOTAL]]/1.21</f>
        <v>0</v>
      </c>
      <c r="I1931" s="64">
        <f>ventas_b_mes1255[[#This Row],[IMPORTE NETO]]*0.21</f>
        <v>0</v>
      </c>
      <c r="J1931" s="184"/>
      <c r="K1931" s="184"/>
      <c r="L1931" s="184"/>
      <c r="M1931" s="59"/>
    </row>
    <row r="1932" spans="2:13" x14ac:dyDescent="0.3">
      <c r="B1932" s="178"/>
      <c r="C1932" s="41"/>
      <c r="D1932" s="180"/>
      <c r="E1932" s="181"/>
      <c r="F1932" s="182"/>
      <c r="G1932" s="1" t="str">
        <f>IFERROR(IF(ventas_b_mes1255[[#This Row],[CUIT]]="","-",VLOOKUP(ventas_b_mes1255[[#This Row],[CUIT]],Lista_CUIT[#All],2,0)),"CUIT NO CARGADO")</f>
        <v>-</v>
      </c>
      <c r="H1932" s="100">
        <f>ventas_b_mes1255[[#This Row],[TOTAL]]/1.21</f>
        <v>0</v>
      </c>
      <c r="I1932" s="64">
        <f>ventas_b_mes1255[[#This Row],[IMPORTE NETO]]*0.21</f>
        <v>0</v>
      </c>
      <c r="J1932" s="184"/>
      <c r="K1932" s="184"/>
      <c r="L1932" s="184"/>
      <c r="M1932" s="59"/>
    </row>
    <row r="1933" spans="2:13" x14ac:dyDescent="0.3">
      <c r="B1933" s="178"/>
      <c r="C1933" s="41"/>
      <c r="D1933" s="180"/>
      <c r="E1933" s="181"/>
      <c r="F1933" s="182"/>
      <c r="G1933" s="1" t="str">
        <f>IFERROR(IF(ventas_b_mes1255[[#This Row],[CUIT]]="","-",VLOOKUP(ventas_b_mes1255[[#This Row],[CUIT]],Lista_CUIT[#All],2,0)),"CUIT NO CARGADO")</f>
        <v>-</v>
      </c>
      <c r="H1933" s="100">
        <f>ventas_b_mes1255[[#This Row],[TOTAL]]/1.21</f>
        <v>0</v>
      </c>
      <c r="I1933" s="64">
        <f>ventas_b_mes1255[[#This Row],[IMPORTE NETO]]*0.21</f>
        <v>0</v>
      </c>
      <c r="J1933" s="184"/>
      <c r="K1933" s="184"/>
      <c r="L1933" s="184"/>
      <c r="M1933" s="59"/>
    </row>
    <row r="1934" spans="2:13" x14ac:dyDescent="0.3">
      <c r="B1934" s="178"/>
      <c r="C1934" s="41"/>
      <c r="D1934" s="180"/>
      <c r="E1934" s="181"/>
      <c r="F1934" s="182"/>
      <c r="G1934" s="1" t="str">
        <f>IFERROR(IF(ventas_b_mes1255[[#This Row],[CUIT]]="","-",VLOOKUP(ventas_b_mes1255[[#This Row],[CUIT]],Lista_CUIT[#All],2,0)),"CUIT NO CARGADO")</f>
        <v>-</v>
      </c>
      <c r="H1934" s="100">
        <f>ventas_b_mes1255[[#This Row],[TOTAL]]/1.21</f>
        <v>0</v>
      </c>
      <c r="I1934" s="64">
        <f>ventas_b_mes1255[[#This Row],[IMPORTE NETO]]*0.21</f>
        <v>0</v>
      </c>
      <c r="J1934" s="184"/>
      <c r="K1934" s="184"/>
      <c r="L1934" s="184"/>
      <c r="M1934" s="59"/>
    </row>
    <row r="1935" spans="2:13" x14ac:dyDescent="0.3">
      <c r="B1935" s="178"/>
      <c r="C1935" s="41"/>
      <c r="D1935" s="180"/>
      <c r="E1935" s="181"/>
      <c r="F1935" s="182"/>
      <c r="G1935" s="1" t="str">
        <f>IFERROR(IF(ventas_b_mes1255[[#This Row],[CUIT]]="","-",VLOOKUP(ventas_b_mes1255[[#This Row],[CUIT]],Lista_CUIT[#All],2,0)),"CUIT NO CARGADO")</f>
        <v>-</v>
      </c>
      <c r="H1935" s="100">
        <f>ventas_b_mes1255[[#This Row],[TOTAL]]/1.21</f>
        <v>0</v>
      </c>
      <c r="I1935" s="64">
        <f>ventas_b_mes1255[[#This Row],[IMPORTE NETO]]*0.21</f>
        <v>0</v>
      </c>
      <c r="J1935" s="184"/>
      <c r="K1935" s="184"/>
      <c r="L1935" s="184"/>
      <c r="M1935" s="59"/>
    </row>
    <row r="1936" spans="2:13" x14ac:dyDescent="0.3">
      <c r="B1936" s="178"/>
      <c r="C1936" s="41"/>
      <c r="D1936" s="180"/>
      <c r="E1936" s="181"/>
      <c r="F1936" s="182"/>
      <c r="G1936" s="1" t="str">
        <f>IFERROR(IF(ventas_b_mes1255[[#This Row],[CUIT]]="","-",VLOOKUP(ventas_b_mes1255[[#This Row],[CUIT]],Lista_CUIT[#All],2,0)),"CUIT NO CARGADO")</f>
        <v>-</v>
      </c>
      <c r="H1936" s="100">
        <f>ventas_b_mes1255[[#This Row],[TOTAL]]/1.21</f>
        <v>0</v>
      </c>
      <c r="I1936" s="64">
        <f>ventas_b_mes1255[[#This Row],[IMPORTE NETO]]*0.21</f>
        <v>0</v>
      </c>
      <c r="J1936" s="184"/>
      <c r="K1936" s="184"/>
      <c r="L1936" s="184"/>
      <c r="M1936" s="59"/>
    </row>
    <row r="1937" spans="2:13" x14ac:dyDescent="0.3">
      <c r="B1937" s="178"/>
      <c r="C1937" s="41"/>
      <c r="D1937" s="180"/>
      <c r="E1937" s="181"/>
      <c r="F1937" s="182"/>
      <c r="G1937" s="1" t="str">
        <f>IFERROR(IF(ventas_b_mes1255[[#This Row],[CUIT]]="","-",VLOOKUP(ventas_b_mes1255[[#This Row],[CUIT]],Lista_CUIT[#All],2,0)),"CUIT NO CARGADO")</f>
        <v>-</v>
      </c>
      <c r="H1937" s="100">
        <f>ventas_b_mes1255[[#This Row],[TOTAL]]/1.21</f>
        <v>0</v>
      </c>
      <c r="I1937" s="64">
        <f>ventas_b_mes1255[[#This Row],[IMPORTE NETO]]*0.21</f>
        <v>0</v>
      </c>
      <c r="J1937" s="184"/>
      <c r="K1937" s="184"/>
      <c r="L1937" s="184"/>
      <c r="M1937" s="59"/>
    </row>
    <row r="1938" spans="2:13" x14ac:dyDescent="0.3">
      <c r="B1938" s="178"/>
      <c r="C1938" s="41"/>
      <c r="D1938" s="180"/>
      <c r="E1938" s="181"/>
      <c r="F1938" s="182"/>
      <c r="G1938" s="1" t="str">
        <f>IFERROR(IF(ventas_b_mes1255[[#This Row],[CUIT]]="","-",VLOOKUP(ventas_b_mes1255[[#This Row],[CUIT]],Lista_CUIT[#All],2,0)),"CUIT NO CARGADO")</f>
        <v>-</v>
      </c>
      <c r="H1938" s="100">
        <f>ventas_b_mes1255[[#This Row],[TOTAL]]/1.21</f>
        <v>0</v>
      </c>
      <c r="I1938" s="64">
        <f>ventas_b_mes1255[[#This Row],[IMPORTE NETO]]*0.21</f>
        <v>0</v>
      </c>
      <c r="J1938" s="184"/>
      <c r="K1938" s="184"/>
      <c r="L1938" s="184"/>
      <c r="M1938" s="59"/>
    </row>
    <row r="1939" spans="2:13" x14ac:dyDescent="0.3">
      <c r="B1939" s="178"/>
      <c r="C1939" s="41"/>
      <c r="D1939" s="180"/>
      <c r="E1939" s="181"/>
      <c r="F1939" s="182"/>
      <c r="G1939" s="1" t="str">
        <f>IFERROR(IF(ventas_b_mes1255[[#This Row],[CUIT]]="","-",VLOOKUP(ventas_b_mes1255[[#This Row],[CUIT]],Lista_CUIT[#All],2,0)),"CUIT NO CARGADO")</f>
        <v>-</v>
      </c>
      <c r="H1939" s="100">
        <f>ventas_b_mes1255[[#This Row],[TOTAL]]/1.21</f>
        <v>0</v>
      </c>
      <c r="I1939" s="64">
        <f>ventas_b_mes1255[[#This Row],[IMPORTE NETO]]*0.21</f>
        <v>0</v>
      </c>
      <c r="J1939" s="184"/>
      <c r="K1939" s="184"/>
      <c r="L1939" s="184"/>
      <c r="M1939" s="59"/>
    </row>
    <row r="1940" spans="2:13" x14ac:dyDescent="0.3">
      <c r="B1940" s="178"/>
      <c r="C1940" s="41"/>
      <c r="D1940" s="180"/>
      <c r="E1940" s="181"/>
      <c r="F1940" s="182"/>
      <c r="G1940" s="1" t="str">
        <f>IFERROR(IF(ventas_b_mes1255[[#This Row],[CUIT]]="","-",VLOOKUP(ventas_b_mes1255[[#This Row],[CUIT]],Lista_CUIT[#All],2,0)),"CUIT NO CARGADO")</f>
        <v>-</v>
      </c>
      <c r="H1940" s="100">
        <f>ventas_b_mes1255[[#This Row],[TOTAL]]/1.21</f>
        <v>0</v>
      </c>
      <c r="I1940" s="64">
        <f>ventas_b_mes1255[[#This Row],[IMPORTE NETO]]*0.21</f>
        <v>0</v>
      </c>
      <c r="J1940" s="184"/>
      <c r="K1940" s="184"/>
      <c r="L1940" s="184"/>
      <c r="M1940" s="59"/>
    </row>
    <row r="1941" spans="2:13" x14ac:dyDescent="0.3">
      <c r="B1941" s="178"/>
      <c r="C1941" s="41"/>
      <c r="D1941" s="180"/>
      <c r="E1941" s="181"/>
      <c r="F1941" s="182"/>
      <c r="G1941" s="1" t="str">
        <f>IFERROR(IF(ventas_b_mes1255[[#This Row],[CUIT]]="","-",VLOOKUP(ventas_b_mes1255[[#This Row],[CUIT]],Lista_CUIT[#All],2,0)),"CUIT NO CARGADO")</f>
        <v>-</v>
      </c>
      <c r="H1941" s="100">
        <f>ventas_b_mes1255[[#This Row],[TOTAL]]/1.21</f>
        <v>0</v>
      </c>
      <c r="I1941" s="64">
        <f>ventas_b_mes1255[[#This Row],[IMPORTE NETO]]*0.21</f>
        <v>0</v>
      </c>
      <c r="J1941" s="184"/>
      <c r="K1941" s="184"/>
      <c r="L1941" s="184"/>
      <c r="M1941" s="59"/>
    </row>
    <row r="1942" spans="2:13" x14ac:dyDescent="0.3">
      <c r="B1942" s="178"/>
      <c r="C1942" s="41"/>
      <c r="D1942" s="180"/>
      <c r="E1942" s="181"/>
      <c r="F1942" s="182"/>
      <c r="G1942" s="1" t="str">
        <f>IFERROR(IF(ventas_b_mes1255[[#This Row],[CUIT]]="","-",VLOOKUP(ventas_b_mes1255[[#This Row],[CUIT]],Lista_CUIT[#All],2,0)),"CUIT NO CARGADO")</f>
        <v>-</v>
      </c>
      <c r="H1942" s="100">
        <f>ventas_b_mes1255[[#This Row],[TOTAL]]/1.21</f>
        <v>0</v>
      </c>
      <c r="I1942" s="64">
        <f>ventas_b_mes1255[[#This Row],[IMPORTE NETO]]*0.21</f>
        <v>0</v>
      </c>
      <c r="J1942" s="184"/>
      <c r="K1942" s="184"/>
      <c r="L1942" s="184"/>
      <c r="M1942" s="59"/>
    </row>
    <row r="1943" spans="2:13" x14ac:dyDescent="0.3">
      <c r="B1943" s="178"/>
      <c r="C1943" s="41"/>
      <c r="D1943" s="180"/>
      <c r="E1943" s="181"/>
      <c r="F1943" s="182"/>
      <c r="G1943" s="1" t="str">
        <f>IFERROR(IF(ventas_b_mes1255[[#This Row],[CUIT]]="","-",VLOOKUP(ventas_b_mes1255[[#This Row],[CUIT]],Lista_CUIT[#All],2,0)),"CUIT NO CARGADO")</f>
        <v>-</v>
      </c>
      <c r="H1943" s="100">
        <f>ventas_b_mes1255[[#This Row],[TOTAL]]/1.21</f>
        <v>0</v>
      </c>
      <c r="I1943" s="64">
        <f>ventas_b_mes1255[[#This Row],[IMPORTE NETO]]*0.21</f>
        <v>0</v>
      </c>
      <c r="J1943" s="184"/>
      <c r="K1943" s="184"/>
      <c r="L1943" s="184"/>
      <c r="M1943" s="59"/>
    </row>
    <row r="1944" spans="2:13" x14ac:dyDescent="0.3">
      <c r="B1944" s="178"/>
      <c r="C1944" s="41"/>
      <c r="D1944" s="180"/>
      <c r="E1944" s="181"/>
      <c r="F1944" s="182"/>
      <c r="G1944" s="1" t="str">
        <f>IFERROR(IF(ventas_b_mes1255[[#This Row],[CUIT]]="","-",VLOOKUP(ventas_b_mes1255[[#This Row],[CUIT]],Lista_CUIT[#All],2,0)),"CUIT NO CARGADO")</f>
        <v>-</v>
      </c>
      <c r="H1944" s="100">
        <f>ventas_b_mes1255[[#This Row],[TOTAL]]/1.21</f>
        <v>0</v>
      </c>
      <c r="I1944" s="64">
        <f>ventas_b_mes1255[[#This Row],[IMPORTE NETO]]*0.21</f>
        <v>0</v>
      </c>
      <c r="J1944" s="184"/>
      <c r="K1944" s="184"/>
      <c r="L1944" s="184"/>
      <c r="M1944" s="59"/>
    </row>
    <row r="1945" spans="2:13" x14ac:dyDescent="0.3">
      <c r="B1945" s="178"/>
      <c r="C1945" s="41"/>
      <c r="D1945" s="180"/>
      <c r="E1945" s="181"/>
      <c r="F1945" s="182"/>
      <c r="G1945" s="1" t="str">
        <f>IFERROR(IF(ventas_b_mes1255[[#This Row],[CUIT]]="","-",VLOOKUP(ventas_b_mes1255[[#This Row],[CUIT]],Lista_CUIT[#All],2,0)),"CUIT NO CARGADO")</f>
        <v>-</v>
      </c>
      <c r="H1945" s="100">
        <f>ventas_b_mes1255[[#This Row],[TOTAL]]/1.21</f>
        <v>0</v>
      </c>
      <c r="I1945" s="64">
        <f>ventas_b_mes1255[[#This Row],[IMPORTE NETO]]*0.21</f>
        <v>0</v>
      </c>
      <c r="J1945" s="184"/>
      <c r="K1945" s="184"/>
      <c r="L1945" s="184"/>
      <c r="M1945" s="59"/>
    </row>
    <row r="1946" spans="2:13" x14ac:dyDescent="0.3">
      <c r="B1946" s="178"/>
      <c r="C1946" s="41"/>
      <c r="D1946" s="180"/>
      <c r="E1946" s="181"/>
      <c r="F1946" s="182"/>
      <c r="G1946" s="1" t="str">
        <f>IFERROR(IF(ventas_b_mes1255[[#This Row],[CUIT]]="","-",VLOOKUP(ventas_b_mes1255[[#This Row],[CUIT]],Lista_CUIT[#All],2,0)),"CUIT NO CARGADO")</f>
        <v>-</v>
      </c>
      <c r="H1946" s="100">
        <f>ventas_b_mes1255[[#This Row],[TOTAL]]/1.21</f>
        <v>0</v>
      </c>
      <c r="I1946" s="64">
        <f>ventas_b_mes1255[[#This Row],[IMPORTE NETO]]*0.21</f>
        <v>0</v>
      </c>
      <c r="J1946" s="184"/>
      <c r="K1946" s="184"/>
      <c r="L1946" s="184"/>
      <c r="M1946" s="59"/>
    </row>
    <row r="1947" spans="2:13" x14ac:dyDescent="0.3">
      <c r="B1947" s="178"/>
      <c r="C1947" s="41"/>
      <c r="D1947" s="180"/>
      <c r="E1947" s="181"/>
      <c r="F1947" s="182"/>
      <c r="G1947" s="1" t="str">
        <f>IFERROR(IF(ventas_b_mes1255[[#This Row],[CUIT]]="","-",VLOOKUP(ventas_b_mes1255[[#This Row],[CUIT]],Lista_CUIT[#All],2,0)),"CUIT NO CARGADO")</f>
        <v>-</v>
      </c>
      <c r="H1947" s="100">
        <f>ventas_b_mes1255[[#This Row],[TOTAL]]/1.21</f>
        <v>0</v>
      </c>
      <c r="I1947" s="64">
        <f>ventas_b_mes1255[[#This Row],[IMPORTE NETO]]*0.21</f>
        <v>0</v>
      </c>
      <c r="J1947" s="184"/>
      <c r="K1947" s="184"/>
      <c r="L1947" s="184"/>
      <c r="M1947" s="59"/>
    </row>
    <row r="1948" spans="2:13" x14ac:dyDescent="0.3">
      <c r="B1948" s="178"/>
      <c r="C1948" s="41"/>
      <c r="D1948" s="180"/>
      <c r="E1948" s="181"/>
      <c r="F1948" s="182"/>
      <c r="G1948" s="1" t="str">
        <f>IFERROR(IF(ventas_b_mes1255[[#This Row],[CUIT]]="","-",VLOOKUP(ventas_b_mes1255[[#This Row],[CUIT]],Lista_CUIT[#All],2,0)),"CUIT NO CARGADO")</f>
        <v>-</v>
      </c>
      <c r="H1948" s="100">
        <f>ventas_b_mes1255[[#This Row],[TOTAL]]/1.21</f>
        <v>0</v>
      </c>
      <c r="I1948" s="64">
        <f>ventas_b_mes1255[[#This Row],[IMPORTE NETO]]*0.21</f>
        <v>0</v>
      </c>
      <c r="J1948" s="184"/>
      <c r="K1948" s="184"/>
      <c r="L1948" s="184"/>
      <c r="M1948" s="59"/>
    </row>
    <row r="1949" spans="2:13" x14ac:dyDescent="0.3">
      <c r="B1949" s="178"/>
      <c r="C1949" s="41"/>
      <c r="D1949" s="180"/>
      <c r="E1949" s="181"/>
      <c r="F1949" s="182"/>
      <c r="G1949" s="1" t="str">
        <f>IFERROR(IF(ventas_b_mes1255[[#This Row],[CUIT]]="","-",VLOOKUP(ventas_b_mes1255[[#This Row],[CUIT]],Lista_CUIT[#All],2,0)),"CUIT NO CARGADO")</f>
        <v>-</v>
      </c>
      <c r="H1949" s="100">
        <f>ventas_b_mes1255[[#This Row],[TOTAL]]/1.21</f>
        <v>0</v>
      </c>
      <c r="I1949" s="64">
        <f>ventas_b_mes1255[[#This Row],[IMPORTE NETO]]*0.21</f>
        <v>0</v>
      </c>
      <c r="J1949" s="184"/>
      <c r="K1949" s="184"/>
      <c r="L1949" s="184"/>
      <c r="M1949" s="59"/>
    </row>
    <row r="1950" spans="2:13" x14ac:dyDescent="0.3">
      <c r="B1950" s="178"/>
      <c r="C1950" s="41"/>
      <c r="D1950" s="180"/>
      <c r="E1950" s="181"/>
      <c r="F1950" s="182"/>
      <c r="G1950" s="1" t="str">
        <f>IFERROR(IF(ventas_b_mes1255[[#This Row],[CUIT]]="","-",VLOOKUP(ventas_b_mes1255[[#This Row],[CUIT]],Lista_CUIT[#All],2,0)),"CUIT NO CARGADO")</f>
        <v>-</v>
      </c>
      <c r="H1950" s="100">
        <f>ventas_b_mes1255[[#This Row],[TOTAL]]/1.21</f>
        <v>0</v>
      </c>
      <c r="I1950" s="64">
        <f>ventas_b_mes1255[[#This Row],[IMPORTE NETO]]*0.21</f>
        <v>0</v>
      </c>
      <c r="J1950" s="184"/>
      <c r="K1950" s="184"/>
      <c r="L1950" s="184"/>
      <c r="M1950" s="59"/>
    </row>
    <row r="1951" spans="2:13" x14ac:dyDescent="0.3">
      <c r="B1951" s="178"/>
      <c r="C1951" s="41"/>
      <c r="D1951" s="180"/>
      <c r="E1951" s="181"/>
      <c r="F1951" s="182"/>
      <c r="G1951" s="1" t="str">
        <f>IFERROR(IF(ventas_b_mes1255[[#This Row],[CUIT]]="","-",VLOOKUP(ventas_b_mes1255[[#This Row],[CUIT]],Lista_CUIT[#All],2,0)),"CUIT NO CARGADO")</f>
        <v>-</v>
      </c>
      <c r="H1951" s="100">
        <f>ventas_b_mes1255[[#This Row],[TOTAL]]/1.21</f>
        <v>0</v>
      </c>
      <c r="I1951" s="64">
        <f>ventas_b_mes1255[[#This Row],[IMPORTE NETO]]*0.21</f>
        <v>0</v>
      </c>
      <c r="J1951" s="184"/>
      <c r="K1951" s="184"/>
      <c r="L1951" s="184"/>
      <c r="M1951" s="59"/>
    </row>
    <row r="1952" spans="2:13" x14ac:dyDescent="0.3">
      <c r="B1952" s="178"/>
      <c r="C1952" s="41"/>
      <c r="D1952" s="180"/>
      <c r="E1952" s="181"/>
      <c r="F1952" s="182"/>
      <c r="G1952" s="1" t="str">
        <f>IFERROR(IF(ventas_b_mes1255[[#This Row],[CUIT]]="","-",VLOOKUP(ventas_b_mes1255[[#This Row],[CUIT]],Lista_CUIT[#All],2,0)),"CUIT NO CARGADO")</f>
        <v>-</v>
      </c>
      <c r="H1952" s="100">
        <f>ventas_b_mes1255[[#This Row],[TOTAL]]/1.21</f>
        <v>0</v>
      </c>
      <c r="I1952" s="64">
        <f>ventas_b_mes1255[[#This Row],[IMPORTE NETO]]*0.21</f>
        <v>0</v>
      </c>
      <c r="J1952" s="184"/>
      <c r="K1952" s="184"/>
      <c r="L1952" s="184"/>
      <c r="M1952" s="59"/>
    </row>
    <row r="1953" spans="2:13" x14ac:dyDescent="0.3">
      <c r="B1953" s="178"/>
      <c r="C1953" s="41"/>
      <c r="D1953" s="180"/>
      <c r="E1953" s="181"/>
      <c r="F1953" s="182"/>
      <c r="G1953" s="1" t="str">
        <f>IFERROR(IF(ventas_b_mes1255[[#This Row],[CUIT]]="","-",VLOOKUP(ventas_b_mes1255[[#This Row],[CUIT]],Lista_CUIT[#All],2,0)),"CUIT NO CARGADO")</f>
        <v>-</v>
      </c>
      <c r="H1953" s="100">
        <f>ventas_b_mes1255[[#This Row],[TOTAL]]/1.21</f>
        <v>0</v>
      </c>
      <c r="I1953" s="64">
        <f>ventas_b_mes1255[[#This Row],[IMPORTE NETO]]*0.21</f>
        <v>0</v>
      </c>
      <c r="J1953" s="184"/>
      <c r="K1953" s="184"/>
      <c r="L1953" s="184"/>
      <c r="M1953" s="59"/>
    </row>
    <row r="1954" spans="2:13" x14ac:dyDescent="0.3">
      <c r="B1954" s="178"/>
      <c r="C1954" s="41"/>
      <c r="D1954" s="180"/>
      <c r="E1954" s="181"/>
      <c r="F1954" s="182"/>
      <c r="G1954" s="1" t="str">
        <f>IFERROR(IF(ventas_b_mes1255[[#This Row],[CUIT]]="","-",VLOOKUP(ventas_b_mes1255[[#This Row],[CUIT]],Lista_CUIT[#All],2,0)),"CUIT NO CARGADO")</f>
        <v>-</v>
      </c>
      <c r="H1954" s="100">
        <f>ventas_b_mes1255[[#This Row],[TOTAL]]/1.21</f>
        <v>0</v>
      </c>
      <c r="I1954" s="64">
        <f>ventas_b_mes1255[[#This Row],[IMPORTE NETO]]*0.21</f>
        <v>0</v>
      </c>
      <c r="J1954" s="184"/>
      <c r="K1954" s="184"/>
      <c r="L1954" s="184"/>
      <c r="M1954" s="59"/>
    </row>
    <row r="1955" spans="2:13" x14ac:dyDescent="0.3">
      <c r="B1955" s="178"/>
      <c r="C1955" s="41"/>
      <c r="D1955" s="180"/>
      <c r="E1955" s="181"/>
      <c r="F1955" s="182"/>
      <c r="G1955" s="1" t="str">
        <f>IFERROR(IF(ventas_b_mes1255[[#This Row],[CUIT]]="","-",VLOOKUP(ventas_b_mes1255[[#This Row],[CUIT]],Lista_CUIT[#All],2,0)),"CUIT NO CARGADO")</f>
        <v>-</v>
      </c>
      <c r="H1955" s="100">
        <f>ventas_b_mes1255[[#This Row],[TOTAL]]/1.21</f>
        <v>0</v>
      </c>
      <c r="I1955" s="64">
        <f>ventas_b_mes1255[[#This Row],[IMPORTE NETO]]*0.21</f>
        <v>0</v>
      </c>
      <c r="J1955" s="184"/>
      <c r="K1955" s="184"/>
      <c r="L1955" s="184"/>
      <c r="M1955" s="59"/>
    </row>
    <row r="1956" spans="2:13" x14ac:dyDescent="0.3">
      <c r="B1956" s="178"/>
      <c r="C1956" s="41"/>
      <c r="D1956" s="180"/>
      <c r="E1956" s="181"/>
      <c r="F1956" s="182"/>
      <c r="G1956" s="1" t="str">
        <f>IFERROR(IF(ventas_b_mes1255[[#This Row],[CUIT]]="","-",VLOOKUP(ventas_b_mes1255[[#This Row],[CUIT]],Lista_CUIT[#All],2,0)),"CUIT NO CARGADO")</f>
        <v>-</v>
      </c>
      <c r="H1956" s="100">
        <f>ventas_b_mes1255[[#This Row],[TOTAL]]/1.21</f>
        <v>0</v>
      </c>
      <c r="I1956" s="64">
        <f>ventas_b_mes1255[[#This Row],[IMPORTE NETO]]*0.21</f>
        <v>0</v>
      </c>
      <c r="J1956" s="184"/>
      <c r="K1956" s="184"/>
      <c r="L1956" s="184"/>
      <c r="M1956" s="59"/>
    </row>
    <row r="1957" spans="2:13" x14ac:dyDescent="0.3">
      <c r="B1957" s="178"/>
      <c r="C1957" s="41"/>
      <c r="D1957" s="180"/>
      <c r="E1957" s="181"/>
      <c r="F1957" s="182"/>
      <c r="G1957" s="1" t="str">
        <f>IFERROR(IF(ventas_b_mes1255[[#This Row],[CUIT]]="","-",VLOOKUP(ventas_b_mes1255[[#This Row],[CUIT]],Lista_CUIT[#All],2,0)),"CUIT NO CARGADO")</f>
        <v>-</v>
      </c>
      <c r="H1957" s="100">
        <f>ventas_b_mes1255[[#This Row],[TOTAL]]/1.21</f>
        <v>0</v>
      </c>
      <c r="I1957" s="64">
        <f>ventas_b_mes1255[[#This Row],[IMPORTE NETO]]*0.21</f>
        <v>0</v>
      </c>
      <c r="J1957" s="184"/>
      <c r="K1957" s="184"/>
      <c r="L1957" s="184"/>
      <c r="M1957" s="59"/>
    </row>
    <row r="1958" spans="2:13" x14ac:dyDescent="0.3">
      <c r="B1958" s="178"/>
      <c r="C1958" s="41"/>
      <c r="D1958" s="180"/>
      <c r="E1958" s="181"/>
      <c r="F1958" s="182"/>
      <c r="G1958" s="1" t="str">
        <f>IFERROR(IF(ventas_b_mes1255[[#This Row],[CUIT]]="","-",VLOOKUP(ventas_b_mes1255[[#This Row],[CUIT]],Lista_CUIT[#All],2,0)),"CUIT NO CARGADO")</f>
        <v>-</v>
      </c>
      <c r="H1958" s="100">
        <f>ventas_b_mes1255[[#This Row],[TOTAL]]/1.21</f>
        <v>0</v>
      </c>
      <c r="I1958" s="64">
        <f>ventas_b_mes1255[[#This Row],[IMPORTE NETO]]*0.21</f>
        <v>0</v>
      </c>
      <c r="J1958" s="184"/>
      <c r="K1958" s="184"/>
      <c r="L1958" s="184"/>
      <c r="M1958" s="59"/>
    </row>
    <row r="1959" spans="2:13" x14ac:dyDescent="0.3">
      <c r="B1959" s="178"/>
      <c r="C1959" s="41"/>
      <c r="D1959" s="180"/>
      <c r="E1959" s="181"/>
      <c r="F1959" s="182"/>
      <c r="G1959" s="1" t="str">
        <f>IFERROR(IF(ventas_b_mes1255[[#This Row],[CUIT]]="","-",VLOOKUP(ventas_b_mes1255[[#This Row],[CUIT]],Lista_CUIT[#All],2,0)),"CUIT NO CARGADO")</f>
        <v>-</v>
      </c>
      <c r="H1959" s="100">
        <f>ventas_b_mes1255[[#This Row],[TOTAL]]/1.21</f>
        <v>0</v>
      </c>
      <c r="I1959" s="64">
        <f>ventas_b_mes1255[[#This Row],[IMPORTE NETO]]*0.21</f>
        <v>0</v>
      </c>
      <c r="J1959" s="184"/>
      <c r="K1959" s="184"/>
      <c r="L1959" s="184"/>
      <c r="M1959" s="59"/>
    </row>
    <row r="1960" spans="2:13" x14ac:dyDescent="0.3">
      <c r="B1960" s="178"/>
      <c r="C1960" s="41"/>
      <c r="D1960" s="180"/>
      <c r="E1960" s="181"/>
      <c r="F1960" s="182"/>
      <c r="G1960" s="1" t="str">
        <f>IFERROR(IF(ventas_b_mes1255[[#This Row],[CUIT]]="","-",VLOOKUP(ventas_b_mes1255[[#This Row],[CUIT]],Lista_CUIT[#All],2,0)),"CUIT NO CARGADO")</f>
        <v>-</v>
      </c>
      <c r="H1960" s="100">
        <f>ventas_b_mes1255[[#This Row],[TOTAL]]/1.21</f>
        <v>0</v>
      </c>
      <c r="I1960" s="64">
        <f>ventas_b_mes1255[[#This Row],[IMPORTE NETO]]*0.21</f>
        <v>0</v>
      </c>
      <c r="J1960" s="184"/>
      <c r="K1960" s="184"/>
      <c r="L1960" s="184"/>
      <c r="M1960" s="59"/>
    </row>
    <row r="1961" spans="2:13" x14ac:dyDescent="0.3">
      <c r="B1961" s="178"/>
      <c r="C1961" s="41"/>
      <c r="D1961" s="180"/>
      <c r="E1961" s="181"/>
      <c r="F1961" s="182"/>
      <c r="G1961" s="1" t="str">
        <f>IFERROR(IF(ventas_b_mes1255[[#This Row],[CUIT]]="","-",VLOOKUP(ventas_b_mes1255[[#This Row],[CUIT]],Lista_CUIT[#All],2,0)),"CUIT NO CARGADO")</f>
        <v>-</v>
      </c>
      <c r="H1961" s="100">
        <f>ventas_b_mes1255[[#This Row],[TOTAL]]/1.21</f>
        <v>0</v>
      </c>
      <c r="I1961" s="64">
        <f>ventas_b_mes1255[[#This Row],[IMPORTE NETO]]*0.21</f>
        <v>0</v>
      </c>
      <c r="J1961" s="184"/>
      <c r="K1961" s="184"/>
      <c r="L1961" s="184"/>
      <c r="M1961" s="59"/>
    </row>
    <row r="1962" spans="2:13" x14ac:dyDescent="0.3">
      <c r="B1962" s="178"/>
      <c r="C1962" s="41"/>
      <c r="D1962" s="180"/>
      <c r="E1962" s="181"/>
      <c r="F1962" s="182"/>
      <c r="G1962" s="1" t="str">
        <f>IFERROR(IF(ventas_b_mes1255[[#This Row],[CUIT]]="","-",VLOOKUP(ventas_b_mes1255[[#This Row],[CUIT]],Lista_CUIT[#All],2,0)),"CUIT NO CARGADO")</f>
        <v>-</v>
      </c>
      <c r="H1962" s="100">
        <f>ventas_b_mes1255[[#This Row],[TOTAL]]/1.21</f>
        <v>0</v>
      </c>
      <c r="I1962" s="64">
        <f>ventas_b_mes1255[[#This Row],[IMPORTE NETO]]*0.21</f>
        <v>0</v>
      </c>
      <c r="J1962" s="184"/>
      <c r="K1962" s="184"/>
      <c r="L1962" s="184"/>
      <c r="M1962" s="59"/>
    </row>
    <row r="1963" spans="2:13" x14ac:dyDescent="0.3">
      <c r="B1963" s="178"/>
      <c r="C1963" s="41"/>
      <c r="D1963" s="180"/>
      <c r="E1963" s="181"/>
      <c r="F1963" s="182"/>
      <c r="G1963" s="1" t="str">
        <f>IFERROR(IF(ventas_b_mes1255[[#This Row],[CUIT]]="","-",VLOOKUP(ventas_b_mes1255[[#This Row],[CUIT]],Lista_CUIT[#All],2,0)),"CUIT NO CARGADO")</f>
        <v>-</v>
      </c>
      <c r="H1963" s="100">
        <f>ventas_b_mes1255[[#This Row],[TOTAL]]/1.21</f>
        <v>0</v>
      </c>
      <c r="I1963" s="64">
        <f>ventas_b_mes1255[[#This Row],[IMPORTE NETO]]*0.21</f>
        <v>0</v>
      </c>
      <c r="J1963" s="184"/>
      <c r="K1963" s="184"/>
      <c r="L1963" s="184"/>
      <c r="M1963" s="59"/>
    </row>
    <row r="1964" spans="2:13" x14ac:dyDescent="0.3">
      <c r="B1964" s="178"/>
      <c r="C1964" s="41"/>
      <c r="D1964" s="180"/>
      <c r="E1964" s="181"/>
      <c r="F1964" s="182"/>
      <c r="G1964" s="1" t="str">
        <f>IFERROR(IF(ventas_b_mes1255[[#This Row],[CUIT]]="","-",VLOOKUP(ventas_b_mes1255[[#This Row],[CUIT]],Lista_CUIT[#All],2,0)),"CUIT NO CARGADO")</f>
        <v>-</v>
      </c>
      <c r="H1964" s="100">
        <f>ventas_b_mes1255[[#This Row],[TOTAL]]/1.21</f>
        <v>0</v>
      </c>
      <c r="I1964" s="64">
        <f>ventas_b_mes1255[[#This Row],[IMPORTE NETO]]*0.21</f>
        <v>0</v>
      </c>
      <c r="J1964" s="184"/>
      <c r="K1964" s="184"/>
      <c r="L1964" s="184"/>
      <c r="M1964" s="59"/>
    </row>
    <row r="1965" spans="2:13" x14ac:dyDescent="0.3">
      <c r="B1965" s="178"/>
      <c r="C1965" s="41"/>
      <c r="D1965" s="180"/>
      <c r="E1965" s="181"/>
      <c r="F1965" s="182"/>
      <c r="G1965" s="1" t="str">
        <f>IFERROR(IF(ventas_b_mes1255[[#This Row],[CUIT]]="","-",VLOOKUP(ventas_b_mes1255[[#This Row],[CUIT]],Lista_CUIT[#All],2,0)),"CUIT NO CARGADO")</f>
        <v>-</v>
      </c>
      <c r="H1965" s="100">
        <f>ventas_b_mes1255[[#This Row],[TOTAL]]/1.21</f>
        <v>0</v>
      </c>
      <c r="I1965" s="64">
        <f>ventas_b_mes1255[[#This Row],[IMPORTE NETO]]*0.21</f>
        <v>0</v>
      </c>
      <c r="J1965" s="184"/>
      <c r="K1965" s="184"/>
      <c r="L1965" s="184"/>
      <c r="M1965" s="59"/>
    </row>
    <row r="1966" spans="2:13" x14ac:dyDescent="0.3">
      <c r="B1966" s="178"/>
      <c r="C1966" s="41"/>
      <c r="D1966" s="180"/>
      <c r="E1966" s="181"/>
      <c r="F1966" s="182"/>
      <c r="G1966" s="1" t="str">
        <f>IFERROR(IF(ventas_b_mes1255[[#This Row],[CUIT]]="","-",VLOOKUP(ventas_b_mes1255[[#This Row],[CUIT]],Lista_CUIT[#All],2,0)),"CUIT NO CARGADO")</f>
        <v>-</v>
      </c>
      <c r="H1966" s="100">
        <f>ventas_b_mes1255[[#This Row],[TOTAL]]/1.21</f>
        <v>0</v>
      </c>
      <c r="I1966" s="64">
        <f>ventas_b_mes1255[[#This Row],[IMPORTE NETO]]*0.21</f>
        <v>0</v>
      </c>
      <c r="J1966" s="184"/>
      <c r="K1966" s="184"/>
      <c r="L1966" s="184"/>
      <c r="M1966" s="59"/>
    </row>
    <row r="1967" spans="2:13" x14ac:dyDescent="0.3">
      <c r="B1967" s="178"/>
      <c r="C1967" s="41"/>
      <c r="D1967" s="180"/>
      <c r="E1967" s="181"/>
      <c r="F1967" s="182"/>
      <c r="G1967" s="1" t="str">
        <f>IFERROR(IF(ventas_b_mes1255[[#This Row],[CUIT]]="","-",VLOOKUP(ventas_b_mes1255[[#This Row],[CUIT]],Lista_CUIT[#All],2,0)),"CUIT NO CARGADO")</f>
        <v>-</v>
      </c>
      <c r="H1967" s="100">
        <f>ventas_b_mes1255[[#This Row],[TOTAL]]/1.21</f>
        <v>0</v>
      </c>
      <c r="I1967" s="64">
        <f>ventas_b_mes1255[[#This Row],[IMPORTE NETO]]*0.21</f>
        <v>0</v>
      </c>
      <c r="J1967" s="184"/>
      <c r="K1967" s="184"/>
      <c r="L1967" s="184"/>
      <c r="M1967" s="59"/>
    </row>
    <row r="1968" spans="2:13" x14ac:dyDescent="0.3">
      <c r="B1968" s="178"/>
      <c r="C1968" s="41"/>
      <c r="D1968" s="180"/>
      <c r="E1968" s="181"/>
      <c r="F1968" s="182"/>
      <c r="G1968" s="1" t="str">
        <f>IFERROR(IF(ventas_b_mes1255[[#This Row],[CUIT]]="","-",VLOOKUP(ventas_b_mes1255[[#This Row],[CUIT]],Lista_CUIT[#All],2,0)),"CUIT NO CARGADO")</f>
        <v>-</v>
      </c>
      <c r="H1968" s="100">
        <f>ventas_b_mes1255[[#This Row],[TOTAL]]/1.21</f>
        <v>0</v>
      </c>
      <c r="I1968" s="64">
        <f>ventas_b_mes1255[[#This Row],[IMPORTE NETO]]*0.21</f>
        <v>0</v>
      </c>
      <c r="J1968" s="184"/>
      <c r="K1968" s="184"/>
      <c r="L1968" s="184"/>
      <c r="M1968" s="59"/>
    </row>
    <row r="1969" spans="2:13" x14ac:dyDescent="0.3">
      <c r="B1969" s="178"/>
      <c r="C1969" s="41"/>
      <c r="D1969" s="180"/>
      <c r="E1969" s="181"/>
      <c r="F1969" s="182"/>
      <c r="G1969" s="1" t="str">
        <f>IFERROR(IF(ventas_b_mes1255[[#This Row],[CUIT]]="","-",VLOOKUP(ventas_b_mes1255[[#This Row],[CUIT]],Lista_CUIT[#All],2,0)),"CUIT NO CARGADO")</f>
        <v>-</v>
      </c>
      <c r="H1969" s="100">
        <f>ventas_b_mes1255[[#This Row],[TOTAL]]/1.21</f>
        <v>0</v>
      </c>
      <c r="I1969" s="64">
        <f>ventas_b_mes1255[[#This Row],[IMPORTE NETO]]*0.21</f>
        <v>0</v>
      </c>
      <c r="J1969" s="184"/>
      <c r="K1969" s="184"/>
      <c r="L1969" s="184"/>
      <c r="M1969" s="59"/>
    </row>
    <row r="1970" spans="2:13" x14ac:dyDescent="0.3">
      <c r="B1970" s="178"/>
      <c r="C1970" s="41"/>
      <c r="D1970" s="180"/>
      <c r="E1970" s="181"/>
      <c r="F1970" s="182"/>
      <c r="G1970" s="1" t="str">
        <f>IFERROR(IF(ventas_b_mes1255[[#This Row],[CUIT]]="","-",VLOOKUP(ventas_b_mes1255[[#This Row],[CUIT]],Lista_CUIT[#All],2,0)),"CUIT NO CARGADO")</f>
        <v>-</v>
      </c>
      <c r="H1970" s="100">
        <f>ventas_b_mes1255[[#This Row],[TOTAL]]/1.21</f>
        <v>0</v>
      </c>
      <c r="I1970" s="64">
        <f>ventas_b_mes1255[[#This Row],[IMPORTE NETO]]*0.21</f>
        <v>0</v>
      </c>
      <c r="J1970" s="184"/>
      <c r="K1970" s="184"/>
      <c r="L1970" s="184"/>
      <c r="M1970" s="59"/>
    </row>
    <row r="1971" spans="2:13" x14ac:dyDescent="0.3">
      <c r="B1971" s="178"/>
      <c r="C1971" s="41"/>
      <c r="D1971" s="180"/>
      <c r="E1971" s="181"/>
      <c r="F1971" s="182"/>
      <c r="G1971" s="1" t="str">
        <f>IFERROR(IF(ventas_b_mes1255[[#This Row],[CUIT]]="","-",VLOOKUP(ventas_b_mes1255[[#This Row],[CUIT]],Lista_CUIT[#All],2,0)),"CUIT NO CARGADO")</f>
        <v>-</v>
      </c>
      <c r="H1971" s="100">
        <f>ventas_b_mes1255[[#This Row],[TOTAL]]/1.21</f>
        <v>0</v>
      </c>
      <c r="I1971" s="64">
        <f>ventas_b_mes1255[[#This Row],[IMPORTE NETO]]*0.21</f>
        <v>0</v>
      </c>
      <c r="J1971" s="184"/>
      <c r="K1971" s="184"/>
      <c r="L1971" s="184"/>
      <c r="M1971" s="59"/>
    </row>
    <row r="1972" spans="2:13" x14ac:dyDescent="0.3">
      <c r="B1972" s="178"/>
      <c r="C1972" s="41"/>
      <c r="D1972" s="180"/>
      <c r="E1972" s="181"/>
      <c r="F1972" s="182"/>
      <c r="G1972" s="1" t="str">
        <f>IFERROR(IF(ventas_b_mes1255[[#This Row],[CUIT]]="","-",VLOOKUP(ventas_b_mes1255[[#This Row],[CUIT]],Lista_CUIT[#All],2,0)),"CUIT NO CARGADO")</f>
        <v>-</v>
      </c>
      <c r="H1972" s="100">
        <f>ventas_b_mes1255[[#This Row],[TOTAL]]/1.21</f>
        <v>0</v>
      </c>
      <c r="I1972" s="64">
        <f>ventas_b_mes1255[[#This Row],[IMPORTE NETO]]*0.21</f>
        <v>0</v>
      </c>
      <c r="J1972" s="184"/>
      <c r="K1972" s="184"/>
      <c r="L1972" s="184"/>
      <c r="M1972" s="59"/>
    </row>
    <row r="1973" spans="2:13" x14ac:dyDescent="0.3">
      <c r="B1973" s="178"/>
      <c r="C1973" s="41"/>
      <c r="D1973" s="180"/>
      <c r="E1973" s="181"/>
      <c r="F1973" s="182"/>
      <c r="G1973" s="1" t="str">
        <f>IFERROR(IF(ventas_b_mes1255[[#This Row],[CUIT]]="","-",VLOOKUP(ventas_b_mes1255[[#This Row],[CUIT]],Lista_CUIT[#All],2,0)),"CUIT NO CARGADO")</f>
        <v>-</v>
      </c>
      <c r="H1973" s="100">
        <f>ventas_b_mes1255[[#This Row],[TOTAL]]/1.21</f>
        <v>0</v>
      </c>
      <c r="I1973" s="64">
        <f>ventas_b_mes1255[[#This Row],[IMPORTE NETO]]*0.21</f>
        <v>0</v>
      </c>
      <c r="J1973" s="184"/>
      <c r="K1973" s="184"/>
      <c r="L1973" s="184"/>
      <c r="M1973" s="59"/>
    </row>
    <row r="1974" spans="2:13" x14ac:dyDescent="0.3">
      <c r="B1974" s="178"/>
      <c r="C1974" s="41"/>
      <c r="D1974" s="180"/>
      <c r="E1974" s="181"/>
      <c r="F1974" s="182"/>
      <c r="G1974" s="1" t="str">
        <f>IFERROR(IF(ventas_b_mes1255[[#This Row],[CUIT]]="","-",VLOOKUP(ventas_b_mes1255[[#This Row],[CUIT]],Lista_CUIT[#All],2,0)),"CUIT NO CARGADO")</f>
        <v>-</v>
      </c>
      <c r="H1974" s="100">
        <f>ventas_b_mes1255[[#This Row],[TOTAL]]/1.21</f>
        <v>0</v>
      </c>
      <c r="I1974" s="64">
        <f>ventas_b_mes1255[[#This Row],[IMPORTE NETO]]*0.21</f>
        <v>0</v>
      </c>
      <c r="J1974" s="184"/>
      <c r="K1974" s="184"/>
      <c r="L1974" s="184"/>
      <c r="M1974" s="59"/>
    </row>
    <row r="1975" spans="2:13" x14ac:dyDescent="0.3">
      <c r="B1975" s="178"/>
      <c r="C1975" s="41"/>
      <c r="D1975" s="180"/>
      <c r="E1975" s="181"/>
      <c r="F1975" s="182"/>
      <c r="G1975" s="1" t="str">
        <f>IFERROR(IF(ventas_b_mes1255[[#This Row],[CUIT]]="","-",VLOOKUP(ventas_b_mes1255[[#This Row],[CUIT]],Lista_CUIT[#All],2,0)),"CUIT NO CARGADO")</f>
        <v>-</v>
      </c>
      <c r="H1975" s="100">
        <f>ventas_b_mes1255[[#This Row],[TOTAL]]/1.21</f>
        <v>0</v>
      </c>
      <c r="I1975" s="64">
        <f>ventas_b_mes1255[[#This Row],[IMPORTE NETO]]*0.21</f>
        <v>0</v>
      </c>
      <c r="J1975" s="184"/>
      <c r="K1975" s="184"/>
      <c r="L1975" s="184"/>
      <c r="M1975" s="59"/>
    </row>
    <row r="1976" spans="2:13" x14ac:dyDescent="0.3">
      <c r="B1976" s="178"/>
      <c r="C1976" s="41"/>
      <c r="D1976" s="180"/>
      <c r="E1976" s="181"/>
      <c r="F1976" s="182"/>
      <c r="G1976" s="1" t="str">
        <f>IFERROR(IF(ventas_b_mes1255[[#This Row],[CUIT]]="","-",VLOOKUP(ventas_b_mes1255[[#This Row],[CUIT]],Lista_CUIT[#All],2,0)),"CUIT NO CARGADO")</f>
        <v>-</v>
      </c>
      <c r="H1976" s="100">
        <f>ventas_b_mes1255[[#This Row],[TOTAL]]/1.21</f>
        <v>0</v>
      </c>
      <c r="I1976" s="64">
        <f>ventas_b_mes1255[[#This Row],[IMPORTE NETO]]*0.21</f>
        <v>0</v>
      </c>
      <c r="J1976" s="184"/>
      <c r="K1976" s="184"/>
      <c r="L1976" s="184"/>
      <c r="M1976" s="59"/>
    </row>
    <row r="1977" spans="2:13" x14ac:dyDescent="0.3">
      <c r="B1977" s="178"/>
      <c r="C1977" s="41"/>
      <c r="D1977" s="180"/>
      <c r="E1977" s="181"/>
      <c r="F1977" s="182"/>
      <c r="G1977" s="1" t="str">
        <f>IFERROR(IF(ventas_b_mes1255[[#This Row],[CUIT]]="","-",VLOOKUP(ventas_b_mes1255[[#This Row],[CUIT]],Lista_CUIT[#All],2,0)),"CUIT NO CARGADO")</f>
        <v>-</v>
      </c>
      <c r="H1977" s="100">
        <f>ventas_b_mes1255[[#This Row],[TOTAL]]/1.21</f>
        <v>0</v>
      </c>
      <c r="I1977" s="64">
        <f>ventas_b_mes1255[[#This Row],[IMPORTE NETO]]*0.21</f>
        <v>0</v>
      </c>
      <c r="J1977" s="184"/>
      <c r="K1977" s="184"/>
      <c r="L1977" s="184"/>
      <c r="M1977" s="59"/>
    </row>
    <row r="1978" spans="2:13" x14ac:dyDescent="0.3">
      <c r="B1978" s="178"/>
      <c r="C1978" s="41"/>
      <c r="D1978" s="180"/>
      <c r="E1978" s="181"/>
      <c r="F1978" s="182"/>
      <c r="G1978" s="1" t="str">
        <f>IFERROR(IF(ventas_b_mes1255[[#This Row],[CUIT]]="","-",VLOOKUP(ventas_b_mes1255[[#This Row],[CUIT]],Lista_CUIT[#All],2,0)),"CUIT NO CARGADO")</f>
        <v>-</v>
      </c>
      <c r="H1978" s="100">
        <f>ventas_b_mes1255[[#This Row],[TOTAL]]/1.21</f>
        <v>0</v>
      </c>
      <c r="I1978" s="64">
        <f>ventas_b_mes1255[[#This Row],[IMPORTE NETO]]*0.21</f>
        <v>0</v>
      </c>
      <c r="J1978" s="184"/>
      <c r="K1978" s="184"/>
      <c r="L1978" s="184"/>
      <c r="M1978" s="59"/>
    </row>
    <row r="1979" spans="2:13" x14ac:dyDescent="0.3">
      <c r="B1979" s="178"/>
      <c r="C1979" s="41"/>
      <c r="D1979" s="180"/>
      <c r="E1979" s="181"/>
      <c r="F1979" s="182"/>
      <c r="G1979" s="1" t="str">
        <f>IFERROR(IF(ventas_b_mes1255[[#This Row],[CUIT]]="","-",VLOOKUP(ventas_b_mes1255[[#This Row],[CUIT]],Lista_CUIT[#All],2,0)),"CUIT NO CARGADO")</f>
        <v>-</v>
      </c>
      <c r="H1979" s="100">
        <f>ventas_b_mes1255[[#This Row],[TOTAL]]/1.21</f>
        <v>0</v>
      </c>
      <c r="I1979" s="64">
        <f>ventas_b_mes1255[[#This Row],[IMPORTE NETO]]*0.21</f>
        <v>0</v>
      </c>
      <c r="J1979" s="184"/>
      <c r="K1979" s="184"/>
      <c r="L1979" s="184"/>
      <c r="M1979" s="59"/>
    </row>
    <row r="1980" spans="2:13" x14ac:dyDescent="0.3">
      <c r="B1980" s="178"/>
      <c r="C1980" s="41"/>
      <c r="D1980" s="180"/>
      <c r="E1980" s="181"/>
      <c r="F1980" s="182"/>
      <c r="G1980" s="1" t="str">
        <f>IFERROR(IF(ventas_b_mes1255[[#This Row],[CUIT]]="","-",VLOOKUP(ventas_b_mes1255[[#This Row],[CUIT]],Lista_CUIT[#All],2,0)),"CUIT NO CARGADO")</f>
        <v>-</v>
      </c>
      <c r="H1980" s="100">
        <f>ventas_b_mes1255[[#This Row],[TOTAL]]/1.21</f>
        <v>0</v>
      </c>
      <c r="I1980" s="64">
        <f>ventas_b_mes1255[[#This Row],[IMPORTE NETO]]*0.21</f>
        <v>0</v>
      </c>
      <c r="J1980" s="184"/>
      <c r="K1980" s="184"/>
      <c r="L1980" s="184"/>
      <c r="M1980" s="59"/>
    </row>
    <row r="1981" spans="2:13" x14ac:dyDescent="0.3">
      <c r="B1981" s="178"/>
      <c r="C1981" s="41"/>
      <c r="D1981" s="180"/>
      <c r="E1981" s="181"/>
      <c r="F1981" s="182"/>
      <c r="G1981" s="1" t="str">
        <f>IFERROR(IF(ventas_b_mes1255[[#This Row],[CUIT]]="","-",VLOOKUP(ventas_b_mes1255[[#This Row],[CUIT]],Lista_CUIT[#All],2,0)),"CUIT NO CARGADO")</f>
        <v>-</v>
      </c>
      <c r="H1981" s="100">
        <f>ventas_b_mes1255[[#This Row],[TOTAL]]/1.21</f>
        <v>0</v>
      </c>
      <c r="I1981" s="64">
        <f>ventas_b_mes1255[[#This Row],[IMPORTE NETO]]*0.21</f>
        <v>0</v>
      </c>
      <c r="J1981" s="184"/>
      <c r="K1981" s="184"/>
      <c r="L1981" s="184"/>
      <c r="M1981" s="59"/>
    </row>
    <row r="1982" spans="2:13" x14ac:dyDescent="0.3">
      <c r="B1982" s="178"/>
      <c r="C1982" s="41"/>
      <c r="D1982" s="180"/>
      <c r="E1982" s="181"/>
      <c r="F1982" s="182"/>
      <c r="G1982" s="1" t="str">
        <f>IFERROR(IF(ventas_b_mes1255[[#This Row],[CUIT]]="","-",VLOOKUP(ventas_b_mes1255[[#This Row],[CUIT]],Lista_CUIT[#All],2,0)),"CUIT NO CARGADO")</f>
        <v>-</v>
      </c>
      <c r="H1982" s="100">
        <f>ventas_b_mes1255[[#This Row],[TOTAL]]/1.21</f>
        <v>0</v>
      </c>
      <c r="I1982" s="64">
        <f>ventas_b_mes1255[[#This Row],[IMPORTE NETO]]*0.21</f>
        <v>0</v>
      </c>
      <c r="J1982" s="184"/>
      <c r="K1982" s="184"/>
      <c r="L1982" s="184"/>
      <c r="M1982" s="59"/>
    </row>
    <row r="1983" spans="2:13" x14ac:dyDescent="0.3">
      <c r="B1983" s="178"/>
      <c r="C1983" s="41"/>
      <c r="D1983" s="180"/>
      <c r="E1983" s="181"/>
      <c r="F1983" s="182"/>
      <c r="G1983" s="1" t="str">
        <f>IFERROR(IF(ventas_b_mes1255[[#This Row],[CUIT]]="","-",VLOOKUP(ventas_b_mes1255[[#This Row],[CUIT]],Lista_CUIT[#All],2,0)),"CUIT NO CARGADO")</f>
        <v>-</v>
      </c>
      <c r="H1983" s="100">
        <f>ventas_b_mes1255[[#This Row],[TOTAL]]/1.21</f>
        <v>0</v>
      </c>
      <c r="I1983" s="64">
        <f>ventas_b_mes1255[[#This Row],[IMPORTE NETO]]*0.21</f>
        <v>0</v>
      </c>
      <c r="J1983" s="184"/>
      <c r="K1983" s="184"/>
      <c r="L1983" s="184"/>
      <c r="M1983" s="59"/>
    </row>
    <row r="1984" spans="2:13" x14ac:dyDescent="0.3">
      <c r="B1984" s="178"/>
      <c r="C1984" s="41"/>
      <c r="D1984" s="180"/>
      <c r="E1984" s="181"/>
      <c r="F1984" s="182"/>
      <c r="G1984" s="1" t="str">
        <f>IFERROR(IF(ventas_b_mes1255[[#This Row],[CUIT]]="","-",VLOOKUP(ventas_b_mes1255[[#This Row],[CUIT]],Lista_CUIT[#All],2,0)),"CUIT NO CARGADO")</f>
        <v>-</v>
      </c>
      <c r="H1984" s="100">
        <f>ventas_b_mes1255[[#This Row],[TOTAL]]/1.21</f>
        <v>0</v>
      </c>
      <c r="I1984" s="64">
        <f>ventas_b_mes1255[[#This Row],[IMPORTE NETO]]*0.21</f>
        <v>0</v>
      </c>
      <c r="J1984" s="184"/>
      <c r="K1984" s="184"/>
      <c r="L1984" s="184"/>
      <c r="M1984" s="59"/>
    </row>
    <row r="1985" spans="2:13" x14ac:dyDescent="0.3">
      <c r="B1985" s="178"/>
      <c r="C1985" s="41"/>
      <c r="D1985" s="180"/>
      <c r="E1985" s="181"/>
      <c r="F1985" s="182"/>
      <c r="G1985" s="1" t="str">
        <f>IFERROR(IF(ventas_b_mes1255[[#This Row],[CUIT]]="","-",VLOOKUP(ventas_b_mes1255[[#This Row],[CUIT]],Lista_CUIT[#All],2,0)),"CUIT NO CARGADO")</f>
        <v>-</v>
      </c>
      <c r="H1985" s="100">
        <f>ventas_b_mes1255[[#This Row],[TOTAL]]/1.21</f>
        <v>0</v>
      </c>
      <c r="I1985" s="64">
        <f>ventas_b_mes1255[[#This Row],[IMPORTE NETO]]*0.21</f>
        <v>0</v>
      </c>
      <c r="J1985" s="184"/>
      <c r="K1985" s="184"/>
      <c r="L1985" s="184"/>
      <c r="M1985" s="59"/>
    </row>
    <row r="1986" spans="2:13" x14ac:dyDescent="0.3">
      <c r="B1986" s="178"/>
      <c r="C1986" s="41"/>
      <c r="D1986" s="180"/>
      <c r="E1986" s="181"/>
      <c r="F1986" s="182"/>
      <c r="G1986" s="1" t="str">
        <f>IFERROR(IF(ventas_b_mes1255[[#This Row],[CUIT]]="","-",VLOOKUP(ventas_b_mes1255[[#This Row],[CUIT]],Lista_CUIT[#All],2,0)),"CUIT NO CARGADO")</f>
        <v>-</v>
      </c>
      <c r="H1986" s="100">
        <f>ventas_b_mes1255[[#This Row],[TOTAL]]/1.21</f>
        <v>0</v>
      </c>
      <c r="I1986" s="64">
        <f>ventas_b_mes1255[[#This Row],[IMPORTE NETO]]*0.21</f>
        <v>0</v>
      </c>
      <c r="J1986" s="184"/>
      <c r="K1986" s="184"/>
      <c r="L1986" s="184"/>
      <c r="M1986" s="59"/>
    </row>
    <row r="1987" spans="2:13" x14ac:dyDescent="0.3">
      <c r="B1987" s="178"/>
      <c r="C1987" s="41"/>
      <c r="D1987" s="180"/>
      <c r="E1987" s="181"/>
      <c r="F1987" s="182"/>
      <c r="G1987" s="1" t="str">
        <f>IFERROR(IF(ventas_b_mes1255[[#This Row],[CUIT]]="","-",VLOOKUP(ventas_b_mes1255[[#This Row],[CUIT]],Lista_CUIT[#All],2,0)),"CUIT NO CARGADO")</f>
        <v>-</v>
      </c>
      <c r="H1987" s="100">
        <f>ventas_b_mes1255[[#This Row],[TOTAL]]/1.21</f>
        <v>0</v>
      </c>
      <c r="I1987" s="64">
        <f>ventas_b_mes1255[[#This Row],[IMPORTE NETO]]*0.21</f>
        <v>0</v>
      </c>
      <c r="J1987" s="184"/>
      <c r="K1987" s="184"/>
      <c r="L1987" s="184"/>
      <c r="M1987" s="59"/>
    </row>
    <row r="1988" spans="2:13" x14ac:dyDescent="0.3">
      <c r="B1988" s="178"/>
      <c r="C1988" s="41"/>
      <c r="D1988" s="180"/>
      <c r="E1988" s="181"/>
      <c r="F1988" s="182"/>
      <c r="G1988" s="1" t="str">
        <f>IFERROR(IF(ventas_b_mes1255[[#This Row],[CUIT]]="","-",VLOOKUP(ventas_b_mes1255[[#This Row],[CUIT]],Lista_CUIT[#All],2,0)),"CUIT NO CARGADO")</f>
        <v>-</v>
      </c>
      <c r="H1988" s="100">
        <f>ventas_b_mes1255[[#This Row],[TOTAL]]/1.21</f>
        <v>0</v>
      </c>
      <c r="I1988" s="64">
        <f>ventas_b_mes1255[[#This Row],[IMPORTE NETO]]*0.21</f>
        <v>0</v>
      </c>
      <c r="J1988" s="184"/>
      <c r="K1988" s="184"/>
      <c r="L1988" s="184"/>
      <c r="M1988" s="59"/>
    </row>
    <row r="1989" spans="2:13" x14ac:dyDescent="0.3">
      <c r="B1989" s="178"/>
      <c r="C1989" s="41"/>
      <c r="D1989" s="180"/>
      <c r="E1989" s="181"/>
      <c r="F1989" s="182"/>
      <c r="G1989" s="1" t="str">
        <f>IFERROR(IF(ventas_b_mes1255[[#This Row],[CUIT]]="","-",VLOOKUP(ventas_b_mes1255[[#This Row],[CUIT]],Lista_CUIT[#All],2,0)),"CUIT NO CARGADO")</f>
        <v>-</v>
      </c>
      <c r="H1989" s="100">
        <f>ventas_b_mes1255[[#This Row],[TOTAL]]/1.21</f>
        <v>0</v>
      </c>
      <c r="I1989" s="64">
        <f>ventas_b_mes1255[[#This Row],[IMPORTE NETO]]*0.21</f>
        <v>0</v>
      </c>
      <c r="J1989" s="184"/>
      <c r="K1989" s="184"/>
      <c r="L1989" s="184"/>
      <c r="M1989" s="59"/>
    </row>
    <row r="1990" spans="2:13" x14ac:dyDescent="0.3">
      <c r="B1990" s="178"/>
      <c r="C1990" s="41"/>
      <c r="D1990" s="180"/>
      <c r="E1990" s="181"/>
      <c r="F1990" s="182"/>
      <c r="G1990" s="1" t="str">
        <f>IFERROR(IF(ventas_b_mes1255[[#This Row],[CUIT]]="","-",VLOOKUP(ventas_b_mes1255[[#This Row],[CUIT]],Lista_CUIT[#All],2,0)),"CUIT NO CARGADO")</f>
        <v>-</v>
      </c>
      <c r="H1990" s="100">
        <f>ventas_b_mes1255[[#This Row],[TOTAL]]/1.21</f>
        <v>0</v>
      </c>
      <c r="I1990" s="64">
        <f>ventas_b_mes1255[[#This Row],[IMPORTE NETO]]*0.21</f>
        <v>0</v>
      </c>
      <c r="J1990" s="184"/>
      <c r="K1990" s="184"/>
      <c r="L1990" s="184"/>
      <c r="M1990" s="59"/>
    </row>
    <row r="1991" spans="2:13" x14ac:dyDescent="0.3">
      <c r="B1991" s="178"/>
      <c r="C1991" s="41"/>
      <c r="D1991" s="180"/>
      <c r="E1991" s="181"/>
      <c r="F1991" s="182"/>
      <c r="G1991" s="1" t="str">
        <f>IFERROR(IF(ventas_b_mes1255[[#This Row],[CUIT]]="","-",VLOOKUP(ventas_b_mes1255[[#This Row],[CUIT]],Lista_CUIT[#All],2,0)),"CUIT NO CARGADO")</f>
        <v>-</v>
      </c>
      <c r="H1991" s="100">
        <f>ventas_b_mes1255[[#This Row],[TOTAL]]/1.21</f>
        <v>0</v>
      </c>
      <c r="I1991" s="64">
        <f>ventas_b_mes1255[[#This Row],[IMPORTE NETO]]*0.21</f>
        <v>0</v>
      </c>
      <c r="J1991" s="184"/>
      <c r="K1991" s="184"/>
      <c r="L1991" s="184"/>
      <c r="M1991" s="59"/>
    </row>
    <row r="1992" spans="2:13" x14ac:dyDescent="0.3">
      <c r="B1992" s="178"/>
      <c r="C1992" s="41"/>
      <c r="D1992" s="180"/>
      <c r="E1992" s="181"/>
      <c r="F1992" s="182"/>
      <c r="G1992" s="1" t="str">
        <f>IFERROR(IF(ventas_b_mes1255[[#This Row],[CUIT]]="","-",VLOOKUP(ventas_b_mes1255[[#This Row],[CUIT]],Lista_CUIT[#All],2,0)),"CUIT NO CARGADO")</f>
        <v>-</v>
      </c>
      <c r="H1992" s="100">
        <f>ventas_b_mes1255[[#This Row],[TOTAL]]/1.21</f>
        <v>0</v>
      </c>
      <c r="I1992" s="64">
        <f>ventas_b_mes1255[[#This Row],[IMPORTE NETO]]*0.21</f>
        <v>0</v>
      </c>
      <c r="J1992" s="184"/>
      <c r="K1992" s="184"/>
      <c r="L1992" s="184"/>
      <c r="M1992" s="59"/>
    </row>
    <row r="1993" spans="2:13" x14ac:dyDescent="0.3">
      <c r="B1993" s="178"/>
      <c r="C1993" s="41"/>
      <c r="D1993" s="180"/>
      <c r="E1993" s="181"/>
      <c r="F1993" s="182"/>
      <c r="G1993" s="1" t="str">
        <f>IFERROR(IF(ventas_b_mes1255[[#This Row],[CUIT]]="","-",VLOOKUP(ventas_b_mes1255[[#This Row],[CUIT]],Lista_CUIT[#All],2,0)),"CUIT NO CARGADO")</f>
        <v>-</v>
      </c>
      <c r="H1993" s="100">
        <f>ventas_b_mes1255[[#This Row],[TOTAL]]/1.21</f>
        <v>0</v>
      </c>
      <c r="I1993" s="64">
        <f>ventas_b_mes1255[[#This Row],[IMPORTE NETO]]*0.21</f>
        <v>0</v>
      </c>
      <c r="J1993" s="184"/>
      <c r="K1993" s="184"/>
      <c r="L1993" s="184"/>
      <c r="M1993" s="59"/>
    </row>
    <row r="1994" spans="2:13" x14ac:dyDescent="0.3">
      <c r="B1994" s="178"/>
      <c r="C1994" s="41"/>
      <c r="D1994" s="180"/>
      <c r="E1994" s="181"/>
      <c r="F1994" s="182"/>
      <c r="G1994" s="1" t="str">
        <f>IFERROR(IF(ventas_b_mes1255[[#This Row],[CUIT]]="","-",VLOOKUP(ventas_b_mes1255[[#This Row],[CUIT]],Lista_CUIT[#All],2,0)),"CUIT NO CARGADO")</f>
        <v>-</v>
      </c>
      <c r="H1994" s="100">
        <f>ventas_b_mes1255[[#This Row],[TOTAL]]/1.21</f>
        <v>0</v>
      </c>
      <c r="I1994" s="64">
        <f>ventas_b_mes1255[[#This Row],[IMPORTE NETO]]*0.21</f>
        <v>0</v>
      </c>
      <c r="J1994" s="184"/>
      <c r="K1994" s="184"/>
      <c r="L1994" s="184"/>
      <c r="M1994" s="59"/>
    </row>
    <row r="1995" spans="2:13" x14ac:dyDescent="0.3">
      <c r="B1995" s="178"/>
      <c r="C1995" s="41"/>
      <c r="D1995" s="180"/>
      <c r="E1995" s="181"/>
      <c r="F1995" s="182"/>
      <c r="G1995" s="1" t="str">
        <f>IFERROR(IF(ventas_b_mes1255[[#This Row],[CUIT]]="","-",VLOOKUP(ventas_b_mes1255[[#This Row],[CUIT]],Lista_CUIT[#All],2,0)),"CUIT NO CARGADO")</f>
        <v>-</v>
      </c>
      <c r="H1995" s="100">
        <f>ventas_b_mes1255[[#This Row],[TOTAL]]/1.21</f>
        <v>0</v>
      </c>
      <c r="I1995" s="64">
        <f>ventas_b_mes1255[[#This Row],[IMPORTE NETO]]*0.21</f>
        <v>0</v>
      </c>
      <c r="J1995" s="184"/>
      <c r="K1995" s="184"/>
      <c r="L1995" s="184"/>
      <c r="M1995" s="59"/>
    </row>
    <row r="1996" spans="2:13" x14ac:dyDescent="0.3">
      <c r="B1996" s="178"/>
      <c r="C1996" s="41"/>
      <c r="D1996" s="180"/>
      <c r="E1996" s="181"/>
      <c r="F1996" s="182"/>
      <c r="G1996" s="1" t="str">
        <f>IFERROR(IF(ventas_b_mes1255[[#This Row],[CUIT]]="","-",VLOOKUP(ventas_b_mes1255[[#This Row],[CUIT]],Lista_CUIT[#All],2,0)),"CUIT NO CARGADO")</f>
        <v>-</v>
      </c>
      <c r="H1996" s="100">
        <f>ventas_b_mes1255[[#This Row],[TOTAL]]/1.21</f>
        <v>0</v>
      </c>
      <c r="I1996" s="64">
        <f>ventas_b_mes1255[[#This Row],[IMPORTE NETO]]*0.21</f>
        <v>0</v>
      </c>
      <c r="J1996" s="184"/>
      <c r="K1996" s="184"/>
      <c r="L1996" s="184"/>
      <c r="M1996" s="59"/>
    </row>
    <row r="1997" spans="2:13" x14ac:dyDescent="0.3">
      <c r="B1997" s="178"/>
      <c r="C1997" s="41"/>
      <c r="D1997" s="180"/>
      <c r="E1997" s="181"/>
      <c r="F1997" s="182"/>
      <c r="G1997" s="1" t="str">
        <f>IFERROR(IF(ventas_b_mes1255[[#This Row],[CUIT]]="","-",VLOOKUP(ventas_b_mes1255[[#This Row],[CUIT]],Lista_CUIT[#All],2,0)),"CUIT NO CARGADO")</f>
        <v>-</v>
      </c>
      <c r="H1997" s="100">
        <f>ventas_b_mes1255[[#This Row],[TOTAL]]/1.21</f>
        <v>0</v>
      </c>
      <c r="I1997" s="64">
        <f>ventas_b_mes1255[[#This Row],[IMPORTE NETO]]*0.21</f>
        <v>0</v>
      </c>
      <c r="J1997" s="184"/>
      <c r="K1997" s="184"/>
      <c r="L1997" s="184"/>
      <c r="M1997" s="59"/>
    </row>
    <row r="1998" spans="2:13" x14ac:dyDescent="0.3">
      <c r="B1998" s="178"/>
      <c r="C1998" s="41"/>
      <c r="D1998" s="180"/>
      <c r="E1998" s="181"/>
      <c r="F1998" s="182"/>
      <c r="G1998" s="1" t="str">
        <f>IFERROR(IF(ventas_b_mes1255[[#This Row],[CUIT]]="","-",VLOOKUP(ventas_b_mes1255[[#This Row],[CUIT]],Lista_CUIT[#All],2,0)),"CUIT NO CARGADO")</f>
        <v>-</v>
      </c>
      <c r="H1998" s="100">
        <f>ventas_b_mes1255[[#This Row],[TOTAL]]/1.21</f>
        <v>0</v>
      </c>
      <c r="I1998" s="64">
        <f>ventas_b_mes1255[[#This Row],[IMPORTE NETO]]*0.21</f>
        <v>0</v>
      </c>
      <c r="J1998" s="184"/>
      <c r="K1998" s="184"/>
      <c r="L1998" s="184"/>
      <c r="M1998" s="59"/>
    </row>
    <row r="1999" spans="2:13" x14ac:dyDescent="0.3">
      <c r="B1999" s="178"/>
      <c r="C1999" s="41"/>
      <c r="D1999" s="180"/>
      <c r="E1999" s="181"/>
      <c r="F1999" s="182"/>
      <c r="G1999" s="1" t="str">
        <f>IFERROR(IF(ventas_b_mes1255[[#This Row],[CUIT]]="","-",VLOOKUP(ventas_b_mes1255[[#This Row],[CUIT]],Lista_CUIT[#All],2,0)),"CUIT NO CARGADO")</f>
        <v>-</v>
      </c>
      <c r="H1999" s="100">
        <f>ventas_b_mes1255[[#This Row],[TOTAL]]/1.21</f>
        <v>0</v>
      </c>
      <c r="I1999" s="64">
        <f>ventas_b_mes1255[[#This Row],[IMPORTE NETO]]*0.21</f>
        <v>0</v>
      </c>
      <c r="J1999" s="184"/>
      <c r="K1999" s="184"/>
      <c r="L1999" s="184"/>
      <c r="M1999" s="59"/>
    </row>
    <row r="2000" spans="2:13" x14ac:dyDescent="0.3">
      <c r="B2000" s="178"/>
      <c r="C2000" s="41"/>
      <c r="D2000" s="180"/>
      <c r="E2000" s="181"/>
      <c r="F2000" s="182"/>
      <c r="G2000" s="1" t="str">
        <f>IFERROR(IF(ventas_b_mes1255[[#This Row],[CUIT]]="","-",VLOOKUP(ventas_b_mes1255[[#This Row],[CUIT]],Lista_CUIT[#All],2,0)),"CUIT NO CARGADO")</f>
        <v>-</v>
      </c>
      <c r="H2000" s="100">
        <f>ventas_b_mes1255[[#This Row],[TOTAL]]/1.21</f>
        <v>0</v>
      </c>
      <c r="I2000" s="64">
        <f>ventas_b_mes1255[[#This Row],[IMPORTE NETO]]*0.21</f>
        <v>0</v>
      </c>
      <c r="J2000" s="184"/>
      <c r="K2000" s="184"/>
      <c r="L2000" s="184"/>
      <c r="M2000" s="59"/>
    </row>
    <row r="2001" spans="2:13" x14ac:dyDescent="0.3">
      <c r="B2001" s="178"/>
      <c r="C2001" s="41"/>
      <c r="D2001" s="180"/>
      <c r="E2001" s="181"/>
      <c r="F2001" s="182"/>
      <c r="G2001" s="1" t="str">
        <f>IFERROR(IF(ventas_b_mes1255[[#This Row],[CUIT]]="","-",VLOOKUP(ventas_b_mes1255[[#This Row],[CUIT]],Lista_CUIT[#All],2,0)),"CUIT NO CARGADO")</f>
        <v>-</v>
      </c>
      <c r="H2001" s="100">
        <f>ventas_b_mes1255[[#This Row],[TOTAL]]/1.21</f>
        <v>0</v>
      </c>
      <c r="I2001" s="64">
        <f>ventas_b_mes1255[[#This Row],[IMPORTE NETO]]*0.21</f>
        <v>0</v>
      </c>
      <c r="J2001" s="184"/>
      <c r="K2001" s="184"/>
      <c r="L2001" s="184"/>
      <c r="M2001" s="59"/>
    </row>
    <row r="2002" spans="2:13" x14ac:dyDescent="0.3">
      <c r="B2002" s="178"/>
      <c r="C2002" s="41"/>
      <c r="D2002" s="180"/>
      <c r="E2002" s="181"/>
      <c r="F2002" s="182"/>
      <c r="G2002" s="1" t="str">
        <f>IFERROR(IF(ventas_b_mes1255[[#This Row],[CUIT]]="","-",VLOOKUP(ventas_b_mes1255[[#This Row],[CUIT]],Lista_CUIT[#All],2,0)),"CUIT NO CARGADO")</f>
        <v>-</v>
      </c>
      <c r="H2002" s="100">
        <f>ventas_b_mes1255[[#This Row],[TOTAL]]/1.21</f>
        <v>0</v>
      </c>
      <c r="I2002" s="64">
        <f>ventas_b_mes1255[[#This Row],[IMPORTE NETO]]*0.21</f>
        <v>0</v>
      </c>
      <c r="J2002" s="184"/>
      <c r="K2002" s="184"/>
      <c r="L2002" s="184"/>
      <c r="M2002" s="59"/>
    </row>
    <row r="2003" spans="2:13" x14ac:dyDescent="0.3">
      <c r="B2003" s="178"/>
      <c r="C2003" s="41"/>
      <c r="D2003" s="180"/>
      <c r="E2003" s="181"/>
      <c r="F2003" s="182"/>
      <c r="G2003" s="1" t="str">
        <f>IFERROR(IF(ventas_b_mes1255[[#This Row],[CUIT]]="","-",VLOOKUP(ventas_b_mes1255[[#This Row],[CUIT]],Lista_CUIT[#All],2,0)),"CUIT NO CARGADO")</f>
        <v>-</v>
      </c>
      <c r="H2003" s="100">
        <f>ventas_b_mes1255[[#This Row],[TOTAL]]/1.21</f>
        <v>0</v>
      </c>
      <c r="I2003" s="64">
        <f>ventas_b_mes1255[[#This Row],[IMPORTE NETO]]*0.21</f>
        <v>0</v>
      </c>
      <c r="J2003" s="184"/>
      <c r="K2003" s="184"/>
      <c r="L2003" s="184"/>
      <c r="M2003" s="59"/>
    </row>
    <row r="2004" spans="2:13" x14ac:dyDescent="0.3">
      <c r="B2004" s="178"/>
      <c r="C2004" s="41"/>
      <c r="D2004" s="180"/>
      <c r="E2004" s="181"/>
      <c r="F2004" s="182"/>
      <c r="G2004" s="1" t="str">
        <f>IFERROR(IF(ventas_b_mes1255[[#This Row],[CUIT]]="","-",VLOOKUP(ventas_b_mes1255[[#This Row],[CUIT]],Lista_CUIT[#All],2,0)),"CUIT NO CARGADO")</f>
        <v>-</v>
      </c>
      <c r="H2004" s="100">
        <f>ventas_b_mes1255[[#This Row],[TOTAL]]/1.21</f>
        <v>0</v>
      </c>
      <c r="I2004" s="64">
        <f>ventas_b_mes1255[[#This Row],[IMPORTE NETO]]*0.21</f>
        <v>0</v>
      </c>
      <c r="J2004" s="184"/>
      <c r="K2004" s="184"/>
      <c r="L2004" s="184"/>
      <c r="M2004" s="59"/>
    </row>
    <row r="2005" spans="2:13" x14ac:dyDescent="0.3">
      <c r="B2005" s="178"/>
      <c r="C2005" s="41"/>
      <c r="D2005" s="180"/>
      <c r="E2005" s="181"/>
      <c r="F2005" s="182"/>
      <c r="G2005" s="1" t="str">
        <f>IFERROR(IF(ventas_b_mes1255[[#This Row],[CUIT]]="","-",VLOOKUP(ventas_b_mes1255[[#This Row],[CUIT]],Lista_CUIT[#All],2,0)),"CUIT NO CARGADO")</f>
        <v>-</v>
      </c>
      <c r="H2005" s="100">
        <f>ventas_b_mes1255[[#This Row],[TOTAL]]/1.21</f>
        <v>0</v>
      </c>
      <c r="I2005" s="64">
        <f>ventas_b_mes1255[[#This Row],[IMPORTE NETO]]*0.21</f>
        <v>0</v>
      </c>
      <c r="J2005" s="184"/>
      <c r="K2005" s="184"/>
      <c r="L2005" s="184"/>
      <c r="M2005" s="59"/>
    </row>
    <row r="2006" spans="2:13" x14ac:dyDescent="0.3">
      <c r="B2006" s="178"/>
      <c r="C2006" s="41"/>
      <c r="D2006" s="180"/>
      <c r="E2006" s="181"/>
      <c r="F2006" s="182"/>
      <c r="G2006" s="1" t="str">
        <f>IFERROR(IF(ventas_b_mes1255[[#This Row],[CUIT]]="","-",VLOOKUP(ventas_b_mes1255[[#This Row],[CUIT]],Lista_CUIT[#All],2,0)),"CUIT NO CARGADO")</f>
        <v>-</v>
      </c>
      <c r="H2006" s="100">
        <f>ventas_b_mes1255[[#This Row],[TOTAL]]/1.21</f>
        <v>0</v>
      </c>
      <c r="I2006" s="64">
        <f>ventas_b_mes1255[[#This Row],[IMPORTE NETO]]*0.21</f>
        <v>0</v>
      </c>
      <c r="J2006" s="184"/>
      <c r="K2006" s="184"/>
      <c r="L2006" s="184"/>
      <c r="M2006" s="59"/>
    </row>
    <row r="2007" spans="2:13" x14ac:dyDescent="0.3">
      <c r="B2007" s="178"/>
      <c r="C2007" s="41"/>
      <c r="D2007" s="180"/>
      <c r="E2007" s="181"/>
      <c r="F2007" s="182"/>
      <c r="G2007" s="1" t="str">
        <f>IFERROR(IF(ventas_b_mes1255[[#This Row],[CUIT]]="","-",VLOOKUP(ventas_b_mes1255[[#This Row],[CUIT]],Lista_CUIT[#All],2,0)),"CUIT NO CARGADO")</f>
        <v>-</v>
      </c>
      <c r="H2007" s="100">
        <f>ventas_b_mes1255[[#This Row],[TOTAL]]/1.21</f>
        <v>0</v>
      </c>
      <c r="I2007" s="64">
        <f>ventas_b_mes1255[[#This Row],[IMPORTE NETO]]*0.21</f>
        <v>0</v>
      </c>
      <c r="J2007" s="184"/>
      <c r="K2007" s="184"/>
      <c r="L2007" s="184"/>
      <c r="M2007" s="59"/>
    </row>
    <row r="2008" spans="2:13" x14ac:dyDescent="0.3">
      <c r="B2008" s="178"/>
      <c r="C2008" s="41"/>
      <c r="D2008" s="180"/>
      <c r="E2008" s="181"/>
      <c r="F2008" s="182"/>
      <c r="G2008" s="1" t="str">
        <f>IFERROR(IF(ventas_b_mes1255[[#This Row],[CUIT]]="","-",VLOOKUP(ventas_b_mes1255[[#This Row],[CUIT]],Lista_CUIT[#All],2,0)),"CUIT NO CARGADO")</f>
        <v>-</v>
      </c>
      <c r="H2008" s="100">
        <f>ventas_b_mes1255[[#This Row],[TOTAL]]/1.21</f>
        <v>0</v>
      </c>
      <c r="I2008" s="64">
        <f>ventas_b_mes1255[[#This Row],[IMPORTE NETO]]*0.21</f>
        <v>0</v>
      </c>
      <c r="J2008" s="184"/>
      <c r="K2008" s="184"/>
      <c r="L2008" s="184"/>
      <c r="M2008" s="59"/>
    </row>
    <row r="2009" spans="2:13" x14ac:dyDescent="0.3">
      <c r="B2009" s="178"/>
      <c r="C2009" s="41"/>
      <c r="D2009" s="180"/>
      <c r="E2009" s="181"/>
      <c r="F2009" s="182"/>
      <c r="G2009" s="1" t="str">
        <f>IFERROR(IF(ventas_b_mes1255[[#This Row],[CUIT]]="","-",VLOOKUP(ventas_b_mes1255[[#This Row],[CUIT]],Lista_CUIT[#All],2,0)),"CUIT NO CARGADO")</f>
        <v>-</v>
      </c>
      <c r="H2009" s="100">
        <f>ventas_b_mes1255[[#This Row],[TOTAL]]/1.21</f>
        <v>0</v>
      </c>
      <c r="I2009" s="64">
        <f>ventas_b_mes1255[[#This Row],[IMPORTE NETO]]*0.21</f>
        <v>0</v>
      </c>
      <c r="J2009" s="184"/>
      <c r="K2009" s="184"/>
      <c r="L2009" s="184"/>
      <c r="M2009" s="59"/>
    </row>
    <row r="2010" spans="2:13" x14ac:dyDescent="0.3">
      <c r="B2010" s="178"/>
      <c r="C2010" s="41"/>
      <c r="D2010" s="180"/>
      <c r="E2010" s="181"/>
      <c r="F2010" s="182"/>
      <c r="G2010" s="1" t="str">
        <f>IFERROR(IF(ventas_b_mes1255[[#This Row],[CUIT]]="","-",VLOOKUP(ventas_b_mes1255[[#This Row],[CUIT]],Lista_CUIT[#All],2,0)),"CUIT NO CARGADO")</f>
        <v>-</v>
      </c>
      <c r="H2010" s="100">
        <f>ventas_b_mes1255[[#This Row],[TOTAL]]/1.21</f>
        <v>0</v>
      </c>
      <c r="I2010" s="64">
        <f>ventas_b_mes1255[[#This Row],[IMPORTE NETO]]*0.21</f>
        <v>0</v>
      </c>
      <c r="J2010" s="184"/>
      <c r="K2010" s="184"/>
      <c r="L2010" s="184"/>
      <c r="M2010" s="59"/>
    </row>
    <row r="2011" spans="2:13" x14ac:dyDescent="0.3">
      <c r="B2011" s="178"/>
      <c r="C2011" s="41"/>
      <c r="D2011" s="180"/>
      <c r="E2011" s="181"/>
      <c r="F2011" s="182"/>
      <c r="G2011" s="1" t="str">
        <f>IFERROR(IF(ventas_b_mes1255[[#This Row],[CUIT]]="","-",VLOOKUP(ventas_b_mes1255[[#This Row],[CUIT]],Lista_CUIT[#All],2,0)),"CUIT NO CARGADO")</f>
        <v>-</v>
      </c>
      <c r="H2011" s="100">
        <f>ventas_b_mes1255[[#This Row],[TOTAL]]/1.21</f>
        <v>0</v>
      </c>
      <c r="I2011" s="64">
        <f>ventas_b_mes1255[[#This Row],[IMPORTE NETO]]*0.21</f>
        <v>0</v>
      </c>
      <c r="J2011" s="184"/>
      <c r="K2011" s="184"/>
      <c r="L2011" s="184"/>
      <c r="M2011" s="59"/>
    </row>
    <row r="2012" spans="2:13" x14ac:dyDescent="0.3">
      <c r="B2012" s="178"/>
      <c r="C2012" s="41"/>
      <c r="D2012" s="180"/>
      <c r="E2012" s="181"/>
      <c r="F2012" s="182"/>
      <c r="G2012" s="1" t="str">
        <f>IFERROR(IF(ventas_b_mes1255[[#This Row],[CUIT]]="","-",VLOOKUP(ventas_b_mes1255[[#This Row],[CUIT]],Lista_CUIT[#All],2,0)),"CUIT NO CARGADO")</f>
        <v>-</v>
      </c>
      <c r="H2012" s="100">
        <f>ventas_b_mes1255[[#This Row],[TOTAL]]/1.21</f>
        <v>0</v>
      </c>
      <c r="I2012" s="64">
        <f>ventas_b_mes1255[[#This Row],[IMPORTE NETO]]*0.21</f>
        <v>0</v>
      </c>
      <c r="J2012" s="184"/>
      <c r="K2012" s="184"/>
      <c r="L2012" s="184"/>
      <c r="M2012" s="59"/>
    </row>
    <row r="2013" spans="2:13" x14ac:dyDescent="0.3">
      <c r="B2013" s="178"/>
      <c r="C2013" s="41"/>
      <c r="D2013" s="180"/>
      <c r="E2013" s="181"/>
      <c r="F2013" s="182"/>
      <c r="G2013" s="1" t="str">
        <f>IFERROR(IF(ventas_b_mes1255[[#This Row],[CUIT]]="","-",VLOOKUP(ventas_b_mes1255[[#This Row],[CUIT]],Lista_CUIT[#All],2,0)),"CUIT NO CARGADO")</f>
        <v>-</v>
      </c>
      <c r="H2013" s="100">
        <f>ventas_b_mes1255[[#This Row],[TOTAL]]/1.21</f>
        <v>0</v>
      </c>
      <c r="I2013" s="64">
        <f>ventas_b_mes1255[[#This Row],[IMPORTE NETO]]*0.21</f>
        <v>0</v>
      </c>
      <c r="J2013" s="184"/>
      <c r="K2013" s="184"/>
      <c r="L2013" s="184"/>
      <c r="M2013" s="59"/>
    </row>
    <row r="2014" spans="2:13" x14ac:dyDescent="0.3">
      <c r="B2014" s="178"/>
      <c r="C2014" s="41"/>
      <c r="D2014" s="180"/>
      <c r="E2014" s="181"/>
      <c r="F2014" s="182"/>
      <c r="G2014" s="1" t="str">
        <f>IFERROR(IF(ventas_b_mes1255[[#This Row],[CUIT]]="","-",VLOOKUP(ventas_b_mes1255[[#This Row],[CUIT]],Lista_CUIT[#All],2,0)),"CUIT NO CARGADO")</f>
        <v>-</v>
      </c>
      <c r="H2014" s="100">
        <f>ventas_b_mes1255[[#This Row],[TOTAL]]/1.21</f>
        <v>0</v>
      </c>
      <c r="I2014" s="64">
        <f>ventas_b_mes1255[[#This Row],[IMPORTE NETO]]*0.21</f>
        <v>0</v>
      </c>
      <c r="J2014" s="184"/>
      <c r="K2014" s="184"/>
      <c r="L2014" s="184"/>
      <c r="M2014" s="59"/>
    </row>
    <row r="2015" spans="2:13" x14ac:dyDescent="0.3">
      <c r="B2015" s="178"/>
      <c r="C2015" s="41"/>
      <c r="D2015" s="180"/>
      <c r="E2015" s="181"/>
      <c r="F2015" s="182"/>
      <c r="G2015" s="1" t="str">
        <f>IFERROR(IF(ventas_b_mes1255[[#This Row],[CUIT]]="","-",VLOOKUP(ventas_b_mes1255[[#This Row],[CUIT]],Lista_CUIT[#All],2,0)),"CUIT NO CARGADO")</f>
        <v>-</v>
      </c>
      <c r="H2015" s="100">
        <f>ventas_b_mes1255[[#This Row],[TOTAL]]/1.21</f>
        <v>0</v>
      </c>
      <c r="I2015" s="64">
        <f>ventas_b_mes1255[[#This Row],[IMPORTE NETO]]*0.21</f>
        <v>0</v>
      </c>
      <c r="J2015" s="184"/>
      <c r="K2015" s="184"/>
      <c r="L2015" s="184"/>
      <c r="M2015" s="59"/>
    </row>
    <row r="2016" spans="2:13" x14ac:dyDescent="0.3">
      <c r="B2016" s="178"/>
      <c r="C2016" s="41"/>
      <c r="D2016" s="180"/>
      <c r="E2016" s="181"/>
      <c r="F2016" s="182"/>
      <c r="G2016" s="1" t="str">
        <f>IFERROR(IF(ventas_b_mes1255[[#This Row],[CUIT]]="","-",VLOOKUP(ventas_b_mes1255[[#This Row],[CUIT]],Lista_CUIT[#All],2,0)),"CUIT NO CARGADO")</f>
        <v>-</v>
      </c>
      <c r="H2016" s="100">
        <f>ventas_b_mes1255[[#This Row],[TOTAL]]/1.21</f>
        <v>0</v>
      </c>
      <c r="I2016" s="64">
        <f>ventas_b_mes1255[[#This Row],[IMPORTE NETO]]*0.21</f>
        <v>0</v>
      </c>
      <c r="J2016" s="184"/>
      <c r="K2016" s="184"/>
      <c r="L2016" s="184"/>
      <c r="M2016" s="59"/>
    </row>
    <row r="2017" spans="2:13" x14ac:dyDescent="0.3">
      <c r="B2017" s="178"/>
      <c r="C2017" s="41"/>
      <c r="D2017" s="180"/>
      <c r="E2017" s="181"/>
      <c r="F2017" s="182"/>
      <c r="G2017" s="1" t="str">
        <f>IFERROR(IF(ventas_b_mes1255[[#This Row],[CUIT]]="","-",VLOOKUP(ventas_b_mes1255[[#This Row],[CUIT]],Lista_CUIT[#All],2,0)),"CUIT NO CARGADO")</f>
        <v>-</v>
      </c>
      <c r="H2017" s="100">
        <f>ventas_b_mes1255[[#This Row],[TOTAL]]/1.21</f>
        <v>0</v>
      </c>
      <c r="I2017" s="64">
        <f>ventas_b_mes1255[[#This Row],[IMPORTE NETO]]*0.21</f>
        <v>0</v>
      </c>
      <c r="J2017" s="184"/>
      <c r="K2017" s="184"/>
      <c r="L2017" s="184"/>
      <c r="M2017" s="59"/>
    </row>
    <row r="2018" spans="2:13" x14ac:dyDescent="0.3">
      <c r="B2018" s="178"/>
      <c r="C2018" s="41"/>
      <c r="D2018" s="180"/>
      <c r="E2018" s="181"/>
      <c r="F2018" s="182"/>
      <c r="G2018" s="1" t="str">
        <f>IFERROR(IF(ventas_b_mes1255[[#This Row],[CUIT]]="","-",VLOOKUP(ventas_b_mes1255[[#This Row],[CUIT]],Lista_CUIT[#All],2,0)),"CUIT NO CARGADO")</f>
        <v>-</v>
      </c>
      <c r="H2018" s="100">
        <f>ventas_b_mes1255[[#This Row],[TOTAL]]/1.21</f>
        <v>0</v>
      </c>
      <c r="I2018" s="64">
        <f>ventas_b_mes1255[[#This Row],[IMPORTE NETO]]*0.21</f>
        <v>0</v>
      </c>
      <c r="J2018" s="184"/>
      <c r="K2018" s="184"/>
      <c r="L2018" s="184"/>
      <c r="M2018" s="59"/>
    </row>
    <row r="2019" spans="2:13" x14ac:dyDescent="0.3">
      <c r="B2019" s="178"/>
      <c r="C2019" s="41"/>
      <c r="D2019" s="180"/>
      <c r="E2019" s="181"/>
      <c r="F2019" s="182"/>
      <c r="G2019" s="1" t="str">
        <f>IFERROR(IF(ventas_b_mes1255[[#This Row],[CUIT]]="","-",VLOOKUP(ventas_b_mes1255[[#This Row],[CUIT]],Lista_CUIT[#All],2,0)),"CUIT NO CARGADO")</f>
        <v>-</v>
      </c>
      <c r="H2019" s="100">
        <f>ventas_b_mes1255[[#This Row],[TOTAL]]/1.21</f>
        <v>0</v>
      </c>
      <c r="I2019" s="64">
        <f>ventas_b_mes1255[[#This Row],[IMPORTE NETO]]*0.21</f>
        <v>0</v>
      </c>
      <c r="J2019" s="184"/>
      <c r="K2019" s="184"/>
      <c r="L2019" s="184"/>
      <c r="M2019" s="59"/>
    </row>
    <row r="2020" spans="2:13" x14ac:dyDescent="0.3">
      <c r="B2020" s="178"/>
      <c r="C2020" s="41"/>
      <c r="D2020" s="180"/>
      <c r="E2020" s="181"/>
      <c r="F2020" s="182"/>
      <c r="G2020" s="1" t="str">
        <f>IFERROR(IF(ventas_b_mes1255[[#This Row],[CUIT]]="","-",VLOOKUP(ventas_b_mes1255[[#This Row],[CUIT]],Lista_CUIT[#All],2,0)),"CUIT NO CARGADO")</f>
        <v>-</v>
      </c>
      <c r="H2020" s="100">
        <f>ventas_b_mes1255[[#This Row],[TOTAL]]/1.21</f>
        <v>0</v>
      </c>
      <c r="I2020" s="64">
        <f>ventas_b_mes1255[[#This Row],[IMPORTE NETO]]*0.21</f>
        <v>0</v>
      </c>
      <c r="J2020" s="184"/>
      <c r="K2020" s="184"/>
      <c r="L2020" s="184"/>
      <c r="M2020" s="59"/>
    </row>
    <row r="2021" spans="2:13" x14ac:dyDescent="0.3">
      <c r="B2021" s="178"/>
      <c r="C2021" s="41"/>
      <c r="D2021" s="180"/>
      <c r="E2021" s="181"/>
      <c r="F2021" s="182"/>
      <c r="G2021" s="1" t="str">
        <f>IFERROR(IF(ventas_b_mes1255[[#This Row],[CUIT]]="","-",VLOOKUP(ventas_b_mes1255[[#This Row],[CUIT]],Lista_CUIT[#All],2,0)),"CUIT NO CARGADO")</f>
        <v>-</v>
      </c>
      <c r="H2021" s="100">
        <f>ventas_b_mes1255[[#This Row],[TOTAL]]/1.21</f>
        <v>0</v>
      </c>
      <c r="I2021" s="64">
        <f>ventas_b_mes1255[[#This Row],[IMPORTE NETO]]*0.21</f>
        <v>0</v>
      </c>
      <c r="J2021" s="184"/>
      <c r="K2021" s="184"/>
      <c r="L2021" s="184"/>
      <c r="M2021" s="59"/>
    </row>
    <row r="2022" spans="2:13" x14ac:dyDescent="0.3">
      <c r="B2022" s="178"/>
      <c r="C2022" s="41"/>
      <c r="D2022" s="180"/>
      <c r="E2022" s="181"/>
      <c r="F2022" s="182"/>
      <c r="G2022" s="1" t="str">
        <f>IFERROR(IF(ventas_b_mes1255[[#This Row],[CUIT]]="","-",VLOOKUP(ventas_b_mes1255[[#This Row],[CUIT]],Lista_CUIT[#All],2,0)),"CUIT NO CARGADO")</f>
        <v>-</v>
      </c>
      <c r="H2022" s="100">
        <f>ventas_b_mes1255[[#This Row],[TOTAL]]/1.21</f>
        <v>0</v>
      </c>
      <c r="I2022" s="64">
        <f>ventas_b_mes1255[[#This Row],[IMPORTE NETO]]*0.21</f>
        <v>0</v>
      </c>
      <c r="J2022" s="184"/>
      <c r="K2022" s="184"/>
      <c r="L2022" s="184"/>
      <c r="M2022" s="59"/>
    </row>
    <row r="2023" spans="2:13" x14ac:dyDescent="0.3">
      <c r="B2023" s="178"/>
      <c r="C2023" s="41"/>
      <c r="D2023" s="180"/>
      <c r="E2023" s="181"/>
      <c r="F2023" s="182"/>
      <c r="G2023" s="1" t="str">
        <f>IFERROR(IF(ventas_b_mes1255[[#This Row],[CUIT]]="","-",VLOOKUP(ventas_b_mes1255[[#This Row],[CUIT]],Lista_CUIT[#All],2,0)),"CUIT NO CARGADO")</f>
        <v>-</v>
      </c>
      <c r="H2023" s="100">
        <f>ventas_b_mes1255[[#This Row],[TOTAL]]/1.21</f>
        <v>0</v>
      </c>
      <c r="I2023" s="64">
        <f>ventas_b_mes1255[[#This Row],[IMPORTE NETO]]*0.21</f>
        <v>0</v>
      </c>
      <c r="J2023" s="184"/>
      <c r="K2023" s="184"/>
      <c r="L2023" s="184"/>
      <c r="M2023" s="59"/>
    </row>
    <row r="2024" spans="2:13" x14ac:dyDescent="0.3">
      <c r="B2024" s="178"/>
      <c r="C2024" s="41"/>
      <c r="D2024" s="180"/>
      <c r="E2024" s="181"/>
      <c r="F2024" s="182"/>
      <c r="G2024" s="1" t="str">
        <f>IFERROR(IF(ventas_b_mes1255[[#This Row],[CUIT]]="","-",VLOOKUP(ventas_b_mes1255[[#This Row],[CUIT]],Lista_CUIT[#All],2,0)),"CUIT NO CARGADO")</f>
        <v>-</v>
      </c>
      <c r="H2024" s="100">
        <f>ventas_b_mes1255[[#This Row],[TOTAL]]/1.21</f>
        <v>0</v>
      </c>
      <c r="I2024" s="64">
        <f>ventas_b_mes1255[[#This Row],[IMPORTE NETO]]*0.21</f>
        <v>0</v>
      </c>
      <c r="J2024" s="184"/>
      <c r="K2024" s="184"/>
      <c r="L2024" s="184"/>
      <c r="M2024" s="59"/>
    </row>
    <row r="2025" spans="2:13" x14ac:dyDescent="0.3">
      <c r="B2025" s="178"/>
      <c r="C2025" s="41"/>
      <c r="D2025" s="180"/>
      <c r="E2025" s="181"/>
      <c r="F2025" s="182"/>
      <c r="G2025" s="1" t="str">
        <f>IFERROR(IF(ventas_b_mes1255[[#This Row],[CUIT]]="","-",VLOOKUP(ventas_b_mes1255[[#This Row],[CUIT]],Lista_CUIT[#All],2,0)),"CUIT NO CARGADO")</f>
        <v>-</v>
      </c>
      <c r="H2025" s="100">
        <f>ventas_b_mes1255[[#This Row],[TOTAL]]/1.21</f>
        <v>0</v>
      </c>
      <c r="I2025" s="64">
        <f>ventas_b_mes1255[[#This Row],[IMPORTE NETO]]*0.21</f>
        <v>0</v>
      </c>
      <c r="J2025" s="184"/>
      <c r="K2025" s="184"/>
      <c r="L2025" s="184"/>
      <c r="M2025" s="59"/>
    </row>
    <row r="2026" spans="2:13" x14ac:dyDescent="0.3">
      <c r="B2026" s="178"/>
      <c r="C2026" s="41"/>
      <c r="D2026" s="180"/>
      <c r="E2026" s="181"/>
      <c r="F2026" s="182"/>
      <c r="G2026" s="1" t="str">
        <f>IFERROR(IF(ventas_b_mes1255[[#This Row],[CUIT]]="","-",VLOOKUP(ventas_b_mes1255[[#This Row],[CUIT]],Lista_CUIT[#All],2,0)),"CUIT NO CARGADO")</f>
        <v>-</v>
      </c>
      <c r="H2026" s="100">
        <f>ventas_b_mes1255[[#This Row],[TOTAL]]/1.21</f>
        <v>0</v>
      </c>
      <c r="I2026" s="64">
        <f>ventas_b_mes1255[[#This Row],[IMPORTE NETO]]*0.21</f>
        <v>0</v>
      </c>
      <c r="J2026" s="184"/>
      <c r="K2026" s="184"/>
      <c r="L2026" s="184"/>
      <c r="M2026" s="59"/>
    </row>
    <row r="2027" spans="2:13" x14ac:dyDescent="0.3">
      <c r="B2027" s="178"/>
      <c r="C2027" s="41"/>
      <c r="D2027" s="180"/>
      <c r="E2027" s="181"/>
      <c r="F2027" s="182"/>
      <c r="G2027" s="1" t="str">
        <f>IFERROR(IF(ventas_b_mes1255[[#This Row],[CUIT]]="","-",VLOOKUP(ventas_b_mes1255[[#This Row],[CUIT]],Lista_CUIT[#All],2,0)),"CUIT NO CARGADO")</f>
        <v>-</v>
      </c>
      <c r="H2027" s="100">
        <f>ventas_b_mes1255[[#This Row],[TOTAL]]/1.21</f>
        <v>0</v>
      </c>
      <c r="I2027" s="64">
        <f>ventas_b_mes1255[[#This Row],[IMPORTE NETO]]*0.21</f>
        <v>0</v>
      </c>
      <c r="J2027" s="184"/>
      <c r="K2027" s="184"/>
      <c r="L2027" s="184"/>
      <c r="M2027" s="59"/>
    </row>
    <row r="2028" spans="2:13" x14ac:dyDescent="0.3">
      <c r="B2028" s="178"/>
      <c r="C2028" s="41"/>
      <c r="D2028" s="180"/>
      <c r="E2028" s="181"/>
      <c r="F2028" s="182"/>
      <c r="G2028" s="1" t="str">
        <f>IFERROR(IF(ventas_b_mes1255[[#This Row],[CUIT]]="","-",VLOOKUP(ventas_b_mes1255[[#This Row],[CUIT]],Lista_CUIT[#All],2,0)),"CUIT NO CARGADO")</f>
        <v>-</v>
      </c>
      <c r="H2028" s="100">
        <f>ventas_b_mes1255[[#This Row],[TOTAL]]/1.21</f>
        <v>0</v>
      </c>
      <c r="I2028" s="64">
        <f>ventas_b_mes1255[[#This Row],[IMPORTE NETO]]*0.21</f>
        <v>0</v>
      </c>
      <c r="J2028" s="184"/>
      <c r="K2028" s="184"/>
      <c r="L2028" s="184"/>
      <c r="M2028" s="59"/>
    </row>
    <row r="2029" spans="2:13" x14ac:dyDescent="0.3">
      <c r="B2029" s="178"/>
      <c r="C2029" s="41"/>
      <c r="D2029" s="180"/>
      <c r="E2029" s="181"/>
      <c r="F2029" s="182"/>
      <c r="G2029" s="1" t="str">
        <f>IFERROR(IF(ventas_b_mes1255[[#This Row],[CUIT]]="","-",VLOOKUP(ventas_b_mes1255[[#This Row],[CUIT]],Lista_CUIT[#All],2,0)),"CUIT NO CARGADO")</f>
        <v>-</v>
      </c>
      <c r="H2029" s="100">
        <f>ventas_b_mes1255[[#This Row],[TOTAL]]/1.21</f>
        <v>0</v>
      </c>
      <c r="I2029" s="64">
        <f>ventas_b_mes1255[[#This Row],[IMPORTE NETO]]*0.21</f>
        <v>0</v>
      </c>
      <c r="J2029" s="184"/>
      <c r="K2029" s="184"/>
      <c r="L2029" s="184"/>
      <c r="M2029" s="59"/>
    </row>
    <row r="2030" spans="2:13" x14ac:dyDescent="0.3">
      <c r="B2030" s="178"/>
      <c r="C2030" s="41"/>
      <c r="D2030" s="180"/>
      <c r="E2030" s="181"/>
      <c r="F2030" s="182"/>
      <c r="G2030" s="1" t="str">
        <f>IFERROR(IF(ventas_b_mes1255[[#This Row],[CUIT]]="","-",VLOOKUP(ventas_b_mes1255[[#This Row],[CUIT]],Lista_CUIT[#All],2,0)),"CUIT NO CARGADO")</f>
        <v>-</v>
      </c>
      <c r="H2030" s="100">
        <f>ventas_b_mes1255[[#This Row],[TOTAL]]/1.21</f>
        <v>0</v>
      </c>
      <c r="I2030" s="64">
        <f>ventas_b_mes1255[[#This Row],[IMPORTE NETO]]*0.21</f>
        <v>0</v>
      </c>
      <c r="J2030" s="184"/>
      <c r="K2030" s="184"/>
      <c r="L2030" s="184"/>
      <c r="M2030" s="59"/>
    </row>
    <row r="2031" spans="2:13" x14ac:dyDescent="0.3">
      <c r="B2031" s="178"/>
      <c r="C2031" s="41"/>
      <c r="D2031" s="180"/>
      <c r="E2031" s="181"/>
      <c r="F2031" s="182"/>
      <c r="G2031" s="1" t="str">
        <f>IFERROR(IF(ventas_b_mes1255[[#This Row],[CUIT]]="","-",VLOOKUP(ventas_b_mes1255[[#This Row],[CUIT]],Lista_CUIT[#All],2,0)),"CUIT NO CARGADO")</f>
        <v>-</v>
      </c>
      <c r="H2031" s="100">
        <f>ventas_b_mes1255[[#This Row],[TOTAL]]/1.21</f>
        <v>0</v>
      </c>
      <c r="I2031" s="64">
        <f>ventas_b_mes1255[[#This Row],[IMPORTE NETO]]*0.21</f>
        <v>0</v>
      </c>
      <c r="J2031" s="184"/>
      <c r="K2031" s="184"/>
      <c r="L2031" s="184"/>
      <c r="M2031" s="59"/>
    </row>
    <row r="2032" spans="2:13" x14ac:dyDescent="0.3">
      <c r="B2032" s="178"/>
      <c r="C2032" s="41"/>
      <c r="D2032" s="180"/>
      <c r="E2032" s="181"/>
      <c r="F2032" s="182"/>
      <c r="G2032" s="1" t="str">
        <f>IFERROR(IF(ventas_b_mes1255[[#This Row],[CUIT]]="","-",VLOOKUP(ventas_b_mes1255[[#This Row],[CUIT]],Lista_CUIT[#All],2,0)),"CUIT NO CARGADO")</f>
        <v>-</v>
      </c>
      <c r="H2032" s="100">
        <f>ventas_b_mes1255[[#This Row],[TOTAL]]/1.21</f>
        <v>0</v>
      </c>
      <c r="I2032" s="64">
        <f>ventas_b_mes1255[[#This Row],[IMPORTE NETO]]*0.21</f>
        <v>0</v>
      </c>
      <c r="J2032" s="184"/>
      <c r="K2032" s="184"/>
      <c r="L2032" s="184"/>
      <c r="M2032" s="59"/>
    </row>
    <row r="2033" spans="2:13" x14ac:dyDescent="0.3">
      <c r="B2033" s="178"/>
      <c r="C2033" s="41"/>
      <c r="D2033" s="180"/>
      <c r="E2033" s="181"/>
      <c r="F2033" s="182"/>
      <c r="G2033" s="1" t="str">
        <f>IFERROR(IF(ventas_b_mes1255[[#This Row],[CUIT]]="","-",VLOOKUP(ventas_b_mes1255[[#This Row],[CUIT]],Lista_CUIT[#All],2,0)),"CUIT NO CARGADO")</f>
        <v>-</v>
      </c>
      <c r="H2033" s="100">
        <f>ventas_b_mes1255[[#This Row],[TOTAL]]/1.21</f>
        <v>0</v>
      </c>
      <c r="I2033" s="64">
        <f>ventas_b_mes1255[[#This Row],[IMPORTE NETO]]*0.21</f>
        <v>0</v>
      </c>
      <c r="J2033" s="184"/>
      <c r="K2033" s="184"/>
      <c r="L2033" s="184"/>
      <c r="M2033" s="59"/>
    </row>
    <row r="2034" spans="2:13" x14ac:dyDescent="0.3">
      <c r="B2034" s="178"/>
      <c r="C2034" s="41"/>
      <c r="D2034" s="180"/>
      <c r="E2034" s="181"/>
      <c r="F2034" s="182"/>
      <c r="G2034" s="1" t="str">
        <f>IFERROR(IF(ventas_b_mes1255[[#This Row],[CUIT]]="","-",VLOOKUP(ventas_b_mes1255[[#This Row],[CUIT]],Lista_CUIT[#All],2,0)),"CUIT NO CARGADO")</f>
        <v>-</v>
      </c>
      <c r="H2034" s="100">
        <f>ventas_b_mes1255[[#This Row],[TOTAL]]/1.21</f>
        <v>0</v>
      </c>
      <c r="I2034" s="64">
        <f>ventas_b_mes1255[[#This Row],[IMPORTE NETO]]*0.21</f>
        <v>0</v>
      </c>
      <c r="J2034" s="184"/>
      <c r="K2034" s="184"/>
      <c r="L2034" s="184"/>
      <c r="M2034" s="59"/>
    </row>
    <row r="2035" spans="2:13" x14ac:dyDescent="0.3">
      <c r="B2035" s="178"/>
      <c r="C2035" s="41"/>
      <c r="D2035" s="180"/>
      <c r="E2035" s="181"/>
      <c r="F2035" s="182"/>
      <c r="G2035" s="1" t="str">
        <f>IFERROR(IF(ventas_b_mes1255[[#This Row],[CUIT]]="","-",VLOOKUP(ventas_b_mes1255[[#This Row],[CUIT]],Lista_CUIT[#All],2,0)),"CUIT NO CARGADO")</f>
        <v>-</v>
      </c>
      <c r="H2035" s="100">
        <f>ventas_b_mes1255[[#This Row],[TOTAL]]/1.21</f>
        <v>0</v>
      </c>
      <c r="I2035" s="64">
        <f>ventas_b_mes1255[[#This Row],[IMPORTE NETO]]*0.21</f>
        <v>0</v>
      </c>
      <c r="J2035" s="184"/>
      <c r="K2035" s="184"/>
      <c r="L2035" s="184"/>
      <c r="M2035" s="59"/>
    </row>
    <row r="2036" spans="2:13" x14ac:dyDescent="0.3">
      <c r="B2036" s="178"/>
      <c r="C2036" s="41"/>
      <c r="D2036" s="180"/>
      <c r="E2036" s="181"/>
      <c r="F2036" s="182"/>
      <c r="G2036" s="1" t="str">
        <f>IFERROR(IF(ventas_b_mes1255[[#This Row],[CUIT]]="","-",VLOOKUP(ventas_b_mes1255[[#This Row],[CUIT]],Lista_CUIT[#All],2,0)),"CUIT NO CARGADO")</f>
        <v>-</v>
      </c>
      <c r="H2036" s="100">
        <f>ventas_b_mes1255[[#This Row],[TOTAL]]/1.21</f>
        <v>0</v>
      </c>
      <c r="I2036" s="64">
        <f>ventas_b_mes1255[[#This Row],[IMPORTE NETO]]*0.21</f>
        <v>0</v>
      </c>
      <c r="J2036" s="184"/>
      <c r="K2036" s="184"/>
      <c r="L2036" s="184"/>
      <c r="M2036" s="59"/>
    </row>
    <row r="2037" spans="2:13" x14ac:dyDescent="0.3">
      <c r="B2037" s="178"/>
      <c r="C2037" s="41"/>
      <c r="D2037" s="180"/>
      <c r="E2037" s="181"/>
      <c r="F2037" s="182"/>
      <c r="G2037" s="1" t="str">
        <f>IFERROR(IF(ventas_b_mes1255[[#This Row],[CUIT]]="","-",VLOOKUP(ventas_b_mes1255[[#This Row],[CUIT]],Lista_CUIT[#All],2,0)),"CUIT NO CARGADO")</f>
        <v>-</v>
      </c>
      <c r="H2037" s="100">
        <f>ventas_b_mes1255[[#This Row],[TOTAL]]/1.21</f>
        <v>0</v>
      </c>
      <c r="I2037" s="64">
        <f>ventas_b_mes1255[[#This Row],[IMPORTE NETO]]*0.21</f>
        <v>0</v>
      </c>
      <c r="J2037" s="184"/>
      <c r="K2037" s="184"/>
      <c r="L2037" s="184"/>
      <c r="M2037" s="59"/>
    </row>
    <row r="2038" spans="2:13" x14ac:dyDescent="0.3">
      <c r="B2038" s="178"/>
      <c r="C2038" s="41"/>
      <c r="D2038" s="180"/>
      <c r="E2038" s="181"/>
      <c r="F2038" s="182"/>
      <c r="G2038" s="1" t="str">
        <f>IFERROR(IF(ventas_b_mes1255[[#This Row],[CUIT]]="","-",VLOOKUP(ventas_b_mes1255[[#This Row],[CUIT]],Lista_CUIT[#All],2,0)),"CUIT NO CARGADO")</f>
        <v>-</v>
      </c>
      <c r="H2038" s="100">
        <f>ventas_b_mes1255[[#This Row],[TOTAL]]/1.21</f>
        <v>0</v>
      </c>
      <c r="I2038" s="64">
        <f>ventas_b_mes1255[[#This Row],[IMPORTE NETO]]*0.21</f>
        <v>0</v>
      </c>
      <c r="J2038" s="184"/>
      <c r="K2038" s="184"/>
      <c r="L2038" s="184"/>
      <c r="M2038" s="59"/>
    </row>
    <row r="2039" spans="2:13" x14ac:dyDescent="0.3">
      <c r="B2039" s="178"/>
      <c r="C2039" s="41"/>
      <c r="D2039" s="180"/>
      <c r="E2039" s="181"/>
      <c r="F2039" s="182"/>
      <c r="G2039" s="1" t="str">
        <f>IFERROR(IF(ventas_b_mes1255[[#This Row],[CUIT]]="","-",VLOOKUP(ventas_b_mes1255[[#This Row],[CUIT]],Lista_CUIT[#All],2,0)),"CUIT NO CARGADO")</f>
        <v>-</v>
      </c>
      <c r="H2039" s="100">
        <f>ventas_b_mes1255[[#This Row],[TOTAL]]/1.21</f>
        <v>0</v>
      </c>
      <c r="I2039" s="64">
        <f>ventas_b_mes1255[[#This Row],[IMPORTE NETO]]*0.21</f>
        <v>0</v>
      </c>
      <c r="J2039" s="184"/>
      <c r="K2039" s="184"/>
      <c r="L2039" s="184"/>
      <c r="M2039" s="59"/>
    </row>
    <row r="2040" spans="2:13" x14ac:dyDescent="0.3">
      <c r="B2040" s="178"/>
      <c r="C2040" s="41"/>
      <c r="D2040" s="180"/>
      <c r="E2040" s="181"/>
      <c r="F2040" s="182"/>
      <c r="G2040" s="1" t="str">
        <f>IFERROR(IF(ventas_b_mes1255[[#This Row],[CUIT]]="","-",VLOOKUP(ventas_b_mes1255[[#This Row],[CUIT]],Lista_CUIT[#All],2,0)),"CUIT NO CARGADO")</f>
        <v>-</v>
      </c>
      <c r="H2040" s="100">
        <f>ventas_b_mes1255[[#This Row],[TOTAL]]/1.21</f>
        <v>0</v>
      </c>
      <c r="I2040" s="64">
        <f>ventas_b_mes1255[[#This Row],[IMPORTE NETO]]*0.21</f>
        <v>0</v>
      </c>
      <c r="J2040" s="184"/>
      <c r="K2040" s="184"/>
      <c r="L2040" s="184"/>
      <c r="M2040" s="59"/>
    </row>
    <row r="2041" spans="2:13" x14ac:dyDescent="0.3">
      <c r="B2041" s="178"/>
      <c r="C2041" s="41"/>
      <c r="D2041" s="180"/>
      <c r="E2041" s="181"/>
      <c r="F2041" s="182"/>
      <c r="G2041" s="1" t="str">
        <f>IFERROR(IF(ventas_b_mes1255[[#This Row],[CUIT]]="","-",VLOOKUP(ventas_b_mes1255[[#This Row],[CUIT]],Lista_CUIT[#All],2,0)),"CUIT NO CARGADO")</f>
        <v>-</v>
      </c>
      <c r="H2041" s="100">
        <f>ventas_b_mes1255[[#This Row],[TOTAL]]/1.21</f>
        <v>0</v>
      </c>
      <c r="I2041" s="64">
        <f>ventas_b_mes1255[[#This Row],[IMPORTE NETO]]*0.21</f>
        <v>0</v>
      </c>
      <c r="J2041" s="184"/>
      <c r="K2041" s="184"/>
      <c r="L2041" s="184"/>
      <c r="M2041" s="59"/>
    </row>
    <row r="2042" spans="2:13" x14ac:dyDescent="0.3">
      <c r="B2042" s="178"/>
      <c r="C2042" s="41"/>
      <c r="D2042" s="180"/>
      <c r="E2042" s="181"/>
      <c r="F2042" s="182"/>
      <c r="G2042" s="1" t="str">
        <f>IFERROR(IF(ventas_b_mes1255[[#This Row],[CUIT]]="","-",VLOOKUP(ventas_b_mes1255[[#This Row],[CUIT]],Lista_CUIT[#All],2,0)),"CUIT NO CARGADO")</f>
        <v>-</v>
      </c>
      <c r="H2042" s="100">
        <f>ventas_b_mes1255[[#This Row],[TOTAL]]/1.21</f>
        <v>0</v>
      </c>
      <c r="I2042" s="64">
        <f>ventas_b_mes1255[[#This Row],[IMPORTE NETO]]*0.21</f>
        <v>0</v>
      </c>
      <c r="J2042" s="184"/>
      <c r="K2042" s="184"/>
      <c r="L2042" s="184"/>
      <c r="M2042" s="59"/>
    </row>
    <row r="2043" spans="2:13" x14ac:dyDescent="0.3">
      <c r="B2043" s="178"/>
      <c r="C2043" s="41"/>
      <c r="D2043" s="180"/>
      <c r="E2043" s="181"/>
      <c r="F2043" s="182"/>
      <c r="G2043" s="1" t="str">
        <f>IFERROR(IF(ventas_b_mes1255[[#This Row],[CUIT]]="","-",VLOOKUP(ventas_b_mes1255[[#This Row],[CUIT]],Lista_CUIT[#All],2,0)),"CUIT NO CARGADO")</f>
        <v>-</v>
      </c>
      <c r="H2043" s="100">
        <f>ventas_b_mes1255[[#This Row],[TOTAL]]/1.21</f>
        <v>0</v>
      </c>
      <c r="I2043" s="64">
        <f>ventas_b_mes1255[[#This Row],[IMPORTE NETO]]*0.21</f>
        <v>0</v>
      </c>
      <c r="J2043" s="184"/>
      <c r="K2043" s="184"/>
      <c r="L2043" s="184"/>
      <c r="M2043" s="59"/>
    </row>
    <row r="2044" spans="2:13" x14ac:dyDescent="0.3">
      <c r="B2044" s="178"/>
      <c r="C2044" s="41"/>
      <c r="D2044" s="180"/>
      <c r="E2044" s="181"/>
      <c r="F2044" s="182"/>
      <c r="G2044" s="1" t="str">
        <f>IFERROR(IF(ventas_b_mes1255[[#This Row],[CUIT]]="","-",VLOOKUP(ventas_b_mes1255[[#This Row],[CUIT]],Lista_CUIT[#All],2,0)),"CUIT NO CARGADO")</f>
        <v>-</v>
      </c>
      <c r="H2044" s="100">
        <f>ventas_b_mes1255[[#This Row],[TOTAL]]/1.21</f>
        <v>0</v>
      </c>
      <c r="I2044" s="64">
        <f>ventas_b_mes1255[[#This Row],[IMPORTE NETO]]*0.21</f>
        <v>0</v>
      </c>
      <c r="J2044" s="184"/>
      <c r="K2044" s="184"/>
      <c r="L2044" s="184"/>
      <c r="M2044" s="59"/>
    </row>
    <row r="2045" spans="2:13" x14ac:dyDescent="0.3">
      <c r="B2045" s="178"/>
      <c r="C2045" s="41"/>
      <c r="D2045" s="180"/>
      <c r="E2045" s="181"/>
      <c r="F2045" s="182"/>
      <c r="G2045" s="1" t="str">
        <f>IFERROR(IF(ventas_b_mes1255[[#This Row],[CUIT]]="","-",VLOOKUP(ventas_b_mes1255[[#This Row],[CUIT]],Lista_CUIT[#All],2,0)),"CUIT NO CARGADO")</f>
        <v>-</v>
      </c>
      <c r="H2045" s="100">
        <f>ventas_b_mes1255[[#This Row],[TOTAL]]/1.21</f>
        <v>0</v>
      </c>
      <c r="I2045" s="64">
        <f>ventas_b_mes1255[[#This Row],[IMPORTE NETO]]*0.21</f>
        <v>0</v>
      </c>
      <c r="J2045" s="184"/>
      <c r="K2045" s="184"/>
      <c r="L2045" s="184"/>
      <c r="M2045" s="59"/>
    </row>
    <row r="2046" spans="2:13" x14ac:dyDescent="0.3">
      <c r="B2046" s="178"/>
      <c r="C2046" s="41"/>
      <c r="D2046" s="180"/>
      <c r="E2046" s="181"/>
      <c r="F2046" s="182"/>
      <c r="G2046" s="1" t="str">
        <f>IFERROR(IF(ventas_b_mes1255[[#This Row],[CUIT]]="","-",VLOOKUP(ventas_b_mes1255[[#This Row],[CUIT]],Lista_CUIT[#All],2,0)),"CUIT NO CARGADO")</f>
        <v>-</v>
      </c>
      <c r="H2046" s="100">
        <f>ventas_b_mes1255[[#This Row],[TOTAL]]/1.21</f>
        <v>0</v>
      </c>
      <c r="I2046" s="64">
        <f>ventas_b_mes1255[[#This Row],[IMPORTE NETO]]*0.21</f>
        <v>0</v>
      </c>
      <c r="J2046" s="184"/>
      <c r="K2046" s="184"/>
      <c r="L2046" s="184"/>
      <c r="M2046" s="59"/>
    </row>
    <row r="2047" spans="2:13" x14ac:dyDescent="0.3">
      <c r="B2047" s="178"/>
      <c r="C2047" s="41"/>
      <c r="D2047" s="180"/>
      <c r="E2047" s="181"/>
      <c r="F2047" s="182"/>
      <c r="G2047" s="1" t="str">
        <f>IFERROR(IF(ventas_b_mes1255[[#This Row],[CUIT]]="","-",VLOOKUP(ventas_b_mes1255[[#This Row],[CUIT]],Lista_CUIT[#All],2,0)),"CUIT NO CARGADO")</f>
        <v>-</v>
      </c>
      <c r="H2047" s="100">
        <f>ventas_b_mes1255[[#This Row],[TOTAL]]/1.21</f>
        <v>0</v>
      </c>
      <c r="I2047" s="64">
        <f>ventas_b_mes1255[[#This Row],[IMPORTE NETO]]*0.21</f>
        <v>0</v>
      </c>
      <c r="J2047" s="184"/>
      <c r="K2047" s="184"/>
      <c r="L2047" s="184"/>
      <c r="M2047" s="59"/>
    </row>
    <row r="2048" spans="2:13" x14ac:dyDescent="0.3">
      <c r="B2048" s="178"/>
      <c r="C2048" s="41"/>
      <c r="D2048" s="180"/>
      <c r="E2048" s="181"/>
      <c r="F2048" s="182"/>
      <c r="G2048" s="1" t="str">
        <f>IFERROR(IF(ventas_b_mes1255[[#This Row],[CUIT]]="","-",VLOOKUP(ventas_b_mes1255[[#This Row],[CUIT]],Lista_CUIT[#All],2,0)),"CUIT NO CARGADO")</f>
        <v>-</v>
      </c>
      <c r="H2048" s="100">
        <f>ventas_b_mes1255[[#This Row],[TOTAL]]/1.21</f>
        <v>0</v>
      </c>
      <c r="I2048" s="64">
        <f>ventas_b_mes1255[[#This Row],[IMPORTE NETO]]*0.21</f>
        <v>0</v>
      </c>
      <c r="J2048" s="184"/>
      <c r="K2048" s="184"/>
      <c r="L2048" s="184"/>
      <c r="M2048" s="59"/>
    </row>
    <row r="2049" spans="2:13" x14ac:dyDescent="0.3">
      <c r="B2049" s="178"/>
      <c r="C2049" s="41"/>
      <c r="D2049" s="180"/>
      <c r="E2049" s="181"/>
      <c r="F2049" s="182"/>
      <c r="G2049" s="1" t="str">
        <f>IFERROR(IF(ventas_b_mes1255[[#This Row],[CUIT]]="","-",VLOOKUP(ventas_b_mes1255[[#This Row],[CUIT]],Lista_CUIT[#All],2,0)),"CUIT NO CARGADO")</f>
        <v>-</v>
      </c>
      <c r="H2049" s="100">
        <f>ventas_b_mes1255[[#This Row],[TOTAL]]/1.21</f>
        <v>0</v>
      </c>
      <c r="I2049" s="64">
        <f>ventas_b_mes1255[[#This Row],[IMPORTE NETO]]*0.21</f>
        <v>0</v>
      </c>
      <c r="J2049" s="184"/>
      <c r="K2049" s="184"/>
      <c r="L2049" s="184"/>
      <c r="M2049" s="59"/>
    </row>
    <row r="2050" spans="2:13" x14ac:dyDescent="0.3">
      <c r="B2050" s="178"/>
      <c r="C2050" s="41"/>
      <c r="D2050" s="180"/>
      <c r="E2050" s="181"/>
      <c r="F2050" s="182"/>
      <c r="G2050" s="1" t="str">
        <f>IFERROR(IF(ventas_b_mes1255[[#This Row],[CUIT]]="","-",VLOOKUP(ventas_b_mes1255[[#This Row],[CUIT]],Lista_CUIT[#All],2,0)),"CUIT NO CARGADO")</f>
        <v>-</v>
      </c>
      <c r="H2050" s="100">
        <f>ventas_b_mes1255[[#This Row],[TOTAL]]/1.21</f>
        <v>0</v>
      </c>
      <c r="I2050" s="64">
        <f>ventas_b_mes1255[[#This Row],[IMPORTE NETO]]*0.21</f>
        <v>0</v>
      </c>
      <c r="J2050" s="184"/>
      <c r="K2050" s="184"/>
      <c r="L2050" s="184"/>
      <c r="M2050" s="59"/>
    </row>
    <row r="2051" spans="2:13" x14ac:dyDescent="0.3">
      <c r="B2051" s="178"/>
      <c r="C2051" s="41"/>
      <c r="D2051" s="180"/>
      <c r="E2051" s="181"/>
      <c r="F2051" s="182"/>
      <c r="G2051" s="1" t="str">
        <f>IFERROR(IF(ventas_b_mes1255[[#This Row],[CUIT]]="","-",VLOOKUP(ventas_b_mes1255[[#This Row],[CUIT]],Lista_CUIT[#All],2,0)),"CUIT NO CARGADO")</f>
        <v>-</v>
      </c>
      <c r="H2051" s="100">
        <f>ventas_b_mes1255[[#This Row],[TOTAL]]/1.21</f>
        <v>0</v>
      </c>
      <c r="I2051" s="64">
        <f>ventas_b_mes1255[[#This Row],[IMPORTE NETO]]*0.21</f>
        <v>0</v>
      </c>
      <c r="J2051" s="184"/>
      <c r="K2051" s="184"/>
      <c r="L2051" s="184"/>
      <c r="M2051" s="59"/>
    </row>
    <row r="2052" spans="2:13" x14ac:dyDescent="0.3">
      <c r="B2052" s="178"/>
      <c r="C2052" s="41"/>
      <c r="D2052" s="180"/>
      <c r="E2052" s="181"/>
      <c r="F2052" s="182"/>
      <c r="G2052" s="1" t="str">
        <f>IFERROR(IF(ventas_b_mes1255[[#This Row],[CUIT]]="","-",VLOOKUP(ventas_b_mes1255[[#This Row],[CUIT]],Lista_CUIT[#All],2,0)),"CUIT NO CARGADO")</f>
        <v>-</v>
      </c>
      <c r="H2052" s="100">
        <f>ventas_b_mes1255[[#This Row],[TOTAL]]/1.21</f>
        <v>0</v>
      </c>
      <c r="I2052" s="64">
        <f>ventas_b_mes1255[[#This Row],[IMPORTE NETO]]*0.21</f>
        <v>0</v>
      </c>
      <c r="J2052" s="184"/>
      <c r="K2052" s="184"/>
      <c r="L2052" s="184"/>
      <c r="M2052" s="59"/>
    </row>
    <row r="2053" spans="2:13" x14ac:dyDescent="0.3">
      <c r="B2053" s="178"/>
      <c r="C2053" s="41"/>
      <c r="D2053" s="180"/>
      <c r="E2053" s="181"/>
      <c r="F2053" s="182"/>
      <c r="G2053" s="1" t="str">
        <f>IFERROR(IF(ventas_b_mes1255[[#This Row],[CUIT]]="","-",VLOOKUP(ventas_b_mes1255[[#This Row],[CUIT]],Lista_CUIT[#All],2,0)),"CUIT NO CARGADO")</f>
        <v>-</v>
      </c>
      <c r="H2053" s="100">
        <f>ventas_b_mes1255[[#This Row],[TOTAL]]/1.21</f>
        <v>0</v>
      </c>
      <c r="I2053" s="64">
        <f>ventas_b_mes1255[[#This Row],[IMPORTE NETO]]*0.21</f>
        <v>0</v>
      </c>
      <c r="J2053" s="184"/>
      <c r="K2053" s="184"/>
      <c r="L2053" s="184"/>
      <c r="M2053" s="59"/>
    </row>
    <row r="2054" spans="2:13" x14ac:dyDescent="0.3">
      <c r="B2054" s="178"/>
      <c r="C2054" s="41"/>
      <c r="D2054" s="180"/>
      <c r="E2054" s="181"/>
      <c r="F2054" s="182"/>
      <c r="G2054" s="1" t="str">
        <f>IFERROR(IF(ventas_b_mes1255[[#This Row],[CUIT]]="","-",VLOOKUP(ventas_b_mes1255[[#This Row],[CUIT]],Lista_CUIT[#All],2,0)),"CUIT NO CARGADO")</f>
        <v>-</v>
      </c>
      <c r="H2054" s="100">
        <f>ventas_b_mes1255[[#This Row],[TOTAL]]/1.21</f>
        <v>0</v>
      </c>
      <c r="I2054" s="64">
        <f>ventas_b_mes1255[[#This Row],[IMPORTE NETO]]*0.21</f>
        <v>0</v>
      </c>
      <c r="J2054" s="184"/>
      <c r="K2054" s="184"/>
      <c r="L2054" s="184"/>
      <c r="M2054" s="59"/>
    </row>
    <row r="2055" spans="2:13" x14ac:dyDescent="0.3">
      <c r="B2055" s="178"/>
      <c r="C2055" s="41"/>
      <c r="D2055" s="180"/>
      <c r="E2055" s="181"/>
      <c r="F2055" s="182"/>
      <c r="G2055" s="1" t="str">
        <f>IFERROR(IF(ventas_b_mes1255[[#This Row],[CUIT]]="","-",VLOOKUP(ventas_b_mes1255[[#This Row],[CUIT]],Lista_CUIT[#All],2,0)),"CUIT NO CARGADO")</f>
        <v>-</v>
      </c>
      <c r="H2055" s="100">
        <f>ventas_b_mes1255[[#This Row],[TOTAL]]/1.21</f>
        <v>0</v>
      </c>
      <c r="I2055" s="64">
        <f>ventas_b_mes1255[[#This Row],[IMPORTE NETO]]*0.21</f>
        <v>0</v>
      </c>
      <c r="J2055" s="184"/>
      <c r="K2055" s="184"/>
      <c r="L2055" s="184"/>
      <c r="M2055" s="59"/>
    </row>
    <row r="2056" spans="2:13" x14ac:dyDescent="0.3">
      <c r="B2056" s="178"/>
      <c r="C2056" s="41"/>
      <c r="D2056" s="180"/>
      <c r="E2056" s="181"/>
      <c r="F2056" s="182"/>
      <c r="G2056" s="1" t="str">
        <f>IFERROR(IF(ventas_b_mes1255[[#This Row],[CUIT]]="","-",VLOOKUP(ventas_b_mes1255[[#This Row],[CUIT]],Lista_CUIT[#All],2,0)),"CUIT NO CARGADO")</f>
        <v>-</v>
      </c>
      <c r="H2056" s="100">
        <f>ventas_b_mes1255[[#This Row],[TOTAL]]/1.21</f>
        <v>0</v>
      </c>
      <c r="I2056" s="64">
        <f>ventas_b_mes1255[[#This Row],[IMPORTE NETO]]*0.21</f>
        <v>0</v>
      </c>
      <c r="J2056" s="184"/>
      <c r="K2056" s="184"/>
      <c r="L2056" s="184"/>
      <c r="M2056" s="59"/>
    </row>
    <row r="2057" spans="2:13" x14ac:dyDescent="0.3">
      <c r="B2057" s="178"/>
      <c r="C2057" s="41"/>
      <c r="D2057" s="180"/>
      <c r="E2057" s="181"/>
      <c r="F2057" s="182"/>
      <c r="G2057" s="1" t="str">
        <f>IFERROR(IF(ventas_b_mes1255[[#This Row],[CUIT]]="","-",VLOOKUP(ventas_b_mes1255[[#This Row],[CUIT]],Lista_CUIT[#All],2,0)),"CUIT NO CARGADO")</f>
        <v>-</v>
      </c>
      <c r="H2057" s="100">
        <f>ventas_b_mes1255[[#This Row],[TOTAL]]/1.21</f>
        <v>0</v>
      </c>
      <c r="I2057" s="64">
        <f>ventas_b_mes1255[[#This Row],[IMPORTE NETO]]*0.21</f>
        <v>0</v>
      </c>
      <c r="J2057" s="184"/>
      <c r="K2057" s="184"/>
      <c r="L2057" s="184"/>
      <c r="M2057" s="59"/>
    </row>
    <row r="2058" spans="2:13" x14ac:dyDescent="0.3">
      <c r="B2058" s="178"/>
      <c r="C2058" s="41"/>
      <c r="D2058" s="180"/>
      <c r="E2058" s="181"/>
      <c r="F2058" s="182"/>
      <c r="G2058" s="1" t="str">
        <f>IFERROR(IF(ventas_b_mes1255[[#This Row],[CUIT]]="","-",VLOOKUP(ventas_b_mes1255[[#This Row],[CUIT]],Lista_CUIT[#All],2,0)),"CUIT NO CARGADO")</f>
        <v>-</v>
      </c>
      <c r="H2058" s="100">
        <f>ventas_b_mes1255[[#This Row],[TOTAL]]/1.21</f>
        <v>0</v>
      </c>
      <c r="I2058" s="64">
        <f>ventas_b_mes1255[[#This Row],[IMPORTE NETO]]*0.21</f>
        <v>0</v>
      </c>
      <c r="J2058" s="184"/>
      <c r="K2058" s="184"/>
      <c r="L2058" s="184"/>
      <c r="M2058" s="59"/>
    </row>
    <row r="2059" spans="2:13" x14ac:dyDescent="0.3">
      <c r="B2059" s="178"/>
      <c r="C2059" s="41"/>
      <c r="D2059" s="180"/>
      <c r="E2059" s="181"/>
      <c r="F2059" s="182"/>
      <c r="G2059" s="1" t="str">
        <f>IFERROR(IF(ventas_b_mes1255[[#This Row],[CUIT]]="","-",VLOOKUP(ventas_b_mes1255[[#This Row],[CUIT]],Lista_CUIT[#All],2,0)),"CUIT NO CARGADO")</f>
        <v>-</v>
      </c>
      <c r="H2059" s="100">
        <f>ventas_b_mes1255[[#This Row],[TOTAL]]/1.21</f>
        <v>0</v>
      </c>
      <c r="I2059" s="64">
        <f>ventas_b_mes1255[[#This Row],[IMPORTE NETO]]*0.21</f>
        <v>0</v>
      </c>
      <c r="J2059" s="184"/>
      <c r="K2059" s="184"/>
      <c r="L2059" s="184"/>
      <c r="M2059" s="59"/>
    </row>
    <row r="2060" spans="2:13" x14ac:dyDescent="0.3">
      <c r="B2060" s="178"/>
      <c r="C2060" s="41"/>
      <c r="D2060" s="180"/>
      <c r="E2060" s="181"/>
      <c r="F2060" s="182"/>
      <c r="G2060" s="1" t="str">
        <f>IFERROR(IF(ventas_b_mes1255[[#This Row],[CUIT]]="","-",VLOOKUP(ventas_b_mes1255[[#This Row],[CUIT]],Lista_CUIT[#All],2,0)),"CUIT NO CARGADO")</f>
        <v>-</v>
      </c>
      <c r="H2060" s="100">
        <f>ventas_b_mes1255[[#This Row],[TOTAL]]/1.21</f>
        <v>0</v>
      </c>
      <c r="I2060" s="64">
        <f>ventas_b_mes1255[[#This Row],[IMPORTE NETO]]*0.21</f>
        <v>0</v>
      </c>
      <c r="J2060" s="184"/>
      <c r="K2060" s="184"/>
      <c r="L2060" s="184"/>
      <c r="M2060" s="59"/>
    </row>
    <row r="2061" spans="2:13" x14ac:dyDescent="0.3">
      <c r="B2061" s="178"/>
      <c r="C2061" s="41"/>
      <c r="D2061" s="180"/>
      <c r="E2061" s="181"/>
      <c r="F2061" s="182"/>
      <c r="G2061" s="1" t="str">
        <f>IFERROR(IF(ventas_b_mes1255[[#This Row],[CUIT]]="","-",VLOOKUP(ventas_b_mes1255[[#This Row],[CUIT]],Lista_CUIT[#All],2,0)),"CUIT NO CARGADO")</f>
        <v>-</v>
      </c>
      <c r="H2061" s="100">
        <f>ventas_b_mes1255[[#This Row],[TOTAL]]/1.21</f>
        <v>0</v>
      </c>
      <c r="I2061" s="64">
        <f>ventas_b_mes1255[[#This Row],[IMPORTE NETO]]*0.21</f>
        <v>0</v>
      </c>
      <c r="J2061" s="184"/>
      <c r="K2061" s="184"/>
      <c r="L2061" s="184"/>
      <c r="M2061" s="59"/>
    </row>
    <row r="2062" spans="2:13" x14ac:dyDescent="0.3">
      <c r="B2062" s="178"/>
      <c r="C2062" s="41"/>
      <c r="D2062" s="180"/>
      <c r="E2062" s="181"/>
      <c r="F2062" s="182"/>
      <c r="G2062" s="1" t="str">
        <f>IFERROR(IF(ventas_b_mes1255[[#This Row],[CUIT]]="","-",VLOOKUP(ventas_b_mes1255[[#This Row],[CUIT]],Lista_CUIT[#All],2,0)),"CUIT NO CARGADO")</f>
        <v>-</v>
      </c>
      <c r="H2062" s="100">
        <f>ventas_b_mes1255[[#This Row],[TOTAL]]/1.21</f>
        <v>0</v>
      </c>
      <c r="I2062" s="64">
        <f>ventas_b_mes1255[[#This Row],[IMPORTE NETO]]*0.21</f>
        <v>0</v>
      </c>
      <c r="J2062" s="184"/>
      <c r="K2062" s="184"/>
      <c r="L2062" s="184"/>
      <c r="M2062" s="59"/>
    </row>
    <row r="2063" spans="2:13" x14ac:dyDescent="0.3">
      <c r="B2063" s="178"/>
      <c r="C2063" s="41"/>
      <c r="D2063" s="180"/>
      <c r="E2063" s="181"/>
      <c r="F2063" s="182"/>
      <c r="G2063" s="1" t="str">
        <f>IFERROR(IF(ventas_b_mes1255[[#This Row],[CUIT]]="","-",VLOOKUP(ventas_b_mes1255[[#This Row],[CUIT]],Lista_CUIT[#All],2,0)),"CUIT NO CARGADO")</f>
        <v>-</v>
      </c>
      <c r="H2063" s="100">
        <f>ventas_b_mes1255[[#This Row],[TOTAL]]/1.21</f>
        <v>0</v>
      </c>
      <c r="I2063" s="64">
        <f>ventas_b_mes1255[[#This Row],[IMPORTE NETO]]*0.21</f>
        <v>0</v>
      </c>
      <c r="J2063" s="184"/>
      <c r="K2063" s="184"/>
      <c r="L2063" s="184"/>
      <c r="M2063" s="59"/>
    </row>
    <row r="2064" spans="2:13" x14ac:dyDescent="0.3">
      <c r="B2064" s="178"/>
      <c r="C2064" s="41"/>
      <c r="D2064" s="180"/>
      <c r="E2064" s="181"/>
      <c r="F2064" s="182"/>
      <c r="G2064" s="1" t="str">
        <f>IFERROR(IF(ventas_b_mes1255[[#This Row],[CUIT]]="","-",VLOOKUP(ventas_b_mes1255[[#This Row],[CUIT]],Lista_CUIT[#All],2,0)),"CUIT NO CARGADO")</f>
        <v>-</v>
      </c>
      <c r="H2064" s="100">
        <f>ventas_b_mes1255[[#This Row],[TOTAL]]/1.21</f>
        <v>0</v>
      </c>
      <c r="I2064" s="64">
        <f>ventas_b_mes1255[[#This Row],[IMPORTE NETO]]*0.21</f>
        <v>0</v>
      </c>
      <c r="J2064" s="184"/>
      <c r="K2064" s="184"/>
      <c r="L2064" s="184"/>
      <c r="M2064" s="59"/>
    </row>
    <row r="2065" spans="2:13" x14ac:dyDescent="0.3">
      <c r="B2065" s="178"/>
      <c r="C2065" s="41"/>
      <c r="D2065" s="180"/>
      <c r="E2065" s="181"/>
      <c r="F2065" s="182"/>
      <c r="G2065" s="1" t="str">
        <f>IFERROR(IF(ventas_b_mes1255[[#This Row],[CUIT]]="","-",VLOOKUP(ventas_b_mes1255[[#This Row],[CUIT]],Lista_CUIT[#All],2,0)),"CUIT NO CARGADO")</f>
        <v>-</v>
      </c>
      <c r="H2065" s="100">
        <f>ventas_b_mes1255[[#This Row],[TOTAL]]/1.21</f>
        <v>0</v>
      </c>
      <c r="I2065" s="64">
        <f>ventas_b_mes1255[[#This Row],[IMPORTE NETO]]*0.21</f>
        <v>0</v>
      </c>
      <c r="J2065" s="184"/>
      <c r="K2065" s="184"/>
      <c r="L2065" s="184"/>
      <c r="M2065" s="59"/>
    </row>
    <row r="2066" spans="2:13" x14ac:dyDescent="0.3">
      <c r="B2066" s="178"/>
      <c r="C2066" s="41"/>
      <c r="D2066" s="180"/>
      <c r="E2066" s="181"/>
      <c r="F2066" s="182"/>
      <c r="G2066" s="1" t="str">
        <f>IFERROR(IF(ventas_b_mes1255[[#This Row],[CUIT]]="","-",VLOOKUP(ventas_b_mes1255[[#This Row],[CUIT]],Lista_CUIT[#All],2,0)),"CUIT NO CARGADO")</f>
        <v>-</v>
      </c>
      <c r="H2066" s="100">
        <f>ventas_b_mes1255[[#This Row],[TOTAL]]/1.21</f>
        <v>0</v>
      </c>
      <c r="I2066" s="64">
        <f>ventas_b_mes1255[[#This Row],[IMPORTE NETO]]*0.21</f>
        <v>0</v>
      </c>
      <c r="J2066" s="184"/>
      <c r="K2066" s="184"/>
      <c r="L2066" s="184"/>
      <c r="M2066" s="59"/>
    </row>
    <row r="2067" spans="2:13" x14ac:dyDescent="0.3">
      <c r="B2067" s="178"/>
      <c r="C2067" s="41"/>
      <c r="D2067" s="180"/>
      <c r="E2067" s="181"/>
      <c r="F2067" s="182"/>
      <c r="G2067" s="1" t="str">
        <f>IFERROR(IF(ventas_b_mes1255[[#This Row],[CUIT]]="","-",VLOOKUP(ventas_b_mes1255[[#This Row],[CUIT]],Lista_CUIT[#All],2,0)),"CUIT NO CARGADO")</f>
        <v>-</v>
      </c>
      <c r="H2067" s="100">
        <f>ventas_b_mes1255[[#This Row],[TOTAL]]/1.21</f>
        <v>0</v>
      </c>
      <c r="I2067" s="64">
        <f>ventas_b_mes1255[[#This Row],[IMPORTE NETO]]*0.21</f>
        <v>0</v>
      </c>
      <c r="J2067" s="184"/>
      <c r="K2067" s="184"/>
      <c r="L2067" s="184"/>
      <c r="M2067" s="59"/>
    </row>
    <row r="2068" spans="2:13" x14ac:dyDescent="0.3">
      <c r="B2068" s="178"/>
      <c r="C2068" s="41"/>
      <c r="D2068" s="180"/>
      <c r="E2068" s="181"/>
      <c r="F2068" s="182"/>
      <c r="G2068" s="1" t="str">
        <f>IFERROR(IF(ventas_b_mes1255[[#This Row],[CUIT]]="","-",VLOOKUP(ventas_b_mes1255[[#This Row],[CUIT]],Lista_CUIT[#All],2,0)),"CUIT NO CARGADO")</f>
        <v>-</v>
      </c>
      <c r="H2068" s="100">
        <f>ventas_b_mes1255[[#This Row],[TOTAL]]/1.21</f>
        <v>0</v>
      </c>
      <c r="I2068" s="64">
        <f>ventas_b_mes1255[[#This Row],[IMPORTE NETO]]*0.21</f>
        <v>0</v>
      </c>
      <c r="J2068" s="184"/>
      <c r="K2068" s="184"/>
      <c r="L2068" s="184"/>
      <c r="M2068" s="59"/>
    </row>
    <row r="2069" spans="2:13" x14ac:dyDescent="0.3">
      <c r="B2069" s="178"/>
      <c r="C2069" s="41"/>
      <c r="D2069" s="180"/>
      <c r="E2069" s="181"/>
      <c r="F2069" s="182"/>
      <c r="G2069" s="1" t="str">
        <f>IFERROR(IF(ventas_b_mes1255[[#This Row],[CUIT]]="","-",VLOOKUP(ventas_b_mes1255[[#This Row],[CUIT]],Lista_CUIT[#All],2,0)),"CUIT NO CARGADO")</f>
        <v>-</v>
      </c>
      <c r="H2069" s="100">
        <f>ventas_b_mes1255[[#This Row],[TOTAL]]/1.21</f>
        <v>0</v>
      </c>
      <c r="I2069" s="64">
        <f>ventas_b_mes1255[[#This Row],[IMPORTE NETO]]*0.21</f>
        <v>0</v>
      </c>
      <c r="J2069" s="184"/>
      <c r="K2069" s="184"/>
      <c r="L2069" s="184"/>
      <c r="M2069" s="59"/>
    </row>
    <row r="2070" spans="2:13" x14ac:dyDescent="0.3">
      <c r="B2070" s="178"/>
      <c r="C2070" s="41"/>
      <c r="D2070" s="180"/>
      <c r="E2070" s="181"/>
      <c r="F2070" s="182"/>
      <c r="G2070" s="1" t="str">
        <f>IFERROR(IF(ventas_b_mes1255[[#This Row],[CUIT]]="","-",VLOOKUP(ventas_b_mes1255[[#This Row],[CUIT]],Lista_CUIT[#All],2,0)),"CUIT NO CARGADO")</f>
        <v>-</v>
      </c>
      <c r="H2070" s="100">
        <f>ventas_b_mes1255[[#This Row],[TOTAL]]/1.21</f>
        <v>0</v>
      </c>
      <c r="I2070" s="64">
        <f>ventas_b_mes1255[[#This Row],[IMPORTE NETO]]*0.21</f>
        <v>0</v>
      </c>
      <c r="J2070" s="184"/>
      <c r="K2070" s="184"/>
      <c r="L2070" s="184"/>
      <c r="M2070" s="59"/>
    </row>
    <row r="2071" spans="2:13" x14ac:dyDescent="0.3">
      <c r="B2071" s="178"/>
      <c r="C2071" s="41"/>
      <c r="D2071" s="180"/>
      <c r="E2071" s="181"/>
      <c r="F2071" s="182"/>
      <c r="G2071" s="1" t="str">
        <f>IFERROR(IF(ventas_b_mes1255[[#This Row],[CUIT]]="","-",VLOOKUP(ventas_b_mes1255[[#This Row],[CUIT]],Lista_CUIT[#All],2,0)),"CUIT NO CARGADO")</f>
        <v>-</v>
      </c>
      <c r="H2071" s="100">
        <f>ventas_b_mes1255[[#This Row],[TOTAL]]/1.21</f>
        <v>0</v>
      </c>
      <c r="I2071" s="64">
        <f>ventas_b_mes1255[[#This Row],[IMPORTE NETO]]*0.21</f>
        <v>0</v>
      </c>
      <c r="J2071" s="184"/>
      <c r="K2071" s="184"/>
      <c r="L2071" s="184"/>
      <c r="M2071" s="59"/>
    </row>
    <row r="2072" spans="2:13" x14ac:dyDescent="0.3">
      <c r="B2072" s="178"/>
      <c r="C2072" s="41"/>
      <c r="D2072" s="180"/>
      <c r="E2072" s="181"/>
      <c r="F2072" s="182"/>
      <c r="G2072" s="1" t="str">
        <f>IFERROR(IF(ventas_b_mes1255[[#This Row],[CUIT]]="","-",VLOOKUP(ventas_b_mes1255[[#This Row],[CUIT]],Lista_CUIT[#All],2,0)),"CUIT NO CARGADO")</f>
        <v>-</v>
      </c>
      <c r="H2072" s="100">
        <f>ventas_b_mes1255[[#This Row],[TOTAL]]/1.21</f>
        <v>0</v>
      </c>
      <c r="I2072" s="64">
        <f>ventas_b_mes1255[[#This Row],[IMPORTE NETO]]*0.21</f>
        <v>0</v>
      </c>
      <c r="J2072" s="184"/>
      <c r="K2072" s="184"/>
      <c r="L2072" s="184"/>
      <c r="M2072" s="59"/>
    </row>
    <row r="2073" spans="2:13" x14ac:dyDescent="0.3">
      <c r="B2073" s="178"/>
      <c r="C2073" s="41"/>
      <c r="D2073" s="180"/>
      <c r="E2073" s="181"/>
      <c r="F2073" s="182"/>
      <c r="G2073" s="1" t="str">
        <f>IFERROR(IF(ventas_b_mes1255[[#This Row],[CUIT]]="","-",VLOOKUP(ventas_b_mes1255[[#This Row],[CUIT]],Lista_CUIT[#All],2,0)),"CUIT NO CARGADO")</f>
        <v>-</v>
      </c>
      <c r="H2073" s="100">
        <f>ventas_b_mes1255[[#This Row],[TOTAL]]/1.21</f>
        <v>0</v>
      </c>
      <c r="I2073" s="64">
        <f>ventas_b_mes1255[[#This Row],[IMPORTE NETO]]*0.21</f>
        <v>0</v>
      </c>
      <c r="J2073" s="184"/>
      <c r="K2073" s="184"/>
      <c r="L2073" s="184"/>
      <c r="M2073" s="59"/>
    </row>
    <row r="2074" spans="2:13" x14ac:dyDescent="0.3">
      <c r="B2074" s="178"/>
      <c r="C2074" s="41"/>
      <c r="D2074" s="180"/>
      <c r="E2074" s="181"/>
      <c r="F2074" s="182"/>
      <c r="G2074" s="1" t="str">
        <f>IFERROR(IF(ventas_b_mes1255[[#This Row],[CUIT]]="","-",VLOOKUP(ventas_b_mes1255[[#This Row],[CUIT]],Lista_CUIT[#All],2,0)),"CUIT NO CARGADO")</f>
        <v>-</v>
      </c>
      <c r="H2074" s="100">
        <f>ventas_b_mes1255[[#This Row],[TOTAL]]/1.21</f>
        <v>0</v>
      </c>
      <c r="I2074" s="64">
        <f>ventas_b_mes1255[[#This Row],[IMPORTE NETO]]*0.21</f>
        <v>0</v>
      </c>
      <c r="J2074" s="184"/>
      <c r="K2074" s="184"/>
      <c r="L2074" s="184"/>
      <c r="M2074" s="59"/>
    </row>
    <row r="2075" spans="2:13" x14ac:dyDescent="0.3">
      <c r="B2075" s="178"/>
      <c r="C2075" s="41"/>
      <c r="D2075" s="180"/>
      <c r="E2075" s="181"/>
      <c r="F2075" s="182"/>
      <c r="G2075" s="1" t="str">
        <f>IFERROR(IF(ventas_b_mes1255[[#This Row],[CUIT]]="","-",VLOOKUP(ventas_b_mes1255[[#This Row],[CUIT]],Lista_CUIT[#All],2,0)),"CUIT NO CARGADO")</f>
        <v>-</v>
      </c>
      <c r="H2075" s="100">
        <f>ventas_b_mes1255[[#This Row],[TOTAL]]/1.21</f>
        <v>0</v>
      </c>
      <c r="I2075" s="64">
        <f>ventas_b_mes1255[[#This Row],[IMPORTE NETO]]*0.21</f>
        <v>0</v>
      </c>
      <c r="J2075" s="184"/>
      <c r="K2075" s="184"/>
      <c r="L2075" s="184"/>
      <c r="M2075" s="59"/>
    </row>
    <row r="2076" spans="2:13" x14ac:dyDescent="0.3">
      <c r="B2076" s="178"/>
      <c r="C2076" s="41"/>
      <c r="D2076" s="180"/>
      <c r="E2076" s="181"/>
      <c r="F2076" s="182"/>
      <c r="G2076" s="1" t="str">
        <f>IFERROR(IF(ventas_b_mes1255[[#This Row],[CUIT]]="","-",VLOOKUP(ventas_b_mes1255[[#This Row],[CUIT]],Lista_CUIT[#All],2,0)),"CUIT NO CARGADO")</f>
        <v>-</v>
      </c>
      <c r="H2076" s="100">
        <f>ventas_b_mes1255[[#This Row],[TOTAL]]/1.21</f>
        <v>0</v>
      </c>
      <c r="I2076" s="64">
        <f>ventas_b_mes1255[[#This Row],[IMPORTE NETO]]*0.21</f>
        <v>0</v>
      </c>
      <c r="J2076" s="184"/>
      <c r="K2076" s="184"/>
      <c r="L2076" s="184"/>
      <c r="M2076" s="59"/>
    </row>
    <row r="2077" spans="2:13" x14ac:dyDescent="0.3">
      <c r="B2077" s="178"/>
      <c r="C2077" s="41"/>
      <c r="D2077" s="180"/>
      <c r="E2077" s="181"/>
      <c r="F2077" s="182"/>
      <c r="G2077" s="1" t="str">
        <f>IFERROR(IF(ventas_b_mes1255[[#This Row],[CUIT]]="","-",VLOOKUP(ventas_b_mes1255[[#This Row],[CUIT]],Lista_CUIT[#All],2,0)),"CUIT NO CARGADO")</f>
        <v>-</v>
      </c>
      <c r="H2077" s="100">
        <f>ventas_b_mes1255[[#This Row],[TOTAL]]/1.21</f>
        <v>0</v>
      </c>
      <c r="I2077" s="64">
        <f>ventas_b_mes1255[[#This Row],[IMPORTE NETO]]*0.21</f>
        <v>0</v>
      </c>
      <c r="J2077" s="184"/>
      <c r="K2077" s="184"/>
      <c r="L2077" s="184"/>
      <c r="M2077" s="59"/>
    </row>
    <row r="2078" spans="2:13" x14ac:dyDescent="0.3">
      <c r="B2078" s="178"/>
      <c r="C2078" s="41"/>
      <c r="D2078" s="180"/>
      <c r="E2078" s="181"/>
      <c r="F2078" s="182"/>
      <c r="G2078" s="1" t="str">
        <f>IFERROR(IF(ventas_b_mes1255[[#This Row],[CUIT]]="","-",VLOOKUP(ventas_b_mes1255[[#This Row],[CUIT]],Lista_CUIT[#All],2,0)),"CUIT NO CARGADO")</f>
        <v>-</v>
      </c>
      <c r="H2078" s="100">
        <f>ventas_b_mes1255[[#This Row],[TOTAL]]/1.21</f>
        <v>0</v>
      </c>
      <c r="I2078" s="64">
        <f>ventas_b_mes1255[[#This Row],[IMPORTE NETO]]*0.21</f>
        <v>0</v>
      </c>
      <c r="J2078" s="184"/>
      <c r="K2078" s="184"/>
      <c r="L2078" s="184"/>
      <c r="M2078" s="59"/>
    </row>
    <row r="2079" spans="2:13" x14ac:dyDescent="0.3">
      <c r="B2079" s="178"/>
      <c r="C2079" s="41"/>
      <c r="D2079" s="180"/>
      <c r="E2079" s="181"/>
      <c r="F2079" s="182"/>
      <c r="G2079" s="1" t="str">
        <f>IFERROR(IF(ventas_b_mes1255[[#This Row],[CUIT]]="","-",VLOOKUP(ventas_b_mes1255[[#This Row],[CUIT]],Lista_CUIT[#All],2,0)),"CUIT NO CARGADO")</f>
        <v>-</v>
      </c>
      <c r="H2079" s="100">
        <f>ventas_b_mes1255[[#This Row],[TOTAL]]/1.21</f>
        <v>0</v>
      </c>
      <c r="I2079" s="64">
        <f>ventas_b_mes1255[[#This Row],[IMPORTE NETO]]*0.21</f>
        <v>0</v>
      </c>
      <c r="J2079" s="184"/>
      <c r="K2079" s="184"/>
      <c r="L2079" s="184"/>
      <c r="M2079" s="59"/>
    </row>
    <row r="2080" spans="2:13" x14ac:dyDescent="0.3">
      <c r="B2080" s="178"/>
      <c r="C2080" s="41"/>
      <c r="D2080" s="180"/>
      <c r="E2080" s="181"/>
      <c r="F2080" s="182"/>
      <c r="G2080" s="1" t="str">
        <f>IFERROR(IF(ventas_b_mes1255[[#This Row],[CUIT]]="","-",VLOOKUP(ventas_b_mes1255[[#This Row],[CUIT]],Lista_CUIT[#All],2,0)),"CUIT NO CARGADO")</f>
        <v>-</v>
      </c>
      <c r="H2080" s="100">
        <f>ventas_b_mes1255[[#This Row],[TOTAL]]/1.21</f>
        <v>0</v>
      </c>
      <c r="I2080" s="64">
        <f>ventas_b_mes1255[[#This Row],[IMPORTE NETO]]*0.21</f>
        <v>0</v>
      </c>
      <c r="J2080" s="184"/>
      <c r="K2080" s="184"/>
      <c r="L2080" s="184"/>
      <c r="M2080" s="59"/>
    </row>
    <row r="2081" spans="2:13" x14ac:dyDescent="0.3">
      <c r="B2081" s="178"/>
      <c r="C2081" s="41"/>
      <c r="D2081" s="180"/>
      <c r="E2081" s="181"/>
      <c r="F2081" s="182"/>
      <c r="G2081" s="1" t="str">
        <f>IFERROR(IF(ventas_b_mes1255[[#This Row],[CUIT]]="","-",VLOOKUP(ventas_b_mes1255[[#This Row],[CUIT]],Lista_CUIT[#All],2,0)),"CUIT NO CARGADO")</f>
        <v>-</v>
      </c>
      <c r="H2081" s="100">
        <f>ventas_b_mes1255[[#This Row],[TOTAL]]/1.21</f>
        <v>0</v>
      </c>
      <c r="I2081" s="64">
        <f>ventas_b_mes1255[[#This Row],[IMPORTE NETO]]*0.21</f>
        <v>0</v>
      </c>
      <c r="J2081" s="184"/>
      <c r="K2081" s="184"/>
      <c r="L2081" s="184"/>
      <c r="M2081" s="59"/>
    </row>
    <row r="2082" spans="2:13" x14ac:dyDescent="0.3">
      <c r="B2082" s="178"/>
      <c r="C2082" s="41"/>
      <c r="D2082" s="180"/>
      <c r="E2082" s="181"/>
      <c r="F2082" s="182"/>
      <c r="G2082" s="1" t="str">
        <f>IFERROR(IF(ventas_b_mes1255[[#This Row],[CUIT]]="","-",VLOOKUP(ventas_b_mes1255[[#This Row],[CUIT]],Lista_CUIT[#All],2,0)),"CUIT NO CARGADO")</f>
        <v>-</v>
      </c>
      <c r="H2082" s="100">
        <f>ventas_b_mes1255[[#This Row],[TOTAL]]/1.21</f>
        <v>0</v>
      </c>
      <c r="I2082" s="64">
        <f>ventas_b_mes1255[[#This Row],[IMPORTE NETO]]*0.21</f>
        <v>0</v>
      </c>
      <c r="J2082" s="184"/>
      <c r="K2082" s="184"/>
      <c r="L2082" s="184"/>
      <c r="M2082" s="59"/>
    </row>
    <row r="2083" spans="2:13" x14ac:dyDescent="0.3">
      <c r="B2083" s="178"/>
      <c r="C2083" s="41"/>
      <c r="D2083" s="180"/>
      <c r="E2083" s="181"/>
      <c r="F2083" s="182"/>
      <c r="G2083" s="1" t="str">
        <f>IFERROR(IF(ventas_b_mes1255[[#This Row],[CUIT]]="","-",VLOOKUP(ventas_b_mes1255[[#This Row],[CUIT]],Lista_CUIT[#All],2,0)),"CUIT NO CARGADO")</f>
        <v>-</v>
      </c>
      <c r="H2083" s="100">
        <f>ventas_b_mes1255[[#This Row],[TOTAL]]/1.21</f>
        <v>0</v>
      </c>
      <c r="I2083" s="64">
        <f>ventas_b_mes1255[[#This Row],[IMPORTE NETO]]*0.21</f>
        <v>0</v>
      </c>
      <c r="J2083" s="184"/>
      <c r="K2083" s="184"/>
      <c r="L2083" s="184"/>
      <c r="M2083" s="59"/>
    </row>
    <row r="2084" spans="2:13" x14ac:dyDescent="0.3">
      <c r="B2084" s="178"/>
      <c r="C2084" s="41"/>
      <c r="D2084" s="180"/>
      <c r="E2084" s="181"/>
      <c r="F2084" s="182"/>
      <c r="G2084" s="1" t="str">
        <f>IFERROR(IF(ventas_b_mes1255[[#This Row],[CUIT]]="","-",VLOOKUP(ventas_b_mes1255[[#This Row],[CUIT]],Lista_CUIT[#All],2,0)),"CUIT NO CARGADO")</f>
        <v>-</v>
      </c>
      <c r="H2084" s="100">
        <f>ventas_b_mes1255[[#This Row],[TOTAL]]/1.21</f>
        <v>0</v>
      </c>
      <c r="I2084" s="64">
        <f>ventas_b_mes1255[[#This Row],[IMPORTE NETO]]*0.21</f>
        <v>0</v>
      </c>
      <c r="J2084" s="184"/>
      <c r="K2084" s="184"/>
      <c r="L2084" s="184"/>
      <c r="M2084" s="59"/>
    </row>
    <row r="2085" spans="2:13" x14ac:dyDescent="0.3">
      <c r="B2085" s="178"/>
      <c r="C2085" s="41"/>
      <c r="D2085" s="180"/>
      <c r="E2085" s="181"/>
      <c r="F2085" s="182"/>
      <c r="G2085" s="1" t="str">
        <f>IFERROR(IF(ventas_b_mes1255[[#This Row],[CUIT]]="","-",VLOOKUP(ventas_b_mes1255[[#This Row],[CUIT]],Lista_CUIT[#All],2,0)),"CUIT NO CARGADO")</f>
        <v>-</v>
      </c>
      <c r="H2085" s="100">
        <f>ventas_b_mes1255[[#This Row],[TOTAL]]/1.21</f>
        <v>0</v>
      </c>
      <c r="I2085" s="64">
        <f>ventas_b_mes1255[[#This Row],[IMPORTE NETO]]*0.21</f>
        <v>0</v>
      </c>
      <c r="J2085" s="184"/>
      <c r="K2085" s="184"/>
      <c r="L2085" s="184"/>
      <c r="M2085" s="59"/>
    </row>
    <row r="2086" spans="2:13" x14ac:dyDescent="0.3">
      <c r="B2086" s="178"/>
      <c r="C2086" s="41"/>
      <c r="D2086" s="180"/>
      <c r="E2086" s="181"/>
      <c r="F2086" s="182"/>
      <c r="G2086" s="1" t="str">
        <f>IFERROR(IF(ventas_b_mes1255[[#This Row],[CUIT]]="","-",VLOOKUP(ventas_b_mes1255[[#This Row],[CUIT]],Lista_CUIT[#All],2,0)),"CUIT NO CARGADO")</f>
        <v>-</v>
      </c>
      <c r="H2086" s="100">
        <f>ventas_b_mes1255[[#This Row],[TOTAL]]/1.21</f>
        <v>0</v>
      </c>
      <c r="I2086" s="64">
        <f>ventas_b_mes1255[[#This Row],[IMPORTE NETO]]*0.21</f>
        <v>0</v>
      </c>
      <c r="J2086" s="184"/>
      <c r="K2086" s="184"/>
      <c r="L2086" s="184"/>
      <c r="M2086" s="59"/>
    </row>
    <row r="2087" spans="2:13" x14ac:dyDescent="0.3">
      <c r="B2087" s="178"/>
      <c r="C2087" s="41"/>
      <c r="D2087" s="180"/>
      <c r="E2087" s="181"/>
      <c r="F2087" s="182"/>
      <c r="G2087" s="1" t="str">
        <f>IFERROR(IF(ventas_b_mes1255[[#This Row],[CUIT]]="","-",VLOOKUP(ventas_b_mes1255[[#This Row],[CUIT]],Lista_CUIT[#All],2,0)),"CUIT NO CARGADO")</f>
        <v>-</v>
      </c>
      <c r="H2087" s="100">
        <f>ventas_b_mes1255[[#This Row],[TOTAL]]/1.21</f>
        <v>0</v>
      </c>
      <c r="I2087" s="64">
        <f>ventas_b_mes1255[[#This Row],[IMPORTE NETO]]*0.21</f>
        <v>0</v>
      </c>
      <c r="J2087" s="184"/>
      <c r="K2087" s="184"/>
      <c r="L2087" s="184"/>
      <c r="M2087" s="59"/>
    </row>
    <row r="2088" spans="2:13" x14ac:dyDescent="0.3">
      <c r="B2088" s="178"/>
      <c r="C2088" s="41"/>
      <c r="D2088" s="180"/>
      <c r="E2088" s="181"/>
      <c r="F2088" s="182"/>
      <c r="G2088" s="1" t="str">
        <f>IFERROR(IF(ventas_b_mes1255[[#This Row],[CUIT]]="","-",VLOOKUP(ventas_b_mes1255[[#This Row],[CUIT]],Lista_CUIT[#All],2,0)),"CUIT NO CARGADO")</f>
        <v>-</v>
      </c>
      <c r="H2088" s="100">
        <f>ventas_b_mes1255[[#This Row],[TOTAL]]/1.21</f>
        <v>0</v>
      </c>
      <c r="I2088" s="64">
        <f>ventas_b_mes1255[[#This Row],[IMPORTE NETO]]*0.21</f>
        <v>0</v>
      </c>
      <c r="J2088" s="184"/>
      <c r="K2088" s="184"/>
      <c r="L2088" s="184"/>
      <c r="M2088" s="59"/>
    </row>
    <row r="2089" spans="2:13" x14ac:dyDescent="0.3">
      <c r="B2089" s="178"/>
      <c r="C2089" s="41"/>
      <c r="D2089" s="180"/>
      <c r="E2089" s="181"/>
      <c r="F2089" s="182"/>
      <c r="G2089" s="1" t="str">
        <f>IFERROR(IF(ventas_b_mes1255[[#This Row],[CUIT]]="","-",VLOOKUP(ventas_b_mes1255[[#This Row],[CUIT]],Lista_CUIT[#All],2,0)),"CUIT NO CARGADO")</f>
        <v>-</v>
      </c>
      <c r="H2089" s="100">
        <f>ventas_b_mes1255[[#This Row],[TOTAL]]/1.21</f>
        <v>0</v>
      </c>
      <c r="I2089" s="64">
        <f>ventas_b_mes1255[[#This Row],[IMPORTE NETO]]*0.21</f>
        <v>0</v>
      </c>
      <c r="J2089" s="184"/>
      <c r="K2089" s="184"/>
      <c r="L2089" s="184"/>
      <c r="M2089" s="59"/>
    </row>
    <row r="2090" spans="2:13" x14ac:dyDescent="0.3">
      <c r="B2090" s="178"/>
      <c r="C2090" s="41"/>
      <c r="D2090" s="180"/>
      <c r="E2090" s="181"/>
      <c r="F2090" s="182"/>
      <c r="G2090" s="1" t="str">
        <f>IFERROR(IF(ventas_b_mes1255[[#This Row],[CUIT]]="","-",VLOOKUP(ventas_b_mes1255[[#This Row],[CUIT]],Lista_CUIT[#All],2,0)),"CUIT NO CARGADO")</f>
        <v>-</v>
      </c>
      <c r="H2090" s="100">
        <f>ventas_b_mes1255[[#This Row],[TOTAL]]/1.21</f>
        <v>0</v>
      </c>
      <c r="I2090" s="64">
        <f>ventas_b_mes1255[[#This Row],[IMPORTE NETO]]*0.21</f>
        <v>0</v>
      </c>
      <c r="J2090" s="184"/>
      <c r="K2090" s="184"/>
      <c r="L2090" s="184"/>
      <c r="M2090" s="59"/>
    </row>
    <row r="2091" spans="2:13" x14ac:dyDescent="0.3">
      <c r="B2091" s="178"/>
      <c r="C2091" s="41"/>
      <c r="D2091" s="180"/>
      <c r="E2091" s="181"/>
      <c r="F2091" s="182"/>
      <c r="G2091" s="1" t="str">
        <f>IFERROR(IF(ventas_b_mes1255[[#This Row],[CUIT]]="","-",VLOOKUP(ventas_b_mes1255[[#This Row],[CUIT]],Lista_CUIT[#All],2,0)),"CUIT NO CARGADO")</f>
        <v>-</v>
      </c>
      <c r="H2091" s="100">
        <f>ventas_b_mes1255[[#This Row],[TOTAL]]/1.21</f>
        <v>0</v>
      </c>
      <c r="I2091" s="64">
        <f>ventas_b_mes1255[[#This Row],[IMPORTE NETO]]*0.21</f>
        <v>0</v>
      </c>
      <c r="J2091" s="184"/>
      <c r="K2091" s="184"/>
      <c r="L2091" s="184"/>
      <c r="M2091" s="59"/>
    </row>
    <row r="2092" spans="2:13" x14ac:dyDescent="0.3">
      <c r="B2092" s="178"/>
      <c r="C2092" s="41"/>
      <c r="D2092" s="180"/>
      <c r="E2092" s="181"/>
      <c r="F2092" s="182"/>
      <c r="G2092" s="1" t="str">
        <f>IFERROR(IF(ventas_b_mes1255[[#This Row],[CUIT]]="","-",VLOOKUP(ventas_b_mes1255[[#This Row],[CUIT]],Lista_CUIT[#All],2,0)),"CUIT NO CARGADO")</f>
        <v>-</v>
      </c>
      <c r="H2092" s="100">
        <f>ventas_b_mes1255[[#This Row],[TOTAL]]/1.21</f>
        <v>0</v>
      </c>
      <c r="I2092" s="64">
        <f>ventas_b_mes1255[[#This Row],[IMPORTE NETO]]*0.21</f>
        <v>0</v>
      </c>
      <c r="J2092" s="184"/>
      <c r="K2092" s="184"/>
      <c r="L2092" s="184"/>
      <c r="M2092" s="59"/>
    </row>
    <row r="2093" spans="2:13" x14ac:dyDescent="0.3">
      <c r="B2093" s="178"/>
      <c r="C2093" s="41"/>
      <c r="D2093" s="180"/>
      <c r="E2093" s="181"/>
      <c r="F2093" s="182"/>
      <c r="G2093" s="1" t="str">
        <f>IFERROR(IF(ventas_b_mes1255[[#This Row],[CUIT]]="","-",VLOOKUP(ventas_b_mes1255[[#This Row],[CUIT]],Lista_CUIT[#All],2,0)),"CUIT NO CARGADO")</f>
        <v>-</v>
      </c>
      <c r="H2093" s="100">
        <f>ventas_b_mes1255[[#This Row],[TOTAL]]/1.21</f>
        <v>0</v>
      </c>
      <c r="I2093" s="64">
        <f>ventas_b_mes1255[[#This Row],[IMPORTE NETO]]*0.21</f>
        <v>0</v>
      </c>
      <c r="J2093" s="184"/>
      <c r="K2093" s="184"/>
      <c r="L2093" s="184"/>
      <c r="M2093" s="59"/>
    </row>
    <row r="2094" spans="2:13" x14ac:dyDescent="0.3">
      <c r="B2094" s="178"/>
      <c r="C2094" s="41"/>
      <c r="D2094" s="180"/>
      <c r="E2094" s="181"/>
      <c r="F2094" s="182"/>
      <c r="G2094" s="1" t="str">
        <f>IFERROR(IF(ventas_b_mes1255[[#This Row],[CUIT]]="","-",VLOOKUP(ventas_b_mes1255[[#This Row],[CUIT]],Lista_CUIT[#All],2,0)),"CUIT NO CARGADO")</f>
        <v>-</v>
      </c>
      <c r="H2094" s="100">
        <f>ventas_b_mes1255[[#This Row],[TOTAL]]/1.21</f>
        <v>0</v>
      </c>
      <c r="I2094" s="64">
        <f>ventas_b_mes1255[[#This Row],[IMPORTE NETO]]*0.21</f>
        <v>0</v>
      </c>
      <c r="J2094" s="184"/>
      <c r="K2094" s="184"/>
      <c r="L2094" s="184"/>
      <c r="M2094" s="59"/>
    </row>
    <row r="2095" spans="2:13" x14ac:dyDescent="0.3">
      <c r="B2095" s="178"/>
      <c r="C2095" s="41"/>
      <c r="D2095" s="180"/>
      <c r="E2095" s="181"/>
      <c r="F2095" s="182"/>
      <c r="G2095" s="1" t="str">
        <f>IFERROR(IF(ventas_b_mes1255[[#This Row],[CUIT]]="","-",VLOOKUP(ventas_b_mes1255[[#This Row],[CUIT]],Lista_CUIT[#All],2,0)),"CUIT NO CARGADO")</f>
        <v>-</v>
      </c>
      <c r="H2095" s="100">
        <f>ventas_b_mes1255[[#This Row],[TOTAL]]/1.21</f>
        <v>0</v>
      </c>
      <c r="I2095" s="64">
        <f>ventas_b_mes1255[[#This Row],[IMPORTE NETO]]*0.21</f>
        <v>0</v>
      </c>
      <c r="J2095" s="184"/>
      <c r="K2095" s="184"/>
      <c r="L2095" s="184"/>
      <c r="M2095" s="59"/>
    </row>
    <row r="2096" spans="2:13" x14ac:dyDescent="0.3">
      <c r="B2096" s="178"/>
      <c r="C2096" s="41"/>
      <c r="D2096" s="180"/>
      <c r="E2096" s="181"/>
      <c r="F2096" s="182"/>
      <c r="G2096" s="1" t="str">
        <f>IFERROR(IF(ventas_b_mes1255[[#This Row],[CUIT]]="","-",VLOOKUP(ventas_b_mes1255[[#This Row],[CUIT]],Lista_CUIT[#All],2,0)),"CUIT NO CARGADO")</f>
        <v>-</v>
      </c>
      <c r="H2096" s="100">
        <f>ventas_b_mes1255[[#This Row],[TOTAL]]/1.21</f>
        <v>0</v>
      </c>
      <c r="I2096" s="64">
        <f>ventas_b_mes1255[[#This Row],[IMPORTE NETO]]*0.21</f>
        <v>0</v>
      </c>
      <c r="J2096" s="184"/>
      <c r="K2096" s="184"/>
      <c r="L2096" s="184"/>
      <c r="M2096" s="59"/>
    </row>
    <row r="2097" spans="2:13" x14ac:dyDescent="0.3">
      <c r="B2097" s="178"/>
      <c r="C2097" s="41"/>
      <c r="D2097" s="180"/>
      <c r="E2097" s="181"/>
      <c r="F2097" s="182"/>
      <c r="G2097" s="1" t="str">
        <f>IFERROR(IF(ventas_b_mes1255[[#This Row],[CUIT]]="","-",VLOOKUP(ventas_b_mes1255[[#This Row],[CUIT]],Lista_CUIT[#All],2,0)),"CUIT NO CARGADO")</f>
        <v>-</v>
      </c>
      <c r="H2097" s="100">
        <f>ventas_b_mes1255[[#This Row],[TOTAL]]/1.21</f>
        <v>0</v>
      </c>
      <c r="I2097" s="64">
        <f>ventas_b_mes1255[[#This Row],[IMPORTE NETO]]*0.21</f>
        <v>0</v>
      </c>
      <c r="J2097" s="184"/>
      <c r="K2097" s="184"/>
      <c r="L2097" s="184"/>
      <c r="M2097" s="59"/>
    </row>
    <row r="2098" spans="2:13" x14ac:dyDescent="0.3">
      <c r="B2098" s="178"/>
      <c r="C2098" s="41"/>
      <c r="D2098" s="180"/>
      <c r="E2098" s="181"/>
      <c r="F2098" s="182"/>
      <c r="G2098" s="1" t="str">
        <f>IFERROR(IF(ventas_b_mes1255[[#This Row],[CUIT]]="","-",VLOOKUP(ventas_b_mes1255[[#This Row],[CUIT]],Lista_CUIT[#All],2,0)),"CUIT NO CARGADO")</f>
        <v>-</v>
      </c>
      <c r="H2098" s="100">
        <f>ventas_b_mes1255[[#This Row],[TOTAL]]/1.21</f>
        <v>0</v>
      </c>
      <c r="I2098" s="64">
        <f>ventas_b_mes1255[[#This Row],[IMPORTE NETO]]*0.21</f>
        <v>0</v>
      </c>
      <c r="J2098" s="184"/>
      <c r="K2098" s="184"/>
      <c r="L2098" s="184"/>
      <c r="M2098" s="59"/>
    </row>
    <row r="2099" spans="2:13" x14ac:dyDescent="0.3">
      <c r="B2099" s="178"/>
      <c r="C2099" s="41"/>
      <c r="D2099" s="180"/>
      <c r="E2099" s="181"/>
      <c r="F2099" s="182"/>
      <c r="G2099" s="1" t="str">
        <f>IFERROR(IF(ventas_b_mes1255[[#This Row],[CUIT]]="","-",VLOOKUP(ventas_b_mes1255[[#This Row],[CUIT]],Lista_CUIT[#All],2,0)),"CUIT NO CARGADO")</f>
        <v>-</v>
      </c>
      <c r="H2099" s="100">
        <f>ventas_b_mes1255[[#This Row],[TOTAL]]/1.21</f>
        <v>0</v>
      </c>
      <c r="I2099" s="64">
        <f>ventas_b_mes1255[[#This Row],[IMPORTE NETO]]*0.21</f>
        <v>0</v>
      </c>
      <c r="J2099" s="184"/>
      <c r="K2099" s="184"/>
      <c r="L2099" s="184"/>
      <c r="M2099" s="59"/>
    </row>
    <row r="2100" spans="2:13" x14ac:dyDescent="0.3">
      <c r="B2100" s="178"/>
      <c r="C2100" s="41"/>
      <c r="D2100" s="180"/>
      <c r="E2100" s="181"/>
      <c r="F2100" s="182"/>
      <c r="G2100" s="1" t="str">
        <f>IFERROR(IF(ventas_b_mes1255[[#This Row],[CUIT]]="","-",VLOOKUP(ventas_b_mes1255[[#This Row],[CUIT]],Lista_CUIT[#All],2,0)),"CUIT NO CARGADO")</f>
        <v>-</v>
      </c>
      <c r="H2100" s="100">
        <f>ventas_b_mes1255[[#This Row],[TOTAL]]/1.21</f>
        <v>0</v>
      </c>
      <c r="I2100" s="64">
        <f>ventas_b_mes1255[[#This Row],[IMPORTE NETO]]*0.21</f>
        <v>0</v>
      </c>
      <c r="J2100" s="184"/>
      <c r="K2100" s="184"/>
      <c r="L2100" s="184"/>
      <c r="M2100" s="59"/>
    </row>
    <row r="2101" spans="2:13" x14ac:dyDescent="0.3">
      <c r="B2101" s="178"/>
      <c r="C2101" s="41"/>
      <c r="D2101" s="180"/>
      <c r="E2101" s="181"/>
      <c r="F2101" s="182"/>
      <c r="G2101" s="1" t="str">
        <f>IFERROR(IF(ventas_b_mes1255[[#This Row],[CUIT]]="","-",VLOOKUP(ventas_b_mes1255[[#This Row],[CUIT]],Lista_CUIT[#All],2,0)),"CUIT NO CARGADO")</f>
        <v>-</v>
      </c>
      <c r="H2101" s="100">
        <f>ventas_b_mes1255[[#This Row],[TOTAL]]/1.21</f>
        <v>0</v>
      </c>
      <c r="I2101" s="64">
        <f>ventas_b_mes1255[[#This Row],[IMPORTE NETO]]*0.21</f>
        <v>0</v>
      </c>
      <c r="J2101" s="184"/>
      <c r="K2101" s="184"/>
      <c r="L2101" s="184"/>
      <c r="M2101" s="59"/>
    </row>
    <row r="2102" spans="2:13" x14ac:dyDescent="0.3">
      <c r="B2102" s="178"/>
      <c r="C2102" s="41"/>
      <c r="D2102" s="180"/>
      <c r="E2102" s="181"/>
      <c r="F2102" s="182"/>
      <c r="G2102" s="1" t="str">
        <f>IFERROR(IF(ventas_b_mes1255[[#This Row],[CUIT]]="","-",VLOOKUP(ventas_b_mes1255[[#This Row],[CUIT]],Lista_CUIT[#All],2,0)),"CUIT NO CARGADO")</f>
        <v>-</v>
      </c>
      <c r="H2102" s="100">
        <f>ventas_b_mes1255[[#This Row],[TOTAL]]/1.21</f>
        <v>0</v>
      </c>
      <c r="I2102" s="64">
        <f>ventas_b_mes1255[[#This Row],[IMPORTE NETO]]*0.21</f>
        <v>0</v>
      </c>
      <c r="J2102" s="184"/>
      <c r="K2102" s="184"/>
      <c r="L2102" s="184"/>
      <c r="M2102" s="59"/>
    </row>
    <row r="2103" spans="2:13" x14ac:dyDescent="0.3">
      <c r="B2103" s="178"/>
      <c r="C2103" s="41"/>
      <c r="D2103" s="180"/>
      <c r="E2103" s="181"/>
      <c r="F2103" s="182"/>
      <c r="G2103" s="1" t="str">
        <f>IFERROR(IF(ventas_b_mes1255[[#This Row],[CUIT]]="","-",VLOOKUP(ventas_b_mes1255[[#This Row],[CUIT]],Lista_CUIT[#All],2,0)),"CUIT NO CARGADO")</f>
        <v>-</v>
      </c>
      <c r="H2103" s="100">
        <f>ventas_b_mes1255[[#This Row],[TOTAL]]/1.21</f>
        <v>0</v>
      </c>
      <c r="I2103" s="64">
        <f>ventas_b_mes1255[[#This Row],[IMPORTE NETO]]*0.21</f>
        <v>0</v>
      </c>
      <c r="J2103" s="184"/>
      <c r="K2103" s="184"/>
      <c r="L2103" s="184"/>
      <c r="M2103" s="59"/>
    </row>
    <row r="2104" spans="2:13" x14ac:dyDescent="0.3">
      <c r="B2104" s="178"/>
      <c r="C2104" s="41"/>
      <c r="D2104" s="180"/>
      <c r="E2104" s="181"/>
      <c r="F2104" s="182"/>
      <c r="G2104" s="1" t="str">
        <f>IFERROR(IF(ventas_b_mes1255[[#This Row],[CUIT]]="","-",VLOOKUP(ventas_b_mes1255[[#This Row],[CUIT]],Lista_CUIT[#All],2,0)),"CUIT NO CARGADO")</f>
        <v>-</v>
      </c>
      <c r="H2104" s="100">
        <f>ventas_b_mes1255[[#This Row],[TOTAL]]/1.21</f>
        <v>0</v>
      </c>
      <c r="I2104" s="64">
        <f>ventas_b_mes1255[[#This Row],[IMPORTE NETO]]*0.21</f>
        <v>0</v>
      </c>
      <c r="J2104" s="184"/>
      <c r="K2104" s="184"/>
      <c r="L2104" s="184"/>
      <c r="M2104" s="59"/>
    </row>
    <row r="2105" spans="2:13" x14ac:dyDescent="0.3">
      <c r="B2105" s="178"/>
      <c r="C2105" s="41"/>
      <c r="D2105" s="180"/>
      <c r="E2105" s="181"/>
      <c r="F2105" s="182"/>
      <c r="G2105" s="1" t="str">
        <f>IFERROR(IF(ventas_b_mes1255[[#This Row],[CUIT]]="","-",VLOOKUP(ventas_b_mes1255[[#This Row],[CUIT]],Lista_CUIT[#All],2,0)),"CUIT NO CARGADO")</f>
        <v>-</v>
      </c>
      <c r="H2105" s="100">
        <f>ventas_b_mes1255[[#This Row],[TOTAL]]/1.21</f>
        <v>0</v>
      </c>
      <c r="I2105" s="64">
        <f>ventas_b_mes1255[[#This Row],[IMPORTE NETO]]*0.21</f>
        <v>0</v>
      </c>
      <c r="J2105" s="184"/>
      <c r="K2105" s="184"/>
      <c r="L2105" s="184"/>
      <c r="M2105" s="59"/>
    </row>
    <row r="2106" spans="2:13" x14ac:dyDescent="0.3">
      <c r="B2106" s="178"/>
      <c r="C2106" s="41"/>
      <c r="D2106" s="180"/>
      <c r="E2106" s="181"/>
      <c r="F2106" s="182"/>
      <c r="G2106" s="1" t="str">
        <f>IFERROR(IF(ventas_b_mes1255[[#This Row],[CUIT]]="","-",VLOOKUP(ventas_b_mes1255[[#This Row],[CUIT]],Lista_CUIT[#All],2,0)),"CUIT NO CARGADO")</f>
        <v>-</v>
      </c>
      <c r="H2106" s="100">
        <f>ventas_b_mes1255[[#This Row],[TOTAL]]/1.21</f>
        <v>0</v>
      </c>
      <c r="I2106" s="64">
        <f>ventas_b_mes1255[[#This Row],[IMPORTE NETO]]*0.21</f>
        <v>0</v>
      </c>
      <c r="J2106" s="184"/>
      <c r="K2106" s="184"/>
      <c r="L2106" s="184"/>
      <c r="M2106" s="59"/>
    </row>
    <row r="2107" spans="2:13" x14ac:dyDescent="0.3">
      <c r="B2107" s="178"/>
      <c r="C2107" s="41"/>
      <c r="D2107" s="180"/>
      <c r="E2107" s="181"/>
      <c r="F2107" s="182"/>
      <c r="G2107" s="1" t="str">
        <f>IFERROR(IF(ventas_b_mes1255[[#This Row],[CUIT]]="","-",VLOOKUP(ventas_b_mes1255[[#This Row],[CUIT]],Lista_CUIT[#All],2,0)),"CUIT NO CARGADO")</f>
        <v>-</v>
      </c>
      <c r="H2107" s="100">
        <f>ventas_b_mes1255[[#This Row],[TOTAL]]/1.21</f>
        <v>0</v>
      </c>
      <c r="I2107" s="64">
        <f>ventas_b_mes1255[[#This Row],[IMPORTE NETO]]*0.21</f>
        <v>0</v>
      </c>
      <c r="J2107" s="184"/>
      <c r="K2107" s="184"/>
      <c r="L2107" s="184"/>
      <c r="M2107" s="59"/>
    </row>
    <row r="2108" spans="2:13" x14ac:dyDescent="0.3">
      <c r="B2108" s="178"/>
      <c r="C2108" s="41"/>
      <c r="D2108" s="180"/>
      <c r="E2108" s="181"/>
      <c r="F2108" s="182"/>
      <c r="G2108" s="1" t="str">
        <f>IFERROR(IF(ventas_b_mes1255[[#This Row],[CUIT]]="","-",VLOOKUP(ventas_b_mes1255[[#This Row],[CUIT]],Lista_CUIT[#All],2,0)),"CUIT NO CARGADO")</f>
        <v>-</v>
      </c>
      <c r="H2108" s="100">
        <f>ventas_b_mes1255[[#This Row],[TOTAL]]/1.21</f>
        <v>0</v>
      </c>
      <c r="I2108" s="64">
        <f>ventas_b_mes1255[[#This Row],[IMPORTE NETO]]*0.21</f>
        <v>0</v>
      </c>
      <c r="J2108" s="184"/>
      <c r="K2108" s="184"/>
      <c r="L2108" s="184"/>
      <c r="M2108" s="59"/>
    </row>
    <row r="2109" spans="2:13" x14ac:dyDescent="0.3">
      <c r="B2109" s="178"/>
      <c r="C2109" s="41"/>
      <c r="D2109" s="180"/>
      <c r="E2109" s="181"/>
      <c r="F2109" s="182"/>
      <c r="G2109" s="1" t="str">
        <f>IFERROR(IF(ventas_b_mes1255[[#This Row],[CUIT]]="","-",VLOOKUP(ventas_b_mes1255[[#This Row],[CUIT]],Lista_CUIT[#All],2,0)),"CUIT NO CARGADO")</f>
        <v>-</v>
      </c>
      <c r="H2109" s="100">
        <f>ventas_b_mes1255[[#This Row],[TOTAL]]/1.21</f>
        <v>0</v>
      </c>
      <c r="I2109" s="64">
        <f>ventas_b_mes1255[[#This Row],[IMPORTE NETO]]*0.21</f>
        <v>0</v>
      </c>
      <c r="J2109" s="184"/>
      <c r="K2109" s="184"/>
      <c r="L2109" s="184"/>
      <c r="M2109" s="59"/>
    </row>
    <row r="2110" spans="2:13" x14ac:dyDescent="0.3">
      <c r="B2110" s="178"/>
      <c r="C2110" s="41"/>
      <c r="D2110" s="180"/>
      <c r="E2110" s="181"/>
      <c r="F2110" s="182"/>
      <c r="G2110" s="1" t="str">
        <f>IFERROR(IF(ventas_b_mes1255[[#This Row],[CUIT]]="","-",VLOOKUP(ventas_b_mes1255[[#This Row],[CUIT]],Lista_CUIT[#All],2,0)),"CUIT NO CARGADO")</f>
        <v>-</v>
      </c>
      <c r="H2110" s="100">
        <f>ventas_b_mes1255[[#This Row],[TOTAL]]/1.21</f>
        <v>0</v>
      </c>
      <c r="I2110" s="64">
        <f>ventas_b_mes1255[[#This Row],[IMPORTE NETO]]*0.21</f>
        <v>0</v>
      </c>
      <c r="J2110" s="184"/>
      <c r="K2110" s="184"/>
      <c r="L2110" s="184"/>
      <c r="M2110" s="59"/>
    </row>
    <row r="2111" spans="2:13" x14ac:dyDescent="0.3">
      <c r="B2111" s="178"/>
      <c r="C2111" s="41"/>
      <c r="D2111" s="180"/>
      <c r="E2111" s="181"/>
      <c r="F2111" s="182"/>
      <c r="G2111" s="1" t="str">
        <f>IFERROR(IF(ventas_b_mes1255[[#This Row],[CUIT]]="","-",VLOOKUP(ventas_b_mes1255[[#This Row],[CUIT]],Lista_CUIT[#All],2,0)),"CUIT NO CARGADO")</f>
        <v>-</v>
      </c>
      <c r="H2111" s="100">
        <f>ventas_b_mes1255[[#This Row],[TOTAL]]/1.21</f>
        <v>0</v>
      </c>
      <c r="I2111" s="64">
        <f>ventas_b_mes1255[[#This Row],[IMPORTE NETO]]*0.21</f>
        <v>0</v>
      </c>
      <c r="J2111" s="184"/>
      <c r="K2111" s="184"/>
      <c r="L2111" s="184"/>
      <c r="M2111" s="59"/>
    </row>
    <row r="2112" spans="2:13" x14ac:dyDescent="0.3">
      <c r="B2112" s="178"/>
      <c r="C2112" s="41"/>
      <c r="D2112" s="180"/>
      <c r="E2112" s="181"/>
      <c r="F2112" s="182"/>
      <c r="G2112" s="1" t="str">
        <f>IFERROR(IF(ventas_b_mes1255[[#This Row],[CUIT]]="","-",VLOOKUP(ventas_b_mes1255[[#This Row],[CUIT]],Lista_CUIT[#All],2,0)),"CUIT NO CARGADO")</f>
        <v>-</v>
      </c>
      <c r="H2112" s="100">
        <f>ventas_b_mes1255[[#This Row],[TOTAL]]/1.21</f>
        <v>0</v>
      </c>
      <c r="I2112" s="64">
        <f>ventas_b_mes1255[[#This Row],[IMPORTE NETO]]*0.21</f>
        <v>0</v>
      </c>
      <c r="J2112" s="184"/>
      <c r="K2112" s="184"/>
      <c r="L2112" s="184"/>
      <c r="M2112" s="59"/>
    </row>
    <row r="2113" spans="2:13" x14ac:dyDescent="0.3">
      <c r="B2113" s="178"/>
      <c r="C2113" s="41"/>
      <c r="D2113" s="180"/>
      <c r="E2113" s="181"/>
      <c r="F2113" s="182"/>
      <c r="G2113" s="1" t="str">
        <f>IFERROR(IF(ventas_b_mes1255[[#This Row],[CUIT]]="","-",VLOOKUP(ventas_b_mes1255[[#This Row],[CUIT]],Lista_CUIT[#All],2,0)),"CUIT NO CARGADO")</f>
        <v>-</v>
      </c>
      <c r="H2113" s="100">
        <f>ventas_b_mes1255[[#This Row],[TOTAL]]/1.21</f>
        <v>0</v>
      </c>
      <c r="I2113" s="64">
        <f>ventas_b_mes1255[[#This Row],[IMPORTE NETO]]*0.21</f>
        <v>0</v>
      </c>
      <c r="J2113" s="184"/>
      <c r="K2113" s="184"/>
      <c r="L2113" s="184"/>
      <c r="M2113" s="59"/>
    </row>
    <row r="2114" spans="2:13" x14ac:dyDescent="0.3">
      <c r="B2114" s="178"/>
      <c r="C2114" s="41"/>
      <c r="D2114" s="180"/>
      <c r="E2114" s="181"/>
      <c r="F2114" s="182"/>
      <c r="G2114" s="1" t="str">
        <f>IFERROR(IF(ventas_b_mes1255[[#This Row],[CUIT]]="","-",VLOOKUP(ventas_b_mes1255[[#This Row],[CUIT]],Lista_CUIT[#All],2,0)),"CUIT NO CARGADO")</f>
        <v>-</v>
      </c>
      <c r="H2114" s="100">
        <f>ventas_b_mes1255[[#This Row],[TOTAL]]/1.21</f>
        <v>0</v>
      </c>
      <c r="I2114" s="64">
        <f>ventas_b_mes1255[[#This Row],[IMPORTE NETO]]*0.21</f>
        <v>0</v>
      </c>
      <c r="J2114" s="184"/>
      <c r="K2114" s="184"/>
      <c r="L2114" s="184"/>
      <c r="M2114" s="59"/>
    </row>
    <row r="2115" spans="2:13" x14ac:dyDescent="0.3">
      <c r="B2115" s="178"/>
      <c r="C2115" s="41"/>
      <c r="D2115" s="180"/>
      <c r="E2115" s="181"/>
      <c r="F2115" s="182"/>
      <c r="G2115" s="1" t="str">
        <f>IFERROR(IF(ventas_b_mes1255[[#This Row],[CUIT]]="","-",VLOOKUP(ventas_b_mes1255[[#This Row],[CUIT]],Lista_CUIT[#All],2,0)),"CUIT NO CARGADO")</f>
        <v>-</v>
      </c>
      <c r="H2115" s="100">
        <f>ventas_b_mes1255[[#This Row],[TOTAL]]/1.21</f>
        <v>0</v>
      </c>
      <c r="I2115" s="64">
        <f>ventas_b_mes1255[[#This Row],[IMPORTE NETO]]*0.21</f>
        <v>0</v>
      </c>
      <c r="J2115" s="184"/>
      <c r="K2115" s="184"/>
      <c r="L2115" s="184"/>
      <c r="M2115" s="59"/>
    </row>
    <row r="2116" spans="2:13" x14ac:dyDescent="0.3">
      <c r="B2116" s="178"/>
      <c r="C2116" s="41"/>
      <c r="D2116" s="180"/>
      <c r="E2116" s="181"/>
      <c r="F2116" s="182"/>
      <c r="G2116" s="1" t="str">
        <f>IFERROR(IF(ventas_b_mes1255[[#This Row],[CUIT]]="","-",VLOOKUP(ventas_b_mes1255[[#This Row],[CUIT]],Lista_CUIT[#All],2,0)),"CUIT NO CARGADO")</f>
        <v>-</v>
      </c>
      <c r="H2116" s="100">
        <f>ventas_b_mes1255[[#This Row],[TOTAL]]/1.21</f>
        <v>0</v>
      </c>
      <c r="I2116" s="64">
        <f>ventas_b_mes1255[[#This Row],[IMPORTE NETO]]*0.21</f>
        <v>0</v>
      </c>
      <c r="J2116" s="184"/>
      <c r="K2116" s="184"/>
      <c r="L2116" s="184"/>
      <c r="M2116" s="59"/>
    </row>
    <row r="2117" spans="2:13" x14ac:dyDescent="0.3">
      <c r="B2117" s="178"/>
      <c r="C2117" s="41"/>
      <c r="D2117" s="180"/>
      <c r="E2117" s="181"/>
      <c r="F2117" s="182"/>
      <c r="G2117" s="1" t="str">
        <f>IFERROR(IF(ventas_b_mes1255[[#This Row],[CUIT]]="","-",VLOOKUP(ventas_b_mes1255[[#This Row],[CUIT]],Lista_CUIT[#All],2,0)),"CUIT NO CARGADO")</f>
        <v>-</v>
      </c>
      <c r="H2117" s="100">
        <f>ventas_b_mes1255[[#This Row],[TOTAL]]/1.21</f>
        <v>0</v>
      </c>
      <c r="I2117" s="64">
        <f>ventas_b_mes1255[[#This Row],[IMPORTE NETO]]*0.21</f>
        <v>0</v>
      </c>
      <c r="J2117" s="184"/>
      <c r="K2117" s="184"/>
      <c r="L2117" s="184"/>
      <c r="M2117" s="59"/>
    </row>
    <row r="2118" spans="2:13" x14ac:dyDescent="0.3">
      <c r="B2118" s="178"/>
      <c r="C2118" s="41"/>
      <c r="D2118" s="180"/>
      <c r="E2118" s="181"/>
      <c r="F2118" s="182"/>
      <c r="G2118" s="1" t="str">
        <f>IFERROR(IF(ventas_b_mes1255[[#This Row],[CUIT]]="","-",VLOOKUP(ventas_b_mes1255[[#This Row],[CUIT]],Lista_CUIT[#All],2,0)),"CUIT NO CARGADO")</f>
        <v>-</v>
      </c>
      <c r="H2118" s="100">
        <f>ventas_b_mes1255[[#This Row],[TOTAL]]/1.21</f>
        <v>0</v>
      </c>
      <c r="I2118" s="64">
        <f>ventas_b_mes1255[[#This Row],[IMPORTE NETO]]*0.21</f>
        <v>0</v>
      </c>
      <c r="J2118" s="184"/>
      <c r="K2118" s="184"/>
      <c r="L2118" s="184"/>
      <c r="M2118" s="59"/>
    </row>
    <row r="2119" spans="2:13" x14ac:dyDescent="0.3">
      <c r="B2119" s="178"/>
      <c r="C2119" s="41"/>
      <c r="D2119" s="180"/>
      <c r="E2119" s="181"/>
      <c r="F2119" s="182"/>
      <c r="G2119" s="1" t="str">
        <f>IFERROR(IF(ventas_b_mes1255[[#This Row],[CUIT]]="","-",VLOOKUP(ventas_b_mes1255[[#This Row],[CUIT]],Lista_CUIT[#All],2,0)),"CUIT NO CARGADO")</f>
        <v>-</v>
      </c>
      <c r="H2119" s="100">
        <f>ventas_b_mes1255[[#This Row],[TOTAL]]/1.21</f>
        <v>0</v>
      </c>
      <c r="I2119" s="64">
        <f>ventas_b_mes1255[[#This Row],[IMPORTE NETO]]*0.21</f>
        <v>0</v>
      </c>
      <c r="J2119" s="184"/>
      <c r="K2119" s="184"/>
      <c r="L2119" s="184"/>
      <c r="M2119" s="59"/>
    </row>
    <row r="2120" spans="2:13" x14ac:dyDescent="0.3">
      <c r="B2120" s="178"/>
      <c r="C2120" s="41"/>
      <c r="D2120" s="180"/>
      <c r="E2120" s="181"/>
      <c r="F2120" s="182"/>
      <c r="G2120" s="1" t="str">
        <f>IFERROR(IF(ventas_b_mes1255[[#This Row],[CUIT]]="","-",VLOOKUP(ventas_b_mes1255[[#This Row],[CUIT]],Lista_CUIT[#All],2,0)),"CUIT NO CARGADO")</f>
        <v>-</v>
      </c>
      <c r="H2120" s="100">
        <f>ventas_b_mes1255[[#This Row],[TOTAL]]/1.21</f>
        <v>0</v>
      </c>
      <c r="I2120" s="64">
        <f>ventas_b_mes1255[[#This Row],[IMPORTE NETO]]*0.21</f>
        <v>0</v>
      </c>
      <c r="J2120" s="184"/>
      <c r="K2120" s="184"/>
      <c r="L2120" s="184"/>
      <c r="M2120" s="59"/>
    </row>
    <row r="2121" spans="2:13" x14ac:dyDescent="0.3">
      <c r="B2121" s="178"/>
      <c r="C2121" s="41"/>
      <c r="D2121" s="180"/>
      <c r="E2121" s="181"/>
      <c r="F2121" s="182"/>
      <c r="G2121" s="1" t="str">
        <f>IFERROR(IF(ventas_b_mes1255[[#This Row],[CUIT]]="","-",VLOOKUP(ventas_b_mes1255[[#This Row],[CUIT]],Lista_CUIT[#All],2,0)),"CUIT NO CARGADO")</f>
        <v>-</v>
      </c>
      <c r="H2121" s="100">
        <f>ventas_b_mes1255[[#This Row],[TOTAL]]/1.21</f>
        <v>0</v>
      </c>
      <c r="I2121" s="64">
        <f>ventas_b_mes1255[[#This Row],[IMPORTE NETO]]*0.21</f>
        <v>0</v>
      </c>
      <c r="J2121" s="184"/>
      <c r="K2121" s="184"/>
      <c r="L2121" s="184"/>
      <c r="M2121" s="59"/>
    </row>
    <row r="2122" spans="2:13" x14ac:dyDescent="0.3">
      <c r="B2122" s="178"/>
      <c r="C2122" s="41"/>
      <c r="D2122" s="180"/>
      <c r="E2122" s="181"/>
      <c r="F2122" s="182"/>
      <c r="G2122" s="1" t="str">
        <f>IFERROR(IF(ventas_b_mes1255[[#This Row],[CUIT]]="","-",VLOOKUP(ventas_b_mes1255[[#This Row],[CUIT]],Lista_CUIT[#All],2,0)),"CUIT NO CARGADO")</f>
        <v>-</v>
      </c>
      <c r="H2122" s="100">
        <f>ventas_b_mes1255[[#This Row],[TOTAL]]/1.21</f>
        <v>0</v>
      </c>
      <c r="I2122" s="64">
        <f>ventas_b_mes1255[[#This Row],[IMPORTE NETO]]*0.21</f>
        <v>0</v>
      </c>
      <c r="J2122" s="184"/>
      <c r="K2122" s="184"/>
      <c r="L2122" s="184"/>
      <c r="M2122" s="59"/>
    </row>
    <row r="2123" spans="2:13" x14ac:dyDescent="0.3">
      <c r="B2123" s="178"/>
      <c r="C2123" s="41"/>
      <c r="D2123" s="180"/>
      <c r="E2123" s="181"/>
      <c r="F2123" s="182"/>
      <c r="G2123" s="1" t="str">
        <f>IFERROR(IF(ventas_b_mes1255[[#This Row],[CUIT]]="","-",VLOOKUP(ventas_b_mes1255[[#This Row],[CUIT]],Lista_CUIT[#All],2,0)),"CUIT NO CARGADO")</f>
        <v>-</v>
      </c>
      <c r="H2123" s="100">
        <f>ventas_b_mes1255[[#This Row],[TOTAL]]/1.21</f>
        <v>0</v>
      </c>
      <c r="I2123" s="64">
        <f>ventas_b_mes1255[[#This Row],[IMPORTE NETO]]*0.21</f>
        <v>0</v>
      </c>
      <c r="J2123" s="184"/>
      <c r="K2123" s="184"/>
      <c r="L2123" s="184"/>
      <c r="M2123" s="59"/>
    </row>
    <row r="2124" spans="2:13" x14ac:dyDescent="0.3">
      <c r="B2124" s="178"/>
      <c r="C2124" s="41"/>
      <c r="D2124" s="180"/>
      <c r="E2124" s="181"/>
      <c r="F2124" s="182"/>
      <c r="G2124" s="1" t="str">
        <f>IFERROR(IF(ventas_b_mes1255[[#This Row],[CUIT]]="","-",VLOOKUP(ventas_b_mes1255[[#This Row],[CUIT]],Lista_CUIT[#All],2,0)),"CUIT NO CARGADO")</f>
        <v>-</v>
      </c>
      <c r="H2124" s="100">
        <f>ventas_b_mes1255[[#This Row],[TOTAL]]/1.21</f>
        <v>0</v>
      </c>
      <c r="I2124" s="64">
        <f>ventas_b_mes1255[[#This Row],[IMPORTE NETO]]*0.21</f>
        <v>0</v>
      </c>
      <c r="J2124" s="184"/>
      <c r="K2124" s="184"/>
      <c r="L2124" s="184"/>
      <c r="M2124" s="59"/>
    </row>
    <row r="2125" spans="2:13" x14ac:dyDescent="0.3">
      <c r="B2125" s="178"/>
      <c r="C2125" s="41"/>
      <c r="D2125" s="180"/>
      <c r="E2125" s="181"/>
      <c r="F2125" s="182"/>
      <c r="G2125" s="1" t="str">
        <f>IFERROR(IF(ventas_b_mes1255[[#This Row],[CUIT]]="","-",VLOOKUP(ventas_b_mes1255[[#This Row],[CUIT]],Lista_CUIT[#All],2,0)),"CUIT NO CARGADO")</f>
        <v>-</v>
      </c>
      <c r="H2125" s="100">
        <f>ventas_b_mes1255[[#This Row],[TOTAL]]/1.21</f>
        <v>0</v>
      </c>
      <c r="I2125" s="64">
        <f>ventas_b_mes1255[[#This Row],[IMPORTE NETO]]*0.21</f>
        <v>0</v>
      </c>
      <c r="J2125" s="184"/>
      <c r="K2125" s="184"/>
      <c r="L2125" s="184"/>
      <c r="M2125" s="59"/>
    </row>
    <row r="2126" spans="2:13" x14ac:dyDescent="0.3">
      <c r="B2126" s="178"/>
      <c r="C2126" s="41"/>
      <c r="D2126" s="180"/>
      <c r="E2126" s="181"/>
      <c r="F2126" s="182"/>
      <c r="G2126" s="1" t="str">
        <f>IFERROR(IF(ventas_b_mes1255[[#This Row],[CUIT]]="","-",VLOOKUP(ventas_b_mes1255[[#This Row],[CUIT]],Lista_CUIT[#All],2,0)),"CUIT NO CARGADO")</f>
        <v>-</v>
      </c>
      <c r="H2126" s="100">
        <f>ventas_b_mes1255[[#This Row],[TOTAL]]/1.21</f>
        <v>0</v>
      </c>
      <c r="I2126" s="64">
        <f>ventas_b_mes1255[[#This Row],[IMPORTE NETO]]*0.21</f>
        <v>0</v>
      </c>
      <c r="J2126" s="184"/>
      <c r="K2126" s="184"/>
      <c r="L2126" s="184"/>
      <c r="M2126" s="59"/>
    </row>
    <row r="2127" spans="2:13" x14ac:dyDescent="0.3">
      <c r="B2127" s="178"/>
      <c r="C2127" s="41"/>
      <c r="D2127" s="180"/>
      <c r="E2127" s="181"/>
      <c r="F2127" s="182"/>
      <c r="G2127" s="1" t="str">
        <f>IFERROR(IF(ventas_b_mes1255[[#This Row],[CUIT]]="","-",VLOOKUP(ventas_b_mes1255[[#This Row],[CUIT]],Lista_CUIT[#All],2,0)),"CUIT NO CARGADO")</f>
        <v>-</v>
      </c>
      <c r="H2127" s="100">
        <f>ventas_b_mes1255[[#This Row],[TOTAL]]/1.21</f>
        <v>0</v>
      </c>
      <c r="I2127" s="64">
        <f>ventas_b_mes1255[[#This Row],[IMPORTE NETO]]*0.21</f>
        <v>0</v>
      </c>
      <c r="J2127" s="184"/>
      <c r="K2127" s="184"/>
      <c r="L2127" s="184"/>
      <c r="M2127" s="59"/>
    </row>
    <row r="2128" spans="2:13" x14ac:dyDescent="0.3">
      <c r="B2128" s="178"/>
      <c r="C2128" s="41"/>
      <c r="D2128" s="180"/>
      <c r="E2128" s="181"/>
      <c r="F2128" s="182"/>
      <c r="G2128" s="1" t="str">
        <f>IFERROR(IF(ventas_b_mes1255[[#This Row],[CUIT]]="","-",VLOOKUP(ventas_b_mes1255[[#This Row],[CUIT]],Lista_CUIT[#All],2,0)),"CUIT NO CARGADO")</f>
        <v>-</v>
      </c>
      <c r="H2128" s="100">
        <f>ventas_b_mes1255[[#This Row],[TOTAL]]/1.21</f>
        <v>0</v>
      </c>
      <c r="I2128" s="64">
        <f>ventas_b_mes1255[[#This Row],[IMPORTE NETO]]*0.21</f>
        <v>0</v>
      </c>
      <c r="J2128" s="184"/>
      <c r="K2128" s="184"/>
      <c r="L2128" s="184"/>
      <c r="M2128" s="59"/>
    </row>
    <row r="2129" spans="2:13" x14ac:dyDescent="0.3">
      <c r="B2129" s="178"/>
      <c r="C2129" s="41"/>
      <c r="D2129" s="180"/>
      <c r="E2129" s="181"/>
      <c r="F2129" s="182"/>
      <c r="G2129" s="1" t="str">
        <f>IFERROR(IF(ventas_b_mes1255[[#This Row],[CUIT]]="","-",VLOOKUP(ventas_b_mes1255[[#This Row],[CUIT]],Lista_CUIT[#All],2,0)),"CUIT NO CARGADO")</f>
        <v>-</v>
      </c>
      <c r="H2129" s="100">
        <f>ventas_b_mes1255[[#This Row],[TOTAL]]/1.21</f>
        <v>0</v>
      </c>
      <c r="I2129" s="64">
        <f>ventas_b_mes1255[[#This Row],[IMPORTE NETO]]*0.21</f>
        <v>0</v>
      </c>
      <c r="J2129" s="184"/>
      <c r="K2129" s="184"/>
      <c r="L2129" s="184"/>
      <c r="M2129" s="59"/>
    </row>
    <row r="2130" spans="2:13" x14ac:dyDescent="0.3">
      <c r="B2130" s="178"/>
      <c r="C2130" s="41"/>
      <c r="D2130" s="180"/>
      <c r="E2130" s="181"/>
      <c r="F2130" s="182"/>
      <c r="G2130" s="1" t="str">
        <f>IFERROR(IF(ventas_b_mes1255[[#This Row],[CUIT]]="","-",VLOOKUP(ventas_b_mes1255[[#This Row],[CUIT]],Lista_CUIT[#All],2,0)),"CUIT NO CARGADO")</f>
        <v>-</v>
      </c>
      <c r="H2130" s="100">
        <f>ventas_b_mes1255[[#This Row],[TOTAL]]/1.21</f>
        <v>0</v>
      </c>
      <c r="I2130" s="64">
        <f>ventas_b_mes1255[[#This Row],[IMPORTE NETO]]*0.21</f>
        <v>0</v>
      </c>
      <c r="J2130" s="184"/>
      <c r="K2130" s="184"/>
      <c r="L2130" s="184"/>
      <c r="M2130" s="59"/>
    </row>
    <row r="2131" spans="2:13" x14ac:dyDescent="0.3">
      <c r="B2131" s="178"/>
      <c r="C2131" s="41"/>
      <c r="D2131" s="180"/>
      <c r="E2131" s="181"/>
      <c r="F2131" s="182"/>
      <c r="G2131" s="1" t="str">
        <f>IFERROR(IF(ventas_b_mes1255[[#This Row],[CUIT]]="","-",VLOOKUP(ventas_b_mes1255[[#This Row],[CUIT]],Lista_CUIT[#All],2,0)),"CUIT NO CARGADO")</f>
        <v>-</v>
      </c>
      <c r="H2131" s="100">
        <f>ventas_b_mes1255[[#This Row],[TOTAL]]/1.21</f>
        <v>0</v>
      </c>
      <c r="I2131" s="64">
        <f>ventas_b_mes1255[[#This Row],[IMPORTE NETO]]*0.21</f>
        <v>0</v>
      </c>
      <c r="J2131" s="184"/>
      <c r="K2131" s="184"/>
      <c r="L2131" s="184"/>
      <c r="M2131" s="59"/>
    </row>
    <row r="2132" spans="2:13" x14ac:dyDescent="0.3">
      <c r="B2132" s="178"/>
      <c r="C2132" s="41"/>
      <c r="D2132" s="180"/>
      <c r="E2132" s="181"/>
      <c r="F2132" s="182"/>
      <c r="G2132" s="1" t="str">
        <f>IFERROR(IF(ventas_b_mes1255[[#This Row],[CUIT]]="","-",VLOOKUP(ventas_b_mes1255[[#This Row],[CUIT]],Lista_CUIT[#All],2,0)),"CUIT NO CARGADO")</f>
        <v>-</v>
      </c>
      <c r="H2132" s="100">
        <f>ventas_b_mes1255[[#This Row],[TOTAL]]/1.21</f>
        <v>0</v>
      </c>
      <c r="I2132" s="64">
        <f>ventas_b_mes1255[[#This Row],[IMPORTE NETO]]*0.21</f>
        <v>0</v>
      </c>
      <c r="J2132" s="184"/>
      <c r="K2132" s="184"/>
      <c r="L2132" s="184"/>
      <c r="M2132" s="59"/>
    </row>
    <row r="2133" spans="2:13" x14ac:dyDescent="0.3">
      <c r="B2133" s="178"/>
      <c r="C2133" s="41"/>
      <c r="D2133" s="180"/>
      <c r="E2133" s="181"/>
      <c r="F2133" s="182"/>
      <c r="G2133" s="1" t="str">
        <f>IFERROR(IF(ventas_b_mes1255[[#This Row],[CUIT]]="","-",VLOOKUP(ventas_b_mes1255[[#This Row],[CUIT]],Lista_CUIT[#All],2,0)),"CUIT NO CARGADO")</f>
        <v>-</v>
      </c>
      <c r="H2133" s="100">
        <f>ventas_b_mes1255[[#This Row],[TOTAL]]/1.21</f>
        <v>0</v>
      </c>
      <c r="I2133" s="64">
        <f>ventas_b_mes1255[[#This Row],[IMPORTE NETO]]*0.21</f>
        <v>0</v>
      </c>
      <c r="J2133" s="184"/>
      <c r="K2133" s="184"/>
      <c r="L2133" s="184"/>
      <c r="M2133" s="59"/>
    </row>
    <row r="2134" spans="2:13" x14ac:dyDescent="0.3">
      <c r="B2134" s="178"/>
      <c r="C2134" s="41"/>
      <c r="D2134" s="180"/>
      <c r="E2134" s="181"/>
      <c r="F2134" s="182"/>
      <c r="G2134" s="1" t="str">
        <f>IFERROR(IF(ventas_b_mes1255[[#This Row],[CUIT]]="","-",VLOOKUP(ventas_b_mes1255[[#This Row],[CUIT]],Lista_CUIT[#All],2,0)),"CUIT NO CARGADO")</f>
        <v>-</v>
      </c>
      <c r="H2134" s="100">
        <f>ventas_b_mes1255[[#This Row],[TOTAL]]/1.21</f>
        <v>0</v>
      </c>
      <c r="I2134" s="64">
        <f>ventas_b_mes1255[[#This Row],[IMPORTE NETO]]*0.21</f>
        <v>0</v>
      </c>
      <c r="J2134" s="184"/>
      <c r="K2134" s="184"/>
      <c r="L2134" s="184"/>
      <c r="M2134" s="59"/>
    </row>
    <row r="2135" spans="2:13" x14ac:dyDescent="0.3">
      <c r="B2135" s="178"/>
      <c r="C2135" s="41"/>
      <c r="D2135" s="180"/>
      <c r="E2135" s="181"/>
      <c r="F2135" s="182"/>
      <c r="G2135" s="1" t="str">
        <f>IFERROR(IF(ventas_b_mes1255[[#This Row],[CUIT]]="","-",VLOOKUP(ventas_b_mes1255[[#This Row],[CUIT]],Lista_CUIT[#All],2,0)),"CUIT NO CARGADO")</f>
        <v>-</v>
      </c>
      <c r="H2135" s="100">
        <f>ventas_b_mes1255[[#This Row],[TOTAL]]/1.21</f>
        <v>0</v>
      </c>
      <c r="I2135" s="64">
        <f>ventas_b_mes1255[[#This Row],[IMPORTE NETO]]*0.21</f>
        <v>0</v>
      </c>
      <c r="J2135" s="184"/>
      <c r="K2135" s="184"/>
      <c r="L2135" s="184"/>
      <c r="M2135" s="59"/>
    </row>
    <row r="2136" spans="2:13" x14ac:dyDescent="0.3">
      <c r="B2136" s="178"/>
      <c r="C2136" s="41"/>
      <c r="D2136" s="180"/>
      <c r="E2136" s="181"/>
      <c r="F2136" s="182"/>
      <c r="G2136" s="1" t="str">
        <f>IFERROR(IF(ventas_b_mes1255[[#This Row],[CUIT]]="","-",VLOOKUP(ventas_b_mes1255[[#This Row],[CUIT]],Lista_CUIT[#All],2,0)),"CUIT NO CARGADO")</f>
        <v>-</v>
      </c>
      <c r="H2136" s="100">
        <f>ventas_b_mes1255[[#This Row],[TOTAL]]/1.21</f>
        <v>0</v>
      </c>
      <c r="I2136" s="64">
        <f>ventas_b_mes1255[[#This Row],[IMPORTE NETO]]*0.21</f>
        <v>0</v>
      </c>
      <c r="J2136" s="184"/>
      <c r="K2136" s="184"/>
      <c r="L2136" s="184"/>
      <c r="M2136" s="59"/>
    </row>
    <row r="2137" spans="2:13" x14ac:dyDescent="0.3">
      <c r="B2137" s="178"/>
      <c r="C2137" s="41"/>
      <c r="D2137" s="180"/>
      <c r="E2137" s="181"/>
      <c r="F2137" s="182"/>
      <c r="G2137" s="1" t="str">
        <f>IFERROR(IF(ventas_b_mes1255[[#This Row],[CUIT]]="","-",VLOOKUP(ventas_b_mes1255[[#This Row],[CUIT]],Lista_CUIT[#All],2,0)),"CUIT NO CARGADO")</f>
        <v>-</v>
      </c>
      <c r="H2137" s="100">
        <f>ventas_b_mes1255[[#This Row],[TOTAL]]/1.21</f>
        <v>0</v>
      </c>
      <c r="I2137" s="64">
        <f>ventas_b_mes1255[[#This Row],[IMPORTE NETO]]*0.21</f>
        <v>0</v>
      </c>
      <c r="J2137" s="184"/>
      <c r="K2137" s="184"/>
      <c r="L2137" s="184"/>
      <c r="M2137" s="59"/>
    </row>
    <row r="2138" spans="2:13" x14ac:dyDescent="0.3">
      <c r="B2138" s="178"/>
      <c r="C2138" s="41"/>
      <c r="D2138" s="180"/>
      <c r="E2138" s="181"/>
      <c r="F2138" s="182"/>
      <c r="G2138" s="1" t="str">
        <f>IFERROR(IF(ventas_b_mes1255[[#This Row],[CUIT]]="","-",VLOOKUP(ventas_b_mes1255[[#This Row],[CUIT]],Lista_CUIT[#All],2,0)),"CUIT NO CARGADO")</f>
        <v>-</v>
      </c>
      <c r="H2138" s="100">
        <f>ventas_b_mes1255[[#This Row],[TOTAL]]/1.21</f>
        <v>0</v>
      </c>
      <c r="I2138" s="64">
        <f>ventas_b_mes1255[[#This Row],[IMPORTE NETO]]*0.21</f>
        <v>0</v>
      </c>
      <c r="J2138" s="184"/>
      <c r="K2138" s="184"/>
      <c r="L2138" s="184"/>
      <c r="M2138" s="59"/>
    </row>
    <row r="2139" spans="2:13" x14ac:dyDescent="0.3">
      <c r="B2139" s="178"/>
      <c r="C2139" s="41"/>
      <c r="D2139" s="180"/>
      <c r="E2139" s="181"/>
      <c r="F2139" s="182"/>
      <c r="G2139" s="1" t="str">
        <f>IFERROR(IF(ventas_b_mes1255[[#This Row],[CUIT]]="","-",VLOOKUP(ventas_b_mes1255[[#This Row],[CUIT]],Lista_CUIT[#All],2,0)),"CUIT NO CARGADO")</f>
        <v>-</v>
      </c>
      <c r="H2139" s="100">
        <f>ventas_b_mes1255[[#This Row],[TOTAL]]/1.21</f>
        <v>0</v>
      </c>
      <c r="I2139" s="64">
        <f>ventas_b_mes1255[[#This Row],[IMPORTE NETO]]*0.21</f>
        <v>0</v>
      </c>
      <c r="J2139" s="184"/>
      <c r="K2139" s="184"/>
      <c r="L2139" s="184"/>
      <c r="M2139" s="59"/>
    </row>
    <row r="2140" spans="2:13" x14ac:dyDescent="0.3">
      <c r="B2140" s="178"/>
      <c r="C2140" s="41"/>
      <c r="D2140" s="180"/>
      <c r="E2140" s="181"/>
      <c r="F2140" s="182"/>
      <c r="G2140" s="1" t="str">
        <f>IFERROR(IF(ventas_b_mes1255[[#This Row],[CUIT]]="","-",VLOOKUP(ventas_b_mes1255[[#This Row],[CUIT]],Lista_CUIT[#All],2,0)),"CUIT NO CARGADO")</f>
        <v>-</v>
      </c>
      <c r="H2140" s="100">
        <f>ventas_b_mes1255[[#This Row],[TOTAL]]/1.21</f>
        <v>0</v>
      </c>
      <c r="I2140" s="64">
        <f>ventas_b_mes1255[[#This Row],[IMPORTE NETO]]*0.21</f>
        <v>0</v>
      </c>
      <c r="J2140" s="184"/>
      <c r="K2140" s="184"/>
      <c r="L2140" s="184"/>
      <c r="M2140" s="59"/>
    </row>
    <row r="2141" spans="2:13" x14ac:dyDescent="0.3">
      <c r="B2141" s="178"/>
      <c r="C2141" s="41"/>
      <c r="D2141" s="180"/>
      <c r="E2141" s="181"/>
      <c r="F2141" s="182"/>
      <c r="G2141" s="1" t="str">
        <f>IFERROR(IF(ventas_b_mes1255[[#This Row],[CUIT]]="","-",VLOOKUP(ventas_b_mes1255[[#This Row],[CUIT]],Lista_CUIT[#All],2,0)),"CUIT NO CARGADO")</f>
        <v>-</v>
      </c>
      <c r="H2141" s="100">
        <f>ventas_b_mes1255[[#This Row],[TOTAL]]/1.21</f>
        <v>0</v>
      </c>
      <c r="I2141" s="64">
        <f>ventas_b_mes1255[[#This Row],[IMPORTE NETO]]*0.21</f>
        <v>0</v>
      </c>
      <c r="J2141" s="184"/>
      <c r="K2141" s="184"/>
      <c r="L2141" s="184"/>
      <c r="M2141" s="59"/>
    </row>
    <row r="2142" spans="2:13" x14ac:dyDescent="0.3">
      <c r="B2142" s="178"/>
      <c r="C2142" s="41"/>
      <c r="D2142" s="180"/>
      <c r="E2142" s="181"/>
      <c r="F2142" s="182"/>
      <c r="G2142" s="1" t="str">
        <f>IFERROR(IF(ventas_b_mes1255[[#This Row],[CUIT]]="","-",VLOOKUP(ventas_b_mes1255[[#This Row],[CUIT]],Lista_CUIT[#All],2,0)),"CUIT NO CARGADO")</f>
        <v>-</v>
      </c>
      <c r="H2142" s="100">
        <f>ventas_b_mes1255[[#This Row],[TOTAL]]/1.21</f>
        <v>0</v>
      </c>
      <c r="I2142" s="64">
        <f>ventas_b_mes1255[[#This Row],[IMPORTE NETO]]*0.21</f>
        <v>0</v>
      </c>
      <c r="J2142" s="184"/>
      <c r="K2142" s="184"/>
      <c r="L2142" s="184"/>
      <c r="M2142" s="59"/>
    </row>
    <row r="2143" spans="2:13" x14ac:dyDescent="0.3">
      <c r="B2143" s="178"/>
      <c r="C2143" s="41"/>
      <c r="D2143" s="180"/>
      <c r="E2143" s="181"/>
      <c r="F2143" s="182"/>
      <c r="G2143" s="1" t="str">
        <f>IFERROR(IF(ventas_b_mes1255[[#This Row],[CUIT]]="","-",VLOOKUP(ventas_b_mes1255[[#This Row],[CUIT]],Lista_CUIT[#All],2,0)),"CUIT NO CARGADO")</f>
        <v>-</v>
      </c>
      <c r="H2143" s="100">
        <f>ventas_b_mes1255[[#This Row],[TOTAL]]/1.21</f>
        <v>0</v>
      </c>
      <c r="I2143" s="64">
        <f>ventas_b_mes1255[[#This Row],[IMPORTE NETO]]*0.21</f>
        <v>0</v>
      </c>
      <c r="J2143" s="184"/>
      <c r="K2143" s="184"/>
      <c r="L2143" s="184"/>
      <c r="M2143" s="59"/>
    </row>
    <row r="2144" spans="2:13" x14ac:dyDescent="0.3">
      <c r="B2144" s="178"/>
      <c r="C2144" s="41"/>
      <c r="D2144" s="180"/>
      <c r="E2144" s="181"/>
      <c r="F2144" s="182"/>
      <c r="G2144" s="1" t="str">
        <f>IFERROR(IF(ventas_b_mes1255[[#This Row],[CUIT]]="","-",VLOOKUP(ventas_b_mes1255[[#This Row],[CUIT]],Lista_CUIT[#All],2,0)),"CUIT NO CARGADO")</f>
        <v>-</v>
      </c>
      <c r="H2144" s="100">
        <f>ventas_b_mes1255[[#This Row],[TOTAL]]/1.21</f>
        <v>0</v>
      </c>
      <c r="I2144" s="64">
        <f>ventas_b_mes1255[[#This Row],[IMPORTE NETO]]*0.21</f>
        <v>0</v>
      </c>
      <c r="J2144" s="184"/>
      <c r="K2144" s="184"/>
      <c r="L2144" s="184"/>
      <c r="M2144" s="59"/>
    </row>
    <row r="2145" spans="2:13" x14ac:dyDescent="0.3">
      <c r="B2145" s="178"/>
      <c r="C2145" s="41"/>
      <c r="D2145" s="180"/>
      <c r="E2145" s="181"/>
      <c r="F2145" s="182"/>
      <c r="G2145" s="1" t="str">
        <f>IFERROR(IF(ventas_b_mes1255[[#This Row],[CUIT]]="","-",VLOOKUP(ventas_b_mes1255[[#This Row],[CUIT]],Lista_CUIT[#All],2,0)),"CUIT NO CARGADO")</f>
        <v>-</v>
      </c>
      <c r="H2145" s="100">
        <f>ventas_b_mes1255[[#This Row],[TOTAL]]/1.21</f>
        <v>0</v>
      </c>
      <c r="I2145" s="64">
        <f>ventas_b_mes1255[[#This Row],[IMPORTE NETO]]*0.21</f>
        <v>0</v>
      </c>
      <c r="J2145" s="184"/>
      <c r="K2145" s="184"/>
      <c r="L2145" s="184"/>
      <c r="M2145" s="59"/>
    </row>
    <row r="2146" spans="2:13" x14ac:dyDescent="0.3">
      <c r="B2146" s="178"/>
      <c r="C2146" s="41"/>
      <c r="D2146" s="180"/>
      <c r="E2146" s="181"/>
      <c r="F2146" s="182"/>
      <c r="G2146" s="1" t="str">
        <f>IFERROR(IF(ventas_b_mes1255[[#This Row],[CUIT]]="","-",VLOOKUP(ventas_b_mes1255[[#This Row],[CUIT]],Lista_CUIT[#All],2,0)),"CUIT NO CARGADO")</f>
        <v>-</v>
      </c>
      <c r="H2146" s="100">
        <f>ventas_b_mes1255[[#This Row],[TOTAL]]/1.21</f>
        <v>0</v>
      </c>
      <c r="I2146" s="64">
        <f>ventas_b_mes1255[[#This Row],[IMPORTE NETO]]*0.21</f>
        <v>0</v>
      </c>
      <c r="J2146" s="184"/>
      <c r="K2146" s="184"/>
      <c r="L2146" s="184"/>
      <c r="M2146" s="59"/>
    </row>
    <row r="2147" spans="2:13" x14ac:dyDescent="0.3">
      <c r="B2147" s="178"/>
      <c r="C2147" s="41"/>
      <c r="D2147" s="180"/>
      <c r="E2147" s="181"/>
      <c r="F2147" s="182"/>
      <c r="G2147" s="1" t="str">
        <f>IFERROR(IF(ventas_b_mes1255[[#This Row],[CUIT]]="","-",VLOOKUP(ventas_b_mes1255[[#This Row],[CUIT]],Lista_CUIT[#All],2,0)),"CUIT NO CARGADO")</f>
        <v>-</v>
      </c>
      <c r="H2147" s="100">
        <f>ventas_b_mes1255[[#This Row],[TOTAL]]/1.21</f>
        <v>0</v>
      </c>
      <c r="I2147" s="64">
        <f>ventas_b_mes1255[[#This Row],[IMPORTE NETO]]*0.21</f>
        <v>0</v>
      </c>
      <c r="J2147" s="184"/>
      <c r="K2147" s="184"/>
      <c r="L2147" s="184"/>
      <c r="M2147" s="59"/>
    </row>
    <row r="2148" spans="2:13" x14ac:dyDescent="0.3">
      <c r="B2148" s="178"/>
      <c r="C2148" s="41"/>
      <c r="D2148" s="180"/>
      <c r="E2148" s="181"/>
      <c r="F2148" s="182"/>
      <c r="G2148" s="1" t="str">
        <f>IFERROR(IF(ventas_b_mes1255[[#This Row],[CUIT]]="","-",VLOOKUP(ventas_b_mes1255[[#This Row],[CUIT]],Lista_CUIT[#All],2,0)),"CUIT NO CARGADO")</f>
        <v>-</v>
      </c>
      <c r="H2148" s="100">
        <f>ventas_b_mes1255[[#This Row],[TOTAL]]/1.21</f>
        <v>0</v>
      </c>
      <c r="I2148" s="64">
        <f>ventas_b_mes1255[[#This Row],[IMPORTE NETO]]*0.21</f>
        <v>0</v>
      </c>
      <c r="J2148" s="184"/>
      <c r="K2148" s="184"/>
      <c r="L2148" s="184"/>
      <c r="M2148" s="59"/>
    </row>
    <row r="2149" spans="2:13" x14ac:dyDescent="0.3">
      <c r="B2149" s="178"/>
      <c r="C2149" s="41"/>
      <c r="D2149" s="180"/>
      <c r="E2149" s="181"/>
      <c r="F2149" s="182"/>
      <c r="G2149" s="1" t="str">
        <f>IFERROR(IF(ventas_b_mes1255[[#This Row],[CUIT]]="","-",VLOOKUP(ventas_b_mes1255[[#This Row],[CUIT]],Lista_CUIT[#All],2,0)),"CUIT NO CARGADO")</f>
        <v>-</v>
      </c>
      <c r="H2149" s="100">
        <f>ventas_b_mes1255[[#This Row],[TOTAL]]/1.21</f>
        <v>0</v>
      </c>
      <c r="I2149" s="64">
        <f>ventas_b_mes1255[[#This Row],[IMPORTE NETO]]*0.21</f>
        <v>0</v>
      </c>
      <c r="J2149" s="184"/>
      <c r="K2149" s="184"/>
      <c r="L2149" s="184"/>
      <c r="M2149" s="59"/>
    </row>
    <row r="2150" spans="2:13" x14ac:dyDescent="0.3">
      <c r="B2150" s="178"/>
      <c r="C2150" s="41"/>
      <c r="D2150" s="180"/>
      <c r="E2150" s="181"/>
      <c r="F2150" s="182"/>
      <c r="G2150" s="1" t="str">
        <f>IFERROR(IF(ventas_b_mes1255[[#This Row],[CUIT]]="","-",VLOOKUP(ventas_b_mes1255[[#This Row],[CUIT]],Lista_CUIT[#All],2,0)),"CUIT NO CARGADO")</f>
        <v>-</v>
      </c>
      <c r="H2150" s="100">
        <f>ventas_b_mes1255[[#This Row],[TOTAL]]/1.21</f>
        <v>0</v>
      </c>
      <c r="I2150" s="64">
        <f>ventas_b_mes1255[[#This Row],[IMPORTE NETO]]*0.21</f>
        <v>0</v>
      </c>
      <c r="J2150" s="184"/>
      <c r="K2150" s="184"/>
      <c r="L2150" s="184"/>
      <c r="M2150" s="59"/>
    </row>
    <row r="2151" spans="2:13" x14ac:dyDescent="0.3">
      <c r="B2151" s="178"/>
      <c r="C2151" s="41"/>
      <c r="D2151" s="180"/>
      <c r="E2151" s="181"/>
      <c r="F2151" s="182"/>
      <c r="G2151" s="1" t="str">
        <f>IFERROR(IF(ventas_b_mes1255[[#This Row],[CUIT]]="","-",VLOOKUP(ventas_b_mes1255[[#This Row],[CUIT]],Lista_CUIT[#All],2,0)),"CUIT NO CARGADO")</f>
        <v>-</v>
      </c>
      <c r="H2151" s="100">
        <f>ventas_b_mes1255[[#This Row],[TOTAL]]/1.21</f>
        <v>0</v>
      </c>
      <c r="I2151" s="64">
        <f>ventas_b_mes1255[[#This Row],[IMPORTE NETO]]*0.21</f>
        <v>0</v>
      </c>
      <c r="J2151" s="184"/>
      <c r="K2151" s="184"/>
      <c r="L2151" s="184"/>
      <c r="M2151" s="59"/>
    </row>
    <row r="2152" spans="2:13" x14ac:dyDescent="0.3">
      <c r="B2152" s="178"/>
      <c r="C2152" s="41"/>
      <c r="D2152" s="180"/>
      <c r="E2152" s="181"/>
      <c r="F2152" s="182"/>
      <c r="G2152" s="1" t="str">
        <f>IFERROR(IF(ventas_b_mes1255[[#This Row],[CUIT]]="","-",VLOOKUP(ventas_b_mes1255[[#This Row],[CUIT]],Lista_CUIT[#All],2,0)),"CUIT NO CARGADO")</f>
        <v>-</v>
      </c>
      <c r="H2152" s="100">
        <f>ventas_b_mes1255[[#This Row],[TOTAL]]/1.21</f>
        <v>0</v>
      </c>
      <c r="I2152" s="64">
        <f>ventas_b_mes1255[[#This Row],[IMPORTE NETO]]*0.21</f>
        <v>0</v>
      </c>
      <c r="J2152" s="184"/>
      <c r="K2152" s="184"/>
      <c r="L2152" s="184"/>
      <c r="M2152" s="59"/>
    </row>
    <row r="2153" spans="2:13" x14ac:dyDescent="0.3">
      <c r="B2153" s="178"/>
      <c r="C2153" s="41"/>
      <c r="D2153" s="180"/>
      <c r="E2153" s="181"/>
      <c r="F2153" s="182"/>
      <c r="G2153" s="1" t="str">
        <f>IFERROR(IF(ventas_b_mes1255[[#This Row],[CUIT]]="","-",VLOOKUP(ventas_b_mes1255[[#This Row],[CUIT]],Lista_CUIT[#All],2,0)),"CUIT NO CARGADO")</f>
        <v>-</v>
      </c>
      <c r="H2153" s="100">
        <f>ventas_b_mes1255[[#This Row],[TOTAL]]/1.21</f>
        <v>0</v>
      </c>
      <c r="I2153" s="64">
        <f>ventas_b_mes1255[[#This Row],[IMPORTE NETO]]*0.21</f>
        <v>0</v>
      </c>
      <c r="J2153" s="184"/>
      <c r="K2153" s="184"/>
      <c r="L2153" s="184"/>
      <c r="M2153" s="59"/>
    </row>
    <row r="2154" spans="2:13" x14ac:dyDescent="0.3">
      <c r="B2154" s="178"/>
      <c r="C2154" s="41"/>
      <c r="D2154" s="180"/>
      <c r="E2154" s="181"/>
      <c r="F2154" s="182"/>
      <c r="G2154" s="1" t="str">
        <f>IFERROR(IF(ventas_b_mes1255[[#This Row],[CUIT]]="","-",VLOOKUP(ventas_b_mes1255[[#This Row],[CUIT]],Lista_CUIT[#All],2,0)),"CUIT NO CARGADO")</f>
        <v>-</v>
      </c>
      <c r="H2154" s="100">
        <f>ventas_b_mes1255[[#This Row],[TOTAL]]/1.21</f>
        <v>0</v>
      </c>
      <c r="I2154" s="64">
        <f>ventas_b_mes1255[[#This Row],[IMPORTE NETO]]*0.21</f>
        <v>0</v>
      </c>
      <c r="J2154" s="184"/>
      <c r="K2154" s="184"/>
      <c r="L2154" s="184"/>
      <c r="M2154" s="59"/>
    </row>
    <row r="2155" spans="2:13" x14ac:dyDescent="0.3">
      <c r="B2155" s="178"/>
      <c r="C2155" s="41"/>
      <c r="D2155" s="180"/>
      <c r="E2155" s="181"/>
      <c r="F2155" s="182"/>
      <c r="G2155" s="1" t="str">
        <f>IFERROR(IF(ventas_b_mes1255[[#This Row],[CUIT]]="","-",VLOOKUP(ventas_b_mes1255[[#This Row],[CUIT]],Lista_CUIT[#All],2,0)),"CUIT NO CARGADO")</f>
        <v>-</v>
      </c>
      <c r="H2155" s="100">
        <f>ventas_b_mes1255[[#This Row],[TOTAL]]/1.21</f>
        <v>0</v>
      </c>
      <c r="I2155" s="64">
        <f>ventas_b_mes1255[[#This Row],[IMPORTE NETO]]*0.21</f>
        <v>0</v>
      </c>
      <c r="J2155" s="184"/>
      <c r="K2155" s="184"/>
      <c r="L2155" s="184"/>
      <c r="M2155" s="59"/>
    </row>
    <row r="2156" spans="2:13" x14ac:dyDescent="0.3">
      <c r="B2156" s="178"/>
      <c r="C2156" s="41"/>
      <c r="D2156" s="180"/>
      <c r="E2156" s="181"/>
      <c r="F2156" s="182"/>
      <c r="G2156" s="1" t="str">
        <f>IFERROR(IF(ventas_b_mes1255[[#This Row],[CUIT]]="","-",VLOOKUP(ventas_b_mes1255[[#This Row],[CUIT]],Lista_CUIT[#All],2,0)),"CUIT NO CARGADO")</f>
        <v>-</v>
      </c>
      <c r="H2156" s="100">
        <f>ventas_b_mes1255[[#This Row],[TOTAL]]/1.21</f>
        <v>0</v>
      </c>
      <c r="I2156" s="64">
        <f>ventas_b_mes1255[[#This Row],[IMPORTE NETO]]*0.21</f>
        <v>0</v>
      </c>
      <c r="J2156" s="184"/>
      <c r="K2156" s="184"/>
      <c r="L2156" s="184"/>
      <c r="M2156" s="59"/>
    </row>
    <row r="2157" spans="2:13" x14ac:dyDescent="0.3">
      <c r="B2157" s="178"/>
      <c r="C2157" s="41"/>
      <c r="D2157" s="180"/>
      <c r="E2157" s="181"/>
      <c r="F2157" s="182"/>
      <c r="G2157" s="1" t="str">
        <f>IFERROR(IF(ventas_b_mes1255[[#This Row],[CUIT]]="","-",VLOOKUP(ventas_b_mes1255[[#This Row],[CUIT]],Lista_CUIT[#All],2,0)),"CUIT NO CARGADO")</f>
        <v>-</v>
      </c>
      <c r="H2157" s="100">
        <f>ventas_b_mes1255[[#This Row],[TOTAL]]/1.21</f>
        <v>0</v>
      </c>
      <c r="I2157" s="64">
        <f>ventas_b_mes1255[[#This Row],[IMPORTE NETO]]*0.21</f>
        <v>0</v>
      </c>
      <c r="J2157" s="184"/>
      <c r="K2157" s="184"/>
      <c r="L2157" s="184"/>
      <c r="M2157" s="59"/>
    </row>
    <row r="2158" spans="2:13" x14ac:dyDescent="0.3">
      <c r="B2158" s="178"/>
      <c r="C2158" s="41"/>
      <c r="D2158" s="180"/>
      <c r="E2158" s="181"/>
      <c r="F2158" s="182"/>
      <c r="G2158" s="1" t="str">
        <f>IFERROR(IF(ventas_b_mes1255[[#This Row],[CUIT]]="","-",VLOOKUP(ventas_b_mes1255[[#This Row],[CUIT]],Lista_CUIT[#All],2,0)),"CUIT NO CARGADO")</f>
        <v>-</v>
      </c>
      <c r="H2158" s="100">
        <f>ventas_b_mes1255[[#This Row],[TOTAL]]/1.21</f>
        <v>0</v>
      </c>
      <c r="I2158" s="64">
        <f>ventas_b_mes1255[[#This Row],[IMPORTE NETO]]*0.21</f>
        <v>0</v>
      </c>
      <c r="J2158" s="184"/>
      <c r="K2158" s="184"/>
      <c r="L2158" s="184"/>
      <c r="M2158" s="59"/>
    </row>
    <row r="2159" spans="2:13" x14ac:dyDescent="0.3">
      <c r="B2159" s="178"/>
      <c r="C2159" s="41"/>
      <c r="D2159" s="180"/>
      <c r="E2159" s="181"/>
      <c r="F2159" s="182"/>
      <c r="G2159" s="1" t="str">
        <f>IFERROR(IF(ventas_b_mes1255[[#This Row],[CUIT]]="","-",VLOOKUP(ventas_b_mes1255[[#This Row],[CUIT]],Lista_CUIT[#All],2,0)),"CUIT NO CARGADO")</f>
        <v>-</v>
      </c>
      <c r="H2159" s="100">
        <f>ventas_b_mes1255[[#This Row],[TOTAL]]/1.21</f>
        <v>0</v>
      </c>
      <c r="I2159" s="64">
        <f>ventas_b_mes1255[[#This Row],[IMPORTE NETO]]*0.21</f>
        <v>0</v>
      </c>
      <c r="J2159" s="184"/>
      <c r="K2159" s="184"/>
      <c r="L2159" s="184"/>
      <c r="M2159" s="59"/>
    </row>
    <row r="2160" spans="2:13" x14ac:dyDescent="0.3">
      <c r="B2160" s="178"/>
      <c r="C2160" s="41"/>
      <c r="D2160" s="180"/>
      <c r="E2160" s="181"/>
      <c r="F2160" s="182"/>
      <c r="G2160" s="1" t="str">
        <f>IFERROR(IF(ventas_b_mes1255[[#This Row],[CUIT]]="","-",VLOOKUP(ventas_b_mes1255[[#This Row],[CUIT]],Lista_CUIT[#All],2,0)),"CUIT NO CARGADO")</f>
        <v>-</v>
      </c>
      <c r="H2160" s="100">
        <f>ventas_b_mes1255[[#This Row],[TOTAL]]/1.21</f>
        <v>0</v>
      </c>
      <c r="I2160" s="64">
        <f>ventas_b_mes1255[[#This Row],[IMPORTE NETO]]*0.21</f>
        <v>0</v>
      </c>
      <c r="J2160" s="184"/>
      <c r="K2160" s="184"/>
      <c r="L2160" s="184"/>
      <c r="M2160" s="59"/>
    </row>
    <row r="2161" spans="2:13" x14ac:dyDescent="0.3">
      <c r="B2161" s="178"/>
      <c r="C2161" s="41"/>
      <c r="D2161" s="180"/>
      <c r="E2161" s="181"/>
      <c r="F2161" s="182"/>
      <c r="G2161" s="1" t="str">
        <f>IFERROR(IF(ventas_b_mes1255[[#This Row],[CUIT]]="","-",VLOOKUP(ventas_b_mes1255[[#This Row],[CUIT]],Lista_CUIT[#All],2,0)),"CUIT NO CARGADO")</f>
        <v>-</v>
      </c>
      <c r="H2161" s="100">
        <f>ventas_b_mes1255[[#This Row],[TOTAL]]/1.21</f>
        <v>0</v>
      </c>
      <c r="I2161" s="64">
        <f>ventas_b_mes1255[[#This Row],[IMPORTE NETO]]*0.21</f>
        <v>0</v>
      </c>
      <c r="J2161" s="184"/>
      <c r="K2161" s="184"/>
      <c r="L2161" s="184"/>
      <c r="M2161" s="59"/>
    </row>
    <row r="2162" spans="2:13" x14ac:dyDescent="0.3">
      <c r="B2162" s="178"/>
      <c r="C2162" s="41"/>
      <c r="D2162" s="180"/>
      <c r="E2162" s="181"/>
      <c r="F2162" s="182"/>
      <c r="G2162" s="1" t="str">
        <f>IFERROR(IF(ventas_b_mes1255[[#This Row],[CUIT]]="","-",VLOOKUP(ventas_b_mes1255[[#This Row],[CUIT]],Lista_CUIT[#All],2,0)),"CUIT NO CARGADO")</f>
        <v>-</v>
      </c>
      <c r="H2162" s="100">
        <f>ventas_b_mes1255[[#This Row],[TOTAL]]/1.21</f>
        <v>0</v>
      </c>
      <c r="I2162" s="64">
        <f>ventas_b_mes1255[[#This Row],[IMPORTE NETO]]*0.21</f>
        <v>0</v>
      </c>
      <c r="J2162" s="184"/>
      <c r="K2162" s="184"/>
      <c r="L2162" s="184"/>
      <c r="M2162" s="59"/>
    </row>
    <row r="2163" spans="2:13" x14ac:dyDescent="0.3">
      <c r="B2163" s="178"/>
      <c r="C2163" s="41"/>
      <c r="D2163" s="180"/>
      <c r="E2163" s="181"/>
      <c r="F2163" s="182"/>
      <c r="G2163" s="1" t="str">
        <f>IFERROR(IF(ventas_b_mes1255[[#This Row],[CUIT]]="","-",VLOOKUP(ventas_b_mes1255[[#This Row],[CUIT]],Lista_CUIT[#All],2,0)),"CUIT NO CARGADO")</f>
        <v>-</v>
      </c>
      <c r="H2163" s="100">
        <f>ventas_b_mes1255[[#This Row],[TOTAL]]/1.21</f>
        <v>0</v>
      </c>
      <c r="I2163" s="64">
        <f>ventas_b_mes1255[[#This Row],[IMPORTE NETO]]*0.21</f>
        <v>0</v>
      </c>
      <c r="J2163" s="184"/>
      <c r="K2163" s="184"/>
      <c r="L2163" s="184"/>
      <c r="M2163" s="59"/>
    </row>
    <row r="2164" spans="2:13" x14ac:dyDescent="0.3">
      <c r="B2164" s="178"/>
      <c r="C2164" s="41"/>
      <c r="D2164" s="180"/>
      <c r="E2164" s="181"/>
      <c r="F2164" s="182"/>
      <c r="G2164" s="1" t="str">
        <f>IFERROR(IF(ventas_b_mes1255[[#This Row],[CUIT]]="","-",VLOOKUP(ventas_b_mes1255[[#This Row],[CUIT]],Lista_CUIT[#All],2,0)),"CUIT NO CARGADO")</f>
        <v>-</v>
      </c>
      <c r="H2164" s="100">
        <f>ventas_b_mes1255[[#This Row],[TOTAL]]/1.21</f>
        <v>0</v>
      </c>
      <c r="I2164" s="64">
        <f>ventas_b_mes1255[[#This Row],[IMPORTE NETO]]*0.21</f>
        <v>0</v>
      </c>
      <c r="J2164" s="184"/>
      <c r="K2164" s="184"/>
      <c r="L2164" s="184"/>
      <c r="M2164" s="59"/>
    </row>
    <row r="2165" spans="2:13" x14ac:dyDescent="0.3">
      <c r="B2165" s="178"/>
      <c r="C2165" s="41"/>
      <c r="D2165" s="180"/>
      <c r="E2165" s="181"/>
      <c r="F2165" s="182"/>
      <c r="G2165" s="1" t="str">
        <f>IFERROR(IF(ventas_b_mes1255[[#This Row],[CUIT]]="","-",VLOOKUP(ventas_b_mes1255[[#This Row],[CUIT]],Lista_CUIT[#All],2,0)),"CUIT NO CARGADO")</f>
        <v>-</v>
      </c>
      <c r="H2165" s="100">
        <f>ventas_b_mes1255[[#This Row],[TOTAL]]/1.21</f>
        <v>0</v>
      </c>
      <c r="I2165" s="64">
        <f>ventas_b_mes1255[[#This Row],[IMPORTE NETO]]*0.21</f>
        <v>0</v>
      </c>
      <c r="J2165" s="184"/>
      <c r="K2165" s="184"/>
      <c r="L2165" s="184"/>
      <c r="M2165" s="59"/>
    </row>
    <row r="2166" spans="2:13" x14ac:dyDescent="0.3">
      <c r="B2166" s="178"/>
      <c r="C2166" s="41"/>
      <c r="D2166" s="180"/>
      <c r="E2166" s="181"/>
      <c r="F2166" s="182"/>
      <c r="G2166" s="1" t="str">
        <f>IFERROR(IF(ventas_b_mes1255[[#This Row],[CUIT]]="","-",VLOOKUP(ventas_b_mes1255[[#This Row],[CUIT]],Lista_CUIT[#All],2,0)),"CUIT NO CARGADO")</f>
        <v>-</v>
      </c>
      <c r="H2166" s="100">
        <f>ventas_b_mes1255[[#This Row],[TOTAL]]/1.21</f>
        <v>0</v>
      </c>
      <c r="I2166" s="64">
        <f>ventas_b_mes1255[[#This Row],[IMPORTE NETO]]*0.21</f>
        <v>0</v>
      </c>
      <c r="J2166" s="184"/>
      <c r="K2166" s="184"/>
      <c r="L2166" s="184"/>
      <c r="M2166" s="59"/>
    </row>
    <row r="2167" spans="2:13" x14ac:dyDescent="0.3">
      <c r="B2167" s="178"/>
      <c r="C2167" s="41"/>
      <c r="D2167" s="180"/>
      <c r="E2167" s="181"/>
      <c r="F2167" s="182"/>
      <c r="G2167" s="1" t="str">
        <f>IFERROR(IF(ventas_b_mes1255[[#This Row],[CUIT]]="","-",VLOOKUP(ventas_b_mes1255[[#This Row],[CUIT]],Lista_CUIT[#All],2,0)),"CUIT NO CARGADO")</f>
        <v>-</v>
      </c>
      <c r="H2167" s="100">
        <f>ventas_b_mes1255[[#This Row],[TOTAL]]/1.21</f>
        <v>0</v>
      </c>
      <c r="I2167" s="64">
        <f>ventas_b_mes1255[[#This Row],[IMPORTE NETO]]*0.21</f>
        <v>0</v>
      </c>
      <c r="J2167" s="184"/>
      <c r="K2167" s="184"/>
      <c r="L2167" s="184"/>
      <c r="M2167" s="59"/>
    </row>
    <row r="2168" spans="2:13" x14ac:dyDescent="0.3">
      <c r="B2168" s="178"/>
      <c r="C2168" s="41"/>
      <c r="D2168" s="180"/>
      <c r="E2168" s="181"/>
      <c r="F2168" s="182"/>
      <c r="G2168" s="1" t="str">
        <f>IFERROR(IF(ventas_b_mes1255[[#This Row],[CUIT]]="","-",VLOOKUP(ventas_b_mes1255[[#This Row],[CUIT]],Lista_CUIT[#All],2,0)),"CUIT NO CARGADO")</f>
        <v>-</v>
      </c>
      <c r="H2168" s="100">
        <f>ventas_b_mes1255[[#This Row],[TOTAL]]/1.21</f>
        <v>0</v>
      </c>
      <c r="I2168" s="64">
        <f>ventas_b_mes1255[[#This Row],[IMPORTE NETO]]*0.21</f>
        <v>0</v>
      </c>
      <c r="J2168" s="184"/>
      <c r="K2168" s="184"/>
      <c r="L2168" s="184"/>
      <c r="M2168" s="59"/>
    </row>
    <row r="2169" spans="2:13" x14ac:dyDescent="0.3">
      <c r="B2169" s="178"/>
      <c r="C2169" s="41"/>
      <c r="D2169" s="180"/>
      <c r="E2169" s="181"/>
      <c r="F2169" s="182"/>
      <c r="G2169" s="1" t="str">
        <f>IFERROR(IF(ventas_b_mes1255[[#This Row],[CUIT]]="","-",VLOOKUP(ventas_b_mes1255[[#This Row],[CUIT]],Lista_CUIT[#All],2,0)),"CUIT NO CARGADO")</f>
        <v>-</v>
      </c>
      <c r="H2169" s="100">
        <f>ventas_b_mes1255[[#This Row],[TOTAL]]/1.21</f>
        <v>0</v>
      </c>
      <c r="I2169" s="64">
        <f>ventas_b_mes1255[[#This Row],[IMPORTE NETO]]*0.21</f>
        <v>0</v>
      </c>
      <c r="J2169" s="184"/>
      <c r="K2169" s="184"/>
      <c r="L2169" s="184"/>
      <c r="M2169" s="59"/>
    </row>
    <row r="2170" spans="2:13" x14ac:dyDescent="0.3">
      <c r="B2170" s="178"/>
      <c r="C2170" s="41"/>
      <c r="D2170" s="180"/>
      <c r="E2170" s="181"/>
      <c r="F2170" s="182"/>
      <c r="G2170" s="1" t="str">
        <f>IFERROR(IF(ventas_b_mes1255[[#This Row],[CUIT]]="","-",VLOOKUP(ventas_b_mes1255[[#This Row],[CUIT]],Lista_CUIT[#All],2,0)),"CUIT NO CARGADO")</f>
        <v>-</v>
      </c>
      <c r="H2170" s="100">
        <f>ventas_b_mes1255[[#This Row],[TOTAL]]/1.21</f>
        <v>0</v>
      </c>
      <c r="I2170" s="64">
        <f>ventas_b_mes1255[[#This Row],[IMPORTE NETO]]*0.21</f>
        <v>0</v>
      </c>
      <c r="J2170" s="184"/>
      <c r="K2170" s="184"/>
      <c r="L2170" s="184"/>
      <c r="M2170" s="59"/>
    </row>
    <row r="2171" spans="2:13" x14ac:dyDescent="0.3">
      <c r="B2171" s="178"/>
      <c r="C2171" s="41"/>
      <c r="D2171" s="180"/>
      <c r="E2171" s="181"/>
      <c r="F2171" s="182"/>
      <c r="G2171" s="1" t="str">
        <f>IFERROR(IF(ventas_b_mes1255[[#This Row],[CUIT]]="","-",VLOOKUP(ventas_b_mes1255[[#This Row],[CUIT]],Lista_CUIT[#All],2,0)),"CUIT NO CARGADO")</f>
        <v>-</v>
      </c>
      <c r="H2171" s="100">
        <f>ventas_b_mes1255[[#This Row],[TOTAL]]/1.21</f>
        <v>0</v>
      </c>
      <c r="I2171" s="64">
        <f>ventas_b_mes1255[[#This Row],[IMPORTE NETO]]*0.21</f>
        <v>0</v>
      </c>
      <c r="J2171" s="184"/>
      <c r="K2171" s="184"/>
      <c r="L2171" s="184"/>
      <c r="M2171" s="59"/>
    </row>
    <row r="2172" spans="2:13" x14ac:dyDescent="0.3">
      <c r="B2172" s="178"/>
      <c r="C2172" s="41"/>
      <c r="D2172" s="180"/>
      <c r="E2172" s="181"/>
      <c r="F2172" s="182"/>
      <c r="G2172" s="1" t="str">
        <f>IFERROR(IF(ventas_b_mes1255[[#This Row],[CUIT]]="","-",VLOOKUP(ventas_b_mes1255[[#This Row],[CUIT]],Lista_CUIT[#All],2,0)),"CUIT NO CARGADO")</f>
        <v>-</v>
      </c>
      <c r="H2172" s="100">
        <f>ventas_b_mes1255[[#This Row],[TOTAL]]/1.21</f>
        <v>0</v>
      </c>
      <c r="I2172" s="64">
        <f>ventas_b_mes1255[[#This Row],[IMPORTE NETO]]*0.21</f>
        <v>0</v>
      </c>
      <c r="J2172" s="184"/>
      <c r="K2172" s="184"/>
      <c r="L2172" s="184"/>
      <c r="M2172" s="59"/>
    </row>
    <row r="2173" spans="2:13" x14ac:dyDescent="0.3">
      <c r="B2173" s="178"/>
      <c r="C2173" s="41"/>
      <c r="D2173" s="180"/>
      <c r="E2173" s="181"/>
      <c r="F2173" s="182"/>
      <c r="G2173" s="1" t="str">
        <f>IFERROR(IF(ventas_b_mes1255[[#This Row],[CUIT]]="","-",VLOOKUP(ventas_b_mes1255[[#This Row],[CUIT]],Lista_CUIT[#All],2,0)),"CUIT NO CARGADO")</f>
        <v>-</v>
      </c>
      <c r="H2173" s="100">
        <f>ventas_b_mes1255[[#This Row],[TOTAL]]/1.21</f>
        <v>0</v>
      </c>
      <c r="I2173" s="64">
        <f>ventas_b_mes1255[[#This Row],[IMPORTE NETO]]*0.21</f>
        <v>0</v>
      </c>
      <c r="J2173" s="184"/>
      <c r="K2173" s="184"/>
      <c r="L2173" s="184"/>
      <c r="M2173" s="59"/>
    </row>
    <row r="2174" spans="2:13" x14ac:dyDescent="0.3">
      <c r="B2174" s="178"/>
      <c r="C2174" s="41"/>
      <c r="D2174" s="180"/>
      <c r="E2174" s="181"/>
      <c r="F2174" s="182"/>
      <c r="G2174" s="1" t="str">
        <f>IFERROR(IF(ventas_b_mes1255[[#This Row],[CUIT]]="","-",VLOOKUP(ventas_b_mes1255[[#This Row],[CUIT]],Lista_CUIT[#All],2,0)),"CUIT NO CARGADO")</f>
        <v>-</v>
      </c>
      <c r="H2174" s="100">
        <f>ventas_b_mes1255[[#This Row],[TOTAL]]/1.21</f>
        <v>0</v>
      </c>
      <c r="I2174" s="64">
        <f>ventas_b_mes1255[[#This Row],[IMPORTE NETO]]*0.21</f>
        <v>0</v>
      </c>
      <c r="J2174" s="184"/>
      <c r="K2174" s="184"/>
      <c r="L2174" s="184"/>
      <c r="M2174" s="59"/>
    </row>
    <row r="2175" spans="2:13" x14ac:dyDescent="0.3">
      <c r="B2175" s="178"/>
      <c r="C2175" s="41"/>
      <c r="D2175" s="180"/>
      <c r="E2175" s="181"/>
      <c r="F2175" s="182"/>
      <c r="G2175" s="1" t="str">
        <f>IFERROR(IF(ventas_b_mes1255[[#This Row],[CUIT]]="","-",VLOOKUP(ventas_b_mes1255[[#This Row],[CUIT]],Lista_CUIT[#All],2,0)),"CUIT NO CARGADO")</f>
        <v>-</v>
      </c>
      <c r="H2175" s="100">
        <f>ventas_b_mes1255[[#This Row],[TOTAL]]/1.21</f>
        <v>0</v>
      </c>
      <c r="I2175" s="64">
        <f>ventas_b_mes1255[[#This Row],[IMPORTE NETO]]*0.21</f>
        <v>0</v>
      </c>
      <c r="J2175" s="184"/>
      <c r="K2175" s="184"/>
      <c r="L2175" s="184"/>
      <c r="M2175" s="59"/>
    </row>
    <row r="2176" spans="2:13" x14ac:dyDescent="0.3">
      <c r="B2176" s="178"/>
      <c r="C2176" s="41"/>
      <c r="D2176" s="180"/>
      <c r="E2176" s="181"/>
      <c r="F2176" s="182"/>
      <c r="G2176" s="1" t="str">
        <f>IFERROR(IF(ventas_b_mes1255[[#This Row],[CUIT]]="","-",VLOOKUP(ventas_b_mes1255[[#This Row],[CUIT]],Lista_CUIT[#All],2,0)),"CUIT NO CARGADO")</f>
        <v>-</v>
      </c>
      <c r="H2176" s="100">
        <f>ventas_b_mes1255[[#This Row],[TOTAL]]/1.21</f>
        <v>0</v>
      </c>
      <c r="I2176" s="64">
        <f>ventas_b_mes1255[[#This Row],[IMPORTE NETO]]*0.21</f>
        <v>0</v>
      </c>
      <c r="J2176" s="184"/>
      <c r="K2176" s="184"/>
      <c r="L2176" s="184"/>
      <c r="M2176" s="59"/>
    </row>
    <row r="2177" spans="2:13" x14ac:dyDescent="0.3">
      <c r="B2177" s="178"/>
      <c r="C2177" s="41"/>
      <c r="D2177" s="180"/>
      <c r="E2177" s="181"/>
      <c r="F2177" s="182"/>
      <c r="G2177" s="1" t="str">
        <f>IFERROR(IF(ventas_b_mes1255[[#This Row],[CUIT]]="","-",VLOOKUP(ventas_b_mes1255[[#This Row],[CUIT]],Lista_CUIT[#All],2,0)),"CUIT NO CARGADO")</f>
        <v>-</v>
      </c>
      <c r="H2177" s="100">
        <f>ventas_b_mes1255[[#This Row],[TOTAL]]/1.21</f>
        <v>0</v>
      </c>
      <c r="I2177" s="64">
        <f>ventas_b_mes1255[[#This Row],[IMPORTE NETO]]*0.21</f>
        <v>0</v>
      </c>
      <c r="J2177" s="184"/>
      <c r="K2177" s="184"/>
      <c r="L2177" s="184"/>
      <c r="M2177" s="59"/>
    </row>
    <row r="2178" spans="2:13" x14ac:dyDescent="0.3">
      <c r="B2178" s="178"/>
      <c r="C2178" s="41"/>
      <c r="D2178" s="180"/>
      <c r="E2178" s="181"/>
      <c r="F2178" s="182"/>
      <c r="G2178" s="1" t="str">
        <f>IFERROR(IF(ventas_b_mes1255[[#This Row],[CUIT]]="","-",VLOOKUP(ventas_b_mes1255[[#This Row],[CUIT]],Lista_CUIT[#All],2,0)),"CUIT NO CARGADO")</f>
        <v>-</v>
      </c>
      <c r="H2178" s="100">
        <f>ventas_b_mes1255[[#This Row],[TOTAL]]/1.21</f>
        <v>0</v>
      </c>
      <c r="I2178" s="64">
        <f>ventas_b_mes1255[[#This Row],[IMPORTE NETO]]*0.21</f>
        <v>0</v>
      </c>
      <c r="J2178" s="184"/>
      <c r="K2178" s="184"/>
      <c r="L2178" s="184"/>
      <c r="M2178" s="59"/>
    </row>
    <row r="2179" spans="2:13" x14ac:dyDescent="0.3">
      <c r="B2179" s="178"/>
      <c r="C2179" s="41"/>
      <c r="D2179" s="180"/>
      <c r="E2179" s="181"/>
      <c r="F2179" s="182"/>
      <c r="G2179" s="1" t="str">
        <f>IFERROR(IF(ventas_b_mes1255[[#This Row],[CUIT]]="","-",VLOOKUP(ventas_b_mes1255[[#This Row],[CUIT]],Lista_CUIT[#All],2,0)),"CUIT NO CARGADO")</f>
        <v>-</v>
      </c>
      <c r="H2179" s="100">
        <f>ventas_b_mes1255[[#This Row],[TOTAL]]/1.21</f>
        <v>0</v>
      </c>
      <c r="I2179" s="64">
        <f>ventas_b_mes1255[[#This Row],[IMPORTE NETO]]*0.21</f>
        <v>0</v>
      </c>
      <c r="J2179" s="184"/>
      <c r="K2179" s="184"/>
      <c r="L2179" s="184"/>
      <c r="M2179" s="59"/>
    </row>
    <row r="2180" spans="2:13" x14ac:dyDescent="0.3">
      <c r="B2180" s="178"/>
      <c r="C2180" s="41"/>
      <c r="D2180" s="180"/>
      <c r="E2180" s="181"/>
      <c r="F2180" s="182"/>
      <c r="G2180" s="1" t="str">
        <f>IFERROR(IF(ventas_b_mes1255[[#This Row],[CUIT]]="","-",VLOOKUP(ventas_b_mes1255[[#This Row],[CUIT]],Lista_CUIT[#All],2,0)),"CUIT NO CARGADO")</f>
        <v>-</v>
      </c>
      <c r="H2180" s="100">
        <f>ventas_b_mes1255[[#This Row],[TOTAL]]/1.21</f>
        <v>0</v>
      </c>
      <c r="I2180" s="64">
        <f>ventas_b_mes1255[[#This Row],[IMPORTE NETO]]*0.21</f>
        <v>0</v>
      </c>
      <c r="J2180" s="184"/>
      <c r="K2180" s="184"/>
      <c r="L2180" s="184"/>
      <c r="M2180" s="59"/>
    </row>
    <row r="2181" spans="2:13" x14ac:dyDescent="0.3">
      <c r="B2181" s="178"/>
      <c r="C2181" s="41"/>
      <c r="D2181" s="180"/>
      <c r="E2181" s="181"/>
      <c r="F2181" s="182"/>
      <c r="G2181" s="1" t="str">
        <f>IFERROR(IF(ventas_b_mes1255[[#This Row],[CUIT]]="","-",VLOOKUP(ventas_b_mes1255[[#This Row],[CUIT]],Lista_CUIT[#All],2,0)),"CUIT NO CARGADO")</f>
        <v>-</v>
      </c>
      <c r="H2181" s="100">
        <f>ventas_b_mes1255[[#This Row],[TOTAL]]/1.21</f>
        <v>0</v>
      </c>
      <c r="I2181" s="64">
        <f>ventas_b_mes1255[[#This Row],[IMPORTE NETO]]*0.21</f>
        <v>0</v>
      </c>
      <c r="J2181" s="184"/>
      <c r="K2181" s="184"/>
      <c r="L2181" s="184"/>
      <c r="M2181" s="59"/>
    </row>
    <row r="2182" spans="2:13" x14ac:dyDescent="0.3">
      <c r="B2182" s="178"/>
      <c r="C2182" s="41"/>
      <c r="D2182" s="180"/>
      <c r="E2182" s="181"/>
      <c r="F2182" s="182"/>
      <c r="G2182" s="1" t="str">
        <f>IFERROR(IF(ventas_b_mes1255[[#This Row],[CUIT]]="","-",VLOOKUP(ventas_b_mes1255[[#This Row],[CUIT]],Lista_CUIT[#All],2,0)),"CUIT NO CARGADO")</f>
        <v>-</v>
      </c>
      <c r="H2182" s="100">
        <f>ventas_b_mes1255[[#This Row],[TOTAL]]/1.21</f>
        <v>0</v>
      </c>
      <c r="I2182" s="64">
        <f>ventas_b_mes1255[[#This Row],[IMPORTE NETO]]*0.21</f>
        <v>0</v>
      </c>
      <c r="J2182" s="184"/>
      <c r="K2182" s="184"/>
      <c r="L2182" s="184"/>
      <c r="M2182" s="59"/>
    </row>
    <row r="2183" spans="2:13" x14ac:dyDescent="0.3">
      <c r="B2183" s="178"/>
      <c r="C2183" s="41"/>
      <c r="D2183" s="180"/>
      <c r="E2183" s="181"/>
      <c r="F2183" s="182"/>
      <c r="G2183" s="1" t="str">
        <f>IFERROR(IF(ventas_b_mes1255[[#This Row],[CUIT]]="","-",VLOOKUP(ventas_b_mes1255[[#This Row],[CUIT]],Lista_CUIT[#All],2,0)),"CUIT NO CARGADO")</f>
        <v>-</v>
      </c>
      <c r="H2183" s="100">
        <f>ventas_b_mes1255[[#This Row],[TOTAL]]/1.21</f>
        <v>0</v>
      </c>
      <c r="I2183" s="64">
        <f>ventas_b_mes1255[[#This Row],[IMPORTE NETO]]*0.21</f>
        <v>0</v>
      </c>
      <c r="J2183" s="184"/>
      <c r="K2183" s="184"/>
      <c r="L2183" s="184"/>
      <c r="M2183" s="59"/>
    </row>
    <row r="2184" spans="2:13" x14ac:dyDescent="0.3">
      <c r="B2184" s="178"/>
      <c r="C2184" s="41"/>
      <c r="D2184" s="180"/>
      <c r="E2184" s="181"/>
      <c r="F2184" s="182"/>
      <c r="G2184" s="1" t="str">
        <f>IFERROR(IF(ventas_b_mes1255[[#This Row],[CUIT]]="","-",VLOOKUP(ventas_b_mes1255[[#This Row],[CUIT]],Lista_CUIT[#All],2,0)),"CUIT NO CARGADO")</f>
        <v>-</v>
      </c>
      <c r="H2184" s="100">
        <f>ventas_b_mes1255[[#This Row],[TOTAL]]/1.21</f>
        <v>0</v>
      </c>
      <c r="I2184" s="64">
        <f>ventas_b_mes1255[[#This Row],[IMPORTE NETO]]*0.21</f>
        <v>0</v>
      </c>
      <c r="J2184" s="184"/>
      <c r="K2184" s="184"/>
      <c r="L2184" s="184"/>
      <c r="M2184" s="59"/>
    </row>
    <row r="2185" spans="2:13" x14ac:dyDescent="0.3">
      <c r="B2185" s="178"/>
      <c r="C2185" s="41"/>
      <c r="D2185" s="180"/>
      <c r="E2185" s="181"/>
      <c r="F2185" s="182"/>
      <c r="G2185" s="1" t="str">
        <f>IFERROR(IF(ventas_b_mes1255[[#This Row],[CUIT]]="","-",VLOOKUP(ventas_b_mes1255[[#This Row],[CUIT]],Lista_CUIT[#All],2,0)),"CUIT NO CARGADO")</f>
        <v>-</v>
      </c>
      <c r="H2185" s="100">
        <f>ventas_b_mes1255[[#This Row],[TOTAL]]/1.21</f>
        <v>0</v>
      </c>
      <c r="I2185" s="64">
        <f>ventas_b_mes1255[[#This Row],[IMPORTE NETO]]*0.21</f>
        <v>0</v>
      </c>
      <c r="J2185" s="184"/>
      <c r="K2185" s="184"/>
      <c r="L2185" s="184"/>
      <c r="M2185" s="59"/>
    </row>
    <row r="2186" spans="2:13" x14ac:dyDescent="0.3">
      <c r="B2186" s="178"/>
      <c r="C2186" s="41"/>
      <c r="D2186" s="180"/>
      <c r="E2186" s="181"/>
      <c r="F2186" s="182"/>
      <c r="G2186" s="1" t="str">
        <f>IFERROR(IF(ventas_b_mes1255[[#This Row],[CUIT]]="","-",VLOOKUP(ventas_b_mes1255[[#This Row],[CUIT]],Lista_CUIT[#All],2,0)),"CUIT NO CARGADO")</f>
        <v>-</v>
      </c>
      <c r="H2186" s="100">
        <f>ventas_b_mes1255[[#This Row],[TOTAL]]/1.21</f>
        <v>0</v>
      </c>
      <c r="I2186" s="64">
        <f>ventas_b_mes1255[[#This Row],[IMPORTE NETO]]*0.21</f>
        <v>0</v>
      </c>
      <c r="J2186" s="184"/>
      <c r="K2186" s="184"/>
      <c r="L2186" s="184"/>
      <c r="M2186" s="59"/>
    </row>
    <row r="2187" spans="2:13" x14ac:dyDescent="0.3">
      <c r="B2187" s="178"/>
      <c r="C2187" s="41"/>
      <c r="D2187" s="180"/>
      <c r="E2187" s="181"/>
      <c r="F2187" s="182"/>
      <c r="G2187" s="1" t="str">
        <f>IFERROR(IF(ventas_b_mes1255[[#This Row],[CUIT]]="","-",VLOOKUP(ventas_b_mes1255[[#This Row],[CUIT]],Lista_CUIT[#All],2,0)),"CUIT NO CARGADO")</f>
        <v>-</v>
      </c>
      <c r="H2187" s="100">
        <f>ventas_b_mes1255[[#This Row],[TOTAL]]/1.21</f>
        <v>0</v>
      </c>
      <c r="I2187" s="64">
        <f>ventas_b_mes1255[[#This Row],[IMPORTE NETO]]*0.21</f>
        <v>0</v>
      </c>
      <c r="J2187" s="184"/>
      <c r="K2187" s="184"/>
      <c r="L2187" s="184"/>
      <c r="M2187" s="59"/>
    </row>
    <row r="2188" spans="2:13" x14ac:dyDescent="0.3">
      <c r="B2188" s="178"/>
      <c r="C2188" s="41"/>
      <c r="D2188" s="180"/>
      <c r="E2188" s="181"/>
      <c r="F2188" s="182"/>
      <c r="G2188" s="1" t="str">
        <f>IFERROR(IF(ventas_b_mes1255[[#This Row],[CUIT]]="","-",VLOOKUP(ventas_b_mes1255[[#This Row],[CUIT]],Lista_CUIT[#All],2,0)),"CUIT NO CARGADO")</f>
        <v>-</v>
      </c>
      <c r="H2188" s="100">
        <f>ventas_b_mes1255[[#This Row],[TOTAL]]/1.21</f>
        <v>0</v>
      </c>
      <c r="I2188" s="64">
        <f>ventas_b_mes1255[[#This Row],[IMPORTE NETO]]*0.21</f>
        <v>0</v>
      </c>
      <c r="J2188" s="184"/>
      <c r="K2188" s="184"/>
      <c r="L2188" s="184"/>
      <c r="M2188" s="59"/>
    </row>
    <row r="2189" spans="2:13" x14ac:dyDescent="0.3">
      <c r="B2189" s="178"/>
      <c r="C2189" s="41"/>
      <c r="D2189" s="180"/>
      <c r="E2189" s="181"/>
      <c r="F2189" s="182"/>
      <c r="G2189" s="1" t="str">
        <f>IFERROR(IF(ventas_b_mes1255[[#This Row],[CUIT]]="","-",VLOOKUP(ventas_b_mes1255[[#This Row],[CUIT]],Lista_CUIT[#All],2,0)),"CUIT NO CARGADO")</f>
        <v>-</v>
      </c>
      <c r="H2189" s="100">
        <f>ventas_b_mes1255[[#This Row],[TOTAL]]/1.21</f>
        <v>0</v>
      </c>
      <c r="I2189" s="64">
        <f>ventas_b_mes1255[[#This Row],[IMPORTE NETO]]*0.21</f>
        <v>0</v>
      </c>
      <c r="J2189" s="184"/>
      <c r="K2189" s="184"/>
      <c r="L2189" s="184"/>
      <c r="M2189" s="59"/>
    </row>
    <row r="2190" spans="2:13" x14ac:dyDescent="0.3">
      <c r="B2190" s="178"/>
      <c r="C2190" s="41"/>
      <c r="D2190" s="180"/>
      <c r="E2190" s="181"/>
      <c r="F2190" s="182"/>
      <c r="G2190" s="1" t="str">
        <f>IFERROR(IF(ventas_b_mes1255[[#This Row],[CUIT]]="","-",VLOOKUP(ventas_b_mes1255[[#This Row],[CUIT]],Lista_CUIT[#All],2,0)),"CUIT NO CARGADO")</f>
        <v>-</v>
      </c>
      <c r="H2190" s="100">
        <f>ventas_b_mes1255[[#This Row],[TOTAL]]/1.21</f>
        <v>0</v>
      </c>
      <c r="I2190" s="64">
        <f>ventas_b_mes1255[[#This Row],[IMPORTE NETO]]*0.21</f>
        <v>0</v>
      </c>
      <c r="J2190" s="184"/>
      <c r="K2190" s="184"/>
      <c r="L2190" s="184"/>
      <c r="M2190" s="59"/>
    </row>
    <row r="2191" spans="2:13" x14ac:dyDescent="0.3">
      <c r="B2191" s="178"/>
      <c r="C2191" s="41"/>
      <c r="D2191" s="180"/>
      <c r="E2191" s="181"/>
      <c r="F2191" s="182"/>
      <c r="G2191" s="1" t="str">
        <f>IFERROR(IF(ventas_b_mes1255[[#This Row],[CUIT]]="","-",VLOOKUP(ventas_b_mes1255[[#This Row],[CUIT]],Lista_CUIT[#All],2,0)),"CUIT NO CARGADO")</f>
        <v>-</v>
      </c>
      <c r="H2191" s="100">
        <f>ventas_b_mes1255[[#This Row],[TOTAL]]/1.21</f>
        <v>0</v>
      </c>
      <c r="I2191" s="64">
        <f>ventas_b_mes1255[[#This Row],[IMPORTE NETO]]*0.21</f>
        <v>0</v>
      </c>
      <c r="J2191" s="184"/>
      <c r="K2191" s="184"/>
      <c r="L2191" s="184"/>
      <c r="M2191" s="59"/>
    </row>
    <row r="2192" spans="2:13" x14ac:dyDescent="0.3">
      <c r="B2192" s="178"/>
      <c r="C2192" s="41"/>
      <c r="D2192" s="180"/>
      <c r="E2192" s="181"/>
      <c r="F2192" s="182"/>
      <c r="G2192" s="1" t="str">
        <f>IFERROR(IF(ventas_b_mes1255[[#This Row],[CUIT]]="","-",VLOOKUP(ventas_b_mes1255[[#This Row],[CUIT]],Lista_CUIT[#All],2,0)),"CUIT NO CARGADO")</f>
        <v>-</v>
      </c>
      <c r="H2192" s="100">
        <f>ventas_b_mes1255[[#This Row],[TOTAL]]/1.21</f>
        <v>0</v>
      </c>
      <c r="I2192" s="64">
        <f>ventas_b_mes1255[[#This Row],[IMPORTE NETO]]*0.21</f>
        <v>0</v>
      </c>
      <c r="J2192" s="184"/>
      <c r="K2192" s="184"/>
      <c r="L2192" s="184"/>
      <c r="M2192" s="59"/>
    </row>
    <row r="2193" spans="2:13" x14ac:dyDescent="0.3">
      <c r="B2193" s="178"/>
      <c r="C2193" s="41"/>
      <c r="D2193" s="180"/>
      <c r="E2193" s="181"/>
      <c r="F2193" s="182"/>
      <c r="G2193" s="1" t="str">
        <f>IFERROR(IF(ventas_b_mes1255[[#This Row],[CUIT]]="","-",VLOOKUP(ventas_b_mes1255[[#This Row],[CUIT]],Lista_CUIT[#All],2,0)),"CUIT NO CARGADO")</f>
        <v>-</v>
      </c>
      <c r="H2193" s="100">
        <f>ventas_b_mes1255[[#This Row],[TOTAL]]/1.21</f>
        <v>0</v>
      </c>
      <c r="I2193" s="64">
        <f>ventas_b_mes1255[[#This Row],[IMPORTE NETO]]*0.21</f>
        <v>0</v>
      </c>
      <c r="J2193" s="184"/>
      <c r="K2193" s="184"/>
      <c r="L2193" s="184"/>
      <c r="M2193" s="59"/>
    </row>
    <row r="2194" spans="2:13" x14ac:dyDescent="0.3">
      <c r="B2194" s="178"/>
      <c r="C2194" s="41"/>
      <c r="D2194" s="180"/>
      <c r="E2194" s="181"/>
      <c r="F2194" s="182"/>
      <c r="G2194" s="1" t="str">
        <f>IFERROR(IF(ventas_b_mes1255[[#This Row],[CUIT]]="","-",VLOOKUP(ventas_b_mes1255[[#This Row],[CUIT]],Lista_CUIT[#All],2,0)),"CUIT NO CARGADO")</f>
        <v>-</v>
      </c>
      <c r="H2194" s="100">
        <f>ventas_b_mes1255[[#This Row],[TOTAL]]/1.21</f>
        <v>0</v>
      </c>
      <c r="I2194" s="64">
        <f>ventas_b_mes1255[[#This Row],[IMPORTE NETO]]*0.21</f>
        <v>0</v>
      </c>
      <c r="J2194" s="184"/>
      <c r="K2194" s="184"/>
      <c r="L2194" s="184"/>
      <c r="M2194" s="59"/>
    </row>
    <row r="2195" spans="2:13" x14ac:dyDescent="0.3">
      <c r="B2195" s="178"/>
      <c r="C2195" s="41"/>
      <c r="D2195" s="180"/>
      <c r="E2195" s="181"/>
      <c r="F2195" s="182"/>
      <c r="G2195" s="1" t="str">
        <f>IFERROR(IF(ventas_b_mes1255[[#This Row],[CUIT]]="","-",VLOOKUP(ventas_b_mes1255[[#This Row],[CUIT]],Lista_CUIT[#All],2,0)),"CUIT NO CARGADO")</f>
        <v>-</v>
      </c>
      <c r="H2195" s="100">
        <f>ventas_b_mes1255[[#This Row],[TOTAL]]/1.21</f>
        <v>0</v>
      </c>
      <c r="I2195" s="64">
        <f>ventas_b_mes1255[[#This Row],[IMPORTE NETO]]*0.21</f>
        <v>0</v>
      </c>
      <c r="J2195" s="184"/>
      <c r="K2195" s="184"/>
      <c r="L2195" s="184"/>
      <c r="M2195" s="59"/>
    </row>
    <row r="2196" spans="2:13" x14ac:dyDescent="0.3">
      <c r="B2196" s="178"/>
      <c r="C2196" s="41"/>
      <c r="D2196" s="180"/>
      <c r="E2196" s="181"/>
      <c r="F2196" s="182"/>
      <c r="G2196" s="1" t="str">
        <f>IFERROR(IF(ventas_b_mes1255[[#This Row],[CUIT]]="","-",VLOOKUP(ventas_b_mes1255[[#This Row],[CUIT]],Lista_CUIT[#All],2,0)),"CUIT NO CARGADO")</f>
        <v>-</v>
      </c>
      <c r="H2196" s="100">
        <f>ventas_b_mes1255[[#This Row],[TOTAL]]/1.21</f>
        <v>0</v>
      </c>
      <c r="I2196" s="64">
        <f>ventas_b_mes1255[[#This Row],[IMPORTE NETO]]*0.21</f>
        <v>0</v>
      </c>
      <c r="J2196" s="184"/>
      <c r="K2196" s="184"/>
      <c r="L2196" s="184"/>
      <c r="M2196" s="59"/>
    </row>
    <row r="2197" spans="2:13" x14ac:dyDescent="0.3">
      <c r="B2197" s="178"/>
      <c r="C2197" s="41"/>
      <c r="D2197" s="180"/>
      <c r="E2197" s="181"/>
      <c r="F2197" s="182"/>
      <c r="G2197" s="1" t="str">
        <f>IFERROR(IF(ventas_b_mes1255[[#This Row],[CUIT]]="","-",VLOOKUP(ventas_b_mes1255[[#This Row],[CUIT]],Lista_CUIT[#All],2,0)),"CUIT NO CARGADO")</f>
        <v>-</v>
      </c>
      <c r="H2197" s="100">
        <f>ventas_b_mes1255[[#This Row],[TOTAL]]/1.21</f>
        <v>0</v>
      </c>
      <c r="I2197" s="64">
        <f>ventas_b_mes1255[[#This Row],[IMPORTE NETO]]*0.21</f>
        <v>0</v>
      </c>
      <c r="J2197" s="184"/>
      <c r="K2197" s="184"/>
      <c r="L2197" s="184"/>
      <c r="M2197" s="59"/>
    </row>
    <row r="2198" spans="2:13" x14ac:dyDescent="0.3">
      <c r="B2198" s="178"/>
      <c r="C2198" s="41"/>
      <c r="D2198" s="180"/>
      <c r="E2198" s="181"/>
      <c r="F2198" s="182"/>
      <c r="G2198" s="1" t="str">
        <f>IFERROR(IF(ventas_b_mes1255[[#This Row],[CUIT]]="","-",VLOOKUP(ventas_b_mes1255[[#This Row],[CUIT]],Lista_CUIT[#All],2,0)),"CUIT NO CARGADO")</f>
        <v>-</v>
      </c>
      <c r="H2198" s="100">
        <f>ventas_b_mes1255[[#This Row],[TOTAL]]/1.21</f>
        <v>0</v>
      </c>
      <c r="I2198" s="64">
        <f>ventas_b_mes1255[[#This Row],[IMPORTE NETO]]*0.21</f>
        <v>0</v>
      </c>
      <c r="J2198" s="184"/>
      <c r="K2198" s="184"/>
      <c r="L2198" s="184"/>
      <c r="M2198" s="59"/>
    </row>
    <row r="2199" spans="2:13" x14ac:dyDescent="0.3">
      <c r="B2199" s="178"/>
      <c r="C2199" s="41"/>
      <c r="D2199" s="180"/>
      <c r="E2199" s="181"/>
      <c r="F2199" s="182"/>
      <c r="G2199" s="1" t="str">
        <f>IFERROR(IF(ventas_b_mes1255[[#This Row],[CUIT]]="","-",VLOOKUP(ventas_b_mes1255[[#This Row],[CUIT]],Lista_CUIT[#All],2,0)),"CUIT NO CARGADO")</f>
        <v>-</v>
      </c>
      <c r="H2199" s="100">
        <f>ventas_b_mes1255[[#This Row],[TOTAL]]/1.21</f>
        <v>0</v>
      </c>
      <c r="I2199" s="64">
        <f>ventas_b_mes1255[[#This Row],[IMPORTE NETO]]*0.21</f>
        <v>0</v>
      </c>
      <c r="J2199" s="184"/>
      <c r="K2199" s="184"/>
      <c r="L2199" s="184"/>
      <c r="M2199" s="59"/>
    </row>
    <row r="2200" spans="2:13" x14ac:dyDescent="0.3">
      <c r="B2200" s="178"/>
      <c r="C2200" s="41"/>
      <c r="D2200" s="180"/>
      <c r="E2200" s="181"/>
      <c r="F2200" s="182"/>
      <c r="G2200" s="1" t="str">
        <f>IFERROR(IF(ventas_b_mes1255[[#This Row],[CUIT]]="","-",VLOOKUP(ventas_b_mes1255[[#This Row],[CUIT]],Lista_CUIT[#All],2,0)),"CUIT NO CARGADO")</f>
        <v>-</v>
      </c>
      <c r="H2200" s="100">
        <f>ventas_b_mes1255[[#This Row],[TOTAL]]/1.21</f>
        <v>0</v>
      </c>
      <c r="I2200" s="64">
        <f>ventas_b_mes1255[[#This Row],[IMPORTE NETO]]*0.21</f>
        <v>0</v>
      </c>
      <c r="J2200" s="184"/>
      <c r="K2200" s="184"/>
      <c r="L2200" s="184"/>
      <c r="M2200" s="59"/>
    </row>
    <row r="2201" spans="2:13" x14ac:dyDescent="0.3">
      <c r="B2201" s="178"/>
      <c r="C2201" s="41"/>
      <c r="D2201" s="180"/>
      <c r="E2201" s="181"/>
      <c r="F2201" s="182"/>
      <c r="G2201" s="1" t="str">
        <f>IFERROR(IF(ventas_b_mes1255[[#This Row],[CUIT]]="","-",VLOOKUP(ventas_b_mes1255[[#This Row],[CUIT]],Lista_CUIT[#All],2,0)),"CUIT NO CARGADO")</f>
        <v>-</v>
      </c>
      <c r="H2201" s="100">
        <f>ventas_b_mes1255[[#This Row],[TOTAL]]/1.21</f>
        <v>0</v>
      </c>
      <c r="I2201" s="64">
        <f>ventas_b_mes1255[[#This Row],[IMPORTE NETO]]*0.21</f>
        <v>0</v>
      </c>
      <c r="J2201" s="184"/>
      <c r="K2201" s="184"/>
      <c r="L2201" s="184"/>
      <c r="M2201" s="59"/>
    </row>
    <row r="2202" spans="2:13" x14ac:dyDescent="0.3">
      <c r="B2202" s="178"/>
      <c r="C2202" s="41"/>
      <c r="D2202" s="180"/>
      <c r="E2202" s="181"/>
      <c r="F2202" s="182"/>
      <c r="G2202" s="1" t="str">
        <f>IFERROR(IF(ventas_b_mes1255[[#This Row],[CUIT]]="","-",VLOOKUP(ventas_b_mes1255[[#This Row],[CUIT]],Lista_CUIT[#All],2,0)),"CUIT NO CARGADO")</f>
        <v>-</v>
      </c>
      <c r="H2202" s="100">
        <f>ventas_b_mes1255[[#This Row],[TOTAL]]/1.21</f>
        <v>0</v>
      </c>
      <c r="I2202" s="64">
        <f>ventas_b_mes1255[[#This Row],[IMPORTE NETO]]*0.21</f>
        <v>0</v>
      </c>
      <c r="J2202" s="184"/>
      <c r="K2202" s="184"/>
      <c r="L2202" s="184"/>
      <c r="M2202" s="59"/>
    </row>
    <row r="2203" spans="2:13" x14ac:dyDescent="0.3">
      <c r="B2203" s="178"/>
      <c r="C2203" s="41"/>
      <c r="D2203" s="180"/>
      <c r="E2203" s="181"/>
      <c r="F2203" s="182"/>
      <c r="G2203" s="1" t="str">
        <f>IFERROR(IF(ventas_b_mes1255[[#This Row],[CUIT]]="","-",VLOOKUP(ventas_b_mes1255[[#This Row],[CUIT]],Lista_CUIT[#All],2,0)),"CUIT NO CARGADO")</f>
        <v>-</v>
      </c>
      <c r="H2203" s="100">
        <f>ventas_b_mes1255[[#This Row],[TOTAL]]/1.21</f>
        <v>0</v>
      </c>
      <c r="I2203" s="64">
        <f>ventas_b_mes1255[[#This Row],[IMPORTE NETO]]*0.21</f>
        <v>0</v>
      </c>
      <c r="J2203" s="184"/>
      <c r="K2203" s="184"/>
      <c r="L2203" s="184"/>
      <c r="M2203" s="59"/>
    </row>
    <row r="2204" spans="2:13" x14ac:dyDescent="0.3">
      <c r="B2204" s="178"/>
      <c r="C2204" s="41"/>
      <c r="D2204" s="180"/>
      <c r="E2204" s="181"/>
      <c r="F2204" s="182"/>
      <c r="G2204" s="1" t="str">
        <f>IFERROR(IF(ventas_b_mes1255[[#This Row],[CUIT]]="","-",VLOOKUP(ventas_b_mes1255[[#This Row],[CUIT]],Lista_CUIT[#All],2,0)),"CUIT NO CARGADO")</f>
        <v>-</v>
      </c>
      <c r="H2204" s="100">
        <f>ventas_b_mes1255[[#This Row],[TOTAL]]/1.21</f>
        <v>0</v>
      </c>
      <c r="I2204" s="64">
        <f>ventas_b_mes1255[[#This Row],[IMPORTE NETO]]*0.21</f>
        <v>0</v>
      </c>
      <c r="J2204" s="184"/>
      <c r="K2204" s="184"/>
      <c r="L2204" s="184"/>
      <c r="M2204" s="59"/>
    </row>
    <row r="2205" spans="2:13" x14ac:dyDescent="0.3">
      <c r="B2205" s="178"/>
      <c r="C2205" s="41"/>
      <c r="D2205" s="180"/>
      <c r="E2205" s="181"/>
      <c r="F2205" s="182"/>
      <c r="G2205" s="1" t="str">
        <f>IFERROR(IF(ventas_b_mes1255[[#This Row],[CUIT]]="","-",VLOOKUP(ventas_b_mes1255[[#This Row],[CUIT]],Lista_CUIT[#All],2,0)),"CUIT NO CARGADO")</f>
        <v>-</v>
      </c>
      <c r="H2205" s="100">
        <f>ventas_b_mes1255[[#This Row],[TOTAL]]/1.21</f>
        <v>0</v>
      </c>
      <c r="I2205" s="64">
        <f>ventas_b_mes1255[[#This Row],[IMPORTE NETO]]*0.21</f>
        <v>0</v>
      </c>
      <c r="J2205" s="184"/>
      <c r="K2205" s="184"/>
      <c r="L2205" s="184"/>
      <c r="M2205" s="59"/>
    </row>
    <row r="2206" spans="2:13" x14ac:dyDescent="0.3">
      <c r="B2206" s="178"/>
      <c r="C2206" s="41"/>
      <c r="D2206" s="180"/>
      <c r="E2206" s="181"/>
      <c r="F2206" s="182"/>
      <c r="G2206" s="1" t="str">
        <f>IFERROR(IF(ventas_b_mes1255[[#This Row],[CUIT]]="","-",VLOOKUP(ventas_b_mes1255[[#This Row],[CUIT]],Lista_CUIT[#All],2,0)),"CUIT NO CARGADO")</f>
        <v>-</v>
      </c>
      <c r="H2206" s="100">
        <f>ventas_b_mes1255[[#This Row],[TOTAL]]/1.21</f>
        <v>0</v>
      </c>
      <c r="I2206" s="64">
        <f>ventas_b_mes1255[[#This Row],[IMPORTE NETO]]*0.21</f>
        <v>0</v>
      </c>
      <c r="J2206" s="184"/>
      <c r="K2206" s="184"/>
      <c r="L2206" s="184"/>
      <c r="M2206" s="59"/>
    </row>
    <row r="2207" spans="2:13" x14ac:dyDescent="0.3">
      <c r="B2207" s="178"/>
      <c r="C2207" s="41"/>
      <c r="D2207" s="180"/>
      <c r="E2207" s="181"/>
      <c r="F2207" s="182"/>
      <c r="G2207" s="1" t="str">
        <f>IFERROR(IF(ventas_b_mes1255[[#This Row],[CUIT]]="","-",VLOOKUP(ventas_b_mes1255[[#This Row],[CUIT]],Lista_CUIT[#All],2,0)),"CUIT NO CARGADO")</f>
        <v>-</v>
      </c>
      <c r="H2207" s="100">
        <f>ventas_b_mes1255[[#This Row],[TOTAL]]/1.21</f>
        <v>0</v>
      </c>
      <c r="I2207" s="64">
        <f>ventas_b_mes1255[[#This Row],[IMPORTE NETO]]*0.21</f>
        <v>0</v>
      </c>
      <c r="J2207" s="184"/>
      <c r="K2207" s="184"/>
      <c r="L2207" s="184"/>
      <c r="M2207" s="59"/>
    </row>
    <row r="2208" spans="2:13" x14ac:dyDescent="0.3">
      <c r="B2208" s="178"/>
      <c r="C2208" s="41"/>
      <c r="D2208" s="180"/>
      <c r="E2208" s="181"/>
      <c r="F2208" s="182"/>
      <c r="G2208" s="1" t="str">
        <f>IFERROR(IF(ventas_b_mes1255[[#This Row],[CUIT]]="","-",VLOOKUP(ventas_b_mes1255[[#This Row],[CUIT]],Lista_CUIT[#All],2,0)),"CUIT NO CARGADO")</f>
        <v>-</v>
      </c>
      <c r="H2208" s="100">
        <f>ventas_b_mes1255[[#This Row],[TOTAL]]/1.21</f>
        <v>0</v>
      </c>
      <c r="I2208" s="64">
        <f>ventas_b_mes1255[[#This Row],[IMPORTE NETO]]*0.21</f>
        <v>0</v>
      </c>
      <c r="J2208" s="184"/>
      <c r="K2208" s="184"/>
      <c r="L2208" s="184"/>
      <c r="M2208" s="59"/>
    </row>
    <row r="2209" spans="2:13" x14ac:dyDescent="0.3">
      <c r="B2209" s="178"/>
      <c r="C2209" s="41"/>
      <c r="D2209" s="180"/>
      <c r="E2209" s="181"/>
      <c r="F2209" s="182"/>
      <c r="G2209" s="1" t="str">
        <f>IFERROR(IF(ventas_b_mes1255[[#This Row],[CUIT]]="","-",VLOOKUP(ventas_b_mes1255[[#This Row],[CUIT]],Lista_CUIT[#All],2,0)),"CUIT NO CARGADO")</f>
        <v>-</v>
      </c>
      <c r="H2209" s="100">
        <f>ventas_b_mes1255[[#This Row],[TOTAL]]/1.21</f>
        <v>0</v>
      </c>
      <c r="I2209" s="64">
        <f>ventas_b_mes1255[[#This Row],[IMPORTE NETO]]*0.21</f>
        <v>0</v>
      </c>
      <c r="J2209" s="184"/>
      <c r="K2209" s="184"/>
      <c r="L2209" s="184"/>
      <c r="M2209" s="59"/>
    </row>
    <row r="2210" spans="2:13" x14ac:dyDescent="0.3">
      <c r="B2210" s="178"/>
      <c r="C2210" s="41"/>
      <c r="D2210" s="180"/>
      <c r="E2210" s="181"/>
      <c r="F2210" s="182"/>
      <c r="G2210" s="1" t="str">
        <f>IFERROR(IF(ventas_b_mes1255[[#This Row],[CUIT]]="","-",VLOOKUP(ventas_b_mes1255[[#This Row],[CUIT]],Lista_CUIT[#All],2,0)),"CUIT NO CARGADO")</f>
        <v>-</v>
      </c>
      <c r="H2210" s="100">
        <f>ventas_b_mes1255[[#This Row],[TOTAL]]/1.21</f>
        <v>0</v>
      </c>
      <c r="I2210" s="64">
        <f>ventas_b_mes1255[[#This Row],[IMPORTE NETO]]*0.21</f>
        <v>0</v>
      </c>
      <c r="J2210" s="184"/>
      <c r="K2210" s="184"/>
      <c r="L2210" s="184"/>
      <c r="M2210" s="59"/>
    </row>
    <row r="2211" spans="2:13" x14ac:dyDescent="0.3">
      <c r="B2211" s="178"/>
      <c r="C2211" s="41"/>
      <c r="D2211" s="180"/>
      <c r="E2211" s="181"/>
      <c r="F2211" s="182"/>
      <c r="G2211" s="1" t="str">
        <f>IFERROR(IF(ventas_b_mes1255[[#This Row],[CUIT]]="","-",VLOOKUP(ventas_b_mes1255[[#This Row],[CUIT]],Lista_CUIT[#All],2,0)),"CUIT NO CARGADO")</f>
        <v>-</v>
      </c>
      <c r="H2211" s="100">
        <f>ventas_b_mes1255[[#This Row],[TOTAL]]/1.21</f>
        <v>0</v>
      </c>
      <c r="I2211" s="64">
        <f>ventas_b_mes1255[[#This Row],[IMPORTE NETO]]*0.21</f>
        <v>0</v>
      </c>
      <c r="J2211" s="184"/>
      <c r="K2211" s="184"/>
      <c r="L2211" s="184"/>
      <c r="M2211" s="59"/>
    </row>
    <row r="2212" spans="2:13" x14ac:dyDescent="0.3">
      <c r="B2212" s="178"/>
      <c r="C2212" s="41"/>
      <c r="D2212" s="180"/>
      <c r="E2212" s="181"/>
      <c r="F2212" s="182"/>
      <c r="G2212" s="1" t="str">
        <f>IFERROR(IF(ventas_b_mes1255[[#This Row],[CUIT]]="","-",VLOOKUP(ventas_b_mes1255[[#This Row],[CUIT]],Lista_CUIT[#All],2,0)),"CUIT NO CARGADO")</f>
        <v>-</v>
      </c>
      <c r="H2212" s="100">
        <f>ventas_b_mes1255[[#This Row],[TOTAL]]/1.21</f>
        <v>0</v>
      </c>
      <c r="I2212" s="64">
        <f>ventas_b_mes1255[[#This Row],[IMPORTE NETO]]*0.21</f>
        <v>0</v>
      </c>
      <c r="J2212" s="184"/>
      <c r="K2212" s="184"/>
      <c r="L2212" s="184"/>
      <c r="M2212" s="59"/>
    </row>
    <row r="2213" spans="2:13" x14ac:dyDescent="0.3">
      <c r="B2213" s="178"/>
      <c r="C2213" s="41"/>
      <c r="D2213" s="180"/>
      <c r="E2213" s="181"/>
      <c r="F2213" s="182"/>
      <c r="G2213" s="1" t="str">
        <f>IFERROR(IF(ventas_b_mes1255[[#This Row],[CUIT]]="","-",VLOOKUP(ventas_b_mes1255[[#This Row],[CUIT]],Lista_CUIT[#All],2,0)),"CUIT NO CARGADO")</f>
        <v>-</v>
      </c>
      <c r="H2213" s="100">
        <f>ventas_b_mes1255[[#This Row],[TOTAL]]/1.21</f>
        <v>0</v>
      </c>
      <c r="I2213" s="64">
        <f>ventas_b_mes1255[[#This Row],[IMPORTE NETO]]*0.21</f>
        <v>0</v>
      </c>
      <c r="J2213" s="184"/>
      <c r="K2213" s="184"/>
      <c r="L2213" s="184"/>
      <c r="M2213" s="59"/>
    </row>
    <row r="2214" spans="2:13" x14ac:dyDescent="0.3">
      <c r="B2214" s="178"/>
      <c r="C2214" s="41"/>
      <c r="D2214" s="180"/>
      <c r="E2214" s="181"/>
      <c r="F2214" s="182"/>
      <c r="G2214" s="1" t="str">
        <f>IFERROR(IF(ventas_b_mes1255[[#This Row],[CUIT]]="","-",VLOOKUP(ventas_b_mes1255[[#This Row],[CUIT]],Lista_CUIT[#All],2,0)),"CUIT NO CARGADO")</f>
        <v>-</v>
      </c>
      <c r="H2214" s="100">
        <f>ventas_b_mes1255[[#This Row],[TOTAL]]/1.21</f>
        <v>0</v>
      </c>
      <c r="I2214" s="64">
        <f>ventas_b_mes1255[[#This Row],[IMPORTE NETO]]*0.21</f>
        <v>0</v>
      </c>
      <c r="J2214" s="184"/>
      <c r="K2214" s="184"/>
      <c r="L2214" s="184"/>
      <c r="M2214" s="59"/>
    </row>
    <row r="2215" spans="2:13" x14ac:dyDescent="0.3">
      <c r="B2215" s="178"/>
      <c r="C2215" s="41"/>
      <c r="D2215" s="180"/>
      <c r="E2215" s="181"/>
      <c r="F2215" s="182"/>
      <c r="G2215" s="1" t="str">
        <f>IFERROR(IF(ventas_b_mes1255[[#This Row],[CUIT]]="","-",VLOOKUP(ventas_b_mes1255[[#This Row],[CUIT]],Lista_CUIT[#All],2,0)),"CUIT NO CARGADO")</f>
        <v>-</v>
      </c>
      <c r="H2215" s="100">
        <f>ventas_b_mes1255[[#This Row],[TOTAL]]/1.21</f>
        <v>0</v>
      </c>
      <c r="I2215" s="64">
        <f>ventas_b_mes1255[[#This Row],[IMPORTE NETO]]*0.21</f>
        <v>0</v>
      </c>
      <c r="J2215" s="184"/>
      <c r="K2215" s="184"/>
      <c r="L2215" s="184"/>
      <c r="M2215" s="59"/>
    </row>
    <row r="2216" spans="2:13" x14ac:dyDescent="0.3">
      <c r="B2216" s="178"/>
      <c r="C2216" s="41"/>
      <c r="D2216" s="180"/>
      <c r="E2216" s="181"/>
      <c r="F2216" s="182"/>
      <c r="G2216" s="1" t="str">
        <f>IFERROR(IF(ventas_b_mes1255[[#This Row],[CUIT]]="","-",VLOOKUP(ventas_b_mes1255[[#This Row],[CUIT]],Lista_CUIT[#All],2,0)),"CUIT NO CARGADO")</f>
        <v>-</v>
      </c>
      <c r="H2216" s="100">
        <f>ventas_b_mes1255[[#This Row],[TOTAL]]/1.21</f>
        <v>0</v>
      </c>
      <c r="I2216" s="64">
        <f>ventas_b_mes1255[[#This Row],[IMPORTE NETO]]*0.21</f>
        <v>0</v>
      </c>
      <c r="J2216" s="184"/>
      <c r="K2216" s="184"/>
      <c r="L2216" s="184"/>
      <c r="M2216" s="59"/>
    </row>
    <row r="2217" spans="2:13" x14ac:dyDescent="0.3">
      <c r="B2217" s="178"/>
      <c r="C2217" s="41"/>
      <c r="D2217" s="180"/>
      <c r="E2217" s="181"/>
      <c r="F2217" s="182"/>
      <c r="G2217" s="1" t="str">
        <f>IFERROR(IF(ventas_b_mes1255[[#This Row],[CUIT]]="","-",VLOOKUP(ventas_b_mes1255[[#This Row],[CUIT]],Lista_CUIT[#All],2,0)),"CUIT NO CARGADO")</f>
        <v>-</v>
      </c>
      <c r="H2217" s="100">
        <f>ventas_b_mes1255[[#This Row],[TOTAL]]/1.21</f>
        <v>0</v>
      </c>
      <c r="I2217" s="64">
        <f>ventas_b_mes1255[[#This Row],[IMPORTE NETO]]*0.21</f>
        <v>0</v>
      </c>
      <c r="J2217" s="184"/>
      <c r="K2217" s="184"/>
      <c r="L2217" s="184"/>
      <c r="M2217" s="59"/>
    </row>
    <row r="2218" spans="2:13" x14ac:dyDescent="0.3">
      <c r="B2218" s="178"/>
      <c r="C2218" s="41"/>
      <c r="D2218" s="180"/>
      <c r="E2218" s="181"/>
      <c r="F2218" s="182"/>
      <c r="G2218" s="1" t="str">
        <f>IFERROR(IF(ventas_b_mes1255[[#This Row],[CUIT]]="","-",VLOOKUP(ventas_b_mes1255[[#This Row],[CUIT]],Lista_CUIT[#All],2,0)),"CUIT NO CARGADO")</f>
        <v>-</v>
      </c>
      <c r="H2218" s="100">
        <f>ventas_b_mes1255[[#This Row],[TOTAL]]/1.21</f>
        <v>0</v>
      </c>
      <c r="I2218" s="64">
        <f>ventas_b_mes1255[[#This Row],[IMPORTE NETO]]*0.21</f>
        <v>0</v>
      </c>
      <c r="J2218" s="184"/>
      <c r="K2218" s="184"/>
      <c r="L2218" s="184"/>
      <c r="M2218" s="59"/>
    </row>
    <row r="2219" spans="2:13" x14ac:dyDescent="0.3">
      <c r="B2219" s="178"/>
      <c r="C2219" s="41"/>
      <c r="D2219" s="180"/>
      <c r="E2219" s="181"/>
      <c r="F2219" s="182"/>
      <c r="G2219" s="1" t="str">
        <f>IFERROR(IF(ventas_b_mes1255[[#This Row],[CUIT]]="","-",VLOOKUP(ventas_b_mes1255[[#This Row],[CUIT]],Lista_CUIT[#All],2,0)),"CUIT NO CARGADO")</f>
        <v>-</v>
      </c>
      <c r="H2219" s="100">
        <f>ventas_b_mes1255[[#This Row],[TOTAL]]/1.21</f>
        <v>0</v>
      </c>
      <c r="I2219" s="64">
        <f>ventas_b_mes1255[[#This Row],[IMPORTE NETO]]*0.21</f>
        <v>0</v>
      </c>
      <c r="J2219" s="184"/>
      <c r="K2219" s="184"/>
      <c r="L2219" s="184"/>
      <c r="M2219" s="59"/>
    </row>
    <row r="2220" spans="2:13" x14ac:dyDescent="0.3">
      <c r="B2220" s="178"/>
      <c r="C2220" s="41"/>
      <c r="D2220" s="180"/>
      <c r="E2220" s="181"/>
      <c r="F2220" s="182"/>
      <c r="G2220" s="1" t="str">
        <f>IFERROR(IF(ventas_b_mes1255[[#This Row],[CUIT]]="","-",VLOOKUP(ventas_b_mes1255[[#This Row],[CUIT]],Lista_CUIT[#All],2,0)),"CUIT NO CARGADO")</f>
        <v>-</v>
      </c>
      <c r="H2220" s="100">
        <f>ventas_b_mes1255[[#This Row],[TOTAL]]/1.21</f>
        <v>0</v>
      </c>
      <c r="I2220" s="64">
        <f>ventas_b_mes1255[[#This Row],[IMPORTE NETO]]*0.21</f>
        <v>0</v>
      </c>
      <c r="J2220" s="184"/>
      <c r="K2220" s="184"/>
      <c r="L2220" s="184"/>
      <c r="M2220" s="59"/>
    </row>
    <row r="2221" spans="2:13" x14ac:dyDescent="0.3">
      <c r="B2221" s="178"/>
      <c r="C2221" s="41"/>
      <c r="D2221" s="180"/>
      <c r="E2221" s="181"/>
      <c r="F2221" s="182"/>
      <c r="G2221" s="1" t="str">
        <f>IFERROR(IF(ventas_b_mes1255[[#This Row],[CUIT]]="","-",VLOOKUP(ventas_b_mes1255[[#This Row],[CUIT]],Lista_CUIT[#All],2,0)),"CUIT NO CARGADO")</f>
        <v>-</v>
      </c>
      <c r="H2221" s="100">
        <f>ventas_b_mes1255[[#This Row],[TOTAL]]/1.21</f>
        <v>0</v>
      </c>
      <c r="I2221" s="64">
        <f>ventas_b_mes1255[[#This Row],[IMPORTE NETO]]*0.21</f>
        <v>0</v>
      </c>
      <c r="J2221" s="184"/>
      <c r="K2221" s="184"/>
      <c r="L2221" s="184"/>
      <c r="M2221" s="59"/>
    </row>
    <row r="2222" spans="2:13" x14ac:dyDescent="0.3">
      <c r="B2222" s="178"/>
      <c r="C2222" s="41"/>
      <c r="D2222" s="180"/>
      <c r="E2222" s="181"/>
      <c r="F2222" s="182"/>
      <c r="G2222" s="1" t="str">
        <f>IFERROR(IF(ventas_b_mes1255[[#This Row],[CUIT]]="","-",VLOOKUP(ventas_b_mes1255[[#This Row],[CUIT]],Lista_CUIT[#All],2,0)),"CUIT NO CARGADO")</f>
        <v>-</v>
      </c>
      <c r="H2222" s="100">
        <f>ventas_b_mes1255[[#This Row],[TOTAL]]/1.21</f>
        <v>0</v>
      </c>
      <c r="I2222" s="64">
        <f>ventas_b_mes1255[[#This Row],[IMPORTE NETO]]*0.21</f>
        <v>0</v>
      </c>
      <c r="J2222" s="184"/>
      <c r="K2222" s="184"/>
      <c r="L2222" s="184"/>
      <c r="M2222" s="59"/>
    </row>
    <row r="2223" spans="2:13" x14ac:dyDescent="0.3">
      <c r="B2223" s="178"/>
      <c r="C2223" s="41"/>
      <c r="D2223" s="180"/>
      <c r="E2223" s="181"/>
      <c r="F2223" s="182"/>
      <c r="G2223" s="1" t="str">
        <f>IFERROR(IF(ventas_b_mes1255[[#This Row],[CUIT]]="","-",VLOOKUP(ventas_b_mes1255[[#This Row],[CUIT]],Lista_CUIT[#All],2,0)),"CUIT NO CARGADO")</f>
        <v>-</v>
      </c>
      <c r="H2223" s="100">
        <f>ventas_b_mes1255[[#This Row],[TOTAL]]/1.21</f>
        <v>0</v>
      </c>
      <c r="I2223" s="64">
        <f>ventas_b_mes1255[[#This Row],[IMPORTE NETO]]*0.21</f>
        <v>0</v>
      </c>
      <c r="J2223" s="184"/>
      <c r="K2223" s="184"/>
      <c r="L2223" s="184"/>
      <c r="M2223" s="59"/>
    </row>
    <row r="2224" spans="2:13" x14ac:dyDescent="0.3">
      <c r="B2224" s="178"/>
      <c r="C2224" s="41"/>
      <c r="D2224" s="180"/>
      <c r="E2224" s="181"/>
      <c r="F2224" s="182"/>
      <c r="G2224" s="1" t="str">
        <f>IFERROR(IF(ventas_b_mes1255[[#This Row],[CUIT]]="","-",VLOOKUP(ventas_b_mes1255[[#This Row],[CUIT]],Lista_CUIT[#All],2,0)),"CUIT NO CARGADO")</f>
        <v>-</v>
      </c>
      <c r="H2224" s="100">
        <f>ventas_b_mes1255[[#This Row],[TOTAL]]/1.21</f>
        <v>0</v>
      </c>
      <c r="I2224" s="64">
        <f>ventas_b_mes1255[[#This Row],[IMPORTE NETO]]*0.21</f>
        <v>0</v>
      </c>
      <c r="J2224" s="184"/>
      <c r="K2224" s="184"/>
      <c r="L2224" s="184"/>
      <c r="M2224" s="59"/>
    </row>
    <row r="2225" spans="2:13" x14ac:dyDescent="0.3">
      <c r="B2225" s="178"/>
      <c r="C2225" s="41"/>
      <c r="D2225" s="180"/>
      <c r="E2225" s="181"/>
      <c r="F2225" s="182"/>
      <c r="G2225" s="1" t="str">
        <f>IFERROR(IF(ventas_b_mes1255[[#This Row],[CUIT]]="","-",VLOOKUP(ventas_b_mes1255[[#This Row],[CUIT]],Lista_CUIT[#All],2,0)),"CUIT NO CARGADO")</f>
        <v>-</v>
      </c>
      <c r="H2225" s="100">
        <f>ventas_b_mes1255[[#This Row],[TOTAL]]/1.21</f>
        <v>0</v>
      </c>
      <c r="I2225" s="64">
        <f>ventas_b_mes1255[[#This Row],[IMPORTE NETO]]*0.21</f>
        <v>0</v>
      </c>
      <c r="J2225" s="184"/>
      <c r="K2225" s="184"/>
      <c r="L2225" s="184"/>
      <c r="M2225" s="59"/>
    </row>
    <row r="2226" spans="2:13" x14ac:dyDescent="0.3">
      <c r="B2226" s="178"/>
      <c r="C2226" s="41"/>
      <c r="D2226" s="180"/>
      <c r="E2226" s="181"/>
      <c r="F2226" s="182"/>
      <c r="G2226" s="1" t="str">
        <f>IFERROR(IF(ventas_b_mes1255[[#This Row],[CUIT]]="","-",VLOOKUP(ventas_b_mes1255[[#This Row],[CUIT]],Lista_CUIT[#All],2,0)),"CUIT NO CARGADO")</f>
        <v>-</v>
      </c>
      <c r="H2226" s="100">
        <f>ventas_b_mes1255[[#This Row],[TOTAL]]/1.21</f>
        <v>0</v>
      </c>
      <c r="I2226" s="64">
        <f>ventas_b_mes1255[[#This Row],[IMPORTE NETO]]*0.21</f>
        <v>0</v>
      </c>
      <c r="J2226" s="184"/>
      <c r="K2226" s="184"/>
      <c r="L2226" s="184"/>
      <c r="M2226" s="59"/>
    </row>
    <row r="2227" spans="2:13" x14ac:dyDescent="0.3">
      <c r="B2227" s="178"/>
      <c r="C2227" s="41"/>
      <c r="D2227" s="180"/>
      <c r="E2227" s="181"/>
      <c r="F2227" s="182"/>
      <c r="G2227" s="1" t="str">
        <f>IFERROR(IF(ventas_b_mes1255[[#This Row],[CUIT]]="","-",VLOOKUP(ventas_b_mes1255[[#This Row],[CUIT]],Lista_CUIT[#All],2,0)),"CUIT NO CARGADO")</f>
        <v>-</v>
      </c>
      <c r="H2227" s="100">
        <f>ventas_b_mes1255[[#This Row],[TOTAL]]/1.21</f>
        <v>0</v>
      </c>
      <c r="I2227" s="64">
        <f>ventas_b_mes1255[[#This Row],[IMPORTE NETO]]*0.21</f>
        <v>0</v>
      </c>
      <c r="J2227" s="184"/>
      <c r="K2227" s="184"/>
      <c r="L2227" s="184"/>
      <c r="M2227" s="59"/>
    </row>
    <row r="2228" spans="2:13" x14ac:dyDescent="0.3">
      <c r="B2228" s="178"/>
      <c r="C2228" s="41"/>
      <c r="D2228" s="180"/>
      <c r="E2228" s="181"/>
      <c r="F2228" s="182"/>
      <c r="G2228" s="1" t="str">
        <f>IFERROR(IF(ventas_b_mes1255[[#This Row],[CUIT]]="","-",VLOOKUP(ventas_b_mes1255[[#This Row],[CUIT]],Lista_CUIT[#All],2,0)),"CUIT NO CARGADO")</f>
        <v>-</v>
      </c>
      <c r="H2228" s="100">
        <f>ventas_b_mes1255[[#This Row],[TOTAL]]/1.21</f>
        <v>0</v>
      </c>
      <c r="I2228" s="64">
        <f>ventas_b_mes1255[[#This Row],[IMPORTE NETO]]*0.21</f>
        <v>0</v>
      </c>
      <c r="J2228" s="184"/>
      <c r="K2228" s="184"/>
      <c r="L2228" s="184"/>
      <c r="M2228" s="59"/>
    </row>
    <row r="2229" spans="2:13" x14ac:dyDescent="0.3">
      <c r="B2229" s="178"/>
      <c r="C2229" s="41"/>
      <c r="D2229" s="180"/>
      <c r="E2229" s="181"/>
      <c r="F2229" s="182"/>
      <c r="G2229" s="1" t="str">
        <f>IFERROR(IF(ventas_b_mes1255[[#This Row],[CUIT]]="","-",VLOOKUP(ventas_b_mes1255[[#This Row],[CUIT]],Lista_CUIT[#All],2,0)),"CUIT NO CARGADO")</f>
        <v>-</v>
      </c>
      <c r="H2229" s="100">
        <f>ventas_b_mes1255[[#This Row],[TOTAL]]/1.21</f>
        <v>0</v>
      </c>
      <c r="I2229" s="64">
        <f>ventas_b_mes1255[[#This Row],[IMPORTE NETO]]*0.21</f>
        <v>0</v>
      </c>
      <c r="J2229" s="184"/>
      <c r="K2229" s="184"/>
      <c r="L2229" s="184"/>
      <c r="M2229" s="59"/>
    </row>
    <row r="2230" spans="2:13" x14ac:dyDescent="0.3">
      <c r="B2230" s="178"/>
      <c r="C2230" s="41"/>
      <c r="D2230" s="180"/>
      <c r="E2230" s="181"/>
      <c r="F2230" s="182"/>
      <c r="G2230" s="1" t="str">
        <f>IFERROR(IF(ventas_b_mes1255[[#This Row],[CUIT]]="","-",VLOOKUP(ventas_b_mes1255[[#This Row],[CUIT]],Lista_CUIT[#All],2,0)),"CUIT NO CARGADO")</f>
        <v>-</v>
      </c>
      <c r="H2230" s="100">
        <f>ventas_b_mes1255[[#This Row],[TOTAL]]/1.21</f>
        <v>0</v>
      </c>
      <c r="I2230" s="64">
        <f>ventas_b_mes1255[[#This Row],[IMPORTE NETO]]*0.21</f>
        <v>0</v>
      </c>
      <c r="J2230" s="184"/>
      <c r="K2230" s="184"/>
      <c r="L2230" s="184"/>
      <c r="M2230" s="59"/>
    </row>
    <row r="2231" spans="2:13" x14ac:dyDescent="0.3">
      <c r="B2231" s="178"/>
      <c r="C2231" s="41"/>
      <c r="D2231" s="180"/>
      <c r="E2231" s="181"/>
      <c r="F2231" s="182"/>
      <c r="G2231" s="1" t="str">
        <f>IFERROR(IF(ventas_b_mes1255[[#This Row],[CUIT]]="","-",VLOOKUP(ventas_b_mes1255[[#This Row],[CUIT]],Lista_CUIT[#All],2,0)),"CUIT NO CARGADO")</f>
        <v>-</v>
      </c>
      <c r="H2231" s="100">
        <f>ventas_b_mes1255[[#This Row],[TOTAL]]/1.21</f>
        <v>0</v>
      </c>
      <c r="I2231" s="64">
        <f>ventas_b_mes1255[[#This Row],[IMPORTE NETO]]*0.21</f>
        <v>0</v>
      </c>
      <c r="J2231" s="184"/>
      <c r="K2231" s="184"/>
      <c r="L2231" s="184"/>
      <c r="M2231" s="59"/>
    </row>
    <row r="2232" spans="2:13" x14ac:dyDescent="0.3">
      <c r="B2232" s="178"/>
      <c r="C2232" s="41"/>
      <c r="D2232" s="180"/>
      <c r="E2232" s="181"/>
      <c r="F2232" s="182"/>
      <c r="G2232" s="1" t="str">
        <f>IFERROR(IF(ventas_b_mes1255[[#This Row],[CUIT]]="","-",VLOOKUP(ventas_b_mes1255[[#This Row],[CUIT]],Lista_CUIT[#All],2,0)),"CUIT NO CARGADO")</f>
        <v>-</v>
      </c>
      <c r="H2232" s="100">
        <f>ventas_b_mes1255[[#This Row],[TOTAL]]/1.21</f>
        <v>0</v>
      </c>
      <c r="I2232" s="64">
        <f>ventas_b_mes1255[[#This Row],[IMPORTE NETO]]*0.21</f>
        <v>0</v>
      </c>
      <c r="J2232" s="184"/>
      <c r="K2232" s="184"/>
      <c r="L2232" s="184"/>
      <c r="M2232" s="59"/>
    </row>
    <row r="2233" spans="2:13" x14ac:dyDescent="0.3">
      <c r="B2233" s="178"/>
      <c r="C2233" s="41"/>
      <c r="D2233" s="180"/>
      <c r="E2233" s="181"/>
      <c r="F2233" s="182"/>
      <c r="G2233" s="1" t="str">
        <f>IFERROR(IF(ventas_b_mes1255[[#This Row],[CUIT]]="","-",VLOOKUP(ventas_b_mes1255[[#This Row],[CUIT]],Lista_CUIT[#All],2,0)),"CUIT NO CARGADO")</f>
        <v>-</v>
      </c>
      <c r="H2233" s="100">
        <f>ventas_b_mes1255[[#This Row],[TOTAL]]/1.21</f>
        <v>0</v>
      </c>
      <c r="I2233" s="64">
        <f>ventas_b_mes1255[[#This Row],[IMPORTE NETO]]*0.21</f>
        <v>0</v>
      </c>
      <c r="J2233" s="184"/>
      <c r="K2233" s="184"/>
      <c r="L2233" s="184"/>
      <c r="M2233" s="59"/>
    </row>
    <row r="2234" spans="2:13" x14ac:dyDescent="0.3">
      <c r="B2234" s="178"/>
      <c r="C2234" s="41"/>
      <c r="D2234" s="180"/>
      <c r="E2234" s="181"/>
      <c r="F2234" s="182"/>
      <c r="G2234" s="1" t="str">
        <f>IFERROR(IF(ventas_b_mes1255[[#This Row],[CUIT]]="","-",VLOOKUP(ventas_b_mes1255[[#This Row],[CUIT]],Lista_CUIT[#All],2,0)),"CUIT NO CARGADO")</f>
        <v>-</v>
      </c>
      <c r="H2234" s="100">
        <f>ventas_b_mes1255[[#This Row],[TOTAL]]/1.21</f>
        <v>0</v>
      </c>
      <c r="I2234" s="64">
        <f>ventas_b_mes1255[[#This Row],[IMPORTE NETO]]*0.21</f>
        <v>0</v>
      </c>
      <c r="J2234" s="184"/>
      <c r="K2234" s="184"/>
      <c r="L2234" s="184"/>
      <c r="M2234" s="59"/>
    </row>
    <row r="2235" spans="2:13" x14ac:dyDescent="0.3">
      <c r="B2235" s="178"/>
      <c r="C2235" s="41"/>
      <c r="D2235" s="180"/>
      <c r="E2235" s="181"/>
      <c r="F2235" s="182"/>
      <c r="G2235" s="1" t="str">
        <f>IFERROR(IF(ventas_b_mes1255[[#This Row],[CUIT]]="","-",VLOOKUP(ventas_b_mes1255[[#This Row],[CUIT]],Lista_CUIT[#All],2,0)),"CUIT NO CARGADO")</f>
        <v>-</v>
      </c>
      <c r="H2235" s="100">
        <f>ventas_b_mes1255[[#This Row],[TOTAL]]/1.21</f>
        <v>0</v>
      </c>
      <c r="I2235" s="64">
        <f>ventas_b_mes1255[[#This Row],[IMPORTE NETO]]*0.21</f>
        <v>0</v>
      </c>
      <c r="J2235" s="184"/>
      <c r="K2235" s="184"/>
      <c r="L2235" s="184"/>
      <c r="M2235" s="59"/>
    </row>
    <row r="2236" spans="2:13" x14ac:dyDescent="0.3">
      <c r="B2236" s="178"/>
      <c r="C2236" s="41"/>
      <c r="D2236" s="180"/>
      <c r="E2236" s="181"/>
      <c r="F2236" s="182"/>
      <c r="G2236" s="1" t="str">
        <f>IFERROR(IF(ventas_b_mes1255[[#This Row],[CUIT]]="","-",VLOOKUP(ventas_b_mes1255[[#This Row],[CUIT]],Lista_CUIT[#All],2,0)),"CUIT NO CARGADO")</f>
        <v>-</v>
      </c>
      <c r="H2236" s="100">
        <f>ventas_b_mes1255[[#This Row],[TOTAL]]/1.21</f>
        <v>0</v>
      </c>
      <c r="I2236" s="64">
        <f>ventas_b_mes1255[[#This Row],[IMPORTE NETO]]*0.21</f>
        <v>0</v>
      </c>
      <c r="J2236" s="184"/>
      <c r="K2236" s="184"/>
      <c r="L2236" s="184"/>
      <c r="M2236" s="59"/>
    </row>
    <row r="2237" spans="2:13" x14ac:dyDescent="0.3">
      <c r="B2237" s="178"/>
      <c r="C2237" s="41"/>
      <c r="D2237" s="180"/>
      <c r="E2237" s="181"/>
      <c r="F2237" s="182"/>
      <c r="G2237" s="1" t="str">
        <f>IFERROR(IF(ventas_b_mes1255[[#This Row],[CUIT]]="","-",VLOOKUP(ventas_b_mes1255[[#This Row],[CUIT]],Lista_CUIT[#All],2,0)),"CUIT NO CARGADO")</f>
        <v>-</v>
      </c>
      <c r="H2237" s="100">
        <f>ventas_b_mes1255[[#This Row],[TOTAL]]/1.21</f>
        <v>0</v>
      </c>
      <c r="I2237" s="64">
        <f>ventas_b_mes1255[[#This Row],[IMPORTE NETO]]*0.21</f>
        <v>0</v>
      </c>
      <c r="J2237" s="184"/>
      <c r="K2237" s="184"/>
      <c r="L2237" s="184"/>
      <c r="M2237" s="59"/>
    </row>
    <row r="2238" spans="2:13" x14ac:dyDescent="0.3">
      <c r="B2238" s="178"/>
      <c r="C2238" s="41"/>
      <c r="D2238" s="180"/>
      <c r="E2238" s="181"/>
      <c r="F2238" s="182"/>
      <c r="G2238" s="1" t="str">
        <f>IFERROR(IF(ventas_b_mes1255[[#This Row],[CUIT]]="","-",VLOOKUP(ventas_b_mes1255[[#This Row],[CUIT]],Lista_CUIT[#All],2,0)),"CUIT NO CARGADO")</f>
        <v>-</v>
      </c>
      <c r="H2238" s="100">
        <f>ventas_b_mes1255[[#This Row],[TOTAL]]/1.21</f>
        <v>0</v>
      </c>
      <c r="I2238" s="64">
        <f>ventas_b_mes1255[[#This Row],[IMPORTE NETO]]*0.21</f>
        <v>0</v>
      </c>
      <c r="J2238" s="184"/>
      <c r="K2238" s="184"/>
      <c r="L2238" s="184"/>
      <c r="M2238" s="59"/>
    </row>
    <row r="2239" spans="2:13" x14ac:dyDescent="0.3">
      <c r="B2239" s="178"/>
      <c r="C2239" s="41"/>
      <c r="D2239" s="180"/>
      <c r="E2239" s="181"/>
      <c r="F2239" s="182"/>
      <c r="G2239" s="1" t="str">
        <f>IFERROR(IF(ventas_b_mes1255[[#This Row],[CUIT]]="","-",VLOOKUP(ventas_b_mes1255[[#This Row],[CUIT]],Lista_CUIT[#All],2,0)),"CUIT NO CARGADO")</f>
        <v>-</v>
      </c>
      <c r="H2239" s="100">
        <f>ventas_b_mes1255[[#This Row],[TOTAL]]/1.21</f>
        <v>0</v>
      </c>
      <c r="I2239" s="64">
        <f>ventas_b_mes1255[[#This Row],[IMPORTE NETO]]*0.21</f>
        <v>0</v>
      </c>
      <c r="J2239" s="184"/>
      <c r="K2239" s="184"/>
      <c r="L2239" s="184"/>
      <c r="M2239" s="59"/>
    </row>
    <row r="2240" spans="2:13" x14ac:dyDescent="0.3">
      <c r="B2240" s="178"/>
      <c r="C2240" s="41"/>
      <c r="D2240" s="180"/>
      <c r="E2240" s="181"/>
      <c r="F2240" s="182"/>
      <c r="G2240" s="1" t="str">
        <f>IFERROR(IF(ventas_b_mes1255[[#This Row],[CUIT]]="","-",VLOOKUP(ventas_b_mes1255[[#This Row],[CUIT]],Lista_CUIT[#All],2,0)),"CUIT NO CARGADO")</f>
        <v>-</v>
      </c>
      <c r="H2240" s="100">
        <f>ventas_b_mes1255[[#This Row],[TOTAL]]/1.21</f>
        <v>0</v>
      </c>
      <c r="I2240" s="64">
        <f>ventas_b_mes1255[[#This Row],[IMPORTE NETO]]*0.21</f>
        <v>0</v>
      </c>
      <c r="J2240" s="184"/>
      <c r="K2240" s="184"/>
      <c r="L2240" s="184"/>
      <c r="M2240" s="59"/>
    </row>
    <row r="2241" spans="2:13" x14ac:dyDescent="0.3">
      <c r="B2241" s="178"/>
      <c r="C2241" s="41"/>
      <c r="D2241" s="180"/>
      <c r="E2241" s="181"/>
      <c r="F2241" s="182"/>
      <c r="G2241" s="1" t="str">
        <f>IFERROR(IF(ventas_b_mes1255[[#This Row],[CUIT]]="","-",VLOOKUP(ventas_b_mes1255[[#This Row],[CUIT]],Lista_CUIT[#All],2,0)),"CUIT NO CARGADO")</f>
        <v>-</v>
      </c>
      <c r="H2241" s="100">
        <f>ventas_b_mes1255[[#This Row],[TOTAL]]/1.21</f>
        <v>0</v>
      </c>
      <c r="I2241" s="64">
        <f>ventas_b_mes1255[[#This Row],[IMPORTE NETO]]*0.21</f>
        <v>0</v>
      </c>
      <c r="J2241" s="184"/>
      <c r="K2241" s="184"/>
      <c r="L2241" s="184"/>
      <c r="M2241" s="59"/>
    </row>
    <row r="2242" spans="2:13" x14ac:dyDescent="0.3">
      <c r="B2242" s="178"/>
      <c r="C2242" s="41"/>
      <c r="D2242" s="180"/>
      <c r="E2242" s="181"/>
      <c r="F2242" s="182"/>
      <c r="G2242" s="1" t="str">
        <f>IFERROR(IF(ventas_b_mes1255[[#This Row],[CUIT]]="","-",VLOOKUP(ventas_b_mes1255[[#This Row],[CUIT]],Lista_CUIT[#All],2,0)),"CUIT NO CARGADO")</f>
        <v>-</v>
      </c>
      <c r="H2242" s="100">
        <f>ventas_b_mes1255[[#This Row],[TOTAL]]/1.21</f>
        <v>0</v>
      </c>
      <c r="I2242" s="64">
        <f>ventas_b_mes1255[[#This Row],[IMPORTE NETO]]*0.21</f>
        <v>0</v>
      </c>
      <c r="J2242" s="184"/>
      <c r="K2242" s="184"/>
      <c r="L2242" s="184"/>
      <c r="M2242" s="59"/>
    </row>
    <row r="2243" spans="2:13" x14ac:dyDescent="0.3">
      <c r="B2243" s="178"/>
      <c r="C2243" s="41"/>
      <c r="D2243" s="180"/>
      <c r="E2243" s="181"/>
      <c r="F2243" s="182"/>
      <c r="G2243" s="1" t="str">
        <f>IFERROR(IF(ventas_b_mes1255[[#This Row],[CUIT]]="","-",VLOOKUP(ventas_b_mes1255[[#This Row],[CUIT]],Lista_CUIT[#All],2,0)),"CUIT NO CARGADO")</f>
        <v>-</v>
      </c>
      <c r="H2243" s="100">
        <f>ventas_b_mes1255[[#This Row],[TOTAL]]/1.21</f>
        <v>0</v>
      </c>
      <c r="I2243" s="64">
        <f>ventas_b_mes1255[[#This Row],[IMPORTE NETO]]*0.21</f>
        <v>0</v>
      </c>
      <c r="J2243" s="184"/>
      <c r="K2243" s="184"/>
      <c r="L2243" s="184"/>
      <c r="M2243" s="59"/>
    </row>
    <row r="2244" spans="2:13" x14ac:dyDescent="0.3">
      <c r="B2244" s="178"/>
      <c r="C2244" s="41"/>
      <c r="D2244" s="180"/>
      <c r="E2244" s="181"/>
      <c r="F2244" s="182"/>
      <c r="G2244" s="1" t="str">
        <f>IFERROR(IF(ventas_b_mes1255[[#This Row],[CUIT]]="","-",VLOOKUP(ventas_b_mes1255[[#This Row],[CUIT]],Lista_CUIT[#All],2,0)),"CUIT NO CARGADO")</f>
        <v>-</v>
      </c>
      <c r="H2244" s="100">
        <f>ventas_b_mes1255[[#This Row],[TOTAL]]/1.21</f>
        <v>0</v>
      </c>
      <c r="I2244" s="64">
        <f>ventas_b_mes1255[[#This Row],[IMPORTE NETO]]*0.21</f>
        <v>0</v>
      </c>
      <c r="J2244" s="184"/>
      <c r="K2244" s="184"/>
      <c r="L2244" s="184"/>
      <c r="M2244" s="59"/>
    </row>
    <row r="2245" spans="2:13" x14ac:dyDescent="0.3">
      <c r="B2245" s="178"/>
      <c r="C2245" s="41"/>
      <c r="D2245" s="180"/>
      <c r="E2245" s="181"/>
      <c r="F2245" s="182"/>
      <c r="G2245" s="1" t="str">
        <f>IFERROR(IF(ventas_b_mes1255[[#This Row],[CUIT]]="","-",VLOOKUP(ventas_b_mes1255[[#This Row],[CUIT]],Lista_CUIT[#All],2,0)),"CUIT NO CARGADO")</f>
        <v>-</v>
      </c>
      <c r="H2245" s="100">
        <f>ventas_b_mes1255[[#This Row],[TOTAL]]/1.21</f>
        <v>0</v>
      </c>
      <c r="I2245" s="64">
        <f>ventas_b_mes1255[[#This Row],[IMPORTE NETO]]*0.21</f>
        <v>0</v>
      </c>
      <c r="J2245" s="184"/>
      <c r="K2245" s="184"/>
      <c r="L2245" s="184"/>
      <c r="M2245" s="59"/>
    </row>
    <row r="2246" spans="2:13" x14ac:dyDescent="0.3">
      <c r="B2246" s="178"/>
      <c r="C2246" s="41"/>
      <c r="D2246" s="180"/>
      <c r="E2246" s="181"/>
      <c r="F2246" s="182"/>
      <c r="G2246" s="1" t="str">
        <f>IFERROR(IF(ventas_b_mes1255[[#This Row],[CUIT]]="","-",VLOOKUP(ventas_b_mes1255[[#This Row],[CUIT]],Lista_CUIT[#All],2,0)),"CUIT NO CARGADO")</f>
        <v>-</v>
      </c>
      <c r="H2246" s="100">
        <f>ventas_b_mes1255[[#This Row],[TOTAL]]/1.21</f>
        <v>0</v>
      </c>
      <c r="I2246" s="64">
        <f>ventas_b_mes1255[[#This Row],[IMPORTE NETO]]*0.21</f>
        <v>0</v>
      </c>
      <c r="J2246" s="184"/>
      <c r="K2246" s="184"/>
      <c r="L2246" s="184"/>
      <c r="M2246" s="59"/>
    </row>
    <row r="2247" spans="2:13" x14ac:dyDescent="0.3">
      <c r="B2247" s="178"/>
      <c r="C2247" s="41"/>
      <c r="D2247" s="180"/>
      <c r="E2247" s="181"/>
      <c r="F2247" s="182"/>
      <c r="G2247" s="1" t="str">
        <f>IFERROR(IF(ventas_b_mes1255[[#This Row],[CUIT]]="","-",VLOOKUP(ventas_b_mes1255[[#This Row],[CUIT]],Lista_CUIT[#All],2,0)),"CUIT NO CARGADO")</f>
        <v>-</v>
      </c>
      <c r="H2247" s="100">
        <f>ventas_b_mes1255[[#This Row],[TOTAL]]/1.21</f>
        <v>0</v>
      </c>
      <c r="I2247" s="64">
        <f>ventas_b_mes1255[[#This Row],[IMPORTE NETO]]*0.21</f>
        <v>0</v>
      </c>
      <c r="J2247" s="184"/>
      <c r="K2247" s="184"/>
      <c r="L2247" s="184"/>
      <c r="M2247" s="59"/>
    </row>
    <row r="2248" spans="2:13" x14ac:dyDescent="0.3">
      <c r="B2248" s="178"/>
      <c r="C2248" s="41"/>
      <c r="D2248" s="180"/>
      <c r="E2248" s="181"/>
      <c r="F2248" s="182"/>
      <c r="G2248" s="1" t="str">
        <f>IFERROR(IF(ventas_b_mes1255[[#This Row],[CUIT]]="","-",VLOOKUP(ventas_b_mes1255[[#This Row],[CUIT]],Lista_CUIT[#All],2,0)),"CUIT NO CARGADO")</f>
        <v>-</v>
      </c>
      <c r="H2248" s="100">
        <f>ventas_b_mes1255[[#This Row],[TOTAL]]/1.21</f>
        <v>0</v>
      </c>
      <c r="I2248" s="64">
        <f>ventas_b_mes1255[[#This Row],[IMPORTE NETO]]*0.21</f>
        <v>0</v>
      </c>
      <c r="J2248" s="184"/>
      <c r="K2248" s="184"/>
      <c r="L2248" s="184"/>
      <c r="M2248" s="59"/>
    </row>
    <row r="2249" spans="2:13" x14ac:dyDescent="0.3">
      <c r="B2249" s="178"/>
      <c r="C2249" s="41"/>
      <c r="D2249" s="180"/>
      <c r="E2249" s="181"/>
      <c r="F2249" s="182"/>
      <c r="G2249" s="1" t="str">
        <f>IFERROR(IF(ventas_b_mes1255[[#This Row],[CUIT]]="","-",VLOOKUP(ventas_b_mes1255[[#This Row],[CUIT]],Lista_CUIT[#All],2,0)),"CUIT NO CARGADO")</f>
        <v>-</v>
      </c>
      <c r="H2249" s="100">
        <f>ventas_b_mes1255[[#This Row],[TOTAL]]/1.21</f>
        <v>0</v>
      </c>
      <c r="I2249" s="64">
        <f>ventas_b_mes1255[[#This Row],[IMPORTE NETO]]*0.21</f>
        <v>0</v>
      </c>
      <c r="J2249" s="184"/>
      <c r="K2249" s="184"/>
      <c r="L2249" s="184"/>
      <c r="M2249" s="59"/>
    </row>
    <row r="2250" spans="2:13" x14ac:dyDescent="0.3">
      <c r="B2250" s="178"/>
      <c r="C2250" s="41"/>
      <c r="D2250" s="180"/>
      <c r="E2250" s="181"/>
      <c r="F2250" s="182"/>
      <c r="G2250" s="1" t="str">
        <f>IFERROR(IF(ventas_b_mes1255[[#This Row],[CUIT]]="","-",VLOOKUP(ventas_b_mes1255[[#This Row],[CUIT]],Lista_CUIT[#All],2,0)),"CUIT NO CARGADO")</f>
        <v>-</v>
      </c>
      <c r="H2250" s="100">
        <f>ventas_b_mes1255[[#This Row],[TOTAL]]/1.21</f>
        <v>0</v>
      </c>
      <c r="I2250" s="64">
        <f>ventas_b_mes1255[[#This Row],[IMPORTE NETO]]*0.21</f>
        <v>0</v>
      </c>
      <c r="J2250" s="184"/>
      <c r="K2250" s="184"/>
      <c r="L2250" s="184"/>
      <c r="M2250" s="59"/>
    </row>
    <row r="2251" spans="2:13" x14ac:dyDescent="0.3">
      <c r="B2251" s="178"/>
      <c r="C2251" s="41"/>
      <c r="D2251" s="180"/>
      <c r="E2251" s="181"/>
      <c r="F2251" s="182"/>
      <c r="G2251" s="1" t="str">
        <f>IFERROR(IF(ventas_b_mes1255[[#This Row],[CUIT]]="","-",VLOOKUP(ventas_b_mes1255[[#This Row],[CUIT]],Lista_CUIT[#All],2,0)),"CUIT NO CARGADO")</f>
        <v>-</v>
      </c>
      <c r="H2251" s="100">
        <f>ventas_b_mes1255[[#This Row],[TOTAL]]/1.21</f>
        <v>0</v>
      </c>
      <c r="I2251" s="64">
        <f>ventas_b_mes1255[[#This Row],[IMPORTE NETO]]*0.21</f>
        <v>0</v>
      </c>
      <c r="J2251" s="184"/>
      <c r="K2251" s="184"/>
      <c r="L2251" s="184"/>
      <c r="M2251" s="59"/>
    </row>
    <row r="2252" spans="2:13" x14ac:dyDescent="0.3">
      <c r="B2252" s="178"/>
      <c r="C2252" s="41"/>
      <c r="D2252" s="180"/>
      <c r="E2252" s="181"/>
      <c r="F2252" s="182"/>
      <c r="G2252" s="1" t="str">
        <f>IFERROR(IF(ventas_b_mes1255[[#This Row],[CUIT]]="","-",VLOOKUP(ventas_b_mes1255[[#This Row],[CUIT]],Lista_CUIT[#All],2,0)),"CUIT NO CARGADO")</f>
        <v>-</v>
      </c>
      <c r="H2252" s="100">
        <f>ventas_b_mes1255[[#This Row],[TOTAL]]/1.21</f>
        <v>0</v>
      </c>
      <c r="I2252" s="64">
        <f>ventas_b_mes1255[[#This Row],[IMPORTE NETO]]*0.21</f>
        <v>0</v>
      </c>
      <c r="J2252" s="184"/>
      <c r="K2252" s="184"/>
      <c r="L2252" s="184"/>
      <c r="M2252" s="59"/>
    </row>
    <row r="2253" spans="2:13" x14ac:dyDescent="0.3">
      <c r="B2253" s="178"/>
      <c r="C2253" s="41"/>
      <c r="D2253" s="180"/>
      <c r="E2253" s="181"/>
      <c r="F2253" s="182"/>
      <c r="G2253" s="1" t="str">
        <f>IFERROR(IF(ventas_b_mes1255[[#This Row],[CUIT]]="","-",VLOOKUP(ventas_b_mes1255[[#This Row],[CUIT]],Lista_CUIT[#All],2,0)),"CUIT NO CARGADO")</f>
        <v>-</v>
      </c>
      <c r="H2253" s="100">
        <f>ventas_b_mes1255[[#This Row],[TOTAL]]/1.21</f>
        <v>0</v>
      </c>
      <c r="I2253" s="64">
        <f>ventas_b_mes1255[[#This Row],[IMPORTE NETO]]*0.21</f>
        <v>0</v>
      </c>
      <c r="J2253" s="184"/>
      <c r="K2253" s="184"/>
      <c r="L2253" s="184"/>
      <c r="M2253" s="59"/>
    </row>
    <row r="2254" spans="2:13" x14ac:dyDescent="0.3">
      <c r="B2254" s="178"/>
      <c r="C2254" s="41"/>
      <c r="D2254" s="180"/>
      <c r="E2254" s="181"/>
      <c r="F2254" s="182"/>
      <c r="G2254" s="1" t="str">
        <f>IFERROR(IF(ventas_b_mes1255[[#This Row],[CUIT]]="","-",VLOOKUP(ventas_b_mes1255[[#This Row],[CUIT]],Lista_CUIT[#All],2,0)),"CUIT NO CARGADO")</f>
        <v>-</v>
      </c>
      <c r="H2254" s="100">
        <f>ventas_b_mes1255[[#This Row],[TOTAL]]/1.21</f>
        <v>0</v>
      </c>
      <c r="I2254" s="64">
        <f>ventas_b_mes1255[[#This Row],[IMPORTE NETO]]*0.21</f>
        <v>0</v>
      </c>
      <c r="J2254" s="184"/>
      <c r="K2254" s="184"/>
      <c r="L2254" s="184"/>
      <c r="M2254" s="59"/>
    </row>
    <row r="2255" spans="2:13" x14ac:dyDescent="0.3">
      <c r="B2255" s="178"/>
      <c r="C2255" s="41"/>
      <c r="D2255" s="180"/>
      <c r="E2255" s="181"/>
      <c r="F2255" s="182"/>
      <c r="G2255" s="1" t="str">
        <f>IFERROR(IF(ventas_b_mes1255[[#This Row],[CUIT]]="","-",VLOOKUP(ventas_b_mes1255[[#This Row],[CUIT]],Lista_CUIT[#All],2,0)),"CUIT NO CARGADO")</f>
        <v>-</v>
      </c>
      <c r="H2255" s="100">
        <f>ventas_b_mes1255[[#This Row],[TOTAL]]/1.21</f>
        <v>0</v>
      </c>
      <c r="I2255" s="64">
        <f>ventas_b_mes1255[[#This Row],[IMPORTE NETO]]*0.21</f>
        <v>0</v>
      </c>
      <c r="J2255" s="184"/>
      <c r="K2255" s="184"/>
      <c r="L2255" s="184"/>
      <c r="M2255" s="59"/>
    </row>
    <row r="2256" spans="2:13" x14ac:dyDescent="0.3">
      <c r="B2256" s="178"/>
      <c r="C2256" s="41"/>
      <c r="D2256" s="180"/>
      <c r="E2256" s="181"/>
      <c r="F2256" s="182"/>
      <c r="G2256" s="1" t="str">
        <f>IFERROR(IF(ventas_b_mes1255[[#This Row],[CUIT]]="","-",VLOOKUP(ventas_b_mes1255[[#This Row],[CUIT]],Lista_CUIT[#All],2,0)),"CUIT NO CARGADO")</f>
        <v>-</v>
      </c>
      <c r="H2256" s="100">
        <f>ventas_b_mes1255[[#This Row],[TOTAL]]/1.21</f>
        <v>0</v>
      </c>
      <c r="I2256" s="64">
        <f>ventas_b_mes1255[[#This Row],[IMPORTE NETO]]*0.21</f>
        <v>0</v>
      </c>
      <c r="J2256" s="184"/>
      <c r="K2256" s="184"/>
      <c r="L2256" s="184"/>
      <c r="M2256" s="59"/>
    </row>
    <row r="2257" spans="2:13" x14ac:dyDescent="0.3">
      <c r="B2257" s="178"/>
      <c r="C2257" s="41"/>
      <c r="D2257" s="180"/>
      <c r="E2257" s="181"/>
      <c r="F2257" s="182"/>
      <c r="G2257" s="1" t="str">
        <f>IFERROR(IF(ventas_b_mes1255[[#This Row],[CUIT]]="","-",VLOOKUP(ventas_b_mes1255[[#This Row],[CUIT]],Lista_CUIT[#All],2,0)),"CUIT NO CARGADO")</f>
        <v>-</v>
      </c>
      <c r="H2257" s="100">
        <f>ventas_b_mes1255[[#This Row],[TOTAL]]/1.21</f>
        <v>0</v>
      </c>
      <c r="I2257" s="64">
        <f>ventas_b_mes1255[[#This Row],[IMPORTE NETO]]*0.21</f>
        <v>0</v>
      </c>
      <c r="J2257" s="184"/>
      <c r="K2257" s="184"/>
      <c r="L2257" s="184"/>
      <c r="M2257" s="59"/>
    </row>
    <row r="2258" spans="2:13" x14ac:dyDescent="0.3">
      <c r="B2258" s="178"/>
      <c r="C2258" s="41"/>
      <c r="D2258" s="180"/>
      <c r="E2258" s="181"/>
      <c r="F2258" s="182"/>
      <c r="G2258" s="1" t="str">
        <f>IFERROR(IF(ventas_b_mes1255[[#This Row],[CUIT]]="","-",VLOOKUP(ventas_b_mes1255[[#This Row],[CUIT]],Lista_CUIT[#All],2,0)),"CUIT NO CARGADO")</f>
        <v>-</v>
      </c>
      <c r="H2258" s="100">
        <f>ventas_b_mes1255[[#This Row],[TOTAL]]/1.21</f>
        <v>0</v>
      </c>
      <c r="I2258" s="64">
        <f>ventas_b_mes1255[[#This Row],[IMPORTE NETO]]*0.21</f>
        <v>0</v>
      </c>
      <c r="J2258" s="184"/>
      <c r="K2258" s="184"/>
      <c r="L2258" s="184"/>
      <c r="M2258" s="59"/>
    </row>
    <row r="2259" spans="2:13" x14ac:dyDescent="0.3">
      <c r="B2259" s="178"/>
      <c r="C2259" s="41"/>
      <c r="D2259" s="180"/>
      <c r="E2259" s="181"/>
      <c r="F2259" s="182"/>
      <c r="G2259" s="1" t="str">
        <f>IFERROR(IF(ventas_b_mes1255[[#This Row],[CUIT]]="","-",VLOOKUP(ventas_b_mes1255[[#This Row],[CUIT]],Lista_CUIT[#All],2,0)),"CUIT NO CARGADO")</f>
        <v>-</v>
      </c>
      <c r="H2259" s="100">
        <f>ventas_b_mes1255[[#This Row],[TOTAL]]/1.21</f>
        <v>0</v>
      </c>
      <c r="I2259" s="64">
        <f>ventas_b_mes1255[[#This Row],[IMPORTE NETO]]*0.21</f>
        <v>0</v>
      </c>
      <c r="J2259" s="184"/>
      <c r="K2259" s="184"/>
      <c r="L2259" s="184"/>
      <c r="M2259" s="59"/>
    </row>
    <row r="2260" spans="2:13" x14ac:dyDescent="0.3">
      <c r="B2260" s="178"/>
      <c r="C2260" s="41"/>
      <c r="D2260" s="180"/>
      <c r="E2260" s="181"/>
      <c r="F2260" s="182"/>
      <c r="G2260" s="1" t="str">
        <f>IFERROR(IF(ventas_b_mes1255[[#This Row],[CUIT]]="","-",VLOOKUP(ventas_b_mes1255[[#This Row],[CUIT]],Lista_CUIT[#All],2,0)),"CUIT NO CARGADO")</f>
        <v>-</v>
      </c>
      <c r="H2260" s="100">
        <f>ventas_b_mes1255[[#This Row],[TOTAL]]/1.21</f>
        <v>0</v>
      </c>
      <c r="I2260" s="64">
        <f>ventas_b_mes1255[[#This Row],[IMPORTE NETO]]*0.21</f>
        <v>0</v>
      </c>
      <c r="J2260" s="184"/>
      <c r="K2260" s="184"/>
      <c r="L2260" s="184"/>
      <c r="M2260" s="59"/>
    </row>
    <row r="2261" spans="2:13" x14ac:dyDescent="0.3">
      <c r="B2261" s="178"/>
      <c r="C2261" s="41"/>
      <c r="D2261" s="180"/>
      <c r="E2261" s="181"/>
      <c r="F2261" s="182"/>
      <c r="G2261" s="1" t="str">
        <f>IFERROR(IF(ventas_b_mes1255[[#This Row],[CUIT]]="","-",VLOOKUP(ventas_b_mes1255[[#This Row],[CUIT]],Lista_CUIT[#All],2,0)),"CUIT NO CARGADO")</f>
        <v>-</v>
      </c>
      <c r="H2261" s="100">
        <f>ventas_b_mes1255[[#This Row],[TOTAL]]/1.21</f>
        <v>0</v>
      </c>
      <c r="I2261" s="64">
        <f>ventas_b_mes1255[[#This Row],[IMPORTE NETO]]*0.21</f>
        <v>0</v>
      </c>
      <c r="J2261" s="184"/>
      <c r="K2261" s="184"/>
      <c r="L2261" s="184"/>
      <c r="M2261" s="59"/>
    </row>
    <row r="2262" spans="2:13" x14ac:dyDescent="0.3">
      <c r="B2262" s="178"/>
      <c r="C2262" s="41"/>
      <c r="D2262" s="180"/>
      <c r="E2262" s="181"/>
      <c r="F2262" s="182"/>
      <c r="G2262" s="1" t="str">
        <f>IFERROR(IF(ventas_b_mes1255[[#This Row],[CUIT]]="","-",VLOOKUP(ventas_b_mes1255[[#This Row],[CUIT]],Lista_CUIT[#All],2,0)),"CUIT NO CARGADO")</f>
        <v>-</v>
      </c>
      <c r="H2262" s="100">
        <f>ventas_b_mes1255[[#This Row],[TOTAL]]/1.21</f>
        <v>0</v>
      </c>
      <c r="I2262" s="64">
        <f>ventas_b_mes1255[[#This Row],[IMPORTE NETO]]*0.21</f>
        <v>0</v>
      </c>
      <c r="J2262" s="184"/>
      <c r="K2262" s="184"/>
      <c r="L2262" s="184"/>
      <c r="M2262" s="59"/>
    </row>
    <row r="2263" spans="2:13" x14ac:dyDescent="0.3">
      <c r="B2263" s="178"/>
      <c r="C2263" s="41"/>
      <c r="D2263" s="180"/>
      <c r="E2263" s="181"/>
      <c r="F2263" s="182"/>
      <c r="G2263" s="1" t="str">
        <f>IFERROR(IF(ventas_b_mes1255[[#This Row],[CUIT]]="","-",VLOOKUP(ventas_b_mes1255[[#This Row],[CUIT]],Lista_CUIT[#All],2,0)),"CUIT NO CARGADO")</f>
        <v>-</v>
      </c>
      <c r="H2263" s="100">
        <f>ventas_b_mes1255[[#This Row],[TOTAL]]/1.21</f>
        <v>0</v>
      </c>
      <c r="I2263" s="64">
        <f>ventas_b_mes1255[[#This Row],[IMPORTE NETO]]*0.21</f>
        <v>0</v>
      </c>
      <c r="J2263" s="184"/>
      <c r="K2263" s="184"/>
      <c r="L2263" s="184"/>
      <c r="M2263" s="59"/>
    </row>
    <row r="2264" spans="2:13" x14ac:dyDescent="0.3">
      <c r="B2264" s="178"/>
      <c r="C2264" s="41"/>
      <c r="D2264" s="180"/>
      <c r="E2264" s="181"/>
      <c r="F2264" s="182"/>
      <c r="G2264" s="1" t="str">
        <f>IFERROR(IF(ventas_b_mes1255[[#This Row],[CUIT]]="","-",VLOOKUP(ventas_b_mes1255[[#This Row],[CUIT]],Lista_CUIT[#All],2,0)),"CUIT NO CARGADO")</f>
        <v>-</v>
      </c>
      <c r="H2264" s="100">
        <f>ventas_b_mes1255[[#This Row],[TOTAL]]/1.21</f>
        <v>0</v>
      </c>
      <c r="I2264" s="64">
        <f>ventas_b_mes1255[[#This Row],[IMPORTE NETO]]*0.21</f>
        <v>0</v>
      </c>
      <c r="J2264" s="184"/>
      <c r="K2264" s="184"/>
      <c r="L2264" s="184"/>
      <c r="M2264" s="59"/>
    </row>
    <row r="2265" spans="2:13" x14ac:dyDescent="0.3">
      <c r="B2265" s="178"/>
      <c r="C2265" s="41"/>
      <c r="D2265" s="180"/>
      <c r="E2265" s="181"/>
      <c r="F2265" s="182"/>
      <c r="G2265" s="1" t="str">
        <f>IFERROR(IF(ventas_b_mes1255[[#This Row],[CUIT]]="","-",VLOOKUP(ventas_b_mes1255[[#This Row],[CUIT]],Lista_CUIT[#All],2,0)),"CUIT NO CARGADO")</f>
        <v>-</v>
      </c>
      <c r="H2265" s="100">
        <f>ventas_b_mes1255[[#This Row],[TOTAL]]/1.21</f>
        <v>0</v>
      </c>
      <c r="I2265" s="64">
        <f>ventas_b_mes1255[[#This Row],[IMPORTE NETO]]*0.21</f>
        <v>0</v>
      </c>
      <c r="J2265" s="184"/>
      <c r="K2265" s="184"/>
      <c r="L2265" s="184"/>
      <c r="M2265" s="59"/>
    </row>
    <row r="2266" spans="2:13" x14ac:dyDescent="0.3">
      <c r="B2266" s="178"/>
      <c r="C2266" s="41"/>
      <c r="D2266" s="180"/>
      <c r="E2266" s="181"/>
      <c r="F2266" s="182"/>
      <c r="G2266" s="1" t="str">
        <f>IFERROR(IF(ventas_b_mes1255[[#This Row],[CUIT]]="","-",VLOOKUP(ventas_b_mes1255[[#This Row],[CUIT]],Lista_CUIT[#All],2,0)),"CUIT NO CARGADO")</f>
        <v>-</v>
      </c>
      <c r="H2266" s="100">
        <f>ventas_b_mes1255[[#This Row],[TOTAL]]/1.21</f>
        <v>0</v>
      </c>
      <c r="I2266" s="64">
        <f>ventas_b_mes1255[[#This Row],[IMPORTE NETO]]*0.21</f>
        <v>0</v>
      </c>
      <c r="J2266" s="184"/>
      <c r="K2266" s="184"/>
      <c r="L2266" s="184"/>
      <c r="M2266" s="59"/>
    </row>
    <row r="2267" spans="2:13" x14ac:dyDescent="0.3">
      <c r="B2267" s="178"/>
      <c r="C2267" s="41"/>
      <c r="D2267" s="180"/>
      <c r="E2267" s="181"/>
      <c r="F2267" s="182"/>
      <c r="G2267" s="1" t="str">
        <f>IFERROR(IF(ventas_b_mes1255[[#This Row],[CUIT]]="","-",VLOOKUP(ventas_b_mes1255[[#This Row],[CUIT]],Lista_CUIT[#All],2,0)),"CUIT NO CARGADO")</f>
        <v>-</v>
      </c>
      <c r="H2267" s="100">
        <f>ventas_b_mes1255[[#This Row],[TOTAL]]/1.21</f>
        <v>0</v>
      </c>
      <c r="I2267" s="64">
        <f>ventas_b_mes1255[[#This Row],[IMPORTE NETO]]*0.21</f>
        <v>0</v>
      </c>
      <c r="J2267" s="184"/>
      <c r="K2267" s="184"/>
      <c r="L2267" s="184"/>
      <c r="M2267" s="59"/>
    </row>
    <row r="2268" spans="2:13" x14ac:dyDescent="0.3">
      <c r="B2268" s="178"/>
      <c r="C2268" s="41"/>
      <c r="D2268" s="180"/>
      <c r="E2268" s="181"/>
      <c r="F2268" s="182"/>
      <c r="G2268" s="1" t="str">
        <f>IFERROR(IF(ventas_b_mes1255[[#This Row],[CUIT]]="","-",VLOOKUP(ventas_b_mes1255[[#This Row],[CUIT]],Lista_CUIT[#All],2,0)),"CUIT NO CARGADO")</f>
        <v>-</v>
      </c>
      <c r="H2268" s="100">
        <f>ventas_b_mes1255[[#This Row],[TOTAL]]/1.21</f>
        <v>0</v>
      </c>
      <c r="I2268" s="64">
        <f>ventas_b_mes1255[[#This Row],[IMPORTE NETO]]*0.21</f>
        <v>0</v>
      </c>
      <c r="J2268" s="184"/>
      <c r="K2268" s="184"/>
      <c r="L2268" s="184"/>
      <c r="M2268" s="59"/>
    </row>
    <row r="2269" spans="2:13" x14ac:dyDescent="0.3">
      <c r="B2269" s="178"/>
      <c r="C2269" s="41"/>
      <c r="D2269" s="180"/>
      <c r="E2269" s="181"/>
      <c r="F2269" s="182"/>
      <c r="G2269" s="1" t="str">
        <f>IFERROR(IF(ventas_b_mes1255[[#This Row],[CUIT]]="","-",VLOOKUP(ventas_b_mes1255[[#This Row],[CUIT]],Lista_CUIT[#All],2,0)),"CUIT NO CARGADO")</f>
        <v>-</v>
      </c>
      <c r="H2269" s="100">
        <f>ventas_b_mes1255[[#This Row],[TOTAL]]/1.21</f>
        <v>0</v>
      </c>
      <c r="I2269" s="64">
        <f>ventas_b_mes1255[[#This Row],[IMPORTE NETO]]*0.21</f>
        <v>0</v>
      </c>
      <c r="J2269" s="184"/>
      <c r="K2269" s="184"/>
      <c r="L2269" s="184"/>
      <c r="M2269" s="59"/>
    </row>
    <row r="2270" spans="2:13" x14ac:dyDescent="0.3">
      <c r="B2270" s="178"/>
      <c r="C2270" s="41"/>
      <c r="D2270" s="180"/>
      <c r="E2270" s="181"/>
      <c r="F2270" s="182"/>
      <c r="G2270" s="1" t="str">
        <f>IFERROR(IF(ventas_b_mes1255[[#This Row],[CUIT]]="","-",VLOOKUP(ventas_b_mes1255[[#This Row],[CUIT]],Lista_CUIT[#All],2,0)),"CUIT NO CARGADO")</f>
        <v>-</v>
      </c>
      <c r="H2270" s="100">
        <f>ventas_b_mes1255[[#This Row],[TOTAL]]/1.21</f>
        <v>0</v>
      </c>
      <c r="I2270" s="64">
        <f>ventas_b_mes1255[[#This Row],[IMPORTE NETO]]*0.21</f>
        <v>0</v>
      </c>
      <c r="J2270" s="184"/>
      <c r="K2270" s="184"/>
      <c r="L2270" s="184"/>
      <c r="M2270" s="59"/>
    </row>
    <row r="2271" spans="2:13" x14ac:dyDescent="0.3">
      <c r="B2271" s="178"/>
      <c r="C2271" s="41"/>
      <c r="D2271" s="180"/>
      <c r="E2271" s="181"/>
      <c r="F2271" s="182"/>
      <c r="G2271" s="1" t="str">
        <f>IFERROR(IF(ventas_b_mes1255[[#This Row],[CUIT]]="","-",VLOOKUP(ventas_b_mes1255[[#This Row],[CUIT]],Lista_CUIT[#All],2,0)),"CUIT NO CARGADO")</f>
        <v>-</v>
      </c>
      <c r="H2271" s="100">
        <f>ventas_b_mes1255[[#This Row],[TOTAL]]/1.21</f>
        <v>0</v>
      </c>
      <c r="I2271" s="64">
        <f>ventas_b_mes1255[[#This Row],[IMPORTE NETO]]*0.21</f>
        <v>0</v>
      </c>
      <c r="J2271" s="184"/>
      <c r="K2271" s="184"/>
      <c r="L2271" s="184"/>
      <c r="M2271" s="59"/>
    </row>
    <row r="2272" spans="2:13" x14ac:dyDescent="0.3">
      <c r="B2272" s="178"/>
      <c r="C2272" s="41"/>
      <c r="D2272" s="180"/>
      <c r="E2272" s="181"/>
      <c r="F2272" s="182"/>
      <c r="G2272" s="1" t="str">
        <f>IFERROR(IF(ventas_b_mes1255[[#This Row],[CUIT]]="","-",VLOOKUP(ventas_b_mes1255[[#This Row],[CUIT]],Lista_CUIT[#All],2,0)),"CUIT NO CARGADO")</f>
        <v>-</v>
      </c>
      <c r="H2272" s="100">
        <f>ventas_b_mes1255[[#This Row],[TOTAL]]/1.21</f>
        <v>0</v>
      </c>
      <c r="I2272" s="64">
        <f>ventas_b_mes1255[[#This Row],[IMPORTE NETO]]*0.21</f>
        <v>0</v>
      </c>
      <c r="J2272" s="184"/>
      <c r="K2272" s="184"/>
      <c r="L2272" s="184"/>
      <c r="M2272" s="59"/>
    </row>
    <row r="2273" spans="2:13" x14ac:dyDescent="0.3">
      <c r="B2273" s="178"/>
      <c r="C2273" s="41"/>
      <c r="D2273" s="180"/>
      <c r="E2273" s="181"/>
      <c r="F2273" s="182"/>
      <c r="G2273" s="1" t="str">
        <f>IFERROR(IF(ventas_b_mes1255[[#This Row],[CUIT]]="","-",VLOOKUP(ventas_b_mes1255[[#This Row],[CUIT]],Lista_CUIT[#All],2,0)),"CUIT NO CARGADO")</f>
        <v>-</v>
      </c>
      <c r="H2273" s="100">
        <f>ventas_b_mes1255[[#This Row],[TOTAL]]/1.21</f>
        <v>0</v>
      </c>
      <c r="I2273" s="64">
        <f>ventas_b_mes1255[[#This Row],[IMPORTE NETO]]*0.21</f>
        <v>0</v>
      </c>
      <c r="J2273" s="184"/>
      <c r="K2273" s="184"/>
      <c r="L2273" s="184"/>
      <c r="M2273" s="59"/>
    </row>
    <row r="2274" spans="2:13" x14ac:dyDescent="0.3">
      <c r="B2274" s="178"/>
      <c r="C2274" s="41"/>
      <c r="D2274" s="180"/>
      <c r="E2274" s="181"/>
      <c r="F2274" s="182"/>
      <c r="G2274" s="1" t="str">
        <f>IFERROR(IF(ventas_b_mes1255[[#This Row],[CUIT]]="","-",VLOOKUP(ventas_b_mes1255[[#This Row],[CUIT]],Lista_CUIT[#All],2,0)),"CUIT NO CARGADO")</f>
        <v>-</v>
      </c>
      <c r="H2274" s="100">
        <f>ventas_b_mes1255[[#This Row],[TOTAL]]/1.21</f>
        <v>0</v>
      </c>
      <c r="I2274" s="64">
        <f>ventas_b_mes1255[[#This Row],[IMPORTE NETO]]*0.21</f>
        <v>0</v>
      </c>
      <c r="J2274" s="184"/>
      <c r="K2274" s="184"/>
      <c r="L2274" s="184"/>
      <c r="M2274" s="59"/>
    </row>
    <row r="2275" spans="2:13" x14ac:dyDescent="0.3">
      <c r="B2275" s="178"/>
      <c r="C2275" s="41"/>
      <c r="D2275" s="180"/>
      <c r="E2275" s="181"/>
      <c r="F2275" s="182"/>
      <c r="G2275" s="1" t="str">
        <f>IFERROR(IF(ventas_b_mes1255[[#This Row],[CUIT]]="","-",VLOOKUP(ventas_b_mes1255[[#This Row],[CUIT]],Lista_CUIT[#All],2,0)),"CUIT NO CARGADO")</f>
        <v>-</v>
      </c>
      <c r="H2275" s="100">
        <f>ventas_b_mes1255[[#This Row],[TOTAL]]/1.21</f>
        <v>0</v>
      </c>
      <c r="I2275" s="64">
        <f>ventas_b_mes1255[[#This Row],[IMPORTE NETO]]*0.21</f>
        <v>0</v>
      </c>
      <c r="J2275" s="184"/>
      <c r="K2275" s="184"/>
      <c r="L2275" s="184"/>
      <c r="M2275" s="59"/>
    </row>
    <row r="2276" spans="2:13" x14ac:dyDescent="0.3">
      <c r="B2276" s="178"/>
      <c r="C2276" s="41"/>
      <c r="D2276" s="180"/>
      <c r="E2276" s="181"/>
      <c r="F2276" s="182"/>
      <c r="G2276" s="1" t="str">
        <f>IFERROR(IF(ventas_b_mes1255[[#This Row],[CUIT]]="","-",VLOOKUP(ventas_b_mes1255[[#This Row],[CUIT]],Lista_CUIT[#All],2,0)),"CUIT NO CARGADO")</f>
        <v>-</v>
      </c>
      <c r="H2276" s="100">
        <f>ventas_b_mes1255[[#This Row],[TOTAL]]/1.21</f>
        <v>0</v>
      </c>
      <c r="I2276" s="64">
        <f>ventas_b_mes1255[[#This Row],[IMPORTE NETO]]*0.21</f>
        <v>0</v>
      </c>
      <c r="J2276" s="184"/>
      <c r="K2276" s="184"/>
      <c r="L2276" s="184"/>
      <c r="M2276" s="59"/>
    </row>
    <row r="2277" spans="2:13" x14ac:dyDescent="0.3">
      <c r="B2277" s="178"/>
      <c r="C2277" s="41"/>
      <c r="D2277" s="180"/>
      <c r="E2277" s="181"/>
      <c r="F2277" s="182"/>
      <c r="G2277" s="1" t="str">
        <f>IFERROR(IF(ventas_b_mes1255[[#This Row],[CUIT]]="","-",VLOOKUP(ventas_b_mes1255[[#This Row],[CUIT]],Lista_CUIT[#All],2,0)),"CUIT NO CARGADO")</f>
        <v>-</v>
      </c>
      <c r="H2277" s="100">
        <f>ventas_b_mes1255[[#This Row],[TOTAL]]/1.21</f>
        <v>0</v>
      </c>
      <c r="I2277" s="64">
        <f>ventas_b_mes1255[[#This Row],[IMPORTE NETO]]*0.21</f>
        <v>0</v>
      </c>
      <c r="J2277" s="184"/>
      <c r="K2277" s="184"/>
      <c r="L2277" s="184"/>
      <c r="M2277" s="59"/>
    </row>
    <row r="2278" spans="2:13" x14ac:dyDescent="0.3">
      <c r="B2278" s="178"/>
      <c r="C2278" s="41"/>
      <c r="D2278" s="180"/>
      <c r="E2278" s="181"/>
      <c r="F2278" s="182"/>
      <c r="G2278" s="1" t="str">
        <f>IFERROR(IF(ventas_b_mes1255[[#This Row],[CUIT]]="","-",VLOOKUP(ventas_b_mes1255[[#This Row],[CUIT]],Lista_CUIT[#All],2,0)),"CUIT NO CARGADO")</f>
        <v>-</v>
      </c>
      <c r="H2278" s="100">
        <f>ventas_b_mes1255[[#This Row],[TOTAL]]/1.21</f>
        <v>0</v>
      </c>
      <c r="I2278" s="64">
        <f>ventas_b_mes1255[[#This Row],[IMPORTE NETO]]*0.21</f>
        <v>0</v>
      </c>
      <c r="J2278" s="184"/>
      <c r="K2278" s="184"/>
      <c r="L2278" s="184"/>
      <c r="M2278" s="59"/>
    </row>
    <row r="2279" spans="2:13" x14ac:dyDescent="0.3">
      <c r="B2279" s="178"/>
      <c r="C2279" s="41"/>
      <c r="D2279" s="180"/>
      <c r="E2279" s="181"/>
      <c r="F2279" s="182"/>
      <c r="G2279" s="1" t="str">
        <f>IFERROR(IF(ventas_b_mes1255[[#This Row],[CUIT]]="","-",VLOOKUP(ventas_b_mes1255[[#This Row],[CUIT]],Lista_CUIT[#All],2,0)),"CUIT NO CARGADO")</f>
        <v>-</v>
      </c>
      <c r="H2279" s="100">
        <f>ventas_b_mes1255[[#This Row],[TOTAL]]/1.21</f>
        <v>0</v>
      </c>
      <c r="I2279" s="64">
        <f>ventas_b_mes1255[[#This Row],[IMPORTE NETO]]*0.21</f>
        <v>0</v>
      </c>
      <c r="J2279" s="184"/>
      <c r="K2279" s="184"/>
      <c r="L2279" s="184"/>
      <c r="M2279" s="59"/>
    </row>
    <row r="2280" spans="2:13" x14ac:dyDescent="0.3">
      <c r="B2280" s="178"/>
      <c r="C2280" s="41"/>
      <c r="D2280" s="180"/>
      <c r="E2280" s="181"/>
      <c r="F2280" s="182"/>
      <c r="G2280" s="1" t="str">
        <f>IFERROR(IF(ventas_b_mes1255[[#This Row],[CUIT]]="","-",VLOOKUP(ventas_b_mes1255[[#This Row],[CUIT]],Lista_CUIT[#All],2,0)),"CUIT NO CARGADO")</f>
        <v>-</v>
      </c>
      <c r="H2280" s="100">
        <f>ventas_b_mes1255[[#This Row],[TOTAL]]/1.21</f>
        <v>0</v>
      </c>
      <c r="I2280" s="64">
        <f>ventas_b_mes1255[[#This Row],[IMPORTE NETO]]*0.21</f>
        <v>0</v>
      </c>
      <c r="J2280" s="184"/>
      <c r="K2280" s="184"/>
      <c r="L2280" s="184"/>
      <c r="M2280" s="59"/>
    </row>
    <row r="2281" spans="2:13" x14ac:dyDescent="0.3">
      <c r="B2281" s="178"/>
      <c r="C2281" s="41"/>
      <c r="D2281" s="180"/>
      <c r="E2281" s="181"/>
      <c r="F2281" s="182"/>
      <c r="G2281" s="1" t="str">
        <f>IFERROR(IF(ventas_b_mes1255[[#This Row],[CUIT]]="","-",VLOOKUP(ventas_b_mes1255[[#This Row],[CUIT]],Lista_CUIT[#All],2,0)),"CUIT NO CARGADO")</f>
        <v>-</v>
      </c>
      <c r="H2281" s="100">
        <f>ventas_b_mes1255[[#This Row],[TOTAL]]/1.21</f>
        <v>0</v>
      </c>
      <c r="I2281" s="64">
        <f>ventas_b_mes1255[[#This Row],[IMPORTE NETO]]*0.21</f>
        <v>0</v>
      </c>
      <c r="J2281" s="184"/>
      <c r="K2281" s="184"/>
      <c r="L2281" s="184"/>
      <c r="M2281" s="59"/>
    </row>
    <row r="2282" spans="2:13" x14ac:dyDescent="0.3">
      <c r="B2282" s="178"/>
      <c r="C2282" s="41"/>
      <c r="D2282" s="180"/>
      <c r="E2282" s="181"/>
      <c r="F2282" s="182"/>
      <c r="G2282" s="1" t="str">
        <f>IFERROR(IF(ventas_b_mes1255[[#This Row],[CUIT]]="","-",VLOOKUP(ventas_b_mes1255[[#This Row],[CUIT]],Lista_CUIT[#All],2,0)),"CUIT NO CARGADO")</f>
        <v>-</v>
      </c>
      <c r="H2282" s="100">
        <f>ventas_b_mes1255[[#This Row],[TOTAL]]/1.21</f>
        <v>0</v>
      </c>
      <c r="I2282" s="64">
        <f>ventas_b_mes1255[[#This Row],[IMPORTE NETO]]*0.21</f>
        <v>0</v>
      </c>
      <c r="J2282" s="184"/>
      <c r="K2282" s="184"/>
      <c r="L2282" s="184"/>
      <c r="M2282" s="59"/>
    </row>
    <row r="2283" spans="2:13" x14ac:dyDescent="0.3">
      <c r="B2283" s="178"/>
      <c r="C2283" s="41"/>
      <c r="D2283" s="180"/>
      <c r="E2283" s="181"/>
      <c r="F2283" s="182"/>
      <c r="G2283" s="1" t="str">
        <f>IFERROR(IF(ventas_b_mes1255[[#This Row],[CUIT]]="","-",VLOOKUP(ventas_b_mes1255[[#This Row],[CUIT]],Lista_CUIT[#All],2,0)),"CUIT NO CARGADO")</f>
        <v>-</v>
      </c>
      <c r="H2283" s="100">
        <f>ventas_b_mes1255[[#This Row],[TOTAL]]/1.21</f>
        <v>0</v>
      </c>
      <c r="I2283" s="64">
        <f>ventas_b_mes1255[[#This Row],[IMPORTE NETO]]*0.21</f>
        <v>0</v>
      </c>
      <c r="J2283" s="184"/>
      <c r="K2283" s="184"/>
      <c r="L2283" s="184"/>
      <c r="M2283" s="59"/>
    </row>
    <row r="2284" spans="2:13" x14ac:dyDescent="0.3">
      <c r="B2284" s="178"/>
      <c r="C2284" s="41"/>
      <c r="D2284" s="180"/>
      <c r="E2284" s="181"/>
      <c r="F2284" s="182"/>
      <c r="G2284" s="1" t="str">
        <f>IFERROR(IF(ventas_b_mes1255[[#This Row],[CUIT]]="","-",VLOOKUP(ventas_b_mes1255[[#This Row],[CUIT]],Lista_CUIT[#All],2,0)),"CUIT NO CARGADO")</f>
        <v>-</v>
      </c>
      <c r="H2284" s="100">
        <f>ventas_b_mes1255[[#This Row],[TOTAL]]/1.21</f>
        <v>0</v>
      </c>
      <c r="I2284" s="64">
        <f>ventas_b_mes1255[[#This Row],[IMPORTE NETO]]*0.21</f>
        <v>0</v>
      </c>
      <c r="J2284" s="184"/>
      <c r="K2284" s="184"/>
      <c r="L2284" s="184"/>
      <c r="M2284" s="59"/>
    </row>
    <row r="2285" spans="2:13" x14ac:dyDescent="0.3">
      <c r="B2285" s="178"/>
      <c r="C2285" s="41"/>
      <c r="D2285" s="180"/>
      <c r="E2285" s="181"/>
      <c r="F2285" s="182"/>
      <c r="G2285" s="1" t="str">
        <f>IFERROR(IF(ventas_b_mes1255[[#This Row],[CUIT]]="","-",VLOOKUP(ventas_b_mes1255[[#This Row],[CUIT]],Lista_CUIT[#All],2,0)),"CUIT NO CARGADO")</f>
        <v>-</v>
      </c>
      <c r="H2285" s="100">
        <f>ventas_b_mes1255[[#This Row],[TOTAL]]/1.21</f>
        <v>0</v>
      </c>
      <c r="I2285" s="64">
        <f>ventas_b_mes1255[[#This Row],[IMPORTE NETO]]*0.21</f>
        <v>0</v>
      </c>
      <c r="J2285" s="184"/>
      <c r="K2285" s="184"/>
      <c r="L2285" s="184"/>
      <c r="M2285" s="59"/>
    </row>
    <row r="2286" spans="2:13" x14ac:dyDescent="0.3">
      <c r="B2286" s="178"/>
      <c r="C2286" s="41"/>
      <c r="D2286" s="180"/>
      <c r="E2286" s="181"/>
      <c r="F2286" s="182"/>
      <c r="G2286" s="1" t="str">
        <f>IFERROR(IF(ventas_b_mes1255[[#This Row],[CUIT]]="","-",VLOOKUP(ventas_b_mes1255[[#This Row],[CUIT]],Lista_CUIT[#All],2,0)),"CUIT NO CARGADO")</f>
        <v>-</v>
      </c>
      <c r="H2286" s="100">
        <f>ventas_b_mes1255[[#This Row],[TOTAL]]/1.21</f>
        <v>0</v>
      </c>
      <c r="I2286" s="64">
        <f>ventas_b_mes1255[[#This Row],[IMPORTE NETO]]*0.21</f>
        <v>0</v>
      </c>
      <c r="J2286" s="184"/>
      <c r="K2286" s="184"/>
      <c r="L2286" s="184"/>
      <c r="M2286" s="59"/>
    </row>
    <row r="2287" spans="2:13" x14ac:dyDescent="0.3">
      <c r="B2287" s="178"/>
      <c r="C2287" s="41"/>
      <c r="D2287" s="180"/>
      <c r="E2287" s="181"/>
      <c r="F2287" s="182"/>
      <c r="G2287" s="1" t="str">
        <f>IFERROR(IF(ventas_b_mes1255[[#This Row],[CUIT]]="","-",VLOOKUP(ventas_b_mes1255[[#This Row],[CUIT]],Lista_CUIT[#All],2,0)),"CUIT NO CARGADO")</f>
        <v>-</v>
      </c>
      <c r="H2287" s="100">
        <f>ventas_b_mes1255[[#This Row],[TOTAL]]/1.21</f>
        <v>0</v>
      </c>
      <c r="I2287" s="64">
        <f>ventas_b_mes1255[[#This Row],[IMPORTE NETO]]*0.21</f>
        <v>0</v>
      </c>
      <c r="J2287" s="184"/>
      <c r="K2287" s="184"/>
      <c r="L2287" s="184"/>
      <c r="M2287" s="59"/>
    </row>
    <row r="2288" spans="2:13" x14ac:dyDescent="0.3">
      <c r="B2288" s="178"/>
      <c r="C2288" s="41"/>
      <c r="D2288" s="180"/>
      <c r="E2288" s="181"/>
      <c r="F2288" s="182"/>
      <c r="G2288" s="1" t="str">
        <f>IFERROR(IF(ventas_b_mes1255[[#This Row],[CUIT]]="","-",VLOOKUP(ventas_b_mes1255[[#This Row],[CUIT]],Lista_CUIT[#All],2,0)),"CUIT NO CARGADO")</f>
        <v>-</v>
      </c>
      <c r="H2288" s="100">
        <f>ventas_b_mes1255[[#This Row],[TOTAL]]/1.21</f>
        <v>0</v>
      </c>
      <c r="I2288" s="64">
        <f>ventas_b_mes1255[[#This Row],[IMPORTE NETO]]*0.21</f>
        <v>0</v>
      </c>
      <c r="J2288" s="184"/>
      <c r="K2288" s="184"/>
      <c r="L2288" s="184"/>
      <c r="M2288" s="59"/>
    </row>
    <row r="2289" spans="2:13" x14ac:dyDescent="0.3">
      <c r="B2289" s="178"/>
      <c r="C2289" s="41"/>
      <c r="D2289" s="180"/>
      <c r="E2289" s="181"/>
      <c r="F2289" s="182"/>
      <c r="G2289" s="1" t="str">
        <f>IFERROR(IF(ventas_b_mes1255[[#This Row],[CUIT]]="","-",VLOOKUP(ventas_b_mes1255[[#This Row],[CUIT]],Lista_CUIT[#All],2,0)),"CUIT NO CARGADO")</f>
        <v>-</v>
      </c>
      <c r="H2289" s="100">
        <f>ventas_b_mes1255[[#This Row],[TOTAL]]/1.21</f>
        <v>0</v>
      </c>
      <c r="I2289" s="64">
        <f>ventas_b_mes1255[[#This Row],[IMPORTE NETO]]*0.21</f>
        <v>0</v>
      </c>
      <c r="J2289" s="184"/>
      <c r="K2289" s="184"/>
      <c r="L2289" s="184"/>
      <c r="M2289" s="59"/>
    </row>
    <row r="2290" spans="2:13" x14ac:dyDescent="0.3">
      <c r="B2290" s="178"/>
      <c r="C2290" s="41"/>
      <c r="D2290" s="180"/>
      <c r="E2290" s="181"/>
      <c r="F2290" s="182"/>
      <c r="G2290" s="1" t="str">
        <f>IFERROR(IF(ventas_b_mes1255[[#This Row],[CUIT]]="","-",VLOOKUP(ventas_b_mes1255[[#This Row],[CUIT]],Lista_CUIT[#All],2,0)),"CUIT NO CARGADO")</f>
        <v>-</v>
      </c>
      <c r="H2290" s="100">
        <f>ventas_b_mes1255[[#This Row],[TOTAL]]/1.21</f>
        <v>0</v>
      </c>
      <c r="I2290" s="64">
        <f>ventas_b_mes1255[[#This Row],[IMPORTE NETO]]*0.21</f>
        <v>0</v>
      </c>
      <c r="J2290" s="184"/>
      <c r="K2290" s="184"/>
      <c r="L2290" s="184"/>
      <c r="M2290" s="59"/>
    </row>
    <row r="2291" spans="2:13" x14ac:dyDescent="0.3">
      <c r="B2291" s="178"/>
      <c r="C2291" s="41"/>
      <c r="D2291" s="180"/>
      <c r="E2291" s="181"/>
      <c r="F2291" s="182"/>
      <c r="G2291" s="1" t="str">
        <f>IFERROR(IF(ventas_b_mes1255[[#This Row],[CUIT]]="","-",VLOOKUP(ventas_b_mes1255[[#This Row],[CUIT]],Lista_CUIT[#All],2,0)),"CUIT NO CARGADO")</f>
        <v>-</v>
      </c>
      <c r="H2291" s="100">
        <f>ventas_b_mes1255[[#This Row],[TOTAL]]/1.21</f>
        <v>0</v>
      </c>
      <c r="I2291" s="64">
        <f>ventas_b_mes1255[[#This Row],[IMPORTE NETO]]*0.21</f>
        <v>0</v>
      </c>
      <c r="J2291" s="184"/>
      <c r="K2291" s="184"/>
      <c r="L2291" s="184"/>
      <c r="M2291" s="59"/>
    </row>
    <row r="2292" spans="2:13" x14ac:dyDescent="0.3">
      <c r="B2292" s="178"/>
      <c r="C2292" s="41"/>
      <c r="D2292" s="180"/>
      <c r="E2292" s="181"/>
      <c r="F2292" s="182"/>
      <c r="G2292" s="1" t="str">
        <f>IFERROR(IF(ventas_b_mes1255[[#This Row],[CUIT]]="","-",VLOOKUP(ventas_b_mes1255[[#This Row],[CUIT]],Lista_CUIT[#All],2,0)),"CUIT NO CARGADO")</f>
        <v>-</v>
      </c>
      <c r="H2292" s="100">
        <f>ventas_b_mes1255[[#This Row],[TOTAL]]/1.21</f>
        <v>0</v>
      </c>
      <c r="I2292" s="64">
        <f>ventas_b_mes1255[[#This Row],[IMPORTE NETO]]*0.21</f>
        <v>0</v>
      </c>
      <c r="J2292" s="184"/>
      <c r="K2292" s="184"/>
      <c r="L2292" s="184"/>
      <c r="M2292" s="59"/>
    </row>
    <row r="2293" spans="2:13" x14ac:dyDescent="0.3">
      <c r="B2293" s="178"/>
      <c r="C2293" s="41"/>
      <c r="D2293" s="180"/>
      <c r="E2293" s="181"/>
      <c r="F2293" s="182"/>
      <c r="G2293" s="1" t="str">
        <f>IFERROR(IF(ventas_b_mes1255[[#This Row],[CUIT]]="","-",VLOOKUP(ventas_b_mes1255[[#This Row],[CUIT]],Lista_CUIT[#All],2,0)),"CUIT NO CARGADO")</f>
        <v>-</v>
      </c>
      <c r="H2293" s="100">
        <f>ventas_b_mes1255[[#This Row],[TOTAL]]/1.21</f>
        <v>0</v>
      </c>
      <c r="I2293" s="64">
        <f>ventas_b_mes1255[[#This Row],[IMPORTE NETO]]*0.21</f>
        <v>0</v>
      </c>
      <c r="J2293" s="184"/>
      <c r="K2293" s="184"/>
      <c r="L2293" s="184"/>
      <c r="M2293" s="59"/>
    </row>
    <row r="2294" spans="2:13" x14ac:dyDescent="0.3">
      <c r="B2294" s="178"/>
      <c r="C2294" s="41"/>
      <c r="D2294" s="180"/>
      <c r="E2294" s="181"/>
      <c r="F2294" s="182"/>
      <c r="G2294" s="1" t="str">
        <f>IFERROR(IF(ventas_b_mes1255[[#This Row],[CUIT]]="","-",VLOOKUP(ventas_b_mes1255[[#This Row],[CUIT]],Lista_CUIT[#All],2,0)),"CUIT NO CARGADO")</f>
        <v>-</v>
      </c>
      <c r="H2294" s="100">
        <f>ventas_b_mes1255[[#This Row],[TOTAL]]/1.21</f>
        <v>0</v>
      </c>
      <c r="I2294" s="64">
        <f>ventas_b_mes1255[[#This Row],[IMPORTE NETO]]*0.21</f>
        <v>0</v>
      </c>
      <c r="J2294" s="184"/>
      <c r="K2294" s="184"/>
      <c r="L2294" s="184"/>
      <c r="M2294" s="59"/>
    </row>
    <row r="2295" spans="2:13" x14ac:dyDescent="0.3">
      <c r="B2295" s="178"/>
      <c r="C2295" s="41"/>
      <c r="D2295" s="180"/>
      <c r="E2295" s="181"/>
      <c r="F2295" s="182"/>
      <c r="G2295" s="1" t="str">
        <f>IFERROR(IF(ventas_b_mes1255[[#This Row],[CUIT]]="","-",VLOOKUP(ventas_b_mes1255[[#This Row],[CUIT]],Lista_CUIT[#All],2,0)),"CUIT NO CARGADO")</f>
        <v>-</v>
      </c>
      <c r="H2295" s="100">
        <f>ventas_b_mes1255[[#This Row],[TOTAL]]/1.21</f>
        <v>0</v>
      </c>
      <c r="I2295" s="64">
        <f>ventas_b_mes1255[[#This Row],[IMPORTE NETO]]*0.21</f>
        <v>0</v>
      </c>
      <c r="J2295" s="184"/>
      <c r="K2295" s="184"/>
      <c r="L2295" s="184"/>
      <c r="M2295" s="59"/>
    </row>
    <row r="2296" spans="2:13" x14ac:dyDescent="0.3">
      <c r="B2296" s="178"/>
      <c r="C2296" s="41"/>
      <c r="D2296" s="180"/>
      <c r="E2296" s="181"/>
      <c r="F2296" s="182"/>
      <c r="G2296" s="1" t="str">
        <f>IFERROR(IF(ventas_b_mes1255[[#This Row],[CUIT]]="","-",VLOOKUP(ventas_b_mes1255[[#This Row],[CUIT]],Lista_CUIT[#All],2,0)),"CUIT NO CARGADO")</f>
        <v>-</v>
      </c>
      <c r="H2296" s="100">
        <f>ventas_b_mes1255[[#This Row],[TOTAL]]/1.21</f>
        <v>0</v>
      </c>
      <c r="I2296" s="64">
        <f>ventas_b_mes1255[[#This Row],[IMPORTE NETO]]*0.21</f>
        <v>0</v>
      </c>
      <c r="J2296" s="184"/>
      <c r="K2296" s="184"/>
      <c r="L2296" s="184"/>
      <c r="M2296" s="59"/>
    </row>
    <row r="2297" spans="2:13" x14ac:dyDescent="0.3">
      <c r="B2297" s="178"/>
      <c r="C2297" s="41"/>
      <c r="D2297" s="180"/>
      <c r="E2297" s="181"/>
      <c r="F2297" s="182"/>
      <c r="G2297" s="1" t="str">
        <f>IFERROR(IF(ventas_b_mes1255[[#This Row],[CUIT]]="","-",VLOOKUP(ventas_b_mes1255[[#This Row],[CUIT]],Lista_CUIT[#All],2,0)),"CUIT NO CARGADO")</f>
        <v>-</v>
      </c>
      <c r="H2297" s="100">
        <f>ventas_b_mes1255[[#This Row],[TOTAL]]/1.21</f>
        <v>0</v>
      </c>
      <c r="I2297" s="64">
        <f>ventas_b_mes1255[[#This Row],[IMPORTE NETO]]*0.21</f>
        <v>0</v>
      </c>
      <c r="J2297" s="184"/>
      <c r="K2297" s="184"/>
      <c r="L2297" s="184"/>
      <c r="M2297" s="59"/>
    </row>
    <row r="2298" spans="2:13" x14ac:dyDescent="0.3">
      <c r="B2298" s="178"/>
      <c r="C2298" s="41"/>
      <c r="D2298" s="180"/>
      <c r="E2298" s="181"/>
      <c r="F2298" s="182"/>
      <c r="G2298" s="1" t="str">
        <f>IFERROR(IF(ventas_b_mes1255[[#This Row],[CUIT]]="","-",VLOOKUP(ventas_b_mes1255[[#This Row],[CUIT]],Lista_CUIT[#All],2,0)),"CUIT NO CARGADO")</f>
        <v>-</v>
      </c>
      <c r="H2298" s="100">
        <f>ventas_b_mes1255[[#This Row],[TOTAL]]/1.21</f>
        <v>0</v>
      </c>
      <c r="I2298" s="64">
        <f>ventas_b_mes1255[[#This Row],[IMPORTE NETO]]*0.21</f>
        <v>0</v>
      </c>
      <c r="J2298" s="184"/>
      <c r="K2298" s="184"/>
      <c r="L2298" s="184"/>
      <c r="M2298" s="59"/>
    </row>
    <row r="2299" spans="2:13" x14ac:dyDescent="0.3">
      <c r="B2299" s="178"/>
      <c r="C2299" s="41"/>
      <c r="D2299" s="180"/>
      <c r="E2299" s="181"/>
      <c r="F2299" s="182"/>
      <c r="G2299" s="1" t="str">
        <f>IFERROR(IF(ventas_b_mes1255[[#This Row],[CUIT]]="","-",VLOOKUP(ventas_b_mes1255[[#This Row],[CUIT]],Lista_CUIT[#All],2,0)),"CUIT NO CARGADO")</f>
        <v>-</v>
      </c>
      <c r="H2299" s="100">
        <f>ventas_b_mes1255[[#This Row],[TOTAL]]/1.21</f>
        <v>0</v>
      </c>
      <c r="I2299" s="64">
        <f>ventas_b_mes1255[[#This Row],[IMPORTE NETO]]*0.21</f>
        <v>0</v>
      </c>
      <c r="J2299" s="184"/>
      <c r="K2299" s="184"/>
      <c r="L2299" s="184"/>
      <c r="M2299" s="59"/>
    </row>
    <row r="2300" spans="2:13" x14ac:dyDescent="0.3">
      <c r="B2300" s="178"/>
      <c r="C2300" s="41"/>
      <c r="D2300" s="180"/>
      <c r="E2300" s="181"/>
      <c r="F2300" s="182"/>
      <c r="G2300" s="1" t="str">
        <f>IFERROR(IF(ventas_b_mes1255[[#This Row],[CUIT]]="","-",VLOOKUP(ventas_b_mes1255[[#This Row],[CUIT]],Lista_CUIT[#All],2,0)),"CUIT NO CARGADO")</f>
        <v>-</v>
      </c>
      <c r="H2300" s="100">
        <f>ventas_b_mes1255[[#This Row],[TOTAL]]/1.21</f>
        <v>0</v>
      </c>
      <c r="I2300" s="64">
        <f>ventas_b_mes1255[[#This Row],[IMPORTE NETO]]*0.21</f>
        <v>0</v>
      </c>
      <c r="J2300" s="184"/>
      <c r="K2300" s="184"/>
      <c r="L2300" s="184"/>
      <c r="M2300" s="59"/>
    </row>
    <row r="2301" spans="2:13" x14ac:dyDescent="0.3">
      <c r="B2301" s="178"/>
      <c r="C2301" s="41"/>
      <c r="D2301" s="180"/>
      <c r="E2301" s="181"/>
      <c r="F2301" s="182"/>
      <c r="G2301" s="1" t="str">
        <f>IFERROR(IF(ventas_b_mes1255[[#This Row],[CUIT]]="","-",VLOOKUP(ventas_b_mes1255[[#This Row],[CUIT]],Lista_CUIT[#All],2,0)),"CUIT NO CARGADO")</f>
        <v>-</v>
      </c>
      <c r="H2301" s="100">
        <f>ventas_b_mes1255[[#This Row],[TOTAL]]/1.21</f>
        <v>0</v>
      </c>
      <c r="I2301" s="64">
        <f>ventas_b_mes1255[[#This Row],[IMPORTE NETO]]*0.21</f>
        <v>0</v>
      </c>
      <c r="J2301" s="184"/>
      <c r="K2301" s="184"/>
      <c r="L2301" s="184"/>
      <c r="M2301" s="59"/>
    </row>
    <row r="2302" spans="2:13" x14ac:dyDescent="0.3">
      <c r="B2302" s="178"/>
      <c r="C2302" s="41"/>
      <c r="D2302" s="180"/>
      <c r="E2302" s="181"/>
      <c r="F2302" s="182"/>
      <c r="G2302" s="1" t="str">
        <f>IFERROR(IF(ventas_b_mes1255[[#This Row],[CUIT]]="","-",VLOOKUP(ventas_b_mes1255[[#This Row],[CUIT]],Lista_CUIT[#All],2,0)),"CUIT NO CARGADO")</f>
        <v>-</v>
      </c>
      <c r="H2302" s="100">
        <f>ventas_b_mes1255[[#This Row],[TOTAL]]/1.21</f>
        <v>0</v>
      </c>
      <c r="I2302" s="64">
        <f>ventas_b_mes1255[[#This Row],[IMPORTE NETO]]*0.21</f>
        <v>0</v>
      </c>
      <c r="J2302" s="184"/>
      <c r="K2302" s="184"/>
      <c r="L2302" s="184"/>
      <c r="M2302" s="59"/>
    </row>
    <row r="2303" spans="2:13" x14ac:dyDescent="0.3">
      <c r="B2303" s="178"/>
      <c r="C2303" s="41"/>
      <c r="D2303" s="180"/>
      <c r="E2303" s="181"/>
      <c r="F2303" s="182"/>
      <c r="G2303" s="1" t="str">
        <f>IFERROR(IF(ventas_b_mes1255[[#This Row],[CUIT]]="","-",VLOOKUP(ventas_b_mes1255[[#This Row],[CUIT]],Lista_CUIT[#All],2,0)),"CUIT NO CARGADO")</f>
        <v>-</v>
      </c>
      <c r="H2303" s="100">
        <f>ventas_b_mes1255[[#This Row],[TOTAL]]/1.21</f>
        <v>0</v>
      </c>
      <c r="I2303" s="64">
        <f>ventas_b_mes1255[[#This Row],[IMPORTE NETO]]*0.21</f>
        <v>0</v>
      </c>
      <c r="J2303" s="184"/>
      <c r="K2303" s="184"/>
      <c r="L2303" s="184"/>
      <c r="M2303" s="59"/>
    </row>
    <row r="2304" spans="2:13" x14ac:dyDescent="0.3">
      <c r="B2304" s="178"/>
      <c r="C2304" s="41"/>
      <c r="D2304" s="180"/>
      <c r="E2304" s="181"/>
      <c r="F2304" s="182"/>
      <c r="G2304" s="1" t="str">
        <f>IFERROR(IF(ventas_b_mes1255[[#This Row],[CUIT]]="","-",VLOOKUP(ventas_b_mes1255[[#This Row],[CUIT]],Lista_CUIT[#All],2,0)),"CUIT NO CARGADO")</f>
        <v>-</v>
      </c>
      <c r="H2304" s="100">
        <f>ventas_b_mes1255[[#This Row],[TOTAL]]/1.21</f>
        <v>0</v>
      </c>
      <c r="I2304" s="64">
        <f>ventas_b_mes1255[[#This Row],[IMPORTE NETO]]*0.21</f>
        <v>0</v>
      </c>
      <c r="J2304" s="184"/>
      <c r="K2304" s="184"/>
      <c r="L2304" s="184"/>
      <c r="M2304" s="59"/>
    </row>
    <row r="2305" spans="2:13" x14ac:dyDescent="0.3">
      <c r="B2305" s="178"/>
      <c r="C2305" s="41"/>
      <c r="D2305" s="180"/>
      <c r="E2305" s="181"/>
      <c r="F2305" s="182"/>
      <c r="G2305" s="1" t="str">
        <f>IFERROR(IF(ventas_b_mes1255[[#This Row],[CUIT]]="","-",VLOOKUP(ventas_b_mes1255[[#This Row],[CUIT]],Lista_CUIT[#All],2,0)),"CUIT NO CARGADO")</f>
        <v>-</v>
      </c>
      <c r="H2305" s="100">
        <f>ventas_b_mes1255[[#This Row],[TOTAL]]/1.21</f>
        <v>0</v>
      </c>
      <c r="I2305" s="64">
        <f>ventas_b_mes1255[[#This Row],[IMPORTE NETO]]*0.21</f>
        <v>0</v>
      </c>
      <c r="J2305" s="184"/>
      <c r="K2305" s="184"/>
      <c r="L2305" s="184"/>
      <c r="M2305" s="59"/>
    </row>
    <row r="2306" spans="2:13" x14ac:dyDescent="0.3">
      <c r="B2306" s="178"/>
      <c r="C2306" s="41"/>
      <c r="D2306" s="180"/>
      <c r="E2306" s="181"/>
      <c r="F2306" s="182"/>
      <c r="G2306" s="1" t="str">
        <f>IFERROR(IF(ventas_b_mes1255[[#This Row],[CUIT]]="","-",VLOOKUP(ventas_b_mes1255[[#This Row],[CUIT]],Lista_CUIT[#All],2,0)),"CUIT NO CARGADO")</f>
        <v>-</v>
      </c>
      <c r="H2306" s="100">
        <f>ventas_b_mes1255[[#This Row],[TOTAL]]/1.21</f>
        <v>0</v>
      </c>
      <c r="I2306" s="64">
        <f>ventas_b_mes1255[[#This Row],[IMPORTE NETO]]*0.21</f>
        <v>0</v>
      </c>
      <c r="J2306" s="184"/>
      <c r="K2306" s="184"/>
      <c r="L2306" s="184"/>
      <c r="M2306" s="59"/>
    </row>
    <row r="2307" spans="2:13" x14ac:dyDescent="0.3">
      <c r="B2307" s="178"/>
      <c r="C2307" s="41"/>
      <c r="D2307" s="180"/>
      <c r="E2307" s="181"/>
      <c r="F2307" s="182"/>
      <c r="G2307" s="1" t="str">
        <f>IFERROR(IF(ventas_b_mes1255[[#This Row],[CUIT]]="","-",VLOOKUP(ventas_b_mes1255[[#This Row],[CUIT]],Lista_CUIT[#All],2,0)),"CUIT NO CARGADO")</f>
        <v>-</v>
      </c>
      <c r="H2307" s="100">
        <f>ventas_b_mes1255[[#This Row],[TOTAL]]/1.21</f>
        <v>0</v>
      </c>
      <c r="I2307" s="64">
        <f>ventas_b_mes1255[[#This Row],[IMPORTE NETO]]*0.21</f>
        <v>0</v>
      </c>
      <c r="J2307" s="184"/>
      <c r="K2307" s="184"/>
      <c r="L2307" s="184"/>
      <c r="M2307" s="59"/>
    </row>
    <row r="2308" spans="2:13" x14ac:dyDescent="0.3">
      <c r="B2308" s="178"/>
      <c r="C2308" s="41"/>
      <c r="D2308" s="180"/>
      <c r="E2308" s="181"/>
      <c r="F2308" s="182"/>
      <c r="G2308" s="1" t="str">
        <f>IFERROR(IF(ventas_b_mes1255[[#This Row],[CUIT]]="","-",VLOOKUP(ventas_b_mes1255[[#This Row],[CUIT]],Lista_CUIT[#All],2,0)),"CUIT NO CARGADO")</f>
        <v>-</v>
      </c>
      <c r="H2308" s="100">
        <f>ventas_b_mes1255[[#This Row],[TOTAL]]/1.21</f>
        <v>0</v>
      </c>
      <c r="I2308" s="64">
        <f>ventas_b_mes1255[[#This Row],[IMPORTE NETO]]*0.21</f>
        <v>0</v>
      </c>
      <c r="J2308" s="184"/>
      <c r="K2308" s="184"/>
      <c r="L2308" s="184"/>
      <c r="M2308" s="59"/>
    </row>
    <row r="2309" spans="2:13" x14ac:dyDescent="0.3">
      <c r="B2309" s="178"/>
      <c r="C2309" s="41"/>
      <c r="D2309" s="180"/>
      <c r="E2309" s="181"/>
      <c r="F2309" s="182"/>
      <c r="G2309" s="1" t="str">
        <f>IFERROR(IF(ventas_b_mes1255[[#This Row],[CUIT]]="","-",VLOOKUP(ventas_b_mes1255[[#This Row],[CUIT]],Lista_CUIT[#All],2,0)),"CUIT NO CARGADO")</f>
        <v>-</v>
      </c>
      <c r="H2309" s="100">
        <f>ventas_b_mes1255[[#This Row],[TOTAL]]/1.21</f>
        <v>0</v>
      </c>
      <c r="I2309" s="64">
        <f>ventas_b_mes1255[[#This Row],[IMPORTE NETO]]*0.21</f>
        <v>0</v>
      </c>
      <c r="J2309" s="184"/>
      <c r="K2309" s="184"/>
      <c r="L2309" s="184"/>
      <c r="M2309" s="59"/>
    </row>
    <row r="2310" spans="2:13" x14ac:dyDescent="0.3">
      <c r="B2310" s="178"/>
      <c r="C2310" s="41"/>
      <c r="D2310" s="180"/>
      <c r="E2310" s="181"/>
      <c r="F2310" s="182"/>
      <c r="G2310" s="1" t="str">
        <f>IFERROR(IF(ventas_b_mes1255[[#This Row],[CUIT]]="","-",VLOOKUP(ventas_b_mes1255[[#This Row],[CUIT]],Lista_CUIT[#All],2,0)),"CUIT NO CARGADO")</f>
        <v>-</v>
      </c>
      <c r="H2310" s="100">
        <f>ventas_b_mes1255[[#This Row],[TOTAL]]/1.21</f>
        <v>0</v>
      </c>
      <c r="I2310" s="64">
        <f>ventas_b_mes1255[[#This Row],[IMPORTE NETO]]*0.21</f>
        <v>0</v>
      </c>
      <c r="J2310" s="184"/>
      <c r="K2310" s="184"/>
      <c r="L2310" s="184"/>
      <c r="M2310" s="59"/>
    </row>
    <row r="2311" spans="2:13" x14ac:dyDescent="0.3">
      <c r="B2311" s="178"/>
      <c r="C2311" s="41"/>
      <c r="D2311" s="180"/>
      <c r="E2311" s="181"/>
      <c r="F2311" s="182"/>
      <c r="G2311" s="1" t="str">
        <f>IFERROR(IF(ventas_b_mes1255[[#This Row],[CUIT]]="","-",VLOOKUP(ventas_b_mes1255[[#This Row],[CUIT]],Lista_CUIT[#All],2,0)),"CUIT NO CARGADO")</f>
        <v>-</v>
      </c>
      <c r="H2311" s="100">
        <f>ventas_b_mes1255[[#This Row],[TOTAL]]/1.21</f>
        <v>0</v>
      </c>
      <c r="I2311" s="64">
        <f>ventas_b_mes1255[[#This Row],[IMPORTE NETO]]*0.21</f>
        <v>0</v>
      </c>
      <c r="J2311" s="184"/>
      <c r="K2311" s="184"/>
      <c r="L2311" s="184"/>
      <c r="M2311" s="59"/>
    </row>
    <row r="2312" spans="2:13" x14ac:dyDescent="0.3">
      <c r="B2312" s="178"/>
      <c r="C2312" s="41"/>
      <c r="D2312" s="180"/>
      <c r="E2312" s="181"/>
      <c r="F2312" s="182"/>
      <c r="G2312" s="1" t="str">
        <f>IFERROR(IF(ventas_b_mes1255[[#This Row],[CUIT]]="","-",VLOOKUP(ventas_b_mes1255[[#This Row],[CUIT]],Lista_CUIT[#All],2,0)),"CUIT NO CARGADO")</f>
        <v>-</v>
      </c>
      <c r="H2312" s="100">
        <f>ventas_b_mes1255[[#This Row],[TOTAL]]/1.21</f>
        <v>0</v>
      </c>
      <c r="I2312" s="64">
        <f>ventas_b_mes1255[[#This Row],[IMPORTE NETO]]*0.21</f>
        <v>0</v>
      </c>
      <c r="J2312" s="184"/>
      <c r="K2312" s="184"/>
      <c r="L2312" s="184"/>
      <c r="M2312" s="59"/>
    </row>
    <row r="2313" spans="2:13" x14ac:dyDescent="0.3">
      <c r="B2313" s="178"/>
      <c r="C2313" s="41"/>
      <c r="D2313" s="180"/>
      <c r="E2313" s="181"/>
      <c r="F2313" s="182"/>
      <c r="G2313" s="1" t="str">
        <f>IFERROR(IF(ventas_b_mes1255[[#This Row],[CUIT]]="","-",VLOOKUP(ventas_b_mes1255[[#This Row],[CUIT]],Lista_CUIT[#All],2,0)),"CUIT NO CARGADO")</f>
        <v>-</v>
      </c>
      <c r="H2313" s="100">
        <f>ventas_b_mes1255[[#This Row],[TOTAL]]/1.21</f>
        <v>0</v>
      </c>
      <c r="I2313" s="64">
        <f>ventas_b_mes1255[[#This Row],[IMPORTE NETO]]*0.21</f>
        <v>0</v>
      </c>
      <c r="J2313" s="184"/>
      <c r="K2313" s="184"/>
      <c r="L2313" s="184"/>
      <c r="M2313" s="59"/>
    </row>
    <row r="2314" spans="2:13" x14ac:dyDescent="0.3">
      <c r="B2314" s="178"/>
      <c r="C2314" s="41"/>
      <c r="D2314" s="180"/>
      <c r="E2314" s="181"/>
      <c r="F2314" s="182"/>
      <c r="G2314" s="1" t="str">
        <f>IFERROR(IF(ventas_b_mes1255[[#This Row],[CUIT]]="","-",VLOOKUP(ventas_b_mes1255[[#This Row],[CUIT]],Lista_CUIT[#All],2,0)),"CUIT NO CARGADO")</f>
        <v>-</v>
      </c>
      <c r="H2314" s="100">
        <f>ventas_b_mes1255[[#This Row],[TOTAL]]/1.21</f>
        <v>0</v>
      </c>
      <c r="I2314" s="64">
        <f>ventas_b_mes1255[[#This Row],[IMPORTE NETO]]*0.21</f>
        <v>0</v>
      </c>
      <c r="J2314" s="184"/>
      <c r="K2314" s="184"/>
      <c r="L2314" s="184"/>
      <c r="M2314" s="59"/>
    </row>
    <row r="2315" spans="2:13" x14ac:dyDescent="0.3">
      <c r="B2315" s="178"/>
      <c r="C2315" s="41"/>
      <c r="D2315" s="180"/>
      <c r="E2315" s="181"/>
      <c r="F2315" s="182"/>
      <c r="G2315" s="1" t="str">
        <f>IFERROR(IF(ventas_b_mes1255[[#This Row],[CUIT]]="","-",VLOOKUP(ventas_b_mes1255[[#This Row],[CUIT]],Lista_CUIT[#All],2,0)),"CUIT NO CARGADO")</f>
        <v>-</v>
      </c>
      <c r="H2315" s="100">
        <f>ventas_b_mes1255[[#This Row],[TOTAL]]/1.21</f>
        <v>0</v>
      </c>
      <c r="I2315" s="64">
        <f>ventas_b_mes1255[[#This Row],[IMPORTE NETO]]*0.21</f>
        <v>0</v>
      </c>
      <c r="J2315" s="184"/>
      <c r="K2315" s="184"/>
      <c r="L2315" s="184"/>
      <c r="M2315" s="59"/>
    </row>
    <row r="2316" spans="2:13" x14ac:dyDescent="0.3">
      <c r="B2316" s="178"/>
      <c r="C2316" s="41"/>
      <c r="D2316" s="180"/>
      <c r="E2316" s="181"/>
      <c r="F2316" s="182"/>
      <c r="G2316" s="1" t="str">
        <f>IFERROR(IF(ventas_b_mes1255[[#This Row],[CUIT]]="","-",VLOOKUP(ventas_b_mes1255[[#This Row],[CUIT]],Lista_CUIT[#All],2,0)),"CUIT NO CARGADO")</f>
        <v>-</v>
      </c>
      <c r="H2316" s="100">
        <f>ventas_b_mes1255[[#This Row],[TOTAL]]/1.21</f>
        <v>0</v>
      </c>
      <c r="I2316" s="64">
        <f>ventas_b_mes1255[[#This Row],[IMPORTE NETO]]*0.21</f>
        <v>0</v>
      </c>
      <c r="J2316" s="184"/>
      <c r="K2316" s="184"/>
      <c r="L2316" s="184"/>
      <c r="M2316" s="59"/>
    </row>
    <row r="2317" spans="2:13" x14ac:dyDescent="0.3">
      <c r="B2317" s="178"/>
      <c r="C2317" s="41"/>
      <c r="D2317" s="180"/>
      <c r="E2317" s="181"/>
      <c r="F2317" s="182"/>
      <c r="G2317" s="1" t="str">
        <f>IFERROR(IF(ventas_b_mes1255[[#This Row],[CUIT]]="","-",VLOOKUP(ventas_b_mes1255[[#This Row],[CUIT]],Lista_CUIT[#All],2,0)),"CUIT NO CARGADO")</f>
        <v>-</v>
      </c>
      <c r="H2317" s="100">
        <f>ventas_b_mes1255[[#This Row],[TOTAL]]/1.21</f>
        <v>0</v>
      </c>
      <c r="I2317" s="64">
        <f>ventas_b_mes1255[[#This Row],[IMPORTE NETO]]*0.21</f>
        <v>0</v>
      </c>
      <c r="J2317" s="184"/>
      <c r="K2317" s="184"/>
      <c r="L2317" s="184"/>
      <c r="M2317" s="59"/>
    </row>
    <row r="2318" spans="2:13" x14ac:dyDescent="0.3">
      <c r="B2318" s="178"/>
      <c r="C2318" s="41"/>
      <c r="D2318" s="180"/>
      <c r="E2318" s="181"/>
      <c r="F2318" s="182"/>
      <c r="G2318" s="1" t="str">
        <f>IFERROR(IF(ventas_b_mes1255[[#This Row],[CUIT]]="","-",VLOOKUP(ventas_b_mes1255[[#This Row],[CUIT]],Lista_CUIT[#All],2,0)),"CUIT NO CARGADO")</f>
        <v>-</v>
      </c>
      <c r="H2318" s="100">
        <f>ventas_b_mes1255[[#This Row],[TOTAL]]/1.21</f>
        <v>0</v>
      </c>
      <c r="I2318" s="64">
        <f>ventas_b_mes1255[[#This Row],[IMPORTE NETO]]*0.21</f>
        <v>0</v>
      </c>
      <c r="J2318" s="184"/>
      <c r="K2318" s="184"/>
      <c r="L2318" s="184"/>
      <c r="M2318" s="59"/>
    </row>
    <row r="2319" spans="2:13" x14ac:dyDescent="0.3">
      <c r="B2319" s="178"/>
      <c r="C2319" s="41"/>
      <c r="D2319" s="180"/>
      <c r="E2319" s="181"/>
      <c r="F2319" s="182"/>
      <c r="G2319" s="1" t="str">
        <f>IFERROR(IF(ventas_b_mes1255[[#This Row],[CUIT]]="","-",VLOOKUP(ventas_b_mes1255[[#This Row],[CUIT]],Lista_CUIT[#All],2,0)),"CUIT NO CARGADO")</f>
        <v>-</v>
      </c>
      <c r="H2319" s="100">
        <f>ventas_b_mes1255[[#This Row],[TOTAL]]/1.21</f>
        <v>0</v>
      </c>
      <c r="I2319" s="64">
        <f>ventas_b_mes1255[[#This Row],[IMPORTE NETO]]*0.21</f>
        <v>0</v>
      </c>
      <c r="J2319" s="184"/>
      <c r="K2319" s="184"/>
      <c r="L2319" s="184"/>
      <c r="M2319" s="59"/>
    </row>
    <row r="2320" spans="2:13" x14ac:dyDescent="0.3">
      <c r="B2320" s="178"/>
      <c r="C2320" s="41"/>
      <c r="D2320" s="180"/>
      <c r="E2320" s="181"/>
      <c r="F2320" s="182"/>
      <c r="G2320" s="1" t="str">
        <f>IFERROR(IF(ventas_b_mes1255[[#This Row],[CUIT]]="","-",VLOOKUP(ventas_b_mes1255[[#This Row],[CUIT]],Lista_CUIT[#All],2,0)),"CUIT NO CARGADO")</f>
        <v>-</v>
      </c>
      <c r="H2320" s="100">
        <f>ventas_b_mes1255[[#This Row],[TOTAL]]/1.21</f>
        <v>0</v>
      </c>
      <c r="I2320" s="64">
        <f>ventas_b_mes1255[[#This Row],[IMPORTE NETO]]*0.21</f>
        <v>0</v>
      </c>
      <c r="J2320" s="184"/>
      <c r="K2320" s="184"/>
      <c r="L2320" s="184"/>
      <c r="M2320" s="59"/>
    </row>
    <row r="2321" spans="2:13" x14ac:dyDescent="0.3">
      <c r="B2321" s="178"/>
      <c r="C2321" s="41"/>
      <c r="D2321" s="180"/>
      <c r="E2321" s="181"/>
      <c r="F2321" s="182"/>
      <c r="G2321" s="1" t="str">
        <f>IFERROR(IF(ventas_b_mes1255[[#This Row],[CUIT]]="","-",VLOOKUP(ventas_b_mes1255[[#This Row],[CUIT]],Lista_CUIT[#All],2,0)),"CUIT NO CARGADO")</f>
        <v>-</v>
      </c>
      <c r="H2321" s="100">
        <f>ventas_b_mes1255[[#This Row],[TOTAL]]/1.21</f>
        <v>0</v>
      </c>
      <c r="I2321" s="64">
        <f>ventas_b_mes1255[[#This Row],[IMPORTE NETO]]*0.21</f>
        <v>0</v>
      </c>
      <c r="J2321" s="184"/>
      <c r="K2321" s="184"/>
      <c r="L2321" s="184"/>
      <c r="M2321" s="59"/>
    </row>
    <row r="2322" spans="2:13" x14ac:dyDescent="0.3">
      <c r="B2322" s="178"/>
      <c r="C2322" s="41"/>
      <c r="D2322" s="180"/>
      <c r="E2322" s="181"/>
      <c r="F2322" s="182"/>
      <c r="G2322" s="1" t="str">
        <f>IFERROR(IF(ventas_b_mes1255[[#This Row],[CUIT]]="","-",VLOOKUP(ventas_b_mes1255[[#This Row],[CUIT]],Lista_CUIT[#All],2,0)),"CUIT NO CARGADO")</f>
        <v>-</v>
      </c>
      <c r="H2322" s="100">
        <f>ventas_b_mes1255[[#This Row],[TOTAL]]/1.21</f>
        <v>0</v>
      </c>
      <c r="I2322" s="64">
        <f>ventas_b_mes1255[[#This Row],[IMPORTE NETO]]*0.21</f>
        <v>0</v>
      </c>
      <c r="J2322" s="184"/>
      <c r="K2322" s="184"/>
      <c r="L2322" s="184"/>
      <c r="M2322" s="59"/>
    </row>
    <row r="2323" spans="2:13" x14ac:dyDescent="0.3">
      <c r="B2323" s="178"/>
      <c r="C2323" s="41"/>
      <c r="D2323" s="180"/>
      <c r="E2323" s="181"/>
      <c r="F2323" s="182"/>
      <c r="G2323" s="1" t="str">
        <f>IFERROR(IF(ventas_b_mes1255[[#This Row],[CUIT]]="","-",VLOOKUP(ventas_b_mes1255[[#This Row],[CUIT]],Lista_CUIT[#All],2,0)),"CUIT NO CARGADO")</f>
        <v>-</v>
      </c>
      <c r="H2323" s="100">
        <f>ventas_b_mes1255[[#This Row],[TOTAL]]/1.21</f>
        <v>0</v>
      </c>
      <c r="I2323" s="64">
        <f>ventas_b_mes1255[[#This Row],[IMPORTE NETO]]*0.21</f>
        <v>0</v>
      </c>
      <c r="J2323" s="184"/>
      <c r="K2323" s="184"/>
      <c r="L2323" s="184"/>
      <c r="M2323" s="59"/>
    </row>
    <row r="2324" spans="2:13" x14ac:dyDescent="0.3">
      <c r="B2324" s="178"/>
      <c r="C2324" s="41"/>
      <c r="D2324" s="180"/>
      <c r="E2324" s="181"/>
      <c r="F2324" s="182"/>
      <c r="G2324" s="1" t="str">
        <f>IFERROR(IF(ventas_b_mes1255[[#This Row],[CUIT]]="","-",VLOOKUP(ventas_b_mes1255[[#This Row],[CUIT]],Lista_CUIT[#All],2,0)),"CUIT NO CARGADO")</f>
        <v>-</v>
      </c>
      <c r="H2324" s="100">
        <f>ventas_b_mes1255[[#This Row],[TOTAL]]/1.21</f>
        <v>0</v>
      </c>
      <c r="I2324" s="64">
        <f>ventas_b_mes1255[[#This Row],[IMPORTE NETO]]*0.21</f>
        <v>0</v>
      </c>
      <c r="J2324" s="184"/>
      <c r="K2324" s="184"/>
      <c r="L2324" s="184"/>
      <c r="M2324" s="59"/>
    </row>
    <row r="2325" spans="2:13" x14ac:dyDescent="0.3">
      <c r="B2325" s="178"/>
      <c r="C2325" s="41"/>
      <c r="D2325" s="180"/>
      <c r="E2325" s="181"/>
      <c r="F2325" s="182"/>
      <c r="G2325" s="1" t="str">
        <f>IFERROR(IF(ventas_b_mes1255[[#This Row],[CUIT]]="","-",VLOOKUP(ventas_b_mes1255[[#This Row],[CUIT]],Lista_CUIT[#All],2,0)),"CUIT NO CARGADO")</f>
        <v>-</v>
      </c>
      <c r="H2325" s="100">
        <f>ventas_b_mes1255[[#This Row],[TOTAL]]/1.21</f>
        <v>0</v>
      </c>
      <c r="I2325" s="64">
        <f>ventas_b_mes1255[[#This Row],[IMPORTE NETO]]*0.21</f>
        <v>0</v>
      </c>
      <c r="J2325" s="184"/>
      <c r="K2325" s="184"/>
      <c r="L2325" s="184"/>
      <c r="M2325" s="59"/>
    </row>
    <row r="2326" spans="2:13" x14ac:dyDescent="0.3">
      <c r="B2326" s="178"/>
      <c r="C2326" s="41"/>
      <c r="D2326" s="180"/>
      <c r="E2326" s="181"/>
      <c r="F2326" s="182"/>
      <c r="G2326" s="1" t="str">
        <f>IFERROR(IF(ventas_b_mes1255[[#This Row],[CUIT]]="","-",VLOOKUP(ventas_b_mes1255[[#This Row],[CUIT]],Lista_CUIT[#All],2,0)),"CUIT NO CARGADO")</f>
        <v>-</v>
      </c>
      <c r="H2326" s="100">
        <f>ventas_b_mes1255[[#This Row],[TOTAL]]/1.21</f>
        <v>0</v>
      </c>
      <c r="I2326" s="64">
        <f>ventas_b_mes1255[[#This Row],[IMPORTE NETO]]*0.21</f>
        <v>0</v>
      </c>
      <c r="J2326" s="184"/>
      <c r="K2326" s="184"/>
      <c r="L2326" s="184"/>
      <c r="M2326" s="59"/>
    </row>
    <row r="2327" spans="2:13" x14ac:dyDescent="0.3">
      <c r="B2327" s="178"/>
      <c r="C2327" s="41"/>
      <c r="D2327" s="180"/>
      <c r="E2327" s="181"/>
      <c r="F2327" s="182"/>
      <c r="G2327" s="1" t="str">
        <f>IFERROR(IF(ventas_b_mes1255[[#This Row],[CUIT]]="","-",VLOOKUP(ventas_b_mes1255[[#This Row],[CUIT]],Lista_CUIT[#All],2,0)),"CUIT NO CARGADO")</f>
        <v>-</v>
      </c>
      <c r="H2327" s="100">
        <f>ventas_b_mes1255[[#This Row],[TOTAL]]/1.21</f>
        <v>0</v>
      </c>
      <c r="I2327" s="64">
        <f>ventas_b_mes1255[[#This Row],[IMPORTE NETO]]*0.21</f>
        <v>0</v>
      </c>
      <c r="J2327" s="184"/>
      <c r="K2327" s="184"/>
      <c r="L2327" s="184"/>
      <c r="M2327" s="59"/>
    </row>
    <row r="2328" spans="2:13" x14ac:dyDescent="0.3">
      <c r="B2328" s="178"/>
      <c r="C2328" s="41"/>
      <c r="D2328" s="180"/>
      <c r="E2328" s="181"/>
      <c r="F2328" s="182"/>
      <c r="G2328" s="1" t="str">
        <f>IFERROR(IF(ventas_b_mes1255[[#This Row],[CUIT]]="","-",VLOOKUP(ventas_b_mes1255[[#This Row],[CUIT]],Lista_CUIT[#All],2,0)),"CUIT NO CARGADO")</f>
        <v>-</v>
      </c>
      <c r="H2328" s="100">
        <f>ventas_b_mes1255[[#This Row],[TOTAL]]/1.21</f>
        <v>0</v>
      </c>
      <c r="I2328" s="64">
        <f>ventas_b_mes1255[[#This Row],[IMPORTE NETO]]*0.21</f>
        <v>0</v>
      </c>
      <c r="J2328" s="184"/>
      <c r="K2328" s="184"/>
      <c r="L2328" s="184"/>
      <c r="M2328" s="59"/>
    </row>
    <row r="2329" spans="2:13" x14ac:dyDescent="0.3">
      <c r="B2329" s="178"/>
      <c r="C2329" s="41"/>
      <c r="D2329" s="180"/>
      <c r="E2329" s="181"/>
      <c r="F2329" s="182"/>
      <c r="G2329" s="1" t="str">
        <f>IFERROR(IF(ventas_b_mes1255[[#This Row],[CUIT]]="","-",VLOOKUP(ventas_b_mes1255[[#This Row],[CUIT]],Lista_CUIT[#All],2,0)),"CUIT NO CARGADO")</f>
        <v>-</v>
      </c>
      <c r="H2329" s="100">
        <f>ventas_b_mes1255[[#This Row],[TOTAL]]/1.21</f>
        <v>0</v>
      </c>
      <c r="I2329" s="64">
        <f>ventas_b_mes1255[[#This Row],[IMPORTE NETO]]*0.21</f>
        <v>0</v>
      </c>
      <c r="J2329" s="184"/>
      <c r="K2329" s="184"/>
      <c r="L2329" s="184"/>
      <c r="M2329" s="59"/>
    </row>
    <row r="2330" spans="2:13" x14ac:dyDescent="0.3">
      <c r="B2330" s="178"/>
      <c r="C2330" s="41"/>
      <c r="D2330" s="180"/>
      <c r="E2330" s="181"/>
      <c r="F2330" s="182"/>
      <c r="G2330" s="1" t="str">
        <f>IFERROR(IF(ventas_b_mes1255[[#This Row],[CUIT]]="","-",VLOOKUP(ventas_b_mes1255[[#This Row],[CUIT]],Lista_CUIT[#All],2,0)),"CUIT NO CARGADO")</f>
        <v>-</v>
      </c>
      <c r="H2330" s="100">
        <f>ventas_b_mes1255[[#This Row],[TOTAL]]/1.21</f>
        <v>0</v>
      </c>
      <c r="I2330" s="64">
        <f>ventas_b_mes1255[[#This Row],[IMPORTE NETO]]*0.21</f>
        <v>0</v>
      </c>
      <c r="J2330" s="184"/>
      <c r="K2330" s="184"/>
      <c r="L2330" s="184"/>
      <c r="M2330" s="59"/>
    </row>
    <row r="2331" spans="2:13" x14ac:dyDescent="0.3">
      <c r="B2331" s="178"/>
      <c r="C2331" s="41"/>
      <c r="D2331" s="180"/>
      <c r="E2331" s="181"/>
      <c r="F2331" s="182"/>
      <c r="G2331" s="1" t="str">
        <f>IFERROR(IF(ventas_b_mes1255[[#This Row],[CUIT]]="","-",VLOOKUP(ventas_b_mes1255[[#This Row],[CUIT]],Lista_CUIT[#All],2,0)),"CUIT NO CARGADO")</f>
        <v>-</v>
      </c>
      <c r="H2331" s="100">
        <f>ventas_b_mes1255[[#This Row],[TOTAL]]/1.21</f>
        <v>0</v>
      </c>
      <c r="I2331" s="64">
        <f>ventas_b_mes1255[[#This Row],[IMPORTE NETO]]*0.21</f>
        <v>0</v>
      </c>
      <c r="J2331" s="184"/>
      <c r="K2331" s="184"/>
      <c r="L2331" s="184"/>
      <c r="M2331" s="59"/>
    </row>
    <row r="2332" spans="2:13" x14ac:dyDescent="0.3">
      <c r="B2332" s="178"/>
      <c r="C2332" s="41"/>
      <c r="D2332" s="180"/>
      <c r="E2332" s="181"/>
      <c r="F2332" s="182"/>
      <c r="G2332" s="1" t="str">
        <f>IFERROR(IF(ventas_b_mes1255[[#This Row],[CUIT]]="","-",VLOOKUP(ventas_b_mes1255[[#This Row],[CUIT]],Lista_CUIT[#All],2,0)),"CUIT NO CARGADO")</f>
        <v>-</v>
      </c>
      <c r="H2332" s="100">
        <f>ventas_b_mes1255[[#This Row],[TOTAL]]/1.21</f>
        <v>0</v>
      </c>
      <c r="I2332" s="64">
        <f>ventas_b_mes1255[[#This Row],[IMPORTE NETO]]*0.21</f>
        <v>0</v>
      </c>
      <c r="J2332" s="184"/>
      <c r="K2332" s="184"/>
      <c r="L2332" s="184"/>
      <c r="M2332" s="59"/>
    </row>
    <row r="2333" spans="2:13" x14ac:dyDescent="0.3">
      <c r="B2333" s="178"/>
      <c r="C2333" s="41"/>
      <c r="D2333" s="180"/>
      <c r="E2333" s="181"/>
      <c r="F2333" s="182"/>
      <c r="G2333" s="1" t="str">
        <f>IFERROR(IF(ventas_b_mes1255[[#This Row],[CUIT]]="","-",VLOOKUP(ventas_b_mes1255[[#This Row],[CUIT]],Lista_CUIT[#All],2,0)),"CUIT NO CARGADO")</f>
        <v>-</v>
      </c>
      <c r="H2333" s="100">
        <f>ventas_b_mes1255[[#This Row],[TOTAL]]/1.21</f>
        <v>0</v>
      </c>
      <c r="I2333" s="64">
        <f>ventas_b_mes1255[[#This Row],[IMPORTE NETO]]*0.21</f>
        <v>0</v>
      </c>
      <c r="J2333" s="184"/>
      <c r="K2333" s="184"/>
      <c r="L2333" s="184"/>
      <c r="M2333" s="59"/>
    </row>
    <row r="2334" spans="2:13" x14ac:dyDescent="0.3">
      <c r="B2334" s="178"/>
      <c r="C2334" s="41"/>
      <c r="D2334" s="180"/>
      <c r="E2334" s="181"/>
      <c r="F2334" s="182"/>
      <c r="G2334" s="1" t="str">
        <f>IFERROR(IF(ventas_b_mes1255[[#This Row],[CUIT]]="","-",VLOOKUP(ventas_b_mes1255[[#This Row],[CUIT]],Lista_CUIT[#All],2,0)),"CUIT NO CARGADO")</f>
        <v>-</v>
      </c>
      <c r="H2334" s="100">
        <f>ventas_b_mes1255[[#This Row],[TOTAL]]/1.21</f>
        <v>0</v>
      </c>
      <c r="I2334" s="64">
        <f>ventas_b_mes1255[[#This Row],[IMPORTE NETO]]*0.21</f>
        <v>0</v>
      </c>
      <c r="J2334" s="184"/>
      <c r="K2334" s="184"/>
      <c r="L2334" s="184"/>
      <c r="M2334" s="59"/>
    </row>
    <row r="2335" spans="2:13" x14ac:dyDescent="0.3">
      <c r="B2335" s="178"/>
      <c r="C2335" s="41"/>
      <c r="D2335" s="180"/>
      <c r="E2335" s="181"/>
      <c r="F2335" s="182"/>
      <c r="G2335" s="1" t="str">
        <f>IFERROR(IF(ventas_b_mes1255[[#This Row],[CUIT]]="","-",VLOOKUP(ventas_b_mes1255[[#This Row],[CUIT]],Lista_CUIT[#All],2,0)),"CUIT NO CARGADO")</f>
        <v>-</v>
      </c>
      <c r="H2335" s="100">
        <f>ventas_b_mes1255[[#This Row],[TOTAL]]/1.21</f>
        <v>0</v>
      </c>
      <c r="I2335" s="64">
        <f>ventas_b_mes1255[[#This Row],[IMPORTE NETO]]*0.21</f>
        <v>0</v>
      </c>
      <c r="J2335" s="184"/>
      <c r="K2335" s="184"/>
      <c r="L2335" s="184"/>
      <c r="M2335" s="59"/>
    </row>
    <row r="2336" spans="2:13" x14ac:dyDescent="0.3">
      <c r="B2336" s="178"/>
      <c r="C2336" s="41"/>
      <c r="D2336" s="180"/>
      <c r="E2336" s="181"/>
      <c r="F2336" s="182"/>
      <c r="G2336" s="1" t="str">
        <f>IFERROR(IF(ventas_b_mes1255[[#This Row],[CUIT]]="","-",VLOOKUP(ventas_b_mes1255[[#This Row],[CUIT]],Lista_CUIT[#All],2,0)),"CUIT NO CARGADO")</f>
        <v>-</v>
      </c>
      <c r="H2336" s="100">
        <f>ventas_b_mes1255[[#This Row],[TOTAL]]/1.21</f>
        <v>0</v>
      </c>
      <c r="I2336" s="64">
        <f>ventas_b_mes1255[[#This Row],[IMPORTE NETO]]*0.21</f>
        <v>0</v>
      </c>
      <c r="J2336" s="184"/>
      <c r="K2336" s="184"/>
      <c r="L2336" s="184"/>
      <c r="M2336" s="59"/>
    </row>
    <row r="2337" spans="2:13" x14ac:dyDescent="0.3">
      <c r="B2337" s="178"/>
      <c r="C2337" s="41"/>
      <c r="D2337" s="180"/>
      <c r="E2337" s="181"/>
      <c r="F2337" s="182"/>
      <c r="G2337" s="1" t="str">
        <f>IFERROR(IF(ventas_b_mes1255[[#This Row],[CUIT]]="","-",VLOOKUP(ventas_b_mes1255[[#This Row],[CUIT]],Lista_CUIT[#All],2,0)),"CUIT NO CARGADO")</f>
        <v>-</v>
      </c>
      <c r="H2337" s="100">
        <f>ventas_b_mes1255[[#This Row],[TOTAL]]/1.21</f>
        <v>0</v>
      </c>
      <c r="I2337" s="64">
        <f>ventas_b_mes1255[[#This Row],[IMPORTE NETO]]*0.21</f>
        <v>0</v>
      </c>
      <c r="J2337" s="184"/>
      <c r="K2337" s="184"/>
      <c r="L2337" s="184"/>
      <c r="M2337" s="59"/>
    </row>
    <row r="2338" spans="2:13" x14ac:dyDescent="0.3">
      <c r="B2338" s="178"/>
      <c r="C2338" s="41"/>
      <c r="D2338" s="180"/>
      <c r="E2338" s="181"/>
      <c r="F2338" s="182"/>
      <c r="G2338" s="1" t="str">
        <f>IFERROR(IF(ventas_b_mes1255[[#This Row],[CUIT]]="","-",VLOOKUP(ventas_b_mes1255[[#This Row],[CUIT]],Lista_CUIT[#All],2,0)),"CUIT NO CARGADO")</f>
        <v>-</v>
      </c>
      <c r="H2338" s="100">
        <f>ventas_b_mes1255[[#This Row],[TOTAL]]/1.21</f>
        <v>0</v>
      </c>
      <c r="I2338" s="64">
        <f>ventas_b_mes1255[[#This Row],[IMPORTE NETO]]*0.21</f>
        <v>0</v>
      </c>
      <c r="J2338" s="184"/>
      <c r="K2338" s="184"/>
      <c r="L2338" s="184"/>
      <c r="M2338" s="59"/>
    </row>
    <row r="2339" spans="2:13" x14ac:dyDescent="0.3">
      <c r="B2339" s="178"/>
      <c r="C2339" s="41"/>
      <c r="D2339" s="180"/>
      <c r="E2339" s="181"/>
      <c r="F2339" s="182"/>
      <c r="G2339" s="1" t="str">
        <f>IFERROR(IF(ventas_b_mes1255[[#This Row],[CUIT]]="","-",VLOOKUP(ventas_b_mes1255[[#This Row],[CUIT]],Lista_CUIT[#All],2,0)),"CUIT NO CARGADO")</f>
        <v>-</v>
      </c>
      <c r="H2339" s="100">
        <f>ventas_b_mes1255[[#This Row],[TOTAL]]/1.21</f>
        <v>0</v>
      </c>
      <c r="I2339" s="64">
        <f>ventas_b_mes1255[[#This Row],[IMPORTE NETO]]*0.21</f>
        <v>0</v>
      </c>
      <c r="J2339" s="184"/>
      <c r="K2339" s="184"/>
      <c r="L2339" s="184"/>
      <c r="M2339" s="59"/>
    </row>
    <row r="2340" spans="2:13" x14ac:dyDescent="0.3">
      <c r="B2340" s="178"/>
      <c r="C2340" s="41"/>
      <c r="D2340" s="180"/>
      <c r="E2340" s="181"/>
      <c r="F2340" s="182"/>
      <c r="G2340" s="1" t="str">
        <f>IFERROR(IF(ventas_b_mes1255[[#This Row],[CUIT]]="","-",VLOOKUP(ventas_b_mes1255[[#This Row],[CUIT]],Lista_CUIT[#All],2,0)),"CUIT NO CARGADO")</f>
        <v>-</v>
      </c>
      <c r="H2340" s="100">
        <f>ventas_b_mes1255[[#This Row],[TOTAL]]/1.21</f>
        <v>0</v>
      </c>
      <c r="I2340" s="64">
        <f>ventas_b_mes1255[[#This Row],[IMPORTE NETO]]*0.21</f>
        <v>0</v>
      </c>
      <c r="J2340" s="184"/>
      <c r="K2340" s="184"/>
      <c r="L2340" s="184"/>
      <c r="M2340" s="59"/>
    </row>
    <row r="2341" spans="2:13" x14ac:dyDescent="0.3">
      <c r="B2341" s="178"/>
      <c r="C2341" s="41"/>
      <c r="D2341" s="180"/>
      <c r="E2341" s="181"/>
      <c r="F2341" s="182"/>
      <c r="G2341" s="1" t="str">
        <f>IFERROR(IF(ventas_b_mes1255[[#This Row],[CUIT]]="","-",VLOOKUP(ventas_b_mes1255[[#This Row],[CUIT]],Lista_CUIT[#All],2,0)),"CUIT NO CARGADO")</f>
        <v>-</v>
      </c>
      <c r="H2341" s="100">
        <f>ventas_b_mes1255[[#This Row],[TOTAL]]/1.21</f>
        <v>0</v>
      </c>
      <c r="I2341" s="64">
        <f>ventas_b_mes1255[[#This Row],[IMPORTE NETO]]*0.21</f>
        <v>0</v>
      </c>
      <c r="J2341" s="184"/>
      <c r="K2341" s="184"/>
      <c r="L2341" s="184"/>
      <c r="M2341" s="59"/>
    </row>
    <row r="2342" spans="2:13" x14ac:dyDescent="0.3">
      <c r="B2342" s="178"/>
      <c r="C2342" s="41"/>
      <c r="D2342" s="180"/>
      <c r="E2342" s="181"/>
      <c r="F2342" s="182"/>
      <c r="G2342" s="1" t="str">
        <f>IFERROR(IF(ventas_b_mes1255[[#This Row],[CUIT]]="","-",VLOOKUP(ventas_b_mes1255[[#This Row],[CUIT]],Lista_CUIT[#All],2,0)),"CUIT NO CARGADO")</f>
        <v>-</v>
      </c>
      <c r="H2342" s="100">
        <f>ventas_b_mes1255[[#This Row],[TOTAL]]/1.21</f>
        <v>0</v>
      </c>
      <c r="I2342" s="64">
        <f>ventas_b_mes1255[[#This Row],[IMPORTE NETO]]*0.21</f>
        <v>0</v>
      </c>
      <c r="J2342" s="184"/>
      <c r="K2342" s="184"/>
      <c r="L2342" s="184"/>
      <c r="M2342" s="59"/>
    </row>
    <row r="2343" spans="2:13" x14ac:dyDescent="0.3">
      <c r="B2343" s="178"/>
      <c r="C2343" s="41"/>
      <c r="D2343" s="180"/>
      <c r="E2343" s="181"/>
      <c r="F2343" s="182"/>
      <c r="G2343" s="1" t="str">
        <f>IFERROR(IF(ventas_b_mes1255[[#This Row],[CUIT]]="","-",VLOOKUP(ventas_b_mes1255[[#This Row],[CUIT]],Lista_CUIT[#All],2,0)),"CUIT NO CARGADO")</f>
        <v>-</v>
      </c>
      <c r="H2343" s="100">
        <f>ventas_b_mes1255[[#This Row],[TOTAL]]/1.21</f>
        <v>0</v>
      </c>
      <c r="I2343" s="64">
        <f>ventas_b_mes1255[[#This Row],[IMPORTE NETO]]*0.21</f>
        <v>0</v>
      </c>
      <c r="J2343" s="184"/>
      <c r="K2343" s="184"/>
      <c r="L2343" s="184"/>
      <c r="M2343" s="59"/>
    </row>
    <row r="2344" spans="2:13" x14ac:dyDescent="0.3">
      <c r="B2344" s="178"/>
      <c r="C2344" s="41"/>
      <c r="D2344" s="180"/>
      <c r="E2344" s="181"/>
      <c r="F2344" s="182"/>
      <c r="G2344" s="1" t="str">
        <f>IFERROR(IF(ventas_b_mes1255[[#This Row],[CUIT]]="","-",VLOOKUP(ventas_b_mes1255[[#This Row],[CUIT]],Lista_CUIT[#All],2,0)),"CUIT NO CARGADO")</f>
        <v>-</v>
      </c>
      <c r="H2344" s="100">
        <f>ventas_b_mes1255[[#This Row],[TOTAL]]/1.21</f>
        <v>0</v>
      </c>
      <c r="I2344" s="64">
        <f>ventas_b_mes1255[[#This Row],[IMPORTE NETO]]*0.21</f>
        <v>0</v>
      </c>
      <c r="J2344" s="184"/>
      <c r="K2344" s="184"/>
      <c r="L2344" s="184"/>
      <c r="M2344" s="59"/>
    </row>
    <row r="2345" spans="2:13" x14ac:dyDescent="0.3">
      <c r="B2345" s="178"/>
      <c r="C2345" s="41"/>
      <c r="D2345" s="180"/>
      <c r="E2345" s="181"/>
      <c r="F2345" s="182"/>
      <c r="G2345" s="1" t="str">
        <f>IFERROR(IF(ventas_b_mes1255[[#This Row],[CUIT]]="","-",VLOOKUP(ventas_b_mes1255[[#This Row],[CUIT]],Lista_CUIT[#All],2,0)),"CUIT NO CARGADO")</f>
        <v>-</v>
      </c>
      <c r="H2345" s="100">
        <f>ventas_b_mes1255[[#This Row],[TOTAL]]/1.21</f>
        <v>0</v>
      </c>
      <c r="I2345" s="64">
        <f>ventas_b_mes1255[[#This Row],[IMPORTE NETO]]*0.21</f>
        <v>0</v>
      </c>
      <c r="J2345" s="184"/>
      <c r="K2345" s="184"/>
      <c r="L2345" s="184"/>
      <c r="M2345" s="59"/>
    </row>
    <row r="2346" spans="2:13" x14ac:dyDescent="0.3">
      <c r="B2346" s="178"/>
      <c r="C2346" s="41"/>
      <c r="D2346" s="180"/>
      <c r="E2346" s="181"/>
      <c r="F2346" s="182"/>
      <c r="G2346" s="1" t="str">
        <f>IFERROR(IF(ventas_b_mes1255[[#This Row],[CUIT]]="","-",VLOOKUP(ventas_b_mes1255[[#This Row],[CUIT]],Lista_CUIT[#All],2,0)),"CUIT NO CARGADO")</f>
        <v>-</v>
      </c>
      <c r="H2346" s="100">
        <f>ventas_b_mes1255[[#This Row],[TOTAL]]/1.21</f>
        <v>0</v>
      </c>
      <c r="I2346" s="64">
        <f>ventas_b_mes1255[[#This Row],[IMPORTE NETO]]*0.21</f>
        <v>0</v>
      </c>
      <c r="J2346" s="184"/>
      <c r="K2346" s="184"/>
      <c r="L2346" s="184"/>
      <c r="M2346" s="59"/>
    </row>
    <row r="2347" spans="2:13" x14ac:dyDescent="0.3">
      <c r="B2347" s="178"/>
      <c r="C2347" s="41"/>
      <c r="D2347" s="180"/>
      <c r="E2347" s="181"/>
      <c r="F2347" s="182"/>
      <c r="G2347" s="1" t="str">
        <f>IFERROR(IF(ventas_b_mes1255[[#This Row],[CUIT]]="","-",VLOOKUP(ventas_b_mes1255[[#This Row],[CUIT]],Lista_CUIT[#All],2,0)),"CUIT NO CARGADO")</f>
        <v>-</v>
      </c>
      <c r="H2347" s="100">
        <f>ventas_b_mes1255[[#This Row],[TOTAL]]/1.21</f>
        <v>0</v>
      </c>
      <c r="I2347" s="64">
        <f>ventas_b_mes1255[[#This Row],[IMPORTE NETO]]*0.21</f>
        <v>0</v>
      </c>
      <c r="J2347" s="184"/>
      <c r="K2347" s="184"/>
      <c r="L2347" s="184"/>
      <c r="M2347" s="59"/>
    </row>
    <row r="2348" spans="2:13" x14ac:dyDescent="0.3">
      <c r="B2348" s="178"/>
      <c r="C2348" s="41"/>
      <c r="D2348" s="180"/>
      <c r="E2348" s="181"/>
      <c r="F2348" s="182"/>
      <c r="G2348" s="1" t="str">
        <f>IFERROR(IF(ventas_b_mes1255[[#This Row],[CUIT]]="","-",VLOOKUP(ventas_b_mes1255[[#This Row],[CUIT]],Lista_CUIT[#All],2,0)),"CUIT NO CARGADO")</f>
        <v>-</v>
      </c>
      <c r="H2348" s="100">
        <f>ventas_b_mes1255[[#This Row],[TOTAL]]/1.21</f>
        <v>0</v>
      </c>
      <c r="I2348" s="64">
        <f>ventas_b_mes1255[[#This Row],[IMPORTE NETO]]*0.21</f>
        <v>0</v>
      </c>
      <c r="J2348" s="184"/>
      <c r="K2348" s="184"/>
      <c r="L2348" s="184"/>
      <c r="M2348" s="59"/>
    </row>
    <row r="2349" spans="2:13" x14ac:dyDescent="0.3">
      <c r="B2349" s="178"/>
      <c r="C2349" s="41"/>
      <c r="D2349" s="180"/>
      <c r="E2349" s="181"/>
      <c r="F2349" s="182"/>
      <c r="G2349" s="1" t="str">
        <f>IFERROR(IF(ventas_b_mes1255[[#This Row],[CUIT]]="","-",VLOOKUP(ventas_b_mes1255[[#This Row],[CUIT]],Lista_CUIT[#All],2,0)),"CUIT NO CARGADO")</f>
        <v>-</v>
      </c>
      <c r="H2349" s="100">
        <f>ventas_b_mes1255[[#This Row],[TOTAL]]/1.21</f>
        <v>0</v>
      </c>
      <c r="I2349" s="64">
        <f>ventas_b_mes1255[[#This Row],[IMPORTE NETO]]*0.21</f>
        <v>0</v>
      </c>
      <c r="J2349" s="184"/>
      <c r="K2349" s="184"/>
      <c r="L2349" s="184"/>
      <c r="M2349" s="59"/>
    </row>
    <row r="2350" spans="2:13" x14ac:dyDescent="0.3">
      <c r="B2350" s="178"/>
      <c r="C2350" s="41"/>
      <c r="D2350" s="180"/>
      <c r="E2350" s="181"/>
      <c r="F2350" s="182"/>
      <c r="G2350" s="1" t="str">
        <f>IFERROR(IF(ventas_b_mes1255[[#This Row],[CUIT]]="","-",VLOOKUP(ventas_b_mes1255[[#This Row],[CUIT]],Lista_CUIT[#All],2,0)),"CUIT NO CARGADO")</f>
        <v>-</v>
      </c>
      <c r="H2350" s="100">
        <f>ventas_b_mes1255[[#This Row],[TOTAL]]/1.21</f>
        <v>0</v>
      </c>
      <c r="I2350" s="64">
        <f>ventas_b_mes1255[[#This Row],[IMPORTE NETO]]*0.21</f>
        <v>0</v>
      </c>
      <c r="J2350" s="184"/>
      <c r="K2350" s="184"/>
      <c r="L2350" s="184"/>
      <c r="M2350" s="59"/>
    </row>
    <row r="2351" spans="2:13" x14ac:dyDescent="0.3">
      <c r="B2351" s="178"/>
      <c r="C2351" s="41"/>
      <c r="D2351" s="180"/>
      <c r="E2351" s="181"/>
      <c r="F2351" s="182"/>
      <c r="G2351" s="1" t="str">
        <f>IFERROR(IF(ventas_b_mes1255[[#This Row],[CUIT]]="","-",VLOOKUP(ventas_b_mes1255[[#This Row],[CUIT]],Lista_CUIT[#All],2,0)),"CUIT NO CARGADO")</f>
        <v>-</v>
      </c>
      <c r="H2351" s="100">
        <f>ventas_b_mes1255[[#This Row],[TOTAL]]/1.21</f>
        <v>0</v>
      </c>
      <c r="I2351" s="64">
        <f>ventas_b_mes1255[[#This Row],[IMPORTE NETO]]*0.21</f>
        <v>0</v>
      </c>
      <c r="J2351" s="184"/>
      <c r="K2351" s="184"/>
      <c r="L2351" s="184"/>
      <c r="M2351" s="59"/>
    </row>
    <row r="2352" spans="2:13" x14ac:dyDescent="0.3">
      <c r="B2352" s="178"/>
      <c r="C2352" s="41"/>
      <c r="D2352" s="180"/>
      <c r="E2352" s="181"/>
      <c r="F2352" s="182"/>
      <c r="G2352" s="1" t="str">
        <f>IFERROR(IF(ventas_b_mes1255[[#This Row],[CUIT]]="","-",VLOOKUP(ventas_b_mes1255[[#This Row],[CUIT]],Lista_CUIT[#All],2,0)),"CUIT NO CARGADO")</f>
        <v>-</v>
      </c>
      <c r="H2352" s="100">
        <f>ventas_b_mes1255[[#This Row],[TOTAL]]/1.21</f>
        <v>0</v>
      </c>
      <c r="I2352" s="64">
        <f>ventas_b_mes1255[[#This Row],[IMPORTE NETO]]*0.21</f>
        <v>0</v>
      </c>
      <c r="J2352" s="184"/>
      <c r="K2352" s="184"/>
      <c r="L2352" s="184"/>
      <c r="M2352" s="59"/>
    </row>
    <row r="2353" spans="2:13" x14ac:dyDescent="0.3">
      <c r="B2353" s="178"/>
      <c r="C2353" s="41"/>
      <c r="D2353" s="180"/>
      <c r="E2353" s="181"/>
      <c r="F2353" s="182"/>
      <c r="G2353" s="1" t="str">
        <f>IFERROR(IF(ventas_b_mes1255[[#This Row],[CUIT]]="","-",VLOOKUP(ventas_b_mes1255[[#This Row],[CUIT]],Lista_CUIT[#All],2,0)),"CUIT NO CARGADO")</f>
        <v>-</v>
      </c>
      <c r="H2353" s="100">
        <f>ventas_b_mes1255[[#This Row],[TOTAL]]/1.21</f>
        <v>0</v>
      </c>
      <c r="I2353" s="64">
        <f>ventas_b_mes1255[[#This Row],[IMPORTE NETO]]*0.21</f>
        <v>0</v>
      </c>
      <c r="J2353" s="184"/>
      <c r="K2353" s="184"/>
      <c r="L2353" s="184"/>
      <c r="M2353" s="59"/>
    </row>
    <row r="2354" spans="2:13" x14ac:dyDescent="0.3">
      <c r="B2354" s="178"/>
      <c r="C2354" s="41"/>
      <c r="D2354" s="180"/>
      <c r="E2354" s="181"/>
      <c r="F2354" s="182"/>
      <c r="G2354" s="1" t="str">
        <f>IFERROR(IF(ventas_b_mes1255[[#This Row],[CUIT]]="","-",VLOOKUP(ventas_b_mes1255[[#This Row],[CUIT]],Lista_CUIT[#All],2,0)),"CUIT NO CARGADO")</f>
        <v>-</v>
      </c>
      <c r="H2354" s="100">
        <f>ventas_b_mes1255[[#This Row],[TOTAL]]/1.21</f>
        <v>0</v>
      </c>
      <c r="I2354" s="64">
        <f>ventas_b_mes1255[[#This Row],[IMPORTE NETO]]*0.21</f>
        <v>0</v>
      </c>
      <c r="J2354" s="184"/>
      <c r="K2354" s="184"/>
      <c r="L2354" s="184"/>
      <c r="M2354" s="59"/>
    </row>
    <row r="2355" spans="2:13" x14ac:dyDescent="0.3">
      <c r="B2355" s="178"/>
      <c r="C2355" s="41"/>
      <c r="D2355" s="180"/>
      <c r="E2355" s="181"/>
      <c r="F2355" s="182"/>
      <c r="G2355" s="1" t="str">
        <f>IFERROR(IF(ventas_b_mes1255[[#This Row],[CUIT]]="","-",VLOOKUP(ventas_b_mes1255[[#This Row],[CUIT]],Lista_CUIT[#All],2,0)),"CUIT NO CARGADO")</f>
        <v>-</v>
      </c>
      <c r="H2355" s="100">
        <f>ventas_b_mes1255[[#This Row],[TOTAL]]/1.21</f>
        <v>0</v>
      </c>
      <c r="I2355" s="64">
        <f>ventas_b_mes1255[[#This Row],[IMPORTE NETO]]*0.21</f>
        <v>0</v>
      </c>
      <c r="J2355" s="184"/>
      <c r="K2355" s="184"/>
      <c r="L2355" s="184"/>
      <c r="M2355" s="59"/>
    </row>
    <row r="2356" spans="2:13" x14ac:dyDescent="0.3">
      <c r="B2356" s="178"/>
      <c r="C2356" s="41"/>
      <c r="D2356" s="180"/>
      <c r="E2356" s="181"/>
      <c r="F2356" s="182"/>
      <c r="G2356" s="1" t="str">
        <f>IFERROR(IF(ventas_b_mes1255[[#This Row],[CUIT]]="","-",VLOOKUP(ventas_b_mes1255[[#This Row],[CUIT]],Lista_CUIT[#All],2,0)),"CUIT NO CARGADO")</f>
        <v>-</v>
      </c>
      <c r="H2356" s="100">
        <f>ventas_b_mes1255[[#This Row],[TOTAL]]/1.21</f>
        <v>0</v>
      </c>
      <c r="I2356" s="64">
        <f>ventas_b_mes1255[[#This Row],[IMPORTE NETO]]*0.21</f>
        <v>0</v>
      </c>
      <c r="J2356" s="184"/>
      <c r="K2356" s="184"/>
      <c r="L2356" s="184"/>
      <c r="M2356" s="59"/>
    </row>
    <row r="2357" spans="2:13" x14ac:dyDescent="0.3">
      <c r="B2357" s="178"/>
      <c r="C2357" s="41"/>
      <c r="D2357" s="180"/>
      <c r="E2357" s="181"/>
      <c r="F2357" s="182"/>
      <c r="G2357" s="1" t="str">
        <f>IFERROR(IF(ventas_b_mes1255[[#This Row],[CUIT]]="","-",VLOOKUP(ventas_b_mes1255[[#This Row],[CUIT]],Lista_CUIT[#All],2,0)),"CUIT NO CARGADO")</f>
        <v>-</v>
      </c>
      <c r="H2357" s="100">
        <f>ventas_b_mes1255[[#This Row],[TOTAL]]/1.21</f>
        <v>0</v>
      </c>
      <c r="I2357" s="64">
        <f>ventas_b_mes1255[[#This Row],[IMPORTE NETO]]*0.21</f>
        <v>0</v>
      </c>
      <c r="J2357" s="184"/>
      <c r="K2357" s="184"/>
      <c r="L2357" s="184"/>
      <c r="M2357" s="59"/>
    </row>
    <row r="2358" spans="2:13" x14ac:dyDescent="0.3">
      <c r="B2358" s="178"/>
      <c r="C2358" s="41"/>
      <c r="D2358" s="180"/>
      <c r="E2358" s="181"/>
      <c r="F2358" s="182"/>
      <c r="G2358" s="1" t="str">
        <f>IFERROR(IF(ventas_b_mes1255[[#This Row],[CUIT]]="","-",VLOOKUP(ventas_b_mes1255[[#This Row],[CUIT]],Lista_CUIT[#All],2,0)),"CUIT NO CARGADO")</f>
        <v>-</v>
      </c>
      <c r="H2358" s="100">
        <f>ventas_b_mes1255[[#This Row],[TOTAL]]/1.21</f>
        <v>0</v>
      </c>
      <c r="I2358" s="64">
        <f>ventas_b_mes1255[[#This Row],[IMPORTE NETO]]*0.21</f>
        <v>0</v>
      </c>
      <c r="J2358" s="184"/>
      <c r="K2358" s="184"/>
      <c r="L2358" s="184"/>
      <c r="M2358" s="59"/>
    </row>
    <row r="2359" spans="2:13" x14ac:dyDescent="0.3">
      <c r="B2359" s="178"/>
      <c r="C2359" s="41"/>
      <c r="D2359" s="180"/>
      <c r="E2359" s="181"/>
      <c r="F2359" s="182"/>
      <c r="G2359" s="1" t="str">
        <f>IFERROR(IF(ventas_b_mes1255[[#This Row],[CUIT]]="","-",VLOOKUP(ventas_b_mes1255[[#This Row],[CUIT]],Lista_CUIT[#All],2,0)),"CUIT NO CARGADO")</f>
        <v>-</v>
      </c>
      <c r="H2359" s="100">
        <f>ventas_b_mes1255[[#This Row],[TOTAL]]/1.21</f>
        <v>0</v>
      </c>
      <c r="I2359" s="64">
        <f>ventas_b_mes1255[[#This Row],[IMPORTE NETO]]*0.21</f>
        <v>0</v>
      </c>
      <c r="J2359" s="184"/>
      <c r="K2359" s="184"/>
      <c r="L2359" s="184"/>
      <c r="M2359" s="59"/>
    </row>
    <row r="2360" spans="2:13" x14ac:dyDescent="0.3">
      <c r="B2360" s="178"/>
      <c r="C2360" s="41"/>
      <c r="D2360" s="180"/>
      <c r="E2360" s="181"/>
      <c r="F2360" s="182"/>
      <c r="G2360" s="1" t="str">
        <f>IFERROR(IF(ventas_b_mes1255[[#This Row],[CUIT]]="","-",VLOOKUP(ventas_b_mes1255[[#This Row],[CUIT]],Lista_CUIT[#All],2,0)),"CUIT NO CARGADO")</f>
        <v>-</v>
      </c>
      <c r="H2360" s="100">
        <f>ventas_b_mes1255[[#This Row],[TOTAL]]/1.21</f>
        <v>0</v>
      </c>
      <c r="I2360" s="64">
        <f>ventas_b_mes1255[[#This Row],[IMPORTE NETO]]*0.21</f>
        <v>0</v>
      </c>
      <c r="J2360" s="184"/>
      <c r="K2360" s="184"/>
      <c r="L2360" s="184"/>
      <c r="M2360" s="59"/>
    </row>
    <row r="2361" spans="2:13" x14ac:dyDescent="0.3">
      <c r="B2361" s="178"/>
      <c r="C2361" s="41"/>
      <c r="D2361" s="180"/>
      <c r="E2361" s="181"/>
      <c r="F2361" s="182"/>
      <c r="G2361" s="1" t="str">
        <f>IFERROR(IF(ventas_b_mes1255[[#This Row],[CUIT]]="","-",VLOOKUP(ventas_b_mes1255[[#This Row],[CUIT]],Lista_CUIT[#All],2,0)),"CUIT NO CARGADO")</f>
        <v>-</v>
      </c>
      <c r="H2361" s="100">
        <f>ventas_b_mes1255[[#This Row],[TOTAL]]/1.21</f>
        <v>0</v>
      </c>
      <c r="I2361" s="64">
        <f>ventas_b_mes1255[[#This Row],[IMPORTE NETO]]*0.21</f>
        <v>0</v>
      </c>
      <c r="J2361" s="184"/>
      <c r="K2361" s="184"/>
      <c r="L2361" s="184"/>
      <c r="M2361" s="59"/>
    </row>
    <row r="2362" spans="2:13" x14ac:dyDescent="0.3">
      <c r="B2362" s="178"/>
      <c r="C2362" s="41"/>
      <c r="D2362" s="180"/>
      <c r="E2362" s="181"/>
      <c r="F2362" s="182"/>
      <c r="G2362" s="1" t="str">
        <f>IFERROR(IF(ventas_b_mes1255[[#This Row],[CUIT]]="","-",VLOOKUP(ventas_b_mes1255[[#This Row],[CUIT]],Lista_CUIT[#All],2,0)),"CUIT NO CARGADO")</f>
        <v>-</v>
      </c>
      <c r="H2362" s="100">
        <f>ventas_b_mes1255[[#This Row],[TOTAL]]/1.21</f>
        <v>0</v>
      </c>
      <c r="I2362" s="64">
        <f>ventas_b_mes1255[[#This Row],[IMPORTE NETO]]*0.21</f>
        <v>0</v>
      </c>
      <c r="J2362" s="184"/>
      <c r="K2362" s="184"/>
      <c r="L2362" s="184"/>
      <c r="M2362" s="59"/>
    </row>
    <row r="2363" spans="2:13" x14ac:dyDescent="0.3">
      <c r="B2363" s="178"/>
      <c r="C2363" s="41"/>
      <c r="D2363" s="180"/>
      <c r="E2363" s="181"/>
      <c r="F2363" s="182"/>
      <c r="G2363" s="1" t="str">
        <f>IFERROR(IF(ventas_b_mes1255[[#This Row],[CUIT]]="","-",VLOOKUP(ventas_b_mes1255[[#This Row],[CUIT]],Lista_CUIT[#All],2,0)),"CUIT NO CARGADO")</f>
        <v>-</v>
      </c>
      <c r="H2363" s="100">
        <f>ventas_b_mes1255[[#This Row],[TOTAL]]/1.21</f>
        <v>0</v>
      </c>
      <c r="I2363" s="64">
        <f>ventas_b_mes1255[[#This Row],[IMPORTE NETO]]*0.21</f>
        <v>0</v>
      </c>
      <c r="J2363" s="184"/>
      <c r="K2363" s="184"/>
      <c r="L2363" s="184"/>
      <c r="M2363" s="59"/>
    </row>
    <row r="2364" spans="2:13" x14ac:dyDescent="0.3">
      <c r="B2364" s="178"/>
      <c r="C2364" s="41"/>
      <c r="D2364" s="180"/>
      <c r="E2364" s="181"/>
      <c r="F2364" s="182"/>
      <c r="G2364" s="1" t="str">
        <f>IFERROR(IF(ventas_b_mes1255[[#This Row],[CUIT]]="","-",VLOOKUP(ventas_b_mes1255[[#This Row],[CUIT]],Lista_CUIT[#All],2,0)),"CUIT NO CARGADO")</f>
        <v>-</v>
      </c>
      <c r="H2364" s="100">
        <f>ventas_b_mes1255[[#This Row],[TOTAL]]/1.21</f>
        <v>0</v>
      </c>
      <c r="I2364" s="64">
        <f>ventas_b_mes1255[[#This Row],[IMPORTE NETO]]*0.21</f>
        <v>0</v>
      </c>
      <c r="J2364" s="184"/>
      <c r="K2364" s="184"/>
      <c r="L2364" s="184"/>
      <c r="M2364" s="59"/>
    </row>
    <row r="2365" spans="2:13" x14ac:dyDescent="0.3">
      <c r="B2365" s="178"/>
      <c r="C2365" s="41"/>
      <c r="D2365" s="180"/>
      <c r="E2365" s="181"/>
      <c r="F2365" s="182"/>
      <c r="G2365" s="1" t="str">
        <f>IFERROR(IF(ventas_b_mes1255[[#This Row],[CUIT]]="","-",VLOOKUP(ventas_b_mes1255[[#This Row],[CUIT]],Lista_CUIT[#All],2,0)),"CUIT NO CARGADO")</f>
        <v>-</v>
      </c>
      <c r="H2365" s="100">
        <f>ventas_b_mes1255[[#This Row],[TOTAL]]/1.21</f>
        <v>0</v>
      </c>
      <c r="I2365" s="64">
        <f>ventas_b_mes1255[[#This Row],[IMPORTE NETO]]*0.21</f>
        <v>0</v>
      </c>
      <c r="J2365" s="184"/>
      <c r="K2365" s="184"/>
      <c r="L2365" s="184"/>
      <c r="M2365" s="59"/>
    </row>
    <row r="2366" spans="2:13" x14ac:dyDescent="0.3">
      <c r="B2366" s="178"/>
      <c r="C2366" s="41"/>
      <c r="D2366" s="180"/>
      <c r="E2366" s="181"/>
      <c r="F2366" s="182"/>
      <c r="G2366" s="1" t="str">
        <f>IFERROR(IF(ventas_b_mes1255[[#This Row],[CUIT]]="","-",VLOOKUP(ventas_b_mes1255[[#This Row],[CUIT]],Lista_CUIT[#All],2,0)),"CUIT NO CARGADO")</f>
        <v>-</v>
      </c>
      <c r="H2366" s="100">
        <f>ventas_b_mes1255[[#This Row],[TOTAL]]/1.21</f>
        <v>0</v>
      </c>
      <c r="I2366" s="64">
        <f>ventas_b_mes1255[[#This Row],[IMPORTE NETO]]*0.21</f>
        <v>0</v>
      </c>
      <c r="J2366" s="184"/>
      <c r="K2366" s="184"/>
      <c r="L2366" s="184"/>
      <c r="M2366" s="59"/>
    </row>
    <row r="2367" spans="2:13" x14ac:dyDescent="0.3">
      <c r="B2367" s="178"/>
      <c r="C2367" s="41"/>
      <c r="D2367" s="180"/>
      <c r="E2367" s="181"/>
      <c r="F2367" s="182"/>
      <c r="G2367" s="1" t="str">
        <f>IFERROR(IF(ventas_b_mes1255[[#This Row],[CUIT]]="","-",VLOOKUP(ventas_b_mes1255[[#This Row],[CUIT]],Lista_CUIT[#All],2,0)),"CUIT NO CARGADO")</f>
        <v>-</v>
      </c>
      <c r="H2367" s="100">
        <f>ventas_b_mes1255[[#This Row],[TOTAL]]/1.21</f>
        <v>0</v>
      </c>
      <c r="I2367" s="64">
        <f>ventas_b_mes1255[[#This Row],[IMPORTE NETO]]*0.21</f>
        <v>0</v>
      </c>
      <c r="J2367" s="184"/>
      <c r="K2367" s="184"/>
      <c r="L2367" s="184"/>
      <c r="M2367" s="59"/>
    </row>
    <row r="2368" spans="2:13" x14ac:dyDescent="0.3">
      <c r="B2368" s="178"/>
      <c r="C2368" s="41"/>
      <c r="D2368" s="180"/>
      <c r="E2368" s="181"/>
      <c r="F2368" s="182"/>
      <c r="G2368" s="1" t="str">
        <f>IFERROR(IF(ventas_b_mes1255[[#This Row],[CUIT]]="","-",VLOOKUP(ventas_b_mes1255[[#This Row],[CUIT]],Lista_CUIT[#All],2,0)),"CUIT NO CARGADO")</f>
        <v>-</v>
      </c>
      <c r="H2368" s="100">
        <f>ventas_b_mes1255[[#This Row],[TOTAL]]/1.21</f>
        <v>0</v>
      </c>
      <c r="I2368" s="64">
        <f>ventas_b_mes1255[[#This Row],[IMPORTE NETO]]*0.21</f>
        <v>0</v>
      </c>
      <c r="J2368" s="184"/>
      <c r="K2368" s="184"/>
      <c r="L2368" s="184"/>
      <c r="M2368" s="59"/>
    </row>
    <row r="2369" spans="2:13" x14ac:dyDescent="0.3">
      <c r="B2369" s="178"/>
      <c r="C2369" s="41"/>
      <c r="D2369" s="180"/>
      <c r="E2369" s="181"/>
      <c r="F2369" s="182"/>
      <c r="G2369" s="1" t="str">
        <f>IFERROR(IF(ventas_b_mes1255[[#This Row],[CUIT]]="","-",VLOOKUP(ventas_b_mes1255[[#This Row],[CUIT]],Lista_CUIT[#All],2,0)),"CUIT NO CARGADO")</f>
        <v>-</v>
      </c>
      <c r="H2369" s="100">
        <f>ventas_b_mes1255[[#This Row],[TOTAL]]/1.21</f>
        <v>0</v>
      </c>
      <c r="I2369" s="64">
        <f>ventas_b_mes1255[[#This Row],[IMPORTE NETO]]*0.21</f>
        <v>0</v>
      </c>
      <c r="J2369" s="184"/>
      <c r="K2369" s="184"/>
      <c r="L2369" s="184"/>
      <c r="M2369" s="59"/>
    </row>
    <row r="2370" spans="2:13" x14ac:dyDescent="0.3">
      <c r="B2370" s="178"/>
      <c r="C2370" s="41"/>
      <c r="D2370" s="180"/>
      <c r="E2370" s="181"/>
      <c r="F2370" s="182"/>
      <c r="G2370" s="1" t="str">
        <f>IFERROR(IF(ventas_b_mes1255[[#This Row],[CUIT]]="","-",VLOOKUP(ventas_b_mes1255[[#This Row],[CUIT]],Lista_CUIT[#All],2,0)),"CUIT NO CARGADO")</f>
        <v>-</v>
      </c>
      <c r="H2370" s="100">
        <f>ventas_b_mes1255[[#This Row],[TOTAL]]/1.21</f>
        <v>0</v>
      </c>
      <c r="I2370" s="64">
        <f>ventas_b_mes1255[[#This Row],[IMPORTE NETO]]*0.21</f>
        <v>0</v>
      </c>
      <c r="J2370" s="184"/>
      <c r="K2370" s="184"/>
      <c r="L2370" s="184"/>
      <c r="M2370" s="59"/>
    </row>
    <row r="2371" spans="2:13" x14ac:dyDescent="0.3">
      <c r="B2371" s="178"/>
      <c r="C2371" s="41"/>
      <c r="D2371" s="180"/>
      <c r="E2371" s="181"/>
      <c r="F2371" s="182"/>
      <c r="G2371" s="1" t="str">
        <f>IFERROR(IF(ventas_b_mes1255[[#This Row],[CUIT]]="","-",VLOOKUP(ventas_b_mes1255[[#This Row],[CUIT]],Lista_CUIT[#All],2,0)),"CUIT NO CARGADO")</f>
        <v>-</v>
      </c>
      <c r="H2371" s="100">
        <f>ventas_b_mes1255[[#This Row],[TOTAL]]/1.21</f>
        <v>0</v>
      </c>
      <c r="I2371" s="64">
        <f>ventas_b_mes1255[[#This Row],[IMPORTE NETO]]*0.21</f>
        <v>0</v>
      </c>
      <c r="J2371" s="184"/>
      <c r="K2371" s="184"/>
      <c r="L2371" s="184"/>
      <c r="M2371" s="59"/>
    </row>
    <row r="2372" spans="2:13" x14ac:dyDescent="0.3">
      <c r="B2372" s="178"/>
      <c r="C2372" s="41"/>
      <c r="D2372" s="180"/>
      <c r="E2372" s="181"/>
      <c r="F2372" s="182"/>
      <c r="G2372" s="1" t="str">
        <f>IFERROR(IF(ventas_b_mes1255[[#This Row],[CUIT]]="","-",VLOOKUP(ventas_b_mes1255[[#This Row],[CUIT]],Lista_CUIT[#All],2,0)),"CUIT NO CARGADO")</f>
        <v>-</v>
      </c>
      <c r="H2372" s="100">
        <f>ventas_b_mes1255[[#This Row],[TOTAL]]/1.21</f>
        <v>0</v>
      </c>
      <c r="I2372" s="64">
        <f>ventas_b_mes1255[[#This Row],[IMPORTE NETO]]*0.21</f>
        <v>0</v>
      </c>
      <c r="J2372" s="184"/>
      <c r="K2372" s="184"/>
      <c r="L2372" s="184"/>
      <c r="M2372" s="59"/>
    </row>
    <row r="2373" spans="2:13" x14ac:dyDescent="0.3">
      <c r="B2373" s="178"/>
      <c r="C2373" s="41"/>
      <c r="D2373" s="180"/>
      <c r="E2373" s="181"/>
      <c r="F2373" s="182"/>
      <c r="G2373" s="1" t="str">
        <f>IFERROR(IF(ventas_b_mes1255[[#This Row],[CUIT]]="","-",VLOOKUP(ventas_b_mes1255[[#This Row],[CUIT]],Lista_CUIT[#All],2,0)),"CUIT NO CARGADO")</f>
        <v>-</v>
      </c>
      <c r="H2373" s="100">
        <f>ventas_b_mes1255[[#This Row],[TOTAL]]/1.21</f>
        <v>0</v>
      </c>
      <c r="I2373" s="64">
        <f>ventas_b_mes1255[[#This Row],[IMPORTE NETO]]*0.21</f>
        <v>0</v>
      </c>
      <c r="J2373" s="184"/>
      <c r="K2373" s="184"/>
      <c r="L2373" s="184"/>
      <c r="M2373" s="59"/>
    </row>
    <row r="2374" spans="2:13" x14ac:dyDescent="0.3">
      <c r="B2374" s="178"/>
      <c r="C2374" s="41"/>
      <c r="D2374" s="180"/>
      <c r="E2374" s="181"/>
      <c r="F2374" s="182"/>
      <c r="G2374" s="1" t="str">
        <f>IFERROR(IF(ventas_b_mes1255[[#This Row],[CUIT]]="","-",VLOOKUP(ventas_b_mes1255[[#This Row],[CUIT]],Lista_CUIT[#All],2,0)),"CUIT NO CARGADO")</f>
        <v>-</v>
      </c>
      <c r="H2374" s="100">
        <f>ventas_b_mes1255[[#This Row],[TOTAL]]/1.21</f>
        <v>0</v>
      </c>
      <c r="I2374" s="64">
        <f>ventas_b_mes1255[[#This Row],[IMPORTE NETO]]*0.21</f>
        <v>0</v>
      </c>
      <c r="J2374" s="184"/>
      <c r="K2374" s="184"/>
      <c r="L2374" s="184"/>
      <c r="M2374" s="59"/>
    </row>
    <row r="2375" spans="2:13" x14ac:dyDescent="0.3">
      <c r="B2375" s="178"/>
      <c r="C2375" s="41"/>
      <c r="D2375" s="180"/>
      <c r="E2375" s="181"/>
      <c r="F2375" s="182"/>
      <c r="G2375" s="1" t="str">
        <f>IFERROR(IF(ventas_b_mes1255[[#This Row],[CUIT]]="","-",VLOOKUP(ventas_b_mes1255[[#This Row],[CUIT]],Lista_CUIT[#All],2,0)),"CUIT NO CARGADO")</f>
        <v>-</v>
      </c>
      <c r="H2375" s="100">
        <f>ventas_b_mes1255[[#This Row],[TOTAL]]/1.21</f>
        <v>0</v>
      </c>
      <c r="I2375" s="64">
        <f>ventas_b_mes1255[[#This Row],[IMPORTE NETO]]*0.21</f>
        <v>0</v>
      </c>
      <c r="J2375" s="184"/>
      <c r="K2375" s="184"/>
      <c r="L2375" s="184"/>
      <c r="M2375" s="59"/>
    </row>
    <row r="2376" spans="2:13" x14ac:dyDescent="0.3">
      <c r="B2376" s="178"/>
      <c r="C2376" s="41"/>
      <c r="D2376" s="180"/>
      <c r="E2376" s="181"/>
      <c r="F2376" s="182"/>
      <c r="G2376" s="1" t="str">
        <f>IFERROR(IF(ventas_b_mes1255[[#This Row],[CUIT]]="","-",VLOOKUP(ventas_b_mes1255[[#This Row],[CUIT]],Lista_CUIT[#All],2,0)),"CUIT NO CARGADO")</f>
        <v>-</v>
      </c>
      <c r="H2376" s="100">
        <f>ventas_b_mes1255[[#This Row],[TOTAL]]/1.21</f>
        <v>0</v>
      </c>
      <c r="I2376" s="64">
        <f>ventas_b_mes1255[[#This Row],[IMPORTE NETO]]*0.21</f>
        <v>0</v>
      </c>
      <c r="J2376" s="184"/>
      <c r="K2376" s="184"/>
      <c r="L2376" s="184"/>
      <c r="M2376" s="59"/>
    </row>
    <row r="2377" spans="2:13" x14ac:dyDescent="0.3">
      <c r="B2377" s="178"/>
      <c r="C2377" s="41"/>
      <c r="D2377" s="180"/>
      <c r="E2377" s="181"/>
      <c r="F2377" s="182"/>
      <c r="G2377" s="1" t="str">
        <f>IFERROR(IF(ventas_b_mes1255[[#This Row],[CUIT]]="","-",VLOOKUP(ventas_b_mes1255[[#This Row],[CUIT]],Lista_CUIT[#All],2,0)),"CUIT NO CARGADO")</f>
        <v>-</v>
      </c>
      <c r="H2377" s="100">
        <f>ventas_b_mes1255[[#This Row],[TOTAL]]/1.21</f>
        <v>0</v>
      </c>
      <c r="I2377" s="64">
        <f>ventas_b_mes1255[[#This Row],[IMPORTE NETO]]*0.21</f>
        <v>0</v>
      </c>
      <c r="J2377" s="184"/>
      <c r="K2377" s="184"/>
      <c r="L2377" s="184"/>
      <c r="M2377" s="59"/>
    </row>
    <row r="2378" spans="2:13" x14ac:dyDescent="0.3">
      <c r="B2378" s="178"/>
      <c r="C2378" s="41"/>
      <c r="D2378" s="180"/>
      <c r="E2378" s="181"/>
      <c r="F2378" s="182"/>
      <c r="G2378" s="1" t="str">
        <f>IFERROR(IF(ventas_b_mes1255[[#This Row],[CUIT]]="","-",VLOOKUP(ventas_b_mes1255[[#This Row],[CUIT]],Lista_CUIT[#All],2,0)),"CUIT NO CARGADO")</f>
        <v>-</v>
      </c>
      <c r="H2378" s="100">
        <f>ventas_b_mes1255[[#This Row],[TOTAL]]/1.21</f>
        <v>0</v>
      </c>
      <c r="I2378" s="64">
        <f>ventas_b_mes1255[[#This Row],[IMPORTE NETO]]*0.21</f>
        <v>0</v>
      </c>
      <c r="J2378" s="184"/>
      <c r="K2378" s="184"/>
      <c r="L2378" s="184"/>
      <c r="M2378" s="59"/>
    </row>
    <row r="2379" spans="2:13" x14ac:dyDescent="0.3">
      <c r="B2379" s="178"/>
      <c r="C2379" s="41"/>
      <c r="D2379" s="180"/>
      <c r="E2379" s="181"/>
      <c r="F2379" s="182"/>
      <c r="G2379" s="1" t="str">
        <f>IFERROR(IF(ventas_b_mes1255[[#This Row],[CUIT]]="","-",VLOOKUP(ventas_b_mes1255[[#This Row],[CUIT]],Lista_CUIT[#All],2,0)),"CUIT NO CARGADO")</f>
        <v>-</v>
      </c>
      <c r="H2379" s="100">
        <f>ventas_b_mes1255[[#This Row],[TOTAL]]/1.21</f>
        <v>0</v>
      </c>
      <c r="I2379" s="64">
        <f>ventas_b_mes1255[[#This Row],[IMPORTE NETO]]*0.21</f>
        <v>0</v>
      </c>
      <c r="J2379" s="184"/>
      <c r="K2379" s="184"/>
      <c r="L2379" s="184"/>
      <c r="M2379" s="59"/>
    </row>
    <row r="2380" spans="2:13" x14ac:dyDescent="0.3">
      <c r="B2380" s="178"/>
      <c r="C2380" s="41"/>
      <c r="D2380" s="180"/>
      <c r="E2380" s="181"/>
      <c r="F2380" s="182"/>
      <c r="G2380" s="1" t="str">
        <f>IFERROR(IF(ventas_b_mes1255[[#This Row],[CUIT]]="","-",VLOOKUP(ventas_b_mes1255[[#This Row],[CUIT]],Lista_CUIT[#All],2,0)),"CUIT NO CARGADO")</f>
        <v>-</v>
      </c>
      <c r="H2380" s="100">
        <f>ventas_b_mes1255[[#This Row],[TOTAL]]/1.21</f>
        <v>0</v>
      </c>
      <c r="I2380" s="64">
        <f>ventas_b_mes1255[[#This Row],[IMPORTE NETO]]*0.21</f>
        <v>0</v>
      </c>
      <c r="J2380" s="184"/>
      <c r="K2380" s="184"/>
      <c r="L2380" s="184"/>
      <c r="M2380" s="59"/>
    </row>
    <row r="2381" spans="2:13" x14ac:dyDescent="0.3">
      <c r="B2381" s="178"/>
      <c r="C2381" s="41"/>
      <c r="D2381" s="180"/>
      <c r="E2381" s="181"/>
      <c r="F2381" s="182"/>
      <c r="G2381" s="1" t="str">
        <f>IFERROR(IF(ventas_b_mes1255[[#This Row],[CUIT]]="","-",VLOOKUP(ventas_b_mes1255[[#This Row],[CUIT]],Lista_CUIT[#All],2,0)),"CUIT NO CARGADO")</f>
        <v>-</v>
      </c>
      <c r="H2381" s="100">
        <f>ventas_b_mes1255[[#This Row],[TOTAL]]/1.21</f>
        <v>0</v>
      </c>
      <c r="I2381" s="64">
        <f>ventas_b_mes1255[[#This Row],[IMPORTE NETO]]*0.21</f>
        <v>0</v>
      </c>
      <c r="J2381" s="184"/>
      <c r="K2381" s="184"/>
      <c r="L2381" s="184"/>
      <c r="M2381" s="59"/>
    </row>
    <row r="2382" spans="2:13" x14ac:dyDescent="0.3">
      <c r="B2382" s="178"/>
      <c r="C2382" s="41"/>
      <c r="D2382" s="180"/>
      <c r="E2382" s="181"/>
      <c r="F2382" s="182"/>
      <c r="G2382" s="1" t="str">
        <f>IFERROR(IF(ventas_b_mes1255[[#This Row],[CUIT]]="","-",VLOOKUP(ventas_b_mes1255[[#This Row],[CUIT]],Lista_CUIT[#All],2,0)),"CUIT NO CARGADO")</f>
        <v>-</v>
      </c>
      <c r="H2382" s="100">
        <f>ventas_b_mes1255[[#This Row],[TOTAL]]/1.21</f>
        <v>0</v>
      </c>
      <c r="I2382" s="64">
        <f>ventas_b_mes1255[[#This Row],[IMPORTE NETO]]*0.21</f>
        <v>0</v>
      </c>
      <c r="J2382" s="184"/>
      <c r="K2382" s="184"/>
      <c r="L2382" s="184"/>
      <c r="M2382" s="59"/>
    </row>
    <row r="2383" spans="2:13" x14ac:dyDescent="0.3">
      <c r="B2383" s="178"/>
      <c r="C2383" s="41"/>
      <c r="D2383" s="180"/>
      <c r="E2383" s="181"/>
      <c r="F2383" s="182"/>
      <c r="G2383" s="1" t="str">
        <f>IFERROR(IF(ventas_b_mes1255[[#This Row],[CUIT]]="","-",VLOOKUP(ventas_b_mes1255[[#This Row],[CUIT]],Lista_CUIT[#All],2,0)),"CUIT NO CARGADO")</f>
        <v>-</v>
      </c>
      <c r="H2383" s="100">
        <f>ventas_b_mes1255[[#This Row],[TOTAL]]/1.21</f>
        <v>0</v>
      </c>
      <c r="I2383" s="64">
        <f>ventas_b_mes1255[[#This Row],[IMPORTE NETO]]*0.21</f>
        <v>0</v>
      </c>
      <c r="J2383" s="184"/>
      <c r="K2383" s="184"/>
      <c r="L2383" s="184"/>
      <c r="M2383" s="59"/>
    </row>
    <row r="2384" spans="2:13" x14ac:dyDescent="0.3">
      <c r="B2384" s="178"/>
      <c r="C2384" s="41"/>
      <c r="D2384" s="180"/>
      <c r="E2384" s="181"/>
      <c r="F2384" s="182"/>
      <c r="G2384" s="1" t="str">
        <f>IFERROR(IF(ventas_b_mes1255[[#This Row],[CUIT]]="","-",VLOOKUP(ventas_b_mes1255[[#This Row],[CUIT]],Lista_CUIT[#All],2,0)),"CUIT NO CARGADO")</f>
        <v>-</v>
      </c>
      <c r="H2384" s="100">
        <f>ventas_b_mes1255[[#This Row],[TOTAL]]/1.21</f>
        <v>0</v>
      </c>
      <c r="I2384" s="64">
        <f>ventas_b_mes1255[[#This Row],[IMPORTE NETO]]*0.21</f>
        <v>0</v>
      </c>
      <c r="J2384" s="184"/>
      <c r="K2384" s="184"/>
      <c r="L2384" s="184"/>
      <c r="M2384" s="59"/>
    </row>
    <row r="2385" spans="2:13" x14ac:dyDescent="0.3">
      <c r="B2385" s="178"/>
      <c r="C2385" s="41"/>
      <c r="D2385" s="180"/>
      <c r="E2385" s="181"/>
      <c r="F2385" s="182"/>
      <c r="G2385" s="1" t="str">
        <f>IFERROR(IF(ventas_b_mes1255[[#This Row],[CUIT]]="","-",VLOOKUP(ventas_b_mes1255[[#This Row],[CUIT]],Lista_CUIT[#All],2,0)),"CUIT NO CARGADO")</f>
        <v>-</v>
      </c>
      <c r="H2385" s="100">
        <f>ventas_b_mes1255[[#This Row],[TOTAL]]/1.21</f>
        <v>0</v>
      </c>
      <c r="I2385" s="64">
        <f>ventas_b_mes1255[[#This Row],[IMPORTE NETO]]*0.21</f>
        <v>0</v>
      </c>
      <c r="J2385" s="184"/>
      <c r="K2385" s="184"/>
      <c r="L2385" s="184"/>
      <c r="M2385" s="59"/>
    </row>
    <row r="2386" spans="2:13" x14ac:dyDescent="0.3">
      <c r="B2386" s="178"/>
      <c r="C2386" s="41"/>
      <c r="D2386" s="180"/>
      <c r="E2386" s="181"/>
      <c r="F2386" s="182"/>
      <c r="G2386" s="1" t="str">
        <f>IFERROR(IF(ventas_b_mes1255[[#This Row],[CUIT]]="","-",VLOOKUP(ventas_b_mes1255[[#This Row],[CUIT]],Lista_CUIT[#All],2,0)),"CUIT NO CARGADO")</f>
        <v>-</v>
      </c>
      <c r="H2386" s="100">
        <f>ventas_b_mes1255[[#This Row],[TOTAL]]/1.21</f>
        <v>0</v>
      </c>
      <c r="I2386" s="64">
        <f>ventas_b_mes1255[[#This Row],[IMPORTE NETO]]*0.21</f>
        <v>0</v>
      </c>
      <c r="J2386" s="184"/>
      <c r="K2386" s="184"/>
      <c r="L2386" s="184"/>
      <c r="M2386" s="59"/>
    </row>
    <row r="2387" spans="2:13" x14ac:dyDescent="0.3">
      <c r="B2387" s="178"/>
      <c r="C2387" s="41"/>
      <c r="D2387" s="180"/>
      <c r="E2387" s="181"/>
      <c r="F2387" s="182"/>
      <c r="G2387" s="1" t="str">
        <f>IFERROR(IF(ventas_b_mes1255[[#This Row],[CUIT]]="","-",VLOOKUP(ventas_b_mes1255[[#This Row],[CUIT]],Lista_CUIT[#All],2,0)),"CUIT NO CARGADO")</f>
        <v>-</v>
      </c>
      <c r="H2387" s="100">
        <f>ventas_b_mes1255[[#This Row],[TOTAL]]/1.21</f>
        <v>0</v>
      </c>
      <c r="I2387" s="64">
        <f>ventas_b_mes1255[[#This Row],[IMPORTE NETO]]*0.21</f>
        <v>0</v>
      </c>
      <c r="J2387" s="184"/>
      <c r="K2387" s="184"/>
      <c r="L2387" s="184"/>
      <c r="M2387" s="59"/>
    </row>
    <row r="2388" spans="2:13" x14ac:dyDescent="0.3">
      <c r="B2388" s="178"/>
      <c r="C2388" s="41"/>
      <c r="D2388" s="180"/>
      <c r="E2388" s="181"/>
      <c r="F2388" s="182"/>
      <c r="G2388" s="1" t="str">
        <f>IFERROR(IF(ventas_b_mes1255[[#This Row],[CUIT]]="","-",VLOOKUP(ventas_b_mes1255[[#This Row],[CUIT]],Lista_CUIT[#All],2,0)),"CUIT NO CARGADO")</f>
        <v>-</v>
      </c>
      <c r="H2388" s="100">
        <f>ventas_b_mes1255[[#This Row],[TOTAL]]/1.21</f>
        <v>0</v>
      </c>
      <c r="I2388" s="64">
        <f>ventas_b_mes1255[[#This Row],[IMPORTE NETO]]*0.21</f>
        <v>0</v>
      </c>
      <c r="J2388" s="184"/>
      <c r="K2388" s="184"/>
      <c r="L2388" s="184"/>
      <c r="M2388" s="59"/>
    </row>
    <row r="2389" spans="2:13" x14ac:dyDescent="0.3">
      <c r="B2389" s="178"/>
      <c r="C2389" s="41"/>
      <c r="D2389" s="180"/>
      <c r="E2389" s="181"/>
      <c r="F2389" s="182"/>
      <c r="G2389" s="1" t="str">
        <f>IFERROR(IF(ventas_b_mes1255[[#This Row],[CUIT]]="","-",VLOOKUP(ventas_b_mes1255[[#This Row],[CUIT]],Lista_CUIT[#All],2,0)),"CUIT NO CARGADO")</f>
        <v>-</v>
      </c>
      <c r="H2389" s="100">
        <f>ventas_b_mes1255[[#This Row],[TOTAL]]/1.21</f>
        <v>0</v>
      </c>
      <c r="I2389" s="64">
        <f>ventas_b_mes1255[[#This Row],[IMPORTE NETO]]*0.21</f>
        <v>0</v>
      </c>
      <c r="J2389" s="184"/>
      <c r="K2389" s="184"/>
      <c r="L2389" s="184"/>
      <c r="M2389" s="59"/>
    </row>
    <row r="2390" spans="2:13" x14ac:dyDescent="0.3">
      <c r="B2390" s="178"/>
      <c r="C2390" s="41"/>
      <c r="D2390" s="180"/>
      <c r="E2390" s="181"/>
      <c r="F2390" s="182"/>
      <c r="G2390" s="1" t="str">
        <f>IFERROR(IF(ventas_b_mes1255[[#This Row],[CUIT]]="","-",VLOOKUP(ventas_b_mes1255[[#This Row],[CUIT]],Lista_CUIT[#All],2,0)),"CUIT NO CARGADO")</f>
        <v>-</v>
      </c>
      <c r="H2390" s="100">
        <f>ventas_b_mes1255[[#This Row],[TOTAL]]/1.21</f>
        <v>0</v>
      </c>
      <c r="I2390" s="64">
        <f>ventas_b_mes1255[[#This Row],[IMPORTE NETO]]*0.21</f>
        <v>0</v>
      </c>
      <c r="J2390" s="184"/>
      <c r="K2390" s="184"/>
      <c r="L2390" s="184"/>
      <c r="M2390" s="59"/>
    </row>
    <row r="2391" spans="2:13" x14ac:dyDescent="0.3">
      <c r="B2391" s="178"/>
      <c r="C2391" s="41"/>
      <c r="D2391" s="180"/>
      <c r="E2391" s="181"/>
      <c r="F2391" s="182"/>
      <c r="G2391" s="1" t="str">
        <f>IFERROR(IF(ventas_b_mes1255[[#This Row],[CUIT]]="","-",VLOOKUP(ventas_b_mes1255[[#This Row],[CUIT]],Lista_CUIT[#All],2,0)),"CUIT NO CARGADO")</f>
        <v>-</v>
      </c>
      <c r="H2391" s="100">
        <f>ventas_b_mes1255[[#This Row],[TOTAL]]/1.21</f>
        <v>0</v>
      </c>
      <c r="I2391" s="64">
        <f>ventas_b_mes1255[[#This Row],[IMPORTE NETO]]*0.21</f>
        <v>0</v>
      </c>
      <c r="J2391" s="184"/>
      <c r="K2391" s="184"/>
      <c r="L2391" s="184"/>
      <c r="M2391" s="59"/>
    </row>
    <row r="2392" spans="2:13" x14ac:dyDescent="0.3">
      <c r="B2392" s="178"/>
      <c r="C2392" s="41"/>
      <c r="D2392" s="180"/>
      <c r="E2392" s="181"/>
      <c r="F2392" s="182"/>
      <c r="G2392" s="1" t="str">
        <f>IFERROR(IF(ventas_b_mes1255[[#This Row],[CUIT]]="","-",VLOOKUP(ventas_b_mes1255[[#This Row],[CUIT]],Lista_CUIT[#All],2,0)),"CUIT NO CARGADO")</f>
        <v>-</v>
      </c>
      <c r="H2392" s="100">
        <f>ventas_b_mes1255[[#This Row],[TOTAL]]/1.21</f>
        <v>0</v>
      </c>
      <c r="I2392" s="64">
        <f>ventas_b_mes1255[[#This Row],[IMPORTE NETO]]*0.21</f>
        <v>0</v>
      </c>
      <c r="J2392" s="184"/>
      <c r="K2392" s="184"/>
      <c r="L2392" s="184"/>
      <c r="M2392" s="59"/>
    </row>
    <row r="2393" spans="2:13" x14ac:dyDescent="0.3">
      <c r="B2393" s="178"/>
      <c r="C2393" s="41"/>
      <c r="D2393" s="180"/>
      <c r="E2393" s="181"/>
      <c r="F2393" s="182"/>
      <c r="G2393" s="1" t="str">
        <f>IFERROR(IF(ventas_b_mes1255[[#This Row],[CUIT]]="","-",VLOOKUP(ventas_b_mes1255[[#This Row],[CUIT]],Lista_CUIT[#All],2,0)),"CUIT NO CARGADO")</f>
        <v>-</v>
      </c>
      <c r="H2393" s="100">
        <f>ventas_b_mes1255[[#This Row],[TOTAL]]/1.21</f>
        <v>0</v>
      </c>
      <c r="I2393" s="64">
        <f>ventas_b_mes1255[[#This Row],[IMPORTE NETO]]*0.21</f>
        <v>0</v>
      </c>
      <c r="J2393" s="184"/>
      <c r="K2393" s="184"/>
      <c r="L2393" s="184"/>
      <c r="M2393" s="59"/>
    </row>
    <row r="2394" spans="2:13" x14ac:dyDescent="0.3">
      <c r="B2394" s="178"/>
      <c r="C2394" s="41"/>
      <c r="D2394" s="180"/>
      <c r="E2394" s="181"/>
      <c r="F2394" s="182"/>
      <c r="G2394" s="1" t="str">
        <f>IFERROR(IF(ventas_b_mes1255[[#This Row],[CUIT]]="","-",VLOOKUP(ventas_b_mes1255[[#This Row],[CUIT]],Lista_CUIT[#All],2,0)),"CUIT NO CARGADO")</f>
        <v>-</v>
      </c>
      <c r="H2394" s="100">
        <f>ventas_b_mes1255[[#This Row],[TOTAL]]/1.21</f>
        <v>0</v>
      </c>
      <c r="I2394" s="64">
        <f>ventas_b_mes1255[[#This Row],[IMPORTE NETO]]*0.21</f>
        <v>0</v>
      </c>
      <c r="J2394" s="184"/>
      <c r="K2394" s="184"/>
      <c r="L2394" s="184"/>
      <c r="M2394" s="59"/>
    </row>
    <row r="2395" spans="2:13" x14ac:dyDescent="0.3">
      <c r="B2395" s="178"/>
      <c r="C2395" s="41"/>
      <c r="D2395" s="180"/>
      <c r="E2395" s="181"/>
      <c r="F2395" s="182"/>
      <c r="G2395" s="1" t="str">
        <f>IFERROR(IF(ventas_b_mes1255[[#This Row],[CUIT]]="","-",VLOOKUP(ventas_b_mes1255[[#This Row],[CUIT]],Lista_CUIT[#All],2,0)),"CUIT NO CARGADO")</f>
        <v>-</v>
      </c>
      <c r="H2395" s="100">
        <f>ventas_b_mes1255[[#This Row],[TOTAL]]/1.21</f>
        <v>0</v>
      </c>
      <c r="I2395" s="64">
        <f>ventas_b_mes1255[[#This Row],[IMPORTE NETO]]*0.21</f>
        <v>0</v>
      </c>
      <c r="J2395" s="184"/>
      <c r="K2395" s="184"/>
      <c r="L2395" s="184"/>
      <c r="M2395" s="59"/>
    </row>
    <row r="2396" spans="2:13" x14ac:dyDescent="0.3">
      <c r="B2396" s="178"/>
      <c r="C2396" s="41"/>
      <c r="D2396" s="180"/>
      <c r="E2396" s="181"/>
      <c r="F2396" s="182"/>
      <c r="G2396" s="1" t="str">
        <f>IFERROR(IF(ventas_b_mes1255[[#This Row],[CUIT]]="","-",VLOOKUP(ventas_b_mes1255[[#This Row],[CUIT]],Lista_CUIT[#All],2,0)),"CUIT NO CARGADO")</f>
        <v>-</v>
      </c>
      <c r="H2396" s="100">
        <f>ventas_b_mes1255[[#This Row],[TOTAL]]/1.21</f>
        <v>0</v>
      </c>
      <c r="I2396" s="64">
        <f>ventas_b_mes1255[[#This Row],[IMPORTE NETO]]*0.21</f>
        <v>0</v>
      </c>
      <c r="J2396" s="184"/>
      <c r="K2396" s="184"/>
      <c r="L2396" s="184"/>
      <c r="M2396" s="59"/>
    </row>
    <row r="2397" spans="2:13" x14ac:dyDescent="0.3">
      <c r="B2397" s="178"/>
      <c r="C2397" s="41"/>
      <c r="D2397" s="180"/>
      <c r="E2397" s="181"/>
      <c r="F2397" s="182"/>
      <c r="G2397" s="1" t="str">
        <f>IFERROR(IF(ventas_b_mes1255[[#This Row],[CUIT]]="","-",VLOOKUP(ventas_b_mes1255[[#This Row],[CUIT]],Lista_CUIT[#All],2,0)),"CUIT NO CARGADO")</f>
        <v>-</v>
      </c>
      <c r="H2397" s="100">
        <f>ventas_b_mes1255[[#This Row],[TOTAL]]/1.21</f>
        <v>0</v>
      </c>
      <c r="I2397" s="64">
        <f>ventas_b_mes1255[[#This Row],[IMPORTE NETO]]*0.21</f>
        <v>0</v>
      </c>
      <c r="J2397" s="184"/>
      <c r="K2397" s="184"/>
      <c r="L2397" s="184"/>
      <c r="M2397" s="59"/>
    </row>
    <row r="2398" spans="2:13" x14ac:dyDescent="0.3">
      <c r="B2398" s="178"/>
      <c r="C2398" s="41"/>
      <c r="D2398" s="180"/>
      <c r="E2398" s="181"/>
      <c r="F2398" s="182"/>
      <c r="G2398" s="1" t="str">
        <f>IFERROR(IF(ventas_b_mes1255[[#This Row],[CUIT]]="","-",VLOOKUP(ventas_b_mes1255[[#This Row],[CUIT]],Lista_CUIT[#All],2,0)),"CUIT NO CARGADO")</f>
        <v>-</v>
      </c>
      <c r="H2398" s="100">
        <f>ventas_b_mes1255[[#This Row],[TOTAL]]/1.21</f>
        <v>0</v>
      </c>
      <c r="I2398" s="64">
        <f>ventas_b_mes1255[[#This Row],[IMPORTE NETO]]*0.21</f>
        <v>0</v>
      </c>
      <c r="J2398" s="184"/>
      <c r="K2398" s="184"/>
      <c r="L2398" s="184"/>
      <c r="M2398" s="59"/>
    </row>
    <row r="2399" spans="2:13" x14ac:dyDescent="0.3">
      <c r="B2399" s="178"/>
      <c r="C2399" s="41"/>
      <c r="D2399" s="180"/>
      <c r="E2399" s="181"/>
      <c r="F2399" s="182"/>
      <c r="G2399" s="1" t="str">
        <f>IFERROR(IF(ventas_b_mes1255[[#This Row],[CUIT]]="","-",VLOOKUP(ventas_b_mes1255[[#This Row],[CUIT]],Lista_CUIT[#All],2,0)),"CUIT NO CARGADO")</f>
        <v>-</v>
      </c>
      <c r="H2399" s="100">
        <f>ventas_b_mes1255[[#This Row],[TOTAL]]/1.21</f>
        <v>0</v>
      </c>
      <c r="I2399" s="64">
        <f>ventas_b_mes1255[[#This Row],[IMPORTE NETO]]*0.21</f>
        <v>0</v>
      </c>
      <c r="J2399" s="184"/>
      <c r="K2399" s="184"/>
      <c r="L2399" s="184"/>
      <c r="M2399" s="59"/>
    </row>
    <row r="2400" spans="2:13" x14ac:dyDescent="0.3">
      <c r="B2400" s="178"/>
      <c r="C2400" s="41"/>
      <c r="D2400" s="180"/>
      <c r="E2400" s="181"/>
      <c r="F2400" s="182"/>
      <c r="G2400" s="1" t="str">
        <f>IFERROR(IF(ventas_b_mes1255[[#This Row],[CUIT]]="","-",VLOOKUP(ventas_b_mes1255[[#This Row],[CUIT]],Lista_CUIT[#All],2,0)),"CUIT NO CARGADO")</f>
        <v>-</v>
      </c>
      <c r="H2400" s="100">
        <f>ventas_b_mes1255[[#This Row],[TOTAL]]/1.21</f>
        <v>0</v>
      </c>
      <c r="I2400" s="64">
        <f>ventas_b_mes1255[[#This Row],[IMPORTE NETO]]*0.21</f>
        <v>0</v>
      </c>
      <c r="J2400" s="184"/>
      <c r="K2400" s="184"/>
      <c r="L2400" s="184"/>
      <c r="M2400" s="59"/>
    </row>
    <row r="2401" spans="2:13" x14ac:dyDescent="0.3">
      <c r="B2401" s="178"/>
      <c r="C2401" s="41"/>
      <c r="D2401" s="180"/>
      <c r="E2401" s="181"/>
      <c r="F2401" s="182"/>
      <c r="G2401" s="1" t="str">
        <f>IFERROR(IF(ventas_b_mes1255[[#This Row],[CUIT]]="","-",VLOOKUP(ventas_b_mes1255[[#This Row],[CUIT]],Lista_CUIT[#All],2,0)),"CUIT NO CARGADO")</f>
        <v>-</v>
      </c>
      <c r="H2401" s="100">
        <f>ventas_b_mes1255[[#This Row],[TOTAL]]/1.21</f>
        <v>0</v>
      </c>
      <c r="I2401" s="64">
        <f>ventas_b_mes1255[[#This Row],[IMPORTE NETO]]*0.21</f>
        <v>0</v>
      </c>
      <c r="J2401" s="184"/>
      <c r="K2401" s="184"/>
      <c r="L2401" s="184"/>
      <c r="M2401" s="59"/>
    </row>
    <row r="2402" spans="2:13" x14ac:dyDescent="0.3">
      <c r="B2402" s="178"/>
      <c r="C2402" s="41"/>
      <c r="D2402" s="180"/>
      <c r="E2402" s="181"/>
      <c r="F2402" s="182"/>
      <c r="G2402" s="1" t="str">
        <f>IFERROR(IF(ventas_b_mes1255[[#This Row],[CUIT]]="","-",VLOOKUP(ventas_b_mes1255[[#This Row],[CUIT]],Lista_CUIT[#All],2,0)),"CUIT NO CARGADO")</f>
        <v>-</v>
      </c>
      <c r="H2402" s="100">
        <f>ventas_b_mes1255[[#This Row],[TOTAL]]/1.21</f>
        <v>0</v>
      </c>
      <c r="I2402" s="64">
        <f>ventas_b_mes1255[[#This Row],[IMPORTE NETO]]*0.21</f>
        <v>0</v>
      </c>
      <c r="J2402" s="184"/>
      <c r="K2402" s="184"/>
      <c r="L2402" s="184"/>
      <c r="M2402" s="59"/>
    </row>
    <row r="2403" spans="2:13" x14ac:dyDescent="0.3">
      <c r="B2403" s="178"/>
      <c r="C2403" s="41"/>
      <c r="D2403" s="180"/>
      <c r="E2403" s="181"/>
      <c r="F2403" s="182"/>
      <c r="G2403" s="1" t="str">
        <f>IFERROR(IF(ventas_b_mes1255[[#This Row],[CUIT]]="","-",VLOOKUP(ventas_b_mes1255[[#This Row],[CUIT]],Lista_CUIT[#All],2,0)),"CUIT NO CARGADO")</f>
        <v>-</v>
      </c>
      <c r="H2403" s="100">
        <f>ventas_b_mes1255[[#This Row],[TOTAL]]/1.21</f>
        <v>0</v>
      </c>
      <c r="I2403" s="64">
        <f>ventas_b_mes1255[[#This Row],[IMPORTE NETO]]*0.21</f>
        <v>0</v>
      </c>
      <c r="J2403" s="184"/>
      <c r="K2403" s="184"/>
      <c r="L2403" s="184"/>
      <c r="M2403" s="59"/>
    </row>
    <row r="2404" spans="2:13" x14ac:dyDescent="0.3">
      <c r="B2404" s="178"/>
      <c r="C2404" s="41"/>
      <c r="D2404" s="180"/>
      <c r="E2404" s="181"/>
      <c r="F2404" s="182"/>
      <c r="G2404" s="1" t="str">
        <f>IFERROR(IF(ventas_b_mes1255[[#This Row],[CUIT]]="","-",VLOOKUP(ventas_b_mes1255[[#This Row],[CUIT]],Lista_CUIT[#All],2,0)),"CUIT NO CARGADO")</f>
        <v>-</v>
      </c>
      <c r="H2404" s="100">
        <f>ventas_b_mes1255[[#This Row],[TOTAL]]/1.21</f>
        <v>0</v>
      </c>
      <c r="I2404" s="64">
        <f>ventas_b_mes1255[[#This Row],[IMPORTE NETO]]*0.21</f>
        <v>0</v>
      </c>
      <c r="J2404" s="184"/>
      <c r="K2404" s="184"/>
      <c r="L2404" s="184"/>
      <c r="M2404" s="59"/>
    </row>
    <row r="2405" spans="2:13" x14ac:dyDescent="0.3">
      <c r="B2405" s="178"/>
      <c r="C2405" s="41"/>
      <c r="D2405" s="180"/>
      <c r="E2405" s="181"/>
      <c r="F2405" s="182"/>
      <c r="G2405" s="1" t="str">
        <f>IFERROR(IF(ventas_b_mes1255[[#This Row],[CUIT]]="","-",VLOOKUP(ventas_b_mes1255[[#This Row],[CUIT]],Lista_CUIT[#All],2,0)),"CUIT NO CARGADO")</f>
        <v>-</v>
      </c>
      <c r="H2405" s="100">
        <f>ventas_b_mes1255[[#This Row],[TOTAL]]/1.21</f>
        <v>0</v>
      </c>
      <c r="I2405" s="64">
        <f>ventas_b_mes1255[[#This Row],[IMPORTE NETO]]*0.21</f>
        <v>0</v>
      </c>
      <c r="J2405" s="184"/>
      <c r="K2405" s="184"/>
      <c r="L2405" s="184"/>
      <c r="M2405" s="59"/>
    </row>
    <row r="2406" spans="2:13" x14ac:dyDescent="0.3">
      <c r="B2406" s="178"/>
      <c r="C2406" s="41"/>
      <c r="D2406" s="180"/>
      <c r="E2406" s="181"/>
      <c r="F2406" s="182"/>
      <c r="G2406" s="1" t="str">
        <f>IFERROR(IF(ventas_b_mes1255[[#This Row],[CUIT]]="","-",VLOOKUP(ventas_b_mes1255[[#This Row],[CUIT]],Lista_CUIT[#All],2,0)),"CUIT NO CARGADO")</f>
        <v>-</v>
      </c>
      <c r="H2406" s="100">
        <f>ventas_b_mes1255[[#This Row],[TOTAL]]/1.21</f>
        <v>0</v>
      </c>
      <c r="I2406" s="64">
        <f>ventas_b_mes1255[[#This Row],[IMPORTE NETO]]*0.21</f>
        <v>0</v>
      </c>
      <c r="J2406" s="184"/>
      <c r="K2406" s="184"/>
      <c r="L2406" s="184"/>
      <c r="M2406" s="59"/>
    </row>
    <row r="2407" spans="2:13" x14ac:dyDescent="0.3">
      <c r="B2407" s="178"/>
      <c r="C2407" s="41"/>
      <c r="D2407" s="180"/>
      <c r="E2407" s="181"/>
      <c r="F2407" s="182"/>
      <c r="G2407" s="1" t="str">
        <f>IFERROR(IF(ventas_b_mes1255[[#This Row],[CUIT]]="","-",VLOOKUP(ventas_b_mes1255[[#This Row],[CUIT]],Lista_CUIT[#All],2,0)),"CUIT NO CARGADO")</f>
        <v>-</v>
      </c>
      <c r="H2407" s="100">
        <f>ventas_b_mes1255[[#This Row],[TOTAL]]/1.21</f>
        <v>0</v>
      </c>
      <c r="I2407" s="64">
        <f>ventas_b_mes1255[[#This Row],[IMPORTE NETO]]*0.21</f>
        <v>0</v>
      </c>
      <c r="J2407" s="184"/>
      <c r="K2407" s="184"/>
      <c r="L2407" s="184"/>
      <c r="M2407" s="59"/>
    </row>
    <row r="2408" spans="2:13" x14ac:dyDescent="0.3">
      <c r="B2408" s="178"/>
      <c r="C2408" s="41"/>
      <c r="D2408" s="180"/>
      <c r="E2408" s="181"/>
      <c r="F2408" s="182"/>
      <c r="G2408" s="1" t="str">
        <f>IFERROR(IF(ventas_b_mes1255[[#This Row],[CUIT]]="","-",VLOOKUP(ventas_b_mes1255[[#This Row],[CUIT]],Lista_CUIT[#All],2,0)),"CUIT NO CARGADO")</f>
        <v>-</v>
      </c>
      <c r="H2408" s="100">
        <f>ventas_b_mes1255[[#This Row],[TOTAL]]/1.21</f>
        <v>0</v>
      </c>
      <c r="I2408" s="64">
        <f>ventas_b_mes1255[[#This Row],[IMPORTE NETO]]*0.21</f>
        <v>0</v>
      </c>
      <c r="J2408" s="184"/>
      <c r="K2408" s="184"/>
      <c r="L2408" s="184"/>
      <c r="M2408" s="59"/>
    </row>
    <row r="2409" spans="2:13" x14ac:dyDescent="0.3">
      <c r="B2409" s="178"/>
      <c r="C2409" s="41"/>
      <c r="D2409" s="180"/>
      <c r="E2409" s="181"/>
      <c r="F2409" s="182"/>
      <c r="G2409" s="1" t="str">
        <f>IFERROR(IF(ventas_b_mes1255[[#This Row],[CUIT]]="","-",VLOOKUP(ventas_b_mes1255[[#This Row],[CUIT]],Lista_CUIT[#All],2,0)),"CUIT NO CARGADO")</f>
        <v>-</v>
      </c>
      <c r="H2409" s="100">
        <f>ventas_b_mes1255[[#This Row],[TOTAL]]/1.21</f>
        <v>0</v>
      </c>
      <c r="I2409" s="64">
        <f>ventas_b_mes1255[[#This Row],[IMPORTE NETO]]*0.21</f>
        <v>0</v>
      </c>
      <c r="J2409" s="184"/>
      <c r="K2409" s="184"/>
      <c r="L2409" s="184"/>
      <c r="M2409" s="59"/>
    </row>
    <row r="2410" spans="2:13" x14ac:dyDescent="0.3">
      <c r="B2410" s="178"/>
      <c r="C2410" s="41"/>
      <c r="D2410" s="180"/>
      <c r="E2410" s="181"/>
      <c r="F2410" s="182"/>
      <c r="G2410" s="1" t="str">
        <f>IFERROR(IF(ventas_b_mes1255[[#This Row],[CUIT]]="","-",VLOOKUP(ventas_b_mes1255[[#This Row],[CUIT]],Lista_CUIT[#All],2,0)),"CUIT NO CARGADO")</f>
        <v>-</v>
      </c>
      <c r="H2410" s="100">
        <f>ventas_b_mes1255[[#This Row],[TOTAL]]/1.21</f>
        <v>0</v>
      </c>
      <c r="I2410" s="64">
        <f>ventas_b_mes1255[[#This Row],[IMPORTE NETO]]*0.21</f>
        <v>0</v>
      </c>
      <c r="J2410" s="184"/>
      <c r="K2410" s="184"/>
      <c r="L2410" s="184"/>
      <c r="M2410" s="59"/>
    </row>
    <row r="2411" spans="2:13" x14ac:dyDescent="0.3">
      <c r="B2411" s="178"/>
      <c r="C2411" s="41"/>
      <c r="D2411" s="180"/>
      <c r="E2411" s="181"/>
      <c r="F2411" s="182"/>
      <c r="G2411" s="1" t="str">
        <f>IFERROR(IF(ventas_b_mes1255[[#This Row],[CUIT]]="","-",VLOOKUP(ventas_b_mes1255[[#This Row],[CUIT]],Lista_CUIT[#All],2,0)),"CUIT NO CARGADO")</f>
        <v>-</v>
      </c>
      <c r="H2411" s="100">
        <f>ventas_b_mes1255[[#This Row],[TOTAL]]/1.21</f>
        <v>0</v>
      </c>
      <c r="I2411" s="64">
        <f>ventas_b_mes1255[[#This Row],[IMPORTE NETO]]*0.21</f>
        <v>0</v>
      </c>
      <c r="J2411" s="184"/>
      <c r="K2411" s="184"/>
      <c r="L2411" s="184"/>
      <c r="M2411" s="59"/>
    </row>
    <row r="2412" spans="2:13" x14ac:dyDescent="0.3">
      <c r="B2412" s="178"/>
      <c r="C2412" s="41"/>
      <c r="D2412" s="180"/>
      <c r="E2412" s="181"/>
      <c r="F2412" s="182"/>
      <c r="G2412" s="1" t="str">
        <f>IFERROR(IF(ventas_b_mes1255[[#This Row],[CUIT]]="","-",VLOOKUP(ventas_b_mes1255[[#This Row],[CUIT]],Lista_CUIT[#All],2,0)),"CUIT NO CARGADO")</f>
        <v>-</v>
      </c>
      <c r="H2412" s="100">
        <f>ventas_b_mes1255[[#This Row],[TOTAL]]/1.21</f>
        <v>0</v>
      </c>
      <c r="I2412" s="64">
        <f>ventas_b_mes1255[[#This Row],[IMPORTE NETO]]*0.21</f>
        <v>0</v>
      </c>
      <c r="J2412" s="184"/>
      <c r="K2412" s="184"/>
      <c r="L2412" s="184"/>
      <c r="M2412" s="59"/>
    </row>
    <row r="2413" spans="2:13" x14ac:dyDescent="0.3">
      <c r="B2413" s="178"/>
      <c r="C2413" s="41"/>
      <c r="D2413" s="180"/>
      <c r="E2413" s="181"/>
      <c r="F2413" s="182"/>
      <c r="G2413" s="1" t="str">
        <f>IFERROR(IF(ventas_b_mes1255[[#This Row],[CUIT]]="","-",VLOOKUP(ventas_b_mes1255[[#This Row],[CUIT]],Lista_CUIT[#All],2,0)),"CUIT NO CARGADO")</f>
        <v>-</v>
      </c>
      <c r="H2413" s="100">
        <f>ventas_b_mes1255[[#This Row],[TOTAL]]/1.21</f>
        <v>0</v>
      </c>
      <c r="I2413" s="64">
        <f>ventas_b_mes1255[[#This Row],[IMPORTE NETO]]*0.21</f>
        <v>0</v>
      </c>
      <c r="J2413" s="184"/>
      <c r="K2413" s="184"/>
      <c r="L2413" s="184"/>
      <c r="M2413" s="59"/>
    </row>
    <row r="2414" spans="2:13" x14ac:dyDescent="0.3">
      <c r="B2414" s="178"/>
      <c r="C2414" s="41"/>
      <c r="D2414" s="180"/>
      <c r="E2414" s="181"/>
      <c r="F2414" s="182"/>
      <c r="G2414" s="1" t="str">
        <f>IFERROR(IF(ventas_b_mes1255[[#This Row],[CUIT]]="","-",VLOOKUP(ventas_b_mes1255[[#This Row],[CUIT]],Lista_CUIT[#All],2,0)),"CUIT NO CARGADO")</f>
        <v>-</v>
      </c>
      <c r="H2414" s="100">
        <f>ventas_b_mes1255[[#This Row],[TOTAL]]/1.21</f>
        <v>0</v>
      </c>
      <c r="I2414" s="64">
        <f>ventas_b_mes1255[[#This Row],[IMPORTE NETO]]*0.21</f>
        <v>0</v>
      </c>
      <c r="J2414" s="184"/>
      <c r="K2414" s="184"/>
      <c r="L2414" s="184"/>
      <c r="M2414" s="59"/>
    </row>
    <row r="2415" spans="2:13" x14ac:dyDescent="0.3">
      <c r="B2415" s="178"/>
      <c r="C2415" s="41"/>
      <c r="D2415" s="180"/>
      <c r="E2415" s="181"/>
      <c r="F2415" s="182"/>
      <c r="G2415" s="1" t="str">
        <f>IFERROR(IF(ventas_b_mes1255[[#This Row],[CUIT]]="","-",VLOOKUP(ventas_b_mes1255[[#This Row],[CUIT]],Lista_CUIT[#All],2,0)),"CUIT NO CARGADO")</f>
        <v>-</v>
      </c>
      <c r="H2415" s="100">
        <f>ventas_b_mes1255[[#This Row],[TOTAL]]/1.21</f>
        <v>0</v>
      </c>
      <c r="I2415" s="64">
        <f>ventas_b_mes1255[[#This Row],[IMPORTE NETO]]*0.21</f>
        <v>0</v>
      </c>
      <c r="J2415" s="184"/>
      <c r="K2415" s="184"/>
      <c r="L2415" s="184"/>
      <c r="M2415" s="59"/>
    </row>
    <row r="2416" spans="2:13" x14ac:dyDescent="0.3">
      <c r="B2416" s="178"/>
      <c r="C2416" s="41"/>
      <c r="D2416" s="180"/>
      <c r="E2416" s="181"/>
      <c r="F2416" s="182"/>
      <c r="G2416" s="1" t="str">
        <f>IFERROR(IF(ventas_b_mes1255[[#This Row],[CUIT]]="","-",VLOOKUP(ventas_b_mes1255[[#This Row],[CUIT]],Lista_CUIT[#All],2,0)),"CUIT NO CARGADO")</f>
        <v>-</v>
      </c>
      <c r="H2416" s="100">
        <f>ventas_b_mes1255[[#This Row],[TOTAL]]/1.21</f>
        <v>0</v>
      </c>
      <c r="I2416" s="64">
        <f>ventas_b_mes1255[[#This Row],[IMPORTE NETO]]*0.21</f>
        <v>0</v>
      </c>
      <c r="J2416" s="184"/>
      <c r="K2416" s="184"/>
      <c r="L2416" s="184"/>
      <c r="M2416" s="59"/>
    </row>
    <row r="2417" spans="2:13" x14ac:dyDescent="0.3">
      <c r="B2417" s="178"/>
      <c r="C2417" s="41"/>
      <c r="D2417" s="180"/>
      <c r="E2417" s="181"/>
      <c r="F2417" s="182"/>
      <c r="G2417" s="1" t="str">
        <f>IFERROR(IF(ventas_b_mes1255[[#This Row],[CUIT]]="","-",VLOOKUP(ventas_b_mes1255[[#This Row],[CUIT]],Lista_CUIT[#All],2,0)),"CUIT NO CARGADO")</f>
        <v>-</v>
      </c>
      <c r="H2417" s="100">
        <f>ventas_b_mes1255[[#This Row],[TOTAL]]/1.21</f>
        <v>0</v>
      </c>
      <c r="I2417" s="64">
        <f>ventas_b_mes1255[[#This Row],[IMPORTE NETO]]*0.21</f>
        <v>0</v>
      </c>
      <c r="J2417" s="184"/>
      <c r="K2417" s="184"/>
      <c r="L2417" s="184"/>
      <c r="M2417" s="59"/>
    </row>
    <row r="2418" spans="2:13" x14ac:dyDescent="0.3">
      <c r="B2418" s="178"/>
      <c r="C2418" s="41"/>
      <c r="D2418" s="180"/>
      <c r="E2418" s="181"/>
      <c r="F2418" s="182"/>
      <c r="G2418" s="1" t="str">
        <f>IFERROR(IF(ventas_b_mes1255[[#This Row],[CUIT]]="","-",VLOOKUP(ventas_b_mes1255[[#This Row],[CUIT]],Lista_CUIT[#All],2,0)),"CUIT NO CARGADO")</f>
        <v>-</v>
      </c>
      <c r="H2418" s="100">
        <f>ventas_b_mes1255[[#This Row],[TOTAL]]/1.21</f>
        <v>0</v>
      </c>
      <c r="I2418" s="64">
        <f>ventas_b_mes1255[[#This Row],[IMPORTE NETO]]*0.21</f>
        <v>0</v>
      </c>
      <c r="J2418" s="184"/>
      <c r="K2418" s="184"/>
      <c r="L2418" s="184"/>
      <c r="M2418" s="59"/>
    </row>
    <row r="2419" spans="2:13" x14ac:dyDescent="0.3">
      <c r="B2419" s="178"/>
      <c r="C2419" s="41"/>
      <c r="D2419" s="180"/>
      <c r="E2419" s="181"/>
      <c r="F2419" s="182"/>
      <c r="G2419" s="1" t="str">
        <f>IFERROR(IF(ventas_b_mes1255[[#This Row],[CUIT]]="","-",VLOOKUP(ventas_b_mes1255[[#This Row],[CUIT]],Lista_CUIT[#All],2,0)),"CUIT NO CARGADO")</f>
        <v>-</v>
      </c>
      <c r="H2419" s="100">
        <f>ventas_b_mes1255[[#This Row],[TOTAL]]/1.21</f>
        <v>0</v>
      </c>
      <c r="I2419" s="64">
        <f>ventas_b_mes1255[[#This Row],[IMPORTE NETO]]*0.21</f>
        <v>0</v>
      </c>
      <c r="J2419" s="184"/>
      <c r="K2419" s="184"/>
      <c r="L2419" s="184"/>
      <c r="M2419" s="59"/>
    </row>
    <row r="2420" spans="2:13" x14ac:dyDescent="0.3">
      <c r="B2420" s="178"/>
      <c r="C2420" s="41"/>
      <c r="D2420" s="180"/>
      <c r="E2420" s="181"/>
      <c r="F2420" s="182"/>
      <c r="G2420" s="1" t="str">
        <f>IFERROR(IF(ventas_b_mes1255[[#This Row],[CUIT]]="","-",VLOOKUP(ventas_b_mes1255[[#This Row],[CUIT]],Lista_CUIT[#All],2,0)),"CUIT NO CARGADO")</f>
        <v>-</v>
      </c>
      <c r="H2420" s="100">
        <f>ventas_b_mes1255[[#This Row],[TOTAL]]/1.21</f>
        <v>0</v>
      </c>
      <c r="I2420" s="64">
        <f>ventas_b_mes1255[[#This Row],[IMPORTE NETO]]*0.21</f>
        <v>0</v>
      </c>
      <c r="J2420" s="184"/>
      <c r="K2420" s="184"/>
      <c r="L2420" s="184"/>
      <c r="M2420" s="59"/>
    </row>
    <row r="2421" spans="2:13" x14ac:dyDescent="0.3">
      <c r="B2421" s="178"/>
      <c r="C2421" s="41"/>
      <c r="D2421" s="180"/>
      <c r="E2421" s="181"/>
      <c r="F2421" s="182"/>
      <c r="G2421" s="1" t="str">
        <f>IFERROR(IF(ventas_b_mes1255[[#This Row],[CUIT]]="","-",VLOOKUP(ventas_b_mes1255[[#This Row],[CUIT]],Lista_CUIT[#All],2,0)),"CUIT NO CARGADO")</f>
        <v>-</v>
      </c>
      <c r="H2421" s="100">
        <f>ventas_b_mes1255[[#This Row],[TOTAL]]/1.21</f>
        <v>0</v>
      </c>
      <c r="I2421" s="64">
        <f>ventas_b_mes1255[[#This Row],[IMPORTE NETO]]*0.21</f>
        <v>0</v>
      </c>
      <c r="J2421" s="184"/>
      <c r="K2421" s="184"/>
      <c r="L2421" s="184"/>
      <c r="M2421" s="59"/>
    </row>
    <row r="2422" spans="2:13" x14ac:dyDescent="0.3">
      <c r="B2422" s="178"/>
      <c r="C2422" s="41"/>
      <c r="D2422" s="180"/>
      <c r="E2422" s="181"/>
      <c r="F2422" s="182"/>
      <c r="G2422" s="1" t="str">
        <f>IFERROR(IF(ventas_b_mes1255[[#This Row],[CUIT]]="","-",VLOOKUP(ventas_b_mes1255[[#This Row],[CUIT]],Lista_CUIT[#All],2,0)),"CUIT NO CARGADO")</f>
        <v>-</v>
      </c>
      <c r="H2422" s="100">
        <f>ventas_b_mes1255[[#This Row],[TOTAL]]/1.21</f>
        <v>0</v>
      </c>
      <c r="I2422" s="64">
        <f>ventas_b_mes1255[[#This Row],[IMPORTE NETO]]*0.21</f>
        <v>0</v>
      </c>
      <c r="J2422" s="184"/>
      <c r="K2422" s="184"/>
      <c r="L2422" s="184"/>
      <c r="M2422" s="59"/>
    </row>
    <row r="2423" spans="2:13" x14ac:dyDescent="0.3">
      <c r="B2423" s="178"/>
      <c r="C2423" s="41"/>
      <c r="D2423" s="180"/>
      <c r="E2423" s="181"/>
      <c r="F2423" s="182"/>
      <c r="G2423" s="1" t="str">
        <f>IFERROR(IF(ventas_b_mes1255[[#This Row],[CUIT]]="","-",VLOOKUP(ventas_b_mes1255[[#This Row],[CUIT]],Lista_CUIT[#All],2,0)),"CUIT NO CARGADO")</f>
        <v>-</v>
      </c>
      <c r="H2423" s="100">
        <f>ventas_b_mes1255[[#This Row],[TOTAL]]/1.21</f>
        <v>0</v>
      </c>
      <c r="I2423" s="64">
        <f>ventas_b_mes1255[[#This Row],[IMPORTE NETO]]*0.21</f>
        <v>0</v>
      </c>
      <c r="J2423" s="184"/>
      <c r="K2423" s="184"/>
      <c r="L2423" s="184"/>
      <c r="M2423" s="59"/>
    </row>
    <row r="2424" spans="2:13" x14ac:dyDescent="0.3">
      <c r="B2424" s="178"/>
      <c r="C2424" s="41"/>
      <c r="D2424" s="180"/>
      <c r="E2424" s="181"/>
      <c r="F2424" s="182"/>
      <c r="G2424" s="1" t="str">
        <f>IFERROR(IF(ventas_b_mes1255[[#This Row],[CUIT]]="","-",VLOOKUP(ventas_b_mes1255[[#This Row],[CUIT]],Lista_CUIT[#All],2,0)),"CUIT NO CARGADO")</f>
        <v>-</v>
      </c>
      <c r="H2424" s="100">
        <f>ventas_b_mes1255[[#This Row],[TOTAL]]/1.21</f>
        <v>0</v>
      </c>
      <c r="I2424" s="64">
        <f>ventas_b_mes1255[[#This Row],[IMPORTE NETO]]*0.21</f>
        <v>0</v>
      </c>
      <c r="J2424" s="184"/>
      <c r="K2424" s="184"/>
      <c r="L2424" s="184"/>
      <c r="M2424" s="59"/>
    </row>
    <row r="2425" spans="2:13" x14ac:dyDescent="0.3">
      <c r="B2425" s="178"/>
      <c r="C2425" s="41"/>
      <c r="D2425" s="180"/>
      <c r="E2425" s="181"/>
      <c r="F2425" s="182"/>
      <c r="G2425" s="1" t="str">
        <f>IFERROR(IF(ventas_b_mes1255[[#This Row],[CUIT]]="","-",VLOOKUP(ventas_b_mes1255[[#This Row],[CUIT]],Lista_CUIT[#All],2,0)),"CUIT NO CARGADO")</f>
        <v>-</v>
      </c>
      <c r="H2425" s="100">
        <f>ventas_b_mes1255[[#This Row],[TOTAL]]/1.21</f>
        <v>0</v>
      </c>
      <c r="I2425" s="64">
        <f>ventas_b_mes1255[[#This Row],[IMPORTE NETO]]*0.21</f>
        <v>0</v>
      </c>
      <c r="J2425" s="184"/>
      <c r="K2425" s="184"/>
      <c r="L2425" s="184"/>
      <c r="M2425" s="59"/>
    </row>
    <row r="2426" spans="2:13" x14ac:dyDescent="0.3">
      <c r="B2426" s="178"/>
      <c r="C2426" s="41"/>
      <c r="D2426" s="180"/>
      <c r="E2426" s="181"/>
      <c r="F2426" s="182"/>
      <c r="G2426" s="1" t="str">
        <f>IFERROR(IF(ventas_b_mes1255[[#This Row],[CUIT]]="","-",VLOOKUP(ventas_b_mes1255[[#This Row],[CUIT]],Lista_CUIT[#All],2,0)),"CUIT NO CARGADO")</f>
        <v>-</v>
      </c>
      <c r="H2426" s="100">
        <f>ventas_b_mes1255[[#This Row],[TOTAL]]/1.21</f>
        <v>0</v>
      </c>
      <c r="I2426" s="64">
        <f>ventas_b_mes1255[[#This Row],[IMPORTE NETO]]*0.21</f>
        <v>0</v>
      </c>
      <c r="J2426" s="184"/>
      <c r="K2426" s="184"/>
      <c r="L2426" s="184"/>
      <c r="M2426" s="59"/>
    </row>
    <row r="2427" spans="2:13" x14ac:dyDescent="0.3">
      <c r="B2427" s="178"/>
      <c r="C2427" s="41"/>
      <c r="D2427" s="180"/>
      <c r="E2427" s="181"/>
      <c r="F2427" s="182"/>
      <c r="G2427" s="1" t="str">
        <f>IFERROR(IF(ventas_b_mes1255[[#This Row],[CUIT]]="","-",VLOOKUP(ventas_b_mes1255[[#This Row],[CUIT]],Lista_CUIT[#All],2,0)),"CUIT NO CARGADO")</f>
        <v>-</v>
      </c>
      <c r="H2427" s="100">
        <f>ventas_b_mes1255[[#This Row],[TOTAL]]/1.21</f>
        <v>0</v>
      </c>
      <c r="I2427" s="64">
        <f>ventas_b_mes1255[[#This Row],[IMPORTE NETO]]*0.21</f>
        <v>0</v>
      </c>
      <c r="J2427" s="184"/>
      <c r="K2427" s="184"/>
      <c r="L2427" s="184"/>
      <c r="M2427" s="59"/>
    </row>
    <row r="2428" spans="2:13" x14ac:dyDescent="0.3">
      <c r="B2428" s="178"/>
      <c r="C2428" s="41"/>
      <c r="D2428" s="180"/>
      <c r="E2428" s="181"/>
      <c r="F2428" s="182"/>
      <c r="G2428" s="1" t="str">
        <f>IFERROR(IF(ventas_b_mes1255[[#This Row],[CUIT]]="","-",VLOOKUP(ventas_b_mes1255[[#This Row],[CUIT]],Lista_CUIT[#All],2,0)),"CUIT NO CARGADO")</f>
        <v>-</v>
      </c>
      <c r="H2428" s="100">
        <f>ventas_b_mes1255[[#This Row],[TOTAL]]/1.21</f>
        <v>0</v>
      </c>
      <c r="I2428" s="64">
        <f>ventas_b_mes1255[[#This Row],[IMPORTE NETO]]*0.21</f>
        <v>0</v>
      </c>
      <c r="J2428" s="184"/>
      <c r="K2428" s="184"/>
      <c r="L2428" s="184"/>
      <c r="M2428" s="59"/>
    </row>
    <row r="2429" spans="2:13" x14ac:dyDescent="0.3">
      <c r="B2429" s="178"/>
      <c r="C2429" s="41"/>
      <c r="D2429" s="180"/>
      <c r="E2429" s="181"/>
      <c r="F2429" s="182"/>
      <c r="G2429" s="1" t="str">
        <f>IFERROR(IF(ventas_b_mes1255[[#This Row],[CUIT]]="","-",VLOOKUP(ventas_b_mes1255[[#This Row],[CUIT]],Lista_CUIT[#All],2,0)),"CUIT NO CARGADO")</f>
        <v>-</v>
      </c>
      <c r="H2429" s="100">
        <f>ventas_b_mes1255[[#This Row],[TOTAL]]/1.21</f>
        <v>0</v>
      </c>
      <c r="I2429" s="64">
        <f>ventas_b_mes1255[[#This Row],[IMPORTE NETO]]*0.21</f>
        <v>0</v>
      </c>
      <c r="J2429" s="184"/>
      <c r="K2429" s="184"/>
      <c r="L2429" s="184"/>
      <c r="M2429" s="59"/>
    </row>
    <row r="2430" spans="2:13" x14ac:dyDescent="0.3">
      <c r="B2430" s="178"/>
      <c r="C2430" s="41"/>
      <c r="D2430" s="180"/>
      <c r="E2430" s="181"/>
      <c r="F2430" s="182"/>
      <c r="G2430" s="1" t="str">
        <f>IFERROR(IF(ventas_b_mes1255[[#This Row],[CUIT]]="","-",VLOOKUP(ventas_b_mes1255[[#This Row],[CUIT]],Lista_CUIT[#All],2,0)),"CUIT NO CARGADO")</f>
        <v>-</v>
      </c>
      <c r="H2430" s="100">
        <f>ventas_b_mes1255[[#This Row],[TOTAL]]/1.21</f>
        <v>0</v>
      </c>
      <c r="I2430" s="64">
        <f>ventas_b_mes1255[[#This Row],[IMPORTE NETO]]*0.21</f>
        <v>0</v>
      </c>
      <c r="J2430" s="184"/>
      <c r="K2430" s="184"/>
      <c r="L2430" s="184"/>
      <c r="M2430" s="59"/>
    </row>
    <row r="2431" spans="2:13" x14ac:dyDescent="0.3">
      <c r="B2431" s="178"/>
      <c r="C2431" s="41"/>
      <c r="D2431" s="180"/>
      <c r="E2431" s="181"/>
      <c r="F2431" s="182"/>
      <c r="G2431" s="1" t="str">
        <f>IFERROR(IF(ventas_b_mes1255[[#This Row],[CUIT]]="","-",VLOOKUP(ventas_b_mes1255[[#This Row],[CUIT]],Lista_CUIT[#All],2,0)),"CUIT NO CARGADO")</f>
        <v>-</v>
      </c>
      <c r="H2431" s="100">
        <f>ventas_b_mes1255[[#This Row],[TOTAL]]/1.21</f>
        <v>0</v>
      </c>
      <c r="I2431" s="64">
        <f>ventas_b_mes1255[[#This Row],[IMPORTE NETO]]*0.21</f>
        <v>0</v>
      </c>
      <c r="J2431" s="184"/>
      <c r="K2431" s="184"/>
      <c r="L2431" s="184"/>
      <c r="M2431" s="59"/>
    </row>
    <row r="2432" spans="2:13" x14ac:dyDescent="0.3">
      <c r="B2432" s="178"/>
      <c r="C2432" s="41"/>
      <c r="D2432" s="180"/>
      <c r="E2432" s="181"/>
      <c r="F2432" s="182"/>
      <c r="G2432" s="1" t="str">
        <f>IFERROR(IF(ventas_b_mes1255[[#This Row],[CUIT]]="","-",VLOOKUP(ventas_b_mes1255[[#This Row],[CUIT]],Lista_CUIT[#All],2,0)),"CUIT NO CARGADO")</f>
        <v>-</v>
      </c>
      <c r="H2432" s="100">
        <f>ventas_b_mes1255[[#This Row],[TOTAL]]/1.21</f>
        <v>0</v>
      </c>
      <c r="I2432" s="64">
        <f>ventas_b_mes1255[[#This Row],[IMPORTE NETO]]*0.21</f>
        <v>0</v>
      </c>
      <c r="J2432" s="184"/>
      <c r="K2432" s="184"/>
      <c r="L2432" s="184"/>
      <c r="M2432" s="59"/>
    </row>
    <row r="2433" spans="2:13" x14ac:dyDescent="0.3">
      <c r="B2433" s="178"/>
      <c r="C2433" s="41"/>
      <c r="D2433" s="180"/>
      <c r="E2433" s="181"/>
      <c r="F2433" s="182"/>
      <c r="G2433" s="1" t="str">
        <f>IFERROR(IF(ventas_b_mes1255[[#This Row],[CUIT]]="","-",VLOOKUP(ventas_b_mes1255[[#This Row],[CUIT]],Lista_CUIT[#All],2,0)),"CUIT NO CARGADO")</f>
        <v>-</v>
      </c>
      <c r="H2433" s="100">
        <f>ventas_b_mes1255[[#This Row],[TOTAL]]/1.21</f>
        <v>0</v>
      </c>
      <c r="I2433" s="64">
        <f>ventas_b_mes1255[[#This Row],[IMPORTE NETO]]*0.21</f>
        <v>0</v>
      </c>
      <c r="J2433" s="184"/>
      <c r="K2433" s="184"/>
      <c r="L2433" s="184"/>
      <c r="M2433" s="59"/>
    </row>
    <row r="2434" spans="2:13" x14ac:dyDescent="0.3">
      <c r="B2434" s="178"/>
      <c r="C2434" s="41"/>
      <c r="D2434" s="180"/>
      <c r="E2434" s="181"/>
      <c r="F2434" s="182"/>
      <c r="G2434" s="1" t="str">
        <f>IFERROR(IF(ventas_b_mes1255[[#This Row],[CUIT]]="","-",VLOOKUP(ventas_b_mes1255[[#This Row],[CUIT]],Lista_CUIT[#All],2,0)),"CUIT NO CARGADO")</f>
        <v>-</v>
      </c>
      <c r="H2434" s="100">
        <f>ventas_b_mes1255[[#This Row],[TOTAL]]/1.21</f>
        <v>0</v>
      </c>
      <c r="I2434" s="64">
        <f>ventas_b_mes1255[[#This Row],[IMPORTE NETO]]*0.21</f>
        <v>0</v>
      </c>
      <c r="J2434" s="184"/>
      <c r="K2434" s="184"/>
      <c r="L2434" s="184"/>
      <c r="M2434" s="59"/>
    </row>
    <row r="2435" spans="2:13" x14ac:dyDescent="0.3">
      <c r="B2435" s="178"/>
      <c r="C2435" s="41"/>
      <c r="D2435" s="180"/>
      <c r="E2435" s="181"/>
      <c r="F2435" s="182"/>
      <c r="G2435" s="1" t="str">
        <f>IFERROR(IF(ventas_b_mes1255[[#This Row],[CUIT]]="","-",VLOOKUP(ventas_b_mes1255[[#This Row],[CUIT]],Lista_CUIT[#All],2,0)),"CUIT NO CARGADO")</f>
        <v>-</v>
      </c>
      <c r="H2435" s="100">
        <f>ventas_b_mes1255[[#This Row],[TOTAL]]/1.21</f>
        <v>0</v>
      </c>
      <c r="I2435" s="64">
        <f>ventas_b_mes1255[[#This Row],[IMPORTE NETO]]*0.21</f>
        <v>0</v>
      </c>
      <c r="J2435" s="184"/>
      <c r="K2435" s="184"/>
      <c r="L2435" s="184"/>
      <c r="M2435" s="59"/>
    </row>
    <row r="2436" spans="2:13" x14ac:dyDescent="0.3">
      <c r="B2436" s="178"/>
      <c r="C2436" s="41"/>
      <c r="D2436" s="180"/>
      <c r="E2436" s="181"/>
      <c r="F2436" s="182"/>
      <c r="G2436" s="1" t="str">
        <f>IFERROR(IF(ventas_b_mes1255[[#This Row],[CUIT]]="","-",VLOOKUP(ventas_b_mes1255[[#This Row],[CUIT]],Lista_CUIT[#All],2,0)),"CUIT NO CARGADO")</f>
        <v>-</v>
      </c>
      <c r="H2436" s="100">
        <f>ventas_b_mes1255[[#This Row],[TOTAL]]/1.21</f>
        <v>0</v>
      </c>
      <c r="I2436" s="64">
        <f>ventas_b_mes1255[[#This Row],[IMPORTE NETO]]*0.21</f>
        <v>0</v>
      </c>
      <c r="J2436" s="184"/>
      <c r="K2436" s="184"/>
      <c r="L2436" s="184"/>
      <c r="M2436" s="59"/>
    </row>
    <row r="2437" spans="2:13" x14ac:dyDescent="0.3">
      <c r="B2437" s="178"/>
      <c r="C2437" s="41"/>
      <c r="D2437" s="180"/>
      <c r="E2437" s="181"/>
      <c r="F2437" s="182"/>
      <c r="G2437" s="1" t="str">
        <f>IFERROR(IF(ventas_b_mes1255[[#This Row],[CUIT]]="","-",VLOOKUP(ventas_b_mes1255[[#This Row],[CUIT]],Lista_CUIT[#All],2,0)),"CUIT NO CARGADO")</f>
        <v>-</v>
      </c>
      <c r="H2437" s="100">
        <f>ventas_b_mes1255[[#This Row],[TOTAL]]/1.21</f>
        <v>0</v>
      </c>
      <c r="I2437" s="64">
        <f>ventas_b_mes1255[[#This Row],[IMPORTE NETO]]*0.21</f>
        <v>0</v>
      </c>
      <c r="J2437" s="184"/>
      <c r="K2437" s="184"/>
      <c r="L2437" s="184"/>
      <c r="M2437" s="59"/>
    </row>
    <row r="2438" spans="2:13" x14ac:dyDescent="0.3">
      <c r="B2438" s="178"/>
      <c r="C2438" s="41"/>
      <c r="D2438" s="180"/>
      <c r="E2438" s="181"/>
      <c r="F2438" s="182"/>
      <c r="G2438" s="1" t="str">
        <f>IFERROR(IF(ventas_b_mes1255[[#This Row],[CUIT]]="","-",VLOOKUP(ventas_b_mes1255[[#This Row],[CUIT]],Lista_CUIT[#All],2,0)),"CUIT NO CARGADO")</f>
        <v>-</v>
      </c>
      <c r="H2438" s="100">
        <f>ventas_b_mes1255[[#This Row],[TOTAL]]/1.21</f>
        <v>0</v>
      </c>
      <c r="I2438" s="64">
        <f>ventas_b_mes1255[[#This Row],[IMPORTE NETO]]*0.21</f>
        <v>0</v>
      </c>
      <c r="J2438" s="184"/>
      <c r="K2438" s="184"/>
      <c r="L2438" s="184"/>
      <c r="M2438" s="59"/>
    </row>
    <row r="2439" spans="2:13" x14ac:dyDescent="0.3">
      <c r="B2439" s="178"/>
      <c r="C2439" s="41"/>
      <c r="D2439" s="180"/>
      <c r="E2439" s="181"/>
      <c r="F2439" s="182"/>
      <c r="G2439" s="1" t="str">
        <f>IFERROR(IF(ventas_b_mes1255[[#This Row],[CUIT]]="","-",VLOOKUP(ventas_b_mes1255[[#This Row],[CUIT]],Lista_CUIT[#All],2,0)),"CUIT NO CARGADO")</f>
        <v>-</v>
      </c>
      <c r="H2439" s="100">
        <f>ventas_b_mes1255[[#This Row],[TOTAL]]/1.21</f>
        <v>0</v>
      </c>
      <c r="I2439" s="64">
        <f>ventas_b_mes1255[[#This Row],[IMPORTE NETO]]*0.21</f>
        <v>0</v>
      </c>
      <c r="J2439" s="184"/>
      <c r="K2439" s="184"/>
      <c r="L2439" s="184"/>
      <c r="M2439" s="59"/>
    </row>
    <row r="2440" spans="2:13" x14ac:dyDescent="0.3">
      <c r="B2440" s="178"/>
      <c r="C2440" s="41"/>
      <c r="D2440" s="180"/>
      <c r="E2440" s="181"/>
      <c r="F2440" s="182"/>
      <c r="G2440" s="1" t="str">
        <f>IFERROR(IF(ventas_b_mes1255[[#This Row],[CUIT]]="","-",VLOOKUP(ventas_b_mes1255[[#This Row],[CUIT]],Lista_CUIT[#All],2,0)),"CUIT NO CARGADO")</f>
        <v>-</v>
      </c>
      <c r="H2440" s="100">
        <f>ventas_b_mes1255[[#This Row],[TOTAL]]/1.21</f>
        <v>0</v>
      </c>
      <c r="I2440" s="64">
        <f>ventas_b_mes1255[[#This Row],[IMPORTE NETO]]*0.21</f>
        <v>0</v>
      </c>
      <c r="J2440" s="184"/>
      <c r="K2440" s="184"/>
      <c r="L2440" s="184"/>
      <c r="M2440" s="59"/>
    </row>
    <row r="2441" spans="2:13" x14ac:dyDescent="0.3">
      <c r="B2441" s="178"/>
      <c r="C2441" s="41"/>
      <c r="D2441" s="180"/>
      <c r="E2441" s="181"/>
      <c r="F2441" s="182"/>
      <c r="G2441" s="1" t="str">
        <f>IFERROR(IF(ventas_b_mes1255[[#This Row],[CUIT]]="","-",VLOOKUP(ventas_b_mes1255[[#This Row],[CUIT]],Lista_CUIT[#All],2,0)),"CUIT NO CARGADO")</f>
        <v>-</v>
      </c>
      <c r="H2441" s="100">
        <f>ventas_b_mes1255[[#This Row],[TOTAL]]/1.21</f>
        <v>0</v>
      </c>
      <c r="I2441" s="64">
        <f>ventas_b_mes1255[[#This Row],[IMPORTE NETO]]*0.21</f>
        <v>0</v>
      </c>
      <c r="J2441" s="184"/>
      <c r="K2441" s="184"/>
      <c r="L2441" s="184"/>
      <c r="M2441" s="59"/>
    </row>
    <row r="2442" spans="2:13" x14ac:dyDescent="0.3">
      <c r="B2442" s="178"/>
      <c r="C2442" s="41"/>
      <c r="D2442" s="180"/>
      <c r="E2442" s="181"/>
      <c r="F2442" s="182"/>
      <c r="G2442" s="1" t="str">
        <f>IFERROR(IF(ventas_b_mes1255[[#This Row],[CUIT]]="","-",VLOOKUP(ventas_b_mes1255[[#This Row],[CUIT]],Lista_CUIT[#All],2,0)),"CUIT NO CARGADO")</f>
        <v>-</v>
      </c>
      <c r="H2442" s="100">
        <f>ventas_b_mes1255[[#This Row],[TOTAL]]/1.21</f>
        <v>0</v>
      </c>
      <c r="I2442" s="64">
        <f>ventas_b_mes1255[[#This Row],[IMPORTE NETO]]*0.21</f>
        <v>0</v>
      </c>
      <c r="J2442" s="184"/>
      <c r="K2442" s="184"/>
      <c r="L2442" s="184"/>
      <c r="M2442" s="59"/>
    </row>
    <row r="2443" spans="2:13" x14ac:dyDescent="0.3">
      <c r="B2443" s="178"/>
      <c r="C2443" s="41"/>
      <c r="D2443" s="180"/>
      <c r="E2443" s="181"/>
      <c r="F2443" s="182"/>
      <c r="G2443" s="1" t="str">
        <f>IFERROR(IF(ventas_b_mes1255[[#This Row],[CUIT]]="","-",VLOOKUP(ventas_b_mes1255[[#This Row],[CUIT]],Lista_CUIT[#All],2,0)),"CUIT NO CARGADO")</f>
        <v>-</v>
      </c>
      <c r="H2443" s="100">
        <f>ventas_b_mes1255[[#This Row],[TOTAL]]/1.21</f>
        <v>0</v>
      </c>
      <c r="I2443" s="64">
        <f>ventas_b_mes1255[[#This Row],[IMPORTE NETO]]*0.21</f>
        <v>0</v>
      </c>
      <c r="J2443" s="184"/>
      <c r="K2443" s="184"/>
      <c r="L2443" s="184"/>
      <c r="M2443" s="59"/>
    </row>
    <row r="2444" spans="2:13" x14ac:dyDescent="0.3">
      <c r="B2444" s="178"/>
      <c r="C2444" s="41"/>
      <c r="D2444" s="180"/>
      <c r="E2444" s="181"/>
      <c r="F2444" s="182"/>
      <c r="G2444" s="1" t="str">
        <f>IFERROR(IF(ventas_b_mes1255[[#This Row],[CUIT]]="","-",VLOOKUP(ventas_b_mes1255[[#This Row],[CUIT]],Lista_CUIT[#All],2,0)),"CUIT NO CARGADO")</f>
        <v>-</v>
      </c>
      <c r="H2444" s="100">
        <f>ventas_b_mes1255[[#This Row],[TOTAL]]/1.21</f>
        <v>0</v>
      </c>
      <c r="I2444" s="64">
        <f>ventas_b_mes1255[[#This Row],[IMPORTE NETO]]*0.21</f>
        <v>0</v>
      </c>
      <c r="J2444" s="184"/>
      <c r="K2444" s="184"/>
      <c r="L2444" s="184"/>
      <c r="M2444" s="59"/>
    </row>
    <row r="2445" spans="2:13" x14ac:dyDescent="0.3">
      <c r="B2445" s="178"/>
      <c r="C2445" s="41"/>
      <c r="D2445" s="180"/>
      <c r="E2445" s="181"/>
      <c r="F2445" s="182"/>
      <c r="G2445" s="1" t="str">
        <f>IFERROR(IF(ventas_b_mes1255[[#This Row],[CUIT]]="","-",VLOOKUP(ventas_b_mes1255[[#This Row],[CUIT]],Lista_CUIT[#All],2,0)),"CUIT NO CARGADO")</f>
        <v>-</v>
      </c>
      <c r="H2445" s="100">
        <f>ventas_b_mes1255[[#This Row],[TOTAL]]/1.21</f>
        <v>0</v>
      </c>
      <c r="I2445" s="64">
        <f>ventas_b_mes1255[[#This Row],[IMPORTE NETO]]*0.21</f>
        <v>0</v>
      </c>
      <c r="J2445" s="184"/>
      <c r="K2445" s="184"/>
      <c r="L2445" s="184"/>
      <c r="M2445" s="59"/>
    </row>
    <row r="2446" spans="2:13" x14ac:dyDescent="0.3">
      <c r="B2446" s="178"/>
      <c r="C2446" s="41"/>
      <c r="D2446" s="180"/>
      <c r="E2446" s="181"/>
      <c r="F2446" s="182"/>
      <c r="G2446" s="1" t="str">
        <f>IFERROR(IF(ventas_b_mes1255[[#This Row],[CUIT]]="","-",VLOOKUP(ventas_b_mes1255[[#This Row],[CUIT]],Lista_CUIT[#All],2,0)),"CUIT NO CARGADO")</f>
        <v>-</v>
      </c>
      <c r="H2446" s="100">
        <f>ventas_b_mes1255[[#This Row],[TOTAL]]/1.21</f>
        <v>0</v>
      </c>
      <c r="I2446" s="64">
        <f>ventas_b_mes1255[[#This Row],[IMPORTE NETO]]*0.21</f>
        <v>0</v>
      </c>
      <c r="J2446" s="184"/>
      <c r="K2446" s="184"/>
      <c r="L2446" s="184"/>
      <c r="M2446" s="59"/>
    </row>
    <row r="2447" spans="2:13" x14ac:dyDescent="0.3">
      <c r="B2447" s="178"/>
      <c r="C2447" s="41"/>
      <c r="D2447" s="180"/>
      <c r="E2447" s="181"/>
      <c r="F2447" s="182"/>
      <c r="G2447" s="1" t="str">
        <f>IFERROR(IF(ventas_b_mes1255[[#This Row],[CUIT]]="","-",VLOOKUP(ventas_b_mes1255[[#This Row],[CUIT]],Lista_CUIT[#All],2,0)),"CUIT NO CARGADO")</f>
        <v>-</v>
      </c>
      <c r="H2447" s="100">
        <f>ventas_b_mes1255[[#This Row],[TOTAL]]/1.21</f>
        <v>0</v>
      </c>
      <c r="I2447" s="64">
        <f>ventas_b_mes1255[[#This Row],[IMPORTE NETO]]*0.21</f>
        <v>0</v>
      </c>
      <c r="J2447" s="184"/>
      <c r="K2447" s="184"/>
      <c r="L2447" s="184"/>
      <c r="M2447" s="59"/>
    </row>
    <row r="2448" spans="2:13" x14ac:dyDescent="0.3">
      <c r="B2448" s="178"/>
      <c r="C2448" s="41"/>
      <c r="D2448" s="180"/>
      <c r="E2448" s="181"/>
      <c r="F2448" s="182"/>
      <c r="G2448" s="1" t="str">
        <f>IFERROR(IF(ventas_b_mes1255[[#This Row],[CUIT]]="","-",VLOOKUP(ventas_b_mes1255[[#This Row],[CUIT]],Lista_CUIT[#All],2,0)),"CUIT NO CARGADO")</f>
        <v>-</v>
      </c>
      <c r="H2448" s="100">
        <f>ventas_b_mes1255[[#This Row],[TOTAL]]/1.21</f>
        <v>0</v>
      </c>
      <c r="I2448" s="64">
        <f>ventas_b_mes1255[[#This Row],[IMPORTE NETO]]*0.21</f>
        <v>0</v>
      </c>
      <c r="J2448" s="184"/>
      <c r="K2448" s="184"/>
      <c r="L2448" s="184"/>
      <c r="M2448" s="59"/>
    </row>
    <row r="2449" spans="2:13" x14ac:dyDescent="0.3">
      <c r="B2449" s="178"/>
      <c r="C2449" s="41"/>
      <c r="D2449" s="180"/>
      <c r="E2449" s="181"/>
      <c r="F2449" s="182"/>
      <c r="G2449" s="1" t="str">
        <f>IFERROR(IF(ventas_b_mes1255[[#This Row],[CUIT]]="","-",VLOOKUP(ventas_b_mes1255[[#This Row],[CUIT]],Lista_CUIT[#All],2,0)),"CUIT NO CARGADO")</f>
        <v>-</v>
      </c>
      <c r="H2449" s="100">
        <f>ventas_b_mes1255[[#This Row],[TOTAL]]/1.21</f>
        <v>0</v>
      </c>
      <c r="I2449" s="64">
        <f>ventas_b_mes1255[[#This Row],[IMPORTE NETO]]*0.21</f>
        <v>0</v>
      </c>
      <c r="J2449" s="184"/>
      <c r="K2449" s="184"/>
      <c r="L2449" s="184"/>
      <c r="M2449" s="59"/>
    </row>
    <row r="2450" spans="2:13" x14ac:dyDescent="0.3">
      <c r="B2450" s="178"/>
      <c r="C2450" s="41"/>
      <c r="D2450" s="180"/>
      <c r="E2450" s="181"/>
      <c r="F2450" s="182"/>
      <c r="G2450" s="1" t="str">
        <f>IFERROR(IF(ventas_b_mes1255[[#This Row],[CUIT]]="","-",VLOOKUP(ventas_b_mes1255[[#This Row],[CUIT]],Lista_CUIT[#All],2,0)),"CUIT NO CARGADO")</f>
        <v>-</v>
      </c>
      <c r="H2450" s="100">
        <f>ventas_b_mes1255[[#This Row],[TOTAL]]/1.21</f>
        <v>0</v>
      </c>
      <c r="I2450" s="64">
        <f>ventas_b_mes1255[[#This Row],[IMPORTE NETO]]*0.21</f>
        <v>0</v>
      </c>
      <c r="J2450" s="184"/>
      <c r="K2450" s="184"/>
      <c r="L2450" s="184"/>
      <c r="M2450" s="59"/>
    </row>
    <row r="2451" spans="2:13" x14ac:dyDescent="0.3">
      <c r="B2451" s="178"/>
      <c r="C2451" s="41"/>
      <c r="D2451" s="180"/>
      <c r="E2451" s="181"/>
      <c r="F2451" s="182"/>
      <c r="G2451" s="1" t="str">
        <f>IFERROR(IF(ventas_b_mes1255[[#This Row],[CUIT]]="","-",VLOOKUP(ventas_b_mes1255[[#This Row],[CUIT]],Lista_CUIT[#All],2,0)),"CUIT NO CARGADO")</f>
        <v>-</v>
      </c>
      <c r="H2451" s="100">
        <f>ventas_b_mes1255[[#This Row],[TOTAL]]/1.21</f>
        <v>0</v>
      </c>
      <c r="I2451" s="64">
        <f>ventas_b_mes1255[[#This Row],[IMPORTE NETO]]*0.21</f>
        <v>0</v>
      </c>
      <c r="J2451" s="184"/>
      <c r="K2451" s="184"/>
      <c r="L2451" s="184"/>
      <c r="M2451" s="59"/>
    </row>
    <row r="2452" spans="2:13" x14ac:dyDescent="0.3">
      <c r="B2452" s="178"/>
      <c r="C2452" s="41"/>
      <c r="D2452" s="180"/>
      <c r="E2452" s="181"/>
      <c r="F2452" s="182"/>
      <c r="G2452" s="1" t="str">
        <f>IFERROR(IF(ventas_b_mes1255[[#This Row],[CUIT]]="","-",VLOOKUP(ventas_b_mes1255[[#This Row],[CUIT]],Lista_CUIT[#All],2,0)),"CUIT NO CARGADO")</f>
        <v>-</v>
      </c>
      <c r="H2452" s="100">
        <f>ventas_b_mes1255[[#This Row],[TOTAL]]/1.21</f>
        <v>0</v>
      </c>
      <c r="I2452" s="64">
        <f>ventas_b_mes1255[[#This Row],[IMPORTE NETO]]*0.21</f>
        <v>0</v>
      </c>
      <c r="J2452" s="184"/>
      <c r="K2452" s="184"/>
      <c r="L2452" s="184"/>
      <c r="M2452" s="59"/>
    </row>
    <row r="2453" spans="2:13" x14ac:dyDescent="0.3">
      <c r="B2453" s="178"/>
      <c r="C2453" s="41"/>
      <c r="D2453" s="180"/>
      <c r="E2453" s="181"/>
      <c r="F2453" s="182"/>
      <c r="G2453" s="1" t="str">
        <f>IFERROR(IF(ventas_b_mes1255[[#This Row],[CUIT]]="","-",VLOOKUP(ventas_b_mes1255[[#This Row],[CUIT]],Lista_CUIT[#All],2,0)),"CUIT NO CARGADO")</f>
        <v>-</v>
      </c>
      <c r="H2453" s="100">
        <f>ventas_b_mes1255[[#This Row],[TOTAL]]/1.21</f>
        <v>0</v>
      </c>
      <c r="I2453" s="64">
        <f>ventas_b_mes1255[[#This Row],[IMPORTE NETO]]*0.21</f>
        <v>0</v>
      </c>
      <c r="J2453" s="184"/>
      <c r="K2453" s="184"/>
      <c r="L2453" s="184"/>
      <c r="M2453" s="59"/>
    </row>
    <row r="2454" spans="2:13" x14ac:dyDescent="0.3">
      <c r="B2454" s="178"/>
      <c r="C2454" s="41"/>
      <c r="D2454" s="180"/>
      <c r="E2454" s="181"/>
      <c r="F2454" s="182"/>
      <c r="G2454" s="1" t="str">
        <f>IFERROR(IF(ventas_b_mes1255[[#This Row],[CUIT]]="","-",VLOOKUP(ventas_b_mes1255[[#This Row],[CUIT]],Lista_CUIT[#All],2,0)),"CUIT NO CARGADO")</f>
        <v>-</v>
      </c>
      <c r="H2454" s="100">
        <f>ventas_b_mes1255[[#This Row],[TOTAL]]/1.21</f>
        <v>0</v>
      </c>
      <c r="I2454" s="64">
        <f>ventas_b_mes1255[[#This Row],[IMPORTE NETO]]*0.21</f>
        <v>0</v>
      </c>
      <c r="J2454" s="184"/>
      <c r="K2454" s="184"/>
      <c r="L2454" s="184"/>
      <c r="M2454" s="59"/>
    </row>
    <row r="2455" spans="2:13" x14ac:dyDescent="0.3">
      <c r="B2455" s="178"/>
      <c r="C2455" s="41"/>
      <c r="D2455" s="180"/>
      <c r="E2455" s="181"/>
      <c r="F2455" s="182"/>
      <c r="G2455" s="1" t="str">
        <f>IFERROR(IF(ventas_b_mes1255[[#This Row],[CUIT]]="","-",VLOOKUP(ventas_b_mes1255[[#This Row],[CUIT]],Lista_CUIT[#All],2,0)),"CUIT NO CARGADO")</f>
        <v>-</v>
      </c>
      <c r="H2455" s="100">
        <f>ventas_b_mes1255[[#This Row],[TOTAL]]/1.21</f>
        <v>0</v>
      </c>
      <c r="I2455" s="64">
        <f>ventas_b_mes1255[[#This Row],[IMPORTE NETO]]*0.21</f>
        <v>0</v>
      </c>
      <c r="J2455" s="184"/>
      <c r="K2455" s="184"/>
      <c r="L2455" s="184"/>
      <c r="M2455" s="59"/>
    </row>
    <row r="2456" spans="2:13" x14ac:dyDescent="0.3">
      <c r="B2456" s="178"/>
      <c r="C2456" s="41"/>
      <c r="D2456" s="180"/>
      <c r="E2456" s="181"/>
      <c r="F2456" s="182"/>
      <c r="G2456" s="1" t="str">
        <f>IFERROR(IF(ventas_b_mes1255[[#This Row],[CUIT]]="","-",VLOOKUP(ventas_b_mes1255[[#This Row],[CUIT]],Lista_CUIT[#All],2,0)),"CUIT NO CARGADO")</f>
        <v>-</v>
      </c>
      <c r="H2456" s="100">
        <f>ventas_b_mes1255[[#This Row],[TOTAL]]/1.21</f>
        <v>0</v>
      </c>
      <c r="I2456" s="64">
        <f>ventas_b_mes1255[[#This Row],[IMPORTE NETO]]*0.21</f>
        <v>0</v>
      </c>
      <c r="J2456" s="184"/>
      <c r="K2456" s="184"/>
      <c r="L2456" s="184"/>
      <c r="M2456" s="59"/>
    </row>
    <row r="2457" spans="2:13" x14ac:dyDescent="0.3">
      <c r="B2457" s="178"/>
      <c r="C2457" s="41"/>
      <c r="D2457" s="180"/>
      <c r="E2457" s="181"/>
      <c r="F2457" s="182"/>
      <c r="G2457" s="1" t="str">
        <f>IFERROR(IF(ventas_b_mes1255[[#This Row],[CUIT]]="","-",VLOOKUP(ventas_b_mes1255[[#This Row],[CUIT]],Lista_CUIT[#All],2,0)),"CUIT NO CARGADO")</f>
        <v>-</v>
      </c>
      <c r="H2457" s="100">
        <f>ventas_b_mes1255[[#This Row],[TOTAL]]/1.21</f>
        <v>0</v>
      </c>
      <c r="I2457" s="64">
        <f>ventas_b_mes1255[[#This Row],[IMPORTE NETO]]*0.21</f>
        <v>0</v>
      </c>
      <c r="J2457" s="184"/>
      <c r="K2457" s="184"/>
      <c r="L2457" s="184"/>
      <c r="M2457" s="59"/>
    </row>
    <row r="2458" spans="2:13" x14ac:dyDescent="0.3">
      <c r="B2458" s="178"/>
      <c r="C2458" s="41"/>
      <c r="D2458" s="180"/>
      <c r="E2458" s="181"/>
      <c r="F2458" s="182"/>
      <c r="G2458" s="1" t="str">
        <f>IFERROR(IF(ventas_b_mes1255[[#This Row],[CUIT]]="","-",VLOOKUP(ventas_b_mes1255[[#This Row],[CUIT]],Lista_CUIT[#All],2,0)),"CUIT NO CARGADO")</f>
        <v>-</v>
      </c>
      <c r="H2458" s="100">
        <f>ventas_b_mes1255[[#This Row],[TOTAL]]/1.21</f>
        <v>0</v>
      </c>
      <c r="I2458" s="64">
        <f>ventas_b_mes1255[[#This Row],[IMPORTE NETO]]*0.21</f>
        <v>0</v>
      </c>
      <c r="J2458" s="184"/>
      <c r="K2458" s="184"/>
      <c r="L2458" s="184"/>
      <c r="M2458" s="59"/>
    </row>
    <row r="2459" spans="2:13" x14ac:dyDescent="0.3">
      <c r="B2459" s="178"/>
      <c r="C2459" s="41"/>
      <c r="D2459" s="180"/>
      <c r="E2459" s="181"/>
      <c r="F2459" s="182"/>
      <c r="G2459" s="1" t="str">
        <f>IFERROR(IF(ventas_b_mes1255[[#This Row],[CUIT]]="","-",VLOOKUP(ventas_b_mes1255[[#This Row],[CUIT]],Lista_CUIT[#All],2,0)),"CUIT NO CARGADO")</f>
        <v>-</v>
      </c>
      <c r="H2459" s="100">
        <f>ventas_b_mes1255[[#This Row],[TOTAL]]/1.21</f>
        <v>0</v>
      </c>
      <c r="I2459" s="64">
        <f>ventas_b_mes1255[[#This Row],[IMPORTE NETO]]*0.21</f>
        <v>0</v>
      </c>
      <c r="J2459" s="184"/>
      <c r="K2459" s="184"/>
      <c r="L2459" s="184"/>
      <c r="M2459" s="59"/>
    </row>
    <row r="2460" spans="2:13" x14ac:dyDescent="0.3">
      <c r="B2460" s="178"/>
      <c r="C2460" s="41"/>
      <c r="D2460" s="180"/>
      <c r="E2460" s="181"/>
      <c r="F2460" s="182"/>
      <c r="G2460" s="1" t="str">
        <f>IFERROR(IF(ventas_b_mes1255[[#This Row],[CUIT]]="","-",VLOOKUP(ventas_b_mes1255[[#This Row],[CUIT]],Lista_CUIT[#All],2,0)),"CUIT NO CARGADO")</f>
        <v>-</v>
      </c>
      <c r="H2460" s="100">
        <f>ventas_b_mes1255[[#This Row],[TOTAL]]/1.21</f>
        <v>0</v>
      </c>
      <c r="I2460" s="64">
        <f>ventas_b_mes1255[[#This Row],[IMPORTE NETO]]*0.21</f>
        <v>0</v>
      </c>
      <c r="J2460" s="184"/>
      <c r="K2460" s="184"/>
      <c r="L2460" s="184"/>
      <c r="M2460" s="59"/>
    </row>
    <row r="2461" spans="2:13" x14ac:dyDescent="0.3">
      <c r="B2461" s="178"/>
      <c r="C2461" s="41"/>
      <c r="D2461" s="180"/>
      <c r="E2461" s="181"/>
      <c r="F2461" s="182"/>
      <c r="G2461" s="1" t="str">
        <f>IFERROR(IF(ventas_b_mes1255[[#This Row],[CUIT]]="","-",VLOOKUP(ventas_b_mes1255[[#This Row],[CUIT]],Lista_CUIT[#All],2,0)),"CUIT NO CARGADO")</f>
        <v>-</v>
      </c>
      <c r="H2461" s="100">
        <f>ventas_b_mes1255[[#This Row],[TOTAL]]/1.21</f>
        <v>0</v>
      </c>
      <c r="I2461" s="64">
        <f>ventas_b_mes1255[[#This Row],[IMPORTE NETO]]*0.21</f>
        <v>0</v>
      </c>
      <c r="J2461" s="184"/>
      <c r="K2461" s="184"/>
      <c r="L2461" s="184"/>
      <c r="M2461" s="59"/>
    </row>
    <row r="2462" spans="2:13" x14ac:dyDescent="0.3">
      <c r="B2462" s="178"/>
      <c r="C2462" s="41"/>
      <c r="D2462" s="180"/>
      <c r="E2462" s="181"/>
      <c r="F2462" s="182"/>
      <c r="G2462" s="1" t="str">
        <f>IFERROR(IF(ventas_b_mes1255[[#This Row],[CUIT]]="","-",VLOOKUP(ventas_b_mes1255[[#This Row],[CUIT]],Lista_CUIT[#All],2,0)),"CUIT NO CARGADO")</f>
        <v>-</v>
      </c>
      <c r="H2462" s="100">
        <f>ventas_b_mes1255[[#This Row],[TOTAL]]/1.21</f>
        <v>0</v>
      </c>
      <c r="I2462" s="64">
        <f>ventas_b_mes1255[[#This Row],[IMPORTE NETO]]*0.21</f>
        <v>0</v>
      </c>
      <c r="J2462" s="184"/>
      <c r="K2462" s="184"/>
      <c r="L2462" s="184"/>
      <c r="M2462" s="59"/>
    </row>
    <row r="2463" spans="2:13" x14ac:dyDescent="0.3">
      <c r="B2463" s="178"/>
      <c r="C2463" s="41"/>
      <c r="D2463" s="180"/>
      <c r="E2463" s="181"/>
      <c r="F2463" s="182"/>
      <c r="G2463" s="1" t="str">
        <f>IFERROR(IF(ventas_b_mes1255[[#This Row],[CUIT]]="","-",VLOOKUP(ventas_b_mes1255[[#This Row],[CUIT]],Lista_CUIT[#All],2,0)),"CUIT NO CARGADO")</f>
        <v>-</v>
      </c>
      <c r="H2463" s="100">
        <f>ventas_b_mes1255[[#This Row],[TOTAL]]/1.21</f>
        <v>0</v>
      </c>
      <c r="I2463" s="64">
        <f>ventas_b_mes1255[[#This Row],[IMPORTE NETO]]*0.21</f>
        <v>0</v>
      </c>
      <c r="J2463" s="184"/>
      <c r="K2463" s="184"/>
      <c r="L2463" s="184"/>
      <c r="M2463" s="59"/>
    </row>
    <row r="2464" spans="2:13" x14ac:dyDescent="0.3">
      <c r="B2464" s="178"/>
      <c r="C2464" s="41"/>
      <c r="D2464" s="180"/>
      <c r="E2464" s="181"/>
      <c r="F2464" s="182"/>
      <c r="G2464" s="1" t="str">
        <f>IFERROR(IF(ventas_b_mes1255[[#This Row],[CUIT]]="","-",VLOOKUP(ventas_b_mes1255[[#This Row],[CUIT]],Lista_CUIT[#All],2,0)),"CUIT NO CARGADO")</f>
        <v>-</v>
      </c>
      <c r="H2464" s="100">
        <f>ventas_b_mes1255[[#This Row],[TOTAL]]/1.21</f>
        <v>0</v>
      </c>
      <c r="I2464" s="64">
        <f>ventas_b_mes1255[[#This Row],[IMPORTE NETO]]*0.21</f>
        <v>0</v>
      </c>
      <c r="J2464" s="184"/>
      <c r="K2464" s="184"/>
      <c r="L2464" s="184"/>
      <c r="M2464" s="59"/>
    </row>
    <row r="2465" spans="2:13" x14ac:dyDescent="0.3">
      <c r="B2465" s="178"/>
      <c r="C2465" s="41"/>
      <c r="D2465" s="180"/>
      <c r="E2465" s="181"/>
      <c r="F2465" s="182"/>
      <c r="G2465" s="1" t="str">
        <f>IFERROR(IF(ventas_b_mes1255[[#This Row],[CUIT]]="","-",VLOOKUP(ventas_b_mes1255[[#This Row],[CUIT]],Lista_CUIT[#All],2,0)),"CUIT NO CARGADO")</f>
        <v>-</v>
      </c>
      <c r="H2465" s="100">
        <f>ventas_b_mes1255[[#This Row],[TOTAL]]/1.21</f>
        <v>0</v>
      </c>
      <c r="I2465" s="64">
        <f>ventas_b_mes1255[[#This Row],[IMPORTE NETO]]*0.21</f>
        <v>0</v>
      </c>
      <c r="J2465" s="184"/>
      <c r="K2465" s="184"/>
      <c r="L2465" s="184"/>
      <c r="M2465" s="59"/>
    </row>
    <row r="2466" spans="2:13" x14ac:dyDescent="0.3">
      <c r="B2466" s="178"/>
      <c r="C2466" s="41"/>
      <c r="D2466" s="180"/>
      <c r="E2466" s="181"/>
      <c r="F2466" s="182"/>
      <c r="G2466" s="1" t="str">
        <f>IFERROR(IF(ventas_b_mes1255[[#This Row],[CUIT]]="","-",VLOOKUP(ventas_b_mes1255[[#This Row],[CUIT]],Lista_CUIT[#All],2,0)),"CUIT NO CARGADO")</f>
        <v>-</v>
      </c>
      <c r="H2466" s="100">
        <f>ventas_b_mes1255[[#This Row],[TOTAL]]/1.21</f>
        <v>0</v>
      </c>
      <c r="I2466" s="64">
        <f>ventas_b_mes1255[[#This Row],[IMPORTE NETO]]*0.21</f>
        <v>0</v>
      </c>
      <c r="J2466" s="184"/>
      <c r="K2466" s="184"/>
      <c r="L2466" s="184"/>
      <c r="M2466" s="59"/>
    </row>
    <row r="2467" spans="2:13" x14ac:dyDescent="0.3">
      <c r="B2467" s="178"/>
      <c r="C2467" s="41"/>
      <c r="D2467" s="180"/>
      <c r="E2467" s="181"/>
      <c r="F2467" s="182"/>
      <c r="G2467" s="1" t="str">
        <f>IFERROR(IF(ventas_b_mes1255[[#This Row],[CUIT]]="","-",VLOOKUP(ventas_b_mes1255[[#This Row],[CUIT]],Lista_CUIT[#All],2,0)),"CUIT NO CARGADO")</f>
        <v>-</v>
      </c>
      <c r="H2467" s="100">
        <f>ventas_b_mes1255[[#This Row],[TOTAL]]/1.21</f>
        <v>0</v>
      </c>
      <c r="I2467" s="64">
        <f>ventas_b_mes1255[[#This Row],[IMPORTE NETO]]*0.21</f>
        <v>0</v>
      </c>
      <c r="J2467" s="184"/>
      <c r="K2467" s="184"/>
      <c r="L2467" s="184"/>
      <c r="M2467" s="59"/>
    </row>
    <row r="2468" spans="2:13" x14ac:dyDescent="0.3">
      <c r="B2468" s="178"/>
      <c r="C2468" s="41"/>
      <c r="D2468" s="180"/>
      <c r="E2468" s="181"/>
      <c r="F2468" s="182"/>
      <c r="G2468" s="1" t="str">
        <f>IFERROR(IF(ventas_b_mes1255[[#This Row],[CUIT]]="","-",VLOOKUP(ventas_b_mes1255[[#This Row],[CUIT]],Lista_CUIT[#All],2,0)),"CUIT NO CARGADO")</f>
        <v>-</v>
      </c>
      <c r="H2468" s="100">
        <f>ventas_b_mes1255[[#This Row],[TOTAL]]/1.21</f>
        <v>0</v>
      </c>
      <c r="I2468" s="64">
        <f>ventas_b_mes1255[[#This Row],[IMPORTE NETO]]*0.21</f>
        <v>0</v>
      </c>
      <c r="J2468" s="184"/>
      <c r="K2468" s="184"/>
      <c r="L2468" s="184"/>
      <c r="M2468" s="59"/>
    </row>
    <row r="2469" spans="2:13" x14ac:dyDescent="0.3">
      <c r="B2469" s="178"/>
      <c r="C2469" s="41"/>
      <c r="D2469" s="180"/>
      <c r="E2469" s="181"/>
      <c r="F2469" s="182"/>
      <c r="G2469" s="1" t="str">
        <f>IFERROR(IF(ventas_b_mes1255[[#This Row],[CUIT]]="","-",VLOOKUP(ventas_b_mes1255[[#This Row],[CUIT]],Lista_CUIT[#All],2,0)),"CUIT NO CARGADO")</f>
        <v>-</v>
      </c>
      <c r="H2469" s="100">
        <f>ventas_b_mes1255[[#This Row],[TOTAL]]/1.21</f>
        <v>0</v>
      </c>
      <c r="I2469" s="64">
        <f>ventas_b_mes1255[[#This Row],[IMPORTE NETO]]*0.21</f>
        <v>0</v>
      </c>
      <c r="J2469" s="184"/>
      <c r="K2469" s="184"/>
      <c r="L2469" s="184"/>
      <c r="M2469" s="59"/>
    </row>
    <row r="2470" spans="2:13" x14ac:dyDescent="0.3">
      <c r="B2470" s="178"/>
      <c r="C2470" s="41"/>
      <c r="D2470" s="180"/>
      <c r="E2470" s="181"/>
      <c r="F2470" s="182"/>
      <c r="G2470" s="1" t="str">
        <f>IFERROR(IF(ventas_b_mes1255[[#This Row],[CUIT]]="","-",VLOOKUP(ventas_b_mes1255[[#This Row],[CUIT]],Lista_CUIT[#All],2,0)),"CUIT NO CARGADO")</f>
        <v>-</v>
      </c>
      <c r="H2470" s="100">
        <f>ventas_b_mes1255[[#This Row],[TOTAL]]/1.21</f>
        <v>0</v>
      </c>
      <c r="I2470" s="64">
        <f>ventas_b_mes1255[[#This Row],[IMPORTE NETO]]*0.21</f>
        <v>0</v>
      </c>
      <c r="J2470" s="184"/>
      <c r="K2470" s="184"/>
      <c r="L2470" s="184"/>
      <c r="M2470" s="59"/>
    </row>
    <row r="2471" spans="2:13" x14ac:dyDescent="0.3">
      <c r="B2471" s="178"/>
      <c r="C2471" s="41"/>
      <c r="D2471" s="180"/>
      <c r="E2471" s="181"/>
      <c r="F2471" s="182"/>
      <c r="G2471" s="1" t="str">
        <f>IFERROR(IF(ventas_b_mes1255[[#This Row],[CUIT]]="","-",VLOOKUP(ventas_b_mes1255[[#This Row],[CUIT]],Lista_CUIT[#All],2,0)),"CUIT NO CARGADO")</f>
        <v>-</v>
      </c>
      <c r="H2471" s="100">
        <f>ventas_b_mes1255[[#This Row],[TOTAL]]/1.21</f>
        <v>0</v>
      </c>
      <c r="I2471" s="64">
        <f>ventas_b_mes1255[[#This Row],[IMPORTE NETO]]*0.21</f>
        <v>0</v>
      </c>
      <c r="J2471" s="184"/>
      <c r="K2471" s="184"/>
      <c r="L2471" s="184"/>
      <c r="M2471" s="59"/>
    </row>
    <row r="2472" spans="2:13" x14ac:dyDescent="0.3">
      <c r="B2472" s="178"/>
      <c r="C2472" s="41"/>
      <c r="D2472" s="180"/>
      <c r="E2472" s="181"/>
      <c r="F2472" s="182"/>
      <c r="G2472" s="1" t="str">
        <f>IFERROR(IF(ventas_b_mes1255[[#This Row],[CUIT]]="","-",VLOOKUP(ventas_b_mes1255[[#This Row],[CUIT]],Lista_CUIT[#All],2,0)),"CUIT NO CARGADO")</f>
        <v>-</v>
      </c>
      <c r="H2472" s="100">
        <f>ventas_b_mes1255[[#This Row],[TOTAL]]/1.21</f>
        <v>0</v>
      </c>
      <c r="I2472" s="64">
        <f>ventas_b_mes1255[[#This Row],[IMPORTE NETO]]*0.21</f>
        <v>0</v>
      </c>
      <c r="J2472" s="184"/>
      <c r="K2472" s="184"/>
      <c r="L2472" s="184"/>
      <c r="M2472" s="59"/>
    </row>
    <row r="2473" spans="2:13" x14ac:dyDescent="0.3">
      <c r="B2473" s="178"/>
      <c r="C2473" s="41"/>
      <c r="D2473" s="180"/>
      <c r="E2473" s="181"/>
      <c r="F2473" s="182"/>
      <c r="G2473" s="1" t="str">
        <f>IFERROR(IF(ventas_b_mes1255[[#This Row],[CUIT]]="","-",VLOOKUP(ventas_b_mes1255[[#This Row],[CUIT]],Lista_CUIT[#All],2,0)),"CUIT NO CARGADO")</f>
        <v>-</v>
      </c>
      <c r="H2473" s="100">
        <f>ventas_b_mes1255[[#This Row],[TOTAL]]/1.21</f>
        <v>0</v>
      </c>
      <c r="I2473" s="64">
        <f>ventas_b_mes1255[[#This Row],[IMPORTE NETO]]*0.21</f>
        <v>0</v>
      </c>
      <c r="J2473" s="184"/>
      <c r="K2473" s="184"/>
      <c r="L2473" s="184"/>
      <c r="M2473" s="59"/>
    </row>
    <row r="2474" spans="2:13" x14ac:dyDescent="0.3">
      <c r="B2474" s="178"/>
      <c r="C2474" s="41"/>
      <c r="D2474" s="180"/>
      <c r="E2474" s="181"/>
      <c r="F2474" s="182"/>
      <c r="G2474" s="1" t="str">
        <f>IFERROR(IF(ventas_b_mes1255[[#This Row],[CUIT]]="","-",VLOOKUP(ventas_b_mes1255[[#This Row],[CUIT]],Lista_CUIT[#All],2,0)),"CUIT NO CARGADO")</f>
        <v>-</v>
      </c>
      <c r="H2474" s="100">
        <f>ventas_b_mes1255[[#This Row],[TOTAL]]/1.21</f>
        <v>0</v>
      </c>
      <c r="I2474" s="64">
        <f>ventas_b_mes1255[[#This Row],[IMPORTE NETO]]*0.21</f>
        <v>0</v>
      </c>
      <c r="J2474" s="184"/>
      <c r="K2474" s="184"/>
      <c r="L2474" s="184"/>
      <c r="M2474" s="59"/>
    </row>
    <row r="2475" spans="2:13" x14ac:dyDescent="0.3">
      <c r="B2475" s="178"/>
      <c r="C2475" s="41"/>
      <c r="D2475" s="180"/>
      <c r="E2475" s="181"/>
      <c r="F2475" s="182"/>
      <c r="G2475" s="1" t="str">
        <f>IFERROR(IF(ventas_b_mes1255[[#This Row],[CUIT]]="","-",VLOOKUP(ventas_b_mes1255[[#This Row],[CUIT]],Lista_CUIT[#All],2,0)),"CUIT NO CARGADO")</f>
        <v>-</v>
      </c>
      <c r="H2475" s="100">
        <f>ventas_b_mes1255[[#This Row],[TOTAL]]/1.21</f>
        <v>0</v>
      </c>
      <c r="I2475" s="64">
        <f>ventas_b_mes1255[[#This Row],[IMPORTE NETO]]*0.21</f>
        <v>0</v>
      </c>
      <c r="J2475" s="184"/>
      <c r="K2475" s="184"/>
      <c r="L2475" s="184"/>
      <c r="M2475" s="59"/>
    </row>
    <row r="2476" spans="2:13" x14ac:dyDescent="0.3">
      <c r="B2476" s="178"/>
      <c r="C2476" s="41"/>
      <c r="D2476" s="180"/>
      <c r="E2476" s="181"/>
      <c r="F2476" s="182"/>
      <c r="G2476" s="1" t="str">
        <f>IFERROR(IF(ventas_b_mes1255[[#This Row],[CUIT]]="","-",VLOOKUP(ventas_b_mes1255[[#This Row],[CUIT]],Lista_CUIT[#All],2,0)),"CUIT NO CARGADO")</f>
        <v>-</v>
      </c>
      <c r="H2476" s="100">
        <f>ventas_b_mes1255[[#This Row],[TOTAL]]/1.21</f>
        <v>0</v>
      </c>
      <c r="I2476" s="64">
        <f>ventas_b_mes1255[[#This Row],[IMPORTE NETO]]*0.21</f>
        <v>0</v>
      </c>
      <c r="J2476" s="184"/>
      <c r="K2476" s="184"/>
      <c r="L2476" s="184"/>
      <c r="M2476" s="59"/>
    </row>
    <row r="2477" spans="2:13" x14ac:dyDescent="0.3">
      <c r="B2477" s="178"/>
      <c r="C2477" s="41"/>
      <c r="D2477" s="180"/>
      <c r="E2477" s="181"/>
      <c r="F2477" s="182"/>
      <c r="G2477" s="1" t="str">
        <f>IFERROR(IF(ventas_b_mes1255[[#This Row],[CUIT]]="","-",VLOOKUP(ventas_b_mes1255[[#This Row],[CUIT]],Lista_CUIT[#All],2,0)),"CUIT NO CARGADO")</f>
        <v>-</v>
      </c>
      <c r="H2477" s="100">
        <f>ventas_b_mes1255[[#This Row],[TOTAL]]/1.21</f>
        <v>0</v>
      </c>
      <c r="I2477" s="64">
        <f>ventas_b_mes1255[[#This Row],[IMPORTE NETO]]*0.21</f>
        <v>0</v>
      </c>
      <c r="J2477" s="184"/>
      <c r="K2477" s="184"/>
      <c r="L2477" s="184"/>
      <c r="M2477" s="59"/>
    </row>
    <row r="2478" spans="2:13" x14ac:dyDescent="0.3">
      <c r="B2478" s="178"/>
      <c r="C2478" s="41"/>
      <c r="D2478" s="180"/>
      <c r="E2478" s="181"/>
      <c r="F2478" s="182"/>
      <c r="G2478" s="1" t="str">
        <f>IFERROR(IF(ventas_b_mes1255[[#This Row],[CUIT]]="","-",VLOOKUP(ventas_b_mes1255[[#This Row],[CUIT]],Lista_CUIT[#All],2,0)),"CUIT NO CARGADO")</f>
        <v>-</v>
      </c>
      <c r="H2478" s="100">
        <f>ventas_b_mes1255[[#This Row],[TOTAL]]/1.21</f>
        <v>0</v>
      </c>
      <c r="I2478" s="64">
        <f>ventas_b_mes1255[[#This Row],[IMPORTE NETO]]*0.21</f>
        <v>0</v>
      </c>
      <c r="J2478" s="184"/>
      <c r="K2478" s="184"/>
      <c r="L2478" s="184"/>
      <c r="M2478" s="59"/>
    </row>
    <row r="2479" spans="2:13" x14ac:dyDescent="0.3">
      <c r="B2479" s="178"/>
      <c r="C2479" s="41"/>
      <c r="D2479" s="180"/>
      <c r="E2479" s="181"/>
      <c r="F2479" s="182"/>
      <c r="G2479" s="1" t="str">
        <f>IFERROR(IF(ventas_b_mes1255[[#This Row],[CUIT]]="","-",VLOOKUP(ventas_b_mes1255[[#This Row],[CUIT]],Lista_CUIT[#All],2,0)),"CUIT NO CARGADO")</f>
        <v>-</v>
      </c>
      <c r="H2479" s="100">
        <f>ventas_b_mes1255[[#This Row],[TOTAL]]/1.21</f>
        <v>0</v>
      </c>
      <c r="I2479" s="64">
        <f>ventas_b_mes1255[[#This Row],[IMPORTE NETO]]*0.21</f>
        <v>0</v>
      </c>
      <c r="J2479" s="184"/>
      <c r="K2479" s="184"/>
      <c r="L2479" s="184"/>
      <c r="M2479" s="59"/>
    </row>
    <row r="2480" spans="2:13" x14ac:dyDescent="0.3">
      <c r="B2480" s="178"/>
      <c r="C2480" s="41"/>
      <c r="D2480" s="180"/>
      <c r="E2480" s="181"/>
      <c r="F2480" s="182"/>
      <c r="G2480" s="1" t="str">
        <f>IFERROR(IF(ventas_b_mes1255[[#This Row],[CUIT]]="","-",VLOOKUP(ventas_b_mes1255[[#This Row],[CUIT]],Lista_CUIT[#All],2,0)),"CUIT NO CARGADO")</f>
        <v>-</v>
      </c>
      <c r="H2480" s="100">
        <f>ventas_b_mes1255[[#This Row],[TOTAL]]/1.21</f>
        <v>0</v>
      </c>
      <c r="I2480" s="64">
        <f>ventas_b_mes1255[[#This Row],[IMPORTE NETO]]*0.21</f>
        <v>0</v>
      </c>
      <c r="J2480" s="184"/>
      <c r="K2480" s="184"/>
      <c r="L2480" s="184"/>
      <c r="M2480" s="59"/>
    </row>
    <row r="2481" spans="2:13" x14ac:dyDescent="0.3">
      <c r="B2481" s="178"/>
      <c r="C2481" s="41"/>
      <c r="D2481" s="180"/>
      <c r="E2481" s="181"/>
      <c r="F2481" s="182"/>
      <c r="G2481" s="1" t="str">
        <f>IFERROR(IF(ventas_b_mes1255[[#This Row],[CUIT]]="","-",VLOOKUP(ventas_b_mes1255[[#This Row],[CUIT]],Lista_CUIT[#All],2,0)),"CUIT NO CARGADO")</f>
        <v>-</v>
      </c>
      <c r="H2481" s="100">
        <f>ventas_b_mes1255[[#This Row],[TOTAL]]/1.21</f>
        <v>0</v>
      </c>
      <c r="I2481" s="64">
        <f>ventas_b_mes1255[[#This Row],[IMPORTE NETO]]*0.21</f>
        <v>0</v>
      </c>
      <c r="J2481" s="184"/>
      <c r="K2481" s="184"/>
      <c r="L2481" s="184"/>
      <c r="M2481" s="59"/>
    </row>
    <row r="2482" spans="2:13" x14ac:dyDescent="0.3">
      <c r="B2482" s="178"/>
      <c r="C2482" s="41"/>
      <c r="D2482" s="180"/>
      <c r="E2482" s="181"/>
      <c r="F2482" s="182"/>
      <c r="G2482" s="1" t="str">
        <f>IFERROR(IF(ventas_b_mes1255[[#This Row],[CUIT]]="","-",VLOOKUP(ventas_b_mes1255[[#This Row],[CUIT]],Lista_CUIT[#All],2,0)),"CUIT NO CARGADO")</f>
        <v>-</v>
      </c>
      <c r="H2482" s="100">
        <f>ventas_b_mes1255[[#This Row],[TOTAL]]/1.21</f>
        <v>0</v>
      </c>
      <c r="I2482" s="64">
        <f>ventas_b_mes1255[[#This Row],[IMPORTE NETO]]*0.21</f>
        <v>0</v>
      </c>
      <c r="J2482" s="184"/>
      <c r="K2482" s="184"/>
      <c r="L2482" s="184"/>
      <c r="M2482" s="59"/>
    </row>
    <row r="2483" spans="2:13" x14ac:dyDescent="0.3">
      <c r="B2483" s="178"/>
      <c r="C2483" s="41"/>
      <c r="D2483" s="180"/>
      <c r="E2483" s="181"/>
      <c r="F2483" s="182"/>
      <c r="G2483" s="1" t="str">
        <f>IFERROR(IF(ventas_b_mes1255[[#This Row],[CUIT]]="","-",VLOOKUP(ventas_b_mes1255[[#This Row],[CUIT]],Lista_CUIT[#All],2,0)),"CUIT NO CARGADO")</f>
        <v>-</v>
      </c>
      <c r="H2483" s="100">
        <f>ventas_b_mes1255[[#This Row],[TOTAL]]/1.21</f>
        <v>0</v>
      </c>
      <c r="I2483" s="64">
        <f>ventas_b_mes1255[[#This Row],[IMPORTE NETO]]*0.21</f>
        <v>0</v>
      </c>
      <c r="J2483" s="184"/>
      <c r="K2483" s="184"/>
      <c r="L2483" s="184"/>
      <c r="M2483" s="59"/>
    </row>
    <row r="2484" spans="2:13" x14ac:dyDescent="0.3">
      <c r="B2484" s="178"/>
      <c r="C2484" s="41"/>
      <c r="D2484" s="180"/>
      <c r="E2484" s="181"/>
      <c r="F2484" s="182"/>
      <c r="G2484" s="1" t="str">
        <f>IFERROR(IF(ventas_b_mes1255[[#This Row],[CUIT]]="","-",VLOOKUP(ventas_b_mes1255[[#This Row],[CUIT]],Lista_CUIT[#All],2,0)),"CUIT NO CARGADO")</f>
        <v>-</v>
      </c>
      <c r="H2484" s="100">
        <f>ventas_b_mes1255[[#This Row],[TOTAL]]/1.21</f>
        <v>0</v>
      </c>
      <c r="I2484" s="64">
        <f>ventas_b_mes1255[[#This Row],[IMPORTE NETO]]*0.21</f>
        <v>0</v>
      </c>
      <c r="J2484" s="184"/>
      <c r="K2484" s="184"/>
      <c r="L2484" s="184"/>
      <c r="M2484" s="59"/>
    </row>
    <row r="2485" spans="2:13" x14ac:dyDescent="0.3">
      <c r="B2485" s="178"/>
      <c r="C2485" s="41"/>
      <c r="D2485" s="180"/>
      <c r="E2485" s="181"/>
      <c r="F2485" s="182"/>
      <c r="G2485" s="1" t="str">
        <f>IFERROR(IF(ventas_b_mes1255[[#This Row],[CUIT]]="","-",VLOOKUP(ventas_b_mes1255[[#This Row],[CUIT]],Lista_CUIT[#All],2,0)),"CUIT NO CARGADO")</f>
        <v>-</v>
      </c>
      <c r="H2485" s="100">
        <f>ventas_b_mes1255[[#This Row],[TOTAL]]/1.21</f>
        <v>0</v>
      </c>
      <c r="I2485" s="64">
        <f>ventas_b_mes1255[[#This Row],[IMPORTE NETO]]*0.21</f>
        <v>0</v>
      </c>
      <c r="J2485" s="184"/>
      <c r="K2485" s="184"/>
      <c r="L2485" s="184"/>
      <c r="M2485" s="59"/>
    </row>
    <row r="2486" spans="2:13" x14ac:dyDescent="0.3">
      <c r="B2486" s="178"/>
      <c r="C2486" s="41"/>
      <c r="D2486" s="180"/>
      <c r="E2486" s="181"/>
      <c r="F2486" s="182"/>
      <c r="G2486" s="1" t="str">
        <f>IFERROR(IF(ventas_b_mes1255[[#This Row],[CUIT]]="","-",VLOOKUP(ventas_b_mes1255[[#This Row],[CUIT]],Lista_CUIT[#All],2,0)),"CUIT NO CARGADO")</f>
        <v>-</v>
      </c>
      <c r="H2486" s="100">
        <f>ventas_b_mes1255[[#This Row],[TOTAL]]/1.21</f>
        <v>0</v>
      </c>
      <c r="I2486" s="64">
        <f>ventas_b_mes1255[[#This Row],[IMPORTE NETO]]*0.21</f>
        <v>0</v>
      </c>
      <c r="J2486" s="184"/>
      <c r="K2486" s="184"/>
      <c r="L2486" s="184"/>
      <c r="M2486" s="59"/>
    </row>
    <row r="2487" spans="2:13" x14ac:dyDescent="0.3">
      <c r="B2487" s="178"/>
      <c r="C2487" s="41"/>
      <c r="D2487" s="180"/>
      <c r="E2487" s="181"/>
      <c r="F2487" s="182"/>
      <c r="G2487" s="1" t="str">
        <f>IFERROR(IF(ventas_b_mes1255[[#This Row],[CUIT]]="","-",VLOOKUP(ventas_b_mes1255[[#This Row],[CUIT]],Lista_CUIT[#All],2,0)),"CUIT NO CARGADO")</f>
        <v>-</v>
      </c>
      <c r="H2487" s="100">
        <f>ventas_b_mes1255[[#This Row],[TOTAL]]/1.21</f>
        <v>0</v>
      </c>
      <c r="I2487" s="64">
        <f>ventas_b_mes1255[[#This Row],[IMPORTE NETO]]*0.21</f>
        <v>0</v>
      </c>
      <c r="J2487" s="184"/>
      <c r="K2487" s="184"/>
      <c r="L2487" s="184"/>
      <c r="M2487" s="59"/>
    </row>
    <row r="2488" spans="2:13" x14ac:dyDescent="0.3">
      <c r="B2488" s="178"/>
      <c r="C2488" s="41"/>
      <c r="D2488" s="180"/>
      <c r="E2488" s="181"/>
      <c r="F2488" s="182"/>
      <c r="G2488" s="1" t="str">
        <f>IFERROR(IF(ventas_b_mes1255[[#This Row],[CUIT]]="","-",VLOOKUP(ventas_b_mes1255[[#This Row],[CUIT]],Lista_CUIT[#All],2,0)),"CUIT NO CARGADO")</f>
        <v>-</v>
      </c>
      <c r="H2488" s="100">
        <f>ventas_b_mes1255[[#This Row],[TOTAL]]/1.21</f>
        <v>0</v>
      </c>
      <c r="I2488" s="64">
        <f>ventas_b_mes1255[[#This Row],[IMPORTE NETO]]*0.21</f>
        <v>0</v>
      </c>
      <c r="J2488" s="184"/>
      <c r="K2488" s="184"/>
      <c r="L2488" s="184"/>
      <c r="M2488" s="59"/>
    </row>
    <row r="2489" spans="2:13" x14ac:dyDescent="0.3">
      <c r="B2489" s="178"/>
      <c r="C2489" s="41"/>
      <c r="D2489" s="180"/>
      <c r="E2489" s="181"/>
      <c r="F2489" s="182"/>
      <c r="G2489" s="1" t="str">
        <f>IFERROR(IF(ventas_b_mes1255[[#This Row],[CUIT]]="","-",VLOOKUP(ventas_b_mes1255[[#This Row],[CUIT]],Lista_CUIT[#All],2,0)),"CUIT NO CARGADO")</f>
        <v>-</v>
      </c>
      <c r="H2489" s="100">
        <f>ventas_b_mes1255[[#This Row],[TOTAL]]/1.21</f>
        <v>0</v>
      </c>
      <c r="I2489" s="64">
        <f>ventas_b_mes1255[[#This Row],[IMPORTE NETO]]*0.21</f>
        <v>0</v>
      </c>
      <c r="J2489" s="184"/>
      <c r="K2489" s="184"/>
      <c r="L2489" s="184"/>
      <c r="M2489" s="59"/>
    </row>
    <row r="2490" spans="2:13" x14ac:dyDescent="0.3">
      <c r="B2490" s="178"/>
      <c r="C2490" s="41"/>
      <c r="D2490" s="180"/>
      <c r="E2490" s="181"/>
      <c r="F2490" s="182"/>
      <c r="G2490" s="1" t="str">
        <f>IFERROR(IF(ventas_b_mes1255[[#This Row],[CUIT]]="","-",VLOOKUP(ventas_b_mes1255[[#This Row],[CUIT]],Lista_CUIT[#All],2,0)),"CUIT NO CARGADO")</f>
        <v>-</v>
      </c>
      <c r="H2490" s="100">
        <f>ventas_b_mes1255[[#This Row],[TOTAL]]/1.21</f>
        <v>0</v>
      </c>
      <c r="I2490" s="64">
        <f>ventas_b_mes1255[[#This Row],[IMPORTE NETO]]*0.21</f>
        <v>0</v>
      </c>
      <c r="J2490" s="184"/>
      <c r="K2490" s="184"/>
      <c r="L2490" s="184"/>
      <c r="M2490" s="59"/>
    </row>
    <row r="2491" spans="2:13" x14ac:dyDescent="0.3">
      <c r="B2491" s="178"/>
      <c r="C2491" s="41"/>
      <c r="D2491" s="180"/>
      <c r="E2491" s="181"/>
      <c r="F2491" s="182"/>
      <c r="G2491" s="1" t="str">
        <f>IFERROR(IF(ventas_b_mes1255[[#This Row],[CUIT]]="","-",VLOOKUP(ventas_b_mes1255[[#This Row],[CUIT]],Lista_CUIT[#All],2,0)),"CUIT NO CARGADO")</f>
        <v>-</v>
      </c>
      <c r="H2491" s="100">
        <f>ventas_b_mes1255[[#This Row],[TOTAL]]/1.21</f>
        <v>0</v>
      </c>
      <c r="I2491" s="64">
        <f>ventas_b_mes1255[[#This Row],[IMPORTE NETO]]*0.21</f>
        <v>0</v>
      </c>
      <c r="J2491" s="184"/>
      <c r="K2491" s="184"/>
      <c r="L2491" s="184"/>
      <c r="M2491" s="59"/>
    </row>
    <row r="2492" spans="2:13" x14ac:dyDescent="0.3">
      <c r="B2492" s="178"/>
      <c r="C2492" s="41"/>
      <c r="D2492" s="180"/>
      <c r="E2492" s="181"/>
      <c r="F2492" s="182"/>
      <c r="G2492" s="1" t="str">
        <f>IFERROR(IF(ventas_b_mes1255[[#This Row],[CUIT]]="","-",VLOOKUP(ventas_b_mes1255[[#This Row],[CUIT]],Lista_CUIT[#All],2,0)),"CUIT NO CARGADO")</f>
        <v>-</v>
      </c>
      <c r="H2492" s="100">
        <f>ventas_b_mes1255[[#This Row],[TOTAL]]/1.21</f>
        <v>0</v>
      </c>
      <c r="I2492" s="64">
        <f>ventas_b_mes1255[[#This Row],[IMPORTE NETO]]*0.21</f>
        <v>0</v>
      </c>
      <c r="J2492" s="184"/>
      <c r="K2492" s="184"/>
      <c r="L2492" s="184"/>
      <c r="M2492" s="59"/>
    </row>
    <row r="2493" spans="2:13" x14ac:dyDescent="0.3">
      <c r="B2493" s="178"/>
      <c r="C2493" s="41"/>
      <c r="D2493" s="180"/>
      <c r="E2493" s="181"/>
      <c r="F2493" s="182"/>
      <c r="G2493" s="1" t="str">
        <f>IFERROR(IF(ventas_b_mes1255[[#This Row],[CUIT]]="","-",VLOOKUP(ventas_b_mes1255[[#This Row],[CUIT]],Lista_CUIT[#All],2,0)),"CUIT NO CARGADO")</f>
        <v>-</v>
      </c>
      <c r="H2493" s="100">
        <f>ventas_b_mes1255[[#This Row],[TOTAL]]/1.21</f>
        <v>0</v>
      </c>
      <c r="I2493" s="64">
        <f>ventas_b_mes1255[[#This Row],[IMPORTE NETO]]*0.21</f>
        <v>0</v>
      </c>
      <c r="J2493" s="184"/>
      <c r="K2493" s="184"/>
      <c r="L2493" s="184"/>
      <c r="M2493" s="59"/>
    </row>
    <row r="2494" spans="2:13" x14ac:dyDescent="0.3">
      <c r="B2494" s="178"/>
      <c r="C2494" s="41"/>
      <c r="D2494" s="180"/>
      <c r="E2494" s="181"/>
      <c r="F2494" s="182"/>
      <c r="G2494" s="1" t="str">
        <f>IFERROR(IF(ventas_b_mes1255[[#This Row],[CUIT]]="","-",VLOOKUP(ventas_b_mes1255[[#This Row],[CUIT]],Lista_CUIT[#All],2,0)),"CUIT NO CARGADO")</f>
        <v>-</v>
      </c>
      <c r="H2494" s="100">
        <f>ventas_b_mes1255[[#This Row],[TOTAL]]/1.21</f>
        <v>0</v>
      </c>
      <c r="I2494" s="64">
        <f>ventas_b_mes1255[[#This Row],[IMPORTE NETO]]*0.21</f>
        <v>0</v>
      </c>
      <c r="J2494" s="184"/>
      <c r="K2494" s="184"/>
      <c r="L2494" s="184"/>
      <c r="M2494" s="59"/>
    </row>
    <row r="2495" spans="2:13" x14ac:dyDescent="0.3">
      <c r="B2495" s="178"/>
      <c r="C2495" s="41"/>
      <c r="D2495" s="180"/>
      <c r="E2495" s="181"/>
      <c r="F2495" s="182"/>
      <c r="G2495" s="1" t="str">
        <f>IFERROR(IF(ventas_b_mes1255[[#This Row],[CUIT]]="","-",VLOOKUP(ventas_b_mes1255[[#This Row],[CUIT]],Lista_CUIT[#All],2,0)),"CUIT NO CARGADO")</f>
        <v>-</v>
      </c>
      <c r="H2495" s="100">
        <f>ventas_b_mes1255[[#This Row],[TOTAL]]/1.21</f>
        <v>0</v>
      </c>
      <c r="I2495" s="64">
        <f>ventas_b_mes1255[[#This Row],[IMPORTE NETO]]*0.21</f>
        <v>0</v>
      </c>
      <c r="J2495" s="184"/>
      <c r="K2495" s="184"/>
      <c r="L2495" s="184"/>
      <c r="M2495" s="59"/>
    </row>
    <row r="2496" spans="2:13" x14ac:dyDescent="0.3">
      <c r="B2496" s="178"/>
      <c r="C2496" s="41"/>
      <c r="D2496" s="180"/>
      <c r="E2496" s="181"/>
      <c r="F2496" s="182"/>
      <c r="G2496" s="1" t="str">
        <f>IFERROR(IF(ventas_b_mes1255[[#This Row],[CUIT]]="","-",VLOOKUP(ventas_b_mes1255[[#This Row],[CUIT]],Lista_CUIT[#All],2,0)),"CUIT NO CARGADO")</f>
        <v>-</v>
      </c>
      <c r="H2496" s="100">
        <f>ventas_b_mes1255[[#This Row],[TOTAL]]/1.21</f>
        <v>0</v>
      </c>
      <c r="I2496" s="64">
        <f>ventas_b_mes1255[[#This Row],[IMPORTE NETO]]*0.21</f>
        <v>0</v>
      </c>
      <c r="J2496" s="184"/>
      <c r="K2496" s="184"/>
      <c r="L2496" s="184"/>
      <c r="M2496" s="59"/>
    </row>
    <row r="2497" spans="2:13" x14ac:dyDescent="0.3">
      <c r="B2497" s="178"/>
      <c r="C2497" s="41"/>
      <c r="D2497" s="180"/>
      <c r="E2497" s="181"/>
      <c r="F2497" s="182"/>
      <c r="G2497" s="1" t="str">
        <f>IFERROR(IF(ventas_b_mes1255[[#This Row],[CUIT]]="","-",VLOOKUP(ventas_b_mes1255[[#This Row],[CUIT]],Lista_CUIT[#All],2,0)),"CUIT NO CARGADO")</f>
        <v>-</v>
      </c>
      <c r="H2497" s="100">
        <f>ventas_b_mes1255[[#This Row],[TOTAL]]/1.21</f>
        <v>0</v>
      </c>
      <c r="I2497" s="64">
        <f>ventas_b_mes1255[[#This Row],[IMPORTE NETO]]*0.21</f>
        <v>0</v>
      </c>
      <c r="J2497" s="184"/>
      <c r="K2497" s="184"/>
      <c r="L2497" s="184"/>
      <c r="M2497" s="59"/>
    </row>
    <row r="2498" spans="2:13" x14ac:dyDescent="0.3">
      <c r="B2498" s="178"/>
      <c r="C2498" s="41"/>
      <c r="D2498" s="180"/>
      <c r="E2498" s="181"/>
      <c r="F2498" s="182"/>
      <c r="G2498" s="1" t="str">
        <f>IFERROR(IF(ventas_b_mes1255[[#This Row],[CUIT]]="","-",VLOOKUP(ventas_b_mes1255[[#This Row],[CUIT]],Lista_CUIT[#All],2,0)),"CUIT NO CARGADO")</f>
        <v>-</v>
      </c>
      <c r="H2498" s="100">
        <f>ventas_b_mes1255[[#This Row],[TOTAL]]/1.21</f>
        <v>0</v>
      </c>
      <c r="I2498" s="64">
        <f>ventas_b_mes1255[[#This Row],[IMPORTE NETO]]*0.21</f>
        <v>0</v>
      </c>
      <c r="J2498" s="184"/>
      <c r="K2498" s="184"/>
      <c r="L2498" s="184"/>
      <c r="M2498" s="59"/>
    </row>
    <row r="2499" spans="2:13" x14ac:dyDescent="0.3">
      <c r="B2499" s="178"/>
      <c r="C2499" s="41"/>
      <c r="D2499" s="180"/>
      <c r="E2499" s="181"/>
      <c r="F2499" s="182"/>
      <c r="G2499" s="1" t="str">
        <f>IFERROR(IF(ventas_b_mes1255[[#This Row],[CUIT]]="","-",VLOOKUP(ventas_b_mes1255[[#This Row],[CUIT]],Lista_CUIT[#All],2,0)),"CUIT NO CARGADO")</f>
        <v>-</v>
      </c>
      <c r="H2499" s="100">
        <f>ventas_b_mes1255[[#This Row],[TOTAL]]/1.21</f>
        <v>0</v>
      </c>
      <c r="I2499" s="64">
        <f>ventas_b_mes1255[[#This Row],[IMPORTE NETO]]*0.21</f>
        <v>0</v>
      </c>
      <c r="J2499" s="184"/>
      <c r="K2499" s="184"/>
      <c r="L2499" s="184"/>
      <c r="M2499" s="59"/>
    </row>
    <row r="2500" spans="2:13" x14ac:dyDescent="0.3">
      <c r="B2500" s="178"/>
      <c r="C2500" s="41"/>
      <c r="D2500" s="180"/>
      <c r="E2500" s="181"/>
      <c r="F2500" s="182"/>
      <c r="G2500" s="1" t="str">
        <f>IFERROR(IF(ventas_b_mes1255[[#This Row],[CUIT]]="","-",VLOOKUP(ventas_b_mes1255[[#This Row],[CUIT]],Lista_CUIT[#All],2,0)),"CUIT NO CARGADO")</f>
        <v>-</v>
      </c>
      <c r="H2500" s="100">
        <f>ventas_b_mes1255[[#This Row],[TOTAL]]/1.21</f>
        <v>0</v>
      </c>
      <c r="I2500" s="64">
        <f>ventas_b_mes1255[[#This Row],[IMPORTE NETO]]*0.21</f>
        <v>0</v>
      </c>
      <c r="J2500" s="184"/>
      <c r="K2500" s="184"/>
      <c r="L2500" s="184"/>
      <c r="M2500" s="59"/>
    </row>
    <row r="2501" spans="2:13" x14ac:dyDescent="0.3">
      <c r="B2501" s="178"/>
      <c r="C2501" s="41"/>
      <c r="D2501" s="180"/>
      <c r="E2501" s="181"/>
      <c r="F2501" s="182"/>
      <c r="G2501" s="1" t="str">
        <f>IFERROR(IF(ventas_b_mes1255[[#This Row],[CUIT]]="","-",VLOOKUP(ventas_b_mes1255[[#This Row],[CUIT]],Lista_CUIT[#All],2,0)),"CUIT NO CARGADO")</f>
        <v>-</v>
      </c>
      <c r="H2501" s="100">
        <f>ventas_b_mes1255[[#This Row],[TOTAL]]/1.21</f>
        <v>0</v>
      </c>
      <c r="I2501" s="64">
        <f>ventas_b_mes1255[[#This Row],[IMPORTE NETO]]*0.21</f>
        <v>0</v>
      </c>
      <c r="J2501" s="184"/>
      <c r="K2501" s="184"/>
      <c r="L2501" s="184"/>
      <c r="M2501" s="59"/>
    </row>
    <row r="2502" spans="2:13" x14ac:dyDescent="0.3">
      <c r="B2502" s="178"/>
      <c r="C2502" s="41"/>
      <c r="D2502" s="180"/>
      <c r="E2502" s="181"/>
      <c r="F2502" s="182"/>
      <c r="G2502" s="1" t="str">
        <f>IFERROR(IF(ventas_b_mes1255[[#This Row],[CUIT]]="","-",VLOOKUP(ventas_b_mes1255[[#This Row],[CUIT]],Lista_CUIT[#All],2,0)),"CUIT NO CARGADO")</f>
        <v>-</v>
      </c>
      <c r="H2502" s="100">
        <f>ventas_b_mes1255[[#This Row],[TOTAL]]/1.21</f>
        <v>0</v>
      </c>
      <c r="I2502" s="64">
        <f>ventas_b_mes1255[[#This Row],[IMPORTE NETO]]*0.21</f>
        <v>0</v>
      </c>
      <c r="J2502" s="184"/>
      <c r="K2502" s="184"/>
      <c r="L2502" s="184"/>
      <c r="M2502" s="59"/>
    </row>
    <row r="2503" spans="2:13" x14ac:dyDescent="0.3">
      <c r="B2503" s="178"/>
      <c r="C2503" s="41"/>
      <c r="D2503" s="180"/>
      <c r="E2503" s="181"/>
      <c r="F2503" s="182"/>
      <c r="G2503" s="1" t="str">
        <f>IFERROR(IF(ventas_b_mes1255[[#This Row],[CUIT]]="","-",VLOOKUP(ventas_b_mes1255[[#This Row],[CUIT]],Lista_CUIT[#All],2,0)),"CUIT NO CARGADO")</f>
        <v>-</v>
      </c>
      <c r="H2503" s="100">
        <f>ventas_b_mes1255[[#This Row],[TOTAL]]/1.21</f>
        <v>0</v>
      </c>
      <c r="I2503" s="64">
        <f>ventas_b_mes1255[[#This Row],[IMPORTE NETO]]*0.21</f>
        <v>0</v>
      </c>
      <c r="J2503" s="184"/>
      <c r="K2503" s="184"/>
      <c r="L2503" s="184"/>
      <c r="M2503" s="59"/>
    </row>
    <row r="2504" spans="2:13" x14ac:dyDescent="0.3">
      <c r="B2504" s="178"/>
      <c r="C2504" s="41"/>
      <c r="D2504" s="180"/>
      <c r="E2504" s="181"/>
      <c r="F2504" s="182"/>
      <c r="G2504" s="1" t="str">
        <f>IFERROR(IF(ventas_b_mes1255[[#This Row],[CUIT]]="","-",VLOOKUP(ventas_b_mes1255[[#This Row],[CUIT]],Lista_CUIT[#All],2,0)),"CUIT NO CARGADO")</f>
        <v>-</v>
      </c>
      <c r="H2504" s="100">
        <f>ventas_b_mes1255[[#This Row],[TOTAL]]/1.21</f>
        <v>0</v>
      </c>
      <c r="I2504" s="64">
        <f>ventas_b_mes1255[[#This Row],[IMPORTE NETO]]*0.21</f>
        <v>0</v>
      </c>
      <c r="J2504" s="184"/>
      <c r="K2504" s="184"/>
      <c r="L2504" s="184"/>
      <c r="M2504" s="59"/>
    </row>
    <row r="2505" spans="2:13" x14ac:dyDescent="0.3">
      <c r="B2505" s="178"/>
      <c r="C2505" s="41"/>
      <c r="D2505" s="180"/>
      <c r="E2505" s="181"/>
      <c r="F2505" s="182"/>
      <c r="G2505" s="1" t="str">
        <f>IFERROR(IF(ventas_b_mes1255[[#This Row],[CUIT]]="","-",VLOOKUP(ventas_b_mes1255[[#This Row],[CUIT]],Lista_CUIT[#All],2,0)),"CUIT NO CARGADO")</f>
        <v>-</v>
      </c>
      <c r="H2505" s="100">
        <f>ventas_b_mes1255[[#This Row],[TOTAL]]/1.21</f>
        <v>0</v>
      </c>
      <c r="I2505" s="64">
        <f>ventas_b_mes1255[[#This Row],[IMPORTE NETO]]*0.21</f>
        <v>0</v>
      </c>
      <c r="J2505" s="184"/>
      <c r="K2505" s="184"/>
      <c r="L2505" s="184"/>
      <c r="M2505" s="59"/>
    </row>
    <row r="2506" spans="2:13" x14ac:dyDescent="0.3">
      <c r="B2506" s="178"/>
      <c r="C2506" s="41"/>
      <c r="D2506" s="180"/>
      <c r="E2506" s="181"/>
      <c r="F2506" s="182"/>
      <c r="G2506" s="1" t="str">
        <f>IFERROR(IF(ventas_b_mes1255[[#This Row],[CUIT]]="","-",VLOOKUP(ventas_b_mes1255[[#This Row],[CUIT]],Lista_CUIT[#All],2,0)),"CUIT NO CARGADO")</f>
        <v>-</v>
      </c>
      <c r="H2506" s="100">
        <f>ventas_b_mes1255[[#This Row],[TOTAL]]/1.21</f>
        <v>0</v>
      </c>
      <c r="I2506" s="64">
        <f>ventas_b_mes1255[[#This Row],[IMPORTE NETO]]*0.21</f>
        <v>0</v>
      </c>
      <c r="J2506" s="184"/>
      <c r="K2506" s="184"/>
      <c r="L2506" s="184"/>
      <c r="M2506" s="59"/>
    </row>
    <row r="2507" spans="2:13" x14ac:dyDescent="0.3">
      <c r="B2507" s="178"/>
      <c r="C2507" s="41"/>
      <c r="D2507" s="180"/>
      <c r="E2507" s="181"/>
      <c r="F2507" s="182"/>
      <c r="G2507" s="1" t="str">
        <f>IFERROR(IF(ventas_b_mes1255[[#This Row],[CUIT]]="","-",VLOOKUP(ventas_b_mes1255[[#This Row],[CUIT]],Lista_CUIT[#All],2,0)),"CUIT NO CARGADO")</f>
        <v>-</v>
      </c>
      <c r="H2507" s="100">
        <f>ventas_b_mes1255[[#This Row],[TOTAL]]/1.21</f>
        <v>0</v>
      </c>
      <c r="I2507" s="64">
        <f>ventas_b_mes1255[[#This Row],[IMPORTE NETO]]*0.21</f>
        <v>0</v>
      </c>
      <c r="J2507" s="184"/>
      <c r="K2507" s="184"/>
      <c r="L2507" s="184"/>
      <c r="M2507" s="59"/>
    </row>
    <row r="2508" spans="2:13" x14ac:dyDescent="0.3">
      <c r="B2508" s="178"/>
      <c r="C2508" s="41"/>
      <c r="D2508" s="180"/>
      <c r="E2508" s="181"/>
      <c r="F2508" s="182"/>
      <c r="G2508" s="1" t="str">
        <f>IFERROR(IF(ventas_b_mes1255[[#This Row],[CUIT]]="","-",VLOOKUP(ventas_b_mes1255[[#This Row],[CUIT]],Lista_CUIT[#All],2,0)),"CUIT NO CARGADO")</f>
        <v>-</v>
      </c>
      <c r="H2508" s="100">
        <f>ventas_b_mes1255[[#This Row],[TOTAL]]/1.21</f>
        <v>0</v>
      </c>
      <c r="I2508" s="64">
        <f>ventas_b_mes1255[[#This Row],[IMPORTE NETO]]*0.21</f>
        <v>0</v>
      </c>
      <c r="J2508" s="184"/>
      <c r="K2508" s="184"/>
      <c r="L2508" s="184"/>
      <c r="M2508" s="59"/>
    </row>
    <row r="2509" spans="2:13" x14ac:dyDescent="0.3">
      <c r="B2509" s="178"/>
      <c r="C2509" s="41"/>
      <c r="D2509" s="180"/>
      <c r="E2509" s="181"/>
      <c r="F2509" s="182"/>
      <c r="G2509" s="1" t="str">
        <f>IFERROR(IF(ventas_b_mes1255[[#This Row],[CUIT]]="","-",VLOOKUP(ventas_b_mes1255[[#This Row],[CUIT]],Lista_CUIT[#All],2,0)),"CUIT NO CARGADO")</f>
        <v>-</v>
      </c>
      <c r="H2509" s="100">
        <f>ventas_b_mes1255[[#This Row],[TOTAL]]/1.21</f>
        <v>0</v>
      </c>
      <c r="I2509" s="64">
        <f>ventas_b_mes1255[[#This Row],[IMPORTE NETO]]*0.21</f>
        <v>0</v>
      </c>
      <c r="J2509" s="184"/>
      <c r="K2509" s="184"/>
      <c r="L2509" s="184"/>
      <c r="M2509" s="59"/>
    </row>
    <row r="2510" spans="2:13" x14ac:dyDescent="0.3">
      <c r="B2510" s="178"/>
      <c r="C2510" s="41"/>
      <c r="D2510" s="180"/>
      <c r="E2510" s="181"/>
      <c r="F2510" s="182"/>
      <c r="G2510" s="1" t="str">
        <f>IFERROR(IF(ventas_b_mes1255[[#This Row],[CUIT]]="","-",VLOOKUP(ventas_b_mes1255[[#This Row],[CUIT]],Lista_CUIT[#All],2,0)),"CUIT NO CARGADO")</f>
        <v>-</v>
      </c>
      <c r="H2510" s="100">
        <f>ventas_b_mes1255[[#This Row],[TOTAL]]/1.21</f>
        <v>0</v>
      </c>
      <c r="I2510" s="64">
        <f>ventas_b_mes1255[[#This Row],[IMPORTE NETO]]*0.21</f>
        <v>0</v>
      </c>
      <c r="J2510" s="184"/>
      <c r="K2510" s="184"/>
      <c r="L2510" s="184"/>
      <c r="M2510" s="59"/>
    </row>
    <row r="2511" spans="2:13" x14ac:dyDescent="0.3">
      <c r="B2511" s="178"/>
      <c r="C2511" s="41"/>
      <c r="D2511" s="180"/>
      <c r="E2511" s="181"/>
      <c r="F2511" s="182"/>
      <c r="G2511" s="1" t="str">
        <f>IFERROR(IF(ventas_b_mes1255[[#This Row],[CUIT]]="","-",VLOOKUP(ventas_b_mes1255[[#This Row],[CUIT]],Lista_CUIT[#All],2,0)),"CUIT NO CARGADO")</f>
        <v>-</v>
      </c>
      <c r="H2511" s="100">
        <f>ventas_b_mes1255[[#This Row],[TOTAL]]/1.21</f>
        <v>0</v>
      </c>
      <c r="I2511" s="64">
        <f>ventas_b_mes1255[[#This Row],[IMPORTE NETO]]*0.21</f>
        <v>0</v>
      </c>
      <c r="J2511" s="184"/>
      <c r="K2511" s="184"/>
      <c r="L2511" s="184"/>
      <c r="M2511" s="59"/>
    </row>
    <row r="2512" spans="2:13" x14ac:dyDescent="0.3">
      <c r="B2512" s="178"/>
      <c r="C2512" s="41"/>
      <c r="D2512" s="180"/>
      <c r="E2512" s="181"/>
      <c r="F2512" s="182"/>
      <c r="G2512" s="1" t="str">
        <f>IFERROR(IF(ventas_b_mes1255[[#This Row],[CUIT]]="","-",VLOOKUP(ventas_b_mes1255[[#This Row],[CUIT]],Lista_CUIT[#All],2,0)),"CUIT NO CARGADO")</f>
        <v>-</v>
      </c>
      <c r="H2512" s="100">
        <f>ventas_b_mes1255[[#This Row],[TOTAL]]/1.21</f>
        <v>0</v>
      </c>
      <c r="I2512" s="64">
        <f>ventas_b_mes1255[[#This Row],[IMPORTE NETO]]*0.21</f>
        <v>0</v>
      </c>
      <c r="J2512" s="184"/>
      <c r="K2512" s="184"/>
      <c r="L2512" s="184"/>
      <c r="M2512" s="59"/>
    </row>
    <row r="2513" spans="2:13" x14ac:dyDescent="0.3">
      <c r="B2513" s="178"/>
      <c r="C2513" s="41"/>
      <c r="D2513" s="180"/>
      <c r="E2513" s="181"/>
      <c r="F2513" s="182"/>
      <c r="G2513" s="1" t="str">
        <f>IFERROR(IF(ventas_b_mes1255[[#This Row],[CUIT]]="","-",VLOOKUP(ventas_b_mes1255[[#This Row],[CUIT]],Lista_CUIT[#All],2,0)),"CUIT NO CARGADO")</f>
        <v>-</v>
      </c>
      <c r="H2513" s="100">
        <f>ventas_b_mes1255[[#This Row],[TOTAL]]/1.21</f>
        <v>0</v>
      </c>
      <c r="I2513" s="64">
        <f>ventas_b_mes1255[[#This Row],[IMPORTE NETO]]*0.21</f>
        <v>0</v>
      </c>
      <c r="J2513" s="184"/>
      <c r="K2513" s="184"/>
      <c r="L2513" s="184"/>
      <c r="M2513" s="59"/>
    </row>
    <row r="2514" spans="2:13" x14ac:dyDescent="0.3">
      <c r="B2514" s="178"/>
      <c r="C2514" s="41"/>
      <c r="D2514" s="180"/>
      <c r="E2514" s="181"/>
      <c r="F2514" s="182"/>
      <c r="G2514" s="1" t="str">
        <f>IFERROR(IF(ventas_b_mes1255[[#This Row],[CUIT]]="","-",VLOOKUP(ventas_b_mes1255[[#This Row],[CUIT]],Lista_CUIT[#All],2,0)),"CUIT NO CARGADO")</f>
        <v>-</v>
      </c>
      <c r="H2514" s="100">
        <f>ventas_b_mes1255[[#This Row],[TOTAL]]/1.21</f>
        <v>0</v>
      </c>
      <c r="I2514" s="64">
        <f>ventas_b_mes1255[[#This Row],[IMPORTE NETO]]*0.21</f>
        <v>0</v>
      </c>
      <c r="J2514" s="184"/>
      <c r="K2514" s="184"/>
      <c r="L2514" s="184"/>
      <c r="M2514" s="59"/>
    </row>
    <row r="2515" spans="2:13" x14ac:dyDescent="0.3">
      <c r="B2515" s="178"/>
      <c r="C2515" s="41"/>
      <c r="D2515" s="180"/>
      <c r="E2515" s="181"/>
      <c r="F2515" s="182"/>
      <c r="G2515" s="1" t="str">
        <f>IFERROR(IF(ventas_b_mes1255[[#This Row],[CUIT]]="","-",VLOOKUP(ventas_b_mes1255[[#This Row],[CUIT]],Lista_CUIT[#All],2,0)),"CUIT NO CARGADO")</f>
        <v>-</v>
      </c>
      <c r="H2515" s="100">
        <f>ventas_b_mes1255[[#This Row],[TOTAL]]/1.21</f>
        <v>0</v>
      </c>
      <c r="I2515" s="64">
        <f>ventas_b_mes1255[[#This Row],[IMPORTE NETO]]*0.21</f>
        <v>0</v>
      </c>
      <c r="J2515" s="184"/>
      <c r="K2515" s="184"/>
      <c r="L2515" s="184"/>
      <c r="M2515" s="59"/>
    </row>
    <row r="2516" spans="2:13" x14ac:dyDescent="0.3">
      <c r="B2516" s="178"/>
      <c r="C2516" s="41"/>
      <c r="D2516" s="180"/>
      <c r="E2516" s="181"/>
      <c r="F2516" s="182"/>
      <c r="G2516" s="1" t="str">
        <f>IFERROR(IF(ventas_b_mes1255[[#This Row],[CUIT]]="","-",VLOOKUP(ventas_b_mes1255[[#This Row],[CUIT]],Lista_CUIT[#All],2,0)),"CUIT NO CARGADO")</f>
        <v>-</v>
      </c>
      <c r="H2516" s="100">
        <f>ventas_b_mes1255[[#This Row],[TOTAL]]/1.21</f>
        <v>0</v>
      </c>
      <c r="I2516" s="64">
        <f>ventas_b_mes1255[[#This Row],[IMPORTE NETO]]*0.21</f>
        <v>0</v>
      </c>
      <c r="J2516" s="184"/>
      <c r="K2516" s="184"/>
      <c r="L2516" s="184"/>
      <c r="M2516" s="59"/>
    </row>
    <row r="2517" spans="2:13" x14ac:dyDescent="0.3">
      <c r="B2517" s="178"/>
      <c r="C2517" s="41"/>
      <c r="D2517" s="180"/>
      <c r="E2517" s="181"/>
      <c r="F2517" s="182"/>
      <c r="G2517" s="1" t="str">
        <f>IFERROR(IF(ventas_b_mes1255[[#This Row],[CUIT]]="","-",VLOOKUP(ventas_b_mes1255[[#This Row],[CUIT]],Lista_CUIT[#All],2,0)),"CUIT NO CARGADO")</f>
        <v>-</v>
      </c>
      <c r="H2517" s="100">
        <f>ventas_b_mes1255[[#This Row],[TOTAL]]/1.21</f>
        <v>0</v>
      </c>
      <c r="I2517" s="64">
        <f>ventas_b_mes1255[[#This Row],[IMPORTE NETO]]*0.21</f>
        <v>0</v>
      </c>
      <c r="J2517" s="184"/>
      <c r="K2517" s="184"/>
      <c r="L2517" s="184"/>
      <c r="M2517" s="59"/>
    </row>
    <row r="2518" spans="2:13" x14ac:dyDescent="0.3">
      <c r="B2518" s="178"/>
      <c r="C2518" s="41"/>
      <c r="D2518" s="180"/>
      <c r="E2518" s="181"/>
      <c r="F2518" s="182"/>
      <c r="G2518" s="1" t="str">
        <f>IFERROR(IF(ventas_b_mes1255[[#This Row],[CUIT]]="","-",VLOOKUP(ventas_b_mes1255[[#This Row],[CUIT]],Lista_CUIT[#All],2,0)),"CUIT NO CARGADO")</f>
        <v>-</v>
      </c>
      <c r="H2518" s="100">
        <f>ventas_b_mes1255[[#This Row],[TOTAL]]/1.21</f>
        <v>0</v>
      </c>
      <c r="I2518" s="64">
        <f>ventas_b_mes1255[[#This Row],[IMPORTE NETO]]*0.21</f>
        <v>0</v>
      </c>
      <c r="J2518" s="184"/>
      <c r="K2518" s="184"/>
      <c r="L2518" s="184"/>
      <c r="M2518" s="59"/>
    </row>
    <row r="2519" spans="2:13" x14ac:dyDescent="0.3">
      <c r="B2519" s="178"/>
      <c r="C2519" s="41"/>
      <c r="D2519" s="180"/>
      <c r="E2519" s="181"/>
      <c r="F2519" s="182"/>
      <c r="G2519" s="1" t="str">
        <f>IFERROR(IF(ventas_b_mes1255[[#This Row],[CUIT]]="","-",VLOOKUP(ventas_b_mes1255[[#This Row],[CUIT]],Lista_CUIT[#All],2,0)),"CUIT NO CARGADO")</f>
        <v>-</v>
      </c>
      <c r="H2519" s="100">
        <f>ventas_b_mes1255[[#This Row],[TOTAL]]/1.21</f>
        <v>0</v>
      </c>
      <c r="I2519" s="64">
        <f>ventas_b_mes1255[[#This Row],[IMPORTE NETO]]*0.21</f>
        <v>0</v>
      </c>
      <c r="J2519" s="184"/>
      <c r="K2519" s="184"/>
      <c r="L2519" s="184"/>
      <c r="M2519" s="59"/>
    </row>
    <row r="2520" spans="2:13" x14ac:dyDescent="0.3">
      <c r="B2520" s="178"/>
      <c r="C2520" s="41"/>
      <c r="D2520" s="180"/>
      <c r="E2520" s="181"/>
      <c r="F2520" s="182"/>
      <c r="G2520" s="1" t="str">
        <f>IFERROR(IF(ventas_b_mes1255[[#This Row],[CUIT]]="","-",VLOOKUP(ventas_b_mes1255[[#This Row],[CUIT]],Lista_CUIT[#All],2,0)),"CUIT NO CARGADO")</f>
        <v>-</v>
      </c>
      <c r="H2520" s="100">
        <f>ventas_b_mes1255[[#This Row],[TOTAL]]/1.21</f>
        <v>0</v>
      </c>
      <c r="I2520" s="64">
        <f>ventas_b_mes1255[[#This Row],[IMPORTE NETO]]*0.21</f>
        <v>0</v>
      </c>
      <c r="J2520" s="184"/>
      <c r="K2520" s="184"/>
      <c r="L2520" s="184"/>
      <c r="M2520" s="59"/>
    </row>
    <row r="2521" spans="2:13" x14ac:dyDescent="0.3">
      <c r="B2521" s="178"/>
      <c r="C2521" s="41"/>
      <c r="D2521" s="180"/>
      <c r="E2521" s="181"/>
      <c r="F2521" s="182"/>
      <c r="G2521" s="1" t="str">
        <f>IFERROR(IF(ventas_b_mes1255[[#This Row],[CUIT]]="","-",VLOOKUP(ventas_b_mes1255[[#This Row],[CUIT]],Lista_CUIT[#All],2,0)),"CUIT NO CARGADO")</f>
        <v>-</v>
      </c>
      <c r="H2521" s="100">
        <f>ventas_b_mes1255[[#This Row],[TOTAL]]/1.21</f>
        <v>0</v>
      </c>
      <c r="I2521" s="64">
        <f>ventas_b_mes1255[[#This Row],[IMPORTE NETO]]*0.21</f>
        <v>0</v>
      </c>
      <c r="J2521" s="184"/>
      <c r="K2521" s="184"/>
      <c r="L2521" s="184"/>
      <c r="M2521" s="59"/>
    </row>
    <row r="2522" spans="2:13" x14ac:dyDescent="0.3">
      <c r="B2522" s="178"/>
      <c r="C2522" s="41"/>
      <c r="D2522" s="180"/>
      <c r="E2522" s="181"/>
      <c r="F2522" s="182"/>
      <c r="G2522" s="1" t="str">
        <f>IFERROR(IF(ventas_b_mes1255[[#This Row],[CUIT]]="","-",VLOOKUP(ventas_b_mes1255[[#This Row],[CUIT]],Lista_CUIT[#All],2,0)),"CUIT NO CARGADO")</f>
        <v>-</v>
      </c>
      <c r="H2522" s="100">
        <f>ventas_b_mes1255[[#This Row],[TOTAL]]/1.21</f>
        <v>0</v>
      </c>
      <c r="I2522" s="64">
        <f>ventas_b_mes1255[[#This Row],[IMPORTE NETO]]*0.21</f>
        <v>0</v>
      </c>
      <c r="J2522" s="184"/>
      <c r="K2522" s="184"/>
      <c r="L2522" s="184"/>
      <c r="M2522" s="59"/>
    </row>
    <row r="2523" spans="2:13" x14ac:dyDescent="0.3">
      <c r="B2523" s="178"/>
      <c r="C2523" s="41"/>
      <c r="D2523" s="180"/>
      <c r="E2523" s="181"/>
      <c r="F2523" s="182"/>
      <c r="G2523" s="1" t="str">
        <f>IFERROR(IF(ventas_b_mes1255[[#This Row],[CUIT]]="","-",VLOOKUP(ventas_b_mes1255[[#This Row],[CUIT]],Lista_CUIT[#All],2,0)),"CUIT NO CARGADO")</f>
        <v>-</v>
      </c>
      <c r="H2523" s="100">
        <f>ventas_b_mes1255[[#This Row],[TOTAL]]/1.21</f>
        <v>0</v>
      </c>
      <c r="I2523" s="64">
        <f>ventas_b_mes1255[[#This Row],[IMPORTE NETO]]*0.21</f>
        <v>0</v>
      </c>
      <c r="J2523" s="184"/>
      <c r="K2523" s="184"/>
      <c r="L2523" s="184"/>
      <c r="M2523" s="59"/>
    </row>
    <row r="2524" spans="2:13" x14ac:dyDescent="0.3">
      <c r="B2524" s="178"/>
      <c r="C2524" s="41"/>
      <c r="D2524" s="180"/>
      <c r="E2524" s="181"/>
      <c r="F2524" s="182"/>
      <c r="G2524" s="1" t="str">
        <f>IFERROR(IF(ventas_b_mes1255[[#This Row],[CUIT]]="","-",VLOOKUP(ventas_b_mes1255[[#This Row],[CUIT]],Lista_CUIT[#All],2,0)),"CUIT NO CARGADO")</f>
        <v>-</v>
      </c>
      <c r="H2524" s="100">
        <f>ventas_b_mes1255[[#This Row],[TOTAL]]/1.21</f>
        <v>0</v>
      </c>
      <c r="I2524" s="64">
        <f>ventas_b_mes1255[[#This Row],[IMPORTE NETO]]*0.21</f>
        <v>0</v>
      </c>
      <c r="J2524" s="184"/>
      <c r="K2524" s="184"/>
      <c r="L2524" s="184"/>
      <c r="M2524" s="59"/>
    </row>
    <row r="2525" spans="2:13" x14ac:dyDescent="0.3">
      <c r="B2525" s="178"/>
      <c r="C2525" s="41"/>
      <c r="D2525" s="180"/>
      <c r="E2525" s="181"/>
      <c r="F2525" s="182"/>
      <c r="G2525" s="1" t="str">
        <f>IFERROR(IF(ventas_b_mes1255[[#This Row],[CUIT]]="","-",VLOOKUP(ventas_b_mes1255[[#This Row],[CUIT]],Lista_CUIT[#All],2,0)),"CUIT NO CARGADO")</f>
        <v>-</v>
      </c>
      <c r="H2525" s="100">
        <f>ventas_b_mes1255[[#This Row],[TOTAL]]/1.21</f>
        <v>0</v>
      </c>
      <c r="I2525" s="64">
        <f>ventas_b_mes1255[[#This Row],[IMPORTE NETO]]*0.21</f>
        <v>0</v>
      </c>
      <c r="J2525" s="184"/>
      <c r="K2525" s="184"/>
      <c r="L2525" s="184"/>
      <c r="M2525" s="59"/>
    </row>
    <row r="2526" spans="2:13" x14ac:dyDescent="0.3">
      <c r="B2526" s="178"/>
      <c r="C2526" s="41"/>
      <c r="D2526" s="180"/>
      <c r="E2526" s="181"/>
      <c r="F2526" s="182"/>
      <c r="G2526" s="1" t="str">
        <f>IFERROR(IF(ventas_b_mes1255[[#This Row],[CUIT]]="","-",VLOOKUP(ventas_b_mes1255[[#This Row],[CUIT]],Lista_CUIT[#All],2,0)),"CUIT NO CARGADO")</f>
        <v>-</v>
      </c>
      <c r="H2526" s="100">
        <f>ventas_b_mes1255[[#This Row],[TOTAL]]/1.21</f>
        <v>0</v>
      </c>
      <c r="I2526" s="64">
        <f>ventas_b_mes1255[[#This Row],[IMPORTE NETO]]*0.21</f>
        <v>0</v>
      </c>
      <c r="J2526" s="184"/>
      <c r="K2526" s="184"/>
      <c r="L2526" s="184"/>
      <c r="M2526" s="59"/>
    </row>
    <row r="2527" spans="2:13" x14ac:dyDescent="0.3">
      <c r="B2527" s="178"/>
      <c r="C2527" s="41"/>
      <c r="D2527" s="180"/>
      <c r="E2527" s="181"/>
      <c r="F2527" s="182"/>
      <c r="G2527" s="1" t="str">
        <f>IFERROR(IF(ventas_b_mes1255[[#This Row],[CUIT]]="","-",VLOOKUP(ventas_b_mes1255[[#This Row],[CUIT]],Lista_CUIT[#All],2,0)),"CUIT NO CARGADO")</f>
        <v>-</v>
      </c>
      <c r="H2527" s="100">
        <f>ventas_b_mes1255[[#This Row],[TOTAL]]/1.21</f>
        <v>0</v>
      </c>
      <c r="I2527" s="64">
        <f>ventas_b_mes1255[[#This Row],[IMPORTE NETO]]*0.21</f>
        <v>0</v>
      </c>
      <c r="J2527" s="184"/>
      <c r="K2527" s="184"/>
      <c r="L2527" s="184"/>
      <c r="M2527" s="59"/>
    </row>
    <row r="2528" spans="2:13" x14ac:dyDescent="0.3">
      <c r="B2528" s="178"/>
      <c r="C2528" s="41"/>
      <c r="D2528" s="180"/>
      <c r="E2528" s="181"/>
      <c r="F2528" s="182"/>
      <c r="G2528" s="1" t="str">
        <f>IFERROR(IF(ventas_b_mes1255[[#This Row],[CUIT]]="","-",VLOOKUP(ventas_b_mes1255[[#This Row],[CUIT]],Lista_CUIT[#All],2,0)),"CUIT NO CARGADO")</f>
        <v>-</v>
      </c>
      <c r="H2528" s="100">
        <f>ventas_b_mes1255[[#This Row],[TOTAL]]/1.21</f>
        <v>0</v>
      </c>
      <c r="I2528" s="64">
        <f>ventas_b_mes1255[[#This Row],[IMPORTE NETO]]*0.21</f>
        <v>0</v>
      </c>
      <c r="J2528" s="184"/>
      <c r="K2528" s="184"/>
      <c r="L2528" s="184"/>
      <c r="M2528" s="59"/>
    </row>
    <row r="2529" spans="2:13" x14ac:dyDescent="0.3">
      <c r="B2529" s="178"/>
      <c r="C2529" s="41"/>
      <c r="D2529" s="180"/>
      <c r="E2529" s="181"/>
      <c r="F2529" s="182"/>
      <c r="G2529" s="1" t="str">
        <f>IFERROR(IF(ventas_b_mes1255[[#This Row],[CUIT]]="","-",VLOOKUP(ventas_b_mes1255[[#This Row],[CUIT]],Lista_CUIT[#All],2,0)),"CUIT NO CARGADO")</f>
        <v>-</v>
      </c>
      <c r="H2529" s="100">
        <f>ventas_b_mes1255[[#This Row],[TOTAL]]/1.21</f>
        <v>0</v>
      </c>
      <c r="I2529" s="64">
        <f>ventas_b_mes1255[[#This Row],[IMPORTE NETO]]*0.21</f>
        <v>0</v>
      </c>
      <c r="J2529" s="184"/>
      <c r="K2529" s="184"/>
      <c r="L2529" s="184"/>
      <c r="M2529" s="59"/>
    </row>
    <row r="2530" spans="2:13" x14ac:dyDescent="0.3">
      <c r="B2530" s="178"/>
      <c r="C2530" s="41"/>
      <c r="D2530" s="180"/>
      <c r="E2530" s="181"/>
      <c r="F2530" s="182"/>
      <c r="G2530" s="1" t="str">
        <f>IFERROR(IF(ventas_b_mes1255[[#This Row],[CUIT]]="","-",VLOOKUP(ventas_b_mes1255[[#This Row],[CUIT]],Lista_CUIT[#All],2,0)),"CUIT NO CARGADO")</f>
        <v>-</v>
      </c>
      <c r="H2530" s="100">
        <f>ventas_b_mes1255[[#This Row],[TOTAL]]/1.21</f>
        <v>0</v>
      </c>
      <c r="I2530" s="64">
        <f>ventas_b_mes1255[[#This Row],[IMPORTE NETO]]*0.21</f>
        <v>0</v>
      </c>
      <c r="J2530" s="184"/>
      <c r="K2530" s="184"/>
      <c r="L2530" s="184"/>
      <c r="M2530" s="59"/>
    </row>
    <row r="2531" spans="2:13" x14ac:dyDescent="0.3">
      <c r="B2531" s="178"/>
      <c r="C2531" s="41"/>
      <c r="D2531" s="180"/>
      <c r="E2531" s="181"/>
      <c r="F2531" s="182"/>
      <c r="G2531" s="1" t="str">
        <f>IFERROR(IF(ventas_b_mes1255[[#This Row],[CUIT]]="","-",VLOOKUP(ventas_b_mes1255[[#This Row],[CUIT]],Lista_CUIT[#All],2,0)),"CUIT NO CARGADO")</f>
        <v>-</v>
      </c>
      <c r="H2531" s="100">
        <f>ventas_b_mes1255[[#This Row],[TOTAL]]/1.21</f>
        <v>0</v>
      </c>
      <c r="I2531" s="64">
        <f>ventas_b_mes1255[[#This Row],[IMPORTE NETO]]*0.21</f>
        <v>0</v>
      </c>
      <c r="J2531" s="184"/>
      <c r="K2531" s="184"/>
      <c r="L2531" s="184"/>
      <c r="M2531" s="59"/>
    </row>
    <row r="2532" spans="2:13" x14ac:dyDescent="0.3">
      <c r="B2532" s="178"/>
      <c r="C2532" s="41"/>
      <c r="D2532" s="180"/>
      <c r="E2532" s="181"/>
      <c r="F2532" s="182"/>
      <c r="G2532" s="1" t="str">
        <f>IFERROR(IF(ventas_b_mes1255[[#This Row],[CUIT]]="","-",VLOOKUP(ventas_b_mes1255[[#This Row],[CUIT]],Lista_CUIT[#All],2,0)),"CUIT NO CARGADO")</f>
        <v>-</v>
      </c>
      <c r="H2532" s="100">
        <f>ventas_b_mes1255[[#This Row],[TOTAL]]/1.21</f>
        <v>0</v>
      </c>
      <c r="I2532" s="64">
        <f>ventas_b_mes1255[[#This Row],[IMPORTE NETO]]*0.21</f>
        <v>0</v>
      </c>
      <c r="J2532" s="184"/>
      <c r="K2532" s="184"/>
      <c r="L2532" s="184"/>
      <c r="M2532" s="59"/>
    </row>
    <row r="2533" spans="2:13" x14ac:dyDescent="0.3">
      <c r="B2533" s="178"/>
      <c r="C2533" s="41"/>
      <c r="D2533" s="180"/>
      <c r="E2533" s="181"/>
      <c r="F2533" s="182"/>
      <c r="G2533" s="1" t="str">
        <f>IFERROR(IF(ventas_b_mes1255[[#This Row],[CUIT]]="","-",VLOOKUP(ventas_b_mes1255[[#This Row],[CUIT]],Lista_CUIT[#All],2,0)),"CUIT NO CARGADO")</f>
        <v>-</v>
      </c>
      <c r="H2533" s="100">
        <f>ventas_b_mes1255[[#This Row],[TOTAL]]/1.21</f>
        <v>0</v>
      </c>
      <c r="I2533" s="64">
        <f>ventas_b_mes1255[[#This Row],[IMPORTE NETO]]*0.21</f>
        <v>0</v>
      </c>
      <c r="J2533" s="184"/>
      <c r="K2533" s="184"/>
      <c r="L2533" s="184"/>
      <c r="M2533" s="59"/>
    </row>
    <row r="2534" spans="2:13" x14ac:dyDescent="0.3">
      <c r="B2534" s="178"/>
      <c r="C2534" s="41"/>
      <c r="D2534" s="180"/>
      <c r="E2534" s="181"/>
      <c r="F2534" s="182"/>
      <c r="G2534" s="1" t="str">
        <f>IFERROR(IF(ventas_b_mes1255[[#This Row],[CUIT]]="","-",VLOOKUP(ventas_b_mes1255[[#This Row],[CUIT]],Lista_CUIT[#All],2,0)),"CUIT NO CARGADO")</f>
        <v>-</v>
      </c>
      <c r="H2534" s="100">
        <f>ventas_b_mes1255[[#This Row],[TOTAL]]/1.21</f>
        <v>0</v>
      </c>
      <c r="I2534" s="64">
        <f>ventas_b_mes1255[[#This Row],[IMPORTE NETO]]*0.21</f>
        <v>0</v>
      </c>
      <c r="J2534" s="184"/>
      <c r="K2534" s="184"/>
      <c r="L2534" s="184"/>
      <c r="M2534" s="59"/>
    </row>
    <row r="2535" spans="2:13" x14ac:dyDescent="0.3">
      <c r="B2535" s="178"/>
      <c r="C2535" s="41"/>
      <c r="D2535" s="180"/>
      <c r="E2535" s="181"/>
      <c r="F2535" s="182"/>
      <c r="G2535" s="1" t="str">
        <f>IFERROR(IF(ventas_b_mes1255[[#This Row],[CUIT]]="","-",VLOOKUP(ventas_b_mes1255[[#This Row],[CUIT]],Lista_CUIT[#All],2,0)),"CUIT NO CARGADO")</f>
        <v>-</v>
      </c>
      <c r="H2535" s="100">
        <f>ventas_b_mes1255[[#This Row],[TOTAL]]/1.21</f>
        <v>0</v>
      </c>
      <c r="I2535" s="64">
        <f>ventas_b_mes1255[[#This Row],[IMPORTE NETO]]*0.21</f>
        <v>0</v>
      </c>
      <c r="J2535" s="184"/>
      <c r="K2535" s="184"/>
      <c r="L2535" s="184"/>
      <c r="M2535" s="59"/>
    </row>
    <row r="2536" spans="2:13" x14ac:dyDescent="0.3">
      <c r="B2536" s="178"/>
      <c r="C2536" s="41"/>
      <c r="D2536" s="180"/>
      <c r="E2536" s="181"/>
      <c r="F2536" s="182"/>
      <c r="G2536" s="1" t="str">
        <f>IFERROR(IF(ventas_b_mes1255[[#This Row],[CUIT]]="","-",VLOOKUP(ventas_b_mes1255[[#This Row],[CUIT]],Lista_CUIT[#All],2,0)),"CUIT NO CARGADO")</f>
        <v>-</v>
      </c>
      <c r="H2536" s="100">
        <f>ventas_b_mes1255[[#This Row],[TOTAL]]/1.21</f>
        <v>0</v>
      </c>
      <c r="I2536" s="64">
        <f>ventas_b_mes1255[[#This Row],[IMPORTE NETO]]*0.21</f>
        <v>0</v>
      </c>
      <c r="J2536" s="184"/>
      <c r="K2536" s="184"/>
      <c r="L2536" s="184"/>
      <c r="M2536" s="59"/>
    </row>
    <row r="2537" spans="2:13" x14ac:dyDescent="0.3">
      <c r="B2537" s="178"/>
      <c r="C2537" s="41"/>
      <c r="D2537" s="180"/>
      <c r="E2537" s="181"/>
      <c r="F2537" s="182"/>
      <c r="G2537" s="1" t="str">
        <f>IFERROR(IF(ventas_b_mes1255[[#This Row],[CUIT]]="","-",VLOOKUP(ventas_b_mes1255[[#This Row],[CUIT]],Lista_CUIT[#All],2,0)),"CUIT NO CARGADO")</f>
        <v>-</v>
      </c>
      <c r="H2537" s="100">
        <f>ventas_b_mes1255[[#This Row],[TOTAL]]/1.21</f>
        <v>0</v>
      </c>
      <c r="I2537" s="64">
        <f>ventas_b_mes1255[[#This Row],[IMPORTE NETO]]*0.21</f>
        <v>0</v>
      </c>
      <c r="J2537" s="184"/>
      <c r="K2537" s="184"/>
      <c r="L2537" s="184"/>
      <c r="M2537" s="59"/>
    </row>
    <row r="2538" spans="2:13" x14ac:dyDescent="0.3">
      <c r="B2538" s="178"/>
      <c r="C2538" s="41"/>
      <c r="D2538" s="180"/>
      <c r="E2538" s="181"/>
      <c r="F2538" s="182"/>
      <c r="G2538" s="1" t="str">
        <f>IFERROR(IF(ventas_b_mes1255[[#This Row],[CUIT]]="","-",VLOOKUP(ventas_b_mes1255[[#This Row],[CUIT]],Lista_CUIT[#All],2,0)),"CUIT NO CARGADO")</f>
        <v>-</v>
      </c>
      <c r="H2538" s="100">
        <f>ventas_b_mes1255[[#This Row],[TOTAL]]/1.21</f>
        <v>0</v>
      </c>
      <c r="I2538" s="64">
        <f>ventas_b_mes1255[[#This Row],[IMPORTE NETO]]*0.21</f>
        <v>0</v>
      </c>
      <c r="J2538" s="184"/>
      <c r="K2538" s="184"/>
      <c r="L2538" s="184"/>
      <c r="M2538" s="59"/>
    </row>
    <row r="2539" spans="2:13" x14ac:dyDescent="0.3">
      <c r="B2539" s="178"/>
      <c r="C2539" s="41"/>
      <c r="D2539" s="180"/>
      <c r="E2539" s="181"/>
      <c r="F2539" s="182"/>
      <c r="G2539" s="1" t="str">
        <f>IFERROR(IF(ventas_b_mes1255[[#This Row],[CUIT]]="","-",VLOOKUP(ventas_b_mes1255[[#This Row],[CUIT]],Lista_CUIT[#All],2,0)),"CUIT NO CARGADO")</f>
        <v>-</v>
      </c>
      <c r="H2539" s="100">
        <f>ventas_b_mes1255[[#This Row],[TOTAL]]/1.21</f>
        <v>0</v>
      </c>
      <c r="I2539" s="64">
        <f>ventas_b_mes1255[[#This Row],[IMPORTE NETO]]*0.21</f>
        <v>0</v>
      </c>
      <c r="J2539" s="184"/>
      <c r="K2539" s="184"/>
      <c r="L2539" s="184"/>
      <c r="M2539" s="59"/>
    </row>
    <row r="2540" spans="2:13" x14ac:dyDescent="0.3">
      <c r="B2540" s="178"/>
      <c r="C2540" s="41"/>
      <c r="D2540" s="180"/>
      <c r="E2540" s="181"/>
      <c r="F2540" s="182"/>
      <c r="G2540" s="1" t="str">
        <f>IFERROR(IF(ventas_b_mes1255[[#This Row],[CUIT]]="","-",VLOOKUP(ventas_b_mes1255[[#This Row],[CUIT]],Lista_CUIT[#All],2,0)),"CUIT NO CARGADO")</f>
        <v>-</v>
      </c>
      <c r="H2540" s="100">
        <f>ventas_b_mes1255[[#This Row],[TOTAL]]/1.21</f>
        <v>0</v>
      </c>
      <c r="I2540" s="64">
        <f>ventas_b_mes1255[[#This Row],[IMPORTE NETO]]*0.21</f>
        <v>0</v>
      </c>
      <c r="J2540" s="184"/>
      <c r="K2540" s="184"/>
      <c r="L2540" s="184"/>
      <c r="M2540" s="59"/>
    </row>
    <row r="2541" spans="2:13" x14ac:dyDescent="0.3">
      <c r="B2541" s="178"/>
      <c r="C2541" s="41"/>
      <c r="D2541" s="180"/>
      <c r="E2541" s="181"/>
      <c r="F2541" s="182"/>
      <c r="G2541" s="1" t="str">
        <f>IFERROR(IF(ventas_b_mes1255[[#This Row],[CUIT]]="","-",VLOOKUP(ventas_b_mes1255[[#This Row],[CUIT]],Lista_CUIT[#All],2,0)),"CUIT NO CARGADO")</f>
        <v>-</v>
      </c>
      <c r="H2541" s="100">
        <f>ventas_b_mes1255[[#This Row],[TOTAL]]/1.21</f>
        <v>0</v>
      </c>
      <c r="I2541" s="64">
        <f>ventas_b_mes1255[[#This Row],[IMPORTE NETO]]*0.21</f>
        <v>0</v>
      </c>
      <c r="J2541" s="184"/>
      <c r="K2541" s="184"/>
      <c r="L2541" s="184"/>
      <c r="M2541" s="59"/>
    </row>
    <row r="2542" spans="2:13" x14ac:dyDescent="0.3">
      <c r="B2542" s="178"/>
      <c r="C2542" s="41"/>
      <c r="D2542" s="180"/>
      <c r="E2542" s="181"/>
      <c r="F2542" s="182"/>
      <c r="G2542" s="1" t="str">
        <f>IFERROR(IF(ventas_b_mes1255[[#This Row],[CUIT]]="","-",VLOOKUP(ventas_b_mes1255[[#This Row],[CUIT]],Lista_CUIT[#All],2,0)),"CUIT NO CARGADO")</f>
        <v>-</v>
      </c>
      <c r="H2542" s="100">
        <f>ventas_b_mes1255[[#This Row],[TOTAL]]/1.21</f>
        <v>0</v>
      </c>
      <c r="I2542" s="64">
        <f>ventas_b_mes1255[[#This Row],[IMPORTE NETO]]*0.21</f>
        <v>0</v>
      </c>
      <c r="J2542" s="184"/>
      <c r="K2542" s="184"/>
      <c r="L2542" s="184"/>
      <c r="M2542" s="59"/>
    </row>
    <row r="2543" spans="2:13" x14ac:dyDescent="0.3">
      <c r="B2543" s="178"/>
      <c r="C2543" s="41"/>
      <c r="D2543" s="180"/>
      <c r="E2543" s="181"/>
      <c r="F2543" s="182"/>
      <c r="G2543" s="1" t="str">
        <f>IFERROR(IF(ventas_b_mes1255[[#This Row],[CUIT]]="","-",VLOOKUP(ventas_b_mes1255[[#This Row],[CUIT]],Lista_CUIT[#All],2,0)),"CUIT NO CARGADO")</f>
        <v>-</v>
      </c>
      <c r="H2543" s="100">
        <f>ventas_b_mes1255[[#This Row],[TOTAL]]/1.21</f>
        <v>0</v>
      </c>
      <c r="I2543" s="64">
        <f>ventas_b_mes1255[[#This Row],[IMPORTE NETO]]*0.21</f>
        <v>0</v>
      </c>
      <c r="J2543" s="184"/>
      <c r="K2543" s="184"/>
      <c r="L2543" s="184"/>
      <c r="M2543" s="59"/>
    </row>
    <row r="2544" spans="2:13" x14ac:dyDescent="0.3">
      <c r="B2544" s="178"/>
      <c r="C2544" s="41"/>
      <c r="D2544" s="180"/>
      <c r="E2544" s="181"/>
      <c r="F2544" s="182"/>
      <c r="G2544" s="1" t="str">
        <f>IFERROR(IF(ventas_b_mes1255[[#This Row],[CUIT]]="","-",VLOOKUP(ventas_b_mes1255[[#This Row],[CUIT]],Lista_CUIT[#All],2,0)),"CUIT NO CARGADO")</f>
        <v>-</v>
      </c>
      <c r="H2544" s="100">
        <f>ventas_b_mes1255[[#This Row],[TOTAL]]/1.21</f>
        <v>0</v>
      </c>
      <c r="I2544" s="64">
        <f>ventas_b_mes1255[[#This Row],[IMPORTE NETO]]*0.21</f>
        <v>0</v>
      </c>
      <c r="J2544" s="184"/>
      <c r="K2544" s="184"/>
      <c r="L2544" s="184"/>
      <c r="M2544" s="59"/>
    </row>
    <row r="2545" spans="2:13" x14ac:dyDescent="0.3">
      <c r="B2545" s="178"/>
      <c r="C2545" s="41"/>
      <c r="D2545" s="180"/>
      <c r="E2545" s="181"/>
      <c r="F2545" s="113"/>
      <c r="G2545" s="1" t="str">
        <f>IFERROR(IF(ventas_b_mes1255[[#This Row],[CUIT]]="","-",VLOOKUP(ventas_b_mes1255[[#This Row],[CUIT]],Lista_CUIT[#All],2,0)),"CUIT NO CARGADO")</f>
        <v>-</v>
      </c>
      <c r="H2545" s="100">
        <f>ventas_b_mes1255[[#This Row],[TOTAL]]/1.21</f>
        <v>0</v>
      </c>
      <c r="I2545" s="64">
        <f>ventas_b_mes1255[[#This Row],[IMPORTE NETO]]*0.21</f>
        <v>0</v>
      </c>
      <c r="J2545" s="184"/>
      <c r="K2545" s="184"/>
      <c r="L2545" s="184"/>
      <c r="M2545" s="59"/>
    </row>
    <row r="2546" spans="2:13" x14ac:dyDescent="0.3">
      <c r="B2546" s="178"/>
      <c r="C2546" s="41"/>
      <c r="D2546" s="180"/>
      <c r="E2546" s="181"/>
      <c r="F2546" s="113"/>
      <c r="G2546" s="1" t="str">
        <f>IFERROR(IF(ventas_b_mes1255[[#This Row],[CUIT]]="","-",VLOOKUP(ventas_b_mes1255[[#This Row],[CUIT]],Lista_CUIT[#All],2,0)),"CUIT NO CARGADO")</f>
        <v>-</v>
      </c>
      <c r="H2546" s="100">
        <f>ventas_b_mes1255[[#This Row],[TOTAL]]/1.21</f>
        <v>0</v>
      </c>
      <c r="I2546" s="64">
        <f>ventas_b_mes1255[[#This Row],[IMPORTE NETO]]*0.21</f>
        <v>0</v>
      </c>
      <c r="J2546" s="184"/>
      <c r="K2546" s="184"/>
      <c r="L2546" s="184"/>
      <c r="M2546" s="59"/>
    </row>
    <row r="2547" spans="2:13" x14ac:dyDescent="0.3">
      <c r="B2547" s="178"/>
      <c r="C2547" s="41"/>
      <c r="D2547" s="180"/>
      <c r="E2547" s="181"/>
      <c r="F2547" s="113"/>
      <c r="G2547" s="1" t="str">
        <f>IFERROR(IF(ventas_b_mes1255[[#This Row],[CUIT]]="","-",VLOOKUP(ventas_b_mes1255[[#This Row],[CUIT]],Lista_CUIT[#All],2,0)),"CUIT NO CARGADO")</f>
        <v>-</v>
      </c>
      <c r="H2547" s="100">
        <f>ventas_b_mes1255[[#This Row],[TOTAL]]/1.21</f>
        <v>0</v>
      </c>
      <c r="I2547" s="64">
        <f>ventas_b_mes1255[[#This Row],[IMPORTE NETO]]*0.21</f>
        <v>0</v>
      </c>
      <c r="J2547" s="184"/>
      <c r="K2547" s="184"/>
      <c r="L2547" s="184"/>
      <c r="M2547" s="59"/>
    </row>
    <row r="2548" spans="2:13" x14ac:dyDescent="0.3">
      <c r="B2548" s="178"/>
      <c r="C2548" s="41"/>
      <c r="D2548" s="180"/>
      <c r="E2548" s="181"/>
      <c r="F2548" s="113"/>
      <c r="G2548" s="1" t="str">
        <f>IFERROR(IF(ventas_b_mes1255[[#This Row],[CUIT]]="","-",VLOOKUP(ventas_b_mes1255[[#This Row],[CUIT]],Lista_CUIT[#All],2,0)),"CUIT NO CARGADO")</f>
        <v>-</v>
      </c>
      <c r="H2548" s="100">
        <f>ventas_b_mes1255[[#This Row],[TOTAL]]/1.21</f>
        <v>0</v>
      </c>
      <c r="I2548" s="64">
        <f>ventas_b_mes1255[[#This Row],[IMPORTE NETO]]*0.21</f>
        <v>0</v>
      </c>
      <c r="J2548" s="184"/>
      <c r="K2548" s="184"/>
      <c r="L2548" s="184"/>
      <c r="M2548" s="59"/>
    </row>
    <row r="2549" spans="2:13" x14ac:dyDescent="0.3">
      <c r="B2549" s="178"/>
      <c r="C2549" s="41"/>
      <c r="D2549" s="180"/>
      <c r="E2549" s="181"/>
      <c r="F2549" s="113"/>
      <c r="G2549" s="1" t="str">
        <f>IFERROR(IF(ventas_b_mes1255[[#This Row],[CUIT]]="","-",VLOOKUP(ventas_b_mes1255[[#This Row],[CUIT]],Lista_CUIT[#All],2,0)),"CUIT NO CARGADO")</f>
        <v>-</v>
      </c>
      <c r="H2549" s="100">
        <f>ventas_b_mes1255[[#This Row],[TOTAL]]/1.21</f>
        <v>0</v>
      </c>
      <c r="I2549" s="64">
        <f>ventas_b_mes1255[[#This Row],[IMPORTE NETO]]*0.21</f>
        <v>0</v>
      </c>
      <c r="J2549" s="184"/>
      <c r="K2549" s="184"/>
      <c r="L2549" s="184"/>
      <c r="M2549" s="59"/>
    </row>
    <row r="2550" spans="2:13" x14ac:dyDescent="0.3">
      <c r="B2550" s="178"/>
      <c r="C2550" s="41"/>
      <c r="D2550" s="180"/>
      <c r="E2550" s="181"/>
      <c r="F2550" s="113"/>
      <c r="G2550" s="1" t="str">
        <f>IFERROR(IF(ventas_b_mes1255[[#This Row],[CUIT]]="","-",VLOOKUP(ventas_b_mes1255[[#This Row],[CUIT]],Lista_CUIT[#All],2,0)),"CUIT NO CARGADO")</f>
        <v>-</v>
      </c>
      <c r="H2550" s="100">
        <f>ventas_b_mes1255[[#This Row],[TOTAL]]/1.21</f>
        <v>0</v>
      </c>
      <c r="I2550" s="64">
        <f>ventas_b_mes1255[[#This Row],[IMPORTE NETO]]*0.21</f>
        <v>0</v>
      </c>
      <c r="J2550" s="184"/>
      <c r="K2550" s="184"/>
      <c r="L2550" s="184"/>
      <c r="M2550" s="59"/>
    </row>
    <row r="2551" spans="2:13" x14ac:dyDescent="0.3">
      <c r="B2551" s="178"/>
      <c r="C2551" s="41"/>
      <c r="D2551" s="180"/>
      <c r="E2551" s="181"/>
      <c r="F2551" s="113"/>
      <c r="G2551" s="1" t="str">
        <f>IFERROR(IF(ventas_b_mes1255[[#This Row],[CUIT]]="","-",VLOOKUP(ventas_b_mes1255[[#This Row],[CUIT]],Lista_CUIT[#All],2,0)),"CUIT NO CARGADO")</f>
        <v>-</v>
      </c>
      <c r="H2551" s="100">
        <f>ventas_b_mes1255[[#This Row],[TOTAL]]/1.21</f>
        <v>0</v>
      </c>
      <c r="I2551" s="64">
        <f>ventas_b_mes1255[[#This Row],[IMPORTE NETO]]*0.21</f>
        <v>0</v>
      </c>
      <c r="J2551" s="184"/>
      <c r="K2551" s="184"/>
      <c r="L2551" s="184"/>
      <c r="M2551" s="59"/>
    </row>
    <row r="2552" spans="2:13" x14ac:dyDescent="0.3">
      <c r="B2552" s="178"/>
      <c r="C2552" s="41"/>
      <c r="D2552" s="180"/>
      <c r="E2552" s="181"/>
      <c r="F2552" s="113"/>
      <c r="G2552" s="1" t="str">
        <f>IFERROR(IF(ventas_b_mes1255[[#This Row],[CUIT]]="","-",VLOOKUP(ventas_b_mes1255[[#This Row],[CUIT]],Lista_CUIT[#All],2,0)),"CUIT NO CARGADO")</f>
        <v>-</v>
      </c>
      <c r="H2552" s="100">
        <f>ventas_b_mes1255[[#This Row],[TOTAL]]/1.21</f>
        <v>0</v>
      </c>
      <c r="I2552" s="64">
        <f>ventas_b_mes1255[[#This Row],[IMPORTE NETO]]*0.21</f>
        <v>0</v>
      </c>
      <c r="J2552" s="184"/>
      <c r="K2552" s="184"/>
      <c r="L2552" s="184"/>
      <c r="M2552" s="59"/>
    </row>
    <row r="2553" spans="2:13" x14ac:dyDescent="0.3">
      <c r="B2553" s="178"/>
      <c r="C2553" s="41"/>
      <c r="D2553" s="180"/>
      <c r="E2553" s="181"/>
      <c r="F2553" s="113"/>
      <c r="G2553" s="1" t="str">
        <f>IFERROR(IF(ventas_b_mes1255[[#This Row],[CUIT]]="","-",VLOOKUP(ventas_b_mes1255[[#This Row],[CUIT]],Lista_CUIT[#All],2,0)),"CUIT NO CARGADO")</f>
        <v>-</v>
      </c>
      <c r="H2553" s="100">
        <f>ventas_b_mes1255[[#This Row],[TOTAL]]/1.21</f>
        <v>0</v>
      </c>
      <c r="I2553" s="64">
        <f>ventas_b_mes1255[[#This Row],[IMPORTE NETO]]*0.21</f>
        <v>0</v>
      </c>
      <c r="J2553" s="184"/>
      <c r="K2553" s="184"/>
      <c r="L2553" s="184"/>
      <c r="M2553" s="59"/>
    </row>
    <row r="2554" spans="2:13" x14ac:dyDescent="0.3">
      <c r="B2554" s="178"/>
      <c r="C2554" s="41"/>
      <c r="D2554" s="180"/>
      <c r="E2554" s="181"/>
      <c r="F2554" s="113"/>
      <c r="G2554" s="1" t="str">
        <f>IFERROR(IF(ventas_b_mes1255[[#This Row],[CUIT]]="","-",VLOOKUP(ventas_b_mes1255[[#This Row],[CUIT]],Lista_CUIT[#All],2,0)),"CUIT NO CARGADO")</f>
        <v>-</v>
      </c>
      <c r="H2554" s="100">
        <f>ventas_b_mes1255[[#This Row],[TOTAL]]/1.21</f>
        <v>0</v>
      </c>
      <c r="I2554" s="64">
        <f>ventas_b_mes1255[[#This Row],[IMPORTE NETO]]*0.21</f>
        <v>0</v>
      </c>
      <c r="J2554" s="184"/>
      <c r="K2554" s="184"/>
      <c r="L2554" s="184"/>
      <c r="M2554" s="59"/>
    </row>
    <row r="2555" spans="2:13" x14ac:dyDescent="0.3">
      <c r="B2555" s="178"/>
      <c r="C2555" s="41"/>
      <c r="D2555" s="180"/>
      <c r="E2555" s="181"/>
      <c r="F2555" s="113"/>
      <c r="G2555" s="1" t="str">
        <f>IFERROR(IF(ventas_b_mes1255[[#This Row],[CUIT]]="","-",VLOOKUP(ventas_b_mes1255[[#This Row],[CUIT]],Lista_CUIT[#All],2,0)),"CUIT NO CARGADO")</f>
        <v>-</v>
      </c>
      <c r="H2555" s="100">
        <f>ventas_b_mes1255[[#This Row],[TOTAL]]/1.21</f>
        <v>0</v>
      </c>
      <c r="I2555" s="64">
        <f>ventas_b_mes1255[[#This Row],[IMPORTE NETO]]*0.21</f>
        <v>0</v>
      </c>
      <c r="J2555" s="184"/>
      <c r="K2555" s="184"/>
      <c r="L2555" s="184"/>
      <c r="M2555" s="59"/>
    </row>
    <row r="2556" spans="2:13" x14ac:dyDescent="0.3">
      <c r="B2556" s="178"/>
      <c r="C2556" s="41"/>
      <c r="D2556" s="180"/>
      <c r="E2556" s="181"/>
      <c r="F2556" s="113"/>
      <c r="G2556" s="1" t="str">
        <f>IFERROR(IF(ventas_b_mes1255[[#This Row],[CUIT]]="","-",VLOOKUP(ventas_b_mes1255[[#This Row],[CUIT]],Lista_CUIT[#All],2,0)),"CUIT NO CARGADO")</f>
        <v>-</v>
      </c>
      <c r="H2556" s="100">
        <f>ventas_b_mes1255[[#This Row],[TOTAL]]/1.21</f>
        <v>0</v>
      </c>
      <c r="I2556" s="64">
        <f>ventas_b_mes1255[[#This Row],[IMPORTE NETO]]*0.21</f>
        <v>0</v>
      </c>
      <c r="J2556" s="184"/>
      <c r="K2556" s="184"/>
      <c r="L2556" s="184"/>
      <c r="M2556" s="59"/>
    </row>
    <row r="2557" spans="2:13" x14ac:dyDescent="0.3">
      <c r="B2557" s="178"/>
      <c r="C2557" s="41"/>
      <c r="D2557" s="180"/>
      <c r="E2557" s="181"/>
      <c r="F2557" s="113"/>
      <c r="G2557" s="1" t="str">
        <f>IFERROR(IF(ventas_b_mes1255[[#This Row],[CUIT]]="","-",VLOOKUP(ventas_b_mes1255[[#This Row],[CUIT]],Lista_CUIT[#All],2,0)),"CUIT NO CARGADO")</f>
        <v>-</v>
      </c>
      <c r="H2557" s="100">
        <f>ventas_b_mes1255[[#This Row],[TOTAL]]/1.21</f>
        <v>0</v>
      </c>
      <c r="I2557" s="64">
        <f>ventas_b_mes1255[[#This Row],[IMPORTE NETO]]*0.21</f>
        <v>0</v>
      </c>
      <c r="J2557" s="184"/>
      <c r="K2557" s="184"/>
      <c r="L2557" s="184"/>
      <c r="M2557" s="59"/>
    </row>
    <row r="2558" spans="2:13" x14ac:dyDescent="0.3">
      <c r="B2558" s="178"/>
      <c r="C2558" s="41"/>
      <c r="D2558" s="180"/>
      <c r="E2558" s="181"/>
      <c r="F2558" s="182"/>
      <c r="G2558" s="1" t="str">
        <f>IFERROR(IF(ventas_b_mes1255[[#This Row],[CUIT]]="","-",VLOOKUP(ventas_b_mes1255[[#This Row],[CUIT]],Lista_CUIT[#All],2,0)),"CUIT NO CARGADO")</f>
        <v>-</v>
      </c>
      <c r="H2558" s="100">
        <f>ventas_b_mes1255[[#This Row],[TOTAL]]/1.21</f>
        <v>0</v>
      </c>
      <c r="I2558" s="64">
        <f>ventas_b_mes1255[[#This Row],[IMPORTE NETO]]*0.21</f>
        <v>0</v>
      </c>
      <c r="J2558" s="184"/>
      <c r="K2558" s="184"/>
      <c r="L2558" s="184"/>
      <c r="M2558" s="59"/>
    </row>
    <row r="2559" spans="2:13" x14ac:dyDescent="0.3">
      <c r="B2559" s="66" t="s">
        <v>103</v>
      </c>
      <c r="C2559" s="67"/>
      <c r="D2559" s="67"/>
      <c r="E2559" s="67"/>
      <c r="F2559" s="67"/>
      <c r="G2559" s="67"/>
      <c r="H2559" s="77">
        <f>SUBTOTAL(109,ventas_b_mes1255[IMPORTE NETO])</f>
        <v>0</v>
      </c>
      <c r="I2559" s="77">
        <f>SUBTOTAL(109,ventas_b_mes1255[IVA 21%])</f>
        <v>0</v>
      </c>
      <c r="J2559" s="78">
        <f>SUBTOTAL(109,ventas_b_mes1255[IVA 10,5%])</f>
        <v>0</v>
      </c>
      <c r="K2559" s="78">
        <f>SUBTOTAL(109,ventas_b_mes1255[EXENTO])</f>
        <v>0</v>
      </c>
      <c r="L2559" s="78">
        <f>SUBTOTAL(109,ventas_b_mes1255[TOTAL])</f>
        <v>0</v>
      </c>
      <c r="M2559" s="68">
        <f>SUBTOTAL(103,ventas_b_mes1255[Provincia])</f>
        <v>0</v>
      </c>
    </row>
    <row r="2560" spans="2:13" ht="15" thickBot="1" x14ac:dyDescent="0.35">
      <c r="B2560" s="193"/>
      <c r="C2560" s="193"/>
      <c r="D2560" s="193"/>
      <c r="E2560" s="193"/>
      <c r="F2560" s="193"/>
      <c r="G2560" s="193"/>
      <c r="H2560" s="199"/>
      <c r="I2560" s="199"/>
      <c r="J2560" s="200"/>
      <c r="K2560" s="200"/>
      <c r="L2560" s="200"/>
      <c r="M2560" s="194"/>
    </row>
    <row r="2561" spans="3:12" ht="15" thickTop="1" x14ac:dyDescent="0.3">
      <c r="C2561" s="651" t="s">
        <v>66</v>
      </c>
      <c r="D2561" s="651"/>
      <c r="E2561" s="651"/>
      <c r="F2561" s="651"/>
      <c r="G2561" s="651"/>
      <c r="H2561" s="32"/>
      <c r="I2561" s="32"/>
      <c r="J2561" s="32"/>
    </row>
    <row r="2562" spans="3:12" ht="15.6" x14ac:dyDescent="0.3">
      <c r="C2562" s="114" t="s">
        <v>67</v>
      </c>
      <c r="D2562" s="115" t="s">
        <v>68</v>
      </c>
      <c r="E2562" s="115" t="s">
        <v>105</v>
      </c>
      <c r="F2562" s="115" t="s">
        <v>3</v>
      </c>
      <c r="G2562" s="115" t="s">
        <v>4</v>
      </c>
      <c r="H2562" s="116" t="s">
        <v>69</v>
      </c>
      <c r="I2562" s="116" t="s">
        <v>70</v>
      </c>
      <c r="J2562" s="116" t="s">
        <v>71</v>
      </c>
      <c r="K2562" s="116" t="s">
        <v>72</v>
      </c>
      <c r="L2562" s="116" t="s">
        <v>73</v>
      </c>
    </row>
    <row r="2563" spans="3:12" x14ac:dyDescent="0.3">
      <c r="C2563" s="117"/>
      <c r="D2563" s="118"/>
      <c r="E2563" s="118"/>
      <c r="F2563" s="119"/>
      <c r="G2563" s="53" t="str">
        <f>IFERROR(IF(Retenciones_mes1257[[#This Row],[CUIT]]="","-",VLOOKUP(Retenciones_mes1257[[#This Row],[CUIT]],Lista_CUIT[#All],2,0)),"CUIT NO CARGADO")</f>
        <v>-</v>
      </c>
      <c r="H2563" s="120"/>
      <c r="I2563" s="120"/>
      <c r="J2563" s="120"/>
      <c r="K2563" s="120"/>
      <c r="L2563" s="120"/>
    </row>
    <row r="2564" spans="3:12" x14ac:dyDescent="0.3">
      <c r="C2564" s="117"/>
      <c r="D2564" s="118"/>
      <c r="E2564" s="118"/>
      <c r="F2564" s="119"/>
      <c r="G2564" s="53" t="str">
        <f>IFERROR(IF(Retenciones_mes1257[[#This Row],[CUIT]]="","-",VLOOKUP(Retenciones_mes1257[[#This Row],[CUIT]],Lista_CUIT[#All],2,0)),"CUIT NO CARGADO")</f>
        <v>-</v>
      </c>
      <c r="H2564" s="120"/>
      <c r="I2564" s="120"/>
      <c r="J2564" s="120"/>
      <c r="K2564" s="120"/>
      <c r="L2564" s="120"/>
    </row>
    <row r="2565" spans="3:12" x14ac:dyDescent="0.3">
      <c r="C2565" s="117"/>
      <c r="D2565" s="118"/>
      <c r="E2565" s="118"/>
      <c r="F2565" s="119"/>
      <c r="G2565" s="53" t="str">
        <f>IFERROR(IF(Retenciones_mes1257[[#This Row],[CUIT]]="","-",VLOOKUP(Retenciones_mes1257[[#This Row],[CUIT]],Lista_CUIT[#All],2,0)),"CUIT NO CARGADO")</f>
        <v>-</v>
      </c>
      <c r="H2565" s="120"/>
      <c r="I2565" s="120"/>
      <c r="J2565" s="120"/>
      <c r="K2565" s="120"/>
      <c r="L2565" s="120"/>
    </row>
    <row r="2566" spans="3:12" x14ac:dyDescent="0.3">
      <c r="C2566" s="117"/>
      <c r="D2566" s="118"/>
      <c r="E2566" s="118"/>
      <c r="F2566" s="119"/>
      <c r="G2566" s="53" t="str">
        <f>IFERROR(IF(Retenciones_mes1257[[#This Row],[CUIT]]="","-",VLOOKUP(Retenciones_mes1257[[#This Row],[CUIT]],Lista_CUIT[#All],2,0)),"CUIT NO CARGADO")</f>
        <v>-</v>
      </c>
      <c r="H2566" s="120"/>
      <c r="I2566" s="120"/>
      <c r="J2566" s="120"/>
      <c r="K2566" s="120"/>
      <c r="L2566" s="120"/>
    </row>
    <row r="2567" spans="3:12" x14ac:dyDescent="0.3">
      <c r="D2567" s="118"/>
      <c r="E2567" s="118"/>
      <c r="G2567" s="53" t="str">
        <f>IFERROR(IF(Retenciones_mes1257[[#This Row],[CUIT]]="","-",VLOOKUP(Retenciones_mes1257[[#This Row],[CUIT]],Lista_CUIT[#All],2,0)),"CUIT NO CARGADO")</f>
        <v>-</v>
      </c>
    </row>
    <row r="2568" spans="3:12" x14ac:dyDescent="0.3">
      <c r="C2568" s="33"/>
    </row>
  </sheetData>
  <mergeCells count="20">
    <mergeCell ref="C2561:G2561"/>
    <mergeCell ref="B4:E4"/>
    <mergeCell ref="G4:H4"/>
    <mergeCell ref="J4:K4"/>
    <mergeCell ref="M4:N4"/>
    <mergeCell ref="D198:K198"/>
    <mergeCell ref="B243:J243"/>
    <mergeCell ref="K243:M243"/>
    <mergeCell ref="B245:C245"/>
    <mergeCell ref="B436:C436"/>
    <mergeCell ref="P4:R4"/>
    <mergeCell ref="D182:L182"/>
    <mergeCell ref="B1:F1"/>
    <mergeCell ref="G1:M1"/>
    <mergeCell ref="N1:R1"/>
    <mergeCell ref="B3:E3"/>
    <mergeCell ref="G3:H3"/>
    <mergeCell ref="J3:K3"/>
    <mergeCell ref="M3:N3"/>
    <mergeCell ref="P3:R3"/>
  </mergeCells>
  <conditionalFormatting sqref="I200:I237">
    <cfRule type="cellIs" dxfId="1" priority="1" operator="lessThan">
      <formula>0</formula>
    </cfRule>
  </conditionalFormatting>
  <dataValidations count="12">
    <dataValidation type="whole" allowBlank="1" showInputMessage="1" showErrorMessage="1" sqref="C438:C2558" xr:uid="{00000000-0002-0000-0C00-000000000000}">
      <formula1>6</formula1>
      <formula2>8</formula2>
    </dataValidation>
    <dataValidation type="custom" allowBlank="1" showInputMessage="1" showErrorMessage="1" sqref="H438:L2558" xr:uid="{00000000-0002-0000-0C00-000001000000}">
      <formula1>IF($C438=8,H438&lt;0,H438&gt;=0)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:I14 I9:I13 J9:O145 I15:I176" xr:uid="{00000000-0002-0000-0C00-000002000000}">
      <formula1>IF($C9=3,H9&lt;0,H9&gt;=0)</formula1>
    </dataValidation>
    <dataValidation type="custom" allowBlank="1" showInputMessage="1" showErrorMessage="1" sqref="L252:L253" xr:uid="{00000000-0002-0000-0C00-000003000000}">
      <formula1>IF($C177=3,L177&lt;0,L177&gt;=0)</formula1>
    </dataValidation>
    <dataValidation type="whole" allowBlank="1" showInputMessage="1" showErrorMessage="1" sqref="D247:D433 D438:D2558 E200:E237 D9:D145" xr:uid="{00000000-0002-0000-0C00-000004000000}">
      <formula1>1</formula1>
      <formula2>9999</formula2>
    </dataValidation>
    <dataValidation type="whole" allowBlank="1" showInputMessage="1" showErrorMessage="1" sqref="E247:E433 E438:E2558 F200:F237 E9:E145" xr:uid="{00000000-0002-0000-0C00-000005000000}">
      <formula1>1</formula1>
      <formula2>99999999</formula2>
    </dataValidation>
    <dataValidation type="whole" allowBlank="1" showInputMessage="1" showErrorMessage="1" sqref="F247:F433 F14 F438:F2558 G200:G237" xr:uid="{00000000-0002-0000-0C00-000006000000}">
      <formula1>20000000000</formula1>
      <formula2>33999999999</formula2>
    </dataValidation>
    <dataValidation type="date" allowBlank="1" showInputMessage="1" showErrorMessage="1" sqref="B14 B438:B2558 B247:B433 D200:D237 B178:B181 D184:D193" xr:uid="{00000000-0002-0000-0C00-000007000000}">
      <formula1>40179</formula1>
      <formula2>TODAY()</formula2>
    </dataValidation>
    <dataValidation type="whole" allowBlank="1" showInputMessage="1" showErrorMessage="1" sqref="C178:C181 C247:C433 C9:C155" xr:uid="{00000000-0002-0000-0C00-000008000000}">
      <formula1>1</formula1>
      <formula2>3</formula2>
    </dataValidation>
    <dataValidation type="custom" allowBlank="1" showInputMessage="1" showErrorMessage="1" sqref="H247:K247 H249:K249 H251:K251 H253:K253" xr:uid="{00000000-0002-0000-0C00-000009000000}">
      <formula1>IF($C247=3,H247&lt;0,H247&gt;=0)</formula1>
    </dataValidation>
    <dataValidation type="custom" allowBlank="1" showInputMessage="1" showErrorMessage="1" sqref="L247:L248" xr:uid="{00000000-0002-0000-0C00-00000A000000}">
      <formula1>IF($C9=3,L9&lt;0,L9&gt;=0)</formula1>
    </dataValidation>
    <dataValidation type="custom" allowBlank="1" showInputMessage="1" showErrorMessage="1" sqref="L249:L251" xr:uid="{00000000-0002-0000-0C00-00000B000000}">
      <formula1>IF($C12=3,L12&lt;0,L12&gt;=0)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tabColor theme="9" tint="0.79998168889431442"/>
    <pageSetUpPr fitToPage="1"/>
  </sheetPr>
  <dimension ref="A1:Z282"/>
  <sheetViews>
    <sheetView showGridLines="0" topLeftCell="G202" zoomScale="80" zoomScaleNormal="80" workbookViewId="0">
      <selection activeCell="K203" sqref="K203:K208"/>
    </sheetView>
  </sheetViews>
  <sheetFormatPr baseColWidth="10" defaultColWidth="0" defaultRowHeight="14.4" x14ac:dyDescent="0.3"/>
  <cols>
    <col min="1" max="1" width="0.6640625" customWidth="1"/>
    <col min="2" max="2" width="8.88671875" customWidth="1"/>
    <col min="3" max="3" width="7.5546875" customWidth="1"/>
    <col min="4" max="4" width="9.88671875" customWidth="1"/>
    <col min="5" max="5" width="13.44140625" customWidth="1"/>
    <col min="6" max="6" width="20.33203125" customWidth="1"/>
    <col min="7" max="7" width="27.44140625" customWidth="1"/>
    <col min="8" max="8" width="22.5546875" customWidth="1"/>
    <col min="9" max="9" width="18.33203125" customWidth="1"/>
    <col min="10" max="10" width="17.6640625" customWidth="1"/>
    <col min="11" max="11" width="18.44140625" customWidth="1"/>
    <col min="12" max="12" width="18.33203125" bestFit="1" customWidth="1"/>
    <col min="13" max="13" width="15.109375" customWidth="1"/>
    <col min="14" max="14" width="18.88671875" bestFit="1" customWidth="1"/>
    <col min="15" max="15" width="18.5546875" customWidth="1"/>
    <col min="16" max="16" width="17" customWidth="1"/>
    <col min="17" max="17" width="20.1093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655" t="s">
        <v>28</v>
      </c>
      <c r="C1" s="655"/>
      <c r="D1" s="655"/>
      <c r="E1" s="655"/>
      <c r="F1" s="655"/>
      <c r="G1" s="656" t="str">
        <f>'Ene-23'!G1:M1</f>
        <v>EUROARGENTINA</v>
      </c>
      <c r="H1" s="656"/>
      <c r="I1" s="656"/>
      <c r="J1" s="656"/>
      <c r="K1" s="656"/>
      <c r="L1" s="656"/>
      <c r="M1" s="656"/>
      <c r="N1" s="652">
        <f>EDATE('Ene-23'!N1,11)</f>
        <v>45261</v>
      </c>
      <c r="O1" s="652"/>
      <c r="P1" s="652"/>
      <c r="Q1" s="652"/>
      <c r="R1" s="652"/>
    </row>
    <row r="2" spans="1:26" ht="15" customHeight="1" x14ac:dyDescent="0.3"/>
    <row r="3" spans="1:26" ht="26.4" customHeight="1" x14ac:dyDescent="0.3">
      <c r="B3" s="658" t="s">
        <v>65</v>
      </c>
      <c r="C3" s="658"/>
      <c r="D3" s="658"/>
      <c r="E3" s="658"/>
      <c r="F3" s="38"/>
      <c r="G3" s="658" t="s">
        <v>37</v>
      </c>
      <c r="H3" s="658"/>
      <c r="I3" s="38"/>
      <c r="J3" s="650" t="s">
        <v>14</v>
      </c>
      <c r="K3" s="650"/>
      <c r="L3" s="38"/>
      <c r="M3" s="650" t="s">
        <v>12</v>
      </c>
      <c r="N3" s="650"/>
      <c r="O3" s="38"/>
      <c r="P3" s="664" t="s">
        <v>102</v>
      </c>
      <c r="Q3" s="664"/>
      <c r="R3" s="664"/>
    </row>
    <row r="4" spans="1:26" ht="25.2" customHeight="1" x14ac:dyDescent="0.4">
      <c r="B4" s="659">
        <f>SUM(compras_mes12[[#Totals],[NETO GRAVADO]])+extracto_banco_mes12[[#Totals],[NETO]]</f>
        <v>77311630.990000054</v>
      </c>
      <c r="C4" s="659"/>
      <c r="D4" s="659"/>
      <c r="E4" s="659"/>
      <c r="F4" s="39"/>
      <c r="G4" s="660">
        <f>compras_mes12[[#Totals],[IVA 21 %]]+compras_mes12[[#Totals],[IVA 27%]]+compras_mes12[[#Totals],[IVA 10,5%]]+extracto_banco_mes12[[#Totals],[IVA 21%]]+extracto_banco_mes12[[#Totals],[IVA 10,5%]]</f>
        <v>16051980.915299997</v>
      </c>
      <c r="H4" s="660"/>
      <c r="I4" s="39"/>
      <c r="J4" s="649">
        <f>venta_a_mes12[[#Totals],[IMPORTE NETO]]+ventas_b_mes12[[#Totals],[IMPORTE NETO]]</f>
        <v>0</v>
      </c>
      <c r="K4" s="649"/>
      <c r="L4" s="39"/>
      <c r="M4" s="649">
        <f>venta_a_mes12[[#Totals],[IVA 21%]]+venta_a_mes12[[#Totals],[IVA 10,5%]]+ventas_b_mes12[[#Totals],[IVA 21%]]+ventas_b_mes12[[#Totals],[IVA 10,5%]]</f>
        <v>0</v>
      </c>
      <c r="N4" s="649"/>
      <c r="O4" s="39"/>
      <c r="P4" s="662">
        <f>G4-M4</f>
        <v>16051980.915299997</v>
      </c>
      <c r="Q4" s="663"/>
      <c r="R4" s="66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45261</v>
      </c>
      <c r="C9" s="41">
        <v>1</v>
      </c>
      <c r="D9" s="42">
        <v>6</v>
      </c>
      <c r="E9" s="43">
        <v>2915</v>
      </c>
      <c r="F9" s="44">
        <v>30574603788</v>
      </c>
      <c r="G9" s="45" t="str">
        <f>IFERROR(IF(compras_mes12[[#This Row],[CUIT]]="","-",VLOOKUP(compras_mes12[[#This Row],[CUIT]],Lista_CUIT[#All],2,0)),"CUIT NO CARGADO")</f>
        <v>CODAC SRL</v>
      </c>
      <c r="H9" s="46">
        <v>6384830</v>
      </c>
      <c r="I9" s="85">
        <f>IF(compras_mes12[[#This Row],[NETO GRAVADO]]="","",compras_mes12[[#This Row],[NETO GRAVADO]]*0.21)</f>
        <v>1340814.3</v>
      </c>
      <c r="J9" s="85"/>
      <c r="K9" s="85"/>
      <c r="L9" s="85"/>
      <c r="M9" s="85"/>
      <c r="N9" s="85"/>
      <c r="O9" s="85"/>
      <c r="P9" s="48">
        <f>SUM(compras_mes12[[#This Row],[NETO GRAVADO]:[Otros / No Grav.]])</f>
        <v>7725644.2999999998</v>
      </c>
      <c r="Q9" s="49" t="str">
        <f>IFERROR(IF(compras_mes12[[#This Row],[CUIT]]="","-",VLOOKUP(compras_mes12[[#This Row],[CUIT]],Lista_CUIT[#All],3,0)),"CUIT NO CARGADO")</f>
        <v>GASTOS COSMETICA</v>
      </c>
      <c r="R9" s="49" t="str">
        <f>IFERROR(IF(compras_mes12[[#This Row],[CUIT]]="","-",VLOOKUP(compras_mes12[[#This Row],[CUIT]],Lista_CUIT[#All],4,0)),"CUIT NO CARGADO")</f>
        <v>BUENOS AIRES</v>
      </c>
    </row>
    <row r="10" spans="1:26" x14ac:dyDescent="0.3">
      <c r="B10" s="40">
        <v>45261</v>
      </c>
      <c r="C10" s="41">
        <v>1</v>
      </c>
      <c r="D10" s="42">
        <v>9</v>
      </c>
      <c r="E10" s="43">
        <v>813</v>
      </c>
      <c r="F10" s="44">
        <v>30710446047</v>
      </c>
      <c r="G10" s="45" t="str">
        <f>IFERROR(IF(compras_mes12[[#This Row],[CUIT]]="","-",VLOOKUP(compras_mes12[[#This Row],[CUIT]],Lista_CUIT[#All],2,0)),"CUIT NO CARGADO")</f>
        <v>ENSAMBLE GRAFICO S.H.</v>
      </c>
      <c r="H10" s="46">
        <v>1721360</v>
      </c>
      <c r="I10" s="85">
        <f>IF(compras_mes12[[#This Row],[NETO GRAVADO]]="","",compras_mes12[[#This Row],[NETO GRAVADO]]*0.21)</f>
        <v>361485.6</v>
      </c>
      <c r="J10" s="85"/>
      <c r="K10" s="85"/>
      <c r="L10" s="85"/>
      <c r="M10" s="85"/>
      <c r="N10" s="85"/>
      <c r="O10" s="85"/>
      <c r="P10" s="48">
        <f>SUM(compras_mes12[[#This Row],[NETO GRAVADO]:[Otros / No Grav.]])</f>
        <v>2082845.6</v>
      </c>
      <c r="Q10" s="49">
        <f>IFERROR(IF(compras_mes12[[#This Row],[CUIT]]="","-",VLOOKUP(compras_mes12[[#This Row],[CUIT]],Lista_CUIT[#All],3,0)),"CUIT NO CARGADO")</f>
        <v>0</v>
      </c>
      <c r="R10" s="49">
        <f>IFERROR(IF(compras_mes12[[#This Row],[CUIT]]="","-",VLOOKUP(compras_mes12[[#This Row],[CUIT]],Lista_CUIT[#All],4,0)),"CUIT NO CARGADO")</f>
        <v>0</v>
      </c>
    </row>
    <row r="11" spans="1:26" x14ac:dyDescent="0.3">
      <c r="B11" s="40">
        <v>45261</v>
      </c>
      <c r="C11" s="41">
        <v>1</v>
      </c>
      <c r="D11" s="42">
        <v>9</v>
      </c>
      <c r="E11" s="43">
        <v>426</v>
      </c>
      <c r="F11" s="44">
        <v>20134664518</v>
      </c>
      <c r="G11" s="45" t="str">
        <f>IFERROR(IF(compras_mes12[[#This Row],[CUIT]]="","-",VLOOKUP(compras_mes12[[#This Row],[CUIT]],Lista_CUIT[#All],2,0)),"CUIT NO CARGADO")</f>
        <v>HOKAMA SERGIO ENRIQUE</v>
      </c>
      <c r="H11" s="46">
        <v>7920.04</v>
      </c>
      <c r="I11" s="85">
        <f>IF(compras_mes12[[#This Row],[NETO GRAVADO]]="","",compras_mes12[[#This Row],[NETO GRAVADO]]*0.21)</f>
        <v>1663.2084</v>
      </c>
      <c r="J11" s="85"/>
      <c r="K11" s="85"/>
      <c r="L11" s="85"/>
      <c r="M11" s="85"/>
      <c r="N11" s="85"/>
      <c r="O11" s="85"/>
      <c r="P11" s="48">
        <f>SUM(compras_mes12[[#This Row],[NETO GRAVADO]:[Otros / No Grav.]])</f>
        <v>9583.2484000000004</v>
      </c>
      <c r="Q11" s="49" t="str">
        <f>IFERROR(IF(compras_mes12[[#This Row],[CUIT]]="","-",VLOOKUP(compras_mes12[[#This Row],[CUIT]],Lista_CUIT[#All],3,0)),"CUIT NO CARGADO")</f>
        <v>Gastos Varios</v>
      </c>
      <c r="R11" s="49" t="str">
        <f>IFERROR(IF(compras_mes12[[#This Row],[CUIT]]="","-",VLOOKUP(compras_mes12[[#This Row],[CUIT]],Lista_CUIT[#All],4,0)),"CUIT NO CARGADO")</f>
        <v>BUENOS AIRES</v>
      </c>
    </row>
    <row r="12" spans="1:26" x14ac:dyDescent="0.3">
      <c r="B12" s="608">
        <v>45261</v>
      </c>
      <c r="C12" s="609">
        <v>1</v>
      </c>
      <c r="D12" s="610">
        <v>3</v>
      </c>
      <c r="E12" s="611">
        <v>1520</v>
      </c>
      <c r="F12" s="612">
        <v>30715168673</v>
      </c>
      <c r="G12" s="552" t="str">
        <f>IFERROR(IF(compras_mes12[[#This Row],[CUIT]]="","-",VLOOKUP(compras_mes12[[#This Row],[CUIT]],Lista_CUIT[#All],2,0)),"CUIT NO CARGADO")</f>
        <v>BL8 SOLUCIONES</v>
      </c>
      <c r="H12" s="548">
        <v>43668.74</v>
      </c>
      <c r="I12" s="528">
        <f>IF(compras_mes12[[#This Row],[NETO GRAVADO]]="","",compras_mes12[[#This Row],[NETO GRAVADO]]*0.21)</f>
        <v>9170.4353999999985</v>
      </c>
      <c r="J12" s="528"/>
      <c r="K12" s="528"/>
      <c r="L12" s="528"/>
      <c r="M12" s="528"/>
      <c r="N12" s="528"/>
      <c r="O12" s="528"/>
      <c r="P12" s="529">
        <f>SUM(compras_mes12[[#This Row],[NETO GRAVADO]:[Otros / No Grav.]])</f>
        <v>52839.175399999993</v>
      </c>
      <c r="Q12" s="553">
        <f>IFERROR(IF(compras_mes12[[#This Row],[CUIT]]="","-",VLOOKUP(compras_mes12[[#This Row],[CUIT]],Lista_CUIT[#All],3,0)),"CUIT NO CARGADO")</f>
        <v>0</v>
      </c>
      <c r="R12" s="553">
        <f>IFERROR(IF(compras_mes12[[#This Row],[CUIT]]="","-",VLOOKUP(compras_mes12[[#This Row],[CUIT]],Lista_CUIT[#All],4,0)),"CUIT NO CARGADO")</f>
        <v>0</v>
      </c>
    </row>
    <row r="13" spans="1:26" x14ac:dyDescent="0.3">
      <c r="B13" s="608">
        <v>45261</v>
      </c>
      <c r="C13" s="609">
        <v>1</v>
      </c>
      <c r="D13" s="610">
        <v>3</v>
      </c>
      <c r="E13" s="611">
        <v>1521</v>
      </c>
      <c r="F13" s="612">
        <v>30715168673</v>
      </c>
      <c r="G13" s="552" t="str">
        <f>IFERROR(IF(compras_mes12[[#This Row],[CUIT]]="","-",VLOOKUP(compras_mes12[[#This Row],[CUIT]],Lista_CUIT[#All],2,0)),"CUIT NO CARGADO")</f>
        <v>BL8 SOLUCIONES</v>
      </c>
      <c r="H13" s="548">
        <v>43668.74</v>
      </c>
      <c r="I13" s="528">
        <f>IF(compras_mes12[[#This Row],[NETO GRAVADO]]="","",compras_mes12[[#This Row],[NETO GRAVADO]]*0.21)</f>
        <v>9170.4353999999985</v>
      </c>
      <c r="J13" s="528"/>
      <c r="K13" s="528"/>
      <c r="L13" s="528"/>
      <c r="M13" s="528"/>
      <c r="N13" s="528"/>
      <c r="O13" s="528"/>
      <c r="P13" s="529">
        <f>SUM(compras_mes12[[#This Row],[NETO GRAVADO]:[Otros / No Grav.]])</f>
        <v>52839.175399999993</v>
      </c>
      <c r="Q13" s="553">
        <f>IFERROR(IF(compras_mes12[[#This Row],[CUIT]]="","-",VLOOKUP(compras_mes12[[#This Row],[CUIT]],Lista_CUIT[#All],3,0)),"CUIT NO CARGADO")</f>
        <v>0</v>
      </c>
      <c r="R13" s="553">
        <f>IFERROR(IF(compras_mes12[[#This Row],[CUIT]]="","-",VLOOKUP(compras_mes12[[#This Row],[CUIT]],Lista_CUIT[#All],4,0)),"CUIT NO CARGADO")</f>
        <v>0</v>
      </c>
    </row>
    <row r="14" spans="1:26" s="56" customFormat="1" ht="18.600000000000001" customHeight="1" x14ac:dyDescent="0.3">
      <c r="B14" s="608">
        <v>45261</v>
      </c>
      <c r="C14" s="609">
        <v>1</v>
      </c>
      <c r="D14" s="610">
        <v>3</v>
      </c>
      <c r="E14" s="611">
        <v>51</v>
      </c>
      <c r="F14" s="612">
        <v>30716426196</v>
      </c>
      <c r="G14" s="552" t="str">
        <f>IFERROR(IF(compras_mes12[[#This Row],[CUIT]]="","-",VLOOKUP(compras_mes12[[#This Row],[CUIT]],Lista_CUIT[#All],2,0)),"CUIT NO CARGADO")</f>
        <v>ROPERIA S.A.S.</v>
      </c>
      <c r="H14" s="548">
        <v>31356</v>
      </c>
      <c r="I14" s="528">
        <f>IF(compras_mes12[[#This Row],[NETO GRAVADO]]="","",compras_mes12[[#This Row],[NETO GRAVADO]]*0.21)</f>
        <v>6584.7599999999993</v>
      </c>
      <c r="J14" s="528"/>
      <c r="K14" s="528"/>
      <c r="L14" s="528"/>
      <c r="M14" s="528"/>
      <c r="N14" s="528"/>
      <c r="O14" s="528"/>
      <c r="P14" s="529">
        <f>SUM(compras_mes12[[#This Row],[NETO GRAVADO]:[Otros / No Grav.]])</f>
        <v>37940.76</v>
      </c>
      <c r="Q14" s="553">
        <f>IFERROR(IF(compras_mes12[[#This Row],[CUIT]]="","-",VLOOKUP(compras_mes12[[#This Row],[CUIT]],Lista_CUIT[#All],3,0)),"CUIT NO CARGADO")</f>
        <v>0</v>
      </c>
      <c r="R14" s="553">
        <f>IFERROR(IF(compras_mes12[[#This Row],[CUIT]]="","-",VLOOKUP(compras_mes12[[#This Row],[CUIT]],Lista_CUIT[#All],4,0)),"CUIT NO CARGADO")</f>
        <v>0</v>
      </c>
    </row>
    <row r="15" spans="1:26" x14ac:dyDescent="0.3">
      <c r="B15" s="221">
        <v>45261</v>
      </c>
      <c r="C15" s="41">
        <v>1</v>
      </c>
      <c r="D15" s="222">
        <v>1</v>
      </c>
      <c r="E15" s="223">
        <v>447</v>
      </c>
      <c r="F15" s="44">
        <v>20131206144</v>
      </c>
      <c r="G15" s="224" t="str">
        <f>IFERROR(IF(compras_mes12[[#This Row],[CUIT]]="","-",VLOOKUP(compras_mes12[[#This Row],[CUIT]],Lista_CUIT[#All],2,0)),"CUIT NO CARGADO")</f>
        <v>CHAMORRO MANUEL</v>
      </c>
      <c r="H15" s="225">
        <v>300000</v>
      </c>
      <c r="I15" s="85">
        <f>IF(compras_mes12[[#This Row],[NETO GRAVADO]]="","",compras_mes12[[#This Row],[NETO GRAVADO]]*0.21)</f>
        <v>63000</v>
      </c>
      <c r="J15" s="226"/>
      <c r="K15" s="226"/>
      <c r="L15" s="226"/>
      <c r="M15" s="226"/>
      <c r="N15" s="226"/>
      <c r="O15" s="226"/>
      <c r="P15" s="227">
        <f>SUM(compras_mes12[[#This Row],[NETO GRAVADO]:[Otros / No Grav.]])</f>
        <v>363000</v>
      </c>
      <c r="Q15" s="228" t="str">
        <f>IFERROR(IF(compras_mes12[[#This Row],[CUIT]]="","-",VLOOKUP(compras_mes12[[#This Row],[CUIT]],Lista_CUIT[#All],3,0)),"CUIT NO CARGADO")</f>
        <v>Alquiler</v>
      </c>
      <c r="R15" s="228">
        <f>IFERROR(IF(compras_mes12[[#This Row],[CUIT]]="","-",VLOOKUP(compras_mes12[[#This Row],[CUIT]],Lista_CUIT[#All],4,0)),"CUIT NO CARGADO")</f>
        <v>0</v>
      </c>
    </row>
    <row r="16" spans="1:26" x14ac:dyDescent="0.3">
      <c r="B16" s="40">
        <v>45261</v>
      </c>
      <c r="C16" s="41">
        <v>1</v>
      </c>
      <c r="D16" s="42">
        <v>1</v>
      </c>
      <c r="E16" s="43">
        <v>100</v>
      </c>
      <c r="F16" s="44">
        <v>30716010313</v>
      </c>
      <c r="G16" s="45" t="str">
        <f>IFERROR(IF(compras_mes12[[#This Row],[CUIT]]="","-",VLOOKUP(compras_mes12[[#This Row],[CUIT]],Lista_CUIT[#All],2,0)),"CUIT NO CARGADO")</f>
        <v>H UNO 1469 S.A.</v>
      </c>
      <c r="H16" s="46">
        <v>46000</v>
      </c>
      <c r="I16" s="85">
        <f>IF(compras_mes12[[#This Row],[NETO GRAVADO]]="","",compras_mes12[[#This Row],[NETO GRAVADO]]*0.21)</f>
        <v>9660</v>
      </c>
      <c r="J16" s="85"/>
      <c r="K16" s="85"/>
      <c r="L16" s="85"/>
      <c r="M16" s="85"/>
      <c r="N16" s="85"/>
      <c r="O16" s="85"/>
      <c r="P16" s="48">
        <f>SUM(compras_mes12[[#This Row],[NETO GRAVADO]:[Otros / No Grav.]])</f>
        <v>55660</v>
      </c>
      <c r="Q16" s="49" t="str">
        <f>IFERROR(IF(compras_mes12[[#This Row],[CUIT]]="","-",VLOOKUP(compras_mes12[[#This Row],[CUIT]],Lista_CUIT[#All],3,0)),"CUIT NO CARGADO")</f>
        <v>Alquiler</v>
      </c>
      <c r="R16" s="49">
        <f>IFERROR(IF(compras_mes12[[#This Row],[CUIT]]="","-",VLOOKUP(compras_mes12[[#This Row],[CUIT]],Lista_CUIT[#All],4,0)),"CUIT NO CARGADO")</f>
        <v>0</v>
      </c>
    </row>
    <row r="17" spans="2:18" ht="14.4" customHeight="1" x14ac:dyDescent="0.3">
      <c r="B17" s="40">
        <v>45261</v>
      </c>
      <c r="C17" s="41">
        <v>1</v>
      </c>
      <c r="D17" s="42">
        <v>2</v>
      </c>
      <c r="E17" s="43">
        <v>3527</v>
      </c>
      <c r="F17" s="44">
        <v>30629863571</v>
      </c>
      <c r="G17" s="45" t="str">
        <f>IFERROR(IF(compras_mes12[[#This Row],[CUIT]]="","-",VLOOKUP(compras_mes12[[#This Row],[CUIT]],Lista_CUIT[#All],2,0)),"CUIT NO CARGADO")</f>
        <v>TECNIMAR S R L</v>
      </c>
      <c r="H17" s="46">
        <v>2802290.38</v>
      </c>
      <c r="I17" s="85">
        <f>IF(compras_mes12[[#This Row],[NETO GRAVADO]]="","",compras_mes12[[#This Row],[NETO GRAVADO]]*0.21)</f>
        <v>588480.97979999997</v>
      </c>
      <c r="J17" s="85"/>
      <c r="K17" s="85"/>
      <c r="L17" s="85"/>
      <c r="M17" s="85"/>
      <c r="N17" s="85"/>
      <c r="O17" s="85"/>
      <c r="P17" s="48">
        <f>SUM(compras_mes12[[#This Row],[NETO GRAVADO]:[Otros / No Grav.]])</f>
        <v>3390771.3597999997</v>
      </c>
      <c r="Q17" s="49" t="str">
        <f>IFERROR(IF(compras_mes12[[#This Row],[CUIT]]="","-",VLOOKUP(compras_mes12[[#This Row],[CUIT]],Lista_CUIT[#All],3,0)),"CUIT NO CARGADO")</f>
        <v>LABORATORIO</v>
      </c>
      <c r="R17" s="49">
        <f>IFERROR(IF(compras_mes12[[#This Row],[CUIT]]="","-",VLOOKUP(compras_mes12[[#This Row],[CUIT]],Lista_CUIT[#All],4,0)),"CUIT NO CARGADO")</f>
        <v>0</v>
      </c>
    </row>
    <row r="18" spans="2:18" x14ac:dyDescent="0.3">
      <c r="B18" s="249">
        <v>45262</v>
      </c>
      <c r="C18" s="250">
        <v>1</v>
      </c>
      <c r="D18" s="251">
        <v>12</v>
      </c>
      <c r="E18" s="252">
        <v>38460</v>
      </c>
      <c r="F18" s="253">
        <v>30696131003</v>
      </c>
      <c r="G18" s="254" t="str">
        <f>IFERROR(IF(compras_mes12[[#This Row],[CUIT]]="","-",VLOOKUP(compras_mes12[[#This Row],[CUIT]],Lista_CUIT[#All],2,0)),"CUIT NO CARGADO")</f>
        <v>Petrolfe S.A.</v>
      </c>
      <c r="H18" s="255">
        <v>72488.08</v>
      </c>
      <c r="I18" s="256">
        <f>IF(compras_mes12[[#This Row],[NETO GRAVADO]]="","",compras_mes12[[#This Row],[NETO GRAVADO]]*0.21)</f>
        <v>15222.496799999999</v>
      </c>
      <c r="J18" s="256"/>
      <c r="K18" s="256"/>
      <c r="L18" s="256"/>
      <c r="M18" s="256"/>
      <c r="N18" s="256"/>
      <c r="O18" s="256">
        <v>6230.62</v>
      </c>
      <c r="P18" s="257">
        <f>SUM(compras_mes12[[#This Row],[NETO GRAVADO]:[Otros / No Grav.]])</f>
        <v>93941.196799999991</v>
      </c>
      <c r="Q18" s="258" t="str">
        <f>IFERROR(IF(compras_mes12[[#This Row],[CUIT]]="","-",VLOOKUP(compras_mes12[[#This Row],[CUIT]],Lista_CUIT[#All],3,0)),"CUIT NO CARGADO")</f>
        <v>Combustible</v>
      </c>
      <c r="R18" s="258">
        <f>IFERROR(IF(compras_mes12[[#This Row],[CUIT]]="","-",VLOOKUP(compras_mes12[[#This Row],[CUIT]],Lista_CUIT[#All],4,0)),"CUIT NO CARGADO")</f>
        <v>0</v>
      </c>
    </row>
    <row r="19" spans="2:18" x14ac:dyDescent="0.3">
      <c r="B19" s="608">
        <v>45263</v>
      </c>
      <c r="C19" s="609">
        <v>1</v>
      </c>
      <c r="D19" s="610">
        <v>711</v>
      </c>
      <c r="E19" s="611">
        <v>5068835</v>
      </c>
      <c r="F19" s="612">
        <v>30677237119</v>
      </c>
      <c r="G19" s="552" t="str">
        <f>IFERROR(IF(compras_mes12[[#This Row],[CUIT]]="","-",VLOOKUP(compras_mes12[[#This Row],[CUIT]],Lista_CUIT[#All],2,0)),"CUIT NO CARGADO")</f>
        <v>AUTOPISTAS DEL SOL S A</v>
      </c>
      <c r="H19" s="548">
        <v>3119.88</v>
      </c>
      <c r="I19" s="528">
        <f>IF(compras_mes12[[#This Row],[NETO GRAVADO]]="","",compras_mes12[[#This Row],[NETO GRAVADO]]*0.21)</f>
        <v>655.1748</v>
      </c>
      <c r="J19" s="528"/>
      <c r="K19" s="528"/>
      <c r="L19" s="528"/>
      <c r="M19" s="528"/>
      <c r="N19" s="528"/>
      <c r="O19" s="528">
        <v>93.6</v>
      </c>
      <c r="P19" s="257">
        <f>SUM(compras_mes12[[#This Row],[NETO GRAVADO]:[Otros / No Grav.]])</f>
        <v>3868.6547999999998</v>
      </c>
      <c r="Q19" s="553">
        <f>IFERROR(IF(compras_mes12[[#This Row],[CUIT]]="","-",VLOOKUP(compras_mes12[[#This Row],[CUIT]],Lista_CUIT[#All],3,0)),"CUIT NO CARGADO")</f>
        <v>0</v>
      </c>
      <c r="R19" s="553">
        <f>IFERROR(IF(compras_mes12[[#This Row],[CUIT]]="","-",VLOOKUP(compras_mes12[[#This Row],[CUIT]],Lista_CUIT[#All],4,0)),"CUIT NO CARGADO")</f>
        <v>0</v>
      </c>
    </row>
    <row r="20" spans="2:18" ht="14.4" customHeight="1" x14ac:dyDescent="0.3">
      <c r="B20" s="608">
        <v>45263</v>
      </c>
      <c r="C20" s="609">
        <v>1</v>
      </c>
      <c r="D20" s="610">
        <v>943</v>
      </c>
      <c r="E20" s="611">
        <v>1685024</v>
      </c>
      <c r="F20" s="612">
        <v>30639453975</v>
      </c>
      <c r="G20" s="552" t="str">
        <f>IFERROR(IF(compras_mes12[[#This Row],[CUIT]]="","-",VLOOKUP(compras_mes12[[#This Row],[CUIT]],Lista_CUIT[#All],2,0)),"CUIT NO CARGADO")</f>
        <v>TELEFONICA DE ARG S.A.</v>
      </c>
      <c r="H20" s="548">
        <v>35900.6</v>
      </c>
      <c r="I20" s="528"/>
      <c r="J20" s="528">
        <f>compras_mes12[[#This Row],[NETO GRAVADO]]*0.27</f>
        <v>9693.1620000000003</v>
      </c>
      <c r="K20" s="528"/>
      <c r="L20" s="528">
        <v>1077.02</v>
      </c>
      <c r="M20" s="528"/>
      <c r="N20" s="528">
        <v>2154.04</v>
      </c>
      <c r="O20" s="528"/>
      <c r="P20" s="257">
        <f>SUM(compras_mes12[[#This Row],[NETO GRAVADO]:[Otros / No Grav.]])</f>
        <v>48824.822</v>
      </c>
      <c r="Q20" s="553" t="str">
        <f>IFERROR(IF(compras_mes12[[#This Row],[CUIT]]="","-",VLOOKUP(compras_mes12[[#This Row],[CUIT]],Lista_CUIT[#All],3,0)),"CUIT NO CARGADO")</f>
        <v>Servicios Gas, Luz, etc.</v>
      </c>
      <c r="R20" s="553">
        <f>IFERROR(IF(compras_mes12[[#This Row],[CUIT]]="","-",VLOOKUP(compras_mes12[[#This Row],[CUIT]],Lista_CUIT[#All],4,0)),"CUIT NO CARGADO")</f>
        <v>0</v>
      </c>
    </row>
    <row r="21" spans="2:18" ht="14.4" customHeight="1" x14ac:dyDescent="0.3">
      <c r="B21" s="619">
        <v>45263</v>
      </c>
      <c r="C21" s="609">
        <v>1</v>
      </c>
      <c r="D21" s="620">
        <v>629</v>
      </c>
      <c r="E21" s="621">
        <v>4701995</v>
      </c>
      <c r="F21" s="622">
        <v>30663498513</v>
      </c>
      <c r="G21" s="623" t="str">
        <f>IFERROR(IF(compras_mes12[[#This Row],[CUIT]]="","-",VLOOKUP(compras_mes12[[#This Row],[CUIT]],Lista_CUIT[#All],2,0)),"CUIT NO CARGADO")</f>
        <v>GRUPO CONCES. DEL OESTE SA</v>
      </c>
      <c r="H21" s="624">
        <v>4462.8599999999997</v>
      </c>
      <c r="I21" s="528">
        <f>IF(compras_mes12[[#This Row],[NETO GRAVADO]]="","",compras_mes12[[#This Row],[NETO GRAVADO]]*0.21)</f>
        <v>937.20059999999989</v>
      </c>
      <c r="J21" s="625"/>
      <c r="K21" s="625"/>
      <c r="L21" s="625"/>
      <c r="M21" s="625"/>
      <c r="N21" s="625"/>
      <c r="O21" s="625"/>
      <c r="P21" s="626">
        <f>SUM(compras_mes12[[#This Row],[NETO GRAVADO]:[Otros / No Grav.]])</f>
        <v>5400.0605999999998</v>
      </c>
      <c r="Q21" s="627">
        <f>IFERROR(IF(compras_mes12[[#This Row],[CUIT]]="","-",VLOOKUP(compras_mes12[[#This Row],[CUIT]],Lista_CUIT[#All],3,0)),"CUIT NO CARGADO")</f>
        <v>0</v>
      </c>
      <c r="R21" s="627">
        <f>IFERROR(IF(compras_mes12[[#This Row],[CUIT]]="","-",VLOOKUP(compras_mes12[[#This Row],[CUIT]],Lista_CUIT[#All],4,0)),"CUIT NO CARGADO")</f>
        <v>0</v>
      </c>
    </row>
    <row r="22" spans="2:18" ht="15" customHeight="1" x14ac:dyDescent="0.3">
      <c r="B22" s="608">
        <v>45264</v>
      </c>
      <c r="C22" s="609">
        <v>1</v>
      </c>
      <c r="D22" s="610">
        <v>5014</v>
      </c>
      <c r="E22" s="611">
        <v>539154</v>
      </c>
      <c r="F22" s="612">
        <v>30574876474</v>
      </c>
      <c r="G22" s="552" t="str">
        <f>IFERROR(IF(compras_mes12[[#This Row],[CUIT]]="","-",VLOOKUP(compras_mes12[[#This Row],[CUIT]],Lista_CUIT[#All],2,0)),"CUIT NO CARGADO")</f>
        <v>AUTOPISTAS URBANAS S A</v>
      </c>
      <c r="H22" s="548">
        <v>24819.35</v>
      </c>
      <c r="I22" s="528">
        <f>IF(compras_mes12[[#This Row],[NETO GRAVADO]]="","",compras_mes12[[#This Row],[NETO GRAVADO]]*0.21)</f>
        <v>5212.0634999999993</v>
      </c>
      <c r="J22" s="528"/>
      <c r="K22" s="528"/>
      <c r="L22" s="528"/>
      <c r="M22" s="528"/>
      <c r="N22" s="528"/>
      <c r="O22" s="528">
        <v>3226.41</v>
      </c>
      <c r="P22" s="257">
        <f>SUM(compras_mes12[[#This Row],[NETO GRAVADO]:[Otros / No Grav.]])</f>
        <v>33257.823499999999</v>
      </c>
      <c r="Q22" s="553">
        <f>IFERROR(IF(compras_mes12[[#This Row],[CUIT]]="","-",VLOOKUP(compras_mes12[[#This Row],[CUIT]],Lista_CUIT[#All],3,0)),"CUIT NO CARGADO")</f>
        <v>0</v>
      </c>
      <c r="R22" s="553">
        <f>IFERROR(IF(compras_mes12[[#This Row],[CUIT]]="","-",VLOOKUP(compras_mes12[[#This Row],[CUIT]],Lista_CUIT[#All],4,0)),"CUIT NO CARGADO")</f>
        <v>0</v>
      </c>
    </row>
    <row r="23" spans="2:18" ht="15" customHeight="1" x14ac:dyDescent="0.3">
      <c r="B23" s="608">
        <v>45264</v>
      </c>
      <c r="C23" s="609">
        <v>1</v>
      </c>
      <c r="D23" s="610">
        <v>63</v>
      </c>
      <c r="E23" s="611">
        <v>2638412</v>
      </c>
      <c r="F23" s="612">
        <v>30640897267</v>
      </c>
      <c r="G23" s="552" t="str">
        <f>IFERROR(IF(compras_mes12[[#This Row],[CUIT]]="","-",VLOOKUP(compras_mes12[[#This Row],[CUIT]],Lista_CUIT[#All],2,0)),"CUIT NO CARGADO")</f>
        <v>TELECENTRO S.A.</v>
      </c>
      <c r="H23" s="548">
        <v>18390.41</v>
      </c>
      <c r="I23" s="528">
        <f>IF(compras_mes12[[#This Row],[NETO GRAVADO]]="","",compras_mes12[[#This Row],[NETO GRAVADO]]*0.21)</f>
        <v>3861.9860999999996</v>
      </c>
      <c r="J23" s="528"/>
      <c r="K23" s="528"/>
      <c r="L23" s="528">
        <v>551.71</v>
      </c>
      <c r="M23" s="528"/>
      <c r="N23" s="528">
        <v>1103.42</v>
      </c>
      <c r="O23" s="528"/>
      <c r="P23" s="257">
        <f>SUM(compras_mes12[[#This Row],[NETO GRAVADO]:[Otros / No Grav.]])</f>
        <v>23907.526099999995</v>
      </c>
      <c r="Q23" s="553">
        <f>IFERROR(IF(compras_mes12[[#This Row],[CUIT]]="","-",VLOOKUP(compras_mes12[[#This Row],[CUIT]],Lista_CUIT[#All],3,0)),"CUIT NO CARGADO")</f>
        <v>0</v>
      </c>
      <c r="R23" s="553">
        <f>IFERROR(IF(compras_mes12[[#This Row],[CUIT]]="","-",VLOOKUP(compras_mes12[[#This Row],[CUIT]],Lista_CUIT[#All],4,0)),"CUIT NO CARGADO")</f>
        <v>0</v>
      </c>
    </row>
    <row r="24" spans="2:18" ht="15" customHeight="1" x14ac:dyDescent="0.3">
      <c r="B24" s="608">
        <v>45264</v>
      </c>
      <c r="C24" s="609">
        <v>1</v>
      </c>
      <c r="D24" s="610">
        <v>63</v>
      </c>
      <c r="E24" s="611">
        <v>2639127</v>
      </c>
      <c r="F24" s="612">
        <v>30640897267</v>
      </c>
      <c r="G24" s="552" t="str">
        <f>IFERROR(IF(compras_mes12[[#This Row],[CUIT]]="","-",VLOOKUP(compras_mes12[[#This Row],[CUIT]],Lista_CUIT[#All],2,0)),"CUIT NO CARGADO")</f>
        <v>TELECENTRO S.A.</v>
      </c>
      <c r="H24" s="548">
        <v>18390.41</v>
      </c>
      <c r="I24" s="528">
        <f>IF(compras_mes12[[#This Row],[NETO GRAVADO]]="","",compras_mes12[[#This Row],[NETO GRAVADO]]*0.21)</f>
        <v>3861.9860999999996</v>
      </c>
      <c r="J24" s="528"/>
      <c r="K24" s="528"/>
      <c r="L24" s="528">
        <v>551.71</v>
      </c>
      <c r="M24" s="528"/>
      <c r="N24" s="528">
        <v>1103.2</v>
      </c>
      <c r="O24" s="528"/>
      <c r="P24" s="257">
        <f>SUM(compras_mes12[[#This Row],[NETO GRAVADO]:[Otros / No Grav.]])</f>
        <v>23907.306099999998</v>
      </c>
      <c r="Q24" s="553">
        <f>IFERROR(IF(compras_mes12[[#This Row],[CUIT]]="","-",VLOOKUP(compras_mes12[[#This Row],[CUIT]],Lista_CUIT[#All],3,0)),"CUIT NO CARGADO")</f>
        <v>0</v>
      </c>
      <c r="R24" s="553">
        <f>IFERROR(IF(compras_mes12[[#This Row],[CUIT]]="","-",VLOOKUP(compras_mes12[[#This Row],[CUIT]],Lista_CUIT[#All],4,0)),"CUIT NO CARGADO")</f>
        <v>0</v>
      </c>
    </row>
    <row r="25" spans="2:18" ht="15" customHeight="1" x14ac:dyDescent="0.3">
      <c r="B25" s="249">
        <v>45264</v>
      </c>
      <c r="C25" s="250">
        <v>1</v>
      </c>
      <c r="D25" s="251">
        <v>17</v>
      </c>
      <c r="E25" s="252">
        <v>1558</v>
      </c>
      <c r="F25" s="253">
        <v>30707841105</v>
      </c>
      <c r="G25" s="254" t="str">
        <f>IFERROR(IF(compras_mes12[[#This Row],[CUIT]]="","-",VLOOKUP(compras_mes12[[#This Row],[CUIT]],Lista_CUIT[#All],2,0)),"CUIT NO CARGADO")</f>
        <v>PETRO ARG SRL</v>
      </c>
      <c r="H25" s="255">
        <v>10085.33</v>
      </c>
      <c r="I25" s="256">
        <f>IF(compras_mes12[[#This Row],[NETO GRAVADO]]="","",compras_mes12[[#This Row],[NETO GRAVADO]]*0.21)</f>
        <v>2117.9193</v>
      </c>
      <c r="J25" s="256"/>
      <c r="K25" s="256"/>
      <c r="L25" s="256"/>
      <c r="M25" s="256"/>
      <c r="N25" s="256"/>
      <c r="O25" s="256">
        <v>924.24</v>
      </c>
      <c r="P25" s="257">
        <f>SUM(compras_mes12[[#This Row],[NETO GRAVADO]:[Otros / No Grav.]])</f>
        <v>13127.489299999999</v>
      </c>
      <c r="Q25" s="258" t="str">
        <f>IFERROR(IF(compras_mes12[[#This Row],[CUIT]]="","-",VLOOKUP(compras_mes12[[#This Row],[CUIT]],Lista_CUIT[#All],3,0)),"CUIT NO CARGADO")</f>
        <v>Combustible</v>
      </c>
      <c r="R25" s="258">
        <f>IFERROR(IF(compras_mes12[[#This Row],[CUIT]]="","-",VLOOKUP(compras_mes12[[#This Row],[CUIT]],Lista_CUIT[#All],4,0)),"CUIT NO CARGADO")</f>
        <v>0</v>
      </c>
    </row>
    <row r="26" spans="2:18" ht="15" customHeight="1" x14ac:dyDescent="0.3">
      <c r="B26" s="608">
        <v>45264</v>
      </c>
      <c r="C26" s="609">
        <v>1</v>
      </c>
      <c r="D26" s="610">
        <v>2</v>
      </c>
      <c r="E26" s="611">
        <v>240</v>
      </c>
      <c r="F26" s="612">
        <v>27309896063</v>
      </c>
      <c r="G26" s="552" t="str">
        <f>IFERROR(IF(compras_mes12[[#This Row],[CUIT]]="","-",VLOOKUP(compras_mes12[[#This Row],[CUIT]],Lista_CUIT[#All],2,0)),"CUIT NO CARGADO")</f>
        <v>BATTELLINI MARIA SOLEDAD</v>
      </c>
      <c r="H26" s="548">
        <v>250000</v>
      </c>
      <c r="I26" s="528">
        <f>IF(compras_mes12[[#This Row],[NETO GRAVADO]]="","",compras_mes12[[#This Row],[NETO GRAVADO]]*0.21)</f>
        <v>52500</v>
      </c>
      <c r="J26" s="528"/>
      <c r="K26" s="528"/>
      <c r="L26" s="528"/>
      <c r="M26" s="528"/>
      <c r="N26" s="528"/>
      <c r="O26" s="528"/>
      <c r="P26" s="529">
        <f>SUM(compras_mes12[[#This Row],[NETO GRAVADO]:[Otros / No Grav.]])</f>
        <v>302500</v>
      </c>
      <c r="Q26" s="553">
        <f>IFERROR(IF(compras_mes12[[#This Row],[CUIT]]="","-",VLOOKUP(compras_mes12[[#This Row],[CUIT]],Lista_CUIT[#All],3,0)),"CUIT NO CARGADO")</f>
        <v>0</v>
      </c>
      <c r="R26" s="553">
        <f>IFERROR(IF(compras_mes12[[#This Row],[CUIT]]="","-",VLOOKUP(compras_mes12[[#This Row],[CUIT]],Lista_CUIT[#All],4,0)),"CUIT NO CARGADO")</f>
        <v>0</v>
      </c>
    </row>
    <row r="27" spans="2:18" x14ac:dyDescent="0.3">
      <c r="B27" s="40">
        <v>45264</v>
      </c>
      <c r="C27" s="41">
        <v>1</v>
      </c>
      <c r="D27" s="42">
        <v>6864</v>
      </c>
      <c r="E27" s="43">
        <v>21799</v>
      </c>
      <c r="F27" s="44">
        <v>30678774495</v>
      </c>
      <c r="G27" s="45" t="str">
        <f>IFERROR(IF(compras_mes12[[#This Row],[CUIT]]="","-",VLOOKUP(compras_mes12[[#This Row],[CUIT]],Lista_CUIT[#All],2,0)),"CUIT NO CARGADO")</f>
        <v>OPER. DE EST. DE SERV. SA</v>
      </c>
      <c r="H27" s="46">
        <v>11165.65</v>
      </c>
      <c r="I27" s="85">
        <f>IF(compras_mes12[[#This Row],[NETO GRAVADO]]="","",compras_mes12[[#This Row],[NETO GRAVADO]]*0.21)</f>
        <v>2344.7864999999997</v>
      </c>
      <c r="J27" s="85"/>
      <c r="K27" s="85"/>
      <c r="L27" s="85"/>
      <c r="M27" s="85"/>
      <c r="N27" s="85"/>
      <c r="O27" s="85">
        <v>991.58</v>
      </c>
      <c r="P27" s="48">
        <f>SUM(compras_mes12[[#This Row],[NETO GRAVADO]:[Otros / No Grav.]])</f>
        <v>14502.0165</v>
      </c>
      <c r="Q27" s="49" t="str">
        <f>IFERROR(IF(compras_mes12[[#This Row],[CUIT]]="","-",VLOOKUP(compras_mes12[[#This Row],[CUIT]],Lista_CUIT[#All],3,0)),"CUIT NO CARGADO")</f>
        <v>Combustibe</v>
      </c>
      <c r="R27" s="49">
        <f>IFERROR(IF(compras_mes12[[#This Row],[CUIT]]="","-",VLOOKUP(compras_mes12[[#This Row],[CUIT]],Lista_CUIT[#All],4,0)),"CUIT NO CARGADO")</f>
        <v>0</v>
      </c>
    </row>
    <row r="28" spans="2:18" x14ac:dyDescent="0.3">
      <c r="B28" s="40">
        <v>45264</v>
      </c>
      <c r="C28" s="41">
        <v>1</v>
      </c>
      <c r="D28" s="42">
        <v>1002</v>
      </c>
      <c r="E28" s="43">
        <v>12787</v>
      </c>
      <c r="F28" s="44">
        <v>30712289046</v>
      </c>
      <c r="G28" s="45" t="str">
        <f>IFERROR(IF(compras_mes12[[#This Row],[CUIT]]="","-",VLOOKUP(compras_mes12[[#This Row],[CUIT]],Lista_CUIT[#All],2,0)),"CUIT NO CARGADO")</f>
        <v>IMPIERI PIÑEIRO RIZZO Y ASOC SA</v>
      </c>
      <c r="H28" s="46">
        <v>1921.18</v>
      </c>
      <c r="I28" s="85">
        <f>IF(compras_mes12[[#This Row],[NETO GRAVADO]]="","",compras_mes12[[#This Row],[NETO GRAVADO]]*0.21)</f>
        <v>403.44779999999997</v>
      </c>
      <c r="J28" s="85"/>
      <c r="K28" s="85"/>
      <c r="L28" s="85"/>
      <c r="M28" s="85"/>
      <c r="N28" s="85"/>
      <c r="O28" s="85">
        <v>175.37</v>
      </c>
      <c r="P28" s="48">
        <f>SUM(compras_mes12[[#This Row],[NETO GRAVADO]:[Otros / No Grav.]])</f>
        <v>2499.9978000000001</v>
      </c>
      <c r="Q28" s="49">
        <f>IFERROR(IF(compras_mes12[[#This Row],[CUIT]]="","-",VLOOKUP(compras_mes12[[#This Row],[CUIT]],Lista_CUIT[#All],3,0)),"CUIT NO CARGADO")</f>
        <v>0</v>
      </c>
      <c r="R28" s="49">
        <f>IFERROR(IF(compras_mes12[[#This Row],[CUIT]]="","-",VLOOKUP(compras_mes12[[#This Row],[CUIT]],Lista_CUIT[#All],4,0)),"CUIT NO CARGADO")</f>
        <v>0</v>
      </c>
    </row>
    <row r="29" spans="2:18" x14ac:dyDescent="0.3">
      <c r="B29" s="40">
        <v>45264</v>
      </c>
      <c r="C29" s="41">
        <v>1</v>
      </c>
      <c r="D29" s="42">
        <v>1</v>
      </c>
      <c r="E29" s="43">
        <v>195</v>
      </c>
      <c r="F29" s="44">
        <v>20077604627</v>
      </c>
      <c r="G29" s="45" t="str">
        <f>IFERROR(IF(compras_mes12[[#This Row],[CUIT]]="","-",VLOOKUP(compras_mes12[[#This Row],[CUIT]],Lista_CUIT[#All],2,0)),"CUIT NO CARGADO")</f>
        <v>OCAÑO ENRIQUE</v>
      </c>
      <c r="H29" s="46">
        <v>2914820.38</v>
      </c>
      <c r="I29" s="85">
        <f>IF(compras_mes12[[#This Row],[NETO GRAVADO]]="","",compras_mes12[[#This Row],[NETO GRAVADO]]*0.21)</f>
        <v>612112.2797999999</v>
      </c>
      <c r="J29" s="85"/>
      <c r="K29" s="85"/>
      <c r="L29" s="85"/>
      <c r="M29" s="85"/>
      <c r="N29" s="85"/>
      <c r="O29" s="85"/>
      <c r="P29" s="48">
        <f>SUM(compras_mes12[[#This Row],[NETO GRAVADO]:[Otros / No Grav.]])</f>
        <v>3526932.6597999996</v>
      </c>
      <c r="Q29" s="49">
        <f>IFERROR(IF(compras_mes12[[#This Row],[CUIT]]="","-",VLOOKUP(compras_mes12[[#This Row],[CUIT]],Lista_CUIT[#All],3,0)),"CUIT NO CARGADO")</f>
        <v>0</v>
      </c>
      <c r="R29" s="49">
        <f>IFERROR(IF(compras_mes12[[#This Row],[CUIT]]="","-",VLOOKUP(compras_mes12[[#This Row],[CUIT]],Lista_CUIT[#All],4,0)),"CUIT NO CARGADO")</f>
        <v>0</v>
      </c>
    </row>
    <row r="30" spans="2:18" x14ac:dyDescent="0.3">
      <c r="B30" s="40">
        <v>45264</v>
      </c>
      <c r="C30" s="41">
        <v>1</v>
      </c>
      <c r="D30" s="42">
        <v>2</v>
      </c>
      <c r="E30" s="43">
        <v>716</v>
      </c>
      <c r="F30" s="44">
        <v>20103069832</v>
      </c>
      <c r="G30" s="45" t="str">
        <f>IFERROR(IF(compras_mes12[[#This Row],[CUIT]]="","-",VLOOKUP(compras_mes12[[#This Row],[CUIT]],Lista_CUIT[#All],2,0)),"CUIT NO CARGADO")</f>
        <v>DE LUCA HECTOR RAFAEL FRANCI</v>
      </c>
      <c r="H30" s="46">
        <v>1000000</v>
      </c>
      <c r="I30" s="85">
        <f>IF(compras_mes12[[#This Row],[NETO GRAVADO]]="","",compras_mes12[[#This Row],[NETO GRAVADO]]*0.21)</f>
        <v>210000</v>
      </c>
      <c r="J30" s="85"/>
      <c r="K30" s="85"/>
      <c r="L30" s="85"/>
      <c r="M30" s="85"/>
      <c r="N30" s="85"/>
      <c r="O30" s="85"/>
      <c r="P30" s="48">
        <f>SUM(compras_mes12[[#This Row],[NETO GRAVADO]:[Otros / No Grav.]])</f>
        <v>1210000</v>
      </c>
      <c r="Q30" s="49">
        <f>IFERROR(IF(compras_mes12[[#This Row],[CUIT]]="","-",VLOOKUP(compras_mes12[[#This Row],[CUIT]],Lista_CUIT[#All],3,0)),"CUIT NO CARGADO")</f>
        <v>0</v>
      </c>
      <c r="R30" s="49">
        <f>IFERROR(IF(compras_mes12[[#This Row],[CUIT]]="","-",VLOOKUP(compras_mes12[[#This Row],[CUIT]],Lista_CUIT[#All],4,0)),"CUIT NO CARGADO")</f>
        <v>0</v>
      </c>
    </row>
    <row r="31" spans="2:18" x14ac:dyDescent="0.3">
      <c r="B31" s="230">
        <v>45264</v>
      </c>
      <c r="C31" s="41">
        <v>1</v>
      </c>
      <c r="D31" s="231">
        <v>1</v>
      </c>
      <c r="E31" s="232">
        <v>2415</v>
      </c>
      <c r="F31" s="233">
        <v>27181689183</v>
      </c>
      <c r="G31" s="234" t="str">
        <f>IFERROR(IF(compras_mes12[[#This Row],[CUIT]]="","-",VLOOKUP(compras_mes12[[#This Row],[CUIT]],Lista_CUIT[#All],2,0)),"CUIT NO CARGADO")</f>
        <v>REPETTO MARIA FERNANDA</v>
      </c>
      <c r="H31" s="235">
        <v>814700</v>
      </c>
      <c r="I31" s="85">
        <f>IF(compras_mes12[[#This Row],[NETO GRAVADO]]="","",compras_mes12[[#This Row],[NETO GRAVADO]]*0.21)</f>
        <v>171087</v>
      </c>
      <c r="J31" s="236"/>
      <c r="K31" s="236"/>
      <c r="L31" s="236"/>
      <c r="M31" s="236"/>
      <c r="N31" s="236"/>
      <c r="O31" s="236"/>
      <c r="P31" s="237">
        <f>SUM(compras_mes12[[#This Row],[NETO GRAVADO]:[Otros / No Grav.]])</f>
        <v>985787</v>
      </c>
      <c r="Q31" s="238">
        <f>IFERROR(IF(compras_mes12[[#This Row],[CUIT]]="","-",VLOOKUP(compras_mes12[[#This Row],[CUIT]],Lista_CUIT[#All],3,0)),"CUIT NO CARGADO")</f>
        <v>0</v>
      </c>
      <c r="R31" s="238">
        <f>IFERROR(IF(compras_mes12[[#This Row],[CUIT]]="","-",VLOOKUP(compras_mes12[[#This Row],[CUIT]],Lista_CUIT[#All],4,0)),"CUIT NO CARGADO")</f>
        <v>0</v>
      </c>
    </row>
    <row r="32" spans="2:18" x14ac:dyDescent="0.3">
      <c r="B32" s="40">
        <v>45264</v>
      </c>
      <c r="C32" s="41">
        <v>1</v>
      </c>
      <c r="D32" s="42">
        <v>1</v>
      </c>
      <c r="E32" s="43">
        <v>61</v>
      </c>
      <c r="F32" s="44">
        <v>30718148207</v>
      </c>
      <c r="G32" s="45" t="str">
        <f>IFERROR(IF(compras_mes12[[#This Row],[CUIT]]="","-",VLOOKUP(compras_mes12[[#This Row],[CUIT]],Lista_CUIT[#All],2,0)),"CUIT NO CARGADO")</f>
        <v>VIPA INTERNATIONAL S.R.L.</v>
      </c>
      <c r="H32" s="46">
        <v>2100000</v>
      </c>
      <c r="I32" s="85">
        <f>IF(compras_mes12[[#This Row],[NETO GRAVADO]]="","",compras_mes12[[#This Row],[NETO GRAVADO]]*0.21)</f>
        <v>441000</v>
      </c>
      <c r="J32" s="85"/>
      <c r="K32" s="85"/>
      <c r="L32" s="85"/>
      <c r="M32" s="85"/>
      <c r="N32" s="85"/>
      <c r="O32" s="85"/>
      <c r="P32" s="48">
        <f>SUM(compras_mes12[[#This Row],[NETO GRAVADO]:[Otros / No Grav.]])</f>
        <v>2541000</v>
      </c>
      <c r="Q32" s="49">
        <f>IFERROR(IF(compras_mes12[[#This Row],[CUIT]]="","-",VLOOKUP(compras_mes12[[#This Row],[CUIT]],Lista_CUIT[#All],3,0)),"CUIT NO CARGADO")</f>
        <v>0</v>
      </c>
      <c r="R32" s="49">
        <f>IFERROR(IF(compras_mes12[[#This Row],[CUIT]]="","-",VLOOKUP(compras_mes12[[#This Row],[CUIT]],Lista_CUIT[#All],4,0)),"CUIT NO CARGADO")</f>
        <v>0</v>
      </c>
    </row>
    <row r="33" spans="2:18" ht="16.95" customHeight="1" x14ac:dyDescent="0.3">
      <c r="B33" s="40">
        <v>45264</v>
      </c>
      <c r="C33" s="41">
        <v>1</v>
      </c>
      <c r="D33" s="42">
        <v>2</v>
      </c>
      <c r="E33" s="43">
        <v>3530</v>
      </c>
      <c r="F33" s="44">
        <v>30629863571</v>
      </c>
      <c r="G33" s="45" t="str">
        <f>IFERROR(IF(compras_mes12[[#This Row],[CUIT]]="","-",VLOOKUP(compras_mes12[[#This Row],[CUIT]],Lista_CUIT[#All],2,0)),"CUIT NO CARGADO")</f>
        <v>TECNIMAR S R L</v>
      </c>
      <c r="H33" s="46">
        <v>1128381.81</v>
      </c>
      <c r="I33" s="85">
        <f>IF(compras_mes12[[#This Row],[NETO GRAVADO]]="","",compras_mes12[[#This Row],[NETO GRAVADO]]*0.21)</f>
        <v>236960.1801</v>
      </c>
      <c r="J33" s="85"/>
      <c r="K33" s="85"/>
      <c r="L33" s="85"/>
      <c r="M33" s="85"/>
      <c r="N33" s="85"/>
      <c r="O33" s="85"/>
      <c r="P33" s="48">
        <f>SUM(compras_mes12[[#This Row],[NETO GRAVADO]:[Otros / No Grav.]])</f>
        <v>1365341.9901000001</v>
      </c>
      <c r="Q33" s="49" t="str">
        <f>IFERROR(IF(compras_mes12[[#This Row],[CUIT]]="","-",VLOOKUP(compras_mes12[[#This Row],[CUIT]],Lista_CUIT[#All],3,0)),"CUIT NO CARGADO")</f>
        <v>LABORATORIO</v>
      </c>
      <c r="R33" s="49">
        <f>IFERROR(IF(compras_mes12[[#This Row],[CUIT]]="","-",VLOOKUP(compras_mes12[[#This Row],[CUIT]],Lista_CUIT[#All],4,0)),"CUIT NO CARGADO")</f>
        <v>0</v>
      </c>
    </row>
    <row r="34" spans="2:18" x14ac:dyDescent="0.3">
      <c r="B34" s="40">
        <v>45264</v>
      </c>
      <c r="C34" s="41">
        <v>1</v>
      </c>
      <c r="D34" s="42">
        <v>14</v>
      </c>
      <c r="E34" s="43">
        <v>67</v>
      </c>
      <c r="F34" s="44">
        <v>33708943059</v>
      </c>
      <c r="G34" s="45" t="str">
        <f>IFERROR(IF(compras_mes12[[#This Row],[CUIT]]="","-",VLOOKUP(compras_mes12[[#This Row],[CUIT]],Lista_CUIT[#All],2,0)),"CUIT NO CARGADO")</f>
        <v>CRASSI SRL</v>
      </c>
      <c r="H34" s="46">
        <v>8264.4599999999991</v>
      </c>
      <c r="I34" s="85">
        <f>IF(compras_mes12[[#This Row],[NETO GRAVADO]]="","",compras_mes12[[#This Row],[NETO GRAVADO]]*0.21)</f>
        <v>1735.5365999999997</v>
      </c>
      <c r="J34" s="85"/>
      <c r="K34" s="85"/>
      <c r="L34" s="85"/>
      <c r="M34" s="85"/>
      <c r="N34" s="85"/>
      <c r="O34" s="85"/>
      <c r="P34" s="48">
        <f>SUM(compras_mes12[[#This Row],[NETO GRAVADO]:[Otros / No Grav.]])</f>
        <v>9999.9965999999986</v>
      </c>
      <c r="Q34" s="49">
        <f>IFERROR(IF(compras_mes12[[#This Row],[CUIT]]="","-",VLOOKUP(compras_mes12[[#This Row],[CUIT]],Lista_CUIT[#All],3,0)),"CUIT NO CARGADO")</f>
        <v>0</v>
      </c>
      <c r="R34" s="49">
        <f>IFERROR(IF(compras_mes12[[#This Row],[CUIT]]="","-",VLOOKUP(compras_mes12[[#This Row],[CUIT]],Lista_CUIT[#All],4,0)),"CUIT NO CARGADO")</f>
        <v>0</v>
      </c>
    </row>
    <row r="35" spans="2:18" x14ac:dyDescent="0.3">
      <c r="B35" s="608">
        <v>45265</v>
      </c>
      <c r="C35" s="609">
        <v>1</v>
      </c>
      <c r="D35" s="610">
        <v>37</v>
      </c>
      <c r="E35" s="611">
        <v>2802</v>
      </c>
      <c r="F35" s="612">
        <v>30657611936</v>
      </c>
      <c r="G35" s="552" t="str">
        <f>IFERROR(IF(compras_mes12[[#This Row],[CUIT]]="","-",VLOOKUP(compras_mes12[[#This Row],[CUIT]],Lista_CUIT[#All],2,0)),"CUIT NO CARGADO")</f>
        <v>SILVA SRL</v>
      </c>
      <c r="H35" s="548">
        <v>51417.8</v>
      </c>
      <c r="I35" s="528">
        <f>IF(compras_mes12[[#This Row],[NETO GRAVADO]]="","",compras_mes12[[#This Row],[NETO GRAVADO]]*0.21)</f>
        <v>10797.737999999999</v>
      </c>
      <c r="J35" s="528"/>
      <c r="K35" s="528"/>
      <c r="L35" s="528"/>
      <c r="M35" s="528"/>
      <c r="N35" s="528"/>
      <c r="O35" s="528"/>
      <c r="P35" s="529">
        <f>SUM(compras_mes12[[#This Row],[NETO GRAVADO]:[Otros / No Grav.]])</f>
        <v>62215.538</v>
      </c>
      <c r="Q35" s="553">
        <f>IFERROR(IF(compras_mes12[[#This Row],[CUIT]]="","-",VLOOKUP(compras_mes12[[#This Row],[CUIT]],Lista_CUIT[#All],3,0)),"CUIT NO CARGADO")</f>
        <v>0</v>
      </c>
      <c r="R35" s="553">
        <f>IFERROR(IF(compras_mes12[[#This Row],[CUIT]]="","-",VLOOKUP(compras_mes12[[#This Row],[CUIT]],Lista_CUIT[#All],4,0)),"CUIT NO CARGADO")</f>
        <v>0</v>
      </c>
    </row>
    <row r="36" spans="2:18" x14ac:dyDescent="0.3">
      <c r="B36" s="40">
        <v>45265</v>
      </c>
      <c r="C36" s="41">
        <v>1</v>
      </c>
      <c r="D36" s="42">
        <v>5</v>
      </c>
      <c r="E36" s="43">
        <v>3719</v>
      </c>
      <c r="F36" s="44">
        <v>30708558792</v>
      </c>
      <c r="G36" s="45" t="str">
        <f>IFERROR(IF(compras_mes12[[#This Row],[CUIT]]="","-",VLOOKUP(compras_mes12[[#This Row],[CUIT]],Lista_CUIT[#All],2,0)),"CUIT NO CARGADO")</f>
        <v>MYL TRANSFORMADORES S.A</v>
      </c>
      <c r="H36" s="46">
        <v>10743.8</v>
      </c>
      <c r="I36" s="85">
        <f>IF(compras_mes12[[#This Row],[NETO GRAVADO]]="","",compras_mes12[[#This Row],[NETO GRAVADO]]*0.21)</f>
        <v>2256.1979999999999</v>
      </c>
      <c r="J36" s="85"/>
      <c r="K36" s="85"/>
      <c r="L36" s="85"/>
      <c r="M36" s="85"/>
      <c r="N36" s="85"/>
      <c r="O36" s="85"/>
      <c r="P36" s="48">
        <f>SUM(compras_mes12[[#This Row],[NETO GRAVADO]:[Otros / No Grav.]])</f>
        <v>12999.998</v>
      </c>
      <c r="Q36" s="49">
        <f>IFERROR(IF(compras_mes12[[#This Row],[CUIT]]="","-",VLOOKUP(compras_mes12[[#This Row],[CUIT]],Lista_CUIT[#All],3,0)),"CUIT NO CARGADO")</f>
        <v>0</v>
      </c>
      <c r="R36" s="49">
        <f>IFERROR(IF(compras_mes12[[#This Row],[CUIT]]="","-",VLOOKUP(compras_mes12[[#This Row],[CUIT]],Lista_CUIT[#All],4,0)),"CUIT NO CARGADO")</f>
        <v>0</v>
      </c>
    </row>
    <row r="37" spans="2:18" x14ac:dyDescent="0.3">
      <c r="B37" s="40">
        <v>45265</v>
      </c>
      <c r="C37" s="41">
        <v>1</v>
      </c>
      <c r="D37" s="42">
        <v>15</v>
      </c>
      <c r="E37" s="43">
        <v>27068</v>
      </c>
      <c r="F37" s="44">
        <v>30715239104</v>
      </c>
      <c r="G37" s="45" t="str">
        <f>IFERROR(IF(compras_mes12[[#This Row],[CUIT]]="","-",VLOOKUP(compras_mes12[[#This Row],[CUIT]],Lista_CUIT[#All],2,0)),"CUIT NO CARGADO")</f>
        <v>SASSON ALBERTO,SASSON MAURICIO ENRIQUE, SASSON EMILIA NADIA</v>
      </c>
      <c r="H37" s="46">
        <v>32231.4</v>
      </c>
      <c r="I37" s="85">
        <f>IF(compras_mes12[[#This Row],[NETO GRAVADO]]="","",compras_mes12[[#This Row],[NETO GRAVADO]]*0.21)</f>
        <v>6768.5940000000001</v>
      </c>
      <c r="J37" s="85"/>
      <c r="K37" s="85"/>
      <c r="L37" s="85"/>
      <c r="M37" s="85"/>
      <c r="N37" s="85"/>
      <c r="O37" s="85"/>
      <c r="P37" s="48">
        <f>SUM(compras_mes12[[#This Row],[NETO GRAVADO]:[Otros / No Grav.]])</f>
        <v>38999.993999999999</v>
      </c>
      <c r="Q37" s="49">
        <f>IFERROR(IF(compras_mes12[[#This Row],[CUIT]]="","-",VLOOKUP(compras_mes12[[#This Row],[CUIT]],Lista_CUIT[#All],3,0)),"CUIT NO CARGADO")</f>
        <v>0</v>
      </c>
      <c r="R37" s="49">
        <f>IFERROR(IF(compras_mes12[[#This Row],[CUIT]]="","-",VLOOKUP(compras_mes12[[#This Row],[CUIT]],Lista_CUIT[#All],4,0)),"CUIT NO CARGADO")</f>
        <v>0</v>
      </c>
    </row>
    <row r="38" spans="2:18" x14ac:dyDescent="0.3">
      <c r="B38" s="40">
        <v>45265</v>
      </c>
      <c r="C38" s="41">
        <v>1</v>
      </c>
      <c r="D38" s="42">
        <v>6</v>
      </c>
      <c r="E38" s="43">
        <v>1246</v>
      </c>
      <c r="F38" s="44">
        <v>20130392262</v>
      </c>
      <c r="G38" s="45" t="str">
        <f>IFERROR(IF(compras_mes12[[#This Row],[CUIT]]="","-",VLOOKUP(compras_mes12[[#This Row],[CUIT]],Lista_CUIT[#All],2,0)),"CUIT NO CARGADO")</f>
        <v>BOLLO OSVALDO</v>
      </c>
      <c r="H38" s="46">
        <v>40034.300000000003</v>
      </c>
      <c r="I38" s="85">
        <f>IF(compras_mes12[[#This Row],[NETO GRAVADO]]="","",compras_mes12[[#This Row],[NETO GRAVADO]]*0.21)</f>
        <v>8407.2029999999995</v>
      </c>
      <c r="J38" s="85"/>
      <c r="K38" s="85"/>
      <c r="L38" s="85"/>
      <c r="M38" s="85"/>
      <c r="N38" s="85"/>
      <c r="O38" s="85"/>
      <c r="P38" s="48">
        <f>SUM(compras_mes12[[#This Row],[NETO GRAVADO]:[Otros / No Grav.]])</f>
        <v>48441.503000000004</v>
      </c>
      <c r="Q38" s="49">
        <f>IFERROR(IF(compras_mes12[[#This Row],[CUIT]]="","-",VLOOKUP(compras_mes12[[#This Row],[CUIT]],Lista_CUIT[#All],3,0)),"CUIT NO CARGADO")</f>
        <v>0</v>
      </c>
      <c r="R38" s="49">
        <f>IFERROR(IF(compras_mes12[[#This Row],[CUIT]]="","-",VLOOKUP(compras_mes12[[#This Row],[CUIT]],Lista_CUIT[#All],4,0)),"CUIT NO CARGADO")</f>
        <v>0</v>
      </c>
    </row>
    <row r="39" spans="2:18" x14ac:dyDescent="0.3">
      <c r="B39" s="40">
        <v>45265</v>
      </c>
      <c r="C39" s="41">
        <v>1</v>
      </c>
      <c r="D39" s="42">
        <v>2188</v>
      </c>
      <c r="E39" s="43">
        <v>106075</v>
      </c>
      <c r="F39" s="44">
        <v>30548083156</v>
      </c>
      <c r="G39" s="45" t="str">
        <f>IFERROR(IF(compras_mes12[[#This Row],[CUIT]]="","-",VLOOKUP(compras_mes12[[#This Row],[CUIT]],Lista_CUIT[#All],2,0)),"CUIT NO CARGADO")</f>
        <v>COTO CENTRO INTEGRAL DE COMERCIALIZACION SOCIEDAD ANONIMA</v>
      </c>
      <c r="H39" s="46">
        <v>40264.269999999997</v>
      </c>
      <c r="I39" s="85">
        <v>6016.98</v>
      </c>
      <c r="J39" s="85"/>
      <c r="K39" s="85">
        <v>1219.26</v>
      </c>
      <c r="L39" s="85">
        <v>1017.5899999999999</v>
      </c>
      <c r="M39" s="85"/>
      <c r="N39" s="85">
        <v>2132.34</v>
      </c>
      <c r="O39" s="85"/>
      <c r="P39" s="48">
        <f>SUM(compras_mes12[[#This Row],[NETO GRAVADO]:[Otros / No Grav.]])</f>
        <v>50650.44</v>
      </c>
      <c r="Q39" s="49" t="str">
        <f>IFERROR(IF(compras_mes12[[#This Row],[CUIT]]="","-",VLOOKUP(compras_mes12[[#This Row],[CUIT]],Lista_CUIT[#All],3,0)),"CUIT NO CARGADO")</f>
        <v>GASTOS COMERCIALES</v>
      </c>
      <c r="R39" s="49">
        <f>IFERROR(IF(compras_mes12[[#This Row],[CUIT]]="","-",VLOOKUP(compras_mes12[[#This Row],[CUIT]],Lista_CUIT[#All],4,0)),"CUIT NO CARGADO")</f>
        <v>0</v>
      </c>
    </row>
    <row r="40" spans="2:18" x14ac:dyDescent="0.3">
      <c r="B40" s="40">
        <v>45265</v>
      </c>
      <c r="C40" s="41">
        <v>1</v>
      </c>
      <c r="D40" s="42">
        <v>3</v>
      </c>
      <c r="E40" s="43">
        <v>295908</v>
      </c>
      <c r="F40" s="44">
        <v>30709131865</v>
      </c>
      <c r="G40" s="45" t="str">
        <f>IFERROR(IF(compras_mes12[[#This Row],[CUIT]]="","-",VLOOKUP(compras_mes12[[#This Row],[CUIT]],Lista_CUIT[#All],2,0)),"CUIT NO CARGADO")</f>
        <v>EMPRENDIMIENTOS SATELITALES SA</v>
      </c>
      <c r="H40" s="46">
        <v>849.5</v>
      </c>
      <c r="I40" s="85">
        <f>IF(compras_mes12[[#This Row],[NETO GRAVADO]]="","",compras_mes12[[#This Row],[NETO GRAVADO]]*0.21)</f>
        <v>178.39499999999998</v>
      </c>
      <c r="J40" s="85"/>
      <c r="K40" s="85"/>
      <c r="L40" s="85"/>
      <c r="M40" s="85"/>
      <c r="N40" s="85"/>
      <c r="O40" s="85"/>
      <c r="P40" s="48">
        <f>SUM(compras_mes12[[#This Row],[NETO GRAVADO]:[Otros / No Grav.]])</f>
        <v>1027.895</v>
      </c>
      <c r="Q40" s="49">
        <f>IFERROR(IF(compras_mes12[[#This Row],[CUIT]]="","-",VLOOKUP(compras_mes12[[#This Row],[CUIT]],Lista_CUIT[#All],3,0)),"CUIT NO CARGADO")</f>
        <v>0</v>
      </c>
      <c r="R40" s="49">
        <f>IFERROR(IF(compras_mes12[[#This Row],[CUIT]]="","-",VLOOKUP(compras_mes12[[#This Row],[CUIT]],Lista_CUIT[#All],4,0)),"CUIT NO CARGADO")</f>
        <v>0</v>
      </c>
    </row>
    <row r="41" spans="2:18" x14ac:dyDescent="0.3">
      <c r="B41" s="40">
        <v>45265</v>
      </c>
      <c r="C41" s="41">
        <v>1</v>
      </c>
      <c r="D41" s="42">
        <v>3</v>
      </c>
      <c r="E41" s="43">
        <v>295909</v>
      </c>
      <c r="F41" s="44">
        <v>30709131865</v>
      </c>
      <c r="G41" s="45" t="str">
        <f>IFERROR(IF(compras_mes12[[#This Row],[CUIT]]="","-",VLOOKUP(compras_mes12[[#This Row],[CUIT]],Lista_CUIT[#All],2,0)),"CUIT NO CARGADO")</f>
        <v>EMPRENDIMIENTOS SATELITALES SA</v>
      </c>
      <c r="H41" s="46">
        <v>849.5</v>
      </c>
      <c r="I41" s="85">
        <f>IF(compras_mes12[[#This Row],[NETO GRAVADO]]="","",compras_mes12[[#This Row],[NETO GRAVADO]]*0.21)</f>
        <v>178.39499999999998</v>
      </c>
      <c r="J41" s="85"/>
      <c r="K41" s="85"/>
      <c r="L41" s="85"/>
      <c r="M41" s="85"/>
      <c r="N41" s="85"/>
      <c r="O41" s="85"/>
      <c r="P41" s="48">
        <f>SUM(compras_mes12[[#This Row],[NETO GRAVADO]:[Otros / No Grav.]])</f>
        <v>1027.895</v>
      </c>
      <c r="Q41" s="49">
        <f>IFERROR(IF(compras_mes12[[#This Row],[CUIT]]="","-",VLOOKUP(compras_mes12[[#This Row],[CUIT]],Lista_CUIT[#All],3,0)),"CUIT NO CARGADO")</f>
        <v>0</v>
      </c>
      <c r="R41" s="49">
        <f>IFERROR(IF(compras_mes12[[#This Row],[CUIT]]="","-",VLOOKUP(compras_mes12[[#This Row],[CUIT]],Lista_CUIT[#All],4,0)),"CUIT NO CARGADO")</f>
        <v>0</v>
      </c>
    </row>
    <row r="42" spans="2:18" x14ac:dyDescent="0.3">
      <c r="B42" s="40">
        <v>45265</v>
      </c>
      <c r="C42" s="41">
        <v>1</v>
      </c>
      <c r="D42" s="42">
        <v>2</v>
      </c>
      <c r="E42" s="43">
        <v>6784</v>
      </c>
      <c r="F42" s="44">
        <v>23180288899</v>
      </c>
      <c r="G42" s="45" t="str">
        <f>IFERROR(IF(compras_mes12[[#This Row],[CUIT]]="","-",VLOOKUP(compras_mes12[[#This Row],[CUIT]],Lista_CUIT[#All],2,0)),"CUIT NO CARGADO")</f>
        <v>ROMERO EMILIO</v>
      </c>
      <c r="H42" s="46">
        <v>420000</v>
      </c>
      <c r="I42" s="85">
        <f>IF(compras_mes12[[#This Row],[NETO GRAVADO]]="","",compras_mes12[[#This Row],[NETO GRAVADO]]*0.21)</f>
        <v>88200</v>
      </c>
      <c r="J42" s="85"/>
      <c r="K42" s="85"/>
      <c r="L42" s="85"/>
      <c r="M42" s="85"/>
      <c r="N42" s="85"/>
      <c r="O42" s="85">
        <v>12600</v>
      </c>
      <c r="P42" s="48">
        <f>SUM(compras_mes12[[#This Row],[NETO GRAVADO]:[Otros / No Grav.]])</f>
        <v>520800</v>
      </c>
      <c r="Q42" s="49">
        <f>IFERROR(IF(compras_mes12[[#This Row],[CUIT]]="","-",VLOOKUP(compras_mes12[[#This Row],[CUIT]],Lista_CUIT[#All],3,0)),"CUIT NO CARGADO")</f>
        <v>0</v>
      </c>
      <c r="R42" s="49">
        <f>IFERROR(IF(compras_mes12[[#This Row],[CUIT]]="","-",VLOOKUP(compras_mes12[[#This Row],[CUIT]],Lista_CUIT[#All],4,0)),"CUIT NO CARGADO")</f>
        <v>0</v>
      </c>
    </row>
    <row r="43" spans="2:18" x14ac:dyDescent="0.3">
      <c r="B43" s="40">
        <v>45265</v>
      </c>
      <c r="C43" s="41">
        <v>1</v>
      </c>
      <c r="D43" s="42">
        <v>2</v>
      </c>
      <c r="E43" s="43">
        <v>3533</v>
      </c>
      <c r="F43" s="44">
        <v>30629863571</v>
      </c>
      <c r="G43" s="45" t="str">
        <f>IFERROR(IF(compras_mes12[[#This Row],[CUIT]]="","-",VLOOKUP(compras_mes12[[#This Row],[CUIT]],Lista_CUIT[#All],2,0)),"CUIT NO CARGADO")</f>
        <v>TECNIMAR S R L</v>
      </c>
      <c r="H43" s="46">
        <v>4517803.76</v>
      </c>
      <c r="I43" s="85">
        <f>IF(compras_mes12[[#This Row],[NETO GRAVADO]]="","",compras_mes12[[#This Row],[NETO GRAVADO]]*0.21)</f>
        <v>948738.7895999999</v>
      </c>
      <c r="J43" s="85"/>
      <c r="K43" s="85"/>
      <c r="L43" s="85"/>
      <c r="M43" s="85"/>
      <c r="N43" s="85"/>
      <c r="O43" s="85"/>
      <c r="P43" s="48">
        <f>SUM(compras_mes12[[#This Row],[NETO GRAVADO]:[Otros / No Grav.]])</f>
        <v>5466542.5495999996</v>
      </c>
      <c r="Q43" s="49" t="str">
        <f>IFERROR(IF(compras_mes12[[#This Row],[CUIT]]="","-",VLOOKUP(compras_mes12[[#This Row],[CUIT]],Lista_CUIT[#All],3,0)),"CUIT NO CARGADO")</f>
        <v>LABORATORIO</v>
      </c>
      <c r="R43" s="49">
        <f>IFERROR(IF(compras_mes12[[#This Row],[CUIT]]="","-",VLOOKUP(compras_mes12[[#This Row],[CUIT]],Lista_CUIT[#All],4,0)),"CUIT NO CARGADO")</f>
        <v>0</v>
      </c>
    </row>
    <row r="44" spans="2:18" x14ac:dyDescent="0.3">
      <c r="B44" s="608">
        <v>45266</v>
      </c>
      <c r="C44" s="609">
        <v>1</v>
      </c>
      <c r="D44" s="610">
        <v>4</v>
      </c>
      <c r="E44" s="611">
        <v>44633</v>
      </c>
      <c r="F44" s="612">
        <v>30709863076</v>
      </c>
      <c r="G44" s="552" t="str">
        <f>IFERROR(IF(compras_mes12[[#This Row],[CUIT]]="","-",VLOOKUP(compras_mes12[[#This Row],[CUIT]],Lista_CUIT[#All],2,0)),"CUIT NO CARGADO")</f>
        <v>INDUSTRIAS PLASTICOS SALTA S.R.L.</v>
      </c>
      <c r="H44" s="548">
        <v>282644.59999999998</v>
      </c>
      <c r="I44" s="528">
        <f>IF(compras_mes12[[#This Row],[NETO GRAVADO]]="","",compras_mes12[[#This Row],[NETO GRAVADO]]*0.21)</f>
        <v>59355.365999999995</v>
      </c>
      <c r="J44" s="528"/>
      <c r="K44" s="528"/>
      <c r="L44" s="528"/>
      <c r="M44" s="528"/>
      <c r="N44" s="528"/>
      <c r="O44" s="528"/>
      <c r="P44" s="529">
        <f>SUM(compras_mes12[[#This Row],[NETO GRAVADO]:[Otros / No Grav.]])</f>
        <v>341999.96599999996</v>
      </c>
      <c r="Q44" s="553">
        <f>IFERROR(IF(compras_mes12[[#This Row],[CUIT]]="","-",VLOOKUP(compras_mes12[[#This Row],[CUIT]],Lista_CUIT[#All],3,0)),"CUIT NO CARGADO")</f>
        <v>0</v>
      </c>
      <c r="R44" s="553">
        <f>IFERROR(IF(compras_mes12[[#This Row],[CUIT]]="","-",VLOOKUP(compras_mes12[[#This Row],[CUIT]],Lista_CUIT[#All],4,0)),"CUIT NO CARGADO")</f>
        <v>0</v>
      </c>
    </row>
    <row r="45" spans="2:18" x14ac:dyDescent="0.3">
      <c r="B45" s="619">
        <v>45266</v>
      </c>
      <c r="C45" s="609">
        <v>1</v>
      </c>
      <c r="D45" s="620">
        <v>2</v>
      </c>
      <c r="E45" s="621">
        <v>37586</v>
      </c>
      <c r="F45" s="622">
        <v>33714232199</v>
      </c>
      <c r="G45" s="623" t="str">
        <f>IFERROR(IF(compras_mes12[[#This Row],[CUIT]]="","-",VLOOKUP(compras_mes12[[#This Row],[CUIT]],Lista_CUIT[#All],2,0)),"CUIT NO CARGADO")</f>
        <v>NUAGE SYSTEMS S.A.</v>
      </c>
      <c r="H45" s="624">
        <v>78011.960000000006</v>
      </c>
      <c r="I45" s="528">
        <f>IF(compras_mes12[[#This Row],[NETO GRAVADO]]="","",compras_mes12[[#This Row],[NETO GRAVADO]]*0.21)</f>
        <v>16382.511600000002</v>
      </c>
      <c r="J45" s="625"/>
      <c r="K45" s="625"/>
      <c r="L45" s="625"/>
      <c r="M45" s="625"/>
      <c r="N45" s="625"/>
      <c r="O45" s="625"/>
      <c r="P45" s="626">
        <f>SUM(compras_mes12[[#This Row],[NETO GRAVADO]:[Otros / No Grav.]])</f>
        <v>94394.471600000004</v>
      </c>
      <c r="Q45" s="627">
        <f>IFERROR(IF(compras_mes12[[#This Row],[CUIT]]="","-",VLOOKUP(compras_mes12[[#This Row],[CUIT]],Lista_CUIT[#All],3,0)),"CUIT NO CARGADO")</f>
        <v>0</v>
      </c>
      <c r="R45" s="627">
        <f>IFERROR(IF(compras_mes12[[#This Row],[CUIT]]="","-",VLOOKUP(compras_mes12[[#This Row],[CUIT]],Lista_CUIT[#All],4,0)),"CUIT NO CARGADO")</f>
        <v>0</v>
      </c>
    </row>
    <row r="46" spans="2:18" x14ac:dyDescent="0.3">
      <c r="B46" s="608">
        <v>45266</v>
      </c>
      <c r="C46" s="609">
        <v>1</v>
      </c>
      <c r="D46" s="610">
        <v>3</v>
      </c>
      <c r="E46" s="611">
        <v>17787</v>
      </c>
      <c r="F46" s="612">
        <v>33707953549</v>
      </c>
      <c r="G46" s="552" t="str">
        <f>IFERROR(IF(compras_mes12[[#This Row],[CUIT]]="","-",VLOOKUP(compras_mes12[[#This Row],[CUIT]],Lista_CUIT[#All],2,0)),"CUIT NO CARGADO")</f>
        <v>TELESMART</v>
      </c>
      <c r="H46" s="548">
        <v>9212</v>
      </c>
      <c r="I46" s="528">
        <f>IF(compras_mes12[[#This Row],[NETO GRAVADO]]="","",compras_mes12[[#This Row],[NETO GRAVADO]]*0.21)</f>
        <v>1934.52</v>
      </c>
      <c r="J46" s="528"/>
      <c r="K46" s="528"/>
      <c r="L46" s="528"/>
      <c r="M46" s="528"/>
      <c r="N46" s="528"/>
      <c r="O46" s="528"/>
      <c r="P46" s="529">
        <f>SUM(compras_mes12[[#This Row],[NETO GRAVADO]:[Otros / No Grav.]])</f>
        <v>11146.52</v>
      </c>
      <c r="Q46" s="553">
        <f>IFERROR(IF(compras_mes12[[#This Row],[CUIT]]="","-",VLOOKUP(compras_mes12[[#This Row],[CUIT]],Lista_CUIT[#All],3,0)),"CUIT NO CARGADO")</f>
        <v>0</v>
      </c>
      <c r="R46" s="553">
        <f>IFERROR(IF(compras_mes12[[#This Row],[CUIT]]="","-",VLOOKUP(compras_mes12[[#This Row],[CUIT]],Lista_CUIT[#All],4,0)),"CUIT NO CARGADO")</f>
        <v>0</v>
      </c>
    </row>
    <row r="47" spans="2:18" x14ac:dyDescent="0.3">
      <c r="B47" s="40">
        <v>45266</v>
      </c>
      <c r="C47" s="41">
        <v>1</v>
      </c>
      <c r="D47" s="42">
        <v>3</v>
      </c>
      <c r="E47" s="43">
        <v>45501</v>
      </c>
      <c r="F47" s="44">
        <v>30714930490</v>
      </c>
      <c r="G47" s="45" t="str">
        <f>IFERROR(IF(compras_mes12[[#This Row],[CUIT]]="","-",VLOOKUP(compras_mes12[[#This Row],[CUIT]],Lista_CUIT[#All],2,0)),"CUIT NO CARGADO")</f>
        <v>APPLUS SANTA MARIA DEL BUEN AYRE SA</v>
      </c>
      <c r="H47" s="46">
        <v>2038.93</v>
      </c>
      <c r="I47" s="85">
        <f>IF(compras_mes12[[#This Row],[NETO GRAVADO]]="","",compras_mes12[[#This Row],[NETO GRAVADO]]*0.21)</f>
        <v>428.17529999999999</v>
      </c>
      <c r="J47" s="85"/>
      <c r="K47" s="85"/>
      <c r="L47" s="85"/>
      <c r="M47" s="85"/>
      <c r="N47" s="85"/>
      <c r="O47" s="85"/>
      <c r="P47" s="48">
        <f>SUM(compras_mes12[[#This Row],[NETO GRAVADO]:[Otros / No Grav.]])</f>
        <v>2467.1053000000002</v>
      </c>
      <c r="Q47" s="49" t="str">
        <f>IFERROR(IF(compras_mes12[[#This Row],[CUIT]]="","-",VLOOKUP(compras_mes12[[#This Row],[CUIT]],Lista_CUIT[#All],3,0)),"CUIT NO CARGADO")</f>
        <v>Gastos Vehiculo</v>
      </c>
      <c r="R47" s="49">
        <f>IFERROR(IF(compras_mes12[[#This Row],[CUIT]]="","-",VLOOKUP(compras_mes12[[#This Row],[CUIT]],Lista_CUIT[#All],4,0)),"CUIT NO CARGADO")</f>
        <v>0</v>
      </c>
    </row>
    <row r="48" spans="2:18" x14ac:dyDescent="0.3">
      <c r="B48" s="40">
        <v>45266</v>
      </c>
      <c r="C48" s="41">
        <v>1</v>
      </c>
      <c r="D48" s="42">
        <v>3</v>
      </c>
      <c r="E48" s="43">
        <v>45502</v>
      </c>
      <c r="F48" s="44">
        <v>30714930490</v>
      </c>
      <c r="G48" s="45" t="str">
        <f>IFERROR(IF(compras_mes12[[#This Row],[CUIT]]="","-",VLOOKUP(compras_mes12[[#This Row],[CUIT]],Lista_CUIT[#All],2,0)),"CUIT NO CARGADO")</f>
        <v>APPLUS SANTA MARIA DEL BUEN AYRE SA</v>
      </c>
      <c r="H48" s="46">
        <v>6833.14</v>
      </c>
      <c r="I48" s="85">
        <f>IF(compras_mes12[[#This Row],[NETO GRAVADO]]="","",compras_mes12[[#This Row],[NETO GRAVADO]]*0.21)</f>
        <v>1434.9594</v>
      </c>
      <c r="J48" s="85"/>
      <c r="K48" s="85"/>
      <c r="L48" s="85"/>
      <c r="M48" s="85"/>
      <c r="N48" s="85"/>
      <c r="O48" s="85"/>
      <c r="P48" s="48">
        <f>SUM(compras_mes12[[#This Row],[NETO GRAVADO]:[Otros / No Grav.]])</f>
        <v>8268.099400000001</v>
      </c>
      <c r="Q48" s="49" t="str">
        <f>IFERROR(IF(compras_mes12[[#This Row],[CUIT]]="","-",VLOOKUP(compras_mes12[[#This Row],[CUIT]],Lista_CUIT[#All],3,0)),"CUIT NO CARGADO")</f>
        <v>Gastos Vehiculo</v>
      </c>
      <c r="R48" s="49">
        <f>IFERROR(IF(compras_mes12[[#This Row],[CUIT]]="","-",VLOOKUP(compras_mes12[[#This Row],[CUIT]],Lista_CUIT[#All],4,0)),"CUIT NO CARGADO")</f>
        <v>0</v>
      </c>
    </row>
    <row r="49" spans="2:18" x14ac:dyDescent="0.3">
      <c r="B49" s="608">
        <v>45266</v>
      </c>
      <c r="C49" s="609">
        <v>1</v>
      </c>
      <c r="D49" s="610">
        <v>700</v>
      </c>
      <c r="E49" s="611">
        <v>1323685</v>
      </c>
      <c r="F49" s="612">
        <v>30715804812</v>
      </c>
      <c r="G49" s="552" t="str">
        <f>IFERROR(IF(compras_mes12[[#This Row],[CUIT]]="","-",VLOOKUP(compras_mes12[[#This Row],[CUIT]],Lista_CUIT[#All],2,0)),"CUIT NO CARGADO")</f>
        <v>CORREDORES VIALES SOCIEDAD ANONIMA</v>
      </c>
      <c r="H49" s="548">
        <v>495.87</v>
      </c>
      <c r="I49" s="528">
        <f>IF(compras_mes12[[#This Row],[NETO GRAVADO]]="","",compras_mes12[[#This Row],[NETO GRAVADO]]*0.21)</f>
        <v>104.1327</v>
      </c>
      <c r="J49" s="528"/>
      <c r="K49" s="528"/>
      <c r="L49" s="528"/>
      <c r="M49" s="528"/>
      <c r="N49" s="528"/>
      <c r="O49" s="528"/>
      <c r="P49" s="529">
        <f>SUM(compras_mes12[[#This Row],[NETO GRAVADO]:[Otros / No Grav.]])</f>
        <v>600.0027</v>
      </c>
      <c r="Q49" s="553">
        <f>IFERROR(IF(compras_mes12[[#This Row],[CUIT]]="","-",VLOOKUP(compras_mes12[[#This Row],[CUIT]],Lista_CUIT[#All],3,0)),"CUIT NO CARGADO")</f>
        <v>0</v>
      </c>
      <c r="R49" s="553">
        <f>IFERROR(IF(compras_mes12[[#This Row],[CUIT]]="","-",VLOOKUP(compras_mes12[[#This Row],[CUIT]],Lista_CUIT[#All],4,0)),"CUIT NO CARGADO")</f>
        <v>0</v>
      </c>
    </row>
    <row r="50" spans="2:18" x14ac:dyDescent="0.3">
      <c r="B50" s="608">
        <v>45266</v>
      </c>
      <c r="C50" s="609">
        <v>1</v>
      </c>
      <c r="D50" s="610">
        <v>2</v>
      </c>
      <c r="E50" s="611">
        <v>1705</v>
      </c>
      <c r="F50" s="612">
        <v>20251522899</v>
      </c>
      <c r="G50" s="552" t="str">
        <f>IFERROR(IF(compras_mes12[[#This Row],[CUIT]]="","-",VLOOKUP(compras_mes12[[#This Row],[CUIT]],Lista_CUIT[#All],2,0)),"CUIT NO CARGADO")</f>
        <v>MALACASA LUIS DAMIAN</v>
      </c>
      <c r="H50" s="548">
        <v>20354.189999999999</v>
      </c>
      <c r="I50" s="528">
        <f>IF(compras_mes12[[#This Row],[NETO GRAVADO]]="","",compras_mes12[[#This Row],[NETO GRAVADO]]*0.21)</f>
        <v>4274.3798999999999</v>
      </c>
      <c r="J50" s="528"/>
      <c r="K50" s="528"/>
      <c r="L50" s="528"/>
      <c r="M50" s="528"/>
      <c r="N50" s="528"/>
      <c r="O50" s="528"/>
      <c r="P50" s="529">
        <f>SUM(compras_mes12[[#This Row],[NETO GRAVADO]:[Otros / No Grav.]])</f>
        <v>24628.569899999999</v>
      </c>
      <c r="Q50" s="553">
        <f>IFERROR(IF(compras_mes12[[#This Row],[CUIT]]="","-",VLOOKUP(compras_mes12[[#This Row],[CUIT]],Lista_CUIT[#All],3,0)),"CUIT NO CARGADO")</f>
        <v>0</v>
      </c>
      <c r="R50" s="553">
        <f>IFERROR(IF(compras_mes12[[#This Row],[CUIT]]="","-",VLOOKUP(compras_mes12[[#This Row],[CUIT]],Lista_CUIT[#All],4,0)),"CUIT NO CARGADO")</f>
        <v>0</v>
      </c>
    </row>
    <row r="51" spans="2:18" x14ac:dyDescent="0.3">
      <c r="B51" s="40">
        <v>45266</v>
      </c>
      <c r="C51" s="41">
        <v>1</v>
      </c>
      <c r="D51" s="42">
        <v>4</v>
      </c>
      <c r="E51" s="43">
        <v>23133</v>
      </c>
      <c r="F51" s="44">
        <v>30552433595</v>
      </c>
      <c r="G51" s="45" t="str">
        <f>IFERROR(IF(compras_mes12[[#This Row],[CUIT]]="","-",VLOOKUP(compras_mes12[[#This Row],[CUIT]],Lista_CUIT[#All],2,0)),"CUIT NO CARGADO")</f>
        <v>PIROPLAST SRL</v>
      </c>
      <c r="H51" s="46">
        <v>2890708.8</v>
      </c>
      <c r="I51" s="85">
        <f>IF(compras_mes12[[#This Row],[NETO GRAVADO]]="","",compras_mes12[[#This Row],[NETO GRAVADO]]*0.21)</f>
        <v>607048.84799999988</v>
      </c>
      <c r="J51" s="85"/>
      <c r="K51" s="85"/>
      <c r="L51" s="85"/>
      <c r="M51" s="85"/>
      <c r="N51" s="85"/>
      <c r="O51" s="85"/>
      <c r="P51" s="48">
        <f>SUM(compras_mes12[[#This Row],[NETO GRAVADO]:[Otros / No Grav.]])</f>
        <v>3497757.6479999996</v>
      </c>
      <c r="Q51" s="49" t="str">
        <f>IFERROR(IF(compras_mes12[[#This Row],[CUIT]]="","-",VLOOKUP(compras_mes12[[#This Row],[CUIT]],Lista_CUIT[#All],3,0)),"CUIT NO CARGADO")</f>
        <v>Insumo</v>
      </c>
      <c r="R51" s="49">
        <f>IFERROR(IF(compras_mes12[[#This Row],[CUIT]]="","-",VLOOKUP(compras_mes12[[#This Row],[CUIT]],Lista_CUIT[#All],4,0)),"CUIT NO CARGADO")</f>
        <v>0</v>
      </c>
    </row>
    <row r="52" spans="2:18" x14ac:dyDescent="0.3">
      <c r="B52" s="40">
        <v>45267</v>
      </c>
      <c r="C52" s="41">
        <v>1</v>
      </c>
      <c r="D52" s="42">
        <v>3</v>
      </c>
      <c r="E52" s="43">
        <v>67</v>
      </c>
      <c r="F52" s="44">
        <v>33715993509</v>
      </c>
      <c r="G52" s="45" t="str">
        <f>IFERROR(IF(compras_mes12[[#This Row],[CUIT]]="","-",VLOOKUP(compras_mes12[[#This Row],[CUIT]],Lista_CUIT[#All],2,0)),"CUIT NO CARGADO")</f>
        <v>+Q NATURAL S.A.</v>
      </c>
      <c r="H52" s="46">
        <v>11603.3</v>
      </c>
      <c r="I52" s="85">
        <f>IF(compras_mes12[[#This Row],[NETO GRAVADO]]="","",compras_mes12[[#This Row],[NETO GRAVADO]]*0.21)</f>
        <v>2436.6929999999998</v>
      </c>
      <c r="J52" s="85"/>
      <c r="K52" s="85"/>
      <c r="L52" s="85"/>
      <c r="M52" s="85"/>
      <c r="N52" s="85"/>
      <c r="O52" s="85"/>
      <c r="P52" s="48">
        <f>SUM(compras_mes12[[#This Row],[NETO GRAVADO]:[Otros / No Grav.]])</f>
        <v>14039.992999999999</v>
      </c>
      <c r="Q52" s="49">
        <f>IFERROR(IF(compras_mes12[[#This Row],[CUIT]]="","-",VLOOKUP(compras_mes12[[#This Row],[CUIT]],Lista_CUIT[#All],3,0)),"CUIT NO CARGADO")</f>
        <v>0</v>
      </c>
      <c r="R52" s="49">
        <f>IFERROR(IF(compras_mes12[[#This Row],[CUIT]]="","-",VLOOKUP(compras_mes12[[#This Row],[CUIT]],Lista_CUIT[#All],4,0)),"CUIT NO CARGADO")</f>
        <v>0</v>
      </c>
    </row>
    <row r="53" spans="2:18" x14ac:dyDescent="0.3">
      <c r="B53" s="608">
        <v>45267</v>
      </c>
      <c r="C53" s="609">
        <v>1</v>
      </c>
      <c r="D53" s="610">
        <v>5</v>
      </c>
      <c r="E53" s="611">
        <v>66454</v>
      </c>
      <c r="F53" s="612">
        <v>30660981736</v>
      </c>
      <c r="G53" s="552" t="str">
        <f>IFERROR(IF(compras_mes12[[#This Row],[CUIT]]="","-",VLOOKUP(compras_mes12[[#This Row],[CUIT]],Lista_CUIT[#All],2,0)),"CUIT NO CARGADO")</f>
        <v>R A DURAN Y ASOC SRL</v>
      </c>
      <c r="H53" s="548">
        <v>33460</v>
      </c>
      <c r="I53" s="528">
        <f>IF(compras_mes12[[#This Row],[NETO GRAVADO]]="","",compras_mes12[[#This Row],[NETO GRAVADO]]*0.21)</f>
        <v>7026.5999999999995</v>
      </c>
      <c r="J53" s="528"/>
      <c r="K53" s="528"/>
      <c r="L53" s="528"/>
      <c r="M53" s="528"/>
      <c r="N53" s="528"/>
      <c r="O53" s="528"/>
      <c r="P53" s="529">
        <f>SUM(compras_mes12[[#This Row],[NETO GRAVADO]:[Otros / No Grav.]])</f>
        <v>40486.6</v>
      </c>
      <c r="Q53" s="553">
        <f>IFERROR(IF(compras_mes12[[#This Row],[CUIT]]="","-",VLOOKUP(compras_mes12[[#This Row],[CUIT]],Lista_CUIT[#All],3,0)),"CUIT NO CARGADO")</f>
        <v>0</v>
      </c>
      <c r="R53" s="553">
        <f>IFERROR(IF(compras_mes12[[#This Row],[CUIT]]="","-",VLOOKUP(compras_mes12[[#This Row],[CUIT]],Lista_CUIT[#All],4,0)),"CUIT NO CARGADO")</f>
        <v>0</v>
      </c>
    </row>
    <row r="54" spans="2:18" x14ac:dyDescent="0.3">
      <c r="B54" s="40">
        <v>45267</v>
      </c>
      <c r="C54" s="41">
        <v>1</v>
      </c>
      <c r="D54" s="42">
        <v>14</v>
      </c>
      <c r="E54" s="43">
        <v>10388</v>
      </c>
      <c r="F54" s="44">
        <v>30715186256</v>
      </c>
      <c r="G54" s="45" t="str">
        <f>IFERROR(IF(compras_mes12[[#This Row],[CUIT]]="","-",VLOOKUP(compras_mes12[[#This Row],[CUIT]],Lista_CUIT[#All],2,0)),"CUIT NO CARGADO")</f>
        <v>FRIGORIFICO ALIMENTIC</v>
      </c>
      <c r="H54" s="46">
        <v>18790.04</v>
      </c>
      <c r="I54" s="85">
        <v>3295.96</v>
      </c>
      <c r="J54" s="85"/>
      <c r="K54" s="85"/>
      <c r="L54" s="85"/>
      <c r="M54" s="85"/>
      <c r="N54" s="85"/>
      <c r="O54" s="85"/>
      <c r="P54" s="48">
        <f>SUM(compras_mes12[[#This Row],[NETO GRAVADO]:[Otros / No Grav.]])</f>
        <v>22086</v>
      </c>
      <c r="Q54" s="49">
        <f>IFERROR(IF(compras_mes12[[#This Row],[CUIT]]="","-",VLOOKUP(compras_mes12[[#This Row],[CUIT]],Lista_CUIT[#All],3,0)),"CUIT NO CARGADO")</f>
        <v>0</v>
      </c>
      <c r="R54" s="49">
        <f>IFERROR(IF(compras_mes12[[#This Row],[CUIT]]="","-",VLOOKUP(compras_mes12[[#This Row],[CUIT]],Lista_CUIT[#All],4,0)),"CUIT NO CARGADO")</f>
        <v>0</v>
      </c>
    </row>
    <row r="55" spans="2:18" x14ac:dyDescent="0.3">
      <c r="B55" s="40">
        <v>45267</v>
      </c>
      <c r="C55" s="41">
        <v>1</v>
      </c>
      <c r="D55" s="42">
        <v>1001</v>
      </c>
      <c r="E55" s="43">
        <v>3448</v>
      </c>
      <c r="F55" s="44">
        <v>30712289046</v>
      </c>
      <c r="G55" s="45" t="str">
        <f>IFERROR(IF(compras_mes12[[#This Row],[CUIT]]="","-",VLOOKUP(compras_mes12[[#This Row],[CUIT]],Lista_CUIT[#All],2,0)),"CUIT NO CARGADO")</f>
        <v>IMPIERI PIÑEIRO RIZZO Y ASOC SA</v>
      </c>
      <c r="H55" s="46">
        <v>2299.92</v>
      </c>
      <c r="I55" s="85">
        <f>IF(compras_mes12[[#This Row],[NETO GRAVADO]]="","",compras_mes12[[#This Row],[NETO GRAVADO]]*0.21)</f>
        <v>482.98320000000001</v>
      </c>
      <c r="J55" s="85"/>
      <c r="K55" s="85"/>
      <c r="L55" s="85"/>
      <c r="M55" s="85"/>
      <c r="N55" s="85"/>
      <c r="O55" s="85">
        <v>218.76</v>
      </c>
      <c r="P55" s="48">
        <f>SUM(compras_mes12[[#This Row],[NETO GRAVADO]:[Otros / No Grav.]])</f>
        <v>3001.6632</v>
      </c>
      <c r="Q55" s="49">
        <f>IFERROR(IF(compras_mes12[[#This Row],[CUIT]]="","-",VLOOKUP(compras_mes12[[#This Row],[CUIT]],Lista_CUIT[#All],3,0)),"CUIT NO CARGADO")</f>
        <v>0</v>
      </c>
      <c r="R55" s="49">
        <f>IFERROR(IF(compras_mes12[[#This Row],[CUIT]]="","-",VLOOKUP(compras_mes12[[#This Row],[CUIT]],Lista_CUIT[#All],4,0)),"CUIT NO CARGADO")</f>
        <v>0</v>
      </c>
    </row>
    <row r="56" spans="2:18" x14ac:dyDescent="0.3">
      <c r="B56" s="40">
        <v>45267</v>
      </c>
      <c r="C56" s="41">
        <v>1</v>
      </c>
      <c r="D56" s="42">
        <v>7</v>
      </c>
      <c r="E56" s="43">
        <v>2133</v>
      </c>
      <c r="F56" s="44">
        <v>20134664518</v>
      </c>
      <c r="G56" s="45" t="str">
        <f>IFERROR(IF(compras_mes12[[#This Row],[CUIT]]="","-",VLOOKUP(compras_mes12[[#This Row],[CUIT]],Lista_CUIT[#All],2,0)),"CUIT NO CARGADO")</f>
        <v>HOKAMA SERGIO ENRIQUE</v>
      </c>
      <c r="H56" s="46">
        <v>19370.87</v>
      </c>
      <c r="I56" s="85">
        <f>IF(compras_mes12[[#This Row],[NETO GRAVADO]]="","",compras_mes12[[#This Row],[NETO GRAVADO]]*0.21)</f>
        <v>4067.8826999999997</v>
      </c>
      <c r="J56" s="85"/>
      <c r="K56" s="85"/>
      <c r="L56" s="85"/>
      <c r="M56" s="85"/>
      <c r="N56" s="85"/>
      <c r="O56" s="85"/>
      <c r="P56" s="48">
        <f>SUM(compras_mes12[[#This Row],[NETO GRAVADO]:[Otros / No Grav.]])</f>
        <v>23438.752699999997</v>
      </c>
      <c r="Q56" s="49" t="str">
        <f>IFERROR(IF(compras_mes12[[#This Row],[CUIT]]="","-",VLOOKUP(compras_mes12[[#This Row],[CUIT]],Lista_CUIT[#All],3,0)),"CUIT NO CARGADO")</f>
        <v>Gastos Varios</v>
      </c>
      <c r="R56" s="49" t="str">
        <f>IFERROR(IF(compras_mes12[[#This Row],[CUIT]]="","-",VLOOKUP(compras_mes12[[#This Row],[CUIT]],Lista_CUIT[#All],4,0)),"CUIT NO CARGADO")</f>
        <v>BUENOS AIRES</v>
      </c>
    </row>
    <row r="57" spans="2:18" x14ac:dyDescent="0.3">
      <c r="B57" s="40">
        <v>45267</v>
      </c>
      <c r="C57" s="41">
        <v>1</v>
      </c>
      <c r="D57" s="42">
        <v>2</v>
      </c>
      <c r="E57" s="43">
        <v>7136</v>
      </c>
      <c r="F57" s="44">
        <v>33714677239</v>
      </c>
      <c r="G57" s="45" t="str">
        <f>IFERROR(IF(compras_mes12[[#This Row],[CUIT]]="","-",VLOOKUP(compras_mes12[[#This Row],[CUIT]],Lista_CUIT[#All],2,0)),"CUIT NO CARGADO")</f>
        <v xml:space="preserve">BOMBAS VAPORIZADORAS </v>
      </c>
      <c r="H57" s="46">
        <v>833800</v>
      </c>
      <c r="I57" s="85">
        <f>IF(compras_mes12[[#This Row],[NETO GRAVADO]]="","",compras_mes12[[#This Row],[NETO GRAVADO]]*0.21)</f>
        <v>175098</v>
      </c>
      <c r="J57" s="85"/>
      <c r="K57" s="85"/>
      <c r="L57" s="85"/>
      <c r="M57" s="85"/>
      <c r="N57" s="85"/>
      <c r="O57" s="85"/>
      <c r="P57" s="48">
        <f>SUM(compras_mes12[[#This Row],[NETO GRAVADO]:[Otros / No Grav.]])</f>
        <v>1008898</v>
      </c>
      <c r="Q57" s="49" t="str">
        <f>IFERROR(IF(compras_mes12[[#This Row],[CUIT]]="","-",VLOOKUP(compras_mes12[[#This Row],[CUIT]],Lista_CUIT[#All],3,0)),"CUIT NO CARGADO")</f>
        <v>GASTOS VEHICULO</v>
      </c>
      <c r="R57" s="49">
        <f>IFERROR(IF(compras_mes12[[#This Row],[CUIT]]="","-",VLOOKUP(compras_mes12[[#This Row],[CUIT]],Lista_CUIT[#All],4,0)),"CUIT NO CARGADO")</f>
        <v>0</v>
      </c>
    </row>
    <row r="58" spans="2:18" x14ac:dyDescent="0.3">
      <c r="B58" s="40">
        <v>45267</v>
      </c>
      <c r="C58" s="41">
        <v>1</v>
      </c>
      <c r="D58" s="42">
        <v>12</v>
      </c>
      <c r="E58" s="43">
        <v>2666</v>
      </c>
      <c r="F58" s="44">
        <v>30710338554</v>
      </c>
      <c r="G58" s="45" t="str">
        <f>IFERROR(IF(compras_mes12[[#This Row],[CUIT]]="","-",VLOOKUP(compras_mes12[[#This Row],[CUIT]],Lista_CUIT[#All],2,0)),"CUIT NO CARGADO")</f>
        <v>SECURITY NOW SA</v>
      </c>
      <c r="H58" s="46">
        <v>65158.37</v>
      </c>
      <c r="I58" s="85"/>
      <c r="J58" s="85"/>
      <c r="K58" s="85">
        <v>6841.63</v>
      </c>
      <c r="L58" s="85"/>
      <c r="M58" s="85"/>
      <c r="N58" s="85">
        <v>3909.5</v>
      </c>
      <c r="O58" s="85"/>
      <c r="P58" s="48">
        <f>SUM(compras_mes12[[#This Row],[NETO GRAVADO]:[Otros / No Grav.]])</f>
        <v>75909.5</v>
      </c>
      <c r="Q58" s="49">
        <f>IFERROR(IF(compras_mes12[[#This Row],[CUIT]]="","-",VLOOKUP(compras_mes12[[#This Row],[CUIT]],Lista_CUIT[#All],3,0)),"CUIT NO CARGADO")</f>
        <v>0</v>
      </c>
      <c r="R58" s="49">
        <f>IFERROR(IF(compras_mes12[[#This Row],[CUIT]]="","-",VLOOKUP(compras_mes12[[#This Row],[CUIT]],Lista_CUIT[#All],4,0)),"CUIT NO CARGADO")</f>
        <v>0</v>
      </c>
    </row>
    <row r="59" spans="2:18" x14ac:dyDescent="0.3">
      <c r="B59" s="40">
        <v>45267</v>
      </c>
      <c r="C59" s="41">
        <v>1</v>
      </c>
      <c r="D59" s="42">
        <v>1676</v>
      </c>
      <c r="E59" s="43">
        <v>23350</v>
      </c>
      <c r="F59" s="44">
        <v>30589621499</v>
      </c>
      <c r="G59" s="45" t="str">
        <f>IFERROR(IF(compras_mes12[[#This Row],[CUIT]]="","-",VLOOKUP(compras_mes12[[#This Row],[CUIT]],Lista_CUIT[#All],2,0)),"CUIT NO CARGADO")</f>
        <v>MAKRO SA</v>
      </c>
      <c r="H59" s="46">
        <v>40679.96</v>
      </c>
      <c r="I59" s="85">
        <f>IF(compras_mes12[[#This Row],[NETO GRAVADO]]="","",compras_mes12[[#This Row],[NETO GRAVADO]]*0.21)</f>
        <v>8542.7915999999987</v>
      </c>
      <c r="J59" s="85"/>
      <c r="K59" s="85"/>
      <c r="L59" s="85">
        <v>1220.4000000000001</v>
      </c>
      <c r="M59" s="85"/>
      <c r="N59" s="85">
        <v>2440.8000000000002</v>
      </c>
      <c r="O59" s="85"/>
      <c r="P59" s="48">
        <f>SUM(compras_mes12[[#This Row],[NETO GRAVADO]:[Otros / No Grav.]])</f>
        <v>52883.9516</v>
      </c>
      <c r="Q59" s="49">
        <f>IFERROR(IF(compras_mes12[[#This Row],[CUIT]]="","-",VLOOKUP(compras_mes12[[#This Row],[CUIT]],Lista_CUIT[#All],3,0)),"CUIT NO CARGADO")</f>
        <v>0</v>
      </c>
      <c r="R59" s="49">
        <f>IFERROR(IF(compras_mes12[[#This Row],[CUIT]]="","-",VLOOKUP(compras_mes12[[#This Row],[CUIT]],Lista_CUIT[#All],4,0)),"CUIT NO CARGADO")</f>
        <v>0</v>
      </c>
    </row>
    <row r="60" spans="2:18" x14ac:dyDescent="0.3">
      <c r="B60" s="40">
        <v>45267</v>
      </c>
      <c r="C60" s="41">
        <v>1</v>
      </c>
      <c r="D60" s="42">
        <v>490</v>
      </c>
      <c r="E60" s="43">
        <v>3771</v>
      </c>
      <c r="F60" s="44">
        <v>30629642672</v>
      </c>
      <c r="G60" s="45" t="str">
        <f>IFERROR(IF(compras_mes12[[#This Row],[CUIT]]="","-",VLOOKUP(compras_mes12[[#This Row],[CUIT]],Lista_CUIT[#All],2,0)),"CUIT NO CARGADO")</f>
        <v>SUPERMERCADOS MAYORISTAS YAGUAR SOCIEDAD ANONIMA</v>
      </c>
      <c r="H60" s="46">
        <v>92908.77</v>
      </c>
      <c r="I60" s="85">
        <f>IF(compras_mes12[[#This Row],[NETO GRAVADO]]="","",compras_mes12[[#This Row],[NETO GRAVADO]]*0.21)</f>
        <v>19510.841700000001</v>
      </c>
      <c r="J60" s="85"/>
      <c r="K60" s="85"/>
      <c r="L60" s="85">
        <v>2787.26</v>
      </c>
      <c r="M60" s="85"/>
      <c r="N60" s="85">
        <v>5574.53</v>
      </c>
      <c r="O60" s="85">
        <v>7590.19</v>
      </c>
      <c r="P60" s="48">
        <f>SUM(compras_mes12[[#This Row],[NETO GRAVADO]:[Otros / No Grav.]])</f>
        <v>128371.5917</v>
      </c>
      <c r="Q60" s="49">
        <f>IFERROR(IF(compras_mes12[[#This Row],[CUIT]]="","-",VLOOKUP(compras_mes12[[#This Row],[CUIT]],Lista_CUIT[#All],3,0)),"CUIT NO CARGADO")</f>
        <v>0</v>
      </c>
      <c r="R60" s="49">
        <f>IFERROR(IF(compras_mes12[[#This Row],[CUIT]]="","-",VLOOKUP(compras_mes12[[#This Row],[CUIT]],Lista_CUIT[#All],4,0)),"CUIT NO CARGADO")</f>
        <v>0</v>
      </c>
    </row>
    <row r="61" spans="2:18" x14ac:dyDescent="0.3">
      <c r="B61" s="608">
        <v>45267</v>
      </c>
      <c r="C61" s="609">
        <v>1</v>
      </c>
      <c r="D61" s="610">
        <v>4</v>
      </c>
      <c r="E61" s="611">
        <v>11345</v>
      </c>
      <c r="F61" s="612">
        <v>20328816807</v>
      </c>
      <c r="G61" s="552" t="str">
        <f>IFERROR(IF(compras_mes12[[#This Row],[CUIT]]="","-",VLOOKUP(compras_mes12[[#This Row],[CUIT]],Lista_CUIT[#All],2,0)),"CUIT NO CARGADO")</f>
        <v>LUPONE ALBANO SEBASTIAN</v>
      </c>
      <c r="H61" s="548">
        <v>94148.76</v>
      </c>
      <c r="I61" s="528">
        <f>IF(compras_mes12[[#This Row],[NETO GRAVADO]]="","",compras_mes12[[#This Row],[NETO GRAVADO]]*0.21)</f>
        <v>19771.239599999997</v>
      </c>
      <c r="J61" s="528"/>
      <c r="K61" s="528"/>
      <c r="L61" s="528"/>
      <c r="M61" s="528"/>
      <c r="N61" s="528"/>
      <c r="O61" s="528"/>
      <c r="P61" s="529">
        <f>SUM(compras_mes12[[#This Row],[NETO GRAVADO]:[Otros / No Grav.]])</f>
        <v>113919.9996</v>
      </c>
      <c r="Q61" s="553">
        <f>IFERROR(IF(compras_mes12[[#This Row],[CUIT]]="","-",VLOOKUP(compras_mes12[[#This Row],[CUIT]],Lista_CUIT[#All],3,0)),"CUIT NO CARGADO")</f>
        <v>0</v>
      </c>
      <c r="R61" s="553">
        <f>IFERROR(IF(compras_mes12[[#This Row],[CUIT]]="","-",VLOOKUP(compras_mes12[[#This Row],[CUIT]],Lista_CUIT[#All],4,0)),"CUIT NO CARGADO")</f>
        <v>0</v>
      </c>
    </row>
    <row r="62" spans="2:18" x14ac:dyDescent="0.3">
      <c r="B62" s="40">
        <v>45267</v>
      </c>
      <c r="C62" s="41">
        <v>1</v>
      </c>
      <c r="D62" s="42">
        <v>6</v>
      </c>
      <c r="E62" s="43">
        <v>483</v>
      </c>
      <c r="F62" s="44">
        <v>20219190469</v>
      </c>
      <c r="G62" s="45" t="str">
        <f>IFERROR(IF(compras_mes12[[#This Row],[CUIT]]="","-",VLOOKUP(compras_mes12[[#This Row],[CUIT]],Lista_CUIT[#All],2,0)),"CUIT NO CARGADO")</f>
        <v>PARADISO ESTEBAN DAMIAN</v>
      </c>
      <c r="H62" s="46">
        <v>552091.80000000005</v>
      </c>
      <c r="I62" s="85">
        <f>IF(compras_mes12[[#This Row],[NETO GRAVADO]]="","",compras_mes12[[#This Row],[NETO GRAVADO]]*0.21)</f>
        <v>115939.27800000001</v>
      </c>
      <c r="J62" s="85"/>
      <c r="K62" s="85"/>
      <c r="L62" s="85"/>
      <c r="M62" s="85"/>
      <c r="N62" s="85"/>
      <c r="O62" s="85"/>
      <c r="P62" s="48">
        <f>SUM(compras_mes12[[#This Row],[NETO GRAVADO]:[Otros / No Grav.]])</f>
        <v>668031.0780000001</v>
      </c>
      <c r="Q62" s="49">
        <f>IFERROR(IF(compras_mes12[[#This Row],[CUIT]]="","-",VLOOKUP(compras_mes12[[#This Row],[CUIT]],Lista_CUIT[#All],3,0)),"CUIT NO CARGADO")</f>
        <v>0</v>
      </c>
      <c r="R62" s="49">
        <f>IFERROR(IF(compras_mes12[[#This Row],[CUIT]]="","-",VLOOKUP(compras_mes12[[#This Row],[CUIT]],Lista_CUIT[#All],4,0)),"CUIT NO CARGADO")</f>
        <v>0</v>
      </c>
    </row>
    <row r="63" spans="2:18" x14ac:dyDescent="0.3">
      <c r="B63" s="40">
        <v>45267</v>
      </c>
      <c r="C63" s="41">
        <v>1</v>
      </c>
      <c r="D63" s="42">
        <v>2</v>
      </c>
      <c r="E63" s="43">
        <v>3536</v>
      </c>
      <c r="F63" s="44">
        <v>30629863571</v>
      </c>
      <c r="G63" s="45" t="str">
        <f>IFERROR(IF(compras_mes12[[#This Row],[CUIT]]="","-",VLOOKUP(compras_mes12[[#This Row],[CUIT]],Lista_CUIT[#All],2,0)),"CUIT NO CARGADO")</f>
        <v>TECNIMAR S R L</v>
      </c>
      <c r="H63" s="46">
        <v>1320570</v>
      </c>
      <c r="I63" s="85">
        <f>IF(compras_mes12[[#This Row],[NETO GRAVADO]]="","",compras_mes12[[#This Row],[NETO GRAVADO]]*0.21)</f>
        <v>277319.7</v>
      </c>
      <c r="J63" s="85"/>
      <c r="K63" s="85"/>
      <c r="L63" s="85"/>
      <c r="M63" s="85"/>
      <c r="N63" s="85"/>
      <c r="O63" s="85"/>
      <c r="P63" s="48">
        <f>SUM(compras_mes12[[#This Row],[NETO GRAVADO]:[Otros / No Grav.]])</f>
        <v>1597889.7</v>
      </c>
      <c r="Q63" s="49" t="str">
        <f>IFERROR(IF(compras_mes12[[#This Row],[CUIT]]="","-",VLOOKUP(compras_mes12[[#This Row],[CUIT]],Lista_CUIT[#All],3,0)),"CUIT NO CARGADO")</f>
        <v>LABORATORIO</v>
      </c>
      <c r="R63" s="49">
        <f>IFERROR(IF(compras_mes12[[#This Row],[CUIT]]="","-",VLOOKUP(compras_mes12[[#This Row],[CUIT]],Lista_CUIT[#All],4,0)),"CUIT NO CARGADO")</f>
        <v>0</v>
      </c>
    </row>
    <row r="64" spans="2:18" x14ac:dyDescent="0.3">
      <c r="B64" s="249">
        <v>45268</v>
      </c>
      <c r="C64" s="250">
        <v>1</v>
      </c>
      <c r="D64" s="251">
        <v>4</v>
      </c>
      <c r="E64" s="252">
        <v>14869</v>
      </c>
      <c r="F64" s="253">
        <v>30716813327</v>
      </c>
      <c r="G64" s="254" t="str">
        <f>IFERROR(IF(compras_mes12[[#This Row],[CUIT]]="","-",VLOOKUP(compras_mes12[[#This Row],[CUIT]],Lista_CUIT[#All],2,0)),"CUIT NO CARGADO")</f>
        <v>LEZAMA ENERGIA SA</v>
      </c>
      <c r="H64" s="255">
        <v>9033.7800000000007</v>
      </c>
      <c r="I64" s="256">
        <f>IF(compras_mes12[[#This Row],[NETO GRAVADO]]="","",compras_mes12[[#This Row],[NETO GRAVADO]]*0.21)</f>
        <v>1897.0938000000001</v>
      </c>
      <c r="J64" s="256"/>
      <c r="K64" s="256"/>
      <c r="L64" s="256"/>
      <c r="M64" s="256"/>
      <c r="N64" s="256"/>
      <c r="O64" s="256">
        <v>769.81</v>
      </c>
      <c r="P64" s="257">
        <f>SUM(compras_mes12[[#This Row],[NETO GRAVADO]:[Otros / No Grav.]])</f>
        <v>11700.683800000001</v>
      </c>
      <c r="Q64" s="258">
        <f>IFERROR(IF(compras_mes12[[#This Row],[CUIT]]="","-",VLOOKUP(compras_mes12[[#This Row],[CUIT]],Lista_CUIT[#All],3,0)),"CUIT NO CARGADO")</f>
        <v>0</v>
      </c>
      <c r="R64" s="258">
        <f>IFERROR(IF(compras_mes12[[#This Row],[CUIT]]="","-",VLOOKUP(compras_mes12[[#This Row],[CUIT]],Lista_CUIT[#All],4,0)),"CUIT NO CARGADO")</f>
        <v>0</v>
      </c>
    </row>
    <row r="65" spans="2:18" x14ac:dyDescent="0.3">
      <c r="B65" s="608">
        <v>45269</v>
      </c>
      <c r="C65" s="609">
        <v>1</v>
      </c>
      <c r="D65" s="610">
        <v>948</v>
      </c>
      <c r="E65" s="611">
        <v>1103812</v>
      </c>
      <c r="F65" s="612">
        <v>30639453975</v>
      </c>
      <c r="G65" s="552" t="str">
        <f>IFERROR(IF(compras_mes12[[#This Row],[CUIT]]="","-",VLOOKUP(compras_mes12[[#This Row],[CUIT]],Lista_CUIT[#All],2,0)),"CUIT NO CARGADO")</f>
        <v>TELEFONICA DE ARG S.A.</v>
      </c>
      <c r="H65" s="548">
        <v>10594.75</v>
      </c>
      <c r="I65" s="528"/>
      <c r="J65" s="528">
        <f>compras_mes12[[#This Row],[NETO GRAVADO]]*0.27</f>
        <v>2860.5825</v>
      </c>
      <c r="K65" s="528"/>
      <c r="L65" s="528">
        <v>317.83999999999997</v>
      </c>
      <c r="M65" s="528"/>
      <c r="N65" s="528">
        <v>635.67999999999995</v>
      </c>
      <c r="O65" s="528"/>
      <c r="P65" s="257">
        <f>SUM(compras_mes12[[#This Row],[NETO GRAVADO]:[Otros / No Grav.]])</f>
        <v>14408.852500000001</v>
      </c>
      <c r="Q65" s="553" t="str">
        <f>IFERROR(IF(compras_mes12[[#This Row],[CUIT]]="","-",VLOOKUP(compras_mes12[[#This Row],[CUIT]],Lista_CUIT[#All],3,0)),"CUIT NO CARGADO")</f>
        <v>Servicios Gas, Luz, etc.</v>
      </c>
      <c r="R65" s="553">
        <f>IFERROR(IF(compras_mes12[[#This Row],[CUIT]]="","-",VLOOKUP(compras_mes12[[#This Row],[CUIT]],Lista_CUIT[#All],4,0)),"CUIT NO CARGADO")</f>
        <v>0</v>
      </c>
    </row>
    <row r="66" spans="2:18" x14ac:dyDescent="0.3">
      <c r="B66" s="249">
        <v>45269</v>
      </c>
      <c r="C66" s="250">
        <v>1</v>
      </c>
      <c r="D66" s="251">
        <v>12</v>
      </c>
      <c r="E66" s="252">
        <v>38670</v>
      </c>
      <c r="F66" s="253">
        <v>30696131003</v>
      </c>
      <c r="G66" s="254" t="str">
        <f>IFERROR(IF(compras_mes12[[#This Row],[CUIT]]="","-",VLOOKUP(compras_mes12[[#This Row],[CUIT]],Lista_CUIT[#All],2,0)),"CUIT NO CARGADO")</f>
        <v>Petrolfe S.A.</v>
      </c>
      <c r="H66" s="255">
        <v>67527.13</v>
      </c>
      <c r="I66" s="256">
        <f>IF(compras_mes12[[#This Row],[NETO GRAVADO]]="","",compras_mes12[[#This Row],[NETO GRAVADO]]*0.21)</f>
        <v>14180.6973</v>
      </c>
      <c r="J66" s="256"/>
      <c r="K66" s="256"/>
      <c r="L66" s="256"/>
      <c r="M66" s="256"/>
      <c r="N66" s="256"/>
      <c r="O66" s="256">
        <v>5222.12</v>
      </c>
      <c r="P66" s="257">
        <f>SUM(compras_mes12[[#This Row],[NETO GRAVADO]:[Otros / No Grav.]])</f>
        <v>86929.9473</v>
      </c>
      <c r="Q66" s="258" t="str">
        <f>IFERROR(IF(compras_mes12[[#This Row],[CUIT]]="","-",VLOOKUP(compras_mes12[[#This Row],[CUIT]],Lista_CUIT[#All],3,0)),"CUIT NO CARGADO")</f>
        <v>Combustible</v>
      </c>
      <c r="R66" s="258">
        <f>IFERROR(IF(compras_mes12[[#This Row],[CUIT]]="","-",VLOOKUP(compras_mes12[[#This Row],[CUIT]],Lista_CUIT[#All],4,0)),"CUIT NO CARGADO")</f>
        <v>0</v>
      </c>
    </row>
    <row r="67" spans="2:18" x14ac:dyDescent="0.3">
      <c r="B67" s="40">
        <v>45269</v>
      </c>
      <c r="C67" s="41">
        <v>1</v>
      </c>
      <c r="D67" s="42">
        <v>2199</v>
      </c>
      <c r="E67" s="43">
        <v>25876</v>
      </c>
      <c r="F67" s="44">
        <v>30548083156</v>
      </c>
      <c r="G67" s="45" t="str">
        <f>IFERROR(IF(compras_mes12[[#This Row],[CUIT]]="","-",VLOOKUP(compras_mes12[[#This Row],[CUIT]],Lista_CUIT[#All],2,0)),"CUIT NO CARGADO")</f>
        <v>COTO CENTRO INTEGRAL DE COMERCIALIZACION SOCIEDAD ANONIMA</v>
      </c>
      <c r="H67" s="46">
        <v>39776.39</v>
      </c>
      <c r="I67" s="85">
        <v>6630.21</v>
      </c>
      <c r="J67" s="85"/>
      <c r="K67" s="85">
        <v>861.42</v>
      </c>
      <c r="L67" s="85">
        <v>1070.23</v>
      </c>
      <c r="M67" s="85"/>
      <c r="N67" s="85">
        <v>1724.66</v>
      </c>
      <c r="O67" s="85"/>
      <c r="P67" s="48">
        <f>SUM(compras_mes12[[#This Row],[NETO GRAVADO]:[Otros / No Grav.]])</f>
        <v>50062.91</v>
      </c>
      <c r="Q67" s="49" t="str">
        <f>IFERROR(IF(compras_mes12[[#This Row],[CUIT]]="","-",VLOOKUP(compras_mes12[[#This Row],[CUIT]],Lista_CUIT[#All],3,0)),"CUIT NO CARGADO")</f>
        <v>GASTOS COMERCIALES</v>
      </c>
      <c r="R67" s="49">
        <f>IFERROR(IF(compras_mes12[[#This Row],[CUIT]]="","-",VLOOKUP(compras_mes12[[#This Row],[CUIT]],Lista_CUIT[#All],4,0)),"CUIT NO CARGADO")</f>
        <v>0</v>
      </c>
    </row>
    <row r="68" spans="2:18" x14ac:dyDescent="0.3">
      <c r="B68" s="40">
        <v>45269</v>
      </c>
      <c r="C68" s="41">
        <v>1</v>
      </c>
      <c r="D68" s="42">
        <v>802</v>
      </c>
      <c r="E68" s="43">
        <v>8137</v>
      </c>
      <c r="F68" s="44">
        <v>30612865333</v>
      </c>
      <c r="G68" s="45" t="str">
        <f>IFERROR(IF(compras_mes12[[#This Row],[CUIT]]="","-",VLOOKUP(compras_mes12[[#This Row],[CUIT]],Lista_CUIT[#All],2,0)),"CUIT NO CARGADO")</f>
        <v>MAYCAR S.A</v>
      </c>
      <c r="H68" s="46">
        <v>263847.06</v>
      </c>
      <c r="I68" s="85">
        <f>IF(compras_mes12[[#This Row],[NETO GRAVADO]]="","",compras_mes12[[#This Row],[NETO GRAVADO]]*0.21)</f>
        <v>55407.882599999997</v>
      </c>
      <c r="J68" s="85"/>
      <c r="K68" s="85"/>
      <c r="L68" s="85">
        <v>7915.41</v>
      </c>
      <c r="M68" s="85"/>
      <c r="N68" s="85"/>
      <c r="O68" s="85"/>
      <c r="P68" s="48">
        <f>SUM(compras_mes12[[#This Row],[NETO GRAVADO]:[Otros / No Grav.]])</f>
        <v>327170.35259999998</v>
      </c>
      <c r="Q68" s="49" t="str">
        <f>IFERROR(IF(compras_mes12[[#This Row],[CUIT]]="","-",VLOOKUP(compras_mes12[[#This Row],[CUIT]],Lista_CUIT[#All],3,0)),"CUIT NO CARGADO")</f>
        <v>Gastos Varios</v>
      </c>
      <c r="R68" s="49">
        <f>IFERROR(IF(compras_mes12[[#This Row],[CUIT]]="","-",VLOOKUP(compras_mes12[[#This Row],[CUIT]],Lista_CUIT[#All],4,0)),"CUIT NO CARGADO")</f>
        <v>0</v>
      </c>
    </row>
    <row r="69" spans="2:18" x14ac:dyDescent="0.3">
      <c r="B69" s="40">
        <v>45269</v>
      </c>
      <c r="C69" s="41">
        <v>1</v>
      </c>
      <c r="D69" s="42">
        <v>9</v>
      </c>
      <c r="E69" s="43">
        <v>451</v>
      </c>
      <c r="F69" s="44">
        <v>20134664518</v>
      </c>
      <c r="G69" s="45" t="str">
        <f>IFERROR(IF(compras_mes12[[#This Row],[CUIT]]="","-",VLOOKUP(compras_mes12[[#This Row],[CUIT]],Lista_CUIT[#All],2,0)),"CUIT NO CARGADO")</f>
        <v>HOKAMA SERGIO ENRIQUE</v>
      </c>
      <c r="H69" s="46">
        <v>5164.47</v>
      </c>
      <c r="I69" s="85">
        <f>IF(compras_mes12[[#This Row],[NETO GRAVADO]]="","",compras_mes12[[#This Row],[NETO GRAVADO]]*0.21)</f>
        <v>1084.5387000000001</v>
      </c>
      <c r="J69" s="85"/>
      <c r="K69" s="85"/>
      <c r="L69" s="85"/>
      <c r="M69" s="85"/>
      <c r="N69" s="85"/>
      <c r="O69" s="85"/>
      <c r="P69" s="48">
        <f>SUM(compras_mes12[[#This Row],[NETO GRAVADO]:[Otros / No Grav.]])</f>
        <v>6249.0087000000003</v>
      </c>
      <c r="Q69" s="49" t="str">
        <f>IFERROR(IF(compras_mes12[[#This Row],[CUIT]]="","-",VLOOKUP(compras_mes12[[#This Row],[CUIT]],Lista_CUIT[#All],3,0)),"CUIT NO CARGADO")</f>
        <v>Gastos Varios</v>
      </c>
      <c r="R69" s="49" t="str">
        <f>IFERROR(IF(compras_mes12[[#This Row],[CUIT]]="","-",VLOOKUP(compras_mes12[[#This Row],[CUIT]],Lista_CUIT[#All],4,0)),"CUIT NO CARGADO")</f>
        <v>BUENOS AIRES</v>
      </c>
    </row>
    <row r="70" spans="2:18" x14ac:dyDescent="0.3">
      <c r="B70" s="608">
        <v>45270</v>
      </c>
      <c r="C70" s="609">
        <v>1</v>
      </c>
      <c r="D70" s="610">
        <v>6364</v>
      </c>
      <c r="E70" s="611">
        <v>7984590</v>
      </c>
      <c r="F70" s="612">
        <v>30639453738</v>
      </c>
      <c r="G70" s="552" t="str">
        <f>IFERROR(IF(compras_mes12[[#This Row],[CUIT]]="","-",VLOOKUP(compras_mes12[[#This Row],[CUIT]],Lista_CUIT[#All],2,0)),"CUIT NO CARGADO")</f>
        <v>TELECOM ARG SA</v>
      </c>
      <c r="H70" s="548">
        <v>104110.53</v>
      </c>
      <c r="I70" s="528">
        <v>19580.2</v>
      </c>
      <c r="J70" s="528">
        <v>2935.29</v>
      </c>
      <c r="K70" s="528"/>
      <c r="L70" s="528"/>
      <c r="M70" s="528"/>
      <c r="N70" s="528">
        <v>5801.12</v>
      </c>
      <c r="O70" s="528">
        <v>3212.09</v>
      </c>
      <c r="P70" s="257">
        <f>SUM(compras_mes12[[#This Row],[NETO GRAVADO]:[Otros / No Grav.]])</f>
        <v>135639.22999999998</v>
      </c>
      <c r="Q70" s="553" t="str">
        <f>IFERROR(IF(compras_mes12[[#This Row],[CUIT]]="","-",VLOOKUP(compras_mes12[[#This Row],[CUIT]],Lista_CUIT[#All],3,0)),"CUIT NO CARGADO")</f>
        <v>Servicios Gas, Luz, etc.</v>
      </c>
      <c r="R70" s="553">
        <f>IFERROR(IF(compras_mes12[[#This Row],[CUIT]]="","-",VLOOKUP(compras_mes12[[#This Row],[CUIT]],Lista_CUIT[#All],4,0)),"CUIT NO CARGADO")</f>
        <v>0</v>
      </c>
    </row>
    <row r="71" spans="2:18" x14ac:dyDescent="0.3">
      <c r="B71" s="40">
        <v>45270</v>
      </c>
      <c r="C71" s="41">
        <v>1</v>
      </c>
      <c r="D71" s="42">
        <v>8794</v>
      </c>
      <c r="E71" s="43">
        <v>11261</v>
      </c>
      <c r="F71" s="44">
        <v>30678774495</v>
      </c>
      <c r="G71" s="45" t="str">
        <f>IFERROR(IF(compras_mes12[[#This Row],[CUIT]]="","-",VLOOKUP(compras_mes12[[#This Row],[CUIT]],Lista_CUIT[#All],2,0)),"CUIT NO CARGADO")</f>
        <v>OPER. DE EST. DE SERV. SA</v>
      </c>
      <c r="H71" s="46">
        <v>10569.68</v>
      </c>
      <c r="I71" s="85">
        <f>IF(compras_mes12[[#This Row],[NETO GRAVADO]]="","",compras_mes12[[#This Row],[NETO GRAVADO]]*0.21)</f>
        <v>2219.6327999999999</v>
      </c>
      <c r="J71" s="85"/>
      <c r="K71" s="85"/>
      <c r="L71" s="85"/>
      <c r="M71" s="85"/>
      <c r="N71" s="85"/>
      <c r="O71" s="85">
        <v>711.7</v>
      </c>
      <c r="P71" s="48">
        <f>SUM(compras_mes12[[#This Row],[NETO GRAVADO]:[Otros / No Grav.]])</f>
        <v>13501.0128</v>
      </c>
      <c r="Q71" s="49" t="str">
        <f>IFERROR(IF(compras_mes12[[#This Row],[CUIT]]="","-",VLOOKUP(compras_mes12[[#This Row],[CUIT]],Lista_CUIT[#All],3,0)),"CUIT NO CARGADO")</f>
        <v>Combustibe</v>
      </c>
      <c r="R71" s="49">
        <f>IFERROR(IF(compras_mes12[[#This Row],[CUIT]]="","-",VLOOKUP(compras_mes12[[#This Row],[CUIT]],Lista_CUIT[#All],4,0)),"CUIT NO CARGADO")</f>
        <v>0</v>
      </c>
    </row>
    <row r="72" spans="2:18" x14ac:dyDescent="0.3">
      <c r="B72" s="40">
        <v>45270</v>
      </c>
      <c r="C72" s="41">
        <v>1</v>
      </c>
      <c r="D72" s="42">
        <v>11029</v>
      </c>
      <c r="E72" s="43">
        <v>969</v>
      </c>
      <c r="F72" s="44">
        <v>30590360763</v>
      </c>
      <c r="G72" s="45" t="str">
        <f>IFERROR(IF(compras_mes12[[#This Row],[CUIT]]="","-",VLOOKUP(compras_mes12[[#This Row],[CUIT]],Lista_CUIT[#All],2,0)),"CUIT NO CARGADO")</f>
        <v>CENCOSUD S.A</v>
      </c>
      <c r="H72" s="46">
        <v>13456.54</v>
      </c>
      <c r="I72" s="85">
        <v>2639.3</v>
      </c>
      <c r="J72" s="85"/>
      <c r="K72" s="85">
        <v>93.28</v>
      </c>
      <c r="L72" s="85">
        <v>377.04</v>
      </c>
      <c r="M72" s="85">
        <v>27.41</v>
      </c>
      <c r="N72" s="85">
        <v>752.57</v>
      </c>
      <c r="O72" s="85"/>
      <c r="P72" s="48">
        <f>SUM(compras_mes12[[#This Row],[NETO GRAVADO]:[Otros / No Grav.]])</f>
        <v>17346.14</v>
      </c>
      <c r="Q72" s="49" t="str">
        <f>IFERROR(IF(compras_mes12[[#This Row],[CUIT]]="","-",VLOOKUP(compras_mes12[[#This Row],[CUIT]],Lista_CUIT[#All],3,0)),"CUIT NO CARGADO")</f>
        <v>Gastos Varios</v>
      </c>
      <c r="R72" s="49">
        <f>IFERROR(IF(compras_mes12[[#This Row],[CUIT]]="","-",VLOOKUP(compras_mes12[[#This Row],[CUIT]],Lista_CUIT[#All],4,0)),"CUIT NO CARGADO")</f>
        <v>0</v>
      </c>
    </row>
    <row r="73" spans="2:18" x14ac:dyDescent="0.3">
      <c r="B73" s="40">
        <v>45271</v>
      </c>
      <c r="C73" s="41">
        <v>1</v>
      </c>
      <c r="D73" s="42">
        <v>4</v>
      </c>
      <c r="E73" s="43">
        <v>44670</v>
      </c>
      <c r="F73" s="44">
        <v>30709863076</v>
      </c>
      <c r="G73" s="45" t="str">
        <f>IFERROR(IF(compras_mes12[[#This Row],[CUIT]]="","-",VLOOKUP(compras_mes12[[#This Row],[CUIT]],Lista_CUIT[#All],2,0)),"CUIT NO CARGADO")</f>
        <v>INDUSTRIAS PLASTICOS SALTA S.R.L.</v>
      </c>
      <c r="H73" s="46">
        <v>1015200</v>
      </c>
      <c r="I73" s="85">
        <f>IF(compras_mes12[[#This Row],[NETO GRAVADO]]="","",compras_mes12[[#This Row],[NETO GRAVADO]]*0.21)</f>
        <v>213192</v>
      </c>
      <c r="J73" s="85"/>
      <c r="K73" s="85"/>
      <c r="L73" s="85"/>
      <c r="M73" s="85"/>
      <c r="N73" s="85"/>
      <c r="O73" s="85"/>
      <c r="P73" s="48">
        <f>SUM(compras_mes12[[#This Row],[NETO GRAVADO]:[Otros / No Grav.]])</f>
        <v>1228392</v>
      </c>
      <c r="Q73" s="49">
        <f>IFERROR(IF(compras_mes12[[#This Row],[CUIT]]="","-",VLOOKUP(compras_mes12[[#This Row],[CUIT]],Lista_CUIT[#All],3,0)),"CUIT NO CARGADO")</f>
        <v>0</v>
      </c>
      <c r="R73" s="49">
        <f>IFERROR(IF(compras_mes12[[#This Row],[CUIT]]="","-",VLOOKUP(compras_mes12[[#This Row],[CUIT]],Lista_CUIT[#All],4,0)),"CUIT NO CARGADO")</f>
        <v>0</v>
      </c>
    </row>
    <row r="74" spans="2:18" x14ac:dyDescent="0.3">
      <c r="B74" s="40">
        <v>45271</v>
      </c>
      <c r="C74" s="41">
        <v>1</v>
      </c>
      <c r="D74" s="42">
        <v>4</v>
      </c>
      <c r="E74" s="43">
        <v>28313</v>
      </c>
      <c r="F74" s="44">
        <v>30711101280</v>
      </c>
      <c r="G74" s="45" t="str">
        <f>IFERROR(IF(compras_mes12[[#This Row],[CUIT]]="","-",VLOOKUP(compras_mes12[[#This Row],[CUIT]],Lista_CUIT[#All],2,0)),"CUIT NO CARGADO")</f>
        <v>CASIU S.A.</v>
      </c>
      <c r="H74" s="46">
        <v>38876</v>
      </c>
      <c r="I74" s="85">
        <f>IF(compras_mes12[[#This Row],[NETO GRAVADO]]="","",compras_mes12[[#This Row],[NETO GRAVADO]]*0.21)</f>
        <v>8163.96</v>
      </c>
      <c r="J74" s="85"/>
      <c r="K74" s="85"/>
      <c r="L74" s="85"/>
      <c r="M74" s="85"/>
      <c r="N74" s="85"/>
      <c r="O74" s="85"/>
      <c r="P74" s="48">
        <f>SUM(compras_mes12[[#This Row],[NETO GRAVADO]:[Otros / No Grav.]])</f>
        <v>47039.96</v>
      </c>
      <c r="Q74" s="49">
        <f>IFERROR(IF(compras_mes12[[#This Row],[CUIT]]="","-",VLOOKUP(compras_mes12[[#This Row],[CUIT]],Lista_CUIT[#All],3,0)),"CUIT NO CARGADO")</f>
        <v>0</v>
      </c>
      <c r="R74" s="49">
        <f>IFERROR(IF(compras_mes12[[#This Row],[CUIT]]="","-",VLOOKUP(compras_mes12[[#This Row],[CUIT]],Lista_CUIT[#All],4,0)),"CUIT NO CARGADO")</f>
        <v>0</v>
      </c>
    </row>
    <row r="75" spans="2:18" x14ac:dyDescent="0.3">
      <c r="B75" s="40">
        <v>45271</v>
      </c>
      <c r="C75" s="41">
        <v>1</v>
      </c>
      <c r="D75" s="42">
        <v>5</v>
      </c>
      <c r="E75" s="43">
        <v>2712</v>
      </c>
      <c r="F75" s="44">
        <v>20116347742</v>
      </c>
      <c r="G75" s="45" t="str">
        <f>IFERROR(IF(compras_mes12[[#This Row],[CUIT]]="","-",VLOOKUP(compras_mes12[[#This Row],[CUIT]],Lista_CUIT[#All],2,0)),"CUIT NO CARGADO")</f>
        <v>VALDEZ PEDRO ALBERTO</v>
      </c>
      <c r="H75" s="46">
        <v>9763.0400000000009</v>
      </c>
      <c r="I75" s="85">
        <f>IF(compras_mes12[[#This Row],[NETO GRAVADO]]="","",compras_mes12[[#This Row],[NETO GRAVADO]]*0.21)</f>
        <v>2050.2384000000002</v>
      </c>
      <c r="J75" s="85"/>
      <c r="K75" s="85"/>
      <c r="L75" s="85"/>
      <c r="M75" s="85"/>
      <c r="N75" s="85"/>
      <c r="O75" s="85"/>
      <c r="P75" s="48">
        <f>SUM(compras_mes12[[#This Row],[NETO GRAVADO]:[Otros / No Grav.]])</f>
        <v>11813.278400000001</v>
      </c>
      <c r="Q75" s="49">
        <f>IFERROR(IF(compras_mes12[[#This Row],[CUIT]]="","-",VLOOKUP(compras_mes12[[#This Row],[CUIT]],Lista_CUIT[#All],3,0)),"CUIT NO CARGADO")</f>
        <v>0</v>
      </c>
      <c r="R75" s="49">
        <f>IFERROR(IF(compras_mes12[[#This Row],[CUIT]]="","-",VLOOKUP(compras_mes12[[#This Row],[CUIT]],Lista_CUIT[#All],4,0)),"CUIT NO CARGADO")</f>
        <v>0</v>
      </c>
    </row>
    <row r="76" spans="2:18" x14ac:dyDescent="0.3">
      <c r="B76" s="608">
        <v>45271</v>
      </c>
      <c r="C76" s="609">
        <v>1</v>
      </c>
      <c r="D76" s="610">
        <v>8</v>
      </c>
      <c r="E76" s="611">
        <v>17</v>
      </c>
      <c r="F76" s="612">
        <v>20310796736</v>
      </c>
      <c r="G76" s="552" t="str">
        <f>IFERROR(IF(compras_mes12[[#This Row],[CUIT]]="","-",VLOOKUP(compras_mes12[[#This Row],[CUIT]],Lista_CUIT[#All],2,0)),"CUIT NO CARGADO")</f>
        <v>CORREA SEBASTIAN NORBERTO</v>
      </c>
      <c r="H76" s="548">
        <v>11157.05</v>
      </c>
      <c r="I76" s="528">
        <f>IF(compras_mes12[[#This Row],[NETO GRAVADO]]="","",compras_mes12[[#This Row],[NETO GRAVADO]]*0.21)</f>
        <v>2342.9804999999997</v>
      </c>
      <c r="J76" s="528"/>
      <c r="K76" s="528"/>
      <c r="L76" s="528"/>
      <c r="M76" s="528"/>
      <c r="N76" s="528"/>
      <c r="O76" s="528"/>
      <c r="P76" s="529">
        <f>SUM(compras_mes12[[#This Row],[NETO GRAVADO]:[Otros / No Grav.]])</f>
        <v>13500.030499999999</v>
      </c>
      <c r="Q76" s="553">
        <f>IFERROR(IF(compras_mes12[[#This Row],[CUIT]]="","-",VLOOKUP(compras_mes12[[#This Row],[CUIT]],Lista_CUIT[#All],3,0)),"CUIT NO CARGADO")</f>
        <v>0</v>
      </c>
      <c r="R76" s="553">
        <f>IFERROR(IF(compras_mes12[[#This Row],[CUIT]]="","-",VLOOKUP(compras_mes12[[#This Row],[CUIT]],Lista_CUIT[#All],4,0)),"CUIT NO CARGADO")</f>
        <v>0</v>
      </c>
    </row>
    <row r="77" spans="2:18" x14ac:dyDescent="0.3">
      <c r="B77" s="40">
        <v>45271</v>
      </c>
      <c r="C77" s="41">
        <v>1</v>
      </c>
      <c r="D77" s="42">
        <v>4</v>
      </c>
      <c r="E77" s="43">
        <v>107</v>
      </c>
      <c r="F77" s="44">
        <v>27185805854</v>
      </c>
      <c r="G77" s="45" t="str">
        <f>IFERROR(IF(compras_mes12[[#This Row],[CUIT]]="","-",VLOOKUP(compras_mes12[[#This Row],[CUIT]],Lista_CUIT[#All],2,0)),"CUIT NO CARGADO")</f>
        <v>PANELLA MARIA CAROLINA</v>
      </c>
      <c r="H77" s="46">
        <v>338980</v>
      </c>
      <c r="I77" s="85">
        <f>IF(compras_mes12[[#This Row],[NETO GRAVADO]]="","",compras_mes12[[#This Row],[NETO GRAVADO]]*0.21)</f>
        <v>71185.8</v>
      </c>
      <c r="J77" s="85"/>
      <c r="K77" s="85"/>
      <c r="L77" s="85"/>
      <c r="M77" s="85"/>
      <c r="N77" s="85"/>
      <c r="O77" s="85"/>
      <c r="P77" s="48">
        <f>SUM(compras_mes12[[#This Row],[NETO GRAVADO]:[Otros / No Grav.]])</f>
        <v>410165.8</v>
      </c>
      <c r="Q77" s="49">
        <f>IFERROR(IF(compras_mes12[[#This Row],[CUIT]]="","-",VLOOKUP(compras_mes12[[#This Row],[CUIT]],Lista_CUIT[#All],3,0)),"CUIT NO CARGADO")</f>
        <v>0</v>
      </c>
      <c r="R77" s="49">
        <f>IFERROR(IF(compras_mes12[[#This Row],[CUIT]]="","-",VLOOKUP(compras_mes12[[#This Row],[CUIT]],Lista_CUIT[#All],4,0)),"CUIT NO CARGADO")</f>
        <v>0</v>
      </c>
    </row>
    <row r="78" spans="2:18" x14ac:dyDescent="0.3">
      <c r="B78" s="40">
        <v>45271</v>
      </c>
      <c r="C78" s="41">
        <v>1</v>
      </c>
      <c r="D78" s="42">
        <v>4</v>
      </c>
      <c r="E78" s="43">
        <v>108</v>
      </c>
      <c r="F78" s="44">
        <v>27185805854</v>
      </c>
      <c r="G78" s="45" t="str">
        <f>IFERROR(IF(compras_mes12[[#This Row],[CUIT]]="","-",VLOOKUP(compras_mes12[[#This Row],[CUIT]],Lista_CUIT[#All],2,0)),"CUIT NO CARGADO")</f>
        <v>PANELLA MARIA CAROLINA</v>
      </c>
      <c r="H78" s="46">
        <v>439250</v>
      </c>
      <c r="I78" s="85">
        <f>IF(compras_mes12[[#This Row],[NETO GRAVADO]]="","",compras_mes12[[#This Row],[NETO GRAVADO]]*0.21)</f>
        <v>92242.5</v>
      </c>
      <c r="J78" s="85"/>
      <c r="K78" s="85"/>
      <c r="L78" s="85"/>
      <c r="M78" s="85"/>
      <c r="N78" s="85"/>
      <c r="O78" s="85"/>
      <c r="P78" s="48">
        <f>SUM(compras_mes12[[#This Row],[NETO GRAVADO]:[Otros / No Grav.]])</f>
        <v>531492.5</v>
      </c>
      <c r="Q78" s="49">
        <f>IFERROR(IF(compras_mes12[[#This Row],[CUIT]]="","-",VLOOKUP(compras_mes12[[#This Row],[CUIT]],Lista_CUIT[#All],3,0)),"CUIT NO CARGADO")</f>
        <v>0</v>
      </c>
      <c r="R78" s="49">
        <f>IFERROR(IF(compras_mes12[[#This Row],[CUIT]]="","-",VLOOKUP(compras_mes12[[#This Row],[CUIT]],Lista_CUIT[#All],4,0)),"CUIT NO CARGADO")</f>
        <v>0</v>
      </c>
    </row>
    <row r="79" spans="2:18" x14ac:dyDescent="0.3">
      <c r="B79" s="40">
        <v>45271</v>
      </c>
      <c r="C79" s="41">
        <v>1</v>
      </c>
      <c r="D79" s="42">
        <v>1</v>
      </c>
      <c r="E79" s="43">
        <v>199</v>
      </c>
      <c r="F79" s="44">
        <v>20077604627</v>
      </c>
      <c r="G79" s="45" t="str">
        <f>IFERROR(IF(compras_mes12[[#This Row],[CUIT]]="","-",VLOOKUP(compras_mes12[[#This Row],[CUIT]],Lista_CUIT[#All],2,0)),"CUIT NO CARGADO")</f>
        <v>OCAÑO ENRIQUE</v>
      </c>
      <c r="H79" s="46">
        <v>1842729.52</v>
      </c>
      <c r="I79" s="85">
        <f>IF(compras_mes12[[#This Row],[NETO GRAVADO]]="","",compras_mes12[[#This Row],[NETO GRAVADO]]*0.21)</f>
        <v>386973.19919999997</v>
      </c>
      <c r="J79" s="85"/>
      <c r="K79" s="85"/>
      <c r="L79" s="85"/>
      <c r="M79" s="85"/>
      <c r="N79" s="85"/>
      <c r="O79" s="85"/>
      <c r="P79" s="48">
        <f>SUM(compras_mes12[[#This Row],[NETO GRAVADO]:[Otros / No Grav.]])</f>
        <v>2229702.7192000002</v>
      </c>
      <c r="Q79" s="49">
        <f>IFERROR(IF(compras_mes12[[#This Row],[CUIT]]="","-",VLOOKUP(compras_mes12[[#This Row],[CUIT]],Lista_CUIT[#All],3,0)),"CUIT NO CARGADO")</f>
        <v>0</v>
      </c>
      <c r="R79" s="49">
        <f>IFERROR(IF(compras_mes12[[#This Row],[CUIT]]="","-",VLOOKUP(compras_mes12[[#This Row],[CUIT]],Lista_CUIT[#All],4,0)),"CUIT NO CARGADO")</f>
        <v>0</v>
      </c>
    </row>
    <row r="80" spans="2:18" x14ac:dyDescent="0.3">
      <c r="B80" s="230">
        <v>45271</v>
      </c>
      <c r="C80" s="41">
        <v>1</v>
      </c>
      <c r="D80" s="231">
        <v>3</v>
      </c>
      <c r="E80" s="232">
        <v>24</v>
      </c>
      <c r="F80" s="233">
        <v>27235174451</v>
      </c>
      <c r="G80" s="234" t="str">
        <f>IFERROR(IF(compras_mes12[[#This Row],[CUIT]]="","-",VLOOKUP(compras_mes12[[#This Row],[CUIT]],Lista_CUIT[#All],2,0)),"CUIT NO CARGADO")</f>
        <v>SOTO DELAPORTE KARINA IRENE</v>
      </c>
      <c r="H80" s="235">
        <v>570160</v>
      </c>
      <c r="I80" s="85">
        <f>IF(compras_mes12[[#This Row],[NETO GRAVADO]]="","",compras_mes12[[#This Row],[NETO GRAVADO]]*0.21)</f>
        <v>119733.59999999999</v>
      </c>
      <c r="J80" s="236"/>
      <c r="K80" s="236"/>
      <c r="L80" s="236"/>
      <c r="M80" s="236"/>
      <c r="N80" s="236"/>
      <c r="O80" s="236"/>
      <c r="P80" s="237">
        <f>SUM(compras_mes12[[#This Row],[NETO GRAVADO]:[Otros / No Grav.]])</f>
        <v>689893.6</v>
      </c>
      <c r="Q80" s="238">
        <f>IFERROR(IF(compras_mes12[[#This Row],[CUIT]]="","-",VLOOKUP(compras_mes12[[#This Row],[CUIT]],Lista_CUIT[#All],3,0)),"CUIT NO CARGADO")</f>
        <v>0</v>
      </c>
      <c r="R80" s="238">
        <f>IFERROR(IF(compras_mes12[[#This Row],[CUIT]]="","-",VLOOKUP(compras_mes12[[#This Row],[CUIT]],Lista_CUIT[#All],4,0)),"CUIT NO CARGADO")</f>
        <v>0</v>
      </c>
    </row>
    <row r="81" spans="2:18" x14ac:dyDescent="0.3">
      <c r="B81" s="40">
        <v>45271</v>
      </c>
      <c r="C81" s="41">
        <v>1</v>
      </c>
      <c r="D81" s="42">
        <v>2</v>
      </c>
      <c r="E81" s="43">
        <v>3537</v>
      </c>
      <c r="F81" s="44">
        <v>30629863571</v>
      </c>
      <c r="G81" s="45" t="str">
        <f>IFERROR(IF(compras_mes12[[#This Row],[CUIT]]="","-",VLOOKUP(compras_mes12[[#This Row],[CUIT]],Lista_CUIT[#All],2,0)),"CUIT NO CARGADO")</f>
        <v>TECNIMAR S R L</v>
      </c>
      <c r="H81" s="46">
        <v>854100</v>
      </c>
      <c r="I81" s="85">
        <f>IF(compras_mes12[[#This Row],[NETO GRAVADO]]="","",compras_mes12[[#This Row],[NETO GRAVADO]]*0.21)</f>
        <v>179361</v>
      </c>
      <c r="J81" s="85"/>
      <c r="K81" s="85"/>
      <c r="L81" s="85"/>
      <c r="M81" s="85"/>
      <c r="N81" s="85"/>
      <c r="O81" s="85"/>
      <c r="P81" s="48">
        <f>SUM(compras_mes12[[#This Row],[NETO GRAVADO]:[Otros / No Grav.]])</f>
        <v>1033461</v>
      </c>
      <c r="Q81" s="49" t="str">
        <f>IFERROR(IF(compras_mes12[[#This Row],[CUIT]]="","-",VLOOKUP(compras_mes12[[#This Row],[CUIT]],Lista_CUIT[#All],3,0)),"CUIT NO CARGADO")</f>
        <v>LABORATORIO</v>
      </c>
      <c r="R81" s="49">
        <f>IFERROR(IF(compras_mes12[[#This Row],[CUIT]]="","-",VLOOKUP(compras_mes12[[#This Row],[CUIT]],Lista_CUIT[#All],4,0)),"CUIT NO CARGADO")</f>
        <v>0</v>
      </c>
    </row>
    <row r="82" spans="2:18" x14ac:dyDescent="0.3">
      <c r="B82" s="40">
        <v>45272</v>
      </c>
      <c r="C82" s="41">
        <v>1</v>
      </c>
      <c r="D82" s="42">
        <v>200</v>
      </c>
      <c r="E82" s="43">
        <v>170</v>
      </c>
      <c r="F82" s="44">
        <v>30714280712</v>
      </c>
      <c r="G82" s="45" t="str">
        <f>IFERROR(IF(compras_mes12[[#This Row],[CUIT]]="","-",VLOOKUP(compras_mes12[[#This Row],[CUIT]],Lista_CUIT[#All],2,0)),"CUIT NO CARGADO")</f>
        <v>COMO ARENA DEL MAR S.R.L.</v>
      </c>
      <c r="H82" s="46">
        <v>63223.12</v>
      </c>
      <c r="I82" s="85">
        <f>IF(compras_mes12[[#This Row],[NETO GRAVADO]]="","",compras_mes12[[#This Row],[NETO GRAVADO]]*0.21)</f>
        <v>13276.8552</v>
      </c>
      <c r="J82" s="85"/>
      <c r="K82" s="85"/>
      <c r="L82" s="85"/>
      <c r="M82" s="85"/>
      <c r="N82" s="85"/>
      <c r="O82" s="85"/>
      <c r="P82" s="48">
        <f>SUM(compras_mes12[[#This Row],[NETO GRAVADO]:[Otros / No Grav.]])</f>
        <v>76499.975200000001</v>
      </c>
      <c r="Q82" s="49">
        <f>IFERROR(IF(compras_mes12[[#This Row],[CUIT]]="","-",VLOOKUP(compras_mes12[[#This Row],[CUIT]],Lista_CUIT[#All],3,0)),"CUIT NO CARGADO")</f>
        <v>0</v>
      </c>
      <c r="R82" s="49">
        <f>IFERROR(IF(compras_mes12[[#This Row],[CUIT]]="","-",VLOOKUP(compras_mes12[[#This Row],[CUIT]],Lista_CUIT[#All],4,0)),"CUIT NO CARGADO")</f>
        <v>0</v>
      </c>
    </row>
    <row r="83" spans="2:18" x14ac:dyDescent="0.3">
      <c r="B83" s="230">
        <v>45272</v>
      </c>
      <c r="C83" s="41">
        <v>1</v>
      </c>
      <c r="D83" s="231">
        <v>9</v>
      </c>
      <c r="E83" s="232">
        <v>30</v>
      </c>
      <c r="F83" s="233">
        <v>27323842413</v>
      </c>
      <c r="G83" s="234" t="str">
        <f>IFERROR(IF(compras_mes12[[#This Row],[CUIT]]="","-",VLOOKUP(compras_mes12[[#This Row],[CUIT]],Lista_CUIT[#All],2,0)),"CUIT NO CARGADO")</f>
        <v>PIRON MARIA NATALIA ROMINA</v>
      </c>
      <c r="H83" s="235">
        <v>16264.46</v>
      </c>
      <c r="I83" s="85">
        <f>IF(compras_mes12[[#This Row],[NETO GRAVADO]]="","",compras_mes12[[#This Row],[NETO GRAVADO]]*0.21)</f>
        <v>3415.5365999999999</v>
      </c>
      <c r="J83" s="236"/>
      <c r="K83" s="236"/>
      <c r="L83" s="236"/>
      <c r="M83" s="236"/>
      <c r="N83" s="236"/>
      <c r="O83" s="236"/>
      <c r="P83" s="237">
        <f>SUM(compras_mes12[[#This Row],[NETO GRAVADO]:[Otros / No Grav.]])</f>
        <v>19679.996599999999</v>
      </c>
      <c r="Q83" s="238">
        <f>IFERROR(IF(compras_mes12[[#This Row],[CUIT]]="","-",VLOOKUP(compras_mes12[[#This Row],[CUIT]],Lista_CUIT[#All],3,0)),"CUIT NO CARGADO")</f>
        <v>0</v>
      </c>
      <c r="R83" s="238">
        <f>IFERROR(IF(compras_mes12[[#This Row],[CUIT]]="","-",VLOOKUP(compras_mes12[[#This Row],[CUIT]],Lista_CUIT[#All],4,0)),"CUIT NO CARGADO")</f>
        <v>0</v>
      </c>
    </row>
    <row r="84" spans="2:18" x14ac:dyDescent="0.3">
      <c r="B84" s="40">
        <v>45272</v>
      </c>
      <c r="C84" s="41">
        <v>1</v>
      </c>
      <c r="D84" s="42">
        <v>31</v>
      </c>
      <c r="E84" s="43">
        <v>196867</v>
      </c>
      <c r="F84" s="44">
        <v>30710114176</v>
      </c>
      <c r="G84" s="45" t="str">
        <f>IFERROR(IF(compras_mes12[[#This Row],[CUIT]]="","-",VLOOKUP(compras_mes12[[#This Row],[CUIT]],Lista_CUIT[#All],2,0)),"CUIT NO CARGADO")</f>
        <v>SYMONDS SA.</v>
      </c>
      <c r="H84" s="46">
        <v>125619.01</v>
      </c>
      <c r="I84" s="85">
        <f>IF(compras_mes12[[#This Row],[NETO GRAVADO]]="","",compras_mes12[[#This Row],[NETO GRAVADO]]*0.21)</f>
        <v>26379.992099999999</v>
      </c>
      <c r="J84" s="85"/>
      <c r="K84" s="85"/>
      <c r="L84" s="85"/>
      <c r="M84" s="85"/>
      <c r="N84" s="85">
        <v>7537.14</v>
      </c>
      <c r="O84" s="85"/>
      <c r="P84" s="48">
        <f>SUM(compras_mes12[[#This Row],[NETO GRAVADO]:[Otros / No Grav.]])</f>
        <v>159536.1421</v>
      </c>
      <c r="Q84" s="49" t="str">
        <f>IFERROR(IF(compras_mes12[[#This Row],[CUIT]]="","-",VLOOKUP(compras_mes12[[#This Row],[CUIT]],Lista_CUIT[#All],3,0)),"CUIT NO CARGADO")</f>
        <v xml:space="preserve">Gastos mantenimiento </v>
      </c>
      <c r="R84" s="49">
        <f>IFERROR(IF(compras_mes12[[#This Row],[CUIT]]="","-",VLOOKUP(compras_mes12[[#This Row],[CUIT]],Lista_CUIT[#All],4,0)),"CUIT NO CARGADO")</f>
        <v>0</v>
      </c>
    </row>
    <row r="85" spans="2:18" x14ac:dyDescent="0.3">
      <c r="B85" s="230">
        <v>45272</v>
      </c>
      <c r="C85" s="41">
        <v>1</v>
      </c>
      <c r="D85" s="231">
        <v>5</v>
      </c>
      <c r="E85" s="232">
        <v>2719</v>
      </c>
      <c r="F85" s="233">
        <v>20116347742</v>
      </c>
      <c r="G85" s="234" t="str">
        <f>IFERROR(IF(compras_mes12[[#This Row],[CUIT]]="","-",VLOOKUP(compras_mes12[[#This Row],[CUIT]],Lista_CUIT[#All],2,0)),"CUIT NO CARGADO")</f>
        <v>VALDEZ PEDRO ALBERTO</v>
      </c>
      <c r="H85" s="235">
        <v>2829.02</v>
      </c>
      <c r="I85" s="85">
        <f>IF(compras_mes12[[#This Row],[NETO GRAVADO]]="","",compras_mes12[[#This Row],[NETO GRAVADO]]*0.21)</f>
        <v>594.0942</v>
      </c>
      <c r="J85" s="236"/>
      <c r="K85" s="236"/>
      <c r="L85" s="236"/>
      <c r="M85" s="236"/>
      <c r="N85" s="236"/>
      <c r="O85" s="236"/>
      <c r="P85" s="237">
        <f>SUM(compras_mes12[[#This Row],[NETO GRAVADO]:[Otros / No Grav.]])</f>
        <v>3423.1142</v>
      </c>
      <c r="Q85" s="238">
        <f>IFERROR(IF(compras_mes12[[#This Row],[CUIT]]="","-",VLOOKUP(compras_mes12[[#This Row],[CUIT]],Lista_CUIT[#All],3,0)),"CUIT NO CARGADO")</f>
        <v>0</v>
      </c>
      <c r="R85" s="238">
        <f>IFERROR(IF(compras_mes12[[#This Row],[CUIT]]="","-",VLOOKUP(compras_mes12[[#This Row],[CUIT]],Lista_CUIT[#All],4,0)),"CUIT NO CARGADO")</f>
        <v>0</v>
      </c>
    </row>
    <row r="86" spans="2:18" x14ac:dyDescent="0.3">
      <c r="B86" s="40">
        <v>45272</v>
      </c>
      <c r="C86" s="41">
        <v>1</v>
      </c>
      <c r="D86" s="42">
        <v>2</v>
      </c>
      <c r="E86" s="43">
        <v>8230</v>
      </c>
      <c r="F86" s="44">
        <v>30714284963</v>
      </c>
      <c r="G86" s="45" t="str">
        <f>IFERROR(IF(compras_mes12[[#This Row],[CUIT]]="","-",VLOOKUP(compras_mes12[[#This Row],[CUIT]],Lista_CUIT[#All],2,0)),"CUIT NO CARGADO")</f>
        <v>ENGYMAN SRL</v>
      </c>
      <c r="H86" s="46">
        <v>107000</v>
      </c>
      <c r="I86" s="85">
        <f>IF(compras_mes12[[#This Row],[NETO GRAVADO]]="","",compras_mes12[[#This Row],[NETO GRAVADO]]*0.21)</f>
        <v>22470</v>
      </c>
      <c r="J86" s="85"/>
      <c r="K86" s="85"/>
      <c r="L86" s="85"/>
      <c r="M86" s="85"/>
      <c r="N86" s="85"/>
      <c r="O86" s="85"/>
      <c r="P86" s="48">
        <f>SUM(compras_mes12[[#This Row],[NETO GRAVADO]:[Otros / No Grav.]])</f>
        <v>129470</v>
      </c>
      <c r="Q86" s="49">
        <f>IFERROR(IF(compras_mes12[[#This Row],[CUIT]]="","-",VLOOKUP(compras_mes12[[#This Row],[CUIT]],Lista_CUIT[#All],3,0)),"CUIT NO CARGADO")</f>
        <v>0</v>
      </c>
      <c r="R86" s="49">
        <f>IFERROR(IF(compras_mes12[[#This Row],[CUIT]]="","-",VLOOKUP(compras_mes12[[#This Row],[CUIT]],Lista_CUIT[#All],4,0)),"CUIT NO CARGADO")</f>
        <v>0</v>
      </c>
    </row>
    <row r="87" spans="2:18" x14ac:dyDescent="0.3">
      <c r="B87" s="608">
        <v>45273</v>
      </c>
      <c r="C87" s="609">
        <v>1</v>
      </c>
      <c r="D87" s="610">
        <v>943</v>
      </c>
      <c r="E87" s="611">
        <v>973</v>
      </c>
      <c r="F87" s="612">
        <v>30712263519</v>
      </c>
      <c r="G87" s="552" t="str">
        <f>IFERROR(IF(compras_mes12[[#This Row],[CUIT]]="","-",VLOOKUP(compras_mes12[[#This Row],[CUIT]],Lista_CUIT[#All],2,0)),"CUIT NO CARGADO")</f>
        <v>GROUP MOBILE S.A.</v>
      </c>
      <c r="H87" s="548">
        <v>159338.01999999999</v>
      </c>
      <c r="I87" s="528">
        <f>IF(compras_mes12[[#This Row],[NETO GRAVADO]]="","",compras_mes12[[#This Row],[NETO GRAVADO]]*0.21)</f>
        <v>33460.984199999999</v>
      </c>
      <c r="J87" s="528"/>
      <c r="K87" s="528"/>
      <c r="L87" s="528"/>
      <c r="M87" s="528"/>
      <c r="N87" s="528"/>
      <c r="O87" s="528"/>
      <c r="P87" s="529">
        <f>SUM(compras_mes12[[#This Row],[NETO GRAVADO]:[Otros / No Grav.]])</f>
        <v>192799.0042</v>
      </c>
      <c r="Q87" s="553">
        <f>IFERROR(IF(compras_mes12[[#This Row],[CUIT]]="","-",VLOOKUP(compras_mes12[[#This Row],[CUIT]],Lista_CUIT[#All],3,0)),"CUIT NO CARGADO")</f>
        <v>0</v>
      </c>
      <c r="R87" s="553">
        <f>IFERROR(IF(compras_mes12[[#This Row],[CUIT]]="","-",VLOOKUP(compras_mes12[[#This Row],[CUIT]],Lista_CUIT[#All],4,0)),"CUIT NO CARGADO")</f>
        <v>0</v>
      </c>
    </row>
    <row r="88" spans="2:18" x14ac:dyDescent="0.3">
      <c r="B88" s="40">
        <v>45273</v>
      </c>
      <c r="C88" s="41">
        <v>1</v>
      </c>
      <c r="D88" s="42">
        <v>2188</v>
      </c>
      <c r="E88" s="43">
        <v>106901</v>
      </c>
      <c r="F88" s="44">
        <v>30548083156</v>
      </c>
      <c r="G88" s="45" t="str">
        <f>IFERROR(IF(compras_mes12[[#This Row],[CUIT]]="","-",VLOOKUP(compras_mes12[[#This Row],[CUIT]],Lista_CUIT[#All],2,0)),"CUIT NO CARGADO")</f>
        <v>COTO CENTRO INTEGRAL DE COMERCIALIZACION SOCIEDAD ANONIMA</v>
      </c>
      <c r="H88" s="46">
        <v>17389.240000000002</v>
      </c>
      <c r="I88" s="85">
        <v>1102.42</v>
      </c>
      <c r="J88" s="85"/>
      <c r="K88" s="85">
        <v>1274.6600000000001</v>
      </c>
      <c r="L88" s="85">
        <v>339.58000000000004</v>
      </c>
      <c r="M88" s="85"/>
      <c r="N88" s="85">
        <v>749.33</v>
      </c>
      <c r="O88" s="85"/>
      <c r="P88" s="48">
        <f>SUM(compras_mes12[[#This Row],[NETO GRAVADO]:[Otros / No Grav.]])</f>
        <v>20855.230000000007</v>
      </c>
      <c r="Q88" s="49" t="str">
        <f>IFERROR(IF(compras_mes12[[#This Row],[CUIT]]="","-",VLOOKUP(compras_mes12[[#This Row],[CUIT]],Lista_CUIT[#All],3,0)),"CUIT NO CARGADO")</f>
        <v>GASTOS COMERCIALES</v>
      </c>
      <c r="R88" s="49">
        <f>IFERROR(IF(compras_mes12[[#This Row],[CUIT]]="","-",VLOOKUP(compras_mes12[[#This Row],[CUIT]],Lista_CUIT[#All],4,0)),"CUIT NO CARGADO")</f>
        <v>0</v>
      </c>
    </row>
    <row r="89" spans="2:18" x14ac:dyDescent="0.3">
      <c r="B89" s="40">
        <v>45273</v>
      </c>
      <c r="C89" s="41">
        <v>1</v>
      </c>
      <c r="D89" s="42">
        <v>2</v>
      </c>
      <c r="E89" s="43">
        <v>3542</v>
      </c>
      <c r="F89" s="44">
        <v>30629863571</v>
      </c>
      <c r="G89" s="45" t="str">
        <f>IFERROR(IF(compras_mes12[[#This Row],[CUIT]]="","-",VLOOKUP(compras_mes12[[#This Row],[CUIT]],Lista_CUIT[#All],2,0)),"CUIT NO CARGADO")</f>
        <v>TECNIMAR S R L</v>
      </c>
      <c r="H89" s="46">
        <v>1622669.86</v>
      </c>
      <c r="I89" s="85">
        <f>IF(compras_mes12[[#This Row],[NETO GRAVADO]]="","",compras_mes12[[#This Row],[NETO GRAVADO]]*0.21)</f>
        <v>340760.67060000001</v>
      </c>
      <c r="J89" s="85"/>
      <c r="K89" s="85"/>
      <c r="L89" s="85"/>
      <c r="M89" s="85"/>
      <c r="N89" s="85"/>
      <c r="O89" s="85"/>
      <c r="P89" s="48">
        <f>SUM(compras_mes12[[#This Row],[NETO GRAVADO]:[Otros / No Grav.]])</f>
        <v>1963430.5306000002</v>
      </c>
      <c r="Q89" s="49" t="str">
        <f>IFERROR(IF(compras_mes12[[#This Row],[CUIT]]="","-",VLOOKUP(compras_mes12[[#This Row],[CUIT]],Lista_CUIT[#All],3,0)),"CUIT NO CARGADO")</f>
        <v>LABORATORIO</v>
      </c>
      <c r="R89" s="49">
        <f>IFERROR(IF(compras_mes12[[#This Row],[CUIT]]="","-",VLOOKUP(compras_mes12[[#This Row],[CUIT]],Lista_CUIT[#All],4,0)),"CUIT NO CARGADO")</f>
        <v>0</v>
      </c>
    </row>
    <row r="90" spans="2:18" x14ac:dyDescent="0.3">
      <c r="B90" s="40">
        <v>45273</v>
      </c>
      <c r="C90" s="41">
        <v>1</v>
      </c>
      <c r="D90" s="42">
        <v>2</v>
      </c>
      <c r="E90" s="43">
        <v>3543</v>
      </c>
      <c r="F90" s="44">
        <v>30629863571</v>
      </c>
      <c r="G90" s="45" t="str">
        <f>IFERROR(IF(compras_mes12[[#This Row],[CUIT]]="","-",VLOOKUP(compras_mes12[[#This Row],[CUIT]],Lista_CUIT[#All],2,0)),"CUIT NO CARGADO")</f>
        <v>TECNIMAR S R L</v>
      </c>
      <c r="H90" s="46">
        <v>1678694.38</v>
      </c>
      <c r="I90" s="85">
        <f>IF(compras_mes12[[#This Row],[NETO GRAVADO]]="","",compras_mes12[[#This Row],[NETO GRAVADO]]*0.21)</f>
        <v>352525.81979999994</v>
      </c>
      <c r="J90" s="85"/>
      <c r="K90" s="85"/>
      <c r="L90" s="85"/>
      <c r="M90" s="85"/>
      <c r="N90" s="85"/>
      <c r="O90" s="85"/>
      <c r="P90" s="48">
        <f>SUM(compras_mes12[[#This Row],[NETO GRAVADO]:[Otros / No Grav.]])</f>
        <v>2031220.1997999998</v>
      </c>
      <c r="Q90" s="49" t="str">
        <f>IFERROR(IF(compras_mes12[[#This Row],[CUIT]]="","-",VLOOKUP(compras_mes12[[#This Row],[CUIT]],Lista_CUIT[#All],3,0)),"CUIT NO CARGADO")</f>
        <v>LABORATORIO</v>
      </c>
      <c r="R90" s="49">
        <f>IFERROR(IF(compras_mes12[[#This Row],[CUIT]]="","-",VLOOKUP(compras_mes12[[#This Row],[CUIT]],Lista_CUIT[#All],4,0)),"CUIT NO CARGADO")</f>
        <v>0</v>
      </c>
    </row>
    <row r="91" spans="2:18" x14ac:dyDescent="0.3">
      <c r="B91" s="40">
        <v>45273</v>
      </c>
      <c r="C91" s="41">
        <v>1</v>
      </c>
      <c r="D91" s="42">
        <v>2</v>
      </c>
      <c r="E91" s="43">
        <v>3540</v>
      </c>
      <c r="F91" s="44">
        <v>30629863571</v>
      </c>
      <c r="G91" s="45" t="str">
        <f>IFERROR(IF(compras_mes12[[#This Row],[CUIT]]="","-",VLOOKUP(compras_mes12[[#This Row],[CUIT]],Lista_CUIT[#All],2,0)),"CUIT NO CARGADO")</f>
        <v>TECNIMAR S R L</v>
      </c>
      <c r="H91" s="46">
        <v>2821532.43</v>
      </c>
      <c r="I91" s="85">
        <f>IF(compras_mes12[[#This Row],[NETO GRAVADO]]="","",compras_mes12[[#This Row],[NETO GRAVADO]]*0.21)</f>
        <v>592521.81030000001</v>
      </c>
      <c r="J91" s="85"/>
      <c r="K91" s="85"/>
      <c r="L91" s="85"/>
      <c r="M91" s="85"/>
      <c r="N91" s="85"/>
      <c r="O91" s="85"/>
      <c r="P91" s="48">
        <f>SUM(compras_mes12[[#This Row],[NETO GRAVADO]:[Otros / No Grav.]])</f>
        <v>3414054.2403000002</v>
      </c>
      <c r="Q91" s="49" t="str">
        <f>IFERROR(IF(compras_mes12[[#This Row],[CUIT]]="","-",VLOOKUP(compras_mes12[[#This Row],[CUIT]],Lista_CUIT[#All],3,0)),"CUIT NO CARGADO")</f>
        <v>LABORATORIO</v>
      </c>
      <c r="R91" s="49">
        <f>IFERROR(IF(compras_mes12[[#This Row],[CUIT]]="","-",VLOOKUP(compras_mes12[[#This Row],[CUIT]],Lista_CUIT[#All],4,0)),"CUIT NO CARGADO")</f>
        <v>0</v>
      </c>
    </row>
    <row r="92" spans="2:18" x14ac:dyDescent="0.3">
      <c r="B92" s="608">
        <v>45274</v>
      </c>
      <c r="C92" s="609">
        <v>1</v>
      </c>
      <c r="D92" s="610">
        <v>6</v>
      </c>
      <c r="E92" s="611">
        <v>15187651</v>
      </c>
      <c r="F92" s="612">
        <v>30620177497</v>
      </c>
      <c r="G92" s="552" t="str">
        <f>IFERROR(IF(compras_mes12[[#This Row],[CUIT]]="","-",VLOOKUP(compras_mes12[[#This Row],[CUIT]],Lista_CUIT[#All],2,0)),"CUIT NO CARGADO")</f>
        <v>POSNET SRL</v>
      </c>
      <c r="H92" s="548">
        <v>9493.11</v>
      </c>
      <c r="I92" s="528">
        <f>IF(compras_mes12[[#This Row],[NETO GRAVADO]]="","",compras_mes12[[#This Row],[NETO GRAVADO]]*0.21)</f>
        <v>1993.5531000000001</v>
      </c>
      <c r="J92" s="528"/>
      <c r="K92" s="528"/>
      <c r="L92" s="528"/>
      <c r="M92" s="528"/>
      <c r="N92" s="528">
        <v>854.38</v>
      </c>
      <c r="O92" s="528"/>
      <c r="P92" s="257">
        <f>SUM(compras_mes12[[#This Row],[NETO GRAVADO]:[Otros / No Grav.]])</f>
        <v>12341.043100000001</v>
      </c>
      <c r="Q92" s="553" t="str">
        <f>IFERROR(IF(compras_mes12[[#This Row],[CUIT]]="","-",VLOOKUP(compras_mes12[[#This Row],[CUIT]],Lista_CUIT[#All],3,0)),"CUIT NO CARGADO")</f>
        <v>Servicios Gas, Luz, etc.</v>
      </c>
      <c r="R92" s="553">
        <f>IFERROR(IF(compras_mes12[[#This Row],[CUIT]]="","-",VLOOKUP(compras_mes12[[#This Row],[CUIT]],Lista_CUIT[#All],4,0)),"CUIT NO CARGADO")</f>
        <v>0</v>
      </c>
    </row>
    <row r="93" spans="2:18" x14ac:dyDescent="0.3">
      <c r="B93" s="619">
        <v>45274</v>
      </c>
      <c r="C93" s="609">
        <v>1</v>
      </c>
      <c r="D93" s="620">
        <v>6</v>
      </c>
      <c r="E93" s="621">
        <v>15187652</v>
      </c>
      <c r="F93" s="622">
        <v>30620177497</v>
      </c>
      <c r="G93" s="623" t="str">
        <f>IFERROR(IF(compras_mes12[[#This Row],[CUIT]]="","-",VLOOKUP(compras_mes12[[#This Row],[CUIT]],Lista_CUIT[#All],2,0)),"CUIT NO CARGADO")</f>
        <v>POSNET SRL</v>
      </c>
      <c r="H93" s="624">
        <v>9493.11</v>
      </c>
      <c r="I93" s="528">
        <f>IF(compras_mes12[[#This Row],[NETO GRAVADO]]="","",compras_mes12[[#This Row],[NETO GRAVADO]]*0.21)</f>
        <v>1993.5531000000001</v>
      </c>
      <c r="J93" s="625"/>
      <c r="K93" s="625"/>
      <c r="L93" s="625"/>
      <c r="M93" s="625"/>
      <c r="N93" s="625">
        <v>854.38</v>
      </c>
      <c r="O93" s="625"/>
      <c r="P93" s="644">
        <f>SUM(compras_mes12[[#This Row],[NETO GRAVADO]:[Otros / No Grav.]])</f>
        <v>12341.043100000001</v>
      </c>
      <c r="Q93" s="627" t="str">
        <f>IFERROR(IF(compras_mes12[[#This Row],[CUIT]]="","-",VLOOKUP(compras_mes12[[#This Row],[CUIT]],Lista_CUIT[#All],3,0)),"CUIT NO CARGADO")</f>
        <v>Servicios Gas, Luz, etc.</v>
      </c>
      <c r="R93" s="627">
        <f>IFERROR(IF(compras_mes12[[#This Row],[CUIT]]="","-",VLOOKUP(compras_mes12[[#This Row],[CUIT]],Lista_CUIT[#All],4,0)),"CUIT NO CARGADO")</f>
        <v>0</v>
      </c>
    </row>
    <row r="94" spans="2:18" x14ac:dyDescent="0.3">
      <c r="B94" s="619">
        <v>45274</v>
      </c>
      <c r="C94" s="609">
        <v>1</v>
      </c>
      <c r="D94" s="620">
        <v>6</v>
      </c>
      <c r="E94" s="621">
        <v>15187670</v>
      </c>
      <c r="F94" s="622">
        <v>30620177497</v>
      </c>
      <c r="G94" s="623" t="str">
        <f>IFERROR(IF(compras_mes12[[#This Row],[CUIT]]="","-",VLOOKUP(compras_mes12[[#This Row],[CUIT]],Lista_CUIT[#All],2,0)),"CUIT NO CARGADO")</f>
        <v>POSNET SRL</v>
      </c>
      <c r="H94" s="624">
        <v>9493.11</v>
      </c>
      <c r="I94" s="528">
        <f>IF(compras_mes12[[#This Row],[NETO GRAVADO]]="","",compras_mes12[[#This Row],[NETO GRAVADO]]*0.21)</f>
        <v>1993.5531000000001</v>
      </c>
      <c r="J94" s="625"/>
      <c r="K94" s="625"/>
      <c r="L94" s="625"/>
      <c r="M94" s="625"/>
      <c r="N94" s="625">
        <v>854.38</v>
      </c>
      <c r="O94" s="625"/>
      <c r="P94" s="644">
        <f>SUM(compras_mes12[[#This Row],[NETO GRAVADO]:[Otros / No Grav.]])</f>
        <v>12341.043100000001</v>
      </c>
      <c r="Q94" s="627" t="str">
        <f>IFERROR(IF(compras_mes12[[#This Row],[CUIT]]="","-",VLOOKUP(compras_mes12[[#This Row],[CUIT]],Lista_CUIT[#All],3,0)),"CUIT NO CARGADO")</f>
        <v>Servicios Gas, Luz, etc.</v>
      </c>
      <c r="R94" s="627">
        <f>IFERROR(IF(compras_mes12[[#This Row],[CUIT]]="","-",VLOOKUP(compras_mes12[[#This Row],[CUIT]],Lista_CUIT[#All],4,0)),"CUIT NO CARGADO")</f>
        <v>0</v>
      </c>
    </row>
    <row r="95" spans="2:18" x14ac:dyDescent="0.3">
      <c r="B95" s="608">
        <v>45274</v>
      </c>
      <c r="C95" s="609">
        <v>1</v>
      </c>
      <c r="D95" s="610">
        <v>6</v>
      </c>
      <c r="E95" s="611">
        <v>15187712</v>
      </c>
      <c r="F95" s="612">
        <v>30620177497</v>
      </c>
      <c r="G95" s="552" t="str">
        <f>IFERROR(IF(compras_mes12[[#This Row],[CUIT]]="","-",VLOOKUP(compras_mes12[[#This Row],[CUIT]],Lista_CUIT[#All],2,0)),"CUIT NO CARGADO")</f>
        <v>POSNET SRL</v>
      </c>
      <c r="H95" s="548">
        <v>28479.33</v>
      </c>
      <c r="I95" s="528">
        <f>IF(compras_mes12[[#This Row],[NETO GRAVADO]]="","",compras_mes12[[#This Row],[NETO GRAVADO]]*0.21)</f>
        <v>5980.6593000000003</v>
      </c>
      <c r="J95" s="528"/>
      <c r="K95" s="528"/>
      <c r="L95" s="528"/>
      <c r="M95" s="528"/>
      <c r="N95" s="528">
        <v>2563.4</v>
      </c>
      <c r="O95" s="528"/>
      <c r="P95" s="257">
        <f>SUM(compras_mes12[[#This Row],[NETO GRAVADO]:[Otros / No Grav.]])</f>
        <v>37023.389300000003</v>
      </c>
      <c r="Q95" s="553" t="str">
        <f>IFERROR(IF(compras_mes12[[#This Row],[CUIT]]="","-",VLOOKUP(compras_mes12[[#This Row],[CUIT]],Lista_CUIT[#All],3,0)),"CUIT NO CARGADO")</f>
        <v>Servicios Gas, Luz, etc.</v>
      </c>
      <c r="R95" s="553">
        <f>IFERROR(IF(compras_mes12[[#This Row],[CUIT]]="","-",VLOOKUP(compras_mes12[[#This Row],[CUIT]],Lista_CUIT[#All],4,0)),"CUIT NO CARGADO")</f>
        <v>0</v>
      </c>
    </row>
    <row r="96" spans="2:18" x14ac:dyDescent="0.3">
      <c r="B96" s="249">
        <v>45274</v>
      </c>
      <c r="C96" s="250">
        <v>1</v>
      </c>
      <c r="D96" s="251">
        <v>5</v>
      </c>
      <c r="E96" s="252">
        <v>3211</v>
      </c>
      <c r="F96" s="253">
        <v>30702259890</v>
      </c>
      <c r="G96" s="254" t="str">
        <f>IFERROR(IF(compras_mes12[[#This Row],[CUIT]]="","-",VLOOKUP(compras_mes12[[#This Row],[CUIT]],Lista_CUIT[#All],2,0)),"CUIT NO CARGADO")</f>
        <v>FERREMUNDO SRL</v>
      </c>
      <c r="H96" s="255">
        <v>11570.25</v>
      </c>
      <c r="I96" s="256">
        <f>IF(compras_mes12[[#This Row],[NETO GRAVADO]]="","",compras_mes12[[#This Row],[NETO GRAVADO]]*0.21)</f>
        <v>2429.7525000000001</v>
      </c>
      <c r="J96" s="256"/>
      <c r="K96" s="256"/>
      <c r="L96" s="256"/>
      <c r="M96" s="256"/>
      <c r="N96" s="256"/>
      <c r="O96" s="256"/>
      <c r="P96" s="257">
        <f>SUM(compras_mes12[[#This Row],[NETO GRAVADO]:[Otros / No Grav.]])</f>
        <v>14000.002500000001</v>
      </c>
      <c r="Q96" s="258">
        <f>IFERROR(IF(compras_mes12[[#This Row],[CUIT]]="","-",VLOOKUP(compras_mes12[[#This Row],[CUIT]],Lista_CUIT[#All],3,0)),"CUIT NO CARGADO")</f>
        <v>0</v>
      </c>
      <c r="R96" s="258">
        <f>IFERROR(IF(compras_mes12[[#This Row],[CUIT]]="","-",VLOOKUP(compras_mes12[[#This Row],[CUIT]],Lista_CUIT[#All],4,0)),"CUIT NO CARGADO")</f>
        <v>0</v>
      </c>
    </row>
    <row r="97" spans="2:18" x14ac:dyDescent="0.3">
      <c r="B97" s="40">
        <v>45274</v>
      </c>
      <c r="C97" s="41">
        <v>1</v>
      </c>
      <c r="D97" s="42">
        <v>6852</v>
      </c>
      <c r="E97" s="43">
        <v>20808</v>
      </c>
      <c r="F97" s="44">
        <v>30678774495</v>
      </c>
      <c r="G97" s="45" t="str">
        <f>IFERROR(IF(compras_mes12[[#This Row],[CUIT]]="","-",VLOOKUP(compras_mes12[[#This Row],[CUIT]],Lista_CUIT[#All],2,0)),"CUIT NO CARGADO")</f>
        <v>OPER. DE EST. DE SERV. SA</v>
      </c>
      <c r="H97" s="46">
        <v>15067.39</v>
      </c>
      <c r="I97" s="85">
        <f>IF(compras_mes12[[#This Row],[NETO GRAVADO]]="","",compras_mes12[[#This Row],[NETO GRAVADO]]*0.21)</f>
        <v>3164.1518999999998</v>
      </c>
      <c r="J97" s="85"/>
      <c r="K97" s="85"/>
      <c r="L97" s="85"/>
      <c r="M97" s="85"/>
      <c r="N97" s="85"/>
      <c r="O97" s="85">
        <v>771.44</v>
      </c>
      <c r="P97" s="48">
        <f>SUM(compras_mes12[[#This Row],[NETO GRAVADO]:[Otros / No Grav.]])</f>
        <v>19002.981899999999</v>
      </c>
      <c r="Q97" s="49" t="str">
        <f>IFERROR(IF(compras_mes12[[#This Row],[CUIT]]="","-",VLOOKUP(compras_mes12[[#This Row],[CUIT]],Lista_CUIT[#All],3,0)),"CUIT NO CARGADO")</f>
        <v>Combustibe</v>
      </c>
      <c r="R97" s="49">
        <f>IFERROR(IF(compras_mes12[[#This Row],[CUIT]]="","-",VLOOKUP(compras_mes12[[#This Row],[CUIT]],Lista_CUIT[#All],4,0)),"CUIT NO CARGADO")</f>
        <v>0</v>
      </c>
    </row>
    <row r="98" spans="2:18" x14ac:dyDescent="0.3">
      <c r="B98" s="40">
        <v>45274</v>
      </c>
      <c r="C98" s="41">
        <v>1</v>
      </c>
      <c r="D98" s="42">
        <v>7</v>
      </c>
      <c r="E98" s="43">
        <v>2171</v>
      </c>
      <c r="F98" s="44">
        <v>20134664518</v>
      </c>
      <c r="G98" s="45" t="str">
        <f>IFERROR(IF(compras_mes12[[#This Row],[CUIT]]="","-",VLOOKUP(compras_mes12[[#This Row],[CUIT]],Lista_CUIT[#All],2,0)),"CUIT NO CARGADO")</f>
        <v>HOKAMA SERGIO ENRIQUE</v>
      </c>
      <c r="H98" s="46">
        <v>30439.13</v>
      </c>
      <c r="I98" s="85">
        <f>IF(compras_mes12[[#This Row],[NETO GRAVADO]]="","",compras_mes12[[#This Row],[NETO GRAVADO]]*0.21)</f>
        <v>6392.2173000000003</v>
      </c>
      <c r="J98" s="85"/>
      <c r="K98" s="85"/>
      <c r="L98" s="85"/>
      <c r="M98" s="85"/>
      <c r="N98" s="85"/>
      <c r="O98" s="85"/>
      <c r="P98" s="48">
        <f>SUM(compras_mes12[[#This Row],[NETO GRAVADO]:[Otros / No Grav.]])</f>
        <v>36831.347300000001</v>
      </c>
      <c r="Q98" s="49" t="str">
        <f>IFERROR(IF(compras_mes12[[#This Row],[CUIT]]="","-",VLOOKUP(compras_mes12[[#This Row],[CUIT]],Lista_CUIT[#All],3,0)),"CUIT NO CARGADO")</f>
        <v>Gastos Varios</v>
      </c>
      <c r="R98" s="49" t="str">
        <f>IFERROR(IF(compras_mes12[[#This Row],[CUIT]]="","-",VLOOKUP(compras_mes12[[#This Row],[CUIT]],Lista_CUIT[#All],4,0)),"CUIT NO CARGADO")</f>
        <v>BUENOS AIRES</v>
      </c>
    </row>
    <row r="99" spans="2:18" x14ac:dyDescent="0.3">
      <c r="B99" s="40">
        <v>45274</v>
      </c>
      <c r="C99" s="41">
        <v>1</v>
      </c>
      <c r="D99" s="42">
        <v>3</v>
      </c>
      <c r="E99" s="43">
        <v>1014</v>
      </c>
      <c r="F99" s="44">
        <v>23142556499</v>
      </c>
      <c r="G99" s="45" t="str">
        <f>IFERROR(IF(compras_mes12[[#This Row],[CUIT]]="","-",VLOOKUP(compras_mes12[[#This Row],[CUIT]],Lista_CUIT[#All],2,0)),"CUIT NO CARGADO")</f>
        <v>URRUTIA DANIEL ALBERTO</v>
      </c>
      <c r="H99" s="46">
        <v>10247.950000000001</v>
      </c>
      <c r="I99" s="85">
        <f>IF(compras_mes12[[#This Row],[NETO GRAVADO]]="","",compras_mes12[[#This Row],[NETO GRAVADO]]*0.21)</f>
        <v>2152.0695000000001</v>
      </c>
      <c r="J99" s="85"/>
      <c r="K99" s="85"/>
      <c r="L99" s="85"/>
      <c r="M99" s="85"/>
      <c r="N99" s="85"/>
      <c r="O99" s="85"/>
      <c r="P99" s="48">
        <f>SUM(compras_mes12[[#This Row],[NETO GRAVADO]:[Otros / No Grav.]])</f>
        <v>12400.0195</v>
      </c>
      <c r="Q99" s="49">
        <f>IFERROR(IF(compras_mes12[[#This Row],[CUIT]]="","-",VLOOKUP(compras_mes12[[#This Row],[CUIT]],Lista_CUIT[#All],3,0)),"CUIT NO CARGADO")</f>
        <v>0</v>
      </c>
      <c r="R99" s="49">
        <f>IFERROR(IF(compras_mes12[[#This Row],[CUIT]]="","-",VLOOKUP(compras_mes12[[#This Row],[CUIT]],Lista_CUIT[#All],4,0)),"CUIT NO CARGADO")</f>
        <v>0</v>
      </c>
    </row>
    <row r="100" spans="2:18" x14ac:dyDescent="0.3">
      <c r="B100" s="608">
        <v>45275</v>
      </c>
      <c r="C100" s="609">
        <v>1</v>
      </c>
      <c r="D100" s="610">
        <v>4264</v>
      </c>
      <c r="E100" s="611">
        <v>3109181</v>
      </c>
      <c r="F100" s="612">
        <v>30639453738</v>
      </c>
      <c r="G100" s="552" t="str">
        <f>IFERROR(IF(compras_mes12[[#This Row],[CUIT]]="","-",VLOOKUP(compras_mes12[[#This Row],[CUIT]],Lista_CUIT[#All],2,0)),"CUIT NO CARGADO")</f>
        <v>TELECOM ARG SA</v>
      </c>
      <c r="H100" s="548">
        <v>79550</v>
      </c>
      <c r="I100" s="528">
        <f>IF(compras_mes12[[#This Row],[NETO GRAVADO]]="","",compras_mes12[[#This Row],[NETO GRAVADO]]*0.21)</f>
        <v>16705.5</v>
      </c>
      <c r="J100" s="528"/>
      <c r="K100" s="528"/>
      <c r="L100" s="528"/>
      <c r="M100" s="528"/>
      <c r="N100" s="528">
        <v>7159.5</v>
      </c>
      <c r="O100" s="528"/>
      <c r="P100" s="257">
        <f>SUM(compras_mes12[[#This Row],[NETO GRAVADO]:[Otros / No Grav.]])</f>
        <v>103415</v>
      </c>
      <c r="Q100" s="553" t="str">
        <f>IFERROR(IF(compras_mes12[[#This Row],[CUIT]]="","-",VLOOKUP(compras_mes12[[#This Row],[CUIT]],Lista_CUIT[#All],3,0)),"CUIT NO CARGADO")</f>
        <v>Servicios Gas, Luz, etc.</v>
      </c>
      <c r="R100" s="553">
        <f>IFERROR(IF(compras_mes12[[#This Row],[CUIT]]="","-",VLOOKUP(compras_mes12[[#This Row],[CUIT]],Lista_CUIT[#All],4,0)),"CUIT NO CARGADO")</f>
        <v>0</v>
      </c>
    </row>
    <row r="101" spans="2:18" x14ac:dyDescent="0.3">
      <c r="B101" s="608">
        <v>45275</v>
      </c>
      <c r="C101" s="609">
        <v>1</v>
      </c>
      <c r="D101" s="610">
        <v>4264</v>
      </c>
      <c r="E101" s="611">
        <v>3057441</v>
      </c>
      <c r="F101" s="612">
        <v>30639453738</v>
      </c>
      <c r="G101" s="552" t="str">
        <f>IFERROR(IF(compras_mes12[[#This Row],[CUIT]]="","-",VLOOKUP(compras_mes12[[#This Row],[CUIT]],Lista_CUIT[#All],2,0)),"CUIT NO CARGADO")</f>
        <v>TELECOM ARG SA</v>
      </c>
      <c r="H101" s="548">
        <v>28000</v>
      </c>
      <c r="I101" s="528">
        <f>IF(compras_mes12[[#This Row],[NETO GRAVADO]]="","",compras_mes12[[#This Row],[NETO GRAVADO]]*0.21)</f>
        <v>5880</v>
      </c>
      <c r="J101" s="528"/>
      <c r="K101" s="528"/>
      <c r="L101" s="528"/>
      <c r="M101" s="528"/>
      <c r="N101" s="528">
        <v>2520</v>
      </c>
      <c r="O101" s="528"/>
      <c r="P101" s="257">
        <f>SUM(compras_mes12[[#This Row],[NETO GRAVADO]:[Otros / No Grav.]])</f>
        <v>36400</v>
      </c>
      <c r="Q101" s="553" t="str">
        <f>IFERROR(IF(compras_mes12[[#This Row],[CUIT]]="","-",VLOOKUP(compras_mes12[[#This Row],[CUIT]],Lista_CUIT[#All],3,0)),"CUIT NO CARGADO")</f>
        <v>Servicios Gas, Luz, etc.</v>
      </c>
      <c r="R101" s="553">
        <f>IFERROR(IF(compras_mes12[[#This Row],[CUIT]]="","-",VLOOKUP(compras_mes12[[#This Row],[CUIT]],Lista_CUIT[#All],4,0)),"CUIT NO CARGADO")</f>
        <v>0</v>
      </c>
    </row>
    <row r="102" spans="2:18" x14ac:dyDescent="0.3">
      <c r="B102" s="608">
        <v>45275</v>
      </c>
      <c r="C102" s="609">
        <v>1</v>
      </c>
      <c r="D102" s="610">
        <v>4264</v>
      </c>
      <c r="E102" s="611">
        <v>3062828</v>
      </c>
      <c r="F102" s="612">
        <v>30639453738</v>
      </c>
      <c r="G102" s="552" t="str">
        <f>IFERROR(IF(compras_mes12[[#This Row],[CUIT]]="","-",VLOOKUP(compras_mes12[[#This Row],[CUIT]],Lista_CUIT[#All],2,0)),"CUIT NO CARGADO")</f>
        <v>TELECOM ARG SA</v>
      </c>
      <c r="H102" s="548">
        <v>20800</v>
      </c>
      <c r="I102" s="528">
        <f>IF(compras_mes12[[#This Row],[NETO GRAVADO]]="","",compras_mes12[[#This Row],[NETO GRAVADO]]*0.21)</f>
        <v>4368</v>
      </c>
      <c r="J102" s="528"/>
      <c r="K102" s="528"/>
      <c r="L102" s="528"/>
      <c r="M102" s="528"/>
      <c r="N102" s="528">
        <v>624</v>
      </c>
      <c r="O102" s="528"/>
      <c r="P102" s="257">
        <f>SUM(compras_mes12[[#This Row],[NETO GRAVADO]:[Otros / No Grav.]])</f>
        <v>25792</v>
      </c>
      <c r="Q102" s="553" t="str">
        <f>IFERROR(IF(compras_mes12[[#This Row],[CUIT]]="","-",VLOOKUP(compras_mes12[[#This Row],[CUIT]],Lista_CUIT[#All],3,0)),"CUIT NO CARGADO")</f>
        <v>Servicios Gas, Luz, etc.</v>
      </c>
      <c r="R102" s="553">
        <f>IFERROR(IF(compras_mes12[[#This Row],[CUIT]]="","-",VLOOKUP(compras_mes12[[#This Row],[CUIT]],Lista_CUIT[#All],4,0)),"CUIT NO CARGADO")</f>
        <v>0</v>
      </c>
    </row>
    <row r="103" spans="2:18" x14ac:dyDescent="0.3">
      <c r="B103" s="249">
        <v>45275</v>
      </c>
      <c r="C103" s="250">
        <v>1</v>
      </c>
      <c r="D103" s="251">
        <v>5</v>
      </c>
      <c r="E103" s="252">
        <v>3229</v>
      </c>
      <c r="F103" s="253">
        <v>30702259890</v>
      </c>
      <c r="G103" s="254" t="str">
        <f>IFERROR(IF(compras_mes12[[#This Row],[CUIT]]="","-",VLOOKUP(compras_mes12[[#This Row],[CUIT]],Lista_CUIT[#All],2,0)),"CUIT NO CARGADO")</f>
        <v>FERREMUNDO SRL</v>
      </c>
      <c r="H103" s="255">
        <v>8347.11</v>
      </c>
      <c r="I103" s="256">
        <f>IF(compras_mes12[[#This Row],[NETO GRAVADO]]="","",compras_mes12[[#This Row],[NETO GRAVADO]]*0.21)</f>
        <v>1752.8931</v>
      </c>
      <c r="J103" s="256"/>
      <c r="K103" s="256"/>
      <c r="L103" s="256"/>
      <c r="M103" s="256"/>
      <c r="N103" s="256"/>
      <c r="O103" s="256"/>
      <c r="P103" s="257">
        <f>SUM(compras_mes12[[#This Row],[NETO GRAVADO]:[Otros / No Grav.]])</f>
        <v>10100.0031</v>
      </c>
      <c r="Q103" s="258">
        <f>IFERROR(IF(compras_mes12[[#This Row],[CUIT]]="","-",VLOOKUP(compras_mes12[[#This Row],[CUIT]],Lista_CUIT[#All],3,0)),"CUIT NO CARGADO")</f>
        <v>0</v>
      </c>
      <c r="R103" s="258">
        <f>IFERROR(IF(compras_mes12[[#This Row],[CUIT]]="","-",VLOOKUP(compras_mes12[[#This Row],[CUIT]],Lista_CUIT[#All],4,0)),"CUIT NO CARGADO")</f>
        <v>0</v>
      </c>
    </row>
    <row r="104" spans="2:18" x14ac:dyDescent="0.3">
      <c r="B104" s="249">
        <v>45275</v>
      </c>
      <c r="C104" s="250">
        <v>1</v>
      </c>
      <c r="D104" s="251">
        <v>2</v>
      </c>
      <c r="E104" s="252">
        <v>348</v>
      </c>
      <c r="F104" s="253">
        <v>20262815367</v>
      </c>
      <c r="G104" s="254" t="str">
        <f>IFERROR(IF(compras_mes12[[#This Row],[CUIT]]="","-",VLOOKUP(compras_mes12[[#This Row],[CUIT]],Lista_CUIT[#All],2,0)),"CUIT NO CARGADO")</f>
        <v>CARDARELLO BASAVILBASO FEDERICO JORGE</v>
      </c>
      <c r="H104" s="255">
        <v>6115.7</v>
      </c>
      <c r="I104" s="256">
        <f>IF(compras_mes12[[#This Row],[NETO GRAVADO]]="","",compras_mes12[[#This Row],[NETO GRAVADO]]*0.21)</f>
        <v>1284.297</v>
      </c>
      <c r="J104" s="256"/>
      <c r="K104" s="256"/>
      <c r="L104" s="256"/>
      <c r="M104" s="256"/>
      <c r="N104" s="256"/>
      <c r="O104" s="256"/>
      <c r="P104" s="257">
        <f>SUM(compras_mes12[[#This Row],[NETO GRAVADO]:[Otros / No Grav.]])</f>
        <v>7399.9969999999994</v>
      </c>
      <c r="Q104" s="258" t="str">
        <f>IFERROR(IF(compras_mes12[[#This Row],[CUIT]]="","-",VLOOKUP(compras_mes12[[#This Row],[CUIT]],Lista_CUIT[#All],3,0)),"CUIT NO CARGADO")</f>
        <v>GASTOS VARIOS</v>
      </c>
      <c r="R104" s="258">
        <f>IFERROR(IF(compras_mes12[[#This Row],[CUIT]]="","-",VLOOKUP(compras_mes12[[#This Row],[CUIT]],Lista_CUIT[#All],4,0)),"CUIT NO CARGADO")</f>
        <v>0</v>
      </c>
    </row>
    <row r="105" spans="2:18" x14ac:dyDescent="0.3">
      <c r="B105" s="249">
        <v>45275</v>
      </c>
      <c r="C105" s="250">
        <v>1</v>
      </c>
      <c r="D105" s="251">
        <v>2</v>
      </c>
      <c r="E105" s="252">
        <v>349</v>
      </c>
      <c r="F105" s="253">
        <v>20262815367</v>
      </c>
      <c r="G105" s="254" t="str">
        <f>IFERROR(IF(compras_mes12[[#This Row],[CUIT]]="","-",VLOOKUP(compras_mes12[[#This Row],[CUIT]],Lista_CUIT[#All],2,0)),"CUIT NO CARGADO")</f>
        <v>CARDARELLO BASAVILBASO FEDERICO JORGE</v>
      </c>
      <c r="H105" s="255">
        <v>6115.7</v>
      </c>
      <c r="I105" s="256">
        <f>IF(compras_mes12[[#This Row],[NETO GRAVADO]]="","",compras_mes12[[#This Row],[NETO GRAVADO]]*0.21)</f>
        <v>1284.297</v>
      </c>
      <c r="J105" s="256"/>
      <c r="K105" s="256"/>
      <c r="L105" s="256"/>
      <c r="M105" s="256"/>
      <c r="N105" s="256"/>
      <c r="O105" s="256"/>
      <c r="P105" s="257">
        <f>SUM(compras_mes12[[#This Row],[NETO GRAVADO]:[Otros / No Grav.]])</f>
        <v>7399.9969999999994</v>
      </c>
      <c r="Q105" s="258" t="str">
        <f>IFERROR(IF(compras_mes12[[#This Row],[CUIT]]="","-",VLOOKUP(compras_mes12[[#This Row],[CUIT]],Lista_CUIT[#All],3,0)),"CUIT NO CARGADO")</f>
        <v>GASTOS VARIOS</v>
      </c>
      <c r="R105" s="258">
        <f>IFERROR(IF(compras_mes12[[#This Row],[CUIT]]="","-",VLOOKUP(compras_mes12[[#This Row],[CUIT]],Lista_CUIT[#All],4,0)),"CUIT NO CARGADO")</f>
        <v>0</v>
      </c>
    </row>
    <row r="106" spans="2:18" x14ac:dyDescent="0.3">
      <c r="B106" s="249">
        <v>45275</v>
      </c>
      <c r="C106" s="250">
        <v>1</v>
      </c>
      <c r="D106" s="251">
        <v>2</v>
      </c>
      <c r="E106" s="252">
        <v>346</v>
      </c>
      <c r="F106" s="253">
        <v>20262815367</v>
      </c>
      <c r="G106" s="254" t="str">
        <f>IFERROR(IF(compras_mes12[[#This Row],[CUIT]]="","-",VLOOKUP(compras_mes12[[#This Row],[CUIT]],Lista_CUIT[#All],2,0)),"CUIT NO CARGADO")</f>
        <v>CARDARELLO BASAVILBASO FEDERICO JORGE</v>
      </c>
      <c r="H106" s="255">
        <v>6942.14</v>
      </c>
      <c r="I106" s="256">
        <f>IF(compras_mes12[[#This Row],[NETO GRAVADO]]="","",compras_mes12[[#This Row],[NETO GRAVADO]]*0.21)</f>
        <v>1457.8494000000001</v>
      </c>
      <c r="J106" s="256"/>
      <c r="K106" s="256"/>
      <c r="L106" s="256"/>
      <c r="M106" s="256"/>
      <c r="N106" s="256"/>
      <c r="O106" s="256"/>
      <c r="P106" s="257">
        <f>SUM(compras_mes12[[#This Row],[NETO GRAVADO]:[Otros / No Grav.]])</f>
        <v>8399.9894000000004</v>
      </c>
      <c r="Q106" s="258" t="str">
        <f>IFERROR(IF(compras_mes12[[#This Row],[CUIT]]="","-",VLOOKUP(compras_mes12[[#This Row],[CUIT]],Lista_CUIT[#All],3,0)),"CUIT NO CARGADO")</f>
        <v>GASTOS VARIOS</v>
      </c>
      <c r="R106" s="258">
        <f>IFERROR(IF(compras_mes12[[#This Row],[CUIT]]="","-",VLOOKUP(compras_mes12[[#This Row],[CUIT]],Lista_CUIT[#All],4,0)),"CUIT NO CARGADO")</f>
        <v>0</v>
      </c>
    </row>
    <row r="107" spans="2:18" x14ac:dyDescent="0.3">
      <c r="B107" s="249">
        <v>45275</v>
      </c>
      <c r="C107" s="250">
        <v>1</v>
      </c>
      <c r="D107" s="251">
        <v>2</v>
      </c>
      <c r="E107" s="252">
        <v>347</v>
      </c>
      <c r="F107" s="253">
        <v>20262815367</v>
      </c>
      <c r="G107" s="254" t="str">
        <f>IFERROR(IF(compras_mes12[[#This Row],[CUIT]]="","-",VLOOKUP(compras_mes12[[#This Row],[CUIT]],Lista_CUIT[#All],2,0)),"CUIT NO CARGADO")</f>
        <v>CARDARELLO BASAVILBASO FEDERICO JORGE</v>
      </c>
      <c r="H107" s="255">
        <v>6115.7</v>
      </c>
      <c r="I107" s="256">
        <f>IF(compras_mes12[[#This Row],[NETO GRAVADO]]="","",compras_mes12[[#This Row],[NETO GRAVADO]]*0.21)</f>
        <v>1284.297</v>
      </c>
      <c r="J107" s="256"/>
      <c r="K107" s="256"/>
      <c r="L107" s="256"/>
      <c r="M107" s="256"/>
      <c r="N107" s="256"/>
      <c r="O107" s="256"/>
      <c r="P107" s="257">
        <f>SUM(compras_mes12[[#This Row],[NETO GRAVADO]:[Otros / No Grav.]])</f>
        <v>7399.9969999999994</v>
      </c>
      <c r="Q107" s="258" t="str">
        <f>IFERROR(IF(compras_mes12[[#This Row],[CUIT]]="","-",VLOOKUP(compras_mes12[[#This Row],[CUIT]],Lista_CUIT[#All],3,0)),"CUIT NO CARGADO")</f>
        <v>GASTOS VARIOS</v>
      </c>
      <c r="R107" s="258">
        <f>IFERROR(IF(compras_mes12[[#This Row],[CUIT]]="","-",VLOOKUP(compras_mes12[[#This Row],[CUIT]],Lista_CUIT[#All],4,0)),"CUIT NO CARGADO")</f>
        <v>0</v>
      </c>
    </row>
    <row r="108" spans="2:18" x14ac:dyDescent="0.3">
      <c r="B108" s="249">
        <v>45275</v>
      </c>
      <c r="C108" s="250">
        <v>1</v>
      </c>
      <c r="D108" s="251">
        <v>1189</v>
      </c>
      <c r="E108" s="252">
        <v>29654</v>
      </c>
      <c r="F108" s="253">
        <v>30715885596</v>
      </c>
      <c r="G108" s="254" t="str">
        <f>IFERROR(IF(compras_mes12[[#This Row],[CUIT]]="","-",VLOOKUP(compras_mes12[[#This Row],[CUIT]],Lista_CUIT[#All],2,0)),"CUIT NO CARGADO")</f>
        <v>REFINERIA BAHIA BLANCA SA</v>
      </c>
      <c r="H108" s="255">
        <v>3955.75</v>
      </c>
      <c r="I108" s="256">
        <f>IF(compras_mes12[[#This Row],[NETO GRAVADO]]="","",compras_mes12[[#This Row],[NETO GRAVADO]]*0.21)</f>
        <v>830.70749999999998</v>
      </c>
      <c r="J108" s="256"/>
      <c r="K108" s="256"/>
      <c r="L108" s="256"/>
      <c r="M108" s="256"/>
      <c r="N108" s="256"/>
      <c r="O108" s="256">
        <f>201.19+12.32</f>
        <v>213.51</v>
      </c>
      <c r="P108" s="257">
        <f>SUM(compras_mes12[[#This Row],[NETO GRAVADO]:[Otros / No Grav.]])</f>
        <v>4999.9675000000007</v>
      </c>
      <c r="Q108" s="258">
        <f>IFERROR(IF(compras_mes12[[#This Row],[CUIT]]="","-",VLOOKUP(compras_mes12[[#This Row],[CUIT]],Lista_CUIT[#All],3,0)),"CUIT NO CARGADO")</f>
        <v>0</v>
      </c>
      <c r="R108" s="258">
        <f>IFERROR(IF(compras_mes12[[#This Row],[CUIT]]="","-",VLOOKUP(compras_mes12[[#This Row],[CUIT]],Lista_CUIT[#All],4,0)),"CUIT NO CARGADO")</f>
        <v>0</v>
      </c>
    </row>
    <row r="109" spans="2:18" x14ac:dyDescent="0.3">
      <c r="B109" s="40">
        <v>45275</v>
      </c>
      <c r="C109" s="41">
        <v>1</v>
      </c>
      <c r="D109" s="42">
        <v>9</v>
      </c>
      <c r="E109" s="43">
        <v>468</v>
      </c>
      <c r="F109" s="44">
        <v>20134664518</v>
      </c>
      <c r="G109" s="45" t="str">
        <f>IFERROR(IF(compras_mes12[[#This Row],[CUIT]]="","-",VLOOKUP(compras_mes12[[#This Row],[CUIT]],Lista_CUIT[#All],2,0)),"CUIT NO CARGADO")</f>
        <v>HOKAMA SERGIO ENRIQUE</v>
      </c>
      <c r="H109" s="46">
        <v>14461.98</v>
      </c>
      <c r="I109" s="85">
        <f>IF(compras_mes12[[#This Row],[NETO GRAVADO]]="","",compras_mes12[[#This Row],[NETO GRAVADO]]*0.21)</f>
        <v>3037.0157999999997</v>
      </c>
      <c r="J109" s="85"/>
      <c r="K109" s="85"/>
      <c r="L109" s="85"/>
      <c r="M109" s="85"/>
      <c r="N109" s="85"/>
      <c r="O109" s="85"/>
      <c r="P109" s="48">
        <f>SUM(compras_mes12[[#This Row],[NETO GRAVADO]:[Otros / No Grav.]])</f>
        <v>17498.995800000001</v>
      </c>
      <c r="Q109" s="49" t="str">
        <f>IFERROR(IF(compras_mes12[[#This Row],[CUIT]]="","-",VLOOKUP(compras_mes12[[#This Row],[CUIT]],Lista_CUIT[#All],3,0)),"CUIT NO CARGADO")</f>
        <v>Gastos Varios</v>
      </c>
      <c r="R109" s="49" t="str">
        <f>IFERROR(IF(compras_mes12[[#This Row],[CUIT]]="","-",VLOOKUP(compras_mes12[[#This Row],[CUIT]],Lista_CUIT[#All],4,0)),"CUIT NO CARGADO")</f>
        <v>BUENOS AIRES</v>
      </c>
    </row>
    <row r="110" spans="2:18" x14ac:dyDescent="0.3">
      <c r="B110" s="40">
        <v>45275</v>
      </c>
      <c r="C110" s="41">
        <v>1</v>
      </c>
      <c r="D110" s="42">
        <v>6862</v>
      </c>
      <c r="E110" s="43">
        <v>26965</v>
      </c>
      <c r="F110" s="44">
        <v>30678774495</v>
      </c>
      <c r="G110" s="45" t="str">
        <f>IFERROR(IF(compras_mes12[[#This Row],[CUIT]]="","-",VLOOKUP(compras_mes12[[#This Row],[CUIT]],Lista_CUIT[#All],2,0)),"CUIT NO CARGADO")</f>
        <v>OPER. DE EST. DE SERV. SA</v>
      </c>
      <c r="H110" s="46">
        <v>21433.89</v>
      </c>
      <c r="I110" s="85">
        <f>IF(compras_mes12[[#This Row],[NETO GRAVADO]]="","",compras_mes12[[#This Row],[NETO GRAVADO]]*0.21)</f>
        <v>4501.1169</v>
      </c>
      <c r="J110" s="85"/>
      <c r="K110" s="85"/>
      <c r="L110" s="85"/>
      <c r="M110" s="85"/>
      <c r="N110" s="85"/>
      <c r="O110" s="85">
        <v>1067</v>
      </c>
      <c r="P110" s="48">
        <f>SUM(compras_mes12[[#This Row],[NETO GRAVADO]:[Otros / No Grav.]])</f>
        <v>27002.0069</v>
      </c>
      <c r="Q110" s="49" t="str">
        <f>IFERROR(IF(compras_mes12[[#This Row],[CUIT]]="","-",VLOOKUP(compras_mes12[[#This Row],[CUIT]],Lista_CUIT[#All],3,0)),"CUIT NO CARGADO")</f>
        <v>Combustibe</v>
      </c>
      <c r="R110" s="49">
        <f>IFERROR(IF(compras_mes12[[#This Row],[CUIT]]="","-",VLOOKUP(compras_mes12[[#This Row],[CUIT]],Lista_CUIT[#All],4,0)),"CUIT NO CARGADO")</f>
        <v>0</v>
      </c>
    </row>
    <row r="111" spans="2:18" x14ac:dyDescent="0.3">
      <c r="B111" s="40">
        <v>45275</v>
      </c>
      <c r="C111" s="41">
        <v>1</v>
      </c>
      <c r="D111" s="42">
        <v>6</v>
      </c>
      <c r="E111" s="43">
        <v>91</v>
      </c>
      <c r="F111" s="44">
        <v>23234730959</v>
      </c>
      <c r="G111" s="45" t="str">
        <f>IFERROR(IF(compras_mes12[[#This Row],[CUIT]]="","-",VLOOKUP(compras_mes12[[#This Row],[CUIT]],Lista_CUIT[#All],2,0)),"CUIT NO CARGADO")</f>
        <v xml:space="preserve">ENCENDIDO INDEPENDENCIA </v>
      </c>
      <c r="H111" s="46">
        <v>13223.14</v>
      </c>
      <c r="I111" s="85">
        <f>IF(compras_mes12[[#This Row],[NETO GRAVADO]]="","",compras_mes12[[#This Row],[NETO GRAVADO]]*0.21)</f>
        <v>2776.8593999999998</v>
      </c>
      <c r="J111" s="85"/>
      <c r="K111" s="85"/>
      <c r="L111" s="85"/>
      <c r="M111" s="85"/>
      <c r="N111" s="85"/>
      <c r="O111" s="85"/>
      <c r="P111" s="48">
        <f>SUM(compras_mes12[[#This Row],[NETO GRAVADO]:[Otros / No Grav.]])</f>
        <v>15999.999399999999</v>
      </c>
      <c r="Q111" s="49" t="str">
        <f>IFERROR(IF(compras_mes12[[#This Row],[CUIT]]="","-",VLOOKUP(compras_mes12[[#This Row],[CUIT]],Lista_CUIT[#All],3,0)),"CUIT NO CARGADO")</f>
        <v>SERVICIOS</v>
      </c>
      <c r="R111" s="49">
        <f>IFERROR(IF(compras_mes12[[#This Row],[CUIT]]="","-",VLOOKUP(compras_mes12[[#This Row],[CUIT]],Lista_CUIT[#All],4,0)),"CUIT NO CARGADO")</f>
        <v>0</v>
      </c>
    </row>
    <row r="112" spans="2:18" x14ac:dyDescent="0.3">
      <c r="B112" s="608">
        <v>45275</v>
      </c>
      <c r="C112" s="609">
        <v>1</v>
      </c>
      <c r="D112" s="610">
        <v>1</v>
      </c>
      <c r="E112" s="611">
        <v>712</v>
      </c>
      <c r="F112" s="612">
        <v>30715048066</v>
      </c>
      <c r="G112" s="552" t="str">
        <f>IFERROR(IF(compras_mes12[[#This Row],[CUIT]]="","-",VLOOKUP(compras_mes12[[#This Row],[CUIT]],Lista_CUIT[#All],2,0)),"CUIT NO CARGADO")</f>
        <v>ROLLS Y EMPANADAS SA</v>
      </c>
      <c r="H112" s="548">
        <v>360620</v>
      </c>
      <c r="I112" s="528">
        <f>IF(compras_mes12[[#This Row],[NETO GRAVADO]]="","",compras_mes12[[#This Row],[NETO GRAVADO]]*0.21)</f>
        <v>75730.2</v>
      </c>
      <c r="J112" s="528"/>
      <c r="K112" s="528"/>
      <c r="L112" s="528"/>
      <c r="M112" s="528"/>
      <c r="N112" s="528"/>
      <c r="O112" s="528"/>
      <c r="P112" s="529">
        <f>SUM(compras_mes12[[#This Row],[NETO GRAVADO]:[Otros / No Grav.]])</f>
        <v>436350.2</v>
      </c>
      <c r="Q112" s="553" t="str">
        <f>IFERROR(IF(compras_mes12[[#This Row],[CUIT]]="","-",VLOOKUP(compras_mes12[[#This Row],[CUIT]],Lista_CUIT[#All],3,0)),"CUIT NO CARGADO")</f>
        <v>CATERING</v>
      </c>
      <c r="R112" s="553">
        <f>IFERROR(IF(compras_mes12[[#This Row],[CUIT]]="","-",VLOOKUP(compras_mes12[[#This Row],[CUIT]],Lista_CUIT[#All],4,0)),"CUIT NO CARGADO")</f>
        <v>0</v>
      </c>
    </row>
    <row r="113" spans="2:18" x14ac:dyDescent="0.3">
      <c r="B113" s="608">
        <v>45275</v>
      </c>
      <c r="C113" s="609">
        <v>1</v>
      </c>
      <c r="D113" s="610">
        <v>1</v>
      </c>
      <c r="E113" s="611">
        <v>713</v>
      </c>
      <c r="F113" s="612">
        <v>30715048066</v>
      </c>
      <c r="G113" s="552" t="str">
        <f>IFERROR(IF(compras_mes12[[#This Row],[CUIT]]="","-",VLOOKUP(compras_mes12[[#This Row],[CUIT]],Lista_CUIT[#All],2,0)),"CUIT NO CARGADO")</f>
        <v>ROLLS Y EMPANADAS SA</v>
      </c>
      <c r="H113" s="548">
        <v>379230</v>
      </c>
      <c r="I113" s="528">
        <f>IF(compras_mes12[[#This Row],[NETO GRAVADO]]="","",compras_mes12[[#This Row],[NETO GRAVADO]]*0.21)</f>
        <v>79638.3</v>
      </c>
      <c r="J113" s="528"/>
      <c r="K113" s="528"/>
      <c r="L113" s="528"/>
      <c r="M113" s="528"/>
      <c r="N113" s="528"/>
      <c r="O113" s="528"/>
      <c r="P113" s="529">
        <f>SUM(compras_mes12[[#This Row],[NETO GRAVADO]:[Otros / No Grav.]])</f>
        <v>458868.3</v>
      </c>
      <c r="Q113" s="553" t="str">
        <f>IFERROR(IF(compras_mes12[[#This Row],[CUIT]]="","-",VLOOKUP(compras_mes12[[#This Row],[CUIT]],Lista_CUIT[#All],3,0)),"CUIT NO CARGADO")</f>
        <v>CATERING</v>
      </c>
      <c r="R113" s="553">
        <f>IFERROR(IF(compras_mes12[[#This Row],[CUIT]]="","-",VLOOKUP(compras_mes12[[#This Row],[CUIT]],Lista_CUIT[#All],4,0)),"CUIT NO CARGADO")</f>
        <v>0</v>
      </c>
    </row>
    <row r="114" spans="2:18" x14ac:dyDescent="0.3">
      <c r="B114" s="40">
        <v>45275</v>
      </c>
      <c r="C114" s="41">
        <v>1</v>
      </c>
      <c r="D114" s="42">
        <v>301</v>
      </c>
      <c r="E114" s="43">
        <v>70001</v>
      </c>
      <c r="F114" s="44">
        <v>30686978350</v>
      </c>
      <c r="G114" s="45" t="str">
        <f>IFERROR(IF(compras_mes12[[#This Row],[CUIT]]="","-",VLOOKUP(compras_mes12[[#This Row],[CUIT]],Lista_CUIT[#All],2,0)),"CUIT NO CARGADO")</f>
        <v>SPEED BUSINESS S. A.</v>
      </c>
      <c r="H114" s="46">
        <v>6066.12</v>
      </c>
      <c r="I114" s="85">
        <f>IF(compras_mes12[[#This Row],[NETO GRAVADO]]="","",compras_mes12[[#This Row],[NETO GRAVADO]]*0.21)</f>
        <v>1273.8851999999999</v>
      </c>
      <c r="J114" s="85"/>
      <c r="K114" s="85"/>
      <c r="L114" s="85"/>
      <c r="M114" s="85"/>
      <c r="N114" s="85"/>
      <c r="O114" s="85"/>
      <c r="P114" s="48">
        <f>SUM(compras_mes12[[#This Row],[NETO GRAVADO]:[Otros / No Grav.]])</f>
        <v>7340.0051999999996</v>
      </c>
      <c r="Q114" s="49">
        <f>IFERROR(IF(compras_mes12[[#This Row],[CUIT]]="","-",VLOOKUP(compras_mes12[[#This Row],[CUIT]],Lista_CUIT[#All],3,0)),"CUIT NO CARGADO")</f>
        <v>0</v>
      </c>
      <c r="R114" s="49">
        <f>IFERROR(IF(compras_mes12[[#This Row],[CUIT]]="","-",VLOOKUP(compras_mes12[[#This Row],[CUIT]],Lista_CUIT[#All],4,0)),"CUIT NO CARGADO")</f>
        <v>0</v>
      </c>
    </row>
    <row r="115" spans="2:18" x14ac:dyDescent="0.3">
      <c r="B115" s="40">
        <v>45275</v>
      </c>
      <c r="C115" s="41">
        <v>1</v>
      </c>
      <c r="D115" s="42">
        <v>3</v>
      </c>
      <c r="E115" s="43">
        <v>6702</v>
      </c>
      <c r="F115" s="44">
        <v>30708006420</v>
      </c>
      <c r="G115" s="45" t="str">
        <f>IFERROR(IF(compras_mes12[[#This Row],[CUIT]]="","-",VLOOKUP(compras_mes12[[#This Row],[CUIT]],Lista_CUIT[#All],2,0)),"CUIT NO CARGADO")</f>
        <v>MEDILEA S.A.</v>
      </c>
      <c r="H115" s="46">
        <v>790070</v>
      </c>
      <c r="I115" s="85">
        <f>IF(compras_mes12[[#This Row],[NETO GRAVADO]]="","",compras_mes12[[#This Row],[NETO GRAVADO]]*0.21)</f>
        <v>165914.69999999998</v>
      </c>
      <c r="J115" s="85"/>
      <c r="K115" s="85"/>
      <c r="L115" s="85"/>
      <c r="M115" s="85"/>
      <c r="N115" s="85"/>
      <c r="O115" s="85"/>
      <c r="P115" s="48">
        <f>SUM(compras_mes12[[#This Row],[NETO GRAVADO]:[Otros / No Grav.]])</f>
        <v>955984.7</v>
      </c>
      <c r="Q115" s="49">
        <f>IFERROR(IF(compras_mes12[[#This Row],[CUIT]]="","-",VLOOKUP(compras_mes12[[#This Row],[CUIT]],Lista_CUIT[#All],3,0)),"CUIT NO CARGADO")</f>
        <v>0</v>
      </c>
      <c r="R115" s="49">
        <f>IFERROR(IF(compras_mes12[[#This Row],[CUIT]]="","-",VLOOKUP(compras_mes12[[#This Row],[CUIT]],Lista_CUIT[#All],4,0)),"CUIT NO CARGADO")</f>
        <v>0</v>
      </c>
    </row>
    <row r="116" spans="2:18" x14ac:dyDescent="0.3">
      <c r="B116" s="40">
        <v>45275</v>
      </c>
      <c r="C116" s="41">
        <v>1</v>
      </c>
      <c r="D116" s="42">
        <v>3</v>
      </c>
      <c r="E116" s="43">
        <v>6703</v>
      </c>
      <c r="F116" s="44">
        <v>30708006420</v>
      </c>
      <c r="G116" s="45" t="str">
        <f>IFERROR(IF(compras_mes12[[#This Row],[CUIT]]="","-",VLOOKUP(compras_mes12[[#This Row],[CUIT]],Lista_CUIT[#All],2,0)),"CUIT NO CARGADO")</f>
        <v>MEDILEA S.A.</v>
      </c>
      <c r="H116" s="46">
        <v>1000000</v>
      </c>
      <c r="I116" s="85">
        <f>IF(compras_mes12[[#This Row],[NETO GRAVADO]]="","",compras_mes12[[#This Row],[NETO GRAVADO]]*0.21)</f>
        <v>210000</v>
      </c>
      <c r="J116" s="85"/>
      <c r="K116" s="85"/>
      <c r="L116" s="85"/>
      <c r="M116" s="85"/>
      <c r="N116" s="85"/>
      <c r="O116" s="85"/>
      <c r="P116" s="48">
        <f>SUM(compras_mes12[[#This Row],[NETO GRAVADO]:[Otros / No Grav.]])</f>
        <v>1210000</v>
      </c>
      <c r="Q116" s="49">
        <f>IFERROR(IF(compras_mes12[[#This Row],[CUIT]]="","-",VLOOKUP(compras_mes12[[#This Row],[CUIT]],Lista_CUIT[#All],3,0)),"CUIT NO CARGADO")</f>
        <v>0</v>
      </c>
      <c r="R116" s="49">
        <f>IFERROR(IF(compras_mes12[[#This Row],[CUIT]]="","-",VLOOKUP(compras_mes12[[#This Row],[CUIT]],Lista_CUIT[#All],4,0)),"CUIT NO CARGADO")</f>
        <v>0</v>
      </c>
    </row>
    <row r="117" spans="2:18" x14ac:dyDescent="0.3">
      <c r="B117" s="40">
        <v>45275</v>
      </c>
      <c r="C117" s="41">
        <v>1</v>
      </c>
      <c r="D117" s="42">
        <v>1</v>
      </c>
      <c r="E117" s="43">
        <v>200</v>
      </c>
      <c r="F117" s="44">
        <v>20077604627</v>
      </c>
      <c r="G117" s="45" t="str">
        <f>IFERROR(IF(compras_mes12[[#This Row],[CUIT]]="","-",VLOOKUP(compras_mes12[[#This Row],[CUIT]],Lista_CUIT[#All],2,0)),"CUIT NO CARGADO")</f>
        <v>OCAÑO ENRIQUE</v>
      </c>
      <c r="H117" s="46">
        <v>1843492.48</v>
      </c>
      <c r="I117" s="85">
        <f>IF(compras_mes12[[#This Row],[NETO GRAVADO]]="","",compras_mes12[[#This Row],[NETO GRAVADO]]*0.21)</f>
        <v>387133.42079999996</v>
      </c>
      <c r="J117" s="85"/>
      <c r="K117" s="85"/>
      <c r="L117" s="85"/>
      <c r="M117" s="85"/>
      <c r="N117" s="85"/>
      <c r="O117" s="85"/>
      <c r="P117" s="48">
        <f>SUM(compras_mes12[[#This Row],[NETO GRAVADO]:[Otros / No Grav.]])</f>
        <v>2230625.9007999999</v>
      </c>
      <c r="Q117" s="49">
        <f>IFERROR(IF(compras_mes12[[#This Row],[CUIT]]="","-",VLOOKUP(compras_mes12[[#This Row],[CUIT]],Lista_CUIT[#All],3,0)),"CUIT NO CARGADO")</f>
        <v>0</v>
      </c>
      <c r="R117" s="49">
        <f>IFERROR(IF(compras_mes12[[#This Row],[CUIT]]="","-",VLOOKUP(compras_mes12[[#This Row],[CUIT]],Lista_CUIT[#All],4,0)),"CUIT NO CARGADO")</f>
        <v>0</v>
      </c>
    </row>
    <row r="118" spans="2:18" x14ac:dyDescent="0.3">
      <c r="B118" s="249">
        <v>45276</v>
      </c>
      <c r="C118" s="250">
        <v>1</v>
      </c>
      <c r="D118" s="251">
        <v>12</v>
      </c>
      <c r="E118" s="252">
        <v>39006</v>
      </c>
      <c r="F118" s="253">
        <v>30696131003</v>
      </c>
      <c r="G118" s="254" t="str">
        <f>IFERROR(IF(compras_mes12[[#This Row],[CUIT]]="","-",VLOOKUP(compras_mes12[[#This Row],[CUIT]],Lista_CUIT[#All],2,0)),"CUIT NO CARGADO")</f>
        <v>Petrolfe S.A.</v>
      </c>
      <c r="H118" s="255">
        <v>113374.34</v>
      </c>
      <c r="I118" s="256">
        <f>IF(compras_mes12[[#This Row],[NETO GRAVADO]]="","",compras_mes12[[#This Row],[NETO GRAVADO]]*0.21)</f>
        <v>23808.611399999998</v>
      </c>
      <c r="J118" s="256"/>
      <c r="K118" s="256"/>
      <c r="L118" s="256"/>
      <c r="M118" s="256"/>
      <c r="N118" s="256"/>
      <c r="O118" s="256">
        <v>6053.15</v>
      </c>
      <c r="P118" s="257">
        <f>SUM(compras_mes12[[#This Row],[NETO GRAVADO]:[Otros / No Grav.]])</f>
        <v>143236.10139999999</v>
      </c>
      <c r="Q118" s="258" t="str">
        <f>IFERROR(IF(compras_mes12[[#This Row],[CUIT]]="","-",VLOOKUP(compras_mes12[[#This Row],[CUIT]],Lista_CUIT[#All],3,0)),"CUIT NO CARGADO")</f>
        <v>Combustible</v>
      </c>
      <c r="R118" s="258">
        <f>IFERROR(IF(compras_mes12[[#This Row],[CUIT]]="","-",VLOOKUP(compras_mes12[[#This Row],[CUIT]],Lista_CUIT[#All],4,0)),"CUIT NO CARGADO")</f>
        <v>0</v>
      </c>
    </row>
    <row r="119" spans="2:18" x14ac:dyDescent="0.3">
      <c r="B119" s="608">
        <v>45276</v>
      </c>
      <c r="C119" s="609">
        <v>1</v>
      </c>
      <c r="D119" s="610">
        <v>7</v>
      </c>
      <c r="E119" s="611">
        <v>5272</v>
      </c>
      <c r="F119" s="612">
        <v>33711089859</v>
      </c>
      <c r="G119" s="552" t="str">
        <f>IFERROR(IF(compras_mes12[[#This Row],[CUIT]]="","-",VLOOKUP(compras_mes12[[#This Row],[CUIT]],Lista_CUIT[#All],2,0)),"CUIT NO CARGADO")</f>
        <v>SOLO POR MAYOR SRL</v>
      </c>
      <c r="H119" s="548">
        <v>34297.519999999997</v>
      </c>
      <c r="I119" s="528">
        <f>IF(compras_mes12[[#This Row],[NETO GRAVADO]]="","",compras_mes12[[#This Row],[NETO GRAVADO]]*0.21)</f>
        <v>7202.4791999999989</v>
      </c>
      <c r="J119" s="528"/>
      <c r="K119" s="528"/>
      <c r="L119" s="528"/>
      <c r="M119" s="528"/>
      <c r="N119" s="528"/>
      <c r="O119" s="528"/>
      <c r="P119" s="529">
        <f>SUM(compras_mes12[[#This Row],[NETO GRAVADO]:[Otros / No Grav.]])</f>
        <v>41499.999199999998</v>
      </c>
      <c r="Q119" s="553">
        <f>IFERROR(IF(compras_mes12[[#This Row],[CUIT]]="","-",VLOOKUP(compras_mes12[[#This Row],[CUIT]],Lista_CUIT[#All],3,0)),"CUIT NO CARGADO")</f>
        <v>0</v>
      </c>
      <c r="R119" s="553">
        <f>IFERROR(IF(compras_mes12[[#This Row],[CUIT]]="","-",VLOOKUP(compras_mes12[[#This Row],[CUIT]],Lista_CUIT[#All],4,0)),"CUIT NO CARGADO")</f>
        <v>0</v>
      </c>
    </row>
    <row r="120" spans="2:18" x14ac:dyDescent="0.3">
      <c r="B120" s="608">
        <v>45276</v>
      </c>
      <c r="C120" s="609">
        <v>1</v>
      </c>
      <c r="D120" s="610">
        <v>7</v>
      </c>
      <c r="E120" s="611">
        <v>5273</v>
      </c>
      <c r="F120" s="612">
        <v>33711089859</v>
      </c>
      <c r="G120" s="552" t="str">
        <f>IFERROR(IF(compras_mes12[[#This Row],[CUIT]]="","-",VLOOKUP(compras_mes12[[#This Row],[CUIT]],Lista_CUIT[#All],2,0)),"CUIT NO CARGADO")</f>
        <v>SOLO POR MAYOR SRL</v>
      </c>
      <c r="H120" s="548">
        <v>34297.519999999997</v>
      </c>
      <c r="I120" s="528">
        <f>IF(compras_mes12[[#This Row],[NETO GRAVADO]]="","",compras_mes12[[#This Row],[NETO GRAVADO]]*0.21)</f>
        <v>7202.4791999999989</v>
      </c>
      <c r="J120" s="528"/>
      <c r="K120" s="528"/>
      <c r="L120" s="528"/>
      <c r="M120" s="528"/>
      <c r="N120" s="528"/>
      <c r="O120" s="528"/>
      <c r="P120" s="529">
        <f>SUM(compras_mes12[[#This Row],[NETO GRAVADO]:[Otros / No Grav.]])</f>
        <v>41499.999199999998</v>
      </c>
      <c r="Q120" s="553">
        <f>IFERROR(IF(compras_mes12[[#This Row],[CUIT]]="","-",VLOOKUP(compras_mes12[[#This Row],[CUIT]],Lista_CUIT[#All],3,0)),"CUIT NO CARGADO")</f>
        <v>0</v>
      </c>
      <c r="R120" s="553">
        <f>IFERROR(IF(compras_mes12[[#This Row],[CUIT]]="","-",VLOOKUP(compras_mes12[[#This Row],[CUIT]],Lista_CUIT[#All],4,0)),"CUIT NO CARGADO")</f>
        <v>0</v>
      </c>
    </row>
    <row r="121" spans="2:18" x14ac:dyDescent="0.3">
      <c r="B121" s="608">
        <v>45276</v>
      </c>
      <c r="C121" s="609">
        <v>1</v>
      </c>
      <c r="D121" s="610">
        <v>7</v>
      </c>
      <c r="E121" s="611">
        <v>5274</v>
      </c>
      <c r="F121" s="612">
        <v>33711089859</v>
      </c>
      <c r="G121" s="552" t="str">
        <f>IFERROR(IF(compras_mes12[[#This Row],[CUIT]]="","-",VLOOKUP(compras_mes12[[#This Row],[CUIT]],Lista_CUIT[#All],2,0)),"CUIT NO CARGADO")</f>
        <v>SOLO POR MAYOR SRL</v>
      </c>
      <c r="H121" s="548">
        <v>34297.519999999997</v>
      </c>
      <c r="I121" s="528">
        <f>IF(compras_mes12[[#This Row],[NETO GRAVADO]]="","",compras_mes12[[#This Row],[NETO GRAVADO]]*0.21)</f>
        <v>7202.4791999999989</v>
      </c>
      <c r="J121" s="528"/>
      <c r="K121" s="528"/>
      <c r="L121" s="528"/>
      <c r="M121" s="528"/>
      <c r="N121" s="528"/>
      <c r="O121" s="528"/>
      <c r="P121" s="529">
        <f>SUM(compras_mes12[[#This Row],[NETO GRAVADO]:[Otros / No Grav.]])</f>
        <v>41499.999199999998</v>
      </c>
      <c r="Q121" s="553">
        <f>IFERROR(IF(compras_mes12[[#This Row],[CUIT]]="","-",VLOOKUP(compras_mes12[[#This Row],[CUIT]],Lista_CUIT[#All],3,0)),"CUIT NO CARGADO")</f>
        <v>0</v>
      </c>
      <c r="R121" s="553">
        <f>IFERROR(IF(compras_mes12[[#This Row],[CUIT]]="","-",VLOOKUP(compras_mes12[[#This Row],[CUIT]],Lista_CUIT[#All],4,0)),"CUIT NO CARGADO")</f>
        <v>0</v>
      </c>
    </row>
    <row r="122" spans="2:18" x14ac:dyDescent="0.3">
      <c r="B122" s="40">
        <v>45276</v>
      </c>
      <c r="C122" s="41">
        <v>1</v>
      </c>
      <c r="D122" s="42">
        <v>2188</v>
      </c>
      <c r="E122" s="43">
        <v>107243</v>
      </c>
      <c r="F122" s="44">
        <v>30548083156</v>
      </c>
      <c r="G122" s="45" t="str">
        <f>IFERROR(IF(compras_mes12[[#This Row],[CUIT]]="","-",VLOOKUP(compras_mes12[[#This Row],[CUIT]],Lista_CUIT[#All],2,0)),"CUIT NO CARGADO")</f>
        <v>COTO CENTRO INTEGRAL DE COMERCIALIZACION SOCIEDAD ANONIMA</v>
      </c>
      <c r="H122" s="46">
        <v>13162.37</v>
      </c>
      <c r="I122" s="85">
        <f>IF(compras_mes12[[#This Row],[NETO GRAVADO]]="","",compras_mes12[[#This Row],[NETO GRAVADO]]*0.21)</f>
        <v>2764.0977000000003</v>
      </c>
      <c r="J122" s="85"/>
      <c r="K122" s="85"/>
      <c r="L122" s="85">
        <v>394.87</v>
      </c>
      <c r="M122" s="85"/>
      <c r="N122" s="85">
        <v>789.74</v>
      </c>
      <c r="O122" s="85"/>
      <c r="P122" s="48">
        <f>SUM(compras_mes12[[#This Row],[NETO GRAVADO]:[Otros / No Grav.]])</f>
        <v>17111.077700000002</v>
      </c>
      <c r="Q122" s="49" t="str">
        <f>IFERROR(IF(compras_mes12[[#This Row],[CUIT]]="","-",VLOOKUP(compras_mes12[[#This Row],[CUIT]],Lista_CUIT[#All],3,0)),"CUIT NO CARGADO")</f>
        <v>GASTOS COMERCIALES</v>
      </c>
      <c r="R122" s="49">
        <f>IFERROR(IF(compras_mes12[[#This Row],[CUIT]]="","-",VLOOKUP(compras_mes12[[#This Row],[CUIT]],Lista_CUIT[#All],4,0)),"CUIT NO CARGADO")</f>
        <v>0</v>
      </c>
    </row>
    <row r="123" spans="2:18" x14ac:dyDescent="0.3">
      <c r="B123" s="40">
        <v>45276</v>
      </c>
      <c r="C123" s="41">
        <v>1</v>
      </c>
      <c r="D123" s="42">
        <v>6</v>
      </c>
      <c r="E123" s="43">
        <v>9176</v>
      </c>
      <c r="F123" s="44">
        <v>33710167309</v>
      </c>
      <c r="G123" s="45" t="str">
        <f>IFERROR(IF(compras_mes12[[#This Row],[CUIT]]="","-",VLOOKUP(compras_mes12[[#This Row],[CUIT]],Lista_CUIT[#All],2,0)),"CUIT NO CARGADO")</f>
        <v>MAT. ESCO SA</v>
      </c>
      <c r="H123" s="46">
        <v>8826.48</v>
      </c>
      <c r="I123" s="85">
        <f>IF(compras_mes12[[#This Row],[NETO GRAVADO]]="","",compras_mes12[[#This Row],[NETO GRAVADO]]*0.21)</f>
        <v>1853.5607999999997</v>
      </c>
      <c r="J123" s="85"/>
      <c r="K123" s="85"/>
      <c r="L123" s="85"/>
      <c r="M123" s="85"/>
      <c r="N123" s="85"/>
      <c r="O123" s="85"/>
      <c r="P123" s="48">
        <f>SUM(compras_mes12[[#This Row],[NETO GRAVADO]:[Otros / No Grav.]])</f>
        <v>10680.040799999999</v>
      </c>
      <c r="Q123" s="49">
        <f>IFERROR(IF(compras_mes12[[#This Row],[CUIT]]="","-",VLOOKUP(compras_mes12[[#This Row],[CUIT]],Lista_CUIT[#All],3,0)),"CUIT NO CARGADO")</f>
        <v>0</v>
      </c>
      <c r="R123" s="49">
        <f>IFERROR(IF(compras_mes12[[#This Row],[CUIT]]="","-",VLOOKUP(compras_mes12[[#This Row],[CUIT]],Lista_CUIT[#All],4,0)),"CUIT NO CARGADO")</f>
        <v>0</v>
      </c>
    </row>
    <row r="124" spans="2:18" x14ac:dyDescent="0.3">
      <c r="B124" s="249">
        <v>45277</v>
      </c>
      <c r="C124" s="250">
        <v>1</v>
      </c>
      <c r="D124" s="251">
        <v>430</v>
      </c>
      <c r="E124" s="252">
        <v>140</v>
      </c>
      <c r="F124" s="253">
        <v>30708020539</v>
      </c>
      <c r="G124" s="254" t="str">
        <f>IFERROR(IF(compras_mes12[[#This Row],[CUIT]]="","-",VLOOKUP(compras_mes12[[#This Row],[CUIT]],Lista_CUIT[#All],2,0)),"CUIT NO CARGADO")</f>
        <v>IGT33 SA</v>
      </c>
      <c r="H124" s="255">
        <v>18512.400000000001</v>
      </c>
      <c r="I124" s="256">
        <f>IF(compras_mes12[[#This Row],[NETO GRAVADO]]="","",compras_mes12[[#This Row],[NETO GRAVADO]]*0.21)</f>
        <v>3887.6040000000003</v>
      </c>
      <c r="J124" s="256"/>
      <c r="K124" s="256"/>
      <c r="L124" s="256"/>
      <c r="M124" s="256"/>
      <c r="N124" s="256"/>
      <c r="O124" s="256"/>
      <c r="P124" s="257">
        <f>SUM(compras_mes12[[#This Row],[NETO GRAVADO]:[Otros / No Grav.]])</f>
        <v>22400.004000000001</v>
      </c>
      <c r="Q124" s="258">
        <f>IFERROR(IF(compras_mes12[[#This Row],[CUIT]]="","-",VLOOKUP(compras_mes12[[#This Row],[CUIT]],Lista_CUIT[#All],3,0)),"CUIT NO CARGADO")</f>
        <v>0</v>
      </c>
      <c r="R124" s="258">
        <f>IFERROR(IF(compras_mes12[[#This Row],[CUIT]]="","-",VLOOKUP(compras_mes12[[#This Row],[CUIT]],Lista_CUIT[#All],4,0)),"CUIT NO CARGADO")</f>
        <v>0</v>
      </c>
    </row>
    <row r="125" spans="2:18" x14ac:dyDescent="0.3">
      <c r="B125" s="608">
        <v>45278</v>
      </c>
      <c r="C125" s="609">
        <v>1</v>
      </c>
      <c r="D125" s="610">
        <v>5014</v>
      </c>
      <c r="E125" s="611">
        <v>547145</v>
      </c>
      <c r="F125" s="612">
        <v>30574876474</v>
      </c>
      <c r="G125" s="552" t="str">
        <f>IFERROR(IF(compras_mes12[[#This Row],[CUIT]]="","-",VLOOKUP(compras_mes12[[#This Row],[CUIT]],Lista_CUIT[#All],2,0)),"CUIT NO CARGADO")</f>
        <v>AUTOPISTAS URBANAS S A</v>
      </c>
      <c r="H125" s="548">
        <v>36155</v>
      </c>
      <c r="I125" s="528">
        <f>IF(compras_mes12[[#This Row],[NETO GRAVADO]]="","",compras_mes12[[#This Row],[NETO GRAVADO]]*0.21)</f>
        <v>7592.5499999999993</v>
      </c>
      <c r="J125" s="528"/>
      <c r="K125" s="528"/>
      <c r="L125" s="528"/>
      <c r="M125" s="528"/>
      <c r="N125" s="528"/>
      <c r="O125" s="528">
        <v>4700.04</v>
      </c>
      <c r="P125" s="257">
        <f>SUM(compras_mes12[[#This Row],[NETO GRAVADO]:[Otros / No Grav.]])</f>
        <v>48447.590000000004</v>
      </c>
      <c r="Q125" s="553">
        <f>IFERROR(IF(compras_mes12[[#This Row],[CUIT]]="","-",VLOOKUP(compras_mes12[[#This Row],[CUIT]],Lista_CUIT[#All],3,0)),"CUIT NO CARGADO")</f>
        <v>0</v>
      </c>
      <c r="R125" s="553">
        <f>IFERROR(IF(compras_mes12[[#This Row],[CUIT]]="","-",VLOOKUP(compras_mes12[[#This Row],[CUIT]],Lista_CUIT[#All],4,0)),"CUIT NO CARGADO")</f>
        <v>0</v>
      </c>
    </row>
    <row r="126" spans="2:18" x14ac:dyDescent="0.3">
      <c r="B126" s="608">
        <v>45278</v>
      </c>
      <c r="C126" s="609">
        <v>1</v>
      </c>
      <c r="D126" s="610">
        <v>711</v>
      </c>
      <c r="E126" s="611">
        <v>5127120</v>
      </c>
      <c r="F126" s="612">
        <v>30677237119</v>
      </c>
      <c r="G126" s="552" t="str">
        <f>IFERROR(IF(compras_mes12[[#This Row],[CUIT]]="","-",VLOOKUP(compras_mes12[[#This Row],[CUIT]],Lista_CUIT[#All],2,0)),"CUIT NO CARGADO")</f>
        <v>AUTOPISTAS DEL SOL S A</v>
      </c>
      <c r="H126" s="548">
        <v>5743.74</v>
      </c>
      <c r="I126" s="528">
        <f>IF(compras_mes12[[#This Row],[NETO GRAVADO]]="","",compras_mes12[[#This Row],[NETO GRAVADO]]*0.21)</f>
        <v>1206.1853999999998</v>
      </c>
      <c r="J126" s="528"/>
      <c r="K126" s="528"/>
      <c r="L126" s="528"/>
      <c r="M126" s="528"/>
      <c r="N126" s="528"/>
      <c r="O126" s="528">
        <v>172.31</v>
      </c>
      <c r="P126" s="257">
        <f>SUM(compras_mes12[[#This Row],[NETO GRAVADO]:[Otros / No Grav.]])</f>
        <v>7122.2354000000005</v>
      </c>
      <c r="Q126" s="553">
        <f>IFERROR(IF(compras_mes12[[#This Row],[CUIT]]="","-",VLOOKUP(compras_mes12[[#This Row],[CUIT]],Lista_CUIT[#All],3,0)),"CUIT NO CARGADO")</f>
        <v>0</v>
      </c>
      <c r="R126" s="553">
        <f>IFERROR(IF(compras_mes12[[#This Row],[CUIT]]="","-",VLOOKUP(compras_mes12[[#This Row],[CUIT]],Lista_CUIT[#All],4,0)),"CUIT NO CARGADO")</f>
        <v>0</v>
      </c>
    </row>
    <row r="127" spans="2:18" x14ac:dyDescent="0.3">
      <c r="B127" s="608">
        <v>45278</v>
      </c>
      <c r="C127" s="609">
        <v>1</v>
      </c>
      <c r="D127" s="610">
        <v>629</v>
      </c>
      <c r="E127" s="611">
        <v>4742032</v>
      </c>
      <c r="F127" s="612">
        <v>30663498513</v>
      </c>
      <c r="G127" s="552" t="str">
        <f>IFERROR(IF(compras_mes12[[#This Row],[CUIT]]="","-",VLOOKUP(compras_mes12[[#This Row],[CUIT]],Lista_CUIT[#All],2,0)),"CUIT NO CARGADO")</f>
        <v>GRUPO CONCES. DEL OESTE SA</v>
      </c>
      <c r="H127" s="548">
        <v>12975.05</v>
      </c>
      <c r="I127" s="528">
        <f>IF(compras_mes12[[#This Row],[NETO GRAVADO]]="","",compras_mes12[[#This Row],[NETO GRAVADO]]*0.21)</f>
        <v>2724.7604999999999</v>
      </c>
      <c r="J127" s="528"/>
      <c r="K127" s="528"/>
      <c r="L127" s="528"/>
      <c r="M127" s="528"/>
      <c r="N127" s="528"/>
      <c r="O127" s="528"/>
      <c r="P127" s="257">
        <f>SUM(compras_mes12[[#This Row],[NETO GRAVADO]:[Otros / No Grav.]])</f>
        <v>15699.8105</v>
      </c>
      <c r="Q127" s="553">
        <f>IFERROR(IF(compras_mes12[[#This Row],[CUIT]]="","-",VLOOKUP(compras_mes12[[#This Row],[CUIT]],Lista_CUIT[#All],3,0)),"CUIT NO CARGADO")</f>
        <v>0</v>
      </c>
      <c r="R127" s="553">
        <f>IFERROR(IF(compras_mes12[[#This Row],[CUIT]]="","-",VLOOKUP(compras_mes12[[#This Row],[CUIT]],Lista_CUIT[#All],4,0)),"CUIT NO CARGADO")</f>
        <v>0</v>
      </c>
    </row>
    <row r="128" spans="2:18" x14ac:dyDescent="0.3">
      <c r="B128" s="608">
        <v>45278</v>
      </c>
      <c r="C128" s="609">
        <v>1</v>
      </c>
      <c r="D128" s="610">
        <v>50</v>
      </c>
      <c r="E128" s="611">
        <v>12915</v>
      </c>
      <c r="F128" s="612">
        <v>30711992053</v>
      </c>
      <c r="G128" s="552" t="str">
        <f>IFERROR(IF(compras_mes12[[#This Row],[CUIT]]="","-",VLOOKUP(compras_mes12[[#This Row],[CUIT]],Lista_CUIT[#All],2,0)),"CUIT NO CARGADO")</f>
        <v>DMAKER S.A.</v>
      </c>
      <c r="H128" s="548">
        <v>34388.239999999998</v>
      </c>
      <c r="I128" s="528"/>
      <c r="J128" s="528"/>
      <c r="K128" s="528">
        <v>3610.76</v>
      </c>
      <c r="L128" s="528"/>
      <c r="M128" s="528"/>
      <c r="N128" s="528"/>
      <c r="O128" s="528"/>
      <c r="P128" s="529">
        <f>SUM(compras_mes12[[#This Row],[NETO GRAVADO]:[Otros / No Grav.]])</f>
        <v>37999</v>
      </c>
      <c r="Q128" s="553">
        <f>IFERROR(IF(compras_mes12[[#This Row],[CUIT]]="","-",VLOOKUP(compras_mes12[[#This Row],[CUIT]],Lista_CUIT[#All],3,0)),"CUIT NO CARGADO")</f>
        <v>0</v>
      </c>
      <c r="R128" s="553">
        <f>IFERROR(IF(compras_mes12[[#This Row],[CUIT]]="","-",VLOOKUP(compras_mes12[[#This Row],[CUIT]],Lista_CUIT[#All],4,0)),"CUIT NO CARGADO")</f>
        <v>0</v>
      </c>
    </row>
    <row r="129" spans="2:18" x14ac:dyDescent="0.3">
      <c r="B129" s="40">
        <v>45278</v>
      </c>
      <c r="C129" s="41">
        <v>1</v>
      </c>
      <c r="D129" s="42">
        <v>9</v>
      </c>
      <c r="E129" s="43">
        <v>479</v>
      </c>
      <c r="F129" s="44">
        <v>20134664518</v>
      </c>
      <c r="G129" s="45" t="str">
        <f>IFERROR(IF(compras_mes12[[#This Row],[CUIT]]="","-",VLOOKUP(compras_mes12[[#This Row],[CUIT]],Lista_CUIT[#All],2,0)),"CUIT NO CARGADO")</f>
        <v>HOKAMA SERGIO ENRIQUE</v>
      </c>
      <c r="H129" s="46">
        <v>27144.62</v>
      </c>
      <c r="I129" s="85">
        <f>IF(compras_mes12[[#This Row],[NETO GRAVADO]]="","",compras_mes12[[#This Row],[NETO GRAVADO]]*0.21)</f>
        <v>5700.3701999999994</v>
      </c>
      <c r="J129" s="85"/>
      <c r="K129" s="85"/>
      <c r="L129" s="85"/>
      <c r="M129" s="85"/>
      <c r="N129" s="85"/>
      <c r="O129" s="85"/>
      <c r="P129" s="48">
        <f>SUM(compras_mes12[[#This Row],[NETO GRAVADO]:[Otros / No Grav.]])</f>
        <v>32844.9902</v>
      </c>
      <c r="Q129" s="49" t="str">
        <f>IFERROR(IF(compras_mes12[[#This Row],[CUIT]]="","-",VLOOKUP(compras_mes12[[#This Row],[CUIT]],Lista_CUIT[#All],3,0)),"CUIT NO CARGADO")</f>
        <v>Gastos Varios</v>
      </c>
      <c r="R129" s="49" t="str">
        <f>IFERROR(IF(compras_mes12[[#This Row],[CUIT]]="","-",VLOOKUP(compras_mes12[[#This Row],[CUIT]],Lista_CUIT[#All],4,0)),"CUIT NO CARGADO")</f>
        <v>BUENOS AIRES</v>
      </c>
    </row>
    <row r="130" spans="2:18" x14ac:dyDescent="0.3">
      <c r="B130" s="40">
        <v>45278</v>
      </c>
      <c r="C130" s="41">
        <v>1</v>
      </c>
      <c r="D130" s="42">
        <v>6852</v>
      </c>
      <c r="E130" s="43">
        <v>20873</v>
      </c>
      <c r="F130" s="44">
        <v>30678774495</v>
      </c>
      <c r="G130" s="45" t="str">
        <f>IFERROR(IF(compras_mes12[[#This Row],[CUIT]]="","-",VLOOKUP(compras_mes12[[#This Row],[CUIT]],Lista_CUIT[#All],2,0)),"CUIT NO CARGADO")</f>
        <v>OPER. DE EST. DE SERV. SA</v>
      </c>
      <c r="H130" s="46">
        <v>31481.95</v>
      </c>
      <c r="I130" s="85">
        <f>IF(compras_mes12[[#This Row],[NETO GRAVADO]]="","",compras_mes12[[#This Row],[NETO GRAVADO]]*0.21)</f>
        <v>6611.2094999999999</v>
      </c>
      <c r="J130" s="85"/>
      <c r="K130" s="85"/>
      <c r="L130" s="85"/>
      <c r="M130" s="85"/>
      <c r="N130" s="85"/>
      <c r="O130" s="85">
        <v>1611.86</v>
      </c>
      <c r="P130" s="48">
        <f>SUM(compras_mes12[[#This Row],[NETO GRAVADO]:[Otros / No Grav.]])</f>
        <v>39705.019500000002</v>
      </c>
      <c r="Q130" s="49" t="str">
        <f>IFERROR(IF(compras_mes12[[#This Row],[CUIT]]="","-",VLOOKUP(compras_mes12[[#This Row],[CUIT]],Lista_CUIT[#All],3,0)),"CUIT NO CARGADO")</f>
        <v>Combustibe</v>
      </c>
      <c r="R130" s="49">
        <f>IFERROR(IF(compras_mes12[[#This Row],[CUIT]]="","-",VLOOKUP(compras_mes12[[#This Row],[CUIT]],Lista_CUIT[#All],4,0)),"CUIT NO CARGADO")</f>
        <v>0</v>
      </c>
    </row>
    <row r="131" spans="2:18" x14ac:dyDescent="0.3">
      <c r="B131" s="40">
        <v>45278</v>
      </c>
      <c r="C131" s="41">
        <v>1</v>
      </c>
      <c r="D131" s="42">
        <v>5</v>
      </c>
      <c r="E131" s="43">
        <v>7071</v>
      </c>
      <c r="F131" s="44">
        <v>30715353934</v>
      </c>
      <c r="G131" s="45" t="str">
        <f>IFERROR(IF(compras_mes12[[#This Row],[CUIT]]="","-",VLOOKUP(compras_mes12[[#This Row],[CUIT]],Lista_CUIT[#All],2,0)),"CUIT NO CARGADO")</f>
        <v>GRUPO COLORADO SA</v>
      </c>
      <c r="H131" s="46">
        <v>13882.82</v>
      </c>
      <c r="I131" s="85">
        <f>IF(compras_mes12[[#This Row],[NETO GRAVADO]]="","",compras_mes12[[#This Row],[NETO GRAVADO]]*0.21)</f>
        <v>2915.3921999999998</v>
      </c>
      <c r="J131" s="85"/>
      <c r="K131" s="85"/>
      <c r="L131" s="85"/>
      <c r="M131" s="85"/>
      <c r="N131" s="85"/>
      <c r="O131" s="85"/>
      <c r="P131" s="48">
        <f>SUM(compras_mes12[[#This Row],[NETO GRAVADO]:[Otros / No Grav.]])</f>
        <v>16798.212199999998</v>
      </c>
      <c r="Q131" s="49">
        <f>IFERROR(IF(compras_mes12[[#This Row],[CUIT]]="","-",VLOOKUP(compras_mes12[[#This Row],[CUIT]],Lista_CUIT[#All],3,0)),"CUIT NO CARGADO")</f>
        <v>0</v>
      </c>
      <c r="R131" s="49">
        <f>IFERROR(IF(compras_mes12[[#This Row],[CUIT]]="","-",VLOOKUP(compras_mes12[[#This Row],[CUIT]],Lista_CUIT[#All],4,0)),"CUIT NO CARGADO")</f>
        <v>0</v>
      </c>
    </row>
    <row r="132" spans="2:18" x14ac:dyDescent="0.3">
      <c r="B132" s="40">
        <v>45278</v>
      </c>
      <c r="C132" s="41">
        <v>1</v>
      </c>
      <c r="D132" s="42">
        <v>6</v>
      </c>
      <c r="E132" s="43">
        <v>38528</v>
      </c>
      <c r="F132" s="44">
        <v>20235723906</v>
      </c>
      <c r="G132" s="45" t="str">
        <f>IFERROR(IF(compras_mes12[[#This Row],[CUIT]]="","-",VLOOKUP(compras_mes12[[#This Row],[CUIT]],Lista_CUIT[#All],2,0)),"CUIT NO CARGADO")</f>
        <v>BURNET MICHAUT GASTON KURT</v>
      </c>
      <c r="H132" s="46">
        <v>3396.69</v>
      </c>
      <c r="I132" s="85">
        <f>IF(compras_mes12[[#This Row],[NETO GRAVADO]]="","",compras_mes12[[#This Row],[NETO GRAVADO]]*0.21)</f>
        <v>713.30489999999998</v>
      </c>
      <c r="J132" s="85"/>
      <c r="K132" s="85"/>
      <c r="L132" s="85"/>
      <c r="M132" s="85"/>
      <c r="N132" s="85"/>
      <c r="O132" s="85"/>
      <c r="P132" s="48">
        <f>SUM(compras_mes12[[#This Row],[NETO GRAVADO]:[Otros / No Grav.]])</f>
        <v>4109.9948999999997</v>
      </c>
      <c r="Q132" s="49">
        <f>IFERROR(IF(compras_mes12[[#This Row],[CUIT]]="","-",VLOOKUP(compras_mes12[[#This Row],[CUIT]],Lista_CUIT[#All],3,0)),"CUIT NO CARGADO")</f>
        <v>0</v>
      </c>
      <c r="R132" s="49">
        <f>IFERROR(IF(compras_mes12[[#This Row],[CUIT]]="","-",VLOOKUP(compras_mes12[[#This Row],[CUIT]],Lista_CUIT[#All],4,0)),"CUIT NO CARGADO")</f>
        <v>0</v>
      </c>
    </row>
    <row r="133" spans="2:18" x14ac:dyDescent="0.3">
      <c r="B133" s="40">
        <v>45278</v>
      </c>
      <c r="C133" s="41">
        <v>1</v>
      </c>
      <c r="D133" s="42">
        <v>2</v>
      </c>
      <c r="E133" s="43">
        <v>3547</v>
      </c>
      <c r="F133" s="44">
        <v>30629863571</v>
      </c>
      <c r="G133" s="45" t="str">
        <f>IFERROR(IF(compras_mes12[[#This Row],[CUIT]]="","-",VLOOKUP(compras_mes12[[#This Row],[CUIT]],Lista_CUIT[#All],2,0)),"CUIT NO CARGADO")</f>
        <v>TECNIMAR S R L</v>
      </c>
      <c r="H133" s="46">
        <v>2783928.38</v>
      </c>
      <c r="I133" s="85">
        <f>IF(compras_mes12[[#This Row],[NETO GRAVADO]]="","",compras_mes12[[#This Row],[NETO GRAVADO]]*0.21)</f>
        <v>584624.95979999995</v>
      </c>
      <c r="J133" s="85"/>
      <c r="K133" s="85"/>
      <c r="L133" s="85"/>
      <c r="M133" s="85"/>
      <c r="N133" s="85"/>
      <c r="O133" s="85"/>
      <c r="P133" s="48">
        <f>SUM(compras_mes12[[#This Row],[NETO GRAVADO]:[Otros / No Grav.]])</f>
        <v>3368553.3397999997</v>
      </c>
      <c r="Q133" s="49" t="str">
        <f>IFERROR(IF(compras_mes12[[#This Row],[CUIT]]="","-",VLOOKUP(compras_mes12[[#This Row],[CUIT]],Lista_CUIT[#All],3,0)),"CUIT NO CARGADO")</f>
        <v>LABORATORIO</v>
      </c>
      <c r="R133" s="49">
        <f>IFERROR(IF(compras_mes12[[#This Row],[CUIT]]="","-",VLOOKUP(compras_mes12[[#This Row],[CUIT]],Lista_CUIT[#All],4,0)),"CUIT NO CARGADO")</f>
        <v>0</v>
      </c>
    </row>
    <row r="134" spans="2:18" x14ac:dyDescent="0.3">
      <c r="B134" s="608">
        <v>45279</v>
      </c>
      <c r="C134" s="609">
        <v>1</v>
      </c>
      <c r="D134" s="610">
        <v>2</v>
      </c>
      <c r="E134" s="611">
        <v>19651</v>
      </c>
      <c r="F134" s="612">
        <v>30717062775</v>
      </c>
      <c r="G134" s="552" t="str">
        <f>IFERROR(IF(compras_mes12[[#This Row],[CUIT]]="","-",VLOOKUP(compras_mes12[[#This Row],[CUIT]],Lista_CUIT[#All],2,0)),"CUIT NO CARGADO")</f>
        <v>MULTI C</v>
      </c>
      <c r="H134" s="548">
        <v>33240.720000000001</v>
      </c>
      <c r="I134" s="528"/>
      <c r="J134" s="528"/>
      <c r="K134" s="528">
        <f>compras_mes12[[#This Row],[NETO GRAVADO]]*0.105</f>
        <v>3490.2755999999999</v>
      </c>
      <c r="L134" s="528"/>
      <c r="M134" s="528"/>
      <c r="N134" s="528"/>
      <c r="O134" s="528"/>
      <c r="P134" s="257">
        <f>SUM(compras_mes12[[#This Row],[NETO GRAVADO]:[Otros / No Grav.]])</f>
        <v>36730.995600000002</v>
      </c>
      <c r="Q134" s="553">
        <f>IFERROR(IF(compras_mes12[[#This Row],[CUIT]]="","-",VLOOKUP(compras_mes12[[#This Row],[CUIT]],Lista_CUIT[#All],3,0)),"CUIT NO CARGADO")</f>
        <v>0</v>
      </c>
      <c r="R134" s="553">
        <f>IFERROR(IF(compras_mes12[[#This Row],[CUIT]]="","-",VLOOKUP(compras_mes12[[#This Row],[CUIT]],Lista_CUIT[#All],4,0)),"CUIT NO CARGADO")</f>
        <v>0</v>
      </c>
    </row>
    <row r="135" spans="2:18" x14ac:dyDescent="0.3">
      <c r="B135" s="40">
        <v>45279</v>
      </c>
      <c r="C135" s="41">
        <v>1</v>
      </c>
      <c r="D135" s="42">
        <v>13</v>
      </c>
      <c r="E135" s="43">
        <v>1326</v>
      </c>
      <c r="F135" s="44">
        <v>30686272032</v>
      </c>
      <c r="G135" s="45" t="str">
        <f>IFERROR(IF(compras_mes12[[#This Row],[CUIT]]="","-",VLOOKUP(compras_mes12[[#This Row],[CUIT]],Lista_CUIT[#All],2,0)),"CUIT NO CARGADO")</f>
        <v>FERRETERIA TANDIL SRL</v>
      </c>
      <c r="H135" s="46">
        <v>10000</v>
      </c>
      <c r="I135" s="85">
        <f>IF(compras_mes12[[#This Row],[NETO GRAVADO]]="","",compras_mes12[[#This Row],[NETO GRAVADO]]*0.21)</f>
        <v>2100</v>
      </c>
      <c r="J135" s="85"/>
      <c r="K135" s="85"/>
      <c r="L135" s="85"/>
      <c r="M135" s="85"/>
      <c r="N135" s="85"/>
      <c r="O135" s="85"/>
      <c r="P135" s="48">
        <f>SUM(compras_mes12[[#This Row],[NETO GRAVADO]:[Otros / No Grav.]])</f>
        <v>12100</v>
      </c>
      <c r="Q135" s="49">
        <f>IFERROR(IF(compras_mes12[[#This Row],[CUIT]]="","-",VLOOKUP(compras_mes12[[#This Row],[CUIT]],Lista_CUIT[#All],3,0)),"CUIT NO CARGADO")</f>
        <v>0</v>
      </c>
      <c r="R135" s="49">
        <f>IFERROR(IF(compras_mes12[[#This Row],[CUIT]]="","-",VLOOKUP(compras_mes12[[#This Row],[CUIT]],Lista_CUIT[#All],4,0)),"CUIT NO CARGADO")</f>
        <v>0</v>
      </c>
    </row>
    <row r="136" spans="2:18" x14ac:dyDescent="0.3">
      <c r="B136" s="40">
        <v>45279</v>
      </c>
      <c r="C136" s="41">
        <v>1</v>
      </c>
      <c r="D136" s="42">
        <v>6852</v>
      </c>
      <c r="E136" s="43">
        <v>20897</v>
      </c>
      <c r="F136" s="44">
        <v>30678774495</v>
      </c>
      <c r="G136" s="45" t="str">
        <f>IFERROR(IF(compras_mes12[[#This Row],[CUIT]]="","-",VLOOKUP(compras_mes12[[#This Row],[CUIT]],Lista_CUIT[#All],2,0)),"CUIT NO CARGADO")</f>
        <v>OPER. DE EST. DE SERV. SA</v>
      </c>
      <c r="H136" s="46">
        <v>3882.78</v>
      </c>
      <c r="I136" s="85">
        <f>IF(compras_mes12[[#This Row],[NETO GRAVADO]]="","",compras_mes12[[#This Row],[NETO GRAVADO]]*0.21)</f>
        <v>815.38380000000006</v>
      </c>
      <c r="J136" s="85"/>
      <c r="K136" s="85"/>
      <c r="L136" s="85"/>
      <c r="M136" s="85"/>
      <c r="N136" s="85"/>
      <c r="O136" s="85">
        <v>198.8</v>
      </c>
      <c r="P136" s="48">
        <f>SUM(compras_mes12[[#This Row],[NETO GRAVADO]:[Otros / No Grav.]])</f>
        <v>4896.9638000000004</v>
      </c>
      <c r="Q136" s="49" t="str">
        <f>IFERROR(IF(compras_mes12[[#This Row],[CUIT]]="","-",VLOOKUP(compras_mes12[[#This Row],[CUIT]],Lista_CUIT[#All],3,0)),"CUIT NO CARGADO")</f>
        <v>Combustibe</v>
      </c>
      <c r="R136" s="49">
        <f>IFERROR(IF(compras_mes12[[#This Row],[CUIT]]="","-",VLOOKUP(compras_mes12[[#This Row],[CUIT]],Lista_CUIT[#All],4,0)),"CUIT NO CARGADO")</f>
        <v>0</v>
      </c>
    </row>
    <row r="137" spans="2:18" x14ac:dyDescent="0.3">
      <c r="B137" s="40">
        <v>45279</v>
      </c>
      <c r="C137" s="41">
        <v>1</v>
      </c>
      <c r="D137" s="42">
        <v>2188</v>
      </c>
      <c r="E137" s="43">
        <v>107467</v>
      </c>
      <c r="F137" s="44">
        <v>30548083156</v>
      </c>
      <c r="G137" s="45" t="str">
        <f>IFERROR(IF(compras_mes12[[#This Row],[CUIT]]="","-",VLOOKUP(compras_mes12[[#This Row],[CUIT]],Lista_CUIT[#All],2,0)),"CUIT NO CARGADO")</f>
        <v>COTO CENTRO INTEGRAL DE COMERCIALIZACION SOCIEDAD ANONIMA</v>
      </c>
      <c r="H137" s="46">
        <v>36917.699999999997</v>
      </c>
      <c r="I137" s="85">
        <v>5457.43</v>
      </c>
      <c r="J137" s="85"/>
      <c r="K137" s="85">
        <v>1147.6400000000001</v>
      </c>
      <c r="L137" s="85">
        <v>899.27</v>
      </c>
      <c r="M137" s="85"/>
      <c r="N137" s="85">
        <v>1788.33</v>
      </c>
      <c r="O137" s="85"/>
      <c r="P137" s="48">
        <f>SUM(compras_mes12[[#This Row],[NETO GRAVADO]:[Otros / No Grav.]])</f>
        <v>46210.369999999995</v>
      </c>
      <c r="Q137" s="49" t="str">
        <f>IFERROR(IF(compras_mes12[[#This Row],[CUIT]]="","-",VLOOKUP(compras_mes12[[#This Row],[CUIT]],Lista_CUIT[#All],3,0)),"CUIT NO CARGADO")</f>
        <v>GASTOS COMERCIALES</v>
      </c>
      <c r="R137" s="49">
        <f>IFERROR(IF(compras_mes12[[#This Row],[CUIT]]="","-",VLOOKUP(compras_mes12[[#This Row],[CUIT]],Lista_CUIT[#All],4,0)),"CUIT NO CARGADO")</f>
        <v>0</v>
      </c>
    </row>
    <row r="138" spans="2:18" x14ac:dyDescent="0.3">
      <c r="B138" s="40">
        <v>45279</v>
      </c>
      <c r="C138" s="41">
        <v>1</v>
      </c>
      <c r="D138" s="42">
        <v>8</v>
      </c>
      <c r="E138" s="43">
        <v>6137</v>
      </c>
      <c r="F138" s="44">
        <v>20178564219</v>
      </c>
      <c r="G138" s="45" t="str">
        <f>IFERROR(IF(compras_mes12[[#This Row],[CUIT]]="","-",VLOOKUP(compras_mes12[[#This Row],[CUIT]],Lista_CUIT[#All],2,0)),"CUIT NO CARGADO")</f>
        <v>BERNSTEIN FERNANDO GABRIEL</v>
      </c>
      <c r="H138" s="46">
        <v>79576.67</v>
      </c>
      <c r="I138" s="85">
        <v>14335.54</v>
      </c>
      <c r="J138" s="85"/>
      <c r="K138" s="85">
        <v>1187.78</v>
      </c>
      <c r="L138" s="85"/>
      <c r="M138" s="85"/>
      <c r="N138" s="85"/>
      <c r="O138" s="85"/>
      <c r="P138" s="48">
        <f>SUM(compras_mes12[[#This Row],[NETO GRAVADO]:[Otros / No Grav.]])</f>
        <v>95099.989999999991</v>
      </c>
      <c r="Q138" s="49">
        <f>IFERROR(IF(compras_mes12[[#This Row],[CUIT]]="","-",VLOOKUP(compras_mes12[[#This Row],[CUIT]],Lista_CUIT[#All],3,0)),"CUIT NO CARGADO")</f>
        <v>0</v>
      </c>
      <c r="R138" s="49">
        <f>IFERROR(IF(compras_mes12[[#This Row],[CUIT]]="","-",VLOOKUP(compras_mes12[[#This Row],[CUIT]],Lista_CUIT[#All],4,0)),"CUIT NO CARGADO")</f>
        <v>0</v>
      </c>
    </row>
    <row r="139" spans="2:18" x14ac:dyDescent="0.3">
      <c r="B139" s="40">
        <v>45279</v>
      </c>
      <c r="C139" s="41">
        <v>1</v>
      </c>
      <c r="D139" s="42">
        <v>2</v>
      </c>
      <c r="E139" s="43">
        <v>3548</v>
      </c>
      <c r="F139" s="44">
        <v>30629863571</v>
      </c>
      <c r="G139" s="45" t="str">
        <f>IFERROR(IF(compras_mes12[[#This Row],[CUIT]]="","-",VLOOKUP(compras_mes12[[#This Row],[CUIT]],Lista_CUIT[#All],2,0)),"CUIT NO CARGADO")</f>
        <v>TECNIMAR S R L</v>
      </c>
      <c r="H139" s="46">
        <v>2182057</v>
      </c>
      <c r="I139" s="85">
        <f>IF(compras_mes12[[#This Row],[NETO GRAVADO]]="","",compras_mes12[[#This Row],[NETO GRAVADO]]*0.21)</f>
        <v>458231.97</v>
      </c>
      <c r="J139" s="85"/>
      <c r="K139" s="85"/>
      <c r="L139" s="85"/>
      <c r="M139" s="85"/>
      <c r="N139" s="85"/>
      <c r="O139" s="85"/>
      <c r="P139" s="48">
        <f>SUM(compras_mes12[[#This Row],[NETO GRAVADO]:[Otros / No Grav.]])</f>
        <v>2640288.9699999997</v>
      </c>
      <c r="Q139" s="49" t="str">
        <f>IFERROR(IF(compras_mes12[[#This Row],[CUIT]]="","-",VLOOKUP(compras_mes12[[#This Row],[CUIT]],Lista_CUIT[#All],3,0)),"CUIT NO CARGADO")</f>
        <v>LABORATORIO</v>
      </c>
      <c r="R139" s="49">
        <f>IFERROR(IF(compras_mes12[[#This Row],[CUIT]]="","-",VLOOKUP(compras_mes12[[#This Row],[CUIT]],Lista_CUIT[#All],4,0)),"CUIT NO CARGADO")</f>
        <v>0</v>
      </c>
    </row>
    <row r="140" spans="2:18" x14ac:dyDescent="0.3">
      <c r="B140" s="608">
        <v>45280</v>
      </c>
      <c r="C140" s="609">
        <v>1</v>
      </c>
      <c r="D140" s="610">
        <v>113</v>
      </c>
      <c r="E140" s="611">
        <v>3429143</v>
      </c>
      <c r="F140" s="612">
        <v>30577207190</v>
      </c>
      <c r="G140" s="552" t="str">
        <f>IFERROR(IF(compras_mes12[[#This Row],[CUIT]]="","-",VLOOKUP(compras_mes12[[#This Row],[CUIT]],Lista_CUIT[#All],2,0)),"CUIT NO CARGADO")</f>
        <v>COORDINACION ECOLOGICA AREA METROPOLITANA SOCIEDAD DEL ESTADO</v>
      </c>
      <c r="H140" s="548">
        <v>2406.61</v>
      </c>
      <c r="I140" s="528">
        <f>IF(compras_mes12[[#This Row],[NETO GRAVADO]]="","",compras_mes12[[#This Row],[NETO GRAVADO]]*0.21)</f>
        <v>505.38810000000001</v>
      </c>
      <c r="J140" s="528"/>
      <c r="K140" s="528"/>
      <c r="L140" s="528">
        <v>72.2</v>
      </c>
      <c r="M140" s="528"/>
      <c r="N140" s="528"/>
      <c r="O140" s="528"/>
      <c r="P140" s="257">
        <f>SUM(compras_mes12[[#This Row],[NETO GRAVADO]:[Otros / No Grav.]])</f>
        <v>2984.1981000000001</v>
      </c>
      <c r="Q140" s="553">
        <f>IFERROR(IF(compras_mes12[[#This Row],[CUIT]]="","-",VLOOKUP(compras_mes12[[#This Row],[CUIT]],Lista_CUIT[#All],3,0)),"CUIT NO CARGADO")</f>
        <v>0</v>
      </c>
      <c r="R140" s="553">
        <f>IFERROR(IF(compras_mes12[[#This Row],[CUIT]]="","-",VLOOKUP(compras_mes12[[#This Row],[CUIT]],Lista_CUIT[#All],4,0)),"CUIT NO CARGADO")</f>
        <v>0</v>
      </c>
    </row>
    <row r="141" spans="2:18" x14ac:dyDescent="0.3">
      <c r="B141" s="40">
        <v>45280</v>
      </c>
      <c r="C141" s="41">
        <v>1</v>
      </c>
      <c r="D141" s="42">
        <v>10</v>
      </c>
      <c r="E141" s="43">
        <v>20776</v>
      </c>
      <c r="F141" s="44">
        <v>30708092904</v>
      </c>
      <c r="G141" s="45" t="str">
        <f>IFERROR(IF(compras_mes12[[#This Row],[CUIT]]="","-",VLOOKUP(compras_mes12[[#This Row],[CUIT]],Lista_CUIT[#All],2,0)),"CUIT NO CARGADO")</f>
        <v>TRACOLOR S.A.</v>
      </c>
      <c r="H141" s="46">
        <v>2604</v>
      </c>
      <c r="I141" s="85">
        <f>IF(compras_mes12[[#This Row],[NETO GRAVADO]]="","",compras_mes12[[#This Row],[NETO GRAVADO]]*0.21)</f>
        <v>546.84</v>
      </c>
      <c r="J141" s="85"/>
      <c r="K141" s="85"/>
      <c r="L141" s="85"/>
      <c r="M141" s="85"/>
      <c r="N141" s="85"/>
      <c r="O141" s="85"/>
      <c r="P141" s="48">
        <f>SUM(compras_mes12[[#This Row],[NETO GRAVADO]:[Otros / No Grav.]])</f>
        <v>3150.84</v>
      </c>
      <c r="Q141" s="49">
        <f>IFERROR(IF(compras_mes12[[#This Row],[CUIT]]="","-",VLOOKUP(compras_mes12[[#This Row],[CUIT]],Lista_CUIT[#All],3,0)),"CUIT NO CARGADO")</f>
        <v>0</v>
      </c>
      <c r="R141" s="49">
        <f>IFERROR(IF(compras_mes12[[#This Row],[CUIT]]="","-",VLOOKUP(compras_mes12[[#This Row],[CUIT]],Lista_CUIT[#All],4,0)),"CUIT NO CARGADO")</f>
        <v>0</v>
      </c>
    </row>
    <row r="142" spans="2:18" x14ac:dyDescent="0.3">
      <c r="B142" s="40">
        <v>45280</v>
      </c>
      <c r="C142" s="41">
        <v>1</v>
      </c>
      <c r="D142" s="42">
        <v>6</v>
      </c>
      <c r="E142" s="43">
        <v>2945</v>
      </c>
      <c r="F142" s="44">
        <v>30574603788</v>
      </c>
      <c r="G142" s="45" t="str">
        <f>IFERROR(IF(compras_mes12[[#This Row],[CUIT]]="","-",VLOOKUP(compras_mes12[[#This Row],[CUIT]],Lista_CUIT[#All],2,0)),"CUIT NO CARGADO")</f>
        <v>CODAC SRL</v>
      </c>
      <c r="H142" s="46">
        <v>2918758</v>
      </c>
      <c r="I142" s="85">
        <f>IF(compras_mes12[[#This Row],[NETO GRAVADO]]="","",compras_mes12[[#This Row],[NETO GRAVADO]]*0.21)</f>
        <v>612939.17999999993</v>
      </c>
      <c r="J142" s="85"/>
      <c r="K142" s="85"/>
      <c r="L142" s="85"/>
      <c r="M142" s="85"/>
      <c r="N142" s="85"/>
      <c r="O142" s="85"/>
      <c r="P142" s="48">
        <f>SUM(compras_mes12[[#This Row],[NETO GRAVADO]:[Otros / No Grav.]])</f>
        <v>3531697.1799999997</v>
      </c>
      <c r="Q142" s="49" t="str">
        <f>IFERROR(IF(compras_mes12[[#This Row],[CUIT]]="","-",VLOOKUP(compras_mes12[[#This Row],[CUIT]],Lista_CUIT[#All],3,0)),"CUIT NO CARGADO")</f>
        <v>GASTOS COSMETICA</v>
      </c>
      <c r="R142" s="49" t="str">
        <f>IFERROR(IF(compras_mes12[[#This Row],[CUIT]]="","-",VLOOKUP(compras_mes12[[#This Row],[CUIT]],Lista_CUIT[#All],4,0)),"CUIT NO CARGADO")</f>
        <v>BUENOS AIRES</v>
      </c>
    </row>
    <row r="143" spans="2:18" x14ac:dyDescent="0.3">
      <c r="B143" s="40">
        <v>45280</v>
      </c>
      <c r="C143" s="41">
        <v>1</v>
      </c>
      <c r="D143" s="42">
        <v>10</v>
      </c>
      <c r="E143" s="43">
        <v>20775</v>
      </c>
      <c r="F143" s="44">
        <v>30708092904</v>
      </c>
      <c r="G143" s="45" t="str">
        <f>IFERROR(IF(compras_mes12[[#This Row],[CUIT]]="","-",VLOOKUP(compras_mes12[[#This Row],[CUIT]],Lista_CUIT[#All],2,0)),"CUIT NO CARGADO")</f>
        <v>TRACOLOR S.A.</v>
      </c>
      <c r="H143" s="46">
        <v>5722.5</v>
      </c>
      <c r="I143" s="85">
        <f>IF(compras_mes12[[#This Row],[NETO GRAVADO]]="","",compras_mes12[[#This Row],[NETO GRAVADO]]*0.21)</f>
        <v>1201.7249999999999</v>
      </c>
      <c r="J143" s="85"/>
      <c r="K143" s="85"/>
      <c r="L143" s="85"/>
      <c r="M143" s="85"/>
      <c r="N143" s="85"/>
      <c r="O143" s="85"/>
      <c r="P143" s="48">
        <f>SUM(compras_mes12[[#This Row],[NETO GRAVADO]:[Otros / No Grav.]])</f>
        <v>6924.2250000000004</v>
      </c>
      <c r="Q143" s="49">
        <f>IFERROR(IF(compras_mes12[[#This Row],[CUIT]]="","-",VLOOKUP(compras_mes12[[#This Row],[CUIT]],Lista_CUIT[#All],3,0)),"CUIT NO CARGADO")</f>
        <v>0</v>
      </c>
      <c r="R143" s="49">
        <f>IFERROR(IF(compras_mes12[[#This Row],[CUIT]]="","-",VLOOKUP(compras_mes12[[#This Row],[CUIT]],Lista_CUIT[#All],4,0)),"CUIT NO CARGADO")</f>
        <v>0</v>
      </c>
    </row>
    <row r="144" spans="2:18" x14ac:dyDescent="0.3">
      <c r="B144" s="40">
        <v>45280</v>
      </c>
      <c r="C144" s="41">
        <v>1</v>
      </c>
      <c r="D144" s="42">
        <v>4</v>
      </c>
      <c r="E144" s="43">
        <v>7</v>
      </c>
      <c r="F144" s="44">
        <v>20308004865</v>
      </c>
      <c r="G144" s="45" t="str">
        <f>IFERROR(IF(compras_mes12[[#This Row],[CUIT]]="","-",VLOOKUP(compras_mes12[[#This Row],[CUIT]],Lista_CUIT[#All],2,0)),"CUIT NO CARGADO")</f>
        <v>VEGA GUSTAVO RAUL</v>
      </c>
      <c r="H144" s="46">
        <v>562000</v>
      </c>
      <c r="I144" s="85">
        <f>IF(compras_mes12[[#This Row],[NETO GRAVADO]]="","",compras_mes12[[#This Row],[NETO GRAVADO]]*0.21)</f>
        <v>118020</v>
      </c>
      <c r="J144" s="85"/>
      <c r="K144" s="85"/>
      <c r="L144" s="85"/>
      <c r="M144" s="85"/>
      <c r="N144" s="85"/>
      <c r="O144" s="85"/>
      <c r="P144" s="48">
        <f>SUM(compras_mes12[[#This Row],[NETO GRAVADO]:[Otros / No Grav.]])</f>
        <v>680020</v>
      </c>
      <c r="Q144" s="49">
        <f>IFERROR(IF(compras_mes12[[#This Row],[CUIT]]="","-",VLOOKUP(compras_mes12[[#This Row],[CUIT]],Lista_CUIT[#All],3,0)),"CUIT NO CARGADO")</f>
        <v>0</v>
      </c>
      <c r="R144" s="49">
        <f>IFERROR(IF(compras_mes12[[#This Row],[CUIT]]="","-",VLOOKUP(compras_mes12[[#This Row],[CUIT]],Lista_CUIT[#All],4,0)),"CUIT NO CARGADO")</f>
        <v>0</v>
      </c>
    </row>
    <row r="145" spans="2:18" x14ac:dyDescent="0.3">
      <c r="B145" s="221">
        <v>45280</v>
      </c>
      <c r="C145" s="41">
        <v>1</v>
      </c>
      <c r="D145" s="222">
        <v>1</v>
      </c>
      <c r="E145" s="223">
        <v>64</v>
      </c>
      <c r="F145" s="44">
        <v>30718148207</v>
      </c>
      <c r="G145" s="224" t="str">
        <f>IFERROR(IF(compras_mes12[[#This Row],[CUIT]]="","-",VLOOKUP(compras_mes12[[#This Row],[CUIT]],Lista_CUIT[#All],2,0)),"CUIT NO CARGADO")</f>
        <v>VIPA INTERNATIONAL S.R.L.</v>
      </c>
      <c r="H145" s="225">
        <v>2000000</v>
      </c>
      <c r="I145" s="85">
        <f>IF(compras_mes12[[#This Row],[NETO GRAVADO]]="","",compras_mes12[[#This Row],[NETO GRAVADO]]*0.21)</f>
        <v>420000</v>
      </c>
      <c r="J145" s="226"/>
      <c r="K145" s="226"/>
      <c r="L145" s="226"/>
      <c r="M145" s="226"/>
      <c r="N145" s="226"/>
      <c r="O145" s="226"/>
      <c r="P145" s="227">
        <f>SUM(compras_mes12[[#This Row],[NETO GRAVADO]:[Otros / No Grav.]])</f>
        <v>2420000</v>
      </c>
      <c r="Q145" s="228">
        <f>IFERROR(IF(compras_mes12[[#This Row],[CUIT]]="","-",VLOOKUP(compras_mes12[[#This Row],[CUIT]],Lista_CUIT[#All],3,0)),"CUIT NO CARGADO")</f>
        <v>0</v>
      </c>
      <c r="R145" s="228">
        <f>IFERROR(IF(compras_mes12[[#This Row],[CUIT]]="","-",VLOOKUP(compras_mes12[[#This Row],[CUIT]],Lista_CUIT[#All],4,0)),"CUIT NO CARGADO")</f>
        <v>0</v>
      </c>
    </row>
    <row r="146" spans="2:18" x14ac:dyDescent="0.3">
      <c r="B146" s="40">
        <v>45280</v>
      </c>
      <c r="C146" s="41">
        <v>1</v>
      </c>
      <c r="D146" s="42">
        <v>2</v>
      </c>
      <c r="E146" s="43">
        <v>3549</v>
      </c>
      <c r="F146" s="44">
        <v>30629863571</v>
      </c>
      <c r="G146" s="45" t="str">
        <f>IFERROR(IF(compras_mes12[[#This Row],[CUIT]]="","-",VLOOKUP(compras_mes12[[#This Row],[CUIT]],Lista_CUIT[#All],2,0)),"CUIT NO CARGADO")</f>
        <v>TECNIMAR S R L</v>
      </c>
      <c r="H146" s="46">
        <v>2683808.0499999998</v>
      </c>
      <c r="I146" s="85">
        <f>IF(compras_mes12[[#This Row],[NETO GRAVADO]]="","",compras_mes12[[#This Row],[NETO GRAVADO]]*0.21)</f>
        <v>563599.69049999991</v>
      </c>
      <c r="J146" s="85"/>
      <c r="K146" s="85"/>
      <c r="L146" s="85"/>
      <c r="M146" s="85"/>
      <c r="N146" s="85"/>
      <c r="O146" s="85"/>
      <c r="P146" s="48">
        <f>SUM(compras_mes12[[#This Row],[NETO GRAVADO]:[Otros / No Grav.]])</f>
        <v>3247407.7404999998</v>
      </c>
      <c r="Q146" s="49" t="str">
        <f>IFERROR(IF(compras_mes12[[#This Row],[CUIT]]="","-",VLOOKUP(compras_mes12[[#This Row],[CUIT]],Lista_CUIT[#All],3,0)),"CUIT NO CARGADO")</f>
        <v>LABORATORIO</v>
      </c>
      <c r="R146" s="49">
        <f>IFERROR(IF(compras_mes12[[#This Row],[CUIT]]="","-",VLOOKUP(compras_mes12[[#This Row],[CUIT]],Lista_CUIT[#All],4,0)),"CUIT NO CARGADO")</f>
        <v>0</v>
      </c>
    </row>
    <row r="147" spans="2:18" x14ac:dyDescent="0.3">
      <c r="B147" s="40">
        <v>45280</v>
      </c>
      <c r="C147" s="41">
        <v>1</v>
      </c>
      <c r="D147" s="42">
        <v>2</v>
      </c>
      <c r="E147" s="43">
        <v>3550</v>
      </c>
      <c r="F147" s="44">
        <v>30629863571</v>
      </c>
      <c r="G147" s="45" t="str">
        <f>IFERROR(IF(compras_mes12[[#This Row],[CUIT]]="","-",VLOOKUP(compras_mes12[[#This Row],[CUIT]],Lista_CUIT[#All],2,0)),"CUIT NO CARGADO")</f>
        <v>TECNIMAR S R L</v>
      </c>
      <c r="H147" s="46">
        <v>502538.38</v>
      </c>
      <c r="I147" s="85">
        <f>IF(compras_mes12[[#This Row],[NETO GRAVADO]]="","",compras_mes12[[#This Row],[NETO GRAVADO]]*0.21)</f>
        <v>105533.0598</v>
      </c>
      <c r="J147" s="85"/>
      <c r="K147" s="85"/>
      <c r="L147" s="85"/>
      <c r="M147" s="85"/>
      <c r="N147" s="85"/>
      <c r="O147" s="85"/>
      <c r="P147" s="48">
        <f>SUM(compras_mes12[[#This Row],[NETO GRAVADO]:[Otros / No Grav.]])</f>
        <v>608071.43980000005</v>
      </c>
      <c r="Q147" s="49" t="str">
        <f>IFERROR(IF(compras_mes12[[#This Row],[CUIT]]="","-",VLOOKUP(compras_mes12[[#This Row],[CUIT]],Lista_CUIT[#All],3,0)),"CUIT NO CARGADO")</f>
        <v>LABORATORIO</v>
      </c>
      <c r="R147" s="49">
        <f>IFERROR(IF(compras_mes12[[#This Row],[CUIT]]="","-",VLOOKUP(compras_mes12[[#This Row],[CUIT]],Lista_CUIT[#All],4,0)),"CUIT NO CARGADO")</f>
        <v>0</v>
      </c>
    </row>
    <row r="148" spans="2:18" x14ac:dyDescent="0.3">
      <c r="B148" s="608">
        <v>45281</v>
      </c>
      <c r="C148" s="609">
        <v>1</v>
      </c>
      <c r="D148" s="610">
        <v>700</v>
      </c>
      <c r="E148" s="611">
        <v>1356873</v>
      </c>
      <c r="F148" s="612">
        <v>30715804812</v>
      </c>
      <c r="G148" s="552" t="str">
        <f>IFERROR(IF(compras_mes12[[#This Row],[CUIT]]="","-",VLOOKUP(compras_mes12[[#This Row],[CUIT]],Lista_CUIT[#All],2,0)),"CUIT NO CARGADO")</f>
        <v>CORREDORES VIALES SOCIEDAD ANONIMA</v>
      </c>
      <c r="H148" s="548">
        <v>413.22</v>
      </c>
      <c r="I148" s="528">
        <f>IF(compras_mes12[[#This Row],[NETO GRAVADO]]="","",compras_mes12[[#This Row],[NETO GRAVADO]]*0.21)</f>
        <v>86.776200000000003</v>
      </c>
      <c r="J148" s="528"/>
      <c r="K148" s="528"/>
      <c r="L148" s="528"/>
      <c r="M148" s="528"/>
      <c r="N148" s="528"/>
      <c r="O148" s="528"/>
      <c r="P148" s="529">
        <f>SUM(compras_mes12[[#This Row],[NETO GRAVADO]:[Otros / No Grav.]])</f>
        <v>499.99620000000004</v>
      </c>
      <c r="Q148" s="553">
        <f>IFERROR(IF(compras_mes12[[#This Row],[CUIT]]="","-",VLOOKUP(compras_mes12[[#This Row],[CUIT]],Lista_CUIT[#All],3,0)),"CUIT NO CARGADO")</f>
        <v>0</v>
      </c>
      <c r="R148" s="553">
        <f>IFERROR(IF(compras_mes12[[#This Row],[CUIT]]="","-",VLOOKUP(compras_mes12[[#This Row],[CUIT]],Lista_CUIT[#All],4,0)),"CUIT NO CARGADO")</f>
        <v>0</v>
      </c>
    </row>
    <row r="149" spans="2:18" x14ac:dyDescent="0.3">
      <c r="B149" s="40">
        <v>45281</v>
      </c>
      <c r="C149" s="41">
        <v>1</v>
      </c>
      <c r="D149" s="42">
        <v>2</v>
      </c>
      <c r="E149" s="43">
        <v>3624</v>
      </c>
      <c r="F149" s="44">
        <v>30717163296</v>
      </c>
      <c r="G149" s="45" t="str">
        <f>IFERROR(IF(compras_mes12[[#This Row],[CUIT]]="","-",VLOOKUP(compras_mes12[[#This Row],[CUIT]],Lista_CUIT[#All],2,0)),"CUIT NO CARGADO")</f>
        <v>LABORATORIOS COTTON FIELDS S.A.</v>
      </c>
      <c r="H149" s="46">
        <v>84102.48</v>
      </c>
      <c r="I149" s="85">
        <f>IF(compras_mes12[[#This Row],[NETO GRAVADO]]="","",compras_mes12[[#This Row],[NETO GRAVADO]]*0.21)</f>
        <v>17661.520799999998</v>
      </c>
      <c r="J149" s="85"/>
      <c r="K149" s="85"/>
      <c r="L149" s="85"/>
      <c r="M149" s="85"/>
      <c r="N149" s="85"/>
      <c r="O149" s="85"/>
      <c r="P149" s="48">
        <f>SUM(compras_mes12[[#This Row],[NETO GRAVADO]:[Otros / No Grav.]])</f>
        <v>101764.00079999999</v>
      </c>
      <c r="Q149" s="49">
        <f>IFERROR(IF(compras_mes12[[#This Row],[CUIT]]="","-",VLOOKUP(compras_mes12[[#This Row],[CUIT]],Lista_CUIT[#All],3,0)),"CUIT NO CARGADO")</f>
        <v>0</v>
      </c>
      <c r="R149" s="49">
        <f>IFERROR(IF(compras_mes12[[#This Row],[CUIT]]="","-",VLOOKUP(compras_mes12[[#This Row],[CUIT]],Lista_CUIT[#All],4,0)),"CUIT NO CARGADO")</f>
        <v>0</v>
      </c>
    </row>
    <row r="150" spans="2:18" x14ac:dyDescent="0.3">
      <c r="B150" s="40">
        <v>45281</v>
      </c>
      <c r="C150" s="41">
        <v>1</v>
      </c>
      <c r="D150" s="42">
        <v>2</v>
      </c>
      <c r="E150" s="43">
        <v>3551</v>
      </c>
      <c r="F150" s="44">
        <v>30629863571</v>
      </c>
      <c r="G150" s="45" t="str">
        <f>IFERROR(IF(compras_mes12[[#This Row],[CUIT]]="","-",VLOOKUP(compras_mes12[[#This Row],[CUIT]],Lista_CUIT[#All],2,0)),"CUIT NO CARGADO")</f>
        <v>TECNIMAR S R L</v>
      </c>
      <c r="H150" s="46">
        <v>36717871.289999999</v>
      </c>
      <c r="I150" s="85">
        <f>IF(compras_mes12[[#This Row],[NETO GRAVADO]]="","",compras_mes12[[#This Row],[NETO GRAVADO]]*0.21)</f>
        <v>7710752.9708999991</v>
      </c>
      <c r="J150" s="85"/>
      <c r="K150" s="85"/>
      <c r="L150" s="85"/>
      <c r="M150" s="85"/>
      <c r="N150" s="85"/>
      <c r="O150" s="85"/>
      <c r="P150" s="48">
        <f>SUM(compras_mes12[[#This Row],[NETO GRAVADO]:[Otros / No Grav.]])</f>
        <v>44428624.260899998</v>
      </c>
      <c r="Q150" s="49" t="str">
        <f>IFERROR(IF(compras_mes12[[#This Row],[CUIT]]="","-",VLOOKUP(compras_mes12[[#This Row],[CUIT]],Lista_CUIT[#All],3,0)),"CUIT NO CARGADO")</f>
        <v>LABORATORIO</v>
      </c>
      <c r="R150" s="49">
        <f>IFERROR(IF(compras_mes12[[#This Row],[CUIT]]="","-",VLOOKUP(compras_mes12[[#This Row],[CUIT]],Lista_CUIT[#All],4,0)),"CUIT NO CARGADO")</f>
        <v>0</v>
      </c>
    </row>
    <row r="151" spans="2:18" x14ac:dyDescent="0.3">
      <c r="B151" s="40">
        <v>45281</v>
      </c>
      <c r="C151" s="41">
        <v>3</v>
      </c>
      <c r="D151" s="42">
        <v>2</v>
      </c>
      <c r="E151" s="43">
        <v>78</v>
      </c>
      <c r="F151" s="44">
        <v>30629863571</v>
      </c>
      <c r="G151" s="45" t="str">
        <f>IFERROR(IF(compras_mes12[[#This Row],[CUIT]]="","-",VLOOKUP(compras_mes12[[#This Row],[CUIT]],Lista_CUIT[#All],2,0)),"CUIT NO CARGADO")</f>
        <v>TECNIMAR S R L</v>
      </c>
      <c r="H151" s="46">
        <v>-36717871.289999999</v>
      </c>
      <c r="I151" s="85">
        <f>IF(compras_mes12[[#This Row],[NETO GRAVADO]]="","",compras_mes12[[#This Row],[NETO GRAVADO]]*0.21)</f>
        <v>-7710752.9708999991</v>
      </c>
      <c r="J151" s="85"/>
      <c r="K151" s="85"/>
      <c r="L151" s="85"/>
      <c r="M151" s="85"/>
      <c r="N151" s="85"/>
      <c r="O151" s="85"/>
      <c r="P151" s="48">
        <f>SUM(compras_mes12[[#This Row],[NETO GRAVADO]:[Otros / No Grav.]])</f>
        <v>-44428624.260899998</v>
      </c>
      <c r="Q151" s="49" t="str">
        <f>IFERROR(IF(compras_mes12[[#This Row],[CUIT]]="","-",VLOOKUP(compras_mes12[[#This Row],[CUIT]],Lista_CUIT[#All],3,0)),"CUIT NO CARGADO")</f>
        <v>LABORATORIO</v>
      </c>
      <c r="R151" s="49">
        <f>IFERROR(IF(compras_mes12[[#This Row],[CUIT]]="","-",VLOOKUP(compras_mes12[[#This Row],[CUIT]],Lista_CUIT[#All],4,0)),"CUIT NO CARGADO")</f>
        <v>0</v>
      </c>
    </row>
    <row r="152" spans="2:18" x14ac:dyDescent="0.3">
      <c r="B152" s="249">
        <v>45282</v>
      </c>
      <c r="C152" s="250">
        <v>1</v>
      </c>
      <c r="D152" s="251">
        <v>23</v>
      </c>
      <c r="E152" s="252">
        <v>22925</v>
      </c>
      <c r="F152" s="253">
        <v>30515800219</v>
      </c>
      <c r="G152" s="254" t="str">
        <f>IFERROR(IF(compras_mes12[[#This Row],[CUIT]]="","-",VLOOKUP(compras_mes12[[#This Row],[CUIT]],Lista_CUIT[#All],2,0)),"CUIT NO CARGADO")</f>
        <v>INCAT SRL</v>
      </c>
      <c r="H152" s="255">
        <v>11955.62</v>
      </c>
      <c r="I152" s="256">
        <f>IF(compras_mes12[[#This Row],[NETO GRAVADO]]="","",compras_mes12[[#This Row],[NETO GRAVADO]]*0.21)</f>
        <v>2510.6802000000002</v>
      </c>
      <c r="J152" s="256"/>
      <c r="K152" s="256"/>
      <c r="L152" s="256"/>
      <c r="M152" s="256"/>
      <c r="N152" s="256"/>
      <c r="O152" s="256">
        <v>533.82000000000005</v>
      </c>
      <c r="P152" s="257">
        <f>SUM(compras_mes12[[#This Row],[NETO GRAVADO]:[Otros / No Grav.]])</f>
        <v>15000.120200000001</v>
      </c>
      <c r="Q152" s="258" t="str">
        <f>IFERROR(IF(compras_mes12[[#This Row],[CUIT]]="","-",VLOOKUP(compras_mes12[[#This Row],[CUIT]],Lista_CUIT[#All],3,0)),"CUIT NO CARGADO")</f>
        <v>Combustibe</v>
      </c>
      <c r="R152" s="258" t="str">
        <f>IFERROR(IF(compras_mes12[[#This Row],[CUIT]]="","-",VLOOKUP(compras_mes12[[#This Row],[CUIT]],Lista_CUIT[#All],4,0)),"CUIT NO CARGADO")</f>
        <v>CABA</v>
      </c>
    </row>
    <row r="153" spans="2:18" x14ac:dyDescent="0.3">
      <c r="B153" s="40">
        <v>45282</v>
      </c>
      <c r="C153" s="41">
        <v>1</v>
      </c>
      <c r="D153" s="42">
        <v>3</v>
      </c>
      <c r="E153" s="43">
        <v>1910</v>
      </c>
      <c r="F153" s="44">
        <v>30715434276</v>
      </c>
      <c r="G153" s="45" t="str">
        <f>IFERROR(IF(compras_mes12[[#This Row],[CUIT]]="","-",VLOOKUP(compras_mes12[[#This Row],[CUIT]],Lista_CUIT[#All],2,0)),"CUIT NO CARGADO")</f>
        <v>BRUAYAFA S.A.</v>
      </c>
      <c r="H153" s="46">
        <v>774930</v>
      </c>
      <c r="I153" s="85">
        <f>IF(compras_mes12[[#This Row],[NETO GRAVADO]]="","",compras_mes12[[#This Row],[NETO GRAVADO]]*0.21)</f>
        <v>162735.29999999999</v>
      </c>
      <c r="J153" s="85"/>
      <c r="K153" s="85"/>
      <c r="L153" s="85"/>
      <c r="M153" s="85"/>
      <c r="N153" s="85"/>
      <c r="O153" s="85"/>
      <c r="P153" s="48">
        <f>SUM(compras_mes12[[#This Row],[NETO GRAVADO]:[Otros / No Grav.]])</f>
        <v>937665.3</v>
      </c>
      <c r="Q153" s="49">
        <f>IFERROR(IF(compras_mes12[[#This Row],[CUIT]]="","-",VLOOKUP(compras_mes12[[#This Row],[CUIT]],Lista_CUIT[#All],3,0)),"CUIT NO CARGADO")</f>
        <v>0</v>
      </c>
      <c r="R153" s="49">
        <f>IFERROR(IF(compras_mes12[[#This Row],[CUIT]]="","-",VLOOKUP(compras_mes12[[#This Row],[CUIT]],Lista_CUIT[#All],4,0)),"CUIT NO CARGADO")</f>
        <v>0</v>
      </c>
    </row>
    <row r="154" spans="2:18" x14ac:dyDescent="0.3">
      <c r="B154" s="40">
        <v>45282</v>
      </c>
      <c r="C154" s="41">
        <v>1</v>
      </c>
      <c r="D154" s="42">
        <v>7</v>
      </c>
      <c r="E154" s="43">
        <v>392</v>
      </c>
      <c r="F154" s="44">
        <v>20270614311</v>
      </c>
      <c r="G154" s="45" t="str">
        <f>IFERROR(IF(compras_mes12[[#This Row],[CUIT]]="","-",VLOOKUP(compras_mes12[[#This Row],[CUIT]],Lista_CUIT[#All],2,0)),"CUIT NO CARGADO")</f>
        <v>ROMERA WALTER LEONARDO</v>
      </c>
      <c r="H154" s="46">
        <v>252460.54</v>
      </c>
      <c r="I154" s="85">
        <f>IF(compras_mes12[[#This Row],[NETO GRAVADO]]="","",compras_mes12[[#This Row],[NETO GRAVADO]]*0.21)</f>
        <v>53016.713400000001</v>
      </c>
      <c r="J154" s="85"/>
      <c r="K154" s="85"/>
      <c r="L154" s="85"/>
      <c r="M154" s="85"/>
      <c r="N154" s="85"/>
      <c r="O154" s="85"/>
      <c r="P154" s="48">
        <f>SUM(compras_mes12[[#This Row],[NETO GRAVADO]:[Otros / No Grav.]])</f>
        <v>305477.25339999999</v>
      </c>
      <c r="Q154" s="49">
        <f>IFERROR(IF(compras_mes12[[#This Row],[CUIT]]="","-",VLOOKUP(compras_mes12[[#This Row],[CUIT]],Lista_CUIT[#All],3,0)),"CUIT NO CARGADO")</f>
        <v>0</v>
      </c>
      <c r="R154" s="49">
        <f>IFERROR(IF(compras_mes12[[#This Row],[CUIT]]="","-",VLOOKUP(compras_mes12[[#This Row],[CUIT]],Lista_CUIT[#All],4,0)),"CUIT NO CARGADO")</f>
        <v>0</v>
      </c>
    </row>
    <row r="155" spans="2:18" x14ac:dyDescent="0.3">
      <c r="B155" s="40">
        <v>45282</v>
      </c>
      <c r="C155" s="41">
        <v>1</v>
      </c>
      <c r="D155" s="42">
        <v>2188</v>
      </c>
      <c r="E155" s="43">
        <v>107891</v>
      </c>
      <c r="F155" s="44">
        <v>30548083156</v>
      </c>
      <c r="G155" s="45" t="str">
        <f>IFERROR(IF(compras_mes12[[#This Row],[CUIT]]="","-",VLOOKUP(compras_mes12[[#This Row],[CUIT]],Lista_CUIT[#All],2,0)),"CUIT NO CARGADO")</f>
        <v>COTO CENTRO INTEGRAL DE COMERCIALIZACION SOCIEDAD ANONIMA</v>
      </c>
      <c r="H155" s="46">
        <v>22172.55</v>
      </c>
      <c r="I155" s="85">
        <v>3932.82</v>
      </c>
      <c r="J155" s="85"/>
      <c r="K155" s="85">
        <v>361.71</v>
      </c>
      <c r="L155" s="85">
        <v>520.47</v>
      </c>
      <c r="M155" s="85"/>
      <c r="N155" s="85">
        <v>1247.6400000000001</v>
      </c>
      <c r="O155" s="85"/>
      <c r="P155" s="48">
        <f>SUM(compras_mes12[[#This Row],[NETO GRAVADO]:[Otros / No Grav.]])</f>
        <v>28235.19</v>
      </c>
      <c r="Q155" s="49" t="str">
        <f>IFERROR(IF(compras_mes12[[#This Row],[CUIT]]="","-",VLOOKUP(compras_mes12[[#This Row],[CUIT]],Lista_CUIT[#All],3,0)),"CUIT NO CARGADO")</f>
        <v>GASTOS COMERCIALES</v>
      </c>
      <c r="R155" s="49">
        <f>IFERROR(IF(compras_mes12[[#This Row],[CUIT]]="","-",VLOOKUP(compras_mes12[[#This Row],[CUIT]],Lista_CUIT[#All],4,0)),"CUIT NO CARGADO")</f>
        <v>0</v>
      </c>
    </row>
    <row r="156" spans="2:18" x14ac:dyDescent="0.3">
      <c r="B156" s="40">
        <v>45282</v>
      </c>
      <c r="C156" s="41">
        <v>1</v>
      </c>
      <c r="D156" s="42">
        <v>11</v>
      </c>
      <c r="E156" s="43">
        <v>27</v>
      </c>
      <c r="F156" s="44">
        <v>27128887186</v>
      </c>
      <c r="G156" s="45" t="str">
        <f>IFERROR(IF(compras_mes12[[#This Row],[CUIT]]="","-",VLOOKUP(compras_mes12[[#This Row],[CUIT]],Lista_CUIT[#All],2,0)),"CUIT NO CARGADO")</f>
        <v>CASAS MARIA DEL CARMEN</v>
      </c>
      <c r="H156" s="46">
        <v>54958.65</v>
      </c>
      <c r="I156" s="85">
        <f>IF(compras_mes12[[#This Row],[NETO GRAVADO]]="","",compras_mes12[[#This Row],[NETO GRAVADO]]*0.21)</f>
        <v>11541.316499999999</v>
      </c>
      <c r="J156" s="85"/>
      <c r="K156" s="85"/>
      <c r="L156" s="85"/>
      <c r="M156" s="85"/>
      <c r="N156" s="85"/>
      <c r="O156" s="85"/>
      <c r="P156" s="48">
        <f>SUM(compras_mes12[[#This Row],[NETO GRAVADO]:[Otros / No Grav.]])</f>
        <v>66499.966499999995</v>
      </c>
      <c r="Q156" s="49">
        <f>IFERROR(IF(compras_mes12[[#This Row],[CUIT]]="","-",VLOOKUP(compras_mes12[[#This Row],[CUIT]],Lista_CUIT[#All],3,0)),"CUIT NO CARGADO")</f>
        <v>0</v>
      </c>
      <c r="R156" s="49">
        <f>IFERROR(IF(compras_mes12[[#This Row],[CUIT]]="","-",VLOOKUP(compras_mes12[[#This Row],[CUIT]],Lista_CUIT[#All],4,0)),"CUIT NO CARGADO")</f>
        <v>0</v>
      </c>
    </row>
    <row r="157" spans="2:18" x14ac:dyDescent="0.3">
      <c r="B157" s="40">
        <v>45282</v>
      </c>
      <c r="C157" s="41">
        <v>1</v>
      </c>
      <c r="D157" s="42">
        <v>2</v>
      </c>
      <c r="E157" s="43">
        <v>3554</v>
      </c>
      <c r="F157" s="44">
        <v>30629863571</v>
      </c>
      <c r="G157" s="45" t="str">
        <f>IFERROR(IF(compras_mes12[[#This Row],[CUIT]]="","-",VLOOKUP(compras_mes12[[#This Row],[CUIT]],Lista_CUIT[#All],2,0)),"CUIT NO CARGADO")</f>
        <v>TECNIMAR S R L</v>
      </c>
      <c r="H157" s="46">
        <v>3411871.29</v>
      </c>
      <c r="I157" s="85">
        <f>IF(compras_mes12[[#This Row],[NETO GRAVADO]]="","",compras_mes12[[#This Row],[NETO GRAVADO]]*0.21)</f>
        <v>716492.97089999996</v>
      </c>
      <c r="J157" s="85"/>
      <c r="K157" s="85"/>
      <c r="L157" s="85"/>
      <c r="M157" s="85"/>
      <c r="N157" s="85"/>
      <c r="O157" s="85"/>
      <c r="P157" s="48">
        <f>SUM(compras_mes12[[#This Row],[NETO GRAVADO]:[Otros / No Grav.]])</f>
        <v>4128364.2609000001</v>
      </c>
      <c r="Q157" s="49" t="str">
        <f>IFERROR(IF(compras_mes12[[#This Row],[CUIT]]="","-",VLOOKUP(compras_mes12[[#This Row],[CUIT]],Lista_CUIT[#All],3,0)),"CUIT NO CARGADO")</f>
        <v>LABORATORIO</v>
      </c>
      <c r="R157" s="49">
        <f>IFERROR(IF(compras_mes12[[#This Row],[CUIT]]="","-",VLOOKUP(compras_mes12[[#This Row],[CUIT]],Lista_CUIT[#All],4,0)),"CUIT NO CARGADO")</f>
        <v>0</v>
      </c>
    </row>
    <row r="158" spans="2:18" x14ac:dyDescent="0.3">
      <c r="B158" s="608">
        <v>45282</v>
      </c>
      <c r="C158" s="609">
        <v>3</v>
      </c>
      <c r="D158" s="610">
        <v>3</v>
      </c>
      <c r="E158" s="611">
        <v>245</v>
      </c>
      <c r="F158" s="612">
        <v>30715434276</v>
      </c>
      <c r="G158" s="552" t="str">
        <f>IFERROR(IF(compras_mes12[[#This Row],[CUIT]]="","-",VLOOKUP(compras_mes12[[#This Row],[CUIT]],Lista_CUIT[#All],2,0)),"CUIT NO CARGADO")</f>
        <v>BRUAYAFA S.A.</v>
      </c>
      <c r="H158" s="548">
        <v>-774930</v>
      </c>
      <c r="I158" s="528">
        <f>IF(compras_mes12[[#This Row],[NETO GRAVADO]]="","",compras_mes12[[#This Row],[NETO GRAVADO]]*0.21)</f>
        <v>-162735.29999999999</v>
      </c>
      <c r="J158" s="528"/>
      <c r="K158" s="528"/>
      <c r="L158" s="528"/>
      <c r="M158" s="528"/>
      <c r="N158" s="528"/>
      <c r="O158" s="528"/>
      <c r="P158" s="529">
        <f>SUM(compras_mes12[[#This Row],[NETO GRAVADO]:[Otros / No Grav.]])</f>
        <v>-937665.3</v>
      </c>
      <c r="Q158" s="553">
        <f>IFERROR(IF(compras_mes12[[#This Row],[CUIT]]="","-",VLOOKUP(compras_mes12[[#This Row],[CUIT]],Lista_CUIT[#All],3,0)),"CUIT NO CARGADO")</f>
        <v>0</v>
      </c>
      <c r="R158" s="553">
        <f>IFERROR(IF(compras_mes12[[#This Row],[CUIT]]="","-",VLOOKUP(compras_mes12[[#This Row],[CUIT]],Lista_CUIT[#All],4,0)),"CUIT NO CARGADO")</f>
        <v>0</v>
      </c>
    </row>
    <row r="159" spans="2:18" x14ac:dyDescent="0.3">
      <c r="B159" s="249">
        <v>45283</v>
      </c>
      <c r="C159" s="250">
        <v>1</v>
      </c>
      <c r="D159" s="251">
        <v>12</v>
      </c>
      <c r="E159" s="252">
        <v>39389</v>
      </c>
      <c r="F159" s="253">
        <v>30696131003</v>
      </c>
      <c r="G159" s="254" t="str">
        <f>IFERROR(IF(compras_mes12[[#This Row],[CUIT]]="","-",VLOOKUP(compras_mes12[[#This Row],[CUIT]],Lista_CUIT[#All],2,0)),"CUIT NO CARGADO")</f>
        <v>Petrolfe S.A.</v>
      </c>
      <c r="H159" s="255">
        <v>81829.64</v>
      </c>
      <c r="I159" s="256">
        <f>IF(compras_mes12[[#This Row],[NETO GRAVADO]]="","",compras_mes12[[#This Row],[NETO GRAVADO]]*0.21)</f>
        <v>17184.224399999999</v>
      </c>
      <c r="J159" s="256"/>
      <c r="K159" s="256"/>
      <c r="L159" s="256"/>
      <c r="M159" s="256"/>
      <c r="N159" s="256"/>
      <c r="O159" s="256">
        <v>4539.82</v>
      </c>
      <c r="P159" s="257">
        <f>SUM(compras_mes12[[#This Row],[NETO GRAVADO]:[Otros / No Grav.]])</f>
        <v>103553.6844</v>
      </c>
      <c r="Q159" s="258" t="str">
        <f>IFERROR(IF(compras_mes12[[#This Row],[CUIT]]="","-",VLOOKUP(compras_mes12[[#This Row],[CUIT]],Lista_CUIT[#All],3,0)),"CUIT NO CARGADO")</f>
        <v>Combustible</v>
      </c>
      <c r="R159" s="258">
        <f>IFERROR(IF(compras_mes12[[#This Row],[CUIT]]="","-",VLOOKUP(compras_mes12[[#This Row],[CUIT]],Lista_CUIT[#All],4,0)),"CUIT NO CARGADO")</f>
        <v>0</v>
      </c>
    </row>
    <row r="160" spans="2:18" x14ac:dyDescent="0.3">
      <c r="B160" s="40">
        <v>45283</v>
      </c>
      <c r="C160" s="41">
        <v>1</v>
      </c>
      <c r="D160" s="42">
        <v>8106</v>
      </c>
      <c r="E160" s="43">
        <v>22136</v>
      </c>
      <c r="F160" s="44">
        <v>30678774495</v>
      </c>
      <c r="G160" s="45" t="str">
        <f>IFERROR(IF(compras_mes12[[#This Row],[CUIT]]="","-",VLOOKUP(compras_mes12[[#This Row],[CUIT]],Lista_CUIT[#All],2,0)),"CUIT NO CARGADO")</f>
        <v>OPER. DE EST. DE SERV. SA</v>
      </c>
      <c r="H160" s="46">
        <v>9647.74</v>
      </c>
      <c r="I160" s="85">
        <f>IF(compras_mes12[[#This Row],[NETO GRAVADO]]="","",compras_mes12[[#This Row],[NETO GRAVADO]]*0.21)</f>
        <v>2026.0254</v>
      </c>
      <c r="J160" s="85"/>
      <c r="K160" s="85"/>
      <c r="L160" s="85"/>
      <c r="M160" s="85"/>
      <c r="N160" s="85"/>
      <c r="O160" s="85">
        <v>551.24</v>
      </c>
      <c r="P160" s="48">
        <f>SUM(compras_mes12[[#This Row],[NETO GRAVADO]:[Otros / No Grav.]])</f>
        <v>12225.0054</v>
      </c>
      <c r="Q160" s="49" t="str">
        <f>IFERROR(IF(compras_mes12[[#This Row],[CUIT]]="","-",VLOOKUP(compras_mes12[[#This Row],[CUIT]],Lista_CUIT[#All],3,0)),"CUIT NO CARGADO")</f>
        <v>Combustibe</v>
      </c>
      <c r="R160" s="49">
        <f>IFERROR(IF(compras_mes12[[#This Row],[CUIT]]="","-",VLOOKUP(compras_mes12[[#This Row],[CUIT]],Lista_CUIT[#All],4,0)),"CUIT NO CARGADO")</f>
        <v>0</v>
      </c>
    </row>
    <row r="161" spans="1:18" x14ac:dyDescent="0.3">
      <c r="B161" s="40">
        <v>45283</v>
      </c>
      <c r="C161" s="41">
        <v>1</v>
      </c>
      <c r="D161" s="42">
        <v>2199</v>
      </c>
      <c r="E161" s="43">
        <v>26242</v>
      </c>
      <c r="F161" s="44">
        <v>30548083156</v>
      </c>
      <c r="G161" s="45" t="str">
        <f>IFERROR(IF(compras_mes12[[#This Row],[CUIT]]="","-",VLOOKUP(compras_mes12[[#This Row],[CUIT]],Lista_CUIT[#All],2,0)),"CUIT NO CARGADO")</f>
        <v>COTO CENTRO INTEGRAL DE COMERCIALIZACION SOCIEDAD ANONIMA</v>
      </c>
      <c r="H161" s="46">
        <v>42151.09</v>
      </c>
      <c r="I161" s="85">
        <v>8701.48</v>
      </c>
      <c r="J161" s="85"/>
      <c r="K161" s="85">
        <v>75.12</v>
      </c>
      <c r="L161" s="85">
        <v>1257.19</v>
      </c>
      <c r="M161" s="85"/>
      <c r="N161" s="85">
        <v>2500.0700000000002</v>
      </c>
      <c r="O161" s="85"/>
      <c r="P161" s="48">
        <f>SUM(compras_mes12[[#This Row],[NETO GRAVADO]:[Otros / No Grav.]])</f>
        <v>54684.95</v>
      </c>
      <c r="Q161" s="49" t="str">
        <f>IFERROR(IF(compras_mes12[[#This Row],[CUIT]]="","-",VLOOKUP(compras_mes12[[#This Row],[CUIT]],Lista_CUIT[#All],3,0)),"CUIT NO CARGADO")</f>
        <v>GASTOS COMERCIALES</v>
      </c>
      <c r="R161" s="49">
        <f>IFERROR(IF(compras_mes12[[#This Row],[CUIT]]="","-",VLOOKUP(compras_mes12[[#This Row],[CUIT]],Lista_CUIT[#All],4,0)),"CUIT NO CARGADO")</f>
        <v>0</v>
      </c>
    </row>
    <row r="162" spans="1:18" x14ac:dyDescent="0.3">
      <c r="B162" s="40">
        <v>45283</v>
      </c>
      <c r="C162" s="41">
        <v>1</v>
      </c>
      <c r="D162" s="42">
        <v>8012</v>
      </c>
      <c r="E162" s="43">
        <v>22957</v>
      </c>
      <c r="F162" s="44">
        <v>30678774495</v>
      </c>
      <c r="G162" s="45" t="str">
        <f>IFERROR(IF(compras_mes12[[#This Row],[CUIT]]="","-",VLOOKUP(compras_mes12[[#This Row],[CUIT]],Lista_CUIT[#All],2,0)),"CUIT NO CARGADO")</f>
        <v>OPER. DE EST. DE SERV. SA</v>
      </c>
      <c r="H162" s="46">
        <v>15692.65</v>
      </c>
      <c r="I162" s="85">
        <f>IF(compras_mes12[[#This Row],[NETO GRAVADO]]="","",compras_mes12[[#This Row],[NETO GRAVADO]]*0.21)</f>
        <v>3295.4564999999998</v>
      </c>
      <c r="J162" s="85"/>
      <c r="K162" s="85"/>
      <c r="L162" s="85"/>
      <c r="M162" s="85"/>
      <c r="N162" s="85"/>
      <c r="O162" s="85">
        <v>815.87</v>
      </c>
      <c r="P162" s="48">
        <f>SUM(compras_mes12[[#This Row],[NETO GRAVADO]:[Otros / No Grav.]])</f>
        <v>19803.976499999997</v>
      </c>
      <c r="Q162" s="49" t="str">
        <f>IFERROR(IF(compras_mes12[[#This Row],[CUIT]]="","-",VLOOKUP(compras_mes12[[#This Row],[CUIT]],Lista_CUIT[#All],3,0)),"CUIT NO CARGADO")</f>
        <v>Combustibe</v>
      </c>
      <c r="R162" s="49">
        <f>IFERROR(IF(compras_mes12[[#This Row],[CUIT]]="","-",VLOOKUP(compras_mes12[[#This Row],[CUIT]],Lista_CUIT[#All],4,0)),"CUIT NO CARGADO")</f>
        <v>0</v>
      </c>
    </row>
    <row r="163" spans="1:18" x14ac:dyDescent="0.3">
      <c r="A163">
        <v>3</v>
      </c>
      <c r="B163" s="40">
        <v>45284</v>
      </c>
      <c r="C163" s="41">
        <v>1</v>
      </c>
      <c r="D163" s="42">
        <v>9</v>
      </c>
      <c r="E163" s="43">
        <v>504</v>
      </c>
      <c r="F163" s="44">
        <v>20134664518</v>
      </c>
      <c r="G163" s="45" t="str">
        <f>IFERROR(IF(compras_mes12[[#This Row],[CUIT]]="","-",VLOOKUP(compras_mes12[[#This Row],[CUIT]],Lista_CUIT[#All],2,0)),"CUIT NO CARGADO")</f>
        <v>HOKAMA SERGIO ENRIQUE</v>
      </c>
      <c r="H163" s="46">
        <v>7243.37</v>
      </c>
      <c r="I163" s="85">
        <f>IF(compras_mes12[[#This Row],[NETO GRAVADO]]="","",compras_mes12[[#This Row],[NETO GRAVADO]]*0.21)</f>
        <v>1521.1077</v>
      </c>
      <c r="J163" s="85"/>
      <c r="K163" s="85"/>
      <c r="L163" s="85"/>
      <c r="M163" s="85"/>
      <c r="N163" s="85"/>
      <c r="O163" s="85"/>
      <c r="P163" s="48">
        <f>SUM(compras_mes12[[#This Row],[NETO GRAVADO]:[Otros / No Grav.]])</f>
        <v>8764.4776999999995</v>
      </c>
      <c r="Q163" s="49" t="str">
        <f>IFERROR(IF(compras_mes12[[#This Row],[CUIT]]="","-",VLOOKUP(compras_mes12[[#This Row],[CUIT]],Lista_CUIT[#All],3,0)),"CUIT NO CARGADO")</f>
        <v>Gastos Varios</v>
      </c>
      <c r="R163" s="49" t="str">
        <f>IFERROR(IF(compras_mes12[[#This Row],[CUIT]]="","-",VLOOKUP(compras_mes12[[#This Row],[CUIT]],Lista_CUIT[#All],4,0)),"CUIT NO CARGADO")</f>
        <v>BUENOS AIRES</v>
      </c>
    </row>
    <row r="164" spans="1:18" x14ac:dyDescent="0.3">
      <c r="B164" s="40">
        <v>45286</v>
      </c>
      <c r="C164" s="41">
        <v>1</v>
      </c>
      <c r="D164" s="42">
        <v>3</v>
      </c>
      <c r="E164" s="43">
        <v>6202</v>
      </c>
      <c r="F164" s="44">
        <v>30702209397</v>
      </c>
      <c r="G164" s="45" t="str">
        <f>IFERROR(IF(compras_mes12[[#This Row],[CUIT]]="","-",VLOOKUP(compras_mes12[[#This Row],[CUIT]],Lista_CUIT[#All],2,0)),"CUIT NO CARGADO")</f>
        <v>MILEX S A</v>
      </c>
      <c r="H164" s="46">
        <v>420814.48</v>
      </c>
      <c r="I164" s="85"/>
      <c r="J164" s="85"/>
      <c r="K164" s="85">
        <v>44185.52</v>
      </c>
      <c r="L164" s="85"/>
      <c r="M164" s="85"/>
      <c r="N164" s="85"/>
      <c r="O164" s="85"/>
      <c r="P164" s="48">
        <f>SUM(compras_mes12[[#This Row],[NETO GRAVADO]:[Otros / No Grav.]])</f>
        <v>465000</v>
      </c>
      <c r="Q164" s="49">
        <f>IFERROR(IF(compras_mes12[[#This Row],[CUIT]]="","-",VLOOKUP(compras_mes12[[#This Row],[CUIT]],Lista_CUIT[#All],3,0)),"CUIT NO CARGADO")</f>
        <v>0</v>
      </c>
      <c r="R164" s="49">
        <f>IFERROR(IF(compras_mes12[[#This Row],[CUIT]]="","-",VLOOKUP(compras_mes12[[#This Row],[CUIT]],Lista_CUIT[#All],4,0)),"CUIT NO CARGADO")</f>
        <v>0</v>
      </c>
    </row>
    <row r="165" spans="1:18" x14ac:dyDescent="0.3">
      <c r="B165" s="608">
        <v>45286</v>
      </c>
      <c r="C165" s="609">
        <v>1</v>
      </c>
      <c r="D165" s="610">
        <v>3</v>
      </c>
      <c r="E165" s="611">
        <v>1912</v>
      </c>
      <c r="F165" s="612">
        <v>30715434276</v>
      </c>
      <c r="G165" s="552" t="str">
        <f>IFERROR(IF(compras_mes12[[#This Row],[CUIT]]="","-",VLOOKUP(compras_mes12[[#This Row],[CUIT]],Lista_CUIT[#All],2,0)),"CUIT NO CARGADO")</f>
        <v>BRUAYAFA S.A.</v>
      </c>
      <c r="H165" s="548">
        <v>888900</v>
      </c>
      <c r="I165" s="528">
        <f>IF(compras_mes12[[#This Row],[NETO GRAVADO]]="","",compras_mes12[[#This Row],[NETO GRAVADO]]*0.21)</f>
        <v>186669</v>
      </c>
      <c r="J165" s="528"/>
      <c r="K165" s="528"/>
      <c r="L165" s="528"/>
      <c r="M165" s="528"/>
      <c r="N165" s="528"/>
      <c r="O165" s="528"/>
      <c r="P165" s="529">
        <f>SUM(compras_mes12[[#This Row],[NETO GRAVADO]:[Otros / No Grav.]])</f>
        <v>1075569</v>
      </c>
      <c r="Q165" s="553">
        <f>IFERROR(IF(compras_mes12[[#This Row],[CUIT]]="","-",VLOOKUP(compras_mes12[[#This Row],[CUIT]],Lista_CUIT[#All],3,0)),"CUIT NO CARGADO")</f>
        <v>0</v>
      </c>
      <c r="R165" s="553">
        <f>IFERROR(IF(compras_mes12[[#This Row],[CUIT]]="","-",VLOOKUP(compras_mes12[[#This Row],[CUIT]],Lista_CUIT[#All],4,0)),"CUIT NO CARGADO")</f>
        <v>0</v>
      </c>
    </row>
    <row r="166" spans="1:18" x14ac:dyDescent="0.3">
      <c r="B166" s="40">
        <v>45286</v>
      </c>
      <c r="C166" s="41">
        <v>1</v>
      </c>
      <c r="D166" s="42">
        <v>4</v>
      </c>
      <c r="E166" s="43">
        <v>2907</v>
      </c>
      <c r="F166" s="44">
        <v>30708669306</v>
      </c>
      <c r="G166" s="45" t="str">
        <f>IFERROR(IF(compras_mes12[[#This Row],[CUIT]]="","-",VLOOKUP(compras_mes12[[#This Row],[CUIT]],Lista_CUIT[#All],2,0)),"CUIT NO CARGADO")</f>
        <v>MAYOLAS S.R.L.</v>
      </c>
      <c r="H166" s="46">
        <v>1055320</v>
      </c>
      <c r="I166" s="85">
        <f>IF(compras_mes12[[#This Row],[NETO GRAVADO]]="","",compras_mes12[[#This Row],[NETO GRAVADO]]*0.21)</f>
        <v>221617.19999999998</v>
      </c>
      <c r="J166" s="85"/>
      <c r="K166" s="85"/>
      <c r="L166" s="85"/>
      <c r="M166" s="85"/>
      <c r="N166" s="85"/>
      <c r="O166" s="85"/>
      <c r="P166" s="48">
        <f>SUM(compras_mes12[[#This Row],[NETO GRAVADO]:[Otros / No Grav.]])</f>
        <v>1276937.2</v>
      </c>
      <c r="Q166" s="49">
        <f>IFERROR(IF(compras_mes12[[#This Row],[CUIT]]="","-",VLOOKUP(compras_mes12[[#This Row],[CUIT]],Lista_CUIT[#All],3,0)),"CUIT NO CARGADO")</f>
        <v>0</v>
      </c>
      <c r="R166" s="49">
        <f>IFERROR(IF(compras_mes12[[#This Row],[CUIT]]="","-",VLOOKUP(compras_mes12[[#This Row],[CUIT]],Lista_CUIT[#All],4,0)),"CUIT NO CARGADO")</f>
        <v>0</v>
      </c>
    </row>
    <row r="167" spans="1:18" x14ac:dyDescent="0.3">
      <c r="B167" s="40">
        <v>45286</v>
      </c>
      <c r="C167" s="41">
        <v>1</v>
      </c>
      <c r="D167" s="42">
        <v>3</v>
      </c>
      <c r="E167" s="43">
        <v>875</v>
      </c>
      <c r="F167" s="44">
        <v>20308960782</v>
      </c>
      <c r="G167" s="45" t="str">
        <f>IFERROR(IF(compras_mes12[[#This Row],[CUIT]]="","-",VLOOKUP(compras_mes12[[#This Row],[CUIT]],Lista_CUIT[#All],2,0)),"CUIT NO CARGADO")</f>
        <v>OSSANDON ROBERTO SAUL</v>
      </c>
      <c r="H167" s="46">
        <v>4545.45</v>
      </c>
      <c r="I167" s="85">
        <f>IF(compras_mes12[[#This Row],[NETO GRAVADO]]="","",compras_mes12[[#This Row],[NETO GRAVADO]]*0.21)</f>
        <v>954.54449999999997</v>
      </c>
      <c r="J167" s="85"/>
      <c r="K167" s="85"/>
      <c r="L167" s="85"/>
      <c r="M167" s="85"/>
      <c r="N167" s="85"/>
      <c r="O167" s="85"/>
      <c r="P167" s="48">
        <f>SUM(compras_mes12[[#This Row],[NETO GRAVADO]:[Otros / No Grav.]])</f>
        <v>5499.9944999999998</v>
      </c>
      <c r="Q167" s="49">
        <f>IFERROR(IF(compras_mes12[[#This Row],[CUIT]]="","-",VLOOKUP(compras_mes12[[#This Row],[CUIT]],Lista_CUIT[#All],3,0)),"CUIT NO CARGADO")</f>
        <v>0</v>
      </c>
      <c r="R167" s="49">
        <f>IFERROR(IF(compras_mes12[[#This Row],[CUIT]]="","-",VLOOKUP(compras_mes12[[#This Row],[CUIT]],Lista_CUIT[#All],4,0)),"CUIT NO CARGADO")</f>
        <v>0</v>
      </c>
    </row>
    <row r="168" spans="1:18" x14ac:dyDescent="0.3">
      <c r="B168" s="40">
        <v>45286</v>
      </c>
      <c r="C168" s="41">
        <v>1</v>
      </c>
      <c r="D168" s="42">
        <v>4</v>
      </c>
      <c r="E168" s="43">
        <v>1124</v>
      </c>
      <c r="F168" s="44">
        <v>20301942444</v>
      </c>
      <c r="G168" s="45" t="str">
        <f>IFERROR(IF(compras_mes12[[#This Row],[CUIT]]="","-",VLOOKUP(compras_mes12[[#This Row],[CUIT]],Lista_CUIT[#All],2,0)),"CUIT NO CARGADO")</f>
        <v>GARCIA JUAN MANUEL</v>
      </c>
      <c r="H168" s="46">
        <v>12231.43</v>
      </c>
      <c r="I168" s="85">
        <f>IF(compras_mes12[[#This Row],[NETO GRAVADO]]="","",compras_mes12[[#This Row],[NETO GRAVADO]]*0.21)</f>
        <v>2568.6003000000001</v>
      </c>
      <c r="J168" s="85"/>
      <c r="K168" s="85"/>
      <c r="L168" s="85"/>
      <c r="M168" s="85"/>
      <c r="N168" s="85"/>
      <c r="O168" s="85"/>
      <c r="P168" s="48">
        <f>SUM(compras_mes12[[#This Row],[NETO GRAVADO]:[Otros / No Grav.]])</f>
        <v>14800.0303</v>
      </c>
      <c r="Q168" s="49">
        <f>IFERROR(IF(compras_mes12[[#This Row],[CUIT]]="","-",VLOOKUP(compras_mes12[[#This Row],[CUIT]],Lista_CUIT[#All],3,0)),"CUIT NO CARGADO")</f>
        <v>0</v>
      </c>
      <c r="R168" s="49">
        <f>IFERROR(IF(compras_mes12[[#This Row],[CUIT]]="","-",VLOOKUP(compras_mes12[[#This Row],[CUIT]],Lista_CUIT[#All],4,0)),"CUIT NO CARGADO")</f>
        <v>0</v>
      </c>
    </row>
    <row r="169" spans="1:18" x14ac:dyDescent="0.3">
      <c r="B169" s="608">
        <v>45287</v>
      </c>
      <c r="C169" s="609">
        <v>1</v>
      </c>
      <c r="D169" s="610">
        <v>5</v>
      </c>
      <c r="E169" s="611">
        <v>2928190</v>
      </c>
      <c r="F169" s="612">
        <v>30702652975</v>
      </c>
      <c r="G169" s="552" t="str">
        <f>IFERROR(IF(compras_mes12[[#This Row],[CUIT]]="","-",VLOOKUP(compras_mes12[[#This Row],[CUIT]],Lista_CUIT[#All],2,0)),"CUIT NO CARGADO")</f>
        <v>NSS SA</v>
      </c>
      <c r="H169" s="548">
        <v>25145.17</v>
      </c>
      <c r="I169" s="528">
        <f>IF(compras_mes12[[#This Row],[NETO GRAVADO]]="","",compras_mes12[[#This Row],[NETO GRAVADO]]*0.21)</f>
        <v>5280.4856999999993</v>
      </c>
      <c r="J169" s="528"/>
      <c r="K169" s="528"/>
      <c r="L169" s="528"/>
      <c r="M169" s="528"/>
      <c r="N169" s="528">
        <v>1508.71</v>
      </c>
      <c r="O169" s="528"/>
      <c r="P169" s="257">
        <f>SUM(compras_mes12[[#This Row],[NETO GRAVADO]:[Otros / No Grav.]])</f>
        <v>31934.365699999995</v>
      </c>
      <c r="Q169" s="553" t="str">
        <f>IFERROR(IF(compras_mes12[[#This Row],[CUIT]]="","-",VLOOKUP(compras_mes12[[#This Row],[CUIT]],Lista_CUIT[#All],3,0)),"CUIT NO CARGADO")</f>
        <v>Servicios Gas, Luz, etc.</v>
      </c>
      <c r="R169" s="553">
        <f>IFERROR(IF(compras_mes12[[#This Row],[CUIT]]="","-",VLOOKUP(compras_mes12[[#This Row],[CUIT]],Lista_CUIT[#All],4,0)),"CUIT NO CARGADO")</f>
        <v>0</v>
      </c>
    </row>
    <row r="170" spans="1:18" x14ac:dyDescent="0.3">
      <c r="B170" s="608">
        <v>45287</v>
      </c>
      <c r="C170" s="609">
        <v>3</v>
      </c>
      <c r="D170" s="610">
        <v>12</v>
      </c>
      <c r="E170" s="611">
        <v>640</v>
      </c>
      <c r="F170" s="612">
        <v>30710338554</v>
      </c>
      <c r="G170" s="552" t="str">
        <f>IFERROR(IF(compras_mes12[[#This Row],[CUIT]]="","-",VLOOKUP(compras_mes12[[#This Row],[CUIT]],Lista_CUIT[#All],2,0)),"CUIT NO CARGADO")</f>
        <v>SECURITY NOW SA</v>
      </c>
      <c r="H170" s="548">
        <v>-3078.35</v>
      </c>
      <c r="I170" s="528">
        <f>IF(compras_mes12[[#This Row],[NETO GRAVADO]]="","",compras_mes12[[#This Row],[NETO GRAVADO]]*0.21)</f>
        <v>-646.45349999999996</v>
      </c>
      <c r="J170" s="528"/>
      <c r="K170" s="528"/>
      <c r="L170" s="528"/>
      <c r="M170" s="528"/>
      <c r="N170" s="528">
        <v>-184.7</v>
      </c>
      <c r="O170" s="528"/>
      <c r="P170" s="257">
        <f>SUM(compras_mes12[[#This Row],[NETO GRAVADO]:[Otros / No Grav.]])</f>
        <v>-3909.5034999999998</v>
      </c>
      <c r="Q170" s="553">
        <f>IFERROR(IF(compras_mes12[[#This Row],[CUIT]]="","-",VLOOKUP(compras_mes12[[#This Row],[CUIT]],Lista_CUIT[#All],3,0)),"CUIT NO CARGADO")</f>
        <v>0</v>
      </c>
      <c r="R170" s="553">
        <f>IFERROR(IF(compras_mes12[[#This Row],[CUIT]]="","-",VLOOKUP(compras_mes12[[#This Row],[CUIT]],Lista_CUIT[#All],4,0)),"CUIT NO CARGADO")</f>
        <v>0</v>
      </c>
    </row>
    <row r="171" spans="1:18" x14ac:dyDescent="0.3">
      <c r="B171" s="608">
        <v>45287</v>
      </c>
      <c r="C171" s="609">
        <v>1</v>
      </c>
      <c r="D171" s="610">
        <v>5743</v>
      </c>
      <c r="E171" s="611">
        <v>2471</v>
      </c>
      <c r="F171" s="612">
        <v>30639453738</v>
      </c>
      <c r="G171" s="552" t="str">
        <f>IFERROR(IF(compras_mes12[[#This Row],[CUIT]]="","-",VLOOKUP(compras_mes12[[#This Row],[CUIT]],Lista_CUIT[#All],2,0)),"CUIT NO CARGADO")</f>
        <v>TELECOM ARG SA</v>
      </c>
      <c r="H171" s="548">
        <v>0.01</v>
      </c>
      <c r="I171" s="528">
        <f>IF(compras_mes12[[#This Row],[NETO GRAVADO]]="","",compras_mes12[[#This Row],[NETO GRAVADO]]*0.21)</f>
        <v>2.0999999999999999E-3</v>
      </c>
      <c r="J171" s="528"/>
      <c r="K171" s="528"/>
      <c r="L171" s="528"/>
      <c r="M171" s="528"/>
      <c r="N171" s="528"/>
      <c r="O171" s="528"/>
      <c r="P171" s="529">
        <f>SUM(compras_mes12[[#This Row],[NETO GRAVADO]:[Otros / No Grav.]])</f>
        <v>1.21E-2</v>
      </c>
      <c r="Q171" s="553" t="str">
        <f>IFERROR(IF(compras_mes12[[#This Row],[CUIT]]="","-",VLOOKUP(compras_mes12[[#This Row],[CUIT]],Lista_CUIT[#All],3,0)),"CUIT NO CARGADO")</f>
        <v>Servicios Gas, Luz, etc.</v>
      </c>
      <c r="R171" s="553">
        <f>IFERROR(IF(compras_mes12[[#This Row],[CUIT]]="","-",VLOOKUP(compras_mes12[[#This Row],[CUIT]],Lista_CUIT[#All],4,0)),"CUIT NO CARGADO")</f>
        <v>0</v>
      </c>
    </row>
    <row r="172" spans="1:18" x14ac:dyDescent="0.3">
      <c r="B172" s="40">
        <v>45287</v>
      </c>
      <c r="C172" s="41">
        <v>1</v>
      </c>
      <c r="D172" s="42">
        <v>9</v>
      </c>
      <c r="E172" s="43">
        <v>818</v>
      </c>
      <c r="F172" s="44">
        <v>30710446047</v>
      </c>
      <c r="G172" s="45" t="str">
        <f>IFERROR(IF(compras_mes12[[#This Row],[CUIT]]="","-",VLOOKUP(compras_mes12[[#This Row],[CUIT]],Lista_CUIT[#All],2,0)),"CUIT NO CARGADO")</f>
        <v>ENSAMBLE GRAFICO S.H.</v>
      </c>
      <c r="H172" s="46">
        <v>1885545.04</v>
      </c>
      <c r="I172" s="85">
        <f>IF(compras_mes12[[#This Row],[NETO GRAVADO]]="","",compras_mes12[[#This Row],[NETO GRAVADO]]*0.21)</f>
        <v>395964.4584</v>
      </c>
      <c r="J172" s="85"/>
      <c r="K172" s="85"/>
      <c r="L172" s="85"/>
      <c r="M172" s="85"/>
      <c r="N172" s="85"/>
      <c r="O172" s="85"/>
      <c r="P172" s="48">
        <f>SUM(compras_mes12[[#This Row],[NETO GRAVADO]:[Otros / No Grav.]])</f>
        <v>2281509.4983999999</v>
      </c>
      <c r="Q172" s="49">
        <f>IFERROR(IF(compras_mes12[[#This Row],[CUIT]]="","-",VLOOKUP(compras_mes12[[#This Row],[CUIT]],Lista_CUIT[#All],3,0)),"CUIT NO CARGADO")</f>
        <v>0</v>
      </c>
      <c r="R172" s="49">
        <f>IFERROR(IF(compras_mes12[[#This Row],[CUIT]]="","-",VLOOKUP(compras_mes12[[#This Row],[CUIT]],Lista_CUIT[#All],4,0)),"CUIT NO CARGADO")</f>
        <v>0</v>
      </c>
    </row>
    <row r="173" spans="1:18" x14ac:dyDescent="0.3">
      <c r="B173" s="40">
        <v>45287</v>
      </c>
      <c r="C173" s="41">
        <v>1</v>
      </c>
      <c r="D173" s="42">
        <v>2188</v>
      </c>
      <c r="E173" s="43">
        <v>108193</v>
      </c>
      <c r="F173" s="44">
        <v>30548083156</v>
      </c>
      <c r="G173" s="45" t="str">
        <f>IFERROR(IF(compras_mes12[[#This Row],[CUIT]]="","-",VLOOKUP(compras_mes12[[#This Row],[CUIT]],Lista_CUIT[#All],2,0)),"CUIT NO CARGADO")</f>
        <v>COTO CENTRO INTEGRAL DE COMERCIALIZACION SOCIEDAD ANONIMA</v>
      </c>
      <c r="H173" s="46">
        <v>7689.9</v>
      </c>
      <c r="I173" s="85">
        <v>1152.8599999999999</v>
      </c>
      <c r="J173" s="85"/>
      <c r="K173" s="85">
        <v>231.01</v>
      </c>
      <c r="L173" s="85">
        <v>138.33000000000001</v>
      </c>
      <c r="M173" s="85"/>
      <c r="N173" s="85">
        <v>461.39</v>
      </c>
      <c r="O173" s="85"/>
      <c r="P173" s="48">
        <f>SUM(compras_mes12[[#This Row],[NETO GRAVADO]:[Otros / No Grav.]])</f>
        <v>9673.49</v>
      </c>
      <c r="Q173" s="49" t="str">
        <f>IFERROR(IF(compras_mes12[[#This Row],[CUIT]]="","-",VLOOKUP(compras_mes12[[#This Row],[CUIT]],Lista_CUIT[#All],3,0)),"CUIT NO CARGADO")</f>
        <v>GASTOS COMERCIALES</v>
      </c>
      <c r="R173" s="49">
        <f>IFERROR(IF(compras_mes12[[#This Row],[CUIT]]="","-",VLOOKUP(compras_mes12[[#This Row],[CUIT]],Lista_CUIT[#All],4,0)),"CUIT NO CARGADO")</f>
        <v>0</v>
      </c>
    </row>
    <row r="174" spans="1:18" x14ac:dyDescent="0.3">
      <c r="B174" s="40">
        <v>45287</v>
      </c>
      <c r="C174" s="41">
        <v>1</v>
      </c>
      <c r="D174" s="42">
        <v>10</v>
      </c>
      <c r="E174" s="43">
        <v>499</v>
      </c>
      <c r="F174" s="44">
        <v>20323423785</v>
      </c>
      <c r="G174" s="45" t="str">
        <f>IFERROR(IF(compras_mes12[[#This Row],[CUIT]]="","-",VLOOKUP(compras_mes12[[#This Row],[CUIT]],Lista_CUIT[#All],2,0)),"CUIT NO CARGADO")</f>
        <v>ALBARRACIN ARIEL EDUARDO</v>
      </c>
      <c r="H174" s="46">
        <v>431457</v>
      </c>
      <c r="I174" s="85">
        <f>IF(compras_mes12[[#This Row],[NETO GRAVADO]]="","",compras_mes12[[#This Row],[NETO GRAVADO]]*0.21)</f>
        <v>90605.97</v>
      </c>
      <c r="J174" s="85"/>
      <c r="K174" s="85"/>
      <c r="L174" s="85"/>
      <c r="M174" s="85"/>
      <c r="N174" s="85"/>
      <c r="O174" s="85"/>
      <c r="P174" s="48">
        <f>SUM(compras_mes12[[#This Row],[NETO GRAVADO]:[Otros / No Grav.]])</f>
        <v>522062.97</v>
      </c>
      <c r="Q174" s="49">
        <f>IFERROR(IF(compras_mes12[[#This Row],[CUIT]]="","-",VLOOKUP(compras_mes12[[#This Row],[CUIT]],Lista_CUIT[#All],3,0)),"CUIT NO CARGADO")</f>
        <v>0</v>
      </c>
      <c r="R174" s="49">
        <f>IFERROR(IF(compras_mes12[[#This Row],[CUIT]]="","-",VLOOKUP(compras_mes12[[#This Row],[CUIT]],Lista_CUIT[#All],4,0)),"CUIT NO CARGADO")</f>
        <v>0</v>
      </c>
    </row>
    <row r="175" spans="1:18" x14ac:dyDescent="0.3">
      <c r="B175" s="40">
        <v>45287</v>
      </c>
      <c r="C175" s="41">
        <v>1</v>
      </c>
      <c r="D175" s="42">
        <v>6</v>
      </c>
      <c r="E175" s="43">
        <v>14868</v>
      </c>
      <c r="F175" s="44">
        <v>30715603582</v>
      </c>
      <c r="G175" s="45" t="str">
        <f>IFERROR(IF(compras_mes12[[#This Row],[CUIT]]="","-",VLOOKUP(compras_mes12[[#This Row],[CUIT]],Lista_CUIT[#All],2,0)),"CUIT NO CARGADO")</f>
        <v>CYGNUS ELECTRONICS S.A.</v>
      </c>
      <c r="H175" s="46">
        <v>22362</v>
      </c>
      <c r="I175" s="85">
        <f>IF(compras_mes12[[#This Row],[NETO GRAVADO]]="","",compras_mes12[[#This Row],[NETO GRAVADO]]*0.21)</f>
        <v>4696.0199999999995</v>
      </c>
      <c r="J175" s="85"/>
      <c r="K175" s="85"/>
      <c r="L175" s="85"/>
      <c r="M175" s="85"/>
      <c r="N175" s="85">
        <v>1341.72</v>
      </c>
      <c r="O175" s="85"/>
      <c r="P175" s="48">
        <f>SUM(compras_mes12[[#This Row],[NETO GRAVADO]:[Otros / No Grav.]])</f>
        <v>28399.74</v>
      </c>
      <c r="Q175" s="49">
        <f>IFERROR(IF(compras_mes12[[#This Row],[CUIT]]="","-",VLOOKUP(compras_mes12[[#This Row],[CUIT]],Lista_CUIT[#All],3,0)),"CUIT NO CARGADO")</f>
        <v>0</v>
      </c>
      <c r="R175" s="49">
        <f>IFERROR(IF(compras_mes12[[#This Row],[CUIT]]="","-",VLOOKUP(compras_mes12[[#This Row],[CUIT]],Lista_CUIT[#All],4,0)),"CUIT NO CARGADO")</f>
        <v>0</v>
      </c>
    </row>
    <row r="176" spans="1:18" x14ac:dyDescent="0.3">
      <c r="B176" s="40">
        <v>45287</v>
      </c>
      <c r="C176" s="41">
        <v>1</v>
      </c>
      <c r="D176" s="42">
        <v>2</v>
      </c>
      <c r="E176" s="43">
        <v>724</v>
      </c>
      <c r="F176" s="44">
        <v>20103069832</v>
      </c>
      <c r="G176" s="45" t="str">
        <f>IFERROR(IF(compras_mes12[[#This Row],[CUIT]]="","-",VLOOKUP(compras_mes12[[#This Row],[CUIT]],Lista_CUIT[#All],2,0)),"CUIT NO CARGADO")</f>
        <v>DE LUCA HECTOR RAFAEL FRANCI</v>
      </c>
      <c r="H176" s="46">
        <v>1403300</v>
      </c>
      <c r="I176" s="85">
        <f>IF(compras_mes12[[#This Row],[NETO GRAVADO]]="","",compras_mes12[[#This Row],[NETO GRAVADO]]*0.21)</f>
        <v>294693</v>
      </c>
      <c r="J176" s="85"/>
      <c r="K176" s="85"/>
      <c r="L176" s="85"/>
      <c r="M176" s="85"/>
      <c r="N176" s="85"/>
      <c r="O176" s="85"/>
      <c r="P176" s="48">
        <f>SUM(compras_mes12[[#This Row],[NETO GRAVADO]:[Otros / No Grav.]])</f>
        <v>1697993</v>
      </c>
      <c r="Q176" s="49">
        <f>IFERROR(IF(compras_mes12[[#This Row],[CUIT]]="","-",VLOOKUP(compras_mes12[[#This Row],[CUIT]],Lista_CUIT[#All],3,0)),"CUIT NO CARGADO")</f>
        <v>0</v>
      </c>
      <c r="R176" s="49">
        <f>IFERROR(IF(compras_mes12[[#This Row],[CUIT]]="","-",VLOOKUP(compras_mes12[[#This Row],[CUIT]],Lista_CUIT[#All],4,0)),"CUIT NO CARGADO")</f>
        <v>0</v>
      </c>
    </row>
    <row r="177" spans="2:18" x14ac:dyDescent="0.3">
      <c r="B177" s="230">
        <v>45287</v>
      </c>
      <c r="C177" s="41">
        <v>1</v>
      </c>
      <c r="D177" s="231">
        <v>1</v>
      </c>
      <c r="E177" s="232">
        <v>65</v>
      </c>
      <c r="F177" s="233">
        <v>30718148207</v>
      </c>
      <c r="G177" s="234" t="str">
        <f>IFERROR(IF(compras_mes12[[#This Row],[CUIT]]="","-",VLOOKUP(compras_mes12[[#This Row],[CUIT]],Lista_CUIT[#All],2,0)),"CUIT NO CARGADO")</f>
        <v>VIPA INTERNATIONAL S.R.L.</v>
      </c>
      <c r="H177" s="235">
        <v>1679160</v>
      </c>
      <c r="I177" s="85">
        <f>IF(compras_mes12[[#This Row],[NETO GRAVADO]]="","",compras_mes12[[#This Row],[NETO GRAVADO]]*0.21)</f>
        <v>352623.6</v>
      </c>
      <c r="J177" s="236"/>
      <c r="K177" s="236"/>
      <c r="L177" s="236"/>
      <c r="M177" s="236"/>
      <c r="N177" s="236"/>
      <c r="O177" s="236"/>
      <c r="P177" s="237">
        <f>SUM(compras_mes12[[#This Row],[NETO GRAVADO]:[Otros / No Grav.]])</f>
        <v>2031783.6</v>
      </c>
      <c r="Q177" s="238">
        <f>IFERROR(IF(compras_mes12[[#This Row],[CUIT]]="","-",VLOOKUP(compras_mes12[[#This Row],[CUIT]],Lista_CUIT[#All],3,0)),"CUIT NO CARGADO")</f>
        <v>0</v>
      </c>
      <c r="R177" s="238">
        <f>IFERROR(IF(compras_mes12[[#This Row],[CUIT]]="","-",VLOOKUP(compras_mes12[[#This Row],[CUIT]],Lista_CUIT[#All],4,0)),"CUIT NO CARGADO")</f>
        <v>0</v>
      </c>
    </row>
    <row r="178" spans="2:18" x14ac:dyDescent="0.3">
      <c r="B178" s="40">
        <v>45287</v>
      </c>
      <c r="C178" s="41">
        <v>1</v>
      </c>
      <c r="D178" s="42">
        <v>2</v>
      </c>
      <c r="E178" s="43">
        <v>3557</v>
      </c>
      <c r="F178" s="44">
        <v>30629863571</v>
      </c>
      <c r="G178" s="45" t="str">
        <f>IFERROR(IF(compras_mes12[[#This Row],[CUIT]]="","-",VLOOKUP(compras_mes12[[#This Row],[CUIT]],Lista_CUIT[#All],2,0)),"CUIT NO CARGADO")</f>
        <v>TECNIMAR S R L</v>
      </c>
      <c r="H178" s="46">
        <v>227625.38</v>
      </c>
      <c r="I178" s="85">
        <f>IF(compras_mes12[[#This Row],[NETO GRAVADO]]="","",compras_mes12[[#This Row],[NETO GRAVADO]]*0.21)</f>
        <v>47801.3298</v>
      </c>
      <c r="J178" s="85"/>
      <c r="K178" s="85"/>
      <c r="L178" s="85"/>
      <c r="M178" s="85"/>
      <c r="N178" s="85"/>
      <c r="O178" s="85"/>
      <c r="P178" s="48">
        <f>SUM(compras_mes12[[#This Row],[NETO GRAVADO]:[Otros / No Grav.]])</f>
        <v>275426.70980000001</v>
      </c>
      <c r="Q178" s="49" t="str">
        <f>IFERROR(IF(compras_mes12[[#This Row],[CUIT]]="","-",VLOOKUP(compras_mes12[[#This Row],[CUIT]],Lista_CUIT[#All],3,0)),"CUIT NO CARGADO")</f>
        <v>LABORATORIO</v>
      </c>
      <c r="R178" s="49">
        <f>IFERROR(IF(compras_mes12[[#This Row],[CUIT]]="","-",VLOOKUP(compras_mes12[[#This Row],[CUIT]],Lista_CUIT[#All],4,0)),"CUIT NO CARGADO")</f>
        <v>0</v>
      </c>
    </row>
    <row r="179" spans="2:18" x14ac:dyDescent="0.3">
      <c r="B179" s="608">
        <v>45288</v>
      </c>
      <c r="C179" s="609">
        <v>1</v>
      </c>
      <c r="D179" s="610">
        <v>16</v>
      </c>
      <c r="E179" s="611">
        <v>41</v>
      </c>
      <c r="F179" s="612">
        <v>30708512741</v>
      </c>
      <c r="G179" s="552" t="str">
        <f>IFERROR(IF(compras_mes12[[#This Row],[CUIT]]="","-",VLOOKUP(compras_mes12[[#This Row],[CUIT]],Lista_CUIT[#All],2,0)),"CUIT NO CARGADO")</f>
        <v>PIFVA SA</v>
      </c>
      <c r="H179" s="548">
        <v>11983.46</v>
      </c>
      <c r="I179" s="528">
        <f>IF(compras_mes12[[#This Row],[NETO GRAVADO]]="","",compras_mes12[[#This Row],[NETO GRAVADO]]*0.21)</f>
        <v>2516.5265999999997</v>
      </c>
      <c r="J179" s="528"/>
      <c r="K179" s="528"/>
      <c r="L179" s="528"/>
      <c r="M179" s="528"/>
      <c r="N179" s="528"/>
      <c r="O179" s="528"/>
      <c r="P179" s="529">
        <f>SUM(compras_mes12[[#This Row],[NETO GRAVADO]:[Otros / No Grav.]])</f>
        <v>14499.986599999998</v>
      </c>
      <c r="Q179" s="553">
        <f>IFERROR(IF(compras_mes12[[#This Row],[CUIT]]="","-",VLOOKUP(compras_mes12[[#This Row],[CUIT]],Lista_CUIT[#All],3,0)),"CUIT NO CARGADO")</f>
        <v>0</v>
      </c>
      <c r="R179" s="553">
        <f>IFERROR(IF(compras_mes12[[#This Row],[CUIT]]="","-",VLOOKUP(compras_mes12[[#This Row],[CUIT]],Lista_CUIT[#All],4,0)),"CUIT NO CARGADO")</f>
        <v>0</v>
      </c>
    </row>
    <row r="180" spans="2:18" x14ac:dyDescent="0.3">
      <c r="B180" s="608">
        <v>45288</v>
      </c>
      <c r="C180" s="609">
        <v>1</v>
      </c>
      <c r="D180" s="610">
        <v>6</v>
      </c>
      <c r="E180" s="611">
        <v>9213</v>
      </c>
      <c r="F180" s="612">
        <v>33710167309</v>
      </c>
      <c r="G180" s="552" t="str">
        <f>IFERROR(IF(compras_mes12[[#This Row],[CUIT]]="","-",VLOOKUP(compras_mes12[[#This Row],[CUIT]],Lista_CUIT[#All],2,0)),"CUIT NO CARGADO")</f>
        <v>MAT. ESCO SA</v>
      </c>
      <c r="H180" s="548">
        <v>4382.8100000000004</v>
      </c>
      <c r="I180" s="528">
        <f>IF(compras_mes12[[#This Row],[NETO GRAVADO]]="","",compras_mes12[[#This Row],[NETO GRAVADO]]*0.21)</f>
        <v>920.39010000000007</v>
      </c>
      <c r="J180" s="528"/>
      <c r="K180" s="528"/>
      <c r="L180" s="528"/>
      <c r="M180" s="528"/>
      <c r="N180" s="528"/>
      <c r="O180" s="528"/>
      <c r="P180" s="529">
        <f>SUM(compras_mes12[[#This Row],[NETO GRAVADO]:[Otros / No Grav.]])</f>
        <v>5303.2001</v>
      </c>
      <c r="Q180" s="553">
        <f>IFERROR(IF(compras_mes12[[#This Row],[CUIT]]="","-",VLOOKUP(compras_mes12[[#This Row],[CUIT]],Lista_CUIT[#All],3,0)),"CUIT NO CARGADO")</f>
        <v>0</v>
      </c>
      <c r="R180" s="553">
        <f>IFERROR(IF(compras_mes12[[#This Row],[CUIT]]="","-",VLOOKUP(compras_mes12[[#This Row],[CUIT]],Lista_CUIT[#All],4,0)),"CUIT NO CARGADO")</f>
        <v>0</v>
      </c>
    </row>
    <row r="181" spans="2:18" x14ac:dyDescent="0.3">
      <c r="B181" s="40">
        <v>45288</v>
      </c>
      <c r="C181" s="41">
        <v>1</v>
      </c>
      <c r="D181" s="42">
        <v>6852</v>
      </c>
      <c r="E181" s="43">
        <v>21118</v>
      </c>
      <c r="F181" s="44">
        <v>30678774495</v>
      </c>
      <c r="G181" s="45" t="str">
        <f>IFERROR(IF(compras_mes12[[#This Row],[CUIT]]="","-",VLOOKUP(compras_mes12[[#This Row],[CUIT]],Lista_CUIT[#All],2,0)),"CUIT NO CARGADO")</f>
        <v>OPER. DE EST. DE SERV. SA</v>
      </c>
      <c r="H181" s="46">
        <v>3958.82</v>
      </c>
      <c r="I181" s="85">
        <f>IF(compras_mes12[[#This Row],[NETO GRAVADO]]="","",compras_mes12[[#This Row],[NETO GRAVADO]]*0.21)</f>
        <v>831.35220000000004</v>
      </c>
      <c r="J181" s="85"/>
      <c r="K181" s="85"/>
      <c r="L181" s="85"/>
      <c r="M181" s="85"/>
      <c r="N181" s="85"/>
      <c r="O181" s="85">
        <v>209.81</v>
      </c>
      <c r="P181" s="48">
        <f>SUM(compras_mes12[[#This Row],[NETO GRAVADO]:[Otros / No Grav.]])</f>
        <v>4999.9822000000004</v>
      </c>
      <c r="Q181" s="49" t="str">
        <f>IFERROR(IF(compras_mes12[[#This Row],[CUIT]]="","-",VLOOKUP(compras_mes12[[#This Row],[CUIT]],Lista_CUIT[#All],3,0)),"CUIT NO CARGADO")</f>
        <v>Combustibe</v>
      </c>
      <c r="R181" s="49">
        <f>IFERROR(IF(compras_mes12[[#This Row],[CUIT]]="","-",VLOOKUP(compras_mes12[[#This Row],[CUIT]],Lista_CUIT[#All],4,0)),"CUIT NO CARGADO")</f>
        <v>0</v>
      </c>
    </row>
    <row r="182" spans="2:18" x14ac:dyDescent="0.3">
      <c r="B182" s="40">
        <v>45288</v>
      </c>
      <c r="C182" s="41">
        <v>1</v>
      </c>
      <c r="D182" s="42">
        <v>7</v>
      </c>
      <c r="E182" s="43">
        <v>12167</v>
      </c>
      <c r="F182" s="44">
        <v>30715124919</v>
      </c>
      <c r="G182" s="45" t="str">
        <f>IFERROR(IF(compras_mes12[[#This Row],[CUIT]]="","-",VLOOKUP(compras_mes12[[#This Row],[CUIT]],Lista_CUIT[#All],2,0)),"CUIT NO CARGADO")</f>
        <v>CLEAN LAB SRL</v>
      </c>
      <c r="H182" s="46">
        <v>85975.5</v>
      </c>
      <c r="I182" s="85">
        <f>IF(compras_mes12[[#This Row],[NETO GRAVADO]]="","",compras_mes12[[#This Row],[NETO GRAVADO]]*0.21)</f>
        <v>18054.855</v>
      </c>
      <c r="J182" s="85"/>
      <c r="K182" s="85"/>
      <c r="L182" s="85"/>
      <c r="M182" s="85"/>
      <c r="N182" s="85"/>
      <c r="O182" s="85"/>
      <c r="P182" s="48">
        <f>SUM(compras_mes12[[#This Row],[NETO GRAVADO]:[Otros / No Grav.]])</f>
        <v>104030.355</v>
      </c>
      <c r="Q182" s="49">
        <f>IFERROR(IF(compras_mes12[[#This Row],[CUIT]]="","-",VLOOKUP(compras_mes12[[#This Row],[CUIT]],Lista_CUIT[#All],3,0)),"CUIT NO CARGADO")</f>
        <v>0</v>
      </c>
      <c r="R182" s="49">
        <f>IFERROR(IF(compras_mes12[[#This Row],[CUIT]]="","-",VLOOKUP(compras_mes12[[#This Row],[CUIT]],Lista_CUIT[#All],4,0)),"CUIT NO CARGADO")</f>
        <v>0</v>
      </c>
    </row>
    <row r="183" spans="2:18" s="239" customFormat="1" x14ac:dyDescent="0.3">
      <c r="B183" s="40">
        <v>45288</v>
      </c>
      <c r="C183" s="41">
        <v>1</v>
      </c>
      <c r="D183" s="42">
        <v>3</v>
      </c>
      <c r="E183" s="43">
        <v>7</v>
      </c>
      <c r="F183" s="44">
        <v>27174015703</v>
      </c>
      <c r="G183" s="45" t="str">
        <f>IFERROR(IF(compras_mes12[[#This Row],[CUIT]]="","-",VLOOKUP(compras_mes12[[#This Row],[CUIT]],Lista_CUIT[#All],2,0)),"CUIT NO CARGADO")</f>
        <v>RUIZ LADY ARACELI</v>
      </c>
      <c r="H183" s="46">
        <v>509253.71</v>
      </c>
      <c r="I183" s="85">
        <f>IF(compras_mes12[[#This Row],[NETO GRAVADO]]="","",compras_mes12[[#This Row],[NETO GRAVADO]]*0.21)</f>
        <v>106943.2791</v>
      </c>
      <c r="J183" s="85"/>
      <c r="K183" s="85"/>
      <c r="L183" s="85"/>
      <c r="M183" s="85"/>
      <c r="N183" s="85"/>
      <c r="O183" s="85"/>
      <c r="P183" s="48">
        <f>SUM(compras_mes12[[#This Row],[NETO GRAVADO]:[Otros / No Grav.]])</f>
        <v>616196.98910000001</v>
      </c>
      <c r="Q183" s="49">
        <f>IFERROR(IF(compras_mes12[[#This Row],[CUIT]]="","-",VLOOKUP(compras_mes12[[#This Row],[CUIT]],Lista_CUIT[#All],3,0)),"CUIT NO CARGADO")</f>
        <v>0</v>
      </c>
      <c r="R183" s="49">
        <f>IFERROR(IF(compras_mes12[[#This Row],[CUIT]]="","-",VLOOKUP(compras_mes12[[#This Row],[CUIT]],Lista_CUIT[#All],4,0)),"CUIT NO CARGADO")</f>
        <v>0</v>
      </c>
    </row>
    <row r="184" spans="2:18" x14ac:dyDescent="0.3">
      <c r="B184" s="608">
        <v>45289</v>
      </c>
      <c r="C184" s="609">
        <v>1</v>
      </c>
      <c r="D184" s="610">
        <v>8132</v>
      </c>
      <c r="E184" s="611">
        <v>22712</v>
      </c>
      <c r="F184" s="612">
        <v>30678774495</v>
      </c>
      <c r="G184" s="552" t="str">
        <f>IFERROR(IF(compras_mes12[[#This Row],[CUIT]]="","-",VLOOKUP(compras_mes12[[#This Row],[CUIT]],Lista_CUIT[#All],2,0)),"CUIT NO CARGADO")</f>
        <v>OPER. DE EST. DE SERV. SA</v>
      </c>
      <c r="H184" s="548">
        <v>16189.38</v>
      </c>
      <c r="I184" s="528">
        <f>IF(compras_mes12[[#This Row],[NETO GRAVADO]]="","",compras_mes12[[#This Row],[NETO GRAVADO]]*0.21)</f>
        <v>3399.7697999999996</v>
      </c>
      <c r="J184" s="528"/>
      <c r="K184" s="528"/>
      <c r="L184" s="528"/>
      <c r="M184" s="528"/>
      <c r="N184" s="528"/>
      <c r="O184" s="528">
        <v>838.83</v>
      </c>
      <c r="P184" s="257">
        <f>SUM(compras_mes12[[#This Row],[NETO GRAVADO]:[Otros / No Grav.]])</f>
        <v>20427.979800000001</v>
      </c>
      <c r="Q184" s="553" t="str">
        <f>IFERROR(IF(compras_mes12[[#This Row],[CUIT]]="","-",VLOOKUP(compras_mes12[[#This Row],[CUIT]],Lista_CUIT[#All],3,0)),"CUIT NO CARGADO")</f>
        <v>Combustibe</v>
      </c>
      <c r="R184" s="553">
        <f>IFERROR(IF(compras_mes12[[#This Row],[CUIT]]="","-",VLOOKUP(compras_mes12[[#This Row],[CUIT]],Lista_CUIT[#All],4,0)),"CUIT NO CARGADO")</f>
        <v>0</v>
      </c>
    </row>
    <row r="185" spans="2:18" x14ac:dyDescent="0.3">
      <c r="B185" s="608">
        <v>45289</v>
      </c>
      <c r="C185" s="609">
        <v>1</v>
      </c>
      <c r="D185" s="610">
        <v>4740</v>
      </c>
      <c r="E185" s="611">
        <v>470</v>
      </c>
      <c r="F185" s="612">
        <v>30685849751</v>
      </c>
      <c r="G185" s="552" t="str">
        <f>IFERROR(IF(compras_mes12[[#This Row],[CUIT]]="","-",VLOOKUP(compras_mes12[[#This Row],[CUIT]],Lista_CUIT[#All],2,0)),"CUIT NO CARGADO")</f>
        <v>DIA ARGENTINA S A</v>
      </c>
      <c r="H185" s="548">
        <v>24179.79</v>
      </c>
      <c r="I185" s="528">
        <v>4370.8</v>
      </c>
      <c r="J185" s="528"/>
      <c r="K185" s="528">
        <v>269.69</v>
      </c>
      <c r="L185" s="528"/>
      <c r="M185" s="528"/>
      <c r="N185" s="528"/>
      <c r="O185" s="528"/>
      <c r="P185" s="257">
        <f>SUM(compras_mes12[[#This Row],[NETO GRAVADO]:[Otros / No Grav.]])</f>
        <v>28820.28</v>
      </c>
      <c r="Q185" s="553">
        <f>IFERROR(IF(compras_mes12[[#This Row],[CUIT]]="","-",VLOOKUP(compras_mes12[[#This Row],[CUIT]],Lista_CUIT[#All],3,0)),"CUIT NO CARGADO")</f>
        <v>0</v>
      </c>
      <c r="R185" s="553">
        <f>IFERROR(IF(compras_mes12[[#This Row],[CUIT]]="","-",VLOOKUP(compras_mes12[[#This Row],[CUIT]],Lista_CUIT[#All],4,0)),"CUIT NO CARGADO")</f>
        <v>0</v>
      </c>
    </row>
    <row r="186" spans="2:18" x14ac:dyDescent="0.3">
      <c r="B186" s="613">
        <v>45289</v>
      </c>
      <c r="C186" s="609">
        <v>1</v>
      </c>
      <c r="D186" s="614">
        <v>27</v>
      </c>
      <c r="E186" s="615">
        <v>1981720</v>
      </c>
      <c r="F186" s="612">
        <v>30703088534</v>
      </c>
      <c r="G186" s="616" t="str">
        <f>IFERROR(IF(compras_mes12[[#This Row],[CUIT]]="","-",VLOOKUP(compras_mes12[[#This Row],[CUIT]],Lista_CUIT[#All],2,0)),"CUIT NO CARGADO")</f>
        <v>MERCADO LIBRE SRL</v>
      </c>
      <c r="H186" s="628">
        <v>387628.37</v>
      </c>
      <c r="I186" s="528">
        <f>IF(compras_mes12[[#This Row],[NETO GRAVADO]]="","",compras_mes12[[#This Row],[NETO GRAVADO]]*0.21)</f>
        <v>81401.957699999999</v>
      </c>
      <c r="J186" s="617"/>
      <c r="K186" s="617"/>
      <c r="L186" s="617"/>
      <c r="M186" s="617"/>
      <c r="N186" s="617"/>
      <c r="O186" s="617">
        <v>38762.839999999997</v>
      </c>
      <c r="P186" s="645">
        <f>SUM(compras_mes12[[#This Row],[NETO GRAVADO]:[Otros / No Grav.]])</f>
        <v>507793.16769999999</v>
      </c>
      <c r="Q186" s="618" t="str">
        <f>IFERROR(IF(compras_mes12[[#This Row],[CUIT]]="","-",VLOOKUP(compras_mes12[[#This Row],[CUIT]],Lista_CUIT[#All],3,0)),"CUIT NO CARGADO")</f>
        <v>Gastos Varios</v>
      </c>
      <c r="R186" s="618" t="str">
        <f>IFERROR(IF(compras_mes12[[#This Row],[CUIT]]="","-",VLOOKUP(compras_mes12[[#This Row],[CUIT]],Lista_CUIT[#All],4,0)),"CUIT NO CARGADO")</f>
        <v>CABA</v>
      </c>
    </row>
    <row r="187" spans="2:18" x14ac:dyDescent="0.3">
      <c r="B187" s="249">
        <v>45289</v>
      </c>
      <c r="C187" s="250">
        <v>1</v>
      </c>
      <c r="D187" s="251">
        <v>5</v>
      </c>
      <c r="E187" s="252">
        <v>3313</v>
      </c>
      <c r="F187" s="253">
        <v>30702259890</v>
      </c>
      <c r="G187" s="254" t="str">
        <f>IFERROR(IF(compras_mes12[[#This Row],[CUIT]]="","-",VLOOKUP(compras_mes12[[#This Row],[CUIT]],Lista_CUIT[#All],2,0)),"CUIT NO CARGADO")</f>
        <v>FERREMUNDO SRL</v>
      </c>
      <c r="H187" s="255">
        <v>5785.12</v>
      </c>
      <c r="I187" s="256">
        <f>IF(compras_mes12[[#This Row],[NETO GRAVADO]]="","",compras_mes12[[#This Row],[NETO GRAVADO]]*0.21)</f>
        <v>1214.8751999999999</v>
      </c>
      <c r="J187" s="256"/>
      <c r="K187" s="256"/>
      <c r="L187" s="256"/>
      <c r="M187" s="256"/>
      <c r="N187" s="256"/>
      <c r="O187" s="256"/>
      <c r="P187" s="257">
        <f>SUM(compras_mes12[[#This Row],[NETO GRAVADO]:[Otros / No Grav.]])</f>
        <v>6999.9951999999994</v>
      </c>
      <c r="Q187" s="258">
        <f>IFERROR(IF(compras_mes12[[#This Row],[CUIT]]="","-",VLOOKUP(compras_mes12[[#This Row],[CUIT]],Lista_CUIT[#All],3,0)),"CUIT NO CARGADO")</f>
        <v>0</v>
      </c>
      <c r="R187" s="258">
        <f>IFERROR(IF(compras_mes12[[#This Row],[CUIT]]="","-",VLOOKUP(compras_mes12[[#This Row],[CUIT]],Lista_CUIT[#All],4,0)),"CUIT NO CARGADO")</f>
        <v>0</v>
      </c>
    </row>
    <row r="188" spans="2:18" x14ac:dyDescent="0.3">
      <c r="B188" s="249">
        <v>45289</v>
      </c>
      <c r="C188" s="250">
        <v>1</v>
      </c>
      <c r="D188" s="251">
        <v>11</v>
      </c>
      <c r="E188" s="252">
        <v>27356</v>
      </c>
      <c r="F188" s="253">
        <v>30696131003</v>
      </c>
      <c r="G188" s="254" t="str">
        <f>IFERROR(IF(compras_mes12[[#This Row],[CUIT]]="","-",VLOOKUP(compras_mes12[[#This Row],[CUIT]],Lista_CUIT[#All],2,0)),"CUIT NO CARGADO")</f>
        <v>Petrolfe S.A.</v>
      </c>
      <c r="H188" s="255">
        <v>13198.11</v>
      </c>
      <c r="I188" s="256">
        <f>IF(compras_mes12[[#This Row],[NETO GRAVADO]]="","",compras_mes12[[#This Row],[NETO GRAVADO]]*0.21)</f>
        <v>2771.6030999999998</v>
      </c>
      <c r="J188" s="256"/>
      <c r="K188" s="256"/>
      <c r="L188" s="256"/>
      <c r="M188" s="256"/>
      <c r="N188" s="256"/>
      <c r="O188" s="256">
        <v>735.31</v>
      </c>
      <c r="P188" s="257">
        <f>SUM(compras_mes12[[#This Row],[NETO GRAVADO]:[Otros / No Grav.]])</f>
        <v>16705.023100000002</v>
      </c>
      <c r="Q188" s="258" t="str">
        <f>IFERROR(IF(compras_mes12[[#This Row],[CUIT]]="","-",VLOOKUP(compras_mes12[[#This Row],[CUIT]],Lista_CUIT[#All],3,0)),"CUIT NO CARGADO")</f>
        <v>Combustible</v>
      </c>
      <c r="R188" s="258">
        <f>IFERROR(IF(compras_mes12[[#This Row],[CUIT]]="","-",VLOOKUP(compras_mes12[[#This Row],[CUIT]],Lista_CUIT[#All],4,0)),"CUIT NO CARGADO")</f>
        <v>0</v>
      </c>
    </row>
    <row r="189" spans="2:18" x14ac:dyDescent="0.3">
      <c r="B189" s="608">
        <v>45290</v>
      </c>
      <c r="C189" s="609">
        <v>1</v>
      </c>
      <c r="D189" s="610">
        <v>15</v>
      </c>
      <c r="E189" s="611">
        <v>2600</v>
      </c>
      <c r="F189" s="612">
        <v>33715657479</v>
      </c>
      <c r="G189" s="552" t="str">
        <f>IFERROR(IF(compras_mes12[[#This Row],[CUIT]]="","-",VLOOKUP(compras_mes12[[#This Row],[CUIT]],Lista_CUIT[#All],2,0)),"CUIT NO CARGADO")</f>
        <v>GUIDO TOMAS GIORDANO Y KEVIN BALCKER</v>
      </c>
      <c r="H189" s="548">
        <v>97913.01</v>
      </c>
      <c r="I189" s="528">
        <f>IF(compras_mes12[[#This Row],[NETO GRAVADO]]="","",compras_mes12[[#This Row],[NETO GRAVADO]]*0.21)</f>
        <v>20561.732099999997</v>
      </c>
      <c r="J189" s="528"/>
      <c r="K189" s="528"/>
      <c r="L189" s="528"/>
      <c r="M189" s="528"/>
      <c r="N189" s="528"/>
      <c r="O189" s="528"/>
      <c r="P189" s="529">
        <f>SUM(compras_mes12[[#This Row],[NETO GRAVADO]:[Otros / No Grav.]])</f>
        <v>118474.74209999999</v>
      </c>
      <c r="Q189" s="553">
        <f>IFERROR(IF(compras_mes12[[#This Row],[CUIT]]="","-",VLOOKUP(compras_mes12[[#This Row],[CUIT]],Lista_CUIT[#All],3,0)),"CUIT NO CARGADO")</f>
        <v>0</v>
      </c>
      <c r="R189" s="553">
        <f>IFERROR(IF(compras_mes12[[#This Row],[CUIT]]="","-",VLOOKUP(compras_mes12[[#This Row],[CUIT]],Lista_CUIT[#All],4,0)),"CUIT NO CARGADO")</f>
        <v>0</v>
      </c>
    </row>
    <row r="190" spans="2:18" x14ac:dyDescent="0.3">
      <c r="B190" s="608">
        <v>45290</v>
      </c>
      <c r="C190" s="609">
        <v>1</v>
      </c>
      <c r="D190" s="610">
        <v>7</v>
      </c>
      <c r="E190" s="611">
        <v>2233</v>
      </c>
      <c r="F190" s="612">
        <v>20134664518</v>
      </c>
      <c r="G190" s="552" t="str">
        <f>IFERROR(IF(compras_mes12[[#This Row],[CUIT]]="","-",VLOOKUP(compras_mes12[[#This Row],[CUIT]],Lista_CUIT[#All],2,0)),"CUIT NO CARGADO")</f>
        <v>HOKAMA SERGIO ENRIQUE</v>
      </c>
      <c r="H190" s="548">
        <v>9679.34</v>
      </c>
      <c r="I190" s="528">
        <f>IF(compras_mes12[[#This Row],[NETO GRAVADO]]="","",compras_mes12[[#This Row],[NETO GRAVADO]]*0.21)</f>
        <v>2032.6614</v>
      </c>
      <c r="J190" s="528"/>
      <c r="K190" s="528"/>
      <c r="L190" s="528"/>
      <c r="M190" s="528"/>
      <c r="N190" s="528"/>
      <c r="O190" s="528"/>
      <c r="P190" s="529">
        <f>SUM(compras_mes12[[#This Row],[NETO GRAVADO]:[Otros / No Grav.]])</f>
        <v>11712.001400000001</v>
      </c>
      <c r="Q190" s="553" t="str">
        <f>IFERROR(IF(compras_mes12[[#This Row],[CUIT]]="","-",VLOOKUP(compras_mes12[[#This Row],[CUIT]],Lista_CUIT[#All],3,0)),"CUIT NO CARGADO")</f>
        <v>Gastos Varios</v>
      </c>
      <c r="R190" s="553" t="str">
        <f>IFERROR(IF(compras_mes12[[#This Row],[CUIT]]="","-",VLOOKUP(compras_mes12[[#This Row],[CUIT]],Lista_CUIT[#All],4,0)),"CUIT NO CARGADO")</f>
        <v>BUENOS AIRES</v>
      </c>
    </row>
    <row r="191" spans="2:18" x14ac:dyDescent="0.3">
      <c r="B191" s="608">
        <v>45291</v>
      </c>
      <c r="C191" s="609">
        <v>1</v>
      </c>
      <c r="D191" s="610">
        <v>50</v>
      </c>
      <c r="E191" s="611">
        <v>3400745</v>
      </c>
      <c r="F191" s="612">
        <v>30714112836</v>
      </c>
      <c r="G191" s="552" t="str">
        <f>IFERROR(IF(compras_mes12[[#This Row],[CUIT]]="","-",VLOOKUP(compras_mes12[[#This Row],[CUIT]],Lista_CUIT[#All],2,0)),"CUIT NO CARGADO")</f>
        <v>AUTOPISTAS DE BS AS</v>
      </c>
      <c r="H191" s="548">
        <v>16045.46</v>
      </c>
      <c r="I191" s="528">
        <f>IF(compras_mes12[[#This Row],[NETO GRAVADO]]="","",compras_mes12[[#This Row],[NETO GRAVADO]]*0.21)</f>
        <v>3369.5465999999997</v>
      </c>
      <c r="J191" s="528"/>
      <c r="K191" s="528"/>
      <c r="L191" s="528">
        <v>481.36</v>
      </c>
      <c r="M191" s="528"/>
      <c r="N191" s="528"/>
      <c r="O191" s="528"/>
      <c r="P191" s="257">
        <f>SUM(compras_mes12[[#This Row],[NETO GRAVADO]:[Otros / No Grav.]])</f>
        <v>19896.366600000001</v>
      </c>
      <c r="Q191" s="553">
        <f>IFERROR(IF(compras_mes12[[#This Row],[CUIT]]="","-",VLOOKUP(compras_mes12[[#This Row],[CUIT]],Lista_CUIT[#All],3,0)),"CUIT NO CARGADO")</f>
        <v>0</v>
      </c>
      <c r="R191" s="553">
        <f>IFERROR(IF(compras_mes12[[#This Row],[CUIT]]="","-",VLOOKUP(compras_mes12[[#This Row],[CUIT]],Lista_CUIT[#All],4,0)),"CUIT NO CARGADO")</f>
        <v>0</v>
      </c>
    </row>
    <row r="192" spans="2:18" x14ac:dyDescent="0.3">
      <c r="B192" s="608">
        <v>45291</v>
      </c>
      <c r="C192" s="609">
        <v>1</v>
      </c>
      <c r="D192" s="610">
        <v>4</v>
      </c>
      <c r="E192" s="611">
        <v>444</v>
      </c>
      <c r="F192" s="612">
        <v>30715465708</v>
      </c>
      <c r="G192" s="552" t="str">
        <f>IFERROR(IF(compras_mes12[[#This Row],[CUIT]]="","-",VLOOKUP(compras_mes12[[#This Row],[CUIT]],Lista_CUIT[#All],2,0)),"CUIT NO CARGADO")</f>
        <v>ANGEL BLUE S.R.L.</v>
      </c>
      <c r="H192" s="548">
        <v>4132.2299999999996</v>
      </c>
      <c r="I192" s="528">
        <f>IF(compras_mes12[[#This Row],[NETO GRAVADO]]="","",compras_mes12[[#This Row],[NETO GRAVADO]]*0.21)</f>
        <v>867.76829999999984</v>
      </c>
      <c r="J192" s="528"/>
      <c r="K192" s="528"/>
      <c r="L192" s="528"/>
      <c r="M192" s="528"/>
      <c r="N192" s="528"/>
      <c r="O192" s="528"/>
      <c r="P192" s="529">
        <f>SUM(compras_mes12[[#This Row],[NETO GRAVADO]:[Otros / No Grav.]])</f>
        <v>4999.9982999999993</v>
      </c>
      <c r="Q192" s="553">
        <f>IFERROR(IF(compras_mes12[[#This Row],[CUIT]]="","-",VLOOKUP(compras_mes12[[#This Row],[CUIT]],Lista_CUIT[#All],3,0)),"CUIT NO CARGADO")</f>
        <v>0</v>
      </c>
      <c r="R192" s="553">
        <f>IFERROR(IF(compras_mes12[[#This Row],[CUIT]]="","-",VLOOKUP(compras_mes12[[#This Row],[CUIT]],Lista_CUIT[#All],4,0)),"CUIT NO CARGADO")</f>
        <v>0</v>
      </c>
    </row>
    <row r="193" spans="2:18" x14ac:dyDescent="0.3">
      <c r="B193" s="40"/>
      <c r="C193" s="41"/>
      <c r="D193" s="42"/>
      <c r="E193" s="43"/>
      <c r="F193" s="44"/>
      <c r="G193" s="45" t="str">
        <f>IFERROR(IF(compras_mes12[[#This Row],[CUIT]]="","-",VLOOKUP(compras_mes12[[#This Row],[CUIT]],Lista_CUIT[#All],2,0)),"CUIT NO CARGADO")</f>
        <v>-</v>
      </c>
      <c r="H193" s="46"/>
      <c r="I193" s="85" t="str">
        <f>IF(compras_mes12[[#This Row],[NETO GRAVADO]]="","",compras_mes12[[#This Row],[NETO GRAVADO]]*0.21)</f>
        <v/>
      </c>
      <c r="J193" s="85"/>
      <c r="K193" s="85"/>
      <c r="L193" s="85"/>
      <c r="M193" s="85"/>
      <c r="N193" s="85"/>
      <c r="O193" s="85"/>
      <c r="P193" s="48">
        <f>SUM(compras_mes12[[#This Row],[NETO GRAVADO]:[Otros / No Grav.]])</f>
        <v>0</v>
      </c>
      <c r="Q193" s="49" t="str">
        <f>IFERROR(IF(compras_mes12[[#This Row],[CUIT]]="","-",VLOOKUP(compras_mes12[[#This Row],[CUIT]],Lista_CUIT[#All],3,0)),"CUIT NO CARGADO")</f>
        <v>-</v>
      </c>
      <c r="R193" s="49" t="str">
        <f>IFERROR(IF(compras_mes12[[#This Row],[CUIT]]="","-",VLOOKUP(compras_mes12[[#This Row],[CUIT]],Lista_CUIT[#All],4,0)),"CUIT NO CARGADO")</f>
        <v>-</v>
      </c>
    </row>
    <row r="194" spans="2:18" x14ac:dyDescent="0.3">
      <c r="B194" s="40"/>
      <c r="C194" s="41"/>
      <c r="D194" s="42"/>
      <c r="E194" s="43"/>
      <c r="F194" s="44"/>
      <c r="G194" s="45" t="str">
        <f>IFERROR(IF(compras_mes12[[#This Row],[CUIT]]="","-",VLOOKUP(compras_mes12[[#This Row],[CUIT]],Lista_CUIT[#All],2,0)),"CUIT NO CARGADO")</f>
        <v>-</v>
      </c>
      <c r="H194" s="46"/>
      <c r="I194" s="85" t="str">
        <f>IF(compras_mes12[[#This Row],[NETO GRAVADO]]="","",compras_mes12[[#This Row],[NETO GRAVADO]]*0.21)</f>
        <v/>
      </c>
      <c r="J194" s="85"/>
      <c r="K194" s="85"/>
      <c r="L194" s="85"/>
      <c r="M194" s="85"/>
      <c r="N194" s="85"/>
      <c r="O194" s="85"/>
      <c r="P194" s="48">
        <f>SUM(compras_mes12[[#This Row],[NETO GRAVADO]:[Otros / No Grav.]])</f>
        <v>0</v>
      </c>
      <c r="Q194" s="49" t="str">
        <f>IFERROR(IF(compras_mes12[[#This Row],[CUIT]]="","-",VLOOKUP(compras_mes12[[#This Row],[CUIT]],Lista_CUIT[#All],3,0)),"CUIT NO CARGADO")</f>
        <v>-</v>
      </c>
      <c r="R194" s="49" t="str">
        <f>IFERROR(IF(compras_mes12[[#This Row],[CUIT]]="","-",VLOOKUP(compras_mes12[[#This Row],[CUIT]],Lista_CUIT[#All],4,0)),"CUIT NO CARGADO")</f>
        <v>-</v>
      </c>
    </row>
    <row r="195" spans="2:18" x14ac:dyDescent="0.3">
      <c r="B195" s="40"/>
      <c r="C195" s="41"/>
      <c r="D195" s="42"/>
      <c r="E195" s="43"/>
      <c r="F195" s="44"/>
      <c r="G195" s="45" t="str">
        <f>IFERROR(IF(compras_mes12[[#This Row],[CUIT]]="","-",VLOOKUP(compras_mes12[[#This Row],[CUIT]],Lista_CUIT[#All],2,0)),"CUIT NO CARGADO")</f>
        <v>-</v>
      </c>
      <c r="H195" s="46"/>
      <c r="I195" s="85" t="str">
        <f>IF(compras_mes12[[#This Row],[NETO GRAVADO]]="","",compras_mes12[[#This Row],[NETO GRAVADO]]*0.21)</f>
        <v/>
      </c>
      <c r="J195" s="85"/>
      <c r="K195" s="85"/>
      <c r="L195" s="85"/>
      <c r="M195" s="85"/>
      <c r="N195" s="85"/>
      <c r="O195" s="85"/>
      <c r="P195" s="48">
        <f>SUM(compras_mes12[[#This Row],[NETO GRAVADO]:[Otros / No Grav.]])</f>
        <v>0</v>
      </c>
      <c r="Q195" s="49" t="str">
        <f>IFERROR(IF(compras_mes12[[#This Row],[CUIT]]="","-",VLOOKUP(compras_mes12[[#This Row],[CUIT]],Lista_CUIT[#All],3,0)),"CUIT NO CARGADO")</f>
        <v>-</v>
      </c>
      <c r="R195" s="49" t="str">
        <f>IFERROR(IF(compras_mes12[[#This Row],[CUIT]]="","-",VLOOKUP(compras_mes12[[#This Row],[CUIT]],Lista_CUIT[#All],4,0)),"CUIT NO CARGADO")</f>
        <v>-</v>
      </c>
    </row>
    <row r="196" spans="2:18" x14ac:dyDescent="0.3">
      <c r="B196" s="602" t="s">
        <v>103</v>
      </c>
      <c r="C196" s="602"/>
      <c r="D196" s="602"/>
      <c r="E196" s="602"/>
      <c r="F196" s="602"/>
      <c r="G196" s="603"/>
      <c r="H196" s="604">
        <f>SUBTOTAL(109,compras_mes12[NETO GRAVADO])</f>
        <v>75740256.990000054</v>
      </c>
      <c r="I196" s="604">
        <f>SUBTOTAL(109,compras_mes12[IVA 21 %])</f>
        <v>15762889.875199998</v>
      </c>
      <c r="J196" s="604">
        <f>SUBTOTAL(109,compras_mes12[IVA 27%])</f>
        <v>15489.034500000002</v>
      </c>
      <c r="K196" s="604">
        <f>SUBTOTAL(109,compras_mes12[IVA 10,5%])</f>
        <v>64849.755599999997</v>
      </c>
      <c r="L196" s="604">
        <f>SUBTOTAL(109,compras_mes12[PERC. IVA])</f>
        <v>20989.480000000003</v>
      </c>
      <c r="M196" s="604">
        <f>SUBTOTAL(109,compras_mes12[PERC IIBB 
BS AS])</f>
        <v>27.41</v>
      </c>
      <c r="N196" s="604">
        <f>SUBTOTAL(109,compras_mes12[PERC. IIBB CABA])</f>
        <v>60501.27</v>
      </c>
      <c r="O196" s="604">
        <f>SUBTOTAL(109,compras_mes12[Otros / No Grav.])</f>
        <v>103742.13999999998</v>
      </c>
      <c r="P196" s="604">
        <f>SUBTOTAL(109,compras_mes12[TOTAL])</f>
        <v>91768745.955299988</v>
      </c>
      <c r="Q196" s="602"/>
      <c r="R196" s="602"/>
    </row>
    <row r="197" spans="2:18" x14ac:dyDescent="0.3">
      <c r="B197" s="40"/>
      <c r="C197" s="41"/>
      <c r="D197" s="42"/>
      <c r="E197" s="43"/>
      <c r="F197" s="44"/>
      <c r="G197" s="45"/>
      <c r="H197" s="46"/>
      <c r="I197" s="47"/>
      <c r="J197" s="47"/>
      <c r="K197" s="47"/>
      <c r="L197" s="47"/>
      <c r="M197" s="47"/>
      <c r="N197" s="47"/>
      <c r="O197" s="47"/>
      <c r="P197" s="48"/>
      <c r="Q197" s="49"/>
      <c r="R197" s="49"/>
    </row>
    <row r="198" spans="2:18" x14ac:dyDescent="0.3">
      <c r="B198" s="40"/>
      <c r="C198" s="41"/>
      <c r="D198" s="42"/>
      <c r="E198" s="43"/>
      <c r="F198" s="44"/>
      <c r="G198" s="45"/>
      <c r="H198" s="46"/>
      <c r="I198" s="47"/>
      <c r="J198" s="47"/>
      <c r="K198" s="47"/>
      <c r="L198" s="47"/>
      <c r="M198" s="47"/>
      <c r="N198" s="47"/>
      <c r="O198" s="47"/>
      <c r="P198" s="48"/>
      <c r="Q198" s="49"/>
      <c r="R198" s="49"/>
    </row>
    <row r="199" spans="2:18" x14ac:dyDescent="0.3">
      <c r="B199" s="40"/>
      <c r="C199" s="41"/>
      <c r="D199" s="42"/>
      <c r="E199" s="43"/>
      <c r="F199" s="44"/>
      <c r="G199" s="45"/>
      <c r="H199" s="46"/>
      <c r="I199" s="47"/>
      <c r="J199" s="47"/>
      <c r="K199" s="47"/>
      <c r="L199" s="47"/>
      <c r="M199" s="47"/>
      <c r="N199" s="47"/>
      <c r="O199" s="47"/>
      <c r="P199" s="48"/>
      <c r="Q199" s="49"/>
      <c r="R199" s="49"/>
    </row>
    <row r="200" spans="2:18" x14ac:dyDescent="0.3">
      <c r="B200" s="40"/>
      <c r="C200" s="41"/>
      <c r="D200" s="42"/>
      <c r="E200" s="43"/>
      <c r="F200" s="44"/>
      <c r="G200" s="45"/>
      <c r="H200" s="46"/>
      <c r="I200" s="47"/>
      <c r="J200" s="47"/>
      <c r="K200" s="47"/>
      <c r="L200" s="47"/>
    </row>
    <row r="201" spans="2:18" ht="21" x14ac:dyDescent="0.3">
      <c r="D201" s="653" t="s">
        <v>15</v>
      </c>
      <c r="E201" s="653"/>
      <c r="F201" s="653"/>
      <c r="G201" s="653"/>
      <c r="H201" s="653"/>
      <c r="I201" s="653"/>
      <c r="J201" s="653"/>
      <c r="K201" s="653"/>
      <c r="L201" s="653"/>
    </row>
    <row r="202" spans="2:18" ht="15.6" x14ac:dyDescent="0.3">
      <c r="D202" s="73" t="s">
        <v>0</v>
      </c>
      <c r="E202" s="74" t="s">
        <v>26</v>
      </c>
      <c r="F202" s="74" t="s">
        <v>16</v>
      </c>
      <c r="G202" s="74" t="s">
        <v>5</v>
      </c>
      <c r="H202" s="74" t="s">
        <v>17</v>
      </c>
      <c r="I202" s="74" t="s">
        <v>7</v>
      </c>
      <c r="J202" s="75" t="s">
        <v>18</v>
      </c>
      <c r="K202" s="75" t="s">
        <v>19</v>
      </c>
      <c r="L202" s="76" t="s">
        <v>20</v>
      </c>
    </row>
    <row r="203" spans="2:18" x14ac:dyDescent="0.3">
      <c r="D203" s="50">
        <v>45291</v>
      </c>
      <c r="E203" s="208"/>
      <c r="F203" s="207" t="s">
        <v>2055</v>
      </c>
      <c r="G203" s="81">
        <f>extracto_banco_mes12[[#This Row],[IVA 21%]]*100/21</f>
        <v>64185.047619047618</v>
      </c>
      <c r="H203" s="81">
        <v>13478.86</v>
      </c>
      <c r="I203" s="81"/>
      <c r="J203" s="81">
        <v>22359.9</v>
      </c>
      <c r="K203" s="81">
        <v>1842.89</v>
      </c>
      <c r="L203" s="81"/>
    </row>
    <row r="204" spans="2:18" x14ac:dyDescent="0.3">
      <c r="D204" s="50">
        <v>45291</v>
      </c>
      <c r="E204" s="208"/>
      <c r="F204" s="207" t="s">
        <v>1933</v>
      </c>
      <c r="G204" s="81">
        <f>extracto_banco_mes12[[#This Row],[IVA 21%]]*100/21</f>
        <v>1837.5714285714287</v>
      </c>
      <c r="H204" s="81">
        <v>385.89</v>
      </c>
      <c r="I204" s="81"/>
      <c r="J204" s="81">
        <v>4756.3499999999995</v>
      </c>
      <c r="K204" s="81"/>
      <c r="L204" s="81"/>
    </row>
    <row r="205" spans="2:18" x14ac:dyDescent="0.3">
      <c r="D205" s="50">
        <v>45291</v>
      </c>
      <c r="E205" s="208"/>
      <c r="F205" s="207" t="s">
        <v>116</v>
      </c>
      <c r="G205" s="81">
        <f>extracto_banco_mes12[[#This Row],[IVA 21%]]*100/21</f>
        <v>1831.285714285714</v>
      </c>
      <c r="H205" s="81">
        <v>384.56999999999994</v>
      </c>
      <c r="I205" s="81"/>
      <c r="J205" s="81">
        <v>10218.99</v>
      </c>
      <c r="K205" s="81"/>
      <c r="L205" s="81"/>
    </row>
    <row r="206" spans="2:18" x14ac:dyDescent="0.3">
      <c r="D206" s="50">
        <v>45291</v>
      </c>
      <c r="E206" s="208"/>
      <c r="F206" s="207" t="s">
        <v>2056</v>
      </c>
      <c r="G206" s="81">
        <f>extracto_banco_mes12[[#This Row],[IVA 21%]]*100/21</f>
        <v>52500</v>
      </c>
      <c r="H206" s="81">
        <v>11025</v>
      </c>
      <c r="I206" s="81"/>
      <c r="J206" s="81"/>
      <c r="K206" s="81">
        <v>1575</v>
      </c>
      <c r="L206" s="81"/>
    </row>
    <row r="207" spans="2:18" x14ac:dyDescent="0.3">
      <c r="D207" s="50">
        <v>45291</v>
      </c>
      <c r="E207" s="208"/>
      <c r="F207" s="207" t="s">
        <v>117</v>
      </c>
      <c r="G207" s="81">
        <f>extracto_banco_mes12[[#This Row],[IVA 21%]]*100/21+extracto_banco_mes12[[#This Row],[IVA 10,5%]]*100/10.5</f>
        <v>1386670.6190476189</v>
      </c>
      <c r="H207" s="81">
        <v>48728.25</v>
      </c>
      <c r="I207" s="81">
        <v>121236.28999999998</v>
      </c>
      <c r="J207" s="81"/>
      <c r="K207" s="81">
        <v>23059.391692799996</v>
      </c>
      <c r="L207" s="81"/>
      <c r="N207">
        <f>extracto_banco_mes12[[#This Row],[IVA 10,5%]]*100/10.5</f>
        <v>1154631.3333333333</v>
      </c>
    </row>
    <row r="208" spans="2:18" x14ac:dyDescent="0.3">
      <c r="D208" s="50">
        <v>45291</v>
      </c>
      <c r="E208" s="208"/>
      <c r="F208" s="207" t="s">
        <v>2057</v>
      </c>
      <c r="G208" s="81">
        <f>extracto_banco_mes12[[#This Row],[IVA 21%]]*100/21</f>
        <v>1700</v>
      </c>
      <c r="H208" s="81">
        <v>357</v>
      </c>
      <c r="I208" s="81"/>
      <c r="J208" s="81"/>
      <c r="K208" s="81"/>
      <c r="L208" s="81"/>
    </row>
    <row r="209" spans="4:12" x14ac:dyDescent="0.3">
      <c r="D209" s="50">
        <v>45291</v>
      </c>
      <c r="E209" s="208"/>
      <c r="F209" s="207" t="s">
        <v>115</v>
      </c>
      <c r="G209" s="81">
        <f>extracto_banco_mes12[[#This Row],[IVA 21%]]*100/21</f>
        <v>43026.523809523809</v>
      </c>
      <c r="H209" s="81">
        <v>9035.57</v>
      </c>
      <c r="I209" s="81"/>
      <c r="J209" s="81"/>
      <c r="K209" s="81">
        <v>625.19000000000005</v>
      </c>
      <c r="L209" s="81"/>
    </row>
    <row r="210" spans="4:12" x14ac:dyDescent="0.3">
      <c r="D210" s="50">
        <v>45291</v>
      </c>
      <c r="E210" s="208"/>
      <c r="F210" s="80" t="s">
        <v>118</v>
      </c>
      <c r="G210" s="81">
        <f>extracto_banco_mes12[[#This Row],[IVA 21%]]*100/21</f>
        <v>18122.952380952382</v>
      </c>
      <c r="H210" s="81">
        <v>3805.8199999999997</v>
      </c>
      <c r="I210" s="81"/>
      <c r="J210" s="81"/>
      <c r="K210" s="81">
        <v>542.37</v>
      </c>
      <c r="L210" s="81"/>
    </row>
    <row r="211" spans="4:12" x14ac:dyDescent="0.3">
      <c r="D211" s="50">
        <v>45291</v>
      </c>
      <c r="E211" s="208"/>
      <c r="F211" s="80" t="s">
        <v>2058</v>
      </c>
      <c r="G211" s="81">
        <f>extracto_banco_mes12[[#This Row],[IVA 21%]]*100/21</f>
        <v>1500</v>
      </c>
      <c r="H211" s="81">
        <v>315</v>
      </c>
      <c r="I211" s="81"/>
      <c r="J211" s="81"/>
      <c r="K211" s="81"/>
      <c r="L211" s="81"/>
    </row>
    <row r="212" spans="4:12" x14ac:dyDescent="0.3">
      <c r="D212" s="50"/>
      <c r="E212" s="79"/>
      <c r="F212" s="80"/>
      <c r="G212" s="81"/>
      <c r="H212" s="81"/>
      <c r="I212" s="81"/>
      <c r="J212" s="81"/>
      <c r="K212" s="81"/>
      <c r="L212" s="81"/>
    </row>
    <row r="213" spans="4:12" x14ac:dyDescent="0.3">
      <c r="D213" s="636" t="s">
        <v>103</v>
      </c>
      <c r="E213" s="637"/>
      <c r="F213" s="637"/>
      <c r="G213" s="638">
        <f>SUBTOTAL(109,extracto_banco_mes12[NETO])</f>
        <v>1571374</v>
      </c>
      <c r="H213" s="638">
        <f>SUBTOTAL(109,extracto_banco_mes12[IVA 21%])</f>
        <v>87515.960000000021</v>
      </c>
      <c r="I213" s="638">
        <f>SUBTOTAL(109,extracto_banco_mes12[IVA 10,5%])</f>
        <v>121236.28999999998</v>
      </c>
      <c r="J213" s="638">
        <f>SUBTOTAL(109,extracto_banco_mes12[RET IIBB CABA])</f>
        <v>37335.24</v>
      </c>
      <c r="K213" s="638">
        <f>SUBTOTAL(109,extracto_banco_mes12[PERC IVA])</f>
        <v>27644.841692799993</v>
      </c>
      <c r="L213" s="638">
        <f>SUBTOTAL(109,extracto_banco_mes12[PERC IIBB])</f>
        <v>0</v>
      </c>
    </row>
    <row r="217" spans="4:12" ht="21" x14ac:dyDescent="0.3">
      <c r="D217" s="653" t="s">
        <v>1141</v>
      </c>
      <c r="E217" s="653"/>
      <c r="F217" s="653"/>
      <c r="G217" s="653"/>
      <c r="H217" s="653"/>
      <c r="I217" s="653"/>
      <c r="J217" s="653"/>
      <c r="K217" s="653"/>
    </row>
    <row r="218" spans="4:12" x14ac:dyDescent="0.3">
      <c r="D218" s="51" t="s">
        <v>0</v>
      </c>
      <c r="E218" s="51" t="s">
        <v>2</v>
      </c>
      <c r="F218" s="51" t="s">
        <v>74</v>
      </c>
      <c r="G218" s="51" t="s">
        <v>3</v>
      </c>
      <c r="H218" s="51" t="s">
        <v>4</v>
      </c>
      <c r="I218" s="52" t="s">
        <v>10</v>
      </c>
      <c r="J218" s="51" t="s">
        <v>13</v>
      </c>
      <c r="K218" s="51" t="s">
        <v>38</v>
      </c>
    </row>
    <row r="219" spans="4:12" x14ac:dyDescent="0.3">
      <c r="D219" s="629">
        <v>45261</v>
      </c>
      <c r="E219" s="630">
        <v>1</v>
      </c>
      <c r="F219" s="631">
        <v>9</v>
      </c>
      <c r="G219" s="632">
        <v>20394167216</v>
      </c>
      <c r="H219" s="629" t="str">
        <f>IFERROR(IF(factura_c_mes12[[#This Row],[CUIT]]="","-",VLOOKUP(factura_c_mes12[[#This Row],[CUIT]],Lista_CUIT[#All],2,0)),"CUIT NO CARGADO")</f>
        <v>CASTILLO SANTIAGO JESUS</v>
      </c>
      <c r="I219" s="633">
        <v>282500</v>
      </c>
      <c r="J219" s="634">
        <f>IFERROR(IF(factura_c_mes12[[#This Row],[CUIT]]="","-",VLOOKUP(factura_c_mes12[[#This Row],[CUIT]],Lista_CUIT[#All],3,0)),"CUIT NO CARGADO")</f>
        <v>0</v>
      </c>
      <c r="K219" s="634">
        <f>IFERROR(IF(factura_c_mes12[[#This Row],[CUIT]]="","-",VLOOKUP(factura_c_mes12[[#This Row],[CUIT]],Lista_CUIT[#All],4,0)),"CUIT NO CARGADO")</f>
        <v>0</v>
      </c>
    </row>
    <row r="220" spans="4:12" x14ac:dyDescent="0.3">
      <c r="D220" s="597">
        <v>45261</v>
      </c>
      <c r="E220" s="589">
        <v>3</v>
      </c>
      <c r="F220" s="590">
        <v>239</v>
      </c>
      <c r="G220" s="591">
        <v>20226549758</v>
      </c>
      <c r="H220" s="597" t="str">
        <f>IFERROR(IF(factura_c_mes12[[#This Row],[CUIT]]="","-",VLOOKUP(factura_c_mes12[[#This Row],[CUIT]],Lista_CUIT[#All],2,0)),"CUIT NO CARGADO")</f>
        <v>JANEIRO VERONICA BELEN</v>
      </c>
      <c r="I220" s="599">
        <v>160000</v>
      </c>
      <c r="J220" s="596">
        <f>IFERROR(IF(factura_c_mes12[[#This Row],[CUIT]]="","-",VLOOKUP(factura_c_mes12[[#This Row],[CUIT]],Lista_CUIT[#All],3,0)),"CUIT NO CARGADO")</f>
        <v>0</v>
      </c>
      <c r="K220" s="596">
        <f>IFERROR(IF(factura_c_mes12[[#This Row],[CUIT]]="","-",VLOOKUP(factura_c_mes12[[#This Row],[CUIT]],Lista_CUIT[#All],4,0)),"CUIT NO CARGADO")</f>
        <v>0</v>
      </c>
    </row>
    <row r="221" spans="4:12" x14ac:dyDescent="0.3">
      <c r="D221" s="597">
        <v>45264</v>
      </c>
      <c r="E221" s="589">
        <v>3</v>
      </c>
      <c r="F221" s="590">
        <v>797</v>
      </c>
      <c r="G221" s="591">
        <v>20086277523</v>
      </c>
      <c r="H221" s="597" t="str">
        <f>IFERROR(IF(factura_c_mes12[[#This Row],[CUIT]]="","-",VLOOKUP(factura_c_mes12[[#This Row],[CUIT]],Lista_CUIT[#All],2,0)),"CUIT NO CARGADO")</f>
        <v>BOTINDARI JUAN CARLOS</v>
      </c>
      <c r="I221" s="599">
        <v>140000</v>
      </c>
      <c r="J221" s="596" t="str">
        <f>IFERROR(IF(factura_c_mes12[[#This Row],[CUIT]]="","-",VLOOKUP(factura_c_mes12[[#This Row],[CUIT]],Lista_CUIT[#All],3,0)),"CUIT NO CARGADO")</f>
        <v>HONORARIOS</v>
      </c>
      <c r="K221" s="596" t="str">
        <f>IFERROR(IF(factura_c_mes12[[#This Row],[CUIT]]="","-",VLOOKUP(factura_c_mes12[[#This Row],[CUIT]],Lista_CUIT[#All],4,0)),"CUIT NO CARGADO")</f>
        <v>CABA</v>
      </c>
    </row>
    <row r="222" spans="4:12" x14ac:dyDescent="0.3">
      <c r="D222" s="597">
        <v>45264</v>
      </c>
      <c r="E222" s="589">
        <v>2</v>
      </c>
      <c r="F222" s="590">
        <v>282</v>
      </c>
      <c r="G222" s="591">
        <v>27206941419</v>
      </c>
      <c r="H222" s="597" t="str">
        <f>IFERROR(IF(factura_c_mes12[[#This Row],[CUIT]]="","-",VLOOKUP(factura_c_mes12[[#This Row],[CUIT]],Lista_CUIT[#All],2,0)),"CUIT NO CARGADO")</f>
        <v>DOBARRO PAULA MARCELA</v>
      </c>
      <c r="I222" s="599">
        <v>160000</v>
      </c>
      <c r="J222" s="596">
        <f>IFERROR(IF(factura_c_mes12[[#This Row],[CUIT]]="","-",VLOOKUP(factura_c_mes12[[#This Row],[CUIT]],Lista_CUIT[#All],3,0)),"CUIT NO CARGADO")</f>
        <v>0</v>
      </c>
      <c r="K222" s="596">
        <f>IFERROR(IF(factura_c_mes12[[#This Row],[CUIT]]="","-",VLOOKUP(factura_c_mes12[[#This Row],[CUIT]],Lista_CUIT[#All],4,0)),"CUIT NO CARGADO")</f>
        <v>0</v>
      </c>
    </row>
    <row r="223" spans="4:12" x14ac:dyDescent="0.3">
      <c r="D223" s="597">
        <v>45264</v>
      </c>
      <c r="E223" s="589">
        <v>2</v>
      </c>
      <c r="F223" s="590">
        <v>3889</v>
      </c>
      <c r="G223" s="591">
        <v>20136536320</v>
      </c>
      <c r="H223" s="597" t="str">
        <f>IFERROR(IF(factura_c_mes12[[#This Row],[CUIT]]="","-",VLOOKUP(factura_c_mes12[[#This Row],[CUIT]],Lista_CUIT[#All],2,0)),"CUIT NO CARGADO")</f>
        <v>FONTENLA ERNESTO MARIO</v>
      </c>
      <c r="I223" s="599">
        <v>9640</v>
      </c>
      <c r="J223" s="596" t="str">
        <f>IFERROR(IF(factura_c_mes12[[#This Row],[CUIT]]="","-",VLOOKUP(factura_c_mes12[[#This Row],[CUIT]],Lista_CUIT[#All],3,0)),"CUIT NO CARGADO")</f>
        <v>INSUMO</v>
      </c>
      <c r="K223" s="596" t="str">
        <f>IFERROR(IF(factura_c_mes12[[#This Row],[CUIT]]="","-",VLOOKUP(factura_c_mes12[[#This Row],[CUIT]],Lista_CUIT[#All],4,0)),"CUIT NO CARGADO")</f>
        <v>CABA</v>
      </c>
    </row>
    <row r="224" spans="4:12" x14ac:dyDescent="0.3">
      <c r="D224" s="629">
        <v>45264</v>
      </c>
      <c r="E224" s="630">
        <v>3</v>
      </c>
      <c r="F224" s="631">
        <v>24</v>
      </c>
      <c r="G224" s="632">
        <v>20225038717</v>
      </c>
      <c r="H224" s="629" t="str">
        <f>IFERROR(IF(factura_c_mes12[[#This Row],[CUIT]]="","-",VLOOKUP(factura_c_mes12[[#This Row],[CUIT]],Lista_CUIT[#All],2,0)),"CUIT NO CARGADO")</f>
        <v>HERMAN ALEJANDRO GUSTAVO</v>
      </c>
      <c r="I224" s="633">
        <v>66000</v>
      </c>
      <c r="J224" s="634">
        <f>IFERROR(IF(factura_c_mes12[[#This Row],[CUIT]]="","-",VLOOKUP(factura_c_mes12[[#This Row],[CUIT]],Lista_CUIT[#All],3,0)),"CUIT NO CARGADO")</f>
        <v>0</v>
      </c>
      <c r="K224" s="634">
        <f>IFERROR(IF(factura_c_mes12[[#This Row],[CUIT]]="","-",VLOOKUP(factura_c_mes12[[#This Row],[CUIT]],Lista_CUIT[#All],4,0)),"CUIT NO CARGADO")</f>
        <v>0</v>
      </c>
    </row>
    <row r="225" spans="4:11" x14ac:dyDescent="0.3">
      <c r="D225" s="597">
        <v>45264</v>
      </c>
      <c r="E225" s="589">
        <v>2</v>
      </c>
      <c r="F225" s="590">
        <v>3892</v>
      </c>
      <c r="G225" s="591">
        <v>20136536320</v>
      </c>
      <c r="H225" s="597" t="str">
        <f>IFERROR(IF(factura_c_mes12[[#This Row],[CUIT]]="","-",VLOOKUP(factura_c_mes12[[#This Row],[CUIT]],Lista_CUIT[#All],2,0)),"CUIT NO CARGADO")</f>
        <v>FONTENLA ERNESTO MARIO</v>
      </c>
      <c r="I225" s="599">
        <v>2520</v>
      </c>
      <c r="J225" s="596" t="str">
        <f>IFERROR(IF(factura_c_mes12[[#This Row],[CUIT]]="","-",VLOOKUP(factura_c_mes12[[#This Row],[CUIT]],Lista_CUIT[#All],3,0)),"CUIT NO CARGADO")</f>
        <v>INSUMO</v>
      </c>
      <c r="K225" s="596" t="str">
        <f>IFERROR(IF(factura_c_mes12[[#This Row],[CUIT]]="","-",VLOOKUP(factura_c_mes12[[#This Row],[CUIT]],Lista_CUIT[#All],4,0)),"CUIT NO CARGADO")</f>
        <v>CABA</v>
      </c>
    </row>
    <row r="226" spans="4:11" x14ac:dyDescent="0.3">
      <c r="D226" s="629">
        <v>45266</v>
      </c>
      <c r="E226" s="630">
        <v>1</v>
      </c>
      <c r="F226" s="631">
        <v>99</v>
      </c>
      <c r="G226" s="632">
        <v>20226444956</v>
      </c>
      <c r="H226" s="629" t="str">
        <f>IFERROR(IF(factura_c_mes12[[#This Row],[CUIT]]="","-",VLOOKUP(factura_c_mes12[[#This Row],[CUIT]],Lista_CUIT[#All],2,0)),"CUIT NO CARGADO")</f>
        <v>JULIO FERNANDO FABIAN</v>
      </c>
      <c r="I226" s="633">
        <v>60000</v>
      </c>
      <c r="J226" s="634">
        <f>IFERROR(IF(factura_c_mes12[[#This Row],[CUIT]]="","-",VLOOKUP(factura_c_mes12[[#This Row],[CUIT]],Lista_CUIT[#All],3,0)),"CUIT NO CARGADO")</f>
        <v>0</v>
      </c>
      <c r="K226" s="634">
        <f>IFERROR(IF(factura_c_mes12[[#This Row],[CUIT]]="","-",VLOOKUP(factura_c_mes12[[#This Row],[CUIT]],Lista_CUIT[#All],4,0)),"CUIT NO CARGADO")</f>
        <v>0</v>
      </c>
    </row>
    <row r="227" spans="4:11" x14ac:dyDescent="0.3">
      <c r="D227" s="597">
        <v>45266</v>
      </c>
      <c r="E227" s="589">
        <v>1</v>
      </c>
      <c r="F227" s="590">
        <v>76</v>
      </c>
      <c r="G227" s="591">
        <v>20383353263</v>
      </c>
      <c r="H227" s="597" t="str">
        <f>IFERROR(IF(factura_c_mes12[[#This Row],[CUIT]]="","-",VLOOKUP(factura_c_mes12[[#This Row],[CUIT]],Lista_CUIT[#All],2,0)),"CUIT NO CARGADO")</f>
        <v>LOZA MIGUEL MATEO</v>
      </c>
      <c r="I227" s="599">
        <v>48000</v>
      </c>
      <c r="J227" s="596">
        <f>IFERROR(IF(factura_c_mes12[[#This Row],[CUIT]]="","-",VLOOKUP(factura_c_mes12[[#This Row],[CUIT]],Lista_CUIT[#All],3,0)),"CUIT NO CARGADO")</f>
        <v>0</v>
      </c>
      <c r="K227" s="596">
        <f>IFERROR(IF(factura_c_mes12[[#This Row],[CUIT]]="","-",VLOOKUP(factura_c_mes12[[#This Row],[CUIT]],Lista_CUIT[#All],4,0)),"CUIT NO CARGADO")</f>
        <v>0</v>
      </c>
    </row>
    <row r="228" spans="4:11" x14ac:dyDescent="0.3">
      <c r="D228" s="597">
        <v>45266</v>
      </c>
      <c r="E228" s="589">
        <v>1</v>
      </c>
      <c r="F228" s="590">
        <v>77</v>
      </c>
      <c r="G228" s="591">
        <v>20383353263</v>
      </c>
      <c r="H228" s="597" t="str">
        <f>IFERROR(IF(factura_c_mes12[[#This Row],[CUIT]]="","-",VLOOKUP(factura_c_mes12[[#This Row],[CUIT]],Lista_CUIT[#All],2,0)),"CUIT NO CARGADO")</f>
        <v>LOZA MIGUEL MATEO</v>
      </c>
      <c r="I228" s="599">
        <v>48000</v>
      </c>
      <c r="J228" s="596">
        <f>IFERROR(IF(factura_c_mes12[[#This Row],[CUIT]]="","-",VLOOKUP(factura_c_mes12[[#This Row],[CUIT]],Lista_CUIT[#All],3,0)),"CUIT NO CARGADO")</f>
        <v>0</v>
      </c>
      <c r="K228" s="596">
        <f>IFERROR(IF(factura_c_mes12[[#This Row],[CUIT]]="","-",VLOOKUP(factura_c_mes12[[#This Row],[CUIT]],Lista_CUIT[#All],4,0)),"CUIT NO CARGADO")</f>
        <v>0</v>
      </c>
    </row>
    <row r="229" spans="4:11" x14ac:dyDescent="0.3">
      <c r="D229" s="629">
        <v>45266</v>
      </c>
      <c r="E229" s="630">
        <v>3</v>
      </c>
      <c r="F229" s="631">
        <v>25</v>
      </c>
      <c r="G229" s="632">
        <v>20225038717</v>
      </c>
      <c r="H229" s="629" t="str">
        <f>IFERROR(IF(factura_c_mes12[[#This Row],[CUIT]]="","-",VLOOKUP(factura_c_mes12[[#This Row],[CUIT]],Lista_CUIT[#All],2,0)),"CUIT NO CARGADO")</f>
        <v>HERMAN ALEJANDRO GUSTAVO</v>
      </c>
      <c r="I229" s="633">
        <v>134000</v>
      </c>
      <c r="J229" s="634">
        <f>IFERROR(IF(factura_c_mes12[[#This Row],[CUIT]]="","-",VLOOKUP(factura_c_mes12[[#This Row],[CUIT]],Lista_CUIT[#All],3,0)),"CUIT NO CARGADO")</f>
        <v>0</v>
      </c>
      <c r="K229" s="634">
        <f>IFERROR(IF(factura_c_mes12[[#This Row],[CUIT]]="","-",VLOOKUP(factura_c_mes12[[#This Row],[CUIT]],Lista_CUIT[#All],4,0)),"CUIT NO CARGADO")</f>
        <v>0</v>
      </c>
    </row>
    <row r="230" spans="4:11" x14ac:dyDescent="0.3">
      <c r="D230" s="597">
        <v>45266</v>
      </c>
      <c r="E230" s="589">
        <v>3</v>
      </c>
      <c r="F230" s="590">
        <v>448</v>
      </c>
      <c r="G230" s="591">
        <v>20210551574</v>
      </c>
      <c r="H230" s="597" t="str">
        <f>IFERROR(IF(factura_c_mes12[[#This Row],[CUIT]]="","-",VLOOKUP(factura_c_mes12[[#This Row],[CUIT]],Lista_CUIT[#All],2,0)),"CUIT NO CARGADO")</f>
        <v>REUS JORGE DIEGO</v>
      </c>
      <c r="I230" s="599">
        <v>75000</v>
      </c>
      <c r="J230" s="596" t="str">
        <f>IFERROR(IF(factura_c_mes12[[#This Row],[CUIT]]="","-",VLOOKUP(factura_c_mes12[[#This Row],[CUIT]],Lista_CUIT[#All],3,0)),"CUIT NO CARGADO")</f>
        <v>HONORARIOS PROFESIONALES</v>
      </c>
      <c r="K230" s="596">
        <f>IFERROR(IF(factura_c_mes12[[#This Row],[CUIT]]="","-",VLOOKUP(factura_c_mes12[[#This Row],[CUIT]],Lista_CUIT[#All],4,0)),"CUIT NO CARGADO")</f>
        <v>0</v>
      </c>
    </row>
    <row r="231" spans="4:11" x14ac:dyDescent="0.3">
      <c r="D231" s="597">
        <v>45266</v>
      </c>
      <c r="E231" s="589">
        <v>2</v>
      </c>
      <c r="F231" s="590">
        <v>3893</v>
      </c>
      <c r="G231" s="591">
        <v>20136536320</v>
      </c>
      <c r="H231" s="597" t="str">
        <f>IFERROR(IF(factura_c_mes12[[#This Row],[CUIT]]="","-",VLOOKUP(factura_c_mes12[[#This Row],[CUIT]],Lista_CUIT[#All],2,0)),"CUIT NO CARGADO")</f>
        <v>FONTENLA ERNESTO MARIO</v>
      </c>
      <c r="I231" s="599">
        <v>400</v>
      </c>
      <c r="J231" s="596" t="str">
        <f>IFERROR(IF(factura_c_mes12[[#This Row],[CUIT]]="","-",VLOOKUP(factura_c_mes12[[#This Row],[CUIT]],Lista_CUIT[#All],3,0)),"CUIT NO CARGADO")</f>
        <v>INSUMO</v>
      </c>
      <c r="K231" s="596" t="str">
        <f>IFERROR(IF(factura_c_mes12[[#This Row],[CUIT]]="","-",VLOOKUP(factura_c_mes12[[#This Row],[CUIT]],Lista_CUIT[#All],4,0)),"CUIT NO CARGADO")</f>
        <v>CABA</v>
      </c>
    </row>
    <row r="232" spans="4:11" x14ac:dyDescent="0.3">
      <c r="D232" s="597">
        <v>45266</v>
      </c>
      <c r="E232" s="589">
        <v>2</v>
      </c>
      <c r="F232" s="590">
        <v>1348</v>
      </c>
      <c r="G232" s="591">
        <v>23277121859</v>
      </c>
      <c r="H232" s="597" t="str">
        <f>IFERROR(IF(factura_c_mes12[[#This Row],[CUIT]]="","-",VLOOKUP(factura_c_mes12[[#This Row],[CUIT]],Lista_CUIT[#All],2,0)),"CUIT NO CARGADO")</f>
        <v>BARCELONAMOTOS</v>
      </c>
      <c r="I232" s="599">
        <v>73550</v>
      </c>
      <c r="J232" s="596">
        <f>IFERROR(IF(factura_c_mes12[[#This Row],[CUIT]]="","-",VLOOKUP(factura_c_mes12[[#This Row],[CUIT]],Lista_CUIT[#All],3,0)),"CUIT NO CARGADO")</f>
        <v>0</v>
      </c>
      <c r="K232" s="596">
        <f>IFERROR(IF(factura_c_mes12[[#This Row],[CUIT]]="","-",VLOOKUP(factura_c_mes12[[#This Row],[CUIT]],Lista_CUIT[#All],4,0)),"CUIT NO CARGADO")</f>
        <v>0</v>
      </c>
    </row>
    <row r="233" spans="4:11" x14ac:dyDescent="0.3">
      <c r="D233" s="629">
        <v>45267</v>
      </c>
      <c r="E233" s="630">
        <v>2</v>
      </c>
      <c r="F233" s="631">
        <v>270</v>
      </c>
      <c r="G233" s="632">
        <v>23319210954</v>
      </c>
      <c r="H233" s="629" t="str">
        <f>IFERROR(IF(factura_c_mes12[[#This Row],[CUIT]]="","-",VLOOKUP(factura_c_mes12[[#This Row],[CUIT]],Lista_CUIT[#All],2,0)),"CUIT NO CARGADO")</f>
        <v>CAFFARATTI ROMINA PAOLA</v>
      </c>
      <c r="I233" s="633">
        <v>69000</v>
      </c>
      <c r="J233" s="634" t="str">
        <f>IFERROR(IF(factura_c_mes12[[#This Row],[CUIT]]="","-",VLOOKUP(factura_c_mes12[[#This Row],[CUIT]],Lista_CUIT[#All],3,0)),"CUIT NO CARGADO")</f>
        <v>HONORARIOS</v>
      </c>
      <c r="K233" s="634">
        <f>IFERROR(IF(factura_c_mes12[[#This Row],[CUIT]]="","-",VLOOKUP(factura_c_mes12[[#This Row],[CUIT]],Lista_CUIT[#All],4,0)),"CUIT NO CARGADO")</f>
        <v>0</v>
      </c>
    </row>
    <row r="234" spans="4:11" x14ac:dyDescent="0.3">
      <c r="D234" s="635">
        <v>45268</v>
      </c>
      <c r="E234" s="630">
        <v>31</v>
      </c>
      <c r="F234" s="631">
        <v>1472234</v>
      </c>
      <c r="G234" s="632">
        <v>30710114176</v>
      </c>
      <c r="H234" s="632" t="str">
        <f>IFERROR(IF(factura_c_mes12[[#This Row],[CUIT]]="","-",VLOOKUP(factura_c_mes12[[#This Row],[CUIT]],Lista_CUIT[#All],2,0)),"CUIT NO CARGADO")</f>
        <v>SYMONDS SA.</v>
      </c>
      <c r="I234" s="633">
        <v>151999</v>
      </c>
      <c r="J234" s="634" t="str">
        <f>IFERROR(IF(factura_c_mes12[[#This Row],[CUIT]]="","-",VLOOKUP(factura_c_mes12[[#This Row],[CUIT]],Lista_CUIT[#All],3,0)),"CUIT NO CARGADO")</f>
        <v xml:space="preserve">Gastos mantenimiento </v>
      </c>
      <c r="K234" s="634">
        <f>IFERROR(IF(factura_c_mes12[[#This Row],[CUIT]]="","-",VLOOKUP(factura_c_mes12[[#This Row],[CUIT]],Lista_CUIT[#All],4,0)),"CUIT NO CARGADO")</f>
        <v>0</v>
      </c>
    </row>
    <row r="235" spans="4:11" x14ac:dyDescent="0.3">
      <c r="D235" s="597">
        <v>45271</v>
      </c>
      <c r="E235" s="589">
        <v>2</v>
      </c>
      <c r="F235" s="590">
        <v>317</v>
      </c>
      <c r="G235" s="591">
        <v>20300814094</v>
      </c>
      <c r="H235" s="597" t="str">
        <f>IFERROR(IF(factura_c_mes12[[#This Row],[CUIT]]="","-",VLOOKUP(factura_c_mes12[[#This Row],[CUIT]],Lista_CUIT[#All],2,0)),"CUIT NO CARGADO")</f>
        <v>FARRAPEIRA OSCAR MAXIMO</v>
      </c>
      <c r="I235" s="599">
        <v>456554.4</v>
      </c>
      <c r="J235" s="596">
        <f>IFERROR(IF(factura_c_mes12[[#This Row],[CUIT]]="","-",VLOOKUP(factura_c_mes12[[#This Row],[CUIT]],Lista_CUIT[#All],3,0)),"CUIT NO CARGADO")</f>
        <v>0</v>
      </c>
      <c r="K235" s="596">
        <f>IFERROR(IF(factura_c_mes12[[#This Row],[CUIT]]="","-",VLOOKUP(factura_c_mes12[[#This Row],[CUIT]],Lista_CUIT[#All],4,0)),"CUIT NO CARGADO")</f>
        <v>0</v>
      </c>
    </row>
    <row r="236" spans="4:11" x14ac:dyDescent="0.3">
      <c r="D236" s="635">
        <v>45272</v>
      </c>
      <c r="E236" s="630">
        <v>31</v>
      </c>
      <c r="F236" s="631">
        <v>90459</v>
      </c>
      <c r="G236" s="632">
        <v>30710114176</v>
      </c>
      <c r="H236" s="632" t="str">
        <f>IFERROR(IF(factura_c_mes12[[#This Row],[CUIT]]="","-",VLOOKUP(factura_c_mes12[[#This Row],[CUIT]],Lista_CUIT[#All],2,0)),"CUIT NO CARGADO")</f>
        <v>SYMONDS SA.</v>
      </c>
      <c r="I236" s="633">
        <v>-151999</v>
      </c>
      <c r="J236" s="634" t="str">
        <f>IFERROR(IF(factura_c_mes12[[#This Row],[CUIT]]="","-",VLOOKUP(factura_c_mes12[[#This Row],[CUIT]],Lista_CUIT[#All],3,0)),"CUIT NO CARGADO")</f>
        <v xml:space="preserve">Gastos mantenimiento </v>
      </c>
      <c r="K236" s="634">
        <f>IFERROR(IF(factura_c_mes12[[#This Row],[CUIT]]="","-",VLOOKUP(factura_c_mes12[[#This Row],[CUIT]],Lista_CUIT[#All],4,0)),"CUIT NO CARGADO")</f>
        <v>0</v>
      </c>
    </row>
    <row r="237" spans="4:11" x14ac:dyDescent="0.3">
      <c r="D237" s="629">
        <v>45273</v>
      </c>
      <c r="E237" s="630">
        <v>8</v>
      </c>
      <c r="F237" s="631">
        <v>510</v>
      </c>
      <c r="G237" s="632">
        <v>27409592487</v>
      </c>
      <c r="H237" s="629" t="str">
        <f>IFERROR(IF(factura_c_mes12[[#This Row],[CUIT]]="","-",VLOOKUP(factura_c_mes12[[#This Row],[CUIT]],Lista_CUIT[#All],2,0)),"CUIT NO CARGADO")</f>
        <v>BAUDONE ANTONELLA AGOSTINA</v>
      </c>
      <c r="I237" s="633">
        <v>70400</v>
      </c>
      <c r="J237" s="634">
        <f>IFERROR(IF(factura_c_mes12[[#This Row],[CUIT]]="","-",VLOOKUP(factura_c_mes12[[#This Row],[CUIT]],Lista_CUIT[#All],3,0)),"CUIT NO CARGADO")</f>
        <v>0</v>
      </c>
      <c r="K237" s="634">
        <f>IFERROR(IF(factura_c_mes12[[#This Row],[CUIT]]="","-",VLOOKUP(factura_c_mes12[[#This Row],[CUIT]],Lista_CUIT[#All],4,0)),"CUIT NO CARGADO")</f>
        <v>0</v>
      </c>
    </row>
    <row r="238" spans="4:11" x14ac:dyDescent="0.3">
      <c r="D238" s="597">
        <v>45273</v>
      </c>
      <c r="E238" s="589">
        <v>2</v>
      </c>
      <c r="F238" s="590">
        <v>318</v>
      </c>
      <c r="G238" s="591">
        <v>20300814094</v>
      </c>
      <c r="H238" s="597" t="str">
        <f>IFERROR(IF(factura_c_mes12[[#This Row],[CUIT]]="","-",VLOOKUP(factura_c_mes12[[#This Row],[CUIT]],Lista_CUIT[#All],2,0)),"CUIT NO CARGADO")</f>
        <v>FARRAPEIRA OSCAR MAXIMO</v>
      </c>
      <c r="I238" s="599">
        <v>630048.5</v>
      </c>
      <c r="J238" s="596">
        <f>IFERROR(IF(factura_c_mes12[[#This Row],[CUIT]]="","-",VLOOKUP(factura_c_mes12[[#This Row],[CUIT]],Lista_CUIT[#All],3,0)),"CUIT NO CARGADO")</f>
        <v>0</v>
      </c>
      <c r="K238" s="596">
        <f>IFERROR(IF(factura_c_mes12[[#This Row],[CUIT]]="","-",VLOOKUP(factura_c_mes12[[#This Row],[CUIT]],Lista_CUIT[#All],4,0)),"CUIT NO CARGADO")</f>
        <v>0</v>
      </c>
    </row>
    <row r="239" spans="4:11" x14ac:dyDescent="0.3">
      <c r="D239" s="597">
        <v>45274</v>
      </c>
      <c r="E239" s="589">
        <v>2</v>
      </c>
      <c r="F239" s="590">
        <v>3913</v>
      </c>
      <c r="G239" s="591">
        <v>20136536320</v>
      </c>
      <c r="H239" s="597" t="str">
        <f>IFERROR(IF(factura_c_mes12[[#This Row],[CUIT]]="","-",VLOOKUP(factura_c_mes12[[#This Row],[CUIT]],Lista_CUIT[#All],2,0)),"CUIT NO CARGADO")</f>
        <v>FONTENLA ERNESTO MARIO</v>
      </c>
      <c r="I239" s="599">
        <v>1400</v>
      </c>
      <c r="J239" s="596" t="str">
        <f>IFERROR(IF(factura_c_mes12[[#This Row],[CUIT]]="","-",VLOOKUP(factura_c_mes12[[#This Row],[CUIT]],Lista_CUIT[#All],3,0)),"CUIT NO CARGADO")</f>
        <v>INSUMO</v>
      </c>
      <c r="K239" s="596" t="str">
        <f>IFERROR(IF(factura_c_mes12[[#This Row],[CUIT]]="","-",VLOOKUP(factura_c_mes12[[#This Row],[CUIT]],Lista_CUIT[#All],4,0)),"CUIT NO CARGADO")</f>
        <v>CABA</v>
      </c>
    </row>
    <row r="240" spans="4:11" x14ac:dyDescent="0.3">
      <c r="D240" s="629">
        <v>45274</v>
      </c>
      <c r="E240" s="630">
        <v>2</v>
      </c>
      <c r="F240" s="631">
        <v>41</v>
      </c>
      <c r="G240" s="632">
        <v>20231009524</v>
      </c>
      <c r="H240" s="629" t="str">
        <f>IFERROR(IF(factura_c_mes12[[#This Row],[CUIT]]="","-",VLOOKUP(factura_c_mes12[[#This Row],[CUIT]],Lista_CUIT[#All],2,0)),"CUIT NO CARGADO")</f>
        <v>RAMOS PATRICIO SEBASTIAN</v>
      </c>
      <c r="I240" s="633">
        <v>1040000</v>
      </c>
      <c r="J240" s="634" t="str">
        <f>IFERROR(IF(factura_c_mes12[[#This Row],[CUIT]]="","-",VLOOKUP(factura_c_mes12[[#This Row],[CUIT]],Lista_CUIT[#All],3,0)),"CUIT NO CARGADO")</f>
        <v>Insumo</v>
      </c>
      <c r="K240" s="634" t="str">
        <f>IFERROR(IF(factura_c_mes12[[#This Row],[CUIT]]="","-",VLOOKUP(factura_c_mes12[[#This Row],[CUIT]],Lista_CUIT[#All],4,0)),"CUIT NO CARGADO")</f>
        <v>BUENOS AIRES</v>
      </c>
    </row>
    <row r="241" spans="4:11" x14ac:dyDescent="0.3">
      <c r="D241" s="597">
        <v>45275</v>
      </c>
      <c r="E241" s="589">
        <v>1</v>
      </c>
      <c r="F241" s="590">
        <v>54</v>
      </c>
      <c r="G241" s="591">
        <v>20299505430</v>
      </c>
      <c r="H241" s="597" t="str">
        <f>IFERROR(IF(factura_c_mes12[[#This Row],[CUIT]]="","-",VLOOKUP(factura_c_mes12[[#This Row],[CUIT]],Lista_CUIT[#All],2,0)),"CUIT NO CARGADO")</f>
        <v>PRADO EMILIANO HERNAN</v>
      </c>
      <c r="I241" s="599">
        <v>314749</v>
      </c>
      <c r="J241" s="596">
        <f>IFERROR(IF(factura_c_mes12[[#This Row],[CUIT]]="","-",VLOOKUP(factura_c_mes12[[#This Row],[CUIT]],Lista_CUIT[#All],3,0)),"CUIT NO CARGADO")</f>
        <v>0</v>
      </c>
      <c r="K241" s="596">
        <f>IFERROR(IF(factura_c_mes12[[#This Row],[CUIT]]="","-",VLOOKUP(factura_c_mes12[[#This Row],[CUIT]],Lista_CUIT[#All],4,0)),"CUIT NO CARGADO")</f>
        <v>0</v>
      </c>
    </row>
    <row r="242" spans="4:11" x14ac:dyDescent="0.3">
      <c r="D242" s="597">
        <v>45275</v>
      </c>
      <c r="E242" s="589">
        <v>1</v>
      </c>
      <c r="F242" s="590">
        <v>55</v>
      </c>
      <c r="G242" s="591">
        <v>20299505430</v>
      </c>
      <c r="H242" s="597" t="str">
        <f>IFERROR(IF(factura_c_mes12[[#This Row],[CUIT]]="","-",VLOOKUP(factura_c_mes12[[#This Row],[CUIT]],Lista_CUIT[#All],2,0)),"CUIT NO CARGADO")</f>
        <v>PRADO EMILIANO HERNAN</v>
      </c>
      <c r="I242" s="599">
        <v>177688.8</v>
      </c>
      <c r="J242" s="596">
        <f>IFERROR(IF(factura_c_mes12[[#This Row],[CUIT]]="","-",VLOOKUP(factura_c_mes12[[#This Row],[CUIT]],Lista_CUIT[#All],3,0)),"CUIT NO CARGADO")</f>
        <v>0</v>
      </c>
      <c r="K242" s="596">
        <f>IFERROR(IF(factura_c_mes12[[#This Row],[CUIT]]="","-",VLOOKUP(factura_c_mes12[[#This Row],[CUIT]],Lista_CUIT[#All],4,0)),"CUIT NO CARGADO")</f>
        <v>0</v>
      </c>
    </row>
    <row r="243" spans="4:11" x14ac:dyDescent="0.3">
      <c r="D243" s="597">
        <v>45276</v>
      </c>
      <c r="E243" s="589">
        <v>2</v>
      </c>
      <c r="F243" s="590">
        <v>3917</v>
      </c>
      <c r="G243" s="591">
        <v>20136536320</v>
      </c>
      <c r="H243" s="597" t="str">
        <f>IFERROR(IF(factura_c_mes12[[#This Row],[CUIT]]="","-",VLOOKUP(factura_c_mes12[[#This Row],[CUIT]],Lista_CUIT[#All],2,0)),"CUIT NO CARGADO")</f>
        <v>FONTENLA ERNESTO MARIO</v>
      </c>
      <c r="I243" s="599">
        <v>400</v>
      </c>
      <c r="J243" s="596" t="str">
        <f>IFERROR(IF(factura_c_mes12[[#This Row],[CUIT]]="","-",VLOOKUP(factura_c_mes12[[#This Row],[CUIT]],Lista_CUIT[#All],3,0)),"CUIT NO CARGADO")</f>
        <v>INSUMO</v>
      </c>
      <c r="K243" s="596" t="str">
        <f>IFERROR(IF(factura_c_mes12[[#This Row],[CUIT]]="","-",VLOOKUP(factura_c_mes12[[#This Row],[CUIT]],Lista_CUIT[#All],4,0)),"CUIT NO CARGADO")</f>
        <v>CABA</v>
      </c>
    </row>
    <row r="244" spans="4:11" x14ac:dyDescent="0.3">
      <c r="D244" s="629">
        <v>45277</v>
      </c>
      <c r="E244" s="630">
        <v>1</v>
      </c>
      <c r="F244" s="631">
        <v>103</v>
      </c>
      <c r="G244" s="632">
        <v>20226444956</v>
      </c>
      <c r="H244" s="629" t="str">
        <f>IFERROR(IF(factura_c_mes12[[#This Row],[CUIT]]="","-",VLOOKUP(factura_c_mes12[[#This Row],[CUIT]],Lista_CUIT[#All],2,0)),"CUIT NO CARGADO")</f>
        <v>JULIO FERNANDO FABIAN</v>
      </c>
      <c r="I244" s="633">
        <v>50000</v>
      </c>
      <c r="J244" s="634">
        <f>IFERROR(IF(factura_c_mes12[[#This Row],[CUIT]]="","-",VLOOKUP(factura_c_mes12[[#This Row],[CUIT]],Lista_CUIT[#All],3,0)),"CUIT NO CARGADO")</f>
        <v>0</v>
      </c>
      <c r="K244" s="634">
        <f>IFERROR(IF(factura_c_mes12[[#This Row],[CUIT]]="","-",VLOOKUP(factura_c_mes12[[#This Row],[CUIT]],Lista_CUIT[#All],4,0)),"CUIT NO CARGADO")</f>
        <v>0</v>
      </c>
    </row>
    <row r="245" spans="4:11" x14ac:dyDescent="0.3">
      <c r="D245" s="597">
        <v>45278</v>
      </c>
      <c r="E245" s="589">
        <v>8</v>
      </c>
      <c r="F245" s="590">
        <v>517</v>
      </c>
      <c r="G245" s="591">
        <v>27409592487</v>
      </c>
      <c r="H245" s="597" t="str">
        <f>IFERROR(IF(factura_c_mes12[[#This Row],[CUIT]]="","-",VLOOKUP(factura_c_mes12[[#This Row],[CUIT]],Lista_CUIT[#All],2,0)),"CUIT NO CARGADO")</f>
        <v>BAUDONE ANTONELLA AGOSTINA</v>
      </c>
      <c r="I245" s="599">
        <v>37600</v>
      </c>
      <c r="J245" s="596">
        <f>IFERROR(IF(factura_c_mes12[[#This Row],[CUIT]]="","-",VLOOKUP(factura_c_mes12[[#This Row],[CUIT]],Lista_CUIT[#All],3,0)),"CUIT NO CARGADO")</f>
        <v>0</v>
      </c>
      <c r="K245" s="596">
        <f>IFERROR(IF(factura_c_mes12[[#This Row],[CUIT]]="","-",VLOOKUP(factura_c_mes12[[#This Row],[CUIT]],Lista_CUIT[#All],4,0)),"CUIT NO CARGADO")</f>
        <v>0</v>
      </c>
    </row>
    <row r="246" spans="4:11" x14ac:dyDescent="0.3">
      <c r="D246" s="597">
        <v>45278</v>
      </c>
      <c r="E246" s="589">
        <v>1</v>
      </c>
      <c r="F246" s="590">
        <v>57</v>
      </c>
      <c r="G246" s="591">
        <v>20299505430</v>
      </c>
      <c r="H246" s="597" t="str">
        <f>IFERROR(IF(factura_c_mes12[[#This Row],[CUIT]]="","-",VLOOKUP(factura_c_mes12[[#This Row],[CUIT]],Lista_CUIT[#All],2,0)),"CUIT NO CARGADO")</f>
        <v>PRADO EMILIANO HERNAN</v>
      </c>
      <c r="I246" s="599">
        <v>364844.2</v>
      </c>
      <c r="J246" s="596">
        <f>IFERROR(IF(factura_c_mes12[[#This Row],[CUIT]]="","-",VLOOKUP(factura_c_mes12[[#This Row],[CUIT]],Lista_CUIT[#All],3,0)),"CUIT NO CARGADO")</f>
        <v>0</v>
      </c>
      <c r="K246" s="596">
        <f>IFERROR(IF(factura_c_mes12[[#This Row],[CUIT]]="","-",VLOOKUP(factura_c_mes12[[#This Row],[CUIT]],Lista_CUIT[#All],4,0)),"CUIT NO CARGADO")</f>
        <v>0</v>
      </c>
    </row>
    <row r="247" spans="4:11" x14ac:dyDescent="0.3">
      <c r="D247" s="597">
        <v>45278</v>
      </c>
      <c r="E247" s="589">
        <v>3</v>
      </c>
      <c r="F247" s="590">
        <v>771</v>
      </c>
      <c r="G247" s="591">
        <v>20173025557</v>
      </c>
      <c r="H247" s="597" t="str">
        <f>IFERROR(IF(factura_c_mes12[[#This Row],[CUIT]]="","-",VLOOKUP(factura_c_mes12[[#This Row],[CUIT]],Lista_CUIT[#All],2,0)),"CUIT NO CARGADO")</f>
        <v>MARAUDA HECTOR</v>
      </c>
      <c r="I247" s="599">
        <v>4000</v>
      </c>
      <c r="J247" s="596">
        <f>IFERROR(IF(factura_c_mes12[[#This Row],[CUIT]]="","-",VLOOKUP(factura_c_mes12[[#This Row],[CUIT]],Lista_CUIT[#All],3,0)),"CUIT NO CARGADO")</f>
        <v>0</v>
      </c>
      <c r="K247" s="596">
        <f>IFERROR(IF(factura_c_mes12[[#This Row],[CUIT]]="","-",VLOOKUP(factura_c_mes12[[#This Row],[CUIT]],Lista_CUIT[#All],4,0)),"CUIT NO CARGADO")</f>
        <v>0</v>
      </c>
    </row>
    <row r="248" spans="4:11" x14ac:dyDescent="0.3">
      <c r="D248" s="597">
        <v>45280</v>
      </c>
      <c r="E248" s="589">
        <v>2</v>
      </c>
      <c r="F248" s="590">
        <v>3921</v>
      </c>
      <c r="G248" s="591">
        <v>20136536320</v>
      </c>
      <c r="H248" s="597" t="str">
        <f>IFERROR(IF(factura_c_mes12[[#This Row],[CUIT]]="","-",VLOOKUP(factura_c_mes12[[#This Row],[CUIT]],Lista_CUIT[#All],2,0)),"CUIT NO CARGADO")</f>
        <v>FONTENLA ERNESTO MARIO</v>
      </c>
      <c r="I248" s="599">
        <v>3400</v>
      </c>
      <c r="J248" s="596" t="str">
        <f>IFERROR(IF(factura_c_mes12[[#This Row],[CUIT]]="","-",VLOOKUP(factura_c_mes12[[#This Row],[CUIT]],Lista_CUIT[#All],3,0)),"CUIT NO CARGADO")</f>
        <v>INSUMO</v>
      </c>
      <c r="K248" s="596" t="str">
        <f>IFERROR(IF(factura_c_mes12[[#This Row],[CUIT]]="","-",VLOOKUP(factura_c_mes12[[#This Row],[CUIT]],Lista_CUIT[#All],4,0)),"CUIT NO CARGADO")</f>
        <v>CABA</v>
      </c>
    </row>
    <row r="249" spans="4:11" x14ac:dyDescent="0.3">
      <c r="D249" s="597">
        <v>45284</v>
      </c>
      <c r="E249" s="589">
        <v>2</v>
      </c>
      <c r="F249" s="590">
        <v>319</v>
      </c>
      <c r="G249" s="591">
        <v>20300814094</v>
      </c>
      <c r="H249" s="597" t="str">
        <f>IFERROR(IF(factura_c_mes12[[#This Row],[CUIT]]="","-",VLOOKUP(factura_c_mes12[[#This Row],[CUIT]],Lista_CUIT[#All],2,0)),"CUIT NO CARGADO")</f>
        <v>FARRAPEIRA OSCAR MAXIMO</v>
      </c>
      <c r="I249" s="599">
        <v>239769</v>
      </c>
      <c r="J249" s="596">
        <f>IFERROR(IF(factura_c_mes12[[#This Row],[CUIT]]="","-",VLOOKUP(factura_c_mes12[[#This Row],[CUIT]],Lista_CUIT[#All],3,0)),"CUIT NO CARGADO")</f>
        <v>0</v>
      </c>
      <c r="K249" s="596">
        <f>IFERROR(IF(factura_c_mes12[[#This Row],[CUIT]]="","-",VLOOKUP(factura_c_mes12[[#This Row],[CUIT]],Lista_CUIT[#All],4,0)),"CUIT NO CARGADO")</f>
        <v>0</v>
      </c>
    </row>
    <row r="250" spans="4:11" x14ac:dyDescent="0.3">
      <c r="D250" s="597">
        <v>45287</v>
      </c>
      <c r="E250" s="589">
        <v>8</v>
      </c>
      <c r="F250" s="590">
        <v>523</v>
      </c>
      <c r="G250" s="591">
        <v>27409592487</v>
      </c>
      <c r="H250" s="597" t="str">
        <f>IFERROR(IF(factura_c_mes12[[#This Row],[CUIT]]="","-",VLOOKUP(factura_c_mes12[[#This Row],[CUIT]],Lista_CUIT[#All],2,0)),"CUIT NO CARGADO")</f>
        <v>BAUDONE ANTONELLA AGOSTINA</v>
      </c>
      <c r="I250" s="599">
        <v>92700</v>
      </c>
      <c r="J250" s="596">
        <f>IFERROR(IF(factura_c_mes12[[#This Row],[CUIT]]="","-",VLOOKUP(factura_c_mes12[[#This Row],[CUIT]],Lista_CUIT[#All],3,0)),"CUIT NO CARGADO")</f>
        <v>0</v>
      </c>
      <c r="K250" s="596">
        <f>IFERROR(IF(factura_c_mes12[[#This Row],[CUIT]]="","-",VLOOKUP(factura_c_mes12[[#This Row],[CUIT]],Lista_CUIT[#All],4,0)),"CUIT NO CARGADO")</f>
        <v>0</v>
      </c>
    </row>
    <row r="251" spans="4:11" x14ac:dyDescent="0.3">
      <c r="D251" s="597">
        <v>45288</v>
      </c>
      <c r="E251" s="589">
        <v>1</v>
      </c>
      <c r="F251" s="590">
        <v>53</v>
      </c>
      <c r="G251" s="591">
        <v>20402302462</v>
      </c>
      <c r="H251" s="597" t="str">
        <f>IFERROR(IF(factura_c_mes12[[#This Row],[CUIT]]="","-",VLOOKUP(factura_c_mes12[[#This Row],[CUIT]],Lista_CUIT[#All],2,0)),"CUIT NO CARGADO")</f>
        <v>LIOTTA TIDONI FRANCO</v>
      </c>
      <c r="I251" s="599">
        <v>410500</v>
      </c>
      <c r="J251" s="596">
        <f>IFERROR(IF(factura_c_mes12[[#This Row],[CUIT]]="","-",VLOOKUP(factura_c_mes12[[#This Row],[CUIT]],Lista_CUIT[#All],3,0)),"CUIT NO CARGADO")</f>
        <v>0</v>
      </c>
      <c r="K251" s="596">
        <f>IFERROR(IF(factura_c_mes12[[#This Row],[CUIT]]="","-",VLOOKUP(factura_c_mes12[[#This Row],[CUIT]],Lista_CUIT[#All],4,0)),"CUIT NO CARGADO")</f>
        <v>0</v>
      </c>
    </row>
    <row r="252" spans="4:11" x14ac:dyDescent="0.3">
      <c r="D252" s="597">
        <v>45288</v>
      </c>
      <c r="E252" s="589">
        <v>1</v>
      </c>
      <c r="F252" s="590">
        <v>54</v>
      </c>
      <c r="G252" s="591">
        <v>20402302462</v>
      </c>
      <c r="H252" s="597" t="str">
        <f>IFERROR(IF(factura_c_mes12[[#This Row],[CUIT]]="","-",VLOOKUP(factura_c_mes12[[#This Row],[CUIT]],Lista_CUIT[#All],2,0)),"CUIT NO CARGADO")</f>
        <v>LIOTTA TIDONI FRANCO</v>
      </c>
      <c r="I252" s="599">
        <v>410500</v>
      </c>
      <c r="J252" s="596">
        <f>IFERROR(IF(factura_c_mes12[[#This Row],[CUIT]]="","-",VLOOKUP(factura_c_mes12[[#This Row],[CUIT]],Lista_CUIT[#All],3,0)),"CUIT NO CARGADO")</f>
        <v>0</v>
      </c>
      <c r="K252" s="596">
        <f>IFERROR(IF(factura_c_mes12[[#This Row],[CUIT]]="","-",VLOOKUP(factura_c_mes12[[#This Row],[CUIT]],Lista_CUIT[#All],4,0)),"CUIT NO CARGADO")</f>
        <v>0</v>
      </c>
    </row>
    <row r="253" spans="4:11" x14ac:dyDescent="0.3">
      <c r="D253" s="629">
        <v>45290</v>
      </c>
      <c r="E253" s="630">
        <v>2</v>
      </c>
      <c r="F253" s="631">
        <v>3930</v>
      </c>
      <c r="G253" s="632">
        <v>20136536320</v>
      </c>
      <c r="H253" s="629" t="str">
        <f>IFERROR(IF(factura_c_mes12[[#This Row],[CUIT]]="","-",VLOOKUP(factura_c_mes12[[#This Row],[CUIT]],Lista_CUIT[#All],2,0)),"CUIT NO CARGADO")</f>
        <v>FONTENLA ERNESTO MARIO</v>
      </c>
      <c r="I253" s="633">
        <v>1950</v>
      </c>
      <c r="J253" s="634" t="str">
        <f>IFERROR(IF(factura_c_mes12[[#This Row],[CUIT]]="","-",VLOOKUP(factura_c_mes12[[#This Row],[CUIT]],Lista_CUIT[#All],3,0)),"CUIT NO CARGADO")</f>
        <v>INSUMO</v>
      </c>
      <c r="K253" s="634" t="str">
        <f>IFERROR(IF(factura_c_mes12[[#This Row],[CUIT]]="","-",VLOOKUP(factura_c_mes12[[#This Row],[CUIT]],Lista_CUIT[#All],4,0)),"CUIT NO CARGADO")</f>
        <v>CABA</v>
      </c>
    </row>
    <row r="254" spans="4:11" x14ac:dyDescent="0.3">
      <c r="D254" s="597">
        <v>45290</v>
      </c>
      <c r="E254" s="589">
        <v>1</v>
      </c>
      <c r="F254" s="590">
        <v>735</v>
      </c>
      <c r="G254" s="591">
        <v>30716228955</v>
      </c>
      <c r="H254" s="597" t="str">
        <f>IFERROR(IF(factura_c_mes12[[#This Row],[CUIT]]="","-",VLOOKUP(factura_c_mes12[[#This Row],[CUIT]],Lista_CUIT[#All],2,0)),"CUIT NO CARGADO")</f>
        <v>ACONQUIJA CLUB DE VUELO Y AVENTURA ASOCIACION CIVIL</v>
      </c>
      <c r="I254" s="599">
        <v>66000</v>
      </c>
      <c r="J254" s="596">
        <f>IFERROR(IF(factura_c_mes12[[#This Row],[CUIT]]="","-",VLOOKUP(factura_c_mes12[[#This Row],[CUIT]],Lista_CUIT[#All],3,0)),"CUIT NO CARGADO")</f>
        <v>0</v>
      </c>
      <c r="K254" s="596">
        <f>IFERROR(IF(factura_c_mes12[[#This Row],[CUIT]]="","-",VLOOKUP(factura_c_mes12[[#This Row],[CUIT]],Lista_CUIT[#All],4,0)),"CUIT NO CARGADO")</f>
        <v>0</v>
      </c>
    </row>
    <row r="255" spans="4:11" x14ac:dyDescent="0.3">
      <c r="D255" s="597">
        <v>45291</v>
      </c>
      <c r="E255" s="589">
        <v>3</v>
      </c>
      <c r="F255" s="590">
        <v>99</v>
      </c>
      <c r="G255" s="591">
        <v>20174208094</v>
      </c>
      <c r="H255" s="597" t="str">
        <f>IFERROR(IF(factura_c_mes12[[#This Row],[CUIT]]="","-",VLOOKUP(factura_c_mes12[[#This Row],[CUIT]],Lista_CUIT[#All],2,0)),"CUIT NO CARGADO")</f>
        <v>VILLARUEL OSCAR EDUARDO</v>
      </c>
      <c r="I255" s="599">
        <v>380000</v>
      </c>
      <c r="J255" s="596">
        <f>IFERROR(IF(factura_c_mes12[[#This Row],[CUIT]]="","-",VLOOKUP(factura_c_mes12[[#This Row],[CUIT]],Lista_CUIT[#All],3,0)),"CUIT NO CARGADO")</f>
        <v>0</v>
      </c>
      <c r="K255" s="596">
        <f>IFERROR(IF(factura_c_mes12[[#This Row],[CUIT]]="","-",VLOOKUP(factura_c_mes12[[#This Row],[CUIT]],Lista_CUIT[#All],4,0)),"CUIT NO CARGADO")</f>
        <v>0</v>
      </c>
    </row>
    <row r="256" spans="4:11" x14ac:dyDescent="0.3">
      <c r="D256" s="597"/>
      <c r="E256" s="589"/>
      <c r="F256" s="590"/>
      <c r="G256" s="591"/>
      <c r="H256" s="597" t="str">
        <f>IFERROR(IF(factura_c_mes12[[#This Row],[CUIT]]="","-",VLOOKUP(factura_c_mes12[[#This Row],[CUIT]],Lista_CUIT[#All],2,0)),"CUIT NO CARGADO")</f>
        <v>-</v>
      </c>
      <c r="I256" s="599"/>
      <c r="J256" s="596" t="str">
        <f>IFERROR(IF(factura_c_mes12[[#This Row],[CUIT]]="","-",VLOOKUP(factura_c_mes12[[#This Row],[CUIT]],Lista_CUIT[#All],3,0)),"CUIT NO CARGADO")</f>
        <v>-</v>
      </c>
      <c r="K256" s="596" t="str">
        <f>IFERROR(IF(factura_c_mes12[[#This Row],[CUIT]]="","-",VLOOKUP(factura_c_mes12[[#This Row],[CUIT]],Lista_CUIT[#All],4,0)),"CUIT NO CARGADO")</f>
        <v>-</v>
      </c>
    </row>
    <row r="257" spans="2:18" x14ac:dyDescent="0.3">
      <c r="B257" s="56"/>
      <c r="C257" s="56"/>
      <c r="D257" s="605" t="s">
        <v>103</v>
      </c>
      <c r="E257" s="605"/>
      <c r="F257" s="605"/>
      <c r="G257" s="605"/>
      <c r="H257" s="606"/>
      <c r="I257" s="607">
        <f>SUBTOTAL(109,factura_c_mes12[TOTAL])</f>
        <v>6081113.8999999994</v>
      </c>
      <c r="J257" s="605"/>
      <c r="K257" s="605"/>
      <c r="L257" s="56"/>
      <c r="M257" s="56"/>
      <c r="N257" s="56"/>
      <c r="O257" s="56"/>
      <c r="P257" s="56"/>
      <c r="Q257" s="56"/>
      <c r="R257" s="56"/>
    </row>
    <row r="262" spans="2:18" ht="25.8" x14ac:dyDescent="0.3">
      <c r="B262" s="661" t="s">
        <v>29</v>
      </c>
      <c r="C262" s="661"/>
      <c r="D262" s="661"/>
      <c r="E262" s="661"/>
      <c r="F262" s="661"/>
      <c r="G262" s="661"/>
      <c r="H262" s="661"/>
      <c r="I262" s="661"/>
      <c r="J262" s="661"/>
      <c r="K262" s="657">
        <f>N1</f>
        <v>45261</v>
      </c>
      <c r="L262" s="657"/>
      <c r="M262" s="657"/>
    </row>
    <row r="264" spans="2:18" ht="21" x14ac:dyDescent="0.3">
      <c r="B264" s="654" t="s">
        <v>30</v>
      </c>
      <c r="C264" s="654"/>
    </row>
    <row r="265" spans="2:18" ht="31.2" x14ac:dyDescent="0.3">
      <c r="B265" s="60" t="s">
        <v>0</v>
      </c>
      <c r="C265" s="61" t="s">
        <v>1</v>
      </c>
      <c r="D265" s="61" t="s">
        <v>21</v>
      </c>
      <c r="E265" s="61" t="s">
        <v>22</v>
      </c>
      <c r="F265" s="61" t="s">
        <v>3</v>
      </c>
      <c r="G265" s="61" t="s">
        <v>4</v>
      </c>
      <c r="H265" s="61" t="s">
        <v>23</v>
      </c>
      <c r="I265" s="61" t="s">
        <v>17</v>
      </c>
      <c r="J265" s="61" t="s">
        <v>7</v>
      </c>
      <c r="K265" s="61" t="s">
        <v>24</v>
      </c>
      <c r="L265" s="61" t="s">
        <v>10</v>
      </c>
      <c r="M265" s="62" t="s">
        <v>38</v>
      </c>
    </row>
    <row r="266" spans="2:18" x14ac:dyDescent="0.3">
      <c r="B266" s="40"/>
      <c r="C266" s="41"/>
      <c r="D266" s="42"/>
      <c r="E266" s="43"/>
      <c r="F266" s="44"/>
      <c r="G266" s="99" t="str">
        <f>IFERROR(IF(venta_a_mes12[[#This Row],[CUIT]]="","-",VLOOKUP(venta_a_mes12[[#This Row],[CUIT]],Lista_CUIT[#All],2,0)),"CUIT NO CARGADO")</f>
        <v>-</v>
      </c>
      <c r="H266" s="100"/>
      <c r="I266" s="101">
        <f>venta_a_mes12[[#This Row],[IMPORTE NETO]]*0.21</f>
        <v>0</v>
      </c>
      <c r="J266" s="65"/>
      <c r="K266" s="65"/>
      <c r="L266" s="65">
        <f>SUM(venta_a_mes12[[#This Row],[IMPORTE NETO]:[EXENTO]])</f>
        <v>0</v>
      </c>
      <c r="M266" s="59"/>
    </row>
    <row r="267" spans="2:18" x14ac:dyDescent="0.3">
      <c r="B267" s="66" t="s">
        <v>103</v>
      </c>
      <c r="C267" s="67"/>
      <c r="D267" s="67"/>
      <c r="E267" s="67"/>
      <c r="F267" s="67"/>
      <c r="G267" s="67"/>
      <c r="H267" s="69">
        <f>SUBTOTAL(109,venta_a_mes12[IMPORTE NETO])</f>
        <v>0</v>
      </c>
      <c r="I267" s="70">
        <f>SUBTOTAL(109,venta_a_mes12[IVA 21%])</f>
        <v>0</v>
      </c>
      <c r="J267" s="71">
        <f>SUBTOTAL(109,venta_a_mes12[IVA 10,5%])</f>
        <v>0</v>
      </c>
      <c r="K267" s="71">
        <f>SUBTOTAL(109,venta_a_mes12[EXENTO])</f>
        <v>0</v>
      </c>
      <c r="L267" s="71">
        <f>SUBTOTAL(109,venta_a_mes12[TOTAL])</f>
        <v>0</v>
      </c>
      <c r="M267" s="68">
        <f>SUBTOTAL(103,venta_a_mes12[Provincia])</f>
        <v>0</v>
      </c>
    </row>
    <row r="268" spans="2:18" x14ac:dyDescent="0.3">
      <c r="B268" s="193"/>
      <c r="C268" s="193"/>
      <c r="D268" s="193"/>
      <c r="E268" s="193"/>
      <c r="F268" s="193"/>
      <c r="G268" s="193"/>
      <c r="H268" s="195"/>
      <c r="I268" s="196"/>
      <c r="J268" s="197"/>
      <c r="K268" s="197"/>
      <c r="L268" s="197"/>
      <c r="M268" s="194"/>
    </row>
    <row r="269" spans="2:18" ht="21" x14ac:dyDescent="0.3">
      <c r="B269" s="654" t="s">
        <v>31</v>
      </c>
      <c r="C269" s="654"/>
    </row>
    <row r="270" spans="2:18" ht="31.2" x14ac:dyDescent="0.3">
      <c r="B270" s="60" t="s">
        <v>0</v>
      </c>
      <c r="C270" s="61" t="s">
        <v>1</v>
      </c>
      <c r="D270" s="61" t="s">
        <v>21</v>
      </c>
      <c r="E270" s="61" t="s">
        <v>22</v>
      </c>
      <c r="F270" s="61" t="s">
        <v>3</v>
      </c>
      <c r="G270" s="61" t="s">
        <v>4</v>
      </c>
      <c r="H270" s="61" t="s">
        <v>23</v>
      </c>
      <c r="I270" s="61" t="s">
        <v>17</v>
      </c>
      <c r="J270" s="61" t="s">
        <v>7</v>
      </c>
      <c r="K270" s="61" t="s">
        <v>24</v>
      </c>
      <c r="L270" s="61" t="s">
        <v>10</v>
      </c>
      <c r="M270" s="62" t="s">
        <v>38</v>
      </c>
    </row>
    <row r="271" spans="2:18" x14ac:dyDescent="0.3">
      <c r="B271" s="178"/>
      <c r="C271" s="179"/>
      <c r="D271" s="180"/>
      <c r="E271" s="181"/>
      <c r="F271" s="182"/>
      <c r="G271" s="1" t="str">
        <f>IFERROR(IF(ventas_b_mes12[[#This Row],[CUIT]]="","-",VLOOKUP(ventas_b_mes12[[#This Row],[CUIT]],Lista_CUIT[#All],2,0)),"CUIT NO CARGADO")</f>
        <v>-</v>
      </c>
      <c r="H271" s="100">
        <f>ventas_b_mes12[[#This Row],[TOTAL]]/1.21</f>
        <v>0</v>
      </c>
      <c r="I271" s="64">
        <f>ventas_b_mes12[[#This Row],[IMPORTE NETO]]*0.21</f>
        <v>0</v>
      </c>
      <c r="J271" s="184"/>
      <c r="K271" s="184"/>
      <c r="L271" s="184"/>
      <c r="M271" s="59"/>
    </row>
    <row r="272" spans="2:18" x14ac:dyDescent="0.3">
      <c r="B272" s="178"/>
      <c r="C272" s="179"/>
      <c r="D272" s="180"/>
      <c r="E272" s="181"/>
      <c r="F272" s="182"/>
      <c r="G272" s="1" t="str">
        <f>IFERROR(IF(ventas_b_mes12[[#This Row],[CUIT]]="","-",VLOOKUP(ventas_b_mes12[[#This Row],[CUIT]],Lista_CUIT[#All],2,0)),"CUIT NO CARGADO")</f>
        <v>-</v>
      </c>
      <c r="H272" s="100">
        <f>ventas_b_mes12[[#This Row],[TOTAL]]/1.21</f>
        <v>0</v>
      </c>
      <c r="I272" s="64">
        <f>ventas_b_mes12[[#This Row],[IMPORTE NETO]]*0.21</f>
        <v>0</v>
      </c>
      <c r="J272" s="184"/>
      <c r="K272" s="184"/>
      <c r="L272" s="184"/>
      <c r="M272" s="59"/>
    </row>
    <row r="273" spans="2:13" x14ac:dyDescent="0.3">
      <c r="B273" s="639" t="s">
        <v>103</v>
      </c>
      <c r="C273" s="640"/>
      <c r="D273" s="640"/>
      <c r="E273" s="640"/>
      <c r="F273" s="640"/>
      <c r="G273" s="640"/>
      <c r="H273" s="641">
        <f>SUBTOTAL(109,ventas_b_mes12[IMPORTE NETO])</f>
        <v>0</v>
      </c>
      <c r="I273" s="641">
        <f>SUBTOTAL(109,ventas_b_mes12[IVA 21%])</f>
        <v>0</v>
      </c>
      <c r="J273" s="642">
        <f>SUBTOTAL(109,ventas_b_mes12[IVA 10,5%])</f>
        <v>0</v>
      </c>
      <c r="K273" s="642">
        <f>SUBTOTAL(109,ventas_b_mes12[EXENTO])</f>
        <v>0</v>
      </c>
      <c r="L273" s="642">
        <f>SUBTOTAL(109,ventas_b_mes12[TOTAL])</f>
        <v>0</v>
      </c>
      <c r="M273" s="643">
        <f>SUBTOTAL(103,ventas_b_mes12[Provincia])</f>
        <v>0</v>
      </c>
    </row>
    <row r="274" spans="2:13" ht="15" thickBot="1" x14ac:dyDescent="0.35">
      <c r="B274" s="193"/>
      <c r="C274" s="193"/>
      <c r="D274" s="193"/>
      <c r="E274" s="193"/>
      <c r="F274" s="193"/>
      <c r="G274" s="193"/>
      <c r="H274" s="199"/>
      <c r="I274" s="199"/>
      <c r="J274" s="200"/>
      <c r="K274" s="200"/>
      <c r="L274" s="200"/>
      <c r="M274" s="194"/>
    </row>
    <row r="275" spans="2:13" ht="15" thickTop="1" x14ac:dyDescent="0.3">
      <c r="C275" s="651" t="s">
        <v>66</v>
      </c>
      <c r="D275" s="651"/>
      <c r="E275" s="651"/>
      <c r="F275" s="651"/>
      <c r="G275" s="651"/>
      <c r="H275" s="32"/>
      <c r="I275" s="32"/>
      <c r="J275" s="32"/>
    </row>
    <row r="276" spans="2:13" ht="15.6" x14ac:dyDescent="0.3">
      <c r="C276" s="114" t="s">
        <v>67</v>
      </c>
      <c r="D276" s="115" t="s">
        <v>68</v>
      </c>
      <c r="E276" s="115" t="s">
        <v>105</v>
      </c>
      <c r="F276" s="115" t="s">
        <v>3</v>
      </c>
      <c r="G276" s="115" t="s">
        <v>4</v>
      </c>
      <c r="H276" s="116" t="s">
        <v>69</v>
      </c>
      <c r="I276" s="116" t="s">
        <v>70</v>
      </c>
      <c r="J276" s="116" t="s">
        <v>71</v>
      </c>
      <c r="K276" s="116" t="s">
        <v>72</v>
      </c>
      <c r="L276" s="116" t="s">
        <v>73</v>
      </c>
    </row>
    <row r="277" spans="2:13" x14ac:dyDescent="0.3">
      <c r="C277" s="117"/>
      <c r="D277" s="118"/>
      <c r="E277" s="118"/>
      <c r="F277" s="119"/>
      <c r="G277" s="53" t="str">
        <f>IFERROR(IF(Retenciones_mes12[[#This Row],[CUIT]]="","-",VLOOKUP(Retenciones_mes12[[#This Row],[CUIT]],Lista_CUIT[#All],2,0)),"CUIT NO CARGADO")</f>
        <v>-</v>
      </c>
      <c r="H277" s="120"/>
      <c r="I277" s="120"/>
      <c r="J277" s="120"/>
      <c r="K277" s="120"/>
      <c r="L277" s="120"/>
    </row>
    <row r="278" spans="2:13" x14ac:dyDescent="0.3">
      <c r="C278" s="117"/>
      <c r="D278" s="118"/>
      <c r="E278" s="118"/>
      <c r="F278" s="119"/>
      <c r="G278" s="53" t="str">
        <f>IFERROR(IF(Retenciones_mes12[[#This Row],[CUIT]]="","-",VLOOKUP(Retenciones_mes12[[#This Row],[CUIT]],Lista_CUIT[#All],2,0)),"CUIT NO CARGADO")</f>
        <v>-</v>
      </c>
      <c r="H278" s="120"/>
      <c r="I278" s="120"/>
      <c r="J278" s="120"/>
      <c r="K278" s="120"/>
      <c r="L278" s="120"/>
    </row>
    <row r="279" spans="2:13" x14ac:dyDescent="0.3">
      <c r="C279" s="117"/>
      <c r="D279" s="118"/>
      <c r="E279" s="118"/>
      <c r="F279" s="119"/>
      <c r="G279" s="53" t="str">
        <f>IFERROR(IF(Retenciones_mes12[[#This Row],[CUIT]]="","-",VLOOKUP(Retenciones_mes12[[#This Row],[CUIT]],Lista_CUIT[#All],2,0)),"CUIT NO CARGADO")</f>
        <v>-</v>
      </c>
      <c r="H279" s="120"/>
      <c r="I279" s="120"/>
      <c r="J279" s="120"/>
      <c r="K279" s="120"/>
      <c r="L279" s="120"/>
    </row>
    <row r="280" spans="2:13" x14ac:dyDescent="0.3">
      <c r="C280" s="117"/>
      <c r="D280" s="118"/>
      <c r="E280" s="118"/>
      <c r="F280" s="119"/>
      <c r="G280" s="53" t="str">
        <f>IFERROR(IF(Retenciones_mes12[[#This Row],[CUIT]]="","-",VLOOKUP(Retenciones_mes12[[#This Row],[CUIT]],Lista_CUIT[#All],2,0)),"CUIT NO CARGADO")</f>
        <v>-</v>
      </c>
      <c r="H280" s="120"/>
      <c r="I280" s="120"/>
      <c r="J280" s="120"/>
      <c r="K280" s="120"/>
      <c r="L280" s="120"/>
    </row>
    <row r="281" spans="2:13" x14ac:dyDescent="0.3">
      <c r="D281" s="118"/>
      <c r="E281" s="118"/>
      <c r="G281" s="53" t="str">
        <f>IFERROR(IF(Retenciones_mes12[[#This Row],[CUIT]]="","-",VLOOKUP(Retenciones_mes12[[#This Row],[CUIT]],Lista_CUIT[#All],2,0)),"CUIT NO CARGADO")</f>
        <v>-</v>
      </c>
    </row>
    <row r="282" spans="2:13" x14ac:dyDescent="0.3">
      <c r="C282" s="33"/>
    </row>
  </sheetData>
  <mergeCells count="20">
    <mergeCell ref="P4:R4"/>
    <mergeCell ref="D201:L201"/>
    <mergeCell ref="B1:F1"/>
    <mergeCell ref="G1:M1"/>
    <mergeCell ref="N1:R1"/>
    <mergeCell ref="B3:E3"/>
    <mergeCell ref="G3:H3"/>
    <mergeCell ref="J3:K3"/>
    <mergeCell ref="M3:N3"/>
    <mergeCell ref="P3:R3"/>
    <mergeCell ref="C275:G275"/>
    <mergeCell ref="B4:E4"/>
    <mergeCell ref="G4:H4"/>
    <mergeCell ref="J4:K4"/>
    <mergeCell ref="M4:N4"/>
    <mergeCell ref="D217:K217"/>
    <mergeCell ref="B262:J262"/>
    <mergeCell ref="K262:M262"/>
    <mergeCell ref="B264:C264"/>
    <mergeCell ref="B269:C269"/>
  </mergeCells>
  <conditionalFormatting sqref="I219:I256">
    <cfRule type="cellIs" dxfId="0" priority="1" operator="lessThan">
      <formula>0</formula>
    </cfRule>
  </conditionalFormatting>
  <dataValidations count="10">
    <dataValidation type="custom" allowBlank="1" showInputMessage="1" showErrorMessage="1" sqref="L266" xr:uid="{00000000-0002-0000-0D00-000000000000}">
      <formula1>IF($C9=3,L9&lt;0,L9&gt;=0)</formula1>
    </dataValidation>
    <dataValidation type="custom" allowBlank="1" showInputMessage="1" showErrorMessage="1" sqref="H266:K266" xr:uid="{00000000-0002-0000-0D00-000001000000}">
      <formula1>IF($C266=3,H266&lt;0,H266&gt;=0)</formula1>
    </dataValidation>
    <dataValidation type="whole" allowBlank="1" showInputMessage="1" showErrorMessage="1" sqref="C197:C200 C266 C9:C175" xr:uid="{00000000-0002-0000-0D00-000002000000}">
      <formula1>1</formula1>
      <formula2>3</formula2>
    </dataValidation>
    <dataValidation type="date" allowBlank="1" showInputMessage="1" showErrorMessage="1" sqref="B14 B271:B272 B266 B197:B200 D219:D256 D203:D212" xr:uid="{00000000-0002-0000-0D00-000003000000}">
      <formula1>40179</formula1>
      <formula2>TODAY()</formula2>
    </dataValidation>
    <dataValidation type="whole" allowBlank="1" showInputMessage="1" showErrorMessage="1" sqref="F266 F14 G219:G256 F271:F272" xr:uid="{00000000-0002-0000-0D00-000004000000}">
      <formula1>20000000000</formula1>
      <formula2>33999999999</formula2>
    </dataValidation>
    <dataValidation type="whole" allowBlank="1" showInputMessage="1" showErrorMessage="1" sqref="E266 F219:F256 E271:E272 E9:E175" xr:uid="{00000000-0002-0000-0D00-000005000000}">
      <formula1>1</formula1>
      <formula2>99999999</formula2>
    </dataValidation>
    <dataValidation type="whole" allowBlank="1" showInputMessage="1" showErrorMessage="1" sqref="D266 E219:E256 D271:D272 D9:D175" xr:uid="{00000000-0002-0000-0D00-000006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:I14 J9:O175 I9:I13 I15:I195" xr:uid="{00000000-0002-0000-0D00-000007000000}">
      <formula1>IF($C9=3,H9&lt;0,H9&gt;=0)</formula1>
    </dataValidation>
    <dataValidation type="whole" allowBlank="1" showInputMessage="1" showErrorMessage="1" sqref="C271:C272" xr:uid="{00000000-0002-0000-0D00-000008000000}">
      <formula1>6</formula1>
      <formula2>8</formula2>
    </dataValidation>
    <dataValidation type="custom" allowBlank="1" showInputMessage="1" showErrorMessage="1" sqref="H271:L272" xr:uid="{00000000-0002-0000-0D00-000009000000}">
      <formula1>IF($C271=8,H271&lt;0,H271&gt;=0)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4.4" x14ac:dyDescent="0.3"/>
  <cols>
    <col min="1" max="1" width="3.44140625" customWidth="1"/>
    <col min="3" max="3" width="20.33203125" bestFit="1" customWidth="1"/>
    <col min="4" max="4" width="12.6640625" bestFit="1" customWidth="1"/>
    <col min="5" max="5" width="14.109375" customWidth="1"/>
    <col min="6" max="6" width="3.44140625" customWidth="1"/>
    <col min="8" max="8" width="20.33203125" bestFit="1" customWidth="1"/>
    <col min="9" max="9" width="12.6640625" bestFit="1" customWidth="1"/>
    <col min="10" max="10" width="13.6640625" customWidth="1"/>
    <col min="11" max="11" width="2.109375" customWidth="1"/>
    <col min="13" max="13" width="17.33203125" customWidth="1"/>
    <col min="14" max="14" width="12.6640625" bestFit="1" customWidth="1"/>
    <col min="15" max="15" width="13.88671875" customWidth="1"/>
    <col min="16" max="16" width="6.6640625" customWidth="1"/>
  </cols>
  <sheetData>
    <row r="2" spans="2:17" ht="31.2" x14ac:dyDescent="0.3">
      <c r="B2" s="666" t="s">
        <v>59</v>
      </c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</row>
    <row r="3" spans="2:17" ht="10.95" customHeight="1" thickBot="1" x14ac:dyDescent="0.55000000000000004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8.600000000000001" thickBot="1" x14ac:dyDescent="0.35">
      <c r="B4" s="668">
        <f>'Ene-23'!N1</f>
        <v>44927</v>
      </c>
      <c r="C4" s="669"/>
      <c r="D4" s="669"/>
      <c r="E4" s="670"/>
      <c r="F4" s="3"/>
      <c r="G4" s="668">
        <f>EDATE($B$4,1)</f>
        <v>44958</v>
      </c>
      <c r="H4" s="669"/>
      <c r="I4" s="669"/>
      <c r="J4" s="670"/>
      <c r="K4" s="3"/>
      <c r="L4" s="668">
        <f>EDATE($G$4,1)</f>
        <v>44986</v>
      </c>
      <c r="M4" s="669"/>
      <c r="N4" s="669"/>
      <c r="O4" s="670"/>
    </row>
    <row r="5" spans="2:17" x14ac:dyDescent="0.3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3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3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3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3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3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3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3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3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3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3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3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3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3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3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3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3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3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3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3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3">
      <c r="B25" s="11"/>
      <c r="C25" s="14"/>
      <c r="D25" s="121"/>
      <c r="E25" s="18"/>
      <c r="F25" s="3"/>
      <c r="G25" s="11" t="str">
        <f>IF($B$25="","",$B$25)</f>
        <v/>
      </c>
      <c r="H25" s="14" t="str">
        <f>IF($C$25="","",$C$25)</f>
        <v/>
      </c>
      <c r="I25" s="121"/>
      <c r="J25" s="18"/>
      <c r="K25" s="3"/>
      <c r="L25" s="11" t="str">
        <f>IF($B$25="","",$B$25)</f>
        <v/>
      </c>
      <c r="M25" s="14" t="str">
        <f>IF($C$25="","",$C$25)</f>
        <v/>
      </c>
      <c r="N25" s="121"/>
      <c r="O25" s="18"/>
    </row>
    <row r="26" spans="2:17" x14ac:dyDescent="0.3">
      <c r="B26" s="11"/>
      <c r="C26" s="14"/>
      <c r="D26" s="121"/>
      <c r="E26" s="18"/>
      <c r="F26" s="3"/>
      <c r="G26" s="11" t="str">
        <f>IF($B$26="","",$B$26)</f>
        <v/>
      </c>
      <c r="H26" s="14" t="str">
        <f>IF($C$26="","",$C$26)</f>
        <v/>
      </c>
      <c r="I26" s="121"/>
      <c r="J26" s="18"/>
      <c r="K26" s="3"/>
      <c r="L26" s="11" t="str">
        <f>IF($B$26="","",$B$26)</f>
        <v/>
      </c>
      <c r="M26" s="14" t="str">
        <f>IF($C$26="","",$C$26)</f>
        <v/>
      </c>
      <c r="N26" s="121"/>
      <c r="O26" s="18"/>
    </row>
    <row r="27" spans="2:17" x14ac:dyDescent="0.3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3">
      <c r="B28" s="667" t="s">
        <v>54</v>
      </c>
      <c r="C28" s="667"/>
      <c r="D28" s="667"/>
      <c r="E28" s="8">
        <v>0</v>
      </c>
      <c r="F28" s="3"/>
      <c r="G28" s="667" t="s">
        <v>55</v>
      </c>
      <c r="H28" s="667"/>
      <c r="I28" s="667"/>
      <c r="J28" s="8">
        <v>0</v>
      </c>
      <c r="K28" s="3"/>
      <c r="L28" s="667" t="s">
        <v>56</v>
      </c>
      <c r="M28" s="667"/>
      <c r="N28" s="667"/>
      <c r="O28" s="8">
        <v>0</v>
      </c>
    </row>
    <row r="29" spans="2:17" ht="15" thickBot="1" x14ac:dyDescent="0.35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8.600000000000001" thickBot="1" x14ac:dyDescent="0.35">
      <c r="B30" s="668">
        <f>EDATE($L$4,1)</f>
        <v>45017</v>
      </c>
      <c r="C30" s="669"/>
      <c r="D30" s="669"/>
      <c r="E30" s="670"/>
      <c r="F30" s="3"/>
      <c r="G30" s="668">
        <f>EDATE($B$30,1)</f>
        <v>45047</v>
      </c>
      <c r="H30" s="669"/>
      <c r="I30" s="669"/>
      <c r="J30" s="670"/>
      <c r="K30" s="3"/>
      <c r="L30" s="668">
        <f>EDATE($G$30,1)</f>
        <v>45078</v>
      </c>
      <c r="M30" s="669"/>
      <c r="N30" s="669"/>
      <c r="O30" s="670"/>
    </row>
    <row r="31" spans="2:17" x14ac:dyDescent="0.3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3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3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3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3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3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3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3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3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3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3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3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3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3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3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3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3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3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3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3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3">
      <c r="B51" s="11" t="str">
        <f>IF($B$25="","",$B$25)</f>
        <v/>
      </c>
      <c r="C51" s="14" t="str">
        <f>IF($C$25="","",$C$25)</f>
        <v/>
      </c>
      <c r="D51" s="121"/>
      <c r="E51" s="18"/>
      <c r="F51" s="3"/>
      <c r="G51" s="11" t="str">
        <f>IF($B$25="","",$B$25)</f>
        <v/>
      </c>
      <c r="H51" s="14" t="str">
        <f>IF($C$25="","",$C$25)</f>
        <v/>
      </c>
      <c r="I51" s="121"/>
      <c r="J51" s="18"/>
      <c r="K51" s="3"/>
      <c r="L51" s="11" t="str">
        <f>IF($B$25="","",$B$25)</f>
        <v/>
      </c>
      <c r="M51" s="14" t="str">
        <f>IF($C$25="","",$C$25)</f>
        <v/>
      </c>
      <c r="N51" s="121"/>
      <c r="O51" s="18"/>
    </row>
    <row r="52" spans="2:15" x14ac:dyDescent="0.3">
      <c r="B52" s="11" t="str">
        <f>IF($B$26="","",$B$26)</f>
        <v/>
      </c>
      <c r="C52" s="14" t="str">
        <f>IF($C$26="","",$C$26)</f>
        <v/>
      </c>
      <c r="D52" s="121"/>
      <c r="E52" s="18"/>
      <c r="F52" s="3"/>
      <c r="G52" s="11" t="str">
        <f>IF($B$26="","",$B$26)</f>
        <v/>
      </c>
      <c r="H52" s="14" t="str">
        <f>IF($C$26="","",$C$26)</f>
        <v/>
      </c>
      <c r="I52" s="121"/>
      <c r="J52" s="18"/>
      <c r="K52" s="3"/>
      <c r="L52" s="11" t="str">
        <f>IF($B$26="","",$B$26)</f>
        <v/>
      </c>
      <c r="M52" s="14" t="str">
        <f>IF($C$26="","",$C$26)</f>
        <v/>
      </c>
      <c r="N52" s="121"/>
      <c r="O52" s="18"/>
    </row>
    <row r="53" spans="2:15" x14ac:dyDescent="0.3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3">
      <c r="B54" s="667"/>
      <c r="C54" s="667"/>
      <c r="D54" s="667"/>
      <c r="E54" s="8">
        <v>0</v>
      </c>
      <c r="F54" s="3"/>
      <c r="G54" s="667"/>
      <c r="H54" s="667"/>
      <c r="I54" s="667"/>
      <c r="J54" s="8">
        <v>0</v>
      </c>
      <c r="K54" s="3"/>
      <c r="L54" s="667"/>
      <c r="M54" s="667"/>
      <c r="N54" s="667"/>
      <c r="O54" s="8">
        <v>0</v>
      </c>
    </row>
    <row r="55" spans="2:15" ht="15" thickBot="1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8.600000000000001" thickBot="1" x14ac:dyDescent="0.35">
      <c r="B56" s="668">
        <f>EDATE($L$30,1)</f>
        <v>45108</v>
      </c>
      <c r="C56" s="669"/>
      <c r="D56" s="669"/>
      <c r="E56" s="670"/>
      <c r="F56" s="3"/>
      <c r="G56" s="668">
        <f>EDATE($B$56,1)</f>
        <v>45139</v>
      </c>
      <c r="H56" s="669"/>
      <c r="I56" s="669"/>
      <c r="J56" s="670"/>
      <c r="K56" s="3"/>
      <c r="L56" s="668">
        <f>EDATE($G$56,1)</f>
        <v>45170</v>
      </c>
      <c r="M56" s="669"/>
      <c r="N56" s="669"/>
      <c r="O56" s="670"/>
    </row>
    <row r="57" spans="2:15" x14ac:dyDescent="0.3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3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3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3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3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3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3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3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3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3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3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3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3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3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3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3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3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3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3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3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3">
      <c r="B77" s="11" t="str">
        <f>IF($B$25="","",$B$25)</f>
        <v/>
      </c>
      <c r="C77" s="14" t="str">
        <f>IF($C$25="","",$C$25)</f>
        <v/>
      </c>
      <c r="D77" s="121"/>
      <c r="E77" s="18"/>
      <c r="F77" s="3"/>
      <c r="G77" s="11" t="str">
        <f>IF($B$25="","",$B$25)</f>
        <v/>
      </c>
      <c r="H77" s="14" t="str">
        <f>IF($C$25="","",$C$25)</f>
        <v/>
      </c>
      <c r="I77" s="121"/>
      <c r="J77" s="18"/>
      <c r="K77" s="3"/>
      <c r="L77" s="11" t="str">
        <f>IF($B$25="","",$B$25)</f>
        <v/>
      </c>
      <c r="M77" s="14" t="str">
        <f>IF($C$25="","",$C$25)</f>
        <v/>
      </c>
      <c r="N77" s="121"/>
      <c r="O77" s="18"/>
    </row>
    <row r="78" spans="2:15" x14ac:dyDescent="0.3">
      <c r="B78" s="11" t="str">
        <f>IF($B$26="","",$B$26)</f>
        <v/>
      </c>
      <c r="C78" s="14" t="str">
        <f>IF($C$26="","",$C$26)</f>
        <v/>
      </c>
      <c r="D78" s="121"/>
      <c r="E78" s="18"/>
      <c r="F78" s="3"/>
      <c r="G78" s="11" t="str">
        <f>IF($B$26="","",$B$26)</f>
        <v/>
      </c>
      <c r="H78" s="14" t="str">
        <f>IF($C$26="","",$C$26)</f>
        <v/>
      </c>
      <c r="I78" s="121"/>
      <c r="J78" s="18"/>
      <c r="K78" s="3"/>
      <c r="L78" s="11" t="str">
        <f>IF($B$26="","",$B$26)</f>
        <v/>
      </c>
      <c r="M78" s="14" t="str">
        <f>IF($C$26="","",$C$26)</f>
        <v/>
      </c>
      <c r="N78" s="121"/>
      <c r="O78" s="18"/>
    </row>
    <row r="79" spans="2:15" x14ac:dyDescent="0.3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3">
      <c r="B80" s="667"/>
      <c r="C80" s="667"/>
      <c r="D80" s="667"/>
      <c r="E80" s="8">
        <v>0</v>
      </c>
      <c r="F80" s="3"/>
      <c r="G80" s="667"/>
      <c r="H80" s="667"/>
      <c r="I80" s="667"/>
      <c r="J80" s="8">
        <v>0</v>
      </c>
      <c r="K80" s="3"/>
      <c r="L80" s="667"/>
      <c r="M80" s="667"/>
      <c r="N80" s="667"/>
      <c r="O80" s="8">
        <v>0</v>
      </c>
    </row>
    <row r="81" spans="2:15" ht="15" thickBot="1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8.600000000000001" thickBot="1" x14ac:dyDescent="0.35">
      <c r="B82" s="668">
        <f>EDATE($L$56,1)</f>
        <v>45200</v>
      </c>
      <c r="C82" s="669"/>
      <c r="D82" s="669"/>
      <c r="E82" s="670"/>
      <c r="F82" s="3"/>
      <c r="G82" s="668">
        <f>EDATE($B$82,1)</f>
        <v>45231</v>
      </c>
      <c r="H82" s="669"/>
      <c r="I82" s="669"/>
      <c r="J82" s="670"/>
      <c r="K82" s="3"/>
      <c r="L82" s="668">
        <f>EDATE($G$82,1)</f>
        <v>45261</v>
      </c>
      <c r="M82" s="669"/>
      <c r="N82" s="669"/>
      <c r="O82" s="670"/>
    </row>
    <row r="83" spans="2:15" x14ac:dyDescent="0.3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3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3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3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3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3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3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3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3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3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3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3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3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3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3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3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3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3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3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3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3">
      <c r="B103" s="11" t="str">
        <f>IF($B$25="","",$B$25)</f>
        <v/>
      </c>
      <c r="C103" s="14" t="str">
        <f>IF($C$25="","",$C$25)</f>
        <v/>
      </c>
      <c r="D103" s="121"/>
      <c r="E103" s="18"/>
      <c r="F103" s="3"/>
      <c r="G103" s="11" t="str">
        <f>IF($B$25="","",$B$25)</f>
        <v/>
      </c>
      <c r="H103" s="14" t="str">
        <f>IF($C$25="","",$C$25)</f>
        <v/>
      </c>
      <c r="I103" s="121"/>
      <c r="J103" s="18"/>
      <c r="K103" s="3"/>
      <c r="L103" s="11" t="str">
        <f>IF($B$25="","",$B$25)</f>
        <v/>
      </c>
      <c r="M103" s="14" t="str">
        <f>IF($C$25="","",$C$25)</f>
        <v/>
      </c>
      <c r="N103" s="121"/>
      <c r="O103" s="18"/>
    </row>
    <row r="104" spans="2:15" x14ac:dyDescent="0.3">
      <c r="B104" s="11" t="str">
        <f>IF($B$26="","",$B$26)</f>
        <v/>
      </c>
      <c r="C104" s="14" t="str">
        <f>IF($C$26="","",$C$26)</f>
        <v/>
      </c>
      <c r="D104" s="121"/>
      <c r="E104" s="18"/>
      <c r="F104" s="3"/>
      <c r="G104" s="11" t="str">
        <f>IF($B$26="","",$B$26)</f>
        <v/>
      </c>
      <c r="H104" s="14" t="str">
        <f>IF($C$26="","",$C$26)</f>
        <v/>
      </c>
      <c r="I104" s="121"/>
      <c r="J104" s="18"/>
      <c r="K104" s="3"/>
      <c r="L104" s="11" t="str">
        <f>IF($B$26="","",$B$26)</f>
        <v/>
      </c>
      <c r="M104" s="14" t="str">
        <f>IF($C$26="","",$C$26)</f>
        <v/>
      </c>
      <c r="N104" s="121"/>
      <c r="O104" s="18"/>
    </row>
    <row r="105" spans="2:15" x14ac:dyDescent="0.3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3">
      <c r="B106" s="667"/>
      <c r="C106" s="667"/>
      <c r="D106" s="667"/>
      <c r="E106" s="8">
        <v>0</v>
      </c>
      <c r="F106" s="3"/>
      <c r="G106" s="667"/>
      <c r="H106" s="667"/>
      <c r="I106" s="667"/>
      <c r="J106" s="8">
        <v>0</v>
      </c>
      <c r="K106" s="3"/>
      <c r="L106" s="667"/>
      <c r="M106" s="667"/>
      <c r="N106" s="667"/>
      <c r="O106" s="8">
        <v>0</v>
      </c>
    </row>
    <row r="107" spans="2:15" x14ac:dyDescent="0.3">
      <c r="B107" s="3"/>
      <c r="C107" s="3"/>
      <c r="D107" s="3"/>
      <c r="E107" s="3"/>
      <c r="L107" s="671"/>
      <c r="M107" s="671"/>
      <c r="N107" s="671"/>
      <c r="O107" s="3"/>
    </row>
    <row r="108" spans="2:15" x14ac:dyDescent="0.3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4.4" x14ac:dyDescent="0.3"/>
  <cols>
    <col min="1" max="1" width="3.33203125" customWidth="1"/>
    <col min="2" max="5" width="11.5546875" customWidth="1"/>
    <col min="6" max="6" width="3.5546875" customWidth="1"/>
    <col min="7" max="10" width="11.5546875" customWidth="1"/>
    <col min="11" max="11" width="3" customWidth="1"/>
    <col min="12" max="18" width="11.5546875" customWidth="1"/>
    <col min="19" max="16384" width="11.5546875" hidden="1"/>
  </cols>
  <sheetData>
    <row r="2" spans="2:15" ht="31.2" x14ac:dyDescent="0.3">
      <c r="B2" s="666" t="s">
        <v>60</v>
      </c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</row>
    <row r="3" spans="2:15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8.600000000000001" thickBot="1" x14ac:dyDescent="0.35">
      <c r="B4" s="668">
        <f>'Ene-23'!N1</f>
        <v>44927</v>
      </c>
      <c r="C4" s="669"/>
      <c r="D4" s="669"/>
      <c r="E4" s="670"/>
      <c r="F4" s="3"/>
      <c r="G4" s="668">
        <f>EDATE($B$4,1)</f>
        <v>44958</v>
      </c>
      <c r="H4" s="669"/>
      <c r="I4" s="669"/>
      <c r="J4" s="670"/>
      <c r="K4" s="3"/>
      <c r="L4" s="668">
        <f>EDATE($B$4,2)</f>
        <v>44986</v>
      </c>
      <c r="M4" s="669"/>
      <c r="N4" s="669"/>
      <c r="O4" s="670"/>
    </row>
    <row r="5" spans="2:15" x14ac:dyDescent="0.3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3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3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" thickBot="1" x14ac:dyDescent="0.35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3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8.600000000000001" thickBot="1" x14ac:dyDescent="0.35">
      <c r="B11" s="668">
        <f>EDATE($B$4,3)</f>
        <v>45017</v>
      </c>
      <c r="C11" s="669"/>
      <c r="D11" s="669"/>
      <c r="E11" s="670"/>
      <c r="F11" s="3"/>
      <c r="G11" s="668">
        <f>EDATE($B$4,4)</f>
        <v>45047</v>
      </c>
      <c r="H11" s="669"/>
      <c r="I11" s="669"/>
      <c r="J11" s="670"/>
      <c r="K11" s="3"/>
      <c r="L11" s="668">
        <f>EDATE($B$4,5)</f>
        <v>45078</v>
      </c>
      <c r="M11" s="669"/>
      <c r="N11" s="669"/>
      <c r="O11" s="670"/>
    </row>
    <row r="12" spans="2:15" x14ac:dyDescent="0.3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3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3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" thickBot="1" x14ac:dyDescent="0.35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3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600000000000001" thickBot="1" x14ac:dyDescent="0.35">
      <c r="B18" s="668">
        <f>EDATE($B$4,6)</f>
        <v>45108</v>
      </c>
      <c r="C18" s="669"/>
      <c r="D18" s="669"/>
      <c r="E18" s="670"/>
      <c r="F18" s="3"/>
      <c r="G18" s="668">
        <f>EDATE($B$4,7)</f>
        <v>45139</v>
      </c>
      <c r="H18" s="669"/>
      <c r="I18" s="669"/>
      <c r="J18" s="670"/>
      <c r="K18" s="3"/>
      <c r="L18" s="668">
        <f>EDATE($B$4,8)</f>
        <v>45170</v>
      </c>
      <c r="M18" s="669"/>
      <c r="N18" s="669"/>
      <c r="O18" s="670"/>
    </row>
    <row r="19" spans="2:15" x14ac:dyDescent="0.3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3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3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" thickBot="1" x14ac:dyDescent="0.35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3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" thickBot="1" x14ac:dyDescent="0.35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600000000000001" thickBot="1" x14ac:dyDescent="0.35">
      <c r="B25" s="668">
        <f>EDATE($B$4,9)</f>
        <v>45200</v>
      </c>
      <c r="C25" s="669"/>
      <c r="D25" s="669"/>
      <c r="E25" s="670"/>
      <c r="F25" s="3"/>
      <c r="G25" s="668">
        <f>EDATE($B$4,10)</f>
        <v>45231</v>
      </c>
      <c r="H25" s="669"/>
      <c r="I25" s="669"/>
      <c r="J25" s="670"/>
      <c r="K25" s="3"/>
      <c r="L25" s="668">
        <f>EDATE($B$4,11)</f>
        <v>45261</v>
      </c>
      <c r="M25" s="669"/>
      <c r="N25" s="669"/>
      <c r="O25" s="670"/>
    </row>
    <row r="26" spans="2:15" x14ac:dyDescent="0.3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3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3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" thickBot="1" x14ac:dyDescent="0.35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3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B2:O2"/>
    <mergeCell ref="B4:E4"/>
    <mergeCell ref="G4:J4"/>
    <mergeCell ref="L4:O4"/>
    <mergeCell ref="B11:E11"/>
    <mergeCell ref="G11:J11"/>
    <mergeCell ref="L11:O11"/>
    <mergeCell ref="G18:J18"/>
    <mergeCell ref="L18:O18"/>
    <mergeCell ref="B25:E25"/>
    <mergeCell ref="G25:J25"/>
    <mergeCell ref="L25:O25"/>
    <mergeCell ref="B18:E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Lista_CUIT</vt:lpstr>
      <vt:lpstr>Ene-23</vt:lpstr>
      <vt:lpstr>Feb-23</vt:lpstr>
      <vt:lpstr>Mar-23</vt:lpstr>
      <vt:lpstr>Abr-23</vt:lpstr>
      <vt:lpstr>May-23</vt:lpstr>
      <vt:lpstr>Jun-23</vt:lpstr>
      <vt:lpstr>Jul-23</vt:lpstr>
      <vt:lpstr>Agost-23</vt:lpstr>
      <vt:lpstr>Sept-23</vt:lpstr>
      <vt:lpstr>Oct-23</vt:lpstr>
      <vt:lpstr>OCT </vt:lpstr>
      <vt:lpstr>Nov-23 </vt:lpstr>
      <vt:lpstr>Dic-23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Gaspar Gullo</cp:lastModifiedBy>
  <cp:lastPrinted>2023-07-21T17:02:54Z</cp:lastPrinted>
  <dcterms:created xsi:type="dcterms:W3CDTF">2006-09-16T00:00:00Z</dcterms:created>
  <dcterms:modified xsi:type="dcterms:W3CDTF">2024-05-17T17:15:44Z</dcterms:modified>
</cp:coreProperties>
</file>